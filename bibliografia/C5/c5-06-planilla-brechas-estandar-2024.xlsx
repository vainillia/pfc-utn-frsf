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2"/>
  <workbookPr filterPrivacy="1"/>
  <xr:revisionPtr revIDLastSave="0" documentId="8_{007232D7-31AF-8A4A-8C47-6A9745067D04}" xr6:coauthVersionLast="47" xr6:coauthVersionMax="47" xr10:uidLastSave="{00000000-0000-0000-0000-000000000000}"/>
  <bookViews>
    <workbookView xWindow="0" yWindow="0" windowWidth="24000" windowHeight="10290" xr2:uid="{00000000-000D-0000-FFFF-FFFF00000000}"/>
  </bookViews>
  <sheets>
    <sheet name="2.2.Brecha Efectiva x UdM" sheetId="1" r:id="rId1"/>
    <sheet name="2.3.Brecha x Provincia" sheetId="5" r:id="rId2"/>
    <sheet name="2.4.Dimension Fisica e Indicad" sheetId="7"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9" i="1" l="1"/>
  <c r="Y21" i="1"/>
  <c r="H692" i="5"/>
  <c r="G116" i="1"/>
  <c r="G117" i="1"/>
  <c r="G118" i="1"/>
  <c r="G119" i="1"/>
  <c r="G115" i="1"/>
  <c r="G114" i="1"/>
  <c r="A116" i="1"/>
  <c r="A117" i="1"/>
  <c r="A118" i="1"/>
  <c r="A119" i="1"/>
  <c r="A115" i="1"/>
  <c r="A114" i="1"/>
  <c r="B116" i="1"/>
  <c r="B117" i="1"/>
  <c r="B118" i="1"/>
  <c r="B119" i="1"/>
  <c r="B115" i="1"/>
  <c r="B114" i="1"/>
  <c r="C116" i="1"/>
  <c r="C117" i="1"/>
  <c r="C118" i="1"/>
  <c r="C119" i="1"/>
  <c r="C115" i="1"/>
  <c r="C114" i="1"/>
  <c r="D120" i="1"/>
  <c r="I22" i="1"/>
  <c r="H22" i="1"/>
  <c r="D90" i="1"/>
  <c r="D25" i="7"/>
  <c r="D91" i="1"/>
  <c r="D26" i="7"/>
  <c r="D92" i="1"/>
  <c r="D27" i="7"/>
  <c r="F90" i="1"/>
  <c r="A478" i="5"/>
  <c r="I28" i="5"/>
  <c r="H23" i="5"/>
  <c r="I478" i="5"/>
  <c r="F91" i="1"/>
  <c r="A481" i="5"/>
  <c r="K28" i="5"/>
  <c r="J26" i="5"/>
  <c r="K481" i="5"/>
  <c r="F92" i="1"/>
  <c r="A470" i="5"/>
  <c r="M28" i="5"/>
  <c r="L15" i="5"/>
  <c r="M470" i="5"/>
  <c r="E3" i="1"/>
  <c r="A466" i="5"/>
  <c r="H11" i="5"/>
  <c r="I466" i="5"/>
  <c r="A474" i="5"/>
  <c r="H19" i="5"/>
  <c r="I474" i="5"/>
  <c r="A482" i="5"/>
  <c r="H27" i="5"/>
  <c r="I482" i="5"/>
  <c r="A462" i="5"/>
  <c r="J7" i="5"/>
  <c r="K462" i="5"/>
  <c r="J11" i="5"/>
  <c r="K466" i="5"/>
  <c r="J15" i="5"/>
  <c r="K470" i="5"/>
  <c r="J19" i="5"/>
  <c r="K474" i="5"/>
  <c r="J23" i="5"/>
  <c r="K478" i="5"/>
  <c r="J27" i="5"/>
  <c r="K482" i="5"/>
  <c r="L11" i="5"/>
  <c r="M466" i="5"/>
  <c r="L19" i="5"/>
  <c r="M474" i="5"/>
  <c r="H7" i="5"/>
  <c r="I462" i="5"/>
  <c r="H15" i="5"/>
  <c r="I470" i="5"/>
  <c r="A460" i="5"/>
  <c r="J5" i="5"/>
  <c r="K460" i="5"/>
  <c r="A464" i="5"/>
  <c r="J9" i="5"/>
  <c r="K464" i="5"/>
  <c r="A468" i="5"/>
  <c r="J13" i="5"/>
  <c r="K468" i="5"/>
  <c r="A472" i="5"/>
  <c r="J17" i="5"/>
  <c r="K472" i="5"/>
  <c r="A476" i="5"/>
  <c r="J21" i="5"/>
  <c r="K476" i="5"/>
  <c r="A480" i="5"/>
  <c r="J25" i="5"/>
  <c r="K480" i="5"/>
  <c r="L7" i="5"/>
  <c r="M462" i="5"/>
  <c r="F26" i="7"/>
  <c r="F27" i="7"/>
  <c r="L26" i="5"/>
  <c r="M481" i="5"/>
  <c r="A479" i="5"/>
  <c r="L24" i="5"/>
  <c r="M479" i="5"/>
  <c r="A477" i="5"/>
  <c r="L22" i="5"/>
  <c r="M477" i="5"/>
  <c r="A475" i="5"/>
  <c r="L20" i="5"/>
  <c r="M475" i="5"/>
  <c r="A473" i="5"/>
  <c r="L18" i="5"/>
  <c r="M473" i="5"/>
  <c r="A471" i="5"/>
  <c r="L16" i="5"/>
  <c r="M471" i="5"/>
  <c r="A469" i="5"/>
  <c r="L14" i="5"/>
  <c r="M469" i="5"/>
  <c r="A467" i="5"/>
  <c r="L12" i="5"/>
  <c r="M467" i="5"/>
  <c r="A465" i="5"/>
  <c r="L10" i="5"/>
  <c r="M465" i="5"/>
  <c r="A463" i="5"/>
  <c r="L8" i="5"/>
  <c r="M463" i="5"/>
  <c r="A461" i="5"/>
  <c r="L6" i="5"/>
  <c r="M461" i="5"/>
  <c r="A459" i="5"/>
  <c r="L4" i="5"/>
  <c r="M459" i="5"/>
  <c r="L27" i="5"/>
  <c r="M482" i="5"/>
  <c r="L25" i="5"/>
  <c r="M480" i="5"/>
  <c r="L23" i="5"/>
  <c r="M478" i="5"/>
  <c r="L21" i="5"/>
  <c r="M476" i="5"/>
  <c r="F25" i="7"/>
  <c r="H26" i="5"/>
  <c r="I481" i="5"/>
  <c r="H24" i="5"/>
  <c r="I479" i="5"/>
  <c r="H22" i="5"/>
  <c r="I477" i="5"/>
  <c r="H20" i="5"/>
  <c r="I475" i="5"/>
  <c r="H18" i="5"/>
  <c r="I473" i="5"/>
  <c r="H16" i="5"/>
  <c r="I471" i="5"/>
  <c r="H14" i="5"/>
  <c r="I469" i="5"/>
  <c r="H12" i="5"/>
  <c r="I467" i="5"/>
  <c r="H10" i="5"/>
  <c r="I465" i="5"/>
  <c r="H8" i="5"/>
  <c r="I463" i="5"/>
  <c r="H6" i="5"/>
  <c r="I461" i="5"/>
  <c r="H4" i="5"/>
  <c r="I459" i="5"/>
  <c r="H5" i="5"/>
  <c r="I460" i="5"/>
  <c r="H9" i="5"/>
  <c r="I464" i="5"/>
  <c r="H13" i="5"/>
  <c r="I468" i="5"/>
  <c r="H17" i="5"/>
  <c r="I472" i="5"/>
  <c r="H21" i="5"/>
  <c r="I476" i="5"/>
  <c r="H25" i="5"/>
  <c r="I480" i="5"/>
  <c r="L5" i="5"/>
  <c r="M460" i="5"/>
  <c r="L9" i="5"/>
  <c r="M464" i="5"/>
  <c r="L13" i="5"/>
  <c r="M468" i="5"/>
  <c r="L17" i="5"/>
  <c r="M472" i="5"/>
  <c r="J4" i="5"/>
  <c r="K459" i="5"/>
  <c r="J6" i="5"/>
  <c r="K461" i="5"/>
  <c r="J8" i="5"/>
  <c r="K463" i="5"/>
  <c r="J10" i="5"/>
  <c r="K465" i="5"/>
  <c r="J12" i="5"/>
  <c r="K467" i="5"/>
  <c r="J14" i="5"/>
  <c r="K469" i="5"/>
  <c r="J16" i="5"/>
  <c r="K471" i="5"/>
  <c r="J18" i="5"/>
  <c r="K473" i="5"/>
  <c r="J20" i="5"/>
  <c r="K475" i="5"/>
  <c r="J22" i="5"/>
  <c r="K477" i="5"/>
  <c r="J24" i="5"/>
  <c r="K479" i="5"/>
  <c r="K483" i="5"/>
  <c r="K485" i="5"/>
  <c r="J478" i="5"/>
  <c r="J476" i="5"/>
  <c r="J474" i="5"/>
  <c r="J472" i="5"/>
  <c r="J470" i="5"/>
  <c r="J468" i="5"/>
  <c r="J466" i="5"/>
  <c r="J464" i="5"/>
  <c r="J462" i="5"/>
  <c r="J460" i="5"/>
  <c r="J479" i="5"/>
  <c r="J477" i="5"/>
  <c r="J475" i="5"/>
  <c r="J473" i="5"/>
  <c r="J471" i="5"/>
  <c r="J469" i="5"/>
  <c r="J467" i="5"/>
  <c r="J465" i="5"/>
  <c r="J463" i="5"/>
  <c r="J461" i="5"/>
  <c r="J459" i="5"/>
  <c r="J480" i="5"/>
  <c r="J481" i="5"/>
  <c r="J482" i="5"/>
  <c r="M483" i="5"/>
  <c r="I483" i="5"/>
  <c r="A23" i="7"/>
  <c r="B23" i="7"/>
  <c r="C23" i="7"/>
  <c r="A24" i="7"/>
  <c r="B24" i="7"/>
  <c r="C24" i="7"/>
  <c r="A25" i="7"/>
  <c r="B25" i="7"/>
  <c r="C25" i="7"/>
  <c r="A26" i="7"/>
  <c r="B26" i="7"/>
  <c r="C26" i="7"/>
  <c r="A27" i="7"/>
  <c r="B27" i="7"/>
  <c r="C27" i="7"/>
  <c r="B22" i="7"/>
  <c r="C22" i="7"/>
  <c r="A22" i="7"/>
  <c r="E28" i="7"/>
  <c r="E27" i="7"/>
  <c r="E26" i="7"/>
  <c r="E25" i="7"/>
  <c r="E24" i="7"/>
  <c r="E23" i="7"/>
  <c r="E22" i="7"/>
  <c r="A104" i="1"/>
  <c r="B104" i="1"/>
  <c r="C104" i="1"/>
  <c r="A105" i="1"/>
  <c r="B105" i="1"/>
  <c r="C105" i="1"/>
  <c r="A106" i="1"/>
  <c r="B106" i="1"/>
  <c r="C106" i="1"/>
  <c r="A107" i="1"/>
  <c r="B107" i="1"/>
  <c r="C107" i="1"/>
  <c r="A108" i="1"/>
  <c r="B108" i="1"/>
  <c r="C108" i="1"/>
  <c r="C103" i="1"/>
  <c r="B103" i="1"/>
  <c r="A103" i="1"/>
  <c r="A88" i="1"/>
  <c r="B88" i="1"/>
  <c r="C88" i="1"/>
  <c r="A89" i="1"/>
  <c r="B89" i="1"/>
  <c r="C89" i="1"/>
  <c r="A90" i="1"/>
  <c r="B90" i="1"/>
  <c r="C90" i="1"/>
  <c r="A91" i="1"/>
  <c r="B91" i="1"/>
  <c r="C91" i="1"/>
  <c r="A92" i="1"/>
  <c r="B92" i="1"/>
  <c r="C92" i="1"/>
  <c r="C87" i="1"/>
  <c r="B87" i="1"/>
  <c r="A87" i="1"/>
  <c r="AJ93" i="1"/>
  <c r="AH93" i="1"/>
  <c r="AF93" i="1"/>
  <c r="AD93" i="1"/>
  <c r="AB93" i="1"/>
  <c r="Z93" i="1"/>
  <c r="X93" i="1"/>
  <c r="V93" i="1"/>
  <c r="T93" i="1"/>
  <c r="R93" i="1"/>
  <c r="AK93" i="1"/>
  <c r="AI93" i="1"/>
  <c r="AG93" i="1"/>
  <c r="AE93" i="1"/>
  <c r="AC93" i="1"/>
  <c r="AA93" i="1"/>
  <c r="Y93" i="1"/>
  <c r="W93" i="1"/>
  <c r="U93" i="1"/>
  <c r="S93" i="1"/>
  <c r="H478" i="5"/>
  <c r="H476" i="5"/>
  <c r="H474" i="5"/>
  <c r="H472" i="5"/>
  <c r="H470" i="5"/>
  <c r="H468" i="5"/>
  <c r="H466" i="5"/>
  <c r="H464" i="5"/>
  <c r="H462" i="5"/>
  <c r="H460" i="5"/>
  <c r="H479" i="5"/>
  <c r="H477" i="5"/>
  <c r="H475" i="5"/>
  <c r="H473" i="5"/>
  <c r="H471" i="5"/>
  <c r="H469" i="5"/>
  <c r="H467" i="5"/>
  <c r="H465" i="5"/>
  <c r="H463" i="5"/>
  <c r="H461" i="5"/>
  <c r="H459" i="5"/>
  <c r="H480" i="5"/>
  <c r="H481" i="5"/>
  <c r="H482" i="5"/>
  <c r="M485" i="5"/>
  <c r="L478" i="5"/>
  <c r="L476" i="5"/>
  <c r="L474" i="5"/>
  <c r="L472" i="5"/>
  <c r="L470" i="5"/>
  <c r="L468" i="5"/>
  <c r="L466" i="5"/>
  <c r="L464" i="5"/>
  <c r="L462" i="5"/>
  <c r="L460" i="5"/>
  <c r="L479" i="5"/>
  <c r="L477" i="5"/>
  <c r="L475" i="5"/>
  <c r="L473" i="5"/>
  <c r="L471" i="5"/>
  <c r="L469" i="5"/>
  <c r="L467" i="5"/>
  <c r="L465" i="5"/>
  <c r="L463" i="5"/>
  <c r="L461" i="5"/>
  <c r="L459" i="5"/>
  <c r="L480" i="5"/>
  <c r="L481" i="5"/>
  <c r="L482" i="5"/>
  <c r="C3" i="7"/>
  <c r="C6" i="7"/>
  <c r="C7" i="7"/>
  <c r="C8" i="7"/>
  <c r="B6" i="7"/>
  <c r="B7" i="7"/>
  <c r="B8" i="7"/>
  <c r="A6" i="7"/>
  <c r="A7" i="7"/>
  <c r="A8" i="7"/>
  <c r="A419" i="5"/>
  <c r="A420" i="5"/>
  <c r="A421" i="5"/>
  <c r="A422" i="5"/>
  <c r="A423" i="5"/>
  <c r="A424" i="5"/>
  <c r="A425" i="5"/>
  <c r="A426" i="5"/>
  <c r="A427" i="5"/>
  <c r="A428" i="5"/>
  <c r="A429" i="5"/>
  <c r="A430" i="5"/>
  <c r="A431" i="5"/>
  <c r="A432" i="5"/>
  <c r="A433" i="5"/>
  <c r="A434" i="5"/>
  <c r="A435" i="5"/>
  <c r="A436" i="5"/>
  <c r="A437" i="5"/>
  <c r="A438" i="5"/>
  <c r="A439" i="5"/>
  <c r="A440" i="5"/>
  <c r="A441" i="5"/>
  <c r="A418" i="5"/>
  <c r="A386" i="5"/>
  <c r="A387" i="5"/>
  <c r="A388" i="5"/>
  <c r="A389" i="5"/>
  <c r="A390" i="5"/>
  <c r="A391" i="5"/>
  <c r="A392" i="5"/>
  <c r="A393" i="5"/>
  <c r="A394" i="5"/>
  <c r="A395" i="5"/>
  <c r="A396" i="5"/>
  <c r="A397" i="5"/>
  <c r="A398" i="5"/>
  <c r="A399" i="5"/>
  <c r="A400" i="5"/>
  <c r="A401" i="5"/>
  <c r="A402" i="5"/>
  <c r="A403" i="5"/>
  <c r="A404" i="5"/>
  <c r="A405" i="5"/>
  <c r="A406" i="5"/>
  <c r="A407" i="5"/>
  <c r="A408" i="5"/>
  <c r="A385" i="5"/>
  <c r="A353" i="5"/>
  <c r="A354" i="5"/>
  <c r="A355" i="5"/>
  <c r="A356" i="5"/>
  <c r="A357" i="5"/>
  <c r="A358" i="5"/>
  <c r="A359" i="5"/>
  <c r="A360" i="5"/>
  <c r="A361" i="5"/>
  <c r="A362" i="5"/>
  <c r="A363" i="5"/>
  <c r="A364" i="5"/>
  <c r="A365" i="5"/>
  <c r="A366" i="5"/>
  <c r="A367" i="5"/>
  <c r="A368" i="5"/>
  <c r="A369" i="5"/>
  <c r="A370" i="5"/>
  <c r="A371" i="5"/>
  <c r="A372" i="5"/>
  <c r="A373" i="5"/>
  <c r="A374" i="5"/>
  <c r="A375" i="5"/>
  <c r="A352" i="5"/>
  <c r="A214" i="5"/>
  <c r="A215" i="5"/>
  <c r="A216" i="5"/>
  <c r="A217" i="5"/>
  <c r="A218" i="5"/>
  <c r="A219" i="5"/>
  <c r="A220" i="5"/>
  <c r="A221" i="5"/>
  <c r="A222" i="5"/>
  <c r="A223" i="5"/>
  <c r="A224" i="5"/>
  <c r="A225" i="5"/>
  <c r="A226" i="5"/>
  <c r="A227" i="5"/>
  <c r="A228" i="5"/>
  <c r="A229" i="5"/>
  <c r="A230" i="5"/>
  <c r="A231" i="5"/>
  <c r="A232" i="5"/>
  <c r="A233" i="5"/>
  <c r="A234" i="5"/>
  <c r="A235" i="5"/>
  <c r="A236" i="5"/>
  <c r="A213" i="5"/>
  <c r="A181" i="5"/>
  <c r="A182" i="5"/>
  <c r="A183" i="5"/>
  <c r="A184" i="5"/>
  <c r="A185" i="5"/>
  <c r="A186" i="5"/>
  <c r="A187" i="5"/>
  <c r="A188" i="5"/>
  <c r="A189" i="5"/>
  <c r="A190" i="5"/>
  <c r="A191" i="5"/>
  <c r="A192" i="5"/>
  <c r="A193" i="5"/>
  <c r="A194" i="5"/>
  <c r="A195" i="5"/>
  <c r="A196" i="5"/>
  <c r="A197" i="5"/>
  <c r="A198" i="5"/>
  <c r="A199" i="5"/>
  <c r="A200" i="5"/>
  <c r="A201" i="5"/>
  <c r="A202" i="5"/>
  <c r="A203" i="5"/>
  <c r="A180" i="5"/>
  <c r="A148" i="5"/>
  <c r="A149" i="5"/>
  <c r="A150" i="5"/>
  <c r="A151" i="5"/>
  <c r="A152" i="5"/>
  <c r="A153" i="5"/>
  <c r="A154" i="5"/>
  <c r="A155" i="5"/>
  <c r="A156" i="5"/>
  <c r="A157" i="5"/>
  <c r="A158" i="5"/>
  <c r="A159" i="5"/>
  <c r="A160" i="5"/>
  <c r="A161" i="5"/>
  <c r="A162" i="5"/>
  <c r="A163" i="5"/>
  <c r="A164" i="5"/>
  <c r="A165" i="5"/>
  <c r="A166" i="5"/>
  <c r="A167" i="5"/>
  <c r="A168" i="5"/>
  <c r="A169" i="5"/>
  <c r="A170" i="5"/>
  <c r="A147" i="5"/>
  <c r="G28" i="5"/>
  <c r="C3" i="5"/>
  <c r="C458" i="5"/>
  <c r="B692" i="5"/>
  <c r="M3" i="5"/>
  <c r="M458" i="5"/>
  <c r="G692" i="5"/>
  <c r="K3" i="5"/>
  <c r="K458" i="5"/>
  <c r="F692" i="5"/>
  <c r="I3" i="5"/>
  <c r="I458" i="5"/>
  <c r="E692" i="5"/>
  <c r="G3" i="5"/>
  <c r="G458" i="5"/>
  <c r="D692" i="5"/>
  <c r="F5" i="5"/>
  <c r="O5" i="5"/>
  <c r="O6" i="5"/>
  <c r="O7" i="5"/>
  <c r="O8" i="5"/>
  <c r="O9" i="5"/>
  <c r="O10" i="5"/>
  <c r="O11" i="5"/>
  <c r="O12" i="5"/>
  <c r="O13" i="5"/>
  <c r="O14" i="5"/>
  <c r="O15" i="5"/>
  <c r="O16" i="5"/>
  <c r="O17" i="5"/>
  <c r="O18" i="5"/>
  <c r="O19" i="5"/>
  <c r="O20" i="5"/>
  <c r="O21" i="5"/>
  <c r="O22" i="5"/>
  <c r="O23" i="5"/>
  <c r="O24" i="5"/>
  <c r="O25" i="5"/>
  <c r="O26" i="5"/>
  <c r="O27" i="5"/>
  <c r="O4" i="5"/>
  <c r="A79" i="1"/>
  <c r="B79" i="1"/>
  <c r="C79" i="1"/>
  <c r="A80" i="1"/>
  <c r="B80" i="1"/>
  <c r="C80" i="1"/>
  <c r="A81" i="1"/>
  <c r="B81" i="1"/>
  <c r="C81" i="1"/>
  <c r="C68" i="1"/>
  <c r="C69" i="1"/>
  <c r="C70" i="1"/>
  <c r="B68" i="1"/>
  <c r="B69" i="1"/>
  <c r="B70" i="1"/>
  <c r="A68" i="1"/>
  <c r="A69" i="1"/>
  <c r="A70" i="1"/>
  <c r="H41" i="1"/>
  <c r="I41" i="1"/>
  <c r="J41" i="1"/>
  <c r="K41" i="1"/>
  <c r="L41" i="1"/>
  <c r="M41" i="1"/>
  <c r="N41" i="1"/>
  <c r="O41" i="1"/>
  <c r="P41" i="1"/>
  <c r="Q41" i="1"/>
  <c r="R41" i="1"/>
  <c r="S41" i="1"/>
  <c r="T41" i="1"/>
  <c r="U41" i="1"/>
  <c r="V41" i="1"/>
  <c r="W41" i="1"/>
  <c r="X41" i="1"/>
  <c r="Y41" i="1"/>
  <c r="Z41" i="1"/>
  <c r="AA41" i="1"/>
  <c r="AB41" i="1"/>
  <c r="AC41" i="1"/>
  <c r="AD41" i="1"/>
  <c r="AE41" i="1"/>
  <c r="AF41" i="1"/>
  <c r="AG41" i="1"/>
  <c r="AH41" i="1"/>
  <c r="AI41" i="1"/>
  <c r="AJ41" i="1"/>
  <c r="AK41" i="1"/>
  <c r="H42" i="1"/>
  <c r="I42" i="1"/>
  <c r="J42" i="1"/>
  <c r="K42" i="1"/>
  <c r="L42" i="1"/>
  <c r="M42" i="1"/>
  <c r="N42" i="1"/>
  <c r="O42" i="1"/>
  <c r="P42" i="1"/>
  <c r="Q42" i="1"/>
  <c r="R42" i="1"/>
  <c r="S42" i="1"/>
  <c r="T42" i="1"/>
  <c r="U42" i="1"/>
  <c r="V42" i="1"/>
  <c r="W42" i="1"/>
  <c r="X42" i="1"/>
  <c r="Y42" i="1"/>
  <c r="Z42" i="1"/>
  <c r="AA42" i="1"/>
  <c r="AB42" i="1"/>
  <c r="AC42" i="1"/>
  <c r="AD42" i="1"/>
  <c r="AE42" i="1"/>
  <c r="AF42" i="1"/>
  <c r="AG42" i="1"/>
  <c r="AH42" i="1"/>
  <c r="AI42" i="1"/>
  <c r="AJ42" i="1"/>
  <c r="AK42" i="1"/>
  <c r="H43" i="1"/>
  <c r="I43" i="1"/>
  <c r="J43" i="1"/>
  <c r="K43" i="1"/>
  <c r="L43" i="1"/>
  <c r="M43" i="1"/>
  <c r="N43" i="1"/>
  <c r="O43" i="1"/>
  <c r="P43" i="1"/>
  <c r="Q43" i="1"/>
  <c r="R43" i="1"/>
  <c r="S43" i="1"/>
  <c r="T43" i="1"/>
  <c r="U43" i="1"/>
  <c r="V43" i="1"/>
  <c r="W43" i="1"/>
  <c r="X43" i="1"/>
  <c r="Y43" i="1"/>
  <c r="Z43" i="1"/>
  <c r="AA43" i="1"/>
  <c r="AB43" i="1"/>
  <c r="AC43" i="1"/>
  <c r="AD43" i="1"/>
  <c r="AE43" i="1"/>
  <c r="AF43" i="1"/>
  <c r="AG43" i="1"/>
  <c r="AH43" i="1"/>
  <c r="AI43" i="1"/>
  <c r="AJ43" i="1"/>
  <c r="AK43" i="1"/>
  <c r="C41" i="1"/>
  <c r="C57" i="1"/>
  <c r="C42" i="1"/>
  <c r="C58" i="1"/>
  <c r="C43" i="1"/>
  <c r="C59" i="1"/>
  <c r="C39" i="1"/>
  <c r="C40" i="1"/>
  <c r="C38" i="1"/>
  <c r="B39" i="1"/>
  <c r="B40" i="1"/>
  <c r="B41" i="1"/>
  <c r="B57" i="1"/>
  <c r="B42" i="1"/>
  <c r="B58" i="1"/>
  <c r="B43" i="1"/>
  <c r="B59" i="1"/>
  <c r="B38" i="1"/>
  <c r="A39" i="1"/>
  <c r="A40" i="1"/>
  <c r="A41" i="1"/>
  <c r="A57" i="1"/>
  <c r="A42" i="1"/>
  <c r="A58" i="1"/>
  <c r="A43" i="1"/>
  <c r="A59" i="1"/>
  <c r="A38" i="1"/>
  <c r="D4" i="1"/>
  <c r="D5" i="1"/>
  <c r="D6" i="1"/>
  <c r="D7" i="1"/>
  <c r="D8" i="1"/>
  <c r="I9" i="1"/>
  <c r="J9" i="1"/>
  <c r="K9" i="1"/>
  <c r="L9" i="1"/>
  <c r="M9" i="1"/>
  <c r="N9" i="1"/>
  <c r="O9" i="1"/>
  <c r="P9" i="1"/>
  <c r="Q9" i="1"/>
  <c r="R9" i="1"/>
  <c r="S9" i="1"/>
  <c r="T9" i="1"/>
  <c r="U9" i="1"/>
  <c r="V9" i="1"/>
  <c r="W9" i="1"/>
  <c r="X9" i="1"/>
  <c r="Y9" i="1"/>
  <c r="Z9" i="1"/>
  <c r="AA9" i="1"/>
  <c r="AB9" i="1"/>
  <c r="AC9" i="1"/>
  <c r="AD9" i="1"/>
  <c r="AE9" i="1"/>
  <c r="AF9" i="1"/>
  <c r="AG9" i="1"/>
  <c r="AH9" i="1"/>
  <c r="AI9" i="1"/>
  <c r="AJ9" i="1"/>
  <c r="AK9" i="1"/>
  <c r="H9" i="1"/>
  <c r="F4" i="1"/>
  <c r="F5" i="1"/>
  <c r="F6" i="1"/>
  <c r="F7" i="1"/>
  <c r="F8" i="1"/>
  <c r="J483" i="5"/>
  <c r="F7" i="5"/>
  <c r="H483" i="5"/>
  <c r="L483" i="5"/>
  <c r="F21" i="5"/>
  <c r="F4" i="5"/>
  <c r="F13" i="5"/>
  <c r="F25" i="5"/>
  <c r="F17" i="5"/>
  <c r="F9" i="5"/>
  <c r="F27" i="5"/>
  <c r="F23" i="5"/>
  <c r="F19" i="5"/>
  <c r="F15" i="5"/>
  <c r="F11" i="5"/>
  <c r="B563" i="5"/>
  <c r="B565" i="5"/>
  <c r="B567" i="5"/>
  <c r="B569" i="5"/>
  <c r="B571" i="5"/>
  <c r="B573" i="5"/>
  <c r="B575" i="5"/>
  <c r="B577" i="5"/>
  <c r="B579" i="5"/>
  <c r="B581" i="5"/>
  <c r="B583" i="5"/>
  <c r="B585" i="5"/>
  <c r="B564" i="5"/>
  <c r="B566" i="5"/>
  <c r="B568" i="5"/>
  <c r="B570" i="5"/>
  <c r="B572" i="5"/>
  <c r="B574" i="5"/>
  <c r="B576" i="5"/>
  <c r="B578" i="5"/>
  <c r="B580" i="5"/>
  <c r="B582" i="5"/>
  <c r="B584" i="5"/>
  <c r="B562" i="5"/>
  <c r="B629" i="5"/>
  <c r="B631" i="5"/>
  <c r="B633" i="5"/>
  <c r="B635" i="5"/>
  <c r="B637" i="5"/>
  <c r="B639" i="5"/>
  <c r="B641" i="5"/>
  <c r="B643" i="5"/>
  <c r="B645" i="5"/>
  <c r="B647" i="5"/>
  <c r="B649" i="5"/>
  <c r="B651" i="5"/>
  <c r="B632" i="5"/>
  <c r="B636" i="5"/>
  <c r="B640" i="5"/>
  <c r="B644" i="5"/>
  <c r="B648" i="5"/>
  <c r="B628" i="5"/>
  <c r="B630" i="5"/>
  <c r="B638" i="5"/>
  <c r="B646" i="5"/>
  <c r="B634" i="5"/>
  <c r="B642" i="5"/>
  <c r="B650" i="5"/>
  <c r="B597" i="5"/>
  <c r="B599" i="5"/>
  <c r="B601" i="5"/>
  <c r="B603" i="5"/>
  <c r="B605" i="5"/>
  <c r="B607" i="5"/>
  <c r="B609" i="5"/>
  <c r="B611" i="5"/>
  <c r="B613" i="5"/>
  <c r="B615" i="5"/>
  <c r="B617" i="5"/>
  <c r="B595" i="5"/>
  <c r="B596" i="5"/>
  <c r="B600" i="5"/>
  <c r="B604" i="5"/>
  <c r="B608" i="5"/>
  <c r="B612" i="5"/>
  <c r="B616" i="5"/>
  <c r="B598" i="5"/>
  <c r="B606" i="5"/>
  <c r="B614" i="5"/>
  <c r="B602" i="5"/>
  <c r="B610" i="5"/>
  <c r="B618" i="5"/>
  <c r="B662" i="5"/>
  <c r="B664" i="5"/>
  <c r="B666" i="5"/>
  <c r="B668" i="5"/>
  <c r="B670" i="5"/>
  <c r="B672" i="5"/>
  <c r="B674" i="5"/>
  <c r="B676" i="5"/>
  <c r="B678" i="5"/>
  <c r="B680" i="5"/>
  <c r="B682" i="5"/>
  <c r="B684" i="5"/>
  <c r="B663" i="5"/>
  <c r="B665" i="5"/>
  <c r="B667" i="5"/>
  <c r="B669" i="5"/>
  <c r="B671" i="5"/>
  <c r="B673" i="5"/>
  <c r="B675" i="5"/>
  <c r="B677" i="5"/>
  <c r="B679" i="5"/>
  <c r="B681" i="5"/>
  <c r="B683" i="5"/>
  <c r="B661" i="5"/>
  <c r="B517" i="5"/>
  <c r="B516" i="5"/>
  <c r="B515" i="5"/>
  <c r="B512" i="5"/>
  <c r="B511" i="5"/>
  <c r="B508" i="5"/>
  <c r="B507" i="5"/>
  <c r="B518" i="5"/>
  <c r="B514" i="5"/>
  <c r="B509" i="5"/>
  <c r="B506" i="5"/>
  <c r="B502" i="5"/>
  <c r="B501" i="5"/>
  <c r="B498" i="5"/>
  <c r="B496" i="5"/>
  <c r="B519" i="5"/>
  <c r="B513" i="5"/>
  <c r="B510" i="5"/>
  <c r="B505" i="5"/>
  <c r="B504" i="5"/>
  <c r="B503" i="5"/>
  <c r="B500" i="5"/>
  <c r="B499" i="5"/>
  <c r="B497" i="5"/>
  <c r="B387" i="5"/>
  <c r="C387" i="5"/>
  <c r="B389" i="5"/>
  <c r="C389" i="5"/>
  <c r="B391" i="5"/>
  <c r="C391" i="5"/>
  <c r="B393" i="5"/>
  <c r="C393" i="5"/>
  <c r="B395" i="5"/>
  <c r="C395" i="5"/>
  <c r="B397" i="5"/>
  <c r="C397" i="5"/>
  <c r="B399" i="5"/>
  <c r="C399" i="5"/>
  <c r="B401" i="5"/>
  <c r="C401" i="5"/>
  <c r="B403" i="5"/>
  <c r="C403" i="5"/>
  <c r="B405" i="5"/>
  <c r="C405" i="5"/>
  <c r="B407" i="5"/>
  <c r="C407" i="5"/>
  <c r="B385" i="5"/>
  <c r="B388" i="5"/>
  <c r="C388" i="5"/>
  <c r="B392" i="5"/>
  <c r="C392" i="5"/>
  <c r="B396" i="5"/>
  <c r="C396" i="5"/>
  <c r="B400" i="5"/>
  <c r="C400" i="5"/>
  <c r="B404" i="5"/>
  <c r="C404" i="5"/>
  <c r="B408" i="5"/>
  <c r="C408" i="5"/>
  <c r="B390" i="5"/>
  <c r="C390" i="5"/>
  <c r="B398" i="5"/>
  <c r="C398" i="5"/>
  <c r="B406" i="5"/>
  <c r="C406" i="5"/>
  <c r="B386" i="5"/>
  <c r="C386" i="5"/>
  <c r="B394" i="5"/>
  <c r="C394" i="5"/>
  <c r="B402" i="5"/>
  <c r="C402" i="5"/>
  <c r="B353" i="5"/>
  <c r="C353" i="5"/>
  <c r="B355" i="5"/>
  <c r="C355" i="5"/>
  <c r="B357" i="5"/>
  <c r="C357" i="5"/>
  <c r="B359" i="5"/>
  <c r="C359" i="5"/>
  <c r="B361" i="5"/>
  <c r="C361" i="5"/>
  <c r="B363" i="5"/>
  <c r="C363" i="5"/>
  <c r="B365" i="5"/>
  <c r="C365" i="5"/>
  <c r="B367" i="5"/>
  <c r="C367" i="5"/>
  <c r="B369" i="5"/>
  <c r="C369" i="5"/>
  <c r="B371" i="5"/>
  <c r="C371" i="5"/>
  <c r="B373" i="5"/>
  <c r="C373" i="5"/>
  <c r="B375" i="5"/>
  <c r="C375" i="5"/>
  <c r="B356" i="5"/>
  <c r="C356" i="5"/>
  <c r="B360" i="5"/>
  <c r="C360" i="5"/>
  <c r="B364" i="5"/>
  <c r="C364" i="5"/>
  <c r="B368" i="5"/>
  <c r="C368" i="5"/>
  <c r="B372" i="5"/>
  <c r="C372" i="5"/>
  <c r="B352" i="5"/>
  <c r="B354" i="5"/>
  <c r="C354" i="5"/>
  <c r="B358" i="5"/>
  <c r="C358" i="5"/>
  <c r="B362" i="5"/>
  <c r="C362" i="5"/>
  <c r="B366" i="5"/>
  <c r="C366" i="5"/>
  <c r="B370" i="5"/>
  <c r="C370" i="5"/>
  <c r="B374" i="5"/>
  <c r="C374" i="5"/>
  <c r="B420" i="5"/>
  <c r="C420" i="5"/>
  <c r="B422" i="5"/>
  <c r="C422" i="5"/>
  <c r="B424" i="5"/>
  <c r="C424" i="5"/>
  <c r="B426" i="5"/>
  <c r="C426" i="5"/>
  <c r="B428" i="5"/>
  <c r="C428" i="5"/>
  <c r="B430" i="5"/>
  <c r="C430" i="5"/>
  <c r="B432" i="5"/>
  <c r="C432" i="5"/>
  <c r="B434" i="5"/>
  <c r="C434" i="5"/>
  <c r="B436" i="5"/>
  <c r="C436" i="5"/>
  <c r="B438" i="5"/>
  <c r="C438" i="5"/>
  <c r="B440" i="5"/>
  <c r="C440" i="5"/>
  <c r="B418" i="5"/>
  <c r="B421" i="5"/>
  <c r="C421" i="5"/>
  <c r="B425" i="5"/>
  <c r="C425" i="5"/>
  <c r="B429" i="5"/>
  <c r="C429" i="5"/>
  <c r="B433" i="5"/>
  <c r="C433" i="5"/>
  <c r="B437" i="5"/>
  <c r="C437" i="5"/>
  <c r="B441" i="5"/>
  <c r="C441" i="5"/>
  <c r="B423" i="5"/>
  <c r="C423" i="5"/>
  <c r="B431" i="5"/>
  <c r="C431" i="5"/>
  <c r="B439" i="5"/>
  <c r="C439" i="5"/>
  <c r="B419" i="5"/>
  <c r="C419" i="5"/>
  <c r="B427" i="5"/>
  <c r="C427" i="5"/>
  <c r="B435" i="5"/>
  <c r="C435" i="5"/>
  <c r="I30" i="5"/>
  <c r="M30" i="5"/>
  <c r="K30" i="5"/>
  <c r="B215" i="5"/>
  <c r="C215" i="5"/>
  <c r="B217" i="5"/>
  <c r="C217" i="5"/>
  <c r="B219" i="5"/>
  <c r="C219" i="5"/>
  <c r="B221" i="5"/>
  <c r="C221" i="5"/>
  <c r="B223" i="5"/>
  <c r="C223" i="5"/>
  <c r="B225" i="5"/>
  <c r="C225" i="5"/>
  <c r="B227" i="5"/>
  <c r="C227" i="5"/>
  <c r="B229" i="5"/>
  <c r="C229" i="5"/>
  <c r="B231" i="5"/>
  <c r="C231" i="5"/>
  <c r="B233" i="5"/>
  <c r="C233" i="5"/>
  <c r="B235" i="5"/>
  <c r="C235" i="5"/>
  <c r="B213" i="5"/>
  <c r="B216" i="5"/>
  <c r="C216" i="5"/>
  <c r="B220" i="5"/>
  <c r="C220" i="5"/>
  <c r="B224" i="5"/>
  <c r="C224" i="5"/>
  <c r="B228" i="5"/>
  <c r="C228" i="5"/>
  <c r="B232" i="5"/>
  <c r="C232" i="5"/>
  <c r="B236" i="5"/>
  <c r="C236" i="5"/>
  <c r="B214" i="5"/>
  <c r="C214" i="5"/>
  <c r="B218" i="5"/>
  <c r="C218" i="5"/>
  <c r="B222" i="5"/>
  <c r="C222" i="5"/>
  <c r="B226" i="5"/>
  <c r="C226" i="5"/>
  <c r="B230" i="5"/>
  <c r="C230" i="5"/>
  <c r="B234" i="5"/>
  <c r="C234" i="5"/>
  <c r="F6" i="5"/>
  <c r="G30" i="5"/>
  <c r="B182" i="5"/>
  <c r="C182" i="5"/>
  <c r="B184" i="5"/>
  <c r="C184" i="5"/>
  <c r="B186" i="5"/>
  <c r="C186" i="5"/>
  <c r="B188" i="5"/>
  <c r="C188" i="5"/>
  <c r="B190" i="5"/>
  <c r="C190" i="5"/>
  <c r="B192" i="5"/>
  <c r="C192" i="5"/>
  <c r="B194" i="5"/>
  <c r="C194" i="5"/>
  <c r="B196" i="5"/>
  <c r="C196" i="5"/>
  <c r="B198" i="5"/>
  <c r="C198" i="5"/>
  <c r="B200" i="5"/>
  <c r="C200" i="5"/>
  <c r="B202" i="5"/>
  <c r="C202" i="5"/>
  <c r="B180" i="5"/>
  <c r="B181" i="5"/>
  <c r="C181" i="5"/>
  <c r="B185" i="5"/>
  <c r="C185" i="5"/>
  <c r="B189" i="5"/>
  <c r="C189" i="5"/>
  <c r="B193" i="5"/>
  <c r="C193" i="5"/>
  <c r="B197" i="5"/>
  <c r="C197" i="5"/>
  <c r="B201" i="5"/>
  <c r="C201" i="5"/>
  <c r="B183" i="5"/>
  <c r="C183" i="5"/>
  <c r="B187" i="5"/>
  <c r="C187" i="5"/>
  <c r="B191" i="5"/>
  <c r="C191" i="5"/>
  <c r="B195" i="5"/>
  <c r="C195" i="5"/>
  <c r="B199" i="5"/>
  <c r="C199" i="5"/>
  <c r="B203" i="5"/>
  <c r="C203" i="5"/>
  <c r="B148" i="5"/>
  <c r="C148" i="5"/>
  <c r="B150" i="5"/>
  <c r="C150" i="5"/>
  <c r="B152" i="5"/>
  <c r="C152" i="5"/>
  <c r="B154" i="5"/>
  <c r="C154" i="5"/>
  <c r="B156" i="5"/>
  <c r="C156" i="5"/>
  <c r="B158" i="5"/>
  <c r="C158" i="5"/>
  <c r="B160" i="5"/>
  <c r="C160" i="5"/>
  <c r="B162" i="5"/>
  <c r="C162" i="5"/>
  <c r="B164" i="5"/>
  <c r="C164" i="5"/>
  <c r="B166" i="5"/>
  <c r="C166" i="5"/>
  <c r="B168" i="5"/>
  <c r="C168" i="5"/>
  <c r="B170" i="5"/>
  <c r="C170" i="5"/>
  <c r="B149" i="5"/>
  <c r="C149" i="5"/>
  <c r="B153" i="5"/>
  <c r="C153" i="5"/>
  <c r="B157" i="5"/>
  <c r="C157" i="5"/>
  <c r="B161" i="5"/>
  <c r="C161" i="5"/>
  <c r="B165" i="5"/>
  <c r="C165" i="5"/>
  <c r="B169" i="5"/>
  <c r="C169" i="5"/>
  <c r="B151" i="5"/>
  <c r="C151" i="5"/>
  <c r="B155" i="5"/>
  <c r="C155" i="5"/>
  <c r="B159" i="5"/>
  <c r="C159" i="5"/>
  <c r="B163" i="5"/>
  <c r="C163" i="5"/>
  <c r="B167" i="5"/>
  <c r="C167" i="5"/>
  <c r="B147" i="5"/>
  <c r="F28" i="5"/>
  <c r="F26" i="5"/>
  <c r="F24" i="5"/>
  <c r="F22" i="5"/>
  <c r="F20" i="5"/>
  <c r="F18" i="5"/>
  <c r="F16" i="5"/>
  <c r="F14" i="5"/>
  <c r="F12" i="5"/>
  <c r="F10" i="5"/>
  <c r="F8" i="5"/>
  <c r="J28" i="5"/>
  <c r="H28" i="5"/>
  <c r="L28" i="5"/>
  <c r="A686" i="5"/>
  <c r="A685" i="5"/>
  <c r="A620" i="5"/>
  <c r="A619" i="5"/>
  <c r="A653" i="5"/>
  <c r="A652" i="5"/>
  <c r="A587" i="5"/>
  <c r="A586" i="5"/>
  <c r="A520" i="5"/>
  <c r="A521" i="5"/>
  <c r="A442" i="5"/>
  <c r="C418" i="5"/>
  <c r="A443" i="5"/>
  <c r="A376" i="5"/>
  <c r="C352" i="5"/>
  <c r="A377" i="5"/>
  <c r="A409" i="5"/>
  <c r="A410" i="5"/>
  <c r="C385" i="5"/>
  <c r="A237" i="5"/>
  <c r="C213" i="5"/>
  <c r="A238" i="5"/>
  <c r="A205" i="5"/>
  <c r="A204" i="5"/>
  <c r="C180" i="5"/>
  <c r="A172" i="5"/>
  <c r="A171" i="5"/>
  <c r="C147" i="5"/>
  <c r="C29" i="1"/>
  <c r="C30" i="1"/>
  <c r="C31" i="1"/>
  <c r="B29" i="1"/>
  <c r="B30" i="1"/>
  <c r="B31" i="1"/>
  <c r="A29" i="1"/>
  <c r="A30" i="1"/>
  <c r="A31" i="1"/>
  <c r="G4" i="1"/>
  <c r="G5" i="1"/>
  <c r="G6" i="1"/>
  <c r="G7" i="1"/>
  <c r="G8" i="1"/>
  <c r="E6" i="1"/>
  <c r="E7" i="1"/>
  <c r="E8" i="1"/>
  <c r="E9" i="7"/>
  <c r="E4" i="1"/>
  <c r="E5" i="1"/>
  <c r="B2" i="5"/>
  <c r="B457" i="5"/>
  <c r="E3" i="5"/>
  <c r="E458" i="5"/>
  <c r="C692" i="5"/>
  <c r="B530" i="5"/>
  <c r="B532" i="5"/>
  <c r="B534" i="5"/>
  <c r="B536" i="5"/>
  <c r="B538" i="5"/>
  <c r="B540" i="5"/>
  <c r="B542" i="5"/>
  <c r="B544" i="5"/>
  <c r="B546" i="5"/>
  <c r="B548" i="5"/>
  <c r="B550" i="5"/>
  <c r="B552" i="5"/>
  <c r="B533" i="5"/>
  <c r="B537" i="5"/>
  <c r="B541" i="5"/>
  <c r="B545" i="5"/>
  <c r="B549" i="5"/>
  <c r="B529" i="5"/>
  <c r="B531" i="5"/>
  <c r="B535" i="5"/>
  <c r="B539" i="5"/>
  <c r="B543" i="5"/>
  <c r="B547" i="5"/>
  <c r="B551" i="5"/>
  <c r="A554" i="5"/>
  <c r="A553" i="5"/>
  <c r="A320" i="5"/>
  <c r="B320" i="5"/>
  <c r="A321" i="5"/>
  <c r="B321" i="5"/>
  <c r="A322" i="5"/>
  <c r="B322" i="5"/>
  <c r="A323" i="5"/>
  <c r="B323" i="5"/>
  <c r="A324" i="5"/>
  <c r="B324" i="5"/>
  <c r="A325" i="5"/>
  <c r="B325" i="5"/>
  <c r="A326" i="5"/>
  <c r="B326" i="5"/>
  <c r="A327" i="5"/>
  <c r="B327" i="5"/>
  <c r="A328" i="5"/>
  <c r="B328" i="5"/>
  <c r="A329" i="5"/>
  <c r="B329" i="5"/>
  <c r="A330" i="5"/>
  <c r="B330" i="5"/>
  <c r="A331" i="5"/>
  <c r="B331" i="5"/>
  <c r="C331" i="5"/>
  <c r="A332" i="5"/>
  <c r="B332" i="5"/>
  <c r="C332" i="5"/>
  <c r="A333" i="5"/>
  <c r="B333" i="5"/>
  <c r="C333" i="5"/>
  <c r="A334" i="5"/>
  <c r="B334" i="5"/>
  <c r="C334" i="5"/>
  <c r="A335" i="5"/>
  <c r="B335" i="5"/>
  <c r="C335" i="5"/>
  <c r="A336" i="5"/>
  <c r="B336" i="5"/>
  <c r="C336" i="5"/>
  <c r="A337" i="5"/>
  <c r="B337" i="5"/>
  <c r="C337" i="5"/>
  <c r="A338" i="5"/>
  <c r="B338" i="5"/>
  <c r="C338" i="5"/>
  <c r="A339" i="5"/>
  <c r="B339" i="5"/>
  <c r="C339" i="5"/>
  <c r="A340" i="5"/>
  <c r="B340" i="5"/>
  <c r="C340" i="5"/>
  <c r="A341" i="5"/>
  <c r="B341" i="5"/>
  <c r="C341" i="5"/>
  <c r="A342" i="5"/>
  <c r="B342" i="5"/>
  <c r="C342" i="5"/>
  <c r="B319" i="5"/>
  <c r="A343" i="5"/>
  <c r="A319" i="5"/>
  <c r="A287" i="5"/>
  <c r="B287" i="5"/>
  <c r="C287" i="5"/>
  <c r="A288" i="5"/>
  <c r="B288" i="5"/>
  <c r="C288" i="5"/>
  <c r="A289" i="5"/>
  <c r="B289" i="5"/>
  <c r="C289" i="5"/>
  <c r="A290" i="5"/>
  <c r="B290" i="5"/>
  <c r="C290" i="5"/>
  <c r="A291" i="5"/>
  <c r="B291" i="5"/>
  <c r="C291" i="5"/>
  <c r="A292" i="5"/>
  <c r="B292" i="5"/>
  <c r="C292" i="5"/>
  <c r="A293" i="5"/>
  <c r="B293" i="5"/>
  <c r="C293" i="5"/>
  <c r="A294" i="5"/>
  <c r="B294" i="5"/>
  <c r="C294" i="5"/>
  <c r="A295" i="5"/>
  <c r="B295" i="5"/>
  <c r="C295" i="5"/>
  <c r="A296" i="5"/>
  <c r="B296" i="5"/>
  <c r="C296" i="5"/>
  <c r="A297" i="5"/>
  <c r="B297" i="5"/>
  <c r="C297" i="5"/>
  <c r="A298" i="5"/>
  <c r="B298" i="5"/>
  <c r="C298" i="5"/>
  <c r="A299" i="5"/>
  <c r="B299" i="5"/>
  <c r="C299" i="5"/>
  <c r="A300" i="5"/>
  <c r="B300" i="5"/>
  <c r="C300" i="5"/>
  <c r="A301" i="5"/>
  <c r="B301" i="5"/>
  <c r="C301" i="5"/>
  <c r="A302" i="5"/>
  <c r="B302" i="5"/>
  <c r="C302" i="5"/>
  <c r="A303" i="5"/>
  <c r="B303" i="5"/>
  <c r="C303" i="5"/>
  <c r="A304" i="5"/>
  <c r="B304" i="5"/>
  <c r="C304" i="5"/>
  <c r="A305" i="5"/>
  <c r="B305" i="5"/>
  <c r="C305" i="5"/>
  <c r="A306" i="5"/>
  <c r="B306" i="5"/>
  <c r="C306" i="5"/>
  <c r="A307" i="5"/>
  <c r="B307" i="5"/>
  <c r="C307" i="5"/>
  <c r="A308" i="5"/>
  <c r="B308" i="5"/>
  <c r="C308" i="5"/>
  <c r="A309" i="5"/>
  <c r="B309" i="5"/>
  <c r="C309" i="5"/>
  <c r="B286" i="5"/>
  <c r="A286" i="5"/>
  <c r="A254" i="5"/>
  <c r="A255" i="5"/>
  <c r="A256" i="5"/>
  <c r="A257" i="5"/>
  <c r="A258" i="5"/>
  <c r="A259" i="5"/>
  <c r="A260" i="5"/>
  <c r="A261" i="5"/>
  <c r="A262" i="5"/>
  <c r="A263" i="5"/>
  <c r="A264" i="5"/>
  <c r="A265" i="5"/>
  <c r="A266" i="5"/>
  <c r="A267" i="5"/>
  <c r="A268" i="5"/>
  <c r="A269" i="5"/>
  <c r="A270" i="5"/>
  <c r="A271" i="5"/>
  <c r="A272" i="5"/>
  <c r="A273" i="5"/>
  <c r="A274" i="5"/>
  <c r="A275" i="5"/>
  <c r="A276" i="5"/>
  <c r="A253" i="5"/>
  <c r="C5" i="7"/>
  <c r="B5" i="7"/>
  <c r="A5" i="7"/>
  <c r="C4" i="7"/>
  <c r="B4" i="7"/>
  <c r="A4" i="7"/>
  <c r="B3" i="7"/>
  <c r="A3" i="7"/>
  <c r="C330" i="5"/>
  <c r="C329" i="5"/>
  <c r="C328" i="5"/>
  <c r="C327" i="5"/>
  <c r="C326" i="5"/>
  <c r="C325" i="5"/>
  <c r="C324" i="5"/>
  <c r="C323" i="5"/>
  <c r="C322" i="5"/>
  <c r="C321" i="5"/>
  <c r="C320" i="5"/>
  <c r="C286" i="5"/>
  <c r="A311" i="5"/>
  <c r="A310" i="5"/>
  <c r="C319" i="5"/>
  <c r="A344" i="5"/>
  <c r="B115" i="5"/>
  <c r="B116" i="5"/>
  <c r="B117" i="5"/>
  <c r="B118" i="5"/>
  <c r="B119" i="5"/>
  <c r="B120" i="5"/>
  <c r="B121" i="5"/>
  <c r="B122" i="5"/>
  <c r="B123" i="5"/>
  <c r="B124" i="5"/>
  <c r="B125" i="5"/>
  <c r="B126" i="5"/>
  <c r="B127" i="5"/>
  <c r="B128" i="5"/>
  <c r="B129" i="5"/>
  <c r="B130" i="5"/>
  <c r="B131" i="5"/>
  <c r="B132" i="5"/>
  <c r="B133" i="5"/>
  <c r="B134" i="5"/>
  <c r="B135" i="5"/>
  <c r="B136" i="5"/>
  <c r="B137" i="5"/>
  <c r="B114" i="5"/>
  <c r="A138" i="5"/>
  <c r="A115" i="5"/>
  <c r="A116" i="5"/>
  <c r="A117" i="5"/>
  <c r="A118" i="5"/>
  <c r="A119" i="5"/>
  <c r="A120" i="5"/>
  <c r="A121" i="5"/>
  <c r="A122" i="5"/>
  <c r="A123" i="5"/>
  <c r="A124" i="5"/>
  <c r="A125" i="5"/>
  <c r="A126" i="5"/>
  <c r="A127" i="5"/>
  <c r="A128" i="5"/>
  <c r="A129" i="5"/>
  <c r="A130" i="5"/>
  <c r="A131" i="5"/>
  <c r="A132" i="5"/>
  <c r="A133" i="5"/>
  <c r="A134" i="5"/>
  <c r="A135" i="5"/>
  <c r="A136" i="5"/>
  <c r="A137" i="5"/>
  <c r="A114" i="5"/>
  <c r="B82" i="5"/>
  <c r="B83" i="5"/>
  <c r="B84" i="5"/>
  <c r="B85" i="5"/>
  <c r="B86" i="5"/>
  <c r="B87" i="5"/>
  <c r="B88" i="5"/>
  <c r="B89" i="5"/>
  <c r="B90" i="5"/>
  <c r="B91" i="5"/>
  <c r="B92" i="5"/>
  <c r="B93" i="5"/>
  <c r="B94" i="5"/>
  <c r="B95" i="5"/>
  <c r="B96" i="5"/>
  <c r="B97" i="5"/>
  <c r="B98" i="5"/>
  <c r="B99" i="5"/>
  <c r="B100" i="5"/>
  <c r="B101" i="5"/>
  <c r="B102" i="5"/>
  <c r="B103" i="5"/>
  <c r="B104" i="5"/>
  <c r="B81" i="5"/>
  <c r="A82" i="5"/>
  <c r="A83" i="5"/>
  <c r="A84" i="5"/>
  <c r="A85" i="5"/>
  <c r="A86" i="5"/>
  <c r="A87" i="5"/>
  <c r="A88" i="5"/>
  <c r="A89" i="5"/>
  <c r="A90" i="5"/>
  <c r="A91" i="5"/>
  <c r="A92" i="5"/>
  <c r="A93" i="5"/>
  <c r="A94" i="5"/>
  <c r="A95" i="5"/>
  <c r="A96" i="5"/>
  <c r="A97" i="5"/>
  <c r="A98" i="5"/>
  <c r="A99" i="5"/>
  <c r="A100" i="5"/>
  <c r="A101" i="5"/>
  <c r="A102" i="5"/>
  <c r="A103" i="5"/>
  <c r="A104" i="5"/>
  <c r="A81" i="5"/>
  <c r="A139" i="5"/>
  <c r="C114" i="5"/>
  <c r="C116" i="5"/>
  <c r="C118" i="5"/>
  <c r="C120" i="5"/>
  <c r="C122" i="5"/>
  <c r="C124" i="5"/>
  <c r="C126" i="5"/>
  <c r="C130" i="5"/>
  <c r="C135" i="5"/>
  <c r="C115" i="5"/>
  <c r="C117" i="5"/>
  <c r="C119" i="5"/>
  <c r="C121" i="5"/>
  <c r="C123" i="5"/>
  <c r="C128" i="5"/>
  <c r="C132" i="5"/>
  <c r="C125" i="5"/>
  <c r="C127" i="5"/>
  <c r="C129" i="5"/>
  <c r="C131" i="5"/>
  <c r="C133" i="5"/>
  <c r="C137" i="5"/>
  <c r="C134" i="5"/>
  <c r="C136" i="5"/>
  <c r="C81" i="5"/>
  <c r="C83" i="5"/>
  <c r="C89" i="5"/>
  <c r="C93" i="5"/>
  <c r="C97" i="5"/>
  <c r="C85" i="5"/>
  <c r="C87" i="5"/>
  <c r="A105" i="5"/>
  <c r="A106" i="5"/>
  <c r="C82" i="5"/>
  <c r="C84" i="5"/>
  <c r="C86" i="5"/>
  <c r="C88" i="5"/>
  <c r="C91" i="5"/>
  <c r="C95" i="5"/>
  <c r="C99" i="5"/>
  <c r="C90" i="5"/>
  <c r="C92" i="5"/>
  <c r="C94" i="5"/>
  <c r="C96" i="5"/>
  <c r="C98" i="5"/>
  <c r="C100" i="5"/>
  <c r="C102" i="5"/>
  <c r="C104" i="5"/>
  <c r="C101" i="5"/>
  <c r="C103" i="5"/>
  <c r="A49" i="5"/>
  <c r="A50" i="5"/>
  <c r="A51" i="5"/>
  <c r="A52" i="5"/>
  <c r="A53" i="5"/>
  <c r="A54" i="5"/>
  <c r="A55" i="5"/>
  <c r="A56" i="5"/>
  <c r="A57" i="5"/>
  <c r="A58" i="5"/>
  <c r="A59" i="5"/>
  <c r="A60" i="5"/>
  <c r="A61" i="5"/>
  <c r="A62" i="5"/>
  <c r="A63" i="5"/>
  <c r="A64" i="5"/>
  <c r="A65" i="5"/>
  <c r="A66" i="5"/>
  <c r="A67" i="5"/>
  <c r="A68" i="5"/>
  <c r="A69" i="5"/>
  <c r="A70" i="5"/>
  <c r="A71" i="5"/>
  <c r="A48" i="5"/>
  <c r="A661" i="5"/>
  <c r="A628" i="5"/>
  <c r="A595" i="5"/>
  <c r="A562" i="5"/>
  <c r="A529" i="5"/>
  <c r="A496" i="5"/>
  <c r="A683" i="5"/>
  <c r="A617" i="5"/>
  <c r="A650" i="5"/>
  <c r="A584" i="5"/>
  <c r="A551" i="5"/>
  <c r="A518" i="5"/>
  <c r="A681" i="5"/>
  <c r="A648" i="5"/>
  <c r="A615" i="5"/>
  <c r="A582" i="5"/>
  <c r="A549" i="5"/>
  <c r="A516" i="5"/>
  <c r="A679" i="5"/>
  <c r="A613" i="5"/>
  <c r="A646" i="5"/>
  <c r="A580" i="5"/>
  <c r="A547" i="5"/>
  <c r="A514" i="5"/>
  <c r="A677" i="5"/>
  <c r="A644" i="5"/>
  <c r="A611" i="5"/>
  <c r="A578" i="5"/>
  <c r="A545" i="5"/>
  <c r="A512" i="5"/>
  <c r="A675" i="5"/>
  <c r="A609" i="5"/>
  <c r="A642" i="5"/>
  <c r="A576" i="5"/>
  <c r="A543" i="5"/>
  <c r="A510" i="5"/>
  <c r="A673" i="5"/>
  <c r="A640" i="5"/>
  <c r="A607" i="5"/>
  <c r="A574" i="5"/>
  <c r="A541" i="5"/>
  <c r="A508" i="5"/>
  <c r="A671" i="5"/>
  <c r="A605" i="5"/>
  <c r="A638" i="5"/>
  <c r="A572" i="5"/>
  <c r="A539" i="5"/>
  <c r="A506" i="5"/>
  <c r="A669" i="5"/>
  <c r="A636" i="5"/>
  <c r="A603" i="5"/>
  <c r="A570" i="5"/>
  <c r="A537" i="5"/>
  <c r="A504" i="5"/>
  <c r="A667" i="5"/>
  <c r="A601" i="5"/>
  <c r="A634" i="5"/>
  <c r="A568" i="5"/>
  <c r="A535" i="5"/>
  <c r="A502" i="5"/>
  <c r="A665" i="5"/>
  <c r="A632" i="5"/>
  <c r="A599" i="5"/>
  <c r="A566" i="5"/>
  <c r="A533" i="5"/>
  <c r="A500" i="5"/>
  <c r="A663" i="5"/>
  <c r="A597" i="5"/>
  <c r="A630" i="5"/>
  <c r="A564" i="5"/>
  <c r="A531" i="5"/>
  <c r="A498" i="5"/>
  <c r="A651" i="5"/>
  <c r="A684" i="5"/>
  <c r="A585" i="5"/>
  <c r="A552" i="5"/>
  <c r="A519" i="5"/>
  <c r="A618" i="5"/>
  <c r="A682" i="5"/>
  <c r="A649" i="5"/>
  <c r="A616" i="5"/>
  <c r="A583" i="5"/>
  <c r="A550" i="5"/>
  <c r="A517" i="5"/>
  <c r="A647" i="5"/>
  <c r="A680" i="5"/>
  <c r="A614" i="5"/>
  <c r="A581" i="5"/>
  <c r="A548" i="5"/>
  <c r="A515" i="5"/>
  <c r="A678" i="5"/>
  <c r="A645" i="5"/>
  <c r="A612" i="5"/>
  <c r="A579" i="5"/>
  <c r="A546" i="5"/>
  <c r="A513" i="5"/>
  <c r="A643" i="5"/>
  <c r="A676" i="5"/>
  <c r="A577" i="5"/>
  <c r="A544" i="5"/>
  <c r="A511" i="5"/>
  <c r="A610" i="5"/>
  <c r="A674" i="5"/>
  <c r="A641" i="5"/>
  <c r="A608" i="5"/>
  <c r="A575" i="5"/>
  <c r="A542" i="5"/>
  <c r="A509" i="5"/>
  <c r="A639" i="5"/>
  <c r="A672" i="5"/>
  <c r="A606" i="5"/>
  <c r="A573" i="5"/>
  <c r="A540" i="5"/>
  <c r="A507" i="5"/>
  <c r="A670" i="5"/>
  <c r="A637" i="5"/>
  <c r="A604" i="5"/>
  <c r="A571" i="5"/>
  <c r="A538" i="5"/>
  <c r="A505" i="5"/>
  <c r="A635" i="5"/>
  <c r="A668" i="5"/>
  <c r="A569" i="5"/>
  <c r="A536" i="5"/>
  <c r="A503" i="5"/>
  <c r="A602" i="5"/>
  <c r="A666" i="5"/>
  <c r="A633" i="5"/>
  <c r="A600" i="5"/>
  <c r="A567" i="5"/>
  <c r="A534" i="5"/>
  <c r="A501" i="5"/>
  <c r="A664" i="5"/>
  <c r="A631" i="5"/>
  <c r="A598" i="5"/>
  <c r="A565" i="5"/>
  <c r="A532" i="5"/>
  <c r="A499" i="5"/>
  <c r="A662" i="5"/>
  <c r="A629" i="5"/>
  <c r="A596" i="5"/>
  <c r="A563" i="5"/>
  <c r="A530" i="5"/>
  <c r="A497" i="5"/>
  <c r="A77" i="1"/>
  <c r="B77" i="1"/>
  <c r="C77" i="1"/>
  <c r="A78" i="1"/>
  <c r="B78" i="1"/>
  <c r="C78" i="1"/>
  <c r="B76" i="1"/>
  <c r="C76" i="1"/>
  <c r="A76" i="1"/>
  <c r="R38" i="1"/>
  <c r="S38" i="1"/>
  <c r="T38" i="1"/>
  <c r="U38" i="1"/>
  <c r="V38" i="1"/>
  <c r="W38" i="1"/>
  <c r="X38" i="1"/>
  <c r="Y38" i="1"/>
  <c r="Z38" i="1"/>
  <c r="AA38" i="1"/>
  <c r="AB38" i="1"/>
  <c r="AC38" i="1"/>
  <c r="AD38" i="1"/>
  <c r="AE38" i="1"/>
  <c r="AF38" i="1"/>
  <c r="AG38" i="1"/>
  <c r="AH38" i="1"/>
  <c r="AI38" i="1"/>
  <c r="AJ38" i="1"/>
  <c r="AK38" i="1"/>
  <c r="R39" i="1"/>
  <c r="S39" i="1"/>
  <c r="T39" i="1"/>
  <c r="U39" i="1"/>
  <c r="V39" i="1"/>
  <c r="W39" i="1"/>
  <c r="X39" i="1"/>
  <c r="Y39" i="1"/>
  <c r="Z39" i="1"/>
  <c r="AA39" i="1"/>
  <c r="AB39" i="1"/>
  <c r="AC39" i="1"/>
  <c r="AD39" i="1"/>
  <c r="AE39" i="1"/>
  <c r="AF39" i="1"/>
  <c r="AG39" i="1"/>
  <c r="AH39" i="1"/>
  <c r="AI39" i="1"/>
  <c r="AJ39" i="1"/>
  <c r="AK39" i="1"/>
  <c r="R40" i="1"/>
  <c r="S40" i="1"/>
  <c r="T40" i="1"/>
  <c r="U40" i="1"/>
  <c r="V40" i="1"/>
  <c r="W40" i="1"/>
  <c r="X40" i="1"/>
  <c r="Y40" i="1"/>
  <c r="Z40" i="1"/>
  <c r="AA40" i="1"/>
  <c r="AB40" i="1"/>
  <c r="AC40" i="1"/>
  <c r="AD40" i="1"/>
  <c r="AE40" i="1"/>
  <c r="AF40" i="1"/>
  <c r="AG40" i="1"/>
  <c r="AH40" i="1"/>
  <c r="AI40" i="1"/>
  <c r="AJ40" i="1"/>
  <c r="AK40" i="1"/>
  <c r="A66" i="1"/>
  <c r="B66" i="1"/>
  <c r="C66" i="1"/>
  <c r="A67" i="1"/>
  <c r="B67" i="1"/>
  <c r="C67" i="1"/>
  <c r="B65" i="1"/>
  <c r="C65" i="1"/>
  <c r="A65" i="1"/>
  <c r="A26" i="1"/>
  <c r="A54" i="1"/>
  <c r="B26" i="1"/>
  <c r="B54" i="1"/>
  <c r="A27" i="1"/>
  <c r="A55" i="1"/>
  <c r="B27" i="1"/>
  <c r="B55" i="1"/>
  <c r="A28" i="1"/>
  <c r="A56" i="1"/>
  <c r="B28" i="1"/>
  <c r="B56" i="1"/>
  <c r="C27" i="1"/>
  <c r="C55" i="1"/>
  <c r="C28" i="1"/>
  <c r="C56" i="1"/>
  <c r="C26" i="1"/>
  <c r="C54" i="1"/>
  <c r="J22" i="1"/>
  <c r="K22" i="1"/>
  <c r="L22" i="1"/>
  <c r="M22" i="1"/>
  <c r="N22" i="1"/>
  <c r="O22" i="1"/>
  <c r="P22" i="1"/>
  <c r="Q22" i="1"/>
  <c r="R22" i="1"/>
  <c r="S22" i="1"/>
  <c r="T22" i="1"/>
  <c r="U22" i="1"/>
  <c r="V22" i="1"/>
  <c r="W22" i="1"/>
  <c r="X22" i="1"/>
  <c r="F3" i="1"/>
  <c r="D3" i="1"/>
  <c r="D9" i="1"/>
  <c r="G3" i="1"/>
  <c r="H54" i="1"/>
  <c r="D88" i="1"/>
  <c r="F88" i="1"/>
  <c r="P93" i="1"/>
  <c r="N93" i="1"/>
  <c r="L93" i="1"/>
  <c r="J93" i="1"/>
  <c r="D89" i="1"/>
  <c r="D24" i="7"/>
  <c r="F89" i="1"/>
  <c r="Q93" i="1"/>
  <c r="O93" i="1"/>
  <c r="M93" i="1"/>
  <c r="K93" i="1"/>
  <c r="I93" i="1"/>
  <c r="C497" i="5"/>
  <c r="C563" i="5"/>
  <c r="C629" i="5"/>
  <c r="C499" i="5"/>
  <c r="C565" i="5"/>
  <c r="C631" i="5"/>
  <c r="C501" i="5"/>
  <c r="C567" i="5"/>
  <c r="C633" i="5"/>
  <c r="C602" i="5"/>
  <c r="C536" i="5"/>
  <c r="C668" i="5"/>
  <c r="C505" i="5"/>
  <c r="C571" i="5"/>
  <c r="C637" i="5"/>
  <c r="C507" i="5"/>
  <c r="C573" i="5"/>
  <c r="C672" i="5"/>
  <c r="C509" i="5"/>
  <c r="C575" i="5"/>
  <c r="C641" i="5"/>
  <c r="C610" i="5"/>
  <c r="C544" i="5"/>
  <c r="C676" i="5"/>
  <c r="C513" i="5"/>
  <c r="C579" i="5"/>
  <c r="C645" i="5"/>
  <c r="C515" i="5"/>
  <c r="C581" i="5"/>
  <c r="C680" i="5"/>
  <c r="C517" i="5"/>
  <c r="C583" i="5"/>
  <c r="C649" i="5"/>
  <c r="C618" i="5"/>
  <c r="C552" i="5"/>
  <c r="C684" i="5"/>
  <c r="C498" i="5"/>
  <c r="C564" i="5"/>
  <c r="C597" i="5"/>
  <c r="C500" i="5"/>
  <c r="C566" i="5"/>
  <c r="C632" i="5"/>
  <c r="C502" i="5"/>
  <c r="C568" i="5"/>
  <c r="C601" i="5"/>
  <c r="C504" i="5"/>
  <c r="C570" i="5"/>
  <c r="C636" i="5"/>
  <c r="C506" i="5"/>
  <c r="C572" i="5"/>
  <c r="C605" i="5"/>
  <c r="C508" i="5"/>
  <c r="C574" i="5"/>
  <c r="C640" i="5"/>
  <c r="C510" i="5"/>
  <c r="C576" i="5"/>
  <c r="C609" i="5"/>
  <c r="C512" i="5"/>
  <c r="C578" i="5"/>
  <c r="C644" i="5"/>
  <c r="C514" i="5"/>
  <c r="C580" i="5"/>
  <c r="C613" i="5"/>
  <c r="C516" i="5"/>
  <c r="C582" i="5"/>
  <c r="C648" i="5"/>
  <c r="C518" i="5"/>
  <c r="C584" i="5"/>
  <c r="C617" i="5"/>
  <c r="C496" i="5"/>
  <c r="C562" i="5"/>
  <c r="C628" i="5"/>
  <c r="C530" i="5"/>
  <c r="C596" i="5"/>
  <c r="C662" i="5"/>
  <c r="C532" i="5"/>
  <c r="C598" i="5"/>
  <c r="C664" i="5"/>
  <c r="C534" i="5"/>
  <c r="C600" i="5"/>
  <c r="C666" i="5"/>
  <c r="C503" i="5"/>
  <c r="C569" i="5"/>
  <c r="C635" i="5"/>
  <c r="C538" i="5"/>
  <c r="C604" i="5"/>
  <c r="C670" i="5"/>
  <c r="C540" i="5"/>
  <c r="C606" i="5"/>
  <c r="C639" i="5"/>
  <c r="C542" i="5"/>
  <c r="C608" i="5"/>
  <c r="C674" i="5"/>
  <c r="C511" i="5"/>
  <c r="C577" i="5"/>
  <c r="C643" i="5"/>
  <c r="C546" i="5"/>
  <c r="C612" i="5"/>
  <c r="C678" i="5"/>
  <c r="C548" i="5"/>
  <c r="C614" i="5"/>
  <c r="C647" i="5"/>
  <c r="C550" i="5"/>
  <c r="C616" i="5"/>
  <c r="C682" i="5"/>
  <c r="C519" i="5"/>
  <c r="C585" i="5"/>
  <c r="C651" i="5"/>
  <c r="C531" i="5"/>
  <c r="C630" i="5"/>
  <c r="C663" i="5"/>
  <c r="C533" i="5"/>
  <c r="C599" i="5"/>
  <c r="C665" i="5"/>
  <c r="C535" i="5"/>
  <c r="C634" i="5"/>
  <c r="C667" i="5"/>
  <c r="C537" i="5"/>
  <c r="C603" i="5"/>
  <c r="C669" i="5"/>
  <c r="C539" i="5"/>
  <c r="C638" i="5"/>
  <c r="C671" i="5"/>
  <c r="C541" i="5"/>
  <c r="C607" i="5"/>
  <c r="C673" i="5"/>
  <c r="C543" i="5"/>
  <c r="C642" i="5"/>
  <c r="C675" i="5"/>
  <c r="C545" i="5"/>
  <c r="C611" i="5"/>
  <c r="C677" i="5"/>
  <c r="C547" i="5"/>
  <c r="C646" i="5"/>
  <c r="C679" i="5"/>
  <c r="C549" i="5"/>
  <c r="C615" i="5"/>
  <c r="C681" i="5"/>
  <c r="C551" i="5"/>
  <c r="C650" i="5"/>
  <c r="C683" i="5"/>
  <c r="C529" i="5"/>
  <c r="C595" i="5"/>
  <c r="C661" i="5"/>
  <c r="W59" i="1"/>
  <c r="W57" i="1"/>
  <c r="W58" i="1"/>
  <c r="W30" i="1"/>
  <c r="W29" i="1"/>
  <c r="W31" i="1"/>
  <c r="H59" i="1"/>
  <c r="H58" i="1"/>
  <c r="H57" i="1"/>
  <c r="H29" i="1"/>
  <c r="H31" i="1"/>
  <c r="H30" i="1"/>
  <c r="H26" i="1"/>
  <c r="U58" i="1"/>
  <c r="U59" i="1"/>
  <c r="U57" i="1"/>
  <c r="U30" i="1"/>
  <c r="U29" i="1"/>
  <c r="U31" i="1"/>
  <c r="S59" i="1"/>
  <c r="S57" i="1"/>
  <c r="S58" i="1"/>
  <c r="S30" i="1"/>
  <c r="S29" i="1"/>
  <c r="S31" i="1"/>
  <c r="Q58" i="1"/>
  <c r="Q59" i="1"/>
  <c r="Q57" i="1"/>
  <c r="Q30" i="1"/>
  <c r="Q29" i="1"/>
  <c r="Q31" i="1"/>
  <c r="O59" i="1"/>
  <c r="O57" i="1"/>
  <c r="O58" i="1"/>
  <c r="O30" i="1"/>
  <c r="O29" i="1"/>
  <c r="O31" i="1"/>
  <c r="M58" i="1"/>
  <c r="M59" i="1"/>
  <c r="M57" i="1"/>
  <c r="M30" i="1"/>
  <c r="M29" i="1"/>
  <c r="M31" i="1"/>
  <c r="K59" i="1"/>
  <c r="K57" i="1"/>
  <c r="K58" i="1"/>
  <c r="K30" i="1"/>
  <c r="K29" i="1"/>
  <c r="K31" i="1"/>
  <c r="I58" i="1"/>
  <c r="I59" i="1"/>
  <c r="I57" i="1"/>
  <c r="I30" i="1"/>
  <c r="I29" i="1"/>
  <c r="I31" i="1"/>
  <c r="F9" i="1"/>
  <c r="X26" i="1"/>
  <c r="X59" i="1"/>
  <c r="X58" i="1"/>
  <c r="X57" i="1"/>
  <c r="X29" i="1"/>
  <c r="X31" i="1"/>
  <c r="X30" i="1"/>
  <c r="V26" i="1"/>
  <c r="V58" i="1"/>
  <c r="V57" i="1"/>
  <c r="V59" i="1"/>
  <c r="V29" i="1"/>
  <c r="V31" i="1"/>
  <c r="V30" i="1"/>
  <c r="T26" i="1"/>
  <c r="T59" i="1"/>
  <c r="T58" i="1"/>
  <c r="T57" i="1"/>
  <c r="T29" i="1"/>
  <c r="T31" i="1"/>
  <c r="T30" i="1"/>
  <c r="R26" i="1"/>
  <c r="R58" i="1"/>
  <c r="R57" i="1"/>
  <c r="R59" i="1"/>
  <c r="R29" i="1"/>
  <c r="R31" i="1"/>
  <c r="R30" i="1"/>
  <c r="P26" i="1"/>
  <c r="P59" i="1"/>
  <c r="P58" i="1"/>
  <c r="P57" i="1"/>
  <c r="P29" i="1"/>
  <c r="P31" i="1"/>
  <c r="P30" i="1"/>
  <c r="N26" i="1"/>
  <c r="N58" i="1"/>
  <c r="N57" i="1"/>
  <c r="N59" i="1"/>
  <c r="N29" i="1"/>
  <c r="N31" i="1"/>
  <c r="N30" i="1"/>
  <c r="L26" i="1"/>
  <c r="L59" i="1"/>
  <c r="L58" i="1"/>
  <c r="L57" i="1"/>
  <c r="L29" i="1"/>
  <c r="L31" i="1"/>
  <c r="L30" i="1"/>
  <c r="J26" i="1"/>
  <c r="J58" i="1"/>
  <c r="J57" i="1"/>
  <c r="J59" i="1"/>
  <c r="J29" i="1"/>
  <c r="J31" i="1"/>
  <c r="J30" i="1"/>
  <c r="AH44" i="1"/>
  <c r="R44" i="1"/>
  <c r="AJ44" i="1"/>
  <c r="AF44" i="1"/>
  <c r="AD44" i="1"/>
  <c r="AB44" i="1"/>
  <c r="Z44" i="1"/>
  <c r="V44" i="1"/>
  <c r="N44" i="1"/>
  <c r="J44" i="1"/>
  <c r="V56" i="1"/>
  <c r="R56" i="1"/>
  <c r="N56" i="1"/>
  <c r="J56" i="1"/>
  <c r="X55" i="1"/>
  <c r="T55" i="1"/>
  <c r="P55" i="1"/>
  <c r="L55" i="1"/>
  <c r="X44" i="1"/>
  <c r="T44" i="1"/>
  <c r="P44" i="1"/>
  <c r="L44" i="1"/>
  <c r="X56" i="1"/>
  <c r="T56" i="1"/>
  <c r="P56" i="1"/>
  <c r="L56" i="1"/>
  <c r="V55" i="1"/>
  <c r="R55" i="1"/>
  <c r="N55" i="1"/>
  <c r="J55" i="1"/>
  <c r="H28" i="1"/>
  <c r="W55" i="1"/>
  <c r="W27" i="1"/>
  <c r="U55" i="1"/>
  <c r="U26" i="1"/>
  <c r="U28" i="1"/>
  <c r="S55" i="1"/>
  <c r="S27" i="1"/>
  <c r="Q55" i="1"/>
  <c r="Q26" i="1"/>
  <c r="Q28" i="1"/>
  <c r="O55" i="1"/>
  <c r="O27" i="1"/>
  <c r="M55" i="1"/>
  <c r="M26" i="1"/>
  <c r="M28" i="1"/>
  <c r="K55" i="1"/>
  <c r="K27" i="1"/>
  <c r="I55" i="1"/>
  <c r="I26" i="1"/>
  <c r="I28" i="1"/>
  <c r="W28" i="1"/>
  <c r="O28" i="1"/>
  <c r="Q27" i="1"/>
  <c r="I27" i="1"/>
  <c r="S26" i="1"/>
  <c r="K26" i="1"/>
  <c r="U54" i="1"/>
  <c r="O54" i="1"/>
  <c r="H55" i="1"/>
  <c r="H27" i="1"/>
  <c r="S28" i="1"/>
  <c r="K28" i="1"/>
  <c r="U27" i="1"/>
  <c r="M27" i="1"/>
  <c r="W26" i="1"/>
  <c r="O26" i="1"/>
  <c r="W54" i="1"/>
  <c r="S54" i="1"/>
  <c r="K54" i="1"/>
  <c r="H56" i="1"/>
  <c r="W56" i="1"/>
  <c r="U56" i="1"/>
  <c r="U60" i="1"/>
  <c r="S56" i="1"/>
  <c r="Q56" i="1"/>
  <c r="Q67" i="1"/>
  <c r="O56" i="1"/>
  <c r="M56" i="1"/>
  <c r="K56" i="1"/>
  <c r="I56" i="1"/>
  <c r="Q54" i="1"/>
  <c r="M54" i="1"/>
  <c r="I54" i="1"/>
  <c r="X54" i="1"/>
  <c r="V54" i="1"/>
  <c r="T54" i="1"/>
  <c r="AK44" i="1"/>
  <c r="AI44" i="1"/>
  <c r="AG44" i="1"/>
  <c r="AE44" i="1"/>
  <c r="AC44" i="1"/>
  <c r="AA44" i="1"/>
  <c r="Y44" i="1"/>
  <c r="W44" i="1"/>
  <c r="U44" i="1"/>
  <c r="S44" i="1"/>
  <c r="Q44" i="1"/>
  <c r="O44" i="1"/>
  <c r="M44" i="1"/>
  <c r="K44" i="1"/>
  <c r="I44" i="1"/>
  <c r="R54" i="1"/>
  <c r="P54" i="1"/>
  <c r="N54" i="1"/>
  <c r="L54" i="1"/>
  <c r="J54" i="1"/>
  <c r="H44" i="1"/>
  <c r="X28" i="1"/>
  <c r="V28" i="1"/>
  <c r="T28" i="1"/>
  <c r="R28" i="1"/>
  <c r="P28" i="1"/>
  <c r="N28" i="1"/>
  <c r="L28" i="1"/>
  <c r="J28" i="1"/>
  <c r="X27" i="1"/>
  <c r="V27" i="1"/>
  <c r="T27" i="1"/>
  <c r="R27" i="1"/>
  <c r="P27" i="1"/>
  <c r="N27" i="1"/>
  <c r="L27" i="1"/>
  <c r="J27" i="1"/>
  <c r="E28" i="5"/>
  <c r="L65" i="1"/>
  <c r="I67" i="1"/>
  <c r="P65" i="1"/>
  <c r="P76" i="1"/>
  <c r="O32" i="1"/>
  <c r="G26" i="7"/>
  <c r="D23" i="7"/>
  <c r="G461" i="5"/>
  <c r="G463" i="5"/>
  <c r="G465" i="5"/>
  <c r="G467" i="5"/>
  <c r="G469" i="5"/>
  <c r="G471" i="5"/>
  <c r="G473" i="5"/>
  <c r="G475" i="5"/>
  <c r="G477" i="5"/>
  <c r="G479" i="5"/>
  <c r="G481" i="5"/>
  <c r="G459" i="5"/>
  <c r="F24" i="7"/>
  <c r="G24" i="7"/>
  <c r="G462" i="5"/>
  <c r="G466" i="5"/>
  <c r="G470" i="5"/>
  <c r="G474" i="5"/>
  <c r="G478" i="5"/>
  <c r="G482" i="5"/>
  <c r="G460" i="5"/>
  <c r="G464" i="5"/>
  <c r="G468" i="5"/>
  <c r="G472" i="5"/>
  <c r="G476" i="5"/>
  <c r="G480" i="5"/>
  <c r="F23" i="7"/>
  <c r="G23" i="7"/>
  <c r="D26" i="5"/>
  <c r="E481" i="5"/>
  <c r="D24" i="5"/>
  <c r="E479" i="5"/>
  <c r="D22" i="5"/>
  <c r="E477" i="5"/>
  <c r="D20" i="5"/>
  <c r="E475" i="5"/>
  <c r="D18" i="5"/>
  <c r="E473" i="5"/>
  <c r="D16" i="5"/>
  <c r="E471" i="5"/>
  <c r="D14" i="5"/>
  <c r="E469" i="5"/>
  <c r="D12" i="5"/>
  <c r="E467" i="5"/>
  <c r="D10" i="5"/>
  <c r="E465" i="5"/>
  <c r="D8" i="5"/>
  <c r="E463" i="5"/>
  <c r="D6" i="5"/>
  <c r="E461" i="5"/>
  <c r="D4" i="5"/>
  <c r="E459" i="5"/>
  <c r="D25" i="5"/>
  <c r="E480" i="5"/>
  <c r="D21" i="5"/>
  <c r="E476" i="5"/>
  <c r="D17" i="5"/>
  <c r="E472" i="5"/>
  <c r="D13" i="5"/>
  <c r="E468" i="5"/>
  <c r="D9" i="5"/>
  <c r="E464" i="5"/>
  <c r="D5" i="5"/>
  <c r="E460" i="5"/>
  <c r="D27" i="5"/>
  <c r="E482" i="5"/>
  <c r="D23" i="5"/>
  <c r="E478" i="5"/>
  <c r="D19" i="5"/>
  <c r="E474" i="5"/>
  <c r="D15" i="5"/>
  <c r="E470" i="5"/>
  <c r="D11" i="5"/>
  <c r="E466" i="5"/>
  <c r="D7" i="5"/>
  <c r="E462" i="5"/>
  <c r="H65" i="1"/>
  <c r="W69" i="1"/>
  <c r="S630" i="5"/>
  <c r="I105" i="1"/>
  <c r="Q105" i="1"/>
  <c r="S651" i="5"/>
  <c r="S633" i="5"/>
  <c r="J65" i="1"/>
  <c r="J103" i="1"/>
  <c r="N65" i="1"/>
  <c r="N76" i="1"/>
  <c r="R65" i="1"/>
  <c r="R76" i="1"/>
  <c r="J69" i="1"/>
  <c r="N69" i="1"/>
  <c r="N80" i="1"/>
  <c r="R69" i="1"/>
  <c r="N396" i="5"/>
  <c r="V69" i="1"/>
  <c r="R400" i="5"/>
  <c r="I69" i="1"/>
  <c r="I107" i="1"/>
  <c r="K69" i="1"/>
  <c r="K70" i="1"/>
  <c r="G424" i="5"/>
  <c r="M69" i="1"/>
  <c r="I400" i="5"/>
  <c r="O69" i="1"/>
  <c r="O107" i="1"/>
  <c r="O70" i="1"/>
  <c r="Q69" i="1"/>
  <c r="M388" i="5"/>
  <c r="S69" i="1"/>
  <c r="S107" i="1"/>
  <c r="G27" i="7"/>
  <c r="L114" i="5"/>
  <c r="L134" i="5"/>
  <c r="L130" i="5"/>
  <c r="L126" i="5"/>
  <c r="L122" i="5"/>
  <c r="L118" i="5"/>
  <c r="L135" i="5"/>
  <c r="L131" i="5"/>
  <c r="L127" i="5"/>
  <c r="L123" i="5"/>
  <c r="L119" i="5"/>
  <c r="L115" i="5"/>
  <c r="L121" i="5"/>
  <c r="L136" i="5"/>
  <c r="L132" i="5"/>
  <c r="L128" i="5"/>
  <c r="L124" i="5"/>
  <c r="L120" i="5"/>
  <c r="L116" i="5"/>
  <c r="L137" i="5"/>
  <c r="L133" i="5"/>
  <c r="L129" i="5"/>
  <c r="L125" i="5"/>
  <c r="L117" i="5"/>
  <c r="T136" i="5"/>
  <c r="T132" i="5"/>
  <c r="T128" i="5"/>
  <c r="T124" i="5"/>
  <c r="T120" i="5"/>
  <c r="T116" i="5"/>
  <c r="T135" i="5"/>
  <c r="T131" i="5"/>
  <c r="T127" i="5"/>
  <c r="T123" i="5"/>
  <c r="T119" i="5"/>
  <c r="T115" i="5"/>
  <c r="T125" i="5"/>
  <c r="T117" i="5"/>
  <c r="T114" i="5"/>
  <c r="T134" i="5"/>
  <c r="T130" i="5"/>
  <c r="T126" i="5"/>
  <c r="T122" i="5"/>
  <c r="T118" i="5"/>
  <c r="T137" i="5"/>
  <c r="T133" i="5"/>
  <c r="T129" i="5"/>
  <c r="T121" i="5"/>
  <c r="G136" i="5"/>
  <c r="G132" i="5"/>
  <c r="G128" i="5"/>
  <c r="G124" i="5"/>
  <c r="G120" i="5"/>
  <c r="G116" i="5"/>
  <c r="G137" i="5"/>
  <c r="G133" i="5"/>
  <c r="G129" i="5"/>
  <c r="G125" i="5"/>
  <c r="G121" i="5"/>
  <c r="G117" i="5"/>
  <c r="G123" i="5"/>
  <c r="G115" i="5"/>
  <c r="G114" i="5"/>
  <c r="G134" i="5"/>
  <c r="G130" i="5"/>
  <c r="G126" i="5"/>
  <c r="G122" i="5"/>
  <c r="G118" i="5"/>
  <c r="G135" i="5"/>
  <c r="G131" i="5"/>
  <c r="G127" i="5"/>
  <c r="G119" i="5"/>
  <c r="K136" i="5"/>
  <c r="K132" i="5"/>
  <c r="K128" i="5"/>
  <c r="K124" i="5"/>
  <c r="K120" i="5"/>
  <c r="K116" i="5"/>
  <c r="K135" i="5"/>
  <c r="K131" i="5"/>
  <c r="K127" i="5"/>
  <c r="K123" i="5"/>
  <c r="K119" i="5"/>
  <c r="K115" i="5"/>
  <c r="K114" i="5"/>
  <c r="K134" i="5"/>
  <c r="K130" i="5"/>
  <c r="K126" i="5"/>
  <c r="K122" i="5"/>
  <c r="K118" i="5"/>
  <c r="K137" i="5"/>
  <c r="K133" i="5"/>
  <c r="K129" i="5"/>
  <c r="K125" i="5"/>
  <c r="K121" i="5"/>
  <c r="K117" i="5"/>
  <c r="E114" i="5"/>
  <c r="E134" i="5"/>
  <c r="E130" i="5"/>
  <c r="E126" i="5"/>
  <c r="E122" i="5"/>
  <c r="E118" i="5"/>
  <c r="E135" i="5"/>
  <c r="E131" i="5"/>
  <c r="E127" i="5"/>
  <c r="E123" i="5"/>
  <c r="E119" i="5"/>
  <c r="E115" i="5"/>
  <c r="E125" i="5"/>
  <c r="E117" i="5"/>
  <c r="E136" i="5"/>
  <c r="E132" i="5"/>
  <c r="E128" i="5"/>
  <c r="E124" i="5"/>
  <c r="E120" i="5"/>
  <c r="E116" i="5"/>
  <c r="E137" i="5"/>
  <c r="E133" i="5"/>
  <c r="E129" i="5"/>
  <c r="E121" i="5"/>
  <c r="M114" i="5"/>
  <c r="M134" i="5"/>
  <c r="M130" i="5"/>
  <c r="M126" i="5"/>
  <c r="M122" i="5"/>
  <c r="M118" i="5"/>
  <c r="M137" i="5"/>
  <c r="M135" i="5"/>
  <c r="M133" i="5"/>
  <c r="M131" i="5"/>
  <c r="M129" i="5"/>
  <c r="M127" i="5"/>
  <c r="M125" i="5"/>
  <c r="M123" i="5"/>
  <c r="M121" i="5"/>
  <c r="M119" i="5"/>
  <c r="M117" i="5"/>
  <c r="M115" i="5"/>
  <c r="M136" i="5"/>
  <c r="M132" i="5"/>
  <c r="M128" i="5"/>
  <c r="M124" i="5"/>
  <c r="M120" i="5"/>
  <c r="M116" i="5"/>
  <c r="N60" i="1"/>
  <c r="H103" i="1"/>
  <c r="H76" i="1"/>
  <c r="F217" i="5"/>
  <c r="F225" i="5"/>
  <c r="F233" i="5"/>
  <c r="F226" i="5"/>
  <c r="F234" i="5"/>
  <c r="F224" i="5"/>
  <c r="F232" i="5"/>
  <c r="F223" i="5"/>
  <c r="F231" i="5"/>
  <c r="F235" i="5"/>
  <c r="F214" i="5"/>
  <c r="F230" i="5"/>
  <c r="F220" i="5"/>
  <c r="F221" i="5"/>
  <c r="F229" i="5"/>
  <c r="F218" i="5"/>
  <c r="F216" i="5"/>
  <c r="F219" i="5"/>
  <c r="F227" i="5"/>
  <c r="F222" i="5"/>
  <c r="F213" i="5"/>
  <c r="F228" i="5"/>
  <c r="F236" i="5"/>
  <c r="F215" i="5"/>
  <c r="J107" i="1"/>
  <c r="J80" i="1"/>
  <c r="F388" i="5"/>
  <c r="F396" i="5"/>
  <c r="F404" i="5"/>
  <c r="F389" i="5"/>
  <c r="F393" i="5"/>
  <c r="F397" i="5"/>
  <c r="F401" i="5"/>
  <c r="F405" i="5"/>
  <c r="F390" i="5"/>
  <c r="F398" i="5"/>
  <c r="F406" i="5"/>
  <c r="F392" i="5"/>
  <c r="F400" i="5"/>
  <c r="F408" i="5"/>
  <c r="F386" i="5"/>
  <c r="F394" i="5"/>
  <c r="F402" i="5"/>
  <c r="F385" i="5"/>
  <c r="F391" i="5"/>
  <c r="F399" i="5"/>
  <c r="F407" i="5"/>
  <c r="F387" i="5"/>
  <c r="F403" i="5"/>
  <c r="F395" i="5"/>
  <c r="H181" i="5"/>
  <c r="H189" i="5"/>
  <c r="H197" i="5"/>
  <c r="H186" i="5"/>
  <c r="H194" i="5"/>
  <c r="H202" i="5"/>
  <c r="H183" i="5"/>
  <c r="H191" i="5"/>
  <c r="H199" i="5"/>
  <c r="H184" i="5"/>
  <c r="H192" i="5"/>
  <c r="H200" i="5"/>
  <c r="H193" i="5"/>
  <c r="H182" i="5"/>
  <c r="H198" i="5"/>
  <c r="H195" i="5"/>
  <c r="H188" i="5"/>
  <c r="H180" i="5"/>
  <c r="H185" i="5"/>
  <c r="H201" i="5"/>
  <c r="H190" i="5"/>
  <c r="H187" i="5"/>
  <c r="H203" i="5"/>
  <c r="H196" i="5"/>
  <c r="H149" i="5"/>
  <c r="H155" i="5"/>
  <c r="H159" i="5"/>
  <c r="H167" i="5"/>
  <c r="H150" i="5"/>
  <c r="H158" i="5"/>
  <c r="H166" i="5"/>
  <c r="H165" i="5"/>
  <c r="H152" i="5"/>
  <c r="H160" i="5"/>
  <c r="H168" i="5"/>
  <c r="H147" i="5"/>
  <c r="H163" i="5"/>
  <c r="H170" i="5"/>
  <c r="H153" i="5"/>
  <c r="H157" i="5"/>
  <c r="H161" i="5"/>
  <c r="H148" i="5"/>
  <c r="H156" i="5"/>
  <c r="H164" i="5"/>
  <c r="H151" i="5"/>
  <c r="H154" i="5"/>
  <c r="H162" i="5"/>
  <c r="H169" i="5"/>
  <c r="J221" i="5"/>
  <c r="J229" i="5"/>
  <c r="J218" i="5"/>
  <c r="J234" i="5"/>
  <c r="J224" i="5"/>
  <c r="J232" i="5"/>
  <c r="J219" i="5"/>
  <c r="J227" i="5"/>
  <c r="J222" i="5"/>
  <c r="J230" i="5"/>
  <c r="J213" i="5"/>
  <c r="J220" i="5"/>
  <c r="J215" i="5"/>
  <c r="J217" i="5"/>
  <c r="J225" i="5"/>
  <c r="J233" i="5"/>
  <c r="J226" i="5"/>
  <c r="J216" i="5"/>
  <c r="J223" i="5"/>
  <c r="J231" i="5"/>
  <c r="J235" i="5"/>
  <c r="J214" i="5"/>
  <c r="J228" i="5"/>
  <c r="J236" i="5"/>
  <c r="L181" i="5"/>
  <c r="L185" i="5"/>
  <c r="L193" i="5"/>
  <c r="L182" i="5"/>
  <c r="L194" i="5"/>
  <c r="L202" i="5"/>
  <c r="L183" i="5"/>
  <c r="L191" i="5"/>
  <c r="L199" i="5"/>
  <c r="L188" i="5"/>
  <c r="L196" i="5"/>
  <c r="L201" i="5"/>
  <c r="L186" i="5"/>
  <c r="L198" i="5"/>
  <c r="L195" i="5"/>
  <c r="L203" i="5"/>
  <c r="L192" i="5"/>
  <c r="L180" i="5"/>
  <c r="L189" i="5"/>
  <c r="L197" i="5"/>
  <c r="L190" i="5"/>
  <c r="L187" i="5"/>
  <c r="L184" i="5"/>
  <c r="L200" i="5"/>
  <c r="L149" i="5"/>
  <c r="L155" i="5"/>
  <c r="L163" i="5"/>
  <c r="L150" i="5"/>
  <c r="L158" i="5"/>
  <c r="L166" i="5"/>
  <c r="L153" i="5"/>
  <c r="L157" i="5"/>
  <c r="L165" i="5"/>
  <c r="L148" i="5"/>
  <c r="L152" i="5"/>
  <c r="L156" i="5"/>
  <c r="L164" i="5"/>
  <c r="L151" i="5"/>
  <c r="L167" i="5"/>
  <c r="L154" i="5"/>
  <c r="L162" i="5"/>
  <c r="L161" i="5"/>
  <c r="L160" i="5"/>
  <c r="L147" i="5"/>
  <c r="L159" i="5"/>
  <c r="L170" i="5"/>
  <c r="L169" i="5"/>
  <c r="L168" i="5"/>
  <c r="N217" i="5"/>
  <c r="N225" i="5"/>
  <c r="N233" i="5"/>
  <c r="N218" i="5"/>
  <c r="N216" i="5"/>
  <c r="N223" i="5"/>
  <c r="N231" i="5"/>
  <c r="N235" i="5"/>
  <c r="N222" i="5"/>
  <c r="N228" i="5"/>
  <c r="N236" i="5"/>
  <c r="N221" i="5"/>
  <c r="N229" i="5"/>
  <c r="N226" i="5"/>
  <c r="N234" i="5"/>
  <c r="N224" i="5"/>
  <c r="N232" i="5"/>
  <c r="N219" i="5"/>
  <c r="N227" i="5"/>
  <c r="N214" i="5"/>
  <c r="N230" i="5"/>
  <c r="N213" i="5"/>
  <c r="N220" i="5"/>
  <c r="N215" i="5"/>
  <c r="R80" i="1"/>
  <c r="N388" i="5"/>
  <c r="N389" i="5"/>
  <c r="N393" i="5"/>
  <c r="N386" i="5"/>
  <c r="N394" i="5"/>
  <c r="N392" i="5"/>
  <c r="N400" i="5"/>
  <c r="N390" i="5"/>
  <c r="N398" i="5"/>
  <c r="N391" i="5"/>
  <c r="N395" i="5"/>
  <c r="N407" i="5"/>
  <c r="P181" i="5"/>
  <c r="P185" i="5"/>
  <c r="P193" i="5"/>
  <c r="P201" i="5"/>
  <c r="P186" i="5"/>
  <c r="P194" i="5"/>
  <c r="P202" i="5"/>
  <c r="P183" i="5"/>
  <c r="P191" i="5"/>
  <c r="P199" i="5"/>
  <c r="P184" i="5"/>
  <c r="P192" i="5"/>
  <c r="P200" i="5"/>
  <c r="P197" i="5"/>
  <c r="P198" i="5"/>
  <c r="P187" i="5"/>
  <c r="P188" i="5"/>
  <c r="P180" i="5"/>
  <c r="P189" i="5"/>
  <c r="P182" i="5"/>
  <c r="P190" i="5"/>
  <c r="P195" i="5"/>
  <c r="P203" i="5"/>
  <c r="P196" i="5"/>
  <c r="P149" i="5"/>
  <c r="P151" i="5"/>
  <c r="P155" i="5"/>
  <c r="P159" i="5"/>
  <c r="P167" i="5"/>
  <c r="P150" i="5"/>
  <c r="P154" i="5"/>
  <c r="P162" i="5"/>
  <c r="P170" i="5"/>
  <c r="P165" i="5"/>
  <c r="P148" i="5"/>
  <c r="P152" i="5"/>
  <c r="P160" i="5"/>
  <c r="P168" i="5"/>
  <c r="P163" i="5"/>
  <c r="P166" i="5"/>
  <c r="P153" i="5"/>
  <c r="P161" i="5"/>
  <c r="P156" i="5"/>
  <c r="P164" i="5"/>
  <c r="P147" i="5"/>
  <c r="P158" i="5"/>
  <c r="P157" i="5"/>
  <c r="P169" i="5"/>
  <c r="R217" i="5"/>
  <c r="R225" i="5"/>
  <c r="R233" i="5"/>
  <c r="R218" i="5"/>
  <c r="R234" i="5"/>
  <c r="R216" i="5"/>
  <c r="R223" i="5"/>
  <c r="R231" i="5"/>
  <c r="R214" i="5"/>
  <c r="R230" i="5"/>
  <c r="R213" i="5"/>
  <c r="R228" i="5"/>
  <c r="R236" i="5"/>
  <c r="R221" i="5"/>
  <c r="R229" i="5"/>
  <c r="R226" i="5"/>
  <c r="R224" i="5"/>
  <c r="R232" i="5"/>
  <c r="R219" i="5"/>
  <c r="R227" i="5"/>
  <c r="R235" i="5"/>
  <c r="R222" i="5"/>
  <c r="R220" i="5"/>
  <c r="R215" i="5"/>
  <c r="R401" i="5"/>
  <c r="T180" i="5"/>
  <c r="T189" i="5"/>
  <c r="T197" i="5"/>
  <c r="T201" i="5"/>
  <c r="T186" i="5"/>
  <c r="T194" i="5"/>
  <c r="T202" i="5"/>
  <c r="T187" i="5"/>
  <c r="T195" i="5"/>
  <c r="T184" i="5"/>
  <c r="T192" i="5"/>
  <c r="T200" i="5"/>
  <c r="T193" i="5"/>
  <c r="T182" i="5"/>
  <c r="T190" i="5"/>
  <c r="T191" i="5"/>
  <c r="T203" i="5"/>
  <c r="T196" i="5"/>
  <c r="T181" i="5"/>
  <c r="T185" i="5"/>
  <c r="T198" i="5"/>
  <c r="T183" i="5"/>
  <c r="T199" i="5"/>
  <c r="T188" i="5"/>
  <c r="T149" i="5"/>
  <c r="T159" i="5"/>
  <c r="T167" i="5"/>
  <c r="T150" i="5"/>
  <c r="T158" i="5"/>
  <c r="T166" i="5"/>
  <c r="T153" i="5"/>
  <c r="T157" i="5"/>
  <c r="T161" i="5"/>
  <c r="T169" i="5"/>
  <c r="T148" i="5"/>
  <c r="T156" i="5"/>
  <c r="T164" i="5"/>
  <c r="T147" i="5"/>
  <c r="T151" i="5"/>
  <c r="T155" i="5"/>
  <c r="T163" i="5"/>
  <c r="T170" i="5"/>
  <c r="T160" i="5"/>
  <c r="T154" i="5"/>
  <c r="T162" i="5"/>
  <c r="T165" i="5"/>
  <c r="T152" i="5"/>
  <c r="T168" i="5"/>
  <c r="X65" i="1"/>
  <c r="E149" i="5"/>
  <c r="E158" i="5"/>
  <c r="E166" i="5"/>
  <c r="E157" i="5"/>
  <c r="E161" i="5"/>
  <c r="E169" i="5"/>
  <c r="E152" i="5"/>
  <c r="E160" i="5"/>
  <c r="E168" i="5"/>
  <c r="E147" i="5"/>
  <c r="E151" i="5"/>
  <c r="E155" i="5"/>
  <c r="E167" i="5"/>
  <c r="E154" i="5"/>
  <c r="E170" i="5"/>
  <c r="E165" i="5"/>
  <c r="E156" i="5"/>
  <c r="E164" i="5"/>
  <c r="E159" i="5"/>
  <c r="E163" i="5"/>
  <c r="E150" i="5"/>
  <c r="E162" i="5"/>
  <c r="E153" i="5"/>
  <c r="E148" i="5"/>
  <c r="I80" i="1"/>
  <c r="E396" i="5"/>
  <c r="E389" i="5"/>
  <c r="E401" i="5"/>
  <c r="E386" i="5"/>
  <c r="E402" i="5"/>
  <c r="E400" i="5"/>
  <c r="E393" i="5"/>
  <c r="E398" i="5"/>
  <c r="E385" i="5"/>
  <c r="E395" i="5"/>
  <c r="E391" i="5"/>
  <c r="E399" i="5"/>
  <c r="G149" i="5"/>
  <c r="G151" i="5"/>
  <c r="G154" i="5"/>
  <c r="G162" i="5"/>
  <c r="G170" i="5"/>
  <c r="G153" i="5"/>
  <c r="G157" i="5"/>
  <c r="G165" i="5"/>
  <c r="G156" i="5"/>
  <c r="G164" i="5"/>
  <c r="G147" i="5"/>
  <c r="G159" i="5"/>
  <c r="G163" i="5"/>
  <c r="G150" i="5"/>
  <c r="G158" i="5"/>
  <c r="G161" i="5"/>
  <c r="G152" i="5"/>
  <c r="G168" i="5"/>
  <c r="G155" i="5"/>
  <c r="G167" i="5"/>
  <c r="G166" i="5"/>
  <c r="G169" i="5"/>
  <c r="G148" i="5"/>
  <c r="G160" i="5"/>
  <c r="K107" i="1"/>
  <c r="K80" i="1"/>
  <c r="G388" i="5"/>
  <c r="G396" i="5"/>
  <c r="G404" i="5"/>
  <c r="G401" i="5"/>
  <c r="G390" i="5"/>
  <c r="G398" i="5"/>
  <c r="G406" i="5"/>
  <c r="G392" i="5"/>
  <c r="G400" i="5"/>
  <c r="G408" i="5"/>
  <c r="G389" i="5"/>
  <c r="G393" i="5"/>
  <c r="G397" i="5"/>
  <c r="G405" i="5"/>
  <c r="G386" i="5"/>
  <c r="G394" i="5"/>
  <c r="G402" i="5"/>
  <c r="G385" i="5"/>
  <c r="G387" i="5"/>
  <c r="G399" i="5"/>
  <c r="G403" i="5"/>
  <c r="G391" i="5"/>
  <c r="G395" i="5"/>
  <c r="G407" i="5"/>
  <c r="G440" i="5"/>
  <c r="G434" i="5"/>
  <c r="I149" i="5"/>
  <c r="I155" i="5"/>
  <c r="I150" i="5"/>
  <c r="I154" i="5"/>
  <c r="I162" i="5"/>
  <c r="I170" i="5"/>
  <c r="I153" i="5"/>
  <c r="I161" i="5"/>
  <c r="I169" i="5"/>
  <c r="I148" i="5"/>
  <c r="I156" i="5"/>
  <c r="I164" i="5"/>
  <c r="I151" i="5"/>
  <c r="I159" i="5"/>
  <c r="I166" i="5"/>
  <c r="I157" i="5"/>
  <c r="I152" i="5"/>
  <c r="I160" i="5"/>
  <c r="I147" i="5"/>
  <c r="I163" i="5"/>
  <c r="I167" i="5"/>
  <c r="I158" i="5"/>
  <c r="I165" i="5"/>
  <c r="I168" i="5"/>
  <c r="M80" i="1"/>
  <c r="I392" i="5"/>
  <c r="I393" i="5"/>
  <c r="I390" i="5"/>
  <c r="I385" i="5"/>
  <c r="I388" i="5"/>
  <c r="I389" i="5"/>
  <c r="I397" i="5"/>
  <c r="I386" i="5"/>
  <c r="I394" i="5"/>
  <c r="I399" i="5"/>
  <c r="I407" i="5"/>
  <c r="I403" i="5"/>
  <c r="K149" i="5"/>
  <c r="K151" i="5"/>
  <c r="K155" i="5"/>
  <c r="K163" i="5"/>
  <c r="K154" i="5"/>
  <c r="K162" i="5"/>
  <c r="K170" i="5"/>
  <c r="K157" i="5"/>
  <c r="K165" i="5"/>
  <c r="K152" i="5"/>
  <c r="K160" i="5"/>
  <c r="K168" i="5"/>
  <c r="K147" i="5"/>
  <c r="K167" i="5"/>
  <c r="K166" i="5"/>
  <c r="K153" i="5"/>
  <c r="K161" i="5"/>
  <c r="K148" i="5"/>
  <c r="K159" i="5"/>
  <c r="K150" i="5"/>
  <c r="K158" i="5"/>
  <c r="K169" i="5"/>
  <c r="K156" i="5"/>
  <c r="K164" i="5"/>
  <c r="K392" i="5"/>
  <c r="K394" i="5"/>
  <c r="K398" i="5"/>
  <c r="O108" i="1"/>
  <c r="O81" i="1"/>
  <c r="K428" i="5"/>
  <c r="K436" i="5"/>
  <c r="K419" i="5"/>
  <c r="K425" i="5"/>
  <c r="K433" i="5"/>
  <c r="K424" i="5"/>
  <c r="K432" i="5"/>
  <c r="K440" i="5"/>
  <c r="K427" i="5"/>
  <c r="K435" i="5"/>
  <c r="K418" i="5"/>
  <c r="K441" i="5"/>
  <c r="K420" i="5"/>
  <c r="K422" i="5"/>
  <c r="K426" i="5"/>
  <c r="K430" i="5"/>
  <c r="K434" i="5"/>
  <c r="K438" i="5"/>
  <c r="K423" i="5"/>
  <c r="K431" i="5"/>
  <c r="K439" i="5"/>
  <c r="K421" i="5"/>
  <c r="K437" i="5"/>
  <c r="K429" i="5"/>
  <c r="M149" i="5"/>
  <c r="M151" i="5"/>
  <c r="M155" i="5"/>
  <c r="M159" i="5"/>
  <c r="M167" i="5"/>
  <c r="M158" i="5"/>
  <c r="M166" i="5"/>
  <c r="M165" i="5"/>
  <c r="M156" i="5"/>
  <c r="M164" i="5"/>
  <c r="M162" i="5"/>
  <c r="M169" i="5"/>
  <c r="M160" i="5"/>
  <c r="M147" i="5"/>
  <c r="M163" i="5"/>
  <c r="M150" i="5"/>
  <c r="M154" i="5"/>
  <c r="M170" i="5"/>
  <c r="M153" i="5"/>
  <c r="M157" i="5"/>
  <c r="M161" i="5"/>
  <c r="M148" i="5"/>
  <c r="M152" i="5"/>
  <c r="M168" i="5"/>
  <c r="M390" i="5"/>
  <c r="M391" i="5"/>
  <c r="O149" i="5"/>
  <c r="O159" i="5"/>
  <c r="O167" i="5"/>
  <c r="O150" i="5"/>
  <c r="O158" i="5"/>
  <c r="O166" i="5"/>
  <c r="O153" i="5"/>
  <c r="O161" i="5"/>
  <c r="O169" i="5"/>
  <c r="O148" i="5"/>
  <c r="O156" i="5"/>
  <c r="O164" i="5"/>
  <c r="O154" i="5"/>
  <c r="O162" i="5"/>
  <c r="O165" i="5"/>
  <c r="O168" i="5"/>
  <c r="O151" i="5"/>
  <c r="O155" i="5"/>
  <c r="O163" i="5"/>
  <c r="O170" i="5"/>
  <c r="O157" i="5"/>
  <c r="O152" i="5"/>
  <c r="O160" i="5"/>
  <c r="O147" i="5"/>
  <c r="O388" i="5"/>
  <c r="O396" i="5"/>
  <c r="O398" i="5"/>
  <c r="O406" i="5"/>
  <c r="O400" i="5"/>
  <c r="O408" i="5"/>
  <c r="O397" i="5"/>
  <c r="O401" i="5"/>
  <c r="O394" i="5"/>
  <c r="O402" i="5"/>
  <c r="O403" i="5"/>
  <c r="O391" i="5"/>
  <c r="S70" i="1"/>
  <c r="Q149" i="5"/>
  <c r="Q163" i="5"/>
  <c r="Q150" i="5"/>
  <c r="Q154" i="5"/>
  <c r="Q162" i="5"/>
  <c r="Q170" i="5"/>
  <c r="Q153" i="5"/>
  <c r="Q157" i="5"/>
  <c r="Q161" i="5"/>
  <c r="Q169" i="5"/>
  <c r="Q148" i="5"/>
  <c r="Q152" i="5"/>
  <c r="Q160" i="5"/>
  <c r="Q168" i="5"/>
  <c r="Q147" i="5"/>
  <c r="Q151" i="5"/>
  <c r="Q159" i="5"/>
  <c r="Q158" i="5"/>
  <c r="Q165" i="5"/>
  <c r="Q156" i="5"/>
  <c r="Q155" i="5"/>
  <c r="Q167" i="5"/>
  <c r="Q166" i="5"/>
  <c r="Q164" i="5"/>
  <c r="U69" i="1"/>
  <c r="D181" i="5"/>
  <c r="D185" i="5"/>
  <c r="D193" i="5"/>
  <c r="D201" i="5"/>
  <c r="D186" i="5"/>
  <c r="D194" i="5"/>
  <c r="D202" i="5"/>
  <c r="D187" i="5"/>
  <c r="D191" i="5"/>
  <c r="D199" i="5"/>
  <c r="D184" i="5"/>
  <c r="D192" i="5"/>
  <c r="D200" i="5"/>
  <c r="D190" i="5"/>
  <c r="D203" i="5"/>
  <c r="D196" i="5"/>
  <c r="D180" i="5"/>
  <c r="D189" i="5"/>
  <c r="D197" i="5"/>
  <c r="D182" i="5"/>
  <c r="D198" i="5"/>
  <c r="D183" i="5"/>
  <c r="D195" i="5"/>
  <c r="D188" i="5"/>
  <c r="D149" i="5"/>
  <c r="D151" i="5"/>
  <c r="D159" i="5"/>
  <c r="D163" i="5"/>
  <c r="D167" i="5"/>
  <c r="D158" i="5"/>
  <c r="D166" i="5"/>
  <c r="D157" i="5"/>
  <c r="D165" i="5"/>
  <c r="D152" i="5"/>
  <c r="D160" i="5"/>
  <c r="D168" i="5"/>
  <c r="D147" i="5"/>
  <c r="D155" i="5"/>
  <c r="D150" i="5"/>
  <c r="D162" i="5"/>
  <c r="D169" i="5"/>
  <c r="D148" i="5"/>
  <c r="D154" i="5"/>
  <c r="D170" i="5"/>
  <c r="D153" i="5"/>
  <c r="D161" i="5"/>
  <c r="D156" i="5"/>
  <c r="D164" i="5"/>
  <c r="S217" i="5"/>
  <c r="S225" i="5"/>
  <c r="S233" i="5"/>
  <c r="S218" i="5"/>
  <c r="S234" i="5"/>
  <c r="S224" i="5"/>
  <c r="S219" i="5"/>
  <c r="S227" i="5"/>
  <c r="S235" i="5"/>
  <c r="S214" i="5"/>
  <c r="S230" i="5"/>
  <c r="S220" i="5"/>
  <c r="S236" i="5"/>
  <c r="S215" i="5"/>
  <c r="S221" i="5"/>
  <c r="S229" i="5"/>
  <c r="S226" i="5"/>
  <c r="S216" i="5"/>
  <c r="S232" i="5"/>
  <c r="S223" i="5"/>
  <c r="S231" i="5"/>
  <c r="S222" i="5"/>
  <c r="S213" i="5"/>
  <c r="S228" i="5"/>
  <c r="S181" i="5"/>
  <c r="S180" i="5"/>
  <c r="S185" i="5"/>
  <c r="S193" i="5"/>
  <c r="S182" i="5"/>
  <c r="S190" i="5"/>
  <c r="S198" i="5"/>
  <c r="S183" i="5"/>
  <c r="S191" i="5"/>
  <c r="S199" i="5"/>
  <c r="S184" i="5"/>
  <c r="S192" i="5"/>
  <c r="S200" i="5"/>
  <c r="S186" i="5"/>
  <c r="S195" i="5"/>
  <c r="S188" i="5"/>
  <c r="S189" i="5"/>
  <c r="S197" i="5"/>
  <c r="S201" i="5"/>
  <c r="S194" i="5"/>
  <c r="S202" i="5"/>
  <c r="S187" i="5"/>
  <c r="S203" i="5"/>
  <c r="S196" i="5"/>
  <c r="H134" i="5"/>
  <c r="H126" i="5"/>
  <c r="H118" i="5"/>
  <c r="H137" i="5"/>
  <c r="H133" i="5"/>
  <c r="H129" i="5"/>
  <c r="H125" i="5"/>
  <c r="H121" i="5"/>
  <c r="H117" i="5"/>
  <c r="H127" i="5"/>
  <c r="H119" i="5"/>
  <c r="H114" i="5"/>
  <c r="H136" i="5"/>
  <c r="H132" i="5"/>
  <c r="H130" i="5"/>
  <c r="H128" i="5"/>
  <c r="H124" i="5"/>
  <c r="H122" i="5"/>
  <c r="H120" i="5"/>
  <c r="H116" i="5"/>
  <c r="H135" i="5"/>
  <c r="H131" i="5"/>
  <c r="H123" i="5"/>
  <c r="H115" i="5"/>
  <c r="P136" i="5"/>
  <c r="P132" i="5"/>
  <c r="P128" i="5"/>
  <c r="P124" i="5"/>
  <c r="P120" i="5"/>
  <c r="P116" i="5"/>
  <c r="P135" i="5"/>
  <c r="P131" i="5"/>
  <c r="P127" i="5"/>
  <c r="P123" i="5"/>
  <c r="P119" i="5"/>
  <c r="P115" i="5"/>
  <c r="P121" i="5"/>
  <c r="P114" i="5"/>
  <c r="P134" i="5"/>
  <c r="P130" i="5"/>
  <c r="P126" i="5"/>
  <c r="P122" i="5"/>
  <c r="P118" i="5"/>
  <c r="P137" i="5"/>
  <c r="P133" i="5"/>
  <c r="P129" i="5"/>
  <c r="P125" i="5"/>
  <c r="P117" i="5"/>
  <c r="F114" i="5"/>
  <c r="F136" i="5"/>
  <c r="F134" i="5"/>
  <c r="F132" i="5"/>
  <c r="F130" i="5"/>
  <c r="F128" i="5"/>
  <c r="F126" i="5"/>
  <c r="F124" i="5"/>
  <c r="F122" i="5"/>
  <c r="F120" i="5"/>
  <c r="F118" i="5"/>
  <c r="F116" i="5"/>
  <c r="F135" i="5"/>
  <c r="F131" i="5"/>
  <c r="F127" i="5"/>
  <c r="F123" i="5"/>
  <c r="F119" i="5"/>
  <c r="F115" i="5"/>
  <c r="F129" i="5"/>
  <c r="F121" i="5"/>
  <c r="F137" i="5"/>
  <c r="F133" i="5"/>
  <c r="F125" i="5"/>
  <c r="F117" i="5"/>
  <c r="J114" i="5"/>
  <c r="J136" i="5"/>
  <c r="J134" i="5"/>
  <c r="J130" i="5"/>
  <c r="J128" i="5"/>
  <c r="J126" i="5"/>
  <c r="J122" i="5"/>
  <c r="J120" i="5"/>
  <c r="J118" i="5"/>
  <c r="J137" i="5"/>
  <c r="J133" i="5"/>
  <c r="J129" i="5"/>
  <c r="J125" i="5"/>
  <c r="J121" i="5"/>
  <c r="J117" i="5"/>
  <c r="J123" i="5"/>
  <c r="J115" i="5"/>
  <c r="J132" i="5"/>
  <c r="J124" i="5"/>
  <c r="J116" i="5"/>
  <c r="J135" i="5"/>
  <c r="J131" i="5"/>
  <c r="J127" i="5"/>
  <c r="J119" i="5"/>
  <c r="N132" i="5"/>
  <c r="N124" i="5"/>
  <c r="N116" i="5"/>
  <c r="N137" i="5"/>
  <c r="N133" i="5"/>
  <c r="N129" i="5"/>
  <c r="N125" i="5"/>
  <c r="N121" i="5"/>
  <c r="N117" i="5"/>
  <c r="N127" i="5"/>
  <c r="N119" i="5"/>
  <c r="N114" i="5"/>
  <c r="N136" i="5"/>
  <c r="N134" i="5"/>
  <c r="N130" i="5"/>
  <c r="N128" i="5"/>
  <c r="N126" i="5"/>
  <c r="N122" i="5"/>
  <c r="N120" i="5"/>
  <c r="N118" i="5"/>
  <c r="N135" i="5"/>
  <c r="N131" i="5"/>
  <c r="N123" i="5"/>
  <c r="N115" i="5"/>
  <c r="R114" i="5"/>
  <c r="R134" i="5"/>
  <c r="R130" i="5"/>
  <c r="R126" i="5"/>
  <c r="R122" i="5"/>
  <c r="R118" i="5"/>
  <c r="R137" i="5"/>
  <c r="R133" i="5"/>
  <c r="R129" i="5"/>
  <c r="R125" i="5"/>
  <c r="R121" i="5"/>
  <c r="R117" i="5"/>
  <c r="R127" i="5"/>
  <c r="R119" i="5"/>
  <c r="R136" i="5"/>
  <c r="R132" i="5"/>
  <c r="R128" i="5"/>
  <c r="R124" i="5"/>
  <c r="R120" i="5"/>
  <c r="R116" i="5"/>
  <c r="R135" i="5"/>
  <c r="R131" i="5"/>
  <c r="R123" i="5"/>
  <c r="R115" i="5"/>
  <c r="L103" i="1"/>
  <c r="L76" i="1"/>
  <c r="P103" i="1"/>
  <c r="O136" i="5"/>
  <c r="O132" i="5"/>
  <c r="O128" i="5"/>
  <c r="O124" i="5"/>
  <c r="O120" i="5"/>
  <c r="O116" i="5"/>
  <c r="O129" i="5"/>
  <c r="O125" i="5"/>
  <c r="O123" i="5"/>
  <c r="O121" i="5"/>
  <c r="O117" i="5"/>
  <c r="O115" i="5"/>
  <c r="O114" i="5"/>
  <c r="O134" i="5"/>
  <c r="O130" i="5"/>
  <c r="O126" i="5"/>
  <c r="O122" i="5"/>
  <c r="O118" i="5"/>
  <c r="O137" i="5"/>
  <c r="O135" i="5"/>
  <c r="O133" i="5"/>
  <c r="O131" i="5"/>
  <c r="O127" i="5"/>
  <c r="O119" i="5"/>
  <c r="S136" i="5"/>
  <c r="S132" i="5"/>
  <c r="S128" i="5"/>
  <c r="S124" i="5"/>
  <c r="S120" i="5"/>
  <c r="S116" i="5"/>
  <c r="S137" i="5"/>
  <c r="S133" i="5"/>
  <c r="S129" i="5"/>
  <c r="S125" i="5"/>
  <c r="S121" i="5"/>
  <c r="S117" i="5"/>
  <c r="S127" i="5"/>
  <c r="S119" i="5"/>
  <c r="S114" i="5"/>
  <c r="S134" i="5"/>
  <c r="S130" i="5"/>
  <c r="S126" i="5"/>
  <c r="S122" i="5"/>
  <c r="S118" i="5"/>
  <c r="S135" i="5"/>
  <c r="S131" i="5"/>
  <c r="S123" i="5"/>
  <c r="S115" i="5"/>
  <c r="I114" i="5"/>
  <c r="I134" i="5"/>
  <c r="I130" i="5"/>
  <c r="I126" i="5"/>
  <c r="I122" i="5"/>
  <c r="I118" i="5"/>
  <c r="I135" i="5"/>
  <c r="I131" i="5"/>
  <c r="I127" i="5"/>
  <c r="I123" i="5"/>
  <c r="I119" i="5"/>
  <c r="I115" i="5"/>
  <c r="I125" i="5"/>
  <c r="I117" i="5"/>
  <c r="I136" i="5"/>
  <c r="I132" i="5"/>
  <c r="I128" i="5"/>
  <c r="I124" i="5"/>
  <c r="I120" i="5"/>
  <c r="I116" i="5"/>
  <c r="I137" i="5"/>
  <c r="I133" i="5"/>
  <c r="I129" i="5"/>
  <c r="I121" i="5"/>
  <c r="Q114" i="5"/>
  <c r="Q134" i="5"/>
  <c r="Q130" i="5"/>
  <c r="Q126" i="5"/>
  <c r="Q122" i="5"/>
  <c r="Q118" i="5"/>
  <c r="Q137" i="5"/>
  <c r="Q133" i="5"/>
  <c r="Q129" i="5"/>
  <c r="Q125" i="5"/>
  <c r="Q121" i="5"/>
  <c r="Q117" i="5"/>
  <c r="Q123" i="5"/>
  <c r="Q115" i="5"/>
  <c r="Q136" i="5"/>
  <c r="Q132" i="5"/>
  <c r="Q128" i="5"/>
  <c r="Q124" i="5"/>
  <c r="Q120" i="5"/>
  <c r="Q116" i="5"/>
  <c r="Q135" i="5"/>
  <c r="Q131" i="5"/>
  <c r="Q127" i="5"/>
  <c r="Q119" i="5"/>
  <c r="D114" i="5"/>
  <c r="D130" i="5"/>
  <c r="D122" i="5"/>
  <c r="D135" i="5"/>
  <c r="D131" i="5"/>
  <c r="D127" i="5"/>
  <c r="D123" i="5"/>
  <c r="D119" i="5"/>
  <c r="D115" i="5"/>
  <c r="D121" i="5"/>
  <c r="D136" i="5"/>
  <c r="D134" i="5"/>
  <c r="D132" i="5"/>
  <c r="D128" i="5"/>
  <c r="D126" i="5"/>
  <c r="D124" i="5"/>
  <c r="D120" i="5"/>
  <c r="D118" i="5"/>
  <c r="D116" i="5"/>
  <c r="D137" i="5"/>
  <c r="D133" i="5"/>
  <c r="D129" i="5"/>
  <c r="D125" i="5"/>
  <c r="D117" i="5"/>
  <c r="F180" i="5"/>
  <c r="F185" i="5"/>
  <c r="F193" i="5"/>
  <c r="F201" i="5"/>
  <c r="F182" i="5"/>
  <c r="F190" i="5"/>
  <c r="F198" i="5"/>
  <c r="F187" i="5"/>
  <c r="F191" i="5"/>
  <c r="F199" i="5"/>
  <c r="F188" i="5"/>
  <c r="F196" i="5"/>
  <c r="F197" i="5"/>
  <c r="F194" i="5"/>
  <c r="F202" i="5"/>
  <c r="F183" i="5"/>
  <c r="F195" i="5"/>
  <c r="F184" i="5"/>
  <c r="F200" i="5"/>
  <c r="F181" i="5"/>
  <c r="F189" i="5"/>
  <c r="F186" i="5"/>
  <c r="F203" i="5"/>
  <c r="F192" i="5"/>
  <c r="F149" i="5"/>
  <c r="F151" i="5"/>
  <c r="F155" i="5"/>
  <c r="F163" i="5"/>
  <c r="F154" i="5"/>
  <c r="F162" i="5"/>
  <c r="F170" i="5"/>
  <c r="F157" i="5"/>
  <c r="F165" i="5"/>
  <c r="F148" i="5"/>
  <c r="F156" i="5"/>
  <c r="F164" i="5"/>
  <c r="F147" i="5"/>
  <c r="F159" i="5"/>
  <c r="F166" i="5"/>
  <c r="F169" i="5"/>
  <c r="F152" i="5"/>
  <c r="F168" i="5"/>
  <c r="F167" i="5"/>
  <c r="F150" i="5"/>
  <c r="F158" i="5"/>
  <c r="F153" i="5"/>
  <c r="F161" i="5"/>
  <c r="F160" i="5"/>
  <c r="H221" i="5"/>
  <c r="H229" i="5"/>
  <c r="H218" i="5"/>
  <c r="H234" i="5"/>
  <c r="H216" i="5"/>
  <c r="H232" i="5"/>
  <c r="H223" i="5"/>
  <c r="H231" i="5"/>
  <c r="H222" i="5"/>
  <c r="H228" i="5"/>
  <c r="H217" i="5"/>
  <c r="H225" i="5"/>
  <c r="H233" i="5"/>
  <c r="H226" i="5"/>
  <c r="H224" i="5"/>
  <c r="H219" i="5"/>
  <c r="H227" i="5"/>
  <c r="H235" i="5"/>
  <c r="H214" i="5"/>
  <c r="H230" i="5"/>
  <c r="H213" i="5"/>
  <c r="H220" i="5"/>
  <c r="H236" i="5"/>
  <c r="H215" i="5"/>
  <c r="J181" i="5"/>
  <c r="J189" i="5"/>
  <c r="J197" i="5"/>
  <c r="J182" i="5"/>
  <c r="J190" i="5"/>
  <c r="J198" i="5"/>
  <c r="J183" i="5"/>
  <c r="J195" i="5"/>
  <c r="J203" i="5"/>
  <c r="J188" i="5"/>
  <c r="J196" i="5"/>
  <c r="J201" i="5"/>
  <c r="J186" i="5"/>
  <c r="J187" i="5"/>
  <c r="J199" i="5"/>
  <c r="J192" i="5"/>
  <c r="J180" i="5"/>
  <c r="J185" i="5"/>
  <c r="J193" i="5"/>
  <c r="J194" i="5"/>
  <c r="J202" i="5"/>
  <c r="J191" i="5"/>
  <c r="J184" i="5"/>
  <c r="J200" i="5"/>
  <c r="J149" i="5"/>
  <c r="J155" i="5"/>
  <c r="J159" i="5"/>
  <c r="J163" i="5"/>
  <c r="J167" i="5"/>
  <c r="J150" i="5"/>
  <c r="J154" i="5"/>
  <c r="J162" i="5"/>
  <c r="J170" i="5"/>
  <c r="J153" i="5"/>
  <c r="J148" i="5"/>
  <c r="J160" i="5"/>
  <c r="J168" i="5"/>
  <c r="J158" i="5"/>
  <c r="J165" i="5"/>
  <c r="J169" i="5"/>
  <c r="J152" i="5"/>
  <c r="J147" i="5"/>
  <c r="J151" i="5"/>
  <c r="J166" i="5"/>
  <c r="J157" i="5"/>
  <c r="J161" i="5"/>
  <c r="J156" i="5"/>
  <c r="J164" i="5"/>
  <c r="L217" i="5"/>
  <c r="L225" i="5"/>
  <c r="L233" i="5"/>
  <c r="L226" i="5"/>
  <c r="L216" i="5"/>
  <c r="L219" i="5"/>
  <c r="L227" i="5"/>
  <c r="L235" i="5"/>
  <c r="L214" i="5"/>
  <c r="L230" i="5"/>
  <c r="L213" i="5"/>
  <c r="L228" i="5"/>
  <c r="L215" i="5"/>
  <c r="L221" i="5"/>
  <c r="L229" i="5"/>
  <c r="L218" i="5"/>
  <c r="L234" i="5"/>
  <c r="L224" i="5"/>
  <c r="L232" i="5"/>
  <c r="L223" i="5"/>
  <c r="L231" i="5"/>
  <c r="L222" i="5"/>
  <c r="L220" i="5"/>
  <c r="L236" i="5"/>
  <c r="N181" i="5"/>
  <c r="N180" i="5"/>
  <c r="N189" i="5"/>
  <c r="N197" i="5"/>
  <c r="N201" i="5"/>
  <c r="N186" i="5"/>
  <c r="N190" i="5"/>
  <c r="N198" i="5"/>
  <c r="N187" i="5"/>
  <c r="N195" i="5"/>
  <c r="N203" i="5"/>
  <c r="N184" i="5"/>
  <c r="N192" i="5"/>
  <c r="N200" i="5"/>
  <c r="N202" i="5"/>
  <c r="N183" i="5"/>
  <c r="N199" i="5"/>
  <c r="N188" i="5"/>
  <c r="N185" i="5"/>
  <c r="N193" i="5"/>
  <c r="N182" i="5"/>
  <c r="N194" i="5"/>
  <c r="N191" i="5"/>
  <c r="N196" i="5"/>
  <c r="N149" i="5"/>
  <c r="N151" i="5"/>
  <c r="N159" i="5"/>
  <c r="N163" i="5"/>
  <c r="N167" i="5"/>
  <c r="N158" i="5"/>
  <c r="N166" i="5"/>
  <c r="N161" i="5"/>
  <c r="N165" i="5"/>
  <c r="N169" i="5"/>
  <c r="N156" i="5"/>
  <c r="N164" i="5"/>
  <c r="N154" i="5"/>
  <c r="N162" i="5"/>
  <c r="N153" i="5"/>
  <c r="N157" i="5"/>
  <c r="N148" i="5"/>
  <c r="N160" i="5"/>
  <c r="N155" i="5"/>
  <c r="N150" i="5"/>
  <c r="N170" i="5"/>
  <c r="N152" i="5"/>
  <c r="N168" i="5"/>
  <c r="N147" i="5"/>
  <c r="P221" i="5"/>
  <c r="P229" i="5"/>
  <c r="P218" i="5"/>
  <c r="P224" i="5"/>
  <c r="P223" i="5"/>
  <c r="P231" i="5"/>
  <c r="P213" i="5"/>
  <c r="P220" i="5"/>
  <c r="P236" i="5"/>
  <c r="P217" i="5"/>
  <c r="P225" i="5"/>
  <c r="P233" i="5"/>
  <c r="P226" i="5"/>
  <c r="P234" i="5"/>
  <c r="P216" i="5"/>
  <c r="P232" i="5"/>
  <c r="P219" i="5"/>
  <c r="P227" i="5"/>
  <c r="P235" i="5"/>
  <c r="P214" i="5"/>
  <c r="P222" i="5"/>
  <c r="P230" i="5"/>
  <c r="P228" i="5"/>
  <c r="P215" i="5"/>
  <c r="R185" i="5"/>
  <c r="R193" i="5"/>
  <c r="R182" i="5"/>
  <c r="R190" i="5"/>
  <c r="R198" i="5"/>
  <c r="R183" i="5"/>
  <c r="R191" i="5"/>
  <c r="R199" i="5"/>
  <c r="R203" i="5"/>
  <c r="R188" i="5"/>
  <c r="R196" i="5"/>
  <c r="R197" i="5"/>
  <c r="R186" i="5"/>
  <c r="R202" i="5"/>
  <c r="R187" i="5"/>
  <c r="R184" i="5"/>
  <c r="R192" i="5"/>
  <c r="R181" i="5"/>
  <c r="R180" i="5"/>
  <c r="R189" i="5"/>
  <c r="R201" i="5"/>
  <c r="R194" i="5"/>
  <c r="R195" i="5"/>
  <c r="R200" i="5"/>
  <c r="R149" i="5"/>
  <c r="R155" i="5"/>
  <c r="R159" i="5"/>
  <c r="R167" i="5"/>
  <c r="R150" i="5"/>
  <c r="R154" i="5"/>
  <c r="R158" i="5"/>
  <c r="R166" i="5"/>
  <c r="R157" i="5"/>
  <c r="R161" i="5"/>
  <c r="R169" i="5"/>
  <c r="R148" i="5"/>
  <c r="R152" i="5"/>
  <c r="R164" i="5"/>
  <c r="R163" i="5"/>
  <c r="R170" i="5"/>
  <c r="R153" i="5"/>
  <c r="R156" i="5"/>
  <c r="R168" i="5"/>
  <c r="R147" i="5"/>
  <c r="R151" i="5"/>
  <c r="R162" i="5"/>
  <c r="R165" i="5"/>
  <c r="R160" i="5"/>
  <c r="T217" i="5"/>
  <c r="T225" i="5"/>
  <c r="T233" i="5"/>
  <c r="T226" i="5"/>
  <c r="T234" i="5"/>
  <c r="T216" i="5"/>
  <c r="T232" i="5"/>
  <c r="T219" i="5"/>
  <c r="T227" i="5"/>
  <c r="T235" i="5"/>
  <c r="T222" i="5"/>
  <c r="T230" i="5"/>
  <c r="T228" i="5"/>
  <c r="T215" i="5"/>
  <c r="T221" i="5"/>
  <c r="T229" i="5"/>
  <c r="T218" i="5"/>
  <c r="T224" i="5"/>
  <c r="T223" i="5"/>
  <c r="T231" i="5"/>
  <c r="T214" i="5"/>
  <c r="T213" i="5"/>
  <c r="T220" i="5"/>
  <c r="T236" i="5"/>
  <c r="E221" i="5"/>
  <c r="E229" i="5"/>
  <c r="E218" i="5"/>
  <c r="E216" i="5"/>
  <c r="E223" i="5"/>
  <c r="E235" i="5"/>
  <c r="E214" i="5"/>
  <c r="E228" i="5"/>
  <c r="E236" i="5"/>
  <c r="E217" i="5"/>
  <c r="E225" i="5"/>
  <c r="E233" i="5"/>
  <c r="E226" i="5"/>
  <c r="E234" i="5"/>
  <c r="E224" i="5"/>
  <c r="E232" i="5"/>
  <c r="E219" i="5"/>
  <c r="E227" i="5"/>
  <c r="E231" i="5"/>
  <c r="E222" i="5"/>
  <c r="E230" i="5"/>
  <c r="E213" i="5"/>
  <c r="E220" i="5"/>
  <c r="E215" i="5"/>
  <c r="E181" i="5"/>
  <c r="E185" i="5"/>
  <c r="E193" i="5"/>
  <c r="E182" i="5"/>
  <c r="E194" i="5"/>
  <c r="E202" i="5"/>
  <c r="E183" i="5"/>
  <c r="E191" i="5"/>
  <c r="E199" i="5"/>
  <c r="E188" i="5"/>
  <c r="E196" i="5"/>
  <c r="E197" i="5"/>
  <c r="E190" i="5"/>
  <c r="E187" i="5"/>
  <c r="E192" i="5"/>
  <c r="E180" i="5"/>
  <c r="E189" i="5"/>
  <c r="E201" i="5"/>
  <c r="E186" i="5"/>
  <c r="E198" i="5"/>
  <c r="E195" i="5"/>
  <c r="E203" i="5"/>
  <c r="E184" i="5"/>
  <c r="E200" i="5"/>
  <c r="G217" i="5"/>
  <c r="G225" i="5"/>
  <c r="G229" i="5"/>
  <c r="G226" i="5"/>
  <c r="G216" i="5"/>
  <c r="G232" i="5"/>
  <c r="G219" i="5"/>
  <c r="G227" i="5"/>
  <c r="G235" i="5"/>
  <c r="G222" i="5"/>
  <c r="G213" i="5"/>
  <c r="G228" i="5"/>
  <c r="G236" i="5"/>
  <c r="G215" i="5"/>
  <c r="G221" i="5"/>
  <c r="G233" i="5"/>
  <c r="G218" i="5"/>
  <c r="G234" i="5"/>
  <c r="G224" i="5"/>
  <c r="G223" i="5"/>
  <c r="G231" i="5"/>
  <c r="G214" i="5"/>
  <c r="G230" i="5"/>
  <c r="G220" i="5"/>
  <c r="G189" i="5"/>
  <c r="G197" i="5"/>
  <c r="G201" i="5"/>
  <c r="G182" i="5"/>
  <c r="G190" i="5"/>
  <c r="G198" i="5"/>
  <c r="G187" i="5"/>
  <c r="G195" i="5"/>
  <c r="G203" i="5"/>
  <c r="G192" i="5"/>
  <c r="G200" i="5"/>
  <c r="G186" i="5"/>
  <c r="G202" i="5"/>
  <c r="G191" i="5"/>
  <c r="G184" i="5"/>
  <c r="G196" i="5"/>
  <c r="G181" i="5"/>
  <c r="G180" i="5"/>
  <c r="G185" i="5"/>
  <c r="G193" i="5"/>
  <c r="G194" i="5"/>
  <c r="G183" i="5"/>
  <c r="G199" i="5"/>
  <c r="G188" i="5"/>
  <c r="I217" i="5"/>
  <c r="I225" i="5"/>
  <c r="I233" i="5"/>
  <c r="I226" i="5"/>
  <c r="I234" i="5"/>
  <c r="I224" i="5"/>
  <c r="I232" i="5"/>
  <c r="I219" i="5"/>
  <c r="I227" i="5"/>
  <c r="I231" i="5"/>
  <c r="I222" i="5"/>
  <c r="I230" i="5"/>
  <c r="I213" i="5"/>
  <c r="I220" i="5"/>
  <c r="I215" i="5"/>
  <c r="I221" i="5"/>
  <c r="I229" i="5"/>
  <c r="I218" i="5"/>
  <c r="I216" i="5"/>
  <c r="I223" i="5"/>
  <c r="I235" i="5"/>
  <c r="I214" i="5"/>
  <c r="I228" i="5"/>
  <c r="I236" i="5"/>
  <c r="I181" i="5"/>
  <c r="I180" i="5"/>
  <c r="I185" i="5"/>
  <c r="I193" i="5"/>
  <c r="I186" i="5"/>
  <c r="I190" i="5"/>
  <c r="I198" i="5"/>
  <c r="I183" i="5"/>
  <c r="I191" i="5"/>
  <c r="I199" i="5"/>
  <c r="I184" i="5"/>
  <c r="I192" i="5"/>
  <c r="I200" i="5"/>
  <c r="I201" i="5"/>
  <c r="I182" i="5"/>
  <c r="I194" i="5"/>
  <c r="I195" i="5"/>
  <c r="I203" i="5"/>
  <c r="I196" i="5"/>
  <c r="I189" i="5"/>
  <c r="I197" i="5"/>
  <c r="I202" i="5"/>
  <c r="I187" i="5"/>
  <c r="I188" i="5"/>
  <c r="K221" i="5"/>
  <c r="K233" i="5"/>
  <c r="K218" i="5"/>
  <c r="K234" i="5"/>
  <c r="K224" i="5"/>
  <c r="K223" i="5"/>
  <c r="K231" i="5"/>
  <c r="K214" i="5"/>
  <c r="K230" i="5"/>
  <c r="K220" i="5"/>
  <c r="K217" i="5"/>
  <c r="K225" i="5"/>
  <c r="K229" i="5"/>
  <c r="K226" i="5"/>
  <c r="K216" i="5"/>
  <c r="K232" i="5"/>
  <c r="K219" i="5"/>
  <c r="K227" i="5"/>
  <c r="K235" i="5"/>
  <c r="K222" i="5"/>
  <c r="K213" i="5"/>
  <c r="K228" i="5"/>
  <c r="K236" i="5"/>
  <c r="K215" i="5"/>
  <c r="K181" i="5"/>
  <c r="K180" i="5"/>
  <c r="K189" i="5"/>
  <c r="K197" i="5"/>
  <c r="K201" i="5"/>
  <c r="K186" i="5"/>
  <c r="K194" i="5"/>
  <c r="K202" i="5"/>
  <c r="K187" i="5"/>
  <c r="K195" i="5"/>
  <c r="K203" i="5"/>
  <c r="K184" i="5"/>
  <c r="K188" i="5"/>
  <c r="K196" i="5"/>
  <c r="K190" i="5"/>
  <c r="K183" i="5"/>
  <c r="K199" i="5"/>
  <c r="K200" i="5"/>
  <c r="K185" i="5"/>
  <c r="K193" i="5"/>
  <c r="K182" i="5"/>
  <c r="K198" i="5"/>
  <c r="K191" i="5"/>
  <c r="K192" i="5"/>
  <c r="M221" i="5"/>
  <c r="M229" i="5"/>
  <c r="M218" i="5"/>
  <c r="M216" i="5"/>
  <c r="M223" i="5"/>
  <c r="M235" i="5"/>
  <c r="M214" i="5"/>
  <c r="M228" i="5"/>
  <c r="M236" i="5"/>
  <c r="M217" i="5"/>
  <c r="M225" i="5"/>
  <c r="M233" i="5"/>
  <c r="M226" i="5"/>
  <c r="M234" i="5"/>
  <c r="M224" i="5"/>
  <c r="M232" i="5"/>
  <c r="M219" i="5"/>
  <c r="M227" i="5"/>
  <c r="M231" i="5"/>
  <c r="M222" i="5"/>
  <c r="M230" i="5"/>
  <c r="M213" i="5"/>
  <c r="M220" i="5"/>
  <c r="M215" i="5"/>
  <c r="M181" i="5"/>
  <c r="M180" i="5"/>
  <c r="M185" i="5"/>
  <c r="M193" i="5"/>
  <c r="M201" i="5"/>
  <c r="M186" i="5"/>
  <c r="M194" i="5"/>
  <c r="M202" i="5"/>
  <c r="M183" i="5"/>
  <c r="M195" i="5"/>
  <c r="M203" i="5"/>
  <c r="M184" i="5"/>
  <c r="M192" i="5"/>
  <c r="M200" i="5"/>
  <c r="M190" i="5"/>
  <c r="M191" i="5"/>
  <c r="M196" i="5"/>
  <c r="M189" i="5"/>
  <c r="M197" i="5"/>
  <c r="M182" i="5"/>
  <c r="M198" i="5"/>
  <c r="M187" i="5"/>
  <c r="M199" i="5"/>
  <c r="M188" i="5"/>
  <c r="O217" i="5"/>
  <c r="O225" i="5"/>
  <c r="O229" i="5"/>
  <c r="O226" i="5"/>
  <c r="O216" i="5"/>
  <c r="O232" i="5"/>
  <c r="O219" i="5"/>
  <c r="O227" i="5"/>
  <c r="O235" i="5"/>
  <c r="O222" i="5"/>
  <c r="O213" i="5"/>
  <c r="O228" i="5"/>
  <c r="O236" i="5"/>
  <c r="O215" i="5"/>
  <c r="O221" i="5"/>
  <c r="O233" i="5"/>
  <c r="O218" i="5"/>
  <c r="O234" i="5"/>
  <c r="O224" i="5"/>
  <c r="O223" i="5"/>
  <c r="O231" i="5"/>
  <c r="O214" i="5"/>
  <c r="O230" i="5"/>
  <c r="O220" i="5"/>
  <c r="O185" i="5"/>
  <c r="O193" i="5"/>
  <c r="O201" i="5"/>
  <c r="O186" i="5"/>
  <c r="O194" i="5"/>
  <c r="O183" i="5"/>
  <c r="O191" i="5"/>
  <c r="O199" i="5"/>
  <c r="O188" i="5"/>
  <c r="O196" i="5"/>
  <c r="O197" i="5"/>
  <c r="O198" i="5"/>
  <c r="O202" i="5"/>
  <c r="O187" i="5"/>
  <c r="O203" i="5"/>
  <c r="O184" i="5"/>
  <c r="O200" i="5"/>
  <c r="O181" i="5"/>
  <c r="O180" i="5"/>
  <c r="O189" i="5"/>
  <c r="O182" i="5"/>
  <c r="O190" i="5"/>
  <c r="O195" i="5"/>
  <c r="O192" i="5"/>
  <c r="Q217" i="5"/>
  <c r="Q225" i="5"/>
  <c r="Q233" i="5"/>
  <c r="Q226" i="5"/>
  <c r="Q224" i="5"/>
  <c r="Q223" i="5"/>
  <c r="Q231" i="5"/>
  <c r="Q214" i="5"/>
  <c r="Q222" i="5"/>
  <c r="Q213" i="5"/>
  <c r="Q220" i="5"/>
  <c r="Q236" i="5"/>
  <c r="Q221" i="5"/>
  <c r="Q229" i="5"/>
  <c r="Q218" i="5"/>
  <c r="Q234" i="5"/>
  <c r="Q216" i="5"/>
  <c r="Q232" i="5"/>
  <c r="Q219" i="5"/>
  <c r="Q227" i="5"/>
  <c r="Q235" i="5"/>
  <c r="Q230" i="5"/>
  <c r="Q228" i="5"/>
  <c r="Q215" i="5"/>
  <c r="Q181" i="5"/>
  <c r="Q180" i="5"/>
  <c r="Q189" i="5"/>
  <c r="Q197" i="5"/>
  <c r="Q182" i="5"/>
  <c r="Q190" i="5"/>
  <c r="Q198" i="5"/>
  <c r="Q202" i="5"/>
  <c r="Q187" i="5"/>
  <c r="Q195" i="5"/>
  <c r="Q203" i="5"/>
  <c r="Q184" i="5"/>
  <c r="Q192" i="5"/>
  <c r="Q200" i="5"/>
  <c r="Q201" i="5"/>
  <c r="Q194" i="5"/>
  <c r="Q191" i="5"/>
  <c r="Q188" i="5"/>
  <c r="Q185" i="5"/>
  <c r="Q193" i="5"/>
  <c r="Q186" i="5"/>
  <c r="Q183" i="5"/>
  <c r="Q199" i="5"/>
  <c r="Q196" i="5"/>
  <c r="D221" i="5"/>
  <c r="D229" i="5"/>
  <c r="D226" i="5"/>
  <c r="D234" i="5"/>
  <c r="D224" i="5"/>
  <c r="D232" i="5"/>
  <c r="D223" i="5"/>
  <c r="D231" i="5"/>
  <c r="D214" i="5"/>
  <c r="D230" i="5"/>
  <c r="D220" i="5"/>
  <c r="D217" i="5"/>
  <c r="D225" i="5"/>
  <c r="D233" i="5"/>
  <c r="D218" i="5"/>
  <c r="D216" i="5"/>
  <c r="D219" i="5"/>
  <c r="D227" i="5"/>
  <c r="D235" i="5"/>
  <c r="D222" i="5"/>
  <c r="D213" i="5"/>
  <c r="D228" i="5"/>
  <c r="D236" i="5"/>
  <c r="D215" i="5"/>
  <c r="S149" i="5"/>
  <c r="S155" i="5"/>
  <c r="S163" i="5"/>
  <c r="S150" i="5"/>
  <c r="S154" i="5"/>
  <c r="S162" i="5"/>
  <c r="S170" i="5"/>
  <c r="S165" i="5"/>
  <c r="S148" i="5"/>
  <c r="S152" i="5"/>
  <c r="S160" i="5"/>
  <c r="S168" i="5"/>
  <c r="S151" i="5"/>
  <c r="S159" i="5"/>
  <c r="S158" i="5"/>
  <c r="S157" i="5"/>
  <c r="S169" i="5"/>
  <c r="S164" i="5"/>
  <c r="S147" i="5"/>
  <c r="S167" i="5"/>
  <c r="S166" i="5"/>
  <c r="S153" i="5"/>
  <c r="S161" i="5"/>
  <c r="S156" i="5"/>
  <c r="W80" i="1"/>
  <c r="S394" i="5"/>
  <c r="S404" i="5"/>
  <c r="S398" i="5"/>
  <c r="S403" i="5"/>
  <c r="D87" i="1"/>
  <c r="D22" i="7"/>
  <c r="D28" i="7"/>
  <c r="F87" i="1"/>
  <c r="H93" i="1"/>
  <c r="R67" i="1"/>
  <c r="I78" i="1"/>
  <c r="E319" i="5"/>
  <c r="E340" i="5"/>
  <c r="E339" i="5"/>
  <c r="E336" i="5"/>
  <c r="E335" i="5"/>
  <c r="E334" i="5"/>
  <c r="E333" i="5"/>
  <c r="E332" i="5"/>
  <c r="E331" i="5"/>
  <c r="E330" i="5"/>
  <c r="E329" i="5"/>
  <c r="E328" i="5"/>
  <c r="E327" i="5"/>
  <c r="E326" i="5"/>
  <c r="E325" i="5"/>
  <c r="E324" i="5"/>
  <c r="E323" i="5"/>
  <c r="E322" i="5"/>
  <c r="E321" i="5"/>
  <c r="E342" i="5"/>
  <c r="E341" i="5"/>
  <c r="E320" i="5"/>
  <c r="E338" i="5"/>
  <c r="E337" i="5"/>
  <c r="Q78" i="1"/>
  <c r="M319" i="5"/>
  <c r="M342" i="5"/>
  <c r="M339" i="5"/>
  <c r="M338" i="5"/>
  <c r="M335" i="5"/>
  <c r="M334" i="5"/>
  <c r="M333" i="5"/>
  <c r="M332" i="5"/>
  <c r="M331" i="5"/>
  <c r="M330" i="5"/>
  <c r="M329" i="5"/>
  <c r="M328" i="5"/>
  <c r="M327" i="5"/>
  <c r="M326" i="5"/>
  <c r="M325" i="5"/>
  <c r="M324" i="5"/>
  <c r="M323" i="5"/>
  <c r="M322" i="5"/>
  <c r="M337" i="5"/>
  <c r="M336" i="5"/>
  <c r="M321" i="5"/>
  <c r="M320" i="5"/>
  <c r="M341" i="5"/>
  <c r="M340" i="5"/>
  <c r="D28" i="5"/>
  <c r="E30" i="5"/>
  <c r="G9" i="1"/>
  <c r="V65" i="1"/>
  <c r="I70" i="1"/>
  <c r="K68" i="1"/>
  <c r="M70" i="1"/>
  <c r="O68" i="1"/>
  <c r="Q70" i="1"/>
  <c r="S68" i="1"/>
  <c r="U70" i="1"/>
  <c r="F31" i="1"/>
  <c r="H68" i="1"/>
  <c r="H70" i="1"/>
  <c r="W68" i="1"/>
  <c r="J70" i="1"/>
  <c r="L69" i="1"/>
  <c r="N70" i="1"/>
  <c r="P69" i="1"/>
  <c r="R70" i="1"/>
  <c r="T69" i="1"/>
  <c r="V70" i="1"/>
  <c r="X69" i="1"/>
  <c r="K60" i="1"/>
  <c r="S67" i="1"/>
  <c r="H67" i="1"/>
  <c r="R60" i="1"/>
  <c r="J68" i="1"/>
  <c r="L68" i="1"/>
  <c r="L70" i="1"/>
  <c r="N68" i="1"/>
  <c r="P68" i="1"/>
  <c r="P70" i="1"/>
  <c r="R68" i="1"/>
  <c r="T68" i="1"/>
  <c r="T70" i="1"/>
  <c r="V68" i="1"/>
  <c r="X68" i="1"/>
  <c r="X70" i="1"/>
  <c r="I68" i="1"/>
  <c r="M68" i="1"/>
  <c r="Q68" i="1"/>
  <c r="U68" i="1"/>
  <c r="F30" i="1"/>
  <c r="F29" i="1"/>
  <c r="H69" i="1"/>
  <c r="W70" i="1"/>
  <c r="X60" i="1"/>
  <c r="M65" i="1"/>
  <c r="P67" i="1"/>
  <c r="X67" i="1"/>
  <c r="S60" i="1"/>
  <c r="J60" i="1"/>
  <c r="H32" i="1"/>
  <c r="L67" i="1"/>
  <c r="T67" i="1"/>
  <c r="L60" i="1"/>
  <c r="T60" i="1"/>
  <c r="I60" i="1"/>
  <c r="Q60" i="1"/>
  <c r="O67" i="1"/>
  <c r="S65" i="1"/>
  <c r="H60" i="1"/>
  <c r="U65" i="1"/>
  <c r="M60" i="1"/>
  <c r="O66" i="1"/>
  <c r="Q32" i="1"/>
  <c r="W66" i="1"/>
  <c r="F26" i="1"/>
  <c r="P60" i="1"/>
  <c r="N67" i="1"/>
  <c r="V67" i="1"/>
  <c r="T65" i="1"/>
  <c r="W60" i="1"/>
  <c r="O60" i="1"/>
  <c r="U66" i="1"/>
  <c r="V60" i="1"/>
  <c r="M67" i="1"/>
  <c r="U67" i="1"/>
  <c r="K65" i="1"/>
  <c r="W65" i="1"/>
  <c r="J32" i="1"/>
  <c r="J66" i="1"/>
  <c r="R32" i="1"/>
  <c r="R66" i="1"/>
  <c r="N32" i="1"/>
  <c r="N66" i="1"/>
  <c r="V32" i="1"/>
  <c r="V66" i="1"/>
  <c r="L32" i="1"/>
  <c r="L66" i="1"/>
  <c r="P32" i="1"/>
  <c r="P66" i="1"/>
  <c r="T32" i="1"/>
  <c r="T66" i="1"/>
  <c r="X32" i="1"/>
  <c r="X66" i="1"/>
  <c r="F28" i="1"/>
  <c r="J67" i="1"/>
  <c r="H66" i="1"/>
  <c r="K32" i="1"/>
  <c r="I32" i="1"/>
  <c r="M66" i="1"/>
  <c r="I65" i="1"/>
  <c r="Q65" i="1"/>
  <c r="K67" i="1"/>
  <c r="W67" i="1"/>
  <c r="W32" i="1"/>
  <c r="O65" i="1"/>
  <c r="S32" i="1"/>
  <c r="I66" i="1"/>
  <c r="K66" i="1"/>
  <c r="K77" i="1"/>
  <c r="M32" i="1"/>
  <c r="Q66" i="1"/>
  <c r="S66" i="1"/>
  <c r="U32" i="1"/>
  <c r="F27" i="1"/>
  <c r="C28" i="5"/>
  <c r="J387" i="5"/>
  <c r="J405" i="5"/>
  <c r="J386" i="5"/>
  <c r="O399" i="5"/>
  <c r="O395" i="5"/>
  <c r="O386" i="5"/>
  <c r="O393" i="5"/>
  <c r="O392" i="5"/>
  <c r="O390" i="5"/>
  <c r="S80" i="1"/>
  <c r="M405" i="5"/>
  <c r="I387" i="5"/>
  <c r="I391" i="5"/>
  <c r="I405" i="5"/>
  <c r="I404" i="5"/>
  <c r="I406" i="5"/>
  <c r="I408" i="5"/>
  <c r="M107" i="1"/>
  <c r="R395" i="5"/>
  <c r="N403" i="5"/>
  <c r="N387" i="5"/>
  <c r="N401" i="5"/>
  <c r="N385" i="5"/>
  <c r="N405" i="5"/>
  <c r="N404" i="5"/>
  <c r="R107" i="1"/>
  <c r="O407" i="5"/>
  <c r="O387" i="5"/>
  <c r="O405" i="5"/>
  <c r="O389" i="5"/>
  <c r="O385" i="5"/>
  <c r="O404" i="5"/>
  <c r="O409" i="5"/>
  <c r="Q107" i="1"/>
  <c r="I395" i="5"/>
  <c r="I402" i="5"/>
  <c r="I401" i="5"/>
  <c r="I396" i="5"/>
  <c r="I398" i="5"/>
  <c r="G423" i="5"/>
  <c r="R393" i="5"/>
  <c r="N399" i="5"/>
  <c r="N406" i="5"/>
  <c r="N408" i="5"/>
  <c r="N402" i="5"/>
  <c r="N397" i="5"/>
  <c r="S640" i="5"/>
  <c r="N103" i="1"/>
  <c r="S395" i="5"/>
  <c r="S387" i="5"/>
  <c r="S401" i="5"/>
  <c r="S388" i="5"/>
  <c r="S389" i="5"/>
  <c r="M387" i="5"/>
  <c r="M392" i="5"/>
  <c r="M404" i="5"/>
  <c r="K395" i="5"/>
  <c r="K396" i="5"/>
  <c r="K393" i="5"/>
  <c r="G437" i="5"/>
  <c r="G419" i="5"/>
  <c r="G420" i="5"/>
  <c r="K108" i="1"/>
  <c r="E407" i="5"/>
  <c r="E403" i="5"/>
  <c r="E387" i="5"/>
  <c r="E406" i="5"/>
  <c r="E390" i="5"/>
  <c r="E408" i="5"/>
  <c r="E392" i="5"/>
  <c r="E394" i="5"/>
  <c r="E405" i="5"/>
  <c r="E397" i="5"/>
  <c r="E404" i="5"/>
  <c r="E388" i="5"/>
  <c r="R403" i="5"/>
  <c r="R394" i="5"/>
  <c r="R388" i="5"/>
  <c r="V80" i="1"/>
  <c r="J385" i="5"/>
  <c r="J396" i="5"/>
  <c r="J400" i="5"/>
  <c r="S635" i="5"/>
  <c r="S650" i="5"/>
  <c r="S638" i="5"/>
  <c r="E483" i="5"/>
  <c r="D465" i="5"/>
  <c r="G483" i="5"/>
  <c r="F480" i="5"/>
  <c r="F22" i="7"/>
  <c r="B4" i="5"/>
  <c r="C459" i="5"/>
  <c r="B6" i="5"/>
  <c r="C461" i="5"/>
  <c r="O461" i="5"/>
  <c r="B8" i="5"/>
  <c r="C463" i="5"/>
  <c r="O463" i="5"/>
  <c r="B10" i="5"/>
  <c r="C465" i="5"/>
  <c r="O465" i="5"/>
  <c r="B12" i="5"/>
  <c r="C467" i="5"/>
  <c r="O467" i="5"/>
  <c r="B14" i="5"/>
  <c r="C469" i="5"/>
  <c r="O469" i="5"/>
  <c r="B16" i="5"/>
  <c r="C471" i="5"/>
  <c r="O471" i="5"/>
  <c r="B18" i="5"/>
  <c r="C473" i="5"/>
  <c r="O473" i="5"/>
  <c r="B20" i="5"/>
  <c r="C475" i="5"/>
  <c r="O475" i="5"/>
  <c r="B22" i="5"/>
  <c r="C477" i="5"/>
  <c r="O477" i="5"/>
  <c r="B24" i="5"/>
  <c r="C479" i="5"/>
  <c r="O479" i="5"/>
  <c r="B26" i="5"/>
  <c r="C481" i="5"/>
  <c r="O481" i="5"/>
  <c r="B7" i="5"/>
  <c r="C462" i="5"/>
  <c r="O462" i="5"/>
  <c r="B11" i="5"/>
  <c r="C466" i="5"/>
  <c r="O466" i="5"/>
  <c r="B15" i="5"/>
  <c r="C470" i="5"/>
  <c r="O470" i="5"/>
  <c r="B19" i="5"/>
  <c r="C474" i="5"/>
  <c r="O474" i="5"/>
  <c r="B23" i="5"/>
  <c r="C478" i="5"/>
  <c r="O478" i="5"/>
  <c r="B27" i="5"/>
  <c r="C482" i="5"/>
  <c r="O482" i="5"/>
  <c r="B5" i="5"/>
  <c r="C460" i="5"/>
  <c r="O460" i="5"/>
  <c r="B9" i="5"/>
  <c r="C464" i="5"/>
  <c r="O464" i="5"/>
  <c r="B13" i="5"/>
  <c r="C468" i="5"/>
  <c r="O468" i="5"/>
  <c r="B17" i="5"/>
  <c r="C472" i="5"/>
  <c r="O472" i="5"/>
  <c r="B21" i="5"/>
  <c r="C476" i="5"/>
  <c r="O476" i="5"/>
  <c r="B25" i="5"/>
  <c r="C480" i="5"/>
  <c r="O480" i="5"/>
  <c r="S407" i="5"/>
  <c r="S391" i="5"/>
  <c r="S399" i="5"/>
  <c r="S406" i="5"/>
  <c r="S390" i="5"/>
  <c r="S393" i="5"/>
  <c r="S396" i="5"/>
  <c r="S385" i="5"/>
  <c r="S405" i="5"/>
  <c r="S400" i="5"/>
  <c r="M403" i="5"/>
  <c r="M406" i="5"/>
  <c r="M408" i="5"/>
  <c r="M394" i="5"/>
  <c r="M397" i="5"/>
  <c r="K403" i="5"/>
  <c r="K387" i="5"/>
  <c r="K401" i="5"/>
  <c r="K385" i="5"/>
  <c r="K405" i="5"/>
  <c r="K408" i="5"/>
  <c r="G429" i="5"/>
  <c r="G418" i="5"/>
  <c r="G428" i="5"/>
  <c r="G426" i="5"/>
  <c r="G425" i="5"/>
  <c r="R387" i="5"/>
  <c r="R385" i="5"/>
  <c r="R405" i="5"/>
  <c r="R404" i="5"/>
  <c r="R398" i="5"/>
  <c r="J403" i="5"/>
  <c r="J395" i="5"/>
  <c r="J398" i="5"/>
  <c r="J389" i="5"/>
  <c r="J402" i="5"/>
  <c r="J393" i="5"/>
  <c r="R103" i="1"/>
  <c r="J76" i="1"/>
  <c r="S643" i="5"/>
  <c r="S648" i="5"/>
  <c r="S632" i="5"/>
  <c r="S641" i="5"/>
  <c r="S646" i="5"/>
  <c r="Q80" i="1"/>
  <c r="M396" i="5"/>
  <c r="M389" i="5"/>
  <c r="M401" i="5"/>
  <c r="M386" i="5"/>
  <c r="M402" i="5"/>
  <c r="M400" i="5"/>
  <c r="M393" i="5"/>
  <c r="M398" i="5"/>
  <c r="M385" i="5"/>
  <c r="M395" i="5"/>
  <c r="M399" i="5"/>
  <c r="M407" i="5"/>
  <c r="O80" i="1"/>
  <c r="K400" i="5"/>
  <c r="K389" i="5"/>
  <c r="K397" i="5"/>
  <c r="K386" i="5"/>
  <c r="K402" i="5"/>
  <c r="K388" i="5"/>
  <c r="K404" i="5"/>
  <c r="K390" i="5"/>
  <c r="K406" i="5"/>
  <c r="K391" i="5"/>
  <c r="K399" i="5"/>
  <c r="K407" i="5"/>
  <c r="K81" i="1"/>
  <c r="G432" i="5"/>
  <c r="G427" i="5"/>
  <c r="G441" i="5"/>
  <c r="G422" i="5"/>
  <c r="G430" i="5"/>
  <c r="G438" i="5"/>
  <c r="G436" i="5"/>
  <c r="G435" i="5"/>
  <c r="G433" i="5"/>
  <c r="G439" i="5"/>
  <c r="G421" i="5"/>
  <c r="G431" i="5"/>
  <c r="V107" i="1"/>
  <c r="R392" i="5"/>
  <c r="R408" i="5"/>
  <c r="R390" i="5"/>
  <c r="R406" i="5"/>
  <c r="R396" i="5"/>
  <c r="R389" i="5"/>
  <c r="R397" i="5"/>
  <c r="R386" i="5"/>
  <c r="R402" i="5"/>
  <c r="R391" i="5"/>
  <c r="R407" i="5"/>
  <c r="R399" i="5"/>
  <c r="N107" i="1"/>
  <c r="J392" i="5"/>
  <c r="J408" i="5"/>
  <c r="J401" i="5"/>
  <c r="J394" i="5"/>
  <c r="J388" i="5"/>
  <c r="J404" i="5"/>
  <c r="J397" i="5"/>
  <c r="J390" i="5"/>
  <c r="J406" i="5"/>
  <c r="J391" i="5"/>
  <c r="J407" i="5"/>
  <c r="J399" i="5"/>
  <c r="S649" i="5"/>
  <c r="S634" i="5"/>
  <c r="S642" i="5"/>
  <c r="S629" i="5"/>
  <c r="S637" i="5"/>
  <c r="S645" i="5"/>
  <c r="S628" i="5"/>
  <c r="S636" i="5"/>
  <c r="S644" i="5"/>
  <c r="S631" i="5"/>
  <c r="S639" i="5"/>
  <c r="S647" i="5"/>
  <c r="W107" i="1"/>
  <c r="S392" i="5"/>
  <c r="S408" i="5"/>
  <c r="S397" i="5"/>
  <c r="S386" i="5"/>
  <c r="S402" i="5"/>
  <c r="K105" i="1"/>
  <c r="J105" i="1"/>
  <c r="U105" i="1"/>
  <c r="N105" i="1"/>
  <c r="O105" i="1"/>
  <c r="L105" i="1"/>
  <c r="P105" i="1"/>
  <c r="D651" i="5"/>
  <c r="D649" i="5"/>
  <c r="D630" i="5"/>
  <c r="D634" i="5"/>
  <c r="D642" i="5"/>
  <c r="D646" i="5"/>
  <c r="D629" i="5"/>
  <c r="D633" i="5"/>
  <c r="D637" i="5"/>
  <c r="D641" i="5"/>
  <c r="D645" i="5"/>
  <c r="D650" i="5"/>
  <c r="D628" i="5"/>
  <c r="D632" i="5"/>
  <c r="D644" i="5"/>
  <c r="D648" i="5"/>
  <c r="D631" i="5"/>
  <c r="D635" i="5"/>
  <c r="D639" i="5"/>
  <c r="D643" i="5"/>
  <c r="D647" i="5"/>
  <c r="D638" i="5"/>
  <c r="D636" i="5"/>
  <c r="D640" i="5"/>
  <c r="Q595" i="5"/>
  <c r="Q599" i="5"/>
  <c r="Q607" i="5"/>
  <c r="Q611" i="5"/>
  <c r="Q615" i="5"/>
  <c r="Q598" i="5"/>
  <c r="Q602" i="5"/>
  <c r="Q606" i="5"/>
  <c r="Q610" i="5"/>
  <c r="Q614" i="5"/>
  <c r="Q618" i="5"/>
  <c r="Q609" i="5"/>
  <c r="Q613" i="5"/>
  <c r="Q596" i="5"/>
  <c r="Q600" i="5"/>
  <c r="Q617" i="5"/>
  <c r="Q603" i="5"/>
  <c r="Q616" i="5"/>
  <c r="Q597" i="5"/>
  <c r="Q601" i="5"/>
  <c r="Q605" i="5"/>
  <c r="Q604" i="5"/>
  <c r="Q608" i="5"/>
  <c r="Q612" i="5"/>
  <c r="I595" i="5"/>
  <c r="I599" i="5"/>
  <c r="I607" i="5"/>
  <c r="I611" i="5"/>
  <c r="I615" i="5"/>
  <c r="I598" i="5"/>
  <c r="I602" i="5"/>
  <c r="I606" i="5"/>
  <c r="I610" i="5"/>
  <c r="I614" i="5"/>
  <c r="I618" i="5"/>
  <c r="I609" i="5"/>
  <c r="I613" i="5"/>
  <c r="I596" i="5"/>
  <c r="I600" i="5"/>
  <c r="I617" i="5"/>
  <c r="I603" i="5"/>
  <c r="I616" i="5"/>
  <c r="I597" i="5"/>
  <c r="I601" i="5"/>
  <c r="I605" i="5"/>
  <c r="I604" i="5"/>
  <c r="I608" i="5"/>
  <c r="I612" i="5"/>
  <c r="T617" i="5"/>
  <c r="T595" i="5"/>
  <c r="T599" i="5"/>
  <c r="T603" i="5"/>
  <c r="T607" i="5"/>
  <c r="T611" i="5"/>
  <c r="T615" i="5"/>
  <c r="T618" i="5"/>
  <c r="T605" i="5"/>
  <c r="T609" i="5"/>
  <c r="T613" i="5"/>
  <c r="T596" i="5"/>
  <c r="T598" i="5"/>
  <c r="T602" i="5"/>
  <c r="T606" i="5"/>
  <c r="T610" i="5"/>
  <c r="T614" i="5"/>
  <c r="T616" i="5"/>
  <c r="T604" i="5"/>
  <c r="T608" i="5"/>
  <c r="T612" i="5"/>
  <c r="T597" i="5"/>
  <c r="T601" i="5"/>
  <c r="T600" i="5"/>
  <c r="P683" i="5"/>
  <c r="P661" i="5"/>
  <c r="P665" i="5"/>
  <c r="P669" i="5"/>
  <c r="P673" i="5"/>
  <c r="P677" i="5"/>
  <c r="P681" i="5"/>
  <c r="P664" i="5"/>
  <c r="P668" i="5"/>
  <c r="P672" i="5"/>
  <c r="P676" i="5"/>
  <c r="P680" i="5"/>
  <c r="P684" i="5"/>
  <c r="P682" i="5"/>
  <c r="P663" i="5"/>
  <c r="P667" i="5"/>
  <c r="P671" i="5"/>
  <c r="P675" i="5"/>
  <c r="P679" i="5"/>
  <c r="P662" i="5"/>
  <c r="P666" i="5"/>
  <c r="P670" i="5"/>
  <c r="P674" i="5"/>
  <c r="P678" i="5"/>
  <c r="N606" i="5"/>
  <c r="N610" i="5"/>
  <c r="N614" i="5"/>
  <c r="N596" i="5"/>
  <c r="N617" i="5"/>
  <c r="N595" i="5"/>
  <c r="N599" i="5"/>
  <c r="N603" i="5"/>
  <c r="N607" i="5"/>
  <c r="N611" i="5"/>
  <c r="N615" i="5"/>
  <c r="N598" i="5"/>
  <c r="N602" i="5"/>
  <c r="N618" i="5"/>
  <c r="N597" i="5"/>
  <c r="N601" i="5"/>
  <c r="N605" i="5"/>
  <c r="N609" i="5"/>
  <c r="N613" i="5"/>
  <c r="N616" i="5"/>
  <c r="N600" i="5"/>
  <c r="N604" i="5"/>
  <c r="N608" i="5"/>
  <c r="N612" i="5"/>
  <c r="L617" i="5"/>
  <c r="L595" i="5"/>
  <c r="L599" i="5"/>
  <c r="L603" i="5"/>
  <c r="L607" i="5"/>
  <c r="L611" i="5"/>
  <c r="L615" i="5"/>
  <c r="L609" i="5"/>
  <c r="L613" i="5"/>
  <c r="L596" i="5"/>
  <c r="L600" i="5"/>
  <c r="L598" i="5"/>
  <c r="L602" i="5"/>
  <c r="L606" i="5"/>
  <c r="L610" i="5"/>
  <c r="L614" i="5"/>
  <c r="L618" i="5"/>
  <c r="L616" i="5"/>
  <c r="L604" i="5"/>
  <c r="L608" i="5"/>
  <c r="L612" i="5"/>
  <c r="L597" i="5"/>
  <c r="L601" i="5"/>
  <c r="L605" i="5"/>
  <c r="H683" i="5"/>
  <c r="H661" i="5"/>
  <c r="H665" i="5"/>
  <c r="H669" i="5"/>
  <c r="H673" i="5"/>
  <c r="H677" i="5"/>
  <c r="H681" i="5"/>
  <c r="H664" i="5"/>
  <c r="H668" i="5"/>
  <c r="H672" i="5"/>
  <c r="H676" i="5"/>
  <c r="H680" i="5"/>
  <c r="H684" i="5"/>
  <c r="H682" i="5"/>
  <c r="H663" i="5"/>
  <c r="H667" i="5"/>
  <c r="H671" i="5"/>
  <c r="H675" i="5"/>
  <c r="H679" i="5"/>
  <c r="H662" i="5"/>
  <c r="H666" i="5"/>
  <c r="H670" i="5"/>
  <c r="H674" i="5"/>
  <c r="H678" i="5"/>
  <c r="F606" i="5"/>
  <c r="F610" i="5"/>
  <c r="F614" i="5"/>
  <c r="F618" i="5"/>
  <c r="F596" i="5"/>
  <c r="F600" i="5"/>
  <c r="F617" i="5"/>
  <c r="F595" i="5"/>
  <c r="F599" i="5"/>
  <c r="F603" i="5"/>
  <c r="F607" i="5"/>
  <c r="F611" i="5"/>
  <c r="F615" i="5"/>
  <c r="F598" i="5"/>
  <c r="F602" i="5"/>
  <c r="F597" i="5"/>
  <c r="F601" i="5"/>
  <c r="F605" i="5"/>
  <c r="F609" i="5"/>
  <c r="F613" i="5"/>
  <c r="F616" i="5"/>
  <c r="F604" i="5"/>
  <c r="F608" i="5"/>
  <c r="F612" i="5"/>
  <c r="H105" i="1"/>
  <c r="T646" i="5"/>
  <c r="T650" i="5"/>
  <c r="T644" i="5"/>
  <c r="T648" i="5"/>
  <c r="T651" i="5"/>
  <c r="T649" i="5"/>
  <c r="T630" i="5"/>
  <c r="T634" i="5"/>
  <c r="T638" i="5"/>
  <c r="T642" i="5"/>
  <c r="T629" i="5"/>
  <c r="T633" i="5"/>
  <c r="T637" i="5"/>
  <c r="T641" i="5"/>
  <c r="T645" i="5"/>
  <c r="T628" i="5"/>
  <c r="T632" i="5"/>
  <c r="T636" i="5"/>
  <c r="T640" i="5"/>
  <c r="T631" i="5"/>
  <c r="T635" i="5"/>
  <c r="T639" i="5"/>
  <c r="T643" i="5"/>
  <c r="T647" i="5"/>
  <c r="P638" i="5"/>
  <c r="P642" i="5"/>
  <c r="P646" i="5"/>
  <c r="P650" i="5"/>
  <c r="P636" i="5"/>
  <c r="P640" i="5"/>
  <c r="P644" i="5"/>
  <c r="P648" i="5"/>
  <c r="P651" i="5"/>
  <c r="P649" i="5"/>
  <c r="P630" i="5"/>
  <c r="P634" i="5"/>
  <c r="P629" i="5"/>
  <c r="P633" i="5"/>
  <c r="P637" i="5"/>
  <c r="P641" i="5"/>
  <c r="P645" i="5"/>
  <c r="P628" i="5"/>
  <c r="P632" i="5"/>
  <c r="P631" i="5"/>
  <c r="P635" i="5"/>
  <c r="P639" i="5"/>
  <c r="P643" i="5"/>
  <c r="P647" i="5"/>
  <c r="L646" i="5"/>
  <c r="L650" i="5"/>
  <c r="L644" i="5"/>
  <c r="L648" i="5"/>
  <c r="L651" i="5"/>
  <c r="L649" i="5"/>
  <c r="L630" i="5"/>
  <c r="L634" i="5"/>
  <c r="L638" i="5"/>
  <c r="L642" i="5"/>
  <c r="L629" i="5"/>
  <c r="L633" i="5"/>
  <c r="L637" i="5"/>
  <c r="L641" i="5"/>
  <c r="L645" i="5"/>
  <c r="L628" i="5"/>
  <c r="L632" i="5"/>
  <c r="L636" i="5"/>
  <c r="L640" i="5"/>
  <c r="L631" i="5"/>
  <c r="L635" i="5"/>
  <c r="L639" i="5"/>
  <c r="L643" i="5"/>
  <c r="L647" i="5"/>
  <c r="H638" i="5"/>
  <c r="H642" i="5"/>
  <c r="H646" i="5"/>
  <c r="H650" i="5"/>
  <c r="H636" i="5"/>
  <c r="H640" i="5"/>
  <c r="H644" i="5"/>
  <c r="H648" i="5"/>
  <c r="H651" i="5"/>
  <c r="H649" i="5"/>
  <c r="H630" i="5"/>
  <c r="H634" i="5"/>
  <c r="H629" i="5"/>
  <c r="H633" i="5"/>
  <c r="H637" i="5"/>
  <c r="H641" i="5"/>
  <c r="H645" i="5"/>
  <c r="H628" i="5"/>
  <c r="H632" i="5"/>
  <c r="H631" i="5"/>
  <c r="H635" i="5"/>
  <c r="H639" i="5"/>
  <c r="H643" i="5"/>
  <c r="H647" i="5"/>
  <c r="S595" i="5"/>
  <c r="S599" i="5"/>
  <c r="S603" i="5"/>
  <c r="S617" i="5"/>
  <c r="S607" i="5"/>
  <c r="S611" i="5"/>
  <c r="S615" i="5"/>
  <c r="S598" i="5"/>
  <c r="S602" i="5"/>
  <c r="S606" i="5"/>
  <c r="S610" i="5"/>
  <c r="S614" i="5"/>
  <c r="S618" i="5"/>
  <c r="S616" i="5"/>
  <c r="S597" i="5"/>
  <c r="S601" i="5"/>
  <c r="S605" i="5"/>
  <c r="S609" i="5"/>
  <c r="S613" i="5"/>
  <c r="S596" i="5"/>
  <c r="S600" i="5"/>
  <c r="S604" i="5"/>
  <c r="S608" i="5"/>
  <c r="S612" i="5"/>
  <c r="D683" i="5"/>
  <c r="D661" i="5"/>
  <c r="D665" i="5"/>
  <c r="D669" i="5"/>
  <c r="D673" i="5"/>
  <c r="D677" i="5"/>
  <c r="D681" i="5"/>
  <c r="D664" i="5"/>
  <c r="D668" i="5"/>
  <c r="D672" i="5"/>
  <c r="D676" i="5"/>
  <c r="D680" i="5"/>
  <c r="D684" i="5"/>
  <c r="D682" i="5"/>
  <c r="D663" i="5"/>
  <c r="D667" i="5"/>
  <c r="D671" i="5"/>
  <c r="D675" i="5"/>
  <c r="D679" i="5"/>
  <c r="D662" i="5"/>
  <c r="D666" i="5"/>
  <c r="D670" i="5"/>
  <c r="D674" i="5"/>
  <c r="D678" i="5"/>
  <c r="Q683" i="5"/>
  <c r="Q661" i="5"/>
  <c r="Q665" i="5"/>
  <c r="Q669" i="5"/>
  <c r="Q673" i="5"/>
  <c r="Q677" i="5"/>
  <c r="Q681" i="5"/>
  <c r="Q664" i="5"/>
  <c r="Q668" i="5"/>
  <c r="Q672" i="5"/>
  <c r="Q676" i="5"/>
  <c r="Q680" i="5"/>
  <c r="Q684" i="5"/>
  <c r="Q682" i="5"/>
  <c r="Q663" i="5"/>
  <c r="Q667" i="5"/>
  <c r="Q671" i="5"/>
  <c r="Q675" i="5"/>
  <c r="Q679" i="5"/>
  <c r="Q662" i="5"/>
  <c r="Q666" i="5"/>
  <c r="Q670" i="5"/>
  <c r="Q674" i="5"/>
  <c r="Q678" i="5"/>
  <c r="M683" i="5"/>
  <c r="M661" i="5"/>
  <c r="M665" i="5"/>
  <c r="M669" i="5"/>
  <c r="M673" i="5"/>
  <c r="M677" i="5"/>
  <c r="M681" i="5"/>
  <c r="M664" i="5"/>
  <c r="M668" i="5"/>
  <c r="M672" i="5"/>
  <c r="M676" i="5"/>
  <c r="M680" i="5"/>
  <c r="M684" i="5"/>
  <c r="M682" i="5"/>
  <c r="M663" i="5"/>
  <c r="M667" i="5"/>
  <c r="M671" i="5"/>
  <c r="M675" i="5"/>
  <c r="M679" i="5"/>
  <c r="M662" i="5"/>
  <c r="M666" i="5"/>
  <c r="M670" i="5"/>
  <c r="M674" i="5"/>
  <c r="M678" i="5"/>
  <c r="I683" i="5"/>
  <c r="I661" i="5"/>
  <c r="I665" i="5"/>
  <c r="I669" i="5"/>
  <c r="I673" i="5"/>
  <c r="I677" i="5"/>
  <c r="I681" i="5"/>
  <c r="I664" i="5"/>
  <c r="I668" i="5"/>
  <c r="I672" i="5"/>
  <c r="I676" i="5"/>
  <c r="I680" i="5"/>
  <c r="I684" i="5"/>
  <c r="I682" i="5"/>
  <c r="I663" i="5"/>
  <c r="I667" i="5"/>
  <c r="I671" i="5"/>
  <c r="I675" i="5"/>
  <c r="I679" i="5"/>
  <c r="I662" i="5"/>
  <c r="I666" i="5"/>
  <c r="I670" i="5"/>
  <c r="I674" i="5"/>
  <c r="I678" i="5"/>
  <c r="E683" i="5"/>
  <c r="E661" i="5"/>
  <c r="E665" i="5"/>
  <c r="E669" i="5"/>
  <c r="E673" i="5"/>
  <c r="E677" i="5"/>
  <c r="E681" i="5"/>
  <c r="E664" i="5"/>
  <c r="E668" i="5"/>
  <c r="E672" i="5"/>
  <c r="E676" i="5"/>
  <c r="E680" i="5"/>
  <c r="E684" i="5"/>
  <c r="E682" i="5"/>
  <c r="E663" i="5"/>
  <c r="E667" i="5"/>
  <c r="E671" i="5"/>
  <c r="E675" i="5"/>
  <c r="E679" i="5"/>
  <c r="E662" i="5"/>
  <c r="E666" i="5"/>
  <c r="E670" i="5"/>
  <c r="E674" i="5"/>
  <c r="E678" i="5"/>
  <c r="O683" i="5"/>
  <c r="O661" i="5"/>
  <c r="O665" i="5"/>
  <c r="O669" i="5"/>
  <c r="O673" i="5"/>
  <c r="O677" i="5"/>
  <c r="O681" i="5"/>
  <c r="O664" i="5"/>
  <c r="O668" i="5"/>
  <c r="O672" i="5"/>
  <c r="O676" i="5"/>
  <c r="O680" i="5"/>
  <c r="O684" i="5"/>
  <c r="O682" i="5"/>
  <c r="O663" i="5"/>
  <c r="O667" i="5"/>
  <c r="O671" i="5"/>
  <c r="O675" i="5"/>
  <c r="O679" i="5"/>
  <c r="O662" i="5"/>
  <c r="O666" i="5"/>
  <c r="O670" i="5"/>
  <c r="O674" i="5"/>
  <c r="O678" i="5"/>
  <c r="O651" i="5"/>
  <c r="O649" i="5"/>
  <c r="O630" i="5"/>
  <c r="O634" i="5"/>
  <c r="O638" i="5"/>
  <c r="O642" i="5"/>
  <c r="O646" i="5"/>
  <c r="O629" i="5"/>
  <c r="O633" i="5"/>
  <c r="O645" i="5"/>
  <c r="O650" i="5"/>
  <c r="O628" i="5"/>
  <c r="O632" i="5"/>
  <c r="O636" i="5"/>
  <c r="O640" i="5"/>
  <c r="O644" i="5"/>
  <c r="O648" i="5"/>
  <c r="O631" i="5"/>
  <c r="O643" i="5"/>
  <c r="O647" i="5"/>
  <c r="O637" i="5"/>
  <c r="O641" i="5"/>
  <c r="O635" i="5"/>
  <c r="O639" i="5"/>
  <c r="K683" i="5"/>
  <c r="K661" i="5"/>
  <c r="K665" i="5"/>
  <c r="K669" i="5"/>
  <c r="K673" i="5"/>
  <c r="K677" i="5"/>
  <c r="K681" i="5"/>
  <c r="K664" i="5"/>
  <c r="K668" i="5"/>
  <c r="K672" i="5"/>
  <c r="K676" i="5"/>
  <c r="K680" i="5"/>
  <c r="K684" i="5"/>
  <c r="K682" i="5"/>
  <c r="K663" i="5"/>
  <c r="K667" i="5"/>
  <c r="K671" i="5"/>
  <c r="K675" i="5"/>
  <c r="K679" i="5"/>
  <c r="K662" i="5"/>
  <c r="K666" i="5"/>
  <c r="K670" i="5"/>
  <c r="K674" i="5"/>
  <c r="K678" i="5"/>
  <c r="I637" i="5"/>
  <c r="I641" i="5"/>
  <c r="I651" i="5"/>
  <c r="I649" i="5"/>
  <c r="I630" i="5"/>
  <c r="I634" i="5"/>
  <c r="I638" i="5"/>
  <c r="I642" i="5"/>
  <c r="I646" i="5"/>
  <c r="I629" i="5"/>
  <c r="I633" i="5"/>
  <c r="I645" i="5"/>
  <c r="I650" i="5"/>
  <c r="I628" i="5"/>
  <c r="I632" i="5"/>
  <c r="I636" i="5"/>
  <c r="I640" i="5"/>
  <c r="I644" i="5"/>
  <c r="I648" i="5"/>
  <c r="I631" i="5"/>
  <c r="I635" i="5"/>
  <c r="I639" i="5"/>
  <c r="I643" i="5"/>
  <c r="I647" i="5"/>
  <c r="G651" i="5"/>
  <c r="G649" i="5"/>
  <c r="G630" i="5"/>
  <c r="G634" i="5"/>
  <c r="G638" i="5"/>
  <c r="G642" i="5"/>
  <c r="G646" i="5"/>
  <c r="G629" i="5"/>
  <c r="G633" i="5"/>
  <c r="G645" i="5"/>
  <c r="G650" i="5"/>
  <c r="G628" i="5"/>
  <c r="G632" i="5"/>
  <c r="G636" i="5"/>
  <c r="G640" i="5"/>
  <c r="G644" i="5"/>
  <c r="G648" i="5"/>
  <c r="G631" i="5"/>
  <c r="G643" i="5"/>
  <c r="G647" i="5"/>
  <c r="G637" i="5"/>
  <c r="G641" i="5"/>
  <c r="G635" i="5"/>
  <c r="G639" i="5"/>
  <c r="N651" i="5"/>
  <c r="N649" i="5"/>
  <c r="N630" i="5"/>
  <c r="N634" i="5"/>
  <c r="N638" i="5"/>
  <c r="N629" i="5"/>
  <c r="N633" i="5"/>
  <c r="N637" i="5"/>
  <c r="N641" i="5"/>
  <c r="N645" i="5"/>
  <c r="N628" i="5"/>
  <c r="N632" i="5"/>
  <c r="N636" i="5"/>
  <c r="N640" i="5"/>
  <c r="N631" i="5"/>
  <c r="N635" i="5"/>
  <c r="N639" i="5"/>
  <c r="N643" i="5"/>
  <c r="N647" i="5"/>
  <c r="N642" i="5"/>
  <c r="N646" i="5"/>
  <c r="N650" i="5"/>
  <c r="N644" i="5"/>
  <c r="N648" i="5"/>
  <c r="F651" i="5"/>
  <c r="F649" i="5"/>
  <c r="F630" i="5"/>
  <c r="F634" i="5"/>
  <c r="F638" i="5"/>
  <c r="F629" i="5"/>
  <c r="F633" i="5"/>
  <c r="F637" i="5"/>
  <c r="F641" i="5"/>
  <c r="F645" i="5"/>
  <c r="F628" i="5"/>
  <c r="F632" i="5"/>
  <c r="F636" i="5"/>
  <c r="F640" i="5"/>
  <c r="F631" i="5"/>
  <c r="F635" i="5"/>
  <c r="F639" i="5"/>
  <c r="F643" i="5"/>
  <c r="F647" i="5"/>
  <c r="F642" i="5"/>
  <c r="F646" i="5"/>
  <c r="F650" i="5"/>
  <c r="F644" i="5"/>
  <c r="F648" i="5"/>
  <c r="R105" i="1"/>
  <c r="W105" i="1"/>
  <c r="M105" i="1"/>
  <c r="V105" i="1"/>
  <c r="T105" i="1"/>
  <c r="X105" i="1"/>
  <c r="S683" i="5"/>
  <c r="S661" i="5"/>
  <c r="S665" i="5"/>
  <c r="S669" i="5"/>
  <c r="S673" i="5"/>
  <c r="S677" i="5"/>
  <c r="S681" i="5"/>
  <c r="S664" i="5"/>
  <c r="S668" i="5"/>
  <c r="S672" i="5"/>
  <c r="S676" i="5"/>
  <c r="S680" i="5"/>
  <c r="S684" i="5"/>
  <c r="S682" i="5"/>
  <c r="S663" i="5"/>
  <c r="S667" i="5"/>
  <c r="S671" i="5"/>
  <c r="S675" i="5"/>
  <c r="S679" i="5"/>
  <c r="S662" i="5"/>
  <c r="S666" i="5"/>
  <c r="S670" i="5"/>
  <c r="S674" i="5"/>
  <c r="S678" i="5"/>
  <c r="M617" i="5"/>
  <c r="M603" i="5"/>
  <c r="M607" i="5"/>
  <c r="M611" i="5"/>
  <c r="M615" i="5"/>
  <c r="M598" i="5"/>
  <c r="M602" i="5"/>
  <c r="M606" i="5"/>
  <c r="M610" i="5"/>
  <c r="M614" i="5"/>
  <c r="M618" i="5"/>
  <c r="M605" i="5"/>
  <c r="M613" i="5"/>
  <c r="M596" i="5"/>
  <c r="M604" i="5"/>
  <c r="M595" i="5"/>
  <c r="M599" i="5"/>
  <c r="M616" i="5"/>
  <c r="M597" i="5"/>
  <c r="M601" i="5"/>
  <c r="M609" i="5"/>
  <c r="M600" i="5"/>
  <c r="M608" i="5"/>
  <c r="M612" i="5"/>
  <c r="E617" i="5"/>
  <c r="E603" i="5"/>
  <c r="E607" i="5"/>
  <c r="E611" i="5"/>
  <c r="E615" i="5"/>
  <c r="E598" i="5"/>
  <c r="E602" i="5"/>
  <c r="E606" i="5"/>
  <c r="E610" i="5"/>
  <c r="E614" i="5"/>
  <c r="E618" i="5"/>
  <c r="E605" i="5"/>
  <c r="E609" i="5"/>
  <c r="E613" i="5"/>
  <c r="E596" i="5"/>
  <c r="E604" i="5"/>
  <c r="E595" i="5"/>
  <c r="E599" i="5"/>
  <c r="E616" i="5"/>
  <c r="E597" i="5"/>
  <c r="E601" i="5"/>
  <c r="E600" i="5"/>
  <c r="E608" i="5"/>
  <c r="E612" i="5"/>
  <c r="T683" i="5"/>
  <c r="T661" i="5"/>
  <c r="T665" i="5"/>
  <c r="T669" i="5"/>
  <c r="T673" i="5"/>
  <c r="T677" i="5"/>
  <c r="T681" i="5"/>
  <c r="T664" i="5"/>
  <c r="T668" i="5"/>
  <c r="T672" i="5"/>
  <c r="T676" i="5"/>
  <c r="T680" i="5"/>
  <c r="T684" i="5"/>
  <c r="T682" i="5"/>
  <c r="T663" i="5"/>
  <c r="T667" i="5"/>
  <c r="T671" i="5"/>
  <c r="T675" i="5"/>
  <c r="T679" i="5"/>
  <c r="T662" i="5"/>
  <c r="T666" i="5"/>
  <c r="T670" i="5"/>
  <c r="T674" i="5"/>
  <c r="T678" i="5"/>
  <c r="R598" i="5"/>
  <c r="R602" i="5"/>
  <c r="R606" i="5"/>
  <c r="R610" i="5"/>
  <c r="R614" i="5"/>
  <c r="R618" i="5"/>
  <c r="R617" i="5"/>
  <c r="R595" i="5"/>
  <c r="R599" i="5"/>
  <c r="R603" i="5"/>
  <c r="R607" i="5"/>
  <c r="R611" i="5"/>
  <c r="R615" i="5"/>
  <c r="R616" i="5"/>
  <c r="R597" i="5"/>
  <c r="R601" i="5"/>
  <c r="R605" i="5"/>
  <c r="R609" i="5"/>
  <c r="R613" i="5"/>
  <c r="R596" i="5"/>
  <c r="R600" i="5"/>
  <c r="R604" i="5"/>
  <c r="R608" i="5"/>
  <c r="R612" i="5"/>
  <c r="P617" i="5"/>
  <c r="P595" i="5"/>
  <c r="P599" i="5"/>
  <c r="P603" i="5"/>
  <c r="P607" i="5"/>
  <c r="P611" i="5"/>
  <c r="P615" i="5"/>
  <c r="P598" i="5"/>
  <c r="P602" i="5"/>
  <c r="P613" i="5"/>
  <c r="P606" i="5"/>
  <c r="P610" i="5"/>
  <c r="P614" i="5"/>
  <c r="P618" i="5"/>
  <c r="P596" i="5"/>
  <c r="P600" i="5"/>
  <c r="P604" i="5"/>
  <c r="P608" i="5"/>
  <c r="P612" i="5"/>
  <c r="P616" i="5"/>
  <c r="P597" i="5"/>
  <c r="P601" i="5"/>
  <c r="P605" i="5"/>
  <c r="P609" i="5"/>
  <c r="L683" i="5"/>
  <c r="L661" i="5"/>
  <c r="L665" i="5"/>
  <c r="L669" i="5"/>
  <c r="L673" i="5"/>
  <c r="L677" i="5"/>
  <c r="L681" i="5"/>
  <c r="L664" i="5"/>
  <c r="L668" i="5"/>
  <c r="L672" i="5"/>
  <c r="L676" i="5"/>
  <c r="L680" i="5"/>
  <c r="L684" i="5"/>
  <c r="L682" i="5"/>
  <c r="L663" i="5"/>
  <c r="L667" i="5"/>
  <c r="L671" i="5"/>
  <c r="L675" i="5"/>
  <c r="L679" i="5"/>
  <c r="L662" i="5"/>
  <c r="L666" i="5"/>
  <c r="L670" i="5"/>
  <c r="L674" i="5"/>
  <c r="L678" i="5"/>
  <c r="J598" i="5"/>
  <c r="J602" i="5"/>
  <c r="J606" i="5"/>
  <c r="J610" i="5"/>
  <c r="J614" i="5"/>
  <c r="J618" i="5"/>
  <c r="J617" i="5"/>
  <c r="J595" i="5"/>
  <c r="J599" i="5"/>
  <c r="J603" i="5"/>
  <c r="J607" i="5"/>
  <c r="J611" i="5"/>
  <c r="J615" i="5"/>
  <c r="J597" i="5"/>
  <c r="J601" i="5"/>
  <c r="J605" i="5"/>
  <c r="J609" i="5"/>
  <c r="J613" i="5"/>
  <c r="J596" i="5"/>
  <c r="J600" i="5"/>
  <c r="J616" i="5"/>
  <c r="J604" i="5"/>
  <c r="J608" i="5"/>
  <c r="J612" i="5"/>
  <c r="H617" i="5"/>
  <c r="H595" i="5"/>
  <c r="H599" i="5"/>
  <c r="H603" i="5"/>
  <c r="H607" i="5"/>
  <c r="H611" i="5"/>
  <c r="H615" i="5"/>
  <c r="H598" i="5"/>
  <c r="H602" i="5"/>
  <c r="H605" i="5"/>
  <c r="H613" i="5"/>
  <c r="H606" i="5"/>
  <c r="H610" i="5"/>
  <c r="H614" i="5"/>
  <c r="H616" i="5"/>
  <c r="H596" i="5"/>
  <c r="H600" i="5"/>
  <c r="H604" i="5"/>
  <c r="H608" i="5"/>
  <c r="H612" i="5"/>
  <c r="H618" i="5"/>
  <c r="H597" i="5"/>
  <c r="H601" i="5"/>
  <c r="H609" i="5"/>
  <c r="S105" i="1"/>
  <c r="R683" i="5"/>
  <c r="R661" i="5"/>
  <c r="R665" i="5"/>
  <c r="R669" i="5"/>
  <c r="R673" i="5"/>
  <c r="R677" i="5"/>
  <c r="R681" i="5"/>
  <c r="R664" i="5"/>
  <c r="R668" i="5"/>
  <c r="R672" i="5"/>
  <c r="R676" i="5"/>
  <c r="R680" i="5"/>
  <c r="R684" i="5"/>
  <c r="R682" i="5"/>
  <c r="R663" i="5"/>
  <c r="R667" i="5"/>
  <c r="R671" i="5"/>
  <c r="R675" i="5"/>
  <c r="R679" i="5"/>
  <c r="R662" i="5"/>
  <c r="R666" i="5"/>
  <c r="R670" i="5"/>
  <c r="R674" i="5"/>
  <c r="R678" i="5"/>
  <c r="N683" i="5"/>
  <c r="N661" i="5"/>
  <c r="N665" i="5"/>
  <c r="N669" i="5"/>
  <c r="N673" i="5"/>
  <c r="N677" i="5"/>
  <c r="N681" i="5"/>
  <c r="N664" i="5"/>
  <c r="N668" i="5"/>
  <c r="N672" i="5"/>
  <c r="N676" i="5"/>
  <c r="N680" i="5"/>
  <c r="N684" i="5"/>
  <c r="N682" i="5"/>
  <c r="N663" i="5"/>
  <c r="N667" i="5"/>
  <c r="N671" i="5"/>
  <c r="N675" i="5"/>
  <c r="N679" i="5"/>
  <c r="N662" i="5"/>
  <c r="N666" i="5"/>
  <c r="N670" i="5"/>
  <c r="N674" i="5"/>
  <c r="N678" i="5"/>
  <c r="J683" i="5"/>
  <c r="J661" i="5"/>
  <c r="J665" i="5"/>
  <c r="J669" i="5"/>
  <c r="J673" i="5"/>
  <c r="J677" i="5"/>
  <c r="J681" i="5"/>
  <c r="J664" i="5"/>
  <c r="J668" i="5"/>
  <c r="J672" i="5"/>
  <c r="J676" i="5"/>
  <c r="J680" i="5"/>
  <c r="J684" i="5"/>
  <c r="J682" i="5"/>
  <c r="J663" i="5"/>
  <c r="J667" i="5"/>
  <c r="J671" i="5"/>
  <c r="J675" i="5"/>
  <c r="J679" i="5"/>
  <c r="J662" i="5"/>
  <c r="J666" i="5"/>
  <c r="J670" i="5"/>
  <c r="J674" i="5"/>
  <c r="J678" i="5"/>
  <c r="F683" i="5"/>
  <c r="F661" i="5"/>
  <c r="F665" i="5"/>
  <c r="F669" i="5"/>
  <c r="F673" i="5"/>
  <c r="F677" i="5"/>
  <c r="F681" i="5"/>
  <c r="F664" i="5"/>
  <c r="F668" i="5"/>
  <c r="F672" i="5"/>
  <c r="F676" i="5"/>
  <c r="F680" i="5"/>
  <c r="F684" i="5"/>
  <c r="F682" i="5"/>
  <c r="F663" i="5"/>
  <c r="F667" i="5"/>
  <c r="F671" i="5"/>
  <c r="F675" i="5"/>
  <c r="F679" i="5"/>
  <c r="F662" i="5"/>
  <c r="F666" i="5"/>
  <c r="F670" i="5"/>
  <c r="F674" i="5"/>
  <c r="F678" i="5"/>
  <c r="H106" i="1"/>
  <c r="D595" i="5"/>
  <c r="D599" i="5"/>
  <c r="D617" i="5"/>
  <c r="D603" i="5"/>
  <c r="D607" i="5"/>
  <c r="D611" i="5"/>
  <c r="D615" i="5"/>
  <c r="D598" i="5"/>
  <c r="D602" i="5"/>
  <c r="D606" i="5"/>
  <c r="D610" i="5"/>
  <c r="D614" i="5"/>
  <c r="D618" i="5"/>
  <c r="D616" i="5"/>
  <c r="D597" i="5"/>
  <c r="D601" i="5"/>
  <c r="D605" i="5"/>
  <c r="D609" i="5"/>
  <c r="D613" i="5"/>
  <c r="D596" i="5"/>
  <c r="D600" i="5"/>
  <c r="D604" i="5"/>
  <c r="D608" i="5"/>
  <c r="D612" i="5"/>
  <c r="O617" i="5"/>
  <c r="O595" i="5"/>
  <c r="O599" i="5"/>
  <c r="O603" i="5"/>
  <c r="O607" i="5"/>
  <c r="O611" i="5"/>
  <c r="O615" i="5"/>
  <c r="O598" i="5"/>
  <c r="O602" i="5"/>
  <c r="O606" i="5"/>
  <c r="O610" i="5"/>
  <c r="O614" i="5"/>
  <c r="O618" i="5"/>
  <c r="O616" i="5"/>
  <c r="O605" i="5"/>
  <c r="O609" i="5"/>
  <c r="O613" i="5"/>
  <c r="O596" i="5"/>
  <c r="O600" i="5"/>
  <c r="O604" i="5"/>
  <c r="O608" i="5"/>
  <c r="O612" i="5"/>
  <c r="O597" i="5"/>
  <c r="O601" i="5"/>
  <c r="K595" i="5"/>
  <c r="K599" i="5"/>
  <c r="K603" i="5"/>
  <c r="K617" i="5"/>
  <c r="K607" i="5"/>
  <c r="K611" i="5"/>
  <c r="K615" i="5"/>
  <c r="K598" i="5"/>
  <c r="K602" i="5"/>
  <c r="K606" i="5"/>
  <c r="K610" i="5"/>
  <c r="K614" i="5"/>
  <c r="K618" i="5"/>
  <c r="K597" i="5"/>
  <c r="K601" i="5"/>
  <c r="K605" i="5"/>
  <c r="K609" i="5"/>
  <c r="K613" i="5"/>
  <c r="K596" i="5"/>
  <c r="K600" i="5"/>
  <c r="K604" i="5"/>
  <c r="K608" i="5"/>
  <c r="K612" i="5"/>
  <c r="K616" i="5"/>
  <c r="G617" i="5"/>
  <c r="G595" i="5"/>
  <c r="G599" i="5"/>
  <c r="G603" i="5"/>
  <c r="G607" i="5"/>
  <c r="G611" i="5"/>
  <c r="G615" i="5"/>
  <c r="G598" i="5"/>
  <c r="G602" i="5"/>
  <c r="G606" i="5"/>
  <c r="G610" i="5"/>
  <c r="G614" i="5"/>
  <c r="G618" i="5"/>
  <c r="G605" i="5"/>
  <c r="G609" i="5"/>
  <c r="G613" i="5"/>
  <c r="G596" i="5"/>
  <c r="G600" i="5"/>
  <c r="G604" i="5"/>
  <c r="G608" i="5"/>
  <c r="G612" i="5"/>
  <c r="G616" i="5"/>
  <c r="G597" i="5"/>
  <c r="G601" i="5"/>
  <c r="S237" i="5"/>
  <c r="Q637" i="5"/>
  <c r="Q641" i="5"/>
  <c r="Q651" i="5"/>
  <c r="Q649" i="5"/>
  <c r="Q630" i="5"/>
  <c r="Q634" i="5"/>
  <c r="Q638" i="5"/>
  <c r="Q642" i="5"/>
  <c r="Q646" i="5"/>
  <c r="Q629" i="5"/>
  <c r="Q633" i="5"/>
  <c r="Q645" i="5"/>
  <c r="Q650" i="5"/>
  <c r="Q628" i="5"/>
  <c r="Q632" i="5"/>
  <c r="Q636" i="5"/>
  <c r="Q640" i="5"/>
  <c r="Q644" i="5"/>
  <c r="Q648" i="5"/>
  <c r="Q631" i="5"/>
  <c r="Q635" i="5"/>
  <c r="Q639" i="5"/>
  <c r="Q643" i="5"/>
  <c r="Q647" i="5"/>
  <c r="O171" i="5"/>
  <c r="M635" i="5"/>
  <c r="M639" i="5"/>
  <c r="M651" i="5"/>
  <c r="M649" i="5"/>
  <c r="M630" i="5"/>
  <c r="M634" i="5"/>
  <c r="M638" i="5"/>
  <c r="M642" i="5"/>
  <c r="M646" i="5"/>
  <c r="M629" i="5"/>
  <c r="M633" i="5"/>
  <c r="M637" i="5"/>
  <c r="M641" i="5"/>
  <c r="M645" i="5"/>
  <c r="M650" i="5"/>
  <c r="M628" i="5"/>
  <c r="M632" i="5"/>
  <c r="M636" i="5"/>
  <c r="M640" i="5"/>
  <c r="M644" i="5"/>
  <c r="M648" i="5"/>
  <c r="M631" i="5"/>
  <c r="M643" i="5"/>
  <c r="M647" i="5"/>
  <c r="K651" i="5"/>
  <c r="K649" i="5"/>
  <c r="K630" i="5"/>
  <c r="K634" i="5"/>
  <c r="K638" i="5"/>
  <c r="K642" i="5"/>
  <c r="K646" i="5"/>
  <c r="K629" i="5"/>
  <c r="K633" i="5"/>
  <c r="K637" i="5"/>
  <c r="K641" i="5"/>
  <c r="K645" i="5"/>
  <c r="K650" i="5"/>
  <c r="K628" i="5"/>
  <c r="K632" i="5"/>
  <c r="K636" i="5"/>
  <c r="K640" i="5"/>
  <c r="K644" i="5"/>
  <c r="K648" i="5"/>
  <c r="K631" i="5"/>
  <c r="K635" i="5"/>
  <c r="K639" i="5"/>
  <c r="K643" i="5"/>
  <c r="K647" i="5"/>
  <c r="G683" i="5"/>
  <c r="G661" i="5"/>
  <c r="G665" i="5"/>
  <c r="G669" i="5"/>
  <c r="G673" i="5"/>
  <c r="G677" i="5"/>
  <c r="G681" i="5"/>
  <c r="G664" i="5"/>
  <c r="G668" i="5"/>
  <c r="G672" i="5"/>
  <c r="G676" i="5"/>
  <c r="G680" i="5"/>
  <c r="G684" i="5"/>
  <c r="G682" i="5"/>
  <c r="G663" i="5"/>
  <c r="G667" i="5"/>
  <c r="G671" i="5"/>
  <c r="G675" i="5"/>
  <c r="G679" i="5"/>
  <c r="G662" i="5"/>
  <c r="G666" i="5"/>
  <c r="G670" i="5"/>
  <c r="G674" i="5"/>
  <c r="G678" i="5"/>
  <c r="E635" i="5"/>
  <c r="E639" i="5"/>
  <c r="E651" i="5"/>
  <c r="E649" i="5"/>
  <c r="E630" i="5"/>
  <c r="E634" i="5"/>
  <c r="E638" i="5"/>
  <c r="E642" i="5"/>
  <c r="E646" i="5"/>
  <c r="E629" i="5"/>
  <c r="E633" i="5"/>
  <c r="E637" i="5"/>
  <c r="E641" i="5"/>
  <c r="E645" i="5"/>
  <c r="E650" i="5"/>
  <c r="E628" i="5"/>
  <c r="E632" i="5"/>
  <c r="E636" i="5"/>
  <c r="E640" i="5"/>
  <c r="E644" i="5"/>
  <c r="E648" i="5"/>
  <c r="E631" i="5"/>
  <c r="E643" i="5"/>
  <c r="E647" i="5"/>
  <c r="R651" i="5"/>
  <c r="R649" i="5"/>
  <c r="R630" i="5"/>
  <c r="R634" i="5"/>
  <c r="R642" i="5"/>
  <c r="R629" i="5"/>
  <c r="R633" i="5"/>
  <c r="R637" i="5"/>
  <c r="R641" i="5"/>
  <c r="R645" i="5"/>
  <c r="R628" i="5"/>
  <c r="R632" i="5"/>
  <c r="R631" i="5"/>
  <c r="R635" i="5"/>
  <c r="R639" i="5"/>
  <c r="R643" i="5"/>
  <c r="R647" i="5"/>
  <c r="R638" i="5"/>
  <c r="R646" i="5"/>
  <c r="R650" i="5"/>
  <c r="R636" i="5"/>
  <c r="R640" i="5"/>
  <c r="R644" i="5"/>
  <c r="R648" i="5"/>
  <c r="J651" i="5"/>
  <c r="J649" i="5"/>
  <c r="J630" i="5"/>
  <c r="J634" i="5"/>
  <c r="J642" i="5"/>
  <c r="J629" i="5"/>
  <c r="J633" i="5"/>
  <c r="J637" i="5"/>
  <c r="J641" i="5"/>
  <c r="J645" i="5"/>
  <c r="J628" i="5"/>
  <c r="J632" i="5"/>
  <c r="J631" i="5"/>
  <c r="J635" i="5"/>
  <c r="J639" i="5"/>
  <c r="J643" i="5"/>
  <c r="J647" i="5"/>
  <c r="J638" i="5"/>
  <c r="J646" i="5"/>
  <c r="J650" i="5"/>
  <c r="J636" i="5"/>
  <c r="J640" i="5"/>
  <c r="J644" i="5"/>
  <c r="J648" i="5"/>
  <c r="I104" i="1"/>
  <c r="I77" i="1"/>
  <c r="Q103" i="1"/>
  <c r="Q76" i="1"/>
  <c r="O104" i="1"/>
  <c r="O77" i="1"/>
  <c r="H107" i="1"/>
  <c r="H80" i="1"/>
  <c r="D392" i="5"/>
  <c r="D400" i="5"/>
  <c r="D408" i="5"/>
  <c r="D390" i="5"/>
  <c r="D398" i="5"/>
  <c r="D406" i="5"/>
  <c r="D385" i="5"/>
  <c r="D388" i="5"/>
  <c r="D396" i="5"/>
  <c r="D404" i="5"/>
  <c r="D389" i="5"/>
  <c r="D393" i="5"/>
  <c r="D397" i="5"/>
  <c r="D401" i="5"/>
  <c r="D405" i="5"/>
  <c r="D386" i="5"/>
  <c r="D394" i="5"/>
  <c r="D402" i="5"/>
  <c r="D395" i="5"/>
  <c r="D399" i="5"/>
  <c r="D387" i="5"/>
  <c r="D391" i="5"/>
  <c r="D403" i="5"/>
  <c r="D407" i="5"/>
  <c r="U106" i="1"/>
  <c r="U79" i="1"/>
  <c r="Q356" i="5"/>
  <c r="Q355" i="5"/>
  <c r="Q359" i="5"/>
  <c r="Q363" i="5"/>
  <c r="Q367" i="5"/>
  <c r="Q371" i="5"/>
  <c r="Q375" i="5"/>
  <c r="Q360" i="5"/>
  <c r="Q364" i="5"/>
  <c r="Q368" i="5"/>
  <c r="Q372" i="5"/>
  <c r="Q354" i="5"/>
  <c r="Q358" i="5"/>
  <c r="Q362" i="5"/>
  <c r="Q366" i="5"/>
  <c r="Q370" i="5"/>
  <c r="Q374" i="5"/>
  <c r="Q357" i="5"/>
  <c r="Q361" i="5"/>
  <c r="Q365" i="5"/>
  <c r="Q369" i="5"/>
  <c r="Q373" i="5"/>
  <c r="Q352" i="5"/>
  <c r="Q353" i="5"/>
  <c r="M106" i="1"/>
  <c r="M79" i="1"/>
  <c r="I356" i="5"/>
  <c r="I354" i="5"/>
  <c r="I358" i="5"/>
  <c r="I362" i="5"/>
  <c r="I366" i="5"/>
  <c r="I370" i="5"/>
  <c r="I360" i="5"/>
  <c r="I364" i="5"/>
  <c r="I368" i="5"/>
  <c r="I372" i="5"/>
  <c r="I355" i="5"/>
  <c r="I359" i="5"/>
  <c r="I363" i="5"/>
  <c r="I367" i="5"/>
  <c r="I371" i="5"/>
  <c r="I375" i="5"/>
  <c r="I357" i="5"/>
  <c r="I361" i="5"/>
  <c r="I365" i="5"/>
  <c r="I369" i="5"/>
  <c r="I373" i="5"/>
  <c r="I353" i="5"/>
  <c r="I352" i="5"/>
  <c r="I374" i="5"/>
  <c r="X106" i="1"/>
  <c r="X79" i="1"/>
  <c r="T360" i="5"/>
  <c r="T364" i="5"/>
  <c r="T368" i="5"/>
  <c r="T372" i="5"/>
  <c r="T355" i="5"/>
  <c r="T363" i="5"/>
  <c r="T371" i="5"/>
  <c r="T354" i="5"/>
  <c r="T358" i="5"/>
  <c r="T362" i="5"/>
  <c r="T366" i="5"/>
  <c r="T370" i="5"/>
  <c r="T374" i="5"/>
  <c r="T356" i="5"/>
  <c r="T359" i="5"/>
  <c r="T367" i="5"/>
  <c r="T375" i="5"/>
  <c r="T352" i="5"/>
  <c r="T357" i="5"/>
  <c r="T365" i="5"/>
  <c r="T373" i="5"/>
  <c r="T353" i="5"/>
  <c r="T361" i="5"/>
  <c r="T369" i="5"/>
  <c r="T108" i="1"/>
  <c r="T81" i="1"/>
  <c r="P424" i="5"/>
  <c r="P432" i="5"/>
  <c r="P440" i="5"/>
  <c r="P419" i="5"/>
  <c r="P435" i="5"/>
  <c r="P433" i="5"/>
  <c r="P420" i="5"/>
  <c r="P426" i="5"/>
  <c r="P434" i="5"/>
  <c r="P428" i="5"/>
  <c r="P436" i="5"/>
  <c r="P427" i="5"/>
  <c r="P418" i="5"/>
  <c r="P425" i="5"/>
  <c r="P441" i="5"/>
  <c r="P422" i="5"/>
  <c r="P430" i="5"/>
  <c r="P438" i="5"/>
  <c r="P423" i="5"/>
  <c r="P431" i="5"/>
  <c r="P439" i="5"/>
  <c r="P429" i="5"/>
  <c r="P437" i="5"/>
  <c r="P421" i="5"/>
  <c r="R106" i="1"/>
  <c r="R79" i="1"/>
  <c r="N360" i="5"/>
  <c r="N364" i="5"/>
  <c r="N368" i="5"/>
  <c r="N372" i="5"/>
  <c r="N355" i="5"/>
  <c r="N359" i="5"/>
  <c r="N363" i="5"/>
  <c r="N367" i="5"/>
  <c r="N371" i="5"/>
  <c r="N375" i="5"/>
  <c r="N354" i="5"/>
  <c r="N358" i="5"/>
  <c r="N362" i="5"/>
  <c r="N366" i="5"/>
  <c r="N370" i="5"/>
  <c r="N356" i="5"/>
  <c r="N353" i="5"/>
  <c r="N357" i="5"/>
  <c r="N361" i="5"/>
  <c r="N365" i="5"/>
  <c r="N369" i="5"/>
  <c r="N373" i="5"/>
  <c r="N352" i="5"/>
  <c r="N374" i="5"/>
  <c r="P106" i="1"/>
  <c r="P79" i="1"/>
  <c r="L356" i="5"/>
  <c r="L355" i="5"/>
  <c r="L359" i="5"/>
  <c r="L363" i="5"/>
  <c r="L367" i="5"/>
  <c r="L371" i="5"/>
  <c r="L375" i="5"/>
  <c r="L360" i="5"/>
  <c r="L364" i="5"/>
  <c r="L368" i="5"/>
  <c r="L372" i="5"/>
  <c r="L354" i="5"/>
  <c r="L358" i="5"/>
  <c r="L362" i="5"/>
  <c r="L366" i="5"/>
  <c r="L370" i="5"/>
  <c r="L374" i="5"/>
  <c r="L353" i="5"/>
  <c r="L357" i="5"/>
  <c r="L365" i="5"/>
  <c r="L373" i="5"/>
  <c r="L352" i="5"/>
  <c r="L361" i="5"/>
  <c r="L369" i="5"/>
  <c r="L108" i="1"/>
  <c r="L81" i="1"/>
  <c r="H424" i="5"/>
  <c r="H432" i="5"/>
  <c r="H440" i="5"/>
  <c r="H419" i="5"/>
  <c r="H435" i="5"/>
  <c r="H418" i="5"/>
  <c r="H433" i="5"/>
  <c r="H420" i="5"/>
  <c r="H426" i="5"/>
  <c r="H434" i="5"/>
  <c r="H428" i="5"/>
  <c r="H436" i="5"/>
  <c r="H427" i="5"/>
  <c r="H425" i="5"/>
  <c r="H441" i="5"/>
  <c r="H422" i="5"/>
  <c r="H430" i="5"/>
  <c r="H438" i="5"/>
  <c r="H423" i="5"/>
  <c r="H431" i="5"/>
  <c r="H439" i="5"/>
  <c r="H429" i="5"/>
  <c r="H421" i="5"/>
  <c r="H437" i="5"/>
  <c r="J106" i="1"/>
  <c r="J79" i="1"/>
  <c r="F360" i="5"/>
  <c r="F364" i="5"/>
  <c r="F368" i="5"/>
  <c r="F372" i="5"/>
  <c r="F355" i="5"/>
  <c r="F359" i="5"/>
  <c r="F363" i="5"/>
  <c r="F367" i="5"/>
  <c r="F371" i="5"/>
  <c r="F375" i="5"/>
  <c r="F354" i="5"/>
  <c r="F358" i="5"/>
  <c r="F362" i="5"/>
  <c r="F366" i="5"/>
  <c r="F370" i="5"/>
  <c r="F356" i="5"/>
  <c r="F357" i="5"/>
  <c r="F361" i="5"/>
  <c r="F365" i="5"/>
  <c r="F369" i="5"/>
  <c r="F373" i="5"/>
  <c r="F374" i="5"/>
  <c r="F352" i="5"/>
  <c r="F353" i="5"/>
  <c r="X107" i="1"/>
  <c r="X80" i="1"/>
  <c r="T392" i="5"/>
  <c r="T400" i="5"/>
  <c r="T408" i="5"/>
  <c r="T393" i="5"/>
  <c r="T390" i="5"/>
  <c r="T398" i="5"/>
  <c r="T406" i="5"/>
  <c r="T385" i="5"/>
  <c r="T388" i="5"/>
  <c r="T396" i="5"/>
  <c r="T404" i="5"/>
  <c r="T389" i="5"/>
  <c r="T397" i="5"/>
  <c r="T401" i="5"/>
  <c r="T405" i="5"/>
  <c r="T386" i="5"/>
  <c r="T394" i="5"/>
  <c r="T402" i="5"/>
  <c r="T391" i="5"/>
  <c r="T399" i="5"/>
  <c r="T407" i="5"/>
  <c r="T387" i="5"/>
  <c r="T403" i="5"/>
  <c r="T395" i="5"/>
  <c r="T107" i="1"/>
  <c r="T80" i="1"/>
  <c r="P388" i="5"/>
  <c r="P396" i="5"/>
  <c r="P404" i="5"/>
  <c r="P389" i="5"/>
  <c r="P397" i="5"/>
  <c r="P401" i="5"/>
  <c r="P405" i="5"/>
  <c r="P386" i="5"/>
  <c r="P394" i="5"/>
  <c r="P402" i="5"/>
  <c r="P392" i="5"/>
  <c r="P400" i="5"/>
  <c r="P408" i="5"/>
  <c r="P393" i="5"/>
  <c r="P390" i="5"/>
  <c r="P398" i="5"/>
  <c r="P406" i="5"/>
  <c r="P385" i="5"/>
  <c r="P387" i="5"/>
  <c r="P395" i="5"/>
  <c r="P403" i="5"/>
  <c r="P399" i="5"/>
  <c r="P391" i="5"/>
  <c r="P407" i="5"/>
  <c r="P107" i="1"/>
  <c r="P80" i="1"/>
  <c r="L388" i="5"/>
  <c r="L396" i="5"/>
  <c r="L404" i="5"/>
  <c r="L393" i="5"/>
  <c r="L401" i="5"/>
  <c r="L390" i="5"/>
  <c r="L398" i="5"/>
  <c r="L406" i="5"/>
  <c r="L392" i="5"/>
  <c r="L400" i="5"/>
  <c r="L408" i="5"/>
  <c r="L389" i="5"/>
  <c r="L397" i="5"/>
  <c r="L405" i="5"/>
  <c r="L386" i="5"/>
  <c r="L394" i="5"/>
  <c r="L402" i="5"/>
  <c r="L385" i="5"/>
  <c r="L391" i="5"/>
  <c r="L399" i="5"/>
  <c r="L407" i="5"/>
  <c r="L387" i="5"/>
  <c r="L403" i="5"/>
  <c r="L395" i="5"/>
  <c r="L107" i="1"/>
  <c r="L80" i="1"/>
  <c r="H392" i="5"/>
  <c r="H400" i="5"/>
  <c r="H408" i="5"/>
  <c r="H389" i="5"/>
  <c r="H393" i="5"/>
  <c r="H397" i="5"/>
  <c r="H401" i="5"/>
  <c r="H405" i="5"/>
  <c r="H386" i="5"/>
  <c r="H394" i="5"/>
  <c r="H402" i="5"/>
  <c r="H388" i="5"/>
  <c r="H396" i="5"/>
  <c r="H404" i="5"/>
  <c r="H390" i="5"/>
  <c r="H398" i="5"/>
  <c r="H406" i="5"/>
  <c r="H385" i="5"/>
  <c r="H387" i="5"/>
  <c r="H391" i="5"/>
  <c r="H395" i="5"/>
  <c r="H399" i="5"/>
  <c r="H403" i="5"/>
  <c r="H407" i="5"/>
  <c r="W106" i="1"/>
  <c r="W79" i="1"/>
  <c r="S356" i="5"/>
  <c r="S360" i="5"/>
  <c r="S364" i="5"/>
  <c r="S368" i="5"/>
  <c r="S372" i="5"/>
  <c r="S355" i="5"/>
  <c r="S359" i="5"/>
  <c r="S363" i="5"/>
  <c r="S367" i="5"/>
  <c r="S371" i="5"/>
  <c r="S375" i="5"/>
  <c r="S354" i="5"/>
  <c r="S358" i="5"/>
  <c r="S362" i="5"/>
  <c r="S366" i="5"/>
  <c r="S370" i="5"/>
  <c r="S374" i="5"/>
  <c r="S357" i="5"/>
  <c r="S361" i="5"/>
  <c r="S365" i="5"/>
  <c r="S369" i="5"/>
  <c r="S373" i="5"/>
  <c r="S352" i="5"/>
  <c r="S353" i="5"/>
  <c r="H108" i="1"/>
  <c r="H81" i="1"/>
  <c r="D428" i="5"/>
  <c r="D436" i="5"/>
  <c r="D427" i="5"/>
  <c r="D418" i="5"/>
  <c r="D441" i="5"/>
  <c r="D422" i="5"/>
  <c r="D430" i="5"/>
  <c r="D438" i="5"/>
  <c r="D424" i="5"/>
  <c r="D432" i="5"/>
  <c r="D440" i="5"/>
  <c r="D419" i="5"/>
  <c r="D435" i="5"/>
  <c r="D425" i="5"/>
  <c r="D433" i="5"/>
  <c r="D420" i="5"/>
  <c r="D426" i="5"/>
  <c r="D434" i="5"/>
  <c r="D429" i="5"/>
  <c r="D439" i="5"/>
  <c r="D421" i="5"/>
  <c r="D423" i="5"/>
  <c r="D431" i="5"/>
  <c r="D437" i="5"/>
  <c r="U108" i="1"/>
  <c r="U81" i="1"/>
  <c r="Q436" i="5"/>
  <c r="Q427" i="5"/>
  <c r="Q418" i="5"/>
  <c r="Q433" i="5"/>
  <c r="Q426" i="5"/>
  <c r="Q434" i="5"/>
  <c r="Q424" i="5"/>
  <c r="Q428" i="5"/>
  <c r="Q432" i="5"/>
  <c r="Q440" i="5"/>
  <c r="Q419" i="5"/>
  <c r="Q435" i="5"/>
  <c r="Q425" i="5"/>
  <c r="Q441" i="5"/>
  <c r="Q420" i="5"/>
  <c r="Q422" i="5"/>
  <c r="Q430" i="5"/>
  <c r="Q438" i="5"/>
  <c r="Q429" i="5"/>
  <c r="Q423" i="5"/>
  <c r="Q437" i="5"/>
  <c r="Q431" i="5"/>
  <c r="Q439" i="5"/>
  <c r="Q421" i="5"/>
  <c r="Q108" i="1"/>
  <c r="Q81" i="1"/>
  <c r="M424" i="5"/>
  <c r="M432" i="5"/>
  <c r="M440" i="5"/>
  <c r="M418" i="5"/>
  <c r="M420" i="5"/>
  <c r="M422" i="5"/>
  <c r="M430" i="5"/>
  <c r="M438" i="5"/>
  <c r="M428" i="5"/>
  <c r="M436" i="5"/>
  <c r="M419" i="5"/>
  <c r="M427" i="5"/>
  <c r="M435" i="5"/>
  <c r="M425" i="5"/>
  <c r="M433" i="5"/>
  <c r="M441" i="5"/>
  <c r="M426" i="5"/>
  <c r="M434" i="5"/>
  <c r="M431" i="5"/>
  <c r="M421" i="5"/>
  <c r="M429" i="5"/>
  <c r="M423" i="5"/>
  <c r="M439" i="5"/>
  <c r="M437" i="5"/>
  <c r="M108" i="1"/>
  <c r="M81" i="1"/>
  <c r="I424" i="5"/>
  <c r="I428" i="5"/>
  <c r="I440" i="5"/>
  <c r="I419" i="5"/>
  <c r="I427" i="5"/>
  <c r="I435" i="5"/>
  <c r="I418" i="5"/>
  <c r="I425" i="5"/>
  <c r="I433" i="5"/>
  <c r="I420" i="5"/>
  <c r="I430" i="5"/>
  <c r="I432" i="5"/>
  <c r="I436" i="5"/>
  <c r="I441" i="5"/>
  <c r="I422" i="5"/>
  <c r="I426" i="5"/>
  <c r="I434" i="5"/>
  <c r="I438" i="5"/>
  <c r="I423" i="5"/>
  <c r="I439" i="5"/>
  <c r="I429" i="5"/>
  <c r="I431" i="5"/>
  <c r="I437" i="5"/>
  <c r="I421" i="5"/>
  <c r="I108" i="1"/>
  <c r="I81" i="1"/>
  <c r="E428" i="5"/>
  <c r="E436" i="5"/>
  <c r="E441" i="5"/>
  <c r="E426" i="5"/>
  <c r="E434" i="5"/>
  <c r="E424" i="5"/>
  <c r="E432" i="5"/>
  <c r="E440" i="5"/>
  <c r="E419" i="5"/>
  <c r="E427" i="5"/>
  <c r="E435" i="5"/>
  <c r="E418" i="5"/>
  <c r="E425" i="5"/>
  <c r="E433" i="5"/>
  <c r="E420" i="5"/>
  <c r="E422" i="5"/>
  <c r="E430" i="5"/>
  <c r="E438" i="5"/>
  <c r="E423" i="5"/>
  <c r="E431" i="5"/>
  <c r="E439" i="5"/>
  <c r="E421" i="5"/>
  <c r="E437" i="5"/>
  <c r="E429" i="5"/>
  <c r="V103" i="1"/>
  <c r="V76" i="1"/>
  <c r="D93" i="1"/>
  <c r="S171" i="5"/>
  <c r="D237" i="5"/>
  <c r="O204" i="5"/>
  <c r="O237" i="5"/>
  <c r="K237" i="5"/>
  <c r="I237" i="5"/>
  <c r="G237" i="5"/>
  <c r="G240" i="5"/>
  <c r="R204" i="5"/>
  <c r="P237" i="5"/>
  <c r="L237" i="5"/>
  <c r="J204" i="5"/>
  <c r="H237" i="5"/>
  <c r="F171" i="5"/>
  <c r="F174" i="5"/>
  <c r="F204" i="5"/>
  <c r="F207" i="5"/>
  <c r="D171" i="5"/>
  <c r="D204" i="5"/>
  <c r="U107" i="1"/>
  <c r="U80" i="1"/>
  <c r="Q388" i="5"/>
  <c r="Q396" i="5"/>
  <c r="Q404" i="5"/>
  <c r="Q386" i="5"/>
  <c r="Q394" i="5"/>
  <c r="Q402" i="5"/>
  <c r="Q385" i="5"/>
  <c r="Q392" i="5"/>
  <c r="Q400" i="5"/>
  <c r="Q408" i="5"/>
  <c r="Q389" i="5"/>
  <c r="Q393" i="5"/>
  <c r="Q397" i="5"/>
  <c r="Q401" i="5"/>
  <c r="Q405" i="5"/>
  <c r="Q390" i="5"/>
  <c r="Q398" i="5"/>
  <c r="Q406" i="5"/>
  <c r="Q387" i="5"/>
  <c r="Q395" i="5"/>
  <c r="Q403" i="5"/>
  <c r="Q391" i="5"/>
  <c r="Q407" i="5"/>
  <c r="Q399" i="5"/>
  <c r="Q171" i="5"/>
  <c r="M171" i="5"/>
  <c r="G409" i="5"/>
  <c r="G412" i="5"/>
  <c r="E171" i="5"/>
  <c r="E174" i="5"/>
  <c r="X103" i="1"/>
  <c r="X76" i="1"/>
  <c r="T204" i="5"/>
  <c r="R237" i="5"/>
  <c r="P171" i="5"/>
  <c r="J237" i="5"/>
  <c r="F237" i="5"/>
  <c r="F240" i="5"/>
  <c r="S104" i="1"/>
  <c r="S77" i="1"/>
  <c r="H104" i="1"/>
  <c r="H77" i="1"/>
  <c r="K103" i="1"/>
  <c r="K76" i="1"/>
  <c r="W104" i="1"/>
  <c r="W77" i="1"/>
  <c r="U103" i="1"/>
  <c r="U76" i="1"/>
  <c r="S103" i="1"/>
  <c r="S76" i="1"/>
  <c r="Q104" i="1"/>
  <c r="Q77" i="1"/>
  <c r="K104" i="1"/>
  <c r="O103" i="1"/>
  <c r="O76" i="1"/>
  <c r="I103" i="1"/>
  <c r="I76" i="1"/>
  <c r="M104" i="1"/>
  <c r="M77" i="1"/>
  <c r="X104" i="1"/>
  <c r="X77" i="1"/>
  <c r="T104" i="1"/>
  <c r="T77" i="1"/>
  <c r="P104" i="1"/>
  <c r="P77" i="1"/>
  <c r="L104" i="1"/>
  <c r="L109" i="1"/>
  <c r="L77" i="1"/>
  <c r="V104" i="1"/>
  <c r="V77" i="1"/>
  <c r="N104" i="1"/>
  <c r="N109" i="1"/>
  <c r="N77" i="1"/>
  <c r="R104" i="1"/>
  <c r="R77" i="1"/>
  <c r="J104" i="1"/>
  <c r="J109" i="1"/>
  <c r="J77" i="1"/>
  <c r="W103" i="1"/>
  <c r="W76" i="1"/>
  <c r="U104" i="1"/>
  <c r="U77" i="1"/>
  <c r="T103" i="1"/>
  <c r="T76" i="1"/>
  <c r="M103" i="1"/>
  <c r="M76" i="1"/>
  <c r="W108" i="1"/>
  <c r="W81" i="1"/>
  <c r="S428" i="5"/>
  <c r="S436" i="5"/>
  <c r="S419" i="5"/>
  <c r="S427" i="5"/>
  <c r="S435" i="5"/>
  <c r="S425" i="5"/>
  <c r="S433" i="5"/>
  <c r="S422" i="5"/>
  <c r="S438" i="5"/>
  <c r="S424" i="5"/>
  <c r="S432" i="5"/>
  <c r="S440" i="5"/>
  <c r="S418" i="5"/>
  <c r="S441" i="5"/>
  <c r="S420" i="5"/>
  <c r="S426" i="5"/>
  <c r="S430" i="5"/>
  <c r="S434" i="5"/>
  <c r="S431" i="5"/>
  <c r="S429" i="5"/>
  <c r="S437" i="5"/>
  <c r="S439" i="5"/>
  <c r="S423" i="5"/>
  <c r="S421" i="5"/>
  <c r="Q106" i="1"/>
  <c r="Q79" i="1"/>
  <c r="M360" i="5"/>
  <c r="M364" i="5"/>
  <c r="M368" i="5"/>
  <c r="M372" i="5"/>
  <c r="M356" i="5"/>
  <c r="M355" i="5"/>
  <c r="M359" i="5"/>
  <c r="M363" i="5"/>
  <c r="M367" i="5"/>
  <c r="M371" i="5"/>
  <c r="M375" i="5"/>
  <c r="M354" i="5"/>
  <c r="M358" i="5"/>
  <c r="M362" i="5"/>
  <c r="M366" i="5"/>
  <c r="M370" i="5"/>
  <c r="M374" i="5"/>
  <c r="M357" i="5"/>
  <c r="M361" i="5"/>
  <c r="M365" i="5"/>
  <c r="M369" i="5"/>
  <c r="M373" i="5"/>
  <c r="M352" i="5"/>
  <c r="M353" i="5"/>
  <c r="I106" i="1"/>
  <c r="I79" i="1"/>
  <c r="E360" i="5"/>
  <c r="E364" i="5"/>
  <c r="E368" i="5"/>
  <c r="E372" i="5"/>
  <c r="E356" i="5"/>
  <c r="E355" i="5"/>
  <c r="E359" i="5"/>
  <c r="E363" i="5"/>
  <c r="E367" i="5"/>
  <c r="E371" i="5"/>
  <c r="E375" i="5"/>
  <c r="E354" i="5"/>
  <c r="E358" i="5"/>
  <c r="E362" i="5"/>
  <c r="E366" i="5"/>
  <c r="E370" i="5"/>
  <c r="E374" i="5"/>
  <c r="E353" i="5"/>
  <c r="E357" i="5"/>
  <c r="E361" i="5"/>
  <c r="E365" i="5"/>
  <c r="E369" i="5"/>
  <c r="E373" i="5"/>
  <c r="E352" i="5"/>
  <c r="X108" i="1"/>
  <c r="X81" i="1"/>
  <c r="T428" i="5"/>
  <c r="T436" i="5"/>
  <c r="T419" i="5"/>
  <c r="T427" i="5"/>
  <c r="T435" i="5"/>
  <c r="T418" i="5"/>
  <c r="T441" i="5"/>
  <c r="T426" i="5"/>
  <c r="T434" i="5"/>
  <c r="T424" i="5"/>
  <c r="T432" i="5"/>
  <c r="T440" i="5"/>
  <c r="T425" i="5"/>
  <c r="T433" i="5"/>
  <c r="T420" i="5"/>
  <c r="T422" i="5"/>
  <c r="T430" i="5"/>
  <c r="T438" i="5"/>
  <c r="T421" i="5"/>
  <c r="T431" i="5"/>
  <c r="T439" i="5"/>
  <c r="T423" i="5"/>
  <c r="T429" i="5"/>
  <c r="T437" i="5"/>
  <c r="V106" i="1"/>
  <c r="V79" i="1"/>
  <c r="R360" i="5"/>
  <c r="R364" i="5"/>
  <c r="R368" i="5"/>
  <c r="R372" i="5"/>
  <c r="R354" i="5"/>
  <c r="R358" i="5"/>
  <c r="R362" i="5"/>
  <c r="R366" i="5"/>
  <c r="R370" i="5"/>
  <c r="R356" i="5"/>
  <c r="R355" i="5"/>
  <c r="R359" i="5"/>
  <c r="R363" i="5"/>
  <c r="R367" i="5"/>
  <c r="R371" i="5"/>
  <c r="R375" i="5"/>
  <c r="R352" i="5"/>
  <c r="R374" i="5"/>
  <c r="R353" i="5"/>
  <c r="R357" i="5"/>
  <c r="R361" i="5"/>
  <c r="R365" i="5"/>
  <c r="R369" i="5"/>
  <c r="R373" i="5"/>
  <c r="T106" i="1"/>
  <c r="T79" i="1"/>
  <c r="P356" i="5"/>
  <c r="P359" i="5"/>
  <c r="P367" i="5"/>
  <c r="P375" i="5"/>
  <c r="P360" i="5"/>
  <c r="P364" i="5"/>
  <c r="P368" i="5"/>
  <c r="P372" i="5"/>
  <c r="P355" i="5"/>
  <c r="P363" i="5"/>
  <c r="P371" i="5"/>
  <c r="P354" i="5"/>
  <c r="P358" i="5"/>
  <c r="P362" i="5"/>
  <c r="P366" i="5"/>
  <c r="P370" i="5"/>
  <c r="P374" i="5"/>
  <c r="P353" i="5"/>
  <c r="P357" i="5"/>
  <c r="P361" i="5"/>
  <c r="P365" i="5"/>
  <c r="P369" i="5"/>
  <c r="P373" i="5"/>
  <c r="P352" i="5"/>
  <c r="P108" i="1"/>
  <c r="P81" i="1"/>
  <c r="L428" i="5"/>
  <c r="L436" i="5"/>
  <c r="L427" i="5"/>
  <c r="L425" i="5"/>
  <c r="L441" i="5"/>
  <c r="L422" i="5"/>
  <c r="L430" i="5"/>
  <c r="L438" i="5"/>
  <c r="L424" i="5"/>
  <c r="L432" i="5"/>
  <c r="L440" i="5"/>
  <c r="L419" i="5"/>
  <c r="L435" i="5"/>
  <c r="L418" i="5"/>
  <c r="L433" i="5"/>
  <c r="L420" i="5"/>
  <c r="L426" i="5"/>
  <c r="L434" i="5"/>
  <c r="L421" i="5"/>
  <c r="L437" i="5"/>
  <c r="L423" i="5"/>
  <c r="L429" i="5"/>
  <c r="L431" i="5"/>
  <c r="L439" i="5"/>
  <c r="N106" i="1"/>
  <c r="N79" i="1"/>
  <c r="J356" i="5"/>
  <c r="J360" i="5"/>
  <c r="J364" i="5"/>
  <c r="J368" i="5"/>
  <c r="J372" i="5"/>
  <c r="J355" i="5"/>
  <c r="J359" i="5"/>
  <c r="J363" i="5"/>
  <c r="J367" i="5"/>
  <c r="J371" i="5"/>
  <c r="J375" i="5"/>
  <c r="J354" i="5"/>
  <c r="J358" i="5"/>
  <c r="J362" i="5"/>
  <c r="J366" i="5"/>
  <c r="J370" i="5"/>
  <c r="J374" i="5"/>
  <c r="J353" i="5"/>
  <c r="J361" i="5"/>
  <c r="J369" i="5"/>
  <c r="J357" i="5"/>
  <c r="J365" i="5"/>
  <c r="J373" i="5"/>
  <c r="J352" i="5"/>
  <c r="L106" i="1"/>
  <c r="L79" i="1"/>
  <c r="H360" i="5"/>
  <c r="H364" i="5"/>
  <c r="H368" i="5"/>
  <c r="H372" i="5"/>
  <c r="H354" i="5"/>
  <c r="H358" i="5"/>
  <c r="H362" i="5"/>
  <c r="H366" i="5"/>
  <c r="H370" i="5"/>
  <c r="H356" i="5"/>
  <c r="H355" i="5"/>
  <c r="H359" i="5"/>
  <c r="H363" i="5"/>
  <c r="H367" i="5"/>
  <c r="H371" i="5"/>
  <c r="H375" i="5"/>
  <c r="H357" i="5"/>
  <c r="H361" i="5"/>
  <c r="H365" i="5"/>
  <c r="H369" i="5"/>
  <c r="H373" i="5"/>
  <c r="H374" i="5"/>
  <c r="H353" i="5"/>
  <c r="H352" i="5"/>
  <c r="V108" i="1"/>
  <c r="V81" i="1"/>
  <c r="R428" i="5"/>
  <c r="R436" i="5"/>
  <c r="R427" i="5"/>
  <c r="R418" i="5"/>
  <c r="R425" i="5"/>
  <c r="R433" i="5"/>
  <c r="R441" i="5"/>
  <c r="R422" i="5"/>
  <c r="R430" i="5"/>
  <c r="R438" i="5"/>
  <c r="R424" i="5"/>
  <c r="R432" i="5"/>
  <c r="R440" i="5"/>
  <c r="R419" i="5"/>
  <c r="R435" i="5"/>
  <c r="R420" i="5"/>
  <c r="R426" i="5"/>
  <c r="R434" i="5"/>
  <c r="R421" i="5"/>
  <c r="R431" i="5"/>
  <c r="R439" i="5"/>
  <c r="R423" i="5"/>
  <c r="R429" i="5"/>
  <c r="R437" i="5"/>
  <c r="R108" i="1"/>
  <c r="R81" i="1"/>
  <c r="N424" i="5"/>
  <c r="N432" i="5"/>
  <c r="N440" i="5"/>
  <c r="N427" i="5"/>
  <c r="N435" i="5"/>
  <c r="N425" i="5"/>
  <c r="N433" i="5"/>
  <c r="N420" i="5"/>
  <c r="N422" i="5"/>
  <c r="N430" i="5"/>
  <c r="N438" i="5"/>
  <c r="N428" i="5"/>
  <c r="N436" i="5"/>
  <c r="N419" i="5"/>
  <c r="N418" i="5"/>
  <c r="N441" i="5"/>
  <c r="N426" i="5"/>
  <c r="N434" i="5"/>
  <c r="N431" i="5"/>
  <c r="N429" i="5"/>
  <c r="N437" i="5"/>
  <c r="N439" i="5"/>
  <c r="N423" i="5"/>
  <c r="N421" i="5"/>
  <c r="N108" i="1"/>
  <c r="N81" i="1"/>
  <c r="J428" i="5"/>
  <c r="J436" i="5"/>
  <c r="J419" i="5"/>
  <c r="J418" i="5"/>
  <c r="J441" i="5"/>
  <c r="J426" i="5"/>
  <c r="J434" i="5"/>
  <c r="J424" i="5"/>
  <c r="J432" i="5"/>
  <c r="J440" i="5"/>
  <c r="J427" i="5"/>
  <c r="J435" i="5"/>
  <c r="J425" i="5"/>
  <c r="J433" i="5"/>
  <c r="J420" i="5"/>
  <c r="J422" i="5"/>
  <c r="J430" i="5"/>
  <c r="J438" i="5"/>
  <c r="J423" i="5"/>
  <c r="J439" i="5"/>
  <c r="J421" i="5"/>
  <c r="J431" i="5"/>
  <c r="J429" i="5"/>
  <c r="J437" i="5"/>
  <c r="J108" i="1"/>
  <c r="J81" i="1"/>
  <c r="F424" i="5"/>
  <c r="F432" i="5"/>
  <c r="F440" i="5"/>
  <c r="F427" i="5"/>
  <c r="F435" i="5"/>
  <c r="F425" i="5"/>
  <c r="F433" i="5"/>
  <c r="F420" i="5"/>
  <c r="F422" i="5"/>
  <c r="F430" i="5"/>
  <c r="F438" i="5"/>
  <c r="F428" i="5"/>
  <c r="F436" i="5"/>
  <c r="F419" i="5"/>
  <c r="F418" i="5"/>
  <c r="F441" i="5"/>
  <c r="F426" i="5"/>
  <c r="F434" i="5"/>
  <c r="F431" i="5"/>
  <c r="F429" i="5"/>
  <c r="F437" i="5"/>
  <c r="F423" i="5"/>
  <c r="F421" i="5"/>
  <c r="F439" i="5"/>
  <c r="S106" i="1"/>
  <c r="S79" i="1"/>
  <c r="O360" i="5"/>
  <c r="O364" i="5"/>
  <c r="O368" i="5"/>
  <c r="O372" i="5"/>
  <c r="O355" i="5"/>
  <c r="O359" i="5"/>
  <c r="O363" i="5"/>
  <c r="O367" i="5"/>
  <c r="O371" i="5"/>
  <c r="O375" i="5"/>
  <c r="O354" i="5"/>
  <c r="O358" i="5"/>
  <c r="O362" i="5"/>
  <c r="O366" i="5"/>
  <c r="O370" i="5"/>
  <c r="O356" i="5"/>
  <c r="O353" i="5"/>
  <c r="O361" i="5"/>
  <c r="O369" i="5"/>
  <c r="O374" i="5"/>
  <c r="O357" i="5"/>
  <c r="O365" i="5"/>
  <c r="O373" i="5"/>
  <c r="O352" i="5"/>
  <c r="O106" i="1"/>
  <c r="O79" i="1"/>
  <c r="K356" i="5"/>
  <c r="K355" i="5"/>
  <c r="K359" i="5"/>
  <c r="K363" i="5"/>
  <c r="K367" i="5"/>
  <c r="K371" i="5"/>
  <c r="K375" i="5"/>
  <c r="K360" i="5"/>
  <c r="K364" i="5"/>
  <c r="K368" i="5"/>
  <c r="K372" i="5"/>
  <c r="K354" i="5"/>
  <c r="K358" i="5"/>
  <c r="K362" i="5"/>
  <c r="K366" i="5"/>
  <c r="K370" i="5"/>
  <c r="K374" i="5"/>
  <c r="K353" i="5"/>
  <c r="K352" i="5"/>
  <c r="K357" i="5"/>
  <c r="K365" i="5"/>
  <c r="K373" i="5"/>
  <c r="K361" i="5"/>
  <c r="K369" i="5"/>
  <c r="K106" i="1"/>
  <c r="K79" i="1"/>
  <c r="G360" i="5"/>
  <c r="G364" i="5"/>
  <c r="G368" i="5"/>
  <c r="G372" i="5"/>
  <c r="G355" i="5"/>
  <c r="G359" i="5"/>
  <c r="G363" i="5"/>
  <c r="G367" i="5"/>
  <c r="G371" i="5"/>
  <c r="G375" i="5"/>
  <c r="G354" i="5"/>
  <c r="G358" i="5"/>
  <c r="G362" i="5"/>
  <c r="G366" i="5"/>
  <c r="G370" i="5"/>
  <c r="G356" i="5"/>
  <c r="G353" i="5"/>
  <c r="G374" i="5"/>
  <c r="G361" i="5"/>
  <c r="G369" i="5"/>
  <c r="G352" i="5"/>
  <c r="G357" i="5"/>
  <c r="G365" i="5"/>
  <c r="G373" i="5"/>
  <c r="F93" i="1"/>
  <c r="G25" i="7"/>
  <c r="Q204" i="5"/>
  <c r="Q237" i="5"/>
  <c r="M204" i="5"/>
  <c r="M237" i="5"/>
  <c r="K204" i="5"/>
  <c r="I204" i="5"/>
  <c r="G204" i="5"/>
  <c r="G207" i="5"/>
  <c r="E204" i="5"/>
  <c r="E207" i="5"/>
  <c r="E237" i="5"/>
  <c r="E240" i="5"/>
  <c r="T237" i="5"/>
  <c r="R171" i="5"/>
  <c r="N171" i="5"/>
  <c r="N204" i="5"/>
  <c r="J171" i="5"/>
  <c r="S204" i="5"/>
  <c r="S108" i="1"/>
  <c r="S81" i="1"/>
  <c r="O424" i="5"/>
  <c r="O432" i="5"/>
  <c r="O440" i="5"/>
  <c r="O419" i="5"/>
  <c r="O435" i="5"/>
  <c r="O418" i="5"/>
  <c r="O433" i="5"/>
  <c r="O420" i="5"/>
  <c r="O422" i="5"/>
  <c r="O426" i="5"/>
  <c r="O430" i="5"/>
  <c r="O434" i="5"/>
  <c r="O438" i="5"/>
  <c r="O428" i="5"/>
  <c r="O436" i="5"/>
  <c r="O427" i="5"/>
  <c r="O425" i="5"/>
  <c r="O441" i="5"/>
  <c r="O431" i="5"/>
  <c r="O421" i="5"/>
  <c r="O423" i="5"/>
  <c r="O429" i="5"/>
  <c r="O439" i="5"/>
  <c r="O437" i="5"/>
  <c r="K442" i="5"/>
  <c r="K171" i="5"/>
  <c r="I171" i="5"/>
  <c r="G171" i="5"/>
  <c r="G174" i="5"/>
  <c r="T171" i="5"/>
  <c r="P204" i="5"/>
  <c r="N237" i="5"/>
  <c r="L171" i="5"/>
  <c r="L204" i="5"/>
  <c r="H171" i="5"/>
  <c r="H204" i="5"/>
  <c r="F409" i="5"/>
  <c r="F412" i="5"/>
  <c r="K78" i="1"/>
  <c r="G319" i="5"/>
  <c r="G341" i="5"/>
  <c r="G340" i="5"/>
  <c r="G339" i="5"/>
  <c r="G337" i="5"/>
  <c r="G336" i="5"/>
  <c r="G335" i="5"/>
  <c r="G334" i="5"/>
  <c r="G330" i="5"/>
  <c r="G326" i="5"/>
  <c r="G322" i="5"/>
  <c r="G338" i="5"/>
  <c r="G332" i="5"/>
  <c r="G331" i="5"/>
  <c r="G328" i="5"/>
  <c r="G327" i="5"/>
  <c r="G324" i="5"/>
  <c r="G323" i="5"/>
  <c r="G342" i="5"/>
  <c r="G333" i="5"/>
  <c r="G329" i="5"/>
  <c r="G325" i="5"/>
  <c r="G321" i="5"/>
  <c r="G320" i="5"/>
  <c r="J78" i="1"/>
  <c r="F319" i="5"/>
  <c r="F342" i="5"/>
  <c r="F340" i="5"/>
  <c r="F339" i="5"/>
  <c r="F338" i="5"/>
  <c r="F336" i="5"/>
  <c r="F335" i="5"/>
  <c r="F333" i="5"/>
  <c r="F329" i="5"/>
  <c r="F325" i="5"/>
  <c r="F337" i="5"/>
  <c r="F332" i="5"/>
  <c r="F328" i="5"/>
  <c r="F324" i="5"/>
  <c r="F321" i="5"/>
  <c r="F341" i="5"/>
  <c r="F334" i="5"/>
  <c r="F331" i="5"/>
  <c r="F330" i="5"/>
  <c r="F327" i="5"/>
  <c r="F326" i="5"/>
  <c r="F323" i="5"/>
  <c r="F322" i="5"/>
  <c r="F320" i="5"/>
  <c r="U78" i="1"/>
  <c r="Q319" i="5"/>
  <c r="Q339" i="5"/>
  <c r="Q335" i="5"/>
  <c r="Q342" i="5"/>
  <c r="Q341" i="5"/>
  <c r="Q338" i="5"/>
  <c r="Q337" i="5"/>
  <c r="Q334" i="5"/>
  <c r="Q333" i="5"/>
  <c r="Q332" i="5"/>
  <c r="Q330" i="5"/>
  <c r="Q329" i="5"/>
  <c r="Q328" i="5"/>
  <c r="Q326" i="5"/>
  <c r="Q325" i="5"/>
  <c r="Q324" i="5"/>
  <c r="Q322" i="5"/>
  <c r="Q340" i="5"/>
  <c r="Q331" i="5"/>
  <c r="Q327" i="5"/>
  <c r="Q323" i="5"/>
  <c r="Q321" i="5"/>
  <c r="Q320" i="5"/>
  <c r="Q336" i="5"/>
  <c r="N78" i="1"/>
  <c r="J342" i="5"/>
  <c r="J341" i="5"/>
  <c r="J340" i="5"/>
  <c r="J338" i="5"/>
  <c r="J337" i="5"/>
  <c r="J336" i="5"/>
  <c r="J319" i="5"/>
  <c r="J339" i="5"/>
  <c r="J335" i="5"/>
  <c r="J331" i="5"/>
  <c r="J327" i="5"/>
  <c r="J323" i="5"/>
  <c r="J334" i="5"/>
  <c r="J330" i="5"/>
  <c r="J326" i="5"/>
  <c r="J322" i="5"/>
  <c r="J333" i="5"/>
  <c r="J332" i="5"/>
  <c r="J329" i="5"/>
  <c r="J328" i="5"/>
  <c r="J325" i="5"/>
  <c r="J324" i="5"/>
  <c r="J321" i="5"/>
  <c r="J320" i="5"/>
  <c r="T78" i="1"/>
  <c r="P342" i="5"/>
  <c r="P340" i="5"/>
  <c r="P338" i="5"/>
  <c r="P336" i="5"/>
  <c r="P319" i="5"/>
  <c r="P339" i="5"/>
  <c r="P335" i="5"/>
  <c r="P333" i="5"/>
  <c r="P331" i="5"/>
  <c r="P329" i="5"/>
  <c r="P327" i="5"/>
  <c r="P325" i="5"/>
  <c r="P323" i="5"/>
  <c r="P321" i="5"/>
  <c r="P337" i="5"/>
  <c r="P332" i="5"/>
  <c r="P328" i="5"/>
  <c r="P324" i="5"/>
  <c r="P341" i="5"/>
  <c r="P334" i="5"/>
  <c r="P330" i="5"/>
  <c r="P326" i="5"/>
  <c r="P322" i="5"/>
  <c r="P320" i="5"/>
  <c r="X78" i="1"/>
  <c r="T342" i="5"/>
  <c r="T340" i="5"/>
  <c r="T338" i="5"/>
  <c r="T336" i="5"/>
  <c r="T341" i="5"/>
  <c r="T337" i="5"/>
  <c r="T333" i="5"/>
  <c r="T331" i="5"/>
  <c r="T329" i="5"/>
  <c r="T327" i="5"/>
  <c r="T325" i="5"/>
  <c r="T323" i="5"/>
  <c r="T321" i="5"/>
  <c r="T319" i="5"/>
  <c r="T335" i="5"/>
  <c r="T334" i="5"/>
  <c r="T330" i="5"/>
  <c r="T326" i="5"/>
  <c r="T322" i="5"/>
  <c r="T339" i="5"/>
  <c r="T332" i="5"/>
  <c r="T328" i="5"/>
  <c r="T324" i="5"/>
  <c r="T320" i="5"/>
  <c r="S78" i="1"/>
  <c r="O319" i="5"/>
  <c r="O341" i="5"/>
  <c r="O340" i="5"/>
  <c r="O339" i="5"/>
  <c r="O337" i="5"/>
  <c r="O336" i="5"/>
  <c r="O335" i="5"/>
  <c r="O342" i="5"/>
  <c r="O338" i="5"/>
  <c r="O334" i="5"/>
  <c r="O330" i="5"/>
  <c r="O326" i="5"/>
  <c r="O322" i="5"/>
  <c r="O331" i="5"/>
  <c r="O327" i="5"/>
  <c r="O323" i="5"/>
  <c r="O333" i="5"/>
  <c r="O332" i="5"/>
  <c r="O329" i="5"/>
  <c r="O328" i="5"/>
  <c r="O325" i="5"/>
  <c r="O324" i="5"/>
  <c r="O321" i="5"/>
  <c r="O320" i="5"/>
  <c r="H79" i="1"/>
  <c r="D359" i="5"/>
  <c r="D367" i="5"/>
  <c r="D375" i="5"/>
  <c r="D358" i="5"/>
  <c r="D362" i="5"/>
  <c r="D370" i="5"/>
  <c r="D353" i="5"/>
  <c r="D361" i="5"/>
  <c r="D369" i="5"/>
  <c r="D352" i="5"/>
  <c r="D356" i="5"/>
  <c r="D360" i="5"/>
  <c r="D364" i="5"/>
  <c r="D368" i="5"/>
  <c r="D372" i="5"/>
  <c r="D355" i="5"/>
  <c r="D363" i="5"/>
  <c r="D371" i="5"/>
  <c r="D354" i="5"/>
  <c r="D366" i="5"/>
  <c r="D374" i="5"/>
  <c r="D357" i="5"/>
  <c r="D365" i="5"/>
  <c r="D373" i="5"/>
  <c r="W78" i="1"/>
  <c r="S342" i="5"/>
  <c r="S338" i="5"/>
  <c r="S341" i="5"/>
  <c r="S340" i="5"/>
  <c r="S337" i="5"/>
  <c r="S336" i="5"/>
  <c r="S333" i="5"/>
  <c r="S332" i="5"/>
  <c r="S331" i="5"/>
  <c r="S329" i="5"/>
  <c r="S328" i="5"/>
  <c r="S327" i="5"/>
  <c r="S325" i="5"/>
  <c r="S324" i="5"/>
  <c r="S323" i="5"/>
  <c r="S319" i="5"/>
  <c r="S335" i="5"/>
  <c r="S334" i="5"/>
  <c r="S330" i="5"/>
  <c r="S326" i="5"/>
  <c r="S322" i="5"/>
  <c r="S321" i="5"/>
  <c r="S320" i="5"/>
  <c r="S339" i="5"/>
  <c r="M78" i="1"/>
  <c r="I342" i="5"/>
  <c r="I340" i="5"/>
  <c r="I338" i="5"/>
  <c r="I336" i="5"/>
  <c r="I341" i="5"/>
  <c r="I337" i="5"/>
  <c r="I333" i="5"/>
  <c r="I331" i="5"/>
  <c r="I329" i="5"/>
  <c r="I327" i="5"/>
  <c r="I325" i="5"/>
  <c r="I323" i="5"/>
  <c r="I339" i="5"/>
  <c r="I332" i="5"/>
  <c r="I328" i="5"/>
  <c r="I324" i="5"/>
  <c r="I321" i="5"/>
  <c r="I319" i="5"/>
  <c r="I335" i="5"/>
  <c r="I334" i="5"/>
  <c r="I330" i="5"/>
  <c r="I326" i="5"/>
  <c r="I322" i="5"/>
  <c r="I320" i="5"/>
  <c r="V78" i="1"/>
  <c r="R319" i="5"/>
  <c r="R341" i="5"/>
  <c r="R339" i="5"/>
  <c r="R337" i="5"/>
  <c r="R335" i="5"/>
  <c r="R342" i="5"/>
  <c r="R338" i="5"/>
  <c r="R334" i="5"/>
  <c r="R332" i="5"/>
  <c r="R330" i="5"/>
  <c r="R328" i="5"/>
  <c r="R326" i="5"/>
  <c r="R324" i="5"/>
  <c r="R322" i="5"/>
  <c r="R340" i="5"/>
  <c r="R331" i="5"/>
  <c r="R327" i="5"/>
  <c r="R323" i="5"/>
  <c r="R320" i="5"/>
  <c r="R336" i="5"/>
  <c r="R333" i="5"/>
  <c r="R329" i="5"/>
  <c r="R325" i="5"/>
  <c r="R321" i="5"/>
  <c r="O78" i="1"/>
  <c r="K319" i="5"/>
  <c r="K342" i="5"/>
  <c r="K341" i="5"/>
  <c r="K339" i="5"/>
  <c r="K338" i="5"/>
  <c r="K337" i="5"/>
  <c r="K335" i="5"/>
  <c r="K332" i="5"/>
  <c r="K328" i="5"/>
  <c r="K324" i="5"/>
  <c r="K340" i="5"/>
  <c r="K333" i="5"/>
  <c r="K329" i="5"/>
  <c r="K325" i="5"/>
  <c r="K320" i="5"/>
  <c r="K336" i="5"/>
  <c r="K334" i="5"/>
  <c r="K331" i="5"/>
  <c r="K330" i="5"/>
  <c r="K327" i="5"/>
  <c r="K326" i="5"/>
  <c r="K323" i="5"/>
  <c r="K322" i="5"/>
  <c r="K321" i="5"/>
  <c r="L78" i="1"/>
  <c r="H319" i="5"/>
  <c r="H341" i="5"/>
  <c r="H339" i="5"/>
  <c r="H337" i="5"/>
  <c r="H335" i="5"/>
  <c r="H342" i="5"/>
  <c r="H338" i="5"/>
  <c r="H334" i="5"/>
  <c r="H332" i="5"/>
  <c r="H330" i="5"/>
  <c r="H328" i="5"/>
  <c r="H326" i="5"/>
  <c r="H324" i="5"/>
  <c r="H322" i="5"/>
  <c r="H336" i="5"/>
  <c r="H333" i="5"/>
  <c r="H329" i="5"/>
  <c r="H325" i="5"/>
  <c r="H320" i="5"/>
  <c r="H340" i="5"/>
  <c r="H331" i="5"/>
  <c r="H327" i="5"/>
  <c r="H323" i="5"/>
  <c r="H321" i="5"/>
  <c r="P78" i="1"/>
  <c r="L319" i="5"/>
  <c r="L340" i="5"/>
  <c r="L339" i="5"/>
  <c r="L336" i="5"/>
  <c r="L335" i="5"/>
  <c r="L334" i="5"/>
  <c r="L333" i="5"/>
  <c r="L332" i="5"/>
  <c r="L331" i="5"/>
  <c r="L330" i="5"/>
  <c r="L329" i="5"/>
  <c r="L328" i="5"/>
  <c r="L327" i="5"/>
  <c r="L326" i="5"/>
  <c r="L325" i="5"/>
  <c r="L324" i="5"/>
  <c r="L323" i="5"/>
  <c r="L322" i="5"/>
  <c r="L342" i="5"/>
  <c r="L341" i="5"/>
  <c r="L321" i="5"/>
  <c r="L320" i="5"/>
  <c r="L338" i="5"/>
  <c r="L337" i="5"/>
  <c r="H78" i="1"/>
  <c r="D319" i="5"/>
  <c r="D342" i="5"/>
  <c r="D341" i="5"/>
  <c r="D340" i="5"/>
  <c r="D339" i="5"/>
  <c r="D338" i="5"/>
  <c r="D337" i="5"/>
  <c r="D336" i="5"/>
  <c r="D335" i="5"/>
  <c r="D332" i="5"/>
  <c r="D331" i="5"/>
  <c r="D328" i="5"/>
  <c r="D327" i="5"/>
  <c r="D324" i="5"/>
  <c r="D323" i="5"/>
  <c r="D334" i="5"/>
  <c r="D333" i="5"/>
  <c r="D330" i="5"/>
  <c r="D329" i="5"/>
  <c r="D326" i="5"/>
  <c r="D325" i="5"/>
  <c r="D322" i="5"/>
  <c r="D321" i="5"/>
  <c r="D320" i="5"/>
  <c r="R78" i="1"/>
  <c r="N319" i="5"/>
  <c r="N341" i="5"/>
  <c r="N339" i="5"/>
  <c r="N337" i="5"/>
  <c r="N335" i="5"/>
  <c r="N340" i="5"/>
  <c r="N336" i="5"/>
  <c r="N334" i="5"/>
  <c r="N332" i="5"/>
  <c r="N330" i="5"/>
  <c r="N328" i="5"/>
  <c r="N326" i="5"/>
  <c r="N324" i="5"/>
  <c r="N322" i="5"/>
  <c r="N342" i="5"/>
  <c r="N333" i="5"/>
  <c r="N329" i="5"/>
  <c r="N325" i="5"/>
  <c r="N321" i="5"/>
  <c r="N320" i="5"/>
  <c r="N338" i="5"/>
  <c r="N331" i="5"/>
  <c r="N327" i="5"/>
  <c r="N323" i="5"/>
  <c r="N286" i="5"/>
  <c r="R286" i="5"/>
  <c r="E286" i="5"/>
  <c r="I286" i="5"/>
  <c r="M286" i="5"/>
  <c r="O286" i="5"/>
  <c r="F286" i="5"/>
  <c r="D286" i="5"/>
  <c r="Q286" i="5"/>
  <c r="H286" i="5"/>
  <c r="P286" i="5"/>
  <c r="T286" i="5"/>
  <c r="G286" i="5"/>
  <c r="K286" i="5"/>
  <c r="S286" i="5"/>
  <c r="J286" i="5"/>
  <c r="L286" i="5"/>
  <c r="O307" i="5"/>
  <c r="Q307" i="5"/>
  <c r="S307" i="5"/>
  <c r="P307" i="5"/>
  <c r="T307" i="5"/>
  <c r="E307" i="5"/>
  <c r="G307" i="5"/>
  <c r="I307" i="5"/>
  <c r="K307" i="5"/>
  <c r="M307" i="5"/>
  <c r="R307" i="5"/>
  <c r="H307" i="5"/>
  <c r="L307" i="5"/>
  <c r="D307" i="5"/>
  <c r="N307" i="5"/>
  <c r="F307" i="5"/>
  <c r="J307" i="5"/>
  <c r="O303" i="5"/>
  <c r="Q303" i="5"/>
  <c r="S303" i="5"/>
  <c r="P303" i="5"/>
  <c r="T303" i="5"/>
  <c r="E303" i="5"/>
  <c r="G303" i="5"/>
  <c r="I303" i="5"/>
  <c r="K303" i="5"/>
  <c r="M303" i="5"/>
  <c r="R303" i="5"/>
  <c r="H303" i="5"/>
  <c r="L303" i="5"/>
  <c r="D303" i="5"/>
  <c r="N303" i="5"/>
  <c r="F303" i="5"/>
  <c r="J303" i="5"/>
  <c r="O299" i="5"/>
  <c r="Q299" i="5"/>
  <c r="S299" i="5"/>
  <c r="P299" i="5"/>
  <c r="T299" i="5"/>
  <c r="E299" i="5"/>
  <c r="G299" i="5"/>
  <c r="I299" i="5"/>
  <c r="K299" i="5"/>
  <c r="M299" i="5"/>
  <c r="R299" i="5"/>
  <c r="H299" i="5"/>
  <c r="L299" i="5"/>
  <c r="D299" i="5"/>
  <c r="N299" i="5"/>
  <c r="F299" i="5"/>
  <c r="J299" i="5"/>
  <c r="O295" i="5"/>
  <c r="Q295" i="5"/>
  <c r="S295" i="5"/>
  <c r="P295" i="5"/>
  <c r="T295" i="5"/>
  <c r="E295" i="5"/>
  <c r="G295" i="5"/>
  <c r="I295" i="5"/>
  <c r="K295" i="5"/>
  <c r="M295" i="5"/>
  <c r="R295" i="5"/>
  <c r="H295" i="5"/>
  <c r="L295" i="5"/>
  <c r="D295" i="5"/>
  <c r="N295" i="5"/>
  <c r="F295" i="5"/>
  <c r="J295" i="5"/>
  <c r="N291" i="5"/>
  <c r="P291" i="5"/>
  <c r="R291" i="5"/>
  <c r="T291" i="5"/>
  <c r="O291" i="5"/>
  <c r="S291" i="5"/>
  <c r="E291" i="5"/>
  <c r="G291" i="5"/>
  <c r="I291" i="5"/>
  <c r="K291" i="5"/>
  <c r="M291" i="5"/>
  <c r="H291" i="5"/>
  <c r="L291" i="5"/>
  <c r="D291" i="5"/>
  <c r="Q291" i="5"/>
  <c r="F291" i="5"/>
  <c r="J291" i="5"/>
  <c r="N287" i="5"/>
  <c r="P287" i="5"/>
  <c r="R287" i="5"/>
  <c r="T287" i="5"/>
  <c r="O287" i="5"/>
  <c r="S287" i="5"/>
  <c r="E287" i="5"/>
  <c r="G287" i="5"/>
  <c r="I287" i="5"/>
  <c r="K287" i="5"/>
  <c r="M287" i="5"/>
  <c r="H287" i="5"/>
  <c r="L287" i="5"/>
  <c r="D287" i="5"/>
  <c r="Q287" i="5"/>
  <c r="F287" i="5"/>
  <c r="J287" i="5"/>
  <c r="O306" i="5"/>
  <c r="Q306" i="5"/>
  <c r="S306" i="5"/>
  <c r="P306" i="5"/>
  <c r="T306" i="5"/>
  <c r="F306" i="5"/>
  <c r="H306" i="5"/>
  <c r="J306" i="5"/>
  <c r="L306" i="5"/>
  <c r="D306" i="5"/>
  <c r="R306" i="5"/>
  <c r="E306" i="5"/>
  <c r="I306" i="5"/>
  <c r="M306" i="5"/>
  <c r="N306" i="5"/>
  <c r="G306" i="5"/>
  <c r="K306" i="5"/>
  <c r="O302" i="5"/>
  <c r="Q302" i="5"/>
  <c r="S302" i="5"/>
  <c r="P302" i="5"/>
  <c r="T302" i="5"/>
  <c r="F302" i="5"/>
  <c r="H302" i="5"/>
  <c r="J302" i="5"/>
  <c r="L302" i="5"/>
  <c r="D302" i="5"/>
  <c r="R302" i="5"/>
  <c r="E302" i="5"/>
  <c r="I302" i="5"/>
  <c r="M302" i="5"/>
  <c r="N302" i="5"/>
  <c r="G302" i="5"/>
  <c r="K302" i="5"/>
  <c r="O298" i="5"/>
  <c r="Q298" i="5"/>
  <c r="S298" i="5"/>
  <c r="P298" i="5"/>
  <c r="T298" i="5"/>
  <c r="F298" i="5"/>
  <c r="H298" i="5"/>
  <c r="J298" i="5"/>
  <c r="L298" i="5"/>
  <c r="D298" i="5"/>
  <c r="R298" i="5"/>
  <c r="E298" i="5"/>
  <c r="I298" i="5"/>
  <c r="M298" i="5"/>
  <c r="N298" i="5"/>
  <c r="G298" i="5"/>
  <c r="K298" i="5"/>
  <c r="O294" i="5"/>
  <c r="Q294" i="5"/>
  <c r="S294" i="5"/>
  <c r="P294" i="5"/>
  <c r="T294" i="5"/>
  <c r="F294" i="5"/>
  <c r="H294" i="5"/>
  <c r="J294" i="5"/>
  <c r="L294" i="5"/>
  <c r="D294" i="5"/>
  <c r="R294" i="5"/>
  <c r="E294" i="5"/>
  <c r="I294" i="5"/>
  <c r="M294" i="5"/>
  <c r="N294" i="5"/>
  <c r="G294" i="5"/>
  <c r="K294" i="5"/>
  <c r="N290" i="5"/>
  <c r="P290" i="5"/>
  <c r="R290" i="5"/>
  <c r="T290" i="5"/>
  <c r="O290" i="5"/>
  <c r="S290" i="5"/>
  <c r="F290" i="5"/>
  <c r="H290" i="5"/>
  <c r="J290" i="5"/>
  <c r="L290" i="5"/>
  <c r="D290" i="5"/>
  <c r="E290" i="5"/>
  <c r="I290" i="5"/>
  <c r="M290" i="5"/>
  <c r="Q290" i="5"/>
  <c r="G290" i="5"/>
  <c r="K290" i="5"/>
  <c r="O309" i="5"/>
  <c r="Q309" i="5"/>
  <c r="S309" i="5"/>
  <c r="E309" i="5"/>
  <c r="G309" i="5"/>
  <c r="I309" i="5"/>
  <c r="K309" i="5"/>
  <c r="M309" i="5"/>
  <c r="N309" i="5"/>
  <c r="R309" i="5"/>
  <c r="F309" i="5"/>
  <c r="J309" i="5"/>
  <c r="P309" i="5"/>
  <c r="T309" i="5"/>
  <c r="H309" i="5"/>
  <c r="L309" i="5"/>
  <c r="D309" i="5"/>
  <c r="O305" i="5"/>
  <c r="Q305" i="5"/>
  <c r="S305" i="5"/>
  <c r="P305" i="5"/>
  <c r="T305" i="5"/>
  <c r="E305" i="5"/>
  <c r="G305" i="5"/>
  <c r="I305" i="5"/>
  <c r="K305" i="5"/>
  <c r="M305" i="5"/>
  <c r="R305" i="5"/>
  <c r="F305" i="5"/>
  <c r="J305" i="5"/>
  <c r="N305" i="5"/>
  <c r="H305" i="5"/>
  <c r="L305" i="5"/>
  <c r="D305" i="5"/>
  <c r="O301" i="5"/>
  <c r="Q301" i="5"/>
  <c r="S301" i="5"/>
  <c r="P301" i="5"/>
  <c r="T301" i="5"/>
  <c r="E301" i="5"/>
  <c r="G301" i="5"/>
  <c r="I301" i="5"/>
  <c r="K301" i="5"/>
  <c r="M301" i="5"/>
  <c r="R301" i="5"/>
  <c r="F301" i="5"/>
  <c r="J301" i="5"/>
  <c r="N301" i="5"/>
  <c r="H301" i="5"/>
  <c r="L301" i="5"/>
  <c r="D301" i="5"/>
  <c r="O297" i="5"/>
  <c r="Q297" i="5"/>
  <c r="S297" i="5"/>
  <c r="P297" i="5"/>
  <c r="T297" i="5"/>
  <c r="E297" i="5"/>
  <c r="G297" i="5"/>
  <c r="I297" i="5"/>
  <c r="K297" i="5"/>
  <c r="M297" i="5"/>
  <c r="R297" i="5"/>
  <c r="F297" i="5"/>
  <c r="J297" i="5"/>
  <c r="N297" i="5"/>
  <c r="H297" i="5"/>
  <c r="L297" i="5"/>
  <c r="D297" i="5"/>
  <c r="O293" i="5"/>
  <c r="Q293" i="5"/>
  <c r="S293" i="5"/>
  <c r="P293" i="5"/>
  <c r="T293" i="5"/>
  <c r="E293" i="5"/>
  <c r="G293" i="5"/>
  <c r="I293" i="5"/>
  <c r="K293" i="5"/>
  <c r="M293" i="5"/>
  <c r="R293" i="5"/>
  <c r="F293" i="5"/>
  <c r="J293" i="5"/>
  <c r="N293" i="5"/>
  <c r="H293" i="5"/>
  <c r="L293" i="5"/>
  <c r="D293" i="5"/>
  <c r="N289" i="5"/>
  <c r="P289" i="5"/>
  <c r="R289" i="5"/>
  <c r="T289" i="5"/>
  <c r="O289" i="5"/>
  <c r="S289" i="5"/>
  <c r="E289" i="5"/>
  <c r="G289" i="5"/>
  <c r="I289" i="5"/>
  <c r="K289" i="5"/>
  <c r="M289" i="5"/>
  <c r="F289" i="5"/>
  <c r="J289" i="5"/>
  <c r="Q289" i="5"/>
  <c r="H289" i="5"/>
  <c r="L289" i="5"/>
  <c r="D289" i="5"/>
  <c r="O308" i="5"/>
  <c r="Q308" i="5"/>
  <c r="S308" i="5"/>
  <c r="F308" i="5"/>
  <c r="H308" i="5"/>
  <c r="J308" i="5"/>
  <c r="L308" i="5"/>
  <c r="D308" i="5"/>
  <c r="N308" i="5"/>
  <c r="R308" i="5"/>
  <c r="G308" i="5"/>
  <c r="K308" i="5"/>
  <c r="P308" i="5"/>
  <c r="T308" i="5"/>
  <c r="E308" i="5"/>
  <c r="I308" i="5"/>
  <c r="M308" i="5"/>
  <c r="O304" i="5"/>
  <c r="Q304" i="5"/>
  <c r="S304" i="5"/>
  <c r="P304" i="5"/>
  <c r="T304" i="5"/>
  <c r="F304" i="5"/>
  <c r="H304" i="5"/>
  <c r="J304" i="5"/>
  <c r="L304" i="5"/>
  <c r="D304" i="5"/>
  <c r="R304" i="5"/>
  <c r="G304" i="5"/>
  <c r="K304" i="5"/>
  <c r="N304" i="5"/>
  <c r="E304" i="5"/>
  <c r="I304" i="5"/>
  <c r="M304" i="5"/>
  <c r="O300" i="5"/>
  <c r="Q300" i="5"/>
  <c r="S300" i="5"/>
  <c r="P300" i="5"/>
  <c r="T300" i="5"/>
  <c r="F300" i="5"/>
  <c r="H300" i="5"/>
  <c r="J300" i="5"/>
  <c r="L300" i="5"/>
  <c r="D300" i="5"/>
  <c r="R300" i="5"/>
  <c r="G300" i="5"/>
  <c r="K300" i="5"/>
  <c r="N300" i="5"/>
  <c r="E300" i="5"/>
  <c r="I300" i="5"/>
  <c r="M300" i="5"/>
  <c r="O296" i="5"/>
  <c r="Q296" i="5"/>
  <c r="S296" i="5"/>
  <c r="P296" i="5"/>
  <c r="T296" i="5"/>
  <c r="F296" i="5"/>
  <c r="H296" i="5"/>
  <c r="J296" i="5"/>
  <c r="L296" i="5"/>
  <c r="D296" i="5"/>
  <c r="R296" i="5"/>
  <c r="G296" i="5"/>
  <c r="K296" i="5"/>
  <c r="N296" i="5"/>
  <c r="E296" i="5"/>
  <c r="I296" i="5"/>
  <c r="M296" i="5"/>
  <c r="O292" i="5"/>
  <c r="Q292" i="5"/>
  <c r="S292" i="5"/>
  <c r="P292" i="5"/>
  <c r="T292" i="5"/>
  <c r="F292" i="5"/>
  <c r="H292" i="5"/>
  <c r="J292" i="5"/>
  <c r="L292" i="5"/>
  <c r="D292" i="5"/>
  <c r="R292" i="5"/>
  <c r="G292" i="5"/>
  <c r="K292" i="5"/>
  <c r="N292" i="5"/>
  <c r="E292" i="5"/>
  <c r="I292" i="5"/>
  <c r="M292" i="5"/>
  <c r="N288" i="5"/>
  <c r="P288" i="5"/>
  <c r="R288" i="5"/>
  <c r="T288" i="5"/>
  <c r="O288" i="5"/>
  <c r="S288" i="5"/>
  <c r="F288" i="5"/>
  <c r="H288" i="5"/>
  <c r="J288" i="5"/>
  <c r="L288" i="5"/>
  <c r="D288" i="5"/>
  <c r="G288" i="5"/>
  <c r="K288" i="5"/>
  <c r="Q288" i="5"/>
  <c r="E288" i="5"/>
  <c r="I288" i="5"/>
  <c r="M288" i="5"/>
  <c r="C30" i="5"/>
  <c r="O28" i="5"/>
  <c r="B28" i="5"/>
  <c r="E81" i="5"/>
  <c r="I81" i="5"/>
  <c r="M81" i="5"/>
  <c r="Q81" i="5"/>
  <c r="J81" i="5"/>
  <c r="R81" i="5"/>
  <c r="D81" i="5"/>
  <c r="P81" i="5"/>
  <c r="T81" i="5"/>
  <c r="G81" i="5"/>
  <c r="K81" i="5"/>
  <c r="O81" i="5"/>
  <c r="S81" i="5"/>
  <c r="F81" i="5"/>
  <c r="N81" i="5"/>
  <c r="H81" i="5"/>
  <c r="L81" i="5"/>
  <c r="E102" i="5"/>
  <c r="I102" i="5"/>
  <c r="M102" i="5"/>
  <c r="Q102" i="5"/>
  <c r="J102" i="5"/>
  <c r="R102" i="5"/>
  <c r="H102" i="5"/>
  <c r="P102" i="5"/>
  <c r="G102" i="5"/>
  <c r="O102" i="5"/>
  <c r="N102" i="5"/>
  <c r="D102" i="5"/>
  <c r="K102" i="5"/>
  <c r="S102" i="5"/>
  <c r="F102" i="5"/>
  <c r="L102" i="5"/>
  <c r="T102" i="5"/>
  <c r="E98" i="5"/>
  <c r="I98" i="5"/>
  <c r="M98" i="5"/>
  <c r="Q98" i="5"/>
  <c r="J98" i="5"/>
  <c r="R98" i="5"/>
  <c r="H98" i="5"/>
  <c r="P98" i="5"/>
  <c r="O98" i="5"/>
  <c r="D98" i="5"/>
  <c r="K98" i="5"/>
  <c r="S98" i="5"/>
  <c r="F98" i="5"/>
  <c r="L98" i="5"/>
  <c r="G98" i="5"/>
  <c r="N98" i="5"/>
  <c r="T98" i="5"/>
  <c r="E94" i="5"/>
  <c r="I94" i="5"/>
  <c r="M94" i="5"/>
  <c r="Q94" i="5"/>
  <c r="J94" i="5"/>
  <c r="R94" i="5"/>
  <c r="H94" i="5"/>
  <c r="P94" i="5"/>
  <c r="G94" i="5"/>
  <c r="N94" i="5"/>
  <c r="T94" i="5"/>
  <c r="K94" i="5"/>
  <c r="S94" i="5"/>
  <c r="F94" i="5"/>
  <c r="L94" i="5"/>
  <c r="O94" i="5"/>
  <c r="D94" i="5"/>
  <c r="E90" i="5"/>
  <c r="I90" i="5"/>
  <c r="M90" i="5"/>
  <c r="Q90" i="5"/>
  <c r="J90" i="5"/>
  <c r="R90" i="5"/>
  <c r="H90" i="5"/>
  <c r="P90" i="5"/>
  <c r="O90" i="5"/>
  <c r="D90" i="5"/>
  <c r="K90" i="5"/>
  <c r="S90" i="5"/>
  <c r="F90" i="5"/>
  <c r="L90" i="5"/>
  <c r="G90" i="5"/>
  <c r="N90" i="5"/>
  <c r="T90" i="5"/>
  <c r="F86" i="5"/>
  <c r="J86" i="5"/>
  <c r="N86" i="5"/>
  <c r="R86" i="5"/>
  <c r="E86" i="5"/>
  <c r="M86" i="5"/>
  <c r="G86" i="5"/>
  <c r="K86" i="5"/>
  <c r="H86" i="5"/>
  <c r="D86" i="5"/>
  <c r="L86" i="5"/>
  <c r="T86" i="5"/>
  <c r="I86" i="5"/>
  <c r="O86" i="5"/>
  <c r="S86" i="5"/>
  <c r="P86" i="5"/>
  <c r="Q86" i="5"/>
  <c r="F82" i="5"/>
  <c r="J82" i="5"/>
  <c r="N82" i="5"/>
  <c r="R82" i="5"/>
  <c r="E82" i="5"/>
  <c r="M82" i="5"/>
  <c r="K82" i="5"/>
  <c r="O82" i="5"/>
  <c r="H82" i="5"/>
  <c r="L82" i="5"/>
  <c r="T82" i="5"/>
  <c r="I82" i="5"/>
  <c r="S82" i="5"/>
  <c r="P82" i="5"/>
  <c r="D82" i="5"/>
  <c r="Q82" i="5"/>
  <c r="G82" i="5"/>
  <c r="F101" i="5"/>
  <c r="J101" i="5"/>
  <c r="N101" i="5"/>
  <c r="R101" i="5"/>
  <c r="D101" i="5"/>
  <c r="K101" i="5"/>
  <c r="S101" i="5"/>
  <c r="E101" i="5"/>
  <c r="M101" i="5"/>
  <c r="H101" i="5"/>
  <c r="L101" i="5"/>
  <c r="P101" i="5"/>
  <c r="T101" i="5"/>
  <c r="G101" i="5"/>
  <c r="O101" i="5"/>
  <c r="I101" i="5"/>
  <c r="Q101" i="5"/>
  <c r="F97" i="5"/>
  <c r="J97" i="5"/>
  <c r="N97" i="5"/>
  <c r="R97" i="5"/>
  <c r="D97" i="5"/>
  <c r="K97" i="5"/>
  <c r="S97" i="5"/>
  <c r="E97" i="5"/>
  <c r="M97" i="5"/>
  <c r="H97" i="5"/>
  <c r="L97" i="5"/>
  <c r="P97" i="5"/>
  <c r="T97" i="5"/>
  <c r="G97" i="5"/>
  <c r="O97" i="5"/>
  <c r="I97" i="5"/>
  <c r="Q97" i="5"/>
  <c r="F93" i="5"/>
  <c r="J93" i="5"/>
  <c r="N93" i="5"/>
  <c r="R93" i="5"/>
  <c r="D93" i="5"/>
  <c r="K93" i="5"/>
  <c r="S93" i="5"/>
  <c r="E93" i="5"/>
  <c r="M93" i="5"/>
  <c r="L93" i="5"/>
  <c r="T93" i="5"/>
  <c r="G93" i="5"/>
  <c r="I93" i="5"/>
  <c r="H93" i="5"/>
  <c r="P93" i="5"/>
  <c r="O93" i="5"/>
  <c r="Q93" i="5"/>
  <c r="E89" i="5"/>
  <c r="I89" i="5"/>
  <c r="M89" i="5"/>
  <c r="Q89" i="5"/>
  <c r="J89" i="5"/>
  <c r="R89" i="5"/>
  <c r="H89" i="5"/>
  <c r="T89" i="5"/>
  <c r="K89" i="5"/>
  <c r="S89" i="5"/>
  <c r="N89" i="5"/>
  <c r="D89" i="5"/>
  <c r="G89" i="5"/>
  <c r="O89" i="5"/>
  <c r="F89" i="5"/>
  <c r="P89" i="5"/>
  <c r="L89" i="5"/>
  <c r="E85" i="5"/>
  <c r="I85" i="5"/>
  <c r="M85" i="5"/>
  <c r="Q85" i="5"/>
  <c r="J85" i="5"/>
  <c r="R85" i="5"/>
  <c r="D85" i="5"/>
  <c r="T85" i="5"/>
  <c r="H85" i="5"/>
  <c r="K85" i="5"/>
  <c r="S85" i="5"/>
  <c r="F85" i="5"/>
  <c r="L85" i="5"/>
  <c r="P85" i="5"/>
  <c r="G85" i="5"/>
  <c r="O85" i="5"/>
  <c r="N85" i="5"/>
  <c r="E104" i="5"/>
  <c r="I104" i="5"/>
  <c r="M104" i="5"/>
  <c r="Q104" i="5"/>
  <c r="L104" i="5"/>
  <c r="T104" i="5"/>
  <c r="D104" i="5"/>
  <c r="J104" i="5"/>
  <c r="R104" i="5"/>
  <c r="K104" i="5"/>
  <c r="S104" i="5"/>
  <c r="H104" i="5"/>
  <c r="F104" i="5"/>
  <c r="G104" i="5"/>
  <c r="O104" i="5"/>
  <c r="P104" i="5"/>
  <c r="N104" i="5"/>
  <c r="E100" i="5"/>
  <c r="I100" i="5"/>
  <c r="M100" i="5"/>
  <c r="Q100" i="5"/>
  <c r="L100" i="5"/>
  <c r="T100" i="5"/>
  <c r="D100" i="5"/>
  <c r="J100" i="5"/>
  <c r="R100" i="5"/>
  <c r="K100" i="5"/>
  <c r="S100" i="5"/>
  <c r="H100" i="5"/>
  <c r="F100" i="5"/>
  <c r="G100" i="5"/>
  <c r="O100" i="5"/>
  <c r="P100" i="5"/>
  <c r="N100" i="5"/>
  <c r="E96" i="5"/>
  <c r="I96" i="5"/>
  <c r="M96" i="5"/>
  <c r="Q96" i="5"/>
  <c r="L96" i="5"/>
  <c r="T96" i="5"/>
  <c r="D96" i="5"/>
  <c r="J96" i="5"/>
  <c r="R96" i="5"/>
  <c r="S96" i="5"/>
  <c r="H96" i="5"/>
  <c r="F96" i="5"/>
  <c r="G96" i="5"/>
  <c r="O96" i="5"/>
  <c r="P96" i="5"/>
  <c r="N96" i="5"/>
  <c r="K96" i="5"/>
  <c r="E92" i="5"/>
  <c r="I92" i="5"/>
  <c r="M92" i="5"/>
  <c r="Q92" i="5"/>
  <c r="L92" i="5"/>
  <c r="T92" i="5"/>
  <c r="D92" i="5"/>
  <c r="J92" i="5"/>
  <c r="R92" i="5"/>
  <c r="K92" i="5"/>
  <c r="G92" i="5"/>
  <c r="O92" i="5"/>
  <c r="P92" i="5"/>
  <c r="N92" i="5"/>
  <c r="S92" i="5"/>
  <c r="H92" i="5"/>
  <c r="F92" i="5"/>
  <c r="F88" i="5"/>
  <c r="J88" i="5"/>
  <c r="N88" i="5"/>
  <c r="R88" i="5"/>
  <c r="G88" i="5"/>
  <c r="O88" i="5"/>
  <c r="M88" i="5"/>
  <c r="I88" i="5"/>
  <c r="T88" i="5"/>
  <c r="K88" i="5"/>
  <c r="H88" i="5"/>
  <c r="P88" i="5"/>
  <c r="S88" i="5"/>
  <c r="E88" i="5"/>
  <c r="D88" i="5"/>
  <c r="L88" i="5"/>
  <c r="Q88" i="5"/>
  <c r="F84" i="5"/>
  <c r="J84" i="5"/>
  <c r="N84" i="5"/>
  <c r="R84" i="5"/>
  <c r="G84" i="5"/>
  <c r="O84" i="5"/>
  <c r="Q84" i="5"/>
  <c r="E84" i="5"/>
  <c r="T84" i="5"/>
  <c r="K84" i="5"/>
  <c r="H84" i="5"/>
  <c r="P84" i="5"/>
  <c r="S84" i="5"/>
  <c r="I84" i="5"/>
  <c r="D84" i="5"/>
  <c r="L84" i="5"/>
  <c r="M84" i="5"/>
  <c r="F103" i="5"/>
  <c r="J103" i="5"/>
  <c r="N103" i="5"/>
  <c r="R103" i="5"/>
  <c r="D103" i="5"/>
  <c r="I103" i="5"/>
  <c r="Q103" i="5"/>
  <c r="K103" i="5"/>
  <c r="S103" i="5"/>
  <c r="H103" i="5"/>
  <c r="L103" i="5"/>
  <c r="P103" i="5"/>
  <c r="T103" i="5"/>
  <c r="E103" i="5"/>
  <c r="M103" i="5"/>
  <c r="G103" i="5"/>
  <c r="O103" i="5"/>
  <c r="F99" i="5"/>
  <c r="J99" i="5"/>
  <c r="N99" i="5"/>
  <c r="R99" i="5"/>
  <c r="D99" i="5"/>
  <c r="I99" i="5"/>
  <c r="Q99" i="5"/>
  <c r="K99" i="5"/>
  <c r="S99" i="5"/>
  <c r="H99" i="5"/>
  <c r="L99" i="5"/>
  <c r="P99" i="5"/>
  <c r="T99" i="5"/>
  <c r="E99" i="5"/>
  <c r="M99" i="5"/>
  <c r="G99" i="5"/>
  <c r="O99" i="5"/>
  <c r="F95" i="5"/>
  <c r="J95" i="5"/>
  <c r="N95" i="5"/>
  <c r="R95" i="5"/>
  <c r="D95" i="5"/>
  <c r="I95" i="5"/>
  <c r="Q95" i="5"/>
  <c r="K95" i="5"/>
  <c r="S95" i="5"/>
  <c r="H95" i="5"/>
  <c r="L95" i="5"/>
  <c r="P95" i="5"/>
  <c r="T95" i="5"/>
  <c r="E95" i="5"/>
  <c r="M95" i="5"/>
  <c r="O95" i="5"/>
  <c r="G95" i="5"/>
  <c r="F91" i="5"/>
  <c r="J91" i="5"/>
  <c r="N91" i="5"/>
  <c r="R91" i="5"/>
  <c r="D91" i="5"/>
  <c r="I91" i="5"/>
  <c r="Q91" i="5"/>
  <c r="K91" i="5"/>
  <c r="S91" i="5"/>
  <c r="H91" i="5"/>
  <c r="P91" i="5"/>
  <c r="M91" i="5"/>
  <c r="O91" i="5"/>
  <c r="L91" i="5"/>
  <c r="T91" i="5"/>
  <c r="E91" i="5"/>
  <c r="G91" i="5"/>
  <c r="E87" i="5"/>
  <c r="I87" i="5"/>
  <c r="M87" i="5"/>
  <c r="Q87" i="5"/>
  <c r="L87" i="5"/>
  <c r="T87" i="5"/>
  <c r="D87" i="5"/>
  <c r="R87" i="5"/>
  <c r="F87" i="5"/>
  <c r="G87" i="5"/>
  <c r="O87" i="5"/>
  <c r="P87" i="5"/>
  <c r="K87" i="5"/>
  <c r="S87" i="5"/>
  <c r="H87" i="5"/>
  <c r="J87" i="5"/>
  <c r="N87" i="5"/>
  <c r="E83" i="5"/>
  <c r="I83" i="5"/>
  <c r="M83" i="5"/>
  <c r="Q83" i="5"/>
  <c r="L83" i="5"/>
  <c r="T83" i="5"/>
  <c r="D83" i="5"/>
  <c r="N83" i="5"/>
  <c r="R83" i="5"/>
  <c r="G83" i="5"/>
  <c r="O83" i="5"/>
  <c r="P83" i="5"/>
  <c r="K83" i="5"/>
  <c r="S83" i="5"/>
  <c r="H83" i="5"/>
  <c r="F83" i="5"/>
  <c r="J83" i="5"/>
  <c r="F70" i="1"/>
  <c r="F69" i="1"/>
  <c r="F68" i="1"/>
  <c r="X71" i="1"/>
  <c r="X82" i="1"/>
  <c r="T71" i="1"/>
  <c r="T82" i="1"/>
  <c r="F32" i="1"/>
  <c r="U71" i="1"/>
  <c r="U82" i="1"/>
  <c r="K71" i="1"/>
  <c r="K82" i="1"/>
  <c r="F65" i="1"/>
  <c r="F76" i="1"/>
  <c r="H71" i="1"/>
  <c r="H82" i="1"/>
  <c r="R71" i="1"/>
  <c r="R82" i="1"/>
  <c r="J71" i="1"/>
  <c r="J82" i="1"/>
  <c r="O71" i="1"/>
  <c r="O82" i="1"/>
  <c r="I71" i="1"/>
  <c r="I82" i="1"/>
  <c r="F66" i="1"/>
  <c r="F77" i="1"/>
  <c r="F67" i="1"/>
  <c r="F78" i="1"/>
  <c r="P71" i="1"/>
  <c r="P82" i="1"/>
  <c r="L71" i="1"/>
  <c r="L82" i="1"/>
  <c r="S71" i="1"/>
  <c r="S82" i="1"/>
  <c r="W71" i="1"/>
  <c r="W82" i="1"/>
  <c r="Q71" i="1"/>
  <c r="Q82" i="1"/>
  <c r="M71" i="1"/>
  <c r="M82" i="1"/>
  <c r="V71" i="1"/>
  <c r="V82" i="1"/>
  <c r="N71" i="1"/>
  <c r="N82" i="1"/>
  <c r="G442" i="5"/>
  <c r="G445" i="5"/>
  <c r="N409" i="5"/>
  <c r="I409" i="5"/>
  <c r="R109" i="1"/>
  <c r="F105" i="1"/>
  <c r="K409" i="5"/>
  <c r="M409" i="5"/>
  <c r="R409" i="5"/>
  <c r="S409" i="5"/>
  <c r="J409" i="5"/>
  <c r="E409" i="5"/>
  <c r="E412" i="5"/>
  <c r="F474" i="5"/>
  <c r="F577" i="5"/>
  <c r="F535" i="5"/>
  <c r="K535" i="5"/>
  <c r="I535" i="5"/>
  <c r="D535" i="5"/>
  <c r="K583" i="5"/>
  <c r="N583" i="5"/>
  <c r="S583" i="5"/>
  <c r="I583" i="5"/>
  <c r="P583" i="5"/>
  <c r="T583" i="5"/>
  <c r="L583" i="5"/>
  <c r="R583" i="5"/>
  <c r="O583" i="5"/>
  <c r="F473" i="5"/>
  <c r="G576" i="5"/>
  <c r="G577" i="5"/>
  <c r="H577" i="5"/>
  <c r="N577" i="5"/>
  <c r="S577" i="5"/>
  <c r="O535" i="5"/>
  <c r="T535" i="5"/>
  <c r="L535" i="5"/>
  <c r="E535" i="5"/>
  <c r="P535" i="5"/>
  <c r="H535" i="5"/>
  <c r="R535" i="5"/>
  <c r="J535" i="5"/>
  <c r="N535" i="5"/>
  <c r="Q535" i="5"/>
  <c r="D470" i="5"/>
  <c r="E540" i="5"/>
  <c r="D463" i="5"/>
  <c r="D479" i="5"/>
  <c r="D466" i="5"/>
  <c r="D482" i="5"/>
  <c r="D472" i="5"/>
  <c r="D461" i="5"/>
  <c r="D469" i="5"/>
  <c r="D477" i="5"/>
  <c r="D471" i="5"/>
  <c r="D474" i="5"/>
  <c r="D480" i="5"/>
  <c r="D473" i="5"/>
  <c r="S535" i="5"/>
  <c r="G535" i="5"/>
  <c r="M535" i="5"/>
  <c r="K577" i="5"/>
  <c r="Q577" i="5"/>
  <c r="G583" i="5"/>
  <c r="F583" i="5"/>
  <c r="Q583" i="5"/>
  <c r="J583" i="5"/>
  <c r="H583" i="5"/>
  <c r="D583" i="5"/>
  <c r="D464" i="5"/>
  <c r="G485" i="5"/>
  <c r="F479" i="5"/>
  <c r="E582" i="5"/>
  <c r="F463" i="5"/>
  <c r="E566" i="5"/>
  <c r="F472" i="5"/>
  <c r="M575" i="5"/>
  <c r="F482" i="5"/>
  <c r="E585" i="5"/>
  <c r="F466" i="5"/>
  <c r="E569" i="5"/>
  <c r="F477" i="5"/>
  <c r="E580" i="5"/>
  <c r="F469" i="5"/>
  <c r="E572" i="5"/>
  <c r="F461" i="5"/>
  <c r="M564" i="5"/>
  <c r="F471" i="5"/>
  <c r="E574" i="5"/>
  <c r="F464" i="5"/>
  <c r="M567" i="5"/>
  <c r="F481" i="5"/>
  <c r="E584" i="5"/>
  <c r="F465" i="5"/>
  <c r="M568" i="5"/>
  <c r="F467" i="5"/>
  <c r="M570" i="5"/>
  <c r="F475" i="5"/>
  <c r="E578" i="5"/>
  <c r="F459" i="5"/>
  <c r="E562" i="5"/>
  <c r="F462" i="5"/>
  <c r="E565" i="5"/>
  <c r="F468" i="5"/>
  <c r="E571" i="5"/>
  <c r="F478" i="5"/>
  <c r="M581" i="5"/>
  <c r="N540" i="5"/>
  <c r="F470" i="5"/>
  <c r="F460" i="5"/>
  <c r="F476" i="5"/>
  <c r="D475" i="5"/>
  <c r="D467" i="5"/>
  <c r="D459" i="5"/>
  <c r="D476" i="5"/>
  <c r="D460" i="5"/>
  <c r="E577" i="5"/>
  <c r="M577" i="5"/>
  <c r="E583" i="5"/>
  <c r="M583" i="5"/>
  <c r="F28" i="7"/>
  <c r="G28" i="7"/>
  <c r="G22" i="7"/>
  <c r="D481" i="5"/>
  <c r="E485" i="5"/>
  <c r="D468" i="5"/>
  <c r="D478" i="5"/>
  <c r="D462" i="5"/>
  <c r="I485" i="5"/>
  <c r="M376" i="5"/>
  <c r="F376" i="5"/>
  <c r="F379" i="5"/>
  <c r="N376" i="5"/>
  <c r="I376" i="5"/>
  <c r="Q376" i="5"/>
  <c r="F8" i="7"/>
  <c r="F81" i="1"/>
  <c r="F7" i="7"/>
  <c r="F80" i="1"/>
  <c r="E652" i="5"/>
  <c r="E655" i="5"/>
  <c r="G652" i="5"/>
  <c r="G655" i="5"/>
  <c r="M652" i="5"/>
  <c r="O442" i="5"/>
  <c r="O376" i="5"/>
  <c r="J442" i="5"/>
  <c r="R442" i="5"/>
  <c r="H376" i="5"/>
  <c r="J376" i="5"/>
  <c r="L442" i="5"/>
  <c r="P376" i="5"/>
  <c r="T442" i="5"/>
  <c r="E376" i="5"/>
  <c r="E379" i="5"/>
  <c r="T109" i="1"/>
  <c r="U109" i="1"/>
  <c r="I109" i="1"/>
  <c r="O109" i="1"/>
  <c r="W109" i="1"/>
  <c r="K109" i="1"/>
  <c r="F104" i="1"/>
  <c r="H109" i="1"/>
  <c r="F652" i="5"/>
  <c r="F655" i="5"/>
  <c r="R652" i="5"/>
  <c r="Q409" i="5"/>
  <c r="D174" i="5"/>
  <c r="D172" i="5"/>
  <c r="E172" i="5"/>
  <c r="F172" i="5"/>
  <c r="G172" i="5"/>
  <c r="H172" i="5"/>
  <c r="I172" i="5"/>
  <c r="J172" i="5"/>
  <c r="K172" i="5"/>
  <c r="L172" i="5"/>
  <c r="M172" i="5"/>
  <c r="N172" i="5"/>
  <c r="O172" i="5"/>
  <c r="P172" i="5"/>
  <c r="Q172" i="5"/>
  <c r="R172" i="5"/>
  <c r="S172" i="5"/>
  <c r="T172" i="5"/>
  <c r="P109" i="1"/>
  <c r="S652" i="5"/>
  <c r="V109" i="1"/>
  <c r="I442" i="5"/>
  <c r="Q442" i="5"/>
  <c r="F108" i="1"/>
  <c r="S376" i="5"/>
  <c r="H442" i="5"/>
  <c r="L376" i="5"/>
  <c r="T376" i="5"/>
  <c r="G685" i="5"/>
  <c r="G688" i="5"/>
  <c r="I652" i="5"/>
  <c r="I655" i="5"/>
  <c r="K652" i="5"/>
  <c r="K685" i="5"/>
  <c r="O652" i="5"/>
  <c r="G376" i="5"/>
  <c r="G379" i="5"/>
  <c r="K376" i="5"/>
  <c r="D619" i="5"/>
  <c r="F106" i="1"/>
  <c r="F442" i="5"/>
  <c r="F445" i="5"/>
  <c r="N442" i="5"/>
  <c r="R376" i="5"/>
  <c r="S442" i="5"/>
  <c r="M109" i="1"/>
  <c r="S109" i="1"/>
  <c r="F103" i="1"/>
  <c r="J652" i="5"/>
  <c r="J655" i="5"/>
  <c r="N652" i="5"/>
  <c r="X109" i="1"/>
  <c r="D207" i="5"/>
  <c r="D205" i="5"/>
  <c r="E205" i="5"/>
  <c r="F205" i="5"/>
  <c r="G205" i="5"/>
  <c r="H205" i="5"/>
  <c r="I205" i="5"/>
  <c r="J205" i="5"/>
  <c r="K205" i="5"/>
  <c r="L205" i="5"/>
  <c r="M205" i="5"/>
  <c r="N205" i="5"/>
  <c r="O205" i="5"/>
  <c r="P205" i="5"/>
  <c r="Q205" i="5"/>
  <c r="R205" i="5"/>
  <c r="S205" i="5"/>
  <c r="T205" i="5"/>
  <c r="D240" i="5"/>
  <c r="D238" i="5"/>
  <c r="E238" i="5"/>
  <c r="F238" i="5"/>
  <c r="G238" i="5"/>
  <c r="H238" i="5"/>
  <c r="I238" i="5"/>
  <c r="J238" i="5"/>
  <c r="K238" i="5"/>
  <c r="L238" i="5"/>
  <c r="M238" i="5"/>
  <c r="N238" i="5"/>
  <c r="O238" i="5"/>
  <c r="P238" i="5"/>
  <c r="Q238" i="5"/>
  <c r="R238" i="5"/>
  <c r="S238" i="5"/>
  <c r="T238" i="5"/>
  <c r="E442" i="5"/>
  <c r="E445" i="5"/>
  <c r="M442" i="5"/>
  <c r="D442" i="5"/>
  <c r="H409" i="5"/>
  <c r="L409" i="5"/>
  <c r="P409" i="5"/>
  <c r="T409" i="5"/>
  <c r="P442" i="5"/>
  <c r="D409" i="5"/>
  <c r="F107" i="1"/>
  <c r="Q109" i="1"/>
  <c r="O30" i="5"/>
  <c r="N462" i="5"/>
  <c r="N480" i="5"/>
  <c r="N466" i="5"/>
  <c r="N470" i="5"/>
  <c r="N479" i="5"/>
  <c r="N463" i="5"/>
  <c r="N473" i="5"/>
  <c r="N467" i="5"/>
  <c r="N477" i="5"/>
  <c r="N460" i="5"/>
  <c r="N468" i="5"/>
  <c r="N474" i="5"/>
  <c r="N478" i="5"/>
  <c r="N471" i="5"/>
  <c r="N461" i="5"/>
  <c r="N481" i="5"/>
  <c r="N475" i="5"/>
  <c r="N465" i="5"/>
  <c r="N469" i="5"/>
  <c r="N464" i="5"/>
  <c r="N472" i="5"/>
  <c r="N476" i="5"/>
  <c r="N482" i="5"/>
  <c r="F6" i="7"/>
  <c r="F79" i="1"/>
  <c r="D376" i="5"/>
  <c r="S253" i="5"/>
  <c r="E253" i="5"/>
  <c r="I253" i="5"/>
  <c r="M253" i="5"/>
  <c r="Q253" i="5"/>
  <c r="L253" i="5"/>
  <c r="F253" i="5"/>
  <c r="N253" i="5"/>
  <c r="G253" i="5"/>
  <c r="K253" i="5"/>
  <c r="O253" i="5"/>
  <c r="R253" i="5"/>
  <c r="H253" i="5"/>
  <c r="P253" i="5"/>
  <c r="T253" i="5"/>
  <c r="J253" i="5"/>
  <c r="D253" i="5"/>
  <c r="R275" i="5"/>
  <c r="T275" i="5"/>
  <c r="E275" i="5"/>
  <c r="G275" i="5"/>
  <c r="I275" i="5"/>
  <c r="K275" i="5"/>
  <c r="M275" i="5"/>
  <c r="O275" i="5"/>
  <c r="Q275" i="5"/>
  <c r="S275" i="5"/>
  <c r="H275" i="5"/>
  <c r="L275" i="5"/>
  <c r="P275" i="5"/>
  <c r="D275" i="5"/>
  <c r="F275" i="5"/>
  <c r="J275" i="5"/>
  <c r="N275" i="5"/>
  <c r="R271" i="5"/>
  <c r="T271" i="5"/>
  <c r="E271" i="5"/>
  <c r="G271" i="5"/>
  <c r="I271" i="5"/>
  <c r="K271" i="5"/>
  <c r="M271" i="5"/>
  <c r="O271" i="5"/>
  <c r="Q271" i="5"/>
  <c r="S271" i="5"/>
  <c r="H271" i="5"/>
  <c r="L271" i="5"/>
  <c r="P271" i="5"/>
  <c r="D271" i="5"/>
  <c r="F271" i="5"/>
  <c r="J271" i="5"/>
  <c r="N271" i="5"/>
  <c r="S267" i="5"/>
  <c r="T267" i="5"/>
  <c r="E267" i="5"/>
  <c r="G267" i="5"/>
  <c r="I267" i="5"/>
  <c r="K267" i="5"/>
  <c r="M267" i="5"/>
  <c r="O267" i="5"/>
  <c r="Q267" i="5"/>
  <c r="R267" i="5"/>
  <c r="H267" i="5"/>
  <c r="L267" i="5"/>
  <c r="P267" i="5"/>
  <c r="D267" i="5"/>
  <c r="F267" i="5"/>
  <c r="J267" i="5"/>
  <c r="N267" i="5"/>
  <c r="S263" i="5"/>
  <c r="T263" i="5"/>
  <c r="E263" i="5"/>
  <c r="G263" i="5"/>
  <c r="I263" i="5"/>
  <c r="K263" i="5"/>
  <c r="M263" i="5"/>
  <c r="O263" i="5"/>
  <c r="Q263" i="5"/>
  <c r="R263" i="5"/>
  <c r="H263" i="5"/>
  <c r="L263" i="5"/>
  <c r="P263" i="5"/>
  <c r="D263" i="5"/>
  <c r="F263" i="5"/>
  <c r="J263" i="5"/>
  <c r="N263" i="5"/>
  <c r="S259" i="5"/>
  <c r="T259" i="5"/>
  <c r="E259" i="5"/>
  <c r="G259" i="5"/>
  <c r="I259" i="5"/>
  <c r="K259" i="5"/>
  <c r="M259" i="5"/>
  <c r="O259" i="5"/>
  <c r="Q259" i="5"/>
  <c r="R259" i="5"/>
  <c r="F259" i="5"/>
  <c r="H259" i="5"/>
  <c r="J259" i="5"/>
  <c r="L259" i="5"/>
  <c r="N259" i="5"/>
  <c r="P259" i="5"/>
  <c r="D259" i="5"/>
  <c r="S255" i="5"/>
  <c r="T255" i="5"/>
  <c r="E255" i="5"/>
  <c r="G255" i="5"/>
  <c r="I255" i="5"/>
  <c r="K255" i="5"/>
  <c r="M255" i="5"/>
  <c r="O255" i="5"/>
  <c r="Q255" i="5"/>
  <c r="R255" i="5"/>
  <c r="F255" i="5"/>
  <c r="H255" i="5"/>
  <c r="J255" i="5"/>
  <c r="L255" i="5"/>
  <c r="N255" i="5"/>
  <c r="P255" i="5"/>
  <c r="D255" i="5"/>
  <c r="S274" i="5"/>
  <c r="F274" i="5"/>
  <c r="H274" i="5"/>
  <c r="J274" i="5"/>
  <c r="L274" i="5"/>
  <c r="N274" i="5"/>
  <c r="P274" i="5"/>
  <c r="D274" i="5"/>
  <c r="R274" i="5"/>
  <c r="T274" i="5"/>
  <c r="E274" i="5"/>
  <c r="I274" i="5"/>
  <c r="M274" i="5"/>
  <c r="Q274" i="5"/>
  <c r="G274" i="5"/>
  <c r="K274" i="5"/>
  <c r="O274" i="5"/>
  <c r="S270" i="5"/>
  <c r="F270" i="5"/>
  <c r="H270" i="5"/>
  <c r="J270" i="5"/>
  <c r="L270" i="5"/>
  <c r="N270" i="5"/>
  <c r="P270" i="5"/>
  <c r="D270" i="5"/>
  <c r="R270" i="5"/>
  <c r="T270" i="5"/>
  <c r="E270" i="5"/>
  <c r="I270" i="5"/>
  <c r="M270" i="5"/>
  <c r="Q270" i="5"/>
  <c r="G270" i="5"/>
  <c r="K270" i="5"/>
  <c r="O270" i="5"/>
  <c r="R266" i="5"/>
  <c r="T266" i="5"/>
  <c r="F266" i="5"/>
  <c r="H266" i="5"/>
  <c r="J266" i="5"/>
  <c r="L266" i="5"/>
  <c r="N266" i="5"/>
  <c r="P266" i="5"/>
  <c r="D266" i="5"/>
  <c r="S266" i="5"/>
  <c r="E266" i="5"/>
  <c r="I266" i="5"/>
  <c r="M266" i="5"/>
  <c r="Q266" i="5"/>
  <c r="G266" i="5"/>
  <c r="K266" i="5"/>
  <c r="O266" i="5"/>
  <c r="R262" i="5"/>
  <c r="T262" i="5"/>
  <c r="F262" i="5"/>
  <c r="H262" i="5"/>
  <c r="J262" i="5"/>
  <c r="L262" i="5"/>
  <c r="N262" i="5"/>
  <c r="P262" i="5"/>
  <c r="D262" i="5"/>
  <c r="S262" i="5"/>
  <c r="E262" i="5"/>
  <c r="G262" i="5"/>
  <c r="I262" i="5"/>
  <c r="K262" i="5"/>
  <c r="M262" i="5"/>
  <c r="O262" i="5"/>
  <c r="Q262" i="5"/>
  <c r="R258" i="5"/>
  <c r="T258" i="5"/>
  <c r="F258" i="5"/>
  <c r="H258" i="5"/>
  <c r="J258" i="5"/>
  <c r="L258" i="5"/>
  <c r="N258" i="5"/>
  <c r="P258" i="5"/>
  <c r="D258" i="5"/>
  <c r="S258" i="5"/>
  <c r="E258" i="5"/>
  <c r="G258" i="5"/>
  <c r="I258" i="5"/>
  <c r="K258" i="5"/>
  <c r="M258" i="5"/>
  <c r="O258" i="5"/>
  <c r="Q258" i="5"/>
  <c r="R254" i="5"/>
  <c r="T254" i="5"/>
  <c r="F254" i="5"/>
  <c r="H254" i="5"/>
  <c r="J254" i="5"/>
  <c r="L254" i="5"/>
  <c r="N254" i="5"/>
  <c r="P254" i="5"/>
  <c r="D254" i="5"/>
  <c r="S254" i="5"/>
  <c r="E254" i="5"/>
  <c r="G254" i="5"/>
  <c r="I254" i="5"/>
  <c r="K254" i="5"/>
  <c r="M254" i="5"/>
  <c r="O254" i="5"/>
  <c r="Q254" i="5"/>
  <c r="R273" i="5"/>
  <c r="T273" i="5"/>
  <c r="E273" i="5"/>
  <c r="G273" i="5"/>
  <c r="I273" i="5"/>
  <c r="K273" i="5"/>
  <c r="M273" i="5"/>
  <c r="O273" i="5"/>
  <c r="Q273" i="5"/>
  <c r="S273" i="5"/>
  <c r="F273" i="5"/>
  <c r="J273" i="5"/>
  <c r="N273" i="5"/>
  <c r="H273" i="5"/>
  <c r="L273" i="5"/>
  <c r="P273" i="5"/>
  <c r="D273" i="5"/>
  <c r="R269" i="5"/>
  <c r="T269" i="5"/>
  <c r="E269" i="5"/>
  <c r="G269" i="5"/>
  <c r="I269" i="5"/>
  <c r="K269" i="5"/>
  <c r="M269" i="5"/>
  <c r="O269" i="5"/>
  <c r="Q269" i="5"/>
  <c r="S269" i="5"/>
  <c r="F269" i="5"/>
  <c r="J269" i="5"/>
  <c r="N269" i="5"/>
  <c r="H269" i="5"/>
  <c r="L269" i="5"/>
  <c r="P269" i="5"/>
  <c r="D269" i="5"/>
  <c r="S265" i="5"/>
  <c r="R265" i="5"/>
  <c r="E265" i="5"/>
  <c r="G265" i="5"/>
  <c r="I265" i="5"/>
  <c r="K265" i="5"/>
  <c r="M265" i="5"/>
  <c r="O265" i="5"/>
  <c r="Q265" i="5"/>
  <c r="T265" i="5"/>
  <c r="F265" i="5"/>
  <c r="J265" i="5"/>
  <c r="N265" i="5"/>
  <c r="H265" i="5"/>
  <c r="L265" i="5"/>
  <c r="P265" i="5"/>
  <c r="D265" i="5"/>
  <c r="S261" i="5"/>
  <c r="R261" i="5"/>
  <c r="E261" i="5"/>
  <c r="G261" i="5"/>
  <c r="I261" i="5"/>
  <c r="K261" i="5"/>
  <c r="M261" i="5"/>
  <c r="O261" i="5"/>
  <c r="Q261" i="5"/>
  <c r="T261" i="5"/>
  <c r="F261" i="5"/>
  <c r="H261" i="5"/>
  <c r="J261" i="5"/>
  <c r="L261" i="5"/>
  <c r="N261" i="5"/>
  <c r="P261" i="5"/>
  <c r="D261" i="5"/>
  <c r="S257" i="5"/>
  <c r="R257" i="5"/>
  <c r="E257" i="5"/>
  <c r="G257" i="5"/>
  <c r="I257" i="5"/>
  <c r="K257" i="5"/>
  <c r="M257" i="5"/>
  <c r="O257" i="5"/>
  <c r="Q257" i="5"/>
  <c r="T257" i="5"/>
  <c r="F257" i="5"/>
  <c r="H257" i="5"/>
  <c r="J257" i="5"/>
  <c r="L257" i="5"/>
  <c r="N257" i="5"/>
  <c r="P257" i="5"/>
  <c r="D257" i="5"/>
  <c r="S276" i="5"/>
  <c r="F276" i="5"/>
  <c r="H276" i="5"/>
  <c r="J276" i="5"/>
  <c r="L276" i="5"/>
  <c r="N276" i="5"/>
  <c r="P276" i="5"/>
  <c r="D276" i="5"/>
  <c r="R276" i="5"/>
  <c r="T276" i="5"/>
  <c r="G276" i="5"/>
  <c r="K276" i="5"/>
  <c r="O276" i="5"/>
  <c r="E276" i="5"/>
  <c r="I276" i="5"/>
  <c r="M276" i="5"/>
  <c r="Q276" i="5"/>
  <c r="S272" i="5"/>
  <c r="F272" i="5"/>
  <c r="H272" i="5"/>
  <c r="J272" i="5"/>
  <c r="L272" i="5"/>
  <c r="N272" i="5"/>
  <c r="P272" i="5"/>
  <c r="D272" i="5"/>
  <c r="R272" i="5"/>
  <c r="T272" i="5"/>
  <c r="G272" i="5"/>
  <c r="K272" i="5"/>
  <c r="O272" i="5"/>
  <c r="E272" i="5"/>
  <c r="I272" i="5"/>
  <c r="M272" i="5"/>
  <c r="Q272" i="5"/>
  <c r="S268" i="5"/>
  <c r="F268" i="5"/>
  <c r="H268" i="5"/>
  <c r="J268" i="5"/>
  <c r="L268" i="5"/>
  <c r="N268" i="5"/>
  <c r="P268" i="5"/>
  <c r="D268" i="5"/>
  <c r="R268" i="5"/>
  <c r="T268" i="5"/>
  <c r="G268" i="5"/>
  <c r="K268" i="5"/>
  <c r="O268" i="5"/>
  <c r="E268" i="5"/>
  <c r="I268" i="5"/>
  <c r="M268" i="5"/>
  <c r="Q268" i="5"/>
  <c r="R264" i="5"/>
  <c r="T264" i="5"/>
  <c r="S264" i="5"/>
  <c r="F264" i="5"/>
  <c r="H264" i="5"/>
  <c r="J264" i="5"/>
  <c r="L264" i="5"/>
  <c r="N264" i="5"/>
  <c r="P264" i="5"/>
  <c r="D264" i="5"/>
  <c r="G264" i="5"/>
  <c r="K264" i="5"/>
  <c r="O264" i="5"/>
  <c r="E264" i="5"/>
  <c r="I264" i="5"/>
  <c r="M264" i="5"/>
  <c r="Q264" i="5"/>
  <c r="R260" i="5"/>
  <c r="T260" i="5"/>
  <c r="S260" i="5"/>
  <c r="F260" i="5"/>
  <c r="H260" i="5"/>
  <c r="J260" i="5"/>
  <c r="L260" i="5"/>
  <c r="N260" i="5"/>
  <c r="P260" i="5"/>
  <c r="D260" i="5"/>
  <c r="E260" i="5"/>
  <c r="G260" i="5"/>
  <c r="I260" i="5"/>
  <c r="K260" i="5"/>
  <c r="M260" i="5"/>
  <c r="O260" i="5"/>
  <c r="Q260" i="5"/>
  <c r="R256" i="5"/>
  <c r="T256" i="5"/>
  <c r="S256" i="5"/>
  <c r="F256" i="5"/>
  <c r="H256" i="5"/>
  <c r="J256" i="5"/>
  <c r="L256" i="5"/>
  <c r="N256" i="5"/>
  <c r="P256" i="5"/>
  <c r="D256" i="5"/>
  <c r="E256" i="5"/>
  <c r="G256" i="5"/>
  <c r="I256" i="5"/>
  <c r="K256" i="5"/>
  <c r="M256" i="5"/>
  <c r="O256" i="5"/>
  <c r="Q256" i="5"/>
  <c r="O70" i="5"/>
  <c r="S70" i="5"/>
  <c r="P70" i="5"/>
  <c r="H70" i="5"/>
  <c r="L70" i="5"/>
  <c r="N70" i="5"/>
  <c r="G70" i="5"/>
  <c r="K70" i="5"/>
  <c r="Q70" i="5"/>
  <c r="T70" i="5"/>
  <c r="F70" i="5"/>
  <c r="J70" i="5"/>
  <c r="D70" i="5"/>
  <c r="R70" i="5"/>
  <c r="E70" i="5"/>
  <c r="I70" i="5"/>
  <c r="M70" i="5"/>
  <c r="O66" i="5"/>
  <c r="S66" i="5"/>
  <c r="P66" i="5"/>
  <c r="H66" i="5"/>
  <c r="L66" i="5"/>
  <c r="N66" i="5"/>
  <c r="G66" i="5"/>
  <c r="K66" i="5"/>
  <c r="Q66" i="5"/>
  <c r="T66" i="5"/>
  <c r="F66" i="5"/>
  <c r="J66" i="5"/>
  <c r="D66" i="5"/>
  <c r="R66" i="5"/>
  <c r="E66" i="5"/>
  <c r="I66" i="5"/>
  <c r="M66" i="5"/>
  <c r="Q62" i="5"/>
  <c r="T62" i="5"/>
  <c r="F62" i="5"/>
  <c r="J62" i="5"/>
  <c r="D62" i="5"/>
  <c r="R62" i="5"/>
  <c r="E62" i="5"/>
  <c r="I62" i="5"/>
  <c r="M62" i="5"/>
  <c r="S62" i="5"/>
  <c r="P62" i="5"/>
  <c r="L62" i="5"/>
  <c r="G62" i="5"/>
  <c r="O62" i="5"/>
  <c r="H62" i="5"/>
  <c r="N62" i="5"/>
  <c r="K62" i="5"/>
  <c r="Q58" i="5"/>
  <c r="T58" i="5"/>
  <c r="F58" i="5"/>
  <c r="J58" i="5"/>
  <c r="D58" i="5"/>
  <c r="R58" i="5"/>
  <c r="E58" i="5"/>
  <c r="I58" i="5"/>
  <c r="M58" i="5"/>
  <c r="S58" i="5"/>
  <c r="P58" i="5"/>
  <c r="L58" i="5"/>
  <c r="G58" i="5"/>
  <c r="O58" i="5"/>
  <c r="H58" i="5"/>
  <c r="N58" i="5"/>
  <c r="K58" i="5"/>
  <c r="Q54" i="5"/>
  <c r="H54" i="5"/>
  <c r="L54" i="5"/>
  <c r="T54" i="5"/>
  <c r="E54" i="5"/>
  <c r="M54" i="5"/>
  <c r="N54" i="5"/>
  <c r="K54" i="5"/>
  <c r="O54" i="5"/>
  <c r="J54" i="5"/>
  <c r="I54" i="5"/>
  <c r="G54" i="5"/>
  <c r="S54" i="5"/>
  <c r="F54" i="5"/>
  <c r="P54" i="5"/>
  <c r="D54" i="5"/>
  <c r="R54" i="5"/>
  <c r="Q50" i="5"/>
  <c r="H50" i="5"/>
  <c r="L50" i="5"/>
  <c r="T50" i="5"/>
  <c r="E50" i="5"/>
  <c r="M50" i="5"/>
  <c r="N50" i="5"/>
  <c r="K50" i="5"/>
  <c r="O50" i="5"/>
  <c r="R50" i="5"/>
  <c r="S50" i="5"/>
  <c r="F50" i="5"/>
  <c r="P50" i="5"/>
  <c r="D50" i="5"/>
  <c r="J50" i="5"/>
  <c r="I50" i="5"/>
  <c r="G50" i="5"/>
  <c r="O48" i="5"/>
  <c r="S48" i="5"/>
  <c r="F48" i="5"/>
  <c r="J48" i="5"/>
  <c r="P48" i="5"/>
  <c r="K48" i="5"/>
  <c r="R48" i="5"/>
  <c r="E48" i="5"/>
  <c r="M48" i="5"/>
  <c r="Q48" i="5"/>
  <c r="H48" i="5"/>
  <c r="L48" i="5"/>
  <c r="T48" i="5"/>
  <c r="G48" i="5"/>
  <c r="N48" i="5"/>
  <c r="I48" i="5"/>
  <c r="D48" i="5"/>
  <c r="Q69" i="5"/>
  <c r="T69" i="5"/>
  <c r="E69" i="5"/>
  <c r="I69" i="5"/>
  <c r="M69" i="5"/>
  <c r="R69" i="5"/>
  <c r="F69" i="5"/>
  <c r="J69" i="5"/>
  <c r="D69" i="5"/>
  <c r="N69" i="5"/>
  <c r="L69" i="5"/>
  <c r="S69" i="5"/>
  <c r="P69" i="5"/>
  <c r="K69" i="5"/>
  <c r="H69" i="5"/>
  <c r="O69" i="5"/>
  <c r="G69" i="5"/>
  <c r="Q65" i="5"/>
  <c r="T65" i="5"/>
  <c r="E65" i="5"/>
  <c r="I65" i="5"/>
  <c r="M65" i="5"/>
  <c r="R65" i="5"/>
  <c r="F65" i="5"/>
  <c r="J65" i="5"/>
  <c r="D65" i="5"/>
  <c r="O65" i="5"/>
  <c r="G65" i="5"/>
  <c r="S65" i="5"/>
  <c r="P65" i="5"/>
  <c r="K65" i="5"/>
  <c r="H65" i="5"/>
  <c r="N65" i="5"/>
  <c r="L65" i="5"/>
  <c r="Q61" i="5"/>
  <c r="T61" i="5"/>
  <c r="E61" i="5"/>
  <c r="I61" i="5"/>
  <c r="M61" i="5"/>
  <c r="R61" i="5"/>
  <c r="F61" i="5"/>
  <c r="J61" i="5"/>
  <c r="D61" i="5"/>
  <c r="N61" i="5"/>
  <c r="L61" i="5"/>
  <c r="S61" i="5"/>
  <c r="P61" i="5"/>
  <c r="K61" i="5"/>
  <c r="H61" i="5"/>
  <c r="O61" i="5"/>
  <c r="G61" i="5"/>
  <c r="Q57" i="5"/>
  <c r="T57" i="5"/>
  <c r="E57" i="5"/>
  <c r="I57" i="5"/>
  <c r="M57" i="5"/>
  <c r="R57" i="5"/>
  <c r="F57" i="5"/>
  <c r="J57" i="5"/>
  <c r="D57" i="5"/>
  <c r="N57" i="5"/>
  <c r="L57" i="5"/>
  <c r="S57" i="5"/>
  <c r="P57" i="5"/>
  <c r="K57" i="5"/>
  <c r="H57" i="5"/>
  <c r="O57" i="5"/>
  <c r="G57" i="5"/>
  <c r="Q53" i="5"/>
  <c r="G53" i="5"/>
  <c r="K53" i="5"/>
  <c r="P53" i="5"/>
  <c r="J53" i="5"/>
  <c r="R53" i="5"/>
  <c r="H53" i="5"/>
  <c r="D53" i="5"/>
  <c r="I53" i="5"/>
  <c r="F53" i="5"/>
  <c r="L53" i="5"/>
  <c r="S53" i="5"/>
  <c r="E53" i="5"/>
  <c r="M53" i="5"/>
  <c r="N53" i="5"/>
  <c r="O53" i="5"/>
  <c r="T53" i="5"/>
  <c r="O49" i="5"/>
  <c r="S49" i="5"/>
  <c r="E49" i="5"/>
  <c r="M49" i="5"/>
  <c r="N49" i="5"/>
  <c r="Q49" i="5"/>
  <c r="G49" i="5"/>
  <c r="K49" i="5"/>
  <c r="P49" i="5"/>
  <c r="J49" i="5"/>
  <c r="R49" i="5"/>
  <c r="H49" i="5"/>
  <c r="D49" i="5"/>
  <c r="I49" i="5"/>
  <c r="T49" i="5"/>
  <c r="F49" i="5"/>
  <c r="L49" i="5"/>
  <c r="O68" i="5"/>
  <c r="S68" i="5"/>
  <c r="P68" i="5"/>
  <c r="H68" i="5"/>
  <c r="L68" i="5"/>
  <c r="N68" i="5"/>
  <c r="G68" i="5"/>
  <c r="K68" i="5"/>
  <c r="Q68" i="5"/>
  <c r="T68" i="5"/>
  <c r="F68" i="5"/>
  <c r="J68" i="5"/>
  <c r="D68" i="5"/>
  <c r="R68" i="5"/>
  <c r="E68" i="5"/>
  <c r="I68" i="5"/>
  <c r="M68" i="5"/>
  <c r="O64" i="5"/>
  <c r="S64" i="5"/>
  <c r="Q64" i="5"/>
  <c r="T64" i="5"/>
  <c r="F64" i="5"/>
  <c r="J64" i="5"/>
  <c r="D64" i="5"/>
  <c r="R64" i="5"/>
  <c r="E64" i="5"/>
  <c r="I64" i="5"/>
  <c r="M64" i="5"/>
  <c r="H64" i="5"/>
  <c r="N64" i="5"/>
  <c r="K64" i="5"/>
  <c r="P64" i="5"/>
  <c r="L64" i="5"/>
  <c r="G64" i="5"/>
  <c r="Q60" i="5"/>
  <c r="T60" i="5"/>
  <c r="F60" i="5"/>
  <c r="J60" i="5"/>
  <c r="D60" i="5"/>
  <c r="R60" i="5"/>
  <c r="E60" i="5"/>
  <c r="I60" i="5"/>
  <c r="M60" i="5"/>
  <c r="O60" i="5"/>
  <c r="H60" i="5"/>
  <c r="N60" i="5"/>
  <c r="K60" i="5"/>
  <c r="S60" i="5"/>
  <c r="P60" i="5"/>
  <c r="L60" i="5"/>
  <c r="G60" i="5"/>
  <c r="Q56" i="5"/>
  <c r="T56" i="5"/>
  <c r="F56" i="5"/>
  <c r="J56" i="5"/>
  <c r="D56" i="5"/>
  <c r="R56" i="5"/>
  <c r="E56" i="5"/>
  <c r="I56" i="5"/>
  <c r="M56" i="5"/>
  <c r="O56" i="5"/>
  <c r="H56" i="5"/>
  <c r="N56" i="5"/>
  <c r="K56" i="5"/>
  <c r="S56" i="5"/>
  <c r="P56" i="5"/>
  <c r="L56" i="5"/>
  <c r="G56" i="5"/>
  <c r="Q52" i="5"/>
  <c r="H52" i="5"/>
  <c r="L52" i="5"/>
  <c r="T52" i="5"/>
  <c r="G52" i="5"/>
  <c r="D52" i="5"/>
  <c r="R52" i="5"/>
  <c r="E52" i="5"/>
  <c r="M52" i="5"/>
  <c r="P52" i="5"/>
  <c r="N52" i="5"/>
  <c r="O52" i="5"/>
  <c r="J52" i="5"/>
  <c r="K52" i="5"/>
  <c r="I52" i="5"/>
  <c r="S52" i="5"/>
  <c r="F52" i="5"/>
  <c r="N28" i="5"/>
  <c r="N25" i="5"/>
  <c r="N21" i="5"/>
  <c r="N17" i="5"/>
  <c r="N13" i="5"/>
  <c r="N9" i="5"/>
  <c r="N5" i="5"/>
  <c r="N26" i="5"/>
  <c r="N22" i="5"/>
  <c r="N18" i="5"/>
  <c r="N14" i="5"/>
  <c r="N10" i="5"/>
  <c r="N6" i="5"/>
  <c r="N27" i="5"/>
  <c r="N23" i="5"/>
  <c r="N19" i="5"/>
  <c r="N15" i="5"/>
  <c r="N11" i="5"/>
  <c r="N7" i="5"/>
  <c r="N4" i="5"/>
  <c r="N24" i="5"/>
  <c r="N20" i="5"/>
  <c r="N16" i="5"/>
  <c r="N12" i="5"/>
  <c r="N8" i="5"/>
  <c r="Q71" i="5"/>
  <c r="T71" i="5"/>
  <c r="E71" i="5"/>
  <c r="I71" i="5"/>
  <c r="M71" i="5"/>
  <c r="R71" i="5"/>
  <c r="F71" i="5"/>
  <c r="J71" i="5"/>
  <c r="D71" i="5"/>
  <c r="S71" i="5"/>
  <c r="P71" i="5"/>
  <c r="K71" i="5"/>
  <c r="H71" i="5"/>
  <c r="O71" i="5"/>
  <c r="G71" i="5"/>
  <c r="N71" i="5"/>
  <c r="L71" i="5"/>
  <c r="Q67" i="5"/>
  <c r="T67" i="5"/>
  <c r="E67" i="5"/>
  <c r="I67" i="5"/>
  <c r="M67" i="5"/>
  <c r="R67" i="5"/>
  <c r="F67" i="5"/>
  <c r="J67" i="5"/>
  <c r="D67" i="5"/>
  <c r="O67" i="5"/>
  <c r="G67" i="5"/>
  <c r="N67" i="5"/>
  <c r="L67" i="5"/>
  <c r="S67" i="5"/>
  <c r="P67" i="5"/>
  <c r="K67" i="5"/>
  <c r="H67" i="5"/>
  <c r="Q63" i="5"/>
  <c r="T63" i="5"/>
  <c r="E63" i="5"/>
  <c r="I63" i="5"/>
  <c r="M63" i="5"/>
  <c r="R63" i="5"/>
  <c r="F63" i="5"/>
  <c r="J63" i="5"/>
  <c r="D63" i="5"/>
  <c r="S63" i="5"/>
  <c r="P63" i="5"/>
  <c r="O63" i="5"/>
  <c r="G63" i="5"/>
  <c r="N63" i="5"/>
  <c r="L63" i="5"/>
  <c r="K63" i="5"/>
  <c r="H63" i="5"/>
  <c r="Q59" i="5"/>
  <c r="T59" i="5"/>
  <c r="E59" i="5"/>
  <c r="I59" i="5"/>
  <c r="M59" i="5"/>
  <c r="R59" i="5"/>
  <c r="F59" i="5"/>
  <c r="J59" i="5"/>
  <c r="D59" i="5"/>
  <c r="K59" i="5"/>
  <c r="H59" i="5"/>
  <c r="O59" i="5"/>
  <c r="G59" i="5"/>
  <c r="N59" i="5"/>
  <c r="L59" i="5"/>
  <c r="S59" i="5"/>
  <c r="P59" i="5"/>
  <c r="Q55" i="5"/>
  <c r="G55" i="5"/>
  <c r="K55" i="5"/>
  <c r="P55" i="5"/>
  <c r="L55" i="5"/>
  <c r="R55" i="5"/>
  <c r="F55" i="5"/>
  <c r="D55" i="5"/>
  <c r="E55" i="5"/>
  <c r="O55" i="5"/>
  <c r="I55" i="5"/>
  <c r="T55" i="5"/>
  <c r="H55" i="5"/>
  <c r="J55" i="5"/>
  <c r="S55" i="5"/>
  <c r="M55" i="5"/>
  <c r="N55" i="5"/>
  <c r="Q51" i="5"/>
  <c r="G51" i="5"/>
  <c r="K51" i="5"/>
  <c r="P51" i="5"/>
  <c r="L51" i="5"/>
  <c r="M51" i="5"/>
  <c r="N51" i="5"/>
  <c r="O51" i="5"/>
  <c r="I51" i="5"/>
  <c r="T51" i="5"/>
  <c r="H51" i="5"/>
  <c r="R51" i="5"/>
  <c r="F51" i="5"/>
  <c r="D51" i="5"/>
  <c r="S51" i="5"/>
  <c r="E51" i="5"/>
  <c r="J51" i="5"/>
  <c r="F3" i="7"/>
  <c r="F5" i="7"/>
  <c r="F4" i="7"/>
  <c r="F71" i="1"/>
  <c r="F82" i="1"/>
  <c r="G138" i="5"/>
  <c r="G141" i="5"/>
  <c r="O138" i="5"/>
  <c r="I138" i="5"/>
  <c r="Q138" i="5"/>
  <c r="T138" i="5"/>
  <c r="P138" i="5"/>
  <c r="L138" i="5"/>
  <c r="H138" i="5"/>
  <c r="K343" i="5"/>
  <c r="L343" i="5"/>
  <c r="P343" i="5"/>
  <c r="G343" i="5"/>
  <c r="G346" i="5"/>
  <c r="I343" i="5"/>
  <c r="F343" i="5"/>
  <c r="F346" i="5"/>
  <c r="N343" i="5"/>
  <c r="D310" i="5"/>
  <c r="T310" i="5"/>
  <c r="O310" i="5"/>
  <c r="P310" i="5"/>
  <c r="K310" i="5"/>
  <c r="J310" i="5"/>
  <c r="R310" i="5"/>
  <c r="E310" i="5"/>
  <c r="E313" i="5"/>
  <c r="K138" i="5"/>
  <c r="S138" i="5"/>
  <c r="D138" i="5"/>
  <c r="M138" i="5"/>
  <c r="E138" i="5"/>
  <c r="E141" i="5"/>
  <c r="R138" i="5"/>
  <c r="N138" i="5"/>
  <c r="J138" i="5"/>
  <c r="F138" i="5"/>
  <c r="F141" i="5"/>
  <c r="O343" i="5"/>
  <c r="E343" i="5"/>
  <c r="E346" i="5"/>
  <c r="D343" i="5"/>
  <c r="T343" i="5"/>
  <c r="M343" i="5"/>
  <c r="H343" i="5"/>
  <c r="S343" i="5"/>
  <c r="Q343" i="5"/>
  <c r="J343" i="5"/>
  <c r="R343" i="5"/>
  <c r="G310" i="5"/>
  <c r="G313" i="5"/>
  <c r="L310" i="5"/>
  <c r="H310" i="5"/>
  <c r="I310" i="5"/>
  <c r="S310" i="5"/>
  <c r="F310" i="5"/>
  <c r="F313" i="5"/>
  <c r="N310" i="5"/>
  <c r="M310" i="5"/>
  <c r="Q310" i="5"/>
  <c r="G105" i="5"/>
  <c r="G108" i="5"/>
  <c r="E105" i="5"/>
  <c r="E108" i="5"/>
  <c r="O105" i="5"/>
  <c r="R105" i="5"/>
  <c r="J105" i="5"/>
  <c r="L105" i="5"/>
  <c r="D105" i="5"/>
  <c r="M105" i="5"/>
  <c r="N105" i="5"/>
  <c r="F105" i="5"/>
  <c r="Q105" i="5"/>
  <c r="P105" i="5"/>
  <c r="H105" i="5"/>
  <c r="K105" i="5"/>
  <c r="S105" i="5"/>
  <c r="I105" i="5"/>
  <c r="T105" i="5"/>
  <c r="F540" i="5"/>
  <c r="T540" i="5"/>
  <c r="R540" i="5"/>
  <c r="J577" i="5"/>
  <c r="I577" i="5"/>
  <c r="D577" i="5"/>
  <c r="L540" i="5"/>
  <c r="O540" i="5"/>
  <c r="M582" i="5"/>
  <c r="E564" i="5"/>
  <c r="M565" i="5"/>
  <c r="M578" i="5"/>
  <c r="M580" i="5"/>
  <c r="E567" i="5"/>
  <c r="M576" i="5"/>
  <c r="M562" i="5"/>
  <c r="S576" i="5"/>
  <c r="L577" i="5"/>
  <c r="R577" i="5"/>
  <c r="T577" i="5"/>
  <c r="P577" i="5"/>
  <c r="O577" i="5"/>
  <c r="E581" i="5"/>
  <c r="E568" i="5"/>
  <c r="M566" i="5"/>
  <c r="M585" i="5"/>
  <c r="J576" i="5"/>
  <c r="D576" i="5"/>
  <c r="F576" i="5"/>
  <c r="E570" i="5"/>
  <c r="M584" i="5"/>
  <c r="E575" i="5"/>
  <c r="M569" i="5"/>
  <c r="Q540" i="5"/>
  <c r="H540" i="5"/>
  <c r="P540" i="5"/>
  <c r="I540" i="5"/>
  <c r="J540" i="5"/>
  <c r="F483" i="5"/>
  <c r="M571" i="5"/>
  <c r="E576" i="5"/>
  <c r="M574" i="5"/>
  <c r="M572" i="5"/>
  <c r="N576" i="5"/>
  <c r="K576" i="5"/>
  <c r="H576" i="5"/>
  <c r="L576" i="5"/>
  <c r="R576" i="5"/>
  <c r="T576" i="5"/>
  <c r="O576" i="5"/>
  <c r="Q576" i="5"/>
  <c r="I576" i="5"/>
  <c r="P576" i="5"/>
  <c r="F584" i="5"/>
  <c r="Q584" i="5"/>
  <c r="J584" i="5"/>
  <c r="K584" i="5"/>
  <c r="L584" i="5"/>
  <c r="D584" i="5"/>
  <c r="G584" i="5"/>
  <c r="S584" i="5"/>
  <c r="I584" i="5"/>
  <c r="T584" i="5"/>
  <c r="O584" i="5"/>
  <c r="H584" i="5"/>
  <c r="N584" i="5"/>
  <c r="R584" i="5"/>
  <c r="P584" i="5"/>
  <c r="G574" i="5"/>
  <c r="F574" i="5"/>
  <c r="J574" i="5"/>
  <c r="K574" i="5"/>
  <c r="H574" i="5"/>
  <c r="N574" i="5"/>
  <c r="I574" i="5"/>
  <c r="R574" i="5"/>
  <c r="P574" i="5"/>
  <c r="O574" i="5"/>
  <c r="Q574" i="5"/>
  <c r="L574" i="5"/>
  <c r="D574" i="5"/>
  <c r="S574" i="5"/>
  <c r="T574" i="5"/>
  <c r="Q572" i="5"/>
  <c r="K572" i="5"/>
  <c r="H572" i="5"/>
  <c r="L572" i="5"/>
  <c r="F572" i="5"/>
  <c r="J572" i="5"/>
  <c r="D572" i="5"/>
  <c r="N572" i="5"/>
  <c r="R572" i="5"/>
  <c r="O572" i="5"/>
  <c r="G572" i="5"/>
  <c r="S572" i="5"/>
  <c r="I572" i="5"/>
  <c r="P572" i="5"/>
  <c r="T572" i="5"/>
  <c r="G569" i="5"/>
  <c r="F569" i="5"/>
  <c r="Q569" i="5"/>
  <c r="J569" i="5"/>
  <c r="K569" i="5"/>
  <c r="L569" i="5"/>
  <c r="N569" i="5"/>
  <c r="H569" i="5"/>
  <c r="D569" i="5"/>
  <c r="R569" i="5"/>
  <c r="P569" i="5"/>
  <c r="T569" i="5"/>
  <c r="O569" i="5"/>
  <c r="S569" i="5"/>
  <c r="I569" i="5"/>
  <c r="F575" i="5"/>
  <c r="G575" i="5"/>
  <c r="Q575" i="5"/>
  <c r="J575" i="5"/>
  <c r="K575" i="5"/>
  <c r="H575" i="5"/>
  <c r="L575" i="5"/>
  <c r="D575" i="5"/>
  <c r="N575" i="5"/>
  <c r="I575" i="5"/>
  <c r="O575" i="5"/>
  <c r="S575" i="5"/>
  <c r="R575" i="5"/>
  <c r="P575" i="5"/>
  <c r="T575" i="5"/>
  <c r="G582" i="5"/>
  <c r="F582" i="5"/>
  <c r="Q582" i="5"/>
  <c r="J582" i="5"/>
  <c r="K582" i="5"/>
  <c r="H582" i="5"/>
  <c r="D582" i="5"/>
  <c r="N582" i="5"/>
  <c r="L582" i="5"/>
  <c r="I582" i="5"/>
  <c r="T582" i="5"/>
  <c r="O582" i="5"/>
  <c r="S582" i="5"/>
  <c r="R582" i="5"/>
  <c r="P582" i="5"/>
  <c r="O534" i="5"/>
  <c r="I534" i="5"/>
  <c r="P534" i="5"/>
  <c r="H534" i="5"/>
  <c r="E534" i="5"/>
  <c r="T534" i="5"/>
  <c r="L534" i="5"/>
  <c r="R534" i="5"/>
  <c r="J534" i="5"/>
  <c r="N534" i="5"/>
  <c r="F534" i="5"/>
  <c r="M534" i="5"/>
  <c r="G534" i="5"/>
  <c r="D534" i="5"/>
  <c r="S534" i="5"/>
  <c r="Q534" i="5"/>
  <c r="K534" i="5"/>
  <c r="I550" i="5"/>
  <c r="T550" i="5"/>
  <c r="P550" i="5"/>
  <c r="L550" i="5"/>
  <c r="H550" i="5"/>
  <c r="R550" i="5"/>
  <c r="J550" i="5"/>
  <c r="N550" i="5"/>
  <c r="M550" i="5"/>
  <c r="G550" i="5"/>
  <c r="O550" i="5"/>
  <c r="Q550" i="5"/>
  <c r="K550" i="5"/>
  <c r="E550" i="5"/>
  <c r="F550" i="5"/>
  <c r="D550" i="5"/>
  <c r="S550" i="5"/>
  <c r="O541" i="5"/>
  <c r="T541" i="5"/>
  <c r="P541" i="5"/>
  <c r="L541" i="5"/>
  <c r="H541" i="5"/>
  <c r="I541" i="5"/>
  <c r="R541" i="5"/>
  <c r="J541" i="5"/>
  <c r="F541" i="5"/>
  <c r="Q541" i="5"/>
  <c r="M541" i="5"/>
  <c r="E541" i="5"/>
  <c r="N541" i="5"/>
  <c r="D541" i="5"/>
  <c r="K541" i="5"/>
  <c r="G541" i="5"/>
  <c r="S541" i="5"/>
  <c r="I539" i="5"/>
  <c r="P539" i="5"/>
  <c r="H539" i="5"/>
  <c r="E539" i="5"/>
  <c r="T539" i="5"/>
  <c r="L539" i="5"/>
  <c r="F539" i="5"/>
  <c r="M539" i="5"/>
  <c r="G539" i="5"/>
  <c r="R539" i="5"/>
  <c r="N539" i="5"/>
  <c r="D539" i="5"/>
  <c r="K539" i="5"/>
  <c r="O539" i="5"/>
  <c r="J539" i="5"/>
  <c r="Q539" i="5"/>
  <c r="S539" i="5"/>
  <c r="E542" i="5"/>
  <c r="T542" i="5"/>
  <c r="O542" i="5"/>
  <c r="I542" i="5"/>
  <c r="L542" i="5"/>
  <c r="Q542" i="5"/>
  <c r="P542" i="5"/>
  <c r="J542" i="5"/>
  <c r="M542" i="5"/>
  <c r="G542" i="5"/>
  <c r="S542" i="5"/>
  <c r="H542" i="5"/>
  <c r="R542" i="5"/>
  <c r="N542" i="5"/>
  <c r="F542" i="5"/>
  <c r="D542" i="5"/>
  <c r="K542" i="5"/>
  <c r="O536" i="5"/>
  <c r="E536" i="5"/>
  <c r="I536" i="5"/>
  <c r="T536" i="5"/>
  <c r="L536" i="5"/>
  <c r="H536" i="5"/>
  <c r="N536" i="5"/>
  <c r="Q536" i="5"/>
  <c r="M536" i="5"/>
  <c r="R536" i="5"/>
  <c r="F536" i="5"/>
  <c r="D536" i="5"/>
  <c r="K536" i="5"/>
  <c r="P536" i="5"/>
  <c r="J536" i="5"/>
  <c r="G536" i="5"/>
  <c r="S536" i="5"/>
  <c r="O533" i="5"/>
  <c r="E533" i="5"/>
  <c r="P533" i="5"/>
  <c r="H533" i="5"/>
  <c r="F533" i="5"/>
  <c r="Q533" i="5"/>
  <c r="I533" i="5"/>
  <c r="T533" i="5"/>
  <c r="R533" i="5"/>
  <c r="N533" i="5"/>
  <c r="G533" i="5"/>
  <c r="D533" i="5"/>
  <c r="S533" i="5"/>
  <c r="L533" i="5"/>
  <c r="J533" i="5"/>
  <c r="M533" i="5"/>
  <c r="K533" i="5"/>
  <c r="G568" i="5"/>
  <c r="F568" i="5"/>
  <c r="J568" i="5"/>
  <c r="D568" i="5"/>
  <c r="N568" i="5"/>
  <c r="S568" i="5"/>
  <c r="Q568" i="5"/>
  <c r="H568" i="5"/>
  <c r="I568" i="5"/>
  <c r="P568" i="5"/>
  <c r="T568" i="5"/>
  <c r="K568" i="5"/>
  <c r="L568" i="5"/>
  <c r="R568" i="5"/>
  <c r="O568" i="5"/>
  <c r="G567" i="5"/>
  <c r="F567" i="5"/>
  <c r="L567" i="5"/>
  <c r="D567" i="5"/>
  <c r="N567" i="5"/>
  <c r="Q567" i="5"/>
  <c r="S567" i="5"/>
  <c r="R567" i="5"/>
  <c r="P567" i="5"/>
  <c r="T567" i="5"/>
  <c r="J567" i="5"/>
  <c r="K567" i="5"/>
  <c r="H567" i="5"/>
  <c r="I567" i="5"/>
  <c r="O567" i="5"/>
  <c r="G564" i="5"/>
  <c r="F564" i="5"/>
  <c r="Q564" i="5"/>
  <c r="K564" i="5"/>
  <c r="H564" i="5"/>
  <c r="L564" i="5"/>
  <c r="S564" i="5"/>
  <c r="R564" i="5"/>
  <c r="O564" i="5"/>
  <c r="J564" i="5"/>
  <c r="D564" i="5"/>
  <c r="N564" i="5"/>
  <c r="I564" i="5"/>
  <c r="P564" i="5"/>
  <c r="T564" i="5"/>
  <c r="G580" i="5"/>
  <c r="F580" i="5"/>
  <c r="H580" i="5"/>
  <c r="L580" i="5"/>
  <c r="S580" i="5"/>
  <c r="R580" i="5"/>
  <c r="Q580" i="5"/>
  <c r="J580" i="5"/>
  <c r="K580" i="5"/>
  <c r="D580" i="5"/>
  <c r="N580" i="5"/>
  <c r="I580" i="5"/>
  <c r="P580" i="5"/>
  <c r="T580" i="5"/>
  <c r="O580" i="5"/>
  <c r="G585" i="5"/>
  <c r="L585" i="5"/>
  <c r="N585" i="5"/>
  <c r="S585" i="5"/>
  <c r="J585" i="5"/>
  <c r="K585" i="5"/>
  <c r="H585" i="5"/>
  <c r="D585" i="5"/>
  <c r="R585" i="5"/>
  <c r="P585" i="5"/>
  <c r="F585" i="5"/>
  <c r="Q585" i="5"/>
  <c r="I585" i="5"/>
  <c r="T585" i="5"/>
  <c r="O585" i="5"/>
  <c r="F566" i="5"/>
  <c r="Q566" i="5"/>
  <c r="J566" i="5"/>
  <c r="K566" i="5"/>
  <c r="H566" i="5"/>
  <c r="L566" i="5"/>
  <c r="D566" i="5"/>
  <c r="S566" i="5"/>
  <c r="T566" i="5"/>
  <c r="G566" i="5"/>
  <c r="N566" i="5"/>
  <c r="I566" i="5"/>
  <c r="R566" i="5"/>
  <c r="P566" i="5"/>
  <c r="O566" i="5"/>
  <c r="O543" i="5"/>
  <c r="E543" i="5"/>
  <c r="T543" i="5"/>
  <c r="L543" i="5"/>
  <c r="I543" i="5"/>
  <c r="R543" i="5"/>
  <c r="J543" i="5"/>
  <c r="N543" i="5"/>
  <c r="Q543" i="5"/>
  <c r="P543" i="5"/>
  <c r="F543" i="5"/>
  <c r="M543" i="5"/>
  <c r="S543" i="5"/>
  <c r="H543" i="5"/>
  <c r="G543" i="5"/>
  <c r="D543" i="5"/>
  <c r="K543" i="5"/>
  <c r="E544" i="5"/>
  <c r="I544" i="5"/>
  <c r="T544" i="5"/>
  <c r="P544" i="5"/>
  <c r="L544" i="5"/>
  <c r="O544" i="5"/>
  <c r="R544" i="5"/>
  <c r="J544" i="5"/>
  <c r="F544" i="5"/>
  <c r="M544" i="5"/>
  <c r="H544" i="5"/>
  <c r="Q544" i="5"/>
  <c r="G544" i="5"/>
  <c r="D544" i="5"/>
  <c r="K544" i="5"/>
  <c r="N544" i="5"/>
  <c r="S544" i="5"/>
  <c r="E547" i="5"/>
  <c r="I547" i="5"/>
  <c r="P547" i="5"/>
  <c r="L547" i="5"/>
  <c r="H547" i="5"/>
  <c r="T547" i="5"/>
  <c r="F547" i="5"/>
  <c r="M547" i="5"/>
  <c r="J547" i="5"/>
  <c r="N547" i="5"/>
  <c r="Q547" i="5"/>
  <c r="D547" i="5"/>
  <c r="K547" i="5"/>
  <c r="O547" i="5"/>
  <c r="R547" i="5"/>
  <c r="G547" i="5"/>
  <c r="S547" i="5"/>
  <c r="E531" i="5"/>
  <c r="I531" i="5"/>
  <c r="P531" i="5"/>
  <c r="H531" i="5"/>
  <c r="O531" i="5"/>
  <c r="F531" i="5"/>
  <c r="M531" i="5"/>
  <c r="G531" i="5"/>
  <c r="L531" i="5"/>
  <c r="J531" i="5"/>
  <c r="Q531" i="5"/>
  <c r="D531" i="5"/>
  <c r="K531" i="5"/>
  <c r="T531" i="5"/>
  <c r="R531" i="5"/>
  <c r="N531" i="5"/>
  <c r="S531" i="5"/>
  <c r="O552" i="5"/>
  <c r="T552" i="5"/>
  <c r="P552" i="5"/>
  <c r="H552" i="5"/>
  <c r="N552" i="5"/>
  <c r="Q552" i="5"/>
  <c r="G552" i="5"/>
  <c r="L552" i="5"/>
  <c r="R552" i="5"/>
  <c r="S552" i="5"/>
  <c r="E552" i="5"/>
  <c r="I552" i="5"/>
  <c r="J552" i="5"/>
  <c r="F552" i="5"/>
  <c r="M552" i="5"/>
  <c r="D552" i="5"/>
  <c r="K552" i="5"/>
  <c r="E549" i="5"/>
  <c r="I549" i="5"/>
  <c r="L549" i="5"/>
  <c r="R549" i="5"/>
  <c r="J549" i="5"/>
  <c r="N549" i="5"/>
  <c r="G549" i="5"/>
  <c r="O549" i="5"/>
  <c r="H549" i="5"/>
  <c r="F549" i="5"/>
  <c r="S549" i="5"/>
  <c r="T549" i="5"/>
  <c r="P549" i="5"/>
  <c r="Q549" i="5"/>
  <c r="M549" i="5"/>
  <c r="D549" i="5"/>
  <c r="K549" i="5"/>
  <c r="G540" i="5"/>
  <c r="M540" i="5"/>
  <c r="S540" i="5"/>
  <c r="D540" i="5"/>
  <c r="K540" i="5"/>
  <c r="F581" i="5"/>
  <c r="Q581" i="5"/>
  <c r="J581" i="5"/>
  <c r="K581" i="5"/>
  <c r="D581" i="5"/>
  <c r="N581" i="5"/>
  <c r="R581" i="5"/>
  <c r="P581" i="5"/>
  <c r="T581" i="5"/>
  <c r="O581" i="5"/>
  <c r="G581" i="5"/>
  <c r="H581" i="5"/>
  <c r="L581" i="5"/>
  <c r="S581" i="5"/>
  <c r="I581" i="5"/>
  <c r="G565" i="5"/>
  <c r="H565" i="5"/>
  <c r="N565" i="5"/>
  <c r="S565" i="5"/>
  <c r="I565" i="5"/>
  <c r="R565" i="5"/>
  <c r="F565" i="5"/>
  <c r="Q565" i="5"/>
  <c r="J565" i="5"/>
  <c r="K565" i="5"/>
  <c r="L565" i="5"/>
  <c r="D565" i="5"/>
  <c r="P565" i="5"/>
  <c r="T565" i="5"/>
  <c r="O565" i="5"/>
  <c r="G578" i="5"/>
  <c r="F578" i="5"/>
  <c r="J578" i="5"/>
  <c r="H578" i="5"/>
  <c r="L578" i="5"/>
  <c r="Q578" i="5"/>
  <c r="K578" i="5"/>
  <c r="D578" i="5"/>
  <c r="N578" i="5"/>
  <c r="S578" i="5"/>
  <c r="I578" i="5"/>
  <c r="R578" i="5"/>
  <c r="P578" i="5"/>
  <c r="T578" i="5"/>
  <c r="O578" i="5"/>
  <c r="K571" i="5"/>
  <c r="L571" i="5"/>
  <c r="D571" i="5"/>
  <c r="R571" i="5"/>
  <c r="P571" i="5"/>
  <c r="T571" i="5"/>
  <c r="O571" i="5"/>
  <c r="G571" i="5"/>
  <c r="F571" i="5"/>
  <c r="Q571" i="5"/>
  <c r="J571" i="5"/>
  <c r="H571" i="5"/>
  <c r="N571" i="5"/>
  <c r="S571" i="5"/>
  <c r="I571" i="5"/>
  <c r="G562" i="5"/>
  <c r="Q562" i="5"/>
  <c r="J562" i="5"/>
  <c r="K562" i="5"/>
  <c r="L562" i="5"/>
  <c r="D562" i="5"/>
  <c r="N562" i="5"/>
  <c r="T562" i="5"/>
  <c r="O562" i="5"/>
  <c r="F562" i="5"/>
  <c r="H562" i="5"/>
  <c r="S562" i="5"/>
  <c r="I562" i="5"/>
  <c r="R562" i="5"/>
  <c r="P562" i="5"/>
  <c r="J570" i="5"/>
  <c r="K570" i="5"/>
  <c r="H570" i="5"/>
  <c r="L570" i="5"/>
  <c r="N570" i="5"/>
  <c r="G570" i="5"/>
  <c r="F570" i="5"/>
  <c r="Q570" i="5"/>
  <c r="D570" i="5"/>
  <c r="S570" i="5"/>
  <c r="I570" i="5"/>
  <c r="R570" i="5"/>
  <c r="P570" i="5"/>
  <c r="T570" i="5"/>
  <c r="O570" i="5"/>
  <c r="P548" i="5"/>
  <c r="H548" i="5"/>
  <c r="R548" i="5"/>
  <c r="J548" i="5"/>
  <c r="O548" i="5"/>
  <c r="E548" i="5"/>
  <c r="I548" i="5"/>
  <c r="T548" i="5"/>
  <c r="L548" i="5"/>
  <c r="N548" i="5"/>
  <c r="F548" i="5"/>
  <c r="M548" i="5"/>
  <c r="G548" i="5"/>
  <c r="S548" i="5"/>
  <c r="Q548" i="5"/>
  <c r="D548" i="5"/>
  <c r="K548" i="5"/>
  <c r="E546" i="5"/>
  <c r="I546" i="5"/>
  <c r="P546" i="5"/>
  <c r="H546" i="5"/>
  <c r="F546" i="5"/>
  <c r="O546" i="5"/>
  <c r="T546" i="5"/>
  <c r="L546" i="5"/>
  <c r="R546" i="5"/>
  <c r="J546" i="5"/>
  <c r="N546" i="5"/>
  <c r="Q546" i="5"/>
  <c r="S546" i="5"/>
  <c r="M546" i="5"/>
  <c r="G546" i="5"/>
  <c r="D546" i="5"/>
  <c r="K546" i="5"/>
  <c r="O537" i="5"/>
  <c r="I537" i="5"/>
  <c r="T537" i="5"/>
  <c r="P537" i="5"/>
  <c r="L537" i="5"/>
  <c r="H537" i="5"/>
  <c r="E537" i="5"/>
  <c r="R537" i="5"/>
  <c r="J537" i="5"/>
  <c r="N537" i="5"/>
  <c r="F537" i="5"/>
  <c r="Q537" i="5"/>
  <c r="M537" i="5"/>
  <c r="G537" i="5"/>
  <c r="S537" i="5"/>
  <c r="D537" i="5"/>
  <c r="K537" i="5"/>
  <c r="E579" i="5"/>
  <c r="M579" i="5"/>
  <c r="F579" i="5"/>
  <c r="Q579" i="5"/>
  <c r="G579" i="5"/>
  <c r="K579" i="5"/>
  <c r="L579" i="5"/>
  <c r="D579" i="5"/>
  <c r="N579" i="5"/>
  <c r="I579" i="5"/>
  <c r="P579" i="5"/>
  <c r="T579" i="5"/>
  <c r="J579" i="5"/>
  <c r="H579" i="5"/>
  <c r="S579" i="5"/>
  <c r="R579" i="5"/>
  <c r="O579" i="5"/>
  <c r="E573" i="5"/>
  <c r="M573" i="5"/>
  <c r="G573" i="5"/>
  <c r="F573" i="5"/>
  <c r="J573" i="5"/>
  <c r="Q573" i="5"/>
  <c r="L573" i="5"/>
  <c r="D573" i="5"/>
  <c r="N573" i="5"/>
  <c r="S573" i="5"/>
  <c r="I573" i="5"/>
  <c r="R573" i="5"/>
  <c r="P573" i="5"/>
  <c r="O573" i="5"/>
  <c r="K573" i="5"/>
  <c r="H573" i="5"/>
  <c r="T573" i="5"/>
  <c r="O532" i="5"/>
  <c r="R532" i="5"/>
  <c r="J532" i="5"/>
  <c r="N532" i="5"/>
  <c r="E532" i="5"/>
  <c r="I532" i="5"/>
  <c r="T532" i="5"/>
  <c r="P532" i="5"/>
  <c r="L532" i="5"/>
  <c r="H532" i="5"/>
  <c r="F532" i="5"/>
  <c r="Q532" i="5"/>
  <c r="M532" i="5"/>
  <c r="S532" i="5"/>
  <c r="G532" i="5"/>
  <c r="D532" i="5"/>
  <c r="K532" i="5"/>
  <c r="E538" i="5"/>
  <c r="I538" i="5"/>
  <c r="T538" i="5"/>
  <c r="P538" i="5"/>
  <c r="L538" i="5"/>
  <c r="H538" i="5"/>
  <c r="N538" i="5"/>
  <c r="O538" i="5"/>
  <c r="R538" i="5"/>
  <c r="J538" i="5"/>
  <c r="F538" i="5"/>
  <c r="Q538" i="5"/>
  <c r="G538" i="5"/>
  <c r="D538" i="5"/>
  <c r="M538" i="5"/>
  <c r="S538" i="5"/>
  <c r="K538" i="5"/>
  <c r="O551" i="5"/>
  <c r="T551" i="5"/>
  <c r="P551" i="5"/>
  <c r="L551" i="5"/>
  <c r="H551" i="5"/>
  <c r="R551" i="5"/>
  <c r="J551" i="5"/>
  <c r="F551" i="5"/>
  <c r="Q551" i="5"/>
  <c r="E551" i="5"/>
  <c r="I551" i="5"/>
  <c r="N551" i="5"/>
  <c r="M551" i="5"/>
  <c r="D551" i="5"/>
  <c r="S551" i="5"/>
  <c r="K551" i="5"/>
  <c r="G551" i="5"/>
  <c r="E530" i="5"/>
  <c r="I530" i="5"/>
  <c r="T530" i="5"/>
  <c r="P530" i="5"/>
  <c r="L530" i="5"/>
  <c r="H530" i="5"/>
  <c r="N530" i="5"/>
  <c r="F530" i="5"/>
  <c r="O530" i="5"/>
  <c r="R530" i="5"/>
  <c r="J530" i="5"/>
  <c r="Q530" i="5"/>
  <c r="G530" i="5"/>
  <c r="M530" i="5"/>
  <c r="D530" i="5"/>
  <c r="S530" i="5"/>
  <c r="K530" i="5"/>
  <c r="D483" i="5"/>
  <c r="O529" i="5"/>
  <c r="I529" i="5"/>
  <c r="T529" i="5"/>
  <c r="P529" i="5"/>
  <c r="L529" i="5"/>
  <c r="H529" i="5"/>
  <c r="F529" i="5"/>
  <c r="E529" i="5"/>
  <c r="R529" i="5"/>
  <c r="J529" i="5"/>
  <c r="N529" i="5"/>
  <c r="Q529" i="5"/>
  <c r="M529" i="5"/>
  <c r="G529" i="5"/>
  <c r="D529" i="5"/>
  <c r="S529" i="5"/>
  <c r="K529" i="5"/>
  <c r="O545" i="5"/>
  <c r="I545" i="5"/>
  <c r="T545" i="5"/>
  <c r="P545" i="5"/>
  <c r="L545" i="5"/>
  <c r="H545" i="5"/>
  <c r="Q545" i="5"/>
  <c r="E545" i="5"/>
  <c r="R545" i="5"/>
  <c r="J545" i="5"/>
  <c r="N545" i="5"/>
  <c r="F545" i="5"/>
  <c r="M545" i="5"/>
  <c r="S545" i="5"/>
  <c r="G545" i="5"/>
  <c r="D545" i="5"/>
  <c r="K545" i="5"/>
  <c r="E563" i="5"/>
  <c r="M563" i="5"/>
  <c r="F563" i="5"/>
  <c r="Q563" i="5"/>
  <c r="G563" i="5"/>
  <c r="K563" i="5"/>
  <c r="H563" i="5"/>
  <c r="L563" i="5"/>
  <c r="N563" i="5"/>
  <c r="I563" i="5"/>
  <c r="P563" i="5"/>
  <c r="T563" i="5"/>
  <c r="J563" i="5"/>
  <c r="D563" i="5"/>
  <c r="S563" i="5"/>
  <c r="R563" i="5"/>
  <c r="O563" i="5"/>
  <c r="D412" i="5"/>
  <c r="D410" i="5"/>
  <c r="E410" i="5"/>
  <c r="F410" i="5"/>
  <c r="G410" i="5"/>
  <c r="H410" i="5"/>
  <c r="I410" i="5"/>
  <c r="J410" i="5"/>
  <c r="K410" i="5"/>
  <c r="L410" i="5"/>
  <c r="M410" i="5"/>
  <c r="N410" i="5"/>
  <c r="O410" i="5"/>
  <c r="P410" i="5"/>
  <c r="Q410" i="5"/>
  <c r="R410" i="5"/>
  <c r="S410" i="5"/>
  <c r="T410" i="5"/>
  <c r="T619" i="5"/>
  <c r="H685" i="5"/>
  <c r="H688" i="5"/>
  <c r="F109" i="1"/>
  <c r="T685" i="5"/>
  <c r="R619" i="5"/>
  <c r="R685" i="5"/>
  <c r="N685" i="5"/>
  <c r="G619" i="5"/>
  <c r="G622" i="5"/>
  <c r="T652" i="5"/>
  <c r="P652" i="5"/>
  <c r="L652" i="5"/>
  <c r="H652" i="5"/>
  <c r="H655" i="5"/>
  <c r="D685" i="5"/>
  <c r="Q685" i="5"/>
  <c r="E685" i="5"/>
  <c r="E688" i="5"/>
  <c r="D652" i="5"/>
  <c r="Q619" i="5"/>
  <c r="I619" i="5"/>
  <c r="I622" i="5"/>
  <c r="P685" i="5"/>
  <c r="N619" i="5"/>
  <c r="L619" i="5"/>
  <c r="F619" i="5"/>
  <c r="F622" i="5"/>
  <c r="D445" i="5"/>
  <c r="D443" i="5"/>
  <c r="E443" i="5"/>
  <c r="F443" i="5"/>
  <c r="G443" i="5"/>
  <c r="H443" i="5"/>
  <c r="I443" i="5"/>
  <c r="J443" i="5"/>
  <c r="K443" i="5"/>
  <c r="L443" i="5"/>
  <c r="M443" i="5"/>
  <c r="N443" i="5"/>
  <c r="O443" i="5"/>
  <c r="P443" i="5"/>
  <c r="Q443" i="5"/>
  <c r="R443" i="5"/>
  <c r="S443" i="5"/>
  <c r="T443" i="5"/>
  <c r="S685" i="5"/>
  <c r="M619" i="5"/>
  <c r="E619" i="5"/>
  <c r="P619" i="5"/>
  <c r="L685" i="5"/>
  <c r="J619" i="5"/>
  <c r="J622" i="5"/>
  <c r="H619" i="5"/>
  <c r="H622" i="5"/>
  <c r="J685" i="5"/>
  <c r="J688" i="5"/>
  <c r="F685" i="5"/>
  <c r="F688" i="5"/>
  <c r="D622" i="5"/>
  <c r="D620" i="5"/>
  <c r="O619" i="5"/>
  <c r="K619" i="5"/>
  <c r="O685" i="5"/>
  <c r="S619" i="5"/>
  <c r="M685" i="5"/>
  <c r="I685" i="5"/>
  <c r="I688" i="5"/>
  <c r="Q652" i="5"/>
  <c r="D313" i="5"/>
  <c r="D379" i="5"/>
  <c r="D377" i="5"/>
  <c r="E377" i="5"/>
  <c r="F377" i="5"/>
  <c r="G377" i="5"/>
  <c r="H377" i="5"/>
  <c r="I377" i="5"/>
  <c r="J377" i="5"/>
  <c r="K377" i="5"/>
  <c r="L377" i="5"/>
  <c r="M377" i="5"/>
  <c r="N377" i="5"/>
  <c r="O377" i="5"/>
  <c r="P377" i="5"/>
  <c r="Q377" i="5"/>
  <c r="R377" i="5"/>
  <c r="S377" i="5"/>
  <c r="T377" i="5"/>
  <c r="D72" i="5"/>
  <c r="F9" i="7"/>
  <c r="D344" i="5"/>
  <c r="E344" i="5"/>
  <c r="F344" i="5"/>
  <c r="G344" i="5"/>
  <c r="H344" i="5"/>
  <c r="I344" i="5"/>
  <c r="J344" i="5"/>
  <c r="K344" i="5"/>
  <c r="L344" i="5"/>
  <c r="M344" i="5"/>
  <c r="N344" i="5"/>
  <c r="O344" i="5"/>
  <c r="P344" i="5"/>
  <c r="Q344" i="5"/>
  <c r="R344" i="5"/>
  <c r="S344" i="5"/>
  <c r="T344" i="5"/>
  <c r="D346" i="5"/>
  <c r="D311" i="5"/>
  <c r="E311" i="5"/>
  <c r="F311" i="5"/>
  <c r="G311" i="5"/>
  <c r="H311" i="5"/>
  <c r="I311" i="5"/>
  <c r="J311" i="5"/>
  <c r="K311" i="5"/>
  <c r="L311" i="5"/>
  <c r="M311" i="5"/>
  <c r="N311" i="5"/>
  <c r="O311" i="5"/>
  <c r="P311" i="5"/>
  <c r="Q311" i="5"/>
  <c r="R311" i="5"/>
  <c r="S311" i="5"/>
  <c r="T311" i="5"/>
  <c r="Q277" i="5"/>
  <c r="E277" i="5"/>
  <c r="E280" i="5"/>
  <c r="T277" i="5"/>
  <c r="S277" i="5"/>
  <c r="K277" i="5"/>
  <c r="P277" i="5"/>
  <c r="N277" i="5"/>
  <c r="R277" i="5"/>
  <c r="D141" i="5"/>
  <c r="D139" i="5"/>
  <c r="E139" i="5"/>
  <c r="F139" i="5"/>
  <c r="G139" i="5"/>
  <c r="H139" i="5"/>
  <c r="I139" i="5"/>
  <c r="J139" i="5"/>
  <c r="K139" i="5"/>
  <c r="L139" i="5"/>
  <c r="M139" i="5"/>
  <c r="N139" i="5"/>
  <c r="O139" i="5"/>
  <c r="P139" i="5"/>
  <c r="Q139" i="5"/>
  <c r="R139" i="5"/>
  <c r="S139" i="5"/>
  <c r="T139" i="5"/>
  <c r="I277" i="5"/>
  <c r="I280" i="5"/>
  <c r="L277" i="5"/>
  <c r="M277" i="5"/>
  <c r="D277" i="5"/>
  <c r="O277" i="5"/>
  <c r="G277" i="5"/>
  <c r="G280" i="5"/>
  <c r="H277" i="5"/>
  <c r="H280" i="5"/>
  <c r="F277" i="5"/>
  <c r="F280" i="5"/>
  <c r="J277" i="5"/>
  <c r="J280" i="5"/>
  <c r="F108" i="5"/>
  <c r="D106" i="5"/>
  <c r="E106" i="5"/>
  <c r="F106" i="5"/>
  <c r="G106" i="5"/>
  <c r="H106" i="5"/>
  <c r="I106" i="5"/>
  <c r="J106" i="5"/>
  <c r="K106" i="5"/>
  <c r="L106" i="5"/>
  <c r="M106" i="5"/>
  <c r="N106" i="5"/>
  <c r="O106" i="5"/>
  <c r="P106" i="5"/>
  <c r="Q106" i="5"/>
  <c r="R106" i="5"/>
  <c r="S106" i="5"/>
  <c r="T106" i="5"/>
  <c r="D108" i="5"/>
  <c r="L72" i="5"/>
  <c r="L75" i="5"/>
  <c r="R72" i="5"/>
  <c r="J72" i="5"/>
  <c r="J75" i="5"/>
  <c r="Q72" i="5"/>
  <c r="M72" i="5"/>
  <c r="M75" i="5"/>
  <c r="I72" i="5"/>
  <c r="I75" i="5"/>
  <c r="E72" i="5"/>
  <c r="H72" i="5"/>
  <c r="H75" i="5"/>
  <c r="P72" i="5"/>
  <c r="T72" i="5"/>
  <c r="N72" i="5"/>
  <c r="F72" i="5"/>
  <c r="S72" i="5"/>
  <c r="O72" i="5"/>
  <c r="K72" i="5"/>
  <c r="K75" i="5"/>
  <c r="G72" i="5"/>
  <c r="G75" i="5"/>
  <c r="D586" i="5"/>
  <c r="D589" i="5"/>
  <c r="L553" i="5"/>
  <c r="Q553" i="5"/>
  <c r="T553" i="5"/>
  <c r="O586" i="5"/>
  <c r="S586" i="5"/>
  <c r="T586" i="5"/>
  <c r="I586" i="5"/>
  <c r="I589" i="5"/>
  <c r="L586" i="5"/>
  <c r="K586" i="5"/>
  <c r="Q586" i="5"/>
  <c r="M586" i="5"/>
  <c r="E586" i="5"/>
  <c r="E589" i="5"/>
  <c r="M553" i="5"/>
  <c r="F553" i="5"/>
  <c r="F556" i="5"/>
  <c r="K553" i="5"/>
  <c r="J553" i="5"/>
  <c r="J556" i="5"/>
  <c r="G553" i="5"/>
  <c r="G556" i="5"/>
  <c r="D553" i="5"/>
  <c r="D554" i="5"/>
  <c r="N553" i="5"/>
  <c r="R553" i="5"/>
  <c r="E553" i="5"/>
  <c r="E556" i="5"/>
  <c r="O553" i="5"/>
  <c r="S553" i="5"/>
  <c r="H553" i="5"/>
  <c r="H556" i="5"/>
  <c r="P553" i="5"/>
  <c r="I553" i="5"/>
  <c r="I556" i="5"/>
  <c r="R586" i="5"/>
  <c r="J586" i="5"/>
  <c r="J589" i="5"/>
  <c r="P586" i="5"/>
  <c r="N586" i="5"/>
  <c r="H586" i="5"/>
  <c r="H589" i="5"/>
  <c r="G586" i="5"/>
  <c r="G589" i="5"/>
  <c r="F586" i="5"/>
  <c r="F589" i="5"/>
  <c r="E622" i="5"/>
  <c r="E620" i="5"/>
  <c r="F620" i="5"/>
  <c r="G620" i="5"/>
  <c r="H620" i="5"/>
  <c r="I620" i="5"/>
  <c r="J620" i="5"/>
  <c r="K620" i="5"/>
  <c r="L620" i="5"/>
  <c r="M620" i="5"/>
  <c r="N620" i="5"/>
  <c r="O620" i="5"/>
  <c r="P620" i="5"/>
  <c r="Q620" i="5"/>
  <c r="R620" i="5"/>
  <c r="S620" i="5"/>
  <c r="T620" i="5"/>
  <c r="D686" i="5"/>
  <c r="E686" i="5"/>
  <c r="F686" i="5"/>
  <c r="G686" i="5"/>
  <c r="H686" i="5"/>
  <c r="I686" i="5"/>
  <c r="J686" i="5"/>
  <c r="K686" i="5"/>
  <c r="L686" i="5"/>
  <c r="M686" i="5"/>
  <c r="N686" i="5"/>
  <c r="O686" i="5"/>
  <c r="P686" i="5"/>
  <c r="Q686" i="5"/>
  <c r="R686" i="5"/>
  <c r="S686" i="5"/>
  <c r="T686" i="5"/>
  <c r="D688" i="5"/>
  <c r="D653" i="5"/>
  <c r="E653" i="5"/>
  <c r="F653" i="5"/>
  <c r="G653" i="5"/>
  <c r="H653" i="5"/>
  <c r="I653" i="5"/>
  <c r="J653" i="5"/>
  <c r="K653" i="5"/>
  <c r="L653" i="5"/>
  <c r="M653" i="5"/>
  <c r="N653" i="5"/>
  <c r="O653" i="5"/>
  <c r="P653" i="5"/>
  <c r="Q653" i="5"/>
  <c r="R653" i="5"/>
  <c r="S653" i="5"/>
  <c r="T653" i="5"/>
  <c r="D655" i="5"/>
  <c r="D73" i="5"/>
  <c r="E73" i="5"/>
  <c r="F73" i="5"/>
  <c r="G73" i="5"/>
  <c r="H73" i="5"/>
  <c r="I73" i="5"/>
  <c r="J73" i="5"/>
  <c r="D280" i="5"/>
  <c r="D278" i="5"/>
  <c r="E278" i="5"/>
  <c r="F278" i="5"/>
  <c r="G278" i="5"/>
  <c r="H278" i="5"/>
  <c r="I278" i="5"/>
  <c r="J278" i="5"/>
  <c r="K278" i="5"/>
  <c r="L278" i="5"/>
  <c r="M278" i="5"/>
  <c r="N278" i="5"/>
  <c r="O278" i="5"/>
  <c r="P278" i="5"/>
  <c r="Q278" i="5"/>
  <c r="R278" i="5"/>
  <c r="S278" i="5"/>
  <c r="T278" i="5"/>
  <c r="F75" i="5"/>
  <c r="E75" i="5"/>
  <c r="D75" i="5"/>
  <c r="D587" i="5"/>
  <c r="E587" i="5"/>
  <c r="F587" i="5"/>
  <c r="G587" i="5"/>
  <c r="H587" i="5"/>
  <c r="I587" i="5"/>
  <c r="J587" i="5"/>
  <c r="K587" i="5"/>
  <c r="L587" i="5"/>
  <c r="M587" i="5"/>
  <c r="N587" i="5"/>
  <c r="O587" i="5"/>
  <c r="P587" i="5"/>
  <c r="Q587" i="5"/>
  <c r="R587" i="5"/>
  <c r="S587" i="5"/>
  <c r="T587" i="5"/>
  <c r="D556" i="5"/>
  <c r="E554" i="5"/>
  <c r="F554" i="5"/>
  <c r="G554" i="5"/>
  <c r="H554" i="5"/>
  <c r="I554" i="5"/>
  <c r="J554" i="5"/>
  <c r="K554" i="5"/>
  <c r="L554" i="5"/>
  <c r="M554" i="5"/>
  <c r="N554" i="5"/>
  <c r="O554" i="5"/>
  <c r="P554" i="5"/>
  <c r="Q554" i="5"/>
  <c r="R554" i="5"/>
  <c r="S554" i="5"/>
  <c r="T554" i="5"/>
  <c r="K73" i="5"/>
  <c r="L73" i="5"/>
  <c r="M73" i="5"/>
  <c r="N73" i="5"/>
  <c r="O73" i="5"/>
  <c r="P73" i="5"/>
  <c r="Q73" i="5"/>
  <c r="R73" i="5"/>
  <c r="S73" i="5"/>
  <c r="T73" i="5"/>
  <c r="B253" i="5"/>
  <c r="A277" i="5"/>
  <c r="B254" i="5"/>
  <c r="C254" i="5"/>
  <c r="B255" i="5"/>
  <c r="C255" i="5"/>
  <c r="B256" i="5"/>
  <c r="C256" i="5"/>
  <c r="B257" i="5"/>
  <c r="C257" i="5"/>
  <c r="B258" i="5"/>
  <c r="C258" i="5"/>
  <c r="B259" i="5"/>
  <c r="C259" i="5"/>
  <c r="B260" i="5"/>
  <c r="C260" i="5"/>
  <c r="B261" i="5"/>
  <c r="C261" i="5"/>
  <c r="B262" i="5"/>
  <c r="C262" i="5"/>
  <c r="B263" i="5"/>
  <c r="C263" i="5"/>
  <c r="B264" i="5"/>
  <c r="C264" i="5"/>
  <c r="B265" i="5"/>
  <c r="C265" i="5"/>
  <c r="B266" i="5"/>
  <c r="C266" i="5"/>
  <c r="B267" i="5"/>
  <c r="C267" i="5"/>
  <c r="B268" i="5"/>
  <c r="C268" i="5"/>
  <c r="B269" i="5"/>
  <c r="C269" i="5"/>
  <c r="B270" i="5"/>
  <c r="C270" i="5"/>
  <c r="B271" i="5"/>
  <c r="C271" i="5"/>
  <c r="B272" i="5"/>
  <c r="C272" i="5"/>
  <c r="B273" i="5"/>
  <c r="C273" i="5"/>
  <c r="B274" i="5"/>
  <c r="C274" i="5"/>
  <c r="B275" i="5"/>
  <c r="C275" i="5"/>
  <c r="B276" i="5"/>
  <c r="C276" i="5"/>
  <c r="B48" i="5"/>
  <c r="A72" i="5"/>
  <c r="B49" i="5"/>
  <c r="C49" i="5"/>
  <c r="B51" i="5"/>
  <c r="C51" i="5"/>
  <c r="B53" i="5"/>
  <c r="C53" i="5"/>
  <c r="B55" i="5"/>
  <c r="C55" i="5"/>
  <c r="B57" i="5"/>
  <c r="C57" i="5"/>
  <c r="B59" i="5"/>
  <c r="C59" i="5"/>
  <c r="B61" i="5"/>
  <c r="C61" i="5"/>
  <c r="B63" i="5"/>
  <c r="C63" i="5"/>
  <c r="B65" i="5"/>
  <c r="C65" i="5"/>
  <c r="B67" i="5"/>
  <c r="C67" i="5"/>
  <c r="B71" i="5"/>
  <c r="C71" i="5"/>
  <c r="B52" i="5"/>
  <c r="C52" i="5"/>
  <c r="B56" i="5"/>
  <c r="C56" i="5"/>
  <c r="B60" i="5"/>
  <c r="C60" i="5"/>
  <c r="B64" i="5"/>
  <c r="C64" i="5"/>
  <c r="B68" i="5"/>
  <c r="C68" i="5"/>
  <c r="B69" i="5"/>
  <c r="C69" i="5"/>
  <c r="B50" i="5"/>
  <c r="C50" i="5"/>
  <c r="B54" i="5"/>
  <c r="C54" i="5"/>
  <c r="B58" i="5"/>
  <c r="C58" i="5"/>
  <c r="B62" i="5"/>
  <c r="C62" i="5"/>
  <c r="B66" i="5"/>
  <c r="C66" i="5"/>
  <c r="B70" i="5"/>
  <c r="C70" i="5"/>
  <c r="C48" i="5"/>
  <c r="A73" i="5"/>
  <c r="A278" i="5"/>
  <c r="C253" i="5"/>
  <c r="C483" i="5"/>
  <c r="O459" i="5"/>
  <c r="N459" i="5"/>
  <c r="B460" i="5"/>
  <c r="B462" i="5"/>
  <c r="B464" i="5"/>
  <c r="B466" i="5"/>
  <c r="B468" i="5"/>
  <c r="B470" i="5"/>
  <c r="B472" i="5"/>
  <c r="B474" i="5"/>
  <c r="B476" i="5"/>
  <c r="B478" i="5"/>
  <c r="B480" i="5"/>
  <c r="B459" i="5"/>
  <c r="B482" i="5"/>
  <c r="B461" i="5"/>
  <c r="B463" i="5"/>
  <c r="B465" i="5"/>
  <c r="B467" i="5"/>
  <c r="B469" i="5"/>
  <c r="B471" i="5"/>
  <c r="B473" i="5"/>
  <c r="B475" i="5"/>
  <c r="B477" i="5"/>
  <c r="B479" i="5"/>
  <c r="B481" i="5"/>
  <c r="C485" i="5"/>
  <c r="O483" i="5"/>
  <c r="S518" i="5"/>
  <c r="Q518" i="5"/>
  <c r="O518" i="5"/>
  <c r="M518" i="5"/>
  <c r="K518" i="5"/>
  <c r="I518" i="5"/>
  <c r="G518" i="5"/>
  <c r="E518" i="5"/>
  <c r="D518" i="5"/>
  <c r="T518" i="5"/>
  <c r="R518" i="5"/>
  <c r="P518" i="5"/>
  <c r="N518" i="5"/>
  <c r="L518" i="5"/>
  <c r="J518" i="5"/>
  <c r="H518" i="5"/>
  <c r="F518" i="5"/>
  <c r="S514" i="5"/>
  <c r="Q514" i="5"/>
  <c r="O514" i="5"/>
  <c r="M514" i="5"/>
  <c r="K514" i="5"/>
  <c r="I514" i="5"/>
  <c r="G514" i="5"/>
  <c r="E514" i="5"/>
  <c r="D514" i="5"/>
  <c r="T514" i="5"/>
  <c r="R514" i="5"/>
  <c r="P514" i="5"/>
  <c r="N514" i="5"/>
  <c r="L514" i="5"/>
  <c r="J514" i="5"/>
  <c r="H514" i="5"/>
  <c r="F514" i="5"/>
  <c r="S510" i="5"/>
  <c r="Q510" i="5"/>
  <c r="O510" i="5"/>
  <c r="M510" i="5"/>
  <c r="K510" i="5"/>
  <c r="I510" i="5"/>
  <c r="G510" i="5"/>
  <c r="E510" i="5"/>
  <c r="D510" i="5"/>
  <c r="T510" i="5"/>
  <c r="R510" i="5"/>
  <c r="P510" i="5"/>
  <c r="N510" i="5"/>
  <c r="L510" i="5"/>
  <c r="J510" i="5"/>
  <c r="H510" i="5"/>
  <c r="F510" i="5"/>
  <c r="S506" i="5"/>
  <c r="Q506" i="5"/>
  <c r="O506" i="5"/>
  <c r="M506" i="5"/>
  <c r="K506" i="5"/>
  <c r="I506" i="5"/>
  <c r="G506" i="5"/>
  <c r="E506" i="5"/>
  <c r="D506" i="5"/>
  <c r="R506" i="5"/>
  <c r="N506" i="5"/>
  <c r="J506" i="5"/>
  <c r="F506" i="5"/>
  <c r="T506" i="5"/>
  <c r="P506" i="5"/>
  <c r="L506" i="5"/>
  <c r="H506" i="5"/>
  <c r="S502" i="5"/>
  <c r="Q502" i="5"/>
  <c r="O502" i="5"/>
  <c r="M502" i="5"/>
  <c r="K502" i="5"/>
  <c r="I502" i="5"/>
  <c r="G502" i="5"/>
  <c r="E502" i="5"/>
  <c r="D502" i="5"/>
  <c r="T502" i="5"/>
  <c r="R502" i="5"/>
  <c r="P502" i="5"/>
  <c r="N502" i="5"/>
  <c r="L502" i="5"/>
  <c r="J502" i="5"/>
  <c r="H502" i="5"/>
  <c r="F502" i="5"/>
  <c r="S498" i="5"/>
  <c r="Q498" i="5"/>
  <c r="O498" i="5"/>
  <c r="M498" i="5"/>
  <c r="K498" i="5"/>
  <c r="I498" i="5"/>
  <c r="G498" i="5"/>
  <c r="E498" i="5"/>
  <c r="D498" i="5"/>
  <c r="T498" i="5"/>
  <c r="R498" i="5"/>
  <c r="P498" i="5"/>
  <c r="N498" i="5"/>
  <c r="L498" i="5"/>
  <c r="J498" i="5"/>
  <c r="H498" i="5"/>
  <c r="F498" i="5"/>
  <c r="S496" i="5"/>
  <c r="Q496" i="5"/>
  <c r="O496" i="5"/>
  <c r="M496" i="5"/>
  <c r="K496" i="5"/>
  <c r="I496" i="5"/>
  <c r="G496" i="5"/>
  <c r="E496" i="5"/>
  <c r="D496" i="5"/>
  <c r="T496" i="5"/>
  <c r="R496" i="5"/>
  <c r="P496" i="5"/>
  <c r="N496" i="5"/>
  <c r="L496" i="5"/>
  <c r="J496" i="5"/>
  <c r="H496" i="5"/>
  <c r="F496" i="5"/>
  <c r="T515" i="5"/>
  <c r="R515" i="5"/>
  <c r="P515" i="5"/>
  <c r="N515" i="5"/>
  <c r="L515" i="5"/>
  <c r="J515" i="5"/>
  <c r="H515" i="5"/>
  <c r="F515" i="5"/>
  <c r="D515" i="5"/>
  <c r="S515" i="5"/>
  <c r="Q515" i="5"/>
  <c r="O515" i="5"/>
  <c r="M515" i="5"/>
  <c r="K515" i="5"/>
  <c r="I515" i="5"/>
  <c r="G515" i="5"/>
  <c r="E515" i="5"/>
  <c r="T511" i="5"/>
  <c r="R511" i="5"/>
  <c r="P511" i="5"/>
  <c r="N511" i="5"/>
  <c r="L511" i="5"/>
  <c r="J511" i="5"/>
  <c r="H511" i="5"/>
  <c r="F511" i="5"/>
  <c r="D511" i="5"/>
  <c r="S511" i="5"/>
  <c r="Q511" i="5"/>
  <c r="O511" i="5"/>
  <c r="M511" i="5"/>
  <c r="K511" i="5"/>
  <c r="I511" i="5"/>
  <c r="G511" i="5"/>
  <c r="E511" i="5"/>
  <c r="T507" i="5"/>
  <c r="R507" i="5"/>
  <c r="P507" i="5"/>
  <c r="N507" i="5"/>
  <c r="L507" i="5"/>
  <c r="J507" i="5"/>
  <c r="H507" i="5"/>
  <c r="F507" i="5"/>
  <c r="I507" i="5"/>
  <c r="D507" i="5"/>
  <c r="S507" i="5"/>
  <c r="Q507" i="5"/>
  <c r="O507" i="5"/>
  <c r="M507" i="5"/>
  <c r="K507" i="5"/>
  <c r="G507" i="5"/>
  <c r="E507" i="5"/>
  <c r="T503" i="5"/>
  <c r="R503" i="5"/>
  <c r="P503" i="5"/>
  <c r="N503" i="5"/>
  <c r="L503" i="5"/>
  <c r="J503" i="5"/>
  <c r="H503" i="5"/>
  <c r="F503" i="5"/>
  <c r="S503" i="5"/>
  <c r="Q503" i="5"/>
  <c r="O503" i="5"/>
  <c r="M503" i="5"/>
  <c r="K503" i="5"/>
  <c r="I503" i="5"/>
  <c r="G503" i="5"/>
  <c r="E503" i="5"/>
  <c r="D503" i="5"/>
  <c r="T499" i="5"/>
  <c r="R499" i="5"/>
  <c r="P499" i="5"/>
  <c r="N499" i="5"/>
  <c r="L499" i="5"/>
  <c r="J499" i="5"/>
  <c r="H499" i="5"/>
  <c r="F499" i="5"/>
  <c r="S499" i="5"/>
  <c r="Q499" i="5"/>
  <c r="O499" i="5"/>
  <c r="M499" i="5"/>
  <c r="K499" i="5"/>
  <c r="I499" i="5"/>
  <c r="G499" i="5"/>
  <c r="E499" i="5"/>
  <c r="D499" i="5"/>
  <c r="S516" i="5"/>
  <c r="Q516" i="5"/>
  <c r="O516" i="5"/>
  <c r="M516" i="5"/>
  <c r="K516" i="5"/>
  <c r="I516" i="5"/>
  <c r="G516" i="5"/>
  <c r="E516" i="5"/>
  <c r="D516" i="5"/>
  <c r="T516" i="5"/>
  <c r="R516" i="5"/>
  <c r="P516" i="5"/>
  <c r="N516" i="5"/>
  <c r="L516" i="5"/>
  <c r="J516" i="5"/>
  <c r="H516" i="5"/>
  <c r="F516" i="5"/>
  <c r="S512" i="5"/>
  <c r="Q512" i="5"/>
  <c r="O512" i="5"/>
  <c r="M512" i="5"/>
  <c r="K512" i="5"/>
  <c r="I512" i="5"/>
  <c r="G512" i="5"/>
  <c r="E512" i="5"/>
  <c r="D512" i="5"/>
  <c r="T512" i="5"/>
  <c r="R512" i="5"/>
  <c r="P512" i="5"/>
  <c r="N512" i="5"/>
  <c r="L512" i="5"/>
  <c r="J512" i="5"/>
  <c r="H512" i="5"/>
  <c r="F512" i="5"/>
  <c r="S508" i="5"/>
  <c r="Q508" i="5"/>
  <c r="O508" i="5"/>
  <c r="M508" i="5"/>
  <c r="K508" i="5"/>
  <c r="I508" i="5"/>
  <c r="G508" i="5"/>
  <c r="E508" i="5"/>
  <c r="D508" i="5"/>
  <c r="T508" i="5"/>
  <c r="R508" i="5"/>
  <c r="P508" i="5"/>
  <c r="N508" i="5"/>
  <c r="L508" i="5"/>
  <c r="J508" i="5"/>
  <c r="H508" i="5"/>
  <c r="F508" i="5"/>
  <c r="S504" i="5"/>
  <c r="Q504" i="5"/>
  <c r="O504" i="5"/>
  <c r="M504" i="5"/>
  <c r="K504" i="5"/>
  <c r="I504" i="5"/>
  <c r="G504" i="5"/>
  <c r="E504" i="5"/>
  <c r="D504" i="5"/>
  <c r="T504" i="5"/>
  <c r="R504" i="5"/>
  <c r="P504" i="5"/>
  <c r="N504" i="5"/>
  <c r="L504" i="5"/>
  <c r="J504" i="5"/>
  <c r="H504" i="5"/>
  <c r="F504" i="5"/>
  <c r="S500" i="5"/>
  <c r="Q500" i="5"/>
  <c r="O500" i="5"/>
  <c r="M500" i="5"/>
  <c r="K500" i="5"/>
  <c r="I500" i="5"/>
  <c r="G500" i="5"/>
  <c r="E500" i="5"/>
  <c r="D500" i="5"/>
  <c r="T500" i="5"/>
  <c r="R500" i="5"/>
  <c r="P500" i="5"/>
  <c r="N500" i="5"/>
  <c r="L500" i="5"/>
  <c r="J500" i="5"/>
  <c r="H500" i="5"/>
  <c r="F500" i="5"/>
  <c r="T519" i="5"/>
  <c r="R519" i="5"/>
  <c r="P519" i="5"/>
  <c r="N519" i="5"/>
  <c r="L519" i="5"/>
  <c r="J519" i="5"/>
  <c r="H519" i="5"/>
  <c r="F519" i="5"/>
  <c r="D519" i="5"/>
  <c r="S519" i="5"/>
  <c r="Q519" i="5"/>
  <c r="O519" i="5"/>
  <c r="M519" i="5"/>
  <c r="K519" i="5"/>
  <c r="I519" i="5"/>
  <c r="G519" i="5"/>
  <c r="E519" i="5"/>
  <c r="T517" i="5"/>
  <c r="R517" i="5"/>
  <c r="P517" i="5"/>
  <c r="N517" i="5"/>
  <c r="L517" i="5"/>
  <c r="J517" i="5"/>
  <c r="H517" i="5"/>
  <c r="F517" i="5"/>
  <c r="D517" i="5"/>
  <c r="S517" i="5"/>
  <c r="Q517" i="5"/>
  <c r="O517" i="5"/>
  <c r="M517" i="5"/>
  <c r="K517" i="5"/>
  <c r="I517" i="5"/>
  <c r="G517" i="5"/>
  <c r="E517" i="5"/>
  <c r="T513" i="5"/>
  <c r="R513" i="5"/>
  <c r="P513" i="5"/>
  <c r="N513" i="5"/>
  <c r="L513" i="5"/>
  <c r="J513" i="5"/>
  <c r="H513" i="5"/>
  <c r="F513" i="5"/>
  <c r="D513" i="5"/>
  <c r="S513" i="5"/>
  <c r="Q513" i="5"/>
  <c r="O513" i="5"/>
  <c r="M513" i="5"/>
  <c r="K513" i="5"/>
  <c r="I513" i="5"/>
  <c r="G513" i="5"/>
  <c r="E513" i="5"/>
  <c r="T509" i="5"/>
  <c r="R509" i="5"/>
  <c r="P509" i="5"/>
  <c r="N509" i="5"/>
  <c r="L509" i="5"/>
  <c r="J509" i="5"/>
  <c r="H509" i="5"/>
  <c r="F509" i="5"/>
  <c r="D509" i="5"/>
  <c r="S509" i="5"/>
  <c r="Q509" i="5"/>
  <c r="O509" i="5"/>
  <c r="M509" i="5"/>
  <c r="K509" i="5"/>
  <c r="I509" i="5"/>
  <c r="G509" i="5"/>
  <c r="E509" i="5"/>
  <c r="T505" i="5"/>
  <c r="R505" i="5"/>
  <c r="P505" i="5"/>
  <c r="N505" i="5"/>
  <c r="L505" i="5"/>
  <c r="J505" i="5"/>
  <c r="H505" i="5"/>
  <c r="F505" i="5"/>
  <c r="S505" i="5"/>
  <c r="O505" i="5"/>
  <c r="M505" i="5"/>
  <c r="K505" i="5"/>
  <c r="I505" i="5"/>
  <c r="G505" i="5"/>
  <c r="E505" i="5"/>
  <c r="D505" i="5"/>
  <c r="Q505" i="5"/>
  <c r="T501" i="5"/>
  <c r="R501" i="5"/>
  <c r="P501" i="5"/>
  <c r="N501" i="5"/>
  <c r="L501" i="5"/>
  <c r="J501" i="5"/>
  <c r="H501" i="5"/>
  <c r="F501" i="5"/>
  <c r="S501" i="5"/>
  <c r="Q501" i="5"/>
  <c r="O501" i="5"/>
  <c r="M501" i="5"/>
  <c r="K501" i="5"/>
  <c r="I501" i="5"/>
  <c r="G501" i="5"/>
  <c r="E501" i="5"/>
  <c r="D501" i="5"/>
  <c r="T497" i="5"/>
  <c r="R497" i="5"/>
  <c r="P497" i="5"/>
  <c r="N497" i="5"/>
  <c r="L497" i="5"/>
  <c r="J497" i="5"/>
  <c r="H497" i="5"/>
  <c r="F497" i="5"/>
  <c r="S497" i="5"/>
  <c r="Q497" i="5"/>
  <c r="O497" i="5"/>
  <c r="M497" i="5"/>
  <c r="K497" i="5"/>
  <c r="I497" i="5"/>
  <c r="G497" i="5"/>
  <c r="E497" i="5"/>
  <c r="D497" i="5"/>
  <c r="B483" i="5"/>
  <c r="O485" i="5"/>
  <c r="N483" i="5"/>
  <c r="J520" i="5"/>
  <c r="J523" i="5"/>
  <c r="R520" i="5"/>
  <c r="L520" i="5"/>
  <c r="H520" i="5"/>
  <c r="H523" i="5"/>
  <c r="P520" i="5"/>
  <c r="K520" i="5"/>
  <c r="E520" i="5"/>
  <c r="E523" i="5"/>
  <c r="M520" i="5"/>
  <c r="T520" i="5"/>
  <c r="O520" i="5"/>
  <c r="G520" i="5"/>
  <c r="G523" i="5"/>
  <c r="S520" i="5"/>
  <c r="Q520" i="5"/>
  <c r="D520" i="5"/>
  <c r="D521" i="5"/>
  <c r="F520" i="5"/>
  <c r="F523" i="5"/>
  <c r="N520" i="5"/>
  <c r="I520" i="5"/>
  <c r="I523" i="5"/>
  <c r="E521" i="5"/>
  <c r="F521" i="5"/>
  <c r="G521" i="5"/>
  <c r="H521" i="5"/>
  <c r="I521" i="5"/>
  <c r="J521" i="5"/>
  <c r="K521" i="5"/>
  <c r="L521" i="5"/>
  <c r="M521" i="5"/>
  <c r="N521" i="5"/>
  <c r="O521" i="5"/>
  <c r="P521" i="5"/>
  <c r="Q521" i="5"/>
  <c r="R521" i="5"/>
  <c r="S521" i="5"/>
  <c r="T521" i="5"/>
  <c r="D523" i="5"/>
  <c r="Y22" i="1"/>
  <c r="Y57" i="1"/>
  <c r="Y29" i="1"/>
  <c r="Y68" i="1"/>
  <c r="U618" i="5"/>
  <c r="U597" i="5"/>
  <c r="U167" i="5"/>
  <c r="Y58" i="1"/>
  <c r="Y31" i="1"/>
  <c r="U230" i="5"/>
  <c r="U235" i="5"/>
  <c r="U164" i="5"/>
  <c r="U170" i="5"/>
  <c r="Y56" i="1"/>
  <c r="U354" i="5"/>
  <c r="Y59" i="1"/>
  <c r="Y70" i="1"/>
  <c r="Z21" i="1"/>
  <c r="Y28" i="1"/>
  <c r="Y54" i="1"/>
  <c r="Y67" i="1"/>
  <c r="U418" i="5"/>
  <c r="U661" i="5"/>
  <c r="Y108" i="1"/>
  <c r="U424" i="5"/>
  <c r="U425" i="5"/>
  <c r="U680" i="5"/>
  <c r="U676" i="5"/>
  <c r="U436" i="5"/>
  <c r="U430" i="5"/>
  <c r="U427" i="5"/>
  <c r="U675" i="5"/>
  <c r="U672" i="5"/>
  <c r="U669" i="5"/>
  <c r="U665" i="5"/>
  <c r="U420" i="5"/>
  <c r="U423" i="5"/>
  <c r="U421" i="5"/>
  <c r="U673" i="5"/>
  <c r="U681" i="5"/>
  <c r="U419" i="5"/>
  <c r="U429" i="5"/>
  <c r="U674" i="5"/>
  <c r="U441" i="5"/>
  <c r="U433" i="5"/>
  <c r="U667" i="5"/>
  <c r="U437" i="5"/>
  <c r="U666" i="5"/>
  <c r="U439" i="5"/>
  <c r="U440" i="5"/>
  <c r="U431" i="5"/>
  <c r="U435" i="5"/>
  <c r="U438" i="5"/>
  <c r="U428" i="5"/>
  <c r="U663" i="5"/>
  <c r="U671" i="5"/>
  <c r="U664" i="5"/>
  <c r="U683" i="5"/>
  <c r="Y81" i="1"/>
  <c r="U422" i="5"/>
  <c r="U678" i="5"/>
  <c r="U432" i="5"/>
  <c r="U677" i="5"/>
  <c r="U682" i="5"/>
  <c r="U426" i="5"/>
  <c r="U434" i="5"/>
  <c r="U670" i="5"/>
  <c r="U662" i="5"/>
  <c r="U684" i="5"/>
  <c r="U668" i="5"/>
  <c r="U679" i="5"/>
  <c r="Y30" i="1"/>
  <c r="Y69" i="1"/>
  <c r="U114" i="5"/>
  <c r="U121" i="5"/>
  <c r="U122" i="5"/>
  <c r="U118" i="5"/>
  <c r="U137" i="5"/>
  <c r="U135" i="5"/>
  <c r="U132" i="5"/>
  <c r="U136" i="5"/>
  <c r="U134" i="5"/>
  <c r="U123" i="5"/>
  <c r="U133" i="5"/>
  <c r="U128" i="5"/>
  <c r="U119" i="5"/>
  <c r="U115" i="5"/>
  <c r="U131" i="5"/>
  <c r="U129" i="5"/>
  <c r="U116" i="5"/>
  <c r="U117" i="5"/>
  <c r="U120" i="5"/>
  <c r="U126" i="5"/>
  <c r="U130" i="5"/>
  <c r="U127" i="5"/>
  <c r="U124" i="5"/>
  <c r="U125" i="5"/>
  <c r="U148" i="5"/>
  <c r="U220" i="5"/>
  <c r="U609" i="5"/>
  <c r="U361" i="5"/>
  <c r="Y106" i="1"/>
  <c r="U375" i="5"/>
  <c r="U595" i="5"/>
  <c r="U352" i="5"/>
  <c r="U367" i="5"/>
  <c r="U357" i="5"/>
  <c r="U368" i="5"/>
  <c r="U360" i="5"/>
  <c r="Y79" i="1"/>
  <c r="U366" i="5"/>
  <c r="U362" i="5"/>
  <c r="U605" i="5"/>
  <c r="U363" i="5"/>
  <c r="U613" i="5"/>
  <c r="U213" i="5"/>
  <c r="U236" i="5"/>
  <c r="U216" i="5"/>
  <c r="U229" i="5"/>
  <c r="U215" i="5"/>
  <c r="U224" i="5"/>
  <c r="U222" i="5"/>
  <c r="U355" i="5"/>
  <c r="Y26" i="1"/>
  <c r="U600" i="5"/>
  <c r="U225" i="5"/>
  <c r="U353" i="5"/>
  <c r="U154" i="5"/>
  <c r="U223" i="5"/>
  <c r="U608" i="5"/>
  <c r="U616" i="5"/>
  <c r="U372" i="5"/>
  <c r="U214" i="5"/>
  <c r="U158" i="5"/>
  <c r="U160" i="5"/>
  <c r="U370" i="5"/>
  <c r="U596" i="5"/>
  <c r="U373" i="5"/>
  <c r="U371" i="5"/>
  <c r="U218" i="5"/>
  <c r="U610" i="5"/>
  <c r="U369" i="5"/>
  <c r="U227" i="5"/>
  <c r="U617" i="5"/>
  <c r="U359" i="5"/>
  <c r="U356" i="5"/>
  <c r="U606" i="5"/>
  <c r="U166" i="5"/>
  <c r="AA19" i="1"/>
  <c r="Z22" i="1"/>
  <c r="U147" i="5"/>
  <c r="U156" i="5"/>
  <c r="U165" i="5"/>
  <c r="U169" i="5"/>
  <c r="U153" i="5"/>
  <c r="U159" i="5"/>
  <c r="U168" i="5"/>
  <c r="U163" i="5"/>
  <c r="U161" i="5"/>
  <c r="U152" i="5"/>
  <c r="U149" i="5"/>
  <c r="U228" i="5"/>
  <c r="U611" i="5"/>
  <c r="AA21" i="1"/>
  <c r="Y55" i="1"/>
  <c r="Y27" i="1"/>
  <c r="Y66" i="1"/>
  <c r="U607" i="5"/>
  <c r="U151" i="5"/>
  <c r="U612" i="5"/>
  <c r="U365" i="5"/>
  <c r="U233" i="5"/>
  <c r="U604" i="5"/>
  <c r="U358" i="5"/>
  <c r="U374" i="5"/>
  <c r="U162" i="5"/>
  <c r="U219" i="5"/>
  <c r="U226" i="5"/>
  <c r="U221" i="5"/>
  <c r="U217" i="5"/>
  <c r="U232" i="5"/>
  <c r="U602" i="5"/>
  <c r="U614" i="5"/>
  <c r="U615" i="5"/>
  <c r="U603" i="5"/>
  <c r="U599" i="5"/>
  <c r="U157" i="5"/>
  <c r="U150" i="5"/>
  <c r="U598" i="5"/>
  <c r="U601" i="5"/>
  <c r="U234" i="5"/>
  <c r="U155" i="5"/>
  <c r="U364" i="5"/>
  <c r="U231" i="5"/>
  <c r="U628" i="5"/>
  <c r="U385" i="5"/>
  <c r="U391" i="5"/>
  <c r="U393" i="5"/>
  <c r="U407" i="5"/>
  <c r="U396" i="5"/>
  <c r="U403" i="5"/>
  <c r="U394" i="5"/>
  <c r="U387" i="5"/>
  <c r="U389" i="5"/>
  <c r="U390" i="5"/>
  <c r="U399" i="5"/>
  <c r="U400" i="5"/>
  <c r="U644" i="5"/>
  <c r="U397" i="5"/>
  <c r="U633" i="5"/>
  <c r="U645" i="5"/>
  <c r="U638" i="5"/>
  <c r="U398" i="5"/>
  <c r="U388" i="5"/>
  <c r="U406" i="5"/>
  <c r="U395" i="5"/>
  <c r="U632" i="5"/>
  <c r="U651" i="5"/>
  <c r="U647" i="5"/>
  <c r="U643" i="5"/>
  <c r="U629" i="5"/>
  <c r="U639" i="5"/>
  <c r="Y107" i="1"/>
  <c r="U630" i="5"/>
  <c r="U641" i="5"/>
  <c r="U634" i="5"/>
  <c r="U386" i="5"/>
  <c r="U401" i="5"/>
  <c r="U631" i="5"/>
  <c r="U640" i="5"/>
  <c r="U408" i="5"/>
  <c r="U648" i="5"/>
  <c r="U650" i="5"/>
  <c r="U637" i="5"/>
  <c r="U649" i="5"/>
  <c r="U646" i="5"/>
  <c r="U405" i="5"/>
  <c r="Y80" i="1"/>
  <c r="U642" i="5"/>
  <c r="U635" i="5"/>
  <c r="U404" i="5"/>
  <c r="U402" i="5"/>
  <c r="U392" i="5"/>
  <c r="U636" i="5"/>
  <c r="U81" i="5"/>
  <c r="U84" i="5"/>
  <c r="U86" i="5"/>
  <c r="U88" i="5"/>
  <c r="U87" i="5"/>
  <c r="U104" i="5"/>
  <c r="U92" i="5"/>
  <c r="U89" i="5"/>
  <c r="U101" i="5"/>
  <c r="U90" i="5"/>
  <c r="U96" i="5"/>
  <c r="U97" i="5"/>
  <c r="U95" i="5"/>
  <c r="U102" i="5"/>
  <c r="U100" i="5"/>
  <c r="U94" i="5"/>
  <c r="U91" i="5"/>
  <c r="U103" i="5"/>
  <c r="U85" i="5"/>
  <c r="U82" i="5"/>
  <c r="U93" i="5"/>
  <c r="U98" i="5"/>
  <c r="U99" i="5"/>
  <c r="U83" i="5"/>
  <c r="Z55" i="1"/>
  <c r="Z27" i="1"/>
  <c r="Z66" i="1"/>
  <c r="Z29" i="1"/>
  <c r="Z58" i="1"/>
  <c r="Z30" i="1"/>
  <c r="Z69" i="1"/>
  <c r="Z28" i="1"/>
  <c r="Z31" i="1"/>
  <c r="Z26" i="1"/>
  <c r="Z59" i="1"/>
  <c r="Z70" i="1"/>
  <c r="Z57" i="1"/>
  <c r="Z68" i="1"/>
  <c r="Z56" i="1"/>
  <c r="Z54" i="1"/>
  <c r="U442" i="5"/>
  <c r="AB21" i="1"/>
  <c r="AA22" i="1"/>
  <c r="U376" i="5"/>
  <c r="U138" i="5"/>
  <c r="U180" i="5"/>
  <c r="U200" i="5"/>
  <c r="U198" i="5"/>
  <c r="U189" i="5"/>
  <c r="U201" i="5"/>
  <c r="U195" i="5"/>
  <c r="U188" i="5"/>
  <c r="U181" i="5"/>
  <c r="U191" i="5"/>
  <c r="U199" i="5"/>
  <c r="U194" i="5"/>
  <c r="U187" i="5"/>
  <c r="U186" i="5"/>
  <c r="U202" i="5"/>
  <c r="U196" i="5"/>
  <c r="U203" i="5"/>
  <c r="U193" i="5"/>
  <c r="U184" i="5"/>
  <c r="U182" i="5"/>
  <c r="U192" i="5"/>
  <c r="U197" i="5"/>
  <c r="U183" i="5"/>
  <c r="U190" i="5"/>
  <c r="U185" i="5"/>
  <c r="Y60" i="1"/>
  <c r="U171" i="5"/>
  <c r="U619" i="5"/>
  <c r="U286" i="5"/>
  <c r="U529" i="5"/>
  <c r="U295" i="5"/>
  <c r="U301" i="5"/>
  <c r="U296" i="5"/>
  <c r="U305" i="5"/>
  <c r="U539" i="5"/>
  <c r="U548" i="5"/>
  <c r="U307" i="5"/>
  <c r="U533" i="5"/>
  <c r="Y77" i="1"/>
  <c r="U290" i="5"/>
  <c r="U543" i="5"/>
  <c r="U302" i="5"/>
  <c r="U532" i="5"/>
  <c r="U287" i="5"/>
  <c r="U304" i="5"/>
  <c r="U531" i="5"/>
  <c r="U297" i="5"/>
  <c r="Y104" i="1"/>
  <c r="U289" i="5"/>
  <c r="U294" i="5"/>
  <c r="U542" i="5"/>
  <c r="U540" i="5"/>
  <c r="U547" i="5"/>
  <c r="U534" i="5"/>
  <c r="U535" i="5"/>
  <c r="U298" i="5"/>
  <c r="U538" i="5"/>
  <c r="U291" i="5"/>
  <c r="U541" i="5"/>
  <c r="U537" i="5"/>
  <c r="U293" i="5"/>
  <c r="U308" i="5"/>
  <c r="U546" i="5"/>
  <c r="U303" i="5"/>
  <c r="U300" i="5"/>
  <c r="U549" i="5"/>
  <c r="U288" i="5"/>
  <c r="U544" i="5"/>
  <c r="U299" i="5"/>
  <c r="U309" i="5"/>
  <c r="U545" i="5"/>
  <c r="U292" i="5"/>
  <c r="U550" i="5"/>
  <c r="U552" i="5"/>
  <c r="U306" i="5"/>
  <c r="U551" i="5"/>
  <c r="U536" i="5"/>
  <c r="U530" i="5"/>
  <c r="Y32" i="1"/>
  <c r="U48" i="5"/>
  <c r="U64" i="5"/>
  <c r="U71" i="5"/>
  <c r="U70" i="5"/>
  <c r="U60" i="5"/>
  <c r="U53" i="5"/>
  <c r="U49" i="5"/>
  <c r="U63" i="5"/>
  <c r="U66" i="5"/>
  <c r="U68" i="5"/>
  <c r="U51" i="5"/>
  <c r="U67" i="5"/>
  <c r="U50" i="5"/>
  <c r="U56" i="5"/>
  <c r="U54" i="5"/>
  <c r="U61" i="5"/>
  <c r="U58" i="5"/>
  <c r="Y65" i="1"/>
  <c r="U55" i="5"/>
  <c r="U69" i="5"/>
  <c r="U57" i="5"/>
  <c r="U59" i="5"/>
  <c r="U65" i="5"/>
  <c r="U52" i="5"/>
  <c r="U62" i="5"/>
  <c r="U237" i="5"/>
  <c r="U685" i="5"/>
  <c r="U319" i="5"/>
  <c r="U562" i="5"/>
  <c r="U329" i="5"/>
  <c r="U326" i="5"/>
  <c r="U323" i="5"/>
  <c r="U334" i="5"/>
  <c r="U324" i="5"/>
  <c r="U341" i="5"/>
  <c r="U342" i="5"/>
  <c r="U585" i="5"/>
  <c r="Y105" i="1"/>
  <c r="U331" i="5"/>
  <c r="U568" i="5"/>
  <c r="U333" i="5"/>
  <c r="U320" i="5"/>
  <c r="U579" i="5"/>
  <c r="U574" i="5"/>
  <c r="U332" i="5"/>
  <c r="U322" i="5"/>
  <c r="U563" i="5"/>
  <c r="U581" i="5"/>
  <c r="U578" i="5"/>
  <c r="U571" i="5"/>
  <c r="U583" i="5"/>
  <c r="U325" i="5"/>
  <c r="U580" i="5"/>
  <c r="U577" i="5"/>
  <c r="U569" i="5"/>
  <c r="U576" i="5"/>
  <c r="U337" i="5"/>
  <c r="U338" i="5"/>
  <c r="U321" i="5"/>
  <c r="U339" i="5"/>
  <c r="Y78" i="1"/>
  <c r="U327" i="5"/>
  <c r="U336" i="5"/>
  <c r="U566" i="5"/>
  <c r="U572" i="5"/>
  <c r="U330" i="5"/>
  <c r="U335" i="5"/>
  <c r="U328" i="5"/>
  <c r="U573" i="5"/>
  <c r="U567" i="5"/>
  <c r="U570" i="5"/>
  <c r="U575" i="5"/>
  <c r="U584" i="5"/>
  <c r="U564" i="5"/>
  <c r="U565" i="5"/>
  <c r="U340" i="5"/>
  <c r="U582" i="5"/>
  <c r="U686" i="5"/>
  <c r="Y71" i="1"/>
  <c r="Y82" i="1"/>
  <c r="U253" i="5"/>
  <c r="U274" i="5"/>
  <c r="U268" i="5"/>
  <c r="U273" i="5"/>
  <c r="U257" i="5"/>
  <c r="Y76" i="1"/>
  <c r="U259" i="5"/>
  <c r="U266" i="5"/>
  <c r="U254" i="5"/>
  <c r="U515" i="5"/>
  <c r="U261" i="5"/>
  <c r="U269" i="5"/>
  <c r="U260" i="5"/>
  <c r="U504" i="5"/>
  <c r="U264" i="5"/>
  <c r="U502" i="5"/>
  <c r="U509" i="5"/>
  <c r="U498" i="5"/>
  <c r="U271" i="5"/>
  <c r="U500" i="5"/>
  <c r="U255" i="5"/>
  <c r="U256" i="5"/>
  <c r="U518" i="5"/>
  <c r="U499" i="5"/>
  <c r="U496" i="5"/>
  <c r="U258" i="5"/>
  <c r="U508" i="5"/>
  <c r="U276" i="5"/>
  <c r="U270" i="5"/>
  <c r="U517" i="5"/>
  <c r="U513" i="5"/>
  <c r="U511" i="5"/>
  <c r="U512" i="5"/>
  <c r="U263" i="5"/>
  <c r="Y103" i="1"/>
  <c r="U497" i="5"/>
  <c r="U510" i="5"/>
  <c r="U267" i="5"/>
  <c r="U265" i="5"/>
  <c r="U501" i="5"/>
  <c r="U503" i="5"/>
  <c r="U514" i="5"/>
  <c r="U262" i="5"/>
  <c r="U507" i="5"/>
  <c r="U272" i="5"/>
  <c r="U505" i="5"/>
  <c r="U516" i="5"/>
  <c r="U275" i="5"/>
  <c r="U506" i="5"/>
  <c r="U519" i="5"/>
  <c r="U310" i="5"/>
  <c r="U204" i="5"/>
  <c r="U377" i="5"/>
  <c r="Z60" i="1"/>
  <c r="Z65" i="1"/>
  <c r="V66" i="5"/>
  <c r="V63" i="5"/>
  <c r="V54" i="5"/>
  <c r="V60" i="5"/>
  <c r="V68" i="5"/>
  <c r="V71" i="5"/>
  <c r="V49" i="5"/>
  <c r="V56" i="5"/>
  <c r="V61" i="5"/>
  <c r="V59" i="5"/>
  <c r="V62" i="5"/>
  <c r="V57" i="5"/>
  <c r="V52" i="5"/>
  <c r="V64" i="5"/>
  <c r="V69" i="5"/>
  <c r="Z32" i="1"/>
  <c r="V51" i="5"/>
  <c r="V65" i="5"/>
  <c r="V53" i="5"/>
  <c r="V50" i="5"/>
  <c r="V70" i="5"/>
  <c r="V58" i="5"/>
  <c r="V67" i="5"/>
  <c r="V48" i="5"/>
  <c r="V55" i="5"/>
  <c r="V72" i="5"/>
  <c r="V387" i="5"/>
  <c r="V397" i="5"/>
  <c r="V401" i="5"/>
  <c r="V637" i="5"/>
  <c r="V632" i="5"/>
  <c r="V393" i="5"/>
  <c r="V389" i="5"/>
  <c r="V394" i="5"/>
  <c r="V631" i="5"/>
  <c r="V639" i="5"/>
  <c r="V635" i="5"/>
  <c r="V408" i="5"/>
  <c r="V647" i="5"/>
  <c r="V642" i="5"/>
  <c r="V386" i="5"/>
  <c r="V651" i="5"/>
  <c r="V405" i="5"/>
  <c r="V645" i="5"/>
  <c r="V403" i="5"/>
  <c r="Z107" i="1"/>
  <c r="V636" i="5"/>
  <c r="V398" i="5"/>
  <c r="V404" i="5"/>
  <c r="V630" i="5"/>
  <c r="V638" i="5"/>
  <c r="V391" i="5"/>
  <c r="V399" i="5"/>
  <c r="V633" i="5"/>
  <c r="V396" i="5"/>
  <c r="V402" i="5"/>
  <c r="V400" i="5"/>
  <c r="V392" i="5"/>
  <c r="V648" i="5"/>
  <c r="V406" i="5"/>
  <c r="V643" i="5"/>
  <c r="V646" i="5"/>
  <c r="V388" i="5"/>
  <c r="V395" i="5"/>
  <c r="V649" i="5"/>
  <c r="V650" i="5"/>
  <c r="V629" i="5"/>
  <c r="V390" i="5"/>
  <c r="V407" i="5"/>
  <c r="V641" i="5"/>
  <c r="V644" i="5"/>
  <c r="V634" i="5"/>
  <c r="V640" i="5"/>
  <c r="Z80" i="1"/>
  <c r="V385" i="5"/>
  <c r="V628" i="5"/>
  <c r="U105" i="5"/>
  <c r="U409" i="5"/>
  <c r="U172" i="5"/>
  <c r="U586" i="5"/>
  <c r="U443" i="5"/>
  <c r="Z67" i="1"/>
  <c r="V228" i="5"/>
  <c r="V226" i="5"/>
  <c r="V231" i="5"/>
  <c r="V222" i="5"/>
  <c r="V218" i="5"/>
  <c r="V215" i="5"/>
  <c r="V230" i="5"/>
  <c r="V233" i="5"/>
  <c r="V223" i="5"/>
  <c r="V232" i="5"/>
  <c r="V229" i="5"/>
  <c r="V224" i="5"/>
  <c r="V227" i="5"/>
  <c r="V217" i="5"/>
  <c r="V214" i="5"/>
  <c r="V220" i="5"/>
  <c r="V235" i="5"/>
  <c r="V216" i="5"/>
  <c r="V225" i="5"/>
  <c r="V234" i="5"/>
  <c r="V219" i="5"/>
  <c r="V236" i="5"/>
  <c r="V221" i="5"/>
  <c r="V213" i="5"/>
  <c r="V155" i="5"/>
  <c r="V170" i="5"/>
  <c r="V156" i="5"/>
  <c r="V161" i="5"/>
  <c r="V150" i="5"/>
  <c r="V165" i="5"/>
  <c r="V149" i="5"/>
  <c r="V166" i="5"/>
  <c r="V167" i="5"/>
  <c r="V162" i="5"/>
  <c r="V169" i="5"/>
  <c r="V158" i="5"/>
  <c r="V154" i="5"/>
  <c r="V148" i="5"/>
  <c r="V164" i="5"/>
  <c r="V151" i="5"/>
  <c r="V153" i="5"/>
  <c r="V152" i="5"/>
  <c r="V168" i="5"/>
  <c r="V163" i="5"/>
  <c r="V159" i="5"/>
  <c r="V160" i="5"/>
  <c r="V157" i="5"/>
  <c r="V147" i="5"/>
  <c r="U652" i="5"/>
  <c r="U343" i="5"/>
  <c r="U238" i="5"/>
  <c r="U72" i="5"/>
  <c r="U620" i="5"/>
  <c r="U139" i="5"/>
  <c r="AA30" i="1"/>
  <c r="AA28" i="1"/>
  <c r="AA26" i="1"/>
  <c r="AA57" i="1"/>
  <c r="AA54" i="1"/>
  <c r="AA31" i="1"/>
  <c r="AA55" i="1"/>
  <c r="AA29" i="1"/>
  <c r="AA58" i="1"/>
  <c r="AA69" i="1"/>
  <c r="AA56" i="1"/>
  <c r="AA67" i="1"/>
  <c r="AA27" i="1"/>
  <c r="AA59" i="1"/>
  <c r="AA70" i="1"/>
  <c r="V372" i="5"/>
  <c r="V607" i="5"/>
  <c r="Z79" i="1"/>
  <c r="V364" i="5"/>
  <c r="V367" i="5"/>
  <c r="V615" i="5"/>
  <c r="Z106" i="1"/>
  <c r="V356" i="5"/>
  <c r="V606" i="5"/>
  <c r="V602" i="5"/>
  <c r="V366" i="5"/>
  <c r="V361" i="5"/>
  <c r="V612" i="5"/>
  <c r="V598" i="5"/>
  <c r="V601" i="5"/>
  <c r="V373" i="5"/>
  <c r="V596" i="5"/>
  <c r="V616" i="5"/>
  <c r="V374" i="5"/>
  <c r="V613" i="5"/>
  <c r="V375" i="5"/>
  <c r="V370" i="5"/>
  <c r="V355" i="5"/>
  <c r="V353" i="5"/>
  <c r="V605" i="5"/>
  <c r="V359" i="5"/>
  <c r="V599" i="5"/>
  <c r="V608" i="5"/>
  <c r="V603" i="5"/>
  <c r="V360" i="5"/>
  <c r="V365" i="5"/>
  <c r="V597" i="5"/>
  <c r="V358" i="5"/>
  <c r="V609" i="5"/>
  <c r="V362" i="5"/>
  <c r="V610" i="5"/>
  <c r="V354" i="5"/>
  <c r="V368" i="5"/>
  <c r="V611" i="5"/>
  <c r="V618" i="5"/>
  <c r="V614" i="5"/>
  <c r="V371" i="5"/>
  <c r="V363" i="5"/>
  <c r="V357" i="5"/>
  <c r="V604" i="5"/>
  <c r="V617" i="5"/>
  <c r="V369" i="5"/>
  <c r="V600" i="5"/>
  <c r="V595" i="5"/>
  <c r="V352" i="5"/>
  <c r="V181" i="5"/>
  <c r="V188" i="5"/>
  <c r="V198" i="5"/>
  <c r="V197" i="5"/>
  <c r="V200" i="5"/>
  <c r="V194" i="5"/>
  <c r="V190" i="5"/>
  <c r="V202" i="5"/>
  <c r="V182" i="5"/>
  <c r="V183" i="5"/>
  <c r="V192" i="5"/>
  <c r="V187" i="5"/>
  <c r="V199" i="5"/>
  <c r="V184" i="5"/>
  <c r="V195" i="5"/>
  <c r="V196" i="5"/>
  <c r="V191" i="5"/>
  <c r="V201" i="5"/>
  <c r="V203" i="5"/>
  <c r="V185" i="5"/>
  <c r="V186" i="5"/>
  <c r="V189" i="5"/>
  <c r="V193" i="5"/>
  <c r="V180" i="5"/>
  <c r="V89" i="5"/>
  <c r="V103" i="5"/>
  <c r="V102" i="5"/>
  <c r="V91" i="5"/>
  <c r="V83" i="5"/>
  <c r="V93" i="5"/>
  <c r="V88" i="5"/>
  <c r="V100" i="5"/>
  <c r="V97" i="5"/>
  <c r="V101" i="5"/>
  <c r="V82" i="5"/>
  <c r="V92" i="5"/>
  <c r="V85" i="5"/>
  <c r="V95" i="5"/>
  <c r="V90" i="5"/>
  <c r="V86" i="5"/>
  <c r="V96" i="5"/>
  <c r="V87" i="5"/>
  <c r="V94" i="5"/>
  <c r="V104" i="5"/>
  <c r="V98" i="5"/>
  <c r="V99" i="5"/>
  <c r="V84" i="5"/>
  <c r="V81" i="5"/>
  <c r="U553" i="5"/>
  <c r="AC21" i="1"/>
  <c r="AB22" i="1"/>
  <c r="V434" i="5"/>
  <c r="V667" i="5"/>
  <c r="V669" i="5"/>
  <c r="V429" i="5"/>
  <c r="V433" i="5"/>
  <c r="V668" i="5"/>
  <c r="V682" i="5"/>
  <c r="V662" i="5"/>
  <c r="V663" i="5"/>
  <c r="V436" i="5"/>
  <c r="V674" i="5"/>
  <c r="V672" i="5"/>
  <c r="V428" i="5"/>
  <c r="V666" i="5"/>
  <c r="V671" i="5"/>
  <c r="V679" i="5"/>
  <c r="Z81" i="1"/>
  <c r="V680" i="5"/>
  <c r="V425" i="5"/>
  <c r="V664" i="5"/>
  <c r="V423" i="5"/>
  <c r="V420" i="5"/>
  <c r="V665" i="5"/>
  <c r="V427" i="5"/>
  <c r="V431" i="5"/>
  <c r="V432" i="5"/>
  <c r="V439" i="5"/>
  <c r="V424" i="5"/>
  <c r="V435" i="5"/>
  <c r="Z108" i="1"/>
  <c r="V673" i="5"/>
  <c r="V426" i="5"/>
  <c r="V684" i="5"/>
  <c r="V676" i="5"/>
  <c r="V421" i="5"/>
  <c r="V678" i="5"/>
  <c r="V670" i="5"/>
  <c r="V675" i="5"/>
  <c r="V677" i="5"/>
  <c r="V430" i="5"/>
  <c r="V422" i="5"/>
  <c r="V438" i="5"/>
  <c r="V681" i="5"/>
  <c r="V419" i="5"/>
  <c r="V440" i="5"/>
  <c r="V683" i="5"/>
  <c r="V437" i="5"/>
  <c r="V441" i="5"/>
  <c r="V661" i="5"/>
  <c r="V418" i="5"/>
  <c r="V119" i="5"/>
  <c r="V127" i="5"/>
  <c r="V135" i="5"/>
  <c r="V121" i="5"/>
  <c r="V115" i="5"/>
  <c r="V133" i="5"/>
  <c r="V130" i="5"/>
  <c r="V120" i="5"/>
  <c r="V123" i="5"/>
  <c r="V137" i="5"/>
  <c r="V122" i="5"/>
  <c r="V132" i="5"/>
  <c r="V134" i="5"/>
  <c r="V131" i="5"/>
  <c r="V125" i="5"/>
  <c r="V129" i="5"/>
  <c r="V116" i="5"/>
  <c r="V128" i="5"/>
  <c r="V124" i="5"/>
  <c r="V126" i="5"/>
  <c r="V136" i="5"/>
  <c r="V117" i="5"/>
  <c r="V118" i="5"/>
  <c r="V114" i="5"/>
  <c r="V304" i="5"/>
  <c r="V299" i="5"/>
  <c r="V309" i="5"/>
  <c r="V308" i="5"/>
  <c r="V535" i="5"/>
  <c r="V300" i="5"/>
  <c r="V289" i="5"/>
  <c r="V302" i="5"/>
  <c r="V541" i="5"/>
  <c r="V547" i="5"/>
  <c r="V552" i="5"/>
  <c r="V548" i="5"/>
  <c r="V551" i="5"/>
  <c r="V537" i="5"/>
  <c r="V544" i="5"/>
  <c r="V301" i="5"/>
  <c r="V294" i="5"/>
  <c r="V293" i="5"/>
  <c r="V546" i="5"/>
  <c r="V295" i="5"/>
  <c r="V530" i="5"/>
  <c r="V533" i="5"/>
  <c r="V292" i="5"/>
  <c r="V296" i="5"/>
  <c r="V288" i="5"/>
  <c r="V536" i="5"/>
  <c r="V531" i="5"/>
  <c r="V290" i="5"/>
  <c r="Z104" i="1"/>
  <c r="V298" i="5"/>
  <c r="V534" i="5"/>
  <c r="V545" i="5"/>
  <c r="V542" i="5"/>
  <c r="V306" i="5"/>
  <c r="V307" i="5"/>
  <c r="V297" i="5"/>
  <c r="Z77" i="1"/>
  <c r="V540" i="5"/>
  <c r="V549" i="5"/>
  <c r="V291" i="5"/>
  <c r="V305" i="5"/>
  <c r="V539" i="5"/>
  <c r="V543" i="5"/>
  <c r="V287" i="5"/>
  <c r="V550" i="5"/>
  <c r="V303" i="5"/>
  <c r="V538" i="5"/>
  <c r="V532" i="5"/>
  <c r="V286" i="5"/>
  <c r="V529" i="5"/>
  <c r="V105" i="5"/>
  <c r="V685" i="5"/>
  <c r="W103" i="5"/>
  <c r="W101" i="5"/>
  <c r="W88" i="5"/>
  <c r="W93" i="5"/>
  <c r="W100" i="5"/>
  <c r="W96" i="5"/>
  <c r="W97" i="5"/>
  <c r="W89" i="5"/>
  <c r="W98" i="5"/>
  <c r="W92" i="5"/>
  <c r="W104" i="5"/>
  <c r="W84" i="5"/>
  <c r="W82" i="5"/>
  <c r="W102" i="5"/>
  <c r="W90" i="5"/>
  <c r="W83" i="5"/>
  <c r="W85" i="5"/>
  <c r="W94" i="5"/>
  <c r="W99" i="5"/>
  <c r="W95" i="5"/>
  <c r="W91" i="5"/>
  <c r="W87" i="5"/>
  <c r="W86" i="5"/>
  <c r="W81" i="5"/>
  <c r="W105" i="5"/>
  <c r="AA66" i="1"/>
  <c r="W58" i="5"/>
  <c r="W52" i="5"/>
  <c r="W53" i="5"/>
  <c r="W60" i="5"/>
  <c r="W69" i="5"/>
  <c r="W50" i="5"/>
  <c r="W59" i="5"/>
  <c r="W55" i="5"/>
  <c r="AA32" i="1"/>
  <c r="W68" i="5"/>
  <c r="W62" i="5"/>
  <c r="W54" i="5"/>
  <c r="W67" i="5"/>
  <c r="W64" i="5"/>
  <c r="W57" i="5"/>
  <c r="W49" i="5"/>
  <c r="W71" i="5"/>
  <c r="W70" i="5"/>
  <c r="W61" i="5"/>
  <c r="W51" i="5"/>
  <c r="W63" i="5"/>
  <c r="W65" i="5"/>
  <c r="W56" i="5"/>
  <c r="W66" i="5"/>
  <c r="W48" i="5"/>
  <c r="U344" i="5"/>
  <c r="U587" i="5"/>
  <c r="U106" i="5"/>
  <c r="V652" i="5"/>
  <c r="U311" i="5"/>
  <c r="U520" i="5"/>
  <c r="U277" i="5"/>
  <c r="V553" i="5"/>
  <c r="V138" i="5"/>
  <c r="AB29" i="1"/>
  <c r="AB30" i="1"/>
  <c r="AB28" i="1"/>
  <c r="AB57" i="1"/>
  <c r="AB31" i="1"/>
  <c r="AB26" i="1"/>
  <c r="AB27" i="1"/>
  <c r="AB55" i="1"/>
  <c r="AB66" i="1"/>
  <c r="AB59" i="1"/>
  <c r="AB70" i="1"/>
  <c r="AB56" i="1"/>
  <c r="AB67" i="1"/>
  <c r="AB58" i="1"/>
  <c r="AB54" i="1"/>
  <c r="V376" i="5"/>
  <c r="W321" i="5"/>
  <c r="W584" i="5"/>
  <c r="W324" i="5"/>
  <c r="W576" i="5"/>
  <c r="W338" i="5"/>
  <c r="W320" i="5"/>
  <c r="W342" i="5"/>
  <c r="W583" i="5"/>
  <c r="W334" i="5"/>
  <c r="W570" i="5"/>
  <c r="W332" i="5"/>
  <c r="W335" i="5"/>
  <c r="W326" i="5"/>
  <c r="W341" i="5"/>
  <c r="W322" i="5"/>
  <c r="W572" i="5"/>
  <c r="W331" i="5"/>
  <c r="AA78" i="1"/>
  <c r="W575" i="5"/>
  <c r="AA105" i="1"/>
  <c r="W327" i="5"/>
  <c r="W579" i="5"/>
  <c r="W577" i="5"/>
  <c r="W581" i="5"/>
  <c r="W571" i="5"/>
  <c r="W333" i="5"/>
  <c r="W323" i="5"/>
  <c r="W337" i="5"/>
  <c r="W564" i="5"/>
  <c r="W339" i="5"/>
  <c r="W582" i="5"/>
  <c r="W567" i="5"/>
  <c r="W578" i="5"/>
  <c r="W565" i="5"/>
  <c r="W325" i="5"/>
  <c r="W563" i="5"/>
  <c r="W573" i="5"/>
  <c r="W330" i="5"/>
  <c r="W568" i="5"/>
  <c r="W336" i="5"/>
  <c r="W574" i="5"/>
  <c r="W340" i="5"/>
  <c r="W585" i="5"/>
  <c r="W566" i="5"/>
  <c r="W580" i="5"/>
  <c r="W329" i="5"/>
  <c r="W569" i="5"/>
  <c r="W328" i="5"/>
  <c r="W319" i="5"/>
  <c r="W562" i="5"/>
  <c r="W586" i="5"/>
  <c r="W236" i="5"/>
  <c r="W220" i="5"/>
  <c r="W218" i="5"/>
  <c r="W228" i="5"/>
  <c r="W214" i="5"/>
  <c r="W222" i="5"/>
  <c r="W219" i="5"/>
  <c r="W216" i="5"/>
  <c r="W232" i="5"/>
  <c r="W230" i="5"/>
  <c r="W221" i="5"/>
  <c r="W225" i="5"/>
  <c r="W223" i="5"/>
  <c r="W234" i="5"/>
  <c r="W229" i="5"/>
  <c r="W215" i="5"/>
  <c r="W233" i="5"/>
  <c r="W227" i="5"/>
  <c r="W224" i="5"/>
  <c r="W226" i="5"/>
  <c r="W235" i="5"/>
  <c r="W217" i="5"/>
  <c r="W231" i="5"/>
  <c r="W213" i="5"/>
  <c r="W237" i="5"/>
  <c r="W133" i="5"/>
  <c r="W115" i="5"/>
  <c r="W137" i="5"/>
  <c r="W117" i="5"/>
  <c r="W130" i="5"/>
  <c r="W134" i="5"/>
  <c r="W122" i="5"/>
  <c r="W128" i="5"/>
  <c r="W136" i="5"/>
  <c r="W131" i="5"/>
  <c r="W120" i="5"/>
  <c r="W135" i="5"/>
  <c r="W126" i="5"/>
  <c r="W116" i="5"/>
  <c r="W127" i="5"/>
  <c r="W121" i="5"/>
  <c r="W118" i="5"/>
  <c r="W132" i="5"/>
  <c r="W123" i="5"/>
  <c r="W124" i="5"/>
  <c r="W125" i="5"/>
  <c r="W119" i="5"/>
  <c r="W129" i="5"/>
  <c r="W114" i="5"/>
  <c r="W138" i="5"/>
  <c r="V237" i="5"/>
  <c r="V325" i="5"/>
  <c r="V574" i="5"/>
  <c r="V322" i="5"/>
  <c r="Z78" i="1"/>
  <c r="V337" i="5"/>
  <c r="V563" i="5"/>
  <c r="V581" i="5"/>
  <c r="V576" i="5"/>
  <c r="V342" i="5"/>
  <c r="V320" i="5"/>
  <c r="V339" i="5"/>
  <c r="V335" i="5"/>
  <c r="V326" i="5"/>
  <c r="V321" i="5"/>
  <c r="V328" i="5"/>
  <c r="V567" i="5"/>
  <c r="V332" i="5"/>
  <c r="Z105" i="1"/>
  <c r="V336" i="5"/>
  <c r="V568" i="5"/>
  <c r="V324" i="5"/>
  <c r="V327" i="5"/>
  <c r="V330" i="5"/>
  <c r="V565" i="5"/>
  <c r="V571" i="5"/>
  <c r="V575" i="5"/>
  <c r="V578" i="5"/>
  <c r="V569" i="5"/>
  <c r="V341" i="5"/>
  <c r="V579" i="5"/>
  <c r="V585" i="5"/>
  <c r="V582" i="5"/>
  <c r="V570" i="5"/>
  <c r="V566" i="5"/>
  <c r="V583" i="5"/>
  <c r="V572" i="5"/>
  <c r="V580" i="5"/>
  <c r="V323" i="5"/>
  <c r="V333" i="5"/>
  <c r="V334" i="5"/>
  <c r="V584" i="5"/>
  <c r="V331" i="5"/>
  <c r="V329" i="5"/>
  <c r="V577" i="5"/>
  <c r="V340" i="5"/>
  <c r="V338" i="5"/>
  <c r="V564" i="5"/>
  <c r="V573" i="5"/>
  <c r="V319" i="5"/>
  <c r="V562" i="5"/>
  <c r="V409" i="5"/>
  <c r="Y109" i="1"/>
  <c r="V442" i="5"/>
  <c r="V310" i="5"/>
  <c r="V311" i="5"/>
  <c r="AC22" i="1"/>
  <c r="AD21" i="1"/>
  <c r="U554" i="5"/>
  <c r="V619" i="5"/>
  <c r="W634" i="5"/>
  <c r="W633" i="5"/>
  <c r="W402" i="5"/>
  <c r="W645" i="5"/>
  <c r="W646" i="5"/>
  <c r="W629" i="5"/>
  <c r="W397" i="5"/>
  <c r="W643" i="5"/>
  <c r="W394" i="5"/>
  <c r="W403" i="5"/>
  <c r="W637" i="5"/>
  <c r="W408" i="5"/>
  <c r="W399" i="5"/>
  <c r="AA107" i="1"/>
  <c r="W393" i="5"/>
  <c r="W396" i="5"/>
  <c r="W388" i="5"/>
  <c r="W641" i="5"/>
  <c r="W395" i="5"/>
  <c r="AA80" i="1"/>
  <c r="W635" i="5"/>
  <c r="W404" i="5"/>
  <c r="W644" i="5"/>
  <c r="W642" i="5"/>
  <c r="W406" i="5"/>
  <c r="W387" i="5"/>
  <c r="W400" i="5"/>
  <c r="W405" i="5"/>
  <c r="W640" i="5"/>
  <c r="W386" i="5"/>
  <c r="W648" i="5"/>
  <c r="W389" i="5"/>
  <c r="W639" i="5"/>
  <c r="W401" i="5"/>
  <c r="W392" i="5"/>
  <c r="W407" i="5"/>
  <c r="W650" i="5"/>
  <c r="W632" i="5"/>
  <c r="W647" i="5"/>
  <c r="W631" i="5"/>
  <c r="W390" i="5"/>
  <c r="W649" i="5"/>
  <c r="W630" i="5"/>
  <c r="W398" i="5"/>
  <c r="W636" i="5"/>
  <c r="W391" i="5"/>
  <c r="W638" i="5"/>
  <c r="W651" i="5"/>
  <c r="W628" i="5"/>
  <c r="W385" i="5"/>
  <c r="AA60" i="1"/>
  <c r="AA65" i="1"/>
  <c r="W190" i="5"/>
  <c r="W192" i="5"/>
  <c r="W202" i="5"/>
  <c r="W182" i="5"/>
  <c r="W189" i="5"/>
  <c r="W201" i="5"/>
  <c r="W195" i="5"/>
  <c r="W194" i="5"/>
  <c r="W200" i="5"/>
  <c r="W186" i="5"/>
  <c r="W193" i="5"/>
  <c r="W184" i="5"/>
  <c r="W203" i="5"/>
  <c r="W199" i="5"/>
  <c r="W196" i="5"/>
  <c r="W181" i="5"/>
  <c r="W185" i="5"/>
  <c r="W191" i="5"/>
  <c r="W187" i="5"/>
  <c r="W188" i="5"/>
  <c r="W183" i="5"/>
  <c r="W198" i="5"/>
  <c r="W197" i="5"/>
  <c r="W180" i="5"/>
  <c r="U653" i="5"/>
  <c r="U410" i="5"/>
  <c r="V204" i="5"/>
  <c r="W679" i="5"/>
  <c r="W424" i="5"/>
  <c r="W664" i="5"/>
  <c r="W673" i="5"/>
  <c r="W421" i="5"/>
  <c r="W425" i="5"/>
  <c r="W676" i="5"/>
  <c r="W437" i="5"/>
  <c r="W678" i="5"/>
  <c r="W684" i="5"/>
  <c r="W440" i="5"/>
  <c r="W680" i="5"/>
  <c r="W433" i="5"/>
  <c r="AA108" i="1"/>
  <c r="W422" i="5"/>
  <c r="W432" i="5"/>
  <c r="W431" i="5"/>
  <c r="W438" i="5"/>
  <c r="W435" i="5"/>
  <c r="W441" i="5"/>
  <c r="W420" i="5"/>
  <c r="W434" i="5"/>
  <c r="W677" i="5"/>
  <c r="W663" i="5"/>
  <c r="AA81" i="1"/>
  <c r="W436" i="5"/>
  <c r="W682" i="5"/>
  <c r="W674" i="5"/>
  <c r="W672" i="5"/>
  <c r="W671" i="5"/>
  <c r="W439" i="5"/>
  <c r="W681" i="5"/>
  <c r="W429" i="5"/>
  <c r="W669" i="5"/>
  <c r="W666" i="5"/>
  <c r="W427" i="5"/>
  <c r="W428" i="5"/>
  <c r="W665" i="5"/>
  <c r="W667" i="5"/>
  <c r="W662" i="5"/>
  <c r="W423" i="5"/>
  <c r="W426" i="5"/>
  <c r="W675" i="5"/>
  <c r="W670" i="5"/>
  <c r="W668" i="5"/>
  <c r="W683" i="5"/>
  <c r="W430" i="5"/>
  <c r="W419" i="5"/>
  <c r="W661" i="5"/>
  <c r="W418" i="5"/>
  <c r="W442" i="5"/>
  <c r="W169" i="5"/>
  <c r="W154" i="5"/>
  <c r="W168" i="5"/>
  <c r="W157" i="5"/>
  <c r="W151" i="5"/>
  <c r="W161" i="5"/>
  <c r="W155" i="5"/>
  <c r="W167" i="5"/>
  <c r="W170" i="5"/>
  <c r="W149" i="5"/>
  <c r="W160" i="5"/>
  <c r="W159" i="5"/>
  <c r="W150" i="5"/>
  <c r="W162" i="5"/>
  <c r="W156" i="5"/>
  <c r="W166" i="5"/>
  <c r="W164" i="5"/>
  <c r="W153" i="5"/>
  <c r="W163" i="5"/>
  <c r="W158" i="5"/>
  <c r="W165" i="5"/>
  <c r="W148" i="5"/>
  <c r="W152" i="5"/>
  <c r="W147" i="5"/>
  <c r="W171" i="5"/>
  <c r="AA68" i="1"/>
  <c r="U73" i="5"/>
  <c r="V73" i="5"/>
  <c r="V171" i="5"/>
  <c r="V265" i="5"/>
  <c r="V503" i="5"/>
  <c r="V256" i="5"/>
  <c r="V263" i="5"/>
  <c r="V275" i="5"/>
  <c r="V255" i="5"/>
  <c r="V502" i="5"/>
  <c r="V259" i="5"/>
  <c r="V274" i="5"/>
  <c r="V517" i="5"/>
  <c r="V267" i="5"/>
  <c r="V276" i="5"/>
  <c r="V500" i="5"/>
  <c r="V505" i="5"/>
  <c r="V501" i="5"/>
  <c r="V519" i="5"/>
  <c r="V504" i="5"/>
  <c r="V498" i="5"/>
  <c r="V508" i="5"/>
  <c r="V272" i="5"/>
  <c r="V254" i="5"/>
  <c r="V512" i="5"/>
  <c r="V515" i="5"/>
  <c r="V269" i="5"/>
  <c r="V262" i="5"/>
  <c r="V258" i="5"/>
  <c r="V510" i="5"/>
  <c r="Z76" i="1"/>
  <c r="V516" i="5"/>
  <c r="V266" i="5"/>
  <c r="V273" i="5"/>
  <c r="V499" i="5"/>
  <c r="V260" i="5"/>
  <c r="V506" i="5"/>
  <c r="V271" i="5"/>
  <c r="Z103" i="1"/>
  <c r="Z109" i="1"/>
  <c r="V261" i="5"/>
  <c r="V270" i="5"/>
  <c r="V518" i="5"/>
  <c r="V513" i="5"/>
  <c r="V511" i="5"/>
  <c r="V497" i="5"/>
  <c r="V257" i="5"/>
  <c r="V514" i="5"/>
  <c r="V507" i="5"/>
  <c r="V264" i="5"/>
  <c r="V268" i="5"/>
  <c r="V509" i="5"/>
  <c r="V253" i="5"/>
  <c r="V277" i="5"/>
  <c r="Z71" i="1"/>
  <c r="Z82" i="1"/>
  <c r="V496" i="5"/>
  <c r="U205" i="5"/>
  <c r="W365" i="5"/>
  <c r="W361" i="5"/>
  <c r="W603" i="5"/>
  <c r="W604" i="5"/>
  <c r="W358" i="5"/>
  <c r="W372" i="5"/>
  <c r="W599" i="5"/>
  <c r="W607" i="5"/>
  <c r="W367" i="5"/>
  <c r="W601" i="5"/>
  <c r="W597" i="5"/>
  <c r="W373" i="5"/>
  <c r="W354" i="5"/>
  <c r="W618" i="5"/>
  <c r="W602" i="5"/>
  <c r="W608" i="5"/>
  <c r="W606" i="5"/>
  <c r="W610" i="5"/>
  <c r="W596" i="5"/>
  <c r="AA79" i="1"/>
  <c r="AA106" i="1"/>
  <c r="W355" i="5"/>
  <c r="W375" i="5"/>
  <c r="W359" i="5"/>
  <c r="W369" i="5"/>
  <c r="W371" i="5"/>
  <c r="W357" i="5"/>
  <c r="W360" i="5"/>
  <c r="W614" i="5"/>
  <c r="W368" i="5"/>
  <c r="W353" i="5"/>
  <c r="W612" i="5"/>
  <c r="W362" i="5"/>
  <c r="W364" i="5"/>
  <c r="W605" i="5"/>
  <c r="W356" i="5"/>
  <c r="W615" i="5"/>
  <c r="W598" i="5"/>
  <c r="W616" i="5"/>
  <c r="W370" i="5"/>
  <c r="W617" i="5"/>
  <c r="W611" i="5"/>
  <c r="W363" i="5"/>
  <c r="W600" i="5"/>
  <c r="W366" i="5"/>
  <c r="W374" i="5"/>
  <c r="W609" i="5"/>
  <c r="W613" i="5"/>
  <c r="W595" i="5"/>
  <c r="W352" i="5"/>
  <c r="W204" i="5"/>
  <c r="W264" i="5"/>
  <c r="W509" i="5"/>
  <c r="W269" i="5"/>
  <c r="W272" i="5"/>
  <c r="W507" i="5"/>
  <c r="W261" i="5"/>
  <c r="W519" i="5"/>
  <c r="W499" i="5"/>
  <c r="W518" i="5"/>
  <c r="W274" i="5"/>
  <c r="W260" i="5"/>
  <c r="W510" i="5"/>
  <c r="W502" i="5"/>
  <c r="W514" i="5"/>
  <c r="W267" i="5"/>
  <c r="W515" i="5"/>
  <c r="W506" i="5"/>
  <c r="W255" i="5"/>
  <c r="W516" i="5"/>
  <c r="W254" i="5"/>
  <c r="W266" i="5"/>
  <c r="W498" i="5"/>
  <c r="W256" i="5"/>
  <c r="W271" i="5"/>
  <c r="W275" i="5"/>
  <c r="W257" i="5"/>
  <c r="W501" i="5"/>
  <c r="W505" i="5"/>
  <c r="W262" i="5"/>
  <c r="W273" i="5"/>
  <c r="AA76" i="1"/>
  <c r="W270" i="5"/>
  <c r="W511" i="5"/>
  <c r="W265" i="5"/>
  <c r="W258" i="5"/>
  <c r="W504" i="5"/>
  <c r="W503" i="5"/>
  <c r="W268" i="5"/>
  <c r="W508" i="5"/>
  <c r="W497" i="5"/>
  <c r="W500" i="5"/>
  <c r="W259" i="5"/>
  <c r="W263" i="5"/>
  <c r="W513" i="5"/>
  <c r="W517" i="5"/>
  <c r="W512" i="5"/>
  <c r="AA71" i="1"/>
  <c r="AA82" i="1"/>
  <c r="W276" i="5"/>
  <c r="AA103" i="1"/>
  <c r="W496" i="5"/>
  <c r="W520" i="5"/>
  <c r="W253" i="5"/>
  <c r="AD22" i="1"/>
  <c r="AE21" i="1"/>
  <c r="V410" i="5"/>
  <c r="V586" i="5"/>
  <c r="V238" i="5"/>
  <c r="W238" i="5"/>
  <c r="X433" i="5"/>
  <c r="X420" i="5"/>
  <c r="X424" i="5"/>
  <c r="X679" i="5"/>
  <c r="X431" i="5"/>
  <c r="X680" i="5"/>
  <c r="X665" i="5"/>
  <c r="X671" i="5"/>
  <c r="X425" i="5"/>
  <c r="X677" i="5"/>
  <c r="X422" i="5"/>
  <c r="X439" i="5"/>
  <c r="AB81" i="1"/>
  <c r="X435" i="5"/>
  <c r="X426" i="5"/>
  <c r="AB108" i="1"/>
  <c r="X437" i="5"/>
  <c r="X664" i="5"/>
  <c r="X674" i="5"/>
  <c r="X676" i="5"/>
  <c r="X666" i="5"/>
  <c r="X662" i="5"/>
  <c r="X438" i="5"/>
  <c r="X669" i="5"/>
  <c r="X668" i="5"/>
  <c r="X682" i="5"/>
  <c r="X663" i="5"/>
  <c r="X667" i="5"/>
  <c r="X681" i="5"/>
  <c r="X429" i="5"/>
  <c r="X423" i="5"/>
  <c r="X683" i="5"/>
  <c r="X419" i="5"/>
  <c r="X441" i="5"/>
  <c r="X678" i="5"/>
  <c r="X421" i="5"/>
  <c r="X675" i="5"/>
  <c r="X436" i="5"/>
  <c r="X428" i="5"/>
  <c r="X684" i="5"/>
  <c r="X427" i="5"/>
  <c r="X434" i="5"/>
  <c r="X432" i="5"/>
  <c r="X672" i="5"/>
  <c r="X440" i="5"/>
  <c r="X670" i="5"/>
  <c r="X430" i="5"/>
  <c r="X673" i="5"/>
  <c r="X661" i="5"/>
  <c r="X685" i="5"/>
  <c r="X418" i="5"/>
  <c r="X217" i="5"/>
  <c r="X223" i="5"/>
  <c r="X235" i="5"/>
  <c r="X222" i="5"/>
  <c r="X230" i="5"/>
  <c r="X224" i="5"/>
  <c r="X220" i="5"/>
  <c r="X216" i="5"/>
  <c r="X225" i="5"/>
  <c r="X228" i="5"/>
  <c r="X232" i="5"/>
  <c r="X215" i="5"/>
  <c r="X218" i="5"/>
  <c r="X214" i="5"/>
  <c r="X233" i="5"/>
  <c r="X219" i="5"/>
  <c r="X221" i="5"/>
  <c r="X236" i="5"/>
  <c r="X227" i="5"/>
  <c r="X234" i="5"/>
  <c r="X229" i="5"/>
  <c r="X226" i="5"/>
  <c r="X231" i="5"/>
  <c r="X213" i="5"/>
  <c r="X148" i="5"/>
  <c r="X159" i="5"/>
  <c r="X153" i="5"/>
  <c r="X154" i="5"/>
  <c r="X155" i="5"/>
  <c r="X150" i="5"/>
  <c r="X170" i="5"/>
  <c r="X161" i="5"/>
  <c r="X152" i="5"/>
  <c r="X167" i="5"/>
  <c r="X164" i="5"/>
  <c r="X162" i="5"/>
  <c r="X156" i="5"/>
  <c r="X149" i="5"/>
  <c r="X151" i="5"/>
  <c r="X166" i="5"/>
  <c r="X165" i="5"/>
  <c r="X158" i="5"/>
  <c r="X163" i="5"/>
  <c r="X169" i="5"/>
  <c r="X160" i="5"/>
  <c r="X157" i="5"/>
  <c r="X168" i="5"/>
  <c r="X147" i="5"/>
  <c r="X171" i="5"/>
  <c r="V172" i="5"/>
  <c r="W172" i="5"/>
  <c r="X172" i="5"/>
  <c r="V554" i="5"/>
  <c r="V653" i="5"/>
  <c r="V106" i="5"/>
  <c r="W106" i="5"/>
  <c r="V620" i="5"/>
  <c r="AC26" i="1"/>
  <c r="AC30" i="1"/>
  <c r="AC28" i="1"/>
  <c r="AC31" i="1"/>
  <c r="AC56" i="1"/>
  <c r="AC67" i="1"/>
  <c r="AC29" i="1"/>
  <c r="AC57" i="1"/>
  <c r="AC54" i="1"/>
  <c r="AC59" i="1"/>
  <c r="AC58" i="1"/>
  <c r="AC69" i="1"/>
  <c r="AC55" i="1"/>
  <c r="AC27" i="1"/>
  <c r="V343" i="5"/>
  <c r="W343" i="5"/>
  <c r="AB60" i="1"/>
  <c r="AB65" i="1"/>
  <c r="X536" i="5"/>
  <c r="X305" i="5"/>
  <c r="X297" i="5"/>
  <c r="X550" i="5"/>
  <c r="X531" i="5"/>
  <c r="X304" i="5"/>
  <c r="X306" i="5"/>
  <c r="AB104" i="1"/>
  <c r="X545" i="5"/>
  <c r="X535" i="5"/>
  <c r="X292" i="5"/>
  <c r="X290" i="5"/>
  <c r="X293" i="5"/>
  <c r="X534" i="5"/>
  <c r="X551" i="5"/>
  <c r="X538" i="5"/>
  <c r="X300" i="5"/>
  <c r="X547" i="5"/>
  <c r="X543" i="5"/>
  <c r="X294" i="5"/>
  <c r="X289" i="5"/>
  <c r="X302" i="5"/>
  <c r="X308" i="5"/>
  <c r="X542" i="5"/>
  <c r="X552" i="5"/>
  <c r="X548" i="5"/>
  <c r="X549" i="5"/>
  <c r="X544" i="5"/>
  <c r="X541" i="5"/>
  <c r="X299" i="5"/>
  <c r="X540" i="5"/>
  <c r="X291" i="5"/>
  <c r="X539" i="5"/>
  <c r="X298" i="5"/>
  <c r="X309" i="5"/>
  <c r="X537" i="5"/>
  <c r="X295" i="5"/>
  <c r="X530" i="5"/>
  <c r="X303" i="5"/>
  <c r="X546" i="5"/>
  <c r="X288" i="5"/>
  <c r="X533" i="5"/>
  <c r="X287" i="5"/>
  <c r="X301" i="5"/>
  <c r="AB77" i="1"/>
  <c r="X532" i="5"/>
  <c r="X296" i="5"/>
  <c r="X307" i="5"/>
  <c r="X529" i="5"/>
  <c r="X553" i="5"/>
  <c r="X286" i="5"/>
  <c r="AB68" i="1"/>
  <c r="W72" i="5"/>
  <c r="V520" i="5"/>
  <c r="W685" i="5"/>
  <c r="W409" i="5"/>
  <c r="V443" i="5"/>
  <c r="W443" i="5"/>
  <c r="AB69" i="1"/>
  <c r="X101" i="5"/>
  <c r="X98" i="5"/>
  <c r="X91" i="5"/>
  <c r="X100" i="5"/>
  <c r="X95" i="5"/>
  <c r="X96" i="5"/>
  <c r="X89" i="5"/>
  <c r="X102" i="5"/>
  <c r="X93" i="5"/>
  <c r="X86" i="5"/>
  <c r="X87" i="5"/>
  <c r="X90" i="5"/>
  <c r="X83" i="5"/>
  <c r="X94" i="5"/>
  <c r="X92" i="5"/>
  <c r="X104" i="5"/>
  <c r="X84" i="5"/>
  <c r="X103" i="5"/>
  <c r="X82" i="5"/>
  <c r="X85" i="5"/>
  <c r="X88" i="5"/>
  <c r="X97" i="5"/>
  <c r="X99" i="5"/>
  <c r="X81" i="5"/>
  <c r="X128" i="5"/>
  <c r="X117" i="5"/>
  <c r="X132" i="5"/>
  <c r="X130" i="5"/>
  <c r="X119" i="5"/>
  <c r="X122" i="5"/>
  <c r="X126" i="5"/>
  <c r="X124" i="5"/>
  <c r="X118" i="5"/>
  <c r="X131" i="5"/>
  <c r="X125" i="5"/>
  <c r="X129" i="5"/>
  <c r="X134" i="5"/>
  <c r="X121" i="5"/>
  <c r="X116" i="5"/>
  <c r="X137" i="5"/>
  <c r="X127" i="5"/>
  <c r="X133" i="5"/>
  <c r="X115" i="5"/>
  <c r="X136" i="5"/>
  <c r="X120" i="5"/>
  <c r="X135" i="5"/>
  <c r="X114" i="5"/>
  <c r="X123" i="5"/>
  <c r="W542" i="5"/>
  <c r="W299" i="5"/>
  <c r="W532" i="5"/>
  <c r="W303" i="5"/>
  <c r="W289" i="5"/>
  <c r="W539" i="5"/>
  <c r="W295" i="5"/>
  <c r="W294" i="5"/>
  <c r="W536" i="5"/>
  <c r="W309" i="5"/>
  <c r="W541" i="5"/>
  <c r="W540" i="5"/>
  <c r="W537" i="5"/>
  <c r="AA77" i="1"/>
  <c r="W288" i="5"/>
  <c r="W297" i="5"/>
  <c r="W544" i="5"/>
  <c r="W287" i="5"/>
  <c r="W535" i="5"/>
  <c r="W298" i="5"/>
  <c r="W543" i="5"/>
  <c r="W545" i="5"/>
  <c r="W304" i="5"/>
  <c r="W546" i="5"/>
  <c r="W552" i="5"/>
  <c r="W307" i="5"/>
  <c r="W549" i="5"/>
  <c r="W290" i="5"/>
  <c r="W292" i="5"/>
  <c r="W548" i="5"/>
  <c r="W301" i="5"/>
  <c r="W550" i="5"/>
  <c r="W538" i="5"/>
  <c r="W305" i="5"/>
  <c r="AA104" i="1"/>
  <c r="W306" i="5"/>
  <c r="W530" i="5"/>
  <c r="W534" i="5"/>
  <c r="W293" i="5"/>
  <c r="W308" i="5"/>
  <c r="W291" i="5"/>
  <c r="W547" i="5"/>
  <c r="W296" i="5"/>
  <c r="W533" i="5"/>
  <c r="W302" i="5"/>
  <c r="W300" i="5"/>
  <c r="W551" i="5"/>
  <c r="W531" i="5"/>
  <c r="W529" i="5"/>
  <c r="W286" i="5"/>
  <c r="V686" i="5"/>
  <c r="V205" i="5"/>
  <c r="W652" i="5"/>
  <c r="V377" i="5"/>
  <c r="X570" i="5"/>
  <c r="X335" i="5"/>
  <c r="AB78" i="1"/>
  <c r="X340" i="5"/>
  <c r="X566" i="5"/>
  <c r="X332" i="5"/>
  <c r="X568" i="5"/>
  <c r="X583" i="5"/>
  <c r="X569" i="5"/>
  <c r="X320" i="5"/>
  <c r="X576" i="5"/>
  <c r="X575" i="5"/>
  <c r="X578" i="5"/>
  <c r="X339" i="5"/>
  <c r="X581" i="5"/>
  <c r="X571" i="5"/>
  <c r="X325" i="5"/>
  <c r="X573" i="5"/>
  <c r="X323" i="5"/>
  <c r="X565" i="5"/>
  <c r="X582" i="5"/>
  <c r="X336" i="5"/>
  <c r="X579" i="5"/>
  <c r="X324" i="5"/>
  <c r="X321" i="5"/>
  <c r="X341" i="5"/>
  <c r="X584" i="5"/>
  <c r="X329" i="5"/>
  <c r="X334" i="5"/>
  <c r="X564" i="5"/>
  <c r="X322" i="5"/>
  <c r="X331" i="5"/>
  <c r="X327" i="5"/>
  <c r="X330" i="5"/>
  <c r="X342" i="5"/>
  <c r="X580" i="5"/>
  <c r="X567" i="5"/>
  <c r="X338" i="5"/>
  <c r="X563" i="5"/>
  <c r="X337" i="5"/>
  <c r="X328" i="5"/>
  <c r="X574" i="5"/>
  <c r="X333" i="5"/>
  <c r="X577" i="5"/>
  <c r="X572" i="5"/>
  <c r="X585" i="5"/>
  <c r="AB105" i="1"/>
  <c r="X326" i="5"/>
  <c r="X562" i="5"/>
  <c r="X319" i="5"/>
  <c r="X71" i="5"/>
  <c r="X52" i="5"/>
  <c r="X54" i="5"/>
  <c r="X50" i="5"/>
  <c r="X55" i="5"/>
  <c r="X62" i="5"/>
  <c r="X69" i="5"/>
  <c r="X61" i="5"/>
  <c r="X63" i="5"/>
  <c r="X51" i="5"/>
  <c r="X49" i="5"/>
  <c r="X56" i="5"/>
  <c r="X66" i="5"/>
  <c r="X57" i="5"/>
  <c r="X53" i="5"/>
  <c r="X59" i="5"/>
  <c r="X68" i="5"/>
  <c r="X60" i="5"/>
  <c r="X58" i="5"/>
  <c r="X70" i="5"/>
  <c r="X64" i="5"/>
  <c r="X67" i="5"/>
  <c r="X65" i="5"/>
  <c r="AB32" i="1"/>
  <c r="X48" i="5"/>
  <c r="X184" i="5"/>
  <c r="X192" i="5"/>
  <c r="X183" i="5"/>
  <c r="X190" i="5"/>
  <c r="X181" i="5"/>
  <c r="X185" i="5"/>
  <c r="X196" i="5"/>
  <c r="X182" i="5"/>
  <c r="X201" i="5"/>
  <c r="X197" i="5"/>
  <c r="X195" i="5"/>
  <c r="X194" i="5"/>
  <c r="X188" i="5"/>
  <c r="X189" i="5"/>
  <c r="X199" i="5"/>
  <c r="X191" i="5"/>
  <c r="X193" i="5"/>
  <c r="X187" i="5"/>
  <c r="X186" i="5"/>
  <c r="X200" i="5"/>
  <c r="X202" i="5"/>
  <c r="X203" i="5"/>
  <c r="X198" i="5"/>
  <c r="X180" i="5"/>
  <c r="V139" i="5"/>
  <c r="W139" i="5"/>
  <c r="U278" i="5"/>
  <c r="V278" i="5"/>
  <c r="U521" i="5"/>
  <c r="W73" i="5"/>
  <c r="X256" i="5"/>
  <c r="X517" i="5"/>
  <c r="X262" i="5"/>
  <c r="X268" i="5"/>
  <c r="X261" i="5"/>
  <c r="X263" i="5"/>
  <c r="X271" i="5"/>
  <c r="X498" i="5"/>
  <c r="X265" i="5"/>
  <c r="X264" i="5"/>
  <c r="X254" i="5"/>
  <c r="X504" i="5"/>
  <c r="X519" i="5"/>
  <c r="X257" i="5"/>
  <c r="X514" i="5"/>
  <c r="X500" i="5"/>
  <c r="X499" i="5"/>
  <c r="X507" i="5"/>
  <c r="X275" i="5"/>
  <c r="X269" i="5"/>
  <c r="X508" i="5"/>
  <c r="X258" i="5"/>
  <c r="X255" i="5"/>
  <c r="X505" i="5"/>
  <c r="X511" i="5"/>
  <c r="X266" i="5"/>
  <c r="X273" i="5"/>
  <c r="X501" i="5"/>
  <c r="X276" i="5"/>
  <c r="X270" i="5"/>
  <c r="X512" i="5"/>
  <c r="X503" i="5"/>
  <c r="X513" i="5"/>
  <c r="X267" i="5"/>
  <c r="X518" i="5"/>
  <c r="X506" i="5"/>
  <c r="X497" i="5"/>
  <c r="X272" i="5"/>
  <c r="X260" i="5"/>
  <c r="X509" i="5"/>
  <c r="X515" i="5"/>
  <c r="X502" i="5"/>
  <c r="X274" i="5"/>
  <c r="X259" i="5"/>
  <c r="X516" i="5"/>
  <c r="X510" i="5"/>
  <c r="AB76" i="1"/>
  <c r="AB103" i="1"/>
  <c r="AB71" i="1"/>
  <c r="AB82" i="1"/>
  <c r="X253" i="5"/>
  <c r="X496" i="5"/>
  <c r="V344" i="5"/>
  <c r="AC66" i="1"/>
  <c r="AC68" i="1"/>
  <c r="Y128" i="5"/>
  <c r="Y115" i="5"/>
  <c r="Y116" i="5"/>
  <c r="Y136" i="5"/>
  <c r="Y124" i="5"/>
  <c r="Y119" i="5"/>
  <c r="Y133" i="5"/>
  <c r="Y122" i="5"/>
  <c r="Y117" i="5"/>
  <c r="Y120" i="5"/>
  <c r="Y137" i="5"/>
  <c r="Y135" i="5"/>
  <c r="Y121" i="5"/>
  <c r="Y125" i="5"/>
  <c r="Y131" i="5"/>
  <c r="Y118" i="5"/>
  <c r="Y129" i="5"/>
  <c r="Y132" i="5"/>
  <c r="Y123" i="5"/>
  <c r="Y134" i="5"/>
  <c r="Y126" i="5"/>
  <c r="Y127" i="5"/>
  <c r="Y130" i="5"/>
  <c r="Y114" i="5"/>
  <c r="X237" i="5"/>
  <c r="AA109" i="1"/>
  <c r="X204" i="5"/>
  <c r="X72" i="5"/>
  <c r="X73" i="5"/>
  <c r="X105" i="5"/>
  <c r="X651" i="5"/>
  <c r="X388" i="5"/>
  <c r="X640" i="5"/>
  <c r="X644" i="5"/>
  <c r="X393" i="5"/>
  <c r="AB107" i="1"/>
  <c r="X405" i="5"/>
  <c r="X629" i="5"/>
  <c r="X390" i="5"/>
  <c r="X649" i="5"/>
  <c r="X408" i="5"/>
  <c r="X387" i="5"/>
  <c r="X391" i="5"/>
  <c r="X394" i="5"/>
  <c r="X630" i="5"/>
  <c r="X403" i="5"/>
  <c r="X395" i="5"/>
  <c r="X386" i="5"/>
  <c r="X402" i="5"/>
  <c r="X632" i="5"/>
  <c r="X401" i="5"/>
  <c r="X647" i="5"/>
  <c r="X637" i="5"/>
  <c r="X400" i="5"/>
  <c r="X633" i="5"/>
  <c r="X650" i="5"/>
  <c r="X397" i="5"/>
  <c r="X399" i="5"/>
  <c r="X643" i="5"/>
  <c r="X389" i="5"/>
  <c r="X631" i="5"/>
  <c r="X635" i="5"/>
  <c r="X638" i="5"/>
  <c r="X642" i="5"/>
  <c r="X646" i="5"/>
  <c r="AB80" i="1"/>
  <c r="X407" i="5"/>
  <c r="X392" i="5"/>
  <c r="X398" i="5"/>
  <c r="X406" i="5"/>
  <c r="X648" i="5"/>
  <c r="X641" i="5"/>
  <c r="X636" i="5"/>
  <c r="X396" i="5"/>
  <c r="X645" i="5"/>
  <c r="X639" i="5"/>
  <c r="X404" i="5"/>
  <c r="X634" i="5"/>
  <c r="X385" i="5"/>
  <c r="X628" i="5"/>
  <c r="W686" i="5"/>
  <c r="X599" i="5"/>
  <c r="X357" i="5"/>
  <c r="X359" i="5"/>
  <c r="X607" i="5"/>
  <c r="X368" i="5"/>
  <c r="X373" i="5"/>
  <c r="AB106" i="1"/>
  <c r="X375" i="5"/>
  <c r="X372" i="5"/>
  <c r="X374" i="5"/>
  <c r="X369" i="5"/>
  <c r="X362" i="5"/>
  <c r="X597" i="5"/>
  <c r="X610" i="5"/>
  <c r="X617" i="5"/>
  <c r="X353" i="5"/>
  <c r="X604" i="5"/>
  <c r="X606" i="5"/>
  <c r="AB79" i="1"/>
  <c r="X600" i="5"/>
  <c r="X602" i="5"/>
  <c r="X358" i="5"/>
  <c r="X609" i="5"/>
  <c r="X615" i="5"/>
  <c r="X365" i="5"/>
  <c r="X354" i="5"/>
  <c r="X616" i="5"/>
  <c r="X361" i="5"/>
  <c r="X603" i="5"/>
  <c r="X596" i="5"/>
  <c r="X356" i="5"/>
  <c r="X598" i="5"/>
  <c r="X613" i="5"/>
  <c r="X370" i="5"/>
  <c r="X366" i="5"/>
  <c r="X363" i="5"/>
  <c r="X601" i="5"/>
  <c r="X364" i="5"/>
  <c r="X360" i="5"/>
  <c r="X614" i="5"/>
  <c r="X371" i="5"/>
  <c r="X612" i="5"/>
  <c r="X605" i="5"/>
  <c r="X367" i="5"/>
  <c r="X618" i="5"/>
  <c r="X611" i="5"/>
  <c r="X355" i="5"/>
  <c r="X608" i="5"/>
  <c r="X595" i="5"/>
  <c r="X352" i="5"/>
  <c r="Y642" i="5"/>
  <c r="Y387" i="5"/>
  <c r="Y639" i="5"/>
  <c r="Y395" i="5"/>
  <c r="Y393" i="5"/>
  <c r="Y638" i="5"/>
  <c r="Y647" i="5"/>
  <c r="Y631" i="5"/>
  <c r="Y390" i="5"/>
  <c r="Y646" i="5"/>
  <c r="Y386" i="5"/>
  <c r="Y650" i="5"/>
  <c r="Y651" i="5"/>
  <c r="Y391" i="5"/>
  <c r="Y633" i="5"/>
  <c r="Y388" i="5"/>
  <c r="Y643" i="5"/>
  <c r="Y632" i="5"/>
  <c r="Y408" i="5"/>
  <c r="Y645" i="5"/>
  <c r="Y640" i="5"/>
  <c r="Y398" i="5"/>
  <c r="Y405" i="5"/>
  <c r="Y637" i="5"/>
  <c r="Y396" i="5"/>
  <c r="Y394" i="5"/>
  <c r="Y641" i="5"/>
  <c r="Y402" i="5"/>
  <c r="Y399" i="5"/>
  <c r="Y403" i="5"/>
  <c r="Y629" i="5"/>
  <c r="Y648" i="5"/>
  <c r="Y634" i="5"/>
  <c r="Y407" i="5"/>
  <c r="AC80" i="1"/>
  <c r="Y406" i="5"/>
  <c r="AC107" i="1"/>
  <c r="Y644" i="5"/>
  <c r="Y400" i="5"/>
  <c r="Y635" i="5"/>
  <c r="Y636" i="5"/>
  <c r="Y649" i="5"/>
  <c r="Y404" i="5"/>
  <c r="Y397" i="5"/>
  <c r="Y401" i="5"/>
  <c r="Y392" i="5"/>
  <c r="Y389" i="5"/>
  <c r="Y630" i="5"/>
  <c r="Y385" i="5"/>
  <c r="Y628" i="5"/>
  <c r="Y652" i="5"/>
  <c r="Y155" i="5"/>
  <c r="Y152" i="5"/>
  <c r="Y165" i="5"/>
  <c r="Y159" i="5"/>
  <c r="Y157" i="5"/>
  <c r="Y160" i="5"/>
  <c r="Y151" i="5"/>
  <c r="Y153" i="5"/>
  <c r="Y168" i="5"/>
  <c r="Y169" i="5"/>
  <c r="Y170" i="5"/>
  <c r="Y149" i="5"/>
  <c r="Y167" i="5"/>
  <c r="Y166" i="5"/>
  <c r="Y148" i="5"/>
  <c r="Y158" i="5"/>
  <c r="Y150" i="5"/>
  <c r="Y162" i="5"/>
  <c r="Y154" i="5"/>
  <c r="Y161" i="5"/>
  <c r="Y156" i="5"/>
  <c r="Y164" i="5"/>
  <c r="Y163" i="5"/>
  <c r="Y147" i="5"/>
  <c r="Y195" i="5"/>
  <c r="Y188" i="5"/>
  <c r="Y189" i="5"/>
  <c r="Y202" i="5"/>
  <c r="Y191" i="5"/>
  <c r="Y203" i="5"/>
  <c r="Y190" i="5"/>
  <c r="Y192" i="5"/>
  <c r="Y196" i="5"/>
  <c r="Y193" i="5"/>
  <c r="Y185" i="5"/>
  <c r="Y201" i="5"/>
  <c r="Y194" i="5"/>
  <c r="Y199" i="5"/>
  <c r="Y182" i="5"/>
  <c r="Y197" i="5"/>
  <c r="Y187" i="5"/>
  <c r="Y200" i="5"/>
  <c r="Y198" i="5"/>
  <c r="Y186" i="5"/>
  <c r="Y181" i="5"/>
  <c r="Y184" i="5"/>
  <c r="Y183" i="5"/>
  <c r="Y180" i="5"/>
  <c r="AE22" i="1"/>
  <c r="AF21" i="1"/>
  <c r="W205" i="5"/>
  <c r="W376" i="5"/>
  <c r="X586" i="5"/>
  <c r="W553" i="5"/>
  <c r="X343" i="5"/>
  <c r="W310" i="5"/>
  <c r="X138" i="5"/>
  <c r="W410" i="5"/>
  <c r="X310" i="5"/>
  <c r="W344" i="5"/>
  <c r="AC70" i="1"/>
  <c r="Y574" i="5"/>
  <c r="Y330" i="5"/>
  <c r="Y564" i="5"/>
  <c r="Y327" i="5"/>
  <c r="Y579" i="5"/>
  <c r="Y329" i="5"/>
  <c r="Y569" i="5"/>
  <c r="Y322" i="5"/>
  <c r="Y336" i="5"/>
  <c r="Y325" i="5"/>
  <c r="Y581" i="5"/>
  <c r="Y580" i="5"/>
  <c r="Y585" i="5"/>
  <c r="Y572" i="5"/>
  <c r="Y333" i="5"/>
  <c r="Y565" i="5"/>
  <c r="Y340" i="5"/>
  <c r="Y339" i="5"/>
  <c r="Y321" i="5"/>
  <c r="Y566" i="5"/>
  <c r="Y320" i="5"/>
  <c r="Y563" i="5"/>
  <c r="Y582" i="5"/>
  <c r="AC78" i="1"/>
  <c r="Y571" i="5"/>
  <c r="Y578" i="5"/>
  <c r="Y324" i="5"/>
  <c r="Y567" i="5"/>
  <c r="Y323" i="5"/>
  <c r="Y577" i="5"/>
  <c r="Y337" i="5"/>
  <c r="Y338" i="5"/>
  <c r="Y575" i="5"/>
  <c r="Y573" i="5"/>
  <c r="Y341" i="5"/>
  <c r="Y328" i="5"/>
  <c r="Y332" i="5"/>
  <c r="Y342" i="5"/>
  <c r="Y568" i="5"/>
  <c r="Y583" i="5"/>
  <c r="Y576" i="5"/>
  <c r="Y335" i="5"/>
  <c r="Y584" i="5"/>
  <c r="Y334" i="5"/>
  <c r="Y331" i="5"/>
  <c r="Y326" i="5"/>
  <c r="Y570" i="5"/>
  <c r="AC105" i="1"/>
  <c r="Y319" i="5"/>
  <c r="Y562" i="5"/>
  <c r="Y62" i="5"/>
  <c r="Y59" i="5"/>
  <c r="Y66" i="5"/>
  <c r="Y49" i="5"/>
  <c r="AC32" i="1"/>
  <c r="Y70" i="5"/>
  <c r="Y53" i="5"/>
  <c r="Y58" i="5"/>
  <c r="Y61" i="5"/>
  <c r="Y68" i="5"/>
  <c r="Y51" i="5"/>
  <c r="Y64" i="5"/>
  <c r="Y52" i="5"/>
  <c r="Y71" i="5"/>
  <c r="Y60" i="5"/>
  <c r="Y69" i="5"/>
  <c r="Y67" i="5"/>
  <c r="Y63" i="5"/>
  <c r="Y65" i="5"/>
  <c r="Y55" i="5"/>
  <c r="Y57" i="5"/>
  <c r="Y50" i="5"/>
  <c r="Y56" i="5"/>
  <c r="Y54" i="5"/>
  <c r="Y48" i="5"/>
  <c r="X442" i="5"/>
  <c r="AD28" i="1"/>
  <c r="AD29" i="1"/>
  <c r="AD30" i="1"/>
  <c r="AD26" i="1"/>
  <c r="AD31" i="1"/>
  <c r="AD56" i="1"/>
  <c r="AD58" i="1"/>
  <c r="AD69" i="1"/>
  <c r="AD55" i="1"/>
  <c r="AD27" i="1"/>
  <c r="AD66" i="1"/>
  <c r="AD57" i="1"/>
  <c r="AD68" i="1"/>
  <c r="AD59" i="1"/>
  <c r="AD54" i="1"/>
  <c r="W277" i="5"/>
  <c r="W619" i="5"/>
  <c r="W653" i="5"/>
  <c r="V521" i="5"/>
  <c r="W521" i="5"/>
  <c r="Y87" i="5"/>
  <c r="Y103" i="5"/>
  <c r="Y99" i="5"/>
  <c r="Y98" i="5"/>
  <c r="Y102" i="5"/>
  <c r="Y88" i="5"/>
  <c r="Y85" i="5"/>
  <c r="Y95" i="5"/>
  <c r="Y100" i="5"/>
  <c r="Y83" i="5"/>
  <c r="Y89" i="5"/>
  <c r="Y97" i="5"/>
  <c r="Y101" i="5"/>
  <c r="Y94" i="5"/>
  <c r="Y96" i="5"/>
  <c r="Y91" i="5"/>
  <c r="Y93" i="5"/>
  <c r="Y82" i="5"/>
  <c r="Y90" i="5"/>
  <c r="Y92" i="5"/>
  <c r="Y104" i="5"/>
  <c r="Y84" i="5"/>
  <c r="Y86" i="5"/>
  <c r="Y81" i="5"/>
  <c r="AC60" i="1"/>
  <c r="AC65" i="1"/>
  <c r="Y219" i="5"/>
  <c r="Y223" i="5"/>
  <c r="Y221" i="5"/>
  <c r="Y227" i="5"/>
  <c r="Y226" i="5"/>
  <c r="Y220" i="5"/>
  <c r="Y222" i="5"/>
  <c r="Y236" i="5"/>
  <c r="Y224" i="5"/>
  <c r="Y216" i="5"/>
  <c r="Y235" i="5"/>
  <c r="Y214" i="5"/>
  <c r="Y233" i="5"/>
  <c r="Y230" i="5"/>
  <c r="Y228" i="5"/>
  <c r="Y229" i="5"/>
  <c r="Y234" i="5"/>
  <c r="Y215" i="5"/>
  <c r="Y231" i="5"/>
  <c r="Y217" i="5"/>
  <c r="Y218" i="5"/>
  <c r="Y225" i="5"/>
  <c r="Y232" i="5"/>
  <c r="Y213" i="5"/>
  <c r="X686" i="5"/>
  <c r="V587" i="5"/>
  <c r="W587" i="5"/>
  <c r="Z61" i="5"/>
  <c r="Z64" i="5"/>
  <c r="Z67" i="5"/>
  <c r="Z62" i="5"/>
  <c r="Z50" i="5"/>
  <c r="Z63" i="5"/>
  <c r="Z71" i="5"/>
  <c r="Z51" i="5"/>
  <c r="Z49" i="5"/>
  <c r="Z54" i="5"/>
  <c r="Z65" i="5"/>
  <c r="Z59" i="5"/>
  <c r="Z66" i="5"/>
  <c r="Z56" i="5"/>
  <c r="Z60" i="5"/>
  <c r="Z57" i="5"/>
  <c r="Z53" i="5"/>
  <c r="Z68" i="5"/>
  <c r="AD32" i="1"/>
  <c r="Z52" i="5"/>
  <c r="Z70" i="5"/>
  <c r="Z55" i="5"/>
  <c r="Z69" i="5"/>
  <c r="Z58" i="5"/>
  <c r="Z48" i="5"/>
  <c r="Z72" i="5"/>
  <c r="Z85" i="5"/>
  <c r="Z93" i="5"/>
  <c r="Z90" i="5"/>
  <c r="Z92" i="5"/>
  <c r="Z101" i="5"/>
  <c r="Z96" i="5"/>
  <c r="Z94" i="5"/>
  <c r="Z86" i="5"/>
  <c r="Z104" i="5"/>
  <c r="Z91" i="5"/>
  <c r="Z87" i="5"/>
  <c r="Z103" i="5"/>
  <c r="Z102" i="5"/>
  <c r="Z88" i="5"/>
  <c r="Z82" i="5"/>
  <c r="Z95" i="5"/>
  <c r="Z97" i="5"/>
  <c r="Z98" i="5"/>
  <c r="Z99" i="5"/>
  <c r="Z89" i="5"/>
  <c r="Z83" i="5"/>
  <c r="Z100" i="5"/>
  <c r="Z84" i="5"/>
  <c r="Z81" i="5"/>
  <c r="Y171" i="5"/>
  <c r="Y237" i="5"/>
  <c r="Y257" i="5"/>
  <c r="Y497" i="5"/>
  <c r="Y515" i="5"/>
  <c r="Y517" i="5"/>
  <c r="Y270" i="5"/>
  <c r="Y516" i="5"/>
  <c r="Y256" i="5"/>
  <c r="Y265" i="5"/>
  <c r="Y262" i="5"/>
  <c r="Y513" i="5"/>
  <c r="Y268" i="5"/>
  <c r="AC76" i="1"/>
  <c r="Y504" i="5"/>
  <c r="Y519" i="5"/>
  <c r="Y506" i="5"/>
  <c r="Y508" i="5"/>
  <c r="Y503" i="5"/>
  <c r="Y263" i="5"/>
  <c r="Y260" i="5"/>
  <c r="Y501" i="5"/>
  <c r="Y502" i="5"/>
  <c r="Y272" i="5"/>
  <c r="Y510" i="5"/>
  <c r="Y255" i="5"/>
  <c r="Y498" i="5"/>
  <c r="Y273" i="5"/>
  <c r="Y274" i="5"/>
  <c r="Y500" i="5"/>
  <c r="Y259" i="5"/>
  <c r="Y258" i="5"/>
  <c r="Y254" i="5"/>
  <c r="Y276" i="5"/>
  <c r="Y507" i="5"/>
  <c r="Y505" i="5"/>
  <c r="Y499" i="5"/>
  <c r="Y264" i="5"/>
  <c r="Y512" i="5"/>
  <c r="Y269" i="5"/>
  <c r="Y271" i="5"/>
  <c r="Y267" i="5"/>
  <c r="Y514" i="5"/>
  <c r="Y509" i="5"/>
  <c r="Y266" i="5"/>
  <c r="Y511" i="5"/>
  <c r="Y518" i="5"/>
  <c r="Y275" i="5"/>
  <c r="AC103" i="1"/>
  <c r="AC71" i="1"/>
  <c r="AC82" i="1"/>
  <c r="Y261" i="5"/>
  <c r="Y496" i="5"/>
  <c r="Y253" i="5"/>
  <c r="Y105" i="5"/>
  <c r="AD70" i="1"/>
  <c r="AD67" i="1"/>
  <c r="Z164" i="5"/>
  <c r="Z157" i="5"/>
  <c r="Z169" i="5"/>
  <c r="Z161" i="5"/>
  <c r="Z160" i="5"/>
  <c r="Z153" i="5"/>
  <c r="Z162" i="5"/>
  <c r="Z152" i="5"/>
  <c r="Z163" i="5"/>
  <c r="Z149" i="5"/>
  <c r="Z167" i="5"/>
  <c r="Z151" i="5"/>
  <c r="Z155" i="5"/>
  <c r="Z168" i="5"/>
  <c r="Z150" i="5"/>
  <c r="Z156" i="5"/>
  <c r="Z170" i="5"/>
  <c r="Z154" i="5"/>
  <c r="Z166" i="5"/>
  <c r="Z158" i="5"/>
  <c r="Z159" i="5"/>
  <c r="Z148" i="5"/>
  <c r="Z165" i="5"/>
  <c r="Z147" i="5"/>
  <c r="Y586" i="5"/>
  <c r="W311" i="5"/>
  <c r="X311" i="5"/>
  <c r="Y409" i="5"/>
  <c r="X205" i="5"/>
  <c r="Y534" i="5"/>
  <c r="Y542" i="5"/>
  <c r="Y290" i="5"/>
  <c r="Y545" i="5"/>
  <c r="Y288" i="5"/>
  <c r="Y535" i="5"/>
  <c r="Y296" i="5"/>
  <c r="Y552" i="5"/>
  <c r="Y537" i="5"/>
  <c r="Y299" i="5"/>
  <c r="Y309" i="5"/>
  <c r="Y301" i="5"/>
  <c r="Y291" i="5"/>
  <c r="Y308" i="5"/>
  <c r="Y306" i="5"/>
  <c r="Y544" i="5"/>
  <c r="Y541" i="5"/>
  <c r="Y548" i="5"/>
  <c r="Y536" i="5"/>
  <c r="Y539" i="5"/>
  <c r="Y289" i="5"/>
  <c r="Y547" i="5"/>
  <c r="AC77" i="1"/>
  <c r="Y546" i="5"/>
  <c r="Y295" i="5"/>
  <c r="Y298" i="5"/>
  <c r="Y540" i="5"/>
  <c r="Y303" i="5"/>
  <c r="Y531" i="5"/>
  <c r="Y300" i="5"/>
  <c r="Y302" i="5"/>
  <c r="Y293" i="5"/>
  <c r="Y543" i="5"/>
  <c r="Y304" i="5"/>
  <c r="Y292" i="5"/>
  <c r="Y538" i="5"/>
  <c r="Y550" i="5"/>
  <c r="Y305" i="5"/>
  <c r="Y551" i="5"/>
  <c r="Y307" i="5"/>
  <c r="Y549" i="5"/>
  <c r="Y533" i="5"/>
  <c r="Y297" i="5"/>
  <c r="Y294" i="5"/>
  <c r="Y530" i="5"/>
  <c r="Y287" i="5"/>
  <c r="AC104" i="1"/>
  <c r="Y532" i="5"/>
  <c r="Y286" i="5"/>
  <c r="Y529" i="5"/>
  <c r="X520" i="5"/>
  <c r="AD104" i="1"/>
  <c r="Z293" i="5"/>
  <c r="Z287" i="5"/>
  <c r="Z290" i="5"/>
  <c r="Z544" i="5"/>
  <c r="Z532" i="5"/>
  <c r="Z289" i="5"/>
  <c r="Z543" i="5"/>
  <c r="Z542" i="5"/>
  <c r="AD77" i="1"/>
  <c r="Z298" i="5"/>
  <c r="Z548" i="5"/>
  <c r="Z535" i="5"/>
  <c r="Z295" i="5"/>
  <c r="Z536" i="5"/>
  <c r="Z305" i="5"/>
  <c r="Z297" i="5"/>
  <c r="Z303" i="5"/>
  <c r="Z541" i="5"/>
  <c r="Z539" i="5"/>
  <c r="Z546" i="5"/>
  <c r="Z551" i="5"/>
  <c r="Z300" i="5"/>
  <c r="Z537" i="5"/>
  <c r="Z547" i="5"/>
  <c r="Z538" i="5"/>
  <c r="Z530" i="5"/>
  <c r="Z308" i="5"/>
  <c r="Z292" i="5"/>
  <c r="Z545" i="5"/>
  <c r="Z549" i="5"/>
  <c r="Z294" i="5"/>
  <c r="Z550" i="5"/>
  <c r="Z309" i="5"/>
  <c r="Z306" i="5"/>
  <c r="Z540" i="5"/>
  <c r="Z552" i="5"/>
  <c r="Z301" i="5"/>
  <c r="Z296" i="5"/>
  <c r="Z304" i="5"/>
  <c r="Z533" i="5"/>
  <c r="Z534" i="5"/>
  <c r="Z299" i="5"/>
  <c r="Z291" i="5"/>
  <c r="Z531" i="5"/>
  <c r="Z302" i="5"/>
  <c r="Z307" i="5"/>
  <c r="Z288" i="5"/>
  <c r="Z286" i="5"/>
  <c r="Z310" i="5"/>
  <c r="Z529" i="5"/>
  <c r="W620" i="5"/>
  <c r="Z392" i="5"/>
  <c r="Z643" i="5"/>
  <c r="Z637" i="5"/>
  <c r="AD107" i="1"/>
  <c r="Z629" i="5"/>
  <c r="Z408" i="5"/>
  <c r="Z636" i="5"/>
  <c r="Z398" i="5"/>
  <c r="Z641" i="5"/>
  <c r="Z402" i="5"/>
  <c r="Z400" i="5"/>
  <c r="Z640" i="5"/>
  <c r="Z393" i="5"/>
  <c r="Z390" i="5"/>
  <c r="Z633" i="5"/>
  <c r="Z649" i="5"/>
  <c r="Z391" i="5"/>
  <c r="Z397" i="5"/>
  <c r="Z634" i="5"/>
  <c r="Z405" i="5"/>
  <c r="Z632" i="5"/>
  <c r="Z631" i="5"/>
  <c r="Z387" i="5"/>
  <c r="Z399" i="5"/>
  <c r="Z639" i="5"/>
  <c r="Z394" i="5"/>
  <c r="Z630" i="5"/>
  <c r="Z401" i="5"/>
  <c r="AD80" i="1"/>
  <c r="Z645" i="5"/>
  <c r="Z638" i="5"/>
  <c r="Z648" i="5"/>
  <c r="Z651" i="5"/>
  <c r="Z646" i="5"/>
  <c r="Z644" i="5"/>
  <c r="Z386" i="5"/>
  <c r="Z388" i="5"/>
  <c r="Z395" i="5"/>
  <c r="Z406" i="5"/>
  <c r="Z647" i="5"/>
  <c r="Z389" i="5"/>
  <c r="Z403" i="5"/>
  <c r="Z642" i="5"/>
  <c r="Z407" i="5"/>
  <c r="Z635" i="5"/>
  <c r="Z404" i="5"/>
  <c r="Z650" i="5"/>
  <c r="Z396" i="5"/>
  <c r="Z628" i="5"/>
  <c r="Z385" i="5"/>
  <c r="Z188" i="5"/>
  <c r="Z189" i="5"/>
  <c r="Z195" i="5"/>
  <c r="Z196" i="5"/>
  <c r="Z194" i="5"/>
  <c r="Z203" i="5"/>
  <c r="Z183" i="5"/>
  <c r="Z192" i="5"/>
  <c r="Z202" i="5"/>
  <c r="Z201" i="5"/>
  <c r="Z191" i="5"/>
  <c r="Z199" i="5"/>
  <c r="Z182" i="5"/>
  <c r="Z190" i="5"/>
  <c r="Z200" i="5"/>
  <c r="Z181" i="5"/>
  <c r="Z186" i="5"/>
  <c r="Z193" i="5"/>
  <c r="Z184" i="5"/>
  <c r="Z198" i="5"/>
  <c r="Z197" i="5"/>
  <c r="Z187" i="5"/>
  <c r="Z185" i="5"/>
  <c r="Z180" i="5"/>
  <c r="X443" i="5"/>
  <c r="W278" i="5"/>
  <c r="Z355" i="5"/>
  <c r="Z605" i="5"/>
  <c r="Z358" i="5"/>
  <c r="Z367" i="5"/>
  <c r="Z615" i="5"/>
  <c r="Z356" i="5"/>
  <c r="AD79" i="1"/>
  <c r="Z614" i="5"/>
  <c r="Z370" i="5"/>
  <c r="Z368" i="5"/>
  <c r="Z597" i="5"/>
  <c r="Z600" i="5"/>
  <c r="Z360" i="5"/>
  <c r="Z598" i="5"/>
  <c r="Z369" i="5"/>
  <c r="Z354" i="5"/>
  <c r="Z353" i="5"/>
  <c r="Z596" i="5"/>
  <c r="Z364" i="5"/>
  <c r="Z375" i="5"/>
  <c r="Z618" i="5"/>
  <c r="Z611" i="5"/>
  <c r="Z602" i="5"/>
  <c r="Z607" i="5"/>
  <c r="Z608" i="5"/>
  <c r="Z606" i="5"/>
  <c r="Z365" i="5"/>
  <c r="Z362" i="5"/>
  <c r="Z357" i="5"/>
  <c r="Z601" i="5"/>
  <c r="Z599" i="5"/>
  <c r="Z361" i="5"/>
  <c r="Z366" i="5"/>
  <c r="Z609" i="5"/>
  <c r="Z610" i="5"/>
  <c r="AD106" i="1"/>
  <c r="Z371" i="5"/>
  <c r="Z613" i="5"/>
  <c r="Z373" i="5"/>
  <c r="Z363" i="5"/>
  <c r="Z612" i="5"/>
  <c r="Z616" i="5"/>
  <c r="Z617" i="5"/>
  <c r="Z604" i="5"/>
  <c r="Z374" i="5"/>
  <c r="Z372" i="5"/>
  <c r="Z603" i="5"/>
  <c r="Z359" i="5"/>
  <c r="Z352" i="5"/>
  <c r="Z595" i="5"/>
  <c r="Z232" i="5"/>
  <c r="Z224" i="5"/>
  <c r="Z215" i="5"/>
  <c r="Z219" i="5"/>
  <c r="Z217" i="5"/>
  <c r="Z216" i="5"/>
  <c r="Z221" i="5"/>
  <c r="Z222" i="5"/>
  <c r="Z228" i="5"/>
  <c r="Z230" i="5"/>
  <c r="Z226" i="5"/>
  <c r="Z220" i="5"/>
  <c r="Z229" i="5"/>
  <c r="Z233" i="5"/>
  <c r="Z235" i="5"/>
  <c r="Z225" i="5"/>
  <c r="Z223" i="5"/>
  <c r="Z231" i="5"/>
  <c r="Z234" i="5"/>
  <c r="Z236" i="5"/>
  <c r="Z227" i="5"/>
  <c r="Z218" i="5"/>
  <c r="Z214" i="5"/>
  <c r="Z213" i="5"/>
  <c r="Z133" i="5"/>
  <c r="Z130" i="5"/>
  <c r="Z124" i="5"/>
  <c r="Z129" i="5"/>
  <c r="Z122" i="5"/>
  <c r="Z120" i="5"/>
  <c r="Z121" i="5"/>
  <c r="Z119" i="5"/>
  <c r="Z132" i="5"/>
  <c r="Z127" i="5"/>
  <c r="Z115" i="5"/>
  <c r="Z125" i="5"/>
  <c r="Z123" i="5"/>
  <c r="Z136" i="5"/>
  <c r="Z117" i="5"/>
  <c r="Z137" i="5"/>
  <c r="Z131" i="5"/>
  <c r="Z118" i="5"/>
  <c r="Z134" i="5"/>
  <c r="Z128" i="5"/>
  <c r="Z135" i="5"/>
  <c r="Z116" i="5"/>
  <c r="Z126" i="5"/>
  <c r="Z114" i="5"/>
  <c r="Y72" i="5"/>
  <c r="Y73" i="5"/>
  <c r="Y343" i="5"/>
  <c r="X344" i="5"/>
  <c r="Y344" i="5"/>
  <c r="X376" i="5"/>
  <c r="X106" i="5"/>
  <c r="X238" i="5"/>
  <c r="X277" i="5"/>
  <c r="AD60" i="1"/>
  <c r="AD65" i="1"/>
  <c r="Y423" i="5"/>
  <c r="Y662" i="5"/>
  <c r="Y675" i="5"/>
  <c r="Y669" i="5"/>
  <c r="Y421" i="5"/>
  <c r="Y430" i="5"/>
  <c r="Y425" i="5"/>
  <c r="Y434" i="5"/>
  <c r="Y433" i="5"/>
  <c r="Y422" i="5"/>
  <c r="Y438" i="5"/>
  <c r="Y672" i="5"/>
  <c r="Y441" i="5"/>
  <c r="Y424" i="5"/>
  <c r="Y665" i="5"/>
  <c r="Y429" i="5"/>
  <c r="Y420" i="5"/>
  <c r="Y426" i="5"/>
  <c r="Y677" i="5"/>
  <c r="Y676" i="5"/>
  <c r="Y440" i="5"/>
  <c r="Y684" i="5"/>
  <c r="Y683" i="5"/>
  <c r="Y681" i="5"/>
  <c r="Y674" i="5"/>
  <c r="Y680" i="5"/>
  <c r="Y437" i="5"/>
  <c r="Y670" i="5"/>
  <c r="Y666" i="5"/>
  <c r="Y431" i="5"/>
  <c r="AC81" i="1"/>
  <c r="Y428" i="5"/>
  <c r="Y427" i="5"/>
  <c r="Y667" i="5"/>
  <c r="Y663" i="5"/>
  <c r="Y435" i="5"/>
  <c r="Y668" i="5"/>
  <c r="Y671" i="5"/>
  <c r="Y673" i="5"/>
  <c r="Y682" i="5"/>
  <c r="Y432" i="5"/>
  <c r="Y419" i="5"/>
  <c r="Y679" i="5"/>
  <c r="Y678" i="5"/>
  <c r="AC108" i="1"/>
  <c r="Y436" i="5"/>
  <c r="Y439" i="5"/>
  <c r="Y664" i="5"/>
  <c r="Y661" i="5"/>
  <c r="Y418" i="5"/>
  <c r="X139" i="5"/>
  <c r="W554" i="5"/>
  <c r="X554" i="5"/>
  <c r="AG21" i="1"/>
  <c r="AF22" i="1"/>
  <c r="Y204" i="5"/>
  <c r="X619" i="5"/>
  <c r="X620" i="5"/>
  <c r="X652" i="5"/>
  <c r="X587" i="5"/>
  <c r="W377" i="5"/>
  <c r="AE56" i="1"/>
  <c r="AE26" i="1"/>
  <c r="AE27" i="1"/>
  <c r="AE29" i="1"/>
  <c r="AE28" i="1"/>
  <c r="AE59" i="1"/>
  <c r="AE31" i="1"/>
  <c r="AE70" i="1"/>
  <c r="AE58" i="1"/>
  <c r="AE30" i="1"/>
  <c r="AE69" i="1"/>
  <c r="AE54" i="1"/>
  <c r="AE57" i="1"/>
  <c r="AE68" i="1"/>
  <c r="AE55" i="1"/>
  <c r="AE66" i="1"/>
  <c r="X409" i="5"/>
  <c r="Y138" i="5"/>
  <c r="Y369" i="5"/>
  <c r="Y360" i="5"/>
  <c r="Y366" i="5"/>
  <c r="Y607" i="5"/>
  <c r="Y609" i="5"/>
  <c r="Y356" i="5"/>
  <c r="Y375" i="5"/>
  <c r="Y374" i="5"/>
  <c r="Y608" i="5"/>
  <c r="Y605" i="5"/>
  <c r="Y367" i="5"/>
  <c r="Y362" i="5"/>
  <c r="Y358" i="5"/>
  <c r="Y617" i="5"/>
  <c r="Y612" i="5"/>
  <c r="Y368" i="5"/>
  <c r="Y606" i="5"/>
  <c r="Y354" i="5"/>
  <c r="Y373" i="5"/>
  <c r="AC106" i="1"/>
  <c r="Y600" i="5"/>
  <c r="Y599" i="5"/>
  <c r="Y597" i="5"/>
  <c r="AC79" i="1"/>
  <c r="Y613" i="5"/>
  <c r="Y601" i="5"/>
  <c r="Y371" i="5"/>
  <c r="Y611" i="5"/>
  <c r="Y359" i="5"/>
  <c r="Y616" i="5"/>
  <c r="Y355" i="5"/>
  <c r="Y363" i="5"/>
  <c r="Y618" i="5"/>
  <c r="Y603" i="5"/>
  <c r="Y614" i="5"/>
  <c r="Y353" i="5"/>
  <c r="Y604" i="5"/>
  <c r="Y361" i="5"/>
  <c r="Y364" i="5"/>
  <c r="Y615" i="5"/>
  <c r="Y602" i="5"/>
  <c r="Y610" i="5"/>
  <c r="Y596" i="5"/>
  <c r="Y357" i="5"/>
  <c r="Y372" i="5"/>
  <c r="Y598" i="5"/>
  <c r="Y370" i="5"/>
  <c r="Y365" i="5"/>
  <c r="Y352" i="5"/>
  <c r="Y595" i="5"/>
  <c r="AB109" i="1"/>
  <c r="AA637" i="5"/>
  <c r="AA391" i="5"/>
  <c r="AA398" i="5"/>
  <c r="AA403" i="5"/>
  <c r="AA629" i="5"/>
  <c r="AA649" i="5"/>
  <c r="AA646" i="5"/>
  <c r="AA647" i="5"/>
  <c r="AA388" i="5"/>
  <c r="AA631" i="5"/>
  <c r="AA404" i="5"/>
  <c r="AE80" i="1"/>
  <c r="AE107" i="1"/>
  <c r="AA393" i="5"/>
  <c r="AA645" i="5"/>
  <c r="AA634" i="5"/>
  <c r="AA406" i="5"/>
  <c r="AA640" i="5"/>
  <c r="AA387" i="5"/>
  <c r="AA650" i="5"/>
  <c r="AA643" i="5"/>
  <c r="AA648" i="5"/>
  <c r="AA632" i="5"/>
  <c r="AA395" i="5"/>
  <c r="AA633" i="5"/>
  <c r="AA396" i="5"/>
  <c r="AA635" i="5"/>
  <c r="AA641" i="5"/>
  <c r="AA390" i="5"/>
  <c r="AA402" i="5"/>
  <c r="AA399" i="5"/>
  <c r="AA636" i="5"/>
  <c r="AA400" i="5"/>
  <c r="AA389" i="5"/>
  <c r="AA394" i="5"/>
  <c r="AA408" i="5"/>
  <c r="AA405" i="5"/>
  <c r="AA386" i="5"/>
  <c r="AA651" i="5"/>
  <c r="AA401" i="5"/>
  <c r="AA638" i="5"/>
  <c r="AA407" i="5"/>
  <c r="AA642" i="5"/>
  <c r="AA639" i="5"/>
  <c r="AA392" i="5"/>
  <c r="AA644" i="5"/>
  <c r="AA397" i="5"/>
  <c r="AA630" i="5"/>
  <c r="AA385" i="5"/>
  <c r="AA628" i="5"/>
  <c r="X653" i="5"/>
  <c r="Y653" i="5"/>
  <c r="X410" i="5"/>
  <c r="AA684" i="5"/>
  <c r="AA421" i="5"/>
  <c r="AE108" i="1"/>
  <c r="AA663" i="5"/>
  <c r="AA669" i="5"/>
  <c r="AA419" i="5"/>
  <c r="AA670" i="5"/>
  <c r="AA662" i="5"/>
  <c r="AA423" i="5"/>
  <c r="AA437" i="5"/>
  <c r="AA438" i="5"/>
  <c r="AA678" i="5"/>
  <c r="AA440" i="5"/>
  <c r="AA668" i="5"/>
  <c r="AA428" i="5"/>
  <c r="AE81" i="1"/>
  <c r="AA680" i="5"/>
  <c r="AA433" i="5"/>
  <c r="AA422" i="5"/>
  <c r="AA677" i="5"/>
  <c r="AA434" i="5"/>
  <c r="AA430" i="5"/>
  <c r="AA426" i="5"/>
  <c r="AA666" i="5"/>
  <c r="AA671" i="5"/>
  <c r="AA683" i="5"/>
  <c r="AA667" i="5"/>
  <c r="AA672" i="5"/>
  <c r="AA441" i="5"/>
  <c r="AA436" i="5"/>
  <c r="AA664" i="5"/>
  <c r="AA665" i="5"/>
  <c r="AA679" i="5"/>
  <c r="AA432" i="5"/>
  <c r="AA429" i="5"/>
  <c r="AA681" i="5"/>
  <c r="AA420" i="5"/>
  <c r="AA435" i="5"/>
  <c r="AA424" i="5"/>
  <c r="AA439" i="5"/>
  <c r="AA675" i="5"/>
  <c r="AA673" i="5"/>
  <c r="AA676" i="5"/>
  <c r="AA674" i="5"/>
  <c r="AA431" i="5"/>
  <c r="AA682" i="5"/>
  <c r="AA425" i="5"/>
  <c r="AA427" i="5"/>
  <c r="AA418" i="5"/>
  <c r="AA661" i="5"/>
  <c r="AA685" i="5"/>
  <c r="AA54" i="5"/>
  <c r="AA64" i="5"/>
  <c r="AA59" i="5"/>
  <c r="AA50" i="5"/>
  <c r="AA63" i="5"/>
  <c r="AA66" i="5"/>
  <c r="AA49" i="5"/>
  <c r="AA65" i="5"/>
  <c r="AE32" i="1"/>
  <c r="AA57" i="5"/>
  <c r="AA58" i="5"/>
  <c r="AA53" i="5"/>
  <c r="AA52" i="5"/>
  <c r="AA71" i="5"/>
  <c r="AA61" i="5"/>
  <c r="AA67" i="5"/>
  <c r="AA56" i="5"/>
  <c r="AA60" i="5"/>
  <c r="AA62" i="5"/>
  <c r="AA70" i="5"/>
  <c r="AA51" i="5"/>
  <c r="AA68" i="5"/>
  <c r="AA69" i="5"/>
  <c r="AA55" i="5"/>
  <c r="AA48" i="5"/>
  <c r="AE60" i="1"/>
  <c r="AE65" i="1"/>
  <c r="AA119" i="5"/>
  <c r="AA120" i="5"/>
  <c r="AA118" i="5"/>
  <c r="AA123" i="5"/>
  <c r="AA116" i="5"/>
  <c r="AA129" i="5"/>
  <c r="AA115" i="5"/>
  <c r="AA134" i="5"/>
  <c r="AA122" i="5"/>
  <c r="AA127" i="5"/>
  <c r="AA117" i="5"/>
  <c r="AA131" i="5"/>
  <c r="AA136" i="5"/>
  <c r="AA130" i="5"/>
  <c r="AA124" i="5"/>
  <c r="AA135" i="5"/>
  <c r="AA126" i="5"/>
  <c r="AA133" i="5"/>
  <c r="AA137" i="5"/>
  <c r="AA121" i="5"/>
  <c r="AA125" i="5"/>
  <c r="AA128" i="5"/>
  <c r="AA132" i="5"/>
  <c r="AA114" i="5"/>
  <c r="AE67" i="1"/>
  <c r="Z138" i="5"/>
  <c r="Z237" i="5"/>
  <c r="Z619" i="5"/>
  <c r="Y619" i="5"/>
  <c r="Y620" i="5"/>
  <c r="Z620" i="5"/>
  <c r="Z204" i="5"/>
  <c r="Z409" i="5"/>
  <c r="Y277" i="5"/>
  <c r="AC109" i="1"/>
  <c r="Y238" i="5"/>
  <c r="Z105" i="5"/>
  <c r="AA83" i="5"/>
  <c r="AA99" i="5"/>
  <c r="AA104" i="5"/>
  <c r="AA98" i="5"/>
  <c r="AA89" i="5"/>
  <c r="AA102" i="5"/>
  <c r="AA92" i="5"/>
  <c r="AA96" i="5"/>
  <c r="AA97" i="5"/>
  <c r="AA87" i="5"/>
  <c r="AA91" i="5"/>
  <c r="AA86" i="5"/>
  <c r="AA82" i="5"/>
  <c r="AA90" i="5"/>
  <c r="AA95" i="5"/>
  <c r="AA94" i="5"/>
  <c r="AA100" i="5"/>
  <c r="AA93" i="5"/>
  <c r="AA85" i="5"/>
  <c r="AA103" i="5"/>
  <c r="AA101" i="5"/>
  <c r="AA84" i="5"/>
  <c r="AA88" i="5"/>
  <c r="AA81" i="5"/>
  <c r="AF28" i="1"/>
  <c r="AF29" i="1"/>
  <c r="AF59" i="1"/>
  <c r="AF27" i="1"/>
  <c r="AF26" i="1"/>
  <c r="AF56" i="1"/>
  <c r="AF31" i="1"/>
  <c r="AF54" i="1"/>
  <c r="AF30" i="1"/>
  <c r="AF57" i="1"/>
  <c r="AF68" i="1"/>
  <c r="AF58" i="1"/>
  <c r="AF55" i="1"/>
  <c r="AF66" i="1"/>
  <c r="Y442" i="5"/>
  <c r="Y376" i="5"/>
  <c r="AA354" i="5"/>
  <c r="AA366" i="5"/>
  <c r="AA364" i="5"/>
  <c r="AA610" i="5"/>
  <c r="AA613" i="5"/>
  <c r="AA599" i="5"/>
  <c r="AA616" i="5"/>
  <c r="AA611" i="5"/>
  <c r="AA360" i="5"/>
  <c r="AA612" i="5"/>
  <c r="AA609" i="5"/>
  <c r="AA603" i="5"/>
  <c r="AE79" i="1"/>
  <c r="AA601" i="5"/>
  <c r="AA597" i="5"/>
  <c r="AA618" i="5"/>
  <c r="AA355" i="5"/>
  <c r="AA614" i="5"/>
  <c r="AA358" i="5"/>
  <c r="AA598" i="5"/>
  <c r="AA357" i="5"/>
  <c r="AA596" i="5"/>
  <c r="AA602" i="5"/>
  <c r="AA374" i="5"/>
  <c r="AA600" i="5"/>
  <c r="AA370" i="5"/>
  <c r="AA369" i="5"/>
  <c r="AA353" i="5"/>
  <c r="AA362" i="5"/>
  <c r="AE106" i="1"/>
  <c r="AA373" i="5"/>
  <c r="AA361" i="5"/>
  <c r="AA367" i="5"/>
  <c r="AA368" i="5"/>
  <c r="AA356" i="5"/>
  <c r="AA363" i="5"/>
  <c r="AA617" i="5"/>
  <c r="AA365" i="5"/>
  <c r="AA605" i="5"/>
  <c r="AA606" i="5"/>
  <c r="AA372" i="5"/>
  <c r="AA371" i="5"/>
  <c r="AA607" i="5"/>
  <c r="AA608" i="5"/>
  <c r="AA359" i="5"/>
  <c r="AA615" i="5"/>
  <c r="AA375" i="5"/>
  <c r="AA604" i="5"/>
  <c r="AA352" i="5"/>
  <c r="AA376" i="5"/>
  <c r="AA595" i="5"/>
  <c r="Y685" i="5"/>
  <c r="Y139" i="5"/>
  <c r="AA185" i="5"/>
  <c r="AA203" i="5"/>
  <c r="AA198" i="5"/>
  <c r="AA182" i="5"/>
  <c r="AA195" i="5"/>
  <c r="AA192" i="5"/>
  <c r="AA196" i="5"/>
  <c r="AA190" i="5"/>
  <c r="AA188" i="5"/>
  <c r="AA181" i="5"/>
  <c r="AA199" i="5"/>
  <c r="AA183" i="5"/>
  <c r="AA193" i="5"/>
  <c r="AA184" i="5"/>
  <c r="AA187" i="5"/>
  <c r="AA197" i="5"/>
  <c r="AA200" i="5"/>
  <c r="AA201" i="5"/>
  <c r="AA189" i="5"/>
  <c r="AA202" i="5"/>
  <c r="AA186" i="5"/>
  <c r="AA191" i="5"/>
  <c r="AA194" i="5"/>
  <c r="AA180" i="5"/>
  <c r="AA204" i="5"/>
  <c r="AA218" i="5"/>
  <c r="AA234" i="5"/>
  <c r="AA222" i="5"/>
  <c r="AA223" i="5"/>
  <c r="AA231" i="5"/>
  <c r="AA227" i="5"/>
  <c r="AA215" i="5"/>
  <c r="AA216" i="5"/>
  <c r="AA217" i="5"/>
  <c r="AA225" i="5"/>
  <c r="AA219" i="5"/>
  <c r="AA233" i="5"/>
  <c r="AA226" i="5"/>
  <c r="AA236" i="5"/>
  <c r="AA224" i="5"/>
  <c r="AA232" i="5"/>
  <c r="AA220" i="5"/>
  <c r="AA230" i="5"/>
  <c r="AA235" i="5"/>
  <c r="AA221" i="5"/>
  <c r="AA214" i="5"/>
  <c r="AA228" i="5"/>
  <c r="AA229" i="5"/>
  <c r="AA213" i="5"/>
  <c r="AA237" i="5"/>
  <c r="AA157" i="5"/>
  <c r="AA170" i="5"/>
  <c r="AA164" i="5"/>
  <c r="AA163" i="5"/>
  <c r="AA161" i="5"/>
  <c r="AA165" i="5"/>
  <c r="AA155" i="5"/>
  <c r="AA151" i="5"/>
  <c r="AA167" i="5"/>
  <c r="AA153" i="5"/>
  <c r="AA148" i="5"/>
  <c r="AA149" i="5"/>
  <c r="AA150" i="5"/>
  <c r="AA162" i="5"/>
  <c r="AA156" i="5"/>
  <c r="AA160" i="5"/>
  <c r="AA152" i="5"/>
  <c r="AA166" i="5"/>
  <c r="AA168" i="5"/>
  <c r="AA154" i="5"/>
  <c r="AA159" i="5"/>
  <c r="AA158" i="5"/>
  <c r="AA169" i="5"/>
  <c r="AA147" i="5"/>
  <c r="Y205" i="5"/>
  <c r="X278" i="5"/>
  <c r="Z376" i="5"/>
  <c r="Z652" i="5"/>
  <c r="Z653" i="5"/>
  <c r="Y553" i="5"/>
  <c r="Y410" i="5"/>
  <c r="Y520" i="5"/>
  <c r="X377" i="5"/>
  <c r="Z553" i="5"/>
  <c r="X521" i="5"/>
  <c r="Y310" i="5"/>
  <c r="Z171" i="5"/>
  <c r="Z573" i="5"/>
  <c r="Z579" i="5"/>
  <c r="Z331" i="5"/>
  <c r="Z574" i="5"/>
  <c r="Z338" i="5"/>
  <c r="Z570" i="5"/>
  <c r="Z329" i="5"/>
  <c r="Z568" i="5"/>
  <c r="Z326" i="5"/>
  <c r="Z585" i="5"/>
  <c r="Z327" i="5"/>
  <c r="Z340" i="5"/>
  <c r="Z330" i="5"/>
  <c r="Z322" i="5"/>
  <c r="Z342" i="5"/>
  <c r="Z325" i="5"/>
  <c r="Z581" i="5"/>
  <c r="Z563" i="5"/>
  <c r="Z566" i="5"/>
  <c r="Z572" i="5"/>
  <c r="Z320" i="5"/>
  <c r="Z324" i="5"/>
  <c r="Z576" i="5"/>
  <c r="Z567" i="5"/>
  <c r="Z571" i="5"/>
  <c r="Z575" i="5"/>
  <c r="Z565" i="5"/>
  <c r="Z577" i="5"/>
  <c r="Z339" i="5"/>
  <c r="Z335" i="5"/>
  <c r="Z323" i="5"/>
  <c r="Z337" i="5"/>
  <c r="Z341" i="5"/>
  <c r="Z328" i="5"/>
  <c r="Z321" i="5"/>
  <c r="Z564" i="5"/>
  <c r="Z580" i="5"/>
  <c r="Z582" i="5"/>
  <c r="Z332" i="5"/>
  <c r="Z583" i="5"/>
  <c r="Z584" i="5"/>
  <c r="Z336" i="5"/>
  <c r="Z334" i="5"/>
  <c r="AD78" i="1"/>
  <c r="Z333" i="5"/>
  <c r="Z569" i="5"/>
  <c r="Z578" i="5"/>
  <c r="AD105" i="1"/>
  <c r="Z319" i="5"/>
  <c r="Z562" i="5"/>
  <c r="Y106" i="5"/>
  <c r="Y172" i="5"/>
  <c r="AA302" i="5"/>
  <c r="AA306" i="5"/>
  <c r="AE104" i="1"/>
  <c r="AA551" i="5"/>
  <c r="AA288" i="5"/>
  <c r="AA534" i="5"/>
  <c r="AA307" i="5"/>
  <c r="AA542" i="5"/>
  <c r="AA290" i="5"/>
  <c r="AA532" i="5"/>
  <c r="AA294" i="5"/>
  <c r="AA291" i="5"/>
  <c r="AA297" i="5"/>
  <c r="AA301" i="5"/>
  <c r="AA545" i="5"/>
  <c r="AA531" i="5"/>
  <c r="AE77" i="1"/>
  <c r="AA303" i="5"/>
  <c r="AA530" i="5"/>
  <c r="AA298" i="5"/>
  <c r="AA546" i="5"/>
  <c r="AA309" i="5"/>
  <c r="AA535" i="5"/>
  <c r="AA295" i="5"/>
  <c r="AA541" i="5"/>
  <c r="AA536" i="5"/>
  <c r="AA543" i="5"/>
  <c r="AA304" i="5"/>
  <c r="AA549" i="5"/>
  <c r="AA296" i="5"/>
  <c r="AA552" i="5"/>
  <c r="AA550" i="5"/>
  <c r="AA289" i="5"/>
  <c r="AA547" i="5"/>
  <c r="AA548" i="5"/>
  <c r="AA539" i="5"/>
  <c r="AA537" i="5"/>
  <c r="AA538" i="5"/>
  <c r="AA533" i="5"/>
  <c r="AA287" i="5"/>
  <c r="AA540" i="5"/>
  <c r="AA293" i="5"/>
  <c r="AA299" i="5"/>
  <c r="AA300" i="5"/>
  <c r="AA308" i="5"/>
  <c r="AA292" i="5"/>
  <c r="AA544" i="5"/>
  <c r="AA305" i="5"/>
  <c r="AA286" i="5"/>
  <c r="AA529" i="5"/>
  <c r="Z264" i="5"/>
  <c r="Z511" i="5"/>
  <c r="Z508" i="5"/>
  <c r="Z255" i="5"/>
  <c r="Z260" i="5"/>
  <c r="Z513" i="5"/>
  <c r="Z257" i="5"/>
  <c r="Z517" i="5"/>
  <c r="Z518" i="5"/>
  <c r="Z499" i="5"/>
  <c r="Z272" i="5"/>
  <c r="Z256" i="5"/>
  <c r="Z510" i="5"/>
  <c r="Z502" i="5"/>
  <c r="Z514" i="5"/>
  <c r="Z269" i="5"/>
  <c r="Z503" i="5"/>
  <c r="AD76" i="1"/>
  <c r="Z267" i="5"/>
  <c r="Z271" i="5"/>
  <c r="Z254" i="5"/>
  <c r="Z507" i="5"/>
  <c r="Z268" i="5"/>
  <c r="Z258" i="5"/>
  <c r="Z509" i="5"/>
  <c r="Z515" i="5"/>
  <c r="Z266" i="5"/>
  <c r="Z501" i="5"/>
  <c r="Z263" i="5"/>
  <c r="Z512" i="5"/>
  <c r="Z265" i="5"/>
  <c r="Z498" i="5"/>
  <c r="Z262" i="5"/>
  <c r="Z276" i="5"/>
  <c r="Z274" i="5"/>
  <c r="Z259" i="5"/>
  <c r="Z505" i="5"/>
  <c r="Z519" i="5"/>
  <c r="Z516" i="5"/>
  <c r="Z273" i="5"/>
  <c r="Z504" i="5"/>
  <c r="Z497" i="5"/>
  <c r="Z261" i="5"/>
  <c r="Z270" i="5"/>
  <c r="Z500" i="5"/>
  <c r="Z506" i="5"/>
  <c r="Z275" i="5"/>
  <c r="AD103" i="1"/>
  <c r="Z496" i="5"/>
  <c r="AD71" i="1"/>
  <c r="AD82" i="1"/>
  <c r="Z253" i="5"/>
  <c r="AH21" i="1"/>
  <c r="AG22" i="1"/>
  <c r="Y587" i="5"/>
  <c r="Z674" i="5"/>
  <c r="Z435" i="5"/>
  <c r="Z427" i="5"/>
  <c r="Z670" i="5"/>
  <c r="Z664" i="5"/>
  <c r="Z668" i="5"/>
  <c r="Z679" i="5"/>
  <c r="Z675" i="5"/>
  <c r="Z662" i="5"/>
  <c r="AD81" i="1"/>
  <c r="Z667" i="5"/>
  <c r="Z669" i="5"/>
  <c r="Z432" i="5"/>
  <c r="Z434" i="5"/>
  <c r="Z441" i="5"/>
  <c r="Z429" i="5"/>
  <c r="Z436" i="5"/>
  <c r="Z437" i="5"/>
  <c r="Z680" i="5"/>
  <c r="Z421" i="5"/>
  <c r="Z671" i="5"/>
  <c r="Z673" i="5"/>
  <c r="Z683" i="5"/>
  <c r="Z428" i="5"/>
  <c r="Z424" i="5"/>
  <c r="Z439" i="5"/>
  <c r="AD108" i="1"/>
  <c r="Z666" i="5"/>
  <c r="Z426" i="5"/>
  <c r="Z663" i="5"/>
  <c r="Z677" i="5"/>
  <c r="Z433" i="5"/>
  <c r="Z678" i="5"/>
  <c r="Z420" i="5"/>
  <c r="Z682" i="5"/>
  <c r="Z423" i="5"/>
  <c r="Z425" i="5"/>
  <c r="Z676" i="5"/>
  <c r="Z419" i="5"/>
  <c r="Z422" i="5"/>
  <c r="Z440" i="5"/>
  <c r="Z684" i="5"/>
  <c r="Z431" i="5"/>
  <c r="Z681" i="5"/>
  <c r="Z665" i="5"/>
  <c r="Z438" i="5"/>
  <c r="Z672" i="5"/>
  <c r="Z430" i="5"/>
  <c r="Z661" i="5"/>
  <c r="Z418" i="5"/>
  <c r="Z73" i="5"/>
  <c r="Z277" i="5"/>
  <c r="Y443" i="5"/>
  <c r="AB189" i="5"/>
  <c r="AB186" i="5"/>
  <c r="AB181" i="5"/>
  <c r="AB194" i="5"/>
  <c r="AB197" i="5"/>
  <c r="AB193" i="5"/>
  <c r="AB184" i="5"/>
  <c r="AB198" i="5"/>
  <c r="AB190" i="5"/>
  <c r="AB196" i="5"/>
  <c r="AB187" i="5"/>
  <c r="AB185" i="5"/>
  <c r="AB182" i="5"/>
  <c r="AB188" i="5"/>
  <c r="AB201" i="5"/>
  <c r="AB199" i="5"/>
  <c r="AB191" i="5"/>
  <c r="AB192" i="5"/>
  <c r="AB203" i="5"/>
  <c r="AB195" i="5"/>
  <c r="AB200" i="5"/>
  <c r="AB202" i="5"/>
  <c r="AB183" i="5"/>
  <c r="AB180" i="5"/>
  <c r="AB60" i="5"/>
  <c r="AB64" i="5"/>
  <c r="AB71" i="5"/>
  <c r="AB67" i="5"/>
  <c r="AB61" i="5"/>
  <c r="AB55" i="5"/>
  <c r="AB54" i="5"/>
  <c r="AB51" i="5"/>
  <c r="AB70" i="5"/>
  <c r="AB52" i="5"/>
  <c r="AB68" i="5"/>
  <c r="AB63" i="5"/>
  <c r="AB53" i="5"/>
  <c r="AB49" i="5"/>
  <c r="AB59" i="5"/>
  <c r="AB69" i="5"/>
  <c r="AB66" i="5"/>
  <c r="AB58" i="5"/>
  <c r="AB57" i="5"/>
  <c r="AF32" i="1"/>
  <c r="AB62" i="5"/>
  <c r="AB65" i="5"/>
  <c r="AB56" i="5"/>
  <c r="AB50" i="5"/>
  <c r="AB48" i="5"/>
  <c r="AB134" i="5"/>
  <c r="AB136" i="5"/>
  <c r="AB130" i="5"/>
  <c r="AB116" i="5"/>
  <c r="AB119" i="5"/>
  <c r="AB126" i="5"/>
  <c r="AB128" i="5"/>
  <c r="AB120" i="5"/>
  <c r="AB137" i="5"/>
  <c r="AB135" i="5"/>
  <c r="AB129" i="5"/>
  <c r="AB122" i="5"/>
  <c r="AB117" i="5"/>
  <c r="AB123" i="5"/>
  <c r="AB127" i="5"/>
  <c r="AB118" i="5"/>
  <c r="AB133" i="5"/>
  <c r="AB124" i="5"/>
  <c r="AB121" i="5"/>
  <c r="AB115" i="5"/>
  <c r="AB131" i="5"/>
  <c r="AB132" i="5"/>
  <c r="AB125" i="5"/>
  <c r="AB114" i="5"/>
  <c r="Z106" i="5"/>
  <c r="Z410" i="5"/>
  <c r="Z139" i="5"/>
  <c r="Z586" i="5"/>
  <c r="Y686" i="5"/>
  <c r="AB305" i="5"/>
  <c r="AB544" i="5"/>
  <c r="AB530" i="5"/>
  <c r="AB552" i="5"/>
  <c r="AB298" i="5"/>
  <c r="AB295" i="5"/>
  <c r="AB304" i="5"/>
  <c r="AB308" i="5"/>
  <c r="AB299" i="5"/>
  <c r="AB303" i="5"/>
  <c r="AB288" i="5"/>
  <c r="AB543" i="5"/>
  <c r="AB290" i="5"/>
  <c r="AB302" i="5"/>
  <c r="AB293" i="5"/>
  <c r="AB532" i="5"/>
  <c r="AB541" i="5"/>
  <c r="AB542" i="5"/>
  <c r="AB534" i="5"/>
  <c r="AB535" i="5"/>
  <c r="AB539" i="5"/>
  <c r="AB301" i="5"/>
  <c r="AB296" i="5"/>
  <c r="AB300" i="5"/>
  <c r="AB548" i="5"/>
  <c r="AB306" i="5"/>
  <c r="AB294" i="5"/>
  <c r="AB289" i="5"/>
  <c r="AB287" i="5"/>
  <c r="AB537" i="5"/>
  <c r="AB540" i="5"/>
  <c r="AB291" i="5"/>
  <c r="AF77" i="1"/>
  <c r="AB307" i="5"/>
  <c r="AB545" i="5"/>
  <c r="AB309" i="5"/>
  <c r="AB533" i="5"/>
  <c r="AB547" i="5"/>
  <c r="AB546" i="5"/>
  <c r="AB536" i="5"/>
  <c r="AB538" i="5"/>
  <c r="AB549" i="5"/>
  <c r="AB531" i="5"/>
  <c r="AF104" i="1"/>
  <c r="AB551" i="5"/>
  <c r="AB292" i="5"/>
  <c r="AB297" i="5"/>
  <c r="AB550" i="5"/>
  <c r="AB529" i="5"/>
  <c r="AB286" i="5"/>
  <c r="AB310" i="5"/>
  <c r="AF60" i="1"/>
  <c r="AF65" i="1"/>
  <c r="AB86" i="5"/>
  <c r="AB83" i="5"/>
  <c r="AB84" i="5"/>
  <c r="AB88" i="5"/>
  <c r="AB97" i="5"/>
  <c r="AB95" i="5"/>
  <c r="AB93" i="5"/>
  <c r="AB89" i="5"/>
  <c r="AB82" i="5"/>
  <c r="AB91" i="5"/>
  <c r="AB85" i="5"/>
  <c r="AB94" i="5"/>
  <c r="AB99" i="5"/>
  <c r="AB100" i="5"/>
  <c r="AB92" i="5"/>
  <c r="AB104" i="5"/>
  <c r="AB96" i="5"/>
  <c r="AB98" i="5"/>
  <c r="AB102" i="5"/>
  <c r="AB90" i="5"/>
  <c r="AB101" i="5"/>
  <c r="AB103" i="5"/>
  <c r="AB87" i="5"/>
  <c r="AB81" i="5"/>
  <c r="Y278" i="5"/>
  <c r="Z205" i="5"/>
  <c r="AA205" i="5"/>
  <c r="AA442" i="5"/>
  <c r="Z442" i="5"/>
  <c r="Z443" i="5"/>
  <c r="AA443" i="5"/>
  <c r="AA310" i="5"/>
  <c r="Z685" i="5"/>
  <c r="AG26" i="1"/>
  <c r="AG27" i="1"/>
  <c r="AG55" i="1"/>
  <c r="AG59" i="1"/>
  <c r="AG56" i="1"/>
  <c r="AG31" i="1"/>
  <c r="AG58" i="1"/>
  <c r="AG30" i="1"/>
  <c r="AG29" i="1"/>
  <c r="AG57" i="1"/>
  <c r="AG68" i="1"/>
  <c r="AG28" i="1"/>
  <c r="AG54" i="1"/>
  <c r="Z520" i="5"/>
  <c r="Z343" i="5"/>
  <c r="Y311" i="5"/>
  <c r="Z311" i="5"/>
  <c r="Y377" i="5"/>
  <c r="Z377" i="5"/>
  <c r="AA377" i="5"/>
  <c r="AF69" i="1"/>
  <c r="AB217" i="5"/>
  <c r="AB228" i="5"/>
  <c r="AB233" i="5"/>
  <c r="AB232" i="5"/>
  <c r="AB231" i="5"/>
  <c r="AB223" i="5"/>
  <c r="AB224" i="5"/>
  <c r="AB216" i="5"/>
  <c r="AB230" i="5"/>
  <c r="AB219" i="5"/>
  <c r="AB235" i="5"/>
  <c r="AB227" i="5"/>
  <c r="AB218" i="5"/>
  <c r="AB225" i="5"/>
  <c r="AB221" i="5"/>
  <c r="AB236" i="5"/>
  <c r="AB214" i="5"/>
  <c r="AB229" i="5"/>
  <c r="AB220" i="5"/>
  <c r="AB222" i="5"/>
  <c r="AB215" i="5"/>
  <c r="AB226" i="5"/>
  <c r="AB234" i="5"/>
  <c r="AB213" i="5"/>
  <c r="AF70" i="1"/>
  <c r="AA105" i="5"/>
  <c r="AA337" i="5"/>
  <c r="AA583" i="5"/>
  <c r="AE105" i="1"/>
  <c r="AA563" i="5"/>
  <c r="AA320" i="5"/>
  <c r="AA579" i="5"/>
  <c r="AA571" i="5"/>
  <c r="AA335" i="5"/>
  <c r="AA321" i="5"/>
  <c r="AA341" i="5"/>
  <c r="AA324" i="5"/>
  <c r="AA574" i="5"/>
  <c r="AA340" i="5"/>
  <c r="AA342" i="5"/>
  <c r="AA331" i="5"/>
  <c r="AA568" i="5"/>
  <c r="AA330" i="5"/>
  <c r="AA322" i="5"/>
  <c r="AA565" i="5"/>
  <c r="AA576" i="5"/>
  <c r="AA584" i="5"/>
  <c r="AA572" i="5"/>
  <c r="AA326" i="5"/>
  <c r="AA327" i="5"/>
  <c r="AA566" i="5"/>
  <c r="AA569" i="5"/>
  <c r="AA578" i="5"/>
  <c r="AA336" i="5"/>
  <c r="AA564" i="5"/>
  <c r="AA328" i="5"/>
  <c r="AA573" i="5"/>
  <c r="AA325" i="5"/>
  <c r="AA339" i="5"/>
  <c r="AA582" i="5"/>
  <c r="AA585" i="5"/>
  <c r="AE78" i="1"/>
  <c r="AA580" i="5"/>
  <c r="AA334" i="5"/>
  <c r="AA323" i="5"/>
  <c r="AA338" i="5"/>
  <c r="AA329" i="5"/>
  <c r="AA581" i="5"/>
  <c r="AA577" i="5"/>
  <c r="AA575" i="5"/>
  <c r="AA333" i="5"/>
  <c r="AA332" i="5"/>
  <c r="AA567" i="5"/>
  <c r="AA570" i="5"/>
  <c r="AA319" i="5"/>
  <c r="AA562" i="5"/>
  <c r="AA652" i="5"/>
  <c r="AA653" i="5"/>
  <c r="AI21" i="1"/>
  <c r="AH22" i="1"/>
  <c r="AD109" i="1"/>
  <c r="AA553" i="5"/>
  <c r="Z172" i="5"/>
  <c r="Y521" i="5"/>
  <c r="Y554" i="5"/>
  <c r="Z554" i="5"/>
  <c r="AA171" i="5"/>
  <c r="AA619" i="5"/>
  <c r="AB360" i="5"/>
  <c r="AB617" i="5"/>
  <c r="AB371" i="5"/>
  <c r="AB374" i="5"/>
  <c r="AB597" i="5"/>
  <c r="AF79" i="1"/>
  <c r="AB601" i="5"/>
  <c r="AF106" i="1"/>
  <c r="AB605" i="5"/>
  <c r="AB356" i="5"/>
  <c r="AB611" i="5"/>
  <c r="AB369" i="5"/>
  <c r="AB365" i="5"/>
  <c r="AB363" i="5"/>
  <c r="AB607" i="5"/>
  <c r="AB358" i="5"/>
  <c r="AB364" i="5"/>
  <c r="AB600" i="5"/>
  <c r="AB608" i="5"/>
  <c r="AB614" i="5"/>
  <c r="AB606" i="5"/>
  <c r="AB372" i="5"/>
  <c r="AB375" i="5"/>
  <c r="AB599" i="5"/>
  <c r="AB366" i="5"/>
  <c r="AB353" i="5"/>
  <c r="AB596" i="5"/>
  <c r="AB602" i="5"/>
  <c r="AB618" i="5"/>
  <c r="AB604" i="5"/>
  <c r="AB370" i="5"/>
  <c r="AB612" i="5"/>
  <c r="AB603" i="5"/>
  <c r="AB368" i="5"/>
  <c r="AB357" i="5"/>
  <c r="AB354" i="5"/>
  <c r="AB355" i="5"/>
  <c r="AB598" i="5"/>
  <c r="AB610" i="5"/>
  <c r="AB613" i="5"/>
  <c r="AB609" i="5"/>
  <c r="AB616" i="5"/>
  <c r="AB361" i="5"/>
  <c r="AB359" i="5"/>
  <c r="AB362" i="5"/>
  <c r="AB373" i="5"/>
  <c r="AB367" i="5"/>
  <c r="AB615" i="5"/>
  <c r="AB352" i="5"/>
  <c r="AB595" i="5"/>
  <c r="AF67" i="1"/>
  <c r="AB159" i="5"/>
  <c r="AB149" i="5"/>
  <c r="AB160" i="5"/>
  <c r="AB166" i="5"/>
  <c r="AB161" i="5"/>
  <c r="AB152" i="5"/>
  <c r="AB165" i="5"/>
  <c r="AB167" i="5"/>
  <c r="AB156" i="5"/>
  <c r="AB148" i="5"/>
  <c r="AB158" i="5"/>
  <c r="AB153" i="5"/>
  <c r="AB163" i="5"/>
  <c r="AB164" i="5"/>
  <c r="AB155" i="5"/>
  <c r="AB170" i="5"/>
  <c r="AB169" i="5"/>
  <c r="AB157" i="5"/>
  <c r="AB168" i="5"/>
  <c r="AB151" i="5"/>
  <c r="AB154" i="5"/>
  <c r="AB150" i="5"/>
  <c r="AB162" i="5"/>
  <c r="AB147" i="5"/>
  <c r="Z238" i="5"/>
  <c r="AA238" i="5"/>
  <c r="AA138" i="5"/>
  <c r="AA139" i="5"/>
  <c r="AA255" i="5"/>
  <c r="AA498" i="5"/>
  <c r="AA268" i="5"/>
  <c r="AA254" i="5"/>
  <c r="AA266" i="5"/>
  <c r="AA516" i="5"/>
  <c r="AA508" i="5"/>
  <c r="AA507" i="5"/>
  <c r="AA515" i="5"/>
  <c r="AA499" i="5"/>
  <c r="AA264" i="5"/>
  <c r="AA260" i="5"/>
  <c r="AE76" i="1"/>
  <c r="AA513" i="5"/>
  <c r="AA262" i="5"/>
  <c r="AA275" i="5"/>
  <c r="AA276" i="5"/>
  <c r="AA519" i="5"/>
  <c r="AA518" i="5"/>
  <c r="AA497" i="5"/>
  <c r="AA503" i="5"/>
  <c r="AA510" i="5"/>
  <c r="AA500" i="5"/>
  <c r="AA514" i="5"/>
  <c r="AA502" i="5"/>
  <c r="AA263" i="5"/>
  <c r="AA512" i="5"/>
  <c r="AA517" i="5"/>
  <c r="AA274" i="5"/>
  <c r="AA261" i="5"/>
  <c r="AA273" i="5"/>
  <c r="AA272" i="5"/>
  <c r="AA509" i="5"/>
  <c r="AA501" i="5"/>
  <c r="AA258" i="5"/>
  <c r="AA505" i="5"/>
  <c r="AA256" i="5"/>
  <c r="AA269" i="5"/>
  <c r="AA259" i="5"/>
  <c r="AA270" i="5"/>
  <c r="AA271" i="5"/>
  <c r="AA511" i="5"/>
  <c r="AA267" i="5"/>
  <c r="AA504" i="5"/>
  <c r="AA265" i="5"/>
  <c r="AA506" i="5"/>
  <c r="AA257" i="5"/>
  <c r="AE71" i="1"/>
  <c r="AE82" i="1"/>
  <c r="AE103" i="1"/>
  <c r="AE109" i="1"/>
  <c r="AA496" i="5"/>
  <c r="AA253" i="5"/>
  <c r="AA72" i="5"/>
  <c r="AA409" i="5"/>
  <c r="AA410" i="5"/>
  <c r="AA73" i="5"/>
  <c r="AB171" i="5"/>
  <c r="AB576" i="5"/>
  <c r="AB325" i="5"/>
  <c r="AF78" i="1"/>
  <c r="AB567" i="5"/>
  <c r="AB571" i="5"/>
  <c r="AB574" i="5"/>
  <c r="AB338" i="5"/>
  <c r="AB331" i="5"/>
  <c r="AB341" i="5"/>
  <c r="AB342" i="5"/>
  <c r="AB572" i="5"/>
  <c r="AB573" i="5"/>
  <c r="AB579" i="5"/>
  <c r="AB585" i="5"/>
  <c r="AB334" i="5"/>
  <c r="AB330" i="5"/>
  <c r="AB332" i="5"/>
  <c r="AB575" i="5"/>
  <c r="AB329" i="5"/>
  <c r="AB568" i="5"/>
  <c r="AB578" i="5"/>
  <c r="AB322" i="5"/>
  <c r="AB324" i="5"/>
  <c r="AB583" i="5"/>
  <c r="AB565" i="5"/>
  <c r="AB566" i="5"/>
  <c r="AB581" i="5"/>
  <c r="AB337" i="5"/>
  <c r="AB582" i="5"/>
  <c r="AB327" i="5"/>
  <c r="AB584" i="5"/>
  <c r="AF105" i="1"/>
  <c r="AB577" i="5"/>
  <c r="AB339" i="5"/>
  <c r="AB563" i="5"/>
  <c r="AB323" i="5"/>
  <c r="AB333" i="5"/>
  <c r="AB320" i="5"/>
  <c r="AB569" i="5"/>
  <c r="AB335" i="5"/>
  <c r="AB321" i="5"/>
  <c r="AB570" i="5"/>
  <c r="AB580" i="5"/>
  <c r="AB564" i="5"/>
  <c r="AB328" i="5"/>
  <c r="AB326" i="5"/>
  <c r="AB336" i="5"/>
  <c r="AB340" i="5"/>
  <c r="AB562" i="5"/>
  <c r="AB319" i="5"/>
  <c r="AA620" i="5"/>
  <c r="AI22" i="1"/>
  <c r="AJ21" i="1"/>
  <c r="AA106" i="5"/>
  <c r="Z521" i="5"/>
  <c r="AC156" i="5"/>
  <c r="AC168" i="5"/>
  <c r="AC148" i="5"/>
  <c r="AC169" i="5"/>
  <c r="AC150" i="5"/>
  <c r="AC149" i="5"/>
  <c r="AC165" i="5"/>
  <c r="AC163" i="5"/>
  <c r="AC164" i="5"/>
  <c r="AC161" i="5"/>
  <c r="AC153" i="5"/>
  <c r="AC157" i="5"/>
  <c r="AC151" i="5"/>
  <c r="AC170" i="5"/>
  <c r="AC152" i="5"/>
  <c r="AC159" i="5"/>
  <c r="AC162" i="5"/>
  <c r="AC166" i="5"/>
  <c r="AC154" i="5"/>
  <c r="AC155" i="5"/>
  <c r="AC160" i="5"/>
  <c r="AC158" i="5"/>
  <c r="AC167" i="5"/>
  <c r="AC147" i="5"/>
  <c r="AC171" i="5"/>
  <c r="AG67" i="1"/>
  <c r="AC60" i="5"/>
  <c r="AC65" i="5"/>
  <c r="AC54" i="5"/>
  <c r="AC68" i="5"/>
  <c r="AC59" i="5"/>
  <c r="AC69" i="5"/>
  <c r="AC53" i="5"/>
  <c r="AC66" i="5"/>
  <c r="AC51" i="5"/>
  <c r="AC58" i="5"/>
  <c r="AC63" i="5"/>
  <c r="AC70" i="5"/>
  <c r="AC67" i="5"/>
  <c r="AC61" i="5"/>
  <c r="AC55" i="5"/>
  <c r="AC62" i="5"/>
  <c r="AC49" i="5"/>
  <c r="AC50" i="5"/>
  <c r="AC56" i="5"/>
  <c r="AC71" i="5"/>
  <c r="AC57" i="5"/>
  <c r="AC52" i="5"/>
  <c r="AG32" i="1"/>
  <c r="AC64" i="5"/>
  <c r="AC48" i="5"/>
  <c r="AB553" i="5"/>
  <c r="Z587" i="5"/>
  <c r="AB204" i="5"/>
  <c r="AA277" i="5"/>
  <c r="AB619" i="5"/>
  <c r="AB620" i="5"/>
  <c r="AA172" i="5"/>
  <c r="AA586" i="5"/>
  <c r="AA587" i="5"/>
  <c r="AB682" i="5"/>
  <c r="AB680" i="5"/>
  <c r="AB670" i="5"/>
  <c r="AB674" i="5"/>
  <c r="AB663" i="5"/>
  <c r="AB433" i="5"/>
  <c r="AB675" i="5"/>
  <c r="AB662" i="5"/>
  <c r="AB429" i="5"/>
  <c r="AB431" i="5"/>
  <c r="AB671" i="5"/>
  <c r="AB422" i="5"/>
  <c r="AB430" i="5"/>
  <c r="AB668" i="5"/>
  <c r="AB676" i="5"/>
  <c r="AB441" i="5"/>
  <c r="AB679" i="5"/>
  <c r="AB428" i="5"/>
  <c r="AB426" i="5"/>
  <c r="AB664" i="5"/>
  <c r="AB440" i="5"/>
  <c r="AB427" i="5"/>
  <c r="AB684" i="5"/>
  <c r="AB419" i="5"/>
  <c r="AB667" i="5"/>
  <c r="AB666" i="5"/>
  <c r="AB423" i="5"/>
  <c r="AB665" i="5"/>
  <c r="AB435" i="5"/>
  <c r="AB420" i="5"/>
  <c r="AB439" i="5"/>
  <c r="AB425" i="5"/>
  <c r="AB438" i="5"/>
  <c r="AB677" i="5"/>
  <c r="AB678" i="5"/>
  <c r="AB669" i="5"/>
  <c r="AB681" i="5"/>
  <c r="AB434" i="5"/>
  <c r="AB673" i="5"/>
  <c r="AF81" i="1"/>
  <c r="AB421" i="5"/>
  <c r="AB437" i="5"/>
  <c r="AF108" i="1"/>
  <c r="AB432" i="5"/>
  <c r="AB436" i="5"/>
  <c r="AB424" i="5"/>
  <c r="AB683" i="5"/>
  <c r="AB672" i="5"/>
  <c r="AB418" i="5"/>
  <c r="AB661" i="5"/>
  <c r="AB685" i="5"/>
  <c r="AG60" i="1"/>
  <c r="AG65" i="1"/>
  <c r="AC203" i="5"/>
  <c r="AC182" i="5"/>
  <c r="AC199" i="5"/>
  <c r="AC185" i="5"/>
  <c r="AC191" i="5"/>
  <c r="AC184" i="5"/>
  <c r="AC189" i="5"/>
  <c r="AC194" i="5"/>
  <c r="AC198" i="5"/>
  <c r="AC195" i="5"/>
  <c r="AC196" i="5"/>
  <c r="AC193" i="5"/>
  <c r="AC188" i="5"/>
  <c r="AC192" i="5"/>
  <c r="AC183" i="5"/>
  <c r="AC202" i="5"/>
  <c r="AC197" i="5"/>
  <c r="AC201" i="5"/>
  <c r="AC186" i="5"/>
  <c r="AC190" i="5"/>
  <c r="AC187" i="5"/>
  <c r="AC200" i="5"/>
  <c r="AC181" i="5"/>
  <c r="AC180" i="5"/>
  <c r="AG70" i="1"/>
  <c r="Z686" i="5"/>
  <c r="AA686" i="5"/>
  <c r="AB105" i="5"/>
  <c r="AB106" i="5"/>
  <c r="AB510" i="5"/>
  <c r="AB275" i="5"/>
  <c r="AB503" i="5"/>
  <c r="AB502" i="5"/>
  <c r="AB264" i="5"/>
  <c r="AB262" i="5"/>
  <c r="AB266" i="5"/>
  <c r="AB261" i="5"/>
  <c r="AB499" i="5"/>
  <c r="AB259" i="5"/>
  <c r="AB518" i="5"/>
  <c r="AB501" i="5"/>
  <c r="AB497" i="5"/>
  <c r="AB257" i="5"/>
  <c r="AB513" i="5"/>
  <c r="AB505" i="5"/>
  <c r="AB260" i="5"/>
  <c r="AB271" i="5"/>
  <c r="AF76" i="1"/>
  <c r="AB504" i="5"/>
  <c r="AB268" i="5"/>
  <c r="AB500" i="5"/>
  <c r="AB509" i="5"/>
  <c r="AB519" i="5"/>
  <c r="AB258" i="5"/>
  <c r="AB516" i="5"/>
  <c r="AB272" i="5"/>
  <c r="AB263" i="5"/>
  <c r="AB265" i="5"/>
  <c r="AB515" i="5"/>
  <c r="AB512" i="5"/>
  <c r="AB508" i="5"/>
  <c r="AB255" i="5"/>
  <c r="AB269" i="5"/>
  <c r="AB276" i="5"/>
  <c r="AB506" i="5"/>
  <c r="AB514" i="5"/>
  <c r="AB254" i="5"/>
  <c r="AB270" i="5"/>
  <c r="AB517" i="5"/>
  <c r="AB498" i="5"/>
  <c r="AB507" i="5"/>
  <c r="AB256" i="5"/>
  <c r="AB267" i="5"/>
  <c r="AB511" i="5"/>
  <c r="AB273" i="5"/>
  <c r="AB274" i="5"/>
  <c r="AF71" i="1"/>
  <c r="AF82" i="1"/>
  <c r="AF103" i="1"/>
  <c r="AF109" i="1"/>
  <c r="AB253" i="5"/>
  <c r="AB496" i="5"/>
  <c r="AB520" i="5"/>
  <c r="AA520" i="5"/>
  <c r="AA521" i="5"/>
  <c r="AB521" i="5"/>
  <c r="AB376" i="5"/>
  <c r="AB377" i="5"/>
  <c r="AA343" i="5"/>
  <c r="AB237" i="5"/>
  <c r="AB387" i="5"/>
  <c r="AB632" i="5"/>
  <c r="AB638" i="5"/>
  <c r="AB640" i="5"/>
  <c r="AB389" i="5"/>
  <c r="AB394" i="5"/>
  <c r="AB650" i="5"/>
  <c r="AB391" i="5"/>
  <c r="AB633" i="5"/>
  <c r="AB642" i="5"/>
  <c r="AB635" i="5"/>
  <c r="AF80" i="1"/>
  <c r="AB402" i="5"/>
  <c r="AB631" i="5"/>
  <c r="AB630" i="5"/>
  <c r="AB629" i="5"/>
  <c r="AB393" i="5"/>
  <c r="AB401" i="5"/>
  <c r="AB392" i="5"/>
  <c r="AB395" i="5"/>
  <c r="AB644" i="5"/>
  <c r="AB651" i="5"/>
  <c r="AB636" i="5"/>
  <c r="AB405" i="5"/>
  <c r="AB397" i="5"/>
  <c r="AB398" i="5"/>
  <c r="AB639" i="5"/>
  <c r="AB649" i="5"/>
  <c r="AB408" i="5"/>
  <c r="AB390" i="5"/>
  <c r="AB634" i="5"/>
  <c r="AB643" i="5"/>
  <c r="AB388" i="5"/>
  <c r="AB403" i="5"/>
  <c r="AB404" i="5"/>
  <c r="AB386" i="5"/>
  <c r="AB407" i="5"/>
  <c r="AB637" i="5"/>
  <c r="AB645" i="5"/>
  <c r="AB399" i="5"/>
  <c r="AB400" i="5"/>
  <c r="AB641" i="5"/>
  <c r="AB647" i="5"/>
  <c r="AB646" i="5"/>
  <c r="AB396" i="5"/>
  <c r="AF107" i="1"/>
  <c r="AB406" i="5"/>
  <c r="AB648" i="5"/>
  <c r="AB385" i="5"/>
  <c r="AB628" i="5"/>
  <c r="Z344" i="5"/>
  <c r="AC119" i="5"/>
  <c r="AC127" i="5"/>
  <c r="AC123" i="5"/>
  <c r="AC128" i="5"/>
  <c r="AC120" i="5"/>
  <c r="AC132" i="5"/>
  <c r="AC131" i="5"/>
  <c r="AC125" i="5"/>
  <c r="AC121" i="5"/>
  <c r="AC118" i="5"/>
  <c r="AC124" i="5"/>
  <c r="AC136" i="5"/>
  <c r="AC135" i="5"/>
  <c r="AC134" i="5"/>
  <c r="AC115" i="5"/>
  <c r="AC126" i="5"/>
  <c r="AC122" i="5"/>
  <c r="AC130" i="5"/>
  <c r="AC133" i="5"/>
  <c r="AC116" i="5"/>
  <c r="AC129" i="5"/>
  <c r="AC117" i="5"/>
  <c r="AC137" i="5"/>
  <c r="AC114" i="5"/>
  <c r="AG69" i="1"/>
  <c r="AG66" i="1"/>
  <c r="AA311" i="5"/>
  <c r="AB138" i="5"/>
  <c r="AB139" i="5"/>
  <c r="AB72" i="5"/>
  <c r="AB73" i="5"/>
  <c r="Z278" i="5"/>
  <c r="AA554" i="5"/>
  <c r="AH28" i="1"/>
  <c r="AH27" i="1"/>
  <c r="AH29" i="1"/>
  <c r="AH57" i="1"/>
  <c r="AH31" i="1"/>
  <c r="AH59" i="1"/>
  <c r="AH58" i="1"/>
  <c r="AH30" i="1"/>
  <c r="AH69" i="1"/>
  <c r="AH26" i="1"/>
  <c r="AH54" i="1"/>
  <c r="AH55" i="1"/>
  <c r="AH66" i="1"/>
  <c r="AH56" i="1"/>
  <c r="AC598" i="5"/>
  <c r="AC605" i="5"/>
  <c r="AC368" i="5"/>
  <c r="AC613" i="5"/>
  <c r="AC369" i="5"/>
  <c r="AC604" i="5"/>
  <c r="AC359" i="5"/>
  <c r="AG79" i="1"/>
  <c r="AC375" i="5"/>
  <c r="AG106" i="1"/>
  <c r="AC354" i="5"/>
  <c r="AC372" i="5"/>
  <c r="AC617" i="5"/>
  <c r="AC358" i="5"/>
  <c r="AC614" i="5"/>
  <c r="AC365" i="5"/>
  <c r="AC374" i="5"/>
  <c r="AC361" i="5"/>
  <c r="AC360" i="5"/>
  <c r="AC615" i="5"/>
  <c r="AC355" i="5"/>
  <c r="AC366" i="5"/>
  <c r="AC607" i="5"/>
  <c r="AC356" i="5"/>
  <c r="AC373" i="5"/>
  <c r="AC367" i="5"/>
  <c r="AC606" i="5"/>
  <c r="AC363" i="5"/>
  <c r="AC610" i="5"/>
  <c r="AC599" i="5"/>
  <c r="AC597" i="5"/>
  <c r="AC357" i="5"/>
  <c r="AC600" i="5"/>
  <c r="AC608" i="5"/>
  <c r="AC362" i="5"/>
  <c r="AC618" i="5"/>
  <c r="AC370" i="5"/>
  <c r="AC353" i="5"/>
  <c r="AC611" i="5"/>
  <c r="AC371" i="5"/>
  <c r="AC609" i="5"/>
  <c r="AC596" i="5"/>
  <c r="AC602" i="5"/>
  <c r="AC603" i="5"/>
  <c r="AC364" i="5"/>
  <c r="AC612" i="5"/>
  <c r="AC601" i="5"/>
  <c r="AC616" i="5"/>
  <c r="AC352" i="5"/>
  <c r="AC595" i="5"/>
  <c r="AC220" i="5"/>
  <c r="AC227" i="5"/>
  <c r="AC216" i="5"/>
  <c r="AC236" i="5"/>
  <c r="AC217" i="5"/>
  <c r="AC226" i="5"/>
  <c r="AC233" i="5"/>
  <c r="AC214" i="5"/>
  <c r="AC230" i="5"/>
  <c r="AC224" i="5"/>
  <c r="AC228" i="5"/>
  <c r="AC235" i="5"/>
  <c r="AC218" i="5"/>
  <c r="AC221" i="5"/>
  <c r="AC215" i="5"/>
  <c r="AC222" i="5"/>
  <c r="AC234" i="5"/>
  <c r="AC223" i="5"/>
  <c r="AC225" i="5"/>
  <c r="AC229" i="5"/>
  <c r="AC231" i="5"/>
  <c r="AC232" i="5"/>
  <c r="AC219" i="5"/>
  <c r="AC213" i="5"/>
  <c r="AC102" i="5"/>
  <c r="AC84" i="5"/>
  <c r="AC89" i="5"/>
  <c r="AC98" i="5"/>
  <c r="AC97" i="5"/>
  <c r="AC86" i="5"/>
  <c r="AC83" i="5"/>
  <c r="AC85" i="5"/>
  <c r="AC90" i="5"/>
  <c r="AC101" i="5"/>
  <c r="AC104" i="5"/>
  <c r="AC82" i="5"/>
  <c r="AC87" i="5"/>
  <c r="AC95" i="5"/>
  <c r="AC100" i="5"/>
  <c r="AC103" i="5"/>
  <c r="AC93" i="5"/>
  <c r="AC96" i="5"/>
  <c r="AC94" i="5"/>
  <c r="AC99" i="5"/>
  <c r="AC92" i="5"/>
  <c r="AC88" i="5"/>
  <c r="AC91" i="5"/>
  <c r="AC81" i="5"/>
  <c r="AB311" i="5"/>
  <c r="AH60" i="1"/>
  <c r="AH65" i="1"/>
  <c r="AB652" i="5"/>
  <c r="AB653" i="5"/>
  <c r="AD199" i="5"/>
  <c r="AD193" i="5"/>
  <c r="AD194" i="5"/>
  <c r="AD188" i="5"/>
  <c r="AD187" i="5"/>
  <c r="AD202" i="5"/>
  <c r="AD190" i="5"/>
  <c r="AD182" i="5"/>
  <c r="AD196" i="5"/>
  <c r="AD195" i="5"/>
  <c r="AD189" i="5"/>
  <c r="AD184" i="5"/>
  <c r="AD197" i="5"/>
  <c r="AD200" i="5"/>
  <c r="AD198" i="5"/>
  <c r="AD203" i="5"/>
  <c r="AD185" i="5"/>
  <c r="AD183" i="5"/>
  <c r="AD201" i="5"/>
  <c r="AD192" i="5"/>
  <c r="AD191" i="5"/>
  <c r="AD186" i="5"/>
  <c r="AD181" i="5"/>
  <c r="AD180" i="5"/>
  <c r="AD69" i="5"/>
  <c r="AD68" i="5"/>
  <c r="AD65" i="5"/>
  <c r="AD53" i="5"/>
  <c r="AD57" i="5"/>
  <c r="AD56" i="5"/>
  <c r="AD67" i="5"/>
  <c r="AD59" i="5"/>
  <c r="AD70" i="5"/>
  <c r="AD49" i="5"/>
  <c r="AD62" i="5"/>
  <c r="AD52" i="5"/>
  <c r="AD50" i="5"/>
  <c r="AD61" i="5"/>
  <c r="AD71" i="5"/>
  <c r="AD51" i="5"/>
  <c r="AD60" i="5"/>
  <c r="AH32" i="1"/>
  <c r="AD66" i="5"/>
  <c r="AD58" i="5"/>
  <c r="AD64" i="5"/>
  <c r="AD54" i="5"/>
  <c r="AD63" i="5"/>
  <c r="AD55" i="5"/>
  <c r="AD48" i="5"/>
  <c r="AD72" i="5"/>
  <c r="AH68" i="1"/>
  <c r="AC389" i="5"/>
  <c r="AC397" i="5"/>
  <c r="AC644" i="5"/>
  <c r="AC388" i="5"/>
  <c r="AC634" i="5"/>
  <c r="AC642" i="5"/>
  <c r="AG107" i="1"/>
  <c r="AC646" i="5"/>
  <c r="AC635" i="5"/>
  <c r="AC405" i="5"/>
  <c r="AC631" i="5"/>
  <c r="AC402" i="5"/>
  <c r="AC386" i="5"/>
  <c r="AC398" i="5"/>
  <c r="AC629" i="5"/>
  <c r="AC403" i="5"/>
  <c r="AC645" i="5"/>
  <c r="AC387" i="5"/>
  <c r="AC406" i="5"/>
  <c r="AC391" i="5"/>
  <c r="AC640" i="5"/>
  <c r="AC638" i="5"/>
  <c r="AC637" i="5"/>
  <c r="AC647" i="5"/>
  <c r="AC396" i="5"/>
  <c r="AC407" i="5"/>
  <c r="AC632" i="5"/>
  <c r="AC399" i="5"/>
  <c r="AC390" i="5"/>
  <c r="AC400" i="5"/>
  <c r="AC641" i="5"/>
  <c r="AC404" i="5"/>
  <c r="AC630" i="5"/>
  <c r="AC651" i="5"/>
  <c r="AC636" i="5"/>
  <c r="AC649" i="5"/>
  <c r="AC395" i="5"/>
  <c r="AC393" i="5"/>
  <c r="AC650" i="5"/>
  <c r="AC394" i="5"/>
  <c r="AG80" i="1"/>
  <c r="AC401" i="5"/>
  <c r="AC639" i="5"/>
  <c r="AC648" i="5"/>
  <c r="AC392" i="5"/>
  <c r="AC633" i="5"/>
  <c r="AC643" i="5"/>
  <c r="AC408" i="5"/>
  <c r="AC628" i="5"/>
  <c r="AC385" i="5"/>
  <c r="AB409" i="5"/>
  <c r="AB410" i="5"/>
  <c r="AB277" i="5"/>
  <c r="AC427" i="5"/>
  <c r="AC440" i="5"/>
  <c r="AC435" i="5"/>
  <c r="AC430" i="5"/>
  <c r="AC669" i="5"/>
  <c r="AC668" i="5"/>
  <c r="AG108" i="1"/>
  <c r="AC681" i="5"/>
  <c r="AC432" i="5"/>
  <c r="AC424" i="5"/>
  <c r="AC426" i="5"/>
  <c r="AC429" i="5"/>
  <c r="AC667" i="5"/>
  <c r="AC677" i="5"/>
  <c r="AC663" i="5"/>
  <c r="AC665" i="5"/>
  <c r="AC672" i="5"/>
  <c r="AC671" i="5"/>
  <c r="AC664" i="5"/>
  <c r="AC421" i="5"/>
  <c r="AC420" i="5"/>
  <c r="AC680" i="5"/>
  <c r="AC428" i="5"/>
  <c r="AC419" i="5"/>
  <c r="AC678" i="5"/>
  <c r="AC684" i="5"/>
  <c r="AC438" i="5"/>
  <c r="AC662" i="5"/>
  <c r="AC425" i="5"/>
  <c r="AC436" i="5"/>
  <c r="AC431" i="5"/>
  <c r="AC666" i="5"/>
  <c r="AC675" i="5"/>
  <c r="AC441" i="5"/>
  <c r="AC422" i="5"/>
  <c r="AC683" i="5"/>
  <c r="AC676" i="5"/>
  <c r="AC433" i="5"/>
  <c r="AG81" i="1"/>
  <c r="AC674" i="5"/>
  <c r="AC673" i="5"/>
  <c r="AC682" i="5"/>
  <c r="AC670" i="5"/>
  <c r="AC437" i="5"/>
  <c r="AC439" i="5"/>
  <c r="AC434" i="5"/>
  <c r="AC423" i="5"/>
  <c r="AC679" i="5"/>
  <c r="AC418" i="5"/>
  <c r="AC661" i="5"/>
  <c r="AC685" i="5"/>
  <c r="AB442" i="5"/>
  <c r="AB443" i="5"/>
  <c r="AB205" i="5"/>
  <c r="AC72" i="5"/>
  <c r="AC73" i="5"/>
  <c r="AD223" i="5"/>
  <c r="AD218" i="5"/>
  <c r="AD216" i="5"/>
  <c r="AD232" i="5"/>
  <c r="AD220" i="5"/>
  <c r="AD233" i="5"/>
  <c r="AD228" i="5"/>
  <c r="AD235" i="5"/>
  <c r="AD231" i="5"/>
  <c r="AD215" i="5"/>
  <c r="AD234" i="5"/>
  <c r="AD214" i="5"/>
  <c r="AD230" i="5"/>
  <c r="AD229" i="5"/>
  <c r="AD219" i="5"/>
  <c r="AD221" i="5"/>
  <c r="AD217" i="5"/>
  <c r="AD222" i="5"/>
  <c r="AD225" i="5"/>
  <c r="AD224" i="5"/>
  <c r="AD226" i="5"/>
  <c r="AD236" i="5"/>
  <c r="AD227" i="5"/>
  <c r="AD213" i="5"/>
  <c r="AD129" i="5"/>
  <c r="AD126" i="5"/>
  <c r="AD117" i="5"/>
  <c r="AD136" i="5"/>
  <c r="AD121" i="5"/>
  <c r="AD127" i="5"/>
  <c r="AD123" i="5"/>
  <c r="AD137" i="5"/>
  <c r="AD122" i="5"/>
  <c r="AD125" i="5"/>
  <c r="AD124" i="5"/>
  <c r="AD132" i="5"/>
  <c r="AD120" i="5"/>
  <c r="AD128" i="5"/>
  <c r="AD119" i="5"/>
  <c r="AD115" i="5"/>
  <c r="AD133" i="5"/>
  <c r="AD135" i="5"/>
  <c r="AD118" i="5"/>
  <c r="AD130" i="5"/>
  <c r="AD134" i="5"/>
  <c r="AD116" i="5"/>
  <c r="AD131" i="5"/>
  <c r="AD114" i="5"/>
  <c r="AC296" i="5"/>
  <c r="AC540" i="5"/>
  <c r="AC299" i="5"/>
  <c r="AC290" i="5"/>
  <c r="AC532" i="5"/>
  <c r="AG104" i="1"/>
  <c r="AC301" i="5"/>
  <c r="AC544" i="5"/>
  <c r="AC305" i="5"/>
  <c r="AC534" i="5"/>
  <c r="AC543" i="5"/>
  <c r="AC549" i="5"/>
  <c r="AC545" i="5"/>
  <c r="AC300" i="5"/>
  <c r="AC287" i="5"/>
  <c r="AC541" i="5"/>
  <c r="AC307" i="5"/>
  <c r="AC546" i="5"/>
  <c r="AC538" i="5"/>
  <c r="AC537" i="5"/>
  <c r="AC303" i="5"/>
  <c r="AC536" i="5"/>
  <c r="AC297" i="5"/>
  <c r="AC539" i="5"/>
  <c r="AC295" i="5"/>
  <c r="AC535" i="5"/>
  <c r="AC292" i="5"/>
  <c r="AC306" i="5"/>
  <c r="AC302" i="5"/>
  <c r="AC547" i="5"/>
  <c r="AC531" i="5"/>
  <c r="AC542" i="5"/>
  <c r="AC550" i="5"/>
  <c r="AC288" i="5"/>
  <c r="AC548" i="5"/>
  <c r="AC530" i="5"/>
  <c r="AG77" i="1"/>
  <c r="AC551" i="5"/>
  <c r="AC309" i="5"/>
  <c r="AC552" i="5"/>
  <c r="AC291" i="5"/>
  <c r="AC298" i="5"/>
  <c r="AC293" i="5"/>
  <c r="AC294" i="5"/>
  <c r="AC304" i="5"/>
  <c r="AC533" i="5"/>
  <c r="AC308" i="5"/>
  <c r="AC289" i="5"/>
  <c r="AC529" i="5"/>
  <c r="AC286" i="5"/>
  <c r="AC105" i="5"/>
  <c r="AC106" i="5"/>
  <c r="AC237" i="5"/>
  <c r="AC619" i="5"/>
  <c r="AC620" i="5"/>
  <c r="AH67" i="1"/>
  <c r="AD401" i="5"/>
  <c r="AD647" i="5"/>
  <c r="AD389" i="5"/>
  <c r="AD406" i="5"/>
  <c r="AD642" i="5"/>
  <c r="AD398" i="5"/>
  <c r="AD392" i="5"/>
  <c r="AD405" i="5"/>
  <c r="AD394" i="5"/>
  <c r="AD634" i="5"/>
  <c r="AD393" i="5"/>
  <c r="AD645" i="5"/>
  <c r="AD408" i="5"/>
  <c r="AD390" i="5"/>
  <c r="AH107" i="1"/>
  <c r="AD399" i="5"/>
  <c r="AD649" i="5"/>
  <c r="AD387" i="5"/>
  <c r="AD402" i="5"/>
  <c r="AD640" i="5"/>
  <c r="AD648" i="5"/>
  <c r="AD395" i="5"/>
  <c r="AD650" i="5"/>
  <c r="AD386" i="5"/>
  <c r="AD407" i="5"/>
  <c r="AD388" i="5"/>
  <c r="AD633" i="5"/>
  <c r="AD635" i="5"/>
  <c r="AD397" i="5"/>
  <c r="AD643" i="5"/>
  <c r="AD644" i="5"/>
  <c r="AD651" i="5"/>
  <c r="AD400" i="5"/>
  <c r="AD404" i="5"/>
  <c r="AD631" i="5"/>
  <c r="AD391" i="5"/>
  <c r="AD641" i="5"/>
  <c r="AD396" i="5"/>
  <c r="AD646" i="5"/>
  <c r="AD638" i="5"/>
  <c r="AH80" i="1"/>
  <c r="AD639" i="5"/>
  <c r="AD632" i="5"/>
  <c r="AD629" i="5"/>
  <c r="AD630" i="5"/>
  <c r="AD403" i="5"/>
  <c r="AD636" i="5"/>
  <c r="AD637" i="5"/>
  <c r="AD628" i="5"/>
  <c r="AD652" i="5"/>
  <c r="AD385" i="5"/>
  <c r="AD166" i="5"/>
  <c r="AD157" i="5"/>
  <c r="AD159" i="5"/>
  <c r="AD158" i="5"/>
  <c r="AD167" i="5"/>
  <c r="AD162" i="5"/>
  <c r="AD150" i="5"/>
  <c r="AD160" i="5"/>
  <c r="AD165" i="5"/>
  <c r="AD151" i="5"/>
  <c r="AD168" i="5"/>
  <c r="AD154" i="5"/>
  <c r="AD148" i="5"/>
  <c r="AD163" i="5"/>
  <c r="AD169" i="5"/>
  <c r="AD164" i="5"/>
  <c r="AD153" i="5"/>
  <c r="AD149" i="5"/>
  <c r="AD155" i="5"/>
  <c r="AD170" i="5"/>
  <c r="AD161" i="5"/>
  <c r="AD152" i="5"/>
  <c r="AD156" i="5"/>
  <c r="AD147" i="5"/>
  <c r="AC138" i="5"/>
  <c r="AC139" i="5"/>
  <c r="AB238" i="5"/>
  <c r="AC204" i="5"/>
  <c r="AC205" i="5"/>
  <c r="AC261" i="5"/>
  <c r="AG76" i="1"/>
  <c r="AC267" i="5"/>
  <c r="AC257" i="5"/>
  <c r="AC499" i="5"/>
  <c r="AC516" i="5"/>
  <c r="AC263" i="5"/>
  <c r="AC271" i="5"/>
  <c r="AC275" i="5"/>
  <c r="AC504" i="5"/>
  <c r="AC517" i="5"/>
  <c r="AC519" i="5"/>
  <c r="AC255" i="5"/>
  <c r="AC502" i="5"/>
  <c r="AC497" i="5"/>
  <c r="AC260" i="5"/>
  <c r="AC514" i="5"/>
  <c r="AC272" i="5"/>
  <c r="AC508" i="5"/>
  <c r="AC274" i="5"/>
  <c r="AC513" i="5"/>
  <c r="AC500" i="5"/>
  <c r="AC505" i="5"/>
  <c r="AC265" i="5"/>
  <c r="AC515" i="5"/>
  <c r="AC256" i="5"/>
  <c r="AC511" i="5"/>
  <c r="AC273" i="5"/>
  <c r="AC503" i="5"/>
  <c r="AC266" i="5"/>
  <c r="AC501" i="5"/>
  <c r="AC270" i="5"/>
  <c r="AC518" i="5"/>
  <c r="AC509" i="5"/>
  <c r="AC510" i="5"/>
  <c r="AC276" i="5"/>
  <c r="AC506" i="5"/>
  <c r="AC268" i="5"/>
  <c r="AC258" i="5"/>
  <c r="AC259" i="5"/>
  <c r="AC264" i="5"/>
  <c r="AC498" i="5"/>
  <c r="AC507" i="5"/>
  <c r="AC254" i="5"/>
  <c r="AC269" i="5"/>
  <c r="AC262" i="5"/>
  <c r="AC512" i="5"/>
  <c r="AG103" i="1"/>
  <c r="AG71" i="1"/>
  <c r="AG82" i="1"/>
  <c r="AC253" i="5"/>
  <c r="AC496" i="5"/>
  <c r="AC585" i="5"/>
  <c r="AC335" i="5"/>
  <c r="AC329" i="5"/>
  <c r="AC573" i="5"/>
  <c r="AC565" i="5"/>
  <c r="AC336" i="5"/>
  <c r="AC333" i="5"/>
  <c r="AC579" i="5"/>
  <c r="AC328" i="5"/>
  <c r="AC324" i="5"/>
  <c r="AC563" i="5"/>
  <c r="AC580" i="5"/>
  <c r="AC325" i="5"/>
  <c r="AC334" i="5"/>
  <c r="AC332" i="5"/>
  <c r="AC574" i="5"/>
  <c r="AG105" i="1"/>
  <c r="AC570" i="5"/>
  <c r="AC339" i="5"/>
  <c r="AC567" i="5"/>
  <c r="AC331" i="5"/>
  <c r="AC323" i="5"/>
  <c r="AC342" i="5"/>
  <c r="AC322" i="5"/>
  <c r="AC566" i="5"/>
  <c r="AC337" i="5"/>
  <c r="AC582" i="5"/>
  <c r="AC564" i="5"/>
  <c r="AC577" i="5"/>
  <c r="AC330" i="5"/>
  <c r="AC578" i="5"/>
  <c r="AC320" i="5"/>
  <c r="AC340" i="5"/>
  <c r="AC575" i="5"/>
  <c r="AC576" i="5"/>
  <c r="AC327" i="5"/>
  <c r="AC568" i="5"/>
  <c r="AC326" i="5"/>
  <c r="AC572" i="5"/>
  <c r="AG78" i="1"/>
  <c r="AC341" i="5"/>
  <c r="AC569" i="5"/>
  <c r="AC581" i="5"/>
  <c r="AC321" i="5"/>
  <c r="AC571" i="5"/>
  <c r="AC583" i="5"/>
  <c r="AC338" i="5"/>
  <c r="AC584" i="5"/>
  <c r="AC562" i="5"/>
  <c r="AC319" i="5"/>
  <c r="AB343" i="5"/>
  <c r="AC376" i="5"/>
  <c r="AC377" i="5"/>
  <c r="AD541" i="5"/>
  <c r="AD537" i="5"/>
  <c r="AD535" i="5"/>
  <c r="AD548" i="5"/>
  <c r="AD547" i="5"/>
  <c r="AD540" i="5"/>
  <c r="AD291" i="5"/>
  <c r="AD532" i="5"/>
  <c r="AD544" i="5"/>
  <c r="AD531" i="5"/>
  <c r="AD296" i="5"/>
  <c r="AD534" i="5"/>
  <c r="AD551" i="5"/>
  <c r="AD545" i="5"/>
  <c r="AD303" i="5"/>
  <c r="AD539" i="5"/>
  <c r="AD290" i="5"/>
  <c r="AH77" i="1"/>
  <c r="AD304" i="5"/>
  <c r="AD300" i="5"/>
  <c r="AH104" i="1"/>
  <c r="AD308" i="5"/>
  <c r="AD530" i="5"/>
  <c r="AD542" i="5"/>
  <c r="AD306" i="5"/>
  <c r="AD299" i="5"/>
  <c r="AD298" i="5"/>
  <c r="AD297" i="5"/>
  <c r="AD295" i="5"/>
  <c r="AD305" i="5"/>
  <c r="AD293" i="5"/>
  <c r="AD292" i="5"/>
  <c r="AD301" i="5"/>
  <c r="AD294" i="5"/>
  <c r="AD549" i="5"/>
  <c r="AD543" i="5"/>
  <c r="AD536" i="5"/>
  <c r="AD307" i="5"/>
  <c r="AD550" i="5"/>
  <c r="AD533" i="5"/>
  <c r="AD538" i="5"/>
  <c r="AD288" i="5"/>
  <c r="AD302" i="5"/>
  <c r="AD546" i="5"/>
  <c r="AD289" i="5"/>
  <c r="AD287" i="5"/>
  <c r="AD552" i="5"/>
  <c r="AD309" i="5"/>
  <c r="AD286" i="5"/>
  <c r="AD529" i="5"/>
  <c r="AH70" i="1"/>
  <c r="AD86" i="5"/>
  <c r="AD100" i="5"/>
  <c r="AD88" i="5"/>
  <c r="AD104" i="5"/>
  <c r="AD101" i="5"/>
  <c r="AD92" i="5"/>
  <c r="AD93" i="5"/>
  <c r="AD95" i="5"/>
  <c r="AD90" i="5"/>
  <c r="AD96" i="5"/>
  <c r="AD98" i="5"/>
  <c r="AD89" i="5"/>
  <c r="AD99" i="5"/>
  <c r="AD97" i="5"/>
  <c r="AD82" i="5"/>
  <c r="AD84" i="5"/>
  <c r="AD85" i="5"/>
  <c r="AD102" i="5"/>
  <c r="AD87" i="5"/>
  <c r="AD83" i="5"/>
  <c r="AD94" i="5"/>
  <c r="AD91" i="5"/>
  <c r="AD103" i="5"/>
  <c r="AD81" i="5"/>
  <c r="AD105" i="5"/>
  <c r="AD106" i="5"/>
  <c r="AA344" i="5"/>
  <c r="AA278" i="5"/>
  <c r="AK21" i="1"/>
  <c r="AJ22" i="1"/>
  <c r="AB586" i="5"/>
  <c r="AB587" i="5"/>
  <c r="AB686" i="5"/>
  <c r="AB554" i="5"/>
  <c r="AI28" i="1"/>
  <c r="AI29" i="1"/>
  <c r="AI54" i="1"/>
  <c r="AI26" i="1"/>
  <c r="AI31" i="1"/>
  <c r="AI58" i="1"/>
  <c r="AI30" i="1"/>
  <c r="AI69" i="1"/>
  <c r="AI55" i="1"/>
  <c r="AI56" i="1"/>
  <c r="AI57" i="1"/>
  <c r="AI68" i="1"/>
  <c r="AI59" i="1"/>
  <c r="AI27" i="1"/>
  <c r="AB172" i="5"/>
  <c r="AC172" i="5"/>
  <c r="AC686" i="5"/>
  <c r="AD73" i="5"/>
  <c r="AE134" i="5"/>
  <c r="AE125" i="5"/>
  <c r="AE115" i="5"/>
  <c r="AE133" i="5"/>
  <c r="AE124" i="5"/>
  <c r="AE116" i="5"/>
  <c r="AE118" i="5"/>
  <c r="AE132" i="5"/>
  <c r="AE131" i="5"/>
  <c r="AE122" i="5"/>
  <c r="AE130" i="5"/>
  <c r="AE123" i="5"/>
  <c r="AE136" i="5"/>
  <c r="AE128" i="5"/>
  <c r="AE126" i="5"/>
  <c r="AE119" i="5"/>
  <c r="AE129" i="5"/>
  <c r="AE135" i="5"/>
  <c r="AE137" i="5"/>
  <c r="AE117" i="5"/>
  <c r="AE121" i="5"/>
  <c r="AE127" i="5"/>
  <c r="AE120" i="5"/>
  <c r="AE114" i="5"/>
  <c r="AE138" i="5"/>
  <c r="AC520" i="5"/>
  <c r="AE95" i="5"/>
  <c r="AE90" i="5"/>
  <c r="AE87" i="5"/>
  <c r="AE92" i="5"/>
  <c r="AE97" i="5"/>
  <c r="AE86" i="5"/>
  <c r="AE103" i="5"/>
  <c r="AE100" i="5"/>
  <c r="AE96" i="5"/>
  <c r="AE104" i="5"/>
  <c r="AE101" i="5"/>
  <c r="AE85" i="5"/>
  <c r="AE84" i="5"/>
  <c r="AE83" i="5"/>
  <c r="AE91" i="5"/>
  <c r="AE98" i="5"/>
  <c r="AE102" i="5"/>
  <c r="AE89" i="5"/>
  <c r="AE82" i="5"/>
  <c r="AE93" i="5"/>
  <c r="AE94" i="5"/>
  <c r="AE99" i="5"/>
  <c r="AE88" i="5"/>
  <c r="AE81" i="5"/>
  <c r="AI66" i="1"/>
  <c r="AE54" i="5"/>
  <c r="AE67" i="5"/>
  <c r="AE68" i="5"/>
  <c r="AE64" i="5"/>
  <c r="AE71" i="5"/>
  <c r="AE66" i="5"/>
  <c r="AE51" i="5"/>
  <c r="AE63" i="5"/>
  <c r="AE61" i="5"/>
  <c r="AE56" i="5"/>
  <c r="AE49" i="5"/>
  <c r="AE53" i="5"/>
  <c r="AE58" i="5"/>
  <c r="AI32" i="1"/>
  <c r="AE55" i="5"/>
  <c r="AE70" i="5"/>
  <c r="AE65" i="5"/>
  <c r="AE52" i="5"/>
  <c r="AE60" i="5"/>
  <c r="AE57" i="5"/>
  <c r="AE69" i="5"/>
  <c r="AE50" i="5"/>
  <c r="AE59" i="5"/>
  <c r="AE62" i="5"/>
  <c r="AE48" i="5"/>
  <c r="AJ28" i="1"/>
  <c r="AJ30" i="1"/>
  <c r="AJ54" i="1"/>
  <c r="AJ55" i="1"/>
  <c r="AJ27" i="1"/>
  <c r="AJ66" i="1"/>
  <c r="AJ31" i="1"/>
  <c r="AJ56" i="1"/>
  <c r="AJ59" i="1"/>
  <c r="AJ29" i="1"/>
  <c r="AJ57" i="1"/>
  <c r="AJ68" i="1"/>
  <c r="AJ26" i="1"/>
  <c r="AJ58" i="1"/>
  <c r="AJ69" i="1"/>
  <c r="AD553" i="5"/>
  <c r="AC343" i="5"/>
  <c r="AC277" i="5"/>
  <c r="AD327" i="5"/>
  <c r="AD573" i="5"/>
  <c r="AD575" i="5"/>
  <c r="AD580" i="5"/>
  <c r="AD565" i="5"/>
  <c r="AD320" i="5"/>
  <c r="AD583" i="5"/>
  <c r="AD571" i="5"/>
  <c r="AD584" i="5"/>
  <c r="AH105" i="1"/>
  <c r="AD582" i="5"/>
  <c r="AD564" i="5"/>
  <c r="AD342" i="5"/>
  <c r="AD569" i="5"/>
  <c r="AD339" i="5"/>
  <c r="AD340" i="5"/>
  <c r="AD332" i="5"/>
  <c r="AD338" i="5"/>
  <c r="AD568" i="5"/>
  <c r="AD321" i="5"/>
  <c r="AD333" i="5"/>
  <c r="AD574" i="5"/>
  <c r="AD322" i="5"/>
  <c r="AD567" i="5"/>
  <c r="AD581" i="5"/>
  <c r="AD337" i="5"/>
  <c r="AD576" i="5"/>
  <c r="AD324" i="5"/>
  <c r="AD325" i="5"/>
  <c r="AD329" i="5"/>
  <c r="AD341" i="5"/>
  <c r="AD572" i="5"/>
  <c r="AD570" i="5"/>
  <c r="AD579" i="5"/>
  <c r="AD563" i="5"/>
  <c r="AD577" i="5"/>
  <c r="AD328" i="5"/>
  <c r="AH78" i="1"/>
  <c r="AD326" i="5"/>
  <c r="AD331" i="5"/>
  <c r="AD336" i="5"/>
  <c r="AD566" i="5"/>
  <c r="AD578" i="5"/>
  <c r="AD335" i="5"/>
  <c r="AD323" i="5"/>
  <c r="AD585" i="5"/>
  <c r="AD330" i="5"/>
  <c r="AD334" i="5"/>
  <c r="AD319" i="5"/>
  <c r="AD562" i="5"/>
  <c r="AD586" i="5"/>
  <c r="AC310" i="5"/>
  <c r="AC311" i="5"/>
  <c r="AC442" i="5"/>
  <c r="AC443" i="5"/>
  <c r="AC409" i="5"/>
  <c r="AC410" i="5"/>
  <c r="AD204" i="5"/>
  <c r="AD205" i="5"/>
  <c r="AD268" i="5"/>
  <c r="AD274" i="5"/>
  <c r="AD263" i="5"/>
  <c r="AD256" i="5"/>
  <c r="AD515" i="5"/>
  <c r="AD511" i="5"/>
  <c r="AD517" i="5"/>
  <c r="AD516" i="5"/>
  <c r="AD512" i="5"/>
  <c r="AD262" i="5"/>
  <c r="AD506" i="5"/>
  <c r="AD270" i="5"/>
  <c r="AD498" i="5"/>
  <c r="AD497" i="5"/>
  <c r="AD265" i="5"/>
  <c r="AD259" i="5"/>
  <c r="AD518" i="5"/>
  <c r="AD267" i="5"/>
  <c r="AD510" i="5"/>
  <c r="AD273" i="5"/>
  <c r="AD257" i="5"/>
  <c r="AH103" i="1"/>
  <c r="AH109" i="1"/>
  <c r="AD500" i="5"/>
  <c r="AD269" i="5"/>
  <c r="AD508" i="5"/>
  <c r="AD519" i="5"/>
  <c r="AD272" i="5"/>
  <c r="AD254" i="5"/>
  <c r="AD505" i="5"/>
  <c r="AD275" i="5"/>
  <c r="AD255" i="5"/>
  <c r="AD513" i="5"/>
  <c r="AD276" i="5"/>
  <c r="AH76" i="1"/>
  <c r="AD502" i="5"/>
  <c r="AD266" i="5"/>
  <c r="AD501" i="5"/>
  <c r="AD514" i="5"/>
  <c r="AD509" i="5"/>
  <c r="AD271" i="5"/>
  <c r="AD264" i="5"/>
  <c r="AD503" i="5"/>
  <c r="AD260" i="5"/>
  <c r="AD261" i="5"/>
  <c r="AD258" i="5"/>
  <c r="AD499" i="5"/>
  <c r="AD504" i="5"/>
  <c r="AD507" i="5"/>
  <c r="AH71" i="1"/>
  <c r="AH82" i="1"/>
  <c r="AD496" i="5"/>
  <c r="AD253" i="5"/>
  <c r="AE236" i="5"/>
  <c r="AE224" i="5"/>
  <c r="AE222" i="5"/>
  <c r="AE219" i="5"/>
  <c r="AE220" i="5"/>
  <c r="AE230" i="5"/>
  <c r="AE232" i="5"/>
  <c r="AE228" i="5"/>
  <c r="AE218" i="5"/>
  <c r="AE226" i="5"/>
  <c r="AE231" i="5"/>
  <c r="AE223" i="5"/>
  <c r="AE229" i="5"/>
  <c r="AE217" i="5"/>
  <c r="AE216" i="5"/>
  <c r="AE214" i="5"/>
  <c r="AE235" i="5"/>
  <c r="AE225" i="5"/>
  <c r="AE215" i="5"/>
  <c r="AE233" i="5"/>
  <c r="AE227" i="5"/>
  <c r="AE221" i="5"/>
  <c r="AE234" i="5"/>
  <c r="AE213" i="5"/>
  <c r="AD431" i="5"/>
  <c r="AD675" i="5"/>
  <c r="AD430" i="5"/>
  <c r="AD436" i="5"/>
  <c r="AD420" i="5"/>
  <c r="AD441" i="5"/>
  <c r="AD663" i="5"/>
  <c r="AD667" i="5"/>
  <c r="AD678" i="5"/>
  <c r="AD668" i="5"/>
  <c r="AD432" i="5"/>
  <c r="AD673" i="5"/>
  <c r="AD662" i="5"/>
  <c r="AD672" i="5"/>
  <c r="AD680" i="5"/>
  <c r="AD674" i="5"/>
  <c r="AD424" i="5"/>
  <c r="AD681" i="5"/>
  <c r="AD427" i="5"/>
  <c r="AD665" i="5"/>
  <c r="AD434" i="5"/>
  <c r="AD438" i="5"/>
  <c r="AD676" i="5"/>
  <c r="AD671" i="5"/>
  <c r="AD670" i="5"/>
  <c r="AH81" i="1"/>
  <c r="AD423" i="5"/>
  <c r="AD419" i="5"/>
  <c r="AD683" i="5"/>
  <c r="AD421" i="5"/>
  <c r="AD439" i="5"/>
  <c r="AD428" i="5"/>
  <c r="AD437" i="5"/>
  <c r="AD666" i="5"/>
  <c r="AD433" i="5"/>
  <c r="AD679" i="5"/>
  <c r="AD440" i="5"/>
  <c r="AD669" i="5"/>
  <c r="AD682" i="5"/>
  <c r="AD664" i="5"/>
  <c r="AD435" i="5"/>
  <c r="AD422" i="5"/>
  <c r="AD684" i="5"/>
  <c r="AH108" i="1"/>
  <c r="AD425" i="5"/>
  <c r="AD677" i="5"/>
  <c r="AD426" i="5"/>
  <c r="AD429" i="5"/>
  <c r="AD418" i="5"/>
  <c r="AD661" i="5"/>
  <c r="AB344" i="5"/>
  <c r="AI70" i="1"/>
  <c r="AE190" i="5"/>
  <c r="AE191" i="5"/>
  <c r="AE195" i="5"/>
  <c r="AE203" i="5"/>
  <c r="AE185" i="5"/>
  <c r="AE187" i="5"/>
  <c r="AE199" i="5"/>
  <c r="AE193" i="5"/>
  <c r="AE192" i="5"/>
  <c r="AE202" i="5"/>
  <c r="AE189" i="5"/>
  <c r="AE188" i="5"/>
  <c r="AE194" i="5"/>
  <c r="AE201" i="5"/>
  <c r="AE181" i="5"/>
  <c r="AE198" i="5"/>
  <c r="AE186" i="5"/>
  <c r="AE197" i="5"/>
  <c r="AE184" i="5"/>
  <c r="AE200" i="5"/>
  <c r="AE183" i="5"/>
  <c r="AE196" i="5"/>
  <c r="AE182" i="5"/>
  <c r="AE180" i="5"/>
  <c r="AI60" i="1"/>
  <c r="AI65" i="1"/>
  <c r="AK19" i="1"/>
  <c r="AK22" i="1"/>
  <c r="AD310" i="5"/>
  <c r="AD311" i="5"/>
  <c r="AC586" i="5"/>
  <c r="AC587" i="5"/>
  <c r="AC553" i="5"/>
  <c r="AC554" i="5"/>
  <c r="AB278" i="5"/>
  <c r="AC652" i="5"/>
  <c r="AC653" i="5"/>
  <c r="AD653" i="5"/>
  <c r="AI67" i="1"/>
  <c r="AE606" i="5"/>
  <c r="AE354" i="5"/>
  <c r="AE597" i="5"/>
  <c r="AE370" i="5"/>
  <c r="AE605" i="5"/>
  <c r="AE617" i="5"/>
  <c r="AE613" i="5"/>
  <c r="AE610" i="5"/>
  <c r="AE359" i="5"/>
  <c r="AE601" i="5"/>
  <c r="AE372" i="5"/>
  <c r="AE618" i="5"/>
  <c r="AE612" i="5"/>
  <c r="AE364" i="5"/>
  <c r="AE362" i="5"/>
  <c r="AE356" i="5"/>
  <c r="AE363" i="5"/>
  <c r="AE616" i="5"/>
  <c r="AE599" i="5"/>
  <c r="AE600" i="5"/>
  <c r="AE614" i="5"/>
  <c r="AI106" i="1"/>
  <c r="AE602" i="5"/>
  <c r="AE373" i="5"/>
  <c r="AE355" i="5"/>
  <c r="AE367" i="5"/>
  <c r="AE603" i="5"/>
  <c r="AE598" i="5"/>
  <c r="AE596" i="5"/>
  <c r="AE368" i="5"/>
  <c r="AE374" i="5"/>
  <c r="AE607" i="5"/>
  <c r="AE353" i="5"/>
  <c r="AE358" i="5"/>
  <c r="AE366" i="5"/>
  <c r="AE608" i="5"/>
  <c r="AE604" i="5"/>
  <c r="AE371" i="5"/>
  <c r="AE369" i="5"/>
  <c r="AE361" i="5"/>
  <c r="AE360" i="5"/>
  <c r="AE357" i="5"/>
  <c r="AE375" i="5"/>
  <c r="AE365" i="5"/>
  <c r="AE615" i="5"/>
  <c r="AE611" i="5"/>
  <c r="AE609" i="5"/>
  <c r="AI79" i="1"/>
  <c r="AE595" i="5"/>
  <c r="AE352" i="5"/>
  <c r="AE404" i="5"/>
  <c r="AE397" i="5"/>
  <c r="AE647" i="5"/>
  <c r="AE649" i="5"/>
  <c r="AE645" i="5"/>
  <c r="AE400" i="5"/>
  <c r="AE389" i="5"/>
  <c r="AE629" i="5"/>
  <c r="AE651" i="5"/>
  <c r="AE641" i="5"/>
  <c r="AE401" i="5"/>
  <c r="AE640" i="5"/>
  <c r="AE392" i="5"/>
  <c r="AE631" i="5"/>
  <c r="AE644" i="5"/>
  <c r="AE408" i="5"/>
  <c r="AE630" i="5"/>
  <c r="AE388" i="5"/>
  <c r="AE642" i="5"/>
  <c r="AE634" i="5"/>
  <c r="AE405" i="5"/>
  <c r="AE636" i="5"/>
  <c r="AE396" i="5"/>
  <c r="AE650" i="5"/>
  <c r="AE395" i="5"/>
  <c r="AE407" i="5"/>
  <c r="AE639" i="5"/>
  <c r="AE393" i="5"/>
  <c r="AE635" i="5"/>
  <c r="AE390" i="5"/>
  <c r="AE637" i="5"/>
  <c r="AE402" i="5"/>
  <c r="AE632" i="5"/>
  <c r="AI107" i="1"/>
  <c r="AE387" i="5"/>
  <c r="AE403" i="5"/>
  <c r="AE643" i="5"/>
  <c r="AE646" i="5"/>
  <c r="AI80" i="1"/>
  <c r="AE406" i="5"/>
  <c r="AE394" i="5"/>
  <c r="AE399" i="5"/>
  <c r="AE648" i="5"/>
  <c r="AE633" i="5"/>
  <c r="AE391" i="5"/>
  <c r="AE386" i="5"/>
  <c r="AE398" i="5"/>
  <c r="AE638" i="5"/>
  <c r="AE628" i="5"/>
  <c r="AE652" i="5"/>
  <c r="AE385" i="5"/>
  <c r="AE150" i="5"/>
  <c r="AE159" i="5"/>
  <c r="AE155" i="5"/>
  <c r="AE162" i="5"/>
  <c r="AE170" i="5"/>
  <c r="AE163" i="5"/>
  <c r="AE158" i="5"/>
  <c r="AE156" i="5"/>
  <c r="AE168" i="5"/>
  <c r="AE152" i="5"/>
  <c r="AE164" i="5"/>
  <c r="AE169" i="5"/>
  <c r="AE166" i="5"/>
  <c r="AE167" i="5"/>
  <c r="AE160" i="5"/>
  <c r="AE161" i="5"/>
  <c r="AE153" i="5"/>
  <c r="AE157" i="5"/>
  <c r="AE154" i="5"/>
  <c r="AE151" i="5"/>
  <c r="AE149" i="5"/>
  <c r="AE165" i="5"/>
  <c r="AE148" i="5"/>
  <c r="AE147" i="5"/>
  <c r="AG109" i="1"/>
  <c r="AD171" i="5"/>
  <c r="AD172" i="5"/>
  <c r="AD409" i="5"/>
  <c r="AD410" i="5"/>
  <c r="AC238" i="5"/>
  <c r="AD138" i="5"/>
  <c r="AD139" i="5"/>
  <c r="AD237" i="5"/>
  <c r="AD238" i="5"/>
  <c r="AD607" i="5"/>
  <c r="AD611" i="5"/>
  <c r="AD605" i="5"/>
  <c r="AD600" i="5"/>
  <c r="AD354" i="5"/>
  <c r="AD372" i="5"/>
  <c r="AD371" i="5"/>
  <c r="AD367" i="5"/>
  <c r="AD374" i="5"/>
  <c r="AH79" i="1"/>
  <c r="AD601" i="5"/>
  <c r="AD615" i="5"/>
  <c r="AD599" i="5"/>
  <c r="AD609" i="5"/>
  <c r="AD364" i="5"/>
  <c r="AD616" i="5"/>
  <c r="AD614" i="5"/>
  <c r="AD365" i="5"/>
  <c r="AD353" i="5"/>
  <c r="AD358" i="5"/>
  <c r="AD369" i="5"/>
  <c r="AD355" i="5"/>
  <c r="AD373" i="5"/>
  <c r="AD603" i="5"/>
  <c r="AD610" i="5"/>
  <c r="AD375" i="5"/>
  <c r="AD366" i="5"/>
  <c r="AD613" i="5"/>
  <c r="AD617" i="5"/>
  <c r="AD359" i="5"/>
  <c r="AD602" i="5"/>
  <c r="AD597" i="5"/>
  <c r="AD363" i="5"/>
  <c r="AD360" i="5"/>
  <c r="AD368" i="5"/>
  <c r="AD370" i="5"/>
  <c r="AD356" i="5"/>
  <c r="AD362" i="5"/>
  <c r="AD606" i="5"/>
  <c r="AD612" i="5"/>
  <c r="AD604" i="5"/>
  <c r="AD618" i="5"/>
  <c r="AD596" i="5"/>
  <c r="AD598" i="5"/>
  <c r="AD361" i="5"/>
  <c r="AD608" i="5"/>
  <c r="AD357" i="5"/>
  <c r="AH106" i="1"/>
  <c r="AD595" i="5"/>
  <c r="AD619" i="5"/>
  <c r="AD620" i="5"/>
  <c r="AD352" i="5"/>
  <c r="AC344" i="5"/>
  <c r="AF90" i="5"/>
  <c r="AF89" i="5"/>
  <c r="AF98" i="5"/>
  <c r="AF95" i="5"/>
  <c r="AF92" i="5"/>
  <c r="AF99" i="5"/>
  <c r="AF96" i="5"/>
  <c r="AF93" i="5"/>
  <c r="AF87" i="5"/>
  <c r="AF84" i="5"/>
  <c r="AF86" i="5"/>
  <c r="AF82" i="5"/>
  <c r="AF83" i="5"/>
  <c r="AF100" i="5"/>
  <c r="AF103" i="5"/>
  <c r="AF94" i="5"/>
  <c r="AF101" i="5"/>
  <c r="AF104" i="5"/>
  <c r="AF97" i="5"/>
  <c r="AF88" i="5"/>
  <c r="AF102" i="5"/>
  <c r="AF85" i="5"/>
  <c r="AF81" i="5"/>
  <c r="AF91" i="5"/>
  <c r="AJ67" i="1"/>
  <c r="AF191" i="5"/>
  <c r="AF185" i="5"/>
  <c r="AF193" i="5"/>
  <c r="AF201" i="5"/>
  <c r="AF183" i="5"/>
  <c r="AF188" i="5"/>
  <c r="AF182" i="5"/>
  <c r="AF189" i="5"/>
  <c r="AF196" i="5"/>
  <c r="AF199" i="5"/>
  <c r="AF190" i="5"/>
  <c r="AF198" i="5"/>
  <c r="AF195" i="5"/>
  <c r="AF187" i="5"/>
  <c r="AF197" i="5"/>
  <c r="AF202" i="5"/>
  <c r="AF200" i="5"/>
  <c r="AF192" i="5"/>
  <c r="AF181" i="5"/>
  <c r="AF203" i="5"/>
  <c r="AF194" i="5"/>
  <c r="AF186" i="5"/>
  <c r="AF184" i="5"/>
  <c r="AF180" i="5"/>
  <c r="AE105" i="5"/>
  <c r="AE106" i="5"/>
  <c r="AC521" i="5"/>
  <c r="AD685" i="5"/>
  <c r="AD686" i="5"/>
  <c r="AE376" i="5"/>
  <c r="AK29" i="1"/>
  <c r="AK31" i="1"/>
  <c r="AK27" i="1"/>
  <c r="AK28" i="1"/>
  <c r="AK59" i="1"/>
  <c r="AK70" i="1"/>
  <c r="AK30" i="1"/>
  <c r="AK26" i="1"/>
  <c r="AK54" i="1"/>
  <c r="AK55" i="1"/>
  <c r="AK66" i="1"/>
  <c r="AK56" i="1"/>
  <c r="AK58" i="1"/>
  <c r="AK69" i="1"/>
  <c r="AK57" i="1"/>
  <c r="AE204" i="5"/>
  <c r="AE205" i="5"/>
  <c r="AE432" i="5"/>
  <c r="AE428" i="5"/>
  <c r="AE678" i="5"/>
  <c r="AE435" i="5"/>
  <c r="AE669" i="5"/>
  <c r="AE676" i="5"/>
  <c r="AE420" i="5"/>
  <c r="AE431" i="5"/>
  <c r="AE437" i="5"/>
  <c r="AE422" i="5"/>
  <c r="AE663" i="5"/>
  <c r="AE671" i="5"/>
  <c r="AE427" i="5"/>
  <c r="AE436" i="5"/>
  <c r="AE683" i="5"/>
  <c r="AE664" i="5"/>
  <c r="AE667" i="5"/>
  <c r="AE677" i="5"/>
  <c r="AE673" i="5"/>
  <c r="AE675" i="5"/>
  <c r="AE419" i="5"/>
  <c r="AE680" i="5"/>
  <c r="AE439" i="5"/>
  <c r="AE425" i="5"/>
  <c r="AE426" i="5"/>
  <c r="AE434" i="5"/>
  <c r="AE441" i="5"/>
  <c r="AE670" i="5"/>
  <c r="AE681" i="5"/>
  <c r="AE424" i="5"/>
  <c r="AE668" i="5"/>
  <c r="AI81" i="1"/>
  <c r="AE662" i="5"/>
  <c r="AI108" i="1"/>
  <c r="AE672" i="5"/>
  <c r="AE666" i="5"/>
  <c r="AE423" i="5"/>
  <c r="AE665" i="5"/>
  <c r="AE421" i="5"/>
  <c r="AE679" i="5"/>
  <c r="AE684" i="5"/>
  <c r="AE430" i="5"/>
  <c r="AE682" i="5"/>
  <c r="AE433" i="5"/>
  <c r="AE429" i="5"/>
  <c r="AE438" i="5"/>
  <c r="AE674" i="5"/>
  <c r="AE440" i="5"/>
  <c r="AE418" i="5"/>
  <c r="AE661" i="5"/>
  <c r="AD442" i="5"/>
  <c r="AD443" i="5"/>
  <c r="AD587" i="5"/>
  <c r="AD554" i="5"/>
  <c r="AF370" i="5"/>
  <c r="AF372" i="5"/>
  <c r="AF367" i="5"/>
  <c r="AF599" i="5"/>
  <c r="AF616" i="5"/>
  <c r="AF373" i="5"/>
  <c r="AF603" i="5"/>
  <c r="AF364" i="5"/>
  <c r="AF605" i="5"/>
  <c r="AF365" i="5"/>
  <c r="AF597" i="5"/>
  <c r="AF368" i="5"/>
  <c r="AF602" i="5"/>
  <c r="AF353" i="5"/>
  <c r="AF596" i="5"/>
  <c r="AF618" i="5"/>
  <c r="AF601" i="5"/>
  <c r="AF359" i="5"/>
  <c r="AF358" i="5"/>
  <c r="AF354" i="5"/>
  <c r="AF606" i="5"/>
  <c r="AF612" i="5"/>
  <c r="AF355" i="5"/>
  <c r="AJ79" i="1"/>
  <c r="AF362" i="5"/>
  <c r="AF610" i="5"/>
  <c r="AF609" i="5"/>
  <c r="AF600" i="5"/>
  <c r="AF360" i="5"/>
  <c r="AF598" i="5"/>
  <c r="AF608" i="5"/>
  <c r="AF366" i="5"/>
  <c r="AF371" i="5"/>
  <c r="AF357" i="5"/>
  <c r="AF604" i="5"/>
  <c r="AF615" i="5"/>
  <c r="AF369" i="5"/>
  <c r="AF613" i="5"/>
  <c r="AF611" i="5"/>
  <c r="AF614" i="5"/>
  <c r="AF617" i="5"/>
  <c r="AF361" i="5"/>
  <c r="AF356" i="5"/>
  <c r="AF607" i="5"/>
  <c r="AJ106" i="1"/>
  <c r="AF363" i="5"/>
  <c r="AF374" i="5"/>
  <c r="AF375" i="5"/>
  <c r="AF352" i="5"/>
  <c r="AF595" i="5"/>
  <c r="AF230" i="5"/>
  <c r="AF227" i="5"/>
  <c r="AF235" i="5"/>
  <c r="AF216" i="5"/>
  <c r="AF219" i="5"/>
  <c r="AF225" i="5"/>
  <c r="AF232" i="5"/>
  <c r="AF226" i="5"/>
  <c r="AF222" i="5"/>
  <c r="AF233" i="5"/>
  <c r="AF229" i="5"/>
  <c r="AF234" i="5"/>
  <c r="AF217" i="5"/>
  <c r="AF224" i="5"/>
  <c r="AF231" i="5"/>
  <c r="AF223" i="5"/>
  <c r="AF215" i="5"/>
  <c r="AF220" i="5"/>
  <c r="AF228" i="5"/>
  <c r="AF214" i="5"/>
  <c r="AF221" i="5"/>
  <c r="AF236" i="5"/>
  <c r="AF218" i="5"/>
  <c r="AF213" i="5"/>
  <c r="AF127" i="5"/>
  <c r="AF123" i="5"/>
  <c r="AF121" i="5"/>
  <c r="AF126" i="5"/>
  <c r="AF120" i="5"/>
  <c r="AF115" i="5"/>
  <c r="AF122" i="5"/>
  <c r="AF128" i="5"/>
  <c r="AF132" i="5"/>
  <c r="AF129" i="5"/>
  <c r="AF133" i="5"/>
  <c r="AF116" i="5"/>
  <c r="AF134" i="5"/>
  <c r="AF137" i="5"/>
  <c r="AF117" i="5"/>
  <c r="AF136" i="5"/>
  <c r="AF118" i="5"/>
  <c r="AF125" i="5"/>
  <c r="AF119" i="5"/>
  <c r="AF124" i="5"/>
  <c r="AF135" i="5"/>
  <c r="AF131" i="5"/>
  <c r="AF130" i="5"/>
  <c r="AF114" i="5"/>
  <c r="AE139" i="5"/>
  <c r="AE619" i="5"/>
  <c r="AE620" i="5"/>
  <c r="AE237" i="5"/>
  <c r="AE238" i="5"/>
  <c r="AD277" i="5"/>
  <c r="AD343" i="5"/>
  <c r="AD344" i="5"/>
  <c r="AF651" i="5"/>
  <c r="AF636" i="5"/>
  <c r="AF404" i="5"/>
  <c r="AF387" i="5"/>
  <c r="AF394" i="5"/>
  <c r="AF408" i="5"/>
  <c r="AF392" i="5"/>
  <c r="AF631" i="5"/>
  <c r="AF390" i="5"/>
  <c r="AF630" i="5"/>
  <c r="AF639" i="5"/>
  <c r="AF644" i="5"/>
  <c r="AF402" i="5"/>
  <c r="AF645" i="5"/>
  <c r="AF632" i="5"/>
  <c r="AF649" i="5"/>
  <c r="AF650" i="5"/>
  <c r="AF401" i="5"/>
  <c r="AF638" i="5"/>
  <c r="AF386" i="5"/>
  <c r="AF403" i="5"/>
  <c r="AF635" i="5"/>
  <c r="AF642" i="5"/>
  <c r="AF407" i="5"/>
  <c r="AF396" i="5"/>
  <c r="AF395" i="5"/>
  <c r="AF648" i="5"/>
  <c r="AF643" i="5"/>
  <c r="AF646" i="5"/>
  <c r="AF640" i="5"/>
  <c r="AF633" i="5"/>
  <c r="AF637" i="5"/>
  <c r="AF634" i="5"/>
  <c r="AF641" i="5"/>
  <c r="AF399" i="5"/>
  <c r="AF398" i="5"/>
  <c r="AF388" i="5"/>
  <c r="AJ107" i="1"/>
  <c r="AF389" i="5"/>
  <c r="AF393" i="5"/>
  <c r="AF405" i="5"/>
  <c r="AF391" i="5"/>
  <c r="AF400" i="5"/>
  <c r="AF629" i="5"/>
  <c r="AJ80" i="1"/>
  <c r="AF647" i="5"/>
  <c r="AF406" i="5"/>
  <c r="AF397" i="5"/>
  <c r="AF628" i="5"/>
  <c r="AF385" i="5"/>
  <c r="AF158" i="5"/>
  <c r="AF156" i="5"/>
  <c r="AF168" i="5"/>
  <c r="AF148" i="5"/>
  <c r="AF166" i="5"/>
  <c r="AF149" i="5"/>
  <c r="AF153" i="5"/>
  <c r="AF151" i="5"/>
  <c r="AF157" i="5"/>
  <c r="AF155" i="5"/>
  <c r="AF161" i="5"/>
  <c r="AF154" i="5"/>
  <c r="AF164" i="5"/>
  <c r="AF163" i="5"/>
  <c r="AF167" i="5"/>
  <c r="AF162" i="5"/>
  <c r="AF160" i="5"/>
  <c r="AF159" i="5"/>
  <c r="AF165" i="5"/>
  <c r="AF152" i="5"/>
  <c r="AF170" i="5"/>
  <c r="AF169" i="5"/>
  <c r="AF150" i="5"/>
  <c r="AF147" i="5"/>
  <c r="AF309" i="5"/>
  <c r="AF547" i="5"/>
  <c r="AF305" i="5"/>
  <c r="AF303" i="5"/>
  <c r="AF537" i="5"/>
  <c r="AF288" i="5"/>
  <c r="AF297" i="5"/>
  <c r="AF302" i="5"/>
  <c r="AF530" i="5"/>
  <c r="AF292" i="5"/>
  <c r="AF549" i="5"/>
  <c r="AF298" i="5"/>
  <c r="AF546" i="5"/>
  <c r="AF536" i="5"/>
  <c r="AF296" i="5"/>
  <c r="AF552" i="5"/>
  <c r="AF304" i="5"/>
  <c r="AF290" i="5"/>
  <c r="AF543" i="5"/>
  <c r="AF548" i="5"/>
  <c r="AF544" i="5"/>
  <c r="AF300" i="5"/>
  <c r="AF551" i="5"/>
  <c r="AJ77" i="1"/>
  <c r="AF301" i="5"/>
  <c r="AF289" i="5"/>
  <c r="AF308" i="5"/>
  <c r="AF306" i="5"/>
  <c r="AF295" i="5"/>
  <c r="AF540" i="5"/>
  <c r="AF550" i="5"/>
  <c r="AF542" i="5"/>
  <c r="AF531" i="5"/>
  <c r="AJ104" i="1"/>
  <c r="AF545" i="5"/>
  <c r="AF299" i="5"/>
  <c r="AF534" i="5"/>
  <c r="AF287" i="5"/>
  <c r="AF535" i="5"/>
  <c r="AF293" i="5"/>
  <c r="AF532" i="5"/>
  <c r="AF291" i="5"/>
  <c r="AF539" i="5"/>
  <c r="AF538" i="5"/>
  <c r="AF307" i="5"/>
  <c r="AF294" i="5"/>
  <c r="AF541" i="5"/>
  <c r="AF533" i="5"/>
  <c r="AF286" i="5"/>
  <c r="AF529" i="5"/>
  <c r="AE72" i="5"/>
  <c r="AE73" i="5"/>
  <c r="AE653" i="5"/>
  <c r="AD376" i="5"/>
  <c r="AD377" i="5"/>
  <c r="AE171" i="5"/>
  <c r="AE172" i="5"/>
  <c r="AE409" i="5"/>
  <c r="AE410" i="5"/>
  <c r="AE583" i="5"/>
  <c r="AE326" i="5"/>
  <c r="AE341" i="5"/>
  <c r="AE579" i="5"/>
  <c r="AE575" i="5"/>
  <c r="AE573" i="5"/>
  <c r="AE342" i="5"/>
  <c r="AE564" i="5"/>
  <c r="AE340" i="5"/>
  <c r="AE334" i="5"/>
  <c r="AE582" i="5"/>
  <c r="AE339" i="5"/>
  <c r="AE332" i="5"/>
  <c r="AE581" i="5"/>
  <c r="AE563" i="5"/>
  <c r="AE327" i="5"/>
  <c r="AE580" i="5"/>
  <c r="AE338" i="5"/>
  <c r="AE570" i="5"/>
  <c r="AE336" i="5"/>
  <c r="AE329" i="5"/>
  <c r="AE321" i="5"/>
  <c r="AE569" i="5"/>
  <c r="AE320" i="5"/>
  <c r="AE571" i="5"/>
  <c r="AE565" i="5"/>
  <c r="AE585" i="5"/>
  <c r="AE324" i="5"/>
  <c r="AI105" i="1"/>
  <c r="AE566" i="5"/>
  <c r="AE572" i="5"/>
  <c r="AE578" i="5"/>
  <c r="AI78" i="1"/>
  <c r="AE335" i="5"/>
  <c r="AE567" i="5"/>
  <c r="AE576" i="5"/>
  <c r="AE568" i="5"/>
  <c r="AE584" i="5"/>
  <c r="AE322" i="5"/>
  <c r="AE328" i="5"/>
  <c r="AE331" i="5"/>
  <c r="AE574" i="5"/>
  <c r="AE333" i="5"/>
  <c r="AE577" i="5"/>
  <c r="AE325" i="5"/>
  <c r="AE330" i="5"/>
  <c r="AE337" i="5"/>
  <c r="AE323" i="5"/>
  <c r="AE562" i="5"/>
  <c r="AE319" i="5"/>
  <c r="AE513" i="5"/>
  <c r="AE274" i="5"/>
  <c r="AE498" i="5"/>
  <c r="AE499" i="5"/>
  <c r="AE502" i="5"/>
  <c r="AE255" i="5"/>
  <c r="AE515" i="5"/>
  <c r="AE508" i="5"/>
  <c r="AE271" i="5"/>
  <c r="AE500" i="5"/>
  <c r="AE264" i="5"/>
  <c r="AE276" i="5"/>
  <c r="AE260" i="5"/>
  <c r="AE273" i="5"/>
  <c r="AE510" i="5"/>
  <c r="AE497" i="5"/>
  <c r="AE519" i="5"/>
  <c r="AE266" i="5"/>
  <c r="AE509" i="5"/>
  <c r="AE505" i="5"/>
  <c r="AE511" i="5"/>
  <c r="AI76" i="1"/>
  <c r="AE512" i="5"/>
  <c r="AE262" i="5"/>
  <c r="AE258" i="5"/>
  <c r="AE254" i="5"/>
  <c r="AE261" i="5"/>
  <c r="AE517" i="5"/>
  <c r="AE275" i="5"/>
  <c r="AE516" i="5"/>
  <c r="AE263" i="5"/>
  <c r="AE514" i="5"/>
  <c r="AE501" i="5"/>
  <c r="AE507" i="5"/>
  <c r="AE265" i="5"/>
  <c r="AE503" i="5"/>
  <c r="AE504" i="5"/>
  <c r="AE269" i="5"/>
  <c r="AE268" i="5"/>
  <c r="AI71" i="1"/>
  <c r="AI82" i="1"/>
  <c r="AE518" i="5"/>
  <c r="AE256" i="5"/>
  <c r="AE506" i="5"/>
  <c r="AE257" i="5"/>
  <c r="AE259" i="5"/>
  <c r="AE253" i="5"/>
  <c r="AE270" i="5"/>
  <c r="AE272" i="5"/>
  <c r="AE267" i="5"/>
  <c r="AE496" i="5"/>
  <c r="AI103" i="1"/>
  <c r="AD520" i="5"/>
  <c r="AC278" i="5"/>
  <c r="AF70" i="5"/>
  <c r="AF62" i="5"/>
  <c r="AF69" i="5"/>
  <c r="AF60" i="5"/>
  <c r="AF66" i="5"/>
  <c r="AF61" i="5"/>
  <c r="AF71" i="5"/>
  <c r="AF64" i="5"/>
  <c r="AF68" i="5"/>
  <c r="AF67" i="5"/>
  <c r="AF54" i="5"/>
  <c r="AF49" i="5"/>
  <c r="AF58" i="5"/>
  <c r="AJ32" i="1"/>
  <c r="AF51" i="5"/>
  <c r="AF52" i="5"/>
  <c r="AF55" i="5"/>
  <c r="AF63" i="5"/>
  <c r="AF59" i="5"/>
  <c r="AF56" i="5"/>
  <c r="AF50" i="5"/>
  <c r="AF53" i="5"/>
  <c r="AF57" i="5"/>
  <c r="AF65" i="5"/>
  <c r="AF48" i="5"/>
  <c r="AJ70" i="1"/>
  <c r="AJ60" i="1"/>
  <c r="AJ65" i="1"/>
  <c r="AE531" i="5"/>
  <c r="AE306" i="5"/>
  <c r="AE296" i="5"/>
  <c r="AE298" i="5"/>
  <c r="AE295" i="5"/>
  <c r="AE541" i="5"/>
  <c r="AE532" i="5"/>
  <c r="AE287" i="5"/>
  <c r="AE534" i="5"/>
  <c r="AE288" i="5"/>
  <c r="AE535" i="5"/>
  <c r="AE297" i="5"/>
  <c r="AE549" i="5"/>
  <c r="AE289" i="5"/>
  <c r="AI104" i="1"/>
  <c r="AE551" i="5"/>
  <c r="AI77" i="1"/>
  <c r="AE540" i="5"/>
  <c r="AE550" i="5"/>
  <c r="AE547" i="5"/>
  <c r="AE308" i="5"/>
  <c r="AE304" i="5"/>
  <c r="AE290" i="5"/>
  <c r="AE552" i="5"/>
  <c r="AE545" i="5"/>
  <c r="AE293" i="5"/>
  <c r="AE309" i="5"/>
  <c r="AE530" i="5"/>
  <c r="AE305" i="5"/>
  <c r="AE539" i="5"/>
  <c r="AE546" i="5"/>
  <c r="AE291" i="5"/>
  <c r="AE307" i="5"/>
  <c r="AE544" i="5"/>
  <c r="AE292" i="5"/>
  <c r="AE533" i="5"/>
  <c r="AE301" i="5"/>
  <c r="AE303" i="5"/>
  <c r="AE536" i="5"/>
  <c r="AE299" i="5"/>
  <c r="AE294" i="5"/>
  <c r="AE538" i="5"/>
  <c r="AE302" i="5"/>
  <c r="AE537" i="5"/>
  <c r="AE542" i="5"/>
  <c r="AE543" i="5"/>
  <c r="AE300" i="5"/>
  <c r="AE548" i="5"/>
  <c r="AE286" i="5"/>
  <c r="AE529" i="5"/>
  <c r="AF680" i="5"/>
  <c r="AF435" i="5"/>
  <c r="AF423" i="5"/>
  <c r="AJ108" i="1"/>
  <c r="AF683" i="5"/>
  <c r="AF669" i="5"/>
  <c r="AF681" i="5"/>
  <c r="AF436" i="5"/>
  <c r="AF678" i="5"/>
  <c r="AF425" i="5"/>
  <c r="AF684" i="5"/>
  <c r="AF675" i="5"/>
  <c r="AF427" i="5"/>
  <c r="AF428" i="5"/>
  <c r="AF662" i="5"/>
  <c r="AF421" i="5"/>
  <c r="AF440" i="5"/>
  <c r="AF433" i="5"/>
  <c r="AF438" i="5"/>
  <c r="AF432" i="5"/>
  <c r="AF663" i="5"/>
  <c r="AF424" i="5"/>
  <c r="AF437" i="5"/>
  <c r="AF419" i="5"/>
  <c r="AF677" i="5"/>
  <c r="AF439" i="5"/>
  <c r="AF676" i="5"/>
  <c r="AF670" i="5"/>
  <c r="AF426" i="5"/>
  <c r="AF431" i="5"/>
  <c r="AF429" i="5"/>
  <c r="AF422" i="5"/>
  <c r="AF671" i="5"/>
  <c r="AF430" i="5"/>
  <c r="AF666" i="5"/>
  <c r="AJ81" i="1"/>
  <c r="AF674" i="5"/>
  <c r="AF682" i="5"/>
  <c r="AF434" i="5"/>
  <c r="AF665" i="5"/>
  <c r="AF673" i="5"/>
  <c r="AF420" i="5"/>
  <c r="AF679" i="5"/>
  <c r="AF668" i="5"/>
  <c r="AF441" i="5"/>
  <c r="AF664" i="5"/>
  <c r="AF667" i="5"/>
  <c r="AF672" i="5"/>
  <c r="AF418" i="5"/>
  <c r="AF661" i="5"/>
  <c r="AD521" i="5"/>
  <c r="AE343" i="5"/>
  <c r="AE344" i="5"/>
  <c r="AD278" i="5"/>
  <c r="AF138" i="5"/>
  <c r="AF139" i="5"/>
  <c r="AF237" i="5"/>
  <c r="AF238" i="5"/>
  <c r="AF619" i="5"/>
  <c r="AF620" i="5"/>
  <c r="AK68" i="1"/>
  <c r="AK60" i="1"/>
  <c r="AK65" i="1"/>
  <c r="AG116" i="5"/>
  <c r="AH116" i="5"/>
  <c r="AG115" i="5"/>
  <c r="AH115" i="5"/>
  <c r="AG127" i="5"/>
  <c r="AH127" i="5"/>
  <c r="AG117" i="5"/>
  <c r="AH117" i="5"/>
  <c r="AG128" i="5"/>
  <c r="AH128" i="5"/>
  <c r="AG125" i="5"/>
  <c r="AH125" i="5"/>
  <c r="AG130" i="5"/>
  <c r="AH130" i="5"/>
  <c r="AG122" i="5"/>
  <c r="AH122" i="5"/>
  <c r="AG131" i="5"/>
  <c r="AH131" i="5"/>
  <c r="AG118" i="5"/>
  <c r="AH118" i="5"/>
  <c r="AG135" i="5"/>
  <c r="AH135" i="5"/>
  <c r="AG132" i="5"/>
  <c r="AH132" i="5"/>
  <c r="AG120" i="5"/>
  <c r="AH120" i="5"/>
  <c r="AG124" i="5"/>
  <c r="AH124" i="5"/>
  <c r="AG133" i="5"/>
  <c r="AH133" i="5"/>
  <c r="AG129" i="5"/>
  <c r="AH129" i="5"/>
  <c r="AG119" i="5"/>
  <c r="AH119" i="5"/>
  <c r="AG136" i="5"/>
  <c r="AH136" i="5"/>
  <c r="AG123" i="5"/>
  <c r="AH123" i="5"/>
  <c r="AG137" i="5"/>
  <c r="AH137" i="5"/>
  <c r="AG121" i="5"/>
  <c r="AH121" i="5"/>
  <c r="AG134" i="5"/>
  <c r="AH134" i="5"/>
  <c r="AG126" i="5"/>
  <c r="AH126" i="5"/>
  <c r="AG114" i="5"/>
  <c r="D28" i="1"/>
  <c r="G28" i="1"/>
  <c r="E28" i="1"/>
  <c r="AE377" i="5"/>
  <c r="AF553" i="5"/>
  <c r="AG677" i="5"/>
  <c r="AH677" i="5"/>
  <c r="G709" i="5"/>
  <c r="AG426" i="5"/>
  <c r="AH426" i="5"/>
  <c r="AG423" i="5"/>
  <c r="AH423" i="5"/>
  <c r="AG440" i="5"/>
  <c r="AH440" i="5"/>
  <c r="AG427" i="5"/>
  <c r="AH427" i="5"/>
  <c r="AK81" i="1"/>
  <c r="AG432" i="5"/>
  <c r="AG428" i="5"/>
  <c r="AH428" i="5"/>
  <c r="AG669" i="5"/>
  <c r="AH669" i="5"/>
  <c r="G701" i="5"/>
  <c r="AK108" i="1"/>
  <c r="AG671" i="5"/>
  <c r="AH671" i="5"/>
  <c r="G703" i="5"/>
  <c r="AG674" i="5"/>
  <c r="AH674" i="5"/>
  <c r="G706" i="5"/>
  <c r="AG673" i="5"/>
  <c r="AH673" i="5"/>
  <c r="G705" i="5"/>
  <c r="AG684" i="5"/>
  <c r="AH684" i="5"/>
  <c r="G716" i="5"/>
  <c r="AG683" i="5"/>
  <c r="AH683" i="5"/>
  <c r="G715" i="5"/>
  <c r="AG436" i="5"/>
  <c r="AG672" i="5"/>
  <c r="AH672" i="5"/>
  <c r="G704" i="5"/>
  <c r="AG667" i="5"/>
  <c r="AH667" i="5"/>
  <c r="G699" i="5"/>
  <c r="AG419" i="5"/>
  <c r="AG678" i="5"/>
  <c r="AH678" i="5"/>
  <c r="G710" i="5"/>
  <c r="AG663" i="5"/>
  <c r="AH663" i="5"/>
  <c r="G695" i="5"/>
  <c r="AG679" i="5"/>
  <c r="AH679" i="5"/>
  <c r="G711" i="5"/>
  <c r="AG437" i="5"/>
  <c r="AH437" i="5"/>
  <c r="AG662" i="5"/>
  <c r="AH662" i="5"/>
  <c r="G694" i="5"/>
  <c r="AG422" i="5"/>
  <c r="AH422" i="5"/>
  <c r="AG681" i="5"/>
  <c r="AH681" i="5"/>
  <c r="G713" i="5"/>
  <c r="AG433" i="5"/>
  <c r="AH433" i="5"/>
  <c r="AG666" i="5"/>
  <c r="AH666" i="5"/>
  <c r="G698" i="5"/>
  <c r="AG434" i="5"/>
  <c r="AH434" i="5"/>
  <c r="AG665" i="5"/>
  <c r="AG675" i="5"/>
  <c r="AG664" i="5"/>
  <c r="AH664" i="5"/>
  <c r="G696" i="5"/>
  <c r="AG435" i="5"/>
  <c r="AH435" i="5"/>
  <c r="AG682" i="5"/>
  <c r="AH682" i="5"/>
  <c r="G714" i="5"/>
  <c r="AG421" i="5"/>
  <c r="AG439" i="5"/>
  <c r="AH439" i="5"/>
  <c r="AG438" i="5"/>
  <c r="AH438" i="5"/>
  <c r="AG676" i="5"/>
  <c r="AH676" i="5"/>
  <c r="G708" i="5"/>
  <c r="AG680" i="5"/>
  <c r="AH680" i="5"/>
  <c r="G712" i="5"/>
  <c r="AG431" i="5"/>
  <c r="AH431" i="5"/>
  <c r="AG425" i="5"/>
  <c r="AH425" i="5"/>
  <c r="AG668" i="5"/>
  <c r="AG420" i="5"/>
  <c r="AH420" i="5"/>
  <c r="AG424" i="5"/>
  <c r="AH424" i="5"/>
  <c r="AG441" i="5"/>
  <c r="AH441" i="5"/>
  <c r="AG418" i="5"/>
  <c r="AG429" i="5"/>
  <c r="AH429" i="5"/>
  <c r="AG670" i="5"/>
  <c r="AG430" i="5"/>
  <c r="AH430" i="5"/>
  <c r="AG661" i="5"/>
  <c r="D70" i="1"/>
  <c r="E70" i="1"/>
  <c r="E8" i="7"/>
  <c r="AF105" i="5"/>
  <c r="AF106" i="5"/>
  <c r="AE553" i="5"/>
  <c r="AE554" i="5"/>
  <c r="AE310" i="5"/>
  <c r="AE311" i="5"/>
  <c r="AF72" i="5"/>
  <c r="AF73" i="5"/>
  <c r="AI109" i="1"/>
  <c r="AE586" i="5"/>
  <c r="AE587" i="5"/>
  <c r="AF171" i="5"/>
  <c r="AF172" i="5"/>
  <c r="AF409" i="5"/>
  <c r="AF410" i="5"/>
  <c r="AF376" i="5"/>
  <c r="AF377" i="5"/>
  <c r="AE685" i="5"/>
  <c r="AE686" i="5"/>
  <c r="AG390" i="5"/>
  <c r="AH390" i="5"/>
  <c r="AK80" i="1"/>
  <c r="E80" i="1"/>
  <c r="AG651" i="5"/>
  <c r="AH651" i="5"/>
  <c r="F716" i="5"/>
  <c r="AG639" i="5"/>
  <c r="AH639" i="5"/>
  <c r="F704" i="5"/>
  <c r="AG642" i="5"/>
  <c r="AH642" i="5"/>
  <c r="F707" i="5"/>
  <c r="AG402" i="5"/>
  <c r="AH402" i="5"/>
  <c r="AG644" i="5"/>
  <c r="AH644" i="5"/>
  <c r="F709" i="5"/>
  <c r="AG405" i="5"/>
  <c r="AH405" i="5"/>
  <c r="AG395" i="5"/>
  <c r="AH395" i="5"/>
  <c r="AG386" i="5"/>
  <c r="AH386" i="5"/>
  <c r="AG632" i="5"/>
  <c r="AH632" i="5"/>
  <c r="F697" i="5"/>
  <c r="AG400" i="5"/>
  <c r="AH400" i="5"/>
  <c r="AG641" i="5"/>
  <c r="AH641" i="5"/>
  <c r="F706" i="5"/>
  <c r="AG387" i="5"/>
  <c r="AH387" i="5"/>
  <c r="AG648" i="5"/>
  <c r="AH648" i="5"/>
  <c r="F713" i="5"/>
  <c r="AG650" i="5"/>
  <c r="AH650" i="5"/>
  <c r="F715" i="5"/>
  <c r="AG643" i="5"/>
  <c r="AH643" i="5"/>
  <c r="F708" i="5"/>
  <c r="AG404" i="5"/>
  <c r="AH404" i="5"/>
  <c r="AK107" i="1"/>
  <c r="AG403" i="5"/>
  <c r="AH403" i="5"/>
  <c r="AG638" i="5"/>
  <c r="AH638" i="5"/>
  <c r="F703" i="5"/>
  <c r="AG629" i="5"/>
  <c r="AH629" i="5"/>
  <c r="F694" i="5"/>
  <c r="AG647" i="5"/>
  <c r="AH647" i="5"/>
  <c r="F712" i="5"/>
  <c r="AG637" i="5"/>
  <c r="AH637" i="5"/>
  <c r="F702" i="5"/>
  <c r="AG393" i="5"/>
  <c r="AH393" i="5"/>
  <c r="AG630" i="5"/>
  <c r="AH630" i="5"/>
  <c r="F695" i="5"/>
  <c r="AG392" i="5"/>
  <c r="AH392" i="5"/>
  <c r="AG635" i="5"/>
  <c r="AH635" i="5"/>
  <c r="F700" i="5"/>
  <c r="AG649" i="5"/>
  <c r="AH649" i="5"/>
  <c r="F714" i="5"/>
  <c r="AG646" i="5"/>
  <c r="AH646" i="5"/>
  <c r="F711" i="5"/>
  <c r="AG631" i="5"/>
  <c r="AH631" i="5"/>
  <c r="F696" i="5"/>
  <c r="AG633" i="5"/>
  <c r="AH633" i="5"/>
  <c r="F698" i="5"/>
  <c r="AG401" i="5"/>
  <c r="AH401" i="5"/>
  <c r="AG634" i="5"/>
  <c r="AH634" i="5"/>
  <c r="F699" i="5"/>
  <c r="AG391" i="5"/>
  <c r="AH391" i="5"/>
  <c r="AG406" i="5"/>
  <c r="AH406" i="5"/>
  <c r="AG389" i="5"/>
  <c r="AH389" i="5"/>
  <c r="AG408" i="5"/>
  <c r="AH408" i="5"/>
  <c r="AG399" i="5"/>
  <c r="AH399" i="5"/>
  <c r="AG640" i="5"/>
  <c r="AH640" i="5"/>
  <c r="F705" i="5"/>
  <c r="AG398" i="5"/>
  <c r="AH398" i="5"/>
  <c r="AG636" i="5"/>
  <c r="AH636" i="5"/>
  <c r="F701" i="5"/>
  <c r="AG388" i="5"/>
  <c r="AH388" i="5"/>
  <c r="AG394" i="5"/>
  <c r="AH394" i="5"/>
  <c r="AG645" i="5"/>
  <c r="AH645" i="5"/>
  <c r="F710" i="5"/>
  <c r="AG407" i="5"/>
  <c r="AH407" i="5"/>
  <c r="AG397" i="5"/>
  <c r="AH397" i="5"/>
  <c r="AG396" i="5"/>
  <c r="AH396" i="5"/>
  <c r="AG628" i="5"/>
  <c r="AG385" i="5"/>
  <c r="E69" i="1"/>
  <c r="E7" i="7"/>
  <c r="D69" i="1"/>
  <c r="AG68" i="5"/>
  <c r="AH68" i="5"/>
  <c r="AG52" i="5"/>
  <c r="AH52" i="5"/>
  <c r="AG49" i="5"/>
  <c r="AH49" i="5"/>
  <c r="AG69" i="5"/>
  <c r="AH69" i="5"/>
  <c r="AG71" i="5"/>
  <c r="AH71" i="5"/>
  <c r="AG53" i="5"/>
  <c r="AH53" i="5"/>
  <c r="AG50" i="5"/>
  <c r="AH50" i="5"/>
  <c r="AG58" i="5"/>
  <c r="AH58" i="5"/>
  <c r="AG54" i="5"/>
  <c r="AH54" i="5"/>
  <c r="AG65" i="5"/>
  <c r="AH65" i="5"/>
  <c r="AG56" i="5"/>
  <c r="AH56" i="5"/>
  <c r="AG61" i="5"/>
  <c r="AH61" i="5"/>
  <c r="AG55" i="5"/>
  <c r="AH55" i="5"/>
  <c r="AG51" i="5"/>
  <c r="AH51" i="5"/>
  <c r="AG57" i="5"/>
  <c r="AH57" i="5"/>
  <c r="AG60" i="5"/>
  <c r="AH60" i="5"/>
  <c r="AK32" i="1"/>
  <c r="AG67" i="5"/>
  <c r="AH67" i="5"/>
  <c r="AG64" i="5"/>
  <c r="AH64" i="5"/>
  <c r="AG59" i="5"/>
  <c r="AH59" i="5"/>
  <c r="AG70" i="5"/>
  <c r="AH70" i="5"/>
  <c r="AG66" i="5"/>
  <c r="AH66" i="5"/>
  <c r="AG62" i="5"/>
  <c r="AH62" i="5"/>
  <c r="AG63" i="5"/>
  <c r="AH63" i="5"/>
  <c r="AG48" i="5"/>
  <c r="E26" i="1"/>
  <c r="D26" i="1"/>
  <c r="AG83" i="5"/>
  <c r="AH83" i="5"/>
  <c r="AG102" i="5"/>
  <c r="AH102" i="5"/>
  <c r="AG100" i="5"/>
  <c r="AH100" i="5"/>
  <c r="AG82" i="5"/>
  <c r="AH82" i="5"/>
  <c r="AG95" i="5"/>
  <c r="AH95" i="5"/>
  <c r="AG90" i="5"/>
  <c r="AH90" i="5"/>
  <c r="AG91" i="5"/>
  <c r="AH91" i="5"/>
  <c r="AG103" i="5"/>
  <c r="AH103" i="5"/>
  <c r="AG101" i="5"/>
  <c r="AH101" i="5"/>
  <c r="AG89" i="5"/>
  <c r="AH89" i="5"/>
  <c r="AG86" i="5"/>
  <c r="AH86" i="5"/>
  <c r="AG99" i="5"/>
  <c r="AH99" i="5"/>
  <c r="AG87" i="5"/>
  <c r="AH87" i="5"/>
  <c r="AG92" i="5"/>
  <c r="AH92" i="5"/>
  <c r="AG84" i="5"/>
  <c r="AH84" i="5"/>
  <c r="AG98" i="5"/>
  <c r="AH98" i="5"/>
  <c r="AG94" i="5"/>
  <c r="AH94" i="5"/>
  <c r="AG97" i="5"/>
  <c r="AH97" i="5"/>
  <c r="AG85" i="5"/>
  <c r="AH85" i="5"/>
  <c r="AG88" i="5"/>
  <c r="AH88" i="5"/>
  <c r="AG104" i="5"/>
  <c r="AH104" i="5"/>
  <c r="AG96" i="5"/>
  <c r="AH96" i="5"/>
  <c r="AG93" i="5"/>
  <c r="AH93" i="5"/>
  <c r="AG81" i="5"/>
  <c r="E27" i="1"/>
  <c r="D27" i="1"/>
  <c r="G27" i="1"/>
  <c r="AF204" i="5"/>
  <c r="AF205" i="5"/>
  <c r="AF579" i="5"/>
  <c r="AF340" i="5"/>
  <c r="AF565" i="5"/>
  <c r="AF570" i="5"/>
  <c r="AF320" i="5"/>
  <c r="AF321" i="5"/>
  <c r="AF331" i="5"/>
  <c r="AF584" i="5"/>
  <c r="AF575" i="5"/>
  <c r="AF336" i="5"/>
  <c r="AF566" i="5"/>
  <c r="AF326" i="5"/>
  <c r="AF563" i="5"/>
  <c r="AF576" i="5"/>
  <c r="AF574" i="5"/>
  <c r="AF335" i="5"/>
  <c r="AF567" i="5"/>
  <c r="AF325" i="5"/>
  <c r="AF577" i="5"/>
  <c r="AF572" i="5"/>
  <c r="AF583" i="5"/>
  <c r="AF322" i="5"/>
  <c r="AF332" i="5"/>
  <c r="AF569" i="5"/>
  <c r="AF337" i="5"/>
  <c r="AJ78" i="1"/>
  <c r="AF327" i="5"/>
  <c r="AF323" i="5"/>
  <c r="AF338" i="5"/>
  <c r="AF585" i="5"/>
  <c r="AF582" i="5"/>
  <c r="AF568" i="5"/>
  <c r="AF580" i="5"/>
  <c r="AF333" i="5"/>
  <c r="AF339" i="5"/>
  <c r="AF573" i="5"/>
  <c r="AF564" i="5"/>
  <c r="AF328" i="5"/>
  <c r="AF581" i="5"/>
  <c r="AF329" i="5"/>
  <c r="AJ105" i="1"/>
  <c r="AF334" i="5"/>
  <c r="AF571" i="5"/>
  <c r="AF342" i="5"/>
  <c r="AF578" i="5"/>
  <c r="AF330" i="5"/>
  <c r="AF324" i="5"/>
  <c r="AF341" i="5"/>
  <c r="AF319" i="5"/>
  <c r="AF343" i="5"/>
  <c r="AF344" i="5"/>
  <c r="AF562" i="5"/>
  <c r="AG294" i="5"/>
  <c r="AH294" i="5"/>
  <c r="AG544" i="5"/>
  <c r="AH544" i="5"/>
  <c r="C708" i="5"/>
  <c r="AG547" i="5"/>
  <c r="AH547" i="5"/>
  <c r="C711" i="5"/>
  <c r="AG304" i="5"/>
  <c r="AH304" i="5"/>
  <c r="AG542" i="5"/>
  <c r="AH542" i="5"/>
  <c r="C706" i="5"/>
  <c r="AG307" i="5"/>
  <c r="AH307" i="5"/>
  <c r="AG309" i="5"/>
  <c r="AH309" i="5"/>
  <c r="AG288" i="5"/>
  <c r="AH288" i="5"/>
  <c r="AG290" i="5"/>
  <c r="AH290" i="5"/>
  <c r="AG541" i="5"/>
  <c r="AH541" i="5"/>
  <c r="C705" i="5"/>
  <c r="AG531" i="5"/>
  <c r="AH531" i="5"/>
  <c r="C695" i="5"/>
  <c r="AK104" i="1"/>
  <c r="AG530" i="5"/>
  <c r="AH530" i="5"/>
  <c r="C694" i="5"/>
  <c r="AG296" i="5"/>
  <c r="AH296" i="5"/>
  <c r="AG551" i="5"/>
  <c r="AH551" i="5"/>
  <c r="C715" i="5"/>
  <c r="AG299" i="5"/>
  <c r="AH299" i="5"/>
  <c r="AG538" i="5"/>
  <c r="AH538" i="5"/>
  <c r="C702" i="5"/>
  <c r="AG532" i="5"/>
  <c r="AH532" i="5"/>
  <c r="C696" i="5"/>
  <c r="AG295" i="5"/>
  <c r="AH295" i="5"/>
  <c r="AG305" i="5"/>
  <c r="AH305" i="5"/>
  <c r="AG548" i="5"/>
  <c r="AH548" i="5"/>
  <c r="C712" i="5"/>
  <c r="AG291" i="5"/>
  <c r="AH291" i="5"/>
  <c r="AG550" i="5"/>
  <c r="AH550" i="5"/>
  <c r="C714" i="5"/>
  <c r="AG302" i="5"/>
  <c r="AH302" i="5"/>
  <c r="AG298" i="5"/>
  <c r="AH298" i="5"/>
  <c r="AG308" i="5"/>
  <c r="AH308" i="5"/>
  <c r="AG537" i="5"/>
  <c r="AH537" i="5"/>
  <c r="C701" i="5"/>
  <c r="AG533" i="5"/>
  <c r="AH533" i="5"/>
  <c r="C697" i="5"/>
  <c r="AG301" i="5"/>
  <c r="AH301" i="5"/>
  <c r="AG292" i="5"/>
  <c r="AH292" i="5"/>
  <c r="AG536" i="5"/>
  <c r="AH536" i="5"/>
  <c r="C700" i="5"/>
  <c r="AG303" i="5"/>
  <c r="AH303" i="5"/>
  <c r="AG306" i="5"/>
  <c r="AH306" i="5"/>
  <c r="AG300" i="5"/>
  <c r="AH300" i="5"/>
  <c r="AG535" i="5"/>
  <c r="AH535" i="5"/>
  <c r="C699" i="5"/>
  <c r="AG289" i="5"/>
  <c r="AH289" i="5"/>
  <c r="AG287" i="5"/>
  <c r="AH287" i="5"/>
  <c r="AG545" i="5"/>
  <c r="AH545" i="5"/>
  <c r="C709" i="5"/>
  <c r="AG293" i="5"/>
  <c r="AH293" i="5"/>
  <c r="AG534" i="5"/>
  <c r="AH534" i="5"/>
  <c r="C698" i="5"/>
  <c r="AG297" i="5"/>
  <c r="AH297" i="5"/>
  <c r="AG540" i="5"/>
  <c r="AH540" i="5"/>
  <c r="C704" i="5"/>
  <c r="AG549" i="5"/>
  <c r="AH549" i="5"/>
  <c r="C713" i="5"/>
  <c r="AG546" i="5"/>
  <c r="AH546" i="5"/>
  <c r="C710" i="5"/>
  <c r="AG539" i="5"/>
  <c r="AH539" i="5"/>
  <c r="C703" i="5"/>
  <c r="AG543" i="5"/>
  <c r="AH543" i="5"/>
  <c r="C707" i="5"/>
  <c r="AG552" i="5"/>
  <c r="AH552" i="5"/>
  <c r="C716" i="5"/>
  <c r="AK77" i="1"/>
  <c r="E77" i="1"/>
  <c r="AG529" i="5"/>
  <c r="AG286" i="5"/>
  <c r="E66" i="1"/>
  <c r="E4" i="7"/>
  <c r="D66" i="1"/>
  <c r="AG153" i="5"/>
  <c r="AH153" i="5"/>
  <c r="AG151" i="5"/>
  <c r="AH151" i="5"/>
  <c r="AG157" i="5"/>
  <c r="AH157" i="5"/>
  <c r="AG154" i="5"/>
  <c r="AH154" i="5"/>
  <c r="AG152" i="5"/>
  <c r="AH152" i="5"/>
  <c r="AG166" i="5"/>
  <c r="AH166" i="5"/>
  <c r="AG148" i="5"/>
  <c r="AH148" i="5"/>
  <c r="AG158" i="5"/>
  <c r="AH158" i="5"/>
  <c r="AG168" i="5"/>
  <c r="AH168" i="5"/>
  <c r="AG167" i="5"/>
  <c r="AH167" i="5"/>
  <c r="AG164" i="5"/>
  <c r="AH164" i="5"/>
  <c r="AG149" i="5"/>
  <c r="AH149" i="5"/>
  <c r="AG162" i="5"/>
  <c r="AH162" i="5"/>
  <c r="AG159" i="5"/>
  <c r="AH159" i="5"/>
  <c r="AG163" i="5"/>
  <c r="AH163" i="5"/>
  <c r="AG161" i="5"/>
  <c r="AH161" i="5"/>
  <c r="AG170" i="5"/>
  <c r="AH170" i="5"/>
  <c r="AG165" i="5"/>
  <c r="AH165" i="5"/>
  <c r="AG155" i="5"/>
  <c r="AH155" i="5"/>
  <c r="AG150" i="5"/>
  <c r="AH150" i="5"/>
  <c r="AG169" i="5"/>
  <c r="AH169" i="5"/>
  <c r="AG160" i="5"/>
  <c r="AH160" i="5"/>
  <c r="AG156" i="5"/>
  <c r="AH156" i="5"/>
  <c r="AG147" i="5"/>
  <c r="D29" i="1"/>
  <c r="G29" i="1"/>
  <c r="E29" i="1"/>
  <c r="AF310" i="5"/>
  <c r="AF311" i="5"/>
  <c r="AF505" i="5"/>
  <c r="AF261" i="5"/>
  <c r="AF500" i="5"/>
  <c r="AJ76" i="1"/>
  <c r="AF501" i="5"/>
  <c r="AF510" i="5"/>
  <c r="AF265" i="5"/>
  <c r="AF511" i="5"/>
  <c r="AF507" i="5"/>
  <c r="AF518" i="5"/>
  <c r="AF255" i="5"/>
  <c r="AF274" i="5"/>
  <c r="AF258" i="5"/>
  <c r="AF267" i="5"/>
  <c r="AF254" i="5"/>
  <c r="AF519" i="5"/>
  <c r="AF270" i="5"/>
  <c r="AF517" i="5"/>
  <c r="AF504" i="5"/>
  <c r="AF275" i="5"/>
  <c r="AF515" i="5"/>
  <c r="AF497" i="5"/>
  <c r="AF271" i="5"/>
  <c r="AF260" i="5"/>
  <c r="AF262" i="5"/>
  <c r="AF264" i="5"/>
  <c r="AF514" i="5"/>
  <c r="AF276" i="5"/>
  <c r="AF506" i="5"/>
  <c r="AF508" i="5"/>
  <c r="AF498" i="5"/>
  <c r="AF503" i="5"/>
  <c r="AF512" i="5"/>
  <c r="AF263" i="5"/>
  <c r="AF516" i="5"/>
  <c r="AJ71" i="1"/>
  <c r="AJ82" i="1"/>
  <c r="AF259" i="5"/>
  <c r="AF273" i="5"/>
  <c r="AF272" i="5"/>
  <c r="AF266" i="5"/>
  <c r="AF502" i="5"/>
  <c r="AF499" i="5"/>
  <c r="AF268" i="5"/>
  <c r="AF513" i="5"/>
  <c r="AF269" i="5"/>
  <c r="AF256" i="5"/>
  <c r="AF509" i="5"/>
  <c r="AF257" i="5"/>
  <c r="AJ103" i="1"/>
  <c r="AJ109" i="1"/>
  <c r="AF253" i="5"/>
  <c r="AF496" i="5"/>
  <c r="AE520" i="5"/>
  <c r="AE521" i="5"/>
  <c r="AE277" i="5"/>
  <c r="AE278" i="5"/>
  <c r="AF652" i="5"/>
  <c r="AF653" i="5"/>
  <c r="AE442" i="5"/>
  <c r="AE443" i="5"/>
  <c r="AK67" i="1"/>
  <c r="AG191" i="5"/>
  <c r="AH191" i="5"/>
  <c r="AG187" i="5"/>
  <c r="AH187" i="5"/>
  <c r="AG199" i="5"/>
  <c r="AH199" i="5"/>
  <c r="AG194" i="5"/>
  <c r="AH194" i="5"/>
  <c r="AG186" i="5"/>
  <c r="AH186" i="5"/>
  <c r="AG189" i="5"/>
  <c r="AH189" i="5"/>
  <c r="AG197" i="5"/>
  <c r="AH197" i="5"/>
  <c r="AG203" i="5"/>
  <c r="AH203" i="5"/>
  <c r="AG193" i="5"/>
  <c r="AH193" i="5"/>
  <c r="AG201" i="5"/>
  <c r="AH201" i="5"/>
  <c r="AG195" i="5"/>
  <c r="AH195" i="5"/>
  <c r="AG190" i="5"/>
  <c r="AH190" i="5"/>
  <c r="AG202" i="5"/>
  <c r="AH202" i="5"/>
  <c r="AG200" i="5"/>
  <c r="AH200" i="5"/>
  <c r="AG188" i="5"/>
  <c r="AH188" i="5"/>
  <c r="AG181" i="5"/>
  <c r="AH181" i="5"/>
  <c r="AG184" i="5"/>
  <c r="AH184" i="5"/>
  <c r="AG192" i="5"/>
  <c r="AH192" i="5"/>
  <c r="AG185" i="5"/>
  <c r="AH185" i="5"/>
  <c r="AG183" i="5"/>
  <c r="AH183" i="5"/>
  <c r="AG182" i="5"/>
  <c r="AH182" i="5"/>
  <c r="AG198" i="5"/>
  <c r="AH198" i="5"/>
  <c r="AG196" i="5"/>
  <c r="AH196" i="5"/>
  <c r="AG180" i="5"/>
  <c r="E30" i="1"/>
  <c r="D30" i="1"/>
  <c r="G30" i="1"/>
  <c r="AG224" i="5"/>
  <c r="AH224" i="5"/>
  <c r="AG231" i="5"/>
  <c r="AH231" i="5"/>
  <c r="AG229" i="5"/>
  <c r="AH229" i="5"/>
  <c r="AG223" i="5"/>
  <c r="AH223" i="5"/>
  <c r="AG225" i="5"/>
  <c r="AH225" i="5"/>
  <c r="AG235" i="5"/>
  <c r="AH235" i="5"/>
  <c r="AG234" i="5"/>
  <c r="AH234" i="5"/>
  <c r="AG228" i="5"/>
  <c r="AH228" i="5"/>
  <c r="AG217" i="5"/>
  <c r="AH217" i="5"/>
  <c r="AG219" i="5"/>
  <c r="AH219" i="5"/>
  <c r="AG226" i="5"/>
  <c r="AH226" i="5"/>
  <c r="AG227" i="5"/>
  <c r="AH227" i="5"/>
  <c r="AG215" i="5"/>
  <c r="AH215" i="5"/>
  <c r="AG214" i="5"/>
  <c r="AH214" i="5"/>
  <c r="AG222" i="5"/>
  <c r="AH222" i="5"/>
  <c r="AG216" i="5"/>
  <c r="AH216" i="5"/>
  <c r="AG220" i="5"/>
  <c r="AH220" i="5"/>
  <c r="AG230" i="5"/>
  <c r="AH230" i="5"/>
  <c r="AG236" i="5"/>
  <c r="AH236" i="5"/>
  <c r="AG218" i="5"/>
  <c r="AH218" i="5"/>
  <c r="AG233" i="5"/>
  <c r="AH233" i="5"/>
  <c r="AG232" i="5"/>
  <c r="AH232" i="5"/>
  <c r="AG221" i="5"/>
  <c r="AH221" i="5"/>
  <c r="AG213" i="5"/>
  <c r="D31" i="1"/>
  <c r="G31" i="1"/>
  <c r="E31" i="1"/>
  <c r="AG105" i="5"/>
  <c r="AH81" i="5"/>
  <c r="G26" i="1"/>
  <c r="D32" i="1"/>
  <c r="G32" i="1"/>
  <c r="AF520" i="5"/>
  <c r="AF521" i="5"/>
  <c r="AG310" i="5"/>
  <c r="AH286" i="5"/>
  <c r="AG409" i="5"/>
  <c r="AH385" i="5"/>
  <c r="AH670" i="5"/>
  <c r="G702" i="5"/>
  <c r="AH436" i="5"/>
  <c r="AF554" i="5"/>
  <c r="AG138" i="5"/>
  <c r="AH114" i="5"/>
  <c r="AG270" i="5"/>
  <c r="AH270" i="5"/>
  <c r="AG502" i="5"/>
  <c r="AH502" i="5"/>
  <c r="B699" i="5"/>
  <c r="AG255" i="5"/>
  <c r="AH255" i="5"/>
  <c r="AG258" i="5"/>
  <c r="AH258" i="5"/>
  <c r="AG516" i="5"/>
  <c r="AH516" i="5"/>
  <c r="B713" i="5"/>
  <c r="AG508" i="5"/>
  <c r="AH508" i="5"/>
  <c r="B705" i="5"/>
  <c r="AG519" i="5"/>
  <c r="AH519" i="5"/>
  <c r="B716" i="5"/>
  <c r="AG510" i="5"/>
  <c r="AH510" i="5"/>
  <c r="B707" i="5"/>
  <c r="AG268" i="5"/>
  <c r="AH268" i="5"/>
  <c r="AG504" i="5"/>
  <c r="AH504" i="5"/>
  <c r="B701" i="5"/>
  <c r="AG503" i="5"/>
  <c r="AH503" i="5"/>
  <c r="B700" i="5"/>
  <c r="AG263" i="5"/>
  <c r="AH263" i="5"/>
  <c r="AK103" i="1"/>
  <c r="AG498" i="5"/>
  <c r="AH498" i="5"/>
  <c r="B695" i="5"/>
  <c r="AG499" i="5"/>
  <c r="AH499" i="5"/>
  <c r="B696" i="5"/>
  <c r="AG257" i="5"/>
  <c r="AH257" i="5"/>
  <c r="AG260" i="5"/>
  <c r="AH260" i="5"/>
  <c r="AG500" i="5"/>
  <c r="AH500" i="5"/>
  <c r="B697" i="5"/>
  <c r="AG511" i="5"/>
  <c r="AH511" i="5"/>
  <c r="B708" i="5"/>
  <c r="AG271" i="5"/>
  <c r="AH271" i="5"/>
  <c r="AG506" i="5"/>
  <c r="AH506" i="5"/>
  <c r="B703" i="5"/>
  <c r="AG509" i="5"/>
  <c r="AH509" i="5"/>
  <c r="B706" i="5"/>
  <c r="AG575" i="5"/>
  <c r="AH575" i="5"/>
  <c r="D706" i="5"/>
  <c r="AG608" i="5"/>
  <c r="AH608" i="5"/>
  <c r="E706" i="5"/>
  <c r="H706" i="5"/>
  <c r="AG512" i="5"/>
  <c r="AH512" i="5"/>
  <c r="B709" i="5"/>
  <c r="AG266" i="5"/>
  <c r="AH266" i="5"/>
  <c r="AG501" i="5"/>
  <c r="AH501" i="5"/>
  <c r="B698" i="5"/>
  <c r="AG507" i="5"/>
  <c r="AH507" i="5"/>
  <c r="B704" i="5"/>
  <c r="AG573" i="5"/>
  <c r="AH573" i="5"/>
  <c r="D704" i="5"/>
  <c r="AG606" i="5"/>
  <c r="AH606" i="5"/>
  <c r="E704" i="5"/>
  <c r="H704" i="5"/>
  <c r="AG518" i="5"/>
  <c r="AH518" i="5"/>
  <c r="B715" i="5"/>
  <c r="AG256" i="5"/>
  <c r="AH256" i="5"/>
  <c r="AG276" i="5"/>
  <c r="AH276" i="5"/>
  <c r="AG265" i="5"/>
  <c r="AH265" i="5"/>
  <c r="AG267" i="5"/>
  <c r="AH267" i="5"/>
  <c r="AK76" i="1"/>
  <c r="E76" i="1"/>
  <c r="AG272" i="5"/>
  <c r="AH272" i="5"/>
  <c r="AG274" i="5"/>
  <c r="AH274" i="5"/>
  <c r="AG259" i="5"/>
  <c r="AH259" i="5"/>
  <c r="AG261" i="5"/>
  <c r="AH261" i="5"/>
  <c r="AG275" i="5"/>
  <c r="AH275" i="5"/>
  <c r="AG515" i="5"/>
  <c r="AH515" i="5"/>
  <c r="B712" i="5"/>
  <c r="AG273" i="5"/>
  <c r="AH273" i="5"/>
  <c r="AG269" i="5"/>
  <c r="AH269" i="5"/>
  <c r="AG505" i="5"/>
  <c r="AH505" i="5"/>
  <c r="B702" i="5"/>
  <c r="AG262" i="5"/>
  <c r="AH262" i="5"/>
  <c r="AG497" i="5"/>
  <c r="AH497" i="5"/>
  <c r="B694" i="5"/>
  <c r="AG517" i="5"/>
  <c r="AH517" i="5"/>
  <c r="B714" i="5"/>
  <c r="AG513" i="5"/>
  <c r="AH513" i="5"/>
  <c r="B710" i="5"/>
  <c r="AG264" i="5"/>
  <c r="AH264" i="5"/>
  <c r="AG514" i="5"/>
  <c r="AH514" i="5"/>
  <c r="B711" i="5"/>
  <c r="AG254" i="5"/>
  <c r="AH254" i="5"/>
  <c r="AK71" i="1"/>
  <c r="AK82" i="1"/>
  <c r="AG253" i="5"/>
  <c r="AG496" i="5"/>
  <c r="E65" i="1"/>
  <c r="E3" i="7"/>
  <c r="D65" i="1"/>
  <c r="AG204" i="5"/>
  <c r="AH180" i="5"/>
  <c r="AG334" i="5"/>
  <c r="AH334" i="5"/>
  <c r="AG320" i="5"/>
  <c r="AH320" i="5"/>
  <c r="AG325" i="5"/>
  <c r="AH325" i="5"/>
  <c r="AG341" i="5"/>
  <c r="AH341" i="5"/>
  <c r="AG570" i="5"/>
  <c r="AH570" i="5"/>
  <c r="D701" i="5"/>
  <c r="AG342" i="5"/>
  <c r="AH342" i="5"/>
  <c r="AG564" i="5"/>
  <c r="AH564" i="5"/>
  <c r="D695" i="5"/>
  <c r="AG581" i="5"/>
  <c r="AH581" i="5"/>
  <c r="D712" i="5"/>
  <c r="AK105" i="1"/>
  <c r="AG329" i="5"/>
  <c r="AH329" i="5"/>
  <c r="AG335" i="5"/>
  <c r="AH335" i="5"/>
  <c r="AG585" i="5"/>
  <c r="AH585" i="5"/>
  <c r="D716" i="5"/>
  <c r="AG327" i="5"/>
  <c r="AH327" i="5"/>
  <c r="AG580" i="5"/>
  <c r="AH580" i="5"/>
  <c r="D711" i="5"/>
  <c r="AG565" i="5"/>
  <c r="AH565" i="5"/>
  <c r="D696" i="5"/>
  <c r="AG568" i="5"/>
  <c r="AH568" i="5"/>
  <c r="D699" i="5"/>
  <c r="AG578" i="5"/>
  <c r="AH578" i="5"/>
  <c r="D709" i="5"/>
  <c r="AG577" i="5"/>
  <c r="AH577" i="5"/>
  <c r="D708" i="5"/>
  <c r="AG579" i="5"/>
  <c r="AH579" i="5"/>
  <c r="D710" i="5"/>
  <c r="AG326" i="5"/>
  <c r="AH326" i="5"/>
  <c r="AG336" i="5"/>
  <c r="AH336" i="5"/>
  <c r="AG566" i="5"/>
  <c r="AH566" i="5"/>
  <c r="D697" i="5"/>
  <c r="AG571" i="5"/>
  <c r="AH571" i="5"/>
  <c r="D702" i="5"/>
  <c r="AG332" i="5"/>
  <c r="AH332" i="5"/>
  <c r="AG574" i="5"/>
  <c r="AH574" i="5"/>
  <c r="D705" i="5"/>
  <c r="AG339" i="5"/>
  <c r="AH339" i="5"/>
  <c r="AG567" i="5"/>
  <c r="AH567" i="5"/>
  <c r="D698" i="5"/>
  <c r="AG324" i="5"/>
  <c r="AH324" i="5"/>
  <c r="AG330" i="5"/>
  <c r="AH330" i="5"/>
  <c r="AG584" i="5"/>
  <c r="AH584" i="5"/>
  <c r="D715" i="5"/>
  <c r="AG582" i="5"/>
  <c r="AH582" i="5"/>
  <c r="D713" i="5"/>
  <c r="AG337" i="5"/>
  <c r="AH337" i="5"/>
  <c r="AG328" i="5"/>
  <c r="AH328" i="5"/>
  <c r="AG583" i="5"/>
  <c r="AH583" i="5"/>
  <c r="D714" i="5"/>
  <c r="AG331" i="5"/>
  <c r="AH331" i="5"/>
  <c r="AG321" i="5"/>
  <c r="AH321" i="5"/>
  <c r="AG563" i="5"/>
  <c r="AH563" i="5"/>
  <c r="D694" i="5"/>
  <c r="AG572" i="5"/>
  <c r="AH572" i="5"/>
  <c r="D703" i="5"/>
  <c r="AG333" i="5"/>
  <c r="AH333" i="5"/>
  <c r="AG576" i="5"/>
  <c r="AH576" i="5"/>
  <c r="D707" i="5"/>
  <c r="AG323" i="5"/>
  <c r="AH323" i="5"/>
  <c r="AG338" i="5"/>
  <c r="AH338" i="5"/>
  <c r="AG340" i="5"/>
  <c r="AH340" i="5"/>
  <c r="AG322" i="5"/>
  <c r="AH322" i="5"/>
  <c r="AK78" i="1"/>
  <c r="E78" i="1"/>
  <c r="AG569" i="5"/>
  <c r="AH569" i="5"/>
  <c r="D700" i="5"/>
  <c r="AG562" i="5"/>
  <c r="AG319" i="5"/>
  <c r="D67" i="1"/>
  <c r="E67" i="1"/>
  <c r="E5" i="7"/>
  <c r="D107" i="1"/>
  <c r="G107" i="1"/>
  <c r="E107" i="1"/>
  <c r="AG237" i="5"/>
  <c r="AH213" i="5"/>
  <c r="AF277" i="5"/>
  <c r="AF278" i="5"/>
  <c r="AG553" i="5"/>
  <c r="AH529" i="5"/>
  <c r="C693" i="5"/>
  <c r="C717" i="5"/>
  <c r="AG72" i="5"/>
  <c r="AH48" i="5"/>
  <c r="AG652" i="5"/>
  <c r="AH628" i="5"/>
  <c r="F693" i="5"/>
  <c r="F717" i="5"/>
  <c r="G70" i="1"/>
  <c r="D8" i="7"/>
  <c r="G8" i="7"/>
  <c r="D81" i="1"/>
  <c r="AH421" i="5"/>
  <c r="AH675" i="5"/>
  <c r="G707" i="5"/>
  <c r="AH419" i="5"/>
  <c r="AH432" i="5"/>
  <c r="AF685" i="5"/>
  <c r="AF686" i="5"/>
  <c r="AG171" i="5"/>
  <c r="AH147" i="5"/>
  <c r="G66" i="1"/>
  <c r="D77" i="1"/>
  <c r="D4" i="7"/>
  <c r="G4" i="7"/>
  <c r="E104" i="1"/>
  <c r="D104" i="1"/>
  <c r="G104" i="1"/>
  <c r="AF586" i="5"/>
  <c r="AF587" i="5"/>
  <c r="D80" i="1"/>
  <c r="D7" i="7"/>
  <c r="G7" i="7"/>
  <c r="G69" i="1"/>
  <c r="AG685" i="5"/>
  <c r="AH661" i="5"/>
  <c r="G693" i="5"/>
  <c r="AG442" i="5"/>
  <c r="AH418" i="5"/>
  <c r="AH668" i="5"/>
  <c r="G700" i="5"/>
  <c r="AH665" i="5"/>
  <c r="G697" i="5"/>
  <c r="D108" i="1"/>
  <c r="G108" i="1"/>
  <c r="E108" i="1"/>
  <c r="E81" i="1"/>
  <c r="AG368" i="5"/>
  <c r="AH368" i="5"/>
  <c r="AG358" i="5"/>
  <c r="AH358" i="5"/>
  <c r="AG364" i="5"/>
  <c r="AH364" i="5"/>
  <c r="AG367" i="5"/>
  <c r="AH367" i="5"/>
  <c r="AG601" i="5"/>
  <c r="AH601" i="5"/>
  <c r="E699" i="5"/>
  <c r="AG610" i="5"/>
  <c r="AH610" i="5"/>
  <c r="E708" i="5"/>
  <c r="AG360" i="5"/>
  <c r="AH360" i="5"/>
  <c r="AG609" i="5"/>
  <c r="AH609" i="5"/>
  <c r="E707" i="5"/>
  <c r="AG369" i="5"/>
  <c r="AH369" i="5"/>
  <c r="AG617" i="5"/>
  <c r="AH617" i="5"/>
  <c r="E715" i="5"/>
  <c r="AG362" i="5"/>
  <c r="AH362" i="5"/>
  <c r="AG600" i="5"/>
  <c r="AH600" i="5"/>
  <c r="E698" i="5"/>
  <c r="AG357" i="5"/>
  <c r="AH357" i="5"/>
  <c r="AG618" i="5"/>
  <c r="AH618" i="5"/>
  <c r="E716" i="5"/>
  <c r="AG599" i="5"/>
  <c r="AH599" i="5"/>
  <c r="E697" i="5"/>
  <c r="AG355" i="5"/>
  <c r="AH355" i="5"/>
  <c r="AG612" i="5"/>
  <c r="AH612" i="5"/>
  <c r="E710" i="5"/>
  <c r="AK79" i="1"/>
  <c r="E79" i="1"/>
  <c r="AG611" i="5"/>
  <c r="AH611" i="5"/>
  <c r="E709" i="5"/>
  <c r="AG604" i="5"/>
  <c r="AH604" i="5"/>
  <c r="E702" i="5"/>
  <c r="AG614" i="5"/>
  <c r="AH614" i="5"/>
  <c r="E712" i="5"/>
  <c r="AG354" i="5"/>
  <c r="AH354" i="5"/>
  <c r="AG616" i="5"/>
  <c r="AH616" i="5"/>
  <c r="E714" i="5"/>
  <c r="AG597" i="5"/>
  <c r="AH597" i="5"/>
  <c r="E695" i="5"/>
  <c r="AG370" i="5"/>
  <c r="AH370" i="5"/>
  <c r="AG359" i="5"/>
  <c r="AH359" i="5"/>
  <c r="AG602" i="5"/>
  <c r="AH602" i="5"/>
  <c r="E700" i="5"/>
  <c r="AG615" i="5"/>
  <c r="AH615" i="5"/>
  <c r="E713" i="5"/>
  <c r="AG371" i="5"/>
  <c r="AH371" i="5"/>
  <c r="AG356" i="5"/>
  <c r="AH356" i="5"/>
  <c r="AG375" i="5"/>
  <c r="AH375" i="5"/>
  <c r="AG366" i="5"/>
  <c r="AH366" i="5"/>
  <c r="AG363" i="5"/>
  <c r="AH363" i="5"/>
  <c r="AG372" i="5"/>
  <c r="AH372" i="5"/>
  <c r="AG596" i="5"/>
  <c r="AH596" i="5"/>
  <c r="E694" i="5"/>
  <c r="AG603" i="5"/>
  <c r="AH603" i="5"/>
  <c r="E701" i="5"/>
  <c r="AG361" i="5"/>
  <c r="AH361" i="5"/>
  <c r="AG605" i="5"/>
  <c r="AH605" i="5"/>
  <c r="E703" i="5"/>
  <c r="AG353" i="5"/>
  <c r="AH353" i="5"/>
  <c r="AG598" i="5"/>
  <c r="AH598" i="5"/>
  <c r="E696" i="5"/>
  <c r="AG613" i="5"/>
  <c r="AH613" i="5"/>
  <c r="E711" i="5"/>
  <c r="AG374" i="5"/>
  <c r="AH374" i="5"/>
  <c r="AG365" i="5"/>
  <c r="AH365" i="5"/>
  <c r="AG607" i="5"/>
  <c r="AH607" i="5"/>
  <c r="E705" i="5"/>
  <c r="AK106" i="1"/>
  <c r="AG373" i="5"/>
  <c r="AH373" i="5"/>
  <c r="AG595" i="5"/>
  <c r="AG352" i="5"/>
  <c r="E68" i="1"/>
  <c r="E6" i="7"/>
  <c r="D68" i="1"/>
  <c r="AF442" i="5"/>
  <c r="AF443" i="5"/>
  <c r="G68" i="1"/>
  <c r="D79" i="1"/>
  <c r="D6" i="7"/>
  <c r="G6" i="7"/>
  <c r="AG686" i="5"/>
  <c r="J689" i="5"/>
  <c r="AH685" i="5"/>
  <c r="AG238" i="5"/>
  <c r="G241" i="5"/>
  <c r="AH237" i="5"/>
  <c r="D78" i="1"/>
  <c r="D5" i="7"/>
  <c r="G5" i="7"/>
  <c r="G67" i="1"/>
  <c r="AG205" i="5"/>
  <c r="G208" i="5"/>
  <c r="AH204" i="5"/>
  <c r="AG277" i="5"/>
  <c r="AH253" i="5"/>
  <c r="H712" i="5"/>
  <c r="H697" i="5"/>
  <c r="H695" i="5"/>
  <c r="H701" i="5"/>
  <c r="H705" i="5"/>
  <c r="H699" i="5"/>
  <c r="AG410" i="5"/>
  <c r="G413" i="5"/>
  <c r="AH409" i="5"/>
  <c r="D106" i="1"/>
  <c r="G106" i="1"/>
  <c r="E106" i="1"/>
  <c r="AG653" i="5"/>
  <c r="J656" i="5"/>
  <c r="AH652" i="5"/>
  <c r="AG554" i="5"/>
  <c r="J557" i="5"/>
  <c r="AH553" i="5"/>
  <c r="AG343" i="5"/>
  <c r="AH319" i="5"/>
  <c r="D76" i="1"/>
  <c r="G65" i="1"/>
  <c r="D71" i="1"/>
  <c r="D3" i="7"/>
  <c r="G3" i="7"/>
  <c r="H710" i="5"/>
  <c r="H702" i="5"/>
  <c r="H698" i="5"/>
  <c r="H703" i="5"/>
  <c r="AK109" i="1"/>
  <c r="D109" i="1"/>
  <c r="G109" i="1"/>
  <c r="E103" i="1"/>
  <c r="D103" i="1"/>
  <c r="G103" i="1"/>
  <c r="H713" i="5"/>
  <c r="AG376" i="5"/>
  <c r="AH352" i="5"/>
  <c r="AG443" i="5"/>
  <c r="G446" i="5"/>
  <c r="AH442" i="5"/>
  <c r="AG586" i="5"/>
  <c r="AH562" i="5"/>
  <c r="D693" i="5"/>
  <c r="D717" i="5"/>
  <c r="D105" i="1"/>
  <c r="G105" i="1"/>
  <c r="E105" i="1"/>
  <c r="H714" i="5"/>
  <c r="H707" i="5"/>
  <c r="AG311" i="5"/>
  <c r="G314" i="5"/>
  <c r="AH310" i="5"/>
  <c r="AG619" i="5"/>
  <c r="AH595" i="5"/>
  <c r="E693" i="5"/>
  <c r="E717" i="5"/>
  <c r="G717" i="5"/>
  <c r="AG172" i="5"/>
  <c r="G175" i="5"/>
  <c r="AH171" i="5"/>
  <c r="AG73" i="5"/>
  <c r="AH72" i="5"/>
  <c r="AG520" i="5"/>
  <c r="AH496" i="5"/>
  <c r="B693" i="5"/>
  <c r="H711" i="5"/>
  <c r="H694" i="5"/>
  <c r="H715" i="5"/>
  <c r="H709" i="5"/>
  <c r="H708" i="5"/>
  <c r="H696" i="5"/>
  <c r="H700" i="5"/>
  <c r="H716" i="5"/>
  <c r="AG139" i="5"/>
  <c r="G142" i="5"/>
  <c r="AH138" i="5"/>
  <c r="AG106" i="5"/>
  <c r="G109" i="5"/>
  <c r="AH105" i="5"/>
  <c r="J76" i="5"/>
  <c r="D242" i="5"/>
  <c r="B717" i="5"/>
  <c r="H693" i="5"/>
  <c r="H717" i="5"/>
  <c r="AG620" i="5"/>
  <c r="J623" i="5"/>
  <c r="AH619" i="5"/>
  <c r="AG587" i="5"/>
  <c r="J590" i="5"/>
  <c r="AH586" i="5"/>
  <c r="AG377" i="5"/>
  <c r="G380" i="5"/>
  <c r="AH376" i="5"/>
  <c r="AG521" i="5"/>
  <c r="J524" i="5"/>
  <c r="AH520" i="5"/>
  <c r="G71" i="1"/>
  <c r="D9" i="7"/>
  <c r="G9" i="7"/>
  <c r="D82" i="1"/>
  <c r="AG344" i="5"/>
  <c r="G347" i="5"/>
  <c r="AH343" i="5"/>
  <c r="AG278" i="5"/>
  <c r="AH277" i="5"/>
  <c r="J281" i="5"/>
  <c r="D447" i="5"/>
</calcChain>
</file>

<file path=xl/sharedStrings.xml><?xml version="1.0" encoding="utf-8"?>
<sst xmlns="http://schemas.openxmlformats.org/spreadsheetml/2006/main" count="362" uniqueCount="143">
  <si>
    <t>Unidad de Medida</t>
  </si>
  <si>
    <t>TOTAL</t>
  </si>
  <si>
    <t>Formosa</t>
  </si>
  <si>
    <t>Chaco</t>
  </si>
  <si>
    <t>Corrientes</t>
  </si>
  <si>
    <t>Misiones</t>
  </si>
  <si>
    <t>Jujuy</t>
  </si>
  <si>
    <t>Salta</t>
  </si>
  <si>
    <t>Tucumán</t>
  </si>
  <si>
    <t>La Rioja</t>
  </si>
  <si>
    <t>Catamarca</t>
  </si>
  <si>
    <t>Córdoba</t>
  </si>
  <si>
    <t>Mendoza</t>
  </si>
  <si>
    <t>San Juan</t>
  </si>
  <si>
    <t>Buenos Aires</t>
  </si>
  <si>
    <t>Chubut</t>
  </si>
  <si>
    <t>Santa Cruz</t>
  </si>
  <si>
    <t>Tierra del Fuego</t>
  </si>
  <si>
    <t>Provincia</t>
  </si>
  <si>
    <t>Entre Ríos</t>
  </si>
  <si>
    <t>La Pampa</t>
  </si>
  <si>
    <t>Neuquén</t>
  </si>
  <si>
    <t>Río Negro</t>
  </si>
  <si>
    <t>San Luis</t>
  </si>
  <si>
    <t>Santa Fe</t>
  </si>
  <si>
    <t>Santiago del Estero</t>
  </si>
  <si>
    <t>CABA</t>
  </si>
  <si>
    <t>Total general</t>
  </si>
  <si>
    <t>JURISDICCIÓN</t>
  </si>
  <si>
    <t>SECTOR</t>
  </si>
  <si>
    <t>Unidad de Medida (UdM)</t>
  </si>
  <si>
    <t>Brecha x UdM (millones $)
META 2051</t>
  </si>
  <si>
    <t>Plazo (Años)
META 2051</t>
  </si>
  <si>
    <t>INSTRUCTIVO</t>
  </si>
  <si>
    <t>POBLACIÓN</t>
  </si>
  <si>
    <t>Indice de Actualización</t>
  </si>
  <si>
    <t>TOTAL (en millones)</t>
  </si>
  <si>
    <t>Por favor, completar únicamente la columna C (UdM) y las columnas a partir de H (años de la curva de inversión) que correspondan según la estimación de la jurisdicción. (Ejemplo en Rojo)</t>
  </si>
  <si>
    <t>Nota: Debe tenerse en cuenta que, implícitamente, el ajuste de este valor en función del crecimiento de la población supone, como contracara, una variación en las metas físicas de igual proporción.</t>
  </si>
  <si>
    <t>Variación % con respecto a la Brecha Efectiva original</t>
  </si>
  <si>
    <t>%</t>
  </si>
  <si>
    <t>Chequeo</t>
  </si>
  <si>
    <t>UDM</t>
  </si>
  <si>
    <t>UDM Provincial</t>
  </si>
  <si>
    <t>Supuestos:</t>
  </si>
  <si>
    <t>Indicadores de Cobertura</t>
  </si>
  <si>
    <r>
      <t xml:space="preserve">Las </t>
    </r>
    <r>
      <rPr>
        <b/>
        <sz val="11"/>
        <color theme="1"/>
        <rFont val="Calibri"/>
        <family val="2"/>
        <scheme val="minor"/>
      </rPr>
      <t>metas físicas</t>
    </r>
    <r>
      <rPr>
        <sz val="11"/>
        <color theme="1"/>
        <rFont val="Calibri"/>
        <family val="2"/>
        <scheme val="minor"/>
      </rPr>
      <t xml:space="preserve"> establecen, para cada UdM, el uso concreto que se le dará a los fondos requeridos para cerrar la brecha (en términos generales, nos referimos a las “cantidades” utilizadas para el cálculo de las brechas -PxQ). Dependiendo del caso, puede expresarse en cantidad de equipos concretos adquiridos (patrulleros, ambulancias, helicópteros, etc); metros cuadrados construidos (o cantidad de establecimientos); KM de ruta pavimentada, vías reparadas, o de redes primarias o secundarias de agua corriente, MW de potencia instalada; o cantidad de conexiones de servicios realizadas, entre algunos ejemplos posibles. Es importante, si se cuenta con la información, indicar también desde qué base se parte actualmente (ej. cuántos son los MW de potencia instalados actualmente), de manera de poder dimensionar la importancia de la brecha en términos físicos.</t>
    </r>
  </si>
  <si>
    <t>Supone la utilización de la tasa de crecimiento de la población nacional para realizar el ajuste en cada provincia.</t>
  </si>
  <si>
    <t>Supone que el costo de mantenimiento se distribuye en igual proporción que la brecha entre las provincias, y que a sí mismo mantiene esa misma proporción durante todos los años en los que se extiende la brecha efectiva.</t>
  </si>
  <si>
    <t>AJUSTE DE LA BRECHA EFECTIVA EN FUNCIÓN DEL CRECIMIENTO ESTIMADO DE LA POBLACIÓN (La jurisdicción que lo considere conveniente puede sustituir esta variable de actualización por otra que le resulte más apropiada)</t>
  </si>
  <si>
    <t>Los montos deben ser completados en pesos, ingresando la cifra completa (no en millones). El Excel mostrará, automáticamente, el monto en formato millones.</t>
  </si>
  <si>
    <t xml:space="preserve">Supone ponderaciones constantes, a lo largo de los años, de la distribución entre provincias de montos de la UDM. </t>
  </si>
  <si>
    <t>Nombre UdM 1</t>
  </si>
  <si>
    <t>Nombre UdM 2</t>
  </si>
  <si>
    <t>Nombre UdM 3</t>
  </si>
  <si>
    <t>Por favor, mantener las provincias ordenadas alfabéticamente.</t>
  </si>
  <si>
    <t>Nombre Jurisdicción</t>
  </si>
  <si>
    <t>Nombre Sector</t>
  </si>
  <si>
    <t>Jurisdicción</t>
  </si>
  <si>
    <t xml:space="preserve">Cuadro 2.3.3.1. Distribución provincial de la UdM 1, por brecha efectiva, en millones de pesos, ajustada en función de la tasa de crecimiento de la Poblacional Nacional. </t>
  </si>
  <si>
    <t xml:space="preserve">Cuadro 2.3.3.2. Distribución provincial de la UdM 2, por brecha efectiva, en millones de pesos, ajustada en función de la tasa de crecimiento de la Poblacional Nacional. </t>
  </si>
  <si>
    <t xml:space="preserve">Cuadro 2.3.3.3. Distribución provincial de la UdM 3, por brecha efectiva, en millones de pesos, ajustada en función de la tasa de crecimiento de la Poblacional Nacional. </t>
  </si>
  <si>
    <t xml:space="preserve">Cuadro 2.3.3.4. Distribución provincial de la UdM 4, por brecha efectiva, en millones de pesos, ajustada en función de la tasa de crecimiento de la Poblacional Nacional. </t>
  </si>
  <si>
    <t xml:space="preserve">Cuadro 2.3.3.5. Distribución provincial de la UdM 5, por brecha efectiva, en millones de pesos, ajustada en función de la tasa de crecimiento de la Poblacional Nacional. </t>
  </si>
  <si>
    <t xml:space="preserve">Cuadro 2.3.3.6. Distribución provincial de la UdM 6, por brecha efectiva, en millones de pesos, ajustada en función de la tasa de crecimiento de la Poblacional Nacional. </t>
  </si>
  <si>
    <t xml:space="preserve">Supone ponderaciones constantes, a lo largo de los años, de la distribución entre las provincias en relación a los montos de la UdM. </t>
  </si>
  <si>
    <t>Por favor, completar únicamente las columnas correspondiente a la distribución territorial del monto de la brecha en cada una de las UdMs calculadas por la Jurisdicción. Tener en cuenta que se trata de la distribución de la brecha total de cada una en las UdMs (sumatoria de las brechas efectivas) previamente a la realización de cualquier ajuste (Ejemplo en Rojo)</t>
  </si>
  <si>
    <r>
      <rPr>
        <b/>
        <sz val="11"/>
        <color rgb="FFFF0000"/>
        <rFont val="Calibri"/>
        <family val="2"/>
        <scheme val="minor"/>
      </rPr>
      <t xml:space="preserve">Filas ocultas a continuación: </t>
    </r>
    <r>
      <rPr>
        <sz val="11"/>
        <color rgb="FFFF0000"/>
        <rFont val="Calibri"/>
        <family val="2"/>
        <scheme val="minor"/>
      </rPr>
      <t>Cuadros de resultado por UdM, para el caso de que la Jurisdicción hubiera calculado la brecha en más de 3 UdMs.</t>
    </r>
  </si>
  <si>
    <t>También supone la utilización de un único índice de actualización (en el ejemplo predeterminado: la tasa de crecimiento de la población nacional) para realizar el ajuste en cada provincia.</t>
  </si>
  <si>
    <r>
      <t xml:space="preserve">DSITRIBUCIÓN PROVINCIAL DE LA BRECHA EFECTIVA DE CADA UDM, AJUSTADA POR EL ÍNDICE DE ACTUALIZACIÓN (EJEMPLO PREDETERMINADO: CRECIMIENTO DE LA POBLACIÓN) </t>
    </r>
    <r>
      <rPr>
        <sz val="11"/>
        <color rgb="FFFF0000"/>
        <rFont val="Calibri"/>
        <family val="2"/>
        <scheme val="minor"/>
      </rPr>
      <t>(un cuadro para cada UdM)</t>
    </r>
  </si>
  <si>
    <t>Aclaración:</t>
  </si>
  <si>
    <t>Si la Jurisdicción decidiera estimar un índice de actualización diferente para cada provincia, podrá reemplazar ("pisar") el cálculo predeterminado de los cuadros de resultado con su propia estimación. Luego deberá explicar los índices de actualización utilizados para permitir que los resultados puedan ser interpretados adecuadamente.</t>
  </si>
  <si>
    <t>Brindará conectividad satelital de calidad en XX mil hogares rurales, con una capacidad de tráfico de datos a los YY Gbps, elevando dicha conectividad al ZZ% de la población rural o de difícil acceso (actualmente cubre el VV%).</t>
  </si>
  <si>
    <t>Posibilitará cubrir el XX% del territorio (actualmente cubre el YY%). 
ZZ millones de hogares accederán a un servicio de TV de calidad (VV% del total de hogares). Actualmente acceden MM millones (NN% de los hogares) a un servicio que presenta fallas.</t>
  </si>
  <si>
    <t>(Ej. UdM3: Televisión Digital Abierta): Actualizar XX estaciones de transmisión y renovación de la plataforma de transmisión de Televisión Digital Abierta</t>
  </si>
  <si>
    <t>(Ej. UdM1: Red Federal de Fibra Óptica): Construir e iluminar XX kilómetros de fibra óptica, para llegar a los YY kilómetros iluminados. Actualización de equipamiento para multiplicar por ZZ la capacidad de la red troncal.</t>
  </si>
  <si>
    <t>(Ej. UdM2: Plan Satelital): Reactivación de la fabricación y puesta en órbita de un satélite adicional para la flota geoestacionaria de ARSAT.
Actualmente se cuentan con X cantidad de satélites. El nuevo satélite contará con prestaciones adicionales, como X, Y, Z.</t>
  </si>
  <si>
    <t>Permitirá que XX millones de personas accedan a la red troncal (actualmente tienen acceso YY millones). Esto cubrirá el ZZ% de las necesidades estimadas de conexión a internet.</t>
  </si>
  <si>
    <t>Por favor, ordenar las UdM de manera que la de mayor monto total quede en primer lugar, y continuar de manera descendente.</t>
  </si>
  <si>
    <t xml:space="preserve">REPOSICIÓN DEL STOCK DE CAPITAL EXISTENTE ACTUALMENTE, DURANTE EL AVANCE DE LA BRECHA EFECTIVA (AGRUPADO EN FUNCIÓN DE LAS UDM) </t>
  </si>
  <si>
    <t xml:space="preserve">Por favor, completar únicamente las columnas a partir de H (años de la curva de inversión) que correspondan según la estimación de la jurisdicción. Completar ÚNICAMENTE los montos estimados por reposiciones de bienes de capital (DEL STOCK DE CAPITAL ACTUALMENTE EXISTENTE) que se planea que tengan lugar durante el lapso de tiempo comprendido entre los años estimados para cerrar la brecha de cada UdM. No deben incluirse otros gastos de mantenimiento de la jurisdicción (aquellos que no están relacionados con reposición, y que no se vinculan con las actividades derivadas del cierre de la brecha). </t>
  </si>
  <si>
    <t xml:space="preserve">Aclaración: Los montos ingresados en este cuadro no requieren ajustes adicionales, dado que el ajuste por incremento de la demanda durante el plazo que demore cerrar la brecha, ya fue realizado a los montos del cuadro 2.2.4. Estos montos de inversiones apuntan a mantener el stock de capital que existe actualmente. </t>
  </si>
  <si>
    <t>DISTRIBUCIÓN PROVINCIAL DE LAS INVERSIONES NECESARIAS PARA EL MANTENIMIENTO DEL STOCK DE CAPITAL ACTUALMENTE EXISTENTE, SUMADO A LA BRECHA EFECTIVA DE CADA UDM AJUSTADA POR LA REPOSICIÓN NECESARIA DURANTE EL AVANCE DE LA BRECHA EFECTIVA, TENIENDO EN CUENTA  ÍNDICE DE ACTUALIZACIÓN (Predeterminado: CRECIMIENTO DE LA POBLACIÓN)</t>
  </si>
  <si>
    <t xml:space="preserve">Cuadro 2.3.9.1. Distribución provincial de la UdM 1, según las inversiones necesarias para mantener el stock de capital actualmente existente, y aquellas necesarias para saldar la brecha efectiva, en millones de pesos, ajustada en función de la reposición de la UdM y de la tasa de crecimiento de la Poblacional Nacional. </t>
  </si>
  <si>
    <t xml:space="preserve">Cuadro 2.3.9.2. Distribución provincial de la UdM 2, según las inversiones necesarias para mantener el stock de capital actualmente existente, y aquellas necesarias para saldar la brecha efectiva, en millones de pesos, ajustada en función de la reposición de la UdM y de la tasa de crecimiento de la Poblacional Nacional. </t>
  </si>
  <si>
    <t xml:space="preserve">Cuadro 2.3.9.3. Distribución provincial de la UdM 3, según las inversiones necesarias para mantener el stock de capital actualmente existente, y aquellas necesarias para saldar la brecha efectiva, en millones de pesos, ajustada en función de la reposición de la UdM y de la tasa de crecimiento de la Poblacional Nacional. </t>
  </si>
  <si>
    <t xml:space="preserve">Cuadro 2.3.9.4. Distribución provincial de la UdM 4, según las inversiones necesarias para mantener el stock de capital actualmente existente, y aquellas necesarias para saldar la brecha efectiva, en millones de pesos, ajustada en función de la reposición de la UdM y de la tasa de crecimiento de la Poblacional Nacional. </t>
  </si>
  <si>
    <t xml:space="preserve">Cuadro 2.3.9.5. Distribución provincial de la UdM 5, según las inversiones necesarias para mantener el stock de capital actualmente existente, y aquellas necesarias para saldar la brecha efectiva, en millones de pesos, ajustada en función de la reposición de la UdM y de la tasa de crecimiento de la Poblacional Nacional. </t>
  </si>
  <si>
    <t xml:space="preserve">Cuadro 2.3.9.6. Distribución provincial de la UdM 6, según las inversiones necesarias para mantener el stock de capital actualmente existente, y aquellas necesarias para saldar la brecha efectiva, en millones de pesos, ajustada en función de la reposición de la UdM y de la tasa de crecimiento de la Poblacional Nacional. </t>
  </si>
  <si>
    <t>Filas ocultas a continuación: Cuadros de resultado por UdM, para el caso de que la Jurisdicción hubiera calculado la brecha en más de 3 UdMs.</t>
  </si>
  <si>
    <t>Reposiciones del Stock de Capital Existente x UdM (millones $)
META 2051</t>
  </si>
  <si>
    <t>Inversión Física</t>
  </si>
  <si>
    <t xml:space="preserve">Por favor, completar únicamente las columnas H (Inversión Física) e I (Indicadores de Cobertura).  </t>
  </si>
  <si>
    <r>
      <t xml:space="preserve">Las </t>
    </r>
    <r>
      <rPr>
        <b/>
        <sz val="11"/>
        <color theme="1"/>
        <rFont val="Calibri"/>
        <family val="2"/>
        <scheme val="minor"/>
      </rPr>
      <t>inversiones físicas</t>
    </r>
    <r>
      <rPr>
        <sz val="11"/>
        <color theme="1"/>
        <rFont val="Calibri"/>
        <family val="2"/>
        <scheme val="minor"/>
      </rPr>
      <t xml:space="preserve"> establecen, para cada UdM, el uso concreto que se le dará a los fondos requeridos para reposición, de manera de mantener el stock de capital existente. </t>
    </r>
  </si>
  <si>
    <r>
      <t xml:space="preserve">Los </t>
    </r>
    <r>
      <rPr>
        <b/>
        <sz val="11"/>
        <color theme="1"/>
        <rFont val="Calibri"/>
        <family val="2"/>
        <scheme val="minor"/>
      </rPr>
      <t>indicadores de cobertura</t>
    </r>
    <r>
      <rPr>
        <sz val="11"/>
        <color theme="1"/>
        <rFont val="Calibri"/>
        <family val="2"/>
        <scheme val="minor"/>
      </rPr>
      <t xml:space="preserve"> del stock de capital físico, expresan qué porcentaje de cobertura se busca mantener con la acción física particular. </t>
    </r>
  </si>
  <si>
    <r>
      <rPr>
        <b/>
        <sz val="11"/>
        <color rgb="FFFF0000"/>
        <rFont val="Calibri"/>
        <family val="2"/>
        <scheme val="minor"/>
      </rPr>
      <t>Aclaración:</t>
    </r>
    <r>
      <rPr>
        <sz val="11"/>
        <color theme="1"/>
        <rFont val="Calibri"/>
        <family val="2"/>
        <scheme val="minor"/>
      </rPr>
      <t xml:space="preserve"> Por favor, tener en cuenta que las Inversiones Físicas e Indicadores de Cobertura referentes al Stock de Capital Existente, deben ser estimados en función de los montos del Cuadro 2.2.8.</t>
    </r>
  </si>
  <si>
    <t xml:space="preserve">AJUSTE DEL COSTO DE REPOSICIÓN EN LAS UDMs DURANTE EL AVANCE DE LA BRECHA EFECTIVA, EN FUNCIÓN DEL CRECIMIENTO ESTIMADO DE LA POBLACIÓN. (o índice de actualización alternativo)  </t>
  </si>
  <si>
    <t>UDMs AJUSTADAS POR EL CRECIMIENTO DE LA POBLACIÓN Y POR EL COSTO DE REPOSICIÓN DURANTE EL AVANCE DE LA BRECHA EFECTIVA (éste último también ajustada por el crecimiento de la población)</t>
  </si>
  <si>
    <t>Por favor, completar únicamente las columnas a partir de H (años de la curva de inversión) que correspondan según la estimación de la jurisdicción. Completar ÚNICAMENTE los montos estimados por Reposiciones de bienes de capital que se planea que tengan lugar durante el lapso de tiempo comprendido entre los años estimados para cerrar la brecha de cada UdM. No deben incluirse otros gastos de mantenimiento de la jurisdicción (aquellos que no están relacionados con ampliación o reposición, y que no se vinculan con las actividades derivadas del cierre de la brecha). En el ejemplo en rojo, se realizó el supuesto de un costo de mantenimiento de 10% anual, a fines ilustrativos, pero las jurisdicciones deberían realizar una estimación más afinada.</t>
  </si>
  <si>
    <t xml:space="preserve">COSTO DE REPOSICIÓN EN LAS UDM DURANTE EL AVANCE DE LA BRECHA EFECTIVA </t>
  </si>
  <si>
    <t>DISTRIBUCIÓN PROVINCIAL DE LA BRECHA EFECTIVA DE CADA UDM, AJUSTADA POR EL COSTO DE REPOSICIÓN DE LAS UDMs DURANTE EL AVANCE DE LA BRECHA EFECTIVA, TENIENDO EN CUENTA  ÍNDICE DE ACTUALIZACIÓN (Predeterminado: CRECIMIENTO DE LA POBLACIÓN)</t>
  </si>
  <si>
    <t xml:space="preserve">Cuadro 2.3.6.1. Distribución provincial de la UdM 1, por brecha efectiva, en millones de pesos, ajustada en función del costo de Reposición de la UdM y de la tasa de crecimiento de la Poblacional Nacional. </t>
  </si>
  <si>
    <t xml:space="preserve">Cuadro 2.3.6.2. Distribución provincial de la UdM 2, por brecha efectiva, en millones de pesos, ajustada en función del costo de Reposición de la UdM y de la tasa de crecimiento de la Poblacional Nacional. </t>
  </si>
  <si>
    <t xml:space="preserve">Cuadro 2.3.6.3 Distribución provincial de la UdM 3, por brecha efectiva, en millones de pesos, ajustada en función del costo de Reposición de la UdM y de la tasa de crecimiento de la Poblacional Nacional. </t>
  </si>
  <si>
    <t xml:space="preserve">Cuadro 2.3.6.4 Distribución provincial de la UdM 4, por brecha efectiva, en millones de pesos, ajustada en función del costo de Reposición de la UdM y de la tasa de crecimiento de la Poblacional Nacional. </t>
  </si>
  <si>
    <t xml:space="preserve">Cuadro 2.3.6.5 Distribución provincial de la UdM 5, por brecha efectiva, en millones de pesos, ajustada en función del costo de Reposición de la UdM y de la tasa de crecimiento de la Poblacional Nacional. </t>
  </si>
  <si>
    <t xml:space="preserve">Cuadro 2.3.6.6 Distribución provincial de la UdM 6, por brecha efectiva, en millones de pesos, ajustada en función del costo de Reposición de la UdM y de la tasa de crecimiento de la Poblacional Nacional. </t>
  </si>
  <si>
    <t>Supuesto predeterminado: Supone que el stock de capital actualmente existente se distribuye entre las provincias de la misma forma en que se distribuye la brecha. Supuesto poco verosimil, dado que posiblemente aquellas jurisdicciones con un stock de capital mayor, tendrán una brecha menor. Y ese stock de capital, requerirá inversiones de reposición para mantenerse por montos mayores a la ponderación provincial de la brecha. Este supuesto puede ser levantado (ver Instructivo abajo del cuadro)</t>
  </si>
  <si>
    <t>Supone que el costo de reposición se distribuye en igual proporción que la brecha entre las provincias, y que a sí mismo mantiene esa misma proporción durante todos los años en los que se extiende la brecha efectiva.</t>
  </si>
  <si>
    <t>Cuadro 2.4.6. Dimensión Física e Indicadores de Cobertura, por UdM, (ajustado por Mantenimiento e Índice de Actualización)</t>
  </si>
  <si>
    <t>Unidades Físicas</t>
  </si>
  <si>
    <t>Por favor, completar únicamente las columnas H (Unidades Físicas) e I (Indicadores de Cobertura).  (Ejemplo en Rojo)</t>
  </si>
  <si>
    <r>
      <t xml:space="preserve">Los </t>
    </r>
    <r>
      <rPr>
        <b/>
        <sz val="11"/>
        <color theme="1"/>
        <rFont val="Calibri"/>
        <family val="2"/>
        <scheme val="minor"/>
      </rPr>
      <t>indicadores de cobertura</t>
    </r>
    <r>
      <rPr>
        <sz val="11"/>
        <color theme="1"/>
        <rFont val="Calibri"/>
        <family val="2"/>
        <scheme val="minor"/>
      </rPr>
      <t xml:space="preserve"> de cada unidad física, expresan qué porcentaje de cobertura se busca alcanzar con la acción física particular, cuántas personas se van a beneficiar de ella, etc. Cada unidad física debe tener uno o más índices de cobertura, que apunten a que las autoridades puedan dimensionar, en términos cuantitativos, en qué grado o en que medida el cumplimiento de la unidad física estaría respondiendo a la solución de una problemática. Por ejemplo: Si el sector Telecomunicaciones tuviera una UDM “Red Federal de Fibra Óptica”, la meta física podría ser “Construir e iluminar 4.400 kilómetros de fibra óptica, para llegar a los 38.800 kilómetros iluminados” (Nótese que se indica tanto el punto de partida existente, como el objetivo al que se quiere llegar). El indicador de cobertura sería “22 millones de personas tendrán acceso a la red troncal (actualmente tienen acceso 20,7 millones). Esto cubrirá el 50% de las necesidades estimadas de conexión a internet”.</t>
    </r>
  </si>
  <si>
    <r>
      <rPr>
        <b/>
        <sz val="11"/>
        <color rgb="FFFF0000"/>
        <rFont val="Calibri"/>
        <family val="2"/>
        <scheme val="minor"/>
      </rPr>
      <t>Aclaración:</t>
    </r>
    <r>
      <rPr>
        <sz val="11"/>
        <color theme="1"/>
        <rFont val="Calibri"/>
        <family val="2"/>
        <scheme val="minor"/>
      </rPr>
      <t xml:space="preserve"> Por favor, tener en cuenta que las Unidades Físicas e Indicadores de Cobertura  deben ser estimados en función de los montos del Cuadro 2.2.6, es decir, luego de que se hubieran realizado todos los ajustes relacionados con el paso del tiempo hasta cerrar la brecha.</t>
    </r>
  </si>
  <si>
    <t>Cuadro 2.4.8. Dimensión Física e Indicadores de Cobertura, por UdM, para la Reposición del Stock de Capital Existente</t>
  </si>
  <si>
    <t>Ponderación ajuste por inflación</t>
  </si>
  <si>
    <t>Ponderación ajuste por TC</t>
  </si>
  <si>
    <t>Cuadro 2.2.10. Ponderación de las UdM para que, ante cambios en el escenario macroeconómico, ajusten según la variación de la inflación o la variación del tipo de cambio</t>
  </si>
  <si>
    <t>Por favor, completar únicamente la columna F (la columna G se completa de manera automática) estableciendo, para cada UdM, en qué proporción considera de se ajustaría el costo de la inversión como consecuencia de la inflación y, por complemento, en qué proporción considera que debería ajustarse el costo de la inversión ante una variación del tipo de cambio.</t>
  </si>
  <si>
    <t>Esta información será utilizada por la DNIP para realizar los ajustes correspondientes ante cambios en el escenario macroeconómico.</t>
  </si>
  <si>
    <t xml:space="preserve">Cuadro 2.2.1. Brecha Efectiva por UdM, 2024 - 2033, en millones de pesos, (sin ajustes) </t>
  </si>
  <si>
    <t>Brecha x UdM (millones $)
META 2033</t>
  </si>
  <si>
    <t>(%) de la Brecha cubierto en 2033</t>
  </si>
  <si>
    <r>
      <rPr>
        <b/>
        <sz val="11"/>
        <color rgb="FF00B050"/>
        <rFont val="Calibri"/>
        <family val="2"/>
        <scheme val="minor"/>
      </rPr>
      <t>Aclaración:</t>
    </r>
    <r>
      <rPr>
        <sz val="11"/>
        <color rgb="FF00B050"/>
        <rFont val="Calibri"/>
        <family val="2"/>
        <scheme val="minor"/>
      </rPr>
      <t xml:space="preserve"> Columnas ocultas D y E hacen referencia a casos excepcionales en los que la curva de inversión se extienda más allá de 2033.</t>
    </r>
  </si>
  <si>
    <t>Brecha x UdM (millones $)
META 2053</t>
  </si>
  <si>
    <t>Plazo (Años)
META 2053</t>
  </si>
  <si>
    <t>Reposición de Stock de K Meta 2053</t>
  </si>
  <si>
    <t>Reposición de Stock de K Meta 2033</t>
  </si>
  <si>
    <t>Cuadro 2.3.1 Brecha por UdM, por Provincia, 2024 - 2033, en millones de pesos, (sin ajustes)</t>
  </si>
  <si>
    <t>Cuadro 2.3.8. Inversiones en Reposición de Stock de Capital Existente, agrupado por UdM, por Provincia, 2024 - 2033, en millones de pesos, (sin ajustes)</t>
  </si>
  <si>
    <t>Reposiciones del Stock de Capital Existente x UdM (millones $)
META 2033</t>
  </si>
  <si>
    <t>Total 0</t>
  </si>
  <si>
    <t>Cuadro 2.2.4. Inversiones de Reposición de las UdMs durante el Avance de la Brecha Efectiva por UdM, 2024 - 2033, en millones de pesos, (sin ajustes)</t>
  </si>
  <si>
    <t>Cuadro 2.2.5. Inversiones de Reposición de las UdMs durante el Avance de la Brecha Efectiva por UdM, 2024 - 2033, en millones de pesos, ajustado por el Índice de Actualización (i.e. Poblacional)</t>
  </si>
  <si>
    <t>Cuadro 2.2.6. Subtotal de la Brecha Efectiva por UdM, 2024 - 2033, en millones de pesos, ajustada por el Índice de Actualización (i.e. Poblacional) y por el costo de Reposición durante el Avance de la Brecha</t>
  </si>
  <si>
    <t>Cuadro 2.2.7. Variación porcentual de la Brecha Efectiva Ajustada por Índice de Actualización y por el costo de Reposición, con respecto a la Brecha Efectiva por UdM original, 2024 - 2033</t>
  </si>
  <si>
    <t>Cuadro 2.2.8. Inversiones de Reposición del Stock de Capital Actualmente Existente, agrupadas según las UdMs, durante el Avance de la Brecha Efectiva por UdM, 2024 - 2033, en millones de pesos, (sin ajustes)</t>
  </si>
  <si>
    <t>Cuadro 2.2.9. Total del Monto de Inversión Necesaria para Cerrar la Brecha, teniendo en cuenta la Reposición del Stock de Capital Actualmente Existente, y las Inversiones Necesarias para Cerrar la Brecha ajustadas por el Plazo de la Brecha Efectiva, por UdM, 2024 - 2033, en millones de pesos</t>
  </si>
  <si>
    <t>SINTESIS FINAL POR PROVINCIA</t>
  </si>
  <si>
    <t xml:space="preserve">De manera predeterminada, el modelo supone que la distribución territorial de la inversión para mantener el stock de capital existente, es igual a la distribución territorial de la brecha, agrupada por UdM. Se alienta a las Jurisdicciones a que, de ser posible, completen las columnas correspondientes a la distribución territorial del monto de la inversión necesaria para mantener el stock de capital durante el periodo 2024 - 2033. Tener en cuenta que se trata de la distribución de la inversión total de cada una en las UdMs (sumatoria de las brechas efectivas - Cuadro 2.2.8). </t>
  </si>
  <si>
    <t>Estimado</t>
  </si>
  <si>
    <t xml:space="preserve">Cuadro 2.2.3 Brecha Efectiva por UdM, 2024 - 2033, en millones de pesos, ajustada por el índice de actualización </t>
  </si>
  <si>
    <r>
      <t xml:space="preserve">Cuadro 2.2.2 Variable de Actualización e Índice de Actualización - Ejemplo Preestablecido: Evolución de la Población </t>
    </r>
    <r>
      <rPr>
        <b/>
        <sz val="11"/>
        <color rgb="FFFF0000"/>
        <rFont val="Calibri"/>
        <family val="2"/>
        <scheme val="minor"/>
      </rPr>
      <t>(Actualizar fila 21 cuando esté disponible la proyección poblacional según el censo 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</si>
</sst>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 #,##0_-;_-* &quot;-&quot;??_-;_-@_-"/>
    <numFmt numFmtId="165" formatCode="#,##0,,"/>
    <numFmt numFmtId="166" formatCode="0.0%"/>
    <numFmt numFmtId="167" formatCode="#,##0.0"/>
    <numFmt numFmtId="168" formatCode="#,##0.0,,"/>
    <numFmt numFmtId="169" formatCode="0.00000000000000000"/>
  </numFmts>
  <fonts count="16"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b/>
      <sz val="11"/>
      <color theme="0"/>
      <name val="Calibri"/>
      <family val="2"/>
    </font>
    <font>
      <b/>
      <sz val="10"/>
      <color theme="0"/>
      <name val="Calibri"/>
      <family val="2"/>
    </font>
    <font>
      <b/>
      <sz val="11"/>
      <color theme="4" tint="-0.249977111117893"/>
      <name val="Calibri"/>
      <family val="2"/>
      <scheme val="minor"/>
    </font>
    <font>
      <sz val="11"/>
      <color rgb="FF00B050"/>
      <name val="Calibri"/>
      <family val="2"/>
      <scheme val="minor"/>
    </font>
    <font>
      <b/>
      <sz val="10.5"/>
      <color theme="0"/>
      <name val="Calibri"/>
      <family val="2"/>
    </font>
    <font>
      <sz val="10"/>
      <color theme="1"/>
      <name val="Calibri"/>
      <family val="2"/>
      <scheme val="minor"/>
    </font>
    <font>
      <b/>
      <sz val="11"/>
      <color rgb="FFFF0000"/>
      <name val="Calibri"/>
      <family val="2"/>
      <scheme val="minor"/>
    </font>
    <font>
      <i/>
      <sz val="11"/>
      <color rgb="FF0070C0"/>
      <name val="Calibri"/>
      <family val="2"/>
      <scheme val="minor"/>
    </font>
    <font>
      <sz val="8"/>
      <color theme="1"/>
      <name val="Calibri"/>
      <family val="2"/>
      <scheme val="minor"/>
    </font>
    <font>
      <sz val="11"/>
      <color theme="0"/>
      <name val="Calibri"/>
      <family val="2"/>
      <scheme val="minor"/>
    </font>
    <font>
      <b/>
      <sz val="11"/>
      <color rgb="FF00B050"/>
      <name val="Calibri"/>
      <family val="2"/>
      <scheme val="minor"/>
    </font>
    <font>
      <b/>
      <sz val="9"/>
      <color theme="0"/>
      <name val="Calibri"/>
      <family val="2"/>
    </font>
  </fonts>
  <fills count="8">
    <fill>
      <patternFill patternType="none"/>
    </fill>
    <fill>
      <patternFill patternType="gray125"/>
    </fill>
    <fill>
      <patternFill patternType="solid">
        <fgColor theme="4" tint="-0.249977111117893"/>
        <bgColor theme="8"/>
      </patternFill>
    </fill>
    <fill>
      <patternFill patternType="solid">
        <fgColor theme="0" tint="-4.9989318521683403E-2"/>
        <bgColor indexed="64"/>
      </patternFill>
    </fill>
    <fill>
      <patternFill patternType="solid">
        <fgColor theme="0"/>
        <bgColor indexed="64"/>
      </patternFill>
    </fill>
    <fill>
      <patternFill patternType="solid">
        <fgColor theme="4" tint="-0.249977111117893"/>
        <bgColor theme="4" tint="0.79998168889431442"/>
      </patternFill>
    </fill>
    <fill>
      <patternFill patternType="solid">
        <fgColor theme="4" tint="0.39997558519241921"/>
        <bgColor theme="8"/>
      </patternFill>
    </fill>
    <fill>
      <patternFill patternType="solid">
        <fgColor theme="4" tint="0.39997558519241921"/>
        <bgColor theme="4" tint="0.79998168889431442"/>
      </patternFill>
    </fill>
  </fills>
  <borders count="8">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diagonal/>
    </border>
    <border>
      <left style="thin">
        <color theme="0"/>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diagonal/>
    </border>
  </borders>
  <cellStyleXfs count="2">
    <xf numFmtId="0" fontId="0" fillId="0" borderId="0"/>
    <xf numFmtId="9" fontId="2" fillId="0" borderId="0" applyFont="0" applyFill="0" applyBorder="0" applyAlignment="0" applyProtection="0"/>
  </cellStyleXfs>
  <cellXfs count="73">
    <xf numFmtId="0" fontId="0" fillId="0" borderId="0" xfId="0"/>
    <xf numFmtId="164" fontId="0" fillId="0" borderId="0" xfId="0" applyNumberFormat="1"/>
    <xf numFmtId="3" fontId="0" fillId="0" borderId="0" xfId="0" applyNumberFormat="1"/>
    <xf numFmtId="0" fontId="0" fillId="0" borderId="0" xfId="0" applyBorder="1"/>
    <xf numFmtId="3" fontId="0" fillId="0" borderId="0" xfId="0" applyNumberFormat="1" applyBorder="1"/>
    <xf numFmtId="164" fontId="0" fillId="0" borderId="0" xfId="0" applyNumberFormat="1" applyBorder="1"/>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3" borderId="2" xfId="0" applyFill="1" applyBorder="1"/>
    <xf numFmtId="165" fontId="0" fillId="3" borderId="1" xfId="0" applyNumberFormat="1" applyFill="1" applyBorder="1"/>
    <xf numFmtId="0" fontId="0" fillId="0" borderId="2" xfId="0" applyFill="1" applyBorder="1"/>
    <xf numFmtId="165" fontId="0" fillId="4" borderId="1" xfId="0" applyNumberFormat="1" applyFill="1" applyBorder="1"/>
    <xf numFmtId="0" fontId="4" fillId="2" borderId="3" xfId="0" applyFont="1" applyFill="1" applyBorder="1" applyAlignment="1">
      <alignment vertical="center" wrapText="1"/>
    </xf>
    <xf numFmtId="165" fontId="4" fillId="5" borderId="4" xfId="0" applyNumberFormat="1" applyFont="1" applyFill="1" applyBorder="1"/>
    <xf numFmtId="166" fontId="0" fillId="3" borderId="1" xfId="1" applyNumberFormat="1" applyFont="1" applyFill="1" applyBorder="1"/>
    <xf numFmtId="166" fontId="0" fillId="4" borderId="1" xfId="1" applyNumberFormat="1" applyFont="1" applyFill="1" applyBorder="1"/>
    <xf numFmtId="166" fontId="4" fillId="5" borderId="4" xfId="1" applyNumberFormat="1" applyFont="1" applyFill="1" applyBorder="1"/>
    <xf numFmtId="0" fontId="6" fillId="0" borderId="0" xfId="0" applyFont="1"/>
    <xf numFmtId="167" fontId="0" fillId="4" borderId="1" xfId="0" applyNumberFormat="1" applyFill="1" applyBorder="1"/>
    <xf numFmtId="0" fontId="0" fillId="3" borderId="2" xfId="0" applyFont="1" applyFill="1" applyBorder="1"/>
    <xf numFmtId="0" fontId="0" fillId="0" borderId="2" xfId="0" applyFont="1" applyFill="1" applyBorder="1"/>
    <xf numFmtId="165" fontId="3" fillId="3" borderId="1" xfId="0" applyNumberFormat="1" applyFont="1" applyFill="1" applyBorder="1"/>
    <xf numFmtId="165" fontId="3" fillId="4" borderId="1" xfId="0" applyNumberFormat="1" applyFont="1" applyFill="1" applyBorder="1"/>
    <xf numFmtId="0" fontId="7" fillId="0" borderId="0" xfId="0" applyFont="1"/>
    <xf numFmtId="0" fontId="8" fillId="2" borderId="1" xfId="0" applyFont="1" applyFill="1" applyBorder="1" applyAlignment="1">
      <alignment horizontal="center" vertical="center" wrapText="1"/>
    </xf>
    <xf numFmtId="0" fontId="0" fillId="3" borderId="1" xfId="0" applyFill="1" applyBorder="1"/>
    <xf numFmtId="0" fontId="0" fillId="0" borderId="1" xfId="0" applyFill="1" applyBorder="1"/>
    <xf numFmtId="0" fontId="4" fillId="2" borderId="1" xfId="0" applyFont="1" applyFill="1" applyBorder="1" applyAlignment="1">
      <alignment vertical="center" wrapText="1"/>
    </xf>
    <xf numFmtId="166" fontId="0" fillId="0" borderId="1" xfId="1" applyNumberFormat="1" applyFont="1" applyFill="1" applyBorder="1"/>
    <xf numFmtId="166" fontId="4" fillId="2" borderId="4" xfId="1" applyNumberFormat="1" applyFont="1" applyFill="1" applyBorder="1" applyAlignment="1">
      <alignment vertical="center" wrapText="1"/>
    </xf>
    <xf numFmtId="0" fontId="9" fillId="0" borderId="0" xfId="0" applyFont="1"/>
    <xf numFmtId="168" fontId="0" fillId="4" borderId="1" xfId="0" applyNumberFormat="1" applyFont="1" applyFill="1" applyBorder="1"/>
    <xf numFmtId="168" fontId="0" fillId="3" borderId="1" xfId="0" applyNumberFormat="1" applyFont="1" applyFill="1" applyBorder="1"/>
    <xf numFmtId="0" fontId="3" fillId="0" borderId="0" xfId="0" applyFont="1"/>
    <xf numFmtId="0" fontId="4" fillId="2" borderId="1" xfId="0" applyFont="1" applyFill="1" applyBorder="1" applyAlignment="1">
      <alignment vertical="center"/>
    </xf>
    <xf numFmtId="0" fontId="10" fillId="0" borderId="0" xfId="0" applyFont="1"/>
    <xf numFmtId="165" fontId="1" fillId="3" borderId="1" xfId="0" applyNumberFormat="1" applyFont="1" applyFill="1" applyBorder="1"/>
    <xf numFmtId="165" fontId="1" fillId="4" borderId="1" xfId="0" applyNumberFormat="1" applyFont="1" applyFill="1" applyBorder="1"/>
    <xf numFmtId="0" fontId="0" fillId="3" borderId="2" xfId="0" applyFill="1" applyBorder="1" applyAlignment="1">
      <alignment vertical="center"/>
    </xf>
    <xf numFmtId="165" fontId="0" fillId="3" borderId="1" xfId="0" applyNumberFormat="1" applyFill="1" applyBorder="1" applyAlignment="1">
      <alignment vertical="center"/>
    </xf>
    <xf numFmtId="166" fontId="0" fillId="3" borderId="1" xfId="1" applyNumberFormat="1" applyFont="1" applyFill="1" applyBorder="1" applyAlignment="1">
      <alignment vertical="center"/>
    </xf>
    <xf numFmtId="0" fontId="0" fillId="0" borderId="2" xfId="0" applyFill="1" applyBorder="1" applyAlignment="1">
      <alignment vertical="center"/>
    </xf>
    <xf numFmtId="165" fontId="0" fillId="4" borderId="1" xfId="0" applyNumberFormat="1" applyFill="1" applyBorder="1" applyAlignment="1">
      <alignment vertical="center"/>
    </xf>
    <xf numFmtId="166" fontId="0" fillId="4" borderId="1" xfId="1" applyNumberFormat="1" applyFont="1" applyFill="1" applyBorder="1" applyAlignment="1">
      <alignment vertical="center"/>
    </xf>
    <xf numFmtId="0" fontId="3" fillId="3" borderId="2" xfId="0" applyFont="1" applyFill="1" applyBorder="1" applyAlignment="1">
      <alignment vertical="center" wrapText="1"/>
    </xf>
    <xf numFmtId="0" fontId="3" fillId="0" borderId="2" xfId="0" applyFont="1" applyFill="1" applyBorder="1" applyAlignment="1">
      <alignment vertical="center" wrapText="1"/>
    </xf>
    <xf numFmtId="0" fontId="11" fillId="0" borderId="0" xfId="0" applyFont="1"/>
    <xf numFmtId="165" fontId="0" fillId="0" borderId="0" xfId="0" applyNumberFormat="1"/>
    <xf numFmtId="0" fontId="3" fillId="3" borderId="2" xfId="0" applyFont="1" applyFill="1" applyBorder="1"/>
    <xf numFmtId="0" fontId="3" fillId="0" borderId="2" xfId="0" applyFont="1" applyFill="1" applyBorder="1"/>
    <xf numFmtId="0" fontId="4" fillId="6" borderId="1" xfId="0" applyFont="1" applyFill="1" applyBorder="1" applyAlignment="1">
      <alignment horizontal="center" vertical="center" wrapText="1"/>
    </xf>
    <xf numFmtId="0" fontId="12" fillId="3" borderId="1" xfId="0" applyFont="1" applyFill="1" applyBorder="1"/>
    <xf numFmtId="0" fontId="12" fillId="0" borderId="1" xfId="0" applyFont="1" applyFill="1" applyBorder="1"/>
    <xf numFmtId="0" fontId="5" fillId="6" borderId="1" xfId="0" applyFont="1" applyFill="1" applyBorder="1" applyAlignment="1">
      <alignment horizontal="center" vertical="center" wrapText="1"/>
    </xf>
    <xf numFmtId="165" fontId="4" fillId="7" borderId="4" xfId="0" applyNumberFormat="1" applyFont="1" applyFill="1" applyBorder="1"/>
    <xf numFmtId="0" fontId="4" fillId="6" borderId="3" xfId="0" applyFont="1" applyFill="1" applyBorder="1" applyAlignment="1">
      <alignment vertical="center" wrapText="1"/>
    </xf>
    <xf numFmtId="166" fontId="4" fillId="7" borderId="4" xfId="1" applyNumberFormat="1" applyFont="1" applyFill="1" applyBorder="1"/>
    <xf numFmtId="0" fontId="0" fillId="3" borderId="3" xfId="0" applyFill="1" applyBorder="1" applyAlignment="1">
      <alignment vertical="center"/>
    </xf>
    <xf numFmtId="165" fontId="0" fillId="3" borderId="4" xfId="0" applyNumberFormat="1" applyFill="1" applyBorder="1" applyAlignment="1">
      <alignment vertical="center"/>
    </xf>
    <xf numFmtId="166" fontId="0" fillId="3" borderId="4" xfId="1" applyNumberFormat="1" applyFont="1" applyFill="1" applyBorder="1" applyAlignment="1">
      <alignment vertical="center"/>
    </xf>
    <xf numFmtId="0" fontId="3" fillId="3" borderId="3" xfId="0" applyFont="1" applyFill="1" applyBorder="1" applyAlignment="1">
      <alignment vertical="center" wrapText="1"/>
    </xf>
    <xf numFmtId="0" fontId="13" fillId="0" borderId="0" xfId="0" applyFont="1"/>
    <xf numFmtId="168" fontId="1" fillId="3" borderId="1" xfId="0" applyNumberFormat="1" applyFont="1" applyFill="1" applyBorder="1"/>
    <xf numFmtId="168" fontId="1" fillId="4" borderId="1" xfId="0" applyNumberFormat="1" applyFont="1" applyFill="1" applyBorder="1"/>
    <xf numFmtId="169" fontId="0" fillId="0" borderId="0" xfId="0" applyNumberFormat="1"/>
    <xf numFmtId="168" fontId="0" fillId="3" borderId="1" xfId="0" applyNumberFormat="1" applyFill="1" applyBorder="1"/>
    <xf numFmtId="0" fontId="15" fillId="2" borderId="7" xfId="0" applyFont="1" applyFill="1" applyBorder="1" applyAlignment="1">
      <alignment horizontal="center" vertical="center" wrapText="1"/>
    </xf>
    <xf numFmtId="0" fontId="3" fillId="3" borderId="2" xfId="0" applyFont="1" applyFill="1" applyBorder="1" applyAlignment="1">
      <alignment horizontal="center"/>
    </xf>
    <xf numFmtId="0" fontId="0" fillId="3" borderId="2" xfId="0" applyFill="1" applyBorder="1" applyAlignment="1">
      <alignment horizontal="center"/>
    </xf>
    <xf numFmtId="0" fontId="3" fillId="0" borderId="2" xfId="0" applyFont="1" applyFill="1" applyBorder="1" applyAlignment="1">
      <alignment horizontal="center"/>
    </xf>
    <xf numFmtId="0" fontId="0" fillId="0" borderId="2" xfId="0" applyFill="1" applyBorder="1" applyAlignment="1">
      <alignment horizontal="center"/>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cellXfs>
  <cellStyles count="2">
    <cellStyle name="Normal" xfId="0" builtinId="0"/>
    <cellStyle name="Porcentaje" xfId="1" builtinId="5"/>
  </cellStyles>
  <dxfs count="44">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25"/>
  <sheetViews>
    <sheetView tabSelected="1" workbookViewId="0">
      <selection activeCell="A20" sqref="A20"/>
    </sheetView>
  </sheetViews>
  <sheetFormatPr defaultColWidth="10.76171875" defaultRowHeight="15" x14ac:dyDescent="0.2"/>
  <cols>
    <col min="1" max="1" width="21.65625" customWidth="1"/>
    <col min="2" max="2" width="19.1015625" customWidth="1"/>
    <col min="3" max="3" width="40.48828125" customWidth="1"/>
    <col min="4" max="5" width="10.89453125" hidden="1" customWidth="1"/>
    <col min="6" max="14" width="10.89453125" customWidth="1"/>
  </cols>
  <sheetData>
    <row r="1" spans="1:37" x14ac:dyDescent="0.2">
      <c r="A1" s="17" t="s">
        <v>120</v>
      </c>
    </row>
    <row r="2" spans="1:37" ht="54" customHeight="1" x14ac:dyDescent="0.2">
      <c r="A2" s="6" t="s">
        <v>28</v>
      </c>
      <c r="B2" s="6" t="s">
        <v>29</v>
      </c>
      <c r="C2" s="6" t="s">
        <v>30</v>
      </c>
      <c r="D2" s="53" t="s">
        <v>124</v>
      </c>
      <c r="E2" s="53" t="s">
        <v>125</v>
      </c>
      <c r="F2" s="7" t="s">
        <v>121</v>
      </c>
      <c r="G2" s="7" t="s">
        <v>122</v>
      </c>
      <c r="H2" s="6">
        <v>2024</v>
      </c>
      <c r="I2" s="6">
        <v>2025</v>
      </c>
      <c r="J2" s="6">
        <v>2026</v>
      </c>
      <c r="K2" s="6">
        <v>2027</v>
      </c>
      <c r="L2" s="6">
        <v>2028</v>
      </c>
      <c r="M2" s="6">
        <v>2029</v>
      </c>
      <c r="N2" s="6">
        <v>2030</v>
      </c>
      <c r="O2" s="6">
        <v>2031</v>
      </c>
      <c r="P2" s="6">
        <v>2032</v>
      </c>
      <c r="Q2" s="6">
        <v>2033</v>
      </c>
      <c r="R2" s="50">
        <v>2034</v>
      </c>
      <c r="S2" s="50">
        <v>2035</v>
      </c>
      <c r="T2" s="50">
        <v>2036</v>
      </c>
      <c r="U2" s="50">
        <v>2037</v>
      </c>
      <c r="V2" s="50">
        <v>2038</v>
      </c>
      <c r="W2" s="50">
        <v>2039</v>
      </c>
      <c r="X2" s="50">
        <v>2040</v>
      </c>
      <c r="Y2" s="50">
        <v>2041</v>
      </c>
      <c r="Z2" s="50">
        <v>2042</v>
      </c>
      <c r="AA2" s="50">
        <v>2043</v>
      </c>
      <c r="AB2" s="50">
        <v>2044</v>
      </c>
      <c r="AC2" s="50">
        <v>2045</v>
      </c>
      <c r="AD2" s="50">
        <v>2046</v>
      </c>
      <c r="AE2" s="50">
        <v>2047</v>
      </c>
      <c r="AF2" s="50">
        <v>2048</v>
      </c>
      <c r="AG2" s="50">
        <v>2049</v>
      </c>
      <c r="AH2" s="50">
        <v>2050</v>
      </c>
      <c r="AI2" s="50">
        <v>2051</v>
      </c>
      <c r="AJ2" s="50">
        <v>2052</v>
      </c>
      <c r="AK2" s="50">
        <v>2053</v>
      </c>
    </row>
    <row r="3" spans="1:37" ht="18" customHeight="1" x14ac:dyDescent="0.2">
      <c r="A3" s="8" t="s">
        <v>56</v>
      </c>
      <c r="B3" s="8" t="s">
        <v>57</v>
      </c>
      <c r="C3" s="48" t="s">
        <v>52</v>
      </c>
      <c r="D3" s="9">
        <f>SUM(H3:AK3)</f>
        <v>17996390400</v>
      </c>
      <c r="E3" s="8">
        <f>COUNTIF(H3:AK3,"&gt;0")</f>
        <v>10</v>
      </c>
      <c r="F3" s="9">
        <f>SUM(H3:Q3)</f>
        <v>17996390400</v>
      </c>
      <c r="G3" s="14">
        <f>IFERROR(F3/D3,0)</f>
        <v>1</v>
      </c>
      <c r="H3" s="21">
        <v>3944448000</v>
      </c>
      <c r="I3" s="21">
        <v>3944448000</v>
      </c>
      <c r="J3" s="21">
        <v>2428928000</v>
      </c>
      <c r="K3" s="21">
        <v>1910886400</v>
      </c>
      <c r="L3" s="21">
        <v>1000000000</v>
      </c>
      <c r="M3" s="21">
        <v>1000000000</v>
      </c>
      <c r="N3" s="21">
        <v>1000000000</v>
      </c>
      <c r="O3" s="21">
        <v>922560000</v>
      </c>
      <c r="P3" s="21">
        <v>922560000</v>
      </c>
      <c r="Q3" s="21">
        <v>922560000</v>
      </c>
      <c r="R3" s="9"/>
      <c r="S3" s="9"/>
      <c r="T3" s="9"/>
      <c r="U3" s="9"/>
      <c r="V3" s="9"/>
      <c r="W3" s="9"/>
      <c r="X3" s="9"/>
      <c r="Y3" s="9"/>
      <c r="Z3" s="9"/>
      <c r="AA3" s="9"/>
      <c r="AB3" s="9"/>
      <c r="AC3" s="9"/>
      <c r="AD3" s="9"/>
      <c r="AE3" s="9"/>
      <c r="AF3" s="9"/>
      <c r="AG3" s="9"/>
      <c r="AH3" s="9"/>
      <c r="AI3" s="9"/>
      <c r="AJ3" s="9"/>
      <c r="AK3" s="9"/>
    </row>
    <row r="4" spans="1:37" ht="18" customHeight="1" x14ac:dyDescent="0.2">
      <c r="A4" s="10" t="s">
        <v>56</v>
      </c>
      <c r="B4" s="10" t="s">
        <v>57</v>
      </c>
      <c r="C4" s="49" t="s">
        <v>53</v>
      </c>
      <c r="D4" s="11">
        <f t="shared" ref="D4:D8" si="0">SUM(H4:AK4)</f>
        <v>10099309969.313522</v>
      </c>
      <c r="E4" s="10">
        <f t="shared" ref="E4:E8" si="1">COUNTIF(H4:AK4,"&gt;0")</f>
        <v>3</v>
      </c>
      <c r="F4" s="11">
        <f t="shared" ref="F4:F8" si="2">SUM(H4:Q4)</f>
        <v>10099309969.313522</v>
      </c>
      <c r="G4" s="15">
        <f t="shared" ref="G4:G8" si="3">IFERROR(F4/D4,0)</f>
        <v>1</v>
      </c>
      <c r="H4" s="22">
        <v>2761042316.1969743</v>
      </c>
      <c r="I4" s="22">
        <v>2936511901.3373132</v>
      </c>
      <c r="J4" s="22">
        <v>4401755751.7792339</v>
      </c>
      <c r="K4" s="22"/>
      <c r="L4" s="22"/>
      <c r="M4" s="22"/>
      <c r="N4" s="22"/>
      <c r="O4" s="11"/>
      <c r="P4" s="11"/>
      <c r="Q4" s="11"/>
      <c r="R4" s="11"/>
      <c r="S4" s="11"/>
      <c r="T4" s="11"/>
      <c r="U4" s="11"/>
      <c r="V4" s="11"/>
      <c r="W4" s="11"/>
      <c r="X4" s="11"/>
      <c r="Y4" s="11"/>
      <c r="Z4" s="11"/>
      <c r="AA4" s="11"/>
      <c r="AB4" s="11"/>
      <c r="AC4" s="11"/>
      <c r="AD4" s="11"/>
      <c r="AE4" s="11"/>
      <c r="AF4" s="11"/>
      <c r="AG4" s="11"/>
      <c r="AH4" s="11"/>
      <c r="AI4" s="11"/>
      <c r="AJ4" s="11"/>
      <c r="AK4" s="11"/>
    </row>
    <row r="5" spans="1:37" ht="18" customHeight="1" x14ac:dyDescent="0.2">
      <c r="A5" s="8" t="s">
        <v>56</v>
      </c>
      <c r="B5" s="8" t="s">
        <v>57</v>
      </c>
      <c r="C5" s="48" t="s">
        <v>54</v>
      </c>
      <c r="D5" s="9">
        <f t="shared" si="0"/>
        <v>7509070419.6000042</v>
      </c>
      <c r="E5" s="8">
        <f t="shared" si="1"/>
        <v>4</v>
      </c>
      <c r="F5" s="9">
        <f t="shared" si="2"/>
        <v>7509070419.6000042</v>
      </c>
      <c r="G5" s="14">
        <f t="shared" si="3"/>
        <v>1</v>
      </c>
      <c r="H5" s="21">
        <v>908755943.47322547</v>
      </c>
      <c r="I5" s="21">
        <v>6124111764.2315731</v>
      </c>
      <c r="J5" s="21">
        <v>308688529.30561763</v>
      </c>
      <c r="K5" s="21">
        <v>167514182.58958831</v>
      </c>
      <c r="L5" s="21"/>
      <c r="M5" s="21"/>
      <c r="N5" s="21"/>
      <c r="O5" s="9"/>
      <c r="P5" s="9"/>
      <c r="Q5" s="9"/>
      <c r="R5" s="9"/>
      <c r="S5" s="9"/>
      <c r="T5" s="9"/>
      <c r="U5" s="9"/>
      <c r="V5" s="9"/>
      <c r="W5" s="9"/>
      <c r="X5" s="9"/>
      <c r="Y5" s="9"/>
      <c r="Z5" s="9"/>
      <c r="AA5" s="9"/>
      <c r="AB5" s="9"/>
      <c r="AC5" s="9"/>
      <c r="AD5" s="9"/>
      <c r="AE5" s="9"/>
      <c r="AF5" s="9"/>
      <c r="AG5" s="9"/>
      <c r="AH5" s="9"/>
      <c r="AI5" s="9"/>
      <c r="AJ5" s="9"/>
      <c r="AK5" s="9"/>
    </row>
    <row r="6" spans="1:37" ht="18" customHeight="1" x14ac:dyDescent="0.2">
      <c r="A6" s="10" t="s">
        <v>56</v>
      </c>
      <c r="B6" s="10" t="s">
        <v>57</v>
      </c>
      <c r="C6" s="49"/>
      <c r="D6" s="11">
        <f t="shared" si="0"/>
        <v>0</v>
      </c>
      <c r="E6" s="10">
        <f t="shared" si="1"/>
        <v>0</v>
      </c>
      <c r="F6" s="11">
        <f t="shared" si="2"/>
        <v>0</v>
      </c>
      <c r="G6" s="15">
        <f t="shared" si="3"/>
        <v>0</v>
      </c>
      <c r="H6" s="22"/>
      <c r="I6" s="22"/>
      <c r="J6" s="22"/>
      <c r="K6" s="22"/>
      <c r="L6" s="22"/>
      <c r="M6" s="22"/>
      <c r="N6" s="22"/>
      <c r="O6" s="11"/>
      <c r="P6" s="11"/>
      <c r="Q6" s="11"/>
      <c r="R6" s="11"/>
      <c r="S6" s="11"/>
      <c r="T6" s="11"/>
      <c r="U6" s="11"/>
      <c r="V6" s="11"/>
      <c r="W6" s="11"/>
      <c r="X6" s="11"/>
      <c r="Y6" s="11"/>
      <c r="Z6" s="11"/>
      <c r="AA6" s="11"/>
      <c r="AB6" s="11"/>
      <c r="AC6" s="11"/>
      <c r="AD6" s="11"/>
      <c r="AE6" s="11"/>
      <c r="AF6" s="11"/>
      <c r="AG6" s="11"/>
      <c r="AH6" s="11"/>
      <c r="AI6" s="11"/>
      <c r="AJ6" s="11"/>
      <c r="AK6" s="11"/>
    </row>
    <row r="7" spans="1:37" ht="18" customHeight="1" x14ac:dyDescent="0.2">
      <c r="A7" s="8" t="s">
        <v>56</v>
      </c>
      <c r="B7" s="8" t="s">
        <v>57</v>
      </c>
      <c r="C7" s="48"/>
      <c r="D7" s="9">
        <f t="shared" si="0"/>
        <v>0</v>
      </c>
      <c r="E7" s="8">
        <f t="shared" si="1"/>
        <v>0</v>
      </c>
      <c r="F7" s="9">
        <f t="shared" si="2"/>
        <v>0</v>
      </c>
      <c r="G7" s="14">
        <f t="shared" si="3"/>
        <v>0</v>
      </c>
      <c r="H7" s="21"/>
      <c r="I7" s="21"/>
      <c r="J7" s="21"/>
      <c r="K7" s="21"/>
      <c r="L7" s="21"/>
      <c r="M7" s="21"/>
      <c r="N7" s="21"/>
      <c r="O7" s="9"/>
      <c r="P7" s="9"/>
      <c r="Q7" s="9"/>
      <c r="R7" s="9"/>
      <c r="S7" s="9"/>
      <c r="T7" s="9"/>
      <c r="U7" s="9"/>
      <c r="V7" s="9"/>
      <c r="W7" s="9"/>
      <c r="X7" s="9"/>
      <c r="Y7" s="9"/>
      <c r="Z7" s="9"/>
      <c r="AA7" s="9"/>
      <c r="AB7" s="9"/>
      <c r="AC7" s="9"/>
      <c r="AD7" s="9"/>
      <c r="AE7" s="9"/>
      <c r="AF7" s="9"/>
      <c r="AG7" s="9"/>
      <c r="AH7" s="9"/>
      <c r="AI7" s="9"/>
      <c r="AJ7" s="9"/>
      <c r="AK7" s="9"/>
    </row>
    <row r="8" spans="1:37" ht="18" customHeight="1" x14ac:dyDescent="0.2">
      <c r="A8" s="10" t="s">
        <v>56</v>
      </c>
      <c r="B8" s="10" t="s">
        <v>57</v>
      </c>
      <c r="C8" s="49"/>
      <c r="D8" s="11">
        <f t="shared" si="0"/>
        <v>0</v>
      </c>
      <c r="E8" s="10">
        <f t="shared" si="1"/>
        <v>0</v>
      </c>
      <c r="F8" s="11">
        <f t="shared" si="2"/>
        <v>0</v>
      </c>
      <c r="G8" s="15">
        <f t="shared" si="3"/>
        <v>0</v>
      </c>
      <c r="H8" s="22"/>
      <c r="I8" s="22"/>
      <c r="J8" s="22"/>
      <c r="K8" s="22"/>
      <c r="L8" s="22"/>
      <c r="M8" s="22"/>
      <c r="N8" s="22"/>
      <c r="O8" s="11"/>
      <c r="P8" s="11"/>
      <c r="Q8" s="11"/>
      <c r="R8" s="11"/>
      <c r="S8" s="11"/>
      <c r="T8" s="11"/>
      <c r="U8" s="11"/>
      <c r="V8" s="11"/>
      <c r="W8" s="11"/>
      <c r="X8" s="11"/>
      <c r="Y8" s="11"/>
      <c r="Z8" s="11"/>
      <c r="AA8" s="11"/>
      <c r="AB8" s="11"/>
      <c r="AC8" s="11"/>
      <c r="AD8" s="11"/>
      <c r="AE8" s="11"/>
      <c r="AF8" s="11"/>
      <c r="AG8" s="11"/>
      <c r="AH8" s="11"/>
      <c r="AI8" s="11"/>
      <c r="AJ8" s="11"/>
      <c r="AK8" s="11"/>
    </row>
    <row r="9" spans="1:37" x14ac:dyDescent="0.2">
      <c r="A9" s="12" t="s">
        <v>1</v>
      </c>
      <c r="B9" s="12"/>
      <c r="C9" s="12"/>
      <c r="D9" s="54">
        <f>SUM(D3:D8)</f>
        <v>35604770788.913528</v>
      </c>
      <c r="E9" s="55"/>
      <c r="F9" s="13">
        <f>SUM(F3:F8)</f>
        <v>35604770788.913528</v>
      </c>
      <c r="G9" s="16">
        <f>IFERROR(F9/D9,0)</f>
        <v>1</v>
      </c>
      <c r="H9" s="13">
        <f>SUM(H3:H8)</f>
        <v>7614246259.6701994</v>
      </c>
      <c r="I9" s="13">
        <f t="shared" ref="I9:AK9" si="4">SUM(I3:I8)</f>
        <v>13005071665.568886</v>
      </c>
      <c r="J9" s="13">
        <f t="shared" si="4"/>
        <v>7139372281.0848513</v>
      </c>
      <c r="K9" s="13">
        <f t="shared" si="4"/>
        <v>2078400582.5895884</v>
      </c>
      <c r="L9" s="13">
        <f t="shared" si="4"/>
        <v>1000000000</v>
      </c>
      <c r="M9" s="13">
        <f t="shared" si="4"/>
        <v>1000000000</v>
      </c>
      <c r="N9" s="13">
        <f t="shared" si="4"/>
        <v>1000000000</v>
      </c>
      <c r="O9" s="13">
        <f t="shared" si="4"/>
        <v>922560000</v>
      </c>
      <c r="P9" s="13">
        <f t="shared" si="4"/>
        <v>922560000</v>
      </c>
      <c r="Q9" s="13">
        <f t="shared" si="4"/>
        <v>922560000</v>
      </c>
      <c r="R9" s="13">
        <f t="shared" si="4"/>
        <v>0</v>
      </c>
      <c r="S9" s="13">
        <f t="shared" si="4"/>
        <v>0</v>
      </c>
      <c r="T9" s="13">
        <f t="shared" si="4"/>
        <v>0</v>
      </c>
      <c r="U9" s="13">
        <f t="shared" si="4"/>
        <v>0</v>
      </c>
      <c r="V9" s="13">
        <f t="shared" si="4"/>
        <v>0</v>
      </c>
      <c r="W9" s="13">
        <f t="shared" si="4"/>
        <v>0</v>
      </c>
      <c r="X9" s="13">
        <f t="shared" si="4"/>
        <v>0</v>
      </c>
      <c r="Y9" s="13">
        <f t="shared" si="4"/>
        <v>0</v>
      </c>
      <c r="Z9" s="13">
        <f t="shared" si="4"/>
        <v>0</v>
      </c>
      <c r="AA9" s="13">
        <f t="shared" si="4"/>
        <v>0</v>
      </c>
      <c r="AB9" s="13">
        <f t="shared" si="4"/>
        <v>0</v>
      </c>
      <c r="AC9" s="13">
        <f t="shared" si="4"/>
        <v>0</v>
      </c>
      <c r="AD9" s="13">
        <f t="shared" si="4"/>
        <v>0</v>
      </c>
      <c r="AE9" s="13">
        <f t="shared" si="4"/>
        <v>0</v>
      </c>
      <c r="AF9" s="13">
        <f t="shared" si="4"/>
        <v>0</v>
      </c>
      <c r="AG9" s="13">
        <f t="shared" si="4"/>
        <v>0</v>
      </c>
      <c r="AH9" s="13">
        <f t="shared" si="4"/>
        <v>0</v>
      </c>
      <c r="AI9" s="13">
        <f t="shared" si="4"/>
        <v>0</v>
      </c>
      <c r="AJ9" s="13">
        <f t="shared" si="4"/>
        <v>0</v>
      </c>
      <c r="AK9" s="13">
        <f t="shared" si="4"/>
        <v>0</v>
      </c>
    </row>
    <row r="10" spans="1:37" x14ac:dyDescent="0.2">
      <c r="D10" s="1"/>
    </row>
    <row r="11" spans="1:37" x14ac:dyDescent="0.2">
      <c r="A11" s="17" t="s">
        <v>33</v>
      </c>
      <c r="D11" s="3"/>
      <c r="E11" s="3"/>
      <c r="F11" s="3"/>
      <c r="G11" s="3"/>
      <c r="H11" s="3"/>
      <c r="I11" s="4"/>
      <c r="J11" s="4"/>
      <c r="K11" s="2"/>
    </row>
    <row r="12" spans="1:37" x14ac:dyDescent="0.2">
      <c r="D12" s="3"/>
      <c r="E12" s="3"/>
      <c r="F12" s="3"/>
      <c r="G12" s="3"/>
      <c r="H12" s="5"/>
      <c r="I12" s="5"/>
      <c r="J12" s="5"/>
      <c r="K12" s="1"/>
    </row>
    <row r="13" spans="1:37" x14ac:dyDescent="0.2">
      <c r="A13" t="s">
        <v>37</v>
      </c>
      <c r="C13" s="3"/>
      <c r="D13" s="3"/>
      <c r="E13" s="3"/>
      <c r="F13" s="3"/>
      <c r="G13" s="3"/>
      <c r="H13" s="3"/>
      <c r="I13" s="3"/>
      <c r="J13" s="3"/>
    </row>
    <row r="14" spans="1:37" x14ac:dyDescent="0.2">
      <c r="A14" t="s">
        <v>50</v>
      </c>
      <c r="C14" s="3"/>
      <c r="D14" s="3"/>
      <c r="E14" s="3"/>
      <c r="F14" s="3"/>
      <c r="G14" s="3"/>
      <c r="H14" s="3"/>
      <c r="I14" s="3"/>
      <c r="J14" s="3"/>
    </row>
    <row r="15" spans="1:37" x14ac:dyDescent="0.2">
      <c r="A15" t="s">
        <v>78</v>
      </c>
      <c r="C15" s="3"/>
      <c r="D15" s="3"/>
      <c r="E15" s="3"/>
      <c r="F15" s="3"/>
      <c r="G15" s="3"/>
      <c r="H15" s="3"/>
      <c r="I15" s="3"/>
      <c r="J15" s="3"/>
    </row>
    <row r="16" spans="1:37" x14ac:dyDescent="0.2">
      <c r="A16" s="23" t="s">
        <v>123</v>
      </c>
      <c r="C16" s="3"/>
      <c r="D16" s="3"/>
      <c r="E16" s="3"/>
      <c r="F16" s="3"/>
      <c r="G16" s="3"/>
      <c r="H16" s="3"/>
      <c r="I16" s="3"/>
      <c r="J16" s="3"/>
    </row>
    <row r="17" spans="1:37" x14ac:dyDescent="0.2">
      <c r="C17" s="4"/>
      <c r="D17" s="4"/>
      <c r="E17" s="4"/>
      <c r="F17" s="4"/>
      <c r="G17" s="4"/>
      <c r="H17" s="4"/>
      <c r="I17" s="4"/>
      <c r="J17" s="4"/>
      <c r="K17" s="2"/>
    </row>
    <row r="18" spans="1:37" x14ac:dyDescent="0.2">
      <c r="A18" s="17" t="s">
        <v>49</v>
      </c>
      <c r="C18" s="3"/>
      <c r="AA18" s="23"/>
      <c r="AK18" s="23"/>
    </row>
    <row r="19" spans="1:37" x14ac:dyDescent="0.2">
      <c r="A19" s="17" t="s">
        <v>142</v>
      </c>
      <c r="C19" s="3"/>
      <c r="Y19" t="s">
        <v>140</v>
      </c>
      <c r="Z19" s="61">
        <f>(((X21/H21)^(1/17))-1)*100</f>
        <v>0.67590776677006748</v>
      </c>
      <c r="AA19" s="61">
        <f>(((Z21/H21)^(1/19))-1)*100</f>
        <v>0.67590776677006748</v>
      </c>
      <c r="AB19" s="61"/>
      <c r="AC19" s="61"/>
      <c r="AD19" s="61"/>
      <c r="AE19" s="61"/>
      <c r="AF19" s="61"/>
      <c r="AG19" s="61"/>
      <c r="AH19" s="61"/>
      <c r="AI19" s="61"/>
      <c r="AJ19" s="61"/>
      <c r="AK19" s="61">
        <f>(((AK21/H21)^(1/30))-1)*100</f>
        <v>0.67590776677006748</v>
      </c>
    </row>
    <row r="20" spans="1:37" x14ac:dyDescent="0.2">
      <c r="A20" s="6" t="s">
        <v>34</v>
      </c>
      <c r="B20" s="6"/>
      <c r="C20" s="6"/>
      <c r="D20" s="7"/>
      <c r="E20" s="7"/>
      <c r="F20" s="7"/>
      <c r="G20" s="7"/>
      <c r="H20" s="6">
        <v>2024</v>
      </c>
      <c r="I20" s="6">
        <v>2025</v>
      </c>
      <c r="J20" s="6">
        <v>2026</v>
      </c>
      <c r="K20" s="6">
        <v>2027</v>
      </c>
      <c r="L20" s="6">
        <v>2028</v>
      </c>
      <c r="M20" s="6">
        <v>2029</v>
      </c>
      <c r="N20" s="6">
        <v>2030</v>
      </c>
      <c r="O20" s="6">
        <v>2031</v>
      </c>
      <c r="P20" s="6">
        <v>2032</v>
      </c>
      <c r="Q20" s="6">
        <v>2033</v>
      </c>
      <c r="R20" s="6">
        <v>2034</v>
      </c>
      <c r="S20" s="6">
        <v>2035</v>
      </c>
      <c r="T20" s="6">
        <v>2036</v>
      </c>
      <c r="U20" s="6">
        <v>2037</v>
      </c>
      <c r="V20" s="6">
        <v>2038</v>
      </c>
      <c r="W20" s="6">
        <v>2039</v>
      </c>
      <c r="X20" s="6">
        <v>2040</v>
      </c>
      <c r="Y20" s="50">
        <v>2041</v>
      </c>
      <c r="Z20" s="50">
        <v>2041</v>
      </c>
      <c r="AA20" s="50">
        <v>2042</v>
      </c>
      <c r="AB20" s="50">
        <v>2043</v>
      </c>
      <c r="AC20" s="50">
        <v>2044</v>
      </c>
      <c r="AD20" s="50">
        <v>2045</v>
      </c>
      <c r="AE20" s="50">
        <v>2046</v>
      </c>
      <c r="AF20" s="50">
        <v>2047</v>
      </c>
      <c r="AG20" s="50">
        <v>2048</v>
      </c>
      <c r="AH20" s="50">
        <v>2049</v>
      </c>
      <c r="AI20" s="50">
        <v>2050</v>
      </c>
      <c r="AJ20" s="50">
        <v>2051</v>
      </c>
      <c r="AK20" s="50">
        <v>2052</v>
      </c>
    </row>
    <row r="21" spans="1:37" x14ac:dyDescent="0.2">
      <c r="A21" s="19" t="s">
        <v>36</v>
      </c>
      <c r="B21" s="8"/>
      <c r="C21" s="8"/>
      <c r="D21" s="9"/>
      <c r="E21" s="8"/>
      <c r="F21" s="9"/>
      <c r="G21" s="14"/>
      <c r="H21" s="65">
        <v>47067641</v>
      </c>
      <c r="I21" s="65">
        <v>47473760</v>
      </c>
      <c r="J21" s="65">
        <v>47873268</v>
      </c>
      <c r="K21" s="65">
        <v>48266524</v>
      </c>
      <c r="L21" s="65">
        <v>48653385</v>
      </c>
      <c r="M21" s="65">
        <v>49033678</v>
      </c>
      <c r="N21" s="65">
        <v>49407265</v>
      </c>
      <c r="O21" s="65">
        <v>49774276</v>
      </c>
      <c r="P21" s="65">
        <v>50134861</v>
      </c>
      <c r="Q21" s="65">
        <v>50488930</v>
      </c>
      <c r="R21" s="65">
        <v>50836373</v>
      </c>
      <c r="S21" s="65">
        <v>51177087</v>
      </c>
      <c r="T21" s="65">
        <v>51511042</v>
      </c>
      <c r="U21" s="65">
        <v>51838245</v>
      </c>
      <c r="V21" s="65">
        <v>52158610</v>
      </c>
      <c r="W21" s="65">
        <v>52472054</v>
      </c>
      <c r="X21" s="65">
        <v>52778477</v>
      </c>
      <c r="Y21" s="65">
        <f t="shared" ref="Y21:AK21" si="5">X21*(1+(($Z$19)/100))</f>
        <v>53135210.825225957</v>
      </c>
      <c r="Z21" s="65">
        <f t="shared" si="5"/>
        <v>53494355.842083305</v>
      </c>
      <c r="AA21" s="65">
        <f t="shared" si="5"/>
        <v>53855928.348003566</v>
      </c>
      <c r="AB21" s="65">
        <f t="shared" si="5"/>
        <v>54219944.750573844</v>
      </c>
      <c r="AC21" s="65">
        <f t="shared" si="5"/>
        <v>54586421.568281412</v>
      </c>
      <c r="AD21" s="65">
        <f t="shared" si="5"/>
        <v>54955375.431263275</v>
      </c>
      <c r="AE21" s="65">
        <f t="shared" si="5"/>
        <v>55326823.082060836</v>
      </c>
      <c r="AF21" s="65">
        <f t="shared" si="5"/>
        <v>55700781.376379617</v>
      </c>
      <c r="AG21" s="65">
        <f t="shared" si="5"/>
        <v>56077267.283854179</v>
      </c>
      <c r="AH21" s="65">
        <f t="shared" si="5"/>
        <v>56456297.88881816</v>
      </c>
      <c r="AI21" s="65">
        <f t="shared" si="5"/>
        <v>56837890.39107953</v>
      </c>
      <c r="AJ21" s="65">
        <f t="shared" si="5"/>
        <v>57222062.106701091</v>
      </c>
      <c r="AK21" s="65">
        <f t="shared" si="5"/>
        <v>57608830.468786277</v>
      </c>
    </row>
    <row r="22" spans="1:37" x14ac:dyDescent="0.2">
      <c r="A22" s="20" t="s">
        <v>35</v>
      </c>
      <c r="B22" s="10"/>
      <c r="C22" s="10"/>
      <c r="D22" s="11"/>
      <c r="E22" s="10"/>
      <c r="F22" s="11"/>
      <c r="G22" s="15"/>
      <c r="H22" s="18">
        <f>(H21/$H$21)*100</f>
        <v>100</v>
      </c>
      <c r="I22" s="18">
        <f>(I21/$H$21)*100</f>
        <v>100.86284120336518</v>
      </c>
      <c r="J22" s="18">
        <f t="shared" ref="J22:X22" si="6">(J21/$H$21)*100</f>
        <v>101.71163666349881</v>
      </c>
      <c r="K22" s="18">
        <f t="shared" si="6"/>
        <v>102.54714911248686</v>
      </c>
      <c r="L22" s="18">
        <f t="shared" si="6"/>
        <v>103.36907473225607</v>
      </c>
      <c r="M22" s="18">
        <f t="shared" si="6"/>
        <v>104.17704596667592</v>
      </c>
      <c r="N22" s="18">
        <f t="shared" si="6"/>
        <v>104.9707696206827</v>
      </c>
      <c r="O22" s="18">
        <f t="shared" si="6"/>
        <v>105.75052189252486</v>
      </c>
      <c r="P22" s="18">
        <f t="shared" si="6"/>
        <v>106.51662147248892</v>
      </c>
      <c r="Q22" s="18">
        <f t="shared" si="6"/>
        <v>107.26887714640299</v>
      </c>
      <c r="R22" s="18">
        <f t="shared" si="6"/>
        <v>108.00705520805684</v>
      </c>
      <c r="S22" s="18">
        <f t="shared" si="6"/>
        <v>108.73093682345372</v>
      </c>
      <c r="T22" s="18">
        <f t="shared" si="6"/>
        <v>109.44045825453628</v>
      </c>
      <c r="U22" s="18">
        <f t="shared" si="6"/>
        <v>110.1356343735179</v>
      </c>
      <c r="V22" s="18">
        <f t="shared" si="6"/>
        <v>110.81628246463424</v>
      </c>
      <c r="W22" s="18">
        <f t="shared" si="6"/>
        <v>111.48222618592676</v>
      </c>
      <c r="X22" s="18">
        <f t="shared" si="6"/>
        <v>112.13325307720436</v>
      </c>
      <c r="Y22" s="18">
        <f t="shared" ref="Y22:AK22" si="7">(Y21/$H$21)*100</f>
        <v>112.89117044388513</v>
      </c>
      <c r="Z22" s="18">
        <f t="shared" si="7"/>
        <v>113.65421063291296</v>
      </c>
      <c r="AA22" s="18">
        <f t="shared" si="7"/>
        <v>114.42240826984205</v>
      </c>
      <c r="AB22" s="18">
        <f t="shared" si="7"/>
        <v>115.19579821426326</v>
      </c>
      <c r="AC22" s="18">
        <f t="shared" si="7"/>
        <v>115.97441556138624</v>
      </c>
      <c r="AD22" s="18">
        <f t="shared" si="7"/>
        <v>116.75829564363185</v>
      </c>
      <c r="AE22" s="18">
        <f t="shared" si="7"/>
        <v>117.54747403223551</v>
      </c>
      <c r="AF22" s="18">
        <f t="shared" si="7"/>
        <v>118.34198653886141</v>
      </c>
      <c r="AG22" s="18">
        <f t="shared" si="7"/>
        <v>119.14186921722757</v>
      </c>
      <c r="AH22" s="18">
        <f t="shared" si="7"/>
        <v>119.94715836474184</v>
      </c>
      <c r="AI22" s="18">
        <f t="shared" si="7"/>
        <v>120.75789052414913</v>
      </c>
      <c r="AJ22" s="18">
        <f t="shared" si="7"/>
        <v>121.57410248518954</v>
      </c>
      <c r="AK22" s="18">
        <f t="shared" si="7"/>
        <v>122.39583128626793</v>
      </c>
    </row>
    <row r="23" spans="1:37" x14ac:dyDescent="0.2">
      <c r="C23" s="3"/>
    </row>
    <row r="24" spans="1:37" x14ac:dyDescent="0.2">
      <c r="A24" s="17" t="s">
        <v>141</v>
      </c>
      <c r="C24" s="3"/>
    </row>
    <row r="25" spans="1:37" ht="49.5" x14ac:dyDescent="0.2">
      <c r="A25" s="6" t="s">
        <v>28</v>
      </c>
      <c r="B25" s="6" t="s">
        <v>29</v>
      </c>
      <c r="C25" s="6" t="s">
        <v>30</v>
      </c>
      <c r="D25" s="53" t="s">
        <v>124</v>
      </c>
      <c r="E25" s="53" t="s">
        <v>125</v>
      </c>
      <c r="F25" s="7" t="s">
        <v>121</v>
      </c>
      <c r="G25" s="7" t="s">
        <v>122</v>
      </c>
      <c r="H25" s="6">
        <v>2024</v>
      </c>
      <c r="I25" s="6">
        <v>2025</v>
      </c>
      <c r="J25" s="6">
        <v>2026</v>
      </c>
      <c r="K25" s="6">
        <v>2027</v>
      </c>
      <c r="L25" s="6">
        <v>2028</v>
      </c>
      <c r="M25" s="6">
        <v>2029</v>
      </c>
      <c r="N25" s="6">
        <v>2030</v>
      </c>
      <c r="O25" s="6">
        <v>2031</v>
      </c>
      <c r="P25" s="6">
        <v>2032</v>
      </c>
      <c r="Q25" s="6">
        <v>2033</v>
      </c>
      <c r="R25" s="50">
        <v>2034</v>
      </c>
      <c r="S25" s="50">
        <v>2035</v>
      </c>
      <c r="T25" s="50">
        <v>2036</v>
      </c>
      <c r="U25" s="50">
        <v>2037</v>
      </c>
      <c r="V25" s="50">
        <v>2038</v>
      </c>
      <c r="W25" s="50">
        <v>2039</v>
      </c>
      <c r="X25" s="50">
        <v>2040</v>
      </c>
      <c r="Y25" s="50">
        <v>2041</v>
      </c>
      <c r="Z25" s="50">
        <v>2042</v>
      </c>
      <c r="AA25" s="50">
        <v>2043</v>
      </c>
      <c r="AB25" s="50">
        <v>2044</v>
      </c>
      <c r="AC25" s="50">
        <v>2045</v>
      </c>
      <c r="AD25" s="50">
        <v>2046</v>
      </c>
      <c r="AE25" s="50">
        <v>2047</v>
      </c>
      <c r="AF25" s="50">
        <v>2048</v>
      </c>
      <c r="AG25" s="50">
        <v>2049</v>
      </c>
      <c r="AH25" s="50">
        <v>2050</v>
      </c>
      <c r="AI25" s="50">
        <v>2051</v>
      </c>
      <c r="AJ25" s="50">
        <v>2052</v>
      </c>
      <c r="AK25" s="50">
        <v>2053</v>
      </c>
    </row>
    <row r="26" spans="1:37" x14ac:dyDescent="0.2">
      <c r="A26" s="8" t="str">
        <f t="shared" ref="A26:C31" si="8">A3</f>
        <v>Nombre Jurisdicción</v>
      </c>
      <c r="B26" s="8" t="str">
        <f t="shared" si="8"/>
        <v>Nombre Sector</v>
      </c>
      <c r="C26" s="8" t="str">
        <f t="shared" si="8"/>
        <v>Nombre UdM 1</v>
      </c>
      <c r="D26" s="9">
        <f>SUM(H26:AK26)</f>
        <v>18426072684.771805</v>
      </c>
      <c r="E26" s="8">
        <f>COUNTIF(H26:AK26,"&gt;0")</f>
        <v>10</v>
      </c>
      <c r="F26" s="9">
        <f>SUM(H26:Q26)</f>
        <v>18426072684.771805</v>
      </c>
      <c r="G26" s="14">
        <f>IFERROR(F26/D26,0)</f>
        <v>1</v>
      </c>
      <c r="H26" s="9">
        <f>(H3*H$22)/100</f>
        <v>3944448000</v>
      </c>
      <c r="I26" s="9">
        <f t="shared" ref="I26:Y26" si="9">(I3*I$22)/100</f>
        <v>3978482322.589314</v>
      </c>
      <c r="J26" s="9">
        <f t="shared" si="9"/>
        <v>2470502422.1779881</v>
      </c>
      <c r="K26" s="9">
        <f t="shared" si="9"/>
        <v>1959559525.9782321</v>
      </c>
      <c r="L26" s="9">
        <f t="shared" si="9"/>
        <v>1033690747.3225608</v>
      </c>
      <c r="M26" s="9">
        <f t="shared" si="9"/>
        <v>1041770459.6667591</v>
      </c>
      <c r="N26" s="9">
        <f t="shared" si="9"/>
        <v>1049707696.206827</v>
      </c>
      <c r="O26" s="9">
        <f t="shared" si="9"/>
        <v>975612014.77167737</v>
      </c>
      <c r="P26" s="9">
        <f t="shared" si="9"/>
        <v>982679743.05659378</v>
      </c>
      <c r="Q26" s="9">
        <f t="shared" si="9"/>
        <v>989619753.00185537</v>
      </c>
      <c r="R26" s="9">
        <f t="shared" si="9"/>
        <v>0</v>
      </c>
      <c r="S26" s="9">
        <f t="shared" si="9"/>
        <v>0</v>
      </c>
      <c r="T26" s="9">
        <f t="shared" si="9"/>
        <v>0</v>
      </c>
      <c r="U26" s="9">
        <f t="shared" si="9"/>
        <v>0</v>
      </c>
      <c r="V26" s="9">
        <f t="shared" si="9"/>
        <v>0</v>
      </c>
      <c r="W26" s="9">
        <f t="shared" si="9"/>
        <v>0</v>
      </c>
      <c r="X26" s="9">
        <f t="shared" si="9"/>
        <v>0</v>
      </c>
      <c r="Y26" s="9">
        <f t="shared" si="9"/>
        <v>0</v>
      </c>
      <c r="Z26" s="9">
        <f t="shared" ref="Z26:AK26" si="10">(Z3*Z$22)/100</f>
        <v>0</v>
      </c>
      <c r="AA26" s="9">
        <f t="shared" si="10"/>
        <v>0</v>
      </c>
      <c r="AB26" s="9">
        <f t="shared" si="10"/>
        <v>0</v>
      </c>
      <c r="AC26" s="9">
        <f t="shared" si="10"/>
        <v>0</v>
      </c>
      <c r="AD26" s="9">
        <f t="shared" si="10"/>
        <v>0</v>
      </c>
      <c r="AE26" s="9">
        <f t="shared" si="10"/>
        <v>0</v>
      </c>
      <c r="AF26" s="9">
        <f t="shared" si="10"/>
        <v>0</v>
      </c>
      <c r="AG26" s="9">
        <f t="shared" si="10"/>
        <v>0</v>
      </c>
      <c r="AH26" s="9">
        <f t="shared" si="10"/>
        <v>0</v>
      </c>
      <c r="AI26" s="9">
        <f t="shared" si="10"/>
        <v>0</v>
      </c>
      <c r="AJ26" s="9">
        <f t="shared" si="10"/>
        <v>0</v>
      </c>
      <c r="AK26" s="9">
        <f t="shared" si="10"/>
        <v>0</v>
      </c>
    </row>
    <row r="27" spans="1:37" x14ac:dyDescent="0.2">
      <c r="A27" s="10" t="str">
        <f t="shared" si="8"/>
        <v>Nombre Jurisdicción</v>
      </c>
      <c r="B27" s="10" t="str">
        <f t="shared" si="8"/>
        <v>Nombre Sector</v>
      </c>
      <c r="C27" s="10" t="str">
        <f t="shared" si="8"/>
        <v>Nombre UdM 2</v>
      </c>
      <c r="D27" s="11">
        <f t="shared" ref="D27:D31" si="11">SUM(H27:AK27)</f>
        <v>10199989469.225101</v>
      </c>
      <c r="E27" s="10">
        <f t="shared" ref="E27:E31" si="12">COUNTIF(H27:AK27,"&gt;0")</f>
        <v>3</v>
      </c>
      <c r="F27" s="11">
        <f t="shared" ref="F27:F31" si="13">SUM(H27:Q27)</f>
        <v>10199989469.225101</v>
      </c>
      <c r="G27" s="15">
        <f t="shared" ref="G27:G31" si="14">IFERROR(F27/D27,0)</f>
        <v>1</v>
      </c>
      <c r="H27" s="11">
        <f t="shared" ref="H27:Y27" si="15">(H4*H$22)/100</f>
        <v>2761042316.1969743</v>
      </c>
      <c r="I27" s="11">
        <f t="shared" si="15"/>
        <v>2961849335.9637737</v>
      </c>
      <c r="J27" s="11">
        <f t="shared" si="15"/>
        <v>4477097817.0643549</v>
      </c>
      <c r="K27" s="11">
        <f t="shared" si="15"/>
        <v>0</v>
      </c>
      <c r="L27" s="11">
        <f t="shared" si="15"/>
        <v>0</v>
      </c>
      <c r="M27" s="11">
        <f t="shared" si="15"/>
        <v>0</v>
      </c>
      <c r="N27" s="11">
        <f t="shared" si="15"/>
        <v>0</v>
      </c>
      <c r="O27" s="11">
        <f t="shared" si="15"/>
        <v>0</v>
      </c>
      <c r="P27" s="11">
        <f t="shared" si="15"/>
        <v>0</v>
      </c>
      <c r="Q27" s="11">
        <f t="shared" si="15"/>
        <v>0</v>
      </c>
      <c r="R27" s="11">
        <f t="shared" si="15"/>
        <v>0</v>
      </c>
      <c r="S27" s="11">
        <f t="shared" si="15"/>
        <v>0</v>
      </c>
      <c r="T27" s="11">
        <f t="shared" si="15"/>
        <v>0</v>
      </c>
      <c r="U27" s="11">
        <f t="shared" si="15"/>
        <v>0</v>
      </c>
      <c r="V27" s="11">
        <f t="shared" si="15"/>
        <v>0</v>
      </c>
      <c r="W27" s="11">
        <f t="shared" si="15"/>
        <v>0</v>
      </c>
      <c r="X27" s="11">
        <f t="shared" si="15"/>
        <v>0</v>
      </c>
      <c r="Y27" s="11">
        <f t="shared" si="15"/>
        <v>0</v>
      </c>
      <c r="Z27" s="11">
        <f t="shared" ref="Z27:AK27" si="16">(Z4*Z$22)/100</f>
        <v>0</v>
      </c>
      <c r="AA27" s="11">
        <f t="shared" si="16"/>
        <v>0</v>
      </c>
      <c r="AB27" s="11">
        <f t="shared" si="16"/>
        <v>0</v>
      </c>
      <c r="AC27" s="11">
        <f t="shared" si="16"/>
        <v>0</v>
      </c>
      <c r="AD27" s="11">
        <f t="shared" si="16"/>
        <v>0</v>
      </c>
      <c r="AE27" s="11">
        <f t="shared" si="16"/>
        <v>0</v>
      </c>
      <c r="AF27" s="11">
        <f t="shared" si="16"/>
        <v>0</v>
      </c>
      <c r="AG27" s="11">
        <f t="shared" si="16"/>
        <v>0</v>
      </c>
      <c r="AH27" s="11">
        <f t="shared" si="16"/>
        <v>0</v>
      </c>
      <c r="AI27" s="11">
        <f t="shared" si="16"/>
        <v>0</v>
      </c>
      <c r="AJ27" s="11">
        <f t="shared" si="16"/>
        <v>0</v>
      </c>
      <c r="AK27" s="11">
        <f t="shared" si="16"/>
        <v>0</v>
      </c>
    </row>
    <row r="28" spans="1:37" x14ac:dyDescent="0.2">
      <c r="A28" s="8" t="str">
        <f t="shared" si="8"/>
        <v>Nombre Jurisdicción</v>
      </c>
      <c r="B28" s="8" t="str">
        <f t="shared" si="8"/>
        <v>Nombre Sector</v>
      </c>
      <c r="C28" s="8" t="str">
        <f t="shared" si="8"/>
        <v>Nombre UdM 3</v>
      </c>
      <c r="D28" s="9">
        <f t="shared" si="11"/>
        <v>7571462241.3006592</v>
      </c>
      <c r="E28" s="8">
        <f t="shared" si="12"/>
        <v>4</v>
      </c>
      <c r="F28" s="9">
        <f t="shared" si="13"/>
        <v>7571462241.3006592</v>
      </c>
      <c r="G28" s="14">
        <f t="shared" si="14"/>
        <v>1</v>
      </c>
      <c r="H28" s="9">
        <f t="shared" ref="H28:Y28" si="17">(H5*H$22)/100</f>
        <v>908755943.47322536</v>
      </c>
      <c r="I28" s="9">
        <f t="shared" si="17"/>
        <v>6176953123.873497</v>
      </c>
      <c r="J28" s="9">
        <f t="shared" si="17"/>
        <v>313972155.34922785</v>
      </c>
      <c r="K28" s="9">
        <f t="shared" si="17"/>
        <v>171781018.60470864</v>
      </c>
      <c r="L28" s="9">
        <f t="shared" si="17"/>
        <v>0</v>
      </c>
      <c r="M28" s="9">
        <f t="shared" si="17"/>
        <v>0</v>
      </c>
      <c r="N28" s="9">
        <f t="shared" si="17"/>
        <v>0</v>
      </c>
      <c r="O28" s="9">
        <f t="shared" si="17"/>
        <v>0</v>
      </c>
      <c r="P28" s="9">
        <f t="shared" si="17"/>
        <v>0</v>
      </c>
      <c r="Q28" s="9">
        <f t="shared" si="17"/>
        <v>0</v>
      </c>
      <c r="R28" s="9">
        <f t="shared" si="17"/>
        <v>0</v>
      </c>
      <c r="S28" s="9">
        <f t="shared" si="17"/>
        <v>0</v>
      </c>
      <c r="T28" s="9">
        <f t="shared" si="17"/>
        <v>0</v>
      </c>
      <c r="U28" s="9">
        <f t="shared" si="17"/>
        <v>0</v>
      </c>
      <c r="V28" s="9">
        <f t="shared" si="17"/>
        <v>0</v>
      </c>
      <c r="W28" s="9">
        <f t="shared" si="17"/>
        <v>0</v>
      </c>
      <c r="X28" s="9">
        <f t="shared" si="17"/>
        <v>0</v>
      </c>
      <c r="Y28" s="9">
        <f t="shared" si="17"/>
        <v>0</v>
      </c>
      <c r="Z28" s="9">
        <f t="shared" ref="Z28:AK28" si="18">(Z5*Z$22)/100</f>
        <v>0</v>
      </c>
      <c r="AA28" s="9">
        <f t="shared" si="18"/>
        <v>0</v>
      </c>
      <c r="AB28" s="9">
        <f t="shared" si="18"/>
        <v>0</v>
      </c>
      <c r="AC28" s="9">
        <f t="shared" si="18"/>
        <v>0</v>
      </c>
      <c r="AD28" s="9">
        <f t="shared" si="18"/>
        <v>0</v>
      </c>
      <c r="AE28" s="9">
        <f t="shared" si="18"/>
        <v>0</v>
      </c>
      <c r="AF28" s="9">
        <f t="shared" si="18"/>
        <v>0</v>
      </c>
      <c r="AG28" s="9">
        <f t="shared" si="18"/>
        <v>0</v>
      </c>
      <c r="AH28" s="9">
        <f t="shared" si="18"/>
        <v>0</v>
      </c>
      <c r="AI28" s="9">
        <f t="shared" si="18"/>
        <v>0</v>
      </c>
      <c r="AJ28" s="9">
        <f t="shared" si="18"/>
        <v>0</v>
      </c>
      <c r="AK28" s="9">
        <f t="shared" si="18"/>
        <v>0</v>
      </c>
    </row>
    <row r="29" spans="1:37" x14ac:dyDescent="0.2">
      <c r="A29" s="10" t="str">
        <f t="shared" si="8"/>
        <v>Nombre Jurisdicción</v>
      </c>
      <c r="B29" s="10" t="str">
        <f t="shared" si="8"/>
        <v>Nombre Sector</v>
      </c>
      <c r="C29" s="10">
        <f t="shared" si="8"/>
        <v>0</v>
      </c>
      <c r="D29" s="11">
        <f t="shared" si="11"/>
        <v>0</v>
      </c>
      <c r="E29" s="10">
        <f t="shared" si="12"/>
        <v>0</v>
      </c>
      <c r="F29" s="11">
        <f t="shared" si="13"/>
        <v>0</v>
      </c>
      <c r="G29" s="15">
        <f t="shared" si="14"/>
        <v>0</v>
      </c>
      <c r="H29" s="11">
        <f t="shared" ref="H29:Y29" si="19">(H6*H$22)/100</f>
        <v>0</v>
      </c>
      <c r="I29" s="11">
        <f t="shared" si="19"/>
        <v>0</v>
      </c>
      <c r="J29" s="11">
        <f t="shared" si="19"/>
        <v>0</v>
      </c>
      <c r="K29" s="11">
        <f t="shared" si="19"/>
        <v>0</v>
      </c>
      <c r="L29" s="11">
        <f t="shared" si="19"/>
        <v>0</v>
      </c>
      <c r="M29" s="11">
        <f t="shared" si="19"/>
        <v>0</v>
      </c>
      <c r="N29" s="11">
        <f t="shared" si="19"/>
        <v>0</v>
      </c>
      <c r="O29" s="11">
        <f t="shared" si="19"/>
        <v>0</v>
      </c>
      <c r="P29" s="11">
        <f t="shared" si="19"/>
        <v>0</v>
      </c>
      <c r="Q29" s="11">
        <f t="shared" si="19"/>
        <v>0</v>
      </c>
      <c r="R29" s="11">
        <f t="shared" si="19"/>
        <v>0</v>
      </c>
      <c r="S29" s="11">
        <f t="shared" si="19"/>
        <v>0</v>
      </c>
      <c r="T29" s="11">
        <f t="shared" si="19"/>
        <v>0</v>
      </c>
      <c r="U29" s="11">
        <f t="shared" si="19"/>
        <v>0</v>
      </c>
      <c r="V29" s="11">
        <f t="shared" si="19"/>
        <v>0</v>
      </c>
      <c r="W29" s="11">
        <f t="shared" si="19"/>
        <v>0</v>
      </c>
      <c r="X29" s="11">
        <f t="shared" si="19"/>
        <v>0</v>
      </c>
      <c r="Y29" s="11">
        <f t="shared" si="19"/>
        <v>0</v>
      </c>
      <c r="Z29" s="11">
        <f t="shared" ref="Z29:AK29" si="20">(Z6*Z$22)/100</f>
        <v>0</v>
      </c>
      <c r="AA29" s="11">
        <f t="shared" si="20"/>
        <v>0</v>
      </c>
      <c r="AB29" s="11">
        <f t="shared" si="20"/>
        <v>0</v>
      </c>
      <c r="AC29" s="11">
        <f t="shared" si="20"/>
        <v>0</v>
      </c>
      <c r="AD29" s="11">
        <f t="shared" si="20"/>
        <v>0</v>
      </c>
      <c r="AE29" s="11">
        <f t="shared" si="20"/>
        <v>0</v>
      </c>
      <c r="AF29" s="11">
        <f t="shared" si="20"/>
        <v>0</v>
      </c>
      <c r="AG29" s="11">
        <f t="shared" si="20"/>
        <v>0</v>
      </c>
      <c r="AH29" s="11">
        <f t="shared" si="20"/>
        <v>0</v>
      </c>
      <c r="AI29" s="11">
        <f t="shared" si="20"/>
        <v>0</v>
      </c>
      <c r="AJ29" s="11">
        <f t="shared" si="20"/>
        <v>0</v>
      </c>
      <c r="AK29" s="11">
        <f t="shared" si="20"/>
        <v>0</v>
      </c>
    </row>
    <row r="30" spans="1:37" x14ac:dyDescent="0.2">
      <c r="A30" s="8" t="str">
        <f t="shared" si="8"/>
        <v>Nombre Jurisdicción</v>
      </c>
      <c r="B30" s="8" t="str">
        <f t="shared" si="8"/>
        <v>Nombre Sector</v>
      </c>
      <c r="C30" s="8">
        <f t="shared" si="8"/>
        <v>0</v>
      </c>
      <c r="D30" s="9">
        <f t="shared" si="11"/>
        <v>0</v>
      </c>
      <c r="E30" s="8">
        <f t="shared" si="12"/>
        <v>0</v>
      </c>
      <c r="F30" s="9">
        <f t="shared" si="13"/>
        <v>0</v>
      </c>
      <c r="G30" s="14">
        <f t="shared" si="14"/>
        <v>0</v>
      </c>
      <c r="H30" s="9">
        <f t="shared" ref="H30:Y30" si="21">(H7*H$22)/100</f>
        <v>0</v>
      </c>
      <c r="I30" s="9">
        <f t="shared" si="21"/>
        <v>0</v>
      </c>
      <c r="J30" s="9">
        <f t="shared" si="21"/>
        <v>0</v>
      </c>
      <c r="K30" s="9">
        <f t="shared" si="21"/>
        <v>0</v>
      </c>
      <c r="L30" s="9">
        <f t="shared" si="21"/>
        <v>0</v>
      </c>
      <c r="M30" s="9">
        <f t="shared" si="21"/>
        <v>0</v>
      </c>
      <c r="N30" s="9">
        <f t="shared" si="21"/>
        <v>0</v>
      </c>
      <c r="O30" s="9">
        <f t="shared" si="21"/>
        <v>0</v>
      </c>
      <c r="P30" s="9">
        <f t="shared" si="21"/>
        <v>0</v>
      </c>
      <c r="Q30" s="9">
        <f t="shared" si="21"/>
        <v>0</v>
      </c>
      <c r="R30" s="9">
        <f t="shared" si="21"/>
        <v>0</v>
      </c>
      <c r="S30" s="9">
        <f t="shared" si="21"/>
        <v>0</v>
      </c>
      <c r="T30" s="9">
        <f t="shared" si="21"/>
        <v>0</v>
      </c>
      <c r="U30" s="9">
        <f t="shared" si="21"/>
        <v>0</v>
      </c>
      <c r="V30" s="9">
        <f t="shared" si="21"/>
        <v>0</v>
      </c>
      <c r="W30" s="9">
        <f t="shared" si="21"/>
        <v>0</v>
      </c>
      <c r="X30" s="9">
        <f t="shared" si="21"/>
        <v>0</v>
      </c>
      <c r="Y30" s="9">
        <f t="shared" si="21"/>
        <v>0</v>
      </c>
      <c r="Z30" s="9">
        <f t="shared" ref="Z30:AK30" si="22">(Z7*Z$22)/100</f>
        <v>0</v>
      </c>
      <c r="AA30" s="9">
        <f t="shared" si="22"/>
        <v>0</v>
      </c>
      <c r="AB30" s="9">
        <f t="shared" si="22"/>
        <v>0</v>
      </c>
      <c r="AC30" s="9">
        <f t="shared" si="22"/>
        <v>0</v>
      </c>
      <c r="AD30" s="9">
        <f t="shared" si="22"/>
        <v>0</v>
      </c>
      <c r="AE30" s="9">
        <f t="shared" si="22"/>
        <v>0</v>
      </c>
      <c r="AF30" s="9">
        <f t="shared" si="22"/>
        <v>0</v>
      </c>
      <c r="AG30" s="9">
        <f t="shared" si="22"/>
        <v>0</v>
      </c>
      <c r="AH30" s="9">
        <f t="shared" si="22"/>
        <v>0</v>
      </c>
      <c r="AI30" s="9">
        <f t="shared" si="22"/>
        <v>0</v>
      </c>
      <c r="AJ30" s="9">
        <f t="shared" si="22"/>
        <v>0</v>
      </c>
      <c r="AK30" s="9">
        <f t="shared" si="22"/>
        <v>0</v>
      </c>
    </row>
    <row r="31" spans="1:37" x14ac:dyDescent="0.2">
      <c r="A31" s="10" t="str">
        <f t="shared" si="8"/>
        <v>Nombre Jurisdicción</v>
      </c>
      <c r="B31" s="10" t="str">
        <f t="shared" si="8"/>
        <v>Nombre Sector</v>
      </c>
      <c r="C31" s="10">
        <f t="shared" si="8"/>
        <v>0</v>
      </c>
      <c r="D31" s="11">
        <f t="shared" si="11"/>
        <v>0</v>
      </c>
      <c r="E31" s="10">
        <f t="shared" si="12"/>
        <v>0</v>
      </c>
      <c r="F31" s="11">
        <f t="shared" si="13"/>
        <v>0</v>
      </c>
      <c r="G31" s="15">
        <f t="shared" si="14"/>
        <v>0</v>
      </c>
      <c r="H31" s="11">
        <f t="shared" ref="H31:Y31" si="23">(H8*H$22)/100</f>
        <v>0</v>
      </c>
      <c r="I31" s="11">
        <f t="shared" si="23"/>
        <v>0</v>
      </c>
      <c r="J31" s="11">
        <f t="shared" si="23"/>
        <v>0</v>
      </c>
      <c r="K31" s="11">
        <f t="shared" si="23"/>
        <v>0</v>
      </c>
      <c r="L31" s="11">
        <f t="shared" si="23"/>
        <v>0</v>
      </c>
      <c r="M31" s="11">
        <f t="shared" si="23"/>
        <v>0</v>
      </c>
      <c r="N31" s="11">
        <f t="shared" si="23"/>
        <v>0</v>
      </c>
      <c r="O31" s="11">
        <f t="shared" si="23"/>
        <v>0</v>
      </c>
      <c r="P31" s="11">
        <f t="shared" si="23"/>
        <v>0</v>
      </c>
      <c r="Q31" s="11">
        <f t="shared" si="23"/>
        <v>0</v>
      </c>
      <c r="R31" s="11">
        <f t="shared" si="23"/>
        <v>0</v>
      </c>
      <c r="S31" s="11">
        <f t="shared" si="23"/>
        <v>0</v>
      </c>
      <c r="T31" s="11">
        <f t="shared" si="23"/>
        <v>0</v>
      </c>
      <c r="U31" s="11">
        <f t="shared" si="23"/>
        <v>0</v>
      </c>
      <c r="V31" s="11">
        <f t="shared" si="23"/>
        <v>0</v>
      </c>
      <c r="W31" s="11">
        <f t="shared" si="23"/>
        <v>0</v>
      </c>
      <c r="X31" s="11">
        <f t="shared" si="23"/>
        <v>0</v>
      </c>
      <c r="Y31" s="11">
        <f t="shared" si="23"/>
        <v>0</v>
      </c>
      <c r="Z31" s="11">
        <f t="shared" ref="Z31:AK31" si="24">(Z8*Z$22)/100</f>
        <v>0</v>
      </c>
      <c r="AA31" s="11">
        <f t="shared" si="24"/>
        <v>0</v>
      </c>
      <c r="AB31" s="11">
        <f t="shared" si="24"/>
        <v>0</v>
      </c>
      <c r="AC31" s="11">
        <f t="shared" si="24"/>
        <v>0</v>
      </c>
      <c r="AD31" s="11">
        <f t="shared" si="24"/>
        <v>0</v>
      </c>
      <c r="AE31" s="11">
        <f t="shared" si="24"/>
        <v>0</v>
      </c>
      <c r="AF31" s="11">
        <f t="shared" si="24"/>
        <v>0</v>
      </c>
      <c r="AG31" s="11">
        <f t="shared" si="24"/>
        <v>0</v>
      </c>
      <c r="AH31" s="11">
        <f t="shared" si="24"/>
        <v>0</v>
      </c>
      <c r="AI31" s="11">
        <f t="shared" si="24"/>
        <v>0</v>
      </c>
      <c r="AJ31" s="11">
        <f t="shared" si="24"/>
        <v>0</v>
      </c>
      <c r="AK31" s="11">
        <f t="shared" si="24"/>
        <v>0</v>
      </c>
    </row>
    <row r="32" spans="1:37" x14ac:dyDescent="0.2">
      <c r="A32" s="12" t="s">
        <v>1</v>
      </c>
      <c r="B32" s="12"/>
      <c r="C32" s="12"/>
      <c r="D32" s="54">
        <f>SUM(D26:D28)</f>
        <v>36197524395.297562</v>
      </c>
      <c r="E32" s="55"/>
      <c r="F32" s="13">
        <f>SUM(F26:F28)</f>
        <v>36197524395.297562</v>
      </c>
      <c r="G32" s="16">
        <f>IFERROR(F32/D32,0)</f>
        <v>1</v>
      </c>
      <c r="H32" s="13">
        <f>SUM(H26:H28)</f>
        <v>7614246259.6701994</v>
      </c>
      <c r="I32" s="13">
        <f t="shared" ref="I32" si="25">SUM(I26:I28)</f>
        <v>13117284782.426584</v>
      </c>
      <c r="J32" s="13">
        <f t="shared" ref="J32" si="26">SUM(J26:J28)</f>
        <v>7261572394.5915709</v>
      </c>
      <c r="K32" s="13">
        <f t="shared" ref="K32" si="27">SUM(K26:K28)</f>
        <v>2131340544.5829408</v>
      </c>
      <c r="L32" s="13">
        <f t="shared" ref="L32" si="28">SUM(L26:L28)</f>
        <v>1033690747.3225608</v>
      </c>
      <c r="M32" s="13">
        <f t="shared" ref="M32" si="29">SUM(M26:M28)</f>
        <v>1041770459.6667591</v>
      </c>
      <c r="N32" s="13">
        <f t="shared" ref="N32:O32" si="30">SUM(N26:N28)</f>
        <v>1049707696.206827</v>
      </c>
      <c r="O32" s="13">
        <f t="shared" si="30"/>
        <v>975612014.77167737</v>
      </c>
      <c r="P32" s="13">
        <f t="shared" ref="P32" si="31">SUM(P26:P28)</f>
        <v>982679743.05659378</v>
      </c>
      <c r="Q32" s="13">
        <f t="shared" ref="Q32" si="32">SUM(Q26:Q28)</f>
        <v>989619753.00185537</v>
      </c>
      <c r="R32" s="13">
        <f t="shared" ref="R32" si="33">SUM(R26:R28)</f>
        <v>0</v>
      </c>
      <c r="S32" s="13">
        <f t="shared" ref="S32" si="34">SUM(S26:S28)</f>
        <v>0</v>
      </c>
      <c r="T32" s="13">
        <f t="shared" ref="T32" si="35">SUM(T26:T28)</f>
        <v>0</v>
      </c>
      <c r="U32" s="13">
        <f t="shared" ref="U32:V32" si="36">SUM(U26:U28)</f>
        <v>0</v>
      </c>
      <c r="V32" s="13">
        <f t="shared" si="36"/>
        <v>0</v>
      </c>
      <c r="W32" s="13">
        <f t="shared" ref="W32" si="37">SUM(W26:W28)</f>
        <v>0</v>
      </c>
      <c r="X32" s="13">
        <f t="shared" ref="X32" si="38">SUM(X26:X28)</f>
        <v>0</v>
      </c>
      <c r="Y32" s="13">
        <f t="shared" ref="Y32" si="39">SUM(Y26:Y28)</f>
        <v>0</v>
      </c>
      <c r="Z32" s="13">
        <f t="shared" ref="Z32" si="40">SUM(Z26:Z28)</f>
        <v>0</v>
      </c>
      <c r="AA32" s="13">
        <f t="shared" ref="AA32" si="41">SUM(AA26:AA28)</f>
        <v>0</v>
      </c>
      <c r="AB32" s="13">
        <f t="shared" ref="AB32:AC32" si="42">SUM(AB26:AB28)</f>
        <v>0</v>
      </c>
      <c r="AC32" s="13">
        <f t="shared" si="42"/>
        <v>0</v>
      </c>
      <c r="AD32" s="13">
        <f t="shared" ref="AD32" si="43">SUM(AD26:AD28)</f>
        <v>0</v>
      </c>
      <c r="AE32" s="13">
        <f t="shared" ref="AE32" si="44">SUM(AE26:AE28)</f>
        <v>0</v>
      </c>
      <c r="AF32" s="13">
        <f t="shared" ref="AF32" si="45">SUM(AF26:AF28)</f>
        <v>0</v>
      </c>
      <c r="AG32" s="13">
        <f t="shared" ref="AG32" si="46">SUM(AG26:AG28)</f>
        <v>0</v>
      </c>
      <c r="AH32" s="13">
        <f t="shared" ref="AH32" si="47">SUM(AH26:AH28)</f>
        <v>0</v>
      </c>
      <c r="AI32" s="13">
        <f t="shared" ref="AI32:AJ32" si="48">SUM(AI26:AI28)</f>
        <v>0</v>
      </c>
      <c r="AJ32" s="13">
        <f t="shared" si="48"/>
        <v>0</v>
      </c>
      <c r="AK32" s="13">
        <f t="shared" ref="AK32" si="49">SUM(AK26:AK28)</f>
        <v>0</v>
      </c>
    </row>
    <row r="33" spans="1:37" x14ac:dyDescent="0.2">
      <c r="A33" t="s">
        <v>38</v>
      </c>
    </row>
    <row r="35" spans="1:37" x14ac:dyDescent="0.2">
      <c r="A35" s="17" t="s">
        <v>99</v>
      </c>
    </row>
    <row r="36" spans="1:37" x14ac:dyDescent="0.2">
      <c r="A36" s="17" t="s">
        <v>132</v>
      </c>
    </row>
    <row r="37" spans="1:37" x14ac:dyDescent="0.2">
      <c r="A37" s="6" t="s">
        <v>28</v>
      </c>
      <c r="B37" s="6" t="s">
        <v>29</v>
      </c>
      <c r="C37" s="6" t="s">
        <v>30</v>
      </c>
      <c r="D37" s="7"/>
      <c r="E37" s="7"/>
      <c r="F37" s="7"/>
      <c r="G37" s="7"/>
      <c r="H37" s="6">
        <v>2024</v>
      </c>
      <c r="I37" s="6">
        <v>2025</v>
      </c>
      <c r="J37" s="6">
        <v>2026</v>
      </c>
      <c r="K37" s="6">
        <v>2027</v>
      </c>
      <c r="L37" s="6">
        <v>2028</v>
      </c>
      <c r="M37" s="6">
        <v>2029</v>
      </c>
      <c r="N37" s="6">
        <v>2030</v>
      </c>
      <c r="O37" s="6">
        <v>2031</v>
      </c>
      <c r="P37" s="6">
        <v>2032</v>
      </c>
      <c r="Q37" s="6">
        <v>2033</v>
      </c>
      <c r="R37" s="50">
        <v>2034</v>
      </c>
      <c r="S37" s="50">
        <v>2035</v>
      </c>
      <c r="T37" s="50">
        <v>2036</v>
      </c>
      <c r="U37" s="50">
        <v>2037</v>
      </c>
      <c r="V37" s="50">
        <v>2038</v>
      </c>
      <c r="W37" s="50">
        <v>2039</v>
      </c>
      <c r="X37" s="50">
        <v>2040</v>
      </c>
      <c r="Y37" s="50">
        <v>2041</v>
      </c>
      <c r="Z37" s="50">
        <v>2042</v>
      </c>
      <c r="AA37" s="50">
        <v>2043</v>
      </c>
      <c r="AB37" s="50">
        <v>2044</v>
      </c>
      <c r="AC37" s="50">
        <v>2045</v>
      </c>
      <c r="AD37" s="50">
        <v>2046</v>
      </c>
      <c r="AE37" s="50">
        <v>2047</v>
      </c>
      <c r="AF37" s="50">
        <v>2048</v>
      </c>
      <c r="AG37" s="50">
        <v>2049</v>
      </c>
      <c r="AH37" s="50">
        <v>2050</v>
      </c>
      <c r="AI37" s="50">
        <v>2051</v>
      </c>
      <c r="AJ37" s="50">
        <v>2052</v>
      </c>
      <c r="AK37" s="50">
        <v>2053</v>
      </c>
    </row>
    <row r="38" spans="1:37" x14ac:dyDescent="0.2">
      <c r="A38" s="8" t="str">
        <f t="shared" ref="A38:C41" si="50">A3</f>
        <v>Nombre Jurisdicción</v>
      </c>
      <c r="B38" s="8" t="str">
        <f t="shared" si="50"/>
        <v>Nombre Sector</v>
      </c>
      <c r="C38" s="8" t="str">
        <f t="shared" si="50"/>
        <v>Nombre UdM 1</v>
      </c>
      <c r="D38" s="9"/>
      <c r="E38" s="8"/>
      <c r="F38" s="9"/>
      <c r="G38" s="14"/>
      <c r="H38" s="21">
        <v>394444800</v>
      </c>
      <c r="I38" s="21">
        <v>394444800</v>
      </c>
      <c r="J38" s="21">
        <v>242892800</v>
      </c>
      <c r="K38" s="21">
        <v>191088640</v>
      </c>
      <c r="L38" s="21">
        <v>100000000</v>
      </c>
      <c r="M38" s="21">
        <v>100000000</v>
      </c>
      <c r="N38" s="21">
        <v>100000000</v>
      </c>
      <c r="O38" s="21">
        <v>92256000</v>
      </c>
      <c r="P38" s="21">
        <v>92256000</v>
      </c>
      <c r="Q38" s="21">
        <v>92256000</v>
      </c>
      <c r="R38" s="21">
        <f t="shared" ref="R38:AK38" si="51">R3*0.1</f>
        <v>0</v>
      </c>
      <c r="S38" s="21">
        <f t="shared" si="51"/>
        <v>0</v>
      </c>
      <c r="T38" s="21">
        <f t="shared" si="51"/>
        <v>0</v>
      </c>
      <c r="U38" s="21">
        <f t="shared" si="51"/>
        <v>0</v>
      </c>
      <c r="V38" s="21">
        <f t="shared" si="51"/>
        <v>0</v>
      </c>
      <c r="W38" s="21">
        <f t="shared" si="51"/>
        <v>0</v>
      </c>
      <c r="X38" s="21">
        <f t="shared" si="51"/>
        <v>0</v>
      </c>
      <c r="Y38" s="21">
        <f t="shared" si="51"/>
        <v>0</v>
      </c>
      <c r="Z38" s="21">
        <f t="shared" si="51"/>
        <v>0</v>
      </c>
      <c r="AA38" s="21">
        <f t="shared" si="51"/>
        <v>0</v>
      </c>
      <c r="AB38" s="21">
        <f t="shared" si="51"/>
        <v>0</v>
      </c>
      <c r="AC38" s="21">
        <f t="shared" si="51"/>
        <v>0</v>
      </c>
      <c r="AD38" s="21">
        <f t="shared" si="51"/>
        <v>0</v>
      </c>
      <c r="AE38" s="21">
        <f t="shared" si="51"/>
        <v>0</v>
      </c>
      <c r="AF38" s="21">
        <f t="shared" si="51"/>
        <v>0</v>
      </c>
      <c r="AG38" s="21">
        <f t="shared" si="51"/>
        <v>0</v>
      </c>
      <c r="AH38" s="21">
        <f t="shared" si="51"/>
        <v>0</v>
      </c>
      <c r="AI38" s="21">
        <f t="shared" si="51"/>
        <v>0</v>
      </c>
      <c r="AJ38" s="21">
        <f t="shared" si="51"/>
        <v>0</v>
      </c>
      <c r="AK38" s="21">
        <f t="shared" si="51"/>
        <v>0</v>
      </c>
    </row>
    <row r="39" spans="1:37" x14ac:dyDescent="0.2">
      <c r="A39" s="10" t="str">
        <f t="shared" si="50"/>
        <v>Nombre Jurisdicción</v>
      </c>
      <c r="B39" s="10" t="str">
        <f t="shared" si="50"/>
        <v>Nombre Sector</v>
      </c>
      <c r="C39" s="10" t="str">
        <f t="shared" si="50"/>
        <v>Nombre UdM 2</v>
      </c>
      <c r="D39" s="11"/>
      <c r="E39" s="10"/>
      <c r="F39" s="11"/>
      <c r="G39" s="15"/>
      <c r="H39" s="22">
        <v>276104231.61969745</v>
      </c>
      <c r="I39" s="22">
        <v>293651190.13373131</v>
      </c>
      <c r="J39" s="22">
        <v>440175575.17792344</v>
      </c>
      <c r="K39" s="22">
        <v>0</v>
      </c>
      <c r="L39" s="22">
        <v>0</v>
      </c>
      <c r="M39" s="22">
        <v>0</v>
      </c>
      <c r="N39" s="22">
        <v>0</v>
      </c>
      <c r="O39" s="22">
        <v>0</v>
      </c>
      <c r="P39" s="22">
        <v>0</v>
      </c>
      <c r="Q39" s="22">
        <v>0</v>
      </c>
      <c r="R39" s="22">
        <f t="shared" ref="R39:AK39" si="52">R4*0.1</f>
        <v>0</v>
      </c>
      <c r="S39" s="22">
        <f t="shared" si="52"/>
        <v>0</v>
      </c>
      <c r="T39" s="22">
        <f t="shared" si="52"/>
        <v>0</v>
      </c>
      <c r="U39" s="22">
        <f t="shared" si="52"/>
        <v>0</v>
      </c>
      <c r="V39" s="22">
        <f t="shared" si="52"/>
        <v>0</v>
      </c>
      <c r="W39" s="22">
        <f t="shared" si="52"/>
        <v>0</v>
      </c>
      <c r="X39" s="22">
        <f t="shared" si="52"/>
        <v>0</v>
      </c>
      <c r="Y39" s="22">
        <f t="shared" si="52"/>
        <v>0</v>
      </c>
      <c r="Z39" s="22">
        <f t="shared" si="52"/>
        <v>0</v>
      </c>
      <c r="AA39" s="22">
        <f t="shared" si="52"/>
        <v>0</v>
      </c>
      <c r="AB39" s="22">
        <f t="shared" si="52"/>
        <v>0</v>
      </c>
      <c r="AC39" s="22">
        <f t="shared" si="52"/>
        <v>0</v>
      </c>
      <c r="AD39" s="22">
        <f t="shared" si="52"/>
        <v>0</v>
      </c>
      <c r="AE39" s="22">
        <f t="shared" si="52"/>
        <v>0</v>
      </c>
      <c r="AF39" s="22">
        <f t="shared" si="52"/>
        <v>0</v>
      </c>
      <c r="AG39" s="22">
        <f t="shared" si="52"/>
        <v>0</v>
      </c>
      <c r="AH39" s="22">
        <f t="shared" si="52"/>
        <v>0</v>
      </c>
      <c r="AI39" s="22">
        <f t="shared" si="52"/>
        <v>0</v>
      </c>
      <c r="AJ39" s="22">
        <f t="shared" si="52"/>
        <v>0</v>
      </c>
      <c r="AK39" s="22">
        <f t="shared" si="52"/>
        <v>0</v>
      </c>
    </row>
    <row r="40" spans="1:37" x14ac:dyDescent="0.2">
      <c r="A40" s="8" t="str">
        <f t="shared" si="50"/>
        <v>Nombre Jurisdicción</v>
      </c>
      <c r="B40" s="8" t="str">
        <f t="shared" si="50"/>
        <v>Nombre Sector</v>
      </c>
      <c r="C40" s="8" t="str">
        <f t="shared" si="50"/>
        <v>Nombre UdM 3</v>
      </c>
      <c r="D40" s="9"/>
      <c r="E40" s="8"/>
      <c r="F40" s="9"/>
      <c r="G40" s="14"/>
      <c r="H40" s="21">
        <v>90875594.347322553</v>
      </c>
      <c r="I40" s="21">
        <v>612411176.42315733</v>
      </c>
      <c r="J40" s="21">
        <v>30868852.930561766</v>
      </c>
      <c r="K40" s="21">
        <v>16751418.258958831</v>
      </c>
      <c r="L40" s="21">
        <v>0</v>
      </c>
      <c r="M40" s="21">
        <v>0</v>
      </c>
      <c r="N40" s="21">
        <v>0</v>
      </c>
      <c r="O40" s="21">
        <v>0</v>
      </c>
      <c r="P40" s="21">
        <v>0</v>
      </c>
      <c r="Q40" s="21">
        <v>0</v>
      </c>
      <c r="R40" s="21">
        <f t="shared" ref="R40:AK40" si="53">R5*0.1</f>
        <v>0</v>
      </c>
      <c r="S40" s="21">
        <f t="shared" si="53"/>
        <v>0</v>
      </c>
      <c r="T40" s="21">
        <f t="shared" si="53"/>
        <v>0</v>
      </c>
      <c r="U40" s="21">
        <f t="shared" si="53"/>
        <v>0</v>
      </c>
      <c r="V40" s="21">
        <f t="shared" si="53"/>
        <v>0</v>
      </c>
      <c r="W40" s="21">
        <f t="shared" si="53"/>
        <v>0</v>
      </c>
      <c r="X40" s="21">
        <f t="shared" si="53"/>
        <v>0</v>
      </c>
      <c r="Y40" s="21">
        <f t="shared" si="53"/>
        <v>0</v>
      </c>
      <c r="Z40" s="21">
        <f t="shared" si="53"/>
        <v>0</v>
      </c>
      <c r="AA40" s="21">
        <f t="shared" si="53"/>
        <v>0</v>
      </c>
      <c r="AB40" s="21">
        <f t="shared" si="53"/>
        <v>0</v>
      </c>
      <c r="AC40" s="21">
        <f t="shared" si="53"/>
        <v>0</v>
      </c>
      <c r="AD40" s="21">
        <f t="shared" si="53"/>
        <v>0</v>
      </c>
      <c r="AE40" s="21">
        <f t="shared" si="53"/>
        <v>0</v>
      </c>
      <c r="AF40" s="21">
        <f t="shared" si="53"/>
        <v>0</v>
      </c>
      <c r="AG40" s="21">
        <f t="shared" si="53"/>
        <v>0</v>
      </c>
      <c r="AH40" s="21">
        <f t="shared" si="53"/>
        <v>0</v>
      </c>
      <c r="AI40" s="21">
        <f t="shared" si="53"/>
        <v>0</v>
      </c>
      <c r="AJ40" s="21">
        <f t="shared" si="53"/>
        <v>0</v>
      </c>
      <c r="AK40" s="21">
        <f t="shared" si="53"/>
        <v>0</v>
      </c>
    </row>
    <row r="41" spans="1:37" x14ac:dyDescent="0.2">
      <c r="A41" s="10" t="str">
        <f t="shared" si="50"/>
        <v>Nombre Jurisdicción</v>
      </c>
      <c r="B41" s="10" t="str">
        <f t="shared" si="50"/>
        <v>Nombre Sector</v>
      </c>
      <c r="C41" s="10">
        <f t="shared" si="50"/>
        <v>0</v>
      </c>
      <c r="D41" s="11"/>
      <c r="E41" s="10"/>
      <c r="F41" s="11"/>
      <c r="G41" s="15"/>
      <c r="H41" s="22">
        <f>H6*0.1</f>
        <v>0</v>
      </c>
      <c r="I41" s="22">
        <f t="shared" ref="I41:AK41" si="54">I6*0.1</f>
        <v>0</v>
      </c>
      <c r="J41" s="22">
        <f t="shared" si="54"/>
        <v>0</v>
      </c>
      <c r="K41" s="22">
        <f t="shared" si="54"/>
        <v>0</v>
      </c>
      <c r="L41" s="22">
        <f t="shared" si="54"/>
        <v>0</v>
      </c>
      <c r="M41" s="22">
        <f t="shared" si="54"/>
        <v>0</v>
      </c>
      <c r="N41" s="22">
        <f t="shared" si="54"/>
        <v>0</v>
      </c>
      <c r="O41" s="22">
        <f t="shared" si="54"/>
        <v>0</v>
      </c>
      <c r="P41" s="22">
        <f t="shared" si="54"/>
        <v>0</v>
      </c>
      <c r="Q41" s="22">
        <f t="shared" si="54"/>
        <v>0</v>
      </c>
      <c r="R41" s="22">
        <f t="shared" si="54"/>
        <v>0</v>
      </c>
      <c r="S41" s="22">
        <f t="shared" si="54"/>
        <v>0</v>
      </c>
      <c r="T41" s="22">
        <f t="shared" si="54"/>
        <v>0</v>
      </c>
      <c r="U41" s="22">
        <f t="shared" si="54"/>
        <v>0</v>
      </c>
      <c r="V41" s="22">
        <f t="shared" si="54"/>
        <v>0</v>
      </c>
      <c r="W41" s="22">
        <f t="shared" si="54"/>
        <v>0</v>
      </c>
      <c r="X41" s="22">
        <f t="shared" si="54"/>
        <v>0</v>
      </c>
      <c r="Y41" s="22">
        <f t="shared" si="54"/>
        <v>0</v>
      </c>
      <c r="Z41" s="22">
        <f t="shared" si="54"/>
        <v>0</v>
      </c>
      <c r="AA41" s="22">
        <f t="shared" si="54"/>
        <v>0</v>
      </c>
      <c r="AB41" s="22">
        <f t="shared" si="54"/>
        <v>0</v>
      </c>
      <c r="AC41" s="22">
        <f t="shared" si="54"/>
        <v>0</v>
      </c>
      <c r="AD41" s="22">
        <f t="shared" si="54"/>
        <v>0</v>
      </c>
      <c r="AE41" s="22">
        <f t="shared" si="54"/>
        <v>0</v>
      </c>
      <c r="AF41" s="22">
        <f t="shared" si="54"/>
        <v>0</v>
      </c>
      <c r="AG41" s="22">
        <f t="shared" si="54"/>
        <v>0</v>
      </c>
      <c r="AH41" s="22">
        <f t="shared" si="54"/>
        <v>0</v>
      </c>
      <c r="AI41" s="22">
        <f t="shared" si="54"/>
        <v>0</v>
      </c>
      <c r="AJ41" s="22">
        <f t="shared" si="54"/>
        <v>0</v>
      </c>
      <c r="AK41" s="22">
        <f t="shared" si="54"/>
        <v>0</v>
      </c>
    </row>
    <row r="42" spans="1:37" x14ac:dyDescent="0.2">
      <c r="A42" s="8" t="str">
        <f>A7</f>
        <v>Nombre Jurisdicción</v>
      </c>
      <c r="B42" s="8" t="str">
        <f>B7</f>
        <v>Nombre Sector</v>
      </c>
      <c r="C42" s="8">
        <f t="shared" ref="C42" si="55">C7</f>
        <v>0</v>
      </c>
      <c r="D42" s="9"/>
      <c r="E42" s="8"/>
      <c r="F42" s="9"/>
      <c r="G42" s="14"/>
      <c r="H42" s="21">
        <f t="shared" ref="H42:AK42" si="56">H7*0.1</f>
        <v>0</v>
      </c>
      <c r="I42" s="21">
        <f t="shared" si="56"/>
        <v>0</v>
      </c>
      <c r="J42" s="21">
        <f t="shared" si="56"/>
        <v>0</v>
      </c>
      <c r="K42" s="21">
        <f t="shared" si="56"/>
        <v>0</v>
      </c>
      <c r="L42" s="21">
        <f t="shared" si="56"/>
        <v>0</v>
      </c>
      <c r="M42" s="21">
        <f t="shared" si="56"/>
        <v>0</v>
      </c>
      <c r="N42" s="21">
        <f t="shared" si="56"/>
        <v>0</v>
      </c>
      <c r="O42" s="21">
        <f t="shared" si="56"/>
        <v>0</v>
      </c>
      <c r="P42" s="21">
        <f t="shared" si="56"/>
        <v>0</v>
      </c>
      <c r="Q42" s="21">
        <f t="shared" si="56"/>
        <v>0</v>
      </c>
      <c r="R42" s="21">
        <f t="shared" si="56"/>
        <v>0</v>
      </c>
      <c r="S42" s="21">
        <f t="shared" si="56"/>
        <v>0</v>
      </c>
      <c r="T42" s="21">
        <f t="shared" si="56"/>
        <v>0</v>
      </c>
      <c r="U42" s="21">
        <f t="shared" si="56"/>
        <v>0</v>
      </c>
      <c r="V42" s="21">
        <f t="shared" si="56"/>
        <v>0</v>
      </c>
      <c r="W42" s="21">
        <f t="shared" si="56"/>
        <v>0</v>
      </c>
      <c r="X42" s="21">
        <f t="shared" si="56"/>
        <v>0</v>
      </c>
      <c r="Y42" s="21">
        <f t="shared" si="56"/>
        <v>0</v>
      </c>
      <c r="Z42" s="21">
        <f t="shared" si="56"/>
        <v>0</v>
      </c>
      <c r="AA42" s="21">
        <f t="shared" si="56"/>
        <v>0</v>
      </c>
      <c r="AB42" s="21">
        <f t="shared" si="56"/>
        <v>0</v>
      </c>
      <c r="AC42" s="21">
        <f t="shared" si="56"/>
        <v>0</v>
      </c>
      <c r="AD42" s="21">
        <f t="shared" si="56"/>
        <v>0</v>
      </c>
      <c r="AE42" s="21">
        <f t="shared" si="56"/>
        <v>0</v>
      </c>
      <c r="AF42" s="21">
        <f t="shared" si="56"/>
        <v>0</v>
      </c>
      <c r="AG42" s="21">
        <f t="shared" si="56"/>
        <v>0</v>
      </c>
      <c r="AH42" s="21">
        <f t="shared" si="56"/>
        <v>0</v>
      </c>
      <c r="AI42" s="21">
        <f t="shared" si="56"/>
        <v>0</v>
      </c>
      <c r="AJ42" s="21">
        <f t="shared" si="56"/>
        <v>0</v>
      </c>
      <c r="AK42" s="21">
        <f t="shared" si="56"/>
        <v>0</v>
      </c>
    </row>
    <row r="43" spans="1:37" x14ac:dyDescent="0.2">
      <c r="A43" s="10" t="str">
        <f>A8</f>
        <v>Nombre Jurisdicción</v>
      </c>
      <c r="B43" s="10" t="str">
        <f>B8</f>
        <v>Nombre Sector</v>
      </c>
      <c r="C43" s="10">
        <f t="shared" ref="C43" si="57">C8</f>
        <v>0</v>
      </c>
      <c r="D43" s="11"/>
      <c r="E43" s="10"/>
      <c r="F43" s="11"/>
      <c r="G43" s="15"/>
      <c r="H43" s="22">
        <f t="shared" ref="H43:AK43" si="58">H8*0.1</f>
        <v>0</v>
      </c>
      <c r="I43" s="22">
        <f t="shared" si="58"/>
        <v>0</v>
      </c>
      <c r="J43" s="22">
        <f t="shared" si="58"/>
        <v>0</v>
      </c>
      <c r="K43" s="22">
        <f t="shared" si="58"/>
        <v>0</v>
      </c>
      <c r="L43" s="22">
        <f t="shared" si="58"/>
        <v>0</v>
      </c>
      <c r="M43" s="22">
        <f t="shared" si="58"/>
        <v>0</v>
      </c>
      <c r="N43" s="22">
        <f t="shared" si="58"/>
        <v>0</v>
      </c>
      <c r="O43" s="22">
        <f t="shared" si="58"/>
        <v>0</v>
      </c>
      <c r="P43" s="22">
        <f t="shared" si="58"/>
        <v>0</v>
      </c>
      <c r="Q43" s="22">
        <f t="shared" si="58"/>
        <v>0</v>
      </c>
      <c r="R43" s="22">
        <f t="shared" si="58"/>
        <v>0</v>
      </c>
      <c r="S43" s="22">
        <f t="shared" si="58"/>
        <v>0</v>
      </c>
      <c r="T43" s="22">
        <f t="shared" si="58"/>
        <v>0</v>
      </c>
      <c r="U43" s="22">
        <f t="shared" si="58"/>
        <v>0</v>
      </c>
      <c r="V43" s="22">
        <f t="shared" si="58"/>
        <v>0</v>
      </c>
      <c r="W43" s="22">
        <f t="shared" si="58"/>
        <v>0</v>
      </c>
      <c r="X43" s="22">
        <f t="shared" si="58"/>
        <v>0</v>
      </c>
      <c r="Y43" s="22">
        <f t="shared" si="58"/>
        <v>0</v>
      </c>
      <c r="Z43" s="22">
        <f t="shared" si="58"/>
        <v>0</v>
      </c>
      <c r="AA43" s="22">
        <f t="shared" si="58"/>
        <v>0</v>
      </c>
      <c r="AB43" s="22">
        <f t="shared" si="58"/>
        <v>0</v>
      </c>
      <c r="AC43" s="22">
        <f t="shared" si="58"/>
        <v>0</v>
      </c>
      <c r="AD43" s="22">
        <f t="shared" si="58"/>
        <v>0</v>
      </c>
      <c r="AE43" s="22">
        <f t="shared" si="58"/>
        <v>0</v>
      </c>
      <c r="AF43" s="22">
        <f t="shared" si="58"/>
        <v>0</v>
      </c>
      <c r="AG43" s="22">
        <f t="shared" si="58"/>
        <v>0</v>
      </c>
      <c r="AH43" s="22">
        <f t="shared" si="58"/>
        <v>0</v>
      </c>
      <c r="AI43" s="22">
        <f t="shared" si="58"/>
        <v>0</v>
      </c>
      <c r="AJ43" s="22">
        <f t="shared" si="58"/>
        <v>0</v>
      </c>
      <c r="AK43" s="22">
        <f t="shared" si="58"/>
        <v>0</v>
      </c>
    </row>
    <row r="44" spans="1:37" x14ac:dyDescent="0.2">
      <c r="A44" s="12" t="s">
        <v>1</v>
      </c>
      <c r="B44" s="12"/>
      <c r="C44" s="12"/>
      <c r="D44" s="13"/>
      <c r="E44" s="12"/>
      <c r="F44" s="13"/>
      <c r="G44" s="16"/>
      <c r="H44" s="13">
        <f>SUM(H38:H40)</f>
        <v>761424625.96702003</v>
      </c>
      <c r="I44" s="13">
        <f t="shared" ref="I44" si="59">SUM(I38:I40)</f>
        <v>1300507166.5568886</v>
      </c>
      <c r="J44" s="13">
        <f t="shared" ref="J44" si="60">SUM(J38:J40)</f>
        <v>713937228.10848522</v>
      </c>
      <c r="K44" s="13">
        <f t="shared" ref="K44" si="61">SUM(K38:K40)</f>
        <v>207840058.25895882</v>
      </c>
      <c r="L44" s="13">
        <f t="shared" ref="L44" si="62">SUM(L38:L40)</f>
        <v>100000000</v>
      </c>
      <c r="M44" s="13">
        <f t="shared" ref="M44" si="63">SUM(M38:M40)</f>
        <v>100000000</v>
      </c>
      <c r="N44" s="13">
        <f t="shared" ref="N44" si="64">SUM(N38:N40)</f>
        <v>100000000</v>
      </c>
      <c r="O44" s="13">
        <f t="shared" ref="O44" si="65">SUM(O38:O40)</f>
        <v>92256000</v>
      </c>
      <c r="P44" s="13">
        <f t="shared" ref="P44" si="66">SUM(P38:P40)</f>
        <v>92256000</v>
      </c>
      <c r="Q44" s="13">
        <f t="shared" ref="Q44" si="67">SUM(Q38:Q40)</f>
        <v>92256000</v>
      </c>
      <c r="R44" s="13">
        <f t="shared" ref="R44" si="68">SUM(R38:R40)</f>
        <v>0</v>
      </c>
      <c r="S44" s="13">
        <f t="shared" ref="S44" si="69">SUM(S38:S40)</f>
        <v>0</v>
      </c>
      <c r="T44" s="13">
        <f t="shared" ref="T44" si="70">SUM(T38:T40)</f>
        <v>0</v>
      </c>
      <c r="U44" s="13">
        <f t="shared" ref="U44" si="71">SUM(U38:U40)</f>
        <v>0</v>
      </c>
      <c r="V44" s="13">
        <f t="shared" ref="V44" si="72">SUM(V38:V40)</f>
        <v>0</v>
      </c>
      <c r="W44" s="13">
        <f t="shared" ref="W44" si="73">SUM(W38:W40)</f>
        <v>0</v>
      </c>
      <c r="X44" s="13">
        <f t="shared" ref="X44" si="74">SUM(X38:X40)</f>
        <v>0</v>
      </c>
      <c r="Y44" s="13">
        <f t="shared" ref="Y44" si="75">SUM(Y38:Y40)</f>
        <v>0</v>
      </c>
      <c r="Z44" s="13">
        <f t="shared" ref="Z44" si="76">SUM(Z38:Z40)</f>
        <v>0</v>
      </c>
      <c r="AA44" s="13">
        <f t="shared" ref="AA44" si="77">SUM(AA38:AA40)</f>
        <v>0</v>
      </c>
      <c r="AB44" s="13">
        <f t="shared" ref="AB44" si="78">SUM(AB38:AB40)</f>
        <v>0</v>
      </c>
      <c r="AC44" s="13">
        <f t="shared" ref="AC44" si="79">SUM(AC38:AC40)</f>
        <v>0</v>
      </c>
      <c r="AD44" s="13">
        <f t="shared" ref="AD44" si="80">SUM(AD38:AD40)</f>
        <v>0</v>
      </c>
      <c r="AE44" s="13">
        <f t="shared" ref="AE44" si="81">SUM(AE38:AE40)</f>
        <v>0</v>
      </c>
      <c r="AF44" s="13">
        <f t="shared" ref="AF44" si="82">SUM(AF38:AF40)</f>
        <v>0</v>
      </c>
      <c r="AG44" s="13">
        <f t="shared" ref="AG44" si="83">SUM(AG38:AG40)</f>
        <v>0</v>
      </c>
      <c r="AH44" s="13">
        <f t="shared" ref="AH44" si="84">SUM(AH38:AH40)</f>
        <v>0</v>
      </c>
      <c r="AI44" s="13">
        <f t="shared" ref="AI44" si="85">SUM(AI38:AI40)</f>
        <v>0</v>
      </c>
      <c r="AJ44" s="13">
        <f t="shared" ref="AJ44" si="86">SUM(AJ38:AJ40)</f>
        <v>0</v>
      </c>
      <c r="AK44" s="13">
        <f t="shared" ref="AK44" si="87">SUM(AK38:AK40)</f>
        <v>0</v>
      </c>
    </row>
    <row r="46" spans="1:37" x14ac:dyDescent="0.2">
      <c r="A46" s="17" t="s">
        <v>33</v>
      </c>
    </row>
    <row r="48" spans="1:37" x14ac:dyDescent="0.2">
      <c r="A48" t="s">
        <v>98</v>
      </c>
    </row>
    <row r="49" spans="1:37" x14ac:dyDescent="0.2">
      <c r="A49" t="s">
        <v>50</v>
      </c>
    </row>
    <row r="51" spans="1:37" x14ac:dyDescent="0.2">
      <c r="A51" s="17" t="s">
        <v>96</v>
      </c>
    </row>
    <row r="52" spans="1:37" x14ac:dyDescent="0.2">
      <c r="A52" s="17" t="s">
        <v>133</v>
      </c>
    </row>
    <row r="53" spans="1:37" x14ac:dyDescent="0.2">
      <c r="A53" s="6" t="s">
        <v>28</v>
      </c>
      <c r="B53" s="6" t="s">
        <v>29</v>
      </c>
      <c r="C53" s="6" t="s">
        <v>30</v>
      </c>
      <c r="D53" s="7"/>
      <c r="E53" s="7"/>
      <c r="F53" s="7"/>
      <c r="G53" s="7"/>
      <c r="H53" s="6">
        <v>2024</v>
      </c>
      <c r="I53" s="6">
        <v>2025</v>
      </c>
      <c r="J53" s="6">
        <v>2026</v>
      </c>
      <c r="K53" s="6">
        <v>2027</v>
      </c>
      <c r="L53" s="6">
        <v>2028</v>
      </c>
      <c r="M53" s="6">
        <v>2029</v>
      </c>
      <c r="N53" s="6">
        <v>2030</v>
      </c>
      <c r="O53" s="6">
        <v>2031</v>
      </c>
      <c r="P53" s="6">
        <v>2032</v>
      </c>
      <c r="Q53" s="6">
        <v>2033</v>
      </c>
      <c r="R53" s="50">
        <v>2034</v>
      </c>
      <c r="S53" s="50">
        <v>2035</v>
      </c>
      <c r="T53" s="50">
        <v>2036</v>
      </c>
      <c r="U53" s="50">
        <v>2037</v>
      </c>
      <c r="V53" s="50">
        <v>2038</v>
      </c>
      <c r="W53" s="50">
        <v>2039</v>
      </c>
      <c r="X53" s="50">
        <v>2040</v>
      </c>
      <c r="Y53" s="50">
        <v>2041</v>
      </c>
      <c r="Z53" s="50">
        <v>2042</v>
      </c>
      <c r="AA53" s="50">
        <v>2043</v>
      </c>
      <c r="AB53" s="50">
        <v>2044</v>
      </c>
      <c r="AC53" s="50">
        <v>2045</v>
      </c>
      <c r="AD53" s="50">
        <v>2046</v>
      </c>
      <c r="AE53" s="50">
        <v>2047</v>
      </c>
      <c r="AF53" s="50">
        <v>2048</v>
      </c>
      <c r="AG53" s="50">
        <v>2049</v>
      </c>
      <c r="AH53" s="50">
        <v>2050</v>
      </c>
      <c r="AI53" s="50">
        <v>2051</v>
      </c>
      <c r="AJ53" s="50">
        <v>2052</v>
      </c>
      <c r="AK53" s="50">
        <v>2053</v>
      </c>
    </row>
    <row r="54" spans="1:37" x14ac:dyDescent="0.2">
      <c r="A54" s="8" t="str">
        <f>A38</f>
        <v>Nombre Jurisdicción</v>
      </c>
      <c r="B54" s="8" t="str">
        <f t="shared" ref="B54:C54" si="88">B38</f>
        <v>Nombre Sector</v>
      </c>
      <c r="C54" s="8" t="str">
        <f t="shared" si="88"/>
        <v>Nombre UdM 1</v>
      </c>
      <c r="D54" s="9"/>
      <c r="E54" s="8"/>
      <c r="F54" s="9"/>
      <c r="G54" s="14"/>
      <c r="H54" s="9">
        <f>(H38*(H$22/100))</f>
        <v>394444800</v>
      </c>
      <c r="I54" s="9">
        <f t="shared" ref="I54:Y54" si="89">(I38*(I$22/100))</f>
        <v>397848232.25893134</v>
      </c>
      <c r="J54" s="9">
        <f t="shared" si="89"/>
        <v>247050242.21779883</v>
      </c>
      <c r="K54" s="9">
        <f t="shared" si="89"/>
        <v>195955952.5978232</v>
      </c>
      <c r="L54" s="9">
        <f t="shared" si="89"/>
        <v>103369074.73225607</v>
      </c>
      <c r="M54" s="9">
        <f t="shared" si="89"/>
        <v>104177045.96667592</v>
      </c>
      <c r="N54" s="9">
        <f t="shared" si="89"/>
        <v>104970769.6206827</v>
      </c>
      <c r="O54" s="9">
        <f t="shared" si="89"/>
        <v>97561201.477167726</v>
      </c>
      <c r="P54" s="9">
        <f t="shared" si="89"/>
        <v>98267974.305659384</v>
      </c>
      <c r="Q54" s="9">
        <f t="shared" si="89"/>
        <v>98961975.300185531</v>
      </c>
      <c r="R54" s="9">
        <f t="shared" si="89"/>
        <v>0</v>
      </c>
      <c r="S54" s="9">
        <f t="shared" si="89"/>
        <v>0</v>
      </c>
      <c r="T54" s="9">
        <f t="shared" si="89"/>
        <v>0</v>
      </c>
      <c r="U54" s="9">
        <f t="shared" si="89"/>
        <v>0</v>
      </c>
      <c r="V54" s="9">
        <f t="shared" si="89"/>
        <v>0</v>
      </c>
      <c r="W54" s="9">
        <f t="shared" si="89"/>
        <v>0</v>
      </c>
      <c r="X54" s="9">
        <f t="shared" si="89"/>
        <v>0</v>
      </c>
      <c r="Y54" s="9">
        <f t="shared" si="89"/>
        <v>0</v>
      </c>
      <c r="Z54" s="9">
        <f t="shared" ref="Z54:AK54" si="90">(Z38*(Z$22/100))</f>
        <v>0</v>
      </c>
      <c r="AA54" s="9">
        <f t="shared" si="90"/>
        <v>0</v>
      </c>
      <c r="AB54" s="9">
        <f t="shared" si="90"/>
        <v>0</v>
      </c>
      <c r="AC54" s="9">
        <f t="shared" si="90"/>
        <v>0</v>
      </c>
      <c r="AD54" s="9">
        <f t="shared" si="90"/>
        <v>0</v>
      </c>
      <c r="AE54" s="9">
        <f t="shared" si="90"/>
        <v>0</v>
      </c>
      <c r="AF54" s="9">
        <f t="shared" si="90"/>
        <v>0</v>
      </c>
      <c r="AG54" s="9">
        <f t="shared" si="90"/>
        <v>0</v>
      </c>
      <c r="AH54" s="9">
        <f t="shared" si="90"/>
        <v>0</v>
      </c>
      <c r="AI54" s="9">
        <f t="shared" si="90"/>
        <v>0</v>
      </c>
      <c r="AJ54" s="9">
        <f t="shared" si="90"/>
        <v>0</v>
      </c>
      <c r="AK54" s="9">
        <f t="shared" si="90"/>
        <v>0</v>
      </c>
    </row>
    <row r="55" spans="1:37" x14ac:dyDescent="0.2">
      <c r="A55" s="10" t="str">
        <f t="shared" ref="A55:C55" si="91">A39</f>
        <v>Nombre Jurisdicción</v>
      </c>
      <c r="B55" s="10" t="str">
        <f t="shared" si="91"/>
        <v>Nombre Sector</v>
      </c>
      <c r="C55" s="10" t="str">
        <f t="shared" si="91"/>
        <v>Nombre UdM 2</v>
      </c>
      <c r="D55" s="11"/>
      <c r="E55" s="10"/>
      <c r="F55" s="11"/>
      <c r="G55" s="15"/>
      <c r="H55" s="11">
        <f>(H39*(H$22/100))</f>
        <v>276104231.61969745</v>
      </c>
      <c r="I55" s="11">
        <f t="shared" ref="I55:Y55" si="92">(I39*(I$22/100))</f>
        <v>296184933.59637731</v>
      </c>
      <c r="J55" s="11">
        <f t="shared" si="92"/>
        <v>447709781.7064355</v>
      </c>
      <c r="K55" s="11">
        <f t="shared" si="92"/>
        <v>0</v>
      </c>
      <c r="L55" s="11">
        <f t="shared" si="92"/>
        <v>0</v>
      </c>
      <c r="M55" s="11">
        <f t="shared" si="92"/>
        <v>0</v>
      </c>
      <c r="N55" s="11">
        <f t="shared" si="92"/>
        <v>0</v>
      </c>
      <c r="O55" s="11">
        <f t="shared" si="92"/>
        <v>0</v>
      </c>
      <c r="P55" s="11">
        <f t="shared" si="92"/>
        <v>0</v>
      </c>
      <c r="Q55" s="11">
        <f t="shared" si="92"/>
        <v>0</v>
      </c>
      <c r="R55" s="11">
        <f t="shared" si="92"/>
        <v>0</v>
      </c>
      <c r="S55" s="11">
        <f t="shared" si="92"/>
        <v>0</v>
      </c>
      <c r="T55" s="11">
        <f t="shared" si="92"/>
        <v>0</v>
      </c>
      <c r="U55" s="11">
        <f t="shared" si="92"/>
        <v>0</v>
      </c>
      <c r="V55" s="11">
        <f t="shared" si="92"/>
        <v>0</v>
      </c>
      <c r="W55" s="11">
        <f t="shared" si="92"/>
        <v>0</v>
      </c>
      <c r="X55" s="11">
        <f t="shared" si="92"/>
        <v>0</v>
      </c>
      <c r="Y55" s="11">
        <f t="shared" si="92"/>
        <v>0</v>
      </c>
      <c r="Z55" s="11">
        <f t="shared" ref="Z55:AK55" si="93">(Z39*(Z$22/100))</f>
        <v>0</v>
      </c>
      <c r="AA55" s="11">
        <f t="shared" si="93"/>
        <v>0</v>
      </c>
      <c r="AB55" s="11">
        <f t="shared" si="93"/>
        <v>0</v>
      </c>
      <c r="AC55" s="11">
        <f t="shared" si="93"/>
        <v>0</v>
      </c>
      <c r="AD55" s="11">
        <f t="shared" si="93"/>
        <v>0</v>
      </c>
      <c r="AE55" s="11">
        <f t="shared" si="93"/>
        <v>0</v>
      </c>
      <c r="AF55" s="11">
        <f t="shared" si="93"/>
        <v>0</v>
      </c>
      <c r="AG55" s="11">
        <f t="shared" si="93"/>
        <v>0</v>
      </c>
      <c r="AH55" s="11">
        <f t="shared" si="93"/>
        <v>0</v>
      </c>
      <c r="AI55" s="11">
        <f t="shared" si="93"/>
        <v>0</v>
      </c>
      <c r="AJ55" s="11">
        <f t="shared" si="93"/>
        <v>0</v>
      </c>
      <c r="AK55" s="11">
        <f t="shared" si="93"/>
        <v>0</v>
      </c>
    </row>
    <row r="56" spans="1:37" x14ac:dyDescent="0.2">
      <c r="A56" s="8" t="str">
        <f t="shared" ref="A56:C56" si="94">A40</f>
        <v>Nombre Jurisdicción</v>
      </c>
      <c r="B56" s="8" t="str">
        <f t="shared" si="94"/>
        <v>Nombre Sector</v>
      </c>
      <c r="C56" s="8" t="str">
        <f t="shared" si="94"/>
        <v>Nombre UdM 3</v>
      </c>
      <c r="D56" s="9"/>
      <c r="E56" s="8"/>
      <c r="F56" s="9"/>
      <c r="G56" s="14"/>
      <c r="H56" s="9">
        <f>(H40*(H$22/100))</f>
        <v>90875594.347322553</v>
      </c>
      <c r="I56" s="9">
        <f t="shared" ref="I56:Y56" si="95">(I40*(I$22/100))</f>
        <v>617695312.38734972</v>
      </c>
      <c r="J56" s="9">
        <f t="shared" si="95"/>
        <v>31397215.534922786</v>
      </c>
      <c r="K56" s="9">
        <f t="shared" si="95"/>
        <v>17178101.860470861</v>
      </c>
      <c r="L56" s="9">
        <f t="shared" si="95"/>
        <v>0</v>
      </c>
      <c r="M56" s="9">
        <f t="shared" si="95"/>
        <v>0</v>
      </c>
      <c r="N56" s="9">
        <f t="shared" si="95"/>
        <v>0</v>
      </c>
      <c r="O56" s="9">
        <f t="shared" si="95"/>
        <v>0</v>
      </c>
      <c r="P56" s="9">
        <f t="shared" si="95"/>
        <v>0</v>
      </c>
      <c r="Q56" s="9">
        <f t="shared" si="95"/>
        <v>0</v>
      </c>
      <c r="R56" s="9">
        <f t="shared" si="95"/>
        <v>0</v>
      </c>
      <c r="S56" s="9">
        <f t="shared" si="95"/>
        <v>0</v>
      </c>
      <c r="T56" s="9">
        <f t="shared" si="95"/>
        <v>0</v>
      </c>
      <c r="U56" s="9">
        <f t="shared" si="95"/>
        <v>0</v>
      </c>
      <c r="V56" s="9">
        <f t="shared" si="95"/>
        <v>0</v>
      </c>
      <c r="W56" s="9">
        <f t="shared" si="95"/>
        <v>0</v>
      </c>
      <c r="X56" s="9">
        <f t="shared" si="95"/>
        <v>0</v>
      </c>
      <c r="Y56" s="9">
        <f t="shared" si="95"/>
        <v>0</v>
      </c>
      <c r="Z56" s="9">
        <f t="shared" ref="Z56:AK56" si="96">(Z40*(Z$22/100))</f>
        <v>0</v>
      </c>
      <c r="AA56" s="9">
        <f t="shared" si="96"/>
        <v>0</v>
      </c>
      <c r="AB56" s="9">
        <f t="shared" si="96"/>
        <v>0</v>
      </c>
      <c r="AC56" s="9">
        <f t="shared" si="96"/>
        <v>0</v>
      </c>
      <c r="AD56" s="9">
        <f t="shared" si="96"/>
        <v>0</v>
      </c>
      <c r="AE56" s="9">
        <f t="shared" si="96"/>
        <v>0</v>
      </c>
      <c r="AF56" s="9">
        <f t="shared" si="96"/>
        <v>0</v>
      </c>
      <c r="AG56" s="9">
        <f t="shared" si="96"/>
        <v>0</v>
      </c>
      <c r="AH56" s="9">
        <f t="shared" si="96"/>
        <v>0</v>
      </c>
      <c r="AI56" s="9">
        <f t="shared" si="96"/>
        <v>0</v>
      </c>
      <c r="AJ56" s="9">
        <f t="shared" si="96"/>
        <v>0</v>
      </c>
      <c r="AK56" s="9">
        <f t="shared" si="96"/>
        <v>0</v>
      </c>
    </row>
    <row r="57" spans="1:37" x14ac:dyDescent="0.2">
      <c r="A57" s="10" t="str">
        <f t="shared" ref="A57:C57" si="97">A41</f>
        <v>Nombre Jurisdicción</v>
      </c>
      <c r="B57" s="10" t="str">
        <f t="shared" si="97"/>
        <v>Nombre Sector</v>
      </c>
      <c r="C57" s="10">
        <f t="shared" si="97"/>
        <v>0</v>
      </c>
      <c r="D57" s="11"/>
      <c r="E57" s="10"/>
      <c r="F57" s="11"/>
      <c r="G57" s="15"/>
      <c r="H57" s="11">
        <f t="shared" ref="H57:Y57" si="98">(H41*(H$22/100))</f>
        <v>0</v>
      </c>
      <c r="I57" s="11">
        <f t="shared" si="98"/>
        <v>0</v>
      </c>
      <c r="J57" s="11">
        <f t="shared" si="98"/>
        <v>0</v>
      </c>
      <c r="K57" s="11">
        <f t="shared" si="98"/>
        <v>0</v>
      </c>
      <c r="L57" s="11">
        <f t="shared" si="98"/>
        <v>0</v>
      </c>
      <c r="M57" s="11">
        <f t="shared" si="98"/>
        <v>0</v>
      </c>
      <c r="N57" s="11">
        <f t="shared" si="98"/>
        <v>0</v>
      </c>
      <c r="O57" s="11">
        <f t="shared" si="98"/>
        <v>0</v>
      </c>
      <c r="P57" s="11">
        <f t="shared" si="98"/>
        <v>0</v>
      </c>
      <c r="Q57" s="11">
        <f t="shared" si="98"/>
        <v>0</v>
      </c>
      <c r="R57" s="11">
        <f t="shared" si="98"/>
        <v>0</v>
      </c>
      <c r="S57" s="11">
        <f t="shared" si="98"/>
        <v>0</v>
      </c>
      <c r="T57" s="11">
        <f t="shared" si="98"/>
        <v>0</v>
      </c>
      <c r="U57" s="11">
        <f t="shared" si="98"/>
        <v>0</v>
      </c>
      <c r="V57" s="11">
        <f t="shared" si="98"/>
        <v>0</v>
      </c>
      <c r="W57" s="11">
        <f t="shared" si="98"/>
        <v>0</v>
      </c>
      <c r="X57" s="11">
        <f t="shared" si="98"/>
        <v>0</v>
      </c>
      <c r="Y57" s="11">
        <f t="shared" si="98"/>
        <v>0</v>
      </c>
      <c r="Z57" s="11">
        <f t="shared" ref="Z57:AK57" si="99">(Z41*(Z$22/100))</f>
        <v>0</v>
      </c>
      <c r="AA57" s="11">
        <f t="shared" si="99"/>
        <v>0</v>
      </c>
      <c r="AB57" s="11">
        <f t="shared" si="99"/>
        <v>0</v>
      </c>
      <c r="AC57" s="11">
        <f t="shared" si="99"/>
        <v>0</v>
      </c>
      <c r="AD57" s="11">
        <f t="shared" si="99"/>
        <v>0</v>
      </c>
      <c r="AE57" s="11">
        <f t="shared" si="99"/>
        <v>0</v>
      </c>
      <c r="AF57" s="11">
        <f t="shared" si="99"/>
        <v>0</v>
      </c>
      <c r="AG57" s="11">
        <f t="shared" si="99"/>
        <v>0</v>
      </c>
      <c r="AH57" s="11">
        <f t="shared" si="99"/>
        <v>0</v>
      </c>
      <c r="AI57" s="11">
        <f t="shared" si="99"/>
        <v>0</v>
      </c>
      <c r="AJ57" s="11">
        <f t="shared" si="99"/>
        <v>0</v>
      </c>
      <c r="AK57" s="11">
        <f t="shared" si="99"/>
        <v>0</v>
      </c>
    </row>
    <row r="58" spans="1:37" x14ac:dyDescent="0.2">
      <c r="A58" s="8" t="str">
        <f t="shared" ref="A58:C58" si="100">A42</f>
        <v>Nombre Jurisdicción</v>
      </c>
      <c r="B58" s="8" t="str">
        <f t="shared" si="100"/>
        <v>Nombre Sector</v>
      </c>
      <c r="C58" s="8">
        <f t="shared" si="100"/>
        <v>0</v>
      </c>
      <c r="D58" s="9"/>
      <c r="E58" s="8"/>
      <c r="F58" s="9"/>
      <c r="G58" s="14"/>
      <c r="H58" s="9">
        <f t="shared" ref="H58:Y58" si="101">(H42*(H$22/100))</f>
        <v>0</v>
      </c>
      <c r="I58" s="9">
        <f t="shared" si="101"/>
        <v>0</v>
      </c>
      <c r="J58" s="9">
        <f t="shared" si="101"/>
        <v>0</v>
      </c>
      <c r="K58" s="9">
        <f t="shared" si="101"/>
        <v>0</v>
      </c>
      <c r="L58" s="9">
        <f t="shared" si="101"/>
        <v>0</v>
      </c>
      <c r="M58" s="9">
        <f t="shared" si="101"/>
        <v>0</v>
      </c>
      <c r="N58" s="9">
        <f t="shared" si="101"/>
        <v>0</v>
      </c>
      <c r="O58" s="9">
        <f t="shared" si="101"/>
        <v>0</v>
      </c>
      <c r="P58" s="9">
        <f t="shared" si="101"/>
        <v>0</v>
      </c>
      <c r="Q58" s="9">
        <f t="shared" si="101"/>
        <v>0</v>
      </c>
      <c r="R58" s="9">
        <f t="shared" si="101"/>
        <v>0</v>
      </c>
      <c r="S58" s="9">
        <f t="shared" si="101"/>
        <v>0</v>
      </c>
      <c r="T58" s="9">
        <f t="shared" si="101"/>
        <v>0</v>
      </c>
      <c r="U58" s="9">
        <f t="shared" si="101"/>
        <v>0</v>
      </c>
      <c r="V58" s="9">
        <f t="shared" si="101"/>
        <v>0</v>
      </c>
      <c r="W58" s="9">
        <f t="shared" si="101"/>
        <v>0</v>
      </c>
      <c r="X58" s="9">
        <f t="shared" si="101"/>
        <v>0</v>
      </c>
      <c r="Y58" s="9">
        <f t="shared" si="101"/>
        <v>0</v>
      </c>
      <c r="Z58" s="9">
        <f t="shared" ref="Z58:AK58" si="102">(Z42*(Z$22/100))</f>
        <v>0</v>
      </c>
      <c r="AA58" s="9">
        <f t="shared" si="102"/>
        <v>0</v>
      </c>
      <c r="AB58" s="9">
        <f t="shared" si="102"/>
        <v>0</v>
      </c>
      <c r="AC58" s="9">
        <f t="shared" si="102"/>
        <v>0</v>
      </c>
      <c r="AD58" s="9">
        <f t="shared" si="102"/>
        <v>0</v>
      </c>
      <c r="AE58" s="9">
        <f t="shared" si="102"/>
        <v>0</v>
      </c>
      <c r="AF58" s="9">
        <f t="shared" si="102"/>
        <v>0</v>
      </c>
      <c r="AG58" s="9">
        <f t="shared" si="102"/>
        <v>0</v>
      </c>
      <c r="AH58" s="9">
        <f t="shared" si="102"/>
        <v>0</v>
      </c>
      <c r="AI58" s="9">
        <f t="shared" si="102"/>
        <v>0</v>
      </c>
      <c r="AJ58" s="9">
        <f t="shared" si="102"/>
        <v>0</v>
      </c>
      <c r="AK58" s="9">
        <f t="shared" si="102"/>
        <v>0</v>
      </c>
    </row>
    <row r="59" spans="1:37" x14ac:dyDescent="0.2">
      <c r="A59" s="10" t="str">
        <f t="shared" ref="A59:C59" si="103">A43</f>
        <v>Nombre Jurisdicción</v>
      </c>
      <c r="B59" s="10" t="str">
        <f t="shared" si="103"/>
        <v>Nombre Sector</v>
      </c>
      <c r="C59" s="10">
        <f t="shared" si="103"/>
        <v>0</v>
      </c>
      <c r="D59" s="11"/>
      <c r="E59" s="10"/>
      <c r="F59" s="11"/>
      <c r="G59" s="15"/>
      <c r="H59" s="11">
        <f t="shared" ref="H59:Y59" si="104">(H43*(H$22/100))</f>
        <v>0</v>
      </c>
      <c r="I59" s="11">
        <f t="shared" si="104"/>
        <v>0</v>
      </c>
      <c r="J59" s="11">
        <f t="shared" si="104"/>
        <v>0</v>
      </c>
      <c r="K59" s="11">
        <f t="shared" si="104"/>
        <v>0</v>
      </c>
      <c r="L59" s="11">
        <f t="shared" si="104"/>
        <v>0</v>
      </c>
      <c r="M59" s="11">
        <f t="shared" si="104"/>
        <v>0</v>
      </c>
      <c r="N59" s="11">
        <f t="shared" si="104"/>
        <v>0</v>
      </c>
      <c r="O59" s="11">
        <f t="shared" si="104"/>
        <v>0</v>
      </c>
      <c r="P59" s="11">
        <f t="shared" si="104"/>
        <v>0</v>
      </c>
      <c r="Q59" s="11">
        <f t="shared" si="104"/>
        <v>0</v>
      </c>
      <c r="R59" s="11">
        <f t="shared" si="104"/>
        <v>0</v>
      </c>
      <c r="S59" s="11">
        <f t="shared" si="104"/>
        <v>0</v>
      </c>
      <c r="T59" s="11">
        <f t="shared" si="104"/>
        <v>0</v>
      </c>
      <c r="U59" s="11">
        <f t="shared" si="104"/>
        <v>0</v>
      </c>
      <c r="V59" s="11">
        <f t="shared" si="104"/>
        <v>0</v>
      </c>
      <c r="W59" s="11">
        <f t="shared" si="104"/>
        <v>0</v>
      </c>
      <c r="X59" s="11">
        <f t="shared" si="104"/>
        <v>0</v>
      </c>
      <c r="Y59" s="11">
        <f t="shared" si="104"/>
        <v>0</v>
      </c>
      <c r="Z59" s="11">
        <f t="shared" ref="Z59:AK59" si="105">(Z43*(Z$22/100))</f>
        <v>0</v>
      </c>
      <c r="AA59" s="11">
        <f t="shared" si="105"/>
        <v>0</v>
      </c>
      <c r="AB59" s="11">
        <f t="shared" si="105"/>
        <v>0</v>
      </c>
      <c r="AC59" s="11">
        <f t="shared" si="105"/>
        <v>0</v>
      </c>
      <c r="AD59" s="11">
        <f t="shared" si="105"/>
        <v>0</v>
      </c>
      <c r="AE59" s="11">
        <f t="shared" si="105"/>
        <v>0</v>
      </c>
      <c r="AF59" s="11">
        <f t="shared" si="105"/>
        <v>0</v>
      </c>
      <c r="AG59" s="11">
        <f t="shared" si="105"/>
        <v>0</v>
      </c>
      <c r="AH59" s="11">
        <f t="shared" si="105"/>
        <v>0</v>
      </c>
      <c r="AI59" s="11">
        <f t="shared" si="105"/>
        <v>0</v>
      </c>
      <c r="AJ59" s="11">
        <f t="shared" si="105"/>
        <v>0</v>
      </c>
      <c r="AK59" s="11">
        <f t="shared" si="105"/>
        <v>0</v>
      </c>
    </row>
    <row r="60" spans="1:37" x14ac:dyDescent="0.2">
      <c r="A60" s="12" t="s">
        <v>1</v>
      </c>
      <c r="B60" s="12"/>
      <c r="C60" s="12"/>
      <c r="D60" s="13"/>
      <c r="E60" s="12"/>
      <c r="F60" s="13"/>
      <c r="G60" s="16"/>
      <c r="H60" s="13">
        <f>SUM(H54:H56)</f>
        <v>761424625.96702003</v>
      </c>
      <c r="I60" s="13">
        <f t="shared" ref="I60" si="106">SUM(I54:I56)</f>
        <v>1311728478.2426584</v>
      </c>
      <c r="J60" s="13">
        <f t="shared" ref="J60" si="107">SUM(J54:J56)</f>
        <v>726157239.45915723</v>
      </c>
      <c r="K60" s="13">
        <f t="shared" ref="K60" si="108">SUM(K54:K56)</f>
        <v>213134054.45829406</v>
      </c>
      <c r="L60" s="13">
        <f t="shared" ref="L60" si="109">SUM(L54:L56)</f>
        <v>103369074.73225607</v>
      </c>
      <c r="M60" s="13">
        <f t="shared" ref="M60" si="110">SUM(M54:M56)</f>
        <v>104177045.96667592</v>
      </c>
      <c r="N60" s="13">
        <f t="shared" ref="N60" si="111">SUM(N54:N56)</f>
        <v>104970769.6206827</v>
      </c>
      <c r="O60" s="13">
        <f t="shared" ref="O60" si="112">SUM(O54:O56)</f>
        <v>97561201.477167726</v>
      </c>
      <c r="P60" s="13">
        <f t="shared" ref="P60" si="113">SUM(P54:P56)</f>
        <v>98267974.305659384</v>
      </c>
      <c r="Q60" s="13">
        <f t="shared" ref="Q60" si="114">SUM(Q54:Q56)</f>
        <v>98961975.300185531</v>
      </c>
      <c r="R60" s="13">
        <f t="shared" ref="R60" si="115">SUM(R54:R56)</f>
        <v>0</v>
      </c>
      <c r="S60" s="13">
        <f t="shared" ref="S60" si="116">SUM(S54:S56)</f>
        <v>0</v>
      </c>
      <c r="T60" s="13">
        <f t="shared" ref="T60" si="117">SUM(T54:T56)</f>
        <v>0</v>
      </c>
      <c r="U60" s="13">
        <f t="shared" ref="U60" si="118">SUM(U54:U56)</f>
        <v>0</v>
      </c>
      <c r="V60" s="13">
        <f t="shared" ref="V60" si="119">SUM(V54:V56)</f>
        <v>0</v>
      </c>
      <c r="W60" s="13">
        <f t="shared" ref="W60" si="120">SUM(W54:W56)</f>
        <v>0</v>
      </c>
      <c r="X60" s="13">
        <f t="shared" ref="X60" si="121">SUM(X54:X56)</f>
        <v>0</v>
      </c>
      <c r="Y60" s="13">
        <f t="shared" ref="Y60" si="122">SUM(Y54:Y56)</f>
        <v>0</v>
      </c>
      <c r="Z60" s="13">
        <f t="shared" ref="Z60" si="123">SUM(Z54:Z56)</f>
        <v>0</v>
      </c>
      <c r="AA60" s="13">
        <f t="shared" ref="AA60" si="124">SUM(AA54:AA56)</f>
        <v>0</v>
      </c>
      <c r="AB60" s="13">
        <f t="shared" ref="AB60" si="125">SUM(AB54:AB56)</f>
        <v>0</v>
      </c>
      <c r="AC60" s="13">
        <f t="shared" ref="AC60" si="126">SUM(AC54:AC56)</f>
        <v>0</v>
      </c>
      <c r="AD60" s="13">
        <f t="shared" ref="AD60" si="127">SUM(AD54:AD56)</f>
        <v>0</v>
      </c>
      <c r="AE60" s="13">
        <f t="shared" ref="AE60" si="128">SUM(AE54:AE56)</f>
        <v>0</v>
      </c>
      <c r="AF60" s="13">
        <f t="shared" ref="AF60" si="129">SUM(AF54:AF56)</f>
        <v>0</v>
      </c>
      <c r="AG60" s="13">
        <f t="shared" ref="AG60" si="130">SUM(AG54:AG56)</f>
        <v>0</v>
      </c>
      <c r="AH60" s="13">
        <f t="shared" ref="AH60" si="131">SUM(AH54:AH56)</f>
        <v>0</v>
      </c>
      <c r="AI60" s="13">
        <f t="shared" ref="AI60" si="132">SUM(AI54:AI56)</f>
        <v>0</v>
      </c>
      <c r="AJ60" s="13">
        <f t="shared" ref="AJ60" si="133">SUM(AJ54:AJ56)</f>
        <v>0</v>
      </c>
      <c r="AK60" s="13">
        <f t="shared" ref="AK60" si="134">SUM(AK54:AK56)</f>
        <v>0</v>
      </c>
    </row>
    <row r="62" spans="1:37" x14ac:dyDescent="0.2">
      <c r="A62" s="17" t="s">
        <v>97</v>
      </c>
    </row>
    <row r="63" spans="1:37" x14ac:dyDescent="0.2">
      <c r="A63" s="17" t="s">
        <v>134</v>
      </c>
    </row>
    <row r="64" spans="1:37" ht="49.5" x14ac:dyDescent="0.2">
      <c r="A64" s="6" t="s">
        <v>28</v>
      </c>
      <c r="B64" s="6" t="s">
        <v>29</v>
      </c>
      <c r="C64" s="6" t="s">
        <v>30</v>
      </c>
      <c r="D64" s="53" t="s">
        <v>124</v>
      </c>
      <c r="E64" s="53" t="s">
        <v>125</v>
      </c>
      <c r="F64" s="7" t="s">
        <v>121</v>
      </c>
      <c r="G64" s="7" t="s">
        <v>122</v>
      </c>
      <c r="H64" s="6">
        <v>2024</v>
      </c>
      <c r="I64" s="6">
        <v>2025</v>
      </c>
      <c r="J64" s="6">
        <v>2026</v>
      </c>
      <c r="K64" s="6">
        <v>2027</v>
      </c>
      <c r="L64" s="6">
        <v>2028</v>
      </c>
      <c r="M64" s="6">
        <v>2029</v>
      </c>
      <c r="N64" s="6">
        <v>2030</v>
      </c>
      <c r="O64" s="6">
        <v>2031</v>
      </c>
      <c r="P64" s="6">
        <v>2032</v>
      </c>
      <c r="Q64" s="6">
        <v>2033</v>
      </c>
      <c r="R64" s="50">
        <v>2034</v>
      </c>
      <c r="S64" s="50">
        <v>2035</v>
      </c>
      <c r="T64" s="50">
        <v>2036</v>
      </c>
      <c r="U64" s="50">
        <v>2037</v>
      </c>
      <c r="V64" s="50">
        <v>2038</v>
      </c>
      <c r="W64" s="50">
        <v>2039</v>
      </c>
      <c r="X64" s="50">
        <v>2040</v>
      </c>
      <c r="Y64" s="50">
        <v>2041</v>
      </c>
      <c r="Z64" s="50">
        <v>2042</v>
      </c>
      <c r="AA64" s="50">
        <v>2043</v>
      </c>
      <c r="AB64" s="50">
        <v>2044</v>
      </c>
      <c r="AC64" s="50">
        <v>2045</v>
      </c>
      <c r="AD64" s="50">
        <v>2046</v>
      </c>
      <c r="AE64" s="50">
        <v>2047</v>
      </c>
      <c r="AF64" s="50">
        <v>2048</v>
      </c>
      <c r="AG64" s="50">
        <v>2049</v>
      </c>
      <c r="AH64" s="50">
        <v>2050</v>
      </c>
      <c r="AI64" s="50">
        <v>2051</v>
      </c>
      <c r="AJ64" s="50">
        <v>2052</v>
      </c>
      <c r="AK64" s="50">
        <v>2053</v>
      </c>
    </row>
    <row r="65" spans="1:37" x14ac:dyDescent="0.2">
      <c r="A65" s="8" t="str">
        <f t="shared" ref="A65:C70" si="135">A3</f>
        <v>Nombre Jurisdicción</v>
      </c>
      <c r="B65" s="8" t="str">
        <f t="shared" si="135"/>
        <v>Nombre Sector</v>
      </c>
      <c r="C65" s="8" t="str">
        <f t="shared" si="135"/>
        <v>Nombre UdM 1</v>
      </c>
      <c r="D65" s="9">
        <f>SUM(H65:AK65)</f>
        <v>20268679953.248985</v>
      </c>
      <c r="E65" s="8">
        <f>COUNTIF(H65:AK65,"&gt;0")</f>
        <v>10</v>
      </c>
      <c r="F65" s="9">
        <f>SUM(H65:Q65)</f>
        <v>20268679953.248985</v>
      </c>
      <c r="G65" s="14">
        <f>IFERROR(F65/D65,0)</f>
        <v>1</v>
      </c>
      <c r="H65" s="9">
        <f t="shared" ref="H65:AK65" si="136">SUM(H54,H26)</f>
        <v>4338892800</v>
      </c>
      <c r="I65" s="9">
        <f t="shared" si="136"/>
        <v>4376330554.8482456</v>
      </c>
      <c r="J65" s="9">
        <f t="shared" si="136"/>
        <v>2717552664.3957868</v>
      </c>
      <c r="K65" s="9">
        <f t="shared" si="136"/>
        <v>2155515478.5760555</v>
      </c>
      <c r="L65" s="9">
        <f t="shared" si="136"/>
        <v>1137059822.054817</v>
      </c>
      <c r="M65" s="9">
        <f t="shared" si="136"/>
        <v>1145947505.633435</v>
      </c>
      <c r="N65" s="9">
        <f t="shared" si="136"/>
        <v>1154678465.8275096</v>
      </c>
      <c r="O65" s="9">
        <f t="shared" si="136"/>
        <v>1073173216.2488451</v>
      </c>
      <c r="P65" s="9">
        <f t="shared" si="136"/>
        <v>1080947717.3622532</v>
      </c>
      <c r="Q65" s="9">
        <f t="shared" si="136"/>
        <v>1088581728.3020408</v>
      </c>
      <c r="R65" s="9">
        <f t="shared" si="136"/>
        <v>0</v>
      </c>
      <c r="S65" s="9">
        <f t="shared" si="136"/>
        <v>0</v>
      </c>
      <c r="T65" s="9">
        <f t="shared" si="136"/>
        <v>0</v>
      </c>
      <c r="U65" s="9">
        <f t="shared" si="136"/>
        <v>0</v>
      </c>
      <c r="V65" s="9">
        <f t="shared" si="136"/>
        <v>0</v>
      </c>
      <c r="W65" s="9">
        <f t="shared" si="136"/>
        <v>0</v>
      </c>
      <c r="X65" s="9">
        <f t="shared" si="136"/>
        <v>0</v>
      </c>
      <c r="Y65" s="9">
        <f t="shared" si="136"/>
        <v>0</v>
      </c>
      <c r="Z65" s="9">
        <f t="shared" si="136"/>
        <v>0</v>
      </c>
      <c r="AA65" s="9">
        <f t="shared" si="136"/>
        <v>0</v>
      </c>
      <c r="AB65" s="9">
        <f t="shared" si="136"/>
        <v>0</v>
      </c>
      <c r="AC65" s="9">
        <f t="shared" si="136"/>
        <v>0</v>
      </c>
      <c r="AD65" s="9">
        <f t="shared" si="136"/>
        <v>0</v>
      </c>
      <c r="AE65" s="9">
        <f t="shared" si="136"/>
        <v>0</v>
      </c>
      <c r="AF65" s="9">
        <f t="shared" si="136"/>
        <v>0</v>
      </c>
      <c r="AG65" s="9">
        <f t="shared" si="136"/>
        <v>0</v>
      </c>
      <c r="AH65" s="9">
        <f t="shared" si="136"/>
        <v>0</v>
      </c>
      <c r="AI65" s="9">
        <f t="shared" si="136"/>
        <v>0</v>
      </c>
      <c r="AJ65" s="9">
        <f t="shared" si="136"/>
        <v>0</v>
      </c>
      <c r="AK65" s="9">
        <f t="shared" si="136"/>
        <v>0</v>
      </c>
    </row>
    <row r="66" spans="1:37" x14ac:dyDescent="0.2">
      <c r="A66" s="10" t="str">
        <f t="shared" si="135"/>
        <v>Nombre Jurisdicción</v>
      </c>
      <c r="B66" s="10" t="str">
        <f t="shared" si="135"/>
        <v>Nombre Sector</v>
      </c>
      <c r="C66" s="10" t="str">
        <f t="shared" si="135"/>
        <v>Nombre UdM 2</v>
      </c>
      <c r="D66" s="11">
        <f t="shared" ref="D66:D70" si="137">SUM(H66:AK66)</f>
        <v>11219988416.147614</v>
      </c>
      <c r="E66" s="10">
        <f t="shared" ref="E66:E70" si="138">COUNTIF(H66:AK66,"&gt;0")</f>
        <v>3</v>
      </c>
      <c r="F66" s="11">
        <f t="shared" ref="F66:F70" si="139">SUM(H66:Q66)</f>
        <v>11219988416.147614</v>
      </c>
      <c r="G66" s="15">
        <f t="shared" ref="G66:G71" si="140">IFERROR(F66/D66,0)</f>
        <v>1</v>
      </c>
      <c r="H66" s="11">
        <f t="shared" ref="H66:AK66" si="141">SUM(H55,H27)</f>
        <v>3037146547.8166718</v>
      </c>
      <c r="I66" s="11">
        <f t="shared" si="141"/>
        <v>3258034269.5601511</v>
      </c>
      <c r="J66" s="11">
        <f t="shared" si="141"/>
        <v>4924807598.7707901</v>
      </c>
      <c r="K66" s="11">
        <f t="shared" si="141"/>
        <v>0</v>
      </c>
      <c r="L66" s="11">
        <f t="shared" si="141"/>
        <v>0</v>
      </c>
      <c r="M66" s="11">
        <f t="shared" si="141"/>
        <v>0</v>
      </c>
      <c r="N66" s="11">
        <f t="shared" si="141"/>
        <v>0</v>
      </c>
      <c r="O66" s="11">
        <f t="shared" si="141"/>
        <v>0</v>
      </c>
      <c r="P66" s="11">
        <f t="shared" si="141"/>
        <v>0</v>
      </c>
      <c r="Q66" s="11">
        <f t="shared" si="141"/>
        <v>0</v>
      </c>
      <c r="R66" s="11">
        <f t="shared" si="141"/>
        <v>0</v>
      </c>
      <c r="S66" s="11">
        <f t="shared" si="141"/>
        <v>0</v>
      </c>
      <c r="T66" s="11">
        <f t="shared" si="141"/>
        <v>0</v>
      </c>
      <c r="U66" s="11">
        <f t="shared" si="141"/>
        <v>0</v>
      </c>
      <c r="V66" s="11">
        <f t="shared" si="141"/>
        <v>0</v>
      </c>
      <c r="W66" s="11">
        <f t="shared" si="141"/>
        <v>0</v>
      </c>
      <c r="X66" s="11">
        <f t="shared" si="141"/>
        <v>0</v>
      </c>
      <c r="Y66" s="11">
        <f t="shared" si="141"/>
        <v>0</v>
      </c>
      <c r="Z66" s="11">
        <f t="shared" si="141"/>
        <v>0</v>
      </c>
      <c r="AA66" s="11">
        <f t="shared" si="141"/>
        <v>0</v>
      </c>
      <c r="AB66" s="11">
        <f t="shared" si="141"/>
        <v>0</v>
      </c>
      <c r="AC66" s="11">
        <f t="shared" si="141"/>
        <v>0</v>
      </c>
      <c r="AD66" s="11">
        <f t="shared" si="141"/>
        <v>0</v>
      </c>
      <c r="AE66" s="11">
        <f t="shared" si="141"/>
        <v>0</v>
      </c>
      <c r="AF66" s="11">
        <f t="shared" si="141"/>
        <v>0</v>
      </c>
      <c r="AG66" s="11">
        <f t="shared" si="141"/>
        <v>0</v>
      </c>
      <c r="AH66" s="11">
        <f t="shared" si="141"/>
        <v>0</v>
      </c>
      <c r="AI66" s="11">
        <f t="shared" si="141"/>
        <v>0</v>
      </c>
      <c r="AJ66" s="11">
        <f t="shared" si="141"/>
        <v>0</v>
      </c>
      <c r="AK66" s="11">
        <f t="shared" si="141"/>
        <v>0</v>
      </c>
    </row>
    <row r="67" spans="1:37" x14ac:dyDescent="0.2">
      <c r="A67" s="8" t="str">
        <f t="shared" si="135"/>
        <v>Nombre Jurisdicción</v>
      </c>
      <c r="B67" s="8" t="str">
        <f t="shared" si="135"/>
        <v>Nombre Sector</v>
      </c>
      <c r="C67" s="8" t="str">
        <f t="shared" si="135"/>
        <v>Nombre UdM 3</v>
      </c>
      <c r="D67" s="9">
        <f t="shared" si="137"/>
        <v>8328608465.4307251</v>
      </c>
      <c r="E67" s="8">
        <f t="shared" si="138"/>
        <v>4</v>
      </c>
      <c r="F67" s="9">
        <f t="shared" si="139"/>
        <v>8328608465.4307251</v>
      </c>
      <c r="G67" s="14">
        <f t="shared" si="140"/>
        <v>1</v>
      </c>
      <c r="H67" s="9">
        <f t="shared" ref="H67:AK67" si="142">SUM(H56,H28)</f>
        <v>999631537.82054794</v>
      </c>
      <c r="I67" s="9">
        <f t="shared" si="142"/>
        <v>6794648436.2608471</v>
      </c>
      <c r="J67" s="9">
        <f t="shared" si="142"/>
        <v>345369370.88415062</v>
      </c>
      <c r="K67" s="9">
        <f t="shared" si="142"/>
        <v>188959120.4651795</v>
      </c>
      <c r="L67" s="9">
        <f t="shared" si="142"/>
        <v>0</v>
      </c>
      <c r="M67" s="9">
        <f t="shared" si="142"/>
        <v>0</v>
      </c>
      <c r="N67" s="9">
        <f t="shared" si="142"/>
        <v>0</v>
      </c>
      <c r="O67" s="9">
        <f t="shared" si="142"/>
        <v>0</v>
      </c>
      <c r="P67" s="9">
        <f t="shared" si="142"/>
        <v>0</v>
      </c>
      <c r="Q67" s="9">
        <f t="shared" si="142"/>
        <v>0</v>
      </c>
      <c r="R67" s="9">
        <f t="shared" si="142"/>
        <v>0</v>
      </c>
      <c r="S67" s="9">
        <f t="shared" si="142"/>
        <v>0</v>
      </c>
      <c r="T67" s="9">
        <f t="shared" si="142"/>
        <v>0</v>
      </c>
      <c r="U67" s="9">
        <f t="shared" si="142"/>
        <v>0</v>
      </c>
      <c r="V67" s="9">
        <f t="shared" si="142"/>
        <v>0</v>
      </c>
      <c r="W67" s="9">
        <f t="shared" si="142"/>
        <v>0</v>
      </c>
      <c r="X67" s="9">
        <f t="shared" si="142"/>
        <v>0</v>
      </c>
      <c r="Y67" s="9">
        <f t="shared" si="142"/>
        <v>0</v>
      </c>
      <c r="Z67" s="9">
        <f t="shared" si="142"/>
        <v>0</v>
      </c>
      <c r="AA67" s="9">
        <f t="shared" si="142"/>
        <v>0</v>
      </c>
      <c r="AB67" s="9">
        <f t="shared" si="142"/>
        <v>0</v>
      </c>
      <c r="AC67" s="9">
        <f t="shared" si="142"/>
        <v>0</v>
      </c>
      <c r="AD67" s="9">
        <f t="shared" si="142"/>
        <v>0</v>
      </c>
      <c r="AE67" s="9">
        <f t="shared" si="142"/>
        <v>0</v>
      </c>
      <c r="AF67" s="9">
        <f t="shared" si="142"/>
        <v>0</v>
      </c>
      <c r="AG67" s="9">
        <f t="shared" si="142"/>
        <v>0</v>
      </c>
      <c r="AH67" s="9">
        <f t="shared" si="142"/>
        <v>0</v>
      </c>
      <c r="AI67" s="9">
        <f t="shared" si="142"/>
        <v>0</v>
      </c>
      <c r="AJ67" s="9">
        <f t="shared" si="142"/>
        <v>0</v>
      </c>
      <c r="AK67" s="9">
        <f t="shared" si="142"/>
        <v>0</v>
      </c>
    </row>
    <row r="68" spans="1:37" x14ac:dyDescent="0.2">
      <c r="A68" s="10" t="str">
        <f t="shared" si="135"/>
        <v>Nombre Jurisdicción</v>
      </c>
      <c r="B68" s="10" t="str">
        <f t="shared" si="135"/>
        <v>Nombre Sector</v>
      </c>
      <c r="C68" s="10">
        <f t="shared" si="135"/>
        <v>0</v>
      </c>
      <c r="D68" s="11">
        <f t="shared" si="137"/>
        <v>0</v>
      </c>
      <c r="E68" s="10">
        <f t="shared" si="138"/>
        <v>0</v>
      </c>
      <c r="F68" s="11">
        <f t="shared" si="139"/>
        <v>0</v>
      </c>
      <c r="G68" s="15">
        <f t="shared" si="140"/>
        <v>0</v>
      </c>
      <c r="H68" s="11">
        <f t="shared" ref="H68:AK68" si="143">SUM(H57,H29)</f>
        <v>0</v>
      </c>
      <c r="I68" s="11">
        <f t="shared" si="143"/>
        <v>0</v>
      </c>
      <c r="J68" s="11">
        <f t="shared" si="143"/>
        <v>0</v>
      </c>
      <c r="K68" s="11">
        <f t="shared" si="143"/>
        <v>0</v>
      </c>
      <c r="L68" s="11">
        <f t="shared" si="143"/>
        <v>0</v>
      </c>
      <c r="M68" s="11">
        <f t="shared" si="143"/>
        <v>0</v>
      </c>
      <c r="N68" s="11">
        <f t="shared" si="143"/>
        <v>0</v>
      </c>
      <c r="O68" s="11">
        <f t="shared" si="143"/>
        <v>0</v>
      </c>
      <c r="P68" s="11">
        <f t="shared" si="143"/>
        <v>0</v>
      </c>
      <c r="Q68" s="11">
        <f t="shared" si="143"/>
        <v>0</v>
      </c>
      <c r="R68" s="11">
        <f t="shared" si="143"/>
        <v>0</v>
      </c>
      <c r="S68" s="11">
        <f t="shared" si="143"/>
        <v>0</v>
      </c>
      <c r="T68" s="11">
        <f t="shared" si="143"/>
        <v>0</v>
      </c>
      <c r="U68" s="11">
        <f t="shared" si="143"/>
        <v>0</v>
      </c>
      <c r="V68" s="11">
        <f t="shared" si="143"/>
        <v>0</v>
      </c>
      <c r="W68" s="11">
        <f t="shared" si="143"/>
        <v>0</v>
      </c>
      <c r="X68" s="11">
        <f t="shared" si="143"/>
        <v>0</v>
      </c>
      <c r="Y68" s="11">
        <f t="shared" si="143"/>
        <v>0</v>
      </c>
      <c r="Z68" s="11">
        <f t="shared" si="143"/>
        <v>0</v>
      </c>
      <c r="AA68" s="11">
        <f t="shared" si="143"/>
        <v>0</v>
      </c>
      <c r="AB68" s="11">
        <f t="shared" si="143"/>
        <v>0</v>
      </c>
      <c r="AC68" s="11">
        <f t="shared" si="143"/>
        <v>0</v>
      </c>
      <c r="AD68" s="11">
        <f t="shared" si="143"/>
        <v>0</v>
      </c>
      <c r="AE68" s="11">
        <f t="shared" si="143"/>
        <v>0</v>
      </c>
      <c r="AF68" s="11">
        <f t="shared" si="143"/>
        <v>0</v>
      </c>
      <c r="AG68" s="11">
        <f t="shared" si="143"/>
        <v>0</v>
      </c>
      <c r="AH68" s="11">
        <f t="shared" si="143"/>
        <v>0</v>
      </c>
      <c r="AI68" s="11">
        <f t="shared" si="143"/>
        <v>0</v>
      </c>
      <c r="AJ68" s="11">
        <f t="shared" si="143"/>
        <v>0</v>
      </c>
      <c r="AK68" s="11">
        <f t="shared" si="143"/>
        <v>0</v>
      </c>
    </row>
    <row r="69" spans="1:37" x14ac:dyDescent="0.2">
      <c r="A69" s="8" t="str">
        <f t="shared" si="135"/>
        <v>Nombre Jurisdicción</v>
      </c>
      <c r="B69" s="8" t="str">
        <f t="shared" si="135"/>
        <v>Nombre Sector</v>
      </c>
      <c r="C69" s="8">
        <f t="shared" si="135"/>
        <v>0</v>
      </c>
      <c r="D69" s="9">
        <f t="shared" si="137"/>
        <v>0</v>
      </c>
      <c r="E69" s="8">
        <f t="shared" si="138"/>
        <v>0</v>
      </c>
      <c r="F69" s="9">
        <f t="shared" si="139"/>
        <v>0</v>
      </c>
      <c r="G69" s="14">
        <f t="shared" si="140"/>
        <v>0</v>
      </c>
      <c r="H69" s="9">
        <f t="shared" ref="H69:AK69" si="144">SUM(H58,H30)</f>
        <v>0</v>
      </c>
      <c r="I69" s="9">
        <f t="shared" si="144"/>
        <v>0</v>
      </c>
      <c r="J69" s="9">
        <f t="shared" si="144"/>
        <v>0</v>
      </c>
      <c r="K69" s="9">
        <f t="shared" si="144"/>
        <v>0</v>
      </c>
      <c r="L69" s="9">
        <f t="shared" si="144"/>
        <v>0</v>
      </c>
      <c r="M69" s="9">
        <f t="shared" si="144"/>
        <v>0</v>
      </c>
      <c r="N69" s="9">
        <f t="shared" si="144"/>
        <v>0</v>
      </c>
      <c r="O69" s="9">
        <f t="shared" si="144"/>
        <v>0</v>
      </c>
      <c r="P69" s="9">
        <f t="shared" si="144"/>
        <v>0</v>
      </c>
      <c r="Q69" s="9">
        <f t="shared" si="144"/>
        <v>0</v>
      </c>
      <c r="R69" s="9">
        <f t="shared" si="144"/>
        <v>0</v>
      </c>
      <c r="S69" s="9">
        <f t="shared" si="144"/>
        <v>0</v>
      </c>
      <c r="T69" s="9">
        <f t="shared" si="144"/>
        <v>0</v>
      </c>
      <c r="U69" s="9">
        <f t="shared" si="144"/>
        <v>0</v>
      </c>
      <c r="V69" s="9">
        <f t="shared" si="144"/>
        <v>0</v>
      </c>
      <c r="W69" s="9">
        <f t="shared" si="144"/>
        <v>0</v>
      </c>
      <c r="X69" s="9">
        <f t="shared" si="144"/>
        <v>0</v>
      </c>
      <c r="Y69" s="9">
        <f t="shared" si="144"/>
        <v>0</v>
      </c>
      <c r="Z69" s="9">
        <f t="shared" si="144"/>
        <v>0</v>
      </c>
      <c r="AA69" s="9">
        <f t="shared" si="144"/>
        <v>0</v>
      </c>
      <c r="AB69" s="9">
        <f t="shared" si="144"/>
        <v>0</v>
      </c>
      <c r="AC69" s="9">
        <f t="shared" si="144"/>
        <v>0</v>
      </c>
      <c r="AD69" s="9">
        <f t="shared" si="144"/>
        <v>0</v>
      </c>
      <c r="AE69" s="9">
        <f t="shared" si="144"/>
        <v>0</v>
      </c>
      <c r="AF69" s="9">
        <f t="shared" si="144"/>
        <v>0</v>
      </c>
      <c r="AG69" s="9">
        <f t="shared" si="144"/>
        <v>0</v>
      </c>
      <c r="AH69" s="9">
        <f t="shared" si="144"/>
        <v>0</v>
      </c>
      <c r="AI69" s="9">
        <f t="shared" si="144"/>
        <v>0</v>
      </c>
      <c r="AJ69" s="9">
        <f t="shared" si="144"/>
        <v>0</v>
      </c>
      <c r="AK69" s="9">
        <f t="shared" si="144"/>
        <v>0</v>
      </c>
    </row>
    <row r="70" spans="1:37" x14ac:dyDescent="0.2">
      <c r="A70" s="10" t="str">
        <f t="shared" si="135"/>
        <v>Nombre Jurisdicción</v>
      </c>
      <c r="B70" s="10" t="str">
        <f t="shared" si="135"/>
        <v>Nombre Sector</v>
      </c>
      <c r="C70" s="10">
        <f t="shared" si="135"/>
        <v>0</v>
      </c>
      <c r="D70" s="11">
        <f t="shared" si="137"/>
        <v>0</v>
      </c>
      <c r="E70" s="10">
        <f t="shared" si="138"/>
        <v>0</v>
      </c>
      <c r="F70" s="11">
        <f t="shared" si="139"/>
        <v>0</v>
      </c>
      <c r="G70" s="15">
        <f t="shared" si="140"/>
        <v>0</v>
      </c>
      <c r="H70" s="11">
        <f t="shared" ref="H70:AK70" si="145">SUM(H59,H31)</f>
        <v>0</v>
      </c>
      <c r="I70" s="11">
        <f t="shared" si="145"/>
        <v>0</v>
      </c>
      <c r="J70" s="11">
        <f t="shared" si="145"/>
        <v>0</v>
      </c>
      <c r="K70" s="11">
        <f t="shared" si="145"/>
        <v>0</v>
      </c>
      <c r="L70" s="11">
        <f t="shared" si="145"/>
        <v>0</v>
      </c>
      <c r="M70" s="11">
        <f t="shared" si="145"/>
        <v>0</v>
      </c>
      <c r="N70" s="11">
        <f t="shared" si="145"/>
        <v>0</v>
      </c>
      <c r="O70" s="11">
        <f t="shared" si="145"/>
        <v>0</v>
      </c>
      <c r="P70" s="11">
        <f t="shared" si="145"/>
        <v>0</v>
      </c>
      <c r="Q70" s="11">
        <f t="shared" si="145"/>
        <v>0</v>
      </c>
      <c r="R70" s="11">
        <f t="shared" si="145"/>
        <v>0</v>
      </c>
      <c r="S70" s="11">
        <f t="shared" si="145"/>
        <v>0</v>
      </c>
      <c r="T70" s="11">
        <f t="shared" si="145"/>
        <v>0</v>
      </c>
      <c r="U70" s="11">
        <f t="shared" si="145"/>
        <v>0</v>
      </c>
      <c r="V70" s="11">
        <f t="shared" si="145"/>
        <v>0</v>
      </c>
      <c r="W70" s="11">
        <f t="shared" si="145"/>
        <v>0</v>
      </c>
      <c r="X70" s="11">
        <f t="shared" si="145"/>
        <v>0</v>
      </c>
      <c r="Y70" s="11">
        <f t="shared" si="145"/>
        <v>0</v>
      </c>
      <c r="Z70" s="11">
        <f t="shared" si="145"/>
        <v>0</v>
      </c>
      <c r="AA70" s="11">
        <f t="shared" si="145"/>
        <v>0</v>
      </c>
      <c r="AB70" s="11">
        <f t="shared" si="145"/>
        <v>0</v>
      </c>
      <c r="AC70" s="11">
        <f t="shared" si="145"/>
        <v>0</v>
      </c>
      <c r="AD70" s="11">
        <f t="shared" si="145"/>
        <v>0</v>
      </c>
      <c r="AE70" s="11">
        <f t="shared" si="145"/>
        <v>0</v>
      </c>
      <c r="AF70" s="11">
        <f t="shared" si="145"/>
        <v>0</v>
      </c>
      <c r="AG70" s="11">
        <f t="shared" si="145"/>
        <v>0</v>
      </c>
      <c r="AH70" s="11">
        <f t="shared" si="145"/>
        <v>0</v>
      </c>
      <c r="AI70" s="11">
        <f t="shared" si="145"/>
        <v>0</v>
      </c>
      <c r="AJ70" s="11">
        <f t="shared" si="145"/>
        <v>0</v>
      </c>
      <c r="AK70" s="11">
        <f t="shared" si="145"/>
        <v>0</v>
      </c>
    </row>
    <row r="71" spans="1:37" x14ac:dyDescent="0.2">
      <c r="A71" s="12" t="s">
        <v>1</v>
      </c>
      <c r="B71" s="12"/>
      <c r="C71" s="12"/>
      <c r="D71" s="54">
        <f>SUM(D65:D67)</f>
        <v>39817276834.827324</v>
      </c>
      <c r="E71" s="55"/>
      <c r="F71" s="13">
        <f>SUM(F65:F67)</f>
        <v>39817276834.827324</v>
      </c>
      <c r="G71" s="16">
        <f t="shared" si="140"/>
        <v>1</v>
      </c>
      <c r="H71" s="13">
        <f>SUM(H65:H67)</f>
        <v>8375670885.6372194</v>
      </c>
      <c r="I71" s="13">
        <f t="shared" ref="I71" si="146">SUM(I65:I67)</f>
        <v>14429013260.669243</v>
      </c>
      <c r="J71" s="13">
        <f t="shared" ref="J71" si="147">SUM(J65:J67)</f>
        <v>7987729634.0507269</v>
      </c>
      <c r="K71" s="13">
        <f t="shared" ref="K71" si="148">SUM(K65:K67)</f>
        <v>2344474599.041235</v>
      </c>
      <c r="L71" s="13">
        <f t="shared" ref="L71" si="149">SUM(L65:L67)</f>
        <v>1137059822.054817</v>
      </c>
      <c r="M71" s="13">
        <f t="shared" ref="M71" si="150">SUM(M65:M67)</f>
        <v>1145947505.633435</v>
      </c>
      <c r="N71" s="13">
        <f t="shared" ref="N71" si="151">SUM(N65:N67)</f>
        <v>1154678465.8275096</v>
      </c>
      <c r="O71" s="13">
        <f t="shared" ref="O71" si="152">SUM(O65:O67)</f>
        <v>1073173216.2488451</v>
      </c>
      <c r="P71" s="13">
        <f t="shared" ref="P71" si="153">SUM(P65:P67)</f>
        <v>1080947717.3622532</v>
      </c>
      <c r="Q71" s="13">
        <f t="shared" ref="Q71" si="154">SUM(Q65:Q67)</f>
        <v>1088581728.3020408</v>
      </c>
      <c r="R71" s="13">
        <f t="shared" ref="R71" si="155">SUM(R65:R67)</f>
        <v>0</v>
      </c>
      <c r="S71" s="13">
        <f t="shared" ref="S71" si="156">SUM(S65:S67)</f>
        <v>0</v>
      </c>
      <c r="T71" s="13">
        <f t="shared" ref="T71" si="157">SUM(T65:T67)</f>
        <v>0</v>
      </c>
      <c r="U71" s="13">
        <f t="shared" ref="U71" si="158">SUM(U65:U67)</f>
        <v>0</v>
      </c>
      <c r="V71" s="13">
        <f t="shared" ref="V71" si="159">SUM(V65:V67)</f>
        <v>0</v>
      </c>
      <c r="W71" s="13">
        <f t="shared" ref="W71" si="160">SUM(W65:W67)</f>
        <v>0</v>
      </c>
      <c r="X71" s="13">
        <f t="shared" ref="X71" si="161">SUM(X65:X67)</f>
        <v>0</v>
      </c>
      <c r="Y71" s="13">
        <f t="shared" ref="Y71" si="162">SUM(Y65:Y67)</f>
        <v>0</v>
      </c>
      <c r="Z71" s="13">
        <f t="shared" ref="Z71" si="163">SUM(Z65:Z67)</f>
        <v>0</v>
      </c>
      <c r="AA71" s="13">
        <f t="shared" ref="AA71" si="164">SUM(AA65:AA67)</f>
        <v>0</v>
      </c>
      <c r="AB71" s="13">
        <f t="shared" ref="AB71" si="165">SUM(AB65:AB67)</f>
        <v>0</v>
      </c>
      <c r="AC71" s="13">
        <f t="shared" ref="AC71" si="166">SUM(AC65:AC67)</f>
        <v>0</v>
      </c>
      <c r="AD71" s="13">
        <f t="shared" ref="AD71" si="167">SUM(AD65:AD67)</f>
        <v>0</v>
      </c>
      <c r="AE71" s="13">
        <f t="shared" ref="AE71" si="168">SUM(AE65:AE67)</f>
        <v>0</v>
      </c>
      <c r="AF71" s="13">
        <f t="shared" ref="AF71" si="169">SUM(AF65:AF67)</f>
        <v>0</v>
      </c>
      <c r="AG71" s="13">
        <f t="shared" ref="AG71" si="170">SUM(AG65:AG67)</f>
        <v>0</v>
      </c>
      <c r="AH71" s="13">
        <f t="shared" ref="AH71" si="171">SUM(AH65:AH67)</f>
        <v>0</v>
      </c>
      <c r="AI71" s="13">
        <f t="shared" ref="AI71" si="172">SUM(AI65:AI67)</f>
        <v>0</v>
      </c>
      <c r="AJ71" s="13">
        <f t="shared" ref="AJ71" si="173">SUM(AJ65:AJ67)</f>
        <v>0</v>
      </c>
      <c r="AK71" s="13">
        <f t="shared" ref="AK71" si="174">SUM(AK65:AK67)</f>
        <v>0</v>
      </c>
    </row>
    <row r="72" spans="1:37" x14ac:dyDescent="0.2">
      <c r="M72" s="47"/>
    </row>
    <row r="73" spans="1:37" x14ac:dyDescent="0.2">
      <c r="A73" s="17" t="s">
        <v>39</v>
      </c>
    </row>
    <row r="74" spans="1:37" x14ac:dyDescent="0.2">
      <c r="A74" s="17" t="s">
        <v>135</v>
      </c>
    </row>
    <row r="75" spans="1:37" ht="49.5" x14ac:dyDescent="0.2">
      <c r="A75" s="6" t="s">
        <v>28</v>
      </c>
      <c r="B75" s="6" t="s">
        <v>29</v>
      </c>
      <c r="C75" s="6" t="s">
        <v>30</v>
      </c>
      <c r="D75" s="53" t="s">
        <v>124</v>
      </c>
      <c r="E75" s="53" t="s">
        <v>125</v>
      </c>
      <c r="F75" s="7" t="s">
        <v>121</v>
      </c>
      <c r="G75" s="7" t="s">
        <v>122</v>
      </c>
      <c r="H75" s="6">
        <v>2024</v>
      </c>
      <c r="I75" s="6">
        <v>2025</v>
      </c>
      <c r="J75" s="6">
        <v>2026</v>
      </c>
      <c r="K75" s="6">
        <v>2027</v>
      </c>
      <c r="L75" s="6">
        <v>2028</v>
      </c>
      <c r="M75" s="6">
        <v>2029</v>
      </c>
      <c r="N75" s="6">
        <v>2030</v>
      </c>
      <c r="O75" s="6">
        <v>2031</v>
      </c>
      <c r="P75" s="6">
        <v>2032</v>
      </c>
      <c r="Q75" s="6">
        <v>2033</v>
      </c>
      <c r="R75" s="50">
        <v>2034</v>
      </c>
      <c r="S75" s="50">
        <v>2035</v>
      </c>
      <c r="T75" s="50">
        <v>2036</v>
      </c>
      <c r="U75" s="50">
        <v>2037</v>
      </c>
      <c r="V75" s="50">
        <v>2038</v>
      </c>
      <c r="W75" s="50">
        <v>2039</v>
      </c>
      <c r="X75" s="50">
        <v>2040</v>
      </c>
      <c r="Y75" s="50">
        <v>2041</v>
      </c>
      <c r="Z75" s="50">
        <v>2042</v>
      </c>
      <c r="AA75" s="50">
        <v>2043</v>
      </c>
      <c r="AB75" s="50">
        <v>2044</v>
      </c>
      <c r="AC75" s="50">
        <v>2045</v>
      </c>
      <c r="AD75" s="50">
        <v>2046</v>
      </c>
      <c r="AE75" s="50">
        <v>2047</v>
      </c>
      <c r="AF75" s="50">
        <v>2048</v>
      </c>
      <c r="AG75" s="50">
        <v>2049</v>
      </c>
      <c r="AH75" s="50">
        <v>2050</v>
      </c>
      <c r="AI75" s="50">
        <v>2051</v>
      </c>
      <c r="AJ75" s="50">
        <v>2052</v>
      </c>
      <c r="AK75" s="50">
        <v>2053</v>
      </c>
    </row>
    <row r="76" spans="1:37" x14ac:dyDescent="0.2">
      <c r="A76" s="8" t="str">
        <f t="shared" ref="A76:C78" si="175">A3</f>
        <v>Nombre Jurisdicción</v>
      </c>
      <c r="B76" s="8" t="str">
        <f t="shared" si="175"/>
        <v>Nombre Sector</v>
      </c>
      <c r="C76" s="8" t="str">
        <f t="shared" si="175"/>
        <v>Nombre UdM 1</v>
      </c>
      <c r="D76" s="14">
        <f t="shared" ref="D76:D82" si="176">IFERROR(D65/D3-1,0)</f>
        <v>0.12626362858015039</v>
      </c>
      <c r="E76" s="8">
        <f>COUNTIF(H76:AK76,"&gt;0")</f>
        <v>10</v>
      </c>
      <c r="F76" s="14">
        <f t="shared" ref="F76:F82" si="177">IFERROR(F65/F3-1,0)</f>
        <v>0.12626362858015039</v>
      </c>
      <c r="G76" s="14"/>
      <c r="H76" s="14">
        <f t="shared" ref="H76:AK76" si="178">IFERROR(H65/H3-1,0)</f>
        <v>0.10000000000000009</v>
      </c>
      <c r="I76" s="14">
        <f t="shared" si="178"/>
        <v>0.10949125323701714</v>
      </c>
      <c r="J76" s="14">
        <f t="shared" si="178"/>
        <v>0.11882800329848675</v>
      </c>
      <c r="K76" s="14">
        <f t="shared" si="178"/>
        <v>0.12801864023735554</v>
      </c>
      <c r="L76" s="14">
        <f t="shared" si="178"/>
        <v>0.13705982205481693</v>
      </c>
      <c r="M76" s="14">
        <f t="shared" si="178"/>
        <v>0.14594750563343495</v>
      </c>
      <c r="N76" s="14">
        <f t="shared" si="178"/>
        <v>0.15467846582750955</v>
      </c>
      <c r="O76" s="14">
        <f t="shared" si="178"/>
        <v>0.1632557408177735</v>
      </c>
      <c r="P76" s="14">
        <f t="shared" si="178"/>
        <v>0.17168283619737812</v>
      </c>
      <c r="Q76" s="14">
        <f t="shared" si="178"/>
        <v>0.17995764861043262</v>
      </c>
      <c r="R76" s="14">
        <f t="shared" si="178"/>
        <v>0</v>
      </c>
      <c r="S76" s="14">
        <f t="shared" si="178"/>
        <v>0</v>
      </c>
      <c r="T76" s="14">
        <f t="shared" si="178"/>
        <v>0</v>
      </c>
      <c r="U76" s="14">
        <f t="shared" si="178"/>
        <v>0</v>
      </c>
      <c r="V76" s="14">
        <f t="shared" si="178"/>
        <v>0</v>
      </c>
      <c r="W76" s="14">
        <f t="shared" si="178"/>
        <v>0</v>
      </c>
      <c r="X76" s="14">
        <f t="shared" si="178"/>
        <v>0</v>
      </c>
      <c r="Y76" s="14">
        <f t="shared" si="178"/>
        <v>0</v>
      </c>
      <c r="Z76" s="14">
        <f t="shared" si="178"/>
        <v>0</v>
      </c>
      <c r="AA76" s="14">
        <f t="shared" si="178"/>
        <v>0</v>
      </c>
      <c r="AB76" s="14">
        <f t="shared" si="178"/>
        <v>0</v>
      </c>
      <c r="AC76" s="14">
        <f t="shared" si="178"/>
        <v>0</v>
      </c>
      <c r="AD76" s="14">
        <f t="shared" si="178"/>
        <v>0</v>
      </c>
      <c r="AE76" s="14">
        <f t="shared" si="178"/>
        <v>0</v>
      </c>
      <c r="AF76" s="14">
        <f t="shared" si="178"/>
        <v>0</v>
      </c>
      <c r="AG76" s="14">
        <f t="shared" si="178"/>
        <v>0</v>
      </c>
      <c r="AH76" s="14">
        <f t="shared" si="178"/>
        <v>0</v>
      </c>
      <c r="AI76" s="14">
        <f t="shared" si="178"/>
        <v>0</v>
      </c>
      <c r="AJ76" s="14">
        <f t="shared" si="178"/>
        <v>0</v>
      </c>
      <c r="AK76" s="14">
        <f t="shared" si="178"/>
        <v>0</v>
      </c>
    </row>
    <row r="77" spans="1:37" x14ac:dyDescent="0.2">
      <c r="A77" s="10" t="str">
        <f t="shared" si="175"/>
        <v>Nombre Jurisdicción</v>
      </c>
      <c r="B77" s="10" t="str">
        <f t="shared" si="175"/>
        <v>Nombre Sector</v>
      </c>
      <c r="C77" s="10" t="str">
        <f t="shared" si="175"/>
        <v>Nombre UdM 2</v>
      </c>
      <c r="D77" s="15">
        <f t="shared" si="176"/>
        <v>0.11096584323475978</v>
      </c>
      <c r="E77" s="10">
        <f t="shared" ref="E77:E81" si="179">COUNTIF(H77:AK77,"&gt;0")</f>
        <v>3</v>
      </c>
      <c r="F77" s="15">
        <f t="shared" si="177"/>
        <v>0.11096584323475978</v>
      </c>
      <c r="G77" s="15"/>
      <c r="H77" s="15">
        <f t="shared" ref="H77:AK77" si="180">IFERROR(H66/H4-1,0)</f>
        <v>0.10000000000000009</v>
      </c>
      <c r="I77" s="15">
        <f t="shared" si="180"/>
        <v>0.10949125323701692</v>
      </c>
      <c r="J77" s="15">
        <f t="shared" si="180"/>
        <v>0.11882800329848675</v>
      </c>
      <c r="K77" s="15">
        <f t="shared" si="180"/>
        <v>0</v>
      </c>
      <c r="L77" s="15">
        <f t="shared" si="180"/>
        <v>0</v>
      </c>
      <c r="M77" s="15">
        <f t="shared" si="180"/>
        <v>0</v>
      </c>
      <c r="N77" s="15">
        <f t="shared" si="180"/>
        <v>0</v>
      </c>
      <c r="O77" s="15">
        <f t="shared" si="180"/>
        <v>0</v>
      </c>
      <c r="P77" s="15">
        <f t="shared" si="180"/>
        <v>0</v>
      </c>
      <c r="Q77" s="15">
        <f t="shared" si="180"/>
        <v>0</v>
      </c>
      <c r="R77" s="15">
        <f t="shared" si="180"/>
        <v>0</v>
      </c>
      <c r="S77" s="15">
        <f t="shared" si="180"/>
        <v>0</v>
      </c>
      <c r="T77" s="15">
        <f t="shared" si="180"/>
        <v>0</v>
      </c>
      <c r="U77" s="15">
        <f t="shared" si="180"/>
        <v>0</v>
      </c>
      <c r="V77" s="15">
        <f t="shared" si="180"/>
        <v>0</v>
      </c>
      <c r="W77" s="15">
        <f t="shared" si="180"/>
        <v>0</v>
      </c>
      <c r="X77" s="15">
        <f t="shared" si="180"/>
        <v>0</v>
      </c>
      <c r="Y77" s="15">
        <f t="shared" si="180"/>
        <v>0</v>
      </c>
      <c r="Z77" s="15">
        <f t="shared" si="180"/>
        <v>0</v>
      </c>
      <c r="AA77" s="15">
        <f t="shared" si="180"/>
        <v>0</v>
      </c>
      <c r="AB77" s="15">
        <f t="shared" si="180"/>
        <v>0</v>
      </c>
      <c r="AC77" s="15">
        <f t="shared" si="180"/>
        <v>0</v>
      </c>
      <c r="AD77" s="15">
        <f t="shared" si="180"/>
        <v>0</v>
      </c>
      <c r="AE77" s="15">
        <f t="shared" si="180"/>
        <v>0</v>
      </c>
      <c r="AF77" s="15">
        <f t="shared" si="180"/>
        <v>0</v>
      </c>
      <c r="AG77" s="15">
        <f t="shared" si="180"/>
        <v>0</v>
      </c>
      <c r="AH77" s="15">
        <f t="shared" si="180"/>
        <v>0</v>
      </c>
      <c r="AI77" s="15">
        <f t="shared" si="180"/>
        <v>0</v>
      </c>
      <c r="AJ77" s="15">
        <f t="shared" si="180"/>
        <v>0</v>
      </c>
      <c r="AK77" s="15">
        <f t="shared" si="180"/>
        <v>0</v>
      </c>
    </row>
    <row r="78" spans="1:37" x14ac:dyDescent="0.2">
      <c r="A78" s="8" t="str">
        <f t="shared" si="175"/>
        <v>Nombre Jurisdicción</v>
      </c>
      <c r="B78" s="8" t="str">
        <f t="shared" si="175"/>
        <v>Nombre Sector</v>
      </c>
      <c r="C78" s="8" t="str">
        <f t="shared" si="175"/>
        <v>Nombre UdM 3</v>
      </c>
      <c r="D78" s="14">
        <f t="shared" si="176"/>
        <v>0.10913974700404738</v>
      </c>
      <c r="E78" s="8">
        <f t="shared" si="179"/>
        <v>4</v>
      </c>
      <c r="F78" s="14">
        <f t="shared" si="177"/>
        <v>0.10913974700404738</v>
      </c>
      <c r="G78" s="14"/>
      <c r="H78" s="14">
        <f t="shared" ref="H78:AK78" si="181">IFERROR(H67/H5-1,0)</f>
        <v>9.9999999999999867E-2</v>
      </c>
      <c r="I78" s="14">
        <f t="shared" si="181"/>
        <v>0.10949125323701692</v>
      </c>
      <c r="J78" s="14">
        <f t="shared" si="181"/>
        <v>0.11882800329848697</v>
      </c>
      <c r="K78" s="14">
        <f t="shared" si="181"/>
        <v>0.12801864023735554</v>
      </c>
      <c r="L78" s="14">
        <f t="shared" si="181"/>
        <v>0</v>
      </c>
      <c r="M78" s="14">
        <f t="shared" si="181"/>
        <v>0</v>
      </c>
      <c r="N78" s="14">
        <f t="shared" si="181"/>
        <v>0</v>
      </c>
      <c r="O78" s="14">
        <f t="shared" si="181"/>
        <v>0</v>
      </c>
      <c r="P78" s="14">
        <f t="shared" si="181"/>
        <v>0</v>
      </c>
      <c r="Q78" s="14">
        <f t="shared" si="181"/>
        <v>0</v>
      </c>
      <c r="R78" s="14">
        <f t="shared" si="181"/>
        <v>0</v>
      </c>
      <c r="S78" s="14">
        <f t="shared" si="181"/>
        <v>0</v>
      </c>
      <c r="T78" s="14">
        <f t="shared" si="181"/>
        <v>0</v>
      </c>
      <c r="U78" s="14">
        <f t="shared" si="181"/>
        <v>0</v>
      </c>
      <c r="V78" s="14">
        <f t="shared" si="181"/>
        <v>0</v>
      </c>
      <c r="W78" s="14">
        <f t="shared" si="181"/>
        <v>0</v>
      </c>
      <c r="X78" s="14">
        <f t="shared" si="181"/>
        <v>0</v>
      </c>
      <c r="Y78" s="14">
        <f t="shared" si="181"/>
        <v>0</v>
      </c>
      <c r="Z78" s="14">
        <f t="shared" si="181"/>
        <v>0</v>
      </c>
      <c r="AA78" s="14">
        <f t="shared" si="181"/>
        <v>0</v>
      </c>
      <c r="AB78" s="14">
        <f t="shared" si="181"/>
        <v>0</v>
      </c>
      <c r="AC78" s="14">
        <f t="shared" si="181"/>
        <v>0</v>
      </c>
      <c r="AD78" s="14">
        <f t="shared" si="181"/>
        <v>0</v>
      </c>
      <c r="AE78" s="14">
        <f t="shared" si="181"/>
        <v>0</v>
      </c>
      <c r="AF78" s="14">
        <f t="shared" si="181"/>
        <v>0</v>
      </c>
      <c r="AG78" s="14">
        <f t="shared" si="181"/>
        <v>0</v>
      </c>
      <c r="AH78" s="14">
        <f t="shared" si="181"/>
        <v>0</v>
      </c>
      <c r="AI78" s="14">
        <f t="shared" si="181"/>
        <v>0</v>
      </c>
      <c r="AJ78" s="14">
        <f t="shared" si="181"/>
        <v>0</v>
      </c>
      <c r="AK78" s="14">
        <f t="shared" si="181"/>
        <v>0</v>
      </c>
    </row>
    <row r="79" spans="1:37" x14ac:dyDescent="0.2">
      <c r="A79" s="10" t="str">
        <f t="shared" ref="A79:C79" si="182">A6</f>
        <v>Nombre Jurisdicción</v>
      </c>
      <c r="B79" s="10" t="str">
        <f t="shared" si="182"/>
        <v>Nombre Sector</v>
      </c>
      <c r="C79" s="10">
        <f t="shared" si="182"/>
        <v>0</v>
      </c>
      <c r="D79" s="15">
        <f t="shared" si="176"/>
        <v>0</v>
      </c>
      <c r="E79" s="10">
        <f t="shared" si="179"/>
        <v>0</v>
      </c>
      <c r="F79" s="15">
        <f t="shared" si="177"/>
        <v>0</v>
      </c>
      <c r="G79" s="15"/>
      <c r="H79" s="15">
        <f t="shared" ref="H79:AK79" si="183">IFERROR(H68/H6-1,0)</f>
        <v>0</v>
      </c>
      <c r="I79" s="15">
        <f t="shared" si="183"/>
        <v>0</v>
      </c>
      <c r="J79" s="15">
        <f t="shared" si="183"/>
        <v>0</v>
      </c>
      <c r="K79" s="15">
        <f t="shared" si="183"/>
        <v>0</v>
      </c>
      <c r="L79" s="15">
        <f t="shared" si="183"/>
        <v>0</v>
      </c>
      <c r="M79" s="15">
        <f t="shared" si="183"/>
        <v>0</v>
      </c>
      <c r="N79" s="15">
        <f t="shared" si="183"/>
        <v>0</v>
      </c>
      <c r="O79" s="15">
        <f t="shared" si="183"/>
        <v>0</v>
      </c>
      <c r="P79" s="15">
        <f t="shared" si="183"/>
        <v>0</v>
      </c>
      <c r="Q79" s="15">
        <f t="shared" si="183"/>
        <v>0</v>
      </c>
      <c r="R79" s="15">
        <f t="shared" si="183"/>
        <v>0</v>
      </c>
      <c r="S79" s="15">
        <f t="shared" si="183"/>
        <v>0</v>
      </c>
      <c r="T79" s="15">
        <f t="shared" si="183"/>
        <v>0</v>
      </c>
      <c r="U79" s="15">
        <f t="shared" si="183"/>
        <v>0</v>
      </c>
      <c r="V79" s="15">
        <f t="shared" si="183"/>
        <v>0</v>
      </c>
      <c r="W79" s="15">
        <f t="shared" si="183"/>
        <v>0</v>
      </c>
      <c r="X79" s="15">
        <f t="shared" si="183"/>
        <v>0</v>
      </c>
      <c r="Y79" s="15">
        <f t="shared" si="183"/>
        <v>0</v>
      </c>
      <c r="Z79" s="15">
        <f t="shared" si="183"/>
        <v>0</v>
      </c>
      <c r="AA79" s="15">
        <f t="shared" si="183"/>
        <v>0</v>
      </c>
      <c r="AB79" s="15">
        <f t="shared" si="183"/>
        <v>0</v>
      </c>
      <c r="AC79" s="15">
        <f t="shared" si="183"/>
        <v>0</v>
      </c>
      <c r="AD79" s="15">
        <f t="shared" si="183"/>
        <v>0</v>
      </c>
      <c r="AE79" s="15">
        <f t="shared" si="183"/>
        <v>0</v>
      </c>
      <c r="AF79" s="15">
        <f t="shared" si="183"/>
        <v>0</v>
      </c>
      <c r="AG79" s="15">
        <f t="shared" si="183"/>
        <v>0</v>
      </c>
      <c r="AH79" s="15">
        <f t="shared" si="183"/>
        <v>0</v>
      </c>
      <c r="AI79" s="15">
        <f t="shared" si="183"/>
        <v>0</v>
      </c>
      <c r="AJ79" s="15">
        <f t="shared" si="183"/>
        <v>0</v>
      </c>
      <c r="AK79" s="15">
        <f t="shared" si="183"/>
        <v>0</v>
      </c>
    </row>
    <row r="80" spans="1:37" x14ac:dyDescent="0.2">
      <c r="A80" s="8" t="str">
        <f t="shared" ref="A80:C80" si="184">A7</f>
        <v>Nombre Jurisdicción</v>
      </c>
      <c r="B80" s="8" t="str">
        <f t="shared" si="184"/>
        <v>Nombre Sector</v>
      </c>
      <c r="C80" s="8">
        <f t="shared" si="184"/>
        <v>0</v>
      </c>
      <c r="D80" s="14">
        <f t="shared" si="176"/>
        <v>0</v>
      </c>
      <c r="E80" s="8">
        <f t="shared" si="179"/>
        <v>0</v>
      </c>
      <c r="F80" s="14">
        <f t="shared" si="177"/>
        <v>0</v>
      </c>
      <c r="G80" s="14"/>
      <c r="H80" s="14">
        <f t="shared" ref="H80:AK80" si="185">IFERROR(H69/H7-1,0)</f>
        <v>0</v>
      </c>
      <c r="I80" s="14">
        <f t="shared" si="185"/>
        <v>0</v>
      </c>
      <c r="J80" s="14">
        <f t="shared" si="185"/>
        <v>0</v>
      </c>
      <c r="K80" s="14">
        <f t="shared" si="185"/>
        <v>0</v>
      </c>
      <c r="L80" s="14">
        <f t="shared" si="185"/>
        <v>0</v>
      </c>
      <c r="M80" s="14">
        <f t="shared" si="185"/>
        <v>0</v>
      </c>
      <c r="N80" s="14">
        <f t="shared" si="185"/>
        <v>0</v>
      </c>
      <c r="O80" s="14">
        <f t="shared" si="185"/>
        <v>0</v>
      </c>
      <c r="P80" s="14">
        <f t="shared" si="185"/>
        <v>0</v>
      </c>
      <c r="Q80" s="14">
        <f t="shared" si="185"/>
        <v>0</v>
      </c>
      <c r="R80" s="14">
        <f t="shared" si="185"/>
        <v>0</v>
      </c>
      <c r="S80" s="14">
        <f t="shared" si="185"/>
        <v>0</v>
      </c>
      <c r="T80" s="14">
        <f t="shared" si="185"/>
        <v>0</v>
      </c>
      <c r="U80" s="14">
        <f t="shared" si="185"/>
        <v>0</v>
      </c>
      <c r="V80" s="14">
        <f t="shared" si="185"/>
        <v>0</v>
      </c>
      <c r="W80" s="14">
        <f t="shared" si="185"/>
        <v>0</v>
      </c>
      <c r="X80" s="14">
        <f t="shared" si="185"/>
        <v>0</v>
      </c>
      <c r="Y80" s="14">
        <f t="shared" si="185"/>
        <v>0</v>
      </c>
      <c r="Z80" s="14">
        <f t="shared" si="185"/>
        <v>0</v>
      </c>
      <c r="AA80" s="14">
        <f t="shared" si="185"/>
        <v>0</v>
      </c>
      <c r="AB80" s="14">
        <f t="shared" si="185"/>
        <v>0</v>
      </c>
      <c r="AC80" s="14">
        <f t="shared" si="185"/>
        <v>0</v>
      </c>
      <c r="AD80" s="14">
        <f t="shared" si="185"/>
        <v>0</v>
      </c>
      <c r="AE80" s="14">
        <f t="shared" si="185"/>
        <v>0</v>
      </c>
      <c r="AF80" s="14">
        <f t="shared" si="185"/>
        <v>0</v>
      </c>
      <c r="AG80" s="14">
        <f t="shared" si="185"/>
        <v>0</v>
      </c>
      <c r="AH80" s="14">
        <f t="shared" si="185"/>
        <v>0</v>
      </c>
      <c r="AI80" s="14">
        <f t="shared" si="185"/>
        <v>0</v>
      </c>
      <c r="AJ80" s="14">
        <f t="shared" si="185"/>
        <v>0</v>
      </c>
      <c r="AK80" s="14">
        <f t="shared" si="185"/>
        <v>0</v>
      </c>
    </row>
    <row r="81" spans="1:37" x14ac:dyDescent="0.2">
      <c r="A81" s="10" t="str">
        <f t="shared" ref="A81:C81" si="186">A8</f>
        <v>Nombre Jurisdicción</v>
      </c>
      <c r="B81" s="10" t="str">
        <f t="shared" si="186"/>
        <v>Nombre Sector</v>
      </c>
      <c r="C81" s="10">
        <f t="shared" si="186"/>
        <v>0</v>
      </c>
      <c r="D81" s="15">
        <f t="shared" si="176"/>
        <v>0</v>
      </c>
      <c r="E81" s="10">
        <f t="shared" si="179"/>
        <v>0</v>
      </c>
      <c r="F81" s="15">
        <f t="shared" si="177"/>
        <v>0</v>
      </c>
      <c r="G81" s="15"/>
      <c r="H81" s="15">
        <f t="shared" ref="H81:AK81" si="187">IFERROR(H70/H8-1,0)</f>
        <v>0</v>
      </c>
      <c r="I81" s="15">
        <f t="shared" si="187"/>
        <v>0</v>
      </c>
      <c r="J81" s="15">
        <f t="shared" si="187"/>
        <v>0</v>
      </c>
      <c r="K81" s="15">
        <f t="shared" si="187"/>
        <v>0</v>
      </c>
      <c r="L81" s="15">
        <f t="shared" si="187"/>
        <v>0</v>
      </c>
      <c r="M81" s="15">
        <f t="shared" si="187"/>
        <v>0</v>
      </c>
      <c r="N81" s="15">
        <f t="shared" si="187"/>
        <v>0</v>
      </c>
      <c r="O81" s="15">
        <f t="shared" si="187"/>
        <v>0</v>
      </c>
      <c r="P81" s="15">
        <f t="shared" si="187"/>
        <v>0</v>
      </c>
      <c r="Q81" s="15">
        <f t="shared" si="187"/>
        <v>0</v>
      </c>
      <c r="R81" s="15">
        <f t="shared" si="187"/>
        <v>0</v>
      </c>
      <c r="S81" s="15">
        <f t="shared" si="187"/>
        <v>0</v>
      </c>
      <c r="T81" s="15">
        <f t="shared" si="187"/>
        <v>0</v>
      </c>
      <c r="U81" s="15">
        <f t="shared" si="187"/>
        <v>0</v>
      </c>
      <c r="V81" s="15">
        <f t="shared" si="187"/>
        <v>0</v>
      </c>
      <c r="W81" s="15">
        <f t="shared" si="187"/>
        <v>0</v>
      </c>
      <c r="X81" s="15">
        <f t="shared" si="187"/>
        <v>0</v>
      </c>
      <c r="Y81" s="15">
        <f t="shared" si="187"/>
        <v>0</v>
      </c>
      <c r="Z81" s="15">
        <f t="shared" si="187"/>
        <v>0</v>
      </c>
      <c r="AA81" s="15">
        <f t="shared" si="187"/>
        <v>0</v>
      </c>
      <c r="AB81" s="15">
        <f t="shared" si="187"/>
        <v>0</v>
      </c>
      <c r="AC81" s="15">
        <f t="shared" si="187"/>
        <v>0</v>
      </c>
      <c r="AD81" s="15">
        <f t="shared" si="187"/>
        <v>0</v>
      </c>
      <c r="AE81" s="15">
        <f t="shared" si="187"/>
        <v>0</v>
      </c>
      <c r="AF81" s="15">
        <f t="shared" si="187"/>
        <v>0</v>
      </c>
      <c r="AG81" s="15">
        <f t="shared" si="187"/>
        <v>0</v>
      </c>
      <c r="AH81" s="15">
        <f t="shared" si="187"/>
        <v>0</v>
      </c>
      <c r="AI81" s="15">
        <f t="shared" si="187"/>
        <v>0</v>
      </c>
      <c r="AJ81" s="15">
        <f t="shared" si="187"/>
        <v>0</v>
      </c>
      <c r="AK81" s="15">
        <f t="shared" si="187"/>
        <v>0</v>
      </c>
    </row>
    <row r="82" spans="1:37" x14ac:dyDescent="0.2">
      <c r="A82" s="12" t="s">
        <v>1</v>
      </c>
      <c r="B82" s="12"/>
      <c r="C82" s="12"/>
      <c r="D82" s="56">
        <f t="shared" si="176"/>
        <v>0.11831296628443599</v>
      </c>
      <c r="E82" s="55"/>
      <c r="F82" s="16">
        <f t="shared" si="177"/>
        <v>0.11831296628443599</v>
      </c>
      <c r="G82" s="16"/>
      <c r="H82" s="16">
        <f>IFERROR(H71/H9-1,0)</f>
        <v>0.10000000000000009</v>
      </c>
      <c r="I82" s="16">
        <f t="shared" ref="I82:AK82" si="188">IFERROR(I71/I9-1,0)</f>
        <v>0.10949125323701692</v>
      </c>
      <c r="J82" s="16">
        <f t="shared" si="188"/>
        <v>0.11882800329848675</v>
      </c>
      <c r="K82" s="16">
        <f t="shared" si="188"/>
        <v>0.12801864023735554</v>
      </c>
      <c r="L82" s="16">
        <f t="shared" si="188"/>
        <v>0.13705982205481693</v>
      </c>
      <c r="M82" s="16">
        <f t="shared" si="188"/>
        <v>0.14594750563343495</v>
      </c>
      <c r="N82" s="16">
        <f t="shared" si="188"/>
        <v>0.15467846582750955</v>
      </c>
      <c r="O82" s="16">
        <f t="shared" si="188"/>
        <v>0.1632557408177735</v>
      </c>
      <c r="P82" s="16">
        <f t="shared" si="188"/>
        <v>0.17168283619737812</v>
      </c>
      <c r="Q82" s="16">
        <f t="shared" si="188"/>
        <v>0.17995764861043262</v>
      </c>
      <c r="R82" s="16">
        <f t="shared" si="188"/>
        <v>0</v>
      </c>
      <c r="S82" s="16">
        <f t="shared" si="188"/>
        <v>0</v>
      </c>
      <c r="T82" s="16">
        <f t="shared" si="188"/>
        <v>0</v>
      </c>
      <c r="U82" s="16">
        <f t="shared" si="188"/>
        <v>0</v>
      </c>
      <c r="V82" s="16">
        <f t="shared" si="188"/>
        <v>0</v>
      </c>
      <c r="W82" s="16">
        <f t="shared" si="188"/>
        <v>0</v>
      </c>
      <c r="X82" s="16">
        <f t="shared" si="188"/>
        <v>0</v>
      </c>
      <c r="Y82" s="16">
        <f t="shared" si="188"/>
        <v>0</v>
      </c>
      <c r="Z82" s="16">
        <f t="shared" si="188"/>
        <v>0</v>
      </c>
      <c r="AA82" s="16">
        <f t="shared" si="188"/>
        <v>0</v>
      </c>
      <c r="AB82" s="16">
        <f t="shared" si="188"/>
        <v>0</v>
      </c>
      <c r="AC82" s="16">
        <f t="shared" si="188"/>
        <v>0</v>
      </c>
      <c r="AD82" s="16">
        <f t="shared" si="188"/>
        <v>0</v>
      </c>
      <c r="AE82" s="16">
        <f t="shared" si="188"/>
        <v>0</v>
      </c>
      <c r="AF82" s="16">
        <f t="shared" si="188"/>
        <v>0</v>
      </c>
      <c r="AG82" s="16">
        <f t="shared" si="188"/>
        <v>0</v>
      </c>
      <c r="AH82" s="16">
        <f t="shared" si="188"/>
        <v>0</v>
      </c>
      <c r="AI82" s="16">
        <f t="shared" si="188"/>
        <v>0</v>
      </c>
      <c r="AJ82" s="16">
        <f t="shared" si="188"/>
        <v>0</v>
      </c>
      <c r="AK82" s="16">
        <f t="shared" si="188"/>
        <v>0</v>
      </c>
    </row>
    <row r="84" spans="1:37" x14ac:dyDescent="0.2">
      <c r="A84" s="17" t="s">
        <v>79</v>
      </c>
    </row>
    <row r="85" spans="1:37" x14ac:dyDescent="0.2">
      <c r="A85" s="17" t="s">
        <v>136</v>
      </c>
    </row>
    <row r="86" spans="1:37" ht="37.5" x14ac:dyDescent="0.2">
      <c r="A86" s="6" t="s">
        <v>28</v>
      </c>
      <c r="B86" s="6" t="s">
        <v>29</v>
      </c>
      <c r="C86" s="6" t="s">
        <v>30</v>
      </c>
      <c r="D86" s="53" t="s">
        <v>126</v>
      </c>
      <c r="E86" s="53"/>
      <c r="F86" s="7" t="s">
        <v>127</v>
      </c>
      <c r="G86" s="7"/>
      <c r="H86" s="6">
        <v>2024</v>
      </c>
      <c r="I86" s="6">
        <v>2025</v>
      </c>
      <c r="J86" s="6">
        <v>2026</v>
      </c>
      <c r="K86" s="6">
        <v>2027</v>
      </c>
      <c r="L86" s="6">
        <v>2028</v>
      </c>
      <c r="M86" s="6">
        <v>2029</v>
      </c>
      <c r="N86" s="6">
        <v>2030</v>
      </c>
      <c r="O86" s="6">
        <v>2031</v>
      </c>
      <c r="P86" s="6">
        <v>2032</v>
      </c>
      <c r="Q86" s="6">
        <v>2033</v>
      </c>
      <c r="R86" s="50">
        <v>2034</v>
      </c>
      <c r="S86" s="50">
        <v>2035</v>
      </c>
      <c r="T86" s="50">
        <v>2036</v>
      </c>
      <c r="U86" s="50">
        <v>2037</v>
      </c>
      <c r="V86" s="50">
        <v>2038</v>
      </c>
      <c r="W86" s="50">
        <v>2039</v>
      </c>
      <c r="X86" s="50">
        <v>2040</v>
      </c>
      <c r="Y86" s="50">
        <v>2041</v>
      </c>
      <c r="Z86" s="50">
        <v>2042</v>
      </c>
      <c r="AA86" s="50">
        <v>2043</v>
      </c>
      <c r="AB86" s="50">
        <v>2044</v>
      </c>
      <c r="AC86" s="50">
        <v>2045</v>
      </c>
      <c r="AD86" s="50">
        <v>2046</v>
      </c>
      <c r="AE86" s="50">
        <v>2047</v>
      </c>
      <c r="AF86" s="50">
        <v>2048</v>
      </c>
      <c r="AG86" s="50">
        <v>2049</v>
      </c>
      <c r="AH86" s="50">
        <v>2050</v>
      </c>
      <c r="AI86" s="50">
        <v>2051</v>
      </c>
      <c r="AJ86" s="50">
        <v>2052</v>
      </c>
      <c r="AK86" s="50">
        <v>2053</v>
      </c>
    </row>
    <row r="87" spans="1:37" x14ac:dyDescent="0.2">
      <c r="A87" s="8" t="str">
        <f>A3</f>
        <v>Nombre Jurisdicción</v>
      </c>
      <c r="B87" s="8" t="str">
        <f>B3</f>
        <v>Nombre Sector</v>
      </c>
      <c r="C87" s="8" t="str">
        <f>C3</f>
        <v>Nombre UdM 1</v>
      </c>
      <c r="D87" s="9">
        <f t="shared" ref="D87:D93" si="189">SUM(H87:AK87)</f>
        <v>3599278080</v>
      </c>
      <c r="E87" s="8"/>
      <c r="F87" s="9">
        <f>SUM(H87:Q87)</f>
        <v>3599278080</v>
      </c>
      <c r="G87" s="14"/>
      <c r="H87" s="21">
        <v>788889600</v>
      </c>
      <c r="I87" s="21">
        <v>788889600</v>
      </c>
      <c r="J87" s="21">
        <v>485785600</v>
      </c>
      <c r="K87" s="21">
        <v>382177280</v>
      </c>
      <c r="L87" s="21">
        <v>200000000</v>
      </c>
      <c r="M87" s="21">
        <v>200000000</v>
      </c>
      <c r="N87" s="21">
        <v>200000000</v>
      </c>
      <c r="O87" s="21">
        <v>184512000</v>
      </c>
      <c r="P87" s="21">
        <v>184512000</v>
      </c>
      <c r="Q87" s="21">
        <v>184512000</v>
      </c>
      <c r="R87" s="21"/>
      <c r="S87" s="21"/>
      <c r="T87" s="21"/>
      <c r="U87" s="21"/>
      <c r="V87" s="21"/>
      <c r="W87" s="21"/>
      <c r="X87" s="21"/>
      <c r="Y87" s="21"/>
      <c r="Z87" s="21"/>
      <c r="AA87" s="21"/>
      <c r="AB87" s="21"/>
      <c r="AC87" s="21"/>
      <c r="AD87" s="21"/>
      <c r="AE87" s="21"/>
      <c r="AF87" s="21"/>
      <c r="AG87" s="21"/>
      <c r="AH87" s="21"/>
      <c r="AI87" s="21"/>
      <c r="AJ87" s="21"/>
      <c r="AK87" s="21"/>
    </row>
    <row r="88" spans="1:37" x14ac:dyDescent="0.2">
      <c r="A88" s="10" t="str">
        <f t="shared" ref="A88:C88" si="190">A4</f>
        <v>Nombre Jurisdicción</v>
      </c>
      <c r="B88" s="10" t="str">
        <f t="shared" si="190"/>
        <v>Nombre Sector</v>
      </c>
      <c r="C88" s="10" t="str">
        <f t="shared" si="190"/>
        <v>Nombre UdM 2</v>
      </c>
      <c r="D88" s="11">
        <f t="shared" si="189"/>
        <v>2019861993.8627043</v>
      </c>
      <c r="E88" s="10"/>
      <c r="F88" s="11">
        <f t="shared" ref="F88:F92" si="191">SUM(H88:Q88)</f>
        <v>2019861993.8627043</v>
      </c>
      <c r="G88" s="15"/>
      <c r="H88" s="22">
        <v>552208463.2393949</v>
      </c>
      <c r="I88" s="22">
        <v>587302380.26746261</v>
      </c>
      <c r="J88" s="22">
        <v>880351150.35584688</v>
      </c>
      <c r="K88" s="22">
        <v>0</v>
      </c>
      <c r="L88" s="22">
        <v>0</v>
      </c>
      <c r="M88" s="22">
        <v>0</v>
      </c>
      <c r="N88" s="22">
        <v>0</v>
      </c>
      <c r="O88" s="22">
        <v>0</v>
      </c>
      <c r="P88" s="22">
        <v>0</v>
      </c>
      <c r="Q88" s="22">
        <v>0</v>
      </c>
      <c r="R88" s="22"/>
      <c r="S88" s="22"/>
      <c r="T88" s="22"/>
      <c r="U88" s="22"/>
      <c r="V88" s="22"/>
      <c r="W88" s="22"/>
      <c r="X88" s="22"/>
      <c r="Y88" s="22"/>
      <c r="Z88" s="22"/>
      <c r="AA88" s="22"/>
      <c r="AB88" s="22"/>
      <c r="AC88" s="22"/>
      <c r="AD88" s="22"/>
      <c r="AE88" s="22"/>
      <c r="AF88" s="22"/>
      <c r="AG88" s="22"/>
      <c r="AH88" s="22"/>
      <c r="AI88" s="22"/>
      <c r="AJ88" s="22"/>
      <c r="AK88" s="22"/>
    </row>
    <row r="89" spans="1:37" x14ac:dyDescent="0.2">
      <c r="A89" s="8" t="str">
        <f t="shared" ref="A89:C89" si="192">A5</f>
        <v>Nombre Jurisdicción</v>
      </c>
      <c r="B89" s="8" t="str">
        <f t="shared" si="192"/>
        <v>Nombre Sector</v>
      </c>
      <c r="C89" s="8" t="str">
        <f t="shared" si="192"/>
        <v>Nombre UdM 3</v>
      </c>
      <c r="D89" s="9">
        <f t="shared" si="189"/>
        <v>1501814083.920001</v>
      </c>
      <c r="E89" s="8"/>
      <c r="F89" s="9">
        <f t="shared" si="191"/>
        <v>1501814083.920001</v>
      </c>
      <c r="G89" s="14"/>
      <c r="H89" s="21">
        <v>181751188.69464511</v>
      </c>
      <c r="I89" s="21">
        <v>1224822352.8463147</v>
      </c>
      <c r="J89" s="21">
        <v>61737705.861123532</v>
      </c>
      <c r="K89" s="21">
        <v>33502836.517917663</v>
      </c>
      <c r="L89" s="21">
        <v>0</v>
      </c>
      <c r="M89" s="21">
        <v>0</v>
      </c>
      <c r="N89" s="21">
        <v>0</v>
      </c>
      <c r="O89" s="21">
        <v>0</v>
      </c>
      <c r="P89" s="21">
        <v>0</v>
      </c>
      <c r="Q89" s="21">
        <v>0</v>
      </c>
      <c r="R89" s="21"/>
      <c r="S89" s="21"/>
      <c r="T89" s="21"/>
      <c r="U89" s="21"/>
      <c r="V89" s="21"/>
      <c r="W89" s="21"/>
      <c r="X89" s="21"/>
      <c r="Y89" s="21"/>
      <c r="Z89" s="21"/>
      <c r="AA89" s="21"/>
      <c r="AB89" s="21"/>
      <c r="AC89" s="21"/>
      <c r="AD89" s="21"/>
      <c r="AE89" s="21"/>
      <c r="AF89" s="21"/>
      <c r="AG89" s="21"/>
      <c r="AH89" s="21"/>
      <c r="AI89" s="21"/>
      <c r="AJ89" s="21"/>
      <c r="AK89" s="21"/>
    </row>
    <row r="90" spans="1:37" x14ac:dyDescent="0.2">
      <c r="A90" s="10" t="str">
        <f t="shared" ref="A90:C90" si="193">A6</f>
        <v>Nombre Jurisdicción</v>
      </c>
      <c r="B90" s="10" t="str">
        <f t="shared" si="193"/>
        <v>Nombre Sector</v>
      </c>
      <c r="C90" s="10">
        <f t="shared" si="193"/>
        <v>0</v>
      </c>
      <c r="D90" s="11">
        <f t="shared" si="189"/>
        <v>0</v>
      </c>
      <c r="E90" s="10"/>
      <c r="F90" s="11">
        <f t="shared" si="191"/>
        <v>0</v>
      </c>
      <c r="G90" s="15"/>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row>
    <row r="91" spans="1:37" x14ac:dyDescent="0.2">
      <c r="A91" s="8" t="str">
        <f t="shared" ref="A91:C91" si="194">A7</f>
        <v>Nombre Jurisdicción</v>
      </c>
      <c r="B91" s="8" t="str">
        <f t="shared" si="194"/>
        <v>Nombre Sector</v>
      </c>
      <c r="C91" s="8">
        <f t="shared" si="194"/>
        <v>0</v>
      </c>
      <c r="D91" s="9">
        <f t="shared" si="189"/>
        <v>0</v>
      </c>
      <c r="E91" s="8"/>
      <c r="F91" s="9">
        <f t="shared" si="191"/>
        <v>0</v>
      </c>
      <c r="G91" s="14"/>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row>
    <row r="92" spans="1:37" x14ac:dyDescent="0.2">
      <c r="A92" s="10" t="str">
        <f t="shared" ref="A92:C92" si="195">A8</f>
        <v>Nombre Jurisdicción</v>
      </c>
      <c r="B92" s="10" t="str">
        <f t="shared" si="195"/>
        <v>Nombre Sector</v>
      </c>
      <c r="C92" s="10">
        <f t="shared" si="195"/>
        <v>0</v>
      </c>
      <c r="D92" s="11">
        <f t="shared" si="189"/>
        <v>0</v>
      </c>
      <c r="E92" s="10"/>
      <c r="F92" s="11">
        <f t="shared" si="191"/>
        <v>0</v>
      </c>
      <c r="G92" s="15"/>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row>
    <row r="93" spans="1:37" x14ac:dyDescent="0.2">
      <c r="A93" s="12" t="s">
        <v>1</v>
      </c>
      <c r="B93" s="12"/>
      <c r="C93" s="12"/>
      <c r="D93" s="54">
        <f t="shared" si="189"/>
        <v>7120954157.7827053</v>
      </c>
      <c r="E93" s="55"/>
      <c r="F93" s="13">
        <f>SUM(F87:F92)</f>
        <v>7120954157.7827053</v>
      </c>
      <c r="G93" s="16"/>
      <c r="H93" s="13">
        <f>SUM(H87:H89)</f>
        <v>1522849251.9340401</v>
      </c>
      <c r="I93" s="13">
        <f t="shared" ref="I93:AK93" si="196">SUM(I87:I89)</f>
        <v>2601014333.1137772</v>
      </c>
      <c r="J93" s="13">
        <f t="shared" si="196"/>
        <v>1427874456.2169704</v>
      </c>
      <c r="K93" s="13">
        <f t="shared" si="196"/>
        <v>415680116.51791763</v>
      </c>
      <c r="L93" s="13">
        <f t="shared" si="196"/>
        <v>200000000</v>
      </c>
      <c r="M93" s="13">
        <f t="shared" si="196"/>
        <v>200000000</v>
      </c>
      <c r="N93" s="13">
        <f t="shared" si="196"/>
        <v>200000000</v>
      </c>
      <c r="O93" s="13">
        <f t="shared" si="196"/>
        <v>184512000</v>
      </c>
      <c r="P93" s="13">
        <f t="shared" si="196"/>
        <v>184512000</v>
      </c>
      <c r="Q93" s="13">
        <f t="shared" si="196"/>
        <v>184512000</v>
      </c>
      <c r="R93" s="13">
        <f t="shared" si="196"/>
        <v>0</v>
      </c>
      <c r="S93" s="13">
        <f t="shared" si="196"/>
        <v>0</v>
      </c>
      <c r="T93" s="13">
        <f t="shared" si="196"/>
        <v>0</v>
      </c>
      <c r="U93" s="13">
        <f t="shared" si="196"/>
        <v>0</v>
      </c>
      <c r="V93" s="13">
        <f t="shared" si="196"/>
        <v>0</v>
      </c>
      <c r="W93" s="13">
        <f t="shared" si="196"/>
        <v>0</v>
      </c>
      <c r="X93" s="13">
        <f t="shared" si="196"/>
        <v>0</v>
      </c>
      <c r="Y93" s="13">
        <f t="shared" si="196"/>
        <v>0</v>
      </c>
      <c r="Z93" s="13">
        <f t="shared" si="196"/>
        <v>0</v>
      </c>
      <c r="AA93" s="13">
        <f t="shared" si="196"/>
        <v>0</v>
      </c>
      <c r="AB93" s="13">
        <f t="shared" si="196"/>
        <v>0</v>
      </c>
      <c r="AC93" s="13">
        <f t="shared" si="196"/>
        <v>0</v>
      </c>
      <c r="AD93" s="13">
        <f t="shared" si="196"/>
        <v>0</v>
      </c>
      <c r="AE93" s="13">
        <f t="shared" si="196"/>
        <v>0</v>
      </c>
      <c r="AF93" s="13">
        <f t="shared" si="196"/>
        <v>0</v>
      </c>
      <c r="AG93" s="13">
        <f t="shared" si="196"/>
        <v>0</v>
      </c>
      <c r="AH93" s="13">
        <f t="shared" si="196"/>
        <v>0</v>
      </c>
      <c r="AI93" s="13">
        <f t="shared" si="196"/>
        <v>0</v>
      </c>
      <c r="AJ93" s="13">
        <f t="shared" si="196"/>
        <v>0</v>
      </c>
      <c r="AK93" s="13">
        <f t="shared" si="196"/>
        <v>0</v>
      </c>
    </row>
    <row r="95" spans="1:37" x14ac:dyDescent="0.2">
      <c r="A95" s="17" t="s">
        <v>33</v>
      </c>
    </row>
    <row r="97" spans="1:37" x14ac:dyDescent="0.2">
      <c r="A97" t="s">
        <v>80</v>
      </c>
    </row>
    <row r="98" spans="1:37" x14ac:dyDescent="0.2">
      <c r="A98" t="s">
        <v>50</v>
      </c>
    </row>
    <row r="99" spans="1:37" x14ac:dyDescent="0.2">
      <c r="A99" t="s">
        <v>81</v>
      </c>
    </row>
    <row r="101" spans="1:37" x14ac:dyDescent="0.2">
      <c r="A101" s="17" t="s">
        <v>137</v>
      </c>
    </row>
    <row r="102" spans="1:37" ht="49.5" x14ac:dyDescent="0.2">
      <c r="A102" s="6" t="s">
        <v>28</v>
      </c>
      <c r="B102" s="6" t="s">
        <v>29</v>
      </c>
      <c r="C102" s="6" t="s">
        <v>30</v>
      </c>
      <c r="D102" s="53" t="s">
        <v>124</v>
      </c>
      <c r="E102" s="53" t="s">
        <v>125</v>
      </c>
      <c r="F102" s="7" t="s">
        <v>121</v>
      </c>
      <c r="G102" s="7" t="s">
        <v>122</v>
      </c>
      <c r="H102" s="6">
        <v>2024</v>
      </c>
      <c r="I102" s="6">
        <v>2025</v>
      </c>
      <c r="J102" s="6">
        <v>2026</v>
      </c>
      <c r="K102" s="6">
        <v>2027</v>
      </c>
      <c r="L102" s="6">
        <v>2028</v>
      </c>
      <c r="M102" s="6">
        <v>2029</v>
      </c>
      <c r="N102" s="6">
        <v>2030</v>
      </c>
      <c r="O102" s="6">
        <v>2031</v>
      </c>
      <c r="P102" s="6">
        <v>2032</v>
      </c>
      <c r="Q102" s="6">
        <v>2033</v>
      </c>
      <c r="R102" s="50">
        <v>2034</v>
      </c>
      <c r="S102" s="50">
        <v>2035</v>
      </c>
      <c r="T102" s="50">
        <v>2036</v>
      </c>
      <c r="U102" s="50">
        <v>2037</v>
      </c>
      <c r="V102" s="50">
        <v>2038</v>
      </c>
      <c r="W102" s="50">
        <v>2039</v>
      </c>
      <c r="X102" s="50">
        <v>2040</v>
      </c>
      <c r="Y102" s="50">
        <v>2041</v>
      </c>
      <c r="Z102" s="50">
        <v>2042</v>
      </c>
      <c r="AA102" s="50">
        <v>2043</v>
      </c>
      <c r="AB102" s="50">
        <v>2044</v>
      </c>
      <c r="AC102" s="50">
        <v>2045</v>
      </c>
      <c r="AD102" s="50">
        <v>2046</v>
      </c>
      <c r="AE102" s="50">
        <v>2047</v>
      </c>
      <c r="AF102" s="50">
        <v>2048</v>
      </c>
      <c r="AG102" s="50">
        <v>2049</v>
      </c>
      <c r="AH102" s="50">
        <v>2050</v>
      </c>
      <c r="AI102" s="50">
        <v>2051</v>
      </c>
      <c r="AJ102" s="50">
        <v>2052</v>
      </c>
      <c r="AK102" s="50">
        <v>2053</v>
      </c>
    </row>
    <row r="103" spans="1:37" x14ac:dyDescent="0.2">
      <c r="A103" s="8" t="str">
        <f>A3</f>
        <v>Nombre Jurisdicción</v>
      </c>
      <c r="B103" s="8" t="str">
        <f>B3</f>
        <v>Nombre Sector</v>
      </c>
      <c r="C103" s="8" t="str">
        <f>C3</f>
        <v>Nombre UdM 1</v>
      </c>
      <c r="D103" s="9">
        <f>SUM(H103:AK103)</f>
        <v>23867958033.248985</v>
      </c>
      <c r="E103" s="8">
        <f>COUNTIF(H103:AK103,"&gt;0")</f>
        <v>10</v>
      </c>
      <c r="F103" s="9">
        <f>SUM(H103:Q103)</f>
        <v>23867958033.248985</v>
      </c>
      <c r="G103" s="14">
        <f>IFERROR(F103/D103,0)</f>
        <v>1</v>
      </c>
      <c r="H103" s="9">
        <f>H65+H87</f>
        <v>5127782400</v>
      </c>
      <c r="I103" s="9">
        <f t="shared" ref="I103:AK108" si="197">I65+I87</f>
        <v>5165220154.8482456</v>
      </c>
      <c r="J103" s="9">
        <f t="shared" si="197"/>
        <v>3203338264.3957868</v>
      </c>
      <c r="K103" s="9">
        <f t="shared" si="197"/>
        <v>2537692758.5760555</v>
      </c>
      <c r="L103" s="9">
        <f t="shared" si="197"/>
        <v>1337059822.054817</v>
      </c>
      <c r="M103" s="9">
        <f t="shared" si="197"/>
        <v>1345947505.633435</v>
      </c>
      <c r="N103" s="9">
        <f t="shared" si="197"/>
        <v>1354678465.8275096</v>
      </c>
      <c r="O103" s="9">
        <f t="shared" si="197"/>
        <v>1257685216.2488451</v>
      </c>
      <c r="P103" s="9">
        <f t="shared" si="197"/>
        <v>1265459717.3622532</v>
      </c>
      <c r="Q103" s="9">
        <f t="shared" si="197"/>
        <v>1273093728.3020408</v>
      </c>
      <c r="R103" s="9">
        <f t="shared" si="197"/>
        <v>0</v>
      </c>
      <c r="S103" s="9">
        <f t="shared" si="197"/>
        <v>0</v>
      </c>
      <c r="T103" s="9">
        <f t="shared" si="197"/>
        <v>0</v>
      </c>
      <c r="U103" s="9">
        <f t="shared" si="197"/>
        <v>0</v>
      </c>
      <c r="V103" s="9">
        <f t="shared" si="197"/>
        <v>0</v>
      </c>
      <c r="W103" s="9">
        <f t="shared" si="197"/>
        <v>0</v>
      </c>
      <c r="X103" s="9">
        <f t="shared" si="197"/>
        <v>0</v>
      </c>
      <c r="Y103" s="9">
        <f t="shared" si="197"/>
        <v>0</v>
      </c>
      <c r="Z103" s="9">
        <f t="shared" si="197"/>
        <v>0</v>
      </c>
      <c r="AA103" s="9">
        <f t="shared" si="197"/>
        <v>0</v>
      </c>
      <c r="AB103" s="9">
        <f t="shared" si="197"/>
        <v>0</v>
      </c>
      <c r="AC103" s="9">
        <f t="shared" si="197"/>
        <v>0</v>
      </c>
      <c r="AD103" s="9">
        <f t="shared" si="197"/>
        <v>0</v>
      </c>
      <c r="AE103" s="9">
        <f t="shared" si="197"/>
        <v>0</v>
      </c>
      <c r="AF103" s="9">
        <f t="shared" si="197"/>
        <v>0</v>
      </c>
      <c r="AG103" s="9">
        <f t="shared" si="197"/>
        <v>0</v>
      </c>
      <c r="AH103" s="9">
        <f t="shared" si="197"/>
        <v>0</v>
      </c>
      <c r="AI103" s="9">
        <f t="shared" si="197"/>
        <v>0</v>
      </c>
      <c r="AJ103" s="9">
        <f t="shared" si="197"/>
        <v>0</v>
      </c>
      <c r="AK103" s="9">
        <f t="shared" si="197"/>
        <v>0</v>
      </c>
    </row>
    <row r="104" spans="1:37" x14ac:dyDescent="0.2">
      <c r="A104" s="10" t="str">
        <f t="shared" ref="A104:C104" si="198">A4</f>
        <v>Nombre Jurisdicción</v>
      </c>
      <c r="B104" s="10" t="str">
        <f t="shared" si="198"/>
        <v>Nombre Sector</v>
      </c>
      <c r="C104" s="10" t="str">
        <f t="shared" si="198"/>
        <v>Nombre UdM 2</v>
      </c>
      <c r="D104" s="11">
        <f t="shared" ref="D104:D109" si="199">SUM(H104:AK104)</f>
        <v>13239850410.010317</v>
      </c>
      <c r="E104" s="10">
        <f t="shared" ref="E104:E108" si="200">COUNTIF(H104:AK104,"&gt;0")</f>
        <v>3</v>
      </c>
      <c r="F104" s="11">
        <f t="shared" ref="F104:F108" si="201">SUM(H104:Q104)</f>
        <v>13239850410.010317</v>
      </c>
      <c r="G104" s="15">
        <f t="shared" ref="G104:G109" si="202">IFERROR(F104/D104,0)</f>
        <v>1</v>
      </c>
      <c r="H104" s="11">
        <f t="shared" ref="H104:W108" si="203">H66+H88</f>
        <v>3589355011.0560665</v>
      </c>
      <c r="I104" s="11">
        <f t="shared" si="203"/>
        <v>3845336649.8276138</v>
      </c>
      <c r="J104" s="11">
        <f t="shared" si="203"/>
        <v>5805158749.1266365</v>
      </c>
      <c r="K104" s="11">
        <f t="shared" si="203"/>
        <v>0</v>
      </c>
      <c r="L104" s="11">
        <f t="shared" si="203"/>
        <v>0</v>
      </c>
      <c r="M104" s="11">
        <f t="shared" si="203"/>
        <v>0</v>
      </c>
      <c r="N104" s="11">
        <f t="shared" si="203"/>
        <v>0</v>
      </c>
      <c r="O104" s="11">
        <f t="shared" si="203"/>
        <v>0</v>
      </c>
      <c r="P104" s="11">
        <f t="shared" si="203"/>
        <v>0</v>
      </c>
      <c r="Q104" s="11">
        <f t="shared" si="203"/>
        <v>0</v>
      </c>
      <c r="R104" s="11">
        <f t="shared" si="203"/>
        <v>0</v>
      </c>
      <c r="S104" s="11">
        <f t="shared" si="203"/>
        <v>0</v>
      </c>
      <c r="T104" s="11">
        <f t="shared" si="203"/>
        <v>0</v>
      </c>
      <c r="U104" s="11">
        <f t="shared" si="203"/>
        <v>0</v>
      </c>
      <c r="V104" s="11">
        <f t="shared" si="203"/>
        <v>0</v>
      </c>
      <c r="W104" s="11">
        <f t="shared" si="203"/>
        <v>0</v>
      </c>
      <c r="X104" s="11">
        <f t="shared" si="197"/>
        <v>0</v>
      </c>
      <c r="Y104" s="11">
        <f t="shared" si="197"/>
        <v>0</v>
      </c>
      <c r="Z104" s="11">
        <f t="shared" si="197"/>
        <v>0</v>
      </c>
      <c r="AA104" s="11">
        <f t="shared" si="197"/>
        <v>0</v>
      </c>
      <c r="AB104" s="11">
        <f t="shared" si="197"/>
        <v>0</v>
      </c>
      <c r="AC104" s="11">
        <f t="shared" si="197"/>
        <v>0</v>
      </c>
      <c r="AD104" s="11">
        <f t="shared" si="197"/>
        <v>0</v>
      </c>
      <c r="AE104" s="11">
        <f t="shared" si="197"/>
        <v>0</v>
      </c>
      <c r="AF104" s="11">
        <f t="shared" si="197"/>
        <v>0</v>
      </c>
      <c r="AG104" s="11">
        <f t="shared" si="197"/>
        <v>0</v>
      </c>
      <c r="AH104" s="11">
        <f t="shared" si="197"/>
        <v>0</v>
      </c>
      <c r="AI104" s="11">
        <f t="shared" si="197"/>
        <v>0</v>
      </c>
      <c r="AJ104" s="11">
        <f t="shared" si="197"/>
        <v>0</v>
      </c>
      <c r="AK104" s="11">
        <f t="shared" si="197"/>
        <v>0</v>
      </c>
    </row>
    <row r="105" spans="1:37" x14ac:dyDescent="0.2">
      <c r="A105" s="8" t="str">
        <f t="shared" ref="A105:C105" si="204">A5</f>
        <v>Nombre Jurisdicción</v>
      </c>
      <c r="B105" s="8" t="str">
        <f t="shared" si="204"/>
        <v>Nombre Sector</v>
      </c>
      <c r="C105" s="8" t="str">
        <f t="shared" si="204"/>
        <v>Nombre UdM 3</v>
      </c>
      <c r="D105" s="9">
        <f t="shared" si="199"/>
        <v>9830422549.3507252</v>
      </c>
      <c r="E105" s="8">
        <f t="shared" si="200"/>
        <v>4</v>
      </c>
      <c r="F105" s="9">
        <f t="shared" si="201"/>
        <v>9830422549.3507252</v>
      </c>
      <c r="G105" s="14">
        <f t="shared" si="202"/>
        <v>1</v>
      </c>
      <c r="H105" s="9">
        <f t="shared" si="203"/>
        <v>1181382726.515193</v>
      </c>
      <c r="I105" s="9">
        <f t="shared" si="197"/>
        <v>8019470789.1071615</v>
      </c>
      <c r="J105" s="9">
        <f t="shared" si="197"/>
        <v>407107076.74527419</v>
      </c>
      <c r="K105" s="9">
        <f t="shared" si="197"/>
        <v>222461956.98309717</v>
      </c>
      <c r="L105" s="9">
        <f t="shared" si="197"/>
        <v>0</v>
      </c>
      <c r="M105" s="9">
        <f t="shared" si="197"/>
        <v>0</v>
      </c>
      <c r="N105" s="9">
        <f t="shared" si="197"/>
        <v>0</v>
      </c>
      <c r="O105" s="9">
        <f t="shared" si="197"/>
        <v>0</v>
      </c>
      <c r="P105" s="9">
        <f t="shared" si="197"/>
        <v>0</v>
      </c>
      <c r="Q105" s="9">
        <f t="shared" si="197"/>
        <v>0</v>
      </c>
      <c r="R105" s="9">
        <f t="shared" si="197"/>
        <v>0</v>
      </c>
      <c r="S105" s="9">
        <f t="shared" si="197"/>
        <v>0</v>
      </c>
      <c r="T105" s="9">
        <f t="shared" si="197"/>
        <v>0</v>
      </c>
      <c r="U105" s="9">
        <f t="shared" si="197"/>
        <v>0</v>
      </c>
      <c r="V105" s="9">
        <f t="shared" si="197"/>
        <v>0</v>
      </c>
      <c r="W105" s="9">
        <f t="shared" si="197"/>
        <v>0</v>
      </c>
      <c r="X105" s="9">
        <f t="shared" si="197"/>
        <v>0</v>
      </c>
      <c r="Y105" s="9">
        <f t="shared" si="197"/>
        <v>0</v>
      </c>
      <c r="Z105" s="9">
        <f t="shared" si="197"/>
        <v>0</v>
      </c>
      <c r="AA105" s="9">
        <f t="shared" si="197"/>
        <v>0</v>
      </c>
      <c r="AB105" s="9">
        <f t="shared" si="197"/>
        <v>0</v>
      </c>
      <c r="AC105" s="9">
        <f t="shared" si="197"/>
        <v>0</v>
      </c>
      <c r="AD105" s="9">
        <f t="shared" si="197"/>
        <v>0</v>
      </c>
      <c r="AE105" s="9">
        <f t="shared" si="197"/>
        <v>0</v>
      </c>
      <c r="AF105" s="9">
        <f t="shared" si="197"/>
        <v>0</v>
      </c>
      <c r="AG105" s="9">
        <f t="shared" si="197"/>
        <v>0</v>
      </c>
      <c r="AH105" s="9">
        <f t="shared" si="197"/>
        <v>0</v>
      </c>
      <c r="AI105" s="9">
        <f t="shared" si="197"/>
        <v>0</v>
      </c>
      <c r="AJ105" s="9">
        <f t="shared" si="197"/>
        <v>0</v>
      </c>
      <c r="AK105" s="9">
        <f t="shared" si="197"/>
        <v>0</v>
      </c>
    </row>
    <row r="106" spans="1:37" x14ac:dyDescent="0.2">
      <c r="A106" s="10" t="str">
        <f t="shared" ref="A106:C106" si="205">A6</f>
        <v>Nombre Jurisdicción</v>
      </c>
      <c r="B106" s="10" t="str">
        <f t="shared" si="205"/>
        <v>Nombre Sector</v>
      </c>
      <c r="C106" s="10">
        <f t="shared" si="205"/>
        <v>0</v>
      </c>
      <c r="D106" s="11">
        <f t="shared" si="199"/>
        <v>0</v>
      </c>
      <c r="E106" s="10">
        <f t="shared" si="200"/>
        <v>0</v>
      </c>
      <c r="F106" s="11">
        <f t="shared" si="201"/>
        <v>0</v>
      </c>
      <c r="G106" s="15">
        <f t="shared" si="202"/>
        <v>0</v>
      </c>
      <c r="H106" s="11">
        <f t="shared" si="203"/>
        <v>0</v>
      </c>
      <c r="I106" s="11">
        <f t="shared" si="197"/>
        <v>0</v>
      </c>
      <c r="J106" s="11">
        <f t="shared" si="197"/>
        <v>0</v>
      </c>
      <c r="K106" s="11">
        <f t="shared" si="197"/>
        <v>0</v>
      </c>
      <c r="L106" s="11">
        <f t="shared" si="197"/>
        <v>0</v>
      </c>
      <c r="M106" s="11">
        <f t="shared" si="197"/>
        <v>0</v>
      </c>
      <c r="N106" s="11">
        <f t="shared" si="197"/>
        <v>0</v>
      </c>
      <c r="O106" s="11">
        <f t="shared" si="197"/>
        <v>0</v>
      </c>
      <c r="P106" s="11">
        <f t="shared" si="197"/>
        <v>0</v>
      </c>
      <c r="Q106" s="11">
        <f t="shared" si="197"/>
        <v>0</v>
      </c>
      <c r="R106" s="11">
        <f t="shared" si="197"/>
        <v>0</v>
      </c>
      <c r="S106" s="11">
        <f t="shared" si="197"/>
        <v>0</v>
      </c>
      <c r="T106" s="11">
        <f t="shared" si="197"/>
        <v>0</v>
      </c>
      <c r="U106" s="11">
        <f t="shared" si="197"/>
        <v>0</v>
      </c>
      <c r="V106" s="11">
        <f t="shared" si="197"/>
        <v>0</v>
      </c>
      <c r="W106" s="11">
        <f t="shared" si="197"/>
        <v>0</v>
      </c>
      <c r="X106" s="11">
        <f t="shared" si="197"/>
        <v>0</v>
      </c>
      <c r="Y106" s="11">
        <f t="shared" si="197"/>
        <v>0</v>
      </c>
      <c r="Z106" s="11">
        <f t="shared" si="197"/>
        <v>0</v>
      </c>
      <c r="AA106" s="11">
        <f t="shared" si="197"/>
        <v>0</v>
      </c>
      <c r="AB106" s="11">
        <f t="shared" si="197"/>
        <v>0</v>
      </c>
      <c r="AC106" s="11">
        <f t="shared" si="197"/>
        <v>0</v>
      </c>
      <c r="AD106" s="11">
        <f t="shared" si="197"/>
        <v>0</v>
      </c>
      <c r="AE106" s="11">
        <f t="shared" si="197"/>
        <v>0</v>
      </c>
      <c r="AF106" s="11">
        <f t="shared" si="197"/>
        <v>0</v>
      </c>
      <c r="AG106" s="11">
        <f t="shared" si="197"/>
        <v>0</v>
      </c>
      <c r="AH106" s="11">
        <f t="shared" si="197"/>
        <v>0</v>
      </c>
      <c r="AI106" s="11">
        <f t="shared" si="197"/>
        <v>0</v>
      </c>
      <c r="AJ106" s="11">
        <f t="shared" si="197"/>
        <v>0</v>
      </c>
      <c r="AK106" s="11">
        <f t="shared" si="197"/>
        <v>0</v>
      </c>
    </row>
    <row r="107" spans="1:37" x14ac:dyDescent="0.2">
      <c r="A107" s="8" t="str">
        <f t="shared" ref="A107:C107" si="206">A7</f>
        <v>Nombre Jurisdicción</v>
      </c>
      <c r="B107" s="8" t="str">
        <f t="shared" si="206"/>
        <v>Nombre Sector</v>
      </c>
      <c r="C107" s="8">
        <f t="shared" si="206"/>
        <v>0</v>
      </c>
      <c r="D107" s="9">
        <f t="shared" si="199"/>
        <v>0</v>
      </c>
      <c r="E107" s="8">
        <f t="shared" si="200"/>
        <v>0</v>
      </c>
      <c r="F107" s="9">
        <f t="shared" si="201"/>
        <v>0</v>
      </c>
      <c r="G107" s="14">
        <f t="shared" si="202"/>
        <v>0</v>
      </c>
      <c r="H107" s="9">
        <f t="shared" si="203"/>
        <v>0</v>
      </c>
      <c r="I107" s="9">
        <f t="shared" si="197"/>
        <v>0</v>
      </c>
      <c r="J107" s="9">
        <f t="shared" si="197"/>
        <v>0</v>
      </c>
      <c r="K107" s="9">
        <f t="shared" si="197"/>
        <v>0</v>
      </c>
      <c r="L107" s="9">
        <f t="shared" si="197"/>
        <v>0</v>
      </c>
      <c r="M107" s="9">
        <f t="shared" si="197"/>
        <v>0</v>
      </c>
      <c r="N107" s="9">
        <f t="shared" si="197"/>
        <v>0</v>
      </c>
      <c r="O107" s="9">
        <f t="shared" si="197"/>
        <v>0</v>
      </c>
      <c r="P107" s="9">
        <f t="shared" si="197"/>
        <v>0</v>
      </c>
      <c r="Q107" s="9">
        <f t="shared" si="197"/>
        <v>0</v>
      </c>
      <c r="R107" s="9">
        <f t="shared" si="197"/>
        <v>0</v>
      </c>
      <c r="S107" s="9">
        <f t="shared" si="197"/>
        <v>0</v>
      </c>
      <c r="T107" s="9">
        <f t="shared" si="197"/>
        <v>0</v>
      </c>
      <c r="U107" s="9">
        <f t="shared" si="197"/>
        <v>0</v>
      </c>
      <c r="V107" s="9">
        <f t="shared" si="197"/>
        <v>0</v>
      </c>
      <c r="W107" s="9">
        <f t="shared" si="197"/>
        <v>0</v>
      </c>
      <c r="X107" s="9">
        <f t="shared" si="197"/>
        <v>0</v>
      </c>
      <c r="Y107" s="9">
        <f t="shared" si="197"/>
        <v>0</v>
      </c>
      <c r="Z107" s="9">
        <f t="shared" si="197"/>
        <v>0</v>
      </c>
      <c r="AA107" s="9">
        <f t="shared" si="197"/>
        <v>0</v>
      </c>
      <c r="AB107" s="9">
        <f t="shared" si="197"/>
        <v>0</v>
      </c>
      <c r="AC107" s="9">
        <f t="shared" si="197"/>
        <v>0</v>
      </c>
      <c r="AD107" s="9">
        <f t="shared" si="197"/>
        <v>0</v>
      </c>
      <c r="AE107" s="9">
        <f t="shared" si="197"/>
        <v>0</v>
      </c>
      <c r="AF107" s="9">
        <f t="shared" si="197"/>
        <v>0</v>
      </c>
      <c r="AG107" s="9">
        <f t="shared" si="197"/>
        <v>0</v>
      </c>
      <c r="AH107" s="9">
        <f t="shared" si="197"/>
        <v>0</v>
      </c>
      <c r="AI107" s="9">
        <f t="shared" si="197"/>
        <v>0</v>
      </c>
      <c r="AJ107" s="9">
        <f t="shared" si="197"/>
        <v>0</v>
      </c>
      <c r="AK107" s="9">
        <f t="shared" si="197"/>
        <v>0</v>
      </c>
    </row>
    <row r="108" spans="1:37" x14ac:dyDescent="0.2">
      <c r="A108" s="10" t="str">
        <f t="shared" ref="A108:C108" si="207">A8</f>
        <v>Nombre Jurisdicción</v>
      </c>
      <c r="B108" s="10" t="str">
        <f t="shared" si="207"/>
        <v>Nombre Sector</v>
      </c>
      <c r="C108" s="10">
        <f t="shared" si="207"/>
        <v>0</v>
      </c>
      <c r="D108" s="11">
        <f t="shared" si="199"/>
        <v>0</v>
      </c>
      <c r="E108" s="10">
        <f t="shared" si="200"/>
        <v>0</v>
      </c>
      <c r="F108" s="11">
        <f t="shared" si="201"/>
        <v>0</v>
      </c>
      <c r="G108" s="15">
        <f t="shared" si="202"/>
        <v>0</v>
      </c>
      <c r="H108" s="11">
        <f t="shared" si="203"/>
        <v>0</v>
      </c>
      <c r="I108" s="11">
        <f t="shared" si="197"/>
        <v>0</v>
      </c>
      <c r="J108" s="11">
        <f t="shared" si="197"/>
        <v>0</v>
      </c>
      <c r="K108" s="11">
        <f t="shared" si="197"/>
        <v>0</v>
      </c>
      <c r="L108" s="11">
        <f t="shared" si="197"/>
        <v>0</v>
      </c>
      <c r="M108" s="11">
        <f t="shared" si="197"/>
        <v>0</v>
      </c>
      <c r="N108" s="11">
        <f t="shared" si="197"/>
        <v>0</v>
      </c>
      <c r="O108" s="11">
        <f t="shared" si="197"/>
        <v>0</v>
      </c>
      <c r="P108" s="11">
        <f t="shared" si="197"/>
        <v>0</v>
      </c>
      <c r="Q108" s="11">
        <f t="shared" si="197"/>
        <v>0</v>
      </c>
      <c r="R108" s="11">
        <f t="shared" si="197"/>
        <v>0</v>
      </c>
      <c r="S108" s="11">
        <f t="shared" si="197"/>
        <v>0</v>
      </c>
      <c r="T108" s="11">
        <f t="shared" si="197"/>
        <v>0</v>
      </c>
      <c r="U108" s="11">
        <f t="shared" si="197"/>
        <v>0</v>
      </c>
      <c r="V108" s="11">
        <f t="shared" si="197"/>
        <v>0</v>
      </c>
      <c r="W108" s="11">
        <f t="shared" si="197"/>
        <v>0</v>
      </c>
      <c r="X108" s="11">
        <f t="shared" si="197"/>
        <v>0</v>
      </c>
      <c r="Y108" s="11">
        <f t="shared" si="197"/>
        <v>0</v>
      </c>
      <c r="Z108" s="11">
        <f t="shared" si="197"/>
        <v>0</v>
      </c>
      <c r="AA108" s="11">
        <f t="shared" si="197"/>
        <v>0</v>
      </c>
      <c r="AB108" s="11">
        <f t="shared" si="197"/>
        <v>0</v>
      </c>
      <c r="AC108" s="11">
        <f t="shared" si="197"/>
        <v>0</v>
      </c>
      <c r="AD108" s="11">
        <f t="shared" si="197"/>
        <v>0</v>
      </c>
      <c r="AE108" s="11">
        <f t="shared" si="197"/>
        <v>0</v>
      </c>
      <c r="AF108" s="11">
        <f t="shared" si="197"/>
        <v>0</v>
      </c>
      <c r="AG108" s="11">
        <f t="shared" si="197"/>
        <v>0</v>
      </c>
      <c r="AH108" s="11">
        <f t="shared" si="197"/>
        <v>0</v>
      </c>
      <c r="AI108" s="11">
        <f t="shared" si="197"/>
        <v>0</v>
      </c>
      <c r="AJ108" s="11">
        <f t="shared" si="197"/>
        <v>0</v>
      </c>
      <c r="AK108" s="11">
        <f t="shared" si="197"/>
        <v>0</v>
      </c>
    </row>
    <row r="109" spans="1:37" x14ac:dyDescent="0.2">
      <c r="A109" s="12" t="s">
        <v>1</v>
      </c>
      <c r="B109" s="12"/>
      <c r="C109" s="12"/>
      <c r="D109" s="13">
        <f t="shared" si="199"/>
        <v>46938230992.610031</v>
      </c>
      <c r="E109" s="12"/>
      <c r="F109" s="13">
        <f>SUM(F103:F105)</f>
        <v>46938230992.610023</v>
      </c>
      <c r="G109" s="16">
        <f t="shared" si="202"/>
        <v>0.99999999999999989</v>
      </c>
      <c r="H109" s="13">
        <f>SUM(H103:H105)</f>
        <v>9898520137.5712585</v>
      </c>
      <c r="I109" s="13">
        <f t="shared" ref="I109:AK109" si="208">SUM(I103:I105)</f>
        <v>17030027593.78302</v>
      </c>
      <c r="J109" s="13">
        <f t="shared" si="208"/>
        <v>9415604090.2676964</v>
      </c>
      <c r="K109" s="13">
        <f t="shared" si="208"/>
        <v>2760154715.5591526</v>
      </c>
      <c r="L109" s="13">
        <f t="shared" si="208"/>
        <v>1337059822.054817</v>
      </c>
      <c r="M109" s="13">
        <f t="shared" si="208"/>
        <v>1345947505.633435</v>
      </c>
      <c r="N109" s="13">
        <f t="shared" si="208"/>
        <v>1354678465.8275096</v>
      </c>
      <c r="O109" s="13">
        <f t="shared" si="208"/>
        <v>1257685216.2488451</v>
      </c>
      <c r="P109" s="13">
        <f t="shared" si="208"/>
        <v>1265459717.3622532</v>
      </c>
      <c r="Q109" s="13">
        <f t="shared" si="208"/>
        <v>1273093728.3020408</v>
      </c>
      <c r="R109" s="13">
        <f t="shared" si="208"/>
        <v>0</v>
      </c>
      <c r="S109" s="13">
        <f t="shared" si="208"/>
        <v>0</v>
      </c>
      <c r="T109" s="13">
        <f t="shared" si="208"/>
        <v>0</v>
      </c>
      <c r="U109" s="13">
        <f t="shared" si="208"/>
        <v>0</v>
      </c>
      <c r="V109" s="13">
        <f t="shared" si="208"/>
        <v>0</v>
      </c>
      <c r="W109" s="13">
        <f t="shared" si="208"/>
        <v>0</v>
      </c>
      <c r="X109" s="13">
        <f t="shared" si="208"/>
        <v>0</v>
      </c>
      <c r="Y109" s="13">
        <f t="shared" si="208"/>
        <v>0</v>
      </c>
      <c r="Z109" s="13">
        <f t="shared" si="208"/>
        <v>0</v>
      </c>
      <c r="AA109" s="13">
        <f t="shared" si="208"/>
        <v>0</v>
      </c>
      <c r="AB109" s="13">
        <f t="shared" si="208"/>
        <v>0</v>
      </c>
      <c r="AC109" s="13">
        <f t="shared" si="208"/>
        <v>0</v>
      </c>
      <c r="AD109" s="13">
        <f t="shared" si="208"/>
        <v>0</v>
      </c>
      <c r="AE109" s="13">
        <f t="shared" si="208"/>
        <v>0</v>
      </c>
      <c r="AF109" s="13">
        <f t="shared" si="208"/>
        <v>0</v>
      </c>
      <c r="AG109" s="13">
        <f t="shared" si="208"/>
        <v>0</v>
      </c>
      <c r="AH109" s="13">
        <f t="shared" si="208"/>
        <v>0</v>
      </c>
      <c r="AI109" s="13">
        <f t="shared" si="208"/>
        <v>0</v>
      </c>
      <c r="AJ109" s="13">
        <f t="shared" si="208"/>
        <v>0</v>
      </c>
      <c r="AK109" s="13">
        <f t="shared" si="208"/>
        <v>0</v>
      </c>
    </row>
    <row r="112" spans="1:37" x14ac:dyDescent="0.2">
      <c r="A112" s="17" t="s">
        <v>117</v>
      </c>
    </row>
    <row r="113" spans="1:7" ht="34.5" x14ac:dyDescent="0.2">
      <c r="A113" s="6" t="s">
        <v>28</v>
      </c>
      <c r="B113" s="6" t="s">
        <v>29</v>
      </c>
      <c r="C113" s="6" t="s">
        <v>30</v>
      </c>
      <c r="D113" s="53"/>
      <c r="E113" s="53"/>
      <c r="F113" s="66" t="s">
        <v>115</v>
      </c>
      <c r="G113" s="66" t="s">
        <v>116</v>
      </c>
    </row>
    <row r="114" spans="1:7" x14ac:dyDescent="0.2">
      <c r="A114" s="8" t="str">
        <f t="shared" ref="A114:C115" si="209">A3</f>
        <v>Nombre Jurisdicción</v>
      </c>
      <c r="B114" s="8" t="str">
        <f t="shared" si="209"/>
        <v>Nombre Sector</v>
      </c>
      <c r="C114" s="8" t="str">
        <f t="shared" si="209"/>
        <v>Nombre UdM 1</v>
      </c>
      <c r="D114" s="9"/>
      <c r="E114" s="8"/>
      <c r="F114" s="67">
        <v>1</v>
      </c>
      <c r="G114" s="68">
        <f t="shared" ref="G114:G115" si="210">1-F114</f>
        <v>0</v>
      </c>
    </row>
    <row r="115" spans="1:7" x14ac:dyDescent="0.2">
      <c r="A115" s="10" t="str">
        <f t="shared" si="209"/>
        <v>Nombre Jurisdicción</v>
      </c>
      <c r="B115" s="10" t="str">
        <f t="shared" si="209"/>
        <v>Nombre Sector</v>
      </c>
      <c r="C115" s="10" t="str">
        <f t="shared" si="209"/>
        <v>Nombre UdM 2</v>
      </c>
      <c r="D115" s="11"/>
      <c r="E115" s="10"/>
      <c r="F115" s="69">
        <v>1</v>
      </c>
      <c r="G115" s="70">
        <f t="shared" si="210"/>
        <v>0</v>
      </c>
    </row>
    <row r="116" spans="1:7" x14ac:dyDescent="0.2">
      <c r="A116" s="8" t="str">
        <f t="shared" ref="A116:A119" si="211">A5</f>
        <v>Nombre Jurisdicción</v>
      </c>
      <c r="B116" s="8" t="str">
        <f t="shared" ref="B116:B119" si="212">B5</f>
        <v>Nombre Sector</v>
      </c>
      <c r="C116" s="8" t="str">
        <f t="shared" ref="C116:C119" si="213">C5</f>
        <v>Nombre UdM 3</v>
      </c>
      <c r="D116" s="9"/>
      <c r="E116" s="8"/>
      <c r="F116" s="67">
        <v>1</v>
      </c>
      <c r="G116" s="68">
        <f t="shared" ref="G116:G119" si="214">1-F116</f>
        <v>0</v>
      </c>
    </row>
    <row r="117" spans="1:7" x14ac:dyDescent="0.2">
      <c r="A117" s="10" t="str">
        <f t="shared" si="211"/>
        <v>Nombre Jurisdicción</v>
      </c>
      <c r="B117" s="10" t="str">
        <f t="shared" si="212"/>
        <v>Nombre Sector</v>
      </c>
      <c r="C117" s="10">
        <f t="shared" si="213"/>
        <v>0</v>
      </c>
      <c r="D117" s="11"/>
      <c r="E117" s="10"/>
      <c r="F117" s="69">
        <v>1</v>
      </c>
      <c r="G117" s="70">
        <f t="shared" si="214"/>
        <v>0</v>
      </c>
    </row>
    <row r="118" spans="1:7" x14ac:dyDescent="0.2">
      <c r="A118" s="8" t="str">
        <f t="shared" si="211"/>
        <v>Nombre Jurisdicción</v>
      </c>
      <c r="B118" s="8" t="str">
        <f t="shared" si="212"/>
        <v>Nombre Sector</v>
      </c>
      <c r="C118" s="8">
        <f t="shared" si="213"/>
        <v>0</v>
      </c>
      <c r="D118" s="9"/>
      <c r="E118" s="8"/>
      <c r="F118" s="67">
        <v>1</v>
      </c>
      <c r="G118" s="68">
        <f t="shared" si="214"/>
        <v>0</v>
      </c>
    </row>
    <row r="119" spans="1:7" x14ac:dyDescent="0.2">
      <c r="A119" s="10" t="str">
        <f t="shared" si="211"/>
        <v>Nombre Jurisdicción</v>
      </c>
      <c r="B119" s="10" t="str">
        <f t="shared" si="212"/>
        <v>Nombre Sector</v>
      </c>
      <c r="C119" s="10">
        <f t="shared" si="213"/>
        <v>0</v>
      </c>
      <c r="D119" s="11"/>
      <c r="E119" s="10"/>
      <c r="F119" s="69">
        <v>1</v>
      </c>
      <c r="G119" s="70">
        <f t="shared" si="214"/>
        <v>0</v>
      </c>
    </row>
    <row r="120" spans="1:7" x14ac:dyDescent="0.2">
      <c r="A120" s="12"/>
      <c r="B120" s="12"/>
      <c r="C120" s="12"/>
      <c r="D120" s="13">
        <f t="shared" ref="D120" si="215">SUM(H120:AK120)</f>
        <v>0</v>
      </c>
      <c r="E120" s="12"/>
      <c r="F120" s="13"/>
      <c r="G120" s="16"/>
    </row>
    <row r="122" spans="1:7" x14ac:dyDescent="0.2">
      <c r="A122" s="17" t="s">
        <v>33</v>
      </c>
    </row>
    <row r="124" spans="1:7" x14ac:dyDescent="0.2">
      <c r="A124" t="s">
        <v>118</v>
      </c>
    </row>
    <row r="125" spans="1:7" x14ac:dyDescent="0.2">
      <c r="A125" t="s">
        <v>119</v>
      </c>
    </row>
  </sheetData>
  <conditionalFormatting sqref="C39">
    <cfRule type="cellIs" dxfId="43" priority="31" operator="equal">
      <formula>0</formula>
    </cfRule>
  </conditionalFormatting>
  <conditionalFormatting sqref="C57:C59">
    <cfRule type="cellIs" dxfId="42" priority="28" operator="equal">
      <formula>0</formula>
    </cfRule>
  </conditionalFormatting>
  <conditionalFormatting sqref="C76:C81">
    <cfRule type="cellIs" dxfId="41" priority="23" operator="equal">
      <formula>0</formula>
    </cfRule>
  </conditionalFormatting>
  <conditionalFormatting sqref="C117 C119">
    <cfRule type="cellIs" dxfId="40" priority="5" operator="equal">
      <formula>0</formula>
    </cfRule>
  </conditionalFormatting>
  <conditionalFormatting sqref="C26:F31">
    <cfRule type="cellIs" dxfId="39" priority="39" operator="equal">
      <formula>0</formula>
    </cfRule>
  </conditionalFormatting>
  <conditionalFormatting sqref="C104:F109">
    <cfRule type="cellIs" dxfId="38" priority="13" operator="equal">
      <formula>0</formula>
    </cfRule>
  </conditionalFormatting>
  <conditionalFormatting sqref="C115:F120">
    <cfRule type="cellIs" dxfId="37" priority="1" operator="equal">
      <formula>0</formula>
    </cfRule>
  </conditionalFormatting>
  <conditionalFormatting sqref="C38:AK44">
    <cfRule type="cellIs" dxfId="36" priority="29" operator="equal">
      <formula>0</formula>
    </cfRule>
  </conditionalFormatting>
  <conditionalFormatting sqref="C65:AK71">
    <cfRule type="cellIs" dxfId="35" priority="26" operator="equal">
      <formula>0</formula>
    </cfRule>
  </conditionalFormatting>
  <conditionalFormatting sqref="C87:AK93">
    <cfRule type="cellIs" dxfId="34" priority="6" operator="equal">
      <formula>0</formula>
    </cfRule>
  </conditionalFormatting>
  <conditionalFormatting sqref="D6:D8">
    <cfRule type="cellIs" dxfId="33" priority="34" operator="equal">
      <formula>0</formula>
    </cfRule>
  </conditionalFormatting>
  <conditionalFormatting sqref="D76:AK82">
    <cfRule type="cellIs" dxfId="32" priority="22" operator="equal">
      <formula>0</formula>
    </cfRule>
  </conditionalFormatting>
  <conditionalFormatting sqref="E3:F8">
    <cfRule type="cellIs" dxfId="31" priority="37" operator="equal">
      <formula>0</formula>
    </cfRule>
  </conditionalFormatting>
  <conditionalFormatting sqref="E103:F103 C103:C104">
    <cfRule type="cellIs" dxfId="30" priority="17" operator="equal">
      <formula>0</formula>
    </cfRule>
  </conditionalFormatting>
  <conditionalFormatting sqref="E114:F114 C114:C115">
    <cfRule type="cellIs" dxfId="29" priority="4" operator="equal">
      <formula>0</formula>
    </cfRule>
  </conditionalFormatting>
  <conditionalFormatting sqref="G3:G9">
    <cfRule type="cellIs" dxfId="28" priority="35" operator="equal">
      <formula>0</formula>
    </cfRule>
  </conditionalFormatting>
  <conditionalFormatting sqref="G114:G120">
    <cfRule type="cellIs" dxfId="27" priority="2" operator="equal">
      <formula>0</formula>
    </cfRule>
  </conditionalFormatting>
  <conditionalFormatting sqref="G26:AK32">
    <cfRule type="cellIs" dxfId="26" priority="32" operator="equal">
      <formula>0</formula>
    </cfRule>
  </conditionalFormatting>
  <conditionalFormatting sqref="G103:AK109">
    <cfRule type="cellIs" dxfId="25" priority="14" operator="equal">
      <formula>0</formula>
    </cfRule>
  </conditionalFormatting>
  <conditionalFormatting sqref="H9:AK9">
    <cfRule type="cellIs" dxfId="24" priority="36" operator="equal">
      <formula>0</formula>
    </cfRule>
  </conditionalFormatting>
  <conditionalFormatting sqref="H54:AK60">
    <cfRule type="cellIs" dxfId="23" priority="27" operator="equal">
      <formula>0</formula>
    </cfRule>
  </conditionalFormatting>
  <pageMargins left="0.7" right="0.7" top="0.75" bottom="0.75" header="0.3" footer="0.3"/>
  <pageSetup orientation="portrait" r:id="rId1"/>
  <ignoredErrors>
    <ignoredError sqref="E76:E81 G109" formula="1"/>
    <ignoredError sqref="E4:E5"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717"/>
  <sheetViews>
    <sheetView showGridLines="0" topLeftCell="A45" zoomScaleNormal="100" workbookViewId="0">
      <selection activeCell="B45" sqref="B1:AH1048576"/>
    </sheetView>
  </sheetViews>
  <sheetFormatPr defaultColWidth="10.76171875" defaultRowHeight="15" x14ac:dyDescent="0.2"/>
  <cols>
    <col min="1" max="1" width="17.75390625" customWidth="1"/>
    <col min="2" max="22" width="12.64453125" customWidth="1"/>
    <col min="23" max="33" width="11.43359375" customWidth="1"/>
  </cols>
  <sheetData>
    <row r="1" spans="1:15" x14ac:dyDescent="0.2">
      <c r="A1" s="17" t="s">
        <v>128</v>
      </c>
    </row>
    <row r="2" spans="1:15" ht="15" customHeight="1" x14ac:dyDescent="0.2">
      <c r="A2" s="6" t="s">
        <v>58</v>
      </c>
      <c r="B2" s="71" t="str">
        <f>'2.2.Brecha Efectiva x UdM'!A3</f>
        <v>Nombre Jurisdicción</v>
      </c>
      <c r="C2" s="72"/>
      <c r="D2" s="72"/>
      <c r="E2" s="72"/>
      <c r="F2" s="72"/>
      <c r="G2" s="72"/>
      <c r="H2" s="72"/>
      <c r="I2" s="72"/>
      <c r="J2" s="72"/>
      <c r="K2" s="72"/>
      <c r="L2" s="72"/>
      <c r="M2" s="72"/>
      <c r="N2" s="72"/>
      <c r="O2" s="72"/>
    </row>
    <row r="3" spans="1:15" s="30" customFormat="1" ht="50.1" customHeight="1" x14ac:dyDescent="0.2">
      <c r="A3" s="7" t="s">
        <v>0</v>
      </c>
      <c r="B3" s="7" t="s">
        <v>40</v>
      </c>
      <c r="C3" s="7" t="str">
        <f>'2.2.Brecha Efectiva x UdM'!C3</f>
        <v>Nombre UdM 1</v>
      </c>
      <c r="D3" s="7" t="s">
        <v>40</v>
      </c>
      <c r="E3" s="7" t="str">
        <f>'2.2.Brecha Efectiva x UdM'!C4</f>
        <v>Nombre UdM 2</v>
      </c>
      <c r="F3" s="7" t="s">
        <v>40</v>
      </c>
      <c r="G3" s="7" t="str">
        <f>'2.2.Brecha Efectiva x UdM'!C5</f>
        <v>Nombre UdM 3</v>
      </c>
      <c r="H3" s="7" t="s">
        <v>40</v>
      </c>
      <c r="I3" s="7">
        <f>'2.2.Brecha Efectiva x UdM'!C6</f>
        <v>0</v>
      </c>
      <c r="J3" s="7" t="s">
        <v>40</v>
      </c>
      <c r="K3" s="7">
        <f>'2.2.Brecha Efectiva x UdM'!C7</f>
        <v>0</v>
      </c>
      <c r="L3" s="7" t="s">
        <v>40</v>
      </c>
      <c r="M3" s="7">
        <f>'2.2.Brecha Efectiva x UdM'!C8</f>
        <v>0</v>
      </c>
      <c r="N3" s="7" t="s">
        <v>40</v>
      </c>
      <c r="O3" s="7" t="s">
        <v>1</v>
      </c>
    </row>
    <row r="4" spans="1:15" x14ac:dyDescent="0.2">
      <c r="A4" s="25" t="s">
        <v>14</v>
      </c>
      <c r="B4" s="14">
        <f>IFERROR(C4/C$28,0)</f>
        <v>8.179016699576433E-2</v>
      </c>
      <c r="C4" s="21">
        <v>1471927776.13697</v>
      </c>
      <c r="D4" s="14">
        <f>IFERROR(E4/E$28,0)</f>
        <v>3.4950625886567208E-2</v>
      </c>
      <c r="E4" s="21">
        <v>352977204.44995534</v>
      </c>
      <c r="F4" s="14">
        <f>IFERROR(G4/G$28,0)</f>
        <v>0.79999607699244324</v>
      </c>
      <c r="G4" s="21">
        <v>6007226877.54</v>
      </c>
      <c r="H4" s="14">
        <f>IFERROR(I4/I$28,0)</f>
        <v>0</v>
      </c>
      <c r="I4" s="21">
        <v>0</v>
      </c>
      <c r="J4" s="14">
        <f>IFERROR(K4/K$28,0)</f>
        <v>0</v>
      </c>
      <c r="K4" s="21">
        <v>0</v>
      </c>
      <c r="L4" s="14">
        <f>IFERROR(M4/M$28,0)</f>
        <v>0</v>
      </c>
      <c r="M4" s="21">
        <v>0</v>
      </c>
      <c r="N4" s="14">
        <f>IFERROR(O4/O$28,0)</f>
        <v>0.21997422493071253</v>
      </c>
      <c r="O4" s="36">
        <f>SUM(C4,E4,G4,I4,K4,M4)</f>
        <v>7832131858.1269255</v>
      </c>
    </row>
    <row r="5" spans="1:15" x14ac:dyDescent="0.2">
      <c r="A5" s="26" t="s">
        <v>26</v>
      </c>
      <c r="B5" s="28">
        <f t="shared" ref="B5:B28" si="0">IFERROR(C5/C$28,0)</f>
        <v>5.3184576566558173E-5</v>
      </c>
      <c r="C5" s="22">
        <v>957130.40315047244</v>
      </c>
      <c r="D5" s="28">
        <f t="shared" ref="D5:D28" si="1">IFERROR(E5/E$28,0)</f>
        <v>3.2654903813231777E-3</v>
      </c>
      <c r="E5" s="22">
        <v>32979199.562794574</v>
      </c>
      <c r="F5" s="28">
        <f t="shared" ref="F5:F28" si="2">IFERROR(G5/G$28,0)</f>
        <v>2.5183959594571703E-2</v>
      </c>
      <c r="G5" s="22">
        <v>189108126.03999999</v>
      </c>
      <c r="H5" s="28">
        <f t="shared" ref="H5:H28" si="3">IFERROR(I5/I$28,0)</f>
        <v>0</v>
      </c>
      <c r="I5" s="22">
        <v>0</v>
      </c>
      <c r="J5" s="28">
        <f t="shared" ref="J5:J28" si="4">IFERROR(K5/K$28,0)</f>
        <v>0</v>
      </c>
      <c r="K5" s="22">
        <v>0</v>
      </c>
      <c r="L5" s="28">
        <f t="shared" ref="L5:L28" si="5">IFERROR(M5/M$28,0)</f>
        <v>0</v>
      </c>
      <c r="M5" s="22">
        <v>0</v>
      </c>
      <c r="N5" s="28">
        <f t="shared" ref="N5:N28" si="6">IFERROR(O5/O$28,0)</f>
        <v>6.2644542027327351E-3</v>
      </c>
      <c r="O5" s="37">
        <f t="shared" ref="O5:O27" si="7">SUM(C5,E5,G5,I5,K5,M5)</f>
        <v>223044456.00594503</v>
      </c>
    </row>
    <row r="6" spans="1:15" x14ac:dyDescent="0.2">
      <c r="A6" s="25" t="s">
        <v>10</v>
      </c>
      <c r="B6" s="14">
        <f t="shared" si="0"/>
        <v>2.0669488921511731E-2</v>
      </c>
      <c r="C6" s="21">
        <v>371976192.00000006</v>
      </c>
      <c r="D6" s="14">
        <f t="shared" si="1"/>
        <v>5.5612124546586096E-3</v>
      </c>
      <c r="E6" s="21">
        <v>56164408.384804197</v>
      </c>
      <c r="F6" s="14">
        <f t="shared" si="2"/>
        <v>0</v>
      </c>
      <c r="G6" s="21">
        <v>0</v>
      </c>
      <c r="H6" s="14">
        <f t="shared" si="3"/>
        <v>0</v>
      </c>
      <c r="I6" s="21">
        <v>0</v>
      </c>
      <c r="J6" s="14">
        <f t="shared" si="4"/>
        <v>0</v>
      </c>
      <c r="K6" s="21">
        <v>0</v>
      </c>
      <c r="L6" s="14">
        <f t="shared" si="5"/>
        <v>0</v>
      </c>
      <c r="M6" s="21">
        <v>0</v>
      </c>
      <c r="N6" s="14">
        <f t="shared" si="6"/>
        <v>1.2024809903231201E-2</v>
      </c>
      <c r="O6" s="36">
        <f t="shared" si="7"/>
        <v>428140600.38480425</v>
      </c>
    </row>
    <row r="7" spans="1:15" x14ac:dyDescent="0.2">
      <c r="A7" s="26" t="s">
        <v>3</v>
      </c>
      <c r="B7" s="28">
        <f t="shared" si="0"/>
        <v>1.1864622807915972E-2</v>
      </c>
      <c r="C7" s="22">
        <v>213520384.00000003</v>
      </c>
      <c r="D7" s="28">
        <f t="shared" si="1"/>
        <v>8.1142405168238285E-3</v>
      </c>
      <c r="E7" s="22">
        <v>81948230.144966573</v>
      </c>
      <c r="F7" s="28">
        <f t="shared" si="2"/>
        <v>0</v>
      </c>
      <c r="G7" s="22">
        <v>0</v>
      </c>
      <c r="H7" s="28">
        <f t="shared" si="3"/>
        <v>0</v>
      </c>
      <c r="I7" s="22">
        <v>0</v>
      </c>
      <c r="J7" s="28">
        <f t="shared" si="4"/>
        <v>0</v>
      </c>
      <c r="K7" s="22">
        <v>0</v>
      </c>
      <c r="L7" s="28">
        <f t="shared" si="5"/>
        <v>0</v>
      </c>
      <c r="M7" s="22">
        <v>0</v>
      </c>
      <c r="N7" s="28">
        <f t="shared" si="6"/>
        <v>8.298568073831513E-3</v>
      </c>
      <c r="O7" s="37">
        <f t="shared" si="7"/>
        <v>295468614.1449666</v>
      </c>
    </row>
    <row r="8" spans="1:15" x14ac:dyDescent="0.2">
      <c r="A8" s="25" t="s">
        <v>15</v>
      </c>
      <c r="B8" s="14">
        <f t="shared" si="0"/>
        <v>0.16467583899491312</v>
      </c>
      <c r="C8" s="21">
        <v>2963570688</v>
      </c>
      <c r="D8" s="14">
        <f t="shared" si="1"/>
        <v>0.13641290629708175</v>
      </c>
      <c r="E8" s="21">
        <v>1377676224.5091486</v>
      </c>
      <c r="F8" s="14">
        <f t="shared" si="2"/>
        <v>1.9402268437876881E-2</v>
      </c>
      <c r="G8" s="21">
        <v>145693000</v>
      </c>
      <c r="H8" s="14">
        <f t="shared" si="3"/>
        <v>0</v>
      </c>
      <c r="I8" s="21">
        <v>0</v>
      </c>
      <c r="J8" s="14">
        <f t="shared" si="4"/>
        <v>0</v>
      </c>
      <c r="K8" s="21">
        <v>0</v>
      </c>
      <c r="L8" s="14">
        <f t="shared" si="5"/>
        <v>0</v>
      </c>
      <c r="M8" s="21">
        <v>0</v>
      </c>
      <c r="N8" s="14">
        <f t="shared" si="6"/>
        <v>0.12602074983463382</v>
      </c>
      <c r="O8" s="36">
        <f t="shared" si="7"/>
        <v>4486939912.5091486</v>
      </c>
    </row>
    <row r="9" spans="1:15" x14ac:dyDescent="0.2">
      <c r="A9" s="26" t="s">
        <v>11</v>
      </c>
      <c r="B9" s="28">
        <f t="shared" si="0"/>
        <v>3.5367531382784194E-2</v>
      </c>
      <c r="C9" s="22">
        <v>636487902.24883616</v>
      </c>
      <c r="D9" s="28">
        <f t="shared" si="1"/>
        <v>6.5309807626463554E-3</v>
      </c>
      <c r="E9" s="22">
        <v>65958399.125589147</v>
      </c>
      <c r="F9" s="28">
        <f t="shared" si="2"/>
        <v>9.3220593347064142E-3</v>
      </c>
      <c r="G9" s="22">
        <v>70000000</v>
      </c>
      <c r="H9" s="28">
        <f t="shared" si="3"/>
        <v>0</v>
      </c>
      <c r="I9" s="22">
        <v>0</v>
      </c>
      <c r="J9" s="28">
        <f t="shared" si="4"/>
        <v>0</v>
      </c>
      <c r="K9" s="22">
        <v>0</v>
      </c>
      <c r="L9" s="28">
        <f t="shared" si="5"/>
        <v>0</v>
      </c>
      <c r="M9" s="22">
        <v>0</v>
      </c>
      <c r="N9" s="28">
        <f t="shared" si="6"/>
        <v>2.1695022443872794E-2</v>
      </c>
      <c r="O9" s="37">
        <f t="shared" si="7"/>
        <v>772446301.37442529</v>
      </c>
    </row>
    <row r="10" spans="1:15" x14ac:dyDescent="0.2">
      <c r="A10" s="25" t="s">
        <v>4</v>
      </c>
      <c r="B10" s="14">
        <f t="shared" si="0"/>
        <v>1.0593413221353544E-2</v>
      </c>
      <c r="C10" s="21">
        <v>190643200</v>
      </c>
      <c r="D10" s="14">
        <f t="shared" si="1"/>
        <v>3.4777058237660467E-2</v>
      </c>
      <c r="E10" s="21">
        <v>351224290.96300119</v>
      </c>
      <c r="F10" s="14">
        <f t="shared" si="2"/>
        <v>4.6136139274407604E-3</v>
      </c>
      <c r="G10" s="21">
        <v>34643951.869999997</v>
      </c>
      <c r="H10" s="14">
        <f t="shared" si="3"/>
        <v>0</v>
      </c>
      <c r="I10" s="21">
        <v>0</v>
      </c>
      <c r="J10" s="14">
        <f t="shared" si="4"/>
        <v>0</v>
      </c>
      <c r="K10" s="21">
        <v>0</v>
      </c>
      <c r="L10" s="14">
        <f t="shared" si="5"/>
        <v>0</v>
      </c>
      <c r="M10" s="21">
        <v>0</v>
      </c>
      <c r="N10" s="14">
        <f t="shared" si="6"/>
        <v>1.6191971751507897E-2</v>
      </c>
      <c r="O10" s="36">
        <f t="shared" si="7"/>
        <v>576511442.83300126</v>
      </c>
    </row>
    <row r="11" spans="1:15" x14ac:dyDescent="0.2">
      <c r="A11" s="26" t="s">
        <v>19</v>
      </c>
      <c r="B11" s="28">
        <f t="shared" si="0"/>
        <v>2.0949670632450099E-2</v>
      </c>
      <c r="C11" s="22">
        <v>377018451.4529869</v>
      </c>
      <c r="D11" s="28">
        <f t="shared" si="1"/>
        <v>5.4498795315678389E-2</v>
      </c>
      <c r="E11" s="22">
        <v>550400226.84720767</v>
      </c>
      <c r="F11" s="28">
        <f t="shared" si="2"/>
        <v>3.2165815034781138E-3</v>
      </c>
      <c r="G11" s="22">
        <v>24153537.02</v>
      </c>
      <c r="H11" s="28">
        <f t="shared" si="3"/>
        <v>0</v>
      </c>
      <c r="I11" s="22">
        <v>0</v>
      </c>
      <c r="J11" s="28">
        <f t="shared" si="4"/>
        <v>0</v>
      </c>
      <c r="K11" s="22">
        <v>0</v>
      </c>
      <c r="L11" s="28">
        <f t="shared" si="5"/>
        <v>0</v>
      </c>
      <c r="M11" s="22">
        <v>0</v>
      </c>
      <c r="N11" s="28">
        <f t="shared" si="6"/>
        <v>2.6725975037493892E-2</v>
      </c>
      <c r="O11" s="37">
        <f t="shared" si="7"/>
        <v>951572215.32019448</v>
      </c>
    </row>
    <row r="12" spans="1:15" x14ac:dyDescent="0.2">
      <c r="A12" s="25" t="s">
        <v>2</v>
      </c>
      <c r="B12" s="14">
        <f t="shared" si="0"/>
        <v>8.4747305770828361E-3</v>
      </c>
      <c r="C12" s="21">
        <v>152514560</v>
      </c>
      <c r="D12" s="14">
        <f t="shared" si="1"/>
        <v>3.3957377144348475E-2</v>
      </c>
      <c r="E12" s="21">
        <v>342946077.52565759</v>
      </c>
      <c r="F12" s="14">
        <f t="shared" si="2"/>
        <v>0</v>
      </c>
      <c r="G12" s="21">
        <v>0</v>
      </c>
      <c r="H12" s="14">
        <f t="shared" si="3"/>
        <v>0</v>
      </c>
      <c r="I12" s="21">
        <v>0</v>
      </c>
      <c r="J12" s="14">
        <f t="shared" si="4"/>
        <v>0</v>
      </c>
      <c r="K12" s="21">
        <v>0</v>
      </c>
      <c r="L12" s="14">
        <f t="shared" si="5"/>
        <v>0</v>
      </c>
      <c r="M12" s="21">
        <v>0</v>
      </c>
      <c r="N12" s="14">
        <f t="shared" si="6"/>
        <v>1.3915568800120804E-2</v>
      </c>
      <c r="O12" s="36">
        <f t="shared" si="7"/>
        <v>495460637.52565759</v>
      </c>
    </row>
    <row r="13" spans="1:15" x14ac:dyDescent="0.2">
      <c r="A13" s="26" t="s">
        <v>6</v>
      </c>
      <c r="B13" s="28">
        <f t="shared" si="0"/>
        <v>1.0334744460755866E-2</v>
      </c>
      <c r="C13" s="22">
        <v>185988096.00000003</v>
      </c>
      <c r="D13" s="28">
        <f t="shared" si="1"/>
        <v>2.3903413403953539E-2</v>
      </c>
      <c r="E13" s="22">
        <v>241407981.29117036</v>
      </c>
      <c r="F13" s="28">
        <f t="shared" si="2"/>
        <v>0</v>
      </c>
      <c r="G13" s="22">
        <v>0</v>
      </c>
      <c r="H13" s="28">
        <f t="shared" si="3"/>
        <v>0</v>
      </c>
      <c r="I13" s="22">
        <v>0</v>
      </c>
      <c r="J13" s="28">
        <f t="shared" si="4"/>
        <v>0</v>
      </c>
      <c r="K13" s="22">
        <v>0</v>
      </c>
      <c r="L13" s="28">
        <f t="shared" si="5"/>
        <v>0</v>
      </c>
      <c r="M13" s="22">
        <v>0</v>
      </c>
      <c r="N13" s="28">
        <f t="shared" si="6"/>
        <v>1.2003899135456627E-2</v>
      </c>
      <c r="O13" s="37">
        <f t="shared" si="7"/>
        <v>427396077.29117036</v>
      </c>
    </row>
    <row r="14" spans="1:15" x14ac:dyDescent="0.2">
      <c r="A14" s="25" t="s">
        <v>20</v>
      </c>
      <c r="B14" s="14">
        <f t="shared" si="0"/>
        <v>5.148437829736608E-2</v>
      </c>
      <c r="C14" s="21">
        <v>926532971.34068727</v>
      </c>
      <c r="D14" s="14">
        <f t="shared" si="1"/>
        <v>3.2654903813231777E-3</v>
      </c>
      <c r="E14" s="21">
        <v>32979199.562794574</v>
      </c>
      <c r="F14" s="14">
        <f t="shared" si="2"/>
        <v>0</v>
      </c>
      <c r="G14" s="21">
        <v>0</v>
      </c>
      <c r="H14" s="14">
        <f t="shared" si="3"/>
        <v>0</v>
      </c>
      <c r="I14" s="21">
        <v>0</v>
      </c>
      <c r="J14" s="14">
        <f t="shared" si="4"/>
        <v>0</v>
      </c>
      <c r="K14" s="21">
        <v>0</v>
      </c>
      <c r="L14" s="14">
        <f t="shared" si="5"/>
        <v>0</v>
      </c>
      <c r="M14" s="21">
        <v>0</v>
      </c>
      <c r="N14" s="14">
        <f t="shared" si="6"/>
        <v>2.6948977612917285E-2</v>
      </c>
      <c r="O14" s="36">
        <f t="shared" si="7"/>
        <v>959512170.90348184</v>
      </c>
    </row>
    <row r="15" spans="1:15" x14ac:dyDescent="0.2">
      <c r="A15" s="26" t="s">
        <v>9</v>
      </c>
      <c r="B15" s="28">
        <f t="shared" si="0"/>
        <v>1.7716704789867196E-2</v>
      </c>
      <c r="C15" s="22">
        <v>318836736</v>
      </c>
      <c r="D15" s="28">
        <f t="shared" si="1"/>
        <v>6.0460966086524825E-3</v>
      </c>
      <c r="E15" s="22">
        <v>61061403.755196676</v>
      </c>
      <c r="F15" s="28">
        <f t="shared" si="2"/>
        <v>0</v>
      </c>
      <c r="G15" s="22">
        <v>0</v>
      </c>
      <c r="H15" s="28">
        <f t="shared" si="3"/>
        <v>0</v>
      </c>
      <c r="I15" s="22">
        <v>0</v>
      </c>
      <c r="J15" s="28">
        <f t="shared" si="4"/>
        <v>0</v>
      </c>
      <c r="K15" s="22">
        <v>0</v>
      </c>
      <c r="L15" s="28">
        <f t="shared" si="5"/>
        <v>0</v>
      </c>
      <c r="M15" s="22">
        <v>0</v>
      </c>
      <c r="N15" s="28">
        <f t="shared" si="6"/>
        <v>1.0669866181907508E-2</v>
      </c>
      <c r="O15" s="37">
        <f t="shared" si="7"/>
        <v>379898139.75519669</v>
      </c>
    </row>
    <row r="16" spans="1:15" x14ac:dyDescent="0.2">
      <c r="A16" s="25" t="s">
        <v>12</v>
      </c>
      <c r="B16" s="14">
        <f t="shared" si="0"/>
        <v>7.8292991021132768E-2</v>
      </c>
      <c r="C16" s="21">
        <v>1408991232</v>
      </c>
      <c r="D16" s="14">
        <f t="shared" si="1"/>
        <v>5.080133265030877E-2</v>
      </c>
      <c r="E16" s="21">
        <v>513058405.28967571</v>
      </c>
      <c r="F16" s="14">
        <f t="shared" si="2"/>
        <v>0</v>
      </c>
      <c r="G16" s="21">
        <v>0</v>
      </c>
      <c r="H16" s="14">
        <f t="shared" si="3"/>
        <v>0</v>
      </c>
      <c r="I16" s="21">
        <v>0</v>
      </c>
      <c r="J16" s="14">
        <f t="shared" si="4"/>
        <v>0</v>
      </c>
      <c r="K16" s="21">
        <v>0</v>
      </c>
      <c r="L16" s="14">
        <f t="shared" si="5"/>
        <v>0</v>
      </c>
      <c r="M16" s="21">
        <v>0</v>
      </c>
      <c r="N16" s="14">
        <f t="shared" si="6"/>
        <v>5.3982924049272525E-2</v>
      </c>
      <c r="O16" s="36">
        <f t="shared" si="7"/>
        <v>1922049637.2896757</v>
      </c>
    </row>
    <row r="17" spans="1:16384" x14ac:dyDescent="0.2">
      <c r="A17" s="26" t="s">
        <v>5</v>
      </c>
      <c r="B17" s="28">
        <f t="shared" si="0"/>
        <v>3.3898922308331341E-3</v>
      </c>
      <c r="C17" s="22">
        <v>61005824</v>
      </c>
      <c r="D17" s="28">
        <f t="shared" si="1"/>
        <v>9.3762500088077877E-2</v>
      </c>
      <c r="E17" s="22">
        <v>946936551.88728452</v>
      </c>
      <c r="F17" s="28">
        <f t="shared" si="2"/>
        <v>1.1985504858908248E-2</v>
      </c>
      <c r="G17" s="22">
        <v>90000000</v>
      </c>
      <c r="H17" s="28">
        <f t="shared" si="3"/>
        <v>0</v>
      </c>
      <c r="I17" s="22">
        <v>0</v>
      </c>
      <c r="J17" s="28">
        <f t="shared" si="4"/>
        <v>0</v>
      </c>
      <c r="K17" s="22">
        <v>0</v>
      </c>
      <c r="L17" s="28">
        <f t="shared" si="5"/>
        <v>0</v>
      </c>
      <c r="M17" s="22">
        <v>0</v>
      </c>
      <c r="N17" s="28">
        <f t="shared" si="6"/>
        <v>3.0836945486787341E-2</v>
      </c>
      <c r="O17" s="37">
        <f t="shared" si="7"/>
        <v>1097942375.8872845</v>
      </c>
    </row>
    <row r="18" spans="1:16384" x14ac:dyDescent="0.2">
      <c r="A18" s="25" t="s">
        <v>21</v>
      </c>
      <c r="B18" s="14">
        <f t="shared" si="0"/>
        <v>2.8910818805617505E-2</v>
      </c>
      <c r="C18" s="21">
        <v>520290382.00955433</v>
      </c>
      <c r="D18" s="14">
        <f t="shared" si="1"/>
        <v>0.12961597372627331</v>
      </c>
      <c r="E18" s="21">
        <v>1309031895.6360312</v>
      </c>
      <c r="F18" s="14">
        <f t="shared" si="2"/>
        <v>2.2352206564995945E-2</v>
      </c>
      <c r="G18" s="21">
        <v>167844293.13</v>
      </c>
      <c r="H18" s="14">
        <f t="shared" si="3"/>
        <v>0</v>
      </c>
      <c r="I18" s="21">
        <v>0</v>
      </c>
      <c r="J18" s="14">
        <f t="shared" si="4"/>
        <v>0</v>
      </c>
      <c r="K18" s="21">
        <v>0</v>
      </c>
      <c r="L18" s="14">
        <f t="shared" si="5"/>
        <v>0</v>
      </c>
      <c r="M18" s="21">
        <v>0</v>
      </c>
      <c r="N18" s="14">
        <f t="shared" si="6"/>
        <v>5.6092667542110841E-2</v>
      </c>
      <c r="O18" s="36">
        <f t="shared" si="7"/>
        <v>1997166570.7755857</v>
      </c>
    </row>
    <row r="19" spans="1:16384" x14ac:dyDescent="0.2">
      <c r="A19" s="26" t="s">
        <v>22</v>
      </c>
      <c r="B19" s="28">
        <f t="shared" si="0"/>
        <v>9.150567233097745E-2</v>
      </c>
      <c r="C19" s="22">
        <v>1646771803.0827482</v>
      </c>
      <c r="D19" s="28">
        <f t="shared" si="1"/>
        <v>2.707585466437375E-2</v>
      </c>
      <c r="E19" s="22">
        <v>273447448.93959373</v>
      </c>
      <c r="F19" s="28">
        <f t="shared" si="2"/>
        <v>4.3962102038401819E-3</v>
      </c>
      <c r="G19" s="22">
        <v>33011452</v>
      </c>
      <c r="H19" s="28">
        <f t="shared" si="3"/>
        <v>0</v>
      </c>
      <c r="I19" s="22">
        <v>0</v>
      </c>
      <c r="J19" s="28">
        <f t="shared" si="4"/>
        <v>0</v>
      </c>
      <c r="K19" s="22">
        <v>0</v>
      </c>
      <c r="L19" s="28">
        <f t="shared" si="5"/>
        <v>0</v>
      </c>
      <c r="M19" s="22">
        <v>0</v>
      </c>
      <c r="N19" s="28">
        <f t="shared" si="6"/>
        <v>5.4858679349525027E-2</v>
      </c>
      <c r="O19" s="37">
        <f t="shared" si="7"/>
        <v>1953230704.022342</v>
      </c>
    </row>
    <row r="20" spans="1:16384" x14ac:dyDescent="0.2">
      <c r="A20" s="25" t="s">
        <v>7</v>
      </c>
      <c r="B20" s="14">
        <f t="shared" si="0"/>
        <v>3.1004233382267592E-2</v>
      </c>
      <c r="C20" s="21">
        <v>557964288</v>
      </c>
      <c r="D20" s="14">
        <f t="shared" si="1"/>
        <v>4.4932470779025367E-2</v>
      </c>
      <c r="E20" s="21">
        <v>453786950.08449924</v>
      </c>
      <c r="F20" s="14">
        <f t="shared" si="2"/>
        <v>3.1214140885961441E-2</v>
      </c>
      <c r="G20" s="21">
        <v>234389182</v>
      </c>
      <c r="H20" s="14">
        <f t="shared" si="3"/>
        <v>0</v>
      </c>
      <c r="I20" s="21">
        <v>0</v>
      </c>
      <c r="J20" s="14">
        <f t="shared" si="4"/>
        <v>0</v>
      </c>
      <c r="K20" s="21">
        <v>0</v>
      </c>
      <c r="L20" s="14">
        <f t="shared" si="5"/>
        <v>0</v>
      </c>
      <c r="M20" s="21">
        <v>0</v>
      </c>
      <c r="N20" s="14">
        <f t="shared" si="6"/>
        <v>3.4999254101995732E-2</v>
      </c>
      <c r="O20" s="36">
        <f t="shared" si="7"/>
        <v>1246140420.0844994</v>
      </c>
    </row>
    <row r="21" spans="1:16384" x14ac:dyDescent="0.2">
      <c r="A21" s="26" t="s">
        <v>13</v>
      </c>
      <c r="B21" s="28">
        <f t="shared" si="0"/>
        <v>4.8043426308422385E-2</v>
      </c>
      <c r="C21" s="22">
        <v>864608256</v>
      </c>
      <c r="D21" s="28">
        <f t="shared" si="1"/>
        <v>6.0777371007807612E-2</v>
      </c>
      <c r="E21" s="22">
        <v>613809508.92781782</v>
      </c>
      <c r="F21" s="28">
        <f t="shared" si="2"/>
        <v>0</v>
      </c>
      <c r="G21" s="22">
        <v>0</v>
      </c>
      <c r="H21" s="28">
        <f t="shared" si="3"/>
        <v>0</v>
      </c>
      <c r="I21" s="22">
        <v>0</v>
      </c>
      <c r="J21" s="28">
        <f t="shared" si="4"/>
        <v>0</v>
      </c>
      <c r="K21" s="22">
        <v>0</v>
      </c>
      <c r="L21" s="28">
        <f t="shared" si="5"/>
        <v>0</v>
      </c>
      <c r="M21" s="22">
        <v>0</v>
      </c>
      <c r="N21" s="28">
        <f t="shared" si="6"/>
        <v>4.1523024363582253E-2</v>
      </c>
      <c r="O21" s="37">
        <f t="shared" si="7"/>
        <v>1478417764.9278178</v>
      </c>
    </row>
    <row r="22" spans="1:16384" x14ac:dyDescent="0.2">
      <c r="A22" s="25" t="s">
        <v>23</v>
      </c>
      <c r="B22" s="14">
        <f t="shared" si="0"/>
        <v>2.7022306052342616E-2</v>
      </c>
      <c r="C22" s="21">
        <v>486303969.22624058</v>
      </c>
      <c r="D22" s="14">
        <f t="shared" si="1"/>
        <v>3.2654903813231777E-3</v>
      </c>
      <c r="E22" s="21">
        <v>32979199.562794574</v>
      </c>
      <c r="F22" s="14">
        <f t="shared" si="2"/>
        <v>0</v>
      </c>
      <c r="G22" s="21">
        <v>0</v>
      </c>
      <c r="H22" s="14">
        <f t="shared" si="3"/>
        <v>0</v>
      </c>
      <c r="I22" s="21">
        <v>0</v>
      </c>
      <c r="J22" s="14">
        <f t="shared" si="4"/>
        <v>0</v>
      </c>
      <c r="K22" s="21">
        <v>0</v>
      </c>
      <c r="L22" s="14">
        <f t="shared" si="5"/>
        <v>0</v>
      </c>
      <c r="M22" s="21">
        <v>0</v>
      </c>
      <c r="N22" s="14">
        <f t="shared" si="6"/>
        <v>1.4584651362247432E-2</v>
      </c>
      <c r="O22" s="36">
        <f t="shared" si="7"/>
        <v>519283168.78903514</v>
      </c>
    </row>
    <row r="23" spans="1:16384" x14ac:dyDescent="0.2">
      <c r="A23" s="26" t="s">
        <v>16</v>
      </c>
      <c r="B23" s="28">
        <f t="shared" si="0"/>
        <v>0.18156566863541701</v>
      </c>
      <c r="C23" s="22">
        <v>3267526656</v>
      </c>
      <c r="D23" s="28">
        <f t="shared" si="1"/>
        <v>0.20466926197142823</v>
      </c>
      <c r="E23" s="22">
        <v>2067018317.8400855</v>
      </c>
      <c r="F23" s="28">
        <f t="shared" si="2"/>
        <v>1.9709496879093562E-2</v>
      </c>
      <c r="G23" s="22">
        <v>148000000</v>
      </c>
      <c r="H23" s="28">
        <f t="shared" si="3"/>
        <v>0</v>
      </c>
      <c r="I23" s="22">
        <v>0</v>
      </c>
      <c r="J23" s="28">
        <f t="shared" si="4"/>
        <v>0</v>
      </c>
      <c r="K23" s="22">
        <v>0</v>
      </c>
      <c r="L23" s="28">
        <f t="shared" si="5"/>
        <v>0</v>
      </c>
      <c r="M23" s="22">
        <v>0</v>
      </c>
      <c r="N23" s="28">
        <f t="shared" si="6"/>
        <v>0.15398343683614502</v>
      </c>
      <c r="O23" s="37">
        <f t="shared" si="7"/>
        <v>5482544973.840086</v>
      </c>
    </row>
    <row r="24" spans="1:16384" x14ac:dyDescent="0.2">
      <c r="A24" s="25" t="s">
        <v>24</v>
      </c>
      <c r="B24" s="14">
        <f t="shared" si="0"/>
        <v>2.7959344452697925E-2</v>
      </c>
      <c r="C24" s="21">
        <v>503167278.09882617</v>
      </c>
      <c r="D24" s="14">
        <f t="shared" si="1"/>
        <v>6.0460966086524825E-3</v>
      </c>
      <c r="E24" s="21">
        <v>61061403.755196676</v>
      </c>
      <c r="F24" s="14">
        <f t="shared" si="2"/>
        <v>0</v>
      </c>
      <c r="G24" s="21">
        <v>0</v>
      </c>
      <c r="H24" s="14">
        <f t="shared" si="3"/>
        <v>0</v>
      </c>
      <c r="I24" s="21">
        <v>0</v>
      </c>
      <c r="J24" s="14">
        <f t="shared" si="4"/>
        <v>0</v>
      </c>
      <c r="K24" s="21">
        <v>0</v>
      </c>
      <c r="L24" s="14">
        <f t="shared" si="5"/>
        <v>0</v>
      </c>
      <c r="M24" s="21">
        <v>0</v>
      </c>
      <c r="N24" s="14">
        <f t="shared" si="6"/>
        <v>1.584699660613207E-2</v>
      </c>
      <c r="O24" s="36">
        <f t="shared" si="7"/>
        <v>564228681.85402286</v>
      </c>
    </row>
    <row r="25" spans="1:16384" x14ac:dyDescent="0.2">
      <c r="A25" s="26" t="s">
        <v>25</v>
      </c>
      <c r="B25" s="28">
        <f t="shared" si="0"/>
        <v>2.5535773218167128E-2</v>
      </c>
      <c r="C25" s="22">
        <v>459551744</v>
      </c>
      <c r="D25" s="28">
        <f t="shared" si="1"/>
        <v>5.5612124546586096E-3</v>
      </c>
      <c r="E25" s="22">
        <v>56164408.384804197</v>
      </c>
      <c r="F25" s="28">
        <f t="shared" si="2"/>
        <v>1.8644118669412828E-2</v>
      </c>
      <c r="G25" s="22">
        <v>140000000</v>
      </c>
      <c r="H25" s="28">
        <f t="shared" si="3"/>
        <v>0</v>
      </c>
      <c r="I25" s="22">
        <v>0</v>
      </c>
      <c r="J25" s="28">
        <f t="shared" si="4"/>
        <v>0</v>
      </c>
      <c r="K25" s="22">
        <v>0</v>
      </c>
      <c r="L25" s="28">
        <f t="shared" si="5"/>
        <v>0</v>
      </c>
      <c r="M25" s="22">
        <v>0</v>
      </c>
      <c r="N25" s="28">
        <f t="shared" si="6"/>
        <v>1.8416525028971079E-2</v>
      </c>
      <c r="O25" s="37">
        <f t="shared" si="7"/>
        <v>655716152.38480425</v>
      </c>
    </row>
    <row r="26" spans="1:16384" x14ac:dyDescent="0.2">
      <c r="A26" s="25" t="s">
        <v>17</v>
      </c>
      <c r="B26" s="14">
        <f t="shared" si="0"/>
        <v>1.6889829640503909E-2</v>
      </c>
      <c r="C26" s="21">
        <v>303955968</v>
      </c>
      <c r="D26" s="14">
        <f t="shared" si="1"/>
        <v>1.8943257896030387E-2</v>
      </c>
      <c r="E26" s="21">
        <v>191313833.32065672</v>
      </c>
      <c r="F26" s="14">
        <f t="shared" si="2"/>
        <v>2.9963762147270621E-2</v>
      </c>
      <c r="G26" s="21">
        <v>225000000</v>
      </c>
      <c r="H26" s="14">
        <f t="shared" si="3"/>
        <v>0</v>
      </c>
      <c r="I26" s="21">
        <v>0</v>
      </c>
      <c r="J26" s="14">
        <f t="shared" si="4"/>
        <v>0</v>
      </c>
      <c r="K26" s="21">
        <v>0</v>
      </c>
      <c r="L26" s="14">
        <f t="shared" si="5"/>
        <v>0</v>
      </c>
      <c r="M26" s="21">
        <v>0</v>
      </c>
      <c r="N26" s="14">
        <f t="shared" si="6"/>
        <v>2.0229586804275446E-2</v>
      </c>
      <c r="O26" s="36">
        <f t="shared" si="7"/>
        <v>720269801.32065678</v>
      </c>
    </row>
    <row r="27" spans="1:16384" x14ac:dyDescent="0.2">
      <c r="A27" s="26" t="s">
        <v>8</v>
      </c>
      <c r="B27" s="28">
        <f t="shared" si="0"/>
        <v>5.905568263289065E-3</v>
      </c>
      <c r="C27" s="22">
        <v>106278912</v>
      </c>
      <c r="D27" s="28">
        <f t="shared" si="1"/>
        <v>3.2654903813231777E-3</v>
      </c>
      <c r="E27" s="22">
        <v>32979199.562794574</v>
      </c>
      <c r="F27" s="28">
        <f t="shared" si="2"/>
        <v>0</v>
      </c>
      <c r="G27" s="22">
        <v>0</v>
      </c>
      <c r="H27" s="28">
        <f t="shared" si="3"/>
        <v>0</v>
      </c>
      <c r="I27" s="22">
        <v>0</v>
      </c>
      <c r="J27" s="28">
        <f t="shared" si="4"/>
        <v>0</v>
      </c>
      <c r="K27" s="22">
        <v>0</v>
      </c>
      <c r="L27" s="28">
        <f t="shared" si="5"/>
        <v>0</v>
      </c>
      <c r="M27" s="22">
        <v>0</v>
      </c>
      <c r="N27" s="28">
        <f t="shared" si="6"/>
        <v>3.9112205605366856E-3</v>
      </c>
      <c r="O27" s="37">
        <f t="shared" si="7"/>
        <v>139258111.56279457</v>
      </c>
    </row>
    <row r="28" spans="1:16384" x14ac:dyDescent="0.2">
      <c r="A28" s="27" t="s">
        <v>27</v>
      </c>
      <c r="B28" s="29">
        <f t="shared" si="0"/>
        <v>1</v>
      </c>
      <c r="C28" s="13">
        <f>SUM(C4:C27)</f>
        <v>17996390400</v>
      </c>
      <c r="D28" s="29">
        <f t="shared" si="1"/>
        <v>1</v>
      </c>
      <c r="E28" s="13">
        <f>SUM(E4:E27)</f>
        <v>10099309969.313519</v>
      </c>
      <c r="F28" s="29">
        <f t="shared" si="2"/>
        <v>1</v>
      </c>
      <c r="G28" s="13">
        <f>SUM(G4:G27)</f>
        <v>7509070419.6000004</v>
      </c>
      <c r="H28" s="29">
        <f t="shared" si="3"/>
        <v>0</v>
      </c>
      <c r="I28" s="13">
        <f>SUM(I4:I27)</f>
        <v>0</v>
      </c>
      <c r="J28" s="29">
        <f t="shared" si="4"/>
        <v>0</v>
      </c>
      <c r="K28" s="13">
        <f>SUM(K4:K27)</f>
        <v>0</v>
      </c>
      <c r="L28" s="29">
        <f t="shared" si="5"/>
        <v>0</v>
      </c>
      <c r="M28" s="13">
        <f>SUM(M4:M27)</f>
        <v>0</v>
      </c>
      <c r="N28" s="29">
        <f t="shared" si="6"/>
        <v>1</v>
      </c>
      <c r="O28" s="13">
        <f>SUM(C28,E28,G28,I28,K28,M28)</f>
        <v>35604770788.913521</v>
      </c>
    </row>
    <row r="30" spans="1:16384" x14ac:dyDescent="0.2">
      <c r="A30" s="33" t="s">
        <v>41</v>
      </c>
      <c r="C30" t="b">
        <f>C28='2.2.Brecha Efectiva x UdM'!F3</f>
        <v>1</v>
      </c>
      <c r="E30" t="b">
        <f>E28='2.2.Brecha Efectiva x UdM'!F4</f>
        <v>1</v>
      </c>
      <c r="G30" t="b">
        <f>G28='2.2.Brecha Efectiva x UdM'!F5</f>
        <v>1</v>
      </c>
      <c r="I30" t="b">
        <f>I28='2.2.Brecha Efectiva x UdM'!F6</f>
        <v>1</v>
      </c>
      <c r="K30" t="b">
        <f>K28='2.2.Brecha Efectiva x UdM'!F7</f>
        <v>1</v>
      </c>
      <c r="M30" t="b">
        <f>M28='2.2.Brecha Efectiva x UdM'!F8</f>
        <v>1</v>
      </c>
      <c r="O30" t="b">
        <f>O28='2.2.Brecha Efectiva x UdM'!F9</f>
        <v>1</v>
      </c>
    </row>
    <row r="32" spans="1:16384" x14ac:dyDescent="0.2">
      <c r="A32" s="17" t="s">
        <v>33</v>
      </c>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c r="DO32" s="17"/>
      <c r="DP32" s="17"/>
      <c r="DQ32" s="17"/>
      <c r="DR32" s="17"/>
      <c r="DS32" s="17"/>
      <c r="DT32" s="17"/>
      <c r="DU32" s="17"/>
      <c r="DV32" s="17"/>
      <c r="DW32" s="17"/>
      <c r="DX32" s="17"/>
      <c r="DY32" s="17"/>
      <c r="DZ32" s="17"/>
      <c r="EA32" s="17"/>
      <c r="EB32" s="17"/>
      <c r="EC32" s="17"/>
      <c r="ED32" s="17"/>
      <c r="EE32" s="17"/>
      <c r="EF32" s="17"/>
      <c r="EG32" s="17"/>
      <c r="EH32" s="17"/>
      <c r="EI32" s="17"/>
      <c r="EJ32" s="17"/>
      <c r="EK32" s="17"/>
      <c r="EL32" s="17"/>
      <c r="EM32" s="17"/>
      <c r="EN32" s="17"/>
      <c r="EO32" s="17"/>
      <c r="EP32" s="17"/>
      <c r="EQ32" s="17"/>
      <c r="ER32" s="17"/>
      <c r="ES32" s="17"/>
      <c r="ET32" s="17"/>
      <c r="EU32" s="17"/>
      <c r="EV32" s="17"/>
      <c r="EW32" s="17"/>
      <c r="EX32" s="17"/>
      <c r="EY32" s="17"/>
      <c r="EZ32" s="17"/>
      <c r="FA32" s="17"/>
      <c r="FB32" s="17"/>
      <c r="FC32" s="17"/>
      <c r="FD32" s="17"/>
      <c r="FE32" s="17"/>
      <c r="FF32" s="17"/>
      <c r="FG32" s="17"/>
      <c r="FH32" s="17"/>
      <c r="FI32" s="17"/>
      <c r="FJ32" s="17"/>
      <c r="FK32" s="17"/>
      <c r="FL32" s="17"/>
      <c r="FM32" s="17"/>
      <c r="FN32" s="17"/>
      <c r="FO32" s="17"/>
      <c r="FP32" s="17"/>
      <c r="FQ32" s="17"/>
      <c r="FR32" s="17"/>
      <c r="FS32" s="17"/>
      <c r="FT32" s="17"/>
      <c r="FU32" s="17"/>
      <c r="FV32" s="17"/>
      <c r="FW32" s="17"/>
      <c r="FX32" s="17"/>
      <c r="FY32" s="17"/>
      <c r="FZ32" s="17"/>
      <c r="GA32" s="17"/>
      <c r="GB32" s="17"/>
      <c r="GC32" s="17"/>
      <c r="GD32" s="17"/>
      <c r="GE32" s="17"/>
      <c r="GF32" s="17"/>
      <c r="GG32" s="17"/>
      <c r="GH32" s="17"/>
      <c r="GI32" s="17"/>
      <c r="GJ32" s="17"/>
      <c r="GK32" s="17"/>
      <c r="GL32" s="17"/>
      <c r="GM32" s="17"/>
      <c r="GN32" s="17"/>
      <c r="GO32" s="17"/>
      <c r="GP32" s="17"/>
      <c r="GQ32" s="17"/>
      <c r="GR32" s="17"/>
      <c r="GS32" s="17"/>
      <c r="GT32" s="17"/>
      <c r="GU32" s="17"/>
      <c r="GV32" s="17"/>
      <c r="GW32" s="17"/>
      <c r="GX32" s="17"/>
      <c r="GY32" s="17"/>
      <c r="GZ32" s="17"/>
      <c r="HA32" s="17"/>
      <c r="HB32" s="17"/>
      <c r="HC32" s="17"/>
      <c r="HD32" s="17"/>
      <c r="HE32" s="17"/>
      <c r="HF32" s="17"/>
      <c r="HG32" s="17"/>
      <c r="HH32" s="17"/>
      <c r="HI32" s="17"/>
      <c r="HJ32" s="17"/>
      <c r="HK32" s="17"/>
      <c r="HL32" s="17"/>
      <c r="HM32" s="17"/>
      <c r="HN32" s="17"/>
      <c r="HO32" s="17"/>
      <c r="HP32" s="17"/>
      <c r="HQ32" s="17"/>
      <c r="HR32" s="17"/>
      <c r="HS32" s="17"/>
      <c r="HT32" s="17"/>
      <c r="HU32" s="17"/>
      <c r="HV32" s="17"/>
      <c r="HW32" s="17"/>
      <c r="HX32" s="17"/>
      <c r="HY32" s="17"/>
      <c r="HZ32" s="17"/>
      <c r="IA32" s="17"/>
      <c r="IB32" s="17"/>
      <c r="IC32" s="17"/>
      <c r="ID32" s="17"/>
      <c r="IE32" s="17"/>
      <c r="IF32" s="17"/>
      <c r="IG32" s="17"/>
      <c r="IH32" s="17"/>
      <c r="II32" s="17"/>
      <c r="IJ32" s="17"/>
      <c r="IK32" s="17"/>
      <c r="IL32" s="17"/>
      <c r="IM32" s="17"/>
      <c r="IN32" s="17"/>
      <c r="IO32" s="17"/>
      <c r="IP32" s="17"/>
      <c r="IQ32" s="17"/>
      <c r="IR32" s="17"/>
      <c r="IS32" s="17"/>
      <c r="IT32" s="17"/>
      <c r="IU32" s="17"/>
      <c r="IV32" s="17"/>
      <c r="IW32" s="17"/>
      <c r="IX32" s="17"/>
      <c r="IY32" s="17"/>
      <c r="IZ32" s="17"/>
      <c r="JA32" s="17"/>
      <c r="JB32" s="17"/>
      <c r="JC32" s="17"/>
      <c r="JD32" s="17"/>
      <c r="JE32" s="17"/>
      <c r="JF32" s="17"/>
      <c r="JG32" s="17"/>
      <c r="JH32" s="17"/>
      <c r="JI32" s="17"/>
      <c r="JJ32" s="17"/>
      <c r="JK32" s="17"/>
      <c r="JL32" s="17"/>
      <c r="JM32" s="17"/>
      <c r="JN32" s="17"/>
      <c r="JO32" s="17"/>
      <c r="JP32" s="17"/>
      <c r="JQ32" s="17"/>
      <c r="JR32" s="17"/>
      <c r="JS32" s="17"/>
      <c r="JT32" s="17"/>
      <c r="JU32" s="17"/>
      <c r="JV32" s="17"/>
      <c r="JW32" s="17"/>
      <c r="JX32" s="17"/>
      <c r="JY32" s="17"/>
      <c r="JZ32" s="17"/>
      <c r="KA32" s="17"/>
      <c r="KB32" s="17"/>
      <c r="KC32" s="17"/>
      <c r="KD32" s="17"/>
      <c r="KE32" s="17"/>
      <c r="KF32" s="17"/>
      <c r="KG32" s="17"/>
      <c r="KH32" s="17"/>
      <c r="KI32" s="17"/>
      <c r="KJ32" s="17"/>
      <c r="KK32" s="17"/>
      <c r="KL32" s="17"/>
      <c r="KM32" s="17"/>
      <c r="KN32" s="17"/>
      <c r="KO32" s="17"/>
      <c r="KP32" s="17"/>
      <c r="KQ32" s="17"/>
      <c r="KR32" s="17"/>
      <c r="KS32" s="17"/>
      <c r="KT32" s="17"/>
      <c r="KU32" s="17"/>
      <c r="KV32" s="17"/>
      <c r="KW32" s="17"/>
      <c r="KX32" s="17"/>
      <c r="KY32" s="17"/>
      <c r="KZ32" s="17"/>
      <c r="LA32" s="17"/>
      <c r="LB32" s="17"/>
      <c r="LC32" s="17"/>
      <c r="LD32" s="17"/>
      <c r="LE32" s="17"/>
      <c r="LF32" s="17"/>
      <c r="LG32" s="17"/>
      <c r="LH32" s="17"/>
      <c r="LI32" s="17"/>
      <c r="LJ32" s="17"/>
      <c r="LK32" s="17"/>
      <c r="LL32" s="17"/>
      <c r="LM32" s="17"/>
      <c r="LN32" s="17"/>
      <c r="LO32" s="17"/>
      <c r="LP32" s="17"/>
      <c r="LQ32" s="17"/>
      <c r="LR32" s="17"/>
      <c r="LS32" s="17"/>
      <c r="LT32" s="17"/>
      <c r="LU32" s="17"/>
      <c r="LV32" s="17"/>
      <c r="LW32" s="17"/>
      <c r="LX32" s="17"/>
      <c r="LY32" s="17"/>
      <c r="LZ32" s="17"/>
      <c r="MA32" s="17"/>
      <c r="MB32" s="17"/>
      <c r="MC32" s="17"/>
      <c r="MD32" s="17"/>
      <c r="ME32" s="17"/>
      <c r="MF32" s="17"/>
      <c r="MG32" s="17"/>
      <c r="MH32" s="17"/>
      <c r="MI32" s="17"/>
      <c r="MJ32" s="17"/>
      <c r="MK32" s="17"/>
      <c r="ML32" s="17"/>
      <c r="MM32" s="17"/>
      <c r="MN32" s="17"/>
      <c r="MO32" s="17"/>
      <c r="MP32" s="17"/>
      <c r="MQ32" s="17"/>
      <c r="MR32" s="17"/>
      <c r="MS32" s="17"/>
      <c r="MT32" s="17"/>
      <c r="MU32" s="17"/>
      <c r="MV32" s="17"/>
      <c r="MW32" s="17"/>
      <c r="MX32" s="17"/>
      <c r="MY32" s="17"/>
      <c r="MZ32" s="17"/>
      <c r="NA32" s="17"/>
      <c r="NB32" s="17"/>
      <c r="NC32" s="17"/>
      <c r="ND32" s="17"/>
      <c r="NE32" s="17"/>
      <c r="NF32" s="17"/>
      <c r="NG32" s="17"/>
      <c r="NH32" s="17"/>
      <c r="NI32" s="17"/>
      <c r="NJ32" s="17"/>
      <c r="NK32" s="17"/>
      <c r="NL32" s="17"/>
      <c r="NM32" s="17"/>
      <c r="NN32" s="17"/>
      <c r="NO32" s="17"/>
      <c r="NP32" s="17"/>
      <c r="NQ32" s="17"/>
      <c r="NR32" s="17"/>
      <c r="NS32" s="17"/>
      <c r="NT32" s="17"/>
      <c r="NU32" s="17"/>
      <c r="NV32" s="17"/>
      <c r="NW32" s="17"/>
      <c r="NX32" s="17"/>
      <c r="NY32" s="17"/>
      <c r="NZ32" s="17"/>
      <c r="OA32" s="17"/>
      <c r="OB32" s="17"/>
      <c r="OC32" s="17"/>
      <c r="OD32" s="17"/>
      <c r="OE32" s="17"/>
      <c r="OF32" s="17"/>
      <c r="OG32" s="17"/>
      <c r="OH32" s="17"/>
      <c r="OI32" s="17"/>
      <c r="OJ32" s="17"/>
      <c r="OK32" s="17"/>
      <c r="OL32" s="17"/>
      <c r="OM32" s="17"/>
      <c r="ON32" s="17"/>
      <c r="OO32" s="17"/>
      <c r="OP32" s="17"/>
      <c r="OQ32" s="17"/>
      <c r="OR32" s="17"/>
      <c r="OS32" s="17"/>
      <c r="OT32" s="17"/>
      <c r="OU32" s="17"/>
      <c r="OV32" s="17"/>
      <c r="OW32" s="17"/>
      <c r="OX32" s="17"/>
      <c r="OY32" s="17"/>
      <c r="OZ32" s="17"/>
      <c r="PA32" s="17"/>
      <c r="PB32" s="17"/>
      <c r="PC32" s="17"/>
      <c r="PD32" s="17"/>
      <c r="PE32" s="17"/>
      <c r="PF32" s="17"/>
      <c r="PG32" s="17"/>
      <c r="PH32" s="17"/>
      <c r="PI32" s="17"/>
      <c r="PJ32" s="17"/>
      <c r="PK32" s="17"/>
      <c r="PL32" s="17"/>
      <c r="PM32" s="17"/>
      <c r="PN32" s="17"/>
      <c r="PO32" s="17"/>
      <c r="PP32" s="17"/>
      <c r="PQ32" s="17"/>
      <c r="PR32" s="17"/>
      <c r="PS32" s="17"/>
      <c r="PT32" s="17"/>
      <c r="PU32" s="17"/>
      <c r="PV32" s="17"/>
      <c r="PW32" s="17"/>
      <c r="PX32" s="17"/>
      <c r="PY32" s="17"/>
      <c r="PZ32" s="17"/>
      <c r="QA32" s="17"/>
      <c r="QB32" s="17"/>
      <c r="QC32" s="17"/>
      <c r="QD32" s="17"/>
      <c r="QE32" s="17"/>
      <c r="QF32" s="17"/>
      <c r="QG32" s="17"/>
      <c r="QH32" s="17"/>
      <c r="QI32" s="17"/>
      <c r="QJ32" s="17"/>
      <c r="QK32" s="17"/>
      <c r="QL32" s="17"/>
      <c r="QM32" s="17"/>
      <c r="QN32" s="17"/>
      <c r="QO32" s="17"/>
      <c r="QP32" s="17"/>
      <c r="QQ32" s="17"/>
      <c r="QR32" s="17"/>
      <c r="QS32" s="17"/>
      <c r="QT32" s="17"/>
      <c r="QU32" s="17"/>
      <c r="QV32" s="17"/>
      <c r="QW32" s="17"/>
      <c r="QX32" s="17"/>
      <c r="QY32" s="17"/>
      <c r="QZ32" s="17"/>
      <c r="RA32" s="17"/>
      <c r="RB32" s="17"/>
      <c r="RC32" s="17"/>
      <c r="RD32" s="17"/>
      <c r="RE32" s="17"/>
      <c r="RF32" s="17"/>
      <c r="RG32" s="17"/>
      <c r="RH32" s="17"/>
      <c r="RI32" s="17"/>
      <c r="RJ32" s="17"/>
      <c r="RK32" s="17"/>
      <c r="RL32" s="17"/>
      <c r="RM32" s="17"/>
      <c r="RN32" s="17"/>
      <c r="RO32" s="17"/>
      <c r="RP32" s="17"/>
      <c r="RQ32" s="17"/>
      <c r="RR32" s="17"/>
      <c r="RS32" s="17"/>
      <c r="RT32" s="17"/>
      <c r="RU32" s="17"/>
      <c r="RV32" s="17"/>
      <c r="RW32" s="17"/>
      <c r="RX32" s="17"/>
      <c r="RY32" s="17"/>
      <c r="RZ32" s="17"/>
      <c r="SA32" s="17"/>
      <c r="SB32" s="17"/>
      <c r="SC32" s="17"/>
      <c r="SD32" s="17"/>
      <c r="SE32" s="17"/>
      <c r="SF32" s="17"/>
      <c r="SG32" s="17"/>
      <c r="SH32" s="17"/>
      <c r="SI32" s="17"/>
      <c r="SJ32" s="17"/>
      <c r="SK32" s="17"/>
      <c r="SL32" s="17"/>
      <c r="SM32" s="17"/>
      <c r="SN32" s="17"/>
      <c r="SO32" s="17"/>
      <c r="SP32" s="17"/>
      <c r="SQ32" s="17"/>
      <c r="SR32" s="17"/>
      <c r="SS32" s="17"/>
      <c r="ST32" s="17"/>
      <c r="SU32" s="17"/>
      <c r="SV32" s="17"/>
      <c r="SW32" s="17"/>
      <c r="SX32" s="17"/>
      <c r="SY32" s="17"/>
      <c r="SZ32" s="17"/>
      <c r="TA32" s="17"/>
      <c r="TB32" s="17"/>
      <c r="TC32" s="17"/>
      <c r="TD32" s="17"/>
      <c r="TE32" s="17"/>
      <c r="TF32" s="17"/>
      <c r="TG32" s="17"/>
      <c r="TH32" s="17"/>
      <c r="TI32" s="17"/>
      <c r="TJ32" s="17"/>
      <c r="TK32" s="17"/>
      <c r="TL32" s="17"/>
      <c r="TM32" s="17"/>
      <c r="TN32" s="17"/>
      <c r="TO32" s="17"/>
      <c r="TP32" s="17"/>
      <c r="TQ32" s="17"/>
      <c r="TR32" s="17"/>
      <c r="TS32" s="17"/>
      <c r="TT32" s="17"/>
      <c r="TU32" s="17"/>
      <c r="TV32" s="17"/>
      <c r="TW32" s="17"/>
      <c r="TX32" s="17"/>
      <c r="TY32" s="17"/>
      <c r="TZ32" s="17"/>
      <c r="UA32" s="17"/>
      <c r="UB32" s="17"/>
      <c r="UC32" s="17"/>
      <c r="UD32" s="17"/>
      <c r="UE32" s="17"/>
      <c r="UF32" s="17"/>
      <c r="UG32" s="17"/>
      <c r="UH32" s="17"/>
      <c r="UI32" s="17"/>
      <c r="UJ32" s="17"/>
      <c r="UK32" s="17"/>
      <c r="UL32" s="17"/>
      <c r="UM32" s="17"/>
      <c r="UN32" s="17"/>
      <c r="UO32" s="17"/>
      <c r="UP32" s="17"/>
      <c r="UQ32" s="17"/>
      <c r="UR32" s="17"/>
      <c r="US32" s="17"/>
      <c r="UT32" s="17"/>
      <c r="UU32" s="17"/>
      <c r="UV32" s="17"/>
      <c r="UW32" s="17"/>
      <c r="UX32" s="17"/>
      <c r="UY32" s="17"/>
      <c r="UZ32" s="17"/>
      <c r="VA32" s="17"/>
      <c r="VB32" s="17"/>
      <c r="VC32" s="17"/>
      <c r="VD32" s="17"/>
      <c r="VE32" s="17"/>
      <c r="VF32" s="17"/>
      <c r="VG32" s="17"/>
      <c r="VH32" s="17"/>
      <c r="VI32" s="17"/>
      <c r="VJ32" s="17"/>
      <c r="VK32" s="17"/>
      <c r="VL32" s="17"/>
      <c r="VM32" s="17"/>
      <c r="VN32" s="17"/>
      <c r="VO32" s="17"/>
      <c r="VP32" s="17"/>
      <c r="VQ32" s="17"/>
      <c r="VR32" s="17"/>
      <c r="VS32" s="17"/>
      <c r="VT32" s="17"/>
      <c r="VU32" s="17"/>
      <c r="VV32" s="17"/>
      <c r="VW32" s="17"/>
      <c r="VX32" s="17"/>
      <c r="VY32" s="17"/>
      <c r="VZ32" s="17"/>
      <c r="WA32" s="17"/>
      <c r="WB32" s="17"/>
      <c r="WC32" s="17"/>
      <c r="WD32" s="17"/>
      <c r="WE32" s="17"/>
      <c r="WF32" s="17"/>
      <c r="WG32" s="17"/>
      <c r="WH32" s="17"/>
      <c r="WI32" s="17"/>
      <c r="WJ32" s="17"/>
      <c r="WK32" s="17"/>
      <c r="WL32" s="17"/>
      <c r="WM32" s="17"/>
      <c r="WN32" s="17"/>
      <c r="WO32" s="17"/>
      <c r="WP32" s="17"/>
      <c r="WQ32" s="17"/>
      <c r="WR32" s="17"/>
      <c r="WS32" s="17"/>
      <c r="WT32" s="17"/>
      <c r="WU32" s="17"/>
      <c r="WV32" s="17"/>
      <c r="WW32" s="17"/>
      <c r="WX32" s="17"/>
      <c r="WY32" s="17"/>
      <c r="WZ32" s="17"/>
      <c r="XA32" s="17"/>
      <c r="XB32" s="17"/>
      <c r="XC32" s="17"/>
      <c r="XD32" s="17"/>
      <c r="XE32" s="17"/>
      <c r="XF32" s="17"/>
      <c r="XG32" s="17"/>
      <c r="XH32" s="17"/>
      <c r="XI32" s="17"/>
      <c r="XJ32" s="17"/>
      <c r="XK32" s="17"/>
      <c r="XL32" s="17"/>
      <c r="XM32" s="17"/>
      <c r="XN32" s="17"/>
      <c r="XO32" s="17"/>
      <c r="XP32" s="17"/>
      <c r="XQ32" s="17"/>
      <c r="XR32" s="17"/>
      <c r="XS32" s="17"/>
      <c r="XT32" s="17"/>
      <c r="XU32" s="17"/>
      <c r="XV32" s="17"/>
      <c r="XW32" s="17"/>
      <c r="XX32" s="17"/>
      <c r="XY32" s="17"/>
      <c r="XZ32" s="17"/>
      <c r="YA32" s="17"/>
      <c r="YB32" s="17"/>
      <c r="YC32" s="17"/>
      <c r="YD32" s="17"/>
      <c r="YE32" s="17"/>
      <c r="YF32" s="17"/>
      <c r="YG32" s="17"/>
      <c r="YH32" s="17"/>
      <c r="YI32" s="17"/>
      <c r="YJ32" s="17"/>
      <c r="YK32" s="17"/>
      <c r="YL32" s="17"/>
      <c r="YM32" s="17"/>
      <c r="YN32" s="17"/>
      <c r="YO32" s="17"/>
      <c r="YP32" s="17"/>
      <c r="YQ32" s="17"/>
      <c r="YR32" s="17"/>
      <c r="YS32" s="17"/>
      <c r="YT32" s="17"/>
      <c r="YU32" s="17"/>
      <c r="YV32" s="17"/>
      <c r="YW32" s="17"/>
      <c r="YX32" s="17"/>
      <c r="YY32" s="17"/>
      <c r="YZ32" s="17"/>
      <c r="ZA32" s="17"/>
      <c r="ZB32" s="17"/>
      <c r="ZC32" s="17"/>
      <c r="ZD32" s="17"/>
      <c r="ZE32" s="17"/>
      <c r="ZF32" s="17"/>
      <c r="ZG32" s="17"/>
      <c r="ZH32" s="17"/>
      <c r="ZI32" s="17"/>
      <c r="ZJ32" s="17"/>
      <c r="ZK32" s="17"/>
      <c r="ZL32" s="17"/>
      <c r="ZM32" s="17"/>
      <c r="ZN32" s="17"/>
      <c r="ZO32" s="17"/>
      <c r="ZP32" s="17"/>
      <c r="ZQ32" s="17"/>
      <c r="ZR32" s="17"/>
      <c r="ZS32" s="17"/>
      <c r="ZT32" s="17"/>
      <c r="ZU32" s="17"/>
      <c r="ZV32" s="17"/>
      <c r="ZW32" s="17"/>
      <c r="ZX32" s="17"/>
      <c r="ZY32" s="17"/>
      <c r="ZZ32" s="17"/>
      <c r="AAA32" s="17"/>
      <c r="AAB32" s="17"/>
      <c r="AAC32" s="17"/>
      <c r="AAD32" s="17"/>
      <c r="AAE32" s="17"/>
      <c r="AAF32" s="17"/>
      <c r="AAG32" s="17"/>
      <c r="AAH32" s="17"/>
      <c r="AAI32" s="17"/>
      <c r="AAJ32" s="17"/>
      <c r="AAK32" s="17"/>
      <c r="AAL32" s="17"/>
      <c r="AAM32" s="17"/>
      <c r="AAN32" s="17"/>
      <c r="AAO32" s="17"/>
      <c r="AAP32" s="17"/>
      <c r="AAQ32" s="17"/>
      <c r="AAR32" s="17"/>
      <c r="AAS32" s="17"/>
      <c r="AAT32" s="17"/>
      <c r="AAU32" s="17"/>
      <c r="AAV32" s="17"/>
      <c r="AAW32" s="17"/>
      <c r="AAX32" s="17"/>
      <c r="AAY32" s="17"/>
      <c r="AAZ32" s="17"/>
      <c r="ABA32" s="17"/>
      <c r="ABB32" s="17"/>
      <c r="ABC32" s="17"/>
      <c r="ABD32" s="17"/>
      <c r="ABE32" s="17"/>
      <c r="ABF32" s="17"/>
      <c r="ABG32" s="17"/>
      <c r="ABH32" s="17"/>
      <c r="ABI32" s="17"/>
      <c r="ABJ32" s="17"/>
      <c r="ABK32" s="17"/>
      <c r="ABL32" s="17"/>
      <c r="ABM32" s="17"/>
      <c r="ABN32" s="17"/>
      <c r="ABO32" s="17"/>
      <c r="ABP32" s="17"/>
      <c r="ABQ32" s="17"/>
      <c r="ABR32" s="17"/>
      <c r="ABS32" s="17"/>
      <c r="ABT32" s="17"/>
      <c r="ABU32" s="17"/>
      <c r="ABV32" s="17"/>
      <c r="ABW32" s="17"/>
      <c r="ABX32" s="17"/>
      <c r="ABY32" s="17"/>
      <c r="ABZ32" s="17"/>
      <c r="ACA32" s="17"/>
      <c r="ACB32" s="17"/>
      <c r="ACC32" s="17"/>
      <c r="ACD32" s="17"/>
      <c r="ACE32" s="17"/>
      <c r="ACF32" s="17"/>
      <c r="ACG32" s="17"/>
      <c r="ACH32" s="17"/>
      <c r="ACI32" s="17"/>
      <c r="ACJ32" s="17"/>
      <c r="ACK32" s="17"/>
      <c r="ACL32" s="17"/>
      <c r="ACM32" s="17"/>
      <c r="ACN32" s="17"/>
      <c r="ACO32" s="17"/>
      <c r="ACP32" s="17"/>
      <c r="ACQ32" s="17"/>
      <c r="ACR32" s="17"/>
      <c r="ACS32" s="17"/>
      <c r="ACT32" s="17"/>
      <c r="ACU32" s="17"/>
      <c r="ACV32" s="17"/>
      <c r="ACW32" s="17"/>
      <c r="ACX32" s="17"/>
      <c r="ACY32" s="17"/>
      <c r="ACZ32" s="17"/>
      <c r="ADA32" s="17"/>
      <c r="ADB32" s="17"/>
      <c r="ADC32" s="17"/>
      <c r="ADD32" s="17"/>
      <c r="ADE32" s="17"/>
      <c r="ADF32" s="17"/>
      <c r="ADG32" s="17"/>
      <c r="ADH32" s="17"/>
      <c r="ADI32" s="17"/>
      <c r="ADJ32" s="17"/>
      <c r="ADK32" s="17"/>
      <c r="ADL32" s="17"/>
      <c r="ADM32" s="17"/>
      <c r="ADN32" s="17"/>
      <c r="ADO32" s="17"/>
      <c r="ADP32" s="17"/>
      <c r="ADQ32" s="17"/>
      <c r="ADR32" s="17"/>
      <c r="ADS32" s="17"/>
      <c r="ADT32" s="17"/>
      <c r="ADU32" s="17"/>
      <c r="ADV32" s="17"/>
      <c r="ADW32" s="17"/>
      <c r="ADX32" s="17"/>
      <c r="ADY32" s="17"/>
      <c r="ADZ32" s="17"/>
      <c r="AEA32" s="17"/>
      <c r="AEB32" s="17"/>
      <c r="AEC32" s="17"/>
      <c r="AED32" s="17"/>
      <c r="AEE32" s="17"/>
      <c r="AEF32" s="17"/>
      <c r="AEG32" s="17"/>
      <c r="AEH32" s="17"/>
      <c r="AEI32" s="17"/>
      <c r="AEJ32" s="17"/>
      <c r="AEK32" s="17"/>
      <c r="AEL32" s="17"/>
      <c r="AEM32" s="17"/>
      <c r="AEN32" s="17"/>
      <c r="AEO32" s="17"/>
      <c r="AEP32" s="17"/>
      <c r="AEQ32" s="17"/>
      <c r="AER32" s="17"/>
      <c r="AES32" s="17"/>
      <c r="AET32" s="17"/>
      <c r="AEU32" s="17"/>
      <c r="AEV32" s="17"/>
      <c r="AEW32" s="17"/>
      <c r="AEX32" s="17"/>
      <c r="AEY32" s="17"/>
      <c r="AEZ32" s="17"/>
      <c r="AFA32" s="17"/>
      <c r="AFB32" s="17"/>
      <c r="AFC32" s="17"/>
      <c r="AFD32" s="17"/>
      <c r="AFE32" s="17"/>
      <c r="AFF32" s="17"/>
      <c r="AFG32" s="17"/>
      <c r="AFH32" s="17"/>
      <c r="AFI32" s="17"/>
      <c r="AFJ32" s="17"/>
      <c r="AFK32" s="17"/>
      <c r="AFL32" s="17"/>
      <c r="AFM32" s="17"/>
      <c r="AFN32" s="17"/>
      <c r="AFO32" s="17"/>
      <c r="AFP32" s="17"/>
      <c r="AFQ32" s="17"/>
      <c r="AFR32" s="17"/>
      <c r="AFS32" s="17"/>
      <c r="AFT32" s="17"/>
      <c r="AFU32" s="17"/>
      <c r="AFV32" s="17"/>
      <c r="AFW32" s="17"/>
      <c r="AFX32" s="17"/>
      <c r="AFY32" s="17"/>
      <c r="AFZ32" s="17"/>
      <c r="AGA32" s="17"/>
      <c r="AGB32" s="17"/>
      <c r="AGC32" s="17"/>
      <c r="AGD32" s="17"/>
      <c r="AGE32" s="17"/>
      <c r="AGF32" s="17"/>
      <c r="AGG32" s="17"/>
      <c r="AGH32" s="17"/>
      <c r="AGI32" s="17"/>
      <c r="AGJ32" s="17"/>
      <c r="AGK32" s="17"/>
      <c r="AGL32" s="17"/>
      <c r="AGM32" s="17"/>
      <c r="AGN32" s="17"/>
      <c r="AGO32" s="17"/>
      <c r="AGP32" s="17"/>
      <c r="AGQ32" s="17"/>
      <c r="AGR32" s="17"/>
      <c r="AGS32" s="17"/>
      <c r="AGT32" s="17"/>
      <c r="AGU32" s="17"/>
      <c r="AGV32" s="17"/>
      <c r="AGW32" s="17"/>
      <c r="AGX32" s="17"/>
      <c r="AGY32" s="17"/>
      <c r="AGZ32" s="17"/>
      <c r="AHA32" s="17"/>
      <c r="AHB32" s="17"/>
      <c r="AHC32" s="17"/>
      <c r="AHD32" s="17"/>
      <c r="AHE32" s="17"/>
      <c r="AHF32" s="17"/>
      <c r="AHG32" s="17"/>
      <c r="AHH32" s="17"/>
      <c r="AHI32" s="17"/>
      <c r="AHJ32" s="17"/>
      <c r="AHK32" s="17"/>
      <c r="AHL32" s="17"/>
      <c r="AHM32" s="17"/>
      <c r="AHN32" s="17"/>
      <c r="AHO32" s="17"/>
      <c r="AHP32" s="17"/>
      <c r="AHQ32" s="17"/>
      <c r="AHR32" s="17"/>
      <c r="AHS32" s="17"/>
      <c r="AHT32" s="17"/>
      <c r="AHU32" s="17"/>
      <c r="AHV32" s="17"/>
      <c r="AHW32" s="17"/>
      <c r="AHX32" s="17"/>
      <c r="AHY32" s="17"/>
      <c r="AHZ32" s="17"/>
      <c r="AIA32" s="17"/>
      <c r="AIB32" s="17"/>
      <c r="AIC32" s="17"/>
      <c r="AID32" s="17"/>
      <c r="AIE32" s="17"/>
      <c r="AIF32" s="17"/>
      <c r="AIG32" s="17"/>
      <c r="AIH32" s="17"/>
      <c r="AII32" s="17"/>
      <c r="AIJ32" s="17"/>
      <c r="AIK32" s="17"/>
      <c r="AIL32" s="17"/>
      <c r="AIM32" s="17"/>
      <c r="AIN32" s="17"/>
      <c r="AIO32" s="17"/>
      <c r="AIP32" s="17"/>
      <c r="AIQ32" s="17"/>
      <c r="AIR32" s="17"/>
      <c r="AIS32" s="17"/>
      <c r="AIT32" s="17"/>
      <c r="AIU32" s="17"/>
      <c r="AIV32" s="17"/>
      <c r="AIW32" s="17"/>
      <c r="AIX32" s="17"/>
      <c r="AIY32" s="17"/>
      <c r="AIZ32" s="17"/>
      <c r="AJA32" s="17"/>
      <c r="AJB32" s="17"/>
      <c r="AJC32" s="17"/>
      <c r="AJD32" s="17"/>
      <c r="AJE32" s="17"/>
      <c r="AJF32" s="17"/>
      <c r="AJG32" s="17"/>
      <c r="AJH32" s="17"/>
      <c r="AJI32" s="17"/>
      <c r="AJJ32" s="17"/>
      <c r="AJK32" s="17"/>
      <c r="AJL32" s="17"/>
      <c r="AJM32" s="17"/>
      <c r="AJN32" s="17"/>
      <c r="AJO32" s="17"/>
      <c r="AJP32" s="17"/>
      <c r="AJQ32" s="17"/>
      <c r="AJR32" s="17"/>
      <c r="AJS32" s="17"/>
      <c r="AJT32" s="17"/>
      <c r="AJU32" s="17"/>
      <c r="AJV32" s="17"/>
      <c r="AJW32" s="17"/>
      <c r="AJX32" s="17"/>
      <c r="AJY32" s="17"/>
      <c r="AJZ32" s="17"/>
      <c r="AKA32" s="17"/>
      <c r="AKB32" s="17"/>
      <c r="AKC32" s="17"/>
      <c r="AKD32" s="17"/>
      <c r="AKE32" s="17"/>
      <c r="AKF32" s="17"/>
      <c r="AKG32" s="17"/>
      <c r="AKH32" s="17"/>
      <c r="AKI32" s="17"/>
      <c r="AKJ32" s="17"/>
      <c r="AKK32" s="17"/>
      <c r="AKL32" s="17"/>
      <c r="AKM32" s="17"/>
      <c r="AKN32" s="17"/>
      <c r="AKO32" s="17"/>
      <c r="AKP32" s="17"/>
      <c r="AKQ32" s="17"/>
      <c r="AKR32" s="17"/>
      <c r="AKS32" s="17"/>
      <c r="AKT32" s="17"/>
      <c r="AKU32" s="17"/>
      <c r="AKV32" s="17"/>
      <c r="AKW32" s="17"/>
      <c r="AKX32" s="17"/>
      <c r="AKY32" s="17"/>
      <c r="AKZ32" s="17"/>
      <c r="ALA32" s="17"/>
      <c r="ALB32" s="17"/>
      <c r="ALC32" s="17"/>
      <c r="ALD32" s="17"/>
      <c r="ALE32" s="17"/>
      <c r="ALF32" s="17"/>
      <c r="ALG32" s="17"/>
      <c r="ALH32" s="17"/>
      <c r="ALI32" s="17"/>
      <c r="ALJ32" s="17"/>
      <c r="ALK32" s="17"/>
      <c r="ALL32" s="17"/>
      <c r="ALM32" s="17"/>
      <c r="ALN32" s="17"/>
      <c r="ALO32" s="17"/>
      <c r="ALP32" s="17"/>
      <c r="ALQ32" s="17"/>
      <c r="ALR32" s="17"/>
      <c r="ALS32" s="17"/>
      <c r="ALT32" s="17"/>
      <c r="ALU32" s="17"/>
      <c r="ALV32" s="17"/>
      <c r="ALW32" s="17"/>
      <c r="ALX32" s="17"/>
      <c r="ALY32" s="17"/>
      <c r="ALZ32" s="17"/>
      <c r="AMA32" s="17"/>
      <c r="AMB32" s="17"/>
      <c r="AMC32" s="17"/>
      <c r="AMD32" s="17"/>
      <c r="AME32" s="17"/>
      <c r="AMF32" s="17"/>
      <c r="AMG32" s="17"/>
      <c r="AMH32" s="17"/>
      <c r="AMI32" s="17"/>
      <c r="AMJ32" s="17"/>
      <c r="AMK32" s="17"/>
      <c r="AML32" s="17"/>
      <c r="AMM32" s="17"/>
      <c r="AMN32" s="17"/>
      <c r="AMO32" s="17"/>
      <c r="AMP32" s="17"/>
      <c r="AMQ32" s="17"/>
      <c r="AMR32" s="17"/>
      <c r="AMS32" s="17"/>
      <c r="AMT32" s="17"/>
      <c r="AMU32" s="17"/>
      <c r="AMV32" s="17"/>
      <c r="AMW32" s="17"/>
      <c r="AMX32" s="17"/>
      <c r="AMY32" s="17"/>
      <c r="AMZ32" s="17"/>
      <c r="ANA32" s="17"/>
      <c r="ANB32" s="17"/>
      <c r="ANC32" s="17"/>
      <c r="AND32" s="17"/>
      <c r="ANE32" s="17"/>
      <c r="ANF32" s="17"/>
      <c r="ANG32" s="17"/>
      <c r="ANH32" s="17"/>
      <c r="ANI32" s="17"/>
      <c r="ANJ32" s="17"/>
      <c r="ANK32" s="17"/>
      <c r="ANL32" s="17"/>
      <c r="ANM32" s="17"/>
      <c r="ANN32" s="17"/>
      <c r="ANO32" s="17"/>
      <c r="ANP32" s="17"/>
      <c r="ANQ32" s="17"/>
      <c r="ANR32" s="17"/>
      <c r="ANS32" s="17"/>
      <c r="ANT32" s="17"/>
      <c r="ANU32" s="17"/>
      <c r="ANV32" s="17"/>
      <c r="ANW32" s="17"/>
      <c r="ANX32" s="17"/>
      <c r="ANY32" s="17"/>
      <c r="ANZ32" s="17"/>
      <c r="AOA32" s="17"/>
      <c r="AOB32" s="17"/>
      <c r="AOC32" s="17"/>
      <c r="AOD32" s="17"/>
      <c r="AOE32" s="17"/>
      <c r="AOF32" s="17"/>
      <c r="AOG32" s="17"/>
      <c r="AOH32" s="17"/>
      <c r="AOI32" s="17"/>
      <c r="AOJ32" s="17"/>
      <c r="AOK32" s="17"/>
      <c r="AOL32" s="17"/>
      <c r="AOM32" s="17"/>
      <c r="AON32" s="17"/>
      <c r="AOO32" s="17"/>
      <c r="AOP32" s="17"/>
      <c r="AOQ32" s="17"/>
      <c r="AOR32" s="17"/>
      <c r="AOS32" s="17"/>
      <c r="AOT32" s="17"/>
      <c r="AOU32" s="17"/>
      <c r="AOV32" s="17"/>
      <c r="AOW32" s="17"/>
      <c r="AOX32" s="17"/>
      <c r="AOY32" s="17"/>
      <c r="AOZ32" s="17"/>
      <c r="APA32" s="17"/>
      <c r="APB32" s="17"/>
      <c r="APC32" s="17"/>
      <c r="APD32" s="17"/>
      <c r="APE32" s="17"/>
      <c r="APF32" s="17"/>
      <c r="APG32" s="17"/>
      <c r="APH32" s="17"/>
      <c r="API32" s="17"/>
      <c r="APJ32" s="17"/>
      <c r="APK32" s="17"/>
      <c r="APL32" s="17"/>
      <c r="APM32" s="17"/>
      <c r="APN32" s="17"/>
      <c r="APO32" s="17"/>
      <c r="APP32" s="17"/>
      <c r="APQ32" s="17"/>
      <c r="APR32" s="17"/>
      <c r="APS32" s="17"/>
      <c r="APT32" s="17"/>
      <c r="APU32" s="17"/>
      <c r="APV32" s="17"/>
      <c r="APW32" s="17"/>
      <c r="APX32" s="17"/>
      <c r="APY32" s="17"/>
      <c r="APZ32" s="17"/>
      <c r="AQA32" s="17"/>
      <c r="AQB32" s="17"/>
      <c r="AQC32" s="17"/>
      <c r="AQD32" s="17"/>
      <c r="AQE32" s="17"/>
      <c r="AQF32" s="17"/>
      <c r="AQG32" s="17"/>
      <c r="AQH32" s="17"/>
      <c r="AQI32" s="17"/>
      <c r="AQJ32" s="17"/>
      <c r="AQK32" s="17"/>
      <c r="AQL32" s="17"/>
      <c r="AQM32" s="17"/>
      <c r="AQN32" s="17"/>
      <c r="AQO32" s="17"/>
      <c r="AQP32" s="17"/>
      <c r="AQQ32" s="17"/>
      <c r="AQR32" s="17"/>
      <c r="AQS32" s="17"/>
      <c r="AQT32" s="17"/>
      <c r="AQU32" s="17"/>
      <c r="AQV32" s="17"/>
      <c r="AQW32" s="17"/>
      <c r="AQX32" s="17"/>
      <c r="AQY32" s="17"/>
      <c r="AQZ32" s="17"/>
      <c r="ARA32" s="17"/>
      <c r="ARB32" s="17"/>
      <c r="ARC32" s="17"/>
      <c r="ARD32" s="17"/>
      <c r="ARE32" s="17"/>
      <c r="ARF32" s="17"/>
      <c r="ARG32" s="17"/>
      <c r="ARH32" s="17"/>
      <c r="ARI32" s="17"/>
      <c r="ARJ32" s="17"/>
      <c r="ARK32" s="17"/>
      <c r="ARL32" s="17"/>
      <c r="ARM32" s="17"/>
      <c r="ARN32" s="17"/>
      <c r="ARO32" s="17"/>
      <c r="ARP32" s="17"/>
      <c r="ARQ32" s="17"/>
      <c r="ARR32" s="17"/>
      <c r="ARS32" s="17"/>
      <c r="ART32" s="17"/>
      <c r="ARU32" s="17"/>
      <c r="ARV32" s="17"/>
      <c r="ARW32" s="17"/>
      <c r="ARX32" s="17"/>
      <c r="ARY32" s="17"/>
      <c r="ARZ32" s="17"/>
      <c r="ASA32" s="17"/>
      <c r="ASB32" s="17"/>
      <c r="ASC32" s="17"/>
      <c r="ASD32" s="17"/>
      <c r="ASE32" s="17"/>
      <c r="ASF32" s="17"/>
      <c r="ASG32" s="17"/>
      <c r="ASH32" s="17"/>
      <c r="ASI32" s="17"/>
      <c r="ASJ32" s="17"/>
      <c r="ASK32" s="17"/>
      <c r="ASL32" s="17"/>
      <c r="ASM32" s="17"/>
      <c r="ASN32" s="17"/>
      <c r="ASO32" s="17"/>
      <c r="ASP32" s="17"/>
      <c r="ASQ32" s="17"/>
      <c r="ASR32" s="17"/>
      <c r="ASS32" s="17"/>
      <c r="AST32" s="17"/>
      <c r="ASU32" s="17"/>
      <c r="ASV32" s="17"/>
      <c r="ASW32" s="17"/>
      <c r="ASX32" s="17"/>
      <c r="ASY32" s="17"/>
      <c r="ASZ32" s="17"/>
      <c r="ATA32" s="17"/>
      <c r="ATB32" s="17"/>
      <c r="ATC32" s="17"/>
      <c r="ATD32" s="17"/>
      <c r="ATE32" s="17"/>
      <c r="ATF32" s="17"/>
      <c r="ATG32" s="17"/>
      <c r="ATH32" s="17"/>
      <c r="ATI32" s="17"/>
      <c r="ATJ32" s="17"/>
      <c r="ATK32" s="17"/>
      <c r="ATL32" s="17"/>
      <c r="ATM32" s="17"/>
      <c r="ATN32" s="17"/>
      <c r="ATO32" s="17"/>
      <c r="ATP32" s="17"/>
      <c r="ATQ32" s="17"/>
      <c r="ATR32" s="17"/>
      <c r="ATS32" s="17"/>
      <c r="ATT32" s="17"/>
      <c r="ATU32" s="17"/>
      <c r="ATV32" s="17"/>
      <c r="ATW32" s="17"/>
      <c r="ATX32" s="17"/>
      <c r="ATY32" s="17"/>
      <c r="ATZ32" s="17"/>
      <c r="AUA32" s="17"/>
      <c r="AUB32" s="17"/>
      <c r="AUC32" s="17"/>
      <c r="AUD32" s="17"/>
      <c r="AUE32" s="17"/>
      <c r="AUF32" s="17"/>
      <c r="AUG32" s="17"/>
      <c r="AUH32" s="17"/>
      <c r="AUI32" s="17"/>
      <c r="AUJ32" s="17"/>
      <c r="AUK32" s="17"/>
      <c r="AUL32" s="17"/>
      <c r="AUM32" s="17"/>
      <c r="AUN32" s="17"/>
      <c r="AUO32" s="17"/>
      <c r="AUP32" s="17"/>
      <c r="AUQ32" s="17"/>
      <c r="AUR32" s="17"/>
      <c r="AUS32" s="17"/>
      <c r="AUT32" s="17"/>
      <c r="AUU32" s="17"/>
      <c r="AUV32" s="17"/>
      <c r="AUW32" s="17"/>
      <c r="AUX32" s="17"/>
      <c r="AUY32" s="17"/>
      <c r="AUZ32" s="17"/>
      <c r="AVA32" s="17"/>
      <c r="AVB32" s="17"/>
      <c r="AVC32" s="17"/>
      <c r="AVD32" s="17"/>
      <c r="AVE32" s="17"/>
      <c r="AVF32" s="17"/>
      <c r="AVG32" s="17"/>
      <c r="AVH32" s="17"/>
      <c r="AVI32" s="17"/>
      <c r="AVJ32" s="17"/>
      <c r="AVK32" s="17"/>
      <c r="AVL32" s="17"/>
      <c r="AVM32" s="17"/>
      <c r="AVN32" s="17"/>
      <c r="AVO32" s="17"/>
      <c r="AVP32" s="17"/>
      <c r="AVQ32" s="17"/>
      <c r="AVR32" s="17"/>
      <c r="AVS32" s="17"/>
      <c r="AVT32" s="17"/>
      <c r="AVU32" s="17"/>
      <c r="AVV32" s="17"/>
      <c r="AVW32" s="17"/>
      <c r="AVX32" s="17"/>
      <c r="AVY32" s="17"/>
      <c r="AVZ32" s="17"/>
      <c r="AWA32" s="17"/>
      <c r="AWB32" s="17"/>
      <c r="AWC32" s="17"/>
      <c r="AWD32" s="17"/>
      <c r="AWE32" s="17"/>
      <c r="AWF32" s="17"/>
      <c r="AWG32" s="17"/>
      <c r="AWH32" s="17"/>
      <c r="AWI32" s="17"/>
      <c r="AWJ32" s="17"/>
      <c r="AWK32" s="17"/>
      <c r="AWL32" s="17"/>
      <c r="AWM32" s="17"/>
      <c r="AWN32" s="17"/>
      <c r="AWO32" s="17"/>
      <c r="AWP32" s="17"/>
      <c r="AWQ32" s="17"/>
      <c r="AWR32" s="17"/>
      <c r="AWS32" s="17"/>
      <c r="AWT32" s="17"/>
      <c r="AWU32" s="17"/>
      <c r="AWV32" s="17"/>
      <c r="AWW32" s="17"/>
      <c r="AWX32" s="17"/>
      <c r="AWY32" s="17"/>
      <c r="AWZ32" s="17"/>
      <c r="AXA32" s="17"/>
      <c r="AXB32" s="17"/>
      <c r="AXC32" s="17"/>
      <c r="AXD32" s="17"/>
      <c r="AXE32" s="17"/>
      <c r="AXF32" s="17"/>
      <c r="AXG32" s="17"/>
      <c r="AXH32" s="17"/>
      <c r="AXI32" s="17"/>
      <c r="AXJ32" s="17"/>
      <c r="AXK32" s="17"/>
      <c r="AXL32" s="17"/>
      <c r="AXM32" s="17"/>
      <c r="AXN32" s="17"/>
      <c r="AXO32" s="17"/>
      <c r="AXP32" s="17"/>
      <c r="AXQ32" s="17"/>
      <c r="AXR32" s="17"/>
      <c r="AXS32" s="17"/>
      <c r="AXT32" s="17"/>
      <c r="AXU32" s="17"/>
      <c r="AXV32" s="17"/>
      <c r="AXW32" s="17"/>
      <c r="AXX32" s="17"/>
      <c r="AXY32" s="17"/>
      <c r="AXZ32" s="17"/>
      <c r="AYA32" s="17"/>
      <c r="AYB32" s="17"/>
      <c r="AYC32" s="17"/>
      <c r="AYD32" s="17"/>
      <c r="AYE32" s="17"/>
      <c r="AYF32" s="17"/>
      <c r="AYG32" s="17"/>
      <c r="AYH32" s="17"/>
      <c r="AYI32" s="17"/>
      <c r="AYJ32" s="17"/>
      <c r="AYK32" s="17"/>
      <c r="AYL32" s="17"/>
      <c r="AYM32" s="17"/>
      <c r="AYN32" s="17"/>
      <c r="AYO32" s="17"/>
      <c r="AYP32" s="17"/>
      <c r="AYQ32" s="17"/>
      <c r="AYR32" s="17"/>
      <c r="AYS32" s="17"/>
      <c r="AYT32" s="17"/>
      <c r="AYU32" s="17"/>
      <c r="AYV32" s="17"/>
      <c r="AYW32" s="17"/>
      <c r="AYX32" s="17"/>
      <c r="AYY32" s="17"/>
      <c r="AYZ32" s="17"/>
      <c r="AZA32" s="17"/>
      <c r="AZB32" s="17"/>
      <c r="AZC32" s="17"/>
      <c r="AZD32" s="17"/>
      <c r="AZE32" s="17"/>
      <c r="AZF32" s="17"/>
      <c r="AZG32" s="17"/>
      <c r="AZH32" s="17"/>
      <c r="AZI32" s="17"/>
      <c r="AZJ32" s="17"/>
      <c r="AZK32" s="17"/>
      <c r="AZL32" s="17"/>
      <c r="AZM32" s="17"/>
      <c r="AZN32" s="17"/>
      <c r="AZO32" s="17"/>
      <c r="AZP32" s="17"/>
      <c r="AZQ32" s="17"/>
      <c r="AZR32" s="17"/>
      <c r="AZS32" s="17"/>
      <c r="AZT32" s="17"/>
      <c r="AZU32" s="17"/>
      <c r="AZV32" s="17"/>
      <c r="AZW32" s="17"/>
      <c r="AZX32" s="17"/>
      <c r="AZY32" s="17"/>
      <c r="AZZ32" s="17"/>
      <c r="BAA32" s="17"/>
      <c r="BAB32" s="17"/>
      <c r="BAC32" s="17"/>
      <c r="BAD32" s="17"/>
      <c r="BAE32" s="17"/>
      <c r="BAF32" s="17"/>
      <c r="BAG32" s="17"/>
      <c r="BAH32" s="17"/>
      <c r="BAI32" s="17"/>
      <c r="BAJ32" s="17"/>
      <c r="BAK32" s="17"/>
      <c r="BAL32" s="17"/>
      <c r="BAM32" s="17"/>
      <c r="BAN32" s="17"/>
      <c r="BAO32" s="17"/>
      <c r="BAP32" s="17"/>
      <c r="BAQ32" s="17"/>
      <c r="BAR32" s="17"/>
      <c r="BAS32" s="17"/>
      <c r="BAT32" s="17"/>
      <c r="BAU32" s="17"/>
      <c r="BAV32" s="17"/>
      <c r="BAW32" s="17"/>
      <c r="BAX32" s="17"/>
      <c r="BAY32" s="17"/>
      <c r="BAZ32" s="17"/>
      <c r="BBA32" s="17"/>
      <c r="BBB32" s="17"/>
      <c r="BBC32" s="17"/>
      <c r="BBD32" s="17"/>
      <c r="BBE32" s="17"/>
      <c r="BBF32" s="17"/>
      <c r="BBG32" s="17"/>
      <c r="BBH32" s="17"/>
      <c r="BBI32" s="17"/>
      <c r="BBJ32" s="17"/>
      <c r="BBK32" s="17"/>
      <c r="BBL32" s="17"/>
      <c r="BBM32" s="17"/>
      <c r="BBN32" s="17"/>
      <c r="BBO32" s="17"/>
      <c r="BBP32" s="17"/>
      <c r="BBQ32" s="17"/>
      <c r="BBR32" s="17"/>
      <c r="BBS32" s="17"/>
      <c r="BBT32" s="17"/>
      <c r="BBU32" s="17"/>
      <c r="BBV32" s="17"/>
      <c r="BBW32" s="17"/>
      <c r="BBX32" s="17"/>
      <c r="BBY32" s="17"/>
      <c r="BBZ32" s="17"/>
      <c r="BCA32" s="17"/>
      <c r="BCB32" s="17"/>
      <c r="BCC32" s="17"/>
      <c r="BCD32" s="17"/>
      <c r="BCE32" s="17"/>
      <c r="BCF32" s="17"/>
      <c r="BCG32" s="17"/>
      <c r="BCH32" s="17"/>
      <c r="BCI32" s="17"/>
      <c r="BCJ32" s="17"/>
      <c r="BCK32" s="17"/>
      <c r="BCL32" s="17"/>
      <c r="BCM32" s="17"/>
      <c r="BCN32" s="17"/>
      <c r="BCO32" s="17"/>
      <c r="BCP32" s="17"/>
      <c r="BCQ32" s="17"/>
      <c r="BCR32" s="17"/>
      <c r="BCS32" s="17"/>
      <c r="BCT32" s="17"/>
      <c r="BCU32" s="17"/>
      <c r="BCV32" s="17"/>
      <c r="BCW32" s="17"/>
      <c r="BCX32" s="17"/>
      <c r="BCY32" s="17"/>
      <c r="BCZ32" s="17"/>
      <c r="BDA32" s="17"/>
      <c r="BDB32" s="17"/>
      <c r="BDC32" s="17"/>
      <c r="BDD32" s="17"/>
      <c r="BDE32" s="17"/>
      <c r="BDF32" s="17"/>
      <c r="BDG32" s="17"/>
      <c r="BDH32" s="17"/>
      <c r="BDI32" s="17"/>
      <c r="BDJ32" s="17"/>
      <c r="BDK32" s="17"/>
      <c r="BDL32" s="17"/>
      <c r="BDM32" s="17"/>
      <c r="BDN32" s="17"/>
      <c r="BDO32" s="17"/>
      <c r="BDP32" s="17"/>
      <c r="BDQ32" s="17"/>
      <c r="BDR32" s="17"/>
      <c r="BDS32" s="17"/>
      <c r="BDT32" s="17"/>
      <c r="BDU32" s="17"/>
      <c r="BDV32" s="17"/>
      <c r="BDW32" s="17"/>
      <c r="BDX32" s="17"/>
      <c r="BDY32" s="17"/>
      <c r="BDZ32" s="17"/>
      <c r="BEA32" s="17"/>
      <c r="BEB32" s="17"/>
      <c r="BEC32" s="17"/>
      <c r="BED32" s="17"/>
      <c r="BEE32" s="17"/>
      <c r="BEF32" s="17"/>
      <c r="BEG32" s="17"/>
      <c r="BEH32" s="17"/>
      <c r="BEI32" s="17"/>
      <c r="BEJ32" s="17"/>
      <c r="BEK32" s="17"/>
      <c r="BEL32" s="17"/>
      <c r="BEM32" s="17"/>
      <c r="BEN32" s="17"/>
      <c r="BEO32" s="17"/>
      <c r="BEP32" s="17"/>
      <c r="BEQ32" s="17"/>
      <c r="BER32" s="17"/>
      <c r="BES32" s="17"/>
      <c r="BET32" s="17"/>
      <c r="BEU32" s="17"/>
      <c r="BEV32" s="17"/>
      <c r="BEW32" s="17"/>
      <c r="BEX32" s="17"/>
      <c r="BEY32" s="17"/>
      <c r="BEZ32" s="17"/>
      <c r="BFA32" s="17"/>
      <c r="BFB32" s="17"/>
      <c r="BFC32" s="17"/>
      <c r="BFD32" s="17"/>
      <c r="BFE32" s="17"/>
      <c r="BFF32" s="17"/>
      <c r="BFG32" s="17"/>
      <c r="BFH32" s="17"/>
      <c r="BFI32" s="17"/>
      <c r="BFJ32" s="17"/>
      <c r="BFK32" s="17"/>
      <c r="BFL32" s="17"/>
      <c r="BFM32" s="17"/>
      <c r="BFN32" s="17"/>
      <c r="BFO32" s="17"/>
      <c r="BFP32" s="17"/>
      <c r="BFQ32" s="17"/>
      <c r="BFR32" s="17"/>
      <c r="BFS32" s="17"/>
      <c r="BFT32" s="17"/>
      <c r="BFU32" s="17"/>
      <c r="BFV32" s="17"/>
      <c r="BFW32" s="17"/>
      <c r="BFX32" s="17"/>
      <c r="BFY32" s="17"/>
      <c r="BFZ32" s="17"/>
      <c r="BGA32" s="17"/>
      <c r="BGB32" s="17"/>
      <c r="BGC32" s="17"/>
      <c r="BGD32" s="17"/>
      <c r="BGE32" s="17"/>
      <c r="BGF32" s="17"/>
      <c r="BGG32" s="17"/>
      <c r="BGH32" s="17"/>
      <c r="BGI32" s="17"/>
      <c r="BGJ32" s="17"/>
      <c r="BGK32" s="17"/>
      <c r="BGL32" s="17"/>
      <c r="BGM32" s="17"/>
      <c r="BGN32" s="17"/>
      <c r="BGO32" s="17"/>
      <c r="BGP32" s="17"/>
      <c r="BGQ32" s="17"/>
      <c r="BGR32" s="17"/>
      <c r="BGS32" s="17"/>
      <c r="BGT32" s="17"/>
      <c r="BGU32" s="17"/>
      <c r="BGV32" s="17"/>
      <c r="BGW32" s="17"/>
      <c r="BGX32" s="17"/>
      <c r="BGY32" s="17"/>
      <c r="BGZ32" s="17"/>
      <c r="BHA32" s="17"/>
      <c r="BHB32" s="17"/>
      <c r="BHC32" s="17"/>
      <c r="BHD32" s="17"/>
      <c r="BHE32" s="17"/>
      <c r="BHF32" s="17"/>
      <c r="BHG32" s="17"/>
      <c r="BHH32" s="17"/>
      <c r="BHI32" s="17"/>
      <c r="BHJ32" s="17"/>
      <c r="BHK32" s="17"/>
      <c r="BHL32" s="17"/>
      <c r="BHM32" s="17"/>
      <c r="BHN32" s="17"/>
      <c r="BHO32" s="17"/>
      <c r="BHP32" s="17"/>
      <c r="BHQ32" s="17"/>
      <c r="BHR32" s="17"/>
      <c r="BHS32" s="17"/>
      <c r="BHT32" s="17"/>
      <c r="BHU32" s="17"/>
      <c r="BHV32" s="17"/>
      <c r="BHW32" s="17"/>
      <c r="BHX32" s="17"/>
      <c r="BHY32" s="17"/>
      <c r="BHZ32" s="17"/>
      <c r="BIA32" s="17"/>
      <c r="BIB32" s="17"/>
      <c r="BIC32" s="17"/>
      <c r="BID32" s="17"/>
      <c r="BIE32" s="17"/>
      <c r="BIF32" s="17"/>
      <c r="BIG32" s="17"/>
      <c r="BIH32" s="17"/>
      <c r="BII32" s="17"/>
      <c r="BIJ32" s="17"/>
      <c r="BIK32" s="17"/>
      <c r="BIL32" s="17"/>
      <c r="BIM32" s="17"/>
      <c r="BIN32" s="17"/>
      <c r="BIO32" s="17"/>
      <c r="BIP32" s="17"/>
      <c r="BIQ32" s="17"/>
      <c r="BIR32" s="17"/>
      <c r="BIS32" s="17"/>
      <c r="BIT32" s="17"/>
      <c r="BIU32" s="17"/>
      <c r="BIV32" s="17"/>
      <c r="BIW32" s="17"/>
      <c r="BIX32" s="17"/>
      <c r="BIY32" s="17"/>
      <c r="BIZ32" s="17"/>
      <c r="BJA32" s="17"/>
      <c r="BJB32" s="17"/>
      <c r="BJC32" s="17"/>
      <c r="BJD32" s="17"/>
      <c r="BJE32" s="17"/>
      <c r="BJF32" s="17"/>
      <c r="BJG32" s="17"/>
      <c r="BJH32" s="17"/>
      <c r="BJI32" s="17"/>
      <c r="BJJ32" s="17"/>
      <c r="BJK32" s="17"/>
      <c r="BJL32" s="17"/>
      <c r="BJM32" s="17"/>
      <c r="BJN32" s="17"/>
      <c r="BJO32" s="17"/>
      <c r="BJP32" s="17"/>
      <c r="BJQ32" s="17"/>
      <c r="BJR32" s="17"/>
      <c r="BJS32" s="17"/>
      <c r="BJT32" s="17"/>
      <c r="BJU32" s="17"/>
      <c r="BJV32" s="17"/>
      <c r="BJW32" s="17"/>
      <c r="BJX32" s="17"/>
      <c r="BJY32" s="17"/>
      <c r="BJZ32" s="17"/>
      <c r="BKA32" s="17"/>
      <c r="BKB32" s="17"/>
      <c r="BKC32" s="17"/>
      <c r="BKD32" s="17"/>
      <c r="BKE32" s="17"/>
      <c r="BKF32" s="17"/>
      <c r="BKG32" s="17"/>
      <c r="BKH32" s="17"/>
      <c r="BKI32" s="17"/>
      <c r="BKJ32" s="17"/>
      <c r="BKK32" s="17"/>
      <c r="BKL32" s="17"/>
      <c r="BKM32" s="17"/>
      <c r="BKN32" s="17"/>
      <c r="BKO32" s="17"/>
      <c r="BKP32" s="17"/>
      <c r="BKQ32" s="17"/>
      <c r="BKR32" s="17"/>
      <c r="BKS32" s="17"/>
      <c r="BKT32" s="17"/>
      <c r="BKU32" s="17"/>
      <c r="BKV32" s="17"/>
      <c r="BKW32" s="17"/>
      <c r="BKX32" s="17"/>
      <c r="BKY32" s="17"/>
      <c r="BKZ32" s="17"/>
      <c r="BLA32" s="17"/>
      <c r="BLB32" s="17"/>
      <c r="BLC32" s="17"/>
      <c r="BLD32" s="17"/>
      <c r="BLE32" s="17"/>
      <c r="BLF32" s="17"/>
      <c r="BLG32" s="17"/>
      <c r="BLH32" s="17"/>
      <c r="BLI32" s="17"/>
      <c r="BLJ32" s="17"/>
      <c r="BLK32" s="17"/>
      <c r="BLL32" s="17"/>
      <c r="BLM32" s="17"/>
      <c r="BLN32" s="17"/>
      <c r="BLO32" s="17"/>
      <c r="BLP32" s="17"/>
      <c r="BLQ32" s="17"/>
      <c r="BLR32" s="17"/>
      <c r="BLS32" s="17"/>
      <c r="BLT32" s="17"/>
      <c r="BLU32" s="17"/>
      <c r="BLV32" s="17"/>
      <c r="BLW32" s="17"/>
      <c r="BLX32" s="17"/>
      <c r="BLY32" s="17"/>
      <c r="BLZ32" s="17"/>
      <c r="BMA32" s="17"/>
      <c r="BMB32" s="17"/>
      <c r="BMC32" s="17"/>
      <c r="BMD32" s="17"/>
      <c r="BME32" s="17"/>
      <c r="BMF32" s="17"/>
      <c r="BMG32" s="17"/>
      <c r="BMH32" s="17"/>
      <c r="BMI32" s="17"/>
      <c r="BMJ32" s="17"/>
      <c r="BMK32" s="17"/>
      <c r="BML32" s="17"/>
      <c r="BMM32" s="17"/>
      <c r="BMN32" s="17"/>
      <c r="BMO32" s="17"/>
      <c r="BMP32" s="17"/>
      <c r="BMQ32" s="17"/>
      <c r="BMR32" s="17"/>
      <c r="BMS32" s="17"/>
      <c r="BMT32" s="17"/>
      <c r="BMU32" s="17"/>
      <c r="BMV32" s="17"/>
      <c r="BMW32" s="17"/>
      <c r="BMX32" s="17"/>
      <c r="BMY32" s="17"/>
      <c r="BMZ32" s="17"/>
      <c r="BNA32" s="17"/>
      <c r="BNB32" s="17"/>
      <c r="BNC32" s="17"/>
      <c r="BND32" s="17"/>
      <c r="BNE32" s="17"/>
      <c r="BNF32" s="17"/>
      <c r="BNG32" s="17"/>
      <c r="BNH32" s="17"/>
      <c r="BNI32" s="17"/>
      <c r="BNJ32" s="17"/>
      <c r="BNK32" s="17"/>
      <c r="BNL32" s="17"/>
      <c r="BNM32" s="17"/>
      <c r="BNN32" s="17"/>
      <c r="BNO32" s="17"/>
      <c r="BNP32" s="17"/>
      <c r="BNQ32" s="17"/>
      <c r="BNR32" s="17"/>
      <c r="BNS32" s="17"/>
      <c r="BNT32" s="17"/>
      <c r="BNU32" s="17"/>
      <c r="BNV32" s="17"/>
      <c r="BNW32" s="17"/>
      <c r="BNX32" s="17"/>
      <c r="BNY32" s="17"/>
      <c r="BNZ32" s="17"/>
      <c r="BOA32" s="17"/>
      <c r="BOB32" s="17"/>
      <c r="BOC32" s="17"/>
      <c r="BOD32" s="17"/>
      <c r="BOE32" s="17"/>
      <c r="BOF32" s="17"/>
      <c r="BOG32" s="17"/>
      <c r="BOH32" s="17"/>
      <c r="BOI32" s="17"/>
      <c r="BOJ32" s="17"/>
      <c r="BOK32" s="17"/>
      <c r="BOL32" s="17"/>
      <c r="BOM32" s="17"/>
      <c r="BON32" s="17"/>
      <c r="BOO32" s="17"/>
      <c r="BOP32" s="17"/>
      <c r="BOQ32" s="17"/>
      <c r="BOR32" s="17"/>
      <c r="BOS32" s="17"/>
      <c r="BOT32" s="17"/>
      <c r="BOU32" s="17"/>
      <c r="BOV32" s="17"/>
      <c r="BOW32" s="17"/>
      <c r="BOX32" s="17"/>
      <c r="BOY32" s="17"/>
      <c r="BOZ32" s="17"/>
      <c r="BPA32" s="17"/>
      <c r="BPB32" s="17"/>
      <c r="BPC32" s="17"/>
      <c r="BPD32" s="17"/>
      <c r="BPE32" s="17"/>
      <c r="BPF32" s="17"/>
      <c r="BPG32" s="17"/>
      <c r="BPH32" s="17"/>
      <c r="BPI32" s="17"/>
      <c r="BPJ32" s="17"/>
      <c r="BPK32" s="17"/>
      <c r="BPL32" s="17"/>
      <c r="BPM32" s="17"/>
      <c r="BPN32" s="17"/>
      <c r="BPO32" s="17"/>
      <c r="BPP32" s="17"/>
      <c r="BPQ32" s="17"/>
      <c r="BPR32" s="17"/>
      <c r="BPS32" s="17"/>
      <c r="BPT32" s="17"/>
      <c r="BPU32" s="17"/>
      <c r="BPV32" s="17"/>
      <c r="BPW32" s="17"/>
      <c r="BPX32" s="17"/>
      <c r="BPY32" s="17"/>
      <c r="BPZ32" s="17"/>
      <c r="BQA32" s="17"/>
      <c r="BQB32" s="17"/>
      <c r="BQC32" s="17"/>
      <c r="BQD32" s="17"/>
      <c r="BQE32" s="17"/>
      <c r="BQF32" s="17"/>
      <c r="BQG32" s="17"/>
      <c r="BQH32" s="17"/>
      <c r="BQI32" s="17"/>
      <c r="BQJ32" s="17"/>
      <c r="BQK32" s="17"/>
      <c r="BQL32" s="17"/>
      <c r="BQM32" s="17"/>
      <c r="BQN32" s="17"/>
      <c r="BQO32" s="17"/>
      <c r="BQP32" s="17"/>
      <c r="BQQ32" s="17"/>
      <c r="BQR32" s="17"/>
      <c r="BQS32" s="17"/>
      <c r="BQT32" s="17"/>
      <c r="BQU32" s="17"/>
      <c r="BQV32" s="17"/>
      <c r="BQW32" s="17"/>
      <c r="BQX32" s="17"/>
      <c r="BQY32" s="17"/>
      <c r="BQZ32" s="17"/>
      <c r="BRA32" s="17"/>
      <c r="BRB32" s="17"/>
      <c r="BRC32" s="17"/>
      <c r="BRD32" s="17"/>
      <c r="BRE32" s="17"/>
      <c r="BRF32" s="17"/>
      <c r="BRG32" s="17"/>
      <c r="BRH32" s="17"/>
      <c r="BRI32" s="17"/>
      <c r="BRJ32" s="17"/>
      <c r="BRK32" s="17"/>
      <c r="BRL32" s="17"/>
      <c r="BRM32" s="17"/>
      <c r="BRN32" s="17"/>
      <c r="BRO32" s="17"/>
      <c r="BRP32" s="17"/>
      <c r="BRQ32" s="17"/>
      <c r="BRR32" s="17"/>
      <c r="BRS32" s="17"/>
      <c r="BRT32" s="17"/>
      <c r="BRU32" s="17"/>
      <c r="BRV32" s="17"/>
      <c r="BRW32" s="17"/>
      <c r="BRX32" s="17"/>
      <c r="BRY32" s="17"/>
      <c r="BRZ32" s="17"/>
      <c r="BSA32" s="17"/>
      <c r="BSB32" s="17"/>
      <c r="BSC32" s="17"/>
      <c r="BSD32" s="17"/>
      <c r="BSE32" s="17"/>
      <c r="BSF32" s="17"/>
      <c r="BSG32" s="17"/>
      <c r="BSH32" s="17"/>
      <c r="BSI32" s="17"/>
      <c r="BSJ32" s="17"/>
      <c r="BSK32" s="17"/>
      <c r="BSL32" s="17"/>
      <c r="BSM32" s="17"/>
      <c r="BSN32" s="17"/>
      <c r="BSO32" s="17"/>
      <c r="BSP32" s="17"/>
      <c r="BSQ32" s="17"/>
      <c r="BSR32" s="17"/>
      <c r="BSS32" s="17"/>
      <c r="BST32" s="17"/>
      <c r="BSU32" s="17"/>
      <c r="BSV32" s="17"/>
      <c r="BSW32" s="17"/>
      <c r="BSX32" s="17"/>
      <c r="BSY32" s="17"/>
      <c r="BSZ32" s="17"/>
      <c r="BTA32" s="17"/>
      <c r="BTB32" s="17"/>
      <c r="BTC32" s="17"/>
      <c r="BTD32" s="17"/>
      <c r="BTE32" s="17"/>
      <c r="BTF32" s="17"/>
      <c r="BTG32" s="17"/>
      <c r="BTH32" s="17"/>
      <c r="BTI32" s="17"/>
      <c r="BTJ32" s="17"/>
      <c r="BTK32" s="17"/>
      <c r="BTL32" s="17"/>
      <c r="BTM32" s="17"/>
      <c r="BTN32" s="17"/>
      <c r="BTO32" s="17"/>
      <c r="BTP32" s="17"/>
      <c r="BTQ32" s="17"/>
      <c r="BTR32" s="17"/>
      <c r="BTS32" s="17"/>
      <c r="BTT32" s="17"/>
      <c r="BTU32" s="17"/>
      <c r="BTV32" s="17"/>
      <c r="BTW32" s="17"/>
      <c r="BTX32" s="17"/>
      <c r="BTY32" s="17"/>
      <c r="BTZ32" s="17"/>
      <c r="BUA32" s="17"/>
      <c r="BUB32" s="17"/>
      <c r="BUC32" s="17"/>
      <c r="BUD32" s="17"/>
      <c r="BUE32" s="17"/>
      <c r="BUF32" s="17"/>
      <c r="BUG32" s="17"/>
      <c r="BUH32" s="17"/>
      <c r="BUI32" s="17"/>
      <c r="BUJ32" s="17"/>
      <c r="BUK32" s="17"/>
      <c r="BUL32" s="17"/>
      <c r="BUM32" s="17"/>
      <c r="BUN32" s="17"/>
      <c r="BUO32" s="17"/>
      <c r="BUP32" s="17"/>
      <c r="BUQ32" s="17"/>
      <c r="BUR32" s="17"/>
      <c r="BUS32" s="17"/>
      <c r="BUT32" s="17"/>
      <c r="BUU32" s="17"/>
      <c r="BUV32" s="17"/>
      <c r="BUW32" s="17"/>
      <c r="BUX32" s="17"/>
      <c r="BUY32" s="17"/>
      <c r="BUZ32" s="17"/>
      <c r="BVA32" s="17"/>
      <c r="BVB32" s="17"/>
      <c r="BVC32" s="17"/>
      <c r="BVD32" s="17"/>
      <c r="BVE32" s="17"/>
      <c r="BVF32" s="17"/>
      <c r="BVG32" s="17"/>
      <c r="BVH32" s="17"/>
      <c r="BVI32" s="17"/>
      <c r="BVJ32" s="17"/>
      <c r="BVK32" s="17"/>
      <c r="BVL32" s="17"/>
      <c r="BVM32" s="17"/>
      <c r="BVN32" s="17"/>
      <c r="BVO32" s="17"/>
      <c r="BVP32" s="17"/>
      <c r="BVQ32" s="17"/>
      <c r="BVR32" s="17"/>
      <c r="BVS32" s="17"/>
      <c r="BVT32" s="17"/>
      <c r="BVU32" s="17"/>
      <c r="BVV32" s="17"/>
      <c r="BVW32" s="17"/>
      <c r="BVX32" s="17"/>
      <c r="BVY32" s="17"/>
      <c r="BVZ32" s="17"/>
      <c r="BWA32" s="17"/>
      <c r="BWB32" s="17"/>
      <c r="BWC32" s="17"/>
      <c r="BWD32" s="17"/>
      <c r="BWE32" s="17"/>
      <c r="BWF32" s="17"/>
      <c r="BWG32" s="17"/>
      <c r="BWH32" s="17"/>
      <c r="BWI32" s="17"/>
      <c r="BWJ32" s="17"/>
      <c r="BWK32" s="17"/>
      <c r="BWL32" s="17"/>
      <c r="BWM32" s="17"/>
      <c r="BWN32" s="17"/>
      <c r="BWO32" s="17"/>
      <c r="BWP32" s="17"/>
      <c r="BWQ32" s="17"/>
      <c r="BWR32" s="17"/>
      <c r="BWS32" s="17"/>
      <c r="BWT32" s="17"/>
      <c r="BWU32" s="17"/>
      <c r="BWV32" s="17"/>
      <c r="BWW32" s="17"/>
      <c r="BWX32" s="17"/>
      <c r="BWY32" s="17"/>
      <c r="BWZ32" s="17"/>
      <c r="BXA32" s="17"/>
      <c r="BXB32" s="17"/>
      <c r="BXC32" s="17"/>
      <c r="BXD32" s="17"/>
      <c r="BXE32" s="17"/>
      <c r="BXF32" s="17"/>
      <c r="BXG32" s="17"/>
      <c r="BXH32" s="17"/>
      <c r="BXI32" s="17"/>
      <c r="BXJ32" s="17"/>
      <c r="BXK32" s="17"/>
      <c r="BXL32" s="17"/>
      <c r="BXM32" s="17"/>
      <c r="BXN32" s="17"/>
      <c r="BXO32" s="17"/>
      <c r="BXP32" s="17"/>
      <c r="BXQ32" s="17"/>
      <c r="BXR32" s="17"/>
      <c r="BXS32" s="17"/>
      <c r="BXT32" s="17"/>
      <c r="BXU32" s="17"/>
      <c r="BXV32" s="17"/>
      <c r="BXW32" s="17"/>
      <c r="BXX32" s="17"/>
      <c r="BXY32" s="17"/>
      <c r="BXZ32" s="17"/>
      <c r="BYA32" s="17"/>
      <c r="BYB32" s="17"/>
      <c r="BYC32" s="17"/>
      <c r="BYD32" s="17"/>
      <c r="BYE32" s="17"/>
      <c r="BYF32" s="17"/>
      <c r="BYG32" s="17"/>
      <c r="BYH32" s="17"/>
      <c r="BYI32" s="17"/>
      <c r="BYJ32" s="17"/>
      <c r="BYK32" s="17"/>
      <c r="BYL32" s="17"/>
      <c r="BYM32" s="17"/>
      <c r="BYN32" s="17"/>
      <c r="BYO32" s="17"/>
      <c r="BYP32" s="17"/>
      <c r="BYQ32" s="17"/>
      <c r="BYR32" s="17"/>
      <c r="BYS32" s="17"/>
      <c r="BYT32" s="17"/>
      <c r="BYU32" s="17"/>
      <c r="BYV32" s="17"/>
      <c r="BYW32" s="17"/>
      <c r="BYX32" s="17"/>
      <c r="BYY32" s="17"/>
      <c r="BYZ32" s="17"/>
      <c r="BZA32" s="17"/>
      <c r="BZB32" s="17"/>
      <c r="BZC32" s="17"/>
      <c r="BZD32" s="17"/>
      <c r="BZE32" s="17"/>
      <c r="BZF32" s="17"/>
      <c r="BZG32" s="17"/>
      <c r="BZH32" s="17"/>
      <c r="BZI32" s="17"/>
      <c r="BZJ32" s="17"/>
      <c r="BZK32" s="17"/>
      <c r="BZL32" s="17"/>
      <c r="BZM32" s="17"/>
      <c r="BZN32" s="17"/>
      <c r="BZO32" s="17"/>
      <c r="BZP32" s="17"/>
      <c r="BZQ32" s="17"/>
      <c r="BZR32" s="17"/>
      <c r="BZS32" s="17"/>
      <c r="BZT32" s="17"/>
      <c r="BZU32" s="17"/>
      <c r="BZV32" s="17"/>
      <c r="BZW32" s="17"/>
      <c r="BZX32" s="17"/>
      <c r="BZY32" s="17"/>
      <c r="BZZ32" s="17"/>
      <c r="CAA32" s="17"/>
      <c r="CAB32" s="17"/>
      <c r="CAC32" s="17"/>
      <c r="CAD32" s="17"/>
      <c r="CAE32" s="17"/>
      <c r="CAF32" s="17"/>
      <c r="CAG32" s="17"/>
      <c r="CAH32" s="17"/>
      <c r="CAI32" s="17"/>
      <c r="CAJ32" s="17"/>
      <c r="CAK32" s="17"/>
      <c r="CAL32" s="17"/>
      <c r="CAM32" s="17"/>
      <c r="CAN32" s="17"/>
      <c r="CAO32" s="17"/>
      <c r="CAP32" s="17"/>
      <c r="CAQ32" s="17"/>
      <c r="CAR32" s="17"/>
      <c r="CAS32" s="17"/>
      <c r="CAT32" s="17"/>
      <c r="CAU32" s="17"/>
      <c r="CAV32" s="17"/>
      <c r="CAW32" s="17"/>
      <c r="CAX32" s="17"/>
      <c r="CAY32" s="17"/>
      <c r="CAZ32" s="17"/>
      <c r="CBA32" s="17"/>
      <c r="CBB32" s="17"/>
      <c r="CBC32" s="17"/>
      <c r="CBD32" s="17"/>
      <c r="CBE32" s="17"/>
      <c r="CBF32" s="17"/>
      <c r="CBG32" s="17"/>
      <c r="CBH32" s="17"/>
      <c r="CBI32" s="17"/>
      <c r="CBJ32" s="17"/>
      <c r="CBK32" s="17"/>
      <c r="CBL32" s="17"/>
      <c r="CBM32" s="17"/>
      <c r="CBN32" s="17"/>
      <c r="CBO32" s="17"/>
      <c r="CBP32" s="17"/>
      <c r="CBQ32" s="17"/>
      <c r="CBR32" s="17"/>
      <c r="CBS32" s="17"/>
      <c r="CBT32" s="17"/>
      <c r="CBU32" s="17"/>
      <c r="CBV32" s="17"/>
      <c r="CBW32" s="17"/>
      <c r="CBX32" s="17"/>
      <c r="CBY32" s="17"/>
      <c r="CBZ32" s="17"/>
      <c r="CCA32" s="17"/>
      <c r="CCB32" s="17"/>
      <c r="CCC32" s="17"/>
      <c r="CCD32" s="17"/>
      <c r="CCE32" s="17"/>
      <c r="CCF32" s="17"/>
      <c r="CCG32" s="17"/>
      <c r="CCH32" s="17"/>
      <c r="CCI32" s="17"/>
      <c r="CCJ32" s="17"/>
      <c r="CCK32" s="17"/>
      <c r="CCL32" s="17"/>
      <c r="CCM32" s="17"/>
      <c r="CCN32" s="17"/>
      <c r="CCO32" s="17"/>
      <c r="CCP32" s="17"/>
      <c r="CCQ32" s="17"/>
      <c r="CCR32" s="17"/>
      <c r="CCS32" s="17"/>
      <c r="CCT32" s="17"/>
      <c r="CCU32" s="17"/>
      <c r="CCV32" s="17"/>
      <c r="CCW32" s="17"/>
      <c r="CCX32" s="17"/>
      <c r="CCY32" s="17"/>
      <c r="CCZ32" s="17"/>
      <c r="CDA32" s="17"/>
      <c r="CDB32" s="17"/>
      <c r="CDC32" s="17"/>
      <c r="CDD32" s="17"/>
      <c r="CDE32" s="17"/>
      <c r="CDF32" s="17"/>
      <c r="CDG32" s="17"/>
      <c r="CDH32" s="17"/>
      <c r="CDI32" s="17"/>
      <c r="CDJ32" s="17"/>
      <c r="CDK32" s="17"/>
      <c r="CDL32" s="17"/>
      <c r="CDM32" s="17"/>
      <c r="CDN32" s="17"/>
      <c r="CDO32" s="17"/>
      <c r="CDP32" s="17"/>
      <c r="CDQ32" s="17"/>
      <c r="CDR32" s="17"/>
      <c r="CDS32" s="17"/>
      <c r="CDT32" s="17"/>
      <c r="CDU32" s="17"/>
      <c r="CDV32" s="17"/>
      <c r="CDW32" s="17"/>
      <c r="CDX32" s="17"/>
      <c r="CDY32" s="17"/>
      <c r="CDZ32" s="17"/>
      <c r="CEA32" s="17"/>
      <c r="CEB32" s="17"/>
      <c r="CEC32" s="17"/>
      <c r="CED32" s="17"/>
      <c r="CEE32" s="17"/>
      <c r="CEF32" s="17"/>
      <c r="CEG32" s="17"/>
      <c r="CEH32" s="17"/>
      <c r="CEI32" s="17"/>
      <c r="CEJ32" s="17"/>
      <c r="CEK32" s="17"/>
      <c r="CEL32" s="17"/>
      <c r="CEM32" s="17"/>
      <c r="CEN32" s="17"/>
      <c r="CEO32" s="17"/>
      <c r="CEP32" s="17"/>
      <c r="CEQ32" s="17"/>
      <c r="CER32" s="17"/>
      <c r="CES32" s="17"/>
      <c r="CET32" s="17"/>
      <c r="CEU32" s="17"/>
      <c r="CEV32" s="17"/>
      <c r="CEW32" s="17"/>
      <c r="CEX32" s="17"/>
      <c r="CEY32" s="17"/>
      <c r="CEZ32" s="17"/>
      <c r="CFA32" s="17"/>
      <c r="CFB32" s="17"/>
      <c r="CFC32" s="17"/>
      <c r="CFD32" s="17"/>
      <c r="CFE32" s="17"/>
      <c r="CFF32" s="17"/>
      <c r="CFG32" s="17"/>
      <c r="CFH32" s="17"/>
      <c r="CFI32" s="17"/>
      <c r="CFJ32" s="17"/>
      <c r="CFK32" s="17"/>
      <c r="CFL32" s="17"/>
      <c r="CFM32" s="17"/>
      <c r="CFN32" s="17"/>
      <c r="CFO32" s="17"/>
      <c r="CFP32" s="17"/>
      <c r="CFQ32" s="17"/>
      <c r="CFR32" s="17"/>
      <c r="CFS32" s="17"/>
      <c r="CFT32" s="17"/>
      <c r="CFU32" s="17"/>
      <c r="CFV32" s="17"/>
      <c r="CFW32" s="17"/>
      <c r="CFX32" s="17"/>
      <c r="CFY32" s="17"/>
      <c r="CFZ32" s="17"/>
      <c r="CGA32" s="17"/>
      <c r="CGB32" s="17"/>
      <c r="CGC32" s="17"/>
      <c r="CGD32" s="17"/>
      <c r="CGE32" s="17"/>
      <c r="CGF32" s="17"/>
      <c r="CGG32" s="17"/>
      <c r="CGH32" s="17"/>
      <c r="CGI32" s="17"/>
      <c r="CGJ32" s="17"/>
      <c r="CGK32" s="17"/>
      <c r="CGL32" s="17"/>
      <c r="CGM32" s="17"/>
      <c r="CGN32" s="17"/>
      <c r="CGO32" s="17"/>
      <c r="CGP32" s="17"/>
      <c r="CGQ32" s="17"/>
      <c r="CGR32" s="17"/>
      <c r="CGS32" s="17"/>
      <c r="CGT32" s="17"/>
      <c r="CGU32" s="17"/>
      <c r="CGV32" s="17"/>
      <c r="CGW32" s="17"/>
      <c r="CGX32" s="17"/>
      <c r="CGY32" s="17"/>
      <c r="CGZ32" s="17"/>
      <c r="CHA32" s="17"/>
      <c r="CHB32" s="17"/>
      <c r="CHC32" s="17"/>
      <c r="CHD32" s="17"/>
      <c r="CHE32" s="17"/>
      <c r="CHF32" s="17"/>
      <c r="CHG32" s="17"/>
      <c r="CHH32" s="17"/>
      <c r="CHI32" s="17"/>
      <c r="CHJ32" s="17"/>
      <c r="CHK32" s="17"/>
      <c r="CHL32" s="17"/>
      <c r="CHM32" s="17"/>
      <c r="CHN32" s="17"/>
      <c r="CHO32" s="17"/>
      <c r="CHP32" s="17"/>
      <c r="CHQ32" s="17"/>
      <c r="CHR32" s="17"/>
      <c r="CHS32" s="17"/>
      <c r="CHT32" s="17"/>
      <c r="CHU32" s="17"/>
      <c r="CHV32" s="17"/>
      <c r="CHW32" s="17"/>
      <c r="CHX32" s="17"/>
      <c r="CHY32" s="17"/>
      <c r="CHZ32" s="17"/>
      <c r="CIA32" s="17"/>
      <c r="CIB32" s="17"/>
      <c r="CIC32" s="17"/>
      <c r="CID32" s="17"/>
      <c r="CIE32" s="17"/>
      <c r="CIF32" s="17"/>
      <c r="CIG32" s="17"/>
      <c r="CIH32" s="17"/>
      <c r="CII32" s="17"/>
      <c r="CIJ32" s="17"/>
      <c r="CIK32" s="17"/>
      <c r="CIL32" s="17"/>
      <c r="CIM32" s="17"/>
      <c r="CIN32" s="17"/>
      <c r="CIO32" s="17"/>
      <c r="CIP32" s="17"/>
      <c r="CIQ32" s="17"/>
      <c r="CIR32" s="17"/>
      <c r="CIS32" s="17"/>
      <c r="CIT32" s="17"/>
      <c r="CIU32" s="17"/>
      <c r="CIV32" s="17"/>
      <c r="CIW32" s="17"/>
      <c r="CIX32" s="17"/>
      <c r="CIY32" s="17"/>
      <c r="CIZ32" s="17"/>
      <c r="CJA32" s="17"/>
      <c r="CJB32" s="17"/>
      <c r="CJC32" s="17"/>
      <c r="CJD32" s="17"/>
      <c r="CJE32" s="17"/>
      <c r="CJF32" s="17"/>
      <c r="CJG32" s="17"/>
      <c r="CJH32" s="17"/>
      <c r="CJI32" s="17"/>
      <c r="CJJ32" s="17"/>
      <c r="CJK32" s="17"/>
      <c r="CJL32" s="17"/>
      <c r="CJM32" s="17"/>
      <c r="CJN32" s="17"/>
      <c r="CJO32" s="17"/>
      <c r="CJP32" s="17"/>
      <c r="CJQ32" s="17"/>
      <c r="CJR32" s="17"/>
      <c r="CJS32" s="17"/>
      <c r="CJT32" s="17"/>
      <c r="CJU32" s="17"/>
      <c r="CJV32" s="17"/>
      <c r="CJW32" s="17"/>
      <c r="CJX32" s="17"/>
      <c r="CJY32" s="17"/>
      <c r="CJZ32" s="17"/>
      <c r="CKA32" s="17"/>
      <c r="CKB32" s="17"/>
      <c r="CKC32" s="17"/>
      <c r="CKD32" s="17"/>
      <c r="CKE32" s="17"/>
      <c r="CKF32" s="17"/>
      <c r="CKG32" s="17"/>
      <c r="CKH32" s="17"/>
      <c r="CKI32" s="17"/>
      <c r="CKJ32" s="17"/>
      <c r="CKK32" s="17"/>
      <c r="CKL32" s="17"/>
      <c r="CKM32" s="17"/>
      <c r="CKN32" s="17"/>
      <c r="CKO32" s="17"/>
      <c r="CKP32" s="17"/>
      <c r="CKQ32" s="17"/>
      <c r="CKR32" s="17"/>
      <c r="CKS32" s="17"/>
      <c r="CKT32" s="17"/>
      <c r="CKU32" s="17"/>
      <c r="CKV32" s="17"/>
      <c r="CKW32" s="17"/>
      <c r="CKX32" s="17"/>
      <c r="CKY32" s="17"/>
      <c r="CKZ32" s="17"/>
      <c r="CLA32" s="17"/>
      <c r="CLB32" s="17"/>
      <c r="CLC32" s="17"/>
      <c r="CLD32" s="17"/>
      <c r="CLE32" s="17"/>
      <c r="CLF32" s="17"/>
      <c r="CLG32" s="17"/>
      <c r="CLH32" s="17"/>
      <c r="CLI32" s="17"/>
      <c r="CLJ32" s="17"/>
      <c r="CLK32" s="17"/>
      <c r="CLL32" s="17"/>
      <c r="CLM32" s="17"/>
      <c r="CLN32" s="17"/>
      <c r="CLO32" s="17"/>
      <c r="CLP32" s="17"/>
      <c r="CLQ32" s="17"/>
      <c r="CLR32" s="17"/>
      <c r="CLS32" s="17"/>
      <c r="CLT32" s="17"/>
      <c r="CLU32" s="17"/>
      <c r="CLV32" s="17"/>
      <c r="CLW32" s="17"/>
      <c r="CLX32" s="17"/>
      <c r="CLY32" s="17"/>
      <c r="CLZ32" s="17"/>
      <c r="CMA32" s="17"/>
      <c r="CMB32" s="17"/>
      <c r="CMC32" s="17"/>
      <c r="CMD32" s="17"/>
      <c r="CME32" s="17"/>
      <c r="CMF32" s="17"/>
      <c r="CMG32" s="17"/>
      <c r="CMH32" s="17"/>
      <c r="CMI32" s="17"/>
      <c r="CMJ32" s="17"/>
      <c r="CMK32" s="17"/>
      <c r="CML32" s="17"/>
      <c r="CMM32" s="17"/>
      <c r="CMN32" s="17"/>
      <c r="CMO32" s="17"/>
      <c r="CMP32" s="17"/>
      <c r="CMQ32" s="17"/>
      <c r="CMR32" s="17"/>
      <c r="CMS32" s="17"/>
      <c r="CMT32" s="17"/>
      <c r="CMU32" s="17"/>
      <c r="CMV32" s="17"/>
      <c r="CMW32" s="17"/>
      <c r="CMX32" s="17"/>
      <c r="CMY32" s="17"/>
      <c r="CMZ32" s="17"/>
      <c r="CNA32" s="17"/>
      <c r="CNB32" s="17"/>
      <c r="CNC32" s="17"/>
      <c r="CND32" s="17"/>
      <c r="CNE32" s="17"/>
      <c r="CNF32" s="17"/>
      <c r="CNG32" s="17"/>
      <c r="CNH32" s="17"/>
      <c r="CNI32" s="17"/>
      <c r="CNJ32" s="17"/>
      <c r="CNK32" s="17"/>
      <c r="CNL32" s="17"/>
      <c r="CNM32" s="17"/>
      <c r="CNN32" s="17"/>
      <c r="CNO32" s="17"/>
      <c r="CNP32" s="17"/>
      <c r="CNQ32" s="17"/>
      <c r="CNR32" s="17"/>
      <c r="CNS32" s="17"/>
      <c r="CNT32" s="17"/>
      <c r="CNU32" s="17"/>
      <c r="CNV32" s="17"/>
      <c r="CNW32" s="17"/>
      <c r="CNX32" s="17"/>
      <c r="CNY32" s="17"/>
      <c r="CNZ32" s="17"/>
      <c r="COA32" s="17"/>
      <c r="COB32" s="17"/>
      <c r="COC32" s="17"/>
      <c r="COD32" s="17"/>
      <c r="COE32" s="17"/>
      <c r="COF32" s="17"/>
      <c r="COG32" s="17"/>
      <c r="COH32" s="17"/>
      <c r="COI32" s="17"/>
      <c r="COJ32" s="17"/>
      <c r="COK32" s="17"/>
      <c r="COL32" s="17"/>
      <c r="COM32" s="17"/>
      <c r="CON32" s="17"/>
      <c r="COO32" s="17"/>
      <c r="COP32" s="17"/>
      <c r="COQ32" s="17"/>
      <c r="COR32" s="17"/>
      <c r="COS32" s="17"/>
      <c r="COT32" s="17"/>
      <c r="COU32" s="17"/>
      <c r="COV32" s="17"/>
      <c r="COW32" s="17"/>
      <c r="COX32" s="17"/>
      <c r="COY32" s="17"/>
      <c r="COZ32" s="17"/>
      <c r="CPA32" s="17"/>
      <c r="CPB32" s="17"/>
      <c r="CPC32" s="17"/>
      <c r="CPD32" s="17"/>
      <c r="CPE32" s="17"/>
      <c r="CPF32" s="17"/>
      <c r="CPG32" s="17"/>
      <c r="CPH32" s="17"/>
      <c r="CPI32" s="17"/>
      <c r="CPJ32" s="17"/>
      <c r="CPK32" s="17"/>
      <c r="CPL32" s="17"/>
      <c r="CPM32" s="17"/>
      <c r="CPN32" s="17"/>
      <c r="CPO32" s="17"/>
      <c r="CPP32" s="17"/>
      <c r="CPQ32" s="17"/>
      <c r="CPR32" s="17"/>
      <c r="CPS32" s="17"/>
      <c r="CPT32" s="17"/>
      <c r="CPU32" s="17"/>
      <c r="CPV32" s="17"/>
      <c r="CPW32" s="17"/>
      <c r="CPX32" s="17"/>
      <c r="CPY32" s="17"/>
      <c r="CPZ32" s="17"/>
      <c r="CQA32" s="17"/>
      <c r="CQB32" s="17"/>
      <c r="CQC32" s="17"/>
      <c r="CQD32" s="17"/>
      <c r="CQE32" s="17"/>
      <c r="CQF32" s="17"/>
      <c r="CQG32" s="17"/>
      <c r="CQH32" s="17"/>
      <c r="CQI32" s="17"/>
      <c r="CQJ32" s="17"/>
      <c r="CQK32" s="17"/>
      <c r="CQL32" s="17"/>
      <c r="CQM32" s="17"/>
      <c r="CQN32" s="17"/>
      <c r="CQO32" s="17"/>
      <c r="CQP32" s="17"/>
      <c r="CQQ32" s="17"/>
      <c r="CQR32" s="17"/>
      <c r="CQS32" s="17"/>
      <c r="CQT32" s="17"/>
      <c r="CQU32" s="17"/>
      <c r="CQV32" s="17"/>
      <c r="CQW32" s="17"/>
      <c r="CQX32" s="17"/>
      <c r="CQY32" s="17"/>
      <c r="CQZ32" s="17"/>
      <c r="CRA32" s="17"/>
      <c r="CRB32" s="17"/>
      <c r="CRC32" s="17"/>
      <c r="CRD32" s="17"/>
      <c r="CRE32" s="17"/>
      <c r="CRF32" s="17"/>
      <c r="CRG32" s="17"/>
      <c r="CRH32" s="17"/>
      <c r="CRI32" s="17"/>
      <c r="CRJ32" s="17"/>
      <c r="CRK32" s="17"/>
      <c r="CRL32" s="17"/>
      <c r="CRM32" s="17"/>
      <c r="CRN32" s="17"/>
      <c r="CRO32" s="17"/>
      <c r="CRP32" s="17"/>
      <c r="CRQ32" s="17"/>
      <c r="CRR32" s="17"/>
      <c r="CRS32" s="17"/>
      <c r="CRT32" s="17"/>
      <c r="CRU32" s="17"/>
      <c r="CRV32" s="17"/>
      <c r="CRW32" s="17"/>
      <c r="CRX32" s="17"/>
      <c r="CRY32" s="17"/>
      <c r="CRZ32" s="17"/>
      <c r="CSA32" s="17"/>
      <c r="CSB32" s="17"/>
      <c r="CSC32" s="17"/>
      <c r="CSD32" s="17"/>
      <c r="CSE32" s="17"/>
      <c r="CSF32" s="17"/>
      <c r="CSG32" s="17"/>
      <c r="CSH32" s="17"/>
      <c r="CSI32" s="17"/>
      <c r="CSJ32" s="17"/>
      <c r="CSK32" s="17"/>
      <c r="CSL32" s="17"/>
      <c r="CSM32" s="17"/>
      <c r="CSN32" s="17"/>
      <c r="CSO32" s="17"/>
      <c r="CSP32" s="17"/>
      <c r="CSQ32" s="17"/>
      <c r="CSR32" s="17"/>
      <c r="CSS32" s="17"/>
      <c r="CST32" s="17"/>
      <c r="CSU32" s="17"/>
      <c r="CSV32" s="17"/>
      <c r="CSW32" s="17"/>
      <c r="CSX32" s="17"/>
      <c r="CSY32" s="17"/>
      <c r="CSZ32" s="17"/>
      <c r="CTA32" s="17"/>
      <c r="CTB32" s="17"/>
      <c r="CTC32" s="17"/>
      <c r="CTD32" s="17"/>
      <c r="CTE32" s="17"/>
      <c r="CTF32" s="17"/>
      <c r="CTG32" s="17"/>
      <c r="CTH32" s="17"/>
      <c r="CTI32" s="17"/>
      <c r="CTJ32" s="17"/>
      <c r="CTK32" s="17"/>
      <c r="CTL32" s="17"/>
      <c r="CTM32" s="17"/>
      <c r="CTN32" s="17"/>
      <c r="CTO32" s="17"/>
      <c r="CTP32" s="17"/>
      <c r="CTQ32" s="17"/>
      <c r="CTR32" s="17"/>
      <c r="CTS32" s="17"/>
      <c r="CTT32" s="17"/>
      <c r="CTU32" s="17"/>
      <c r="CTV32" s="17"/>
      <c r="CTW32" s="17"/>
      <c r="CTX32" s="17"/>
      <c r="CTY32" s="17"/>
      <c r="CTZ32" s="17"/>
      <c r="CUA32" s="17"/>
      <c r="CUB32" s="17"/>
      <c r="CUC32" s="17"/>
      <c r="CUD32" s="17"/>
      <c r="CUE32" s="17"/>
      <c r="CUF32" s="17"/>
      <c r="CUG32" s="17"/>
      <c r="CUH32" s="17"/>
      <c r="CUI32" s="17"/>
      <c r="CUJ32" s="17"/>
      <c r="CUK32" s="17"/>
      <c r="CUL32" s="17"/>
      <c r="CUM32" s="17"/>
      <c r="CUN32" s="17"/>
      <c r="CUO32" s="17"/>
      <c r="CUP32" s="17"/>
      <c r="CUQ32" s="17"/>
      <c r="CUR32" s="17"/>
      <c r="CUS32" s="17"/>
      <c r="CUT32" s="17"/>
      <c r="CUU32" s="17"/>
      <c r="CUV32" s="17"/>
      <c r="CUW32" s="17"/>
      <c r="CUX32" s="17"/>
      <c r="CUY32" s="17"/>
      <c r="CUZ32" s="17"/>
      <c r="CVA32" s="17"/>
      <c r="CVB32" s="17"/>
      <c r="CVC32" s="17"/>
      <c r="CVD32" s="17"/>
      <c r="CVE32" s="17"/>
      <c r="CVF32" s="17"/>
      <c r="CVG32" s="17"/>
      <c r="CVH32" s="17"/>
      <c r="CVI32" s="17"/>
      <c r="CVJ32" s="17"/>
      <c r="CVK32" s="17"/>
      <c r="CVL32" s="17"/>
      <c r="CVM32" s="17"/>
      <c r="CVN32" s="17"/>
      <c r="CVO32" s="17"/>
      <c r="CVP32" s="17"/>
      <c r="CVQ32" s="17"/>
      <c r="CVR32" s="17"/>
      <c r="CVS32" s="17"/>
      <c r="CVT32" s="17"/>
      <c r="CVU32" s="17"/>
      <c r="CVV32" s="17"/>
      <c r="CVW32" s="17"/>
      <c r="CVX32" s="17"/>
      <c r="CVY32" s="17"/>
      <c r="CVZ32" s="17"/>
      <c r="CWA32" s="17"/>
      <c r="CWB32" s="17"/>
      <c r="CWC32" s="17"/>
      <c r="CWD32" s="17"/>
      <c r="CWE32" s="17"/>
      <c r="CWF32" s="17"/>
      <c r="CWG32" s="17"/>
      <c r="CWH32" s="17"/>
      <c r="CWI32" s="17"/>
      <c r="CWJ32" s="17"/>
      <c r="CWK32" s="17"/>
      <c r="CWL32" s="17"/>
      <c r="CWM32" s="17"/>
      <c r="CWN32" s="17"/>
      <c r="CWO32" s="17"/>
      <c r="CWP32" s="17"/>
      <c r="CWQ32" s="17"/>
      <c r="CWR32" s="17"/>
      <c r="CWS32" s="17"/>
      <c r="CWT32" s="17"/>
      <c r="CWU32" s="17"/>
      <c r="CWV32" s="17"/>
      <c r="CWW32" s="17"/>
      <c r="CWX32" s="17"/>
      <c r="CWY32" s="17"/>
      <c r="CWZ32" s="17"/>
      <c r="CXA32" s="17"/>
      <c r="CXB32" s="17"/>
      <c r="CXC32" s="17"/>
      <c r="CXD32" s="17"/>
      <c r="CXE32" s="17"/>
      <c r="CXF32" s="17"/>
      <c r="CXG32" s="17"/>
      <c r="CXH32" s="17"/>
      <c r="CXI32" s="17"/>
      <c r="CXJ32" s="17"/>
      <c r="CXK32" s="17"/>
      <c r="CXL32" s="17"/>
      <c r="CXM32" s="17"/>
      <c r="CXN32" s="17"/>
      <c r="CXO32" s="17"/>
      <c r="CXP32" s="17"/>
      <c r="CXQ32" s="17"/>
      <c r="CXR32" s="17"/>
      <c r="CXS32" s="17"/>
      <c r="CXT32" s="17"/>
      <c r="CXU32" s="17"/>
      <c r="CXV32" s="17"/>
      <c r="CXW32" s="17"/>
      <c r="CXX32" s="17"/>
      <c r="CXY32" s="17"/>
      <c r="CXZ32" s="17"/>
      <c r="CYA32" s="17"/>
      <c r="CYB32" s="17"/>
      <c r="CYC32" s="17"/>
      <c r="CYD32" s="17"/>
      <c r="CYE32" s="17"/>
      <c r="CYF32" s="17"/>
      <c r="CYG32" s="17"/>
      <c r="CYH32" s="17"/>
      <c r="CYI32" s="17"/>
      <c r="CYJ32" s="17"/>
      <c r="CYK32" s="17"/>
      <c r="CYL32" s="17"/>
      <c r="CYM32" s="17"/>
      <c r="CYN32" s="17"/>
      <c r="CYO32" s="17"/>
      <c r="CYP32" s="17"/>
      <c r="CYQ32" s="17"/>
      <c r="CYR32" s="17"/>
      <c r="CYS32" s="17"/>
      <c r="CYT32" s="17"/>
      <c r="CYU32" s="17"/>
      <c r="CYV32" s="17"/>
      <c r="CYW32" s="17"/>
      <c r="CYX32" s="17"/>
      <c r="CYY32" s="17"/>
      <c r="CYZ32" s="17"/>
      <c r="CZA32" s="17"/>
      <c r="CZB32" s="17"/>
      <c r="CZC32" s="17"/>
      <c r="CZD32" s="17"/>
      <c r="CZE32" s="17"/>
      <c r="CZF32" s="17"/>
      <c r="CZG32" s="17"/>
      <c r="CZH32" s="17"/>
      <c r="CZI32" s="17"/>
      <c r="CZJ32" s="17"/>
      <c r="CZK32" s="17"/>
      <c r="CZL32" s="17"/>
      <c r="CZM32" s="17"/>
      <c r="CZN32" s="17"/>
      <c r="CZO32" s="17"/>
      <c r="CZP32" s="17"/>
      <c r="CZQ32" s="17"/>
      <c r="CZR32" s="17"/>
      <c r="CZS32" s="17"/>
      <c r="CZT32" s="17"/>
      <c r="CZU32" s="17"/>
      <c r="CZV32" s="17"/>
      <c r="CZW32" s="17"/>
      <c r="CZX32" s="17"/>
      <c r="CZY32" s="17"/>
      <c r="CZZ32" s="17"/>
      <c r="DAA32" s="17"/>
      <c r="DAB32" s="17"/>
      <c r="DAC32" s="17"/>
      <c r="DAD32" s="17"/>
      <c r="DAE32" s="17"/>
      <c r="DAF32" s="17"/>
      <c r="DAG32" s="17"/>
      <c r="DAH32" s="17"/>
      <c r="DAI32" s="17"/>
      <c r="DAJ32" s="17"/>
      <c r="DAK32" s="17"/>
      <c r="DAL32" s="17"/>
      <c r="DAM32" s="17"/>
      <c r="DAN32" s="17"/>
      <c r="DAO32" s="17"/>
      <c r="DAP32" s="17"/>
      <c r="DAQ32" s="17"/>
      <c r="DAR32" s="17"/>
      <c r="DAS32" s="17"/>
      <c r="DAT32" s="17"/>
      <c r="DAU32" s="17"/>
      <c r="DAV32" s="17"/>
      <c r="DAW32" s="17"/>
      <c r="DAX32" s="17"/>
      <c r="DAY32" s="17"/>
      <c r="DAZ32" s="17"/>
      <c r="DBA32" s="17"/>
      <c r="DBB32" s="17"/>
      <c r="DBC32" s="17"/>
      <c r="DBD32" s="17"/>
      <c r="DBE32" s="17"/>
      <c r="DBF32" s="17"/>
      <c r="DBG32" s="17"/>
      <c r="DBH32" s="17"/>
      <c r="DBI32" s="17"/>
      <c r="DBJ32" s="17"/>
      <c r="DBK32" s="17"/>
      <c r="DBL32" s="17"/>
      <c r="DBM32" s="17"/>
      <c r="DBN32" s="17"/>
      <c r="DBO32" s="17"/>
      <c r="DBP32" s="17"/>
      <c r="DBQ32" s="17"/>
      <c r="DBR32" s="17"/>
      <c r="DBS32" s="17"/>
      <c r="DBT32" s="17"/>
      <c r="DBU32" s="17"/>
      <c r="DBV32" s="17"/>
      <c r="DBW32" s="17"/>
      <c r="DBX32" s="17"/>
      <c r="DBY32" s="17"/>
      <c r="DBZ32" s="17"/>
      <c r="DCA32" s="17"/>
      <c r="DCB32" s="17"/>
      <c r="DCC32" s="17"/>
      <c r="DCD32" s="17"/>
      <c r="DCE32" s="17"/>
      <c r="DCF32" s="17"/>
      <c r="DCG32" s="17"/>
      <c r="DCH32" s="17"/>
      <c r="DCI32" s="17"/>
      <c r="DCJ32" s="17"/>
      <c r="DCK32" s="17"/>
      <c r="DCL32" s="17"/>
      <c r="DCM32" s="17"/>
      <c r="DCN32" s="17"/>
      <c r="DCO32" s="17"/>
      <c r="DCP32" s="17"/>
      <c r="DCQ32" s="17"/>
      <c r="DCR32" s="17"/>
      <c r="DCS32" s="17"/>
      <c r="DCT32" s="17"/>
      <c r="DCU32" s="17"/>
      <c r="DCV32" s="17"/>
      <c r="DCW32" s="17"/>
      <c r="DCX32" s="17"/>
      <c r="DCY32" s="17"/>
      <c r="DCZ32" s="17"/>
      <c r="DDA32" s="17"/>
      <c r="DDB32" s="17"/>
      <c r="DDC32" s="17"/>
      <c r="DDD32" s="17"/>
      <c r="DDE32" s="17"/>
      <c r="DDF32" s="17"/>
      <c r="DDG32" s="17"/>
      <c r="DDH32" s="17"/>
      <c r="DDI32" s="17"/>
      <c r="DDJ32" s="17"/>
      <c r="DDK32" s="17"/>
      <c r="DDL32" s="17"/>
      <c r="DDM32" s="17"/>
      <c r="DDN32" s="17"/>
      <c r="DDO32" s="17"/>
      <c r="DDP32" s="17"/>
      <c r="DDQ32" s="17"/>
      <c r="DDR32" s="17"/>
      <c r="DDS32" s="17"/>
      <c r="DDT32" s="17"/>
      <c r="DDU32" s="17"/>
      <c r="DDV32" s="17"/>
      <c r="DDW32" s="17"/>
      <c r="DDX32" s="17"/>
      <c r="DDY32" s="17"/>
      <c r="DDZ32" s="17"/>
      <c r="DEA32" s="17"/>
      <c r="DEB32" s="17"/>
      <c r="DEC32" s="17"/>
      <c r="DED32" s="17"/>
      <c r="DEE32" s="17"/>
      <c r="DEF32" s="17"/>
      <c r="DEG32" s="17"/>
      <c r="DEH32" s="17"/>
      <c r="DEI32" s="17"/>
      <c r="DEJ32" s="17"/>
      <c r="DEK32" s="17"/>
      <c r="DEL32" s="17"/>
      <c r="DEM32" s="17"/>
      <c r="DEN32" s="17"/>
      <c r="DEO32" s="17"/>
      <c r="DEP32" s="17"/>
      <c r="DEQ32" s="17"/>
      <c r="DER32" s="17"/>
      <c r="DES32" s="17"/>
      <c r="DET32" s="17"/>
      <c r="DEU32" s="17"/>
      <c r="DEV32" s="17"/>
      <c r="DEW32" s="17"/>
      <c r="DEX32" s="17"/>
      <c r="DEY32" s="17"/>
      <c r="DEZ32" s="17"/>
      <c r="DFA32" s="17"/>
      <c r="DFB32" s="17"/>
      <c r="DFC32" s="17"/>
      <c r="DFD32" s="17"/>
      <c r="DFE32" s="17"/>
      <c r="DFF32" s="17"/>
      <c r="DFG32" s="17"/>
      <c r="DFH32" s="17"/>
      <c r="DFI32" s="17"/>
      <c r="DFJ32" s="17"/>
      <c r="DFK32" s="17"/>
      <c r="DFL32" s="17"/>
      <c r="DFM32" s="17"/>
      <c r="DFN32" s="17"/>
      <c r="DFO32" s="17"/>
      <c r="DFP32" s="17"/>
      <c r="DFQ32" s="17"/>
      <c r="DFR32" s="17"/>
      <c r="DFS32" s="17"/>
      <c r="DFT32" s="17"/>
      <c r="DFU32" s="17"/>
      <c r="DFV32" s="17"/>
      <c r="DFW32" s="17"/>
      <c r="DFX32" s="17"/>
      <c r="DFY32" s="17"/>
      <c r="DFZ32" s="17"/>
      <c r="DGA32" s="17"/>
      <c r="DGB32" s="17"/>
      <c r="DGC32" s="17"/>
      <c r="DGD32" s="17"/>
      <c r="DGE32" s="17"/>
      <c r="DGF32" s="17"/>
      <c r="DGG32" s="17"/>
      <c r="DGH32" s="17"/>
      <c r="DGI32" s="17"/>
      <c r="DGJ32" s="17"/>
      <c r="DGK32" s="17"/>
      <c r="DGL32" s="17"/>
      <c r="DGM32" s="17"/>
      <c r="DGN32" s="17"/>
      <c r="DGO32" s="17"/>
      <c r="DGP32" s="17"/>
      <c r="DGQ32" s="17"/>
      <c r="DGR32" s="17"/>
      <c r="DGS32" s="17"/>
      <c r="DGT32" s="17"/>
      <c r="DGU32" s="17"/>
      <c r="DGV32" s="17"/>
      <c r="DGW32" s="17"/>
      <c r="DGX32" s="17"/>
      <c r="DGY32" s="17"/>
      <c r="DGZ32" s="17"/>
      <c r="DHA32" s="17"/>
      <c r="DHB32" s="17"/>
      <c r="DHC32" s="17"/>
      <c r="DHD32" s="17"/>
      <c r="DHE32" s="17"/>
      <c r="DHF32" s="17"/>
      <c r="DHG32" s="17"/>
      <c r="DHH32" s="17"/>
      <c r="DHI32" s="17"/>
      <c r="DHJ32" s="17"/>
      <c r="DHK32" s="17"/>
      <c r="DHL32" s="17"/>
      <c r="DHM32" s="17"/>
      <c r="DHN32" s="17"/>
      <c r="DHO32" s="17"/>
      <c r="DHP32" s="17"/>
      <c r="DHQ32" s="17"/>
      <c r="DHR32" s="17"/>
      <c r="DHS32" s="17"/>
      <c r="DHT32" s="17"/>
      <c r="DHU32" s="17"/>
      <c r="DHV32" s="17"/>
      <c r="DHW32" s="17"/>
      <c r="DHX32" s="17"/>
      <c r="DHY32" s="17"/>
      <c r="DHZ32" s="17"/>
      <c r="DIA32" s="17"/>
      <c r="DIB32" s="17"/>
      <c r="DIC32" s="17"/>
      <c r="DID32" s="17"/>
      <c r="DIE32" s="17"/>
      <c r="DIF32" s="17"/>
      <c r="DIG32" s="17"/>
      <c r="DIH32" s="17"/>
      <c r="DII32" s="17"/>
      <c r="DIJ32" s="17"/>
      <c r="DIK32" s="17"/>
      <c r="DIL32" s="17"/>
      <c r="DIM32" s="17"/>
      <c r="DIN32" s="17"/>
      <c r="DIO32" s="17"/>
      <c r="DIP32" s="17"/>
      <c r="DIQ32" s="17"/>
      <c r="DIR32" s="17"/>
      <c r="DIS32" s="17"/>
      <c r="DIT32" s="17"/>
      <c r="DIU32" s="17"/>
      <c r="DIV32" s="17"/>
      <c r="DIW32" s="17"/>
      <c r="DIX32" s="17"/>
      <c r="DIY32" s="17"/>
      <c r="DIZ32" s="17"/>
      <c r="DJA32" s="17"/>
      <c r="DJB32" s="17"/>
      <c r="DJC32" s="17"/>
      <c r="DJD32" s="17"/>
      <c r="DJE32" s="17"/>
      <c r="DJF32" s="17"/>
      <c r="DJG32" s="17"/>
      <c r="DJH32" s="17"/>
      <c r="DJI32" s="17"/>
      <c r="DJJ32" s="17"/>
      <c r="DJK32" s="17"/>
      <c r="DJL32" s="17"/>
      <c r="DJM32" s="17"/>
      <c r="DJN32" s="17"/>
      <c r="DJO32" s="17"/>
      <c r="DJP32" s="17"/>
      <c r="DJQ32" s="17"/>
      <c r="DJR32" s="17"/>
      <c r="DJS32" s="17"/>
      <c r="DJT32" s="17"/>
      <c r="DJU32" s="17"/>
      <c r="DJV32" s="17"/>
      <c r="DJW32" s="17"/>
      <c r="DJX32" s="17"/>
      <c r="DJY32" s="17"/>
      <c r="DJZ32" s="17"/>
      <c r="DKA32" s="17"/>
      <c r="DKB32" s="17"/>
      <c r="DKC32" s="17"/>
      <c r="DKD32" s="17"/>
      <c r="DKE32" s="17"/>
      <c r="DKF32" s="17"/>
      <c r="DKG32" s="17"/>
      <c r="DKH32" s="17"/>
      <c r="DKI32" s="17"/>
      <c r="DKJ32" s="17"/>
      <c r="DKK32" s="17"/>
      <c r="DKL32" s="17"/>
      <c r="DKM32" s="17"/>
      <c r="DKN32" s="17"/>
      <c r="DKO32" s="17"/>
      <c r="DKP32" s="17"/>
      <c r="DKQ32" s="17"/>
      <c r="DKR32" s="17"/>
      <c r="DKS32" s="17"/>
      <c r="DKT32" s="17"/>
      <c r="DKU32" s="17"/>
      <c r="DKV32" s="17"/>
      <c r="DKW32" s="17"/>
      <c r="DKX32" s="17"/>
      <c r="DKY32" s="17"/>
      <c r="DKZ32" s="17"/>
      <c r="DLA32" s="17"/>
      <c r="DLB32" s="17"/>
      <c r="DLC32" s="17"/>
      <c r="DLD32" s="17"/>
      <c r="DLE32" s="17"/>
      <c r="DLF32" s="17"/>
      <c r="DLG32" s="17"/>
      <c r="DLH32" s="17"/>
      <c r="DLI32" s="17"/>
      <c r="DLJ32" s="17"/>
      <c r="DLK32" s="17"/>
      <c r="DLL32" s="17"/>
      <c r="DLM32" s="17"/>
      <c r="DLN32" s="17"/>
      <c r="DLO32" s="17"/>
      <c r="DLP32" s="17"/>
      <c r="DLQ32" s="17"/>
      <c r="DLR32" s="17"/>
      <c r="DLS32" s="17"/>
      <c r="DLT32" s="17"/>
      <c r="DLU32" s="17"/>
      <c r="DLV32" s="17"/>
      <c r="DLW32" s="17"/>
      <c r="DLX32" s="17"/>
      <c r="DLY32" s="17"/>
      <c r="DLZ32" s="17"/>
      <c r="DMA32" s="17"/>
      <c r="DMB32" s="17"/>
      <c r="DMC32" s="17"/>
      <c r="DMD32" s="17"/>
      <c r="DME32" s="17"/>
      <c r="DMF32" s="17"/>
      <c r="DMG32" s="17"/>
      <c r="DMH32" s="17"/>
      <c r="DMI32" s="17"/>
      <c r="DMJ32" s="17"/>
      <c r="DMK32" s="17"/>
      <c r="DML32" s="17"/>
      <c r="DMM32" s="17"/>
      <c r="DMN32" s="17"/>
      <c r="DMO32" s="17"/>
      <c r="DMP32" s="17"/>
      <c r="DMQ32" s="17"/>
      <c r="DMR32" s="17"/>
      <c r="DMS32" s="17"/>
      <c r="DMT32" s="17"/>
      <c r="DMU32" s="17"/>
      <c r="DMV32" s="17"/>
      <c r="DMW32" s="17"/>
      <c r="DMX32" s="17"/>
      <c r="DMY32" s="17"/>
      <c r="DMZ32" s="17"/>
      <c r="DNA32" s="17"/>
      <c r="DNB32" s="17"/>
      <c r="DNC32" s="17"/>
      <c r="DND32" s="17"/>
      <c r="DNE32" s="17"/>
      <c r="DNF32" s="17"/>
      <c r="DNG32" s="17"/>
      <c r="DNH32" s="17"/>
      <c r="DNI32" s="17"/>
      <c r="DNJ32" s="17"/>
      <c r="DNK32" s="17"/>
      <c r="DNL32" s="17"/>
      <c r="DNM32" s="17"/>
      <c r="DNN32" s="17"/>
      <c r="DNO32" s="17"/>
      <c r="DNP32" s="17"/>
      <c r="DNQ32" s="17"/>
      <c r="DNR32" s="17"/>
      <c r="DNS32" s="17"/>
      <c r="DNT32" s="17"/>
      <c r="DNU32" s="17"/>
      <c r="DNV32" s="17"/>
      <c r="DNW32" s="17"/>
      <c r="DNX32" s="17"/>
      <c r="DNY32" s="17"/>
      <c r="DNZ32" s="17"/>
      <c r="DOA32" s="17"/>
      <c r="DOB32" s="17"/>
      <c r="DOC32" s="17"/>
      <c r="DOD32" s="17"/>
      <c r="DOE32" s="17"/>
      <c r="DOF32" s="17"/>
      <c r="DOG32" s="17"/>
      <c r="DOH32" s="17"/>
      <c r="DOI32" s="17"/>
      <c r="DOJ32" s="17"/>
      <c r="DOK32" s="17"/>
      <c r="DOL32" s="17"/>
      <c r="DOM32" s="17"/>
      <c r="DON32" s="17"/>
      <c r="DOO32" s="17"/>
      <c r="DOP32" s="17"/>
      <c r="DOQ32" s="17"/>
      <c r="DOR32" s="17"/>
      <c r="DOS32" s="17"/>
      <c r="DOT32" s="17"/>
      <c r="DOU32" s="17"/>
      <c r="DOV32" s="17"/>
      <c r="DOW32" s="17"/>
      <c r="DOX32" s="17"/>
      <c r="DOY32" s="17"/>
      <c r="DOZ32" s="17"/>
      <c r="DPA32" s="17"/>
      <c r="DPB32" s="17"/>
      <c r="DPC32" s="17"/>
      <c r="DPD32" s="17"/>
      <c r="DPE32" s="17"/>
      <c r="DPF32" s="17"/>
      <c r="DPG32" s="17"/>
      <c r="DPH32" s="17"/>
      <c r="DPI32" s="17"/>
      <c r="DPJ32" s="17"/>
      <c r="DPK32" s="17"/>
      <c r="DPL32" s="17"/>
      <c r="DPM32" s="17"/>
      <c r="DPN32" s="17"/>
      <c r="DPO32" s="17"/>
      <c r="DPP32" s="17"/>
      <c r="DPQ32" s="17"/>
      <c r="DPR32" s="17"/>
      <c r="DPS32" s="17"/>
      <c r="DPT32" s="17"/>
      <c r="DPU32" s="17"/>
      <c r="DPV32" s="17"/>
      <c r="DPW32" s="17"/>
      <c r="DPX32" s="17"/>
      <c r="DPY32" s="17"/>
      <c r="DPZ32" s="17"/>
      <c r="DQA32" s="17"/>
      <c r="DQB32" s="17"/>
      <c r="DQC32" s="17"/>
      <c r="DQD32" s="17"/>
      <c r="DQE32" s="17"/>
      <c r="DQF32" s="17"/>
      <c r="DQG32" s="17"/>
      <c r="DQH32" s="17"/>
      <c r="DQI32" s="17"/>
      <c r="DQJ32" s="17"/>
      <c r="DQK32" s="17"/>
      <c r="DQL32" s="17"/>
      <c r="DQM32" s="17"/>
      <c r="DQN32" s="17"/>
      <c r="DQO32" s="17"/>
      <c r="DQP32" s="17"/>
      <c r="DQQ32" s="17"/>
      <c r="DQR32" s="17"/>
      <c r="DQS32" s="17"/>
      <c r="DQT32" s="17"/>
      <c r="DQU32" s="17"/>
      <c r="DQV32" s="17"/>
      <c r="DQW32" s="17"/>
      <c r="DQX32" s="17"/>
      <c r="DQY32" s="17"/>
      <c r="DQZ32" s="17"/>
      <c r="DRA32" s="17"/>
      <c r="DRB32" s="17"/>
      <c r="DRC32" s="17"/>
      <c r="DRD32" s="17"/>
      <c r="DRE32" s="17"/>
      <c r="DRF32" s="17"/>
      <c r="DRG32" s="17"/>
      <c r="DRH32" s="17"/>
      <c r="DRI32" s="17"/>
      <c r="DRJ32" s="17"/>
      <c r="DRK32" s="17"/>
      <c r="DRL32" s="17"/>
      <c r="DRM32" s="17"/>
      <c r="DRN32" s="17"/>
      <c r="DRO32" s="17"/>
      <c r="DRP32" s="17"/>
      <c r="DRQ32" s="17"/>
      <c r="DRR32" s="17"/>
      <c r="DRS32" s="17"/>
      <c r="DRT32" s="17"/>
      <c r="DRU32" s="17"/>
      <c r="DRV32" s="17"/>
      <c r="DRW32" s="17"/>
      <c r="DRX32" s="17"/>
      <c r="DRY32" s="17"/>
      <c r="DRZ32" s="17"/>
      <c r="DSA32" s="17"/>
      <c r="DSB32" s="17"/>
      <c r="DSC32" s="17"/>
      <c r="DSD32" s="17"/>
      <c r="DSE32" s="17"/>
      <c r="DSF32" s="17"/>
      <c r="DSG32" s="17"/>
      <c r="DSH32" s="17"/>
      <c r="DSI32" s="17"/>
      <c r="DSJ32" s="17"/>
      <c r="DSK32" s="17"/>
      <c r="DSL32" s="17"/>
      <c r="DSM32" s="17"/>
      <c r="DSN32" s="17"/>
      <c r="DSO32" s="17"/>
      <c r="DSP32" s="17"/>
      <c r="DSQ32" s="17"/>
      <c r="DSR32" s="17"/>
      <c r="DSS32" s="17"/>
      <c r="DST32" s="17"/>
      <c r="DSU32" s="17"/>
      <c r="DSV32" s="17"/>
      <c r="DSW32" s="17"/>
      <c r="DSX32" s="17"/>
      <c r="DSY32" s="17"/>
      <c r="DSZ32" s="17"/>
      <c r="DTA32" s="17"/>
      <c r="DTB32" s="17"/>
      <c r="DTC32" s="17"/>
      <c r="DTD32" s="17"/>
      <c r="DTE32" s="17"/>
      <c r="DTF32" s="17"/>
      <c r="DTG32" s="17"/>
      <c r="DTH32" s="17"/>
      <c r="DTI32" s="17"/>
      <c r="DTJ32" s="17"/>
      <c r="DTK32" s="17"/>
      <c r="DTL32" s="17"/>
      <c r="DTM32" s="17"/>
      <c r="DTN32" s="17"/>
      <c r="DTO32" s="17"/>
      <c r="DTP32" s="17"/>
      <c r="DTQ32" s="17"/>
      <c r="DTR32" s="17"/>
      <c r="DTS32" s="17"/>
      <c r="DTT32" s="17"/>
      <c r="DTU32" s="17"/>
      <c r="DTV32" s="17"/>
      <c r="DTW32" s="17"/>
      <c r="DTX32" s="17"/>
      <c r="DTY32" s="17"/>
      <c r="DTZ32" s="17"/>
      <c r="DUA32" s="17"/>
      <c r="DUB32" s="17"/>
      <c r="DUC32" s="17"/>
      <c r="DUD32" s="17"/>
      <c r="DUE32" s="17"/>
      <c r="DUF32" s="17"/>
      <c r="DUG32" s="17"/>
      <c r="DUH32" s="17"/>
      <c r="DUI32" s="17"/>
      <c r="DUJ32" s="17"/>
      <c r="DUK32" s="17"/>
      <c r="DUL32" s="17"/>
      <c r="DUM32" s="17"/>
      <c r="DUN32" s="17"/>
      <c r="DUO32" s="17"/>
      <c r="DUP32" s="17"/>
      <c r="DUQ32" s="17"/>
      <c r="DUR32" s="17"/>
      <c r="DUS32" s="17"/>
      <c r="DUT32" s="17"/>
      <c r="DUU32" s="17"/>
      <c r="DUV32" s="17"/>
      <c r="DUW32" s="17"/>
      <c r="DUX32" s="17"/>
      <c r="DUY32" s="17"/>
      <c r="DUZ32" s="17"/>
      <c r="DVA32" s="17"/>
      <c r="DVB32" s="17"/>
      <c r="DVC32" s="17"/>
      <c r="DVD32" s="17"/>
      <c r="DVE32" s="17"/>
      <c r="DVF32" s="17"/>
      <c r="DVG32" s="17"/>
      <c r="DVH32" s="17"/>
      <c r="DVI32" s="17"/>
      <c r="DVJ32" s="17"/>
      <c r="DVK32" s="17"/>
      <c r="DVL32" s="17"/>
      <c r="DVM32" s="17"/>
      <c r="DVN32" s="17"/>
      <c r="DVO32" s="17"/>
      <c r="DVP32" s="17"/>
      <c r="DVQ32" s="17"/>
      <c r="DVR32" s="17"/>
      <c r="DVS32" s="17"/>
      <c r="DVT32" s="17"/>
      <c r="DVU32" s="17"/>
      <c r="DVV32" s="17"/>
      <c r="DVW32" s="17"/>
      <c r="DVX32" s="17"/>
      <c r="DVY32" s="17"/>
      <c r="DVZ32" s="17"/>
      <c r="DWA32" s="17"/>
      <c r="DWB32" s="17"/>
      <c r="DWC32" s="17"/>
      <c r="DWD32" s="17"/>
      <c r="DWE32" s="17"/>
      <c r="DWF32" s="17"/>
      <c r="DWG32" s="17"/>
      <c r="DWH32" s="17"/>
      <c r="DWI32" s="17"/>
      <c r="DWJ32" s="17"/>
      <c r="DWK32" s="17"/>
      <c r="DWL32" s="17"/>
      <c r="DWM32" s="17"/>
      <c r="DWN32" s="17"/>
      <c r="DWO32" s="17"/>
      <c r="DWP32" s="17"/>
      <c r="DWQ32" s="17"/>
      <c r="DWR32" s="17"/>
      <c r="DWS32" s="17"/>
      <c r="DWT32" s="17"/>
      <c r="DWU32" s="17"/>
      <c r="DWV32" s="17"/>
      <c r="DWW32" s="17"/>
      <c r="DWX32" s="17"/>
      <c r="DWY32" s="17"/>
      <c r="DWZ32" s="17"/>
      <c r="DXA32" s="17"/>
      <c r="DXB32" s="17"/>
      <c r="DXC32" s="17"/>
      <c r="DXD32" s="17"/>
      <c r="DXE32" s="17"/>
      <c r="DXF32" s="17"/>
      <c r="DXG32" s="17"/>
      <c r="DXH32" s="17"/>
      <c r="DXI32" s="17"/>
      <c r="DXJ32" s="17"/>
      <c r="DXK32" s="17"/>
      <c r="DXL32" s="17"/>
      <c r="DXM32" s="17"/>
      <c r="DXN32" s="17"/>
      <c r="DXO32" s="17"/>
      <c r="DXP32" s="17"/>
      <c r="DXQ32" s="17"/>
      <c r="DXR32" s="17"/>
      <c r="DXS32" s="17"/>
      <c r="DXT32" s="17"/>
      <c r="DXU32" s="17"/>
      <c r="DXV32" s="17"/>
      <c r="DXW32" s="17"/>
      <c r="DXX32" s="17"/>
      <c r="DXY32" s="17"/>
      <c r="DXZ32" s="17"/>
      <c r="DYA32" s="17"/>
      <c r="DYB32" s="17"/>
      <c r="DYC32" s="17"/>
      <c r="DYD32" s="17"/>
      <c r="DYE32" s="17"/>
      <c r="DYF32" s="17"/>
      <c r="DYG32" s="17"/>
      <c r="DYH32" s="17"/>
      <c r="DYI32" s="17"/>
      <c r="DYJ32" s="17"/>
      <c r="DYK32" s="17"/>
      <c r="DYL32" s="17"/>
      <c r="DYM32" s="17"/>
      <c r="DYN32" s="17"/>
      <c r="DYO32" s="17"/>
      <c r="DYP32" s="17"/>
      <c r="DYQ32" s="17"/>
      <c r="DYR32" s="17"/>
      <c r="DYS32" s="17"/>
      <c r="DYT32" s="17"/>
      <c r="DYU32" s="17"/>
      <c r="DYV32" s="17"/>
      <c r="DYW32" s="17"/>
      <c r="DYX32" s="17"/>
      <c r="DYY32" s="17"/>
      <c r="DYZ32" s="17"/>
      <c r="DZA32" s="17"/>
      <c r="DZB32" s="17"/>
      <c r="DZC32" s="17"/>
      <c r="DZD32" s="17"/>
      <c r="DZE32" s="17"/>
      <c r="DZF32" s="17"/>
      <c r="DZG32" s="17"/>
      <c r="DZH32" s="17"/>
      <c r="DZI32" s="17"/>
      <c r="DZJ32" s="17"/>
      <c r="DZK32" s="17"/>
      <c r="DZL32" s="17"/>
      <c r="DZM32" s="17"/>
      <c r="DZN32" s="17"/>
      <c r="DZO32" s="17"/>
      <c r="DZP32" s="17"/>
      <c r="DZQ32" s="17"/>
      <c r="DZR32" s="17"/>
      <c r="DZS32" s="17"/>
      <c r="DZT32" s="17"/>
      <c r="DZU32" s="17"/>
      <c r="DZV32" s="17"/>
      <c r="DZW32" s="17"/>
      <c r="DZX32" s="17"/>
      <c r="DZY32" s="17"/>
      <c r="DZZ32" s="17"/>
      <c r="EAA32" s="17"/>
      <c r="EAB32" s="17"/>
      <c r="EAC32" s="17"/>
      <c r="EAD32" s="17"/>
      <c r="EAE32" s="17"/>
      <c r="EAF32" s="17"/>
      <c r="EAG32" s="17"/>
      <c r="EAH32" s="17"/>
      <c r="EAI32" s="17"/>
      <c r="EAJ32" s="17"/>
      <c r="EAK32" s="17"/>
      <c r="EAL32" s="17"/>
      <c r="EAM32" s="17"/>
      <c r="EAN32" s="17"/>
      <c r="EAO32" s="17"/>
      <c r="EAP32" s="17"/>
      <c r="EAQ32" s="17"/>
      <c r="EAR32" s="17"/>
      <c r="EAS32" s="17"/>
      <c r="EAT32" s="17"/>
      <c r="EAU32" s="17"/>
      <c r="EAV32" s="17"/>
      <c r="EAW32" s="17"/>
      <c r="EAX32" s="17"/>
      <c r="EAY32" s="17"/>
      <c r="EAZ32" s="17"/>
      <c r="EBA32" s="17"/>
      <c r="EBB32" s="17"/>
      <c r="EBC32" s="17"/>
      <c r="EBD32" s="17"/>
      <c r="EBE32" s="17"/>
      <c r="EBF32" s="17"/>
      <c r="EBG32" s="17"/>
      <c r="EBH32" s="17"/>
      <c r="EBI32" s="17"/>
      <c r="EBJ32" s="17"/>
      <c r="EBK32" s="17"/>
      <c r="EBL32" s="17"/>
      <c r="EBM32" s="17"/>
      <c r="EBN32" s="17"/>
      <c r="EBO32" s="17"/>
      <c r="EBP32" s="17"/>
      <c r="EBQ32" s="17"/>
      <c r="EBR32" s="17"/>
      <c r="EBS32" s="17"/>
      <c r="EBT32" s="17"/>
      <c r="EBU32" s="17"/>
      <c r="EBV32" s="17"/>
      <c r="EBW32" s="17"/>
      <c r="EBX32" s="17"/>
      <c r="EBY32" s="17"/>
      <c r="EBZ32" s="17"/>
      <c r="ECA32" s="17"/>
      <c r="ECB32" s="17"/>
      <c r="ECC32" s="17"/>
      <c r="ECD32" s="17"/>
      <c r="ECE32" s="17"/>
      <c r="ECF32" s="17"/>
      <c r="ECG32" s="17"/>
      <c r="ECH32" s="17"/>
      <c r="ECI32" s="17"/>
      <c r="ECJ32" s="17"/>
      <c r="ECK32" s="17"/>
      <c r="ECL32" s="17"/>
      <c r="ECM32" s="17"/>
      <c r="ECN32" s="17"/>
      <c r="ECO32" s="17"/>
      <c r="ECP32" s="17"/>
      <c r="ECQ32" s="17"/>
      <c r="ECR32" s="17"/>
      <c r="ECS32" s="17"/>
      <c r="ECT32" s="17"/>
      <c r="ECU32" s="17"/>
      <c r="ECV32" s="17"/>
      <c r="ECW32" s="17"/>
      <c r="ECX32" s="17"/>
      <c r="ECY32" s="17"/>
      <c r="ECZ32" s="17"/>
      <c r="EDA32" s="17"/>
      <c r="EDB32" s="17"/>
      <c r="EDC32" s="17"/>
      <c r="EDD32" s="17"/>
      <c r="EDE32" s="17"/>
      <c r="EDF32" s="17"/>
      <c r="EDG32" s="17"/>
      <c r="EDH32" s="17"/>
      <c r="EDI32" s="17"/>
      <c r="EDJ32" s="17"/>
      <c r="EDK32" s="17"/>
      <c r="EDL32" s="17"/>
      <c r="EDM32" s="17"/>
      <c r="EDN32" s="17"/>
      <c r="EDO32" s="17"/>
      <c r="EDP32" s="17"/>
      <c r="EDQ32" s="17"/>
      <c r="EDR32" s="17"/>
      <c r="EDS32" s="17"/>
      <c r="EDT32" s="17"/>
      <c r="EDU32" s="17"/>
      <c r="EDV32" s="17"/>
      <c r="EDW32" s="17"/>
      <c r="EDX32" s="17"/>
      <c r="EDY32" s="17"/>
      <c r="EDZ32" s="17"/>
      <c r="EEA32" s="17"/>
      <c r="EEB32" s="17"/>
      <c r="EEC32" s="17"/>
      <c r="EED32" s="17"/>
      <c r="EEE32" s="17"/>
      <c r="EEF32" s="17"/>
      <c r="EEG32" s="17"/>
      <c r="EEH32" s="17"/>
      <c r="EEI32" s="17"/>
      <c r="EEJ32" s="17"/>
      <c r="EEK32" s="17"/>
      <c r="EEL32" s="17"/>
      <c r="EEM32" s="17"/>
      <c r="EEN32" s="17"/>
      <c r="EEO32" s="17"/>
      <c r="EEP32" s="17"/>
      <c r="EEQ32" s="17"/>
      <c r="EER32" s="17"/>
      <c r="EES32" s="17"/>
      <c r="EET32" s="17"/>
      <c r="EEU32" s="17"/>
      <c r="EEV32" s="17"/>
      <c r="EEW32" s="17"/>
      <c r="EEX32" s="17"/>
      <c r="EEY32" s="17"/>
      <c r="EEZ32" s="17"/>
      <c r="EFA32" s="17"/>
      <c r="EFB32" s="17"/>
      <c r="EFC32" s="17"/>
      <c r="EFD32" s="17"/>
      <c r="EFE32" s="17"/>
      <c r="EFF32" s="17"/>
      <c r="EFG32" s="17"/>
      <c r="EFH32" s="17"/>
      <c r="EFI32" s="17"/>
      <c r="EFJ32" s="17"/>
      <c r="EFK32" s="17"/>
      <c r="EFL32" s="17"/>
      <c r="EFM32" s="17"/>
      <c r="EFN32" s="17"/>
      <c r="EFO32" s="17"/>
      <c r="EFP32" s="17"/>
      <c r="EFQ32" s="17"/>
      <c r="EFR32" s="17"/>
      <c r="EFS32" s="17"/>
      <c r="EFT32" s="17"/>
      <c r="EFU32" s="17"/>
      <c r="EFV32" s="17"/>
      <c r="EFW32" s="17"/>
      <c r="EFX32" s="17"/>
      <c r="EFY32" s="17"/>
      <c r="EFZ32" s="17"/>
      <c r="EGA32" s="17"/>
      <c r="EGB32" s="17"/>
      <c r="EGC32" s="17"/>
      <c r="EGD32" s="17"/>
      <c r="EGE32" s="17"/>
      <c r="EGF32" s="17"/>
      <c r="EGG32" s="17"/>
      <c r="EGH32" s="17"/>
      <c r="EGI32" s="17"/>
      <c r="EGJ32" s="17"/>
      <c r="EGK32" s="17"/>
      <c r="EGL32" s="17"/>
      <c r="EGM32" s="17"/>
      <c r="EGN32" s="17"/>
      <c r="EGO32" s="17"/>
      <c r="EGP32" s="17"/>
      <c r="EGQ32" s="17"/>
      <c r="EGR32" s="17"/>
      <c r="EGS32" s="17"/>
      <c r="EGT32" s="17"/>
      <c r="EGU32" s="17"/>
      <c r="EGV32" s="17"/>
      <c r="EGW32" s="17"/>
      <c r="EGX32" s="17"/>
      <c r="EGY32" s="17"/>
      <c r="EGZ32" s="17"/>
      <c r="EHA32" s="17"/>
      <c r="EHB32" s="17"/>
      <c r="EHC32" s="17"/>
      <c r="EHD32" s="17"/>
      <c r="EHE32" s="17"/>
      <c r="EHF32" s="17"/>
      <c r="EHG32" s="17"/>
      <c r="EHH32" s="17"/>
      <c r="EHI32" s="17"/>
      <c r="EHJ32" s="17"/>
      <c r="EHK32" s="17"/>
      <c r="EHL32" s="17"/>
      <c r="EHM32" s="17"/>
      <c r="EHN32" s="17"/>
      <c r="EHO32" s="17"/>
      <c r="EHP32" s="17"/>
      <c r="EHQ32" s="17"/>
      <c r="EHR32" s="17"/>
      <c r="EHS32" s="17"/>
      <c r="EHT32" s="17"/>
      <c r="EHU32" s="17"/>
      <c r="EHV32" s="17"/>
      <c r="EHW32" s="17"/>
      <c r="EHX32" s="17"/>
      <c r="EHY32" s="17"/>
      <c r="EHZ32" s="17"/>
      <c r="EIA32" s="17"/>
      <c r="EIB32" s="17"/>
      <c r="EIC32" s="17"/>
      <c r="EID32" s="17"/>
      <c r="EIE32" s="17"/>
      <c r="EIF32" s="17"/>
      <c r="EIG32" s="17"/>
      <c r="EIH32" s="17"/>
      <c r="EII32" s="17"/>
      <c r="EIJ32" s="17"/>
      <c r="EIK32" s="17"/>
      <c r="EIL32" s="17"/>
      <c r="EIM32" s="17"/>
      <c r="EIN32" s="17"/>
      <c r="EIO32" s="17"/>
      <c r="EIP32" s="17"/>
      <c r="EIQ32" s="17"/>
      <c r="EIR32" s="17"/>
      <c r="EIS32" s="17"/>
      <c r="EIT32" s="17"/>
      <c r="EIU32" s="17"/>
      <c r="EIV32" s="17"/>
      <c r="EIW32" s="17"/>
      <c r="EIX32" s="17"/>
      <c r="EIY32" s="17"/>
      <c r="EIZ32" s="17"/>
      <c r="EJA32" s="17"/>
      <c r="EJB32" s="17"/>
      <c r="EJC32" s="17"/>
      <c r="EJD32" s="17"/>
      <c r="EJE32" s="17"/>
      <c r="EJF32" s="17"/>
      <c r="EJG32" s="17"/>
      <c r="EJH32" s="17"/>
      <c r="EJI32" s="17"/>
      <c r="EJJ32" s="17"/>
      <c r="EJK32" s="17"/>
      <c r="EJL32" s="17"/>
      <c r="EJM32" s="17"/>
      <c r="EJN32" s="17"/>
      <c r="EJO32" s="17"/>
      <c r="EJP32" s="17"/>
      <c r="EJQ32" s="17"/>
      <c r="EJR32" s="17"/>
      <c r="EJS32" s="17"/>
      <c r="EJT32" s="17"/>
      <c r="EJU32" s="17"/>
      <c r="EJV32" s="17"/>
      <c r="EJW32" s="17"/>
      <c r="EJX32" s="17"/>
      <c r="EJY32" s="17"/>
      <c r="EJZ32" s="17"/>
      <c r="EKA32" s="17"/>
      <c r="EKB32" s="17"/>
      <c r="EKC32" s="17"/>
      <c r="EKD32" s="17"/>
      <c r="EKE32" s="17"/>
      <c r="EKF32" s="17"/>
      <c r="EKG32" s="17"/>
      <c r="EKH32" s="17"/>
      <c r="EKI32" s="17"/>
      <c r="EKJ32" s="17"/>
      <c r="EKK32" s="17"/>
      <c r="EKL32" s="17"/>
      <c r="EKM32" s="17"/>
      <c r="EKN32" s="17"/>
      <c r="EKO32" s="17"/>
      <c r="EKP32" s="17"/>
      <c r="EKQ32" s="17"/>
      <c r="EKR32" s="17"/>
      <c r="EKS32" s="17"/>
      <c r="EKT32" s="17"/>
      <c r="EKU32" s="17"/>
      <c r="EKV32" s="17"/>
      <c r="EKW32" s="17"/>
      <c r="EKX32" s="17"/>
      <c r="EKY32" s="17"/>
      <c r="EKZ32" s="17"/>
      <c r="ELA32" s="17"/>
      <c r="ELB32" s="17"/>
      <c r="ELC32" s="17"/>
      <c r="ELD32" s="17"/>
      <c r="ELE32" s="17"/>
      <c r="ELF32" s="17"/>
      <c r="ELG32" s="17"/>
      <c r="ELH32" s="17"/>
      <c r="ELI32" s="17"/>
      <c r="ELJ32" s="17"/>
      <c r="ELK32" s="17"/>
      <c r="ELL32" s="17"/>
      <c r="ELM32" s="17"/>
      <c r="ELN32" s="17"/>
      <c r="ELO32" s="17"/>
      <c r="ELP32" s="17"/>
      <c r="ELQ32" s="17"/>
      <c r="ELR32" s="17"/>
      <c r="ELS32" s="17"/>
      <c r="ELT32" s="17"/>
      <c r="ELU32" s="17"/>
      <c r="ELV32" s="17"/>
      <c r="ELW32" s="17"/>
      <c r="ELX32" s="17"/>
      <c r="ELY32" s="17"/>
      <c r="ELZ32" s="17"/>
      <c r="EMA32" s="17"/>
      <c r="EMB32" s="17"/>
      <c r="EMC32" s="17"/>
      <c r="EMD32" s="17"/>
      <c r="EME32" s="17"/>
      <c r="EMF32" s="17"/>
      <c r="EMG32" s="17"/>
      <c r="EMH32" s="17"/>
      <c r="EMI32" s="17"/>
      <c r="EMJ32" s="17"/>
      <c r="EMK32" s="17"/>
      <c r="EML32" s="17"/>
      <c r="EMM32" s="17"/>
      <c r="EMN32" s="17"/>
      <c r="EMO32" s="17"/>
      <c r="EMP32" s="17"/>
      <c r="EMQ32" s="17"/>
      <c r="EMR32" s="17"/>
      <c r="EMS32" s="17"/>
      <c r="EMT32" s="17"/>
      <c r="EMU32" s="17"/>
      <c r="EMV32" s="17"/>
      <c r="EMW32" s="17"/>
      <c r="EMX32" s="17"/>
      <c r="EMY32" s="17"/>
      <c r="EMZ32" s="17"/>
      <c r="ENA32" s="17"/>
      <c r="ENB32" s="17"/>
      <c r="ENC32" s="17"/>
      <c r="END32" s="17"/>
      <c r="ENE32" s="17"/>
      <c r="ENF32" s="17"/>
      <c r="ENG32" s="17"/>
      <c r="ENH32" s="17"/>
      <c r="ENI32" s="17"/>
      <c r="ENJ32" s="17"/>
      <c r="ENK32" s="17"/>
      <c r="ENL32" s="17"/>
      <c r="ENM32" s="17"/>
      <c r="ENN32" s="17"/>
      <c r="ENO32" s="17"/>
      <c r="ENP32" s="17"/>
      <c r="ENQ32" s="17"/>
      <c r="ENR32" s="17"/>
      <c r="ENS32" s="17"/>
      <c r="ENT32" s="17"/>
      <c r="ENU32" s="17"/>
      <c r="ENV32" s="17"/>
      <c r="ENW32" s="17"/>
      <c r="ENX32" s="17"/>
      <c r="ENY32" s="17"/>
      <c r="ENZ32" s="17"/>
      <c r="EOA32" s="17"/>
      <c r="EOB32" s="17"/>
      <c r="EOC32" s="17"/>
      <c r="EOD32" s="17"/>
      <c r="EOE32" s="17"/>
      <c r="EOF32" s="17"/>
      <c r="EOG32" s="17"/>
      <c r="EOH32" s="17"/>
      <c r="EOI32" s="17"/>
      <c r="EOJ32" s="17"/>
      <c r="EOK32" s="17"/>
      <c r="EOL32" s="17"/>
      <c r="EOM32" s="17"/>
      <c r="EON32" s="17"/>
      <c r="EOO32" s="17"/>
      <c r="EOP32" s="17"/>
      <c r="EOQ32" s="17"/>
      <c r="EOR32" s="17"/>
      <c r="EOS32" s="17"/>
      <c r="EOT32" s="17"/>
      <c r="EOU32" s="17"/>
      <c r="EOV32" s="17"/>
      <c r="EOW32" s="17"/>
      <c r="EOX32" s="17"/>
      <c r="EOY32" s="17"/>
      <c r="EOZ32" s="17"/>
      <c r="EPA32" s="17"/>
      <c r="EPB32" s="17"/>
      <c r="EPC32" s="17"/>
      <c r="EPD32" s="17"/>
      <c r="EPE32" s="17"/>
      <c r="EPF32" s="17"/>
      <c r="EPG32" s="17"/>
      <c r="EPH32" s="17"/>
      <c r="EPI32" s="17"/>
      <c r="EPJ32" s="17"/>
      <c r="EPK32" s="17"/>
      <c r="EPL32" s="17"/>
      <c r="EPM32" s="17"/>
      <c r="EPN32" s="17"/>
      <c r="EPO32" s="17"/>
      <c r="EPP32" s="17"/>
      <c r="EPQ32" s="17"/>
      <c r="EPR32" s="17"/>
      <c r="EPS32" s="17"/>
      <c r="EPT32" s="17"/>
      <c r="EPU32" s="17"/>
      <c r="EPV32" s="17"/>
      <c r="EPW32" s="17"/>
      <c r="EPX32" s="17"/>
      <c r="EPY32" s="17"/>
      <c r="EPZ32" s="17"/>
      <c r="EQA32" s="17"/>
      <c r="EQB32" s="17"/>
      <c r="EQC32" s="17"/>
      <c r="EQD32" s="17"/>
      <c r="EQE32" s="17"/>
      <c r="EQF32" s="17"/>
      <c r="EQG32" s="17"/>
      <c r="EQH32" s="17"/>
      <c r="EQI32" s="17"/>
      <c r="EQJ32" s="17"/>
      <c r="EQK32" s="17"/>
      <c r="EQL32" s="17"/>
      <c r="EQM32" s="17"/>
      <c r="EQN32" s="17"/>
      <c r="EQO32" s="17"/>
      <c r="EQP32" s="17"/>
      <c r="EQQ32" s="17"/>
      <c r="EQR32" s="17"/>
      <c r="EQS32" s="17"/>
      <c r="EQT32" s="17"/>
      <c r="EQU32" s="17"/>
      <c r="EQV32" s="17"/>
      <c r="EQW32" s="17"/>
      <c r="EQX32" s="17"/>
      <c r="EQY32" s="17"/>
      <c r="EQZ32" s="17"/>
      <c r="ERA32" s="17"/>
      <c r="ERB32" s="17"/>
      <c r="ERC32" s="17"/>
      <c r="ERD32" s="17"/>
      <c r="ERE32" s="17"/>
      <c r="ERF32" s="17"/>
      <c r="ERG32" s="17"/>
      <c r="ERH32" s="17"/>
      <c r="ERI32" s="17"/>
      <c r="ERJ32" s="17"/>
      <c r="ERK32" s="17"/>
      <c r="ERL32" s="17"/>
      <c r="ERM32" s="17"/>
      <c r="ERN32" s="17"/>
      <c r="ERO32" s="17"/>
      <c r="ERP32" s="17"/>
      <c r="ERQ32" s="17"/>
      <c r="ERR32" s="17"/>
      <c r="ERS32" s="17"/>
      <c r="ERT32" s="17"/>
      <c r="ERU32" s="17"/>
      <c r="ERV32" s="17"/>
      <c r="ERW32" s="17"/>
      <c r="ERX32" s="17"/>
      <c r="ERY32" s="17"/>
      <c r="ERZ32" s="17"/>
      <c r="ESA32" s="17"/>
      <c r="ESB32" s="17"/>
      <c r="ESC32" s="17"/>
      <c r="ESD32" s="17"/>
      <c r="ESE32" s="17"/>
      <c r="ESF32" s="17"/>
      <c r="ESG32" s="17"/>
      <c r="ESH32" s="17"/>
      <c r="ESI32" s="17"/>
      <c r="ESJ32" s="17"/>
      <c r="ESK32" s="17"/>
      <c r="ESL32" s="17"/>
      <c r="ESM32" s="17"/>
      <c r="ESN32" s="17"/>
      <c r="ESO32" s="17"/>
      <c r="ESP32" s="17"/>
      <c r="ESQ32" s="17"/>
      <c r="ESR32" s="17"/>
      <c r="ESS32" s="17"/>
      <c r="EST32" s="17"/>
      <c r="ESU32" s="17"/>
      <c r="ESV32" s="17"/>
      <c r="ESW32" s="17"/>
      <c r="ESX32" s="17"/>
      <c r="ESY32" s="17"/>
      <c r="ESZ32" s="17"/>
      <c r="ETA32" s="17"/>
      <c r="ETB32" s="17"/>
      <c r="ETC32" s="17"/>
      <c r="ETD32" s="17"/>
      <c r="ETE32" s="17"/>
      <c r="ETF32" s="17"/>
      <c r="ETG32" s="17"/>
      <c r="ETH32" s="17"/>
      <c r="ETI32" s="17"/>
      <c r="ETJ32" s="17"/>
      <c r="ETK32" s="17"/>
      <c r="ETL32" s="17"/>
      <c r="ETM32" s="17"/>
      <c r="ETN32" s="17"/>
      <c r="ETO32" s="17"/>
      <c r="ETP32" s="17"/>
      <c r="ETQ32" s="17"/>
      <c r="ETR32" s="17"/>
      <c r="ETS32" s="17"/>
      <c r="ETT32" s="17"/>
      <c r="ETU32" s="17"/>
      <c r="ETV32" s="17"/>
      <c r="ETW32" s="17"/>
      <c r="ETX32" s="17"/>
      <c r="ETY32" s="17"/>
      <c r="ETZ32" s="17"/>
      <c r="EUA32" s="17"/>
      <c r="EUB32" s="17"/>
      <c r="EUC32" s="17"/>
      <c r="EUD32" s="17"/>
      <c r="EUE32" s="17"/>
      <c r="EUF32" s="17"/>
      <c r="EUG32" s="17"/>
      <c r="EUH32" s="17"/>
      <c r="EUI32" s="17"/>
      <c r="EUJ32" s="17"/>
      <c r="EUK32" s="17"/>
      <c r="EUL32" s="17"/>
      <c r="EUM32" s="17"/>
      <c r="EUN32" s="17"/>
      <c r="EUO32" s="17"/>
      <c r="EUP32" s="17"/>
      <c r="EUQ32" s="17"/>
      <c r="EUR32" s="17"/>
      <c r="EUS32" s="17"/>
      <c r="EUT32" s="17"/>
      <c r="EUU32" s="17"/>
      <c r="EUV32" s="17"/>
      <c r="EUW32" s="17"/>
      <c r="EUX32" s="17"/>
      <c r="EUY32" s="17"/>
      <c r="EUZ32" s="17"/>
      <c r="EVA32" s="17"/>
      <c r="EVB32" s="17"/>
      <c r="EVC32" s="17"/>
      <c r="EVD32" s="17"/>
      <c r="EVE32" s="17"/>
      <c r="EVF32" s="17"/>
      <c r="EVG32" s="17"/>
      <c r="EVH32" s="17"/>
      <c r="EVI32" s="17"/>
      <c r="EVJ32" s="17"/>
      <c r="EVK32" s="17"/>
      <c r="EVL32" s="17"/>
      <c r="EVM32" s="17"/>
      <c r="EVN32" s="17"/>
      <c r="EVO32" s="17"/>
      <c r="EVP32" s="17"/>
      <c r="EVQ32" s="17"/>
      <c r="EVR32" s="17"/>
      <c r="EVS32" s="17"/>
      <c r="EVT32" s="17"/>
      <c r="EVU32" s="17"/>
      <c r="EVV32" s="17"/>
      <c r="EVW32" s="17"/>
      <c r="EVX32" s="17"/>
      <c r="EVY32" s="17"/>
      <c r="EVZ32" s="17"/>
      <c r="EWA32" s="17"/>
      <c r="EWB32" s="17"/>
      <c r="EWC32" s="17"/>
      <c r="EWD32" s="17"/>
      <c r="EWE32" s="17"/>
      <c r="EWF32" s="17"/>
      <c r="EWG32" s="17"/>
      <c r="EWH32" s="17"/>
      <c r="EWI32" s="17"/>
      <c r="EWJ32" s="17"/>
      <c r="EWK32" s="17"/>
      <c r="EWL32" s="17"/>
      <c r="EWM32" s="17"/>
      <c r="EWN32" s="17"/>
      <c r="EWO32" s="17"/>
      <c r="EWP32" s="17"/>
      <c r="EWQ32" s="17"/>
      <c r="EWR32" s="17"/>
      <c r="EWS32" s="17"/>
      <c r="EWT32" s="17"/>
      <c r="EWU32" s="17"/>
      <c r="EWV32" s="17"/>
      <c r="EWW32" s="17"/>
      <c r="EWX32" s="17"/>
      <c r="EWY32" s="17"/>
      <c r="EWZ32" s="17"/>
      <c r="EXA32" s="17"/>
      <c r="EXB32" s="17"/>
      <c r="EXC32" s="17"/>
      <c r="EXD32" s="17"/>
      <c r="EXE32" s="17"/>
      <c r="EXF32" s="17"/>
      <c r="EXG32" s="17"/>
      <c r="EXH32" s="17"/>
      <c r="EXI32" s="17"/>
      <c r="EXJ32" s="17"/>
      <c r="EXK32" s="17"/>
      <c r="EXL32" s="17"/>
      <c r="EXM32" s="17"/>
      <c r="EXN32" s="17"/>
      <c r="EXO32" s="17"/>
      <c r="EXP32" s="17"/>
      <c r="EXQ32" s="17"/>
      <c r="EXR32" s="17"/>
      <c r="EXS32" s="17"/>
      <c r="EXT32" s="17"/>
      <c r="EXU32" s="17"/>
      <c r="EXV32" s="17"/>
      <c r="EXW32" s="17"/>
      <c r="EXX32" s="17"/>
      <c r="EXY32" s="17"/>
      <c r="EXZ32" s="17"/>
      <c r="EYA32" s="17"/>
      <c r="EYB32" s="17"/>
      <c r="EYC32" s="17"/>
      <c r="EYD32" s="17"/>
      <c r="EYE32" s="17"/>
      <c r="EYF32" s="17"/>
      <c r="EYG32" s="17"/>
      <c r="EYH32" s="17"/>
      <c r="EYI32" s="17"/>
      <c r="EYJ32" s="17"/>
      <c r="EYK32" s="17"/>
      <c r="EYL32" s="17"/>
      <c r="EYM32" s="17"/>
      <c r="EYN32" s="17"/>
      <c r="EYO32" s="17"/>
      <c r="EYP32" s="17"/>
      <c r="EYQ32" s="17"/>
      <c r="EYR32" s="17"/>
      <c r="EYS32" s="17"/>
      <c r="EYT32" s="17"/>
      <c r="EYU32" s="17"/>
      <c r="EYV32" s="17"/>
      <c r="EYW32" s="17"/>
      <c r="EYX32" s="17"/>
      <c r="EYY32" s="17"/>
      <c r="EYZ32" s="17"/>
      <c r="EZA32" s="17"/>
      <c r="EZB32" s="17"/>
      <c r="EZC32" s="17"/>
      <c r="EZD32" s="17"/>
      <c r="EZE32" s="17"/>
      <c r="EZF32" s="17"/>
      <c r="EZG32" s="17"/>
      <c r="EZH32" s="17"/>
      <c r="EZI32" s="17"/>
      <c r="EZJ32" s="17"/>
      <c r="EZK32" s="17"/>
      <c r="EZL32" s="17"/>
      <c r="EZM32" s="17"/>
      <c r="EZN32" s="17"/>
      <c r="EZO32" s="17"/>
      <c r="EZP32" s="17"/>
      <c r="EZQ32" s="17"/>
      <c r="EZR32" s="17"/>
      <c r="EZS32" s="17"/>
      <c r="EZT32" s="17"/>
      <c r="EZU32" s="17"/>
      <c r="EZV32" s="17"/>
      <c r="EZW32" s="17"/>
      <c r="EZX32" s="17"/>
      <c r="EZY32" s="17"/>
      <c r="EZZ32" s="17"/>
      <c r="FAA32" s="17"/>
      <c r="FAB32" s="17"/>
      <c r="FAC32" s="17"/>
      <c r="FAD32" s="17"/>
      <c r="FAE32" s="17"/>
      <c r="FAF32" s="17"/>
      <c r="FAG32" s="17"/>
      <c r="FAH32" s="17"/>
      <c r="FAI32" s="17"/>
      <c r="FAJ32" s="17"/>
      <c r="FAK32" s="17"/>
      <c r="FAL32" s="17"/>
      <c r="FAM32" s="17"/>
      <c r="FAN32" s="17"/>
      <c r="FAO32" s="17"/>
      <c r="FAP32" s="17"/>
      <c r="FAQ32" s="17"/>
      <c r="FAR32" s="17"/>
      <c r="FAS32" s="17"/>
      <c r="FAT32" s="17"/>
      <c r="FAU32" s="17"/>
      <c r="FAV32" s="17"/>
      <c r="FAW32" s="17"/>
      <c r="FAX32" s="17"/>
      <c r="FAY32" s="17"/>
      <c r="FAZ32" s="17"/>
      <c r="FBA32" s="17"/>
      <c r="FBB32" s="17"/>
      <c r="FBC32" s="17"/>
      <c r="FBD32" s="17"/>
      <c r="FBE32" s="17"/>
      <c r="FBF32" s="17"/>
      <c r="FBG32" s="17"/>
      <c r="FBH32" s="17"/>
      <c r="FBI32" s="17"/>
      <c r="FBJ32" s="17"/>
      <c r="FBK32" s="17"/>
      <c r="FBL32" s="17"/>
      <c r="FBM32" s="17"/>
      <c r="FBN32" s="17"/>
      <c r="FBO32" s="17"/>
      <c r="FBP32" s="17"/>
      <c r="FBQ32" s="17"/>
      <c r="FBR32" s="17"/>
      <c r="FBS32" s="17"/>
      <c r="FBT32" s="17"/>
      <c r="FBU32" s="17"/>
      <c r="FBV32" s="17"/>
      <c r="FBW32" s="17"/>
      <c r="FBX32" s="17"/>
      <c r="FBY32" s="17"/>
      <c r="FBZ32" s="17"/>
      <c r="FCA32" s="17"/>
      <c r="FCB32" s="17"/>
      <c r="FCC32" s="17"/>
      <c r="FCD32" s="17"/>
      <c r="FCE32" s="17"/>
      <c r="FCF32" s="17"/>
      <c r="FCG32" s="17"/>
      <c r="FCH32" s="17"/>
      <c r="FCI32" s="17"/>
      <c r="FCJ32" s="17"/>
      <c r="FCK32" s="17"/>
      <c r="FCL32" s="17"/>
      <c r="FCM32" s="17"/>
      <c r="FCN32" s="17"/>
      <c r="FCO32" s="17"/>
      <c r="FCP32" s="17"/>
      <c r="FCQ32" s="17"/>
      <c r="FCR32" s="17"/>
      <c r="FCS32" s="17"/>
      <c r="FCT32" s="17"/>
      <c r="FCU32" s="17"/>
      <c r="FCV32" s="17"/>
      <c r="FCW32" s="17"/>
      <c r="FCX32" s="17"/>
      <c r="FCY32" s="17"/>
      <c r="FCZ32" s="17"/>
      <c r="FDA32" s="17"/>
      <c r="FDB32" s="17"/>
      <c r="FDC32" s="17"/>
      <c r="FDD32" s="17"/>
      <c r="FDE32" s="17"/>
      <c r="FDF32" s="17"/>
      <c r="FDG32" s="17"/>
      <c r="FDH32" s="17"/>
      <c r="FDI32" s="17"/>
      <c r="FDJ32" s="17"/>
      <c r="FDK32" s="17"/>
      <c r="FDL32" s="17"/>
      <c r="FDM32" s="17"/>
      <c r="FDN32" s="17"/>
      <c r="FDO32" s="17"/>
      <c r="FDP32" s="17"/>
      <c r="FDQ32" s="17"/>
      <c r="FDR32" s="17"/>
      <c r="FDS32" s="17"/>
      <c r="FDT32" s="17"/>
      <c r="FDU32" s="17"/>
      <c r="FDV32" s="17"/>
      <c r="FDW32" s="17"/>
      <c r="FDX32" s="17"/>
      <c r="FDY32" s="17"/>
      <c r="FDZ32" s="17"/>
      <c r="FEA32" s="17"/>
      <c r="FEB32" s="17"/>
      <c r="FEC32" s="17"/>
      <c r="FED32" s="17"/>
      <c r="FEE32" s="17"/>
      <c r="FEF32" s="17"/>
      <c r="FEG32" s="17"/>
      <c r="FEH32" s="17"/>
      <c r="FEI32" s="17"/>
      <c r="FEJ32" s="17"/>
      <c r="FEK32" s="17"/>
      <c r="FEL32" s="17"/>
      <c r="FEM32" s="17"/>
      <c r="FEN32" s="17"/>
      <c r="FEO32" s="17"/>
      <c r="FEP32" s="17"/>
      <c r="FEQ32" s="17"/>
      <c r="FER32" s="17"/>
      <c r="FES32" s="17"/>
      <c r="FET32" s="17"/>
      <c r="FEU32" s="17"/>
      <c r="FEV32" s="17"/>
      <c r="FEW32" s="17"/>
      <c r="FEX32" s="17"/>
      <c r="FEY32" s="17"/>
      <c r="FEZ32" s="17"/>
      <c r="FFA32" s="17"/>
      <c r="FFB32" s="17"/>
      <c r="FFC32" s="17"/>
      <c r="FFD32" s="17"/>
      <c r="FFE32" s="17"/>
      <c r="FFF32" s="17"/>
      <c r="FFG32" s="17"/>
      <c r="FFH32" s="17"/>
      <c r="FFI32" s="17"/>
      <c r="FFJ32" s="17"/>
      <c r="FFK32" s="17"/>
      <c r="FFL32" s="17"/>
      <c r="FFM32" s="17"/>
      <c r="FFN32" s="17"/>
      <c r="FFO32" s="17"/>
      <c r="FFP32" s="17"/>
      <c r="FFQ32" s="17"/>
      <c r="FFR32" s="17"/>
      <c r="FFS32" s="17"/>
      <c r="FFT32" s="17"/>
      <c r="FFU32" s="17"/>
      <c r="FFV32" s="17"/>
      <c r="FFW32" s="17"/>
      <c r="FFX32" s="17"/>
      <c r="FFY32" s="17"/>
      <c r="FFZ32" s="17"/>
      <c r="FGA32" s="17"/>
      <c r="FGB32" s="17"/>
      <c r="FGC32" s="17"/>
      <c r="FGD32" s="17"/>
      <c r="FGE32" s="17"/>
      <c r="FGF32" s="17"/>
      <c r="FGG32" s="17"/>
      <c r="FGH32" s="17"/>
      <c r="FGI32" s="17"/>
      <c r="FGJ32" s="17"/>
      <c r="FGK32" s="17"/>
      <c r="FGL32" s="17"/>
      <c r="FGM32" s="17"/>
      <c r="FGN32" s="17"/>
      <c r="FGO32" s="17"/>
      <c r="FGP32" s="17"/>
      <c r="FGQ32" s="17"/>
      <c r="FGR32" s="17"/>
      <c r="FGS32" s="17"/>
      <c r="FGT32" s="17"/>
      <c r="FGU32" s="17"/>
      <c r="FGV32" s="17"/>
      <c r="FGW32" s="17"/>
      <c r="FGX32" s="17"/>
      <c r="FGY32" s="17"/>
      <c r="FGZ32" s="17"/>
      <c r="FHA32" s="17"/>
      <c r="FHB32" s="17"/>
      <c r="FHC32" s="17"/>
      <c r="FHD32" s="17"/>
      <c r="FHE32" s="17"/>
      <c r="FHF32" s="17"/>
      <c r="FHG32" s="17"/>
      <c r="FHH32" s="17"/>
      <c r="FHI32" s="17"/>
      <c r="FHJ32" s="17"/>
      <c r="FHK32" s="17"/>
      <c r="FHL32" s="17"/>
      <c r="FHM32" s="17"/>
      <c r="FHN32" s="17"/>
      <c r="FHO32" s="17"/>
      <c r="FHP32" s="17"/>
      <c r="FHQ32" s="17"/>
      <c r="FHR32" s="17"/>
      <c r="FHS32" s="17"/>
      <c r="FHT32" s="17"/>
      <c r="FHU32" s="17"/>
      <c r="FHV32" s="17"/>
      <c r="FHW32" s="17"/>
      <c r="FHX32" s="17"/>
      <c r="FHY32" s="17"/>
      <c r="FHZ32" s="17"/>
      <c r="FIA32" s="17"/>
      <c r="FIB32" s="17"/>
      <c r="FIC32" s="17"/>
      <c r="FID32" s="17"/>
      <c r="FIE32" s="17"/>
      <c r="FIF32" s="17"/>
      <c r="FIG32" s="17"/>
      <c r="FIH32" s="17"/>
      <c r="FII32" s="17"/>
      <c r="FIJ32" s="17"/>
      <c r="FIK32" s="17"/>
      <c r="FIL32" s="17"/>
      <c r="FIM32" s="17"/>
      <c r="FIN32" s="17"/>
      <c r="FIO32" s="17"/>
      <c r="FIP32" s="17"/>
      <c r="FIQ32" s="17"/>
      <c r="FIR32" s="17"/>
      <c r="FIS32" s="17"/>
      <c r="FIT32" s="17"/>
      <c r="FIU32" s="17"/>
      <c r="FIV32" s="17"/>
      <c r="FIW32" s="17"/>
      <c r="FIX32" s="17"/>
      <c r="FIY32" s="17"/>
      <c r="FIZ32" s="17"/>
      <c r="FJA32" s="17"/>
      <c r="FJB32" s="17"/>
      <c r="FJC32" s="17"/>
      <c r="FJD32" s="17"/>
      <c r="FJE32" s="17"/>
      <c r="FJF32" s="17"/>
      <c r="FJG32" s="17"/>
      <c r="FJH32" s="17"/>
      <c r="FJI32" s="17"/>
      <c r="FJJ32" s="17"/>
      <c r="FJK32" s="17"/>
      <c r="FJL32" s="17"/>
      <c r="FJM32" s="17"/>
      <c r="FJN32" s="17"/>
      <c r="FJO32" s="17"/>
      <c r="FJP32" s="17"/>
      <c r="FJQ32" s="17"/>
      <c r="FJR32" s="17"/>
      <c r="FJS32" s="17"/>
      <c r="FJT32" s="17"/>
      <c r="FJU32" s="17"/>
      <c r="FJV32" s="17"/>
      <c r="FJW32" s="17"/>
      <c r="FJX32" s="17"/>
      <c r="FJY32" s="17"/>
      <c r="FJZ32" s="17"/>
      <c r="FKA32" s="17"/>
      <c r="FKB32" s="17"/>
      <c r="FKC32" s="17"/>
      <c r="FKD32" s="17"/>
      <c r="FKE32" s="17"/>
      <c r="FKF32" s="17"/>
      <c r="FKG32" s="17"/>
      <c r="FKH32" s="17"/>
      <c r="FKI32" s="17"/>
      <c r="FKJ32" s="17"/>
      <c r="FKK32" s="17"/>
      <c r="FKL32" s="17"/>
      <c r="FKM32" s="17"/>
      <c r="FKN32" s="17"/>
      <c r="FKO32" s="17"/>
      <c r="FKP32" s="17"/>
      <c r="FKQ32" s="17"/>
      <c r="FKR32" s="17"/>
      <c r="FKS32" s="17"/>
      <c r="FKT32" s="17"/>
      <c r="FKU32" s="17"/>
      <c r="FKV32" s="17"/>
      <c r="FKW32" s="17"/>
      <c r="FKX32" s="17"/>
      <c r="FKY32" s="17"/>
      <c r="FKZ32" s="17"/>
      <c r="FLA32" s="17"/>
      <c r="FLB32" s="17"/>
      <c r="FLC32" s="17"/>
      <c r="FLD32" s="17"/>
      <c r="FLE32" s="17"/>
      <c r="FLF32" s="17"/>
      <c r="FLG32" s="17"/>
      <c r="FLH32" s="17"/>
      <c r="FLI32" s="17"/>
      <c r="FLJ32" s="17"/>
      <c r="FLK32" s="17"/>
      <c r="FLL32" s="17"/>
      <c r="FLM32" s="17"/>
      <c r="FLN32" s="17"/>
      <c r="FLO32" s="17"/>
      <c r="FLP32" s="17"/>
      <c r="FLQ32" s="17"/>
      <c r="FLR32" s="17"/>
      <c r="FLS32" s="17"/>
      <c r="FLT32" s="17"/>
      <c r="FLU32" s="17"/>
      <c r="FLV32" s="17"/>
      <c r="FLW32" s="17"/>
      <c r="FLX32" s="17"/>
      <c r="FLY32" s="17"/>
      <c r="FLZ32" s="17"/>
      <c r="FMA32" s="17"/>
      <c r="FMB32" s="17"/>
      <c r="FMC32" s="17"/>
      <c r="FMD32" s="17"/>
      <c r="FME32" s="17"/>
      <c r="FMF32" s="17"/>
      <c r="FMG32" s="17"/>
      <c r="FMH32" s="17"/>
      <c r="FMI32" s="17"/>
      <c r="FMJ32" s="17"/>
      <c r="FMK32" s="17"/>
      <c r="FML32" s="17"/>
      <c r="FMM32" s="17"/>
      <c r="FMN32" s="17"/>
      <c r="FMO32" s="17"/>
      <c r="FMP32" s="17"/>
      <c r="FMQ32" s="17"/>
      <c r="FMR32" s="17"/>
      <c r="FMS32" s="17"/>
      <c r="FMT32" s="17"/>
      <c r="FMU32" s="17"/>
      <c r="FMV32" s="17"/>
      <c r="FMW32" s="17"/>
      <c r="FMX32" s="17"/>
      <c r="FMY32" s="17"/>
      <c r="FMZ32" s="17"/>
      <c r="FNA32" s="17"/>
      <c r="FNB32" s="17"/>
      <c r="FNC32" s="17"/>
      <c r="FND32" s="17"/>
      <c r="FNE32" s="17"/>
      <c r="FNF32" s="17"/>
      <c r="FNG32" s="17"/>
      <c r="FNH32" s="17"/>
      <c r="FNI32" s="17"/>
      <c r="FNJ32" s="17"/>
      <c r="FNK32" s="17"/>
      <c r="FNL32" s="17"/>
      <c r="FNM32" s="17"/>
      <c r="FNN32" s="17"/>
      <c r="FNO32" s="17"/>
      <c r="FNP32" s="17"/>
      <c r="FNQ32" s="17"/>
      <c r="FNR32" s="17"/>
      <c r="FNS32" s="17"/>
      <c r="FNT32" s="17"/>
      <c r="FNU32" s="17"/>
      <c r="FNV32" s="17"/>
      <c r="FNW32" s="17"/>
      <c r="FNX32" s="17"/>
      <c r="FNY32" s="17"/>
      <c r="FNZ32" s="17"/>
      <c r="FOA32" s="17"/>
      <c r="FOB32" s="17"/>
      <c r="FOC32" s="17"/>
      <c r="FOD32" s="17"/>
      <c r="FOE32" s="17"/>
      <c r="FOF32" s="17"/>
      <c r="FOG32" s="17"/>
      <c r="FOH32" s="17"/>
      <c r="FOI32" s="17"/>
      <c r="FOJ32" s="17"/>
      <c r="FOK32" s="17"/>
      <c r="FOL32" s="17"/>
      <c r="FOM32" s="17"/>
      <c r="FON32" s="17"/>
      <c r="FOO32" s="17"/>
      <c r="FOP32" s="17"/>
      <c r="FOQ32" s="17"/>
      <c r="FOR32" s="17"/>
      <c r="FOS32" s="17"/>
      <c r="FOT32" s="17"/>
      <c r="FOU32" s="17"/>
      <c r="FOV32" s="17"/>
      <c r="FOW32" s="17"/>
      <c r="FOX32" s="17"/>
      <c r="FOY32" s="17"/>
      <c r="FOZ32" s="17"/>
      <c r="FPA32" s="17"/>
      <c r="FPB32" s="17"/>
      <c r="FPC32" s="17"/>
      <c r="FPD32" s="17"/>
      <c r="FPE32" s="17"/>
      <c r="FPF32" s="17"/>
      <c r="FPG32" s="17"/>
      <c r="FPH32" s="17"/>
      <c r="FPI32" s="17"/>
      <c r="FPJ32" s="17"/>
      <c r="FPK32" s="17"/>
      <c r="FPL32" s="17"/>
      <c r="FPM32" s="17"/>
      <c r="FPN32" s="17"/>
      <c r="FPO32" s="17"/>
      <c r="FPP32" s="17"/>
      <c r="FPQ32" s="17"/>
      <c r="FPR32" s="17"/>
      <c r="FPS32" s="17"/>
      <c r="FPT32" s="17"/>
      <c r="FPU32" s="17"/>
      <c r="FPV32" s="17"/>
      <c r="FPW32" s="17"/>
      <c r="FPX32" s="17"/>
      <c r="FPY32" s="17"/>
      <c r="FPZ32" s="17"/>
      <c r="FQA32" s="17"/>
      <c r="FQB32" s="17"/>
      <c r="FQC32" s="17"/>
      <c r="FQD32" s="17"/>
      <c r="FQE32" s="17"/>
      <c r="FQF32" s="17"/>
      <c r="FQG32" s="17"/>
      <c r="FQH32" s="17"/>
      <c r="FQI32" s="17"/>
      <c r="FQJ32" s="17"/>
      <c r="FQK32" s="17"/>
      <c r="FQL32" s="17"/>
      <c r="FQM32" s="17"/>
      <c r="FQN32" s="17"/>
      <c r="FQO32" s="17"/>
      <c r="FQP32" s="17"/>
      <c r="FQQ32" s="17"/>
      <c r="FQR32" s="17"/>
      <c r="FQS32" s="17"/>
      <c r="FQT32" s="17"/>
      <c r="FQU32" s="17"/>
      <c r="FQV32" s="17"/>
      <c r="FQW32" s="17"/>
      <c r="FQX32" s="17"/>
      <c r="FQY32" s="17"/>
      <c r="FQZ32" s="17"/>
      <c r="FRA32" s="17"/>
      <c r="FRB32" s="17"/>
      <c r="FRC32" s="17"/>
      <c r="FRD32" s="17"/>
      <c r="FRE32" s="17"/>
      <c r="FRF32" s="17"/>
      <c r="FRG32" s="17"/>
      <c r="FRH32" s="17"/>
      <c r="FRI32" s="17"/>
      <c r="FRJ32" s="17"/>
      <c r="FRK32" s="17"/>
      <c r="FRL32" s="17"/>
      <c r="FRM32" s="17"/>
      <c r="FRN32" s="17"/>
      <c r="FRO32" s="17"/>
      <c r="FRP32" s="17"/>
      <c r="FRQ32" s="17"/>
      <c r="FRR32" s="17"/>
      <c r="FRS32" s="17"/>
      <c r="FRT32" s="17"/>
      <c r="FRU32" s="17"/>
      <c r="FRV32" s="17"/>
      <c r="FRW32" s="17"/>
      <c r="FRX32" s="17"/>
      <c r="FRY32" s="17"/>
      <c r="FRZ32" s="17"/>
      <c r="FSA32" s="17"/>
      <c r="FSB32" s="17"/>
      <c r="FSC32" s="17"/>
      <c r="FSD32" s="17"/>
      <c r="FSE32" s="17"/>
      <c r="FSF32" s="17"/>
      <c r="FSG32" s="17"/>
      <c r="FSH32" s="17"/>
      <c r="FSI32" s="17"/>
      <c r="FSJ32" s="17"/>
      <c r="FSK32" s="17"/>
      <c r="FSL32" s="17"/>
      <c r="FSM32" s="17"/>
      <c r="FSN32" s="17"/>
      <c r="FSO32" s="17"/>
      <c r="FSP32" s="17"/>
      <c r="FSQ32" s="17"/>
      <c r="FSR32" s="17"/>
      <c r="FSS32" s="17"/>
      <c r="FST32" s="17"/>
      <c r="FSU32" s="17"/>
      <c r="FSV32" s="17"/>
      <c r="FSW32" s="17"/>
      <c r="FSX32" s="17"/>
      <c r="FSY32" s="17"/>
      <c r="FSZ32" s="17"/>
      <c r="FTA32" s="17"/>
      <c r="FTB32" s="17"/>
      <c r="FTC32" s="17"/>
      <c r="FTD32" s="17"/>
      <c r="FTE32" s="17"/>
      <c r="FTF32" s="17"/>
      <c r="FTG32" s="17"/>
      <c r="FTH32" s="17"/>
      <c r="FTI32" s="17"/>
      <c r="FTJ32" s="17"/>
      <c r="FTK32" s="17"/>
      <c r="FTL32" s="17"/>
      <c r="FTM32" s="17"/>
      <c r="FTN32" s="17"/>
      <c r="FTO32" s="17"/>
      <c r="FTP32" s="17"/>
      <c r="FTQ32" s="17"/>
      <c r="FTR32" s="17"/>
      <c r="FTS32" s="17"/>
      <c r="FTT32" s="17"/>
      <c r="FTU32" s="17"/>
      <c r="FTV32" s="17"/>
      <c r="FTW32" s="17"/>
      <c r="FTX32" s="17"/>
      <c r="FTY32" s="17"/>
      <c r="FTZ32" s="17"/>
      <c r="FUA32" s="17"/>
      <c r="FUB32" s="17"/>
      <c r="FUC32" s="17"/>
      <c r="FUD32" s="17"/>
      <c r="FUE32" s="17"/>
      <c r="FUF32" s="17"/>
      <c r="FUG32" s="17"/>
      <c r="FUH32" s="17"/>
      <c r="FUI32" s="17"/>
      <c r="FUJ32" s="17"/>
      <c r="FUK32" s="17"/>
      <c r="FUL32" s="17"/>
      <c r="FUM32" s="17"/>
      <c r="FUN32" s="17"/>
      <c r="FUO32" s="17"/>
      <c r="FUP32" s="17"/>
      <c r="FUQ32" s="17"/>
      <c r="FUR32" s="17"/>
      <c r="FUS32" s="17"/>
      <c r="FUT32" s="17"/>
      <c r="FUU32" s="17"/>
      <c r="FUV32" s="17"/>
      <c r="FUW32" s="17"/>
      <c r="FUX32" s="17"/>
      <c r="FUY32" s="17"/>
      <c r="FUZ32" s="17"/>
      <c r="FVA32" s="17"/>
      <c r="FVB32" s="17"/>
      <c r="FVC32" s="17"/>
      <c r="FVD32" s="17"/>
      <c r="FVE32" s="17"/>
      <c r="FVF32" s="17"/>
      <c r="FVG32" s="17"/>
      <c r="FVH32" s="17"/>
      <c r="FVI32" s="17"/>
      <c r="FVJ32" s="17"/>
      <c r="FVK32" s="17"/>
      <c r="FVL32" s="17"/>
      <c r="FVM32" s="17"/>
      <c r="FVN32" s="17"/>
      <c r="FVO32" s="17"/>
      <c r="FVP32" s="17"/>
      <c r="FVQ32" s="17"/>
      <c r="FVR32" s="17"/>
      <c r="FVS32" s="17"/>
      <c r="FVT32" s="17"/>
      <c r="FVU32" s="17"/>
      <c r="FVV32" s="17"/>
      <c r="FVW32" s="17"/>
      <c r="FVX32" s="17"/>
      <c r="FVY32" s="17"/>
      <c r="FVZ32" s="17"/>
      <c r="FWA32" s="17"/>
      <c r="FWB32" s="17"/>
      <c r="FWC32" s="17"/>
      <c r="FWD32" s="17"/>
      <c r="FWE32" s="17"/>
      <c r="FWF32" s="17"/>
      <c r="FWG32" s="17"/>
      <c r="FWH32" s="17"/>
      <c r="FWI32" s="17"/>
      <c r="FWJ32" s="17"/>
      <c r="FWK32" s="17"/>
      <c r="FWL32" s="17"/>
      <c r="FWM32" s="17"/>
      <c r="FWN32" s="17"/>
      <c r="FWO32" s="17"/>
      <c r="FWP32" s="17"/>
      <c r="FWQ32" s="17"/>
      <c r="FWR32" s="17"/>
      <c r="FWS32" s="17"/>
      <c r="FWT32" s="17"/>
      <c r="FWU32" s="17"/>
      <c r="FWV32" s="17"/>
      <c r="FWW32" s="17"/>
      <c r="FWX32" s="17"/>
      <c r="FWY32" s="17"/>
      <c r="FWZ32" s="17"/>
      <c r="FXA32" s="17"/>
      <c r="FXB32" s="17"/>
      <c r="FXC32" s="17"/>
      <c r="FXD32" s="17"/>
      <c r="FXE32" s="17"/>
      <c r="FXF32" s="17"/>
      <c r="FXG32" s="17"/>
      <c r="FXH32" s="17"/>
      <c r="FXI32" s="17"/>
      <c r="FXJ32" s="17"/>
      <c r="FXK32" s="17"/>
      <c r="FXL32" s="17"/>
      <c r="FXM32" s="17"/>
      <c r="FXN32" s="17"/>
      <c r="FXO32" s="17"/>
      <c r="FXP32" s="17"/>
      <c r="FXQ32" s="17"/>
      <c r="FXR32" s="17"/>
      <c r="FXS32" s="17"/>
      <c r="FXT32" s="17"/>
      <c r="FXU32" s="17"/>
      <c r="FXV32" s="17"/>
      <c r="FXW32" s="17"/>
      <c r="FXX32" s="17"/>
      <c r="FXY32" s="17"/>
      <c r="FXZ32" s="17"/>
      <c r="FYA32" s="17"/>
      <c r="FYB32" s="17"/>
      <c r="FYC32" s="17"/>
      <c r="FYD32" s="17"/>
      <c r="FYE32" s="17"/>
      <c r="FYF32" s="17"/>
      <c r="FYG32" s="17"/>
      <c r="FYH32" s="17"/>
      <c r="FYI32" s="17"/>
      <c r="FYJ32" s="17"/>
      <c r="FYK32" s="17"/>
      <c r="FYL32" s="17"/>
      <c r="FYM32" s="17"/>
      <c r="FYN32" s="17"/>
      <c r="FYO32" s="17"/>
      <c r="FYP32" s="17"/>
      <c r="FYQ32" s="17"/>
      <c r="FYR32" s="17"/>
      <c r="FYS32" s="17"/>
      <c r="FYT32" s="17"/>
      <c r="FYU32" s="17"/>
      <c r="FYV32" s="17"/>
      <c r="FYW32" s="17"/>
      <c r="FYX32" s="17"/>
      <c r="FYY32" s="17"/>
      <c r="FYZ32" s="17"/>
      <c r="FZA32" s="17"/>
      <c r="FZB32" s="17"/>
      <c r="FZC32" s="17"/>
      <c r="FZD32" s="17"/>
      <c r="FZE32" s="17"/>
      <c r="FZF32" s="17"/>
      <c r="FZG32" s="17"/>
      <c r="FZH32" s="17"/>
      <c r="FZI32" s="17"/>
      <c r="FZJ32" s="17"/>
      <c r="FZK32" s="17"/>
      <c r="FZL32" s="17"/>
      <c r="FZM32" s="17"/>
      <c r="FZN32" s="17"/>
      <c r="FZO32" s="17"/>
      <c r="FZP32" s="17"/>
      <c r="FZQ32" s="17"/>
      <c r="FZR32" s="17"/>
      <c r="FZS32" s="17"/>
      <c r="FZT32" s="17"/>
      <c r="FZU32" s="17"/>
      <c r="FZV32" s="17"/>
      <c r="FZW32" s="17"/>
      <c r="FZX32" s="17"/>
      <c r="FZY32" s="17"/>
      <c r="FZZ32" s="17"/>
      <c r="GAA32" s="17"/>
      <c r="GAB32" s="17"/>
      <c r="GAC32" s="17"/>
      <c r="GAD32" s="17"/>
      <c r="GAE32" s="17"/>
      <c r="GAF32" s="17"/>
      <c r="GAG32" s="17"/>
      <c r="GAH32" s="17"/>
      <c r="GAI32" s="17"/>
      <c r="GAJ32" s="17"/>
      <c r="GAK32" s="17"/>
      <c r="GAL32" s="17"/>
      <c r="GAM32" s="17"/>
      <c r="GAN32" s="17"/>
      <c r="GAO32" s="17"/>
      <c r="GAP32" s="17"/>
      <c r="GAQ32" s="17"/>
      <c r="GAR32" s="17"/>
      <c r="GAS32" s="17"/>
      <c r="GAT32" s="17"/>
      <c r="GAU32" s="17"/>
      <c r="GAV32" s="17"/>
      <c r="GAW32" s="17"/>
      <c r="GAX32" s="17"/>
      <c r="GAY32" s="17"/>
      <c r="GAZ32" s="17"/>
      <c r="GBA32" s="17"/>
      <c r="GBB32" s="17"/>
      <c r="GBC32" s="17"/>
      <c r="GBD32" s="17"/>
      <c r="GBE32" s="17"/>
      <c r="GBF32" s="17"/>
      <c r="GBG32" s="17"/>
      <c r="GBH32" s="17"/>
      <c r="GBI32" s="17"/>
      <c r="GBJ32" s="17"/>
      <c r="GBK32" s="17"/>
      <c r="GBL32" s="17"/>
      <c r="GBM32" s="17"/>
      <c r="GBN32" s="17"/>
      <c r="GBO32" s="17"/>
      <c r="GBP32" s="17"/>
      <c r="GBQ32" s="17"/>
      <c r="GBR32" s="17"/>
      <c r="GBS32" s="17"/>
      <c r="GBT32" s="17"/>
      <c r="GBU32" s="17"/>
      <c r="GBV32" s="17"/>
      <c r="GBW32" s="17"/>
      <c r="GBX32" s="17"/>
      <c r="GBY32" s="17"/>
      <c r="GBZ32" s="17"/>
      <c r="GCA32" s="17"/>
      <c r="GCB32" s="17"/>
      <c r="GCC32" s="17"/>
      <c r="GCD32" s="17"/>
      <c r="GCE32" s="17"/>
      <c r="GCF32" s="17"/>
      <c r="GCG32" s="17"/>
      <c r="GCH32" s="17"/>
      <c r="GCI32" s="17"/>
      <c r="GCJ32" s="17"/>
      <c r="GCK32" s="17"/>
      <c r="GCL32" s="17"/>
      <c r="GCM32" s="17"/>
      <c r="GCN32" s="17"/>
      <c r="GCO32" s="17"/>
      <c r="GCP32" s="17"/>
      <c r="GCQ32" s="17"/>
      <c r="GCR32" s="17"/>
      <c r="GCS32" s="17"/>
      <c r="GCT32" s="17"/>
      <c r="GCU32" s="17"/>
      <c r="GCV32" s="17"/>
      <c r="GCW32" s="17"/>
      <c r="GCX32" s="17"/>
      <c r="GCY32" s="17"/>
      <c r="GCZ32" s="17"/>
      <c r="GDA32" s="17"/>
      <c r="GDB32" s="17"/>
      <c r="GDC32" s="17"/>
      <c r="GDD32" s="17"/>
      <c r="GDE32" s="17"/>
      <c r="GDF32" s="17"/>
      <c r="GDG32" s="17"/>
      <c r="GDH32" s="17"/>
      <c r="GDI32" s="17"/>
      <c r="GDJ32" s="17"/>
      <c r="GDK32" s="17"/>
      <c r="GDL32" s="17"/>
      <c r="GDM32" s="17"/>
      <c r="GDN32" s="17"/>
      <c r="GDO32" s="17"/>
      <c r="GDP32" s="17"/>
      <c r="GDQ32" s="17"/>
      <c r="GDR32" s="17"/>
      <c r="GDS32" s="17"/>
      <c r="GDT32" s="17"/>
      <c r="GDU32" s="17"/>
      <c r="GDV32" s="17"/>
      <c r="GDW32" s="17"/>
      <c r="GDX32" s="17"/>
      <c r="GDY32" s="17"/>
      <c r="GDZ32" s="17"/>
      <c r="GEA32" s="17"/>
      <c r="GEB32" s="17"/>
      <c r="GEC32" s="17"/>
      <c r="GED32" s="17"/>
      <c r="GEE32" s="17"/>
      <c r="GEF32" s="17"/>
      <c r="GEG32" s="17"/>
      <c r="GEH32" s="17"/>
      <c r="GEI32" s="17"/>
      <c r="GEJ32" s="17"/>
      <c r="GEK32" s="17"/>
      <c r="GEL32" s="17"/>
      <c r="GEM32" s="17"/>
      <c r="GEN32" s="17"/>
      <c r="GEO32" s="17"/>
      <c r="GEP32" s="17"/>
      <c r="GEQ32" s="17"/>
      <c r="GER32" s="17"/>
      <c r="GES32" s="17"/>
      <c r="GET32" s="17"/>
      <c r="GEU32" s="17"/>
      <c r="GEV32" s="17"/>
      <c r="GEW32" s="17"/>
      <c r="GEX32" s="17"/>
      <c r="GEY32" s="17"/>
      <c r="GEZ32" s="17"/>
      <c r="GFA32" s="17"/>
      <c r="GFB32" s="17"/>
      <c r="GFC32" s="17"/>
      <c r="GFD32" s="17"/>
      <c r="GFE32" s="17"/>
      <c r="GFF32" s="17"/>
      <c r="GFG32" s="17"/>
      <c r="GFH32" s="17"/>
      <c r="GFI32" s="17"/>
      <c r="GFJ32" s="17"/>
      <c r="GFK32" s="17"/>
      <c r="GFL32" s="17"/>
      <c r="GFM32" s="17"/>
      <c r="GFN32" s="17"/>
      <c r="GFO32" s="17"/>
      <c r="GFP32" s="17"/>
      <c r="GFQ32" s="17"/>
      <c r="GFR32" s="17"/>
      <c r="GFS32" s="17"/>
      <c r="GFT32" s="17"/>
      <c r="GFU32" s="17"/>
      <c r="GFV32" s="17"/>
      <c r="GFW32" s="17"/>
      <c r="GFX32" s="17"/>
      <c r="GFY32" s="17"/>
      <c r="GFZ32" s="17"/>
      <c r="GGA32" s="17"/>
      <c r="GGB32" s="17"/>
      <c r="GGC32" s="17"/>
      <c r="GGD32" s="17"/>
      <c r="GGE32" s="17"/>
      <c r="GGF32" s="17"/>
      <c r="GGG32" s="17"/>
      <c r="GGH32" s="17"/>
      <c r="GGI32" s="17"/>
      <c r="GGJ32" s="17"/>
      <c r="GGK32" s="17"/>
      <c r="GGL32" s="17"/>
      <c r="GGM32" s="17"/>
      <c r="GGN32" s="17"/>
      <c r="GGO32" s="17"/>
      <c r="GGP32" s="17"/>
      <c r="GGQ32" s="17"/>
      <c r="GGR32" s="17"/>
      <c r="GGS32" s="17"/>
      <c r="GGT32" s="17"/>
      <c r="GGU32" s="17"/>
      <c r="GGV32" s="17"/>
      <c r="GGW32" s="17"/>
      <c r="GGX32" s="17"/>
      <c r="GGY32" s="17"/>
      <c r="GGZ32" s="17"/>
      <c r="GHA32" s="17"/>
      <c r="GHB32" s="17"/>
      <c r="GHC32" s="17"/>
      <c r="GHD32" s="17"/>
      <c r="GHE32" s="17"/>
      <c r="GHF32" s="17"/>
      <c r="GHG32" s="17"/>
      <c r="GHH32" s="17"/>
      <c r="GHI32" s="17"/>
      <c r="GHJ32" s="17"/>
      <c r="GHK32" s="17"/>
      <c r="GHL32" s="17"/>
      <c r="GHM32" s="17"/>
      <c r="GHN32" s="17"/>
      <c r="GHO32" s="17"/>
      <c r="GHP32" s="17"/>
      <c r="GHQ32" s="17"/>
      <c r="GHR32" s="17"/>
      <c r="GHS32" s="17"/>
      <c r="GHT32" s="17"/>
      <c r="GHU32" s="17"/>
      <c r="GHV32" s="17"/>
      <c r="GHW32" s="17"/>
      <c r="GHX32" s="17"/>
      <c r="GHY32" s="17"/>
      <c r="GHZ32" s="17"/>
      <c r="GIA32" s="17"/>
      <c r="GIB32" s="17"/>
      <c r="GIC32" s="17"/>
      <c r="GID32" s="17"/>
      <c r="GIE32" s="17"/>
      <c r="GIF32" s="17"/>
      <c r="GIG32" s="17"/>
      <c r="GIH32" s="17"/>
      <c r="GII32" s="17"/>
      <c r="GIJ32" s="17"/>
      <c r="GIK32" s="17"/>
      <c r="GIL32" s="17"/>
      <c r="GIM32" s="17"/>
      <c r="GIN32" s="17"/>
      <c r="GIO32" s="17"/>
      <c r="GIP32" s="17"/>
      <c r="GIQ32" s="17"/>
      <c r="GIR32" s="17"/>
      <c r="GIS32" s="17"/>
      <c r="GIT32" s="17"/>
      <c r="GIU32" s="17"/>
      <c r="GIV32" s="17"/>
      <c r="GIW32" s="17"/>
      <c r="GIX32" s="17"/>
      <c r="GIY32" s="17"/>
      <c r="GIZ32" s="17"/>
      <c r="GJA32" s="17"/>
      <c r="GJB32" s="17"/>
      <c r="GJC32" s="17"/>
      <c r="GJD32" s="17"/>
      <c r="GJE32" s="17"/>
      <c r="GJF32" s="17"/>
      <c r="GJG32" s="17"/>
      <c r="GJH32" s="17"/>
      <c r="GJI32" s="17"/>
      <c r="GJJ32" s="17"/>
      <c r="GJK32" s="17"/>
      <c r="GJL32" s="17"/>
      <c r="GJM32" s="17"/>
      <c r="GJN32" s="17"/>
      <c r="GJO32" s="17"/>
      <c r="GJP32" s="17"/>
      <c r="GJQ32" s="17"/>
      <c r="GJR32" s="17"/>
      <c r="GJS32" s="17"/>
      <c r="GJT32" s="17"/>
      <c r="GJU32" s="17"/>
      <c r="GJV32" s="17"/>
      <c r="GJW32" s="17"/>
      <c r="GJX32" s="17"/>
      <c r="GJY32" s="17"/>
      <c r="GJZ32" s="17"/>
      <c r="GKA32" s="17"/>
      <c r="GKB32" s="17"/>
      <c r="GKC32" s="17"/>
      <c r="GKD32" s="17"/>
      <c r="GKE32" s="17"/>
      <c r="GKF32" s="17"/>
      <c r="GKG32" s="17"/>
      <c r="GKH32" s="17"/>
      <c r="GKI32" s="17"/>
      <c r="GKJ32" s="17"/>
      <c r="GKK32" s="17"/>
      <c r="GKL32" s="17"/>
      <c r="GKM32" s="17"/>
      <c r="GKN32" s="17"/>
      <c r="GKO32" s="17"/>
      <c r="GKP32" s="17"/>
      <c r="GKQ32" s="17"/>
      <c r="GKR32" s="17"/>
      <c r="GKS32" s="17"/>
      <c r="GKT32" s="17"/>
      <c r="GKU32" s="17"/>
      <c r="GKV32" s="17"/>
      <c r="GKW32" s="17"/>
      <c r="GKX32" s="17"/>
      <c r="GKY32" s="17"/>
      <c r="GKZ32" s="17"/>
      <c r="GLA32" s="17"/>
      <c r="GLB32" s="17"/>
      <c r="GLC32" s="17"/>
      <c r="GLD32" s="17"/>
      <c r="GLE32" s="17"/>
      <c r="GLF32" s="17"/>
      <c r="GLG32" s="17"/>
      <c r="GLH32" s="17"/>
      <c r="GLI32" s="17"/>
      <c r="GLJ32" s="17"/>
      <c r="GLK32" s="17"/>
      <c r="GLL32" s="17"/>
      <c r="GLM32" s="17"/>
      <c r="GLN32" s="17"/>
      <c r="GLO32" s="17"/>
      <c r="GLP32" s="17"/>
      <c r="GLQ32" s="17"/>
      <c r="GLR32" s="17"/>
      <c r="GLS32" s="17"/>
      <c r="GLT32" s="17"/>
      <c r="GLU32" s="17"/>
      <c r="GLV32" s="17"/>
      <c r="GLW32" s="17"/>
      <c r="GLX32" s="17"/>
      <c r="GLY32" s="17"/>
      <c r="GLZ32" s="17"/>
      <c r="GMA32" s="17"/>
      <c r="GMB32" s="17"/>
      <c r="GMC32" s="17"/>
      <c r="GMD32" s="17"/>
      <c r="GME32" s="17"/>
      <c r="GMF32" s="17"/>
      <c r="GMG32" s="17"/>
      <c r="GMH32" s="17"/>
      <c r="GMI32" s="17"/>
      <c r="GMJ32" s="17"/>
      <c r="GMK32" s="17"/>
      <c r="GML32" s="17"/>
      <c r="GMM32" s="17"/>
      <c r="GMN32" s="17"/>
      <c r="GMO32" s="17"/>
      <c r="GMP32" s="17"/>
      <c r="GMQ32" s="17"/>
      <c r="GMR32" s="17"/>
      <c r="GMS32" s="17"/>
      <c r="GMT32" s="17"/>
      <c r="GMU32" s="17"/>
      <c r="GMV32" s="17"/>
      <c r="GMW32" s="17"/>
      <c r="GMX32" s="17"/>
      <c r="GMY32" s="17"/>
      <c r="GMZ32" s="17"/>
      <c r="GNA32" s="17"/>
      <c r="GNB32" s="17"/>
      <c r="GNC32" s="17"/>
      <c r="GND32" s="17"/>
      <c r="GNE32" s="17"/>
      <c r="GNF32" s="17"/>
      <c r="GNG32" s="17"/>
      <c r="GNH32" s="17"/>
      <c r="GNI32" s="17"/>
      <c r="GNJ32" s="17"/>
      <c r="GNK32" s="17"/>
      <c r="GNL32" s="17"/>
      <c r="GNM32" s="17"/>
      <c r="GNN32" s="17"/>
      <c r="GNO32" s="17"/>
      <c r="GNP32" s="17"/>
      <c r="GNQ32" s="17"/>
      <c r="GNR32" s="17"/>
      <c r="GNS32" s="17"/>
      <c r="GNT32" s="17"/>
      <c r="GNU32" s="17"/>
      <c r="GNV32" s="17"/>
      <c r="GNW32" s="17"/>
      <c r="GNX32" s="17"/>
      <c r="GNY32" s="17"/>
      <c r="GNZ32" s="17"/>
      <c r="GOA32" s="17"/>
      <c r="GOB32" s="17"/>
      <c r="GOC32" s="17"/>
      <c r="GOD32" s="17"/>
      <c r="GOE32" s="17"/>
      <c r="GOF32" s="17"/>
      <c r="GOG32" s="17"/>
      <c r="GOH32" s="17"/>
      <c r="GOI32" s="17"/>
      <c r="GOJ32" s="17"/>
      <c r="GOK32" s="17"/>
      <c r="GOL32" s="17"/>
      <c r="GOM32" s="17"/>
      <c r="GON32" s="17"/>
      <c r="GOO32" s="17"/>
      <c r="GOP32" s="17"/>
      <c r="GOQ32" s="17"/>
      <c r="GOR32" s="17"/>
      <c r="GOS32" s="17"/>
      <c r="GOT32" s="17"/>
      <c r="GOU32" s="17"/>
      <c r="GOV32" s="17"/>
      <c r="GOW32" s="17"/>
      <c r="GOX32" s="17"/>
      <c r="GOY32" s="17"/>
      <c r="GOZ32" s="17"/>
      <c r="GPA32" s="17"/>
      <c r="GPB32" s="17"/>
      <c r="GPC32" s="17"/>
      <c r="GPD32" s="17"/>
      <c r="GPE32" s="17"/>
      <c r="GPF32" s="17"/>
      <c r="GPG32" s="17"/>
      <c r="GPH32" s="17"/>
      <c r="GPI32" s="17"/>
      <c r="GPJ32" s="17"/>
      <c r="GPK32" s="17"/>
      <c r="GPL32" s="17"/>
      <c r="GPM32" s="17"/>
      <c r="GPN32" s="17"/>
      <c r="GPO32" s="17"/>
      <c r="GPP32" s="17"/>
      <c r="GPQ32" s="17"/>
      <c r="GPR32" s="17"/>
      <c r="GPS32" s="17"/>
      <c r="GPT32" s="17"/>
      <c r="GPU32" s="17"/>
      <c r="GPV32" s="17"/>
      <c r="GPW32" s="17"/>
      <c r="GPX32" s="17"/>
      <c r="GPY32" s="17"/>
      <c r="GPZ32" s="17"/>
      <c r="GQA32" s="17"/>
      <c r="GQB32" s="17"/>
      <c r="GQC32" s="17"/>
      <c r="GQD32" s="17"/>
      <c r="GQE32" s="17"/>
      <c r="GQF32" s="17"/>
      <c r="GQG32" s="17"/>
      <c r="GQH32" s="17"/>
      <c r="GQI32" s="17"/>
      <c r="GQJ32" s="17"/>
      <c r="GQK32" s="17"/>
      <c r="GQL32" s="17"/>
      <c r="GQM32" s="17"/>
      <c r="GQN32" s="17"/>
      <c r="GQO32" s="17"/>
      <c r="GQP32" s="17"/>
      <c r="GQQ32" s="17"/>
      <c r="GQR32" s="17"/>
      <c r="GQS32" s="17"/>
      <c r="GQT32" s="17"/>
      <c r="GQU32" s="17"/>
      <c r="GQV32" s="17"/>
      <c r="GQW32" s="17"/>
      <c r="GQX32" s="17"/>
      <c r="GQY32" s="17"/>
      <c r="GQZ32" s="17"/>
      <c r="GRA32" s="17"/>
      <c r="GRB32" s="17"/>
      <c r="GRC32" s="17"/>
      <c r="GRD32" s="17"/>
      <c r="GRE32" s="17"/>
      <c r="GRF32" s="17"/>
      <c r="GRG32" s="17"/>
      <c r="GRH32" s="17"/>
      <c r="GRI32" s="17"/>
      <c r="GRJ32" s="17"/>
      <c r="GRK32" s="17"/>
      <c r="GRL32" s="17"/>
      <c r="GRM32" s="17"/>
      <c r="GRN32" s="17"/>
      <c r="GRO32" s="17"/>
      <c r="GRP32" s="17"/>
      <c r="GRQ32" s="17"/>
      <c r="GRR32" s="17"/>
      <c r="GRS32" s="17"/>
      <c r="GRT32" s="17"/>
      <c r="GRU32" s="17"/>
      <c r="GRV32" s="17"/>
      <c r="GRW32" s="17"/>
      <c r="GRX32" s="17"/>
      <c r="GRY32" s="17"/>
      <c r="GRZ32" s="17"/>
      <c r="GSA32" s="17"/>
      <c r="GSB32" s="17"/>
      <c r="GSC32" s="17"/>
      <c r="GSD32" s="17"/>
      <c r="GSE32" s="17"/>
      <c r="GSF32" s="17"/>
      <c r="GSG32" s="17"/>
      <c r="GSH32" s="17"/>
      <c r="GSI32" s="17"/>
      <c r="GSJ32" s="17"/>
      <c r="GSK32" s="17"/>
      <c r="GSL32" s="17"/>
      <c r="GSM32" s="17"/>
      <c r="GSN32" s="17"/>
      <c r="GSO32" s="17"/>
      <c r="GSP32" s="17"/>
      <c r="GSQ32" s="17"/>
      <c r="GSR32" s="17"/>
      <c r="GSS32" s="17"/>
      <c r="GST32" s="17"/>
      <c r="GSU32" s="17"/>
      <c r="GSV32" s="17"/>
      <c r="GSW32" s="17"/>
      <c r="GSX32" s="17"/>
      <c r="GSY32" s="17"/>
      <c r="GSZ32" s="17"/>
      <c r="GTA32" s="17"/>
      <c r="GTB32" s="17"/>
      <c r="GTC32" s="17"/>
      <c r="GTD32" s="17"/>
      <c r="GTE32" s="17"/>
      <c r="GTF32" s="17"/>
      <c r="GTG32" s="17"/>
      <c r="GTH32" s="17"/>
      <c r="GTI32" s="17"/>
      <c r="GTJ32" s="17"/>
      <c r="GTK32" s="17"/>
      <c r="GTL32" s="17"/>
      <c r="GTM32" s="17"/>
      <c r="GTN32" s="17"/>
      <c r="GTO32" s="17"/>
      <c r="GTP32" s="17"/>
      <c r="GTQ32" s="17"/>
      <c r="GTR32" s="17"/>
      <c r="GTS32" s="17"/>
      <c r="GTT32" s="17"/>
      <c r="GTU32" s="17"/>
      <c r="GTV32" s="17"/>
      <c r="GTW32" s="17"/>
      <c r="GTX32" s="17"/>
      <c r="GTY32" s="17"/>
      <c r="GTZ32" s="17"/>
      <c r="GUA32" s="17"/>
      <c r="GUB32" s="17"/>
      <c r="GUC32" s="17"/>
      <c r="GUD32" s="17"/>
      <c r="GUE32" s="17"/>
      <c r="GUF32" s="17"/>
      <c r="GUG32" s="17"/>
      <c r="GUH32" s="17"/>
      <c r="GUI32" s="17"/>
      <c r="GUJ32" s="17"/>
      <c r="GUK32" s="17"/>
      <c r="GUL32" s="17"/>
      <c r="GUM32" s="17"/>
      <c r="GUN32" s="17"/>
      <c r="GUO32" s="17"/>
      <c r="GUP32" s="17"/>
      <c r="GUQ32" s="17"/>
      <c r="GUR32" s="17"/>
      <c r="GUS32" s="17"/>
      <c r="GUT32" s="17"/>
      <c r="GUU32" s="17"/>
      <c r="GUV32" s="17"/>
      <c r="GUW32" s="17"/>
      <c r="GUX32" s="17"/>
      <c r="GUY32" s="17"/>
      <c r="GUZ32" s="17"/>
      <c r="GVA32" s="17"/>
      <c r="GVB32" s="17"/>
      <c r="GVC32" s="17"/>
      <c r="GVD32" s="17"/>
      <c r="GVE32" s="17"/>
      <c r="GVF32" s="17"/>
      <c r="GVG32" s="17"/>
      <c r="GVH32" s="17"/>
      <c r="GVI32" s="17"/>
      <c r="GVJ32" s="17"/>
      <c r="GVK32" s="17"/>
      <c r="GVL32" s="17"/>
      <c r="GVM32" s="17"/>
      <c r="GVN32" s="17"/>
      <c r="GVO32" s="17"/>
      <c r="GVP32" s="17"/>
      <c r="GVQ32" s="17"/>
      <c r="GVR32" s="17"/>
      <c r="GVS32" s="17"/>
      <c r="GVT32" s="17"/>
      <c r="GVU32" s="17"/>
      <c r="GVV32" s="17"/>
      <c r="GVW32" s="17"/>
      <c r="GVX32" s="17"/>
      <c r="GVY32" s="17"/>
      <c r="GVZ32" s="17"/>
      <c r="GWA32" s="17"/>
      <c r="GWB32" s="17"/>
      <c r="GWC32" s="17"/>
      <c r="GWD32" s="17"/>
      <c r="GWE32" s="17"/>
      <c r="GWF32" s="17"/>
      <c r="GWG32" s="17"/>
      <c r="GWH32" s="17"/>
      <c r="GWI32" s="17"/>
      <c r="GWJ32" s="17"/>
      <c r="GWK32" s="17"/>
      <c r="GWL32" s="17"/>
      <c r="GWM32" s="17"/>
      <c r="GWN32" s="17"/>
      <c r="GWO32" s="17"/>
      <c r="GWP32" s="17"/>
      <c r="GWQ32" s="17"/>
      <c r="GWR32" s="17"/>
      <c r="GWS32" s="17"/>
      <c r="GWT32" s="17"/>
      <c r="GWU32" s="17"/>
      <c r="GWV32" s="17"/>
      <c r="GWW32" s="17"/>
      <c r="GWX32" s="17"/>
      <c r="GWY32" s="17"/>
      <c r="GWZ32" s="17"/>
      <c r="GXA32" s="17"/>
      <c r="GXB32" s="17"/>
      <c r="GXC32" s="17"/>
      <c r="GXD32" s="17"/>
      <c r="GXE32" s="17"/>
      <c r="GXF32" s="17"/>
      <c r="GXG32" s="17"/>
      <c r="GXH32" s="17"/>
      <c r="GXI32" s="17"/>
      <c r="GXJ32" s="17"/>
      <c r="GXK32" s="17"/>
      <c r="GXL32" s="17"/>
      <c r="GXM32" s="17"/>
      <c r="GXN32" s="17"/>
      <c r="GXO32" s="17"/>
      <c r="GXP32" s="17"/>
      <c r="GXQ32" s="17"/>
      <c r="GXR32" s="17"/>
      <c r="GXS32" s="17"/>
      <c r="GXT32" s="17"/>
      <c r="GXU32" s="17"/>
      <c r="GXV32" s="17"/>
      <c r="GXW32" s="17"/>
      <c r="GXX32" s="17"/>
      <c r="GXY32" s="17"/>
      <c r="GXZ32" s="17"/>
      <c r="GYA32" s="17"/>
      <c r="GYB32" s="17"/>
      <c r="GYC32" s="17"/>
      <c r="GYD32" s="17"/>
      <c r="GYE32" s="17"/>
      <c r="GYF32" s="17"/>
      <c r="GYG32" s="17"/>
      <c r="GYH32" s="17"/>
      <c r="GYI32" s="17"/>
      <c r="GYJ32" s="17"/>
      <c r="GYK32" s="17"/>
      <c r="GYL32" s="17"/>
      <c r="GYM32" s="17"/>
      <c r="GYN32" s="17"/>
      <c r="GYO32" s="17"/>
      <c r="GYP32" s="17"/>
      <c r="GYQ32" s="17"/>
      <c r="GYR32" s="17"/>
      <c r="GYS32" s="17"/>
      <c r="GYT32" s="17"/>
      <c r="GYU32" s="17"/>
      <c r="GYV32" s="17"/>
      <c r="GYW32" s="17"/>
      <c r="GYX32" s="17"/>
      <c r="GYY32" s="17"/>
      <c r="GYZ32" s="17"/>
      <c r="GZA32" s="17"/>
      <c r="GZB32" s="17"/>
      <c r="GZC32" s="17"/>
      <c r="GZD32" s="17"/>
      <c r="GZE32" s="17"/>
      <c r="GZF32" s="17"/>
      <c r="GZG32" s="17"/>
      <c r="GZH32" s="17"/>
      <c r="GZI32" s="17"/>
      <c r="GZJ32" s="17"/>
      <c r="GZK32" s="17"/>
      <c r="GZL32" s="17"/>
      <c r="GZM32" s="17"/>
      <c r="GZN32" s="17"/>
      <c r="GZO32" s="17"/>
      <c r="GZP32" s="17"/>
      <c r="GZQ32" s="17"/>
      <c r="GZR32" s="17"/>
      <c r="GZS32" s="17"/>
      <c r="GZT32" s="17"/>
      <c r="GZU32" s="17"/>
      <c r="GZV32" s="17"/>
      <c r="GZW32" s="17"/>
      <c r="GZX32" s="17"/>
      <c r="GZY32" s="17"/>
      <c r="GZZ32" s="17"/>
      <c r="HAA32" s="17"/>
      <c r="HAB32" s="17"/>
      <c r="HAC32" s="17"/>
      <c r="HAD32" s="17"/>
      <c r="HAE32" s="17"/>
      <c r="HAF32" s="17"/>
      <c r="HAG32" s="17"/>
      <c r="HAH32" s="17"/>
      <c r="HAI32" s="17"/>
      <c r="HAJ32" s="17"/>
      <c r="HAK32" s="17"/>
      <c r="HAL32" s="17"/>
      <c r="HAM32" s="17"/>
      <c r="HAN32" s="17"/>
      <c r="HAO32" s="17"/>
      <c r="HAP32" s="17"/>
      <c r="HAQ32" s="17"/>
      <c r="HAR32" s="17"/>
      <c r="HAS32" s="17"/>
      <c r="HAT32" s="17"/>
      <c r="HAU32" s="17"/>
      <c r="HAV32" s="17"/>
      <c r="HAW32" s="17"/>
      <c r="HAX32" s="17"/>
      <c r="HAY32" s="17"/>
      <c r="HAZ32" s="17"/>
      <c r="HBA32" s="17"/>
      <c r="HBB32" s="17"/>
      <c r="HBC32" s="17"/>
      <c r="HBD32" s="17"/>
      <c r="HBE32" s="17"/>
      <c r="HBF32" s="17"/>
      <c r="HBG32" s="17"/>
      <c r="HBH32" s="17"/>
      <c r="HBI32" s="17"/>
      <c r="HBJ32" s="17"/>
      <c r="HBK32" s="17"/>
      <c r="HBL32" s="17"/>
      <c r="HBM32" s="17"/>
      <c r="HBN32" s="17"/>
      <c r="HBO32" s="17"/>
      <c r="HBP32" s="17"/>
      <c r="HBQ32" s="17"/>
      <c r="HBR32" s="17"/>
      <c r="HBS32" s="17"/>
      <c r="HBT32" s="17"/>
      <c r="HBU32" s="17"/>
      <c r="HBV32" s="17"/>
      <c r="HBW32" s="17"/>
      <c r="HBX32" s="17"/>
      <c r="HBY32" s="17"/>
      <c r="HBZ32" s="17"/>
      <c r="HCA32" s="17"/>
      <c r="HCB32" s="17"/>
      <c r="HCC32" s="17"/>
      <c r="HCD32" s="17"/>
      <c r="HCE32" s="17"/>
      <c r="HCF32" s="17"/>
      <c r="HCG32" s="17"/>
      <c r="HCH32" s="17"/>
      <c r="HCI32" s="17"/>
      <c r="HCJ32" s="17"/>
      <c r="HCK32" s="17"/>
      <c r="HCL32" s="17"/>
      <c r="HCM32" s="17"/>
      <c r="HCN32" s="17"/>
      <c r="HCO32" s="17"/>
      <c r="HCP32" s="17"/>
      <c r="HCQ32" s="17"/>
      <c r="HCR32" s="17"/>
      <c r="HCS32" s="17"/>
      <c r="HCT32" s="17"/>
      <c r="HCU32" s="17"/>
      <c r="HCV32" s="17"/>
      <c r="HCW32" s="17"/>
      <c r="HCX32" s="17"/>
      <c r="HCY32" s="17"/>
      <c r="HCZ32" s="17"/>
      <c r="HDA32" s="17"/>
      <c r="HDB32" s="17"/>
      <c r="HDC32" s="17"/>
      <c r="HDD32" s="17"/>
      <c r="HDE32" s="17"/>
      <c r="HDF32" s="17"/>
      <c r="HDG32" s="17"/>
      <c r="HDH32" s="17"/>
      <c r="HDI32" s="17"/>
      <c r="HDJ32" s="17"/>
      <c r="HDK32" s="17"/>
      <c r="HDL32" s="17"/>
      <c r="HDM32" s="17"/>
      <c r="HDN32" s="17"/>
      <c r="HDO32" s="17"/>
      <c r="HDP32" s="17"/>
      <c r="HDQ32" s="17"/>
      <c r="HDR32" s="17"/>
      <c r="HDS32" s="17"/>
      <c r="HDT32" s="17"/>
      <c r="HDU32" s="17"/>
      <c r="HDV32" s="17"/>
      <c r="HDW32" s="17"/>
      <c r="HDX32" s="17"/>
      <c r="HDY32" s="17"/>
      <c r="HDZ32" s="17"/>
      <c r="HEA32" s="17"/>
      <c r="HEB32" s="17"/>
      <c r="HEC32" s="17"/>
      <c r="HED32" s="17"/>
      <c r="HEE32" s="17"/>
      <c r="HEF32" s="17"/>
      <c r="HEG32" s="17"/>
      <c r="HEH32" s="17"/>
      <c r="HEI32" s="17"/>
      <c r="HEJ32" s="17"/>
      <c r="HEK32" s="17"/>
      <c r="HEL32" s="17"/>
      <c r="HEM32" s="17"/>
      <c r="HEN32" s="17"/>
      <c r="HEO32" s="17"/>
      <c r="HEP32" s="17"/>
      <c r="HEQ32" s="17"/>
      <c r="HER32" s="17"/>
      <c r="HES32" s="17"/>
      <c r="HET32" s="17"/>
      <c r="HEU32" s="17"/>
      <c r="HEV32" s="17"/>
      <c r="HEW32" s="17"/>
      <c r="HEX32" s="17"/>
      <c r="HEY32" s="17"/>
      <c r="HEZ32" s="17"/>
      <c r="HFA32" s="17"/>
      <c r="HFB32" s="17"/>
      <c r="HFC32" s="17"/>
      <c r="HFD32" s="17"/>
      <c r="HFE32" s="17"/>
      <c r="HFF32" s="17"/>
      <c r="HFG32" s="17"/>
      <c r="HFH32" s="17"/>
      <c r="HFI32" s="17"/>
      <c r="HFJ32" s="17"/>
      <c r="HFK32" s="17"/>
      <c r="HFL32" s="17"/>
      <c r="HFM32" s="17"/>
      <c r="HFN32" s="17"/>
      <c r="HFO32" s="17"/>
      <c r="HFP32" s="17"/>
      <c r="HFQ32" s="17"/>
      <c r="HFR32" s="17"/>
      <c r="HFS32" s="17"/>
      <c r="HFT32" s="17"/>
      <c r="HFU32" s="17"/>
      <c r="HFV32" s="17"/>
      <c r="HFW32" s="17"/>
      <c r="HFX32" s="17"/>
      <c r="HFY32" s="17"/>
      <c r="HFZ32" s="17"/>
      <c r="HGA32" s="17"/>
      <c r="HGB32" s="17"/>
      <c r="HGC32" s="17"/>
      <c r="HGD32" s="17"/>
      <c r="HGE32" s="17"/>
      <c r="HGF32" s="17"/>
      <c r="HGG32" s="17"/>
      <c r="HGH32" s="17"/>
      <c r="HGI32" s="17"/>
      <c r="HGJ32" s="17"/>
      <c r="HGK32" s="17"/>
      <c r="HGL32" s="17"/>
      <c r="HGM32" s="17"/>
      <c r="HGN32" s="17"/>
      <c r="HGO32" s="17"/>
      <c r="HGP32" s="17"/>
      <c r="HGQ32" s="17"/>
      <c r="HGR32" s="17"/>
      <c r="HGS32" s="17"/>
      <c r="HGT32" s="17"/>
      <c r="HGU32" s="17"/>
      <c r="HGV32" s="17"/>
      <c r="HGW32" s="17"/>
      <c r="HGX32" s="17"/>
      <c r="HGY32" s="17"/>
      <c r="HGZ32" s="17"/>
      <c r="HHA32" s="17"/>
      <c r="HHB32" s="17"/>
      <c r="HHC32" s="17"/>
      <c r="HHD32" s="17"/>
      <c r="HHE32" s="17"/>
      <c r="HHF32" s="17"/>
      <c r="HHG32" s="17"/>
      <c r="HHH32" s="17"/>
      <c r="HHI32" s="17"/>
      <c r="HHJ32" s="17"/>
      <c r="HHK32" s="17"/>
      <c r="HHL32" s="17"/>
      <c r="HHM32" s="17"/>
      <c r="HHN32" s="17"/>
      <c r="HHO32" s="17"/>
      <c r="HHP32" s="17"/>
      <c r="HHQ32" s="17"/>
      <c r="HHR32" s="17"/>
      <c r="HHS32" s="17"/>
      <c r="HHT32" s="17"/>
      <c r="HHU32" s="17"/>
      <c r="HHV32" s="17"/>
      <c r="HHW32" s="17"/>
      <c r="HHX32" s="17"/>
      <c r="HHY32" s="17"/>
      <c r="HHZ32" s="17"/>
      <c r="HIA32" s="17"/>
      <c r="HIB32" s="17"/>
      <c r="HIC32" s="17"/>
      <c r="HID32" s="17"/>
      <c r="HIE32" s="17"/>
      <c r="HIF32" s="17"/>
      <c r="HIG32" s="17"/>
      <c r="HIH32" s="17"/>
      <c r="HII32" s="17"/>
      <c r="HIJ32" s="17"/>
      <c r="HIK32" s="17"/>
      <c r="HIL32" s="17"/>
      <c r="HIM32" s="17"/>
      <c r="HIN32" s="17"/>
      <c r="HIO32" s="17"/>
      <c r="HIP32" s="17"/>
      <c r="HIQ32" s="17"/>
      <c r="HIR32" s="17"/>
      <c r="HIS32" s="17"/>
      <c r="HIT32" s="17"/>
      <c r="HIU32" s="17"/>
      <c r="HIV32" s="17"/>
      <c r="HIW32" s="17"/>
      <c r="HIX32" s="17"/>
      <c r="HIY32" s="17"/>
      <c r="HIZ32" s="17"/>
      <c r="HJA32" s="17"/>
      <c r="HJB32" s="17"/>
      <c r="HJC32" s="17"/>
      <c r="HJD32" s="17"/>
      <c r="HJE32" s="17"/>
      <c r="HJF32" s="17"/>
      <c r="HJG32" s="17"/>
      <c r="HJH32" s="17"/>
      <c r="HJI32" s="17"/>
      <c r="HJJ32" s="17"/>
      <c r="HJK32" s="17"/>
      <c r="HJL32" s="17"/>
      <c r="HJM32" s="17"/>
      <c r="HJN32" s="17"/>
      <c r="HJO32" s="17"/>
      <c r="HJP32" s="17"/>
      <c r="HJQ32" s="17"/>
      <c r="HJR32" s="17"/>
      <c r="HJS32" s="17"/>
      <c r="HJT32" s="17"/>
      <c r="HJU32" s="17"/>
      <c r="HJV32" s="17"/>
      <c r="HJW32" s="17"/>
      <c r="HJX32" s="17"/>
      <c r="HJY32" s="17"/>
      <c r="HJZ32" s="17"/>
      <c r="HKA32" s="17"/>
      <c r="HKB32" s="17"/>
      <c r="HKC32" s="17"/>
      <c r="HKD32" s="17"/>
      <c r="HKE32" s="17"/>
      <c r="HKF32" s="17"/>
      <c r="HKG32" s="17"/>
      <c r="HKH32" s="17"/>
      <c r="HKI32" s="17"/>
      <c r="HKJ32" s="17"/>
      <c r="HKK32" s="17"/>
      <c r="HKL32" s="17"/>
      <c r="HKM32" s="17"/>
      <c r="HKN32" s="17"/>
      <c r="HKO32" s="17"/>
      <c r="HKP32" s="17"/>
      <c r="HKQ32" s="17"/>
      <c r="HKR32" s="17"/>
      <c r="HKS32" s="17"/>
      <c r="HKT32" s="17"/>
      <c r="HKU32" s="17"/>
      <c r="HKV32" s="17"/>
      <c r="HKW32" s="17"/>
      <c r="HKX32" s="17"/>
      <c r="HKY32" s="17"/>
      <c r="HKZ32" s="17"/>
      <c r="HLA32" s="17"/>
      <c r="HLB32" s="17"/>
      <c r="HLC32" s="17"/>
      <c r="HLD32" s="17"/>
      <c r="HLE32" s="17"/>
      <c r="HLF32" s="17"/>
      <c r="HLG32" s="17"/>
      <c r="HLH32" s="17"/>
      <c r="HLI32" s="17"/>
      <c r="HLJ32" s="17"/>
      <c r="HLK32" s="17"/>
      <c r="HLL32" s="17"/>
      <c r="HLM32" s="17"/>
      <c r="HLN32" s="17"/>
      <c r="HLO32" s="17"/>
      <c r="HLP32" s="17"/>
      <c r="HLQ32" s="17"/>
      <c r="HLR32" s="17"/>
      <c r="HLS32" s="17"/>
      <c r="HLT32" s="17"/>
      <c r="HLU32" s="17"/>
      <c r="HLV32" s="17"/>
      <c r="HLW32" s="17"/>
      <c r="HLX32" s="17"/>
      <c r="HLY32" s="17"/>
      <c r="HLZ32" s="17"/>
      <c r="HMA32" s="17"/>
      <c r="HMB32" s="17"/>
      <c r="HMC32" s="17"/>
      <c r="HMD32" s="17"/>
      <c r="HME32" s="17"/>
      <c r="HMF32" s="17"/>
      <c r="HMG32" s="17"/>
      <c r="HMH32" s="17"/>
      <c r="HMI32" s="17"/>
      <c r="HMJ32" s="17"/>
      <c r="HMK32" s="17"/>
      <c r="HML32" s="17"/>
      <c r="HMM32" s="17"/>
      <c r="HMN32" s="17"/>
      <c r="HMO32" s="17"/>
      <c r="HMP32" s="17"/>
      <c r="HMQ32" s="17"/>
      <c r="HMR32" s="17"/>
      <c r="HMS32" s="17"/>
      <c r="HMT32" s="17"/>
      <c r="HMU32" s="17"/>
      <c r="HMV32" s="17"/>
      <c r="HMW32" s="17"/>
      <c r="HMX32" s="17"/>
      <c r="HMY32" s="17"/>
      <c r="HMZ32" s="17"/>
      <c r="HNA32" s="17"/>
      <c r="HNB32" s="17"/>
      <c r="HNC32" s="17"/>
      <c r="HND32" s="17"/>
      <c r="HNE32" s="17"/>
      <c r="HNF32" s="17"/>
      <c r="HNG32" s="17"/>
      <c r="HNH32" s="17"/>
      <c r="HNI32" s="17"/>
      <c r="HNJ32" s="17"/>
      <c r="HNK32" s="17"/>
      <c r="HNL32" s="17"/>
      <c r="HNM32" s="17"/>
      <c r="HNN32" s="17"/>
      <c r="HNO32" s="17"/>
      <c r="HNP32" s="17"/>
      <c r="HNQ32" s="17"/>
      <c r="HNR32" s="17"/>
      <c r="HNS32" s="17"/>
      <c r="HNT32" s="17"/>
      <c r="HNU32" s="17"/>
      <c r="HNV32" s="17"/>
      <c r="HNW32" s="17"/>
      <c r="HNX32" s="17"/>
      <c r="HNY32" s="17"/>
      <c r="HNZ32" s="17"/>
      <c r="HOA32" s="17"/>
      <c r="HOB32" s="17"/>
      <c r="HOC32" s="17"/>
      <c r="HOD32" s="17"/>
      <c r="HOE32" s="17"/>
      <c r="HOF32" s="17"/>
      <c r="HOG32" s="17"/>
      <c r="HOH32" s="17"/>
      <c r="HOI32" s="17"/>
      <c r="HOJ32" s="17"/>
      <c r="HOK32" s="17"/>
      <c r="HOL32" s="17"/>
      <c r="HOM32" s="17"/>
      <c r="HON32" s="17"/>
      <c r="HOO32" s="17"/>
      <c r="HOP32" s="17"/>
      <c r="HOQ32" s="17"/>
      <c r="HOR32" s="17"/>
      <c r="HOS32" s="17"/>
      <c r="HOT32" s="17"/>
      <c r="HOU32" s="17"/>
      <c r="HOV32" s="17"/>
      <c r="HOW32" s="17"/>
      <c r="HOX32" s="17"/>
      <c r="HOY32" s="17"/>
      <c r="HOZ32" s="17"/>
      <c r="HPA32" s="17"/>
      <c r="HPB32" s="17"/>
      <c r="HPC32" s="17"/>
      <c r="HPD32" s="17"/>
      <c r="HPE32" s="17"/>
      <c r="HPF32" s="17"/>
      <c r="HPG32" s="17"/>
      <c r="HPH32" s="17"/>
      <c r="HPI32" s="17"/>
      <c r="HPJ32" s="17"/>
      <c r="HPK32" s="17"/>
      <c r="HPL32" s="17"/>
      <c r="HPM32" s="17"/>
      <c r="HPN32" s="17"/>
      <c r="HPO32" s="17"/>
      <c r="HPP32" s="17"/>
      <c r="HPQ32" s="17"/>
      <c r="HPR32" s="17"/>
      <c r="HPS32" s="17"/>
      <c r="HPT32" s="17"/>
      <c r="HPU32" s="17"/>
      <c r="HPV32" s="17"/>
      <c r="HPW32" s="17"/>
      <c r="HPX32" s="17"/>
      <c r="HPY32" s="17"/>
      <c r="HPZ32" s="17"/>
      <c r="HQA32" s="17"/>
      <c r="HQB32" s="17"/>
      <c r="HQC32" s="17"/>
      <c r="HQD32" s="17"/>
      <c r="HQE32" s="17"/>
      <c r="HQF32" s="17"/>
      <c r="HQG32" s="17"/>
      <c r="HQH32" s="17"/>
      <c r="HQI32" s="17"/>
      <c r="HQJ32" s="17"/>
      <c r="HQK32" s="17"/>
      <c r="HQL32" s="17"/>
      <c r="HQM32" s="17"/>
      <c r="HQN32" s="17"/>
      <c r="HQO32" s="17"/>
      <c r="HQP32" s="17"/>
      <c r="HQQ32" s="17"/>
      <c r="HQR32" s="17"/>
      <c r="HQS32" s="17"/>
      <c r="HQT32" s="17"/>
      <c r="HQU32" s="17"/>
      <c r="HQV32" s="17"/>
      <c r="HQW32" s="17"/>
      <c r="HQX32" s="17"/>
      <c r="HQY32" s="17"/>
      <c r="HQZ32" s="17"/>
      <c r="HRA32" s="17"/>
      <c r="HRB32" s="17"/>
      <c r="HRC32" s="17"/>
      <c r="HRD32" s="17"/>
      <c r="HRE32" s="17"/>
      <c r="HRF32" s="17"/>
      <c r="HRG32" s="17"/>
      <c r="HRH32" s="17"/>
      <c r="HRI32" s="17"/>
      <c r="HRJ32" s="17"/>
      <c r="HRK32" s="17"/>
      <c r="HRL32" s="17"/>
      <c r="HRM32" s="17"/>
      <c r="HRN32" s="17"/>
      <c r="HRO32" s="17"/>
      <c r="HRP32" s="17"/>
      <c r="HRQ32" s="17"/>
      <c r="HRR32" s="17"/>
      <c r="HRS32" s="17"/>
      <c r="HRT32" s="17"/>
      <c r="HRU32" s="17"/>
      <c r="HRV32" s="17"/>
      <c r="HRW32" s="17"/>
      <c r="HRX32" s="17"/>
      <c r="HRY32" s="17"/>
      <c r="HRZ32" s="17"/>
      <c r="HSA32" s="17"/>
      <c r="HSB32" s="17"/>
      <c r="HSC32" s="17"/>
      <c r="HSD32" s="17"/>
      <c r="HSE32" s="17"/>
      <c r="HSF32" s="17"/>
      <c r="HSG32" s="17"/>
      <c r="HSH32" s="17"/>
      <c r="HSI32" s="17"/>
      <c r="HSJ32" s="17"/>
      <c r="HSK32" s="17"/>
      <c r="HSL32" s="17"/>
      <c r="HSM32" s="17"/>
      <c r="HSN32" s="17"/>
      <c r="HSO32" s="17"/>
      <c r="HSP32" s="17"/>
      <c r="HSQ32" s="17"/>
      <c r="HSR32" s="17"/>
      <c r="HSS32" s="17"/>
      <c r="HST32" s="17"/>
      <c r="HSU32" s="17"/>
      <c r="HSV32" s="17"/>
      <c r="HSW32" s="17"/>
      <c r="HSX32" s="17"/>
      <c r="HSY32" s="17"/>
      <c r="HSZ32" s="17"/>
      <c r="HTA32" s="17"/>
      <c r="HTB32" s="17"/>
      <c r="HTC32" s="17"/>
      <c r="HTD32" s="17"/>
      <c r="HTE32" s="17"/>
      <c r="HTF32" s="17"/>
      <c r="HTG32" s="17"/>
      <c r="HTH32" s="17"/>
      <c r="HTI32" s="17"/>
      <c r="HTJ32" s="17"/>
      <c r="HTK32" s="17"/>
      <c r="HTL32" s="17"/>
      <c r="HTM32" s="17"/>
      <c r="HTN32" s="17"/>
      <c r="HTO32" s="17"/>
      <c r="HTP32" s="17"/>
      <c r="HTQ32" s="17"/>
      <c r="HTR32" s="17"/>
      <c r="HTS32" s="17"/>
      <c r="HTT32" s="17"/>
      <c r="HTU32" s="17"/>
      <c r="HTV32" s="17"/>
      <c r="HTW32" s="17"/>
      <c r="HTX32" s="17"/>
      <c r="HTY32" s="17"/>
      <c r="HTZ32" s="17"/>
      <c r="HUA32" s="17"/>
      <c r="HUB32" s="17"/>
      <c r="HUC32" s="17"/>
      <c r="HUD32" s="17"/>
      <c r="HUE32" s="17"/>
      <c r="HUF32" s="17"/>
      <c r="HUG32" s="17"/>
      <c r="HUH32" s="17"/>
      <c r="HUI32" s="17"/>
      <c r="HUJ32" s="17"/>
      <c r="HUK32" s="17"/>
      <c r="HUL32" s="17"/>
      <c r="HUM32" s="17"/>
      <c r="HUN32" s="17"/>
      <c r="HUO32" s="17"/>
      <c r="HUP32" s="17"/>
      <c r="HUQ32" s="17"/>
      <c r="HUR32" s="17"/>
      <c r="HUS32" s="17"/>
      <c r="HUT32" s="17"/>
      <c r="HUU32" s="17"/>
      <c r="HUV32" s="17"/>
      <c r="HUW32" s="17"/>
      <c r="HUX32" s="17"/>
      <c r="HUY32" s="17"/>
      <c r="HUZ32" s="17"/>
      <c r="HVA32" s="17"/>
      <c r="HVB32" s="17"/>
      <c r="HVC32" s="17"/>
      <c r="HVD32" s="17"/>
      <c r="HVE32" s="17"/>
      <c r="HVF32" s="17"/>
      <c r="HVG32" s="17"/>
      <c r="HVH32" s="17"/>
      <c r="HVI32" s="17"/>
      <c r="HVJ32" s="17"/>
      <c r="HVK32" s="17"/>
      <c r="HVL32" s="17"/>
      <c r="HVM32" s="17"/>
      <c r="HVN32" s="17"/>
      <c r="HVO32" s="17"/>
      <c r="HVP32" s="17"/>
      <c r="HVQ32" s="17"/>
      <c r="HVR32" s="17"/>
      <c r="HVS32" s="17"/>
      <c r="HVT32" s="17"/>
      <c r="HVU32" s="17"/>
      <c r="HVV32" s="17"/>
      <c r="HVW32" s="17"/>
      <c r="HVX32" s="17"/>
      <c r="HVY32" s="17"/>
      <c r="HVZ32" s="17"/>
      <c r="HWA32" s="17"/>
      <c r="HWB32" s="17"/>
      <c r="HWC32" s="17"/>
      <c r="HWD32" s="17"/>
      <c r="HWE32" s="17"/>
      <c r="HWF32" s="17"/>
      <c r="HWG32" s="17"/>
      <c r="HWH32" s="17"/>
      <c r="HWI32" s="17"/>
      <c r="HWJ32" s="17"/>
      <c r="HWK32" s="17"/>
      <c r="HWL32" s="17"/>
      <c r="HWM32" s="17"/>
      <c r="HWN32" s="17"/>
      <c r="HWO32" s="17"/>
      <c r="HWP32" s="17"/>
      <c r="HWQ32" s="17"/>
      <c r="HWR32" s="17"/>
      <c r="HWS32" s="17"/>
      <c r="HWT32" s="17"/>
      <c r="HWU32" s="17"/>
      <c r="HWV32" s="17"/>
      <c r="HWW32" s="17"/>
      <c r="HWX32" s="17"/>
      <c r="HWY32" s="17"/>
      <c r="HWZ32" s="17"/>
      <c r="HXA32" s="17"/>
      <c r="HXB32" s="17"/>
      <c r="HXC32" s="17"/>
      <c r="HXD32" s="17"/>
      <c r="HXE32" s="17"/>
      <c r="HXF32" s="17"/>
      <c r="HXG32" s="17"/>
      <c r="HXH32" s="17"/>
      <c r="HXI32" s="17"/>
      <c r="HXJ32" s="17"/>
      <c r="HXK32" s="17"/>
      <c r="HXL32" s="17"/>
      <c r="HXM32" s="17"/>
      <c r="HXN32" s="17"/>
      <c r="HXO32" s="17"/>
      <c r="HXP32" s="17"/>
      <c r="HXQ32" s="17"/>
      <c r="HXR32" s="17"/>
      <c r="HXS32" s="17"/>
      <c r="HXT32" s="17"/>
      <c r="HXU32" s="17"/>
      <c r="HXV32" s="17"/>
      <c r="HXW32" s="17"/>
      <c r="HXX32" s="17"/>
      <c r="HXY32" s="17"/>
      <c r="HXZ32" s="17"/>
      <c r="HYA32" s="17"/>
      <c r="HYB32" s="17"/>
      <c r="HYC32" s="17"/>
      <c r="HYD32" s="17"/>
      <c r="HYE32" s="17"/>
      <c r="HYF32" s="17"/>
      <c r="HYG32" s="17"/>
      <c r="HYH32" s="17"/>
      <c r="HYI32" s="17"/>
      <c r="HYJ32" s="17"/>
      <c r="HYK32" s="17"/>
      <c r="HYL32" s="17"/>
      <c r="HYM32" s="17"/>
      <c r="HYN32" s="17"/>
      <c r="HYO32" s="17"/>
      <c r="HYP32" s="17"/>
      <c r="HYQ32" s="17"/>
      <c r="HYR32" s="17"/>
      <c r="HYS32" s="17"/>
      <c r="HYT32" s="17"/>
      <c r="HYU32" s="17"/>
      <c r="HYV32" s="17"/>
      <c r="HYW32" s="17"/>
      <c r="HYX32" s="17"/>
      <c r="HYY32" s="17"/>
      <c r="HYZ32" s="17"/>
      <c r="HZA32" s="17"/>
      <c r="HZB32" s="17"/>
      <c r="HZC32" s="17"/>
      <c r="HZD32" s="17"/>
      <c r="HZE32" s="17"/>
      <c r="HZF32" s="17"/>
      <c r="HZG32" s="17"/>
      <c r="HZH32" s="17"/>
      <c r="HZI32" s="17"/>
      <c r="HZJ32" s="17"/>
      <c r="HZK32" s="17"/>
      <c r="HZL32" s="17"/>
      <c r="HZM32" s="17"/>
      <c r="HZN32" s="17"/>
      <c r="HZO32" s="17"/>
      <c r="HZP32" s="17"/>
      <c r="HZQ32" s="17"/>
      <c r="HZR32" s="17"/>
      <c r="HZS32" s="17"/>
      <c r="HZT32" s="17"/>
      <c r="HZU32" s="17"/>
      <c r="HZV32" s="17"/>
      <c r="HZW32" s="17"/>
      <c r="HZX32" s="17"/>
      <c r="HZY32" s="17"/>
      <c r="HZZ32" s="17"/>
      <c r="IAA32" s="17"/>
      <c r="IAB32" s="17"/>
      <c r="IAC32" s="17"/>
      <c r="IAD32" s="17"/>
      <c r="IAE32" s="17"/>
      <c r="IAF32" s="17"/>
      <c r="IAG32" s="17"/>
      <c r="IAH32" s="17"/>
      <c r="IAI32" s="17"/>
      <c r="IAJ32" s="17"/>
      <c r="IAK32" s="17"/>
      <c r="IAL32" s="17"/>
      <c r="IAM32" s="17"/>
      <c r="IAN32" s="17"/>
      <c r="IAO32" s="17"/>
      <c r="IAP32" s="17"/>
      <c r="IAQ32" s="17"/>
      <c r="IAR32" s="17"/>
      <c r="IAS32" s="17"/>
      <c r="IAT32" s="17"/>
      <c r="IAU32" s="17"/>
      <c r="IAV32" s="17"/>
      <c r="IAW32" s="17"/>
      <c r="IAX32" s="17"/>
      <c r="IAY32" s="17"/>
      <c r="IAZ32" s="17"/>
      <c r="IBA32" s="17"/>
      <c r="IBB32" s="17"/>
      <c r="IBC32" s="17"/>
      <c r="IBD32" s="17"/>
      <c r="IBE32" s="17"/>
      <c r="IBF32" s="17"/>
      <c r="IBG32" s="17"/>
      <c r="IBH32" s="17"/>
      <c r="IBI32" s="17"/>
      <c r="IBJ32" s="17"/>
      <c r="IBK32" s="17"/>
      <c r="IBL32" s="17"/>
      <c r="IBM32" s="17"/>
      <c r="IBN32" s="17"/>
      <c r="IBO32" s="17"/>
      <c r="IBP32" s="17"/>
      <c r="IBQ32" s="17"/>
      <c r="IBR32" s="17"/>
      <c r="IBS32" s="17"/>
      <c r="IBT32" s="17"/>
      <c r="IBU32" s="17"/>
      <c r="IBV32" s="17"/>
      <c r="IBW32" s="17"/>
      <c r="IBX32" s="17"/>
      <c r="IBY32" s="17"/>
      <c r="IBZ32" s="17"/>
      <c r="ICA32" s="17"/>
      <c r="ICB32" s="17"/>
      <c r="ICC32" s="17"/>
      <c r="ICD32" s="17"/>
      <c r="ICE32" s="17"/>
      <c r="ICF32" s="17"/>
      <c r="ICG32" s="17"/>
      <c r="ICH32" s="17"/>
      <c r="ICI32" s="17"/>
      <c r="ICJ32" s="17"/>
      <c r="ICK32" s="17"/>
      <c r="ICL32" s="17"/>
      <c r="ICM32" s="17"/>
      <c r="ICN32" s="17"/>
      <c r="ICO32" s="17"/>
      <c r="ICP32" s="17"/>
      <c r="ICQ32" s="17"/>
      <c r="ICR32" s="17"/>
      <c r="ICS32" s="17"/>
      <c r="ICT32" s="17"/>
      <c r="ICU32" s="17"/>
      <c r="ICV32" s="17"/>
      <c r="ICW32" s="17"/>
      <c r="ICX32" s="17"/>
      <c r="ICY32" s="17"/>
      <c r="ICZ32" s="17"/>
      <c r="IDA32" s="17"/>
      <c r="IDB32" s="17"/>
      <c r="IDC32" s="17"/>
      <c r="IDD32" s="17"/>
      <c r="IDE32" s="17"/>
      <c r="IDF32" s="17"/>
      <c r="IDG32" s="17"/>
      <c r="IDH32" s="17"/>
      <c r="IDI32" s="17"/>
      <c r="IDJ32" s="17"/>
      <c r="IDK32" s="17"/>
      <c r="IDL32" s="17"/>
      <c r="IDM32" s="17"/>
      <c r="IDN32" s="17"/>
      <c r="IDO32" s="17"/>
      <c r="IDP32" s="17"/>
      <c r="IDQ32" s="17"/>
      <c r="IDR32" s="17"/>
      <c r="IDS32" s="17"/>
      <c r="IDT32" s="17"/>
      <c r="IDU32" s="17"/>
      <c r="IDV32" s="17"/>
      <c r="IDW32" s="17"/>
      <c r="IDX32" s="17"/>
      <c r="IDY32" s="17"/>
      <c r="IDZ32" s="17"/>
      <c r="IEA32" s="17"/>
      <c r="IEB32" s="17"/>
      <c r="IEC32" s="17"/>
      <c r="IED32" s="17"/>
      <c r="IEE32" s="17"/>
      <c r="IEF32" s="17"/>
      <c r="IEG32" s="17"/>
      <c r="IEH32" s="17"/>
      <c r="IEI32" s="17"/>
      <c r="IEJ32" s="17"/>
      <c r="IEK32" s="17"/>
      <c r="IEL32" s="17"/>
      <c r="IEM32" s="17"/>
      <c r="IEN32" s="17"/>
      <c r="IEO32" s="17"/>
      <c r="IEP32" s="17"/>
      <c r="IEQ32" s="17"/>
      <c r="IER32" s="17"/>
      <c r="IES32" s="17"/>
      <c r="IET32" s="17"/>
      <c r="IEU32" s="17"/>
      <c r="IEV32" s="17"/>
      <c r="IEW32" s="17"/>
      <c r="IEX32" s="17"/>
      <c r="IEY32" s="17"/>
      <c r="IEZ32" s="17"/>
      <c r="IFA32" s="17"/>
      <c r="IFB32" s="17"/>
      <c r="IFC32" s="17"/>
      <c r="IFD32" s="17"/>
      <c r="IFE32" s="17"/>
      <c r="IFF32" s="17"/>
      <c r="IFG32" s="17"/>
      <c r="IFH32" s="17"/>
      <c r="IFI32" s="17"/>
      <c r="IFJ32" s="17"/>
      <c r="IFK32" s="17"/>
      <c r="IFL32" s="17"/>
      <c r="IFM32" s="17"/>
      <c r="IFN32" s="17"/>
      <c r="IFO32" s="17"/>
      <c r="IFP32" s="17"/>
      <c r="IFQ32" s="17"/>
      <c r="IFR32" s="17"/>
      <c r="IFS32" s="17"/>
      <c r="IFT32" s="17"/>
      <c r="IFU32" s="17"/>
      <c r="IFV32" s="17"/>
      <c r="IFW32" s="17"/>
      <c r="IFX32" s="17"/>
      <c r="IFY32" s="17"/>
      <c r="IFZ32" s="17"/>
      <c r="IGA32" s="17"/>
      <c r="IGB32" s="17"/>
      <c r="IGC32" s="17"/>
      <c r="IGD32" s="17"/>
      <c r="IGE32" s="17"/>
      <c r="IGF32" s="17"/>
      <c r="IGG32" s="17"/>
      <c r="IGH32" s="17"/>
      <c r="IGI32" s="17"/>
      <c r="IGJ32" s="17"/>
      <c r="IGK32" s="17"/>
      <c r="IGL32" s="17"/>
      <c r="IGM32" s="17"/>
      <c r="IGN32" s="17"/>
      <c r="IGO32" s="17"/>
      <c r="IGP32" s="17"/>
      <c r="IGQ32" s="17"/>
      <c r="IGR32" s="17"/>
      <c r="IGS32" s="17"/>
      <c r="IGT32" s="17"/>
      <c r="IGU32" s="17"/>
      <c r="IGV32" s="17"/>
      <c r="IGW32" s="17"/>
      <c r="IGX32" s="17"/>
      <c r="IGY32" s="17"/>
      <c r="IGZ32" s="17"/>
      <c r="IHA32" s="17"/>
      <c r="IHB32" s="17"/>
      <c r="IHC32" s="17"/>
      <c r="IHD32" s="17"/>
      <c r="IHE32" s="17"/>
      <c r="IHF32" s="17"/>
      <c r="IHG32" s="17"/>
      <c r="IHH32" s="17"/>
      <c r="IHI32" s="17"/>
      <c r="IHJ32" s="17"/>
      <c r="IHK32" s="17"/>
      <c r="IHL32" s="17"/>
      <c r="IHM32" s="17"/>
      <c r="IHN32" s="17"/>
      <c r="IHO32" s="17"/>
      <c r="IHP32" s="17"/>
      <c r="IHQ32" s="17"/>
      <c r="IHR32" s="17"/>
      <c r="IHS32" s="17"/>
      <c r="IHT32" s="17"/>
      <c r="IHU32" s="17"/>
      <c r="IHV32" s="17"/>
      <c r="IHW32" s="17"/>
      <c r="IHX32" s="17"/>
      <c r="IHY32" s="17"/>
      <c r="IHZ32" s="17"/>
      <c r="IIA32" s="17"/>
      <c r="IIB32" s="17"/>
      <c r="IIC32" s="17"/>
      <c r="IID32" s="17"/>
      <c r="IIE32" s="17"/>
      <c r="IIF32" s="17"/>
      <c r="IIG32" s="17"/>
      <c r="IIH32" s="17"/>
      <c r="III32" s="17"/>
      <c r="IIJ32" s="17"/>
      <c r="IIK32" s="17"/>
      <c r="IIL32" s="17"/>
      <c r="IIM32" s="17"/>
      <c r="IIN32" s="17"/>
      <c r="IIO32" s="17"/>
      <c r="IIP32" s="17"/>
      <c r="IIQ32" s="17"/>
      <c r="IIR32" s="17"/>
      <c r="IIS32" s="17"/>
      <c r="IIT32" s="17"/>
      <c r="IIU32" s="17"/>
      <c r="IIV32" s="17"/>
      <c r="IIW32" s="17"/>
      <c r="IIX32" s="17"/>
      <c r="IIY32" s="17"/>
      <c r="IIZ32" s="17"/>
      <c r="IJA32" s="17"/>
      <c r="IJB32" s="17"/>
      <c r="IJC32" s="17"/>
      <c r="IJD32" s="17"/>
      <c r="IJE32" s="17"/>
      <c r="IJF32" s="17"/>
      <c r="IJG32" s="17"/>
      <c r="IJH32" s="17"/>
      <c r="IJI32" s="17"/>
      <c r="IJJ32" s="17"/>
      <c r="IJK32" s="17"/>
      <c r="IJL32" s="17"/>
      <c r="IJM32" s="17"/>
      <c r="IJN32" s="17"/>
      <c r="IJO32" s="17"/>
      <c r="IJP32" s="17"/>
      <c r="IJQ32" s="17"/>
      <c r="IJR32" s="17"/>
      <c r="IJS32" s="17"/>
      <c r="IJT32" s="17"/>
      <c r="IJU32" s="17"/>
      <c r="IJV32" s="17"/>
      <c r="IJW32" s="17"/>
      <c r="IJX32" s="17"/>
      <c r="IJY32" s="17"/>
      <c r="IJZ32" s="17"/>
      <c r="IKA32" s="17"/>
      <c r="IKB32" s="17"/>
      <c r="IKC32" s="17"/>
      <c r="IKD32" s="17"/>
      <c r="IKE32" s="17"/>
      <c r="IKF32" s="17"/>
      <c r="IKG32" s="17"/>
      <c r="IKH32" s="17"/>
      <c r="IKI32" s="17"/>
      <c r="IKJ32" s="17"/>
      <c r="IKK32" s="17"/>
      <c r="IKL32" s="17"/>
      <c r="IKM32" s="17"/>
      <c r="IKN32" s="17"/>
      <c r="IKO32" s="17"/>
      <c r="IKP32" s="17"/>
      <c r="IKQ32" s="17"/>
      <c r="IKR32" s="17"/>
      <c r="IKS32" s="17"/>
      <c r="IKT32" s="17"/>
      <c r="IKU32" s="17"/>
      <c r="IKV32" s="17"/>
      <c r="IKW32" s="17"/>
      <c r="IKX32" s="17"/>
      <c r="IKY32" s="17"/>
      <c r="IKZ32" s="17"/>
      <c r="ILA32" s="17"/>
      <c r="ILB32" s="17"/>
      <c r="ILC32" s="17"/>
      <c r="ILD32" s="17"/>
      <c r="ILE32" s="17"/>
      <c r="ILF32" s="17"/>
      <c r="ILG32" s="17"/>
      <c r="ILH32" s="17"/>
      <c r="ILI32" s="17"/>
      <c r="ILJ32" s="17"/>
      <c r="ILK32" s="17"/>
      <c r="ILL32" s="17"/>
      <c r="ILM32" s="17"/>
      <c r="ILN32" s="17"/>
      <c r="ILO32" s="17"/>
      <c r="ILP32" s="17"/>
      <c r="ILQ32" s="17"/>
      <c r="ILR32" s="17"/>
      <c r="ILS32" s="17"/>
      <c r="ILT32" s="17"/>
      <c r="ILU32" s="17"/>
      <c r="ILV32" s="17"/>
      <c r="ILW32" s="17"/>
      <c r="ILX32" s="17"/>
      <c r="ILY32" s="17"/>
      <c r="ILZ32" s="17"/>
      <c r="IMA32" s="17"/>
      <c r="IMB32" s="17"/>
      <c r="IMC32" s="17"/>
      <c r="IMD32" s="17"/>
      <c r="IME32" s="17"/>
      <c r="IMF32" s="17"/>
      <c r="IMG32" s="17"/>
      <c r="IMH32" s="17"/>
      <c r="IMI32" s="17"/>
      <c r="IMJ32" s="17"/>
      <c r="IMK32" s="17"/>
      <c r="IML32" s="17"/>
      <c r="IMM32" s="17"/>
      <c r="IMN32" s="17"/>
      <c r="IMO32" s="17"/>
      <c r="IMP32" s="17"/>
      <c r="IMQ32" s="17"/>
      <c r="IMR32" s="17"/>
      <c r="IMS32" s="17"/>
      <c r="IMT32" s="17"/>
      <c r="IMU32" s="17"/>
      <c r="IMV32" s="17"/>
      <c r="IMW32" s="17"/>
      <c r="IMX32" s="17"/>
      <c r="IMY32" s="17"/>
      <c r="IMZ32" s="17"/>
      <c r="INA32" s="17"/>
      <c r="INB32" s="17"/>
      <c r="INC32" s="17"/>
      <c r="IND32" s="17"/>
      <c r="INE32" s="17"/>
      <c r="INF32" s="17"/>
      <c r="ING32" s="17"/>
      <c r="INH32" s="17"/>
      <c r="INI32" s="17"/>
      <c r="INJ32" s="17"/>
      <c r="INK32" s="17"/>
      <c r="INL32" s="17"/>
      <c r="INM32" s="17"/>
      <c r="INN32" s="17"/>
      <c r="INO32" s="17"/>
      <c r="INP32" s="17"/>
      <c r="INQ32" s="17"/>
      <c r="INR32" s="17"/>
      <c r="INS32" s="17"/>
      <c r="INT32" s="17"/>
      <c r="INU32" s="17"/>
      <c r="INV32" s="17"/>
      <c r="INW32" s="17"/>
      <c r="INX32" s="17"/>
      <c r="INY32" s="17"/>
      <c r="INZ32" s="17"/>
      <c r="IOA32" s="17"/>
      <c r="IOB32" s="17"/>
      <c r="IOC32" s="17"/>
      <c r="IOD32" s="17"/>
      <c r="IOE32" s="17"/>
      <c r="IOF32" s="17"/>
      <c r="IOG32" s="17"/>
      <c r="IOH32" s="17"/>
      <c r="IOI32" s="17"/>
      <c r="IOJ32" s="17"/>
      <c r="IOK32" s="17"/>
      <c r="IOL32" s="17"/>
      <c r="IOM32" s="17"/>
      <c r="ION32" s="17"/>
      <c r="IOO32" s="17"/>
      <c r="IOP32" s="17"/>
      <c r="IOQ32" s="17"/>
      <c r="IOR32" s="17"/>
      <c r="IOS32" s="17"/>
      <c r="IOT32" s="17"/>
      <c r="IOU32" s="17"/>
      <c r="IOV32" s="17"/>
      <c r="IOW32" s="17"/>
      <c r="IOX32" s="17"/>
      <c r="IOY32" s="17"/>
      <c r="IOZ32" s="17"/>
      <c r="IPA32" s="17"/>
      <c r="IPB32" s="17"/>
      <c r="IPC32" s="17"/>
      <c r="IPD32" s="17"/>
      <c r="IPE32" s="17"/>
      <c r="IPF32" s="17"/>
      <c r="IPG32" s="17"/>
      <c r="IPH32" s="17"/>
      <c r="IPI32" s="17"/>
      <c r="IPJ32" s="17"/>
      <c r="IPK32" s="17"/>
      <c r="IPL32" s="17"/>
      <c r="IPM32" s="17"/>
      <c r="IPN32" s="17"/>
      <c r="IPO32" s="17"/>
      <c r="IPP32" s="17"/>
      <c r="IPQ32" s="17"/>
      <c r="IPR32" s="17"/>
      <c r="IPS32" s="17"/>
      <c r="IPT32" s="17"/>
      <c r="IPU32" s="17"/>
      <c r="IPV32" s="17"/>
      <c r="IPW32" s="17"/>
      <c r="IPX32" s="17"/>
      <c r="IPY32" s="17"/>
      <c r="IPZ32" s="17"/>
      <c r="IQA32" s="17"/>
      <c r="IQB32" s="17"/>
      <c r="IQC32" s="17"/>
      <c r="IQD32" s="17"/>
      <c r="IQE32" s="17"/>
      <c r="IQF32" s="17"/>
      <c r="IQG32" s="17"/>
      <c r="IQH32" s="17"/>
      <c r="IQI32" s="17"/>
      <c r="IQJ32" s="17"/>
      <c r="IQK32" s="17"/>
      <c r="IQL32" s="17"/>
      <c r="IQM32" s="17"/>
      <c r="IQN32" s="17"/>
      <c r="IQO32" s="17"/>
      <c r="IQP32" s="17"/>
      <c r="IQQ32" s="17"/>
      <c r="IQR32" s="17"/>
      <c r="IQS32" s="17"/>
      <c r="IQT32" s="17"/>
      <c r="IQU32" s="17"/>
      <c r="IQV32" s="17"/>
      <c r="IQW32" s="17"/>
      <c r="IQX32" s="17"/>
      <c r="IQY32" s="17"/>
      <c r="IQZ32" s="17"/>
      <c r="IRA32" s="17"/>
      <c r="IRB32" s="17"/>
      <c r="IRC32" s="17"/>
      <c r="IRD32" s="17"/>
      <c r="IRE32" s="17"/>
      <c r="IRF32" s="17"/>
      <c r="IRG32" s="17"/>
      <c r="IRH32" s="17"/>
      <c r="IRI32" s="17"/>
      <c r="IRJ32" s="17"/>
      <c r="IRK32" s="17"/>
      <c r="IRL32" s="17"/>
      <c r="IRM32" s="17"/>
      <c r="IRN32" s="17"/>
      <c r="IRO32" s="17"/>
      <c r="IRP32" s="17"/>
      <c r="IRQ32" s="17"/>
      <c r="IRR32" s="17"/>
      <c r="IRS32" s="17"/>
      <c r="IRT32" s="17"/>
      <c r="IRU32" s="17"/>
      <c r="IRV32" s="17"/>
      <c r="IRW32" s="17"/>
      <c r="IRX32" s="17"/>
      <c r="IRY32" s="17"/>
      <c r="IRZ32" s="17"/>
      <c r="ISA32" s="17"/>
      <c r="ISB32" s="17"/>
      <c r="ISC32" s="17"/>
      <c r="ISD32" s="17"/>
      <c r="ISE32" s="17"/>
      <c r="ISF32" s="17"/>
      <c r="ISG32" s="17"/>
      <c r="ISH32" s="17"/>
      <c r="ISI32" s="17"/>
      <c r="ISJ32" s="17"/>
      <c r="ISK32" s="17"/>
      <c r="ISL32" s="17"/>
      <c r="ISM32" s="17"/>
      <c r="ISN32" s="17"/>
      <c r="ISO32" s="17"/>
      <c r="ISP32" s="17"/>
      <c r="ISQ32" s="17"/>
      <c r="ISR32" s="17"/>
      <c r="ISS32" s="17"/>
      <c r="IST32" s="17"/>
      <c r="ISU32" s="17"/>
      <c r="ISV32" s="17"/>
      <c r="ISW32" s="17"/>
      <c r="ISX32" s="17"/>
      <c r="ISY32" s="17"/>
      <c r="ISZ32" s="17"/>
      <c r="ITA32" s="17"/>
      <c r="ITB32" s="17"/>
      <c r="ITC32" s="17"/>
      <c r="ITD32" s="17"/>
      <c r="ITE32" s="17"/>
      <c r="ITF32" s="17"/>
      <c r="ITG32" s="17"/>
      <c r="ITH32" s="17"/>
      <c r="ITI32" s="17"/>
      <c r="ITJ32" s="17"/>
      <c r="ITK32" s="17"/>
      <c r="ITL32" s="17"/>
      <c r="ITM32" s="17"/>
      <c r="ITN32" s="17"/>
      <c r="ITO32" s="17"/>
      <c r="ITP32" s="17"/>
      <c r="ITQ32" s="17"/>
      <c r="ITR32" s="17"/>
      <c r="ITS32" s="17"/>
      <c r="ITT32" s="17"/>
      <c r="ITU32" s="17"/>
      <c r="ITV32" s="17"/>
      <c r="ITW32" s="17"/>
      <c r="ITX32" s="17"/>
      <c r="ITY32" s="17"/>
      <c r="ITZ32" s="17"/>
      <c r="IUA32" s="17"/>
      <c r="IUB32" s="17"/>
      <c r="IUC32" s="17"/>
      <c r="IUD32" s="17"/>
      <c r="IUE32" s="17"/>
      <c r="IUF32" s="17"/>
      <c r="IUG32" s="17"/>
      <c r="IUH32" s="17"/>
      <c r="IUI32" s="17"/>
      <c r="IUJ32" s="17"/>
      <c r="IUK32" s="17"/>
      <c r="IUL32" s="17"/>
      <c r="IUM32" s="17"/>
      <c r="IUN32" s="17"/>
      <c r="IUO32" s="17"/>
      <c r="IUP32" s="17"/>
      <c r="IUQ32" s="17"/>
      <c r="IUR32" s="17"/>
      <c r="IUS32" s="17"/>
      <c r="IUT32" s="17"/>
      <c r="IUU32" s="17"/>
      <c r="IUV32" s="17"/>
      <c r="IUW32" s="17"/>
      <c r="IUX32" s="17"/>
      <c r="IUY32" s="17"/>
      <c r="IUZ32" s="17"/>
      <c r="IVA32" s="17"/>
      <c r="IVB32" s="17"/>
      <c r="IVC32" s="17"/>
      <c r="IVD32" s="17"/>
      <c r="IVE32" s="17"/>
      <c r="IVF32" s="17"/>
      <c r="IVG32" s="17"/>
      <c r="IVH32" s="17"/>
      <c r="IVI32" s="17"/>
      <c r="IVJ32" s="17"/>
      <c r="IVK32" s="17"/>
      <c r="IVL32" s="17"/>
      <c r="IVM32" s="17"/>
      <c r="IVN32" s="17"/>
      <c r="IVO32" s="17"/>
      <c r="IVP32" s="17"/>
      <c r="IVQ32" s="17"/>
      <c r="IVR32" s="17"/>
      <c r="IVS32" s="17"/>
      <c r="IVT32" s="17"/>
      <c r="IVU32" s="17"/>
      <c r="IVV32" s="17"/>
      <c r="IVW32" s="17"/>
      <c r="IVX32" s="17"/>
      <c r="IVY32" s="17"/>
      <c r="IVZ32" s="17"/>
      <c r="IWA32" s="17"/>
      <c r="IWB32" s="17"/>
      <c r="IWC32" s="17"/>
      <c r="IWD32" s="17"/>
      <c r="IWE32" s="17"/>
      <c r="IWF32" s="17"/>
      <c r="IWG32" s="17"/>
      <c r="IWH32" s="17"/>
      <c r="IWI32" s="17"/>
      <c r="IWJ32" s="17"/>
      <c r="IWK32" s="17"/>
      <c r="IWL32" s="17"/>
      <c r="IWM32" s="17"/>
      <c r="IWN32" s="17"/>
      <c r="IWO32" s="17"/>
      <c r="IWP32" s="17"/>
      <c r="IWQ32" s="17"/>
      <c r="IWR32" s="17"/>
      <c r="IWS32" s="17"/>
      <c r="IWT32" s="17"/>
      <c r="IWU32" s="17"/>
      <c r="IWV32" s="17"/>
      <c r="IWW32" s="17"/>
      <c r="IWX32" s="17"/>
      <c r="IWY32" s="17"/>
      <c r="IWZ32" s="17"/>
      <c r="IXA32" s="17"/>
      <c r="IXB32" s="17"/>
      <c r="IXC32" s="17"/>
      <c r="IXD32" s="17"/>
      <c r="IXE32" s="17"/>
      <c r="IXF32" s="17"/>
      <c r="IXG32" s="17"/>
      <c r="IXH32" s="17"/>
      <c r="IXI32" s="17"/>
      <c r="IXJ32" s="17"/>
      <c r="IXK32" s="17"/>
      <c r="IXL32" s="17"/>
      <c r="IXM32" s="17"/>
      <c r="IXN32" s="17"/>
      <c r="IXO32" s="17"/>
      <c r="IXP32" s="17"/>
      <c r="IXQ32" s="17"/>
      <c r="IXR32" s="17"/>
      <c r="IXS32" s="17"/>
      <c r="IXT32" s="17"/>
      <c r="IXU32" s="17"/>
      <c r="IXV32" s="17"/>
      <c r="IXW32" s="17"/>
      <c r="IXX32" s="17"/>
      <c r="IXY32" s="17"/>
      <c r="IXZ32" s="17"/>
      <c r="IYA32" s="17"/>
      <c r="IYB32" s="17"/>
      <c r="IYC32" s="17"/>
      <c r="IYD32" s="17"/>
      <c r="IYE32" s="17"/>
      <c r="IYF32" s="17"/>
      <c r="IYG32" s="17"/>
      <c r="IYH32" s="17"/>
      <c r="IYI32" s="17"/>
      <c r="IYJ32" s="17"/>
      <c r="IYK32" s="17"/>
      <c r="IYL32" s="17"/>
      <c r="IYM32" s="17"/>
      <c r="IYN32" s="17"/>
      <c r="IYO32" s="17"/>
      <c r="IYP32" s="17"/>
      <c r="IYQ32" s="17"/>
      <c r="IYR32" s="17"/>
      <c r="IYS32" s="17"/>
      <c r="IYT32" s="17"/>
      <c r="IYU32" s="17"/>
      <c r="IYV32" s="17"/>
      <c r="IYW32" s="17"/>
      <c r="IYX32" s="17"/>
      <c r="IYY32" s="17"/>
      <c r="IYZ32" s="17"/>
      <c r="IZA32" s="17"/>
      <c r="IZB32" s="17"/>
      <c r="IZC32" s="17"/>
      <c r="IZD32" s="17"/>
      <c r="IZE32" s="17"/>
      <c r="IZF32" s="17"/>
      <c r="IZG32" s="17"/>
      <c r="IZH32" s="17"/>
      <c r="IZI32" s="17"/>
      <c r="IZJ32" s="17"/>
      <c r="IZK32" s="17"/>
      <c r="IZL32" s="17"/>
      <c r="IZM32" s="17"/>
      <c r="IZN32" s="17"/>
      <c r="IZO32" s="17"/>
      <c r="IZP32" s="17"/>
      <c r="IZQ32" s="17"/>
      <c r="IZR32" s="17"/>
      <c r="IZS32" s="17"/>
      <c r="IZT32" s="17"/>
      <c r="IZU32" s="17"/>
      <c r="IZV32" s="17"/>
      <c r="IZW32" s="17"/>
      <c r="IZX32" s="17"/>
      <c r="IZY32" s="17"/>
      <c r="IZZ32" s="17"/>
      <c r="JAA32" s="17"/>
      <c r="JAB32" s="17"/>
      <c r="JAC32" s="17"/>
      <c r="JAD32" s="17"/>
      <c r="JAE32" s="17"/>
      <c r="JAF32" s="17"/>
      <c r="JAG32" s="17"/>
      <c r="JAH32" s="17"/>
      <c r="JAI32" s="17"/>
      <c r="JAJ32" s="17"/>
      <c r="JAK32" s="17"/>
      <c r="JAL32" s="17"/>
      <c r="JAM32" s="17"/>
      <c r="JAN32" s="17"/>
      <c r="JAO32" s="17"/>
      <c r="JAP32" s="17"/>
      <c r="JAQ32" s="17"/>
      <c r="JAR32" s="17"/>
      <c r="JAS32" s="17"/>
      <c r="JAT32" s="17"/>
      <c r="JAU32" s="17"/>
      <c r="JAV32" s="17"/>
      <c r="JAW32" s="17"/>
      <c r="JAX32" s="17"/>
      <c r="JAY32" s="17"/>
      <c r="JAZ32" s="17"/>
      <c r="JBA32" s="17"/>
      <c r="JBB32" s="17"/>
      <c r="JBC32" s="17"/>
      <c r="JBD32" s="17"/>
      <c r="JBE32" s="17"/>
      <c r="JBF32" s="17"/>
      <c r="JBG32" s="17"/>
      <c r="JBH32" s="17"/>
      <c r="JBI32" s="17"/>
      <c r="JBJ32" s="17"/>
      <c r="JBK32" s="17"/>
      <c r="JBL32" s="17"/>
      <c r="JBM32" s="17"/>
      <c r="JBN32" s="17"/>
      <c r="JBO32" s="17"/>
      <c r="JBP32" s="17"/>
      <c r="JBQ32" s="17"/>
      <c r="JBR32" s="17"/>
      <c r="JBS32" s="17"/>
      <c r="JBT32" s="17"/>
      <c r="JBU32" s="17"/>
      <c r="JBV32" s="17"/>
      <c r="JBW32" s="17"/>
      <c r="JBX32" s="17"/>
      <c r="JBY32" s="17"/>
      <c r="JBZ32" s="17"/>
      <c r="JCA32" s="17"/>
      <c r="JCB32" s="17"/>
      <c r="JCC32" s="17"/>
      <c r="JCD32" s="17"/>
      <c r="JCE32" s="17"/>
      <c r="JCF32" s="17"/>
      <c r="JCG32" s="17"/>
      <c r="JCH32" s="17"/>
      <c r="JCI32" s="17"/>
      <c r="JCJ32" s="17"/>
      <c r="JCK32" s="17"/>
      <c r="JCL32" s="17"/>
      <c r="JCM32" s="17"/>
      <c r="JCN32" s="17"/>
      <c r="JCO32" s="17"/>
      <c r="JCP32" s="17"/>
      <c r="JCQ32" s="17"/>
      <c r="JCR32" s="17"/>
      <c r="JCS32" s="17"/>
      <c r="JCT32" s="17"/>
      <c r="JCU32" s="17"/>
      <c r="JCV32" s="17"/>
      <c r="JCW32" s="17"/>
      <c r="JCX32" s="17"/>
      <c r="JCY32" s="17"/>
      <c r="JCZ32" s="17"/>
      <c r="JDA32" s="17"/>
      <c r="JDB32" s="17"/>
      <c r="JDC32" s="17"/>
      <c r="JDD32" s="17"/>
      <c r="JDE32" s="17"/>
      <c r="JDF32" s="17"/>
      <c r="JDG32" s="17"/>
      <c r="JDH32" s="17"/>
      <c r="JDI32" s="17"/>
      <c r="JDJ32" s="17"/>
      <c r="JDK32" s="17"/>
      <c r="JDL32" s="17"/>
      <c r="JDM32" s="17"/>
      <c r="JDN32" s="17"/>
      <c r="JDO32" s="17"/>
      <c r="JDP32" s="17"/>
      <c r="JDQ32" s="17"/>
      <c r="JDR32" s="17"/>
      <c r="JDS32" s="17"/>
      <c r="JDT32" s="17"/>
      <c r="JDU32" s="17"/>
      <c r="JDV32" s="17"/>
      <c r="JDW32" s="17"/>
      <c r="JDX32" s="17"/>
      <c r="JDY32" s="17"/>
      <c r="JDZ32" s="17"/>
      <c r="JEA32" s="17"/>
      <c r="JEB32" s="17"/>
      <c r="JEC32" s="17"/>
      <c r="JED32" s="17"/>
      <c r="JEE32" s="17"/>
      <c r="JEF32" s="17"/>
      <c r="JEG32" s="17"/>
      <c r="JEH32" s="17"/>
      <c r="JEI32" s="17"/>
      <c r="JEJ32" s="17"/>
      <c r="JEK32" s="17"/>
      <c r="JEL32" s="17"/>
      <c r="JEM32" s="17"/>
      <c r="JEN32" s="17"/>
      <c r="JEO32" s="17"/>
      <c r="JEP32" s="17"/>
      <c r="JEQ32" s="17"/>
      <c r="JER32" s="17"/>
      <c r="JES32" s="17"/>
      <c r="JET32" s="17"/>
      <c r="JEU32" s="17"/>
      <c r="JEV32" s="17"/>
      <c r="JEW32" s="17"/>
      <c r="JEX32" s="17"/>
      <c r="JEY32" s="17"/>
      <c r="JEZ32" s="17"/>
      <c r="JFA32" s="17"/>
      <c r="JFB32" s="17"/>
      <c r="JFC32" s="17"/>
      <c r="JFD32" s="17"/>
      <c r="JFE32" s="17"/>
      <c r="JFF32" s="17"/>
      <c r="JFG32" s="17"/>
      <c r="JFH32" s="17"/>
      <c r="JFI32" s="17"/>
      <c r="JFJ32" s="17"/>
      <c r="JFK32" s="17"/>
      <c r="JFL32" s="17"/>
      <c r="JFM32" s="17"/>
      <c r="JFN32" s="17"/>
      <c r="JFO32" s="17"/>
      <c r="JFP32" s="17"/>
      <c r="JFQ32" s="17"/>
      <c r="JFR32" s="17"/>
      <c r="JFS32" s="17"/>
      <c r="JFT32" s="17"/>
      <c r="JFU32" s="17"/>
      <c r="JFV32" s="17"/>
      <c r="JFW32" s="17"/>
      <c r="JFX32" s="17"/>
      <c r="JFY32" s="17"/>
      <c r="JFZ32" s="17"/>
      <c r="JGA32" s="17"/>
      <c r="JGB32" s="17"/>
      <c r="JGC32" s="17"/>
      <c r="JGD32" s="17"/>
      <c r="JGE32" s="17"/>
      <c r="JGF32" s="17"/>
      <c r="JGG32" s="17"/>
      <c r="JGH32" s="17"/>
      <c r="JGI32" s="17"/>
      <c r="JGJ32" s="17"/>
      <c r="JGK32" s="17"/>
      <c r="JGL32" s="17"/>
      <c r="JGM32" s="17"/>
      <c r="JGN32" s="17"/>
      <c r="JGO32" s="17"/>
      <c r="JGP32" s="17"/>
      <c r="JGQ32" s="17"/>
      <c r="JGR32" s="17"/>
      <c r="JGS32" s="17"/>
      <c r="JGT32" s="17"/>
      <c r="JGU32" s="17"/>
      <c r="JGV32" s="17"/>
      <c r="JGW32" s="17"/>
      <c r="JGX32" s="17"/>
      <c r="JGY32" s="17"/>
      <c r="JGZ32" s="17"/>
      <c r="JHA32" s="17"/>
      <c r="JHB32" s="17"/>
      <c r="JHC32" s="17"/>
      <c r="JHD32" s="17"/>
      <c r="JHE32" s="17"/>
      <c r="JHF32" s="17"/>
      <c r="JHG32" s="17"/>
      <c r="JHH32" s="17"/>
      <c r="JHI32" s="17"/>
      <c r="JHJ32" s="17"/>
      <c r="JHK32" s="17"/>
      <c r="JHL32" s="17"/>
      <c r="JHM32" s="17"/>
      <c r="JHN32" s="17"/>
      <c r="JHO32" s="17"/>
      <c r="JHP32" s="17"/>
      <c r="JHQ32" s="17"/>
      <c r="JHR32" s="17"/>
      <c r="JHS32" s="17"/>
      <c r="JHT32" s="17"/>
      <c r="JHU32" s="17"/>
      <c r="JHV32" s="17"/>
      <c r="JHW32" s="17"/>
      <c r="JHX32" s="17"/>
      <c r="JHY32" s="17"/>
      <c r="JHZ32" s="17"/>
      <c r="JIA32" s="17"/>
      <c r="JIB32" s="17"/>
      <c r="JIC32" s="17"/>
      <c r="JID32" s="17"/>
      <c r="JIE32" s="17"/>
      <c r="JIF32" s="17"/>
      <c r="JIG32" s="17"/>
      <c r="JIH32" s="17"/>
      <c r="JII32" s="17"/>
      <c r="JIJ32" s="17"/>
      <c r="JIK32" s="17"/>
      <c r="JIL32" s="17"/>
      <c r="JIM32" s="17"/>
      <c r="JIN32" s="17"/>
      <c r="JIO32" s="17"/>
      <c r="JIP32" s="17"/>
      <c r="JIQ32" s="17"/>
      <c r="JIR32" s="17"/>
      <c r="JIS32" s="17"/>
      <c r="JIT32" s="17"/>
      <c r="JIU32" s="17"/>
      <c r="JIV32" s="17"/>
      <c r="JIW32" s="17"/>
      <c r="JIX32" s="17"/>
      <c r="JIY32" s="17"/>
      <c r="JIZ32" s="17"/>
      <c r="JJA32" s="17"/>
      <c r="JJB32" s="17"/>
      <c r="JJC32" s="17"/>
      <c r="JJD32" s="17"/>
      <c r="JJE32" s="17"/>
      <c r="JJF32" s="17"/>
      <c r="JJG32" s="17"/>
      <c r="JJH32" s="17"/>
      <c r="JJI32" s="17"/>
      <c r="JJJ32" s="17"/>
      <c r="JJK32" s="17"/>
      <c r="JJL32" s="17"/>
      <c r="JJM32" s="17"/>
      <c r="JJN32" s="17"/>
      <c r="JJO32" s="17"/>
      <c r="JJP32" s="17"/>
      <c r="JJQ32" s="17"/>
      <c r="JJR32" s="17"/>
      <c r="JJS32" s="17"/>
      <c r="JJT32" s="17"/>
      <c r="JJU32" s="17"/>
      <c r="JJV32" s="17"/>
      <c r="JJW32" s="17"/>
      <c r="JJX32" s="17"/>
      <c r="JJY32" s="17"/>
      <c r="JJZ32" s="17"/>
      <c r="JKA32" s="17"/>
      <c r="JKB32" s="17"/>
      <c r="JKC32" s="17"/>
      <c r="JKD32" s="17"/>
      <c r="JKE32" s="17"/>
      <c r="JKF32" s="17"/>
      <c r="JKG32" s="17"/>
      <c r="JKH32" s="17"/>
      <c r="JKI32" s="17"/>
      <c r="JKJ32" s="17"/>
      <c r="JKK32" s="17"/>
      <c r="JKL32" s="17"/>
      <c r="JKM32" s="17"/>
      <c r="JKN32" s="17"/>
      <c r="JKO32" s="17"/>
      <c r="JKP32" s="17"/>
      <c r="JKQ32" s="17"/>
      <c r="JKR32" s="17"/>
      <c r="JKS32" s="17"/>
      <c r="JKT32" s="17"/>
      <c r="JKU32" s="17"/>
      <c r="JKV32" s="17"/>
      <c r="JKW32" s="17"/>
      <c r="JKX32" s="17"/>
      <c r="JKY32" s="17"/>
      <c r="JKZ32" s="17"/>
      <c r="JLA32" s="17"/>
      <c r="JLB32" s="17"/>
      <c r="JLC32" s="17"/>
      <c r="JLD32" s="17"/>
      <c r="JLE32" s="17"/>
      <c r="JLF32" s="17"/>
      <c r="JLG32" s="17"/>
      <c r="JLH32" s="17"/>
      <c r="JLI32" s="17"/>
      <c r="JLJ32" s="17"/>
      <c r="JLK32" s="17"/>
      <c r="JLL32" s="17"/>
      <c r="JLM32" s="17"/>
      <c r="JLN32" s="17"/>
      <c r="JLO32" s="17"/>
      <c r="JLP32" s="17"/>
      <c r="JLQ32" s="17"/>
      <c r="JLR32" s="17"/>
      <c r="JLS32" s="17"/>
      <c r="JLT32" s="17"/>
      <c r="JLU32" s="17"/>
      <c r="JLV32" s="17"/>
      <c r="JLW32" s="17"/>
      <c r="JLX32" s="17"/>
      <c r="JLY32" s="17"/>
      <c r="JLZ32" s="17"/>
      <c r="JMA32" s="17"/>
      <c r="JMB32" s="17"/>
      <c r="JMC32" s="17"/>
      <c r="JMD32" s="17"/>
      <c r="JME32" s="17"/>
      <c r="JMF32" s="17"/>
      <c r="JMG32" s="17"/>
      <c r="JMH32" s="17"/>
      <c r="JMI32" s="17"/>
      <c r="JMJ32" s="17"/>
      <c r="JMK32" s="17"/>
      <c r="JML32" s="17"/>
      <c r="JMM32" s="17"/>
      <c r="JMN32" s="17"/>
      <c r="JMO32" s="17"/>
      <c r="JMP32" s="17"/>
      <c r="JMQ32" s="17"/>
      <c r="JMR32" s="17"/>
      <c r="JMS32" s="17"/>
      <c r="JMT32" s="17"/>
      <c r="JMU32" s="17"/>
      <c r="JMV32" s="17"/>
      <c r="JMW32" s="17"/>
      <c r="JMX32" s="17"/>
      <c r="JMY32" s="17"/>
      <c r="JMZ32" s="17"/>
      <c r="JNA32" s="17"/>
      <c r="JNB32" s="17"/>
      <c r="JNC32" s="17"/>
      <c r="JND32" s="17"/>
      <c r="JNE32" s="17"/>
      <c r="JNF32" s="17"/>
      <c r="JNG32" s="17"/>
      <c r="JNH32" s="17"/>
      <c r="JNI32" s="17"/>
      <c r="JNJ32" s="17"/>
      <c r="JNK32" s="17"/>
      <c r="JNL32" s="17"/>
      <c r="JNM32" s="17"/>
      <c r="JNN32" s="17"/>
      <c r="JNO32" s="17"/>
      <c r="JNP32" s="17"/>
      <c r="JNQ32" s="17"/>
      <c r="JNR32" s="17"/>
      <c r="JNS32" s="17"/>
      <c r="JNT32" s="17"/>
      <c r="JNU32" s="17"/>
      <c r="JNV32" s="17"/>
      <c r="JNW32" s="17"/>
      <c r="JNX32" s="17"/>
      <c r="JNY32" s="17"/>
      <c r="JNZ32" s="17"/>
      <c r="JOA32" s="17"/>
      <c r="JOB32" s="17"/>
      <c r="JOC32" s="17"/>
      <c r="JOD32" s="17"/>
      <c r="JOE32" s="17"/>
      <c r="JOF32" s="17"/>
      <c r="JOG32" s="17"/>
      <c r="JOH32" s="17"/>
      <c r="JOI32" s="17"/>
      <c r="JOJ32" s="17"/>
      <c r="JOK32" s="17"/>
      <c r="JOL32" s="17"/>
      <c r="JOM32" s="17"/>
      <c r="JON32" s="17"/>
      <c r="JOO32" s="17"/>
      <c r="JOP32" s="17"/>
      <c r="JOQ32" s="17"/>
      <c r="JOR32" s="17"/>
      <c r="JOS32" s="17"/>
      <c r="JOT32" s="17"/>
      <c r="JOU32" s="17"/>
      <c r="JOV32" s="17"/>
      <c r="JOW32" s="17"/>
      <c r="JOX32" s="17"/>
      <c r="JOY32" s="17"/>
      <c r="JOZ32" s="17"/>
      <c r="JPA32" s="17"/>
      <c r="JPB32" s="17"/>
      <c r="JPC32" s="17"/>
      <c r="JPD32" s="17"/>
      <c r="JPE32" s="17"/>
      <c r="JPF32" s="17"/>
      <c r="JPG32" s="17"/>
      <c r="JPH32" s="17"/>
      <c r="JPI32" s="17"/>
      <c r="JPJ32" s="17"/>
      <c r="JPK32" s="17"/>
      <c r="JPL32" s="17"/>
      <c r="JPM32" s="17"/>
      <c r="JPN32" s="17"/>
      <c r="JPO32" s="17"/>
      <c r="JPP32" s="17"/>
      <c r="JPQ32" s="17"/>
      <c r="JPR32" s="17"/>
      <c r="JPS32" s="17"/>
      <c r="JPT32" s="17"/>
      <c r="JPU32" s="17"/>
      <c r="JPV32" s="17"/>
      <c r="JPW32" s="17"/>
      <c r="JPX32" s="17"/>
      <c r="JPY32" s="17"/>
      <c r="JPZ32" s="17"/>
      <c r="JQA32" s="17"/>
      <c r="JQB32" s="17"/>
      <c r="JQC32" s="17"/>
      <c r="JQD32" s="17"/>
      <c r="JQE32" s="17"/>
      <c r="JQF32" s="17"/>
      <c r="JQG32" s="17"/>
      <c r="JQH32" s="17"/>
      <c r="JQI32" s="17"/>
      <c r="JQJ32" s="17"/>
      <c r="JQK32" s="17"/>
      <c r="JQL32" s="17"/>
      <c r="JQM32" s="17"/>
      <c r="JQN32" s="17"/>
      <c r="JQO32" s="17"/>
      <c r="JQP32" s="17"/>
      <c r="JQQ32" s="17"/>
      <c r="JQR32" s="17"/>
      <c r="JQS32" s="17"/>
      <c r="JQT32" s="17"/>
      <c r="JQU32" s="17"/>
      <c r="JQV32" s="17"/>
      <c r="JQW32" s="17"/>
      <c r="JQX32" s="17"/>
      <c r="JQY32" s="17"/>
      <c r="JQZ32" s="17"/>
      <c r="JRA32" s="17"/>
      <c r="JRB32" s="17"/>
      <c r="JRC32" s="17"/>
      <c r="JRD32" s="17"/>
      <c r="JRE32" s="17"/>
      <c r="JRF32" s="17"/>
      <c r="JRG32" s="17"/>
      <c r="JRH32" s="17"/>
      <c r="JRI32" s="17"/>
      <c r="JRJ32" s="17"/>
      <c r="JRK32" s="17"/>
      <c r="JRL32" s="17"/>
      <c r="JRM32" s="17"/>
      <c r="JRN32" s="17"/>
      <c r="JRO32" s="17"/>
      <c r="JRP32" s="17"/>
      <c r="JRQ32" s="17"/>
      <c r="JRR32" s="17"/>
      <c r="JRS32" s="17"/>
      <c r="JRT32" s="17"/>
      <c r="JRU32" s="17"/>
      <c r="JRV32" s="17"/>
      <c r="JRW32" s="17"/>
      <c r="JRX32" s="17"/>
      <c r="JRY32" s="17"/>
      <c r="JRZ32" s="17"/>
      <c r="JSA32" s="17"/>
      <c r="JSB32" s="17"/>
      <c r="JSC32" s="17"/>
      <c r="JSD32" s="17"/>
      <c r="JSE32" s="17"/>
      <c r="JSF32" s="17"/>
      <c r="JSG32" s="17"/>
      <c r="JSH32" s="17"/>
      <c r="JSI32" s="17"/>
      <c r="JSJ32" s="17"/>
      <c r="JSK32" s="17"/>
      <c r="JSL32" s="17"/>
      <c r="JSM32" s="17"/>
      <c r="JSN32" s="17"/>
      <c r="JSO32" s="17"/>
      <c r="JSP32" s="17"/>
      <c r="JSQ32" s="17"/>
      <c r="JSR32" s="17"/>
      <c r="JSS32" s="17"/>
      <c r="JST32" s="17"/>
      <c r="JSU32" s="17"/>
      <c r="JSV32" s="17"/>
      <c r="JSW32" s="17"/>
      <c r="JSX32" s="17"/>
      <c r="JSY32" s="17"/>
      <c r="JSZ32" s="17"/>
      <c r="JTA32" s="17"/>
      <c r="JTB32" s="17"/>
      <c r="JTC32" s="17"/>
      <c r="JTD32" s="17"/>
      <c r="JTE32" s="17"/>
      <c r="JTF32" s="17"/>
      <c r="JTG32" s="17"/>
      <c r="JTH32" s="17"/>
      <c r="JTI32" s="17"/>
      <c r="JTJ32" s="17"/>
      <c r="JTK32" s="17"/>
      <c r="JTL32" s="17"/>
      <c r="JTM32" s="17"/>
      <c r="JTN32" s="17"/>
      <c r="JTO32" s="17"/>
      <c r="JTP32" s="17"/>
      <c r="JTQ32" s="17"/>
      <c r="JTR32" s="17"/>
      <c r="JTS32" s="17"/>
      <c r="JTT32" s="17"/>
      <c r="JTU32" s="17"/>
      <c r="JTV32" s="17"/>
      <c r="JTW32" s="17"/>
      <c r="JTX32" s="17"/>
      <c r="JTY32" s="17"/>
      <c r="JTZ32" s="17"/>
      <c r="JUA32" s="17"/>
      <c r="JUB32" s="17"/>
      <c r="JUC32" s="17"/>
      <c r="JUD32" s="17"/>
      <c r="JUE32" s="17"/>
      <c r="JUF32" s="17"/>
      <c r="JUG32" s="17"/>
      <c r="JUH32" s="17"/>
      <c r="JUI32" s="17"/>
      <c r="JUJ32" s="17"/>
      <c r="JUK32" s="17"/>
      <c r="JUL32" s="17"/>
      <c r="JUM32" s="17"/>
      <c r="JUN32" s="17"/>
      <c r="JUO32" s="17"/>
      <c r="JUP32" s="17"/>
      <c r="JUQ32" s="17"/>
      <c r="JUR32" s="17"/>
      <c r="JUS32" s="17"/>
      <c r="JUT32" s="17"/>
      <c r="JUU32" s="17"/>
      <c r="JUV32" s="17"/>
      <c r="JUW32" s="17"/>
      <c r="JUX32" s="17"/>
      <c r="JUY32" s="17"/>
      <c r="JUZ32" s="17"/>
      <c r="JVA32" s="17"/>
      <c r="JVB32" s="17"/>
      <c r="JVC32" s="17"/>
      <c r="JVD32" s="17"/>
      <c r="JVE32" s="17"/>
      <c r="JVF32" s="17"/>
      <c r="JVG32" s="17"/>
      <c r="JVH32" s="17"/>
      <c r="JVI32" s="17"/>
      <c r="JVJ32" s="17"/>
      <c r="JVK32" s="17"/>
      <c r="JVL32" s="17"/>
      <c r="JVM32" s="17"/>
      <c r="JVN32" s="17"/>
      <c r="JVO32" s="17"/>
      <c r="JVP32" s="17"/>
      <c r="JVQ32" s="17"/>
      <c r="JVR32" s="17"/>
      <c r="JVS32" s="17"/>
      <c r="JVT32" s="17"/>
      <c r="JVU32" s="17"/>
      <c r="JVV32" s="17"/>
      <c r="JVW32" s="17"/>
      <c r="JVX32" s="17"/>
      <c r="JVY32" s="17"/>
      <c r="JVZ32" s="17"/>
      <c r="JWA32" s="17"/>
      <c r="JWB32" s="17"/>
      <c r="JWC32" s="17"/>
      <c r="JWD32" s="17"/>
      <c r="JWE32" s="17"/>
      <c r="JWF32" s="17"/>
      <c r="JWG32" s="17"/>
      <c r="JWH32" s="17"/>
      <c r="JWI32" s="17"/>
      <c r="JWJ32" s="17"/>
      <c r="JWK32" s="17"/>
      <c r="JWL32" s="17"/>
      <c r="JWM32" s="17"/>
      <c r="JWN32" s="17"/>
      <c r="JWO32" s="17"/>
      <c r="JWP32" s="17"/>
      <c r="JWQ32" s="17"/>
      <c r="JWR32" s="17"/>
      <c r="JWS32" s="17"/>
      <c r="JWT32" s="17"/>
      <c r="JWU32" s="17"/>
      <c r="JWV32" s="17"/>
      <c r="JWW32" s="17"/>
      <c r="JWX32" s="17"/>
      <c r="JWY32" s="17"/>
      <c r="JWZ32" s="17"/>
      <c r="JXA32" s="17"/>
      <c r="JXB32" s="17"/>
      <c r="JXC32" s="17"/>
      <c r="JXD32" s="17"/>
      <c r="JXE32" s="17"/>
      <c r="JXF32" s="17"/>
      <c r="JXG32" s="17"/>
      <c r="JXH32" s="17"/>
      <c r="JXI32" s="17"/>
      <c r="JXJ32" s="17"/>
      <c r="JXK32" s="17"/>
      <c r="JXL32" s="17"/>
      <c r="JXM32" s="17"/>
      <c r="JXN32" s="17"/>
      <c r="JXO32" s="17"/>
      <c r="JXP32" s="17"/>
      <c r="JXQ32" s="17"/>
      <c r="JXR32" s="17"/>
      <c r="JXS32" s="17"/>
      <c r="JXT32" s="17"/>
      <c r="JXU32" s="17"/>
      <c r="JXV32" s="17"/>
      <c r="JXW32" s="17"/>
      <c r="JXX32" s="17"/>
      <c r="JXY32" s="17"/>
      <c r="JXZ32" s="17"/>
      <c r="JYA32" s="17"/>
      <c r="JYB32" s="17"/>
      <c r="JYC32" s="17"/>
      <c r="JYD32" s="17"/>
      <c r="JYE32" s="17"/>
      <c r="JYF32" s="17"/>
      <c r="JYG32" s="17"/>
      <c r="JYH32" s="17"/>
      <c r="JYI32" s="17"/>
      <c r="JYJ32" s="17"/>
      <c r="JYK32" s="17"/>
      <c r="JYL32" s="17"/>
      <c r="JYM32" s="17"/>
      <c r="JYN32" s="17"/>
      <c r="JYO32" s="17"/>
      <c r="JYP32" s="17"/>
      <c r="JYQ32" s="17"/>
      <c r="JYR32" s="17"/>
      <c r="JYS32" s="17"/>
      <c r="JYT32" s="17"/>
      <c r="JYU32" s="17"/>
      <c r="JYV32" s="17"/>
      <c r="JYW32" s="17"/>
      <c r="JYX32" s="17"/>
      <c r="JYY32" s="17"/>
      <c r="JYZ32" s="17"/>
      <c r="JZA32" s="17"/>
      <c r="JZB32" s="17"/>
      <c r="JZC32" s="17"/>
      <c r="JZD32" s="17"/>
      <c r="JZE32" s="17"/>
      <c r="JZF32" s="17"/>
      <c r="JZG32" s="17"/>
      <c r="JZH32" s="17"/>
      <c r="JZI32" s="17"/>
      <c r="JZJ32" s="17"/>
      <c r="JZK32" s="17"/>
      <c r="JZL32" s="17"/>
      <c r="JZM32" s="17"/>
      <c r="JZN32" s="17"/>
      <c r="JZO32" s="17"/>
      <c r="JZP32" s="17"/>
      <c r="JZQ32" s="17"/>
      <c r="JZR32" s="17"/>
      <c r="JZS32" s="17"/>
      <c r="JZT32" s="17"/>
      <c r="JZU32" s="17"/>
      <c r="JZV32" s="17"/>
      <c r="JZW32" s="17"/>
      <c r="JZX32" s="17"/>
      <c r="JZY32" s="17"/>
      <c r="JZZ32" s="17"/>
      <c r="KAA32" s="17"/>
      <c r="KAB32" s="17"/>
      <c r="KAC32" s="17"/>
      <c r="KAD32" s="17"/>
      <c r="KAE32" s="17"/>
      <c r="KAF32" s="17"/>
      <c r="KAG32" s="17"/>
      <c r="KAH32" s="17"/>
      <c r="KAI32" s="17"/>
      <c r="KAJ32" s="17"/>
      <c r="KAK32" s="17"/>
      <c r="KAL32" s="17"/>
      <c r="KAM32" s="17"/>
      <c r="KAN32" s="17"/>
      <c r="KAO32" s="17"/>
      <c r="KAP32" s="17"/>
      <c r="KAQ32" s="17"/>
      <c r="KAR32" s="17"/>
      <c r="KAS32" s="17"/>
      <c r="KAT32" s="17"/>
      <c r="KAU32" s="17"/>
      <c r="KAV32" s="17"/>
      <c r="KAW32" s="17"/>
      <c r="KAX32" s="17"/>
      <c r="KAY32" s="17"/>
      <c r="KAZ32" s="17"/>
      <c r="KBA32" s="17"/>
      <c r="KBB32" s="17"/>
      <c r="KBC32" s="17"/>
      <c r="KBD32" s="17"/>
      <c r="KBE32" s="17"/>
      <c r="KBF32" s="17"/>
      <c r="KBG32" s="17"/>
      <c r="KBH32" s="17"/>
      <c r="KBI32" s="17"/>
      <c r="KBJ32" s="17"/>
      <c r="KBK32" s="17"/>
      <c r="KBL32" s="17"/>
      <c r="KBM32" s="17"/>
      <c r="KBN32" s="17"/>
      <c r="KBO32" s="17"/>
      <c r="KBP32" s="17"/>
      <c r="KBQ32" s="17"/>
      <c r="KBR32" s="17"/>
      <c r="KBS32" s="17"/>
      <c r="KBT32" s="17"/>
      <c r="KBU32" s="17"/>
      <c r="KBV32" s="17"/>
      <c r="KBW32" s="17"/>
      <c r="KBX32" s="17"/>
      <c r="KBY32" s="17"/>
      <c r="KBZ32" s="17"/>
      <c r="KCA32" s="17"/>
      <c r="KCB32" s="17"/>
      <c r="KCC32" s="17"/>
      <c r="KCD32" s="17"/>
      <c r="KCE32" s="17"/>
      <c r="KCF32" s="17"/>
      <c r="KCG32" s="17"/>
      <c r="KCH32" s="17"/>
      <c r="KCI32" s="17"/>
      <c r="KCJ32" s="17"/>
      <c r="KCK32" s="17"/>
      <c r="KCL32" s="17"/>
      <c r="KCM32" s="17"/>
      <c r="KCN32" s="17"/>
      <c r="KCO32" s="17"/>
      <c r="KCP32" s="17"/>
      <c r="KCQ32" s="17"/>
      <c r="KCR32" s="17"/>
      <c r="KCS32" s="17"/>
      <c r="KCT32" s="17"/>
      <c r="KCU32" s="17"/>
      <c r="KCV32" s="17"/>
      <c r="KCW32" s="17"/>
      <c r="KCX32" s="17"/>
      <c r="KCY32" s="17"/>
      <c r="KCZ32" s="17"/>
      <c r="KDA32" s="17"/>
      <c r="KDB32" s="17"/>
      <c r="KDC32" s="17"/>
      <c r="KDD32" s="17"/>
      <c r="KDE32" s="17"/>
      <c r="KDF32" s="17"/>
      <c r="KDG32" s="17"/>
      <c r="KDH32" s="17"/>
      <c r="KDI32" s="17"/>
      <c r="KDJ32" s="17"/>
      <c r="KDK32" s="17"/>
      <c r="KDL32" s="17"/>
      <c r="KDM32" s="17"/>
      <c r="KDN32" s="17"/>
      <c r="KDO32" s="17"/>
      <c r="KDP32" s="17"/>
      <c r="KDQ32" s="17"/>
      <c r="KDR32" s="17"/>
      <c r="KDS32" s="17"/>
      <c r="KDT32" s="17"/>
      <c r="KDU32" s="17"/>
      <c r="KDV32" s="17"/>
      <c r="KDW32" s="17"/>
      <c r="KDX32" s="17"/>
      <c r="KDY32" s="17"/>
      <c r="KDZ32" s="17"/>
      <c r="KEA32" s="17"/>
      <c r="KEB32" s="17"/>
      <c r="KEC32" s="17"/>
      <c r="KED32" s="17"/>
      <c r="KEE32" s="17"/>
      <c r="KEF32" s="17"/>
      <c r="KEG32" s="17"/>
      <c r="KEH32" s="17"/>
      <c r="KEI32" s="17"/>
      <c r="KEJ32" s="17"/>
      <c r="KEK32" s="17"/>
      <c r="KEL32" s="17"/>
      <c r="KEM32" s="17"/>
      <c r="KEN32" s="17"/>
      <c r="KEO32" s="17"/>
      <c r="KEP32" s="17"/>
      <c r="KEQ32" s="17"/>
      <c r="KER32" s="17"/>
      <c r="KES32" s="17"/>
      <c r="KET32" s="17"/>
      <c r="KEU32" s="17"/>
      <c r="KEV32" s="17"/>
      <c r="KEW32" s="17"/>
      <c r="KEX32" s="17"/>
      <c r="KEY32" s="17"/>
      <c r="KEZ32" s="17"/>
      <c r="KFA32" s="17"/>
      <c r="KFB32" s="17"/>
      <c r="KFC32" s="17"/>
      <c r="KFD32" s="17"/>
      <c r="KFE32" s="17"/>
      <c r="KFF32" s="17"/>
      <c r="KFG32" s="17"/>
      <c r="KFH32" s="17"/>
      <c r="KFI32" s="17"/>
      <c r="KFJ32" s="17"/>
      <c r="KFK32" s="17"/>
      <c r="KFL32" s="17"/>
      <c r="KFM32" s="17"/>
      <c r="KFN32" s="17"/>
      <c r="KFO32" s="17"/>
      <c r="KFP32" s="17"/>
      <c r="KFQ32" s="17"/>
      <c r="KFR32" s="17"/>
      <c r="KFS32" s="17"/>
      <c r="KFT32" s="17"/>
      <c r="KFU32" s="17"/>
      <c r="KFV32" s="17"/>
      <c r="KFW32" s="17"/>
      <c r="KFX32" s="17"/>
      <c r="KFY32" s="17"/>
      <c r="KFZ32" s="17"/>
      <c r="KGA32" s="17"/>
      <c r="KGB32" s="17"/>
      <c r="KGC32" s="17"/>
      <c r="KGD32" s="17"/>
      <c r="KGE32" s="17"/>
      <c r="KGF32" s="17"/>
      <c r="KGG32" s="17"/>
      <c r="KGH32" s="17"/>
      <c r="KGI32" s="17"/>
      <c r="KGJ32" s="17"/>
      <c r="KGK32" s="17"/>
      <c r="KGL32" s="17"/>
      <c r="KGM32" s="17"/>
      <c r="KGN32" s="17"/>
      <c r="KGO32" s="17"/>
      <c r="KGP32" s="17"/>
      <c r="KGQ32" s="17"/>
      <c r="KGR32" s="17"/>
      <c r="KGS32" s="17"/>
      <c r="KGT32" s="17"/>
      <c r="KGU32" s="17"/>
      <c r="KGV32" s="17"/>
      <c r="KGW32" s="17"/>
      <c r="KGX32" s="17"/>
      <c r="KGY32" s="17"/>
      <c r="KGZ32" s="17"/>
      <c r="KHA32" s="17"/>
      <c r="KHB32" s="17"/>
      <c r="KHC32" s="17"/>
      <c r="KHD32" s="17"/>
      <c r="KHE32" s="17"/>
      <c r="KHF32" s="17"/>
      <c r="KHG32" s="17"/>
      <c r="KHH32" s="17"/>
      <c r="KHI32" s="17"/>
      <c r="KHJ32" s="17"/>
      <c r="KHK32" s="17"/>
      <c r="KHL32" s="17"/>
      <c r="KHM32" s="17"/>
      <c r="KHN32" s="17"/>
      <c r="KHO32" s="17"/>
      <c r="KHP32" s="17"/>
      <c r="KHQ32" s="17"/>
      <c r="KHR32" s="17"/>
      <c r="KHS32" s="17"/>
      <c r="KHT32" s="17"/>
      <c r="KHU32" s="17"/>
      <c r="KHV32" s="17"/>
      <c r="KHW32" s="17"/>
      <c r="KHX32" s="17"/>
      <c r="KHY32" s="17"/>
      <c r="KHZ32" s="17"/>
      <c r="KIA32" s="17"/>
      <c r="KIB32" s="17"/>
      <c r="KIC32" s="17"/>
      <c r="KID32" s="17"/>
      <c r="KIE32" s="17"/>
      <c r="KIF32" s="17"/>
      <c r="KIG32" s="17"/>
      <c r="KIH32" s="17"/>
      <c r="KII32" s="17"/>
      <c r="KIJ32" s="17"/>
      <c r="KIK32" s="17"/>
      <c r="KIL32" s="17"/>
      <c r="KIM32" s="17"/>
      <c r="KIN32" s="17"/>
      <c r="KIO32" s="17"/>
      <c r="KIP32" s="17"/>
      <c r="KIQ32" s="17"/>
      <c r="KIR32" s="17"/>
      <c r="KIS32" s="17"/>
      <c r="KIT32" s="17"/>
      <c r="KIU32" s="17"/>
      <c r="KIV32" s="17"/>
      <c r="KIW32" s="17"/>
      <c r="KIX32" s="17"/>
      <c r="KIY32" s="17"/>
      <c r="KIZ32" s="17"/>
      <c r="KJA32" s="17"/>
      <c r="KJB32" s="17"/>
      <c r="KJC32" s="17"/>
      <c r="KJD32" s="17"/>
      <c r="KJE32" s="17"/>
      <c r="KJF32" s="17"/>
      <c r="KJG32" s="17"/>
      <c r="KJH32" s="17"/>
      <c r="KJI32" s="17"/>
      <c r="KJJ32" s="17"/>
      <c r="KJK32" s="17"/>
      <c r="KJL32" s="17"/>
      <c r="KJM32" s="17"/>
      <c r="KJN32" s="17"/>
      <c r="KJO32" s="17"/>
      <c r="KJP32" s="17"/>
      <c r="KJQ32" s="17"/>
      <c r="KJR32" s="17"/>
      <c r="KJS32" s="17"/>
      <c r="KJT32" s="17"/>
      <c r="KJU32" s="17"/>
      <c r="KJV32" s="17"/>
      <c r="KJW32" s="17"/>
      <c r="KJX32" s="17"/>
      <c r="KJY32" s="17"/>
      <c r="KJZ32" s="17"/>
      <c r="KKA32" s="17"/>
      <c r="KKB32" s="17"/>
      <c r="KKC32" s="17"/>
      <c r="KKD32" s="17"/>
      <c r="KKE32" s="17"/>
      <c r="KKF32" s="17"/>
      <c r="KKG32" s="17"/>
      <c r="KKH32" s="17"/>
      <c r="KKI32" s="17"/>
      <c r="KKJ32" s="17"/>
      <c r="KKK32" s="17"/>
      <c r="KKL32" s="17"/>
      <c r="KKM32" s="17"/>
      <c r="KKN32" s="17"/>
      <c r="KKO32" s="17"/>
      <c r="KKP32" s="17"/>
      <c r="KKQ32" s="17"/>
      <c r="KKR32" s="17"/>
      <c r="KKS32" s="17"/>
      <c r="KKT32" s="17"/>
      <c r="KKU32" s="17"/>
      <c r="KKV32" s="17"/>
      <c r="KKW32" s="17"/>
      <c r="KKX32" s="17"/>
      <c r="KKY32" s="17"/>
      <c r="KKZ32" s="17"/>
      <c r="KLA32" s="17"/>
      <c r="KLB32" s="17"/>
      <c r="KLC32" s="17"/>
      <c r="KLD32" s="17"/>
      <c r="KLE32" s="17"/>
      <c r="KLF32" s="17"/>
      <c r="KLG32" s="17"/>
      <c r="KLH32" s="17"/>
      <c r="KLI32" s="17"/>
      <c r="KLJ32" s="17"/>
      <c r="KLK32" s="17"/>
      <c r="KLL32" s="17"/>
      <c r="KLM32" s="17"/>
      <c r="KLN32" s="17"/>
      <c r="KLO32" s="17"/>
      <c r="KLP32" s="17"/>
      <c r="KLQ32" s="17"/>
      <c r="KLR32" s="17"/>
      <c r="KLS32" s="17"/>
      <c r="KLT32" s="17"/>
      <c r="KLU32" s="17"/>
      <c r="KLV32" s="17"/>
      <c r="KLW32" s="17"/>
      <c r="KLX32" s="17"/>
      <c r="KLY32" s="17"/>
      <c r="KLZ32" s="17"/>
      <c r="KMA32" s="17"/>
      <c r="KMB32" s="17"/>
      <c r="KMC32" s="17"/>
      <c r="KMD32" s="17"/>
      <c r="KME32" s="17"/>
      <c r="KMF32" s="17"/>
      <c r="KMG32" s="17"/>
      <c r="KMH32" s="17"/>
      <c r="KMI32" s="17"/>
      <c r="KMJ32" s="17"/>
      <c r="KMK32" s="17"/>
      <c r="KML32" s="17"/>
      <c r="KMM32" s="17"/>
      <c r="KMN32" s="17"/>
      <c r="KMO32" s="17"/>
      <c r="KMP32" s="17"/>
      <c r="KMQ32" s="17"/>
      <c r="KMR32" s="17"/>
      <c r="KMS32" s="17"/>
      <c r="KMT32" s="17"/>
      <c r="KMU32" s="17"/>
      <c r="KMV32" s="17"/>
      <c r="KMW32" s="17"/>
      <c r="KMX32" s="17"/>
      <c r="KMY32" s="17"/>
      <c r="KMZ32" s="17"/>
      <c r="KNA32" s="17"/>
      <c r="KNB32" s="17"/>
      <c r="KNC32" s="17"/>
      <c r="KND32" s="17"/>
      <c r="KNE32" s="17"/>
      <c r="KNF32" s="17"/>
      <c r="KNG32" s="17"/>
      <c r="KNH32" s="17"/>
      <c r="KNI32" s="17"/>
      <c r="KNJ32" s="17"/>
      <c r="KNK32" s="17"/>
      <c r="KNL32" s="17"/>
      <c r="KNM32" s="17"/>
      <c r="KNN32" s="17"/>
      <c r="KNO32" s="17"/>
      <c r="KNP32" s="17"/>
      <c r="KNQ32" s="17"/>
      <c r="KNR32" s="17"/>
      <c r="KNS32" s="17"/>
      <c r="KNT32" s="17"/>
      <c r="KNU32" s="17"/>
      <c r="KNV32" s="17"/>
      <c r="KNW32" s="17"/>
      <c r="KNX32" s="17"/>
      <c r="KNY32" s="17"/>
      <c r="KNZ32" s="17"/>
      <c r="KOA32" s="17"/>
      <c r="KOB32" s="17"/>
      <c r="KOC32" s="17"/>
      <c r="KOD32" s="17"/>
      <c r="KOE32" s="17"/>
      <c r="KOF32" s="17"/>
      <c r="KOG32" s="17"/>
      <c r="KOH32" s="17"/>
      <c r="KOI32" s="17"/>
      <c r="KOJ32" s="17"/>
      <c r="KOK32" s="17"/>
      <c r="KOL32" s="17"/>
      <c r="KOM32" s="17"/>
      <c r="KON32" s="17"/>
      <c r="KOO32" s="17"/>
      <c r="KOP32" s="17"/>
      <c r="KOQ32" s="17"/>
      <c r="KOR32" s="17"/>
      <c r="KOS32" s="17"/>
      <c r="KOT32" s="17"/>
      <c r="KOU32" s="17"/>
      <c r="KOV32" s="17"/>
      <c r="KOW32" s="17"/>
      <c r="KOX32" s="17"/>
      <c r="KOY32" s="17"/>
      <c r="KOZ32" s="17"/>
      <c r="KPA32" s="17"/>
      <c r="KPB32" s="17"/>
      <c r="KPC32" s="17"/>
      <c r="KPD32" s="17"/>
      <c r="KPE32" s="17"/>
      <c r="KPF32" s="17"/>
      <c r="KPG32" s="17"/>
      <c r="KPH32" s="17"/>
      <c r="KPI32" s="17"/>
      <c r="KPJ32" s="17"/>
      <c r="KPK32" s="17"/>
      <c r="KPL32" s="17"/>
      <c r="KPM32" s="17"/>
      <c r="KPN32" s="17"/>
      <c r="KPO32" s="17"/>
      <c r="KPP32" s="17"/>
      <c r="KPQ32" s="17"/>
      <c r="KPR32" s="17"/>
      <c r="KPS32" s="17"/>
      <c r="KPT32" s="17"/>
      <c r="KPU32" s="17"/>
      <c r="KPV32" s="17"/>
      <c r="KPW32" s="17"/>
      <c r="KPX32" s="17"/>
      <c r="KPY32" s="17"/>
      <c r="KPZ32" s="17"/>
      <c r="KQA32" s="17"/>
      <c r="KQB32" s="17"/>
      <c r="KQC32" s="17"/>
      <c r="KQD32" s="17"/>
      <c r="KQE32" s="17"/>
      <c r="KQF32" s="17"/>
      <c r="KQG32" s="17"/>
      <c r="KQH32" s="17"/>
      <c r="KQI32" s="17"/>
      <c r="KQJ32" s="17"/>
      <c r="KQK32" s="17"/>
      <c r="KQL32" s="17"/>
      <c r="KQM32" s="17"/>
      <c r="KQN32" s="17"/>
      <c r="KQO32" s="17"/>
      <c r="KQP32" s="17"/>
      <c r="KQQ32" s="17"/>
      <c r="KQR32" s="17"/>
      <c r="KQS32" s="17"/>
      <c r="KQT32" s="17"/>
      <c r="KQU32" s="17"/>
      <c r="KQV32" s="17"/>
      <c r="KQW32" s="17"/>
      <c r="KQX32" s="17"/>
      <c r="KQY32" s="17"/>
      <c r="KQZ32" s="17"/>
      <c r="KRA32" s="17"/>
      <c r="KRB32" s="17"/>
      <c r="KRC32" s="17"/>
      <c r="KRD32" s="17"/>
      <c r="KRE32" s="17"/>
      <c r="KRF32" s="17"/>
      <c r="KRG32" s="17"/>
      <c r="KRH32" s="17"/>
      <c r="KRI32" s="17"/>
      <c r="KRJ32" s="17"/>
      <c r="KRK32" s="17"/>
      <c r="KRL32" s="17"/>
      <c r="KRM32" s="17"/>
      <c r="KRN32" s="17"/>
      <c r="KRO32" s="17"/>
      <c r="KRP32" s="17"/>
      <c r="KRQ32" s="17"/>
      <c r="KRR32" s="17"/>
      <c r="KRS32" s="17"/>
      <c r="KRT32" s="17"/>
      <c r="KRU32" s="17"/>
      <c r="KRV32" s="17"/>
      <c r="KRW32" s="17"/>
      <c r="KRX32" s="17"/>
      <c r="KRY32" s="17"/>
      <c r="KRZ32" s="17"/>
      <c r="KSA32" s="17"/>
      <c r="KSB32" s="17"/>
      <c r="KSC32" s="17"/>
      <c r="KSD32" s="17"/>
      <c r="KSE32" s="17"/>
      <c r="KSF32" s="17"/>
      <c r="KSG32" s="17"/>
      <c r="KSH32" s="17"/>
      <c r="KSI32" s="17"/>
      <c r="KSJ32" s="17"/>
      <c r="KSK32" s="17"/>
      <c r="KSL32" s="17"/>
      <c r="KSM32" s="17"/>
      <c r="KSN32" s="17"/>
      <c r="KSO32" s="17"/>
      <c r="KSP32" s="17"/>
      <c r="KSQ32" s="17"/>
      <c r="KSR32" s="17"/>
      <c r="KSS32" s="17"/>
      <c r="KST32" s="17"/>
      <c r="KSU32" s="17"/>
      <c r="KSV32" s="17"/>
      <c r="KSW32" s="17"/>
      <c r="KSX32" s="17"/>
      <c r="KSY32" s="17"/>
      <c r="KSZ32" s="17"/>
      <c r="KTA32" s="17"/>
      <c r="KTB32" s="17"/>
      <c r="KTC32" s="17"/>
      <c r="KTD32" s="17"/>
      <c r="KTE32" s="17"/>
      <c r="KTF32" s="17"/>
      <c r="KTG32" s="17"/>
      <c r="KTH32" s="17"/>
      <c r="KTI32" s="17"/>
      <c r="KTJ32" s="17"/>
      <c r="KTK32" s="17"/>
      <c r="KTL32" s="17"/>
      <c r="KTM32" s="17"/>
      <c r="KTN32" s="17"/>
      <c r="KTO32" s="17"/>
      <c r="KTP32" s="17"/>
      <c r="KTQ32" s="17"/>
      <c r="KTR32" s="17"/>
      <c r="KTS32" s="17"/>
      <c r="KTT32" s="17"/>
      <c r="KTU32" s="17"/>
      <c r="KTV32" s="17"/>
      <c r="KTW32" s="17"/>
      <c r="KTX32" s="17"/>
      <c r="KTY32" s="17"/>
      <c r="KTZ32" s="17"/>
      <c r="KUA32" s="17"/>
      <c r="KUB32" s="17"/>
      <c r="KUC32" s="17"/>
      <c r="KUD32" s="17"/>
      <c r="KUE32" s="17"/>
      <c r="KUF32" s="17"/>
      <c r="KUG32" s="17"/>
      <c r="KUH32" s="17"/>
      <c r="KUI32" s="17"/>
      <c r="KUJ32" s="17"/>
      <c r="KUK32" s="17"/>
      <c r="KUL32" s="17"/>
      <c r="KUM32" s="17"/>
      <c r="KUN32" s="17"/>
      <c r="KUO32" s="17"/>
      <c r="KUP32" s="17"/>
      <c r="KUQ32" s="17"/>
      <c r="KUR32" s="17"/>
      <c r="KUS32" s="17"/>
      <c r="KUT32" s="17"/>
      <c r="KUU32" s="17"/>
      <c r="KUV32" s="17"/>
      <c r="KUW32" s="17"/>
      <c r="KUX32" s="17"/>
      <c r="KUY32" s="17"/>
      <c r="KUZ32" s="17"/>
      <c r="KVA32" s="17"/>
      <c r="KVB32" s="17"/>
      <c r="KVC32" s="17"/>
      <c r="KVD32" s="17"/>
      <c r="KVE32" s="17"/>
      <c r="KVF32" s="17"/>
      <c r="KVG32" s="17"/>
      <c r="KVH32" s="17"/>
      <c r="KVI32" s="17"/>
      <c r="KVJ32" s="17"/>
      <c r="KVK32" s="17"/>
      <c r="KVL32" s="17"/>
      <c r="KVM32" s="17"/>
      <c r="KVN32" s="17"/>
      <c r="KVO32" s="17"/>
      <c r="KVP32" s="17"/>
      <c r="KVQ32" s="17"/>
      <c r="KVR32" s="17"/>
      <c r="KVS32" s="17"/>
      <c r="KVT32" s="17"/>
      <c r="KVU32" s="17"/>
      <c r="KVV32" s="17"/>
      <c r="KVW32" s="17"/>
      <c r="KVX32" s="17"/>
      <c r="KVY32" s="17"/>
      <c r="KVZ32" s="17"/>
      <c r="KWA32" s="17"/>
      <c r="KWB32" s="17"/>
      <c r="KWC32" s="17"/>
      <c r="KWD32" s="17"/>
      <c r="KWE32" s="17"/>
      <c r="KWF32" s="17"/>
      <c r="KWG32" s="17"/>
      <c r="KWH32" s="17"/>
      <c r="KWI32" s="17"/>
      <c r="KWJ32" s="17"/>
      <c r="KWK32" s="17"/>
      <c r="KWL32" s="17"/>
      <c r="KWM32" s="17"/>
      <c r="KWN32" s="17"/>
      <c r="KWO32" s="17"/>
      <c r="KWP32" s="17"/>
      <c r="KWQ32" s="17"/>
      <c r="KWR32" s="17"/>
      <c r="KWS32" s="17"/>
      <c r="KWT32" s="17"/>
      <c r="KWU32" s="17"/>
      <c r="KWV32" s="17"/>
      <c r="KWW32" s="17"/>
      <c r="KWX32" s="17"/>
      <c r="KWY32" s="17"/>
      <c r="KWZ32" s="17"/>
      <c r="KXA32" s="17"/>
      <c r="KXB32" s="17"/>
      <c r="KXC32" s="17"/>
      <c r="KXD32" s="17"/>
      <c r="KXE32" s="17"/>
      <c r="KXF32" s="17"/>
      <c r="KXG32" s="17"/>
      <c r="KXH32" s="17"/>
      <c r="KXI32" s="17"/>
      <c r="KXJ32" s="17"/>
      <c r="KXK32" s="17"/>
      <c r="KXL32" s="17"/>
      <c r="KXM32" s="17"/>
      <c r="KXN32" s="17"/>
      <c r="KXO32" s="17"/>
      <c r="KXP32" s="17"/>
      <c r="KXQ32" s="17"/>
      <c r="KXR32" s="17"/>
      <c r="KXS32" s="17"/>
      <c r="KXT32" s="17"/>
      <c r="KXU32" s="17"/>
      <c r="KXV32" s="17"/>
      <c r="KXW32" s="17"/>
      <c r="KXX32" s="17"/>
      <c r="KXY32" s="17"/>
      <c r="KXZ32" s="17"/>
      <c r="KYA32" s="17"/>
      <c r="KYB32" s="17"/>
      <c r="KYC32" s="17"/>
      <c r="KYD32" s="17"/>
      <c r="KYE32" s="17"/>
      <c r="KYF32" s="17"/>
      <c r="KYG32" s="17"/>
      <c r="KYH32" s="17"/>
      <c r="KYI32" s="17"/>
      <c r="KYJ32" s="17"/>
      <c r="KYK32" s="17"/>
      <c r="KYL32" s="17"/>
      <c r="KYM32" s="17"/>
      <c r="KYN32" s="17"/>
      <c r="KYO32" s="17"/>
      <c r="KYP32" s="17"/>
      <c r="KYQ32" s="17"/>
      <c r="KYR32" s="17"/>
      <c r="KYS32" s="17"/>
      <c r="KYT32" s="17"/>
      <c r="KYU32" s="17"/>
      <c r="KYV32" s="17"/>
      <c r="KYW32" s="17"/>
      <c r="KYX32" s="17"/>
      <c r="KYY32" s="17"/>
      <c r="KYZ32" s="17"/>
      <c r="KZA32" s="17"/>
      <c r="KZB32" s="17"/>
      <c r="KZC32" s="17"/>
      <c r="KZD32" s="17"/>
      <c r="KZE32" s="17"/>
      <c r="KZF32" s="17"/>
      <c r="KZG32" s="17"/>
      <c r="KZH32" s="17"/>
      <c r="KZI32" s="17"/>
      <c r="KZJ32" s="17"/>
      <c r="KZK32" s="17"/>
      <c r="KZL32" s="17"/>
      <c r="KZM32" s="17"/>
      <c r="KZN32" s="17"/>
      <c r="KZO32" s="17"/>
      <c r="KZP32" s="17"/>
      <c r="KZQ32" s="17"/>
      <c r="KZR32" s="17"/>
      <c r="KZS32" s="17"/>
      <c r="KZT32" s="17"/>
      <c r="KZU32" s="17"/>
      <c r="KZV32" s="17"/>
      <c r="KZW32" s="17"/>
      <c r="KZX32" s="17"/>
      <c r="KZY32" s="17"/>
      <c r="KZZ32" s="17"/>
      <c r="LAA32" s="17"/>
      <c r="LAB32" s="17"/>
      <c r="LAC32" s="17"/>
      <c r="LAD32" s="17"/>
      <c r="LAE32" s="17"/>
      <c r="LAF32" s="17"/>
      <c r="LAG32" s="17"/>
      <c r="LAH32" s="17"/>
      <c r="LAI32" s="17"/>
      <c r="LAJ32" s="17"/>
      <c r="LAK32" s="17"/>
      <c r="LAL32" s="17"/>
      <c r="LAM32" s="17"/>
      <c r="LAN32" s="17"/>
      <c r="LAO32" s="17"/>
      <c r="LAP32" s="17"/>
      <c r="LAQ32" s="17"/>
      <c r="LAR32" s="17"/>
      <c r="LAS32" s="17"/>
      <c r="LAT32" s="17"/>
      <c r="LAU32" s="17"/>
      <c r="LAV32" s="17"/>
      <c r="LAW32" s="17"/>
      <c r="LAX32" s="17"/>
      <c r="LAY32" s="17"/>
      <c r="LAZ32" s="17"/>
      <c r="LBA32" s="17"/>
      <c r="LBB32" s="17"/>
      <c r="LBC32" s="17"/>
      <c r="LBD32" s="17"/>
      <c r="LBE32" s="17"/>
      <c r="LBF32" s="17"/>
      <c r="LBG32" s="17"/>
      <c r="LBH32" s="17"/>
      <c r="LBI32" s="17"/>
      <c r="LBJ32" s="17"/>
      <c r="LBK32" s="17"/>
      <c r="LBL32" s="17"/>
      <c r="LBM32" s="17"/>
      <c r="LBN32" s="17"/>
      <c r="LBO32" s="17"/>
      <c r="LBP32" s="17"/>
      <c r="LBQ32" s="17"/>
      <c r="LBR32" s="17"/>
      <c r="LBS32" s="17"/>
      <c r="LBT32" s="17"/>
      <c r="LBU32" s="17"/>
      <c r="LBV32" s="17"/>
      <c r="LBW32" s="17"/>
      <c r="LBX32" s="17"/>
      <c r="LBY32" s="17"/>
      <c r="LBZ32" s="17"/>
      <c r="LCA32" s="17"/>
      <c r="LCB32" s="17"/>
      <c r="LCC32" s="17"/>
      <c r="LCD32" s="17"/>
      <c r="LCE32" s="17"/>
      <c r="LCF32" s="17"/>
      <c r="LCG32" s="17"/>
      <c r="LCH32" s="17"/>
      <c r="LCI32" s="17"/>
      <c r="LCJ32" s="17"/>
      <c r="LCK32" s="17"/>
      <c r="LCL32" s="17"/>
      <c r="LCM32" s="17"/>
      <c r="LCN32" s="17"/>
      <c r="LCO32" s="17"/>
      <c r="LCP32" s="17"/>
      <c r="LCQ32" s="17"/>
      <c r="LCR32" s="17"/>
      <c r="LCS32" s="17"/>
      <c r="LCT32" s="17"/>
      <c r="LCU32" s="17"/>
      <c r="LCV32" s="17"/>
      <c r="LCW32" s="17"/>
      <c r="LCX32" s="17"/>
      <c r="LCY32" s="17"/>
      <c r="LCZ32" s="17"/>
      <c r="LDA32" s="17"/>
      <c r="LDB32" s="17"/>
      <c r="LDC32" s="17"/>
      <c r="LDD32" s="17"/>
      <c r="LDE32" s="17"/>
      <c r="LDF32" s="17"/>
      <c r="LDG32" s="17"/>
      <c r="LDH32" s="17"/>
      <c r="LDI32" s="17"/>
      <c r="LDJ32" s="17"/>
      <c r="LDK32" s="17"/>
      <c r="LDL32" s="17"/>
      <c r="LDM32" s="17"/>
      <c r="LDN32" s="17"/>
      <c r="LDO32" s="17"/>
      <c r="LDP32" s="17"/>
      <c r="LDQ32" s="17"/>
      <c r="LDR32" s="17"/>
      <c r="LDS32" s="17"/>
      <c r="LDT32" s="17"/>
      <c r="LDU32" s="17"/>
      <c r="LDV32" s="17"/>
      <c r="LDW32" s="17"/>
      <c r="LDX32" s="17"/>
      <c r="LDY32" s="17"/>
      <c r="LDZ32" s="17"/>
      <c r="LEA32" s="17"/>
      <c r="LEB32" s="17"/>
      <c r="LEC32" s="17"/>
      <c r="LED32" s="17"/>
      <c r="LEE32" s="17"/>
      <c r="LEF32" s="17"/>
      <c r="LEG32" s="17"/>
      <c r="LEH32" s="17"/>
      <c r="LEI32" s="17"/>
      <c r="LEJ32" s="17"/>
      <c r="LEK32" s="17"/>
      <c r="LEL32" s="17"/>
      <c r="LEM32" s="17"/>
      <c r="LEN32" s="17"/>
      <c r="LEO32" s="17"/>
      <c r="LEP32" s="17"/>
      <c r="LEQ32" s="17"/>
      <c r="LER32" s="17"/>
      <c r="LES32" s="17"/>
      <c r="LET32" s="17"/>
      <c r="LEU32" s="17"/>
      <c r="LEV32" s="17"/>
      <c r="LEW32" s="17"/>
      <c r="LEX32" s="17"/>
      <c r="LEY32" s="17"/>
      <c r="LEZ32" s="17"/>
      <c r="LFA32" s="17"/>
      <c r="LFB32" s="17"/>
      <c r="LFC32" s="17"/>
      <c r="LFD32" s="17"/>
      <c r="LFE32" s="17"/>
      <c r="LFF32" s="17"/>
      <c r="LFG32" s="17"/>
      <c r="LFH32" s="17"/>
      <c r="LFI32" s="17"/>
      <c r="LFJ32" s="17"/>
      <c r="LFK32" s="17"/>
      <c r="LFL32" s="17"/>
      <c r="LFM32" s="17"/>
      <c r="LFN32" s="17"/>
      <c r="LFO32" s="17"/>
      <c r="LFP32" s="17"/>
      <c r="LFQ32" s="17"/>
      <c r="LFR32" s="17"/>
      <c r="LFS32" s="17"/>
      <c r="LFT32" s="17"/>
      <c r="LFU32" s="17"/>
      <c r="LFV32" s="17"/>
      <c r="LFW32" s="17"/>
      <c r="LFX32" s="17"/>
      <c r="LFY32" s="17"/>
      <c r="LFZ32" s="17"/>
      <c r="LGA32" s="17"/>
      <c r="LGB32" s="17"/>
      <c r="LGC32" s="17"/>
      <c r="LGD32" s="17"/>
      <c r="LGE32" s="17"/>
      <c r="LGF32" s="17"/>
      <c r="LGG32" s="17"/>
      <c r="LGH32" s="17"/>
      <c r="LGI32" s="17"/>
      <c r="LGJ32" s="17"/>
      <c r="LGK32" s="17"/>
      <c r="LGL32" s="17"/>
      <c r="LGM32" s="17"/>
      <c r="LGN32" s="17"/>
      <c r="LGO32" s="17"/>
      <c r="LGP32" s="17"/>
      <c r="LGQ32" s="17"/>
      <c r="LGR32" s="17"/>
      <c r="LGS32" s="17"/>
      <c r="LGT32" s="17"/>
      <c r="LGU32" s="17"/>
      <c r="LGV32" s="17"/>
      <c r="LGW32" s="17"/>
      <c r="LGX32" s="17"/>
      <c r="LGY32" s="17"/>
      <c r="LGZ32" s="17"/>
      <c r="LHA32" s="17"/>
      <c r="LHB32" s="17"/>
      <c r="LHC32" s="17"/>
      <c r="LHD32" s="17"/>
      <c r="LHE32" s="17"/>
      <c r="LHF32" s="17"/>
      <c r="LHG32" s="17"/>
      <c r="LHH32" s="17"/>
      <c r="LHI32" s="17"/>
      <c r="LHJ32" s="17"/>
      <c r="LHK32" s="17"/>
      <c r="LHL32" s="17"/>
      <c r="LHM32" s="17"/>
      <c r="LHN32" s="17"/>
      <c r="LHO32" s="17"/>
      <c r="LHP32" s="17"/>
      <c r="LHQ32" s="17"/>
      <c r="LHR32" s="17"/>
      <c r="LHS32" s="17"/>
      <c r="LHT32" s="17"/>
      <c r="LHU32" s="17"/>
      <c r="LHV32" s="17"/>
      <c r="LHW32" s="17"/>
      <c r="LHX32" s="17"/>
      <c r="LHY32" s="17"/>
      <c r="LHZ32" s="17"/>
      <c r="LIA32" s="17"/>
      <c r="LIB32" s="17"/>
      <c r="LIC32" s="17"/>
      <c r="LID32" s="17"/>
      <c r="LIE32" s="17"/>
      <c r="LIF32" s="17"/>
      <c r="LIG32" s="17"/>
      <c r="LIH32" s="17"/>
      <c r="LII32" s="17"/>
      <c r="LIJ32" s="17"/>
      <c r="LIK32" s="17"/>
      <c r="LIL32" s="17"/>
      <c r="LIM32" s="17"/>
      <c r="LIN32" s="17"/>
      <c r="LIO32" s="17"/>
      <c r="LIP32" s="17"/>
      <c r="LIQ32" s="17"/>
      <c r="LIR32" s="17"/>
      <c r="LIS32" s="17"/>
      <c r="LIT32" s="17"/>
      <c r="LIU32" s="17"/>
      <c r="LIV32" s="17"/>
      <c r="LIW32" s="17"/>
      <c r="LIX32" s="17"/>
      <c r="LIY32" s="17"/>
      <c r="LIZ32" s="17"/>
      <c r="LJA32" s="17"/>
      <c r="LJB32" s="17"/>
      <c r="LJC32" s="17"/>
      <c r="LJD32" s="17"/>
      <c r="LJE32" s="17"/>
      <c r="LJF32" s="17"/>
      <c r="LJG32" s="17"/>
      <c r="LJH32" s="17"/>
      <c r="LJI32" s="17"/>
      <c r="LJJ32" s="17"/>
      <c r="LJK32" s="17"/>
      <c r="LJL32" s="17"/>
      <c r="LJM32" s="17"/>
      <c r="LJN32" s="17"/>
      <c r="LJO32" s="17"/>
      <c r="LJP32" s="17"/>
      <c r="LJQ32" s="17"/>
      <c r="LJR32" s="17"/>
      <c r="LJS32" s="17"/>
      <c r="LJT32" s="17"/>
      <c r="LJU32" s="17"/>
      <c r="LJV32" s="17"/>
      <c r="LJW32" s="17"/>
      <c r="LJX32" s="17"/>
      <c r="LJY32" s="17"/>
      <c r="LJZ32" s="17"/>
      <c r="LKA32" s="17"/>
      <c r="LKB32" s="17"/>
      <c r="LKC32" s="17"/>
      <c r="LKD32" s="17"/>
      <c r="LKE32" s="17"/>
      <c r="LKF32" s="17"/>
      <c r="LKG32" s="17"/>
      <c r="LKH32" s="17"/>
      <c r="LKI32" s="17"/>
      <c r="LKJ32" s="17"/>
      <c r="LKK32" s="17"/>
      <c r="LKL32" s="17"/>
      <c r="LKM32" s="17"/>
      <c r="LKN32" s="17"/>
      <c r="LKO32" s="17"/>
      <c r="LKP32" s="17"/>
      <c r="LKQ32" s="17"/>
      <c r="LKR32" s="17"/>
      <c r="LKS32" s="17"/>
      <c r="LKT32" s="17"/>
      <c r="LKU32" s="17"/>
      <c r="LKV32" s="17"/>
      <c r="LKW32" s="17"/>
      <c r="LKX32" s="17"/>
      <c r="LKY32" s="17"/>
      <c r="LKZ32" s="17"/>
      <c r="LLA32" s="17"/>
      <c r="LLB32" s="17"/>
      <c r="LLC32" s="17"/>
      <c r="LLD32" s="17"/>
      <c r="LLE32" s="17"/>
      <c r="LLF32" s="17"/>
      <c r="LLG32" s="17"/>
      <c r="LLH32" s="17"/>
      <c r="LLI32" s="17"/>
      <c r="LLJ32" s="17"/>
      <c r="LLK32" s="17"/>
      <c r="LLL32" s="17"/>
      <c r="LLM32" s="17"/>
      <c r="LLN32" s="17"/>
      <c r="LLO32" s="17"/>
      <c r="LLP32" s="17"/>
      <c r="LLQ32" s="17"/>
      <c r="LLR32" s="17"/>
      <c r="LLS32" s="17"/>
      <c r="LLT32" s="17"/>
      <c r="LLU32" s="17"/>
      <c r="LLV32" s="17"/>
      <c r="LLW32" s="17"/>
      <c r="LLX32" s="17"/>
      <c r="LLY32" s="17"/>
      <c r="LLZ32" s="17"/>
      <c r="LMA32" s="17"/>
      <c r="LMB32" s="17"/>
      <c r="LMC32" s="17"/>
      <c r="LMD32" s="17"/>
      <c r="LME32" s="17"/>
      <c r="LMF32" s="17"/>
      <c r="LMG32" s="17"/>
      <c r="LMH32" s="17"/>
      <c r="LMI32" s="17"/>
      <c r="LMJ32" s="17"/>
      <c r="LMK32" s="17"/>
      <c r="LML32" s="17"/>
      <c r="LMM32" s="17"/>
      <c r="LMN32" s="17"/>
      <c r="LMO32" s="17"/>
      <c r="LMP32" s="17"/>
      <c r="LMQ32" s="17"/>
      <c r="LMR32" s="17"/>
      <c r="LMS32" s="17"/>
      <c r="LMT32" s="17"/>
      <c r="LMU32" s="17"/>
      <c r="LMV32" s="17"/>
      <c r="LMW32" s="17"/>
      <c r="LMX32" s="17"/>
      <c r="LMY32" s="17"/>
      <c r="LMZ32" s="17"/>
      <c r="LNA32" s="17"/>
      <c r="LNB32" s="17"/>
      <c r="LNC32" s="17"/>
      <c r="LND32" s="17"/>
      <c r="LNE32" s="17"/>
      <c r="LNF32" s="17"/>
      <c r="LNG32" s="17"/>
      <c r="LNH32" s="17"/>
      <c r="LNI32" s="17"/>
      <c r="LNJ32" s="17"/>
      <c r="LNK32" s="17"/>
      <c r="LNL32" s="17"/>
      <c r="LNM32" s="17"/>
      <c r="LNN32" s="17"/>
      <c r="LNO32" s="17"/>
      <c r="LNP32" s="17"/>
      <c r="LNQ32" s="17"/>
      <c r="LNR32" s="17"/>
      <c r="LNS32" s="17"/>
      <c r="LNT32" s="17"/>
      <c r="LNU32" s="17"/>
      <c r="LNV32" s="17"/>
      <c r="LNW32" s="17"/>
      <c r="LNX32" s="17"/>
      <c r="LNY32" s="17"/>
      <c r="LNZ32" s="17"/>
      <c r="LOA32" s="17"/>
      <c r="LOB32" s="17"/>
      <c r="LOC32" s="17"/>
      <c r="LOD32" s="17"/>
      <c r="LOE32" s="17"/>
      <c r="LOF32" s="17"/>
      <c r="LOG32" s="17"/>
      <c r="LOH32" s="17"/>
      <c r="LOI32" s="17"/>
      <c r="LOJ32" s="17"/>
      <c r="LOK32" s="17"/>
      <c r="LOL32" s="17"/>
      <c r="LOM32" s="17"/>
      <c r="LON32" s="17"/>
      <c r="LOO32" s="17"/>
      <c r="LOP32" s="17"/>
      <c r="LOQ32" s="17"/>
      <c r="LOR32" s="17"/>
      <c r="LOS32" s="17"/>
      <c r="LOT32" s="17"/>
      <c r="LOU32" s="17"/>
      <c r="LOV32" s="17"/>
      <c r="LOW32" s="17"/>
      <c r="LOX32" s="17"/>
      <c r="LOY32" s="17"/>
      <c r="LOZ32" s="17"/>
      <c r="LPA32" s="17"/>
      <c r="LPB32" s="17"/>
      <c r="LPC32" s="17"/>
      <c r="LPD32" s="17"/>
      <c r="LPE32" s="17"/>
      <c r="LPF32" s="17"/>
      <c r="LPG32" s="17"/>
      <c r="LPH32" s="17"/>
      <c r="LPI32" s="17"/>
      <c r="LPJ32" s="17"/>
      <c r="LPK32" s="17"/>
      <c r="LPL32" s="17"/>
      <c r="LPM32" s="17"/>
      <c r="LPN32" s="17"/>
      <c r="LPO32" s="17"/>
      <c r="LPP32" s="17"/>
      <c r="LPQ32" s="17"/>
      <c r="LPR32" s="17"/>
      <c r="LPS32" s="17"/>
      <c r="LPT32" s="17"/>
      <c r="LPU32" s="17"/>
      <c r="LPV32" s="17"/>
      <c r="LPW32" s="17"/>
      <c r="LPX32" s="17"/>
      <c r="LPY32" s="17"/>
      <c r="LPZ32" s="17"/>
      <c r="LQA32" s="17"/>
      <c r="LQB32" s="17"/>
      <c r="LQC32" s="17"/>
      <c r="LQD32" s="17"/>
      <c r="LQE32" s="17"/>
      <c r="LQF32" s="17"/>
      <c r="LQG32" s="17"/>
      <c r="LQH32" s="17"/>
      <c r="LQI32" s="17"/>
      <c r="LQJ32" s="17"/>
      <c r="LQK32" s="17"/>
      <c r="LQL32" s="17"/>
      <c r="LQM32" s="17"/>
      <c r="LQN32" s="17"/>
      <c r="LQO32" s="17"/>
      <c r="LQP32" s="17"/>
      <c r="LQQ32" s="17"/>
      <c r="LQR32" s="17"/>
      <c r="LQS32" s="17"/>
      <c r="LQT32" s="17"/>
      <c r="LQU32" s="17"/>
      <c r="LQV32" s="17"/>
      <c r="LQW32" s="17"/>
      <c r="LQX32" s="17"/>
      <c r="LQY32" s="17"/>
      <c r="LQZ32" s="17"/>
      <c r="LRA32" s="17"/>
      <c r="LRB32" s="17"/>
      <c r="LRC32" s="17"/>
      <c r="LRD32" s="17"/>
      <c r="LRE32" s="17"/>
      <c r="LRF32" s="17"/>
      <c r="LRG32" s="17"/>
      <c r="LRH32" s="17"/>
      <c r="LRI32" s="17"/>
      <c r="LRJ32" s="17"/>
      <c r="LRK32" s="17"/>
      <c r="LRL32" s="17"/>
      <c r="LRM32" s="17"/>
      <c r="LRN32" s="17"/>
      <c r="LRO32" s="17"/>
      <c r="LRP32" s="17"/>
      <c r="LRQ32" s="17"/>
      <c r="LRR32" s="17"/>
      <c r="LRS32" s="17"/>
      <c r="LRT32" s="17"/>
      <c r="LRU32" s="17"/>
      <c r="LRV32" s="17"/>
      <c r="LRW32" s="17"/>
      <c r="LRX32" s="17"/>
      <c r="LRY32" s="17"/>
      <c r="LRZ32" s="17"/>
      <c r="LSA32" s="17"/>
      <c r="LSB32" s="17"/>
      <c r="LSC32" s="17"/>
      <c r="LSD32" s="17"/>
      <c r="LSE32" s="17"/>
      <c r="LSF32" s="17"/>
      <c r="LSG32" s="17"/>
      <c r="LSH32" s="17"/>
      <c r="LSI32" s="17"/>
      <c r="LSJ32" s="17"/>
      <c r="LSK32" s="17"/>
      <c r="LSL32" s="17"/>
      <c r="LSM32" s="17"/>
      <c r="LSN32" s="17"/>
      <c r="LSO32" s="17"/>
      <c r="LSP32" s="17"/>
      <c r="LSQ32" s="17"/>
      <c r="LSR32" s="17"/>
      <c r="LSS32" s="17"/>
      <c r="LST32" s="17"/>
      <c r="LSU32" s="17"/>
      <c r="LSV32" s="17"/>
      <c r="LSW32" s="17"/>
      <c r="LSX32" s="17"/>
      <c r="LSY32" s="17"/>
      <c r="LSZ32" s="17"/>
      <c r="LTA32" s="17"/>
      <c r="LTB32" s="17"/>
      <c r="LTC32" s="17"/>
      <c r="LTD32" s="17"/>
      <c r="LTE32" s="17"/>
      <c r="LTF32" s="17"/>
      <c r="LTG32" s="17"/>
      <c r="LTH32" s="17"/>
      <c r="LTI32" s="17"/>
      <c r="LTJ32" s="17"/>
      <c r="LTK32" s="17"/>
      <c r="LTL32" s="17"/>
      <c r="LTM32" s="17"/>
      <c r="LTN32" s="17"/>
      <c r="LTO32" s="17"/>
      <c r="LTP32" s="17"/>
      <c r="LTQ32" s="17"/>
      <c r="LTR32" s="17"/>
      <c r="LTS32" s="17"/>
      <c r="LTT32" s="17"/>
      <c r="LTU32" s="17"/>
      <c r="LTV32" s="17"/>
      <c r="LTW32" s="17"/>
      <c r="LTX32" s="17"/>
      <c r="LTY32" s="17"/>
      <c r="LTZ32" s="17"/>
      <c r="LUA32" s="17"/>
      <c r="LUB32" s="17"/>
      <c r="LUC32" s="17"/>
      <c r="LUD32" s="17"/>
      <c r="LUE32" s="17"/>
      <c r="LUF32" s="17"/>
      <c r="LUG32" s="17"/>
      <c r="LUH32" s="17"/>
      <c r="LUI32" s="17"/>
      <c r="LUJ32" s="17"/>
      <c r="LUK32" s="17"/>
      <c r="LUL32" s="17"/>
      <c r="LUM32" s="17"/>
      <c r="LUN32" s="17"/>
      <c r="LUO32" s="17"/>
      <c r="LUP32" s="17"/>
      <c r="LUQ32" s="17"/>
      <c r="LUR32" s="17"/>
      <c r="LUS32" s="17"/>
      <c r="LUT32" s="17"/>
      <c r="LUU32" s="17"/>
      <c r="LUV32" s="17"/>
      <c r="LUW32" s="17"/>
      <c r="LUX32" s="17"/>
      <c r="LUY32" s="17"/>
      <c r="LUZ32" s="17"/>
      <c r="LVA32" s="17"/>
      <c r="LVB32" s="17"/>
      <c r="LVC32" s="17"/>
      <c r="LVD32" s="17"/>
      <c r="LVE32" s="17"/>
      <c r="LVF32" s="17"/>
      <c r="LVG32" s="17"/>
      <c r="LVH32" s="17"/>
      <c r="LVI32" s="17"/>
      <c r="LVJ32" s="17"/>
      <c r="LVK32" s="17"/>
      <c r="LVL32" s="17"/>
      <c r="LVM32" s="17"/>
      <c r="LVN32" s="17"/>
      <c r="LVO32" s="17"/>
      <c r="LVP32" s="17"/>
      <c r="LVQ32" s="17"/>
      <c r="LVR32" s="17"/>
      <c r="LVS32" s="17"/>
      <c r="LVT32" s="17"/>
      <c r="LVU32" s="17"/>
      <c r="LVV32" s="17"/>
      <c r="LVW32" s="17"/>
      <c r="LVX32" s="17"/>
      <c r="LVY32" s="17"/>
      <c r="LVZ32" s="17"/>
      <c r="LWA32" s="17"/>
      <c r="LWB32" s="17"/>
      <c r="LWC32" s="17"/>
      <c r="LWD32" s="17"/>
      <c r="LWE32" s="17"/>
      <c r="LWF32" s="17"/>
      <c r="LWG32" s="17"/>
      <c r="LWH32" s="17"/>
      <c r="LWI32" s="17"/>
      <c r="LWJ32" s="17"/>
      <c r="LWK32" s="17"/>
      <c r="LWL32" s="17"/>
      <c r="LWM32" s="17"/>
      <c r="LWN32" s="17"/>
      <c r="LWO32" s="17"/>
      <c r="LWP32" s="17"/>
      <c r="LWQ32" s="17"/>
      <c r="LWR32" s="17"/>
      <c r="LWS32" s="17"/>
      <c r="LWT32" s="17"/>
      <c r="LWU32" s="17"/>
      <c r="LWV32" s="17"/>
      <c r="LWW32" s="17"/>
      <c r="LWX32" s="17"/>
      <c r="LWY32" s="17"/>
      <c r="LWZ32" s="17"/>
      <c r="LXA32" s="17"/>
      <c r="LXB32" s="17"/>
      <c r="LXC32" s="17"/>
      <c r="LXD32" s="17"/>
      <c r="LXE32" s="17"/>
      <c r="LXF32" s="17"/>
      <c r="LXG32" s="17"/>
      <c r="LXH32" s="17"/>
      <c r="LXI32" s="17"/>
      <c r="LXJ32" s="17"/>
      <c r="LXK32" s="17"/>
      <c r="LXL32" s="17"/>
      <c r="LXM32" s="17"/>
      <c r="LXN32" s="17"/>
      <c r="LXO32" s="17"/>
      <c r="LXP32" s="17"/>
      <c r="LXQ32" s="17"/>
      <c r="LXR32" s="17"/>
      <c r="LXS32" s="17"/>
      <c r="LXT32" s="17"/>
      <c r="LXU32" s="17"/>
      <c r="LXV32" s="17"/>
      <c r="LXW32" s="17"/>
      <c r="LXX32" s="17"/>
      <c r="LXY32" s="17"/>
      <c r="LXZ32" s="17"/>
      <c r="LYA32" s="17"/>
      <c r="LYB32" s="17"/>
      <c r="LYC32" s="17"/>
      <c r="LYD32" s="17"/>
      <c r="LYE32" s="17"/>
      <c r="LYF32" s="17"/>
      <c r="LYG32" s="17"/>
      <c r="LYH32" s="17"/>
      <c r="LYI32" s="17"/>
      <c r="LYJ32" s="17"/>
      <c r="LYK32" s="17"/>
      <c r="LYL32" s="17"/>
      <c r="LYM32" s="17"/>
      <c r="LYN32" s="17"/>
      <c r="LYO32" s="17"/>
      <c r="LYP32" s="17"/>
      <c r="LYQ32" s="17"/>
      <c r="LYR32" s="17"/>
      <c r="LYS32" s="17"/>
      <c r="LYT32" s="17"/>
      <c r="LYU32" s="17"/>
      <c r="LYV32" s="17"/>
      <c r="LYW32" s="17"/>
      <c r="LYX32" s="17"/>
      <c r="LYY32" s="17"/>
      <c r="LYZ32" s="17"/>
      <c r="LZA32" s="17"/>
      <c r="LZB32" s="17"/>
      <c r="LZC32" s="17"/>
      <c r="LZD32" s="17"/>
      <c r="LZE32" s="17"/>
      <c r="LZF32" s="17"/>
      <c r="LZG32" s="17"/>
      <c r="LZH32" s="17"/>
      <c r="LZI32" s="17"/>
      <c r="LZJ32" s="17"/>
      <c r="LZK32" s="17"/>
      <c r="LZL32" s="17"/>
      <c r="LZM32" s="17"/>
      <c r="LZN32" s="17"/>
      <c r="LZO32" s="17"/>
      <c r="LZP32" s="17"/>
      <c r="LZQ32" s="17"/>
      <c r="LZR32" s="17"/>
      <c r="LZS32" s="17"/>
      <c r="LZT32" s="17"/>
      <c r="LZU32" s="17"/>
      <c r="LZV32" s="17"/>
      <c r="LZW32" s="17"/>
      <c r="LZX32" s="17"/>
      <c r="LZY32" s="17"/>
      <c r="LZZ32" s="17"/>
      <c r="MAA32" s="17"/>
      <c r="MAB32" s="17"/>
      <c r="MAC32" s="17"/>
      <c r="MAD32" s="17"/>
      <c r="MAE32" s="17"/>
      <c r="MAF32" s="17"/>
      <c r="MAG32" s="17"/>
      <c r="MAH32" s="17"/>
      <c r="MAI32" s="17"/>
      <c r="MAJ32" s="17"/>
      <c r="MAK32" s="17"/>
      <c r="MAL32" s="17"/>
      <c r="MAM32" s="17"/>
      <c r="MAN32" s="17"/>
      <c r="MAO32" s="17"/>
      <c r="MAP32" s="17"/>
      <c r="MAQ32" s="17"/>
      <c r="MAR32" s="17"/>
      <c r="MAS32" s="17"/>
      <c r="MAT32" s="17"/>
      <c r="MAU32" s="17"/>
      <c r="MAV32" s="17"/>
      <c r="MAW32" s="17"/>
      <c r="MAX32" s="17"/>
      <c r="MAY32" s="17"/>
      <c r="MAZ32" s="17"/>
      <c r="MBA32" s="17"/>
      <c r="MBB32" s="17"/>
      <c r="MBC32" s="17"/>
      <c r="MBD32" s="17"/>
      <c r="MBE32" s="17"/>
      <c r="MBF32" s="17"/>
      <c r="MBG32" s="17"/>
      <c r="MBH32" s="17"/>
      <c r="MBI32" s="17"/>
      <c r="MBJ32" s="17"/>
      <c r="MBK32" s="17"/>
      <c r="MBL32" s="17"/>
      <c r="MBM32" s="17"/>
      <c r="MBN32" s="17"/>
      <c r="MBO32" s="17"/>
      <c r="MBP32" s="17"/>
      <c r="MBQ32" s="17"/>
      <c r="MBR32" s="17"/>
      <c r="MBS32" s="17"/>
      <c r="MBT32" s="17"/>
      <c r="MBU32" s="17"/>
      <c r="MBV32" s="17"/>
      <c r="MBW32" s="17"/>
      <c r="MBX32" s="17"/>
      <c r="MBY32" s="17"/>
      <c r="MBZ32" s="17"/>
      <c r="MCA32" s="17"/>
      <c r="MCB32" s="17"/>
      <c r="MCC32" s="17"/>
      <c r="MCD32" s="17"/>
      <c r="MCE32" s="17"/>
      <c r="MCF32" s="17"/>
      <c r="MCG32" s="17"/>
      <c r="MCH32" s="17"/>
      <c r="MCI32" s="17"/>
      <c r="MCJ32" s="17"/>
      <c r="MCK32" s="17"/>
      <c r="MCL32" s="17"/>
      <c r="MCM32" s="17"/>
      <c r="MCN32" s="17"/>
      <c r="MCO32" s="17"/>
      <c r="MCP32" s="17"/>
      <c r="MCQ32" s="17"/>
      <c r="MCR32" s="17"/>
      <c r="MCS32" s="17"/>
      <c r="MCT32" s="17"/>
      <c r="MCU32" s="17"/>
      <c r="MCV32" s="17"/>
      <c r="MCW32" s="17"/>
      <c r="MCX32" s="17"/>
      <c r="MCY32" s="17"/>
      <c r="MCZ32" s="17"/>
      <c r="MDA32" s="17"/>
      <c r="MDB32" s="17"/>
      <c r="MDC32" s="17"/>
      <c r="MDD32" s="17"/>
      <c r="MDE32" s="17"/>
      <c r="MDF32" s="17"/>
      <c r="MDG32" s="17"/>
      <c r="MDH32" s="17"/>
      <c r="MDI32" s="17"/>
      <c r="MDJ32" s="17"/>
      <c r="MDK32" s="17"/>
      <c r="MDL32" s="17"/>
      <c r="MDM32" s="17"/>
      <c r="MDN32" s="17"/>
      <c r="MDO32" s="17"/>
      <c r="MDP32" s="17"/>
      <c r="MDQ32" s="17"/>
      <c r="MDR32" s="17"/>
      <c r="MDS32" s="17"/>
      <c r="MDT32" s="17"/>
      <c r="MDU32" s="17"/>
      <c r="MDV32" s="17"/>
      <c r="MDW32" s="17"/>
      <c r="MDX32" s="17"/>
      <c r="MDY32" s="17"/>
      <c r="MDZ32" s="17"/>
      <c r="MEA32" s="17"/>
      <c r="MEB32" s="17"/>
      <c r="MEC32" s="17"/>
      <c r="MED32" s="17"/>
      <c r="MEE32" s="17"/>
      <c r="MEF32" s="17"/>
      <c r="MEG32" s="17"/>
      <c r="MEH32" s="17"/>
      <c r="MEI32" s="17"/>
      <c r="MEJ32" s="17"/>
      <c r="MEK32" s="17"/>
      <c r="MEL32" s="17"/>
      <c r="MEM32" s="17"/>
      <c r="MEN32" s="17"/>
      <c r="MEO32" s="17"/>
      <c r="MEP32" s="17"/>
      <c r="MEQ32" s="17"/>
      <c r="MER32" s="17"/>
      <c r="MES32" s="17"/>
      <c r="MET32" s="17"/>
      <c r="MEU32" s="17"/>
      <c r="MEV32" s="17"/>
      <c r="MEW32" s="17"/>
      <c r="MEX32" s="17"/>
      <c r="MEY32" s="17"/>
      <c r="MEZ32" s="17"/>
      <c r="MFA32" s="17"/>
      <c r="MFB32" s="17"/>
      <c r="MFC32" s="17"/>
      <c r="MFD32" s="17"/>
      <c r="MFE32" s="17"/>
      <c r="MFF32" s="17"/>
      <c r="MFG32" s="17"/>
      <c r="MFH32" s="17"/>
      <c r="MFI32" s="17"/>
      <c r="MFJ32" s="17"/>
      <c r="MFK32" s="17"/>
      <c r="MFL32" s="17"/>
      <c r="MFM32" s="17"/>
      <c r="MFN32" s="17"/>
      <c r="MFO32" s="17"/>
      <c r="MFP32" s="17"/>
      <c r="MFQ32" s="17"/>
      <c r="MFR32" s="17"/>
      <c r="MFS32" s="17"/>
      <c r="MFT32" s="17"/>
      <c r="MFU32" s="17"/>
      <c r="MFV32" s="17"/>
      <c r="MFW32" s="17"/>
      <c r="MFX32" s="17"/>
      <c r="MFY32" s="17"/>
      <c r="MFZ32" s="17"/>
      <c r="MGA32" s="17"/>
      <c r="MGB32" s="17"/>
      <c r="MGC32" s="17"/>
      <c r="MGD32" s="17"/>
      <c r="MGE32" s="17"/>
      <c r="MGF32" s="17"/>
      <c r="MGG32" s="17"/>
      <c r="MGH32" s="17"/>
      <c r="MGI32" s="17"/>
      <c r="MGJ32" s="17"/>
      <c r="MGK32" s="17"/>
      <c r="MGL32" s="17"/>
      <c r="MGM32" s="17"/>
      <c r="MGN32" s="17"/>
      <c r="MGO32" s="17"/>
      <c r="MGP32" s="17"/>
      <c r="MGQ32" s="17"/>
      <c r="MGR32" s="17"/>
      <c r="MGS32" s="17"/>
      <c r="MGT32" s="17"/>
      <c r="MGU32" s="17"/>
      <c r="MGV32" s="17"/>
      <c r="MGW32" s="17"/>
      <c r="MGX32" s="17"/>
      <c r="MGY32" s="17"/>
      <c r="MGZ32" s="17"/>
      <c r="MHA32" s="17"/>
      <c r="MHB32" s="17"/>
      <c r="MHC32" s="17"/>
      <c r="MHD32" s="17"/>
      <c r="MHE32" s="17"/>
      <c r="MHF32" s="17"/>
      <c r="MHG32" s="17"/>
      <c r="MHH32" s="17"/>
      <c r="MHI32" s="17"/>
      <c r="MHJ32" s="17"/>
      <c r="MHK32" s="17"/>
      <c r="MHL32" s="17"/>
      <c r="MHM32" s="17"/>
      <c r="MHN32" s="17"/>
      <c r="MHO32" s="17"/>
      <c r="MHP32" s="17"/>
      <c r="MHQ32" s="17"/>
      <c r="MHR32" s="17"/>
      <c r="MHS32" s="17"/>
      <c r="MHT32" s="17"/>
      <c r="MHU32" s="17"/>
      <c r="MHV32" s="17"/>
      <c r="MHW32" s="17"/>
      <c r="MHX32" s="17"/>
      <c r="MHY32" s="17"/>
      <c r="MHZ32" s="17"/>
      <c r="MIA32" s="17"/>
      <c r="MIB32" s="17"/>
      <c r="MIC32" s="17"/>
      <c r="MID32" s="17"/>
      <c r="MIE32" s="17"/>
      <c r="MIF32" s="17"/>
      <c r="MIG32" s="17"/>
      <c r="MIH32" s="17"/>
      <c r="MII32" s="17"/>
      <c r="MIJ32" s="17"/>
      <c r="MIK32" s="17"/>
      <c r="MIL32" s="17"/>
      <c r="MIM32" s="17"/>
      <c r="MIN32" s="17"/>
      <c r="MIO32" s="17"/>
      <c r="MIP32" s="17"/>
      <c r="MIQ32" s="17"/>
      <c r="MIR32" s="17"/>
      <c r="MIS32" s="17"/>
      <c r="MIT32" s="17"/>
      <c r="MIU32" s="17"/>
      <c r="MIV32" s="17"/>
      <c r="MIW32" s="17"/>
      <c r="MIX32" s="17"/>
      <c r="MIY32" s="17"/>
      <c r="MIZ32" s="17"/>
      <c r="MJA32" s="17"/>
      <c r="MJB32" s="17"/>
      <c r="MJC32" s="17"/>
      <c r="MJD32" s="17"/>
      <c r="MJE32" s="17"/>
      <c r="MJF32" s="17"/>
      <c r="MJG32" s="17"/>
      <c r="MJH32" s="17"/>
      <c r="MJI32" s="17"/>
      <c r="MJJ32" s="17"/>
      <c r="MJK32" s="17"/>
      <c r="MJL32" s="17"/>
      <c r="MJM32" s="17"/>
      <c r="MJN32" s="17"/>
      <c r="MJO32" s="17"/>
      <c r="MJP32" s="17"/>
      <c r="MJQ32" s="17"/>
      <c r="MJR32" s="17"/>
      <c r="MJS32" s="17"/>
      <c r="MJT32" s="17"/>
      <c r="MJU32" s="17"/>
      <c r="MJV32" s="17"/>
      <c r="MJW32" s="17"/>
      <c r="MJX32" s="17"/>
      <c r="MJY32" s="17"/>
      <c r="MJZ32" s="17"/>
      <c r="MKA32" s="17"/>
      <c r="MKB32" s="17"/>
      <c r="MKC32" s="17"/>
      <c r="MKD32" s="17"/>
      <c r="MKE32" s="17"/>
      <c r="MKF32" s="17"/>
      <c r="MKG32" s="17"/>
      <c r="MKH32" s="17"/>
      <c r="MKI32" s="17"/>
      <c r="MKJ32" s="17"/>
      <c r="MKK32" s="17"/>
      <c r="MKL32" s="17"/>
      <c r="MKM32" s="17"/>
      <c r="MKN32" s="17"/>
      <c r="MKO32" s="17"/>
      <c r="MKP32" s="17"/>
      <c r="MKQ32" s="17"/>
      <c r="MKR32" s="17"/>
      <c r="MKS32" s="17"/>
      <c r="MKT32" s="17"/>
      <c r="MKU32" s="17"/>
      <c r="MKV32" s="17"/>
      <c r="MKW32" s="17"/>
      <c r="MKX32" s="17"/>
      <c r="MKY32" s="17"/>
      <c r="MKZ32" s="17"/>
      <c r="MLA32" s="17"/>
      <c r="MLB32" s="17"/>
      <c r="MLC32" s="17"/>
      <c r="MLD32" s="17"/>
      <c r="MLE32" s="17"/>
      <c r="MLF32" s="17"/>
      <c r="MLG32" s="17"/>
      <c r="MLH32" s="17"/>
      <c r="MLI32" s="17"/>
      <c r="MLJ32" s="17"/>
      <c r="MLK32" s="17"/>
      <c r="MLL32" s="17"/>
      <c r="MLM32" s="17"/>
      <c r="MLN32" s="17"/>
      <c r="MLO32" s="17"/>
      <c r="MLP32" s="17"/>
      <c r="MLQ32" s="17"/>
      <c r="MLR32" s="17"/>
      <c r="MLS32" s="17"/>
      <c r="MLT32" s="17"/>
      <c r="MLU32" s="17"/>
      <c r="MLV32" s="17"/>
      <c r="MLW32" s="17"/>
      <c r="MLX32" s="17"/>
      <c r="MLY32" s="17"/>
      <c r="MLZ32" s="17"/>
      <c r="MMA32" s="17"/>
      <c r="MMB32" s="17"/>
      <c r="MMC32" s="17"/>
      <c r="MMD32" s="17"/>
      <c r="MME32" s="17"/>
      <c r="MMF32" s="17"/>
      <c r="MMG32" s="17"/>
      <c r="MMH32" s="17"/>
      <c r="MMI32" s="17"/>
      <c r="MMJ32" s="17"/>
      <c r="MMK32" s="17"/>
      <c r="MML32" s="17"/>
      <c r="MMM32" s="17"/>
      <c r="MMN32" s="17"/>
      <c r="MMO32" s="17"/>
      <c r="MMP32" s="17"/>
      <c r="MMQ32" s="17"/>
      <c r="MMR32" s="17"/>
      <c r="MMS32" s="17"/>
      <c r="MMT32" s="17"/>
      <c r="MMU32" s="17"/>
      <c r="MMV32" s="17"/>
      <c r="MMW32" s="17"/>
      <c r="MMX32" s="17"/>
      <c r="MMY32" s="17"/>
      <c r="MMZ32" s="17"/>
      <c r="MNA32" s="17"/>
      <c r="MNB32" s="17"/>
      <c r="MNC32" s="17"/>
      <c r="MND32" s="17"/>
      <c r="MNE32" s="17"/>
      <c r="MNF32" s="17"/>
      <c r="MNG32" s="17"/>
      <c r="MNH32" s="17"/>
      <c r="MNI32" s="17"/>
      <c r="MNJ32" s="17"/>
      <c r="MNK32" s="17"/>
      <c r="MNL32" s="17"/>
      <c r="MNM32" s="17"/>
      <c r="MNN32" s="17"/>
      <c r="MNO32" s="17"/>
      <c r="MNP32" s="17"/>
      <c r="MNQ32" s="17"/>
      <c r="MNR32" s="17"/>
      <c r="MNS32" s="17"/>
      <c r="MNT32" s="17"/>
      <c r="MNU32" s="17"/>
      <c r="MNV32" s="17"/>
      <c r="MNW32" s="17"/>
      <c r="MNX32" s="17"/>
      <c r="MNY32" s="17"/>
      <c r="MNZ32" s="17"/>
      <c r="MOA32" s="17"/>
      <c r="MOB32" s="17"/>
      <c r="MOC32" s="17"/>
      <c r="MOD32" s="17"/>
      <c r="MOE32" s="17"/>
      <c r="MOF32" s="17"/>
      <c r="MOG32" s="17"/>
      <c r="MOH32" s="17"/>
      <c r="MOI32" s="17"/>
      <c r="MOJ32" s="17"/>
      <c r="MOK32" s="17"/>
      <c r="MOL32" s="17"/>
      <c r="MOM32" s="17"/>
      <c r="MON32" s="17"/>
      <c r="MOO32" s="17"/>
      <c r="MOP32" s="17"/>
      <c r="MOQ32" s="17"/>
      <c r="MOR32" s="17"/>
      <c r="MOS32" s="17"/>
      <c r="MOT32" s="17"/>
      <c r="MOU32" s="17"/>
      <c r="MOV32" s="17"/>
      <c r="MOW32" s="17"/>
      <c r="MOX32" s="17"/>
      <c r="MOY32" s="17"/>
      <c r="MOZ32" s="17"/>
      <c r="MPA32" s="17"/>
      <c r="MPB32" s="17"/>
      <c r="MPC32" s="17"/>
      <c r="MPD32" s="17"/>
      <c r="MPE32" s="17"/>
      <c r="MPF32" s="17"/>
      <c r="MPG32" s="17"/>
      <c r="MPH32" s="17"/>
      <c r="MPI32" s="17"/>
      <c r="MPJ32" s="17"/>
      <c r="MPK32" s="17"/>
      <c r="MPL32" s="17"/>
      <c r="MPM32" s="17"/>
      <c r="MPN32" s="17"/>
      <c r="MPO32" s="17"/>
      <c r="MPP32" s="17"/>
      <c r="MPQ32" s="17"/>
      <c r="MPR32" s="17"/>
      <c r="MPS32" s="17"/>
      <c r="MPT32" s="17"/>
      <c r="MPU32" s="17"/>
      <c r="MPV32" s="17"/>
      <c r="MPW32" s="17"/>
      <c r="MPX32" s="17"/>
      <c r="MPY32" s="17"/>
      <c r="MPZ32" s="17"/>
      <c r="MQA32" s="17"/>
      <c r="MQB32" s="17"/>
      <c r="MQC32" s="17"/>
      <c r="MQD32" s="17"/>
      <c r="MQE32" s="17"/>
      <c r="MQF32" s="17"/>
      <c r="MQG32" s="17"/>
      <c r="MQH32" s="17"/>
      <c r="MQI32" s="17"/>
      <c r="MQJ32" s="17"/>
      <c r="MQK32" s="17"/>
      <c r="MQL32" s="17"/>
      <c r="MQM32" s="17"/>
      <c r="MQN32" s="17"/>
      <c r="MQO32" s="17"/>
      <c r="MQP32" s="17"/>
      <c r="MQQ32" s="17"/>
      <c r="MQR32" s="17"/>
      <c r="MQS32" s="17"/>
      <c r="MQT32" s="17"/>
      <c r="MQU32" s="17"/>
      <c r="MQV32" s="17"/>
      <c r="MQW32" s="17"/>
      <c r="MQX32" s="17"/>
      <c r="MQY32" s="17"/>
      <c r="MQZ32" s="17"/>
      <c r="MRA32" s="17"/>
      <c r="MRB32" s="17"/>
      <c r="MRC32" s="17"/>
      <c r="MRD32" s="17"/>
      <c r="MRE32" s="17"/>
      <c r="MRF32" s="17"/>
      <c r="MRG32" s="17"/>
      <c r="MRH32" s="17"/>
      <c r="MRI32" s="17"/>
      <c r="MRJ32" s="17"/>
      <c r="MRK32" s="17"/>
      <c r="MRL32" s="17"/>
      <c r="MRM32" s="17"/>
      <c r="MRN32" s="17"/>
      <c r="MRO32" s="17"/>
      <c r="MRP32" s="17"/>
      <c r="MRQ32" s="17"/>
      <c r="MRR32" s="17"/>
      <c r="MRS32" s="17"/>
      <c r="MRT32" s="17"/>
      <c r="MRU32" s="17"/>
      <c r="MRV32" s="17"/>
      <c r="MRW32" s="17"/>
      <c r="MRX32" s="17"/>
      <c r="MRY32" s="17"/>
      <c r="MRZ32" s="17"/>
      <c r="MSA32" s="17"/>
      <c r="MSB32" s="17"/>
      <c r="MSC32" s="17"/>
      <c r="MSD32" s="17"/>
      <c r="MSE32" s="17"/>
      <c r="MSF32" s="17"/>
      <c r="MSG32" s="17"/>
      <c r="MSH32" s="17"/>
      <c r="MSI32" s="17"/>
      <c r="MSJ32" s="17"/>
      <c r="MSK32" s="17"/>
      <c r="MSL32" s="17"/>
      <c r="MSM32" s="17"/>
      <c r="MSN32" s="17"/>
      <c r="MSO32" s="17"/>
      <c r="MSP32" s="17"/>
      <c r="MSQ32" s="17"/>
      <c r="MSR32" s="17"/>
      <c r="MSS32" s="17"/>
      <c r="MST32" s="17"/>
      <c r="MSU32" s="17"/>
      <c r="MSV32" s="17"/>
      <c r="MSW32" s="17"/>
      <c r="MSX32" s="17"/>
      <c r="MSY32" s="17"/>
      <c r="MSZ32" s="17"/>
      <c r="MTA32" s="17"/>
      <c r="MTB32" s="17"/>
      <c r="MTC32" s="17"/>
      <c r="MTD32" s="17"/>
      <c r="MTE32" s="17"/>
      <c r="MTF32" s="17"/>
      <c r="MTG32" s="17"/>
      <c r="MTH32" s="17"/>
      <c r="MTI32" s="17"/>
      <c r="MTJ32" s="17"/>
      <c r="MTK32" s="17"/>
      <c r="MTL32" s="17"/>
      <c r="MTM32" s="17"/>
      <c r="MTN32" s="17"/>
      <c r="MTO32" s="17"/>
      <c r="MTP32" s="17"/>
      <c r="MTQ32" s="17"/>
      <c r="MTR32" s="17"/>
      <c r="MTS32" s="17"/>
      <c r="MTT32" s="17"/>
      <c r="MTU32" s="17"/>
      <c r="MTV32" s="17"/>
      <c r="MTW32" s="17"/>
      <c r="MTX32" s="17"/>
      <c r="MTY32" s="17"/>
      <c r="MTZ32" s="17"/>
      <c r="MUA32" s="17"/>
      <c r="MUB32" s="17"/>
      <c r="MUC32" s="17"/>
      <c r="MUD32" s="17"/>
      <c r="MUE32" s="17"/>
      <c r="MUF32" s="17"/>
      <c r="MUG32" s="17"/>
      <c r="MUH32" s="17"/>
      <c r="MUI32" s="17"/>
      <c r="MUJ32" s="17"/>
      <c r="MUK32" s="17"/>
      <c r="MUL32" s="17"/>
      <c r="MUM32" s="17"/>
      <c r="MUN32" s="17"/>
      <c r="MUO32" s="17"/>
      <c r="MUP32" s="17"/>
      <c r="MUQ32" s="17"/>
      <c r="MUR32" s="17"/>
      <c r="MUS32" s="17"/>
      <c r="MUT32" s="17"/>
      <c r="MUU32" s="17"/>
      <c r="MUV32" s="17"/>
      <c r="MUW32" s="17"/>
      <c r="MUX32" s="17"/>
      <c r="MUY32" s="17"/>
      <c r="MUZ32" s="17"/>
      <c r="MVA32" s="17"/>
      <c r="MVB32" s="17"/>
      <c r="MVC32" s="17"/>
      <c r="MVD32" s="17"/>
      <c r="MVE32" s="17"/>
      <c r="MVF32" s="17"/>
      <c r="MVG32" s="17"/>
      <c r="MVH32" s="17"/>
      <c r="MVI32" s="17"/>
      <c r="MVJ32" s="17"/>
      <c r="MVK32" s="17"/>
      <c r="MVL32" s="17"/>
      <c r="MVM32" s="17"/>
      <c r="MVN32" s="17"/>
      <c r="MVO32" s="17"/>
      <c r="MVP32" s="17"/>
      <c r="MVQ32" s="17"/>
      <c r="MVR32" s="17"/>
      <c r="MVS32" s="17"/>
      <c r="MVT32" s="17"/>
      <c r="MVU32" s="17"/>
      <c r="MVV32" s="17"/>
      <c r="MVW32" s="17"/>
      <c r="MVX32" s="17"/>
      <c r="MVY32" s="17"/>
      <c r="MVZ32" s="17"/>
      <c r="MWA32" s="17"/>
      <c r="MWB32" s="17"/>
      <c r="MWC32" s="17"/>
      <c r="MWD32" s="17"/>
      <c r="MWE32" s="17"/>
      <c r="MWF32" s="17"/>
      <c r="MWG32" s="17"/>
      <c r="MWH32" s="17"/>
      <c r="MWI32" s="17"/>
      <c r="MWJ32" s="17"/>
      <c r="MWK32" s="17"/>
      <c r="MWL32" s="17"/>
      <c r="MWM32" s="17"/>
      <c r="MWN32" s="17"/>
      <c r="MWO32" s="17"/>
      <c r="MWP32" s="17"/>
      <c r="MWQ32" s="17"/>
      <c r="MWR32" s="17"/>
      <c r="MWS32" s="17"/>
      <c r="MWT32" s="17"/>
      <c r="MWU32" s="17"/>
      <c r="MWV32" s="17"/>
      <c r="MWW32" s="17"/>
      <c r="MWX32" s="17"/>
      <c r="MWY32" s="17"/>
      <c r="MWZ32" s="17"/>
      <c r="MXA32" s="17"/>
      <c r="MXB32" s="17"/>
      <c r="MXC32" s="17"/>
      <c r="MXD32" s="17"/>
      <c r="MXE32" s="17"/>
      <c r="MXF32" s="17"/>
      <c r="MXG32" s="17"/>
      <c r="MXH32" s="17"/>
      <c r="MXI32" s="17"/>
      <c r="MXJ32" s="17"/>
      <c r="MXK32" s="17"/>
      <c r="MXL32" s="17"/>
      <c r="MXM32" s="17"/>
      <c r="MXN32" s="17"/>
      <c r="MXO32" s="17"/>
      <c r="MXP32" s="17"/>
      <c r="MXQ32" s="17"/>
      <c r="MXR32" s="17"/>
      <c r="MXS32" s="17"/>
      <c r="MXT32" s="17"/>
      <c r="MXU32" s="17"/>
      <c r="MXV32" s="17"/>
      <c r="MXW32" s="17"/>
      <c r="MXX32" s="17"/>
      <c r="MXY32" s="17"/>
      <c r="MXZ32" s="17"/>
      <c r="MYA32" s="17"/>
      <c r="MYB32" s="17"/>
      <c r="MYC32" s="17"/>
      <c r="MYD32" s="17"/>
      <c r="MYE32" s="17"/>
      <c r="MYF32" s="17"/>
      <c r="MYG32" s="17"/>
      <c r="MYH32" s="17"/>
      <c r="MYI32" s="17"/>
      <c r="MYJ32" s="17"/>
      <c r="MYK32" s="17"/>
      <c r="MYL32" s="17"/>
      <c r="MYM32" s="17"/>
      <c r="MYN32" s="17"/>
      <c r="MYO32" s="17"/>
      <c r="MYP32" s="17"/>
      <c r="MYQ32" s="17"/>
      <c r="MYR32" s="17"/>
      <c r="MYS32" s="17"/>
      <c r="MYT32" s="17"/>
      <c r="MYU32" s="17"/>
      <c r="MYV32" s="17"/>
      <c r="MYW32" s="17"/>
      <c r="MYX32" s="17"/>
      <c r="MYY32" s="17"/>
      <c r="MYZ32" s="17"/>
      <c r="MZA32" s="17"/>
      <c r="MZB32" s="17"/>
      <c r="MZC32" s="17"/>
      <c r="MZD32" s="17"/>
      <c r="MZE32" s="17"/>
      <c r="MZF32" s="17"/>
      <c r="MZG32" s="17"/>
      <c r="MZH32" s="17"/>
      <c r="MZI32" s="17"/>
      <c r="MZJ32" s="17"/>
      <c r="MZK32" s="17"/>
      <c r="MZL32" s="17"/>
      <c r="MZM32" s="17"/>
      <c r="MZN32" s="17"/>
      <c r="MZO32" s="17"/>
      <c r="MZP32" s="17"/>
      <c r="MZQ32" s="17"/>
      <c r="MZR32" s="17"/>
      <c r="MZS32" s="17"/>
      <c r="MZT32" s="17"/>
      <c r="MZU32" s="17"/>
      <c r="MZV32" s="17"/>
      <c r="MZW32" s="17"/>
      <c r="MZX32" s="17"/>
      <c r="MZY32" s="17"/>
      <c r="MZZ32" s="17"/>
      <c r="NAA32" s="17"/>
      <c r="NAB32" s="17"/>
      <c r="NAC32" s="17"/>
      <c r="NAD32" s="17"/>
      <c r="NAE32" s="17"/>
      <c r="NAF32" s="17"/>
      <c r="NAG32" s="17"/>
      <c r="NAH32" s="17"/>
      <c r="NAI32" s="17"/>
      <c r="NAJ32" s="17"/>
      <c r="NAK32" s="17"/>
      <c r="NAL32" s="17"/>
      <c r="NAM32" s="17"/>
      <c r="NAN32" s="17"/>
      <c r="NAO32" s="17"/>
      <c r="NAP32" s="17"/>
      <c r="NAQ32" s="17"/>
      <c r="NAR32" s="17"/>
      <c r="NAS32" s="17"/>
      <c r="NAT32" s="17"/>
      <c r="NAU32" s="17"/>
      <c r="NAV32" s="17"/>
      <c r="NAW32" s="17"/>
      <c r="NAX32" s="17"/>
      <c r="NAY32" s="17"/>
      <c r="NAZ32" s="17"/>
      <c r="NBA32" s="17"/>
      <c r="NBB32" s="17"/>
      <c r="NBC32" s="17"/>
      <c r="NBD32" s="17"/>
      <c r="NBE32" s="17"/>
      <c r="NBF32" s="17"/>
      <c r="NBG32" s="17"/>
      <c r="NBH32" s="17"/>
      <c r="NBI32" s="17"/>
      <c r="NBJ32" s="17"/>
      <c r="NBK32" s="17"/>
      <c r="NBL32" s="17"/>
      <c r="NBM32" s="17"/>
      <c r="NBN32" s="17"/>
      <c r="NBO32" s="17"/>
      <c r="NBP32" s="17"/>
      <c r="NBQ32" s="17"/>
      <c r="NBR32" s="17"/>
      <c r="NBS32" s="17"/>
      <c r="NBT32" s="17"/>
      <c r="NBU32" s="17"/>
      <c r="NBV32" s="17"/>
      <c r="NBW32" s="17"/>
      <c r="NBX32" s="17"/>
      <c r="NBY32" s="17"/>
      <c r="NBZ32" s="17"/>
      <c r="NCA32" s="17"/>
      <c r="NCB32" s="17"/>
      <c r="NCC32" s="17"/>
      <c r="NCD32" s="17"/>
      <c r="NCE32" s="17"/>
      <c r="NCF32" s="17"/>
      <c r="NCG32" s="17"/>
      <c r="NCH32" s="17"/>
      <c r="NCI32" s="17"/>
      <c r="NCJ32" s="17"/>
      <c r="NCK32" s="17"/>
      <c r="NCL32" s="17"/>
      <c r="NCM32" s="17"/>
      <c r="NCN32" s="17"/>
      <c r="NCO32" s="17"/>
      <c r="NCP32" s="17"/>
      <c r="NCQ32" s="17"/>
      <c r="NCR32" s="17"/>
      <c r="NCS32" s="17"/>
      <c r="NCT32" s="17"/>
      <c r="NCU32" s="17"/>
      <c r="NCV32" s="17"/>
      <c r="NCW32" s="17"/>
      <c r="NCX32" s="17"/>
      <c r="NCY32" s="17"/>
      <c r="NCZ32" s="17"/>
      <c r="NDA32" s="17"/>
      <c r="NDB32" s="17"/>
      <c r="NDC32" s="17"/>
      <c r="NDD32" s="17"/>
      <c r="NDE32" s="17"/>
      <c r="NDF32" s="17"/>
      <c r="NDG32" s="17"/>
      <c r="NDH32" s="17"/>
      <c r="NDI32" s="17"/>
      <c r="NDJ32" s="17"/>
      <c r="NDK32" s="17"/>
      <c r="NDL32" s="17"/>
      <c r="NDM32" s="17"/>
      <c r="NDN32" s="17"/>
      <c r="NDO32" s="17"/>
      <c r="NDP32" s="17"/>
      <c r="NDQ32" s="17"/>
      <c r="NDR32" s="17"/>
      <c r="NDS32" s="17"/>
      <c r="NDT32" s="17"/>
      <c r="NDU32" s="17"/>
      <c r="NDV32" s="17"/>
      <c r="NDW32" s="17"/>
      <c r="NDX32" s="17"/>
      <c r="NDY32" s="17"/>
      <c r="NDZ32" s="17"/>
      <c r="NEA32" s="17"/>
      <c r="NEB32" s="17"/>
      <c r="NEC32" s="17"/>
      <c r="NED32" s="17"/>
      <c r="NEE32" s="17"/>
      <c r="NEF32" s="17"/>
      <c r="NEG32" s="17"/>
      <c r="NEH32" s="17"/>
      <c r="NEI32" s="17"/>
      <c r="NEJ32" s="17"/>
      <c r="NEK32" s="17"/>
      <c r="NEL32" s="17"/>
      <c r="NEM32" s="17"/>
      <c r="NEN32" s="17"/>
      <c r="NEO32" s="17"/>
      <c r="NEP32" s="17"/>
      <c r="NEQ32" s="17"/>
      <c r="NER32" s="17"/>
      <c r="NES32" s="17"/>
      <c r="NET32" s="17"/>
      <c r="NEU32" s="17"/>
      <c r="NEV32" s="17"/>
      <c r="NEW32" s="17"/>
      <c r="NEX32" s="17"/>
      <c r="NEY32" s="17"/>
      <c r="NEZ32" s="17"/>
      <c r="NFA32" s="17"/>
      <c r="NFB32" s="17"/>
      <c r="NFC32" s="17"/>
      <c r="NFD32" s="17"/>
      <c r="NFE32" s="17"/>
      <c r="NFF32" s="17"/>
      <c r="NFG32" s="17"/>
      <c r="NFH32" s="17"/>
      <c r="NFI32" s="17"/>
      <c r="NFJ32" s="17"/>
      <c r="NFK32" s="17"/>
      <c r="NFL32" s="17"/>
      <c r="NFM32" s="17"/>
      <c r="NFN32" s="17"/>
      <c r="NFO32" s="17"/>
      <c r="NFP32" s="17"/>
      <c r="NFQ32" s="17"/>
      <c r="NFR32" s="17"/>
      <c r="NFS32" s="17"/>
      <c r="NFT32" s="17"/>
      <c r="NFU32" s="17"/>
      <c r="NFV32" s="17"/>
      <c r="NFW32" s="17"/>
      <c r="NFX32" s="17"/>
      <c r="NFY32" s="17"/>
      <c r="NFZ32" s="17"/>
      <c r="NGA32" s="17"/>
      <c r="NGB32" s="17"/>
      <c r="NGC32" s="17"/>
      <c r="NGD32" s="17"/>
      <c r="NGE32" s="17"/>
      <c r="NGF32" s="17"/>
      <c r="NGG32" s="17"/>
      <c r="NGH32" s="17"/>
      <c r="NGI32" s="17"/>
      <c r="NGJ32" s="17"/>
      <c r="NGK32" s="17"/>
      <c r="NGL32" s="17"/>
      <c r="NGM32" s="17"/>
      <c r="NGN32" s="17"/>
      <c r="NGO32" s="17"/>
      <c r="NGP32" s="17"/>
      <c r="NGQ32" s="17"/>
      <c r="NGR32" s="17"/>
      <c r="NGS32" s="17"/>
      <c r="NGT32" s="17"/>
      <c r="NGU32" s="17"/>
      <c r="NGV32" s="17"/>
      <c r="NGW32" s="17"/>
      <c r="NGX32" s="17"/>
      <c r="NGY32" s="17"/>
      <c r="NGZ32" s="17"/>
      <c r="NHA32" s="17"/>
      <c r="NHB32" s="17"/>
      <c r="NHC32" s="17"/>
      <c r="NHD32" s="17"/>
      <c r="NHE32" s="17"/>
      <c r="NHF32" s="17"/>
      <c r="NHG32" s="17"/>
      <c r="NHH32" s="17"/>
      <c r="NHI32" s="17"/>
      <c r="NHJ32" s="17"/>
      <c r="NHK32" s="17"/>
      <c r="NHL32" s="17"/>
      <c r="NHM32" s="17"/>
      <c r="NHN32" s="17"/>
      <c r="NHO32" s="17"/>
      <c r="NHP32" s="17"/>
      <c r="NHQ32" s="17"/>
      <c r="NHR32" s="17"/>
      <c r="NHS32" s="17"/>
      <c r="NHT32" s="17"/>
      <c r="NHU32" s="17"/>
      <c r="NHV32" s="17"/>
      <c r="NHW32" s="17"/>
      <c r="NHX32" s="17"/>
      <c r="NHY32" s="17"/>
      <c r="NHZ32" s="17"/>
      <c r="NIA32" s="17"/>
      <c r="NIB32" s="17"/>
      <c r="NIC32" s="17"/>
      <c r="NID32" s="17"/>
      <c r="NIE32" s="17"/>
      <c r="NIF32" s="17"/>
      <c r="NIG32" s="17"/>
      <c r="NIH32" s="17"/>
      <c r="NII32" s="17"/>
      <c r="NIJ32" s="17"/>
      <c r="NIK32" s="17"/>
      <c r="NIL32" s="17"/>
      <c r="NIM32" s="17"/>
      <c r="NIN32" s="17"/>
      <c r="NIO32" s="17"/>
      <c r="NIP32" s="17"/>
      <c r="NIQ32" s="17"/>
      <c r="NIR32" s="17"/>
      <c r="NIS32" s="17"/>
      <c r="NIT32" s="17"/>
      <c r="NIU32" s="17"/>
      <c r="NIV32" s="17"/>
      <c r="NIW32" s="17"/>
      <c r="NIX32" s="17"/>
      <c r="NIY32" s="17"/>
      <c r="NIZ32" s="17"/>
      <c r="NJA32" s="17"/>
      <c r="NJB32" s="17"/>
      <c r="NJC32" s="17"/>
      <c r="NJD32" s="17"/>
      <c r="NJE32" s="17"/>
      <c r="NJF32" s="17"/>
      <c r="NJG32" s="17"/>
      <c r="NJH32" s="17"/>
      <c r="NJI32" s="17"/>
      <c r="NJJ32" s="17"/>
      <c r="NJK32" s="17"/>
      <c r="NJL32" s="17"/>
      <c r="NJM32" s="17"/>
      <c r="NJN32" s="17"/>
      <c r="NJO32" s="17"/>
      <c r="NJP32" s="17"/>
      <c r="NJQ32" s="17"/>
      <c r="NJR32" s="17"/>
      <c r="NJS32" s="17"/>
      <c r="NJT32" s="17"/>
      <c r="NJU32" s="17"/>
      <c r="NJV32" s="17"/>
      <c r="NJW32" s="17"/>
      <c r="NJX32" s="17"/>
      <c r="NJY32" s="17"/>
      <c r="NJZ32" s="17"/>
      <c r="NKA32" s="17"/>
      <c r="NKB32" s="17"/>
      <c r="NKC32" s="17"/>
      <c r="NKD32" s="17"/>
      <c r="NKE32" s="17"/>
      <c r="NKF32" s="17"/>
      <c r="NKG32" s="17"/>
      <c r="NKH32" s="17"/>
      <c r="NKI32" s="17"/>
      <c r="NKJ32" s="17"/>
      <c r="NKK32" s="17"/>
      <c r="NKL32" s="17"/>
      <c r="NKM32" s="17"/>
      <c r="NKN32" s="17"/>
      <c r="NKO32" s="17"/>
      <c r="NKP32" s="17"/>
      <c r="NKQ32" s="17"/>
      <c r="NKR32" s="17"/>
      <c r="NKS32" s="17"/>
      <c r="NKT32" s="17"/>
      <c r="NKU32" s="17"/>
      <c r="NKV32" s="17"/>
      <c r="NKW32" s="17"/>
      <c r="NKX32" s="17"/>
      <c r="NKY32" s="17"/>
      <c r="NKZ32" s="17"/>
      <c r="NLA32" s="17"/>
      <c r="NLB32" s="17"/>
      <c r="NLC32" s="17"/>
      <c r="NLD32" s="17"/>
      <c r="NLE32" s="17"/>
      <c r="NLF32" s="17"/>
      <c r="NLG32" s="17"/>
      <c r="NLH32" s="17"/>
      <c r="NLI32" s="17"/>
      <c r="NLJ32" s="17"/>
      <c r="NLK32" s="17"/>
      <c r="NLL32" s="17"/>
      <c r="NLM32" s="17"/>
      <c r="NLN32" s="17"/>
      <c r="NLO32" s="17"/>
      <c r="NLP32" s="17"/>
      <c r="NLQ32" s="17"/>
      <c r="NLR32" s="17"/>
      <c r="NLS32" s="17"/>
      <c r="NLT32" s="17"/>
      <c r="NLU32" s="17"/>
      <c r="NLV32" s="17"/>
      <c r="NLW32" s="17"/>
      <c r="NLX32" s="17"/>
      <c r="NLY32" s="17"/>
      <c r="NLZ32" s="17"/>
      <c r="NMA32" s="17"/>
      <c r="NMB32" s="17"/>
      <c r="NMC32" s="17"/>
      <c r="NMD32" s="17"/>
      <c r="NME32" s="17"/>
      <c r="NMF32" s="17"/>
      <c r="NMG32" s="17"/>
      <c r="NMH32" s="17"/>
      <c r="NMI32" s="17"/>
      <c r="NMJ32" s="17"/>
      <c r="NMK32" s="17"/>
      <c r="NML32" s="17"/>
      <c r="NMM32" s="17"/>
      <c r="NMN32" s="17"/>
      <c r="NMO32" s="17"/>
      <c r="NMP32" s="17"/>
      <c r="NMQ32" s="17"/>
      <c r="NMR32" s="17"/>
      <c r="NMS32" s="17"/>
      <c r="NMT32" s="17"/>
      <c r="NMU32" s="17"/>
      <c r="NMV32" s="17"/>
      <c r="NMW32" s="17"/>
      <c r="NMX32" s="17"/>
      <c r="NMY32" s="17"/>
      <c r="NMZ32" s="17"/>
      <c r="NNA32" s="17"/>
      <c r="NNB32" s="17"/>
      <c r="NNC32" s="17"/>
      <c r="NND32" s="17"/>
      <c r="NNE32" s="17"/>
      <c r="NNF32" s="17"/>
      <c r="NNG32" s="17"/>
      <c r="NNH32" s="17"/>
      <c r="NNI32" s="17"/>
      <c r="NNJ32" s="17"/>
      <c r="NNK32" s="17"/>
      <c r="NNL32" s="17"/>
      <c r="NNM32" s="17"/>
      <c r="NNN32" s="17"/>
      <c r="NNO32" s="17"/>
      <c r="NNP32" s="17"/>
      <c r="NNQ32" s="17"/>
      <c r="NNR32" s="17"/>
      <c r="NNS32" s="17"/>
      <c r="NNT32" s="17"/>
      <c r="NNU32" s="17"/>
      <c r="NNV32" s="17"/>
      <c r="NNW32" s="17"/>
      <c r="NNX32" s="17"/>
      <c r="NNY32" s="17"/>
      <c r="NNZ32" s="17"/>
      <c r="NOA32" s="17"/>
      <c r="NOB32" s="17"/>
      <c r="NOC32" s="17"/>
      <c r="NOD32" s="17"/>
      <c r="NOE32" s="17"/>
      <c r="NOF32" s="17"/>
      <c r="NOG32" s="17"/>
      <c r="NOH32" s="17"/>
      <c r="NOI32" s="17"/>
      <c r="NOJ32" s="17"/>
      <c r="NOK32" s="17"/>
      <c r="NOL32" s="17"/>
      <c r="NOM32" s="17"/>
      <c r="NON32" s="17"/>
      <c r="NOO32" s="17"/>
      <c r="NOP32" s="17"/>
      <c r="NOQ32" s="17"/>
      <c r="NOR32" s="17"/>
      <c r="NOS32" s="17"/>
      <c r="NOT32" s="17"/>
      <c r="NOU32" s="17"/>
      <c r="NOV32" s="17"/>
      <c r="NOW32" s="17"/>
      <c r="NOX32" s="17"/>
      <c r="NOY32" s="17"/>
      <c r="NOZ32" s="17"/>
      <c r="NPA32" s="17"/>
      <c r="NPB32" s="17"/>
      <c r="NPC32" s="17"/>
      <c r="NPD32" s="17"/>
      <c r="NPE32" s="17"/>
      <c r="NPF32" s="17"/>
      <c r="NPG32" s="17"/>
      <c r="NPH32" s="17"/>
      <c r="NPI32" s="17"/>
      <c r="NPJ32" s="17"/>
      <c r="NPK32" s="17"/>
      <c r="NPL32" s="17"/>
      <c r="NPM32" s="17"/>
      <c r="NPN32" s="17"/>
      <c r="NPO32" s="17"/>
      <c r="NPP32" s="17"/>
      <c r="NPQ32" s="17"/>
      <c r="NPR32" s="17"/>
      <c r="NPS32" s="17"/>
      <c r="NPT32" s="17"/>
      <c r="NPU32" s="17"/>
      <c r="NPV32" s="17"/>
      <c r="NPW32" s="17"/>
      <c r="NPX32" s="17"/>
      <c r="NPY32" s="17"/>
      <c r="NPZ32" s="17"/>
      <c r="NQA32" s="17"/>
      <c r="NQB32" s="17"/>
      <c r="NQC32" s="17"/>
      <c r="NQD32" s="17"/>
      <c r="NQE32" s="17"/>
      <c r="NQF32" s="17"/>
      <c r="NQG32" s="17"/>
      <c r="NQH32" s="17"/>
      <c r="NQI32" s="17"/>
      <c r="NQJ32" s="17"/>
      <c r="NQK32" s="17"/>
      <c r="NQL32" s="17"/>
      <c r="NQM32" s="17"/>
      <c r="NQN32" s="17"/>
      <c r="NQO32" s="17"/>
      <c r="NQP32" s="17"/>
      <c r="NQQ32" s="17"/>
      <c r="NQR32" s="17"/>
      <c r="NQS32" s="17"/>
      <c r="NQT32" s="17"/>
      <c r="NQU32" s="17"/>
      <c r="NQV32" s="17"/>
      <c r="NQW32" s="17"/>
      <c r="NQX32" s="17"/>
      <c r="NQY32" s="17"/>
      <c r="NQZ32" s="17"/>
      <c r="NRA32" s="17"/>
      <c r="NRB32" s="17"/>
      <c r="NRC32" s="17"/>
      <c r="NRD32" s="17"/>
      <c r="NRE32" s="17"/>
      <c r="NRF32" s="17"/>
      <c r="NRG32" s="17"/>
      <c r="NRH32" s="17"/>
      <c r="NRI32" s="17"/>
      <c r="NRJ32" s="17"/>
      <c r="NRK32" s="17"/>
      <c r="NRL32" s="17"/>
      <c r="NRM32" s="17"/>
      <c r="NRN32" s="17"/>
      <c r="NRO32" s="17"/>
      <c r="NRP32" s="17"/>
      <c r="NRQ32" s="17"/>
      <c r="NRR32" s="17"/>
      <c r="NRS32" s="17"/>
      <c r="NRT32" s="17"/>
      <c r="NRU32" s="17"/>
      <c r="NRV32" s="17"/>
      <c r="NRW32" s="17"/>
      <c r="NRX32" s="17"/>
      <c r="NRY32" s="17"/>
      <c r="NRZ32" s="17"/>
      <c r="NSA32" s="17"/>
      <c r="NSB32" s="17"/>
      <c r="NSC32" s="17"/>
      <c r="NSD32" s="17"/>
      <c r="NSE32" s="17"/>
      <c r="NSF32" s="17"/>
      <c r="NSG32" s="17"/>
      <c r="NSH32" s="17"/>
      <c r="NSI32" s="17"/>
      <c r="NSJ32" s="17"/>
      <c r="NSK32" s="17"/>
      <c r="NSL32" s="17"/>
      <c r="NSM32" s="17"/>
      <c r="NSN32" s="17"/>
      <c r="NSO32" s="17"/>
      <c r="NSP32" s="17"/>
      <c r="NSQ32" s="17"/>
      <c r="NSR32" s="17"/>
      <c r="NSS32" s="17"/>
      <c r="NST32" s="17"/>
      <c r="NSU32" s="17"/>
      <c r="NSV32" s="17"/>
      <c r="NSW32" s="17"/>
      <c r="NSX32" s="17"/>
      <c r="NSY32" s="17"/>
      <c r="NSZ32" s="17"/>
      <c r="NTA32" s="17"/>
      <c r="NTB32" s="17"/>
      <c r="NTC32" s="17"/>
      <c r="NTD32" s="17"/>
      <c r="NTE32" s="17"/>
      <c r="NTF32" s="17"/>
      <c r="NTG32" s="17"/>
      <c r="NTH32" s="17"/>
      <c r="NTI32" s="17"/>
      <c r="NTJ32" s="17"/>
      <c r="NTK32" s="17"/>
      <c r="NTL32" s="17"/>
      <c r="NTM32" s="17"/>
      <c r="NTN32" s="17"/>
      <c r="NTO32" s="17"/>
      <c r="NTP32" s="17"/>
      <c r="NTQ32" s="17"/>
      <c r="NTR32" s="17"/>
      <c r="NTS32" s="17"/>
      <c r="NTT32" s="17"/>
      <c r="NTU32" s="17"/>
      <c r="NTV32" s="17"/>
      <c r="NTW32" s="17"/>
      <c r="NTX32" s="17"/>
      <c r="NTY32" s="17"/>
      <c r="NTZ32" s="17"/>
      <c r="NUA32" s="17"/>
      <c r="NUB32" s="17"/>
      <c r="NUC32" s="17"/>
      <c r="NUD32" s="17"/>
      <c r="NUE32" s="17"/>
      <c r="NUF32" s="17"/>
      <c r="NUG32" s="17"/>
      <c r="NUH32" s="17"/>
      <c r="NUI32" s="17"/>
      <c r="NUJ32" s="17"/>
      <c r="NUK32" s="17"/>
      <c r="NUL32" s="17"/>
      <c r="NUM32" s="17"/>
      <c r="NUN32" s="17"/>
      <c r="NUO32" s="17"/>
      <c r="NUP32" s="17"/>
      <c r="NUQ32" s="17"/>
      <c r="NUR32" s="17"/>
      <c r="NUS32" s="17"/>
      <c r="NUT32" s="17"/>
      <c r="NUU32" s="17"/>
      <c r="NUV32" s="17"/>
      <c r="NUW32" s="17"/>
      <c r="NUX32" s="17"/>
      <c r="NUY32" s="17"/>
      <c r="NUZ32" s="17"/>
      <c r="NVA32" s="17"/>
      <c r="NVB32" s="17"/>
      <c r="NVC32" s="17"/>
      <c r="NVD32" s="17"/>
      <c r="NVE32" s="17"/>
      <c r="NVF32" s="17"/>
      <c r="NVG32" s="17"/>
      <c r="NVH32" s="17"/>
      <c r="NVI32" s="17"/>
      <c r="NVJ32" s="17"/>
      <c r="NVK32" s="17"/>
      <c r="NVL32" s="17"/>
      <c r="NVM32" s="17"/>
      <c r="NVN32" s="17"/>
      <c r="NVO32" s="17"/>
      <c r="NVP32" s="17"/>
      <c r="NVQ32" s="17"/>
      <c r="NVR32" s="17"/>
      <c r="NVS32" s="17"/>
      <c r="NVT32" s="17"/>
      <c r="NVU32" s="17"/>
      <c r="NVV32" s="17"/>
      <c r="NVW32" s="17"/>
      <c r="NVX32" s="17"/>
      <c r="NVY32" s="17"/>
      <c r="NVZ32" s="17"/>
      <c r="NWA32" s="17"/>
      <c r="NWB32" s="17"/>
      <c r="NWC32" s="17"/>
      <c r="NWD32" s="17"/>
      <c r="NWE32" s="17"/>
      <c r="NWF32" s="17"/>
      <c r="NWG32" s="17"/>
      <c r="NWH32" s="17"/>
      <c r="NWI32" s="17"/>
      <c r="NWJ32" s="17"/>
      <c r="NWK32" s="17"/>
      <c r="NWL32" s="17"/>
      <c r="NWM32" s="17"/>
      <c r="NWN32" s="17"/>
      <c r="NWO32" s="17"/>
      <c r="NWP32" s="17"/>
      <c r="NWQ32" s="17"/>
      <c r="NWR32" s="17"/>
      <c r="NWS32" s="17"/>
      <c r="NWT32" s="17"/>
      <c r="NWU32" s="17"/>
      <c r="NWV32" s="17"/>
      <c r="NWW32" s="17"/>
      <c r="NWX32" s="17"/>
      <c r="NWY32" s="17"/>
      <c r="NWZ32" s="17"/>
      <c r="NXA32" s="17"/>
      <c r="NXB32" s="17"/>
      <c r="NXC32" s="17"/>
      <c r="NXD32" s="17"/>
      <c r="NXE32" s="17"/>
      <c r="NXF32" s="17"/>
      <c r="NXG32" s="17"/>
      <c r="NXH32" s="17"/>
      <c r="NXI32" s="17"/>
      <c r="NXJ32" s="17"/>
      <c r="NXK32" s="17"/>
      <c r="NXL32" s="17"/>
      <c r="NXM32" s="17"/>
      <c r="NXN32" s="17"/>
      <c r="NXO32" s="17"/>
      <c r="NXP32" s="17"/>
      <c r="NXQ32" s="17"/>
      <c r="NXR32" s="17"/>
      <c r="NXS32" s="17"/>
      <c r="NXT32" s="17"/>
      <c r="NXU32" s="17"/>
      <c r="NXV32" s="17"/>
      <c r="NXW32" s="17"/>
      <c r="NXX32" s="17"/>
      <c r="NXY32" s="17"/>
      <c r="NXZ32" s="17"/>
      <c r="NYA32" s="17"/>
      <c r="NYB32" s="17"/>
      <c r="NYC32" s="17"/>
      <c r="NYD32" s="17"/>
      <c r="NYE32" s="17"/>
      <c r="NYF32" s="17"/>
      <c r="NYG32" s="17"/>
      <c r="NYH32" s="17"/>
      <c r="NYI32" s="17"/>
      <c r="NYJ32" s="17"/>
      <c r="NYK32" s="17"/>
      <c r="NYL32" s="17"/>
      <c r="NYM32" s="17"/>
      <c r="NYN32" s="17"/>
      <c r="NYO32" s="17"/>
      <c r="NYP32" s="17"/>
      <c r="NYQ32" s="17"/>
      <c r="NYR32" s="17"/>
      <c r="NYS32" s="17"/>
      <c r="NYT32" s="17"/>
      <c r="NYU32" s="17"/>
      <c r="NYV32" s="17"/>
      <c r="NYW32" s="17"/>
      <c r="NYX32" s="17"/>
      <c r="NYY32" s="17"/>
      <c r="NYZ32" s="17"/>
      <c r="NZA32" s="17"/>
      <c r="NZB32" s="17"/>
      <c r="NZC32" s="17"/>
      <c r="NZD32" s="17"/>
      <c r="NZE32" s="17"/>
      <c r="NZF32" s="17"/>
      <c r="NZG32" s="17"/>
      <c r="NZH32" s="17"/>
      <c r="NZI32" s="17"/>
      <c r="NZJ32" s="17"/>
      <c r="NZK32" s="17"/>
      <c r="NZL32" s="17"/>
      <c r="NZM32" s="17"/>
      <c r="NZN32" s="17"/>
      <c r="NZO32" s="17"/>
      <c r="NZP32" s="17"/>
      <c r="NZQ32" s="17"/>
      <c r="NZR32" s="17"/>
      <c r="NZS32" s="17"/>
      <c r="NZT32" s="17"/>
      <c r="NZU32" s="17"/>
      <c r="NZV32" s="17"/>
      <c r="NZW32" s="17"/>
      <c r="NZX32" s="17"/>
      <c r="NZY32" s="17"/>
      <c r="NZZ32" s="17"/>
      <c r="OAA32" s="17"/>
      <c r="OAB32" s="17"/>
      <c r="OAC32" s="17"/>
      <c r="OAD32" s="17"/>
      <c r="OAE32" s="17"/>
      <c r="OAF32" s="17"/>
      <c r="OAG32" s="17"/>
      <c r="OAH32" s="17"/>
      <c r="OAI32" s="17"/>
      <c r="OAJ32" s="17"/>
      <c r="OAK32" s="17"/>
      <c r="OAL32" s="17"/>
      <c r="OAM32" s="17"/>
      <c r="OAN32" s="17"/>
      <c r="OAO32" s="17"/>
      <c r="OAP32" s="17"/>
      <c r="OAQ32" s="17"/>
      <c r="OAR32" s="17"/>
      <c r="OAS32" s="17"/>
      <c r="OAT32" s="17"/>
      <c r="OAU32" s="17"/>
      <c r="OAV32" s="17"/>
      <c r="OAW32" s="17"/>
      <c r="OAX32" s="17"/>
      <c r="OAY32" s="17"/>
      <c r="OAZ32" s="17"/>
      <c r="OBA32" s="17"/>
      <c r="OBB32" s="17"/>
      <c r="OBC32" s="17"/>
      <c r="OBD32" s="17"/>
      <c r="OBE32" s="17"/>
      <c r="OBF32" s="17"/>
      <c r="OBG32" s="17"/>
      <c r="OBH32" s="17"/>
      <c r="OBI32" s="17"/>
      <c r="OBJ32" s="17"/>
      <c r="OBK32" s="17"/>
      <c r="OBL32" s="17"/>
      <c r="OBM32" s="17"/>
      <c r="OBN32" s="17"/>
      <c r="OBO32" s="17"/>
      <c r="OBP32" s="17"/>
      <c r="OBQ32" s="17"/>
      <c r="OBR32" s="17"/>
      <c r="OBS32" s="17"/>
      <c r="OBT32" s="17"/>
      <c r="OBU32" s="17"/>
      <c r="OBV32" s="17"/>
      <c r="OBW32" s="17"/>
      <c r="OBX32" s="17"/>
      <c r="OBY32" s="17"/>
      <c r="OBZ32" s="17"/>
      <c r="OCA32" s="17"/>
      <c r="OCB32" s="17"/>
      <c r="OCC32" s="17"/>
      <c r="OCD32" s="17"/>
      <c r="OCE32" s="17"/>
      <c r="OCF32" s="17"/>
      <c r="OCG32" s="17"/>
      <c r="OCH32" s="17"/>
      <c r="OCI32" s="17"/>
      <c r="OCJ32" s="17"/>
      <c r="OCK32" s="17"/>
      <c r="OCL32" s="17"/>
      <c r="OCM32" s="17"/>
      <c r="OCN32" s="17"/>
      <c r="OCO32" s="17"/>
      <c r="OCP32" s="17"/>
      <c r="OCQ32" s="17"/>
      <c r="OCR32" s="17"/>
      <c r="OCS32" s="17"/>
      <c r="OCT32" s="17"/>
      <c r="OCU32" s="17"/>
      <c r="OCV32" s="17"/>
      <c r="OCW32" s="17"/>
      <c r="OCX32" s="17"/>
      <c r="OCY32" s="17"/>
      <c r="OCZ32" s="17"/>
      <c r="ODA32" s="17"/>
      <c r="ODB32" s="17"/>
      <c r="ODC32" s="17"/>
      <c r="ODD32" s="17"/>
      <c r="ODE32" s="17"/>
      <c r="ODF32" s="17"/>
      <c r="ODG32" s="17"/>
      <c r="ODH32" s="17"/>
      <c r="ODI32" s="17"/>
      <c r="ODJ32" s="17"/>
      <c r="ODK32" s="17"/>
      <c r="ODL32" s="17"/>
      <c r="ODM32" s="17"/>
      <c r="ODN32" s="17"/>
      <c r="ODO32" s="17"/>
      <c r="ODP32" s="17"/>
      <c r="ODQ32" s="17"/>
      <c r="ODR32" s="17"/>
      <c r="ODS32" s="17"/>
      <c r="ODT32" s="17"/>
      <c r="ODU32" s="17"/>
      <c r="ODV32" s="17"/>
      <c r="ODW32" s="17"/>
      <c r="ODX32" s="17"/>
      <c r="ODY32" s="17"/>
      <c r="ODZ32" s="17"/>
      <c r="OEA32" s="17"/>
      <c r="OEB32" s="17"/>
      <c r="OEC32" s="17"/>
      <c r="OED32" s="17"/>
      <c r="OEE32" s="17"/>
      <c r="OEF32" s="17"/>
      <c r="OEG32" s="17"/>
      <c r="OEH32" s="17"/>
      <c r="OEI32" s="17"/>
      <c r="OEJ32" s="17"/>
      <c r="OEK32" s="17"/>
      <c r="OEL32" s="17"/>
      <c r="OEM32" s="17"/>
      <c r="OEN32" s="17"/>
      <c r="OEO32" s="17"/>
      <c r="OEP32" s="17"/>
      <c r="OEQ32" s="17"/>
      <c r="OER32" s="17"/>
      <c r="OES32" s="17"/>
      <c r="OET32" s="17"/>
      <c r="OEU32" s="17"/>
      <c r="OEV32" s="17"/>
      <c r="OEW32" s="17"/>
      <c r="OEX32" s="17"/>
      <c r="OEY32" s="17"/>
      <c r="OEZ32" s="17"/>
      <c r="OFA32" s="17"/>
      <c r="OFB32" s="17"/>
      <c r="OFC32" s="17"/>
      <c r="OFD32" s="17"/>
      <c r="OFE32" s="17"/>
      <c r="OFF32" s="17"/>
      <c r="OFG32" s="17"/>
      <c r="OFH32" s="17"/>
      <c r="OFI32" s="17"/>
      <c r="OFJ32" s="17"/>
      <c r="OFK32" s="17"/>
      <c r="OFL32" s="17"/>
      <c r="OFM32" s="17"/>
      <c r="OFN32" s="17"/>
      <c r="OFO32" s="17"/>
      <c r="OFP32" s="17"/>
      <c r="OFQ32" s="17"/>
      <c r="OFR32" s="17"/>
      <c r="OFS32" s="17"/>
      <c r="OFT32" s="17"/>
      <c r="OFU32" s="17"/>
      <c r="OFV32" s="17"/>
      <c r="OFW32" s="17"/>
      <c r="OFX32" s="17"/>
      <c r="OFY32" s="17"/>
      <c r="OFZ32" s="17"/>
      <c r="OGA32" s="17"/>
      <c r="OGB32" s="17"/>
      <c r="OGC32" s="17"/>
      <c r="OGD32" s="17"/>
      <c r="OGE32" s="17"/>
      <c r="OGF32" s="17"/>
      <c r="OGG32" s="17"/>
      <c r="OGH32" s="17"/>
      <c r="OGI32" s="17"/>
      <c r="OGJ32" s="17"/>
      <c r="OGK32" s="17"/>
      <c r="OGL32" s="17"/>
      <c r="OGM32" s="17"/>
      <c r="OGN32" s="17"/>
      <c r="OGO32" s="17"/>
      <c r="OGP32" s="17"/>
      <c r="OGQ32" s="17"/>
      <c r="OGR32" s="17"/>
      <c r="OGS32" s="17"/>
      <c r="OGT32" s="17"/>
      <c r="OGU32" s="17"/>
      <c r="OGV32" s="17"/>
      <c r="OGW32" s="17"/>
      <c r="OGX32" s="17"/>
      <c r="OGY32" s="17"/>
      <c r="OGZ32" s="17"/>
      <c r="OHA32" s="17"/>
      <c r="OHB32" s="17"/>
      <c r="OHC32" s="17"/>
      <c r="OHD32" s="17"/>
      <c r="OHE32" s="17"/>
      <c r="OHF32" s="17"/>
      <c r="OHG32" s="17"/>
      <c r="OHH32" s="17"/>
      <c r="OHI32" s="17"/>
      <c r="OHJ32" s="17"/>
      <c r="OHK32" s="17"/>
      <c r="OHL32" s="17"/>
      <c r="OHM32" s="17"/>
      <c r="OHN32" s="17"/>
      <c r="OHO32" s="17"/>
      <c r="OHP32" s="17"/>
      <c r="OHQ32" s="17"/>
      <c r="OHR32" s="17"/>
      <c r="OHS32" s="17"/>
      <c r="OHT32" s="17"/>
      <c r="OHU32" s="17"/>
      <c r="OHV32" s="17"/>
      <c r="OHW32" s="17"/>
      <c r="OHX32" s="17"/>
      <c r="OHY32" s="17"/>
      <c r="OHZ32" s="17"/>
      <c r="OIA32" s="17"/>
      <c r="OIB32" s="17"/>
      <c r="OIC32" s="17"/>
      <c r="OID32" s="17"/>
      <c r="OIE32" s="17"/>
      <c r="OIF32" s="17"/>
      <c r="OIG32" s="17"/>
      <c r="OIH32" s="17"/>
      <c r="OII32" s="17"/>
      <c r="OIJ32" s="17"/>
      <c r="OIK32" s="17"/>
      <c r="OIL32" s="17"/>
      <c r="OIM32" s="17"/>
      <c r="OIN32" s="17"/>
      <c r="OIO32" s="17"/>
      <c r="OIP32" s="17"/>
      <c r="OIQ32" s="17"/>
      <c r="OIR32" s="17"/>
      <c r="OIS32" s="17"/>
      <c r="OIT32" s="17"/>
      <c r="OIU32" s="17"/>
      <c r="OIV32" s="17"/>
      <c r="OIW32" s="17"/>
      <c r="OIX32" s="17"/>
      <c r="OIY32" s="17"/>
      <c r="OIZ32" s="17"/>
      <c r="OJA32" s="17"/>
      <c r="OJB32" s="17"/>
      <c r="OJC32" s="17"/>
      <c r="OJD32" s="17"/>
      <c r="OJE32" s="17"/>
      <c r="OJF32" s="17"/>
      <c r="OJG32" s="17"/>
      <c r="OJH32" s="17"/>
      <c r="OJI32" s="17"/>
      <c r="OJJ32" s="17"/>
      <c r="OJK32" s="17"/>
      <c r="OJL32" s="17"/>
      <c r="OJM32" s="17"/>
      <c r="OJN32" s="17"/>
      <c r="OJO32" s="17"/>
      <c r="OJP32" s="17"/>
      <c r="OJQ32" s="17"/>
      <c r="OJR32" s="17"/>
      <c r="OJS32" s="17"/>
      <c r="OJT32" s="17"/>
      <c r="OJU32" s="17"/>
      <c r="OJV32" s="17"/>
      <c r="OJW32" s="17"/>
      <c r="OJX32" s="17"/>
      <c r="OJY32" s="17"/>
      <c r="OJZ32" s="17"/>
      <c r="OKA32" s="17"/>
      <c r="OKB32" s="17"/>
      <c r="OKC32" s="17"/>
      <c r="OKD32" s="17"/>
      <c r="OKE32" s="17"/>
      <c r="OKF32" s="17"/>
      <c r="OKG32" s="17"/>
      <c r="OKH32" s="17"/>
      <c r="OKI32" s="17"/>
      <c r="OKJ32" s="17"/>
      <c r="OKK32" s="17"/>
      <c r="OKL32" s="17"/>
      <c r="OKM32" s="17"/>
      <c r="OKN32" s="17"/>
      <c r="OKO32" s="17"/>
      <c r="OKP32" s="17"/>
      <c r="OKQ32" s="17"/>
      <c r="OKR32" s="17"/>
      <c r="OKS32" s="17"/>
      <c r="OKT32" s="17"/>
      <c r="OKU32" s="17"/>
      <c r="OKV32" s="17"/>
      <c r="OKW32" s="17"/>
      <c r="OKX32" s="17"/>
      <c r="OKY32" s="17"/>
      <c r="OKZ32" s="17"/>
      <c r="OLA32" s="17"/>
      <c r="OLB32" s="17"/>
      <c r="OLC32" s="17"/>
      <c r="OLD32" s="17"/>
      <c r="OLE32" s="17"/>
      <c r="OLF32" s="17"/>
      <c r="OLG32" s="17"/>
      <c r="OLH32" s="17"/>
      <c r="OLI32" s="17"/>
      <c r="OLJ32" s="17"/>
      <c r="OLK32" s="17"/>
      <c r="OLL32" s="17"/>
      <c r="OLM32" s="17"/>
      <c r="OLN32" s="17"/>
      <c r="OLO32" s="17"/>
      <c r="OLP32" s="17"/>
      <c r="OLQ32" s="17"/>
      <c r="OLR32" s="17"/>
      <c r="OLS32" s="17"/>
      <c r="OLT32" s="17"/>
      <c r="OLU32" s="17"/>
      <c r="OLV32" s="17"/>
      <c r="OLW32" s="17"/>
      <c r="OLX32" s="17"/>
      <c r="OLY32" s="17"/>
      <c r="OLZ32" s="17"/>
      <c r="OMA32" s="17"/>
      <c r="OMB32" s="17"/>
      <c r="OMC32" s="17"/>
      <c r="OMD32" s="17"/>
      <c r="OME32" s="17"/>
      <c r="OMF32" s="17"/>
      <c r="OMG32" s="17"/>
      <c r="OMH32" s="17"/>
      <c r="OMI32" s="17"/>
      <c r="OMJ32" s="17"/>
      <c r="OMK32" s="17"/>
      <c r="OML32" s="17"/>
      <c r="OMM32" s="17"/>
      <c r="OMN32" s="17"/>
      <c r="OMO32" s="17"/>
      <c r="OMP32" s="17"/>
      <c r="OMQ32" s="17"/>
      <c r="OMR32" s="17"/>
      <c r="OMS32" s="17"/>
      <c r="OMT32" s="17"/>
      <c r="OMU32" s="17"/>
      <c r="OMV32" s="17"/>
      <c r="OMW32" s="17"/>
      <c r="OMX32" s="17"/>
      <c r="OMY32" s="17"/>
      <c r="OMZ32" s="17"/>
      <c r="ONA32" s="17"/>
      <c r="ONB32" s="17"/>
      <c r="ONC32" s="17"/>
      <c r="OND32" s="17"/>
      <c r="ONE32" s="17"/>
      <c r="ONF32" s="17"/>
      <c r="ONG32" s="17"/>
      <c r="ONH32" s="17"/>
      <c r="ONI32" s="17"/>
      <c r="ONJ32" s="17"/>
      <c r="ONK32" s="17"/>
      <c r="ONL32" s="17"/>
      <c r="ONM32" s="17"/>
      <c r="ONN32" s="17"/>
      <c r="ONO32" s="17"/>
      <c r="ONP32" s="17"/>
      <c r="ONQ32" s="17"/>
      <c r="ONR32" s="17"/>
      <c r="ONS32" s="17"/>
      <c r="ONT32" s="17"/>
      <c r="ONU32" s="17"/>
      <c r="ONV32" s="17"/>
      <c r="ONW32" s="17"/>
      <c r="ONX32" s="17"/>
      <c r="ONY32" s="17"/>
      <c r="ONZ32" s="17"/>
      <c r="OOA32" s="17"/>
      <c r="OOB32" s="17"/>
      <c r="OOC32" s="17"/>
      <c r="OOD32" s="17"/>
      <c r="OOE32" s="17"/>
      <c r="OOF32" s="17"/>
      <c r="OOG32" s="17"/>
      <c r="OOH32" s="17"/>
      <c r="OOI32" s="17"/>
      <c r="OOJ32" s="17"/>
      <c r="OOK32" s="17"/>
      <c r="OOL32" s="17"/>
      <c r="OOM32" s="17"/>
      <c r="OON32" s="17"/>
      <c r="OOO32" s="17"/>
      <c r="OOP32" s="17"/>
      <c r="OOQ32" s="17"/>
      <c r="OOR32" s="17"/>
      <c r="OOS32" s="17"/>
      <c r="OOT32" s="17"/>
      <c r="OOU32" s="17"/>
      <c r="OOV32" s="17"/>
      <c r="OOW32" s="17"/>
      <c r="OOX32" s="17"/>
      <c r="OOY32" s="17"/>
      <c r="OOZ32" s="17"/>
      <c r="OPA32" s="17"/>
      <c r="OPB32" s="17"/>
      <c r="OPC32" s="17"/>
      <c r="OPD32" s="17"/>
      <c r="OPE32" s="17"/>
      <c r="OPF32" s="17"/>
      <c r="OPG32" s="17"/>
      <c r="OPH32" s="17"/>
      <c r="OPI32" s="17"/>
      <c r="OPJ32" s="17"/>
      <c r="OPK32" s="17"/>
      <c r="OPL32" s="17"/>
      <c r="OPM32" s="17"/>
      <c r="OPN32" s="17"/>
      <c r="OPO32" s="17"/>
      <c r="OPP32" s="17"/>
      <c r="OPQ32" s="17"/>
      <c r="OPR32" s="17"/>
      <c r="OPS32" s="17"/>
      <c r="OPT32" s="17"/>
      <c r="OPU32" s="17"/>
      <c r="OPV32" s="17"/>
      <c r="OPW32" s="17"/>
      <c r="OPX32" s="17"/>
      <c r="OPY32" s="17"/>
      <c r="OPZ32" s="17"/>
      <c r="OQA32" s="17"/>
      <c r="OQB32" s="17"/>
      <c r="OQC32" s="17"/>
      <c r="OQD32" s="17"/>
      <c r="OQE32" s="17"/>
      <c r="OQF32" s="17"/>
      <c r="OQG32" s="17"/>
      <c r="OQH32" s="17"/>
      <c r="OQI32" s="17"/>
      <c r="OQJ32" s="17"/>
      <c r="OQK32" s="17"/>
      <c r="OQL32" s="17"/>
      <c r="OQM32" s="17"/>
      <c r="OQN32" s="17"/>
      <c r="OQO32" s="17"/>
      <c r="OQP32" s="17"/>
      <c r="OQQ32" s="17"/>
      <c r="OQR32" s="17"/>
      <c r="OQS32" s="17"/>
      <c r="OQT32" s="17"/>
      <c r="OQU32" s="17"/>
      <c r="OQV32" s="17"/>
      <c r="OQW32" s="17"/>
      <c r="OQX32" s="17"/>
      <c r="OQY32" s="17"/>
      <c r="OQZ32" s="17"/>
      <c r="ORA32" s="17"/>
      <c r="ORB32" s="17"/>
      <c r="ORC32" s="17"/>
      <c r="ORD32" s="17"/>
      <c r="ORE32" s="17"/>
      <c r="ORF32" s="17"/>
      <c r="ORG32" s="17"/>
      <c r="ORH32" s="17"/>
      <c r="ORI32" s="17"/>
      <c r="ORJ32" s="17"/>
      <c r="ORK32" s="17"/>
      <c r="ORL32" s="17"/>
      <c r="ORM32" s="17"/>
      <c r="ORN32" s="17"/>
      <c r="ORO32" s="17"/>
      <c r="ORP32" s="17"/>
      <c r="ORQ32" s="17"/>
      <c r="ORR32" s="17"/>
      <c r="ORS32" s="17"/>
      <c r="ORT32" s="17"/>
      <c r="ORU32" s="17"/>
      <c r="ORV32" s="17"/>
      <c r="ORW32" s="17"/>
      <c r="ORX32" s="17"/>
      <c r="ORY32" s="17"/>
      <c r="ORZ32" s="17"/>
      <c r="OSA32" s="17"/>
      <c r="OSB32" s="17"/>
      <c r="OSC32" s="17"/>
      <c r="OSD32" s="17"/>
      <c r="OSE32" s="17"/>
      <c r="OSF32" s="17"/>
      <c r="OSG32" s="17"/>
      <c r="OSH32" s="17"/>
      <c r="OSI32" s="17"/>
      <c r="OSJ32" s="17"/>
      <c r="OSK32" s="17"/>
      <c r="OSL32" s="17"/>
      <c r="OSM32" s="17"/>
      <c r="OSN32" s="17"/>
      <c r="OSO32" s="17"/>
      <c r="OSP32" s="17"/>
      <c r="OSQ32" s="17"/>
      <c r="OSR32" s="17"/>
      <c r="OSS32" s="17"/>
      <c r="OST32" s="17"/>
      <c r="OSU32" s="17"/>
      <c r="OSV32" s="17"/>
      <c r="OSW32" s="17"/>
      <c r="OSX32" s="17"/>
      <c r="OSY32" s="17"/>
      <c r="OSZ32" s="17"/>
      <c r="OTA32" s="17"/>
      <c r="OTB32" s="17"/>
      <c r="OTC32" s="17"/>
      <c r="OTD32" s="17"/>
      <c r="OTE32" s="17"/>
      <c r="OTF32" s="17"/>
      <c r="OTG32" s="17"/>
      <c r="OTH32" s="17"/>
      <c r="OTI32" s="17"/>
      <c r="OTJ32" s="17"/>
      <c r="OTK32" s="17"/>
      <c r="OTL32" s="17"/>
      <c r="OTM32" s="17"/>
      <c r="OTN32" s="17"/>
      <c r="OTO32" s="17"/>
      <c r="OTP32" s="17"/>
      <c r="OTQ32" s="17"/>
      <c r="OTR32" s="17"/>
      <c r="OTS32" s="17"/>
      <c r="OTT32" s="17"/>
      <c r="OTU32" s="17"/>
      <c r="OTV32" s="17"/>
      <c r="OTW32" s="17"/>
      <c r="OTX32" s="17"/>
      <c r="OTY32" s="17"/>
      <c r="OTZ32" s="17"/>
      <c r="OUA32" s="17"/>
      <c r="OUB32" s="17"/>
      <c r="OUC32" s="17"/>
      <c r="OUD32" s="17"/>
      <c r="OUE32" s="17"/>
      <c r="OUF32" s="17"/>
      <c r="OUG32" s="17"/>
      <c r="OUH32" s="17"/>
      <c r="OUI32" s="17"/>
      <c r="OUJ32" s="17"/>
      <c r="OUK32" s="17"/>
      <c r="OUL32" s="17"/>
      <c r="OUM32" s="17"/>
      <c r="OUN32" s="17"/>
      <c r="OUO32" s="17"/>
      <c r="OUP32" s="17"/>
      <c r="OUQ32" s="17"/>
      <c r="OUR32" s="17"/>
      <c r="OUS32" s="17"/>
      <c r="OUT32" s="17"/>
      <c r="OUU32" s="17"/>
      <c r="OUV32" s="17"/>
      <c r="OUW32" s="17"/>
      <c r="OUX32" s="17"/>
      <c r="OUY32" s="17"/>
      <c r="OUZ32" s="17"/>
      <c r="OVA32" s="17"/>
      <c r="OVB32" s="17"/>
      <c r="OVC32" s="17"/>
      <c r="OVD32" s="17"/>
      <c r="OVE32" s="17"/>
      <c r="OVF32" s="17"/>
      <c r="OVG32" s="17"/>
      <c r="OVH32" s="17"/>
      <c r="OVI32" s="17"/>
      <c r="OVJ32" s="17"/>
      <c r="OVK32" s="17"/>
      <c r="OVL32" s="17"/>
      <c r="OVM32" s="17"/>
      <c r="OVN32" s="17"/>
      <c r="OVO32" s="17"/>
      <c r="OVP32" s="17"/>
      <c r="OVQ32" s="17"/>
      <c r="OVR32" s="17"/>
      <c r="OVS32" s="17"/>
      <c r="OVT32" s="17"/>
      <c r="OVU32" s="17"/>
      <c r="OVV32" s="17"/>
      <c r="OVW32" s="17"/>
      <c r="OVX32" s="17"/>
      <c r="OVY32" s="17"/>
      <c r="OVZ32" s="17"/>
      <c r="OWA32" s="17"/>
      <c r="OWB32" s="17"/>
      <c r="OWC32" s="17"/>
      <c r="OWD32" s="17"/>
      <c r="OWE32" s="17"/>
      <c r="OWF32" s="17"/>
      <c r="OWG32" s="17"/>
      <c r="OWH32" s="17"/>
      <c r="OWI32" s="17"/>
      <c r="OWJ32" s="17"/>
      <c r="OWK32" s="17"/>
      <c r="OWL32" s="17"/>
      <c r="OWM32" s="17"/>
      <c r="OWN32" s="17"/>
      <c r="OWO32" s="17"/>
      <c r="OWP32" s="17"/>
      <c r="OWQ32" s="17"/>
      <c r="OWR32" s="17"/>
      <c r="OWS32" s="17"/>
      <c r="OWT32" s="17"/>
      <c r="OWU32" s="17"/>
      <c r="OWV32" s="17"/>
      <c r="OWW32" s="17"/>
      <c r="OWX32" s="17"/>
      <c r="OWY32" s="17"/>
      <c r="OWZ32" s="17"/>
      <c r="OXA32" s="17"/>
      <c r="OXB32" s="17"/>
      <c r="OXC32" s="17"/>
      <c r="OXD32" s="17"/>
      <c r="OXE32" s="17"/>
      <c r="OXF32" s="17"/>
      <c r="OXG32" s="17"/>
      <c r="OXH32" s="17"/>
      <c r="OXI32" s="17"/>
      <c r="OXJ32" s="17"/>
      <c r="OXK32" s="17"/>
      <c r="OXL32" s="17"/>
      <c r="OXM32" s="17"/>
      <c r="OXN32" s="17"/>
      <c r="OXO32" s="17"/>
      <c r="OXP32" s="17"/>
      <c r="OXQ32" s="17"/>
      <c r="OXR32" s="17"/>
      <c r="OXS32" s="17"/>
      <c r="OXT32" s="17"/>
      <c r="OXU32" s="17"/>
      <c r="OXV32" s="17"/>
      <c r="OXW32" s="17"/>
      <c r="OXX32" s="17"/>
      <c r="OXY32" s="17"/>
      <c r="OXZ32" s="17"/>
      <c r="OYA32" s="17"/>
      <c r="OYB32" s="17"/>
      <c r="OYC32" s="17"/>
      <c r="OYD32" s="17"/>
      <c r="OYE32" s="17"/>
      <c r="OYF32" s="17"/>
      <c r="OYG32" s="17"/>
      <c r="OYH32" s="17"/>
      <c r="OYI32" s="17"/>
      <c r="OYJ32" s="17"/>
      <c r="OYK32" s="17"/>
      <c r="OYL32" s="17"/>
      <c r="OYM32" s="17"/>
      <c r="OYN32" s="17"/>
      <c r="OYO32" s="17"/>
      <c r="OYP32" s="17"/>
      <c r="OYQ32" s="17"/>
      <c r="OYR32" s="17"/>
      <c r="OYS32" s="17"/>
      <c r="OYT32" s="17"/>
      <c r="OYU32" s="17"/>
      <c r="OYV32" s="17"/>
      <c r="OYW32" s="17"/>
      <c r="OYX32" s="17"/>
      <c r="OYY32" s="17"/>
      <c r="OYZ32" s="17"/>
      <c r="OZA32" s="17"/>
      <c r="OZB32" s="17"/>
      <c r="OZC32" s="17"/>
      <c r="OZD32" s="17"/>
      <c r="OZE32" s="17"/>
      <c r="OZF32" s="17"/>
      <c r="OZG32" s="17"/>
      <c r="OZH32" s="17"/>
      <c r="OZI32" s="17"/>
      <c r="OZJ32" s="17"/>
      <c r="OZK32" s="17"/>
      <c r="OZL32" s="17"/>
      <c r="OZM32" s="17"/>
      <c r="OZN32" s="17"/>
      <c r="OZO32" s="17"/>
      <c r="OZP32" s="17"/>
      <c r="OZQ32" s="17"/>
      <c r="OZR32" s="17"/>
      <c r="OZS32" s="17"/>
      <c r="OZT32" s="17"/>
      <c r="OZU32" s="17"/>
      <c r="OZV32" s="17"/>
      <c r="OZW32" s="17"/>
      <c r="OZX32" s="17"/>
      <c r="OZY32" s="17"/>
      <c r="OZZ32" s="17"/>
      <c r="PAA32" s="17"/>
      <c r="PAB32" s="17"/>
      <c r="PAC32" s="17"/>
      <c r="PAD32" s="17"/>
      <c r="PAE32" s="17"/>
      <c r="PAF32" s="17"/>
      <c r="PAG32" s="17"/>
      <c r="PAH32" s="17"/>
      <c r="PAI32" s="17"/>
      <c r="PAJ32" s="17"/>
      <c r="PAK32" s="17"/>
      <c r="PAL32" s="17"/>
      <c r="PAM32" s="17"/>
      <c r="PAN32" s="17"/>
      <c r="PAO32" s="17"/>
      <c r="PAP32" s="17"/>
      <c r="PAQ32" s="17"/>
      <c r="PAR32" s="17"/>
      <c r="PAS32" s="17"/>
      <c r="PAT32" s="17"/>
      <c r="PAU32" s="17"/>
      <c r="PAV32" s="17"/>
      <c r="PAW32" s="17"/>
      <c r="PAX32" s="17"/>
      <c r="PAY32" s="17"/>
      <c r="PAZ32" s="17"/>
      <c r="PBA32" s="17"/>
      <c r="PBB32" s="17"/>
      <c r="PBC32" s="17"/>
      <c r="PBD32" s="17"/>
      <c r="PBE32" s="17"/>
      <c r="PBF32" s="17"/>
      <c r="PBG32" s="17"/>
      <c r="PBH32" s="17"/>
      <c r="PBI32" s="17"/>
      <c r="PBJ32" s="17"/>
      <c r="PBK32" s="17"/>
      <c r="PBL32" s="17"/>
      <c r="PBM32" s="17"/>
      <c r="PBN32" s="17"/>
      <c r="PBO32" s="17"/>
      <c r="PBP32" s="17"/>
      <c r="PBQ32" s="17"/>
      <c r="PBR32" s="17"/>
      <c r="PBS32" s="17"/>
      <c r="PBT32" s="17"/>
      <c r="PBU32" s="17"/>
      <c r="PBV32" s="17"/>
      <c r="PBW32" s="17"/>
      <c r="PBX32" s="17"/>
      <c r="PBY32" s="17"/>
      <c r="PBZ32" s="17"/>
      <c r="PCA32" s="17"/>
      <c r="PCB32" s="17"/>
      <c r="PCC32" s="17"/>
      <c r="PCD32" s="17"/>
      <c r="PCE32" s="17"/>
      <c r="PCF32" s="17"/>
      <c r="PCG32" s="17"/>
      <c r="PCH32" s="17"/>
      <c r="PCI32" s="17"/>
      <c r="PCJ32" s="17"/>
      <c r="PCK32" s="17"/>
      <c r="PCL32" s="17"/>
      <c r="PCM32" s="17"/>
      <c r="PCN32" s="17"/>
      <c r="PCO32" s="17"/>
      <c r="PCP32" s="17"/>
      <c r="PCQ32" s="17"/>
      <c r="PCR32" s="17"/>
      <c r="PCS32" s="17"/>
      <c r="PCT32" s="17"/>
      <c r="PCU32" s="17"/>
      <c r="PCV32" s="17"/>
      <c r="PCW32" s="17"/>
      <c r="PCX32" s="17"/>
      <c r="PCY32" s="17"/>
      <c r="PCZ32" s="17"/>
      <c r="PDA32" s="17"/>
      <c r="PDB32" s="17"/>
      <c r="PDC32" s="17"/>
      <c r="PDD32" s="17"/>
      <c r="PDE32" s="17"/>
      <c r="PDF32" s="17"/>
      <c r="PDG32" s="17"/>
      <c r="PDH32" s="17"/>
      <c r="PDI32" s="17"/>
      <c r="PDJ32" s="17"/>
      <c r="PDK32" s="17"/>
      <c r="PDL32" s="17"/>
      <c r="PDM32" s="17"/>
      <c r="PDN32" s="17"/>
      <c r="PDO32" s="17"/>
      <c r="PDP32" s="17"/>
      <c r="PDQ32" s="17"/>
      <c r="PDR32" s="17"/>
      <c r="PDS32" s="17"/>
      <c r="PDT32" s="17"/>
      <c r="PDU32" s="17"/>
      <c r="PDV32" s="17"/>
      <c r="PDW32" s="17"/>
      <c r="PDX32" s="17"/>
      <c r="PDY32" s="17"/>
      <c r="PDZ32" s="17"/>
      <c r="PEA32" s="17"/>
      <c r="PEB32" s="17"/>
      <c r="PEC32" s="17"/>
      <c r="PED32" s="17"/>
      <c r="PEE32" s="17"/>
      <c r="PEF32" s="17"/>
      <c r="PEG32" s="17"/>
      <c r="PEH32" s="17"/>
      <c r="PEI32" s="17"/>
      <c r="PEJ32" s="17"/>
      <c r="PEK32" s="17"/>
      <c r="PEL32" s="17"/>
      <c r="PEM32" s="17"/>
      <c r="PEN32" s="17"/>
      <c r="PEO32" s="17"/>
      <c r="PEP32" s="17"/>
      <c r="PEQ32" s="17"/>
      <c r="PER32" s="17"/>
      <c r="PES32" s="17"/>
      <c r="PET32" s="17"/>
      <c r="PEU32" s="17"/>
      <c r="PEV32" s="17"/>
      <c r="PEW32" s="17"/>
      <c r="PEX32" s="17"/>
      <c r="PEY32" s="17"/>
      <c r="PEZ32" s="17"/>
      <c r="PFA32" s="17"/>
      <c r="PFB32" s="17"/>
      <c r="PFC32" s="17"/>
      <c r="PFD32" s="17"/>
      <c r="PFE32" s="17"/>
      <c r="PFF32" s="17"/>
      <c r="PFG32" s="17"/>
      <c r="PFH32" s="17"/>
      <c r="PFI32" s="17"/>
      <c r="PFJ32" s="17"/>
      <c r="PFK32" s="17"/>
      <c r="PFL32" s="17"/>
      <c r="PFM32" s="17"/>
      <c r="PFN32" s="17"/>
      <c r="PFO32" s="17"/>
      <c r="PFP32" s="17"/>
      <c r="PFQ32" s="17"/>
      <c r="PFR32" s="17"/>
      <c r="PFS32" s="17"/>
      <c r="PFT32" s="17"/>
      <c r="PFU32" s="17"/>
      <c r="PFV32" s="17"/>
      <c r="PFW32" s="17"/>
      <c r="PFX32" s="17"/>
      <c r="PFY32" s="17"/>
      <c r="PFZ32" s="17"/>
      <c r="PGA32" s="17"/>
      <c r="PGB32" s="17"/>
      <c r="PGC32" s="17"/>
      <c r="PGD32" s="17"/>
      <c r="PGE32" s="17"/>
      <c r="PGF32" s="17"/>
      <c r="PGG32" s="17"/>
      <c r="PGH32" s="17"/>
      <c r="PGI32" s="17"/>
      <c r="PGJ32" s="17"/>
      <c r="PGK32" s="17"/>
      <c r="PGL32" s="17"/>
      <c r="PGM32" s="17"/>
      <c r="PGN32" s="17"/>
      <c r="PGO32" s="17"/>
      <c r="PGP32" s="17"/>
      <c r="PGQ32" s="17"/>
      <c r="PGR32" s="17"/>
      <c r="PGS32" s="17"/>
      <c r="PGT32" s="17"/>
      <c r="PGU32" s="17"/>
      <c r="PGV32" s="17"/>
      <c r="PGW32" s="17"/>
      <c r="PGX32" s="17"/>
      <c r="PGY32" s="17"/>
      <c r="PGZ32" s="17"/>
      <c r="PHA32" s="17"/>
      <c r="PHB32" s="17"/>
      <c r="PHC32" s="17"/>
      <c r="PHD32" s="17"/>
      <c r="PHE32" s="17"/>
      <c r="PHF32" s="17"/>
      <c r="PHG32" s="17"/>
      <c r="PHH32" s="17"/>
      <c r="PHI32" s="17"/>
      <c r="PHJ32" s="17"/>
      <c r="PHK32" s="17"/>
      <c r="PHL32" s="17"/>
      <c r="PHM32" s="17"/>
      <c r="PHN32" s="17"/>
      <c r="PHO32" s="17"/>
      <c r="PHP32" s="17"/>
      <c r="PHQ32" s="17"/>
      <c r="PHR32" s="17"/>
      <c r="PHS32" s="17"/>
      <c r="PHT32" s="17"/>
      <c r="PHU32" s="17"/>
      <c r="PHV32" s="17"/>
      <c r="PHW32" s="17"/>
      <c r="PHX32" s="17"/>
      <c r="PHY32" s="17"/>
      <c r="PHZ32" s="17"/>
      <c r="PIA32" s="17"/>
      <c r="PIB32" s="17"/>
      <c r="PIC32" s="17"/>
      <c r="PID32" s="17"/>
      <c r="PIE32" s="17"/>
      <c r="PIF32" s="17"/>
      <c r="PIG32" s="17"/>
      <c r="PIH32" s="17"/>
      <c r="PII32" s="17"/>
      <c r="PIJ32" s="17"/>
      <c r="PIK32" s="17"/>
      <c r="PIL32" s="17"/>
      <c r="PIM32" s="17"/>
      <c r="PIN32" s="17"/>
      <c r="PIO32" s="17"/>
      <c r="PIP32" s="17"/>
      <c r="PIQ32" s="17"/>
      <c r="PIR32" s="17"/>
      <c r="PIS32" s="17"/>
      <c r="PIT32" s="17"/>
      <c r="PIU32" s="17"/>
      <c r="PIV32" s="17"/>
      <c r="PIW32" s="17"/>
      <c r="PIX32" s="17"/>
      <c r="PIY32" s="17"/>
      <c r="PIZ32" s="17"/>
      <c r="PJA32" s="17"/>
      <c r="PJB32" s="17"/>
      <c r="PJC32" s="17"/>
      <c r="PJD32" s="17"/>
      <c r="PJE32" s="17"/>
      <c r="PJF32" s="17"/>
      <c r="PJG32" s="17"/>
      <c r="PJH32" s="17"/>
      <c r="PJI32" s="17"/>
      <c r="PJJ32" s="17"/>
      <c r="PJK32" s="17"/>
      <c r="PJL32" s="17"/>
      <c r="PJM32" s="17"/>
      <c r="PJN32" s="17"/>
      <c r="PJO32" s="17"/>
      <c r="PJP32" s="17"/>
      <c r="PJQ32" s="17"/>
      <c r="PJR32" s="17"/>
      <c r="PJS32" s="17"/>
      <c r="PJT32" s="17"/>
      <c r="PJU32" s="17"/>
      <c r="PJV32" s="17"/>
      <c r="PJW32" s="17"/>
      <c r="PJX32" s="17"/>
      <c r="PJY32" s="17"/>
      <c r="PJZ32" s="17"/>
      <c r="PKA32" s="17"/>
      <c r="PKB32" s="17"/>
      <c r="PKC32" s="17"/>
      <c r="PKD32" s="17"/>
      <c r="PKE32" s="17"/>
      <c r="PKF32" s="17"/>
      <c r="PKG32" s="17"/>
      <c r="PKH32" s="17"/>
      <c r="PKI32" s="17"/>
      <c r="PKJ32" s="17"/>
      <c r="PKK32" s="17"/>
      <c r="PKL32" s="17"/>
      <c r="PKM32" s="17"/>
      <c r="PKN32" s="17"/>
      <c r="PKO32" s="17"/>
      <c r="PKP32" s="17"/>
      <c r="PKQ32" s="17"/>
      <c r="PKR32" s="17"/>
      <c r="PKS32" s="17"/>
      <c r="PKT32" s="17"/>
      <c r="PKU32" s="17"/>
      <c r="PKV32" s="17"/>
      <c r="PKW32" s="17"/>
      <c r="PKX32" s="17"/>
      <c r="PKY32" s="17"/>
      <c r="PKZ32" s="17"/>
      <c r="PLA32" s="17"/>
      <c r="PLB32" s="17"/>
      <c r="PLC32" s="17"/>
      <c r="PLD32" s="17"/>
      <c r="PLE32" s="17"/>
      <c r="PLF32" s="17"/>
      <c r="PLG32" s="17"/>
      <c r="PLH32" s="17"/>
      <c r="PLI32" s="17"/>
      <c r="PLJ32" s="17"/>
      <c r="PLK32" s="17"/>
      <c r="PLL32" s="17"/>
      <c r="PLM32" s="17"/>
      <c r="PLN32" s="17"/>
      <c r="PLO32" s="17"/>
      <c r="PLP32" s="17"/>
      <c r="PLQ32" s="17"/>
      <c r="PLR32" s="17"/>
      <c r="PLS32" s="17"/>
      <c r="PLT32" s="17"/>
      <c r="PLU32" s="17"/>
      <c r="PLV32" s="17"/>
      <c r="PLW32" s="17"/>
      <c r="PLX32" s="17"/>
      <c r="PLY32" s="17"/>
      <c r="PLZ32" s="17"/>
      <c r="PMA32" s="17"/>
      <c r="PMB32" s="17"/>
      <c r="PMC32" s="17"/>
      <c r="PMD32" s="17"/>
      <c r="PME32" s="17"/>
      <c r="PMF32" s="17"/>
      <c r="PMG32" s="17"/>
      <c r="PMH32" s="17"/>
      <c r="PMI32" s="17"/>
      <c r="PMJ32" s="17"/>
      <c r="PMK32" s="17"/>
      <c r="PML32" s="17"/>
      <c r="PMM32" s="17"/>
      <c r="PMN32" s="17"/>
      <c r="PMO32" s="17"/>
      <c r="PMP32" s="17"/>
      <c r="PMQ32" s="17"/>
      <c r="PMR32" s="17"/>
      <c r="PMS32" s="17"/>
      <c r="PMT32" s="17"/>
      <c r="PMU32" s="17"/>
      <c r="PMV32" s="17"/>
      <c r="PMW32" s="17"/>
      <c r="PMX32" s="17"/>
      <c r="PMY32" s="17"/>
      <c r="PMZ32" s="17"/>
      <c r="PNA32" s="17"/>
      <c r="PNB32" s="17"/>
      <c r="PNC32" s="17"/>
      <c r="PND32" s="17"/>
      <c r="PNE32" s="17"/>
      <c r="PNF32" s="17"/>
      <c r="PNG32" s="17"/>
      <c r="PNH32" s="17"/>
      <c r="PNI32" s="17"/>
      <c r="PNJ32" s="17"/>
      <c r="PNK32" s="17"/>
      <c r="PNL32" s="17"/>
      <c r="PNM32" s="17"/>
      <c r="PNN32" s="17"/>
      <c r="PNO32" s="17"/>
      <c r="PNP32" s="17"/>
      <c r="PNQ32" s="17"/>
      <c r="PNR32" s="17"/>
      <c r="PNS32" s="17"/>
      <c r="PNT32" s="17"/>
      <c r="PNU32" s="17"/>
      <c r="PNV32" s="17"/>
      <c r="PNW32" s="17"/>
      <c r="PNX32" s="17"/>
      <c r="PNY32" s="17"/>
      <c r="PNZ32" s="17"/>
      <c r="POA32" s="17"/>
      <c r="POB32" s="17"/>
      <c r="POC32" s="17"/>
      <c r="POD32" s="17"/>
      <c r="POE32" s="17"/>
      <c r="POF32" s="17"/>
      <c r="POG32" s="17"/>
      <c r="POH32" s="17"/>
      <c r="POI32" s="17"/>
      <c r="POJ32" s="17"/>
      <c r="POK32" s="17"/>
      <c r="POL32" s="17"/>
      <c r="POM32" s="17"/>
      <c r="PON32" s="17"/>
      <c r="POO32" s="17"/>
      <c r="POP32" s="17"/>
      <c r="POQ32" s="17"/>
      <c r="POR32" s="17"/>
      <c r="POS32" s="17"/>
      <c r="POT32" s="17"/>
      <c r="POU32" s="17"/>
      <c r="POV32" s="17"/>
      <c r="POW32" s="17"/>
      <c r="POX32" s="17"/>
      <c r="POY32" s="17"/>
      <c r="POZ32" s="17"/>
      <c r="PPA32" s="17"/>
      <c r="PPB32" s="17"/>
      <c r="PPC32" s="17"/>
      <c r="PPD32" s="17"/>
      <c r="PPE32" s="17"/>
      <c r="PPF32" s="17"/>
      <c r="PPG32" s="17"/>
      <c r="PPH32" s="17"/>
      <c r="PPI32" s="17"/>
      <c r="PPJ32" s="17"/>
      <c r="PPK32" s="17"/>
      <c r="PPL32" s="17"/>
      <c r="PPM32" s="17"/>
      <c r="PPN32" s="17"/>
      <c r="PPO32" s="17"/>
      <c r="PPP32" s="17"/>
      <c r="PPQ32" s="17"/>
      <c r="PPR32" s="17"/>
      <c r="PPS32" s="17"/>
      <c r="PPT32" s="17"/>
      <c r="PPU32" s="17"/>
      <c r="PPV32" s="17"/>
      <c r="PPW32" s="17"/>
      <c r="PPX32" s="17"/>
      <c r="PPY32" s="17"/>
      <c r="PPZ32" s="17"/>
      <c r="PQA32" s="17"/>
      <c r="PQB32" s="17"/>
      <c r="PQC32" s="17"/>
      <c r="PQD32" s="17"/>
      <c r="PQE32" s="17"/>
      <c r="PQF32" s="17"/>
      <c r="PQG32" s="17"/>
      <c r="PQH32" s="17"/>
      <c r="PQI32" s="17"/>
      <c r="PQJ32" s="17"/>
      <c r="PQK32" s="17"/>
      <c r="PQL32" s="17"/>
      <c r="PQM32" s="17"/>
      <c r="PQN32" s="17"/>
      <c r="PQO32" s="17"/>
      <c r="PQP32" s="17"/>
      <c r="PQQ32" s="17"/>
      <c r="PQR32" s="17"/>
      <c r="PQS32" s="17"/>
      <c r="PQT32" s="17"/>
      <c r="PQU32" s="17"/>
      <c r="PQV32" s="17"/>
      <c r="PQW32" s="17"/>
      <c r="PQX32" s="17"/>
      <c r="PQY32" s="17"/>
      <c r="PQZ32" s="17"/>
      <c r="PRA32" s="17"/>
      <c r="PRB32" s="17"/>
      <c r="PRC32" s="17"/>
      <c r="PRD32" s="17"/>
      <c r="PRE32" s="17"/>
      <c r="PRF32" s="17"/>
      <c r="PRG32" s="17"/>
      <c r="PRH32" s="17"/>
      <c r="PRI32" s="17"/>
      <c r="PRJ32" s="17"/>
      <c r="PRK32" s="17"/>
      <c r="PRL32" s="17"/>
      <c r="PRM32" s="17"/>
      <c r="PRN32" s="17"/>
      <c r="PRO32" s="17"/>
      <c r="PRP32" s="17"/>
      <c r="PRQ32" s="17"/>
      <c r="PRR32" s="17"/>
      <c r="PRS32" s="17"/>
      <c r="PRT32" s="17"/>
      <c r="PRU32" s="17"/>
      <c r="PRV32" s="17"/>
      <c r="PRW32" s="17"/>
      <c r="PRX32" s="17"/>
      <c r="PRY32" s="17"/>
      <c r="PRZ32" s="17"/>
      <c r="PSA32" s="17"/>
      <c r="PSB32" s="17"/>
      <c r="PSC32" s="17"/>
      <c r="PSD32" s="17"/>
      <c r="PSE32" s="17"/>
      <c r="PSF32" s="17"/>
      <c r="PSG32" s="17"/>
      <c r="PSH32" s="17"/>
      <c r="PSI32" s="17"/>
      <c r="PSJ32" s="17"/>
      <c r="PSK32" s="17"/>
      <c r="PSL32" s="17"/>
      <c r="PSM32" s="17"/>
      <c r="PSN32" s="17"/>
      <c r="PSO32" s="17"/>
      <c r="PSP32" s="17"/>
      <c r="PSQ32" s="17"/>
      <c r="PSR32" s="17"/>
      <c r="PSS32" s="17"/>
      <c r="PST32" s="17"/>
      <c r="PSU32" s="17"/>
      <c r="PSV32" s="17"/>
      <c r="PSW32" s="17"/>
      <c r="PSX32" s="17"/>
      <c r="PSY32" s="17"/>
      <c r="PSZ32" s="17"/>
      <c r="PTA32" s="17"/>
      <c r="PTB32" s="17"/>
      <c r="PTC32" s="17"/>
      <c r="PTD32" s="17"/>
      <c r="PTE32" s="17"/>
      <c r="PTF32" s="17"/>
      <c r="PTG32" s="17"/>
      <c r="PTH32" s="17"/>
      <c r="PTI32" s="17"/>
      <c r="PTJ32" s="17"/>
      <c r="PTK32" s="17"/>
      <c r="PTL32" s="17"/>
      <c r="PTM32" s="17"/>
      <c r="PTN32" s="17"/>
      <c r="PTO32" s="17"/>
      <c r="PTP32" s="17"/>
      <c r="PTQ32" s="17"/>
      <c r="PTR32" s="17"/>
      <c r="PTS32" s="17"/>
      <c r="PTT32" s="17"/>
      <c r="PTU32" s="17"/>
      <c r="PTV32" s="17"/>
      <c r="PTW32" s="17"/>
      <c r="PTX32" s="17"/>
      <c r="PTY32" s="17"/>
      <c r="PTZ32" s="17"/>
      <c r="PUA32" s="17"/>
      <c r="PUB32" s="17"/>
      <c r="PUC32" s="17"/>
      <c r="PUD32" s="17"/>
      <c r="PUE32" s="17"/>
      <c r="PUF32" s="17"/>
      <c r="PUG32" s="17"/>
      <c r="PUH32" s="17"/>
      <c r="PUI32" s="17"/>
      <c r="PUJ32" s="17"/>
      <c r="PUK32" s="17"/>
      <c r="PUL32" s="17"/>
      <c r="PUM32" s="17"/>
      <c r="PUN32" s="17"/>
      <c r="PUO32" s="17"/>
      <c r="PUP32" s="17"/>
      <c r="PUQ32" s="17"/>
      <c r="PUR32" s="17"/>
      <c r="PUS32" s="17"/>
      <c r="PUT32" s="17"/>
      <c r="PUU32" s="17"/>
      <c r="PUV32" s="17"/>
      <c r="PUW32" s="17"/>
      <c r="PUX32" s="17"/>
      <c r="PUY32" s="17"/>
      <c r="PUZ32" s="17"/>
      <c r="PVA32" s="17"/>
      <c r="PVB32" s="17"/>
      <c r="PVC32" s="17"/>
      <c r="PVD32" s="17"/>
      <c r="PVE32" s="17"/>
      <c r="PVF32" s="17"/>
      <c r="PVG32" s="17"/>
      <c r="PVH32" s="17"/>
      <c r="PVI32" s="17"/>
      <c r="PVJ32" s="17"/>
      <c r="PVK32" s="17"/>
      <c r="PVL32" s="17"/>
      <c r="PVM32" s="17"/>
      <c r="PVN32" s="17"/>
      <c r="PVO32" s="17"/>
      <c r="PVP32" s="17"/>
      <c r="PVQ32" s="17"/>
      <c r="PVR32" s="17"/>
      <c r="PVS32" s="17"/>
      <c r="PVT32" s="17"/>
      <c r="PVU32" s="17"/>
      <c r="PVV32" s="17"/>
      <c r="PVW32" s="17"/>
      <c r="PVX32" s="17"/>
      <c r="PVY32" s="17"/>
      <c r="PVZ32" s="17"/>
      <c r="PWA32" s="17"/>
      <c r="PWB32" s="17"/>
      <c r="PWC32" s="17"/>
      <c r="PWD32" s="17"/>
      <c r="PWE32" s="17"/>
      <c r="PWF32" s="17"/>
      <c r="PWG32" s="17"/>
      <c r="PWH32" s="17"/>
      <c r="PWI32" s="17"/>
      <c r="PWJ32" s="17"/>
      <c r="PWK32" s="17"/>
      <c r="PWL32" s="17"/>
      <c r="PWM32" s="17"/>
      <c r="PWN32" s="17"/>
      <c r="PWO32" s="17"/>
      <c r="PWP32" s="17"/>
      <c r="PWQ32" s="17"/>
      <c r="PWR32" s="17"/>
      <c r="PWS32" s="17"/>
      <c r="PWT32" s="17"/>
      <c r="PWU32" s="17"/>
      <c r="PWV32" s="17"/>
      <c r="PWW32" s="17"/>
      <c r="PWX32" s="17"/>
      <c r="PWY32" s="17"/>
      <c r="PWZ32" s="17"/>
      <c r="PXA32" s="17"/>
      <c r="PXB32" s="17"/>
      <c r="PXC32" s="17"/>
      <c r="PXD32" s="17"/>
      <c r="PXE32" s="17"/>
      <c r="PXF32" s="17"/>
      <c r="PXG32" s="17"/>
      <c r="PXH32" s="17"/>
      <c r="PXI32" s="17"/>
      <c r="PXJ32" s="17"/>
      <c r="PXK32" s="17"/>
      <c r="PXL32" s="17"/>
      <c r="PXM32" s="17"/>
      <c r="PXN32" s="17"/>
      <c r="PXO32" s="17"/>
      <c r="PXP32" s="17"/>
      <c r="PXQ32" s="17"/>
      <c r="PXR32" s="17"/>
      <c r="PXS32" s="17"/>
      <c r="PXT32" s="17"/>
      <c r="PXU32" s="17"/>
      <c r="PXV32" s="17"/>
      <c r="PXW32" s="17"/>
      <c r="PXX32" s="17"/>
      <c r="PXY32" s="17"/>
      <c r="PXZ32" s="17"/>
      <c r="PYA32" s="17"/>
      <c r="PYB32" s="17"/>
      <c r="PYC32" s="17"/>
      <c r="PYD32" s="17"/>
      <c r="PYE32" s="17"/>
      <c r="PYF32" s="17"/>
      <c r="PYG32" s="17"/>
      <c r="PYH32" s="17"/>
      <c r="PYI32" s="17"/>
      <c r="PYJ32" s="17"/>
      <c r="PYK32" s="17"/>
      <c r="PYL32" s="17"/>
      <c r="PYM32" s="17"/>
      <c r="PYN32" s="17"/>
      <c r="PYO32" s="17"/>
      <c r="PYP32" s="17"/>
      <c r="PYQ32" s="17"/>
      <c r="PYR32" s="17"/>
      <c r="PYS32" s="17"/>
      <c r="PYT32" s="17"/>
      <c r="PYU32" s="17"/>
      <c r="PYV32" s="17"/>
      <c r="PYW32" s="17"/>
      <c r="PYX32" s="17"/>
      <c r="PYY32" s="17"/>
      <c r="PYZ32" s="17"/>
      <c r="PZA32" s="17"/>
      <c r="PZB32" s="17"/>
      <c r="PZC32" s="17"/>
      <c r="PZD32" s="17"/>
      <c r="PZE32" s="17"/>
      <c r="PZF32" s="17"/>
      <c r="PZG32" s="17"/>
      <c r="PZH32" s="17"/>
      <c r="PZI32" s="17"/>
      <c r="PZJ32" s="17"/>
      <c r="PZK32" s="17"/>
      <c r="PZL32" s="17"/>
      <c r="PZM32" s="17"/>
      <c r="PZN32" s="17"/>
      <c r="PZO32" s="17"/>
      <c r="PZP32" s="17"/>
      <c r="PZQ32" s="17"/>
      <c r="PZR32" s="17"/>
      <c r="PZS32" s="17"/>
      <c r="PZT32" s="17"/>
      <c r="PZU32" s="17"/>
      <c r="PZV32" s="17"/>
      <c r="PZW32" s="17"/>
      <c r="PZX32" s="17"/>
      <c r="PZY32" s="17"/>
      <c r="PZZ32" s="17"/>
      <c r="QAA32" s="17"/>
      <c r="QAB32" s="17"/>
      <c r="QAC32" s="17"/>
      <c r="QAD32" s="17"/>
      <c r="QAE32" s="17"/>
      <c r="QAF32" s="17"/>
      <c r="QAG32" s="17"/>
      <c r="QAH32" s="17"/>
      <c r="QAI32" s="17"/>
      <c r="QAJ32" s="17"/>
      <c r="QAK32" s="17"/>
      <c r="QAL32" s="17"/>
      <c r="QAM32" s="17"/>
      <c r="QAN32" s="17"/>
      <c r="QAO32" s="17"/>
      <c r="QAP32" s="17"/>
      <c r="QAQ32" s="17"/>
      <c r="QAR32" s="17"/>
      <c r="QAS32" s="17"/>
      <c r="QAT32" s="17"/>
      <c r="QAU32" s="17"/>
      <c r="QAV32" s="17"/>
      <c r="QAW32" s="17"/>
      <c r="QAX32" s="17"/>
      <c r="QAY32" s="17"/>
      <c r="QAZ32" s="17"/>
      <c r="QBA32" s="17"/>
      <c r="QBB32" s="17"/>
      <c r="QBC32" s="17"/>
      <c r="QBD32" s="17"/>
      <c r="QBE32" s="17"/>
      <c r="QBF32" s="17"/>
      <c r="QBG32" s="17"/>
      <c r="QBH32" s="17"/>
      <c r="QBI32" s="17"/>
      <c r="QBJ32" s="17"/>
      <c r="QBK32" s="17"/>
      <c r="QBL32" s="17"/>
      <c r="QBM32" s="17"/>
      <c r="QBN32" s="17"/>
      <c r="QBO32" s="17"/>
      <c r="QBP32" s="17"/>
      <c r="QBQ32" s="17"/>
      <c r="QBR32" s="17"/>
      <c r="QBS32" s="17"/>
      <c r="QBT32" s="17"/>
      <c r="QBU32" s="17"/>
      <c r="QBV32" s="17"/>
      <c r="QBW32" s="17"/>
      <c r="QBX32" s="17"/>
      <c r="QBY32" s="17"/>
      <c r="QBZ32" s="17"/>
      <c r="QCA32" s="17"/>
      <c r="QCB32" s="17"/>
      <c r="QCC32" s="17"/>
      <c r="QCD32" s="17"/>
      <c r="QCE32" s="17"/>
      <c r="QCF32" s="17"/>
      <c r="QCG32" s="17"/>
      <c r="QCH32" s="17"/>
      <c r="QCI32" s="17"/>
      <c r="QCJ32" s="17"/>
      <c r="QCK32" s="17"/>
      <c r="QCL32" s="17"/>
      <c r="QCM32" s="17"/>
      <c r="QCN32" s="17"/>
      <c r="QCO32" s="17"/>
      <c r="QCP32" s="17"/>
      <c r="QCQ32" s="17"/>
      <c r="QCR32" s="17"/>
      <c r="QCS32" s="17"/>
      <c r="QCT32" s="17"/>
      <c r="QCU32" s="17"/>
      <c r="QCV32" s="17"/>
      <c r="QCW32" s="17"/>
      <c r="QCX32" s="17"/>
      <c r="QCY32" s="17"/>
      <c r="QCZ32" s="17"/>
      <c r="QDA32" s="17"/>
      <c r="QDB32" s="17"/>
      <c r="QDC32" s="17"/>
      <c r="QDD32" s="17"/>
      <c r="QDE32" s="17"/>
      <c r="QDF32" s="17"/>
      <c r="QDG32" s="17"/>
      <c r="QDH32" s="17"/>
      <c r="QDI32" s="17"/>
      <c r="QDJ32" s="17"/>
      <c r="QDK32" s="17"/>
      <c r="QDL32" s="17"/>
      <c r="QDM32" s="17"/>
      <c r="QDN32" s="17"/>
      <c r="QDO32" s="17"/>
      <c r="QDP32" s="17"/>
      <c r="QDQ32" s="17"/>
      <c r="QDR32" s="17"/>
      <c r="QDS32" s="17"/>
      <c r="QDT32" s="17"/>
      <c r="QDU32" s="17"/>
      <c r="QDV32" s="17"/>
      <c r="QDW32" s="17"/>
      <c r="QDX32" s="17"/>
      <c r="QDY32" s="17"/>
      <c r="QDZ32" s="17"/>
      <c r="QEA32" s="17"/>
      <c r="QEB32" s="17"/>
      <c r="QEC32" s="17"/>
      <c r="QED32" s="17"/>
      <c r="QEE32" s="17"/>
      <c r="QEF32" s="17"/>
      <c r="QEG32" s="17"/>
      <c r="QEH32" s="17"/>
      <c r="QEI32" s="17"/>
      <c r="QEJ32" s="17"/>
      <c r="QEK32" s="17"/>
      <c r="QEL32" s="17"/>
      <c r="QEM32" s="17"/>
      <c r="QEN32" s="17"/>
      <c r="QEO32" s="17"/>
      <c r="QEP32" s="17"/>
      <c r="QEQ32" s="17"/>
      <c r="QER32" s="17"/>
      <c r="QES32" s="17"/>
      <c r="QET32" s="17"/>
      <c r="QEU32" s="17"/>
      <c r="QEV32" s="17"/>
      <c r="QEW32" s="17"/>
      <c r="QEX32" s="17"/>
      <c r="QEY32" s="17"/>
      <c r="QEZ32" s="17"/>
      <c r="QFA32" s="17"/>
      <c r="QFB32" s="17"/>
      <c r="QFC32" s="17"/>
      <c r="QFD32" s="17"/>
      <c r="QFE32" s="17"/>
      <c r="QFF32" s="17"/>
      <c r="QFG32" s="17"/>
      <c r="QFH32" s="17"/>
      <c r="QFI32" s="17"/>
      <c r="QFJ32" s="17"/>
      <c r="QFK32" s="17"/>
      <c r="QFL32" s="17"/>
      <c r="QFM32" s="17"/>
      <c r="QFN32" s="17"/>
      <c r="QFO32" s="17"/>
      <c r="QFP32" s="17"/>
      <c r="QFQ32" s="17"/>
      <c r="QFR32" s="17"/>
      <c r="QFS32" s="17"/>
      <c r="QFT32" s="17"/>
      <c r="QFU32" s="17"/>
      <c r="QFV32" s="17"/>
      <c r="QFW32" s="17"/>
      <c r="QFX32" s="17"/>
      <c r="QFY32" s="17"/>
      <c r="QFZ32" s="17"/>
      <c r="QGA32" s="17"/>
      <c r="QGB32" s="17"/>
      <c r="QGC32" s="17"/>
      <c r="QGD32" s="17"/>
      <c r="QGE32" s="17"/>
      <c r="QGF32" s="17"/>
      <c r="QGG32" s="17"/>
      <c r="QGH32" s="17"/>
      <c r="QGI32" s="17"/>
      <c r="QGJ32" s="17"/>
      <c r="QGK32" s="17"/>
      <c r="QGL32" s="17"/>
      <c r="QGM32" s="17"/>
      <c r="QGN32" s="17"/>
      <c r="QGO32" s="17"/>
      <c r="QGP32" s="17"/>
      <c r="QGQ32" s="17"/>
      <c r="QGR32" s="17"/>
      <c r="QGS32" s="17"/>
      <c r="QGT32" s="17"/>
      <c r="QGU32" s="17"/>
      <c r="QGV32" s="17"/>
      <c r="QGW32" s="17"/>
      <c r="QGX32" s="17"/>
      <c r="QGY32" s="17"/>
      <c r="QGZ32" s="17"/>
      <c r="QHA32" s="17"/>
      <c r="QHB32" s="17"/>
      <c r="QHC32" s="17"/>
      <c r="QHD32" s="17"/>
      <c r="QHE32" s="17"/>
      <c r="QHF32" s="17"/>
      <c r="QHG32" s="17"/>
      <c r="QHH32" s="17"/>
      <c r="QHI32" s="17"/>
      <c r="QHJ32" s="17"/>
      <c r="QHK32" s="17"/>
      <c r="QHL32" s="17"/>
      <c r="QHM32" s="17"/>
      <c r="QHN32" s="17"/>
      <c r="QHO32" s="17"/>
      <c r="QHP32" s="17"/>
      <c r="QHQ32" s="17"/>
      <c r="QHR32" s="17"/>
      <c r="QHS32" s="17"/>
      <c r="QHT32" s="17"/>
      <c r="QHU32" s="17"/>
      <c r="QHV32" s="17"/>
      <c r="QHW32" s="17"/>
      <c r="QHX32" s="17"/>
      <c r="QHY32" s="17"/>
      <c r="QHZ32" s="17"/>
      <c r="QIA32" s="17"/>
      <c r="QIB32" s="17"/>
      <c r="QIC32" s="17"/>
      <c r="QID32" s="17"/>
      <c r="QIE32" s="17"/>
      <c r="QIF32" s="17"/>
      <c r="QIG32" s="17"/>
      <c r="QIH32" s="17"/>
      <c r="QII32" s="17"/>
      <c r="QIJ32" s="17"/>
      <c r="QIK32" s="17"/>
      <c r="QIL32" s="17"/>
      <c r="QIM32" s="17"/>
      <c r="QIN32" s="17"/>
      <c r="QIO32" s="17"/>
      <c r="QIP32" s="17"/>
      <c r="QIQ32" s="17"/>
      <c r="QIR32" s="17"/>
      <c r="QIS32" s="17"/>
      <c r="QIT32" s="17"/>
      <c r="QIU32" s="17"/>
      <c r="QIV32" s="17"/>
      <c r="QIW32" s="17"/>
      <c r="QIX32" s="17"/>
      <c r="QIY32" s="17"/>
      <c r="QIZ32" s="17"/>
      <c r="QJA32" s="17"/>
      <c r="QJB32" s="17"/>
      <c r="QJC32" s="17"/>
      <c r="QJD32" s="17"/>
      <c r="QJE32" s="17"/>
      <c r="QJF32" s="17"/>
      <c r="QJG32" s="17"/>
      <c r="QJH32" s="17"/>
      <c r="QJI32" s="17"/>
      <c r="QJJ32" s="17"/>
      <c r="QJK32" s="17"/>
      <c r="QJL32" s="17"/>
      <c r="QJM32" s="17"/>
      <c r="QJN32" s="17"/>
      <c r="QJO32" s="17"/>
      <c r="QJP32" s="17"/>
      <c r="QJQ32" s="17"/>
      <c r="QJR32" s="17"/>
      <c r="QJS32" s="17"/>
      <c r="QJT32" s="17"/>
      <c r="QJU32" s="17"/>
      <c r="QJV32" s="17"/>
      <c r="QJW32" s="17"/>
      <c r="QJX32" s="17"/>
      <c r="QJY32" s="17"/>
      <c r="QJZ32" s="17"/>
      <c r="QKA32" s="17"/>
      <c r="QKB32" s="17"/>
      <c r="QKC32" s="17"/>
      <c r="QKD32" s="17"/>
      <c r="QKE32" s="17"/>
      <c r="QKF32" s="17"/>
      <c r="QKG32" s="17"/>
      <c r="QKH32" s="17"/>
      <c r="QKI32" s="17"/>
      <c r="QKJ32" s="17"/>
      <c r="QKK32" s="17"/>
      <c r="QKL32" s="17"/>
      <c r="QKM32" s="17"/>
      <c r="QKN32" s="17"/>
      <c r="QKO32" s="17"/>
      <c r="QKP32" s="17"/>
      <c r="QKQ32" s="17"/>
      <c r="QKR32" s="17"/>
      <c r="QKS32" s="17"/>
      <c r="QKT32" s="17"/>
      <c r="QKU32" s="17"/>
      <c r="QKV32" s="17"/>
      <c r="QKW32" s="17"/>
      <c r="QKX32" s="17"/>
      <c r="QKY32" s="17"/>
      <c r="QKZ32" s="17"/>
      <c r="QLA32" s="17"/>
      <c r="QLB32" s="17"/>
      <c r="QLC32" s="17"/>
      <c r="QLD32" s="17"/>
      <c r="QLE32" s="17"/>
      <c r="QLF32" s="17"/>
      <c r="QLG32" s="17"/>
      <c r="QLH32" s="17"/>
      <c r="QLI32" s="17"/>
      <c r="QLJ32" s="17"/>
      <c r="QLK32" s="17"/>
      <c r="QLL32" s="17"/>
      <c r="QLM32" s="17"/>
      <c r="QLN32" s="17"/>
      <c r="QLO32" s="17"/>
      <c r="QLP32" s="17"/>
      <c r="QLQ32" s="17"/>
      <c r="QLR32" s="17"/>
      <c r="QLS32" s="17"/>
      <c r="QLT32" s="17"/>
      <c r="QLU32" s="17"/>
      <c r="QLV32" s="17"/>
      <c r="QLW32" s="17"/>
      <c r="QLX32" s="17"/>
      <c r="QLY32" s="17"/>
      <c r="QLZ32" s="17"/>
      <c r="QMA32" s="17"/>
      <c r="QMB32" s="17"/>
      <c r="QMC32" s="17"/>
      <c r="QMD32" s="17"/>
      <c r="QME32" s="17"/>
      <c r="QMF32" s="17"/>
      <c r="QMG32" s="17"/>
      <c r="QMH32" s="17"/>
      <c r="QMI32" s="17"/>
      <c r="QMJ32" s="17"/>
      <c r="QMK32" s="17"/>
      <c r="QML32" s="17"/>
      <c r="QMM32" s="17"/>
      <c r="QMN32" s="17"/>
      <c r="QMO32" s="17"/>
      <c r="QMP32" s="17"/>
      <c r="QMQ32" s="17"/>
      <c r="QMR32" s="17"/>
      <c r="QMS32" s="17"/>
      <c r="QMT32" s="17"/>
      <c r="QMU32" s="17"/>
      <c r="QMV32" s="17"/>
      <c r="QMW32" s="17"/>
      <c r="QMX32" s="17"/>
      <c r="QMY32" s="17"/>
      <c r="QMZ32" s="17"/>
      <c r="QNA32" s="17"/>
      <c r="QNB32" s="17"/>
      <c r="QNC32" s="17"/>
      <c r="QND32" s="17"/>
      <c r="QNE32" s="17"/>
      <c r="QNF32" s="17"/>
      <c r="QNG32" s="17"/>
      <c r="QNH32" s="17"/>
      <c r="QNI32" s="17"/>
      <c r="QNJ32" s="17"/>
      <c r="QNK32" s="17"/>
      <c r="QNL32" s="17"/>
      <c r="QNM32" s="17"/>
      <c r="QNN32" s="17"/>
      <c r="QNO32" s="17"/>
      <c r="QNP32" s="17"/>
      <c r="QNQ32" s="17"/>
      <c r="QNR32" s="17"/>
      <c r="QNS32" s="17"/>
      <c r="QNT32" s="17"/>
      <c r="QNU32" s="17"/>
      <c r="QNV32" s="17"/>
      <c r="QNW32" s="17"/>
      <c r="QNX32" s="17"/>
      <c r="QNY32" s="17"/>
      <c r="QNZ32" s="17"/>
      <c r="QOA32" s="17"/>
      <c r="QOB32" s="17"/>
      <c r="QOC32" s="17"/>
      <c r="QOD32" s="17"/>
      <c r="QOE32" s="17"/>
      <c r="QOF32" s="17"/>
      <c r="QOG32" s="17"/>
      <c r="QOH32" s="17"/>
      <c r="QOI32" s="17"/>
      <c r="QOJ32" s="17"/>
      <c r="QOK32" s="17"/>
      <c r="QOL32" s="17"/>
      <c r="QOM32" s="17"/>
      <c r="QON32" s="17"/>
      <c r="QOO32" s="17"/>
      <c r="QOP32" s="17"/>
      <c r="QOQ32" s="17"/>
      <c r="QOR32" s="17"/>
      <c r="QOS32" s="17"/>
      <c r="QOT32" s="17"/>
      <c r="QOU32" s="17"/>
      <c r="QOV32" s="17"/>
      <c r="QOW32" s="17"/>
      <c r="QOX32" s="17"/>
      <c r="QOY32" s="17"/>
      <c r="QOZ32" s="17"/>
      <c r="QPA32" s="17"/>
      <c r="QPB32" s="17"/>
      <c r="QPC32" s="17"/>
      <c r="QPD32" s="17"/>
      <c r="QPE32" s="17"/>
      <c r="QPF32" s="17"/>
      <c r="QPG32" s="17"/>
      <c r="QPH32" s="17"/>
      <c r="QPI32" s="17"/>
      <c r="QPJ32" s="17"/>
      <c r="QPK32" s="17"/>
      <c r="QPL32" s="17"/>
      <c r="QPM32" s="17"/>
      <c r="QPN32" s="17"/>
      <c r="QPO32" s="17"/>
      <c r="QPP32" s="17"/>
      <c r="QPQ32" s="17"/>
      <c r="QPR32" s="17"/>
      <c r="QPS32" s="17"/>
      <c r="QPT32" s="17"/>
      <c r="QPU32" s="17"/>
      <c r="QPV32" s="17"/>
      <c r="QPW32" s="17"/>
      <c r="QPX32" s="17"/>
      <c r="QPY32" s="17"/>
      <c r="QPZ32" s="17"/>
      <c r="QQA32" s="17"/>
      <c r="QQB32" s="17"/>
      <c r="QQC32" s="17"/>
      <c r="QQD32" s="17"/>
      <c r="QQE32" s="17"/>
      <c r="QQF32" s="17"/>
      <c r="QQG32" s="17"/>
      <c r="QQH32" s="17"/>
      <c r="QQI32" s="17"/>
      <c r="QQJ32" s="17"/>
      <c r="QQK32" s="17"/>
      <c r="QQL32" s="17"/>
      <c r="QQM32" s="17"/>
      <c r="QQN32" s="17"/>
      <c r="QQO32" s="17"/>
      <c r="QQP32" s="17"/>
      <c r="QQQ32" s="17"/>
      <c r="QQR32" s="17"/>
      <c r="QQS32" s="17"/>
      <c r="QQT32" s="17"/>
      <c r="QQU32" s="17"/>
      <c r="QQV32" s="17"/>
      <c r="QQW32" s="17"/>
      <c r="QQX32" s="17"/>
      <c r="QQY32" s="17"/>
      <c r="QQZ32" s="17"/>
      <c r="QRA32" s="17"/>
      <c r="QRB32" s="17"/>
      <c r="QRC32" s="17"/>
      <c r="QRD32" s="17"/>
      <c r="QRE32" s="17"/>
      <c r="QRF32" s="17"/>
      <c r="QRG32" s="17"/>
      <c r="QRH32" s="17"/>
      <c r="QRI32" s="17"/>
      <c r="QRJ32" s="17"/>
      <c r="QRK32" s="17"/>
      <c r="QRL32" s="17"/>
      <c r="QRM32" s="17"/>
      <c r="QRN32" s="17"/>
      <c r="QRO32" s="17"/>
      <c r="QRP32" s="17"/>
      <c r="QRQ32" s="17"/>
      <c r="QRR32" s="17"/>
      <c r="QRS32" s="17"/>
      <c r="QRT32" s="17"/>
      <c r="QRU32" s="17"/>
      <c r="QRV32" s="17"/>
      <c r="QRW32" s="17"/>
      <c r="QRX32" s="17"/>
      <c r="QRY32" s="17"/>
      <c r="QRZ32" s="17"/>
      <c r="QSA32" s="17"/>
      <c r="QSB32" s="17"/>
      <c r="QSC32" s="17"/>
      <c r="QSD32" s="17"/>
      <c r="QSE32" s="17"/>
      <c r="QSF32" s="17"/>
      <c r="QSG32" s="17"/>
      <c r="QSH32" s="17"/>
      <c r="QSI32" s="17"/>
      <c r="QSJ32" s="17"/>
      <c r="QSK32" s="17"/>
      <c r="QSL32" s="17"/>
      <c r="QSM32" s="17"/>
      <c r="QSN32" s="17"/>
      <c r="QSO32" s="17"/>
      <c r="QSP32" s="17"/>
      <c r="QSQ32" s="17"/>
      <c r="QSR32" s="17"/>
      <c r="QSS32" s="17"/>
      <c r="QST32" s="17"/>
      <c r="QSU32" s="17"/>
      <c r="QSV32" s="17"/>
      <c r="QSW32" s="17"/>
      <c r="QSX32" s="17"/>
      <c r="QSY32" s="17"/>
      <c r="QSZ32" s="17"/>
      <c r="QTA32" s="17"/>
      <c r="QTB32" s="17"/>
      <c r="QTC32" s="17"/>
      <c r="QTD32" s="17"/>
      <c r="QTE32" s="17"/>
      <c r="QTF32" s="17"/>
      <c r="QTG32" s="17"/>
      <c r="QTH32" s="17"/>
      <c r="QTI32" s="17"/>
      <c r="QTJ32" s="17"/>
      <c r="QTK32" s="17"/>
      <c r="QTL32" s="17"/>
      <c r="QTM32" s="17"/>
      <c r="QTN32" s="17"/>
      <c r="QTO32" s="17"/>
      <c r="QTP32" s="17"/>
      <c r="QTQ32" s="17"/>
      <c r="QTR32" s="17"/>
      <c r="QTS32" s="17"/>
      <c r="QTT32" s="17"/>
      <c r="QTU32" s="17"/>
      <c r="QTV32" s="17"/>
      <c r="QTW32" s="17"/>
      <c r="QTX32" s="17"/>
      <c r="QTY32" s="17"/>
      <c r="QTZ32" s="17"/>
      <c r="QUA32" s="17"/>
      <c r="QUB32" s="17"/>
      <c r="QUC32" s="17"/>
      <c r="QUD32" s="17"/>
      <c r="QUE32" s="17"/>
      <c r="QUF32" s="17"/>
      <c r="QUG32" s="17"/>
      <c r="QUH32" s="17"/>
      <c r="QUI32" s="17"/>
      <c r="QUJ32" s="17"/>
      <c r="QUK32" s="17"/>
      <c r="QUL32" s="17"/>
      <c r="QUM32" s="17"/>
      <c r="QUN32" s="17"/>
      <c r="QUO32" s="17"/>
      <c r="QUP32" s="17"/>
      <c r="QUQ32" s="17"/>
      <c r="QUR32" s="17"/>
      <c r="QUS32" s="17"/>
      <c r="QUT32" s="17"/>
      <c r="QUU32" s="17"/>
      <c r="QUV32" s="17"/>
      <c r="QUW32" s="17"/>
      <c r="QUX32" s="17"/>
      <c r="QUY32" s="17"/>
      <c r="QUZ32" s="17"/>
      <c r="QVA32" s="17"/>
      <c r="QVB32" s="17"/>
      <c r="QVC32" s="17"/>
      <c r="QVD32" s="17"/>
      <c r="QVE32" s="17"/>
      <c r="QVF32" s="17"/>
      <c r="QVG32" s="17"/>
      <c r="QVH32" s="17"/>
      <c r="QVI32" s="17"/>
      <c r="QVJ32" s="17"/>
      <c r="QVK32" s="17"/>
      <c r="QVL32" s="17"/>
      <c r="QVM32" s="17"/>
      <c r="QVN32" s="17"/>
      <c r="QVO32" s="17"/>
      <c r="QVP32" s="17"/>
      <c r="QVQ32" s="17"/>
      <c r="QVR32" s="17"/>
      <c r="QVS32" s="17"/>
      <c r="QVT32" s="17"/>
      <c r="QVU32" s="17"/>
      <c r="QVV32" s="17"/>
      <c r="QVW32" s="17"/>
      <c r="QVX32" s="17"/>
      <c r="QVY32" s="17"/>
      <c r="QVZ32" s="17"/>
      <c r="QWA32" s="17"/>
      <c r="QWB32" s="17"/>
      <c r="QWC32" s="17"/>
      <c r="QWD32" s="17"/>
      <c r="QWE32" s="17"/>
      <c r="QWF32" s="17"/>
      <c r="QWG32" s="17"/>
      <c r="QWH32" s="17"/>
      <c r="QWI32" s="17"/>
      <c r="QWJ32" s="17"/>
      <c r="QWK32" s="17"/>
      <c r="QWL32" s="17"/>
      <c r="QWM32" s="17"/>
      <c r="QWN32" s="17"/>
      <c r="QWO32" s="17"/>
      <c r="QWP32" s="17"/>
      <c r="QWQ32" s="17"/>
      <c r="QWR32" s="17"/>
      <c r="QWS32" s="17"/>
      <c r="QWT32" s="17"/>
      <c r="QWU32" s="17"/>
      <c r="QWV32" s="17"/>
      <c r="QWW32" s="17"/>
      <c r="QWX32" s="17"/>
      <c r="QWY32" s="17"/>
      <c r="QWZ32" s="17"/>
      <c r="QXA32" s="17"/>
      <c r="QXB32" s="17"/>
      <c r="QXC32" s="17"/>
      <c r="QXD32" s="17"/>
      <c r="QXE32" s="17"/>
      <c r="QXF32" s="17"/>
      <c r="QXG32" s="17"/>
      <c r="QXH32" s="17"/>
      <c r="QXI32" s="17"/>
      <c r="QXJ32" s="17"/>
      <c r="QXK32" s="17"/>
      <c r="QXL32" s="17"/>
      <c r="QXM32" s="17"/>
      <c r="QXN32" s="17"/>
      <c r="QXO32" s="17"/>
      <c r="QXP32" s="17"/>
      <c r="QXQ32" s="17"/>
      <c r="QXR32" s="17"/>
      <c r="QXS32" s="17"/>
      <c r="QXT32" s="17"/>
      <c r="QXU32" s="17"/>
      <c r="QXV32" s="17"/>
      <c r="QXW32" s="17"/>
      <c r="QXX32" s="17"/>
      <c r="QXY32" s="17"/>
      <c r="QXZ32" s="17"/>
      <c r="QYA32" s="17"/>
      <c r="QYB32" s="17"/>
      <c r="QYC32" s="17"/>
      <c r="QYD32" s="17"/>
      <c r="QYE32" s="17"/>
      <c r="QYF32" s="17"/>
      <c r="QYG32" s="17"/>
      <c r="QYH32" s="17"/>
      <c r="QYI32" s="17"/>
      <c r="QYJ32" s="17"/>
      <c r="QYK32" s="17"/>
      <c r="QYL32" s="17"/>
      <c r="QYM32" s="17"/>
      <c r="QYN32" s="17"/>
      <c r="QYO32" s="17"/>
      <c r="QYP32" s="17"/>
      <c r="QYQ32" s="17"/>
      <c r="QYR32" s="17"/>
      <c r="QYS32" s="17"/>
      <c r="QYT32" s="17"/>
      <c r="QYU32" s="17"/>
      <c r="QYV32" s="17"/>
      <c r="QYW32" s="17"/>
      <c r="QYX32" s="17"/>
      <c r="QYY32" s="17"/>
      <c r="QYZ32" s="17"/>
      <c r="QZA32" s="17"/>
      <c r="QZB32" s="17"/>
      <c r="QZC32" s="17"/>
      <c r="QZD32" s="17"/>
      <c r="QZE32" s="17"/>
      <c r="QZF32" s="17"/>
      <c r="QZG32" s="17"/>
      <c r="QZH32" s="17"/>
      <c r="QZI32" s="17"/>
      <c r="QZJ32" s="17"/>
      <c r="QZK32" s="17"/>
      <c r="QZL32" s="17"/>
      <c r="QZM32" s="17"/>
      <c r="QZN32" s="17"/>
      <c r="QZO32" s="17"/>
      <c r="QZP32" s="17"/>
      <c r="QZQ32" s="17"/>
      <c r="QZR32" s="17"/>
      <c r="QZS32" s="17"/>
      <c r="QZT32" s="17"/>
      <c r="QZU32" s="17"/>
      <c r="QZV32" s="17"/>
      <c r="QZW32" s="17"/>
      <c r="QZX32" s="17"/>
      <c r="QZY32" s="17"/>
      <c r="QZZ32" s="17"/>
      <c r="RAA32" s="17"/>
      <c r="RAB32" s="17"/>
      <c r="RAC32" s="17"/>
      <c r="RAD32" s="17"/>
      <c r="RAE32" s="17"/>
      <c r="RAF32" s="17"/>
      <c r="RAG32" s="17"/>
      <c r="RAH32" s="17"/>
      <c r="RAI32" s="17"/>
      <c r="RAJ32" s="17"/>
      <c r="RAK32" s="17"/>
      <c r="RAL32" s="17"/>
      <c r="RAM32" s="17"/>
      <c r="RAN32" s="17"/>
      <c r="RAO32" s="17"/>
      <c r="RAP32" s="17"/>
      <c r="RAQ32" s="17"/>
      <c r="RAR32" s="17"/>
      <c r="RAS32" s="17"/>
      <c r="RAT32" s="17"/>
      <c r="RAU32" s="17"/>
      <c r="RAV32" s="17"/>
      <c r="RAW32" s="17"/>
      <c r="RAX32" s="17"/>
      <c r="RAY32" s="17"/>
      <c r="RAZ32" s="17"/>
      <c r="RBA32" s="17"/>
      <c r="RBB32" s="17"/>
      <c r="RBC32" s="17"/>
      <c r="RBD32" s="17"/>
      <c r="RBE32" s="17"/>
      <c r="RBF32" s="17"/>
      <c r="RBG32" s="17"/>
      <c r="RBH32" s="17"/>
      <c r="RBI32" s="17"/>
      <c r="RBJ32" s="17"/>
      <c r="RBK32" s="17"/>
      <c r="RBL32" s="17"/>
      <c r="RBM32" s="17"/>
      <c r="RBN32" s="17"/>
      <c r="RBO32" s="17"/>
      <c r="RBP32" s="17"/>
      <c r="RBQ32" s="17"/>
      <c r="RBR32" s="17"/>
      <c r="RBS32" s="17"/>
      <c r="RBT32" s="17"/>
      <c r="RBU32" s="17"/>
      <c r="RBV32" s="17"/>
      <c r="RBW32" s="17"/>
      <c r="RBX32" s="17"/>
      <c r="RBY32" s="17"/>
      <c r="RBZ32" s="17"/>
      <c r="RCA32" s="17"/>
      <c r="RCB32" s="17"/>
      <c r="RCC32" s="17"/>
      <c r="RCD32" s="17"/>
      <c r="RCE32" s="17"/>
      <c r="RCF32" s="17"/>
      <c r="RCG32" s="17"/>
      <c r="RCH32" s="17"/>
      <c r="RCI32" s="17"/>
      <c r="RCJ32" s="17"/>
      <c r="RCK32" s="17"/>
      <c r="RCL32" s="17"/>
      <c r="RCM32" s="17"/>
      <c r="RCN32" s="17"/>
      <c r="RCO32" s="17"/>
      <c r="RCP32" s="17"/>
      <c r="RCQ32" s="17"/>
      <c r="RCR32" s="17"/>
      <c r="RCS32" s="17"/>
      <c r="RCT32" s="17"/>
      <c r="RCU32" s="17"/>
      <c r="RCV32" s="17"/>
      <c r="RCW32" s="17"/>
      <c r="RCX32" s="17"/>
      <c r="RCY32" s="17"/>
      <c r="RCZ32" s="17"/>
      <c r="RDA32" s="17"/>
      <c r="RDB32" s="17"/>
      <c r="RDC32" s="17"/>
      <c r="RDD32" s="17"/>
      <c r="RDE32" s="17"/>
      <c r="RDF32" s="17"/>
      <c r="RDG32" s="17"/>
      <c r="RDH32" s="17"/>
      <c r="RDI32" s="17"/>
      <c r="RDJ32" s="17"/>
      <c r="RDK32" s="17"/>
      <c r="RDL32" s="17"/>
      <c r="RDM32" s="17"/>
      <c r="RDN32" s="17"/>
      <c r="RDO32" s="17"/>
      <c r="RDP32" s="17"/>
      <c r="RDQ32" s="17"/>
      <c r="RDR32" s="17"/>
      <c r="RDS32" s="17"/>
      <c r="RDT32" s="17"/>
      <c r="RDU32" s="17"/>
      <c r="RDV32" s="17"/>
      <c r="RDW32" s="17"/>
      <c r="RDX32" s="17"/>
      <c r="RDY32" s="17"/>
      <c r="RDZ32" s="17"/>
      <c r="REA32" s="17"/>
      <c r="REB32" s="17"/>
      <c r="REC32" s="17"/>
      <c r="RED32" s="17"/>
      <c r="REE32" s="17"/>
      <c r="REF32" s="17"/>
      <c r="REG32" s="17"/>
      <c r="REH32" s="17"/>
      <c r="REI32" s="17"/>
      <c r="REJ32" s="17"/>
      <c r="REK32" s="17"/>
      <c r="REL32" s="17"/>
      <c r="REM32" s="17"/>
      <c r="REN32" s="17"/>
      <c r="REO32" s="17"/>
      <c r="REP32" s="17"/>
      <c r="REQ32" s="17"/>
      <c r="RER32" s="17"/>
      <c r="RES32" s="17"/>
      <c r="RET32" s="17"/>
      <c r="REU32" s="17"/>
      <c r="REV32" s="17"/>
      <c r="REW32" s="17"/>
      <c r="REX32" s="17"/>
      <c r="REY32" s="17"/>
      <c r="REZ32" s="17"/>
      <c r="RFA32" s="17"/>
      <c r="RFB32" s="17"/>
      <c r="RFC32" s="17"/>
      <c r="RFD32" s="17"/>
      <c r="RFE32" s="17"/>
      <c r="RFF32" s="17"/>
      <c r="RFG32" s="17"/>
      <c r="RFH32" s="17"/>
      <c r="RFI32" s="17"/>
      <c r="RFJ32" s="17"/>
      <c r="RFK32" s="17"/>
      <c r="RFL32" s="17"/>
      <c r="RFM32" s="17"/>
      <c r="RFN32" s="17"/>
      <c r="RFO32" s="17"/>
      <c r="RFP32" s="17"/>
      <c r="RFQ32" s="17"/>
      <c r="RFR32" s="17"/>
      <c r="RFS32" s="17"/>
      <c r="RFT32" s="17"/>
      <c r="RFU32" s="17"/>
      <c r="RFV32" s="17"/>
      <c r="RFW32" s="17"/>
      <c r="RFX32" s="17"/>
      <c r="RFY32" s="17"/>
      <c r="RFZ32" s="17"/>
      <c r="RGA32" s="17"/>
      <c r="RGB32" s="17"/>
      <c r="RGC32" s="17"/>
      <c r="RGD32" s="17"/>
      <c r="RGE32" s="17"/>
      <c r="RGF32" s="17"/>
      <c r="RGG32" s="17"/>
      <c r="RGH32" s="17"/>
      <c r="RGI32" s="17"/>
      <c r="RGJ32" s="17"/>
      <c r="RGK32" s="17"/>
      <c r="RGL32" s="17"/>
      <c r="RGM32" s="17"/>
      <c r="RGN32" s="17"/>
      <c r="RGO32" s="17"/>
      <c r="RGP32" s="17"/>
      <c r="RGQ32" s="17"/>
      <c r="RGR32" s="17"/>
      <c r="RGS32" s="17"/>
      <c r="RGT32" s="17"/>
      <c r="RGU32" s="17"/>
      <c r="RGV32" s="17"/>
      <c r="RGW32" s="17"/>
      <c r="RGX32" s="17"/>
      <c r="RGY32" s="17"/>
      <c r="RGZ32" s="17"/>
      <c r="RHA32" s="17"/>
      <c r="RHB32" s="17"/>
      <c r="RHC32" s="17"/>
      <c r="RHD32" s="17"/>
      <c r="RHE32" s="17"/>
      <c r="RHF32" s="17"/>
      <c r="RHG32" s="17"/>
      <c r="RHH32" s="17"/>
      <c r="RHI32" s="17"/>
      <c r="RHJ32" s="17"/>
      <c r="RHK32" s="17"/>
      <c r="RHL32" s="17"/>
      <c r="RHM32" s="17"/>
      <c r="RHN32" s="17"/>
      <c r="RHO32" s="17"/>
      <c r="RHP32" s="17"/>
      <c r="RHQ32" s="17"/>
      <c r="RHR32" s="17"/>
      <c r="RHS32" s="17"/>
      <c r="RHT32" s="17"/>
      <c r="RHU32" s="17"/>
      <c r="RHV32" s="17"/>
      <c r="RHW32" s="17"/>
      <c r="RHX32" s="17"/>
      <c r="RHY32" s="17"/>
      <c r="RHZ32" s="17"/>
      <c r="RIA32" s="17"/>
      <c r="RIB32" s="17"/>
      <c r="RIC32" s="17"/>
      <c r="RID32" s="17"/>
      <c r="RIE32" s="17"/>
      <c r="RIF32" s="17"/>
      <c r="RIG32" s="17"/>
      <c r="RIH32" s="17"/>
      <c r="RII32" s="17"/>
      <c r="RIJ32" s="17"/>
      <c r="RIK32" s="17"/>
      <c r="RIL32" s="17"/>
      <c r="RIM32" s="17"/>
      <c r="RIN32" s="17"/>
      <c r="RIO32" s="17"/>
      <c r="RIP32" s="17"/>
      <c r="RIQ32" s="17"/>
      <c r="RIR32" s="17"/>
      <c r="RIS32" s="17"/>
      <c r="RIT32" s="17"/>
      <c r="RIU32" s="17"/>
      <c r="RIV32" s="17"/>
      <c r="RIW32" s="17"/>
      <c r="RIX32" s="17"/>
      <c r="RIY32" s="17"/>
      <c r="RIZ32" s="17"/>
      <c r="RJA32" s="17"/>
      <c r="RJB32" s="17"/>
      <c r="RJC32" s="17"/>
      <c r="RJD32" s="17"/>
      <c r="RJE32" s="17"/>
      <c r="RJF32" s="17"/>
      <c r="RJG32" s="17"/>
      <c r="RJH32" s="17"/>
      <c r="RJI32" s="17"/>
      <c r="RJJ32" s="17"/>
      <c r="RJK32" s="17"/>
      <c r="RJL32" s="17"/>
      <c r="RJM32" s="17"/>
      <c r="RJN32" s="17"/>
      <c r="RJO32" s="17"/>
      <c r="RJP32" s="17"/>
      <c r="RJQ32" s="17"/>
      <c r="RJR32" s="17"/>
      <c r="RJS32" s="17"/>
      <c r="RJT32" s="17"/>
      <c r="RJU32" s="17"/>
      <c r="RJV32" s="17"/>
      <c r="RJW32" s="17"/>
      <c r="RJX32" s="17"/>
      <c r="RJY32" s="17"/>
      <c r="RJZ32" s="17"/>
      <c r="RKA32" s="17"/>
      <c r="RKB32" s="17"/>
      <c r="RKC32" s="17"/>
      <c r="RKD32" s="17"/>
      <c r="RKE32" s="17"/>
      <c r="RKF32" s="17"/>
      <c r="RKG32" s="17"/>
      <c r="RKH32" s="17"/>
      <c r="RKI32" s="17"/>
      <c r="RKJ32" s="17"/>
      <c r="RKK32" s="17"/>
      <c r="RKL32" s="17"/>
      <c r="RKM32" s="17"/>
      <c r="RKN32" s="17"/>
      <c r="RKO32" s="17"/>
      <c r="RKP32" s="17"/>
      <c r="RKQ32" s="17"/>
      <c r="RKR32" s="17"/>
      <c r="RKS32" s="17"/>
      <c r="RKT32" s="17"/>
      <c r="RKU32" s="17"/>
      <c r="RKV32" s="17"/>
      <c r="RKW32" s="17"/>
      <c r="RKX32" s="17"/>
      <c r="RKY32" s="17"/>
      <c r="RKZ32" s="17"/>
      <c r="RLA32" s="17"/>
      <c r="RLB32" s="17"/>
      <c r="RLC32" s="17"/>
      <c r="RLD32" s="17"/>
      <c r="RLE32" s="17"/>
      <c r="RLF32" s="17"/>
      <c r="RLG32" s="17"/>
      <c r="RLH32" s="17"/>
      <c r="RLI32" s="17"/>
      <c r="RLJ32" s="17"/>
      <c r="RLK32" s="17"/>
      <c r="RLL32" s="17"/>
      <c r="RLM32" s="17"/>
      <c r="RLN32" s="17"/>
      <c r="RLO32" s="17"/>
      <c r="RLP32" s="17"/>
      <c r="RLQ32" s="17"/>
      <c r="RLR32" s="17"/>
      <c r="RLS32" s="17"/>
      <c r="RLT32" s="17"/>
      <c r="RLU32" s="17"/>
      <c r="RLV32" s="17"/>
      <c r="RLW32" s="17"/>
      <c r="RLX32" s="17"/>
      <c r="RLY32" s="17"/>
      <c r="RLZ32" s="17"/>
      <c r="RMA32" s="17"/>
      <c r="RMB32" s="17"/>
      <c r="RMC32" s="17"/>
      <c r="RMD32" s="17"/>
      <c r="RME32" s="17"/>
      <c r="RMF32" s="17"/>
      <c r="RMG32" s="17"/>
      <c r="RMH32" s="17"/>
      <c r="RMI32" s="17"/>
      <c r="RMJ32" s="17"/>
      <c r="RMK32" s="17"/>
      <c r="RML32" s="17"/>
      <c r="RMM32" s="17"/>
      <c r="RMN32" s="17"/>
      <c r="RMO32" s="17"/>
      <c r="RMP32" s="17"/>
      <c r="RMQ32" s="17"/>
      <c r="RMR32" s="17"/>
      <c r="RMS32" s="17"/>
      <c r="RMT32" s="17"/>
      <c r="RMU32" s="17"/>
      <c r="RMV32" s="17"/>
      <c r="RMW32" s="17"/>
      <c r="RMX32" s="17"/>
      <c r="RMY32" s="17"/>
      <c r="RMZ32" s="17"/>
      <c r="RNA32" s="17"/>
      <c r="RNB32" s="17"/>
      <c r="RNC32" s="17"/>
      <c r="RND32" s="17"/>
      <c r="RNE32" s="17"/>
      <c r="RNF32" s="17"/>
      <c r="RNG32" s="17"/>
      <c r="RNH32" s="17"/>
      <c r="RNI32" s="17"/>
      <c r="RNJ32" s="17"/>
      <c r="RNK32" s="17"/>
      <c r="RNL32" s="17"/>
      <c r="RNM32" s="17"/>
      <c r="RNN32" s="17"/>
      <c r="RNO32" s="17"/>
      <c r="RNP32" s="17"/>
      <c r="RNQ32" s="17"/>
      <c r="RNR32" s="17"/>
      <c r="RNS32" s="17"/>
      <c r="RNT32" s="17"/>
      <c r="RNU32" s="17"/>
      <c r="RNV32" s="17"/>
      <c r="RNW32" s="17"/>
      <c r="RNX32" s="17"/>
      <c r="RNY32" s="17"/>
      <c r="RNZ32" s="17"/>
      <c r="ROA32" s="17"/>
      <c r="ROB32" s="17"/>
      <c r="ROC32" s="17"/>
      <c r="ROD32" s="17"/>
      <c r="ROE32" s="17"/>
      <c r="ROF32" s="17"/>
      <c r="ROG32" s="17"/>
      <c r="ROH32" s="17"/>
      <c r="ROI32" s="17"/>
      <c r="ROJ32" s="17"/>
      <c r="ROK32" s="17"/>
      <c r="ROL32" s="17"/>
      <c r="ROM32" s="17"/>
      <c r="RON32" s="17"/>
      <c r="ROO32" s="17"/>
      <c r="ROP32" s="17"/>
      <c r="ROQ32" s="17"/>
      <c r="ROR32" s="17"/>
      <c r="ROS32" s="17"/>
      <c r="ROT32" s="17"/>
      <c r="ROU32" s="17"/>
      <c r="ROV32" s="17"/>
      <c r="ROW32" s="17"/>
      <c r="ROX32" s="17"/>
      <c r="ROY32" s="17"/>
      <c r="ROZ32" s="17"/>
      <c r="RPA32" s="17"/>
      <c r="RPB32" s="17"/>
      <c r="RPC32" s="17"/>
      <c r="RPD32" s="17"/>
      <c r="RPE32" s="17"/>
      <c r="RPF32" s="17"/>
      <c r="RPG32" s="17"/>
      <c r="RPH32" s="17"/>
      <c r="RPI32" s="17"/>
      <c r="RPJ32" s="17"/>
      <c r="RPK32" s="17"/>
      <c r="RPL32" s="17"/>
      <c r="RPM32" s="17"/>
      <c r="RPN32" s="17"/>
      <c r="RPO32" s="17"/>
      <c r="RPP32" s="17"/>
      <c r="RPQ32" s="17"/>
      <c r="RPR32" s="17"/>
      <c r="RPS32" s="17"/>
      <c r="RPT32" s="17"/>
      <c r="RPU32" s="17"/>
      <c r="RPV32" s="17"/>
      <c r="RPW32" s="17"/>
      <c r="RPX32" s="17"/>
      <c r="RPY32" s="17"/>
      <c r="RPZ32" s="17"/>
      <c r="RQA32" s="17"/>
      <c r="RQB32" s="17"/>
      <c r="RQC32" s="17"/>
      <c r="RQD32" s="17"/>
      <c r="RQE32" s="17"/>
      <c r="RQF32" s="17"/>
      <c r="RQG32" s="17"/>
      <c r="RQH32" s="17"/>
      <c r="RQI32" s="17"/>
      <c r="RQJ32" s="17"/>
      <c r="RQK32" s="17"/>
      <c r="RQL32" s="17"/>
      <c r="RQM32" s="17"/>
      <c r="RQN32" s="17"/>
      <c r="RQO32" s="17"/>
      <c r="RQP32" s="17"/>
      <c r="RQQ32" s="17"/>
      <c r="RQR32" s="17"/>
      <c r="RQS32" s="17"/>
      <c r="RQT32" s="17"/>
      <c r="RQU32" s="17"/>
      <c r="RQV32" s="17"/>
      <c r="RQW32" s="17"/>
      <c r="RQX32" s="17"/>
      <c r="RQY32" s="17"/>
      <c r="RQZ32" s="17"/>
      <c r="RRA32" s="17"/>
      <c r="RRB32" s="17"/>
      <c r="RRC32" s="17"/>
      <c r="RRD32" s="17"/>
      <c r="RRE32" s="17"/>
      <c r="RRF32" s="17"/>
      <c r="RRG32" s="17"/>
      <c r="RRH32" s="17"/>
      <c r="RRI32" s="17"/>
      <c r="RRJ32" s="17"/>
      <c r="RRK32" s="17"/>
      <c r="RRL32" s="17"/>
      <c r="RRM32" s="17"/>
      <c r="RRN32" s="17"/>
      <c r="RRO32" s="17"/>
      <c r="RRP32" s="17"/>
      <c r="RRQ32" s="17"/>
      <c r="RRR32" s="17"/>
      <c r="RRS32" s="17"/>
      <c r="RRT32" s="17"/>
      <c r="RRU32" s="17"/>
      <c r="RRV32" s="17"/>
      <c r="RRW32" s="17"/>
      <c r="RRX32" s="17"/>
      <c r="RRY32" s="17"/>
      <c r="RRZ32" s="17"/>
      <c r="RSA32" s="17"/>
      <c r="RSB32" s="17"/>
      <c r="RSC32" s="17"/>
      <c r="RSD32" s="17"/>
      <c r="RSE32" s="17"/>
      <c r="RSF32" s="17"/>
      <c r="RSG32" s="17"/>
      <c r="RSH32" s="17"/>
      <c r="RSI32" s="17"/>
      <c r="RSJ32" s="17"/>
      <c r="RSK32" s="17"/>
      <c r="RSL32" s="17"/>
      <c r="RSM32" s="17"/>
      <c r="RSN32" s="17"/>
      <c r="RSO32" s="17"/>
      <c r="RSP32" s="17"/>
      <c r="RSQ32" s="17"/>
      <c r="RSR32" s="17"/>
      <c r="RSS32" s="17"/>
      <c r="RST32" s="17"/>
      <c r="RSU32" s="17"/>
      <c r="RSV32" s="17"/>
      <c r="RSW32" s="17"/>
      <c r="RSX32" s="17"/>
      <c r="RSY32" s="17"/>
      <c r="RSZ32" s="17"/>
      <c r="RTA32" s="17"/>
      <c r="RTB32" s="17"/>
      <c r="RTC32" s="17"/>
      <c r="RTD32" s="17"/>
      <c r="RTE32" s="17"/>
      <c r="RTF32" s="17"/>
      <c r="RTG32" s="17"/>
      <c r="RTH32" s="17"/>
      <c r="RTI32" s="17"/>
      <c r="RTJ32" s="17"/>
      <c r="RTK32" s="17"/>
      <c r="RTL32" s="17"/>
      <c r="RTM32" s="17"/>
      <c r="RTN32" s="17"/>
      <c r="RTO32" s="17"/>
      <c r="RTP32" s="17"/>
      <c r="RTQ32" s="17"/>
      <c r="RTR32" s="17"/>
      <c r="RTS32" s="17"/>
      <c r="RTT32" s="17"/>
      <c r="RTU32" s="17"/>
      <c r="RTV32" s="17"/>
      <c r="RTW32" s="17"/>
      <c r="RTX32" s="17"/>
      <c r="RTY32" s="17"/>
      <c r="RTZ32" s="17"/>
      <c r="RUA32" s="17"/>
      <c r="RUB32" s="17"/>
      <c r="RUC32" s="17"/>
      <c r="RUD32" s="17"/>
      <c r="RUE32" s="17"/>
      <c r="RUF32" s="17"/>
      <c r="RUG32" s="17"/>
      <c r="RUH32" s="17"/>
      <c r="RUI32" s="17"/>
      <c r="RUJ32" s="17"/>
      <c r="RUK32" s="17"/>
      <c r="RUL32" s="17"/>
      <c r="RUM32" s="17"/>
      <c r="RUN32" s="17"/>
      <c r="RUO32" s="17"/>
      <c r="RUP32" s="17"/>
      <c r="RUQ32" s="17"/>
      <c r="RUR32" s="17"/>
      <c r="RUS32" s="17"/>
      <c r="RUT32" s="17"/>
      <c r="RUU32" s="17"/>
      <c r="RUV32" s="17"/>
      <c r="RUW32" s="17"/>
      <c r="RUX32" s="17"/>
      <c r="RUY32" s="17"/>
      <c r="RUZ32" s="17"/>
      <c r="RVA32" s="17"/>
      <c r="RVB32" s="17"/>
      <c r="RVC32" s="17"/>
      <c r="RVD32" s="17"/>
      <c r="RVE32" s="17"/>
      <c r="RVF32" s="17"/>
      <c r="RVG32" s="17"/>
      <c r="RVH32" s="17"/>
      <c r="RVI32" s="17"/>
      <c r="RVJ32" s="17"/>
      <c r="RVK32" s="17"/>
      <c r="RVL32" s="17"/>
      <c r="RVM32" s="17"/>
      <c r="RVN32" s="17"/>
      <c r="RVO32" s="17"/>
      <c r="RVP32" s="17"/>
      <c r="RVQ32" s="17"/>
      <c r="RVR32" s="17"/>
      <c r="RVS32" s="17"/>
      <c r="RVT32" s="17"/>
      <c r="RVU32" s="17"/>
      <c r="RVV32" s="17"/>
      <c r="RVW32" s="17"/>
      <c r="RVX32" s="17"/>
      <c r="RVY32" s="17"/>
      <c r="RVZ32" s="17"/>
      <c r="RWA32" s="17"/>
      <c r="RWB32" s="17"/>
      <c r="RWC32" s="17"/>
      <c r="RWD32" s="17"/>
      <c r="RWE32" s="17"/>
      <c r="RWF32" s="17"/>
      <c r="RWG32" s="17"/>
      <c r="RWH32" s="17"/>
      <c r="RWI32" s="17"/>
      <c r="RWJ32" s="17"/>
      <c r="RWK32" s="17"/>
      <c r="RWL32" s="17"/>
      <c r="RWM32" s="17"/>
      <c r="RWN32" s="17"/>
      <c r="RWO32" s="17"/>
      <c r="RWP32" s="17"/>
      <c r="RWQ32" s="17"/>
      <c r="RWR32" s="17"/>
      <c r="RWS32" s="17"/>
      <c r="RWT32" s="17"/>
      <c r="RWU32" s="17"/>
      <c r="RWV32" s="17"/>
      <c r="RWW32" s="17"/>
      <c r="RWX32" s="17"/>
      <c r="RWY32" s="17"/>
      <c r="RWZ32" s="17"/>
      <c r="RXA32" s="17"/>
      <c r="RXB32" s="17"/>
      <c r="RXC32" s="17"/>
      <c r="RXD32" s="17"/>
      <c r="RXE32" s="17"/>
      <c r="RXF32" s="17"/>
      <c r="RXG32" s="17"/>
      <c r="RXH32" s="17"/>
      <c r="RXI32" s="17"/>
      <c r="RXJ32" s="17"/>
      <c r="RXK32" s="17"/>
      <c r="RXL32" s="17"/>
      <c r="RXM32" s="17"/>
      <c r="RXN32" s="17"/>
      <c r="RXO32" s="17"/>
      <c r="RXP32" s="17"/>
      <c r="RXQ32" s="17"/>
      <c r="RXR32" s="17"/>
      <c r="RXS32" s="17"/>
      <c r="RXT32" s="17"/>
      <c r="RXU32" s="17"/>
      <c r="RXV32" s="17"/>
      <c r="RXW32" s="17"/>
      <c r="RXX32" s="17"/>
      <c r="RXY32" s="17"/>
      <c r="RXZ32" s="17"/>
      <c r="RYA32" s="17"/>
      <c r="RYB32" s="17"/>
      <c r="RYC32" s="17"/>
      <c r="RYD32" s="17"/>
      <c r="RYE32" s="17"/>
      <c r="RYF32" s="17"/>
      <c r="RYG32" s="17"/>
      <c r="RYH32" s="17"/>
      <c r="RYI32" s="17"/>
      <c r="RYJ32" s="17"/>
      <c r="RYK32" s="17"/>
      <c r="RYL32" s="17"/>
      <c r="RYM32" s="17"/>
      <c r="RYN32" s="17"/>
      <c r="RYO32" s="17"/>
      <c r="RYP32" s="17"/>
      <c r="RYQ32" s="17"/>
      <c r="RYR32" s="17"/>
      <c r="RYS32" s="17"/>
      <c r="RYT32" s="17"/>
      <c r="RYU32" s="17"/>
      <c r="RYV32" s="17"/>
      <c r="RYW32" s="17"/>
      <c r="RYX32" s="17"/>
      <c r="RYY32" s="17"/>
      <c r="RYZ32" s="17"/>
      <c r="RZA32" s="17"/>
      <c r="RZB32" s="17"/>
      <c r="RZC32" s="17"/>
      <c r="RZD32" s="17"/>
      <c r="RZE32" s="17"/>
      <c r="RZF32" s="17"/>
      <c r="RZG32" s="17"/>
      <c r="RZH32" s="17"/>
      <c r="RZI32" s="17"/>
      <c r="RZJ32" s="17"/>
      <c r="RZK32" s="17"/>
      <c r="RZL32" s="17"/>
      <c r="RZM32" s="17"/>
      <c r="RZN32" s="17"/>
      <c r="RZO32" s="17"/>
      <c r="RZP32" s="17"/>
      <c r="RZQ32" s="17"/>
      <c r="RZR32" s="17"/>
      <c r="RZS32" s="17"/>
      <c r="RZT32" s="17"/>
      <c r="RZU32" s="17"/>
      <c r="RZV32" s="17"/>
      <c r="RZW32" s="17"/>
      <c r="RZX32" s="17"/>
      <c r="RZY32" s="17"/>
      <c r="RZZ32" s="17"/>
      <c r="SAA32" s="17"/>
      <c r="SAB32" s="17"/>
      <c r="SAC32" s="17"/>
      <c r="SAD32" s="17"/>
      <c r="SAE32" s="17"/>
      <c r="SAF32" s="17"/>
      <c r="SAG32" s="17"/>
      <c r="SAH32" s="17"/>
      <c r="SAI32" s="17"/>
      <c r="SAJ32" s="17"/>
      <c r="SAK32" s="17"/>
      <c r="SAL32" s="17"/>
      <c r="SAM32" s="17"/>
      <c r="SAN32" s="17"/>
      <c r="SAO32" s="17"/>
      <c r="SAP32" s="17"/>
      <c r="SAQ32" s="17"/>
      <c r="SAR32" s="17"/>
      <c r="SAS32" s="17"/>
      <c r="SAT32" s="17"/>
      <c r="SAU32" s="17"/>
      <c r="SAV32" s="17"/>
      <c r="SAW32" s="17"/>
      <c r="SAX32" s="17"/>
      <c r="SAY32" s="17"/>
      <c r="SAZ32" s="17"/>
      <c r="SBA32" s="17"/>
      <c r="SBB32" s="17"/>
      <c r="SBC32" s="17"/>
      <c r="SBD32" s="17"/>
      <c r="SBE32" s="17"/>
      <c r="SBF32" s="17"/>
      <c r="SBG32" s="17"/>
      <c r="SBH32" s="17"/>
      <c r="SBI32" s="17"/>
      <c r="SBJ32" s="17"/>
      <c r="SBK32" s="17"/>
      <c r="SBL32" s="17"/>
      <c r="SBM32" s="17"/>
      <c r="SBN32" s="17"/>
      <c r="SBO32" s="17"/>
      <c r="SBP32" s="17"/>
      <c r="SBQ32" s="17"/>
      <c r="SBR32" s="17"/>
      <c r="SBS32" s="17"/>
      <c r="SBT32" s="17"/>
      <c r="SBU32" s="17"/>
      <c r="SBV32" s="17"/>
      <c r="SBW32" s="17"/>
      <c r="SBX32" s="17"/>
      <c r="SBY32" s="17"/>
      <c r="SBZ32" s="17"/>
      <c r="SCA32" s="17"/>
      <c r="SCB32" s="17"/>
      <c r="SCC32" s="17"/>
      <c r="SCD32" s="17"/>
      <c r="SCE32" s="17"/>
      <c r="SCF32" s="17"/>
      <c r="SCG32" s="17"/>
      <c r="SCH32" s="17"/>
      <c r="SCI32" s="17"/>
      <c r="SCJ32" s="17"/>
      <c r="SCK32" s="17"/>
      <c r="SCL32" s="17"/>
      <c r="SCM32" s="17"/>
      <c r="SCN32" s="17"/>
      <c r="SCO32" s="17"/>
      <c r="SCP32" s="17"/>
      <c r="SCQ32" s="17"/>
      <c r="SCR32" s="17"/>
      <c r="SCS32" s="17"/>
      <c r="SCT32" s="17"/>
      <c r="SCU32" s="17"/>
      <c r="SCV32" s="17"/>
      <c r="SCW32" s="17"/>
      <c r="SCX32" s="17"/>
      <c r="SCY32" s="17"/>
      <c r="SCZ32" s="17"/>
      <c r="SDA32" s="17"/>
      <c r="SDB32" s="17"/>
      <c r="SDC32" s="17"/>
      <c r="SDD32" s="17"/>
      <c r="SDE32" s="17"/>
      <c r="SDF32" s="17"/>
      <c r="SDG32" s="17"/>
      <c r="SDH32" s="17"/>
      <c r="SDI32" s="17"/>
      <c r="SDJ32" s="17"/>
      <c r="SDK32" s="17"/>
      <c r="SDL32" s="17"/>
      <c r="SDM32" s="17"/>
      <c r="SDN32" s="17"/>
      <c r="SDO32" s="17"/>
      <c r="SDP32" s="17"/>
      <c r="SDQ32" s="17"/>
      <c r="SDR32" s="17"/>
      <c r="SDS32" s="17"/>
      <c r="SDT32" s="17"/>
      <c r="SDU32" s="17"/>
      <c r="SDV32" s="17"/>
      <c r="SDW32" s="17"/>
      <c r="SDX32" s="17"/>
      <c r="SDY32" s="17"/>
      <c r="SDZ32" s="17"/>
      <c r="SEA32" s="17"/>
      <c r="SEB32" s="17"/>
      <c r="SEC32" s="17"/>
      <c r="SED32" s="17"/>
      <c r="SEE32" s="17"/>
      <c r="SEF32" s="17"/>
      <c r="SEG32" s="17"/>
      <c r="SEH32" s="17"/>
      <c r="SEI32" s="17"/>
      <c r="SEJ32" s="17"/>
      <c r="SEK32" s="17"/>
      <c r="SEL32" s="17"/>
      <c r="SEM32" s="17"/>
      <c r="SEN32" s="17"/>
      <c r="SEO32" s="17"/>
      <c r="SEP32" s="17"/>
      <c r="SEQ32" s="17"/>
      <c r="SER32" s="17"/>
      <c r="SES32" s="17"/>
      <c r="SET32" s="17"/>
      <c r="SEU32" s="17"/>
      <c r="SEV32" s="17"/>
      <c r="SEW32" s="17"/>
      <c r="SEX32" s="17"/>
      <c r="SEY32" s="17"/>
      <c r="SEZ32" s="17"/>
      <c r="SFA32" s="17"/>
      <c r="SFB32" s="17"/>
      <c r="SFC32" s="17"/>
      <c r="SFD32" s="17"/>
      <c r="SFE32" s="17"/>
      <c r="SFF32" s="17"/>
      <c r="SFG32" s="17"/>
      <c r="SFH32" s="17"/>
      <c r="SFI32" s="17"/>
      <c r="SFJ32" s="17"/>
      <c r="SFK32" s="17"/>
      <c r="SFL32" s="17"/>
      <c r="SFM32" s="17"/>
      <c r="SFN32" s="17"/>
      <c r="SFO32" s="17"/>
      <c r="SFP32" s="17"/>
      <c r="SFQ32" s="17"/>
      <c r="SFR32" s="17"/>
      <c r="SFS32" s="17"/>
      <c r="SFT32" s="17"/>
      <c r="SFU32" s="17"/>
      <c r="SFV32" s="17"/>
      <c r="SFW32" s="17"/>
      <c r="SFX32" s="17"/>
      <c r="SFY32" s="17"/>
      <c r="SFZ32" s="17"/>
      <c r="SGA32" s="17"/>
      <c r="SGB32" s="17"/>
      <c r="SGC32" s="17"/>
      <c r="SGD32" s="17"/>
      <c r="SGE32" s="17"/>
      <c r="SGF32" s="17"/>
      <c r="SGG32" s="17"/>
      <c r="SGH32" s="17"/>
      <c r="SGI32" s="17"/>
      <c r="SGJ32" s="17"/>
      <c r="SGK32" s="17"/>
      <c r="SGL32" s="17"/>
      <c r="SGM32" s="17"/>
      <c r="SGN32" s="17"/>
      <c r="SGO32" s="17"/>
      <c r="SGP32" s="17"/>
      <c r="SGQ32" s="17"/>
      <c r="SGR32" s="17"/>
      <c r="SGS32" s="17"/>
      <c r="SGT32" s="17"/>
      <c r="SGU32" s="17"/>
      <c r="SGV32" s="17"/>
      <c r="SGW32" s="17"/>
      <c r="SGX32" s="17"/>
      <c r="SGY32" s="17"/>
      <c r="SGZ32" s="17"/>
      <c r="SHA32" s="17"/>
      <c r="SHB32" s="17"/>
      <c r="SHC32" s="17"/>
      <c r="SHD32" s="17"/>
      <c r="SHE32" s="17"/>
      <c r="SHF32" s="17"/>
      <c r="SHG32" s="17"/>
      <c r="SHH32" s="17"/>
      <c r="SHI32" s="17"/>
      <c r="SHJ32" s="17"/>
      <c r="SHK32" s="17"/>
      <c r="SHL32" s="17"/>
      <c r="SHM32" s="17"/>
      <c r="SHN32" s="17"/>
      <c r="SHO32" s="17"/>
      <c r="SHP32" s="17"/>
      <c r="SHQ32" s="17"/>
      <c r="SHR32" s="17"/>
      <c r="SHS32" s="17"/>
      <c r="SHT32" s="17"/>
      <c r="SHU32" s="17"/>
      <c r="SHV32" s="17"/>
      <c r="SHW32" s="17"/>
      <c r="SHX32" s="17"/>
      <c r="SHY32" s="17"/>
      <c r="SHZ32" s="17"/>
      <c r="SIA32" s="17"/>
      <c r="SIB32" s="17"/>
      <c r="SIC32" s="17"/>
      <c r="SID32" s="17"/>
      <c r="SIE32" s="17"/>
      <c r="SIF32" s="17"/>
      <c r="SIG32" s="17"/>
      <c r="SIH32" s="17"/>
      <c r="SII32" s="17"/>
      <c r="SIJ32" s="17"/>
      <c r="SIK32" s="17"/>
      <c r="SIL32" s="17"/>
      <c r="SIM32" s="17"/>
      <c r="SIN32" s="17"/>
      <c r="SIO32" s="17"/>
      <c r="SIP32" s="17"/>
      <c r="SIQ32" s="17"/>
      <c r="SIR32" s="17"/>
      <c r="SIS32" s="17"/>
      <c r="SIT32" s="17"/>
      <c r="SIU32" s="17"/>
      <c r="SIV32" s="17"/>
      <c r="SIW32" s="17"/>
      <c r="SIX32" s="17"/>
      <c r="SIY32" s="17"/>
      <c r="SIZ32" s="17"/>
      <c r="SJA32" s="17"/>
      <c r="SJB32" s="17"/>
      <c r="SJC32" s="17"/>
      <c r="SJD32" s="17"/>
      <c r="SJE32" s="17"/>
      <c r="SJF32" s="17"/>
      <c r="SJG32" s="17"/>
      <c r="SJH32" s="17"/>
      <c r="SJI32" s="17"/>
      <c r="SJJ32" s="17"/>
      <c r="SJK32" s="17"/>
      <c r="SJL32" s="17"/>
      <c r="SJM32" s="17"/>
      <c r="SJN32" s="17"/>
      <c r="SJO32" s="17"/>
      <c r="SJP32" s="17"/>
      <c r="SJQ32" s="17"/>
      <c r="SJR32" s="17"/>
      <c r="SJS32" s="17"/>
      <c r="SJT32" s="17"/>
      <c r="SJU32" s="17"/>
      <c r="SJV32" s="17"/>
      <c r="SJW32" s="17"/>
      <c r="SJX32" s="17"/>
      <c r="SJY32" s="17"/>
      <c r="SJZ32" s="17"/>
      <c r="SKA32" s="17"/>
      <c r="SKB32" s="17"/>
      <c r="SKC32" s="17"/>
      <c r="SKD32" s="17"/>
      <c r="SKE32" s="17"/>
      <c r="SKF32" s="17"/>
      <c r="SKG32" s="17"/>
      <c r="SKH32" s="17"/>
      <c r="SKI32" s="17"/>
      <c r="SKJ32" s="17"/>
      <c r="SKK32" s="17"/>
      <c r="SKL32" s="17"/>
      <c r="SKM32" s="17"/>
      <c r="SKN32" s="17"/>
      <c r="SKO32" s="17"/>
      <c r="SKP32" s="17"/>
      <c r="SKQ32" s="17"/>
      <c r="SKR32" s="17"/>
      <c r="SKS32" s="17"/>
      <c r="SKT32" s="17"/>
      <c r="SKU32" s="17"/>
      <c r="SKV32" s="17"/>
      <c r="SKW32" s="17"/>
      <c r="SKX32" s="17"/>
      <c r="SKY32" s="17"/>
      <c r="SKZ32" s="17"/>
      <c r="SLA32" s="17"/>
      <c r="SLB32" s="17"/>
      <c r="SLC32" s="17"/>
      <c r="SLD32" s="17"/>
      <c r="SLE32" s="17"/>
      <c r="SLF32" s="17"/>
      <c r="SLG32" s="17"/>
      <c r="SLH32" s="17"/>
      <c r="SLI32" s="17"/>
      <c r="SLJ32" s="17"/>
      <c r="SLK32" s="17"/>
      <c r="SLL32" s="17"/>
      <c r="SLM32" s="17"/>
      <c r="SLN32" s="17"/>
      <c r="SLO32" s="17"/>
      <c r="SLP32" s="17"/>
      <c r="SLQ32" s="17"/>
      <c r="SLR32" s="17"/>
      <c r="SLS32" s="17"/>
      <c r="SLT32" s="17"/>
      <c r="SLU32" s="17"/>
      <c r="SLV32" s="17"/>
      <c r="SLW32" s="17"/>
      <c r="SLX32" s="17"/>
      <c r="SLY32" s="17"/>
      <c r="SLZ32" s="17"/>
      <c r="SMA32" s="17"/>
      <c r="SMB32" s="17"/>
      <c r="SMC32" s="17"/>
      <c r="SMD32" s="17"/>
      <c r="SME32" s="17"/>
      <c r="SMF32" s="17"/>
      <c r="SMG32" s="17"/>
      <c r="SMH32" s="17"/>
      <c r="SMI32" s="17"/>
      <c r="SMJ32" s="17"/>
      <c r="SMK32" s="17"/>
      <c r="SML32" s="17"/>
      <c r="SMM32" s="17"/>
      <c r="SMN32" s="17"/>
      <c r="SMO32" s="17"/>
      <c r="SMP32" s="17"/>
      <c r="SMQ32" s="17"/>
      <c r="SMR32" s="17"/>
      <c r="SMS32" s="17"/>
      <c r="SMT32" s="17"/>
      <c r="SMU32" s="17"/>
      <c r="SMV32" s="17"/>
      <c r="SMW32" s="17"/>
      <c r="SMX32" s="17"/>
      <c r="SMY32" s="17"/>
      <c r="SMZ32" s="17"/>
      <c r="SNA32" s="17"/>
      <c r="SNB32" s="17"/>
      <c r="SNC32" s="17"/>
      <c r="SND32" s="17"/>
      <c r="SNE32" s="17"/>
      <c r="SNF32" s="17"/>
      <c r="SNG32" s="17"/>
      <c r="SNH32" s="17"/>
      <c r="SNI32" s="17"/>
      <c r="SNJ32" s="17"/>
      <c r="SNK32" s="17"/>
      <c r="SNL32" s="17"/>
      <c r="SNM32" s="17"/>
      <c r="SNN32" s="17"/>
      <c r="SNO32" s="17"/>
      <c r="SNP32" s="17"/>
      <c r="SNQ32" s="17"/>
      <c r="SNR32" s="17"/>
      <c r="SNS32" s="17"/>
      <c r="SNT32" s="17"/>
      <c r="SNU32" s="17"/>
      <c r="SNV32" s="17"/>
      <c r="SNW32" s="17"/>
      <c r="SNX32" s="17"/>
      <c r="SNY32" s="17"/>
      <c r="SNZ32" s="17"/>
      <c r="SOA32" s="17"/>
      <c r="SOB32" s="17"/>
      <c r="SOC32" s="17"/>
      <c r="SOD32" s="17"/>
      <c r="SOE32" s="17"/>
      <c r="SOF32" s="17"/>
      <c r="SOG32" s="17"/>
      <c r="SOH32" s="17"/>
      <c r="SOI32" s="17"/>
      <c r="SOJ32" s="17"/>
      <c r="SOK32" s="17"/>
      <c r="SOL32" s="17"/>
      <c r="SOM32" s="17"/>
      <c r="SON32" s="17"/>
      <c r="SOO32" s="17"/>
      <c r="SOP32" s="17"/>
      <c r="SOQ32" s="17"/>
      <c r="SOR32" s="17"/>
      <c r="SOS32" s="17"/>
      <c r="SOT32" s="17"/>
      <c r="SOU32" s="17"/>
      <c r="SOV32" s="17"/>
      <c r="SOW32" s="17"/>
      <c r="SOX32" s="17"/>
      <c r="SOY32" s="17"/>
      <c r="SOZ32" s="17"/>
      <c r="SPA32" s="17"/>
      <c r="SPB32" s="17"/>
      <c r="SPC32" s="17"/>
      <c r="SPD32" s="17"/>
      <c r="SPE32" s="17"/>
      <c r="SPF32" s="17"/>
      <c r="SPG32" s="17"/>
      <c r="SPH32" s="17"/>
      <c r="SPI32" s="17"/>
      <c r="SPJ32" s="17"/>
      <c r="SPK32" s="17"/>
      <c r="SPL32" s="17"/>
      <c r="SPM32" s="17"/>
      <c r="SPN32" s="17"/>
      <c r="SPO32" s="17"/>
      <c r="SPP32" s="17"/>
      <c r="SPQ32" s="17"/>
      <c r="SPR32" s="17"/>
      <c r="SPS32" s="17"/>
      <c r="SPT32" s="17"/>
      <c r="SPU32" s="17"/>
      <c r="SPV32" s="17"/>
      <c r="SPW32" s="17"/>
      <c r="SPX32" s="17"/>
      <c r="SPY32" s="17"/>
      <c r="SPZ32" s="17"/>
      <c r="SQA32" s="17"/>
      <c r="SQB32" s="17"/>
      <c r="SQC32" s="17"/>
      <c r="SQD32" s="17"/>
      <c r="SQE32" s="17"/>
      <c r="SQF32" s="17"/>
      <c r="SQG32" s="17"/>
      <c r="SQH32" s="17"/>
      <c r="SQI32" s="17"/>
      <c r="SQJ32" s="17"/>
      <c r="SQK32" s="17"/>
      <c r="SQL32" s="17"/>
      <c r="SQM32" s="17"/>
      <c r="SQN32" s="17"/>
      <c r="SQO32" s="17"/>
      <c r="SQP32" s="17"/>
      <c r="SQQ32" s="17"/>
      <c r="SQR32" s="17"/>
      <c r="SQS32" s="17"/>
      <c r="SQT32" s="17"/>
      <c r="SQU32" s="17"/>
      <c r="SQV32" s="17"/>
      <c r="SQW32" s="17"/>
      <c r="SQX32" s="17"/>
      <c r="SQY32" s="17"/>
      <c r="SQZ32" s="17"/>
      <c r="SRA32" s="17"/>
      <c r="SRB32" s="17"/>
      <c r="SRC32" s="17"/>
      <c r="SRD32" s="17"/>
      <c r="SRE32" s="17"/>
      <c r="SRF32" s="17"/>
      <c r="SRG32" s="17"/>
      <c r="SRH32" s="17"/>
      <c r="SRI32" s="17"/>
      <c r="SRJ32" s="17"/>
      <c r="SRK32" s="17"/>
      <c r="SRL32" s="17"/>
      <c r="SRM32" s="17"/>
      <c r="SRN32" s="17"/>
      <c r="SRO32" s="17"/>
      <c r="SRP32" s="17"/>
      <c r="SRQ32" s="17"/>
      <c r="SRR32" s="17"/>
      <c r="SRS32" s="17"/>
      <c r="SRT32" s="17"/>
      <c r="SRU32" s="17"/>
      <c r="SRV32" s="17"/>
      <c r="SRW32" s="17"/>
      <c r="SRX32" s="17"/>
      <c r="SRY32" s="17"/>
      <c r="SRZ32" s="17"/>
      <c r="SSA32" s="17"/>
      <c r="SSB32" s="17"/>
      <c r="SSC32" s="17"/>
      <c r="SSD32" s="17"/>
      <c r="SSE32" s="17"/>
      <c r="SSF32" s="17"/>
      <c r="SSG32" s="17"/>
      <c r="SSH32" s="17"/>
      <c r="SSI32" s="17"/>
      <c r="SSJ32" s="17"/>
      <c r="SSK32" s="17"/>
      <c r="SSL32" s="17"/>
      <c r="SSM32" s="17"/>
      <c r="SSN32" s="17"/>
      <c r="SSO32" s="17"/>
      <c r="SSP32" s="17"/>
      <c r="SSQ32" s="17"/>
      <c r="SSR32" s="17"/>
      <c r="SSS32" s="17"/>
      <c r="SST32" s="17"/>
      <c r="SSU32" s="17"/>
      <c r="SSV32" s="17"/>
      <c r="SSW32" s="17"/>
      <c r="SSX32" s="17"/>
      <c r="SSY32" s="17"/>
      <c r="SSZ32" s="17"/>
      <c r="STA32" s="17"/>
      <c r="STB32" s="17"/>
      <c r="STC32" s="17"/>
      <c r="STD32" s="17"/>
      <c r="STE32" s="17"/>
      <c r="STF32" s="17"/>
      <c r="STG32" s="17"/>
      <c r="STH32" s="17"/>
      <c r="STI32" s="17"/>
      <c r="STJ32" s="17"/>
      <c r="STK32" s="17"/>
      <c r="STL32" s="17"/>
      <c r="STM32" s="17"/>
      <c r="STN32" s="17"/>
      <c r="STO32" s="17"/>
      <c r="STP32" s="17"/>
      <c r="STQ32" s="17"/>
      <c r="STR32" s="17"/>
      <c r="STS32" s="17"/>
      <c r="STT32" s="17"/>
      <c r="STU32" s="17"/>
      <c r="STV32" s="17"/>
      <c r="STW32" s="17"/>
      <c r="STX32" s="17"/>
      <c r="STY32" s="17"/>
      <c r="STZ32" s="17"/>
      <c r="SUA32" s="17"/>
      <c r="SUB32" s="17"/>
      <c r="SUC32" s="17"/>
      <c r="SUD32" s="17"/>
      <c r="SUE32" s="17"/>
      <c r="SUF32" s="17"/>
      <c r="SUG32" s="17"/>
      <c r="SUH32" s="17"/>
      <c r="SUI32" s="17"/>
      <c r="SUJ32" s="17"/>
      <c r="SUK32" s="17"/>
      <c r="SUL32" s="17"/>
      <c r="SUM32" s="17"/>
      <c r="SUN32" s="17"/>
      <c r="SUO32" s="17"/>
      <c r="SUP32" s="17"/>
      <c r="SUQ32" s="17"/>
      <c r="SUR32" s="17"/>
      <c r="SUS32" s="17"/>
      <c r="SUT32" s="17"/>
      <c r="SUU32" s="17"/>
      <c r="SUV32" s="17"/>
      <c r="SUW32" s="17"/>
      <c r="SUX32" s="17"/>
      <c r="SUY32" s="17"/>
      <c r="SUZ32" s="17"/>
      <c r="SVA32" s="17"/>
      <c r="SVB32" s="17"/>
      <c r="SVC32" s="17"/>
      <c r="SVD32" s="17"/>
      <c r="SVE32" s="17"/>
      <c r="SVF32" s="17"/>
      <c r="SVG32" s="17"/>
      <c r="SVH32" s="17"/>
      <c r="SVI32" s="17"/>
      <c r="SVJ32" s="17"/>
      <c r="SVK32" s="17"/>
      <c r="SVL32" s="17"/>
      <c r="SVM32" s="17"/>
      <c r="SVN32" s="17"/>
      <c r="SVO32" s="17"/>
      <c r="SVP32" s="17"/>
      <c r="SVQ32" s="17"/>
      <c r="SVR32" s="17"/>
      <c r="SVS32" s="17"/>
      <c r="SVT32" s="17"/>
      <c r="SVU32" s="17"/>
      <c r="SVV32" s="17"/>
      <c r="SVW32" s="17"/>
      <c r="SVX32" s="17"/>
      <c r="SVY32" s="17"/>
      <c r="SVZ32" s="17"/>
      <c r="SWA32" s="17"/>
      <c r="SWB32" s="17"/>
      <c r="SWC32" s="17"/>
      <c r="SWD32" s="17"/>
      <c r="SWE32" s="17"/>
      <c r="SWF32" s="17"/>
      <c r="SWG32" s="17"/>
      <c r="SWH32" s="17"/>
      <c r="SWI32" s="17"/>
      <c r="SWJ32" s="17"/>
      <c r="SWK32" s="17"/>
      <c r="SWL32" s="17"/>
      <c r="SWM32" s="17"/>
      <c r="SWN32" s="17"/>
      <c r="SWO32" s="17"/>
      <c r="SWP32" s="17"/>
      <c r="SWQ32" s="17"/>
      <c r="SWR32" s="17"/>
      <c r="SWS32" s="17"/>
      <c r="SWT32" s="17"/>
      <c r="SWU32" s="17"/>
      <c r="SWV32" s="17"/>
      <c r="SWW32" s="17"/>
      <c r="SWX32" s="17"/>
      <c r="SWY32" s="17"/>
      <c r="SWZ32" s="17"/>
      <c r="SXA32" s="17"/>
      <c r="SXB32" s="17"/>
      <c r="SXC32" s="17"/>
      <c r="SXD32" s="17"/>
      <c r="SXE32" s="17"/>
      <c r="SXF32" s="17"/>
      <c r="SXG32" s="17"/>
      <c r="SXH32" s="17"/>
      <c r="SXI32" s="17"/>
      <c r="SXJ32" s="17"/>
      <c r="SXK32" s="17"/>
      <c r="SXL32" s="17"/>
      <c r="SXM32" s="17"/>
      <c r="SXN32" s="17"/>
      <c r="SXO32" s="17"/>
      <c r="SXP32" s="17"/>
      <c r="SXQ32" s="17"/>
      <c r="SXR32" s="17"/>
      <c r="SXS32" s="17"/>
      <c r="SXT32" s="17"/>
      <c r="SXU32" s="17"/>
      <c r="SXV32" s="17"/>
      <c r="SXW32" s="17"/>
      <c r="SXX32" s="17"/>
      <c r="SXY32" s="17"/>
      <c r="SXZ32" s="17"/>
      <c r="SYA32" s="17"/>
      <c r="SYB32" s="17"/>
      <c r="SYC32" s="17"/>
      <c r="SYD32" s="17"/>
      <c r="SYE32" s="17"/>
      <c r="SYF32" s="17"/>
      <c r="SYG32" s="17"/>
      <c r="SYH32" s="17"/>
      <c r="SYI32" s="17"/>
      <c r="SYJ32" s="17"/>
      <c r="SYK32" s="17"/>
      <c r="SYL32" s="17"/>
      <c r="SYM32" s="17"/>
      <c r="SYN32" s="17"/>
      <c r="SYO32" s="17"/>
      <c r="SYP32" s="17"/>
      <c r="SYQ32" s="17"/>
      <c r="SYR32" s="17"/>
      <c r="SYS32" s="17"/>
      <c r="SYT32" s="17"/>
      <c r="SYU32" s="17"/>
      <c r="SYV32" s="17"/>
      <c r="SYW32" s="17"/>
      <c r="SYX32" s="17"/>
      <c r="SYY32" s="17"/>
      <c r="SYZ32" s="17"/>
      <c r="SZA32" s="17"/>
      <c r="SZB32" s="17"/>
      <c r="SZC32" s="17"/>
      <c r="SZD32" s="17"/>
      <c r="SZE32" s="17"/>
      <c r="SZF32" s="17"/>
      <c r="SZG32" s="17"/>
      <c r="SZH32" s="17"/>
      <c r="SZI32" s="17"/>
      <c r="SZJ32" s="17"/>
      <c r="SZK32" s="17"/>
      <c r="SZL32" s="17"/>
      <c r="SZM32" s="17"/>
      <c r="SZN32" s="17"/>
      <c r="SZO32" s="17"/>
      <c r="SZP32" s="17"/>
      <c r="SZQ32" s="17"/>
      <c r="SZR32" s="17"/>
      <c r="SZS32" s="17"/>
      <c r="SZT32" s="17"/>
      <c r="SZU32" s="17"/>
      <c r="SZV32" s="17"/>
      <c r="SZW32" s="17"/>
      <c r="SZX32" s="17"/>
      <c r="SZY32" s="17"/>
      <c r="SZZ32" s="17"/>
      <c r="TAA32" s="17"/>
      <c r="TAB32" s="17"/>
      <c r="TAC32" s="17"/>
      <c r="TAD32" s="17"/>
      <c r="TAE32" s="17"/>
      <c r="TAF32" s="17"/>
      <c r="TAG32" s="17"/>
      <c r="TAH32" s="17"/>
      <c r="TAI32" s="17"/>
      <c r="TAJ32" s="17"/>
      <c r="TAK32" s="17"/>
      <c r="TAL32" s="17"/>
      <c r="TAM32" s="17"/>
      <c r="TAN32" s="17"/>
      <c r="TAO32" s="17"/>
      <c r="TAP32" s="17"/>
      <c r="TAQ32" s="17"/>
      <c r="TAR32" s="17"/>
      <c r="TAS32" s="17"/>
      <c r="TAT32" s="17"/>
      <c r="TAU32" s="17"/>
      <c r="TAV32" s="17"/>
      <c r="TAW32" s="17"/>
      <c r="TAX32" s="17"/>
      <c r="TAY32" s="17"/>
      <c r="TAZ32" s="17"/>
      <c r="TBA32" s="17"/>
      <c r="TBB32" s="17"/>
      <c r="TBC32" s="17"/>
      <c r="TBD32" s="17"/>
      <c r="TBE32" s="17"/>
      <c r="TBF32" s="17"/>
      <c r="TBG32" s="17"/>
      <c r="TBH32" s="17"/>
      <c r="TBI32" s="17"/>
      <c r="TBJ32" s="17"/>
      <c r="TBK32" s="17"/>
      <c r="TBL32" s="17"/>
      <c r="TBM32" s="17"/>
      <c r="TBN32" s="17"/>
      <c r="TBO32" s="17"/>
      <c r="TBP32" s="17"/>
      <c r="TBQ32" s="17"/>
      <c r="TBR32" s="17"/>
      <c r="TBS32" s="17"/>
      <c r="TBT32" s="17"/>
      <c r="TBU32" s="17"/>
      <c r="TBV32" s="17"/>
      <c r="TBW32" s="17"/>
      <c r="TBX32" s="17"/>
      <c r="TBY32" s="17"/>
      <c r="TBZ32" s="17"/>
      <c r="TCA32" s="17"/>
      <c r="TCB32" s="17"/>
      <c r="TCC32" s="17"/>
      <c r="TCD32" s="17"/>
      <c r="TCE32" s="17"/>
      <c r="TCF32" s="17"/>
      <c r="TCG32" s="17"/>
      <c r="TCH32" s="17"/>
      <c r="TCI32" s="17"/>
      <c r="TCJ32" s="17"/>
      <c r="TCK32" s="17"/>
      <c r="TCL32" s="17"/>
      <c r="TCM32" s="17"/>
      <c r="TCN32" s="17"/>
      <c r="TCO32" s="17"/>
      <c r="TCP32" s="17"/>
      <c r="TCQ32" s="17"/>
      <c r="TCR32" s="17"/>
      <c r="TCS32" s="17"/>
      <c r="TCT32" s="17"/>
      <c r="TCU32" s="17"/>
      <c r="TCV32" s="17"/>
      <c r="TCW32" s="17"/>
      <c r="TCX32" s="17"/>
      <c r="TCY32" s="17"/>
      <c r="TCZ32" s="17"/>
      <c r="TDA32" s="17"/>
      <c r="TDB32" s="17"/>
      <c r="TDC32" s="17"/>
      <c r="TDD32" s="17"/>
      <c r="TDE32" s="17"/>
      <c r="TDF32" s="17"/>
      <c r="TDG32" s="17"/>
      <c r="TDH32" s="17"/>
      <c r="TDI32" s="17"/>
      <c r="TDJ32" s="17"/>
      <c r="TDK32" s="17"/>
      <c r="TDL32" s="17"/>
      <c r="TDM32" s="17"/>
      <c r="TDN32" s="17"/>
      <c r="TDO32" s="17"/>
      <c r="TDP32" s="17"/>
      <c r="TDQ32" s="17"/>
      <c r="TDR32" s="17"/>
      <c r="TDS32" s="17"/>
      <c r="TDT32" s="17"/>
      <c r="TDU32" s="17"/>
      <c r="TDV32" s="17"/>
      <c r="TDW32" s="17"/>
      <c r="TDX32" s="17"/>
      <c r="TDY32" s="17"/>
      <c r="TDZ32" s="17"/>
      <c r="TEA32" s="17"/>
      <c r="TEB32" s="17"/>
      <c r="TEC32" s="17"/>
      <c r="TED32" s="17"/>
      <c r="TEE32" s="17"/>
      <c r="TEF32" s="17"/>
      <c r="TEG32" s="17"/>
      <c r="TEH32" s="17"/>
      <c r="TEI32" s="17"/>
      <c r="TEJ32" s="17"/>
      <c r="TEK32" s="17"/>
      <c r="TEL32" s="17"/>
      <c r="TEM32" s="17"/>
      <c r="TEN32" s="17"/>
      <c r="TEO32" s="17"/>
      <c r="TEP32" s="17"/>
      <c r="TEQ32" s="17"/>
      <c r="TER32" s="17"/>
      <c r="TES32" s="17"/>
      <c r="TET32" s="17"/>
      <c r="TEU32" s="17"/>
      <c r="TEV32" s="17"/>
      <c r="TEW32" s="17"/>
      <c r="TEX32" s="17"/>
      <c r="TEY32" s="17"/>
      <c r="TEZ32" s="17"/>
      <c r="TFA32" s="17"/>
      <c r="TFB32" s="17"/>
      <c r="TFC32" s="17"/>
      <c r="TFD32" s="17"/>
      <c r="TFE32" s="17"/>
      <c r="TFF32" s="17"/>
      <c r="TFG32" s="17"/>
      <c r="TFH32" s="17"/>
      <c r="TFI32" s="17"/>
      <c r="TFJ32" s="17"/>
      <c r="TFK32" s="17"/>
      <c r="TFL32" s="17"/>
      <c r="TFM32" s="17"/>
      <c r="TFN32" s="17"/>
      <c r="TFO32" s="17"/>
      <c r="TFP32" s="17"/>
      <c r="TFQ32" s="17"/>
      <c r="TFR32" s="17"/>
      <c r="TFS32" s="17"/>
      <c r="TFT32" s="17"/>
      <c r="TFU32" s="17"/>
      <c r="TFV32" s="17"/>
      <c r="TFW32" s="17"/>
      <c r="TFX32" s="17"/>
      <c r="TFY32" s="17"/>
      <c r="TFZ32" s="17"/>
      <c r="TGA32" s="17"/>
      <c r="TGB32" s="17"/>
      <c r="TGC32" s="17"/>
      <c r="TGD32" s="17"/>
      <c r="TGE32" s="17"/>
      <c r="TGF32" s="17"/>
      <c r="TGG32" s="17"/>
      <c r="TGH32" s="17"/>
      <c r="TGI32" s="17"/>
      <c r="TGJ32" s="17"/>
      <c r="TGK32" s="17"/>
      <c r="TGL32" s="17"/>
      <c r="TGM32" s="17"/>
      <c r="TGN32" s="17"/>
      <c r="TGO32" s="17"/>
      <c r="TGP32" s="17"/>
      <c r="TGQ32" s="17"/>
      <c r="TGR32" s="17"/>
      <c r="TGS32" s="17"/>
      <c r="TGT32" s="17"/>
      <c r="TGU32" s="17"/>
      <c r="TGV32" s="17"/>
      <c r="TGW32" s="17"/>
      <c r="TGX32" s="17"/>
      <c r="TGY32" s="17"/>
      <c r="TGZ32" s="17"/>
      <c r="THA32" s="17"/>
      <c r="THB32" s="17"/>
      <c r="THC32" s="17"/>
      <c r="THD32" s="17"/>
      <c r="THE32" s="17"/>
      <c r="THF32" s="17"/>
      <c r="THG32" s="17"/>
      <c r="THH32" s="17"/>
      <c r="THI32" s="17"/>
      <c r="THJ32" s="17"/>
      <c r="THK32" s="17"/>
      <c r="THL32" s="17"/>
      <c r="THM32" s="17"/>
      <c r="THN32" s="17"/>
      <c r="THO32" s="17"/>
      <c r="THP32" s="17"/>
      <c r="THQ32" s="17"/>
      <c r="THR32" s="17"/>
      <c r="THS32" s="17"/>
      <c r="THT32" s="17"/>
      <c r="THU32" s="17"/>
      <c r="THV32" s="17"/>
      <c r="THW32" s="17"/>
      <c r="THX32" s="17"/>
      <c r="THY32" s="17"/>
      <c r="THZ32" s="17"/>
      <c r="TIA32" s="17"/>
      <c r="TIB32" s="17"/>
      <c r="TIC32" s="17"/>
      <c r="TID32" s="17"/>
      <c r="TIE32" s="17"/>
      <c r="TIF32" s="17"/>
      <c r="TIG32" s="17"/>
      <c r="TIH32" s="17"/>
      <c r="TII32" s="17"/>
      <c r="TIJ32" s="17"/>
      <c r="TIK32" s="17"/>
      <c r="TIL32" s="17"/>
      <c r="TIM32" s="17"/>
      <c r="TIN32" s="17"/>
      <c r="TIO32" s="17"/>
      <c r="TIP32" s="17"/>
      <c r="TIQ32" s="17"/>
      <c r="TIR32" s="17"/>
      <c r="TIS32" s="17"/>
      <c r="TIT32" s="17"/>
      <c r="TIU32" s="17"/>
      <c r="TIV32" s="17"/>
      <c r="TIW32" s="17"/>
      <c r="TIX32" s="17"/>
      <c r="TIY32" s="17"/>
      <c r="TIZ32" s="17"/>
      <c r="TJA32" s="17"/>
      <c r="TJB32" s="17"/>
      <c r="TJC32" s="17"/>
      <c r="TJD32" s="17"/>
      <c r="TJE32" s="17"/>
      <c r="TJF32" s="17"/>
      <c r="TJG32" s="17"/>
      <c r="TJH32" s="17"/>
      <c r="TJI32" s="17"/>
      <c r="TJJ32" s="17"/>
      <c r="TJK32" s="17"/>
      <c r="TJL32" s="17"/>
      <c r="TJM32" s="17"/>
      <c r="TJN32" s="17"/>
      <c r="TJO32" s="17"/>
      <c r="TJP32" s="17"/>
      <c r="TJQ32" s="17"/>
      <c r="TJR32" s="17"/>
      <c r="TJS32" s="17"/>
      <c r="TJT32" s="17"/>
      <c r="TJU32" s="17"/>
      <c r="TJV32" s="17"/>
      <c r="TJW32" s="17"/>
      <c r="TJX32" s="17"/>
      <c r="TJY32" s="17"/>
      <c r="TJZ32" s="17"/>
      <c r="TKA32" s="17"/>
      <c r="TKB32" s="17"/>
      <c r="TKC32" s="17"/>
      <c r="TKD32" s="17"/>
      <c r="TKE32" s="17"/>
      <c r="TKF32" s="17"/>
      <c r="TKG32" s="17"/>
      <c r="TKH32" s="17"/>
      <c r="TKI32" s="17"/>
      <c r="TKJ32" s="17"/>
      <c r="TKK32" s="17"/>
      <c r="TKL32" s="17"/>
      <c r="TKM32" s="17"/>
      <c r="TKN32" s="17"/>
      <c r="TKO32" s="17"/>
      <c r="TKP32" s="17"/>
      <c r="TKQ32" s="17"/>
      <c r="TKR32" s="17"/>
      <c r="TKS32" s="17"/>
      <c r="TKT32" s="17"/>
      <c r="TKU32" s="17"/>
      <c r="TKV32" s="17"/>
      <c r="TKW32" s="17"/>
      <c r="TKX32" s="17"/>
      <c r="TKY32" s="17"/>
      <c r="TKZ32" s="17"/>
      <c r="TLA32" s="17"/>
      <c r="TLB32" s="17"/>
      <c r="TLC32" s="17"/>
      <c r="TLD32" s="17"/>
      <c r="TLE32" s="17"/>
      <c r="TLF32" s="17"/>
      <c r="TLG32" s="17"/>
      <c r="TLH32" s="17"/>
      <c r="TLI32" s="17"/>
      <c r="TLJ32" s="17"/>
      <c r="TLK32" s="17"/>
      <c r="TLL32" s="17"/>
      <c r="TLM32" s="17"/>
      <c r="TLN32" s="17"/>
      <c r="TLO32" s="17"/>
      <c r="TLP32" s="17"/>
      <c r="TLQ32" s="17"/>
      <c r="TLR32" s="17"/>
      <c r="TLS32" s="17"/>
      <c r="TLT32" s="17"/>
      <c r="TLU32" s="17"/>
      <c r="TLV32" s="17"/>
      <c r="TLW32" s="17"/>
      <c r="TLX32" s="17"/>
      <c r="TLY32" s="17"/>
      <c r="TLZ32" s="17"/>
      <c r="TMA32" s="17"/>
      <c r="TMB32" s="17"/>
      <c r="TMC32" s="17"/>
      <c r="TMD32" s="17"/>
      <c r="TME32" s="17"/>
      <c r="TMF32" s="17"/>
      <c r="TMG32" s="17"/>
      <c r="TMH32" s="17"/>
      <c r="TMI32" s="17"/>
      <c r="TMJ32" s="17"/>
      <c r="TMK32" s="17"/>
      <c r="TML32" s="17"/>
      <c r="TMM32" s="17"/>
      <c r="TMN32" s="17"/>
      <c r="TMO32" s="17"/>
      <c r="TMP32" s="17"/>
      <c r="TMQ32" s="17"/>
      <c r="TMR32" s="17"/>
      <c r="TMS32" s="17"/>
      <c r="TMT32" s="17"/>
      <c r="TMU32" s="17"/>
      <c r="TMV32" s="17"/>
      <c r="TMW32" s="17"/>
      <c r="TMX32" s="17"/>
      <c r="TMY32" s="17"/>
      <c r="TMZ32" s="17"/>
      <c r="TNA32" s="17"/>
      <c r="TNB32" s="17"/>
      <c r="TNC32" s="17"/>
      <c r="TND32" s="17"/>
      <c r="TNE32" s="17"/>
      <c r="TNF32" s="17"/>
      <c r="TNG32" s="17"/>
      <c r="TNH32" s="17"/>
      <c r="TNI32" s="17"/>
      <c r="TNJ32" s="17"/>
      <c r="TNK32" s="17"/>
      <c r="TNL32" s="17"/>
      <c r="TNM32" s="17"/>
      <c r="TNN32" s="17"/>
      <c r="TNO32" s="17"/>
      <c r="TNP32" s="17"/>
      <c r="TNQ32" s="17"/>
      <c r="TNR32" s="17"/>
      <c r="TNS32" s="17"/>
      <c r="TNT32" s="17"/>
      <c r="TNU32" s="17"/>
      <c r="TNV32" s="17"/>
      <c r="TNW32" s="17"/>
      <c r="TNX32" s="17"/>
      <c r="TNY32" s="17"/>
      <c r="TNZ32" s="17"/>
      <c r="TOA32" s="17"/>
      <c r="TOB32" s="17"/>
      <c r="TOC32" s="17"/>
      <c r="TOD32" s="17"/>
      <c r="TOE32" s="17"/>
      <c r="TOF32" s="17"/>
      <c r="TOG32" s="17"/>
      <c r="TOH32" s="17"/>
      <c r="TOI32" s="17"/>
      <c r="TOJ32" s="17"/>
      <c r="TOK32" s="17"/>
      <c r="TOL32" s="17"/>
      <c r="TOM32" s="17"/>
      <c r="TON32" s="17"/>
      <c r="TOO32" s="17"/>
      <c r="TOP32" s="17"/>
      <c r="TOQ32" s="17"/>
      <c r="TOR32" s="17"/>
      <c r="TOS32" s="17"/>
      <c r="TOT32" s="17"/>
      <c r="TOU32" s="17"/>
      <c r="TOV32" s="17"/>
      <c r="TOW32" s="17"/>
      <c r="TOX32" s="17"/>
      <c r="TOY32" s="17"/>
      <c r="TOZ32" s="17"/>
      <c r="TPA32" s="17"/>
      <c r="TPB32" s="17"/>
      <c r="TPC32" s="17"/>
      <c r="TPD32" s="17"/>
      <c r="TPE32" s="17"/>
      <c r="TPF32" s="17"/>
      <c r="TPG32" s="17"/>
      <c r="TPH32" s="17"/>
      <c r="TPI32" s="17"/>
      <c r="TPJ32" s="17"/>
      <c r="TPK32" s="17"/>
      <c r="TPL32" s="17"/>
      <c r="TPM32" s="17"/>
      <c r="TPN32" s="17"/>
      <c r="TPO32" s="17"/>
      <c r="TPP32" s="17"/>
      <c r="TPQ32" s="17"/>
      <c r="TPR32" s="17"/>
      <c r="TPS32" s="17"/>
      <c r="TPT32" s="17"/>
      <c r="TPU32" s="17"/>
      <c r="TPV32" s="17"/>
      <c r="TPW32" s="17"/>
      <c r="TPX32" s="17"/>
      <c r="TPY32" s="17"/>
      <c r="TPZ32" s="17"/>
      <c r="TQA32" s="17"/>
      <c r="TQB32" s="17"/>
      <c r="TQC32" s="17"/>
      <c r="TQD32" s="17"/>
      <c r="TQE32" s="17"/>
      <c r="TQF32" s="17"/>
      <c r="TQG32" s="17"/>
      <c r="TQH32" s="17"/>
      <c r="TQI32" s="17"/>
      <c r="TQJ32" s="17"/>
      <c r="TQK32" s="17"/>
      <c r="TQL32" s="17"/>
      <c r="TQM32" s="17"/>
      <c r="TQN32" s="17"/>
      <c r="TQO32" s="17"/>
      <c r="TQP32" s="17"/>
      <c r="TQQ32" s="17"/>
      <c r="TQR32" s="17"/>
      <c r="TQS32" s="17"/>
      <c r="TQT32" s="17"/>
      <c r="TQU32" s="17"/>
      <c r="TQV32" s="17"/>
      <c r="TQW32" s="17"/>
      <c r="TQX32" s="17"/>
      <c r="TQY32" s="17"/>
      <c r="TQZ32" s="17"/>
      <c r="TRA32" s="17"/>
      <c r="TRB32" s="17"/>
      <c r="TRC32" s="17"/>
      <c r="TRD32" s="17"/>
      <c r="TRE32" s="17"/>
      <c r="TRF32" s="17"/>
      <c r="TRG32" s="17"/>
      <c r="TRH32" s="17"/>
      <c r="TRI32" s="17"/>
      <c r="TRJ32" s="17"/>
      <c r="TRK32" s="17"/>
      <c r="TRL32" s="17"/>
      <c r="TRM32" s="17"/>
      <c r="TRN32" s="17"/>
      <c r="TRO32" s="17"/>
      <c r="TRP32" s="17"/>
      <c r="TRQ32" s="17"/>
      <c r="TRR32" s="17"/>
      <c r="TRS32" s="17"/>
      <c r="TRT32" s="17"/>
      <c r="TRU32" s="17"/>
      <c r="TRV32" s="17"/>
      <c r="TRW32" s="17"/>
      <c r="TRX32" s="17"/>
      <c r="TRY32" s="17"/>
      <c r="TRZ32" s="17"/>
      <c r="TSA32" s="17"/>
      <c r="TSB32" s="17"/>
      <c r="TSC32" s="17"/>
      <c r="TSD32" s="17"/>
      <c r="TSE32" s="17"/>
      <c r="TSF32" s="17"/>
      <c r="TSG32" s="17"/>
      <c r="TSH32" s="17"/>
      <c r="TSI32" s="17"/>
      <c r="TSJ32" s="17"/>
      <c r="TSK32" s="17"/>
      <c r="TSL32" s="17"/>
      <c r="TSM32" s="17"/>
      <c r="TSN32" s="17"/>
      <c r="TSO32" s="17"/>
      <c r="TSP32" s="17"/>
      <c r="TSQ32" s="17"/>
      <c r="TSR32" s="17"/>
      <c r="TSS32" s="17"/>
      <c r="TST32" s="17"/>
      <c r="TSU32" s="17"/>
      <c r="TSV32" s="17"/>
      <c r="TSW32" s="17"/>
      <c r="TSX32" s="17"/>
      <c r="TSY32" s="17"/>
      <c r="TSZ32" s="17"/>
      <c r="TTA32" s="17"/>
      <c r="TTB32" s="17"/>
      <c r="TTC32" s="17"/>
      <c r="TTD32" s="17"/>
      <c r="TTE32" s="17"/>
      <c r="TTF32" s="17"/>
      <c r="TTG32" s="17"/>
      <c r="TTH32" s="17"/>
      <c r="TTI32" s="17"/>
      <c r="TTJ32" s="17"/>
      <c r="TTK32" s="17"/>
      <c r="TTL32" s="17"/>
      <c r="TTM32" s="17"/>
      <c r="TTN32" s="17"/>
      <c r="TTO32" s="17"/>
      <c r="TTP32" s="17"/>
      <c r="TTQ32" s="17"/>
      <c r="TTR32" s="17"/>
      <c r="TTS32" s="17"/>
      <c r="TTT32" s="17"/>
      <c r="TTU32" s="17"/>
      <c r="TTV32" s="17"/>
      <c r="TTW32" s="17"/>
      <c r="TTX32" s="17"/>
      <c r="TTY32" s="17"/>
      <c r="TTZ32" s="17"/>
      <c r="TUA32" s="17"/>
      <c r="TUB32" s="17"/>
      <c r="TUC32" s="17"/>
      <c r="TUD32" s="17"/>
      <c r="TUE32" s="17"/>
      <c r="TUF32" s="17"/>
      <c r="TUG32" s="17"/>
      <c r="TUH32" s="17"/>
      <c r="TUI32" s="17"/>
      <c r="TUJ32" s="17"/>
      <c r="TUK32" s="17"/>
      <c r="TUL32" s="17"/>
      <c r="TUM32" s="17"/>
      <c r="TUN32" s="17"/>
      <c r="TUO32" s="17"/>
      <c r="TUP32" s="17"/>
      <c r="TUQ32" s="17"/>
      <c r="TUR32" s="17"/>
      <c r="TUS32" s="17"/>
      <c r="TUT32" s="17"/>
      <c r="TUU32" s="17"/>
      <c r="TUV32" s="17"/>
      <c r="TUW32" s="17"/>
      <c r="TUX32" s="17"/>
      <c r="TUY32" s="17"/>
      <c r="TUZ32" s="17"/>
      <c r="TVA32" s="17"/>
      <c r="TVB32" s="17"/>
      <c r="TVC32" s="17"/>
      <c r="TVD32" s="17"/>
      <c r="TVE32" s="17"/>
      <c r="TVF32" s="17"/>
      <c r="TVG32" s="17"/>
      <c r="TVH32" s="17"/>
      <c r="TVI32" s="17"/>
      <c r="TVJ32" s="17"/>
      <c r="TVK32" s="17"/>
      <c r="TVL32" s="17"/>
      <c r="TVM32" s="17"/>
      <c r="TVN32" s="17"/>
      <c r="TVO32" s="17"/>
      <c r="TVP32" s="17"/>
      <c r="TVQ32" s="17"/>
      <c r="TVR32" s="17"/>
      <c r="TVS32" s="17"/>
      <c r="TVT32" s="17"/>
      <c r="TVU32" s="17"/>
      <c r="TVV32" s="17"/>
      <c r="TVW32" s="17"/>
      <c r="TVX32" s="17"/>
      <c r="TVY32" s="17"/>
      <c r="TVZ32" s="17"/>
      <c r="TWA32" s="17"/>
      <c r="TWB32" s="17"/>
      <c r="TWC32" s="17"/>
      <c r="TWD32" s="17"/>
      <c r="TWE32" s="17"/>
      <c r="TWF32" s="17"/>
      <c r="TWG32" s="17"/>
      <c r="TWH32" s="17"/>
      <c r="TWI32" s="17"/>
      <c r="TWJ32" s="17"/>
      <c r="TWK32" s="17"/>
      <c r="TWL32" s="17"/>
      <c r="TWM32" s="17"/>
      <c r="TWN32" s="17"/>
      <c r="TWO32" s="17"/>
      <c r="TWP32" s="17"/>
      <c r="TWQ32" s="17"/>
      <c r="TWR32" s="17"/>
      <c r="TWS32" s="17"/>
      <c r="TWT32" s="17"/>
      <c r="TWU32" s="17"/>
      <c r="TWV32" s="17"/>
      <c r="TWW32" s="17"/>
      <c r="TWX32" s="17"/>
      <c r="TWY32" s="17"/>
      <c r="TWZ32" s="17"/>
      <c r="TXA32" s="17"/>
      <c r="TXB32" s="17"/>
      <c r="TXC32" s="17"/>
      <c r="TXD32" s="17"/>
      <c r="TXE32" s="17"/>
      <c r="TXF32" s="17"/>
      <c r="TXG32" s="17"/>
      <c r="TXH32" s="17"/>
      <c r="TXI32" s="17"/>
      <c r="TXJ32" s="17"/>
      <c r="TXK32" s="17"/>
      <c r="TXL32" s="17"/>
      <c r="TXM32" s="17"/>
      <c r="TXN32" s="17"/>
      <c r="TXO32" s="17"/>
      <c r="TXP32" s="17"/>
      <c r="TXQ32" s="17"/>
      <c r="TXR32" s="17"/>
      <c r="TXS32" s="17"/>
      <c r="TXT32" s="17"/>
      <c r="TXU32" s="17"/>
      <c r="TXV32" s="17"/>
      <c r="TXW32" s="17"/>
      <c r="TXX32" s="17"/>
      <c r="TXY32" s="17"/>
      <c r="TXZ32" s="17"/>
      <c r="TYA32" s="17"/>
      <c r="TYB32" s="17"/>
      <c r="TYC32" s="17"/>
      <c r="TYD32" s="17"/>
      <c r="TYE32" s="17"/>
      <c r="TYF32" s="17"/>
      <c r="TYG32" s="17"/>
      <c r="TYH32" s="17"/>
      <c r="TYI32" s="17"/>
      <c r="TYJ32" s="17"/>
      <c r="TYK32" s="17"/>
      <c r="TYL32" s="17"/>
      <c r="TYM32" s="17"/>
      <c r="TYN32" s="17"/>
      <c r="TYO32" s="17"/>
      <c r="TYP32" s="17"/>
      <c r="TYQ32" s="17"/>
      <c r="TYR32" s="17"/>
      <c r="TYS32" s="17"/>
      <c r="TYT32" s="17"/>
      <c r="TYU32" s="17"/>
      <c r="TYV32" s="17"/>
      <c r="TYW32" s="17"/>
      <c r="TYX32" s="17"/>
      <c r="TYY32" s="17"/>
      <c r="TYZ32" s="17"/>
      <c r="TZA32" s="17"/>
      <c r="TZB32" s="17"/>
      <c r="TZC32" s="17"/>
      <c r="TZD32" s="17"/>
      <c r="TZE32" s="17"/>
      <c r="TZF32" s="17"/>
      <c r="TZG32" s="17"/>
      <c r="TZH32" s="17"/>
      <c r="TZI32" s="17"/>
      <c r="TZJ32" s="17"/>
      <c r="TZK32" s="17"/>
      <c r="TZL32" s="17"/>
      <c r="TZM32" s="17"/>
      <c r="TZN32" s="17"/>
      <c r="TZO32" s="17"/>
      <c r="TZP32" s="17"/>
      <c r="TZQ32" s="17"/>
      <c r="TZR32" s="17"/>
      <c r="TZS32" s="17"/>
      <c r="TZT32" s="17"/>
      <c r="TZU32" s="17"/>
      <c r="TZV32" s="17"/>
      <c r="TZW32" s="17"/>
      <c r="TZX32" s="17"/>
      <c r="TZY32" s="17"/>
      <c r="TZZ32" s="17"/>
      <c r="UAA32" s="17"/>
      <c r="UAB32" s="17"/>
      <c r="UAC32" s="17"/>
      <c r="UAD32" s="17"/>
      <c r="UAE32" s="17"/>
      <c r="UAF32" s="17"/>
      <c r="UAG32" s="17"/>
      <c r="UAH32" s="17"/>
      <c r="UAI32" s="17"/>
      <c r="UAJ32" s="17"/>
      <c r="UAK32" s="17"/>
      <c r="UAL32" s="17"/>
      <c r="UAM32" s="17"/>
      <c r="UAN32" s="17"/>
      <c r="UAO32" s="17"/>
      <c r="UAP32" s="17"/>
      <c r="UAQ32" s="17"/>
      <c r="UAR32" s="17"/>
      <c r="UAS32" s="17"/>
      <c r="UAT32" s="17"/>
      <c r="UAU32" s="17"/>
      <c r="UAV32" s="17"/>
      <c r="UAW32" s="17"/>
      <c r="UAX32" s="17"/>
      <c r="UAY32" s="17"/>
      <c r="UAZ32" s="17"/>
      <c r="UBA32" s="17"/>
      <c r="UBB32" s="17"/>
      <c r="UBC32" s="17"/>
      <c r="UBD32" s="17"/>
      <c r="UBE32" s="17"/>
      <c r="UBF32" s="17"/>
      <c r="UBG32" s="17"/>
      <c r="UBH32" s="17"/>
      <c r="UBI32" s="17"/>
      <c r="UBJ32" s="17"/>
      <c r="UBK32" s="17"/>
      <c r="UBL32" s="17"/>
      <c r="UBM32" s="17"/>
      <c r="UBN32" s="17"/>
      <c r="UBO32" s="17"/>
      <c r="UBP32" s="17"/>
      <c r="UBQ32" s="17"/>
      <c r="UBR32" s="17"/>
      <c r="UBS32" s="17"/>
      <c r="UBT32" s="17"/>
      <c r="UBU32" s="17"/>
      <c r="UBV32" s="17"/>
      <c r="UBW32" s="17"/>
      <c r="UBX32" s="17"/>
      <c r="UBY32" s="17"/>
      <c r="UBZ32" s="17"/>
      <c r="UCA32" s="17"/>
      <c r="UCB32" s="17"/>
      <c r="UCC32" s="17"/>
      <c r="UCD32" s="17"/>
      <c r="UCE32" s="17"/>
      <c r="UCF32" s="17"/>
      <c r="UCG32" s="17"/>
      <c r="UCH32" s="17"/>
      <c r="UCI32" s="17"/>
      <c r="UCJ32" s="17"/>
      <c r="UCK32" s="17"/>
      <c r="UCL32" s="17"/>
      <c r="UCM32" s="17"/>
      <c r="UCN32" s="17"/>
      <c r="UCO32" s="17"/>
      <c r="UCP32" s="17"/>
      <c r="UCQ32" s="17"/>
      <c r="UCR32" s="17"/>
      <c r="UCS32" s="17"/>
      <c r="UCT32" s="17"/>
      <c r="UCU32" s="17"/>
      <c r="UCV32" s="17"/>
      <c r="UCW32" s="17"/>
      <c r="UCX32" s="17"/>
      <c r="UCY32" s="17"/>
      <c r="UCZ32" s="17"/>
      <c r="UDA32" s="17"/>
      <c r="UDB32" s="17"/>
      <c r="UDC32" s="17"/>
      <c r="UDD32" s="17"/>
      <c r="UDE32" s="17"/>
      <c r="UDF32" s="17"/>
      <c r="UDG32" s="17"/>
      <c r="UDH32" s="17"/>
      <c r="UDI32" s="17"/>
      <c r="UDJ32" s="17"/>
      <c r="UDK32" s="17"/>
      <c r="UDL32" s="17"/>
      <c r="UDM32" s="17"/>
      <c r="UDN32" s="17"/>
      <c r="UDO32" s="17"/>
      <c r="UDP32" s="17"/>
      <c r="UDQ32" s="17"/>
      <c r="UDR32" s="17"/>
      <c r="UDS32" s="17"/>
      <c r="UDT32" s="17"/>
      <c r="UDU32" s="17"/>
      <c r="UDV32" s="17"/>
      <c r="UDW32" s="17"/>
      <c r="UDX32" s="17"/>
      <c r="UDY32" s="17"/>
      <c r="UDZ32" s="17"/>
      <c r="UEA32" s="17"/>
      <c r="UEB32" s="17"/>
      <c r="UEC32" s="17"/>
      <c r="UED32" s="17"/>
      <c r="UEE32" s="17"/>
      <c r="UEF32" s="17"/>
      <c r="UEG32" s="17"/>
      <c r="UEH32" s="17"/>
      <c r="UEI32" s="17"/>
      <c r="UEJ32" s="17"/>
      <c r="UEK32" s="17"/>
      <c r="UEL32" s="17"/>
      <c r="UEM32" s="17"/>
      <c r="UEN32" s="17"/>
      <c r="UEO32" s="17"/>
      <c r="UEP32" s="17"/>
      <c r="UEQ32" s="17"/>
      <c r="UER32" s="17"/>
      <c r="UES32" s="17"/>
      <c r="UET32" s="17"/>
      <c r="UEU32" s="17"/>
      <c r="UEV32" s="17"/>
      <c r="UEW32" s="17"/>
      <c r="UEX32" s="17"/>
      <c r="UEY32" s="17"/>
      <c r="UEZ32" s="17"/>
      <c r="UFA32" s="17"/>
      <c r="UFB32" s="17"/>
      <c r="UFC32" s="17"/>
      <c r="UFD32" s="17"/>
      <c r="UFE32" s="17"/>
      <c r="UFF32" s="17"/>
      <c r="UFG32" s="17"/>
      <c r="UFH32" s="17"/>
      <c r="UFI32" s="17"/>
      <c r="UFJ32" s="17"/>
      <c r="UFK32" s="17"/>
      <c r="UFL32" s="17"/>
      <c r="UFM32" s="17"/>
      <c r="UFN32" s="17"/>
      <c r="UFO32" s="17"/>
      <c r="UFP32" s="17"/>
      <c r="UFQ32" s="17"/>
      <c r="UFR32" s="17"/>
      <c r="UFS32" s="17"/>
      <c r="UFT32" s="17"/>
      <c r="UFU32" s="17"/>
      <c r="UFV32" s="17"/>
      <c r="UFW32" s="17"/>
      <c r="UFX32" s="17"/>
      <c r="UFY32" s="17"/>
      <c r="UFZ32" s="17"/>
      <c r="UGA32" s="17"/>
      <c r="UGB32" s="17"/>
      <c r="UGC32" s="17"/>
      <c r="UGD32" s="17"/>
      <c r="UGE32" s="17"/>
      <c r="UGF32" s="17"/>
      <c r="UGG32" s="17"/>
      <c r="UGH32" s="17"/>
      <c r="UGI32" s="17"/>
      <c r="UGJ32" s="17"/>
      <c r="UGK32" s="17"/>
      <c r="UGL32" s="17"/>
      <c r="UGM32" s="17"/>
      <c r="UGN32" s="17"/>
      <c r="UGO32" s="17"/>
      <c r="UGP32" s="17"/>
      <c r="UGQ32" s="17"/>
      <c r="UGR32" s="17"/>
      <c r="UGS32" s="17"/>
      <c r="UGT32" s="17"/>
      <c r="UGU32" s="17"/>
      <c r="UGV32" s="17"/>
      <c r="UGW32" s="17"/>
      <c r="UGX32" s="17"/>
      <c r="UGY32" s="17"/>
      <c r="UGZ32" s="17"/>
      <c r="UHA32" s="17"/>
      <c r="UHB32" s="17"/>
      <c r="UHC32" s="17"/>
      <c r="UHD32" s="17"/>
      <c r="UHE32" s="17"/>
      <c r="UHF32" s="17"/>
      <c r="UHG32" s="17"/>
      <c r="UHH32" s="17"/>
      <c r="UHI32" s="17"/>
      <c r="UHJ32" s="17"/>
      <c r="UHK32" s="17"/>
      <c r="UHL32" s="17"/>
      <c r="UHM32" s="17"/>
      <c r="UHN32" s="17"/>
      <c r="UHO32" s="17"/>
      <c r="UHP32" s="17"/>
      <c r="UHQ32" s="17"/>
      <c r="UHR32" s="17"/>
      <c r="UHS32" s="17"/>
      <c r="UHT32" s="17"/>
      <c r="UHU32" s="17"/>
      <c r="UHV32" s="17"/>
      <c r="UHW32" s="17"/>
      <c r="UHX32" s="17"/>
      <c r="UHY32" s="17"/>
      <c r="UHZ32" s="17"/>
      <c r="UIA32" s="17"/>
      <c r="UIB32" s="17"/>
      <c r="UIC32" s="17"/>
      <c r="UID32" s="17"/>
      <c r="UIE32" s="17"/>
      <c r="UIF32" s="17"/>
      <c r="UIG32" s="17"/>
      <c r="UIH32" s="17"/>
      <c r="UII32" s="17"/>
      <c r="UIJ32" s="17"/>
      <c r="UIK32" s="17"/>
      <c r="UIL32" s="17"/>
      <c r="UIM32" s="17"/>
      <c r="UIN32" s="17"/>
      <c r="UIO32" s="17"/>
      <c r="UIP32" s="17"/>
      <c r="UIQ32" s="17"/>
      <c r="UIR32" s="17"/>
      <c r="UIS32" s="17"/>
      <c r="UIT32" s="17"/>
      <c r="UIU32" s="17"/>
      <c r="UIV32" s="17"/>
      <c r="UIW32" s="17"/>
      <c r="UIX32" s="17"/>
      <c r="UIY32" s="17"/>
      <c r="UIZ32" s="17"/>
      <c r="UJA32" s="17"/>
      <c r="UJB32" s="17"/>
      <c r="UJC32" s="17"/>
      <c r="UJD32" s="17"/>
      <c r="UJE32" s="17"/>
      <c r="UJF32" s="17"/>
      <c r="UJG32" s="17"/>
      <c r="UJH32" s="17"/>
      <c r="UJI32" s="17"/>
      <c r="UJJ32" s="17"/>
      <c r="UJK32" s="17"/>
      <c r="UJL32" s="17"/>
      <c r="UJM32" s="17"/>
      <c r="UJN32" s="17"/>
      <c r="UJO32" s="17"/>
      <c r="UJP32" s="17"/>
      <c r="UJQ32" s="17"/>
      <c r="UJR32" s="17"/>
      <c r="UJS32" s="17"/>
      <c r="UJT32" s="17"/>
      <c r="UJU32" s="17"/>
      <c r="UJV32" s="17"/>
      <c r="UJW32" s="17"/>
      <c r="UJX32" s="17"/>
      <c r="UJY32" s="17"/>
      <c r="UJZ32" s="17"/>
      <c r="UKA32" s="17"/>
      <c r="UKB32" s="17"/>
      <c r="UKC32" s="17"/>
      <c r="UKD32" s="17"/>
      <c r="UKE32" s="17"/>
      <c r="UKF32" s="17"/>
      <c r="UKG32" s="17"/>
      <c r="UKH32" s="17"/>
      <c r="UKI32" s="17"/>
      <c r="UKJ32" s="17"/>
      <c r="UKK32" s="17"/>
      <c r="UKL32" s="17"/>
      <c r="UKM32" s="17"/>
      <c r="UKN32" s="17"/>
      <c r="UKO32" s="17"/>
      <c r="UKP32" s="17"/>
      <c r="UKQ32" s="17"/>
      <c r="UKR32" s="17"/>
      <c r="UKS32" s="17"/>
      <c r="UKT32" s="17"/>
      <c r="UKU32" s="17"/>
      <c r="UKV32" s="17"/>
      <c r="UKW32" s="17"/>
      <c r="UKX32" s="17"/>
      <c r="UKY32" s="17"/>
      <c r="UKZ32" s="17"/>
      <c r="ULA32" s="17"/>
      <c r="ULB32" s="17"/>
      <c r="ULC32" s="17"/>
      <c r="ULD32" s="17"/>
      <c r="ULE32" s="17"/>
      <c r="ULF32" s="17"/>
      <c r="ULG32" s="17"/>
      <c r="ULH32" s="17"/>
      <c r="ULI32" s="17"/>
      <c r="ULJ32" s="17"/>
      <c r="ULK32" s="17"/>
      <c r="ULL32" s="17"/>
      <c r="ULM32" s="17"/>
      <c r="ULN32" s="17"/>
      <c r="ULO32" s="17"/>
      <c r="ULP32" s="17"/>
      <c r="ULQ32" s="17"/>
      <c r="ULR32" s="17"/>
      <c r="ULS32" s="17"/>
      <c r="ULT32" s="17"/>
      <c r="ULU32" s="17"/>
      <c r="ULV32" s="17"/>
      <c r="ULW32" s="17"/>
      <c r="ULX32" s="17"/>
      <c r="ULY32" s="17"/>
      <c r="ULZ32" s="17"/>
      <c r="UMA32" s="17"/>
      <c r="UMB32" s="17"/>
      <c r="UMC32" s="17"/>
      <c r="UMD32" s="17"/>
      <c r="UME32" s="17"/>
      <c r="UMF32" s="17"/>
      <c r="UMG32" s="17"/>
      <c r="UMH32" s="17"/>
      <c r="UMI32" s="17"/>
      <c r="UMJ32" s="17"/>
      <c r="UMK32" s="17"/>
      <c r="UML32" s="17"/>
      <c r="UMM32" s="17"/>
      <c r="UMN32" s="17"/>
      <c r="UMO32" s="17"/>
      <c r="UMP32" s="17"/>
      <c r="UMQ32" s="17"/>
      <c r="UMR32" s="17"/>
      <c r="UMS32" s="17"/>
      <c r="UMT32" s="17"/>
      <c r="UMU32" s="17"/>
      <c r="UMV32" s="17"/>
      <c r="UMW32" s="17"/>
      <c r="UMX32" s="17"/>
      <c r="UMY32" s="17"/>
      <c r="UMZ32" s="17"/>
      <c r="UNA32" s="17"/>
      <c r="UNB32" s="17"/>
      <c r="UNC32" s="17"/>
      <c r="UND32" s="17"/>
      <c r="UNE32" s="17"/>
      <c r="UNF32" s="17"/>
      <c r="UNG32" s="17"/>
      <c r="UNH32" s="17"/>
      <c r="UNI32" s="17"/>
      <c r="UNJ32" s="17"/>
      <c r="UNK32" s="17"/>
      <c r="UNL32" s="17"/>
      <c r="UNM32" s="17"/>
      <c r="UNN32" s="17"/>
      <c r="UNO32" s="17"/>
      <c r="UNP32" s="17"/>
      <c r="UNQ32" s="17"/>
      <c r="UNR32" s="17"/>
      <c r="UNS32" s="17"/>
      <c r="UNT32" s="17"/>
      <c r="UNU32" s="17"/>
      <c r="UNV32" s="17"/>
      <c r="UNW32" s="17"/>
      <c r="UNX32" s="17"/>
      <c r="UNY32" s="17"/>
      <c r="UNZ32" s="17"/>
      <c r="UOA32" s="17"/>
      <c r="UOB32" s="17"/>
      <c r="UOC32" s="17"/>
      <c r="UOD32" s="17"/>
      <c r="UOE32" s="17"/>
      <c r="UOF32" s="17"/>
      <c r="UOG32" s="17"/>
      <c r="UOH32" s="17"/>
      <c r="UOI32" s="17"/>
      <c r="UOJ32" s="17"/>
      <c r="UOK32" s="17"/>
      <c r="UOL32" s="17"/>
      <c r="UOM32" s="17"/>
      <c r="UON32" s="17"/>
      <c r="UOO32" s="17"/>
      <c r="UOP32" s="17"/>
      <c r="UOQ32" s="17"/>
      <c r="UOR32" s="17"/>
      <c r="UOS32" s="17"/>
      <c r="UOT32" s="17"/>
      <c r="UOU32" s="17"/>
      <c r="UOV32" s="17"/>
      <c r="UOW32" s="17"/>
      <c r="UOX32" s="17"/>
      <c r="UOY32" s="17"/>
      <c r="UOZ32" s="17"/>
      <c r="UPA32" s="17"/>
      <c r="UPB32" s="17"/>
      <c r="UPC32" s="17"/>
      <c r="UPD32" s="17"/>
      <c r="UPE32" s="17"/>
      <c r="UPF32" s="17"/>
      <c r="UPG32" s="17"/>
      <c r="UPH32" s="17"/>
      <c r="UPI32" s="17"/>
      <c r="UPJ32" s="17"/>
      <c r="UPK32" s="17"/>
      <c r="UPL32" s="17"/>
      <c r="UPM32" s="17"/>
      <c r="UPN32" s="17"/>
      <c r="UPO32" s="17"/>
      <c r="UPP32" s="17"/>
      <c r="UPQ32" s="17"/>
      <c r="UPR32" s="17"/>
      <c r="UPS32" s="17"/>
      <c r="UPT32" s="17"/>
      <c r="UPU32" s="17"/>
      <c r="UPV32" s="17"/>
      <c r="UPW32" s="17"/>
      <c r="UPX32" s="17"/>
      <c r="UPY32" s="17"/>
      <c r="UPZ32" s="17"/>
      <c r="UQA32" s="17"/>
      <c r="UQB32" s="17"/>
      <c r="UQC32" s="17"/>
      <c r="UQD32" s="17"/>
      <c r="UQE32" s="17"/>
      <c r="UQF32" s="17"/>
      <c r="UQG32" s="17"/>
      <c r="UQH32" s="17"/>
      <c r="UQI32" s="17"/>
      <c r="UQJ32" s="17"/>
      <c r="UQK32" s="17"/>
      <c r="UQL32" s="17"/>
      <c r="UQM32" s="17"/>
      <c r="UQN32" s="17"/>
      <c r="UQO32" s="17"/>
      <c r="UQP32" s="17"/>
      <c r="UQQ32" s="17"/>
      <c r="UQR32" s="17"/>
      <c r="UQS32" s="17"/>
      <c r="UQT32" s="17"/>
      <c r="UQU32" s="17"/>
      <c r="UQV32" s="17"/>
      <c r="UQW32" s="17"/>
      <c r="UQX32" s="17"/>
      <c r="UQY32" s="17"/>
      <c r="UQZ32" s="17"/>
      <c r="URA32" s="17"/>
      <c r="URB32" s="17"/>
      <c r="URC32" s="17"/>
      <c r="URD32" s="17"/>
      <c r="URE32" s="17"/>
      <c r="URF32" s="17"/>
      <c r="URG32" s="17"/>
      <c r="URH32" s="17"/>
      <c r="URI32" s="17"/>
      <c r="URJ32" s="17"/>
      <c r="URK32" s="17"/>
      <c r="URL32" s="17"/>
      <c r="URM32" s="17"/>
      <c r="URN32" s="17"/>
      <c r="URO32" s="17"/>
      <c r="URP32" s="17"/>
      <c r="URQ32" s="17"/>
      <c r="URR32" s="17"/>
      <c r="URS32" s="17"/>
      <c r="URT32" s="17"/>
      <c r="URU32" s="17"/>
      <c r="URV32" s="17"/>
      <c r="URW32" s="17"/>
      <c r="URX32" s="17"/>
      <c r="URY32" s="17"/>
      <c r="URZ32" s="17"/>
      <c r="USA32" s="17"/>
      <c r="USB32" s="17"/>
      <c r="USC32" s="17"/>
      <c r="USD32" s="17"/>
      <c r="USE32" s="17"/>
      <c r="USF32" s="17"/>
      <c r="USG32" s="17"/>
      <c r="USH32" s="17"/>
      <c r="USI32" s="17"/>
      <c r="USJ32" s="17"/>
      <c r="USK32" s="17"/>
      <c r="USL32" s="17"/>
      <c r="USM32" s="17"/>
      <c r="USN32" s="17"/>
      <c r="USO32" s="17"/>
      <c r="USP32" s="17"/>
      <c r="USQ32" s="17"/>
      <c r="USR32" s="17"/>
      <c r="USS32" s="17"/>
      <c r="UST32" s="17"/>
      <c r="USU32" s="17"/>
      <c r="USV32" s="17"/>
      <c r="USW32" s="17"/>
      <c r="USX32" s="17"/>
      <c r="USY32" s="17"/>
      <c r="USZ32" s="17"/>
      <c r="UTA32" s="17"/>
      <c r="UTB32" s="17"/>
      <c r="UTC32" s="17"/>
      <c r="UTD32" s="17"/>
      <c r="UTE32" s="17"/>
      <c r="UTF32" s="17"/>
      <c r="UTG32" s="17"/>
      <c r="UTH32" s="17"/>
      <c r="UTI32" s="17"/>
      <c r="UTJ32" s="17"/>
      <c r="UTK32" s="17"/>
      <c r="UTL32" s="17"/>
      <c r="UTM32" s="17"/>
      <c r="UTN32" s="17"/>
      <c r="UTO32" s="17"/>
      <c r="UTP32" s="17"/>
      <c r="UTQ32" s="17"/>
      <c r="UTR32" s="17"/>
      <c r="UTS32" s="17"/>
      <c r="UTT32" s="17"/>
      <c r="UTU32" s="17"/>
      <c r="UTV32" s="17"/>
      <c r="UTW32" s="17"/>
      <c r="UTX32" s="17"/>
      <c r="UTY32" s="17"/>
      <c r="UTZ32" s="17"/>
      <c r="UUA32" s="17"/>
      <c r="UUB32" s="17"/>
      <c r="UUC32" s="17"/>
      <c r="UUD32" s="17"/>
      <c r="UUE32" s="17"/>
      <c r="UUF32" s="17"/>
      <c r="UUG32" s="17"/>
      <c r="UUH32" s="17"/>
      <c r="UUI32" s="17"/>
      <c r="UUJ32" s="17"/>
      <c r="UUK32" s="17"/>
      <c r="UUL32" s="17"/>
      <c r="UUM32" s="17"/>
      <c r="UUN32" s="17"/>
      <c r="UUO32" s="17"/>
      <c r="UUP32" s="17"/>
      <c r="UUQ32" s="17"/>
      <c r="UUR32" s="17"/>
      <c r="UUS32" s="17"/>
      <c r="UUT32" s="17"/>
      <c r="UUU32" s="17"/>
      <c r="UUV32" s="17"/>
      <c r="UUW32" s="17"/>
      <c r="UUX32" s="17"/>
      <c r="UUY32" s="17"/>
      <c r="UUZ32" s="17"/>
      <c r="UVA32" s="17"/>
      <c r="UVB32" s="17"/>
      <c r="UVC32" s="17"/>
      <c r="UVD32" s="17"/>
      <c r="UVE32" s="17"/>
      <c r="UVF32" s="17"/>
      <c r="UVG32" s="17"/>
      <c r="UVH32" s="17"/>
      <c r="UVI32" s="17"/>
      <c r="UVJ32" s="17"/>
      <c r="UVK32" s="17"/>
      <c r="UVL32" s="17"/>
      <c r="UVM32" s="17"/>
      <c r="UVN32" s="17"/>
      <c r="UVO32" s="17"/>
      <c r="UVP32" s="17"/>
      <c r="UVQ32" s="17"/>
      <c r="UVR32" s="17"/>
      <c r="UVS32" s="17"/>
      <c r="UVT32" s="17"/>
      <c r="UVU32" s="17"/>
      <c r="UVV32" s="17"/>
      <c r="UVW32" s="17"/>
      <c r="UVX32" s="17"/>
      <c r="UVY32" s="17"/>
      <c r="UVZ32" s="17"/>
      <c r="UWA32" s="17"/>
      <c r="UWB32" s="17"/>
      <c r="UWC32" s="17"/>
      <c r="UWD32" s="17"/>
      <c r="UWE32" s="17"/>
      <c r="UWF32" s="17"/>
      <c r="UWG32" s="17"/>
      <c r="UWH32" s="17"/>
      <c r="UWI32" s="17"/>
      <c r="UWJ32" s="17"/>
      <c r="UWK32" s="17"/>
      <c r="UWL32" s="17"/>
      <c r="UWM32" s="17"/>
      <c r="UWN32" s="17"/>
      <c r="UWO32" s="17"/>
      <c r="UWP32" s="17"/>
      <c r="UWQ32" s="17"/>
      <c r="UWR32" s="17"/>
      <c r="UWS32" s="17"/>
      <c r="UWT32" s="17"/>
      <c r="UWU32" s="17"/>
      <c r="UWV32" s="17"/>
      <c r="UWW32" s="17"/>
      <c r="UWX32" s="17"/>
      <c r="UWY32" s="17"/>
      <c r="UWZ32" s="17"/>
      <c r="UXA32" s="17"/>
      <c r="UXB32" s="17"/>
      <c r="UXC32" s="17"/>
      <c r="UXD32" s="17"/>
      <c r="UXE32" s="17"/>
      <c r="UXF32" s="17"/>
      <c r="UXG32" s="17"/>
      <c r="UXH32" s="17"/>
      <c r="UXI32" s="17"/>
      <c r="UXJ32" s="17"/>
      <c r="UXK32" s="17"/>
      <c r="UXL32" s="17"/>
      <c r="UXM32" s="17"/>
      <c r="UXN32" s="17"/>
      <c r="UXO32" s="17"/>
      <c r="UXP32" s="17"/>
      <c r="UXQ32" s="17"/>
      <c r="UXR32" s="17"/>
      <c r="UXS32" s="17"/>
      <c r="UXT32" s="17"/>
      <c r="UXU32" s="17"/>
      <c r="UXV32" s="17"/>
      <c r="UXW32" s="17"/>
      <c r="UXX32" s="17"/>
      <c r="UXY32" s="17"/>
      <c r="UXZ32" s="17"/>
      <c r="UYA32" s="17"/>
      <c r="UYB32" s="17"/>
      <c r="UYC32" s="17"/>
      <c r="UYD32" s="17"/>
      <c r="UYE32" s="17"/>
      <c r="UYF32" s="17"/>
      <c r="UYG32" s="17"/>
      <c r="UYH32" s="17"/>
      <c r="UYI32" s="17"/>
      <c r="UYJ32" s="17"/>
      <c r="UYK32" s="17"/>
      <c r="UYL32" s="17"/>
      <c r="UYM32" s="17"/>
      <c r="UYN32" s="17"/>
      <c r="UYO32" s="17"/>
      <c r="UYP32" s="17"/>
      <c r="UYQ32" s="17"/>
      <c r="UYR32" s="17"/>
      <c r="UYS32" s="17"/>
      <c r="UYT32" s="17"/>
      <c r="UYU32" s="17"/>
      <c r="UYV32" s="17"/>
      <c r="UYW32" s="17"/>
      <c r="UYX32" s="17"/>
      <c r="UYY32" s="17"/>
      <c r="UYZ32" s="17"/>
      <c r="UZA32" s="17"/>
      <c r="UZB32" s="17"/>
      <c r="UZC32" s="17"/>
      <c r="UZD32" s="17"/>
      <c r="UZE32" s="17"/>
      <c r="UZF32" s="17"/>
      <c r="UZG32" s="17"/>
      <c r="UZH32" s="17"/>
      <c r="UZI32" s="17"/>
      <c r="UZJ32" s="17"/>
      <c r="UZK32" s="17"/>
      <c r="UZL32" s="17"/>
      <c r="UZM32" s="17"/>
      <c r="UZN32" s="17"/>
      <c r="UZO32" s="17"/>
      <c r="UZP32" s="17"/>
      <c r="UZQ32" s="17"/>
      <c r="UZR32" s="17"/>
      <c r="UZS32" s="17"/>
      <c r="UZT32" s="17"/>
      <c r="UZU32" s="17"/>
      <c r="UZV32" s="17"/>
      <c r="UZW32" s="17"/>
      <c r="UZX32" s="17"/>
      <c r="UZY32" s="17"/>
      <c r="UZZ32" s="17"/>
      <c r="VAA32" s="17"/>
      <c r="VAB32" s="17"/>
      <c r="VAC32" s="17"/>
      <c r="VAD32" s="17"/>
      <c r="VAE32" s="17"/>
      <c r="VAF32" s="17"/>
      <c r="VAG32" s="17"/>
      <c r="VAH32" s="17"/>
      <c r="VAI32" s="17"/>
      <c r="VAJ32" s="17"/>
      <c r="VAK32" s="17"/>
      <c r="VAL32" s="17"/>
      <c r="VAM32" s="17"/>
      <c r="VAN32" s="17"/>
      <c r="VAO32" s="17"/>
      <c r="VAP32" s="17"/>
      <c r="VAQ32" s="17"/>
      <c r="VAR32" s="17"/>
      <c r="VAS32" s="17"/>
      <c r="VAT32" s="17"/>
      <c r="VAU32" s="17"/>
      <c r="VAV32" s="17"/>
      <c r="VAW32" s="17"/>
      <c r="VAX32" s="17"/>
      <c r="VAY32" s="17"/>
      <c r="VAZ32" s="17"/>
      <c r="VBA32" s="17"/>
      <c r="VBB32" s="17"/>
      <c r="VBC32" s="17"/>
      <c r="VBD32" s="17"/>
      <c r="VBE32" s="17"/>
      <c r="VBF32" s="17"/>
      <c r="VBG32" s="17"/>
      <c r="VBH32" s="17"/>
      <c r="VBI32" s="17"/>
      <c r="VBJ32" s="17"/>
      <c r="VBK32" s="17"/>
      <c r="VBL32" s="17"/>
      <c r="VBM32" s="17"/>
      <c r="VBN32" s="17"/>
      <c r="VBO32" s="17"/>
      <c r="VBP32" s="17"/>
      <c r="VBQ32" s="17"/>
      <c r="VBR32" s="17"/>
      <c r="VBS32" s="17"/>
      <c r="VBT32" s="17"/>
      <c r="VBU32" s="17"/>
      <c r="VBV32" s="17"/>
      <c r="VBW32" s="17"/>
      <c r="VBX32" s="17"/>
      <c r="VBY32" s="17"/>
      <c r="VBZ32" s="17"/>
      <c r="VCA32" s="17"/>
      <c r="VCB32" s="17"/>
      <c r="VCC32" s="17"/>
      <c r="VCD32" s="17"/>
      <c r="VCE32" s="17"/>
      <c r="VCF32" s="17"/>
      <c r="VCG32" s="17"/>
      <c r="VCH32" s="17"/>
      <c r="VCI32" s="17"/>
      <c r="VCJ32" s="17"/>
      <c r="VCK32" s="17"/>
      <c r="VCL32" s="17"/>
      <c r="VCM32" s="17"/>
      <c r="VCN32" s="17"/>
      <c r="VCO32" s="17"/>
      <c r="VCP32" s="17"/>
      <c r="VCQ32" s="17"/>
      <c r="VCR32" s="17"/>
      <c r="VCS32" s="17"/>
      <c r="VCT32" s="17"/>
      <c r="VCU32" s="17"/>
      <c r="VCV32" s="17"/>
      <c r="VCW32" s="17"/>
      <c r="VCX32" s="17"/>
      <c r="VCY32" s="17"/>
      <c r="VCZ32" s="17"/>
      <c r="VDA32" s="17"/>
      <c r="VDB32" s="17"/>
      <c r="VDC32" s="17"/>
      <c r="VDD32" s="17"/>
      <c r="VDE32" s="17"/>
      <c r="VDF32" s="17"/>
      <c r="VDG32" s="17"/>
      <c r="VDH32" s="17"/>
      <c r="VDI32" s="17"/>
      <c r="VDJ32" s="17"/>
      <c r="VDK32" s="17"/>
      <c r="VDL32" s="17"/>
      <c r="VDM32" s="17"/>
      <c r="VDN32" s="17"/>
      <c r="VDO32" s="17"/>
      <c r="VDP32" s="17"/>
      <c r="VDQ32" s="17"/>
      <c r="VDR32" s="17"/>
      <c r="VDS32" s="17"/>
      <c r="VDT32" s="17"/>
      <c r="VDU32" s="17"/>
      <c r="VDV32" s="17"/>
      <c r="VDW32" s="17"/>
      <c r="VDX32" s="17"/>
      <c r="VDY32" s="17"/>
      <c r="VDZ32" s="17"/>
      <c r="VEA32" s="17"/>
      <c r="VEB32" s="17"/>
      <c r="VEC32" s="17"/>
      <c r="VED32" s="17"/>
      <c r="VEE32" s="17"/>
      <c r="VEF32" s="17"/>
      <c r="VEG32" s="17"/>
      <c r="VEH32" s="17"/>
      <c r="VEI32" s="17"/>
      <c r="VEJ32" s="17"/>
      <c r="VEK32" s="17"/>
      <c r="VEL32" s="17"/>
      <c r="VEM32" s="17"/>
      <c r="VEN32" s="17"/>
      <c r="VEO32" s="17"/>
      <c r="VEP32" s="17"/>
      <c r="VEQ32" s="17"/>
      <c r="VER32" s="17"/>
      <c r="VES32" s="17"/>
      <c r="VET32" s="17"/>
      <c r="VEU32" s="17"/>
      <c r="VEV32" s="17"/>
      <c r="VEW32" s="17"/>
      <c r="VEX32" s="17"/>
      <c r="VEY32" s="17"/>
      <c r="VEZ32" s="17"/>
      <c r="VFA32" s="17"/>
      <c r="VFB32" s="17"/>
      <c r="VFC32" s="17"/>
      <c r="VFD32" s="17"/>
      <c r="VFE32" s="17"/>
      <c r="VFF32" s="17"/>
      <c r="VFG32" s="17"/>
      <c r="VFH32" s="17"/>
      <c r="VFI32" s="17"/>
      <c r="VFJ32" s="17"/>
      <c r="VFK32" s="17"/>
      <c r="VFL32" s="17"/>
      <c r="VFM32" s="17"/>
      <c r="VFN32" s="17"/>
      <c r="VFO32" s="17"/>
      <c r="VFP32" s="17"/>
      <c r="VFQ32" s="17"/>
      <c r="VFR32" s="17"/>
      <c r="VFS32" s="17"/>
      <c r="VFT32" s="17"/>
      <c r="VFU32" s="17"/>
      <c r="VFV32" s="17"/>
      <c r="VFW32" s="17"/>
      <c r="VFX32" s="17"/>
      <c r="VFY32" s="17"/>
      <c r="VFZ32" s="17"/>
      <c r="VGA32" s="17"/>
      <c r="VGB32" s="17"/>
      <c r="VGC32" s="17"/>
      <c r="VGD32" s="17"/>
      <c r="VGE32" s="17"/>
      <c r="VGF32" s="17"/>
      <c r="VGG32" s="17"/>
      <c r="VGH32" s="17"/>
      <c r="VGI32" s="17"/>
      <c r="VGJ32" s="17"/>
      <c r="VGK32" s="17"/>
      <c r="VGL32" s="17"/>
      <c r="VGM32" s="17"/>
      <c r="VGN32" s="17"/>
      <c r="VGO32" s="17"/>
      <c r="VGP32" s="17"/>
      <c r="VGQ32" s="17"/>
      <c r="VGR32" s="17"/>
      <c r="VGS32" s="17"/>
      <c r="VGT32" s="17"/>
      <c r="VGU32" s="17"/>
      <c r="VGV32" s="17"/>
      <c r="VGW32" s="17"/>
      <c r="VGX32" s="17"/>
      <c r="VGY32" s="17"/>
      <c r="VGZ32" s="17"/>
      <c r="VHA32" s="17"/>
      <c r="VHB32" s="17"/>
      <c r="VHC32" s="17"/>
      <c r="VHD32" s="17"/>
      <c r="VHE32" s="17"/>
      <c r="VHF32" s="17"/>
      <c r="VHG32" s="17"/>
      <c r="VHH32" s="17"/>
      <c r="VHI32" s="17"/>
      <c r="VHJ32" s="17"/>
      <c r="VHK32" s="17"/>
      <c r="VHL32" s="17"/>
      <c r="VHM32" s="17"/>
      <c r="VHN32" s="17"/>
      <c r="VHO32" s="17"/>
      <c r="VHP32" s="17"/>
      <c r="VHQ32" s="17"/>
      <c r="VHR32" s="17"/>
      <c r="VHS32" s="17"/>
      <c r="VHT32" s="17"/>
      <c r="VHU32" s="17"/>
      <c r="VHV32" s="17"/>
      <c r="VHW32" s="17"/>
      <c r="VHX32" s="17"/>
      <c r="VHY32" s="17"/>
      <c r="VHZ32" s="17"/>
      <c r="VIA32" s="17"/>
      <c r="VIB32" s="17"/>
      <c r="VIC32" s="17"/>
      <c r="VID32" s="17"/>
      <c r="VIE32" s="17"/>
      <c r="VIF32" s="17"/>
      <c r="VIG32" s="17"/>
      <c r="VIH32" s="17"/>
      <c r="VII32" s="17"/>
      <c r="VIJ32" s="17"/>
      <c r="VIK32" s="17"/>
      <c r="VIL32" s="17"/>
      <c r="VIM32" s="17"/>
      <c r="VIN32" s="17"/>
      <c r="VIO32" s="17"/>
      <c r="VIP32" s="17"/>
      <c r="VIQ32" s="17"/>
      <c r="VIR32" s="17"/>
      <c r="VIS32" s="17"/>
      <c r="VIT32" s="17"/>
      <c r="VIU32" s="17"/>
      <c r="VIV32" s="17"/>
      <c r="VIW32" s="17"/>
      <c r="VIX32" s="17"/>
      <c r="VIY32" s="17"/>
      <c r="VIZ32" s="17"/>
      <c r="VJA32" s="17"/>
      <c r="VJB32" s="17"/>
      <c r="VJC32" s="17"/>
      <c r="VJD32" s="17"/>
      <c r="VJE32" s="17"/>
      <c r="VJF32" s="17"/>
      <c r="VJG32" s="17"/>
      <c r="VJH32" s="17"/>
      <c r="VJI32" s="17"/>
      <c r="VJJ32" s="17"/>
      <c r="VJK32" s="17"/>
      <c r="VJL32" s="17"/>
      <c r="VJM32" s="17"/>
      <c r="VJN32" s="17"/>
      <c r="VJO32" s="17"/>
      <c r="VJP32" s="17"/>
      <c r="VJQ32" s="17"/>
      <c r="VJR32" s="17"/>
      <c r="VJS32" s="17"/>
      <c r="VJT32" s="17"/>
      <c r="VJU32" s="17"/>
      <c r="VJV32" s="17"/>
      <c r="VJW32" s="17"/>
      <c r="VJX32" s="17"/>
      <c r="VJY32" s="17"/>
      <c r="VJZ32" s="17"/>
      <c r="VKA32" s="17"/>
      <c r="VKB32" s="17"/>
      <c r="VKC32" s="17"/>
      <c r="VKD32" s="17"/>
      <c r="VKE32" s="17"/>
      <c r="VKF32" s="17"/>
      <c r="VKG32" s="17"/>
      <c r="VKH32" s="17"/>
      <c r="VKI32" s="17"/>
      <c r="VKJ32" s="17"/>
      <c r="VKK32" s="17"/>
      <c r="VKL32" s="17"/>
      <c r="VKM32" s="17"/>
      <c r="VKN32" s="17"/>
      <c r="VKO32" s="17"/>
      <c r="VKP32" s="17"/>
      <c r="VKQ32" s="17"/>
      <c r="VKR32" s="17"/>
      <c r="VKS32" s="17"/>
      <c r="VKT32" s="17"/>
      <c r="VKU32" s="17"/>
      <c r="VKV32" s="17"/>
      <c r="VKW32" s="17"/>
      <c r="VKX32" s="17"/>
      <c r="VKY32" s="17"/>
      <c r="VKZ32" s="17"/>
      <c r="VLA32" s="17"/>
      <c r="VLB32" s="17"/>
      <c r="VLC32" s="17"/>
      <c r="VLD32" s="17"/>
      <c r="VLE32" s="17"/>
      <c r="VLF32" s="17"/>
      <c r="VLG32" s="17"/>
      <c r="VLH32" s="17"/>
      <c r="VLI32" s="17"/>
      <c r="VLJ32" s="17"/>
      <c r="VLK32" s="17"/>
      <c r="VLL32" s="17"/>
      <c r="VLM32" s="17"/>
      <c r="VLN32" s="17"/>
      <c r="VLO32" s="17"/>
      <c r="VLP32" s="17"/>
      <c r="VLQ32" s="17"/>
      <c r="VLR32" s="17"/>
      <c r="VLS32" s="17"/>
      <c r="VLT32" s="17"/>
      <c r="VLU32" s="17"/>
      <c r="VLV32" s="17"/>
      <c r="VLW32" s="17"/>
      <c r="VLX32" s="17"/>
      <c r="VLY32" s="17"/>
      <c r="VLZ32" s="17"/>
      <c r="VMA32" s="17"/>
      <c r="VMB32" s="17"/>
      <c r="VMC32" s="17"/>
      <c r="VMD32" s="17"/>
      <c r="VME32" s="17"/>
      <c r="VMF32" s="17"/>
      <c r="VMG32" s="17"/>
      <c r="VMH32" s="17"/>
      <c r="VMI32" s="17"/>
      <c r="VMJ32" s="17"/>
      <c r="VMK32" s="17"/>
      <c r="VML32" s="17"/>
      <c r="VMM32" s="17"/>
      <c r="VMN32" s="17"/>
      <c r="VMO32" s="17"/>
      <c r="VMP32" s="17"/>
      <c r="VMQ32" s="17"/>
      <c r="VMR32" s="17"/>
      <c r="VMS32" s="17"/>
      <c r="VMT32" s="17"/>
      <c r="VMU32" s="17"/>
      <c r="VMV32" s="17"/>
      <c r="VMW32" s="17"/>
      <c r="VMX32" s="17"/>
      <c r="VMY32" s="17"/>
      <c r="VMZ32" s="17"/>
      <c r="VNA32" s="17"/>
      <c r="VNB32" s="17"/>
      <c r="VNC32" s="17"/>
      <c r="VND32" s="17"/>
      <c r="VNE32" s="17"/>
      <c r="VNF32" s="17"/>
      <c r="VNG32" s="17"/>
      <c r="VNH32" s="17"/>
      <c r="VNI32" s="17"/>
      <c r="VNJ32" s="17"/>
      <c r="VNK32" s="17"/>
      <c r="VNL32" s="17"/>
      <c r="VNM32" s="17"/>
      <c r="VNN32" s="17"/>
      <c r="VNO32" s="17"/>
      <c r="VNP32" s="17"/>
      <c r="VNQ32" s="17"/>
      <c r="VNR32" s="17"/>
      <c r="VNS32" s="17"/>
      <c r="VNT32" s="17"/>
      <c r="VNU32" s="17"/>
      <c r="VNV32" s="17"/>
      <c r="VNW32" s="17"/>
      <c r="VNX32" s="17"/>
      <c r="VNY32" s="17"/>
      <c r="VNZ32" s="17"/>
      <c r="VOA32" s="17"/>
      <c r="VOB32" s="17"/>
      <c r="VOC32" s="17"/>
      <c r="VOD32" s="17"/>
      <c r="VOE32" s="17"/>
      <c r="VOF32" s="17"/>
      <c r="VOG32" s="17"/>
      <c r="VOH32" s="17"/>
      <c r="VOI32" s="17"/>
      <c r="VOJ32" s="17"/>
      <c r="VOK32" s="17"/>
      <c r="VOL32" s="17"/>
      <c r="VOM32" s="17"/>
      <c r="VON32" s="17"/>
      <c r="VOO32" s="17"/>
      <c r="VOP32" s="17"/>
      <c r="VOQ32" s="17"/>
      <c r="VOR32" s="17"/>
      <c r="VOS32" s="17"/>
      <c r="VOT32" s="17"/>
      <c r="VOU32" s="17"/>
      <c r="VOV32" s="17"/>
      <c r="VOW32" s="17"/>
      <c r="VOX32" s="17"/>
      <c r="VOY32" s="17"/>
      <c r="VOZ32" s="17"/>
      <c r="VPA32" s="17"/>
      <c r="VPB32" s="17"/>
      <c r="VPC32" s="17"/>
      <c r="VPD32" s="17"/>
      <c r="VPE32" s="17"/>
      <c r="VPF32" s="17"/>
      <c r="VPG32" s="17"/>
      <c r="VPH32" s="17"/>
      <c r="VPI32" s="17"/>
      <c r="VPJ32" s="17"/>
      <c r="VPK32" s="17"/>
      <c r="VPL32" s="17"/>
      <c r="VPM32" s="17"/>
      <c r="VPN32" s="17"/>
      <c r="VPO32" s="17"/>
      <c r="VPP32" s="17"/>
      <c r="VPQ32" s="17"/>
      <c r="VPR32" s="17"/>
      <c r="VPS32" s="17"/>
      <c r="VPT32" s="17"/>
      <c r="VPU32" s="17"/>
      <c r="VPV32" s="17"/>
      <c r="VPW32" s="17"/>
      <c r="VPX32" s="17"/>
      <c r="VPY32" s="17"/>
      <c r="VPZ32" s="17"/>
      <c r="VQA32" s="17"/>
      <c r="VQB32" s="17"/>
      <c r="VQC32" s="17"/>
      <c r="VQD32" s="17"/>
      <c r="VQE32" s="17"/>
      <c r="VQF32" s="17"/>
      <c r="VQG32" s="17"/>
      <c r="VQH32" s="17"/>
      <c r="VQI32" s="17"/>
      <c r="VQJ32" s="17"/>
      <c r="VQK32" s="17"/>
      <c r="VQL32" s="17"/>
      <c r="VQM32" s="17"/>
      <c r="VQN32" s="17"/>
      <c r="VQO32" s="17"/>
      <c r="VQP32" s="17"/>
      <c r="VQQ32" s="17"/>
      <c r="VQR32" s="17"/>
      <c r="VQS32" s="17"/>
      <c r="VQT32" s="17"/>
      <c r="VQU32" s="17"/>
      <c r="VQV32" s="17"/>
      <c r="VQW32" s="17"/>
      <c r="VQX32" s="17"/>
      <c r="VQY32" s="17"/>
      <c r="VQZ32" s="17"/>
      <c r="VRA32" s="17"/>
      <c r="VRB32" s="17"/>
      <c r="VRC32" s="17"/>
      <c r="VRD32" s="17"/>
      <c r="VRE32" s="17"/>
      <c r="VRF32" s="17"/>
      <c r="VRG32" s="17"/>
      <c r="VRH32" s="17"/>
      <c r="VRI32" s="17"/>
      <c r="VRJ32" s="17"/>
      <c r="VRK32" s="17"/>
      <c r="VRL32" s="17"/>
      <c r="VRM32" s="17"/>
      <c r="VRN32" s="17"/>
      <c r="VRO32" s="17"/>
      <c r="VRP32" s="17"/>
      <c r="VRQ32" s="17"/>
      <c r="VRR32" s="17"/>
      <c r="VRS32" s="17"/>
      <c r="VRT32" s="17"/>
      <c r="VRU32" s="17"/>
      <c r="VRV32" s="17"/>
      <c r="VRW32" s="17"/>
      <c r="VRX32" s="17"/>
      <c r="VRY32" s="17"/>
      <c r="VRZ32" s="17"/>
      <c r="VSA32" s="17"/>
      <c r="VSB32" s="17"/>
      <c r="VSC32" s="17"/>
      <c r="VSD32" s="17"/>
      <c r="VSE32" s="17"/>
      <c r="VSF32" s="17"/>
      <c r="VSG32" s="17"/>
      <c r="VSH32" s="17"/>
      <c r="VSI32" s="17"/>
      <c r="VSJ32" s="17"/>
      <c r="VSK32" s="17"/>
      <c r="VSL32" s="17"/>
      <c r="VSM32" s="17"/>
      <c r="VSN32" s="17"/>
      <c r="VSO32" s="17"/>
      <c r="VSP32" s="17"/>
      <c r="VSQ32" s="17"/>
      <c r="VSR32" s="17"/>
      <c r="VSS32" s="17"/>
      <c r="VST32" s="17"/>
      <c r="VSU32" s="17"/>
      <c r="VSV32" s="17"/>
      <c r="VSW32" s="17"/>
      <c r="VSX32" s="17"/>
      <c r="VSY32" s="17"/>
      <c r="VSZ32" s="17"/>
      <c r="VTA32" s="17"/>
      <c r="VTB32" s="17"/>
      <c r="VTC32" s="17"/>
      <c r="VTD32" s="17"/>
      <c r="VTE32" s="17"/>
      <c r="VTF32" s="17"/>
      <c r="VTG32" s="17"/>
      <c r="VTH32" s="17"/>
      <c r="VTI32" s="17"/>
      <c r="VTJ32" s="17"/>
      <c r="VTK32" s="17"/>
      <c r="VTL32" s="17"/>
      <c r="VTM32" s="17"/>
      <c r="VTN32" s="17"/>
      <c r="VTO32" s="17"/>
      <c r="VTP32" s="17"/>
      <c r="VTQ32" s="17"/>
      <c r="VTR32" s="17"/>
      <c r="VTS32" s="17"/>
      <c r="VTT32" s="17"/>
      <c r="VTU32" s="17"/>
      <c r="VTV32" s="17"/>
      <c r="VTW32" s="17"/>
      <c r="VTX32" s="17"/>
      <c r="VTY32" s="17"/>
      <c r="VTZ32" s="17"/>
      <c r="VUA32" s="17"/>
      <c r="VUB32" s="17"/>
      <c r="VUC32" s="17"/>
      <c r="VUD32" s="17"/>
      <c r="VUE32" s="17"/>
      <c r="VUF32" s="17"/>
      <c r="VUG32" s="17"/>
      <c r="VUH32" s="17"/>
      <c r="VUI32" s="17"/>
      <c r="VUJ32" s="17"/>
      <c r="VUK32" s="17"/>
      <c r="VUL32" s="17"/>
      <c r="VUM32" s="17"/>
      <c r="VUN32" s="17"/>
      <c r="VUO32" s="17"/>
      <c r="VUP32" s="17"/>
      <c r="VUQ32" s="17"/>
      <c r="VUR32" s="17"/>
      <c r="VUS32" s="17"/>
      <c r="VUT32" s="17"/>
      <c r="VUU32" s="17"/>
      <c r="VUV32" s="17"/>
      <c r="VUW32" s="17"/>
      <c r="VUX32" s="17"/>
      <c r="VUY32" s="17"/>
      <c r="VUZ32" s="17"/>
      <c r="VVA32" s="17"/>
      <c r="VVB32" s="17"/>
      <c r="VVC32" s="17"/>
      <c r="VVD32" s="17"/>
      <c r="VVE32" s="17"/>
      <c r="VVF32" s="17"/>
      <c r="VVG32" s="17"/>
      <c r="VVH32" s="17"/>
      <c r="VVI32" s="17"/>
      <c r="VVJ32" s="17"/>
      <c r="VVK32" s="17"/>
      <c r="VVL32" s="17"/>
      <c r="VVM32" s="17"/>
      <c r="VVN32" s="17"/>
      <c r="VVO32" s="17"/>
      <c r="VVP32" s="17"/>
      <c r="VVQ32" s="17"/>
      <c r="VVR32" s="17"/>
      <c r="VVS32" s="17"/>
      <c r="VVT32" s="17"/>
      <c r="VVU32" s="17"/>
      <c r="VVV32" s="17"/>
      <c r="VVW32" s="17"/>
      <c r="VVX32" s="17"/>
      <c r="VVY32" s="17"/>
      <c r="VVZ32" s="17"/>
      <c r="VWA32" s="17"/>
      <c r="VWB32" s="17"/>
      <c r="VWC32" s="17"/>
      <c r="VWD32" s="17"/>
      <c r="VWE32" s="17"/>
      <c r="VWF32" s="17"/>
      <c r="VWG32" s="17"/>
      <c r="VWH32" s="17"/>
      <c r="VWI32" s="17"/>
      <c r="VWJ32" s="17"/>
      <c r="VWK32" s="17"/>
      <c r="VWL32" s="17"/>
      <c r="VWM32" s="17"/>
      <c r="VWN32" s="17"/>
      <c r="VWO32" s="17"/>
      <c r="VWP32" s="17"/>
      <c r="VWQ32" s="17"/>
      <c r="VWR32" s="17"/>
      <c r="VWS32" s="17"/>
      <c r="VWT32" s="17"/>
      <c r="VWU32" s="17"/>
      <c r="VWV32" s="17"/>
      <c r="VWW32" s="17"/>
      <c r="VWX32" s="17"/>
      <c r="VWY32" s="17"/>
      <c r="VWZ32" s="17"/>
      <c r="VXA32" s="17"/>
      <c r="VXB32" s="17"/>
      <c r="VXC32" s="17"/>
      <c r="VXD32" s="17"/>
      <c r="VXE32" s="17"/>
      <c r="VXF32" s="17"/>
      <c r="VXG32" s="17"/>
      <c r="VXH32" s="17"/>
      <c r="VXI32" s="17"/>
      <c r="VXJ32" s="17"/>
      <c r="VXK32" s="17"/>
      <c r="VXL32" s="17"/>
      <c r="VXM32" s="17"/>
      <c r="VXN32" s="17"/>
      <c r="VXO32" s="17"/>
      <c r="VXP32" s="17"/>
      <c r="VXQ32" s="17"/>
      <c r="VXR32" s="17"/>
      <c r="VXS32" s="17"/>
      <c r="VXT32" s="17"/>
      <c r="VXU32" s="17"/>
      <c r="VXV32" s="17"/>
      <c r="VXW32" s="17"/>
      <c r="VXX32" s="17"/>
      <c r="VXY32" s="17"/>
      <c r="VXZ32" s="17"/>
      <c r="VYA32" s="17"/>
      <c r="VYB32" s="17"/>
      <c r="VYC32" s="17"/>
      <c r="VYD32" s="17"/>
      <c r="VYE32" s="17"/>
      <c r="VYF32" s="17"/>
      <c r="VYG32" s="17"/>
      <c r="VYH32" s="17"/>
      <c r="VYI32" s="17"/>
      <c r="VYJ32" s="17"/>
      <c r="VYK32" s="17"/>
      <c r="VYL32" s="17"/>
      <c r="VYM32" s="17"/>
      <c r="VYN32" s="17"/>
      <c r="VYO32" s="17"/>
      <c r="VYP32" s="17"/>
      <c r="VYQ32" s="17"/>
      <c r="VYR32" s="17"/>
      <c r="VYS32" s="17"/>
      <c r="VYT32" s="17"/>
      <c r="VYU32" s="17"/>
      <c r="VYV32" s="17"/>
      <c r="VYW32" s="17"/>
      <c r="VYX32" s="17"/>
      <c r="VYY32" s="17"/>
      <c r="VYZ32" s="17"/>
      <c r="VZA32" s="17"/>
      <c r="VZB32" s="17"/>
      <c r="VZC32" s="17"/>
      <c r="VZD32" s="17"/>
      <c r="VZE32" s="17"/>
      <c r="VZF32" s="17"/>
      <c r="VZG32" s="17"/>
      <c r="VZH32" s="17"/>
      <c r="VZI32" s="17"/>
      <c r="VZJ32" s="17"/>
      <c r="VZK32" s="17"/>
      <c r="VZL32" s="17"/>
      <c r="VZM32" s="17"/>
      <c r="VZN32" s="17"/>
      <c r="VZO32" s="17"/>
      <c r="VZP32" s="17"/>
      <c r="VZQ32" s="17"/>
      <c r="VZR32" s="17"/>
      <c r="VZS32" s="17"/>
      <c r="VZT32" s="17"/>
      <c r="VZU32" s="17"/>
      <c r="VZV32" s="17"/>
      <c r="VZW32" s="17"/>
      <c r="VZX32" s="17"/>
      <c r="VZY32" s="17"/>
      <c r="VZZ32" s="17"/>
      <c r="WAA32" s="17"/>
      <c r="WAB32" s="17"/>
      <c r="WAC32" s="17"/>
      <c r="WAD32" s="17"/>
      <c r="WAE32" s="17"/>
      <c r="WAF32" s="17"/>
      <c r="WAG32" s="17"/>
      <c r="WAH32" s="17"/>
      <c r="WAI32" s="17"/>
      <c r="WAJ32" s="17"/>
      <c r="WAK32" s="17"/>
      <c r="WAL32" s="17"/>
      <c r="WAM32" s="17"/>
      <c r="WAN32" s="17"/>
      <c r="WAO32" s="17"/>
      <c r="WAP32" s="17"/>
      <c r="WAQ32" s="17"/>
      <c r="WAR32" s="17"/>
      <c r="WAS32" s="17"/>
      <c r="WAT32" s="17"/>
      <c r="WAU32" s="17"/>
      <c r="WAV32" s="17"/>
      <c r="WAW32" s="17"/>
      <c r="WAX32" s="17"/>
      <c r="WAY32" s="17"/>
      <c r="WAZ32" s="17"/>
      <c r="WBA32" s="17"/>
      <c r="WBB32" s="17"/>
      <c r="WBC32" s="17"/>
      <c r="WBD32" s="17"/>
      <c r="WBE32" s="17"/>
      <c r="WBF32" s="17"/>
      <c r="WBG32" s="17"/>
      <c r="WBH32" s="17"/>
      <c r="WBI32" s="17"/>
      <c r="WBJ32" s="17"/>
      <c r="WBK32" s="17"/>
      <c r="WBL32" s="17"/>
      <c r="WBM32" s="17"/>
      <c r="WBN32" s="17"/>
      <c r="WBO32" s="17"/>
      <c r="WBP32" s="17"/>
      <c r="WBQ32" s="17"/>
      <c r="WBR32" s="17"/>
      <c r="WBS32" s="17"/>
      <c r="WBT32" s="17"/>
      <c r="WBU32" s="17"/>
      <c r="WBV32" s="17"/>
      <c r="WBW32" s="17"/>
      <c r="WBX32" s="17"/>
      <c r="WBY32" s="17"/>
      <c r="WBZ32" s="17"/>
      <c r="WCA32" s="17"/>
      <c r="WCB32" s="17"/>
      <c r="WCC32" s="17"/>
      <c r="WCD32" s="17"/>
      <c r="WCE32" s="17"/>
      <c r="WCF32" s="17"/>
      <c r="WCG32" s="17"/>
      <c r="WCH32" s="17"/>
      <c r="WCI32" s="17"/>
      <c r="WCJ32" s="17"/>
      <c r="WCK32" s="17"/>
      <c r="WCL32" s="17"/>
      <c r="WCM32" s="17"/>
      <c r="WCN32" s="17"/>
      <c r="WCO32" s="17"/>
      <c r="WCP32" s="17"/>
      <c r="WCQ32" s="17"/>
      <c r="WCR32" s="17"/>
      <c r="WCS32" s="17"/>
      <c r="WCT32" s="17"/>
      <c r="WCU32" s="17"/>
      <c r="WCV32" s="17"/>
      <c r="WCW32" s="17"/>
      <c r="WCX32" s="17"/>
      <c r="WCY32" s="17"/>
      <c r="WCZ32" s="17"/>
      <c r="WDA32" s="17"/>
      <c r="WDB32" s="17"/>
      <c r="WDC32" s="17"/>
      <c r="WDD32" s="17"/>
      <c r="WDE32" s="17"/>
      <c r="WDF32" s="17"/>
      <c r="WDG32" s="17"/>
      <c r="WDH32" s="17"/>
      <c r="WDI32" s="17"/>
      <c r="WDJ32" s="17"/>
      <c r="WDK32" s="17"/>
      <c r="WDL32" s="17"/>
      <c r="WDM32" s="17"/>
      <c r="WDN32" s="17"/>
      <c r="WDO32" s="17"/>
      <c r="WDP32" s="17"/>
      <c r="WDQ32" s="17"/>
      <c r="WDR32" s="17"/>
      <c r="WDS32" s="17"/>
      <c r="WDT32" s="17"/>
      <c r="WDU32" s="17"/>
      <c r="WDV32" s="17"/>
      <c r="WDW32" s="17"/>
      <c r="WDX32" s="17"/>
      <c r="WDY32" s="17"/>
      <c r="WDZ32" s="17"/>
      <c r="WEA32" s="17"/>
      <c r="WEB32" s="17"/>
      <c r="WEC32" s="17"/>
      <c r="WED32" s="17"/>
      <c r="WEE32" s="17"/>
      <c r="WEF32" s="17"/>
      <c r="WEG32" s="17"/>
      <c r="WEH32" s="17"/>
      <c r="WEI32" s="17"/>
      <c r="WEJ32" s="17"/>
      <c r="WEK32" s="17"/>
      <c r="WEL32" s="17"/>
      <c r="WEM32" s="17"/>
      <c r="WEN32" s="17"/>
      <c r="WEO32" s="17"/>
      <c r="WEP32" s="17"/>
      <c r="WEQ32" s="17"/>
      <c r="WER32" s="17"/>
      <c r="WES32" s="17"/>
      <c r="WET32" s="17"/>
      <c r="WEU32" s="17"/>
      <c r="WEV32" s="17"/>
      <c r="WEW32" s="17"/>
      <c r="WEX32" s="17"/>
      <c r="WEY32" s="17"/>
      <c r="WEZ32" s="17"/>
      <c r="WFA32" s="17"/>
      <c r="WFB32" s="17"/>
      <c r="WFC32" s="17"/>
      <c r="WFD32" s="17"/>
      <c r="WFE32" s="17"/>
      <c r="WFF32" s="17"/>
      <c r="WFG32" s="17"/>
      <c r="WFH32" s="17"/>
      <c r="WFI32" s="17"/>
      <c r="WFJ32" s="17"/>
      <c r="WFK32" s="17"/>
      <c r="WFL32" s="17"/>
      <c r="WFM32" s="17"/>
      <c r="WFN32" s="17"/>
      <c r="WFO32" s="17"/>
      <c r="WFP32" s="17"/>
      <c r="WFQ32" s="17"/>
      <c r="WFR32" s="17"/>
      <c r="WFS32" s="17"/>
      <c r="WFT32" s="17"/>
      <c r="WFU32" s="17"/>
      <c r="WFV32" s="17"/>
      <c r="WFW32" s="17"/>
      <c r="WFX32" s="17"/>
      <c r="WFY32" s="17"/>
      <c r="WFZ32" s="17"/>
      <c r="WGA32" s="17"/>
      <c r="WGB32" s="17"/>
      <c r="WGC32" s="17"/>
      <c r="WGD32" s="17"/>
      <c r="WGE32" s="17"/>
      <c r="WGF32" s="17"/>
      <c r="WGG32" s="17"/>
      <c r="WGH32" s="17"/>
      <c r="WGI32" s="17"/>
      <c r="WGJ32" s="17"/>
      <c r="WGK32" s="17"/>
      <c r="WGL32" s="17"/>
      <c r="WGM32" s="17"/>
      <c r="WGN32" s="17"/>
      <c r="WGO32" s="17"/>
      <c r="WGP32" s="17"/>
      <c r="WGQ32" s="17"/>
      <c r="WGR32" s="17"/>
      <c r="WGS32" s="17"/>
      <c r="WGT32" s="17"/>
      <c r="WGU32" s="17"/>
      <c r="WGV32" s="17"/>
      <c r="WGW32" s="17"/>
      <c r="WGX32" s="17"/>
      <c r="WGY32" s="17"/>
      <c r="WGZ32" s="17"/>
      <c r="WHA32" s="17"/>
      <c r="WHB32" s="17"/>
      <c r="WHC32" s="17"/>
      <c r="WHD32" s="17"/>
      <c r="WHE32" s="17"/>
      <c r="WHF32" s="17"/>
      <c r="WHG32" s="17"/>
      <c r="WHH32" s="17"/>
      <c r="WHI32" s="17"/>
      <c r="WHJ32" s="17"/>
      <c r="WHK32" s="17"/>
      <c r="WHL32" s="17"/>
      <c r="WHM32" s="17"/>
      <c r="WHN32" s="17"/>
      <c r="WHO32" s="17"/>
      <c r="WHP32" s="17"/>
      <c r="WHQ32" s="17"/>
      <c r="WHR32" s="17"/>
      <c r="WHS32" s="17"/>
      <c r="WHT32" s="17"/>
      <c r="WHU32" s="17"/>
      <c r="WHV32" s="17"/>
      <c r="WHW32" s="17"/>
      <c r="WHX32" s="17"/>
      <c r="WHY32" s="17"/>
      <c r="WHZ32" s="17"/>
      <c r="WIA32" s="17"/>
      <c r="WIB32" s="17"/>
      <c r="WIC32" s="17"/>
      <c r="WID32" s="17"/>
      <c r="WIE32" s="17"/>
      <c r="WIF32" s="17"/>
      <c r="WIG32" s="17"/>
      <c r="WIH32" s="17"/>
      <c r="WII32" s="17"/>
      <c r="WIJ32" s="17"/>
      <c r="WIK32" s="17"/>
      <c r="WIL32" s="17"/>
      <c r="WIM32" s="17"/>
      <c r="WIN32" s="17"/>
      <c r="WIO32" s="17"/>
      <c r="WIP32" s="17"/>
      <c r="WIQ32" s="17"/>
      <c r="WIR32" s="17"/>
      <c r="WIS32" s="17"/>
      <c r="WIT32" s="17"/>
      <c r="WIU32" s="17"/>
      <c r="WIV32" s="17"/>
      <c r="WIW32" s="17"/>
      <c r="WIX32" s="17"/>
      <c r="WIY32" s="17"/>
      <c r="WIZ32" s="17"/>
      <c r="WJA32" s="17"/>
      <c r="WJB32" s="17"/>
      <c r="WJC32" s="17"/>
      <c r="WJD32" s="17"/>
      <c r="WJE32" s="17"/>
      <c r="WJF32" s="17"/>
      <c r="WJG32" s="17"/>
      <c r="WJH32" s="17"/>
      <c r="WJI32" s="17"/>
      <c r="WJJ32" s="17"/>
      <c r="WJK32" s="17"/>
      <c r="WJL32" s="17"/>
      <c r="WJM32" s="17"/>
      <c r="WJN32" s="17"/>
      <c r="WJO32" s="17"/>
      <c r="WJP32" s="17"/>
      <c r="WJQ32" s="17"/>
      <c r="WJR32" s="17"/>
      <c r="WJS32" s="17"/>
      <c r="WJT32" s="17"/>
      <c r="WJU32" s="17"/>
      <c r="WJV32" s="17"/>
      <c r="WJW32" s="17"/>
      <c r="WJX32" s="17"/>
      <c r="WJY32" s="17"/>
      <c r="WJZ32" s="17"/>
      <c r="WKA32" s="17"/>
      <c r="WKB32" s="17"/>
      <c r="WKC32" s="17"/>
      <c r="WKD32" s="17"/>
      <c r="WKE32" s="17"/>
      <c r="WKF32" s="17"/>
      <c r="WKG32" s="17"/>
      <c r="WKH32" s="17"/>
      <c r="WKI32" s="17"/>
      <c r="WKJ32" s="17"/>
      <c r="WKK32" s="17"/>
      <c r="WKL32" s="17"/>
      <c r="WKM32" s="17"/>
      <c r="WKN32" s="17"/>
      <c r="WKO32" s="17"/>
      <c r="WKP32" s="17"/>
      <c r="WKQ32" s="17"/>
      <c r="WKR32" s="17"/>
      <c r="WKS32" s="17"/>
      <c r="WKT32" s="17"/>
      <c r="WKU32" s="17"/>
      <c r="WKV32" s="17"/>
      <c r="WKW32" s="17"/>
      <c r="WKX32" s="17"/>
      <c r="WKY32" s="17"/>
      <c r="WKZ32" s="17"/>
      <c r="WLA32" s="17"/>
      <c r="WLB32" s="17"/>
      <c r="WLC32" s="17"/>
      <c r="WLD32" s="17"/>
      <c r="WLE32" s="17"/>
      <c r="WLF32" s="17"/>
      <c r="WLG32" s="17"/>
      <c r="WLH32" s="17"/>
      <c r="WLI32" s="17"/>
      <c r="WLJ32" s="17"/>
      <c r="WLK32" s="17"/>
      <c r="WLL32" s="17"/>
      <c r="WLM32" s="17"/>
      <c r="WLN32" s="17"/>
      <c r="WLO32" s="17"/>
      <c r="WLP32" s="17"/>
      <c r="WLQ32" s="17"/>
      <c r="WLR32" s="17"/>
      <c r="WLS32" s="17"/>
      <c r="WLT32" s="17"/>
      <c r="WLU32" s="17"/>
      <c r="WLV32" s="17"/>
      <c r="WLW32" s="17"/>
      <c r="WLX32" s="17"/>
      <c r="WLY32" s="17"/>
      <c r="WLZ32" s="17"/>
      <c r="WMA32" s="17"/>
      <c r="WMB32" s="17"/>
      <c r="WMC32" s="17"/>
      <c r="WMD32" s="17"/>
      <c r="WME32" s="17"/>
      <c r="WMF32" s="17"/>
      <c r="WMG32" s="17"/>
      <c r="WMH32" s="17"/>
      <c r="WMI32" s="17"/>
      <c r="WMJ32" s="17"/>
      <c r="WMK32" s="17"/>
      <c r="WML32" s="17"/>
      <c r="WMM32" s="17"/>
      <c r="WMN32" s="17"/>
      <c r="WMO32" s="17"/>
      <c r="WMP32" s="17"/>
      <c r="WMQ32" s="17"/>
      <c r="WMR32" s="17"/>
      <c r="WMS32" s="17"/>
      <c r="WMT32" s="17"/>
      <c r="WMU32" s="17"/>
      <c r="WMV32" s="17"/>
      <c r="WMW32" s="17"/>
      <c r="WMX32" s="17"/>
      <c r="WMY32" s="17"/>
      <c r="WMZ32" s="17"/>
      <c r="WNA32" s="17"/>
      <c r="WNB32" s="17"/>
      <c r="WNC32" s="17"/>
      <c r="WND32" s="17"/>
      <c r="WNE32" s="17"/>
      <c r="WNF32" s="17"/>
      <c r="WNG32" s="17"/>
      <c r="WNH32" s="17"/>
      <c r="WNI32" s="17"/>
      <c r="WNJ32" s="17"/>
      <c r="WNK32" s="17"/>
      <c r="WNL32" s="17"/>
      <c r="WNM32" s="17"/>
      <c r="WNN32" s="17"/>
      <c r="WNO32" s="17"/>
      <c r="WNP32" s="17"/>
      <c r="WNQ32" s="17"/>
      <c r="WNR32" s="17"/>
      <c r="WNS32" s="17"/>
      <c r="WNT32" s="17"/>
      <c r="WNU32" s="17"/>
      <c r="WNV32" s="17"/>
      <c r="WNW32" s="17"/>
      <c r="WNX32" s="17"/>
      <c r="WNY32" s="17"/>
      <c r="WNZ32" s="17"/>
      <c r="WOA32" s="17"/>
      <c r="WOB32" s="17"/>
      <c r="WOC32" s="17"/>
      <c r="WOD32" s="17"/>
      <c r="WOE32" s="17"/>
      <c r="WOF32" s="17"/>
      <c r="WOG32" s="17"/>
      <c r="WOH32" s="17"/>
      <c r="WOI32" s="17"/>
      <c r="WOJ32" s="17"/>
      <c r="WOK32" s="17"/>
      <c r="WOL32" s="17"/>
      <c r="WOM32" s="17"/>
      <c r="WON32" s="17"/>
      <c r="WOO32" s="17"/>
      <c r="WOP32" s="17"/>
      <c r="WOQ32" s="17"/>
      <c r="WOR32" s="17"/>
      <c r="WOS32" s="17"/>
      <c r="WOT32" s="17"/>
      <c r="WOU32" s="17"/>
      <c r="WOV32" s="17"/>
      <c r="WOW32" s="17"/>
      <c r="WOX32" s="17"/>
      <c r="WOY32" s="17"/>
      <c r="WOZ32" s="17"/>
      <c r="WPA32" s="17"/>
      <c r="WPB32" s="17"/>
      <c r="WPC32" s="17"/>
      <c r="WPD32" s="17"/>
      <c r="WPE32" s="17"/>
      <c r="WPF32" s="17"/>
      <c r="WPG32" s="17"/>
      <c r="WPH32" s="17"/>
      <c r="WPI32" s="17"/>
      <c r="WPJ32" s="17"/>
      <c r="WPK32" s="17"/>
      <c r="WPL32" s="17"/>
      <c r="WPM32" s="17"/>
      <c r="WPN32" s="17"/>
      <c r="WPO32" s="17"/>
      <c r="WPP32" s="17"/>
      <c r="WPQ32" s="17"/>
      <c r="WPR32" s="17"/>
      <c r="WPS32" s="17"/>
      <c r="WPT32" s="17"/>
      <c r="WPU32" s="17"/>
      <c r="WPV32" s="17"/>
      <c r="WPW32" s="17"/>
      <c r="WPX32" s="17"/>
      <c r="WPY32" s="17"/>
      <c r="WPZ32" s="17"/>
      <c r="WQA32" s="17"/>
      <c r="WQB32" s="17"/>
      <c r="WQC32" s="17"/>
      <c r="WQD32" s="17"/>
      <c r="WQE32" s="17"/>
      <c r="WQF32" s="17"/>
      <c r="WQG32" s="17"/>
      <c r="WQH32" s="17"/>
      <c r="WQI32" s="17"/>
      <c r="WQJ32" s="17"/>
      <c r="WQK32" s="17"/>
      <c r="WQL32" s="17"/>
      <c r="WQM32" s="17"/>
      <c r="WQN32" s="17"/>
      <c r="WQO32" s="17"/>
      <c r="WQP32" s="17"/>
      <c r="WQQ32" s="17"/>
      <c r="WQR32" s="17"/>
      <c r="WQS32" s="17"/>
      <c r="WQT32" s="17"/>
      <c r="WQU32" s="17"/>
      <c r="WQV32" s="17"/>
      <c r="WQW32" s="17"/>
      <c r="WQX32" s="17"/>
      <c r="WQY32" s="17"/>
      <c r="WQZ32" s="17"/>
      <c r="WRA32" s="17"/>
      <c r="WRB32" s="17"/>
      <c r="WRC32" s="17"/>
      <c r="WRD32" s="17"/>
      <c r="WRE32" s="17"/>
      <c r="WRF32" s="17"/>
      <c r="WRG32" s="17"/>
      <c r="WRH32" s="17"/>
      <c r="WRI32" s="17"/>
      <c r="WRJ32" s="17"/>
      <c r="WRK32" s="17"/>
      <c r="WRL32" s="17"/>
      <c r="WRM32" s="17"/>
      <c r="WRN32" s="17"/>
      <c r="WRO32" s="17"/>
      <c r="WRP32" s="17"/>
      <c r="WRQ32" s="17"/>
      <c r="WRR32" s="17"/>
      <c r="WRS32" s="17"/>
      <c r="WRT32" s="17"/>
      <c r="WRU32" s="17"/>
      <c r="WRV32" s="17"/>
      <c r="WRW32" s="17"/>
      <c r="WRX32" s="17"/>
      <c r="WRY32" s="17"/>
      <c r="WRZ32" s="17"/>
      <c r="WSA32" s="17"/>
      <c r="WSB32" s="17"/>
      <c r="WSC32" s="17"/>
      <c r="WSD32" s="17"/>
      <c r="WSE32" s="17"/>
      <c r="WSF32" s="17"/>
      <c r="WSG32" s="17"/>
      <c r="WSH32" s="17"/>
      <c r="WSI32" s="17"/>
      <c r="WSJ32" s="17"/>
      <c r="WSK32" s="17"/>
      <c r="WSL32" s="17"/>
      <c r="WSM32" s="17"/>
      <c r="WSN32" s="17"/>
      <c r="WSO32" s="17"/>
      <c r="WSP32" s="17"/>
      <c r="WSQ32" s="17"/>
      <c r="WSR32" s="17"/>
      <c r="WSS32" s="17"/>
      <c r="WST32" s="17"/>
      <c r="WSU32" s="17"/>
      <c r="WSV32" s="17"/>
      <c r="WSW32" s="17"/>
      <c r="WSX32" s="17"/>
      <c r="WSY32" s="17"/>
      <c r="WSZ32" s="17"/>
      <c r="WTA32" s="17"/>
      <c r="WTB32" s="17"/>
      <c r="WTC32" s="17"/>
      <c r="WTD32" s="17"/>
      <c r="WTE32" s="17"/>
      <c r="WTF32" s="17"/>
      <c r="WTG32" s="17"/>
      <c r="WTH32" s="17"/>
      <c r="WTI32" s="17"/>
      <c r="WTJ32" s="17"/>
      <c r="WTK32" s="17"/>
      <c r="WTL32" s="17"/>
      <c r="WTM32" s="17"/>
      <c r="WTN32" s="17"/>
      <c r="WTO32" s="17"/>
      <c r="WTP32" s="17"/>
      <c r="WTQ32" s="17"/>
      <c r="WTR32" s="17"/>
      <c r="WTS32" s="17"/>
      <c r="WTT32" s="17"/>
      <c r="WTU32" s="17"/>
      <c r="WTV32" s="17"/>
      <c r="WTW32" s="17"/>
      <c r="WTX32" s="17"/>
      <c r="WTY32" s="17"/>
      <c r="WTZ32" s="17"/>
      <c r="WUA32" s="17"/>
      <c r="WUB32" s="17"/>
      <c r="WUC32" s="17"/>
      <c r="WUD32" s="17"/>
      <c r="WUE32" s="17"/>
      <c r="WUF32" s="17"/>
      <c r="WUG32" s="17"/>
      <c r="WUH32" s="17"/>
      <c r="WUI32" s="17"/>
      <c r="WUJ32" s="17"/>
      <c r="WUK32" s="17"/>
      <c r="WUL32" s="17"/>
      <c r="WUM32" s="17"/>
      <c r="WUN32" s="17"/>
      <c r="WUO32" s="17"/>
      <c r="WUP32" s="17"/>
      <c r="WUQ32" s="17"/>
      <c r="WUR32" s="17"/>
      <c r="WUS32" s="17"/>
      <c r="WUT32" s="17"/>
      <c r="WUU32" s="17"/>
      <c r="WUV32" s="17"/>
      <c r="WUW32" s="17"/>
      <c r="WUX32" s="17"/>
      <c r="WUY32" s="17"/>
      <c r="WUZ32" s="17"/>
      <c r="WVA32" s="17"/>
      <c r="WVB32" s="17"/>
      <c r="WVC32" s="17"/>
      <c r="WVD32" s="17"/>
      <c r="WVE32" s="17"/>
      <c r="WVF32" s="17"/>
      <c r="WVG32" s="17"/>
      <c r="WVH32" s="17"/>
      <c r="WVI32" s="17"/>
      <c r="WVJ32" s="17"/>
      <c r="WVK32" s="17"/>
      <c r="WVL32" s="17"/>
      <c r="WVM32" s="17"/>
      <c r="WVN32" s="17"/>
      <c r="WVO32" s="17"/>
      <c r="WVP32" s="17"/>
      <c r="WVQ32" s="17"/>
      <c r="WVR32" s="17"/>
      <c r="WVS32" s="17"/>
      <c r="WVT32" s="17"/>
      <c r="WVU32" s="17"/>
      <c r="WVV32" s="17"/>
      <c r="WVW32" s="17"/>
      <c r="WVX32" s="17"/>
      <c r="WVY32" s="17"/>
      <c r="WVZ32" s="17"/>
      <c r="WWA32" s="17"/>
      <c r="WWB32" s="17"/>
      <c r="WWC32" s="17"/>
      <c r="WWD32" s="17"/>
      <c r="WWE32" s="17"/>
      <c r="WWF32" s="17"/>
      <c r="WWG32" s="17"/>
      <c r="WWH32" s="17"/>
      <c r="WWI32" s="17"/>
      <c r="WWJ32" s="17"/>
      <c r="WWK32" s="17"/>
      <c r="WWL32" s="17"/>
      <c r="WWM32" s="17"/>
      <c r="WWN32" s="17"/>
      <c r="WWO32" s="17"/>
      <c r="WWP32" s="17"/>
      <c r="WWQ32" s="17"/>
      <c r="WWR32" s="17"/>
      <c r="WWS32" s="17"/>
      <c r="WWT32" s="17"/>
      <c r="WWU32" s="17"/>
      <c r="WWV32" s="17"/>
      <c r="WWW32" s="17"/>
      <c r="WWX32" s="17"/>
      <c r="WWY32" s="17"/>
      <c r="WWZ32" s="17"/>
      <c r="WXA32" s="17"/>
      <c r="WXB32" s="17"/>
      <c r="WXC32" s="17"/>
      <c r="WXD32" s="17"/>
      <c r="WXE32" s="17"/>
      <c r="WXF32" s="17"/>
      <c r="WXG32" s="17"/>
      <c r="WXH32" s="17"/>
      <c r="WXI32" s="17"/>
      <c r="WXJ32" s="17"/>
      <c r="WXK32" s="17"/>
      <c r="WXL32" s="17"/>
      <c r="WXM32" s="17"/>
      <c r="WXN32" s="17"/>
      <c r="WXO32" s="17"/>
      <c r="WXP32" s="17"/>
      <c r="WXQ32" s="17"/>
      <c r="WXR32" s="17"/>
      <c r="WXS32" s="17"/>
      <c r="WXT32" s="17"/>
      <c r="WXU32" s="17"/>
      <c r="WXV32" s="17"/>
      <c r="WXW32" s="17"/>
      <c r="WXX32" s="17"/>
      <c r="WXY32" s="17"/>
      <c r="WXZ32" s="17"/>
      <c r="WYA32" s="17"/>
      <c r="WYB32" s="17"/>
      <c r="WYC32" s="17"/>
      <c r="WYD32" s="17"/>
      <c r="WYE32" s="17"/>
      <c r="WYF32" s="17"/>
      <c r="WYG32" s="17"/>
      <c r="WYH32" s="17"/>
      <c r="WYI32" s="17"/>
      <c r="WYJ32" s="17"/>
      <c r="WYK32" s="17"/>
      <c r="WYL32" s="17"/>
      <c r="WYM32" s="17"/>
      <c r="WYN32" s="17"/>
      <c r="WYO32" s="17"/>
      <c r="WYP32" s="17"/>
      <c r="WYQ32" s="17"/>
      <c r="WYR32" s="17"/>
      <c r="WYS32" s="17"/>
      <c r="WYT32" s="17"/>
      <c r="WYU32" s="17"/>
      <c r="WYV32" s="17"/>
      <c r="WYW32" s="17"/>
      <c r="WYX32" s="17"/>
      <c r="WYY32" s="17"/>
      <c r="WYZ32" s="17"/>
      <c r="WZA32" s="17"/>
      <c r="WZB32" s="17"/>
      <c r="WZC32" s="17"/>
      <c r="WZD32" s="17"/>
      <c r="WZE32" s="17"/>
      <c r="WZF32" s="17"/>
      <c r="WZG32" s="17"/>
      <c r="WZH32" s="17"/>
      <c r="WZI32" s="17"/>
      <c r="WZJ32" s="17"/>
      <c r="WZK32" s="17"/>
      <c r="WZL32" s="17"/>
      <c r="WZM32" s="17"/>
      <c r="WZN32" s="17"/>
      <c r="WZO32" s="17"/>
      <c r="WZP32" s="17"/>
      <c r="WZQ32" s="17"/>
      <c r="WZR32" s="17"/>
      <c r="WZS32" s="17"/>
      <c r="WZT32" s="17"/>
      <c r="WZU32" s="17"/>
      <c r="WZV32" s="17"/>
      <c r="WZW32" s="17"/>
      <c r="WZX32" s="17"/>
      <c r="WZY32" s="17"/>
      <c r="WZZ32" s="17"/>
      <c r="XAA32" s="17"/>
      <c r="XAB32" s="17"/>
      <c r="XAC32" s="17"/>
      <c r="XAD32" s="17"/>
      <c r="XAE32" s="17"/>
      <c r="XAF32" s="17"/>
      <c r="XAG32" s="17"/>
      <c r="XAH32" s="17"/>
      <c r="XAI32" s="17"/>
      <c r="XAJ32" s="17"/>
      <c r="XAK32" s="17"/>
      <c r="XAL32" s="17"/>
      <c r="XAM32" s="17"/>
      <c r="XAN32" s="17"/>
      <c r="XAO32" s="17"/>
      <c r="XAP32" s="17"/>
      <c r="XAQ32" s="17"/>
      <c r="XAR32" s="17"/>
      <c r="XAS32" s="17"/>
      <c r="XAT32" s="17"/>
      <c r="XAU32" s="17"/>
      <c r="XAV32" s="17"/>
      <c r="XAW32" s="17"/>
      <c r="XAX32" s="17"/>
      <c r="XAY32" s="17"/>
      <c r="XAZ32" s="17"/>
      <c r="XBA32" s="17"/>
      <c r="XBB32" s="17"/>
      <c r="XBC32" s="17"/>
      <c r="XBD32" s="17"/>
      <c r="XBE32" s="17"/>
      <c r="XBF32" s="17"/>
      <c r="XBG32" s="17"/>
      <c r="XBH32" s="17"/>
      <c r="XBI32" s="17"/>
      <c r="XBJ32" s="17"/>
      <c r="XBK32" s="17"/>
      <c r="XBL32" s="17"/>
      <c r="XBM32" s="17"/>
      <c r="XBN32" s="17"/>
      <c r="XBO32" s="17"/>
      <c r="XBP32" s="17"/>
      <c r="XBQ32" s="17"/>
      <c r="XBR32" s="17"/>
      <c r="XBS32" s="17"/>
      <c r="XBT32" s="17"/>
      <c r="XBU32" s="17"/>
      <c r="XBV32" s="17"/>
      <c r="XBW32" s="17"/>
      <c r="XBX32" s="17"/>
      <c r="XBY32" s="17"/>
      <c r="XBZ32" s="17"/>
      <c r="XCA32" s="17"/>
      <c r="XCB32" s="17"/>
      <c r="XCC32" s="17"/>
      <c r="XCD32" s="17"/>
      <c r="XCE32" s="17"/>
      <c r="XCF32" s="17"/>
      <c r="XCG32" s="17"/>
      <c r="XCH32" s="17"/>
      <c r="XCI32" s="17"/>
      <c r="XCJ32" s="17"/>
      <c r="XCK32" s="17"/>
      <c r="XCL32" s="17"/>
      <c r="XCM32" s="17"/>
      <c r="XCN32" s="17"/>
      <c r="XCO32" s="17"/>
      <c r="XCP32" s="17"/>
      <c r="XCQ32" s="17"/>
      <c r="XCR32" s="17"/>
      <c r="XCS32" s="17"/>
      <c r="XCT32" s="17"/>
      <c r="XCU32" s="17"/>
      <c r="XCV32" s="17"/>
      <c r="XCW32" s="17"/>
      <c r="XCX32" s="17"/>
      <c r="XCY32" s="17"/>
      <c r="XCZ32" s="17"/>
      <c r="XDA32" s="17"/>
      <c r="XDB32" s="17"/>
      <c r="XDC32" s="17"/>
      <c r="XDD32" s="17"/>
      <c r="XDE32" s="17"/>
      <c r="XDF32" s="17"/>
      <c r="XDG32" s="17"/>
      <c r="XDH32" s="17"/>
      <c r="XDI32" s="17"/>
      <c r="XDJ32" s="17"/>
      <c r="XDK32" s="17"/>
      <c r="XDL32" s="17"/>
      <c r="XDM32" s="17"/>
      <c r="XDN32" s="17"/>
      <c r="XDO32" s="17"/>
      <c r="XDP32" s="17"/>
      <c r="XDQ32" s="17"/>
      <c r="XDR32" s="17"/>
      <c r="XDS32" s="17"/>
      <c r="XDT32" s="17"/>
      <c r="XDU32" s="17"/>
      <c r="XDV32" s="17"/>
      <c r="XDW32" s="17"/>
      <c r="XDX32" s="17"/>
      <c r="XDY32" s="17"/>
      <c r="XDZ32" s="17"/>
      <c r="XEA32" s="17"/>
      <c r="XEB32" s="17"/>
      <c r="XEC32" s="17"/>
      <c r="XED32" s="17"/>
      <c r="XEE32" s="17"/>
      <c r="XEF32" s="17"/>
      <c r="XEG32" s="17"/>
      <c r="XEH32" s="17"/>
      <c r="XEI32" s="17"/>
      <c r="XEJ32" s="17"/>
      <c r="XEK32" s="17"/>
      <c r="XEL32" s="17"/>
      <c r="XEM32" s="17"/>
      <c r="XEN32" s="17"/>
      <c r="XEO32" s="17"/>
      <c r="XEP32" s="17"/>
      <c r="XEQ32" s="17"/>
      <c r="XER32" s="17"/>
      <c r="XES32" s="17"/>
      <c r="XET32" s="17"/>
      <c r="XEU32" s="17"/>
      <c r="XEV32" s="17"/>
      <c r="XEW32" s="17"/>
      <c r="XEX32" s="17"/>
      <c r="XEY32" s="17"/>
      <c r="XEZ32" s="17"/>
      <c r="XFA32" s="17"/>
      <c r="XFB32" s="17"/>
      <c r="XFC32" s="17"/>
      <c r="XFD32" s="17"/>
    </row>
    <row r="34" spans="1:34" x14ac:dyDescent="0.2">
      <c r="A34" t="s">
        <v>66</v>
      </c>
    </row>
    <row r="35" spans="1:34" x14ac:dyDescent="0.2">
      <c r="A35" t="s">
        <v>50</v>
      </c>
    </row>
    <row r="36" spans="1:34" x14ac:dyDescent="0.2">
      <c r="A36" t="s">
        <v>55</v>
      </c>
      <c r="G36" s="1"/>
      <c r="H36" s="1"/>
    </row>
    <row r="38" spans="1:34" x14ac:dyDescent="0.2">
      <c r="A38" s="17" t="s">
        <v>69</v>
      </c>
    </row>
    <row r="39" spans="1:34" x14ac:dyDescent="0.2">
      <c r="A39" s="35" t="s">
        <v>44</v>
      </c>
    </row>
    <row r="40" spans="1:34" x14ac:dyDescent="0.2">
      <c r="A40" t="s">
        <v>51</v>
      </c>
    </row>
    <row r="41" spans="1:34" x14ac:dyDescent="0.2">
      <c r="A41" t="s">
        <v>68</v>
      </c>
    </row>
    <row r="42" spans="1:34" x14ac:dyDescent="0.2">
      <c r="A42" s="35" t="s">
        <v>70</v>
      </c>
    </row>
    <row r="43" spans="1:34" x14ac:dyDescent="0.2">
      <c r="A43" t="s">
        <v>71</v>
      </c>
    </row>
    <row r="45" spans="1:34" x14ac:dyDescent="0.2">
      <c r="A45" s="46" t="s">
        <v>59</v>
      </c>
    </row>
    <row r="47" spans="1:34" x14ac:dyDescent="0.2">
      <c r="A47" s="24" t="s">
        <v>18</v>
      </c>
      <c r="B47" s="24" t="s">
        <v>42</v>
      </c>
      <c r="C47" s="24" t="s">
        <v>43</v>
      </c>
      <c r="D47" s="6">
        <v>2024</v>
      </c>
      <c r="E47" s="6">
        <v>2025</v>
      </c>
      <c r="F47" s="6">
        <v>2026</v>
      </c>
      <c r="G47" s="6">
        <v>2027</v>
      </c>
      <c r="H47" s="6">
        <v>2028</v>
      </c>
      <c r="I47" s="6">
        <v>2029</v>
      </c>
      <c r="J47" s="6">
        <v>2030</v>
      </c>
      <c r="K47" s="6">
        <v>2031</v>
      </c>
      <c r="L47" s="6">
        <v>2032</v>
      </c>
      <c r="M47" s="6">
        <v>2033</v>
      </c>
      <c r="N47" s="50">
        <v>2034</v>
      </c>
      <c r="O47" s="50">
        <v>2035</v>
      </c>
      <c r="P47" s="50">
        <v>2036</v>
      </c>
      <c r="Q47" s="50">
        <v>2037</v>
      </c>
      <c r="R47" s="50">
        <v>2038</v>
      </c>
      <c r="S47" s="50">
        <v>2039</v>
      </c>
      <c r="T47" s="50">
        <v>2040</v>
      </c>
      <c r="U47" s="50">
        <v>2041</v>
      </c>
      <c r="V47" s="50">
        <v>2042</v>
      </c>
      <c r="W47" s="50">
        <v>2043</v>
      </c>
      <c r="X47" s="50">
        <v>2044</v>
      </c>
      <c r="Y47" s="50">
        <v>2045</v>
      </c>
      <c r="Z47" s="50">
        <v>2046</v>
      </c>
      <c r="AA47" s="50">
        <v>2047</v>
      </c>
      <c r="AB47" s="50">
        <v>2048</v>
      </c>
      <c r="AC47" s="50">
        <v>2049</v>
      </c>
      <c r="AD47" s="50">
        <v>2050</v>
      </c>
      <c r="AE47" s="50">
        <v>2051</v>
      </c>
      <c r="AF47" s="50">
        <v>2052</v>
      </c>
      <c r="AG47" s="50">
        <v>2053</v>
      </c>
      <c r="AH47" s="6" t="s">
        <v>1</v>
      </c>
    </row>
    <row r="48" spans="1:34" x14ac:dyDescent="0.2">
      <c r="A48" s="25" t="str">
        <f t="shared" ref="A48:A71" si="8">A4</f>
        <v>Buenos Aires</v>
      </c>
      <c r="B48" s="51" t="str">
        <f>$C$3</f>
        <v>Nombre UdM 1</v>
      </c>
      <c r="C48" s="25" t="str">
        <f>CONCATENATE(A48," ",B48)</f>
        <v>Buenos Aires Nombre UdM 1</v>
      </c>
      <c r="D48" s="32">
        <f>VLOOKUP($A48,$A$4:$O$28,2,0)*(HLOOKUP(D$47,'2.2.Brecha Efectiva x UdM'!$H$25:$AK$32,2,0))</f>
        <v>322617060.62610865</v>
      </c>
      <c r="E48" s="32">
        <f>VLOOKUP($A48,$A$4:$O$28,2,0)*(HLOOKUP(E$47,'2.2.Brecha Efectiva x UdM'!$H$25:$AK$32,2,0))</f>
        <v>325400733.55427635</v>
      </c>
      <c r="F48" s="32">
        <f>VLOOKUP($A48,$A$4:$O$28,2,0)*(HLOOKUP(F$47,'2.2.Brecha Efectiva x UdM'!$H$25:$AK$32,2,0))</f>
        <v>202062805.6733779</v>
      </c>
      <c r="G48" s="32">
        <f>VLOOKUP($A48,$A$4:$O$28,2,0)*(HLOOKUP(G$47,'2.2.Brecha Efectiva x UdM'!$H$25:$AK$32,2,0))</f>
        <v>160272700.8679004</v>
      </c>
      <c r="H48" s="32">
        <f>VLOOKUP($A48,$A$4:$O$28,2,0)*(HLOOKUP(H$47,'2.2.Brecha Efectiva x UdM'!$H$25:$AK$32,2,0))</f>
        <v>84545738.845488682</v>
      </c>
      <c r="I48" s="32">
        <f>VLOOKUP($A48,$A$4:$O$28,2,0)*(HLOOKUP(I$47,'2.2.Brecha Efectiva x UdM'!$H$25:$AK$32,2,0))</f>
        <v>85206579.867398396</v>
      </c>
      <c r="J48" s="32">
        <f>VLOOKUP($A48,$A$4:$O$28,2,0)*(HLOOKUP(J$47,'2.2.Brecha Efectiva x UdM'!$H$25:$AK$32,2,0))</f>
        <v>85855767.769495428</v>
      </c>
      <c r="K48" s="32">
        <f>VLOOKUP($A48,$A$4:$O$28,2,0)*(HLOOKUP(K$47,'2.2.Brecha Efectiva x UdM'!$H$25:$AK$32,2,0))</f>
        <v>79795469.611249581</v>
      </c>
      <c r="L48" s="32">
        <f>VLOOKUP($A48,$A$4:$O$28,2,0)*(HLOOKUP(L$47,'2.2.Brecha Efectiva x UdM'!$H$25:$AK$32,2,0))</f>
        <v>80373540.287953585</v>
      </c>
      <c r="M48" s="32">
        <f>VLOOKUP($A48,$A$4:$O$28,2,0)*(HLOOKUP(M$47,'2.2.Brecha Efectiva x UdM'!$H$25:$AK$32,2,0))</f>
        <v>80941164.860328794</v>
      </c>
      <c r="N48" s="32">
        <f>VLOOKUP($A48,$A$4:$O$28,2,0)*(HLOOKUP(N$47,'2.2.Brecha Efectiva x UdM'!$H$25:$AK$32,2,0))</f>
        <v>0</v>
      </c>
      <c r="O48" s="32">
        <f>VLOOKUP($A48,$A$4:$O$28,2,0)*(HLOOKUP(O$47,'2.2.Brecha Efectiva x UdM'!$H$25:$AK$32,2,0))</f>
        <v>0</v>
      </c>
      <c r="P48" s="32">
        <f>VLOOKUP($A48,$A$4:$O$28,2,0)*(HLOOKUP(P$47,'2.2.Brecha Efectiva x UdM'!$H$25:$AK$32,2,0))</f>
        <v>0</v>
      </c>
      <c r="Q48" s="32">
        <f>VLOOKUP($A48,$A$4:$O$28,2,0)*(HLOOKUP(Q$47,'2.2.Brecha Efectiva x UdM'!$H$25:$AK$32,2,0))</f>
        <v>0</v>
      </c>
      <c r="R48" s="32">
        <f>VLOOKUP($A48,$A$4:$O$28,2,0)*(HLOOKUP(R$47,'2.2.Brecha Efectiva x UdM'!$H$25:$AK$32,2,0))</f>
        <v>0</v>
      </c>
      <c r="S48" s="32">
        <f>VLOOKUP($A48,$A$4:$O$28,2,0)*(HLOOKUP(S$47,'2.2.Brecha Efectiva x UdM'!$H$25:$AK$32,2,0))</f>
        <v>0</v>
      </c>
      <c r="T48" s="32">
        <f>VLOOKUP($A48,$A$4:$O$28,2,0)*(HLOOKUP(T$47,'2.2.Brecha Efectiva x UdM'!$H$25:$AK$32,2,0))</f>
        <v>0</v>
      </c>
      <c r="U48" s="32">
        <f>VLOOKUP($A48,$A$4:$O$28,2,0)*(HLOOKUP(U$47,'2.2.Brecha Efectiva x UdM'!$H$25:$AK$32,2,0))</f>
        <v>0</v>
      </c>
      <c r="V48" s="32">
        <f>VLOOKUP($A48,$A$4:$O$28,2,0)*(HLOOKUP(V$47,'2.2.Brecha Efectiva x UdM'!$H$25:$AK$32,2,0))</f>
        <v>0</v>
      </c>
      <c r="W48" s="32">
        <f>VLOOKUP($A48,$A$4:$O$28,2,0)*(HLOOKUP(W$47,'2.2.Brecha Efectiva x UdM'!$H$25:$AK$32,2,0))</f>
        <v>0</v>
      </c>
      <c r="X48" s="32">
        <f>VLOOKUP($A48,$A$4:$O$28,2,0)*(HLOOKUP(X$47,'2.2.Brecha Efectiva x UdM'!$H$25:$AK$32,2,0))</f>
        <v>0</v>
      </c>
      <c r="Y48" s="32">
        <f>VLOOKUP($A48,$A$4:$O$28,2,0)*(HLOOKUP(Y$47,'2.2.Brecha Efectiva x UdM'!$H$25:$AK$32,2,0))</f>
        <v>0</v>
      </c>
      <c r="Z48" s="32">
        <f>VLOOKUP($A48,$A$4:$O$28,2,0)*(HLOOKUP(Z$47,'2.2.Brecha Efectiva x UdM'!$H$25:$AK$32,2,0))</f>
        <v>0</v>
      </c>
      <c r="AA48" s="32">
        <f>VLOOKUP($A48,$A$4:$O$28,2,0)*(HLOOKUP(AA$47,'2.2.Brecha Efectiva x UdM'!$H$25:$AK$32,2,0))</f>
        <v>0</v>
      </c>
      <c r="AB48" s="32">
        <f>VLOOKUP($A48,$A$4:$O$28,2,0)*(HLOOKUP(AB$47,'2.2.Brecha Efectiva x UdM'!$H$25:$AK$32,2,0))</f>
        <v>0</v>
      </c>
      <c r="AC48" s="32">
        <f>VLOOKUP($A48,$A$4:$O$28,2,0)*(HLOOKUP(AC$47,'2.2.Brecha Efectiva x UdM'!$H$25:$AK$32,2,0))</f>
        <v>0</v>
      </c>
      <c r="AD48" s="32">
        <f>VLOOKUP($A48,$A$4:$O$28,2,0)*(HLOOKUP(AD$47,'2.2.Brecha Efectiva x UdM'!$H$25:$AK$32,2,0))</f>
        <v>0</v>
      </c>
      <c r="AE48" s="32">
        <f>VLOOKUP($A48,$A$4:$O$28,2,0)*(HLOOKUP(AE$47,'2.2.Brecha Efectiva x UdM'!$H$25:$AK$32,2,0))</f>
        <v>0</v>
      </c>
      <c r="AF48" s="32">
        <f>VLOOKUP($A48,$A$4:$O$28,2,0)*(HLOOKUP(AF$47,'2.2.Brecha Efectiva x UdM'!$H$25:$AK$32,2,0))</f>
        <v>0</v>
      </c>
      <c r="AG48" s="32">
        <f>VLOOKUP($A48,$A$4:$O$28,2,0)*(HLOOKUP(AG$47,'2.2.Brecha Efectiva x UdM'!$H$25:$AK$32,2,0))</f>
        <v>0</v>
      </c>
      <c r="AH48" s="62">
        <f>SUM(D48:AG48)</f>
        <v>1507071561.9635782</v>
      </c>
    </row>
    <row r="49" spans="1:34" x14ac:dyDescent="0.2">
      <c r="A49" s="26" t="str">
        <f t="shared" si="8"/>
        <v>CABA</v>
      </c>
      <c r="B49" s="52" t="str">
        <f t="shared" ref="B49:B71" si="9">$C$3</f>
        <v>Nombre UdM 1</v>
      </c>
      <c r="C49" s="26" t="str">
        <f t="shared" ref="C49:C71" si="10">CONCATENATE(A49," ",B49)</f>
        <v>CABA Nombre UdM 1</v>
      </c>
      <c r="D49" s="31">
        <f>VLOOKUP($A49,$A$4:$O$28,2,0)*(HLOOKUP(D$47,'2.2.Brecha Efectiva x UdM'!$H$25:$AK$32,2,0))</f>
        <v>209783.79666880725</v>
      </c>
      <c r="E49" s="31">
        <f>VLOOKUP($A49,$A$4:$O$28,2,0)*(HLOOKUP(E$47,'2.2.Brecha Efectiva x UdM'!$H$25:$AK$32,2,0))</f>
        <v>211593.89770444957</v>
      </c>
      <c r="F49" s="31">
        <f>VLOOKUP($A49,$A$4:$O$28,2,0)*(HLOOKUP(F$47,'2.2.Brecha Efectiva x UdM'!$H$25:$AK$32,2,0))</f>
        <v>131392.62523019264</v>
      </c>
      <c r="G49" s="31">
        <f>VLOOKUP($A49,$A$4:$O$28,2,0)*(HLOOKUP(G$47,'2.2.Brecha Efectiva x UdM'!$H$25:$AK$32,2,0))</f>
        <v>104218.34364611773</v>
      </c>
      <c r="H49" s="31">
        <f>VLOOKUP($A49,$A$4:$O$28,2,0)*(HLOOKUP(H$47,'2.2.Brecha Efectiva x UdM'!$H$25:$AK$32,2,0))</f>
        <v>54976.404697119469</v>
      </c>
      <c r="I49" s="31">
        <f>VLOOKUP($A49,$A$4:$O$28,2,0)*(HLOOKUP(I$47,'2.2.Brecha Efectiva x UdM'!$H$25:$AK$32,2,0))</f>
        <v>55406.120776925258</v>
      </c>
      <c r="J49" s="31">
        <f>VLOOKUP($A49,$A$4:$O$28,2,0)*(HLOOKUP(J$47,'2.2.Brecha Efectiva x UdM'!$H$25:$AK$32,2,0))</f>
        <v>55828.259341417383</v>
      </c>
      <c r="K49" s="31">
        <f>VLOOKUP($A49,$A$4:$O$28,2,0)*(HLOOKUP(K$47,'2.2.Brecha Efectiva x UdM'!$H$25:$AK$32,2,0))</f>
        <v>51887.511898878358</v>
      </c>
      <c r="L49" s="31">
        <f>VLOOKUP($A49,$A$4:$O$28,2,0)*(HLOOKUP(L$47,'2.2.Brecha Efectiva x UdM'!$H$25:$AK$32,2,0))</f>
        <v>52263.406034999127</v>
      </c>
      <c r="M49" s="31">
        <f>VLOOKUP($A49,$A$4:$O$28,2,0)*(HLOOKUP(M$47,'2.2.Brecha Efectiva x UdM'!$H$25:$AK$32,2,0))</f>
        <v>52632.507525305562</v>
      </c>
      <c r="N49" s="31">
        <f>VLOOKUP($A49,$A$4:$O$28,2,0)*(HLOOKUP(N$47,'2.2.Brecha Efectiva x UdM'!$H$25:$AK$32,2,0))</f>
        <v>0</v>
      </c>
      <c r="O49" s="31">
        <f>VLOOKUP($A49,$A$4:$O$28,2,0)*(HLOOKUP(O$47,'2.2.Brecha Efectiva x UdM'!$H$25:$AK$32,2,0))</f>
        <v>0</v>
      </c>
      <c r="P49" s="31">
        <f>VLOOKUP($A49,$A$4:$O$28,2,0)*(HLOOKUP(P$47,'2.2.Brecha Efectiva x UdM'!$H$25:$AK$32,2,0))</f>
        <v>0</v>
      </c>
      <c r="Q49" s="31">
        <f>VLOOKUP($A49,$A$4:$O$28,2,0)*(HLOOKUP(Q$47,'2.2.Brecha Efectiva x UdM'!$H$25:$AK$32,2,0))</f>
        <v>0</v>
      </c>
      <c r="R49" s="31">
        <f>VLOOKUP($A49,$A$4:$O$28,2,0)*(HLOOKUP(R$47,'2.2.Brecha Efectiva x UdM'!$H$25:$AK$32,2,0))</f>
        <v>0</v>
      </c>
      <c r="S49" s="31">
        <f>VLOOKUP($A49,$A$4:$O$28,2,0)*(HLOOKUP(S$47,'2.2.Brecha Efectiva x UdM'!$H$25:$AK$32,2,0))</f>
        <v>0</v>
      </c>
      <c r="T49" s="31">
        <f>VLOOKUP($A49,$A$4:$O$28,2,0)*(HLOOKUP(T$47,'2.2.Brecha Efectiva x UdM'!$H$25:$AK$32,2,0))</f>
        <v>0</v>
      </c>
      <c r="U49" s="31">
        <f>VLOOKUP($A49,$A$4:$O$28,2,0)*(HLOOKUP(U$47,'2.2.Brecha Efectiva x UdM'!$H$25:$AK$32,2,0))</f>
        <v>0</v>
      </c>
      <c r="V49" s="31">
        <f>VLOOKUP($A49,$A$4:$O$28,2,0)*(HLOOKUP(V$47,'2.2.Brecha Efectiva x UdM'!$H$25:$AK$32,2,0))</f>
        <v>0</v>
      </c>
      <c r="W49" s="31">
        <f>VLOOKUP($A49,$A$4:$O$28,2,0)*(HLOOKUP(W$47,'2.2.Brecha Efectiva x UdM'!$H$25:$AK$32,2,0))</f>
        <v>0</v>
      </c>
      <c r="X49" s="31">
        <f>VLOOKUP($A49,$A$4:$O$28,2,0)*(HLOOKUP(X$47,'2.2.Brecha Efectiva x UdM'!$H$25:$AK$32,2,0))</f>
        <v>0</v>
      </c>
      <c r="Y49" s="31">
        <f>VLOOKUP($A49,$A$4:$O$28,2,0)*(HLOOKUP(Y$47,'2.2.Brecha Efectiva x UdM'!$H$25:$AK$32,2,0))</f>
        <v>0</v>
      </c>
      <c r="Z49" s="31">
        <f>VLOOKUP($A49,$A$4:$O$28,2,0)*(HLOOKUP(Z$47,'2.2.Brecha Efectiva x UdM'!$H$25:$AK$32,2,0))</f>
        <v>0</v>
      </c>
      <c r="AA49" s="31">
        <f>VLOOKUP($A49,$A$4:$O$28,2,0)*(HLOOKUP(AA$47,'2.2.Brecha Efectiva x UdM'!$H$25:$AK$32,2,0))</f>
        <v>0</v>
      </c>
      <c r="AB49" s="31">
        <f>VLOOKUP($A49,$A$4:$O$28,2,0)*(HLOOKUP(AB$47,'2.2.Brecha Efectiva x UdM'!$H$25:$AK$32,2,0))</f>
        <v>0</v>
      </c>
      <c r="AC49" s="31">
        <f>VLOOKUP($A49,$A$4:$O$28,2,0)*(HLOOKUP(AC$47,'2.2.Brecha Efectiva x UdM'!$H$25:$AK$32,2,0))</f>
        <v>0</v>
      </c>
      <c r="AD49" s="31">
        <f>VLOOKUP($A49,$A$4:$O$28,2,0)*(HLOOKUP(AD$47,'2.2.Brecha Efectiva x UdM'!$H$25:$AK$32,2,0))</f>
        <v>0</v>
      </c>
      <c r="AE49" s="31">
        <f>VLOOKUP($A49,$A$4:$O$28,2,0)*(HLOOKUP(AE$47,'2.2.Brecha Efectiva x UdM'!$H$25:$AK$32,2,0))</f>
        <v>0</v>
      </c>
      <c r="AF49" s="31">
        <f>VLOOKUP($A49,$A$4:$O$28,2,0)*(HLOOKUP(AF$47,'2.2.Brecha Efectiva x UdM'!$H$25:$AK$32,2,0))</f>
        <v>0</v>
      </c>
      <c r="AG49" s="31">
        <f>VLOOKUP($A49,$A$4:$O$28,2,0)*(HLOOKUP(AG$47,'2.2.Brecha Efectiva x UdM'!$H$25:$AK$32,2,0))</f>
        <v>0</v>
      </c>
      <c r="AH49" s="63">
        <f>SUM(D49:AG49)</f>
        <v>979982.87352421239</v>
      </c>
    </row>
    <row r="50" spans="1:34" x14ac:dyDescent="0.2">
      <c r="A50" s="25" t="str">
        <f t="shared" si="8"/>
        <v>Catamarca</v>
      </c>
      <c r="B50" s="51" t="str">
        <f t="shared" si="9"/>
        <v>Nombre UdM 1</v>
      </c>
      <c r="C50" s="25" t="str">
        <f t="shared" si="10"/>
        <v>Catamarca Nombre UdM 1</v>
      </c>
      <c r="D50" s="32">
        <f>VLOOKUP($A50,$A$4:$O$28,2,0)*(HLOOKUP(D$47,'2.2.Brecha Efectiva x UdM'!$H$25:$AK$32,2,0))</f>
        <v>81529724.237479106</v>
      </c>
      <c r="E50" s="32">
        <f>VLOOKUP($A50,$A$4:$O$28,2,0)*(HLOOKUP(E$47,'2.2.Brecha Efectiva x UdM'!$H$25:$AK$32,2,0))</f>
        <v>82233196.291190088</v>
      </c>
      <c r="F50" s="32">
        <f>VLOOKUP($A50,$A$4:$O$28,2,0)*(HLOOKUP(F$47,'2.2.Brecha Efectiva x UdM'!$H$25:$AK$32,2,0))</f>
        <v>51064022.445775822</v>
      </c>
      <c r="G50" s="32">
        <f>VLOOKUP($A50,$A$4:$O$28,2,0)*(HLOOKUP(G$47,'2.2.Brecha Efectiva x UdM'!$H$25:$AK$32,2,0))</f>
        <v>40503093.91324985</v>
      </c>
      <c r="H50" s="32">
        <f>VLOOKUP($A50,$A$4:$O$28,2,0)*(HLOOKUP(H$47,'2.2.Brecha Efectiva x UdM'!$H$25:$AK$32,2,0))</f>
        <v>21365859.450052854</v>
      </c>
      <c r="I50" s="32">
        <f>VLOOKUP($A50,$A$4:$O$28,2,0)*(HLOOKUP(I$47,'2.2.Brecha Efectiva x UdM'!$H$25:$AK$32,2,0))</f>
        <v>21532862.974840261</v>
      </c>
      <c r="J50" s="32">
        <f>VLOOKUP($A50,$A$4:$O$28,2,0)*(HLOOKUP(J$47,'2.2.Brecha Efectiva x UdM'!$H$25:$AK$32,2,0))</f>
        <v>21696921.597572614</v>
      </c>
      <c r="K50" s="32">
        <f>VLOOKUP($A50,$A$4:$O$28,2,0)*(HLOOKUP(K$47,'2.2.Brecha Efectiva x UdM'!$H$25:$AK$32,2,0))</f>
        <v>20165401.731016926</v>
      </c>
      <c r="L50" s="32">
        <f>VLOOKUP($A50,$A$4:$O$28,2,0)*(HLOOKUP(L$47,'2.2.Brecha Efectiva x UdM'!$H$25:$AK$32,2,0))</f>
        <v>20311488.062502261</v>
      </c>
      <c r="M50" s="32">
        <f>VLOOKUP($A50,$A$4:$O$28,2,0)*(HLOOKUP(M$47,'2.2.Brecha Efectiva x UdM'!$H$25:$AK$32,2,0))</f>
        <v>20454934.521181025</v>
      </c>
      <c r="N50" s="32">
        <f>VLOOKUP($A50,$A$4:$O$28,2,0)*(HLOOKUP(N$47,'2.2.Brecha Efectiva x UdM'!$H$25:$AK$32,2,0))</f>
        <v>0</v>
      </c>
      <c r="O50" s="32">
        <f>VLOOKUP($A50,$A$4:$O$28,2,0)*(HLOOKUP(O$47,'2.2.Brecha Efectiva x UdM'!$H$25:$AK$32,2,0))</f>
        <v>0</v>
      </c>
      <c r="P50" s="32">
        <f>VLOOKUP($A50,$A$4:$O$28,2,0)*(HLOOKUP(P$47,'2.2.Brecha Efectiva x UdM'!$H$25:$AK$32,2,0))</f>
        <v>0</v>
      </c>
      <c r="Q50" s="32">
        <f>VLOOKUP($A50,$A$4:$O$28,2,0)*(HLOOKUP(Q$47,'2.2.Brecha Efectiva x UdM'!$H$25:$AK$32,2,0))</f>
        <v>0</v>
      </c>
      <c r="R50" s="32">
        <f>VLOOKUP($A50,$A$4:$O$28,2,0)*(HLOOKUP(R$47,'2.2.Brecha Efectiva x UdM'!$H$25:$AK$32,2,0))</f>
        <v>0</v>
      </c>
      <c r="S50" s="32">
        <f>VLOOKUP($A50,$A$4:$O$28,2,0)*(HLOOKUP(S$47,'2.2.Brecha Efectiva x UdM'!$H$25:$AK$32,2,0))</f>
        <v>0</v>
      </c>
      <c r="T50" s="32">
        <f>VLOOKUP($A50,$A$4:$O$28,2,0)*(HLOOKUP(T$47,'2.2.Brecha Efectiva x UdM'!$H$25:$AK$32,2,0))</f>
        <v>0</v>
      </c>
      <c r="U50" s="32">
        <f>VLOOKUP($A50,$A$4:$O$28,2,0)*(HLOOKUP(U$47,'2.2.Brecha Efectiva x UdM'!$H$25:$AK$32,2,0))</f>
        <v>0</v>
      </c>
      <c r="V50" s="32">
        <f>VLOOKUP($A50,$A$4:$O$28,2,0)*(HLOOKUP(V$47,'2.2.Brecha Efectiva x UdM'!$H$25:$AK$32,2,0))</f>
        <v>0</v>
      </c>
      <c r="W50" s="32">
        <f>VLOOKUP($A50,$A$4:$O$28,2,0)*(HLOOKUP(W$47,'2.2.Brecha Efectiva x UdM'!$H$25:$AK$32,2,0))</f>
        <v>0</v>
      </c>
      <c r="X50" s="32">
        <f>VLOOKUP($A50,$A$4:$O$28,2,0)*(HLOOKUP(X$47,'2.2.Brecha Efectiva x UdM'!$H$25:$AK$32,2,0))</f>
        <v>0</v>
      </c>
      <c r="Y50" s="32">
        <f>VLOOKUP($A50,$A$4:$O$28,2,0)*(HLOOKUP(Y$47,'2.2.Brecha Efectiva x UdM'!$H$25:$AK$32,2,0))</f>
        <v>0</v>
      </c>
      <c r="Z50" s="32">
        <f>VLOOKUP($A50,$A$4:$O$28,2,0)*(HLOOKUP(Z$47,'2.2.Brecha Efectiva x UdM'!$H$25:$AK$32,2,0))</f>
        <v>0</v>
      </c>
      <c r="AA50" s="32">
        <f>VLOOKUP($A50,$A$4:$O$28,2,0)*(HLOOKUP(AA$47,'2.2.Brecha Efectiva x UdM'!$H$25:$AK$32,2,0))</f>
        <v>0</v>
      </c>
      <c r="AB50" s="32">
        <f>VLOOKUP($A50,$A$4:$O$28,2,0)*(HLOOKUP(AB$47,'2.2.Brecha Efectiva x UdM'!$H$25:$AK$32,2,0))</f>
        <v>0</v>
      </c>
      <c r="AC50" s="32">
        <f>VLOOKUP($A50,$A$4:$O$28,2,0)*(HLOOKUP(AC$47,'2.2.Brecha Efectiva x UdM'!$H$25:$AK$32,2,0))</f>
        <v>0</v>
      </c>
      <c r="AD50" s="32">
        <f>VLOOKUP($A50,$A$4:$O$28,2,0)*(HLOOKUP(AD$47,'2.2.Brecha Efectiva x UdM'!$H$25:$AK$32,2,0))</f>
        <v>0</v>
      </c>
      <c r="AE50" s="32">
        <f>VLOOKUP($A50,$A$4:$O$28,2,0)*(HLOOKUP(AE$47,'2.2.Brecha Efectiva x UdM'!$H$25:$AK$32,2,0))</f>
        <v>0</v>
      </c>
      <c r="AF50" s="32">
        <f>VLOOKUP($A50,$A$4:$O$28,2,0)*(HLOOKUP(AF$47,'2.2.Brecha Efectiva x UdM'!$H$25:$AK$32,2,0))</f>
        <v>0</v>
      </c>
      <c r="AG50" s="32">
        <f>VLOOKUP($A50,$A$4:$O$28,2,0)*(HLOOKUP(AG$47,'2.2.Brecha Efectiva x UdM'!$H$25:$AK$32,2,0))</f>
        <v>0</v>
      </c>
      <c r="AH50" s="62">
        <f t="shared" ref="AH50:AH72" si="11">SUM(D50:AG50)</f>
        <v>380857505.22486085</v>
      </c>
    </row>
    <row r="51" spans="1:34" x14ac:dyDescent="0.2">
      <c r="A51" s="26" t="str">
        <f t="shared" si="8"/>
        <v>Chaco</v>
      </c>
      <c r="B51" s="52" t="str">
        <f t="shared" si="9"/>
        <v>Nombre UdM 1</v>
      </c>
      <c r="C51" s="26" t="str">
        <f t="shared" si="10"/>
        <v>Chaco Nombre UdM 1</v>
      </c>
      <c r="D51" s="31">
        <f>VLOOKUP($A51,$A$4:$O$28,2,0)*(HLOOKUP(D$47,'2.2.Brecha Efectiva x UdM'!$H$25:$AK$32,2,0))</f>
        <v>46799387.705438539</v>
      </c>
      <c r="E51" s="31">
        <f>VLOOKUP($A51,$A$4:$O$28,2,0)*(HLOOKUP(E$47,'2.2.Brecha Efectiva x UdM'!$H$25:$AK$32,2,0))</f>
        <v>47203192.105483681</v>
      </c>
      <c r="F51" s="31">
        <f>VLOOKUP($A51,$A$4:$O$28,2,0)*(HLOOKUP(F$47,'2.2.Brecha Efectiva x UdM'!$H$25:$AK$32,2,0))</f>
        <v>29311579.385184612</v>
      </c>
      <c r="G51" s="31">
        <f>VLOOKUP($A51,$A$4:$O$28,2,0)*(HLOOKUP(G$47,'2.2.Brecha Efectiva x UdM'!$H$25:$AK$32,2,0))</f>
        <v>23249434.645390343</v>
      </c>
      <c r="H51" s="31">
        <f>VLOOKUP($A51,$A$4:$O$28,2,0)*(HLOOKUP(H$47,'2.2.Brecha Efectiva x UdM'!$H$25:$AK$32,2,0))</f>
        <v>12264350.817014961</v>
      </c>
      <c r="I51" s="31">
        <f>VLOOKUP($A51,$A$4:$O$28,2,0)*(HLOOKUP(I$47,'2.2.Brecha Efectiva x UdM'!$H$25:$AK$32,2,0))</f>
        <v>12360213.556375336</v>
      </c>
      <c r="J51" s="31">
        <f>VLOOKUP($A51,$A$4:$O$28,2,0)*(HLOOKUP(J$47,'2.2.Brecha Efectiva x UdM'!$H$25:$AK$32,2,0))</f>
        <v>12454385.87406045</v>
      </c>
      <c r="K51" s="31">
        <f>VLOOKUP($A51,$A$4:$O$28,2,0)*(HLOOKUP(K$47,'2.2.Brecha Efectiva x UdM'!$H$25:$AK$32,2,0))</f>
        <v>11575268.562136898</v>
      </c>
      <c r="L51" s="31">
        <f>VLOOKUP($A51,$A$4:$O$28,2,0)*(HLOOKUP(L$47,'2.2.Brecha Efectiva x UdM'!$H$25:$AK$32,2,0))</f>
        <v>11659124.49234627</v>
      </c>
      <c r="M51" s="31">
        <f>VLOOKUP($A51,$A$4:$O$28,2,0)*(HLOOKUP(M$47,'2.2.Brecha Efectiva x UdM'!$H$25:$AK$32,2,0))</f>
        <v>11741465.092629984</v>
      </c>
      <c r="N51" s="31">
        <f>VLOOKUP($A51,$A$4:$O$28,2,0)*(HLOOKUP(N$47,'2.2.Brecha Efectiva x UdM'!$H$25:$AK$32,2,0))</f>
        <v>0</v>
      </c>
      <c r="O51" s="31">
        <f>VLOOKUP($A51,$A$4:$O$28,2,0)*(HLOOKUP(O$47,'2.2.Brecha Efectiva x UdM'!$H$25:$AK$32,2,0))</f>
        <v>0</v>
      </c>
      <c r="P51" s="31">
        <f>VLOOKUP($A51,$A$4:$O$28,2,0)*(HLOOKUP(P$47,'2.2.Brecha Efectiva x UdM'!$H$25:$AK$32,2,0))</f>
        <v>0</v>
      </c>
      <c r="Q51" s="31">
        <f>VLOOKUP($A51,$A$4:$O$28,2,0)*(HLOOKUP(Q$47,'2.2.Brecha Efectiva x UdM'!$H$25:$AK$32,2,0))</f>
        <v>0</v>
      </c>
      <c r="R51" s="31">
        <f>VLOOKUP($A51,$A$4:$O$28,2,0)*(HLOOKUP(R$47,'2.2.Brecha Efectiva x UdM'!$H$25:$AK$32,2,0))</f>
        <v>0</v>
      </c>
      <c r="S51" s="31">
        <f>VLOOKUP($A51,$A$4:$O$28,2,0)*(HLOOKUP(S$47,'2.2.Brecha Efectiva x UdM'!$H$25:$AK$32,2,0))</f>
        <v>0</v>
      </c>
      <c r="T51" s="31">
        <f>VLOOKUP($A51,$A$4:$O$28,2,0)*(HLOOKUP(T$47,'2.2.Brecha Efectiva x UdM'!$H$25:$AK$32,2,0))</f>
        <v>0</v>
      </c>
      <c r="U51" s="31">
        <f>VLOOKUP($A51,$A$4:$O$28,2,0)*(HLOOKUP(U$47,'2.2.Brecha Efectiva x UdM'!$H$25:$AK$32,2,0))</f>
        <v>0</v>
      </c>
      <c r="V51" s="31">
        <f>VLOOKUP($A51,$A$4:$O$28,2,0)*(HLOOKUP(V$47,'2.2.Brecha Efectiva x UdM'!$H$25:$AK$32,2,0))</f>
        <v>0</v>
      </c>
      <c r="W51" s="31">
        <f>VLOOKUP($A51,$A$4:$O$28,2,0)*(HLOOKUP(W$47,'2.2.Brecha Efectiva x UdM'!$H$25:$AK$32,2,0))</f>
        <v>0</v>
      </c>
      <c r="X51" s="31">
        <f>VLOOKUP($A51,$A$4:$O$28,2,0)*(HLOOKUP(X$47,'2.2.Brecha Efectiva x UdM'!$H$25:$AK$32,2,0))</f>
        <v>0</v>
      </c>
      <c r="Y51" s="31">
        <f>VLOOKUP($A51,$A$4:$O$28,2,0)*(HLOOKUP(Y$47,'2.2.Brecha Efectiva x UdM'!$H$25:$AK$32,2,0))</f>
        <v>0</v>
      </c>
      <c r="Z51" s="31">
        <f>VLOOKUP($A51,$A$4:$O$28,2,0)*(HLOOKUP(Z$47,'2.2.Brecha Efectiva x UdM'!$H$25:$AK$32,2,0))</f>
        <v>0</v>
      </c>
      <c r="AA51" s="31">
        <f>VLOOKUP($A51,$A$4:$O$28,2,0)*(HLOOKUP(AA$47,'2.2.Brecha Efectiva x UdM'!$H$25:$AK$32,2,0))</f>
        <v>0</v>
      </c>
      <c r="AB51" s="31">
        <f>VLOOKUP($A51,$A$4:$O$28,2,0)*(HLOOKUP(AB$47,'2.2.Brecha Efectiva x UdM'!$H$25:$AK$32,2,0))</f>
        <v>0</v>
      </c>
      <c r="AC51" s="31">
        <f>VLOOKUP($A51,$A$4:$O$28,2,0)*(HLOOKUP(AC$47,'2.2.Brecha Efectiva x UdM'!$H$25:$AK$32,2,0))</f>
        <v>0</v>
      </c>
      <c r="AD51" s="31">
        <f>VLOOKUP($A51,$A$4:$O$28,2,0)*(HLOOKUP(AD$47,'2.2.Brecha Efectiva x UdM'!$H$25:$AK$32,2,0))</f>
        <v>0</v>
      </c>
      <c r="AE51" s="31">
        <f>VLOOKUP($A51,$A$4:$O$28,2,0)*(HLOOKUP(AE$47,'2.2.Brecha Efectiva x UdM'!$H$25:$AK$32,2,0))</f>
        <v>0</v>
      </c>
      <c r="AF51" s="31">
        <f>VLOOKUP($A51,$A$4:$O$28,2,0)*(HLOOKUP(AF$47,'2.2.Brecha Efectiva x UdM'!$H$25:$AK$32,2,0))</f>
        <v>0</v>
      </c>
      <c r="AG51" s="31">
        <f>VLOOKUP($A51,$A$4:$O$28,2,0)*(HLOOKUP(AG$47,'2.2.Brecha Efectiva x UdM'!$H$25:$AK$32,2,0))</f>
        <v>0</v>
      </c>
      <c r="AH51" s="63">
        <f t="shared" si="11"/>
        <v>218618402.23606104</v>
      </c>
    </row>
    <row r="52" spans="1:34" x14ac:dyDescent="0.2">
      <c r="A52" s="25" t="str">
        <f t="shared" si="8"/>
        <v>Chubut</v>
      </c>
      <c r="B52" s="51" t="str">
        <f t="shared" si="9"/>
        <v>Nombre UdM 1</v>
      </c>
      <c r="C52" s="25" t="str">
        <f t="shared" si="10"/>
        <v>Chubut Nombre UdM 1</v>
      </c>
      <c r="D52" s="32">
        <f>VLOOKUP($A52,$A$4:$O$28,2,0)*(HLOOKUP(D$47,'2.2.Brecha Efectiva x UdM'!$H$25:$AK$32,2,0))</f>
        <v>649555283.77180707</v>
      </c>
      <c r="E52" s="32">
        <f>VLOOKUP($A52,$A$4:$O$28,2,0)*(HLOOKUP(E$47,'2.2.Brecha Efectiva x UdM'!$H$25:$AK$32,2,0))</f>
        <v>655159914.39882588</v>
      </c>
      <c r="F52" s="32">
        <f>VLOOKUP($A52,$A$4:$O$28,2,0)*(HLOOKUP(F$47,'2.2.Brecha Efectiva x UdM'!$H$25:$AK$32,2,0))</f>
        <v>406832059.11112523</v>
      </c>
      <c r="G52" s="32">
        <f>VLOOKUP($A52,$A$4:$O$28,2,0)*(HLOOKUP(G$47,'2.2.Brecha Efectiva x UdM'!$H$25:$AK$32,2,0))</f>
        <v>322692109.00093961</v>
      </c>
      <c r="H52" s="32">
        <f>VLOOKUP($A52,$A$4:$O$28,2,0)*(HLOOKUP(H$47,'2.2.Brecha Efectiva x UdM'!$H$25:$AK$32,2,0))</f>
        <v>170223891.07662144</v>
      </c>
      <c r="I52" s="32">
        <f>VLOOKUP($A52,$A$4:$O$28,2,0)*(HLOOKUP(I$47,'2.2.Brecha Efectiva x UdM'!$H$25:$AK$32,2,0))</f>
        <v>171554424.48573986</v>
      </c>
      <c r="J52" s="32">
        <f>VLOOKUP($A52,$A$4:$O$28,2,0)*(HLOOKUP(J$47,'2.2.Brecha Efectiva x UdM'!$H$25:$AK$32,2,0))</f>
        <v>172861495.57227662</v>
      </c>
      <c r="K52" s="32">
        <f>VLOOKUP($A52,$A$4:$O$28,2,0)*(HLOOKUP(K$47,'2.2.Brecha Efectiva x UdM'!$H$25:$AK$32,2,0))</f>
        <v>160659727.06604353</v>
      </c>
      <c r="L52" s="32">
        <f>VLOOKUP($A52,$A$4:$O$28,2,0)*(HLOOKUP(L$47,'2.2.Brecha Efectiva x UdM'!$H$25:$AK$32,2,0))</f>
        <v>161823611.15115023</v>
      </c>
      <c r="M52" s="32">
        <f>VLOOKUP($A52,$A$4:$O$28,2,0)*(HLOOKUP(M$47,'2.2.Brecha Efectiva x UdM'!$H$25:$AK$32,2,0))</f>
        <v>162966463.11151922</v>
      </c>
      <c r="N52" s="32">
        <f>VLOOKUP($A52,$A$4:$O$28,2,0)*(HLOOKUP(N$47,'2.2.Brecha Efectiva x UdM'!$H$25:$AK$32,2,0))</f>
        <v>0</v>
      </c>
      <c r="O52" s="32">
        <f>VLOOKUP($A52,$A$4:$O$28,2,0)*(HLOOKUP(O$47,'2.2.Brecha Efectiva x UdM'!$H$25:$AK$32,2,0))</f>
        <v>0</v>
      </c>
      <c r="P52" s="32">
        <f>VLOOKUP($A52,$A$4:$O$28,2,0)*(HLOOKUP(P$47,'2.2.Brecha Efectiva x UdM'!$H$25:$AK$32,2,0))</f>
        <v>0</v>
      </c>
      <c r="Q52" s="32">
        <f>VLOOKUP($A52,$A$4:$O$28,2,0)*(HLOOKUP(Q$47,'2.2.Brecha Efectiva x UdM'!$H$25:$AK$32,2,0))</f>
        <v>0</v>
      </c>
      <c r="R52" s="32">
        <f>VLOOKUP($A52,$A$4:$O$28,2,0)*(HLOOKUP(R$47,'2.2.Brecha Efectiva x UdM'!$H$25:$AK$32,2,0))</f>
        <v>0</v>
      </c>
      <c r="S52" s="32">
        <f>VLOOKUP($A52,$A$4:$O$28,2,0)*(HLOOKUP(S$47,'2.2.Brecha Efectiva x UdM'!$H$25:$AK$32,2,0))</f>
        <v>0</v>
      </c>
      <c r="T52" s="32">
        <f>VLOOKUP($A52,$A$4:$O$28,2,0)*(HLOOKUP(T$47,'2.2.Brecha Efectiva x UdM'!$H$25:$AK$32,2,0))</f>
        <v>0</v>
      </c>
      <c r="U52" s="32">
        <f>VLOOKUP($A52,$A$4:$O$28,2,0)*(HLOOKUP(U$47,'2.2.Brecha Efectiva x UdM'!$H$25:$AK$32,2,0))</f>
        <v>0</v>
      </c>
      <c r="V52" s="32">
        <f>VLOOKUP($A52,$A$4:$O$28,2,0)*(HLOOKUP(V$47,'2.2.Brecha Efectiva x UdM'!$H$25:$AK$32,2,0))</f>
        <v>0</v>
      </c>
      <c r="W52" s="32">
        <f>VLOOKUP($A52,$A$4:$O$28,2,0)*(HLOOKUP(W$47,'2.2.Brecha Efectiva x UdM'!$H$25:$AK$32,2,0))</f>
        <v>0</v>
      </c>
      <c r="X52" s="32">
        <f>VLOOKUP($A52,$A$4:$O$28,2,0)*(HLOOKUP(X$47,'2.2.Brecha Efectiva x UdM'!$H$25:$AK$32,2,0))</f>
        <v>0</v>
      </c>
      <c r="Y52" s="32">
        <f>VLOOKUP($A52,$A$4:$O$28,2,0)*(HLOOKUP(Y$47,'2.2.Brecha Efectiva x UdM'!$H$25:$AK$32,2,0))</f>
        <v>0</v>
      </c>
      <c r="Z52" s="32">
        <f>VLOOKUP($A52,$A$4:$O$28,2,0)*(HLOOKUP(Z$47,'2.2.Brecha Efectiva x UdM'!$H$25:$AK$32,2,0))</f>
        <v>0</v>
      </c>
      <c r="AA52" s="32">
        <f>VLOOKUP($A52,$A$4:$O$28,2,0)*(HLOOKUP(AA$47,'2.2.Brecha Efectiva x UdM'!$H$25:$AK$32,2,0))</f>
        <v>0</v>
      </c>
      <c r="AB52" s="32">
        <f>VLOOKUP($A52,$A$4:$O$28,2,0)*(HLOOKUP(AB$47,'2.2.Brecha Efectiva x UdM'!$H$25:$AK$32,2,0))</f>
        <v>0</v>
      </c>
      <c r="AC52" s="32">
        <f>VLOOKUP($A52,$A$4:$O$28,2,0)*(HLOOKUP(AC$47,'2.2.Brecha Efectiva x UdM'!$H$25:$AK$32,2,0))</f>
        <v>0</v>
      </c>
      <c r="AD52" s="32">
        <f>VLOOKUP($A52,$A$4:$O$28,2,0)*(HLOOKUP(AD$47,'2.2.Brecha Efectiva x UdM'!$H$25:$AK$32,2,0))</f>
        <v>0</v>
      </c>
      <c r="AE52" s="32">
        <f>VLOOKUP($A52,$A$4:$O$28,2,0)*(HLOOKUP(AE$47,'2.2.Brecha Efectiva x UdM'!$H$25:$AK$32,2,0))</f>
        <v>0</v>
      </c>
      <c r="AF52" s="32">
        <f>VLOOKUP($A52,$A$4:$O$28,2,0)*(HLOOKUP(AF$47,'2.2.Brecha Efectiva x UdM'!$H$25:$AK$32,2,0))</f>
        <v>0</v>
      </c>
      <c r="AG52" s="32">
        <f>VLOOKUP($A52,$A$4:$O$28,2,0)*(HLOOKUP(AG$47,'2.2.Brecha Efectiva x UdM'!$H$25:$AK$32,2,0))</f>
        <v>0</v>
      </c>
      <c r="AH52" s="62">
        <f t="shared" si="11"/>
        <v>3034328978.7460485</v>
      </c>
    </row>
    <row r="53" spans="1:34" x14ac:dyDescent="0.2">
      <c r="A53" s="26" t="str">
        <f t="shared" si="8"/>
        <v>Córdoba</v>
      </c>
      <c r="B53" s="52" t="str">
        <f t="shared" si="9"/>
        <v>Nombre UdM 1</v>
      </c>
      <c r="C53" s="26" t="str">
        <f t="shared" si="10"/>
        <v>Córdoba Nombre UdM 1</v>
      </c>
      <c r="D53" s="31">
        <f>VLOOKUP($A53,$A$4:$O$28,2,0)*(HLOOKUP(D$47,'2.2.Brecha Efectiva x UdM'!$H$25:$AK$32,2,0))</f>
        <v>139505388.42776036</v>
      </c>
      <c r="E53" s="31">
        <f>VLOOKUP($A53,$A$4:$O$28,2,0)*(HLOOKUP(E$47,'2.2.Brecha Efectiva x UdM'!$H$25:$AK$32,2,0))</f>
        <v>140709098.40002972</v>
      </c>
      <c r="F53" s="31">
        <f>VLOOKUP($A53,$A$4:$O$28,2,0)*(HLOOKUP(F$47,'2.2.Brecha Efectiva x UdM'!$H$25:$AK$32,2,0))</f>
        <v>87375571.947624356</v>
      </c>
      <c r="G53" s="31">
        <f>VLOOKUP($A53,$A$4:$O$28,2,0)*(HLOOKUP(G$47,'2.2.Brecha Efectiva x UdM'!$H$25:$AK$32,2,0))</f>
        <v>69304783.031468838</v>
      </c>
      <c r="H53" s="31">
        <f>VLOOKUP($A53,$A$4:$O$28,2,0)*(HLOOKUP(H$47,'2.2.Brecha Efectiva x UdM'!$H$25:$AK$32,2,0))</f>
        <v>36559089.946024314</v>
      </c>
      <c r="I53" s="31">
        <f>VLOOKUP($A53,$A$4:$O$28,2,0)*(HLOOKUP(I$47,'2.2.Brecha Efectiva x UdM'!$H$25:$AK$32,2,0))</f>
        <v>36844849.425921619</v>
      </c>
      <c r="J53" s="31">
        <f>VLOOKUP($A53,$A$4:$O$28,2,0)*(HLOOKUP(J$47,'2.2.Brecha Efectiva x UdM'!$H$25:$AK$32,2,0))</f>
        <v>37125569.888345055</v>
      </c>
      <c r="K53" s="31">
        <f>VLOOKUP($A53,$A$4:$O$28,2,0)*(HLOOKUP(K$47,'2.2.Brecha Efectiva x UdM'!$H$25:$AK$32,2,0))</f>
        <v>34504988.549858615</v>
      </c>
      <c r="L53" s="31">
        <f>VLOOKUP($A53,$A$4:$O$28,2,0)*(HLOOKUP(L$47,'2.2.Brecha Efectiva x UdM'!$H$25:$AK$32,2,0))</f>
        <v>34754956.651780389</v>
      </c>
      <c r="M53" s="31">
        <f>VLOOKUP($A53,$A$4:$O$28,2,0)*(HLOOKUP(M$47,'2.2.Brecha Efectiva x UdM'!$H$25:$AK$32,2,0))</f>
        <v>35000407.671316266</v>
      </c>
      <c r="N53" s="31">
        <f>VLOOKUP($A53,$A$4:$O$28,2,0)*(HLOOKUP(N$47,'2.2.Brecha Efectiva x UdM'!$H$25:$AK$32,2,0))</f>
        <v>0</v>
      </c>
      <c r="O53" s="31">
        <f>VLOOKUP($A53,$A$4:$O$28,2,0)*(HLOOKUP(O$47,'2.2.Brecha Efectiva x UdM'!$H$25:$AK$32,2,0))</f>
        <v>0</v>
      </c>
      <c r="P53" s="31">
        <f>VLOOKUP($A53,$A$4:$O$28,2,0)*(HLOOKUP(P$47,'2.2.Brecha Efectiva x UdM'!$H$25:$AK$32,2,0))</f>
        <v>0</v>
      </c>
      <c r="Q53" s="31">
        <f>VLOOKUP($A53,$A$4:$O$28,2,0)*(HLOOKUP(Q$47,'2.2.Brecha Efectiva x UdM'!$H$25:$AK$32,2,0))</f>
        <v>0</v>
      </c>
      <c r="R53" s="31">
        <f>VLOOKUP($A53,$A$4:$O$28,2,0)*(HLOOKUP(R$47,'2.2.Brecha Efectiva x UdM'!$H$25:$AK$32,2,0))</f>
        <v>0</v>
      </c>
      <c r="S53" s="31">
        <f>VLOOKUP($A53,$A$4:$O$28,2,0)*(HLOOKUP(S$47,'2.2.Brecha Efectiva x UdM'!$H$25:$AK$32,2,0))</f>
        <v>0</v>
      </c>
      <c r="T53" s="31">
        <f>VLOOKUP($A53,$A$4:$O$28,2,0)*(HLOOKUP(T$47,'2.2.Brecha Efectiva x UdM'!$H$25:$AK$32,2,0))</f>
        <v>0</v>
      </c>
      <c r="U53" s="31">
        <f>VLOOKUP($A53,$A$4:$O$28,2,0)*(HLOOKUP(U$47,'2.2.Brecha Efectiva x UdM'!$H$25:$AK$32,2,0))</f>
        <v>0</v>
      </c>
      <c r="V53" s="31">
        <f>VLOOKUP($A53,$A$4:$O$28,2,0)*(HLOOKUP(V$47,'2.2.Brecha Efectiva x UdM'!$H$25:$AK$32,2,0))</f>
        <v>0</v>
      </c>
      <c r="W53" s="31">
        <f>VLOOKUP($A53,$A$4:$O$28,2,0)*(HLOOKUP(W$47,'2.2.Brecha Efectiva x UdM'!$H$25:$AK$32,2,0))</f>
        <v>0</v>
      </c>
      <c r="X53" s="31">
        <f>VLOOKUP($A53,$A$4:$O$28,2,0)*(HLOOKUP(X$47,'2.2.Brecha Efectiva x UdM'!$H$25:$AK$32,2,0))</f>
        <v>0</v>
      </c>
      <c r="Y53" s="31">
        <f>VLOOKUP($A53,$A$4:$O$28,2,0)*(HLOOKUP(Y$47,'2.2.Brecha Efectiva x UdM'!$H$25:$AK$32,2,0))</f>
        <v>0</v>
      </c>
      <c r="Z53" s="31">
        <f>VLOOKUP($A53,$A$4:$O$28,2,0)*(HLOOKUP(Z$47,'2.2.Brecha Efectiva x UdM'!$H$25:$AK$32,2,0))</f>
        <v>0</v>
      </c>
      <c r="AA53" s="31">
        <f>VLOOKUP($A53,$A$4:$O$28,2,0)*(HLOOKUP(AA$47,'2.2.Brecha Efectiva x UdM'!$H$25:$AK$32,2,0))</f>
        <v>0</v>
      </c>
      <c r="AB53" s="31">
        <f>VLOOKUP($A53,$A$4:$O$28,2,0)*(HLOOKUP(AB$47,'2.2.Brecha Efectiva x UdM'!$H$25:$AK$32,2,0))</f>
        <v>0</v>
      </c>
      <c r="AC53" s="31">
        <f>VLOOKUP($A53,$A$4:$O$28,2,0)*(HLOOKUP(AC$47,'2.2.Brecha Efectiva x UdM'!$H$25:$AK$32,2,0))</f>
        <v>0</v>
      </c>
      <c r="AD53" s="31">
        <f>VLOOKUP($A53,$A$4:$O$28,2,0)*(HLOOKUP(AD$47,'2.2.Brecha Efectiva x UdM'!$H$25:$AK$32,2,0))</f>
        <v>0</v>
      </c>
      <c r="AE53" s="31">
        <f>VLOOKUP($A53,$A$4:$O$28,2,0)*(HLOOKUP(AE$47,'2.2.Brecha Efectiva x UdM'!$H$25:$AK$32,2,0))</f>
        <v>0</v>
      </c>
      <c r="AF53" s="31">
        <f>VLOOKUP($A53,$A$4:$O$28,2,0)*(HLOOKUP(AF$47,'2.2.Brecha Efectiva x UdM'!$H$25:$AK$32,2,0))</f>
        <v>0</v>
      </c>
      <c r="AG53" s="31">
        <f>VLOOKUP($A53,$A$4:$O$28,2,0)*(HLOOKUP(AG$47,'2.2.Brecha Efectiva x UdM'!$H$25:$AK$32,2,0))</f>
        <v>0</v>
      </c>
      <c r="AH53" s="63">
        <f t="shared" si="11"/>
        <v>651684703.94012952</v>
      </c>
    </row>
    <row r="54" spans="1:34" x14ac:dyDescent="0.2">
      <c r="A54" s="25" t="str">
        <f t="shared" si="8"/>
        <v>Corrientes</v>
      </c>
      <c r="B54" s="51" t="str">
        <f t="shared" si="9"/>
        <v>Nombre UdM 1</v>
      </c>
      <c r="C54" s="25" t="str">
        <f t="shared" si="10"/>
        <v>Corrientes Nombre UdM 1</v>
      </c>
      <c r="D54" s="32">
        <f>VLOOKUP($A54,$A$4:$O$28,2,0)*(HLOOKUP(D$47,'2.2.Brecha Efectiva x UdM'!$H$25:$AK$32,2,0))</f>
        <v>41785167.594141543</v>
      </c>
      <c r="E54" s="32">
        <f>VLOOKUP($A54,$A$4:$O$28,2,0)*(HLOOKUP(E$47,'2.2.Brecha Efectiva x UdM'!$H$25:$AK$32,2,0))</f>
        <v>42145707.237038992</v>
      </c>
      <c r="F54" s="32">
        <f>VLOOKUP($A54,$A$4:$O$28,2,0)*(HLOOKUP(F$47,'2.2.Brecha Efectiva x UdM'!$H$25:$AK$32,2,0))</f>
        <v>26171053.022486255</v>
      </c>
      <c r="G54" s="32">
        <f>VLOOKUP($A54,$A$4:$O$28,2,0)*(HLOOKUP(G$47,'2.2.Brecha Efectiva x UdM'!$H$25:$AK$32,2,0))</f>
        <v>20758423.790527087</v>
      </c>
      <c r="H54" s="32">
        <f>VLOOKUP($A54,$A$4:$O$28,2,0)*(HLOOKUP(H$47,'2.2.Brecha Efectiva x UdM'!$H$25:$AK$32,2,0))</f>
        <v>10950313.229477642</v>
      </c>
      <c r="I54" s="32">
        <f>VLOOKUP($A54,$A$4:$O$28,2,0)*(HLOOKUP(I$47,'2.2.Brecha Efectiva x UdM'!$H$25:$AK$32,2,0))</f>
        <v>11035904.961049406</v>
      </c>
      <c r="J54" s="32">
        <f>VLOOKUP($A54,$A$4:$O$28,2,0)*(HLOOKUP(J$47,'2.2.Brecha Efectiva x UdM'!$H$25:$AK$32,2,0))</f>
        <v>11119987.387553971</v>
      </c>
      <c r="K54" s="32">
        <f>VLOOKUP($A54,$A$4:$O$28,2,0)*(HLOOKUP(K$47,'2.2.Brecha Efectiva x UdM'!$H$25:$AK$32,2,0))</f>
        <v>10335061.216193657</v>
      </c>
      <c r="L54" s="32">
        <f>VLOOKUP($A54,$A$4:$O$28,2,0)*(HLOOKUP(L$47,'2.2.Brecha Efectiva x UdM'!$H$25:$AK$32,2,0))</f>
        <v>10409932.582452023</v>
      </c>
      <c r="M54" s="32">
        <f>VLOOKUP($A54,$A$4:$O$28,2,0)*(HLOOKUP(M$47,'2.2.Brecha Efectiva x UdM'!$H$25:$AK$32,2,0))</f>
        <v>10483450.975562483</v>
      </c>
      <c r="N54" s="32">
        <f>VLOOKUP($A54,$A$4:$O$28,2,0)*(HLOOKUP(N$47,'2.2.Brecha Efectiva x UdM'!$H$25:$AK$32,2,0))</f>
        <v>0</v>
      </c>
      <c r="O54" s="32">
        <f>VLOOKUP($A54,$A$4:$O$28,2,0)*(HLOOKUP(O$47,'2.2.Brecha Efectiva x UdM'!$H$25:$AK$32,2,0))</f>
        <v>0</v>
      </c>
      <c r="P54" s="32">
        <f>VLOOKUP($A54,$A$4:$O$28,2,0)*(HLOOKUP(P$47,'2.2.Brecha Efectiva x UdM'!$H$25:$AK$32,2,0))</f>
        <v>0</v>
      </c>
      <c r="Q54" s="32">
        <f>VLOOKUP($A54,$A$4:$O$28,2,0)*(HLOOKUP(Q$47,'2.2.Brecha Efectiva x UdM'!$H$25:$AK$32,2,0))</f>
        <v>0</v>
      </c>
      <c r="R54" s="32">
        <f>VLOOKUP($A54,$A$4:$O$28,2,0)*(HLOOKUP(R$47,'2.2.Brecha Efectiva x UdM'!$H$25:$AK$32,2,0))</f>
        <v>0</v>
      </c>
      <c r="S54" s="32">
        <f>VLOOKUP($A54,$A$4:$O$28,2,0)*(HLOOKUP(S$47,'2.2.Brecha Efectiva x UdM'!$H$25:$AK$32,2,0))</f>
        <v>0</v>
      </c>
      <c r="T54" s="32">
        <f>VLOOKUP($A54,$A$4:$O$28,2,0)*(HLOOKUP(T$47,'2.2.Brecha Efectiva x UdM'!$H$25:$AK$32,2,0))</f>
        <v>0</v>
      </c>
      <c r="U54" s="32">
        <f>VLOOKUP($A54,$A$4:$O$28,2,0)*(HLOOKUP(U$47,'2.2.Brecha Efectiva x UdM'!$H$25:$AK$32,2,0))</f>
        <v>0</v>
      </c>
      <c r="V54" s="32">
        <f>VLOOKUP($A54,$A$4:$O$28,2,0)*(HLOOKUP(V$47,'2.2.Brecha Efectiva x UdM'!$H$25:$AK$32,2,0))</f>
        <v>0</v>
      </c>
      <c r="W54" s="32">
        <f>VLOOKUP($A54,$A$4:$O$28,2,0)*(HLOOKUP(W$47,'2.2.Brecha Efectiva x UdM'!$H$25:$AK$32,2,0))</f>
        <v>0</v>
      </c>
      <c r="X54" s="32">
        <f>VLOOKUP($A54,$A$4:$O$28,2,0)*(HLOOKUP(X$47,'2.2.Brecha Efectiva x UdM'!$H$25:$AK$32,2,0))</f>
        <v>0</v>
      </c>
      <c r="Y54" s="32">
        <f>VLOOKUP($A54,$A$4:$O$28,2,0)*(HLOOKUP(Y$47,'2.2.Brecha Efectiva x UdM'!$H$25:$AK$32,2,0))</f>
        <v>0</v>
      </c>
      <c r="Z54" s="32">
        <f>VLOOKUP($A54,$A$4:$O$28,2,0)*(HLOOKUP(Z$47,'2.2.Brecha Efectiva x UdM'!$H$25:$AK$32,2,0))</f>
        <v>0</v>
      </c>
      <c r="AA54" s="32">
        <f>VLOOKUP($A54,$A$4:$O$28,2,0)*(HLOOKUP(AA$47,'2.2.Brecha Efectiva x UdM'!$H$25:$AK$32,2,0))</f>
        <v>0</v>
      </c>
      <c r="AB54" s="32">
        <f>VLOOKUP($A54,$A$4:$O$28,2,0)*(HLOOKUP(AB$47,'2.2.Brecha Efectiva x UdM'!$H$25:$AK$32,2,0))</f>
        <v>0</v>
      </c>
      <c r="AC54" s="32">
        <f>VLOOKUP($A54,$A$4:$O$28,2,0)*(HLOOKUP(AC$47,'2.2.Brecha Efectiva x UdM'!$H$25:$AK$32,2,0))</f>
        <v>0</v>
      </c>
      <c r="AD54" s="32">
        <f>VLOOKUP($A54,$A$4:$O$28,2,0)*(HLOOKUP(AD$47,'2.2.Brecha Efectiva x UdM'!$H$25:$AK$32,2,0))</f>
        <v>0</v>
      </c>
      <c r="AE54" s="32">
        <f>VLOOKUP($A54,$A$4:$O$28,2,0)*(HLOOKUP(AE$47,'2.2.Brecha Efectiva x UdM'!$H$25:$AK$32,2,0))</f>
        <v>0</v>
      </c>
      <c r="AF54" s="32">
        <f>VLOOKUP($A54,$A$4:$O$28,2,0)*(HLOOKUP(AF$47,'2.2.Brecha Efectiva x UdM'!$H$25:$AK$32,2,0))</f>
        <v>0</v>
      </c>
      <c r="AG54" s="32">
        <f>VLOOKUP($A54,$A$4:$O$28,2,0)*(HLOOKUP(AG$47,'2.2.Brecha Efectiva x UdM'!$H$25:$AK$32,2,0))</f>
        <v>0</v>
      </c>
      <c r="AH54" s="62">
        <f t="shared" si="11"/>
        <v>195195001.99648306</v>
      </c>
    </row>
    <row r="55" spans="1:34" x14ac:dyDescent="0.2">
      <c r="A55" s="26" t="str">
        <f t="shared" si="8"/>
        <v>Entre Ríos</v>
      </c>
      <c r="B55" s="52" t="str">
        <f t="shared" si="9"/>
        <v>Nombre UdM 1</v>
      </c>
      <c r="C55" s="26" t="str">
        <f t="shared" si="10"/>
        <v>Entre Ríos Nombre UdM 1</v>
      </c>
      <c r="D55" s="31">
        <f>VLOOKUP($A55,$A$4:$O$28,2,0)*(HLOOKUP(D$47,'2.2.Brecha Efectiva x UdM'!$H$25:$AK$32,2,0))</f>
        <v>82634886.426826537</v>
      </c>
      <c r="E55" s="31">
        <f>VLOOKUP($A55,$A$4:$O$28,2,0)*(HLOOKUP(E$47,'2.2.Brecha Efectiva x UdM'!$H$25:$AK$32,2,0))</f>
        <v>83347894.275271207</v>
      </c>
      <c r="F55" s="31">
        <f>VLOOKUP($A55,$A$4:$O$28,2,0)*(HLOOKUP(F$47,'2.2.Brecha Efectiva x UdM'!$H$25:$AK$32,2,0))</f>
        <v>51756212.04129903</v>
      </c>
      <c r="G55" s="31">
        <f>VLOOKUP($A55,$A$4:$O$28,2,0)*(HLOOKUP(G$47,'2.2.Brecha Efectiva x UdM'!$H$25:$AK$32,2,0))</f>
        <v>41052126.653924011</v>
      </c>
      <c r="H55" s="31">
        <f>VLOOKUP($A55,$A$4:$O$28,2,0)*(HLOOKUP(H$47,'2.2.Brecha Efectiva x UdM'!$H$25:$AK$32,2,0))</f>
        <v>21655480.692218848</v>
      </c>
      <c r="I55" s="31">
        <f>VLOOKUP($A55,$A$4:$O$28,2,0)*(HLOOKUP(I$47,'2.2.Brecha Efectiva x UdM'!$H$25:$AK$32,2,0))</f>
        <v>21824748.004634745</v>
      </c>
      <c r="J55" s="31">
        <f>VLOOKUP($A55,$A$4:$O$28,2,0)*(HLOOKUP(J$47,'2.2.Brecha Efectiva x UdM'!$H$25:$AK$32,2,0))</f>
        <v>21991030.495881014</v>
      </c>
      <c r="K55" s="31">
        <f>VLOOKUP($A55,$A$4:$O$28,2,0)*(HLOOKUP(K$47,'2.2.Brecha Efectiva x UdM'!$H$25:$AK$32,2,0))</f>
        <v>20438750.374527682</v>
      </c>
      <c r="L55" s="31">
        <f>VLOOKUP($A55,$A$4:$O$28,2,0)*(HLOOKUP(L$47,'2.2.Brecha Efectiva x UdM'!$H$25:$AK$32,2,0))</f>
        <v>20586816.954216331</v>
      </c>
      <c r="M55" s="31">
        <f>VLOOKUP($A55,$A$4:$O$28,2,0)*(HLOOKUP(M$47,'2.2.Brecha Efectiva x UdM'!$H$25:$AK$32,2,0))</f>
        <v>20732207.876755491</v>
      </c>
      <c r="N55" s="31">
        <f>VLOOKUP($A55,$A$4:$O$28,2,0)*(HLOOKUP(N$47,'2.2.Brecha Efectiva x UdM'!$H$25:$AK$32,2,0))</f>
        <v>0</v>
      </c>
      <c r="O55" s="31">
        <f>VLOOKUP($A55,$A$4:$O$28,2,0)*(HLOOKUP(O$47,'2.2.Brecha Efectiva x UdM'!$H$25:$AK$32,2,0))</f>
        <v>0</v>
      </c>
      <c r="P55" s="31">
        <f>VLOOKUP($A55,$A$4:$O$28,2,0)*(HLOOKUP(P$47,'2.2.Brecha Efectiva x UdM'!$H$25:$AK$32,2,0))</f>
        <v>0</v>
      </c>
      <c r="Q55" s="31">
        <f>VLOOKUP($A55,$A$4:$O$28,2,0)*(HLOOKUP(Q$47,'2.2.Brecha Efectiva x UdM'!$H$25:$AK$32,2,0))</f>
        <v>0</v>
      </c>
      <c r="R55" s="31">
        <f>VLOOKUP($A55,$A$4:$O$28,2,0)*(HLOOKUP(R$47,'2.2.Brecha Efectiva x UdM'!$H$25:$AK$32,2,0))</f>
        <v>0</v>
      </c>
      <c r="S55" s="31">
        <f>VLOOKUP($A55,$A$4:$O$28,2,0)*(HLOOKUP(S$47,'2.2.Brecha Efectiva x UdM'!$H$25:$AK$32,2,0))</f>
        <v>0</v>
      </c>
      <c r="T55" s="31">
        <f>VLOOKUP($A55,$A$4:$O$28,2,0)*(HLOOKUP(T$47,'2.2.Brecha Efectiva x UdM'!$H$25:$AK$32,2,0))</f>
        <v>0</v>
      </c>
      <c r="U55" s="31">
        <f>VLOOKUP($A55,$A$4:$O$28,2,0)*(HLOOKUP(U$47,'2.2.Brecha Efectiva x UdM'!$H$25:$AK$32,2,0))</f>
        <v>0</v>
      </c>
      <c r="V55" s="31">
        <f>VLOOKUP($A55,$A$4:$O$28,2,0)*(HLOOKUP(V$47,'2.2.Brecha Efectiva x UdM'!$H$25:$AK$32,2,0))</f>
        <v>0</v>
      </c>
      <c r="W55" s="31">
        <f>VLOOKUP($A55,$A$4:$O$28,2,0)*(HLOOKUP(W$47,'2.2.Brecha Efectiva x UdM'!$H$25:$AK$32,2,0))</f>
        <v>0</v>
      </c>
      <c r="X55" s="31">
        <f>VLOOKUP($A55,$A$4:$O$28,2,0)*(HLOOKUP(X$47,'2.2.Brecha Efectiva x UdM'!$H$25:$AK$32,2,0))</f>
        <v>0</v>
      </c>
      <c r="Y55" s="31">
        <f>VLOOKUP($A55,$A$4:$O$28,2,0)*(HLOOKUP(Y$47,'2.2.Brecha Efectiva x UdM'!$H$25:$AK$32,2,0))</f>
        <v>0</v>
      </c>
      <c r="Z55" s="31">
        <f>VLOOKUP($A55,$A$4:$O$28,2,0)*(HLOOKUP(Z$47,'2.2.Brecha Efectiva x UdM'!$H$25:$AK$32,2,0))</f>
        <v>0</v>
      </c>
      <c r="AA55" s="31">
        <f>VLOOKUP($A55,$A$4:$O$28,2,0)*(HLOOKUP(AA$47,'2.2.Brecha Efectiva x UdM'!$H$25:$AK$32,2,0))</f>
        <v>0</v>
      </c>
      <c r="AB55" s="31">
        <f>VLOOKUP($A55,$A$4:$O$28,2,0)*(HLOOKUP(AB$47,'2.2.Brecha Efectiva x UdM'!$H$25:$AK$32,2,0))</f>
        <v>0</v>
      </c>
      <c r="AC55" s="31">
        <f>VLOOKUP($A55,$A$4:$O$28,2,0)*(HLOOKUP(AC$47,'2.2.Brecha Efectiva x UdM'!$H$25:$AK$32,2,0))</f>
        <v>0</v>
      </c>
      <c r="AD55" s="31">
        <f>VLOOKUP($A55,$A$4:$O$28,2,0)*(HLOOKUP(AD$47,'2.2.Brecha Efectiva x UdM'!$H$25:$AK$32,2,0))</f>
        <v>0</v>
      </c>
      <c r="AE55" s="31">
        <f>VLOOKUP($A55,$A$4:$O$28,2,0)*(HLOOKUP(AE$47,'2.2.Brecha Efectiva x UdM'!$H$25:$AK$32,2,0))</f>
        <v>0</v>
      </c>
      <c r="AF55" s="31">
        <f>VLOOKUP($A55,$A$4:$O$28,2,0)*(HLOOKUP(AF$47,'2.2.Brecha Efectiva x UdM'!$H$25:$AK$32,2,0))</f>
        <v>0</v>
      </c>
      <c r="AG55" s="31">
        <f>VLOOKUP($A55,$A$4:$O$28,2,0)*(HLOOKUP(AG$47,'2.2.Brecha Efectiva x UdM'!$H$25:$AK$32,2,0))</f>
        <v>0</v>
      </c>
      <c r="AH55" s="63">
        <f t="shared" si="11"/>
        <v>386020153.79555488</v>
      </c>
    </row>
    <row r="56" spans="1:34" x14ac:dyDescent="0.2">
      <c r="A56" s="25" t="str">
        <f t="shared" si="8"/>
        <v>Formosa</v>
      </c>
      <c r="B56" s="51" t="str">
        <f t="shared" si="9"/>
        <v>Nombre UdM 1</v>
      </c>
      <c r="C56" s="25" t="str">
        <f t="shared" si="10"/>
        <v>Formosa Nombre UdM 1</v>
      </c>
      <c r="D56" s="32">
        <f>VLOOKUP($A56,$A$4:$O$28,2,0)*(HLOOKUP(D$47,'2.2.Brecha Efectiva x UdM'!$H$25:$AK$32,2,0))</f>
        <v>33428134.07531324</v>
      </c>
      <c r="E56" s="32">
        <f>VLOOKUP($A56,$A$4:$O$28,2,0)*(HLOOKUP(E$47,'2.2.Brecha Efectiva x UdM'!$H$25:$AK$32,2,0))</f>
        <v>33716565.789631203</v>
      </c>
      <c r="F56" s="32">
        <f>VLOOKUP($A56,$A$4:$O$28,2,0)*(HLOOKUP(F$47,'2.2.Brecha Efectiva x UdM'!$H$25:$AK$32,2,0))</f>
        <v>20936842.417989004</v>
      </c>
      <c r="G56" s="32">
        <f>VLOOKUP($A56,$A$4:$O$28,2,0)*(HLOOKUP(G$47,'2.2.Brecha Efectiva x UdM'!$H$25:$AK$32,2,0))</f>
        <v>16606739.032421673</v>
      </c>
      <c r="H56" s="32">
        <f>VLOOKUP($A56,$A$4:$O$28,2,0)*(HLOOKUP(H$47,'2.2.Brecha Efectiva x UdM'!$H$25:$AK$32,2,0))</f>
        <v>8760250.5835821144</v>
      </c>
      <c r="I56" s="32">
        <f>VLOOKUP($A56,$A$4:$O$28,2,0)*(HLOOKUP(I$47,'2.2.Brecha Efectiva x UdM'!$H$25:$AK$32,2,0))</f>
        <v>8828723.9688395243</v>
      </c>
      <c r="J56" s="32">
        <f>VLOOKUP($A56,$A$4:$O$28,2,0)*(HLOOKUP(J$47,'2.2.Brecha Efectiva x UdM'!$H$25:$AK$32,2,0))</f>
        <v>8895989.9100431781</v>
      </c>
      <c r="K56" s="32">
        <f>VLOOKUP($A56,$A$4:$O$28,2,0)*(HLOOKUP(K$47,'2.2.Brecha Efectiva x UdM'!$H$25:$AK$32,2,0))</f>
        <v>8268048.9729549261</v>
      </c>
      <c r="L56" s="32">
        <f>VLOOKUP($A56,$A$4:$O$28,2,0)*(HLOOKUP(L$47,'2.2.Brecha Efectiva x UdM'!$H$25:$AK$32,2,0))</f>
        <v>8327946.0659616198</v>
      </c>
      <c r="M56" s="32">
        <f>VLOOKUP($A56,$A$4:$O$28,2,0)*(HLOOKUP(M$47,'2.2.Brecha Efectiva x UdM'!$H$25:$AK$32,2,0))</f>
        <v>8386760.7804499874</v>
      </c>
      <c r="N56" s="32">
        <f>VLOOKUP($A56,$A$4:$O$28,2,0)*(HLOOKUP(N$47,'2.2.Brecha Efectiva x UdM'!$H$25:$AK$32,2,0))</f>
        <v>0</v>
      </c>
      <c r="O56" s="32">
        <f>VLOOKUP($A56,$A$4:$O$28,2,0)*(HLOOKUP(O$47,'2.2.Brecha Efectiva x UdM'!$H$25:$AK$32,2,0))</f>
        <v>0</v>
      </c>
      <c r="P56" s="32">
        <f>VLOOKUP($A56,$A$4:$O$28,2,0)*(HLOOKUP(P$47,'2.2.Brecha Efectiva x UdM'!$H$25:$AK$32,2,0))</f>
        <v>0</v>
      </c>
      <c r="Q56" s="32">
        <f>VLOOKUP($A56,$A$4:$O$28,2,0)*(HLOOKUP(Q$47,'2.2.Brecha Efectiva x UdM'!$H$25:$AK$32,2,0))</f>
        <v>0</v>
      </c>
      <c r="R56" s="32">
        <f>VLOOKUP($A56,$A$4:$O$28,2,0)*(HLOOKUP(R$47,'2.2.Brecha Efectiva x UdM'!$H$25:$AK$32,2,0))</f>
        <v>0</v>
      </c>
      <c r="S56" s="32">
        <f>VLOOKUP($A56,$A$4:$O$28,2,0)*(HLOOKUP(S$47,'2.2.Brecha Efectiva x UdM'!$H$25:$AK$32,2,0))</f>
        <v>0</v>
      </c>
      <c r="T56" s="32">
        <f>VLOOKUP($A56,$A$4:$O$28,2,0)*(HLOOKUP(T$47,'2.2.Brecha Efectiva x UdM'!$H$25:$AK$32,2,0))</f>
        <v>0</v>
      </c>
      <c r="U56" s="32">
        <f>VLOOKUP($A56,$A$4:$O$28,2,0)*(HLOOKUP(U$47,'2.2.Brecha Efectiva x UdM'!$H$25:$AK$32,2,0))</f>
        <v>0</v>
      </c>
      <c r="V56" s="32">
        <f>VLOOKUP($A56,$A$4:$O$28,2,0)*(HLOOKUP(V$47,'2.2.Brecha Efectiva x UdM'!$H$25:$AK$32,2,0))</f>
        <v>0</v>
      </c>
      <c r="W56" s="32">
        <f>VLOOKUP($A56,$A$4:$O$28,2,0)*(HLOOKUP(W$47,'2.2.Brecha Efectiva x UdM'!$H$25:$AK$32,2,0))</f>
        <v>0</v>
      </c>
      <c r="X56" s="32">
        <f>VLOOKUP($A56,$A$4:$O$28,2,0)*(HLOOKUP(X$47,'2.2.Brecha Efectiva x UdM'!$H$25:$AK$32,2,0))</f>
        <v>0</v>
      </c>
      <c r="Y56" s="32">
        <f>VLOOKUP($A56,$A$4:$O$28,2,0)*(HLOOKUP(Y$47,'2.2.Brecha Efectiva x UdM'!$H$25:$AK$32,2,0))</f>
        <v>0</v>
      </c>
      <c r="Z56" s="32">
        <f>VLOOKUP($A56,$A$4:$O$28,2,0)*(HLOOKUP(Z$47,'2.2.Brecha Efectiva x UdM'!$H$25:$AK$32,2,0))</f>
        <v>0</v>
      </c>
      <c r="AA56" s="32">
        <f>VLOOKUP($A56,$A$4:$O$28,2,0)*(HLOOKUP(AA$47,'2.2.Brecha Efectiva x UdM'!$H$25:$AK$32,2,0))</f>
        <v>0</v>
      </c>
      <c r="AB56" s="32">
        <f>VLOOKUP($A56,$A$4:$O$28,2,0)*(HLOOKUP(AB$47,'2.2.Brecha Efectiva x UdM'!$H$25:$AK$32,2,0))</f>
        <v>0</v>
      </c>
      <c r="AC56" s="32">
        <f>VLOOKUP($A56,$A$4:$O$28,2,0)*(HLOOKUP(AC$47,'2.2.Brecha Efectiva x UdM'!$H$25:$AK$32,2,0))</f>
        <v>0</v>
      </c>
      <c r="AD56" s="32">
        <f>VLOOKUP($A56,$A$4:$O$28,2,0)*(HLOOKUP(AD$47,'2.2.Brecha Efectiva x UdM'!$H$25:$AK$32,2,0))</f>
        <v>0</v>
      </c>
      <c r="AE56" s="32">
        <f>VLOOKUP($A56,$A$4:$O$28,2,0)*(HLOOKUP(AE$47,'2.2.Brecha Efectiva x UdM'!$H$25:$AK$32,2,0))</f>
        <v>0</v>
      </c>
      <c r="AF56" s="32">
        <f>VLOOKUP($A56,$A$4:$O$28,2,0)*(HLOOKUP(AF$47,'2.2.Brecha Efectiva x UdM'!$H$25:$AK$32,2,0))</f>
        <v>0</v>
      </c>
      <c r="AG56" s="32">
        <f>VLOOKUP($A56,$A$4:$O$28,2,0)*(HLOOKUP(AG$47,'2.2.Brecha Efectiva x UdM'!$H$25:$AK$32,2,0))</f>
        <v>0</v>
      </c>
      <c r="AH56" s="62">
        <f t="shared" si="11"/>
        <v>156156001.59718648</v>
      </c>
    </row>
    <row r="57" spans="1:34" x14ac:dyDescent="0.2">
      <c r="A57" s="26" t="str">
        <f t="shared" si="8"/>
        <v>Jujuy</v>
      </c>
      <c r="B57" s="52" t="str">
        <f t="shared" si="9"/>
        <v>Nombre UdM 1</v>
      </c>
      <c r="C57" s="26" t="str">
        <f t="shared" si="10"/>
        <v>Jujuy Nombre UdM 1</v>
      </c>
      <c r="D57" s="31">
        <f>VLOOKUP($A57,$A$4:$O$28,2,0)*(HLOOKUP(D$47,'2.2.Brecha Efectiva x UdM'!$H$25:$AK$32,2,0))</f>
        <v>40764862.118739553</v>
      </c>
      <c r="E57" s="31">
        <f>VLOOKUP($A57,$A$4:$O$28,2,0)*(HLOOKUP(E$47,'2.2.Brecha Efectiva x UdM'!$H$25:$AK$32,2,0))</f>
        <v>41116598.145595044</v>
      </c>
      <c r="F57" s="31">
        <f>VLOOKUP($A57,$A$4:$O$28,2,0)*(HLOOKUP(F$47,'2.2.Brecha Efectiva x UdM'!$H$25:$AK$32,2,0))</f>
        <v>25532011.222887911</v>
      </c>
      <c r="G57" s="31">
        <f>VLOOKUP($A57,$A$4:$O$28,2,0)*(HLOOKUP(G$47,'2.2.Brecha Efectiva x UdM'!$H$25:$AK$32,2,0))</f>
        <v>20251546.956624925</v>
      </c>
      <c r="H57" s="31">
        <f>VLOOKUP($A57,$A$4:$O$28,2,0)*(HLOOKUP(H$47,'2.2.Brecha Efectiva x UdM'!$H$25:$AK$32,2,0))</f>
        <v>10682929.725026427</v>
      </c>
      <c r="I57" s="31">
        <f>VLOOKUP($A57,$A$4:$O$28,2,0)*(HLOOKUP(I$47,'2.2.Brecha Efectiva x UdM'!$H$25:$AK$32,2,0))</f>
        <v>10766431.487420131</v>
      </c>
      <c r="J57" s="31">
        <f>VLOOKUP($A57,$A$4:$O$28,2,0)*(HLOOKUP(J$47,'2.2.Brecha Efectiva x UdM'!$H$25:$AK$32,2,0))</f>
        <v>10848460.798786307</v>
      </c>
      <c r="K57" s="31">
        <f>VLOOKUP($A57,$A$4:$O$28,2,0)*(HLOOKUP(K$47,'2.2.Brecha Efectiva x UdM'!$H$25:$AK$32,2,0))</f>
        <v>10082700.865508463</v>
      </c>
      <c r="L57" s="31">
        <f>VLOOKUP($A57,$A$4:$O$28,2,0)*(HLOOKUP(L$47,'2.2.Brecha Efectiva x UdM'!$H$25:$AK$32,2,0))</f>
        <v>10155744.031251131</v>
      </c>
      <c r="M57" s="31">
        <f>VLOOKUP($A57,$A$4:$O$28,2,0)*(HLOOKUP(M$47,'2.2.Brecha Efectiva x UdM'!$H$25:$AK$32,2,0))</f>
        <v>10227467.260590512</v>
      </c>
      <c r="N57" s="31">
        <f>VLOOKUP($A57,$A$4:$O$28,2,0)*(HLOOKUP(N$47,'2.2.Brecha Efectiva x UdM'!$H$25:$AK$32,2,0))</f>
        <v>0</v>
      </c>
      <c r="O57" s="31">
        <f>VLOOKUP($A57,$A$4:$O$28,2,0)*(HLOOKUP(O$47,'2.2.Brecha Efectiva x UdM'!$H$25:$AK$32,2,0))</f>
        <v>0</v>
      </c>
      <c r="P57" s="31">
        <f>VLOOKUP($A57,$A$4:$O$28,2,0)*(HLOOKUP(P$47,'2.2.Brecha Efectiva x UdM'!$H$25:$AK$32,2,0))</f>
        <v>0</v>
      </c>
      <c r="Q57" s="31">
        <f>VLOOKUP($A57,$A$4:$O$28,2,0)*(HLOOKUP(Q$47,'2.2.Brecha Efectiva x UdM'!$H$25:$AK$32,2,0))</f>
        <v>0</v>
      </c>
      <c r="R57" s="31">
        <f>VLOOKUP($A57,$A$4:$O$28,2,0)*(HLOOKUP(R$47,'2.2.Brecha Efectiva x UdM'!$H$25:$AK$32,2,0))</f>
        <v>0</v>
      </c>
      <c r="S57" s="31">
        <f>VLOOKUP($A57,$A$4:$O$28,2,0)*(HLOOKUP(S$47,'2.2.Brecha Efectiva x UdM'!$H$25:$AK$32,2,0))</f>
        <v>0</v>
      </c>
      <c r="T57" s="31">
        <f>VLOOKUP($A57,$A$4:$O$28,2,0)*(HLOOKUP(T$47,'2.2.Brecha Efectiva x UdM'!$H$25:$AK$32,2,0))</f>
        <v>0</v>
      </c>
      <c r="U57" s="31">
        <f>VLOOKUP($A57,$A$4:$O$28,2,0)*(HLOOKUP(U$47,'2.2.Brecha Efectiva x UdM'!$H$25:$AK$32,2,0))</f>
        <v>0</v>
      </c>
      <c r="V57" s="31">
        <f>VLOOKUP($A57,$A$4:$O$28,2,0)*(HLOOKUP(V$47,'2.2.Brecha Efectiva x UdM'!$H$25:$AK$32,2,0))</f>
        <v>0</v>
      </c>
      <c r="W57" s="31">
        <f>VLOOKUP($A57,$A$4:$O$28,2,0)*(HLOOKUP(W$47,'2.2.Brecha Efectiva x UdM'!$H$25:$AK$32,2,0))</f>
        <v>0</v>
      </c>
      <c r="X57" s="31">
        <f>VLOOKUP($A57,$A$4:$O$28,2,0)*(HLOOKUP(X$47,'2.2.Brecha Efectiva x UdM'!$H$25:$AK$32,2,0))</f>
        <v>0</v>
      </c>
      <c r="Y57" s="31">
        <f>VLOOKUP($A57,$A$4:$O$28,2,0)*(HLOOKUP(Y$47,'2.2.Brecha Efectiva x UdM'!$H$25:$AK$32,2,0))</f>
        <v>0</v>
      </c>
      <c r="Z57" s="31">
        <f>VLOOKUP($A57,$A$4:$O$28,2,0)*(HLOOKUP(Z$47,'2.2.Brecha Efectiva x UdM'!$H$25:$AK$32,2,0))</f>
        <v>0</v>
      </c>
      <c r="AA57" s="31">
        <f>VLOOKUP($A57,$A$4:$O$28,2,0)*(HLOOKUP(AA$47,'2.2.Brecha Efectiva x UdM'!$H$25:$AK$32,2,0))</f>
        <v>0</v>
      </c>
      <c r="AB57" s="31">
        <f>VLOOKUP($A57,$A$4:$O$28,2,0)*(HLOOKUP(AB$47,'2.2.Brecha Efectiva x UdM'!$H$25:$AK$32,2,0))</f>
        <v>0</v>
      </c>
      <c r="AC57" s="31">
        <f>VLOOKUP($A57,$A$4:$O$28,2,0)*(HLOOKUP(AC$47,'2.2.Brecha Efectiva x UdM'!$H$25:$AK$32,2,0))</f>
        <v>0</v>
      </c>
      <c r="AD57" s="31">
        <f>VLOOKUP($A57,$A$4:$O$28,2,0)*(HLOOKUP(AD$47,'2.2.Brecha Efectiva x UdM'!$H$25:$AK$32,2,0))</f>
        <v>0</v>
      </c>
      <c r="AE57" s="31">
        <f>VLOOKUP($A57,$A$4:$O$28,2,0)*(HLOOKUP(AE$47,'2.2.Brecha Efectiva x UdM'!$H$25:$AK$32,2,0))</f>
        <v>0</v>
      </c>
      <c r="AF57" s="31">
        <f>VLOOKUP($A57,$A$4:$O$28,2,0)*(HLOOKUP(AF$47,'2.2.Brecha Efectiva x UdM'!$H$25:$AK$32,2,0))</f>
        <v>0</v>
      </c>
      <c r="AG57" s="31">
        <f>VLOOKUP($A57,$A$4:$O$28,2,0)*(HLOOKUP(AG$47,'2.2.Brecha Efectiva x UdM'!$H$25:$AK$32,2,0))</f>
        <v>0</v>
      </c>
      <c r="AH57" s="63">
        <f t="shared" si="11"/>
        <v>190428752.61243042</v>
      </c>
    </row>
    <row r="58" spans="1:34" x14ac:dyDescent="0.2">
      <c r="A58" s="25" t="str">
        <f t="shared" si="8"/>
        <v>La Pampa</v>
      </c>
      <c r="B58" s="51" t="str">
        <f t="shared" si="9"/>
        <v>Nombre UdM 1</v>
      </c>
      <c r="C58" s="25" t="str">
        <f t="shared" si="10"/>
        <v>La Pampa Nombre UdM 1</v>
      </c>
      <c r="D58" s="32">
        <f>VLOOKUP($A58,$A$4:$O$28,2,0)*(HLOOKUP(D$47,'2.2.Brecha Efectiva x UdM'!$H$25:$AK$32,2,0))</f>
        <v>203077453.00628904</v>
      </c>
      <c r="E58" s="32">
        <f>VLOOKUP($A58,$A$4:$O$28,2,0)*(HLOOKUP(E$47,'2.2.Brecha Efectiva x UdM'!$H$25:$AK$32,2,0))</f>
        <v>204829688.94557187</v>
      </c>
      <c r="F58" s="32">
        <f>VLOOKUP($A58,$A$4:$O$28,2,0)*(HLOOKUP(F$47,'2.2.Brecha Efectiva x UdM'!$H$25:$AK$32,2,0))</f>
        <v>127192281.28797074</v>
      </c>
      <c r="G58" s="32">
        <f>VLOOKUP($A58,$A$4:$O$28,2,0)*(HLOOKUP(G$47,'2.2.Brecha Efectiva x UdM'!$H$25:$AK$32,2,0))</f>
        <v>100886703.93167067</v>
      </c>
      <c r="H58" s="32">
        <f>VLOOKUP($A58,$A$4:$O$28,2,0)*(HLOOKUP(H$47,'2.2.Brecha Efectiva x UdM'!$H$25:$AK$32,2,0))</f>
        <v>53218925.477641776</v>
      </c>
      <c r="I58" s="32">
        <f>VLOOKUP($A58,$A$4:$O$28,2,0)*(HLOOKUP(I$47,'2.2.Brecha Efectiva x UdM'!$H$25:$AK$32,2,0))</f>
        <v>53634904.44450438</v>
      </c>
      <c r="J58" s="32">
        <f>VLOOKUP($A58,$A$4:$O$28,2,0)*(HLOOKUP(J$47,'2.2.Brecha Efectiva x UdM'!$H$25:$AK$32,2,0))</f>
        <v>54043548.133168913</v>
      </c>
      <c r="K58" s="32">
        <f>VLOOKUP($A58,$A$4:$O$28,2,0)*(HLOOKUP(K$47,'2.2.Brecha Efectiva x UdM'!$H$25:$AK$32,2,0))</f>
        <v>50228778.039960541</v>
      </c>
      <c r="L58" s="32">
        <f>VLOOKUP($A58,$A$4:$O$28,2,0)*(HLOOKUP(L$47,'2.2.Brecha Efectiva x UdM'!$H$25:$AK$32,2,0))</f>
        <v>50592655.636684172</v>
      </c>
      <c r="M58" s="32">
        <f>VLOOKUP($A58,$A$4:$O$28,2,0)*(HLOOKUP(M$47,'2.2.Brecha Efectiva x UdM'!$H$25:$AK$32,2,0))</f>
        <v>50949957.734093502</v>
      </c>
      <c r="N58" s="32">
        <f>VLOOKUP($A58,$A$4:$O$28,2,0)*(HLOOKUP(N$47,'2.2.Brecha Efectiva x UdM'!$H$25:$AK$32,2,0))</f>
        <v>0</v>
      </c>
      <c r="O58" s="32">
        <f>VLOOKUP($A58,$A$4:$O$28,2,0)*(HLOOKUP(O$47,'2.2.Brecha Efectiva x UdM'!$H$25:$AK$32,2,0))</f>
        <v>0</v>
      </c>
      <c r="P58" s="32">
        <f>VLOOKUP($A58,$A$4:$O$28,2,0)*(HLOOKUP(P$47,'2.2.Brecha Efectiva x UdM'!$H$25:$AK$32,2,0))</f>
        <v>0</v>
      </c>
      <c r="Q58" s="32">
        <f>VLOOKUP($A58,$A$4:$O$28,2,0)*(HLOOKUP(Q$47,'2.2.Brecha Efectiva x UdM'!$H$25:$AK$32,2,0))</f>
        <v>0</v>
      </c>
      <c r="R58" s="32">
        <f>VLOOKUP($A58,$A$4:$O$28,2,0)*(HLOOKUP(R$47,'2.2.Brecha Efectiva x UdM'!$H$25:$AK$32,2,0))</f>
        <v>0</v>
      </c>
      <c r="S58" s="32">
        <f>VLOOKUP($A58,$A$4:$O$28,2,0)*(HLOOKUP(S$47,'2.2.Brecha Efectiva x UdM'!$H$25:$AK$32,2,0))</f>
        <v>0</v>
      </c>
      <c r="T58" s="32">
        <f>VLOOKUP($A58,$A$4:$O$28,2,0)*(HLOOKUP(T$47,'2.2.Brecha Efectiva x UdM'!$H$25:$AK$32,2,0))</f>
        <v>0</v>
      </c>
      <c r="U58" s="32">
        <f>VLOOKUP($A58,$A$4:$O$28,2,0)*(HLOOKUP(U$47,'2.2.Brecha Efectiva x UdM'!$H$25:$AK$32,2,0))</f>
        <v>0</v>
      </c>
      <c r="V58" s="32">
        <f>VLOOKUP($A58,$A$4:$O$28,2,0)*(HLOOKUP(V$47,'2.2.Brecha Efectiva x UdM'!$H$25:$AK$32,2,0))</f>
        <v>0</v>
      </c>
      <c r="W58" s="32">
        <f>VLOOKUP($A58,$A$4:$O$28,2,0)*(HLOOKUP(W$47,'2.2.Brecha Efectiva x UdM'!$H$25:$AK$32,2,0))</f>
        <v>0</v>
      </c>
      <c r="X58" s="32">
        <f>VLOOKUP($A58,$A$4:$O$28,2,0)*(HLOOKUP(X$47,'2.2.Brecha Efectiva x UdM'!$H$25:$AK$32,2,0))</f>
        <v>0</v>
      </c>
      <c r="Y58" s="32">
        <f>VLOOKUP($A58,$A$4:$O$28,2,0)*(HLOOKUP(Y$47,'2.2.Brecha Efectiva x UdM'!$H$25:$AK$32,2,0))</f>
        <v>0</v>
      </c>
      <c r="Z58" s="32">
        <f>VLOOKUP($A58,$A$4:$O$28,2,0)*(HLOOKUP(Z$47,'2.2.Brecha Efectiva x UdM'!$H$25:$AK$32,2,0))</f>
        <v>0</v>
      </c>
      <c r="AA58" s="32">
        <f>VLOOKUP($A58,$A$4:$O$28,2,0)*(HLOOKUP(AA$47,'2.2.Brecha Efectiva x UdM'!$H$25:$AK$32,2,0))</f>
        <v>0</v>
      </c>
      <c r="AB58" s="32">
        <f>VLOOKUP($A58,$A$4:$O$28,2,0)*(HLOOKUP(AB$47,'2.2.Brecha Efectiva x UdM'!$H$25:$AK$32,2,0))</f>
        <v>0</v>
      </c>
      <c r="AC58" s="32">
        <f>VLOOKUP($A58,$A$4:$O$28,2,0)*(HLOOKUP(AC$47,'2.2.Brecha Efectiva x UdM'!$H$25:$AK$32,2,0))</f>
        <v>0</v>
      </c>
      <c r="AD58" s="32">
        <f>VLOOKUP($A58,$A$4:$O$28,2,0)*(HLOOKUP(AD$47,'2.2.Brecha Efectiva x UdM'!$H$25:$AK$32,2,0))</f>
        <v>0</v>
      </c>
      <c r="AE58" s="32">
        <f>VLOOKUP($A58,$A$4:$O$28,2,0)*(HLOOKUP(AE$47,'2.2.Brecha Efectiva x UdM'!$H$25:$AK$32,2,0))</f>
        <v>0</v>
      </c>
      <c r="AF58" s="32">
        <f>VLOOKUP($A58,$A$4:$O$28,2,0)*(HLOOKUP(AF$47,'2.2.Brecha Efectiva x UdM'!$H$25:$AK$32,2,0))</f>
        <v>0</v>
      </c>
      <c r="AG58" s="32">
        <f>VLOOKUP($A58,$A$4:$O$28,2,0)*(HLOOKUP(AG$47,'2.2.Brecha Efectiva x UdM'!$H$25:$AK$32,2,0))</f>
        <v>0</v>
      </c>
      <c r="AH58" s="62">
        <f t="shared" si="11"/>
        <v>948654896.63755572</v>
      </c>
    </row>
    <row r="59" spans="1:34" x14ac:dyDescent="0.2">
      <c r="A59" s="26" t="str">
        <f t="shared" si="8"/>
        <v>La Rioja</v>
      </c>
      <c r="B59" s="52" t="str">
        <f t="shared" si="9"/>
        <v>Nombre UdM 1</v>
      </c>
      <c r="C59" s="26" t="str">
        <f t="shared" si="10"/>
        <v>La Rioja Nombre UdM 1</v>
      </c>
      <c r="D59" s="31">
        <f>VLOOKUP($A59,$A$4:$O$28,2,0)*(HLOOKUP(D$47,'2.2.Brecha Efectiva x UdM'!$H$25:$AK$32,2,0))</f>
        <v>69882620.77498208</v>
      </c>
      <c r="E59" s="31">
        <f>VLOOKUP($A59,$A$4:$O$28,2,0)*(HLOOKUP(E$47,'2.2.Brecha Efectiva x UdM'!$H$25:$AK$32,2,0))</f>
        <v>70485596.821020067</v>
      </c>
      <c r="F59" s="31">
        <f>VLOOKUP($A59,$A$4:$O$28,2,0)*(HLOOKUP(F$47,'2.2.Brecha Efectiva x UdM'!$H$25:$AK$32,2,0))</f>
        <v>43769162.096379273</v>
      </c>
      <c r="G59" s="31">
        <f>VLOOKUP($A59,$A$4:$O$28,2,0)*(HLOOKUP(G$47,'2.2.Brecha Efectiva x UdM'!$H$25:$AK$32,2,0))</f>
        <v>34716937.639928438</v>
      </c>
      <c r="H59" s="31">
        <f>VLOOKUP($A59,$A$4:$O$28,2,0)*(HLOOKUP(H$47,'2.2.Brecha Efectiva x UdM'!$H$25:$AK$32,2,0))</f>
        <v>18313593.814331014</v>
      </c>
      <c r="I59" s="31">
        <f>VLOOKUP($A59,$A$4:$O$28,2,0)*(HLOOKUP(I$47,'2.2.Brecha Efectiva x UdM'!$H$25:$AK$32,2,0))</f>
        <v>18456739.692720223</v>
      </c>
      <c r="J59" s="31">
        <f>VLOOKUP($A59,$A$4:$O$28,2,0)*(HLOOKUP(J$47,'2.2.Brecha Efectiva x UdM'!$H$25:$AK$32,2,0))</f>
        <v>18597361.369347952</v>
      </c>
      <c r="K59" s="31">
        <f>VLOOKUP($A59,$A$4:$O$28,2,0)*(HLOOKUP(K$47,'2.2.Brecha Efectiva x UdM'!$H$25:$AK$32,2,0))</f>
        <v>17284630.055157363</v>
      </c>
      <c r="L59" s="31">
        <f>VLOOKUP($A59,$A$4:$O$28,2,0)*(HLOOKUP(L$47,'2.2.Brecha Efectiva x UdM'!$H$25:$AK$32,2,0))</f>
        <v>17409846.910716221</v>
      </c>
      <c r="M59" s="31">
        <f>VLOOKUP($A59,$A$4:$O$28,2,0)*(HLOOKUP(M$47,'2.2.Brecha Efectiva x UdM'!$H$25:$AK$32,2,0))</f>
        <v>17532801.018155161</v>
      </c>
      <c r="N59" s="31">
        <f>VLOOKUP($A59,$A$4:$O$28,2,0)*(HLOOKUP(N$47,'2.2.Brecha Efectiva x UdM'!$H$25:$AK$32,2,0))</f>
        <v>0</v>
      </c>
      <c r="O59" s="31">
        <f>VLOOKUP($A59,$A$4:$O$28,2,0)*(HLOOKUP(O$47,'2.2.Brecha Efectiva x UdM'!$H$25:$AK$32,2,0))</f>
        <v>0</v>
      </c>
      <c r="P59" s="31">
        <f>VLOOKUP($A59,$A$4:$O$28,2,0)*(HLOOKUP(P$47,'2.2.Brecha Efectiva x UdM'!$H$25:$AK$32,2,0))</f>
        <v>0</v>
      </c>
      <c r="Q59" s="31">
        <f>VLOOKUP($A59,$A$4:$O$28,2,0)*(HLOOKUP(Q$47,'2.2.Brecha Efectiva x UdM'!$H$25:$AK$32,2,0))</f>
        <v>0</v>
      </c>
      <c r="R59" s="31">
        <f>VLOOKUP($A59,$A$4:$O$28,2,0)*(HLOOKUP(R$47,'2.2.Brecha Efectiva x UdM'!$H$25:$AK$32,2,0))</f>
        <v>0</v>
      </c>
      <c r="S59" s="31">
        <f>VLOOKUP($A59,$A$4:$O$28,2,0)*(HLOOKUP(S$47,'2.2.Brecha Efectiva x UdM'!$H$25:$AK$32,2,0))</f>
        <v>0</v>
      </c>
      <c r="T59" s="31">
        <f>VLOOKUP($A59,$A$4:$O$28,2,0)*(HLOOKUP(T$47,'2.2.Brecha Efectiva x UdM'!$H$25:$AK$32,2,0))</f>
        <v>0</v>
      </c>
      <c r="U59" s="31">
        <f>VLOOKUP($A59,$A$4:$O$28,2,0)*(HLOOKUP(U$47,'2.2.Brecha Efectiva x UdM'!$H$25:$AK$32,2,0))</f>
        <v>0</v>
      </c>
      <c r="V59" s="31">
        <f>VLOOKUP($A59,$A$4:$O$28,2,0)*(HLOOKUP(V$47,'2.2.Brecha Efectiva x UdM'!$H$25:$AK$32,2,0))</f>
        <v>0</v>
      </c>
      <c r="W59" s="31">
        <f>VLOOKUP($A59,$A$4:$O$28,2,0)*(HLOOKUP(W$47,'2.2.Brecha Efectiva x UdM'!$H$25:$AK$32,2,0))</f>
        <v>0</v>
      </c>
      <c r="X59" s="31">
        <f>VLOOKUP($A59,$A$4:$O$28,2,0)*(HLOOKUP(X$47,'2.2.Brecha Efectiva x UdM'!$H$25:$AK$32,2,0))</f>
        <v>0</v>
      </c>
      <c r="Y59" s="31">
        <f>VLOOKUP($A59,$A$4:$O$28,2,0)*(HLOOKUP(Y$47,'2.2.Brecha Efectiva x UdM'!$H$25:$AK$32,2,0))</f>
        <v>0</v>
      </c>
      <c r="Z59" s="31">
        <f>VLOOKUP($A59,$A$4:$O$28,2,0)*(HLOOKUP(Z$47,'2.2.Brecha Efectiva x UdM'!$H$25:$AK$32,2,0))</f>
        <v>0</v>
      </c>
      <c r="AA59" s="31">
        <f>VLOOKUP($A59,$A$4:$O$28,2,0)*(HLOOKUP(AA$47,'2.2.Brecha Efectiva x UdM'!$H$25:$AK$32,2,0))</f>
        <v>0</v>
      </c>
      <c r="AB59" s="31">
        <f>VLOOKUP($A59,$A$4:$O$28,2,0)*(HLOOKUP(AB$47,'2.2.Brecha Efectiva x UdM'!$H$25:$AK$32,2,0))</f>
        <v>0</v>
      </c>
      <c r="AC59" s="31">
        <f>VLOOKUP($A59,$A$4:$O$28,2,0)*(HLOOKUP(AC$47,'2.2.Brecha Efectiva x UdM'!$H$25:$AK$32,2,0))</f>
        <v>0</v>
      </c>
      <c r="AD59" s="31">
        <f>VLOOKUP($A59,$A$4:$O$28,2,0)*(HLOOKUP(AD$47,'2.2.Brecha Efectiva x UdM'!$H$25:$AK$32,2,0))</f>
        <v>0</v>
      </c>
      <c r="AE59" s="31">
        <f>VLOOKUP($A59,$A$4:$O$28,2,0)*(HLOOKUP(AE$47,'2.2.Brecha Efectiva x UdM'!$H$25:$AK$32,2,0))</f>
        <v>0</v>
      </c>
      <c r="AF59" s="31">
        <f>VLOOKUP($A59,$A$4:$O$28,2,0)*(HLOOKUP(AF$47,'2.2.Brecha Efectiva x UdM'!$H$25:$AK$32,2,0))</f>
        <v>0</v>
      </c>
      <c r="AG59" s="31">
        <f>VLOOKUP($A59,$A$4:$O$28,2,0)*(HLOOKUP(AG$47,'2.2.Brecha Efectiva x UdM'!$H$25:$AK$32,2,0))</f>
        <v>0</v>
      </c>
      <c r="AH59" s="63">
        <f t="shared" si="11"/>
        <v>326449290.19273782</v>
      </c>
    </row>
    <row r="60" spans="1:34" x14ac:dyDescent="0.2">
      <c r="A60" s="25" t="str">
        <f t="shared" si="8"/>
        <v>Mendoza</v>
      </c>
      <c r="B60" s="51" t="str">
        <f t="shared" si="9"/>
        <v>Nombre UdM 1</v>
      </c>
      <c r="C60" s="25" t="str">
        <f t="shared" si="10"/>
        <v>Mendoza Nombre UdM 1</v>
      </c>
      <c r="D60" s="32">
        <f>VLOOKUP($A60,$A$4:$O$28,2,0)*(HLOOKUP(D$47,'2.2.Brecha Efectiva x UdM'!$H$25:$AK$32,2,0))</f>
        <v>308822631.84732509</v>
      </c>
      <c r="E60" s="32">
        <f>VLOOKUP($A60,$A$4:$O$28,2,0)*(HLOOKUP(E$47,'2.2.Brecha Efectiva x UdM'!$H$25:$AK$32,2,0))</f>
        <v>311487280.76022059</v>
      </c>
      <c r="F60" s="32">
        <f>VLOOKUP($A60,$A$4:$O$28,2,0)*(HLOOKUP(F$47,'2.2.Brecha Efectiva x UdM'!$H$25:$AK$32,2,0))</f>
        <v>193423023.95726797</v>
      </c>
      <c r="G60" s="32">
        <f>VLOOKUP($A60,$A$4:$O$28,2,0)*(HLOOKUP(G$47,'2.2.Brecha Efectiva x UdM'!$H$25:$AK$32,2,0))</f>
        <v>153419776.37278891</v>
      </c>
      <c r="H60" s="32">
        <f>VLOOKUP($A60,$A$4:$O$28,2,0)*(HLOOKUP(H$47,'2.2.Brecha Efectiva x UdM'!$H$25:$AK$32,2,0))</f>
        <v>80930740.398753271</v>
      </c>
      <c r="I60" s="32">
        <f>VLOOKUP($A60,$A$4:$O$28,2,0)*(HLOOKUP(I$47,'2.2.Brecha Efectiva x UdM'!$H$25:$AK$32,2,0))</f>
        <v>81563325.244770929</v>
      </c>
      <c r="J60" s="32">
        <f>VLOOKUP($A60,$A$4:$O$28,2,0)*(HLOOKUP(J$47,'2.2.Brecha Efectiva x UdM'!$H$25:$AK$32,2,0))</f>
        <v>82184755.233935073</v>
      </c>
      <c r="K60" s="32">
        <f>VLOOKUP($A60,$A$4:$O$28,2,0)*(HLOOKUP(K$47,'2.2.Brecha Efectiva x UdM'!$H$25:$AK$32,2,0))</f>
        <v>76383582.712628186</v>
      </c>
      <c r="L60" s="32">
        <f>VLOOKUP($A60,$A$4:$O$28,2,0)*(HLOOKUP(L$47,'2.2.Brecha Efectiva x UdM'!$H$25:$AK$32,2,0))</f>
        <v>76936936.299778953</v>
      </c>
      <c r="M60" s="32">
        <f>VLOOKUP($A60,$A$4:$O$28,2,0)*(HLOOKUP(M$47,'2.2.Brecha Efectiva x UdM'!$H$25:$AK$32,2,0))</f>
        <v>77480290.436109886</v>
      </c>
      <c r="N60" s="32">
        <f>VLOOKUP($A60,$A$4:$O$28,2,0)*(HLOOKUP(N$47,'2.2.Brecha Efectiva x UdM'!$H$25:$AK$32,2,0))</f>
        <v>0</v>
      </c>
      <c r="O60" s="32">
        <f>VLOOKUP($A60,$A$4:$O$28,2,0)*(HLOOKUP(O$47,'2.2.Brecha Efectiva x UdM'!$H$25:$AK$32,2,0))</f>
        <v>0</v>
      </c>
      <c r="P60" s="32">
        <f>VLOOKUP($A60,$A$4:$O$28,2,0)*(HLOOKUP(P$47,'2.2.Brecha Efectiva x UdM'!$H$25:$AK$32,2,0))</f>
        <v>0</v>
      </c>
      <c r="Q60" s="32">
        <f>VLOOKUP($A60,$A$4:$O$28,2,0)*(HLOOKUP(Q$47,'2.2.Brecha Efectiva x UdM'!$H$25:$AK$32,2,0))</f>
        <v>0</v>
      </c>
      <c r="R60" s="32">
        <f>VLOOKUP($A60,$A$4:$O$28,2,0)*(HLOOKUP(R$47,'2.2.Brecha Efectiva x UdM'!$H$25:$AK$32,2,0))</f>
        <v>0</v>
      </c>
      <c r="S60" s="32">
        <f>VLOOKUP($A60,$A$4:$O$28,2,0)*(HLOOKUP(S$47,'2.2.Brecha Efectiva x UdM'!$H$25:$AK$32,2,0))</f>
        <v>0</v>
      </c>
      <c r="T60" s="32">
        <f>VLOOKUP($A60,$A$4:$O$28,2,0)*(HLOOKUP(T$47,'2.2.Brecha Efectiva x UdM'!$H$25:$AK$32,2,0))</f>
        <v>0</v>
      </c>
      <c r="U60" s="32">
        <f>VLOOKUP($A60,$A$4:$O$28,2,0)*(HLOOKUP(U$47,'2.2.Brecha Efectiva x UdM'!$H$25:$AK$32,2,0))</f>
        <v>0</v>
      </c>
      <c r="V60" s="32">
        <f>VLOOKUP($A60,$A$4:$O$28,2,0)*(HLOOKUP(V$47,'2.2.Brecha Efectiva x UdM'!$H$25:$AK$32,2,0))</f>
        <v>0</v>
      </c>
      <c r="W60" s="32">
        <f>VLOOKUP($A60,$A$4:$O$28,2,0)*(HLOOKUP(W$47,'2.2.Brecha Efectiva x UdM'!$H$25:$AK$32,2,0))</f>
        <v>0</v>
      </c>
      <c r="X60" s="32">
        <f>VLOOKUP($A60,$A$4:$O$28,2,0)*(HLOOKUP(X$47,'2.2.Brecha Efectiva x UdM'!$H$25:$AK$32,2,0))</f>
        <v>0</v>
      </c>
      <c r="Y60" s="32">
        <f>VLOOKUP($A60,$A$4:$O$28,2,0)*(HLOOKUP(Y$47,'2.2.Brecha Efectiva x UdM'!$H$25:$AK$32,2,0))</f>
        <v>0</v>
      </c>
      <c r="Z60" s="32">
        <f>VLOOKUP($A60,$A$4:$O$28,2,0)*(HLOOKUP(Z$47,'2.2.Brecha Efectiva x UdM'!$H$25:$AK$32,2,0))</f>
        <v>0</v>
      </c>
      <c r="AA60" s="32">
        <f>VLOOKUP($A60,$A$4:$O$28,2,0)*(HLOOKUP(AA$47,'2.2.Brecha Efectiva x UdM'!$H$25:$AK$32,2,0))</f>
        <v>0</v>
      </c>
      <c r="AB60" s="32">
        <f>VLOOKUP($A60,$A$4:$O$28,2,0)*(HLOOKUP(AB$47,'2.2.Brecha Efectiva x UdM'!$H$25:$AK$32,2,0))</f>
        <v>0</v>
      </c>
      <c r="AC60" s="32">
        <f>VLOOKUP($A60,$A$4:$O$28,2,0)*(HLOOKUP(AC$47,'2.2.Brecha Efectiva x UdM'!$H$25:$AK$32,2,0))</f>
        <v>0</v>
      </c>
      <c r="AD60" s="32">
        <f>VLOOKUP($A60,$A$4:$O$28,2,0)*(HLOOKUP(AD$47,'2.2.Brecha Efectiva x UdM'!$H$25:$AK$32,2,0))</f>
        <v>0</v>
      </c>
      <c r="AE60" s="32">
        <f>VLOOKUP($A60,$A$4:$O$28,2,0)*(HLOOKUP(AE$47,'2.2.Brecha Efectiva x UdM'!$H$25:$AK$32,2,0))</f>
        <v>0</v>
      </c>
      <c r="AF60" s="32">
        <f>VLOOKUP($A60,$A$4:$O$28,2,0)*(HLOOKUP(AF$47,'2.2.Brecha Efectiva x UdM'!$H$25:$AK$32,2,0))</f>
        <v>0</v>
      </c>
      <c r="AG60" s="32">
        <f>VLOOKUP($A60,$A$4:$O$28,2,0)*(HLOOKUP(AG$47,'2.2.Brecha Efectiva x UdM'!$H$25:$AK$32,2,0))</f>
        <v>0</v>
      </c>
      <c r="AH60" s="62">
        <f t="shared" si="11"/>
        <v>1442632343.2635787</v>
      </c>
    </row>
    <row r="61" spans="1:34" x14ac:dyDescent="0.2">
      <c r="A61" s="26" t="str">
        <f t="shared" si="8"/>
        <v>Misiones</v>
      </c>
      <c r="B61" s="52" t="str">
        <f t="shared" si="9"/>
        <v>Nombre UdM 1</v>
      </c>
      <c r="C61" s="26" t="str">
        <f t="shared" si="10"/>
        <v>Misiones Nombre UdM 1</v>
      </c>
      <c r="D61" s="31">
        <f>VLOOKUP($A61,$A$4:$O$28,2,0)*(HLOOKUP(D$47,'2.2.Brecha Efectiva x UdM'!$H$25:$AK$32,2,0))</f>
        <v>13371253.630125294</v>
      </c>
      <c r="E61" s="31">
        <f>VLOOKUP($A61,$A$4:$O$28,2,0)*(HLOOKUP(E$47,'2.2.Brecha Efectiva x UdM'!$H$25:$AK$32,2,0))</f>
        <v>13486626.315852478</v>
      </c>
      <c r="F61" s="31">
        <f>VLOOKUP($A61,$A$4:$O$28,2,0)*(HLOOKUP(F$47,'2.2.Brecha Efectiva x UdM'!$H$25:$AK$32,2,0))</f>
        <v>8374736.9671956012</v>
      </c>
      <c r="G61" s="31">
        <f>VLOOKUP($A61,$A$4:$O$28,2,0)*(HLOOKUP(G$47,'2.2.Brecha Efectiva x UdM'!$H$25:$AK$32,2,0))</f>
        <v>6642695.6129686683</v>
      </c>
      <c r="H61" s="31">
        <f>VLOOKUP($A61,$A$4:$O$28,2,0)*(HLOOKUP(H$47,'2.2.Brecha Efectiva x UdM'!$H$25:$AK$32,2,0))</f>
        <v>3504100.2334328452</v>
      </c>
      <c r="I61" s="31">
        <f>VLOOKUP($A61,$A$4:$O$28,2,0)*(HLOOKUP(I$47,'2.2.Brecha Efectiva x UdM'!$H$25:$AK$32,2,0))</f>
        <v>3531489.5875358097</v>
      </c>
      <c r="J61" s="31">
        <f>VLOOKUP($A61,$A$4:$O$28,2,0)*(HLOOKUP(J$47,'2.2.Brecha Efectiva x UdM'!$H$25:$AK$32,2,0))</f>
        <v>3558395.9640172706</v>
      </c>
      <c r="K61" s="31">
        <f>VLOOKUP($A61,$A$4:$O$28,2,0)*(HLOOKUP(K$47,'2.2.Brecha Efectiva x UdM'!$H$25:$AK$32,2,0))</f>
        <v>3307219.5891819699</v>
      </c>
      <c r="L61" s="31">
        <f>VLOOKUP($A61,$A$4:$O$28,2,0)*(HLOOKUP(L$47,'2.2.Brecha Efectiva x UdM'!$H$25:$AK$32,2,0))</f>
        <v>3331178.4263846478</v>
      </c>
      <c r="M61" s="31">
        <f>VLOOKUP($A61,$A$4:$O$28,2,0)*(HLOOKUP(M$47,'2.2.Brecha Efectiva x UdM'!$H$25:$AK$32,2,0))</f>
        <v>3354704.3121799948</v>
      </c>
      <c r="N61" s="31">
        <f>VLOOKUP($A61,$A$4:$O$28,2,0)*(HLOOKUP(N$47,'2.2.Brecha Efectiva x UdM'!$H$25:$AK$32,2,0))</f>
        <v>0</v>
      </c>
      <c r="O61" s="31">
        <f>VLOOKUP($A61,$A$4:$O$28,2,0)*(HLOOKUP(O$47,'2.2.Brecha Efectiva x UdM'!$H$25:$AK$32,2,0))</f>
        <v>0</v>
      </c>
      <c r="P61" s="31">
        <f>VLOOKUP($A61,$A$4:$O$28,2,0)*(HLOOKUP(P$47,'2.2.Brecha Efectiva x UdM'!$H$25:$AK$32,2,0))</f>
        <v>0</v>
      </c>
      <c r="Q61" s="31">
        <f>VLOOKUP($A61,$A$4:$O$28,2,0)*(HLOOKUP(Q$47,'2.2.Brecha Efectiva x UdM'!$H$25:$AK$32,2,0))</f>
        <v>0</v>
      </c>
      <c r="R61" s="31">
        <f>VLOOKUP($A61,$A$4:$O$28,2,0)*(HLOOKUP(R$47,'2.2.Brecha Efectiva x UdM'!$H$25:$AK$32,2,0))</f>
        <v>0</v>
      </c>
      <c r="S61" s="31">
        <f>VLOOKUP($A61,$A$4:$O$28,2,0)*(HLOOKUP(S$47,'2.2.Brecha Efectiva x UdM'!$H$25:$AK$32,2,0))</f>
        <v>0</v>
      </c>
      <c r="T61" s="31">
        <f>VLOOKUP($A61,$A$4:$O$28,2,0)*(HLOOKUP(T$47,'2.2.Brecha Efectiva x UdM'!$H$25:$AK$32,2,0))</f>
        <v>0</v>
      </c>
      <c r="U61" s="31">
        <f>VLOOKUP($A61,$A$4:$O$28,2,0)*(HLOOKUP(U$47,'2.2.Brecha Efectiva x UdM'!$H$25:$AK$32,2,0))</f>
        <v>0</v>
      </c>
      <c r="V61" s="31">
        <f>VLOOKUP($A61,$A$4:$O$28,2,0)*(HLOOKUP(V$47,'2.2.Brecha Efectiva x UdM'!$H$25:$AK$32,2,0))</f>
        <v>0</v>
      </c>
      <c r="W61" s="31">
        <f>VLOOKUP($A61,$A$4:$O$28,2,0)*(HLOOKUP(W$47,'2.2.Brecha Efectiva x UdM'!$H$25:$AK$32,2,0))</f>
        <v>0</v>
      </c>
      <c r="X61" s="31">
        <f>VLOOKUP($A61,$A$4:$O$28,2,0)*(HLOOKUP(X$47,'2.2.Brecha Efectiva x UdM'!$H$25:$AK$32,2,0))</f>
        <v>0</v>
      </c>
      <c r="Y61" s="31">
        <f>VLOOKUP($A61,$A$4:$O$28,2,0)*(HLOOKUP(Y$47,'2.2.Brecha Efectiva x UdM'!$H$25:$AK$32,2,0))</f>
        <v>0</v>
      </c>
      <c r="Z61" s="31">
        <f>VLOOKUP($A61,$A$4:$O$28,2,0)*(HLOOKUP(Z$47,'2.2.Brecha Efectiva x UdM'!$H$25:$AK$32,2,0))</f>
        <v>0</v>
      </c>
      <c r="AA61" s="31">
        <f>VLOOKUP($A61,$A$4:$O$28,2,0)*(HLOOKUP(AA$47,'2.2.Brecha Efectiva x UdM'!$H$25:$AK$32,2,0))</f>
        <v>0</v>
      </c>
      <c r="AB61" s="31">
        <f>VLOOKUP($A61,$A$4:$O$28,2,0)*(HLOOKUP(AB$47,'2.2.Brecha Efectiva x UdM'!$H$25:$AK$32,2,0))</f>
        <v>0</v>
      </c>
      <c r="AC61" s="31">
        <f>VLOOKUP($A61,$A$4:$O$28,2,0)*(HLOOKUP(AC$47,'2.2.Brecha Efectiva x UdM'!$H$25:$AK$32,2,0))</f>
        <v>0</v>
      </c>
      <c r="AD61" s="31">
        <f>VLOOKUP($A61,$A$4:$O$28,2,0)*(HLOOKUP(AD$47,'2.2.Brecha Efectiva x UdM'!$H$25:$AK$32,2,0))</f>
        <v>0</v>
      </c>
      <c r="AE61" s="31">
        <f>VLOOKUP($A61,$A$4:$O$28,2,0)*(HLOOKUP(AE$47,'2.2.Brecha Efectiva x UdM'!$H$25:$AK$32,2,0))</f>
        <v>0</v>
      </c>
      <c r="AF61" s="31">
        <f>VLOOKUP($A61,$A$4:$O$28,2,0)*(HLOOKUP(AF$47,'2.2.Brecha Efectiva x UdM'!$H$25:$AK$32,2,0))</f>
        <v>0</v>
      </c>
      <c r="AG61" s="31">
        <f>VLOOKUP($A61,$A$4:$O$28,2,0)*(HLOOKUP(AG$47,'2.2.Brecha Efectiva x UdM'!$H$25:$AK$32,2,0))</f>
        <v>0</v>
      </c>
      <c r="AH61" s="63">
        <f t="shared" si="11"/>
        <v>62462400.638874575</v>
      </c>
    </row>
    <row r="62" spans="1:34" x14ac:dyDescent="0.2">
      <c r="A62" s="25" t="str">
        <f t="shared" si="8"/>
        <v>Neuquén</v>
      </c>
      <c r="B62" s="51" t="str">
        <f t="shared" si="9"/>
        <v>Nombre UdM 1</v>
      </c>
      <c r="C62" s="25" t="str">
        <f t="shared" si="10"/>
        <v>Neuquén Nombre UdM 1</v>
      </c>
      <c r="D62" s="32">
        <f>VLOOKUP($A62,$A$4:$O$28,2,0)*(HLOOKUP(D$47,'2.2.Brecha Efectiva x UdM'!$H$25:$AK$32,2,0))</f>
        <v>114037221.41618036</v>
      </c>
      <c r="E62" s="32">
        <f>VLOOKUP($A62,$A$4:$O$28,2,0)*(HLOOKUP(E$47,'2.2.Brecha Efectiva x UdM'!$H$25:$AK$32,2,0))</f>
        <v>115021181.54973194</v>
      </c>
      <c r="F62" s="32">
        <f>VLOOKUP($A62,$A$4:$O$28,2,0)*(HLOOKUP(F$47,'2.2.Brecha Efectiva x UdM'!$H$25:$AK$32,2,0))</f>
        <v>71424247.88642697</v>
      </c>
      <c r="G62" s="32">
        <f>VLOOKUP($A62,$A$4:$O$28,2,0)*(HLOOKUP(G$47,'2.2.Brecha Efectiva x UdM'!$H$25:$AK$32,2,0))</f>
        <v>56652470.394378394</v>
      </c>
      <c r="H62" s="32">
        <f>VLOOKUP($A62,$A$4:$O$28,2,0)*(HLOOKUP(H$47,'2.2.Brecha Efectiva x UdM'!$H$25:$AK$32,2,0))</f>
        <v>29884845.896885902</v>
      </c>
      <c r="I62" s="32">
        <f>VLOOKUP($A62,$A$4:$O$28,2,0)*(HLOOKUP(I$47,'2.2.Brecha Efectiva x UdM'!$H$25:$AK$32,2,0))</f>
        <v>30118436.996470533</v>
      </c>
      <c r="J62" s="32">
        <f>VLOOKUP($A62,$A$4:$O$28,2,0)*(HLOOKUP(J$47,'2.2.Brecha Efectiva x UdM'!$H$25:$AK$32,2,0))</f>
        <v>30347909.00389776</v>
      </c>
      <c r="K62" s="32">
        <f>VLOOKUP($A62,$A$4:$O$28,2,0)*(HLOOKUP(K$47,'2.2.Brecha Efectiva x UdM'!$H$25:$AK$32,2,0))</f>
        <v>28205742.183647394</v>
      </c>
      <c r="L62" s="32">
        <f>VLOOKUP($A62,$A$4:$O$28,2,0)*(HLOOKUP(L$47,'2.2.Brecha Efectiva x UdM'!$H$25:$AK$32,2,0))</f>
        <v>28410075.995459948</v>
      </c>
      <c r="M62" s="32">
        <f>VLOOKUP($A62,$A$4:$O$28,2,0)*(HLOOKUP(M$47,'2.2.Brecha Efectiva x UdM'!$H$25:$AK$32,2,0))</f>
        <v>28610717.365496591</v>
      </c>
      <c r="N62" s="32">
        <f>VLOOKUP($A62,$A$4:$O$28,2,0)*(HLOOKUP(N$47,'2.2.Brecha Efectiva x UdM'!$H$25:$AK$32,2,0))</f>
        <v>0</v>
      </c>
      <c r="O62" s="32">
        <f>VLOOKUP($A62,$A$4:$O$28,2,0)*(HLOOKUP(O$47,'2.2.Brecha Efectiva x UdM'!$H$25:$AK$32,2,0))</f>
        <v>0</v>
      </c>
      <c r="P62" s="32">
        <f>VLOOKUP($A62,$A$4:$O$28,2,0)*(HLOOKUP(P$47,'2.2.Brecha Efectiva x UdM'!$H$25:$AK$32,2,0))</f>
        <v>0</v>
      </c>
      <c r="Q62" s="32">
        <f>VLOOKUP($A62,$A$4:$O$28,2,0)*(HLOOKUP(Q$47,'2.2.Brecha Efectiva x UdM'!$H$25:$AK$32,2,0))</f>
        <v>0</v>
      </c>
      <c r="R62" s="32">
        <f>VLOOKUP($A62,$A$4:$O$28,2,0)*(HLOOKUP(R$47,'2.2.Brecha Efectiva x UdM'!$H$25:$AK$32,2,0))</f>
        <v>0</v>
      </c>
      <c r="S62" s="32">
        <f>VLOOKUP($A62,$A$4:$O$28,2,0)*(HLOOKUP(S$47,'2.2.Brecha Efectiva x UdM'!$H$25:$AK$32,2,0))</f>
        <v>0</v>
      </c>
      <c r="T62" s="32">
        <f>VLOOKUP($A62,$A$4:$O$28,2,0)*(HLOOKUP(T$47,'2.2.Brecha Efectiva x UdM'!$H$25:$AK$32,2,0))</f>
        <v>0</v>
      </c>
      <c r="U62" s="32">
        <f>VLOOKUP($A62,$A$4:$O$28,2,0)*(HLOOKUP(U$47,'2.2.Brecha Efectiva x UdM'!$H$25:$AK$32,2,0))</f>
        <v>0</v>
      </c>
      <c r="V62" s="32">
        <f>VLOOKUP($A62,$A$4:$O$28,2,0)*(HLOOKUP(V$47,'2.2.Brecha Efectiva x UdM'!$H$25:$AK$32,2,0))</f>
        <v>0</v>
      </c>
      <c r="W62" s="32">
        <f>VLOOKUP($A62,$A$4:$O$28,2,0)*(HLOOKUP(W$47,'2.2.Brecha Efectiva x UdM'!$H$25:$AK$32,2,0))</f>
        <v>0</v>
      </c>
      <c r="X62" s="32">
        <f>VLOOKUP($A62,$A$4:$O$28,2,0)*(HLOOKUP(X$47,'2.2.Brecha Efectiva x UdM'!$H$25:$AK$32,2,0))</f>
        <v>0</v>
      </c>
      <c r="Y62" s="32">
        <f>VLOOKUP($A62,$A$4:$O$28,2,0)*(HLOOKUP(Y$47,'2.2.Brecha Efectiva x UdM'!$H$25:$AK$32,2,0))</f>
        <v>0</v>
      </c>
      <c r="Z62" s="32">
        <f>VLOOKUP($A62,$A$4:$O$28,2,0)*(HLOOKUP(Z$47,'2.2.Brecha Efectiva x UdM'!$H$25:$AK$32,2,0))</f>
        <v>0</v>
      </c>
      <c r="AA62" s="32">
        <f>VLOOKUP($A62,$A$4:$O$28,2,0)*(HLOOKUP(AA$47,'2.2.Brecha Efectiva x UdM'!$H$25:$AK$32,2,0))</f>
        <v>0</v>
      </c>
      <c r="AB62" s="32">
        <f>VLOOKUP($A62,$A$4:$O$28,2,0)*(HLOOKUP(AB$47,'2.2.Brecha Efectiva x UdM'!$H$25:$AK$32,2,0))</f>
        <v>0</v>
      </c>
      <c r="AC62" s="32">
        <f>VLOOKUP($A62,$A$4:$O$28,2,0)*(HLOOKUP(AC$47,'2.2.Brecha Efectiva x UdM'!$H$25:$AK$32,2,0))</f>
        <v>0</v>
      </c>
      <c r="AD62" s="32">
        <f>VLOOKUP($A62,$A$4:$O$28,2,0)*(HLOOKUP(AD$47,'2.2.Brecha Efectiva x UdM'!$H$25:$AK$32,2,0))</f>
        <v>0</v>
      </c>
      <c r="AE62" s="32">
        <f>VLOOKUP($A62,$A$4:$O$28,2,0)*(HLOOKUP(AE$47,'2.2.Brecha Efectiva x UdM'!$H$25:$AK$32,2,0))</f>
        <v>0</v>
      </c>
      <c r="AF62" s="32">
        <f>VLOOKUP($A62,$A$4:$O$28,2,0)*(HLOOKUP(AF$47,'2.2.Brecha Efectiva x UdM'!$H$25:$AK$32,2,0))</f>
        <v>0</v>
      </c>
      <c r="AG62" s="32">
        <f>VLOOKUP($A62,$A$4:$O$28,2,0)*(HLOOKUP(AG$47,'2.2.Brecha Efectiva x UdM'!$H$25:$AK$32,2,0))</f>
        <v>0</v>
      </c>
      <c r="AH62" s="62">
        <f t="shared" si="11"/>
        <v>532712848.6885758</v>
      </c>
    </row>
    <row r="63" spans="1:34" x14ac:dyDescent="0.2">
      <c r="A63" s="26" t="str">
        <f t="shared" si="8"/>
        <v>Río Negro</v>
      </c>
      <c r="B63" s="52" t="str">
        <f t="shared" si="9"/>
        <v>Nombre UdM 1</v>
      </c>
      <c r="C63" s="26" t="str">
        <f t="shared" si="10"/>
        <v>Río Negro Nombre UdM 1</v>
      </c>
      <c r="D63" s="31">
        <f>VLOOKUP($A63,$A$4:$O$28,2,0)*(HLOOKUP(D$47,'2.2.Brecha Efectiva x UdM'!$H$25:$AK$32,2,0))</f>
        <v>360939366.21457934</v>
      </c>
      <c r="E63" s="31">
        <f>VLOOKUP($A63,$A$4:$O$28,2,0)*(HLOOKUP(E$47,'2.2.Brecha Efectiva x UdM'!$H$25:$AK$32,2,0))</f>
        <v>364053699.7854439</v>
      </c>
      <c r="F63" s="31">
        <f>VLOOKUP($A63,$A$4:$O$28,2,0)*(HLOOKUP(F$47,'2.2.Brecha Efectiva x UdM'!$H$25:$AK$32,2,0))</f>
        <v>226064985.1367051</v>
      </c>
      <c r="G63" s="31">
        <f>VLOOKUP($A63,$A$4:$O$28,2,0)*(HLOOKUP(G$47,'2.2.Brecha Efectiva x UdM'!$H$25:$AK$32,2,0))</f>
        <v>179310811.89720961</v>
      </c>
      <c r="H63" s="31">
        <f>VLOOKUP($A63,$A$4:$O$28,2,0)*(HLOOKUP(H$47,'2.2.Brecha Efectiva x UdM'!$H$25:$AK$32,2,0))</f>
        <v>94588566.816061452</v>
      </c>
      <c r="I63" s="31">
        <f>VLOOKUP($A63,$A$4:$O$28,2,0)*(HLOOKUP(I$47,'2.2.Brecha Efectiva x UdM'!$H$25:$AK$32,2,0))</f>
        <v>95327906.326358214</v>
      </c>
      <c r="J63" s="31">
        <f>VLOOKUP($A63,$A$4:$O$28,2,0)*(HLOOKUP(J$47,'2.2.Brecha Efectiva x UdM'!$H$25:$AK$32,2,0))</f>
        <v>96054208.492407143</v>
      </c>
      <c r="K63" s="31">
        <f>VLOOKUP($A63,$A$4:$O$28,2,0)*(HLOOKUP(K$47,'2.2.Brecha Efectiva x UdM'!$H$25:$AK$32,2,0))</f>
        <v>89274033.345861837</v>
      </c>
      <c r="L63" s="31">
        <f>VLOOKUP($A63,$A$4:$O$28,2,0)*(HLOOKUP(L$47,'2.2.Brecha Efectiva x UdM'!$H$25:$AK$32,2,0))</f>
        <v>89920770.574425787</v>
      </c>
      <c r="M63" s="31">
        <f>VLOOKUP($A63,$A$4:$O$28,2,0)*(HLOOKUP(M$47,'2.2.Brecha Efectiva x UdM'!$H$25:$AK$32,2,0))</f>
        <v>90555820.85045062</v>
      </c>
      <c r="N63" s="31">
        <f>VLOOKUP($A63,$A$4:$O$28,2,0)*(HLOOKUP(N$47,'2.2.Brecha Efectiva x UdM'!$H$25:$AK$32,2,0))</f>
        <v>0</v>
      </c>
      <c r="O63" s="31">
        <f>VLOOKUP($A63,$A$4:$O$28,2,0)*(HLOOKUP(O$47,'2.2.Brecha Efectiva x UdM'!$H$25:$AK$32,2,0))</f>
        <v>0</v>
      </c>
      <c r="P63" s="31">
        <f>VLOOKUP($A63,$A$4:$O$28,2,0)*(HLOOKUP(P$47,'2.2.Brecha Efectiva x UdM'!$H$25:$AK$32,2,0))</f>
        <v>0</v>
      </c>
      <c r="Q63" s="31">
        <f>VLOOKUP($A63,$A$4:$O$28,2,0)*(HLOOKUP(Q$47,'2.2.Brecha Efectiva x UdM'!$H$25:$AK$32,2,0))</f>
        <v>0</v>
      </c>
      <c r="R63" s="31">
        <f>VLOOKUP($A63,$A$4:$O$28,2,0)*(HLOOKUP(R$47,'2.2.Brecha Efectiva x UdM'!$H$25:$AK$32,2,0))</f>
        <v>0</v>
      </c>
      <c r="S63" s="31">
        <f>VLOOKUP($A63,$A$4:$O$28,2,0)*(HLOOKUP(S$47,'2.2.Brecha Efectiva x UdM'!$H$25:$AK$32,2,0))</f>
        <v>0</v>
      </c>
      <c r="T63" s="31">
        <f>VLOOKUP($A63,$A$4:$O$28,2,0)*(HLOOKUP(T$47,'2.2.Brecha Efectiva x UdM'!$H$25:$AK$32,2,0))</f>
        <v>0</v>
      </c>
      <c r="U63" s="31">
        <f>VLOOKUP($A63,$A$4:$O$28,2,0)*(HLOOKUP(U$47,'2.2.Brecha Efectiva x UdM'!$H$25:$AK$32,2,0))</f>
        <v>0</v>
      </c>
      <c r="V63" s="31">
        <f>VLOOKUP($A63,$A$4:$O$28,2,0)*(HLOOKUP(V$47,'2.2.Brecha Efectiva x UdM'!$H$25:$AK$32,2,0))</f>
        <v>0</v>
      </c>
      <c r="W63" s="31">
        <f>VLOOKUP($A63,$A$4:$O$28,2,0)*(HLOOKUP(W$47,'2.2.Brecha Efectiva x UdM'!$H$25:$AK$32,2,0))</f>
        <v>0</v>
      </c>
      <c r="X63" s="31">
        <f>VLOOKUP($A63,$A$4:$O$28,2,0)*(HLOOKUP(X$47,'2.2.Brecha Efectiva x UdM'!$H$25:$AK$32,2,0))</f>
        <v>0</v>
      </c>
      <c r="Y63" s="31">
        <f>VLOOKUP($A63,$A$4:$O$28,2,0)*(HLOOKUP(Y$47,'2.2.Brecha Efectiva x UdM'!$H$25:$AK$32,2,0))</f>
        <v>0</v>
      </c>
      <c r="Z63" s="31">
        <f>VLOOKUP($A63,$A$4:$O$28,2,0)*(HLOOKUP(Z$47,'2.2.Brecha Efectiva x UdM'!$H$25:$AK$32,2,0))</f>
        <v>0</v>
      </c>
      <c r="AA63" s="31">
        <f>VLOOKUP($A63,$A$4:$O$28,2,0)*(HLOOKUP(AA$47,'2.2.Brecha Efectiva x UdM'!$H$25:$AK$32,2,0))</f>
        <v>0</v>
      </c>
      <c r="AB63" s="31">
        <f>VLOOKUP($A63,$A$4:$O$28,2,0)*(HLOOKUP(AB$47,'2.2.Brecha Efectiva x UdM'!$H$25:$AK$32,2,0))</f>
        <v>0</v>
      </c>
      <c r="AC63" s="31">
        <f>VLOOKUP($A63,$A$4:$O$28,2,0)*(HLOOKUP(AC$47,'2.2.Brecha Efectiva x UdM'!$H$25:$AK$32,2,0))</f>
        <v>0</v>
      </c>
      <c r="AD63" s="31">
        <f>VLOOKUP($A63,$A$4:$O$28,2,0)*(HLOOKUP(AD$47,'2.2.Brecha Efectiva x UdM'!$H$25:$AK$32,2,0))</f>
        <v>0</v>
      </c>
      <c r="AE63" s="31">
        <f>VLOOKUP($A63,$A$4:$O$28,2,0)*(HLOOKUP(AE$47,'2.2.Brecha Efectiva x UdM'!$H$25:$AK$32,2,0))</f>
        <v>0</v>
      </c>
      <c r="AF63" s="31">
        <f>VLOOKUP($A63,$A$4:$O$28,2,0)*(HLOOKUP(AF$47,'2.2.Brecha Efectiva x UdM'!$H$25:$AK$32,2,0))</f>
        <v>0</v>
      </c>
      <c r="AG63" s="31">
        <f>VLOOKUP($A63,$A$4:$O$28,2,0)*(HLOOKUP(AG$47,'2.2.Brecha Efectiva x UdM'!$H$25:$AK$32,2,0))</f>
        <v>0</v>
      </c>
      <c r="AH63" s="63">
        <f t="shared" si="11"/>
        <v>1686090169.439503</v>
      </c>
    </row>
    <row r="64" spans="1:34" x14ac:dyDescent="0.2">
      <c r="A64" s="25" t="str">
        <f t="shared" si="8"/>
        <v>Salta</v>
      </c>
      <c r="B64" s="51" t="str">
        <f t="shared" si="9"/>
        <v>Nombre UdM 1</v>
      </c>
      <c r="C64" s="25" t="str">
        <f t="shared" si="10"/>
        <v>Salta Nombre UdM 1</v>
      </c>
      <c r="D64" s="32">
        <f>VLOOKUP($A64,$A$4:$O$28,2,0)*(HLOOKUP(D$47,'2.2.Brecha Efectiva x UdM'!$H$25:$AK$32,2,0))</f>
        <v>122294586.35621864</v>
      </c>
      <c r="E64" s="32">
        <f>VLOOKUP($A64,$A$4:$O$28,2,0)*(HLOOKUP(E$47,'2.2.Brecha Efectiva x UdM'!$H$25:$AK$32,2,0))</f>
        <v>123349794.43678512</v>
      </c>
      <c r="F64" s="32">
        <f>VLOOKUP($A64,$A$4:$O$28,2,0)*(HLOOKUP(F$47,'2.2.Brecha Efectiva x UdM'!$H$25:$AK$32,2,0))</f>
        <v>76596033.668663725</v>
      </c>
      <c r="G64" s="32">
        <f>VLOOKUP($A64,$A$4:$O$28,2,0)*(HLOOKUP(G$47,'2.2.Brecha Efectiva x UdM'!$H$25:$AK$32,2,0))</f>
        <v>60754640.869874761</v>
      </c>
      <c r="H64" s="32">
        <f>VLOOKUP($A64,$A$4:$O$28,2,0)*(HLOOKUP(H$47,'2.2.Brecha Efectiva x UdM'!$H$25:$AK$32,2,0))</f>
        <v>32048789.175079275</v>
      </c>
      <c r="I64" s="32">
        <f>VLOOKUP($A64,$A$4:$O$28,2,0)*(HLOOKUP(I$47,'2.2.Brecha Efectiva x UdM'!$H$25:$AK$32,2,0))</f>
        <v>32299294.462260388</v>
      </c>
      <c r="J64" s="32">
        <f>VLOOKUP($A64,$A$4:$O$28,2,0)*(HLOOKUP(J$47,'2.2.Brecha Efectiva x UdM'!$H$25:$AK$32,2,0))</f>
        <v>32545382.396358915</v>
      </c>
      <c r="K64" s="32">
        <f>VLOOKUP($A64,$A$4:$O$28,2,0)*(HLOOKUP(K$47,'2.2.Brecha Efectiva x UdM'!$H$25:$AK$32,2,0))</f>
        <v>30248102.596525382</v>
      </c>
      <c r="L64" s="32">
        <f>VLOOKUP($A64,$A$4:$O$28,2,0)*(HLOOKUP(L$47,'2.2.Brecha Efectiva x UdM'!$H$25:$AK$32,2,0))</f>
        <v>30467232.093753383</v>
      </c>
      <c r="M64" s="32">
        <f>VLOOKUP($A64,$A$4:$O$28,2,0)*(HLOOKUP(M$47,'2.2.Brecha Efectiva x UdM'!$H$25:$AK$32,2,0))</f>
        <v>30682401.781771533</v>
      </c>
      <c r="N64" s="32">
        <f>VLOOKUP($A64,$A$4:$O$28,2,0)*(HLOOKUP(N$47,'2.2.Brecha Efectiva x UdM'!$H$25:$AK$32,2,0))</f>
        <v>0</v>
      </c>
      <c r="O64" s="32">
        <f>VLOOKUP($A64,$A$4:$O$28,2,0)*(HLOOKUP(O$47,'2.2.Brecha Efectiva x UdM'!$H$25:$AK$32,2,0))</f>
        <v>0</v>
      </c>
      <c r="P64" s="32">
        <f>VLOOKUP($A64,$A$4:$O$28,2,0)*(HLOOKUP(P$47,'2.2.Brecha Efectiva x UdM'!$H$25:$AK$32,2,0))</f>
        <v>0</v>
      </c>
      <c r="Q64" s="32">
        <f>VLOOKUP($A64,$A$4:$O$28,2,0)*(HLOOKUP(Q$47,'2.2.Brecha Efectiva x UdM'!$H$25:$AK$32,2,0))</f>
        <v>0</v>
      </c>
      <c r="R64" s="32">
        <f>VLOOKUP($A64,$A$4:$O$28,2,0)*(HLOOKUP(R$47,'2.2.Brecha Efectiva x UdM'!$H$25:$AK$32,2,0))</f>
        <v>0</v>
      </c>
      <c r="S64" s="32">
        <f>VLOOKUP($A64,$A$4:$O$28,2,0)*(HLOOKUP(S$47,'2.2.Brecha Efectiva x UdM'!$H$25:$AK$32,2,0))</f>
        <v>0</v>
      </c>
      <c r="T64" s="32">
        <f>VLOOKUP($A64,$A$4:$O$28,2,0)*(HLOOKUP(T$47,'2.2.Brecha Efectiva x UdM'!$H$25:$AK$32,2,0))</f>
        <v>0</v>
      </c>
      <c r="U64" s="32">
        <f>VLOOKUP($A64,$A$4:$O$28,2,0)*(HLOOKUP(U$47,'2.2.Brecha Efectiva x UdM'!$H$25:$AK$32,2,0))</f>
        <v>0</v>
      </c>
      <c r="V64" s="32">
        <f>VLOOKUP($A64,$A$4:$O$28,2,0)*(HLOOKUP(V$47,'2.2.Brecha Efectiva x UdM'!$H$25:$AK$32,2,0))</f>
        <v>0</v>
      </c>
      <c r="W64" s="32">
        <f>VLOOKUP($A64,$A$4:$O$28,2,0)*(HLOOKUP(W$47,'2.2.Brecha Efectiva x UdM'!$H$25:$AK$32,2,0))</f>
        <v>0</v>
      </c>
      <c r="X64" s="32">
        <f>VLOOKUP($A64,$A$4:$O$28,2,0)*(HLOOKUP(X$47,'2.2.Brecha Efectiva x UdM'!$H$25:$AK$32,2,0))</f>
        <v>0</v>
      </c>
      <c r="Y64" s="32">
        <f>VLOOKUP($A64,$A$4:$O$28,2,0)*(HLOOKUP(Y$47,'2.2.Brecha Efectiva x UdM'!$H$25:$AK$32,2,0))</f>
        <v>0</v>
      </c>
      <c r="Z64" s="32">
        <f>VLOOKUP($A64,$A$4:$O$28,2,0)*(HLOOKUP(Z$47,'2.2.Brecha Efectiva x UdM'!$H$25:$AK$32,2,0))</f>
        <v>0</v>
      </c>
      <c r="AA64" s="32">
        <f>VLOOKUP($A64,$A$4:$O$28,2,0)*(HLOOKUP(AA$47,'2.2.Brecha Efectiva x UdM'!$H$25:$AK$32,2,0))</f>
        <v>0</v>
      </c>
      <c r="AB64" s="32">
        <f>VLOOKUP($A64,$A$4:$O$28,2,0)*(HLOOKUP(AB$47,'2.2.Brecha Efectiva x UdM'!$H$25:$AK$32,2,0))</f>
        <v>0</v>
      </c>
      <c r="AC64" s="32">
        <f>VLOOKUP($A64,$A$4:$O$28,2,0)*(HLOOKUP(AC$47,'2.2.Brecha Efectiva x UdM'!$H$25:$AK$32,2,0))</f>
        <v>0</v>
      </c>
      <c r="AD64" s="32">
        <f>VLOOKUP($A64,$A$4:$O$28,2,0)*(HLOOKUP(AD$47,'2.2.Brecha Efectiva x UdM'!$H$25:$AK$32,2,0))</f>
        <v>0</v>
      </c>
      <c r="AE64" s="32">
        <f>VLOOKUP($A64,$A$4:$O$28,2,0)*(HLOOKUP(AE$47,'2.2.Brecha Efectiva x UdM'!$H$25:$AK$32,2,0))</f>
        <v>0</v>
      </c>
      <c r="AF64" s="32">
        <f>VLOOKUP($A64,$A$4:$O$28,2,0)*(HLOOKUP(AF$47,'2.2.Brecha Efectiva x UdM'!$H$25:$AK$32,2,0))</f>
        <v>0</v>
      </c>
      <c r="AG64" s="32">
        <f>VLOOKUP($A64,$A$4:$O$28,2,0)*(HLOOKUP(AG$47,'2.2.Brecha Efectiva x UdM'!$H$25:$AK$32,2,0))</f>
        <v>0</v>
      </c>
      <c r="AH64" s="62">
        <f t="shared" si="11"/>
        <v>571286257.83729112</v>
      </c>
    </row>
    <row r="65" spans="1:34" x14ac:dyDescent="0.2">
      <c r="A65" s="26" t="str">
        <f t="shared" si="8"/>
        <v>San Juan</v>
      </c>
      <c r="B65" s="52" t="str">
        <f t="shared" si="9"/>
        <v>Nombre UdM 1</v>
      </c>
      <c r="C65" s="26" t="str">
        <f t="shared" si="10"/>
        <v>San Juan Nombre UdM 1</v>
      </c>
      <c r="D65" s="31">
        <f>VLOOKUP($A65,$A$4:$O$28,2,0)*(HLOOKUP(D$47,'2.2.Brecha Efectiva x UdM'!$H$25:$AK$32,2,0))</f>
        <v>189504796.81540406</v>
      </c>
      <c r="E65" s="31">
        <f>VLOOKUP($A65,$A$4:$O$28,2,0)*(HLOOKUP(E$47,'2.2.Brecha Efectiva x UdM'!$H$25:$AK$32,2,0))</f>
        <v>191139922.28468084</v>
      </c>
      <c r="F65" s="31">
        <f>VLOOKUP($A65,$A$4:$O$28,2,0)*(HLOOKUP(F$47,'2.2.Brecha Efectiva x UdM'!$H$25:$AK$32,2,0))</f>
        <v>118691401.06468718</v>
      </c>
      <c r="G65" s="31">
        <f>VLOOKUP($A65,$A$4:$O$28,2,0)*(HLOOKUP(G$47,'2.2.Brecha Efectiva x UdM'!$H$25:$AK$32,2,0))</f>
        <v>94143953.683302298</v>
      </c>
      <c r="H65" s="31">
        <f>VLOOKUP($A65,$A$4:$O$28,2,0)*(HLOOKUP(H$47,'2.2.Brecha Efectiva x UdM'!$H$25:$AK$32,2,0))</f>
        <v>49662045.244689509</v>
      </c>
      <c r="I65" s="31">
        <f>VLOOKUP($A65,$A$4:$O$28,2,0)*(HLOOKUP(I$47,'2.2.Brecha Efectiva x UdM'!$H$25:$AK$32,2,0))</f>
        <v>50050222.309291258</v>
      </c>
      <c r="J65" s="31">
        <f>VLOOKUP($A65,$A$4:$O$28,2,0)*(HLOOKUP(J$47,'2.2.Brecha Efectiva x UdM'!$H$25:$AK$32,2,0))</f>
        <v>50431554.348096527</v>
      </c>
      <c r="K65" s="31">
        <f>VLOOKUP($A65,$A$4:$O$28,2,0)*(HLOOKUP(K$47,'2.2.Brecha Efectiva x UdM'!$H$25:$AK$32,2,0))</f>
        <v>46871743.937294573</v>
      </c>
      <c r="L65" s="31">
        <f>VLOOKUP($A65,$A$4:$O$28,2,0)*(HLOOKUP(L$47,'2.2.Brecha Efectiva x UdM'!$H$25:$AK$32,2,0))</f>
        <v>47211301.820318907</v>
      </c>
      <c r="M65" s="31">
        <f>VLOOKUP($A65,$A$4:$O$28,2,0)*(HLOOKUP(M$47,'2.2.Brecha Efectiva x UdM'!$H$25:$AK$32,2,0))</f>
        <v>47544723.676703803</v>
      </c>
      <c r="N65" s="31">
        <f>VLOOKUP($A65,$A$4:$O$28,2,0)*(HLOOKUP(N$47,'2.2.Brecha Efectiva x UdM'!$H$25:$AK$32,2,0))</f>
        <v>0</v>
      </c>
      <c r="O65" s="31">
        <f>VLOOKUP($A65,$A$4:$O$28,2,0)*(HLOOKUP(O$47,'2.2.Brecha Efectiva x UdM'!$H$25:$AK$32,2,0))</f>
        <v>0</v>
      </c>
      <c r="P65" s="31">
        <f>VLOOKUP($A65,$A$4:$O$28,2,0)*(HLOOKUP(P$47,'2.2.Brecha Efectiva x UdM'!$H$25:$AK$32,2,0))</f>
        <v>0</v>
      </c>
      <c r="Q65" s="31">
        <f>VLOOKUP($A65,$A$4:$O$28,2,0)*(HLOOKUP(Q$47,'2.2.Brecha Efectiva x UdM'!$H$25:$AK$32,2,0))</f>
        <v>0</v>
      </c>
      <c r="R65" s="31">
        <f>VLOOKUP($A65,$A$4:$O$28,2,0)*(HLOOKUP(R$47,'2.2.Brecha Efectiva x UdM'!$H$25:$AK$32,2,0))</f>
        <v>0</v>
      </c>
      <c r="S65" s="31">
        <f>VLOOKUP($A65,$A$4:$O$28,2,0)*(HLOOKUP(S$47,'2.2.Brecha Efectiva x UdM'!$H$25:$AK$32,2,0))</f>
        <v>0</v>
      </c>
      <c r="T65" s="31">
        <f>VLOOKUP($A65,$A$4:$O$28,2,0)*(HLOOKUP(T$47,'2.2.Brecha Efectiva x UdM'!$H$25:$AK$32,2,0))</f>
        <v>0</v>
      </c>
      <c r="U65" s="31">
        <f>VLOOKUP($A65,$A$4:$O$28,2,0)*(HLOOKUP(U$47,'2.2.Brecha Efectiva x UdM'!$H$25:$AK$32,2,0))</f>
        <v>0</v>
      </c>
      <c r="V65" s="31">
        <f>VLOOKUP($A65,$A$4:$O$28,2,0)*(HLOOKUP(V$47,'2.2.Brecha Efectiva x UdM'!$H$25:$AK$32,2,0))</f>
        <v>0</v>
      </c>
      <c r="W65" s="31">
        <f>VLOOKUP($A65,$A$4:$O$28,2,0)*(HLOOKUP(W$47,'2.2.Brecha Efectiva x UdM'!$H$25:$AK$32,2,0))</f>
        <v>0</v>
      </c>
      <c r="X65" s="31">
        <f>VLOOKUP($A65,$A$4:$O$28,2,0)*(HLOOKUP(X$47,'2.2.Brecha Efectiva x UdM'!$H$25:$AK$32,2,0))</f>
        <v>0</v>
      </c>
      <c r="Y65" s="31">
        <f>VLOOKUP($A65,$A$4:$O$28,2,0)*(HLOOKUP(Y$47,'2.2.Brecha Efectiva x UdM'!$H$25:$AK$32,2,0))</f>
        <v>0</v>
      </c>
      <c r="Z65" s="31">
        <f>VLOOKUP($A65,$A$4:$O$28,2,0)*(HLOOKUP(Z$47,'2.2.Brecha Efectiva x UdM'!$H$25:$AK$32,2,0))</f>
        <v>0</v>
      </c>
      <c r="AA65" s="31">
        <f>VLOOKUP($A65,$A$4:$O$28,2,0)*(HLOOKUP(AA$47,'2.2.Brecha Efectiva x UdM'!$H$25:$AK$32,2,0))</f>
        <v>0</v>
      </c>
      <c r="AB65" s="31">
        <f>VLOOKUP($A65,$A$4:$O$28,2,0)*(HLOOKUP(AB$47,'2.2.Brecha Efectiva x UdM'!$H$25:$AK$32,2,0))</f>
        <v>0</v>
      </c>
      <c r="AC65" s="31">
        <f>VLOOKUP($A65,$A$4:$O$28,2,0)*(HLOOKUP(AC$47,'2.2.Brecha Efectiva x UdM'!$H$25:$AK$32,2,0))</f>
        <v>0</v>
      </c>
      <c r="AD65" s="31">
        <f>VLOOKUP($A65,$A$4:$O$28,2,0)*(HLOOKUP(AD$47,'2.2.Brecha Efectiva x UdM'!$H$25:$AK$32,2,0))</f>
        <v>0</v>
      </c>
      <c r="AE65" s="31">
        <f>VLOOKUP($A65,$A$4:$O$28,2,0)*(HLOOKUP(AE$47,'2.2.Brecha Efectiva x UdM'!$H$25:$AK$32,2,0))</f>
        <v>0</v>
      </c>
      <c r="AF65" s="31">
        <f>VLOOKUP($A65,$A$4:$O$28,2,0)*(HLOOKUP(AF$47,'2.2.Brecha Efectiva x UdM'!$H$25:$AK$32,2,0))</f>
        <v>0</v>
      </c>
      <c r="AG65" s="31">
        <f>VLOOKUP($A65,$A$4:$O$28,2,0)*(HLOOKUP(AG$47,'2.2.Brecha Efectiva x UdM'!$H$25:$AK$32,2,0))</f>
        <v>0</v>
      </c>
      <c r="AH65" s="63">
        <f t="shared" si="11"/>
        <v>885251665.18446898</v>
      </c>
    </row>
    <row r="66" spans="1:34" x14ac:dyDescent="0.2">
      <c r="A66" s="25" t="str">
        <f t="shared" si="8"/>
        <v>San Luis</v>
      </c>
      <c r="B66" s="51" t="str">
        <f t="shared" si="9"/>
        <v>Nombre UdM 1</v>
      </c>
      <c r="C66" s="25" t="str">
        <f t="shared" si="10"/>
        <v>San Luis Nombre UdM 1</v>
      </c>
      <c r="D66" s="32">
        <f>VLOOKUP($A66,$A$4:$O$28,2,0)*(HLOOKUP(D$47,'2.2.Brecha Efectiva x UdM'!$H$25:$AK$32,2,0))</f>
        <v>106588081.06355073</v>
      </c>
      <c r="E66" s="32">
        <f>VLOOKUP($A66,$A$4:$O$28,2,0)*(HLOOKUP(E$47,'2.2.Brecha Efectiva x UdM'!$H$25:$AK$32,2,0))</f>
        <v>107507766.94484332</v>
      </c>
      <c r="F66" s="32">
        <f>VLOOKUP($A66,$A$4:$O$28,2,0)*(HLOOKUP(F$47,'2.2.Brecha Efectiva x UdM'!$H$25:$AK$32,2,0))</f>
        <v>66758672.555147335</v>
      </c>
      <c r="G66" s="32">
        <f>VLOOKUP($A66,$A$4:$O$28,2,0)*(HLOOKUP(G$47,'2.2.Brecha Efectiva x UdM'!$H$25:$AK$32,2,0))</f>
        <v>52951817.238767207</v>
      </c>
      <c r="H66" s="32">
        <f>VLOOKUP($A66,$A$4:$O$28,2,0)*(HLOOKUP(H$47,'2.2.Brecha Efectiva x UdM'!$H$25:$AK$32,2,0))</f>
        <v>27932707.737624995</v>
      </c>
      <c r="I66" s="32">
        <f>VLOOKUP($A66,$A$4:$O$28,2,0)*(HLOOKUP(I$47,'2.2.Brecha Efectiva x UdM'!$H$25:$AK$32,2,0))</f>
        <v>28151040.197404813</v>
      </c>
      <c r="J66" s="32">
        <f>VLOOKUP($A66,$A$4:$O$28,2,0)*(HLOOKUP(J$47,'2.2.Brecha Efectiva x UdM'!$H$25:$AK$32,2,0))</f>
        <v>28365522.632400367</v>
      </c>
      <c r="K66" s="32">
        <f>VLOOKUP($A66,$A$4:$O$28,2,0)*(HLOOKUP(K$47,'2.2.Brecha Efectiva x UdM'!$H$25:$AK$32,2,0))</f>
        <v>26363286.451502871</v>
      </c>
      <c r="L66" s="32">
        <f>VLOOKUP($A66,$A$4:$O$28,2,0)*(HLOOKUP(L$47,'2.2.Brecha Efectiva x UdM'!$H$25:$AK$32,2,0))</f>
        <v>26554272.768312681</v>
      </c>
      <c r="M66" s="32">
        <f>VLOOKUP($A66,$A$4:$O$28,2,0)*(HLOOKUP(M$47,'2.2.Brecha Efectiva x UdM'!$H$25:$AK$32,2,0))</f>
        <v>26741807.841059841</v>
      </c>
      <c r="N66" s="32">
        <f>VLOOKUP($A66,$A$4:$O$28,2,0)*(HLOOKUP(N$47,'2.2.Brecha Efectiva x UdM'!$H$25:$AK$32,2,0))</f>
        <v>0</v>
      </c>
      <c r="O66" s="32">
        <f>VLOOKUP($A66,$A$4:$O$28,2,0)*(HLOOKUP(O$47,'2.2.Brecha Efectiva x UdM'!$H$25:$AK$32,2,0))</f>
        <v>0</v>
      </c>
      <c r="P66" s="32">
        <f>VLOOKUP($A66,$A$4:$O$28,2,0)*(HLOOKUP(P$47,'2.2.Brecha Efectiva x UdM'!$H$25:$AK$32,2,0))</f>
        <v>0</v>
      </c>
      <c r="Q66" s="32">
        <f>VLOOKUP($A66,$A$4:$O$28,2,0)*(HLOOKUP(Q$47,'2.2.Brecha Efectiva x UdM'!$H$25:$AK$32,2,0))</f>
        <v>0</v>
      </c>
      <c r="R66" s="32">
        <f>VLOOKUP($A66,$A$4:$O$28,2,0)*(HLOOKUP(R$47,'2.2.Brecha Efectiva x UdM'!$H$25:$AK$32,2,0))</f>
        <v>0</v>
      </c>
      <c r="S66" s="32">
        <f>VLOOKUP($A66,$A$4:$O$28,2,0)*(HLOOKUP(S$47,'2.2.Brecha Efectiva x UdM'!$H$25:$AK$32,2,0))</f>
        <v>0</v>
      </c>
      <c r="T66" s="32">
        <f>VLOOKUP($A66,$A$4:$O$28,2,0)*(HLOOKUP(T$47,'2.2.Brecha Efectiva x UdM'!$H$25:$AK$32,2,0))</f>
        <v>0</v>
      </c>
      <c r="U66" s="32">
        <f>VLOOKUP($A66,$A$4:$O$28,2,0)*(HLOOKUP(U$47,'2.2.Brecha Efectiva x UdM'!$H$25:$AK$32,2,0))</f>
        <v>0</v>
      </c>
      <c r="V66" s="32">
        <f>VLOOKUP($A66,$A$4:$O$28,2,0)*(HLOOKUP(V$47,'2.2.Brecha Efectiva x UdM'!$H$25:$AK$32,2,0))</f>
        <v>0</v>
      </c>
      <c r="W66" s="32">
        <f>VLOOKUP($A66,$A$4:$O$28,2,0)*(HLOOKUP(W$47,'2.2.Brecha Efectiva x UdM'!$H$25:$AK$32,2,0))</f>
        <v>0</v>
      </c>
      <c r="X66" s="32">
        <f>VLOOKUP($A66,$A$4:$O$28,2,0)*(HLOOKUP(X$47,'2.2.Brecha Efectiva x UdM'!$H$25:$AK$32,2,0))</f>
        <v>0</v>
      </c>
      <c r="Y66" s="32">
        <f>VLOOKUP($A66,$A$4:$O$28,2,0)*(HLOOKUP(Y$47,'2.2.Brecha Efectiva x UdM'!$H$25:$AK$32,2,0))</f>
        <v>0</v>
      </c>
      <c r="Z66" s="32">
        <f>VLOOKUP($A66,$A$4:$O$28,2,0)*(HLOOKUP(Z$47,'2.2.Brecha Efectiva x UdM'!$H$25:$AK$32,2,0))</f>
        <v>0</v>
      </c>
      <c r="AA66" s="32">
        <f>VLOOKUP($A66,$A$4:$O$28,2,0)*(HLOOKUP(AA$47,'2.2.Brecha Efectiva x UdM'!$H$25:$AK$32,2,0))</f>
        <v>0</v>
      </c>
      <c r="AB66" s="32">
        <f>VLOOKUP($A66,$A$4:$O$28,2,0)*(HLOOKUP(AB$47,'2.2.Brecha Efectiva x UdM'!$H$25:$AK$32,2,0))</f>
        <v>0</v>
      </c>
      <c r="AC66" s="32">
        <f>VLOOKUP($A66,$A$4:$O$28,2,0)*(HLOOKUP(AC$47,'2.2.Brecha Efectiva x UdM'!$H$25:$AK$32,2,0))</f>
        <v>0</v>
      </c>
      <c r="AD66" s="32">
        <f>VLOOKUP($A66,$A$4:$O$28,2,0)*(HLOOKUP(AD$47,'2.2.Brecha Efectiva x UdM'!$H$25:$AK$32,2,0))</f>
        <v>0</v>
      </c>
      <c r="AE66" s="32">
        <f>VLOOKUP($A66,$A$4:$O$28,2,0)*(HLOOKUP(AE$47,'2.2.Brecha Efectiva x UdM'!$H$25:$AK$32,2,0))</f>
        <v>0</v>
      </c>
      <c r="AF66" s="32">
        <f>VLOOKUP($A66,$A$4:$O$28,2,0)*(HLOOKUP(AF$47,'2.2.Brecha Efectiva x UdM'!$H$25:$AK$32,2,0))</f>
        <v>0</v>
      </c>
      <c r="AG66" s="32">
        <f>VLOOKUP($A66,$A$4:$O$28,2,0)*(HLOOKUP(AG$47,'2.2.Brecha Efectiva x UdM'!$H$25:$AK$32,2,0))</f>
        <v>0</v>
      </c>
      <c r="AH66" s="62">
        <f t="shared" si="11"/>
        <v>497914975.43061423</v>
      </c>
    </row>
    <row r="67" spans="1:34" x14ac:dyDescent="0.2">
      <c r="A67" s="26" t="str">
        <f t="shared" si="8"/>
        <v>Santa Cruz</v>
      </c>
      <c r="B67" s="52" t="str">
        <f t="shared" si="9"/>
        <v>Nombre UdM 1</v>
      </c>
      <c r="C67" s="26" t="str">
        <f t="shared" si="10"/>
        <v>Santa Cruz Nombre UdM 1</v>
      </c>
      <c r="D67" s="31">
        <f>VLOOKUP($A67,$A$4:$O$28,2,0)*(HLOOKUP(D$47,'2.2.Brecha Efectiva x UdM'!$H$25:$AK$32,2,0))</f>
        <v>716176338.51763332</v>
      </c>
      <c r="E67" s="31">
        <f>VLOOKUP($A67,$A$4:$O$28,2,0)*(HLOOKUP(E$47,'2.2.Brecha Efectiva x UdM'!$H$25:$AK$32,2,0))</f>
        <v>722355803.05511558</v>
      </c>
      <c r="F67" s="31">
        <f>VLOOKUP($A67,$A$4:$O$28,2,0)*(HLOOKUP(F$47,'2.2.Brecha Efectiva x UdM'!$H$25:$AK$32,2,0))</f>
        <v>448558424.14816368</v>
      </c>
      <c r="G67" s="31">
        <f>VLOOKUP($A67,$A$4:$O$28,2,0)*(HLOOKUP(G$47,'2.2.Brecha Efectiva x UdM'!$H$25:$AK$32,2,0))</f>
        <v>355788735.56513852</v>
      </c>
      <c r="H67" s="31">
        <f>VLOOKUP($A67,$A$4:$O$28,2,0)*(HLOOKUP(H$47,'2.2.Brecha Efectiva x UdM'!$H$25:$AK$32,2,0))</f>
        <v>187682751.69986466</v>
      </c>
      <c r="I67" s="31">
        <f>VLOOKUP($A67,$A$4:$O$28,2,0)*(HLOOKUP(I$47,'2.2.Brecha Efectiva x UdM'!$H$25:$AK$32,2,0))</f>
        <v>189149750.07402086</v>
      </c>
      <c r="J67" s="31">
        <f>VLOOKUP($A67,$A$4:$O$28,2,0)*(HLOOKUP(J$47,'2.2.Brecha Efectiva x UdM'!$H$25:$AK$32,2,0))</f>
        <v>190590879.73353574</v>
      </c>
      <c r="K67" s="31">
        <f>VLOOKUP($A67,$A$4:$O$28,2,0)*(HLOOKUP(K$47,'2.2.Brecha Efectiva x UdM'!$H$25:$AK$32,2,0))</f>
        <v>177137647.79076594</v>
      </c>
      <c r="L67" s="31">
        <f>VLOOKUP($A67,$A$4:$O$28,2,0)*(HLOOKUP(L$47,'2.2.Brecha Efectiva x UdM'!$H$25:$AK$32,2,0))</f>
        <v>178420904.60255024</v>
      </c>
      <c r="M67" s="31">
        <f>VLOOKUP($A67,$A$4:$O$28,2,0)*(HLOOKUP(M$47,'2.2.Brecha Efectiva x UdM'!$H$25:$AK$32,2,0))</f>
        <v>179680972.1485981</v>
      </c>
      <c r="N67" s="31">
        <f>VLOOKUP($A67,$A$4:$O$28,2,0)*(HLOOKUP(N$47,'2.2.Brecha Efectiva x UdM'!$H$25:$AK$32,2,0))</f>
        <v>0</v>
      </c>
      <c r="O67" s="31">
        <f>VLOOKUP($A67,$A$4:$O$28,2,0)*(HLOOKUP(O$47,'2.2.Brecha Efectiva x UdM'!$H$25:$AK$32,2,0))</f>
        <v>0</v>
      </c>
      <c r="P67" s="31">
        <f>VLOOKUP($A67,$A$4:$O$28,2,0)*(HLOOKUP(P$47,'2.2.Brecha Efectiva x UdM'!$H$25:$AK$32,2,0))</f>
        <v>0</v>
      </c>
      <c r="Q67" s="31">
        <f>VLOOKUP($A67,$A$4:$O$28,2,0)*(HLOOKUP(Q$47,'2.2.Brecha Efectiva x UdM'!$H$25:$AK$32,2,0))</f>
        <v>0</v>
      </c>
      <c r="R67" s="31">
        <f>VLOOKUP($A67,$A$4:$O$28,2,0)*(HLOOKUP(R$47,'2.2.Brecha Efectiva x UdM'!$H$25:$AK$32,2,0))</f>
        <v>0</v>
      </c>
      <c r="S67" s="31">
        <f>VLOOKUP($A67,$A$4:$O$28,2,0)*(HLOOKUP(S$47,'2.2.Brecha Efectiva x UdM'!$H$25:$AK$32,2,0))</f>
        <v>0</v>
      </c>
      <c r="T67" s="31">
        <f>VLOOKUP($A67,$A$4:$O$28,2,0)*(HLOOKUP(T$47,'2.2.Brecha Efectiva x UdM'!$H$25:$AK$32,2,0))</f>
        <v>0</v>
      </c>
      <c r="U67" s="31">
        <f>VLOOKUP($A67,$A$4:$O$28,2,0)*(HLOOKUP(U$47,'2.2.Brecha Efectiva x UdM'!$H$25:$AK$32,2,0))</f>
        <v>0</v>
      </c>
      <c r="V67" s="31">
        <f>VLOOKUP($A67,$A$4:$O$28,2,0)*(HLOOKUP(V$47,'2.2.Brecha Efectiva x UdM'!$H$25:$AK$32,2,0))</f>
        <v>0</v>
      </c>
      <c r="W67" s="31">
        <f>VLOOKUP($A67,$A$4:$O$28,2,0)*(HLOOKUP(W$47,'2.2.Brecha Efectiva x UdM'!$H$25:$AK$32,2,0))</f>
        <v>0</v>
      </c>
      <c r="X67" s="31">
        <f>VLOOKUP($A67,$A$4:$O$28,2,0)*(HLOOKUP(X$47,'2.2.Brecha Efectiva x UdM'!$H$25:$AK$32,2,0))</f>
        <v>0</v>
      </c>
      <c r="Y67" s="31">
        <f>VLOOKUP($A67,$A$4:$O$28,2,0)*(HLOOKUP(Y$47,'2.2.Brecha Efectiva x UdM'!$H$25:$AK$32,2,0))</f>
        <v>0</v>
      </c>
      <c r="Z67" s="31">
        <f>VLOOKUP($A67,$A$4:$O$28,2,0)*(HLOOKUP(Z$47,'2.2.Brecha Efectiva x UdM'!$H$25:$AK$32,2,0))</f>
        <v>0</v>
      </c>
      <c r="AA67" s="31">
        <f>VLOOKUP($A67,$A$4:$O$28,2,0)*(HLOOKUP(AA$47,'2.2.Brecha Efectiva x UdM'!$H$25:$AK$32,2,0))</f>
        <v>0</v>
      </c>
      <c r="AB67" s="31">
        <f>VLOOKUP($A67,$A$4:$O$28,2,0)*(HLOOKUP(AB$47,'2.2.Brecha Efectiva x UdM'!$H$25:$AK$32,2,0))</f>
        <v>0</v>
      </c>
      <c r="AC67" s="31">
        <f>VLOOKUP($A67,$A$4:$O$28,2,0)*(HLOOKUP(AC$47,'2.2.Brecha Efectiva x UdM'!$H$25:$AK$32,2,0))</f>
        <v>0</v>
      </c>
      <c r="AD67" s="31">
        <f>VLOOKUP($A67,$A$4:$O$28,2,0)*(HLOOKUP(AD$47,'2.2.Brecha Efectiva x UdM'!$H$25:$AK$32,2,0))</f>
        <v>0</v>
      </c>
      <c r="AE67" s="31">
        <f>VLOOKUP($A67,$A$4:$O$28,2,0)*(HLOOKUP(AE$47,'2.2.Brecha Efectiva x UdM'!$H$25:$AK$32,2,0))</f>
        <v>0</v>
      </c>
      <c r="AF67" s="31">
        <f>VLOOKUP($A67,$A$4:$O$28,2,0)*(HLOOKUP(AF$47,'2.2.Brecha Efectiva x UdM'!$H$25:$AK$32,2,0))</f>
        <v>0</v>
      </c>
      <c r="AG67" s="31">
        <f>VLOOKUP($A67,$A$4:$O$28,2,0)*(HLOOKUP(AG$47,'2.2.Brecha Efectiva x UdM'!$H$25:$AK$32,2,0))</f>
        <v>0</v>
      </c>
      <c r="AH67" s="63">
        <f t="shared" si="11"/>
        <v>3345542207.3353863</v>
      </c>
    </row>
    <row r="68" spans="1:34" x14ac:dyDescent="0.2">
      <c r="A68" s="25" t="str">
        <f t="shared" si="8"/>
        <v>Santa Fe</v>
      </c>
      <c r="B68" s="51" t="str">
        <f t="shared" si="9"/>
        <v>Nombre UdM 1</v>
      </c>
      <c r="C68" s="25" t="str">
        <f t="shared" si="10"/>
        <v>Santa Fe Nombre UdM 1</v>
      </c>
      <c r="D68" s="32">
        <f>VLOOKUP($A68,$A$4:$O$28,2,0)*(HLOOKUP(D$47,'2.2.Brecha Efectiva x UdM'!$H$25:$AK$32,2,0))</f>
        <v>110284180.30775543</v>
      </c>
      <c r="E68" s="32">
        <f>VLOOKUP($A68,$A$4:$O$28,2,0)*(HLOOKUP(E$47,'2.2.Brecha Efectiva x UdM'!$H$25:$AK$32,2,0))</f>
        <v>111235757.65624429</v>
      </c>
      <c r="F68" s="32">
        <f>VLOOKUP($A68,$A$4:$O$28,2,0)*(HLOOKUP(F$47,'2.2.Brecha Efectiva x UdM'!$H$25:$AK$32,2,0))</f>
        <v>69073628.192898914</v>
      </c>
      <c r="G68" s="32">
        <f>VLOOKUP($A68,$A$4:$O$28,2,0)*(HLOOKUP(G$47,'2.2.Brecha Efectiva x UdM'!$H$25:$AK$32,2,0))</f>
        <v>54787999.762390859</v>
      </c>
      <c r="H68" s="32">
        <f>VLOOKUP($A68,$A$4:$O$28,2,0)*(HLOOKUP(H$47,'2.2.Brecha Efectiva x UdM'!$H$25:$AK$32,2,0))</f>
        <v>28901315.661958214</v>
      </c>
      <c r="I68" s="32">
        <f>VLOOKUP($A68,$A$4:$O$28,2,0)*(HLOOKUP(I$47,'2.2.Brecha Efectiva x UdM'!$H$25:$AK$32,2,0))</f>
        <v>29127219.122468371</v>
      </c>
      <c r="J68" s="32">
        <f>VLOOKUP($A68,$A$4:$O$28,2,0)*(HLOOKUP(J$47,'2.2.Brecha Efectiva x UdM'!$H$25:$AK$32,2,0))</f>
        <v>29349139.052894667</v>
      </c>
      <c r="K68" s="32">
        <f>VLOOKUP($A68,$A$4:$O$28,2,0)*(HLOOKUP(K$47,'2.2.Brecha Efectiva x UdM'!$H$25:$AK$32,2,0))</f>
        <v>27277472.373191945</v>
      </c>
      <c r="L68" s="32">
        <f>VLOOKUP($A68,$A$4:$O$28,2,0)*(HLOOKUP(L$47,'2.2.Brecha Efectiva x UdM'!$H$25:$AK$32,2,0))</f>
        <v>27475081.422807999</v>
      </c>
      <c r="M68" s="32">
        <f>VLOOKUP($A68,$A$4:$O$28,2,0)*(HLOOKUP(M$47,'2.2.Brecha Efectiva x UdM'!$H$25:$AK$32,2,0))</f>
        <v>27669119.551372714</v>
      </c>
      <c r="N68" s="32">
        <f>VLOOKUP($A68,$A$4:$O$28,2,0)*(HLOOKUP(N$47,'2.2.Brecha Efectiva x UdM'!$H$25:$AK$32,2,0))</f>
        <v>0</v>
      </c>
      <c r="O68" s="32">
        <f>VLOOKUP($A68,$A$4:$O$28,2,0)*(HLOOKUP(O$47,'2.2.Brecha Efectiva x UdM'!$H$25:$AK$32,2,0))</f>
        <v>0</v>
      </c>
      <c r="P68" s="32">
        <f>VLOOKUP($A68,$A$4:$O$28,2,0)*(HLOOKUP(P$47,'2.2.Brecha Efectiva x UdM'!$H$25:$AK$32,2,0))</f>
        <v>0</v>
      </c>
      <c r="Q68" s="32">
        <f>VLOOKUP($A68,$A$4:$O$28,2,0)*(HLOOKUP(Q$47,'2.2.Brecha Efectiva x UdM'!$H$25:$AK$32,2,0))</f>
        <v>0</v>
      </c>
      <c r="R68" s="32">
        <f>VLOOKUP($A68,$A$4:$O$28,2,0)*(HLOOKUP(R$47,'2.2.Brecha Efectiva x UdM'!$H$25:$AK$32,2,0))</f>
        <v>0</v>
      </c>
      <c r="S68" s="32">
        <f>VLOOKUP($A68,$A$4:$O$28,2,0)*(HLOOKUP(S$47,'2.2.Brecha Efectiva x UdM'!$H$25:$AK$32,2,0))</f>
        <v>0</v>
      </c>
      <c r="T68" s="32">
        <f>VLOOKUP($A68,$A$4:$O$28,2,0)*(HLOOKUP(T$47,'2.2.Brecha Efectiva x UdM'!$H$25:$AK$32,2,0))</f>
        <v>0</v>
      </c>
      <c r="U68" s="32">
        <f>VLOOKUP($A68,$A$4:$O$28,2,0)*(HLOOKUP(U$47,'2.2.Brecha Efectiva x UdM'!$H$25:$AK$32,2,0))</f>
        <v>0</v>
      </c>
      <c r="V68" s="32">
        <f>VLOOKUP($A68,$A$4:$O$28,2,0)*(HLOOKUP(V$47,'2.2.Brecha Efectiva x UdM'!$H$25:$AK$32,2,0))</f>
        <v>0</v>
      </c>
      <c r="W68" s="32">
        <f>VLOOKUP($A68,$A$4:$O$28,2,0)*(HLOOKUP(W$47,'2.2.Brecha Efectiva x UdM'!$H$25:$AK$32,2,0))</f>
        <v>0</v>
      </c>
      <c r="X68" s="32">
        <f>VLOOKUP($A68,$A$4:$O$28,2,0)*(HLOOKUP(X$47,'2.2.Brecha Efectiva x UdM'!$H$25:$AK$32,2,0))</f>
        <v>0</v>
      </c>
      <c r="Y68" s="32">
        <f>VLOOKUP($A68,$A$4:$O$28,2,0)*(HLOOKUP(Y$47,'2.2.Brecha Efectiva x UdM'!$H$25:$AK$32,2,0))</f>
        <v>0</v>
      </c>
      <c r="Z68" s="32">
        <f>VLOOKUP($A68,$A$4:$O$28,2,0)*(HLOOKUP(Z$47,'2.2.Brecha Efectiva x UdM'!$H$25:$AK$32,2,0))</f>
        <v>0</v>
      </c>
      <c r="AA68" s="32">
        <f>VLOOKUP($A68,$A$4:$O$28,2,0)*(HLOOKUP(AA$47,'2.2.Brecha Efectiva x UdM'!$H$25:$AK$32,2,0))</f>
        <v>0</v>
      </c>
      <c r="AB68" s="32">
        <f>VLOOKUP($A68,$A$4:$O$28,2,0)*(HLOOKUP(AB$47,'2.2.Brecha Efectiva x UdM'!$H$25:$AK$32,2,0))</f>
        <v>0</v>
      </c>
      <c r="AC68" s="32">
        <f>VLOOKUP($A68,$A$4:$O$28,2,0)*(HLOOKUP(AC$47,'2.2.Brecha Efectiva x UdM'!$H$25:$AK$32,2,0))</f>
        <v>0</v>
      </c>
      <c r="AD68" s="32">
        <f>VLOOKUP($A68,$A$4:$O$28,2,0)*(HLOOKUP(AD$47,'2.2.Brecha Efectiva x UdM'!$H$25:$AK$32,2,0))</f>
        <v>0</v>
      </c>
      <c r="AE68" s="32">
        <f>VLOOKUP($A68,$A$4:$O$28,2,0)*(HLOOKUP(AE$47,'2.2.Brecha Efectiva x UdM'!$H$25:$AK$32,2,0))</f>
        <v>0</v>
      </c>
      <c r="AF68" s="32">
        <f>VLOOKUP($A68,$A$4:$O$28,2,0)*(HLOOKUP(AF$47,'2.2.Brecha Efectiva x UdM'!$H$25:$AK$32,2,0))</f>
        <v>0</v>
      </c>
      <c r="AG68" s="32">
        <f>VLOOKUP($A68,$A$4:$O$28,2,0)*(HLOOKUP(AG$47,'2.2.Brecha Efectiva x UdM'!$H$25:$AK$32,2,0))</f>
        <v>0</v>
      </c>
      <c r="AH68" s="62">
        <f t="shared" si="11"/>
        <v>515180913.10398334</v>
      </c>
    </row>
    <row r="69" spans="1:34" x14ac:dyDescent="0.2">
      <c r="A69" s="26" t="str">
        <f t="shared" si="8"/>
        <v>Santiago del Estero</v>
      </c>
      <c r="B69" s="52" t="str">
        <f t="shared" si="9"/>
        <v>Nombre UdM 1</v>
      </c>
      <c r="C69" s="26" t="str">
        <f t="shared" si="10"/>
        <v>Santiago del Estero Nombre UdM 1</v>
      </c>
      <c r="D69" s="31">
        <f>VLOOKUP($A69,$A$4:$O$28,2,0)*(HLOOKUP(D$47,'2.2.Brecha Efectiva x UdM'!$H$25:$AK$32,2,0))</f>
        <v>100724529.59885289</v>
      </c>
      <c r="E69" s="31">
        <f>VLOOKUP($A69,$A$4:$O$28,2,0)*(HLOOKUP(E$47,'2.2.Brecha Efectiva x UdM'!$H$25:$AK$32,2,0))</f>
        <v>101593622.34212756</v>
      </c>
      <c r="F69" s="31">
        <f>VLOOKUP($A69,$A$4:$O$28,2,0)*(HLOOKUP(F$47,'2.2.Brecha Efectiva x UdM'!$H$25:$AK$32,2,0))</f>
        <v>63086189.587669685</v>
      </c>
      <c r="G69" s="31">
        <f>VLOOKUP($A69,$A$4:$O$28,2,0)*(HLOOKUP(G$47,'2.2.Brecha Efectiva x UdM'!$H$25:$AK$32,2,0))</f>
        <v>50038867.662879214</v>
      </c>
      <c r="H69" s="31">
        <f>VLOOKUP($A69,$A$4:$O$28,2,0)*(HLOOKUP(H$47,'2.2.Brecha Efectiva x UdM'!$H$25:$AK$32,2,0))</f>
        <v>26396092.50134661</v>
      </c>
      <c r="I69" s="31">
        <f>VLOOKUP($A69,$A$4:$O$28,2,0)*(HLOOKUP(I$47,'2.2.Brecha Efectiva x UdM'!$H$25:$AK$32,2,0))</f>
        <v>26602414.203436088</v>
      </c>
      <c r="J69" s="31">
        <f>VLOOKUP($A69,$A$4:$O$28,2,0)*(HLOOKUP(J$47,'2.2.Brecha Efectiva x UdM'!$H$25:$AK$32,2,0))</f>
        <v>26805097.675702211</v>
      </c>
      <c r="K69" s="31">
        <f>VLOOKUP($A69,$A$4:$O$28,2,0)*(HLOOKUP(K$47,'2.2.Brecha Efectiva x UdM'!$H$25:$AK$32,2,0))</f>
        <v>24913007.158128671</v>
      </c>
      <c r="L69" s="31">
        <f>VLOOKUP($A69,$A$4:$O$28,2,0)*(HLOOKUP(L$47,'2.2.Brecha Efectiva x UdM'!$H$25:$AK$32,2,0))</f>
        <v>25093487.064779922</v>
      </c>
      <c r="M69" s="31">
        <f>VLOOKUP($A69,$A$4:$O$28,2,0)*(HLOOKUP(M$47,'2.2.Brecha Efectiva x UdM'!$H$25:$AK$32,2,0))</f>
        <v>25270705.584873948</v>
      </c>
      <c r="N69" s="31">
        <f>VLOOKUP($A69,$A$4:$O$28,2,0)*(HLOOKUP(N$47,'2.2.Brecha Efectiva x UdM'!$H$25:$AK$32,2,0))</f>
        <v>0</v>
      </c>
      <c r="O69" s="31">
        <f>VLOOKUP($A69,$A$4:$O$28,2,0)*(HLOOKUP(O$47,'2.2.Brecha Efectiva x UdM'!$H$25:$AK$32,2,0))</f>
        <v>0</v>
      </c>
      <c r="P69" s="31">
        <f>VLOOKUP($A69,$A$4:$O$28,2,0)*(HLOOKUP(P$47,'2.2.Brecha Efectiva x UdM'!$H$25:$AK$32,2,0))</f>
        <v>0</v>
      </c>
      <c r="Q69" s="31">
        <f>VLOOKUP($A69,$A$4:$O$28,2,0)*(HLOOKUP(Q$47,'2.2.Brecha Efectiva x UdM'!$H$25:$AK$32,2,0))</f>
        <v>0</v>
      </c>
      <c r="R69" s="31">
        <f>VLOOKUP($A69,$A$4:$O$28,2,0)*(HLOOKUP(R$47,'2.2.Brecha Efectiva x UdM'!$H$25:$AK$32,2,0))</f>
        <v>0</v>
      </c>
      <c r="S69" s="31">
        <f>VLOOKUP($A69,$A$4:$O$28,2,0)*(HLOOKUP(S$47,'2.2.Brecha Efectiva x UdM'!$H$25:$AK$32,2,0))</f>
        <v>0</v>
      </c>
      <c r="T69" s="31">
        <f>VLOOKUP($A69,$A$4:$O$28,2,0)*(HLOOKUP(T$47,'2.2.Brecha Efectiva x UdM'!$H$25:$AK$32,2,0))</f>
        <v>0</v>
      </c>
      <c r="U69" s="31">
        <f>VLOOKUP($A69,$A$4:$O$28,2,0)*(HLOOKUP(U$47,'2.2.Brecha Efectiva x UdM'!$H$25:$AK$32,2,0))</f>
        <v>0</v>
      </c>
      <c r="V69" s="31">
        <f>VLOOKUP($A69,$A$4:$O$28,2,0)*(HLOOKUP(V$47,'2.2.Brecha Efectiva x UdM'!$H$25:$AK$32,2,0))</f>
        <v>0</v>
      </c>
      <c r="W69" s="31">
        <f>VLOOKUP($A69,$A$4:$O$28,2,0)*(HLOOKUP(W$47,'2.2.Brecha Efectiva x UdM'!$H$25:$AK$32,2,0))</f>
        <v>0</v>
      </c>
      <c r="X69" s="31">
        <f>VLOOKUP($A69,$A$4:$O$28,2,0)*(HLOOKUP(X$47,'2.2.Brecha Efectiva x UdM'!$H$25:$AK$32,2,0))</f>
        <v>0</v>
      </c>
      <c r="Y69" s="31">
        <f>VLOOKUP($A69,$A$4:$O$28,2,0)*(HLOOKUP(Y$47,'2.2.Brecha Efectiva x UdM'!$H$25:$AK$32,2,0))</f>
        <v>0</v>
      </c>
      <c r="Z69" s="31">
        <f>VLOOKUP($A69,$A$4:$O$28,2,0)*(HLOOKUP(Z$47,'2.2.Brecha Efectiva x UdM'!$H$25:$AK$32,2,0))</f>
        <v>0</v>
      </c>
      <c r="AA69" s="31">
        <f>VLOOKUP($A69,$A$4:$O$28,2,0)*(HLOOKUP(AA$47,'2.2.Brecha Efectiva x UdM'!$H$25:$AK$32,2,0))</f>
        <v>0</v>
      </c>
      <c r="AB69" s="31">
        <f>VLOOKUP($A69,$A$4:$O$28,2,0)*(HLOOKUP(AB$47,'2.2.Brecha Efectiva x UdM'!$H$25:$AK$32,2,0))</f>
        <v>0</v>
      </c>
      <c r="AC69" s="31">
        <f>VLOOKUP($A69,$A$4:$O$28,2,0)*(HLOOKUP(AC$47,'2.2.Brecha Efectiva x UdM'!$H$25:$AK$32,2,0))</f>
        <v>0</v>
      </c>
      <c r="AD69" s="31">
        <f>VLOOKUP($A69,$A$4:$O$28,2,0)*(HLOOKUP(AD$47,'2.2.Brecha Efectiva x UdM'!$H$25:$AK$32,2,0))</f>
        <v>0</v>
      </c>
      <c r="AE69" s="31">
        <f>VLOOKUP($A69,$A$4:$O$28,2,0)*(HLOOKUP(AE$47,'2.2.Brecha Efectiva x UdM'!$H$25:$AK$32,2,0))</f>
        <v>0</v>
      </c>
      <c r="AF69" s="31">
        <f>VLOOKUP($A69,$A$4:$O$28,2,0)*(HLOOKUP(AF$47,'2.2.Brecha Efectiva x UdM'!$H$25:$AK$32,2,0))</f>
        <v>0</v>
      </c>
      <c r="AG69" s="31">
        <f>VLOOKUP($A69,$A$4:$O$28,2,0)*(HLOOKUP(AG$47,'2.2.Brecha Efectiva x UdM'!$H$25:$AK$32,2,0))</f>
        <v>0</v>
      </c>
      <c r="AH69" s="63">
        <f t="shared" si="11"/>
        <v>470524013.3797968</v>
      </c>
    </row>
    <row r="70" spans="1:34" x14ac:dyDescent="0.2">
      <c r="A70" s="25" t="str">
        <f t="shared" si="8"/>
        <v>Tierra del Fuego</v>
      </c>
      <c r="B70" s="51" t="str">
        <f t="shared" si="9"/>
        <v>Nombre UdM 1</v>
      </c>
      <c r="C70" s="25" t="str">
        <f t="shared" si="10"/>
        <v>Tierra del Fuego Nombre UdM 1</v>
      </c>
      <c r="D70" s="32">
        <f>VLOOKUP($A70,$A$4:$O$28,2,0)*(HLOOKUP(D$47,'2.2.Brecha Efectiva x UdM'!$H$25:$AK$32,2,0))</f>
        <v>66621054.745826364</v>
      </c>
      <c r="E70" s="32">
        <f>VLOOKUP($A70,$A$4:$O$28,2,0)*(HLOOKUP(E$47,'2.2.Brecha Efectiva x UdM'!$H$25:$AK$32,2,0))</f>
        <v>67195888.656289831</v>
      </c>
      <c r="F70" s="32">
        <f>VLOOKUP($A70,$A$4:$O$28,2,0)*(HLOOKUP(F$47,'2.2.Brecha Efectiva x UdM'!$H$25:$AK$32,2,0))</f>
        <v>41726365.037038483</v>
      </c>
      <c r="G70" s="32">
        <f>VLOOKUP($A70,$A$4:$O$28,2,0)*(HLOOKUP(G$47,'2.2.Brecha Efectiva x UdM'!$H$25:$AK$32,2,0))</f>
        <v>33096626.564198934</v>
      </c>
      <c r="H70" s="32">
        <f>VLOOKUP($A70,$A$4:$O$28,2,0)*(HLOOKUP(H$47,'2.2.Brecha Efectiva x UdM'!$H$25:$AK$32,2,0))</f>
        <v>17458860.623243224</v>
      </c>
      <c r="I70" s="32">
        <f>VLOOKUP($A70,$A$4:$O$28,2,0)*(HLOOKUP(I$47,'2.2.Brecha Efectiva x UdM'!$H$25:$AK$32,2,0))</f>
        <v>17595325.588281009</v>
      </c>
      <c r="J70" s="32">
        <f>VLOOKUP($A70,$A$4:$O$28,2,0)*(HLOOKUP(J$47,'2.2.Brecha Efectiva x UdM'!$H$25:$AK$32,2,0))</f>
        <v>17729384.161259141</v>
      </c>
      <c r="K70" s="32">
        <f>VLOOKUP($A70,$A$4:$O$28,2,0)*(HLOOKUP(K$47,'2.2.Brecha Efectiva x UdM'!$H$25:$AK$32,2,0))</f>
        <v>16477920.724722413</v>
      </c>
      <c r="L70" s="32">
        <f>VLOOKUP($A70,$A$4:$O$28,2,0)*(HLOOKUP(L$47,'2.2.Brecha Efectiva x UdM'!$H$25:$AK$32,2,0))</f>
        <v>16597293.451400023</v>
      </c>
      <c r="M70" s="32">
        <f>VLOOKUP($A70,$A$4:$O$28,2,0)*(HLOOKUP(M$47,'2.2.Brecha Efectiva x UdM'!$H$25:$AK$32,2,0))</f>
        <v>16714509.037078895</v>
      </c>
      <c r="N70" s="32">
        <f>VLOOKUP($A70,$A$4:$O$28,2,0)*(HLOOKUP(N$47,'2.2.Brecha Efectiva x UdM'!$H$25:$AK$32,2,0))</f>
        <v>0</v>
      </c>
      <c r="O70" s="32">
        <f>VLOOKUP($A70,$A$4:$O$28,2,0)*(HLOOKUP(O$47,'2.2.Brecha Efectiva x UdM'!$H$25:$AK$32,2,0))</f>
        <v>0</v>
      </c>
      <c r="P70" s="32">
        <f>VLOOKUP($A70,$A$4:$O$28,2,0)*(HLOOKUP(P$47,'2.2.Brecha Efectiva x UdM'!$H$25:$AK$32,2,0))</f>
        <v>0</v>
      </c>
      <c r="Q70" s="32">
        <f>VLOOKUP($A70,$A$4:$O$28,2,0)*(HLOOKUP(Q$47,'2.2.Brecha Efectiva x UdM'!$H$25:$AK$32,2,0))</f>
        <v>0</v>
      </c>
      <c r="R70" s="32">
        <f>VLOOKUP($A70,$A$4:$O$28,2,0)*(HLOOKUP(R$47,'2.2.Brecha Efectiva x UdM'!$H$25:$AK$32,2,0))</f>
        <v>0</v>
      </c>
      <c r="S70" s="32">
        <f>VLOOKUP($A70,$A$4:$O$28,2,0)*(HLOOKUP(S$47,'2.2.Brecha Efectiva x UdM'!$H$25:$AK$32,2,0))</f>
        <v>0</v>
      </c>
      <c r="T70" s="32">
        <f>VLOOKUP($A70,$A$4:$O$28,2,0)*(HLOOKUP(T$47,'2.2.Brecha Efectiva x UdM'!$H$25:$AK$32,2,0))</f>
        <v>0</v>
      </c>
      <c r="U70" s="32">
        <f>VLOOKUP($A70,$A$4:$O$28,2,0)*(HLOOKUP(U$47,'2.2.Brecha Efectiva x UdM'!$H$25:$AK$32,2,0))</f>
        <v>0</v>
      </c>
      <c r="V70" s="32">
        <f>VLOOKUP($A70,$A$4:$O$28,2,0)*(HLOOKUP(V$47,'2.2.Brecha Efectiva x UdM'!$H$25:$AK$32,2,0))</f>
        <v>0</v>
      </c>
      <c r="W70" s="32">
        <f>VLOOKUP($A70,$A$4:$O$28,2,0)*(HLOOKUP(W$47,'2.2.Brecha Efectiva x UdM'!$H$25:$AK$32,2,0))</f>
        <v>0</v>
      </c>
      <c r="X70" s="32">
        <f>VLOOKUP($A70,$A$4:$O$28,2,0)*(HLOOKUP(X$47,'2.2.Brecha Efectiva x UdM'!$H$25:$AK$32,2,0))</f>
        <v>0</v>
      </c>
      <c r="Y70" s="32">
        <f>VLOOKUP($A70,$A$4:$O$28,2,0)*(HLOOKUP(Y$47,'2.2.Brecha Efectiva x UdM'!$H$25:$AK$32,2,0))</f>
        <v>0</v>
      </c>
      <c r="Z70" s="32">
        <f>VLOOKUP($A70,$A$4:$O$28,2,0)*(HLOOKUP(Z$47,'2.2.Brecha Efectiva x UdM'!$H$25:$AK$32,2,0))</f>
        <v>0</v>
      </c>
      <c r="AA70" s="32">
        <f>VLOOKUP($A70,$A$4:$O$28,2,0)*(HLOOKUP(AA$47,'2.2.Brecha Efectiva x UdM'!$H$25:$AK$32,2,0))</f>
        <v>0</v>
      </c>
      <c r="AB70" s="32">
        <f>VLOOKUP($A70,$A$4:$O$28,2,0)*(HLOOKUP(AB$47,'2.2.Brecha Efectiva x UdM'!$H$25:$AK$32,2,0))</f>
        <v>0</v>
      </c>
      <c r="AC70" s="32">
        <f>VLOOKUP($A70,$A$4:$O$28,2,0)*(HLOOKUP(AC$47,'2.2.Brecha Efectiva x UdM'!$H$25:$AK$32,2,0))</f>
        <v>0</v>
      </c>
      <c r="AD70" s="32">
        <f>VLOOKUP($A70,$A$4:$O$28,2,0)*(HLOOKUP(AD$47,'2.2.Brecha Efectiva x UdM'!$H$25:$AK$32,2,0))</f>
        <v>0</v>
      </c>
      <c r="AE70" s="32">
        <f>VLOOKUP($A70,$A$4:$O$28,2,0)*(HLOOKUP(AE$47,'2.2.Brecha Efectiva x UdM'!$H$25:$AK$32,2,0))</f>
        <v>0</v>
      </c>
      <c r="AF70" s="32">
        <f>VLOOKUP($A70,$A$4:$O$28,2,0)*(HLOOKUP(AF$47,'2.2.Brecha Efectiva x UdM'!$H$25:$AK$32,2,0))</f>
        <v>0</v>
      </c>
      <c r="AG70" s="32">
        <f>VLOOKUP($A70,$A$4:$O$28,2,0)*(HLOOKUP(AG$47,'2.2.Brecha Efectiva x UdM'!$H$25:$AK$32,2,0))</f>
        <v>0</v>
      </c>
      <c r="AH70" s="62">
        <f t="shared" si="11"/>
        <v>311213228.58933836</v>
      </c>
    </row>
    <row r="71" spans="1:34" x14ac:dyDescent="0.2">
      <c r="A71" s="26" t="str">
        <f t="shared" si="8"/>
        <v>Tucumán</v>
      </c>
      <c r="B71" s="52" t="str">
        <f t="shared" si="9"/>
        <v>Nombre UdM 1</v>
      </c>
      <c r="C71" s="26" t="str">
        <f t="shared" si="10"/>
        <v>Tucumán Nombre UdM 1</v>
      </c>
      <c r="D71" s="31">
        <f>VLOOKUP($A71,$A$4:$O$28,2,0)*(HLOOKUP(D$47,'2.2.Brecha Efectiva x UdM'!$H$25:$AK$32,2,0))</f>
        <v>23294206.924994025</v>
      </c>
      <c r="E71" s="31">
        <f>VLOOKUP($A71,$A$4:$O$28,2,0)*(HLOOKUP(E$47,'2.2.Brecha Efectiva x UdM'!$H$25:$AK$32,2,0))</f>
        <v>23495198.94034002</v>
      </c>
      <c r="F71" s="31">
        <f>VLOOKUP($A71,$A$4:$O$28,2,0)*(HLOOKUP(F$47,'2.2.Brecha Efectiva x UdM'!$H$25:$AK$32,2,0))</f>
        <v>14589720.698793089</v>
      </c>
      <c r="G71" s="31">
        <f>VLOOKUP($A71,$A$4:$O$28,2,0)*(HLOOKUP(G$47,'2.2.Brecha Efectiva x UdM'!$H$25:$AK$32,2,0))</f>
        <v>11572312.546642812</v>
      </c>
      <c r="H71" s="31">
        <f>VLOOKUP($A71,$A$4:$O$28,2,0)*(HLOOKUP(H$47,'2.2.Brecha Efectiva x UdM'!$H$25:$AK$32,2,0))</f>
        <v>6104531.2714436706</v>
      </c>
      <c r="I71" s="31">
        <f>VLOOKUP($A71,$A$4:$O$28,2,0)*(HLOOKUP(I$47,'2.2.Brecha Efectiva x UdM'!$H$25:$AK$32,2,0))</f>
        <v>6152246.5642400738</v>
      </c>
      <c r="J71" s="31">
        <f>VLOOKUP($A71,$A$4:$O$28,2,0)*(HLOOKUP(J$47,'2.2.Brecha Efectiva x UdM'!$H$25:$AK$32,2,0))</f>
        <v>6199120.4564493168</v>
      </c>
      <c r="K71" s="31">
        <f>VLOOKUP($A71,$A$4:$O$28,2,0)*(HLOOKUP(K$47,'2.2.Brecha Efectiva x UdM'!$H$25:$AK$32,2,0))</f>
        <v>5761543.3517191205</v>
      </c>
      <c r="L71" s="31">
        <f>VLOOKUP($A71,$A$4:$O$28,2,0)*(HLOOKUP(L$47,'2.2.Brecha Efectiva x UdM'!$H$25:$AK$32,2,0))</f>
        <v>5803282.3035720726</v>
      </c>
      <c r="M71" s="31">
        <f>VLOOKUP($A71,$A$4:$O$28,2,0)*(HLOOKUP(M$47,'2.2.Brecha Efectiva x UdM'!$H$25:$AK$32,2,0))</f>
        <v>5844267.0060517201</v>
      </c>
      <c r="N71" s="31">
        <f>VLOOKUP($A71,$A$4:$O$28,2,0)*(HLOOKUP(N$47,'2.2.Brecha Efectiva x UdM'!$H$25:$AK$32,2,0))</f>
        <v>0</v>
      </c>
      <c r="O71" s="31">
        <f>VLOOKUP($A71,$A$4:$O$28,2,0)*(HLOOKUP(O$47,'2.2.Brecha Efectiva x UdM'!$H$25:$AK$32,2,0))</f>
        <v>0</v>
      </c>
      <c r="P71" s="31">
        <f>VLOOKUP($A71,$A$4:$O$28,2,0)*(HLOOKUP(P$47,'2.2.Brecha Efectiva x UdM'!$H$25:$AK$32,2,0))</f>
        <v>0</v>
      </c>
      <c r="Q71" s="31">
        <f>VLOOKUP($A71,$A$4:$O$28,2,0)*(HLOOKUP(Q$47,'2.2.Brecha Efectiva x UdM'!$H$25:$AK$32,2,0))</f>
        <v>0</v>
      </c>
      <c r="R71" s="31">
        <f>VLOOKUP($A71,$A$4:$O$28,2,0)*(HLOOKUP(R$47,'2.2.Brecha Efectiva x UdM'!$H$25:$AK$32,2,0))</f>
        <v>0</v>
      </c>
      <c r="S71" s="31">
        <f>VLOOKUP($A71,$A$4:$O$28,2,0)*(HLOOKUP(S$47,'2.2.Brecha Efectiva x UdM'!$H$25:$AK$32,2,0))</f>
        <v>0</v>
      </c>
      <c r="T71" s="31">
        <f>VLOOKUP($A71,$A$4:$O$28,2,0)*(HLOOKUP(T$47,'2.2.Brecha Efectiva x UdM'!$H$25:$AK$32,2,0))</f>
        <v>0</v>
      </c>
      <c r="U71" s="31">
        <f>VLOOKUP($A71,$A$4:$O$28,2,0)*(HLOOKUP(U$47,'2.2.Brecha Efectiva x UdM'!$H$25:$AK$32,2,0))</f>
        <v>0</v>
      </c>
      <c r="V71" s="31">
        <f>VLOOKUP($A71,$A$4:$O$28,2,0)*(HLOOKUP(V$47,'2.2.Brecha Efectiva x UdM'!$H$25:$AK$32,2,0))</f>
        <v>0</v>
      </c>
      <c r="W71" s="31">
        <f>VLOOKUP($A71,$A$4:$O$28,2,0)*(HLOOKUP(W$47,'2.2.Brecha Efectiva x UdM'!$H$25:$AK$32,2,0))</f>
        <v>0</v>
      </c>
      <c r="X71" s="31">
        <f>VLOOKUP($A71,$A$4:$O$28,2,0)*(HLOOKUP(X$47,'2.2.Brecha Efectiva x UdM'!$H$25:$AK$32,2,0))</f>
        <v>0</v>
      </c>
      <c r="Y71" s="31">
        <f>VLOOKUP($A71,$A$4:$O$28,2,0)*(HLOOKUP(Y$47,'2.2.Brecha Efectiva x UdM'!$H$25:$AK$32,2,0))</f>
        <v>0</v>
      </c>
      <c r="Z71" s="31">
        <f>VLOOKUP($A71,$A$4:$O$28,2,0)*(HLOOKUP(Z$47,'2.2.Brecha Efectiva x UdM'!$H$25:$AK$32,2,0))</f>
        <v>0</v>
      </c>
      <c r="AA71" s="31">
        <f>VLOOKUP($A71,$A$4:$O$28,2,0)*(HLOOKUP(AA$47,'2.2.Brecha Efectiva x UdM'!$H$25:$AK$32,2,0))</f>
        <v>0</v>
      </c>
      <c r="AB71" s="31">
        <f>VLOOKUP($A71,$A$4:$O$28,2,0)*(HLOOKUP(AB$47,'2.2.Brecha Efectiva x UdM'!$H$25:$AK$32,2,0))</f>
        <v>0</v>
      </c>
      <c r="AC71" s="31">
        <f>VLOOKUP($A71,$A$4:$O$28,2,0)*(HLOOKUP(AC$47,'2.2.Brecha Efectiva x UdM'!$H$25:$AK$32,2,0))</f>
        <v>0</v>
      </c>
      <c r="AD71" s="31">
        <f>VLOOKUP($A71,$A$4:$O$28,2,0)*(HLOOKUP(AD$47,'2.2.Brecha Efectiva x UdM'!$H$25:$AK$32,2,0))</f>
        <v>0</v>
      </c>
      <c r="AE71" s="31">
        <f>VLOOKUP($A71,$A$4:$O$28,2,0)*(HLOOKUP(AE$47,'2.2.Brecha Efectiva x UdM'!$H$25:$AK$32,2,0))</f>
        <v>0</v>
      </c>
      <c r="AF71" s="31">
        <f>VLOOKUP($A71,$A$4:$O$28,2,0)*(HLOOKUP(AF$47,'2.2.Brecha Efectiva x UdM'!$H$25:$AK$32,2,0))</f>
        <v>0</v>
      </c>
      <c r="AG71" s="31">
        <f>VLOOKUP($A71,$A$4:$O$28,2,0)*(HLOOKUP(AG$47,'2.2.Brecha Efectiva x UdM'!$H$25:$AK$32,2,0))</f>
        <v>0</v>
      </c>
      <c r="AH71" s="63">
        <f t="shared" si="11"/>
        <v>108816430.06424592</v>
      </c>
    </row>
    <row r="72" spans="1:34" x14ac:dyDescent="0.2">
      <c r="A72" s="34" t="str">
        <f>CONCATENATE("Total"," ",B48)</f>
        <v>Total Nombre UdM 1</v>
      </c>
      <c r="B72" s="29"/>
      <c r="C72" s="13"/>
      <c r="D72" s="13">
        <f>SUM(D48:D71)</f>
        <v>3944448000.0000005</v>
      </c>
      <c r="E72" s="13">
        <f t="shared" ref="E72:AG72" si="12">SUM(E48:E71)</f>
        <v>3978482322.5893145</v>
      </c>
      <c r="F72" s="13">
        <f t="shared" si="12"/>
        <v>2470502422.1779876</v>
      </c>
      <c r="G72" s="13">
        <f t="shared" si="12"/>
        <v>1959559525.9782321</v>
      </c>
      <c r="H72" s="13">
        <f t="shared" si="12"/>
        <v>1033690747.3225607</v>
      </c>
      <c r="I72" s="13">
        <f t="shared" si="12"/>
        <v>1041770459.6667593</v>
      </c>
      <c r="J72" s="13">
        <f t="shared" si="12"/>
        <v>1049707696.2068272</v>
      </c>
      <c r="K72" s="13">
        <f t="shared" si="12"/>
        <v>975612014.77167749</v>
      </c>
      <c r="L72" s="13">
        <f t="shared" si="12"/>
        <v>982679743.05659378</v>
      </c>
      <c r="M72" s="13">
        <f t="shared" si="12"/>
        <v>989619753.00185537</v>
      </c>
      <c r="N72" s="13">
        <f t="shared" si="12"/>
        <v>0</v>
      </c>
      <c r="O72" s="13">
        <f t="shared" si="12"/>
        <v>0</v>
      </c>
      <c r="P72" s="13">
        <f t="shared" si="12"/>
        <v>0</v>
      </c>
      <c r="Q72" s="13">
        <f t="shared" si="12"/>
        <v>0</v>
      </c>
      <c r="R72" s="13">
        <f t="shared" si="12"/>
        <v>0</v>
      </c>
      <c r="S72" s="13">
        <f t="shared" si="12"/>
        <v>0</v>
      </c>
      <c r="T72" s="13">
        <f t="shared" si="12"/>
        <v>0</v>
      </c>
      <c r="U72" s="13">
        <f t="shared" si="12"/>
        <v>0</v>
      </c>
      <c r="V72" s="13">
        <f t="shared" si="12"/>
        <v>0</v>
      </c>
      <c r="W72" s="13">
        <f t="shared" si="12"/>
        <v>0</v>
      </c>
      <c r="X72" s="13">
        <f t="shared" si="12"/>
        <v>0</v>
      </c>
      <c r="Y72" s="13">
        <f t="shared" si="12"/>
        <v>0</v>
      </c>
      <c r="Z72" s="13">
        <f t="shared" si="12"/>
        <v>0</v>
      </c>
      <c r="AA72" s="13">
        <f t="shared" si="12"/>
        <v>0</v>
      </c>
      <c r="AB72" s="13">
        <f t="shared" si="12"/>
        <v>0</v>
      </c>
      <c r="AC72" s="13">
        <f t="shared" si="12"/>
        <v>0</v>
      </c>
      <c r="AD72" s="13">
        <f t="shared" si="12"/>
        <v>0</v>
      </c>
      <c r="AE72" s="13">
        <f t="shared" si="12"/>
        <v>0</v>
      </c>
      <c r="AF72" s="13">
        <f t="shared" si="12"/>
        <v>0</v>
      </c>
      <c r="AG72" s="13">
        <f t="shared" si="12"/>
        <v>0</v>
      </c>
      <c r="AH72" s="13">
        <f t="shared" si="11"/>
        <v>18426072684.771809</v>
      </c>
    </row>
    <row r="73" spans="1:34" x14ac:dyDescent="0.2">
      <c r="A73" s="34" t="str">
        <f>CONCATENATE("Total Acumulado"," ",B48)</f>
        <v>Total Acumulado Nombre UdM 1</v>
      </c>
      <c r="B73" s="29"/>
      <c r="C73" s="13"/>
      <c r="D73" s="13">
        <f>D72</f>
        <v>3944448000.0000005</v>
      </c>
      <c r="E73" s="13">
        <f>E72+D73</f>
        <v>7922930322.5893154</v>
      </c>
      <c r="F73" s="13">
        <f t="shared" ref="F73:J73" si="13">F72+E73</f>
        <v>10393432744.767303</v>
      </c>
      <c r="G73" s="13">
        <f t="shared" si="13"/>
        <v>12352992270.745535</v>
      </c>
      <c r="H73" s="13">
        <f t="shared" si="13"/>
        <v>13386683018.068096</v>
      </c>
      <c r="I73" s="13">
        <f t="shared" si="13"/>
        <v>14428453477.734856</v>
      </c>
      <c r="J73" s="13">
        <f t="shared" si="13"/>
        <v>15478161173.941683</v>
      </c>
      <c r="K73" s="13">
        <f t="shared" ref="K73" si="14">K72+J73</f>
        <v>16453773188.71336</v>
      </c>
      <c r="L73" s="13">
        <f t="shared" ref="L73" si="15">L72+K73</f>
        <v>17436452931.769955</v>
      </c>
      <c r="M73" s="13">
        <f t="shared" ref="M73" si="16">M72+L73</f>
        <v>18426072684.771809</v>
      </c>
      <c r="N73" s="13">
        <f t="shared" ref="N73" si="17">N72+M73</f>
        <v>18426072684.771809</v>
      </c>
      <c r="O73" s="13">
        <f t="shared" ref="O73" si="18">O72+N73</f>
        <v>18426072684.771809</v>
      </c>
      <c r="P73" s="13">
        <f t="shared" ref="P73" si="19">P72+O73</f>
        <v>18426072684.771809</v>
      </c>
      <c r="Q73" s="13">
        <f t="shared" ref="Q73" si="20">Q72+P73</f>
        <v>18426072684.771809</v>
      </c>
      <c r="R73" s="13">
        <f t="shared" ref="R73" si="21">R72+Q73</f>
        <v>18426072684.771809</v>
      </c>
      <c r="S73" s="13">
        <f t="shared" ref="S73" si="22">S72+R73</f>
        <v>18426072684.771809</v>
      </c>
      <c r="T73" s="13">
        <f t="shared" ref="T73" si="23">T72+S73</f>
        <v>18426072684.771809</v>
      </c>
      <c r="U73" s="13">
        <f t="shared" ref="U73" si="24">U72+T73</f>
        <v>18426072684.771809</v>
      </c>
      <c r="V73" s="13">
        <f t="shared" ref="V73" si="25">V72+U73</f>
        <v>18426072684.771809</v>
      </c>
      <c r="W73" s="13">
        <f t="shared" ref="W73" si="26">W72+V73</f>
        <v>18426072684.771809</v>
      </c>
      <c r="X73" s="13">
        <f t="shared" ref="X73" si="27">X72+W73</f>
        <v>18426072684.771809</v>
      </c>
      <c r="Y73" s="13">
        <f t="shared" ref="Y73" si="28">Y72+X73</f>
        <v>18426072684.771809</v>
      </c>
      <c r="Z73" s="13">
        <f t="shared" ref="Z73" si="29">Z72+Y73</f>
        <v>18426072684.771809</v>
      </c>
      <c r="AA73" s="13">
        <f t="shared" ref="AA73" si="30">AA72+Z73</f>
        <v>18426072684.771809</v>
      </c>
      <c r="AB73" s="13">
        <f t="shared" ref="AB73" si="31">AB72+AA73</f>
        <v>18426072684.771809</v>
      </c>
      <c r="AC73" s="13">
        <f t="shared" ref="AC73" si="32">AC72+AB73</f>
        <v>18426072684.771809</v>
      </c>
      <c r="AD73" s="13">
        <f t="shared" ref="AD73" si="33">AD72+AC73</f>
        <v>18426072684.771809</v>
      </c>
      <c r="AE73" s="13">
        <f t="shared" ref="AE73" si="34">AE72+AD73</f>
        <v>18426072684.771809</v>
      </c>
      <c r="AF73" s="13">
        <f t="shared" ref="AF73" si="35">AF72+AE73</f>
        <v>18426072684.771809</v>
      </c>
      <c r="AG73" s="13">
        <f t="shared" ref="AG73" si="36">AG72+AF73</f>
        <v>18426072684.771809</v>
      </c>
    </row>
    <row r="75" spans="1:34" x14ac:dyDescent="0.2">
      <c r="A75" s="33" t="s">
        <v>41</v>
      </c>
      <c r="D75" t="b">
        <f>D72='2.2.Brecha Efectiva x UdM'!H26</f>
        <v>1</v>
      </c>
      <c r="E75" t="b">
        <f>E72='2.2.Brecha Efectiva x UdM'!I26</f>
        <v>1</v>
      </c>
      <c r="F75" t="b">
        <f>F72='2.2.Brecha Efectiva x UdM'!J26</f>
        <v>1</v>
      </c>
      <c r="G75" t="b">
        <f>G72='2.2.Brecha Efectiva x UdM'!K26</f>
        <v>1</v>
      </c>
      <c r="H75" t="b">
        <f>H72='2.2.Brecha Efectiva x UdM'!L26</f>
        <v>1</v>
      </c>
      <c r="I75" t="b">
        <f>I72='2.2.Brecha Efectiva x UdM'!M26</f>
        <v>1</v>
      </c>
      <c r="J75" t="b">
        <f>J72='2.2.Brecha Efectiva x UdM'!N26</f>
        <v>1</v>
      </c>
      <c r="K75" t="b">
        <f>K72='2.2.Brecha Efectiva x UdM'!O26</f>
        <v>1</v>
      </c>
      <c r="L75" t="b">
        <f>L72='2.2.Brecha Efectiva x UdM'!P26</f>
        <v>1</v>
      </c>
      <c r="M75" t="b">
        <f>ROUND(M72,0)=ROUND('2.2.Brecha Efectiva x UdM'!Q26,0)</f>
        <v>1</v>
      </c>
    </row>
    <row r="76" spans="1:34" x14ac:dyDescent="0.2">
      <c r="J76" t="b">
        <f>AG73=SUM('2.2.Brecha Efectiva x UdM'!H26:AK26)</f>
        <v>1</v>
      </c>
    </row>
    <row r="78" spans="1:34" x14ac:dyDescent="0.2">
      <c r="A78" s="46" t="s">
        <v>60</v>
      </c>
    </row>
    <row r="80" spans="1:34" x14ac:dyDescent="0.2">
      <c r="A80" s="24" t="s">
        <v>18</v>
      </c>
      <c r="B80" s="24" t="s">
        <v>42</v>
      </c>
      <c r="C80" s="24" t="s">
        <v>43</v>
      </c>
      <c r="D80" s="6">
        <v>2024</v>
      </c>
      <c r="E80" s="6">
        <v>2025</v>
      </c>
      <c r="F80" s="6">
        <v>2026</v>
      </c>
      <c r="G80" s="6">
        <v>2027</v>
      </c>
      <c r="H80" s="6">
        <v>2028</v>
      </c>
      <c r="I80" s="6">
        <v>2029</v>
      </c>
      <c r="J80" s="6">
        <v>2030</v>
      </c>
      <c r="K80" s="6">
        <v>2031</v>
      </c>
      <c r="L80" s="6">
        <v>2032</v>
      </c>
      <c r="M80" s="6">
        <v>2033</v>
      </c>
      <c r="N80" s="50">
        <v>2034</v>
      </c>
      <c r="O80" s="50">
        <v>2035</v>
      </c>
      <c r="P80" s="50">
        <v>2036</v>
      </c>
      <c r="Q80" s="50">
        <v>2037</v>
      </c>
      <c r="R80" s="50">
        <v>2038</v>
      </c>
      <c r="S80" s="50">
        <v>2039</v>
      </c>
      <c r="T80" s="50">
        <v>2040</v>
      </c>
      <c r="U80" s="50">
        <v>2041</v>
      </c>
      <c r="V80" s="50">
        <v>2042</v>
      </c>
      <c r="W80" s="50">
        <v>2043</v>
      </c>
      <c r="X80" s="50">
        <v>2044</v>
      </c>
      <c r="Y80" s="50">
        <v>2045</v>
      </c>
      <c r="Z80" s="50">
        <v>2046</v>
      </c>
      <c r="AA80" s="50">
        <v>2047</v>
      </c>
      <c r="AB80" s="50">
        <v>2048</v>
      </c>
      <c r="AC80" s="50">
        <v>2049</v>
      </c>
      <c r="AD80" s="50">
        <v>2050</v>
      </c>
      <c r="AE80" s="50">
        <v>2051</v>
      </c>
      <c r="AF80" s="50">
        <v>2052</v>
      </c>
      <c r="AG80" s="50">
        <v>2053</v>
      </c>
      <c r="AH80" s="6" t="s">
        <v>1</v>
      </c>
    </row>
    <row r="81" spans="1:34" x14ac:dyDescent="0.2">
      <c r="A81" s="25" t="str">
        <f t="shared" ref="A81:A104" si="37">A4</f>
        <v>Buenos Aires</v>
      </c>
      <c r="B81" s="51" t="str">
        <f>$E$3</f>
        <v>Nombre UdM 2</v>
      </c>
      <c r="C81" s="25" t="str">
        <f>CONCATENATE(A81," ",B81)</f>
        <v>Buenos Aires Nombre UdM 2</v>
      </c>
      <c r="D81" s="32">
        <f>VLOOKUP($A81,$A$4:$O$28,4,0)*(HLOOKUP(D$80,'2.2.Brecha Efectiva x UdM'!$H$25:$AK$32,3,0))</f>
        <v>96500157.050381452</v>
      </c>
      <c r="E81" s="32">
        <f>VLOOKUP($A81,$A$4:$O$28,4,0)*(HLOOKUP(E$80,'2.2.Brecha Efectiva x UdM'!$H$25:$AK$32,3,0))</f>
        <v>103518488.07364736</v>
      </c>
      <c r="F81" s="32">
        <f>VLOOKUP($A81,$A$4:$O$28,4,0)*(HLOOKUP(F$80,'2.2.Brecha Efectiva x UdM'!$H$25:$AK$32,3,0))</f>
        <v>156477370.86178297</v>
      </c>
      <c r="G81" s="32">
        <f>VLOOKUP($A81,$A$4:$O$28,4,0)*(HLOOKUP(G$80,'2.2.Brecha Efectiva x UdM'!$H$25:$AK$32,3,0))</f>
        <v>0</v>
      </c>
      <c r="H81" s="32">
        <f>VLOOKUP($A81,$A$4:$O$28,4,0)*(HLOOKUP(H$80,'2.2.Brecha Efectiva x UdM'!$H$25:$AK$32,3,0))</f>
        <v>0</v>
      </c>
      <c r="I81" s="32">
        <f>VLOOKUP($A81,$A$4:$O$28,4,0)*(HLOOKUP(I$80,'2.2.Brecha Efectiva x UdM'!$H$25:$AK$32,3,0))</f>
        <v>0</v>
      </c>
      <c r="J81" s="32">
        <f>VLOOKUP($A81,$A$4:$O$28,4,0)*(HLOOKUP(J$80,'2.2.Brecha Efectiva x UdM'!$H$25:$AK$32,3,0))</f>
        <v>0</v>
      </c>
      <c r="K81" s="32">
        <f>VLOOKUP($A81,$A$4:$O$28,4,0)*(HLOOKUP(K$80,'2.2.Brecha Efectiva x UdM'!$H$25:$AK$32,3,0))</f>
        <v>0</v>
      </c>
      <c r="L81" s="32">
        <f>VLOOKUP($A81,$A$4:$O$28,4,0)*(HLOOKUP(L$80,'2.2.Brecha Efectiva x UdM'!$H$25:$AK$32,3,0))</f>
        <v>0</v>
      </c>
      <c r="M81" s="32">
        <f>VLOOKUP($A81,$A$4:$O$28,4,0)*(HLOOKUP(M$80,'2.2.Brecha Efectiva x UdM'!$H$25:$AK$32,3,0))</f>
        <v>0</v>
      </c>
      <c r="N81" s="32">
        <f>VLOOKUP($A81,$A$4:$O$28,4,0)*(HLOOKUP(N$80,'2.2.Brecha Efectiva x UdM'!$H$25:$AK$32,3,0))</f>
        <v>0</v>
      </c>
      <c r="O81" s="32">
        <f>VLOOKUP($A81,$A$4:$O$28,4,0)*(HLOOKUP(O$80,'2.2.Brecha Efectiva x UdM'!$H$25:$AK$32,3,0))</f>
        <v>0</v>
      </c>
      <c r="P81" s="32">
        <f>VLOOKUP($A81,$A$4:$O$28,4,0)*(HLOOKUP(P$80,'2.2.Brecha Efectiva x UdM'!$H$25:$AK$32,3,0))</f>
        <v>0</v>
      </c>
      <c r="Q81" s="32">
        <f>VLOOKUP($A81,$A$4:$O$28,4,0)*(HLOOKUP(Q$80,'2.2.Brecha Efectiva x UdM'!$H$25:$AK$32,3,0))</f>
        <v>0</v>
      </c>
      <c r="R81" s="32">
        <f>VLOOKUP($A81,$A$4:$O$28,4,0)*(HLOOKUP(R$80,'2.2.Brecha Efectiva x UdM'!$H$25:$AK$32,3,0))</f>
        <v>0</v>
      </c>
      <c r="S81" s="32">
        <f>VLOOKUP($A81,$A$4:$O$28,4,0)*(HLOOKUP(S$80,'2.2.Brecha Efectiva x UdM'!$H$25:$AK$32,3,0))</f>
        <v>0</v>
      </c>
      <c r="T81" s="32">
        <f>VLOOKUP($A81,$A$4:$O$28,4,0)*(HLOOKUP(T$80,'2.2.Brecha Efectiva x UdM'!$H$25:$AK$32,3,0))</f>
        <v>0</v>
      </c>
      <c r="U81" s="32">
        <f>VLOOKUP($A81,$A$4:$O$28,4,0)*(HLOOKUP(U$80,'2.2.Brecha Efectiva x UdM'!$H$25:$AK$32,3,0))</f>
        <v>0</v>
      </c>
      <c r="V81" s="32">
        <f>VLOOKUP($A81,$A$4:$O$28,4,0)*(HLOOKUP(V$80,'2.2.Brecha Efectiva x UdM'!$H$25:$AK$32,3,0))</f>
        <v>0</v>
      </c>
      <c r="W81" s="32">
        <f>VLOOKUP($A81,$A$4:$O$28,4,0)*(HLOOKUP(W$80,'2.2.Brecha Efectiva x UdM'!$H$25:$AK$32,3,0))</f>
        <v>0</v>
      </c>
      <c r="X81" s="32">
        <f>VLOOKUP($A81,$A$4:$O$28,4,0)*(HLOOKUP(X$80,'2.2.Brecha Efectiva x UdM'!$H$25:$AK$32,3,0))</f>
        <v>0</v>
      </c>
      <c r="Y81" s="32">
        <f>VLOOKUP($A81,$A$4:$O$28,4,0)*(HLOOKUP(Y$80,'2.2.Brecha Efectiva x UdM'!$H$25:$AK$32,3,0))</f>
        <v>0</v>
      </c>
      <c r="Z81" s="32">
        <f>VLOOKUP($A81,$A$4:$O$28,4,0)*(HLOOKUP(Z$80,'2.2.Brecha Efectiva x UdM'!$H$25:$AK$32,3,0))</f>
        <v>0</v>
      </c>
      <c r="AA81" s="32">
        <f>VLOOKUP($A81,$A$4:$O$28,4,0)*(HLOOKUP(AA$80,'2.2.Brecha Efectiva x UdM'!$H$25:$AK$32,3,0))</f>
        <v>0</v>
      </c>
      <c r="AB81" s="32">
        <f>VLOOKUP($A81,$A$4:$O$28,4,0)*(HLOOKUP(AB$80,'2.2.Brecha Efectiva x UdM'!$H$25:$AK$32,3,0))</f>
        <v>0</v>
      </c>
      <c r="AC81" s="32">
        <f>VLOOKUP($A81,$A$4:$O$28,4,0)*(HLOOKUP(AC$80,'2.2.Brecha Efectiva x UdM'!$H$25:$AK$32,3,0))</f>
        <v>0</v>
      </c>
      <c r="AD81" s="32">
        <f>VLOOKUP($A81,$A$4:$O$28,4,0)*(HLOOKUP(AD$80,'2.2.Brecha Efectiva x UdM'!$H$25:$AK$32,3,0))</f>
        <v>0</v>
      </c>
      <c r="AE81" s="32">
        <f>VLOOKUP($A81,$A$4:$O$28,4,0)*(HLOOKUP(AE$80,'2.2.Brecha Efectiva x UdM'!$H$25:$AK$32,3,0))</f>
        <v>0</v>
      </c>
      <c r="AF81" s="32">
        <f>VLOOKUP($A81,$A$4:$O$28,4,0)*(HLOOKUP(AF$80,'2.2.Brecha Efectiva x UdM'!$H$25:$AK$32,3,0))</f>
        <v>0</v>
      </c>
      <c r="AG81" s="32">
        <f>VLOOKUP($A81,$A$4:$O$28,4,0)*(HLOOKUP(AG$80,'2.2.Brecha Efectiva x UdM'!$H$25:$AK$32,3,0))</f>
        <v>0</v>
      </c>
      <c r="AH81" s="62">
        <f>SUM(D81:AG81)</f>
        <v>356496015.98581177</v>
      </c>
    </row>
    <row r="82" spans="1:34" x14ac:dyDescent="0.2">
      <c r="A82" s="26" t="str">
        <f t="shared" si="37"/>
        <v>CABA</v>
      </c>
      <c r="B82" s="52" t="str">
        <f t="shared" ref="B82:B104" si="38">$E$3</f>
        <v>Nombre UdM 2</v>
      </c>
      <c r="C82" s="26" t="str">
        <f t="shared" ref="C82:C104" si="39">CONCATENATE(A82," ",B82)</f>
        <v>CABA Nombre UdM 2</v>
      </c>
      <c r="D82" s="31">
        <f>VLOOKUP($A82,$A$4:$O$28,4,0)*(HLOOKUP(D$80,'2.2.Brecha Efectiva x UdM'!$H$25:$AK$32,3,0))</f>
        <v>9016157.1259674877</v>
      </c>
      <c r="E82" s="31">
        <f>VLOOKUP($A82,$A$4:$O$28,4,0)*(HLOOKUP(E$80,'2.2.Brecha Efectiva x UdM'!$H$25:$AK$32,3,0))</f>
        <v>9671890.5175181441</v>
      </c>
      <c r="F82" s="31">
        <f>VLOOKUP($A82,$A$4:$O$28,4,0)*(HLOOKUP(F$80,'2.2.Brecha Efectiva x UdM'!$H$25:$AK$32,3,0))</f>
        <v>14619919.857866647</v>
      </c>
      <c r="G82" s="31">
        <f>VLOOKUP($A82,$A$4:$O$28,4,0)*(HLOOKUP(G$80,'2.2.Brecha Efectiva x UdM'!$H$25:$AK$32,3,0))</f>
        <v>0</v>
      </c>
      <c r="H82" s="31">
        <f>VLOOKUP($A82,$A$4:$O$28,4,0)*(HLOOKUP(H$80,'2.2.Brecha Efectiva x UdM'!$H$25:$AK$32,3,0))</f>
        <v>0</v>
      </c>
      <c r="I82" s="31">
        <f>VLOOKUP($A82,$A$4:$O$28,4,0)*(HLOOKUP(I$80,'2.2.Brecha Efectiva x UdM'!$H$25:$AK$32,3,0))</f>
        <v>0</v>
      </c>
      <c r="J82" s="31">
        <f>VLOOKUP($A82,$A$4:$O$28,4,0)*(HLOOKUP(J$80,'2.2.Brecha Efectiva x UdM'!$H$25:$AK$32,3,0))</f>
        <v>0</v>
      </c>
      <c r="K82" s="31">
        <f>VLOOKUP($A82,$A$4:$O$28,4,0)*(HLOOKUP(K$80,'2.2.Brecha Efectiva x UdM'!$H$25:$AK$32,3,0))</f>
        <v>0</v>
      </c>
      <c r="L82" s="31">
        <f>VLOOKUP($A82,$A$4:$O$28,4,0)*(HLOOKUP(L$80,'2.2.Brecha Efectiva x UdM'!$H$25:$AK$32,3,0))</f>
        <v>0</v>
      </c>
      <c r="M82" s="31">
        <f>VLOOKUP($A82,$A$4:$O$28,4,0)*(HLOOKUP(M$80,'2.2.Brecha Efectiva x UdM'!$H$25:$AK$32,3,0))</f>
        <v>0</v>
      </c>
      <c r="N82" s="31">
        <f>VLOOKUP($A82,$A$4:$O$28,4,0)*(HLOOKUP(N$80,'2.2.Brecha Efectiva x UdM'!$H$25:$AK$32,3,0))</f>
        <v>0</v>
      </c>
      <c r="O82" s="31">
        <f>VLOOKUP($A82,$A$4:$O$28,4,0)*(HLOOKUP(O$80,'2.2.Brecha Efectiva x UdM'!$H$25:$AK$32,3,0))</f>
        <v>0</v>
      </c>
      <c r="P82" s="31">
        <f>VLOOKUP($A82,$A$4:$O$28,4,0)*(HLOOKUP(P$80,'2.2.Brecha Efectiva x UdM'!$H$25:$AK$32,3,0))</f>
        <v>0</v>
      </c>
      <c r="Q82" s="31">
        <f>VLOOKUP($A82,$A$4:$O$28,4,0)*(HLOOKUP(Q$80,'2.2.Brecha Efectiva x UdM'!$H$25:$AK$32,3,0))</f>
        <v>0</v>
      </c>
      <c r="R82" s="31">
        <f>VLOOKUP($A82,$A$4:$O$28,4,0)*(HLOOKUP(R$80,'2.2.Brecha Efectiva x UdM'!$H$25:$AK$32,3,0))</f>
        <v>0</v>
      </c>
      <c r="S82" s="31">
        <f>VLOOKUP($A82,$A$4:$O$28,4,0)*(HLOOKUP(S$80,'2.2.Brecha Efectiva x UdM'!$H$25:$AK$32,3,0))</f>
        <v>0</v>
      </c>
      <c r="T82" s="31">
        <f>VLOOKUP($A82,$A$4:$O$28,4,0)*(HLOOKUP(T$80,'2.2.Brecha Efectiva x UdM'!$H$25:$AK$32,3,0))</f>
        <v>0</v>
      </c>
      <c r="U82" s="31">
        <f>VLOOKUP($A82,$A$4:$O$28,4,0)*(HLOOKUP(U$80,'2.2.Brecha Efectiva x UdM'!$H$25:$AK$32,3,0))</f>
        <v>0</v>
      </c>
      <c r="V82" s="31">
        <f>VLOOKUP($A82,$A$4:$O$28,4,0)*(HLOOKUP(V$80,'2.2.Brecha Efectiva x UdM'!$H$25:$AK$32,3,0))</f>
        <v>0</v>
      </c>
      <c r="W82" s="31">
        <f>VLOOKUP($A82,$A$4:$O$28,4,0)*(HLOOKUP(W$80,'2.2.Brecha Efectiva x UdM'!$H$25:$AK$32,3,0))</f>
        <v>0</v>
      </c>
      <c r="X82" s="31">
        <f>VLOOKUP($A82,$A$4:$O$28,4,0)*(HLOOKUP(X$80,'2.2.Brecha Efectiva x UdM'!$H$25:$AK$32,3,0))</f>
        <v>0</v>
      </c>
      <c r="Y82" s="31">
        <f>VLOOKUP($A82,$A$4:$O$28,4,0)*(HLOOKUP(Y$80,'2.2.Brecha Efectiva x UdM'!$H$25:$AK$32,3,0))</f>
        <v>0</v>
      </c>
      <c r="Z82" s="31">
        <f>VLOOKUP($A82,$A$4:$O$28,4,0)*(HLOOKUP(Z$80,'2.2.Brecha Efectiva x UdM'!$H$25:$AK$32,3,0))</f>
        <v>0</v>
      </c>
      <c r="AA82" s="31">
        <f>VLOOKUP($A82,$A$4:$O$28,4,0)*(HLOOKUP(AA$80,'2.2.Brecha Efectiva x UdM'!$H$25:$AK$32,3,0))</f>
        <v>0</v>
      </c>
      <c r="AB82" s="31">
        <f>VLOOKUP($A82,$A$4:$O$28,4,0)*(HLOOKUP(AB$80,'2.2.Brecha Efectiva x UdM'!$H$25:$AK$32,3,0))</f>
        <v>0</v>
      </c>
      <c r="AC82" s="31">
        <f>VLOOKUP($A82,$A$4:$O$28,4,0)*(HLOOKUP(AC$80,'2.2.Brecha Efectiva x UdM'!$H$25:$AK$32,3,0))</f>
        <v>0</v>
      </c>
      <c r="AD82" s="31">
        <f>VLOOKUP($A82,$A$4:$O$28,4,0)*(HLOOKUP(AD$80,'2.2.Brecha Efectiva x UdM'!$H$25:$AK$32,3,0))</f>
        <v>0</v>
      </c>
      <c r="AE82" s="31">
        <f>VLOOKUP($A82,$A$4:$O$28,4,0)*(HLOOKUP(AE$80,'2.2.Brecha Efectiva x UdM'!$H$25:$AK$32,3,0))</f>
        <v>0</v>
      </c>
      <c r="AF82" s="31">
        <f>VLOOKUP($A82,$A$4:$O$28,4,0)*(HLOOKUP(AF$80,'2.2.Brecha Efectiva x UdM'!$H$25:$AK$32,3,0))</f>
        <v>0</v>
      </c>
      <c r="AG82" s="31">
        <f>VLOOKUP($A82,$A$4:$O$28,4,0)*(HLOOKUP(AG$80,'2.2.Brecha Efectiva x UdM'!$H$25:$AK$32,3,0))</f>
        <v>0</v>
      </c>
      <c r="AH82" s="63">
        <f>SUM(D82:AG82)</f>
        <v>33307967.50135228</v>
      </c>
    </row>
    <row r="83" spans="1:34" x14ac:dyDescent="0.2">
      <c r="A83" s="25" t="str">
        <f t="shared" si="37"/>
        <v>Catamarca</v>
      </c>
      <c r="B83" s="51" t="str">
        <f t="shared" si="38"/>
        <v>Nombre UdM 2</v>
      </c>
      <c r="C83" s="25" t="str">
        <f t="shared" si="39"/>
        <v>Catamarca Nombre UdM 2</v>
      </c>
      <c r="D83" s="32">
        <f>VLOOKUP($A83,$A$4:$O$28,4,0)*(HLOOKUP(D$80,'2.2.Brecha Efectiva x UdM'!$H$25:$AK$32,3,0))</f>
        <v>15354742.916674068</v>
      </c>
      <c r="E83" s="32">
        <f>VLOOKUP($A83,$A$4:$O$28,4,0)*(HLOOKUP(E$80,'2.2.Brecha Efectiva x UdM'!$H$25:$AK$32,3,0))</f>
        <v>16471473.415984072</v>
      </c>
      <c r="F83" s="32">
        <f>VLOOKUP($A83,$A$4:$O$28,4,0)*(HLOOKUP(F$80,'2.2.Brecha Efectiva x UdM'!$H$25:$AK$32,3,0))</f>
        <v>24898092.140983164</v>
      </c>
      <c r="G83" s="32">
        <f>VLOOKUP($A83,$A$4:$O$28,4,0)*(HLOOKUP(G$80,'2.2.Brecha Efectiva x UdM'!$H$25:$AK$32,3,0))</f>
        <v>0</v>
      </c>
      <c r="H83" s="32">
        <f>VLOOKUP($A83,$A$4:$O$28,4,0)*(HLOOKUP(H$80,'2.2.Brecha Efectiva x UdM'!$H$25:$AK$32,3,0))</f>
        <v>0</v>
      </c>
      <c r="I83" s="32">
        <f>VLOOKUP($A83,$A$4:$O$28,4,0)*(HLOOKUP(I$80,'2.2.Brecha Efectiva x UdM'!$H$25:$AK$32,3,0))</f>
        <v>0</v>
      </c>
      <c r="J83" s="32">
        <f>VLOOKUP($A83,$A$4:$O$28,4,0)*(HLOOKUP(J$80,'2.2.Brecha Efectiva x UdM'!$H$25:$AK$32,3,0))</f>
        <v>0</v>
      </c>
      <c r="K83" s="32">
        <f>VLOOKUP($A83,$A$4:$O$28,4,0)*(HLOOKUP(K$80,'2.2.Brecha Efectiva x UdM'!$H$25:$AK$32,3,0))</f>
        <v>0</v>
      </c>
      <c r="L83" s="32">
        <f>VLOOKUP($A83,$A$4:$O$28,4,0)*(HLOOKUP(L$80,'2.2.Brecha Efectiva x UdM'!$H$25:$AK$32,3,0))</f>
        <v>0</v>
      </c>
      <c r="M83" s="32">
        <f>VLOOKUP($A83,$A$4:$O$28,4,0)*(HLOOKUP(M$80,'2.2.Brecha Efectiva x UdM'!$H$25:$AK$32,3,0))</f>
        <v>0</v>
      </c>
      <c r="N83" s="32">
        <f>VLOOKUP($A83,$A$4:$O$28,4,0)*(HLOOKUP(N$80,'2.2.Brecha Efectiva x UdM'!$H$25:$AK$32,3,0))</f>
        <v>0</v>
      </c>
      <c r="O83" s="32">
        <f>VLOOKUP($A83,$A$4:$O$28,4,0)*(HLOOKUP(O$80,'2.2.Brecha Efectiva x UdM'!$H$25:$AK$32,3,0))</f>
        <v>0</v>
      </c>
      <c r="P83" s="32">
        <f>VLOOKUP($A83,$A$4:$O$28,4,0)*(HLOOKUP(P$80,'2.2.Brecha Efectiva x UdM'!$H$25:$AK$32,3,0))</f>
        <v>0</v>
      </c>
      <c r="Q83" s="32">
        <f>VLOOKUP($A83,$A$4:$O$28,4,0)*(HLOOKUP(Q$80,'2.2.Brecha Efectiva x UdM'!$H$25:$AK$32,3,0))</f>
        <v>0</v>
      </c>
      <c r="R83" s="32">
        <f>VLOOKUP($A83,$A$4:$O$28,4,0)*(HLOOKUP(R$80,'2.2.Brecha Efectiva x UdM'!$H$25:$AK$32,3,0))</f>
        <v>0</v>
      </c>
      <c r="S83" s="32">
        <f>VLOOKUP($A83,$A$4:$O$28,4,0)*(HLOOKUP(S$80,'2.2.Brecha Efectiva x UdM'!$H$25:$AK$32,3,0))</f>
        <v>0</v>
      </c>
      <c r="T83" s="32">
        <f>VLOOKUP($A83,$A$4:$O$28,4,0)*(HLOOKUP(T$80,'2.2.Brecha Efectiva x UdM'!$H$25:$AK$32,3,0))</f>
        <v>0</v>
      </c>
      <c r="U83" s="32">
        <f>VLOOKUP($A83,$A$4:$O$28,4,0)*(HLOOKUP(U$80,'2.2.Brecha Efectiva x UdM'!$H$25:$AK$32,3,0))</f>
        <v>0</v>
      </c>
      <c r="V83" s="32">
        <f>VLOOKUP($A83,$A$4:$O$28,4,0)*(HLOOKUP(V$80,'2.2.Brecha Efectiva x UdM'!$H$25:$AK$32,3,0))</f>
        <v>0</v>
      </c>
      <c r="W83" s="32">
        <f>VLOOKUP($A83,$A$4:$O$28,4,0)*(HLOOKUP(W$80,'2.2.Brecha Efectiva x UdM'!$H$25:$AK$32,3,0))</f>
        <v>0</v>
      </c>
      <c r="X83" s="32">
        <f>VLOOKUP($A83,$A$4:$O$28,4,0)*(HLOOKUP(X$80,'2.2.Brecha Efectiva x UdM'!$H$25:$AK$32,3,0))</f>
        <v>0</v>
      </c>
      <c r="Y83" s="32">
        <f>VLOOKUP($A83,$A$4:$O$28,4,0)*(HLOOKUP(Y$80,'2.2.Brecha Efectiva x UdM'!$H$25:$AK$32,3,0))</f>
        <v>0</v>
      </c>
      <c r="Z83" s="32">
        <f>VLOOKUP($A83,$A$4:$O$28,4,0)*(HLOOKUP(Z$80,'2.2.Brecha Efectiva x UdM'!$H$25:$AK$32,3,0))</f>
        <v>0</v>
      </c>
      <c r="AA83" s="32">
        <f>VLOOKUP($A83,$A$4:$O$28,4,0)*(HLOOKUP(AA$80,'2.2.Brecha Efectiva x UdM'!$H$25:$AK$32,3,0))</f>
        <v>0</v>
      </c>
      <c r="AB83" s="32">
        <f>VLOOKUP($A83,$A$4:$O$28,4,0)*(HLOOKUP(AB$80,'2.2.Brecha Efectiva x UdM'!$H$25:$AK$32,3,0))</f>
        <v>0</v>
      </c>
      <c r="AC83" s="32">
        <f>VLOOKUP($A83,$A$4:$O$28,4,0)*(HLOOKUP(AC$80,'2.2.Brecha Efectiva x UdM'!$H$25:$AK$32,3,0))</f>
        <v>0</v>
      </c>
      <c r="AD83" s="32">
        <f>VLOOKUP($A83,$A$4:$O$28,4,0)*(HLOOKUP(AD$80,'2.2.Brecha Efectiva x UdM'!$H$25:$AK$32,3,0))</f>
        <v>0</v>
      </c>
      <c r="AE83" s="32">
        <f>VLOOKUP($A83,$A$4:$O$28,4,0)*(HLOOKUP(AE$80,'2.2.Brecha Efectiva x UdM'!$H$25:$AK$32,3,0))</f>
        <v>0</v>
      </c>
      <c r="AF83" s="32">
        <f>VLOOKUP($A83,$A$4:$O$28,4,0)*(HLOOKUP(AF$80,'2.2.Brecha Efectiva x UdM'!$H$25:$AK$32,3,0))</f>
        <v>0</v>
      </c>
      <c r="AG83" s="32">
        <f>VLOOKUP($A83,$A$4:$O$28,4,0)*(HLOOKUP(AG$80,'2.2.Brecha Efectiva x UdM'!$H$25:$AK$32,3,0))</f>
        <v>0</v>
      </c>
      <c r="AH83" s="62">
        <f t="shared" ref="AH83:AH105" si="40">SUM(D83:AG83)</f>
        <v>56724308.473641306</v>
      </c>
    </row>
    <row r="84" spans="1:34" x14ac:dyDescent="0.2">
      <c r="A84" s="26" t="str">
        <f t="shared" si="37"/>
        <v>Chaco</v>
      </c>
      <c r="B84" s="52" t="str">
        <f t="shared" si="38"/>
        <v>Nombre UdM 2</v>
      </c>
      <c r="C84" s="26" t="str">
        <f t="shared" si="39"/>
        <v>Chaco Nombre UdM 2</v>
      </c>
      <c r="D84" s="31">
        <f>VLOOKUP($A84,$A$4:$O$28,4,0)*(HLOOKUP(D$80,'2.2.Brecha Efectiva x UdM'!$H$25:$AK$32,3,0))</f>
        <v>22403761.430750597</v>
      </c>
      <c r="E84" s="31">
        <f>VLOOKUP($A84,$A$4:$O$28,4,0)*(HLOOKUP(E$80,'2.2.Brecha Efectiva x UdM'!$H$25:$AK$32,3,0))</f>
        <v>24033157.886605006</v>
      </c>
      <c r="F84" s="31">
        <f>VLOOKUP($A84,$A$4:$O$28,4,0)*(HLOOKUP(F$80,'2.2.Brecha Efectiva x UdM'!$H$25:$AK$32,3,0))</f>
        <v>36328248.505007103</v>
      </c>
      <c r="G84" s="31">
        <f>VLOOKUP($A84,$A$4:$O$28,4,0)*(HLOOKUP(G$80,'2.2.Brecha Efectiva x UdM'!$H$25:$AK$32,3,0))</f>
        <v>0</v>
      </c>
      <c r="H84" s="31">
        <f>VLOOKUP($A84,$A$4:$O$28,4,0)*(HLOOKUP(H$80,'2.2.Brecha Efectiva x UdM'!$H$25:$AK$32,3,0))</f>
        <v>0</v>
      </c>
      <c r="I84" s="31">
        <f>VLOOKUP($A84,$A$4:$O$28,4,0)*(HLOOKUP(I$80,'2.2.Brecha Efectiva x UdM'!$H$25:$AK$32,3,0))</f>
        <v>0</v>
      </c>
      <c r="J84" s="31">
        <f>VLOOKUP($A84,$A$4:$O$28,4,0)*(HLOOKUP(J$80,'2.2.Brecha Efectiva x UdM'!$H$25:$AK$32,3,0))</f>
        <v>0</v>
      </c>
      <c r="K84" s="31">
        <f>VLOOKUP($A84,$A$4:$O$28,4,0)*(HLOOKUP(K$80,'2.2.Brecha Efectiva x UdM'!$H$25:$AK$32,3,0))</f>
        <v>0</v>
      </c>
      <c r="L84" s="31">
        <f>VLOOKUP($A84,$A$4:$O$28,4,0)*(HLOOKUP(L$80,'2.2.Brecha Efectiva x UdM'!$H$25:$AK$32,3,0))</f>
        <v>0</v>
      </c>
      <c r="M84" s="31">
        <f>VLOOKUP($A84,$A$4:$O$28,4,0)*(HLOOKUP(M$80,'2.2.Brecha Efectiva x UdM'!$H$25:$AK$32,3,0))</f>
        <v>0</v>
      </c>
      <c r="N84" s="31">
        <f>VLOOKUP($A84,$A$4:$O$28,4,0)*(HLOOKUP(N$80,'2.2.Brecha Efectiva x UdM'!$H$25:$AK$32,3,0))</f>
        <v>0</v>
      </c>
      <c r="O84" s="31">
        <f>VLOOKUP($A84,$A$4:$O$28,4,0)*(HLOOKUP(O$80,'2.2.Brecha Efectiva x UdM'!$H$25:$AK$32,3,0))</f>
        <v>0</v>
      </c>
      <c r="P84" s="31">
        <f>VLOOKUP($A84,$A$4:$O$28,4,0)*(HLOOKUP(P$80,'2.2.Brecha Efectiva x UdM'!$H$25:$AK$32,3,0))</f>
        <v>0</v>
      </c>
      <c r="Q84" s="31">
        <f>VLOOKUP($A84,$A$4:$O$28,4,0)*(HLOOKUP(Q$80,'2.2.Brecha Efectiva x UdM'!$H$25:$AK$32,3,0))</f>
        <v>0</v>
      </c>
      <c r="R84" s="31">
        <f>VLOOKUP($A84,$A$4:$O$28,4,0)*(HLOOKUP(R$80,'2.2.Brecha Efectiva x UdM'!$H$25:$AK$32,3,0))</f>
        <v>0</v>
      </c>
      <c r="S84" s="31">
        <f>VLOOKUP($A84,$A$4:$O$28,4,0)*(HLOOKUP(S$80,'2.2.Brecha Efectiva x UdM'!$H$25:$AK$32,3,0))</f>
        <v>0</v>
      </c>
      <c r="T84" s="31">
        <f>VLOOKUP($A84,$A$4:$O$28,4,0)*(HLOOKUP(T$80,'2.2.Brecha Efectiva x UdM'!$H$25:$AK$32,3,0))</f>
        <v>0</v>
      </c>
      <c r="U84" s="31">
        <f>VLOOKUP($A84,$A$4:$O$28,4,0)*(HLOOKUP(U$80,'2.2.Brecha Efectiva x UdM'!$H$25:$AK$32,3,0))</f>
        <v>0</v>
      </c>
      <c r="V84" s="31">
        <f>VLOOKUP($A84,$A$4:$O$28,4,0)*(HLOOKUP(V$80,'2.2.Brecha Efectiva x UdM'!$H$25:$AK$32,3,0))</f>
        <v>0</v>
      </c>
      <c r="W84" s="31">
        <f>VLOOKUP($A84,$A$4:$O$28,4,0)*(HLOOKUP(W$80,'2.2.Brecha Efectiva x UdM'!$H$25:$AK$32,3,0))</f>
        <v>0</v>
      </c>
      <c r="X84" s="31">
        <f>VLOOKUP($A84,$A$4:$O$28,4,0)*(HLOOKUP(X$80,'2.2.Brecha Efectiva x UdM'!$H$25:$AK$32,3,0))</f>
        <v>0</v>
      </c>
      <c r="Y84" s="31">
        <f>VLOOKUP($A84,$A$4:$O$28,4,0)*(HLOOKUP(Y$80,'2.2.Brecha Efectiva x UdM'!$H$25:$AK$32,3,0))</f>
        <v>0</v>
      </c>
      <c r="Z84" s="31">
        <f>VLOOKUP($A84,$A$4:$O$28,4,0)*(HLOOKUP(Z$80,'2.2.Brecha Efectiva x UdM'!$H$25:$AK$32,3,0))</f>
        <v>0</v>
      </c>
      <c r="AA84" s="31">
        <f>VLOOKUP($A84,$A$4:$O$28,4,0)*(HLOOKUP(AA$80,'2.2.Brecha Efectiva x UdM'!$H$25:$AK$32,3,0))</f>
        <v>0</v>
      </c>
      <c r="AB84" s="31">
        <f>VLOOKUP($A84,$A$4:$O$28,4,0)*(HLOOKUP(AB$80,'2.2.Brecha Efectiva x UdM'!$H$25:$AK$32,3,0))</f>
        <v>0</v>
      </c>
      <c r="AC84" s="31">
        <f>VLOOKUP($A84,$A$4:$O$28,4,0)*(HLOOKUP(AC$80,'2.2.Brecha Efectiva x UdM'!$H$25:$AK$32,3,0))</f>
        <v>0</v>
      </c>
      <c r="AD84" s="31">
        <f>VLOOKUP($A84,$A$4:$O$28,4,0)*(HLOOKUP(AD$80,'2.2.Brecha Efectiva x UdM'!$H$25:$AK$32,3,0))</f>
        <v>0</v>
      </c>
      <c r="AE84" s="31">
        <f>VLOOKUP($A84,$A$4:$O$28,4,0)*(HLOOKUP(AE$80,'2.2.Brecha Efectiva x UdM'!$H$25:$AK$32,3,0))</f>
        <v>0</v>
      </c>
      <c r="AF84" s="31">
        <f>VLOOKUP($A84,$A$4:$O$28,4,0)*(HLOOKUP(AF$80,'2.2.Brecha Efectiva x UdM'!$H$25:$AK$32,3,0))</f>
        <v>0</v>
      </c>
      <c r="AG84" s="31">
        <f>VLOOKUP($A84,$A$4:$O$28,4,0)*(HLOOKUP(AG$80,'2.2.Brecha Efectiva x UdM'!$H$25:$AK$32,3,0))</f>
        <v>0</v>
      </c>
      <c r="AH84" s="63">
        <f t="shared" si="40"/>
        <v>82765167.822362706</v>
      </c>
    </row>
    <row r="85" spans="1:34" x14ac:dyDescent="0.2">
      <c r="A85" s="25" t="str">
        <f t="shared" si="37"/>
        <v>Chubut</v>
      </c>
      <c r="B85" s="51" t="str">
        <f t="shared" si="38"/>
        <v>Nombre UdM 2</v>
      </c>
      <c r="C85" s="25" t="str">
        <f t="shared" si="39"/>
        <v>Chubut Nombre UdM 2</v>
      </c>
      <c r="D85" s="32">
        <f>VLOOKUP($A85,$A$4:$O$28,4,0)*(HLOOKUP(D$80,'2.2.Brecha Efectiva x UdM'!$H$25:$AK$32,3,0))</f>
        <v>376641806.76165539</v>
      </c>
      <c r="E85" s="32">
        <f>VLOOKUP($A85,$A$4:$O$28,4,0)*(HLOOKUP(E$80,'2.2.Brecha Efectiva x UdM'!$H$25:$AK$32,3,0))</f>
        <v>404034475.93290007</v>
      </c>
      <c r="F85" s="32">
        <f>VLOOKUP($A85,$A$4:$O$28,4,0)*(HLOOKUP(F$80,'2.2.Brecha Efectiva x UdM'!$H$25:$AK$32,3,0))</f>
        <v>610733925.00206912</v>
      </c>
      <c r="G85" s="32">
        <f>VLOOKUP($A85,$A$4:$O$28,4,0)*(HLOOKUP(G$80,'2.2.Brecha Efectiva x UdM'!$H$25:$AK$32,3,0))</f>
        <v>0</v>
      </c>
      <c r="H85" s="32">
        <f>VLOOKUP($A85,$A$4:$O$28,4,0)*(HLOOKUP(H$80,'2.2.Brecha Efectiva x UdM'!$H$25:$AK$32,3,0))</f>
        <v>0</v>
      </c>
      <c r="I85" s="32">
        <f>VLOOKUP($A85,$A$4:$O$28,4,0)*(HLOOKUP(I$80,'2.2.Brecha Efectiva x UdM'!$H$25:$AK$32,3,0))</f>
        <v>0</v>
      </c>
      <c r="J85" s="32">
        <f>VLOOKUP($A85,$A$4:$O$28,4,0)*(HLOOKUP(J$80,'2.2.Brecha Efectiva x UdM'!$H$25:$AK$32,3,0))</f>
        <v>0</v>
      </c>
      <c r="K85" s="32">
        <f>VLOOKUP($A85,$A$4:$O$28,4,0)*(HLOOKUP(K$80,'2.2.Brecha Efectiva x UdM'!$H$25:$AK$32,3,0))</f>
        <v>0</v>
      </c>
      <c r="L85" s="32">
        <f>VLOOKUP($A85,$A$4:$O$28,4,0)*(HLOOKUP(L$80,'2.2.Brecha Efectiva x UdM'!$H$25:$AK$32,3,0))</f>
        <v>0</v>
      </c>
      <c r="M85" s="32">
        <f>VLOOKUP($A85,$A$4:$O$28,4,0)*(HLOOKUP(M$80,'2.2.Brecha Efectiva x UdM'!$H$25:$AK$32,3,0))</f>
        <v>0</v>
      </c>
      <c r="N85" s="32">
        <f>VLOOKUP($A85,$A$4:$O$28,4,0)*(HLOOKUP(N$80,'2.2.Brecha Efectiva x UdM'!$H$25:$AK$32,3,0))</f>
        <v>0</v>
      </c>
      <c r="O85" s="32">
        <f>VLOOKUP($A85,$A$4:$O$28,4,0)*(HLOOKUP(O$80,'2.2.Brecha Efectiva x UdM'!$H$25:$AK$32,3,0))</f>
        <v>0</v>
      </c>
      <c r="P85" s="32">
        <f>VLOOKUP($A85,$A$4:$O$28,4,0)*(HLOOKUP(P$80,'2.2.Brecha Efectiva x UdM'!$H$25:$AK$32,3,0))</f>
        <v>0</v>
      </c>
      <c r="Q85" s="32">
        <f>VLOOKUP($A85,$A$4:$O$28,4,0)*(HLOOKUP(Q$80,'2.2.Brecha Efectiva x UdM'!$H$25:$AK$32,3,0))</f>
        <v>0</v>
      </c>
      <c r="R85" s="32">
        <f>VLOOKUP($A85,$A$4:$O$28,4,0)*(HLOOKUP(R$80,'2.2.Brecha Efectiva x UdM'!$H$25:$AK$32,3,0))</f>
        <v>0</v>
      </c>
      <c r="S85" s="32">
        <f>VLOOKUP($A85,$A$4:$O$28,4,0)*(HLOOKUP(S$80,'2.2.Brecha Efectiva x UdM'!$H$25:$AK$32,3,0))</f>
        <v>0</v>
      </c>
      <c r="T85" s="32">
        <f>VLOOKUP($A85,$A$4:$O$28,4,0)*(HLOOKUP(T$80,'2.2.Brecha Efectiva x UdM'!$H$25:$AK$32,3,0))</f>
        <v>0</v>
      </c>
      <c r="U85" s="32">
        <f>VLOOKUP($A85,$A$4:$O$28,4,0)*(HLOOKUP(U$80,'2.2.Brecha Efectiva x UdM'!$H$25:$AK$32,3,0))</f>
        <v>0</v>
      </c>
      <c r="V85" s="32">
        <f>VLOOKUP($A85,$A$4:$O$28,4,0)*(HLOOKUP(V$80,'2.2.Brecha Efectiva x UdM'!$H$25:$AK$32,3,0))</f>
        <v>0</v>
      </c>
      <c r="W85" s="32">
        <f>VLOOKUP($A85,$A$4:$O$28,4,0)*(HLOOKUP(W$80,'2.2.Brecha Efectiva x UdM'!$H$25:$AK$32,3,0))</f>
        <v>0</v>
      </c>
      <c r="X85" s="32">
        <f>VLOOKUP($A85,$A$4:$O$28,4,0)*(HLOOKUP(X$80,'2.2.Brecha Efectiva x UdM'!$H$25:$AK$32,3,0))</f>
        <v>0</v>
      </c>
      <c r="Y85" s="32">
        <f>VLOOKUP($A85,$A$4:$O$28,4,0)*(HLOOKUP(Y$80,'2.2.Brecha Efectiva x UdM'!$H$25:$AK$32,3,0))</f>
        <v>0</v>
      </c>
      <c r="Z85" s="32">
        <f>VLOOKUP($A85,$A$4:$O$28,4,0)*(HLOOKUP(Z$80,'2.2.Brecha Efectiva x UdM'!$H$25:$AK$32,3,0))</f>
        <v>0</v>
      </c>
      <c r="AA85" s="32">
        <f>VLOOKUP($A85,$A$4:$O$28,4,0)*(HLOOKUP(AA$80,'2.2.Brecha Efectiva x UdM'!$H$25:$AK$32,3,0))</f>
        <v>0</v>
      </c>
      <c r="AB85" s="32">
        <f>VLOOKUP($A85,$A$4:$O$28,4,0)*(HLOOKUP(AB$80,'2.2.Brecha Efectiva x UdM'!$H$25:$AK$32,3,0))</f>
        <v>0</v>
      </c>
      <c r="AC85" s="32">
        <f>VLOOKUP($A85,$A$4:$O$28,4,0)*(HLOOKUP(AC$80,'2.2.Brecha Efectiva x UdM'!$H$25:$AK$32,3,0))</f>
        <v>0</v>
      </c>
      <c r="AD85" s="32">
        <f>VLOOKUP($A85,$A$4:$O$28,4,0)*(HLOOKUP(AD$80,'2.2.Brecha Efectiva x UdM'!$H$25:$AK$32,3,0))</f>
        <v>0</v>
      </c>
      <c r="AE85" s="32">
        <f>VLOOKUP($A85,$A$4:$O$28,4,0)*(HLOOKUP(AE$80,'2.2.Brecha Efectiva x UdM'!$H$25:$AK$32,3,0))</f>
        <v>0</v>
      </c>
      <c r="AF85" s="32">
        <f>VLOOKUP($A85,$A$4:$O$28,4,0)*(HLOOKUP(AF$80,'2.2.Brecha Efectiva x UdM'!$H$25:$AK$32,3,0))</f>
        <v>0</v>
      </c>
      <c r="AG85" s="32">
        <f>VLOOKUP($A85,$A$4:$O$28,4,0)*(HLOOKUP(AG$80,'2.2.Brecha Efectiva x UdM'!$H$25:$AK$32,3,0))</f>
        <v>0</v>
      </c>
      <c r="AH85" s="62">
        <f t="shared" si="40"/>
        <v>1391410207.6966248</v>
      </c>
    </row>
    <row r="86" spans="1:34" x14ac:dyDescent="0.2">
      <c r="A86" s="26" t="str">
        <f t="shared" si="37"/>
        <v>Córdoba</v>
      </c>
      <c r="B86" s="52" t="str">
        <f t="shared" si="38"/>
        <v>Nombre UdM 2</v>
      </c>
      <c r="C86" s="26" t="str">
        <f t="shared" si="39"/>
        <v>Córdoba Nombre UdM 2</v>
      </c>
      <c r="D86" s="31">
        <f>VLOOKUP($A86,$A$4:$O$28,4,0)*(HLOOKUP(D$80,'2.2.Brecha Efectiva x UdM'!$H$25:$AK$32,3,0))</f>
        <v>18032314.251934975</v>
      </c>
      <c r="E86" s="31">
        <f>VLOOKUP($A86,$A$4:$O$28,4,0)*(HLOOKUP(E$80,'2.2.Brecha Efectiva x UdM'!$H$25:$AK$32,3,0))</f>
        <v>19343781.035036288</v>
      </c>
      <c r="F86" s="31">
        <f>VLOOKUP($A86,$A$4:$O$28,4,0)*(HLOOKUP(F$80,'2.2.Brecha Efectiva x UdM'!$H$25:$AK$32,3,0))</f>
        <v>29239839.715733293</v>
      </c>
      <c r="G86" s="31">
        <f>VLOOKUP($A86,$A$4:$O$28,4,0)*(HLOOKUP(G$80,'2.2.Brecha Efectiva x UdM'!$H$25:$AK$32,3,0))</f>
        <v>0</v>
      </c>
      <c r="H86" s="31">
        <f>VLOOKUP($A86,$A$4:$O$28,4,0)*(HLOOKUP(H$80,'2.2.Brecha Efectiva x UdM'!$H$25:$AK$32,3,0))</f>
        <v>0</v>
      </c>
      <c r="I86" s="31">
        <f>VLOOKUP($A86,$A$4:$O$28,4,0)*(HLOOKUP(I$80,'2.2.Brecha Efectiva x UdM'!$H$25:$AK$32,3,0))</f>
        <v>0</v>
      </c>
      <c r="J86" s="31">
        <f>VLOOKUP($A86,$A$4:$O$28,4,0)*(HLOOKUP(J$80,'2.2.Brecha Efectiva x UdM'!$H$25:$AK$32,3,0))</f>
        <v>0</v>
      </c>
      <c r="K86" s="31">
        <f>VLOOKUP($A86,$A$4:$O$28,4,0)*(HLOOKUP(K$80,'2.2.Brecha Efectiva x UdM'!$H$25:$AK$32,3,0))</f>
        <v>0</v>
      </c>
      <c r="L86" s="31">
        <f>VLOOKUP($A86,$A$4:$O$28,4,0)*(HLOOKUP(L$80,'2.2.Brecha Efectiva x UdM'!$H$25:$AK$32,3,0))</f>
        <v>0</v>
      </c>
      <c r="M86" s="31">
        <f>VLOOKUP($A86,$A$4:$O$28,4,0)*(HLOOKUP(M$80,'2.2.Brecha Efectiva x UdM'!$H$25:$AK$32,3,0))</f>
        <v>0</v>
      </c>
      <c r="N86" s="31">
        <f>VLOOKUP($A86,$A$4:$O$28,4,0)*(HLOOKUP(N$80,'2.2.Brecha Efectiva x UdM'!$H$25:$AK$32,3,0))</f>
        <v>0</v>
      </c>
      <c r="O86" s="31">
        <f>VLOOKUP($A86,$A$4:$O$28,4,0)*(HLOOKUP(O$80,'2.2.Brecha Efectiva x UdM'!$H$25:$AK$32,3,0))</f>
        <v>0</v>
      </c>
      <c r="P86" s="31">
        <f>VLOOKUP($A86,$A$4:$O$28,4,0)*(HLOOKUP(P$80,'2.2.Brecha Efectiva x UdM'!$H$25:$AK$32,3,0))</f>
        <v>0</v>
      </c>
      <c r="Q86" s="31">
        <f>VLOOKUP($A86,$A$4:$O$28,4,0)*(HLOOKUP(Q$80,'2.2.Brecha Efectiva x UdM'!$H$25:$AK$32,3,0))</f>
        <v>0</v>
      </c>
      <c r="R86" s="31">
        <f>VLOOKUP($A86,$A$4:$O$28,4,0)*(HLOOKUP(R$80,'2.2.Brecha Efectiva x UdM'!$H$25:$AK$32,3,0))</f>
        <v>0</v>
      </c>
      <c r="S86" s="31">
        <f>VLOOKUP($A86,$A$4:$O$28,4,0)*(HLOOKUP(S$80,'2.2.Brecha Efectiva x UdM'!$H$25:$AK$32,3,0))</f>
        <v>0</v>
      </c>
      <c r="T86" s="31">
        <f>VLOOKUP($A86,$A$4:$O$28,4,0)*(HLOOKUP(T$80,'2.2.Brecha Efectiva x UdM'!$H$25:$AK$32,3,0))</f>
        <v>0</v>
      </c>
      <c r="U86" s="31">
        <f>VLOOKUP($A86,$A$4:$O$28,4,0)*(HLOOKUP(U$80,'2.2.Brecha Efectiva x UdM'!$H$25:$AK$32,3,0))</f>
        <v>0</v>
      </c>
      <c r="V86" s="31">
        <f>VLOOKUP($A86,$A$4:$O$28,4,0)*(HLOOKUP(V$80,'2.2.Brecha Efectiva x UdM'!$H$25:$AK$32,3,0))</f>
        <v>0</v>
      </c>
      <c r="W86" s="31">
        <f>VLOOKUP($A86,$A$4:$O$28,4,0)*(HLOOKUP(W$80,'2.2.Brecha Efectiva x UdM'!$H$25:$AK$32,3,0))</f>
        <v>0</v>
      </c>
      <c r="X86" s="31">
        <f>VLOOKUP($A86,$A$4:$O$28,4,0)*(HLOOKUP(X$80,'2.2.Brecha Efectiva x UdM'!$H$25:$AK$32,3,0))</f>
        <v>0</v>
      </c>
      <c r="Y86" s="31">
        <f>VLOOKUP($A86,$A$4:$O$28,4,0)*(HLOOKUP(Y$80,'2.2.Brecha Efectiva x UdM'!$H$25:$AK$32,3,0))</f>
        <v>0</v>
      </c>
      <c r="Z86" s="31">
        <f>VLOOKUP($A86,$A$4:$O$28,4,0)*(HLOOKUP(Z$80,'2.2.Brecha Efectiva x UdM'!$H$25:$AK$32,3,0))</f>
        <v>0</v>
      </c>
      <c r="AA86" s="31">
        <f>VLOOKUP($A86,$A$4:$O$28,4,0)*(HLOOKUP(AA$80,'2.2.Brecha Efectiva x UdM'!$H$25:$AK$32,3,0))</f>
        <v>0</v>
      </c>
      <c r="AB86" s="31">
        <f>VLOOKUP($A86,$A$4:$O$28,4,0)*(HLOOKUP(AB$80,'2.2.Brecha Efectiva x UdM'!$H$25:$AK$32,3,0))</f>
        <v>0</v>
      </c>
      <c r="AC86" s="31">
        <f>VLOOKUP($A86,$A$4:$O$28,4,0)*(HLOOKUP(AC$80,'2.2.Brecha Efectiva x UdM'!$H$25:$AK$32,3,0))</f>
        <v>0</v>
      </c>
      <c r="AD86" s="31">
        <f>VLOOKUP($A86,$A$4:$O$28,4,0)*(HLOOKUP(AD$80,'2.2.Brecha Efectiva x UdM'!$H$25:$AK$32,3,0))</f>
        <v>0</v>
      </c>
      <c r="AE86" s="31">
        <f>VLOOKUP($A86,$A$4:$O$28,4,0)*(HLOOKUP(AE$80,'2.2.Brecha Efectiva x UdM'!$H$25:$AK$32,3,0))</f>
        <v>0</v>
      </c>
      <c r="AF86" s="31">
        <f>VLOOKUP($A86,$A$4:$O$28,4,0)*(HLOOKUP(AF$80,'2.2.Brecha Efectiva x UdM'!$H$25:$AK$32,3,0))</f>
        <v>0</v>
      </c>
      <c r="AG86" s="31">
        <f>VLOOKUP($A86,$A$4:$O$28,4,0)*(HLOOKUP(AG$80,'2.2.Brecha Efectiva x UdM'!$H$25:$AK$32,3,0))</f>
        <v>0</v>
      </c>
      <c r="AH86" s="63">
        <f t="shared" si="40"/>
        <v>66615935.002704561</v>
      </c>
    </row>
    <row r="87" spans="1:34" x14ac:dyDescent="0.2">
      <c r="A87" s="25" t="str">
        <f t="shared" si="37"/>
        <v>Corrientes</v>
      </c>
      <c r="B87" s="51" t="str">
        <f t="shared" si="38"/>
        <v>Nombre UdM 2</v>
      </c>
      <c r="C87" s="25" t="str">
        <f t="shared" si="39"/>
        <v>Corrientes Nombre UdM 2</v>
      </c>
      <c r="D87" s="32">
        <f>VLOOKUP($A87,$A$4:$O$28,4,0)*(HLOOKUP(D$80,'2.2.Brecha Efectiva x UdM'!$H$25:$AK$32,3,0))</f>
        <v>96020929.427027121</v>
      </c>
      <c r="E87" s="32">
        <f>VLOOKUP($A87,$A$4:$O$28,4,0)*(HLOOKUP(E$80,'2.2.Brecha Efectiva x UdM'!$H$25:$AK$32,3,0))</f>
        <v>103004406.84798814</v>
      </c>
      <c r="F87" s="32">
        <f>VLOOKUP($A87,$A$4:$O$28,4,0)*(HLOOKUP(F$80,'2.2.Brecha Efectiva x UdM'!$H$25:$AK$32,3,0))</f>
        <v>155700291.51974961</v>
      </c>
      <c r="G87" s="32">
        <f>VLOOKUP($A87,$A$4:$O$28,4,0)*(HLOOKUP(G$80,'2.2.Brecha Efectiva x UdM'!$H$25:$AK$32,3,0))</f>
        <v>0</v>
      </c>
      <c r="H87" s="32">
        <f>VLOOKUP($A87,$A$4:$O$28,4,0)*(HLOOKUP(H$80,'2.2.Brecha Efectiva x UdM'!$H$25:$AK$32,3,0))</f>
        <v>0</v>
      </c>
      <c r="I87" s="32">
        <f>VLOOKUP($A87,$A$4:$O$28,4,0)*(HLOOKUP(I$80,'2.2.Brecha Efectiva x UdM'!$H$25:$AK$32,3,0))</f>
        <v>0</v>
      </c>
      <c r="J87" s="32">
        <f>VLOOKUP($A87,$A$4:$O$28,4,0)*(HLOOKUP(J$80,'2.2.Brecha Efectiva x UdM'!$H$25:$AK$32,3,0))</f>
        <v>0</v>
      </c>
      <c r="K87" s="32">
        <f>VLOOKUP($A87,$A$4:$O$28,4,0)*(HLOOKUP(K$80,'2.2.Brecha Efectiva x UdM'!$H$25:$AK$32,3,0))</f>
        <v>0</v>
      </c>
      <c r="L87" s="32">
        <f>VLOOKUP($A87,$A$4:$O$28,4,0)*(HLOOKUP(L$80,'2.2.Brecha Efectiva x UdM'!$H$25:$AK$32,3,0))</f>
        <v>0</v>
      </c>
      <c r="M87" s="32">
        <f>VLOOKUP($A87,$A$4:$O$28,4,0)*(HLOOKUP(M$80,'2.2.Brecha Efectiva x UdM'!$H$25:$AK$32,3,0))</f>
        <v>0</v>
      </c>
      <c r="N87" s="32">
        <f>VLOOKUP($A87,$A$4:$O$28,4,0)*(HLOOKUP(N$80,'2.2.Brecha Efectiva x UdM'!$H$25:$AK$32,3,0))</f>
        <v>0</v>
      </c>
      <c r="O87" s="32">
        <f>VLOOKUP($A87,$A$4:$O$28,4,0)*(HLOOKUP(O$80,'2.2.Brecha Efectiva x UdM'!$H$25:$AK$32,3,0))</f>
        <v>0</v>
      </c>
      <c r="P87" s="32">
        <f>VLOOKUP($A87,$A$4:$O$28,4,0)*(HLOOKUP(P$80,'2.2.Brecha Efectiva x UdM'!$H$25:$AK$32,3,0))</f>
        <v>0</v>
      </c>
      <c r="Q87" s="32">
        <f>VLOOKUP($A87,$A$4:$O$28,4,0)*(HLOOKUP(Q$80,'2.2.Brecha Efectiva x UdM'!$H$25:$AK$32,3,0))</f>
        <v>0</v>
      </c>
      <c r="R87" s="32">
        <f>VLOOKUP($A87,$A$4:$O$28,4,0)*(HLOOKUP(R$80,'2.2.Brecha Efectiva x UdM'!$H$25:$AK$32,3,0))</f>
        <v>0</v>
      </c>
      <c r="S87" s="32">
        <f>VLOOKUP($A87,$A$4:$O$28,4,0)*(HLOOKUP(S$80,'2.2.Brecha Efectiva x UdM'!$H$25:$AK$32,3,0))</f>
        <v>0</v>
      </c>
      <c r="T87" s="32">
        <f>VLOOKUP($A87,$A$4:$O$28,4,0)*(HLOOKUP(T$80,'2.2.Brecha Efectiva x UdM'!$H$25:$AK$32,3,0))</f>
        <v>0</v>
      </c>
      <c r="U87" s="32">
        <f>VLOOKUP($A87,$A$4:$O$28,4,0)*(HLOOKUP(U$80,'2.2.Brecha Efectiva x UdM'!$H$25:$AK$32,3,0))</f>
        <v>0</v>
      </c>
      <c r="V87" s="32">
        <f>VLOOKUP($A87,$A$4:$O$28,4,0)*(HLOOKUP(V$80,'2.2.Brecha Efectiva x UdM'!$H$25:$AK$32,3,0))</f>
        <v>0</v>
      </c>
      <c r="W87" s="32">
        <f>VLOOKUP($A87,$A$4:$O$28,4,0)*(HLOOKUP(W$80,'2.2.Brecha Efectiva x UdM'!$H$25:$AK$32,3,0))</f>
        <v>0</v>
      </c>
      <c r="X87" s="32">
        <f>VLOOKUP($A87,$A$4:$O$28,4,0)*(HLOOKUP(X$80,'2.2.Brecha Efectiva x UdM'!$H$25:$AK$32,3,0))</f>
        <v>0</v>
      </c>
      <c r="Y87" s="32">
        <f>VLOOKUP($A87,$A$4:$O$28,4,0)*(HLOOKUP(Y$80,'2.2.Brecha Efectiva x UdM'!$H$25:$AK$32,3,0))</f>
        <v>0</v>
      </c>
      <c r="Z87" s="32">
        <f>VLOOKUP($A87,$A$4:$O$28,4,0)*(HLOOKUP(Z$80,'2.2.Brecha Efectiva x UdM'!$H$25:$AK$32,3,0))</f>
        <v>0</v>
      </c>
      <c r="AA87" s="32">
        <f>VLOOKUP($A87,$A$4:$O$28,4,0)*(HLOOKUP(AA$80,'2.2.Brecha Efectiva x UdM'!$H$25:$AK$32,3,0))</f>
        <v>0</v>
      </c>
      <c r="AB87" s="32">
        <f>VLOOKUP($A87,$A$4:$O$28,4,0)*(HLOOKUP(AB$80,'2.2.Brecha Efectiva x UdM'!$H$25:$AK$32,3,0))</f>
        <v>0</v>
      </c>
      <c r="AC87" s="32">
        <f>VLOOKUP($A87,$A$4:$O$28,4,0)*(HLOOKUP(AC$80,'2.2.Brecha Efectiva x UdM'!$H$25:$AK$32,3,0))</f>
        <v>0</v>
      </c>
      <c r="AD87" s="32">
        <f>VLOOKUP($A87,$A$4:$O$28,4,0)*(HLOOKUP(AD$80,'2.2.Brecha Efectiva x UdM'!$H$25:$AK$32,3,0))</f>
        <v>0</v>
      </c>
      <c r="AE87" s="32">
        <f>VLOOKUP($A87,$A$4:$O$28,4,0)*(HLOOKUP(AE$80,'2.2.Brecha Efectiva x UdM'!$H$25:$AK$32,3,0))</f>
        <v>0</v>
      </c>
      <c r="AF87" s="32">
        <f>VLOOKUP($A87,$A$4:$O$28,4,0)*(HLOOKUP(AF$80,'2.2.Brecha Efectiva x UdM'!$H$25:$AK$32,3,0))</f>
        <v>0</v>
      </c>
      <c r="AG87" s="32">
        <f>VLOOKUP($A87,$A$4:$O$28,4,0)*(HLOOKUP(AG$80,'2.2.Brecha Efectiva x UdM'!$H$25:$AK$32,3,0))</f>
        <v>0</v>
      </c>
      <c r="AH87" s="62">
        <f t="shared" si="40"/>
        <v>354725627.79476488</v>
      </c>
    </row>
    <row r="88" spans="1:34" x14ac:dyDescent="0.2">
      <c r="A88" s="26" t="str">
        <f t="shared" si="37"/>
        <v>Entre Ríos</v>
      </c>
      <c r="B88" s="52" t="str">
        <f t="shared" si="38"/>
        <v>Nombre UdM 2</v>
      </c>
      <c r="C88" s="26" t="str">
        <f t="shared" si="39"/>
        <v>Entre Ríos Nombre UdM 2</v>
      </c>
      <c r="D88" s="31">
        <f>VLOOKUP($A88,$A$4:$O$28,4,0)*(HLOOKUP(D$80,'2.2.Brecha Efectiva x UdM'!$H$25:$AK$32,3,0))</f>
        <v>150473480.04834548</v>
      </c>
      <c r="E88" s="31">
        <f>VLOOKUP($A88,$A$4:$O$28,4,0)*(HLOOKUP(E$80,'2.2.Brecha Efectiva x UdM'!$H$25:$AK$32,3,0))</f>
        <v>161417220.71656767</v>
      </c>
      <c r="F88" s="31">
        <f>VLOOKUP($A88,$A$4:$O$28,4,0)*(HLOOKUP(F$80,'2.2.Brecha Efectiva x UdM'!$H$25:$AK$32,3,0))</f>
        <v>243996437.5404608</v>
      </c>
      <c r="G88" s="31">
        <f>VLOOKUP($A88,$A$4:$O$28,4,0)*(HLOOKUP(G$80,'2.2.Brecha Efectiva x UdM'!$H$25:$AK$32,3,0))</f>
        <v>0</v>
      </c>
      <c r="H88" s="31">
        <f>VLOOKUP($A88,$A$4:$O$28,4,0)*(HLOOKUP(H$80,'2.2.Brecha Efectiva x UdM'!$H$25:$AK$32,3,0))</f>
        <v>0</v>
      </c>
      <c r="I88" s="31">
        <f>VLOOKUP($A88,$A$4:$O$28,4,0)*(HLOOKUP(I$80,'2.2.Brecha Efectiva x UdM'!$H$25:$AK$32,3,0))</f>
        <v>0</v>
      </c>
      <c r="J88" s="31">
        <f>VLOOKUP($A88,$A$4:$O$28,4,0)*(HLOOKUP(J$80,'2.2.Brecha Efectiva x UdM'!$H$25:$AK$32,3,0))</f>
        <v>0</v>
      </c>
      <c r="K88" s="31">
        <f>VLOOKUP($A88,$A$4:$O$28,4,0)*(HLOOKUP(K$80,'2.2.Brecha Efectiva x UdM'!$H$25:$AK$32,3,0))</f>
        <v>0</v>
      </c>
      <c r="L88" s="31">
        <f>VLOOKUP($A88,$A$4:$O$28,4,0)*(HLOOKUP(L$80,'2.2.Brecha Efectiva x UdM'!$H$25:$AK$32,3,0))</f>
        <v>0</v>
      </c>
      <c r="M88" s="31">
        <f>VLOOKUP($A88,$A$4:$O$28,4,0)*(HLOOKUP(M$80,'2.2.Brecha Efectiva x UdM'!$H$25:$AK$32,3,0))</f>
        <v>0</v>
      </c>
      <c r="N88" s="31">
        <f>VLOOKUP($A88,$A$4:$O$28,4,0)*(HLOOKUP(N$80,'2.2.Brecha Efectiva x UdM'!$H$25:$AK$32,3,0))</f>
        <v>0</v>
      </c>
      <c r="O88" s="31">
        <f>VLOOKUP($A88,$A$4:$O$28,4,0)*(HLOOKUP(O$80,'2.2.Brecha Efectiva x UdM'!$H$25:$AK$32,3,0))</f>
        <v>0</v>
      </c>
      <c r="P88" s="31">
        <f>VLOOKUP($A88,$A$4:$O$28,4,0)*(HLOOKUP(P$80,'2.2.Brecha Efectiva x UdM'!$H$25:$AK$32,3,0))</f>
        <v>0</v>
      </c>
      <c r="Q88" s="31">
        <f>VLOOKUP($A88,$A$4:$O$28,4,0)*(HLOOKUP(Q$80,'2.2.Brecha Efectiva x UdM'!$H$25:$AK$32,3,0))</f>
        <v>0</v>
      </c>
      <c r="R88" s="31">
        <f>VLOOKUP($A88,$A$4:$O$28,4,0)*(HLOOKUP(R$80,'2.2.Brecha Efectiva x UdM'!$H$25:$AK$32,3,0))</f>
        <v>0</v>
      </c>
      <c r="S88" s="31">
        <f>VLOOKUP($A88,$A$4:$O$28,4,0)*(HLOOKUP(S$80,'2.2.Brecha Efectiva x UdM'!$H$25:$AK$32,3,0))</f>
        <v>0</v>
      </c>
      <c r="T88" s="31">
        <f>VLOOKUP($A88,$A$4:$O$28,4,0)*(HLOOKUP(T$80,'2.2.Brecha Efectiva x UdM'!$H$25:$AK$32,3,0))</f>
        <v>0</v>
      </c>
      <c r="U88" s="31">
        <f>VLOOKUP($A88,$A$4:$O$28,4,0)*(HLOOKUP(U$80,'2.2.Brecha Efectiva x UdM'!$H$25:$AK$32,3,0))</f>
        <v>0</v>
      </c>
      <c r="V88" s="31">
        <f>VLOOKUP($A88,$A$4:$O$28,4,0)*(HLOOKUP(V$80,'2.2.Brecha Efectiva x UdM'!$H$25:$AK$32,3,0))</f>
        <v>0</v>
      </c>
      <c r="W88" s="31">
        <f>VLOOKUP($A88,$A$4:$O$28,4,0)*(HLOOKUP(W$80,'2.2.Brecha Efectiva x UdM'!$H$25:$AK$32,3,0))</f>
        <v>0</v>
      </c>
      <c r="X88" s="31">
        <f>VLOOKUP($A88,$A$4:$O$28,4,0)*(HLOOKUP(X$80,'2.2.Brecha Efectiva x UdM'!$H$25:$AK$32,3,0))</f>
        <v>0</v>
      </c>
      <c r="Y88" s="31">
        <f>VLOOKUP($A88,$A$4:$O$28,4,0)*(HLOOKUP(Y$80,'2.2.Brecha Efectiva x UdM'!$H$25:$AK$32,3,0))</f>
        <v>0</v>
      </c>
      <c r="Z88" s="31">
        <f>VLOOKUP($A88,$A$4:$O$28,4,0)*(HLOOKUP(Z$80,'2.2.Brecha Efectiva x UdM'!$H$25:$AK$32,3,0))</f>
        <v>0</v>
      </c>
      <c r="AA88" s="31">
        <f>VLOOKUP($A88,$A$4:$O$28,4,0)*(HLOOKUP(AA$80,'2.2.Brecha Efectiva x UdM'!$H$25:$AK$32,3,0))</f>
        <v>0</v>
      </c>
      <c r="AB88" s="31">
        <f>VLOOKUP($A88,$A$4:$O$28,4,0)*(HLOOKUP(AB$80,'2.2.Brecha Efectiva x UdM'!$H$25:$AK$32,3,0))</f>
        <v>0</v>
      </c>
      <c r="AC88" s="31">
        <f>VLOOKUP($A88,$A$4:$O$28,4,0)*(HLOOKUP(AC$80,'2.2.Brecha Efectiva x UdM'!$H$25:$AK$32,3,0))</f>
        <v>0</v>
      </c>
      <c r="AD88" s="31">
        <f>VLOOKUP($A88,$A$4:$O$28,4,0)*(HLOOKUP(AD$80,'2.2.Brecha Efectiva x UdM'!$H$25:$AK$32,3,0))</f>
        <v>0</v>
      </c>
      <c r="AE88" s="31">
        <f>VLOOKUP($A88,$A$4:$O$28,4,0)*(HLOOKUP(AE$80,'2.2.Brecha Efectiva x UdM'!$H$25:$AK$32,3,0))</f>
        <v>0</v>
      </c>
      <c r="AF88" s="31">
        <f>VLOOKUP($A88,$A$4:$O$28,4,0)*(HLOOKUP(AF$80,'2.2.Brecha Efectiva x UdM'!$H$25:$AK$32,3,0))</f>
        <v>0</v>
      </c>
      <c r="AG88" s="31">
        <f>VLOOKUP($A88,$A$4:$O$28,4,0)*(HLOOKUP(AG$80,'2.2.Brecha Efectiva x UdM'!$H$25:$AK$32,3,0))</f>
        <v>0</v>
      </c>
      <c r="AH88" s="63">
        <f t="shared" si="40"/>
        <v>555887138.30537391</v>
      </c>
    </row>
    <row r="89" spans="1:34" x14ac:dyDescent="0.2">
      <c r="A89" s="25" t="str">
        <f t="shared" si="37"/>
        <v>Formosa</v>
      </c>
      <c r="B89" s="51" t="str">
        <f t="shared" si="38"/>
        <v>Nombre UdM 2</v>
      </c>
      <c r="C89" s="25" t="str">
        <f t="shared" si="39"/>
        <v>Formosa Nombre UdM 2</v>
      </c>
      <c r="D89" s="32">
        <f>VLOOKUP($A89,$A$4:$O$28,4,0)*(HLOOKUP(D$80,'2.2.Brecha Efectiva x UdM'!$H$25:$AK$32,3,0))</f>
        <v>93757755.242606103</v>
      </c>
      <c r="E89" s="32">
        <f>VLOOKUP($A89,$A$4:$O$28,4,0)*(HLOOKUP(E$80,'2.2.Brecha Efectiva x UdM'!$H$25:$AK$32,3,0))</f>
        <v>100576634.94605996</v>
      </c>
      <c r="F89" s="32">
        <f>VLOOKUP($A89,$A$4:$O$28,4,0)*(HLOOKUP(F$80,'2.2.Brecha Efectiva x UdM'!$H$25:$AK$32,3,0))</f>
        <v>152030499.08619356</v>
      </c>
      <c r="G89" s="32">
        <f>VLOOKUP($A89,$A$4:$O$28,4,0)*(HLOOKUP(G$80,'2.2.Brecha Efectiva x UdM'!$H$25:$AK$32,3,0))</f>
        <v>0</v>
      </c>
      <c r="H89" s="32">
        <f>VLOOKUP($A89,$A$4:$O$28,4,0)*(HLOOKUP(H$80,'2.2.Brecha Efectiva x UdM'!$H$25:$AK$32,3,0))</f>
        <v>0</v>
      </c>
      <c r="I89" s="32">
        <f>VLOOKUP($A89,$A$4:$O$28,4,0)*(HLOOKUP(I$80,'2.2.Brecha Efectiva x UdM'!$H$25:$AK$32,3,0))</f>
        <v>0</v>
      </c>
      <c r="J89" s="32">
        <f>VLOOKUP($A89,$A$4:$O$28,4,0)*(HLOOKUP(J$80,'2.2.Brecha Efectiva x UdM'!$H$25:$AK$32,3,0))</f>
        <v>0</v>
      </c>
      <c r="K89" s="32">
        <f>VLOOKUP($A89,$A$4:$O$28,4,0)*(HLOOKUP(K$80,'2.2.Brecha Efectiva x UdM'!$H$25:$AK$32,3,0))</f>
        <v>0</v>
      </c>
      <c r="L89" s="32">
        <f>VLOOKUP($A89,$A$4:$O$28,4,0)*(HLOOKUP(L$80,'2.2.Brecha Efectiva x UdM'!$H$25:$AK$32,3,0))</f>
        <v>0</v>
      </c>
      <c r="M89" s="32">
        <f>VLOOKUP($A89,$A$4:$O$28,4,0)*(HLOOKUP(M$80,'2.2.Brecha Efectiva x UdM'!$H$25:$AK$32,3,0))</f>
        <v>0</v>
      </c>
      <c r="N89" s="32">
        <f>VLOOKUP($A89,$A$4:$O$28,4,0)*(HLOOKUP(N$80,'2.2.Brecha Efectiva x UdM'!$H$25:$AK$32,3,0))</f>
        <v>0</v>
      </c>
      <c r="O89" s="32">
        <f>VLOOKUP($A89,$A$4:$O$28,4,0)*(HLOOKUP(O$80,'2.2.Brecha Efectiva x UdM'!$H$25:$AK$32,3,0))</f>
        <v>0</v>
      </c>
      <c r="P89" s="32">
        <f>VLOOKUP($A89,$A$4:$O$28,4,0)*(HLOOKUP(P$80,'2.2.Brecha Efectiva x UdM'!$H$25:$AK$32,3,0))</f>
        <v>0</v>
      </c>
      <c r="Q89" s="32">
        <f>VLOOKUP($A89,$A$4:$O$28,4,0)*(HLOOKUP(Q$80,'2.2.Brecha Efectiva x UdM'!$H$25:$AK$32,3,0))</f>
        <v>0</v>
      </c>
      <c r="R89" s="32">
        <f>VLOOKUP($A89,$A$4:$O$28,4,0)*(HLOOKUP(R$80,'2.2.Brecha Efectiva x UdM'!$H$25:$AK$32,3,0))</f>
        <v>0</v>
      </c>
      <c r="S89" s="32">
        <f>VLOOKUP($A89,$A$4:$O$28,4,0)*(HLOOKUP(S$80,'2.2.Brecha Efectiva x UdM'!$H$25:$AK$32,3,0))</f>
        <v>0</v>
      </c>
      <c r="T89" s="32">
        <f>VLOOKUP($A89,$A$4:$O$28,4,0)*(HLOOKUP(T$80,'2.2.Brecha Efectiva x UdM'!$H$25:$AK$32,3,0))</f>
        <v>0</v>
      </c>
      <c r="U89" s="32">
        <f>VLOOKUP($A89,$A$4:$O$28,4,0)*(HLOOKUP(U$80,'2.2.Brecha Efectiva x UdM'!$H$25:$AK$32,3,0))</f>
        <v>0</v>
      </c>
      <c r="V89" s="32">
        <f>VLOOKUP($A89,$A$4:$O$28,4,0)*(HLOOKUP(V$80,'2.2.Brecha Efectiva x UdM'!$H$25:$AK$32,3,0))</f>
        <v>0</v>
      </c>
      <c r="W89" s="32">
        <f>VLOOKUP($A89,$A$4:$O$28,4,0)*(HLOOKUP(W$80,'2.2.Brecha Efectiva x UdM'!$H$25:$AK$32,3,0))</f>
        <v>0</v>
      </c>
      <c r="X89" s="32">
        <f>VLOOKUP($A89,$A$4:$O$28,4,0)*(HLOOKUP(X$80,'2.2.Brecha Efectiva x UdM'!$H$25:$AK$32,3,0))</f>
        <v>0</v>
      </c>
      <c r="Y89" s="32">
        <f>VLOOKUP($A89,$A$4:$O$28,4,0)*(HLOOKUP(Y$80,'2.2.Brecha Efectiva x UdM'!$H$25:$AK$32,3,0))</f>
        <v>0</v>
      </c>
      <c r="Z89" s="32">
        <f>VLOOKUP($A89,$A$4:$O$28,4,0)*(HLOOKUP(Z$80,'2.2.Brecha Efectiva x UdM'!$H$25:$AK$32,3,0))</f>
        <v>0</v>
      </c>
      <c r="AA89" s="32">
        <f>VLOOKUP($A89,$A$4:$O$28,4,0)*(HLOOKUP(AA$80,'2.2.Brecha Efectiva x UdM'!$H$25:$AK$32,3,0))</f>
        <v>0</v>
      </c>
      <c r="AB89" s="32">
        <f>VLOOKUP($A89,$A$4:$O$28,4,0)*(HLOOKUP(AB$80,'2.2.Brecha Efectiva x UdM'!$H$25:$AK$32,3,0))</f>
        <v>0</v>
      </c>
      <c r="AC89" s="32">
        <f>VLOOKUP($A89,$A$4:$O$28,4,0)*(HLOOKUP(AC$80,'2.2.Brecha Efectiva x UdM'!$H$25:$AK$32,3,0))</f>
        <v>0</v>
      </c>
      <c r="AD89" s="32">
        <f>VLOOKUP($A89,$A$4:$O$28,4,0)*(HLOOKUP(AD$80,'2.2.Brecha Efectiva x UdM'!$H$25:$AK$32,3,0))</f>
        <v>0</v>
      </c>
      <c r="AE89" s="32">
        <f>VLOOKUP($A89,$A$4:$O$28,4,0)*(HLOOKUP(AE$80,'2.2.Brecha Efectiva x UdM'!$H$25:$AK$32,3,0))</f>
        <v>0</v>
      </c>
      <c r="AF89" s="32">
        <f>VLOOKUP($A89,$A$4:$O$28,4,0)*(HLOOKUP(AF$80,'2.2.Brecha Efectiva x UdM'!$H$25:$AK$32,3,0))</f>
        <v>0</v>
      </c>
      <c r="AG89" s="32">
        <f>VLOOKUP($A89,$A$4:$O$28,4,0)*(HLOOKUP(AG$80,'2.2.Brecha Efectiva x UdM'!$H$25:$AK$32,3,0))</f>
        <v>0</v>
      </c>
      <c r="AH89" s="62">
        <f t="shared" si="40"/>
        <v>346364889.27485961</v>
      </c>
    </row>
    <row r="90" spans="1:34" x14ac:dyDescent="0.2">
      <c r="A90" s="26" t="str">
        <f t="shared" si="37"/>
        <v>Jujuy</v>
      </c>
      <c r="B90" s="52" t="str">
        <f t="shared" si="38"/>
        <v>Nombre UdM 2</v>
      </c>
      <c r="C90" s="26" t="str">
        <f t="shared" si="39"/>
        <v>Jujuy Nombre UdM 2</v>
      </c>
      <c r="D90" s="31">
        <f>VLOOKUP($A90,$A$4:$O$28,4,0)*(HLOOKUP(D$80,'2.2.Brecha Efectiva x UdM'!$H$25:$AK$32,3,0))</f>
        <v>65998335.909865677</v>
      </c>
      <c r="E90" s="31">
        <f>VLOOKUP($A90,$A$4:$O$28,4,0)*(HLOOKUP(E$80,'2.2.Brecha Efectiva x UdM'!$H$25:$AK$32,3,0))</f>
        <v>70798309.117767364</v>
      </c>
      <c r="F90" s="31">
        <f>VLOOKUP($A90,$A$4:$O$28,4,0)*(HLOOKUP(F$80,'2.2.Brecha Efectiva x UdM'!$H$25:$AK$32,3,0))</f>
        <v>107017919.97122723</v>
      </c>
      <c r="G90" s="31">
        <f>VLOOKUP($A90,$A$4:$O$28,4,0)*(HLOOKUP(G$80,'2.2.Brecha Efectiva x UdM'!$H$25:$AK$32,3,0))</f>
        <v>0</v>
      </c>
      <c r="H90" s="31">
        <f>VLOOKUP($A90,$A$4:$O$28,4,0)*(HLOOKUP(H$80,'2.2.Brecha Efectiva x UdM'!$H$25:$AK$32,3,0))</f>
        <v>0</v>
      </c>
      <c r="I90" s="31">
        <f>VLOOKUP($A90,$A$4:$O$28,4,0)*(HLOOKUP(I$80,'2.2.Brecha Efectiva x UdM'!$H$25:$AK$32,3,0))</f>
        <v>0</v>
      </c>
      <c r="J90" s="31">
        <f>VLOOKUP($A90,$A$4:$O$28,4,0)*(HLOOKUP(J$80,'2.2.Brecha Efectiva x UdM'!$H$25:$AK$32,3,0))</f>
        <v>0</v>
      </c>
      <c r="K90" s="31">
        <f>VLOOKUP($A90,$A$4:$O$28,4,0)*(HLOOKUP(K$80,'2.2.Brecha Efectiva x UdM'!$H$25:$AK$32,3,0))</f>
        <v>0</v>
      </c>
      <c r="L90" s="31">
        <f>VLOOKUP($A90,$A$4:$O$28,4,0)*(HLOOKUP(L$80,'2.2.Brecha Efectiva x UdM'!$H$25:$AK$32,3,0))</f>
        <v>0</v>
      </c>
      <c r="M90" s="31">
        <f>VLOOKUP($A90,$A$4:$O$28,4,0)*(HLOOKUP(M$80,'2.2.Brecha Efectiva x UdM'!$H$25:$AK$32,3,0))</f>
        <v>0</v>
      </c>
      <c r="N90" s="31">
        <f>VLOOKUP($A90,$A$4:$O$28,4,0)*(HLOOKUP(N$80,'2.2.Brecha Efectiva x UdM'!$H$25:$AK$32,3,0))</f>
        <v>0</v>
      </c>
      <c r="O90" s="31">
        <f>VLOOKUP($A90,$A$4:$O$28,4,0)*(HLOOKUP(O$80,'2.2.Brecha Efectiva x UdM'!$H$25:$AK$32,3,0))</f>
        <v>0</v>
      </c>
      <c r="P90" s="31">
        <f>VLOOKUP($A90,$A$4:$O$28,4,0)*(HLOOKUP(P$80,'2.2.Brecha Efectiva x UdM'!$H$25:$AK$32,3,0))</f>
        <v>0</v>
      </c>
      <c r="Q90" s="31">
        <f>VLOOKUP($A90,$A$4:$O$28,4,0)*(HLOOKUP(Q$80,'2.2.Brecha Efectiva x UdM'!$H$25:$AK$32,3,0))</f>
        <v>0</v>
      </c>
      <c r="R90" s="31">
        <f>VLOOKUP($A90,$A$4:$O$28,4,0)*(HLOOKUP(R$80,'2.2.Brecha Efectiva x UdM'!$H$25:$AK$32,3,0))</f>
        <v>0</v>
      </c>
      <c r="S90" s="31">
        <f>VLOOKUP($A90,$A$4:$O$28,4,0)*(HLOOKUP(S$80,'2.2.Brecha Efectiva x UdM'!$H$25:$AK$32,3,0))</f>
        <v>0</v>
      </c>
      <c r="T90" s="31">
        <f>VLOOKUP($A90,$A$4:$O$28,4,0)*(HLOOKUP(T$80,'2.2.Brecha Efectiva x UdM'!$H$25:$AK$32,3,0))</f>
        <v>0</v>
      </c>
      <c r="U90" s="31">
        <f>VLOOKUP($A90,$A$4:$O$28,4,0)*(HLOOKUP(U$80,'2.2.Brecha Efectiva x UdM'!$H$25:$AK$32,3,0))</f>
        <v>0</v>
      </c>
      <c r="V90" s="31">
        <f>VLOOKUP($A90,$A$4:$O$28,4,0)*(HLOOKUP(V$80,'2.2.Brecha Efectiva x UdM'!$H$25:$AK$32,3,0))</f>
        <v>0</v>
      </c>
      <c r="W90" s="31">
        <f>VLOOKUP($A90,$A$4:$O$28,4,0)*(HLOOKUP(W$80,'2.2.Brecha Efectiva x UdM'!$H$25:$AK$32,3,0))</f>
        <v>0</v>
      </c>
      <c r="X90" s="31">
        <f>VLOOKUP($A90,$A$4:$O$28,4,0)*(HLOOKUP(X$80,'2.2.Brecha Efectiva x UdM'!$H$25:$AK$32,3,0))</f>
        <v>0</v>
      </c>
      <c r="Y90" s="31">
        <f>VLOOKUP($A90,$A$4:$O$28,4,0)*(HLOOKUP(Y$80,'2.2.Brecha Efectiva x UdM'!$H$25:$AK$32,3,0))</f>
        <v>0</v>
      </c>
      <c r="Z90" s="31">
        <f>VLOOKUP($A90,$A$4:$O$28,4,0)*(HLOOKUP(Z$80,'2.2.Brecha Efectiva x UdM'!$H$25:$AK$32,3,0))</f>
        <v>0</v>
      </c>
      <c r="AA90" s="31">
        <f>VLOOKUP($A90,$A$4:$O$28,4,0)*(HLOOKUP(AA$80,'2.2.Brecha Efectiva x UdM'!$H$25:$AK$32,3,0))</f>
        <v>0</v>
      </c>
      <c r="AB90" s="31">
        <f>VLOOKUP($A90,$A$4:$O$28,4,0)*(HLOOKUP(AB$80,'2.2.Brecha Efectiva x UdM'!$H$25:$AK$32,3,0))</f>
        <v>0</v>
      </c>
      <c r="AC90" s="31">
        <f>VLOOKUP($A90,$A$4:$O$28,4,0)*(HLOOKUP(AC$80,'2.2.Brecha Efectiva x UdM'!$H$25:$AK$32,3,0))</f>
        <v>0</v>
      </c>
      <c r="AD90" s="31">
        <f>VLOOKUP($A90,$A$4:$O$28,4,0)*(HLOOKUP(AD$80,'2.2.Brecha Efectiva x UdM'!$H$25:$AK$32,3,0))</f>
        <v>0</v>
      </c>
      <c r="AE90" s="31">
        <f>VLOOKUP($A90,$A$4:$O$28,4,0)*(HLOOKUP(AE$80,'2.2.Brecha Efectiva x UdM'!$H$25:$AK$32,3,0))</f>
        <v>0</v>
      </c>
      <c r="AF90" s="31">
        <f>VLOOKUP($A90,$A$4:$O$28,4,0)*(HLOOKUP(AF$80,'2.2.Brecha Efectiva x UdM'!$H$25:$AK$32,3,0))</f>
        <v>0</v>
      </c>
      <c r="AG90" s="31">
        <f>VLOOKUP($A90,$A$4:$O$28,4,0)*(HLOOKUP(AG$80,'2.2.Brecha Efectiva x UdM'!$H$25:$AK$32,3,0))</f>
        <v>0</v>
      </c>
      <c r="AH90" s="63">
        <f t="shared" si="40"/>
        <v>243814564.99886027</v>
      </c>
    </row>
    <row r="91" spans="1:34" x14ac:dyDescent="0.2">
      <c r="A91" s="25" t="str">
        <f t="shared" si="37"/>
        <v>La Pampa</v>
      </c>
      <c r="B91" s="51" t="str">
        <f t="shared" si="38"/>
        <v>Nombre UdM 2</v>
      </c>
      <c r="C91" s="25" t="str">
        <f t="shared" si="39"/>
        <v>La Pampa Nombre UdM 2</v>
      </c>
      <c r="D91" s="32">
        <f>VLOOKUP($A91,$A$4:$O$28,4,0)*(HLOOKUP(D$80,'2.2.Brecha Efectiva x UdM'!$H$25:$AK$32,3,0))</f>
        <v>9016157.1259674877</v>
      </c>
      <c r="E91" s="32">
        <f>VLOOKUP($A91,$A$4:$O$28,4,0)*(HLOOKUP(E$80,'2.2.Brecha Efectiva x UdM'!$H$25:$AK$32,3,0))</f>
        <v>9671890.5175181441</v>
      </c>
      <c r="F91" s="32">
        <f>VLOOKUP($A91,$A$4:$O$28,4,0)*(HLOOKUP(F$80,'2.2.Brecha Efectiva x UdM'!$H$25:$AK$32,3,0))</f>
        <v>14619919.857866647</v>
      </c>
      <c r="G91" s="32">
        <f>VLOOKUP($A91,$A$4:$O$28,4,0)*(HLOOKUP(G$80,'2.2.Brecha Efectiva x UdM'!$H$25:$AK$32,3,0))</f>
        <v>0</v>
      </c>
      <c r="H91" s="32">
        <f>VLOOKUP($A91,$A$4:$O$28,4,0)*(HLOOKUP(H$80,'2.2.Brecha Efectiva x UdM'!$H$25:$AK$32,3,0))</f>
        <v>0</v>
      </c>
      <c r="I91" s="32">
        <f>VLOOKUP($A91,$A$4:$O$28,4,0)*(HLOOKUP(I$80,'2.2.Brecha Efectiva x UdM'!$H$25:$AK$32,3,0))</f>
        <v>0</v>
      </c>
      <c r="J91" s="32">
        <f>VLOOKUP($A91,$A$4:$O$28,4,0)*(HLOOKUP(J$80,'2.2.Brecha Efectiva x UdM'!$H$25:$AK$32,3,0))</f>
        <v>0</v>
      </c>
      <c r="K91" s="32">
        <f>VLOOKUP($A91,$A$4:$O$28,4,0)*(HLOOKUP(K$80,'2.2.Brecha Efectiva x UdM'!$H$25:$AK$32,3,0))</f>
        <v>0</v>
      </c>
      <c r="L91" s="32">
        <f>VLOOKUP($A91,$A$4:$O$28,4,0)*(HLOOKUP(L$80,'2.2.Brecha Efectiva x UdM'!$H$25:$AK$32,3,0))</f>
        <v>0</v>
      </c>
      <c r="M91" s="32">
        <f>VLOOKUP($A91,$A$4:$O$28,4,0)*(HLOOKUP(M$80,'2.2.Brecha Efectiva x UdM'!$H$25:$AK$32,3,0))</f>
        <v>0</v>
      </c>
      <c r="N91" s="32">
        <f>VLOOKUP($A91,$A$4:$O$28,4,0)*(HLOOKUP(N$80,'2.2.Brecha Efectiva x UdM'!$H$25:$AK$32,3,0))</f>
        <v>0</v>
      </c>
      <c r="O91" s="32">
        <f>VLOOKUP($A91,$A$4:$O$28,4,0)*(HLOOKUP(O$80,'2.2.Brecha Efectiva x UdM'!$H$25:$AK$32,3,0))</f>
        <v>0</v>
      </c>
      <c r="P91" s="32">
        <f>VLOOKUP($A91,$A$4:$O$28,4,0)*(HLOOKUP(P$80,'2.2.Brecha Efectiva x UdM'!$H$25:$AK$32,3,0))</f>
        <v>0</v>
      </c>
      <c r="Q91" s="32">
        <f>VLOOKUP($A91,$A$4:$O$28,4,0)*(HLOOKUP(Q$80,'2.2.Brecha Efectiva x UdM'!$H$25:$AK$32,3,0))</f>
        <v>0</v>
      </c>
      <c r="R91" s="32">
        <f>VLOOKUP($A91,$A$4:$O$28,4,0)*(HLOOKUP(R$80,'2.2.Brecha Efectiva x UdM'!$H$25:$AK$32,3,0))</f>
        <v>0</v>
      </c>
      <c r="S91" s="32">
        <f>VLOOKUP($A91,$A$4:$O$28,4,0)*(HLOOKUP(S$80,'2.2.Brecha Efectiva x UdM'!$H$25:$AK$32,3,0))</f>
        <v>0</v>
      </c>
      <c r="T91" s="32">
        <f>VLOOKUP($A91,$A$4:$O$28,4,0)*(HLOOKUP(T$80,'2.2.Brecha Efectiva x UdM'!$H$25:$AK$32,3,0))</f>
        <v>0</v>
      </c>
      <c r="U91" s="32">
        <f>VLOOKUP($A91,$A$4:$O$28,4,0)*(HLOOKUP(U$80,'2.2.Brecha Efectiva x UdM'!$H$25:$AK$32,3,0))</f>
        <v>0</v>
      </c>
      <c r="V91" s="32">
        <f>VLOOKUP($A91,$A$4:$O$28,4,0)*(HLOOKUP(V$80,'2.2.Brecha Efectiva x UdM'!$H$25:$AK$32,3,0))</f>
        <v>0</v>
      </c>
      <c r="W91" s="32">
        <f>VLOOKUP($A91,$A$4:$O$28,4,0)*(HLOOKUP(W$80,'2.2.Brecha Efectiva x UdM'!$H$25:$AK$32,3,0))</f>
        <v>0</v>
      </c>
      <c r="X91" s="32">
        <f>VLOOKUP($A91,$A$4:$O$28,4,0)*(HLOOKUP(X$80,'2.2.Brecha Efectiva x UdM'!$H$25:$AK$32,3,0))</f>
        <v>0</v>
      </c>
      <c r="Y91" s="32">
        <f>VLOOKUP($A91,$A$4:$O$28,4,0)*(HLOOKUP(Y$80,'2.2.Brecha Efectiva x UdM'!$H$25:$AK$32,3,0))</f>
        <v>0</v>
      </c>
      <c r="Z91" s="32">
        <f>VLOOKUP($A91,$A$4:$O$28,4,0)*(HLOOKUP(Z$80,'2.2.Brecha Efectiva x UdM'!$H$25:$AK$32,3,0))</f>
        <v>0</v>
      </c>
      <c r="AA91" s="32">
        <f>VLOOKUP($A91,$A$4:$O$28,4,0)*(HLOOKUP(AA$80,'2.2.Brecha Efectiva x UdM'!$H$25:$AK$32,3,0))</f>
        <v>0</v>
      </c>
      <c r="AB91" s="32">
        <f>VLOOKUP($A91,$A$4:$O$28,4,0)*(HLOOKUP(AB$80,'2.2.Brecha Efectiva x UdM'!$H$25:$AK$32,3,0))</f>
        <v>0</v>
      </c>
      <c r="AC91" s="32">
        <f>VLOOKUP($A91,$A$4:$O$28,4,0)*(HLOOKUP(AC$80,'2.2.Brecha Efectiva x UdM'!$H$25:$AK$32,3,0))</f>
        <v>0</v>
      </c>
      <c r="AD91" s="32">
        <f>VLOOKUP($A91,$A$4:$O$28,4,0)*(HLOOKUP(AD$80,'2.2.Brecha Efectiva x UdM'!$H$25:$AK$32,3,0))</f>
        <v>0</v>
      </c>
      <c r="AE91" s="32">
        <f>VLOOKUP($A91,$A$4:$O$28,4,0)*(HLOOKUP(AE$80,'2.2.Brecha Efectiva x UdM'!$H$25:$AK$32,3,0))</f>
        <v>0</v>
      </c>
      <c r="AF91" s="32">
        <f>VLOOKUP($A91,$A$4:$O$28,4,0)*(HLOOKUP(AF$80,'2.2.Brecha Efectiva x UdM'!$H$25:$AK$32,3,0))</f>
        <v>0</v>
      </c>
      <c r="AG91" s="32">
        <f>VLOOKUP($A91,$A$4:$O$28,4,0)*(HLOOKUP(AG$80,'2.2.Brecha Efectiva x UdM'!$H$25:$AK$32,3,0))</f>
        <v>0</v>
      </c>
      <c r="AH91" s="62">
        <f t="shared" si="40"/>
        <v>33307967.50135228</v>
      </c>
    </row>
    <row r="92" spans="1:34" x14ac:dyDescent="0.2">
      <c r="A92" s="26" t="str">
        <f t="shared" si="37"/>
        <v>La Rioja</v>
      </c>
      <c r="B92" s="52" t="str">
        <f t="shared" si="38"/>
        <v>Nombre UdM 2</v>
      </c>
      <c r="C92" s="26" t="str">
        <f t="shared" si="39"/>
        <v>La Rioja Nombre UdM 2</v>
      </c>
      <c r="D92" s="31">
        <f>VLOOKUP($A92,$A$4:$O$28,4,0)*(HLOOKUP(D$80,'2.2.Brecha Efectiva x UdM'!$H$25:$AK$32,3,0))</f>
        <v>16693528.584304521</v>
      </c>
      <c r="E92" s="31">
        <f>VLOOKUP($A92,$A$4:$O$28,4,0)*(HLOOKUP(E$80,'2.2.Brecha Efectiva x UdM'!$H$25:$AK$32,3,0))</f>
        <v>17907627.22551018</v>
      </c>
      <c r="F92" s="31">
        <f>VLOOKUP($A92,$A$4:$O$28,4,0)*(HLOOKUP(F$80,'2.2.Brecha Efectiva x UdM'!$H$25:$AK$32,3,0))</f>
        <v>27068965.928358227</v>
      </c>
      <c r="G92" s="31">
        <f>VLOOKUP($A92,$A$4:$O$28,4,0)*(HLOOKUP(G$80,'2.2.Brecha Efectiva x UdM'!$H$25:$AK$32,3,0))</f>
        <v>0</v>
      </c>
      <c r="H92" s="31">
        <f>VLOOKUP($A92,$A$4:$O$28,4,0)*(HLOOKUP(H$80,'2.2.Brecha Efectiva x UdM'!$H$25:$AK$32,3,0))</f>
        <v>0</v>
      </c>
      <c r="I92" s="31">
        <f>VLOOKUP($A92,$A$4:$O$28,4,0)*(HLOOKUP(I$80,'2.2.Brecha Efectiva x UdM'!$H$25:$AK$32,3,0))</f>
        <v>0</v>
      </c>
      <c r="J92" s="31">
        <f>VLOOKUP($A92,$A$4:$O$28,4,0)*(HLOOKUP(J$80,'2.2.Brecha Efectiva x UdM'!$H$25:$AK$32,3,0))</f>
        <v>0</v>
      </c>
      <c r="K92" s="31">
        <f>VLOOKUP($A92,$A$4:$O$28,4,0)*(HLOOKUP(K$80,'2.2.Brecha Efectiva x UdM'!$H$25:$AK$32,3,0))</f>
        <v>0</v>
      </c>
      <c r="L92" s="31">
        <f>VLOOKUP($A92,$A$4:$O$28,4,0)*(HLOOKUP(L$80,'2.2.Brecha Efectiva x UdM'!$H$25:$AK$32,3,0))</f>
        <v>0</v>
      </c>
      <c r="M92" s="31">
        <f>VLOOKUP($A92,$A$4:$O$28,4,0)*(HLOOKUP(M$80,'2.2.Brecha Efectiva x UdM'!$H$25:$AK$32,3,0))</f>
        <v>0</v>
      </c>
      <c r="N92" s="31">
        <f>VLOOKUP($A92,$A$4:$O$28,4,0)*(HLOOKUP(N$80,'2.2.Brecha Efectiva x UdM'!$H$25:$AK$32,3,0))</f>
        <v>0</v>
      </c>
      <c r="O92" s="31">
        <f>VLOOKUP($A92,$A$4:$O$28,4,0)*(HLOOKUP(O$80,'2.2.Brecha Efectiva x UdM'!$H$25:$AK$32,3,0))</f>
        <v>0</v>
      </c>
      <c r="P92" s="31">
        <f>VLOOKUP($A92,$A$4:$O$28,4,0)*(HLOOKUP(P$80,'2.2.Brecha Efectiva x UdM'!$H$25:$AK$32,3,0))</f>
        <v>0</v>
      </c>
      <c r="Q92" s="31">
        <f>VLOOKUP($A92,$A$4:$O$28,4,0)*(HLOOKUP(Q$80,'2.2.Brecha Efectiva x UdM'!$H$25:$AK$32,3,0))</f>
        <v>0</v>
      </c>
      <c r="R92" s="31">
        <f>VLOOKUP($A92,$A$4:$O$28,4,0)*(HLOOKUP(R$80,'2.2.Brecha Efectiva x UdM'!$H$25:$AK$32,3,0))</f>
        <v>0</v>
      </c>
      <c r="S92" s="31">
        <f>VLOOKUP($A92,$A$4:$O$28,4,0)*(HLOOKUP(S$80,'2.2.Brecha Efectiva x UdM'!$H$25:$AK$32,3,0))</f>
        <v>0</v>
      </c>
      <c r="T92" s="31">
        <f>VLOOKUP($A92,$A$4:$O$28,4,0)*(HLOOKUP(T$80,'2.2.Brecha Efectiva x UdM'!$H$25:$AK$32,3,0))</f>
        <v>0</v>
      </c>
      <c r="U92" s="31">
        <f>VLOOKUP($A92,$A$4:$O$28,4,0)*(HLOOKUP(U$80,'2.2.Brecha Efectiva x UdM'!$H$25:$AK$32,3,0))</f>
        <v>0</v>
      </c>
      <c r="V92" s="31">
        <f>VLOOKUP($A92,$A$4:$O$28,4,0)*(HLOOKUP(V$80,'2.2.Brecha Efectiva x UdM'!$H$25:$AK$32,3,0))</f>
        <v>0</v>
      </c>
      <c r="W92" s="31">
        <f>VLOOKUP($A92,$A$4:$O$28,4,0)*(HLOOKUP(W$80,'2.2.Brecha Efectiva x UdM'!$H$25:$AK$32,3,0))</f>
        <v>0</v>
      </c>
      <c r="X92" s="31">
        <f>VLOOKUP($A92,$A$4:$O$28,4,0)*(HLOOKUP(X$80,'2.2.Brecha Efectiva x UdM'!$H$25:$AK$32,3,0))</f>
        <v>0</v>
      </c>
      <c r="Y92" s="31">
        <f>VLOOKUP($A92,$A$4:$O$28,4,0)*(HLOOKUP(Y$80,'2.2.Brecha Efectiva x UdM'!$H$25:$AK$32,3,0))</f>
        <v>0</v>
      </c>
      <c r="Z92" s="31">
        <f>VLOOKUP($A92,$A$4:$O$28,4,0)*(HLOOKUP(Z$80,'2.2.Brecha Efectiva x UdM'!$H$25:$AK$32,3,0))</f>
        <v>0</v>
      </c>
      <c r="AA92" s="31">
        <f>VLOOKUP($A92,$A$4:$O$28,4,0)*(HLOOKUP(AA$80,'2.2.Brecha Efectiva x UdM'!$H$25:$AK$32,3,0))</f>
        <v>0</v>
      </c>
      <c r="AB92" s="31">
        <f>VLOOKUP($A92,$A$4:$O$28,4,0)*(HLOOKUP(AB$80,'2.2.Brecha Efectiva x UdM'!$H$25:$AK$32,3,0))</f>
        <v>0</v>
      </c>
      <c r="AC92" s="31">
        <f>VLOOKUP($A92,$A$4:$O$28,4,0)*(HLOOKUP(AC$80,'2.2.Brecha Efectiva x UdM'!$H$25:$AK$32,3,0))</f>
        <v>0</v>
      </c>
      <c r="AD92" s="31">
        <f>VLOOKUP($A92,$A$4:$O$28,4,0)*(HLOOKUP(AD$80,'2.2.Brecha Efectiva x UdM'!$H$25:$AK$32,3,0))</f>
        <v>0</v>
      </c>
      <c r="AE92" s="31">
        <f>VLOOKUP($A92,$A$4:$O$28,4,0)*(HLOOKUP(AE$80,'2.2.Brecha Efectiva x UdM'!$H$25:$AK$32,3,0))</f>
        <v>0</v>
      </c>
      <c r="AF92" s="31">
        <f>VLOOKUP($A92,$A$4:$O$28,4,0)*(HLOOKUP(AF$80,'2.2.Brecha Efectiva x UdM'!$H$25:$AK$32,3,0))</f>
        <v>0</v>
      </c>
      <c r="AG92" s="31">
        <f>VLOOKUP($A92,$A$4:$O$28,4,0)*(HLOOKUP(AG$80,'2.2.Brecha Efectiva x UdM'!$H$25:$AK$32,3,0))</f>
        <v>0</v>
      </c>
      <c r="AH92" s="63">
        <f t="shared" si="40"/>
        <v>61670121.738172926</v>
      </c>
    </row>
    <row r="93" spans="1:34" x14ac:dyDescent="0.2">
      <c r="A93" s="25" t="str">
        <f t="shared" si="37"/>
        <v>Mendoza</v>
      </c>
      <c r="B93" s="51" t="str">
        <f t="shared" si="38"/>
        <v>Nombre UdM 2</v>
      </c>
      <c r="C93" s="25" t="str">
        <f t="shared" si="39"/>
        <v>Mendoza Nombre UdM 2</v>
      </c>
      <c r="D93" s="32">
        <f>VLOOKUP($A93,$A$4:$O$28,4,0)*(HLOOKUP(D$80,'2.2.Brecha Efectiva x UdM'!$H$25:$AK$32,3,0))</f>
        <v>140264629.1667015</v>
      </c>
      <c r="E93" s="32">
        <f>VLOOKUP($A93,$A$4:$O$28,4,0)*(HLOOKUP(E$80,'2.2.Brecha Efectiva x UdM'!$H$25:$AK$32,3,0))</f>
        <v>150465893.3763918</v>
      </c>
      <c r="F93" s="32">
        <f>VLOOKUP($A93,$A$4:$O$28,4,0)*(HLOOKUP(F$80,'2.2.Brecha Efectiva x UdM'!$H$25:$AK$32,3,0))</f>
        <v>227442535.51265752</v>
      </c>
      <c r="G93" s="32">
        <f>VLOOKUP($A93,$A$4:$O$28,4,0)*(HLOOKUP(G$80,'2.2.Brecha Efectiva x UdM'!$H$25:$AK$32,3,0))</f>
        <v>0</v>
      </c>
      <c r="H93" s="32">
        <f>VLOOKUP($A93,$A$4:$O$28,4,0)*(HLOOKUP(H$80,'2.2.Brecha Efectiva x UdM'!$H$25:$AK$32,3,0))</f>
        <v>0</v>
      </c>
      <c r="I93" s="32">
        <f>VLOOKUP($A93,$A$4:$O$28,4,0)*(HLOOKUP(I$80,'2.2.Brecha Efectiva x UdM'!$H$25:$AK$32,3,0))</f>
        <v>0</v>
      </c>
      <c r="J93" s="32">
        <f>VLOOKUP($A93,$A$4:$O$28,4,0)*(HLOOKUP(J$80,'2.2.Brecha Efectiva x UdM'!$H$25:$AK$32,3,0))</f>
        <v>0</v>
      </c>
      <c r="K93" s="32">
        <f>VLOOKUP($A93,$A$4:$O$28,4,0)*(HLOOKUP(K$80,'2.2.Brecha Efectiva x UdM'!$H$25:$AK$32,3,0))</f>
        <v>0</v>
      </c>
      <c r="L93" s="32">
        <f>VLOOKUP($A93,$A$4:$O$28,4,0)*(HLOOKUP(L$80,'2.2.Brecha Efectiva x UdM'!$H$25:$AK$32,3,0))</f>
        <v>0</v>
      </c>
      <c r="M93" s="32">
        <f>VLOOKUP($A93,$A$4:$O$28,4,0)*(HLOOKUP(M$80,'2.2.Brecha Efectiva x UdM'!$H$25:$AK$32,3,0))</f>
        <v>0</v>
      </c>
      <c r="N93" s="32">
        <f>VLOOKUP($A93,$A$4:$O$28,4,0)*(HLOOKUP(N$80,'2.2.Brecha Efectiva x UdM'!$H$25:$AK$32,3,0))</f>
        <v>0</v>
      </c>
      <c r="O93" s="32">
        <f>VLOOKUP($A93,$A$4:$O$28,4,0)*(HLOOKUP(O$80,'2.2.Brecha Efectiva x UdM'!$H$25:$AK$32,3,0))</f>
        <v>0</v>
      </c>
      <c r="P93" s="32">
        <f>VLOOKUP($A93,$A$4:$O$28,4,0)*(HLOOKUP(P$80,'2.2.Brecha Efectiva x UdM'!$H$25:$AK$32,3,0))</f>
        <v>0</v>
      </c>
      <c r="Q93" s="32">
        <f>VLOOKUP($A93,$A$4:$O$28,4,0)*(HLOOKUP(Q$80,'2.2.Brecha Efectiva x UdM'!$H$25:$AK$32,3,0))</f>
        <v>0</v>
      </c>
      <c r="R93" s="32">
        <f>VLOOKUP($A93,$A$4:$O$28,4,0)*(HLOOKUP(R$80,'2.2.Brecha Efectiva x UdM'!$H$25:$AK$32,3,0))</f>
        <v>0</v>
      </c>
      <c r="S93" s="32">
        <f>VLOOKUP($A93,$A$4:$O$28,4,0)*(HLOOKUP(S$80,'2.2.Brecha Efectiva x UdM'!$H$25:$AK$32,3,0))</f>
        <v>0</v>
      </c>
      <c r="T93" s="32">
        <f>VLOOKUP($A93,$A$4:$O$28,4,0)*(HLOOKUP(T$80,'2.2.Brecha Efectiva x UdM'!$H$25:$AK$32,3,0))</f>
        <v>0</v>
      </c>
      <c r="U93" s="32">
        <f>VLOOKUP($A93,$A$4:$O$28,4,0)*(HLOOKUP(U$80,'2.2.Brecha Efectiva x UdM'!$H$25:$AK$32,3,0))</f>
        <v>0</v>
      </c>
      <c r="V93" s="32">
        <f>VLOOKUP($A93,$A$4:$O$28,4,0)*(HLOOKUP(V$80,'2.2.Brecha Efectiva x UdM'!$H$25:$AK$32,3,0))</f>
        <v>0</v>
      </c>
      <c r="W93" s="32">
        <f>VLOOKUP($A93,$A$4:$O$28,4,0)*(HLOOKUP(W$80,'2.2.Brecha Efectiva x UdM'!$H$25:$AK$32,3,0))</f>
        <v>0</v>
      </c>
      <c r="X93" s="32">
        <f>VLOOKUP($A93,$A$4:$O$28,4,0)*(HLOOKUP(X$80,'2.2.Brecha Efectiva x UdM'!$H$25:$AK$32,3,0))</f>
        <v>0</v>
      </c>
      <c r="Y93" s="32">
        <f>VLOOKUP($A93,$A$4:$O$28,4,0)*(HLOOKUP(Y$80,'2.2.Brecha Efectiva x UdM'!$H$25:$AK$32,3,0))</f>
        <v>0</v>
      </c>
      <c r="Z93" s="32">
        <f>VLOOKUP($A93,$A$4:$O$28,4,0)*(HLOOKUP(Z$80,'2.2.Brecha Efectiva x UdM'!$H$25:$AK$32,3,0))</f>
        <v>0</v>
      </c>
      <c r="AA93" s="32">
        <f>VLOOKUP($A93,$A$4:$O$28,4,0)*(HLOOKUP(AA$80,'2.2.Brecha Efectiva x UdM'!$H$25:$AK$32,3,0))</f>
        <v>0</v>
      </c>
      <c r="AB93" s="32">
        <f>VLOOKUP($A93,$A$4:$O$28,4,0)*(HLOOKUP(AB$80,'2.2.Brecha Efectiva x UdM'!$H$25:$AK$32,3,0))</f>
        <v>0</v>
      </c>
      <c r="AC93" s="32">
        <f>VLOOKUP($A93,$A$4:$O$28,4,0)*(HLOOKUP(AC$80,'2.2.Brecha Efectiva x UdM'!$H$25:$AK$32,3,0))</f>
        <v>0</v>
      </c>
      <c r="AD93" s="32">
        <f>VLOOKUP($A93,$A$4:$O$28,4,0)*(HLOOKUP(AD$80,'2.2.Brecha Efectiva x UdM'!$H$25:$AK$32,3,0))</f>
        <v>0</v>
      </c>
      <c r="AE93" s="32">
        <f>VLOOKUP($A93,$A$4:$O$28,4,0)*(HLOOKUP(AE$80,'2.2.Brecha Efectiva x UdM'!$H$25:$AK$32,3,0))</f>
        <v>0</v>
      </c>
      <c r="AF93" s="32">
        <f>VLOOKUP($A93,$A$4:$O$28,4,0)*(HLOOKUP(AF$80,'2.2.Brecha Efectiva x UdM'!$H$25:$AK$32,3,0))</f>
        <v>0</v>
      </c>
      <c r="AG93" s="32">
        <f>VLOOKUP($A93,$A$4:$O$28,4,0)*(HLOOKUP(AG$80,'2.2.Brecha Efectiva x UdM'!$H$25:$AK$32,3,0))</f>
        <v>0</v>
      </c>
      <c r="AH93" s="62">
        <f t="shared" si="40"/>
        <v>518173058.05575085</v>
      </c>
    </row>
    <row r="94" spans="1:34" x14ac:dyDescent="0.2">
      <c r="A94" s="26" t="str">
        <f t="shared" si="37"/>
        <v>Misiones</v>
      </c>
      <c r="B94" s="52" t="str">
        <f t="shared" si="38"/>
        <v>Nombre UdM 2</v>
      </c>
      <c r="C94" s="26" t="str">
        <f t="shared" si="39"/>
        <v>Misiones Nombre UdM 2</v>
      </c>
      <c r="D94" s="31">
        <f>VLOOKUP($A94,$A$4:$O$28,4,0)*(HLOOKUP(D$80,'2.2.Brecha Efectiva x UdM'!$H$25:$AK$32,3,0))</f>
        <v>258882230.41560555</v>
      </c>
      <c r="E94" s="31">
        <f>VLOOKUP($A94,$A$4:$O$28,4,0)*(HLOOKUP(E$80,'2.2.Brecha Efectiva x UdM'!$H$25:$AK$32,3,0))</f>
        <v>277710398.62417674</v>
      </c>
      <c r="F94" s="31">
        <f>VLOOKUP($A94,$A$4:$O$28,4,0)*(HLOOKUP(F$80,'2.2.Brecha Efectiva x UdM'!$H$25:$AK$32,3,0))</f>
        <v>419783884.46682984</v>
      </c>
      <c r="G94" s="31">
        <f>VLOOKUP($A94,$A$4:$O$28,4,0)*(HLOOKUP(G$80,'2.2.Brecha Efectiva x UdM'!$H$25:$AK$32,3,0))</f>
        <v>0</v>
      </c>
      <c r="H94" s="31">
        <f>VLOOKUP($A94,$A$4:$O$28,4,0)*(HLOOKUP(H$80,'2.2.Brecha Efectiva x UdM'!$H$25:$AK$32,3,0))</f>
        <v>0</v>
      </c>
      <c r="I94" s="31">
        <f>VLOOKUP($A94,$A$4:$O$28,4,0)*(HLOOKUP(I$80,'2.2.Brecha Efectiva x UdM'!$H$25:$AK$32,3,0))</f>
        <v>0</v>
      </c>
      <c r="J94" s="31">
        <f>VLOOKUP($A94,$A$4:$O$28,4,0)*(HLOOKUP(J$80,'2.2.Brecha Efectiva x UdM'!$H$25:$AK$32,3,0))</f>
        <v>0</v>
      </c>
      <c r="K94" s="31">
        <f>VLOOKUP($A94,$A$4:$O$28,4,0)*(HLOOKUP(K$80,'2.2.Brecha Efectiva x UdM'!$H$25:$AK$32,3,0))</f>
        <v>0</v>
      </c>
      <c r="L94" s="31">
        <f>VLOOKUP($A94,$A$4:$O$28,4,0)*(HLOOKUP(L$80,'2.2.Brecha Efectiva x UdM'!$H$25:$AK$32,3,0))</f>
        <v>0</v>
      </c>
      <c r="M94" s="31">
        <f>VLOOKUP($A94,$A$4:$O$28,4,0)*(HLOOKUP(M$80,'2.2.Brecha Efectiva x UdM'!$H$25:$AK$32,3,0))</f>
        <v>0</v>
      </c>
      <c r="N94" s="31">
        <f>VLOOKUP($A94,$A$4:$O$28,4,0)*(HLOOKUP(N$80,'2.2.Brecha Efectiva x UdM'!$H$25:$AK$32,3,0))</f>
        <v>0</v>
      </c>
      <c r="O94" s="31">
        <f>VLOOKUP($A94,$A$4:$O$28,4,0)*(HLOOKUP(O$80,'2.2.Brecha Efectiva x UdM'!$H$25:$AK$32,3,0))</f>
        <v>0</v>
      </c>
      <c r="P94" s="31">
        <f>VLOOKUP($A94,$A$4:$O$28,4,0)*(HLOOKUP(P$80,'2.2.Brecha Efectiva x UdM'!$H$25:$AK$32,3,0))</f>
        <v>0</v>
      </c>
      <c r="Q94" s="31">
        <f>VLOOKUP($A94,$A$4:$O$28,4,0)*(HLOOKUP(Q$80,'2.2.Brecha Efectiva x UdM'!$H$25:$AK$32,3,0))</f>
        <v>0</v>
      </c>
      <c r="R94" s="31">
        <f>VLOOKUP($A94,$A$4:$O$28,4,0)*(HLOOKUP(R$80,'2.2.Brecha Efectiva x UdM'!$H$25:$AK$32,3,0))</f>
        <v>0</v>
      </c>
      <c r="S94" s="31">
        <f>VLOOKUP($A94,$A$4:$O$28,4,0)*(HLOOKUP(S$80,'2.2.Brecha Efectiva x UdM'!$H$25:$AK$32,3,0))</f>
        <v>0</v>
      </c>
      <c r="T94" s="31">
        <f>VLOOKUP($A94,$A$4:$O$28,4,0)*(HLOOKUP(T$80,'2.2.Brecha Efectiva x UdM'!$H$25:$AK$32,3,0))</f>
        <v>0</v>
      </c>
      <c r="U94" s="31">
        <f>VLOOKUP($A94,$A$4:$O$28,4,0)*(HLOOKUP(U$80,'2.2.Brecha Efectiva x UdM'!$H$25:$AK$32,3,0))</f>
        <v>0</v>
      </c>
      <c r="V94" s="31">
        <f>VLOOKUP($A94,$A$4:$O$28,4,0)*(HLOOKUP(V$80,'2.2.Brecha Efectiva x UdM'!$H$25:$AK$32,3,0))</f>
        <v>0</v>
      </c>
      <c r="W94" s="31">
        <f>VLOOKUP($A94,$A$4:$O$28,4,0)*(HLOOKUP(W$80,'2.2.Brecha Efectiva x UdM'!$H$25:$AK$32,3,0))</f>
        <v>0</v>
      </c>
      <c r="X94" s="31">
        <f>VLOOKUP($A94,$A$4:$O$28,4,0)*(HLOOKUP(X$80,'2.2.Brecha Efectiva x UdM'!$H$25:$AK$32,3,0))</f>
        <v>0</v>
      </c>
      <c r="Y94" s="31">
        <f>VLOOKUP($A94,$A$4:$O$28,4,0)*(HLOOKUP(Y$80,'2.2.Brecha Efectiva x UdM'!$H$25:$AK$32,3,0))</f>
        <v>0</v>
      </c>
      <c r="Z94" s="31">
        <f>VLOOKUP($A94,$A$4:$O$28,4,0)*(HLOOKUP(Z$80,'2.2.Brecha Efectiva x UdM'!$H$25:$AK$32,3,0))</f>
        <v>0</v>
      </c>
      <c r="AA94" s="31">
        <f>VLOOKUP($A94,$A$4:$O$28,4,0)*(HLOOKUP(AA$80,'2.2.Brecha Efectiva x UdM'!$H$25:$AK$32,3,0))</f>
        <v>0</v>
      </c>
      <c r="AB94" s="31">
        <f>VLOOKUP($A94,$A$4:$O$28,4,0)*(HLOOKUP(AB$80,'2.2.Brecha Efectiva x UdM'!$H$25:$AK$32,3,0))</f>
        <v>0</v>
      </c>
      <c r="AC94" s="31">
        <f>VLOOKUP($A94,$A$4:$O$28,4,0)*(HLOOKUP(AC$80,'2.2.Brecha Efectiva x UdM'!$H$25:$AK$32,3,0))</f>
        <v>0</v>
      </c>
      <c r="AD94" s="31">
        <f>VLOOKUP($A94,$A$4:$O$28,4,0)*(HLOOKUP(AD$80,'2.2.Brecha Efectiva x UdM'!$H$25:$AK$32,3,0))</f>
        <v>0</v>
      </c>
      <c r="AE94" s="31">
        <f>VLOOKUP($A94,$A$4:$O$28,4,0)*(HLOOKUP(AE$80,'2.2.Brecha Efectiva x UdM'!$H$25:$AK$32,3,0))</f>
        <v>0</v>
      </c>
      <c r="AF94" s="31">
        <f>VLOOKUP($A94,$A$4:$O$28,4,0)*(HLOOKUP(AF$80,'2.2.Brecha Efectiva x UdM'!$H$25:$AK$32,3,0))</f>
        <v>0</v>
      </c>
      <c r="AG94" s="31">
        <f>VLOOKUP($A94,$A$4:$O$28,4,0)*(HLOOKUP(AG$80,'2.2.Brecha Efectiva x UdM'!$H$25:$AK$32,3,0))</f>
        <v>0</v>
      </c>
      <c r="AH94" s="63">
        <f t="shared" si="40"/>
        <v>956376513.50661206</v>
      </c>
    </row>
    <row r="95" spans="1:34" x14ac:dyDescent="0.2">
      <c r="A95" s="25" t="str">
        <f t="shared" si="37"/>
        <v>Neuquén</v>
      </c>
      <c r="B95" s="51" t="str">
        <f t="shared" si="38"/>
        <v>Nombre UdM 2</v>
      </c>
      <c r="C95" s="25" t="str">
        <f t="shared" si="39"/>
        <v>Neuquén Nombre UdM 2</v>
      </c>
      <c r="D95" s="32">
        <f>VLOOKUP($A95,$A$4:$O$28,4,0)*(HLOOKUP(D$80,'2.2.Brecha Efectiva x UdM'!$H$25:$AK$32,3,0))</f>
        <v>357875188.31331581</v>
      </c>
      <c r="E95" s="32">
        <f>VLOOKUP($A95,$A$4:$O$28,4,0)*(HLOOKUP(E$80,'2.2.Brecha Efectiva x UdM'!$H$25:$AK$32,3,0))</f>
        <v>383902985.71146053</v>
      </c>
      <c r="F95" s="32">
        <f>VLOOKUP($A95,$A$4:$O$28,4,0)*(HLOOKUP(F$80,'2.2.Brecha Efectiva x UdM'!$H$25:$AK$32,3,0))</f>
        <v>580303393.02656901</v>
      </c>
      <c r="G95" s="32">
        <f>VLOOKUP($A95,$A$4:$O$28,4,0)*(HLOOKUP(G$80,'2.2.Brecha Efectiva x UdM'!$H$25:$AK$32,3,0))</f>
        <v>0</v>
      </c>
      <c r="H95" s="32">
        <f>VLOOKUP($A95,$A$4:$O$28,4,0)*(HLOOKUP(H$80,'2.2.Brecha Efectiva x UdM'!$H$25:$AK$32,3,0))</f>
        <v>0</v>
      </c>
      <c r="I95" s="32">
        <f>VLOOKUP($A95,$A$4:$O$28,4,0)*(HLOOKUP(I$80,'2.2.Brecha Efectiva x UdM'!$H$25:$AK$32,3,0))</f>
        <v>0</v>
      </c>
      <c r="J95" s="32">
        <f>VLOOKUP($A95,$A$4:$O$28,4,0)*(HLOOKUP(J$80,'2.2.Brecha Efectiva x UdM'!$H$25:$AK$32,3,0))</f>
        <v>0</v>
      </c>
      <c r="K95" s="32">
        <f>VLOOKUP($A95,$A$4:$O$28,4,0)*(HLOOKUP(K$80,'2.2.Brecha Efectiva x UdM'!$H$25:$AK$32,3,0))</f>
        <v>0</v>
      </c>
      <c r="L95" s="32">
        <f>VLOOKUP($A95,$A$4:$O$28,4,0)*(HLOOKUP(L$80,'2.2.Brecha Efectiva x UdM'!$H$25:$AK$32,3,0))</f>
        <v>0</v>
      </c>
      <c r="M95" s="32">
        <f>VLOOKUP($A95,$A$4:$O$28,4,0)*(HLOOKUP(M$80,'2.2.Brecha Efectiva x UdM'!$H$25:$AK$32,3,0))</f>
        <v>0</v>
      </c>
      <c r="N95" s="32">
        <f>VLOOKUP($A95,$A$4:$O$28,4,0)*(HLOOKUP(N$80,'2.2.Brecha Efectiva x UdM'!$H$25:$AK$32,3,0))</f>
        <v>0</v>
      </c>
      <c r="O95" s="32">
        <f>VLOOKUP($A95,$A$4:$O$28,4,0)*(HLOOKUP(O$80,'2.2.Brecha Efectiva x UdM'!$H$25:$AK$32,3,0))</f>
        <v>0</v>
      </c>
      <c r="P95" s="32">
        <f>VLOOKUP($A95,$A$4:$O$28,4,0)*(HLOOKUP(P$80,'2.2.Brecha Efectiva x UdM'!$H$25:$AK$32,3,0))</f>
        <v>0</v>
      </c>
      <c r="Q95" s="32">
        <f>VLOOKUP($A95,$A$4:$O$28,4,0)*(HLOOKUP(Q$80,'2.2.Brecha Efectiva x UdM'!$H$25:$AK$32,3,0))</f>
        <v>0</v>
      </c>
      <c r="R95" s="32">
        <f>VLOOKUP($A95,$A$4:$O$28,4,0)*(HLOOKUP(R$80,'2.2.Brecha Efectiva x UdM'!$H$25:$AK$32,3,0))</f>
        <v>0</v>
      </c>
      <c r="S95" s="32">
        <f>VLOOKUP($A95,$A$4:$O$28,4,0)*(HLOOKUP(S$80,'2.2.Brecha Efectiva x UdM'!$H$25:$AK$32,3,0))</f>
        <v>0</v>
      </c>
      <c r="T95" s="32">
        <f>VLOOKUP($A95,$A$4:$O$28,4,0)*(HLOOKUP(T$80,'2.2.Brecha Efectiva x UdM'!$H$25:$AK$32,3,0))</f>
        <v>0</v>
      </c>
      <c r="U95" s="32">
        <f>VLOOKUP($A95,$A$4:$O$28,4,0)*(HLOOKUP(U$80,'2.2.Brecha Efectiva x UdM'!$H$25:$AK$32,3,0))</f>
        <v>0</v>
      </c>
      <c r="V95" s="32">
        <f>VLOOKUP($A95,$A$4:$O$28,4,0)*(HLOOKUP(V$80,'2.2.Brecha Efectiva x UdM'!$H$25:$AK$32,3,0))</f>
        <v>0</v>
      </c>
      <c r="W95" s="32">
        <f>VLOOKUP($A95,$A$4:$O$28,4,0)*(HLOOKUP(W$80,'2.2.Brecha Efectiva x UdM'!$H$25:$AK$32,3,0))</f>
        <v>0</v>
      </c>
      <c r="X95" s="32">
        <f>VLOOKUP($A95,$A$4:$O$28,4,0)*(HLOOKUP(X$80,'2.2.Brecha Efectiva x UdM'!$H$25:$AK$32,3,0))</f>
        <v>0</v>
      </c>
      <c r="Y95" s="32">
        <f>VLOOKUP($A95,$A$4:$O$28,4,0)*(HLOOKUP(Y$80,'2.2.Brecha Efectiva x UdM'!$H$25:$AK$32,3,0))</f>
        <v>0</v>
      </c>
      <c r="Z95" s="32">
        <f>VLOOKUP($A95,$A$4:$O$28,4,0)*(HLOOKUP(Z$80,'2.2.Brecha Efectiva x UdM'!$H$25:$AK$32,3,0))</f>
        <v>0</v>
      </c>
      <c r="AA95" s="32">
        <f>VLOOKUP($A95,$A$4:$O$28,4,0)*(HLOOKUP(AA$80,'2.2.Brecha Efectiva x UdM'!$H$25:$AK$32,3,0))</f>
        <v>0</v>
      </c>
      <c r="AB95" s="32">
        <f>VLOOKUP($A95,$A$4:$O$28,4,0)*(HLOOKUP(AB$80,'2.2.Brecha Efectiva x UdM'!$H$25:$AK$32,3,0))</f>
        <v>0</v>
      </c>
      <c r="AC95" s="32">
        <f>VLOOKUP($A95,$A$4:$O$28,4,0)*(HLOOKUP(AC$80,'2.2.Brecha Efectiva x UdM'!$H$25:$AK$32,3,0))</f>
        <v>0</v>
      </c>
      <c r="AD95" s="32">
        <f>VLOOKUP($A95,$A$4:$O$28,4,0)*(HLOOKUP(AD$80,'2.2.Brecha Efectiva x UdM'!$H$25:$AK$32,3,0))</f>
        <v>0</v>
      </c>
      <c r="AE95" s="32">
        <f>VLOOKUP($A95,$A$4:$O$28,4,0)*(HLOOKUP(AE$80,'2.2.Brecha Efectiva x UdM'!$H$25:$AK$32,3,0))</f>
        <v>0</v>
      </c>
      <c r="AF95" s="32">
        <f>VLOOKUP($A95,$A$4:$O$28,4,0)*(HLOOKUP(AF$80,'2.2.Brecha Efectiva x UdM'!$H$25:$AK$32,3,0))</f>
        <v>0</v>
      </c>
      <c r="AG95" s="32">
        <f>VLOOKUP($A95,$A$4:$O$28,4,0)*(HLOOKUP(AG$80,'2.2.Brecha Efectiva x UdM'!$H$25:$AK$32,3,0))</f>
        <v>0</v>
      </c>
      <c r="AH95" s="62">
        <f t="shared" si="40"/>
        <v>1322081567.0513453</v>
      </c>
    </row>
    <row r="96" spans="1:34" x14ac:dyDescent="0.2">
      <c r="A96" s="26" t="str">
        <f t="shared" si="37"/>
        <v>Río Negro</v>
      </c>
      <c r="B96" s="52" t="str">
        <f t="shared" si="38"/>
        <v>Nombre UdM 2</v>
      </c>
      <c r="C96" s="26" t="str">
        <f t="shared" si="39"/>
        <v>Río Negro Nombre UdM 2</v>
      </c>
      <c r="D96" s="31">
        <f>VLOOKUP($A96,$A$4:$O$28,4,0)*(HLOOKUP(D$80,'2.2.Brecha Efectiva x UdM'!$H$25:$AK$32,3,0))</f>
        <v>74757580.475535154</v>
      </c>
      <c r="E96" s="31">
        <f>VLOOKUP($A96,$A$4:$O$28,4,0)*(HLOOKUP(E$80,'2.2.Brecha Efectiva x UdM'!$H$25:$AK$32,3,0))</f>
        <v>80194602.158327043</v>
      </c>
      <c r="F96" s="31">
        <f>VLOOKUP($A96,$A$4:$O$28,4,0)*(HLOOKUP(F$80,'2.2.Brecha Efectiva x UdM'!$H$25:$AK$32,3,0))</f>
        <v>121221249.81301945</v>
      </c>
      <c r="G96" s="31">
        <f>VLOOKUP($A96,$A$4:$O$28,4,0)*(HLOOKUP(G$80,'2.2.Brecha Efectiva x UdM'!$H$25:$AK$32,3,0))</f>
        <v>0</v>
      </c>
      <c r="H96" s="31">
        <f>VLOOKUP($A96,$A$4:$O$28,4,0)*(HLOOKUP(H$80,'2.2.Brecha Efectiva x UdM'!$H$25:$AK$32,3,0))</f>
        <v>0</v>
      </c>
      <c r="I96" s="31">
        <f>VLOOKUP($A96,$A$4:$O$28,4,0)*(HLOOKUP(I$80,'2.2.Brecha Efectiva x UdM'!$H$25:$AK$32,3,0))</f>
        <v>0</v>
      </c>
      <c r="J96" s="31">
        <f>VLOOKUP($A96,$A$4:$O$28,4,0)*(HLOOKUP(J$80,'2.2.Brecha Efectiva x UdM'!$H$25:$AK$32,3,0))</f>
        <v>0</v>
      </c>
      <c r="K96" s="31">
        <f>VLOOKUP($A96,$A$4:$O$28,4,0)*(HLOOKUP(K$80,'2.2.Brecha Efectiva x UdM'!$H$25:$AK$32,3,0))</f>
        <v>0</v>
      </c>
      <c r="L96" s="31">
        <f>VLOOKUP($A96,$A$4:$O$28,4,0)*(HLOOKUP(L$80,'2.2.Brecha Efectiva x UdM'!$H$25:$AK$32,3,0))</f>
        <v>0</v>
      </c>
      <c r="M96" s="31">
        <f>VLOOKUP($A96,$A$4:$O$28,4,0)*(HLOOKUP(M$80,'2.2.Brecha Efectiva x UdM'!$H$25:$AK$32,3,0))</f>
        <v>0</v>
      </c>
      <c r="N96" s="31">
        <f>VLOOKUP($A96,$A$4:$O$28,4,0)*(HLOOKUP(N$80,'2.2.Brecha Efectiva x UdM'!$H$25:$AK$32,3,0))</f>
        <v>0</v>
      </c>
      <c r="O96" s="31">
        <f>VLOOKUP($A96,$A$4:$O$28,4,0)*(HLOOKUP(O$80,'2.2.Brecha Efectiva x UdM'!$H$25:$AK$32,3,0))</f>
        <v>0</v>
      </c>
      <c r="P96" s="31">
        <f>VLOOKUP($A96,$A$4:$O$28,4,0)*(HLOOKUP(P$80,'2.2.Brecha Efectiva x UdM'!$H$25:$AK$32,3,0))</f>
        <v>0</v>
      </c>
      <c r="Q96" s="31">
        <f>VLOOKUP($A96,$A$4:$O$28,4,0)*(HLOOKUP(Q$80,'2.2.Brecha Efectiva x UdM'!$H$25:$AK$32,3,0))</f>
        <v>0</v>
      </c>
      <c r="R96" s="31">
        <f>VLOOKUP($A96,$A$4:$O$28,4,0)*(HLOOKUP(R$80,'2.2.Brecha Efectiva x UdM'!$H$25:$AK$32,3,0))</f>
        <v>0</v>
      </c>
      <c r="S96" s="31">
        <f>VLOOKUP($A96,$A$4:$O$28,4,0)*(HLOOKUP(S$80,'2.2.Brecha Efectiva x UdM'!$H$25:$AK$32,3,0))</f>
        <v>0</v>
      </c>
      <c r="T96" s="31">
        <f>VLOOKUP($A96,$A$4:$O$28,4,0)*(HLOOKUP(T$80,'2.2.Brecha Efectiva x UdM'!$H$25:$AK$32,3,0))</f>
        <v>0</v>
      </c>
      <c r="U96" s="31">
        <f>VLOOKUP($A96,$A$4:$O$28,4,0)*(HLOOKUP(U$80,'2.2.Brecha Efectiva x UdM'!$H$25:$AK$32,3,0))</f>
        <v>0</v>
      </c>
      <c r="V96" s="31">
        <f>VLOOKUP($A96,$A$4:$O$28,4,0)*(HLOOKUP(V$80,'2.2.Brecha Efectiva x UdM'!$H$25:$AK$32,3,0))</f>
        <v>0</v>
      </c>
      <c r="W96" s="31">
        <f>VLOOKUP($A96,$A$4:$O$28,4,0)*(HLOOKUP(W$80,'2.2.Brecha Efectiva x UdM'!$H$25:$AK$32,3,0))</f>
        <v>0</v>
      </c>
      <c r="X96" s="31">
        <f>VLOOKUP($A96,$A$4:$O$28,4,0)*(HLOOKUP(X$80,'2.2.Brecha Efectiva x UdM'!$H$25:$AK$32,3,0))</f>
        <v>0</v>
      </c>
      <c r="Y96" s="31">
        <f>VLOOKUP($A96,$A$4:$O$28,4,0)*(HLOOKUP(Y$80,'2.2.Brecha Efectiva x UdM'!$H$25:$AK$32,3,0))</f>
        <v>0</v>
      </c>
      <c r="Z96" s="31">
        <f>VLOOKUP($A96,$A$4:$O$28,4,0)*(HLOOKUP(Z$80,'2.2.Brecha Efectiva x UdM'!$H$25:$AK$32,3,0))</f>
        <v>0</v>
      </c>
      <c r="AA96" s="31">
        <f>VLOOKUP($A96,$A$4:$O$28,4,0)*(HLOOKUP(AA$80,'2.2.Brecha Efectiva x UdM'!$H$25:$AK$32,3,0))</f>
        <v>0</v>
      </c>
      <c r="AB96" s="31">
        <f>VLOOKUP($A96,$A$4:$O$28,4,0)*(HLOOKUP(AB$80,'2.2.Brecha Efectiva x UdM'!$H$25:$AK$32,3,0))</f>
        <v>0</v>
      </c>
      <c r="AC96" s="31">
        <f>VLOOKUP($A96,$A$4:$O$28,4,0)*(HLOOKUP(AC$80,'2.2.Brecha Efectiva x UdM'!$H$25:$AK$32,3,0))</f>
        <v>0</v>
      </c>
      <c r="AD96" s="31">
        <f>VLOOKUP($A96,$A$4:$O$28,4,0)*(HLOOKUP(AD$80,'2.2.Brecha Efectiva x UdM'!$H$25:$AK$32,3,0))</f>
        <v>0</v>
      </c>
      <c r="AE96" s="31">
        <f>VLOOKUP($A96,$A$4:$O$28,4,0)*(HLOOKUP(AE$80,'2.2.Brecha Efectiva x UdM'!$H$25:$AK$32,3,0))</f>
        <v>0</v>
      </c>
      <c r="AF96" s="31">
        <f>VLOOKUP($A96,$A$4:$O$28,4,0)*(HLOOKUP(AF$80,'2.2.Brecha Efectiva x UdM'!$H$25:$AK$32,3,0))</f>
        <v>0</v>
      </c>
      <c r="AG96" s="31">
        <f>VLOOKUP($A96,$A$4:$O$28,4,0)*(HLOOKUP(AG$80,'2.2.Brecha Efectiva x UdM'!$H$25:$AK$32,3,0))</f>
        <v>0</v>
      </c>
      <c r="AH96" s="63">
        <f t="shared" si="40"/>
        <v>276173432.44688165</v>
      </c>
    </row>
    <row r="97" spans="1:34" x14ac:dyDescent="0.2">
      <c r="A97" s="25" t="str">
        <f t="shared" si="37"/>
        <v>Salta</v>
      </c>
      <c r="B97" s="51" t="str">
        <f t="shared" si="38"/>
        <v>Nombre UdM 2</v>
      </c>
      <c r="C97" s="25" t="str">
        <f t="shared" si="39"/>
        <v>Salta Nombre UdM 2</v>
      </c>
      <c r="D97" s="32">
        <f>VLOOKUP($A97,$A$4:$O$28,4,0)*(HLOOKUP(D$80,'2.2.Brecha Efectiva x UdM'!$H$25:$AK$32,3,0))</f>
        <v>124060453.19217306</v>
      </c>
      <c r="E97" s="32">
        <f>VLOOKUP($A97,$A$4:$O$28,4,0)*(HLOOKUP(E$80,'2.2.Brecha Efectiva x UdM'!$H$25:$AK$32,3,0))</f>
        <v>133083208.74006794</v>
      </c>
      <c r="F97" s="32">
        <f>VLOOKUP($A97,$A$4:$O$28,4,0)*(HLOOKUP(F$80,'2.2.Brecha Efectiva x UdM'!$H$25:$AK$32,3,0))</f>
        <v>201167066.84008238</v>
      </c>
      <c r="G97" s="32">
        <f>VLOOKUP($A97,$A$4:$O$28,4,0)*(HLOOKUP(G$80,'2.2.Brecha Efectiva x UdM'!$H$25:$AK$32,3,0))</f>
        <v>0</v>
      </c>
      <c r="H97" s="32">
        <f>VLOOKUP($A97,$A$4:$O$28,4,0)*(HLOOKUP(H$80,'2.2.Brecha Efectiva x UdM'!$H$25:$AK$32,3,0))</f>
        <v>0</v>
      </c>
      <c r="I97" s="32">
        <f>VLOOKUP($A97,$A$4:$O$28,4,0)*(HLOOKUP(I$80,'2.2.Brecha Efectiva x UdM'!$H$25:$AK$32,3,0))</f>
        <v>0</v>
      </c>
      <c r="J97" s="32">
        <f>VLOOKUP($A97,$A$4:$O$28,4,0)*(HLOOKUP(J$80,'2.2.Brecha Efectiva x UdM'!$H$25:$AK$32,3,0))</f>
        <v>0</v>
      </c>
      <c r="K97" s="32">
        <f>VLOOKUP($A97,$A$4:$O$28,4,0)*(HLOOKUP(K$80,'2.2.Brecha Efectiva x UdM'!$H$25:$AK$32,3,0))</f>
        <v>0</v>
      </c>
      <c r="L97" s="32">
        <f>VLOOKUP($A97,$A$4:$O$28,4,0)*(HLOOKUP(L$80,'2.2.Brecha Efectiva x UdM'!$H$25:$AK$32,3,0))</f>
        <v>0</v>
      </c>
      <c r="M97" s="32">
        <f>VLOOKUP($A97,$A$4:$O$28,4,0)*(HLOOKUP(M$80,'2.2.Brecha Efectiva x UdM'!$H$25:$AK$32,3,0))</f>
        <v>0</v>
      </c>
      <c r="N97" s="32">
        <f>VLOOKUP($A97,$A$4:$O$28,4,0)*(HLOOKUP(N$80,'2.2.Brecha Efectiva x UdM'!$H$25:$AK$32,3,0))</f>
        <v>0</v>
      </c>
      <c r="O97" s="32">
        <f>VLOOKUP($A97,$A$4:$O$28,4,0)*(HLOOKUP(O$80,'2.2.Brecha Efectiva x UdM'!$H$25:$AK$32,3,0))</f>
        <v>0</v>
      </c>
      <c r="P97" s="32">
        <f>VLOOKUP($A97,$A$4:$O$28,4,0)*(HLOOKUP(P$80,'2.2.Brecha Efectiva x UdM'!$H$25:$AK$32,3,0))</f>
        <v>0</v>
      </c>
      <c r="Q97" s="32">
        <f>VLOOKUP($A97,$A$4:$O$28,4,0)*(HLOOKUP(Q$80,'2.2.Brecha Efectiva x UdM'!$H$25:$AK$32,3,0))</f>
        <v>0</v>
      </c>
      <c r="R97" s="32">
        <f>VLOOKUP($A97,$A$4:$O$28,4,0)*(HLOOKUP(R$80,'2.2.Brecha Efectiva x UdM'!$H$25:$AK$32,3,0))</f>
        <v>0</v>
      </c>
      <c r="S97" s="32">
        <f>VLOOKUP($A97,$A$4:$O$28,4,0)*(HLOOKUP(S$80,'2.2.Brecha Efectiva x UdM'!$H$25:$AK$32,3,0))</f>
        <v>0</v>
      </c>
      <c r="T97" s="32">
        <f>VLOOKUP($A97,$A$4:$O$28,4,0)*(HLOOKUP(T$80,'2.2.Brecha Efectiva x UdM'!$H$25:$AK$32,3,0))</f>
        <v>0</v>
      </c>
      <c r="U97" s="32">
        <f>VLOOKUP($A97,$A$4:$O$28,4,0)*(HLOOKUP(U$80,'2.2.Brecha Efectiva x UdM'!$H$25:$AK$32,3,0))</f>
        <v>0</v>
      </c>
      <c r="V97" s="32">
        <f>VLOOKUP($A97,$A$4:$O$28,4,0)*(HLOOKUP(V$80,'2.2.Brecha Efectiva x UdM'!$H$25:$AK$32,3,0))</f>
        <v>0</v>
      </c>
      <c r="W97" s="32">
        <f>VLOOKUP($A97,$A$4:$O$28,4,0)*(HLOOKUP(W$80,'2.2.Brecha Efectiva x UdM'!$H$25:$AK$32,3,0))</f>
        <v>0</v>
      </c>
      <c r="X97" s="32">
        <f>VLOOKUP($A97,$A$4:$O$28,4,0)*(HLOOKUP(X$80,'2.2.Brecha Efectiva x UdM'!$H$25:$AK$32,3,0))</f>
        <v>0</v>
      </c>
      <c r="Y97" s="32">
        <f>VLOOKUP($A97,$A$4:$O$28,4,0)*(HLOOKUP(Y$80,'2.2.Brecha Efectiva x UdM'!$H$25:$AK$32,3,0))</f>
        <v>0</v>
      </c>
      <c r="Z97" s="32">
        <f>VLOOKUP($A97,$A$4:$O$28,4,0)*(HLOOKUP(Z$80,'2.2.Brecha Efectiva x UdM'!$H$25:$AK$32,3,0))</f>
        <v>0</v>
      </c>
      <c r="AA97" s="32">
        <f>VLOOKUP($A97,$A$4:$O$28,4,0)*(HLOOKUP(AA$80,'2.2.Brecha Efectiva x UdM'!$H$25:$AK$32,3,0))</f>
        <v>0</v>
      </c>
      <c r="AB97" s="32">
        <f>VLOOKUP($A97,$A$4:$O$28,4,0)*(HLOOKUP(AB$80,'2.2.Brecha Efectiva x UdM'!$H$25:$AK$32,3,0))</f>
        <v>0</v>
      </c>
      <c r="AC97" s="32">
        <f>VLOOKUP($A97,$A$4:$O$28,4,0)*(HLOOKUP(AC$80,'2.2.Brecha Efectiva x UdM'!$H$25:$AK$32,3,0))</f>
        <v>0</v>
      </c>
      <c r="AD97" s="32">
        <f>VLOOKUP($A97,$A$4:$O$28,4,0)*(HLOOKUP(AD$80,'2.2.Brecha Efectiva x UdM'!$H$25:$AK$32,3,0))</f>
        <v>0</v>
      </c>
      <c r="AE97" s="32">
        <f>VLOOKUP($A97,$A$4:$O$28,4,0)*(HLOOKUP(AE$80,'2.2.Brecha Efectiva x UdM'!$H$25:$AK$32,3,0))</f>
        <v>0</v>
      </c>
      <c r="AF97" s="32">
        <f>VLOOKUP($A97,$A$4:$O$28,4,0)*(HLOOKUP(AF$80,'2.2.Brecha Efectiva x UdM'!$H$25:$AK$32,3,0))</f>
        <v>0</v>
      </c>
      <c r="AG97" s="32">
        <f>VLOOKUP($A97,$A$4:$O$28,4,0)*(HLOOKUP(AG$80,'2.2.Brecha Efectiva x UdM'!$H$25:$AK$32,3,0))</f>
        <v>0</v>
      </c>
      <c r="AH97" s="62">
        <f t="shared" si="40"/>
        <v>458310728.77232337</v>
      </c>
    </row>
    <row r="98" spans="1:34" x14ac:dyDescent="0.2">
      <c r="A98" s="26" t="str">
        <f t="shared" si="37"/>
        <v>San Juan</v>
      </c>
      <c r="B98" s="52" t="str">
        <f t="shared" si="38"/>
        <v>Nombre UdM 2</v>
      </c>
      <c r="C98" s="26" t="str">
        <f t="shared" si="39"/>
        <v>San Juan Nombre UdM 2</v>
      </c>
      <c r="D98" s="31">
        <f>VLOOKUP($A98,$A$4:$O$28,4,0)*(HLOOKUP(D$80,'2.2.Brecha Efectiva x UdM'!$H$25:$AK$32,3,0))</f>
        <v>167808893.21975997</v>
      </c>
      <c r="E98" s="31">
        <f>VLOOKUP($A98,$A$4:$O$28,4,0)*(HLOOKUP(E$80,'2.2.Brecha Efectiva x UdM'!$H$25:$AK$32,3,0))</f>
        <v>180013415.96109888</v>
      </c>
      <c r="F98" s="31">
        <f>VLOOKUP($A98,$A$4:$O$28,4,0)*(HLOOKUP(F$80,'2.2.Brecha Efectiva x UdM'!$H$25:$AK$32,3,0))</f>
        <v>272106235.06596589</v>
      </c>
      <c r="G98" s="31">
        <f>VLOOKUP($A98,$A$4:$O$28,4,0)*(HLOOKUP(G$80,'2.2.Brecha Efectiva x UdM'!$H$25:$AK$32,3,0))</f>
        <v>0</v>
      </c>
      <c r="H98" s="31">
        <f>VLOOKUP($A98,$A$4:$O$28,4,0)*(HLOOKUP(H$80,'2.2.Brecha Efectiva x UdM'!$H$25:$AK$32,3,0))</f>
        <v>0</v>
      </c>
      <c r="I98" s="31">
        <f>VLOOKUP($A98,$A$4:$O$28,4,0)*(HLOOKUP(I$80,'2.2.Brecha Efectiva x UdM'!$H$25:$AK$32,3,0))</f>
        <v>0</v>
      </c>
      <c r="J98" s="31">
        <f>VLOOKUP($A98,$A$4:$O$28,4,0)*(HLOOKUP(J$80,'2.2.Brecha Efectiva x UdM'!$H$25:$AK$32,3,0))</f>
        <v>0</v>
      </c>
      <c r="K98" s="31">
        <f>VLOOKUP($A98,$A$4:$O$28,4,0)*(HLOOKUP(K$80,'2.2.Brecha Efectiva x UdM'!$H$25:$AK$32,3,0))</f>
        <v>0</v>
      </c>
      <c r="L98" s="31">
        <f>VLOOKUP($A98,$A$4:$O$28,4,0)*(HLOOKUP(L$80,'2.2.Brecha Efectiva x UdM'!$H$25:$AK$32,3,0))</f>
        <v>0</v>
      </c>
      <c r="M98" s="31">
        <f>VLOOKUP($A98,$A$4:$O$28,4,0)*(HLOOKUP(M$80,'2.2.Brecha Efectiva x UdM'!$H$25:$AK$32,3,0))</f>
        <v>0</v>
      </c>
      <c r="N98" s="31">
        <f>VLOOKUP($A98,$A$4:$O$28,4,0)*(HLOOKUP(N$80,'2.2.Brecha Efectiva x UdM'!$H$25:$AK$32,3,0))</f>
        <v>0</v>
      </c>
      <c r="O98" s="31">
        <f>VLOOKUP($A98,$A$4:$O$28,4,0)*(HLOOKUP(O$80,'2.2.Brecha Efectiva x UdM'!$H$25:$AK$32,3,0))</f>
        <v>0</v>
      </c>
      <c r="P98" s="31">
        <f>VLOOKUP($A98,$A$4:$O$28,4,0)*(HLOOKUP(P$80,'2.2.Brecha Efectiva x UdM'!$H$25:$AK$32,3,0))</f>
        <v>0</v>
      </c>
      <c r="Q98" s="31">
        <f>VLOOKUP($A98,$A$4:$O$28,4,0)*(HLOOKUP(Q$80,'2.2.Brecha Efectiva x UdM'!$H$25:$AK$32,3,0))</f>
        <v>0</v>
      </c>
      <c r="R98" s="31">
        <f>VLOOKUP($A98,$A$4:$O$28,4,0)*(HLOOKUP(R$80,'2.2.Brecha Efectiva x UdM'!$H$25:$AK$32,3,0))</f>
        <v>0</v>
      </c>
      <c r="S98" s="31">
        <f>VLOOKUP($A98,$A$4:$O$28,4,0)*(HLOOKUP(S$80,'2.2.Brecha Efectiva x UdM'!$H$25:$AK$32,3,0))</f>
        <v>0</v>
      </c>
      <c r="T98" s="31">
        <f>VLOOKUP($A98,$A$4:$O$28,4,0)*(HLOOKUP(T$80,'2.2.Brecha Efectiva x UdM'!$H$25:$AK$32,3,0))</f>
        <v>0</v>
      </c>
      <c r="U98" s="31">
        <f>VLOOKUP($A98,$A$4:$O$28,4,0)*(HLOOKUP(U$80,'2.2.Brecha Efectiva x UdM'!$H$25:$AK$32,3,0))</f>
        <v>0</v>
      </c>
      <c r="V98" s="31">
        <f>VLOOKUP($A98,$A$4:$O$28,4,0)*(HLOOKUP(V$80,'2.2.Brecha Efectiva x UdM'!$H$25:$AK$32,3,0))</f>
        <v>0</v>
      </c>
      <c r="W98" s="31">
        <f>VLOOKUP($A98,$A$4:$O$28,4,0)*(HLOOKUP(W$80,'2.2.Brecha Efectiva x UdM'!$H$25:$AK$32,3,0))</f>
        <v>0</v>
      </c>
      <c r="X98" s="31">
        <f>VLOOKUP($A98,$A$4:$O$28,4,0)*(HLOOKUP(X$80,'2.2.Brecha Efectiva x UdM'!$H$25:$AK$32,3,0))</f>
        <v>0</v>
      </c>
      <c r="Y98" s="31">
        <f>VLOOKUP($A98,$A$4:$O$28,4,0)*(HLOOKUP(Y$80,'2.2.Brecha Efectiva x UdM'!$H$25:$AK$32,3,0))</f>
        <v>0</v>
      </c>
      <c r="Z98" s="31">
        <f>VLOOKUP($A98,$A$4:$O$28,4,0)*(HLOOKUP(Z$80,'2.2.Brecha Efectiva x UdM'!$H$25:$AK$32,3,0))</f>
        <v>0</v>
      </c>
      <c r="AA98" s="31">
        <f>VLOOKUP($A98,$A$4:$O$28,4,0)*(HLOOKUP(AA$80,'2.2.Brecha Efectiva x UdM'!$H$25:$AK$32,3,0))</f>
        <v>0</v>
      </c>
      <c r="AB98" s="31">
        <f>VLOOKUP($A98,$A$4:$O$28,4,0)*(HLOOKUP(AB$80,'2.2.Brecha Efectiva x UdM'!$H$25:$AK$32,3,0))</f>
        <v>0</v>
      </c>
      <c r="AC98" s="31">
        <f>VLOOKUP($A98,$A$4:$O$28,4,0)*(HLOOKUP(AC$80,'2.2.Brecha Efectiva x UdM'!$H$25:$AK$32,3,0))</f>
        <v>0</v>
      </c>
      <c r="AD98" s="31">
        <f>VLOOKUP($A98,$A$4:$O$28,4,0)*(HLOOKUP(AD$80,'2.2.Brecha Efectiva x UdM'!$H$25:$AK$32,3,0))</f>
        <v>0</v>
      </c>
      <c r="AE98" s="31">
        <f>VLOOKUP($A98,$A$4:$O$28,4,0)*(HLOOKUP(AE$80,'2.2.Brecha Efectiva x UdM'!$H$25:$AK$32,3,0))</f>
        <v>0</v>
      </c>
      <c r="AF98" s="31">
        <f>VLOOKUP($A98,$A$4:$O$28,4,0)*(HLOOKUP(AF$80,'2.2.Brecha Efectiva x UdM'!$H$25:$AK$32,3,0))</f>
        <v>0</v>
      </c>
      <c r="AG98" s="31">
        <f>VLOOKUP($A98,$A$4:$O$28,4,0)*(HLOOKUP(AG$80,'2.2.Brecha Efectiva x UdM'!$H$25:$AK$32,3,0))</f>
        <v>0</v>
      </c>
      <c r="AH98" s="63">
        <f t="shared" si="40"/>
        <v>619928544.24682474</v>
      </c>
    </row>
    <row r="99" spans="1:34" x14ac:dyDescent="0.2">
      <c r="A99" s="25" t="str">
        <f t="shared" si="37"/>
        <v>San Luis</v>
      </c>
      <c r="B99" s="51" t="str">
        <f t="shared" si="38"/>
        <v>Nombre UdM 2</v>
      </c>
      <c r="C99" s="25" t="str">
        <f t="shared" si="39"/>
        <v>San Luis Nombre UdM 2</v>
      </c>
      <c r="D99" s="32">
        <f>VLOOKUP($A99,$A$4:$O$28,4,0)*(HLOOKUP(D$80,'2.2.Brecha Efectiva x UdM'!$H$25:$AK$32,3,0))</f>
        <v>9016157.1259674877</v>
      </c>
      <c r="E99" s="32">
        <f>VLOOKUP($A99,$A$4:$O$28,4,0)*(HLOOKUP(E$80,'2.2.Brecha Efectiva x UdM'!$H$25:$AK$32,3,0))</f>
        <v>9671890.5175181441</v>
      </c>
      <c r="F99" s="32">
        <f>VLOOKUP($A99,$A$4:$O$28,4,0)*(HLOOKUP(F$80,'2.2.Brecha Efectiva x UdM'!$H$25:$AK$32,3,0))</f>
        <v>14619919.857866647</v>
      </c>
      <c r="G99" s="32">
        <f>VLOOKUP($A99,$A$4:$O$28,4,0)*(HLOOKUP(G$80,'2.2.Brecha Efectiva x UdM'!$H$25:$AK$32,3,0))</f>
        <v>0</v>
      </c>
      <c r="H99" s="32">
        <f>VLOOKUP($A99,$A$4:$O$28,4,0)*(HLOOKUP(H$80,'2.2.Brecha Efectiva x UdM'!$H$25:$AK$32,3,0))</f>
        <v>0</v>
      </c>
      <c r="I99" s="32">
        <f>VLOOKUP($A99,$A$4:$O$28,4,0)*(HLOOKUP(I$80,'2.2.Brecha Efectiva x UdM'!$H$25:$AK$32,3,0))</f>
        <v>0</v>
      </c>
      <c r="J99" s="32">
        <f>VLOOKUP($A99,$A$4:$O$28,4,0)*(HLOOKUP(J$80,'2.2.Brecha Efectiva x UdM'!$H$25:$AK$32,3,0))</f>
        <v>0</v>
      </c>
      <c r="K99" s="32">
        <f>VLOOKUP($A99,$A$4:$O$28,4,0)*(HLOOKUP(K$80,'2.2.Brecha Efectiva x UdM'!$H$25:$AK$32,3,0))</f>
        <v>0</v>
      </c>
      <c r="L99" s="32">
        <f>VLOOKUP($A99,$A$4:$O$28,4,0)*(HLOOKUP(L$80,'2.2.Brecha Efectiva x UdM'!$H$25:$AK$32,3,0))</f>
        <v>0</v>
      </c>
      <c r="M99" s="32">
        <f>VLOOKUP($A99,$A$4:$O$28,4,0)*(HLOOKUP(M$80,'2.2.Brecha Efectiva x UdM'!$H$25:$AK$32,3,0))</f>
        <v>0</v>
      </c>
      <c r="N99" s="32">
        <f>VLOOKUP($A99,$A$4:$O$28,4,0)*(HLOOKUP(N$80,'2.2.Brecha Efectiva x UdM'!$H$25:$AK$32,3,0))</f>
        <v>0</v>
      </c>
      <c r="O99" s="32">
        <f>VLOOKUP($A99,$A$4:$O$28,4,0)*(HLOOKUP(O$80,'2.2.Brecha Efectiva x UdM'!$H$25:$AK$32,3,0))</f>
        <v>0</v>
      </c>
      <c r="P99" s="32">
        <f>VLOOKUP($A99,$A$4:$O$28,4,0)*(HLOOKUP(P$80,'2.2.Brecha Efectiva x UdM'!$H$25:$AK$32,3,0))</f>
        <v>0</v>
      </c>
      <c r="Q99" s="32">
        <f>VLOOKUP($A99,$A$4:$O$28,4,0)*(HLOOKUP(Q$80,'2.2.Brecha Efectiva x UdM'!$H$25:$AK$32,3,0))</f>
        <v>0</v>
      </c>
      <c r="R99" s="32">
        <f>VLOOKUP($A99,$A$4:$O$28,4,0)*(HLOOKUP(R$80,'2.2.Brecha Efectiva x UdM'!$H$25:$AK$32,3,0))</f>
        <v>0</v>
      </c>
      <c r="S99" s="32">
        <f>VLOOKUP($A99,$A$4:$O$28,4,0)*(HLOOKUP(S$80,'2.2.Brecha Efectiva x UdM'!$H$25:$AK$32,3,0))</f>
        <v>0</v>
      </c>
      <c r="T99" s="32">
        <f>VLOOKUP($A99,$A$4:$O$28,4,0)*(HLOOKUP(T$80,'2.2.Brecha Efectiva x UdM'!$H$25:$AK$32,3,0))</f>
        <v>0</v>
      </c>
      <c r="U99" s="32">
        <f>VLOOKUP($A99,$A$4:$O$28,4,0)*(HLOOKUP(U$80,'2.2.Brecha Efectiva x UdM'!$H$25:$AK$32,3,0))</f>
        <v>0</v>
      </c>
      <c r="V99" s="32">
        <f>VLOOKUP($A99,$A$4:$O$28,4,0)*(HLOOKUP(V$80,'2.2.Brecha Efectiva x UdM'!$H$25:$AK$32,3,0))</f>
        <v>0</v>
      </c>
      <c r="W99" s="32">
        <f>VLOOKUP($A99,$A$4:$O$28,4,0)*(HLOOKUP(W$80,'2.2.Brecha Efectiva x UdM'!$H$25:$AK$32,3,0))</f>
        <v>0</v>
      </c>
      <c r="X99" s="32">
        <f>VLOOKUP($A99,$A$4:$O$28,4,0)*(HLOOKUP(X$80,'2.2.Brecha Efectiva x UdM'!$H$25:$AK$32,3,0))</f>
        <v>0</v>
      </c>
      <c r="Y99" s="32">
        <f>VLOOKUP($A99,$A$4:$O$28,4,0)*(HLOOKUP(Y$80,'2.2.Brecha Efectiva x UdM'!$H$25:$AK$32,3,0))</f>
        <v>0</v>
      </c>
      <c r="Z99" s="32">
        <f>VLOOKUP($A99,$A$4:$O$28,4,0)*(HLOOKUP(Z$80,'2.2.Brecha Efectiva x UdM'!$H$25:$AK$32,3,0))</f>
        <v>0</v>
      </c>
      <c r="AA99" s="32">
        <f>VLOOKUP($A99,$A$4:$O$28,4,0)*(HLOOKUP(AA$80,'2.2.Brecha Efectiva x UdM'!$H$25:$AK$32,3,0))</f>
        <v>0</v>
      </c>
      <c r="AB99" s="32">
        <f>VLOOKUP($A99,$A$4:$O$28,4,0)*(HLOOKUP(AB$80,'2.2.Brecha Efectiva x UdM'!$H$25:$AK$32,3,0))</f>
        <v>0</v>
      </c>
      <c r="AC99" s="32">
        <f>VLOOKUP($A99,$A$4:$O$28,4,0)*(HLOOKUP(AC$80,'2.2.Brecha Efectiva x UdM'!$H$25:$AK$32,3,0))</f>
        <v>0</v>
      </c>
      <c r="AD99" s="32">
        <f>VLOOKUP($A99,$A$4:$O$28,4,0)*(HLOOKUP(AD$80,'2.2.Brecha Efectiva x UdM'!$H$25:$AK$32,3,0))</f>
        <v>0</v>
      </c>
      <c r="AE99" s="32">
        <f>VLOOKUP($A99,$A$4:$O$28,4,0)*(HLOOKUP(AE$80,'2.2.Brecha Efectiva x UdM'!$H$25:$AK$32,3,0))</f>
        <v>0</v>
      </c>
      <c r="AF99" s="32">
        <f>VLOOKUP($A99,$A$4:$O$28,4,0)*(HLOOKUP(AF$80,'2.2.Brecha Efectiva x UdM'!$H$25:$AK$32,3,0))</f>
        <v>0</v>
      </c>
      <c r="AG99" s="32">
        <f>VLOOKUP($A99,$A$4:$O$28,4,0)*(HLOOKUP(AG$80,'2.2.Brecha Efectiva x UdM'!$H$25:$AK$32,3,0))</f>
        <v>0</v>
      </c>
      <c r="AH99" s="62">
        <f t="shared" si="40"/>
        <v>33307967.50135228</v>
      </c>
    </row>
    <row r="100" spans="1:34" x14ac:dyDescent="0.2">
      <c r="A100" s="26" t="str">
        <f t="shared" si="37"/>
        <v>Santa Cruz</v>
      </c>
      <c r="B100" s="52" t="str">
        <f t="shared" si="38"/>
        <v>Nombre UdM 2</v>
      </c>
      <c r="C100" s="26" t="str">
        <f t="shared" si="39"/>
        <v>Santa Cruz Nombre UdM 2</v>
      </c>
      <c r="D100" s="31">
        <f>VLOOKUP($A100,$A$4:$O$28,4,0)*(HLOOKUP(D$80,'2.2.Brecha Efectiva x UdM'!$H$25:$AK$32,3,0))</f>
        <v>565100493.12791753</v>
      </c>
      <c r="E100" s="31">
        <f>VLOOKUP($A100,$A$4:$O$28,4,0)*(HLOOKUP(E$80,'2.2.Brecha Efectiva x UdM'!$H$25:$AK$32,3,0))</f>
        <v>606199517.66227031</v>
      </c>
      <c r="F100" s="31">
        <f>VLOOKUP($A100,$A$4:$O$28,4,0)*(HLOOKUP(F$80,'2.2.Brecha Efectiva x UdM'!$H$25:$AK$32,3,0))</f>
        <v>916324305.99245393</v>
      </c>
      <c r="G100" s="31">
        <f>VLOOKUP($A100,$A$4:$O$28,4,0)*(HLOOKUP(G$80,'2.2.Brecha Efectiva x UdM'!$H$25:$AK$32,3,0))</f>
        <v>0</v>
      </c>
      <c r="H100" s="31">
        <f>VLOOKUP($A100,$A$4:$O$28,4,0)*(HLOOKUP(H$80,'2.2.Brecha Efectiva x UdM'!$H$25:$AK$32,3,0))</f>
        <v>0</v>
      </c>
      <c r="I100" s="31">
        <f>VLOOKUP($A100,$A$4:$O$28,4,0)*(HLOOKUP(I$80,'2.2.Brecha Efectiva x UdM'!$H$25:$AK$32,3,0))</f>
        <v>0</v>
      </c>
      <c r="J100" s="31">
        <f>VLOOKUP($A100,$A$4:$O$28,4,0)*(HLOOKUP(J$80,'2.2.Brecha Efectiva x UdM'!$H$25:$AK$32,3,0))</f>
        <v>0</v>
      </c>
      <c r="K100" s="31">
        <f>VLOOKUP($A100,$A$4:$O$28,4,0)*(HLOOKUP(K$80,'2.2.Brecha Efectiva x UdM'!$H$25:$AK$32,3,0))</f>
        <v>0</v>
      </c>
      <c r="L100" s="31">
        <f>VLOOKUP($A100,$A$4:$O$28,4,0)*(HLOOKUP(L$80,'2.2.Brecha Efectiva x UdM'!$H$25:$AK$32,3,0))</f>
        <v>0</v>
      </c>
      <c r="M100" s="31">
        <f>VLOOKUP($A100,$A$4:$O$28,4,0)*(HLOOKUP(M$80,'2.2.Brecha Efectiva x UdM'!$H$25:$AK$32,3,0))</f>
        <v>0</v>
      </c>
      <c r="N100" s="31">
        <f>VLOOKUP($A100,$A$4:$O$28,4,0)*(HLOOKUP(N$80,'2.2.Brecha Efectiva x UdM'!$H$25:$AK$32,3,0))</f>
        <v>0</v>
      </c>
      <c r="O100" s="31">
        <f>VLOOKUP($A100,$A$4:$O$28,4,0)*(HLOOKUP(O$80,'2.2.Brecha Efectiva x UdM'!$H$25:$AK$32,3,0))</f>
        <v>0</v>
      </c>
      <c r="P100" s="31">
        <f>VLOOKUP($A100,$A$4:$O$28,4,0)*(HLOOKUP(P$80,'2.2.Brecha Efectiva x UdM'!$H$25:$AK$32,3,0))</f>
        <v>0</v>
      </c>
      <c r="Q100" s="31">
        <f>VLOOKUP($A100,$A$4:$O$28,4,0)*(HLOOKUP(Q$80,'2.2.Brecha Efectiva x UdM'!$H$25:$AK$32,3,0))</f>
        <v>0</v>
      </c>
      <c r="R100" s="31">
        <f>VLOOKUP($A100,$A$4:$O$28,4,0)*(HLOOKUP(R$80,'2.2.Brecha Efectiva x UdM'!$H$25:$AK$32,3,0))</f>
        <v>0</v>
      </c>
      <c r="S100" s="31">
        <f>VLOOKUP($A100,$A$4:$O$28,4,0)*(HLOOKUP(S$80,'2.2.Brecha Efectiva x UdM'!$H$25:$AK$32,3,0))</f>
        <v>0</v>
      </c>
      <c r="T100" s="31">
        <f>VLOOKUP($A100,$A$4:$O$28,4,0)*(HLOOKUP(T$80,'2.2.Brecha Efectiva x UdM'!$H$25:$AK$32,3,0))</f>
        <v>0</v>
      </c>
      <c r="U100" s="31">
        <f>VLOOKUP($A100,$A$4:$O$28,4,0)*(HLOOKUP(U$80,'2.2.Brecha Efectiva x UdM'!$H$25:$AK$32,3,0))</f>
        <v>0</v>
      </c>
      <c r="V100" s="31">
        <f>VLOOKUP($A100,$A$4:$O$28,4,0)*(HLOOKUP(V$80,'2.2.Brecha Efectiva x UdM'!$H$25:$AK$32,3,0))</f>
        <v>0</v>
      </c>
      <c r="W100" s="31">
        <f>VLOOKUP($A100,$A$4:$O$28,4,0)*(HLOOKUP(W$80,'2.2.Brecha Efectiva x UdM'!$H$25:$AK$32,3,0))</f>
        <v>0</v>
      </c>
      <c r="X100" s="31">
        <f>VLOOKUP($A100,$A$4:$O$28,4,0)*(HLOOKUP(X$80,'2.2.Brecha Efectiva x UdM'!$H$25:$AK$32,3,0))</f>
        <v>0</v>
      </c>
      <c r="Y100" s="31">
        <f>VLOOKUP($A100,$A$4:$O$28,4,0)*(HLOOKUP(Y$80,'2.2.Brecha Efectiva x UdM'!$H$25:$AK$32,3,0))</f>
        <v>0</v>
      </c>
      <c r="Z100" s="31">
        <f>VLOOKUP($A100,$A$4:$O$28,4,0)*(HLOOKUP(Z$80,'2.2.Brecha Efectiva x UdM'!$H$25:$AK$32,3,0))</f>
        <v>0</v>
      </c>
      <c r="AA100" s="31">
        <f>VLOOKUP($A100,$A$4:$O$28,4,0)*(HLOOKUP(AA$80,'2.2.Brecha Efectiva x UdM'!$H$25:$AK$32,3,0))</f>
        <v>0</v>
      </c>
      <c r="AB100" s="31">
        <f>VLOOKUP($A100,$A$4:$O$28,4,0)*(HLOOKUP(AB$80,'2.2.Brecha Efectiva x UdM'!$H$25:$AK$32,3,0))</f>
        <v>0</v>
      </c>
      <c r="AC100" s="31">
        <f>VLOOKUP($A100,$A$4:$O$28,4,0)*(HLOOKUP(AC$80,'2.2.Brecha Efectiva x UdM'!$H$25:$AK$32,3,0))</f>
        <v>0</v>
      </c>
      <c r="AD100" s="31">
        <f>VLOOKUP($A100,$A$4:$O$28,4,0)*(HLOOKUP(AD$80,'2.2.Brecha Efectiva x UdM'!$H$25:$AK$32,3,0))</f>
        <v>0</v>
      </c>
      <c r="AE100" s="31">
        <f>VLOOKUP($A100,$A$4:$O$28,4,0)*(HLOOKUP(AE$80,'2.2.Brecha Efectiva x UdM'!$H$25:$AK$32,3,0))</f>
        <v>0</v>
      </c>
      <c r="AF100" s="31">
        <f>VLOOKUP($A100,$A$4:$O$28,4,0)*(HLOOKUP(AF$80,'2.2.Brecha Efectiva x UdM'!$H$25:$AK$32,3,0))</f>
        <v>0</v>
      </c>
      <c r="AG100" s="31">
        <f>VLOOKUP($A100,$A$4:$O$28,4,0)*(HLOOKUP(AG$80,'2.2.Brecha Efectiva x UdM'!$H$25:$AK$32,3,0))</f>
        <v>0</v>
      </c>
      <c r="AH100" s="63">
        <f t="shared" si="40"/>
        <v>2087624316.7826419</v>
      </c>
    </row>
    <row r="101" spans="1:34" x14ac:dyDescent="0.2">
      <c r="A101" s="25" t="str">
        <f t="shared" si="37"/>
        <v>Santa Fe</v>
      </c>
      <c r="B101" s="51" t="str">
        <f t="shared" si="38"/>
        <v>Nombre UdM 2</v>
      </c>
      <c r="C101" s="25" t="str">
        <f t="shared" si="39"/>
        <v>Santa Fe Nombre UdM 2</v>
      </c>
      <c r="D101" s="32">
        <f>VLOOKUP($A101,$A$4:$O$28,4,0)*(HLOOKUP(D$80,'2.2.Brecha Efectiva x UdM'!$H$25:$AK$32,3,0))</f>
        <v>16693528.584304521</v>
      </c>
      <c r="E101" s="32">
        <f>VLOOKUP($A101,$A$4:$O$28,4,0)*(HLOOKUP(E$80,'2.2.Brecha Efectiva x UdM'!$H$25:$AK$32,3,0))</f>
        <v>17907627.22551018</v>
      </c>
      <c r="F101" s="32">
        <f>VLOOKUP($A101,$A$4:$O$28,4,0)*(HLOOKUP(F$80,'2.2.Brecha Efectiva x UdM'!$H$25:$AK$32,3,0))</f>
        <v>27068965.928358227</v>
      </c>
      <c r="G101" s="32">
        <f>VLOOKUP($A101,$A$4:$O$28,4,0)*(HLOOKUP(G$80,'2.2.Brecha Efectiva x UdM'!$H$25:$AK$32,3,0))</f>
        <v>0</v>
      </c>
      <c r="H101" s="32">
        <f>VLOOKUP($A101,$A$4:$O$28,4,0)*(HLOOKUP(H$80,'2.2.Brecha Efectiva x UdM'!$H$25:$AK$32,3,0))</f>
        <v>0</v>
      </c>
      <c r="I101" s="32">
        <f>VLOOKUP($A101,$A$4:$O$28,4,0)*(HLOOKUP(I$80,'2.2.Brecha Efectiva x UdM'!$H$25:$AK$32,3,0))</f>
        <v>0</v>
      </c>
      <c r="J101" s="32">
        <f>VLOOKUP($A101,$A$4:$O$28,4,0)*(HLOOKUP(J$80,'2.2.Brecha Efectiva x UdM'!$H$25:$AK$32,3,0))</f>
        <v>0</v>
      </c>
      <c r="K101" s="32">
        <f>VLOOKUP($A101,$A$4:$O$28,4,0)*(HLOOKUP(K$80,'2.2.Brecha Efectiva x UdM'!$H$25:$AK$32,3,0))</f>
        <v>0</v>
      </c>
      <c r="L101" s="32">
        <f>VLOOKUP($A101,$A$4:$O$28,4,0)*(HLOOKUP(L$80,'2.2.Brecha Efectiva x UdM'!$H$25:$AK$32,3,0))</f>
        <v>0</v>
      </c>
      <c r="M101" s="32">
        <f>VLOOKUP($A101,$A$4:$O$28,4,0)*(HLOOKUP(M$80,'2.2.Brecha Efectiva x UdM'!$H$25:$AK$32,3,0))</f>
        <v>0</v>
      </c>
      <c r="N101" s="32">
        <f>VLOOKUP($A101,$A$4:$O$28,4,0)*(HLOOKUP(N$80,'2.2.Brecha Efectiva x UdM'!$H$25:$AK$32,3,0))</f>
        <v>0</v>
      </c>
      <c r="O101" s="32">
        <f>VLOOKUP($A101,$A$4:$O$28,4,0)*(HLOOKUP(O$80,'2.2.Brecha Efectiva x UdM'!$H$25:$AK$32,3,0))</f>
        <v>0</v>
      </c>
      <c r="P101" s="32">
        <f>VLOOKUP($A101,$A$4:$O$28,4,0)*(HLOOKUP(P$80,'2.2.Brecha Efectiva x UdM'!$H$25:$AK$32,3,0))</f>
        <v>0</v>
      </c>
      <c r="Q101" s="32">
        <f>VLOOKUP($A101,$A$4:$O$28,4,0)*(HLOOKUP(Q$80,'2.2.Brecha Efectiva x UdM'!$H$25:$AK$32,3,0))</f>
        <v>0</v>
      </c>
      <c r="R101" s="32">
        <f>VLOOKUP($A101,$A$4:$O$28,4,0)*(HLOOKUP(R$80,'2.2.Brecha Efectiva x UdM'!$H$25:$AK$32,3,0))</f>
        <v>0</v>
      </c>
      <c r="S101" s="32">
        <f>VLOOKUP($A101,$A$4:$O$28,4,0)*(HLOOKUP(S$80,'2.2.Brecha Efectiva x UdM'!$H$25:$AK$32,3,0))</f>
        <v>0</v>
      </c>
      <c r="T101" s="32">
        <f>VLOOKUP($A101,$A$4:$O$28,4,0)*(HLOOKUP(T$80,'2.2.Brecha Efectiva x UdM'!$H$25:$AK$32,3,0))</f>
        <v>0</v>
      </c>
      <c r="U101" s="32">
        <f>VLOOKUP($A101,$A$4:$O$28,4,0)*(HLOOKUP(U$80,'2.2.Brecha Efectiva x UdM'!$H$25:$AK$32,3,0))</f>
        <v>0</v>
      </c>
      <c r="V101" s="32">
        <f>VLOOKUP($A101,$A$4:$O$28,4,0)*(HLOOKUP(V$80,'2.2.Brecha Efectiva x UdM'!$H$25:$AK$32,3,0))</f>
        <v>0</v>
      </c>
      <c r="W101" s="32">
        <f>VLOOKUP($A101,$A$4:$O$28,4,0)*(HLOOKUP(W$80,'2.2.Brecha Efectiva x UdM'!$H$25:$AK$32,3,0))</f>
        <v>0</v>
      </c>
      <c r="X101" s="32">
        <f>VLOOKUP($A101,$A$4:$O$28,4,0)*(HLOOKUP(X$80,'2.2.Brecha Efectiva x UdM'!$H$25:$AK$32,3,0))</f>
        <v>0</v>
      </c>
      <c r="Y101" s="32">
        <f>VLOOKUP($A101,$A$4:$O$28,4,0)*(HLOOKUP(Y$80,'2.2.Brecha Efectiva x UdM'!$H$25:$AK$32,3,0))</f>
        <v>0</v>
      </c>
      <c r="Z101" s="32">
        <f>VLOOKUP($A101,$A$4:$O$28,4,0)*(HLOOKUP(Z$80,'2.2.Brecha Efectiva x UdM'!$H$25:$AK$32,3,0))</f>
        <v>0</v>
      </c>
      <c r="AA101" s="32">
        <f>VLOOKUP($A101,$A$4:$O$28,4,0)*(HLOOKUP(AA$80,'2.2.Brecha Efectiva x UdM'!$H$25:$AK$32,3,0))</f>
        <v>0</v>
      </c>
      <c r="AB101" s="32">
        <f>VLOOKUP($A101,$A$4:$O$28,4,0)*(HLOOKUP(AB$80,'2.2.Brecha Efectiva x UdM'!$H$25:$AK$32,3,0))</f>
        <v>0</v>
      </c>
      <c r="AC101" s="32">
        <f>VLOOKUP($A101,$A$4:$O$28,4,0)*(HLOOKUP(AC$80,'2.2.Brecha Efectiva x UdM'!$H$25:$AK$32,3,0))</f>
        <v>0</v>
      </c>
      <c r="AD101" s="32">
        <f>VLOOKUP($A101,$A$4:$O$28,4,0)*(HLOOKUP(AD$80,'2.2.Brecha Efectiva x UdM'!$H$25:$AK$32,3,0))</f>
        <v>0</v>
      </c>
      <c r="AE101" s="32">
        <f>VLOOKUP($A101,$A$4:$O$28,4,0)*(HLOOKUP(AE$80,'2.2.Brecha Efectiva x UdM'!$H$25:$AK$32,3,0))</f>
        <v>0</v>
      </c>
      <c r="AF101" s="32">
        <f>VLOOKUP($A101,$A$4:$O$28,4,0)*(HLOOKUP(AF$80,'2.2.Brecha Efectiva x UdM'!$H$25:$AK$32,3,0))</f>
        <v>0</v>
      </c>
      <c r="AG101" s="32">
        <f>VLOOKUP($A101,$A$4:$O$28,4,0)*(HLOOKUP(AG$80,'2.2.Brecha Efectiva x UdM'!$H$25:$AK$32,3,0))</f>
        <v>0</v>
      </c>
      <c r="AH101" s="62">
        <f t="shared" si="40"/>
        <v>61670121.738172926</v>
      </c>
    </row>
    <row r="102" spans="1:34" x14ac:dyDescent="0.2">
      <c r="A102" s="26" t="str">
        <f t="shared" si="37"/>
        <v>Santiago del Estero</v>
      </c>
      <c r="B102" s="52" t="str">
        <f t="shared" si="38"/>
        <v>Nombre UdM 2</v>
      </c>
      <c r="C102" s="26" t="str">
        <f t="shared" si="39"/>
        <v>Santiago del Estero Nombre UdM 2</v>
      </c>
      <c r="D102" s="31">
        <f>VLOOKUP($A102,$A$4:$O$28,4,0)*(HLOOKUP(D$80,'2.2.Brecha Efectiva x UdM'!$H$25:$AK$32,3,0))</f>
        <v>15354742.916674068</v>
      </c>
      <c r="E102" s="31">
        <f>VLOOKUP($A102,$A$4:$O$28,4,0)*(HLOOKUP(E$80,'2.2.Brecha Efectiva x UdM'!$H$25:$AK$32,3,0))</f>
        <v>16471473.415984072</v>
      </c>
      <c r="F102" s="31">
        <f>VLOOKUP($A102,$A$4:$O$28,4,0)*(HLOOKUP(F$80,'2.2.Brecha Efectiva x UdM'!$H$25:$AK$32,3,0))</f>
        <v>24898092.140983164</v>
      </c>
      <c r="G102" s="31">
        <f>VLOOKUP($A102,$A$4:$O$28,4,0)*(HLOOKUP(G$80,'2.2.Brecha Efectiva x UdM'!$H$25:$AK$32,3,0))</f>
        <v>0</v>
      </c>
      <c r="H102" s="31">
        <f>VLOOKUP($A102,$A$4:$O$28,4,0)*(HLOOKUP(H$80,'2.2.Brecha Efectiva x UdM'!$H$25:$AK$32,3,0))</f>
        <v>0</v>
      </c>
      <c r="I102" s="31">
        <f>VLOOKUP($A102,$A$4:$O$28,4,0)*(HLOOKUP(I$80,'2.2.Brecha Efectiva x UdM'!$H$25:$AK$32,3,0))</f>
        <v>0</v>
      </c>
      <c r="J102" s="31">
        <f>VLOOKUP($A102,$A$4:$O$28,4,0)*(HLOOKUP(J$80,'2.2.Brecha Efectiva x UdM'!$H$25:$AK$32,3,0))</f>
        <v>0</v>
      </c>
      <c r="K102" s="31">
        <f>VLOOKUP($A102,$A$4:$O$28,4,0)*(HLOOKUP(K$80,'2.2.Brecha Efectiva x UdM'!$H$25:$AK$32,3,0))</f>
        <v>0</v>
      </c>
      <c r="L102" s="31">
        <f>VLOOKUP($A102,$A$4:$O$28,4,0)*(HLOOKUP(L$80,'2.2.Brecha Efectiva x UdM'!$H$25:$AK$32,3,0))</f>
        <v>0</v>
      </c>
      <c r="M102" s="31">
        <f>VLOOKUP($A102,$A$4:$O$28,4,0)*(HLOOKUP(M$80,'2.2.Brecha Efectiva x UdM'!$H$25:$AK$32,3,0))</f>
        <v>0</v>
      </c>
      <c r="N102" s="31">
        <f>VLOOKUP($A102,$A$4:$O$28,4,0)*(HLOOKUP(N$80,'2.2.Brecha Efectiva x UdM'!$H$25:$AK$32,3,0))</f>
        <v>0</v>
      </c>
      <c r="O102" s="31">
        <f>VLOOKUP($A102,$A$4:$O$28,4,0)*(HLOOKUP(O$80,'2.2.Brecha Efectiva x UdM'!$H$25:$AK$32,3,0))</f>
        <v>0</v>
      </c>
      <c r="P102" s="31">
        <f>VLOOKUP($A102,$A$4:$O$28,4,0)*(HLOOKUP(P$80,'2.2.Brecha Efectiva x UdM'!$H$25:$AK$32,3,0))</f>
        <v>0</v>
      </c>
      <c r="Q102" s="31">
        <f>VLOOKUP($A102,$A$4:$O$28,4,0)*(HLOOKUP(Q$80,'2.2.Brecha Efectiva x UdM'!$H$25:$AK$32,3,0))</f>
        <v>0</v>
      </c>
      <c r="R102" s="31">
        <f>VLOOKUP($A102,$A$4:$O$28,4,0)*(HLOOKUP(R$80,'2.2.Brecha Efectiva x UdM'!$H$25:$AK$32,3,0))</f>
        <v>0</v>
      </c>
      <c r="S102" s="31">
        <f>VLOOKUP($A102,$A$4:$O$28,4,0)*(HLOOKUP(S$80,'2.2.Brecha Efectiva x UdM'!$H$25:$AK$32,3,0))</f>
        <v>0</v>
      </c>
      <c r="T102" s="31">
        <f>VLOOKUP($A102,$A$4:$O$28,4,0)*(HLOOKUP(T$80,'2.2.Brecha Efectiva x UdM'!$H$25:$AK$32,3,0))</f>
        <v>0</v>
      </c>
      <c r="U102" s="31">
        <f>VLOOKUP($A102,$A$4:$O$28,4,0)*(HLOOKUP(U$80,'2.2.Brecha Efectiva x UdM'!$H$25:$AK$32,3,0))</f>
        <v>0</v>
      </c>
      <c r="V102" s="31">
        <f>VLOOKUP($A102,$A$4:$O$28,4,0)*(HLOOKUP(V$80,'2.2.Brecha Efectiva x UdM'!$H$25:$AK$32,3,0))</f>
        <v>0</v>
      </c>
      <c r="W102" s="31">
        <f>VLOOKUP($A102,$A$4:$O$28,4,0)*(HLOOKUP(W$80,'2.2.Brecha Efectiva x UdM'!$H$25:$AK$32,3,0))</f>
        <v>0</v>
      </c>
      <c r="X102" s="31">
        <f>VLOOKUP($A102,$A$4:$O$28,4,0)*(HLOOKUP(X$80,'2.2.Brecha Efectiva x UdM'!$H$25:$AK$32,3,0))</f>
        <v>0</v>
      </c>
      <c r="Y102" s="31">
        <f>VLOOKUP($A102,$A$4:$O$28,4,0)*(HLOOKUP(Y$80,'2.2.Brecha Efectiva x UdM'!$H$25:$AK$32,3,0))</f>
        <v>0</v>
      </c>
      <c r="Z102" s="31">
        <f>VLOOKUP($A102,$A$4:$O$28,4,0)*(HLOOKUP(Z$80,'2.2.Brecha Efectiva x UdM'!$H$25:$AK$32,3,0))</f>
        <v>0</v>
      </c>
      <c r="AA102" s="31">
        <f>VLOOKUP($A102,$A$4:$O$28,4,0)*(HLOOKUP(AA$80,'2.2.Brecha Efectiva x UdM'!$H$25:$AK$32,3,0))</f>
        <v>0</v>
      </c>
      <c r="AB102" s="31">
        <f>VLOOKUP($A102,$A$4:$O$28,4,0)*(HLOOKUP(AB$80,'2.2.Brecha Efectiva x UdM'!$H$25:$AK$32,3,0))</f>
        <v>0</v>
      </c>
      <c r="AC102" s="31">
        <f>VLOOKUP($A102,$A$4:$O$28,4,0)*(HLOOKUP(AC$80,'2.2.Brecha Efectiva x UdM'!$H$25:$AK$32,3,0))</f>
        <v>0</v>
      </c>
      <c r="AD102" s="31">
        <f>VLOOKUP($A102,$A$4:$O$28,4,0)*(HLOOKUP(AD$80,'2.2.Brecha Efectiva x UdM'!$H$25:$AK$32,3,0))</f>
        <v>0</v>
      </c>
      <c r="AE102" s="31">
        <f>VLOOKUP($A102,$A$4:$O$28,4,0)*(HLOOKUP(AE$80,'2.2.Brecha Efectiva x UdM'!$H$25:$AK$32,3,0))</f>
        <v>0</v>
      </c>
      <c r="AF102" s="31">
        <f>VLOOKUP($A102,$A$4:$O$28,4,0)*(HLOOKUP(AF$80,'2.2.Brecha Efectiva x UdM'!$H$25:$AK$32,3,0))</f>
        <v>0</v>
      </c>
      <c r="AG102" s="31">
        <f>VLOOKUP($A102,$A$4:$O$28,4,0)*(HLOOKUP(AG$80,'2.2.Brecha Efectiva x UdM'!$H$25:$AK$32,3,0))</f>
        <v>0</v>
      </c>
      <c r="AH102" s="63">
        <f t="shared" si="40"/>
        <v>56724308.473641306</v>
      </c>
    </row>
    <row r="103" spans="1:34" x14ac:dyDescent="0.2">
      <c r="A103" s="25" t="str">
        <f t="shared" si="37"/>
        <v>Tierra del Fuego</v>
      </c>
      <c r="B103" s="51" t="str">
        <f t="shared" si="38"/>
        <v>Nombre UdM 2</v>
      </c>
      <c r="C103" s="25" t="str">
        <f t="shared" si="39"/>
        <v>Tierra del Fuego Nombre UdM 2</v>
      </c>
      <c r="D103" s="32">
        <f>VLOOKUP($A103,$A$4:$O$28,4,0)*(HLOOKUP(D$80,'2.2.Brecha Efectiva x UdM'!$H$25:$AK$32,3,0))</f>
        <v>52303136.657572359</v>
      </c>
      <c r="E103" s="32">
        <f>VLOOKUP($A103,$A$4:$O$28,4,0)*(HLOOKUP(E$80,'2.2.Brecha Efectiva x UdM'!$H$25:$AK$32,3,0))</f>
        <v>56107075.820348114</v>
      </c>
      <c r="F103" s="32">
        <f>VLOOKUP($A103,$A$4:$O$28,4,0)*(HLOOKUP(F$80,'2.2.Brecha Efectiva x UdM'!$H$25:$AK$32,3,0))</f>
        <v>84810818.574404746</v>
      </c>
      <c r="G103" s="32">
        <f>VLOOKUP($A103,$A$4:$O$28,4,0)*(HLOOKUP(G$80,'2.2.Brecha Efectiva x UdM'!$H$25:$AK$32,3,0))</f>
        <v>0</v>
      </c>
      <c r="H103" s="32">
        <f>VLOOKUP($A103,$A$4:$O$28,4,0)*(HLOOKUP(H$80,'2.2.Brecha Efectiva x UdM'!$H$25:$AK$32,3,0))</f>
        <v>0</v>
      </c>
      <c r="I103" s="32">
        <f>VLOOKUP($A103,$A$4:$O$28,4,0)*(HLOOKUP(I$80,'2.2.Brecha Efectiva x UdM'!$H$25:$AK$32,3,0))</f>
        <v>0</v>
      </c>
      <c r="J103" s="32">
        <f>VLOOKUP($A103,$A$4:$O$28,4,0)*(HLOOKUP(J$80,'2.2.Brecha Efectiva x UdM'!$H$25:$AK$32,3,0))</f>
        <v>0</v>
      </c>
      <c r="K103" s="32">
        <f>VLOOKUP($A103,$A$4:$O$28,4,0)*(HLOOKUP(K$80,'2.2.Brecha Efectiva x UdM'!$H$25:$AK$32,3,0))</f>
        <v>0</v>
      </c>
      <c r="L103" s="32">
        <f>VLOOKUP($A103,$A$4:$O$28,4,0)*(HLOOKUP(L$80,'2.2.Brecha Efectiva x UdM'!$H$25:$AK$32,3,0))</f>
        <v>0</v>
      </c>
      <c r="M103" s="32">
        <f>VLOOKUP($A103,$A$4:$O$28,4,0)*(HLOOKUP(M$80,'2.2.Brecha Efectiva x UdM'!$H$25:$AK$32,3,0))</f>
        <v>0</v>
      </c>
      <c r="N103" s="32">
        <f>VLOOKUP($A103,$A$4:$O$28,4,0)*(HLOOKUP(N$80,'2.2.Brecha Efectiva x UdM'!$H$25:$AK$32,3,0))</f>
        <v>0</v>
      </c>
      <c r="O103" s="32">
        <f>VLOOKUP($A103,$A$4:$O$28,4,0)*(HLOOKUP(O$80,'2.2.Brecha Efectiva x UdM'!$H$25:$AK$32,3,0))</f>
        <v>0</v>
      </c>
      <c r="P103" s="32">
        <f>VLOOKUP($A103,$A$4:$O$28,4,0)*(HLOOKUP(P$80,'2.2.Brecha Efectiva x UdM'!$H$25:$AK$32,3,0))</f>
        <v>0</v>
      </c>
      <c r="Q103" s="32">
        <f>VLOOKUP($A103,$A$4:$O$28,4,0)*(HLOOKUP(Q$80,'2.2.Brecha Efectiva x UdM'!$H$25:$AK$32,3,0))</f>
        <v>0</v>
      </c>
      <c r="R103" s="32">
        <f>VLOOKUP($A103,$A$4:$O$28,4,0)*(HLOOKUP(R$80,'2.2.Brecha Efectiva x UdM'!$H$25:$AK$32,3,0))</f>
        <v>0</v>
      </c>
      <c r="S103" s="32">
        <f>VLOOKUP($A103,$A$4:$O$28,4,0)*(HLOOKUP(S$80,'2.2.Brecha Efectiva x UdM'!$H$25:$AK$32,3,0))</f>
        <v>0</v>
      </c>
      <c r="T103" s="32">
        <f>VLOOKUP($A103,$A$4:$O$28,4,0)*(HLOOKUP(T$80,'2.2.Brecha Efectiva x UdM'!$H$25:$AK$32,3,0))</f>
        <v>0</v>
      </c>
      <c r="U103" s="32">
        <f>VLOOKUP($A103,$A$4:$O$28,4,0)*(HLOOKUP(U$80,'2.2.Brecha Efectiva x UdM'!$H$25:$AK$32,3,0))</f>
        <v>0</v>
      </c>
      <c r="V103" s="32">
        <f>VLOOKUP($A103,$A$4:$O$28,4,0)*(HLOOKUP(V$80,'2.2.Brecha Efectiva x UdM'!$H$25:$AK$32,3,0))</f>
        <v>0</v>
      </c>
      <c r="W103" s="32">
        <f>VLOOKUP($A103,$A$4:$O$28,4,0)*(HLOOKUP(W$80,'2.2.Brecha Efectiva x UdM'!$H$25:$AK$32,3,0))</f>
        <v>0</v>
      </c>
      <c r="X103" s="32">
        <f>VLOOKUP($A103,$A$4:$O$28,4,0)*(HLOOKUP(X$80,'2.2.Brecha Efectiva x UdM'!$H$25:$AK$32,3,0))</f>
        <v>0</v>
      </c>
      <c r="Y103" s="32">
        <f>VLOOKUP($A103,$A$4:$O$28,4,0)*(HLOOKUP(Y$80,'2.2.Brecha Efectiva x UdM'!$H$25:$AK$32,3,0))</f>
        <v>0</v>
      </c>
      <c r="Z103" s="32">
        <f>VLOOKUP($A103,$A$4:$O$28,4,0)*(HLOOKUP(Z$80,'2.2.Brecha Efectiva x UdM'!$H$25:$AK$32,3,0))</f>
        <v>0</v>
      </c>
      <c r="AA103" s="32">
        <f>VLOOKUP($A103,$A$4:$O$28,4,0)*(HLOOKUP(AA$80,'2.2.Brecha Efectiva x UdM'!$H$25:$AK$32,3,0))</f>
        <v>0</v>
      </c>
      <c r="AB103" s="32">
        <f>VLOOKUP($A103,$A$4:$O$28,4,0)*(HLOOKUP(AB$80,'2.2.Brecha Efectiva x UdM'!$H$25:$AK$32,3,0))</f>
        <v>0</v>
      </c>
      <c r="AC103" s="32">
        <f>VLOOKUP($A103,$A$4:$O$28,4,0)*(HLOOKUP(AC$80,'2.2.Brecha Efectiva x UdM'!$H$25:$AK$32,3,0))</f>
        <v>0</v>
      </c>
      <c r="AD103" s="32">
        <f>VLOOKUP($A103,$A$4:$O$28,4,0)*(HLOOKUP(AD$80,'2.2.Brecha Efectiva x UdM'!$H$25:$AK$32,3,0))</f>
        <v>0</v>
      </c>
      <c r="AE103" s="32">
        <f>VLOOKUP($A103,$A$4:$O$28,4,0)*(HLOOKUP(AE$80,'2.2.Brecha Efectiva x UdM'!$H$25:$AK$32,3,0))</f>
        <v>0</v>
      </c>
      <c r="AF103" s="32">
        <f>VLOOKUP($A103,$A$4:$O$28,4,0)*(HLOOKUP(AF$80,'2.2.Brecha Efectiva x UdM'!$H$25:$AK$32,3,0))</f>
        <v>0</v>
      </c>
      <c r="AG103" s="32">
        <f>VLOOKUP($A103,$A$4:$O$28,4,0)*(HLOOKUP(AG$80,'2.2.Brecha Efectiva x UdM'!$H$25:$AK$32,3,0))</f>
        <v>0</v>
      </c>
      <c r="AH103" s="62">
        <f t="shared" si="40"/>
        <v>193221031.05232522</v>
      </c>
    </row>
    <row r="104" spans="1:34" x14ac:dyDescent="0.2">
      <c r="A104" s="26" t="str">
        <f t="shared" si="37"/>
        <v>Tucumán</v>
      </c>
      <c r="B104" s="52" t="str">
        <f t="shared" si="38"/>
        <v>Nombre UdM 2</v>
      </c>
      <c r="C104" s="26" t="str">
        <f t="shared" si="39"/>
        <v>Tucumán Nombre UdM 2</v>
      </c>
      <c r="D104" s="31">
        <f>VLOOKUP($A104,$A$4:$O$28,4,0)*(HLOOKUP(D$80,'2.2.Brecha Efectiva x UdM'!$H$25:$AK$32,3,0))</f>
        <v>9016157.1259674877</v>
      </c>
      <c r="E104" s="31">
        <f>VLOOKUP($A104,$A$4:$O$28,4,0)*(HLOOKUP(E$80,'2.2.Brecha Efectiva x UdM'!$H$25:$AK$32,3,0))</f>
        <v>9671890.5175181441</v>
      </c>
      <c r="F104" s="31">
        <f>VLOOKUP($A104,$A$4:$O$28,4,0)*(HLOOKUP(F$80,'2.2.Brecha Efectiva x UdM'!$H$25:$AK$32,3,0))</f>
        <v>14619919.857866647</v>
      </c>
      <c r="G104" s="31">
        <f>VLOOKUP($A104,$A$4:$O$28,4,0)*(HLOOKUP(G$80,'2.2.Brecha Efectiva x UdM'!$H$25:$AK$32,3,0))</f>
        <v>0</v>
      </c>
      <c r="H104" s="31">
        <f>VLOOKUP($A104,$A$4:$O$28,4,0)*(HLOOKUP(H$80,'2.2.Brecha Efectiva x UdM'!$H$25:$AK$32,3,0))</f>
        <v>0</v>
      </c>
      <c r="I104" s="31">
        <f>VLOOKUP($A104,$A$4:$O$28,4,0)*(HLOOKUP(I$80,'2.2.Brecha Efectiva x UdM'!$H$25:$AK$32,3,0))</f>
        <v>0</v>
      </c>
      <c r="J104" s="31">
        <f>VLOOKUP($A104,$A$4:$O$28,4,0)*(HLOOKUP(J$80,'2.2.Brecha Efectiva x UdM'!$H$25:$AK$32,3,0))</f>
        <v>0</v>
      </c>
      <c r="K104" s="31">
        <f>VLOOKUP($A104,$A$4:$O$28,4,0)*(HLOOKUP(K$80,'2.2.Brecha Efectiva x UdM'!$H$25:$AK$32,3,0))</f>
        <v>0</v>
      </c>
      <c r="L104" s="31">
        <f>VLOOKUP($A104,$A$4:$O$28,4,0)*(HLOOKUP(L$80,'2.2.Brecha Efectiva x UdM'!$H$25:$AK$32,3,0))</f>
        <v>0</v>
      </c>
      <c r="M104" s="31">
        <f>VLOOKUP($A104,$A$4:$O$28,4,0)*(HLOOKUP(M$80,'2.2.Brecha Efectiva x UdM'!$H$25:$AK$32,3,0))</f>
        <v>0</v>
      </c>
      <c r="N104" s="31">
        <f>VLOOKUP($A104,$A$4:$O$28,4,0)*(HLOOKUP(N$80,'2.2.Brecha Efectiva x UdM'!$H$25:$AK$32,3,0))</f>
        <v>0</v>
      </c>
      <c r="O104" s="31">
        <f>VLOOKUP($A104,$A$4:$O$28,4,0)*(HLOOKUP(O$80,'2.2.Brecha Efectiva x UdM'!$H$25:$AK$32,3,0))</f>
        <v>0</v>
      </c>
      <c r="P104" s="31">
        <f>VLOOKUP($A104,$A$4:$O$28,4,0)*(HLOOKUP(P$80,'2.2.Brecha Efectiva x UdM'!$H$25:$AK$32,3,0))</f>
        <v>0</v>
      </c>
      <c r="Q104" s="31">
        <f>VLOOKUP($A104,$A$4:$O$28,4,0)*(HLOOKUP(Q$80,'2.2.Brecha Efectiva x UdM'!$H$25:$AK$32,3,0))</f>
        <v>0</v>
      </c>
      <c r="R104" s="31">
        <f>VLOOKUP($A104,$A$4:$O$28,4,0)*(HLOOKUP(R$80,'2.2.Brecha Efectiva x UdM'!$H$25:$AK$32,3,0))</f>
        <v>0</v>
      </c>
      <c r="S104" s="31">
        <f>VLOOKUP($A104,$A$4:$O$28,4,0)*(HLOOKUP(S$80,'2.2.Brecha Efectiva x UdM'!$H$25:$AK$32,3,0))</f>
        <v>0</v>
      </c>
      <c r="T104" s="31">
        <f>VLOOKUP($A104,$A$4:$O$28,4,0)*(HLOOKUP(T$80,'2.2.Brecha Efectiva x UdM'!$H$25:$AK$32,3,0))</f>
        <v>0</v>
      </c>
      <c r="U104" s="31">
        <f>VLOOKUP($A104,$A$4:$O$28,4,0)*(HLOOKUP(U$80,'2.2.Brecha Efectiva x UdM'!$H$25:$AK$32,3,0))</f>
        <v>0</v>
      </c>
      <c r="V104" s="31">
        <f>VLOOKUP($A104,$A$4:$O$28,4,0)*(HLOOKUP(V$80,'2.2.Brecha Efectiva x UdM'!$H$25:$AK$32,3,0))</f>
        <v>0</v>
      </c>
      <c r="W104" s="31">
        <f>VLOOKUP($A104,$A$4:$O$28,4,0)*(HLOOKUP(W$80,'2.2.Brecha Efectiva x UdM'!$H$25:$AK$32,3,0))</f>
        <v>0</v>
      </c>
      <c r="X104" s="31">
        <f>VLOOKUP($A104,$A$4:$O$28,4,0)*(HLOOKUP(X$80,'2.2.Brecha Efectiva x UdM'!$H$25:$AK$32,3,0))</f>
        <v>0</v>
      </c>
      <c r="Y104" s="31">
        <f>VLOOKUP($A104,$A$4:$O$28,4,0)*(HLOOKUP(Y$80,'2.2.Brecha Efectiva x UdM'!$H$25:$AK$32,3,0))</f>
        <v>0</v>
      </c>
      <c r="Z104" s="31">
        <f>VLOOKUP($A104,$A$4:$O$28,4,0)*(HLOOKUP(Z$80,'2.2.Brecha Efectiva x UdM'!$H$25:$AK$32,3,0))</f>
        <v>0</v>
      </c>
      <c r="AA104" s="31">
        <f>VLOOKUP($A104,$A$4:$O$28,4,0)*(HLOOKUP(AA$80,'2.2.Brecha Efectiva x UdM'!$H$25:$AK$32,3,0))</f>
        <v>0</v>
      </c>
      <c r="AB104" s="31">
        <f>VLOOKUP($A104,$A$4:$O$28,4,0)*(HLOOKUP(AB$80,'2.2.Brecha Efectiva x UdM'!$H$25:$AK$32,3,0))</f>
        <v>0</v>
      </c>
      <c r="AC104" s="31">
        <f>VLOOKUP($A104,$A$4:$O$28,4,0)*(HLOOKUP(AC$80,'2.2.Brecha Efectiva x UdM'!$H$25:$AK$32,3,0))</f>
        <v>0</v>
      </c>
      <c r="AD104" s="31">
        <f>VLOOKUP($A104,$A$4:$O$28,4,0)*(HLOOKUP(AD$80,'2.2.Brecha Efectiva x UdM'!$H$25:$AK$32,3,0))</f>
        <v>0</v>
      </c>
      <c r="AE104" s="31">
        <f>VLOOKUP($A104,$A$4:$O$28,4,0)*(HLOOKUP(AE$80,'2.2.Brecha Efectiva x UdM'!$H$25:$AK$32,3,0))</f>
        <v>0</v>
      </c>
      <c r="AF104" s="31">
        <f>VLOOKUP($A104,$A$4:$O$28,4,0)*(HLOOKUP(AF$80,'2.2.Brecha Efectiva x UdM'!$H$25:$AK$32,3,0))</f>
        <v>0</v>
      </c>
      <c r="AG104" s="31">
        <f>VLOOKUP($A104,$A$4:$O$28,4,0)*(HLOOKUP(AG$80,'2.2.Brecha Efectiva x UdM'!$H$25:$AK$32,3,0))</f>
        <v>0</v>
      </c>
      <c r="AH104" s="63">
        <f t="shared" si="40"/>
        <v>33307967.50135228</v>
      </c>
    </row>
    <row r="105" spans="1:34" x14ac:dyDescent="0.2">
      <c r="A105" s="34" t="str">
        <f>CONCATENATE("Total"," ",B81)</f>
        <v>Total Nombre UdM 2</v>
      </c>
      <c r="B105" s="29"/>
      <c r="C105" s="13"/>
      <c r="D105" s="13">
        <f>SUM(D81:D104)</f>
        <v>2761042316.1969748</v>
      </c>
      <c r="E105" s="13">
        <f t="shared" ref="E105" si="41">SUM(E81:E104)</f>
        <v>2961849335.9637747</v>
      </c>
      <c r="F105" s="13">
        <f t="shared" ref="F105" si="42">SUM(F81:F104)</f>
        <v>4477097817.0643559</v>
      </c>
      <c r="G105" s="13">
        <f t="shared" ref="G105" si="43">SUM(G81:G104)</f>
        <v>0</v>
      </c>
      <c r="H105" s="13">
        <f t="shared" ref="H105" si="44">SUM(H81:H104)</f>
        <v>0</v>
      </c>
      <c r="I105" s="13">
        <f t="shared" ref="I105" si="45">SUM(I81:I104)</f>
        <v>0</v>
      </c>
      <c r="J105" s="13">
        <f t="shared" ref="J105" si="46">SUM(J81:J104)</f>
        <v>0</v>
      </c>
      <c r="K105" s="13">
        <f t="shared" ref="K105" si="47">SUM(K81:K104)</f>
        <v>0</v>
      </c>
      <c r="L105" s="13">
        <f t="shared" ref="L105" si="48">SUM(L81:L104)</f>
        <v>0</v>
      </c>
      <c r="M105" s="13">
        <f t="shared" ref="M105" si="49">SUM(M81:M104)</f>
        <v>0</v>
      </c>
      <c r="N105" s="13">
        <f t="shared" ref="N105" si="50">SUM(N81:N104)</f>
        <v>0</v>
      </c>
      <c r="O105" s="13">
        <f t="shared" ref="O105" si="51">SUM(O81:O104)</f>
        <v>0</v>
      </c>
      <c r="P105" s="13">
        <f t="shared" ref="P105" si="52">SUM(P81:P104)</f>
        <v>0</v>
      </c>
      <c r="Q105" s="13">
        <f t="shared" ref="Q105" si="53">SUM(Q81:Q104)</f>
        <v>0</v>
      </c>
      <c r="R105" s="13">
        <f t="shared" ref="R105" si="54">SUM(R81:R104)</f>
        <v>0</v>
      </c>
      <c r="S105" s="13">
        <f t="shared" ref="S105" si="55">SUM(S81:S104)</f>
        <v>0</v>
      </c>
      <c r="T105" s="13">
        <f t="shared" ref="T105" si="56">SUM(T81:T104)</f>
        <v>0</v>
      </c>
      <c r="U105" s="13">
        <f t="shared" ref="U105" si="57">SUM(U81:U104)</f>
        <v>0</v>
      </c>
      <c r="V105" s="13">
        <f t="shared" ref="V105" si="58">SUM(V81:V104)</f>
        <v>0</v>
      </c>
      <c r="W105" s="13">
        <f t="shared" ref="W105" si="59">SUM(W81:W104)</f>
        <v>0</v>
      </c>
      <c r="X105" s="13">
        <f t="shared" ref="X105" si="60">SUM(X81:X104)</f>
        <v>0</v>
      </c>
      <c r="Y105" s="13">
        <f t="shared" ref="Y105" si="61">SUM(Y81:Y104)</f>
        <v>0</v>
      </c>
      <c r="Z105" s="13">
        <f t="shared" ref="Z105" si="62">SUM(Z81:Z104)</f>
        <v>0</v>
      </c>
      <c r="AA105" s="13">
        <f t="shared" ref="AA105" si="63">SUM(AA81:AA104)</f>
        <v>0</v>
      </c>
      <c r="AB105" s="13">
        <f t="shared" ref="AB105" si="64">SUM(AB81:AB104)</f>
        <v>0</v>
      </c>
      <c r="AC105" s="13">
        <f t="shared" ref="AC105" si="65">SUM(AC81:AC104)</f>
        <v>0</v>
      </c>
      <c r="AD105" s="13">
        <f t="shared" ref="AD105" si="66">SUM(AD81:AD104)</f>
        <v>0</v>
      </c>
      <c r="AE105" s="13">
        <f t="shared" ref="AE105" si="67">SUM(AE81:AE104)</f>
        <v>0</v>
      </c>
      <c r="AF105" s="13">
        <f t="shared" ref="AF105" si="68">SUM(AF81:AF104)</f>
        <v>0</v>
      </c>
      <c r="AG105" s="13">
        <f t="shared" ref="AG105" si="69">SUM(AG81:AG104)</f>
        <v>0</v>
      </c>
      <c r="AH105" s="13">
        <f t="shared" si="40"/>
        <v>10199989469.225105</v>
      </c>
    </row>
    <row r="106" spans="1:34" x14ac:dyDescent="0.2">
      <c r="A106" s="34" t="str">
        <f>CONCATENATE("Total Acumulado"," ",B81)</f>
        <v>Total Acumulado Nombre UdM 2</v>
      </c>
      <c r="B106" s="29"/>
      <c r="C106" s="13"/>
      <c r="D106" s="13">
        <f>D105</f>
        <v>2761042316.1969748</v>
      </c>
      <c r="E106" s="13">
        <f>E105+D106</f>
        <v>5722891652.1607494</v>
      </c>
      <c r="F106" s="13">
        <f t="shared" ref="F106" si="70">F105+E106</f>
        <v>10199989469.225105</v>
      </c>
      <c r="G106" s="13">
        <f t="shared" ref="G106" si="71">G105+F106</f>
        <v>10199989469.225105</v>
      </c>
      <c r="H106" s="13">
        <f t="shared" ref="H106" si="72">H105+G106</f>
        <v>10199989469.225105</v>
      </c>
      <c r="I106" s="13">
        <f t="shared" ref="I106" si="73">I105+H106</f>
        <v>10199989469.225105</v>
      </c>
      <c r="J106" s="13">
        <f t="shared" ref="J106" si="74">J105+I106</f>
        <v>10199989469.225105</v>
      </c>
      <c r="K106" s="13">
        <f t="shared" ref="K106" si="75">K105+J106</f>
        <v>10199989469.225105</v>
      </c>
      <c r="L106" s="13">
        <f t="shared" ref="L106" si="76">L105+K106</f>
        <v>10199989469.225105</v>
      </c>
      <c r="M106" s="13">
        <f t="shared" ref="M106" si="77">M105+L106</f>
        <v>10199989469.225105</v>
      </c>
      <c r="N106" s="13">
        <f t="shared" ref="N106" si="78">N105+M106</f>
        <v>10199989469.225105</v>
      </c>
      <c r="O106" s="13">
        <f t="shared" ref="O106" si="79">O105+N106</f>
        <v>10199989469.225105</v>
      </c>
      <c r="P106" s="13">
        <f t="shared" ref="P106" si="80">P105+O106</f>
        <v>10199989469.225105</v>
      </c>
      <c r="Q106" s="13">
        <f t="shared" ref="Q106" si="81">Q105+P106</f>
        <v>10199989469.225105</v>
      </c>
      <c r="R106" s="13">
        <f t="shared" ref="R106" si="82">R105+Q106</f>
        <v>10199989469.225105</v>
      </c>
      <c r="S106" s="13">
        <f t="shared" ref="S106" si="83">S105+R106</f>
        <v>10199989469.225105</v>
      </c>
      <c r="T106" s="13">
        <f t="shared" ref="T106" si="84">T105+S106</f>
        <v>10199989469.225105</v>
      </c>
      <c r="U106" s="13">
        <f t="shared" ref="U106" si="85">U105+T106</f>
        <v>10199989469.225105</v>
      </c>
      <c r="V106" s="13">
        <f t="shared" ref="V106" si="86">V105+U106</f>
        <v>10199989469.225105</v>
      </c>
      <c r="W106" s="13">
        <f t="shared" ref="W106" si="87">W105+V106</f>
        <v>10199989469.225105</v>
      </c>
      <c r="X106" s="13">
        <f t="shared" ref="X106" si="88">X105+W106</f>
        <v>10199989469.225105</v>
      </c>
      <c r="Y106" s="13">
        <f t="shared" ref="Y106" si="89">Y105+X106</f>
        <v>10199989469.225105</v>
      </c>
      <c r="Z106" s="13">
        <f t="shared" ref="Z106" si="90">Z105+Y106</f>
        <v>10199989469.225105</v>
      </c>
      <c r="AA106" s="13">
        <f t="shared" ref="AA106" si="91">AA105+Z106</f>
        <v>10199989469.225105</v>
      </c>
      <c r="AB106" s="13">
        <f t="shared" ref="AB106" si="92">AB105+AA106</f>
        <v>10199989469.225105</v>
      </c>
      <c r="AC106" s="13">
        <f t="shared" ref="AC106" si="93">AC105+AB106</f>
        <v>10199989469.225105</v>
      </c>
      <c r="AD106" s="13">
        <f t="shared" ref="AD106" si="94">AD105+AC106</f>
        <v>10199989469.225105</v>
      </c>
      <c r="AE106" s="13">
        <f t="shared" ref="AE106" si="95">AE105+AD106</f>
        <v>10199989469.225105</v>
      </c>
      <c r="AF106" s="13">
        <f t="shared" ref="AF106" si="96">AF105+AE106</f>
        <v>10199989469.225105</v>
      </c>
      <c r="AG106" s="13">
        <f t="shared" ref="AG106" si="97">AG105+AF106</f>
        <v>10199989469.225105</v>
      </c>
    </row>
    <row r="108" spans="1:34" x14ac:dyDescent="0.2">
      <c r="A108" s="33" t="s">
        <v>41</v>
      </c>
      <c r="D108" t="b">
        <f>D105='2.2.Brecha Efectiva x UdM'!H27</f>
        <v>1</v>
      </c>
      <c r="E108" t="b">
        <f>E105='2.2.Brecha Efectiva x UdM'!I27</f>
        <v>1</v>
      </c>
      <c r="F108" t="b">
        <f>F105='2.2.Brecha Efectiva x UdM'!J27</f>
        <v>0</v>
      </c>
      <c r="G108" t="b">
        <f>G105='2.2.Brecha Efectiva x UdM'!K27</f>
        <v>1</v>
      </c>
    </row>
    <row r="109" spans="1:34" x14ac:dyDescent="0.2">
      <c r="G109" t="b">
        <f>AG106=SUM('2.2.Brecha Efectiva x UdM'!H27:AK27)</f>
        <v>1</v>
      </c>
    </row>
    <row r="111" spans="1:34" x14ac:dyDescent="0.2">
      <c r="A111" s="46" t="s">
        <v>61</v>
      </c>
    </row>
    <row r="113" spans="1:34" x14ac:dyDescent="0.2">
      <c r="A113" s="24" t="s">
        <v>18</v>
      </c>
      <c r="B113" s="24" t="s">
        <v>42</v>
      </c>
      <c r="C113" s="24" t="s">
        <v>43</v>
      </c>
      <c r="D113" s="6">
        <v>2024</v>
      </c>
      <c r="E113" s="6">
        <v>2025</v>
      </c>
      <c r="F113" s="6">
        <v>2026</v>
      </c>
      <c r="G113" s="6">
        <v>2027</v>
      </c>
      <c r="H113" s="6">
        <v>2028</v>
      </c>
      <c r="I113" s="6">
        <v>2029</v>
      </c>
      <c r="J113" s="6">
        <v>2030</v>
      </c>
      <c r="K113" s="6">
        <v>2031</v>
      </c>
      <c r="L113" s="6">
        <v>2032</v>
      </c>
      <c r="M113" s="6">
        <v>2033</v>
      </c>
      <c r="N113" s="50">
        <v>2034</v>
      </c>
      <c r="O113" s="50">
        <v>2035</v>
      </c>
      <c r="P113" s="50">
        <v>2036</v>
      </c>
      <c r="Q113" s="50">
        <v>2037</v>
      </c>
      <c r="R113" s="50">
        <v>2038</v>
      </c>
      <c r="S113" s="50">
        <v>2039</v>
      </c>
      <c r="T113" s="50">
        <v>2040</v>
      </c>
      <c r="U113" s="50">
        <v>2041</v>
      </c>
      <c r="V113" s="50">
        <v>2042</v>
      </c>
      <c r="W113" s="50">
        <v>2043</v>
      </c>
      <c r="X113" s="50">
        <v>2044</v>
      </c>
      <c r="Y113" s="50">
        <v>2045</v>
      </c>
      <c r="Z113" s="50">
        <v>2046</v>
      </c>
      <c r="AA113" s="50">
        <v>2047</v>
      </c>
      <c r="AB113" s="50">
        <v>2048</v>
      </c>
      <c r="AC113" s="50">
        <v>2049</v>
      </c>
      <c r="AD113" s="50">
        <v>2050</v>
      </c>
      <c r="AE113" s="50">
        <v>2051</v>
      </c>
      <c r="AF113" s="50">
        <v>2052</v>
      </c>
      <c r="AG113" s="50">
        <v>2053</v>
      </c>
      <c r="AH113" s="6" t="s">
        <v>1</v>
      </c>
    </row>
    <row r="114" spans="1:34" x14ac:dyDescent="0.2">
      <c r="A114" s="25" t="str">
        <f t="shared" ref="A114:A137" si="98">A4</f>
        <v>Buenos Aires</v>
      </c>
      <c r="B114" s="51" t="str">
        <f>$G$3</f>
        <v>Nombre UdM 3</v>
      </c>
      <c r="C114" s="25" t="str">
        <f>CONCATENATE(A114," ",B114)</f>
        <v>Buenos Aires Nombre UdM 3</v>
      </c>
      <c r="D114" s="32">
        <f>VLOOKUP($A114,$A$4:$O$28,6,0)*(HLOOKUP(D$113,'2.2.Brecha Efectiva x UdM'!$H$25:$AK$32,4,0))</f>
        <v>727001189.72214675</v>
      </c>
      <c r="E114" s="32">
        <f>VLOOKUP($A114,$A$4:$O$28,6,0)*(HLOOKUP(E$113,'2.2.Brecha Efectiva x UdM'!$H$25:$AK$32,4,0))</f>
        <v>4941538266.865015</v>
      </c>
      <c r="F114" s="32">
        <f>VLOOKUP($A114,$A$4:$O$28,6,0)*(HLOOKUP(F$113,'2.2.Brecha Efectiva x UdM'!$H$25:$AK$32,4,0))</f>
        <v>251176492.56424424</v>
      </c>
      <c r="G114" s="32">
        <f>VLOOKUP($A114,$A$4:$O$28,6,0)*(HLOOKUP(G$113,'2.2.Brecha Efectiva x UdM'!$H$25:$AK$32,4,0))</f>
        <v>137424140.98553282</v>
      </c>
      <c r="H114" s="32">
        <f>VLOOKUP($A114,$A$4:$O$28,6,0)*(HLOOKUP(H$113,'2.2.Brecha Efectiva x UdM'!$H$25:$AK$32,4,0))</f>
        <v>0</v>
      </c>
      <c r="I114" s="32">
        <f>VLOOKUP($A114,$A$4:$O$28,6,0)*(HLOOKUP(I$113,'2.2.Brecha Efectiva x UdM'!$H$25:$AK$32,4,0))</f>
        <v>0</v>
      </c>
      <c r="J114" s="32">
        <f>VLOOKUP($A114,$A$4:$O$28,6,0)*(HLOOKUP(J$113,'2.2.Brecha Efectiva x UdM'!$H$25:$AK$32,4,0))</f>
        <v>0</v>
      </c>
      <c r="K114" s="32">
        <f>VLOOKUP($A114,$A$4:$O$28,6,0)*(HLOOKUP(K$113,'2.2.Brecha Efectiva x UdM'!$H$25:$AK$32,4,0))</f>
        <v>0</v>
      </c>
      <c r="L114" s="32">
        <f>VLOOKUP($A114,$A$4:$O$28,6,0)*(HLOOKUP(L$113,'2.2.Brecha Efectiva x UdM'!$H$25:$AK$32,4,0))</f>
        <v>0</v>
      </c>
      <c r="M114" s="32">
        <f>VLOOKUP($A114,$A$4:$O$28,6,0)*(HLOOKUP(M$113,'2.2.Brecha Efectiva x UdM'!$H$25:$AK$32,4,0))</f>
        <v>0</v>
      </c>
      <c r="N114" s="32">
        <f>VLOOKUP($A114,$A$4:$O$28,6,0)*(HLOOKUP(N$113,'2.2.Brecha Efectiva x UdM'!$H$25:$AK$32,4,0))</f>
        <v>0</v>
      </c>
      <c r="O114" s="32">
        <f>VLOOKUP($A114,$A$4:$O$28,6,0)*(HLOOKUP(O$113,'2.2.Brecha Efectiva x UdM'!$H$25:$AK$32,4,0))</f>
        <v>0</v>
      </c>
      <c r="P114" s="32">
        <f>VLOOKUP($A114,$A$4:$O$28,6,0)*(HLOOKUP(P$113,'2.2.Brecha Efectiva x UdM'!$H$25:$AK$32,4,0))</f>
        <v>0</v>
      </c>
      <c r="Q114" s="32">
        <f>VLOOKUP($A114,$A$4:$O$28,6,0)*(HLOOKUP(Q$113,'2.2.Brecha Efectiva x UdM'!$H$25:$AK$32,4,0))</f>
        <v>0</v>
      </c>
      <c r="R114" s="32">
        <f>VLOOKUP($A114,$A$4:$O$28,6,0)*(HLOOKUP(R$113,'2.2.Brecha Efectiva x UdM'!$H$25:$AK$32,4,0))</f>
        <v>0</v>
      </c>
      <c r="S114" s="32">
        <f>VLOOKUP($A114,$A$4:$O$28,6,0)*(HLOOKUP(S$113,'2.2.Brecha Efectiva x UdM'!$H$25:$AK$32,4,0))</f>
        <v>0</v>
      </c>
      <c r="T114" s="32">
        <f>VLOOKUP($A114,$A$4:$O$28,6,0)*(HLOOKUP(T$113,'2.2.Brecha Efectiva x UdM'!$H$25:$AK$32,4,0))</f>
        <v>0</v>
      </c>
      <c r="U114" s="32">
        <f>VLOOKUP($A114,$A$4:$O$28,6,0)*(HLOOKUP(U$113,'2.2.Brecha Efectiva x UdM'!$H$25:$AK$32,4,0))</f>
        <v>0</v>
      </c>
      <c r="V114" s="32">
        <f>VLOOKUP($A114,$A$4:$O$28,6,0)*(HLOOKUP(V$113,'2.2.Brecha Efectiva x UdM'!$H$25:$AK$32,4,0))</f>
        <v>0</v>
      </c>
      <c r="W114" s="32">
        <f>VLOOKUP($A114,$A$4:$O$28,6,0)*(HLOOKUP(W$113,'2.2.Brecha Efectiva x UdM'!$H$25:$AK$32,4,0))</f>
        <v>0</v>
      </c>
      <c r="X114" s="32">
        <f>VLOOKUP($A114,$A$4:$O$28,6,0)*(HLOOKUP(X$113,'2.2.Brecha Efectiva x UdM'!$H$25:$AK$32,4,0))</f>
        <v>0</v>
      </c>
      <c r="Y114" s="32">
        <f>VLOOKUP($A114,$A$4:$O$28,6,0)*(HLOOKUP(Y$113,'2.2.Brecha Efectiva x UdM'!$H$25:$AK$32,4,0))</f>
        <v>0</v>
      </c>
      <c r="Z114" s="32">
        <f>VLOOKUP($A114,$A$4:$O$28,6,0)*(HLOOKUP(Z$113,'2.2.Brecha Efectiva x UdM'!$H$25:$AK$32,4,0))</f>
        <v>0</v>
      </c>
      <c r="AA114" s="32">
        <f>VLOOKUP($A114,$A$4:$O$28,6,0)*(HLOOKUP(AA$113,'2.2.Brecha Efectiva x UdM'!$H$25:$AK$32,4,0))</f>
        <v>0</v>
      </c>
      <c r="AB114" s="32">
        <f>VLOOKUP($A114,$A$4:$O$28,6,0)*(HLOOKUP(AB$113,'2.2.Brecha Efectiva x UdM'!$H$25:$AK$32,4,0))</f>
        <v>0</v>
      </c>
      <c r="AC114" s="32">
        <f>VLOOKUP($A114,$A$4:$O$28,6,0)*(HLOOKUP(AC$113,'2.2.Brecha Efectiva x UdM'!$H$25:$AK$32,4,0))</f>
        <v>0</v>
      </c>
      <c r="AD114" s="32">
        <f>VLOOKUP($A114,$A$4:$O$28,6,0)*(HLOOKUP(AD$113,'2.2.Brecha Efectiva x UdM'!$H$25:$AK$32,4,0))</f>
        <v>0</v>
      </c>
      <c r="AE114" s="32">
        <f>VLOOKUP($A114,$A$4:$O$28,6,0)*(HLOOKUP(AE$113,'2.2.Brecha Efectiva x UdM'!$H$25:$AK$32,4,0))</f>
        <v>0</v>
      </c>
      <c r="AF114" s="32">
        <f>VLOOKUP($A114,$A$4:$O$28,6,0)*(HLOOKUP(AF$113,'2.2.Brecha Efectiva x UdM'!$H$25:$AK$32,4,0))</f>
        <v>0</v>
      </c>
      <c r="AG114" s="32">
        <f>VLOOKUP($A114,$A$4:$O$28,6,0)*(HLOOKUP(AG$113,'2.2.Brecha Efectiva x UdM'!$H$25:$AK$32,4,0))</f>
        <v>0</v>
      </c>
      <c r="AH114" s="62">
        <f>SUM(D114:AG114)</f>
        <v>6057140090.136939</v>
      </c>
    </row>
    <row r="115" spans="1:34" x14ac:dyDescent="0.2">
      <c r="A115" s="26" t="str">
        <f t="shared" si="98"/>
        <v>CABA</v>
      </c>
      <c r="B115" s="52" t="str">
        <f t="shared" ref="B115:B137" si="99">$G$3</f>
        <v>Nombre UdM 3</v>
      </c>
      <c r="C115" s="26" t="str">
        <f t="shared" ref="C115:C137" si="100">CONCATENATE(A115," ",B115)</f>
        <v>CABA Nombre UdM 3</v>
      </c>
      <c r="D115" s="31">
        <f>VLOOKUP($A115,$A$4:$O$28,6,0)*(HLOOKUP(D$113,'2.2.Brecha Efectiva x UdM'!$H$25:$AK$32,4,0))</f>
        <v>22886072.961756594</v>
      </c>
      <c r="E115" s="31">
        <f>VLOOKUP($A115,$A$4:$O$28,6,0)*(HLOOKUP(E$113,'2.2.Brecha Efectiva x UdM'!$H$25:$AK$32,4,0))</f>
        <v>155560137.88919359</v>
      </c>
      <c r="F115" s="31">
        <f>VLOOKUP($A115,$A$4:$O$28,6,0)*(HLOOKUP(F$113,'2.2.Brecha Efectiva x UdM'!$H$25:$AK$32,4,0))</f>
        <v>7907062.0741355438</v>
      </c>
      <c r="G115" s="31">
        <f>VLOOKUP($A115,$A$4:$O$28,6,0)*(HLOOKUP(G$113,'2.2.Brecha Efectiva x UdM'!$H$25:$AK$32,4,0))</f>
        <v>4326126.2316553527</v>
      </c>
      <c r="H115" s="31">
        <f>VLOOKUP($A115,$A$4:$O$28,6,0)*(HLOOKUP(H$113,'2.2.Brecha Efectiva x UdM'!$H$25:$AK$32,4,0))</f>
        <v>0</v>
      </c>
      <c r="I115" s="31">
        <f>VLOOKUP($A115,$A$4:$O$28,6,0)*(HLOOKUP(I$113,'2.2.Brecha Efectiva x UdM'!$H$25:$AK$32,4,0))</f>
        <v>0</v>
      </c>
      <c r="J115" s="31">
        <f>VLOOKUP($A115,$A$4:$O$28,6,0)*(HLOOKUP(J$113,'2.2.Brecha Efectiva x UdM'!$H$25:$AK$32,4,0))</f>
        <v>0</v>
      </c>
      <c r="K115" s="31">
        <f>VLOOKUP($A115,$A$4:$O$28,6,0)*(HLOOKUP(K$113,'2.2.Brecha Efectiva x UdM'!$H$25:$AK$32,4,0))</f>
        <v>0</v>
      </c>
      <c r="L115" s="31">
        <f>VLOOKUP($A115,$A$4:$O$28,6,0)*(HLOOKUP(L$113,'2.2.Brecha Efectiva x UdM'!$H$25:$AK$32,4,0))</f>
        <v>0</v>
      </c>
      <c r="M115" s="31">
        <f>VLOOKUP($A115,$A$4:$O$28,6,0)*(HLOOKUP(M$113,'2.2.Brecha Efectiva x UdM'!$H$25:$AK$32,4,0))</f>
        <v>0</v>
      </c>
      <c r="N115" s="31">
        <f>VLOOKUP($A115,$A$4:$O$28,6,0)*(HLOOKUP(N$113,'2.2.Brecha Efectiva x UdM'!$H$25:$AK$32,4,0))</f>
        <v>0</v>
      </c>
      <c r="O115" s="31">
        <f>VLOOKUP($A115,$A$4:$O$28,6,0)*(HLOOKUP(O$113,'2.2.Brecha Efectiva x UdM'!$H$25:$AK$32,4,0))</f>
        <v>0</v>
      </c>
      <c r="P115" s="31">
        <f>VLOOKUP($A115,$A$4:$O$28,6,0)*(HLOOKUP(P$113,'2.2.Brecha Efectiva x UdM'!$H$25:$AK$32,4,0))</f>
        <v>0</v>
      </c>
      <c r="Q115" s="31">
        <f>VLOOKUP($A115,$A$4:$O$28,6,0)*(HLOOKUP(Q$113,'2.2.Brecha Efectiva x UdM'!$H$25:$AK$32,4,0))</f>
        <v>0</v>
      </c>
      <c r="R115" s="31">
        <f>VLOOKUP($A115,$A$4:$O$28,6,0)*(HLOOKUP(R$113,'2.2.Brecha Efectiva x UdM'!$H$25:$AK$32,4,0))</f>
        <v>0</v>
      </c>
      <c r="S115" s="31">
        <f>VLOOKUP($A115,$A$4:$O$28,6,0)*(HLOOKUP(S$113,'2.2.Brecha Efectiva x UdM'!$H$25:$AK$32,4,0))</f>
        <v>0</v>
      </c>
      <c r="T115" s="31">
        <f>VLOOKUP($A115,$A$4:$O$28,6,0)*(HLOOKUP(T$113,'2.2.Brecha Efectiva x UdM'!$H$25:$AK$32,4,0))</f>
        <v>0</v>
      </c>
      <c r="U115" s="31">
        <f>VLOOKUP($A115,$A$4:$O$28,6,0)*(HLOOKUP(U$113,'2.2.Brecha Efectiva x UdM'!$H$25:$AK$32,4,0))</f>
        <v>0</v>
      </c>
      <c r="V115" s="31">
        <f>VLOOKUP($A115,$A$4:$O$28,6,0)*(HLOOKUP(V$113,'2.2.Brecha Efectiva x UdM'!$H$25:$AK$32,4,0))</f>
        <v>0</v>
      </c>
      <c r="W115" s="31">
        <f>VLOOKUP($A115,$A$4:$O$28,6,0)*(HLOOKUP(W$113,'2.2.Brecha Efectiva x UdM'!$H$25:$AK$32,4,0))</f>
        <v>0</v>
      </c>
      <c r="X115" s="31">
        <f>VLOOKUP($A115,$A$4:$O$28,6,0)*(HLOOKUP(X$113,'2.2.Brecha Efectiva x UdM'!$H$25:$AK$32,4,0))</f>
        <v>0</v>
      </c>
      <c r="Y115" s="31">
        <f>VLOOKUP($A115,$A$4:$O$28,6,0)*(HLOOKUP(Y$113,'2.2.Brecha Efectiva x UdM'!$H$25:$AK$32,4,0))</f>
        <v>0</v>
      </c>
      <c r="Z115" s="31">
        <f>VLOOKUP($A115,$A$4:$O$28,6,0)*(HLOOKUP(Z$113,'2.2.Brecha Efectiva x UdM'!$H$25:$AK$32,4,0))</f>
        <v>0</v>
      </c>
      <c r="AA115" s="31">
        <f>VLOOKUP($A115,$A$4:$O$28,6,0)*(HLOOKUP(AA$113,'2.2.Brecha Efectiva x UdM'!$H$25:$AK$32,4,0))</f>
        <v>0</v>
      </c>
      <c r="AB115" s="31">
        <f>VLOOKUP($A115,$A$4:$O$28,6,0)*(HLOOKUP(AB$113,'2.2.Brecha Efectiva x UdM'!$H$25:$AK$32,4,0))</f>
        <v>0</v>
      </c>
      <c r="AC115" s="31">
        <f>VLOOKUP($A115,$A$4:$O$28,6,0)*(HLOOKUP(AC$113,'2.2.Brecha Efectiva x UdM'!$H$25:$AK$32,4,0))</f>
        <v>0</v>
      </c>
      <c r="AD115" s="31">
        <f>VLOOKUP($A115,$A$4:$O$28,6,0)*(HLOOKUP(AD$113,'2.2.Brecha Efectiva x UdM'!$H$25:$AK$32,4,0))</f>
        <v>0</v>
      </c>
      <c r="AE115" s="31">
        <f>VLOOKUP($A115,$A$4:$O$28,6,0)*(HLOOKUP(AE$113,'2.2.Brecha Efectiva x UdM'!$H$25:$AK$32,4,0))</f>
        <v>0</v>
      </c>
      <c r="AF115" s="31">
        <f>VLOOKUP($A115,$A$4:$O$28,6,0)*(HLOOKUP(AF$113,'2.2.Brecha Efectiva x UdM'!$H$25:$AK$32,4,0))</f>
        <v>0</v>
      </c>
      <c r="AG115" s="31">
        <f>VLOOKUP($A115,$A$4:$O$28,6,0)*(HLOOKUP(AG$113,'2.2.Brecha Efectiva x UdM'!$H$25:$AK$32,4,0))</f>
        <v>0</v>
      </c>
      <c r="AH115" s="63">
        <f>SUM(D115:AG115)</f>
        <v>190679399.15674108</v>
      </c>
    </row>
    <row r="116" spans="1:34" x14ac:dyDescent="0.2">
      <c r="A116" s="25" t="str">
        <f t="shared" si="98"/>
        <v>Catamarca</v>
      </c>
      <c r="B116" s="51" t="str">
        <f t="shared" si="99"/>
        <v>Nombre UdM 3</v>
      </c>
      <c r="C116" s="25" t="str">
        <f t="shared" si="100"/>
        <v>Catamarca Nombre UdM 3</v>
      </c>
      <c r="D116" s="32">
        <f>VLOOKUP($A116,$A$4:$O$28,6,0)*(HLOOKUP(D$113,'2.2.Brecha Efectiva x UdM'!$H$25:$AK$32,4,0))</f>
        <v>0</v>
      </c>
      <c r="E116" s="32">
        <f>VLOOKUP($A116,$A$4:$O$28,6,0)*(HLOOKUP(E$113,'2.2.Brecha Efectiva x UdM'!$H$25:$AK$32,4,0))</f>
        <v>0</v>
      </c>
      <c r="F116" s="32">
        <f>VLOOKUP($A116,$A$4:$O$28,6,0)*(HLOOKUP(F$113,'2.2.Brecha Efectiva x UdM'!$H$25:$AK$32,4,0))</f>
        <v>0</v>
      </c>
      <c r="G116" s="32">
        <f>VLOOKUP($A116,$A$4:$O$28,6,0)*(HLOOKUP(G$113,'2.2.Brecha Efectiva x UdM'!$H$25:$AK$32,4,0))</f>
        <v>0</v>
      </c>
      <c r="H116" s="32">
        <f>VLOOKUP($A116,$A$4:$O$28,6,0)*(HLOOKUP(H$113,'2.2.Brecha Efectiva x UdM'!$H$25:$AK$32,4,0))</f>
        <v>0</v>
      </c>
      <c r="I116" s="32">
        <f>VLOOKUP($A116,$A$4:$O$28,6,0)*(HLOOKUP(I$113,'2.2.Brecha Efectiva x UdM'!$H$25:$AK$32,4,0))</f>
        <v>0</v>
      </c>
      <c r="J116" s="32">
        <f>VLOOKUP($A116,$A$4:$O$28,6,0)*(HLOOKUP(J$113,'2.2.Brecha Efectiva x UdM'!$H$25:$AK$32,4,0))</f>
        <v>0</v>
      </c>
      <c r="K116" s="32">
        <f>VLOOKUP($A116,$A$4:$O$28,6,0)*(HLOOKUP(K$113,'2.2.Brecha Efectiva x UdM'!$H$25:$AK$32,4,0))</f>
        <v>0</v>
      </c>
      <c r="L116" s="32">
        <f>VLOOKUP($A116,$A$4:$O$28,6,0)*(HLOOKUP(L$113,'2.2.Brecha Efectiva x UdM'!$H$25:$AK$32,4,0))</f>
        <v>0</v>
      </c>
      <c r="M116" s="32">
        <f>VLOOKUP($A116,$A$4:$O$28,6,0)*(HLOOKUP(M$113,'2.2.Brecha Efectiva x UdM'!$H$25:$AK$32,4,0))</f>
        <v>0</v>
      </c>
      <c r="N116" s="32">
        <f>VLOOKUP($A116,$A$4:$O$28,6,0)*(HLOOKUP(N$113,'2.2.Brecha Efectiva x UdM'!$H$25:$AK$32,4,0))</f>
        <v>0</v>
      </c>
      <c r="O116" s="32">
        <f>VLOOKUP($A116,$A$4:$O$28,6,0)*(HLOOKUP(O$113,'2.2.Brecha Efectiva x UdM'!$H$25:$AK$32,4,0))</f>
        <v>0</v>
      </c>
      <c r="P116" s="32">
        <f>VLOOKUP($A116,$A$4:$O$28,6,0)*(HLOOKUP(P$113,'2.2.Brecha Efectiva x UdM'!$H$25:$AK$32,4,0))</f>
        <v>0</v>
      </c>
      <c r="Q116" s="32">
        <f>VLOOKUP($A116,$A$4:$O$28,6,0)*(HLOOKUP(Q$113,'2.2.Brecha Efectiva x UdM'!$H$25:$AK$32,4,0))</f>
        <v>0</v>
      </c>
      <c r="R116" s="32">
        <f>VLOOKUP($A116,$A$4:$O$28,6,0)*(HLOOKUP(R$113,'2.2.Brecha Efectiva x UdM'!$H$25:$AK$32,4,0))</f>
        <v>0</v>
      </c>
      <c r="S116" s="32">
        <f>VLOOKUP($A116,$A$4:$O$28,6,0)*(HLOOKUP(S$113,'2.2.Brecha Efectiva x UdM'!$H$25:$AK$32,4,0))</f>
        <v>0</v>
      </c>
      <c r="T116" s="32">
        <f>VLOOKUP($A116,$A$4:$O$28,6,0)*(HLOOKUP(T$113,'2.2.Brecha Efectiva x UdM'!$H$25:$AK$32,4,0))</f>
        <v>0</v>
      </c>
      <c r="U116" s="32">
        <f>VLOOKUP($A116,$A$4:$O$28,6,0)*(HLOOKUP(U$113,'2.2.Brecha Efectiva x UdM'!$H$25:$AK$32,4,0))</f>
        <v>0</v>
      </c>
      <c r="V116" s="32">
        <f>VLOOKUP($A116,$A$4:$O$28,6,0)*(HLOOKUP(V$113,'2.2.Brecha Efectiva x UdM'!$H$25:$AK$32,4,0))</f>
        <v>0</v>
      </c>
      <c r="W116" s="32">
        <f>VLOOKUP($A116,$A$4:$O$28,6,0)*(HLOOKUP(W$113,'2.2.Brecha Efectiva x UdM'!$H$25:$AK$32,4,0))</f>
        <v>0</v>
      </c>
      <c r="X116" s="32">
        <f>VLOOKUP($A116,$A$4:$O$28,6,0)*(HLOOKUP(X$113,'2.2.Brecha Efectiva x UdM'!$H$25:$AK$32,4,0))</f>
        <v>0</v>
      </c>
      <c r="Y116" s="32">
        <f>VLOOKUP($A116,$A$4:$O$28,6,0)*(HLOOKUP(Y$113,'2.2.Brecha Efectiva x UdM'!$H$25:$AK$32,4,0))</f>
        <v>0</v>
      </c>
      <c r="Z116" s="32">
        <f>VLOOKUP($A116,$A$4:$O$28,6,0)*(HLOOKUP(Z$113,'2.2.Brecha Efectiva x UdM'!$H$25:$AK$32,4,0))</f>
        <v>0</v>
      </c>
      <c r="AA116" s="32">
        <f>VLOOKUP($A116,$A$4:$O$28,6,0)*(HLOOKUP(AA$113,'2.2.Brecha Efectiva x UdM'!$H$25:$AK$32,4,0))</f>
        <v>0</v>
      </c>
      <c r="AB116" s="32">
        <f>VLOOKUP($A116,$A$4:$O$28,6,0)*(HLOOKUP(AB$113,'2.2.Brecha Efectiva x UdM'!$H$25:$AK$32,4,0))</f>
        <v>0</v>
      </c>
      <c r="AC116" s="32">
        <f>VLOOKUP($A116,$A$4:$O$28,6,0)*(HLOOKUP(AC$113,'2.2.Brecha Efectiva x UdM'!$H$25:$AK$32,4,0))</f>
        <v>0</v>
      </c>
      <c r="AD116" s="32">
        <f>VLOOKUP($A116,$A$4:$O$28,6,0)*(HLOOKUP(AD$113,'2.2.Brecha Efectiva x UdM'!$H$25:$AK$32,4,0))</f>
        <v>0</v>
      </c>
      <c r="AE116" s="32">
        <f>VLOOKUP($A116,$A$4:$O$28,6,0)*(HLOOKUP(AE$113,'2.2.Brecha Efectiva x UdM'!$H$25:$AK$32,4,0))</f>
        <v>0</v>
      </c>
      <c r="AF116" s="32">
        <f>VLOOKUP($A116,$A$4:$O$28,6,0)*(HLOOKUP(AF$113,'2.2.Brecha Efectiva x UdM'!$H$25:$AK$32,4,0))</f>
        <v>0</v>
      </c>
      <c r="AG116" s="32">
        <f>VLOOKUP($A116,$A$4:$O$28,6,0)*(HLOOKUP(AG$113,'2.2.Brecha Efectiva x UdM'!$H$25:$AK$32,4,0))</f>
        <v>0</v>
      </c>
      <c r="AH116" s="62">
        <f t="shared" ref="AH116:AH138" si="101">SUM(D116:AG116)</f>
        <v>0</v>
      </c>
    </row>
    <row r="117" spans="1:34" x14ac:dyDescent="0.2">
      <c r="A117" s="26" t="str">
        <f t="shared" si="98"/>
        <v>Chaco</v>
      </c>
      <c r="B117" s="52" t="str">
        <f t="shared" si="99"/>
        <v>Nombre UdM 3</v>
      </c>
      <c r="C117" s="26" t="str">
        <f t="shared" si="100"/>
        <v>Chaco Nombre UdM 3</v>
      </c>
      <c r="D117" s="31">
        <f>VLOOKUP($A117,$A$4:$O$28,6,0)*(HLOOKUP(D$113,'2.2.Brecha Efectiva x UdM'!$H$25:$AK$32,4,0))</f>
        <v>0</v>
      </c>
      <c r="E117" s="31">
        <f>VLOOKUP($A117,$A$4:$O$28,6,0)*(HLOOKUP(E$113,'2.2.Brecha Efectiva x UdM'!$H$25:$AK$32,4,0))</f>
        <v>0</v>
      </c>
      <c r="F117" s="31">
        <f>VLOOKUP($A117,$A$4:$O$28,6,0)*(HLOOKUP(F$113,'2.2.Brecha Efectiva x UdM'!$H$25:$AK$32,4,0))</f>
        <v>0</v>
      </c>
      <c r="G117" s="31">
        <f>VLOOKUP($A117,$A$4:$O$28,6,0)*(HLOOKUP(G$113,'2.2.Brecha Efectiva x UdM'!$H$25:$AK$32,4,0))</f>
        <v>0</v>
      </c>
      <c r="H117" s="31">
        <f>VLOOKUP($A117,$A$4:$O$28,6,0)*(HLOOKUP(H$113,'2.2.Brecha Efectiva x UdM'!$H$25:$AK$32,4,0))</f>
        <v>0</v>
      </c>
      <c r="I117" s="31">
        <f>VLOOKUP($A117,$A$4:$O$28,6,0)*(HLOOKUP(I$113,'2.2.Brecha Efectiva x UdM'!$H$25:$AK$32,4,0))</f>
        <v>0</v>
      </c>
      <c r="J117" s="31">
        <f>VLOOKUP($A117,$A$4:$O$28,6,0)*(HLOOKUP(J$113,'2.2.Brecha Efectiva x UdM'!$H$25:$AK$32,4,0))</f>
        <v>0</v>
      </c>
      <c r="K117" s="31">
        <f>VLOOKUP($A117,$A$4:$O$28,6,0)*(HLOOKUP(K$113,'2.2.Brecha Efectiva x UdM'!$H$25:$AK$32,4,0))</f>
        <v>0</v>
      </c>
      <c r="L117" s="31">
        <f>VLOOKUP($A117,$A$4:$O$28,6,0)*(HLOOKUP(L$113,'2.2.Brecha Efectiva x UdM'!$H$25:$AK$32,4,0))</f>
        <v>0</v>
      </c>
      <c r="M117" s="31">
        <f>VLOOKUP($A117,$A$4:$O$28,6,0)*(HLOOKUP(M$113,'2.2.Brecha Efectiva x UdM'!$H$25:$AK$32,4,0))</f>
        <v>0</v>
      </c>
      <c r="N117" s="31">
        <f>VLOOKUP($A117,$A$4:$O$28,6,0)*(HLOOKUP(N$113,'2.2.Brecha Efectiva x UdM'!$H$25:$AK$32,4,0))</f>
        <v>0</v>
      </c>
      <c r="O117" s="31">
        <f>VLOOKUP($A117,$A$4:$O$28,6,0)*(HLOOKUP(O$113,'2.2.Brecha Efectiva x UdM'!$H$25:$AK$32,4,0))</f>
        <v>0</v>
      </c>
      <c r="P117" s="31">
        <f>VLOOKUP($A117,$A$4:$O$28,6,0)*(HLOOKUP(P$113,'2.2.Brecha Efectiva x UdM'!$H$25:$AK$32,4,0))</f>
        <v>0</v>
      </c>
      <c r="Q117" s="31">
        <f>VLOOKUP($A117,$A$4:$O$28,6,0)*(HLOOKUP(Q$113,'2.2.Brecha Efectiva x UdM'!$H$25:$AK$32,4,0))</f>
        <v>0</v>
      </c>
      <c r="R117" s="31">
        <f>VLOOKUP($A117,$A$4:$O$28,6,0)*(HLOOKUP(R$113,'2.2.Brecha Efectiva x UdM'!$H$25:$AK$32,4,0))</f>
        <v>0</v>
      </c>
      <c r="S117" s="31">
        <f>VLOOKUP($A117,$A$4:$O$28,6,0)*(HLOOKUP(S$113,'2.2.Brecha Efectiva x UdM'!$H$25:$AK$32,4,0))</f>
        <v>0</v>
      </c>
      <c r="T117" s="31">
        <f>VLOOKUP($A117,$A$4:$O$28,6,0)*(HLOOKUP(T$113,'2.2.Brecha Efectiva x UdM'!$H$25:$AK$32,4,0))</f>
        <v>0</v>
      </c>
      <c r="U117" s="31">
        <f>VLOOKUP($A117,$A$4:$O$28,6,0)*(HLOOKUP(U$113,'2.2.Brecha Efectiva x UdM'!$H$25:$AK$32,4,0))</f>
        <v>0</v>
      </c>
      <c r="V117" s="31">
        <f>VLOOKUP($A117,$A$4:$O$28,6,0)*(HLOOKUP(V$113,'2.2.Brecha Efectiva x UdM'!$H$25:$AK$32,4,0))</f>
        <v>0</v>
      </c>
      <c r="W117" s="31">
        <f>VLOOKUP($A117,$A$4:$O$28,6,0)*(HLOOKUP(W$113,'2.2.Brecha Efectiva x UdM'!$H$25:$AK$32,4,0))</f>
        <v>0</v>
      </c>
      <c r="X117" s="31">
        <f>VLOOKUP($A117,$A$4:$O$28,6,0)*(HLOOKUP(X$113,'2.2.Brecha Efectiva x UdM'!$H$25:$AK$32,4,0))</f>
        <v>0</v>
      </c>
      <c r="Y117" s="31">
        <f>VLOOKUP($A117,$A$4:$O$28,6,0)*(HLOOKUP(Y$113,'2.2.Brecha Efectiva x UdM'!$H$25:$AK$32,4,0))</f>
        <v>0</v>
      </c>
      <c r="Z117" s="31">
        <f>VLOOKUP($A117,$A$4:$O$28,6,0)*(HLOOKUP(Z$113,'2.2.Brecha Efectiva x UdM'!$H$25:$AK$32,4,0))</f>
        <v>0</v>
      </c>
      <c r="AA117" s="31">
        <f>VLOOKUP($A117,$A$4:$O$28,6,0)*(HLOOKUP(AA$113,'2.2.Brecha Efectiva x UdM'!$H$25:$AK$32,4,0))</f>
        <v>0</v>
      </c>
      <c r="AB117" s="31">
        <f>VLOOKUP($A117,$A$4:$O$28,6,0)*(HLOOKUP(AB$113,'2.2.Brecha Efectiva x UdM'!$H$25:$AK$32,4,0))</f>
        <v>0</v>
      </c>
      <c r="AC117" s="31">
        <f>VLOOKUP($A117,$A$4:$O$28,6,0)*(HLOOKUP(AC$113,'2.2.Brecha Efectiva x UdM'!$H$25:$AK$32,4,0))</f>
        <v>0</v>
      </c>
      <c r="AD117" s="31">
        <f>VLOOKUP($A117,$A$4:$O$28,6,0)*(HLOOKUP(AD$113,'2.2.Brecha Efectiva x UdM'!$H$25:$AK$32,4,0))</f>
        <v>0</v>
      </c>
      <c r="AE117" s="31">
        <f>VLOOKUP($A117,$A$4:$O$28,6,0)*(HLOOKUP(AE$113,'2.2.Brecha Efectiva x UdM'!$H$25:$AK$32,4,0))</f>
        <v>0</v>
      </c>
      <c r="AF117" s="31">
        <f>VLOOKUP($A117,$A$4:$O$28,6,0)*(HLOOKUP(AF$113,'2.2.Brecha Efectiva x UdM'!$H$25:$AK$32,4,0))</f>
        <v>0</v>
      </c>
      <c r="AG117" s="31">
        <f>VLOOKUP($A117,$A$4:$O$28,6,0)*(HLOOKUP(AG$113,'2.2.Brecha Efectiva x UdM'!$H$25:$AK$32,4,0))</f>
        <v>0</v>
      </c>
      <c r="AH117" s="63">
        <f t="shared" si="101"/>
        <v>0</v>
      </c>
    </row>
    <row r="118" spans="1:34" x14ac:dyDescent="0.2">
      <c r="A118" s="25" t="str">
        <f t="shared" si="98"/>
        <v>Chubut</v>
      </c>
      <c r="B118" s="51" t="str">
        <f t="shared" si="99"/>
        <v>Nombre UdM 3</v>
      </c>
      <c r="C118" s="25" t="str">
        <f t="shared" si="100"/>
        <v>Chubut Nombre UdM 3</v>
      </c>
      <c r="D118" s="32">
        <f>VLOOKUP($A118,$A$4:$O$28,6,0)*(HLOOKUP(D$113,'2.2.Brecha Efectiva x UdM'!$H$25:$AK$32,4,0))</f>
        <v>17631926.759783588</v>
      </c>
      <c r="E118" s="32">
        <f>VLOOKUP($A118,$A$4:$O$28,6,0)*(HLOOKUP(E$113,'2.2.Brecha Efectiva x UdM'!$H$25:$AK$32,4,0))</f>
        <v>119846902.63757576</v>
      </c>
      <c r="F118" s="32">
        <f>VLOOKUP($A118,$A$4:$O$28,6,0)*(HLOOKUP(F$113,'2.2.Brecha Efectiva x UdM'!$H$25:$AK$32,4,0))</f>
        <v>6091772.0401045</v>
      </c>
      <c r="G118" s="32">
        <f>VLOOKUP($A118,$A$4:$O$28,6,0)*(HLOOKUP(G$113,'2.2.Brecha Efectiva x UdM'!$H$25:$AK$32,4,0))</f>
        <v>3332941.4355004798</v>
      </c>
      <c r="H118" s="32">
        <f>VLOOKUP($A118,$A$4:$O$28,6,0)*(HLOOKUP(H$113,'2.2.Brecha Efectiva x UdM'!$H$25:$AK$32,4,0))</f>
        <v>0</v>
      </c>
      <c r="I118" s="32">
        <f>VLOOKUP($A118,$A$4:$O$28,6,0)*(HLOOKUP(I$113,'2.2.Brecha Efectiva x UdM'!$H$25:$AK$32,4,0))</f>
        <v>0</v>
      </c>
      <c r="J118" s="32">
        <f>VLOOKUP($A118,$A$4:$O$28,6,0)*(HLOOKUP(J$113,'2.2.Brecha Efectiva x UdM'!$H$25:$AK$32,4,0))</f>
        <v>0</v>
      </c>
      <c r="K118" s="32">
        <f>VLOOKUP($A118,$A$4:$O$28,6,0)*(HLOOKUP(K$113,'2.2.Brecha Efectiva x UdM'!$H$25:$AK$32,4,0))</f>
        <v>0</v>
      </c>
      <c r="L118" s="32">
        <f>VLOOKUP($A118,$A$4:$O$28,6,0)*(HLOOKUP(L$113,'2.2.Brecha Efectiva x UdM'!$H$25:$AK$32,4,0))</f>
        <v>0</v>
      </c>
      <c r="M118" s="32">
        <f>VLOOKUP($A118,$A$4:$O$28,6,0)*(HLOOKUP(M$113,'2.2.Brecha Efectiva x UdM'!$H$25:$AK$32,4,0))</f>
        <v>0</v>
      </c>
      <c r="N118" s="32">
        <f>VLOOKUP($A118,$A$4:$O$28,6,0)*(HLOOKUP(N$113,'2.2.Brecha Efectiva x UdM'!$H$25:$AK$32,4,0))</f>
        <v>0</v>
      </c>
      <c r="O118" s="32">
        <f>VLOOKUP($A118,$A$4:$O$28,6,0)*(HLOOKUP(O$113,'2.2.Brecha Efectiva x UdM'!$H$25:$AK$32,4,0))</f>
        <v>0</v>
      </c>
      <c r="P118" s="32">
        <f>VLOOKUP($A118,$A$4:$O$28,6,0)*(HLOOKUP(P$113,'2.2.Brecha Efectiva x UdM'!$H$25:$AK$32,4,0))</f>
        <v>0</v>
      </c>
      <c r="Q118" s="32">
        <f>VLOOKUP($A118,$A$4:$O$28,6,0)*(HLOOKUP(Q$113,'2.2.Brecha Efectiva x UdM'!$H$25:$AK$32,4,0))</f>
        <v>0</v>
      </c>
      <c r="R118" s="32">
        <f>VLOOKUP($A118,$A$4:$O$28,6,0)*(HLOOKUP(R$113,'2.2.Brecha Efectiva x UdM'!$H$25:$AK$32,4,0))</f>
        <v>0</v>
      </c>
      <c r="S118" s="32">
        <f>VLOOKUP($A118,$A$4:$O$28,6,0)*(HLOOKUP(S$113,'2.2.Brecha Efectiva x UdM'!$H$25:$AK$32,4,0))</f>
        <v>0</v>
      </c>
      <c r="T118" s="32">
        <f>VLOOKUP($A118,$A$4:$O$28,6,0)*(HLOOKUP(T$113,'2.2.Brecha Efectiva x UdM'!$H$25:$AK$32,4,0))</f>
        <v>0</v>
      </c>
      <c r="U118" s="32">
        <f>VLOOKUP($A118,$A$4:$O$28,6,0)*(HLOOKUP(U$113,'2.2.Brecha Efectiva x UdM'!$H$25:$AK$32,4,0))</f>
        <v>0</v>
      </c>
      <c r="V118" s="32">
        <f>VLOOKUP($A118,$A$4:$O$28,6,0)*(HLOOKUP(V$113,'2.2.Brecha Efectiva x UdM'!$H$25:$AK$32,4,0))</f>
        <v>0</v>
      </c>
      <c r="W118" s="32">
        <f>VLOOKUP($A118,$A$4:$O$28,6,0)*(HLOOKUP(W$113,'2.2.Brecha Efectiva x UdM'!$H$25:$AK$32,4,0))</f>
        <v>0</v>
      </c>
      <c r="X118" s="32">
        <f>VLOOKUP($A118,$A$4:$O$28,6,0)*(HLOOKUP(X$113,'2.2.Brecha Efectiva x UdM'!$H$25:$AK$32,4,0))</f>
        <v>0</v>
      </c>
      <c r="Y118" s="32">
        <f>VLOOKUP($A118,$A$4:$O$28,6,0)*(HLOOKUP(Y$113,'2.2.Brecha Efectiva x UdM'!$H$25:$AK$32,4,0))</f>
        <v>0</v>
      </c>
      <c r="Z118" s="32">
        <f>VLOOKUP($A118,$A$4:$O$28,6,0)*(HLOOKUP(Z$113,'2.2.Brecha Efectiva x UdM'!$H$25:$AK$32,4,0))</f>
        <v>0</v>
      </c>
      <c r="AA118" s="32">
        <f>VLOOKUP($A118,$A$4:$O$28,6,0)*(HLOOKUP(AA$113,'2.2.Brecha Efectiva x UdM'!$H$25:$AK$32,4,0))</f>
        <v>0</v>
      </c>
      <c r="AB118" s="32">
        <f>VLOOKUP($A118,$A$4:$O$28,6,0)*(HLOOKUP(AB$113,'2.2.Brecha Efectiva x UdM'!$H$25:$AK$32,4,0))</f>
        <v>0</v>
      </c>
      <c r="AC118" s="32">
        <f>VLOOKUP($A118,$A$4:$O$28,6,0)*(HLOOKUP(AC$113,'2.2.Brecha Efectiva x UdM'!$H$25:$AK$32,4,0))</f>
        <v>0</v>
      </c>
      <c r="AD118" s="32">
        <f>VLOOKUP($A118,$A$4:$O$28,6,0)*(HLOOKUP(AD$113,'2.2.Brecha Efectiva x UdM'!$H$25:$AK$32,4,0))</f>
        <v>0</v>
      </c>
      <c r="AE118" s="32">
        <f>VLOOKUP($A118,$A$4:$O$28,6,0)*(HLOOKUP(AE$113,'2.2.Brecha Efectiva x UdM'!$H$25:$AK$32,4,0))</f>
        <v>0</v>
      </c>
      <c r="AF118" s="32">
        <f>VLOOKUP($A118,$A$4:$O$28,6,0)*(HLOOKUP(AF$113,'2.2.Brecha Efectiva x UdM'!$H$25:$AK$32,4,0))</f>
        <v>0</v>
      </c>
      <c r="AG118" s="32">
        <f>VLOOKUP($A118,$A$4:$O$28,6,0)*(HLOOKUP(AG$113,'2.2.Brecha Efectiva x UdM'!$H$25:$AK$32,4,0))</f>
        <v>0</v>
      </c>
      <c r="AH118" s="62">
        <f t="shared" si="101"/>
        <v>146903542.87296432</v>
      </c>
    </row>
    <row r="119" spans="1:34" x14ac:dyDescent="0.2">
      <c r="A119" s="26" t="str">
        <f t="shared" si="98"/>
        <v>Córdoba</v>
      </c>
      <c r="B119" s="52" t="str">
        <f t="shared" si="99"/>
        <v>Nombre UdM 3</v>
      </c>
      <c r="C119" s="26" t="str">
        <f t="shared" si="100"/>
        <v>Córdoba Nombre UdM 3</v>
      </c>
      <c r="D119" s="31">
        <f>VLOOKUP($A119,$A$4:$O$28,6,0)*(HLOOKUP(D$113,'2.2.Brecha Efectiva x UdM'!$H$25:$AK$32,4,0))</f>
        <v>8471476.825824514</v>
      </c>
      <c r="E119" s="31">
        <f>VLOOKUP($A119,$A$4:$O$28,6,0)*(HLOOKUP(E$113,'2.2.Brecha Efectiva x UdM'!$H$25:$AK$32,4,0))</f>
        <v>57581923.52844888</v>
      </c>
      <c r="F119" s="31">
        <f>VLOOKUP($A119,$A$4:$O$28,6,0)*(HLOOKUP(F$113,'2.2.Brecha Efectiva x UdM'!$H$25:$AK$32,4,0))</f>
        <v>2926867.061611162</v>
      </c>
      <c r="G119" s="31">
        <f>VLOOKUP($A119,$A$4:$O$28,6,0)*(HLOOKUP(G$113,'2.2.Brecha Efectiva x UdM'!$H$25:$AK$32,4,0))</f>
        <v>1601352.8480094003</v>
      </c>
      <c r="H119" s="31">
        <f>VLOOKUP($A119,$A$4:$O$28,6,0)*(HLOOKUP(H$113,'2.2.Brecha Efectiva x UdM'!$H$25:$AK$32,4,0))</f>
        <v>0</v>
      </c>
      <c r="I119" s="31">
        <f>VLOOKUP($A119,$A$4:$O$28,6,0)*(HLOOKUP(I$113,'2.2.Brecha Efectiva x UdM'!$H$25:$AK$32,4,0))</f>
        <v>0</v>
      </c>
      <c r="J119" s="31">
        <f>VLOOKUP($A119,$A$4:$O$28,6,0)*(HLOOKUP(J$113,'2.2.Brecha Efectiva x UdM'!$H$25:$AK$32,4,0))</f>
        <v>0</v>
      </c>
      <c r="K119" s="31">
        <f>VLOOKUP($A119,$A$4:$O$28,6,0)*(HLOOKUP(K$113,'2.2.Brecha Efectiva x UdM'!$H$25:$AK$32,4,0))</f>
        <v>0</v>
      </c>
      <c r="L119" s="31">
        <f>VLOOKUP($A119,$A$4:$O$28,6,0)*(HLOOKUP(L$113,'2.2.Brecha Efectiva x UdM'!$H$25:$AK$32,4,0))</f>
        <v>0</v>
      </c>
      <c r="M119" s="31">
        <f>VLOOKUP($A119,$A$4:$O$28,6,0)*(HLOOKUP(M$113,'2.2.Brecha Efectiva x UdM'!$H$25:$AK$32,4,0))</f>
        <v>0</v>
      </c>
      <c r="N119" s="31">
        <f>VLOOKUP($A119,$A$4:$O$28,6,0)*(HLOOKUP(N$113,'2.2.Brecha Efectiva x UdM'!$H$25:$AK$32,4,0))</f>
        <v>0</v>
      </c>
      <c r="O119" s="31">
        <f>VLOOKUP($A119,$A$4:$O$28,6,0)*(HLOOKUP(O$113,'2.2.Brecha Efectiva x UdM'!$H$25:$AK$32,4,0))</f>
        <v>0</v>
      </c>
      <c r="P119" s="31">
        <f>VLOOKUP($A119,$A$4:$O$28,6,0)*(HLOOKUP(P$113,'2.2.Brecha Efectiva x UdM'!$H$25:$AK$32,4,0))</f>
        <v>0</v>
      </c>
      <c r="Q119" s="31">
        <f>VLOOKUP($A119,$A$4:$O$28,6,0)*(HLOOKUP(Q$113,'2.2.Brecha Efectiva x UdM'!$H$25:$AK$32,4,0))</f>
        <v>0</v>
      </c>
      <c r="R119" s="31">
        <f>VLOOKUP($A119,$A$4:$O$28,6,0)*(HLOOKUP(R$113,'2.2.Brecha Efectiva x UdM'!$H$25:$AK$32,4,0))</f>
        <v>0</v>
      </c>
      <c r="S119" s="31">
        <f>VLOOKUP($A119,$A$4:$O$28,6,0)*(HLOOKUP(S$113,'2.2.Brecha Efectiva x UdM'!$H$25:$AK$32,4,0))</f>
        <v>0</v>
      </c>
      <c r="T119" s="31">
        <f>VLOOKUP($A119,$A$4:$O$28,6,0)*(HLOOKUP(T$113,'2.2.Brecha Efectiva x UdM'!$H$25:$AK$32,4,0))</f>
        <v>0</v>
      </c>
      <c r="U119" s="31">
        <f>VLOOKUP($A119,$A$4:$O$28,6,0)*(HLOOKUP(U$113,'2.2.Brecha Efectiva x UdM'!$H$25:$AK$32,4,0))</f>
        <v>0</v>
      </c>
      <c r="V119" s="31">
        <f>VLOOKUP($A119,$A$4:$O$28,6,0)*(HLOOKUP(V$113,'2.2.Brecha Efectiva x UdM'!$H$25:$AK$32,4,0))</f>
        <v>0</v>
      </c>
      <c r="W119" s="31">
        <f>VLOOKUP($A119,$A$4:$O$28,6,0)*(HLOOKUP(W$113,'2.2.Brecha Efectiva x UdM'!$H$25:$AK$32,4,0))</f>
        <v>0</v>
      </c>
      <c r="X119" s="31">
        <f>VLOOKUP($A119,$A$4:$O$28,6,0)*(HLOOKUP(X$113,'2.2.Brecha Efectiva x UdM'!$H$25:$AK$32,4,0))</f>
        <v>0</v>
      </c>
      <c r="Y119" s="31">
        <f>VLOOKUP($A119,$A$4:$O$28,6,0)*(HLOOKUP(Y$113,'2.2.Brecha Efectiva x UdM'!$H$25:$AK$32,4,0))</f>
        <v>0</v>
      </c>
      <c r="Z119" s="31">
        <f>VLOOKUP($A119,$A$4:$O$28,6,0)*(HLOOKUP(Z$113,'2.2.Brecha Efectiva x UdM'!$H$25:$AK$32,4,0))</f>
        <v>0</v>
      </c>
      <c r="AA119" s="31">
        <f>VLOOKUP($A119,$A$4:$O$28,6,0)*(HLOOKUP(AA$113,'2.2.Brecha Efectiva x UdM'!$H$25:$AK$32,4,0))</f>
        <v>0</v>
      </c>
      <c r="AB119" s="31">
        <f>VLOOKUP($A119,$A$4:$O$28,6,0)*(HLOOKUP(AB$113,'2.2.Brecha Efectiva x UdM'!$H$25:$AK$32,4,0))</f>
        <v>0</v>
      </c>
      <c r="AC119" s="31">
        <f>VLOOKUP($A119,$A$4:$O$28,6,0)*(HLOOKUP(AC$113,'2.2.Brecha Efectiva x UdM'!$H$25:$AK$32,4,0))</f>
        <v>0</v>
      </c>
      <c r="AD119" s="31">
        <f>VLOOKUP($A119,$A$4:$O$28,6,0)*(HLOOKUP(AD$113,'2.2.Brecha Efectiva x UdM'!$H$25:$AK$32,4,0))</f>
        <v>0</v>
      </c>
      <c r="AE119" s="31">
        <f>VLOOKUP($A119,$A$4:$O$28,6,0)*(HLOOKUP(AE$113,'2.2.Brecha Efectiva x UdM'!$H$25:$AK$32,4,0))</f>
        <v>0</v>
      </c>
      <c r="AF119" s="31">
        <f>VLOOKUP($A119,$A$4:$O$28,6,0)*(HLOOKUP(AF$113,'2.2.Brecha Efectiva x UdM'!$H$25:$AK$32,4,0))</f>
        <v>0</v>
      </c>
      <c r="AG119" s="31">
        <f>VLOOKUP($A119,$A$4:$O$28,6,0)*(HLOOKUP(AG$113,'2.2.Brecha Efectiva x UdM'!$H$25:$AK$32,4,0))</f>
        <v>0</v>
      </c>
      <c r="AH119" s="63">
        <f t="shared" si="101"/>
        <v>70581620.263893962</v>
      </c>
    </row>
    <row r="120" spans="1:34" x14ac:dyDescent="0.2">
      <c r="A120" s="25" t="str">
        <f t="shared" si="98"/>
        <v>Corrientes</v>
      </c>
      <c r="B120" s="51" t="str">
        <f t="shared" si="99"/>
        <v>Nombre UdM 3</v>
      </c>
      <c r="C120" s="25" t="str">
        <f t="shared" si="100"/>
        <v>Corrientes Nombre UdM 3</v>
      </c>
      <c r="D120" s="32">
        <f>VLOOKUP($A120,$A$4:$O$28,6,0)*(HLOOKUP(D$113,'2.2.Brecha Efectiva x UdM'!$H$25:$AK$32,4,0))</f>
        <v>4192649.077452641</v>
      </c>
      <c r="E120" s="32">
        <f>VLOOKUP($A120,$A$4:$O$28,6,0)*(HLOOKUP(E$113,'2.2.Brecha Efectiva x UdM'!$H$25:$AK$32,4,0))</f>
        <v>28498076.961451478</v>
      </c>
      <c r="F120" s="32">
        <f>VLOOKUP($A120,$A$4:$O$28,6,0)*(HLOOKUP(F$113,'2.2.Brecha Efectiva x UdM'!$H$25:$AK$32,4,0))</f>
        <v>1448546.3087477917</v>
      </c>
      <c r="G120" s="32">
        <f>VLOOKUP($A120,$A$4:$O$28,6,0)*(HLOOKUP(G$113,'2.2.Brecha Efectiva x UdM'!$H$25:$AK$32,4,0))</f>
        <v>792531.29990464414</v>
      </c>
      <c r="H120" s="32">
        <f>VLOOKUP($A120,$A$4:$O$28,6,0)*(HLOOKUP(H$113,'2.2.Brecha Efectiva x UdM'!$H$25:$AK$32,4,0))</f>
        <v>0</v>
      </c>
      <c r="I120" s="32">
        <f>VLOOKUP($A120,$A$4:$O$28,6,0)*(HLOOKUP(I$113,'2.2.Brecha Efectiva x UdM'!$H$25:$AK$32,4,0))</f>
        <v>0</v>
      </c>
      <c r="J120" s="32">
        <f>VLOOKUP($A120,$A$4:$O$28,6,0)*(HLOOKUP(J$113,'2.2.Brecha Efectiva x UdM'!$H$25:$AK$32,4,0))</f>
        <v>0</v>
      </c>
      <c r="K120" s="32">
        <f>VLOOKUP($A120,$A$4:$O$28,6,0)*(HLOOKUP(K$113,'2.2.Brecha Efectiva x UdM'!$H$25:$AK$32,4,0))</f>
        <v>0</v>
      </c>
      <c r="L120" s="32">
        <f>VLOOKUP($A120,$A$4:$O$28,6,0)*(HLOOKUP(L$113,'2.2.Brecha Efectiva x UdM'!$H$25:$AK$32,4,0))</f>
        <v>0</v>
      </c>
      <c r="M120" s="32">
        <f>VLOOKUP($A120,$A$4:$O$28,6,0)*(HLOOKUP(M$113,'2.2.Brecha Efectiva x UdM'!$H$25:$AK$32,4,0))</f>
        <v>0</v>
      </c>
      <c r="N120" s="32">
        <f>VLOOKUP($A120,$A$4:$O$28,6,0)*(HLOOKUP(N$113,'2.2.Brecha Efectiva x UdM'!$H$25:$AK$32,4,0))</f>
        <v>0</v>
      </c>
      <c r="O120" s="32">
        <f>VLOOKUP($A120,$A$4:$O$28,6,0)*(HLOOKUP(O$113,'2.2.Brecha Efectiva x UdM'!$H$25:$AK$32,4,0))</f>
        <v>0</v>
      </c>
      <c r="P120" s="32">
        <f>VLOOKUP($A120,$A$4:$O$28,6,0)*(HLOOKUP(P$113,'2.2.Brecha Efectiva x UdM'!$H$25:$AK$32,4,0))</f>
        <v>0</v>
      </c>
      <c r="Q120" s="32">
        <f>VLOOKUP($A120,$A$4:$O$28,6,0)*(HLOOKUP(Q$113,'2.2.Brecha Efectiva x UdM'!$H$25:$AK$32,4,0))</f>
        <v>0</v>
      </c>
      <c r="R120" s="32">
        <f>VLOOKUP($A120,$A$4:$O$28,6,0)*(HLOOKUP(R$113,'2.2.Brecha Efectiva x UdM'!$H$25:$AK$32,4,0))</f>
        <v>0</v>
      </c>
      <c r="S120" s="32">
        <f>VLOOKUP($A120,$A$4:$O$28,6,0)*(HLOOKUP(S$113,'2.2.Brecha Efectiva x UdM'!$H$25:$AK$32,4,0))</f>
        <v>0</v>
      </c>
      <c r="T120" s="32">
        <f>VLOOKUP($A120,$A$4:$O$28,6,0)*(HLOOKUP(T$113,'2.2.Brecha Efectiva x UdM'!$H$25:$AK$32,4,0))</f>
        <v>0</v>
      </c>
      <c r="U120" s="32">
        <f>VLOOKUP($A120,$A$4:$O$28,6,0)*(HLOOKUP(U$113,'2.2.Brecha Efectiva x UdM'!$H$25:$AK$32,4,0))</f>
        <v>0</v>
      </c>
      <c r="V120" s="32">
        <f>VLOOKUP($A120,$A$4:$O$28,6,0)*(HLOOKUP(V$113,'2.2.Brecha Efectiva x UdM'!$H$25:$AK$32,4,0))</f>
        <v>0</v>
      </c>
      <c r="W120" s="32">
        <f>VLOOKUP($A120,$A$4:$O$28,6,0)*(HLOOKUP(W$113,'2.2.Brecha Efectiva x UdM'!$H$25:$AK$32,4,0))</f>
        <v>0</v>
      </c>
      <c r="X120" s="32">
        <f>VLOOKUP($A120,$A$4:$O$28,6,0)*(HLOOKUP(X$113,'2.2.Brecha Efectiva x UdM'!$H$25:$AK$32,4,0))</f>
        <v>0</v>
      </c>
      <c r="Y120" s="32">
        <f>VLOOKUP($A120,$A$4:$O$28,6,0)*(HLOOKUP(Y$113,'2.2.Brecha Efectiva x UdM'!$H$25:$AK$32,4,0))</f>
        <v>0</v>
      </c>
      <c r="Z120" s="32">
        <f>VLOOKUP($A120,$A$4:$O$28,6,0)*(HLOOKUP(Z$113,'2.2.Brecha Efectiva x UdM'!$H$25:$AK$32,4,0))</f>
        <v>0</v>
      </c>
      <c r="AA120" s="32">
        <f>VLOOKUP($A120,$A$4:$O$28,6,0)*(HLOOKUP(AA$113,'2.2.Brecha Efectiva x UdM'!$H$25:$AK$32,4,0))</f>
        <v>0</v>
      </c>
      <c r="AB120" s="32">
        <f>VLOOKUP($A120,$A$4:$O$28,6,0)*(HLOOKUP(AB$113,'2.2.Brecha Efectiva x UdM'!$H$25:$AK$32,4,0))</f>
        <v>0</v>
      </c>
      <c r="AC120" s="32">
        <f>VLOOKUP($A120,$A$4:$O$28,6,0)*(HLOOKUP(AC$113,'2.2.Brecha Efectiva x UdM'!$H$25:$AK$32,4,0))</f>
        <v>0</v>
      </c>
      <c r="AD120" s="32">
        <f>VLOOKUP($A120,$A$4:$O$28,6,0)*(HLOOKUP(AD$113,'2.2.Brecha Efectiva x UdM'!$H$25:$AK$32,4,0))</f>
        <v>0</v>
      </c>
      <c r="AE120" s="32">
        <f>VLOOKUP($A120,$A$4:$O$28,6,0)*(HLOOKUP(AE$113,'2.2.Brecha Efectiva x UdM'!$H$25:$AK$32,4,0))</f>
        <v>0</v>
      </c>
      <c r="AF120" s="32">
        <f>VLOOKUP($A120,$A$4:$O$28,6,0)*(HLOOKUP(AF$113,'2.2.Brecha Efectiva x UdM'!$H$25:$AK$32,4,0))</f>
        <v>0</v>
      </c>
      <c r="AG120" s="32">
        <f>VLOOKUP($A120,$A$4:$O$28,6,0)*(HLOOKUP(AG$113,'2.2.Brecha Efectiva x UdM'!$H$25:$AK$32,4,0))</f>
        <v>0</v>
      </c>
      <c r="AH120" s="62">
        <f t="shared" si="101"/>
        <v>34931803.647556558</v>
      </c>
    </row>
    <row r="121" spans="1:34" x14ac:dyDescent="0.2">
      <c r="A121" s="26" t="str">
        <f t="shared" si="98"/>
        <v>Entre Ríos</v>
      </c>
      <c r="B121" s="52" t="str">
        <f t="shared" si="99"/>
        <v>Nombre UdM 3</v>
      </c>
      <c r="C121" s="26" t="str">
        <f t="shared" si="100"/>
        <v>Entre Ríos Nombre UdM 3</v>
      </c>
      <c r="D121" s="31">
        <f>VLOOKUP($A121,$A$4:$O$28,6,0)*(HLOOKUP(D$113,'2.2.Brecha Efectiva x UdM'!$H$25:$AK$32,4,0))</f>
        <v>2923087.5589517793</v>
      </c>
      <c r="E121" s="31">
        <f>VLOOKUP($A121,$A$4:$O$28,6,0)*(HLOOKUP(E$113,'2.2.Brecha Efectiva x UdM'!$H$25:$AK$32,4,0))</f>
        <v>19868673.166102845</v>
      </c>
      <c r="F121" s="31">
        <f>VLOOKUP($A121,$A$4:$O$28,6,0)*(HLOOKUP(F$113,'2.2.Brecha Efectiva x UdM'!$H$25:$AK$32,4,0))</f>
        <v>1009917.0275034832</v>
      </c>
      <c r="G121" s="31">
        <f>VLOOKUP($A121,$A$4:$O$28,6,0)*(HLOOKUP(G$113,'2.2.Brecha Efectiva x UdM'!$H$25:$AK$32,4,0))</f>
        <v>552547.64709253563</v>
      </c>
      <c r="H121" s="31">
        <f>VLOOKUP($A121,$A$4:$O$28,6,0)*(HLOOKUP(H$113,'2.2.Brecha Efectiva x UdM'!$H$25:$AK$32,4,0))</f>
        <v>0</v>
      </c>
      <c r="I121" s="31">
        <f>VLOOKUP($A121,$A$4:$O$28,6,0)*(HLOOKUP(I$113,'2.2.Brecha Efectiva x UdM'!$H$25:$AK$32,4,0))</f>
        <v>0</v>
      </c>
      <c r="J121" s="31">
        <f>VLOOKUP($A121,$A$4:$O$28,6,0)*(HLOOKUP(J$113,'2.2.Brecha Efectiva x UdM'!$H$25:$AK$32,4,0))</f>
        <v>0</v>
      </c>
      <c r="K121" s="31">
        <f>VLOOKUP($A121,$A$4:$O$28,6,0)*(HLOOKUP(K$113,'2.2.Brecha Efectiva x UdM'!$H$25:$AK$32,4,0))</f>
        <v>0</v>
      </c>
      <c r="L121" s="31">
        <f>VLOOKUP($A121,$A$4:$O$28,6,0)*(HLOOKUP(L$113,'2.2.Brecha Efectiva x UdM'!$H$25:$AK$32,4,0))</f>
        <v>0</v>
      </c>
      <c r="M121" s="31">
        <f>VLOOKUP($A121,$A$4:$O$28,6,0)*(HLOOKUP(M$113,'2.2.Brecha Efectiva x UdM'!$H$25:$AK$32,4,0))</f>
        <v>0</v>
      </c>
      <c r="N121" s="31">
        <f>VLOOKUP($A121,$A$4:$O$28,6,0)*(HLOOKUP(N$113,'2.2.Brecha Efectiva x UdM'!$H$25:$AK$32,4,0))</f>
        <v>0</v>
      </c>
      <c r="O121" s="31">
        <f>VLOOKUP($A121,$A$4:$O$28,6,0)*(HLOOKUP(O$113,'2.2.Brecha Efectiva x UdM'!$H$25:$AK$32,4,0))</f>
        <v>0</v>
      </c>
      <c r="P121" s="31">
        <f>VLOOKUP($A121,$A$4:$O$28,6,0)*(HLOOKUP(P$113,'2.2.Brecha Efectiva x UdM'!$H$25:$AK$32,4,0))</f>
        <v>0</v>
      </c>
      <c r="Q121" s="31">
        <f>VLOOKUP($A121,$A$4:$O$28,6,0)*(HLOOKUP(Q$113,'2.2.Brecha Efectiva x UdM'!$H$25:$AK$32,4,0))</f>
        <v>0</v>
      </c>
      <c r="R121" s="31">
        <f>VLOOKUP($A121,$A$4:$O$28,6,0)*(HLOOKUP(R$113,'2.2.Brecha Efectiva x UdM'!$H$25:$AK$32,4,0))</f>
        <v>0</v>
      </c>
      <c r="S121" s="31">
        <f>VLOOKUP($A121,$A$4:$O$28,6,0)*(HLOOKUP(S$113,'2.2.Brecha Efectiva x UdM'!$H$25:$AK$32,4,0))</f>
        <v>0</v>
      </c>
      <c r="T121" s="31">
        <f>VLOOKUP($A121,$A$4:$O$28,6,0)*(HLOOKUP(T$113,'2.2.Brecha Efectiva x UdM'!$H$25:$AK$32,4,0))</f>
        <v>0</v>
      </c>
      <c r="U121" s="31">
        <f>VLOOKUP($A121,$A$4:$O$28,6,0)*(HLOOKUP(U$113,'2.2.Brecha Efectiva x UdM'!$H$25:$AK$32,4,0))</f>
        <v>0</v>
      </c>
      <c r="V121" s="31">
        <f>VLOOKUP($A121,$A$4:$O$28,6,0)*(HLOOKUP(V$113,'2.2.Brecha Efectiva x UdM'!$H$25:$AK$32,4,0))</f>
        <v>0</v>
      </c>
      <c r="W121" s="31">
        <f>VLOOKUP($A121,$A$4:$O$28,6,0)*(HLOOKUP(W$113,'2.2.Brecha Efectiva x UdM'!$H$25:$AK$32,4,0))</f>
        <v>0</v>
      </c>
      <c r="X121" s="31">
        <f>VLOOKUP($A121,$A$4:$O$28,6,0)*(HLOOKUP(X$113,'2.2.Brecha Efectiva x UdM'!$H$25:$AK$32,4,0))</f>
        <v>0</v>
      </c>
      <c r="Y121" s="31">
        <f>VLOOKUP($A121,$A$4:$O$28,6,0)*(HLOOKUP(Y$113,'2.2.Brecha Efectiva x UdM'!$H$25:$AK$32,4,0))</f>
        <v>0</v>
      </c>
      <c r="Z121" s="31">
        <f>VLOOKUP($A121,$A$4:$O$28,6,0)*(HLOOKUP(Z$113,'2.2.Brecha Efectiva x UdM'!$H$25:$AK$32,4,0))</f>
        <v>0</v>
      </c>
      <c r="AA121" s="31">
        <f>VLOOKUP($A121,$A$4:$O$28,6,0)*(HLOOKUP(AA$113,'2.2.Brecha Efectiva x UdM'!$H$25:$AK$32,4,0))</f>
        <v>0</v>
      </c>
      <c r="AB121" s="31">
        <f>VLOOKUP($A121,$A$4:$O$28,6,0)*(HLOOKUP(AB$113,'2.2.Brecha Efectiva x UdM'!$H$25:$AK$32,4,0))</f>
        <v>0</v>
      </c>
      <c r="AC121" s="31">
        <f>VLOOKUP($A121,$A$4:$O$28,6,0)*(HLOOKUP(AC$113,'2.2.Brecha Efectiva x UdM'!$H$25:$AK$32,4,0))</f>
        <v>0</v>
      </c>
      <c r="AD121" s="31">
        <f>VLOOKUP($A121,$A$4:$O$28,6,0)*(HLOOKUP(AD$113,'2.2.Brecha Efectiva x UdM'!$H$25:$AK$32,4,0))</f>
        <v>0</v>
      </c>
      <c r="AE121" s="31">
        <f>VLOOKUP($A121,$A$4:$O$28,6,0)*(HLOOKUP(AE$113,'2.2.Brecha Efectiva x UdM'!$H$25:$AK$32,4,0))</f>
        <v>0</v>
      </c>
      <c r="AF121" s="31">
        <f>VLOOKUP($A121,$A$4:$O$28,6,0)*(HLOOKUP(AF$113,'2.2.Brecha Efectiva x UdM'!$H$25:$AK$32,4,0))</f>
        <v>0</v>
      </c>
      <c r="AG121" s="31">
        <f>VLOOKUP($A121,$A$4:$O$28,6,0)*(HLOOKUP(AG$113,'2.2.Brecha Efectiva x UdM'!$H$25:$AK$32,4,0))</f>
        <v>0</v>
      </c>
      <c r="AH121" s="63">
        <f t="shared" si="101"/>
        <v>24354225.399650645</v>
      </c>
    </row>
    <row r="122" spans="1:34" x14ac:dyDescent="0.2">
      <c r="A122" s="25" t="str">
        <f t="shared" si="98"/>
        <v>Formosa</v>
      </c>
      <c r="B122" s="51" t="str">
        <f t="shared" si="99"/>
        <v>Nombre UdM 3</v>
      </c>
      <c r="C122" s="25" t="str">
        <f t="shared" si="100"/>
        <v>Formosa Nombre UdM 3</v>
      </c>
      <c r="D122" s="32">
        <f>VLOOKUP($A122,$A$4:$O$28,6,0)*(HLOOKUP(D$113,'2.2.Brecha Efectiva x UdM'!$H$25:$AK$32,4,0))</f>
        <v>0</v>
      </c>
      <c r="E122" s="32">
        <f>VLOOKUP($A122,$A$4:$O$28,6,0)*(HLOOKUP(E$113,'2.2.Brecha Efectiva x UdM'!$H$25:$AK$32,4,0))</f>
        <v>0</v>
      </c>
      <c r="F122" s="32">
        <f>VLOOKUP($A122,$A$4:$O$28,6,0)*(HLOOKUP(F$113,'2.2.Brecha Efectiva x UdM'!$H$25:$AK$32,4,0))</f>
        <v>0</v>
      </c>
      <c r="G122" s="32">
        <f>VLOOKUP($A122,$A$4:$O$28,6,0)*(HLOOKUP(G$113,'2.2.Brecha Efectiva x UdM'!$H$25:$AK$32,4,0))</f>
        <v>0</v>
      </c>
      <c r="H122" s="32">
        <f>VLOOKUP($A122,$A$4:$O$28,6,0)*(HLOOKUP(H$113,'2.2.Brecha Efectiva x UdM'!$H$25:$AK$32,4,0))</f>
        <v>0</v>
      </c>
      <c r="I122" s="32">
        <f>VLOOKUP($A122,$A$4:$O$28,6,0)*(HLOOKUP(I$113,'2.2.Brecha Efectiva x UdM'!$H$25:$AK$32,4,0))</f>
        <v>0</v>
      </c>
      <c r="J122" s="32">
        <f>VLOOKUP($A122,$A$4:$O$28,6,0)*(HLOOKUP(J$113,'2.2.Brecha Efectiva x UdM'!$H$25:$AK$32,4,0))</f>
        <v>0</v>
      </c>
      <c r="K122" s="32">
        <f>VLOOKUP($A122,$A$4:$O$28,6,0)*(HLOOKUP(K$113,'2.2.Brecha Efectiva x UdM'!$H$25:$AK$32,4,0))</f>
        <v>0</v>
      </c>
      <c r="L122" s="32">
        <f>VLOOKUP($A122,$A$4:$O$28,6,0)*(HLOOKUP(L$113,'2.2.Brecha Efectiva x UdM'!$H$25:$AK$32,4,0))</f>
        <v>0</v>
      </c>
      <c r="M122" s="32">
        <f>VLOOKUP($A122,$A$4:$O$28,6,0)*(HLOOKUP(M$113,'2.2.Brecha Efectiva x UdM'!$H$25:$AK$32,4,0))</f>
        <v>0</v>
      </c>
      <c r="N122" s="32">
        <f>VLOOKUP($A122,$A$4:$O$28,6,0)*(HLOOKUP(N$113,'2.2.Brecha Efectiva x UdM'!$H$25:$AK$32,4,0))</f>
        <v>0</v>
      </c>
      <c r="O122" s="32">
        <f>VLOOKUP($A122,$A$4:$O$28,6,0)*(HLOOKUP(O$113,'2.2.Brecha Efectiva x UdM'!$H$25:$AK$32,4,0))</f>
        <v>0</v>
      </c>
      <c r="P122" s="32">
        <f>VLOOKUP($A122,$A$4:$O$28,6,0)*(HLOOKUP(P$113,'2.2.Brecha Efectiva x UdM'!$H$25:$AK$32,4,0))</f>
        <v>0</v>
      </c>
      <c r="Q122" s="32">
        <f>VLOOKUP($A122,$A$4:$O$28,6,0)*(HLOOKUP(Q$113,'2.2.Brecha Efectiva x UdM'!$H$25:$AK$32,4,0))</f>
        <v>0</v>
      </c>
      <c r="R122" s="32">
        <f>VLOOKUP($A122,$A$4:$O$28,6,0)*(HLOOKUP(R$113,'2.2.Brecha Efectiva x UdM'!$H$25:$AK$32,4,0))</f>
        <v>0</v>
      </c>
      <c r="S122" s="32">
        <f>VLOOKUP($A122,$A$4:$O$28,6,0)*(HLOOKUP(S$113,'2.2.Brecha Efectiva x UdM'!$H$25:$AK$32,4,0))</f>
        <v>0</v>
      </c>
      <c r="T122" s="32">
        <f>VLOOKUP($A122,$A$4:$O$28,6,0)*(HLOOKUP(T$113,'2.2.Brecha Efectiva x UdM'!$H$25:$AK$32,4,0))</f>
        <v>0</v>
      </c>
      <c r="U122" s="32">
        <f>VLOOKUP($A122,$A$4:$O$28,6,0)*(HLOOKUP(U$113,'2.2.Brecha Efectiva x UdM'!$H$25:$AK$32,4,0))</f>
        <v>0</v>
      </c>
      <c r="V122" s="32">
        <f>VLOOKUP($A122,$A$4:$O$28,6,0)*(HLOOKUP(V$113,'2.2.Brecha Efectiva x UdM'!$H$25:$AK$32,4,0))</f>
        <v>0</v>
      </c>
      <c r="W122" s="32">
        <f>VLOOKUP($A122,$A$4:$O$28,6,0)*(HLOOKUP(W$113,'2.2.Brecha Efectiva x UdM'!$H$25:$AK$32,4,0))</f>
        <v>0</v>
      </c>
      <c r="X122" s="32">
        <f>VLOOKUP($A122,$A$4:$O$28,6,0)*(HLOOKUP(X$113,'2.2.Brecha Efectiva x UdM'!$H$25:$AK$32,4,0))</f>
        <v>0</v>
      </c>
      <c r="Y122" s="32">
        <f>VLOOKUP($A122,$A$4:$O$28,6,0)*(HLOOKUP(Y$113,'2.2.Brecha Efectiva x UdM'!$H$25:$AK$32,4,0))</f>
        <v>0</v>
      </c>
      <c r="Z122" s="32">
        <f>VLOOKUP($A122,$A$4:$O$28,6,0)*(HLOOKUP(Z$113,'2.2.Brecha Efectiva x UdM'!$H$25:$AK$32,4,0))</f>
        <v>0</v>
      </c>
      <c r="AA122" s="32">
        <f>VLOOKUP($A122,$A$4:$O$28,6,0)*(HLOOKUP(AA$113,'2.2.Brecha Efectiva x UdM'!$H$25:$AK$32,4,0))</f>
        <v>0</v>
      </c>
      <c r="AB122" s="32">
        <f>VLOOKUP($A122,$A$4:$O$28,6,0)*(HLOOKUP(AB$113,'2.2.Brecha Efectiva x UdM'!$H$25:$AK$32,4,0))</f>
        <v>0</v>
      </c>
      <c r="AC122" s="32">
        <f>VLOOKUP($A122,$A$4:$O$28,6,0)*(HLOOKUP(AC$113,'2.2.Brecha Efectiva x UdM'!$H$25:$AK$32,4,0))</f>
        <v>0</v>
      </c>
      <c r="AD122" s="32">
        <f>VLOOKUP($A122,$A$4:$O$28,6,0)*(HLOOKUP(AD$113,'2.2.Brecha Efectiva x UdM'!$H$25:$AK$32,4,0))</f>
        <v>0</v>
      </c>
      <c r="AE122" s="32">
        <f>VLOOKUP($A122,$A$4:$O$28,6,0)*(HLOOKUP(AE$113,'2.2.Brecha Efectiva x UdM'!$H$25:$AK$32,4,0))</f>
        <v>0</v>
      </c>
      <c r="AF122" s="32">
        <f>VLOOKUP($A122,$A$4:$O$28,6,0)*(HLOOKUP(AF$113,'2.2.Brecha Efectiva x UdM'!$H$25:$AK$32,4,0))</f>
        <v>0</v>
      </c>
      <c r="AG122" s="32">
        <f>VLOOKUP($A122,$A$4:$O$28,6,0)*(HLOOKUP(AG$113,'2.2.Brecha Efectiva x UdM'!$H$25:$AK$32,4,0))</f>
        <v>0</v>
      </c>
      <c r="AH122" s="62">
        <f t="shared" si="101"/>
        <v>0</v>
      </c>
    </row>
    <row r="123" spans="1:34" x14ac:dyDescent="0.2">
      <c r="A123" s="26" t="str">
        <f t="shared" si="98"/>
        <v>Jujuy</v>
      </c>
      <c r="B123" s="52" t="str">
        <f t="shared" si="99"/>
        <v>Nombre UdM 3</v>
      </c>
      <c r="C123" s="26" t="str">
        <f t="shared" si="100"/>
        <v>Jujuy Nombre UdM 3</v>
      </c>
      <c r="D123" s="31">
        <f>VLOOKUP($A123,$A$4:$O$28,6,0)*(HLOOKUP(D$113,'2.2.Brecha Efectiva x UdM'!$H$25:$AK$32,4,0))</f>
        <v>0</v>
      </c>
      <c r="E123" s="31">
        <f>VLOOKUP($A123,$A$4:$O$28,6,0)*(HLOOKUP(E$113,'2.2.Brecha Efectiva x UdM'!$H$25:$AK$32,4,0))</f>
        <v>0</v>
      </c>
      <c r="F123" s="31">
        <f>VLOOKUP($A123,$A$4:$O$28,6,0)*(HLOOKUP(F$113,'2.2.Brecha Efectiva x UdM'!$H$25:$AK$32,4,0))</f>
        <v>0</v>
      </c>
      <c r="G123" s="31">
        <f>VLOOKUP($A123,$A$4:$O$28,6,0)*(HLOOKUP(G$113,'2.2.Brecha Efectiva x UdM'!$H$25:$AK$32,4,0))</f>
        <v>0</v>
      </c>
      <c r="H123" s="31">
        <f>VLOOKUP($A123,$A$4:$O$28,6,0)*(HLOOKUP(H$113,'2.2.Brecha Efectiva x UdM'!$H$25:$AK$32,4,0))</f>
        <v>0</v>
      </c>
      <c r="I123" s="31">
        <f>VLOOKUP($A123,$A$4:$O$28,6,0)*(HLOOKUP(I$113,'2.2.Brecha Efectiva x UdM'!$H$25:$AK$32,4,0))</f>
        <v>0</v>
      </c>
      <c r="J123" s="31">
        <f>VLOOKUP($A123,$A$4:$O$28,6,0)*(HLOOKUP(J$113,'2.2.Brecha Efectiva x UdM'!$H$25:$AK$32,4,0))</f>
        <v>0</v>
      </c>
      <c r="K123" s="31">
        <f>VLOOKUP($A123,$A$4:$O$28,6,0)*(HLOOKUP(K$113,'2.2.Brecha Efectiva x UdM'!$H$25:$AK$32,4,0))</f>
        <v>0</v>
      </c>
      <c r="L123" s="31">
        <f>VLOOKUP($A123,$A$4:$O$28,6,0)*(HLOOKUP(L$113,'2.2.Brecha Efectiva x UdM'!$H$25:$AK$32,4,0))</f>
        <v>0</v>
      </c>
      <c r="M123" s="31">
        <f>VLOOKUP($A123,$A$4:$O$28,6,0)*(HLOOKUP(M$113,'2.2.Brecha Efectiva x UdM'!$H$25:$AK$32,4,0))</f>
        <v>0</v>
      </c>
      <c r="N123" s="31">
        <f>VLOOKUP($A123,$A$4:$O$28,6,0)*(HLOOKUP(N$113,'2.2.Brecha Efectiva x UdM'!$H$25:$AK$32,4,0))</f>
        <v>0</v>
      </c>
      <c r="O123" s="31">
        <f>VLOOKUP($A123,$A$4:$O$28,6,0)*(HLOOKUP(O$113,'2.2.Brecha Efectiva x UdM'!$H$25:$AK$32,4,0))</f>
        <v>0</v>
      </c>
      <c r="P123" s="31">
        <f>VLOOKUP($A123,$A$4:$O$28,6,0)*(HLOOKUP(P$113,'2.2.Brecha Efectiva x UdM'!$H$25:$AK$32,4,0))</f>
        <v>0</v>
      </c>
      <c r="Q123" s="31">
        <f>VLOOKUP($A123,$A$4:$O$28,6,0)*(HLOOKUP(Q$113,'2.2.Brecha Efectiva x UdM'!$H$25:$AK$32,4,0))</f>
        <v>0</v>
      </c>
      <c r="R123" s="31">
        <f>VLOOKUP($A123,$A$4:$O$28,6,0)*(HLOOKUP(R$113,'2.2.Brecha Efectiva x UdM'!$H$25:$AK$32,4,0))</f>
        <v>0</v>
      </c>
      <c r="S123" s="31">
        <f>VLOOKUP($A123,$A$4:$O$28,6,0)*(HLOOKUP(S$113,'2.2.Brecha Efectiva x UdM'!$H$25:$AK$32,4,0))</f>
        <v>0</v>
      </c>
      <c r="T123" s="31">
        <f>VLOOKUP($A123,$A$4:$O$28,6,0)*(HLOOKUP(T$113,'2.2.Brecha Efectiva x UdM'!$H$25:$AK$32,4,0))</f>
        <v>0</v>
      </c>
      <c r="U123" s="31">
        <f>VLOOKUP($A123,$A$4:$O$28,6,0)*(HLOOKUP(U$113,'2.2.Brecha Efectiva x UdM'!$H$25:$AK$32,4,0))</f>
        <v>0</v>
      </c>
      <c r="V123" s="31">
        <f>VLOOKUP($A123,$A$4:$O$28,6,0)*(HLOOKUP(V$113,'2.2.Brecha Efectiva x UdM'!$H$25:$AK$32,4,0))</f>
        <v>0</v>
      </c>
      <c r="W123" s="31">
        <f>VLOOKUP($A123,$A$4:$O$28,6,0)*(HLOOKUP(W$113,'2.2.Brecha Efectiva x UdM'!$H$25:$AK$32,4,0))</f>
        <v>0</v>
      </c>
      <c r="X123" s="31">
        <f>VLOOKUP($A123,$A$4:$O$28,6,0)*(HLOOKUP(X$113,'2.2.Brecha Efectiva x UdM'!$H$25:$AK$32,4,0))</f>
        <v>0</v>
      </c>
      <c r="Y123" s="31">
        <f>VLOOKUP($A123,$A$4:$O$28,6,0)*(HLOOKUP(Y$113,'2.2.Brecha Efectiva x UdM'!$H$25:$AK$32,4,0))</f>
        <v>0</v>
      </c>
      <c r="Z123" s="31">
        <f>VLOOKUP($A123,$A$4:$O$28,6,0)*(HLOOKUP(Z$113,'2.2.Brecha Efectiva x UdM'!$H$25:$AK$32,4,0))</f>
        <v>0</v>
      </c>
      <c r="AA123" s="31">
        <f>VLOOKUP($A123,$A$4:$O$28,6,0)*(HLOOKUP(AA$113,'2.2.Brecha Efectiva x UdM'!$H$25:$AK$32,4,0))</f>
        <v>0</v>
      </c>
      <c r="AB123" s="31">
        <f>VLOOKUP($A123,$A$4:$O$28,6,0)*(HLOOKUP(AB$113,'2.2.Brecha Efectiva x UdM'!$H$25:$AK$32,4,0))</f>
        <v>0</v>
      </c>
      <c r="AC123" s="31">
        <f>VLOOKUP($A123,$A$4:$O$28,6,0)*(HLOOKUP(AC$113,'2.2.Brecha Efectiva x UdM'!$H$25:$AK$32,4,0))</f>
        <v>0</v>
      </c>
      <c r="AD123" s="31">
        <f>VLOOKUP($A123,$A$4:$O$28,6,0)*(HLOOKUP(AD$113,'2.2.Brecha Efectiva x UdM'!$H$25:$AK$32,4,0))</f>
        <v>0</v>
      </c>
      <c r="AE123" s="31">
        <f>VLOOKUP($A123,$A$4:$O$28,6,0)*(HLOOKUP(AE$113,'2.2.Brecha Efectiva x UdM'!$H$25:$AK$32,4,0))</f>
        <v>0</v>
      </c>
      <c r="AF123" s="31">
        <f>VLOOKUP($A123,$A$4:$O$28,6,0)*(HLOOKUP(AF$113,'2.2.Brecha Efectiva x UdM'!$H$25:$AK$32,4,0))</f>
        <v>0</v>
      </c>
      <c r="AG123" s="31">
        <f>VLOOKUP($A123,$A$4:$O$28,6,0)*(HLOOKUP(AG$113,'2.2.Brecha Efectiva x UdM'!$H$25:$AK$32,4,0))</f>
        <v>0</v>
      </c>
      <c r="AH123" s="63">
        <f t="shared" si="101"/>
        <v>0</v>
      </c>
    </row>
    <row r="124" spans="1:34" x14ac:dyDescent="0.2">
      <c r="A124" s="25" t="str">
        <f t="shared" si="98"/>
        <v>La Pampa</v>
      </c>
      <c r="B124" s="51" t="str">
        <f t="shared" si="99"/>
        <v>Nombre UdM 3</v>
      </c>
      <c r="C124" s="25" t="str">
        <f t="shared" si="100"/>
        <v>La Pampa Nombre UdM 3</v>
      </c>
      <c r="D124" s="32">
        <f>VLOOKUP($A124,$A$4:$O$28,6,0)*(HLOOKUP(D$113,'2.2.Brecha Efectiva x UdM'!$H$25:$AK$32,4,0))</f>
        <v>0</v>
      </c>
      <c r="E124" s="32">
        <f>VLOOKUP($A124,$A$4:$O$28,6,0)*(HLOOKUP(E$113,'2.2.Brecha Efectiva x UdM'!$H$25:$AK$32,4,0))</f>
        <v>0</v>
      </c>
      <c r="F124" s="32">
        <f>VLOOKUP($A124,$A$4:$O$28,6,0)*(HLOOKUP(F$113,'2.2.Brecha Efectiva x UdM'!$H$25:$AK$32,4,0))</f>
        <v>0</v>
      </c>
      <c r="G124" s="32">
        <f>VLOOKUP($A124,$A$4:$O$28,6,0)*(HLOOKUP(G$113,'2.2.Brecha Efectiva x UdM'!$H$25:$AK$32,4,0))</f>
        <v>0</v>
      </c>
      <c r="H124" s="32">
        <f>VLOOKUP($A124,$A$4:$O$28,6,0)*(HLOOKUP(H$113,'2.2.Brecha Efectiva x UdM'!$H$25:$AK$32,4,0))</f>
        <v>0</v>
      </c>
      <c r="I124" s="32">
        <f>VLOOKUP($A124,$A$4:$O$28,6,0)*(HLOOKUP(I$113,'2.2.Brecha Efectiva x UdM'!$H$25:$AK$32,4,0))</f>
        <v>0</v>
      </c>
      <c r="J124" s="32">
        <f>VLOOKUP($A124,$A$4:$O$28,6,0)*(HLOOKUP(J$113,'2.2.Brecha Efectiva x UdM'!$H$25:$AK$32,4,0))</f>
        <v>0</v>
      </c>
      <c r="K124" s="32">
        <f>VLOOKUP($A124,$A$4:$O$28,6,0)*(HLOOKUP(K$113,'2.2.Brecha Efectiva x UdM'!$H$25:$AK$32,4,0))</f>
        <v>0</v>
      </c>
      <c r="L124" s="32">
        <f>VLOOKUP($A124,$A$4:$O$28,6,0)*(HLOOKUP(L$113,'2.2.Brecha Efectiva x UdM'!$H$25:$AK$32,4,0))</f>
        <v>0</v>
      </c>
      <c r="M124" s="32">
        <f>VLOOKUP($A124,$A$4:$O$28,6,0)*(HLOOKUP(M$113,'2.2.Brecha Efectiva x UdM'!$H$25:$AK$32,4,0))</f>
        <v>0</v>
      </c>
      <c r="N124" s="32">
        <f>VLOOKUP($A124,$A$4:$O$28,6,0)*(HLOOKUP(N$113,'2.2.Brecha Efectiva x UdM'!$H$25:$AK$32,4,0))</f>
        <v>0</v>
      </c>
      <c r="O124" s="32">
        <f>VLOOKUP($A124,$A$4:$O$28,6,0)*(HLOOKUP(O$113,'2.2.Brecha Efectiva x UdM'!$H$25:$AK$32,4,0))</f>
        <v>0</v>
      </c>
      <c r="P124" s="32">
        <f>VLOOKUP($A124,$A$4:$O$28,6,0)*(HLOOKUP(P$113,'2.2.Brecha Efectiva x UdM'!$H$25:$AK$32,4,0))</f>
        <v>0</v>
      </c>
      <c r="Q124" s="32">
        <f>VLOOKUP($A124,$A$4:$O$28,6,0)*(HLOOKUP(Q$113,'2.2.Brecha Efectiva x UdM'!$H$25:$AK$32,4,0))</f>
        <v>0</v>
      </c>
      <c r="R124" s="32">
        <f>VLOOKUP($A124,$A$4:$O$28,6,0)*(HLOOKUP(R$113,'2.2.Brecha Efectiva x UdM'!$H$25:$AK$32,4,0))</f>
        <v>0</v>
      </c>
      <c r="S124" s="32">
        <f>VLOOKUP($A124,$A$4:$O$28,6,0)*(HLOOKUP(S$113,'2.2.Brecha Efectiva x UdM'!$H$25:$AK$32,4,0))</f>
        <v>0</v>
      </c>
      <c r="T124" s="32">
        <f>VLOOKUP($A124,$A$4:$O$28,6,0)*(HLOOKUP(T$113,'2.2.Brecha Efectiva x UdM'!$H$25:$AK$32,4,0))</f>
        <v>0</v>
      </c>
      <c r="U124" s="32">
        <f>VLOOKUP($A124,$A$4:$O$28,6,0)*(HLOOKUP(U$113,'2.2.Brecha Efectiva x UdM'!$H$25:$AK$32,4,0))</f>
        <v>0</v>
      </c>
      <c r="V124" s="32">
        <f>VLOOKUP($A124,$A$4:$O$28,6,0)*(HLOOKUP(V$113,'2.2.Brecha Efectiva x UdM'!$H$25:$AK$32,4,0))</f>
        <v>0</v>
      </c>
      <c r="W124" s="32">
        <f>VLOOKUP($A124,$A$4:$O$28,6,0)*(HLOOKUP(W$113,'2.2.Brecha Efectiva x UdM'!$H$25:$AK$32,4,0))</f>
        <v>0</v>
      </c>
      <c r="X124" s="32">
        <f>VLOOKUP($A124,$A$4:$O$28,6,0)*(HLOOKUP(X$113,'2.2.Brecha Efectiva x UdM'!$H$25:$AK$32,4,0))</f>
        <v>0</v>
      </c>
      <c r="Y124" s="32">
        <f>VLOOKUP($A124,$A$4:$O$28,6,0)*(HLOOKUP(Y$113,'2.2.Brecha Efectiva x UdM'!$H$25:$AK$32,4,0))</f>
        <v>0</v>
      </c>
      <c r="Z124" s="32">
        <f>VLOOKUP($A124,$A$4:$O$28,6,0)*(HLOOKUP(Z$113,'2.2.Brecha Efectiva x UdM'!$H$25:$AK$32,4,0))</f>
        <v>0</v>
      </c>
      <c r="AA124" s="32">
        <f>VLOOKUP($A124,$A$4:$O$28,6,0)*(HLOOKUP(AA$113,'2.2.Brecha Efectiva x UdM'!$H$25:$AK$32,4,0))</f>
        <v>0</v>
      </c>
      <c r="AB124" s="32">
        <f>VLOOKUP($A124,$A$4:$O$28,6,0)*(HLOOKUP(AB$113,'2.2.Brecha Efectiva x UdM'!$H$25:$AK$32,4,0))</f>
        <v>0</v>
      </c>
      <c r="AC124" s="32">
        <f>VLOOKUP($A124,$A$4:$O$28,6,0)*(HLOOKUP(AC$113,'2.2.Brecha Efectiva x UdM'!$H$25:$AK$32,4,0))</f>
        <v>0</v>
      </c>
      <c r="AD124" s="32">
        <f>VLOOKUP($A124,$A$4:$O$28,6,0)*(HLOOKUP(AD$113,'2.2.Brecha Efectiva x UdM'!$H$25:$AK$32,4,0))</f>
        <v>0</v>
      </c>
      <c r="AE124" s="32">
        <f>VLOOKUP($A124,$A$4:$O$28,6,0)*(HLOOKUP(AE$113,'2.2.Brecha Efectiva x UdM'!$H$25:$AK$32,4,0))</f>
        <v>0</v>
      </c>
      <c r="AF124" s="32">
        <f>VLOOKUP($A124,$A$4:$O$28,6,0)*(HLOOKUP(AF$113,'2.2.Brecha Efectiva x UdM'!$H$25:$AK$32,4,0))</f>
        <v>0</v>
      </c>
      <c r="AG124" s="32">
        <f>VLOOKUP($A124,$A$4:$O$28,6,0)*(HLOOKUP(AG$113,'2.2.Brecha Efectiva x UdM'!$H$25:$AK$32,4,0))</f>
        <v>0</v>
      </c>
      <c r="AH124" s="62">
        <f t="shared" si="101"/>
        <v>0</v>
      </c>
    </row>
    <row r="125" spans="1:34" x14ac:dyDescent="0.2">
      <c r="A125" s="26" t="str">
        <f t="shared" si="98"/>
        <v>La Rioja</v>
      </c>
      <c r="B125" s="52" t="str">
        <f t="shared" si="99"/>
        <v>Nombre UdM 3</v>
      </c>
      <c r="C125" s="26" t="str">
        <f t="shared" si="100"/>
        <v>La Rioja Nombre UdM 3</v>
      </c>
      <c r="D125" s="31">
        <f>VLOOKUP($A125,$A$4:$O$28,6,0)*(HLOOKUP(D$113,'2.2.Brecha Efectiva x UdM'!$H$25:$AK$32,4,0))</f>
        <v>0</v>
      </c>
      <c r="E125" s="31">
        <f>VLOOKUP($A125,$A$4:$O$28,6,0)*(HLOOKUP(E$113,'2.2.Brecha Efectiva x UdM'!$H$25:$AK$32,4,0))</f>
        <v>0</v>
      </c>
      <c r="F125" s="31">
        <f>VLOOKUP($A125,$A$4:$O$28,6,0)*(HLOOKUP(F$113,'2.2.Brecha Efectiva x UdM'!$H$25:$AK$32,4,0))</f>
        <v>0</v>
      </c>
      <c r="G125" s="31">
        <f>VLOOKUP($A125,$A$4:$O$28,6,0)*(HLOOKUP(G$113,'2.2.Brecha Efectiva x UdM'!$H$25:$AK$32,4,0))</f>
        <v>0</v>
      </c>
      <c r="H125" s="31">
        <f>VLOOKUP($A125,$A$4:$O$28,6,0)*(HLOOKUP(H$113,'2.2.Brecha Efectiva x UdM'!$H$25:$AK$32,4,0))</f>
        <v>0</v>
      </c>
      <c r="I125" s="31">
        <f>VLOOKUP($A125,$A$4:$O$28,6,0)*(HLOOKUP(I$113,'2.2.Brecha Efectiva x UdM'!$H$25:$AK$32,4,0))</f>
        <v>0</v>
      </c>
      <c r="J125" s="31">
        <f>VLOOKUP($A125,$A$4:$O$28,6,0)*(HLOOKUP(J$113,'2.2.Brecha Efectiva x UdM'!$H$25:$AK$32,4,0))</f>
        <v>0</v>
      </c>
      <c r="K125" s="31">
        <f>VLOOKUP($A125,$A$4:$O$28,6,0)*(HLOOKUP(K$113,'2.2.Brecha Efectiva x UdM'!$H$25:$AK$32,4,0))</f>
        <v>0</v>
      </c>
      <c r="L125" s="31">
        <f>VLOOKUP($A125,$A$4:$O$28,6,0)*(HLOOKUP(L$113,'2.2.Brecha Efectiva x UdM'!$H$25:$AK$32,4,0))</f>
        <v>0</v>
      </c>
      <c r="M125" s="31">
        <f>VLOOKUP($A125,$A$4:$O$28,6,0)*(HLOOKUP(M$113,'2.2.Brecha Efectiva x UdM'!$H$25:$AK$32,4,0))</f>
        <v>0</v>
      </c>
      <c r="N125" s="31">
        <f>VLOOKUP($A125,$A$4:$O$28,6,0)*(HLOOKUP(N$113,'2.2.Brecha Efectiva x UdM'!$H$25:$AK$32,4,0))</f>
        <v>0</v>
      </c>
      <c r="O125" s="31">
        <f>VLOOKUP($A125,$A$4:$O$28,6,0)*(HLOOKUP(O$113,'2.2.Brecha Efectiva x UdM'!$H$25:$AK$32,4,0))</f>
        <v>0</v>
      </c>
      <c r="P125" s="31">
        <f>VLOOKUP($A125,$A$4:$O$28,6,0)*(HLOOKUP(P$113,'2.2.Brecha Efectiva x UdM'!$H$25:$AK$32,4,0))</f>
        <v>0</v>
      </c>
      <c r="Q125" s="31">
        <f>VLOOKUP($A125,$A$4:$O$28,6,0)*(HLOOKUP(Q$113,'2.2.Brecha Efectiva x UdM'!$H$25:$AK$32,4,0))</f>
        <v>0</v>
      </c>
      <c r="R125" s="31">
        <f>VLOOKUP($A125,$A$4:$O$28,6,0)*(HLOOKUP(R$113,'2.2.Brecha Efectiva x UdM'!$H$25:$AK$32,4,0))</f>
        <v>0</v>
      </c>
      <c r="S125" s="31">
        <f>VLOOKUP($A125,$A$4:$O$28,6,0)*(HLOOKUP(S$113,'2.2.Brecha Efectiva x UdM'!$H$25:$AK$32,4,0))</f>
        <v>0</v>
      </c>
      <c r="T125" s="31">
        <f>VLOOKUP($A125,$A$4:$O$28,6,0)*(HLOOKUP(T$113,'2.2.Brecha Efectiva x UdM'!$H$25:$AK$32,4,0))</f>
        <v>0</v>
      </c>
      <c r="U125" s="31">
        <f>VLOOKUP($A125,$A$4:$O$28,6,0)*(HLOOKUP(U$113,'2.2.Brecha Efectiva x UdM'!$H$25:$AK$32,4,0))</f>
        <v>0</v>
      </c>
      <c r="V125" s="31">
        <f>VLOOKUP($A125,$A$4:$O$28,6,0)*(HLOOKUP(V$113,'2.2.Brecha Efectiva x UdM'!$H$25:$AK$32,4,0))</f>
        <v>0</v>
      </c>
      <c r="W125" s="31">
        <f>VLOOKUP($A125,$A$4:$O$28,6,0)*(HLOOKUP(W$113,'2.2.Brecha Efectiva x UdM'!$H$25:$AK$32,4,0))</f>
        <v>0</v>
      </c>
      <c r="X125" s="31">
        <f>VLOOKUP($A125,$A$4:$O$28,6,0)*(HLOOKUP(X$113,'2.2.Brecha Efectiva x UdM'!$H$25:$AK$32,4,0))</f>
        <v>0</v>
      </c>
      <c r="Y125" s="31">
        <f>VLOOKUP($A125,$A$4:$O$28,6,0)*(HLOOKUP(Y$113,'2.2.Brecha Efectiva x UdM'!$H$25:$AK$32,4,0))</f>
        <v>0</v>
      </c>
      <c r="Z125" s="31">
        <f>VLOOKUP($A125,$A$4:$O$28,6,0)*(HLOOKUP(Z$113,'2.2.Brecha Efectiva x UdM'!$H$25:$AK$32,4,0))</f>
        <v>0</v>
      </c>
      <c r="AA125" s="31">
        <f>VLOOKUP($A125,$A$4:$O$28,6,0)*(HLOOKUP(AA$113,'2.2.Brecha Efectiva x UdM'!$H$25:$AK$32,4,0))</f>
        <v>0</v>
      </c>
      <c r="AB125" s="31">
        <f>VLOOKUP($A125,$A$4:$O$28,6,0)*(HLOOKUP(AB$113,'2.2.Brecha Efectiva x UdM'!$H$25:$AK$32,4,0))</f>
        <v>0</v>
      </c>
      <c r="AC125" s="31">
        <f>VLOOKUP($A125,$A$4:$O$28,6,0)*(HLOOKUP(AC$113,'2.2.Brecha Efectiva x UdM'!$H$25:$AK$32,4,0))</f>
        <v>0</v>
      </c>
      <c r="AD125" s="31">
        <f>VLOOKUP($A125,$A$4:$O$28,6,0)*(HLOOKUP(AD$113,'2.2.Brecha Efectiva x UdM'!$H$25:$AK$32,4,0))</f>
        <v>0</v>
      </c>
      <c r="AE125" s="31">
        <f>VLOOKUP($A125,$A$4:$O$28,6,0)*(HLOOKUP(AE$113,'2.2.Brecha Efectiva x UdM'!$H$25:$AK$32,4,0))</f>
        <v>0</v>
      </c>
      <c r="AF125" s="31">
        <f>VLOOKUP($A125,$A$4:$O$28,6,0)*(HLOOKUP(AF$113,'2.2.Brecha Efectiva x UdM'!$H$25:$AK$32,4,0))</f>
        <v>0</v>
      </c>
      <c r="AG125" s="31">
        <f>VLOOKUP($A125,$A$4:$O$28,6,0)*(HLOOKUP(AG$113,'2.2.Brecha Efectiva x UdM'!$H$25:$AK$32,4,0))</f>
        <v>0</v>
      </c>
      <c r="AH125" s="63">
        <f t="shared" si="101"/>
        <v>0</v>
      </c>
    </row>
    <row r="126" spans="1:34" x14ac:dyDescent="0.2">
      <c r="A126" s="25" t="str">
        <f t="shared" si="98"/>
        <v>Mendoza</v>
      </c>
      <c r="B126" s="51" t="str">
        <f t="shared" si="99"/>
        <v>Nombre UdM 3</v>
      </c>
      <c r="C126" s="25" t="str">
        <f t="shared" si="100"/>
        <v>Mendoza Nombre UdM 3</v>
      </c>
      <c r="D126" s="32">
        <f>VLOOKUP($A126,$A$4:$O$28,6,0)*(HLOOKUP(D$113,'2.2.Brecha Efectiva x UdM'!$H$25:$AK$32,4,0))</f>
        <v>0</v>
      </c>
      <c r="E126" s="32">
        <f>VLOOKUP($A126,$A$4:$O$28,6,0)*(HLOOKUP(E$113,'2.2.Brecha Efectiva x UdM'!$H$25:$AK$32,4,0))</f>
        <v>0</v>
      </c>
      <c r="F126" s="32">
        <f>VLOOKUP($A126,$A$4:$O$28,6,0)*(HLOOKUP(F$113,'2.2.Brecha Efectiva x UdM'!$H$25:$AK$32,4,0))</f>
        <v>0</v>
      </c>
      <c r="G126" s="32">
        <f>VLOOKUP($A126,$A$4:$O$28,6,0)*(HLOOKUP(G$113,'2.2.Brecha Efectiva x UdM'!$H$25:$AK$32,4,0))</f>
        <v>0</v>
      </c>
      <c r="H126" s="32">
        <f>VLOOKUP($A126,$A$4:$O$28,6,0)*(HLOOKUP(H$113,'2.2.Brecha Efectiva x UdM'!$H$25:$AK$32,4,0))</f>
        <v>0</v>
      </c>
      <c r="I126" s="32">
        <f>VLOOKUP($A126,$A$4:$O$28,6,0)*(HLOOKUP(I$113,'2.2.Brecha Efectiva x UdM'!$H$25:$AK$32,4,0))</f>
        <v>0</v>
      </c>
      <c r="J126" s="32">
        <f>VLOOKUP($A126,$A$4:$O$28,6,0)*(HLOOKUP(J$113,'2.2.Brecha Efectiva x UdM'!$H$25:$AK$32,4,0))</f>
        <v>0</v>
      </c>
      <c r="K126" s="32">
        <f>VLOOKUP($A126,$A$4:$O$28,6,0)*(HLOOKUP(K$113,'2.2.Brecha Efectiva x UdM'!$H$25:$AK$32,4,0))</f>
        <v>0</v>
      </c>
      <c r="L126" s="32">
        <f>VLOOKUP($A126,$A$4:$O$28,6,0)*(HLOOKUP(L$113,'2.2.Brecha Efectiva x UdM'!$H$25:$AK$32,4,0))</f>
        <v>0</v>
      </c>
      <c r="M126" s="32">
        <f>VLOOKUP($A126,$A$4:$O$28,6,0)*(HLOOKUP(M$113,'2.2.Brecha Efectiva x UdM'!$H$25:$AK$32,4,0))</f>
        <v>0</v>
      </c>
      <c r="N126" s="32">
        <f>VLOOKUP($A126,$A$4:$O$28,6,0)*(HLOOKUP(N$113,'2.2.Brecha Efectiva x UdM'!$H$25:$AK$32,4,0))</f>
        <v>0</v>
      </c>
      <c r="O126" s="32">
        <f>VLOOKUP($A126,$A$4:$O$28,6,0)*(HLOOKUP(O$113,'2.2.Brecha Efectiva x UdM'!$H$25:$AK$32,4,0))</f>
        <v>0</v>
      </c>
      <c r="P126" s="32">
        <f>VLOOKUP($A126,$A$4:$O$28,6,0)*(HLOOKUP(P$113,'2.2.Brecha Efectiva x UdM'!$H$25:$AK$32,4,0))</f>
        <v>0</v>
      </c>
      <c r="Q126" s="32">
        <f>VLOOKUP($A126,$A$4:$O$28,6,0)*(HLOOKUP(Q$113,'2.2.Brecha Efectiva x UdM'!$H$25:$AK$32,4,0))</f>
        <v>0</v>
      </c>
      <c r="R126" s="32">
        <f>VLOOKUP($A126,$A$4:$O$28,6,0)*(HLOOKUP(R$113,'2.2.Brecha Efectiva x UdM'!$H$25:$AK$32,4,0))</f>
        <v>0</v>
      </c>
      <c r="S126" s="32">
        <f>VLOOKUP($A126,$A$4:$O$28,6,0)*(HLOOKUP(S$113,'2.2.Brecha Efectiva x UdM'!$H$25:$AK$32,4,0))</f>
        <v>0</v>
      </c>
      <c r="T126" s="32">
        <f>VLOOKUP($A126,$A$4:$O$28,6,0)*(HLOOKUP(T$113,'2.2.Brecha Efectiva x UdM'!$H$25:$AK$32,4,0))</f>
        <v>0</v>
      </c>
      <c r="U126" s="32">
        <f>VLOOKUP($A126,$A$4:$O$28,6,0)*(HLOOKUP(U$113,'2.2.Brecha Efectiva x UdM'!$H$25:$AK$32,4,0))</f>
        <v>0</v>
      </c>
      <c r="V126" s="32">
        <f>VLOOKUP($A126,$A$4:$O$28,6,0)*(HLOOKUP(V$113,'2.2.Brecha Efectiva x UdM'!$H$25:$AK$32,4,0))</f>
        <v>0</v>
      </c>
      <c r="W126" s="32">
        <f>VLOOKUP($A126,$A$4:$O$28,6,0)*(HLOOKUP(W$113,'2.2.Brecha Efectiva x UdM'!$H$25:$AK$32,4,0))</f>
        <v>0</v>
      </c>
      <c r="X126" s="32">
        <f>VLOOKUP($A126,$A$4:$O$28,6,0)*(HLOOKUP(X$113,'2.2.Brecha Efectiva x UdM'!$H$25:$AK$32,4,0))</f>
        <v>0</v>
      </c>
      <c r="Y126" s="32">
        <f>VLOOKUP($A126,$A$4:$O$28,6,0)*(HLOOKUP(Y$113,'2.2.Brecha Efectiva x UdM'!$H$25:$AK$32,4,0))</f>
        <v>0</v>
      </c>
      <c r="Z126" s="32">
        <f>VLOOKUP($A126,$A$4:$O$28,6,0)*(HLOOKUP(Z$113,'2.2.Brecha Efectiva x UdM'!$H$25:$AK$32,4,0))</f>
        <v>0</v>
      </c>
      <c r="AA126" s="32">
        <f>VLOOKUP($A126,$A$4:$O$28,6,0)*(HLOOKUP(AA$113,'2.2.Brecha Efectiva x UdM'!$H$25:$AK$32,4,0))</f>
        <v>0</v>
      </c>
      <c r="AB126" s="32">
        <f>VLOOKUP($A126,$A$4:$O$28,6,0)*(HLOOKUP(AB$113,'2.2.Brecha Efectiva x UdM'!$H$25:$AK$32,4,0))</f>
        <v>0</v>
      </c>
      <c r="AC126" s="32">
        <f>VLOOKUP($A126,$A$4:$O$28,6,0)*(HLOOKUP(AC$113,'2.2.Brecha Efectiva x UdM'!$H$25:$AK$32,4,0))</f>
        <v>0</v>
      </c>
      <c r="AD126" s="32">
        <f>VLOOKUP($A126,$A$4:$O$28,6,0)*(HLOOKUP(AD$113,'2.2.Brecha Efectiva x UdM'!$H$25:$AK$32,4,0))</f>
        <v>0</v>
      </c>
      <c r="AE126" s="32">
        <f>VLOOKUP($A126,$A$4:$O$28,6,0)*(HLOOKUP(AE$113,'2.2.Brecha Efectiva x UdM'!$H$25:$AK$32,4,0))</f>
        <v>0</v>
      </c>
      <c r="AF126" s="32">
        <f>VLOOKUP($A126,$A$4:$O$28,6,0)*(HLOOKUP(AF$113,'2.2.Brecha Efectiva x UdM'!$H$25:$AK$32,4,0))</f>
        <v>0</v>
      </c>
      <c r="AG126" s="32">
        <f>VLOOKUP($A126,$A$4:$O$28,6,0)*(HLOOKUP(AG$113,'2.2.Brecha Efectiva x UdM'!$H$25:$AK$32,4,0))</f>
        <v>0</v>
      </c>
      <c r="AH126" s="62">
        <f t="shared" si="101"/>
        <v>0</v>
      </c>
    </row>
    <row r="127" spans="1:34" x14ac:dyDescent="0.2">
      <c r="A127" s="26" t="str">
        <f t="shared" si="98"/>
        <v>Misiones</v>
      </c>
      <c r="B127" s="52" t="str">
        <f t="shared" si="99"/>
        <v>Nombre UdM 3</v>
      </c>
      <c r="C127" s="26" t="str">
        <f t="shared" si="100"/>
        <v>Misiones Nombre UdM 3</v>
      </c>
      <c r="D127" s="31">
        <f>VLOOKUP($A127,$A$4:$O$28,6,0)*(HLOOKUP(D$113,'2.2.Brecha Efectiva x UdM'!$H$25:$AK$32,4,0))</f>
        <v>10891898.776060091</v>
      </c>
      <c r="E127" s="31">
        <f>VLOOKUP($A127,$A$4:$O$28,6,0)*(HLOOKUP(E$113,'2.2.Brecha Efectiva x UdM'!$H$25:$AK$32,4,0))</f>
        <v>74033901.67943427</v>
      </c>
      <c r="F127" s="31">
        <f>VLOOKUP($A127,$A$4:$O$28,6,0)*(HLOOKUP(F$113,'2.2.Brecha Efectiva x UdM'!$H$25:$AK$32,4,0))</f>
        <v>3763114.7935000653</v>
      </c>
      <c r="G127" s="31">
        <f>VLOOKUP($A127,$A$4:$O$28,6,0)*(HLOOKUP(G$113,'2.2.Brecha Efectiva x UdM'!$H$25:$AK$32,4,0))</f>
        <v>2058882.2331549434</v>
      </c>
      <c r="H127" s="31">
        <f>VLOOKUP($A127,$A$4:$O$28,6,0)*(HLOOKUP(H$113,'2.2.Brecha Efectiva x UdM'!$H$25:$AK$32,4,0))</f>
        <v>0</v>
      </c>
      <c r="I127" s="31">
        <f>VLOOKUP($A127,$A$4:$O$28,6,0)*(HLOOKUP(I$113,'2.2.Brecha Efectiva x UdM'!$H$25:$AK$32,4,0))</f>
        <v>0</v>
      </c>
      <c r="J127" s="31">
        <f>VLOOKUP($A127,$A$4:$O$28,6,0)*(HLOOKUP(J$113,'2.2.Brecha Efectiva x UdM'!$H$25:$AK$32,4,0))</f>
        <v>0</v>
      </c>
      <c r="K127" s="31">
        <f>VLOOKUP($A127,$A$4:$O$28,6,0)*(HLOOKUP(K$113,'2.2.Brecha Efectiva x UdM'!$H$25:$AK$32,4,0))</f>
        <v>0</v>
      </c>
      <c r="L127" s="31">
        <f>VLOOKUP($A127,$A$4:$O$28,6,0)*(HLOOKUP(L$113,'2.2.Brecha Efectiva x UdM'!$H$25:$AK$32,4,0))</f>
        <v>0</v>
      </c>
      <c r="M127" s="31">
        <f>VLOOKUP($A127,$A$4:$O$28,6,0)*(HLOOKUP(M$113,'2.2.Brecha Efectiva x UdM'!$H$25:$AK$32,4,0))</f>
        <v>0</v>
      </c>
      <c r="N127" s="31">
        <f>VLOOKUP($A127,$A$4:$O$28,6,0)*(HLOOKUP(N$113,'2.2.Brecha Efectiva x UdM'!$H$25:$AK$32,4,0))</f>
        <v>0</v>
      </c>
      <c r="O127" s="31">
        <f>VLOOKUP($A127,$A$4:$O$28,6,0)*(HLOOKUP(O$113,'2.2.Brecha Efectiva x UdM'!$H$25:$AK$32,4,0))</f>
        <v>0</v>
      </c>
      <c r="P127" s="31">
        <f>VLOOKUP($A127,$A$4:$O$28,6,0)*(HLOOKUP(P$113,'2.2.Brecha Efectiva x UdM'!$H$25:$AK$32,4,0))</f>
        <v>0</v>
      </c>
      <c r="Q127" s="31">
        <f>VLOOKUP($A127,$A$4:$O$28,6,0)*(HLOOKUP(Q$113,'2.2.Brecha Efectiva x UdM'!$H$25:$AK$32,4,0))</f>
        <v>0</v>
      </c>
      <c r="R127" s="31">
        <f>VLOOKUP($A127,$A$4:$O$28,6,0)*(HLOOKUP(R$113,'2.2.Brecha Efectiva x UdM'!$H$25:$AK$32,4,0))</f>
        <v>0</v>
      </c>
      <c r="S127" s="31">
        <f>VLOOKUP($A127,$A$4:$O$28,6,0)*(HLOOKUP(S$113,'2.2.Brecha Efectiva x UdM'!$H$25:$AK$32,4,0))</f>
        <v>0</v>
      </c>
      <c r="T127" s="31">
        <f>VLOOKUP($A127,$A$4:$O$28,6,0)*(HLOOKUP(T$113,'2.2.Brecha Efectiva x UdM'!$H$25:$AK$32,4,0))</f>
        <v>0</v>
      </c>
      <c r="U127" s="31">
        <f>VLOOKUP($A127,$A$4:$O$28,6,0)*(HLOOKUP(U$113,'2.2.Brecha Efectiva x UdM'!$H$25:$AK$32,4,0))</f>
        <v>0</v>
      </c>
      <c r="V127" s="31">
        <f>VLOOKUP($A127,$A$4:$O$28,6,0)*(HLOOKUP(V$113,'2.2.Brecha Efectiva x UdM'!$H$25:$AK$32,4,0))</f>
        <v>0</v>
      </c>
      <c r="W127" s="31">
        <f>VLOOKUP($A127,$A$4:$O$28,6,0)*(HLOOKUP(W$113,'2.2.Brecha Efectiva x UdM'!$H$25:$AK$32,4,0))</f>
        <v>0</v>
      </c>
      <c r="X127" s="31">
        <f>VLOOKUP($A127,$A$4:$O$28,6,0)*(HLOOKUP(X$113,'2.2.Brecha Efectiva x UdM'!$H$25:$AK$32,4,0))</f>
        <v>0</v>
      </c>
      <c r="Y127" s="31">
        <f>VLOOKUP($A127,$A$4:$O$28,6,0)*(HLOOKUP(Y$113,'2.2.Brecha Efectiva x UdM'!$H$25:$AK$32,4,0))</f>
        <v>0</v>
      </c>
      <c r="Z127" s="31">
        <f>VLOOKUP($A127,$A$4:$O$28,6,0)*(HLOOKUP(Z$113,'2.2.Brecha Efectiva x UdM'!$H$25:$AK$32,4,0))</f>
        <v>0</v>
      </c>
      <c r="AA127" s="31">
        <f>VLOOKUP($A127,$A$4:$O$28,6,0)*(HLOOKUP(AA$113,'2.2.Brecha Efectiva x UdM'!$H$25:$AK$32,4,0))</f>
        <v>0</v>
      </c>
      <c r="AB127" s="31">
        <f>VLOOKUP($A127,$A$4:$O$28,6,0)*(HLOOKUP(AB$113,'2.2.Brecha Efectiva x UdM'!$H$25:$AK$32,4,0))</f>
        <v>0</v>
      </c>
      <c r="AC127" s="31">
        <f>VLOOKUP($A127,$A$4:$O$28,6,0)*(HLOOKUP(AC$113,'2.2.Brecha Efectiva x UdM'!$H$25:$AK$32,4,0))</f>
        <v>0</v>
      </c>
      <c r="AD127" s="31">
        <f>VLOOKUP($A127,$A$4:$O$28,6,0)*(HLOOKUP(AD$113,'2.2.Brecha Efectiva x UdM'!$H$25:$AK$32,4,0))</f>
        <v>0</v>
      </c>
      <c r="AE127" s="31">
        <f>VLOOKUP($A127,$A$4:$O$28,6,0)*(HLOOKUP(AE$113,'2.2.Brecha Efectiva x UdM'!$H$25:$AK$32,4,0))</f>
        <v>0</v>
      </c>
      <c r="AF127" s="31">
        <f>VLOOKUP($A127,$A$4:$O$28,6,0)*(HLOOKUP(AF$113,'2.2.Brecha Efectiva x UdM'!$H$25:$AK$32,4,0))</f>
        <v>0</v>
      </c>
      <c r="AG127" s="31">
        <f>VLOOKUP($A127,$A$4:$O$28,6,0)*(HLOOKUP(AG$113,'2.2.Brecha Efectiva x UdM'!$H$25:$AK$32,4,0))</f>
        <v>0</v>
      </c>
      <c r="AH127" s="63">
        <f t="shared" si="101"/>
        <v>90747797.482149363</v>
      </c>
    </row>
    <row r="128" spans="1:34" x14ac:dyDescent="0.2">
      <c r="A128" s="25" t="str">
        <f t="shared" si="98"/>
        <v>Neuquén</v>
      </c>
      <c r="B128" s="51" t="str">
        <f t="shared" si="99"/>
        <v>Nombre UdM 3</v>
      </c>
      <c r="C128" s="25" t="str">
        <f t="shared" si="100"/>
        <v>Neuquén Nombre UdM 3</v>
      </c>
      <c r="D128" s="32">
        <f>VLOOKUP($A128,$A$4:$O$28,6,0)*(HLOOKUP(D$113,'2.2.Brecha Efectiva x UdM'!$H$25:$AK$32,4,0))</f>
        <v>20312700.565681312</v>
      </c>
      <c r="E128" s="32">
        <f>VLOOKUP($A128,$A$4:$O$28,6,0)*(HLOOKUP(E$113,'2.2.Brecha Efectiva x UdM'!$H$25:$AK$32,4,0))</f>
        <v>138068532.16711739</v>
      </c>
      <c r="F128" s="32">
        <f>VLOOKUP($A128,$A$4:$O$28,6,0)*(HLOOKUP(F$113,'2.2.Brecha Efectiva x UdM'!$H$25:$AK$32,4,0))</f>
        <v>7017970.4720229376</v>
      </c>
      <c r="G128" s="32">
        <f>VLOOKUP($A128,$A$4:$O$28,6,0)*(HLOOKUP(G$113,'2.2.Brecha Efectiva x UdM'!$H$25:$AK$32,4,0))</f>
        <v>3839684.8117978591</v>
      </c>
      <c r="H128" s="32">
        <f>VLOOKUP($A128,$A$4:$O$28,6,0)*(HLOOKUP(H$113,'2.2.Brecha Efectiva x UdM'!$H$25:$AK$32,4,0))</f>
        <v>0</v>
      </c>
      <c r="I128" s="32">
        <f>VLOOKUP($A128,$A$4:$O$28,6,0)*(HLOOKUP(I$113,'2.2.Brecha Efectiva x UdM'!$H$25:$AK$32,4,0))</f>
        <v>0</v>
      </c>
      <c r="J128" s="32">
        <f>VLOOKUP($A128,$A$4:$O$28,6,0)*(HLOOKUP(J$113,'2.2.Brecha Efectiva x UdM'!$H$25:$AK$32,4,0))</f>
        <v>0</v>
      </c>
      <c r="K128" s="32">
        <f>VLOOKUP($A128,$A$4:$O$28,6,0)*(HLOOKUP(K$113,'2.2.Brecha Efectiva x UdM'!$H$25:$AK$32,4,0))</f>
        <v>0</v>
      </c>
      <c r="L128" s="32">
        <f>VLOOKUP($A128,$A$4:$O$28,6,0)*(HLOOKUP(L$113,'2.2.Brecha Efectiva x UdM'!$H$25:$AK$32,4,0))</f>
        <v>0</v>
      </c>
      <c r="M128" s="32">
        <f>VLOOKUP($A128,$A$4:$O$28,6,0)*(HLOOKUP(M$113,'2.2.Brecha Efectiva x UdM'!$H$25:$AK$32,4,0))</f>
        <v>0</v>
      </c>
      <c r="N128" s="32">
        <f>VLOOKUP($A128,$A$4:$O$28,6,0)*(HLOOKUP(N$113,'2.2.Brecha Efectiva x UdM'!$H$25:$AK$32,4,0))</f>
        <v>0</v>
      </c>
      <c r="O128" s="32">
        <f>VLOOKUP($A128,$A$4:$O$28,6,0)*(HLOOKUP(O$113,'2.2.Brecha Efectiva x UdM'!$H$25:$AK$32,4,0))</f>
        <v>0</v>
      </c>
      <c r="P128" s="32">
        <f>VLOOKUP($A128,$A$4:$O$28,6,0)*(HLOOKUP(P$113,'2.2.Brecha Efectiva x UdM'!$H$25:$AK$32,4,0))</f>
        <v>0</v>
      </c>
      <c r="Q128" s="32">
        <f>VLOOKUP($A128,$A$4:$O$28,6,0)*(HLOOKUP(Q$113,'2.2.Brecha Efectiva x UdM'!$H$25:$AK$32,4,0))</f>
        <v>0</v>
      </c>
      <c r="R128" s="32">
        <f>VLOOKUP($A128,$A$4:$O$28,6,0)*(HLOOKUP(R$113,'2.2.Brecha Efectiva x UdM'!$H$25:$AK$32,4,0))</f>
        <v>0</v>
      </c>
      <c r="S128" s="32">
        <f>VLOOKUP($A128,$A$4:$O$28,6,0)*(HLOOKUP(S$113,'2.2.Brecha Efectiva x UdM'!$H$25:$AK$32,4,0))</f>
        <v>0</v>
      </c>
      <c r="T128" s="32">
        <f>VLOOKUP($A128,$A$4:$O$28,6,0)*(HLOOKUP(T$113,'2.2.Brecha Efectiva x UdM'!$H$25:$AK$32,4,0))</f>
        <v>0</v>
      </c>
      <c r="U128" s="32">
        <f>VLOOKUP($A128,$A$4:$O$28,6,0)*(HLOOKUP(U$113,'2.2.Brecha Efectiva x UdM'!$H$25:$AK$32,4,0))</f>
        <v>0</v>
      </c>
      <c r="V128" s="32">
        <f>VLOOKUP($A128,$A$4:$O$28,6,0)*(HLOOKUP(V$113,'2.2.Brecha Efectiva x UdM'!$H$25:$AK$32,4,0))</f>
        <v>0</v>
      </c>
      <c r="W128" s="32">
        <f>VLOOKUP($A128,$A$4:$O$28,6,0)*(HLOOKUP(W$113,'2.2.Brecha Efectiva x UdM'!$H$25:$AK$32,4,0))</f>
        <v>0</v>
      </c>
      <c r="X128" s="32">
        <f>VLOOKUP($A128,$A$4:$O$28,6,0)*(HLOOKUP(X$113,'2.2.Brecha Efectiva x UdM'!$H$25:$AK$32,4,0))</f>
        <v>0</v>
      </c>
      <c r="Y128" s="32">
        <f>VLOOKUP($A128,$A$4:$O$28,6,0)*(HLOOKUP(Y$113,'2.2.Brecha Efectiva x UdM'!$H$25:$AK$32,4,0))</f>
        <v>0</v>
      </c>
      <c r="Z128" s="32">
        <f>VLOOKUP($A128,$A$4:$O$28,6,0)*(HLOOKUP(Z$113,'2.2.Brecha Efectiva x UdM'!$H$25:$AK$32,4,0))</f>
        <v>0</v>
      </c>
      <c r="AA128" s="32">
        <f>VLOOKUP($A128,$A$4:$O$28,6,0)*(HLOOKUP(AA$113,'2.2.Brecha Efectiva x UdM'!$H$25:$AK$32,4,0))</f>
        <v>0</v>
      </c>
      <c r="AB128" s="32">
        <f>VLOOKUP($A128,$A$4:$O$28,6,0)*(HLOOKUP(AB$113,'2.2.Brecha Efectiva x UdM'!$H$25:$AK$32,4,0))</f>
        <v>0</v>
      </c>
      <c r="AC128" s="32">
        <f>VLOOKUP($A128,$A$4:$O$28,6,0)*(HLOOKUP(AC$113,'2.2.Brecha Efectiva x UdM'!$H$25:$AK$32,4,0))</f>
        <v>0</v>
      </c>
      <c r="AD128" s="32">
        <f>VLOOKUP($A128,$A$4:$O$28,6,0)*(HLOOKUP(AD$113,'2.2.Brecha Efectiva x UdM'!$H$25:$AK$32,4,0))</f>
        <v>0</v>
      </c>
      <c r="AE128" s="32">
        <f>VLOOKUP($A128,$A$4:$O$28,6,0)*(HLOOKUP(AE$113,'2.2.Brecha Efectiva x UdM'!$H$25:$AK$32,4,0))</f>
        <v>0</v>
      </c>
      <c r="AF128" s="32">
        <f>VLOOKUP($A128,$A$4:$O$28,6,0)*(HLOOKUP(AF$113,'2.2.Brecha Efectiva x UdM'!$H$25:$AK$32,4,0))</f>
        <v>0</v>
      </c>
      <c r="AG128" s="32">
        <f>VLOOKUP($A128,$A$4:$O$28,6,0)*(HLOOKUP(AG$113,'2.2.Brecha Efectiva x UdM'!$H$25:$AK$32,4,0))</f>
        <v>0</v>
      </c>
      <c r="AH128" s="62">
        <f t="shared" si="101"/>
        <v>169238888.0166195</v>
      </c>
    </row>
    <row r="129" spans="1:34" x14ac:dyDescent="0.2">
      <c r="A129" s="26" t="str">
        <f t="shared" si="98"/>
        <v>Río Negro</v>
      </c>
      <c r="B129" s="52" t="str">
        <f t="shared" si="99"/>
        <v>Nombre UdM 3</v>
      </c>
      <c r="C129" s="26" t="str">
        <f t="shared" si="100"/>
        <v>Río Negro Nombre UdM 3</v>
      </c>
      <c r="D129" s="31">
        <f>VLOOKUP($A129,$A$4:$O$28,6,0)*(HLOOKUP(D$113,'2.2.Brecha Efectiva x UdM'!$H$25:$AK$32,4,0))</f>
        <v>3995082.151497405</v>
      </c>
      <c r="E129" s="31">
        <f>VLOOKUP($A129,$A$4:$O$28,6,0)*(HLOOKUP(E$113,'2.2.Brecha Efectiva x UdM'!$H$25:$AK$32,4,0))</f>
        <v>27155184.351815157</v>
      </c>
      <c r="F129" s="31">
        <f>VLOOKUP($A129,$A$4:$O$28,6,0)*(HLOOKUP(F$113,'2.2.Brecha Efectiva x UdM'!$H$25:$AK$32,4,0))</f>
        <v>1380287.5930679701</v>
      </c>
      <c r="G129" s="31">
        <f>VLOOKUP($A129,$A$4:$O$28,6,0)*(HLOOKUP(G$113,'2.2.Brecha Efectiva x UdM'!$H$25:$AK$32,4,0))</f>
        <v>755185.46681608027</v>
      </c>
      <c r="H129" s="31">
        <f>VLOOKUP($A129,$A$4:$O$28,6,0)*(HLOOKUP(H$113,'2.2.Brecha Efectiva x UdM'!$H$25:$AK$32,4,0))</f>
        <v>0</v>
      </c>
      <c r="I129" s="31">
        <f>VLOOKUP($A129,$A$4:$O$28,6,0)*(HLOOKUP(I$113,'2.2.Brecha Efectiva x UdM'!$H$25:$AK$32,4,0))</f>
        <v>0</v>
      </c>
      <c r="J129" s="31">
        <f>VLOOKUP($A129,$A$4:$O$28,6,0)*(HLOOKUP(J$113,'2.2.Brecha Efectiva x UdM'!$H$25:$AK$32,4,0))</f>
        <v>0</v>
      </c>
      <c r="K129" s="31">
        <f>VLOOKUP($A129,$A$4:$O$28,6,0)*(HLOOKUP(K$113,'2.2.Brecha Efectiva x UdM'!$H$25:$AK$32,4,0))</f>
        <v>0</v>
      </c>
      <c r="L129" s="31">
        <f>VLOOKUP($A129,$A$4:$O$28,6,0)*(HLOOKUP(L$113,'2.2.Brecha Efectiva x UdM'!$H$25:$AK$32,4,0))</f>
        <v>0</v>
      </c>
      <c r="M129" s="31">
        <f>VLOOKUP($A129,$A$4:$O$28,6,0)*(HLOOKUP(M$113,'2.2.Brecha Efectiva x UdM'!$H$25:$AK$32,4,0))</f>
        <v>0</v>
      </c>
      <c r="N129" s="31">
        <f>VLOOKUP($A129,$A$4:$O$28,6,0)*(HLOOKUP(N$113,'2.2.Brecha Efectiva x UdM'!$H$25:$AK$32,4,0))</f>
        <v>0</v>
      </c>
      <c r="O129" s="31">
        <f>VLOOKUP($A129,$A$4:$O$28,6,0)*(HLOOKUP(O$113,'2.2.Brecha Efectiva x UdM'!$H$25:$AK$32,4,0))</f>
        <v>0</v>
      </c>
      <c r="P129" s="31">
        <f>VLOOKUP($A129,$A$4:$O$28,6,0)*(HLOOKUP(P$113,'2.2.Brecha Efectiva x UdM'!$H$25:$AK$32,4,0))</f>
        <v>0</v>
      </c>
      <c r="Q129" s="31">
        <f>VLOOKUP($A129,$A$4:$O$28,6,0)*(HLOOKUP(Q$113,'2.2.Brecha Efectiva x UdM'!$H$25:$AK$32,4,0))</f>
        <v>0</v>
      </c>
      <c r="R129" s="31">
        <f>VLOOKUP($A129,$A$4:$O$28,6,0)*(HLOOKUP(R$113,'2.2.Brecha Efectiva x UdM'!$H$25:$AK$32,4,0))</f>
        <v>0</v>
      </c>
      <c r="S129" s="31">
        <f>VLOOKUP($A129,$A$4:$O$28,6,0)*(HLOOKUP(S$113,'2.2.Brecha Efectiva x UdM'!$H$25:$AK$32,4,0))</f>
        <v>0</v>
      </c>
      <c r="T129" s="31">
        <f>VLOOKUP($A129,$A$4:$O$28,6,0)*(HLOOKUP(T$113,'2.2.Brecha Efectiva x UdM'!$H$25:$AK$32,4,0))</f>
        <v>0</v>
      </c>
      <c r="U129" s="31">
        <f>VLOOKUP($A129,$A$4:$O$28,6,0)*(HLOOKUP(U$113,'2.2.Brecha Efectiva x UdM'!$H$25:$AK$32,4,0))</f>
        <v>0</v>
      </c>
      <c r="V129" s="31">
        <f>VLOOKUP($A129,$A$4:$O$28,6,0)*(HLOOKUP(V$113,'2.2.Brecha Efectiva x UdM'!$H$25:$AK$32,4,0))</f>
        <v>0</v>
      </c>
      <c r="W129" s="31">
        <f>VLOOKUP($A129,$A$4:$O$28,6,0)*(HLOOKUP(W$113,'2.2.Brecha Efectiva x UdM'!$H$25:$AK$32,4,0))</f>
        <v>0</v>
      </c>
      <c r="X129" s="31">
        <f>VLOOKUP($A129,$A$4:$O$28,6,0)*(HLOOKUP(X$113,'2.2.Brecha Efectiva x UdM'!$H$25:$AK$32,4,0))</f>
        <v>0</v>
      </c>
      <c r="Y129" s="31">
        <f>VLOOKUP($A129,$A$4:$O$28,6,0)*(HLOOKUP(Y$113,'2.2.Brecha Efectiva x UdM'!$H$25:$AK$32,4,0))</f>
        <v>0</v>
      </c>
      <c r="Z129" s="31">
        <f>VLOOKUP($A129,$A$4:$O$28,6,0)*(HLOOKUP(Z$113,'2.2.Brecha Efectiva x UdM'!$H$25:$AK$32,4,0))</f>
        <v>0</v>
      </c>
      <c r="AA129" s="31">
        <f>VLOOKUP($A129,$A$4:$O$28,6,0)*(HLOOKUP(AA$113,'2.2.Brecha Efectiva x UdM'!$H$25:$AK$32,4,0))</f>
        <v>0</v>
      </c>
      <c r="AB129" s="31">
        <f>VLOOKUP($A129,$A$4:$O$28,6,0)*(HLOOKUP(AB$113,'2.2.Brecha Efectiva x UdM'!$H$25:$AK$32,4,0))</f>
        <v>0</v>
      </c>
      <c r="AC129" s="31">
        <f>VLOOKUP($A129,$A$4:$O$28,6,0)*(HLOOKUP(AC$113,'2.2.Brecha Efectiva x UdM'!$H$25:$AK$32,4,0))</f>
        <v>0</v>
      </c>
      <c r="AD129" s="31">
        <f>VLOOKUP($A129,$A$4:$O$28,6,0)*(HLOOKUP(AD$113,'2.2.Brecha Efectiva x UdM'!$H$25:$AK$32,4,0))</f>
        <v>0</v>
      </c>
      <c r="AE129" s="31">
        <f>VLOOKUP($A129,$A$4:$O$28,6,0)*(HLOOKUP(AE$113,'2.2.Brecha Efectiva x UdM'!$H$25:$AK$32,4,0))</f>
        <v>0</v>
      </c>
      <c r="AF129" s="31">
        <f>VLOOKUP($A129,$A$4:$O$28,6,0)*(HLOOKUP(AF$113,'2.2.Brecha Efectiva x UdM'!$H$25:$AK$32,4,0))</f>
        <v>0</v>
      </c>
      <c r="AG129" s="31">
        <f>VLOOKUP($A129,$A$4:$O$28,6,0)*(HLOOKUP(AG$113,'2.2.Brecha Efectiva x UdM'!$H$25:$AK$32,4,0))</f>
        <v>0</v>
      </c>
      <c r="AH129" s="63">
        <f t="shared" si="101"/>
        <v>33285739.563196611</v>
      </c>
    </row>
    <row r="130" spans="1:34" x14ac:dyDescent="0.2">
      <c r="A130" s="25" t="str">
        <f t="shared" si="98"/>
        <v>Salta</v>
      </c>
      <c r="B130" s="51" t="str">
        <f t="shared" si="99"/>
        <v>Nombre UdM 3</v>
      </c>
      <c r="C130" s="25" t="str">
        <f t="shared" si="100"/>
        <v>Salta Nombre UdM 3</v>
      </c>
      <c r="D130" s="32">
        <f>VLOOKUP($A130,$A$4:$O$28,6,0)*(HLOOKUP(D$113,'2.2.Brecha Efectiva x UdM'!$H$25:$AK$32,4,0))</f>
        <v>28366036.050528068</v>
      </c>
      <c r="E130" s="32">
        <f>VLOOKUP($A130,$A$4:$O$28,6,0)*(HLOOKUP(E$113,'2.2.Brecha Efectiva x UdM'!$H$25:$AK$32,4,0))</f>
        <v>192808285.05456698</v>
      </c>
      <c r="F130" s="32">
        <f>VLOOKUP($A130,$A$4:$O$28,6,0)*(HLOOKUP(F$113,'2.2.Brecha Efectiva x UdM'!$H$25:$AK$32,4,0))</f>
        <v>9800371.0913397707</v>
      </c>
      <c r="G130" s="32">
        <f>VLOOKUP($A130,$A$4:$O$28,6,0)*(HLOOKUP(G$113,'2.2.Brecha Efectiva x UdM'!$H$25:$AK$32,4,0))</f>
        <v>5361996.9162613386</v>
      </c>
      <c r="H130" s="32">
        <f>VLOOKUP($A130,$A$4:$O$28,6,0)*(HLOOKUP(H$113,'2.2.Brecha Efectiva x UdM'!$H$25:$AK$32,4,0))</f>
        <v>0</v>
      </c>
      <c r="I130" s="32">
        <f>VLOOKUP($A130,$A$4:$O$28,6,0)*(HLOOKUP(I$113,'2.2.Brecha Efectiva x UdM'!$H$25:$AK$32,4,0))</f>
        <v>0</v>
      </c>
      <c r="J130" s="32">
        <f>VLOOKUP($A130,$A$4:$O$28,6,0)*(HLOOKUP(J$113,'2.2.Brecha Efectiva x UdM'!$H$25:$AK$32,4,0))</f>
        <v>0</v>
      </c>
      <c r="K130" s="32">
        <f>VLOOKUP($A130,$A$4:$O$28,6,0)*(HLOOKUP(K$113,'2.2.Brecha Efectiva x UdM'!$H$25:$AK$32,4,0))</f>
        <v>0</v>
      </c>
      <c r="L130" s="32">
        <f>VLOOKUP($A130,$A$4:$O$28,6,0)*(HLOOKUP(L$113,'2.2.Brecha Efectiva x UdM'!$H$25:$AK$32,4,0))</f>
        <v>0</v>
      </c>
      <c r="M130" s="32">
        <f>VLOOKUP($A130,$A$4:$O$28,6,0)*(HLOOKUP(M$113,'2.2.Brecha Efectiva x UdM'!$H$25:$AK$32,4,0))</f>
        <v>0</v>
      </c>
      <c r="N130" s="32">
        <f>VLOOKUP($A130,$A$4:$O$28,6,0)*(HLOOKUP(N$113,'2.2.Brecha Efectiva x UdM'!$H$25:$AK$32,4,0))</f>
        <v>0</v>
      </c>
      <c r="O130" s="32">
        <f>VLOOKUP($A130,$A$4:$O$28,6,0)*(HLOOKUP(O$113,'2.2.Brecha Efectiva x UdM'!$H$25:$AK$32,4,0))</f>
        <v>0</v>
      </c>
      <c r="P130" s="32">
        <f>VLOOKUP($A130,$A$4:$O$28,6,0)*(HLOOKUP(P$113,'2.2.Brecha Efectiva x UdM'!$H$25:$AK$32,4,0))</f>
        <v>0</v>
      </c>
      <c r="Q130" s="32">
        <f>VLOOKUP($A130,$A$4:$O$28,6,0)*(HLOOKUP(Q$113,'2.2.Brecha Efectiva x UdM'!$H$25:$AK$32,4,0))</f>
        <v>0</v>
      </c>
      <c r="R130" s="32">
        <f>VLOOKUP($A130,$A$4:$O$28,6,0)*(HLOOKUP(R$113,'2.2.Brecha Efectiva x UdM'!$H$25:$AK$32,4,0))</f>
        <v>0</v>
      </c>
      <c r="S130" s="32">
        <f>VLOOKUP($A130,$A$4:$O$28,6,0)*(HLOOKUP(S$113,'2.2.Brecha Efectiva x UdM'!$H$25:$AK$32,4,0))</f>
        <v>0</v>
      </c>
      <c r="T130" s="32">
        <f>VLOOKUP($A130,$A$4:$O$28,6,0)*(HLOOKUP(T$113,'2.2.Brecha Efectiva x UdM'!$H$25:$AK$32,4,0))</f>
        <v>0</v>
      </c>
      <c r="U130" s="32">
        <f>VLOOKUP($A130,$A$4:$O$28,6,0)*(HLOOKUP(U$113,'2.2.Brecha Efectiva x UdM'!$H$25:$AK$32,4,0))</f>
        <v>0</v>
      </c>
      <c r="V130" s="32">
        <f>VLOOKUP($A130,$A$4:$O$28,6,0)*(HLOOKUP(V$113,'2.2.Brecha Efectiva x UdM'!$H$25:$AK$32,4,0))</f>
        <v>0</v>
      </c>
      <c r="W130" s="32">
        <f>VLOOKUP($A130,$A$4:$O$28,6,0)*(HLOOKUP(W$113,'2.2.Brecha Efectiva x UdM'!$H$25:$AK$32,4,0))</f>
        <v>0</v>
      </c>
      <c r="X130" s="32">
        <f>VLOOKUP($A130,$A$4:$O$28,6,0)*(HLOOKUP(X$113,'2.2.Brecha Efectiva x UdM'!$H$25:$AK$32,4,0))</f>
        <v>0</v>
      </c>
      <c r="Y130" s="32">
        <f>VLOOKUP($A130,$A$4:$O$28,6,0)*(HLOOKUP(Y$113,'2.2.Brecha Efectiva x UdM'!$H$25:$AK$32,4,0))</f>
        <v>0</v>
      </c>
      <c r="Z130" s="32">
        <f>VLOOKUP($A130,$A$4:$O$28,6,0)*(HLOOKUP(Z$113,'2.2.Brecha Efectiva x UdM'!$H$25:$AK$32,4,0))</f>
        <v>0</v>
      </c>
      <c r="AA130" s="32">
        <f>VLOOKUP($A130,$A$4:$O$28,6,0)*(HLOOKUP(AA$113,'2.2.Brecha Efectiva x UdM'!$H$25:$AK$32,4,0))</f>
        <v>0</v>
      </c>
      <c r="AB130" s="32">
        <f>VLOOKUP($A130,$A$4:$O$28,6,0)*(HLOOKUP(AB$113,'2.2.Brecha Efectiva x UdM'!$H$25:$AK$32,4,0))</f>
        <v>0</v>
      </c>
      <c r="AC130" s="32">
        <f>VLOOKUP($A130,$A$4:$O$28,6,0)*(HLOOKUP(AC$113,'2.2.Brecha Efectiva x UdM'!$H$25:$AK$32,4,0))</f>
        <v>0</v>
      </c>
      <c r="AD130" s="32">
        <f>VLOOKUP($A130,$A$4:$O$28,6,0)*(HLOOKUP(AD$113,'2.2.Brecha Efectiva x UdM'!$H$25:$AK$32,4,0))</f>
        <v>0</v>
      </c>
      <c r="AE130" s="32">
        <f>VLOOKUP($A130,$A$4:$O$28,6,0)*(HLOOKUP(AE$113,'2.2.Brecha Efectiva x UdM'!$H$25:$AK$32,4,0))</f>
        <v>0</v>
      </c>
      <c r="AF130" s="32">
        <f>VLOOKUP($A130,$A$4:$O$28,6,0)*(HLOOKUP(AF$113,'2.2.Brecha Efectiva x UdM'!$H$25:$AK$32,4,0))</f>
        <v>0</v>
      </c>
      <c r="AG130" s="32">
        <f>VLOOKUP($A130,$A$4:$O$28,6,0)*(HLOOKUP(AG$113,'2.2.Brecha Efectiva x UdM'!$H$25:$AK$32,4,0))</f>
        <v>0</v>
      </c>
      <c r="AH130" s="62">
        <f t="shared" si="101"/>
        <v>236336689.11269617</v>
      </c>
    </row>
    <row r="131" spans="1:34" x14ac:dyDescent="0.2">
      <c r="A131" s="26" t="str">
        <f t="shared" si="98"/>
        <v>San Juan</v>
      </c>
      <c r="B131" s="52" t="str">
        <f t="shared" si="99"/>
        <v>Nombre UdM 3</v>
      </c>
      <c r="C131" s="26" t="str">
        <f t="shared" si="100"/>
        <v>San Juan Nombre UdM 3</v>
      </c>
      <c r="D131" s="31">
        <f>VLOOKUP($A131,$A$4:$O$28,6,0)*(HLOOKUP(D$113,'2.2.Brecha Efectiva x UdM'!$H$25:$AK$32,4,0))</f>
        <v>0</v>
      </c>
      <c r="E131" s="31">
        <f>VLOOKUP($A131,$A$4:$O$28,6,0)*(HLOOKUP(E$113,'2.2.Brecha Efectiva x UdM'!$H$25:$AK$32,4,0))</f>
        <v>0</v>
      </c>
      <c r="F131" s="31">
        <f>VLOOKUP($A131,$A$4:$O$28,6,0)*(HLOOKUP(F$113,'2.2.Brecha Efectiva x UdM'!$H$25:$AK$32,4,0))</f>
        <v>0</v>
      </c>
      <c r="G131" s="31">
        <f>VLOOKUP($A131,$A$4:$O$28,6,0)*(HLOOKUP(G$113,'2.2.Brecha Efectiva x UdM'!$H$25:$AK$32,4,0))</f>
        <v>0</v>
      </c>
      <c r="H131" s="31">
        <f>VLOOKUP($A131,$A$4:$O$28,6,0)*(HLOOKUP(H$113,'2.2.Brecha Efectiva x UdM'!$H$25:$AK$32,4,0))</f>
        <v>0</v>
      </c>
      <c r="I131" s="31">
        <f>VLOOKUP($A131,$A$4:$O$28,6,0)*(HLOOKUP(I$113,'2.2.Brecha Efectiva x UdM'!$H$25:$AK$32,4,0))</f>
        <v>0</v>
      </c>
      <c r="J131" s="31">
        <f>VLOOKUP($A131,$A$4:$O$28,6,0)*(HLOOKUP(J$113,'2.2.Brecha Efectiva x UdM'!$H$25:$AK$32,4,0))</f>
        <v>0</v>
      </c>
      <c r="K131" s="31">
        <f>VLOOKUP($A131,$A$4:$O$28,6,0)*(HLOOKUP(K$113,'2.2.Brecha Efectiva x UdM'!$H$25:$AK$32,4,0))</f>
        <v>0</v>
      </c>
      <c r="L131" s="31">
        <f>VLOOKUP($A131,$A$4:$O$28,6,0)*(HLOOKUP(L$113,'2.2.Brecha Efectiva x UdM'!$H$25:$AK$32,4,0))</f>
        <v>0</v>
      </c>
      <c r="M131" s="31">
        <f>VLOOKUP($A131,$A$4:$O$28,6,0)*(HLOOKUP(M$113,'2.2.Brecha Efectiva x UdM'!$H$25:$AK$32,4,0))</f>
        <v>0</v>
      </c>
      <c r="N131" s="31">
        <f>VLOOKUP($A131,$A$4:$O$28,6,0)*(HLOOKUP(N$113,'2.2.Brecha Efectiva x UdM'!$H$25:$AK$32,4,0))</f>
        <v>0</v>
      </c>
      <c r="O131" s="31">
        <f>VLOOKUP($A131,$A$4:$O$28,6,0)*(HLOOKUP(O$113,'2.2.Brecha Efectiva x UdM'!$H$25:$AK$32,4,0))</f>
        <v>0</v>
      </c>
      <c r="P131" s="31">
        <f>VLOOKUP($A131,$A$4:$O$28,6,0)*(HLOOKUP(P$113,'2.2.Brecha Efectiva x UdM'!$H$25:$AK$32,4,0))</f>
        <v>0</v>
      </c>
      <c r="Q131" s="31">
        <f>VLOOKUP($A131,$A$4:$O$28,6,0)*(HLOOKUP(Q$113,'2.2.Brecha Efectiva x UdM'!$H$25:$AK$32,4,0))</f>
        <v>0</v>
      </c>
      <c r="R131" s="31">
        <f>VLOOKUP($A131,$A$4:$O$28,6,0)*(HLOOKUP(R$113,'2.2.Brecha Efectiva x UdM'!$H$25:$AK$32,4,0))</f>
        <v>0</v>
      </c>
      <c r="S131" s="31">
        <f>VLOOKUP($A131,$A$4:$O$28,6,0)*(HLOOKUP(S$113,'2.2.Brecha Efectiva x UdM'!$H$25:$AK$32,4,0))</f>
        <v>0</v>
      </c>
      <c r="T131" s="31">
        <f>VLOOKUP($A131,$A$4:$O$28,6,0)*(HLOOKUP(T$113,'2.2.Brecha Efectiva x UdM'!$H$25:$AK$32,4,0))</f>
        <v>0</v>
      </c>
      <c r="U131" s="31">
        <f>VLOOKUP($A131,$A$4:$O$28,6,0)*(HLOOKUP(U$113,'2.2.Brecha Efectiva x UdM'!$H$25:$AK$32,4,0))</f>
        <v>0</v>
      </c>
      <c r="V131" s="31">
        <f>VLOOKUP($A131,$A$4:$O$28,6,0)*(HLOOKUP(V$113,'2.2.Brecha Efectiva x UdM'!$H$25:$AK$32,4,0))</f>
        <v>0</v>
      </c>
      <c r="W131" s="31">
        <f>VLOOKUP($A131,$A$4:$O$28,6,0)*(HLOOKUP(W$113,'2.2.Brecha Efectiva x UdM'!$H$25:$AK$32,4,0))</f>
        <v>0</v>
      </c>
      <c r="X131" s="31">
        <f>VLOOKUP($A131,$A$4:$O$28,6,0)*(HLOOKUP(X$113,'2.2.Brecha Efectiva x UdM'!$H$25:$AK$32,4,0))</f>
        <v>0</v>
      </c>
      <c r="Y131" s="31">
        <f>VLOOKUP($A131,$A$4:$O$28,6,0)*(HLOOKUP(Y$113,'2.2.Brecha Efectiva x UdM'!$H$25:$AK$32,4,0))</f>
        <v>0</v>
      </c>
      <c r="Z131" s="31">
        <f>VLOOKUP($A131,$A$4:$O$28,6,0)*(HLOOKUP(Z$113,'2.2.Brecha Efectiva x UdM'!$H$25:$AK$32,4,0))</f>
        <v>0</v>
      </c>
      <c r="AA131" s="31">
        <f>VLOOKUP($A131,$A$4:$O$28,6,0)*(HLOOKUP(AA$113,'2.2.Brecha Efectiva x UdM'!$H$25:$AK$32,4,0))</f>
        <v>0</v>
      </c>
      <c r="AB131" s="31">
        <f>VLOOKUP($A131,$A$4:$O$28,6,0)*(HLOOKUP(AB$113,'2.2.Brecha Efectiva x UdM'!$H$25:$AK$32,4,0))</f>
        <v>0</v>
      </c>
      <c r="AC131" s="31">
        <f>VLOOKUP($A131,$A$4:$O$28,6,0)*(HLOOKUP(AC$113,'2.2.Brecha Efectiva x UdM'!$H$25:$AK$32,4,0))</f>
        <v>0</v>
      </c>
      <c r="AD131" s="31">
        <f>VLOOKUP($A131,$A$4:$O$28,6,0)*(HLOOKUP(AD$113,'2.2.Brecha Efectiva x UdM'!$H$25:$AK$32,4,0))</f>
        <v>0</v>
      </c>
      <c r="AE131" s="31">
        <f>VLOOKUP($A131,$A$4:$O$28,6,0)*(HLOOKUP(AE$113,'2.2.Brecha Efectiva x UdM'!$H$25:$AK$32,4,0))</f>
        <v>0</v>
      </c>
      <c r="AF131" s="31">
        <f>VLOOKUP($A131,$A$4:$O$28,6,0)*(HLOOKUP(AF$113,'2.2.Brecha Efectiva x UdM'!$H$25:$AK$32,4,0))</f>
        <v>0</v>
      </c>
      <c r="AG131" s="31">
        <f>VLOOKUP($A131,$A$4:$O$28,6,0)*(HLOOKUP(AG$113,'2.2.Brecha Efectiva x UdM'!$H$25:$AK$32,4,0))</f>
        <v>0</v>
      </c>
      <c r="AH131" s="63">
        <f t="shared" si="101"/>
        <v>0</v>
      </c>
    </row>
    <row r="132" spans="1:34" x14ac:dyDescent="0.2">
      <c r="A132" s="25" t="str">
        <f t="shared" si="98"/>
        <v>San Luis</v>
      </c>
      <c r="B132" s="51" t="str">
        <f t="shared" si="99"/>
        <v>Nombre UdM 3</v>
      </c>
      <c r="C132" s="25" t="str">
        <f t="shared" si="100"/>
        <v>San Luis Nombre UdM 3</v>
      </c>
      <c r="D132" s="32">
        <f>VLOOKUP($A132,$A$4:$O$28,6,0)*(HLOOKUP(D$113,'2.2.Brecha Efectiva x UdM'!$H$25:$AK$32,4,0))</f>
        <v>0</v>
      </c>
      <c r="E132" s="32">
        <f>VLOOKUP($A132,$A$4:$O$28,6,0)*(HLOOKUP(E$113,'2.2.Brecha Efectiva x UdM'!$H$25:$AK$32,4,0))</f>
        <v>0</v>
      </c>
      <c r="F132" s="32">
        <f>VLOOKUP($A132,$A$4:$O$28,6,0)*(HLOOKUP(F$113,'2.2.Brecha Efectiva x UdM'!$H$25:$AK$32,4,0))</f>
        <v>0</v>
      </c>
      <c r="G132" s="32">
        <f>VLOOKUP($A132,$A$4:$O$28,6,0)*(HLOOKUP(G$113,'2.2.Brecha Efectiva x UdM'!$H$25:$AK$32,4,0))</f>
        <v>0</v>
      </c>
      <c r="H132" s="32">
        <f>VLOOKUP($A132,$A$4:$O$28,6,0)*(HLOOKUP(H$113,'2.2.Brecha Efectiva x UdM'!$H$25:$AK$32,4,0))</f>
        <v>0</v>
      </c>
      <c r="I132" s="32">
        <f>VLOOKUP($A132,$A$4:$O$28,6,0)*(HLOOKUP(I$113,'2.2.Brecha Efectiva x UdM'!$H$25:$AK$32,4,0))</f>
        <v>0</v>
      </c>
      <c r="J132" s="32">
        <f>VLOOKUP($A132,$A$4:$O$28,6,0)*(HLOOKUP(J$113,'2.2.Brecha Efectiva x UdM'!$H$25:$AK$32,4,0))</f>
        <v>0</v>
      </c>
      <c r="K132" s="32">
        <f>VLOOKUP($A132,$A$4:$O$28,6,0)*(HLOOKUP(K$113,'2.2.Brecha Efectiva x UdM'!$H$25:$AK$32,4,0))</f>
        <v>0</v>
      </c>
      <c r="L132" s="32">
        <f>VLOOKUP($A132,$A$4:$O$28,6,0)*(HLOOKUP(L$113,'2.2.Brecha Efectiva x UdM'!$H$25:$AK$32,4,0))</f>
        <v>0</v>
      </c>
      <c r="M132" s="32">
        <f>VLOOKUP($A132,$A$4:$O$28,6,0)*(HLOOKUP(M$113,'2.2.Brecha Efectiva x UdM'!$H$25:$AK$32,4,0))</f>
        <v>0</v>
      </c>
      <c r="N132" s="32">
        <f>VLOOKUP($A132,$A$4:$O$28,6,0)*(HLOOKUP(N$113,'2.2.Brecha Efectiva x UdM'!$H$25:$AK$32,4,0))</f>
        <v>0</v>
      </c>
      <c r="O132" s="32">
        <f>VLOOKUP($A132,$A$4:$O$28,6,0)*(HLOOKUP(O$113,'2.2.Brecha Efectiva x UdM'!$H$25:$AK$32,4,0))</f>
        <v>0</v>
      </c>
      <c r="P132" s="32">
        <f>VLOOKUP($A132,$A$4:$O$28,6,0)*(HLOOKUP(P$113,'2.2.Brecha Efectiva x UdM'!$H$25:$AK$32,4,0))</f>
        <v>0</v>
      </c>
      <c r="Q132" s="32">
        <f>VLOOKUP($A132,$A$4:$O$28,6,0)*(HLOOKUP(Q$113,'2.2.Brecha Efectiva x UdM'!$H$25:$AK$32,4,0))</f>
        <v>0</v>
      </c>
      <c r="R132" s="32">
        <f>VLOOKUP($A132,$A$4:$O$28,6,0)*(HLOOKUP(R$113,'2.2.Brecha Efectiva x UdM'!$H$25:$AK$32,4,0))</f>
        <v>0</v>
      </c>
      <c r="S132" s="32">
        <f>VLOOKUP($A132,$A$4:$O$28,6,0)*(HLOOKUP(S$113,'2.2.Brecha Efectiva x UdM'!$H$25:$AK$32,4,0))</f>
        <v>0</v>
      </c>
      <c r="T132" s="32">
        <f>VLOOKUP($A132,$A$4:$O$28,6,0)*(HLOOKUP(T$113,'2.2.Brecha Efectiva x UdM'!$H$25:$AK$32,4,0))</f>
        <v>0</v>
      </c>
      <c r="U132" s="32">
        <f>VLOOKUP($A132,$A$4:$O$28,6,0)*(HLOOKUP(U$113,'2.2.Brecha Efectiva x UdM'!$H$25:$AK$32,4,0))</f>
        <v>0</v>
      </c>
      <c r="V132" s="32">
        <f>VLOOKUP($A132,$A$4:$O$28,6,0)*(HLOOKUP(V$113,'2.2.Brecha Efectiva x UdM'!$H$25:$AK$32,4,0))</f>
        <v>0</v>
      </c>
      <c r="W132" s="32">
        <f>VLOOKUP($A132,$A$4:$O$28,6,0)*(HLOOKUP(W$113,'2.2.Brecha Efectiva x UdM'!$H$25:$AK$32,4,0))</f>
        <v>0</v>
      </c>
      <c r="X132" s="32">
        <f>VLOOKUP($A132,$A$4:$O$28,6,0)*(HLOOKUP(X$113,'2.2.Brecha Efectiva x UdM'!$H$25:$AK$32,4,0))</f>
        <v>0</v>
      </c>
      <c r="Y132" s="32">
        <f>VLOOKUP($A132,$A$4:$O$28,6,0)*(HLOOKUP(Y$113,'2.2.Brecha Efectiva x UdM'!$H$25:$AK$32,4,0))</f>
        <v>0</v>
      </c>
      <c r="Z132" s="32">
        <f>VLOOKUP($A132,$A$4:$O$28,6,0)*(HLOOKUP(Z$113,'2.2.Brecha Efectiva x UdM'!$H$25:$AK$32,4,0))</f>
        <v>0</v>
      </c>
      <c r="AA132" s="32">
        <f>VLOOKUP($A132,$A$4:$O$28,6,0)*(HLOOKUP(AA$113,'2.2.Brecha Efectiva x UdM'!$H$25:$AK$32,4,0))</f>
        <v>0</v>
      </c>
      <c r="AB132" s="32">
        <f>VLOOKUP($A132,$A$4:$O$28,6,0)*(HLOOKUP(AB$113,'2.2.Brecha Efectiva x UdM'!$H$25:$AK$32,4,0))</f>
        <v>0</v>
      </c>
      <c r="AC132" s="32">
        <f>VLOOKUP($A132,$A$4:$O$28,6,0)*(HLOOKUP(AC$113,'2.2.Brecha Efectiva x UdM'!$H$25:$AK$32,4,0))</f>
        <v>0</v>
      </c>
      <c r="AD132" s="32">
        <f>VLOOKUP($A132,$A$4:$O$28,6,0)*(HLOOKUP(AD$113,'2.2.Brecha Efectiva x UdM'!$H$25:$AK$32,4,0))</f>
        <v>0</v>
      </c>
      <c r="AE132" s="32">
        <f>VLOOKUP($A132,$A$4:$O$28,6,0)*(HLOOKUP(AE$113,'2.2.Brecha Efectiva x UdM'!$H$25:$AK$32,4,0))</f>
        <v>0</v>
      </c>
      <c r="AF132" s="32">
        <f>VLOOKUP($A132,$A$4:$O$28,6,0)*(HLOOKUP(AF$113,'2.2.Brecha Efectiva x UdM'!$H$25:$AK$32,4,0))</f>
        <v>0</v>
      </c>
      <c r="AG132" s="32">
        <f>VLOOKUP($A132,$A$4:$O$28,6,0)*(HLOOKUP(AG$113,'2.2.Brecha Efectiva x UdM'!$H$25:$AK$32,4,0))</f>
        <v>0</v>
      </c>
      <c r="AH132" s="62">
        <f t="shared" si="101"/>
        <v>0</v>
      </c>
    </row>
    <row r="133" spans="1:34" x14ac:dyDescent="0.2">
      <c r="A133" s="26" t="str">
        <f t="shared" si="98"/>
        <v>Santa Cruz</v>
      </c>
      <c r="B133" s="52" t="str">
        <f t="shared" si="99"/>
        <v>Nombre UdM 3</v>
      </c>
      <c r="C133" s="26" t="str">
        <f t="shared" si="100"/>
        <v>Santa Cruz Nombre UdM 3</v>
      </c>
      <c r="D133" s="31">
        <f>VLOOKUP($A133,$A$4:$O$28,6,0)*(HLOOKUP(D$113,'2.2.Brecha Efectiva x UdM'!$H$25:$AK$32,4,0))</f>
        <v>17911122.43174326</v>
      </c>
      <c r="E133" s="31">
        <f>VLOOKUP($A133,$A$4:$O$28,6,0)*(HLOOKUP(E$113,'2.2.Brecha Efectiva x UdM'!$H$25:$AK$32,4,0))</f>
        <v>121744638.31729192</v>
      </c>
      <c r="F133" s="31">
        <f>VLOOKUP($A133,$A$4:$O$28,6,0)*(HLOOKUP(F$113,'2.2.Brecha Efectiva x UdM'!$H$25:$AK$32,4,0))</f>
        <v>6188233.2159778848</v>
      </c>
      <c r="G133" s="31">
        <f>VLOOKUP($A133,$A$4:$O$28,6,0)*(HLOOKUP(G$113,'2.2.Brecha Efectiva x UdM'!$H$25:$AK$32,4,0))</f>
        <v>3385717.4500770182</v>
      </c>
      <c r="H133" s="31">
        <f>VLOOKUP($A133,$A$4:$O$28,6,0)*(HLOOKUP(H$113,'2.2.Brecha Efectiva x UdM'!$H$25:$AK$32,4,0))</f>
        <v>0</v>
      </c>
      <c r="I133" s="31">
        <f>VLOOKUP($A133,$A$4:$O$28,6,0)*(HLOOKUP(I$113,'2.2.Brecha Efectiva x UdM'!$H$25:$AK$32,4,0))</f>
        <v>0</v>
      </c>
      <c r="J133" s="31">
        <f>VLOOKUP($A133,$A$4:$O$28,6,0)*(HLOOKUP(J$113,'2.2.Brecha Efectiva x UdM'!$H$25:$AK$32,4,0))</f>
        <v>0</v>
      </c>
      <c r="K133" s="31">
        <f>VLOOKUP($A133,$A$4:$O$28,6,0)*(HLOOKUP(K$113,'2.2.Brecha Efectiva x UdM'!$H$25:$AK$32,4,0))</f>
        <v>0</v>
      </c>
      <c r="L133" s="31">
        <f>VLOOKUP($A133,$A$4:$O$28,6,0)*(HLOOKUP(L$113,'2.2.Brecha Efectiva x UdM'!$H$25:$AK$32,4,0))</f>
        <v>0</v>
      </c>
      <c r="M133" s="31">
        <f>VLOOKUP($A133,$A$4:$O$28,6,0)*(HLOOKUP(M$113,'2.2.Brecha Efectiva x UdM'!$H$25:$AK$32,4,0))</f>
        <v>0</v>
      </c>
      <c r="N133" s="31">
        <f>VLOOKUP($A133,$A$4:$O$28,6,0)*(HLOOKUP(N$113,'2.2.Brecha Efectiva x UdM'!$H$25:$AK$32,4,0))</f>
        <v>0</v>
      </c>
      <c r="O133" s="31">
        <f>VLOOKUP($A133,$A$4:$O$28,6,0)*(HLOOKUP(O$113,'2.2.Brecha Efectiva x UdM'!$H$25:$AK$32,4,0))</f>
        <v>0</v>
      </c>
      <c r="P133" s="31">
        <f>VLOOKUP($A133,$A$4:$O$28,6,0)*(HLOOKUP(P$113,'2.2.Brecha Efectiva x UdM'!$H$25:$AK$32,4,0))</f>
        <v>0</v>
      </c>
      <c r="Q133" s="31">
        <f>VLOOKUP($A133,$A$4:$O$28,6,0)*(HLOOKUP(Q$113,'2.2.Brecha Efectiva x UdM'!$H$25:$AK$32,4,0))</f>
        <v>0</v>
      </c>
      <c r="R133" s="31">
        <f>VLOOKUP($A133,$A$4:$O$28,6,0)*(HLOOKUP(R$113,'2.2.Brecha Efectiva x UdM'!$H$25:$AK$32,4,0))</f>
        <v>0</v>
      </c>
      <c r="S133" s="31">
        <f>VLOOKUP($A133,$A$4:$O$28,6,0)*(HLOOKUP(S$113,'2.2.Brecha Efectiva x UdM'!$H$25:$AK$32,4,0))</f>
        <v>0</v>
      </c>
      <c r="T133" s="31">
        <f>VLOOKUP($A133,$A$4:$O$28,6,0)*(HLOOKUP(T$113,'2.2.Brecha Efectiva x UdM'!$H$25:$AK$32,4,0))</f>
        <v>0</v>
      </c>
      <c r="U133" s="31">
        <f>VLOOKUP($A133,$A$4:$O$28,6,0)*(HLOOKUP(U$113,'2.2.Brecha Efectiva x UdM'!$H$25:$AK$32,4,0))</f>
        <v>0</v>
      </c>
      <c r="V133" s="31">
        <f>VLOOKUP($A133,$A$4:$O$28,6,0)*(HLOOKUP(V$113,'2.2.Brecha Efectiva x UdM'!$H$25:$AK$32,4,0))</f>
        <v>0</v>
      </c>
      <c r="W133" s="31">
        <f>VLOOKUP($A133,$A$4:$O$28,6,0)*(HLOOKUP(W$113,'2.2.Brecha Efectiva x UdM'!$H$25:$AK$32,4,0))</f>
        <v>0</v>
      </c>
      <c r="X133" s="31">
        <f>VLOOKUP($A133,$A$4:$O$28,6,0)*(HLOOKUP(X$113,'2.2.Brecha Efectiva x UdM'!$H$25:$AK$32,4,0))</f>
        <v>0</v>
      </c>
      <c r="Y133" s="31">
        <f>VLOOKUP($A133,$A$4:$O$28,6,0)*(HLOOKUP(Y$113,'2.2.Brecha Efectiva x UdM'!$H$25:$AK$32,4,0))</f>
        <v>0</v>
      </c>
      <c r="Z133" s="31">
        <f>VLOOKUP($A133,$A$4:$O$28,6,0)*(HLOOKUP(Z$113,'2.2.Brecha Efectiva x UdM'!$H$25:$AK$32,4,0))</f>
        <v>0</v>
      </c>
      <c r="AA133" s="31">
        <f>VLOOKUP($A133,$A$4:$O$28,6,0)*(HLOOKUP(AA$113,'2.2.Brecha Efectiva x UdM'!$H$25:$AK$32,4,0))</f>
        <v>0</v>
      </c>
      <c r="AB133" s="31">
        <f>VLOOKUP($A133,$A$4:$O$28,6,0)*(HLOOKUP(AB$113,'2.2.Brecha Efectiva x UdM'!$H$25:$AK$32,4,0))</f>
        <v>0</v>
      </c>
      <c r="AC133" s="31">
        <f>VLOOKUP($A133,$A$4:$O$28,6,0)*(HLOOKUP(AC$113,'2.2.Brecha Efectiva x UdM'!$H$25:$AK$32,4,0))</f>
        <v>0</v>
      </c>
      <c r="AD133" s="31">
        <f>VLOOKUP($A133,$A$4:$O$28,6,0)*(HLOOKUP(AD$113,'2.2.Brecha Efectiva x UdM'!$H$25:$AK$32,4,0))</f>
        <v>0</v>
      </c>
      <c r="AE133" s="31">
        <f>VLOOKUP($A133,$A$4:$O$28,6,0)*(HLOOKUP(AE$113,'2.2.Brecha Efectiva x UdM'!$H$25:$AK$32,4,0))</f>
        <v>0</v>
      </c>
      <c r="AF133" s="31">
        <f>VLOOKUP($A133,$A$4:$O$28,6,0)*(HLOOKUP(AF$113,'2.2.Brecha Efectiva x UdM'!$H$25:$AK$32,4,0))</f>
        <v>0</v>
      </c>
      <c r="AG133" s="31">
        <f>VLOOKUP($A133,$A$4:$O$28,6,0)*(HLOOKUP(AG$113,'2.2.Brecha Efectiva x UdM'!$H$25:$AK$32,4,0))</f>
        <v>0</v>
      </c>
      <c r="AH133" s="63">
        <f t="shared" si="101"/>
        <v>149229711.41509008</v>
      </c>
    </row>
    <row r="134" spans="1:34" x14ac:dyDescent="0.2">
      <c r="A134" s="25" t="str">
        <f t="shared" si="98"/>
        <v>Santa Fe</v>
      </c>
      <c r="B134" s="51" t="str">
        <f t="shared" si="99"/>
        <v>Nombre UdM 3</v>
      </c>
      <c r="C134" s="25" t="str">
        <f t="shared" si="100"/>
        <v>Santa Fe Nombre UdM 3</v>
      </c>
      <c r="D134" s="32">
        <f>VLOOKUP($A134,$A$4:$O$28,6,0)*(HLOOKUP(D$113,'2.2.Brecha Efectiva x UdM'!$H$25:$AK$32,4,0))</f>
        <v>0</v>
      </c>
      <c r="E134" s="32">
        <f>VLOOKUP($A134,$A$4:$O$28,6,0)*(HLOOKUP(E$113,'2.2.Brecha Efectiva x UdM'!$H$25:$AK$32,4,0))</f>
        <v>0</v>
      </c>
      <c r="F134" s="32">
        <f>VLOOKUP($A134,$A$4:$O$28,6,0)*(HLOOKUP(F$113,'2.2.Brecha Efectiva x UdM'!$H$25:$AK$32,4,0))</f>
        <v>0</v>
      </c>
      <c r="G134" s="32">
        <f>VLOOKUP($A134,$A$4:$O$28,6,0)*(HLOOKUP(G$113,'2.2.Brecha Efectiva x UdM'!$H$25:$AK$32,4,0))</f>
        <v>0</v>
      </c>
      <c r="H134" s="32">
        <f>VLOOKUP($A134,$A$4:$O$28,6,0)*(HLOOKUP(H$113,'2.2.Brecha Efectiva x UdM'!$H$25:$AK$32,4,0))</f>
        <v>0</v>
      </c>
      <c r="I134" s="32">
        <f>VLOOKUP($A134,$A$4:$O$28,6,0)*(HLOOKUP(I$113,'2.2.Brecha Efectiva x UdM'!$H$25:$AK$32,4,0))</f>
        <v>0</v>
      </c>
      <c r="J134" s="32">
        <f>VLOOKUP($A134,$A$4:$O$28,6,0)*(HLOOKUP(J$113,'2.2.Brecha Efectiva x UdM'!$H$25:$AK$32,4,0))</f>
        <v>0</v>
      </c>
      <c r="K134" s="32">
        <f>VLOOKUP($A134,$A$4:$O$28,6,0)*(HLOOKUP(K$113,'2.2.Brecha Efectiva x UdM'!$H$25:$AK$32,4,0))</f>
        <v>0</v>
      </c>
      <c r="L134" s="32">
        <f>VLOOKUP($A134,$A$4:$O$28,6,0)*(HLOOKUP(L$113,'2.2.Brecha Efectiva x UdM'!$H$25:$AK$32,4,0))</f>
        <v>0</v>
      </c>
      <c r="M134" s="32">
        <f>VLOOKUP($A134,$A$4:$O$28,6,0)*(HLOOKUP(M$113,'2.2.Brecha Efectiva x UdM'!$H$25:$AK$32,4,0))</f>
        <v>0</v>
      </c>
      <c r="N134" s="32">
        <f>VLOOKUP($A134,$A$4:$O$28,6,0)*(HLOOKUP(N$113,'2.2.Brecha Efectiva x UdM'!$H$25:$AK$32,4,0))</f>
        <v>0</v>
      </c>
      <c r="O134" s="32">
        <f>VLOOKUP($A134,$A$4:$O$28,6,0)*(HLOOKUP(O$113,'2.2.Brecha Efectiva x UdM'!$H$25:$AK$32,4,0))</f>
        <v>0</v>
      </c>
      <c r="P134" s="32">
        <f>VLOOKUP($A134,$A$4:$O$28,6,0)*(HLOOKUP(P$113,'2.2.Brecha Efectiva x UdM'!$H$25:$AK$32,4,0))</f>
        <v>0</v>
      </c>
      <c r="Q134" s="32">
        <f>VLOOKUP($A134,$A$4:$O$28,6,0)*(HLOOKUP(Q$113,'2.2.Brecha Efectiva x UdM'!$H$25:$AK$32,4,0))</f>
        <v>0</v>
      </c>
      <c r="R134" s="32">
        <f>VLOOKUP($A134,$A$4:$O$28,6,0)*(HLOOKUP(R$113,'2.2.Brecha Efectiva x UdM'!$H$25:$AK$32,4,0))</f>
        <v>0</v>
      </c>
      <c r="S134" s="32">
        <f>VLOOKUP($A134,$A$4:$O$28,6,0)*(HLOOKUP(S$113,'2.2.Brecha Efectiva x UdM'!$H$25:$AK$32,4,0))</f>
        <v>0</v>
      </c>
      <c r="T134" s="32">
        <f>VLOOKUP($A134,$A$4:$O$28,6,0)*(HLOOKUP(T$113,'2.2.Brecha Efectiva x UdM'!$H$25:$AK$32,4,0))</f>
        <v>0</v>
      </c>
      <c r="U134" s="32">
        <f>VLOOKUP($A134,$A$4:$O$28,6,0)*(HLOOKUP(U$113,'2.2.Brecha Efectiva x UdM'!$H$25:$AK$32,4,0))</f>
        <v>0</v>
      </c>
      <c r="V134" s="32">
        <f>VLOOKUP($A134,$A$4:$O$28,6,0)*(HLOOKUP(V$113,'2.2.Brecha Efectiva x UdM'!$H$25:$AK$32,4,0))</f>
        <v>0</v>
      </c>
      <c r="W134" s="32">
        <f>VLOOKUP($A134,$A$4:$O$28,6,0)*(HLOOKUP(W$113,'2.2.Brecha Efectiva x UdM'!$H$25:$AK$32,4,0))</f>
        <v>0</v>
      </c>
      <c r="X134" s="32">
        <f>VLOOKUP($A134,$A$4:$O$28,6,0)*(HLOOKUP(X$113,'2.2.Brecha Efectiva x UdM'!$H$25:$AK$32,4,0))</f>
        <v>0</v>
      </c>
      <c r="Y134" s="32">
        <f>VLOOKUP($A134,$A$4:$O$28,6,0)*(HLOOKUP(Y$113,'2.2.Brecha Efectiva x UdM'!$H$25:$AK$32,4,0))</f>
        <v>0</v>
      </c>
      <c r="Z134" s="32">
        <f>VLOOKUP($A134,$A$4:$O$28,6,0)*(HLOOKUP(Z$113,'2.2.Brecha Efectiva x UdM'!$H$25:$AK$32,4,0))</f>
        <v>0</v>
      </c>
      <c r="AA134" s="32">
        <f>VLOOKUP($A134,$A$4:$O$28,6,0)*(HLOOKUP(AA$113,'2.2.Brecha Efectiva x UdM'!$H$25:$AK$32,4,0))</f>
        <v>0</v>
      </c>
      <c r="AB134" s="32">
        <f>VLOOKUP($A134,$A$4:$O$28,6,0)*(HLOOKUP(AB$113,'2.2.Brecha Efectiva x UdM'!$H$25:$AK$32,4,0))</f>
        <v>0</v>
      </c>
      <c r="AC134" s="32">
        <f>VLOOKUP($A134,$A$4:$O$28,6,0)*(HLOOKUP(AC$113,'2.2.Brecha Efectiva x UdM'!$H$25:$AK$32,4,0))</f>
        <v>0</v>
      </c>
      <c r="AD134" s="32">
        <f>VLOOKUP($A134,$A$4:$O$28,6,0)*(HLOOKUP(AD$113,'2.2.Brecha Efectiva x UdM'!$H$25:$AK$32,4,0))</f>
        <v>0</v>
      </c>
      <c r="AE134" s="32">
        <f>VLOOKUP($A134,$A$4:$O$28,6,0)*(HLOOKUP(AE$113,'2.2.Brecha Efectiva x UdM'!$H$25:$AK$32,4,0))</f>
        <v>0</v>
      </c>
      <c r="AF134" s="32">
        <f>VLOOKUP($A134,$A$4:$O$28,6,0)*(HLOOKUP(AF$113,'2.2.Brecha Efectiva x UdM'!$H$25:$AK$32,4,0))</f>
        <v>0</v>
      </c>
      <c r="AG134" s="32">
        <f>VLOOKUP($A134,$A$4:$O$28,6,0)*(HLOOKUP(AG$113,'2.2.Brecha Efectiva x UdM'!$H$25:$AK$32,4,0))</f>
        <v>0</v>
      </c>
      <c r="AH134" s="62">
        <f t="shared" si="101"/>
        <v>0</v>
      </c>
    </row>
    <row r="135" spans="1:34" x14ac:dyDescent="0.2">
      <c r="A135" s="26" t="str">
        <f t="shared" si="98"/>
        <v>Santiago del Estero</v>
      </c>
      <c r="B135" s="52" t="str">
        <f t="shared" si="99"/>
        <v>Nombre UdM 3</v>
      </c>
      <c r="C135" s="26" t="str">
        <f t="shared" si="100"/>
        <v>Santiago del Estero Nombre UdM 3</v>
      </c>
      <c r="D135" s="31">
        <f>VLOOKUP($A135,$A$4:$O$28,6,0)*(HLOOKUP(D$113,'2.2.Brecha Efectiva x UdM'!$H$25:$AK$32,4,0))</f>
        <v>16942953.651649028</v>
      </c>
      <c r="E135" s="31">
        <f>VLOOKUP($A135,$A$4:$O$28,6,0)*(HLOOKUP(E$113,'2.2.Brecha Efectiva x UdM'!$H$25:$AK$32,4,0))</f>
        <v>115163847.05689776</v>
      </c>
      <c r="F135" s="31">
        <f>VLOOKUP($A135,$A$4:$O$28,6,0)*(HLOOKUP(F$113,'2.2.Brecha Efectiva x UdM'!$H$25:$AK$32,4,0))</f>
        <v>5853734.1232223241</v>
      </c>
      <c r="G135" s="31">
        <f>VLOOKUP($A135,$A$4:$O$28,6,0)*(HLOOKUP(G$113,'2.2.Brecha Efectiva x UdM'!$H$25:$AK$32,4,0))</f>
        <v>3202705.6960188006</v>
      </c>
      <c r="H135" s="31">
        <f>VLOOKUP($A135,$A$4:$O$28,6,0)*(HLOOKUP(H$113,'2.2.Brecha Efectiva x UdM'!$H$25:$AK$32,4,0))</f>
        <v>0</v>
      </c>
      <c r="I135" s="31">
        <f>VLOOKUP($A135,$A$4:$O$28,6,0)*(HLOOKUP(I$113,'2.2.Brecha Efectiva x UdM'!$H$25:$AK$32,4,0))</f>
        <v>0</v>
      </c>
      <c r="J135" s="31">
        <f>VLOOKUP($A135,$A$4:$O$28,6,0)*(HLOOKUP(J$113,'2.2.Brecha Efectiva x UdM'!$H$25:$AK$32,4,0))</f>
        <v>0</v>
      </c>
      <c r="K135" s="31">
        <f>VLOOKUP($A135,$A$4:$O$28,6,0)*(HLOOKUP(K$113,'2.2.Brecha Efectiva x UdM'!$H$25:$AK$32,4,0))</f>
        <v>0</v>
      </c>
      <c r="L135" s="31">
        <f>VLOOKUP($A135,$A$4:$O$28,6,0)*(HLOOKUP(L$113,'2.2.Brecha Efectiva x UdM'!$H$25:$AK$32,4,0))</f>
        <v>0</v>
      </c>
      <c r="M135" s="31">
        <f>VLOOKUP($A135,$A$4:$O$28,6,0)*(HLOOKUP(M$113,'2.2.Brecha Efectiva x UdM'!$H$25:$AK$32,4,0))</f>
        <v>0</v>
      </c>
      <c r="N135" s="31">
        <f>VLOOKUP($A135,$A$4:$O$28,6,0)*(HLOOKUP(N$113,'2.2.Brecha Efectiva x UdM'!$H$25:$AK$32,4,0))</f>
        <v>0</v>
      </c>
      <c r="O135" s="31">
        <f>VLOOKUP($A135,$A$4:$O$28,6,0)*(HLOOKUP(O$113,'2.2.Brecha Efectiva x UdM'!$H$25:$AK$32,4,0))</f>
        <v>0</v>
      </c>
      <c r="P135" s="31">
        <f>VLOOKUP($A135,$A$4:$O$28,6,0)*(HLOOKUP(P$113,'2.2.Brecha Efectiva x UdM'!$H$25:$AK$32,4,0))</f>
        <v>0</v>
      </c>
      <c r="Q135" s="31">
        <f>VLOOKUP($A135,$A$4:$O$28,6,0)*(HLOOKUP(Q$113,'2.2.Brecha Efectiva x UdM'!$H$25:$AK$32,4,0))</f>
        <v>0</v>
      </c>
      <c r="R135" s="31">
        <f>VLOOKUP($A135,$A$4:$O$28,6,0)*(HLOOKUP(R$113,'2.2.Brecha Efectiva x UdM'!$H$25:$AK$32,4,0))</f>
        <v>0</v>
      </c>
      <c r="S135" s="31">
        <f>VLOOKUP($A135,$A$4:$O$28,6,0)*(HLOOKUP(S$113,'2.2.Brecha Efectiva x UdM'!$H$25:$AK$32,4,0))</f>
        <v>0</v>
      </c>
      <c r="T135" s="31">
        <f>VLOOKUP($A135,$A$4:$O$28,6,0)*(HLOOKUP(T$113,'2.2.Brecha Efectiva x UdM'!$H$25:$AK$32,4,0))</f>
        <v>0</v>
      </c>
      <c r="U135" s="31">
        <f>VLOOKUP($A135,$A$4:$O$28,6,0)*(HLOOKUP(U$113,'2.2.Brecha Efectiva x UdM'!$H$25:$AK$32,4,0))</f>
        <v>0</v>
      </c>
      <c r="V135" s="31">
        <f>VLOOKUP($A135,$A$4:$O$28,6,0)*(HLOOKUP(V$113,'2.2.Brecha Efectiva x UdM'!$H$25:$AK$32,4,0))</f>
        <v>0</v>
      </c>
      <c r="W135" s="31">
        <f>VLOOKUP($A135,$A$4:$O$28,6,0)*(HLOOKUP(W$113,'2.2.Brecha Efectiva x UdM'!$H$25:$AK$32,4,0))</f>
        <v>0</v>
      </c>
      <c r="X135" s="31">
        <f>VLOOKUP($A135,$A$4:$O$28,6,0)*(HLOOKUP(X$113,'2.2.Brecha Efectiva x UdM'!$H$25:$AK$32,4,0))</f>
        <v>0</v>
      </c>
      <c r="Y135" s="31">
        <f>VLOOKUP($A135,$A$4:$O$28,6,0)*(HLOOKUP(Y$113,'2.2.Brecha Efectiva x UdM'!$H$25:$AK$32,4,0))</f>
        <v>0</v>
      </c>
      <c r="Z135" s="31">
        <f>VLOOKUP($A135,$A$4:$O$28,6,0)*(HLOOKUP(Z$113,'2.2.Brecha Efectiva x UdM'!$H$25:$AK$32,4,0))</f>
        <v>0</v>
      </c>
      <c r="AA135" s="31">
        <f>VLOOKUP($A135,$A$4:$O$28,6,0)*(HLOOKUP(AA$113,'2.2.Brecha Efectiva x UdM'!$H$25:$AK$32,4,0))</f>
        <v>0</v>
      </c>
      <c r="AB135" s="31">
        <f>VLOOKUP($A135,$A$4:$O$28,6,0)*(HLOOKUP(AB$113,'2.2.Brecha Efectiva x UdM'!$H$25:$AK$32,4,0))</f>
        <v>0</v>
      </c>
      <c r="AC135" s="31">
        <f>VLOOKUP($A135,$A$4:$O$28,6,0)*(HLOOKUP(AC$113,'2.2.Brecha Efectiva x UdM'!$H$25:$AK$32,4,0))</f>
        <v>0</v>
      </c>
      <c r="AD135" s="31">
        <f>VLOOKUP($A135,$A$4:$O$28,6,0)*(HLOOKUP(AD$113,'2.2.Brecha Efectiva x UdM'!$H$25:$AK$32,4,0))</f>
        <v>0</v>
      </c>
      <c r="AE135" s="31">
        <f>VLOOKUP($A135,$A$4:$O$28,6,0)*(HLOOKUP(AE$113,'2.2.Brecha Efectiva x UdM'!$H$25:$AK$32,4,0))</f>
        <v>0</v>
      </c>
      <c r="AF135" s="31">
        <f>VLOOKUP($A135,$A$4:$O$28,6,0)*(HLOOKUP(AF$113,'2.2.Brecha Efectiva x UdM'!$H$25:$AK$32,4,0))</f>
        <v>0</v>
      </c>
      <c r="AG135" s="31">
        <f>VLOOKUP($A135,$A$4:$O$28,6,0)*(HLOOKUP(AG$113,'2.2.Brecha Efectiva x UdM'!$H$25:$AK$32,4,0))</f>
        <v>0</v>
      </c>
      <c r="AH135" s="63">
        <f t="shared" si="101"/>
        <v>141163240.52778792</v>
      </c>
    </row>
    <row r="136" spans="1:34" x14ac:dyDescent="0.2">
      <c r="A136" s="25" t="str">
        <f t="shared" si="98"/>
        <v>Tierra del Fuego</v>
      </c>
      <c r="B136" s="51" t="str">
        <f t="shared" si="99"/>
        <v>Nombre UdM 3</v>
      </c>
      <c r="C136" s="25" t="str">
        <f t="shared" si="100"/>
        <v>Tierra del Fuego Nombre UdM 3</v>
      </c>
      <c r="D136" s="32">
        <f>VLOOKUP($A136,$A$4:$O$28,6,0)*(HLOOKUP(D$113,'2.2.Brecha Efectiva x UdM'!$H$25:$AK$32,4,0))</f>
        <v>27229746.940150231</v>
      </c>
      <c r="E136" s="32">
        <f>VLOOKUP($A136,$A$4:$O$28,6,0)*(HLOOKUP(E$113,'2.2.Brecha Efectiva x UdM'!$H$25:$AK$32,4,0))</f>
        <v>185084754.19858569</v>
      </c>
      <c r="F136" s="32">
        <f>VLOOKUP($A136,$A$4:$O$28,6,0)*(HLOOKUP(F$113,'2.2.Brecha Efectiva x UdM'!$H$25:$AK$32,4,0))</f>
        <v>9407786.9837501645</v>
      </c>
      <c r="G136" s="32">
        <f>VLOOKUP($A136,$A$4:$O$28,6,0)*(HLOOKUP(G$113,'2.2.Brecha Efectiva x UdM'!$H$25:$AK$32,4,0))</f>
        <v>5147205.582887359</v>
      </c>
      <c r="H136" s="32">
        <f>VLOOKUP($A136,$A$4:$O$28,6,0)*(HLOOKUP(H$113,'2.2.Brecha Efectiva x UdM'!$H$25:$AK$32,4,0))</f>
        <v>0</v>
      </c>
      <c r="I136" s="32">
        <f>VLOOKUP($A136,$A$4:$O$28,6,0)*(HLOOKUP(I$113,'2.2.Brecha Efectiva x UdM'!$H$25:$AK$32,4,0))</f>
        <v>0</v>
      </c>
      <c r="J136" s="32">
        <f>VLOOKUP($A136,$A$4:$O$28,6,0)*(HLOOKUP(J$113,'2.2.Brecha Efectiva x UdM'!$H$25:$AK$32,4,0))</f>
        <v>0</v>
      </c>
      <c r="K136" s="32">
        <f>VLOOKUP($A136,$A$4:$O$28,6,0)*(HLOOKUP(K$113,'2.2.Brecha Efectiva x UdM'!$H$25:$AK$32,4,0))</f>
        <v>0</v>
      </c>
      <c r="L136" s="32">
        <f>VLOOKUP($A136,$A$4:$O$28,6,0)*(HLOOKUP(L$113,'2.2.Brecha Efectiva x UdM'!$H$25:$AK$32,4,0))</f>
        <v>0</v>
      </c>
      <c r="M136" s="32">
        <f>VLOOKUP($A136,$A$4:$O$28,6,0)*(HLOOKUP(M$113,'2.2.Brecha Efectiva x UdM'!$H$25:$AK$32,4,0))</f>
        <v>0</v>
      </c>
      <c r="N136" s="32">
        <f>VLOOKUP($A136,$A$4:$O$28,6,0)*(HLOOKUP(N$113,'2.2.Brecha Efectiva x UdM'!$H$25:$AK$32,4,0))</f>
        <v>0</v>
      </c>
      <c r="O136" s="32">
        <f>VLOOKUP($A136,$A$4:$O$28,6,0)*(HLOOKUP(O$113,'2.2.Brecha Efectiva x UdM'!$H$25:$AK$32,4,0))</f>
        <v>0</v>
      </c>
      <c r="P136" s="32">
        <f>VLOOKUP($A136,$A$4:$O$28,6,0)*(HLOOKUP(P$113,'2.2.Brecha Efectiva x UdM'!$H$25:$AK$32,4,0))</f>
        <v>0</v>
      </c>
      <c r="Q136" s="32">
        <f>VLOOKUP($A136,$A$4:$O$28,6,0)*(HLOOKUP(Q$113,'2.2.Brecha Efectiva x UdM'!$H$25:$AK$32,4,0))</f>
        <v>0</v>
      </c>
      <c r="R136" s="32">
        <f>VLOOKUP($A136,$A$4:$O$28,6,0)*(HLOOKUP(R$113,'2.2.Brecha Efectiva x UdM'!$H$25:$AK$32,4,0))</f>
        <v>0</v>
      </c>
      <c r="S136" s="32">
        <f>VLOOKUP($A136,$A$4:$O$28,6,0)*(HLOOKUP(S$113,'2.2.Brecha Efectiva x UdM'!$H$25:$AK$32,4,0))</f>
        <v>0</v>
      </c>
      <c r="T136" s="32">
        <f>VLOOKUP($A136,$A$4:$O$28,6,0)*(HLOOKUP(T$113,'2.2.Brecha Efectiva x UdM'!$H$25:$AK$32,4,0))</f>
        <v>0</v>
      </c>
      <c r="U136" s="32">
        <f>VLOOKUP($A136,$A$4:$O$28,6,0)*(HLOOKUP(U$113,'2.2.Brecha Efectiva x UdM'!$H$25:$AK$32,4,0))</f>
        <v>0</v>
      </c>
      <c r="V136" s="32">
        <f>VLOOKUP($A136,$A$4:$O$28,6,0)*(HLOOKUP(V$113,'2.2.Brecha Efectiva x UdM'!$H$25:$AK$32,4,0))</f>
        <v>0</v>
      </c>
      <c r="W136" s="32">
        <f>VLOOKUP($A136,$A$4:$O$28,6,0)*(HLOOKUP(W$113,'2.2.Brecha Efectiva x UdM'!$H$25:$AK$32,4,0))</f>
        <v>0</v>
      </c>
      <c r="X136" s="32">
        <f>VLOOKUP($A136,$A$4:$O$28,6,0)*(HLOOKUP(X$113,'2.2.Brecha Efectiva x UdM'!$H$25:$AK$32,4,0))</f>
        <v>0</v>
      </c>
      <c r="Y136" s="32">
        <f>VLOOKUP($A136,$A$4:$O$28,6,0)*(HLOOKUP(Y$113,'2.2.Brecha Efectiva x UdM'!$H$25:$AK$32,4,0))</f>
        <v>0</v>
      </c>
      <c r="Z136" s="32">
        <f>VLOOKUP($A136,$A$4:$O$28,6,0)*(HLOOKUP(Z$113,'2.2.Brecha Efectiva x UdM'!$H$25:$AK$32,4,0))</f>
        <v>0</v>
      </c>
      <c r="AA136" s="32">
        <f>VLOOKUP($A136,$A$4:$O$28,6,0)*(HLOOKUP(AA$113,'2.2.Brecha Efectiva x UdM'!$H$25:$AK$32,4,0))</f>
        <v>0</v>
      </c>
      <c r="AB136" s="32">
        <f>VLOOKUP($A136,$A$4:$O$28,6,0)*(HLOOKUP(AB$113,'2.2.Brecha Efectiva x UdM'!$H$25:$AK$32,4,0))</f>
        <v>0</v>
      </c>
      <c r="AC136" s="32">
        <f>VLOOKUP($A136,$A$4:$O$28,6,0)*(HLOOKUP(AC$113,'2.2.Brecha Efectiva x UdM'!$H$25:$AK$32,4,0))</f>
        <v>0</v>
      </c>
      <c r="AD136" s="32">
        <f>VLOOKUP($A136,$A$4:$O$28,6,0)*(HLOOKUP(AD$113,'2.2.Brecha Efectiva x UdM'!$H$25:$AK$32,4,0))</f>
        <v>0</v>
      </c>
      <c r="AE136" s="32">
        <f>VLOOKUP($A136,$A$4:$O$28,6,0)*(HLOOKUP(AE$113,'2.2.Brecha Efectiva x UdM'!$H$25:$AK$32,4,0))</f>
        <v>0</v>
      </c>
      <c r="AF136" s="32">
        <f>VLOOKUP($A136,$A$4:$O$28,6,0)*(HLOOKUP(AF$113,'2.2.Brecha Efectiva x UdM'!$H$25:$AK$32,4,0))</f>
        <v>0</v>
      </c>
      <c r="AG136" s="32">
        <f>VLOOKUP($A136,$A$4:$O$28,6,0)*(HLOOKUP(AG$113,'2.2.Brecha Efectiva x UdM'!$H$25:$AK$32,4,0))</f>
        <v>0</v>
      </c>
      <c r="AH136" s="62">
        <f t="shared" si="101"/>
        <v>226869493.70537344</v>
      </c>
    </row>
    <row r="137" spans="1:34" x14ac:dyDescent="0.2">
      <c r="A137" s="26" t="str">
        <f t="shared" si="98"/>
        <v>Tucumán</v>
      </c>
      <c r="B137" s="52" t="str">
        <f t="shared" si="99"/>
        <v>Nombre UdM 3</v>
      </c>
      <c r="C137" s="26" t="str">
        <f t="shared" si="100"/>
        <v>Tucumán Nombre UdM 3</v>
      </c>
      <c r="D137" s="31">
        <f>VLOOKUP($A137,$A$4:$O$28,6,0)*(HLOOKUP(D$113,'2.2.Brecha Efectiva x UdM'!$H$25:$AK$32,4,0))</f>
        <v>0</v>
      </c>
      <c r="E137" s="31">
        <f>VLOOKUP($A137,$A$4:$O$28,6,0)*(HLOOKUP(E$113,'2.2.Brecha Efectiva x UdM'!$H$25:$AK$32,4,0))</f>
        <v>0</v>
      </c>
      <c r="F137" s="31">
        <f>VLOOKUP($A137,$A$4:$O$28,6,0)*(HLOOKUP(F$113,'2.2.Brecha Efectiva x UdM'!$H$25:$AK$32,4,0))</f>
        <v>0</v>
      </c>
      <c r="G137" s="31">
        <f>VLOOKUP($A137,$A$4:$O$28,6,0)*(HLOOKUP(G$113,'2.2.Brecha Efectiva x UdM'!$H$25:$AK$32,4,0))</f>
        <v>0</v>
      </c>
      <c r="H137" s="31">
        <f>VLOOKUP($A137,$A$4:$O$28,6,0)*(HLOOKUP(H$113,'2.2.Brecha Efectiva x UdM'!$H$25:$AK$32,4,0))</f>
        <v>0</v>
      </c>
      <c r="I137" s="31">
        <f>VLOOKUP($A137,$A$4:$O$28,6,0)*(HLOOKUP(I$113,'2.2.Brecha Efectiva x UdM'!$H$25:$AK$32,4,0))</f>
        <v>0</v>
      </c>
      <c r="J137" s="31">
        <f>VLOOKUP($A137,$A$4:$O$28,6,0)*(HLOOKUP(J$113,'2.2.Brecha Efectiva x UdM'!$H$25:$AK$32,4,0))</f>
        <v>0</v>
      </c>
      <c r="K137" s="31">
        <f>VLOOKUP($A137,$A$4:$O$28,6,0)*(HLOOKUP(K$113,'2.2.Brecha Efectiva x UdM'!$H$25:$AK$32,4,0))</f>
        <v>0</v>
      </c>
      <c r="L137" s="31">
        <f>VLOOKUP($A137,$A$4:$O$28,6,0)*(HLOOKUP(L$113,'2.2.Brecha Efectiva x UdM'!$H$25:$AK$32,4,0))</f>
        <v>0</v>
      </c>
      <c r="M137" s="31">
        <f>VLOOKUP($A137,$A$4:$O$28,6,0)*(HLOOKUP(M$113,'2.2.Brecha Efectiva x UdM'!$H$25:$AK$32,4,0))</f>
        <v>0</v>
      </c>
      <c r="N137" s="31">
        <f>VLOOKUP($A137,$A$4:$O$28,6,0)*(HLOOKUP(N$113,'2.2.Brecha Efectiva x UdM'!$H$25:$AK$32,4,0))</f>
        <v>0</v>
      </c>
      <c r="O137" s="31">
        <f>VLOOKUP($A137,$A$4:$O$28,6,0)*(HLOOKUP(O$113,'2.2.Brecha Efectiva x UdM'!$H$25:$AK$32,4,0))</f>
        <v>0</v>
      </c>
      <c r="P137" s="31">
        <f>VLOOKUP($A137,$A$4:$O$28,6,0)*(HLOOKUP(P$113,'2.2.Brecha Efectiva x UdM'!$H$25:$AK$32,4,0))</f>
        <v>0</v>
      </c>
      <c r="Q137" s="31">
        <f>VLOOKUP($A137,$A$4:$O$28,6,0)*(HLOOKUP(Q$113,'2.2.Brecha Efectiva x UdM'!$H$25:$AK$32,4,0))</f>
        <v>0</v>
      </c>
      <c r="R137" s="31">
        <f>VLOOKUP($A137,$A$4:$O$28,6,0)*(HLOOKUP(R$113,'2.2.Brecha Efectiva x UdM'!$H$25:$AK$32,4,0))</f>
        <v>0</v>
      </c>
      <c r="S137" s="31">
        <f>VLOOKUP($A137,$A$4:$O$28,6,0)*(HLOOKUP(S$113,'2.2.Brecha Efectiva x UdM'!$H$25:$AK$32,4,0))</f>
        <v>0</v>
      </c>
      <c r="T137" s="31">
        <f>VLOOKUP($A137,$A$4:$O$28,6,0)*(HLOOKUP(T$113,'2.2.Brecha Efectiva x UdM'!$H$25:$AK$32,4,0))</f>
        <v>0</v>
      </c>
      <c r="U137" s="31">
        <f>VLOOKUP($A137,$A$4:$O$28,6,0)*(HLOOKUP(U$113,'2.2.Brecha Efectiva x UdM'!$H$25:$AK$32,4,0))</f>
        <v>0</v>
      </c>
      <c r="V137" s="31">
        <f>VLOOKUP($A137,$A$4:$O$28,6,0)*(HLOOKUP(V$113,'2.2.Brecha Efectiva x UdM'!$H$25:$AK$32,4,0))</f>
        <v>0</v>
      </c>
      <c r="W137" s="31">
        <f>VLOOKUP($A137,$A$4:$O$28,6,0)*(HLOOKUP(W$113,'2.2.Brecha Efectiva x UdM'!$H$25:$AK$32,4,0))</f>
        <v>0</v>
      </c>
      <c r="X137" s="31">
        <f>VLOOKUP($A137,$A$4:$O$28,6,0)*(HLOOKUP(X$113,'2.2.Brecha Efectiva x UdM'!$H$25:$AK$32,4,0))</f>
        <v>0</v>
      </c>
      <c r="Y137" s="31">
        <f>VLOOKUP($A137,$A$4:$O$28,6,0)*(HLOOKUP(Y$113,'2.2.Brecha Efectiva x UdM'!$H$25:$AK$32,4,0))</f>
        <v>0</v>
      </c>
      <c r="Z137" s="31">
        <f>VLOOKUP($A137,$A$4:$O$28,6,0)*(HLOOKUP(Z$113,'2.2.Brecha Efectiva x UdM'!$H$25:$AK$32,4,0))</f>
        <v>0</v>
      </c>
      <c r="AA137" s="31">
        <f>VLOOKUP($A137,$A$4:$O$28,6,0)*(HLOOKUP(AA$113,'2.2.Brecha Efectiva x UdM'!$H$25:$AK$32,4,0))</f>
        <v>0</v>
      </c>
      <c r="AB137" s="31">
        <f>VLOOKUP($A137,$A$4:$O$28,6,0)*(HLOOKUP(AB$113,'2.2.Brecha Efectiva x UdM'!$H$25:$AK$32,4,0))</f>
        <v>0</v>
      </c>
      <c r="AC137" s="31">
        <f>VLOOKUP($A137,$A$4:$O$28,6,0)*(HLOOKUP(AC$113,'2.2.Brecha Efectiva x UdM'!$H$25:$AK$32,4,0))</f>
        <v>0</v>
      </c>
      <c r="AD137" s="31">
        <f>VLOOKUP($A137,$A$4:$O$28,6,0)*(HLOOKUP(AD$113,'2.2.Brecha Efectiva x UdM'!$H$25:$AK$32,4,0))</f>
        <v>0</v>
      </c>
      <c r="AE137" s="31">
        <f>VLOOKUP($A137,$A$4:$O$28,6,0)*(HLOOKUP(AE$113,'2.2.Brecha Efectiva x UdM'!$H$25:$AK$32,4,0))</f>
        <v>0</v>
      </c>
      <c r="AF137" s="31">
        <f>VLOOKUP($A137,$A$4:$O$28,6,0)*(HLOOKUP(AF$113,'2.2.Brecha Efectiva x UdM'!$H$25:$AK$32,4,0))</f>
        <v>0</v>
      </c>
      <c r="AG137" s="31">
        <f>VLOOKUP($A137,$A$4:$O$28,6,0)*(HLOOKUP(AG$113,'2.2.Brecha Efectiva x UdM'!$H$25:$AK$32,4,0))</f>
        <v>0</v>
      </c>
      <c r="AH137" s="63">
        <f t="shared" si="101"/>
        <v>0</v>
      </c>
    </row>
    <row r="138" spans="1:34" x14ac:dyDescent="0.2">
      <c r="A138" s="34" t="str">
        <f>CONCATENATE("Total"," ",B114)</f>
        <v>Total Nombre UdM 3</v>
      </c>
      <c r="B138" s="29"/>
      <c r="C138" s="13"/>
      <c r="D138" s="13">
        <f>SUM(D114:D137)</f>
        <v>908755943.47322524</v>
      </c>
      <c r="E138" s="13">
        <f t="shared" ref="E138" si="102">SUM(E114:E137)</f>
        <v>6176953123.873497</v>
      </c>
      <c r="F138" s="13">
        <f t="shared" ref="F138" si="103">SUM(F114:F137)</f>
        <v>313972155.34922791</v>
      </c>
      <c r="G138" s="13">
        <f t="shared" ref="G138" si="104">SUM(G114:G137)</f>
        <v>171781018.60470864</v>
      </c>
      <c r="H138" s="13">
        <f t="shared" ref="H138" si="105">SUM(H114:H137)</f>
        <v>0</v>
      </c>
      <c r="I138" s="13">
        <f t="shared" ref="I138" si="106">SUM(I114:I137)</f>
        <v>0</v>
      </c>
      <c r="J138" s="13">
        <f t="shared" ref="J138" si="107">SUM(J114:J137)</f>
        <v>0</v>
      </c>
      <c r="K138" s="13">
        <f t="shared" ref="K138" si="108">SUM(K114:K137)</f>
        <v>0</v>
      </c>
      <c r="L138" s="13">
        <f t="shared" ref="L138" si="109">SUM(L114:L137)</f>
        <v>0</v>
      </c>
      <c r="M138" s="13">
        <f t="shared" ref="M138" si="110">SUM(M114:M137)</f>
        <v>0</v>
      </c>
      <c r="N138" s="13">
        <f t="shared" ref="N138" si="111">SUM(N114:N137)</f>
        <v>0</v>
      </c>
      <c r="O138" s="13">
        <f t="shared" ref="O138" si="112">SUM(O114:O137)</f>
        <v>0</v>
      </c>
      <c r="P138" s="13">
        <f t="shared" ref="P138" si="113">SUM(P114:P137)</f>
        <v>0</v>
      </c>
      <c r="Q138" s="13">
        <f t="shared" ref="Q138" si="114">SUM(Q114:Q137)</f>
        <v>0</v>
      </c>
      <c r="R138" s="13">
        <f t="shared" ref="R138" si="115">SUM(R114:R137)</f>
        <v>0</v>
      </c>
      <c r="S138" s="13">
        <f t="shared" ref="S138" si="116">SUM(S114:S137)</f>
        <v>0</v>
      </c>
      <c r="T138" s="13">
        <f t="shared" ref="T138" si="117">SUM(T114:T137)</f>
        <v>0</v>
      </c>
      <c r="U138" s="13">
        <f t="shared" ref="U138" si="118">SUM(U114:U137)</f>
        <v>0</v>
      </c>
      <c r="V138" s="13">
        <f t="shared" ref="V138" si="119">SUM(V114:V137)</f>
        <v>0</v>
      </c>
      <c r="W138" s="13">
        <f t="shared" ref="W138" si="120">SUM(W114:W137)</f>
        <v>0</v>
      </c>
      <c r="X138" s="13">
        <f t="shared" ref="X138" si="121">SUM(X114:X137)</f>
        <v>0</v>
      </c>
      <c r="Y138" s="13">
        <f t="shared" ref="Y138" si="122">SUM(Y114:Y137)</f>
        <v>0</v>
      </c>
      <c r="Z138" s="13">
        <f t="shared" ref="Z138" si="123">SUM(Z114:Z137)</f>
        <v>0</v>
      </c>
      <c r="AA138" s="13">
        <f t="shared" ref="AA138" si="124">SUM(AA114:AA137)</f>
        <v>0</v>
      </c>
      <c r="AB138" s="13">
        <f t="shared" ref="AB138" si="125">SUM(AB114:AB137)</f>
        <v>0</v>
      </c>
      <c r="AC138" s="13">
        <f t="shared" ref="AC138" si="126">SUM(AC114:AC137)</f>
        <v>0</v>
      </c>
      <c r="AD138" s="13">
        <f t="shared" ref="AD138" si="127">SUM(AD114:AD137)</f>
        <v>0</v>
      </c>
      <c r="AE138" s="13">
        <f t="shared" ref="AE138" si="128">SUM(AE114:AE137)</f>
        <v>0</v>
      </c>
      <c r="AF138" s="13">
        <f t="shared" ref="AF138" si="129">SUM(AF114:AF137)</f>
        <v>0</v>
      </c>
      <c r="AG138" s="13">
        <f t="shared" ref="AG138" si="130">SUM(AG114:AG137)</f>
        <v>0</v>
      </c>
      <c r="AH138" s="13">
        <f t="shared" si="101"/>
        <v>7571462241.3006592</v>
      </c>
    </row>
    <row r="139" spans="1:34" x14ac:dyDescent="0.2">
      <c r="A139" s="34" t="str">
        <f>CONCATENATE("Total Acumulado"," ",B114)</f>
        <v>Total Acumulado Nombre UdM 3</v>
      </c>
      <c r="B139" s="29"/>
      <c r="C139" s="13"/>
      <c r="D139" s="13">
        <f>D138</f>
        <v>908755943.47322524</v>
      </c>
      <c r="E139" s="13">
        <f>E138+D139</f>
        <v>7085709067.3467226</v>
      </c>
      <c r="F139" s="13">
        <f t="shared" ref="F139" si="131">F138+E139</f>
        <v>7399681222.6959505</v>
      </c>
      <c r="G139" s="13">
        <f t="shared" ref="G139" si="132">G138+F139</f>
        <v>7571462241.3006592</v>
      </c>
      <c r="H139" s="13">
        <f t="shared" ref="H139" si="133">H138+G139</f>
        <v>7571462241.3006592</v>
      </c>
      <c r="I139" s="13">
        <f t="shared" ref="I139" si="134">I138+H139</f>
        <v>7571462241.3006592</v>
      </c>
      <c r="J139" s="13">
        <f t="shared" ref="J139" si="135">J138+I139</f>
        <v>7571462241.3006592</v>
      </c>
      <c r="K139" s="13">
        <f t="shared" ref="K139" si="136">K138+J139</f>
        <v>7571462241.3006592</v>
      </c>
      <c r="L139" s="13">
        <f t="shared" ref="L139" si="137">L138+K139</f>
        <v>7571462241.3006592</v>
      </c>
      <c r="M139" s="13">
        <f t="shared" ref="M139" si="138">M138+L139</f>
        <v>7571462241.3006592</v>
      </c>
      <c r="N139" s="13">
        <f t="shared" ref="N139" si="139">N138+M139</f>
        <v>7571462241.3006592</v>
      </c>
      <c r="O139" s="13">
        <f t="shared" ref="O139" si="140">O138+N139</f>
        <v>7571462241.3006592</v>
      </c>
      <c r="P139" s="13">
        <f t="shared" ref="P139" si="141">P138+O139</f>
        <v>7571462241.3006592</v>
      </c>
      <c r="Q139" s="13">
        <f t="shared" ref="Q139" si="142">Q138+P139</f>
        <v>7571462241.3006592</v>
      </c>
      <c r="R139" s="13">
        <f t="shared" ref="R139" si="143">R138+Q139</f>
        <v>7571462241.3006592</v>
      </c>
      <c r="S139" s="13">
        <f t="shared" ref="S139" si="144">S138+R139</f>
        <v>7571462241.3006592</v>
      </c>
      <c r="T139" s="13">
        <f t="shared" ref="T139" si="145">T138+S139</f>
        <v>7571462241.3006592</v>
      </c>
      <c r="U139" s="13">
        <f t="shared" ref="U139" si="146">U138+T139</f>
        <v>7571462241.3006592</v>
      </c>
      <c r="V139" s="13">
        <f t="shared" ref="V139" si="147">V138+U139</f>
        <v>7571462241.3006592</v>
      </c>
      <c r="W139" s="13">
        <f t="shared" ref="W139" si="148">W138+V139</f>
        <v>7571462241.3006592</v>
      </c>
      <c r="X139" s="13">
        <f t="shared" ref="X139" si="149">X138+W139</f>
        <v>7571462241.3006592</v>
      </c>
      <c r="Y139" s="13">
        <f t="shared" ref="Y139" si="150">Y138+X139</f>
        <v>7571462241.3006592</v>
      </c>
      <c r="Z139" s="13">
        <f t="shared" ref="Z139" si="151">Z138+Y139</f>
        <v>7571462241.3006592</v>
      </c>
      <c r="AA139" s="13">
        <f t="shared" ref="AA139" si="152">AA138+Z139</f>
        <v>7571462241.3006592</v>
      </c>
      <c r="AB139" s="13">
        <f t="shared" ref="AB139" si="153">AB138+AA139</f>
        <v>7571462241.3006592</v>
      </c>
      <c r="AC139" s="13">
        <f t="shared" ref="AC139" si="154">AC138+AB139</f>
        <v>7571462241.3006592</v>
      </c>
      <c r="AD139" s="13">
        <f t="shared" ref="AD139" si="155">AD138+AC139</f>
        <v>7571462241.3006592</v>
      </c>
      <c r="AE139" s="13">
        <f t="shared" ref="AE139" si="156">AE138+AD139</f>
        <v>7571462241.3006592</v>
      </c>
      <c r="AF139" s="13">
        <f t="shared" ref="AF139" si="157">AF138+AE139</f>
        <v>7571462241.3006592</v>
      </c>
      <c r="AG139" s="13">
        <f t="shared" ref="AG139" si="158">AG138+AF139</f>
        <v>7571462241.3006592</v>
      </c>
    </row>
    <row r="141" spans="1:34" x14ac:dyDescent="0.2">
      <c r="A141" s="33" t="s">
        <v>41</v>
      </c>
      <c r="D141" t="b">
        <f>D138='2.2.Brecha Efectiva x UdM'!H28</f>
        <v>1</v>
      </c>
      <c r="E141" t="b">
        <f>E138='2.2.Brecha Efectiva x UdM'!I28</f>
        <v>1</v>
      </c>
      <c r="F141" t="b">
        <f>F138='2.2.Brecha Efectiva x UdM'!J28</f>
        <v>1</v>
      </c>
      <c r="G141" t="b">
        <f>ROUND(G138,0)=ROUND('2.2.Brecha Efectiva x UdM'!K28,0)</f>
        <v>1</v>
      </c>
    </row>
    <row r="142" spans="1:34" x14ac:dyDescent="0.2">
      <c r="G142" t="b">
        <f>AG139=SUM('2.2.Brecha Efectiva x UdM'!H28:AK28)</f>
        <v>1</v>
      </c>
    </row>
    <row r="143" spans="1:34" x14ac:dyDescent="0.2">
      <c r="A143" s="33" t="s">
        <v>67</v>
      </c>
    </row>
    <row r="144" spans="1:34" hidden="1" x14ac:dyDescent="0.2">
      <c r="A144" s="46" t="s">
        <v>62</v>
      </c>
    </row>
    <row r="145" spans="1:34" hidden="1" x14ac:dyDescent="0.2"/>
    <row r="146" spans="1:34" hidden="1" x14ac:dyDescent="0.2">
      <c r="A146" s="24" t="s">
        <v>18</v>
      </c>
      <c r="B146" s="24" t="s">
        <v>42</v>
      </c>
      <c r="C146" s="24" t="s">
        <v>43</v>
      </c>
      <c r="D146" s="6">
        <v>2024</v>
      </c>
      <c r="E146" s="6">
        <v>2025</v>
      </c>
      <c r="F146" s="6">
        <v>2026</v>
      </c>
      <c r="G146" s="6">
        <v>2027</v>
      </c>
      <c r="H146" s="6">
        <v>2028</v>
      </c>
      <c r="I146" s="6">
        <v>2029</v>
      </c>
      <c r="J146" s="6">
        <v>2030</v>
      </c>
      <c r="K146" s="6">
        <v>2031</v>
      </c>
      <c r="L146" s="6">
        <v>2032</v>
      </c>
      <c r="M146" s="6">
        <v>2033</v>
      </c>
      <c r="N146" s="50">
        <v>2034</v>
      </c>
      <c r="O146" s="50">
        <v>2035</v>
      </c>
      <c r="P146" s="50">
        <v>2036</v>
      </c>
      <c r="Q146" s="50">
        <v>2037</v>
      </c>
      <c r="R146" s="50">
        <v>2038</v>
      </c>
      <c r="S146" s="50">
        <v>2039</v>
      </c>
      <c r="T146" s="50">
        <v>2040</v>
      </c>
      <c r="U146" s="50">
        <v>2041</v>
      </c>
      <c r="V146" s="50">
        <v>2042</v>
      </c>
      <c r="W146" s="50">
        <v>2043</v>
      </c>
      <c r="X146" s="50">
        <v>2044</v>
      </c>
      <c r="Y146" s="50">
        <v>2045</v>
      </c>
      <c r="Z146" s="50">
        <v>2046</v>
      </c>
      <c r="AA146" s="50">
        <v>2047</v>
      </c>
      <c r="AB146" s="50">
        <v>2048</v>
      </c>
      <c r="AC146" s="50">
        <v>2049</v>
      </c>
      <c r="AD146" s="50">
        <v>2050</v>
      </c>
      <c r="AE146" s="50">
        <v>2051</v>
      </c>
      <c r="AF146" s="50">
        <v>2052</v>
      </c>
      <c r="AG146" s="50">
        <v>2053</v>
      </c>
      <c r="AH146" s="6" t="s">
        <v>1</v>
      </c>
    </row>
    <row r="147" spans="1:34" hidden="1" x14ac:dyDescent="0.2">
      <c r="A147" s="25" t="str">
        <f>A4</f>
        <v>Buenos Aires</v>
      </c>
      <c r="B147" s="51">
        <f>$I$3</f>
        <v>0</v>
      </c>
      <c r="C147" s="25" t="str">
        <f>CONCATENATE(A147," ",B147)</f>
        <v>Buenos Aires 0</v>
      </c>
      <c r="D147" s="32">
        <f>VLOOKUP($A147,$A$4:$O$28,8,0)*(HLOOKUP(D$146,'2.2.Brecha Efectiva x UdM'!$H$25:$AK$32,5,0))</f>
        <v>0</v>
      </c>
      <c r="E147" s="32">
        <f>VLOOKUP($A147,$A$4:$O$28,8,0)*(HLOOKUP(E$146,'2.2.Brecha Efectiva x UdM'!$H$25:$AK$32,5,0))</f>
        <v>0</v>
      </c>
      <c r="F147" s="32">
        <f>VLOOKUP($A147,$A$4:$O$28,8,0)*(HLOOKUP(F$146,'2.2.Brecha Efectiva x UdM'!$H$25:$AK$32,5,0))</f>
        <v>0</v>
      </c>
      <c r="G147" s="32">
        <f>VLOOKUP($A147,$A$4:$O$28,8,0)*(HLOOKUP(G$146,'2.2.Brecha Efectiva x UdM'!$H$25:$AK$32,5,0))</f>
        <v>0</v>
      </c>
      <c r="H147" s="32">
        <f>VLOOKUP($A147,$A$4:$O$28,8,0)*(HLOOKUP(H$146,'2.2.Brecha Efectiva x UdM'!$H$25:$AK$32,5,0))</f>
        <v>0</v>
      </c>
      <c r="I147" s="32">
        <f>VLOOKUP($A147,$A$4:$O$28,8,0)*(HLOOKUP(I$146,'2.2.Brecha Efectiva x UdM'!$H$25:$AK$32,5,0))</f>
        <v>0</v>
      </c>
      <c r="J147" s="32">
        <f>VLOOKUP($A147,$A$4:$O$28,8,0)*(HLOOKUP(J$146,'2.2.Brecha Efectiva x UdM'!$H$25:$AK$32,5,0))</f>
        <v>0</v>
      </c>
      <c r="K147" s="32">
        <f>VLOOKUP($A147,$A$4:$O$28,8,0)*(HLOOKUP(K$146,'2.2.Brecha Efectiva x UdM'!$H$25:$AK$32,5,0))</f>
        <v>0</v>
      </c>
      <c r="L147" s="32">
        <f>VLOOKUP($A147,$A$4:$O$28,8,0)*(HLOOKUP(L$146,'2.2.Brecha Efectiva x UdM'!$H$25:$AK$32,5,0))</f>
        <v>0</v>
      </c>
      <c r="M147" s="32">
        <f>VLOOKUP($A147,$A$4:$O$28,8,0)*(HLOOKUP(M$146,'2.2.Brecha Efectiva x UdM'!$H$25:$AK$32,5,0))</f>
        <v>0</v>
      </c>
      <c r="N147" s="32">
        <f>VLOOKUP($A147,$A$4:$O$28,8,0)*(HLOOKUP(N$146,'2.2.Brecha Efectiva x UdM'!$H$25:$AK$32,5,0))</f>
        <v>0</v>
      </c>
      <c r="O147" s="32">
        <f>VLOOKUP($A147,$A$4:$O$28,8,0)*(HLOOKUP(O$146,'2.2.Brecha Efectiva x UdM'!$H$25:$AK$32,5,0))</f>
        <v>0</v>
      </c>
      <c r="P147" s="32">
        <f>VLOOKUP($A147,$A$4:$O$28,8,0)*(HLOOKUP(P$146,'2.2.Brecha Efectiva x UdM'!$H$25:$AK$32,5,0))</f>
        <v>0</v>
      </c>
      <c r="Q147" s="32">
        <f>VLOOKUP($A147,$A$4:$O$28,8,0)*(HLOOKUP(Q$146,'2.2.Brecha Efectiva x UdM'!$H$25:$AK$32,5,0))</f>
        <v>0</v>
      </c>
      <c r="R147" s="32">
        <f>VLOOKUP($A147,$A$4:$O$28,8,0)*(HLOOKUP(R$146,'2.2.Brecha Efectiva x UdM'!$H$25:$AK$32,5,0))</f>
        <v>0</v>
      </c>
      <c r="S147" s="32">
        <f>VLOOKUP($A147,$A$4:$O$28,8,0)*(HLOOKUP(S$146,'2.2.Brecha Efectiva x UdM'!$H$25:$AK$32,5,0))</f>
        <v>0</v>
      </c>
      <c r="T147" s="32">
        <f>VLOOKUP($A147,$A$4:$O$28,8,0)*(HLOOKUP(T$146,'2.2.Brecha Efectiva x UdM'!$H$25:$AK$32,5,0))</f>
        <v>0</v>
      </c>
      <c r="U147" s="32">
        <f>VLOOKUP($A147,$A$4:$O$28,8,0)*(HLOOKUP(U$146,'2.2.Brecha Efectiva x UdM'!$H$25:$AK$32,5,0))</f>
        <v>0</v>
      </c>
      <c r="V147" s="32">
        <f>VLOOKUP($A147,$A$4:$O$28,8,0)*(HLOOKUP(V$146,'2.2.Brecha Efectiva x UdM'!$H$25:$AK$32,5,0))</f>
        <v>0</v>
      </c>
      <c r="W147" s="32">
        <f>VLOOKUP($A147,$A$4:$O$28,8,0)*(HLOOKUP(W$146,'2.2.Brecha Efectiva x UdM'!$H$25:$AK$32,5,0))</f>
        <v>0</v>
      </c>
      <c r="X147" s="32">
        <f>VLOOKUP($A147,$A$4:$O$28,8,0)*(HLOOKUP(X$146,'2.2.Brecha Efectiva x UdM'!$H$25:$AK$32,5,0))</f>
        <v>0</v>
      </c>
      <c r="Y147" s="32">
        <f>VLOOKUP($A147,$A$4:$O$28,8,0)*(HLOOKUP(Y$146,'2.2.Brecha Efectiva x UdM'!$H$25:$AK$32,5,0))</f>
        <v>0</v>
      </c>
      <c r="Z147" s="32">
        <f>VLOOKUP($A147,$A$4:$O$28,8,0)*(HLOOKUP(Z$146,'2.2.Brecha Efectiva x UdM'!$H$25:$AK$32,5,0))</f>
        <v>0</v>
      </c>
      <c r="AA147" s="32">
        <f>VLOOKUP($A147,$A$4:$O$28,8,0)*(HLOOKUP(AA$146,'2.2.Brecha Efectiva x UdM'!$H$25:$AK$32,5,0))</f>
        <v>0</v>
      </c>
      <c r="AB147" s="32">
        <f>VLOOKUP($A147,$A$4:$O$28,8,0)*(HLOOKUP(AB$146,'2.2.Brecha Efectiva x UdM'!$H$25:$AK$32,5,0))</f>
        <v>0</v>
      </c>
      <c r="AC147" s="32">
        <f>VLOOKUP($A147,$A$4:$O$28,8,0)*(HLOOKUP(AC$146,'2.2.Brecha Efectiva x UdM'!$H$25:$AK$32,5,0))</f>
        <v>0</v>
      </c>
      <c r="AD147" s="32">
        <f>VLOOKUP($A147,$A$4:$O$28,8,0)*(HLOOKUP(AD$146,'2.2.Brecha Efectiva x UdM'!$H$25:$AK$32,5,0))</f>
        <v>0</v>
      </c>
      <c r="AE147" s="32">
        <f>VLOOKUP($A147,$A$4:$O$28,8,0)*(HLOOKUP(AE$146,'2.2.Brecha Efectiva x UdM'!$H$25:$AK$32,5,0))</f>
        <v>0</v>
      </c>
      <c r="AF147" s="32">
        <f>VLOOKUP($A147,$A$4:$O$28,8,0)*(HLOOKUP(AF$146,'2.2.Brecha Efectiva x UdM'!$H$25:$AK$32,5,0))</f>
        <v>0</v>
      </c>
      <c r="AG147" s="32">
        <f>VLOOKUP($A147,$A$4:$O$28,8,0)*(HLOOKUP(AG$146,'2.2.Brecha Efectiva x UdM'!$H$25:$AK$32,5,0))</f>
        <v>0</v>
      </c>
      <c r="AH147" s="62">
        <f>SUM(D147:AG147)</f>
        <v>0</v>
      </c>
    </row>
    <row r="148" spans="1:34" hidden="1" x14ac:dyDescent="0.2">
      <c r="A148" s="26" t="str">
        <f t="shared" ref="A148:A170" si="159">A5</f>
        <v>CABA</v>
      </c>
      <c r="B148" s="52">
        <f t="shared" ref="B148:B170" si="160">$I$3</f>
        <v>0</v>
      </c>
      <c r="C148" s="26" t="str">
        <f t="shared" ref="C148:C170" si="161">CONCATENATE(A148," ",B148)</f>
        <v>CABA 0</v>
      </c>
      <c r="D148" s="31">
        <f>VLOOKUP($A148,$A$4:$O$28,8,0)*(HLOOKUP(D$146,'2.2.Brecha Efectiva x UdM'!$H$25:$AK$32,5,0))</f>
        <v>0</v>
      </c>
      <c r="E148" s="31">
        <f>VLOOKUP($A148,$A$4:$O$28,8,0)*(HLOOKUP(E$146,'2.2.Brecha Efectiva x UdM'!$H$25:$AK$32,5,0))</f>
        <v>0</v>
      </c>
      <c r="F148" s="31">
        <f>VLOOKUP($A148,$A$4:$O$28,8,0)*(HLOOKUP(F$146,'2.2.Brecha Efectiva x UdM'!$H$25:$AK$32,5,0))</f>
        <v>0</v>
      </c>
      <c r="G148" s="31">
        <f>VLOOKUP($A148,$A$4:$O$28,8,0)*(HLOOKUP(G$146,'2.2.Brecha Efectiva x UdM'!$H$25:$AK$32,5,0))</f>
        <v>0</v>
      </c>
      <c r="H148" s="31">
        <f>VLOOKUP($A148,$A$4:$O$28,8,0)*(HLOOKUP(H$146,'2.2.Brecha Efectiva x UdM'!$H$25:$AK$32,5,0))</f>
        <v>0</v>
      </c>
      <c r="I148" s="31">
        <f>VLOOKUP($A148,$A$4:$O$28,8,0)*(HLOOKUP(I$146,'2.2.Brecha Efectiva x UdM'!$H$25:$AK$32,5,0))</f>
        <v>0</v>
      </c>
      <c r="J148" s="31">
        <f>VLOOKUP($A148,$A$4:$O$28,8,0)*(HLOOKUP(J$146,'2.2.Brecha Efectiva x UdM'!$H$25:$AK$32,5,0))</f>
        <v>0</v>
      </c>
      <c r="K148" s="31">
        <f>VLOOKUP($A148,$A$4:$O$28,8,0)*(HLOOKUP(K$146,'2.2.Brecha Efectiva x UdM'!$H$25:$AK$32,5,0))</f>
        <v>0</v>
      </c>
      <c r="L148" s="31">
        <f>VLOOKUP($A148,$A$4:$O$28,8,0)*(HLOOKUP(L$146,'2.2.Brecha Efectiva x UdM'!$H$25:$AK$32,5,0))</f>
        <v>0</v>
      </c>
      <c r="M148" s="31">
        <f>VLOOKUP($A148,$A$4:$O$28,8,0)*(HLOOKUP(M$146,'2.2.Brecha Efectiva x UdM'!$H$25:$AK$32,5,0))</f>
        <v>0</v>
      </c>
      <c r="N148" s="31">
        <f>VLOOKUP($A148,$A$4:$O$28,8,0)*(HLOOKUP(N$146,'2.2.Brecha Efectiva x UdM'!$H$25:$AK$32,5,0))</f>
        <v>0</v>
      </c>
      <c r="O148" s="31">
        <f>VLOOKUP($A148,$A$4:$O$28,8,0)*(HLOOKUP(O$146,'2.2.Brecha Efectiva x UdM'!$H$25:$AK$32,5,0))</f>
        <v>0</v>
      </c>
      <c r="P148" s="31">
        <f>VLOOKUP($A148,$A$4:$O$28,8,0)*(HLOOKUP(P$146,'2.2.Brecha Efectiva x UdM'!$H$25:$AK$32,5,0))</f>
        <v>0</v>
      </c>
      <c r="Q148" s="31">
        <f>VLOOKUP($A148,$A$4:$O$28,8,0)*(HLOOKUP(Q$146,'2.2.Brecha Efectiva x UdM'!$H$25:$AK$32,5,0))</f>
        <v>0</v>
      </c>
      <c r="R148" s="31">
        <f>VLOOKUP($A148,$A$4:$O$28,8,0)*(HLOOKUP(R$146,'2.2.Brecha Efectiva x UdM'!$H$25:$AK$32,5,0))</f>
        <v>0</v>
      </c>
      <c r="S148" s="31">
        <f>VLOOKUP($A148,$A$4:$O$28,8,0)*(HLOOKUP(S$146,'2.2.Brecha Efectiva x UdM'!$H$25:$AK$32,5,0))</f>
        <v>0</v>
      </c>
      <c r="T148" s="31">
        <f>VLOOKUP($A148,$A$4:$O$28,8,0)*(HLOOKUP(T$146,'2.2.Brecha Efectiva x UdM'!$H$25:$AK$32,5,0))</f>
        <v>0</v>
      </c>
      <c r="U148" s="31">
        <f>VLOOKUP($A148,$A$4:$O$28,8,0)*(HLOOKUP(U$146,'2.2.Brecha Efectiva x UdM'!$H$25:$AK$32,5,0))</f>
        <v>0</v>
      </c>
      <c r="V148" s="31">
        <f>VLOOKUP($A148,$A$4:$O$28,8,0)*(HLOOKUP(V$146,'2.2.Brecha Efectiva x UdM'!$H$25:$AK$32,5,0))</f>
        <v>0</v>
      </c>
      <c r="W148" s="31">
        <f>VLOOKUP($A148,$A$4:$O$28,8,0)*(HLOOKUP(W$146,'2.2.Brecha Efectiva x UdM'!$H$25:$AK$32,5,0))</f>
        <v>0</v>
      </c>
      <c r="X148" s="31">
        <f>VLOOKUP($A148,$A$4:$O$28,8,0)*(HLOOKUP(X$146,'2.2.Brecha Efectiva x UdM'!$H$25:$AK$32,5,0))</f>
        <v>0</v>
      </c>
      <c r="Y148" s="31">
        <f>VLOOKUP($A148,$A$4:$O$28,8,0)*(HLOOKUP(Y$146,'2.2.Brecha Efectiva x UdM'!$H$25:$AK$32,5,0))</f>
        <v>0</v>
      </c>
      <c r="Z148" s="31">
        <f>VLOOKUP($A148,$A$4:$O$28,8,0)*(HLOOKUP(Z$146,'2.2.Brecha Efectiva x UdM'!$H$25:$AK$32,5,0))</f>
        <v>0</v>
      </c>
      <c r="AA148" s="31">
        <f>VLOOKUP($A148,$A$4:$O$28,8,0)*(HLOOKUP(AA$146,'2.2.Brecha Efectiva x UdM'!$H$25:$AK$32,5,0))</f>
        <v>0</v>
      </c>
      <c r="AB148" s="31">
        <f>VLOOKUP($A148,$A$4:$O$28,8,0)*(HLOOKUP(AB$146,'2.2.Brecha Efectiva x UdM'!$H$25:$AK$32,5,0))</f>
        <v>0</v>
      </c>
      <c r="AC148" s="31">
        <f>VLOOKUP($A148,$A$4:$O$28,8,0)*(HLOOKUP(AC$146,'2.2.Brecha Efectiva x UdM'!$H$25:$AK$32,5,0))</f>
        <v>0</v>
      </c>
      <c r="AD148" s="31">
        <f>VLOOKUP($A148,$A$4:$O$28,8,0)*(HLOOKUP(AD$146,'2.2.Brecha Efectiva x UdM'!$H$25:$AK$32,5,0))</f>
        <v>0</v>
      </c>
      <c r="AE148" s="31">
        <f>VLOOKUP($A148,$A$4:$O$28,8,0)*(HLOOKUP(AE$146,'2.2.Brecha Efectiva x UdM'!$H$25:$AK$32,5,0))</f>
        <v>0</v>
      </c>
      <c r="AF148" s="31">
        <f>VLOOKUP($A148,$A$4:$O$28,8,0)*(HLOOKUP(AF$146,'2.2.Brecha Efectiva x UdM'!$H$25:$AK$32,5,0))</f>
        <v>0</v>
      </c>
      <c r="AG148" s="31">
        <f>VLOOKUP($A148,$A$4:$O$28,8,0)*(HLOOKUP(AG$146,'2.2.Brecha Efectiva x UdM'!$H$25:$AK$32,5,0))</f>
        <v>0</v>
      </c>
      <c r="AH148" s="63">
        <f>SUM(D148:AG148)</f>
        <v>0</v>
      </c>
    </row>
    <row r="149" spans="1:34" hidden="1" x14ac:dyDescent="0.2">
      <c r="A149" s="25" t="str">
        <f t="shared" si="159"/>
        <v>Catamarca</v>
      </c>
      <c r="B149" s="51">
        <f t="shared" si="160"/>
        <v>0</v>
      </c>
      <c r="C149" s="25" t="str">
        <f t="shared" si="161"/>
        <v>Catamarca 0</v>
      </c>
      <c r="D149" s="32">
        <f>VLOOKUP($A149,$A$4:$O$28,8,0)*(HLOOKUP(D$146,'2.2.Brecha Efectiva x UdM'!$H$25:$AK$32,5,0))</f>
        <v>0</v>
      </c>
      <c r="E149" s="32">
        <f>VLOOKUP($A149,$A$4:$O$28,8,0)*(HLOOKUP(E$146,'2.2.Brecha Efectiva x UdM'!$H$25:$AK$32,5,0))</f>
        <v>0</v>
      </c>
      <c r="F149" s="32">
        <f>VLOOKUP($A149,$A$4:$O$28,8,0)*(HLOOKUP(F$146,'2.2.Brecha Efectiva x UdM'!$H$25:$AK$32,5,0))</f>
        <v>0</v>
      </c>
      <c r="G149" s="32">
        <f>VLOOKUP($A149,$A$4:$O$28,8,0)*(HLOOKUP(G$146,'2.2.Brecha Efectiva x UdM'!$H$25:$AK$32,5,0))</f>
        <v>0</v>
      </c>
      <c r="H149" s="32">
        <f>VLOOKUP($A149,$A$4:$O$28,8,0)*(HLOOKUP(H$146,'2.2.Brecha Efectiva x UdM'!$H$25:$AK$32,5,0))</f>
        <v>0</v>
      </c>
      <c r="I149" s="32">
        <f>VLOOKUP($A149,$A$4:$O$28,8,0)*(HLOOKUP(I$146,'2.2.Brecha Efectiva x UdM'!$H$25:$AK$32,5,0))</f>
        <v>0</v>
      </c>
      <c r="J149" s="32">
        <f>VLOOKUP($A149,$A$4:$O$28,8,0)*(HLOOKUP(J$146,'2.2.Brecha Efectiva x UdM'!$H$25:$AK$32,5,0))</f>
        <v>0</v>
      </c>
      <c r="K149" s="32">
        <f>VLOOKUP($A149,$A$4:$O$28,8,0)*(HLOOKUP(K$146,'2.2.Brecha Efectiva x UdM'!$H$25:$AK$32,5,0))</f>
        <v>0</v>
      </c>
      <c r="L149" s="32">
        <f>VLOOKUP($A149,$A$4:$O$28,8,0)*(HLOOKUP(L$146,'2.2.Brecha Efectiva x UdM'!$H$25:$AK$32,5,0))</f>
        <v>0</v>
      </c>
      <c r="M149" s="32">
        <f>VLOOKUP($A149,$A$4:$O$28,8,0)*(HLOOKUP(M$146,'2.2.Brecha Efectiva x UdM'!$H$25:$AK$32,5,0))</f>
        <v>0</v>
      </c>
      <c r="N149" s="32">
        <f>VLOOKUP($A149,$A$4:$O$28,8,0)*(HLOOKUP(N$146,'2.2.Brecha Efectiva x UdM'!$H$25:$AK$32,5,0))</f>
        <v>0</v>
      </c>
      <c r="O149" s="32">
        <f>VLOOKUP($A149,$A$4:$O$28,8,0)*(HLOOKUP(O$146,'2.2.Brecha Efectiva x UdM'!$H$25:$AK$32,5,0))</f>
        <v>0</v>
      </c>
      <c r="P149" s="32">
        <f>VLOOKUP($A149,$A$4:$O$28,8,0)*(HLOOKUP(P$146,'2.2.Brecha Efectiva x UdM'!$H$25:$AK$32,5,0))</f>
        <v>0</v>
      </c>
      <c r="Q149" s="32">
        <f>VLOOKUP($A149,$A$4:$O$28,8,0)*(HLOOKUP(Q$146,'2.2.Brecha Efectiva x UdM'!$H$25:$AK$32,5,0))</f>
        <v>0</v>
      </c>
      <c r="R149" s="32">
        <f>VLOOKUP($A149,$A$4:$O$28,8,0)*(HLOOKUP(R$146,'2.2.Brecha Efectiva x UdM'!$H$25:$AK$32,5,0))</f>
        <v>0</v>
      </c>
      <c r="S149" s="32">
        <f>VLOOKUP($A149,$A$4:$O$28,8,0)*(HLOOKUP(S$146,'2.2.Brecha Efectiva x UdM'!$H$25:$AK$32,5,0))</f>
        <v>0</v>
      </c>
      <c r="T149" s="32">
        <f>VLOOKUP($A149,$A$4:$O$28,8,0)*(HLOOKUP(T$146,'2.2.Brecha Efectiva x UdM'!$H$25:$AK$32,5,0))</f>
        <v>0</v>
      </c>
      <c r="U149" s="32">
        <f>VLOOKUP($A149,$A$4:$O$28,8,0)*(HLOOKUP(U$146,'2.2.Brecha Efectiva x UdM'!$H$25:$AK$32,5,0))</f>
        <v>0</v>
      </c>
      <c r="V149" s="32">
        <f>VLOOKUP($A149,$A$4:$O$28,8,0)*(HLOOKUP(V$146,'2.2.Brecha Efectiva x UdM'!$H$25:$AK$32,5,0))</f>
        <v>0</v>
      </c>
      <c r="W149" s="32">
        <f>VLOOKUP($A149,$A$4:$O$28,8,0)*(HLOOKUP(W$146,'2.2.Brecha Efectiva x UdM'!$H$25:$AK$32,5,0))</f>
        <v>0</v>
      </c>
      <c r="X149" s="32">
        <f>VLOOKUP($A149,$A$4:$O$28,8,0)*(HLOOKUP(X$146,'2.2.Brecha Efectiva x UdM'!$H$25:$AK$32,5,0))</f>
        <v>0</v>
      </c>
      <c r="Y149" s="32">
        <f>VLOOKUP($A149,$A$4:$O$28,8,0)*(HLOOKUP(Y$146,'2.2.Brecha Efectiva x UdM'!$H$25:$AK$32,5,0))</f>
        <v>0</v>
      </c>
      <c r="Z149" s="32">
        <f>VLOOKUP($A149,$A$4:$O$28,8,0)*(HLOOKUP(Z$146,'2.2.Brecha Efectiva x UdM'!$H$25:$AK$32,5,0))</f>
        <v>0</v>
      </c>
      <c r="AA149" s="32">
        <f>VLOOKUP($A149,$A$4:$O$28,8,0)*(HLOOKUP(AA$146,'2.2.Brecha Efectiva x UdM'!$H$25:$AK$32,5,0))</f>
        <v>0</v>
      </c>
      <c r="AB149" s="32">
        <f>VLOOKUP($A149,$A$4:$O$28,8,0)*(HLOOKUP(AB$146,'2.2.Brecha Efectiva x UdM'!$H$25:$AK$32,5,0))</f>
        <v>0</v>
      </c>
      <c r="AC149" s="32">
        <f>VLOOKUP($A149,$A$4:$O$28,8,0)*(HLOOKUP(AC$146,'2.2.Brecha Efectiva x UdM'!$H$25:$AK$32,5,0))</f>
        <v>0</v>
      </c>
      <c r="AD149" s="32">
        <f>VLOOKUP($A149,$A$4:$O$28,8,0)*(HLOOKUP(AD$146,'2.2.Brecha Efectiva x UdM'!$H$25:$AK$32,5,0))</f>
        <v>0</v>
      </c>
      <c r="AE149" s="32">
        <f>VLOOKUP($A149,$A$4:$O$28,8,0)*(HLOOKUP(AE$146,'2.2.Brecha Efectiva x UdM'!$H$25:$AK$32,5,0))</f>
        <v>0</v>
      </c>
      <c r="AF149" s="32">
        <f>VLOOKUP($A149,$A$4:$O$28,8,0)*(HLOOKUP(AF$146,'2.2.Brecha Efectiva x UdM'!$H$25:$AK$32,5,0))</f>
        <v>0</v>
      </c>
      <c r="AG149" s="32">
        <f>VLOOKUP($A149,$A$4:$O$28,8,0)*(HLOOKUP(AG$146,'2.2.Brecha Efectiva x UdM'!$H$25:$AK$32,5,0))</f>
        <v>0</v>
      </c>
      <c r="AH149" s="62">
        <f t="shared" ref="AH149:AH171" si="162">SUM(D149:AG149)</f>
        <v>0</v>
      </c>
    </row>
    <row r="150" spans="1:34" hidden="1" x14ac:dyDescent="0.2">
      <c r="A150" s="26" t="str">
        <f t="shared" si="159"/>
        <v>Chaco</v>
      </c>
      <c r="B150" s="52">
        <f t="shared" si="160"/>
        <v>0</v>
      </c>
      <c r="C150" s="26" t="str">
        <f t="shared" si="161"/>
        <v>Chaco 0</v>
      </c>
      <c r="D150" s="31">
        <f>VLOOKUP($A150,$A$4:$O$28,8,0)*(HLOOKUP(D$146,'2.2.Brecha Efectiva x UdM'!$H$25:$AK$32,5,0))</f>
        <v>0</v>
      </c>
      <c r="E150" s="31">
        <f>VLOOKUP($A150,$A$4:$O$28,8,0)*(HLOOKUP(E$146,'2.2.Brecha Efectiva x UdM'!$H$25:$AK$32,5,0))</f>
        <v>0</v>
      </c>
      <c r="F150" s="31">
        <f>VLOOKUP($A150,$A$4:$O$28,8,0)*(HLOOKUP(F$146,'2.2.Brecha Efectiva x UdM'!$H$25:$AK$32,5,0))</f>
        <v>0</v>
      </c>
      <c r="G150" s="31">
        <f>VLOOKUP($A150,$A$4:$O$28,8,0)*(HLOOKUP(G$146,'2.2.Brecha Efectiva x UdM'!$H$25:$AK$32,5,0))</f>
        <v>0</v>
      </c>
      <c r="H150" s="31">
        <f>VLOOKUP($A150,$A$4:$O$28,8,0)*(HLOOKUP(H$146,'2.2.Brecha Efectiva x UdM'!$H$25:$AK$32,5,0))</f>
        <v>0</v>
      </c>
      <c r="I150" s="31">
        <f>VLOOKUP($A150,$A$4:$O$28,8,0)*(HLOOKUP(I$146,'2.2.Brecha Efectiva x UdM'!$H$25:$AK$32,5,0))</f>
        <v>0</v>
      </c>
      <c r="J150" s="31">
        <f>VLOOKUP($A150,$A$4:$O$28,8,0)*(HLOOKUP(J$146,'2.2.Brecha Efectiva x UdM'!$H$25:$AK$32,5,0))</f>
        <v>0</v>
      </c>
      <c r="K150" s="31">
        <f>VLOOKUP($A150,$A$4:$O$28,8,0)*(HLOOKUP(K$146,'2.2.Brecha Efectiva x UdM'!$H$25:$AK$32,5,0))</f>
        <v>0</v>
      </c>
      <c r="L150" s="31">
        <f>VLOOKUP($A150,$A$4:$O$28,8,0)*(HLOOKUP(L$146,'2.2.Brecha Efectiva x UdM'!$H$25:$AK$32,5,0))</f>
        <v>0</v>
      </c>
      <c r="M150" s="31">
        <f>VLOOKUP($A150,$A$4:$O$28,8,0)*(HLOOKUP(M$146,'2.2.Brecha Efectiva x UdM'!$H$25:$AK$32,5,0))</f>
        <v>0</v>
      </c>
      <c r="N150" s="31">
        <f>VLOOKUP($A150,$A$4:$O$28,8,0)*(HLOOKUP(N$146,'2.2.Brecha Efectiva x UdM'!$H$25:$AK$32,5,0))</f>
        <v>0</v>
      </c>
      <c r="O150" s="31">
        <f>VLOOKUP($A150,$A$4:$O$28,8,0)*(HLOOKUP(O$146,'2.2.Brecha Efectiva x UdM'!$H$25:$AK$32,5,0))</f>
        <v>0</v>
      </c>
      <c r="P150" s="31">
        <f>VLOOKUP($A150,$A$4:$O$28,8,0)*(HLOOKUP(P$146,'2.2.Brecha Efectiva x UdM'!$H$25:$AK$32,5,0))</f>
        <v>0</v>
      </c>
      <c r="Q150" s="31">
        <f>VLOOKUP($A150,$A$4:$O$28,8,0)*(HLOOKUP(Q$146,'2.2.Brecha Efectiva x UdM'!$H$25:$AK$32,5,0))</f>
        <v>0</v>
      </c>
      <c r="R150" s="31">
        <f>VLOOKUP($A150,$A$4:$O$28,8,0)*(HLOOKUP(R$146,'2.2.Brecha Efectiva x UdM'!$H$25:$AK$32,5,0))</f>
        <v>0</v>
      </c>
      <c r="S150" s="31">
        <f>VLOOKUP($A150,$A$4:$O$28,8,0)*(HLOOKUP(S$146,'2.2.Brecha Efectiva x UdM'!$H$25:$AK$32,5,0))</f>
        <v>0</v>
      </c>
      <c r="T150" s="31">
        <f>VLOOKUP($A150,$A$4:$O$28,8,0)*(HLOOKUP(T$146,'2.2.Brecha Efectiva x UdM'!$H$25:$AK$32,5,0))</f>
        <v>0</v>
      </c>
      <c r="U150" s="31">
        <f>VLOOKUP($A150,$A$4:$O$28,8,0)*(HLOOKUP(U$146,'2.2.Brecha Efectiva x UdM'!$H$25:$AK$32,5,0))</f>
        <v>0</v>
      </c>
      <c r="V150" s="31">
        <f>VLOOKUP($A150,$A$4:$O$28,8,0)*(HLOOKUP(V$146,'2.2.Brecha Efectiva x UdM'!$H$25:$AK$32,5,0))</f>
        <v>0</v>
      </c>
      <c r="W150" s="31">
        <f>VLOOKUP($A150,$A$4:$O$28,8,0)*(HLOOKUP(W$146,'2.2.Brecha Efectiva x UdM'!$H$25:$AK$32,5,0))</f>
        <v>0</v>
      </c>
      <c r="X150" s="31">
        <f>VLOOKUP($A150,$A$4:$O$28,8,0)*(HLOOKUP(X$146,'2.2.Brecha Efectiva x UdM'!$H$25:$AK$32,5,0))</f>
        <v>0</v>
      </c>
      <c r="Y150" s="31">
        <f>VLOOKUP($A150,$A$4:$O$28,8,0)*(HLOOKUP(Y$146,'2.2.Brecha Efectiva x UdM'!$H$25:$AK$32,5,0))</f>
        <v>0</v>
      </c>
      <c r="Z150" s="31">
        <f>VLOOKUP($A150,$A$4:$O$28,8,0)*(HLOOKUP(Z$146,'2.2.Brecha Efectiva x UdM'!$H$25:$AK$32,5,0))</f>
        <v>0</v>
      </c>
      <c r="AA150" s="31">
        <f>VLOOKUP($A150,$A$4:$O$28,8,0)*(HLOOKUP(AA$146,'2.2.Brecha Efectiva x UdM'!$H$25:$AK$32,5,0))</f>
        <v>0</v>
      </c>
      <c r="AB150" s="31">
        <f>VLOOKUP($A150,$A$4:$O$28,8,0)*(HLOOKUP(AB$146,'2.2.Brecha Efectiva x UdM'!$H$25:$AK$32,5,0))</f>
        <v>0</v>
      </c>
      <c r="AC150" s="31">
        <f>VLOOKUP($A150,$A$4:$O$28,8,0)*(HLOOKUP(AC$146,'2.2.Brecha Efectiva x UdM'!$H$25:$AK$32,5,0))</f>
        <v>0</v>
      </c>
      <c r="AD150" s="31">
        <f>VLOOKUP($A150,$A$4:$O$28,8,0)*(HLOOKUP(AD$146,'2.2.Brecha Efectiva x UdM'!$H$25:$AK$32,5,0))</f>
        <v>0</v>
      </c>
      <c r="AE150" s="31">
        <f>VLOOKUP($A150,$A$4:$O$28,8,0)*(HLOOKUP(AE$146,'2.2.Brecha Efectiva x UdM'!$H$25:$AK$32,5,0))</f>
        <v>0</v>
      </c>
      <c r="AF150" s="31">
        <f>VLOOKUP($A150,$A$4:$O$28,8,0)*(HLOOKUP(AF$146,'2.2.Brecha Efectiva x UdM'!$H$25:$AK$32,5,0))</f>
        <v>0</v>
      </c>
      <c r="AG150" s="31">
        <f>VLOOKUP($A150,$A$4:$O$28,8,0)*(HLOOKUP(AG$146,'2.2.Brecha Efectiva x UdM'!$H$25:$AK$32,5,0))</f>
        <v>0</v>
      </c>
      <c r="AH150" s="63">
        <f t="shared" si="162"/>
        <v>0</v>
      </c>
    </row>
    <row r="151" spans="1:34" hidden="1" x14ac:dyDescent="0.2">
      <c r="A151" s="25" t="str">
        <f t="shared" si="159"/>
        <v>Chubut</v>
      </c>
      <c r="B151" s="51">
        <f t="shared" si="160"/>
        <v>0</v>
      </c>
      <c r="C151" s="25" t="str">
        <f t="shared" si="161"/>
        <v>Chubut 0</v>
      </c>
      <c r="D151" s="32">
        <f>VLOOKUP($A151,$A$4:$O$28,8,0)*(HLOOKUP(D$146,'2.2.Brecha Efectiva x UdM'!$H$25:$AK$32,5,0))</f>
        <v>0</v>
      </c>
      <c r="E151" s="32">
        <f>VLOOKUP($A151,$A$4:$O$28,8,0)*(HLOOKUP(E$146,'2.2.Brecha Efectiva x UdM'!$H$25:$AK$32,5,0))</f>
        <v>0</v>
      </c>
      <c r="F151" s="32">
        <f>VLOOKUP($A151,$A$4:$O$28,8,0)*(HLOOKUP(F$146,'2.2.Brecha Efectiva x UdM'!$H$25:$AK$32,5,0))</f>
        <v>0</v>
      </c>
      <c r="G151" s="32">
        <f>VLOOKUP($A151,$A$4:$O$28,8,0)*(HLOOKUP(G$146,'2.2.Brecha Efectiva x UdM'!$H$25:$AK$32,5,0))</f>
        <v>0</v>
      </c>
      <c r="H151" s="32">
        <f>VLOOKUP($A151,$A$4:$O$28,8,0)*(HLOOKUP(H$146,'2.2.Brecha Efectiva x UdM'!$H$25:$AK$32,5,0))</f>
        <v>0</v>
      </c>
      <c r="I151" s="32">
        <f>VLOOKUP($A151,$A$4:$O$28,8,0)*(HLOOKUP(I$146,'2.2.Brecha Efectiva x UdM'!$H$25:$AK$32,5,0))</f>
        <v>0</v>
      </c>
      <c r="J151" s="32">
        <f>VLOOKUP($A151,$A$4:$O$28,8,0)*(HLOOKUP(J$146,'2.2.Brecha Efectiva x UdM'!$H$25:$AK$32,5,0))</f>
        <v>0</v>
      </c>
      <c r="K151" s="32">
        <f>VLOOKUP($A151,$A$4:$O$28,8,0)*(HLOOKUP(K$146,'2.2.Brecha Efectiva x UdM'!$H$25:$AK$32,5,0))</f>
        <v>0</v>
      </c>
      <c r="L151" s="32">
        <f>VLOOKUP($A151,$A$4:$O$28,8,0)*(HLOOKUP(L$146,'2.2.Brecha Efectiva x UdM'!$H$25:$AK$32,5,0))</f>
        <v>0</v>
      </c>
      <c r="M151" s="32">
        <f>VLOOKUP($A151,$A$4:$O$28,8,0)*(HLOOKUP(M$146,'2.2.Brecha Efectiva x UdM'!$H$25:$AK$32,5,0))</f>
        <v>0</v>
      </c>
      <c r="N151" s="32">
        <f>VLOOKUP($A151,$A$4:$O$28,8,0)*(HLOOKUP(N$146,'2.2.Brecha Efectiva x UdM'!$H$25:$AK$32,5,0))</f>
        <v>0</v>
      </c>
      <c r="O151" s="32">
        <f>VLOOKUP($A151,$A$4:$O$28,8,0)*(HLOOKUP(O$146,'2.2.Brecha Efectiva x UdM'!$H$25:$AK$32,5,0))</f>
        <v>0</v>
      </c>
      <c r="P151" s="32">
        <f>VLOOKUP($A151,$A$4:$O$28,8,0)*(HLOOKUP(P$146,'2.2.Brecha Efectiva x UdM'!$H$25:$AK$32,5,0))</f>
        <v>0</v>
      </c>
      <c r="Q151" s="32">
        <f>VLOOKUP($A151,$A$4:$O$28,8,0)*(HLOOKUP(Q$146,'2.2.Brecha Efectiva x UdM'!$H$25:$AK$32,5,0))</f>
        <v>0</v>
      </c>
      <c r="R151" s="32">
        <f>VLOOKUP($A151,$A$4:$O$28,8,0)*(HLOOKUP(R$146,'2.2.Brecha Efectiva x UdM'!$H$25:$AK$32,5,0))</f>
        <v>0</v>
      </c>
      <c r="S151" s="32">
        <f>VLOOKUP($A151,$A$4:$O$28,8,0)*(HLOOKUP(S$146,'2.2.Brecha Efectiva x UdM'!$H$25:$AK$32,5,0))</f>
        <v>0</v>
      </c>
      <c r="T151" s="32">
        <f>VLOOKUP($A151,$A$4:$O$28,8,0)*(HLOOKUP(T$146,'2.2.Brecha Efectiva x UdM'!$H$25:$AK$32,5,0))</f>
        <v>0</v>
      </c>
      <c r="U151" s="32">
        <f>VLOOKUP($A151,$A$4:$O$28,8,0)*(HLOOKUP(U$146,'2.2.Brecha Efectiva x UdM'!$H$25:$AK$32,5,0))</f>
        <v>0</v>
      </c>
      <c r="V151" s="32">
        <f>VLOOKUP($A151,$A$4:$O$28,8,0)*(HLOOKUP(V$146,'2.2.Brecha Efectiva x UdM'!$H$25:$AK$32,5,0))</f>
        <v>0</v>
      </c>
      <c r="W151" s="32">
        <f>VLOOKUP($A151,$A$4:$O$28,8,0)*(HLOOKUP(W$146,'2.2.Brecha Efectiva x UdM'!$H$25:$AK$32,5,0))</f>
        <v>0</v>
      </c>
      <c r="X151" s="32">
        <f>VLOOKUP($A151,$A$4:$O$28,8,0)*(HLOOKUP(X$146,'2.2.Brecha Efectiva x UdM'!$H$25:$AK$32,5,0))</f>
        <v>0</v>
      </c>
      <c r="Y151" s="32">
        <f>VLOOKUP($A151,$A$4:$O$28,8,0)*(HLOOKUP(Y$146,'2.2.Brecha Efectiva x UdM'!$H$25:$AK$32,5,0))</f>
        <v>0</v>
      </c>
      <c r="Z151" s="32">
        <f>VLOOKUP($A151,$A$4:$O$28,8,0)*(HLOOKUP(Z$146,'2.2.Brecha Efectiva x UdM'!$H$25:$AK$32,5,0))</f>
        <v>0</v>
      </c>
      <c r="AA151" s="32">
        <f>VLOOKUP($A151,$A$4:$O$28,8,0)*(HLOOKUP(AA$146,'2.2.Brecha Efectiva x UdM'!$H$25:$AK$32,5,0))</f>
        <v>0</v>
      </c>
      <c r="AB151" s="32">
        <f>VLOOKUP($A151,$A$4:$O$28,8,0)*(HLOOKUP(AB$146,'2.2.Brecha Efectiva x UdM'!$H$25:$AK$32,5,0))</f>
        <v>0</v>
      </c>
      <c r="AC151" s="32">
        <f>VLOOKUP($A151,$A$4:$O$28,8,0)*(HLOOKUP(AC$146,'2.2.Brecha Efectiva x UdM'!$H$25:$AK$32,5,0))</f>
        <v>0</v>
      </c>
      <c r="AD151" s="32">
        <f>VLOOKUP($A151,$A$4:$O$28,8,0)*(HLOOKUP(AD$146,'2.2.Brecha Efectiva x UdM'!$H$25:$AK$32,5,0))</f>
        <v>0</v>
      </c>
      <c r="AE151" s="32">
        <f>VLOOKUP($A151,$A$4:$O$28,8,0)*(HLOOKUP(AE$146,'2.2.Brecha Efectiva x UdM'!$H$25:$AK$32,5,0))</f>
        <v>0</v>
      </c>
      <c r="AF151" s="32">
        <f>VLOOKUP($A151,$A$4:$O$28,8,0)*(HLOOKUP(AF$146,'2.2.Brecha Efectiva x UdM'!$H$25:$AK$32,5,0))</f>
        <v>0</v>
      </c>
      <c r="AG151" s="32">
        <f>VLOOKUP($A151,$A$4:$O$28,8,0)*(HLOOKUP(AG$146,'2.2.Brecha Efectiva x UdM'!$H$25:$AK$32,5,0))</f>
        <v>0</v>
      </c>
      <c r="AH151" s="62">
        <f t="shared" si="162"/>
        <v>0</v>
      </c>
    </row>
    <row r="152" spans="1:34" hidden="1" x14ac:dyDescent="0.2">
      <c r="A152" s="26" t="str">
        <f t="shared" si="159"/>
        <v>Córdoba</v>
      </c>
      <c r="B152" s="52">
        <f t="shared" si="160"/>
        <v>0</v>
      </c>
      <c r="C152" s="26" t="str">
        <f t="shared" si="161"/>
        <v>Córdoba 0</v>
      </c>
      <c r="D152" s="31">
        <f>VLOOKUP($A152,$A$4:$O$28,8,0)*(HLOOKUP(D$146,'2.2.Brecha Efectiva x UdM'!$H$25:$AK$32,5,0))</f>
        <v>0</v>
      </c>
      <c r="E152" s="31">
        <f>VLOOKUP($A152,$A$4:$O$28,8,0)*(HLOOKUP(E$146,'2.2.Brecha Efectiva x UdM'!$H$25:$AK$32,5,0))</f>
        <v>0</v>
      </c>
      <c r="F152" s="31">
        <f>VLOOKUP($A152,$A$4:$O$28,8,0)*(HLOOKUP(F$146,'2.2.Brecha Efectiva x UdM'!$H$25:$AK$32,5,0))</f>
        <v>0</v>
      </c>
      <c r="G152" s="31">
        <f>VLOOKUP($A152,$A$4:$O$28,8,0)*(HLOOKUP(G$146,'2.2.Brecha Efectiva x UdM'!$H$25:$AK$32,5,0))</f>
        <v>0</v>
      </c>
      <c r="H152" s="31">
        <f>VLOOKUP($A152,$A$4:$O$28,8,0)*(HLOOKUP(H$146,'2.2.Brecha Efectiva x UdM'!$H$25:$AK$32,5,0))</f>
        <v>0</v>
      </c>
      <c r="I152" s="31">
        <f>VLOOKUP($A152,$A$4:$O$28,8,0)*(HLOOKUP(I$146,'2.2.Brecha Efectiva x UdM'!$H$25:$AK$32,5,0))</f>
        <v>0</v>
      </c>
      <c r="J152" s="31">
        <f>VLOOKUP($A152,$A$4:$O$28,8,0)*(HLOOKUP(J$146,'2.2.Brecha Efectiva x UdM'!$H$25:$AK$32,5,0))</f>
        <v>0</v>
      </c>
      <c r="K152" s="31">
        <f>VLOOKUP($A152,$A$4:$O$28,8,0)*(HLOOKUP(K$146,'2.2.Brecha Efectiva x UdM'!$H$25:$AK$32,5,0))</f>
        <v>0</v>
      </c>
      <c r="L152" s="31">
        <f>VLOOKUP($A152,$A$4:$O$28,8,0)*(HLOOKUP(L$146,'2.2.Brecha Efectiva x UdM'!$H$25:$AK$32,5,0))</f>
        <v>0</v>
      </c>
      <c r="M152" s="31">
        <f>VLOOKUP($A152,$A$4:$O$28,8,0)*(HLOOKUP(M$146,'2.2.Brecha Efectiva x UdM'!$H$25:$AK$32,5,0))</f>
        <v>0</v>
      </c>
      <c r="N152" s="31">
        <f>VLOOKUP($A152,$A$4:$O$28,8,0)*(HLOOKUP(N$146,'2.2.Brecha Efectiva x UdM'!$H$25:$AK$32,5,0))</f>
        <v>0</v>
      </c>
      <c r="O152" s="31">
        <f>VLOOKUP($A152,$A$4:$O$28,8,0)*(HLOOKUP(O$146,'2.2.Brecha Efectiva x UdM'!$H$25:$AK$32,5,0))</f>
        <v>0</v>
      </c>
      <c r="P152" s="31">
        <f>VLOOKUP($A152,$A$4:$O$28,8,0)*(HLOOKUP(P$146,'2.2.Brecha Efectiva x UdM'!$H$25:$AK$32,5,0))</f>
        <v>0</v>
      </c>
      <c r="Q152" s="31">
        <f>VLOOKUP($A152,$A$4:$O$28,8,0)*(HLOOKUP(Q$146,'2.2.Brecha Efectiva x UdM'!$H$25:$AK$32,5,0))</f>
        <v>0</v>
      </c>
      <c r="R152" s="31">
        <f>VLOOKUP($A152,$A$4:$O$28,8,0)*(HLOOKUP(R$146,'2.2.Brecha Efectiva x UdM'!$H$25:$AK$32,5,0))</f>
        <v>0</v>
      </c>
      <c r="S152" s="31">
        <f>VLOOKUP($A152,$A$4:$O$28,8,0)*(HLOOKUP(S$146,'2.2.Brecha Efectiva x UdM'!$H$25:$AK$32,5,0))</f>
        <v>0</v>
      </c>
      <c r="T152" s="31">
        <f>VLOOKUP($A152,$A$4:$O$28,8,0)*(HLOOKUP(T$146,'2.2.Brecha Efectiva x UdM'!$H$25:$AK$32,5,0))</f>
        <v>0</v>
      </c>
      <c r="U152" s="31">
        <f>VLOOKUP($A152,$A$4:$O$28,8,0)*(HLOOKUP(U$146,'2.2.Brecha Efectiva x UdM'!$H$25:$AK$32,5,0))</f>
        <v>0</v>
      </c>
      <c r="V152" s="31">
        <f>VLOOKUP($A152,$A$4:$O$28,8,0)*(HLOOKUP(V$146,'2.2.Brecha Efectiva x UdM'!$H$25:$AK$32,5,0))</f>
        <v>0</v>
      </c>
      <c r="W152" s="31">
        <f>VLOOKUP($A152,$A$4:$O$28,8,0)*(HLOOKUP(W$146,'2.2.Brecha Efectiva x UdM'!$H$25:$AK$32,5,0))</f>
        <v>0</v>
      </c>
      <c r="X152" s="31">
        <f>VLOOKUP($A152,$A$4:$O$28,8,0)*(HLOOKUP(X$146,'2.2.Brecha Efectiva x UdM'!$H$25:$AK$32,5,0))</f>
        <v>0</v>
      </c>
      <c r="Y152" s="31">
        <f>VLOOKUP($A152,$A$4:$O$28,8,0)*(HLOOKUP(Y$146,'2.2.Brecha Efectiva x UdM'!$H$25:$AK$32,5,0))</f>
        <v>0</v>
      </c>
      <c r="Z152" s="31">
        <f>VLOOKUP($A152,$A$4:$O$28,8,0)*(HLOOKUP(Z$146,'2.2.Brecha Efectiva x UdM'!$H$25:$AK$32,5,0))</f>
        <v>0</v>
      </c>
      <c r="AA152" s="31">
        <f>VLOOKUP($A152,$A$4:$O$28,8,0)*(HLOOKUP(AA$146,'2.2.Brecha Efectiva x UdM'!$H$25:$AK$32,5,0))</f>
        <v>0</v>
      </c>
      <c r="AB152" s="31">
        <f>VLOOKUP($A152,$A$4:$O$28,8,0)*(HLOOKUP(AB$146,'2.2.Brecha Efectiva x UdM'!$H$25:$AK$32,5,0))</f>
        <v>0</v>
      </c>
      <c r="AC152" s="31">
        <f>VLOOKUP($A152,$A$4:$O$28,8,0)*(HLOOKUP(AC$146,'2.2.Brecha Efectiva x UdM'!$H$25:$AK$32,5,0))</f>
        <v>0</v>
      </c>
      <c r="AD152" s="31">
        <f>VLOOKUP($A152,$A$4:$O$28,8,0)*(HLOOKUP(AD$146,'2.2.Brecha Efectiva x UdM'!$H$25:$AK$32,5,0))</f>
        <v>0</v>
      </c>
      <c r="AE152" s="31">
        <f>VLOOKUP($A152,$A$4:$O$28,8,0)*(HLOOKUP(AE$146,'2.2.Brecha Efectiva x UdM'!$H$25:$AK$32,5,0))</f>
        <v>0</v>
      </c>
      <c r="AF152" s="31">
        <f>VLOOKUP($A152,$A$4:$O$28,8,0)*(HLOOKUP(AF$146,'2.2.Brecha Efectiva x UdM'!$H$25:$AK$32,5,0))</f>
        <v>0</v>
      </c>
      <c r="AG152" s="31">
        <f>VLOOKUP($A152,$A$4:$O$28,8,0)*(HLOOKUP(AG$146,'2.2.Brecha Efectiva x UdM'!$H$25:$AK$32,5,0))</f>
        <v>0</v>
      </c>
      <c r="AH152" s="63">
        <f t="shared" si="162"/>
        <v>0</v>
      </c>
    </row>
    <row r="153" spans="1:34" hidden="1" x14ac:dyDescent="0.2">
      <c r="A153" s="25" t="str">
        <f t="shared" si="159"/>
        <v>Corrientes</v>
      </c>
      <c r="B153" s="51">
        <f t="shared" si="160"/>
        <v>0</v>
      </c>
      <c r="C153" s="25" t="str">
        <f t="shared" si="161"/>
        <v>Corrientes 0</v>
      </c>
      <c r="D153" s="32">
        <f>VLOOKUP($A153,$A$4:$O$28,8,0)*(HLOOKUP(D$146,'2.2.Brecha Efectiva x UdM'!$H$25:$AK$32,5,0))</f>
        <v>0</v>
      </c>
      <c r="E153" s="32">
        <f>VLOOKUP($A153,$A$4:$O$28,8,0)*(HLOOKUP(E$146,'2.2.Brecha Efectiva x UdM'!$H$25:$AK$32,5,0))</f>
        <v>0</v>
      </c>
      <c r="F153" s="32">
        <f>VLOOKUP($A153,$A$4:$O$28,8,0)*(HLOOKUP(F$146,'2.2.Brecha Efectiva x UdM'!$H$25:$AK$32,5,0))</f>
        <v>0</v>
      </c>
      <c r="G153" s="32">
        <f>VLOOKUP($A153,$A$4:$O$28,8,0)*(HLOOKUP(G$146,'2.2.Brecha Efectiva x UdM'!$H$25:$AK$32,5,0))</f>
        <v>0</v>
      </c>
      <c r="H153" s="32">
        <f>VLOOKUP($A153,$A$4:$O$28,8,0)*(HLOOKUP(H$146,'2.2.Brecha Efectiva x UdM'!$H$25:$AK$32,5,0))</f>
        <v>0</v>
      </c>
      <c r="I153" s="32">
        <f>VLOOKUP($A153,$A$4:$O$28,8,0)*(HLOOKUP(I$146,'2.2.Brecha Efectiva x UdM'!$H$25:$AK$32,5,0))</f>
        <v>0</v>
      </c>
      <c r="J153" s="32">
        <f>VLOOKUP($A153,$A$4:$O$28,8,0)*(HLOOKUP(J$146,'2.2.Brecha Efectiva x UdM'!$H$25:$AK$32,5,0))</f>
        <v>0</v>
      </c>
      <c r="K153" s="32">
        <f>VLOOKUP($A153,$A$4:$O$28,8,0)*(HLOOKUP(K$146,'2.2.Brecha Efectiva x UdM'!$H$25:$AK$32,5,0))</f>
        <v>0</v>
      </c>
      <c r="L153" s="32">
        <f>VLOOKUP($A153,$A$4:$O$28,8,0)*(HLOOKUP(L$146,'2.2.Brecha Efectiva x UdM'!$H$25:$AK$32,5,0))</f>
        <v>0</v>
      </c>
      <c r="M153" s="32">
        <f>VLOOKUP($A153,$A$4:$O$28,8,0)*(HLOOKUP(M$146,'2.2.Brecha Efectiva x UdM'!$H$25:$AK$32,5,0))</f>
        <v>0</v>
      </c>
      <c r="N153" s="32">
        <f>VLOOKUP($A153,$A$4:$O$28,8,0)*(HLOOKUP(N$146,'2.2.Brecha Efectiva x UdM'!$H$25:$AK$32,5,0))</f>
        <v>0</v>
      </c>
      <c r="O153" s="32">
        <f>VLOOKUP($A153,$A$4:$O$28,8,0)*(HLOOKUP(O$146,'2.2.Brecha Efectiva x UdM'!$H$25:$AK$32,5,0))</f>
        <v>0</v>
      </c>
      <c r="P153" s="32">
        <f>VLOOKUP($A153,$A$4:$O$28,8,0)*(HLOOKUP(P$146,'2.2.Brecha Efectiva x UdM'!$H$25:$AK$32,5,0))</f>
        <v>0</v>
      </c>
      <c r="Q153" s="32">
        <f>VLOOKUP($A153,$A$4:$O$28,8,0)*(HLOOKUP(Q$146,'2.2.Brecha Efectiva x UdM'!$H$25:$AK$32,5,0))</f>
        <v>0</v>
      </c>
      <c r="R153" s="32">
        <f>VLOOKUP($A153,$A$4:$O$28,8,0)*(HLOOKUP(R$146,'2.2.Brecha Efectiva x UdM'!$H$25:$AK$32,5,0))</f>
        <v>0</v>
      </c>
      <c r="S153" s="32">
        <f>VLOOKUP($A153,$A$4:$O$28,8,0)*(HLOOKUP(S$146,'2.2.Brecha Efectiva x UdM'!$H$25:$AK$32,5,0))</f>
        <v>0</v>
      </c>
      <c r="T153" s="32">
        <f>VLOOKUP($A153,$A$4:$O$28,8,0)*(HLOOKUP(T$146,'2.2.Brecha Efectiva x UdM'!$H$25:$AK$32,5,0))</f>
        <v>0</v>
      </c>
      <c r="U153" s="32">
        <f>VLOOKUP($A153,$A$4:$O$28,8,0)*(HLOOKUP(U$146,'2.2.Brecha Efectiva x UdM'!$H$25:$AK$32,5,0))</f>
        <v>0</v>
      </c>
      <c r="V153" s="32">
        <f>VLOOKUP($A153,$A$4:$O$28,8,0)*(HLOOKUP(V$146,'2.2.Brecha Efectiva x UdM'!$H$25:$AK$32,5,0))</f>
        <v>0</v>
      </c>
      <c r="W153" s="32">
        <f>VLOOKUP($A153,$A$4:$O$28,8,0)*(HLOOKUP(W$146,'2.2.Brecha Efectiva x UdM'!$H$25:$AK$32,5,0))</f>
        <v>0</v>
      </c>
      <c r="X153" s="32">
        <f>VLOOKUP($A153,$A$4:$O$28,8,0)*(HLOOKUP(X$146,'2.2.Brecha Efectiva x UdM'!$H$25:$AK$32,5,0))</f>
        <v>0</v>
      </c>
      <c r="Y153" s="32">
        <f>VLOOKUP($A153,$A$4:$O$28,8,0)*(HLOOKUP(Y$146,'2.2.Brecha Efectiva x UdM'!$H$25:$AK$32,5,0))</f>
        <v>0</v>
      </c>
      <c r="Z153" s="32">
        <f>VLOOKUP($A153,$A$4:$O$28,8,0)*(HLOOKUP(Z$146,'2.2.Brecha Efectiva x UdM'!$H$25:$AK$32,5,0))</f>
        <v>0</v>
      </c>
      <c r="AA153" s="32">
        <f>VLOOKUP($A153,$A$4:$O$28,8,0)*(HLOOKUP(AA$146,'2.2.Brecha Efectiva x UdM'!$H$25:$AK$32,5,0))</f>
        <v>0</v>
      </c>
      <c r="AB153" s="32">
        <f>VLOOKUP($A153,$A$4:$O$28,8,0)*(HLOOKUP(AB$146,'2.2.Brecha Efectiva x UdM'!$H$25:$AK$32,5,0))</f>
        <v>0</v>
      </c>
      <c r="AC153" s="32">
        <f>VLOOKUP($A153,$A$4:$O$28,8,0)*(HLOOKUP(AC$146,'2.2.Brecha Efectiva x UdM'!$H$25:$AK$32,5,0))</f>
        <v>0</v>
      </c>
      <c r="AD153" s="32">
        <f>VLOOKUP($A153,$A$4:$O$28,8,0)*(HLOOKUP(AD$146,'2.2.Brecha Efectiva x UdM'!$H$25:$AK$32,5,0))</f>
        <v>0</v>
      </c>
      <c r="AE153" s="32">
        <f>VLOOKUP($A153,$A$4:$O$28,8,0)*(HLOOKUP(AE$146,'2.2.Brecha Efectiva x UdM'!$H$25:$AK$32,5,0))</f>
        <v>0</v>
      </c>
      <c r="AF153" s="32">
        <f>VLOOKUP($A153,$A$4:$O$28,8,0)*(HLOOKUP(AF$146,'2.2.Brecha Efectiva x UdM'!$H$25:$AK$32,5,0))</f>
        <v>0</v>
      </c>
      <c r="AG153" s="32">
        <f>VLOOKUP($A153,$A$4:$O$28,8,0)*(HLOOKUP(AG$146,'2.2.Brecha Efectiva x UdM'!$H$25:$AK$32,5,0))</f>
        <v>0</v>
      </c>
      <c r="AH153" s="62">
        <f t="shared" si="162"/>
        <v>0</v>
      </c>
    </row>
    <row r="154" spans="1:34" hidden="1" x14ac:dyDescent="0.2">
      <c r="A154" s="26" t="str">
        <f t="shared" si="159"/>
        <v>Entre Ríos</v>
      </c>
      <c r="B154" s="52">
        <f t="shared" si="160"/>
        <v>0</v>
      </c>
      <c r="C154" s="26" t="str">
        <f t="shared" si="161"/>
        <v>Entre Ríos 0</v>
      </c>
      <c r="D154" s="31">
        <f>VLOOKUP($A154,$A$4:$O$28,8,0)*(HLOOKUP(D$146,'2.2.Brecha Efectiva x UdM'!$H$25:$AK$32,5,0))</f>
        <v>0</v>
      </c>
      <c r="E154" s="31">
        <f>VLOOKUP($A154,$A$4:$O$28,8,0)*(HLOOKUP(E$146,'2.2.Brecha Efectiva x UdM'!$H$25:$AK$32,5,0))</f>
        <v>0</v>
      </c>
      <c r="F154" s="31">
        <f>VLOOKUP($A154,$A$4:$O$28,8,0)*(HLOOKUP(F$146,'2.2.Brecha Efectiva x UdM'!$H$25:$AK$32,5,0))</f>
        <v>0</v>
      </c>
      <c r="G154" s="31">
        <f>VLOOKUP($A154,$A$4:$O$28,8,0)*(HLOOKUP(G$146,'2.2.Brecha Efectiva x UdM'!$H$25:$AK$32,5,0))</f>
        <v>0</v>
      </c>
      <c r="H154" s="31">
        <f>VLOOKUP($A154,$A$4:$O$28,8,0)*(HLOOKUP(H$146,'2.2.Brecha Efectiva x UdM'!$H$25:$AK$32,5,0))</f>
        <v>0</v>
      </c>
      <c r="I154" s="31">
        <f>VLOOKUP($A154,$A$4:$O$28,8,0)*(HLOOKUP(I$146,'2.2.Brecha Efectiva x UdM'!$H$25:$AK$32,5,0))</f>
        <v>0</v>
      </c>
      <c r="J154" s="31">
        <f>VLOOKUP($A154,$A$4:$O$28,8,0)*(HLOOKUP(J$146,'2.2.Brecha Efectiva x UdM'!$H$25:$AK$32,5,0))</f>
        <v>0</v>
      </c>
      <c r="K154" s="31">
        <f>VLOOKUP($A154,$A$4:$O$28,8,0)*(HLOOKUP(K$146,'2.2.Brecha Efectiva x UdM'!$H$25:$AK$32,5,0))</f>
        <v>0</v>
      </c>
      <c r="L154" s="31">
        <f>VLOOKUP($A154,$A$4:$O$28,8,0)*(HLOOKUP(L$146,'2.2.Brecha Efectiva x UdM'!$H$25:$AK$32,5,0))</f>
        <v>0</v>
      </c>
      <c r="M154" s="31">
        <f>VLOOKUP($A154,$A$4:$O$28,8,0)*(HLOOKUP(M$146,'2.2.Brecha Efectiva x UdM'!$H$25:$AK$32,5,0))</f>
        <v>0</v>
      </c>
      <c r="N154" s="31">
        <f>VLOOKUP($A154,$A$4:$O$28,8,0)*(HLOOKUP(N$146,'2.2.Brecha Efectiva x UdM'!$H$25:$AK$32,5,0))</f>
        <v>0</v>
      </c>
      <c r="O154" s="31">
        <f>VLOOKUP($A154,$A$4:$O$28,8,0)*(HLOOKUP(O$146,'2.2.Brecha Efectiva x UdM'!$H$25:$AK$32,5,0))</f>
        <v>0</v>
      </c>
      <c r="P154" s="31">
        <f>VLOOKUP($A154,$A$4:$O$28,8,0)*(HLOOKUP(P$146,'2.2.Brecha Efectiva x UdM'!$H$25:$AK$32,5,0))</f>
        <v>0</v>
      </c>
      <c r="Q154" s="31">
        <f>VLOOKUP($A154,$A$4:$O$28,8,0)*(HLOOKUP(Q$146,'2.2.Brecha Efectiva x UdM'!$H$25:$AK$32,5,0))</f>
        <v>0</v>
      </c>
      <c r="R154" s="31">
        <f>VLOOKUP($A154,$A$4:$O$28,8,0)*(HLOOKUP(R$146,'2.2.Brecha Efectiva x UdM'!$H$25:$AK$32,5,0))</f>
        <v>0</v>
      </c>
      <c r="S154" s="31">
        <f>VLOOKUP($A154,$A$4:$O$28,8,0)*(HLOOKUP(S$146,'2.2.Brecha Efectiva x UdM'!$H$25:$AK$32,5,0))</f>
        <v>0</v>
      </c>
      <c r="T154" s="31">
        <f>VLOOKUP($A154,$A$4:$O$28,8,0)*(HLOOKUP(T$146,'2.2.Brecha Efectiva x UdM'!$H$25:$AK$32,5,0))</f>
        <v>0</v>
      </c>
      <c r="U154" s="31">
        <f>VLOOKUP($A154,$A$4:$O$28,8,0)*(HLOOKUP(U$146,'2.2.Brecha Efectiva x UdM'!$H$25:$AK$32,5,0))</f>
        <v>0</v>
      </c>
      <c r="V154" s="31">
        <f>VLOOKUP($A154,$A$4:$O$28,8,0)*(HLOOKUP(V$146,'2.2.Brecha Efectiva x UdM'!$H$25:$AK$32,5,0))</f>
        <v>0</v>
      </c>
      <c r="W154" s="31">
        <f>VLOOKUP($A154,$A$4:$O$28,8,0)*(HLOOKUP(W$146,'2.2.Brecha Efectiva x UdM'!$H$25:$AK$32,5,0))</f>
        <v>0</v>
      </c>
      <c r="X154" s="31">
        <f>VLOOKUP($A154,$A$4:$O$28,8,0)*(HLOOKUP(X$146,'2.2.Brecha Efectiva x UdM'!$H$25:$AK$32,5,0))</f>
        <v>0</v>
      </c>
      <c r="Y154" s="31">
        <f>VLOOKUP($A154,$A$4:$O$28,8,0)*(HLOOKUP(Y$146,'2.2.Brecha Efectiva x UdM'!$H$25:$AK$32,5,0))</f>
        <v>0</v>
      </c>
      <c r="Z154" s="31">
        <f>VLOOKUP($A154,$A$4:$O$28,8,0)*(HLOOKUP(Z$146,'2.2.Brecha Efectiva x UdM'!$H$25:$AK$32,5,0))</f>
        <v>0</v>
      </c>
      <c r="AA154" s="31">
        <f>VLOOKUP($A154,$A$4:$O$28,8,0)*(HLOOKUP(AA$146,'2.2.Brecha Efectiva x UdM'!$H$25:$AK$32,5,0))</f>
        <v>0</v>
      </c>
      <c r="AB154" s="31">
        <f>VLOOKUP($A154,$A$4:$O$28,8,0)*(HLOOKUP(AB$146,'2.2.Brecha Efectiva x UdM'!$H$25:$AK$32,5,0))</f>
        <v>0</v>
      </c>
      <c r="AC154" s="31">
        <f>VLOOKUP($A154,$A$4:$O$28,8,0)*(HLOOKUP(AC$146,'2.2.Brecha Efectiva x UdM'!$H$25:$AK$32,5,0))</f>
        <v>0</v>
      </c>
      <c r="AD154" s="31">
        <f>VLOOKUP($A154,$A$4:$O$28,8,0)*(HLOOKUP(AD$146,'2.2.Brecha Efectiva x UdM'!$H$25:$AK$32,5,0))</f>
        <v>0</v>
      </c>
      <c r="AE154" s="31">
        <f>VLOOKUP($A154,$A$4:$O$28,8,0)*(HLOOKUP(AE$146,'2.2.Brecha Efectiva x UdM'!$H$25:$AK$32,5,0))</f>
        <v>0</v>
      </c>
      <c r="AF154" s="31">
        <f>VLOOKUP($A154,$A$4:$O$28,8,0)*(HLOOKUP(AF$146,'2.2.Brecha Efectiva x UdM'!$H$25:$AK$32,5,0))</f>
        <v>0</v>
      </c>
      <c r="AG154" s="31">
        <f>VLOOKUP($A154,$A$4:$O$28,8,0)*(HLOOKUP(AG$146,'2.2.Brecha Efectiva x UdM'!$H$25:$AK$32,5,0))</f>
        <v>0</v>
      </c>
      <c r="AH154" s="63">
        <f t="shared" si="162"/>
        <v>0</v>
      </c>
    </row>
    <row r="155" spans="1:34" hidden="1" x14ac:dyDescent="0.2">
      <c r="A155" s="25" t="str">
        <f t="shared" si="159"/>
        <v>Formosa</v>
      </c>
      <c r="B155" s="51">
        <f t="shared" si="160"/>
        <v>0</v>
      </c>
      <c r="C155" s="25" t="str">
        <f t="shared" si="161"/>
        <v>Formosa 0</v>
      </c>
      <c r="D155" s="32">
        <f>VLOOKUP($A155,$A$4:$O$28,8,0)*(HLOOKUP(D$146,'2.2.Brecha Efectiva x UdM'!$H$25:$AK$32,5,0))</f>
        <v>0</v>
      </c>
      <c r="E155" s="32">
        <f>VLOOKUP($A155,$A$4:$O$28,8,0)*(HLOOKUP(E$146,'2.2.Brecha Efectiva x UdM'!$H$25:$AK$32,5,0))</f>
        <v>0</v>
      </c>
      <c r="F155" s="32">
        <f>VLOOKUP($A155,$A$4:$O$28,8,0)*(HLOOKUP(F$146,'2.2.Brecha Efectiva x UdM'!$H$25:$AK$32,5,0))</f>
        <v>0</v>
      </c>
      <c r="G155" s="32">
        <f>VLOOKUP($A155,$A$4:$O$28,8,0)*(HLOOKUP(G$146,'2.2.Brecha Efectiva x UdM'!$H$25:$AK$32,5,0))</f>
        <v>0</v>
      </c>
      <c r="H155" s="32">
        <f>VLOOKUP($A155,$A$4:$O$28,8,0)*(HLOOKUP(H$146,'2.2.Brecha Efectiva x UdM'!$H$25:$AK$32,5,0))</f>
        <v>0</v>
      </c>
      <c r="I155" s="32">
        <f>VLOOKUP($A155,$A$4:$O$28,8,0)*(HLOOKUP(I$146,'2.2.Brecha Efectiva x UdM'!$H$25:$AK$32,5,0))</f>
        <v>0</v>
      </c>
      <c r="J155" s="32">
        <f>VLOOKUP($A155,$A$4:$O$28,8,0)*(HLOOKUP(J$146,'2.2.Brecha Efectiva x UdM'!$H$25:$AK$32,5,0))</f>
        <v>0</v>
      </c>
      <c r="K155" s="32">
        <f>VLOOKUP($A155,$A$4:$O$28,8,0)*(HLOOKUP(K$146,'2.2.Brecha Efectiva x UdM'!$H$25:$AK$32,5,0))</f>
        <v>0</v>
      </c>
      <c r="L155" s="32">
        <f>VLOOKUP($A155,$A$4:$O$28,8,0)*(HLOOKUP(L$146,'2.2.Brecha Efectiva x UdM'!$H$25:$AK$32,5,0))</f>
        <v>0</v>
      </c>
      <c r="M155" s="32">
        <f>VLOOKUP($A155,$A$4:$O$28,8,0)*(HLOOKUP(M$146,'2.2.Brecha Efectiva x UdM'!$H$25:$AK$32,5,0))</f>
        <v>0</v>
      </c>
      <c r="N155" s="32">
        <f>VLOOKUP($A155,$A$4:$O$28,8,0)*(HLOOKUP(N$146,'2.2.Brecha Efectiva x UdM'!$H$25:$AK$32,5,0))</f>
        <v>0</v>
      </c>
      <c r="O155" s="32">
        <f>VLOOKUP($A155,$A$4:$O$28,8,0)*(HLOOKUP(O$146,'2.2.Brecha Efectiva x UdM'!$H$25:$AK$32,5,0))</f>
        <v>0</v>
      </c>
      <c r="P155" s="32">
        <f>VLOOKUP($A155,$A$4:$O$28,8,0)*(HLOOKUP(P$146,'2.2.Brecha Efectiva x UdM'!$H$25:$AK$32,5,0))</f>
        <v>0</v>
      </c>
      <c r="Q155" s="32">
        <f>VLOOKUP($A155,$A$4:$O$28,8,0)*(HLOOKUP(Q$146,'2.2.Brecha Efectiva x UdM'!$H$25:$AK$32,5,0))</f>
        <v>0</v>
      </c>
      <c r="R155" s="32">
        <f>VLOOKUP($A155,$A$4:$O$28,8,0)*(HLOOKUP(R$146,'2.2.Brecha Efectiva x UdM'!$H$25:$AK$32,5,0))</f>
        <v>0</v>
      </c>
      <c r="S155" s="32">
        <f>VLOOKUP($A155,$A$4:$O$28,8,0)*(HLOOKUP(S$146,'2.2.Brecha Efectiva x UdM'!$H$25:$AK$32,5,0))</f>
        <v>0</v>
      </c>
      <c r="T155" s="32">
        <f>VLOOKUP($A155,$A$4:$O$28,8,0)*(HLOOKUP(T$146,'2.2.Brecha Efectiva x UdM'!$H$25:$AK$32,5,0))</f>
        <v>0</v>
      </c>
      <c r="U155" s="32">
        <f>VLOOKUP($A155,$A$4:$O$28,8,0)*(HLOOKUP(U$146,'2.2.Brecha Efectiva x UdM'!$H$25:$AK$32,5,0))</f>
        <v>0</v>
      </c>
      <c r="V155" s="32">
        <f>VLOOKUP($A155,$A$4:$O$28,8,0)*(HLOOKUP(V$146,'2.2.Brecha Efectiva x UdM'!$H$25:$AK$32,5,0))</f>
        <v>0</v>
      </c>
      <c r="W155" s="32">
        <f>VLOOKUP($A155,$A$4:$O$28,8,0)*(HLOOKUP(W$146,'2.2.Brecha Efectiva x UdM'!$H$25:$AK$32,5,0))</f>
        <v>0</v>
      </c>
      <c r="X155" s="32">
        <f>VLOOKUP($A155,$A$4:$O$28,8,0)*(HLOOKUP(X$146,'2.2.Brecha Efectiva x UdM'!$H$25:$AK$32,5,0))</f>
        <v>0</v>
      </c>
      <c r="Y155" s="32">
        <f>VLOOKUP($A155,$A$4:$O$28,8,0)*(HLOOKUP(Y$146,'2.2.Brecha Efectiva x UdM'!$H$25:$AK$32,5,0))</f>
        <v>0</v>
      </c>
      <c r="Z155" s="32">
        <f>VLOOKUP($A155,$A$4:$O$28,8,0)*(HLOOKUP(Z$146,'2.2.Brecha Efectiva x UdM'!$H$25:$AK$32,5,0))</f>
        <v>0</v>
      </c>
      <c r="AA155" s="32">
        <f>VLOOKUP($A155,$A$4:$O$28,8,0)*(HLOOKUP(AA$146,'2.2.Brecha Efectiva x UdM'!$H$25:$AK$32,5,0))</f>
        <v>0</v>
      </c>
      <c r="AB155" s="32">
        <f>VLOOKUP($A155,$A$4:$O$28,8,0)*(HLOOKUP(AB$146,'2.2.Brecha Efectiva x UdM'!$H$25:$AK$32,5,0))</f>
        <v>0</v>
      </c>
      <c r="AC155" s="32">
        <f>VLOOKUP($A155,$A$4:$O$28,8,0)*(HLOOKUP(AC$146,'2.2.Brecha Efectiva x UdM'!$H$25:$AK$32,5,0))</f>
        <v>0</v>
      </c>
      <c r="AD155" s="32">
        <f>VLOOKUP($A155,$A$4:$O$28,8,0)*(HLOOKUP(AD$146,'2.2.Brecha Efectiva x UdM'!$H$25:$AK$32,5,0))</f>
        <v>0</v>
      </c>
      <c r="AE155" s="32">
        <f>VLOOKUP($A155,$A$4:$O$28,8,0)*(HLOOKUP(AE$146,'2.2.Brecha Efectiva x UdM'!$H$25:$AK$32,5,0))</f>
        <v>0</v>
      </c>
      <c r="AF155" s="32">
        <f>VLOOKUP($A155,$A$4:$O$28,8,0)*(HLOOKUP(AF$146,'2.2.Brecha Efectiva x UdM'!$H$25:$AK$32,5,0))</f>
        <v>0</v>
      </c>
      <c r="AG155" s="32">
        <f>VLOOKUP($A155,$A$4:$O$28,8,0)*(HLOOKUP(AG$146,'2.2.Brecha Efectiva x UdM'!$H$25:$AK$32,5,0))</f>
        <v>0</v>
      </c>
      <c r="AH155" s="62">
        <f t="shared" si="162"/>
        <v>0</v>
      </c>
    </row>
    <row r="156" spans="1:34" hidden="1" x14ac:dyDescent="0.2">
      <c r="A156" s="26" t="str">
        <f t="shared" si="159"/>
        <v>Jujuy</v>
      </c>
      <c r="B156" s="52">
        <f t="shared" si="160"/>
        <v>0</v>
      </c>
      <c r="C156" s="26" t="str">
        <f t="shared" si="161"/>
        <v>Jujuy 0</v>
      </c>
      <c r="D156" s="31">
        <f>VLOOKUP($A156,$A$4:$O$28,8,0)*(HLOOKUP(D$146,'2.2.Brecha Efectiva x UdM'!$H$25:$AK$32,5,0))</f>
        <v>0</v>
      </c>
      <c r="E156" s="31">
        <f>VLOOKUP($A156,$A$4:$O$28,8,0)*(HLOOKUP(E$146,'2.2.Brecha Efectiva x UdM'!$H$25:$AK$32,5,0))</f>
        <v>0</v>
      </c>
      <c r="F156" s="31">
        <f>VLOOKUP($A156,$A$4:$O$28,8,0)*(HLOOKUP(F$146,'2.2.Brecha Efectiva x UdM'!$H$25:$AK$32,5,0))</f>
        <v>0</v>
      </c>
      <c r="G156" s="31">
        <f>VLOOKUP($A156,$A$4:$O$28,8,0)*(HLOOKUP(G$146,'2.2.Brecha Efectiva x UdM'!$H$25:$AK$32,5,0))</f>
        <v>0</v>
      </c>
      <c r="H156" s="31">
        <f>VLOOKUP($A156,$A$4:$O$28,8,0)*(HLOOKUP(H$146,'2.2.Brecha Efectiva x UdM'!$H$25:$AK$32,5,0))</f>
        <v>0</v>
      </c>
      <c r="I156" s="31">
        <f>VLOOKUP($A156,$A$4:$O$28,8,0)*(HLOOKUP(I$146,'2.2.Brecha Efectiva x UdM'!$H$25:$AK$32,5,0))</f>
        <v>0</v>
      </c>
      <c r="J156" s="31">
        <f>VLOOKUP($A156,$A$4:$O$28,8,0)*(HLOOKUP(J$146,'2.2.Brecha Efectiva x UdM'!$H$25:$AK$32,5,0))</f>
        <v>0</v>
      </c>
      <c r="K156" s="31">
        <f>VLOOKUP($A156,$A$4:$O$28,8,0)*(HLOOKUP(K$146,'2.2.Brecha Efectiva x UdM'!$H$25:$AK$32,5,0))</f>
        <v>0</v>
      </c>
      <c r="L156" s="31">
        <f>VLOOKUP($A156,$A$4:$O$28,8,0)*(HLOOKUP(L$146,'2.2.Brecha Efectiva x UdM'!$H$25:$AK$32,5,0))</f>
        <v>0</v>
      </c>
      <c r="M156" s="31">
        <f>VLOOKUP($A156,$A$4:$O$28,8,0)*(HLOOKUP(M$146,'2.2.Brecha Efectiva x UdM'!$H$25:$AK$32,5,0))</f>
        <v>0</v>
      </c>
      <c r="N156" s="31">
        <f>VLOOKUP($A156,$A$4:$O$28,8,0)*(HLOOKUP(N$146,'2.2.Brecha Efectiva x UdM'!$H$25:$AK$32,5,0))</f>
        <v>0</v>
      </c>
      <c r="O156" s="31">
        <f>VLOOKUP($A156,$A$4:$O$28,8,0)*(HLOOKUP(O$146,'2.2.Brecha Efectiva x UdM'!$H$25:$AK$32,5,0))</f>
        <v>0</v>
      </c>
      <c r="P156" s="31">
        <f>VLOOKUP($A156,$A$4:$O$28,8,0)*(HLOOKUP(P$146,'2.2.Brecha Efectiva x UdM'!$H$25:$AK$32,5,0))</f>
        <v>0</v>
      </c>
      <c r="Q156" s="31">
        <f>VLOOKUP($A156,$A$4:$O$28,8,0)*(HLOOKUP(Q$146,'2.2.Brecha Efectiva x UdM'!$H$25:$AK$32,5,0))</f>
        <v>0</v>
      </c>
      <c r="R156" s="31">
        <f>VLOOKUP($A156,$A$4:$O$28,8,0)*(HLOOKUP(R$146,'2.2.Brecha Efectiva x UdM'!$H$25:$AK$32,5,0))</f>
        <v>0</v>
      </c>
      <c r="S156" s="31">
        <f>VLOOKUP($A156,$A$4:$O$28,8,0)*(HLOOKUP(S$146,'2.2.Brecha Efectiva x UdM'!$H$25:$AK$32,5,0))</f>
        <v>0</v>
      </c>
      <c r="T156" s="31">
        <f>VLOOKUP($A156,$A$4:$O$28,8,0)*(HLOOKUP(T$146,'2.2.Brecha Efectiva x UdM'!$H$25:$AK$32,5,0))</f>
        <v>0</v>
      </c>
      <c r="U156" s="31">
        <f>VLOOKUP($A156,$A$4:$O$28,8,0)*(HLOOKUP(U$146,'2.2.Brecha Efectiva x UdM'!$H$25:$AK$32,5,0))</f>
        <v>0</v>
      </c>
      <c r="V156" s="31">
        <f>VLOOKUP($A156,$A$4:$O$28,8,0)*(HLOOKUP(V$146,'2.2.Brecha Efectiva x UdM'!$H$25:$AK$32,5,0))</f>
        <v>0</v>
      </c>
      <c r="W156" s="31">
        <f>VLOOKUP($A156,$A$4:$O$28,8,0)*(HLOOKUP(W$146,'2.2.Brecha Efectiva x UdM'!$H$25:$AK$32,5,0))</f>
        <v>0</v>
      </c>
      <c r="X156" s="31">
        <f>VLOOKUP($A156,$A$4:$O$28,8,0)*(HLOOKUP(X$146,'2.2.Brecha Efectiva x UdM'!$H$25:$AK$32,5,0))</f>
        <v>0</v>
      </c>
      <c r="Y156" s="31">
        <f>VLOOKUP($A156,$A$4:$O$28,8,0)*(HLOOKUP(Y$146,'2.2.Brecha Efectiva x UdM'!$H$25:$AK$32,5,0))</f>
        <v>0</v>
      </c>
      <c r="Z156" s="31">
        <f>VLOOKUP($A156,$A$4:$O$28,8,0)*(HLOOKUP(Z$146,'2.2.Brecha Efectiva x UdM'!$H$25:$AK$32,5,0))</f>
        <v>0</v>
      </c>
      <c r="AA156" s="31">
        <f>VLOOKUP($A156,$A$4:$O$28,8,0)*(HLOOKUP(AA$146,'2.2.Brecha Efectiva x UdM'!$H$25:$AK$32,5,0))</f>
        <v>0</v>
      </c>
      <c r="AB156" s="31">
        <f>VLOOKUP($A156,$A$4:$O$28,8,0)*(HLOOKUP(AB$146,'2.2.Brecha Efectiva x UdM'!$H$25:$AK$32,5,0))</f>
        <v>0</v>
      </c>
      <c r="AC156" s="31">
        <f>VLOOKUP($A156,$A$4:$O$28,8,0)*(HLOOKUP(AC$146,'2.2.Brecha Efectiva x UdM'!$H$25:$AK$32,5,0))</f>
        <v>0</v>
      </c>
      <c r="AD156" s="31">
        <f>VLOOKUP($A156,$A$4:$O$28,8,0)*(HLOOKUP(AD$146,'2.2.Brecha Efectiva x UdM'!$H$25:$AK$32,5,0))</f>
        <v>0</v>
      </c>
      <c r="AE156" s="31">
        <f>VLOOKUP($A156,$A$4:$O$28,8,0)*(HLOOKUP(AE$146,'2.2.Brecha Efectiva x UdM'!$H$25:$AK$32,5,0))</f>
        <v>0</v>
      </c>
      <c r="AF156" s="31">
        <f>VLOOKUP($A156,$A$4:$O$28,8,0)*(HLOOKUP(AF$146,'2.2.Brecha Efectiva x UdM'!$H$25:$AK$32,5,0))</f>
        <v>0</v>
      </c>
      <c r="AG156" s="31">
        <f>VLOOKUP($A156,$A$4:$O$28,8,0)*(HLOOKUP(AG$146,'2.2.Brecha Efectiva x UdM'!$H$25:$AK$32,5,0))</f>
        <v>0</v>
      </c>
      <c r="AH156" s="63">
        <f t="shared" si="162"/>
        <v>0</v>
      </c>
    </row>
    <row r="157" spans="1:34" hidden="1" x14ac:dyDescent="0.2">
      <c r="A157" s="25" t="str">
        <f t="shared" si="159"/>
        <v>La Pampa</v>
      </c>
      <c r="B157" s="51">
        <f t="shared" si="160"/>
        <v>0</v>
      </c>
      <c r="C157" s="25" t="str">
        <f t="shared" si="161"/>
        <v>La Pampa 0</v>
      </c>
      <c r="D157" s="32">
        <f>VLOOKUP($A157,$A$4:$O$28,8,0)*(HLOOKUP(D$146,'2.2.Brecha Efectiva x UdM'!$H$25:$AK$32,5,0))</f>
        <v>0</v>
      </c>
      <c r="E157" s="32">
        <f>VLOOKUP($A157,$A$4:$O$28,8,0)*(HLOOKUP(E$146,'2.2.Brecha Efectiva x UdM'!$H$25:$AK$32,5,0))</f>
        <v>0</v>
      </c>
      <c r="F157" s="32">
        <f>VLOOKUP($A157,$A$4:$O$28,8,0)*(HLOOKUP(F$146,'2.2.Brecha Efectiva x UdM'!$H$25:$AK$32,5,0))</f>
        <v>0</v>
      </c>
      <c r="G157" s="32">
        <f>VLOOKUP($A157,$A$4:$O$28,8,0)*(HLOOKUP(G$146,'2.2.Brecha Efectiva x UdM'!$H$25:$AK$32,5,0))</f>
        <v>0</v>
      </c>
      <c r="H157" s="32">
        <f>VLOOKUP($A157,$A$4:$O$28,8,0)*(HLOOKUP(H$146,'2.2.Brecha Efectiva x UdM'!$H$25:$AK$32,5,0))</f>
        <v>0</v>
      </c>
      <c r="I157" s="32">
        <f>VLOOKUP($A157,$A$4:$O$28,8,0)*(HLOOKUP(I$146,'2.2.Brecha Efectiva x UdM'!$H$25:$AK$32,5,0))</f>
        <v>0</v>
      </c>
      <c r="J157" s="32">
        <f>VLOOKUP($A157,$A$4:$O$28,8,0)*(HLOOKUP(J$146,'2.2.Brecha Efectiva x UdM'!$H$25:$AK$32,5,0))</f>
        <v>0</v>
      </c>
      <c r="K157" s="32">
        <f>VLOOKUP($A157,$A$4:$O$28,8,0)*(HLOOKUP(K$146,'2.2.Brecha Efectiva x UdM'!$H$25:$AK$32,5,0))</f>
        <v>0</v>
      </c>
      <c r="L157" s="32">
        <f>VLOOKUP($A157,$A$4:$O$28,8,0)*(HLOOKUP(L$146,'2.2.Brecha Efectiva x UdM'!$H$25:$AK$32,5,0))</f>
        <v>0</v>
      </c>
      <c r="M157" s="32">
        <f>VLOOKUP($A157,$A$4:$O$28,8,0)*(HLOOKUP(M$146,'2.2.Brecha Efectiva x UdM'!$H$25:$AK$32,5,0))</f>
        <v>0</v>
      </c>
      <c r="N157" s="32">
        <f>VLOOKUP($A157,$A$4:$O$28,8,0)*(HLOOKUP(N$146,'2.2.Brecha Efectiva x UdM'!$H$25:$AK$32,5,0))</f>
        <v>0</v>
      </c>
      <c r="O157" s="32">
        <f>VLOOKUP($A157,$A$4:$O$28,8,0)*(HLOOKUP(O$146,'2.2.Brecha Efectiva x UdM'!$H$25:$AK$32,5,0))</f>
        <v>0</v>
      </c>
      <c r="P157" s="32">
        <f>VLOOKUP($A157,$A$4:$O$28,8,0)*(HLOOKUP(P$146,'2.2.Brecha Efectiva x UdM'!$H$25:$AK$32,5,0))</f>
        <v>0</v>
      </c>
      <c r="Q157" s="32">
        <f>VLOOKUP($A157,$A$4:$O$28,8,0)*(HLOOKUP(Q$146,'2.2.Brecha Efectiva x UdM'!$H$25:$AK$32,5,0))</f>
        <v>0</v>
      </c>
      <c r="R157" s="32">
        <f>VLOOKUP($A157,$A$4:$O$28,8,0)*(HLOOKUP(R$146,'2.2.Brecha Efectiva x UdM'!$H$25:$AK$32,5,0))</f>
        <v>0</v>
      </c>
      <c r="S157" s="32">
        <f>VLOOKUP($A157,$A$4:$O$28,8,0)*(HLOOKUP(S$146,'2.2.Brecha Efectiva x UdM'!$H$25:$AK$32,5,0))</f>
        <v>0</v>
      </c>
      <c r="T157" s="32">
        <f>VLOOKUP($A157,$A$4:$O$28,8,0)*(HLOOKUP(T$146,'2.2.Brecha Efectiva x UdM'!$H$25:$AK$32,5,0))</f>
        <v>0</v>
      </c>
      <c r="U157" s="32">
        <f>VLOOKUP($A157,$A$4:$O$28,8,0)*(HLOOKUP(U$146,'2.2.Brecha Efectiva x UdM'!$H$25:$AK$32,5,0))</f>
        <v>0</v>
      </c>
      <c r="V157" s="32">
        <f>VLOOKUP($A157,$A$4:$O$28,8,0)*(HLOOKUP(V$146,'2.2.Brecha Efectiva x UdM'!$H$25:$AK$32,5,0))</f>
        <v>0</v>
      </c>
      <c r="W157" s="32">
        <f>VLOOKUP($A157,$A$4:$O$28,8,0)*(HLOOKUP(W$146,'2.2.Brecha Efectiva x UdM'!$H$25:$AK$32,5,0))</f>
        <v>0</v>
      </c>
      <c r="X157" s="32">
        <f>VLOOKUP($A157,$A$4:$O$28,8,0)*(HLOOKUP(X$146,'2.2.Brecha Efectiva x UdM'!$H$25:$AK$32,5,0))</f>
        <v>0</v>
      </c>
      <c r="Y157" s="32">
        <f>VLOOKUP($A157,$A$4:$O$28,8,0)*(HLOOKUP(Y$146,'2.2.Brecha Efectiva x UdM'!$H$25:$AK$32,5,0))</f>
        <v>0</v>
      </c>
      <c r="Z157" s="32">
        <f>VLOOKUP($A157,$A$4:$O$28,8,0)*(HLOOKUP(Z$146,'2.2.Brecha Efectiva x UdM'!$H$25:$AK$32,5,0))</f>
        <v>0</v>
      </c>
      <c r="AA157" s="32">
        <f>VLOOKUP($A157,$A$4:$O$28,8,0)*(HLOOKUP(AA$146,'2.2.Brecha Efectiva x UdM'!$H$25:$AK$32,5,0))</f>
        <v>0</v>
      </c>
      <c r="AB157" s="32">
        <f>VLOOKUP($A157,$A$4:$O$28,8,0)*(HLOOKUP(AB$146,'2.2.Brecha Efectiva x UdM'!$H$25:$AK$32,5,0))</f>
        <v>0</v>
      </c>
      <c r="AC157" s="32">
        <f>VLOOKUP($A157,$A$4:$O$28,8,0)*(HLOOKUP(AC$146,'2.2.Brecha Efectiva x UdM'!$H$25:$AK$32,5,0))</f>
        <v>0</v>
      </c>
      <c r="AD157" s="32">
        <f>VLOOKUP($A157,$A$4:$O$28,8,0)*(HLOOKUP(AD$146,'2.2.Brecha Efectiva x UdM'!$H$25:$AK$32,5,0))</f>
        <v>0</v>
      </c>
      <c r="AE157" s="32">
        <f>VLOOKUP($A157,$A$4:$O$28,8,0)*(HLOOKUP(AE$146,'2.2.Brecha Efectiva x UdM'!$H$25:$AK$32,5,0))</f>
        <v>0</v>
      </c>
      <c r="AF157" s="32">
        <f>VLOOKUP($A157,$A$4:$O$28,8,0)*(HLOOKUP(AF$146,'2.2.Brecha Efectiva x UdM'!$H$25:$AK$32,5,0))</f>
        <v>0</v>
      </c>
      <c r="AG157" s="32">
        <f>VLOOKUP($A157,$A$4:$O$28,8,0)*(HLOOKUP(AG$146,'2.2.Brecha Efectiva x UdM'!$H$25:$AK$32,5,0))</f>
        <v>0</v>
      </c>
      <c r="AH157" s="62">
        <f t="shared" si="162"/>
        <v>0</v>
      </c>
    </row>
    <row r="158" spans="1:34" hidden="1" x14ac:dyDescent="0.2">
      <c r="A158" s="26" t="str">
        <f t="shared" si="159"/>
        <v>La Rioja</v>
      </c>
      <c r="B158" s="52">
        <f t="shared" si="160"/>
        <v>0</v>
      </c>
      <c r="C158" s="26" t="str">
        <f t="shared" si="161"/>
        <v>La Rioja 0</v>
      </c>
      <c r="D158" s="31">
        <f>VLOOKUP($A158,$A$4:$O$28,8,0)*(HLOOKUP(D$146,'2.2.Brecha Efectiva x UdM'!$H$25:$AK$32,5,0))</f>
        <v>0</v>
      </c>
      <c r="E158" s="31">
        <f>VLOOKUP($A158,$A$4:$O$28,8,0)*(HLOOKUP(E$146,'2.2.Brecha Efectiva x UdM'!$H$25:$AK$32,5,0))</f>
        <v>0</v>
      </c>
      <c r="F158" s="31">
        <f>VLOOKUP($A158,$A$4:$O$28,8,0)*(HLOOKUP(F$146,'2.2.Brecha Efectiva x UdM'!$H$25:$AK$32,5,0))</f>
        <v>0</v>
      </c>
      <c r="G158" s="31">
        <f>VLOOKUP($A158,$A$4:$O$28,8,0)*(HLOOKUP(G$146,'2.2.Brecha Efectiva x UdM'!$H$25:$AK$32,5,0))</f>
        <v>0</v>
      </c>
      <c r="H158" s="31">
        <f>VLOOKUP($A158,$A$4:$O$28,8,0)*(HLOOKUP(H$146,'2.2.Brecha Efectiva x UdM'!$H$25:$AK$32,5,0))</f>
        <v>0</v>
      </c>
      <c r="I158" s="31">
        <f>VLOOKUP($A158,$A$4:$O$28,8,0)*(HLOOKUP(I$146,'2.2.Brecha Efectiva x UdM'!$H$25:$AK$32,5,0))</f>
        <v>0</v>
      </c>
      <c r="J158" s="31">
        <f>VLOOKUP($A158,$A$4:$O$28,8,0)*(HLOOKUP(J$146,'2.2.Brecha Efectiva x UdM'!$H$25:$AK$32,5,0))</f>
        <v>0</v>
      </c>
      <c r="K158" s="31">
        <f>VLOOKUP($A158,$A$4:$O$28,8,0)*(HLOOKUP(K$146,'2.2.Brecha Efectiva x UdM'!$H$25:$AK$32,5,0))</f>
        <v>0</v>
      </c>
      <c r="L158" s="31">
        <f>VLOOKUP($A158,$A$4:$O$28,8,0)*(HLOOKUP(L$146,'2.2.Brecha Efectiva x UdM'!$H$25:$AK$32,5,0))</f>
        <v>0</v>
      </c>
      <c r="M158" s="31">
        <f>VLOOKUP($A158,$A$4:$O$28,8,0)*(HLOOKUP(M$146,'2.2.Brecha Efectiva x UdM'!$H$25:$AK$32,5,0))</f>
        <v>0</v>
      </c>
      <c r="N158" s="31">
        <f>VLOOKUP($A158,$A$4:$O$28,8,0)*(HLOOKUP(N$146,'2.2.Brecha Efectiva x UdM'!$H$25:$AK$32,5,0))</f>
        <v>0</v>
      </c>
      <c r="O158" s="31">
        <f>VLOOKUP($A158,$A$4:$O$28,8,0)*(HLOOKUP(O$146,'2.2.Brecha Efectiva x UdM'!$H$25:$AK$32,5,0))</f>
        <v>0</v>
      </c>
      <c r="P158" s="31">
        <f>VLOOKUP($A158,$A$4:$O$28,8,0)*(HLOOKUP(P$146,'2.2.Brecha Efectiva x UdM'!$H$25:$AK$32,5,0))</f>
        <v>0</v>
      </c>
      <c r="Q158" s="31">
        <f>VLOOKUP($A158,$A$4:$O$28,8,0)*(HLOOKUP(Q$146,'2.2.Brecha Efectiva x UdM'!$H$25:$AK$32,5,0))</f>
        <v>0</v>
      </c>
      <c r="R158" s="31">
        <f>VLOOKUP($A158,$A$4:$O$28,8,0)*(HLOOKUP(R$146,'2.2.Brecha Efectiva x UdM'!$H$25:$AK$32,5,0))</f>
        <v>0</v>
      </c>
      <c r="S158" s="31">
        <f>VLOOKUP($A158,$A$4:$O$28,8,0)*(HLOOKUP(S$146,'2.2.Brecha Efectiva x UdM'!$H$25:$AK$32,5,0))</f>
        <v>0</v>
      </c>
      <c r="T158" s="31">
        <f>VLOOKUP($A158,$A$4:$O$28,8,0)*(HLOOKUP(T$146,'2.2.Brecha Efectiva x UdM'!$H$25:$AK$32,5,0))</f>
        <v>0</v>
      </c>
      <c r="U158" s="31">
        <f>VLOOKUP($A158,$A$4:$O$28,8,0)*(HLOOKUP(U$146,'2.2.Brecha Efectiva x UdM'!$H$25:$AK$32,5,0))</f>
        <v>0</v>
      </c>
      <c r="V158" s="31">
        <f>VLOOKUP($A158,$A$4:$O$28,8,0)*(HLOOKUP(V$146,'2.2.Brecha Efectiva x UdM'!$H$25:$AK$32,5,0))</f>
        <v>0</v>
      </c>
      <c r="W158" s="31">
        <f>VLOOKUP($A158,$A$4:$O$28,8,0)*(HLOOKUP(W$146,'2.2.Brecha Efectiva x UdM'!$H$25:$AK$32,5,0))</f>
        <v>0</v>
      </c>
      <c r="X158" s="31">
        <f>VLOOKUP($A158,$A$4:$O$28,8,0)*(HLOOKUP(X$146,'2.2.Brecha Efectiva x UdM'!$H$25:$AK$32,5,0))</f>
        <v>0</v>
      </c>
      <c r="Y158" s="31">
        <f>VLOOKUP($A158,$A$4:$O$28,8,0)*(HLOOKUP(Y$146,'2.2.Brecha Efectiva x UdM'!$H$25:$AK$32,5,0))</f>
        <v>0</v>
      </c>
      <c r="Z158" s="31">
        <f>VLOOKUP($A158,$A$4:$O$28,8,0)*(HLOOKUP(Z$146,'2.2.Brecha Efectiva x UdM'!$H$25:$AK$32,5,0))</f>
        <v>0</v>
      </c>
      <c r="AA158" s="31">
        <f>VLOOKUP($A158,$A$4:$O$28,8,0)*(HLOOKUP(AA$146,'2.2.Brecha Efectiva x UdM'!$H$25:$AK$32,5,0))</f>
        <v>0</v>
      </c>
      <c r="AB158" s="31">
        <f>VLOOKUP($A158,$A$4:$O$28,8,0)*(HLOOKUP(AB$146,'2.2.Brecha Efectiva x UdM'!$H$25:$AK$32,5,0))</f>
        <v>0</v>
      </c>
      <c r="AC158" s="31">
        <f>VLOOKUP($A158,$A$4:$O$28,8,0)*(HLOOKUP(AC$146,'2.2.Brecha Efectiva x UdM'!$H$25:$AK$32,5,0))</f>
        <v>0</v>
      </c>
      <c r="AD158" s="31">
        <f>VLOOKUP($A158,$A$4:$O$28,8,0)*(HLOOKUP(AD$146,'2.2.Brecha Efectiva x UdM'!$H$25:$AK$32,5,0))</f>
        <v>0</v>
      </c>
      <c r="AE158" s="31">
        <f>VLOOKUP($A158,$A$4:$O$28,8,0)*(HLOOKUP(AE$146,'2.2.Brecha Efectiva x UdM'!$H$25:$AK$32,5,0))</f>
        <v>0</v>
      </c>
      <c r="AF158" s="31">
        <f>VLOOKUP($A158,$A$4:$O$28,8,0)*(HLOOKUP(AF$146,'2.2.Brecha Efectiva x UdM'!$H$25:$AK$32,5,0))</f>
        <v>0</v>
      </c>
      <c r="AG158" s="31">
        <f>VLOOKUP($A158,$A$4:$O$28,8,0)*(HLOOKUP(AG$146,'2.2.Brecha Efectiva x UdM'!$H$25:$AK$32,5,0))</f>
        <v>0</v>
      </c>
      <c r="AH158" s="63">
        <f t="shared" si="162"/>
        <v>0</v>
      </c>
    </row>
    <row r="159" spans="1:34" hidden="1" x14ac:dyDescent="0.2">
      <c r="A159" s="25" t="str">
        <f t="shared" si="159"/>
        <v>Mendoza</v>
      </c>
      <c r="B159" s="51">
        <f t="shared" si="160"/>
        <v>0</v>
      </c>
      <c r="C159" s="25" t="str">
        <f t="shared" si="161"/>
        <v>Mendoza 0</v>
      </c>
      <c r="D159" s="32">
        <f>VLOOKUP($A159,$A$4:$O$28,8,0)*(HLOOKUP(D$146,'2.2.Brecha Efectiva x UdM'!$H$25:$AK$32,5,0))</f>
        <v>0</v>
      </c>
      <c r="E159" s="32">
        <f>VLOOKUP($A159,$A$4:$O$28,8,0)*(HLOOKUP(E$146,'2.2.Brecha Efectiva x UdM'!$H$25:$AK$32,5,0))</f>
        <v>0</v>
      </c>
      <c r="F159" s="32">
        <f>VLOOKUP($A159,$A$4:$O$28,8,0)*(HLOOKUP(F$146,'2.2.Brecha Efectiva x UdM'!$H$25:$AK$32,5,0))</f>
        <v>0</v>
      </c>
      <c r="G159" s="32">
        <f>VLOOKUP($A159,$A$4:$O$28,8,0)*(HLOOKUP(G$146,'2.2.Brecha Efectiva x UdM'!$H$25:$AK$32,5,0))</f>
        <v>0</v>
      </c>
      <c r="H159" s="32">
        <f>VLOOKUP($A159,$A$4:$O$28,8,0)*(HLOOKUP(H$146,'2.2.Brecha Efectiva x UdM'!$H$25:$AK$32,5,0))</f>
        <v>0</v>
      </c>
      <c r="I159" s="32">
        <f>VLOOKUP($A159,$A$4:$O$28,8,0)*(HLOOKUP(I$146,'2.2.Brecha Efectiva x UdM'!$H$25:$AK$32,5,0))</f>
        <v>0</v>
      </c>
      <c r="J159" s="32">
        <f>VLOOKUP($A159,$A$4:$O$28,8,0)*(HLOOKUP(J$146,'2.2.Brecha Efectiva x UdM'!$H$25:$AK$32,5,0))</f>
        <v>0</v>
      </c>
      <c r="K159" s="32">
        <f>VLOOKUP($A159,$A$4:$O$28,8,0)*(HLOOKUP(K$146,'2.2.Brecha Efectiva x UdM'!$H$25:$AK$32,5,0))</f>
        <v>0</v>
      </c>
      <c r="L159" s="32">
        <f>VLOOKUP($A159,$A$4:$O$28,8,0)*(HLOOKUP(L$146,'2.2.Brecha Efectiva x UdM'!$H$25:$AK$32,5,0))</f>
        <v>0</v>
      </c>
      <c r="M159" s="32">
        <f>VLOOKUP($A159,$A$4:$O$28,8,0)*(HLOOKUP(M$146,'2.2.Brecha Efectiva x UdM'!$H$25:$AK$32,5,0))</f>
        <v>0</v>
      </c>
      <c r="N159" s="32">
        <f>VLOOKUP($A159,$A$4:$O$28,8,0)*(HLOOKUP(N$146,'2.2.Brecha Efectiva x UdM'!$H$25:$AK$32,5,0))</f>
        <v>0</v>
      </c>
      <c r="O159" s="32">
        <f>VLOOKUP($A159,$A$4:$O$28,8,0)*(HLOOKUP(O$146,'2.2.Brecha Efectiva x UdM'!$H$25:$AK$32,5,0))</f>
        <v>0</v>
      </c>
      <c r="P159" s="32">
        <f>VLOOKUP($A159,$A$4:$O$28,8,0)*(HLOOKUP(P$146,'2.2.Brecha Efectiva x UdM'!$H$25:$AK$32,5,0))</f>
        <v>0</v>
      </c>
      <c r="Q159" s="32">
        <f>VLOOKUP($A159,$A$4:$O$28,8,0)*(HLOOKUP(Q$146,'2.2.Brecha Efectiva x UdM'!$H$25:$AK$32,5,0))</f>
        <v>0</v>
      </c>
      <c r="R159" s="32">
        <f>VLOOKUP($A159,$A$4:$O$28,8,0)*(HLOOKUP(R$146,'2.2.Brecha Efectiva x UdM'!$H$25:$AK$32,5,0))</f>
        <v>0</v>
      </c>
      <c r="S159" s="32">
        <f>VLOOKUP($A159,$A$4:$O$28,8,0)*(HLOOKUP(S$146,'2.2.Brecha Efectiva x UdM'!$H$25:$AK$32,5,0))</f>
        <v>0</v>
      </c>
      <c r="T159" s="32">
        <f>VLOOKUP($A159,$A$4:$O$28,8,0)*(HLOOKUP(T$146,'2.2.Brecha Efectiva x UdM'!$H$25:$AK$32,5,0))</f>
        <v>0</v>
      </c>
      <c r="U159" s="32">
        <f>VLOOKUP($A159,$A$4:$O$28,8,0)*(HLOOKUP(U$146,'2.2.Brecha Efectiva x UdM'!$H$25:$AK$32,5,0))</f>
        <v>0</v>
      </c>
      <c r="V159" s="32">
        <f>VLOOKUP($A159,$A$4:$O$28,8,0)*(HLOOKUP(V$146,'2.2.Brecha Efectiva x UdM'!$H$25:$AK$32,5,0))</f>
        <v>0</v>
      </c>
      <c r="W159" s="32">
        <f>VLOOKUP($A159,$A$4:$O$28,8,0)*(HLOOKUP(W$146,'2.2.Brecha Efectiva x UdM'!$H$25:$AK$32,5,0))</f>
        <v>0</v>
      </c>
      <c r="X159" s="32">
        <f>VLOOKUP($A159,$A$4:$O$28,8,0)*(HLOOKUP(X$146,'2.2.Brecha Efectiva x UdM'!$H$25:$AK$32,5,0))</f>
        <v>0</v>
      </c>
      <c r="Y159" s="32">
        <f>VLOOKUP($A159,$A$4:$O$28,8,0)*(HLOOKUP(Y$146,'2.2.Brecha Efectiva x UdM'!$H$25:$AK$32,5,0))</f>
        <v>0</v>
      </c>
      <c r="Z159" s="32">
        <f>VLOOKUP($A159,$A$4:$O$28,8,0)*(HLOOKUP(Z$146,'2.2.Brecha Efectiva x UdM'!$H$25:$AK$32,5,0))</f>
        <v>0</v>
      </c>
      <c r="AA159" s="32">
        <f>VLOOKUP($A159,$A$4:$O$28,8,0)*(HLOOKUP(AA$146,'2.2.Brecha Efectiva x UdM'!$H$25:$AK$32,5,0))</f>
        <v>0</v>
      </c>
      <c r="AB159" s="32">
        <f>VLOOKUP($A159,$A$4:$O$28,8,0)*(HLOOKUP(AB$146,'2.2.Brecha Efectiva x UdM'!$H$25:$AK$32,5,0))</f>
        <v>0</v>
      </c>
      <c r="AC159" s="32">
        <f>VLOOKUP($A159,$A$4:$O$28,8,0)*(HLOOKUP(AC$146,'2.2.Brecha Efectiva x UdM'!$H$25:$AK$32,5,0))</f>
        <v>0</v>
      </c>
      <c r="AD159" s="32">
        <f>VLOOKUP($A159,$A$4:$O$28,8,0)*(HLOOKUP(AD$146,'2.2.Brecha Efectiva x UdM'!$H$25:$AK$32,5,0))</f>
        <v>0</v>
      </c>
      <c r="AE159" s="32">
        <f>VLOOKUP($A159,$A$4:$O$28,8,0)*(HLOOKUP(AE$146,'2.2.Brecha Efectiva x UdM'!$H$25:$AK$32,5,0))</f>
        <v>0</v>
      </c>
      <c r="AF159" s="32">
        <f>VLOOKUP($A159,$A$4:$O$28,8,0)*(HLOOKUP(AF$146,'2.2.Brecha Efectiva x UdM'!$H$25:$AK$32,5,0))</f>
        <v>0</v>
      </c>
      <c r="AG159" s="32">
        <f>VLOOKUP($A159,$A$4:$O$28,8,0)*(HLOOKUP(AG$146,'2.2.Brecha Efectiva x UdM'!$H$25:$AK$32,5,0))</f>
        <v>0</v>
      </c>
      <c r="AH159" s="62">
        <f t="shared" si="162"/>
        <v>0</v>
      </c>
    </row>
    <row r="160" spans="1:34" hidden="1" x14ac:dyDescent="0.2">
      <c r="A160" s="26" t="str">
        <f t="shared" si="159"/>
        <v>Misiones</v>
      </c>
      <c r="B160" s="52">
        <f t="shared" si="160"/>
        <v>0</v>
      </c>
      <c r="C160" s="26" t="str">
        <f t="shared" si="161"/>
        <v>Misiones 0</v>
      </c>
      <c r="D160" s="31">
        <f>VLOOKUP($A160,$A$4:$O$28,8,0)*(HLOOKUP(D$146,'2.2.Brecha Efectiva x UdM'!$H$25:$AK$32,5,0))</f>
        <v>0</v>
      </c>
      <c r="E160" s="31">
        <f>VLOOKUP($A160,$A$4:$O$28,8,0)*(HLOOKUP(E$146,'2.2.Brecha Efectiva x UdM'!$H$25:$AK$32,5,0))</f>
        <v>0</v>
      </c>
      <c r="F160" s="31">
        <f>VLOOKUP($A160,$A$4:$O$28,8,0)*(HLOOKUP(F$146,'2.2.Brecha Efectiva x UdM'!$H$25:$AK$32,5,0))</f>
        <v>0</v>
      </c>
      <c r="G160" s="31">
        <f>VLOOKUP($A160,$A$4:$O$28,8,0)*(HLOOKUP(G$146,'2.2.Brecha Efectiva x UdM'!$H$25:$AK$32,5,0))</f>
        <v>0</v>
      </c>
      <c r="H160" s="31">
        <f>VLOOKUP($A160,$A$4:$O$28,8,0)*(HLOOKUP(H$146,'2.2.Brecha Efectiva x UdM'!$H$25:$AK$32,5,0))</f>
        <v>0</v>
      </c>
      <c r="I160" s="31">
        <f>VLOOKUP($A160,$A$4:$O$28,8,0)*(HLOOKUP(I$146,'2.2.Brecha Efectiva x UdM'!$H$25:$AK$32,5,0))</f>
        <v>0</v>
      </c>
      <c r="J160" s="31">
        <f>VLOOKUP($A160,$A$4:$O$28,8,0)*(HLOOKUP(J$146,'2.2.Brecha Efectiva x UdM'!$H$25:$AK$32,5,0))</f>
        <v>0</v>
      </c>
      <c r="K160" s="31">
        <f>VLOOKUP($A160,$A$4:$O$28,8,0)*(HLOOKUP(K$146,'2.2.Brecha Efectiva x UdM'!$H$25:$AK$32,5,0))</f>
        <v>0</v>
      </c>
      <c r="L160" s="31">
        <f>VLOOKUP($A160,$A$4:$O$28,8,0)*(HLOOKUP(L$146,'2.2.Brecha Efectiva x UdM'!$H$25:$AK$32,5,0))</f>
        <v>0</v>
      </c>
      <c r="M160" s="31">
        <f>VLOOKUP($A160,$A$4:$O$28,8,0)*(HLOOKUP(M$146,'2.2.Brecha Efectiva x UdM'!$H$25:$AK$32,5,0))</f>
        <v>0</v>
      </c>
      <c r="N160" s="31">
        <f>VLOOKUP($A160,$A$4:$O$28,8,0)*(HLOOKUP(N$146,'2.2.Brecha Efectiva x UdM'!$H$25:$AK$32,5,0))</f>
        <v>0</v>
      </c>
      <c r="O160" s="31">
        <f>VLOOKUP($A160,$A$4:$O$28,8,0)*(HLOOKUP(O$146,'2.2.Brecha Efectiva x UdM'!$H$25:$AK$32,5,0))</f>
        <v>0</v>
      </c>
      <c r="P160" s="31">
        <f>VLOOKUP($A160,$A$4:$O$28,8,0)*(HLOOKUP(P$146,'2.2.Brecha Efectiva x UdM'!$H$25:$AK$32,5,0))</f>
        <v>0</v>
      </c>
      <c r="Q160" s="31">
        <f>VLOOKUP($A160,$A$4:$O$28,8,0)*(HLOOKUP(Q$146,'2.2.Brecha Efectiva x UdM'!$H$25:$AK$32,5,0))</f>
        <v>0</v>
      </c>
      <c r="R160" s="31">
        <f>VLOOKUP($A160,$A$4:$O$28,8,0)*(HLOOKUP(R$146,'2.2.Brecha Efectiva x UdM'!$H$25:$AK$32,5,0))</f>
        <v>0</v>
      </c>
      <c r="S160" s="31">
        <f>VLOOKUP($A160,$A$4:$O$28,8,0)*(HLOOKUP(S$146,'2.2.Brecha Efectiva x UdM'!$H$25:$AK$32,5,0))</f>
        <v>0</v>
      </c>
      <c r="T160" s="31">
        <f>VLOOKUP($A160,$A$4:$O$28,8,0)*(HLOOKUP(T$146,'2.2.Brecha Efectiva x UdM'!$H$25:$AK$32,5,0))</f>
        <v>0</v>
      </c>
      <c r="U160" s="31">
        <f>VLOOKUP($A160,$A$4:$O$28,8,0)*(HLOOKUP(U$146,'2.2.Brecha Efectiva x UdM'!$H$25:$AK$32,5,0))</f>
        <v>0</v>
      </c>
      <c r="V160" s="31">
        <f>VLOOKUP($A160,$A$4:$O$28,8,0)*(HLOOKUP(V$146,'2.2.Brecha Efectiva x UdM'!$H$25:$AK$32,5,0))</f>
        <v>0</v>
      </c>
      <c r="W160" s="31">
        <f>VLOOKUP($A160,$A$4:$O$28,8,0)*(HLOOKUP(W$146,'2.2.Brecha Efectiva x UdM'!$H$25:$AK$32,5,0))</f>
        <v>0</v>
      </c>
      <c r="X160" s="31">
        <f>VLOOKUP($A160,$A$4:$O$28,8,0)*(HLOOKUP(X$146,'2.2.Brecha Efectiva x UdM'!$H$25:$AK$32,5,0))</f>
        <v>0</v>
      </c>
      <c r="Y160" s="31">
        <f>VLOOKUP($A160,$A$4:$O$28,8,0)*(HLOOKUP(Y$146,'2.2.Brecha Efectiva x UdM'!$H$25:$AK$32,5,0))</f>
        <v>0</v>
      </c>
      <c r="Z160" s="31">
        <f>VLOOKUP($A160,$A$4:$O$28,8,0)*(HLOOKUP(Z$146,'2.2.Brecha Efectiva x UdM'!$H$25:$AK$32,5,0))</f>
        <v>0</v>
      </c>
      <c r="AA160" s="31">
        <f>VLOOKUP($A160,$A$4:$O$28,8,0)*(HLOOKUP(AA$146,'2.2.Brecha Efectiva x UdM'!$H$25:$AK$32,5,0))</f>
        <v>0</v>
      </c>
      <c r="AB160" s="31">
        <f>VLOOKUP($A160,$A$4:$O$28,8,0)*(HLOOKUP(AB$146,'2.2.Brecha Efectiva x UdM'!$H$25:$AK$32,5,0))</f>
        <v>0</v>
      </c>
      <c r="AC160" s="31">
        <f>VLOOKUP($A160,$A$4:$O$28,8,0)*(HLOOKUP(AC$146,'2.2.Brecha Efectiva x UdM'!$H$25:$AK$32,5,0))</f>
        <v>0</v>
      </c>
      <c r="AD160" s="31">
        <f>VLOOKUP($A160,$A$4:$O$28,8,0)*(HLOOKUP(AD$146,'2.2.Brecha Efectiva x UdM'!$H$25:$AK$32,5,0))</f>
        <v>0</v>
      </c>
      <c r="AE160" s="31">
        <f>VLOOKUP($A160,$A$4:$O$28,8,0)*(HLOOKUP(AE$146,'2.2.Brecha Efectiva x UdM'!$H$25:$AK$32,5,0))</f>
        <v>0</v>
      </c>
      <c r="AF160" s="31">
        <f>VLOOKUP($A160,$A$4:$O$28,8,0)*(HLOOKUP(AF$146,'2.2.Brecha Efectiva x UdM'!$H$25:$AK$32,5,0))</f>
        <v>0</v>
      </c>
      <c r="AG160" s="31">
        <f>VLOOKUP($A160,$A$4:$O$28,8,0)*(HLOOKUP(AG$146,'2.2.Brecha Efectiva x UdM'!$H$25:$AK$32,5,0))</f>
        <v>0</v>
      </c>
      <c r="AH160" s="63">
        <f t="shared" si="162"/>
        <v>0</v>
      </c>
    </row>
    <row r="161" spans="1:34" hidden="1" x14ac:dyDescent="0.2">
      <c r="A161" s="25" t="str">
        <f t="shared" si="159"/>
        <v>Neuquén</v>
      </c>
      <c r="B161" s="51">
        <f t="shared" si="160"/>
        <v>0</v>
      </c>
      <c r="C161" s="25" t="str">
        <f t="shared" si="161"/>
        <v>Neuquén 0</v>
      </c>
      <c r="D161" s="32">
        <f>VLOOKUP($A161,$A$4:$O$28,8,0)*(HLOOKUP(D$146,'2.2.Brecha Efectiva x UdM'!$H$25:$AK$32,5,0))</f>
        <v>0</v>
      </c>
      <c r="E161" s="32">
        <f>VLOOKUP($A161,$A$4:$O$28,8,0)*(HLOOKUP(E$146,'2.2.Brecha Efectiva x UdM'!$H$25:$AK$32,5,0))</f>
        <v>0</v>
      </c>
      <c r="F161" s="32">
        <f>VLOOKUP($A161,$A$4:$O$28,8,0)*(HLOOKUP(F$146,'2.2.Brecha Efectiva x UdM'!$H$25:$AK$32,5,0))</f>
        <v>0</v>
      </c>
      <c r="G161" s="32">
        <f>VLOOKUP($A161,$A$4:$O$28,8,0)*(HLOOKUP(G$146,'2.2.Brecha Efectiva x UdM'!$H$25:$AK$32,5,0))</f>
        <v>0</v>
      </c>
      <c r="H161" s="32">
        <f>VLOOKUP($A161,$A$4:$O$28,8,0)*(HLOOKUP(H$146,'2.2.Brecha Efectiva x UdM'!$H$25:$AK$32,5,0))</f>
        <v>0</v>
      </c>
      <c r="I161" s="32">
        <f>VLOOKUP($A161,$A$4:$O$28,8,0)*(HLOOKUP(I$146,'2.2.Brecha Efectiva x UdM'!$H$25:$AK$32,5,0))</f>
        <v>0</v>
      </c>
      <c r="J161" s="32">
        <f>VLOOKUP($A161,$A$4:$O$28,8,0)*(HLOOKUP(J$146,'2.2.Brecha Efectiva x UdM'!$H$25:$AK$32,5,0))</f>
        <v>0</v>
      </c>
      <c r="K161" s="32">
        <f>VLOOKUP($A161,$A$4:$O$28,8,0)*(HLOOKUP(K$146,'2.2.Brecha Efectiva x UdM'!$H$25:$AK$32,5,0))</f>
        <v>0</v>
      </c>
      <c r="L161" s="32">
        <f>VLOOKUP($A161,$A$4:$O$28,8,0)*(HLOOKUP(L$146,'2.2.Brecha Efectiva x UdM'!$H$25:$AK$32,5,0))</f>
        <v>0</v>
      </c>
      <c r="M161" s="32">
        <f>VLOOKUP($A161,$A$4:$O$28,8,0)*(HLOOKUP(M$146,'2.2.Brecha Efectiva x UdM'!$H$25:$AK$32,5,0))</f>
        <v>0</v>
      </c>
      <c r="N161" s="32">
        <f>VLOOKUP($A161,$A$4:$O$28,8,0)*(HLOOKUP(N$146,'2.2.Brecha Efectiva x UdM'!$H$25:$AK$32,5,0))</f>
        <v>0</v>
      </c>
      <c r="O161" s="32">
        <f>VLOOKUP($A161,$A$4:$O$28,8,0)*(HLOOKUP(O$146,'2.2.Brecha Efectiva x UdM'!$H$25:$AK$32,5,0))</f>
        <v>0</v>
      </c>
      <c r="P161" s="32">
        <f>VLOOKUP($A161,$A$4:$O$28,8,0)*(HLOOKUP(P$146,'2.2.Brecha Efectiva x UdM'!$H$25:$AK$32,5,0))</f>
        <v>0</v>
      </c>
      <c r="Q161" s="32">
        <f>VLOOKUP($A161,$A$4:$O$28,8,0)*(HLOOKUP(Q$146,'2.2.Brecha Efectiva x UdM'!$H$25:$AK$32,5,0))</f>
        <v>0</v>
      </c>
      <c r="R161" s="32">
        <f>VLOOKUP($A161,$A$4:$O$28,8,0)*(HLOOKUP(R$146,'2.2.Brecha Efectiva x UdM'!$H$25:$AK$32,5,0))</f>
        <v>0</v>
      </c>
      <c r="S161" s="32">
        <f>VLOOKUP($A161,$A$4:$O$28,8,0)*(HLOOKUP(S$146,'2.2.Brecha Efectiva x UdM'!$H$25:$AK$32,5,0))</f>
        <v>0</v>
      </c>
      <c r="T161" s="32">
        <f>VLOOKUP($A161,$A$4:$O$28,8,0)*(HLOOKUP(T$146,'2.2.Brecha Efectiva x UdM'!$H$25:$AK$32,5,0))</f>
        <v>0</v>
      </c>
      <c r="U161" s="32">
        <f>VLOOKUP($A161,$A$4:$O$28,8,0)*(HLOOKUP(U$146,'2.2.Brecha Efectiva x UdM'!$H$25:$AK$32,5,0))</f>
        <v>0</v>
      </c>
      <c r="V161" s="32">
        <f>VLOOKUP($A161,$A$4:$O$28,8,0)*(HLOOKUP(V$146,'2.2.Brecha Efectiva x UdM'!$H$25:$AK$32,5,0))</f>
        <v>0</v>
      </c>
      <c r="W161" s="32">
        <f>VLOOKUP($A161,$A$4:$O$28,8,0)*(HLOOKUP(W$146,'2.2.Brecha Efectiva x UdM'!$H$25:$AK$32,5,0))</f>
        <v>0</v>
      </c>
      <c r="X161" s="32">
        <f>VLOOKUP($A161,$A$4:$O$28,8,0)*(HLOOKUP(X$146,'2.2.Brecha Efectiva x UdM'!$H$25:$AK$32,5,0))</f>
        <v>0</v>
      </c>
      <c r="Y161" s="32">
        <f>VLOOKUP($A161,$A$4:$O$28,8,0)*(HLOOKUP(Y$146,'2.2.Brecha Efectiva x UdM'!$H$25:$AK$32,5,0))</f>
        <v>0</v>
      </c>
      <c r="Z161" s="32">
        <f>VLOOKUP($A161,$A$4:$O$28,8,0)*(HLOOKUP(Z$146,'2.2.Brecha Efectiva x UdM'!$H$25:$AK$32,5,0))</f>
        <v>0</v>
      </c>
      <c r="AA161" s="32">
        <f>VLOOKUP($A161,$A$4:$O$28,8,0)*(HLOOKUP(AA$146,'2.2.Brecha Efectiva x UdM'!$H$25:$AK$32,5,0))</f>
        <v>0</v>
      </c>
      <c r="AB161" s="32">
        <f>VLOOKUP($A161,$A$4:$O$28,8,0)*(HLOOKUP(AB$146,'2.2.Brecha Efectiva x UdM'!$H$25:$AK$32,5,0))</f>
        <v>0</v>
      </c>
      <c r="AC161" s="32">
        <f>VLOOKUP($A161,$A$4:$O$28,8,0)*(HLOOKUP(AC$146,'2.2.Brecha Efectiva x UdM'!$H$25:$AK$32,5,0))</f>
        <v>0</v>
      </c>
      <c r="AD161" s="32">
        <f>VLOOKUP($A161,$A$4:$O$28,8,0)*(HLOOKUP(AD$146,'2.2.Brecha Efectiva x UdM'!$H$25:$AK$32,5,0))</f>
        <v>0</v>
      </c>
      <c r="AE161" s="32">
        <f>VLOOKUP($A161,$A$4:$O$28,8,0)*(HLOOKUP(AE$146,'2.2.Brecha Efectiva x UdM'!$H$25:$AK$32,5,0))</f>
        <v>0</v>
      </c>
      <c r="AF161" s="32">
        <f>VLOOKUP($A161,$A$4:$O$28,8,0)*(HLOOKUP(AF$146,'2.2.Brecha Efectiva x UdM'!$H$25:$AK$32,5,0))</f>
        <v>0</v>
      </c>
      <c r="AG161" s="32">
        <f>VLOOKUP($A161,$A$4:$O$28,8,0)*(HLOOKUP(AG$146,'2.2.Brecha Efectiva x UdM'!$H$25:$AK$32,5,0))</f>
        <v>0</v>
      </c>
      <c r="AH161" s="62">
        <f t="shared" si="162"/>
        <v>0</v>
      </c>
    </row>
    <row r="162" spans="1:34" hidden="1" x14ac:dyDescent="0.2">
      <c r="A162" s="26" t="str">
        <f t="shared" si="159"/>
        <v>Río Negro</v>
      </c>
      <c r="B162" s="52">
        <f t="shared" si="160"/>
        <v>0</v>
      </c>
      <c r="C162" s="26" t="str">
        <f t="shared" si="161"/>
        <v>Río Negro 0</v>
      </c>
      <c r="D162" s="31">
        <f>VLOOKUP($A162,$A$4:$O$28,8,0)*(HLOOKUP(D$146,'2.2.Brecha Efectiva x UdM'!$H$25:$AK$32,5,0))</f>
        <v>0</v>
      </c>
      <c r="E162" s="31">
        <f>VLOOKUP($A162,$A$4:$O$28,8,0)*(HLOOKUP(E$146,'2.2.Brecha Efectiva x UdM'!$H$25:$AK$32,5,0))</f>
        <v>0</v>
      </c>
      <c r="F162" s="31">
        <f>VLOOKUP($A162,$A$4:$O$28,8,0)*(HLOOKUP(F$146,'2.2.Brecha Efectiva x UdM'!$H$25:$AK$32,5,0))</f>
        <v>0</v>
      </c>
      <c r="G162" s="31">
        <f>VLOOKUP($A162,$A$4:$O$28,8,0)*(HLOOKUP(G$146,'2.2.Brecha Efectiva x UdM'!$H$25:$AK$32,5,0))</f>
        <v>0</v>
      </c>
      <c r="H162" s="31">
        <f>VLOOKUP($A162,$A$4:$O$28,8,0)*(HLOOKUP(H$146,'2.2.Brecha Efectiva x UdM'!$H$25:$AK$32,5,0))</f>
        <v>0</v>
      </c>
      <c r="I162" s="31">
        <f>VLOOKUP($A162,$A$4:$O$28,8,0)*(HLOOKUP(I$146,'2.2.Brecha Efectiva x UdM'!$H$25:$AK$32,5,0))</f>
        <v>0</v>
      </c>
      <c r="J162" s="31">
        <f>VLOOKUP($A162,$A$4:$O$28,8,0)*(HLOOKUP(J$146,'2.2.Brecha Efectiva x UdM'!$H$25:$AK$32,5,0))</f>
        <v>0</v>
      </c>
      <c r="K162" s="31">
        <f>VLOOKUP($A162,$A$4:$O$28,8,0)*(HLOOKUP(K$146,'2.2.Brecha Efectiva x UdM'!$H$25:$AK$32,5,0))</f>
        <v>0</v>
      </c>
      <c r="L162" s="31">
        <f>VLOOKUP($A162,$A$4:$O$28,8,0)*(HLOOKUP(L$146,'2.2.Brecha Efectiva x UdM'!$H$25:$AK$32,5,0))</f>
        <v>0</v>
      </c>
      <c r="M162" s="31">
        <f>VLOOKUP($A162,$A$4:$O$28,8,0)*(HLOOKUP(M$146,'2.2.Brecha Efectiva x UdM'!$H$25:$AK$32,5,0))</f>
        <v>0</v>
      </c>
      <c r="N162" s="31">
        <f>VLOOKUP($A162,$A$4:$O$28,8,0)*(HLOOKUP(N$146,'2.2.Brecha Efectiva x UdM'!$H$25:$AK$32,5,0))</f>
        <v>0</v>
      </c>
      <c r="O162" s="31">
        <f>VLOOKUP($A162,$A$4:$O$28,8,0)*(HLOOKUP(O$146,'2.2.Brecha Efectiva x UdM'!$H$25:$AK$32,5,0))</f>
        <v>0</v>
      </c>
      <c r="P162" s="31">
        <f>VLOOKUP($A162,$A$4:$O$28,8,0)*(HLOOKUP(P$146,'2.2.Brecha Efectiva x UdM'!$H$25:$AK$32,5,0))</f>
        <v>0</v>
      </c>
      <c r="Q162" s="31">
        <f>VLOOKUP($A162,$A$4:$O$28,8,0)*(HLOOKUP(Q$146,'2.2.Brecha Efectiva x UdM'!$H$25:$AK$32,5,0))</f>
        <v>0</v>
      </c>
      <c r="R162" s="31">
        <f>VLOOKUP($A162,$A$4:$O$28,8,0)*(HLOOKUP(R$146,'2.2.Brecha Efectiva x UdM'!$H$25:$AK$32,5,0))</f>
        <v>0</v>
      </c>
      <c r="S162" s="31">
        <f>VLOOKUP($A162,$A$4:$O$28,8,0)*(HLOOKUP(S$146,'2.2.Brecha Efectiva x UdM'!$H$25:$AK$32,5,0))</f>
        <v>0</v>
      </c>
      <c r="T162" s="31">
        <f>VLOOKUP($A162,$A$4:$O$28,8,0)*(HLOOKUP(T$146,'2.2.Brecha Efectiva x UdM'!$H$25:$AK$32,5,0))</f>
        <v>0</v>
      </c>
      <c r="U162" s="31">
        <f>VLOOKUP($A162,$A$4:$O$28,8,0)*(HLOOKUP(U$146,'2.2.Brecha Efectiva x UdM'!$H$25:$AK$32,5,0))</f>
        <v>0</v>
      </c>
      <c r="V162" s="31">
        <f>VLOOKUP($A162,$A$4:$O$28,8,0)*(HLOOKUP(V$146,'2.2.Brecha Efectiva x UdM'!$H$25:$AK$32,5,0))</f>
        <v>0</v>
      </c>
      <c r="W162" s="31">
        <f>VLOOKUP($A162,$A$4:$O$28,8,0)*(HLOOKUP(W$146,'2.2.Brecha Efectiva x UdM'!$H$25:$AK$32,5,0))</f>
        <v>0</v>
      </c>
      <c r="X162" s="31">
        <f>VLOOKUP($A162,$A$4:$O$28,8,0)*(HLOOKUP(X$146,'2.2.Brecha Efectiva x UdM'!$H$25:$AK$32,5,0))</f>
        <v>0</v>
      </c>
      <c r="Y162" s="31">
        <f>VLOOKUP($A162,$A$4:$O$28,8,0)*(HLOOKUP(Y$146,'2.2.Brecha Efectiva x UdM'!$H$25:$AK$32,5,0))</f>
        <v>0</v>
      </c>
      <c r="Z162" s="31">
        <f>VLOOKUP($A162,$A$4:$O$28,8,0)*(HLOOKUP(Z$146,'2.2.Brecha Efectiva x UdM'!$H$25:$AK$32,5,0))</f>
        <v>0</v>
      </c>
      <c r="AA162" s="31">
        <f>VLOOKUP($A162,$A$4:$O$28,8,0)*(HLOOKUP(AA$146,'2.2.Brecha Efectiva x UdM'!$H$25:$AK$32,5,0))</f>
        <v>0</v>
      </c>
      <c r="AB162" s="31">
        <f>VLOOKUP($A162,$A$4:$O$28,8,0)*(HLOOKUP(AB$146,'2.2.Brecha Efectiva x UdM'!$H$25:$AK$32,5,0))</f>
        <v>0</v>
      </c>
      <c r="AC162" s="31">
        <f>VLOOKUP($A162,$A$4:$O$28,8,0)*(HLOOKUP(AC$146,'2.2.Brecha Efectiva x UdM'!$H$25:$AK$32,5,0))</f>
        <v>0</v>
      </c>
      <c r="AD162" s="31">
        <f>VLOOKUP($A162,$A$4:$O$28,8,0)*(HLOOKUP(AD$146,'2.2.Brecha Efectiva x UdM'!$H$25:$AK$32,5,0))</f>
        <v>0</v>
      </c>
      <c r="AE162" s="31">
        <f>VLOOKUP($A162,$A$4:$O$28,8,0)*(HLOOKUP(AE$146,'2.2.Brecha Efectiva x UdM'!$H$25:$AK$32,5,0))</f>
        <v>0</v>
      </c>
      <c r="AF162" s="31">
        <f>VLOOKUP($A162,$A$4:$O$28,8,0)*(HLOOKUP(AF$146,'2.2.Brecha Efectiva x UdM'!$H$25:$AK$32,5,0))</f>
        <v>0</v>
      </c>
      <c r="AG162" s="31">
        <f>VLOOKUP($A162,$A$4:$O$28,8,0)*(HLOOKUP(AG$146,'2.2.Brecha Efectiva x UdM'!$H$25:$AK$32,5,0))</f>
        <v>0</v>
      </c>
      <c r="AH162" s="63">
        <f t="shared" si="162"/>
        <v>0</v>
      </c>
    </row>
    <row r="163" spans="1:34" hidden="1" x14ac:dyDescent="0.2">
      <c r="A163" s="25" t="str">
        <f t="shared" si="159"/>
        <v>Salta</v>
      </c>
      <c r="B163" s="51">
        <f t="shared" si="160"/>
        <v>0</v>
      </c>
      <c r="C163" s="25" t="str">
        <f t="shared" si="161"/>
        <v>Salta 0</v>
      </c>
      <c r="D163" s="32">
        <f>VLOOKUP($A163,$A$4:$O$28,8,0)*(HLOOKUP(D$146,'2.2.Brecha Efectiva x UdM'!$H$25:$AK$32,5,0))</f>
        <v>0</v>
      </c>
      <c r="E163" s="32">
        <f>VLOOKUP($A163,$A$4:$O$28,8,0)*(HLOOKUP(E$146,'2.2.Brecha Efectiva x UdM'!$H$25:$AK$32,5,0))</f>
        <v>0</v>
      </c>
      <c r="F163" s="32">
        <f>VLOOKUP($A163,$A$4:$O$28,8,0)*(HLOOKUP(F$146,'2.2.Brecha Efectiva x UdM'!$H$25:$AK$32,5,0))</f>
        <v>0</v>
      </c>
      <c r="G163" s="32">
        <f>VLOOKUP($A163,$A$4:$O$28,8,0)*(HLOOKUP(G$146,'2.2.Brecha Efectiva x UdM'!$H$25:$AK$32,5,0))</f>
        <v>0</v>
      </c>
      <c r="H163" s="32">
        <f>VLOOKUP($A163,$A$4:$O$28,8,0)*(HLOOKUP(H$146,'2.2.Brecha Efectiva x UdM'!$H$25:$AK$32,5,0))</f>
        <v>0</v>
      </c>
      <c r="I163" s="32">
        <f>VLOOKUP($A163,$A$4:$O$28,8,0)*(HLOOKUP(I$146,'2.2.Brecha Efectiva x UdM'!$H$25:$AK$32,5,0))</f>
        <v>0</v>
      </c>
      <c r="J163" s="32">
        <f>VLOOKUP($A163,$A$4:$O$28,8,0)*(HLOOKUP(J$146,'2.2.Brecha Efectiva x UdM'!$H$25:$AK$32,5,0))</f>
        <v>0</v>
      </c>
      <c r="K163" s="32">
        <f>VLOOKUP($A163,$A$4:$O$28,8,0)*(HLOOKUP(K$146,'2.2.Brecha Efectiva x UdM'!$H$25:$AK$32,5,0))</f>
        <v>0</v>
      </c>
      <c r="L163" s="32">
        <f>VLOOKUP($A163,$A$4:$O$28,8,0)*(HLOOKUP(L$146,'2.2.Brecha Efectiva x UdM'!$H$25:$AK$32,5,0))</f>
        <v>0</v>
      </c>
      <c r="M163" s="32">
        <f>VLOOKUP($A163,$A$4:$O$28,8,0)*(HLOOKUP(M$146,'2.2.Brecha Efectiva x UdM'!$H$25:$AK$32,5,0))</f>
        <v>0</v>
      </c>
      <c r="N163" s="32">
        <f>VLOOKUP($A163,$A$4:$O$28,8,0)*(HLOOKUP(N$146,'2.2.Brecha Efectiva x UdM'!$H$25:$AK$32,5,0))</f>
        <v>0</v>
      </c>
      <c r="O163" s="32">
        <f>VLOOKUP($A163,$A$4:$O$28,8,0)*(HLOOKUP(O$146,'2.2.Brecha Efectiva x UdM'!$H$25:$AK$32,5,0))</f>
        <v>0</v>
      </c>
      <c r="P163" s="32">
        <f>VLOOKUP($A163,$A$4:$O$28,8,0)*(HLOOKUP(P$146,'2.2.Brecha Efectiva x UdM'!$H$25:$AK$32,5,0))</f>
        <v>0</v>
      </c>
      <c r="Q163" s="32">
        <f>VLOOKUP($A163,$A$4:$O$28,8,0)*(HLOOKUP(Q$146,'2.2.Brecha Efectiva x UdM'!$H$25:$AK$32,5,0))</f>
        <v>0</v>
      </c>
      <c r="R163" s="32">
        <f>VLOOKUP($A163,$A$4:$O$28,8,0)*(HLOOKUP(R$146,'2.2.Brecha Efectiva x UdM'!$H$25:$AK$32,5,0))</f>
        <v>0</v>
      </c>
      <c r="S163" s="32">
        <f>VLOOKUP($A163,$A$4:$O$28,8,0)*(HLOOKUP(S$146,'2.2.Brecha Efectiva x UdM'!$H$25:$AK$32,5,0))</f>
        <v>0</v>
      </c>
      <c r="T163" s="32">
        <f>VLOOKUP($A163,$A$4:$O$28,8,0)*(HLOOKUP(T$146,'2.2.Brecha Efectiva x UdM'!$H$25:$AK$32,5,0))</f>
        <v>0</v>
      </c>
      <c r="U163" s="32">
        <f>VLOOKUP($A163,$A$4:$O$28,8,0)*(HLOOKUP(U$146,'2.2.Brecha Efectiva x UdM'!$H$25:$AK$32,5,0))</f>
        <v>0</v>
      </c>
      <c r="V163" s="32">
        <f>VLOOKUP($A163,$A$4:$O$28,8,0)*(HLOOKUP(V$146,'2.2.Brecha Efectiva x UdM'!$H$25:$AK$32,5,0))</f>
        <v>0</v>
      </c>
      <c r="W163" s="32">
        <f>VLOOKUP($A163,$A$4:$O$28,8,0)*(HLOOKUP(W$146,'2.2.Brecha Efectiva x UdM'!$H$25:$AK$32,5,0))</f>
        <v>0</v>
      </c>
      <c r="X163" s="32">
        <f>VLOOKUP($A163,$A$4:$O$28,8,0)*(HLOOKUP(X$146,'2.2.Brecha Efectiva x UdM'!$H$25:$AK$32,5,0))</f>
        <v>0</v>
      </c>
      <c r="Y163" s="32">
        <f>VLOOKUP($A163,$A$4:$O$28,8,0)*(HLOOKUP(Y$146,'2.2.Brecha Efectiva x UdM'!$H$25:$AK$32,5,0))</f>
        <v>0</v>
      </c>
      <c r="Z163" s="32">
        <f>VLOOKUP($A163,$A$4:$O$28,8,0)*(HLOOKUP(Z$146,'2.2.Brecha Efectiva x UdM'!$H$25:$AK$32,5,0))</f>
        <v>0</v>
      </c>
      <c r="AA163" s="32">
        <f>VLOOKUP($A163,$A$4:$O$28,8,0)*(HLOOKUP(AA$146,'2.2.Brecha Efectiva x UdM'!$H$25:$AK$32,5,0))</f>
        <v>0</v>
      </c>
      <c r="AB163" s="32">
        <f>VLOOKUP($A163,$A$4:$O$28,8,0)*(HLOOKUP(AB$146,'2.2.Brecha Efectiva x UdM'!$H$25:$AK$32,5,0))</f>
        <v>0</v>
      </c>
      <c r="AC163" s="32">
        <f>VLOOKUP($A163,$A$4:$O$28,8,0)*(HLOOKUP(AC$146,'2.2.Brecha Efectiva x UdM'!$H$25:$AK$32,5,0))</f>
        <v>0</v>
      </c>
      <c r="AD163" s="32">
        <f>VLOOKUP($A163,$A$4:$O$28,8,0)*(HLOOKUP(AD$146,'2.2.Brecha Efectiva x UdM'!$H$25:$AK$32,5,0))</f>
        <v>0</v>
      </c>
      <c r="AE163" s="32">
        <f>VLOOKUP($A163,$A$4:$O$28,8,0)*(HLOOKUP(AE$146,'2.2.Brecha Efectiva x UdM'!$H$25:$AK$32,5,0))</f>
        <v>0</v>
      </c>
      <c r="AF163" s="32">
        <f>VLOOKUP($A163,$A$4:$O$28,8,0)*(HLOOKUP(AF$146,'2.2.Brecha Efectiva x UdM'!$H$25:$AK$32,5,0))</f>
        <v>0</v>
      </c>
      <c r="AG163" s="32">
        <f>VLOOKUP($A163,$A$4:$O$28,8,0)*(HLOOKUP(AG$146,'2.2.Brecha Efectiva x UdM'!$H$25:$AK$32,5,0))</f>
        <v>0</v>
      </c>
      <c r="AH163" s="62">
        <f t="shared" si="162"/>
        <v>0</v>
      </c>
    </row>
    <row r="164" spans="1:34" hidden="1" x14ac:dyDescent="0.2">
      <c r="A164" s="26" t="str">
        <f t="shared" si="159"/>
        <v>San Juan</v>
      </c>
      <c r="B164" s="52">
        <f t="shared" si="160"/>
        <v>0</v>
      </c>
      <c r="C164" s="26" t="str">
        <f t="shared" si="161"/>
        <v>San Juan 0</v>
      </c>
      <c r="D164" s="31">
        <f>VLOOKUP($A164,$A$4:$O$28,8,0)*(HLOOKUP(D$146,'2.2.Brecha Efectiva x UdM'!$H$25:$AK$32,5,0))</f>
        <v>0</v>
      </c>
      <c r="E164" s="31">
        <f>VLOOKUP($A164,$A$4:$O$28,8,0)*(HLOOKUP(E$146,'2.2.Brecha Efectiva x UdM'!$H$25:$AK$32,5,0))</f>
        <v>0</v>
      </c>
      <c r="F164" s="31">
        <f>VLOOKUP($A164,$A$4:$O$28,8,0)*(HLOOKUP(F$146,'2.2.Brecha Efectiva x UdM'!$H$25:$AK$32,5,0))</f>
        <v>0</v>
      </c>
      <c r="G164" s="31">
        <f>VLOOKUP($A164,$A$4:$O$28,8,0)*(HLOOKUP(G$146,'2.2.Brecha Efectiva x UdM'!$H$25:$AK$32,5,0))</f>
        <v>0</v>
      </c>
      <c r="H164" s="31">
        <f>VLOOKUP($A164,$A$4:$O$28,8,0)*(HLOOKUP(H$146,'2.2.Brecha Efectiva x UdM'!$H$25:$AK$32,5,0))</f>
        <v>0</v>
      </c>
      <c r="I164" s="31">
        <f>VLOOKUP($A164,$A$4:$O$28,8,0)*(HLOOKUP(I$146,'2.2.Brecha Efectiva x UdM'!$H$25:$AK$32,5,0))</f>
        <v>0</v>
      </c>
      <c r="J164" s="31">
        <f>VLOOKUP($A164,$A$4:$O$28,8,0)*(HLOOKUP(J$146,'2.2.Brecha Efectiva x UdM'!$H$25:$AK$32,5,0))</f>
        <v>0</v>
      </c>
      <c r="K164" s="31">
        <f>VLOOKUP($A164,$A$4:$O$28,8,0)*(HLOOKUP(K$146,'2.2.Brecha Efectiva x UdM'!$H$25:$AK$32,5,0))</f>
        <v>0</v>
      </c>
      <c r="L164" s="31">
        <f>VLOOKUP($A164,$A$4:$O$28,8,0)*(HLOOKUP(L$146,'2.2.Brecha Efectiva x UdM'!$H$25:$AK$32,5,0))</f>
        <v>0</v>
      </c>
      <c r="M164" s="31">
        <f>VLOOKUP($A164,$A$4:$O$28,8,0)*(HLOOKUP(M$146,'2.2.Brecha Efectiva x UdM'!$H$25:$AK$32,5,0))</f>
        <v>0</v>
      </c>
      <c r="N164" s="31">
        <f>VLOOKUP($A164,$A$4:$O$28,8,0)*(HLOOKUP(N$146,'2.2.Brecha Efectiva x UdM'!$H$25:$AK$32,5,0))</f>
        <v>0</v>
      </c>
      <c r="O164" s="31">
        <f>VLOOKUP($A164,$A$4:$O$28,8,0)*(HLOOKUP(O$146,'2.2.Brecha Efectiva x UdM'!$H$25:$AK$32,5,0))</f>
        <v>0</v>
      </c>
      <c r="P164" s="31">
        <f>VLOOKUP($A164,$A$4:$O$28,8,0)*(HLOOKUP(P$146,'2.2.Brecha Efectiva x UdM'!$H$25:$AK$32,5,0))</f>
        <v>0</v>
      </c>
      <c r="Q164" s="31">
        <f>VLOOKUP($A164,$A$4:$O$28,8,0)*(HLOOKUP(Q$146,'2.2.Brecha Efectiva x UdM'!$H$25:$AK$32,5,0))</f>
        <v>0</v>
      </c>
      <c r="R164" s="31">
        <f>VLOOKUP($A164,$A$4:$O$28,8,0)*(HLOOKUP(R$146,'2.2.Brecha Efectiva x UdM'!$H$25:$AK$32,5,0))</f>
        <v>0</v>
      </c>
      <c r="S164" s="31">
        <f>VLOOKUP($A164,$A$4:$O$28,8,0)*(HLOOKUP(S$146,'2.2.Brecha Efectiva x UdM'!$H$25:$AK$32,5,0))</f>
        <v>0</v>
      </c>
      <c r="T164" s="31">
        <f>VLOOKUP($A164,$A$4:$O$28,8,0)*(HLOOKUP(T$146,'2.2.Brecha Efectiva x UdM'!$H$25:$AK$32,5,0))</f>
        <v>0</v>
      </c>
      <c r="U164" s="31">
        <f>VLOOKUP($A164,$A$4:$O$28,8,0)*(HLOOKUP(U$146,'2.2.Brecha Efectiva x UdM'!$H$25:$AK$32,5,0))</f>
        <v>0</v>
      </c>
      <c r="V164" s="31">
        <f>VLOOKUP($A164,$A$4:$O$28,8,0)*(HLOOKUP(V$146,'2.2.Brecha Efectiva x UdM'!$H$25:$AK$32,5,0))</f>
        <v>0</v>
      </c>
      <c r="W164" s="31">
        <f>VLOOKUP($A164,$A$4:$O$28,8,0)*(HLOOKUP(W$146,'2.2.Brecha Efectiva x UdM'!$H$25:$AK$32,5,0))</f>
        <v>0</v>
      </c>
      <c r="X164" s="31">
        <f>VLOOKUP($A164,$A$4:$O$28,8,0)*(HLOOKUP(X$146,'2.2.Brecha Efectiva x UdM'!$H$25:$AK$32,5,0))</f>
        <v>0</v>
      </c>
      <c r="Y164" s="31">
        <f>VLOOKUP($A164,$A$4:$O$28,8,0)*(HLOOKUP(Y$146,'2.2.Brecha Efectiva x UdM'!$H$25:$AK$32,5,0))</f>
        <v>0</v>
      </c>
      <c r="Z164" s="31">
        <f>VLOOKUP($A164,$A$4:$O$28,8,0)*(HLOOKUP(Z$146,'2.2.Brecha Efectiva x UdM'!$H$25:$AK$32,5,0))</f>
        <v>0</v>
      </c>
      <c r="AA164" s="31">
        <f>VLOOKUP($A164,$A$4:$O$28,8,0)*(HLOOKUP(AA$146,'2.2.Brecha Efectiva x UdM'!$H$25:$AK$32,5,0))</f>
        <v>0</v>
      </c>
      <c r="AB164" s="31">
        <f>VLOOKUP($A164,$A$4:$O$28,8,0)*(HLOOKUP(AB$146,'2.2.Brecha Efectiva x UdM'!$H$25:$AK$32,5,0))</f>
        <v>0</v>
      </c>
      <c r="AC164" s="31">
        <f>VLOOKUP($A164,$A$4:$O$28,8,0)*(HLOOKUP(AC$146,'2.2.Brecha Efectiva x UdM'!$H$25:$AK$32,5,0))</f>
        <v>0</v>
      </c>
      <c r="AD164" s="31">
        <f>VLOOKUP($A164,$A$4:$O$28,8,0)*(HLOOKUP(AD$146,'2.2.Brecha Efectiva x UdM'!$H$25:$AK$32,5,0))</f>
        <v>0</v>
      </c>
      <c r="AE164" s="31">
        <f>VLOOKUP($A164,$A$4:$O$28,8,0)*(HLOOKUP(AE$146,'2.2.Brecha Efectiva x UdM'!$H$25:$AK$32,5,0))</f>
        <v>0</v>
      </c>
      <c r="AF164" s="31">
        <f>VLOOKUP($A164,$A$4:$O$28,8,0)*(HLOOKUP(AF$146,'2.2.Brecha Efectiva x UdM'!$H$25:$AK$32,5,0))</f>
        <v>0</v>
      </c>
      <c r="AG164" s="31">
        <f>VLOOKUP($A164,$A$4:$O$28,8,0)*(HLOOKUP(AG$146,'2.2.Brecha Efectiva x UdM'!$H$25:$AK$32,5,0))</f>
        <v>0</v>
      </c>
      <c r="AH164" s="63">
        <f t="shared" si="162"/>
        <v>0</v>
      </c>
    </row>
    <row r="165" spans="1:34" hidden="1" x14ac:dyDescent="0.2">
      <c r="A165" s="25" t="str">
        <f t="shared" si="159"/>
        <v>San Luis</v>
      </c>
      <c r="B165" s="51">
        <f t="shared" si="160"/>
        <v>0</v>
      </c>
      <c r="C165" s="25" t="str">
        <f t="shared" si="161"/>
        <v>San Luis 0</v>
      </c>
      <c r="D165" s="32">
        <f>VLOOKUP($A165,$A$4:$O$28,8,0)*(HLOOKUP(D$146,'2.2.Brecha Efectiva x UdM'!$H$25:$AK$32,5,0))</f>
        <v>0</v>
      </c>
      <c r="E165" s="32">
        <f>VLOOKUP($A165,$A$4:$O$28,8,0)*(HLOOKUP(E$146,'2.2.Brecha Efectiva x UdM'!$H$25:$AK$32,5,0))</f>
        <v>0</v>
      </c>
      <c r="F165" s="32">
        <f>VLOOKUP($A165,$A$4:$O$28,8,0)*(HLOOKUP(F$146,'2.2.Brecha Efectiva x UdM'!$H$25:$AK$32,5,0))</f>
        <v>0</v>
      </c>
      <c r="G165" s="32">
        <f>VLOOKUP($A165,$A$4:$O$28,8,0)*(HLOOKUP(G$146,'2.2.Brecha Efectiva x UdM'!$H$25:$AK$32,5,0))</f>
        <v>0</v>
      </c>
      <c r="H165" s="32">
        <f>VLOOKUP($A165,$A$4:$O$28,8,0)*(HLOOKUP(H$146,'2.2.Brecha Efectiva x UdM'!$H$25:$AK$32,5,0))</f>
        <v>0</v>
      </c>
      <c r="I165" s="32">
        <f>VLOOKUP($A165,$A$4:$O$28,8,0)*(HLOOKUP(I$146,'2.2.Brecha Efectiva x UdM'!$H$25:$AK$32,5,0))</f>
        <v>0</v>
      </c>
      <c r="J165" s="32">
        <f>VLOOKUP($A165,$A$4:$O$28,8,0)*(HLOOKUP(J$146,'2.2.Brecha Efectiva x UdM'!$H$25:$AK$32,5,0))</f>
        <v>0</v>
      </c>
      <c r="K165" s="32">
        <f>VLOOKUP($A165,$A$4:$O$28,8,0)*(HLOOKUP(K$146,'2.2.Brecha Efectiva x UdM'!$H$25:$AK$32,5,0))</f>
        <v>0</v>
      </c>
      <c r="L165" s="32">
        <f>VLOOKUP($A165,$A$4:$O$28,8,0)*(HLOOKUP(L$146,'2.2.Brecha Efectiva x UdM'!$H$25:$AK$32,5,0))</f>
        <v>0</v>
      </c>
      <c r="M165" s="32">
        <f>VLOOKUP($A165,$A$4:$O$28,8,0)*(HLOOKUP(M$146,'2.2.Brecha Efectiva x UdM'!$H$25:$AK$32,5,0))</f>
        <v>0</v>
      </c>
      <c r="N165" s="32">
        <f>VLOOKUP($A165,$A$4:$O$28,8,0)*(HLOOKUP(N$146,'2.2.Brecha Efectiva x UdM'!$H$25:$AK$32,5,0))</f>
        <v>0</v>
      </c>
      <c r="O165" s="32">
        <f>VLOOKUP($A165,$A$4:$O$28,8,0)*(HLOOKUP(O$146,'2.2.Brecha Efectiva x UdM'!$H$25:$AK$32,5,0))</f>
        <v>0</v>
      </c>
      <c r="P165" s="32">
        <f>VLOOKUP($A165,$A$4:$O$28,8,0)*(HLOOKUP(P$146,'2.2.Brecha Efectiva x UdM'!$H$25:$AK$32,5,0))</f>
        <v>0</v>
      </c>
      <c r="Q165" s="32">
        <f>VLOOKUP($A165,$A$4:$O$28,8,0)*(HLOOKUP(Q$146,'2.2.Brecha Efectiva x UdM'!$H$25:$AK$32,5,0))</f>
        <v>0</v>
      </c>
      <c r="R165" s="32">
        <f>VLOOKUP($A165,$A$4:$O$28,8,0)*(HLOOKUP(R$146,'2.2.Brecha Efectiva x UdM'!$H$25:$AK$32,5,0))</f>
        <v>0</v>
      </c>
      <c r="S165" s="32">
        <f>VLOOKUP($A165,$A$4:$O$28,8,0)*(HLOOKUP(S$146,'2.2.Brecha Efectiva x UdM'!$H$25:$AK$32,5,0))</f>
        <v>0</v>
      </c>
      <c r="T165" s="32">
        <f>VLOOKUP($A165,$A$4:$O$28,8,0)*(HLOOKUP(T$146,'2.2.Brecha Efectiva x UdM'!$H$25:$AK$32,5,0))</f>
        <v>0</v>
      </c>
      <c r="U165" s="32">
        <f>VLOOKUP($A165,$A$4:$O$28,8,0)*(HLOOKUP(U$146,'2.2.Brecha Efectiva x UdM'!$H$25:$AK$32,5,0))</f>
        <v>0</v>
      </c>
      <c r="V165" s="32">
        <f>VLOOKUP($A165,$A$4:$O$28,8,0)*(HLOOKUP(V$146,'2.2.Brecha Efectiva x UdM'!$H$25:$AK$32,5,0))</f>
        <v>0</v>
      </c>
      <c r="W165" s="32">
        <f>VLOOKUP($A165,$A$4:$O$28,8,0)*(HLOOKUP(W$146,'2.2.Brecha Efectiva x UdM'!$H$25:$AK$32,5,0))</f>
        <v>0</v>
      </c>
      <c r="X165" s="32">
        <f>VLOOKUP($A165,$A$4:$O$28,8,0)*(HLOOKUP(X$146,'2.2.Brecha Efectiva x UdM'!$H$25:$AK$32,5,0))</f>
        <v>0</v>
      </c>
      <c r="Y165" s="32">
        <f>VLOOKUP($A165,$A$4:$O$28,8,0)*(HLOOKUP(Y$146,'2.2.Brecha Efectiva x UdM'!$H$25:$AK$32,5,0))</f>
        <v>0</v>
      </c>
      <c r="Z165" s="32">
        <f>VLOOKUP($A165,$A$4:$O$28,8,0)*(HLOOKUP(Z$146,'2.2.Brecha Efectiva x UdM'!$H$25:$AK$32,5,0))</f>
        <v>0</v>
      </c>
      <c r="AA165" s="32">
        <f>VLOOKUP($A165,$A$4:$O$28,8,0)*(HLOOKUP(AA$146,'2.2.Brecha Efectiva x UdM'!$H$25:$AK$32,5,0))</f>
        <v>0</v>
      </c>
      <c r="AB165" s="32">
        <f>VLOOKUP($A165,$A$4:$O$28,8,0)*(HLOOKUP(AB$146,'2.2.Brecha Efectiva x UdM'!$H$25:$AK$32,5,0))</f>
        <v>0</v>
      </c>
      <c r="AC165" s="32">
        <f>VLOOKUP($A165,$A$4:$O$28,8,0)*(HLOOKUP(AC$146,'2.2.Brecha Efectiva x UdM'!$H$25:$AK$32,5,0))</f>
        <v>0</v>
      </c>
      <c r="AD165" s="32">
        <f>VLOOKUP($A165,$A$4:$O$28,8,0)*(HLOOKUP(AD$146,'2.2.Brecha Efectiva x UdM'!$H$25:$AK$32,5,0))</f>
        <v>0</v>
      </c>
      <c r="AE165" s="32">
        <f>VLOOKUP($A165,$A$4:$O$28,8,0)*(HLOOKUP(AE$146,'2.2.Brecha Efectiva x UdM'!$H$25:$AK$32,5,0))</f>
        <v>0</v>
      </c>
      <c r="AF165" s="32">
        <f>VLOOKUP($A165,$A$4:$O$28,8,0)*(HLOOKUP(AF$146,'2.2.Brecha Efectiva x UdM'!$H$25:$AK$32,5,0))</f>
        <v>0</v>
      </c>
      <c r="AG165" s="32">
        <f>VLOOKUP($A165,$A$4:$O$28,8,0)*(HLOOKUP(AG$146,'2.2.Brecha Efectiva x UdM'!$H$25:$AK$32,5,0))</f>
        <v>0</v>
      </c>
      <c r="AH165" s="62">
        <f t="shared" si="162"/>
        <v>0</v>
      </c>
    </row>
    <row r="166" spans="1:34" hidden="1" x14ac:dyDescent="0.2">
      <c r="A166" s="26" t="str">
        <f t="shared" si="159"/>
        <v>Santa Cruz</v>
      </c>
      <c r="B166" s="52">
        <f t="shared" si="160"/>
        <v>0</v>
      </c>
      <c r="C166" s="26" t="str">
        <f t="shared" si="161"/>
        <v>Santa Cruz 0</v>
      </c>
      <c r="D166" s="31">
        <f>VLOOKUP($A166,$A$4:$O$28,8,0)*(HLOOKUP(D$146,'2.2.Brecha Efectiva x UdM'!$H$25:$AK$32,5,0))</f>
        <v>0</v>
      </c>
      <c r="E166" s="31">
        <f>VLOOKUP($A166,$A$4:$O$28,8,0)*(HLOOKUP(E$146,'2.2.Brecha Efectiva x UdM'!$H$25:$AK$32,5,0))</f>
        <v>0</v>
      </c>
      <c r="F166" s="31">
        <f>VLOOKUP($A166,$A$4:$O$28,8,0)*(HLOOKUP(F$146,'2.2.Brecha Efectiva x UdM'!$H$25:$AK$32,5,0))</f>
        <v>0</v>
      </c>
      <c r="G166" s="31">
        <f>VLOOKUP($A166,$A$4:$O$28,8,0)*(HLOOKUP(G$146,'2.2.Brecha Efectiva x UdM'!$H$25:$AK$32,5,0))</f>
        <v>0</v>
      </c>
      <c r="H166" s="31">
        <f>VLOOKUP($A166,$A$4:$O$28,8,0)*(HLOOKUP(H$146,'2.2.Brecha Efectiva x UdM'!$H$25:$AK$32,5,0))</f>
        <v>0</v>
      </c>
      <c r="I166" s="31">
        <f>VLOOKUP($A166,$A$4:$O$28,8,0)*(HLOOKUP(I$146,'2.2.Brecha Efectiva x UdM'!$H$25:$AK$32,5,0))</f>
        <v>0</v>
      </c>
      <c r="J166" s="31">
        <f>VLOOKUP($A166,$A$4:$O$28,8,0)*(HLOOKUP(J$146,'2.2.Brecha Efectiva x UdM'!$H$25:$AK$32,5,0))</f>
        <v>0</v>
      </c>
      <c r="K166" s="31">
        <f>VLOOKUP($A166,$A$4:$O$28,8,0)*(HLOOKUP(K$146,'2.2.Brecha Efectiva x UdM'!$H$25:$AK$32,5,0))</f>
        <v>0</v>
      </c>
      <c r="L166" s="31">
        <f>VLOOKUP($A166,$A$4:$O$28,8,0)*(HLOOKUP(L$146,'2.2.Brecha Efectiva x UdM'!$H$25:$AK$32,5,0))</f>
        <v>0</v>
      </c>
      <c r="M166" s="31">
        <f>VLOOKUP($A166,$A$4:$O$28,8,0)*(HLOOKUP(M$146,'2.2.Brecha Efectiva x UdM'!$H$25:$AK$32,5,0))</f>
        <v>0</v>
      </c>
      <c r="N166" s="31">
        <f>VLOOKUP($A166,$A$4:$O$28,8,0)*(HLOOKUP(N$146,'2.2.Brecha Efectiva x UdM'!$H$25:$AK$32,5,0))</f>
        <v>0</v>
      </c>
      <c r="O166" s="31">
        <f>VLOOKUP($A166,$A$4:$O$28,8,0)*(HLOOKUP(O$146,'2.2.Brecha Efectiva x UdM'!$H$25:$AK$32,5,0))</f>
        <v>0</v>
      </c>
      <c r="P166" s="31">
        <f>VLOOKUP($A166,$A$4:$O$28,8,0)*(HLOOKUP(P$146,'2.2.Brecha Efectiva x UdM'!$H$25:$AK$32,5,0))</f>
        <v>0</v>
      </c>
      <c r="Q166" s="31">
        <f>VLOOKUP($A166,$A$4:$O$28,8,0)*(HLOOKUP(Q$146,'2.2.Brecha Efectiva x UdM'!$H$25:$AK$32,5,0))</f>
        <v>0</v>
      </c>
      <c r="R166" s="31">
        <f>VLOOKUP($A166,$A$4:$O$28,8,0)*(HLOOKUP(R$146,'2.2.Brecha Efectiva x UdM'!$H$25:$AK$32,5,0))</f>
        <v>0</v>
      </c>
      <c r="S166" s="31">
        <f>VLOOKUP($A166,$A$4:$O$28,8,0)*(HLOOKUP(S$146,'2.2.Brecha Efectiva x UdM'!$H$25:$AK$32,5,0))</f>
        <v>0</v>
      </c>
      <c r="T166" s="31">
        <f>VLOOKUP($A166,$A$4:$O$28,8,0)*(HLOOKUP(T$146,'2.2.Brecha Efectiva x UdM'!$H$25:$AK$32,5,0))</f>
        <v>0</v>
      </c>
      <c r="U166" s="31">
        <f>VLOOKUP($A166,$A$4:$O$28,8,0)*(HLOOKUP(U$146,'2.2.Brecha Efectiva x UdM'!$H$25:$AK$32,5,0))</f>
        <v>0</v>
      </c>
      <c r="V166" s="31">
        <f>VLOOKUP($A166,$A$4:$O$28,8,0)*(HLOOKUP(V$146,'2.2.Brecha Efectiva x UdM'!$H$25:$AK$32,5,0))</f>
        <v>0</v>
      </c>
      <c r="W166" s="31">
        <f>VLOOKUP($A166,$A$4:$O$28,8,0)*(HLOOKUP(W$146,'2.2.Brecha Efectiva x UdM'!$H$25:$AK$32,5,0))</f>
        <v>0</v>
      </c>
      <c r="X166" s="31">
        <f>VLOOKUP($A166,$A$4:$O$28,8,0)*(HLOOKUP(X$146,'2.2.Brecha Efectiva x UdM'!$H$25:$AK$32,5,0))</f>
        <v>0</v>
      </c>
      <c r="Y166" s="31">
        <f>VLOOKUP($A166,$A$4:$O$28,8,0)*(HLOOKUP(Y$146,'2.2.Brecha Efectiva x UdM'!$H$25:$AK$32,5,0))</f>
        <v>0</v>
      </c>
      <c r="Z166" s="31">
        <f>VLOOKUP($A166,$A$4:$O$28,8,0)*(HLOOKUP(Z$146,'2.2.Brecha Efectiva x UdM'!$H$25:$AK$32,5,0))</f>
        <v>0</v>
      </c>
      <c r="AA166" s="31">
        <f>VLOOKUP($A166,$A$4:$O$28,8,0)*(HLOOKUP(AA$146,'2.2.Brecha Efectiva x UdM'!$H$25:$AK$32,5,0))</f>
        <v>0</v>
      </c>
      <c r="AB166" s="31">
        <f>VLOOKUP($A166,$A$4:$O$28,8,0)*(HLOOKUP(AB$146,'2.2.Brecha Efectiva x UdM'!$H$25:$AK$32,5,0))</f>
        <v>0</v>
      </c>
      <c r="AC166" s="31">
        <f>VLOOKUP($A166,$A$4:$O$28,8,0)*(HLOOKUP(AC$146,'2.2.Brecha Efectiva x UdM'!$H$25:$AK$32,5,0))</f>
        <v>0</v>
      </c>
      <c r="AD166" s="31">
        <f>VLOOKUP($A166,$A$4:$O$28,8,0)*(HLOOKUP(AD$146,'2.2.Brecha Efectiva x UdM'!$H$25:$AK$32,5,0))</f>
        <v>0</v>
      </c>
      <c r="AE166" s="31">
        <f>VLOOKUP($A166,$A$4:$O$28,8,0)*(HLOOKUP(AE$146,'2.2.Brecha Efectiva x UdM'!$H$25:$AK$32,5,0))</f>
        <v>0</v>
      </c>
      <c r="AF166" s="31">
        <f>VLOOKUP($A166,$A$4:$O$28,8,0)*(HLOOKUP(AF$146,'2.2.Brecha Efectiva x UdM'!$H$25:$AK$32,5,0))</f>
        <v>0</v>
      </c>
      <c r="AG166" s="31">
        <f>VLOOKUP($A166,$A$4:$O$28,8,0)*(HLOOKUP(AG$146,'2.2.Brecha Efectiva x UdM'!$H$25:$AK$32,5,0))</f>
        <v>0</v>
      </c>
      <c r="AH166" s="63">
        <f t="shared" si="162"/>
        <v>0</v>
      </c>
    </row>
    <row r="167" spans="1:34" hidden="1" x14ac:dyDescent="0.2">
      <c r="A167" s="25" t="str">
        <f t="shared" si="159"/>
        <v>Santa Fe</v>
      </c>
      <c r="B167" s="51">
        <f t="shared" si="160"/>
        <v>0</v>
      </c>
      <c r="C167" s="25" t="str">
        <f t="shared" si="161"/>
        <v>Santa Fe 0</v>
      </c>
      <c r="D167" s="32">
        <f>VLOOKUP($A167,$A$4:$O$28,8,0)*(HLOOKUP(D$146,'2.2.Brecha Efectiva x UdM'!$H$25:$AK$32,5,0))</f>
        <v>0</v>
      </c>
      <c r="E167" s="32">
        <f>VLOOKUP($A167,$A$4:$O$28,8,0)*(HLOOKUP(E$146,'2.2.Brecha Efectiva x UdM'!$H$25:$AK$32,5,0))</f>
        <v>0</v>
      </c>
      <c r="F167" s="32">
        <f>VLOOKUP($A167,$A$4:$O$28,8,0)*(HLOOKUP(F$146,'2.2.Brecha Efectiva x UdM'!$H$25:$AK$32,5,0))</f>
        <v>0</v>
      </c>
      <c r="G167" s="32">
        <f>VLOOKUP($A167,$A$4:$O$28,8,0)*(HLOOKUP(G$146,'2.2.Brecha Efectiva x UdM'!$H$25:$AK$32,5,0))</f>
        <v>0</v>
      </c>
      <c r="H167" s="32">
        <f>VLOOKUP($A167,$A$4:$O$28,8,0)*(HLOOKUP(H$146,'2.2.Brecha Efectiva x UdM'!$H$25:$AK$32,5,0))</f>
        <v>0</v>
      </c>
      <c r="I167" s="32">
        <f>VLOOKUP($A167,$A$4:$O$28,8,0)*(HLOOKUP(I$146,'2.2.Brecha Efectiva x UdM'!$H$25:$AK$32,5,0))</f>
        <v>0</v>
      </c>
      <c r="J167" s="32">
        <f>VLOOKUP($A167,$A$4:$O$28,8,0)*(HLOOKUP(J$146,'2.2.Brecha Efectiva x UdM'!$H$25:$AK$32,5,0))</f>
        <v>0</v>
      </c>
      <c r="K167" s="32">
        <f>VLOOKUP($A167,$A$4:$O$28,8,0)*(HLOOKUP(K$146,'2.2.Brecha Efectiva x UdM'!$H$25:$AK$32,5,0))</f>
        <v>0</v>
      </c>
      <c r="L167" s="32">
        <f>VLOOKUP($A167,$A$4:$O$28,8,0)*(HLOOKUP(L$146,'2.2.Brecha Efectiva x UdM'!$H$25:$AK$32,5,0))</f>
        <v>0</v>
      </c>
      <c r="M167" s="32">
        <f>VLOOKUP($A167,$A$4:$O$28,8,0)*(HLOOKUP(M$146,'2.2.Brecha Efectiva x UdM'!$H$25:$AK$32,5,0))</f>
        <v>0</v>
      </c>
      <c r="N167" s="32">
        <f>VLOOKUP($A167,$A$4:$O$28,8,0)*(HLOOKUP(N$146,'2.2.Brecha Efectiva x UdM'!$H$25:$AK$32,5,0))</f>
        <v>0</v>
      </c>
      <c r="O167" s="32">
        <f>VLOOKUP($A167,$A$4:$O$28,8,0)*(HLOOKUP(O$146,'2.2.Brecha Efectiva x UdM'!$H$25:$AK$32,5,0))</f>
        <v>0</v>
      </c>
      <c r="P167" s="32">
        <f>VLOOKUP($A167,$A$4:$O$28,8,0)*(HLOOKUP(P$146,'2.2.Brecha Efectiva x UdM'!$H$25:$AK$32,5,0))</f>
        <v>0</v>
      </c>
      <c r="Q167" s="32">
        <f>VLOOKUP($A167,$A$4:$O$28,8,0)*(HLOOKUP(Q$146,'2.2.Brecha Efectiva x UdM'!$H$25:$AK$32,5,0))</f>
        <v>0</v>
      </c>
      <c r="R167" s="32">
        <f>VLOOKUP($A167,$A$4:$O$28,8,0)*(HLOOKUP(R$146,'2.2.Brecha Efectiva x UdM'!$H$25:$AK$32,5,0))</f>
        <v>0</v>
      </c>
      <c r="S167" s="32">
        <f>VLOOKUP($A167,$A$4:$O$28,8,0)*(HLOOKUP(S$146,'2.2.Brecha Efectiva x UdM'!$H$25:$AK$32,5,0))</f>
        <v>0</v>
      </c>
      <c r="T167" s="32">
        <f>VLOOKUP($A167,$A$4:$O$28,8,0)*(HLOOKUP(T$146,'2.2.Brecha Efectiva x UdM'!$H$25:$AK$32,5,0))</f>
        <v>0</v>
      </c>
      <c r="U167" s="32">
        <f>VLOOKUP($A167,$A$4:$O$28,8,0)*(HLOOKUP(U$146,'2.2.Brecha Efectiva x UdM'!$H$25:$AK$32,5,0))</f>
        <v>0</v>
      </c>
      <c r="V167" s="32">
        <f>VLOOKUP($A167,$A$4:$O$28,8,0)*(HLOOKUP(V$146,'2.2.Brecha Efectiva x UdM'!$H$25:$AK$32,5,0))</f>
        <v>0</v>
      </c>
      <c r="W167" s="32">
        <f>VLOOKUP($A167,$A$4:$O$28,8,0)*(HLOOKUP(W$146,'2.2.Brecha Efectiva x UdM'!$H$25:$AK$32,5,0))</f>
        <v>0</v>
      </c>
      <c r="X167" s="32">
        <f>VLOOKUP($A167,$A$4:$O$28,8,0)*(HLOOKUP(X$146,'2.2.Brecha Efectiva x UdM'!$H$25:$AK$32,5,0))</f>
        <v>0</v>
      </c>
      <c r="Y167" s="32">
        <f>VLOOKUP($A167,$A$4:$O$28,8,0)*(HLOOKUP(Y$146,'2.2.Brecha Efectiva x UdM'!$H$25:$AK$32,5,0))</f>
        <v>0</v>
      </c>
      <c r="Z167" s="32">
        <f>VLOOKUP($A167,$A$4:$O$28,8,0)*(HLOOKUP(Z$146,'2.2.Brecha Efectiva x UdM'!$H$25:$AK$32,5,0))</f>
        <v>0</v>
      </c>
      <c r="AA167" s="32">
        <f>VLOOKUP($A167,$A$4:$O$28,8,0)*(HLOOKUP(AA$146,'2.2.Brecha Efectiva x UdM'!$H$25:$AK$32,5,0))</f>
        <v>0</v>
      </c>
      <c r="AB167" s="32">
        <f>VLOOKUP($A167,$A$4:$O$28,8,0)*(HLOOKUP(AB$146,'2.2.Brecha Efectiva x UdM'!$H$25:$AK$32,5,0))</f>
        <v>0</v>
      </c>
      <c r="AC167" s="32">
        <f>VLOOKUP($A167,$A$4:$O$28,8,0)*(HLOOKUP(AC$146,'2.2.Brecha Efectiva x UdM'!$H$25:$AK$32,5,0))</f>
        <v>0</v>
      </c>
      <c r="AD167" s="32">
        <f>VLOOKUP($A167,$A$4:$O$28,8,0)*(HLOOKUP(AD$146,'2.2.Brecha Efectiva x UdM'!$H$25:$AK$32,5,0))</f>
        <v>0</v>
      </c>
      <c r="AE167" s="32">
        <f>VLOOKUP($A167,$A$4:$O$28,8,0)*(HLOOKUP(AE$146,'2.2.Brecha Efectiva x UdM'!$H$25:$AK$32,5,0))</f>
        <v>0</v>
      </c>
      <c r="AF167" s="32">
        <f>VLOOKUP($A167,$A$4:$O$28,8,0)*(HLOOKUP(AF$146,'2.2.Brecha Efectiva x UdM'!$H$25:$AK$32,5,0))</f>
        <v>0</v>
      </c>
      <c r="AG167" s="32">
        <f>VLOOKUP($A167,$A$4:$O$28,8,0)*(HLOOKUP(AG$146,'2.2.Brecha Efectiva x UdM'!$H$25:$AK$32,5,0))</f>
        <v>0</v>
      </c>
      <c r="AH167" s="62">
        <f t="shared" si="162"/>
        <v>0</v>
      </c>
    </row>
    <row r="168" spans="1:34" hidden="1" x14ac:dyDescent="0.2">
      <c r="A168" s="26" t="str">
        <f t="shared" si="159"/>
        <v>Santiago del Estero</v>
      </c>
      <c r="B168" s="52">
        <f t="shared" si="160"/>
        <v>0</v>
      </c>
      <c r="C168" s="26" t="str">
        <f t="shared" si="161"/>
        <v>Santiago del Estero 0</v>
      </c>
      <c r="D168" s="31">
        <f>VLOOKUP($A168,$A$4:$O$28,8,0)*(HLOOKUP(D$146,'2.2.Brecha Efectiva x UdM'!$H$25:$AK$32,5,0))</f>
        <v>0</v>
      </c>
      <c r="E168" s="31">
        <f>VLOOKUP($A168,$A$4:$O$28,8,0)*(HLOOKUP(E$146,'2.2.Brecha Efectiva x UdM'!$H$25:$AK$32,5,0))</f>
        <v>0</v>
      </c>
      <c r="F168" s="31">
        <f>VLOOKUP($A168,$A$4:$O$28,8,0)*(HLOOKUP(F$146,'2.2.Brecha Efectiva x UdM'!$H$25:$AK$32,5,0))</f>
        <v>0</v>
      </c>
      <c r="G168" s="31">
        <f>VLOOKUP($A168,$A$4:$O$28,8,0)*(HLOOKUP(G$146,'2.2.Brecha Efectiva x UdM'!$H$25:$AK$32,5,0))</f>
        <v>0</v>
      </c>
      <c r="H168" s="31">
        <f>VLOOKUP($A168,$A$4:$O$28,8,0)*(HLOOKUP(H$146,'2.2.Brecha Efectiva x UdM'!$H$25:$AK$32,5,0))</f>
        <v>0</v>
      </c>
      <c r="I168" s="31">
        <f>VLOOKUP($A168,$A$4:$O$28,8,0)*(HLOOKUP(I$146,'2.2.Brecha Efectiva x UdM'!$H$25:$AK$32,5,0))</f>
        <v>0</v>
      </c>
      <c r="J168" s="31">
        <f>VLOOKUP($A168,$A$4:$O$28,8,0)*(HLOOKUP(J$146,'2.2.Brecha Efectiva x UdM'!$H$25:$AK$32,5,0))</f>
        <v>0</v>
      </c>
      <c r="K168" s="31">
        <f>VLOOKUP($A168,$A$4:$O$28,8,0)*(HLOOKUP(K$146,'2.2.Brecha Efectiva x UdM'!$H$25:$AK$32,5,0))</f>
        <v>0</v>
      </c>
      <c r="L168" s="31">
        <f>VLOOKUP($A168,$A$4:$O$28,8,0)*(HLOOKUP(L$146,'2.2.Brecha Efectiva x UdM'!$H$25:$AK$32,5,0))</f>
        <v>0</v>
      </c>
      <c r="M168" s="31">
        <f>VLOOKUP($A168,$A$4:$O$28,8,0)*(HLOOKUP(M$146,'2.2.Brecha Efectiva x UdM'!$H$25:$AK$32,5,0))</f>
        <v>0</v>
      </c>
      <c r="N168" s="31">
        <f>VLOOKUP($A168,$A$4:$O$28,8,0)*(HLOOKUP(N$146,'2.2.Brecha Efectiva x UdM'!$H$25:$AK$32,5,0))</f>
        <v>0</v>
      </c>
      <c r="O168" s="31">
        <f>VLOOKUP($A168,$A$4:$O$28,8,0)*(HLOOKUP(O$146,'2.2.Brecha Efectiva x UdM'!$H$25:$AK$32,5,0))</f>
        <v>0</v>
      </c>
      <c r="P168" s="31">
        <f>VLOOKUP($A168,$A$4:$O$28,8,0)*(HLOOKUP(P$146,'2.2.Brecha Efectiva x UdM'!$H$25:$AK$32,5,0))</f>
        <v>0</v>
      </c>
      <c r="Q168" s="31">
        <f>VLOOKUP($A168,$A$4:$O$28,8,0)*(HLOOKUP(Q$146,'2.2.Brecha Efectiva x UdM'!$H$25:$AK$32,5,0))</f>
        <v>0</v>
      </c>
      <c r="R168" s="31">
        <f>VLOOKUP($A168,$A$4:$O$28,8,0)*(HLOOKUP(R$146,'2.2.Brecha Efectiva x UdM'!$H$25:$AK$32,5,0))</f>
        <v>0</v>
      </c>
      <c r="S168" s="31">
        <f>VLOOKUP($A168,$A$4:$O$28,8,0)*(HLOOKUP(S$146,'2.2.Brecha Efectiva x UdM'!$H$25:$AK$32,5,0))</f>
        <v>0</v>
      </c>
      <c r="T168" s="31">
        <f>VLOOKUP($A168,$A$4:$O$28,8,0)*(HLOOKUP(T$146,'2.2.Brecha Efectiva x UdM'!$H$25:$AK$32,5,0))</f>
        <v>0</v>
      </c>
      <c r="U168" s="31">
        <f>VLOOKUP($A168,$A$4:$O$28,8,0)*(HLOOKUP(U$146,'2.2.Brecha Efectiva x UdM'!$H$25:$AK$32,5,0))</f>
        <v>0</v>
      </c>
      <c r="V168" s="31">
        <f>VLOOKUP($A168,$A$4:$O$28,8,0)*(HLOOKUP(V$146,'2.2.Brecha Efectiva x UdM'!$H$25:$AK$32,5,0))</f>
        <v>0</v>
      </c>
      <c r="W168" s="31">
        <f>VLOOKUP($A168,$A$4:$O$28,8,0)*(HLOOKUP(W$146,'2.2.Brecha Efectiva x UdM'!$H$25:$AK$32,5,0))</f>
        <v>0</v>
      </c>
      <c r="X168" s="31">
        <f>VLOOKUP($A168,$A$4:$O$28,8,0)*(HLOOKUP(X$146,'2.2.Brecha Efectiva x UdM'!$H$25:$AK$32,5,0))</f>
        <v>0</v>
      </c>
      <c r="Y168" s="31">
        <f>VLOOKUP($A168,$A$4:$O$28,8,0)*(HLOOKUP(Y$146,'2.2.Brecha Efectiva x UdM'!$H$25:$AK$32,5,0))</f>
        <v>0</v>
      </c>
      <c r="Z168" s="31">
        <f>VLOOKUP($A168,$A$4:$O$28,8,0)*(HLOOKUP(Z$146,'2.2.Brecha Efectiva x UdM'!$H$25:$AK$32,5,0))</f>
        <v>0</v>
      </c>
      <c r="AA168" s="31">
        <f>VLOOKUP($A168,$A$4:$O$28,8,0)*(HLOOKUP(AA$146,'2.2.Brecha Efectiva x UdM'!$H$25:$AK$32,5,0))</f>
        <v>0</v>
      </c>
      <c r="AB168" s="31">
        <f>VLOOKUP($A168,$A$4:$O$28,8,0)*(HLOOKUP(AB$146,'2.2.Brecha Efectiva x UdM'!$H$25:$AK$32,5,0))</f>
        <v>0</v>
      </c>
      <c r="AC168" s="31">
        <f>VLOOKUP($A168,$A$4:$O$28,8,0)*(HLOOKUP(AC$146,'2.2.Brecha Efectiva x UdM'!$H$25:$AK$32,5,0))</f>
        <v>0</v>
      </c>
      <c r="AD168" s="31">
        <f>VLOOKUP($A168,$A$4:$O$28,8,0)*(HLOOKUP(AD$146,'2.2.Brecha Efectiva x UdM'!$H$25:$AK$32,5,0))</f>
        <v>0</v>
      </c>
      <c r="AE168" s="31">
        <f>VLOOKUP($A168,$A$4:$O$28,8,0)*(HLOOKUP(AE$146,'2.2.Brecha Efectiva x UdM'!$H$25:$AK$32,5,0))</f>
        <v>0</v>
      </c>
      <c r="AF168" s="31">
        <f>VLOOKUP($A168,$A$4:$O$28,8,0)*(HLOOKUP(AF$146,'2.2.Brecha Efectiva x UdM'!$H$25:$AK$32,5,0))</f>
        <v>0</v>
      </c>
      <c r="AG168" s="31">
        <f>VLOOKUP($A168,$A$4:$O$28,8,0)*(HLOOKUP(AG$146,'2.2.Brecha Efectiva x UdM'!$H$25:$AK$32,5,0))</f>
        <v>0</v>
      </c>
      <c r="AH168" s="63">
        <f t="shared" si="162"/>
        <v>0</v>
      </c>
    </row>
    <row r="169" spans="1:34" hidden="1" x14ac:dyDescent="0.2">
      <c r="A169" s="25" t="str">
        <f t="shared" si="159"/>
        <v>Tierra del Fuego</v>
      </c>
      <c r="B169" s="51">
        <f t="shared" si="160"/>
        <v>0</v>
      </c>
      <c r="C169" s="25" t="str">
        <f t="shared" si="161"/>
        <v>Tierra del Fuego 0</v>
      </c>
      <c r="D169" s="32">
        <f>VLOOKUP($A169,$A$4:$O$28,8,0)*(HLOOKUP(D$146,'2.2.Brecha Efectiva x UdM'!$H$25:$AK$32,5,0))</f>
        <v>0</v>
      </c>
      <c r="E169" s="32">
        <f>VLOOKUP($A169,$A$4:$O$28,8,0)*(HLOOKUP(E$146,'2.2.Brecha Efectiva x UdM'!$H$25:$AK$32,5,0))</f>
        <v>0</v>
      </c>
      <c r="F169" s="32">
        <f>VLOOKUP($A169,$A$4:$O$28,8,0)*(HLOOKUP(F$146,'2.2.Brecha Efectiva x UdM'!$H$25:$AK$32,5,0))</f>
        <v>0</v>
      </c>
      <c r="G169" s="32">
        <f>VLOOKUP($A169,$A$4:$O$28,8,0)*(HLOOKUP(G$146,'2.2.Brecha Efectiva x UdM'!$H$25:$AK$32,5,0))</f>
        <v>0</v>
      </c>
      <c r="H169" s="32">
        <f>VLOOKUP($A169,$A$4:$O$28,8,0)*(HLOOKUP(H$146,'2.2.Brecha Efectiva x UdM'!$H$25:$AK$32,5,0))</f>
        <v>0</v>
      </c>
      <c r="I169" s="32">
        <f>VLOOKUP($A169,$A$4:$O$28,8,0)*(HLOOKUP(I$146,'2.2.Brecha Efectiva x UdM'!$H$25:$AK$32,5,0))</f>
        <v>0</v>
      </c>
      <c r="J169" s="32">
        <f>VLOOKUP($A169,$A$4:$O$28,8,0)*(HLOOKUP(J$146,'2.2.Brecha Efectiva x UdM'!$H$25:$AK$32,5,0))</f>
        <v>0</v>
      </c>
      <c r="K169" s="32">
        <f>VLOOKUP($A169,$A$4:$O$28,8,0)*(HLOOKUP(K$146,'2.2.Brecha Efectiva x UdM'!$H$25:$AK$32,5,0))</f>
        <v>0</v>
      </c>
      <c r="L169" s="32">
        <f>VLOOKUP($A169,$A$4:$O$28,8,0)*(HLOOKUP(L$146,'2.2.Brecha Efectiva x UdM'!$H$25:$AK$32,5,0))</f>
        <v>0</v>
      </c>
      <c r="M169" s="32">
        <f>VLOOKUP($A169,$A$4:$O$28,8,0)*(HLOOKUP(M$146,'2.2.Brecha Efectiva x UdM'!$H$25:$AK$32,5,0))</f>
        <v>0</v>
      </c>
      <c r="N169" s="32">
        <f>VLOOKUP($A169,$A$4:$O$28,8,0)*(HLOOKUP(N$146,'2.2.Brecha Efectiva x UdM'!$H$25:$AK$32,5,0))</f>
        <v>0</v>
      </c>
      <c r="O169" s="32">
        <f>VLOOKUP($A169,$A$4:$O$28,8,0)*(HLOOKUP(O$146,'2.2.Brecha Efectiva x UdM'!$H$25:$AK$32,5,0))</f>
        <v>0</v>
      </c>
      <c r="P169" s="32">
        <f>VLOOKUP($A169,$A$4:$O$28,8,0)*(HLOOKUP(P$146,'2.2.Brecha Efectiva x UdM'!$H$25:$AK$32,5,0))</f>
        <v>0</v>
      </c>
      <c r="Q169" s="32">
        <f>VLOOKUP($A169,$A$4:$O$28,8,0)*(HLOOKUP(Q$146,'2.2.Brecha Efectiva x UdM'!$H$25:$AK$32,5,0))</f>
        <v>0</v>
      </c>
      <c r="R169" s="32">
        <f>VLOOKUP($A169,$A$4:$O$28,8,0)*(HLOOKUP(R$146,'2.2.Brecha Efectiva x UdM'!$H$25:$AK$32,5,0))</f>
        <v>0</v>
      </c>
      <c r="S169" s="32">
        <f>VLOOKUP($A169,$A$4:$O$28,8,0)*(HLOOKUP(S$146,'2.2.Brecha Efectiva x UdM'!$H$25:$AK$32,5,0))</f>
        <v>0</v>
      </c>
      <c r="T169" s="32">
        <f>VLOOKUP($A169,$A$4:$O$28,8,0)*(HLOOKUP(T$146,'2.2.Brecha Efectiva x UdM'!$H$25:$AK$32,5,0))</f>
        <v>0</v>
      </c>
      <c r="U169" s="32">
        <f>VLOOKUP($A169,$A$4:$O$28,8,0)*(HLOOKUP(U$146,'2.2.Brecha Efectiva x UdM'!$H$25:$AK$32,5,0))</f>
        <v>0</v>
      </c>
      <c r="V169" s="32">
        <f>VLOOKUP($A169,$A$4:$O$28,8,0)*(HLOOKUP(V$146,'2.2.Brecha Efectiva x UdM'!$H$25:$AK$32,5,0))</f>
        <v>0</v>
      </c>
      <c r="W169" s="32">
        <f>VLOOKUP($A169,$A$4:$O$28,8,0)*(HLOOKUP(W$146,'2.2.Brecha Efectiva x UdM'!$H$25:$AK$32,5,0))</f>
        <v>0</v>
      </c>
      <c r="X169" s="32">
        <f>VLOOKUP($A169,$A$4:$O$28,8,0)*(HLOOKUP(X$146,'2.2.Brecha Efectiva x UdM'!$H$25:$AK$32,5,0))</f>
        <v>0</v>
      </c>
      <c r="Y169" s="32">
        <f>VLOOKUP($A169,$A$4:$O$28,8,0)*(HLOOKUP(Y$146,'2.2.Brecha Efectiva x UdM'!$H$25:$AK$32,5,0))</f>
        <v>0</v>
      </c>
      <c r="Z169" s="32">
        <f>VLOOKUP($A169,$A$4:$O$28,8,0)*(HLOOKUP(Z$146,'2.2.Brecha Efectiva x UdM'!$H$25:$AK$32,5,0))</f>
        <v>0</v>
      </c>
      <c r="AA169" s="32">
        <f>VLOOKUP($A169,$A$4:$O$28,8,0)*(HLOOKUP(AA$146,'2.2.Brecha Efectiva x UdM'!$H$25:$AK$32,5,0))</f>
        <v>0</v>
      </c>
      <c r="AB169" s="32">
        <f>VLOOKUP($A169,$A$4:$O$28,8,0)*(HLOOKUP(AB$146,'2.2.Brecha Efectiva x UdM'!$H$25:$AK$32,5,0))</f>
        <v>0</v>
      </c>
      <c r="AC169" s="32">
        <f>VLOOKUP($A169,$A$4:$O$28,8,0)*(HLOOKUP(AC$146,'2.2.Brecha Efectiva x UdM'!$H$25:$AK$32,5,0))</f>
        <v>0</v>
      </c>
      <c r="AD169" s="32">
        <f>VLOOKUP($A169,$A$4:$O$28,8,0)*(HLOOKUP(AD$146,'2.2.Brecha Efectiva x UdM'!$H$25:$AK$32,5,0))</f>
        <v>0</v>
      </c>
      <c r="AE169" s="32">
        <f>VLOOKUP($A169,$A$4:$O$28,8,0)*(HLOOKUP(AE$146,'2.2.Brecha Efectiva x UdM'!$H$25:$AK$32,5,0))</f>
        <v>0</v>
      </c>
      <c r="AF169" s="32">
        <f>VLOOKUP($A169,$A$4:$O$28,8,0)*(HLOOKUP(AF$146,'2.2.Brecha Efectiva x UdM'!$H$25:$AK$32,5,0))</f>
        <v>0</v>
      </c>
      <c r="AG169" s="32">
        <f>VLOOKUP($A169,$A$4:$O$28,8,0)*(HLOOKUP(AG$146,'2.2.Brecha Efectiva x UdM'!$H$25:$AK$32,5,0))</f>
        <v>0</v>
      </c>
      <c r="AH169" s="62">
        <f t="shared" si="162"/>
        <v>0</v>
      </c>
    </row>
    <row r="170" spans="1:34" hidden="1" x14ac:dyDescent="0.2">
      <c r="A170" s="26" t="str">
        <f t="shared" si="159"/>
        <v>Tucumán</v>
      </c>
      <c r="B170" s="52">
        <f t="shared" si="160"/>
        <v>0</v>
      </c>
      <c r="C170" s="26" t="str">
        <f t="shared" si="161"/>
        <v>Tucumán 0</v>
      </c>
      <c r="D170" s="31">
        <f>VLOOKUP($A170,$A$4:$O$28,8,0)*(HLOOKUP(D$146,'2.2.Brecha Efectiva x UdM'!$H$25:$AK$32,5,0))</f>
        <v>0</v>
      </c>
      <c r="E170" s="31">
        <f>VLOOKUP($A170,$A$4:$O$28,8,0)*(HLOOKUP(E$146,'2.2.Brecha Efectiva x UdM'!$H$25:$AK$32,5,0))</f>
        <v>0</v>
      </c>
      <c r="F170" s="31">
        <f>VLOOKUP($A170,$A$4:$O$28,8,0)*(HLOOKUP(F$146,'2.2.Brecha Efectiva x UdM'!$H$25:$AK$32,5,0))</f>
        <v>0</v>
      </c>
      <c r="G170" s="31">
        <f>VLOOKUP($A170,$A$4:$O$28,8,0)*(HLOOKUP(G$146,'2.2.Brecha Efectiva x UdM'!$H$25:$AK$32,5,0))</f>
        <v>0</v>
      </c>
      <c r="H170" s="31">
        <f>VLOOKUP($A170,$A$4:$O$28,8,0)*(HLOOKUP(H$146,'2.2.Brecha Efectiva x UdM'!$H$25:$AK$32,5,0))</f>
        <v>0</v>
      </c>
      <c r="I170" s="31">
        <f>VLOOKUP($A170,$A$4:$O$28,8,0)*(HLOOKUP(I$146,'2.2.Brecha Efectiva x UdM'!$H$25:$AK$32,5,0))</f>
        <v>0</v>
      </c>
      <c r="J170" s="31">
        <f>VLOOKUP($A170,$A$4:$O$28,8,0)*(HLOOKUP(J$146,'2.2.Brecha Efectiva x UdM'!$H$25:$AK$32,5,0))</f>
        <v>0</v>
      </c>
      <c r="K170" s="31">
        <f>VLOOKUP($A170,$A$4:$O$28,8,0)*(HLOOKUP(K$146,'2.2.Brecha Efectiva x UdM'!$H$25:$AK$32,5,0))</f>
        <v>0</v>
      </c>
      <c r="L170" s="31">
        <f>VLOOKUP($A170,$A$4:$O$28,8,0)*(HLOOKUP(L$146,'2.2.Brecha Efectiva x UdM'!$H$25:$AK$32,5,0))</f>
        <v>0</v>
      </c>
      <c r="M170" s="31">
        <f>VLOOKUP($A170,$A$4:$O$28,8,0)*(HLOOKUP(M$146,'2.2.Brecha Efectiva x UdM'!$H$25:$AK$32,5,0))</f>
        <v>0</v>
      </c>
      <c r="N170" s="31">
        <f>VLOOKUP($A170,$A$4:$O$28,8,0)*(HLOOKUP(N$146,'2.2.Brecha Efectiva x UdM'!$H$25:$AK$32,5,0))</f>
        <v>0</v>
      </c>
      <c r="O170" s="31">
        <f>VLOOKUP($A170,$A$4:$O$28,8,0)*(HLOOKUP(O$146,'2.2.Brecha Efectiva x UdM'!$H$25:$AK$32,5,0))</f>
        <v>0</v>
      </c>
      <c r="P170" s="31">
        <f>VLOOKUP($A170,$A$4:$O$28,8,0)*(HLOOKUP(P$146,'2.2.Brecha Efectiva x UdM'!$H$25:$AK$32,5,0))</f>
        <v>0</v>
      </c>
      <c r="Q170" s="31">
        <f>VLOOKUP($A170,$A$4:$O$28,8,0)*(HLOOKUP(Q$146,'2.2.Brecha Efectiva x UdM'!$H$25:$AK$32,5,0))</f>
        <v>0</v>
      </c>
      <c r="R170" s="31">
        <f>VLOOKUP($A170,$A$4:$O$28,8,0)*(HLOOKUP(R$146,'2.2.Brecha Efectiva x UdM'!$H$25:$AK$32,5,0))</f>
        <v>0</v>
      </c>
      <c r="S170" s="31">
        <f>VLOOKUP($A170,$A$4:$O$28,8,0)*(HLOOKUP(S$146,'2.2.Brecha Efectiva x UdM'!$H$25:$AK$32,5,0))</f>
        <v>0</v>
      </c>
      <c r="T170" s="31">
        <f>VLOOKUP($A170,$A$4:$O$28,8,0)*(HLOOKUP(T$146,'2.2.Brecha Efectiva x UdM'!$H$25:$AK$32,5,0))</f>
        <v>0</v>
      </c>
      <c r="U170" s="31">
        <f>VLOOKUP($A170,$A$4:$O$28,8,0)*(HLOOKUP(U$146,'2.2.Brecha Efectiva x UdM'!$H$25:$AK$32,5,0))</f>
        <v>0</v>
      </c>
      <c r="V170" s="31">
        <f>VLOOKUP($A170,$A$4:$O$28,8,0)*(HLOOKUP(V$146,'2.2.Brecha Efectiva x UdM'!$H$25:$AK$32,5,0))</f>
        <v>0</v>
      </c>
      <c r="W170" s="31">
        <f>VLOOKUP($A170,$A$4:$O$28,8,0)*(HLOOKUP(W$146,'2.2.Brecha Efectiva x UdM'!$H$25:$AK$32,5,0))</f>
        <v>0</v>
      </c>
      <c r="X170" s="31">
        <f>VLOOKUP($A170,$A$4:$O$28,8,0)*(HLOOKUP(X$146,'2.2.Brecha Efectiva x UdM'!$H$25:$AK$32,5,0))</f>
        <v>0</v>
      </c>
      <c r="Y170" s="31">
        <f>VLOOKUP($A170,$A$4:$O$28,8,0)*(HLOOKUP(Y$146,'2.2.Brecha Efectiva x UdM'!$H$25:$AK$32,5,0))</f>
        <v>0</v>
      </c>
      <c r="Z170" s="31">
        <f>VLOOKUP($A170,$A$4:$O$28,8,0)*(HLOOKUP(Z$146,'2.2.Brecha Efectiva x UdM'!$H$25:$AK$32,5,0))</f>
        <v>0</v>
      </c>
      <c r="AA170" s="31">
        <f>VLOOKUP($A170,$A$4:$O$28,8,0)*(HLOOKUP(AA$146,'2.2.Brecha Efectiva x UdM'!$H$25:$AK$32,5,0))</f>
        <v>0</v>
      </c>
      <c r="AB170" s="31">
        <f>VLOOKUP($A170,$A$4:$O$28,8,0)*(HLOOKUP(AB$146,'2.2.Brecha Efectiva x UdM'!$H$25:$AK$32,5,0))</f>
        <v>0</v>
      </c>
      <c r="AC170" s="31">
        <f>VLOOKUP($A170,$A$4:$O$28,8,0)*(HLOOKUP(AC$146,'2.2.Brecha Efectiva x UdM'!$H$25:$AK$32,5,0))</f>
        <v>0</v>
      </c>
      <c r="AD170" s="31">
        <f>VLOOKUP($A170,$A$4:$O$28,8,0)*(HLOOKUP(AD$146,'2.2.Brecha Efectiva x UdM'!$H$25:$AK$32,5,0))</f>
        <v>0</v>
      </c>
      <c r="AE170" s="31">
        <f>VLOOKUP($A170,$A$4:$O$28,8,0)*(HLOOKUP(AE$146,'2.2.Brecha Efectiva x UdM'!$H$25:$AK$32,5,0))</f>
        <v>0</v>
      </c>
      <c r="AF170" s="31">
        <f>VLOOKUP($A170,$A$4:$O$28,8,0)*(HLOOKUP(AF$146,'2.2.Brecha Efectiva x UdM'!$H$25:$AK$32,5,0))</f>
        <v>0</v>
      </c>
      <c r="AG170" s="31">
        <f>VLOOKUP($A170,$A$4:$O$28,8,0)*(HLOOKUP(AG$146,'2.2.Brecha Efectiva x UdM'!$H$25:$AK$32,5,0))</f>
        <v>0</v>
      </c>
      <c r="AH170" s="63">
        <f t="shared" si="162"/>
        <v>0</v>
      </c>
    </row>
    <row r="171" spans="1:34" hidden="1" x14ac:dyDescent="0.2">
      <c r="A171" s="34" t="str">
        <f>CONCATENATE("Total"," ",B147)</f>
        <v>Total 0</v>
      </c>
      <c r="B171" s="29"/>
      <c r="C171" s="13"/>
      <c r="D171" s="13">
        <f>SUM(D147:D170)</f>
        <v>0</v>
      </c>
      <c r="E171" s="13">
        <f t="shared" ref="E171:AG171" si="163">SUM(E147:E170)</f>
        <v>0</v>
      </c>
      <c r="F171" s="13">
        <f t="shared" si="163"/>
        <v>0</v>
      </c>
      <c r="G171" s="13">
        <f t="shared" si="163"/>
        <v>0</v>
      </c>
      <c r="H171" s="13">
        <f t="shared" si="163"/>
        <v>0</v>
      </c>
      <c r="I171" s="13">
        <f t="shared" si="163"/>
        <v>0</v>
      </c>
      <c r="J171" s="13">
        <f t="shared" si="163"/>
        <v>0</v>
      </c>
      <c r="K171" s="13">
        <f t="shared" si="163"/>
        <v>0</v>
      </c>
      <c r="L171" s="13">
        <f t="shared" si="163"/>
        <v>0</v>
      </c>
      <c r="M171" s="13">
        <f t="shared" si="163"/>
        <v>0</v>
      </c>
      <c r="N171" s="13">
        <f t="shared" si="163"/>
        <v>0</v>
      </c>
      <c r="O171" s="13">
        <f t="shared" si="163"/>
        <v>0</v>
      </c>
      <c r="P171" s="13">
        <f t="shared" si="163"/>
        <v>0</v>
      </c>
      <c r="Q171" s="13">
        <f t="shared" si="163"/>
        <v>0</v>
      </c>
      <c r="R171" s="13">
        <f t="shared" si="163"/>
        <v>0</v>
      </c>
      <c r="S171" s="13">
        <f t="shared" si="163"/>
        <v>0</v>
      </c>
      <c r="T171" s="13">
        <f t="shared" si="163"/>
        <v>0</v>
      </c>
      <c r="U171" s="13">
        <f t="shared" si="163"/>
        <v>0</v>
      </c>
      <c r="V171" s="13">
        <f t="shared" si="163"/>
        <v>0</v>
      </c>
      <c r="W171" s="13">
        <f t="shared" si="163"/>
        <v>0</v>
      </c>
      <c r="X171" s="13">
        <f t="shared" si="163"/>
        <v>0</v>
      </c>
      <c r="Y171" s="13">
        <f t="shared" si="163"/>
        <v>0</v>
      </c>
      <c r="Z171" s="13">
        <f t="shared" si="163"/>
        <v>0</v>
      </c>
      <c r="AA171" s="13">
        <f t="shared" si="163"/>
        <v>0</v>
      </c>
      <c r="AB171" s="13">
        <f t="shared" si="163"/>
        <v>0</v>
      </c>
      <c r="AC171" s="13">
        <f t="shared" si="163"/>
        <v>0</v>
      </c>
      <c r="AD171" s="13">
        <f t="shared" si="163"/>
        <v>0</v>
      </c>
      <c r="AE171" s="13">
        <f t="shared" si="163"/>
        <v>0</v>
      </c>
      <c r="AF171" s="13">
        <f t="shared" si="163"/>
        <v>0</v>
      </c>
      <c r="AG171" s="13">
        <f t="shared" si="163"/>
        <v>0</v>
      </c>
      <c r="AH171" s="13">
        <f t="shared" si="162"/>
        <v>0</v>
      </c>
    </row>
    <row r="172" spans="1:34" hidden="1" x14ac:dyDescent="0.2">
      <c r="A172" s="34" t="str">
        <f>CONCATENATE("Total Acumulado"," ",B147)</f>
        <v>Total Acumulado 0</v>
      </c>
      <c r="B172" s="29"/>
      <c r="C172" s="13"/>
      <c r="D172" s="13">
        <f>D171</f>
        <v>0</v>
      </c>
      <c r="E172" s="13">
        <f>E171+D172</f>
        <v>0</v>
      </c>
      <c r="F172" s="13">
        <f t="shared" ref="F172" si="164">F171+E172</f>
        <v>0</v>
      </c>
      <c r="G172" s="13">
        <f t="shared" ref="G172" si="165">G171+F172</f>
        <v>0</v>
      </c>
      <c r="H172" s="13">
        <f t="shared" ref="H172" si="166">H171+G172</f>
        <v>0</v>
      </c>
      <c r="I172" s="13">
        <f t="shared" ref="I172" si="167">I171+H172</f>
        <v>0</v>
      </c>
      <c r="J172" s="13">
        <f t="shared" ref="J172" si="168">J171+I172</f>
        <v>0</v>
      </c>
      <c r="K172" s="13">
        <f t="shared" ref="K172" si="169">K171+J172</f>
        <v>0</v>
      </c>
      <c r="L172" s="13">
        <f t="shared" ref="L172" si="170">L171+K172</f>
        <v>0</v>
      </c>
      <c r="M172" s="13">
        <f t="shared" ref="M172" si="171">M171+L172</f>
        <v>0</v>
      </c>
      <c r="N172" s="13">
        <f t="shared" ref="N172" si="172">N171+M172</f>
        <v>0</v>
      </c>
      <c r="O172" s="13">
        <f t="shared" ref="O172" si="173">O171+N172</f>
        <v>0</v>
      </c>
      <c r="P172" s="13">
        <f t="shared" ref="P172" si="174">P171+O172</f>
        <v>0</v>
      </c>
      <c r="Q172" s="13">
        <f t="shared" ref="Q172" si="175">Q171+P172</f>
        <v>0</v>
      </c>
      <c r="R172" s="13">
        <f t="shared" ref="R172" si="176">R171+Q172</f>
        <v>0</v>
      </c>
      <c r="S172" s="13">
        <f t="shared" ref="S172" si="177">S171+R172</f>
        <v>0</v>
      </c>
      <c r="T172" s="13">
        <f t="shared" ref="T172" si="178">T171+S172</f>
        <v>0</v>
      </c>
      <c r="U172" s="13">
        <f t="shared" ref="U172" si="179">U171+T172</f>
        <v>0</v>
      </c>
      <c r="V172" s="13">
        <f t="shared" ref="V172" si="180">V171+U172</f>
        <v>0</v>
      </c>
      <c r="W172" s="13">
        <f t="shared" ref="W172" si="181">W171+V172</f>
        <v>0</v>
      </c>
      <c r="X172" s="13">
        <f t="shared" ref="X172" si="182">X171+W172</f>
        <v>0</v>
      </c>
      <c r="Y172" s="13">
        <f t="shared" ref="Y172" si="183">Y171+X172</f>
        <v>0</v>
      </c>
      <c r="Z172" s="13">
        <f t="shared" ref="Z172" si="184">Z171+Y172</f>
        <v>0</v>
      </c>
      <c r="AA172" s="13">
        <f t="shared" ref="AA172" si="185">AA171+Z172</f>
        <v>0</v>
      </c>
      <c r="AB172" s="13">
        <f t="shared" ref="AB172" si="186">AB171+AA172</f>
        <v>0</v>
      </c>
      <c r="AC172" s="13">
        <f t="shared" ref="AC172" si="187">AC171+AB172</f>
        <v>0</v>
      </c>
      <c r="AD172" s="13">
        <f t="shared" ref="AD172" si="188">AD171+AC172</f>
        <v>0</v>
      </c>
      <c r="AE172" s="13">
        <f t="shared" ref="AE172" si="189">AE171+AD172</f>
        <v>0</v>
      </c>
      <c r="AF172" s="13">
        <f t="shared" ref="AF172" si="190">AF171+AE172</f>
        <v>0</v>
      </c>
      <c r="AG172" s="13">
        <f t="shared" ref="AG172" si="191">AG171+AF172</f>
        <v>0</v>
      </c>
    </row>
    <row r="173" spans="1:34" hidden="1" x14ac:dyDescent="0.2"/>
    <row r="174" spans="1:34" hidden="1" x14ac:dyDescent="0.2">
      <c r="A174" s="33" t="s">
        <v>41</v>
      </c>
      <c r="D174" t="b">
        <f>D171='2.2.Brecha Efectiva x UdM'!H29</f>
        <v>1</v>
      </c>
      <c r="E174" t="b">
        <f>E171='2.2.Brecha Efectiva x UdM'!I29</f>
        <v>1</v>
      </c>
      <c r="F174" t="b">
        <f>F171='2.2.Brecha Efectiva x UdM'!J29</f>
        <v>1</v>
      </c>
      <c r="G174" t="b">
        <f>G171='2.2.Brecha Efectiva x UdM'!K29</f>
        <v>1</v>
      </c>
    </row>
    <row r="175" spans="1:34" hidden="1" x14ac:dyDescent="0.2">
      <c r="G175" t="b">
        <f>AG172=SUM('2.2.Brecha Efectiva x UdM'!H29:AK29)</f>
        <v>1</v>
      </c>
    </row>
    <row r="176" spans="1:34" hidden="1" x14ac:dyDescent="0.2"/>
    <row r="177" spans="1:34" hidden="1" x14ac:dyDescent="0.2">
      <c r="A177" s="46" t="s">
        <v>63</v>
      </c>
    </row>
    <row r="178" spans="1:34" hidden="1" x14ac:dyDescent="0.2"/>
    <row r="179" spans="1:34" hidden="1" x14ac:dyDescent="0.2">
      <c r="A179" s="24" t="s">
        <v>18</v>
      </c>
      <c r="B179" s="24" t="s">
        <v>42</v>
      </c>
      <c r="C179" s="24" t="s">
        <v>43</v>
      </c>
      <c r="D179" s="6">
        <v>2024</v>
      </c>
      <c r="E179" s="6">
        <v>2025</v>
      </c>
      <c r="F179" s="6">
        <v>2026</v>
      </c>
      <c r="G179" s="6">
        <v>2027</v>
      </c>
      <c r="H179" s="6">
        <v>2028</v>
      </c>
      <c r="I179" s="6">
        <v>2029</v>
      </c>
      <c r="J179" s="6">
        <v>2030</v>
      </c>
      <c r="K179" s="6">
        <v>2031</v>
      </c>
      <c r="L179" s="6">
        <v>2032</v>
      </c>
      <c r="M179" s="6">
        <v>2033</v>
      </c>
      <c r="N179" s="50">
        <v>2034</v>
      </c>
      <c r="O179" s="50">
        <v>2035</v>
      </c>
      <c r="P179" s="50">
        <v>2036</v>
      </c>
      <c r="Q179" s="50">
        <v>2037</v>
      </c>
      <c r="R179" s="50">
        <v>2038</v>
      </c>
      <c r="S179" s="50">
        <v>2039</v>
      </c>
      <c r="T179" s="50">
        <v>2040</v>
      </c>
      <c r="U179" s="50">
        <v>2041</v>
      </c>
      <c r="V179" s="50">
        <v>2042</v>
      </c>
      <c r="W179" s="50">
        <v>2043</v>
      </c>
      <c r="X179" s="50">
        <v>2044</v>
      </c>
      <c r="Y179" s="50">
        <v>2045</v>
      </c>
      <c r="Z179" s="50">
        <v>2046</v>
      </c>
      <c r="AA179" s="50">
        <v>2047</v>
      </c>
      <c r="AB179" s="50">
        <v>2048</v>
      </c>
      <c r="AC179" s="50">
        <v>2049</v>
      </c>
      <c r="AD179" s="50">
        <v>2050</v>
      </c>
      <c r="AE179" s="50">
        <v>2051</v>
      </c>
      <c r="AF179" s="50">
        <v>2052</v>
      </c>
      <c r="AG179" s="50">
        <v>2053</v>
      </c>
      <c r="AH179" s="6" t="s">
        <v>1</v>
      </c>
    </row>
    <row r="180" spans="1:34" hidden="1" x14ac:dyDescent="0.2">
      <c r="A180" s="25" t="str">
        <f>A4</f>
        <v>Buenos Aires</v>
      </c>
      <c r="B180" s="51">
        <f>$K$3</f>
        <v>0</v>
      </c>
      <c r="C180" s="25" t="str">
        <f>CONCATENATE(A180," ",B180)</f>
        <v>Buenos Aires 0</v>
      </c>
      <c r="D180" s="32">
        <f>VLOOKUP($A180,$A$4:$O$28,10,0)*(HLOOKUP(D$179,'2.2.Brecha Efectiva x UdM'!$H$25:$AK$32,6,0))</f>
        <v>0</v>
      </c>
      <c r="E180" s="32">
        <f>VLOOKUP($A180,$A$4:$O$28,10,0)*(HLOOKUP(E$179,'2.2.Brecha Efectiva x UdM'!$H$25:$AK$32,6,0))</f>
        <v>0</v>
      </c>
      <c r="F180" s="32">
        <f>VLOOKUP($A180,$A$4:$O$28,10,0)*(HLOOKUP(F$179,'2.2.Brecha Efectiva x UdM'!$H$25:$AK$32,6,0))</f>
        <v>0</v>
      </c>
      <c r="G180" s="32">
        <f>VLOOKUP($A180,$A$4:$O$28,10,0)*(HLOOKUP(G$179,'2.2.Brecha Efectiva x UdM'!$H$25:$AK$32,6,0))</f>
        <v>0</v>
      </c>
      <c r="H180" s="32">
        <f>VLOOKUP($A180,$A$4:$O$28,10,0)*(HLOOKUP(H$179,'2.2.Brecha Efectiva x UdM'!$H$25:$AK$32,6,0))</f>
        <v>0</v>
      </c>
      <c r="I180" s="32">
        <f>VLOOKUP($A180,$A$4:$O$28,10,0)*(HLOOKUP(I$179,'2.2.Brecha Efectiva x UdM'!$H$25:$AK$32,6,0))</f>
        <v>0</v>
      </c>
      <c r="J180" s="32">
        <f>VLOOKUP($A180,$A$4:$O$28,10,0)*(HLOOKUP(J$179,'2.2.Brecha Efectiva x UdM'!$H$25:$AK$32,6,0))</f>
        <v>0</v>
      </c>
      <c r="K180" s="32">
        <f>VLOOKUP($A180,$A$4:$O$28,10,0)*(HLOOKUP(K$179,'2.2.Brecha Efectiva x UdM'!$H$25:$AK$32,6,0))</f>
        <v>0</v>
      </c>
      <c r="L180" s="32">
        <f>VLOOKUP($A180,$A$4:$O$28,10,0)*(HLOOKUP(L$179,'2.2.Brecha Efectiva x UdM'!$H$25:$AK$32,6,0))</f>
        <v>0</v>
      </c>
      <c r="M180" s="32">
        <f>VLOOKUP($A180,$A$4:$O$28,10,0)*(HLOOKUP(M$179,'2.2.Brecha Efectiva x UdM'!$H$25:$AK$32,6,0))</f>
        <v>0</v>
      </c>
      <c r="N180" s="32">
        <f>VLOOKUP($A180,$A$4:$O$28,10,0)*(HLOOKUP(N$179,'2.2.Brecha Efectiva x UdM'!$H$25:$AK$32,6,0))</f>
        <v>0</v>
      </c>
      <c r="O180" s="32">
        <f>VLOOKUP($A180,$A$4:$O$28,10,0)*(HLOOKUP(O$179,'2.2.Brecha Efectiva x UdM'!$H$25:$AK$32,6,0))</f>
        <v>0</v>
      </c>
      <c r="P180" s="32">
        <f>VLOOKUP($A180,$A$4:$O$28,10,0)*(HLOOKUP(P$179,'2.2.Brecha Efectiva x UdM'!$H$25:$AK$32,6,0))</f>
        <v>0</v>
      </c>
      <c r="Q180" s="32">
        <f>VLOOKUP($A180,$A$4:$O$28,10,0)*(HLOOKUP(Q$179,'2.2.Brecha Efectiva x UdM'!$H$25:$AK$32,6,0))</f>
        <v>0</v>
      </c>
      <c r="R180" s="32">
        <f>VLOOKUP($A180,$A$4:$O$28,10,0)*(HLOOKUP(R$179,'2.2.Brecha Efectiva x UdM'!$H$25:$AK$32,6,0))</f>
        <v>0</v>
      </c>
      <c r="S180" s="32">
        <f>VLOOKUP($A180,$A$4:$O$28,10,0)*(HLOOKUP(S$179,'2.2.Brecha Efectiva x UdM'!$H$25:$AK$32,6,0))</f>
        <v>0</v>
      </c>
      <c r="T180" s="32">
        <f>VLOOKUP($A180,$A$4:$O$28,10,0)*(HLOOKUP(T$179,'2.2.Brecha Efectiva x UdM'!$H$25:$AK$32,6,0))</f>
        <v>0</v>
      </c>
      <c r="U180" s="32">
        <f>VLOOKUP($A180,$A$4:$O$28,10,0)*(HLOOKUP(U$179,'2.2.Brecha Efectiva x UdM'!$H$25:$AK$32,6,0))</f>
        <v>0</v>
      </c>
      <c r="V180" s="32">
        <f>VLOOKUP($A180,$A$4:$O$28,10,0)*(HLOOKUP(V$179,'2.2.Brecha Efectiva x UdM'!$H$25:$AK$32,6,0))</f>
        <v>0</v>
      </c>
      <c r="W180" s="32">
        <f>VLOOKUP($A180,$A$4:$O$28,10,0)*(HLOOKUP(W$179,'2.2.Brecha Efectiva x UdM'!$H$25:$AK$32,6,0))</f>
        <v>0</v>
      </c>
      <c r="X180" s="32">
        <f>VLOOKUP($A180,$A$4:$O$28,10,0)*(HLOOKUP(X$179,'2.2.Brecha Efectiva x UdM'!$H$25:$AK$32,6,0))</f>
        <v>0</v>
      </c>
      <c r="Y180" s="32">
        <f>VLOOKUP($A180,$A$4:$O$28,10,0)*(HLOOKUP(Y$179,'2.2.Brecha Efectiva x UdM'!$H$25:$AK$32,6,0))</f>
        <v>0</v>
      </c>
      <c r="Z180" s="32">
        <f>VLOOKUP($A180,$A$4:$O$28,10,0)*(HLOOKUP(Z$179,'2.2.Brecha Efectiva x UdM'!$H$25:$AK$32,6,0))</f>
        <v>0</v>
      </c>
      <c r="AA180" s="32">
        <f>VLOOKUP($A180,$A$4:$O$28,10,0)*(HLOOKUP(AA$179,'2.2.Brecha Efectiva x UdM'!$H$25:$AK$32,6,0))</f>
        <v>0</v>
      </c>
      <c r="AB180" s="32">
        <f>VLOOKUP($A180,$A$4:$O$28,10,0)*(HLOOKUP(AB$179,'2.2.Brecha Efectiva x UdM'!$H$25:$AK$32,6,0))</f>
        <v>0</v>
      </c>
      <c r="AC180" s="32">
        <f>VLOOKUP($A180,$A$4:$O$28,10,0)*(HLOOKUP(AC$179,'2.2.Brecha Efectiva x UdM'!$H$25:$AK$32,6,0))</f>
        <v>0</v>
      </c>
      <c r="AD180" s="32">
        <f>VLOOKUP($A180,$A$4:$O$28,10,0)*(HLOOKUP(AD$179,'2.2.Brecha Efectiva x UdM'!$H$25:$AK$32,6,0))</f>
        <v>0</v>
      </c>
      <c r="AE180" s="32">
        <f>VLOOKUP($A180,$A$4:$O$28,10,0)*(HLOOKUP(AE$179,'2.2.Brecha Efectiva x UdM'!$H$25:$AK$32,6,0))</f>
        <v>0</v>
      </c>
      <c r="AF180" s="32">
        <f>VLOOKUP($A180,$A$4:$O$28,10,0)*(HLOOKUP(AF$179,'2.2.Brecha Efectiva x UdM'!$H$25:$AK$32,6,0))</f>
        <v>0</v>
      </c>
      <c r="AG180" s="32">
        <f>VLOOKUP($A180,$A$4:$O$28,10,0)*(HLOOKUP(AG$179,'2.2.Brecha Efectiva x UdM'!$H$25:$AK$32,6,0))</f>
        <v>0</v>
      </c>
      <c r="AH180" s="62">
        <f>SUM(D180:AG180)</f>
        <v>0</v>
      </c>
    </row>
    <row r="181" spans="1:34" hidden="1" x14ac:dyDescent="0.2">
      <c r="A181" s="26" t="str">
        <f t="shared" ref="A181:A203" si="192">A5</f>
        <v>CABA</v>
      </c>
      <c r="B181" s="52">
        <f t="shared" ref="B181:B203" si="193">$K$3</f>
        <v>0</v>
      </c>
      <c r="C181" s="26" t="str">
        <f t="shared" ref="C181:C203" si="194">CONCATENATE(A181," ",B181)</f>
        <v>CABA 0</v>
      </c>
      <c r="D181" s="31">
        <f>VLOOKUP($A181,$A$4:$O$28,10,0)*(HLOOKUP(D$179,'2.2.Brecha Efectiva x UdM'!$H$25:$AK$32,6,0))</f>
        <v>0</v>
      </c>
      <c r="E181" s="31">
        <f>VLOOKUP($A181,$A$4:$O$28,10,0)*(HLOOKUP(E$179,'2.2.Brecha Efectiva x UdM'!$H$25:$AK$32,6,0))</f>
        <v>0</v>
      </c>
      <c r="F181" s="31">
        <f>VLOOKUP($A181,$A$4:$O$28,10,0)*(HLOOKUP(F$179,'2.2.Brecha Efectiva x UdM'!$H$25:$AK$32,6,0))</f>
        <v>0</v>
      </c>
      <c r="G181" s="31">
        <f>VLOOKUP($A181,$A$4:$O$28,10,0)*(HLOOKUP(G$179,'2.2.Brecha Efectiva x UdM'!$H$25:$AK$32,6,0))</f>
        <v>0</v>
      </c>
      <c r="H181" s="31">
        <f>VLOOKUP($A181,$A$4:$O$28,10,0)*(HLOOKUP(H$179,'2.2.Brecha Efectiva x UdM'!$H$25:$AK$32,6,0))</f>
        <v>0</v>
      </c>
      <c r="I181" s="31">
        <f>VLOOKUP($A181,$A$4:$O$28,10,0)*(HLOOKUP(I$179,'2.2.Brecha Efectiva x UdM'!$H$25:$AK$32,6,0))</f>
        <v>0</v>
      </c>
      <c r="J181" s="31">
        <f>VLOOKUP($A181,$A$4:$O$28,10,0)*(HLOOKUP(J$179,'2.2.Brecha Efectiva x UdM'!$H$25:$AK$32,6,0))</f>
        <v>0</v>
      </c>
      <c r="K181" s="31">
        <f>VLOOKUP($A181,$A$4:$O$28,10,0)*(HLOOKUP(K$179,'2.2.Brecha Efectiva x UdM'!$H$25:$AK$32,6,0))</f>
        <v>0</v>
      </c>
      <c r="L181" s="31">
        <f>VLOOKUP($A181,$A$4:$O$28,10,0)*(HLOOKUP(L$179,'2.2.Brecha Efectiva x UdM'!$H$25:$AK$32,6,0))</f>
        <v>0</v>
      </c>
      <c r="M181" s="31">
        <f>VLOOKUP($A181,$A$4:$O$28,10,0)*(HLOOKUP(M$179,'2.2.Brecha Efectiva x UdM'!$H$25:$AK$32,6,0))</f>
        <v>0</v>
      </c>
      <c r="N181" s="31">
        <f>VLOOKUP($A181,$A$4:$O$28,10,0)*(HLOOKUP(N$179,'2.2.Brecha Efectiva x UdM'!$H$25:$AK$32,6,0))</f>
        <v>0</v>
      </c>
      <c r="O181" s="31">
        <f>VLOOKUP($A181,$A$4:$O$28,10,0)*(HLOOKUP(O$179,'2.2.Brecha Efectiva x UdM'!$H$25:$AK$32,6,0))</f>
        <v>0</v>
      </c>
      <c r="P181" s="31">
        <f>VLOOKUP($A181,$A$4:$O$28,10,0)*(HLOOKUP(P$179,'2.2.Brecha Efectiva x UdM'!$H$25:$AK$32,6,0))</f>
        <v>0</v>
      </c>
      <c r="Q181" s="31">
        <f>VLOOKUP($A181,$A$4:$O$28,10,0)*(HLOOKUP(Q$179,'2.2.Brecha Efectiva x UdM'!$H$25:$AK$32,6,0))</f>
        <v>0</v>
      </c>
      <c r="R181" s="31">
        <f>VLOOKUP($A181,$A$4:$O$28,10,0)*(HLOOKUP(R$179,'2.2.Brecha Efectiva x UdM'!$H$25:$AK$32,6,0))</f>
        <v>0</v>
      </c>
      <c r="S181" s="31">
        <f>VLOOKUP($A181,$A$4:$O$28,10,0)*(HLOOKUP(S$179,'2.2.Brecha Efectiva x UdM'!$H$25:$AK$32,6,0))</f>
        <v>0</v>
      </c>
      <c r="T181" s="31">
        <f>VLOOKUP($A181,$A$4:$O$28,10,0)*(HLOOKUP(T$179,'2.2.Brecha Efectiva x UdM'!$H$25:$AK$32,6,0))</f>
        <v>0</v>
      </c>
      <c r="U181" s="31">
        <f>VLOOKUP($A181,$A$4:$O$28,10,0)*(HLOOKUP(U$179,'2.2.Brecha Efectiva x UdM'!$H$25:$AK$32,6,0))</f>
        <v>0</v>
      </c>
      <c r="V181" s="31">
        <f>VLOOKUP($A181,$A$4:$O$28,10,0)*(HLOOKUP(V$179,'2.2.Brecha Efectiva x UdM'!$H$25:$AK$32,6,0))</f>
        <v>0</v>
      </c>
      <c r="W181" s="31">
        <f>VLOOKUP($A181,$A$4:$O$28,10,0)*(HLOOKUP(W$179,'2.2.Brecha Efectiva x UdM'!$H$25:$AK$32,6,0))</f>
        <v>0</v>
      </c>
      <c r="X181" s="31">
        <f>VLOOKUP($A181,$A$4:$O$28,10,0)*(HLOOKUP(X$179,'2.2.Brecha Efectiva x UdM'!$H$25:$AK$32,6,0))</f>
        <v>0</v>
      </c>
      <c r="Y181" s="31">
        <f>VLOOKUP($A181,$A$4:$O$28,10,0)*(HLOOKUP(Y$179,'2.2.Brecha Efectiva x UdM'!$H$25:$AK$32,6,0))</f>
        <v>0</v>
      </c>
      <c r="Z181" s="31">
        <f>VLOOKUP($A181,$A$4:$O$28,10,0)*(HLOOKUP(Z$179,'2.2.Brecha Efectiva x UdM'!$H$25:$AK$32,6,0))</f>
        <v>0</v>
      </c>
      <c r="AA181" s="31">
        <f>VLOOKUP($A181,$A$4:$O$28,10,0)*(HLOOKUP(AA$179,'2.2.Brecha Efectiva x UdM'!$H$25:$AK$32,6,0))</f>
        <v>0</v>
      </c>
      <c r="AB181" s="31">
        <f>VLOOKUP($A181,$A$4:$O$28,10,0)*(HLOOKUP(AB$179,'2.2.Brecha Efectiva x UdM'!$H$25:$AK$32,6,0))</f>
        <v>0</v>
      </c>
      <c r="AC181" s="31">
        <f>VLOOKUP($A181,$A$4:$O$28,10,0)*(HLOOKUP(AC$179,'2.2.Brecha Efectiva x UdM'!$H$25:$AK$32,6,0))</f>
        <v>0</v>
      </c>
      <c r="AD181" s="31">
        <f>VLOOKUP($A181,$A$4:$O$28,10,0)*(HLOOKUP(AD$179,'2.2.Brecha Efectiva x UdM'!$H$25:$AK$32,6,0))</f>
        <v>0</v>
      </c>
      <c r="AE181" s="31">
        <f>VLOOKUP($A181,$A$4:$O$28,10,0)*(HLOOKUP(AE$179,'2.2.Brecha Efectiva x UdM'!$H$25:$AK$32,6,0))</f>
        <v>0</v>
      </c>
      <c r="AF181" s="31">
        <f>VLOOKUP($A181,$A$4:$O$28,10,0)*(HLOOKUP(AF$179,'2.2.Brecha Efectiva x UdM'!$H$25:$AK$32,6,0))</f>
        <v>0</v>
      </c>
      <c r="AG181" s="31">
        <f>VLOOKUP($A181,$A$4:$O$28,10,0)*(HLOOKUP(AG$179,'2.2.Brecha Efectiva x UdM'!$H$25:$AK$32,6,0))</f>
        <v>0</v>
      </c>
      <c r="AH181" s="63">
        <f>SUM(D181:AG181)</f>
        <v>0</v>
      </c>
    </row>
    <row r="182" spans="1:34" hidden="1" x14ac:dyDescent="0.2">
      <c r="A182" s="25" t="str">
        <f t="shared" si="192"/>
        <v>Catamarca</v>
      </c>
      <c r="B182" s="51">
        <f t="shared" si="193"/>
        <v>0</v>
      </c>
      <c r="C182" s="25" t="str">
        <f t="shared" si="194"/>
        <v>Catamarca 0</v>
      </c>
      <c r="D182" s="32">
        <f>VLOOKUP($A182,$A$4:$O$28,10,0)*(HLOOKUP(D$179,'2.2.Brecha Efectiva x UdM'!$H$25:$AK$32,6,0))</f>
        <v>0</v>
      </c>
      <c r="E182" s="32">
        <f>VLOOKUP($A182,$A$4:$O$28,10,0)*(HLOOKUP(E$179,'2.2.Brecha Efectiva x UdM'!$H$25:$AK$32,6,0))</f>
        <v>0</v>
      </c>
      <c r="F182" s="32">
        <f>VLOOKUP($A182,$A$4:$O$28,10,0)*(HLOOKUP(F$179,'2.2.Brecha Efectiva x UdM'!$H$25:$AK$32,6,0))</f>
        <v>0</v>
      </c>
      <c r="G182" s="32">
        <f>VLOOKUP($A182,$A$4:$O$28,10,0)*(HLOOKUP(G$179,'2.2.Brecha Efectiva x UdM'!$H$25:$AK$32,6,0))</f>
        <v>0</v>
      </c>
      <c r="H182" s="32">
        <f>VLOOKUP($A182,$A$4:$O$28,10,0)*(HLOOKUP(H$179,'2.2.Brecha Efectiva x UdM'!$H$25:$AK$32,6,0))</f>
        <v>0</v>
      </c>
      <c r="I182" s="32">
        <f>VLOOKUP($A182,$A$4:$O$28,10,0)*(HLOOKUP(I$179,'2.2.Brecha Efectiva x UdM'!$H$25:$AK$32,6,0))</f>
        <v>0</v>
      </c>
      <c r="J182" s="32">
        <f>VLOOKUP($A182,$A$4:$O$28,10,0)*(HLOOKUP(J$179,'2.2.Brecha Efectiva x UdM'!$H$25:$AK$32,6,0))</f>
        <v>0</v>
      </c>
      <c r="K182" s="32">
        <f>VLOOKUP($A182,$A$4:$O$28,10,0)*(HLOOKUP(K$179,'2.2.Brecha Efectiva x UdM'!$H$25:$AK$32,6,0))</f>
        <v>0</v>
      </c>
      <c r="L182" s="32">
        <f>VLOOKUP($A182,$A$4:$O$28,10,0)*(HLOOKUP(L$179,'2.2.Brecha Efectiva x UdM'!$H$25:$AK$32,6,0))</f>
        <v>0</v>
      </c>
      <c r="M182" s="32">
        <f>VLOOKUP($A182,$A$4:$O$28,10,0)*(HLOOKUP(M$179,'2.2.Brecha Efectiva x UdM'!$H$25:$AK$32,6,0))</f>
        <v>0</v>
      </c>
      <c r="N182" s="32">
        <f>VLOOKUP($A182,$A$4:$O$28,10,0)*(HLOOKUP(N$179,'2.2.Brecha Efectiva x UdM'!$H$25:$AK$32,6,0))</f>
        <v>0</v>
      </c>
      <c r="O182" s="32">
        <f>VLOOKUP($A182,$A$4:$O$28,10,0)*(HLOOKUP(O$179,'2.2.Brecha Efectiva x UdM'!$H$25:$AK$32,6,0))</f>
        <v>0</v>
      </c>
      <c r="P182" s="32">
        <f>VLOOKUP($A182,$A$4:$O$28,10,0)*(HLOOKUP(P$179,'2.2.Brecha Efectiva x UdM'!$H$25:$AK$32,6,0))</f>
        <v>0</v>
      </c>
      <c r="Q182" s="32">
        <f>VLOOKUP($A182,$A$4:$O$28,10,0)*(HLOOKUP(Q$179,'2.2.Brecha Efectiva x UdM'!$H$25:$AK$32,6,0))</f>
        <v>0</v>
      </c>
      <c r="R182" s="32">
        <f>VLOOKUP($A182,$A$4:$O$28,10,0)*(HLOOKUP(R$179,'2.2.Brecha Efectiva x UdM'!$H$25:$AK$32,6,0))</f>
        <v>0</v>
      </c>
      <c r="S182" s="32">
        <f>VLOOKUP($A182,$A$4:$O$28,10,0)*(HLOOKUP(S$179,'2.2.Brecha Efectiva x UdM'!$H$25:$AK$32,6,0))</f>
        <v>0</v>
      </c>
      <c r="T182" s="32">
        <f>VLOOKUP($A182,$A$4:$O$28,10,0)*(HLOOKUP(T$179,'2.2.Brecha Efectiva x UdM'!$H$25:$AK$32,6,0))</f>
        <v>0</v>
      </c>
      <c r="U182" s="32">
        <f>VLOOKUP($A182,$A$4:$O$28,10,0)*(HLOOKUP(U$179,'2.2.Brecha Efectiva x UdM'!$H$25:$AK$32,6,0))</f>
        <v>0</v>
      </c>
      <c r="V182" s="32">
        <f>VLOOKUP($A182,$A$4:$O$28,10,0)*(HLOOKUP(V$179,'2.2.Brecha Efectiva x UdM'!$H$25:$AK$32,6,0))</f>
        <v>0</v>
      </c>
      <c r="W182" s="32">
        <f>VLOOKUP($A182,$A$4:$O$28,10,0)*(HLOOKUP(W$179,'2.2.Brecha Efectiva x UdM'!$H$25:$AK$32,6,0))</f>
        <v>0</v>
      </c>
      <c r="X182" s="32">
        <f>VLOOKUP($A182,$A$4:$O$28,10,0)*(HLOOKUP(X$179,'2.2.Brecha Efectiva x UdM'!$H$25:$AK$32,6,0))</f>
        <v>0</v>
      </c>
      <c r="Y182" s="32">
        <f>VLOOKUP($A182,$A$4:$O$28,10,0)*(HLOOKUP(Y$179,'2.2.Brecha Efectiva x UdM'!$H$25:$AK$32,6,0))</f>
        <v>0</v>
      </c>
      <c r="Z182" s="32">
        <f>VLOOKUP($A182,$A$4:$O$28,10,0)*(HLOOKUP(Z$179,'2.2.Brecha Efectiva x UdM'!$H$25:$AK$32,6,0))</f>
        <v>0</v>
      </c>
      <c r="AA182" s="32">
        <f>VLOOKUP($A182,$A$4:$O$28,10,0)*(HLOOKUP(AA$179,'2.2.Brecha Efectiva x UdM'!$H$25:$AK$32,6,0))</f>
        <v>0</v>
      </c>
      <c r="AB182" s="32">
        <f>VLOOKUP($A182,$A$4:$O$28,10,0)*(HLOOKUP(AB$179,'2.2.Brecha Efectiva x UdM'!$H$25:$AK$32,6,0))</f>
        <v>0</v>
      </c>
      <c r="AC182" s="32">
        <f>VLOOKUP($A182,$A$4:$O$28,10,0)*(HLOOKUP(AC$179,'2.2.Brecha Efectiva x UdM'!$H$25:$AK$32,6,0))</f>
        <v>0</v>
      </c>
      <c r="AD182" s="32">
        <f>VLOOKUP($A182,$A$4:$O$28,10,0)*(HLOOKUP(AD$179,'2.2.Brecha Efectiva x UdM'!$H$25:$AK$32,6,0))</f>
        <v>0</v>
      </c>
      <c r="AE182" s="32">
        <f>VLOOKUP($A182,$A$4:$O$28,10,0)*(HLOOKUP(AE$179,'2.2.Brecha Efectiva x UdM'!$H$25:$AK$32,6,0))</f>
        <v>0</v>
      </c>
      <c r="AF182" s="32">
        <f>VLOOKUP($A182,$A$4:$O$28,10,0)*(HLOOKUP(AF$179,'2.2.Brecha Efectiva x UdM'!$H$25:$AK$32,6,0))</f>
        <v>0</v>
      </c>
      <c r="AG182" s="32">
        <f>VLOOKUP($A182,$A$4:$O$28,10,0)*(HLOOKUP(AG$179,'2.2.Brecha Efectiva x UdM'!$H$25:$AK$32,6,0))</f>
        <v>0</v>
      </c>
      <c r="AH182" s="62">
        <f t="shared" ref="AH182:AH204" si="195">SUM(D182:AG182)</f>
        <v>0</v>
      </c>
    </row>
    <row r="183" spans="1:34" hidden="1" x14ac:dyDescent="0.2">
      <c r="A183" s="26" t="str">
        <f t="shared" si="192"/>
        <v>Chaco</v>
      </c>
      <c r="B183" s="52">
        <f t="shared" si="193"/>
        <v>0</v>
      </c>
      <c r="C183" s="26" t="str">
        <f t="shared" si="194"/>
        <v>Chaco 0</v>
      </c>
      <c r="D183" s="31">
        <f>VLOOKUP($A183,$A$4:$O$28,10,0)*(HLOOKUP(D$179,'2.2.Brecha Efectiva x UdM'!$H$25:$AK$32,6,0))</f>
        <v>0</v>
      </c>
      <c r="E183" s="31">
        <f>VLOOKUP($A183,$A$4:$O$28,10,0)*(HLOOKUP(E$179,'2.2.Brecha Efectiva x UdM'!$H$25:$AK$32,6,0))</f>
        <v>0</v>
      </c>
      <c r="F183" s="31">
        <f>VLOOKUP($A183,$A$4:$O$28,10,0)*(HLOOKUP(F$179,'2.2.Brecha Efectiva x UdM'!$H$25:$AK$32,6,0))</f>
        <v>0</v>
      </c>
      <c r="G183" s="31">
        <f>VLOOKUP($A183,$A$4:$O$28,10,0)*(HLOOKUP(G$179,'2.2.Brecha Efectiva x UdM'!$H$25:$AK$32,6,0))</f>
        <v>0</v>
      </c>
      <c r="H183" s="31">
        <f>VLOOKUP($A183,$A$4:$O$28,10,0)*(HLOOKUP(H$179,'2.2.Brecha Efectiva x UdM'!$H$25:$AK$32,6,0))</f>
        <v>0</v>
      </c>
      <c r="I183" s="31">
        <f>VLOOKUP($A183,$A$4:$O$28,10,0)*(HLOOKUP(I$179,'2.2.Brecha Efectiva x UdM'!$H$25:$AK$32,6,0))</f>
        <v>0</v>
      </c>
      <c r="J183" s="31">
        <f>VLOOKUP($A183,$A$4:$O$28,10,0)*(HLOOKUP(J$179,'2.2.Brecha Efectiva x UdM'!$H$25:$AK$32,6,0))</f>
        <v>0</v>
      </c>
      <c r="K183" s="31">
        <f>VLOOKUP($A183,$A$4:$O$28,10,0)*(HLOOKUP(K$179,'2.2.Brecha Efectiva x UdM'!$H$25:$AK$32,6,0))</f>
        <v>0</v>
      </c>
      <c r="L183" s="31">
        <f>VLOOKUP($A183,$A$4:$O$28,10,0)*(HLOOKUP(L$179,'2.2.Brecha Efectiva x UdM'!$H$25:$AK$32,6,0))</f>
        <v>0</v>
      </c>
      <c r="M183" s="31">
        <f>VLOOKUP($A183,$A$4:$O$28,10,0)*(HLOOKUP(M$179,'2.2.Brecha Efectiva x UdM'!$H$25:$AK$32,6,0))</f>
        <v>0</v>
      </c>
      <c r="N183" s="31">
        <f>VLOOKUP($A183,$A$4:$O$28,10,0)*(HLOOKUP(N$179,'2.2.Brecha Efectiva x UdM'!$H$25:$AK$32,6,0))</f>
        <v>0</v>
      </c>
      <c r="O183" s="31">
        <f>VLOOKUP($A183,$A$4:$O$28,10,0)*(HLOOKUP(O$179,'2.2.Brecha Efectiva x UdM'!$H$25:$AK$32,6,0))</f>
        <v>0</v>
      </c>
      <c r="P183" s="31">
        <f>VLOOKUP($A183,$A$4:$O$28,10,0)*(HLOOKUP(P$179,'2.2.Brecha Efectiva x UdM'!$H$25:$AK$32,6,0))</f>
        <v>0</v>
      </c>
      <c r="Q183" s="31">
        <f>VLOOKUP($A183,$A$4:$O$28,10,0)*(HLOOKUP(Q$179,'2.2.Brecha Efectiva x UdM'!$H$25:$AK$32,6,0))</f>
        <v>0</v>
      </c>
      <c r="R183" s="31">
        <f>VLOOKUP($A183,$A$4:$O$28,10,0)*(HLOOKUP(R$179,'2.2.Brecha Efectiva x UdM'!$H$25:$AK$32,6,0))</f>
        <v>0</v>
      </c>
      <c r="S183" s="31">
        <f>VLOOKUP($A183,$A$4:$O$28,10,0)*(HLOOKUP(S$179,'2.2.Brecha Efectiva x UdM'!$H$25:$AK$32,6,0))</f>
        <v>0</v>
      </c>
      <c r="T183" s="31">
        <f>VLOOKUP($A183,$A$4:$O$28,10,0)*(HLOOKUP(T$179,'2.2.Brecha Efectiva x UdM'!$H$25:$AK$32,6,0))</f>
        <v>0</v>
      </c>
      <c r="U183" s="31">
        <f>VLOOKUP($A183,$A$4:$O$28,10,0)*(HLOOKUP(U$179,'2.2.Brecha Efectiva x UdM'!$H$25:$AK$32,6,0))</f>
        <v>0</v>
      </c>
      <c r="V183" s="31">
        <f>VLOOKUP($A183,$A$4:$O$28,10,0)*(HLOOKUP(V$179,'2.2.Brecha Efectiva x UdM'!$H$25:$AK$32,6,0))</f>
        <v>0</v>
      </c>
      <c r="W183" s="31">
        <f>VLOOKUP($A183,$A$4:$O$28,10,0)*(HLOOKUP(W$179,'2.2.Brecha Efectiva x UdM'!$H$25:$AK$32,6,0))</f>
        <v>0</v>
      </c>
      <c r="X183" s="31">
        <f>VLOOKUP($A183,$A$4:$O$28,10,0)*(HLOOKUP(X$179,'2.2.Brecha Efectiva x UdM'!$H$25:$AK$32,6,0))</f>
        <v>0</v>
      </c>
      <c r="Y183" s="31">
        <f>VLOOKUP($A183,$A$4:$O$28,10,0)*(HLOOKUP(Y$179,'2.2.Brecha Efectiva x UdM'!$H$25:$AK$32,6,0))</f>
        <v>0</v>
      </c>
      <c r="Z183" s="31">
        <f>VLOOKUP($A183,$A$4:$O$28,10,0)*(HLOOKUP(Z$179,'2.2.Brecha Efectiva x UdM'!$H$25:$AK$32,6,0))</f>
        <v>0</v>
      </c>
      <c r="AA183" s="31">
        <f>VLOOKUP($A183,$A$4:$O$28,10,0)*(HLOOKUP(AA$179,'2.2.Brecha Efectiva x UdM'!$H$25:$AK$32,6,0))</f>
        <v>0</v>
      </c>
      <c r="AB183" s="31">
        <f>VLOOKUP($A183,$A$4:$O$28,10,0)*(HLOOKUP(AB$179,'2.2.Brecha Efectiva x UdM'!$H$25:$AK$32,6,0))</f>
        <v>0</v>
      </c>
      <c r="AC183" s="31">
        <f>VLOOKUP($A183,$A$4:$O$28,10,0)*(HLOOKUP(AC$179,'2.2.Brecha Efectiva x UdM'!$H$25:$AK$32,6,0))</f>
        <v>0</v>
      </c>
      <c r="AD183" s="31">
        <f>VLOOKUP($A183,$A$4:$O$28,10,0)*(HLOOKUP(AD$179,'2.2.Brecha Efectiva x UdM'!$H$25:$AK$32,6,0))</f>
        <v>0</v>
      </c>
      <c r="AE183" s="31">
        <f>VLOOKUP($A183,$A$4:$O$28,10,0)*(HLOOKUP(AE$179,'2.2.Brecha Efectiva x UdM'!$H$25:$AK$32,6,0))</f>
        <v>0</v>
      </c>
      <c r="AF183" s="31">
        <f>VLOOKUP($A183,$A$4:$O$28,10,0)*(HLOOKUP(AF$179,'2.2.Brecha Efectiva x UdM'!$H$25:$AK$32,6,0))</f>
        <v>0</v>
      </c>
      <c r="AG183" s="31">
        <f>VLOOKUP($A183,$A$4:$O$28,10,0)*(HLOOKUP(AG$179,'2.2.Brecha Efectiva x UdM'!$H$25:$AK$32,6,0))</f>
        <v>0</v>
      </c>
      <c r="AH183" s="63">
        <f t="shared" si="195"/>
        <v>0</v>
      </c>
    </row>
    <row r="184" spans="1:34" hidden="1" x14ac:dyDescent="0.2">
      <c r="A184" s="25" t="str">
        <f t="shared" si="192"/>
        <v>Chubut</v>
      </c>
      <c r="B184" s="51">
        <f t="shared" si="193"/>
        <v>0</v>
      </c>
      <c r="C184" s="25" t="str">
        <f t="shared" si="194"/>
        <v>Chubut 0</v>
      </c>
      <c r="D184" s="32">
        <f>VLOOKUP($A184,$A$4:$O$28,10,0)*(HLOOKUP(D$179,'2.2.Brecha Efectiva x UdM'!$H$25:$AK$32,6,0))</f>
        <v>0</v>
      </c>
      <c r="E184" s="32">
        <f>VLOOKUP($A184,$A$4:$O$28,10,0)*(HLOOKUP(E$179,'2.2.Brecha Efectiva x UdM'!$H$25:$AK$32,6,0))</f>
        <v>0</v>
      </c>
      <c r="F184" s="32">
        <f>VLOOKUP($A184,$A$4:$O$28,10,0)*(HLOOKUP(F$179,'2.2.Brecha Efectiva x UdM'!$H$25:$AK$32,6,0))</f>
        <v>0</v>
      </c>
      <c r="G184" s="32">
        <f>VLOOKUP($A184,$A$4:$O$28,10,0)*(HLOOKUP(G$179,'2.2.Brecha Efectiva x UdM'!$H$25:$AK$32,6,0))</f>
        <v>0</v>
      </c>
      <c r="H184" s="32">
        <f>VLOOKUP($A184,$A$4:$O$28,10,0)*(HLOOKUP(H$179,'2.2.Brecha Efectiva x UdM'!$H$25:$AK$32,6,0))</f>
        <v>0</v>
      </c>
      <c r="I184" s="32">
        <f>VLOOKUP($A184,$A$4:$O$28,10,0)*(HLOOKUP(I$179,'2.2.Brecha Efectiva x UdM'!$H$25:$AK$32,6,0))</f>
        <v>0</v>
      </c>
      <c r="J184" s="32">
        <f>VLOOKUP($A184,$A$4:$O$28,10,0)*(HLOOKUP(J$179,'2.2.Brecha Efectiva x UdM'!$H$25:$AK$32,6,0))</f>
        <v>0</v>
      </c>
      <c r="K184" s="32">
        <f>VLOOKUP($A184,$A$4:$O$28,10,0)*(HLOOKUP(K$179,'2.2.Brecha Efectiva x UdM'!$H$25:$AK$32,6,0))</f>
        <v>0</v>
      </c>
      <c r="L184" s="32">
        <f>VLOOKUP($A184,$A$4:$O$28,10,0)*(HLOOKUP(L$179,'2.2.Brecha Efectiva x UdM'!$H$25:$AK$32,6,0))</f>
        <v>0</v>
      </c>
      <c r="M184" s="32">
        <f>VLOOKUP($A184,$A$4:$O$28,10,0)*(HLOOKUP(M$179,'2.2.Brecha Efectiva x UdM'!$H$25:$AK$32,6,0))</f>
        <v>0</v>
      </c>
      <c r="N184" s="32">
        <f>VLOOKUP($A184,$A$4:$O$28,10,0)*(HLOOKUP(N$179,'2.2.Brecha Efectiva x UdM'!$H$25:$AK$32,6,0))</f>
        <v>0</v>
      </c>
      <c r="O184" s="32">
        <f>VLOOKUP($A184,$A$4:$O$28,10,0)*(HLOOKUP(O$179,'2.2.Brecha Efectiva x UdM'!$H$25:$AK$32,6,0))</f>
        <v>0</v>
      </c>
      <c r="P184" s="32">
        <f>VLOOKUP($A184,$A$4:$O$28,10,0)*(HLOOKUP(P$179,'2.2.Brecha Efectiva x UdM'!$H$25:$AK$32,6,0))</f>
        <v>0</v>
      </c>
      <c r="Q184" s="32">
        <f>VLOOKUP($A184,$A$4:$O$28,10,0)*(HLOOKUP(Q$179,'2.2.Brecha Efectiva x UdM'!$H$25:$AK$32,6,0))</f>
        <v>0</v>
      </c>
      <c r="R184" s="32">
        <f>VLOOKUP($A184,$A$4:$O$28,10,0)*(HLOOKUP(R$179,'2.2.Brecha Efectiva x UdM'!$H$25:$AK$32,6,0))</f>
        <v>0</v>
      </c>
      <c r="S184" s="32">
        <f>VLOOKUP($A184,$A$4:$O$28,10,0)*(HLOOKUP(S$179,'2.2.Brecha Efectiva x UdM'!$H$25:$AK$32,6,0))</f>
        <v>0</v>
      </c>
      <c r="T184" s="32">
        <f>VLOOKUP($A184,$A$4:$O$28,10,0)*(HLOOKUP(T$179,'2.2.Brecha Efectiva x UdM'!$H$25:$AK$32,6,0))</f>
        <v>0</v>
      </c>
      <c r="U184" s="32">
        <f>VLOOKUP($A184,$A$4:$O$28,10,0)*(HLOOKUP(U$179,'2.2.Brecha Efectiva x UdM'!$H$25:$AK$32,6,0))</f>
        <v>0</v>
      </c>
      <c r="V184" s="32">
        <f>VLOOKUP($A184,$A$4:$O$28,10,0)*(HLOOKUP(V$179,'2.2.Brecha Efectiva x UdM'!$H$25:$AK$32,6,0))</f>
        <v>0</v>
      </c>
      <c r="W184" s="32">
        <f>VLOOKUP($A184,$A$4:$O$28,10,0)*(HLOOKUP(W$179,'2.2.Brecha Efectiva x UdM'!$H$25:$AK$32,6,0))</f>
        <v>0</v>
      </c>
      <c r="X184" s="32">
        <f>VLOOKUP($A184,$A$4:$O$28,10,0)*(HLOOKUP(X$179,'2.2.Brecha Efectiva x UdM'!$H$25:$AK$32,6,0))</f>
        <v>0</v>
      </c>
      <c r="Y184" s="32">
        <f>VLOOKUP($A184,$A$4:$O$28,10,0)*(HLOOKUP(Y$179,'2.2.Brecha Efectiva x UdM'!$H$25:$AK$32,6,0))</f>
        <v>0</v>
      </c>
      <c r="Z184" s="32">
        <f>VLOOKUP($A184,$A$4:$O$28,10,0)*(HLOOKUP(Z$179,'2.2.Brecha Efectiva x UdM'!$H$25:$AK$32,6,0))</f>
        <v>0</v>
      </c>
      <c r="AA184" s="32">
        <f>VLOOKUP($A184,$A$4:$O$28,10,0)*(HLOOKUP(AA$179,'2.2.Brecha Efectiva x UdM'!$H$25:$AK$32,6,0))</f>
        <v>0</v>
      </c>
      <c r="AB184" s="32">
        <f>VLOOKUP($A184,$A$4:$O$28,10,0)*(HLOOKUP(AB$179,'2.2.Brecha Efectiva x UdM'!$H$25:$AK$32,6,0))</f>
        <v>0</v>
      </c>
      <c r="AC184" s="32">
        <f>VLOOKUP($A184,$A$4:$O$28,10,0)*(HLOOKUP(AC$179,'2.2.Brecha Efectiva x UdM'!$H$25:$AK$32,6,0))</f>
        <v>0</v>
      </c>
      <c r="AD184" s="32">
        <f>VLOOKUP($A184,$A$4:$O$28,10,0)*(HLOOKUP(AD$179,'2.2.Brecha Efectiva x UdM'!$H$25:$AK$32,6,0))</f>
        <v>0</v>
      </c>
      <c r="AE184" s="32">
        <f>VLOOKUP($A184,$A$4:$O$28,10,0)*(HLOOKUP(AE$179,'2.2.Brecha Efectiva x UdM'!$H$25:$AK$32,6,0))</f>
        <v>0</v>
      </c>
      <c r="AF184" s="32">
        <f>VLOOKUP($A184,$A$4:$O$28,10,0)*(HLOOKUP(AF$179,'2.2.Brecha Efectiva x UdM'!$H$25:$AK$32,6,0))</f>
        <v>0</v>
      </c>
      <c r="AG184" s="32">
        <f>VLOOKUP($A184,$A$4:$O$28,10,0)*(HLOOKUP(AG$179,'2.2.Brecha Efectiva x UdM'!$H$25:$AK$32,6,0))</f>
        <v>0</v>
      </c>
      <c r="AH184" s="62">
        <f t="shared" si="195"/>
        <v>0</v>
      </c>
    </row>
    <row r="185" spans="1:34" hidden="1" x14ac:dyDescent="0.2">
      <c r="A185" s="26" t="str">
        <f t="shared" si="192"/>
        <v>Córdoba</v>
      </c>
      <c r="B185" s="52">
        <f t="shared" si="193"/>
        <v>0</v>
      </c>
      <c r="C185" s="26" t="str">
        <f t="shared" si="194"/>
        <v>Córdoba 0</v>
      </c>
      <c r="D185" s="31">
        <f>VLOOKUP($A185,$A$4:$O$28,10,0)*(HLOOKUP(D$179,'2.2.Brecha Efectiva x UdM'!$H$25:$AK$32,6,0))</f>
        <v>0</v>
      </c>
      <c r="E185" s="31">
        <f>VLOOKUP($A185,$A$4:$O$28,10,0)*(HLOOKUP(E$179,'2.2.Brecha Efectiva x UdM'!$H$25:$AK$32,6,0))</f>
        <v>0</v>
      </c>
      <c r="F185" s="31">
        <f>VLOOKUP($A185,$A$4:$O$28,10,0)*(HLOOKUP(F$179,'2.2.Brecha Efectiva x UdM'!$H$25:$AK$32,6,0))</f>
        <v>0</v>
      </c>
      <c r="G185" s="31">
        <f>VLOOKUP($A185,$A$4:$O$28,10,0)*(HLOOKUP(G$179,'2.2.Brecha Efectiva x UdM'!$H$25:$AK$32,6,0))</f>
        <v>0</v>
      </c>
      <c r="H185" s="31">
        <f>VLOOKUP($A185,$A$4:$O$28,10,0)*(HLOOKUP(H$179,'2.2.Brecha Efectiva x UdM'!$H$25:$AK$32,6,0))</f>
        <v>0</v>
      </c>
      <c r="I185" s="31">
        <f>VLOOKUP($A185,$A$4:$O$28,10,0)*(HLOOKUP(I$179,'2.2.Brecha Efectiva x UdM'!$H$25:$AK$32,6,0))</f>
        <v>0</v>
      </c>
      <c r="J185" s="31">
        <f>VLOOKUP($A185,$A$4:$O$28,10,0)*(HLOOKUP(J$179,'2.2.Brecha Efectiva x UdM'!$H$25:$AK$32,6,0))</f>
        <v>0</v>
      </c>
      <c r="K185" s="31">
        <f>VLOOKUP($A185,$A$4:$O$28,10,0)*(HLOOKUP(K$179,'2.2.Brecha Efectiva x UdM'!$H$25:$AK$32,6,0))</f>
        <v>0</v>
      </c>
      <c r="L185" s="31">
        <f>VLOOKUP($A185,$A$4:$O$28,10,0)*(HLOOKUP(L$179,'2.2.Brecha Efectiva x UdM'!$H$25:$AK$32,6,0))</f>
        <v>0</v>
      </c>
      <c r="M185" s="31">
        <f>VLOOKUP($A185,$A$4:$O$28,10,0)*(HLOOKUP(M$179,'2.2.Brecha Efectiva x UdM'!$H$25:$AK$32,6,0))</f>
        <v>0</v>
      </c>
      <c r="N185" s="31">
        <f>VLOOKUP($A185,$A$4:$O$28,10,0)*(HLOOKUP(N$179,'2.2.Brecha Efectiva x UdM'!$H$25:$AK$32,6,0))</f>
        <v>0</v>
      </c>
      <c r="O185" s="31">
        <f>VLOOKUP($A185,$A$4:$O$28,10,0)*(HLOOKUP(O$179,'2.2.Brecha Efectiva x UdM'!$H$25:$AK$32,6,0))</f>
        <v>0</v>
      </c>
      <c r="P185" s="31">
        <f>VLOOKUP($A185,$A$4:$O$28,10,0)*(HLOOKUP(P$179,'2.2.Brecha Efectiva x UdM'!$H$25:$AK$32,6,0))</f>
        <v>0</v>
      </c>
      <c r="Q185" s="31">
        <f>VLOOKUP($A185,$A$4:$O$28,10,0)*(HLOOKUP(Q$179,'2.2.Brecha Efectiva x UdM'!$H$25:$AK$32,6,0))</f>
        <v>0</v>
      </c>
      <c r="R185" s="31">
        <f>VLOOKUP($A185,$A$4:$O$28,10,0)*(HLOOKUP(R$179,'2.2.Brecha Efectiva x UdM'!$H$25:$AK$32,6,0))</f>
        <v>0</v>
      </c>
      <c r="S185" s="31">
        <f>VLOOKUP($A185,$A$4:$O$28,10,0)*(HLOOKUP(S$179,'2.2.Brecha Efectiva x UdM'!$H$25:$AK$32,6,0))</f>
        <v>0</v>
      </c>
      <c r="T185" s="31">
        <f>VLOOKUP($A185,$A$4:$O$28,10,0)*(HLOOKUP(T$179,'2.2.Brecha Efectiva x UdM'!$H$25:$AK$32,6,0))</f>
        <v>0</v>
      </c>
      <c r="U185" s="31">
        <f>VLOOKUP($A185,$A$4:$O$28,10,0)*(HLOOKUP(U$179,'2.2.Brecha Efectiva x UdM'!$H$25:$AK$32,6,0))</f>
        <v>0</v>
      </c>
      <c r="V185" s="31">
        <f>VLOOKUP($A185,$A$4:$O$28,10,0)*(HLOOKUP(V$179,'2.2.Brecha Efectiva x UdM'!$H$25:$AK$32,6,0))</f>
        <v>0</v>
      </c>
      <c r="W185" s="31">
        <f>VLOOKUP($A185,$A$4:$O$28,10,0)*(HLOOKUP(W$179,'2.2.Brecha Efectiva x UdM'!$H$25:$AK$32,6,0))</f>
        <v>0</v>
      </c>
      <c r="X185" s="31">
        <f>VLOOKUP($A185,$A$4:$O$28,10,0)*(HLOOKUP(X$179,'2.2.Brecha Efectiva x UdM'!$H$25:$AK$32,6,0))</f>
        <v>0</v>
      </c>
      <c r="Y185" s="31">
        <f>VLOOKUP($A185,$A$4:$O$28,10,0)*(HLOOKUP(Y$179,'2.2.Brecha Efectiva x UdM'!$H$25:$AK$32,6,0))</f>
        <v>0</v>
      </c>
      <c r="Z185" s="31">
        <f>VLOOKUP($A185,$A$4:$O$28,10,0)*(HLOOKUP(Z$179,'2.2.Brecha Efectiva x UdM'!$H$25:$AK$32,6,0))</f>
        <v>0</v>
      </c>
      <c r="AA185" s="31">
        <f>VLOOKUP($A185,$A$4:$O$28,10,0)*(HLOOKUP(AA$179,'2.2.Brecha Efectiva x UdM'!$H$25:$AK$32,6,0))</f>
        <v>0</v>
      </c>
      <c r="AB185" s="31">
        <f>VLOOKUP($A185,$A$4:$O$28,10,0)*(HLOOKUP(AB$179,'2.2.Brecha Efectiva x UdM'!$H$25:$AK$32,6,0))</f>
        <v>0</v>
      </c>
      <c r="AC185" s="31">
        <f>VLOOKUP($A185,$A$4:$O$28,10,0)*(HLOOKUP(AC$179,'2.2.Brecha Efectiva x UdM'!$H$25:$AK$32,6,0))</f>
        <v>0</v>
      </c>
      <c r="AD185" s="31">
        <f>VLOOKUP($A185,$A$4:$O$28,10,0)*(HLOOKUP(AD$179,'2.2.Brecha Efectiva x UdM'!$H$25:$AK$32,6,0))</f>
        <v>0</v>
      </c>
      <c r="AE185" s="31">
        <f>VLOOKUP($A185,$A$4:$O$28,10,0)*(HLOOKUP(AE$179,'2.2.Brecha Efectiva x UdM'!$H$25:$AK$32,6,0))</f>
        <v>0</v>
      </c>
      <c r="AF185" s="31">
        <f>VLOOKUP($A185,$A$4:$O$28,10,0)*(HLOOKUP(AF$179,'2.2.Brecha Efectiva x UdM'!$H$25:$AK$32,6,0))</f>
        <v>0</v>
      </c>
      <c r="AG185" s="31">
        <f>VLOOKUP($A185,$A$4:$O$28,10,0)*(HLOOKUP(AG$179,'2.2.Brecha Efectiva x UdM'!$H$25:$AK$32,6,0))</f>
        <v>0</v>
      </c>
      <c r="AH185" s="63">
        <f t="shared" si="195"/>
        <v>0</v>
      </c>
    </row>
    <row r="186" spans="1:34" hidden="1" x14ac:dyDescent="0.2">
      <c r="A186" s="25" t="str">
        <f t="shared" si="192"/>
        <v>Corrientes</v>
      </c>
      <c r="B186" s="51">
        <f t="shared" si="193"/>
        <v>0</v>
      </c>
      <c r="C186" s="25" t="str">
        <f t="shared" si="194"/>
        <v>Corrientes 0</v>
      </c>
      <c r="D186" s="32">
        <f>VLOOKUP($A186,$A$4:$O$28,10,0)*(HLOOKUP(D$179,'2.2.Brecha Efectiva x UdM'!$H$25:$AK$32,6,0))</f>
        <v>0</v>
      </c>
      <c r="E186" s="32">
        <f>VLOOKUP($A186,$A$4:$O$28,10,0)*(HLOOKUP(E$179,'2.2.Brecha Efectiva x UdM'!$H$25:$AK$32,6,0))</f>
        <v>0</v>
      </c>
      <c r="F186" s="32">
        <f>VLOOKUP($A186,$A$4:$O$28,10,0)*(HLOOKUP(F$179,'2.2.Brecha Efectiva x UdM'!$H$25:$AK$32,6,0))</f>
        <v>0</v>
      </c>
      <c r="G186" s="32">
        <f>VLOOKUP($A186,$A$4:$O$28,10,0)*(HLOOKUP(G$179,'2.2.Brecha Efectiva x UdM'!$H$25:$AK$32,6,0))</f>
        <v>0</v>
      </c>
      <c r="H186" s="32">
        <f>VLOOKUP($A186,$A$4:$O$28,10,0)*(HLOOKUP(H$179,'2.2.Brecha Efectiva x UdM'!$H$25:$AK$32,6,0))</f>
        <v>0</v>
      </c>
      <c r="I186" s="32">
        <f>VLOOKUP($A186,$A$4:$O$28,10,0)*(HLOOKUP(I$179,'2.2.Brecha Efectiva x UdM'!$H$25:$AK$32,6,0))</f>
        <v>0</v>
      </c>
      <c r="J186" s="32">
        <f>VLOOKUP($A186,$A$4:$O$28,10,0)*(HLOOKUP(J$179,'2.2.Brecha Efectiva x UdM'!$H$25:$AK$32,6,0))</f>
        <v>0</v>
      </c>
      <c r="K186" s="32">
        <f>VLOOKUP($A186,$A$4:$O$28,10,0)*(HLOOKUP(K$179,'2.2.Brecha Efectiva x UdM'!$H$25:$AK$32,6,0))</f>
        <v>0</v>
      </c>
      <c r="L186" s="32">
        <f>VLOOKUP($A186,$A$4:$O$28,10,0)*(HLOOKUP(L$179,'2.2.Brecha Efectiva x UdM'!$H$25:$AK$32,6,0))</f>
        <v>0</v>
      </c>
      <c r="M186" s="32">
        <f>VLOOKUP($A186,$A$4:$O$28,10,0)*(HLOOKUP(M$179,'2.2.Brecha Efectiva x UdM'!$H$25:$AK$32,6,0))</f>
        <v>0</v>
      </c>
      <c r="N186" s="32">
        <f>VLOOKUP($A186,$A$4:$O$28,10,0)*(HLOOKUP(N$179,'2.2.Brecha Efectiva x UdM'!$H$25:$AK$32,6,0))</f>
        <v>0</v>
      </c>
      <c r="O186" s="32">
        <f>VLOOKUP($A186,$A$4:$O$28,10,0)*(HLOOKUP(O$179,'2.2.Brecha Efectiva x UdM'!$H$25:$AK$32,6,0))</f>
        <v>0</v>
      </c>
      <c r="P186" s="32">
        <f>VLOOKUP($A186,$A$4:$O$28,10,0)*(HLOOKUP(P$179,'2.2.Brecha Efectiva x UdM'!$H$25:$AK$32,6,0))</f>
        <v>0</v>
      </c>
      <c r="Q186" s="32">
        <f>VLOOKUP($A186,$A$4:$O$28,10,0)*(HLOOKUP(Q$179,'2.2.Brecha Efectiva x UdM'!$H$25:$AK$32,6,0))</f>
        <v>0</v>
      </c>
      <c r="R186" s="32">
        <f>VLOOKUP($A186,$A$4:$O$28,10,0)*(HLOOKUP(R$179,'2.2.Brecha Efectiva x UdM'!$H$25:$AK$32,6,0))</f>
        <v>0</v>
      </c>
      <c r="S186" s="32">
        <f>VLOOKUP($A186,$A$4:$O$28,10,0)*(HLOOKUP(S$179,'2.2.Brecha Efectiva x UdM'!$H$25:$AK$32,6,0))</f>
        <v>0</v>
      </c>
      <c r="T186" s="32">
        <f>VLOOKUP($A186,$A$4:$O$28,10,0)*(HLOOKUP(T$179,'2.2.Brecha Efectiva x UdM'!$H$25:$AK$32,6,0))</f>
        <v>0</v>
      </c>
      <c r="U186" s="32">
        <f>VLOOKUP($A186,$A$4:$O$28,10,0)*(HLOOKUP(U$179,'2.2.Brecha Efectiva x UdM'!$H$25:$AK$32,6,0))</f>
        <v>0</v>
      </c>
      <c r="V186" s="32">
        <f>VLOOKUP($A186,$A$4:$O$28,10,0)*(HLOOKUP(V$179,'2.2.Brecha Efectiva x UdM'!$H$25:$AK$32,6,0))</f>
        <v>0</v>
      </c>
      <c r="W186" s="32">
        <f>VLOOKUP($A186,$A$4:$O$28,10,0)*(HLOOKUP(W$179,'2.2.Brecha Efectiva x UdM'!$H$25:$AK$32,6,0))</f>
        <v>0</v>
      </c>
      <c r="X186" s="32">
        <f>VLOOKUP($A186,$A$4:$O$28,10,0)*(HLOOKUP(X$179,'2.2.Brecha Efectiva x UdM'!$H$25:$AK$32,6,0))</f>
        <v>0</v>
      </c>
      <c r="Y186" s="32">
        <f>VLOOKUP($A186,$A$4:$O$28,10,0)*(HLOOKUP(Y$179,'2.2.Brecha Efectiva x UdM'!$H$25:$AK$32,6,0))</f>
        <v>0</v>
      </c>
      <c r="Z186" s="32">
        <f>VLOOKUP($A186,$A$4:$O$28,10,0)*(HLOOKUP(Z$179,'2.2.Brecha Efectiva x UdM'!$H$25:$AK$32,6,0))</f>
        <v>0</v>
      </c>
      <c r="AA186" s="32">
        <f>VLOOKUP($A186,$A$4:$O$28,10,0)*(HLOOKUP(AA$179,'2.2.Brecha Efectiva x UdM'!$H$25:$AK$32,6,0))</f>
        <v>0</v>
      </c>
      <c r="AB186" s="32">
        <f>VLOOKUP($A186,$A$4:$O$28,10,0)*(HLOOKUP(AB$179,'2.2.Brecha Efectiva x UdM'!$H$25:$AK$32,6,0))</f>
        <v>0</v>
      </c>
      <c r="AC186" s="32">
        <f>VLOOKUP($A186,$A$4:$O$28,10,0)*(HLOOKUP(AC$179,'2.2.Brecha Efectiva x UdM'!$H$25:$AK$32,6,0))</f>
        <v>0</v>
      </c>
      <c r="AD186" s="32">
        <f>VLOOKUP($A186,$A$4:$O$28,10,0)*(HLOOKUP(AD$179,'2.2.Brecha Efectiva x UdM'!$H$25:$AK$32,6,0))</f>
        <v>0</v>
      </c>
      <c r="AE186" s="32">
        <f>VLOOKUP($A186,$A$4:$O$28,10,0)*(HLOOKUP(AE$179,'2.2.Brecha Efectiva x UdM'!$H$25:$AK$32,6,0))</f>
        <v>0</v>
      </c>
      <c r="AF186" s="32">
        <f>VLOOKUP($A186,$A$4:$O$28,10,0)*(HLOOKUP(AF$179,'2.2.Brecha Efectiva x UdM'!$H$25:$AK$32,6,0))</f>
        <v>0</v>
      </c>
      <c r="AG186" s="32">
        <f>VLOOKUP($A186,$A$4:$O$28,10,0)*(HLOOKUP(AG$179,'2.2.Brecha Efectiva x UdM'!$H$25:$AK$32,6,0))</f>
        <v>0</v>
      </c>
      <c r="AH186" s="62">
        <f t="shared" si="195"/>
        <v>0</v>
      </c>
    </row>
    <row r="187" spans="1:34" hidden="1" x14ac:dyDescent="0.2">
      <c r="A187" s="26" t="str">
        <f t="shared" si="192"/>
        <v>Entre Ríos</v>
      </c>
      <c r="B187" s="52">
        <f t="shared" si="193"/>
        <v>0</v>
      </c>
      <c r="C187" s="26" t="str">
        <f t="shared" si="194"/>
        <v>Entre Ríos 0</v>
      </c>
      <c r="D187" s="31">
        <f>VLOOKUP($A187,$A$4:$O$28,10,0)*(HLOOKUP(D$179,'2.2.Brecha Efectiva x UdM'!$H$25:$AK$32,6,0))</f>
        <v>0</v>
      </c>
      <c r="E187" s="31">
        <f>VLOOKUP($A187,$A$4:$O$28,10,0)*(HLOOKUP(E$179,'2.2.Brecha Efectiva x UdM'!$H$25:$AK$32,6,0))</f>
        <v>0</v>
      </c>
      <c r="F187" s="31">
        <f>VLOOKUP($A187,$A$4:$O$28,10,0)*(HLOOKUP(F$179,'2.2.Brecha Efectiva x UdM'!$H$25:$AK$32,6,0))</f>
        <v>0</v>
      </c>
      <c r="G187" s="31">
        <f>VLOOKUP($A187,$A$4:$O$28,10,0)*(HLOOKUP(G$179,'2.2.Brecha Efectiva x UdM'!$H$25:$AK$32,6,0))</f>
        <v>0</v>
      </c>
      <c r="H187" s="31">
        <f>VLOOKUP($A187,$A$4:$O$28,10,0)*(HLOOKUP(H$179,'2.2.Brecha Efectiva x UdM'!$H$25:$AK$32,6,0))</f>
        <v>0</v>
      </c>
      <c r="I187" s="31">
        <f>VLOOKUP($A187,$A$4:$O$28,10,0)*(HLOOKUP(I$179,'2.2.Brecha Efectiva x UdM'!$H$25:$AK$32,6,0))</f>
        <v>0</v>
      </c>
      <c r="J187" s="31">
        <f>VLOOKUP($A187,$A$4:$O$28,10,0)*(HLOOKUP(J$179,'2.2.Brecha Efectiva x UdM'!$H$25:$AK$32,6,0))</f>
        <v>0</v>
      </c>
      <c r="K187" s="31">
        <f>VLOOKUP($A187,$A$4:$O$28,10,0)*(HLOOKUP(K$179,'2.2.Brecha Efectiva x UdM'!$H$25:$AK$32,6,0))</f>
        <v>0</v>
      </c>
      <c r="L187" s="31">
        <f>VLOOKUP($A187,$A$4:$O$28,10,0)*(HLOOKUP(L$179,'2.2.Brecha Efectiva x UdM'!$H$25:$AK$32,6,0))</f>
        <v>0</v>
      </c>
      <c r="M187" s="31">
        <f>VLOOKUP($A187,$A$4:$O$28,10,0)*(HLOOKUP(M$179,'2.2.Brecha Efectiva x UdM'!$H$25:$AK$32,6,0))</f>
        <v>0</v>
      </c>
      <c r="N187" s="31">
        <f>VLOOKUP($A187,$A$4:$O$28,10,0)*(HLOOKUP(N$179,'2.2.Brecha Efectiva x UdM'!$H$25:$AK$32,6,0))</f>
        <v>0</v>
      </c>
      <c r="O187" s="31">
        <f>VLOOKUP($A187,$A$4:$O$28,10,0)*(HLOOKUP(O$179,'2.2.Brecha Efectiva x UdM'!$H$25:$AK$32,6,0))</f>
        <v>0</v>
      </c>
      <c r="P187" s="31">
        <f>VLOOKUP($A187,$A$4:$O$28,10,0)*(HLOOKUP(P$179,'2.2.Brecha Efectiva x UdM'!$H$25:$AK$32,6,0))</f>
        <v>0</v>
      </c>
      <c r="Q187" s="31">
        <f>VLOOKUP($A187,$A$4:$O$28,10,0)*(HLOOKUP(Q$179,'2.2.Brecha Efectiva x UdM'!$H$25:$AK$32,6,0))</f>
        <v>0</v>
      </c>
      <c r="R187" s="31">
        <f>VLOOKUP($A187,$A$4:$O$28,10,0)*(HLOOKUP(R$179,'2.2.Brecha Efectiva x UdM'!$H$25:$AK$32,6,0))</f>
        <v>0</v>
      </c>
      <c r="S187" s="31">
        <f>VLOOKUP($A187,$A$4:$O$28,10,0)*(HLOOKUP(S$179,'2.2.Brecha Efectiva x UdM'!$H$25:$AK$32,6,0))</f>
        <v>0</v>
      </c>
      <c r="T187" s="31">
        <f>VLOOKUP($A187,$A$4:$O$28,10,0)*(HLOOKUP(T$179,'2.2.Brecha Efectiva x UdM'!$H$25:$AK$32,6,0))</f>
        <v>0</v>
      </c>
      <c r="U187" s="31">
        <f>VLOOKUP($A187,$A$4:$O$28,10,0)*(HLOOKUP(U$179,'2.2.Brecha Efectiva x UdM'!$H$25:$AK$32,6,0))</f>
        <v>0</v>
      </c>
      <c r="V187" s="31">
        <f>VLOOKUP($A187,$A$4:$O$28,10,0)*(HLOOKUP(V$179,'2.2.Brecha Efectiva x UdM'!$H$25:$AK$32,6,0))</f>
        <v>0</v>
      </c>
      <c r="W187" s="31">
        <f>VLOOKUP($A187,$A$4:$O$28,10,0)*(HLOOKUP(W$179,'2.2.Brecha Efectiva x UdM'!$H$25:$AK$32,6,0))</f>
        <v>0</v>
      </c>
      <c r="X187" s="31">
        <f>VLOOKUP($A187,$A$4:$O$28,10,0)*(HLOOKUP(X$179,'2.2.Brecha Efectiva x UdM'!$H$25:$AK$32,6,0))</f>
        <v>0</v>
      </c>
      <c r="Y187" s="31">
        <f>VLOOKUP($A187,$A$4:$O$28,10,0)*(HLOOKUP(Y$179,'2.2.Brecha Efectiva x UdM'!$H$25:$AK$32,6,0))</f>
        <v>0</v>
      </c>
      <c r="Z187" s="31">
        <f>VLOOKUP($A187,$A$4:$O$28,10,0)*(HLOOKUP(Z$179,'2.2.Brecha Efectiva x UdM'!$H$25:$AK$32,6,0))</f>
        <v>0</v>
      </c>
      <c r="AA187" s="31">
        <f>VLOOKUP($A187,$A$4:$O$28,10,0)*(HLOOKUP(AA$179,'2.2.Brecha Efectiva x UdM'!$H$25:$AK$32,6,0))</f>
        <v>0</v>
      </c>
      <c r="AB187" s="31">
        <f>VLOOKUP($A187,$A$4:$O$28,10,0)*(HLOOKUP(AB$179,'2.2.Brecha Efectiva x UdM'!$H$25:$AK$32,6,0))</f>
        <v>0</v>
      </c>
      <c r="AC187" s="31">
        <f>VLOOKUP($A187,$A$4:$O$28,10,0)*(HLOOKUP(AC$179,'2.2.Brecha Efectiva x UdM'!$H$25:$AK$32,6,0))</f>
        <v>0</v>
      </c>
      <c r="AD187" s="31">
        <f>VLOOKUP($A187,$A$4:$O$28,10,0)*(HLOOKUP(AD$179,'2.2.Brecha Efectiva x UdM'!$H$25:$AK$32,6,0))</f>
        <v>0</v>
      </c>
      <c r="AE187" s="31">
        <f>VLOOKUP($A187,$A$4:$O$28,10,0)*(HLOOKUP(AE$179,'2.2.Brecha Efectiva x UdM'!$H$25:$AK$32,6,0))</f>
        <v>0</v>
      </c>
      <c r="AF187" s="31">
        <f>VLOOKUP($A187,$A$4:$O$28,10,0)*(HLOOKUP(AF$179,'2.2.Brecha Efectiva x UdM'!$H$25:$AK$32,6,0))</f>
        <v>0</v>
      </c>
      <c r="AG187" s="31">
        <f>VLOOKUP($A187,$A$4:$O$28,10,0)*(HLOOKUP(AG$179,'2.2.Brecha Efectiva x UdM'!$H$25:$AK$32,6,0))</f>
        <v>0</v>
      </c>
      <c r="AH187" s="63">
        <f t="shared" si="195"/>
        <v>0</v>
      </c>
    </row>
    <row r="188" spans="1:34" hidden="1" x14ac:dyDescent="0.2">
      <c r="A188" s="25" t="str">
        <f t="shared" si="192"/>
        <v>Formosa</v>
      </c>
      <c r="B188" s="51">
        <f t="shared" si="193"/>
        <v>0</v>
      </c>
      <c r="C188" s="25" t="str">
        <f t="shared" si="194"/>
        <v>Formosa 0</v>
      </c>
      <c r="D188" s="32">
        <f>VLOOKUP($A188,$A$4:$O$28,10,0)*(HLOOKUP(D$179,'2.2.Brecha Efectiva x UdM'!$H$25:$AK$32,6,0))</f>
        <v>0</v>
      </c>
      <c r="E188" s="32">
        <f>VLOOKUP($A188,$A$4:$O$28,10,0)*(HLOOKUP(E$179,'2.2.Brecha Efectiva x UdM'!$H$25:$AK$32,6,0))</f>
        <v>0</v>
      </c>
      <c r="F188" s="32">
        <f>VLOOKUP($A188,$A$4:$O$28,10,0)*(HLOOKUP(F$179,'2.2.Brecha Efectiva x UdM'!$H$25:$AK$32,6,0))</f>
        <v>0</v>
      </c>
      <c r="G188" s="32">
        <f>VLOOKUP($A188,$A$4:$O$28,10,0)*(HLOOKUP(G$179,'2.2.Brecha Efectiva x UdM'!$H$25:$AK$32,6,0))</f>
        <v>0</v>
      </c>
      <c r="H188" s="32">
        <f>VLOOKUP($A188,$A$4:$O$28,10,0)*(HLOOKUP(H$179,'2.2.Brecha Efectiva x UdM'!$H$25:$AK$32,6,0))</f>
        <v>0</v>
      </c>
      <c r="I188" s="32">
        <f>VLOOKUP($A188,$A$4:$O$28,10,0)*(HLOOKUP(I$179,'2.2.Brecha Efectiva x UdM'!$H$25:$AK$32,6,0))</f>
        <v>0</v>
      </c>
      <c r="J188" s="32">
        <f>VLOOKUP($A188,$A$4:$O$28,10,0)*(HLOOKUP(J$179,'2.2.Brecha Efectiva x UdM'!$H$25:$AK$32,6,0))</f>
        <v>0</v>
      </c>
      <c r="K188" s="32">
        <f>VLOOKUP($A188,$A$4:$O$28,10,0)*(HLOOKUP(K$179,'2.2.Brecha Efectiva x UdM'!$H$25:$AK$32,6,0))</f>
        <v>0</v>
      </c>
      <c r="L188" s="32">
        <f>VLOOKUP($A188,$A$4:$O$28,10,0)*(HLOOKUP(L$179,'2.2.Brecha Efectiva x UdM'!$H$25:$AK$32,6,0))</f>
        <v>0</v>
      </c>
      <c r="M188" s="32">
        <f>VLOOKUP($A188,$A$4:$O$28,10,0)*(HLOOKUP(M$179,'2.2.Brecha Efectiva x UdM'!$H$25:$AK$32,6,0))</f>
        <v>0</v>
      </c>
      <c r="N188" s="32">
        <f>VLOOKUP($A188,$A$4:$O$28,10,0)*(HLOOKUP(N$179,'2.2.Brecha Efectiva x UdM'!$H$25:$AK$32,6,0))</f>
        <v>0</v>
      </c>
      <c r="O188" s="32">
        <f>VLOOKUP($A188,$A$4:$O$28,10,0)*(HLOOKUP(O$179,'2.2.Brecha Efectiva x UdM'!$H$25:$AK$32,6,0))</f>
        <v>0</v>
      </c>
      <c r="P188" s="32">
        <f>VLOOKUP($A188,$A$4:$O$28,10,0)*(HLOOKUP(P$179,'2.2.Brecha Efectiva x UdM'!$H$25:$AK$32,6,0))</f>
        <v>0</v>
      </c>
      <c r="Q188" s="32">
        <f>VLOOKUP($A188,$A$4:$O$28,10,0)*(HLOOKUP(Q$179,'2.2.Brecha Efectiva x UdM'!$H$25:$AK$32,6,0))</f>
        <v>0</v>
      </c>
      <c r="R188" s="32">
        <f>VLOOKUP($A188,$A$4:$O$28,10,0)*(HLOOKUP(R$179,'2.2.Brecha Efectiva x UdM'!$H$25:$AK$32,6,0))</f>
        <v>0</v>
      </c>
      <c r="S188" s="32">
        <f>VLOOKUP($A188,$A$4:$O$28,10,0)*(HLOOKUP(S$179,'2.2.Brecha Efectiva x UdM'!$H$25:$AK$32,6,0))</f>
        <v>0</v>
      </c>
      <c r="T188" s="32">
        <f>VLOOKUP($A188,$A$4:$O$28,10,0)*(HLOOKUP(T$179,'2.2.Brecha Efectiva x UdM'!$H$25:$AK$32,6,0))</f>
        <v>0</v>
      </c>
      <c r="U188" s="32">
        <f>VLOOKUP($A188,$A$4:$O$28,10,0)*(HLOOKUP(U$179,'2.2.Brecha Efectiva x UdM'!$H$25:$AK$32,6,0))</f>
        <v>0</v>
      </c>
      <c r="V188" s="32">
        <f>VLOOKUP($A188,$A$4:$O$28,10,0)*(HLOOKUP(V$179,'2.2.Brecha Efectiva x UdM'!$H$25:$AK$32,6,0))</f>
        <v>0</v>
      </c>
      <c r="W188" s="32">
        <f>VLOOKUP($A188,$A$4:$O$28,10,0)*(HLOOKUP(W$179,'2.2.Brecha Efectiva x UdM'!$H$25:$AK$32,6,0))</f>
        <v>0</v>
      </c>
      <c r="X188" s="32">
        <f>VLOOKUP($A188,$A$4:$O$28,10,0)*(HLOOKUP(X$179,'2.2.Brecha Efectiva x UdM'!$H$25:$AK$32,6,0))</f>
        <v>0</v>
      </c>
      <c r="Y188" s="32">
        <f>VLOOKUP($A188,$A$4:$O$28,10,0)*(HLOOKUP(Y$179,'2.2.Brecha Efectiva x UdM'!$H$25:$AK$32,6,0))</f>
        <v>0</v>
      </c>
      <c r="Z188" s="32">
        <f>VLOOKUP($A188,$A$4:$O$28,10,0)*(HLOOKUP(Z$179,'2.2.Brecha Efectiva x UdM'!$H$25:$AK$32,6,0))</f>
        <v>0</v>
      </c>
      <c r="AA188" s="32">
        <f>VLOOKUP($A188,$A$4:$O$28,10,0)*(HLOOKUP(AA$179,'2.2.Brecha Efectiva x UdM'!$H$25:$AK$32,6,0))</f>
        <v>0</v>
      </c>
      <c r="AB188" s="32">
        <f>VLOOKUP($A188,$A$4:$O$28,10,0)*(HLOOKUP(AB$179,'2.2.Brecha Efectiva x UdM'!$H$25:$AK$32,6,0))</f>
        <v>0</v>
      </c>
      <c r="AC188" s="32">
        <f>VLOOKUP($A188,$A$4:$O$28,10,0)*(HLOOKUP(AC$179,'2.2.Brecha Efectiva x UdM'!$H$25:$AK$32,6,0))</f>
        <v>0</v>
      </c>
      <c r="AD188" s="32">
        <f>VLOOKUP($A188,$A$4:$O$28,10,0)*(HLOOKUP(AD$179,'2.2.Brecha Efectiva x UdM'!$H$25:$AK$32,6,0))</f>
        <v>0</v>
      </c>
      <c r="AE188" s="32">
        <f>VLOOKUP($A188,$A$4:$O$28,10,0)*(HLOOKUP(AE$179,'2.2.Brecha Efectiva x UdM'!$H$25:$AK$32,6,0))</f>
        <v>0</v>
      </c>
      <c r="AF188" s="32">
        <f>VLOOKUP($A188,$A$4:$O$28,10,0)*(HLOOKUP(AF$179,'2.2.Brecha Efectiva x UdM'!$H$25:$AK$32,6,0))</f>
        <v>0</v>
      </c>
      <c r="AG188" s="32">
        <f>VLOOKUP($A188,$A$4:$O$28,10,0)*(HLOOKUP(AG$179,'2.2.Brecha Efectiva x UdM'!$H$25:$AK$32,6,0))</f>
        <v>0</v>
      </c>
      <c r="AH188" s="62">
        <f t="shared" si="195"/>
        <v>0</v>
      </c>
    </row>
    <row r="189" spans="1:34" hidden="1" x14ac:dyDescent="0.2">
      <c r="A189" s="26" t="str">
        <f t="shared" si="192"/>
        <v>Jujuy</v>
      </c>
      <c r="B189" s="52">
        <f t="shared" si="193"/>
        <v>0</v>
      </c>
      <c r="C189" s="26" t="str">
        <f t="shared" si="194"/>
        <v>Jujuy 0</v>
      </c>
      <c r="D189" s="31">
        <f>VLOOKUP($A189,$A$4:$O$28,10,0)*(HLOOKUP(D$179,'2.2.Brecha Efectiva x UdM'!$H$25:$AK$32,6,0))</f>
        <v>0</v>
      </c>
      <c r="E189" s="31">
        <f>VLOOKUP($A189,$A$4:$O$28,10,0)*(HLOOKUP(E$179,'2.2.Brecha Efectiva x UdM'!$H$25:$AK$32,6,0))</f>
        <v>0</v>
      </c>
      <c r="F189" s="31">
        <f>VLOOKUP($A189,$A$4:$O$28,10,0)*(HLOOKUP(F$179,'2.2.Brecha Efectiva x UdM'!$H$25:$AK$32,6,0))</f>
        <v>0</v>
      </c>
      <c r="G189" s="31">
        <f>VLOOKUP($A189,$A$4:$O$28,10,0)*(HLOOKUP(G$179,'2.2.Brecha Efectiva x UdM'!$H$25:$AK$32,6,0))</f>
        <v>0</v>
      </c>
      <c r="H189" s="31">
        <f>VLOOKUP($A189,$A$4:$O$28,10,0)*(HLOOKUP(H$179,'2.2.Brecha Efectiva x UdM'!$H$25:$AK$32,6,0))</f>
        <v>0</v>
      </c>
      <c r="I189" s="31">
        <f>VLOOKUP($A189,$A$4:$O$28,10,0)*(HLOOKUP(I$179,'2.2.Brecha Efectiva x UdM'!$H$25:$AK$32,6,0))</f>
        <v>0</v>
      </c>
      <c r="J189" s="31">
        <f>VLOOKUP($A189,$A$4:$O$28,10,0)*(HLOOKUP(J$179,'2.2.Brecha Efectiva x UdM'!$H$25:$AK$32,6,0))</f>
        <v>0</v>
      </c>
      <c r="K189" s="31">
        <f>VLOOKUP($A189,$A$4:$O$28,10,0)*(HLOOKUP(K$179,'2.2.Brecha Efectiva x UdM'!$H$25:$AK$32,6,0))</f>
        <v>0</v>
      </c>
      <c r="L189" s="31">
        <f>VLOOKUP($A189,$A$4:$O$28,10,0)*(HLOOKUP(L$179,'2.2.Brecha Efectiva x UdM'!$H$25:$AK$32,6,0))</f>
        <v>0</v>
      </c>
      <c r="M189" s="31">
        <f>VLOOKUP($A189,$A$4:$O$28,10,0)*(HLOOKUP(M$179,'2.2.Brecha Efectiva x UdM'!$H$25:$AK$32,6,0))</f>
        <v>0</v>
      </c>
      <c r="N189" s="31">
        <f>VLOOKUP($A189,$A$4:$O$28,10,0)*(HLOOKUP(N$179,'2.2.Brecha Efectiva x UdM'!$H$25:$AK$32,6,0))</f>
        <v>0</v>
      </c>
      <c r="O189" s="31">
        <f>VLOOKUP($A189,$A$4:$O$28,10,0)*(HLOOKUP(O$179,'2.2.Brecha Efectiva x UdM'!$H$25:$AK$32,6,0))</f>
        <v>0</v>
      </c>
      <c r="P189" s="31">
        <f>VLOOKUP($A189,$A$4:$O$28,10,0)*(HLOOKUP(P$179,'2.2.Brecha Efectiva x UdM'!$H$25:$AK$32,6,0))</f>
        <v>0</v>
      </c>
      <c r="Q189" s="31">
        <f>VLOOKUP($A189,$A$4:$O$28,10,0)*(HLOOKUP(Q$179,'2.2.Brecha Efectiva x UdM'!$H$25:$AK$32,6,0))</f>
        <v>0</v>
      </c>
      <c r="R189" s="31">
        <f>VLOOKUP($A189,$A$4:$O$28,10,0)*(HLOOKUP(R$179,'2.2.Brecha Efectiva x UdM'!$H$25:$AK$32,6,0))</f>
        <v>0</v>
      </c>
      <c r="S189" s="31">
        <f>VLOOKUP($A189,$A$4:$O$28,10,0)*(HLOOKUP(S$179,'2.2.Brecha Efectiva x UdM'!$H$25:$AK$32,6,0))</f>
        <v>0</v>
      </c>
      <c r="T189" s="31">
        <f>VLOOKUP($A189,$A$4:$O$28,10,0)*(HLOOKUP(T$179,'2.2.Brecha Efectiva x UdM'!$H$25:$AK$32,6,0))</f>
        <v>0</v>
      </c>
      <c r="U189" s="31">
        <f>VLOOKUP($A189,$A$4:$O$28,10,0)*(HLOOKUP(U$179,'2.2.Brecha Efectiva x UdM'!$H$25:$AK$32,6,0))</f>
        <v>0</v>
      </c>
      <c r="V189" s="31">
        <f>VLOOKUP($A189,$A$4:$O$28,10,0)*(HLOOKUP(V$179,'2.2.Brecha Efectiva x UdM'!$H$25:$AK$32,6,0))</f>
        <v>0</v>
      </c>
      <c r="W189" s="31">
        <f>VLOOKUP($A189,$A$4:$O$28,10,0)*(HLOOKUP(W$179,'2.2.Brecha Efectiva x UdM'!$H$25:$AK$32,6,0))</f>
        <v>0</v>
      </c>
      <c r="X189" s="31">
        <f>VLOOKUP($A189,$A$4:$O$28,10,0)*(HLOOKUP(X$179,'2.2.Brecha Efectiva x UdM'!$H$25:$AK$32,6,0))</f>
        <v>0</v>
      </c>
      <c r="Y189" s="31">
        <f>VLOOKUP($A189,$A$4:$O$28,10,0)*(HLOOKUP(Y$179,'2.2.Brecha Efectiva x UdM'!$H$25:$AK$32,6,0))</f>
        <v>0</v>
      </c>
      <c r="Z189" s="31">
        <f>VLOOKUP($A189,$A$4:$O$28,10,0)*(HLOOKUP(Z$179,'2.2.Brecha Efectiva x UdM'!$H$25:$AK$32,6,0))</f>
        <v>0</v>
      </c>
      <c r="AA189" s="31">
        <f>VLOOKUP($A189,$A$4:$O$28,10,0)*(HLOOKUP(AA$179,'2.2.Brecha Efectiva x UdM'!$H$25:$AK$32,6,0))</f>
        <v>0</v>
      </c>
      <c r="AB189" s="31">
        <f>VLOOKUP($A189,$A$4:$O$28,10,0)*(HLOOKUP(AB$179,'2.2.Brecha Efectiva x UdM'!$H$25:$AK$32,6,0))</f>
        <v>0</v>
      </c>
      <c r="AC189" s="31">
        <f>VLOOKUP($A189,$A$4:$O$28,10,0)*(HLOOKUP(AC$179,'2.2.Brecha Efectiva x UdM'!$H$25:$AK$32,6,0))</f>
        <v>0</v>
      </c>
      <c r="AD189" s="31">
        <f>VLOOKUP($A189,$A$4:$O$28,10,0)*(HLOOKUP(AD$179,'2.2.Brecha Efectiva x UdM'!$H$25:$AK$32,6,0))</f>
        <v>0</v>
      </c>
      <c r="AE189" s="31">
        <f>VLOOKUP($A189,$A$4:$O$28,10,0)*(HLOOKUP(AE$179,'2.2.Brecha Efectiva x UdM'!$H$25:$AK$32,6,0))</f>
        <v>0</v>
      </c>
      <c r="AF189" s="31">
        <f>VLOOKUP($A189,$A$4:$O$28,10,0)*(HLOOKUP(AF$179,'2.2.Brecha Efectiva x UdM'!$H$25:$AK$32,6,0))</f>
        <v>0</v>
      </c>
      <c r="AG189" s="31">
        <f>VLOOKUP($A189,$A$4:$O$28,10,0)*(HLOOKUP(AG$179,'2.2.Brecha Efectiva x UdM'!$H$25:$AK$32,6,0))</f>
        <v>0</v>
      </c>
      <c r="AH189" s="63">
        <f t="shared" si="195"/>
        <v>0</v>
      </c>
    </row>
    <row r="190" spans="1:34" hidden="1" x14ac:dyDescent="0.2">
      <c r="A190" s="25" t="str">
        <f t="shared" si="192"/>
        <v>La Pampa</v>
      </c>
      <c r="B190" s="51">
        <f t="shared" si="193"/>
        <v>0</v>
      </c>
      <c r="C190" s="25" t="str">
        <f t="shared" si="194"/>
        <v>La Pampa 0</v>
      </c>
      <c r="D190" s="32">
        <f>VLOOKUP($A190,$A$4:$O$28,10,0)*(HLOOKUP(D$179,'2.2.Brecha Efectiva x UdM'!$H$25:$AK$32,6,0))</f>
        <v>0</v>
      </c>
      <c r="E190" s="32">
        <f>VLOOKUP($A190,$A$4:$O$28,10,0)*(HLOOKUP(E$179,'2.2.Brecha Efectiva x UdM'!$H$25:$AK$32,6,0))</f>
        <v>0</v>
      </c>
      <c r="F190" s="32">
        <f>VLOOKUP($A190,$A$4:$O$28,10,0)*(HLOOKUP(F$179,'2.2.Brecha Efectiva x UdM'!$H$25:$AK$32,6,0))</f>
        <v>0</v>
      </c>
      <c r="G190" s="32">
        <f>VLOOKUP($A190,$A$4:$O$28,10,0)*(HLOOKUP(G$179,'2.2.Brecha Efectiva x UdM'!$H$25:$AK$32,6,0))</f>
        <v>0</v>
      </c>
      <c r="H190" s="32">
        <f>VLOOKUP($A190,$A$4:$O$28,10,0)*(HLOOKUP(H$179,'2.2.Brecha Efectiva x UdM'!$H$25:$AK$32,6,0))</f>
        <v>0</v>
      </c>
      <c r="I190" s="32">
        <f>VLOOKUP($A190,$A$4:$O$28,10,0)*(HLOOKUP(I$179,'2.2.Brecha Efectiva x UdM'!$H$25:$AK$32,6,0))</f>
        <v>0</v>
      </c>
      <c r="J190" s="32">
        <f>VLOOKUP($A190,$A$4:$O$28,10,0)*(HLOOKUP(J$179,'2.2.Brecha Efectiva x UdM'!$H$25:$AK$32,6,0))</f>
        <v>0</v>
      </c>
      <c r="K190" s="32">
        <f>VLOOKUP($A190,$A$4:$O$28,10,0)*(HLOOKUP(K$179,'2.2.Brecha Efectiva x UdM'!$H$25:$AK$32,6,0))</f>
        <v>0</v>
      </c>
      <c r="L190" s="32">
        <f>VLOOKUP($A190,$A$4:$O$28,10,0)*(HLOOKUP(L$179,'2.2.Brecha Efectiva x UdM'!$H$25:$AK$32,6,0))</f>
        <v>0</v>
      </c>
      <c r="M190" s="32">
        <f>VLOOKUP($A190,$A$4:$O$28,10,0)*(HLOOKUP(M$179,'2.2.Brecha Efectiva x UdM'!$H$25:$AK$32,6,0))</f>
        <v>0</v>
      </c>
      <c r="N190" s="32">
        <f>VLOOKUP($A190,$A$4:$O$28,10,0)*(HLOOKUP(N$179,'2.2.Brecha Efectiva x UdM'!$H$25:$AK$32,6,0))</f>
        <v>0</v>
      </c>
      <c r="O190" s="32">
        <f>VLOOKUP($A190,$A$4:$O$28,10,0)*(HLOOKUP(O$179,'2.2.Brecha Efectiva x UdM'!$H$25:$AK$32,6,0))</f>
        <v>0</v>
      </c>
      <c r="P190" s="32">
        <f>VLOOKUP($A190,$A$4:$O$28,10,0)*(HLOOKUP(P$179,'2.2.Brecha Efectiva x UdM'!$H$25:$AK$32,6,0))</f>
        <v>0</v>
      </c>
      <c r="Q190" s="32">
        <f>VLOOKUP($A190,$A$4:$O$28,10,0)*(HLOOKUP(Q$179,'2.2.Brecha Efectiva x UdM'!$H$25:$AK$32,6,0))</f>
        <v>0</v>
      </c>
      <c r="R190" s="32">
        <f>VLOOKUP($A190,$A$4:$O$28,10,0)*(HLOOKUP(R$179,'2.2.Brecha Efectiva x UdM'!$H$25:$AK$32,6,0))</f>
        <v>0</v>
      </c>
      <c r="S190" s="32">
        <f>VLOOKUP($A190,$A$4:$O$28,10,0)*(HLOOKUP(S$179,'2.2.Brecha Efectiva x UdM'!$H$25:$AK$32,6,0))</f>
        <v>0</v>
      </c>
      <c r="T190" s="32">
        <f>VLOOKUP($A190,$A$4:$O$28,10,0)*(HLOOKUP(T$179,'2.2.Brecha Efectiva x UdM'!$H$25:$AK$32,6,0))</f>
        <v>0</v>
      </c>
      <c r="U190" s="32">
        <f>VLOOKUP($A190,$A$4:$O$28,10,0)*(HLOOKUP(U$179,'2.2.Brecha Efectiva x UdM'!$H$25:$AK$32,6,0))</f>
        <v>0</v>
      </c>
      <c r="V190" s="32">
        <f>VLOOKUP($A190,$A$4:$O$28,10,0)*(HLOOKUP(V$179,'2.2.Brecha Efectiva x UdM'!$H$25:$AK$32,6,0))</f>
        <v>0</v>
      </c>
      <c r="W190" s="32">
        <f>VLOOKUP($A190,$A$4:$O$28,10,0)*(HLOOKUP(W$179,'2.2.Brecha Efectiva x UdM'!$H$25:$AK$32,6,0))</f>
        <v>0</v>
      </c>
      <c r="X190" s="32">
        <f>VLOOKUP($A190,$A$4:$O$28,10,0)*(HLOOKUP(X$179,'2.2.Brecha Efectiva x UdM'!$H$25:$AK$32,6,0))</f>
        <v>0</v>
      </c>
      <c r="Y190" s="32">
        <f>VLOOKUP($A190,$A$4:$O$28,10,0)*(HLOOKUP(Y$179,'2.2.Brecha Efectiva x UdM'!$H$25:$AK$32,6,0))</f>
        <v>0</v>
      </c>
      <c r="Z190" s="32">
        <f>VLOOKUP($A190,$A$4:$O$28,10,0)*(HLOOKUP(Z$179,'2.2.Brecha Efectiva x UdM'!$H$25:$AK$32,6,0))</f>
        <v>0</v>
      </c>
      <c r="AA190" s="32">
        <f>VLOOKUP($A190,$A$4:$O$28,10,0)*(HLOOKUP(AA$179,'2.2.Brecha Efectiva x UdM'!$H$25:$AK$32,6,0))</f>
        <v>0</v>
      </c>
      <c r="AB190" s="32">
        <f>VLOOKUP($A190,$A$4:$O$28,10,0)*(HLOOKUP(AB$179,'2.2.Brecha Efectiva x UdM'!$H$25:$AK$32,6,0))</f>
        <v>0</v>
      </c>
      <c r="AC190" s="32">
        <f>VLOOKUP($A190,$A$4:$O$28,10,0)*(HLOOKUP(AC$179,'2.2.Brecha Efectiva x UdM'!$H$25:$AK$32,6,0))</f>
        <v>0</v>
      </c>
      <c r="AD190" s="32">
        <f>VLOOKUP($A190,$A$4:$O$28,10,0)*(HLOOKUP(AD$179,'2.2.Brecha Efectiva x UdM'!$H$25:$AK$32,6,0))</f>
        <v>0</v>
      </c>
      <c r="AE190" s="32">
        <f>VLOOKUP($A190,$A$4:$O$28,10,0)*(HLOOKUP(AE$179,'2.2.Brecha Efectiva x UdM'!$H$25:$AK$32,6,0))</f>
        <v>0</v>
      </c>
      <c r="AF190" s="32">
        <f>VLOOKUP($A190,$A$4:$O$28,10,0)*(HLOOKUP(AF$179,'2.2.Brecha Efectiva x UdM'!$H$25:$AK$32,6,0))</f>
        <v>0</v>
      </c>
      <c r="AG190" s="32">
        <f>VLOOKUP($A190,$A$4:$O$28,10,0)*(HLOOKUP(AG$179,'2.2.Brecha Efectiva x UdM'!$H$25:$AK$32,6,0))</f>
        <v>0</v>
      </c>
      <c r="AH190" s="62">
        <f t="shared" si="195"/>
        <v>0</v>
      </c>
    </row>
    <row r="191" spans="1:34" hidden="1" x14ac:dyDescent="0.2">
      <c r="A191" s="26" t="str">
        <f t="shared" si="192"/>
        <v>La Rioja</v>
      </c>
      <c r="B191" s="52">
        <f t="shared" si="193"/>
        <v>0</v>
      </c>
      <c r="C191" s="26" t="str">
        <f t="shared" si="194"/>
        <v>La Rioja 0</v>
      </c>
      <c r="D191" s="31">
        <f>VLOOKUP($A191,$A$4:$O$28,10,0)*(HLOOKUP(D$179,'2.2.Brecha Efectiva x UdM'!$H$25:$AK$32,6,0))</f>
        <v>0</v>
      </c>
      <c r="E191" s="31">
        <f>VLOOKUP($A191,$A$4:$O$28,10,0)*(HLOOKUP(E$179,'2.2.Brecha Efectiva x UdM'!$H$25:$AK$32,6,0))</f>
        <v>0</v>
      </c>
      <c r="F191" s="31">
        <f>VLOOKUP($A191,$A$4:$O$28,10,0)*(HLOOKUP(F$179,'2.2.Brecha Efectiva x UdM'!$H$25:$AK$32,6,0))</f>
        <v>0</v>
      </c>
      <c r="G191" s="31">
        <f>VLOOKUP($A191,$A$4:$O$28,10,0)*(HLOOKUP(G$179,'2.2.Brecha Efectiva x UdM'!$H$25:$AK$32,6,0))</f>
        <v>0</v>
      </c>
      <c r="H191" s="31">
        <f>VLOOKUP($A191,$A$4:$O$28,10,0)*(HLOOKUP(H$179,'2.2.Brecha Efectiva x UdM'!$H$25:$AK$32,6,0))</f>
        <v>0</v>
      </c>
      <c r="I191" s="31">
        <f>VLOOKUP($A191,$A$4:$O$28,10,0)*(HLOOKUP(I$179,'2.2.Brecha Efectiva x UdM'!$H$25:$AK$32,6,0))</f>
        <v>0</v>
      </c>
      <c r="J191" s="31">
        <f>VLOOKUP($A191,$A$4:$O$28,10,0)*(HLOOKUP(J$179,'2.2.Brecha Efectiva x UdM'!$H$25:$AK$32,6,0))</f>
        <v>0</v>
      </c>
      <c r="K191" s="31">
        <f>VLOOKUP($A191,$A$4:$O$28,10,0)*(HLOOKUP(K$179,'2.2.Brecha Efectiva x UdM'!$H$25:$AK$32,6,0))</f>
        <v>0</v>
      </c>
      <c r="L191" s="31">
        <f>VLOOKUP($A191,$A$4:$O$28,10,0)*(HLOOKUP(L$179,'2.2.Brecha Efectiva x UdM'!$H$25:$AK$32,6,0))</f>
        <v>0</v>
      </c>
      <c r="M191" s="31">
        <f>VLOOKUP($A191,$A$4:$O$28,10,0)*(HLOOKUP(M$179,'2.2.Brecha Efectiva x UdM'!$H$25:$AK$32,6,0))</f>
        <v>0</v>
      </c>
      <c r="N191" s="31">
        <f>VLOOKUP($A191,$A$4:$O$28,10,0)*(HLOOKUP(N$179,'2.2.Brecha Efectiva x UdM'!$H$25:$AK$32,6,0))</f>
        <v>0</v>
      </c>
      <c r="O191" s="31">
        <f>VLOOKUP($A191,$A$4:$O$28,10,0)*(HLOOKUP(O$179,'2.2.Brecha Efectiva x UdM'!$H$25:$AK$32,6,0))</f>
        <v>0</v>
      </c>
      <c r="P191" s="31">
        <f>VLOOKUP($A191,$A$4:$O$28,10,0)*(HLOOKUP(P$179,'2.2.Brecha Efectiva x UdM'!$H$25:$AK$32,6,0))</f>
        <v>0</v>
      </c>
      <c r="Q191" s="31">
        <f>VLOOKUP($A191,$A$4:$O$28,10,0)*(HLOOKUP(Q$179,'2.2.Brecha Efectiva x UdM'!$H$25:$AK$32,6,0))</f>
        <v>0</v>
      </c>
      <c r="R191" s="31">
        <f>VLOOKUP($A191,$A$4:$O$28,10,0)*(HLOOKUP(R$179,'2.2.Brecha Efectiva x UdM'!$H$25:$AK$32,6,0))</f>
        <v>0</v>
      </c>
      <c r="S191" s="31">
        <f>VLOOKUP($A191,$A$4:$O$28,10,0)*(HLOOKUP(S$179,'2.2.Brecha Efectiva x UdM'!$H$25:$AK$32,6,0))</f>
        <v>0</v>
      </c>
      <c r="T191" s="31">
        <f>VLOOKUP($A191,$A$4:$O$28,10,0)*(HLOOKUP(T$179,'2.2.Brecha Efectiva x UdM'!$H$25:$AK$32,6,0))</f>
        <v>0</v>
      </c>
      <c r="U191" s="31">
        <f>VLOOKUP($A191,$A$4:$O$28,10,0)*(HLOOKUP(U$179,'2.2.Brecha Efectiva x UdM'!$H$25:$AK$32,6,0))</f>
        <v>0</v>
      </c>
      <c r="V191" s="31">
        <f>VLOOKUP($A191,$A$4:$O$28,10,0)*(HLOOKUP(V$179,'2.2.Brecha Efectiva x UdM'!$H$25:$AK$32,6,0))</f>
        <v>0</v>
      </c>
      <c r="W191" s="31">
        <f>VLOOKUP($A191,$A$4:$O$28,10,0)*(HLOOKUP(W$179,'2.2.Brecha Efectiva x UdM'!$H$25:$AK$32,6,0))</f>
        <v>0</v>
      </c>
      <c r="X191" s="31">
        <f>VLOOKUP($A191,$A$4:$O$28,10,0)*(HLOOKUP(X$179,'2.2.Brecha Efectiva x UdM'!$H$25:$AK$32,6,0))</f>
        <v>0</v>
      </c>
      <c r="Y191" s="31">
        <f>VLOOKUP($A191,$A$4:$O$28,10,0)*(HLOOKUP(Y$179,'2.2.Brecha Efectiva x UdM'!$H$25:$AK$32,6,0))</f>
        <v>0</v>
      </c>
      <c r="Z191" s="31">
        <f>VLOOKUP($A191,$A$4:$O$28,10,0)*(HLOOKUP(Z$179,'2.2.Brecha Efectiva x UdM'!$H$25:$AK$32,6,0))</f>
        <v>0</v>
      </c>
      <c r="AA191" s="31">
        <f>VLOOKUP($A191,$A$4:$O$28,10,0)*(HLOOKUP(AA$179,'2.2.Brecha Efectiva x UdM'!$H$25:$AK$32,6,0))</f>
        <v>0</v>
      </c>
      <c r="AB191" s="31">
        <f>VLOOKUP($A191,$A$4:$O$28,10,0)*(HLOOKUP(AB$179,'2.2.Brecha Efectiva x UdM'!$H$25:$AK$32,6,0))</f>
        <v>0</v>
      </c>
      <c r="AC191" s="31">
        <f>VLOOKUP($A191,$A$4:$O$28,10,0)*(HLOOKUP(AC$179,'2.2.Brecha Efectiva x UdM'!$H$25:$AK$32,6,0))</f>
        <v>0</v>
      </c>
      <c r="AD191" s="31">
        <f>VLOOKUP($A191,$A$4:$O$28,10,0)*(HLOOKUP(AD$179,'2.2.Brecha Efectiva x UdM'!$H$25:$AK$32,6,0))</f>
        <v>0</v>
      </c>
      <c r="AE191" s="31">
        <f>VLOOKUP($A191,$A$4:$O$28,10,0)*(HLOOKUP(AE$179,'2.2.Brecha Efectiva x UdM'!$H$25:$AK$32,6,0))</f>
        <v>0</v>
      </c>
      <c r="AF191" s="31">
        <f>VLOOKUP($A191,$A$4:$O$28,10,0)*(HLOOKUP(AF$179,'2.2.Brecha Efectiva x UdM'!$H$25:$AK$32,6,0))</f>
        <v>0</v>
      </c>
      <c r="AG191" s="31">
        <f>VLOOKUP($A191,$A$4:$O$28,10,0)*(HLOOKUP(AG$179,'2.2.Brecha Efectiva x UdM'!$H$25:$AK$32,6,0))</f>
        <v>0</v>
      </c>
      <c r="AH191" s="63">
        <f t="shared" si="195"/>
        <v>0</v>
      </c>
    </row>
    <row r="192" spans="1:34" hidden="1" x14ac:dyDescent="0.2">
      <c r="A192" s="25" t="str">
        <f t="shared" si="192"/>
        <v>Mendoza</v>
      </c>
      <c r="B192" s="51">
        <f t="shared" si="193"/>
        <v>0</v>
      </c>
      <c r="C192" s="25" t="str">
        <f t="shared" si="194"/>
        <v>Mendoza 0</v>
      </c>
      <c r="D192" s="32">
        <f>VLOOKUP($A192,$A$4:$O$28,10,0)*(HLOOKUP(D$179,'2.2.Brecha Efectiva x UdM'!$H$25:$AK$32,6,0))</f>
        <v>0</v>
      </c>
      <c r="E192" s="32">
        <f>VLOOKUP($A192,$A$4:$O$28,10,0)*(HLOOKUP(E$179,'2.2.Brecha Efectiva x UdM'!$H$25:$AK$32,6,0))</f>
        <v>0</v>
      </c>
      <c r="F192" s="32">
        <f>VLOOKUP($A192,$A$4:$O$28,10,0)*(HLOOKUP(F$179,'2.2.Brecha Efectiva x UdM'!$H$25:$AK$32,6,0))</f>
        <v>0</v>
      </c>
      <c r="G192" s="32">
        <f>VLOOKUP($A192,$A$4:$O$28,10,0)*(HLOOKUP(G$179,'2.2.Brecha Efectiva x UdM'!$H$25:$AK$32,6,0))</f>
        <v>0</v>
      </c>
      <c r="H192" s="32">
        <f>VLOOKUP($A192,$A$4:$O$28,10,0)*(HLOOKUP(H$179,'2.2.Brecha Efectiva x UdM'!$H$25:$AK$32,6,0))</f>
        <v>0</v>
      </c>
      <c r="I192" s="32">
        <f>VLOOKUP($A192,$A$4:$O$28,10,0)*(HLOOKUP(I$179,'2.2.Brecha Efectiva x UdM'!$H$25:$AK$32,6,0))</f>
        <v>0</v>
      </c>
      <c r="J192" s="32">
        <f>VLOOKUP($A192,$A$4:$O$28,10,0)*(HLOOKUP(J$179,'2.2.Brecha Efectiva x UdM'!$H$25:$AK$32,6,0))</f>
        <v>0</v>
      </c>
      <c r="K192" s="32">
        <f>VLOOKUP($A192,$A$4:$O$28,10,0)*(HLOOKUP(K$179,'2.2.Brecha Efectiva x UdM'!$H$25:$AK$32,6,0))</f>
        <v>0</v>
      </c>
      <c r="L192" s="32">
        <f>VLOOKUP($A192,$A$4:$O$28,10,0)*(HLOOKUP(L$179,'2.2.Brecha Efectiva x UdM'!$H$25:$AK$32,6,0))</f>
        <v>0</v>
      </c>
      <c r="M192" s="32">
        <f>VLOOKUP($A192,$A$4:$O$28,10,0)*(HLOOKUP(M$179,'2.2.Brecha Efectiva x UdM'!$H$25:$AK$32,6,0))</f>
        <v>0</v>
      </c>
      <c r="N192" s="32">
        <f>VLOOKUP($A192,$A$4:$O$28,10,0)*(HLOOKUP(N$179,'2.2.Brecha Efectiva x UdM'!$H$25:$AK$32,6,0))</f>
        <v>0</v>
      </c>
      <c r="O192" s="32">
        <f>VLOOKUP($A192,$A$4:$O$28,10,0)*(HLOOKUP(O$179,'2.2.Brecha Efectiva x UdM'!$H$25:$AK$32,6,0))</f>
        <v>0</v>
      </c>
      <c r="P192" s="32">
        <f>VLOOKUP($A192,$A$4:$O$28,10,0)*(HLOOKUP(P$179,'2.2.Brecha Efectiva x UdM'!$H$25:$AK$32,6,0))</f>
        <v>0</v>
      </c>
      <c r="Q192" s="32">
        <f>VLOOKUP($A192,$A$4:$O$28,10,0)*(HLOOKUP(Q$179,'2.2.Brecha Efectiva x UdM'!$H$25:$AK$32,6,0))</f>
        <v>0</v>
      </c>
      <c r="R192" s="32">
        <f>VLOOKUP($A192,$A$4:$O$28,10,0)*(HLOOKUP(R$179,'2.2.Brecha Efectiva x UdM'!$H$25:$AK$32,6,0))</f>
        <v>0</v>
      </c>
      <c r="S192" s="32">
        <f>VLOOKUP($A192,$A$4:$O$28,10,0)*(HLOOKUP(S$179,'2.2.Brecha Efectiva x UdM'!$H$25:$AK$32,6,0))</f>
        <v>0</v>
      </c>
      <c r="T192" s="32">
        <f>VLOOKUP($A192,$A$4:$O$28,10,0)*(HLOOKUP(T$179,'2.2.Brecha Efectiva x UdM'!$H$25:$AK$32,6,0))</f>
        <v>0</v>
      </c>
      <c r="U192" s="32">
        <f>VLOOKUP($A192,$A$4:$O$28,10,0)*(HLOOKUP(U$179,'2.2.Brecha Efectiva x UdM'!$H$25:$AK$32,6,0))</f>
        <v>0</v>
      </c>
      <c r="V192" s="32">
        <f>VLOOKUP($A192,$A$4:$O$28,10,0)*(HLOOKUP(V$179,'2.2.Brecha Efectiva x UdM'!$H$25:$AK$32,6,0))</f>
        <v>0</v>
      </c>
      <c r="W192" s="32">
        <f>VLOOKUP($A192,$A$4:$O$28,10,0)*(HLOOKUP(W$179,'2.2.Brecha Efectiva x UdM'!$H$25:$AK$32,6,0))</f>
        <v>0</v>
      </c>
      <c r="X192" s="32">
        <f>VLOOKUP($A192,$A$4:$O$28,10,0)*(HLOOKUP(X$179,'2.2.Brecha Efectiva x UdM'!$H$25:$AK$32,6,0))</f>
        <v>0</v>
      </c>
      <c r="Y192" s="32">
        <f>VLOOKUP($A192,$A$4:$O$28,10,0)*(HLOOKUP(Y$179,'2.2.Brecha Efectiva x UdM'!$H$25:$AK$32,6,0))</f>
        <v>0</v>
      </c>
      <c r="Z192" s="32">
        <f>VLOOKUP($A192,$A$4:$O$28,10,0)*(HLOOKUP(Z$179,'2.2.Brecha Efectiva x UdM'!$H$25:$AK$32,6,0))</f>
        <v>0</v>
      </c>
      <c r="AA192" s="32">
        <f>VLOOKUP($A192,$A$4:$O$28,10,0)*(HLOOKUP(AA$179,'2.2.Brecha Efectiva x UdM'!$H$25:$AK$32,6,0))</f>
        <v>0</v>
      </c>
      <c r="AB192" s="32">
        <f>VLOOKUP($A192,$A$4:$O$28,10,0)*(HLOOKUP(AB$179,'2.2.Brecha Efectiva x UdM'!$H$25:$AK$32,6,0))</f>
        <v>0</v>
      </c>
      <c r="AC192" s="32">
        <f>VLOOKUP($A192,$A$4:$O$28,10,0)*(HLOOKUP(AC$179,'2.2.Brecha Efectiva x UdM'!$H$25:$AK$32,6,0))</f>
        <v>0</v>
      </c>
      <c r="AD192" s="32">
        <f>VLOOKUP($A192,$A$4:$O$28,10,0)*(HLOOKUP(AD$179,'2.2.Brecha Efectiva x UdM'!$H$25:$AK$32,6,0))</f>
        <v>0</v>
      </c>
      <c r="AE192" s="32">
        <f>VLOOKUP($A192,$A$4:$O$28,10,0)*(HLOOKUP(AE$179,'2.2.Brecha Efectiva x UdM'!$H$25:$AK$32,6,0))</f>
        <v>0</v>
      </c>
      <c r="AF192" s="32">
        <f>VLOOKUP($A192,$A$4:$O$28,10,0)*(HLOOKUP(AF$179,'2.2.Brecha Efectiva x UdM'!$H$25:$AK$32,6,0))</f>
        <v>0</v>
      </c>
      <c r="AG192" s="32">
        <f>VLOOKUP($A192,$A$4:$O$28,10,0)*(HLOOKUP(AG$179,'2.2.Brecha Efectiva x UdM'!$H$25:$AK$32,6,0))</f>
        <v>0</v>
      </c>
      <c r="AH192" s="62">
        <f t="shared" si="195"/>
        <v>0</v>
      </c>
    </row>
    <row r="193" spans="1:34" hidden="1" x14ac:dyDescent="0.2">
      <c r="A193" s="26" t="str">
        <f t="shared" si="192"/>
        <v>Misiones</v>
      </c>
      <c r="B193" s="52">
        <f t="shared" si="193"/>
        <v>0</v>
      </c>
      <c r="C193" s="26" t="str">
        <f t="shared" si="194"/>
        <v>Misiones 0</v>
      </c>
      <c r="D193" s="31">
        <f>VLOOKUP($A193,$A$4:$O$28,10,0)*(HLOOKUP(D$179,'2.2.Brecha Efectiva x UdM'!$H$25:$AK$32,6,0))</f>
        <v>0</v>
      </c>
      <c r="E193" s="31">
        <f>VLOOKUP($A193,$A$4:$O$28,10,0)*(HLOOKUP(E$179,'2.2.Brecha Efectiva x UdM'!$H$25:$AK$32,6,0))</f>
        <v>0</v>
      </c>
      <c r="F193" s="31">
        <f>VLOOKUP($A193,$A$4:$O$28,10,0)*(HLOOKUP(F$179,'2.2.Brecha Efectiva x UdM'!$H$25:$AK$32,6,0))</f>
        <v>0</v>
      </c>
      <c r="G193" s="31">
        <f>VLOOKUP($A193,$A$4:$O$28,10,0)*(HLOOKUP(G$179,'2.2.Brecha Efectiva x UdM'!$H$25:$AK$32,6,0))</f>
        <v>0</v>
      </c>
      <c r="H193" s="31">
        <f>VLOOKUP($A193,$A$4:$O$28,10,0)*(HLOOKUP(H$179,'2.2.Brecha Efectiva x UdM'!$H$25:$AK$32,6,0))</f>
        <v>0</v>
      </c>
      <c r="I193" s="31">
        <f>VLOOKUP($A193,$A$4:$O$28,10,0)*(HLOOKUP(I$179,'2.2.Brecha Efectiva x UdM'!$H$25:$AK$32,6,0))</f>
        <v>0</v>
      </c>
      <c r="J193" s="31">
        <f>VLOOKUP($A193,$A$4:$O$28,10,0)*(HLOOKUP(J$179,'2.2.Brecha Efectiva x UdM'!$H$25:$AK$32,6,0))</f>
        <v>0</v>
      </c>
      <c r="K193" s="31">
        <f>VLOOKUP($A193,$A$4:$O$28,10,0)*(HLOOKUP(K$179,'2.2.Brecha Efectiva x UdM'!$H$25:$AK$32,6,0))</f>
        <v>0</v>
      </c>
      <c r="L193" s="31">
        <f>VLOOKUP($A193,$A$4:$O$28,10,0)*(HLOOKUP(L$179,'2.2.Brecha Efectiva x UdM'!$H$25:$AK$32,6,0))</f>
        <v>0</v>
      </c>
      <c r="M193" s="31">
        <f>VLOOKUP($A193,$A$4:$O$28,10,0)*(HLOOKUP(M$179,'2.2.Brecha Efectiva x UdM'!$H$25:$AK$32,6,0))</f>
        <v>0</v>
      </c>
      <c r="N193" s="31">
        <f>VLOOKUP($A193,$A$4:$O$28,10,0)*(HLOOKUP(N$179,'2.2.Brecha Efectiva x UdM'!$H$25:$AK$32,6,0))</f>
        <v>0</v>
      </c>
      <c r="O193" s="31">
        <f>VLOOKUP($A193,$A$4:$O$28,10,0)*(HLOOKUP(O$179,'2.2.Brecha Efectiva x UdM'!$H$25:$AK$32,6,0))</f>
        <v>0</v>
      </c>
      <c r="P193" s="31">
        <f>VLOOKUP($A193,$A$4:$O$28,10,0)*(HLOOKUP(P$179,'2.2.Brecha Efectiva x UdM'!$H$25:$AK$32,6,0))</f>
        <v>0</v>
      </c>
      <c r="Q193" s="31">
        <f>VLOOKUP($A193,$A$4:$O$28,10,0)*(HLOOKUP(Q$179,'2.2.Brecha Efectiva x UdM'!$H$25:$AK$32,6,0))</f>
        <v>0</v>
      </c>
      <c r="R193" s="31">
        <f>VLOOKUP($A193,$A$4:$O$28,10,0)*(HLOOKUP(R$179,'2.2.Brecha Efectiva x UdM'!$H$25:$AK$32,6,0))</f>
        <v>0</v>
      </c>
      <c r="S193" s="31">
        <f>VLOOKUP($A193,$A$4:$O$28,10,0)*(HLOOKUP(S$179,'2.2.Brecha Efectiva x UdM'!$H$25:$AK$32,6,0))</f>
        <v>0</v>
      </c>
      <c r="T193" s="31">
        <f>VLOOKUP($A193,$A$4:$O$28,10,0)*(HLOOKUP(T$179,'2.2.Brecha Efectiva x UdM'!$H$25:$AK$32,6,0))</f>
        <v>0</v>
      </c>
      <c r="U193" s="31">
        <f>VLOOKUP($A193,$A$4:$O$28,10,0)*(HLOOKUP(U$179,'2.2.Brecha Efectiva x UdM'!$H$25:$AK$32,6,0))</f>
        <v>0</v>
      </c>
      <c r="V193" s="31">
        <f>VLOOKUP($A193,$A$4:$O$28,10,0)*(HLOOKUP(V$179,'2.2.Brecha Efectiva x UdM'!$H$25:$AK$32,6,0))</f>
        <v>0</v>
      </c>
      <c r="W193" s="31">
        <f>VLOOKUP($A193,$A$4:$O$28,10,0)*(HLOOKUP(W$179,'2.2.Brecha Efectiva x UdM'!$H$25:$AK$32,6,0))</f>
        <v>0</v>
      </c>
      <c r="X193" s="31">
        <f>VLOOKUP($A193,$A$4:$O$28,10,0)*(HLOOKUP(X$179,'2.2.Brecha Efectiva x UdM'!$H$25:$AK$32,6,0))</f>
        <v>0</v>
      </c>
      <c r="Y193" s="31">
        <f>VLOOKUP($A193,$A$4:$O$28,10,0)*(HLOOKUP(Y$179,'2.2.Brecha Efectiva x UdM'!$H$25:$AK$32,6,0))</f>
        <v>0</v>
      </c>
      <c r="Z193" s="31">
        <f>VLOOKUP($A193,$A$4:$O$28,10,0)*(HLOOKUP(Z$179,'2.2.Brecha Efectiva x UdM'!$H$25:$AK$32,6,0))</f>
        <v>0</v>
      </c>
      <c r="AA193" s="31">
        <f>VLOOKUP($A193,$A$4:$O$28,10,0)*(HLOOKUP(AA$179,'2.2.Brecha Efectiva x UdM'!$H$25:$AK$32,6,0))</f>
        <v>0</v>
      </c>
      <c r="AB193" s="31">
        <f>VLOOKUP($A193,$A$4:$O$28,10,0)*(HLOOKUP(AB$179,'2.2.Brecha Efectiva x UdM'!$H$25:$AK$32,6,0))</f>
        <v>0</v>
      </c>
      <c r="AC193" s="31">
        <f>VLOOKUP($A193,$A$4:$O$28,10,0)*(HLOOKUP(AC$179,'2.2.Brecha Efectiva x UdM'!$H$25:$AK$32,6,0))</f>
        <v>0</v>
      </c>
      <c r="AD193" s="31">
        <f>VLOOKUP($A193,$A$4:$O$28,10,0)*(HLOOKUP(AD$179,'2.2.Brecha Efectiva x UdM'!$H$25:$AK$32,6,0))</f>
        <v>0</v>
      </c>
      <c r="AE193" s="31">
        <f>VLOOKUP($A193,$A$4:$O$28,10,0)*(HLOOKUP(AE$179,'2.2.Brecha Efectiva x UdM'!$H$25:$AK$32,6,0))</f>
        <v>0</v>
      </c>
      <c r="AF193" s="31">
        <f>VLOOKUP($A193,$A$4:$O$28,10,0)*(HLOOKUP(AF$179,'2.2.Brecha Efectiva x UdM'!$H$25:$AK$32,6,0))</f>
        <v>0</v>
      </c>
      <c r="AG193" s="31">
        <f>VLOOKUP($A193,$A$4:$O$28,10,0)*(HLOOKUP(AG$179,'2.2.Brecha Efectiva x UdM'!$H$25:$AK$32,6,0))</f>
        <v>0</v>
      </c>
      <c r="AH193" s="63">
        <f t="shared" si="195"/>
        <v>0</v>
      </c>
    </row>
    <row r="194" spans="1:34" hidden="1" x14ac:dyDescent="0.2">
      <c r="A194" s="25" t="str">
        <f t="shared" si="192"/>
        <v>Neuquén</v>
      </c>
      <c r="B194" s="51">
        <f t="shared" si="193"/>
        <v>0</v>
      </c>
      <c r="C194" s="25" t="str">
        <f t="shared" si="194"/>
        <v>Neuquén 0</v>
      </c>
      <c r="D194" s="32">
        <f>VLOOKUP($A194,$A$4:$O$28,10,0)*(HLOOKUP(D$179,'2.2.Brecha Efectiva x UdM'!$H$25:$AK$32,6,0))</f>
        <v>0</v>
      </c>
      <c r="E194" s="32">
        <f>VLOOKUP($A194,$A$4:$O$28,10,0)*(HLOOKUP(E$179,'2.2.Brecha Efectiva x UdM'!$H$25:$AK$32,6,0))</f>
        <v>0</v>
      </c>
      <c r="F194" s="32">
        <f>VLOOKUP($A194,$A$4:$O$28,10,0)*(HLOOKUP(F$179,'2.2.Brecha Efectiva x UdM'!$H$25:$AK$32,6,0))</f>
        <v>0</v>
      </c>
      <c r="G194" s="32">
        <f>VLOOKUP($A194,$A$4:$O$28,10,0)*(HLOOKUP(G$179,'2.2.Brecha Efectiva x UdM'!$H$25:$AK$32,6,0))</f>
        <v>0</v>
      </c>
      <c r="H194" s="32">
        <f>VLOOKUP($A194,$A$4:$O$28,10,0)*(HLOOKUP(H$179,'2.2.Brecha Efectiva x UdM'!$H$25:$AK$32,6,0))</f>
        <v>0</v>
      </c>
      <c r="I194" s="32">
        <f>VLOOKUP($A194,$A$4:$O$28,10,0)*(HLOOKUP(I$179,'2.2.Brecha Efectiva x UdM'!$H$25:$AK$32,6,0))</f>
        <v>0</v>
      </c>
      <c r="J194" s="32">
        <f>VLOOKUP($A194,$A$4:$O$28,10,0)*(HLOOKUP(J$179,'2.2.Brecha Efectiva x UdM'!$H$25:$AK$32,6,0))</f>
        <v>0</v>
      </c>
      <c r="K194" s="32">
        <f>VLOOKUP($A194,$A$4:$O$28,10,0)*(HLOOKUP(K$179,'2.2.Brecha Efectiva x UdM'!$H$25:$AK$32,6,0))</f>
        <v>0</v>
      </c>
      <c r="L194" s="32">
        <f>VLOOKUP($A194,$A$4:$O$28,10,0)*(HLOOKUP(L$179,'2.2.Brecha Efectiva x UdM'!$H$25:$AK$32,6,0))</f>
        <v>0</v>
      </c>
      <c r="M194" s="32">
        <f>VLOOKUP($A194,$A$4:$O$28,10,0)*(HLOOKUP(M$179,'2.2.Brecha Efectiva x UdM'!$H$25:$AK$32,6,0))</f>
        <v>0</v>
      </c>
      <c r="N194" s="32">
        <f>VLOOKUP($A194,$A$4:$O$28,10,0)*(HLOOKUP(N$179,'2.2.Brecha Efectiva x UdM'!$H$25:$AK$32,6,0))</f>
        <v>0</v>
      </c>
      <c r="O194" s="32">
        <f>VLOOKUP($A194,$A$4:$O$28,10,0)*(HLOOKUP(O$179,'2.2.Brecha Efectiva x UdM'!$H$25:$AK$32,6,0))</f>
        <v>0</v>
      </c>
      <c r="P194" s="32">
        <f>VLOOKUP($A194,$A$4:$O$28,10,0)*(HLOOKUP(P$179,'2.2.Brecha Efectiva x UdM'!$H$25:$AK$32,6,0))</f>
        <v>0</v>
      </c>
      <c r="Q194" s="32">
        <f>VLOOKUP($A194,$A$4:$O$28,10,0)*(HLOOKUP(Q$179,'2.2.Brecha Efectiva x UdM'!$H$25:$AK$32,6,0))</f>
        <v>0</v>
      </c>
      <c r="R194" s="32">
        <f>VLOOKUP($A194,$A$4:$O$28,10,0)*(HLOOKUP(R$179,'2.2.Brecha Efectiva x UdM'!$H$25:$AK$32,6,0))</f>
        <v>0</v>
      </c>
      <c r="S194" s="32">
        <f>VLOOKUP($A194,$A$4:$O$28,10,0)*(HLOOKUP(S$179,'2.2.Brecha Efectiva x UdM'!$H$25:$AK$32,6,0))</f>
        <v>0</v>
      </c>
      <c r="T194" s="32">
        <f>VLOOKUP($A194,$A$4:$O$28,10,0)*(HLOOKUP(T$179,'2.2.Brecha Efectiva x UdM'!$H$25:$AK$32,6,0))</f>
        <v>0</v>
      </c>
      <c r="U194" s="32">
        <f>VLOOKUP($A194,$A$4:$O$28,10,0)*(HLOOKUP(U$179,'2.2.Brecha Efectiva x UdM'!$H$25:$AK$32,6,0))</f>
        <v>0</v>
      </c>
      <c r="V194" s="32">
        <f>VLOOKUP($A194,$A$4:$O$28,10,0)*(HLOOKUP(V$179,'2.2.Brecha Efectiva x UdM'!$H$25:$AK$32,6,0))</f>
        <v>0</v>
      </c>
      <c r="W194" s="32">
        <f>VLOOKUP($A194,$A$4:$O$28,10,0)*(HLOOKUP(W$179,'2.2.Brecha Efectiva x UdM'!$H$25:$AK$32,6,0))</f>
        <v>0</v>
      </c>
      <c r="X194" s="32">
        <f>VLOOKUP($A194,$A$4:$O$28,10,0)*(HLOOKUP(X$179,'2.2.Brecha Efectiva x UdM'!$H$25:$AK$32,6,0))</f>
        <v>0</v>
      </c>
      <c r="Y194" s="32">
        <f>VLOOKUP($A194,$A$4:$O$28,10,0)*(HLOOKUP(Y$179,'2.2.Brecha Efectiva x UdM'!$H$25:$AK$32,6,0))</f>
        <v>0</v>
      </c>
      <c r="Z194" s="32">
        <f>VLOOKUP($A194,$A$4:$O$28,10,0)*(HLOOKUP(Z$179,'2.2.Brecha Efectiva x UdM'!$H$25:$AK$32,6,0))</f>
        <v>0</v>
      </c>
      <c r="AA194" s="32">
        <f>VLOOKUP($A194,$A$4:$O$28,10,0)*(HLOOKUP(AA$179,'2.2.Brecha Efectiva x UdM'!$H$25:$AK$32,6,0))</f>
        <v>0</v>
      </c>
      <c r="AB194" s="32">
        <f>VLOOKUP($A194,$A$4:$O$28,10,0)*(HLOOKUP(AB$179,'2.2.Brecha Efectiva x UdM'!$H$25:$AK$32,6,0))</f>
        <v>0</v>
      </c>
      <c r="AC194" s="32">
        <f>VLOOKUP($A194,$A$4:$O$28,10,0)*(HLOOKUP(AC$179,'2.2.Brecha Efectiva x UdM'!$H$25:$AK$32,6,0))</f>
        <v>0</v>
      </c>
      <c r="AD194" s="32">
        <f>VLOOKUP($A194,$A$4:$O$28,10,0)*(HLOOKUP(AD$179,'2.2.Brecha Efectiva x UdM'!$H$25:$AK$32,6,0))</f>
        <v>0</v>
      </c>
      <c r="AE194" s="32">
        <f>VLOOKUP($A194,$A$4:$O$28,10,0)*(HLOOKUP(AE$179,'2.2.Brecha Efectiva x UdM'!$H$25:$AK$32,6,0))</f>
        <v>0</v>
      </c>
      <c r="AF194" s="32">
        <f>VLOOKUP($A194,$A$4:$O$28,10,0)*(HLOOKUP(AF$179,'2.2.Brecha Efectiva x UdM'!$H$25:$AK$32,6,0))</f>
        <v>0</v>
      </c>
      <c r="AG194" s="32">
        <f>VLOOKUP($A194,$A$4:$O$28,10,0)*(HLOOKUP(AG$179,'2.2.Brecha Efectiva x UdM'!$H$25:$AK$32,6,0))</f>
        <v>0</v>
      </c>
      <c r="AH194" s="62">
        <f t="shared" si="195"/>
        <v>0</v>
      </c>
    </row>
    <row r="195" spans="1:34" hidden="1" x14ac:dyDescent="0.2">
      <c r="A195" s="26" t="str">
        <f t="shared" si="192"/>
        <v>Río Negro</v>
      </c>
      <c r="B195" s="52">
        <f t="shared" si="193"/>
        <v>0</v>
      </c>
      <c r="C195" s="26" t="str">
        <f t="shared" si="194"/>
        <v>Río Negro 0</v>
      </c>
      <c r="D195" s="31">
        <f>VLOOKUP($A195,$A$4:$O$28,10,0)*(HLOOKUP(D$179,'2.2.Brecha Efectiva x UdM'!$H$25:$AK$32,6,0))</f>
        <v>0</v>
      </c>
      <c r="E195" s="31">
        <f>VLOOKUP($A195,$A$4:$O$28,10,0)*(HLOOKUP(E$179,'2.2.Brecha Efectiva x UdM'!$H$25:$AK$32,6,0))</f>
        <v>0</v>
      </c>
      <c r="F195" s="31">
        <f>VLOOKUP($A195,$A$4:$O$28,10,0)*(HLOOKUP(F$179,'2.2.Brecha Efectiva x UdM'!$H$25:$AK$32,6,0))</f>
        <v>0</v>
      </c>
      <c r="G195" s="31">
        <f>VLOOKUP($A195,$A$4:$O$28,10,0)*(HLOOKUP(G$179,'2.2.Brecha Efectiva x UdM'!$H$25:$AK$32,6,0))</f>
        <v>0</v>
      </c>
      <c r="H195" s="31">
        <f>VLOOKUP($A195,$A$4:$O$28,10,0)*(HLOOKUP(H$179,'2.2.Brecha Efectiva x UdM'!$H$25:$AK$32,6,0))</f>
        <v>0</v>
      </c>
      <c r="I195" s="31">
        <f>VLOOKUP($A195,$A$4:$O$28,10,0)*(HLOOKUP(I$179,'2.2.Brecha Efectiva x UdM'!$H$25:$AK$32,6,0))</f>
        <v>0</v>
      </c>
      <c r="J195" s="31">
        <f>VLOOKUP($A195,$A$4:$O$28,10,0)*(HLOOKUP(J$179,'2.2.Brecha Efectiva x UdM'!$H$25:$AK$32,6,0))</f>
        <v>0</v>
      </c>
      <c r="K195" s="31">
        <f>VLOOKUP($A195,$A$4:$O$28,10,0)*(HLOOKUP(K$179,'2.2.Brecha Efectiva x UdM'!$H$25:$AK$32,6,0))</f>
        <v>0</v>
      </c>
      <c r="L195" s="31">
        <f>VLOOKUP($A195,$A$4:$O$28,10,0)*(HLOOKUP(L$179,'2.2.Brecha Efectiva x UdM'!$H$25:$AK$32,6,0))</f>
        <v>0</v>
      </c>
      <c r="M195" s="31">
        <f>VLOOKUP($A195,$A$4:$O$28,10,0)*(HLOOKUP(M$179,'2.2.Brecha Efectiva x UdM'!$H$25:$AK$32,6,0))</f>
        <v>0</v>
      </c>
      <c r="N195" s="31">
        <f>VLOOKUP($A195,$A$4:$O$28,10,0)*(HLOOKUP(N$179,'2.2.Brecha Efectiva x UdM'!$H$25:$AK$32,6,0))</f>
        <v>0</v>
      </c>
      <c r="O195" s="31">
        <f>VLOOKUP($A195,$A$4:$O$28,10,0)*(HLOOKUP(O$179,'2.2.Brecha Efectiva x UdM'!$H$25:$AK$32,6,0))</f>
        <v>0</v>
      </c>
      <c r="P195" s="31">
        <f>VLOOKUP($A195,$A$4:$O$28,10,0)*(HLOOKUP(P$179,'2.2.Brecha Efectiva x UdM'!$H$25:$AK$32,6,0))</f>
        <v>0</v>
      </c>
      <c r="Q195" s="31">
        <f>VLOOKUP($A195,$A$4:$O$28,10,0)*(HLOOKUP(Q$179,'2.2.Brecha Efectiva x UdM'!$H$25:$AK$32,6,0))</f>
        <v>0</v>
      </c>
      <c r="R195" s="31">
        <f>VLOOKUP($A195,$A$4:$O$28,10,0)*(HLOOKUP(R$179,'2.2.Brecha Efectiva x UdM'!$H$25:$AK$32,6,0))</f>
        <v>0</v>
      </c>
      <c r="S195" s="31">
        <f>VLOOKUP($A195,$A$4:$O$28,10,0)*(HLOOKUP(S$179,'2.2.Brecha Efectiva x UdM'!$H$25:$AK$32,6,0))</f>
        <v>0</v>
      </c>
      <c r="T195" s="31">
        <f>VLOOKUP($A195,$A$4:$O$28,10,0)*(HLOOKUP(T$179,'2.2.Brecha Efectiva x UdM'!$H$25:$AK$32,6,0))</f>
        <v>0</v>
      </c>
      <c r="U195" s="31">
        <f>VLOOKUP($A195,$A$4:$O$28,10,0)*(HLOOKUP(U$179,'2.2.Brecha Efectiva x UdM'!$H$25:$AK$32,6,0))</f>
        <v>0</v>
      </c>
      <c r="V195" s="31">
        <f>VLOOKUP($A195,$A$4:$O$28,10,0)*(HLOOKUP(V$179,'2.2.Brecha Efectiva x UdM'!$H$25:$AK$32,6,0))</f>
        <v>0</v>
      </c>
      <c r="W195" s="31">
        <f>VLOOKUP($A195,$A$4:$O$28,10,0)*(HLOOKUP(W$179,'2.2.Brecha Efectiva x UdM'!$H$25:$AK$32,6,0))</f>
        <v>0</v>
      </c>
      <c r="X195" s="31">
        <f>VLOOKUP($A195,$A$4:$O$28,10,0)*(HLOOKUP(X$179,'2.2.Brecha Efectiva x UdM'!$H$25:$AK$32,6,0))</f>
        <v>0</v>
      </c>
      <c r="Y195" s="31">
        <f>VLOOKUP($A195,$A$4:$O$28,10,0)*(HLOOKUP(Y$179,'2.2.Brecha Efectiva x UdM'!$H$25:$AK$32,6,0))</f>
        <v>0</v>
      </c>
      <c r="Z195" s="31">
        <f>VLOOKUP($A195,$A$4:$O$28,10,0)*(HLOOKUP(Z$179,'2.2.Brecha Efectiva x UdM'!$H$25:$AK$32,6,0))</f>
        <v>0</v>
      </c>
      <c r="AA195" s="31">
        <f>VLOOKUP($A195,$A$4:$O$28,10,0)*(HLOOKUP(AA$179,'2.2.Brecha Efectiva x UdM'!$H$25:$AK$32,6,0))</f>
        <v>0</v>
      </c>
      <c r="AB195" s="31">
        <f>VLOOKUP($A195,$A$4:$O$28,10,0)*(HLOOKUP(AB$179,'2.2.Brecha Efectiva x UdM'!$H$25:$AK$32,6,0))</f>
        <v>0</v>
      </c>
      <c r="AC195" s="31">
        <f>VLOOKUP($A195,$A$4:$O$28,10,0)*(HLOOKUP(AC$179,'2.2.Brecha Efectiva x UdM'!$H$25:$AK$32,6,0))</f>
        <v>0</v>
      </c>
      <c r="AD195" s="31">
        <f>VLOOKUP($A195,$A$4:$O$28,10,0)*(HLOOKUP(AD$179,'2.2.Brecha Efectiva x UdM'!$H$25:$AK$32,6,0))</f>
        <v>0</v>
      </c>
      <c r="AE195" s="31">
        <f>VLOOKUP($A195,$A$4:$O$28,10,0)*(HLOOKUP(AE$179,'2.2.Brecha Efectiva x UdM'!$H$25:$AK$32,6,0))</f>
        <v>0</v>
      </c>
      <c r="AF195" s="31">
        <f>VLOOKUP($A195,$A$4:$O$28,10,0)*(HLOOKUP(AF$179,'2.2.Brecha Efectiva x UdM'!$H$25:$AK$32,6,0))</f>
        <v>0</v>
      </c>
      <c r="AG195" s="31">
        <f>VLOOKUP($A195,$A$4:$O$28,10,0)*(HLOOKUP(AG$179,'2.2.Brecha Efectiva x UdM'!$H$25:$AK$32,6,0))</f>
        <v>0</v>
      </c>
      <c r="AH195" s="63">
        <f t="shared" si="195"/>
        <v>0</v>
      </c>
    </row>
    <row r="196" spans="1:34" hidden="1" x14ac:dyDescent="0.2">
      <c r="A196" s="25" t="str">
        <f t="shared" si="192"/>
        <v>Salta</v>
      </c>
      <c r="B196" s="51">
        <f t="shared" si="193"/>
        <v>0</v>
      </c>
      <c r="C196" s="25" t="str">
        <f t="shared" si="194"/>
        <v>Salta 0</v>
      </c>
      <c r="D196" s="32">
        <f>VLOOKUP($A196,$A$4:$O$28,10,0)*(HLOOKUP(D$179,'2.2.Brecha Efectiva x UdM'!$H$25:$AK$32,6,0))</f>
        <v>0</v>
      </c>
      <c r="E196" s="32">
        <f>VLOOKUP($A196,$A$4:$O$28,10,0)*(HLOOKUP(E$179,'2.2.Brecha Efectiva x UdM'!$H$25:$AK$32,6,0))</f>
        <v>0</v>
      </c>
      <c r="F196" s="32">
        <f>VLOOKUP($A196,$A$4:$O$28,10,0)*(HLOOKUP(F$179,'2.2.Brecha Efectiva x UdM'!$H$25:$AK$32,6,0))</f>
        <v>0</v>
      </c>
      <c r="G196" s="32">
        <f>VLOOKUP($A196,$A$4:$O$28,10,0)*(HLOOKUP(G$179,'2.2.Brecha Efectiva x UdM'!$H$25:$AK$32,6,0))</f>
        <v>0</v>
      </c>
      <c r="H196" s="32">
        <f>VLOOKUP($A196,$A$4:$O$28,10,0)*(HLOOKUP(H$179,'2.2.Brecha Efectiva x UdM'!$H$25:$AK$32,6,0))</f>
        <v>0</v>
      </c>
      <c r="I196" s="32">
        <f>VLOOKUP($A196,$A$4:$O$28,10,0)*(HLOOKUP(I$179,'2.2.Brecha Efectiva x UdM'!$H$25:$AK$32,6,0))</f>
        <v>0</v>
      </c>
      <c r="J196" s="32">
        <f>VLOOKUP($A196,$A$4:$O$28,10,0)*(HLOOKUP(J$179,'2.2.Brecha Efectiva x UdM'!$H$25:$AK$32,6,0))</f>
        <v>0</v>
      </c>
      <c r="K196" s="32">
        <f>VLOOKUP($A196,$A$4:$O$28,10,0)*(HLOOKUP(K$179,'2.2.Brecha Efectiva x UdM'!$H$25:$AK$32,6,0))</f>
        <v>0</v>
      </c>
      <c r="L196" s="32">
        <f>VLOOKUP($A196,$A$4:$O$28,10,0)*(HLOOKUP(L$179,'2.2.Brecha Efectiva x UdM'!$H$25:$AK$32,6,0))</f>
        <v>0</v>
      </c>
      <c r="M196" s="32">
        <f>VLOOKUP($A196,$A$4:$O$28,10,0)*(HLOOKUP(M$179,'2.2.Brecha Efectiva x UdM'!$H$25:$AK$32,6,0))</f>
        <v>0</v>
      </c>
      <c r="N196" s="32">
        <f>VLOOKUP($A196,$A$4:$O$28,10,0)*(HLOOKUP(N$179,'2.2.Brecha Efectiva x UdM'!$H$25:$AK$32,6,0))</f>
        <v>0</v>
      </c>
      <c r="O196" s="32">
        <f>VLOOKUP($A196,$A$4:$O$28,10,0)*(HLOOKUP(O$179,'2.2.Brecha Efectiva x UdM'!$H$25:$AK$32,6,0))</f>
        <v>0</v>
      </c>
      <c r="P196" s="32">
        <f>VLOOKUP($A196,$A$4:$O$28,10,0)*(HLOOKUP(P$179,'2.2.Brecha Efectiva x UdM'!$H$25:$AK$32,6,0))</f>
        <v>0</v>
      </c>
      <c r="Q196" s="32">
        <f>VLOOKUP($A196,$A$4:$O$28,10,0)*(HLOOKUP(Q$179,'2.2.Brecha Efectiva x UdM'!$H$25:$AK$32,6,0))</f>
        <v>0</v>
      </c>
      <c r="R196" s="32">
        <f>VLOOKUP($A196,$A$4:$O$28,10,0)*(HLOOKUP(R$179,'2.2.Brecha Efectiva x UdM'!$H$25:$AK$32,6,0))</f>
        <v>0</v>
      </c>
      <c r="S196" s="32">
        <f>VLOOKUP($A196,$A$4:$O$28,10,0)*(HLOOKUP(S$179,'2.2.Brecha Efectiva x UdM'!$H$25:$AK$32,6,0))</f>
        <v>0</v>
      </c>
      <c r="T196" s="32">
        <f>VLOOKUP($A196,$A$4:$O$28,10,0)*(HLOOKUP(T$179,'2.2.Brecha Efectiva x UdM'!$H$25:$AK$32,6,0))</f>
        <v>0</v>
      </c>
      <c r="U196" s="32">
        <f>VLOOKUP($A196,$A$4:$O$28,10,0)*(HLOOKUP(U$179,'2.2.Brecha Efectiva x UdM'!$H$25:$AK$32,6,0))</f>
        <v>0</v>
      </c>
      <c r="V196" s="32">
        <f>VLOOKUP($A196,$A$4:$O$28,10,0)*(HLOOKUP(V$179,'2.2.Brecha Efectiva x UdM'!$H$25:$AK$32,6,0))</f>
        <v>0</v>
      </c>
      <c r="W196" s="32">
        <f>VLOOKUP($A196,$A$4:$O$28,10,0)*(HLOOKUP(W$179,'2.2.Brecha Efectiva x UdM'!$H$25:$AK$32,6,0))</f>
        <v>0</v>
      </c>
      <c r="X196" s="32">
        <f>VLOOKUP($A196,$A$4:$O$28,10,0)*(HLOOKUP(X$179,'2.2.Brecha Efectiva x UdM'!$H$25:$AK$32,6,0))</f>
        <v>0</v>
      </c>
      <c r="Y196" s="32">
        <f>VLOOKUP($A196,$A$4:$O$28,10,0)*(HLOOKUP(Y$179,'2.2.Brecha Efectiva x UdM'!$H$25:$AK$32,6,0))</f>
        <v>0</v>
      </c>
      <c r="Z196" s="32">
        <f>VLOOKUP($A196,$A$4:$O$28,10,0)*(HLOOKUP(Z$179,'2.2.Brecha Efectiva x UdM'!$H$25:$AK$32,6,0))</f>
        <v>0</v>
      </c>
      <c r="AA196" s="32">
        <f>VLOOKUP($A196,$A$4:$O$28,10,0)*(HLOOKUP(AA$179,'2.2.Brecha Efectiva x UdM'!$H$25:$AK$32,6,0))</f>
        <v>0</v>
      </c>
      <c r="AB196" s="32">
        <f>VLOOKUP($A196,$A$4:$O$28,10,0)*(HLOOKUP(AB$179,'2.2.Brecha Efectiva x UdM'!$H$25:$AK$32,6,0))</f>
        <v>0</v>
      </c>
      <c r="AC196" s="32">
        <f>VLOOKUP($A196,$A$4:$O$28,10,0)*(HLOOKUP(AC$179,'2.2.Brecha Efectiva x UdM'!$H$25:$AK$32,6,0))</f>
        <v>0</v>
      </c>
      <c r="AD196" s="32">
        <f>VLOOKUP($A196,$A$4:$O$28,10,0)*(HLOOKUP(AD$179,'2.2.Brecha Efectiva x UdM'!$H$25:$AK$32,6,0))</f>
        <v>0</v>
      </c>
      <c r="AE196" s="32">
        <f>VLOOKUP($A196,$A$4:$O$28,10,0)*(HLOOKUP(AE$179,'2.2.Brecha Efectiva x UdM'!$H$25:$AK$32,6,0))</f>
        <v>0</v>
      </c>
      <c r="AF196" s="32">
        <f>VLOOKUP($A196,$A$4:$O$28,10,0)*(HLOOKUP(AF$179,'2.2.Brecha Efectiva x UdM'!$H$25:$AK$32,6,0))</f>
        <v>0</v>
      </c>
      <c r="AG196" s="32">
        <f>VLOOKUP($A196,$A$4:$O$28,10,0)*(HLOOKUP(AG$179,'2.2.Brecha Efectiva x UdM'!$H$25:$AK$32,6,0))</f>
        <v>0</v>
      </c>
      <c r="AH196" s="62">
        <f t="shared" si="195"/>
        <v>0</v>
      </c>
    </row>
    <row r="197" spans="1:34" hidden="1" x14ac:dyDescent="0.2">
      <c r="A197" s="26" t="str">
        <f t="shared" si="192"/>
        <v>San Juan</v>
      </c>
      <c r="B197" s="52">
        <f t="shared" si="193"/>
        <v>0</v>
      </c>
      <c r="C197" s="26" t="str">
        <f t="shared" si="194"/>
        <v>San Juan 0</v>
      </c>
      <c r="D197" s="31">
        <f>VLOOKUP($A197,$A$4:$O$28,10,0)*(HLOOKUP(D$179,'2.2.Brecha Efectiva x UdM'!$H$25:$AK$32,6,0))</f>
        <v>0</v>
      </c>
      <c r="E197" s="31">
        <f>VLOOKUP($A197,$A$4:$O$28,10,0)*(HLOOKUP(E$179,'2.2.Brecha Efectiva x UdM'!$H$25:$AK$32,6,0))</f>
        <v>0</v>
      </c>
      <c r="F197" s="31">
        <f>VLOOKUP($A197,$A$4:$O$28,10,0)*(HLOOKUP(F$179,'2.2.Brecha Efectiva x UdM'!$H$25:$AK$32,6,0))</f>
        <v>0</v>
      </c>
      <c r="G197" s="31">
        <f>VLOOKUP($A197,$A$4:$O$28,10,0)*(HLOOKUP(G$179,'2.2.Brecha Efectiva x UdM'!$H$25:$AK$32,6,0))</f>
        <v>0</v>
      </c>
      <c r="H197" s="31">
        <f>VLOOKUP($A197,$A$4:$O$28,10,0)*(HLOOKUP(H$179,'2.2.Brecha Efectiva x UdM'!$H$25:$AK$32,6,0))</f>
        <v>0</v>
      </c>
      <c r="I197" s="31">
        <f>VLOOKUP($A197,$A$4:$O$28,10,0)*(HLOOKUP(I$179,'2.2.Brecha Efectiva x UdM'!$H$25:$AK$32,6,0))</f>
        <v>0</v>
      </c>
      <c r="J197" s="31">
        <f>VLOOKUP($A197,$A$4:$O$28,10,0)*(HLOOKUP(J$179,'2.2.Brecha Efectiva x UdM'!$H$25:$AK$32,6,0))</f>
        <v>0</v>
      </c>
      <c r="K197" s="31">
        <f>VLOOKUP($A197,$A$4:$O$28,10,0)*(HLOOKUP(K$179,'2.2.Brecha Efectiva x UdM'!$H$25:$AK$32,6,0))</f>
        <v>0</v>
      </c>
      <c r="L197" s="31">
        <f>VLOOKUP($A197,$A$4:$O$28,10,0)*(HLOOKUP(L$179,'2.2.Brecha Efectiva x UdM'!$H$25:$AK$32,6,0))</f>
        <v>0</v>
      </c>
      <c r="M197" s="31">
        <f>VLOOKUP($A197,$A$4:$O$28,10,0)*(HLOOKUP(M$179,'2.2.Brecha Efectiva x UdM'!$H$25:$AK$32,6,0))</f>
        <v>0</v>
      </c>
      <c r="N197" s="31">
        <f>VLOOKUP($A197,$A$4:$O$28,10,0)*(HLOOKUP(N$179,'2.2.Brecha Efectiva x UdM'!$H$25:$AK$32,6,0))</f>
        <v>0</v>
      </c>
      <c r="O197" s="31">
        <f>VLOOKUP($A197,$A$4:$O$28,10,0)*(HLOOKUP(O$179,'2.2.Brecha Efectiva x UdM'!$H$25:$AK$32,6,0))</f>
        <v>0</v>
      </c>
      <c r="P197" s="31">
        <f>VLOOKUP($A197,$A$4:$O$28,10,0)*(HLOOKUP(P$179,'2.2.Brecha Efectiva x UdM'!$H$25:$AK$32,6,0))</f>
        <v>0</v>
      </c>
      <c r="Q197" s="31">
        <f>VLOOKUP($A197,$A$4:$O$28,10,0)*(HLOOKUP(Q$179,'2.2.Brecha Efectiva x UdM'!$H$25:$AK$32,6,0))</f>
        <v>0</v>
      </c>
      <c r="R197" s="31">
        <f>VLOOKUP($A197,$A$4:$O$28,10,0)*(HLOOKUP(R$179,'2.2.Brecha Efectiva x UdM'!$H$25:$AK$32,6,0))</f>
        <v>0</v>
      </c>
      <c r="S197" s="31">
        <f>VLOOKUP($A197,$A$4:$O$28,10,0)*(HLOOKUP(S$179,'2.2.Brecha Efectiva x UdM'!$H$25:$AK$32,6,0))</f>
        <v>0</v>
      </c>
      <c r="T197" s="31">
        <f>VLOOKUP($A197,$A$4:$O$28,10,0)*(HLOOKUP(T$179,'2.2.Brecha Efectiva x UdM'!$H$25:$AK$32,6,0))</f>
        <v>0</v>
      </c>
      <c r="U197" s="31">
        <f>VLOOKUP($A197,$A$4:$O$28,10,0)*(HLOOKUP(U$179,'2.2.Brecha Efectiva x UdM'!$H$25:$AK$32,6,0))</f>
        <v>0</v>
      </c>
      <c r="V197" s="31">
        <f>VLOOKUP($A197,$A$4:$O$28,10,0)*(HLOOKUP(V$179,'2.2.Brecha Efectiva x UdM'!$H$25:$AK$32,6,0))</f>
        <v>0</v>
      </c>
      <c r="W197" s="31">
        <f>VLOOKUP($A197,$A$4:$O$28,10,0)*(HLOOKUP(W$179,'2.2.Brecha Efectiva x UdM'!$H$25:$AK$32,6,0))</f>
        <v>0</v>
      </c>
      <c r="X197" s="31">
        <f>VLOOKUP($A197,$A$4:$O$28,10,0)*(HLOOKUP(X$179,'2.2.Brecha Efectiva x UdM'!$H$25:$AK$32,6,0))</f>
        <v>0</v>
      </c>
      <c r="Y197" s="31">
        <f>VLOOKUP($A197,$A$4:$O$28,10,0)*(HLOOKUP(Y$179,'2.2.Brecha Efectiva x UdM'!$H$25:$AK$32,6,0))</f>
        <v>0</v>
      </c>
      <c r="Z197" s="31">
        <f>VLOOKUP($A197,$A$4:$O$28,10,0)*(HLOOKUP(Z$179,'2.2.Brecha Efectiva x UdM'!$H$25:$AK$32,6,0))</f>
        <v>0</v>
      </c>
      <c r="AA197" s="31">
        <f>VLOOKUP($A197,$A$4:$O$28,10,0)*(HLOOKUP(AA$179,'2.2.Brecha Efectiva x UdM'!$H$25:$AK$32,6,0))</f>
        <v>0</v>
      </c>
      <c r="AB197" s="31">
        <f>VLOOKUP($A197,$A$4:$O$28,10,0)*(HLOOKUP(AB$179,'2.2.Brecha Efectiva x UdM'!$H$25:$AK$32,6,0))</f>
        <v>0</v>
      </c>
      <c r="AC197" s="31">
        <f>VLOOKUP($A197,$A$4:$O$28,10,0)*(HLOOKUP(AC$179,'2.2.Brecha Efectiva x UdM'!$H$25:$AK$32,6,0))</f>
        <v>0</v>
      </c>
      <c r="AD197" s="31">
        <f>VLOOKUP($A197,$A$4:$O$28,10,0)*(HLOOKUP(AD$179,'2.2.Brecha Efectiva x UdM'!$H$25:$AK$32,6,0))</f>
        <v>0</v>
      </c>
      <c r="AE197" s="31">
        <f>VLOOKUP($A197,$A$4:$O$28,10,0)*(HLOOKUP(AE$179,'2.2.Brecha Efectiva x UdM'!$H$25:$AK$32,6,0))</f>
        <v>0</v>
      </c>
      <c r="AF197" s="31">
        <f>VLOOKUP($A197,$A$4:$O$28,10,0)*(HLOOKUP(AF$179,'2.2.Brecha Efectiva x UdM'!$H$25:$AK$32,6,0))</f>
        <v>0</v>
      </c>
      <c r="AG197" s="31">
        <f>VLOOKUP($A197,$A$4:$O$28,10,0)*(HLOOKUP(AG$179,'2.2.Brecha Efectiva x UdM'!$H$25:$AK$32,6,0))</f>
        <v>0</v>
      </c>
      <c r="AH197" s="63">
        <f t="shared" si="195"/>
        <v>0</v>
      </c>
    </row>
    <row r="198" spans="1:34" hidden="1" x14ac:dyDescent="0.2">
      <c r="A198" s="25" t="str">
        <f t="shared" si="192"/>
        <v>San Luis</v>
      </c>
      <c r="B198" s="51">
        <f t="shared" si="193"/>
        <v>0</v>
      </c>
      <c r="C198" s="25" t="str">
        <f t="shared" si="194"/>
        <v>San Luis 0</v>
      </c>
      <c r="D198" s="32">
        <f>VLOOKUP($A198,$A$4:$O$28,10,0)*(HLOOKUP(D$179,'2.2.Brecha Efectiva x UdM'!$H$25:$AK$32,6,0))</f>
        <v>0</v>
      </c>
      <c r="E198" s="32">
        <f>VLOOKUP($A198,$A$4:$O$28,10,0)*(HLOOKUP(E$179,'2.2.Brecha Efectiva x UdM'!$H$25:$AK$32,6,0))</f>
        <v>0</v>
      </c>
      <c r="F198" s="32">
        <f>VLOOKUP($A198,$A$4:$O$28,10,0)*(HLOOKUP(F$179,'2.2.Brecha Efectiva x UdM'!$H$25:$AK$32,6,0))</f>
        <v>0</v>
      </c>
      <c r="G198" s="32">
        <f>VLOOKUP($A198,$A$4:$O$28,10,0)*(HLOOKUP(G$179,'2.2.Brecha Efectiva x UdM'!$H$25:$AK$32,6,0))</f>
        <v>0</v>
      </c>
      <c r="H198" s="32">
        <f>VLOOKUP($A198,$A$4:$O$28,10,0)*(HLOOKUP(H$179,'2.2.Brecha Efectiva x UdM'!$H$25:$AK$32,6,0))</f>
        <v>0</v>
      </c>
      <c r="I198" s="32">
        <f>VLOOKUP($A198,$A$4:$O$28,10,0)*(HLOOKUP(I$179,'2.2.Brecha Efectiva x UdM'!$H$25:$AK$32,6,0))</f>
        <v>0</v>
      </c>
      <c r="J198" s="32">
        <f>VLOOKUP($A198,$A$4:$O$28,10,0)*(HLOOKUP(J$179,'2.2.Brecha Efectiva x UdM'!$H$25:$AK$32,6,0))</f>
        <v>0</v>
      </c>
      <c r="K198" s="32">
        <f>VLOOKUP($A198,$A$4:$O$28,10,0)*(HLOOKUP(K$179,'2.2.Brecha Efectiva x UdM'!$H$25:$AK$32,6,0))</f>
        <v>0</v>
      </c>
      <c r="L198" s="32">
        <f>VLOOKUP($A198,$A$4:$O$28,10,0)*(HLOOKUP(L$179,'2.2.Brecha Efectiva x UdM'!$H$25:$AK$32,6,0))</f>
        <v>0</v>
      </c>
      <c r="M198" s="32">
        <f>VLOOKUP($A198,$A$4:$O$28,10,0)*(HLOOKUP(M$179,'2.2.Brecha Efectiva x UdM'!$H$25:$AK$32,6,0))</f>
        <v>0</v>
      </c>
      <c r="N198" s="32">
        <f>VLOOKUP($A198,$A$4:$O$28,10,0)*(HLOOKUP(N$179,'2.2.Brecha Efectiva x UdM'!$H$25:$AK$32,6,0))</f>
        <v>0</v>
      </c>
      <c r="O198" s="32">
        <f>VLOOKUP($A198,$A$4:$O$28,10,0)*(HLOOKUP(O$179,'2.2.Brecha Efectiva x UdM'!$H$25:$AK$32,6,0))</f>
        <v>0</v>
      </c>
      <c r="P198" s="32">
        <f>VLOOKUP($A198,$A$4:$O$28,10,0)*(HLOOKUP(P$179,'2.2.Brecha Efectiva x UdM'!$H$25:$AK$32,6,0))</f>
        <v>0</v>
      </c>
      <c r="Q198" s="32">
        <f>VLOOKUP($A198,$A$4:$O$28,10,0)*(HLOOKUP(Q$179,'2.2.Brecha Efectiva x UdM'!$H$25:$AK$32,6,0))</f>
        <v>0</v>
      </c>
      <c r="R198" s="32">
        <f>VLOOKUP($A198,$A$4:$O$28,10,0)*(HLOOKUP(R$179,'2.2.Brecha Efectiva x UdM'!$H$25:$AK$32,6,0))</f>
        <v>0</v>
      </c>
      <c r="S198" s="32">
        <f>VLOOKUP($A198,$A$4:$O$28,10,0)*(HLOOKUP(S$179,'2.2.Brecha Efectiva x UdM'!$H$25:$AK$32,6,0))</f>
        <v>0</v>
      </c>
      <c r="T198" s="32">
        <f>VLOOKUP($A198,$A$4:$O$28,10,0)*(HLOOKUP(T$179,'2.2.Brecha Efectiva x UdM'!$H$25:$AK$32,6,0))</f>
        <v>0</v>
      </c>
      <c r="U198" s="32">
        <f>VLOOKUP($A198,$A$4:$O$28,10,0)*(HLOOKUP(U$179,'2.2.Brecha Efectiva x UdM'!$H$25:$AK$32,6,0))</f>
        <v>0</v>
      </c>
      <c r="V198" s="32">
        <f>VLOOKUP($A198,$A$4:$O$28,10,0)*(HLOOKUP(V$179,'2.2.Brecha Efectiva x UdM'!$H$25:$AK$32,6,0))</f>
        <v>0</v>
      </c>
      <c r="W198" s="32">
        <f>VLOOKUP($A198,$A$4:$O$28,10,0)*(HLOOKUP(W$179,'2.2.Brecha Efectiva x UdM'!$H$25:$AK$32,6,0))</f>
        <v>0</v>
      </c>
      <c r="X198" s="32">
        <f>VLOOKUP($A198,$A$4:$O$28,10,0)*(HLOOKUP(X$179,'2.2.Brecha Efectiva x UdM'!$H$25:$AK$32,6,0))</f>
        <v>0</v>
      </c>
      <c r="Y198" s="32">
        <f>VLOOKUP($A198,$A$4:$O$28,10,0)*(HLOOKUP(Y$179,'2.2.Brecha Efectiva x UdM'!$H$25:$AK$32,6,0))</f>
        <v>0</v>
      </c>
      <c r="Z198" s="32">
        <f>VLOOKUP($A198,$A$4:$O$28,10,0)*(HLOOKUP(Z$179,'2.2.Brecha Efectiva x UdM'!$H$25:$AK$32,6,0))</f>
        <v>0</v>
      </c>
      <c r="AA198" s="32">
        <f>VLOOKUP($A198,$A$4:$O$28,10,0)*(HLOOKUP(AA$179,'2.2.Brecha Efectiva x UdM'!$H$25:$AK$32,6,0))</f>
        <v>0</v>
      </c>
      <c r="AB198" s="32">
        <f>VLOOKUP($A198,$A$4:$O$28,10,0)*(HLOOKUP(AB$179,'2.2.Brecha Efectiva x UdM'!$H$25:$AK$32,6,0))</f>
        <v>0</v>
      </c>
      <c r="AC198" s="32">
        <f>VLOOKUP($A198,$A$4:$O$28,10,0)*(HLOOKUP(AC$179,'2.2.Brecha Efectiva x UdM'!$H$25:$AK$32,6,0))</f>
        <v>0</v>
      </c>
      <c r="AD198" s="32">
        <f>VLOOKUP($A198,$A$4:$O$28,10,0)*(HLOOKUP(AD$179,'2.2.Brecha Efectiva x UdM'!$H$25:$AK$32,6,0))</f>
        <v>0</v>
      </c>
      <c r="AE198" s="32">
        <f>VLOOKUP($A198,$A$4:$O$28,10,0)*(HLOOKUP(AE$179,'2.2.Brecha Efectiva x UdM'!$H$25:$AK$32,6,0))</f>
        <v>0</v>
      </c>
      <c r="AF198" s="32">
        <f>VLOOKUP($A198,$A$4:$O$28,10,0)*(HLOOKUP(AF$179,'2.2.Brecha Efectiva x UdM'!$H$25:$AK$32,6,0))</f>
        <v>0</v>
      </c>
      <c r="AG198" s="32">
        <f>VLOOKUP($A198,$A$4:$O$28,10,0)*(HLOOKUP(AG$179,'2.2.Brecha Efectiva x UdM'!$H$25:$AK$32,6,0))</f>
        <v>0</v>
      </c>
      <c r="AH198" s="62">
        <f t="shared" si="195"/>
        <v>0</v>
      </c>
    </row>
    <row r="199" spans="1:34" hidden="1" x14ac:dyDescent="0.2">
      <c r="A199" s="26" t="str">
        <f t="shared" si="192"/>
        <v>Santa Cruz</v>
      </c>
      <c r="B199" s="52">
        <f t="shared" si="193"/>
        <v>0</v>
      </c>
      <c r="C199" s="26" t="str">
        <f t="shared" si="194"/>
        <v>Santa Cruz 0</v>
      </c>
      <c r="D199" s="31">
        <f>VLOOKUP($A199,$A$4:$O$28,10,0)*(HLOOKUP(D$179,'2.2.Brecha Efectiva x UdM'!$H$25:$AK$32,6,0))</f>
        <v>0</v>
      </c>
      <c r="E199" s="31">
        <f>VLOOKUP($A199,$A$4:$O$28,10,0)*(HLOOKUP(E$179,'2.2.Brecha Efectiva x UdM'!$H$25:$AK$32,6,0))</f>
        <v>0</v>
      </c>
      <c r="F199" s="31">
        <f>VLOOKUP($A199,$A$4:$O$28,10,0)*(HLOOKUP(F$179,'2.2.Brecha Efectiva x UdM'!$H$25:$AK$32,6,0))</f>
        <v>0</v>
      </c>
      <c r="G199" s="31">
        <f>VLOOKUP($A199,$A$4:$O$28,10,0)*(HLOOKUP(G$179,'2.2.Brecha Efectiva x UdM'!$H$25:$AK$32,6,0))</f>
        <v>0</v>
      </c>
      <c r="H199" s="31">
        <f>VLOOKUP($A199,$A$4:$O$28,10,0)*(HLOOKUP(H$179,'2.2.Brecha Efectiva x UdM'!$H$25:$AK$32,6,0))</f>
        <v>0</v>
      </c>
      <c r="I199" s="31">
        <f>VLOOKUP($A199,$A$4:$O$28,10,0)*(HLOOKUP(I$179,'2.2.Brecha Efectiva x UdM'!$H$25:$AK$32,6,0))</f>
        <v>0</v>
      </c>
      <c r="J199" s="31">
        <f>VLOOKUP($A199,$A$4:$O$28,10,0)*(HLOOKUP(J$179,'2.2.Brecha Efectiva x UdM'!$H$25:$AK$32,6,0))</f>
        <v>0</v>
      </c>
      <c r="K199" s="31">
        <f>VLOOKUP($A199,$A$4:$O$28,10,0)*(HLOOKUP(K$179,'2.2.Brecha Efectiva x UdM'!$H$25:$AK$32,6,0))</f>
        <v>0</v>
      </c>
      <c r="L199" s="31">
        <f>VLOOKUP($A199,$A$4:$O$28,10,0)*(HLOOKUP(L$179,'2.2.Brecha Efectiva x UdM'!$H$25:$AK$32,6,0))</f>
        <v>0</v>
      </c>
      <c r="M199" s="31">
        <f>VLOOKUP($A199,$A$4:$O$28,10,0)*(HLOOKUP(M$179,'2.2.Brecha Efectiva x UdM'!$H$25:$AK$32,6,0))</f>
        <v>0</v>
      </c>
      <c r="N199" s="31">
        <f>VLOOKUP($A199,$A$4:$O$28,10,0)*(HLOOKUP(N$179,'2.2.Brecha Efectiva x UdM'!$H$25:$AK$32,6,0))</f>
        <v>0</v>
      </c>
      <c r="O199" s="31">
        <f>VLOOKUP($A199,$A$4:$O$28,10,0)*(HLOOKUP(O$179,'2.2.Brecha Efectiva x UdM'!$H$25:$AK$32,6,0))</f>
        <v>0</v>
      </c>
      <c r="P199" s="31">
        <f>VLOOKUP($A199,$A$4:$O$28,10,0)*(HLOOKUP(P$179,'2.2.Brecha Efectiva x UdM'!$H$25:$AK$32,6,0))</f>
        <v>0</v>
      </c>
      <c r="Q199" s="31">
        <f>VLOOKUP($A199,$A$4:$O$28,10,0)*(HLOOKUP(Q$179,'2.2.Brecha Efectiva x UdM'!$H$25:$AK$32,6,0))</f>
        <v>0</v>
      </c>
      <c r="R199" s="31">
        <f>VLOOKUP($A199,$A$4:$O$28,10,0)*(HLOOKUP(R$179,'2.2.Brecha Efectiva x UdM'!$H$25:$AK$32,6,0))</f>
        <v>0</v>
      </c>
      <c r="S199" s="31">
        <f>VLOOKUP($A199,$A$4:$O$28,10,0)*(HLOOKUP(S$179,'2.2.Brecha Efectiva x UdM'!$H$25:$AK$32,6,0))</f>
        <v>0</v>
      </c>
      <c r="T199" s="31">
        <f>VLOOKUP($A199,$A$4:$O$28,10,0)*(HLOOKUP(T$179,'2.2.Brecha Efectiva x UdM'!$H$25:$AK$32,6,0))</f>
        <v>0</v>
      </c>
      <c r="U199" s="31">
        <f>VLOOKUP($A199,$A$4:$O$28,10,0)*(HLOOKUP(U$179,'2.2.Brecha Efectiva x UdM'!$H$25:$AK$32,6,0))</f>
        <v>0</v>
      </c>
      <c r="V199" s="31">
        <f>VLOOKUP($A199,$A$4:$O$28,10,0)*(HLOOKUP(V$179,'2.2.Brecha Efectiva x UdM'!$H$25:$AK$32,6,0))</f>
        <v>0</v>
      </c>
      <c r="W199" s="31">
        <f>VLOOKUP($A199,$A$4:$O$28,10,0)*(HLOOKUP(W$179,'2.2.Brecha Efectiva x UdM'!$H$25:$AK$32,6,0))</f>
        <v>0</v>
      </c>
      <c r="X199" s="31">
        <f>VLOOKUP($A199,$A$4:$O$28,10,0)*(HLOOKUP(X$179,'2.2.Brecha Efectiva x UdM'!$H$25:$AK$32,6,0))</f>
        <v>0</v>
      </c>
      <c r="Y199" s="31">
        <f>VLOOKUP($A199,$A$4:$O$28,10,0)*(HLOOKUP(Y$179,'2.2.Brecha Efectiva x UdM'!$H$25:$AK$32,6,0))</f>
        <v>0</v>
      </c>
      <c r="Z199" s="31">
        <f>VLOOKUP($A199,$A$4:$O$28,10,0)*(HLOOKUP(Z$179,'2.2.Brecha Efectiva x UdM'!$H$25:$AK$32,6,0))</f>
        <v>0</v>
      </c>
      <c r="AA199" s="31">
        <f>VLOOKUP($A199,$A$4:$O$28,10,0)*(HLOOKUP(AA$179,'2.2.Brecha Efectiva x UdM'!$H$25:$AK$32,6,0))</f>
        <v>0</v>
      </c>
      <c r="AB199" s="31">
        <f>VLOOKUP($A199,$A$4:$O$28,10,0)*(HLOOKUP(AB$179,'2.2.Brecha Efectiva x UdM'!$H$25:$AK$32,6,0))</f>
        <v>0</v>
      </c>
      <c r="AC199" s="31">
        <f>VLOOKUP($A199,$A$4:$O$28,10,0)*(HLOOKUP(AC$179,'2.2.Brecha Efectiva x UdM'!$H$25:$AK$32,6,0))</f>
        <v>0</v>
      </c>
      <c r="AD199" s="31">
        <f>VLOOKUP($A199,$A$4:$O$28,10,0)*(HLOOKUP(AD$179,'2.2.Brecha Efectiva x UdM'!$H$25:$AK$32,6,0))</f>
        <v>0</v>
      </c>
      <c r="AE199" s="31">
        <f>VLOOKUP($A199,$A$4:$O$28,10,0)*(HLOOKUP(AE$179,'2.2.Brecha Efectiva x UdM'!$H$25:$AK$32,6,0))</f>
        <v>0</v>
      </c>
      <c r="AF199" s="31">
        <f>VLOOKUP($A199,$A$4:$O$28,10,0)*(HLOOKUP(AF$179,'2.2.Brecha Efectiva x UdM'!$H$25:$AK$32,6,0))</f>
        <v>0</v>
      </c>
      <c r="AG199" s="31">
        <f>VLOOKUP($A199,$A$4:$O$28,10,0)*(HLOOKUP(AG$179,'2.2.Brecha Efectiva x UdM'!$H$25:$AK$32,6,0))</f>
        <v>0</v>
      </c>
      <c r="AH199" s="63">
        <f t="shared" si="195"/>
        <v>0</v>
      </c>
    </row>
    <row r="200" spans="1:34" hidden="1" x14ac:dyDescent="0.2">
      <c r="A200" s="25" t="str">
        <f t="shared" si="192"/>
        <v>Santa Fe</v>
      </c>
      <c r="B200" s="51">
        <f t="shared" si="193"/>
        <v>0</v>
      </c>
      <c r="C200" s="25" t="str">
        <f t="shared" si="194"/>
        <v>Santa Fe 0</v>
      </c>
      <c r="D200" s="32">
        <f>VLOOKUP($A200,$A$4:$O$28,10,0)*(HLOOKUP(D$179,'2.2.Brecha Efectiva x UdM'!$H$25:$AK$32,6,0))</f>
        <v>0</v>
      </c>
      <c r="E200" s="32">
        <f>VLOOKUP($A200,$A$4:$O$28,10,0)*(HLOOKUP(E$179,'2.2.Brecha Efectiva x UdM'!$H$25:$AK$32,6,0))</f>
        <v>0</v>
      </c>
      <c r="F200" s="32">
        <f>VLOOKUP($A200,$A$4:$O$28,10,0)*(HLOOKUP(F$179,'2.2.Brecha Efectiva x UdM'!$H$25:$AK$32,6,0))</f>
        <v>0</v>
      </c>
      <c r="G200" s="32">
        <f>VLOOKUP($A200,$A$4:$O$28,10,0)*(HLOOKUP(G$179,'2.2.Brecha Efectiva x UdM'!$H$25:$AK$32,6,0))</f>
        <v>0</v>
      </c>
      <c r="H200" s="32">
        <f>VLOOKUP($A200,$A$4:$O$28,10,0)*(HLOOKUP(H$179,'2.2.Brecha Efectiva x UdM'!$H$25:$AK$32,6,0))</f>
        <v>0</v>
      </c>
      <c r="I200" s="32">
        <f>VLOOKUP($A200,$A$4:$O$28,10,0)*(HLOOKUP(I$179,'2.2.Brecha Efectiva x UdM'!$H$25:$AK$32,6,0))</f>
        <v>0</v>
      </c>
      <c r="J200" s="32">
        <f>VLOOKUP($A200,$A$4:$O$28,10,0)*(HLOOKUP(J$179,'2.2.Brecha Efectiva x UdM'!$H$25:$AK$32,6,0))</f>
        <v>0</v>
      </c>
      <c r="K200" s="32">
        <f>VLOOKUP($A200,$A$4:$O$28,10,0)*(HLOOKUP(K$179,'2.2.Brecha Efectiva x UdM'!$H$25:$AK$32,6,0))</f>
        <v>0</v>
      </c>
      <c r="L200" s="32">
        <f>VLOOKUP($A200,$A$4:$O$28,10,0)*(HLOOKUP(L$179,'2.2.Brecha Efectiva x UdM'!$H$25:$AK$32,6,0))</f>
        <v>0</v>
      </c>
      <c r="M200" s="32">
        <f>VLOOKUP($A200,$A$4:$O$28,10,0)*(HLOOKUP(M$179,'2.2.Brecha Efectiva x UdM'!$H$25:$AK$32,6,0))</f>
        <v>0</v>
      </c>
      <c r="N200" s="32">
        <f>VLOOKUP($A200,$A$4:$O$28,10,0)*(HLOOKUP(N$179,'2.2.Brecha Efectiva x UdM'!$H$25:$AK$32,6,0))</f>
        <v>0</v>
      </c>
      <c r="O200" s="32">
        <f>VLOOKUP($A200,$A$4:$O$28,10,0)*(HLOOKUP(O$179,'2.2.Brecha Efectiva x UdM'!$H$25:$AK$32,6,0))</f>
        <v>0</v>
      </c>
      <c r="P200" s="32">
        <f>VLOOKUP($A200,$A$4:$O$28,10,0)*(HLOOKUP(P$179,'2.2.Brecha Efectiva x UdM'!$H$25:$AK$32,6,0))</f>
        <v>0</v>
      </c>
      <c r="Q200" s="32">
        <f>VLOOKUP($A200,$A$4:$O$28,10,0)*(HLOOKUP(Q$179,'2.2.Brecha Efectiva x UdM'!$H$25:$AK$32,6,0))</f>
        <v>0</v>
      </c>
      <c r="R200" s="32">
        <f>VLOOKUP($A200,$A$4:$O$28,10,0)*(HLOOKUP(R$179,'2.2.Brecha Efectiva x UdM'!$H$25:$AK$32,6,0))</f>
        <v>0</v>
      </c>
      <c r="S200" s="32">
        <f>VLOOKUP($A200,$A$4:$O$28,10,0)*(HLOOKUP(S$179,'2.2.Brecha Efectiva x UdM'!$H$25:$AK$32,6,0))</f>
        <v>0</v>
      </c>
      <c r="T200" s="32">
        <f>VLOOKUP($A200,$A$4:$O$28,10,0)*(HLOOKUP(T$179,'2.2.Brecha Efectiva x UdM'!$H$25:$AK$32,6,0))</f>
        <v>0</v>
      </c>
      <c r="U200" s="32">
        <f>VLOOKUP($A200,$A$4:$O$28,10,0)*(HLOOKUP(U$179,'2.2.Brecha Efectiva x UdM'!$H$25:$AK$32,6,0))</f>
        <v>0</v>
      </c>
      <c r="V200" s="32">
        <f>VLOOKUP($A200,$A$4:$O$28,10,0)*(HLOOKUP(V$179,'2.2.Brecha Efectiva x UdM'!$H$25:$AK$32,6,0))</f>
        <v>0</v>
      </c>
      <c r="W200" s="32">
        <f>VLOOKUP($A200,$A$4:$O$28,10,0)*(HLOOKUP(W$179,'2.2.Brecha Efectiva x UdM'!$H$25:$AK$32,6,0))</f>
        <v>0</v>
      </c>
      <c r="X200" s="32">
        <f>VLOOKUP($A200,$A$4:$O$28,10,0)*(HLOOKUP(X$179,'2.2.Brecha Efectiva x UdM'!$H$25:$AK$32,6,0))</f>
        <v>0</v>
      </c>
      <c r="Y200" s="32">
        <f>VLOOKUP($A200,$A$4:$O$28,10,0)*(HLOOKUP(Y$179,'2.2.Brecha Efectiva x UdM'!$H$25:$AK$32,6,0))</f>
        <v>0</v>
      </c>
      <c r="Z200" s="32">
        <f>VLOOKUP($A200,$A$4:$O$28,10,0)*(HLOOKUP(Z$179,'2.2.Brecha Efectiva x UdM'!$H$25:$AK$32,6,0))</f>
        <v>0</v>
      </c>
      <c r="AA200" s="32">
        <f>VLOOKUP($A200,$A$4:$O$28,10,0)*(HLOOKUP(AA$179,'2.2.Brecha Efectiva x UdM'!$H$25:$AK$32,6,0))</f>
        <v>0</v>
      </c>
      <c r="AB200" s="32">
        <f>VLOOKUP($A200,$A$4:$O$28,10,0)*(HLOOKUP(AB$179,'2.2.Brecha Efectiva x UdM'!$H$25:$AK$32,6,0))</f>
        <v>0</v>
      </c>
      <c r="AC200" s="32">
        <f>VLOOKUP($A200,$A$4:$O$28,10,0)*(HLOOKUP(AC$179,'2.2.Brecha Efectiva x UdM'!$H$25:$AK$32,6,0))</f>
        <v>0</v>
      </c>
      <c r="AD200" s="32">
        <f>VLOOKUP($A200,$A$4:$O$28,10,0)*(HLOOKUP(AD$179,'2.2.Brecha Efectiva x UdM'!$H$25:$AK$32,6,0))</f>
        <v>0</v>
      </c>
      <c r="AE200" s="32">
        <f>VLOOKUP($A200,$A$4:$O$28,10,0)*(HLOOKUP(AE$179,'2.2.Brecha Efectiva x UdM'!$H$25:$AK$32,6,0))</f>
        <v>0</v>
      </c>
      <c r="AF200" s="32">
        <f>VLOOKUP($A200,$A$4:$O$28,10,0)*(HLOOKUP(AF$179,'2.2.Brecha Efectiva x UdM'!$H$25:$AK$32,6,0))</f>
        <v>0</v>
      </c>
      <c r="AG200" s="32">
        <f>VLOOKUP($A200,$A$4:$O$28,10,0)*(HLOOKUP(AG$179,'2.2.Brecha Efectiva x UdM'!$H$25:$AK$32,6,0))</f>
        <v>0</v>
      </c>
      <c r="AH200" s="62">
        <f t="shared" si="195"/>
        <v>0</v>
      </c>
    </row>
    <row r="201" spans="1:34" hidden="1" x14ac:dyDescent="0.2">
      <c r="A201" s="26" t="str">
        <f t="shared" si="192"/>
        <v>Santiago del Estero</v>
      </c>
      <c r="B201" s="52">
        <f t="shared" si="193"/>
        <v>0</v>
      </c>
      <c r="C201" s="26" t="str">
        <f t="shared" si="194"/>
        <v>Santiago del Estero 0</v>
      </c>
      <c r="D201" s="31">
        <f>VLOOKUP($A201,$A$4:$O$28,10,0)*(HLOOKUP(D$179,'2.2.Brecha Efectiva x UdM'!$H$25:$AK$32,6,0))</f>
        <v>0</v>
      </c>
      <c r="E201" s="31">
        <f>VLOOKUP($A201,$A$4:$O$28,10,0)*(HLOOKUP(E$179,'2.2.Brecha Efectiva x UdM'!$H$25:$AK$32,6,0))</f>
        <v>0</v>
      </c>
      <c r="F201" s="31">
        <f>VLOOKUP($A201,$A$4:$O$28,10,0)*(HLOOKUP(F$179,'2.2.Brecha Efectiva x UdM'!$H$25:$AK$32,6,0))</f>
        <v>0</v>
      </c>
      <c r="G201" s="31">
        <f>VLOOKUP($A201,$A$4:$O$28,10,0)*(HLOOKUP(G$179,'2.2.Brecha Efectiva x UdM'!$H$25:$AK$32,6,0))</f>
        <v>0</v>
      </c>
      <c r="H201" s="31">
        <f>VLOOKUP($A201,$A$4:$O$28,10,0)*(HLOOKUP(H$179,'2.2.Brecha Efectiva x UdM'!$H$25:$AK$32,6,0))</f>
        <v>0</v>
      </c>
      <c r="I201" s="31">
        <f>VLOOKUP($A201,$A$4:$O$28,10,0)*(HLOOKUP(I$179,'2.2.Brecha Efectiva x UdM'!$H$25:$AK$32,6,0))</f>
        <v>0</v>
      </c>
      <c r="J201" s="31">
        <f>VLOOKUP($A201,$A$4:$O$28,10,0)*(HLOOKUP(J$179,'2.2.Brecha Efectiva x UdM'!$H$25:$AK$32,6,0))</f>
        <v>0</v>
      </c>
      <c r="K201" s="31">
        <f>VLOOKUP($A201,$A$4:$O$28,10,0)*(HLOOKUP(K$179,'2.2.Brecha Efectiva x UdM'!$H$25:$AK$32,6,0))</f>
        <v>0</v>
      </c>
      <c r="L201" s="31">
        <f>VLOOKUP($A201,$A$4:$O$28,10,0)*(HLOOKUP(L$179,'2.2.Brecha Efectiva x UdM'!$H$25:$AK$32,6,0))</f>
        <v>0</v>
      </c>
      <c r="M201" s="31">
        <f>VLOOKUP($A201,$A$4:$O$28,10,0)*(HLOOKUP(M$179,'2.2.Brecha Efectiva x UdM'!$H$25:$AK$32,6,0))</f>
        <v>0</v>
      </c>
      <c r="N201" s="31">
        <f>VLOOKUP($A201,$A$4:$O$28,10,0)*(HLOOKUP(N$179,'2.2.Brecha Efectiva x UdM'!$H$25:$AK$32,6,0))</f>
        <v>0</v>
      </c>
      <c r="O201" s="31">
        <f>VLOOKUP($A201,$A$4:$O$28,10,0)*(HLOOKUP(O$179,'2.2.Brecha Efectiva x UdM'!$H$25:$AK$32,6,0))</f>
        <v>0</v>
      </c>
      <c r="P201" s="31">
        <f>VLOOKUP($A201,$A$4:$O$28,10,0)*(HLOOKUP(P$179,'2.2.Brecha Efectiva x UdM'!$H$25:$AK$32,6,0))</f>
        <v>0</v>
      </c>
      <c r="Q201" s="31">
        <f>VLOOKUP($A201,$A$4:$O$28,10,0)*(HLOOKUP(Q$179,'2.2.Brecha Efectiva x UdM'!$H$25:$AK$32,6,0))</f>
        <v>0</v>
      </c>
      <c r="R201" s="31">
        <f>VLOOKUP($A201,$A$4:$O$28,10,0)*(HLOOKUP(R$179,'2.2.Brecha Efectiva x UdM'!$H$25:$AK$32,6,0))</f>
        <v>0</v>
      </c>
      <c r="S201" s="31">
        <f>VLOOKUP($A201,$A$4:$O$28,10,0)*(HLOOKUP(S$179,'2.2.Brecha Efectiva x UdM'!$H$25:$AK$32,6,0))</f>
        <v>0</v>
      </c>
      <c r="T201" s="31">
        <f>VLOOKUP($A201,$A$4:$O$28,10,0)*(HLOOKUP(T$179,'2.2.Brecha Efectiva x UdM'!$H$25:$AK$32,6,0))</f>
        <v>0</v>
      </c>
      <c r="U201" s="31">
        <f>VLOOKUP($A201,$A$4:$O$28,10,0)*(HLOOKUP(U$179,'2.2.Brecha Efectiva x UdM'!$H$25:$AK$32,6,0))</f>
        <v>0</v>
      </c>
      <c r="V201" s="31">
        <f>VLOOKUP($A201,$A$4:$O$28,10,0)*(HLOOKUP(V$179,'2.2.Brecha Efectiva x UdM'!$H$25:$AK$32,6,0))</f>
        <v>0</v>
      </c>
      <c r="W201" s="31">
        <f>VLOOKUP($A201,$A$4:$O$28,10,0)*(HLOOKUP(W$179,'2.2.Brecha Efectiva x UdM'!$H$25:$AK$32,6,0))</f>
        <v>0</v>
      </c>
      <c r="X201" s="31">
        <f>VLOOKUP($A201,$A$4:$O$28,10,0)*(HLOOKUP(X$179,'2.2.Brecha Efectiva x UdM'!$H$25:$AK$32,6,0))</f>
        <v>0</v>
      </c>
      <c r="Y201" s="31">
        <f>VLOOKUP($A201,$A$4:$O$28,10,0)*(HLOOKUP(Y$179,'2.2.Brecha Efectiva x UdM'!$H$25:$AK$32,6,0))</f>
        <v>0</v>
      </c>
      <c r="Z201" s="31">
        <f>VLOOKUP($A201,$A$4:$O$28,10,0)*(HLOOKUP(Z$179,'2.2.Brecha Efectiva x UdM'!$H$25:$AK$32,6,0))</f>
        <v>0</v>
      </c>
      <c r="AA201" s="31">
        <f>VLOOKUP($A201,$A$4:$O$28,10,0)*(HLOOKUP(AA$179,'2.2.Brecha Efectiva x UdM'!$H$25:$AK$32,6,0))</f>
        <v>0</v>
      </c>
      <c r="AB201" s="31">
        <f>VLOOKUP($A201,$A$4:$O$28,10,0)*(HLOOKUP(AB$179,'2.2.Brecha Efectiva x UdM'!$H$25:$AK$32,6,0))</f>
        <v>0</v>
      </c>
      <c r="AC201" s="31">
        <f>VLOOKUP($A201,$A$4:$O$28,10,0)*(HLOOKUP(AC$179,'2.2.Brecha Efectiva x UdM'!$H$25:$AK$32,6,0))</f>
        <v>0</v>
      </c>
      <c r="AD201" s="31">
        <f>VLOOKUP($A201,$A$4:$O$28,10,0)*(HLOOKUP(AD$179,'2.2.Brecha Efectiva x UdM'!$H$25:$AK$32,6,0))</f>
        <v>0</v>
      </c>
      <c r="AE201" s="31">
        <f>VLOOKUP($A201,$A$4:$O$28,10,0)*(HLOOKUP(AE$179,'2.2.Brecha Efectiva x UdM'!$H$25:$AK$32,6,0))</f>
        <v>0</v>
      </c>
      <c r="AF201" s="31">
        <f>VLOOKUP($A201,$A$4:$O$28,10,0)*(HLOOKUP(AF$179,'2.2.Brecha Efectiva x UdM'!$H$25:$AK$32,6,0))</f>
        <v>0</v>
      </c>
      <c r="AG201" s="31">
        <f>VLOOKUP($A201,$A$4:$O$28,10,0)*(HLOOKUP(AG$179,'2.2.Brecha Efectiva x UdM'!$H$25:$AK$32,6,0))</f>
        <v>0</v>
      </c>
      <c r="AH201" s="63">
        <f t="shared" si="195"/>
        <v>0</v>
      </c>
    </row>
    <row r="202" spans="1:34" hidden="1" x14ac:dyDescent="0.2">
      <c r="A202" s="25" t="str">
        <f t="shared" si="192"/>
        <v>Tierra del Fuego</v>
      </c>
      <c r="B202" s="51">
        <f t="shared" si="193"/>
        <v>0</v>
      </c>
      <c r="C202" s="25" t="str">
        <f t="shared" si="194"/>
        <v>Tierra del Fuego 0</v>
      </c>
      <c r="D202" s="32">
        <f>VLOOKUP($A202,$A$4:$O$28,10,0)*(HLOOKUP(D$179,'2.2.Brecha Efectiva x UdM'!$H$25:$AK$32,6,0))</f>
        <v>0</v>
      </c>
      <c r="E202" s="32">
        <f>VLOOKUP($A202,$A$4:$O$28,10,0)*(HLOOKUP(E$179,'2.2.Brecha Efectiva x UdM'!$H$25:$AK$32,6,0))</f>
        <v>0</v>
      </c>
      <c r="F202" s="32">
        <f>VLOOKUP($A202,$A$4:$O$28,10,0)*(HLOOKUP(F$179,'2.2.Brecha Efectiva x UdM'!$H$25:$AK$32,6,0))</f>
        <v>0</v>
      </c>
      <c r="G202" s="32">
        <f>VLOOKUP($A202,$A$4:$O$28,10,0)*(HLOOKUP(G$179,'2.2.Brecha Efectiva x UdM'!$H$25:$AK$32,6,0))</f>
        <v>0</v>
      </c>
      <c r="H202" s="32">
        <f>VLOOKUP($A202,$A$4:$O$28,10,0)*(HLOOKUP(H$179,'2.2.Brecha Efectiva x UdM'!$H$25:$AK$32,6,0))</f>
        <v>0</v>
      </c>
      <c r="I202" s="32">
        <f>VLOOKUP($A202,$A$4:$O$28,10,0)*(HLOOKUP(I$179,'2.2.Brecha Efectiva x UdM'!$H$25:$AK$32,6,0))</f>
        <v>0</v>
      </c>
      <c r="J202" s="32">
        <f>VLOOKUP($A202,$A$4:$O$28,10,0)*(HLOOKUP(J$179,'2.2.Brecha Efectiva x UdM'!$H$25:$AK$32,6,0))</f>
        <v>0</v>
      </c>
      <c r="K202" s="32">
        <f>VLOOKUP($A202,$A$4:$O$28,10,0)*(HLOOKUP(K$179,'2.2.Brecha Efectiva x UdM'!$H$25:$AK$32,6,0))</f>
        <v>0</v>
      </c>
      <c r="L202" s="32">
        <f>VLOOKUP($A202,$A$4:$O$28,10,0)*(HLOOKUP(L$179,'2.2.Brecha Efectiva x UdM'!$H$25:$AK$32,6,0))</f>
        <v>0</v>
      </c>
      <c r="M202" s="32">
        <f>VLOOKUP($A202,$A$4:$O$28,10,0)*(HLOOKUP(M$179,'2.2.Brecha Efectiva x UdM'!$H$25:$AK$32,6,0))</f>
        <v>0</v>
      </c>
      <c r="N202" s="32">
        <f>VLOOKUP($A202,$A$4:$O$28,10,0)*(HLOOKUP(N$179,'2.2.Brecha Efectiva x UdM'!$H$25:$AK$32,6,0))</f>
        <v>0</v>
      </c>
      <c r="O202" s="32">
        <f>VLOOKUP($A202,$A$4:$O$28,10,0)*(HLOOKUP(O$179,'2.2.Brecha Efectiva x UdM'!$H$25:$AK$32,6,0))</f>
        <v>0</v>
      </c>
      <c r="P202" s="32">
        <f>VLOOKUP($A202,$A$4:$O$28,10,0)*(HLOOKUP(P$179,'2.2.Brecha Efectiva x UdM'!$H$25:$AK$32,6,0))</f>
        <v>0</v>
      </c>
      <c r="Q202" s="32">
        <f>VLOOKUP($A202,$A$4:$O$28,10,0)*(HLOOKUP(Q$179,'2.2.Brecha Efectiva x UdM'!$H$25:$AK$32,6,0))</f>
        <v>0</v>
      </c>
      <c r="R202" s="32">
        <f>VLOOKUP($A202,$A$4:$O$28,10,0)*(HLOOKUP(R$179,'2.2.Brecha Efectiva x UdM'!$H$25:$AK$32,6,0))</f>
        <v>0</v>
      </c>
      <c r="S202" s="32">
        <f>VLOOKUP($A202,$A$4:$O$28,10,0)*(HLOOKUP(S$179,'2.2.Brecha Efectiva x UdM'!$H$25:$AK$32,6,0))</f>
        <v>0</v>
      </c>
      <c r="T202" s="32">
        <f>VLOOKUP($A202,$A$4:$O$28,10,0)*(HLOOKUP(T$179,'2.2.Brecha Efectiva x UdM'!$H$25:$AK$32,6,0))</f>
        <v>0</v>
      </c>
      <c r="U202" s="32">
        <f>VLOOKUP($A202,$A$4:$O$28,10,0)*(HLOOKUP(U$179,'2.2.Brecha Efectiva x UdM'!$H$25:$AK$32,6,0))</f>
        <v>0</v>
      </c>
      <c r="V202" s="32">
        <f>VLOOKUP($A202,$A$4:$O$28,10,0)*(HLOOKUP(V$179,'2.2.Brecha Efectiva x UdM'!$H$25:$AK$32,6,0))</f>
        <v>0</v>
      </c>
      <c r="W202" s="32">
        <f>VLOOKUP($A202,$A$4:$O$28,10,0)*(HLOOKUP(W$179,'2.2.Brecha Efectiva x UdM'!$H$25:$AK$32,6,0))</f>
        <v>0</v>
      </c>
      <c r="X202" s="32">
        <f>VLOOKUP($A202,$A$4:$O$28,10,0)*(HLOOKUP(X$179,'2.2.Brecha Efectiva x UdM'!$H$25:$AK$32,6,0))</f>
        <v>0</v>
      </c>
      <c r="Y202" s="32">
        <f>VLOOKUP($A202,$A$4:$O$28,10,0)*(HLOOKUP(Y$179,'2.2.Brecha Efectiva x UdM'!$H$25:$AK$32,6,0))</f>
        <v>0</v>
      </c>
      <c r="Z202" s="32">
        <f>VLOOKUP($A202,$A$4:$O$28,10,0)*(HLOOKUP(Z$179,'2.2.Brecha Efectiva x UdM'!$H$25:$AK$32,6,0))</f>
        <v>0</v>
      </c>
      <c r="AA202" s="32">
        <f>VLOOKUP($A202,$A$4:$O$28,10,0)*(HLOOKUP(AA$179,'2.2.Brecha Efectiva x UdM'!$H$25:$AK$32,6,0))</f>
        <v>0</v>
      </c>
      <c r="AB202" s="32">
        <f>VLOOKUP($A202,$A$4:$O$28,10,0)*(HLOOKUP(AB$179,'2.2.Brecha Efectiva x UdM'!$H$25:$AK$32,6,0))</f>
        <v>0</v>
      </c>
      <c r="AC202" s="32">
        <f>VLOOKUP($A202,$A$4:$O$28,10,0)*(HLOOKUP(AC$179,'2.2.Brecha Efectiva x UdM'!$H$25:$AK$32,6,0))</f>
        <v>0</v>
      </c>
      <c r="AD202" s="32">
        <f>VLOOKUP($A202,$A$4:$O$28,10,0)*(HLOOKUP(AD$179,'2.2.Brecha Efectiva x UdM'!$H$25:$AK$32,6,0))</f>
        <v>0</v>
      </c>
      <c r="AE202" s="32">
        <f>VLOOKUP($A202,$A$4:$O$28,10,0)*(HLOOKUP(AE$179,'2.2.Brecha Efectiva x UdM'!$H$25:$AK$32,6,0))</f>
        <v>0</v>
      </c>
      <c r="AF202" s="32">
        <f>VLOOKUP($A202,$A$4:$O$28,10,0)*(HLOOKUP(AF$179,'2.2.Brecha Efectiva x UdM'!$H$25:$AK$32,6,0))</f>
        <v>0</v>
      </c>
      <c r="AG202" s="32">
        <f>VLOOKUP($A202,$A$4:$O$28,10,0)*(HLOOKUP(AG$179,'2.2.Brecha Efectiva x UdM'!$H$25:$AK$32,6,0))</f>
        <v>0</v>
      </c>
      <c r="AH202" s="62">
        <f t="shared" si="195"/>
        <v>0</v>
      </c>
    </row>
    <row r="203" spans="1:34" hidden="1" x14ac:dyDescent="0.2">
      <c r="A203" s="26" t="str">
        <f t="shared" si="192"/>
        <v>Tucumán</v>
      </c>
      <c r="B203" s="52">
        <f t="shared" si="193"/>
        <v>0</v>
      </c>
      <c r="C203" s="26" t="str">
        <f t="shared" si="194"/>
        <v>Tucumán 0</v>
      </c>
      <c r="D203" s="31">
        <f>VLOOKUP($A203,$A$4:$O$28,10,0)*(HLOOKUP(D$179,'2.2.Brecha Efectiva x UdM'!$H$25:$AK$32,6,0))</f>
        <v>0</v>
      </c>
      <c r="E203" s="31">
        <f>VLOOKUP($A203,$A$4:$O$28,10,0)*(HLOOKUP(E$179,'2.2.Brecha Efectiva x UdM'!$H$25:$AK$32,6,0))</f>
        <v>0</v>
      </c>
      <c r="F203" s="31">
        <f>VLOOKUP($A203,$A$4:$O$28,10,0)*(HLOOKUP(F$179,'2.2.Brecha Efectiva x UdM'!$H$25:$AK$32,6,0))</f>
        <v>0</v>
      </c>
      <c r="G203" s="31">
        <f>VLOOKUP($A203,$A$4:$O$28,10,0)*(HLOOKUP(G$179,'2.2.Brecha Efectiva x UdM'!$H$25:$AK$32,6,0))</f>
        <v>0</v>
      </c>
      <c r="H203" s="31">
        <f>VLOOKUP($A203,$A$4:$O$28,10,0)*(HLOOKUP(H$179,'2.2.Brecha Efectiva x UdM'!$H$25:$AK$32,6,0))</f>
        <v>0</v>
      </c>
      <c r="I203" s="31">
        <f>VLOOKUP($A203,$A$4:$O$28,10,0)*(HLOOKUP(I$179,'2.2.Brecha Efectiva x UdM'!$H$25:$AK$32,6,0))</f>
        <v>0</v>
      </c>
      <c r="J203" s="31">
        <f>VLOOKUP($A203,$A$4:$O$28,10,0)*(HLOOKUP(J$179,'2.2.Brecha Efectiva x UdM'!$H$25:$AK$32,6,0))</f>
        <v>0</v>
      </c>
      <c r="K203" s="31">
        <f>VLOOKUP($A203,$A$4:$O$28,10,0)*(HLOOKUP(K$179,'2.2.Brecha Efectiva x UdM'!$H$25:$AK$32,6,0))</f>
        <v>0</v>
      </c>
      <c r="L203" s="31">
        <f>VLOOKUP($A203,$A$4:$O$28,10,0)*(HLOOKUP(L$179,'2.2.Brecha Efectiva x UdM'!$H$25:$AK$32,6,0))</f>
        <v>0</v>
      </c>
      <c r="M203" s="31">
        <f>VLOOKUP($A203,$A$4:$O$28,10,0)*(HLOOKUP(M$179,'2.2.Brecha Efectiva x UdM'!$H$25:$AK$32,6,0))</f>
        <v>0</v>
      </c>
      <c r="N203" s="31">
        <f>VLOOKUP($A203,$A$4:$O$28,10,0)*(HLOOKUP(N$179,'2.2.Brecha Efectiva x UdM'!$H$25:$AK$32,6,0))</f>
        <v>0</v>
      </c>
      <c r="O203" s="31">
        <f>VLOOKUP($A203,$A$4:$O$28,10,0)*(HLOOKUP(O$179,'2.2.Brecha Efectiva x UdM'!$H$25:$AK$32,6,0))</f>
        <v>0</v>
      </c>
      <c r="P203" s="31">
        <f>VLOOKUP($A203,$A$4:$O$28,10,0)*(HLOOKUP(P$179,'2.2.Brecha Efectiva x UdM'!$H$25:$AK$32,6,0))</f>
        <v>0</v>
      </c>
      <c r="Q203" s="31">
        <f>VLOOKUP($A203,$A$4:$O$28,10,0)*(HLOOKUP(Q$179,'2.2.Brecha Efectiva x UdM'!$H$25:$AK$32,6,0))</f>
        <v>0</v>
      </c>
      <c r="R203" s="31">
        <f>VLOOKUP($A203,$A$4:$O$28,10,0)*(HLOOKUP(R$179,'2.2.Brecha Efectiva x UdM'!$H$25:$AK$32,6,0))</f>
        <v>0</v>
      </c>
      <c r="S203" s="31">
        <f>VLOOKUP($A203,$A$4:$O$28,10,0)*(HLOOKUP(S$179,'2.2.Brecha Efectiva x UdM'!$H$25:$AK$32,6,0))</f>
        <v>0</v>
      </c>
      <c r="T203" s="31">
        <f>VLOOKUP($A203,$A$4:$O$28,10,0)*(HLOOKUP(T$179,'2.2.Brecha Efectiva x UdM'!$H$25:$AK$32,6,0))</f>
        <v>0</v>
      </c>
      <c r="U203" s="31">
        <f>VLOOKUP($A203,$A$4:$O$28,10,0)*(HLOOKUP(U$179,'2.2.Brecha Efectiva x UdM'!$H$25:$AK$32,6,0))</f>
        <v>0</v>
      </c>
      <c r="V203" s="31">
        <f>VLOOKUP($A203,$A$4:$O$28,10,0)*(HLOOKUP(V$179,'2.2.Brecha Efectiva x UdM'!$H$25:$AK$32,6,0))</f>
        <v>0</v>
      </c>
      <c r="W203" s="31">
        <f>VLOOKUP($A203,$A$4:$O$28,10,0)*(HLOOKUP(W$179,'2.2.Brecha Efectiva x UdM'!$H$25:$AK$32,6,0))</f>
        <v>0</v>
      </c>
      <c r="X203" s="31">
        <f>VLOOKUP($A203,$A$4:$O$28,10,0)*(HLOOKUP(X$179,'2.2.Brecha Efectiva x UdM'!$H$25:$AK$32,6,0))</f>
        <v>0</v>
      </c>
      <c r="Y203" s="31">
        <f>VLOOKUP($A203,$A$4:$O$28,10,0)*(HLOOKUP(Y$179,'2.2.Brecha Efectiva x UdM'!$H$25:$AK$32,6,0))</f>
        <v>0</v>
      </c>
      <c r="Z203" s="31">
        <f>VLOOKUP($A203,$A$4:$O$28,10,0)*(HLOOKUP(Z$179,'2.2.Brecha Efectiva x UdM'!$H$25:$AK$32,6,0))</f>
        <v>0</v>
      </c>
      <c r="AA203" s="31">
        <f>VLOOKUP($A203,$A$4:$O$28,10,0)*(HLOOKUP(AA$179,'2.2.Brecha Efectiva x UdM'!$H$25:$AK$32,6,0))</f>
        <v>0</v>
      </c>
      <c r="AB203" s="31">
        <f>VLOOKUP($A203,$A$4:$O$28,10,0)*(HLOOKUP(AB$179,'2.2.Brecha Efectiva x UdM'!$H$25:$AK$32,6,0))</f>
        <v>0</v>
      </c>
      <c r="AC203" s="31">
        <f>VLOOKUP($A203,$A$4:$O$28,10,0)*(HLOOKUP(AC$179,'2.2.Brecha Efectiva x UdM'!$H$25:$AK$32,6,0))</f>
        <v>0</v>
      </c>
      <c r="AD203" s="31">
        <f>VLOOKUP($A203,$A$4:$O$28,10,0)*(HLOOKUP(AD$179,'2.2.Brecha Efectiva x UdM'!$H$25:$AK$32,6,0))</f>
        <v>0</v>
      </c>
      <c r="AE203" s="31">
        <f>VLOOKUP($A203,$A$4:$O$28,10,0)*(HLOOKUP(AE$179,'2.2.Brecha Efectiva x UdM'!$H$25:$AK$32,6,0))</f>
        <v>0</v>
      </c>
      <c r="AF203" s="31">
        <f>VLOOKUP($A203,$A$4:$O$28,10,0)*(HLOOKUP(AF$179,'2.2.Brecha Efectiva x UdM'!$H$25:$AK$32,6,0))</f>
        <v>0</v>
      </c>
      <c r="AG203" s="31">
        <f>VLOOKUP($A203,$A$4:$O$28,10,0)*(HLOOKUP(AG$179,'2.2.Brecha Efectiva x UdM'!$H$25:$AK$32,6,0))</f>
        <v>0</v>
      </c>
      <c r="AH203" s="63">
        <f t="shared" si="195"/>
        <v>0</v>
      </c>
    </row>
    <row r="204" spans="1:34" hidden="1" x14ac:dyDescent="0.2">
      <c r="A204" s="34" t="str">
        <f>CONCATENATE("Total"," ",B180)</f>
        <v>Total 0</v>
      </c>
      <c r="B204" s="29"/>
      <c r="C204" s="13"/>
      <c r="D204" s="13">
        <f>SUM(D180:D203)</f>
        <v>0</v>
      </c>
      <c r="E204" s="13">
        <f t="shared" ref="E204:AG204" si="196">SUM(E180:E203)</f>
        <v>0</v>
      </c>
      <c r="F204" s="13">
        <f t="shared" si="196"/>
        <v>0</v>
      </c>
      <c r="G204" s="13">
        <f t="shared" si="196"/>
        <v>0</v>
      </c>
      <c r="H204" s="13">
        <f t="shared" si="196"/>
        <v>0</v>
      </c>
      <c r="I204" s="13">
        <f t="shared" si="196"/>
        <v>0</v>
      </c>
      <c r="J204" s="13">
        <f t="shared" si="196"/>
        <v>0</v>
      </c>
      <c r="K204" s="13">
        <f t="shared" si="196"/>
        <v>0</v>
      </c>
      <c r="L204" s="13">
        <f t="shared" si="196"/>
        <v>0</v>
      </c>
      <c r="M204" s="13">
        <f t="shared" si="196"/>
        <v>0</v>
      </c>
      <c r="N204" s="13">
        <f t="shared" si="196"/>
        <v>0</v>
      </c>
      <c r="O204" s="13">
        <f t="shared" si="196"/>
        <v>0</v>
      </c>
      <c r="P204" s="13">
        <f t="shared" si="196"/>
        <v>0</v>
      </c>
      <c r="Q204" s="13">
        <f t="shared" si="196"/>
        <v>0</v>
      </c>
      <c r="R204" s="13">
        <f t="shared" si="196"/>
        <v>0</v>
      </c>
      <c r="S204" s="13">
        <f t="shared" si="196"/>
        <v>0</v>
      </c>
      <c r="T204" s="13">
        <f t="shared" si="196"/>
        <v>0</v>
      </c>
      <c r="U204" s="13">
        <f t="shared" si="196"/>
        <v>0</v>
      </c>
      <c r="V204" s="13">
        <f t="shared" si="196"/>
        <v>0</v>
      </c>
      <c r="W204" s="13">
        <f t="shared" si="196"/>
        <v>0</v>
      </c>
      <c r="X204" s="13">
        <f t="shared" si="196"/>
        <v>0</v>
      </c>
      <c r="Y204" s="13">
        <f t="shared" si="196"/>
        <v>0</v>
      </c>
      <c r="Z204" s="13">
        <f t="shared" si="196"/>
        <v>0</v>
      </c>
      <c r="AA204" s="13">
        <f t="shared" si="196"/>
        <v>0</v>
      </c>
      <c r="AB204" s="13">
        <f t="shared" si="196"/>
        <v>0</v>
      </c>
      <c r="AC204" s="13">
        <f t="shared" si="196"/>
        <v>0</v>
      </c>
      <c r="AD204" s="13">
        <f t="shared" si="196"/>
        <v>0</v>
      </c>
      <c r="AE204" s="13">
        <f t="shared" si="196"/>
        <v>0</v>
      </c>
      <c r="AF204" s="13">
        <f t="shared" si="196"/>
        <v>0</v>
      </c>
      <c r="AG204" s="13">
        <f t="shared" si="196"/>
        <v>0</v>
      </c>
      <c r="AH204" s="13">
        <f t="shared" si="195"/>
        <v>0</v>
      </c>
    </row>
    <row r="205" spans="1:34" hidden="1" x14ac:dyDescent="0.2">
      <c r="A205" s="34" t="str">
        <f>CONCATENATE("Total Acumulado"," ",B180)</f>
        <v>Total Acumulado 0</v>
      </c>
      <c r="B205" s="29"/>
      <c r="C205" s="13"/>
      <c r="D205" s="13">
        <f>D204</f>
        <v>0</v>
      </c>
      <c r="E205" s="13">
        <f>E204+D205</f>
        <v>0</v>
      </c>
      <c r="F205" s="13">
        <f t="shared" ref="F205" si="197">F204+E205</f>
        <v>0</v>
      </c>
      <c r="G205" s="13">
        <f t="shared" ref="G205" si="198">G204+F205</f>
        <v>0</v>
      </c>
      <c r="H205" s="13">
        <f t="shared" ref="H205" si="199">H204+G205</f>
        <v>0</v>
      </c>
      <c r="I205" s="13">
        <f t="shared" ref="I205" si="200">I204+H205</f>
        <v>0</v>
      </c>
      <c r="J205" s="13">
        <f t="shared" ref="J205" si="201">J204+I205</f>
        <v>0</v>
      </c>
      <c r="K205" s="13">
        <f t="shared" ref="K205" si="202">K204+J205</f>
        <v>0</v>
      </c>
      <c r="L205" s="13">
        <f t="shared" ref="L205" si="203">L204+K205</f>
        <v>0</v>
      </c>
      <c r="M205" s="13">
        <f t="shared" ref="M205" si="204">M204+L205</f>
        <v>0</v>
      </c>
      <c r="N205" s="13">
        <f t="shared" ref="N205" si="205">N204+M205</f>
        <v>0</v>
      </c>
      <c r="O205" s="13">
        <f t="shared" ref="O205" si="206">O204+N205</f>
        <v>0</v>
      </c>
      <c r="P205" s="13">
        <f t="shared" ref="P205" si="207">P204+O205</f>
        <v>0</v>
      </c>
      <c r="Q205" s="13">
        <f t="shared" ref="Q205" si="208">Q204+P205</f>
        <v>0</v>
      </c>
      <c r="R205" s="13">
        <f t="shared" ref="R205" si="209">R204+Q205</f>
        <v>0</v>
      </c>
      <c r="S205" s="13">
        <f t="shared" ref="S205" si="210">S204+R205</f>
        <v>0</v>
      </c>
      <c r="T205" s="13">
        <f t="shared" ref="T205" si="211">T204+S205</f>
        <v>0</v>
      </c>
      <c r="U205" s="13">
        <f t="shared" ref="U205" si="212">U204+T205</f>
        <v>0</v>
      </c>
      <c r="V205" s="13">
        <f t="shared" ref="V205" si="213">V204+U205</f>
        <v>0</v>
      </c>
      <c r="W205" s="13">
        <f t="shared" ref="W205" si="214">W204+V205</f>
        <v>0</v>
      </c>
      <c r="X205" s="13">
        <f t="shared" ref="X205" si="215">X204+W205</f>
        <v>0</v>
      </c>
      <c r="Y205" s="13">
        <f t="shared" ref="Y205" si="216">Y204+X205</f>
        <v>0</v>
      </c>
      <c r="Z205" s="13">
        <f t="shared" ref="Z205" si="217">Z204+Y205</f>
        <v>0</v>
      </c>
      <c r="AA205" s="13">
        <f t="shared" ref="AA205" si="218">AA204+Z205</f>
        <v>0</v>
      </c>
      <c r="AB205" s="13">
        <f t="shared" ref="AB205" si="219">AB204+AA205</f>
        <v>0</v>
      </c>
      <c r="AC205" s="13">
        <f t="shared" ref="AC205" si="220">AC204+AB205</f>
        <v>0</v>
      </c>
      <c r="AD205" s="13">
        <f t="shared" ref="AD205" si="221">AD204+AC205</f>
        <v>0</v>
      </c>
      <c r="AE205" s="13">
        <f t="shared" ref="AE205" si="222">AE204+AD205</f>
        <v>0</v>
      </c>
      <c r="AF205" s="13">
        <f t="shared" ref="AF205" si="223">AF204+AE205</f>
        <v>0</v>
      </c>
      <c r="AG205" s="13">
        <f t="shared" ref="AG205" si="224">AG204+AF205</f>
        <v>0</v>
      </c>
    </row>
    <row r="206" spans="1:34" hidden="1" x14ac:dyDescent="0.2"/>
    <row r="207" spans="1:34" hidden="1" x14ac:dyDescent="0.2">
      <c r="A207" s="33" t="s">
        <v>41</v>
      </c>
      <c r="D207" t="b">
        <f>D204='2.2.Brecha Efectiva x UdM'!H30</f>
        <v>1</v>
      </c>
      <c r="E207" t="b">
        <f>E204='2.2.Brecha Efectiva x UdM'!I30</f>
        <v>1</v>
      </c>
      <c r="F207" t="b">
        <f>F204='2.2.Brecha Efectiva x UdM'!J30</f>
        <v>1</v>
      </c>
      <c r="G207" t="b">
        <f>G204='2.2.Brecha Efectiva x UdM'!K30</f>
        <v>1</v>
      </c>
    </row>
    <row r="208" spans="1:34" hidden="1" x14ac:dyDescent="0.2">
      <c r="G208" t="b">
        <f>AG205=SUM('2.2.Brecha Efectiva x UdM'!H30:AK30)</f>
        <v>1</v>
      </c>
    </row>
    <row r="209" spans="1:34" hidden="1" x14ac:dyDescent="0.2"/>
    <row r="210" spans="1:34" hidden="1" x14ac:dyDescent="0.2">
      <c r="A210" s="46" t="s">
        <v>64</v>
      </c>
    </row>
    <row r="211" spans="1:34" hidden="1" x14ac:dyDescent="0.2"/>
    <row r="212" spans="1:34" hidden="1" x14ac:dyDescent="0.2">
      <c r="A212" s="24" t="s">
        <v>18</v>
      </c>
      <c r="B212" s="24" t="s">
        <v>42</v>
      </c>
      <c r="C212" s="24" t="s">
        <v>43</v>
      </c>
      <c r="D212" s="6">
        <v>2024</v>
      </c>
      <c r="E212" s="6">
        <v>2025</v>
      </c>
      <c r="F212" s="6">
        <v>2026</v>
      </c>
      <c r="G212" s="6">
        <v>2027</v>
      </c>
      <c r="H212" s="6">
        <v>2028</v>
      </c>
      <c r="I212" s="6">
        <v>2029</v>
      </c>
      <c r="J212" s="6">
        <v>2030</v>
      </c>
      <c r="K212" s="6">
        <v>2031</v>
      </c>
      <c r="L212" s="6">
        <v>2032</v>
      </c>
      <c r="M212" s="6">
        <v>2033</v>
      </c>
      <c r="N212" s="50">
        <v>2034</v>
      </c>
      <c r="O212" s="50">
        <v>2035</v>
      </c>
      <c r="P212" s="50">
        <v>2036</v>
      </c>
      <c r="Q212" s="50">
        <v>2037</v>
      </c>
      <c r="R212" s="50">
        <v>2038</v>
      </c>
      <c r="S212" s="50">
        <v>2039</v>
      </c>
      <c r="T212" s="50">
        <v>2040</v>
      </c>
      <c r="U212" s="50">
        <v>2041</v>
      </c>
      <c r="V212" s="50">
        <v>2042</v>
      </c>
      <c r="W212" s="50">
        <v>2043</v>
      </c>
      <c r="X212" s="50">
        <v>2044</v>
      </c>
      <c r="Y212" s="50">
        <v>2045</v>
      </c>
      <c r="Z212" s="50">
        <v>2046</v>
      </c>
      <c r="AA212" s="50">
        <v>2047</v>
      </c>
      <c r="AB212" s="50">
        <v>2048</v>
      </c>
      <c r="AC212" s="50">
        <v>2049</v>
      </c>
      <c r="AD212" s="50">
        <v>2050</v>
      </c>
      <c r="AE212" s="50">
        <v>2051</v>
      </c>
      <c r="AF212" s="50">
        <v>2052</v>
      </c>
      <c r="AG212" s="50">
        <v>2053</v>
      </c>
      <c r="AH212" s="6" t="s">
        <v>1</v>
      </c>
    </row>
    <row r="213" spans="1:34" hidden="1" x14ac:dyDescent="0.2">
      <c r="A213" s="25" t="str">
        <f>A4</f>
        <v>Buenos Aires</v>
      </c>
      <c r="B213" s="51">
        <f>$M$3</f>
        <v>0</v>
      </c>
      <c r="C213" s="25" t="str">
        <f>CONCATENATE(A213," ",B213)</f>
        <v>Buenos Aires 0</v>
      </c>
      <c r="D213" s="32">
        <f>VLOOKUP($A213,$A$4:$O$28,12,0)*(HLOOKUP(D$212,'2.2.Brecha Efectiva x UdM'!$H$25:$AK$32,7,0))</f>
        <v>0</v>
      </c>
      <c r="E213" s="32">
        <f>VLOOKUP($A213,$A$4:$O$28,12,0)*(HLOOKUP(E$212,'2.2.Brecha Efectiva x UdM'!$H$25:$AK$32,7,0))</f>
        <v>0</v>
      </c>
      <c r="F213" s="32">
        <f>VLOOKUP($A213,$A$4:$O$28,12,0)*(HLOOKUP(F$212,'2.2.Brecha Efectiva x UdM'!$H$25:$AK$32,7,0))</f>
        <v>0</v>
      </c>
      <c r="G213" s="32">
        <f>VLOOKUP($A213,$A$4:$O$28,12,0)*(HLOOKUP(G$212,'2.2.Brecha Efectiva x UdM'!$H$25:$AK$32,7,0))</f>
        <v>0</v>
      </c>
      <c r="H213" s="32">
        <f>VLOOKUP($A213,$A$4:$O$28,12,0)*(HLOOKUP(H$212,'2.2.Brecha Efectiva x UdM'!$H$25:$AK$32,7,0))</f>
        <v>0</v>
      </c>
      <c r="I213" s="32">
        <f>VLOOKUP($A213,$A$4:$O$28,12,0)*(HLOOKUP(I$212,'2.2.Brecha Efectiva x UdM'!$H$25:$AK$32,7,0))</f>
        <v>0</v>
      </c>
      <c r="J213" s="32">
        <f>VLOOKUP($A213,$A$4:$O$28,12,0)*(HLOOKUP(J$212,'2.2.Brecha Efectiva x UdM'!$H$25:$AK$32,7,0))</f>
        <v>0</v>
      </c>
      <c r="K213" s="32">
        <f>VLOOKUP($A213,$A$4:$O$28,12,0)*(HLOOKUP(K$212,'2.2.Brecha Efectiva x UdM'!$H$25:$AK$32,7,0))</f>
        <v>0</v>
      </c>
      <c r="L213" s="32">
        <f>VLOOKUP($A213,$A$4:$O$28,12,0)*(HLOOKUP(L$212,'2.2.Brecha Efectiva x UdM'!$H$25:$AK$32,7,0))</f>
        <v>0</v>
      </c>
      <c r="M213" s="32">
        <f>VLOOKUP($A213,$A$4:$O$28,12,0)*(HLOOKUP(M$212,'2.2.Brecha Efectiva x UdM'!$H$25:$AK$32,7,0))</f>
        <v>0</v>
      </c>
      <c r="N213" s="32">
        <f>VLOOKUP($A213,$A$4:$O$28,12,0)*(HLOOKUP(N$212,'2.2.Brecha Efectiva x UdM'!$H$25:$AK$32,7,0))</f>
        <v>0</v>
      </c>
      <c r="O213" s="32">
        <f>VLOOKUP($A213,$A$4:$O$28,12,0)*(HLOOKUP(O$212,'2.2.Brecha Efectiva x UdM'!$H$25:$AK$32,7,0))</f>
        <v>0</v>
      </c>
      <c r="P213" s="32">
        <f>VLOOKUP($A213,$A$4:$O$28,12,0)*(HLOOKUP(P$212,'2.2.Brecha Efectiva x UdM'!$H$25:$AK$32,7,0))</f>
        <v>0</v>
      </c>
      <c r="Q213" s="32">
        <f>VLOOKUP($A213,$A$4:$O$28,12,0)*(HLOOKUP(Q$212,'2.2.Brecha Efectiva x UdM'!$H$25:$AK$32,7,0))</f>
        <v>0</v>
      </c>
      <c r="R213" s="32">
        <f>VLOOKUP($A213,$A$4:$O$28,12,0)*(HLOOKUP(R$212,'2.2.Brecha Efectiva x UdM'!$H$25:$AK$32,7,0))</f>
        <v>0</v>
      </c>
      <c r="S213" s="32">
        <f>VLOOKUP($A213,$A$4:$O$28,12,0)*(HLOOKUP(S$212,'2.2.Brecha Efectiva x UdM'!$H$25:$AK$32,7,0))</f>
        <v>0</v>
      </c>
      <c r="T213" s="32">
        <f>VLOOKUP($A213,$A$4:$O$28,12,0)*(HLOOKUP(T$212,'2.2.Brecha Efectiva x UdM'!$H$25:$AK$32,7,0))</f>
        <v>0</v>
      </c>
      <c r="U213" s="32">
        <f>VLOOKUP($A213,$A$4:$O$28,12,0)*(HLOOKUP(U$212,'2.2.Brecha Efectiva x UdM'!$H$25:$AK$32,7,0))</f>
        <v>0</v>
      </c>
      <c r="V213" s="32">
        <f>VLOOKUP($A213,$A$4:$O$28,12,0)*(HLOOKUP(V$212,'2.2.Brecha Efectiva x UdM'!$H$25:$AK$32,7,0))</f>
        <v>0</v>
      </c>
      <c r="W213" s="32">
        <f>VLOOKUP($A213,$A$4:$O$28,12,0)*(HLOOKUP(W$212,'2.2.Brecha Efectiva x UdM'!$H$25:$AK$32,7,0))</f>
        <v>0</v>
      </c>
      <c r="X213" s="32">
        <f>VLOOKUP($A213,$A$4:$O$28,12,0)*(HLOOKUP(X$212,'2.2.Brecha Efectiva x UdM'!$H$25:$AK$32,7,0))</f>
        <v>0</v>
      </c>
      <c r="Y213" s="32">
        <f>VLOOKUP($A213,$A$4:$O$28,12,0)*(HLOOKUP(Y$212,'2.2.Brecha Efectiva x UdM'!$H$25:$AK$32,7,0))</f>
        <v>0</v>
      </c>
      <c r="Z213" s="32">
        <f>VLOOKUP($A213,$A$4:$O$28,12,0)*(HLOOKUP(Z$212,'2.2.Brecha Efectiva x UdM'!$H$25:$AK$32,7,0))</f>
        <v>0</v>
      </c>
      <c r="AA213" s="32">
        <f>VLOOKUP($A213,$A$4:$O$28,12,0)*(HLOOKUP(AA$212,'2.2.Brecha Efectiva x UdM'!$H$25:$AK$32,7,0))</f>
        <v>0</v>
      </c>
      <c r="AB213" s="32">
        <f>VLOOKUP($A213,$A$4:$O$28,12,0)*(HLOOKUP(AB$212,'2.2.Brecha Efectiva x UdM'!$H$25:$AK$32,7,0))</f>
        <v>0</v>
      </c>
      <c r="AC213" s="32">
        <f>VLOOKUP($A213,$A$4:$O$28,12,0)*(HLOOKUP(AC$212,'2.2.Brecha Efectiva x UdM'!$H$25:$AK$32,7,0))</f>
        <v>0</v>
      </c>
      <c r="AD213" s="32">
        <f>VLOOKUP($A213,$A$4:$O$28,12,0)*(HLOOKUP(AD$212,'2.2.Brecha Efectiva x UdM'!$H$25:$AK$32,7,0))</f>
        <v>0</v>
      </c>
      <c r="AE213" s="32">
        <f>VLOOKUP($A213,$A$4:$O$28,12,0)*(HLOOKUP(AE$212,'2.2.Brecha Efectiva x UdM'!$H$25:$AK$32,7,0))</f>
        <v>0</v>
      </c>
      <c r="AF213" s="32">
        <f>VLOOKUP($A213,$A$4:$O$28,12,0)*(HLOOKUP(AF$212,'2.2.Brecha Efectiva x UdM'!$H$25:$AK$32,7,0))</f>
        <v>0</v>
      </c>
      <c r="AG213" s="32">
        <f>VLOOKUP($A213,$A$4:$O$28,12,0)*(HLOOKUP(AG$212,'2.2.Brecha Efectiva x UdM'!$H$25:$AK$32,7,0))</f>
        <v>0</v>
      </c>
      <c r="AH213" s="62">
        <f>SUM(D213:AG213)</f>
        <v>0</v>
      </c>
    </row>
    <row r="214" spans="1:34" hidden="1" x14ac:dyDescent="0.2">
      <c r="A214" s="26" t="str">
        <f t="shared" ref="A214:A236" si="225">A5</f>
        <v>CABA</v>
      </c>
      <c r="B214" s="52">
        <f t="shared" ref="B214:B236" si="226">$M$3</f>
        <v>0</v>
      </c>
      <c r="C214" s="26" t="str">
        <f t="shared" ref="C214:C236" si="227">CONCATENATE(A214," ",B214)</f>
        <v>CABA 0</v>
      </c>
      <c r="D214" s="31">
        <f>VLOOKUP($A214,$A$4:$O$28,12,0)*(HLOOKUP(D$212,'2.2.Brecha Efectiva x UdM'!$H$25:$AK$32,7,0))</f>
        <v>0</v>
      </c>
      <c r="E214" s="31">
        <f>VLOOKUP($A214,$A$4:$O$28,12,0)*(HLOOKUP(E$212,'2.2.Brecha Efectiva x UdM'!$H$25:$AK$32,7,0))</f>
        <v>0</v>
      </c>
      <c r="F214" s="31">
        <f>VLOOKUP($A214,$A$4:$O$28,12,0)*(HLOOKUP(F$212,'2.2.Brecha Efectiva x UdM'!$H$25:$AK$32,7,0))</f>
        <v>0</v>
      </c>
      <c r="G214" s="31">
        <f>VLOOKUP($A214,$A$4:$O$28,12,0)*(HLOOKUP(G$212,'2.2.Brecha Efectiva x UdM'!$H$25:$AK$32,7,0))</f>
        <v>0</v>
      </c>
      <c r="H214" s="31">
        <f>VLOOKUP($A214,$A$4:$O$28,12,0)*(HLOOKUP(H$212,'2.2.Brecha Efectiva x UdM'!$H$25:$AK$32,7,0))</f>
        <v>0</v>
      </c>
      <c r="I214" s="31">
        <f>VLOOKUP($A214,$A$4:$O$28,12,0)*(HLOOKUP(I$212,'2.2.Brecha Efectiva x UdM'!$H$25:$AK$32,7,0))</f>
        <v>0</v>
      </c>
      <c r="J214" s="31">
        <f>VLOOKUP($A214,$A$4:$O$28,12,0)*(HLOOKUP(J$212,'2.2.Brecha Efectiva x UdM'!$H$25:$AK$32,7,0))</f>
        <v>0</v>
      </c>
      <c r="K214" s="31">
        <f>VLOOKUP($A214,$A$4:$O$28,12,0)*(HLOOKUP(K$212,'2.2.Brecha Efectiva x UdM'!$H$25:$AK$32,7,0))</f>
        <v>0</v>
      </c>
      <c r="L214" s="31">
        <f>VLOOKUP($A214,$A$4:$O$28,12,0)*(HLOOKUP(L$212,'2.2.Brecha Efectiva x UdM'!$H$25:$AK$32,7,0))</f>
        <v>0</v>
      </c>
      <c r="M214" s="31">
        <f>VLOOKUP($A214,$A$4:$O$28,12,0)*(HLOOKUP(M$212,'2.2.Brecha Efectiva x UdM'!$H$25:$AK$32,7,0))</f>
        <v>0</v>
      </c>
      <c r="N214" s="31">
        <f>VLOOKUP($A214,$A$4:$O$28,12,0)*(HLOOKUP(N$212,'2.2.Brecha Efectiva x UdM'!$H$25:$AK$32,7,0))</f>
        <v>0</v>
      </c>
      <c r="O214" s="31">
        <f>VLOOKUP($A214,$A$4:$O$28,12,0)*(HLOOKUP(O$212,'2.2.Brecha Efectiva x UdM'!$H$25:$AK$32,7,0))</f>
        <v>0</v>
      </c>
      <c r="P214" s="31">
        <f>VLOOKUP($A214,$A$4:$O$28,12,0)*(HLOOKUP(P$212,'2.2.Brecha Efectiva x UdM'!$H$25:$AK$32,7,0))</f>
        <v>0</v>
      </c>
      <c r="Q214" s="31">
        <f>VLOOKUP($A214,$A$4:$O$28,12,0)*(HLOOKUP(Q$212,'2.2.Brecha Efectiva x UdM'!$H$25:$AK$32,7,0))</f>
        <v>0</v>
      </c>
      <c r="R214" s="31">
        <f>VLOOKUP($A214,$A$4:$O$28,12,0)*(HLOOKUP(R$212,'2.2.Brecha Efectiva x UdM'!$H$25:$AK$32,7,0))</f>
        <v>0</v>
      </c>
      <c r="S214" s="31">
        <f>VLOOKUP($A214,$A$4:$O$28,12,0)*(HLOOKUP(S$212,'2.2.Brecha Efectiva x UdM'!$H$25:$AK$32,7,0))</f>
        <v>0</v>
      </c>
      <c r="T214" s="31">
        <f>VLOOKUP($A214,$A$4:$O$28,12,0)*(HLOOKUP(T$212,'2.2.Brecha Efectiva x UdM'!$H$25:$AK$32,7,0))</f>
        <v>0</v>
      </c>
      <c r="U214" s="31">
        <f>VLOOKUP($A214,$A$4:$O$28,12,0)*(HLOOKUP(U$212,'2.2.Brecha Efectiva x UdM'!$H$25:$AK$32,7,0))</f>
        <v>0</v>
      </c>
      <c r="V214" s="31">
        <f>VLOOKUP($A214,$A$4:$O$28,12,0)*(HLOOKUP(V$212,'2.2.Brecha Efectiva x UdM'!$H$25:$AK$32,7,0))</f>
        <v>0</v>
      </c>
      <c r="W214" s="31">
        <f>VLOOKUP($A214,$A$4:$O$28,12,0)*(HLOOKUP(W$212,'2.2.Brecha Efectiva x UdM'!$H$25:$AK$32,7,0))</f>
        <v>0</v>
      </c>
      <c r="X214" s="31">
        <f>VLOOKUP($A214,$A$4:$O$28,12,0)*(HLOOKUP(X$212,'2.2.Brecha Efectiva x UdM'!$H$25:$AK$32,7,0))</f>
        <v>0</v>
      </c>
      <c r="Y214" s="31">
        <f>VLOOKUP($A214,$A$4:$O$28,12,0)*(HLOOKUP(Y$212,'2.2.Brecha Efectiva x UdM'!$H$25:$AK$32,7,0))</f>
        <v>0</v>
      </c>
      <c r="Z214" s="31">
        <f>VLOOKUP($A214,$A$4:$O$28,12,0)*(HLOOKUP(Z$212,'2.2.Brecha Efectiva x UdM'!$H$25:$AK$32,7,0))</f>
        <v>0</v>
      </c>
      <c r="AA214" s="31">
        <f>VLOOKUP($A214,$A$4:$O$28,12,0)*(HLOOKUP(AA$212,'2.2.Brecha Efectiva x UdM'!$H$25:$AK$32,7,0))</f>
        <v>0</v>
      </c>
      <c r="AB214" s="31">
        <f>VLOOKUP($A214,$A$4:$O$28,12,0)*(HLOOKUP(AB$212,'2.2.Brecha Efectiva x UdM'!$H$25:$AK$32,7,0))</f>
        <v>0</v>
      </c>
      <c r="AC214" s="31">
        <f>VLOOKUP($A214,$A$4:$O$28,12,0)*(HLOOKUP(AC$212,'2.2.Brecha Efectiva x UdM'!$H$25:$AK$32,7,0))</f>
        <v>0</v>
      </c>
      <c r="AD214" s="31">
        <f>VLOOKUP($A214,$A$4:$O$28,12,0)*(HLOOKUP(AD$212,'2.2.Brecha Efectiva x UdM'!$H$25:$AK$32,7,0))</f>
        <v>0</v>
      </c>
      <c r="AE214" s="31">
        <f>VLOOKUP($A214,$A$4:$O$28,12,0)*(HLOOKUP(AE$212,'2.2.Brecha Efectiva x UdM'!$H$25:$AK$32,7,0))</f>
        <v>0</v>
      </c>
      <c r="AF214" s="31">
        <f>VLOOKUP($A214,$A$4:$O$28,12,0)*(HLOOKUP(AF$212,'2.2.Brecha Efectiva x UdM'!$H$25:$AK$32,7,0))</f>
        <v>0</v>
      </c>
      <c r="AG214" s="31">
        <f>VLOOKUP($A214,$A$4:$O$28,12,0)*(HLOOKUP(AG$212,'2.2.Brecha Efectiva x UdM'!$H$25:$AK$32,7,0))</f>
        <v>0</v>
      </c>
      <c r="AH214" s="63">
        <f>SUM(D214:AG214)</f>
        <v>0</v>
      </c>
    </row>
    <row r="215" spans="1:34" hidden="1" x14ac:dyDescent="0.2">
      <c r="A215" s="25" t="str">
        <f t="shared" si="225"/>
        <v>Catamarca</v>
      </c>
      <c r="B215" s="51">
        <f t="shared" si="226"/>
        <v>0</v>
      </c>
      <c r="C215" s="25" t="str">
        <f t="shared" si="227"/>
        <v>Catamarca 0</v>
      </c>
      <c r="D215" s="32">
        <f>VLOOKUP($A215,$A$4:$O$28,12,0)*(HLOOKUP(D$212,'2.2.Brecha Efectiva x UdM'!$H$25:$AK$32,7,0))</f>
        <v>0</v>
      </c>
      <c r="E215" s="32">
        <f>VLOOKUP($A215,$A$4:$O$28,12,0)*(HLOOKUP(E$212,'2.2.Brecha Efectiva x UdM'!$H$25:$AK$32,7,0))</f>
        <v>0</v>
      </c>
      <c r="F215" s="32">
        <f>VLOOKUP($A215,$A$4:$O$28,12,0)*(HLOOKUP(F$212,'2.2.Brecha Efectiva x UdM'!$H$25:$AK$32,7,0))</f>
        <v>0</v>
      </c>
      <c r="G215" s="32">
        <f>VLOOKUP($A215,$A$4:$O$28,12,0)*(HLOOKUP(G$212,'2.2.Brecha Efectiva x UdM'!$H$25:$AK$32,7,0))</f>
        <v>0</v>
      </c>
      <c r="H215" s="32">
        <f>VLOOKUP($A215,$A$4:$O$28,12,0)*(HLOOKUP(H$212,'2.2.Brecha Efectiva x UdM'!$H$25:$AK$32,7,0))</f>
        <v>0</v>
      </c>
      <c r="I215" s="32">
        <f>VLOOKUP($A215,$A$4:$O$28,12,0)*(HLOOKUP(I$212,'2.2.Brecha Efectiva x UdM'!$H$25:$AK$32,7,0))</f>
        <v>0</v>
      </c>
      <c r="J215" s="32">
        <f>VLOOKUP($A215,$A$4:$O$28,12,0)*(HLOOKUP(J$212,'2.2.Brecha Efectiva x UdM'!$H$25:$AK$32,7,0))</f>
        <v>0</v>
      </c>
      <c r="K215" s="32">
        <f>VLOOKUP($A215,$A$4:$O$28,12,0)*(HLOOKUP(K$212,'2.2.Brecha Efectiva x UdM'!$H$25:$AK$32,7,0))</f>
        <v>0</v>
      </c>
      <c r="L215" s="32">
        <f>VLOOKUP($A215,$A$4:$O$28,12,0)*(HLOOKUP(L$212,'2.2.Brecha Efectiva x UdM'!$H$25:$AK$32,7,0))</f>
        <v>0</v>
      </c>
      <c r="M215" s="32">
        <f>VLOOKUP($A215,$A$4:$O$28,12,0)*(HLOOKUP(M$212,'2.2.Brecha Efectiva x UdM'!$H$25:$AK$32,7,0))</f>
        <v>0</v>
      </c>
      <c r="N215" s="32">
        <f>VLOOKUP($A215,$A$4:$O$28,12,0)*(HLOOKUP(N$212,'2.2.Brecha Efectiva x UdM'!$H$25:$AK$32,7,0))</f>
        <v>0</v>
      </c>
      <c r="O215" s="32">
        <f>VLOOKUP($A215,$A$4:$O$28,12,0)*(HLOOKUP(O$212,'2.2.Brecha Efectiva x UdM'!$H$25:$AK$32,7,0))</f>
        <v>0</v>
      </c>
      <c r="P215" s="32">
        <f>VLOOKUP($A215,$A$4:$O$28,12,0)*(HLOOKUP(P$212,'2.2.Brecha Efectiva x UdM'!$H$25:$AK$32,7,0))</f>
        <v>0</v>
      </c>
      <c r="Q215" s="32">
        <f>VLOOKUP($A215,$A$4:$O$28,12,0)*(HLOOKUP(Q$212,'2.2.Brecha Efectiva x UdM'!$H$25:$AK$32,7,0))</f>
        <v>0</v>
      </c>
      <c r="R215" s="32">
        <f>VLOOKUP($A215,$A$4:$O$28,12,0)*(HLOOKUP(R$212,'2.2.Brecha Efectiva x UdM'!$H$25:$AK$32,7,0))</f>
        <v>0</v>
      </c>
      <c r="S215" s="32">
        <f>VLOOKUP($A215,$A$4:$O$28,12,0)*(HLOOKUP(S$212,'2.2.Brecha Efectiva x UdM'!$H$25:$AK$32,7,0))</f>
        <v>0</v>
      </c>
      <c r="T215" s="32">
        <f>VLOOKUP($A215,$A$4:$O$28,12,0)*(HLOOKUP(T$212,'2.2.Brecha Efectiva x UdM'!$H$25:$AK$32,7,0))</f>
        <v>0</v>
      </c>
      <c r="U215" s="32">
        <f>VLOOKUP($A215,$A$4:$O$28,12,0)*(HLOOKUP(U$212,'2.2.Brecha Efectiva x UdM'!$H$25:$AK$32,7,0))</f>
        <v>0</v>
      </c>
      <c r="V215" s="32">
        <f>VLOOKUP($A215,$A$4:$O$28,12,0)*(HLOOKUP(V$212,'2.2.Brecha Efectiva x UdM'!$H$25:$AK$32,7,0))</f>
        <v>0</v>
      </c>
      <c r="W215" s="32">
        <f>VLOOKUP($A215,$A$4:$O$28,12,0)*(HLOOKUP(W$212,'2.2.Brecha Efectiva x UdM'!$H$25:$AK$32,7,0))</f>
        <v>0</v>
      </c>
      <c r="X215" s="32">
        <f>VLOOKUP($A215,$A$4:$O$28,12,0)*(HLOOKUP(X$212,'2.2.Brecha Efectiva x UdM'!$H$25:$AK$32,7,0))</f>
        <v>0</v>
      </c>
      <c r="Y215" s="32">
        <f>VLOOKUP($A215,$A$4:$O$28,12,0)*(HLOOKUP(Y$212,'2.2.Brecha Efectiva x UdM'!$H$25:$AK$32,7,0))</f>
        <v>0</v>
      </c>
      <c r="Z215" s="32">
        <f>VLOOKUP($A215,$A$4:$O$28,12,0)*(HLOOKUP(Z$212,'2.2.Brecha Efectiva x UdM'!$H$25:$AK$32,7,0))</f>
        <v>0</v>
      </c>
      <c r="AA215" s="32">
        <f>VLOOKUP($A215,$A$4:$O$28,12,0)*(HLOOKUP(AA$212,'2.2.Brecha Efectiva x UdM'!$H$25:$AK$32,7,0))</f>
        <v>0</v>
      </c>
      <c r="AB215" s="32">
        <f>VLOOKUP($A215,$A$4:$O$28,12,0)*(HLOOKUP(AB$212,'2.2.Brecha Efectiva x UdM'!$H$25:$AK$32,7,0))</f>
        <v>0</v>
      </c>
      <c r="AC215" s="32">
        <f>VLOOKUP($A215,$A$4:$O$28,12,0)*(HLOOKUP(AC$212,'2.2.Brecha Efectiva x UdM'!$H$25:$AK$32,7,0))</f>
        <v>0</v>
      </c>
      <c r="AD215" s="32">
        <f>VLOOKUP($A215,$A$4:$O$28,12,0)*(HLOOKUP(AD$212,'2.2.Brecha Efectiva x UdM'!$H$25:$AK$32,7,0))</f>
        <v>0</v>
      </c>
      <c r="AE215" s="32">
        <f>VLOOKUP($A215,$A$4:$O$28,12,0)*(HLOOKUP(AE$212,'2.2.Brecha Efectiva x UdM'!$H$25:$AK$32,7,0))</f>
        <v>0</v>
      </c>
      <c r="AF215" s="32">
        <f>VLOOKUP($A215,$A$4:$O$28,12,0)*(HLOOKUP(AF$212,'2.2.Brecha Efectiva x UdM'!$H$25:$AK$32,7,0))</f>
        <v>0</v>
      </c>
      <c r="AG215" s="32">
        <f>VLOOKUP($A215,$A$4:$O$28,12,0)*(HLOOKUP(AG$212,'2.2.Brecha Efectiva x UdM'!$H$25:$AK$32,7,0))</f>
        <v>0</v>
      </c>
      <c r="AH215" s="62">
        <f t="shared" ref="AH215:AH237" si="228">SUM(D215:AG215)</f>
        <v>0</v>
      </c>
    </row>
    <row r="216" spans="1:34" hidden="1" x14ac:dyDescent="0.2">
      <c r="A216" s="26" t="str">
        <f t="shared" si="225"/>
        <v>Chaco</v>
      </c>
      <c r="B216" s="52">
        <f t="shared" si="226"/>
        <v>0</v>
      </c>
      <c r="C216" s="26" t="str">
        <f t="shared" si="227"/>
        <v>Chaco 0</v>
      </c>
      <c r="D216" s="31">
        <f>VLOOKUP($A216,$A$4:$O$28,12,0)*(HLOOKUP(D$212,'2.2.Brecha Efectiva x UdM'!$H$25:$AK$32,7,0))</f>
        <v>0</v>
      </c>
      <c r="E216" s="31">
        <f>VLOOKUP($A216,$A$4:$O$28,12,0)*(HLOOKUP(E$212,'2.2.Brecha Efectiva x UdM'!$H$25:$AK$32,7,0))</f>
        <v>0</v>
      </c>
      <c r="F216" s="31">
        <f>VLOOKUP($A216,$A$4:$O$28,12,0)*(HLOOKUP(F$212,'2.2.Brecha Efectiva x UdM'!$H$25:$AK$32,7,0))</f>
        <v>0</v>
      </c>
      <c r="G216" s="31">
        <f>VLOOKUP($A216,$A$4:$O$28,12,0)*(HLOOKUP(G$212,'2.2.Brecha Efectiva x UdM'!$H$25:$AK$32,7,0))</f>
        <v>0</v>
      </c>
      <c r="H216" s="31">
        <f>VLOOKUP($A216,$A$4:$O$28,12,0)*(HLOOKUP(H$212,'2.2.Brecha Efectiva x UdM'!$H$25:$AK$32,7,0))</f>
        <v>0</v>
      </c>
      <c r="I216" s="31">
        <f>VLOOKUP($A216,$A$4:$O$28,12,0)*(HLOOKUP(I$212,'2.2.Brecha Efectiva x UdM'!$H$25:$AK$32,7,0))</f>
        <v>0</v>
      </c>
      <c r="J216" s="31">
        <f>VLOOKUP($A216,$A$4:$O$28,12,0)*(HLOOKUP(J$212,'2.2.Brecha Efectiva x UdM'!$H$25:$AK$32,7,0))</f>
        <v>0</v>
      </c>
      <c r="K216" s="31">
        <f>VLOOKUP($A216,$A$4:$O$28,12,0)*(HLOOKUP(K$212,'2.2.Brecha Efectiva x UdM'!$H$25:$AK$32,7,0))</f>
        <v>0</v>
      </c>
      <c r="L216" s="31">
        <f>VLOOKUP($A216,$A$4:$O$28,12,0)*(HLOOKUP(L$212,'2.2.Brecha Efectiva x UdM'!$H$25:$AK$32,7,0))</f>
        <v>0</v>
      </c>
      <c r="M216" s="31">
        <f>VLOOKUP($A216,$A$4:$O$28,12,0)*(HLOOKUP(M$212,'2.2.Brecha Efectiva x UdM'!$H$25:$AK$32,7,0))</f>
        <v>0</v>
      </c>
      <c r="N216" s="31">
        <f>VLOOKUP($A216,$A$4:$O$28,12,0)*(HLOOKUP(N$212,'2.2.Brecha Efectiva x UdM'!$H$25:$AK$32,7,0))</f>
        <v>0</v>
      </c>
      <c r="O216" s="31">
        <f>VLOOKUP($A216,$A$4:$O$28,12,0)*(HLOOKUP(O$212,'2.2.Brecha Efectiva x UdM'!$H$25:$AK$32,7,0))</f>
        <v>0</v>
      </c>
      <c r="P216" s="31">
        <f>VLOOKUP($A216,$A$4:$O$28,12,0)*(HLOOKUP(P$212,'2.2.Brecha Efectiva x UdM'!$H$25:$AK$32,7,0))</f>
        <v>0</v>
      </c>
      <c r="Q216" s="31">
        <f>VLOOKUP($A216,$A$4:$O$28,12,0)*(HLOOKUP(Q$212,'2.2.Brecha Efectiva x UdM'!$H$25:$AK$32,7,0))</f>
        <v>0</v>
      </c>
      <c r="R216" s="31">
        <f>VLOOKUP($A216,$A$4:$O$28,12,0)*(HLOOKUP(R$212,'2.2.Brecha Efectiva x UdM'!$H$25:$AK$32,7,0))</f>
        <v>0</v>
      </c>
      <c r="S216" s="31">
        <f>VLOOKUP($A216,$A$4:$O$28,12,0)*(HLOOKUP(S$212,'2.2.Brecha Efectiva x UdM'!$H$25:$AK$32,7,0))</f>
        <v>0</v>
      </c>
      <c r="T216" s="31">
        <f>VLOOKUP($A216,$A$4:$O$28,12,0)*(HLOOKUP(T$212,'2.2.Brecha Efectiva x UdM'!$H$25:$AK$32,7,0))</f>
        <v>0</v>
      </c>
      <c r="U216" s="31">
        <f>VLOOKUP($A216,$A$4:$O$28,12,0)*(HLOOKUP(U$212,'2.2.Brecha Efectiva x UdM'!$H$25:$AK$32,7,0))</f>
        <v>0</v>
      </c>
      <c r="V216" s="31">
        <f>VLOOKUP($A216,$A$4:$O$28,12,0)*(HLOOKUP(V$212,'2.2.Brecha Efectiva x UdM'!$H$25:$AK$32,7,0))</f>
        <v>0</v>
      </c>
      <c r="W216" s="31">
        <f>VLOOKUP($A216,$A$4:$O$28,12,0)*(HLOOKUP(W$212,'2.2.Brecha Efectiva x UdM'!$H$25:$AK$32,7,0))</f>
        <v>0</v>
      </c>
      <c r="X216" s="31">
        <f>VLOOKUP($A216,$A$4:$O$28,12,0)*(HLOOKUP(X$212,'2.2.Brecha Efectiva x UdM'!$H$25:$AK$32,7,0))</f>
        <v>0</v>
      </c>
      <c r="Y216" s="31">
        <f>VLOOKUP($A216,$A$4:$O$28,12,0)*(HLOOKUP(Y$212,'2.2.Brecha Efectiva x UdM'!$H$25:$AK$32,7,0))</f>
        <v>0</v>
      </c>
      <c r="Z216" s="31">
        <f>VLOOKUP($A216,$A$4:$O$28,12,0)*(HLOOKUP(Z$212,'2.2.Brecha Efectiva x UdM'!$H$25:$AK$32,7,0))</f>
        <v>0</v>
      </c>
      <c r="AA216" s="31">
        <f>VLOOKUP($A216,$A$4:$O$28,12,0)*(HLOOKUP(AA$212,'2.2.Brecha Efectiva x UdM'!$H$25:$AK$32,7,0))</f>
        <v>0</v>
      </c>
      <c r="AB216" s="31">
        <f>VLOOKUP($A216,$A$4:$O$28,12,0)*(HLOOKUP(AB$212,'2.2.Brecha Efectiva x UdM'!$H$25:$AK$32,7,0))</f>
        <v>0</v>
      </c>
      <c r="AC216" s="31">
        <f>VLOOKUP($A216,$A$4:$O$28,12,0)*(HLOOKUP(AC$212,'2.2.Brecha Efectiva x UdM'!$H$25:$AK$32,7,0))</f>
        <v>0</v>
      </c>
      <c r="AD216" s="31">
        <f>VLOOKUP($A216,$A$4:$O$28,12,0)*(HLOOKUP(AD$212,'2.2.Brecha Efectiva x UdM'!$H$25:$AK$32,7,0))</f>
        <v>0</v>
      </c>
      <c r="AE216" s="31">
        <f>VLOOKUP($A216,$A$4:$O$28,12,0)*(HLOOKUP(AE$212,'2.2.Brecha Efectiva x UdM'!$H$25:$AK$32,7,0))</f>
        <v>0</v>
      </c>
      <c r="AF216" s="31">
        <f>VLOOKUP($A216,$A$4:$O$28,12,0)*(HLOOKUP(AF$212,'2.2.Brecha Efectiva x UdM'!$H$25:$AK$32,7,0))</f>
        <v>0</v>
      </c>
      <c r="AG216" s="31">
        <f>VLOOKUP($A216,$A$4:$O$28,12,0)*(HLOOKUP(AG$212,'2.2.Brecha Efectiva x UdM'!$H$25:$AK$32,7,0))</f>
        <v>0</v>
      </c>
      <c r="AH216" s="63">
        <f t="shared" si="228"/>
        <v>0</v>
      </c>
    </row>
    <row r="217" spans="1:34" hidden="1" x14ac:dyDescent="0.2">
      <c r="A217" s="25" t="str">
        <f t="shared" si="225"/>
        <v>Chubut</v>
      </c>
      <c r="B217" s="51">
        <f t="shared" si="226"/>
        <v>0</v>
      </c>
      <c r="C217" s="25" t="str">
        <f t="shared" si="227"/>
        <v>Chubut 0</v>
      </c>
      <c r="D217" s="32">
        <f>VLOOKUP($A217,$A$4:$O$28,12,0)*(HLOOKUP(D$212,'2.2.Brecha Efectiva x UdM'!$H$25:$AK$32,7,0))</f>
        <v>0</v>
      </c>
      <c r="E217" s="32">
        <f>VLOOKUP($A217,$A$4:$O$28,12,0)*(HLOOKUP(E$212,'2.2.Brecha Efectiva x UdM'!$H$25:$AK$32,7,0))</f>
        <v>0</v>
      </c>
      <c r="F217" s="32">
        <f>VLOOKUP($A217,$A$4:$O$28,12,0)*(HLOOKUP(F$212,'2.2.Brecha Efectiva x UdM'!$H$25:$AK$32,7,0))</f>
        <v>0</v>
      </c>
      <c r="G217" s="32">
        <f>VLOOKUP($A217,$A$4:$O$28,12,0)*(HLOOKUP(G$212,'2.2.Brecha Efectiva x UdM'!$H$25:$AK$32,7,0))</f>
        <v>0</v>
      </c>
      <c r="H217" s="32">
        <f>VLOOKUP($A217,$A$4:$O$28,12,0)*(HLOOKUP(H$212,'2.2.Brecha Efectiva x UdM'!$H$25:$AK$32,7,0))</f>
        <v>0</v>
      </c>
      <c r="I217" s="32">
        <f>VLOOKUP($A217,$A$4:$O$28,12,0)*(HLOOKUP(I$212,'2.2.Brecha Efectiva x UdM'!$H$25:$AK$32,7,0))</f>
        <v>0</v>
      </c>
      <c r="J217" s="32">
        <f>VLOOKUP($A217,$A$4:$O$28,12,0)*(HLOOKUP(J$212,'2.2.Brecha Efectiva x UdM'!$H$25:$AK$32,7,0))</f>
        <v>0</v>
      </c>
      <c r="K217" s="32">
        <f>VLOOKUP($A217,$A$4:$O$28,12,0)*(HLOOKUP(K$212,'2.2.Brecha Efectiva x UdM'!$H$25:$AK$32,7,0))</f>
        <v>0</v>
      </c>
      <c r="L217" s="32">
        <f>VLOOKUP($A217,$A$4:$O$28,12,0)*(HLOOKUP(L$212,'2.2.Brecha Efectiva x UdM'!$H$25:$AK$32,7,0))</f>
        <v>0</v>
      </c>
      <c r="M217" s="32">
        <f>VLOOKUP($A217,$A$4:$O$28,12,0)*(HLOOKUP(M$212,'2.2.Brecha Efectiva x UdM'!$H$25:$AK$32,7,0))</f>
        <v>0</v>
      </c>
      <c r="N217" s="32">
        <f>VLOOKUP($A217,$A$4:$O$28,12,0)*(HLOOKUP(N$212,'2.2.Brecha Efectiva x UdM'!$H$25:$AK$32,7,0))</f>
        <v>0</v>
      </c>
      <c r="O217" s="32">
        <f>VLOOKUP($A217,$A$4:$O$28,12,0)*(HLOOKUP(O$212,'2.2.Brecha Efectiva x UdM'!$H$25:$AK$32,7,0))</f>
        <v>0</v>
      </c>
      <c r="P217" s="32">
        <f>VLOOKUP($A217,$A$4:$O$28,12,0)*(HLOOKUP(P$212,'2.2.Brecha Efectiva x UdM'!$H$25:$AK$32,7,0))</f>
        <v>0</v>
      </c>
      <c r="Q217" s="32">
        <f>VLOOKUP($A217,$A$4:$O$28,12,0)*(HLOOKUP(Q$212,'2.2.Brecha Efectiva x UdM'!$H$25:$AK$32,7,0))</f>
        <v>0</v>
      </c>
      <c r="R217" s="32">
        <f>VLOOKUP($A217,$A$4:$O$28,12,0)*(HLOOKUP(R$212,'2.2.Brecha Efectiva x UdM'!$H$25:$AK$32,7,0))</f>
        <v>0</v>
      </c>
      <c r="S217" s="32">
        <f>VLOOKUP($A217,$A$4:$O$28,12,0)*(HLOOKUP(S$212,'2.2.Brecha Efectiva x UdM'!$H$25:$AK$32,7,0))</f>
        <v>0</v>
      </c>
      <c r="T217" s="32">
        <f>VLOOKUP($A217,$A$4:$O$28,12,0)*(HLOOKUP(T$212,'2.2.Brecha Efectiva x UdM'!$H$25:$AK$32,7,0))</f>
        <v>0</v>
      </c>
      <c r="U217" s="32">
        <f>VLOOKUP($A217,$A$4:$O$28,12,0)*(HLOOKUP(U$212,'2.2.Brecha Efectiva x UdM'!$H$25:$AK$32,7,0))</f>
        <v>0</v>
      </c>
      <c r="V217" s="32">
        <f>VLOOKUP($A217,$A$4:$O$28,12,0)*(HLOOKUP(V$212,'2.2.Brecha Efectiva x UdM'!$H$25:$AK$32,7,0))</f>
        <v>0</v>
      </c>
      <c r="W217" s="32">
        <f>VLOOKUP($A217,$A$4:$O$28,12,0)*(HLOOKUP(W$212,'2.2.Brecha Efectiva x UdM'!$H$25:$AK$32,7,0))</f>
        <v>0</v>
      </c>
      <c r="X217" s="32">
        <f>VLOOKUP($A217,$A$4:$O$28,12,0)*(HLOOKUP(X$212,'2.2.Brecha Efectiva x UdM'!$H$25:$AK$32,7,0))</f>
        <v>0</v>
      </c>
      <c r="Y217" s="32">
        <f>VLOOKUP($A217,$A$4:$O$28,12,0)*(HLOOKUP(Y$212,'2.2.Brecha Efectiva x UdM'!$H$25:$AK$32,7,0))</f>
        <v>0</v>
      </c>
      <c r="Z217" s="32">
        <f>VLOOKUP($A217,$A$4:$O$28,12,0)*(HLOOKUP(Z$212,'2.2.Brecha Efectiva x UdM'!$H$25:$AK$32,7,0))</f>
        <v>0</v>
      </c>
      <c r="AA217" s="32">
        <f>VLOOKUP($A217,$A$4:$O$28,12,0)*(HLOOKUP(AA$212,'2.2.Brecha Efectiva x UdM'!$H$25:$AK$32,7,0))</f>
        <v>0</v>
      </c>
      <c r="AB217" s="32">
        <f>VLOOKUP($A217,$A$4:$O$28,12,0)*(HLOOKUP(AB$212,'2.2.Brecha Efectiva x UdM'!$H$25:$AK$32,7,0))</f>
        <v>0</v>
      </c>
      <c r="AC217" s="32">
        <f>VLOOKUP($A217,$A$4:$O$28,12,0)*(HLOOKUP(AC$212,'2.2.Brecha Efectiva x UdM'!$H$25:$AK$32,7,0))</f>
        <v>0</v>
      </c>
      <c r="AD217" s="32">
        <f>VLOOKUP($A217,$A$4:$O$28,12,0)*(HLOOKUP(AD$212,'2.2.Brecha Efectiva x UdM'!$H$25:$AK$32,7,0))</f>
        <v>0</v>
      </c>
      <c r="AE217" s="32">
        <f>VLOOKUP($A217,$A$4:$O$28,12,0)*(HLOOKUP(AE$212,'2.2.Brecha Efectiva x UdM'!$H$25:$AK$32,7,0))</f>
        <v>0</v>
      </c>
      <c r="AF217" s="32">
        <f>VLOOKUP($A217,$A$4:$O$28,12,0)*(HLOOKUP(AF$212,'2.2.Brecha Efectiva x UdM'!$H$25:$AK$32,7,0))</f>
        <v>0</v>
      </c>
      <c r="AG217" s="32">
        <f>VLOOKUP($A217,$A$4:$O$28,12,0)*(HLOOKUP(AG$212,'2.2.Brecha Efectiva x UdM'!$H$25:$AK$32,7,0))</f>
        <v>0</v>
      </c>
      <c r="AH217" s="62">
        <f t="shared" si="228"/>
        <v>0</v>
      </c>
    </row>
    <row r="218" spans="1:34" hidden="1" x14ac:dyDescent="0.2">
      <c r="A218" s="26" t="str">
        <f t="shared" si="225"/>
        <v>Córdoba</v>
      </c>
      <c r="B218" s="52">
        <f t="shared" si="226"/>
        <v>0</v>
      </c>
      <c r="C218" s="26" t="str">
        <f t="shared" si="227"/>
        <v>Córdoba 0</v>
      </c>
      <c r="D218" s="31">
        <f>VLOOKUP($A218,$A$4:$O$28,12,0)*(HLOOKUP(D$212,'2.2.Brecha Efectiva x UdM'!$H$25:$AK$32,7,0))</f>
        <v>0</v>
      </c>
      <c r="E218" s="31">
        <f>VLOOKUP($A218,$A$4:$O$28,12,0)*(HLOOKUP(E$212,'2.2.Brecha Efectiva x UdM'!$H$25:$AK$32,7,0))</f>
        <v>0</v>
      </c>
      <c r="F218" s="31">
        <f>VLOOKUP($A218,$A$4:$O$28,12,0)*(HLOOKUP(F$212,'2.2.Brecha Efectiva x UdM'!$H$25:$AK$32,7,0))</f>
        <v>0</v>
      </c>
      <c r="G218" s="31">
        <f>VLOOKUP($A218,$A$4:$O$28,12,0)*(HLOOKUP(G$212,'2.2.Brecha Efectiva x UdM'!$H$25:$AK$32,7,0))</f>
        <v>0</v>
      </c>
      <c r="H218" s="31">
        <f>VLOOKUP($A218,$A$4:$O$28,12,0)*(HLOOKUP(H$212,'2.2.Brecha Efectiva x UdM'!$H$25:$AK$32,7,0))</f>
        <v>0</v>
      </c>
      <c r="I218" s="31">
        <f>VLOOKUP($A218,$A$4:$O$28,12,0)*(HLOOKUP(I$212,'2.2.Brecha Efectiva x UdM'!$H$25:$AK$32,7,0))</f>
        <v>0</v>
      </c>
      <c r="J218" s="31">
        <f>VLOOKUP($A218,$A$4:$O$28,12,0)*(HLOOKUP(J$212,'2.2.Brecha Efectiva x UdM'!$H$25:$AK$32,7,0))</f>
        <v>0</v>
      </c>
      <c r="K218" s="31">
        <f>VLOOKUP($A218,$A$4:$O$28,12,0)*(HLOOKUP(K$212,'2.2.Brecha Efectiva x UdM'!$H$25:$AK$32,7,0))</f>
        <v>0</v>
      </c>
      <c r="L218" s="31">
        <f>VLOOKUP($A218,$A$4:$O$28,12,0)*(HLOOKUP(L$212,'2.2.Brecha Efectiva x UdM'!$H$25:$AK$32,7,0))</f>
        <v>0</v>
      </c>
      <c r="M218" s="31">
        <f>VLOOKUP($A218,$A$4:$O$28,12,0)*(HLOOKUP(M$212,'2.2.Brecha Efectiva x UdM'!$H$25:$AK$32,7,0))</f>
        <v>0</v>
      </c>
      <c r="N218" s="31">
        <f>VLOOKUP($A218,$A$4:$O$28,12,0)*(HLOOKUP(N$212,'2.2.Brecha Efectiva x UdM'!$H$25:$AK$32,7,0))</f>
        <v>0</v>
      </c>
      <c r="O218" s="31">
        <f>VLOOKUP($A218,$A$4:$O$28,12,0)*(HLOOKUP(O$212,'2.2.Brecha Efectiva x UdM'!$H$25:$AK$32,7,0))</f>
        <v>0</v>
      </c>
      <c r="P218" s="31">
        <f>VLOOKUP($A218,$A$4:$O$28,12,0)*(HLOOKUP(P$212,'2.2.Brecha Efectiva x UdM'!$H$25:$AK$32,7,0))</f>
        <v>0</v>
      </c>
      <c r="Q218" s="31">
        <f>VLOOKUP($A218,$A$4:$O$28,12,0)*(HLOOKUP(Q$212,'2.2.Brecha Efectiva x UdM'!$H$25:$AK$32,7,0))</f>
        <v>0</v>
      </c>
      <c r="R218" s="31">
        <f>VLOOKUP($A218,$A$4:$O$28,12,0)*(HLOOKUP(R$212,'2.2.Brecha Efectiva x UdM'!$H$25:$AK$32,7,0))</f>
        <v>0</v>
      </c>
      <c r="S218" s="31">
        <f>VLOOKUP($A218,$A$4:$O$28,12,0)*(HLOOKUP(S$212,'2.2.Brecha Efectiva x UdM'!$H$25:$AK$32,7,0))</f>
        <v>0</v>
      </c>
      <c r="T218" s="31">
        <f>VLOOKUP($A218,$A$4:$O$28,12,0)*(HLOOKUP(T$212,'2.2.Brecha Efectiva x UdM'!$H$25:$AK$32,7,0))</f>
        <v>0</v>
      </c>
      <c r="U218" s="31">
        <f>VLOOKUP($A218,$A$4:$O$28,12,0)*(HLOOKUP(U$212,'2.2.Brecha Efectiva x UdM'!$H$25:$AK$32,7,0))</f>
        <v>0</v>
      </c>
      <c r="V218" s="31">
        <f>VLOOKUP($A218,$A$4:$O$28,12,0)*(HLOOKUP(V$212,'2.2.Brecha Efectiva x UdM'!$H$25:$AK$32,7,0))</f>
        <v>0</v>
      </c>
      <c r="W218" s="31">
        <f>VLOOKUP($A218,$A$4:$O$28,12,0)*(HLOOKUP(W$212,'2.2.Brecha Efectiva x UdM'!$H$25:$AK$32,7,0))</f>
        <v>0</v>
      </c>
      <c r="X218" s="31">
        <f>VLOOKUP($A218,$A$4:$O$28,12,0)*(HLOOKUP(X$212,'2.2.Brecha Efectiva x UdM'!$H$25:$AK$32,7,0))</f>
        <v>0</v>
      </c>
      <c r="Y218" s="31">
        <f>VLOOKUP($A218,$A$4:$O$28,12,0)*(HLOOKUP(Y$212,'2.2.Brecha Efectiva x UdM'!$H$25:$AK$32,7,0))</f>
        <v>0</v>
      </c>
      <c r="Z218" s="31">
        <f>VLOOKUP($A218,$A$4:$O$28,12,0)*(HLOOKUP(Z$212,'2.2.Brecha Efectiva x UdM'!$H$25:$AK$32,7,0))</f>
        <v>0</v>
      </c>
      <c r="AA218" s="31">
        <f>VLOOKUP($A218,$A$4:$O$28,12,0)*(HLOOKUP(AA$212,'2.2.Brecha Efectiva x UdM'!$H$25:$AK$32,7,0))</f>
        <v>0</v>
      </c>
      <c r="AB218" s="31">
        <f>VLOOKUP($A218,$A$4:$O$28,12,0)*(HLOOKUP(AB$212,'2.2.Brecha Efectiva x UdM'!$H$25:$AK$32,7,0))</f>
        <v>0</v>
      </c>
      <c r="AC218" s="31">
        <f>VLOOKUP($A218,$A$4:$O$28,12,0)*(HLOOKUP(AC$212,'2.2.Brecha Efectiva x UdM'!$H$25:$AK$32,7,0))</f>
        <v>0</v>
      </c>
      <c r="AD218" s="31">
        <f>VLOOKUP($A218,$A$4:$O$28,12,0)*(HLOOKUP(AD$212,'2.2.Brecha Efectiva x UdM'!$H$25:$AK$32,7,0))</f>
        <v>0</v>
      </c>
      <c r="AE218" s="31">
        <f>VLOOKUP($A218,$A$4:$O$28,12,0)*(HLOOKUP(AE$212,'2.2.Brecha Efectiva x UdM'!$H$25:$AK$32,7,0))</f>
        <v>0</v>
      </c>
      <c r="AF218" s="31">
        <f>VLOOKUP($A218,$A$4:$O$28,12,0)*(HLOOKUP(AF$212,'2.2.Brecha Efectiva x UdM'!$H$25:$AK$32,7,0))</f>
        <v>0</v>
      </c>
      <c r="AG218" s="31">
        <f>VLOOKUP($A218,$A$4:$O$28,12,0)*(HLOOKUP(AG$212,'2.2.Brecha Efectiva x UdM'!$H$25:$AK$32,7,0))</f>
        <v>0</v>
      </c>
      <c r="AH218" s="63">
        <f t="shared" si="228"/>
        <v>0</v>
      </c>
    </row>
    <row r="219" spans="1:34" hidden="1" x14ac:dyDescent="0.2">
      <c r="A219" s="25" t="str">
        <f t="shared" si="225"/>
        <v>Corrientes</v>
      </c>
      <c r="B219" s="51">
        <f t="shared" si="226"/>
        <v>0</v>
      </c>
      <c r="C219" s="25" t="str">
        <f t="shared" si="227"/>
        <v>Corrientes 0</v>
      </c>
      <c r="D219" s="32">
        <f>VLOOKUP($A219,$A$4:$O$28,12,0)*(HLOOKUP(D$212,'2.2.Brecha Efectiva x UdM'!$H$25:$AK$32,7,0))</f>
        <v>0</v>
      </c>
      <c r="E219" s="32">
        <f>VLOOKUP($A219,$A$4:$O$28,12,0)*(HLOOKUP(E$212,'2.2.Brecha Efectiva x UdM'!$H$25:$AK$32,7,0))</f>
        <v>0</v>
      </c>
      <c r="F219" s="32">
        <f>VLOOKUP($A219,$A$4:$O$28,12,0)*(HLOOKUP(F$212,'2.2.Brecha Efectiva x UdM'!$H$25:$AK$32,7,0))</f>
        <v>0</v>
      </c>
      <c r="G219" s="32">
        <f>VLOOKUP($A219,$A$4:$O$28,12,0)*(HLOOKUP(G$212,'2.2.Brecha Efectiva x UdM'!$H$25:$AK$32,7,0))</f>
        <v>0</v>
      </c>
      <c r="H219" s="32">
        <f>VLOOKUP($A219,$A$4:$O$28,12,0)*(HLOOKUP(H$212,'2.2.Brecha Efectiva x UdM'!$H$25:$AK$32,7,0))</f>
        <v>0</v>
      </c>
      <c r="I219" s="32">
        <f>VLOOKUP($A219,$A$4:$O$28,12,0)*(HLOOKUP(I$212,'2.2.Brecha Efectiva x UdM'!$H$25:$AK$32,7,0))</f>
        <v>0</v>
      </c>
      <c r="J219" s="32">
        <f>VLOOKUP($A219,$A$4:$O$28,12,0)*(HLOOKUP(J$212,'2.2.Brecha Efectiva x UdM'!$H$25:$AK$32,7,0))</f>
        <v>0</v>
      </c>
      <c r="K219" s="32">
        <f>VLOOKUP($A219,$A$4:$O$28,12,0)*(HLOOKUP(K$212,'2.2.Brecha Efectiva x UdM'!$H$25:$AK$32,7,0))</f>
        <v>0</v>
      </c>
      <c r="L219" s="32">
        <f>VLOOKUP($A219,$A$4:$O$28,12,0)*(HLOOKUP(L$212,'2.2.Brecha Efectiva x UdM'!$H$25:$AK$32,7,0))</f>
        <v>0</v>
      </c>
      <c r="M219" s="32">
        <f>VLOOKUP($A219,$A$4:$O$28,12,0)*(HLOOKUP(M$212,'2.2.Brecha Efectiva x UdM'!$H$25:$AK$32,7,0))</f>
        <v>0</v>
      </c>
      <c r="N219" s="32">
        <f>VLOOKUP($A219,$A$4:$O$28,12,0)*(HLOOKUP(N$212,'2.2.Brecha Efectiva x UdM'!$H$25:$AK$32,7,0))</f>
        <v>0</v>
      </c>
      <c r="O219" s="32">
        <f>VLOOKUP($A219,$A$4:$O$28,12,0)*(HLOOKUP(O$212,'2.2.Brecha Efectiva x UdM'!$H$25:$AK$32,7,0))</f>
        <v>0</v>
      </c>
      <c r="P219" s="32">
        <f>VLOOKUP($A219,$A$4:$O$28,12,0)*(HLOOKUP(P$212,'2.2.Brecha Efectiva x UdM'!$H$25:$AK$32,7,0))</f>
        <v>0</v>
      </c>
      <c r="Q219" s="32">
        <f>VLOOKUP($A219,$A$4:$O$28,12,0)*(HLOOKUP(Q$212,'2.2.Brecha Efectiva x UdM'!$H$25:$AK$32,7,0))</f>
        <v>0</v>
      </c>
      <c r="R219" s="32">
        <f>VLOOKUP($A219,$A$4:$O$28,12,0)*(HLOOKUP(R$212,'2.2.Brecha Efectiva x UdM'!$H$25:$AK$32,7,0))</f>
        <v>0</v>
      </c>
      <c r="S219" s="32">
        <f>VLOOKUP($A219,$A$4:$O$28,12,0)*(HLOOKUP(S$212,'2.2.Brecha Efectiva x UdM'!$H$25:$AK$32,7,0))</f>
        <v>0</v>
      </c>
      <c r="T219" s="32">
        <f>VLOOKUP($A219,$A$4:$O$28,12,0)*(HLOOKUP(T$212,'2.2.Brecha Efectiva x UdM'!$H$25:$AK$32,7,0))</f>
        <v>0</v>
      </c>
      <c r="U219" s="32">
        <f>VLOOKUP($A219,$A$4:$O$28,12,0)*(HLOOKUP(U$212,'2.2.Brecha Efectiva x UdM'!$H$25:$AK$32,7,0))</f>
        <v>0</v>
      </c>
      <c r="V219" s="32">
        <f>VLOOKUP($A219,$A$4:$O$28,12,0)*(HLOOKUP(V$212,'2.2.Brecha Efectiva x UdM'!$H$25:$AK$32,7,0))</f>
        <v>0</v>
      </c>
      <c r="W219" s="32">
        <f>VLOOKUP($A219,$A$4:$O$28,12,0)*(HLOOKUP(W$212,'2.2.Brecha Efectiva x UdM'!$H$25:$AK$32,7,0))</f>
        <v>0</v>
      </c>
      <c r="X219" s="32">
        <f>VLOOKUP($A219,$A$4:$O$28,12,0)*(HLOOKUP(X$212,'2.2.Brecha Efectiva x UdM'!$H$25:$AK$32,7,0))</f>
        <v>0</v>
      </c>
      <c r="Y219" s="32">
        <f>VLOOKUP($A219,$A$4:$O$28,12,0)*(HLOOKUP(Y$212,'2.2.Brecha Efectiva x UdM'!$H$25:$AK$32,7,0))</f>
        <v>0</v>
      </c>
      <c r="Z219" s="32">
        <f>VLOOKUP($A219,$A$4:$O$28,12,0)*(HLOOKUP(Z$212,'2.2.Brecha Efectiva x UdM'!$H$25:$AK$32,7,0))</f>
        <v>0</v>
      </c>
      <c r="AA219" s="32">
        <f>VLOOKUP($A219,$A$4:$O$28,12,0)*(HLOOKUP(AA$212,'2.2.Brecha Efectiva x UdM'!$H$25:$AK$32,7,0))</f>
        <v>0</v>
      </c>
      <c r="AB219" s="32">
        <f>VLOOKUP($A219,$A$4:$O$28,12,0)*(HLOOKUP(AB$212,'2.2.Brecha Efectiva x UdM'!$H$25:$AK$32,7,0))</f>
        <v>0</v>
      </c>
      <c r="AC219" s="32">
        <f>VLOOKUP($A219,$A$4:$O$28,12,0)*(HLOOKUP(AC$212,'2.2.Brecha Efectiva x UdM'!$H$25:$AK$32,7,0))</f>
        <v>0</v>
      </c>
      <c r="AD219" s="32">
        <f>VLOOKUP($A219,$A$4:$O$28,12,0)*(HLOOKUP(AD$212,'2.2.Brecha Efectiva x UdM'!$H$25:$AK$32,7,0))</f>
        <v>0</v>
      </c>
      <c r="AE219" s="32">
        <f>VLOOKUP($A219,$A$4:$O$28,12,0)*(HLOOKUP(AE$212,'2.2.Brecha Efectiva x UdM'!$H$25:$AK$32,7,0))</f>
        <v>0</v>
      </c>
      <c r="AF219" s="32">
        <f>VLOOKUP($A219,$A$4:$O$28,12,0)*(HLOOKUP(AF$212,'2.2.Brecha Efectiva x UdM'!$H$25:$AK$32,7,0))</f>
        <v>0</v>
      </c>
      <c r="AG219" s="32">
        <f>VLOOKUP($A219,$A$4:$O$28,12,0)*(HLOOKUP(AG$212,'2.2.Brecha Efectiva x UdM'!$H$25:$AK$32,7,0))</f>
        <v>0</v>
      </c>
      <c r="AH219" s="62">
        <f t="shared" si="228"/>
        <v>0</v>
      </c>
    </row>
    <row r="220" spans="1:34" hidden="1" x14ac:dyDescent="0.2">
      <c r="A220" s="26" t="str">
        <f t="shared" si="225"/>
        <v>Entre Ríos</v>
      </c>
      <c r="B220" s="52">
        <f t="shared" si="226"/>
        <v>0</v>
      </c>
      <c r="C220" s="26" t="str">
        <f t="shared" si="227"/>
        <v>Entre Ríos 0</v>
      </c>
      <c r="D220" s="31">
        <f>VLOOKUP($A220,$A$4:$O$28,12,0)*(HLOOKUP(D$212,'2.2.Brecha Efectiva x UdM'!$H$25:$AK$32,7,0))</f>
        <v>0</v>
      </c>
      <c r="E220" s="31">
        <f>VLOOKUP($A220,$A$4:$O$28,12,0)*(HLOOKUP(E$212,'2.2.Brecha Efectiva x UdM'!$H$25:$AK$32,7,0))</f>
        <v>0</v>
      </c>
      <c r="F220" s="31">
        <f>VLOOKUP($A220,$A$4:$O$28,12,0)*(HLOOKUP(F$212,'2.2.Brecha Efectiva x UdM'!$H$25:$AK$32,7,0))</f>
        <v>0</v>
      </c>
      <c r="G220" s="31">
        <f>VLOOKUP($A220,$A$4:$O$28,12,0)*(HLOOKUP(G$212,'2.2.Brecha Efectiva x UdM'!$H$25:$AK$32,7,0))</f>
        <v>0</v>
      </c>
      <c r="H220" s="31">
        <f>VLOOKUP($A220,$A$4:$O$28,12,0)*(HLOOKUP(H$212,'2.2.Brecha Efectiva x UdM'!$H$25:$AK$32,7,0))</f>
        <v>0</v>
      </c>
      <c r="I220" s="31">
        <f>VLOOKUP($A220,$A$4:$O$28,12,0)*(HLOOKUP(I$212,'2.2.Brecha Efectiva x UdM'!$H$25:$AK$32,7,0))</f>
        <v>0</v>
      </c>
      <c r="J220" s="31">
        <f>VLOOKUP($A220,$A$4:$O$28,12,0)*(HLOOKUP(J$212,'2.2.Brecha Efectiva x UdM'!$H$25:$AK$32,7,0))</f>
        <v>0</v>
      </c>
      <c r="K220" s="31">
        <f>VLOOKUP($A220,$A$4:$O$28,12,0)*(HLOOKUP(K$212,'2.2.Brecha Efectiva x UdM'!$H$25:$AK$32,7,0))</f>
        <v>0</v>
      </c>
      <c r="L220" s="31">
        <f>VLOOKUP($A220,$A$4:$O$28,12,0)*(HLOOKUP(L$212,'2.2.Brecha Efectiva x UdM'!$H$25:$AK$32,7,0))</f>
        <v>0</v>
      </c>
      <c r="M220" s="31">
        <f>VLOOKUP($A220,$A$4:$O$28,12,0)*(HLOOKUP(M$212,'2.2.Brecha Efectiva x UdM'!$H$25:$AK$32,7,0))</f>
        <v>0</v>
      </c>
      <c r="N220" s="31">
        <f>VLOOKUP($A220,$A$4:$O$28,12,0)*(HLOOKUP(N$212,'2.2.Brecha Efectiva x UdM'!$H$25:$AK$32,7,0))</f>
        <v>0</v>
      </c>
      <c r="O220" s="31">
        <f>VLOOKUP($A220,$A$4:$O$28,12,0)*(HLOOKUP(O$212,'2.2.Brecha Efectiva x UdM'!$H$25:$AK$32,7,0))</f>
        <v>0</v>
      </c>
      <c r="P220" s="31">
        <f>VLOOKUP($A220,$A$4:$O$28,12,0)*(HLOOKUP(P$212,'2.2.Brecha Efectiva x UdM'!$H$25:$AK$32,7,0))</f>
        <v>0</v>
      </c>
      <c r="Q220" s="31">
        <f>VLOOKUP($A220,$A$4:$O$28,12,0)*(HLOOKUP(Q$212,'2.2.Brecha Efectiva x UdM'!$H$25:$AK$32,7,0))</f>
        <v>0</v>
      </c>
      <c r="R220" s="31">
        <f>VLOOKUP($A220,$A$4:$O$28,12,0)*(HLOOKUP(R$212,'2.2.Brecha Efectiva x UdM'!$H$25:$AK$32,7,0))</f>
        <v>0</v>
      </c>
      <c r="S220" s="31">
        <f>VLOOKUP($A220,$A$4:$O$28,12,0)*(HLOOKUP(S$212,'2.2.Brecha Efectiva x UdM'!$H$25:$AK$32,7,0))</f>
        <v>0</v>
      </c>
      <c r="T220" s="31">
        <f>VLOOKUP($A220,$A$4:$O$28,12,0)*(HLOOKUP(T$212,'2.2.Brecha Efectiva x UdM'!$H$25:$AK$32,7,0))</f>
        <v>0</v>
      </c>
      <c r="U220" s="31">
        <f>VLOOKUP($A220,$A$4:$O$28,12,0)*(HLOOKUP(U$212,'2.2.Brecha Efectiva x UdM'!$H$25:$AK$32,7,0))</f>
        <v>0</v>
      </c>
      <c r="V220" s="31">
        <f>VLOOKUP($A220,$A$4:$O$28,12,0)*(HLOOKUP(V$212,'2.2.Brecha Efectiva x UdM'!$H$25:$AK$32,7,0))</f>
        <v>0</v>
      </c>
      <c r="W220" s="31">
        <f>VLOOKUP($A220,$A$4:$O$28,12,0)*(HLOOKUP(W$212,'2.2.Brecha Efectiva x UdM'!$H$25:$AK$32,7,0))</f>
        <v>0</v>
      </c>
      <c r="X220" s="31">
        <f>VLOOKUP($A220,$A$4:$O$28,12,0)*(HLOOKUP(X$212,'2.2.Brecha Efectiva x UdM'!$H$25:$AK$32,7,0))</f>
        <v>0</v>
      </c>
      <c r="Y220" s="31">
        <f>VLOOKUP($A220,$A$4:$O$28,12,0)*(HLOOKUP(Y$212,'2.2.Brecha Efectiva x UdM'!$H$25:$AK$32,7,0))</f>
        <v>0</v>
      </c>
      <c r="Z220" s="31">
        <f>VLOOKUP($A220,$A$4:$O$28,12,0)*(HLOOKUP(Z$212,'2.2.Brecha Efectiva x UdM'!$H$25:$AK$32,7,0))</f>
        <v>0</v>
      </c>
      <c r="AA220" s="31">
        <f>VLOOKUP($A220,$A$4:$O$28,12,0)*(HLOOKUP(AA$212,'2.2.Brecha Efectiva x UdM'!$H$25:$AK$32,7,0))</f>
        <v>0</v>
      </c>
      <c r="AB220" s="31">
        <f>VLOOKUP($A220,$A$4:$O$28,12,0)*(HLOOKUP(AB$212,'2.2.Brecha Efectiva x UdM'!$H$25:$AK$32,7,0))</f>
        <v>0</v>
      </c>
      <c r="AC220" s="31">
        <f>VLOOKUP($A220,$A$4:$O$28,12,0)*(HLOOKUP(AC$212,'2.2.Brecha Efectiva x UdM'!$H$25:$AK$32,7,0))</f>
        <v>0</v>
      </c>
      <c r="AD220" s="31">
        <f>VLOOKUP($A220,$A$4:$O$28,12,0)*(HLOOKUP(AD$212,'2.2.Brecha Efectiva x UdM'!$H$25:$AK$32,7,0))</f>
        <v>0</v>
      </c>
      <c r="AE220" s="31">
        <f>VLOOKUP($A220,$A$4:$O$28,12,0)*(HLOOKUP(AE$212,'2.2.Brecha Efectiva x UdM'!$H$25:$AK$32,7,0))</f>
        <v>0</v>
      </c>
      <c r="AF220" s="31">
        <f>VLOOKUP($A220,$A$4:$O$28,12,0)*(HLOOKUP(AF$212,'2.2.Brecha Efectiva x UdM'!$H$25:$AK$32,7,0))</f>
        <v>0</v>
      </c>
      <c r="AG220" s="31">
        <f>VLOOKUP($A220,$A$4:$O$28,12,0)*(HLOOKUP(AG$212,'2.2.Brecha Efectiva x UdM'!$H$25:$AK$32,7,0))</f>
        <v>0</v>
      </c>
      <c r="AH220" s="63">
        <f t="shared" si="228"/>
        <v>0</v>
      </c>
    </row>
    <row r="221" spans="1:34" hidden="1" x14ac:dyDescent="0.2">
      <c r="A221" s="25" t="str">
        <f t="shared" si="225"/>
        <v>Formosa</v>
      </c>
      <c r="B221" s="51">
        <f t="shared" si="226"/>
        <v>0</v>
      </c>
      <c r="C221" s="25" t="str">
        <f t="shared" si="227"/>
        <v>Formosa 0</v>
      </c>
      <c r="D221" s="32">
        <f>VLOOKUP($A221,$A$4:$O$28,12,0)*(HLOOKUP(D$212,'2.2.Brecha Efectiva x UdM'!$H$25:$AK$32,7,0))</f>
        <v>0</v>
      </c>
      <c r="E221" s="32">
        <f>VLOOKUP($A221,$A$4:$O$28,12,0)*(HLOOKUP(E$212,'2.2.Brecha Efectiva x UdM'!$H$25:$AK$32,7,0))</f>
        <v>0</v>
      </c>
      <c r="F221" s="32">
        <f>VLOOKUP($A221,$A$4:$O$28,12,0)*(HLOOKUP(F$212,'2.2.Brecha Efectiva x UdM'!$H$25:$AK$32,7,0))</f>
        <v>0</v>
      </c>
      <c r="G221" s="32">
        <f>VLOOKUP($A221,$A$4:$O$28,12,0)*(HLOOKUP(G$212,'2.2.Brecha Efectiva x UdM'!$H$25:$AK$32,7,0))</f>
        <v>0</v>
      </c>
      <c r="H221" s="32">
        <f>VLOOKUP($A221,$A$4:$O$28,12,0)*(HLOOKUP(H$212,'2.2.Brecha Efectiva x UdM'!$H$25:$AK$32,7,0))</f>
        <v>0</v>
      </c>
      <c r="I221" s="32">
        <f>VLOOKUP($A221,$A$4:$O$28,12,0)*(HLOOKUP(I$212,'2.2.Brecha Efectiva x UdM'!$H$25:$AK$32,7,0))</f>
        <v>0</v>
      </c>
      <c r="J221" s="32">
        <f>VLOOKUP($A221,$A$4:$O$28,12,0)*(HLOOKUP(J$212,'2.2.Brecha Efectiva x UdM'!$H$25:$AK$32,7,0))</f>
        <v>0</v>
      </c>
      <c r="K221" s="32">
        <f>VLOOKUP($A221,$A$4:$O$28,12,0)*(HLOOKUP(K$212,'2.2.Brecha Efectiva x UdM'!$H$25:$AK$32,7,0))</f>
        <v>0</v>
      </c>
      <c r="L221" s="32">
        <f>VLOOKUP($A221,$A$4:$O$28,12,0)*(HLOOKUP(L$212,'2.2.Brecha Efectiva x UdM'!$H$25:$AK$32,7,0))</f>
        <v>0</v>
      </c>
      <c r="M221" s="32">
        <f>VLOOKUP($A221,$A$4:$O$28,12,0)*(HLOOKUP(M$212,'2.2.Brecha Efectiva x UdM'!$H$25:$AK$32,7,0))</f>
        <v>0</v>
      </c>
      <c r="N221" s="32">
        <f>VLOOKUP($A221,$A$4:$O$28,12,0)*(HLOOKUP(N$212,'2.2.Brecha Efectiva x UdM'!$H$25:$AK$32,7,0))</f>
        <v>0</v>
      </c>
      <c r="O221" s="32">
        <f>VLOOKUP($A221,$A$4:$O$28,12,0)*(HLOOKUP(O$212,'2.2.Brecha Efectiva x UdM'!$H$25:$AK$32,7,0))</f>
        <v>0</v>
      </c>
      <c r="P221" s="32">
        <f>VLOOKUP($A221,$A$4:$O$28,12,0)*(HLOOKUP(P$212,'2.2.Brecha Efectiva x UdM'!$H$25:$AK$32,7,0))</f>
        <v>0</v>
      </c>
      <c r="Q221" s="32">
        <f>VLOOKUP($A221,$A$4:$O$28,12,0)*(HLOOKUP(Q$212,'2.2.Brecha Efectiva x UdM'!$H$25:$AK$32,7,0))</f>
        <v>0</v>
      </c>
      <c r="R221" s="32">
        <f>VLOOKUP($A221,$A$4:$O$28,12,0)*(HLOOKUP(R$212,'2.2.Brecha Efectiva x UdM'!$H$25:$AK$32,7,0))</f>
        <v>0</v>
      </c>
      <c r="S221" s="32">
        <f>VLOOKUP($A221,$A$4:$O$28,12,0)*(HLOOKUP(S$212,'2.2.Brecha Efectiva x UdM'!$H$25:$AK$32,7,0))</f>
        <v>0</v>
      </c>
      <c r="T221" s="32">
        <f>VLOOKUP($A221,$A$4:$O$28,12,0)*(HLOOKUP(T$212,'2.2.Brecha Efectiva x UdM'!$H$25:$AK$32,7,0))</f>
        <v>0</v>
      </c>
      <c r="U221" s="32">
        <f>VLOOKUP($A221,$A$4:$O$28,12,0)*(HLOOKUP(U$212,'2.2.Brecha Efectiva x UdM'!$H$25:$AK$32,7,0))</f>
        <v>0</v>
      </c>
      <c r="V221" s="32">
        <f>VLOOKUP($A221,$A$4:$O$28,12,0)*(HLOOKUP(V$212,'2.2.Brecha Efectiva x UdM'!$H$25:$AK$32,7,0))</f>
        <v>0</v>
      </c>
      <c r="W221" s="32">
        <f>VLOOKUP($A221,$A$4:$O$28,12,0)*(HLOOKUP(W$212,'2.2.Brecha Efectiva x UdM'!$H$25:$AK$32,7,0))</f>
        <v>0</v>
      </c>
      <c r="X221" s="32">
        <f>VLOOKUP($A221,$A$4:$O$28,12,0)*(HLOOKUP(X$212,'2.2.Brecha Efectiva x UdM'!$H$25:$AK$32,7,0))</f>
        <v>0</v>
      </c>
      <c r="Y221" s="32">
        <f>VLOOKUP($A221,$A$4:$O$28,12,0)*(HLOOKUP(Y$212,'2.2.Brecha Efectiva x UdM'!$H$25:$AK$32,7,0))</f>
        <v>0</v>
      </c>
      <c r="Z221" s="32">
        <f>VLOOKUP($A221,$A$4:$O$28,12,0)*(HLOOKUP(Z$212,'2.2.Brecha Efectiva x UdM'!$H$25:$AK$32,7,0))</f>
        <v>0</v>
      </c>
      <c r="AA221" s="32">
        <f>VLOOKUP($A221,$A$4:$O$28,12,0)*(HLOOKUP(AA$212,'2.2.Brecha Efectiva x UdM'!$H$25:$AK$32,7,0))</f>
        <v>0</v>
      </c>
      <c r="AB221" s="32">
        <f>VLOOKUP($A221,$A$4:$O$28,12,0)*(HLOOKUP(AB$212,'2.2.Brecha Efectiva x UdM'!$H$25:$AK$32,7,0))</f>
        <v>0</v>
      </c>
      <c r="AC221" s="32">
        <f>VLOOKUP($A221,$A$4:$O$28,12,0)*(HLOOKUP(AC$212,'2.2.Brecha Efectiva x UdM'!$H$25:$AK$32,7,0))</f>
        <v>0</v>
      </c>
      <c r="AD221" s="32">
        <f>VLOOKUP($A221,$A$4:$O$28,12,0)*(HLOOKUP(AD$212,'2.2.Brecha Efectiva x UdM'!$H$25:$AK$32,7,0))</f>
        <v>0</v>
      </c>
      <c r="AE221" s="32">
        <f>VLOOKUP($A221,$A$4:$O$28,12,0)*(HLOOKUP(AE$212,'2.2.Brecha Efectiva x UdM'!$H$25:$AK$32,7,0))</f>
        <v>0</v>
      </c>
      <c r="AF221" s="32">
        <f>VLOOKUP($A221,$A$4:$O$28,12,0)*(HLOOKUP(AF$212,'2.2.Brecha Efectiva x UdM'!$H$25:$AK$32,7,0))</f>
        <v>0</v>
      </c>
      <c r="AG221" s="32">
        <f>VLOOKUP($A221,$A$4:$O$28,12,0)*(HLOOKUP(AG$212,'2.2.Brecha Efectiva x UdM'!$H$25:$AK$32,7,0))</f>
        <v>0</v>
      </c>
      <c r="AH221" s="62">
        <f t="shared" si="228"/>
        <v>0</v>
      </c>
    </row>
    <row r="222" spans="1:34" hidden="1" x14ac:dyDescent="0.2">
      <c r="A222" s="26" t="str">
        <f t="shared" si="225"/>
        <v>Jujuy</v>
      </c>
      <c r="B222" s="52">
        <f t="shared" si="226"/>
        <v>0</v>
      </c>
      <c r="C222" s="26" t="str">
        <f t="shared" si="227"/>
        <v>Jujuy 0</v>
      </c>
      <c r="D222" s="31">
        <f>VLOOKUP($A222,$A$4:$O$28,12,0)*(HLOOKUP(D$212,'2.2.Brecha Efectiva x UdM'!$H$25:$AK$32,7,0))</f>
        <v>0</v>
      </c>
      <c r="E222" s="31">
        <f>VLOOKUP($A222,$A$4:$O$28,12,0)*(HLOOKUP(E$212,'2.2.Brecha Efectiva x UdM'!$H$25:$AK$32,7,0))</f>
        <v>0</v>
      </c>
      <c r="F222" s="31">
        <f>VLOOKUP($A222,$A$4:$O$28,12,0)*(HLOOKUP(F$212,'2.2.Brecha Efectiva x UdM'!$H$25:$AK$32,7,0))</f>
        <v>0</v>
      </c>
      <c r="G222" s="31">
        <f>VLOOKUP($A222,$A$4:$O$28,12,0)*(HLOOKUP(G$212,'2.2.Brecha Efectiva x UdM'!$H$25:$AK$32,7,0))</f>
        <v>0</v>
      </c>
      <c r="H222" s="31">
        <f>VLOOKUP($A222,$A$4:$O$28,12,0)*(HLOOKUP(H$212,'2.2.Brecha Efectiva x UdM'!$H$25:$AK$32,7,0))</f>
        <v>0</v>
      </c>
      <c r="I222" s="31">
        <f>VLOOKUP($A222,$A$4:$O$28,12,0)*(HLOOKUP(I$212,'2.2.Brecha Efectiva x UdM'!$H$25:$AK$32,7,0))</f>
        <v>0</v>
      </c>
      <c r="J222" s="31">
        <f>VLOOKUP($A222,$A$4:$O$28,12,0)*(HLOOKUP(J$212,'2.2.Brecha Efectiva x UdM'!$H$25:$AK$32,7,0))</f>
        <v>0</v>
      </c>
      <c r="K222" s="31">
        <f>VLOOKUP($A222,$A$4:$O$28,12,0)*(HLOOKUP(K$212,'2.2.Brecha Efectiva x UdM'!$H$25:$AK$32,7,0))</f>
        <v>0</v>
      </c>
      <c r="L222" s="31">
        <f>VLOOKUP($A222,$A$4:$O$28,12,0)*(HLOOKUP(L$212,'2.2.Brecha Efectiva x UdM'!$H$25:$AK$32,7,0))</f>
        <v>0</v>
      </c>
      <c r="M222" s="31">
        <f>VLOOKUP($A222,$A$4:$O$28,12,0)*(HLOOKUP(M$212,'2.2.Brecha Efectiva x UdM'!$H$25:$AK$32,7,0))</f>
        <v>0</v>
      </c>
      <c r="N222" s="31">
        <f>VLOOKUP($A222,$A$4:$O$28,12,0)*(HLOOKUP(N$212,'2.2.Brecha Efectiva x UdM'!$H$25:$AK$32,7,0))</f>
        <v>0</v>
      </c>
      <c r="O222" s="31">
        <f>VLOOKUP($A222,$A$4:$O$28,12,0)*(HLOOKUP(O$212,'2.2.Brecha Efectiva x UdM'!$H$25:$AK$32,7,0))</f>
        <v>0</v>
      </c>
      <c r="P222" s="31">
        <f>VLOOKUP($A222,$A$4:$O$28,12,0)*(HLOOKUP(P$212,'2.2.Brecha Efectiva x UdM'!$H$25:$AK$32,7,0))</f>
        <v>0</v>
      </c>
      <c r="Q222" s="31">
        <f>VLOOKUP($A222,$A$4:$O$28,12,0)*(HLOOKUP(Q$212,'2.2.Brecha Efectiva x UdM'!$H$25:$AK$32,7,0))</f>
        <v>0</v>
      </c>
      <c r="R222" s="31">
        <f>VLOOKUP($A222,$A$4:$O$28,12,0)*(HLOOKUP(R$212,'2.2.Brecha Efectiva x UdM'!$H$25:$AK$32,7,0))</f>
        <v>0</v>
      </c>
      <c r="S222" s="31">
        <f>VLOOKUP($A222,$A$4:$O$28,12,0)*(HLOOKUP(S$212,'2.2.Brecha Efectiva x UdM'!$H$25:$AK$32,7,0))</f>
        <v>0</v>
      </c>
      <c r="T222" s="31">
        <f>VLOOKUP($A222,$A$4:$O$28,12,0)*(HLOOKUP(T$212,'2.2.Brecha Efectiva x UdM'!$H$25:$AK$32,7,0))</f>
        <v>0</v>
      </c>
      <c r="U222" s="31">
        <f>VLOOKUP($A222,$A$4:$O$28,12,0)*(HLOOKUP(U$212,'2.2.Brecha Efectiva x UdM'!$H$25:$AK$32,7,0))</f>
        <v>0</v>
      </c>
      <c r="V222" s="31">
        <f>VLOOKUP($A222,$A$4:$O$28,12,0)*(HLOOKUP(V$212,'2.2.Brecha Efectiva x UdM'!$H$25:$AK$32,7,0))</f>
        <v>0</v>
      </c>
      <c r="W222" s="31">
        <f>VLOOKUP($A222,$A$4:$O$28,12,0)*(HLOOKUP(W$212,'2.2.Brecha Efectiva x UdM'!$H$25:$AK$32,7,0))</f>
        <v>0</v>
      </c>
      <c r="X222" s="31">
        <f>VLOOKUP($A222,$A$4:$O$28,12,0)*(HLOOKUP(X$212,'2.2.Brecha Efectiva x UdM'!$H$25:$AK$32,7,0))</f>
        <v>0</v>
      </c>
      <c r="Y222" s="31">
        <f>VLOOKUP($A222,$A$4:$O$28,12,0)*(HLOOKUP(Y$212,'2.2.Brecha Efectiva x UdM'!$H$25:$AK$32,7,0))</f>
        <v>0</v>
      </c>
      <c r="Z222" s="31">
        <f>VLOOKUP($A222,$A$4:$O$28,12,0)*(HLOOKUP(Z$212,'2.2.Brecha Efectiva x UdM'!$H$25:$AK$32,7,0))</f>
        <v>0</v>
      </c>
      <c r="AA222" s="31">
        <f>VLOOKUP($A222,$A$4:$O$28,12,0)*(HLOOKUP(AA$212,'2.2.Brecha Efectiva x UdM'!$H$25:$AK$32,7,0))</f>
        <v>0</v>
      </c>
      <c r="AB222" s="31">
        <f>VLOOKUP($A222,$A$4:$O$28,12,0)*(HLOOKUP(AB$212,'2.2.Brecha Efectiva x UdM'!$H$25:$AK$32,7,0))</f>
        <v>0</v>
      </c>
      <c r="AC222" s="31">
        <f>VLOOKUP($A222,$A$4:$O$28,12,0)*(HLOOKUP(AC$212,'2.2.Brecha Efectiva x UdM'!$H$25:$AK$32,7,0))</f>
        <v>0</v>
      </c>
      <c r="AD222" s="31">
        <f>VLOOKUP($A222,$A$4:$O$28,12,0)*(HLOOKUP(AD$212,'2.2.Brecha Efectiva x UdM'!$H$25:$AK$32,7,0))</f>
        <v>0</v>
      </c>
      <c r="AE222" s="31">
        <f>VLOOKUP($A222,$A$4:$O$28,12,0)*(HLOOKUP(AE$212,'2.2.Brecha Efectiva x UdM'!$H$25:$AK$32,7,0))</f>
        <v>0</v>
      </c>
      <c r="AF222" s="31">
        <f>VLOOKUP($A222,$A$4:$O$28,12,0)*(HLOOKUP(AF$212,'2.2.Brecha Efectiva x UdM'!$H$25:$AK$32,7,0))</f>
        <v>0</v>
      </c>
      <c r="AG222" s="31">
        <f>VLOOKUP($A222,$A$4:$O$28,12,0)*(HLOOKUP(AG$212,'2.2.Brecha Efectiva x UdM'!$H$25:$AK$32,7,0))</f>
        <v>0</v>
      </c>
      <c r="AH222" s="63">
        <f t="shared" si="228"/>
        <v>0</v>
      </c>
    </row>
    <row r="223" spans="1:34" hidden="1" x14ac:dyDescent="0.2">
      <c r="A223" s="25" t="str">
        <f t="shared" si="225"/>
        <v>La Pampa</v>
      </c>
      <c r="B223" s="51">
        <f t="shared" si="226"/>
        <v>0</v>
      </c>
      <c r="C223" s="25" t="str">
        <f t="shared" si="227"/>
        <v>La Pampa 0</v>
      </c>
      <c r="D223" s="32">
        <f>VLOOKUP($A223,$A$4:$O$28,12,0)*(HLOOKUP(D$212,'2.2.Brecha Efectiva x UdM'!$H$25:$AK$32,7,0))</f>
        <v>0</v>
      </c>
      <c r="E223" s="32">
        <f>VLOOKUP($A223,$A$4:$O$28,12,0)*(HLOOKUP(E$212,'2.2.Brecha Efectiva x UdM'!$H$25:$AK$32,7,0))</f>
        <v>0</v>
      </c>
      <c r="F223" s="32">
        <f>VLOOKUP($A223,$A$4:$O$28,12,0)*(HLOOKUP(F$212,'2.2.Brecha Efectiva x UdM'!$H$25:$AK$32,7,0))</f>
        <v>0</v>
      </c>
      <c r="G223" s="32">
        <f>VLOOKUP($A223,$A$4:$O$28,12,0)*(HLOOKUP(G$212,'2.2.Brecha Efectiva x UdM'!$H$25:$AK$32,7,0))</f>
        <v>0</v>
      </c>
      <c r="H223" s="32">
        <f>VLOOKUP($A223,$A$4:$O$28,12,0)*(HLOOKUP(H$212,'2.2.Brecha Efectiva x UdM'!$H$25:$AK$32,7,0))</f>
        <v>0</v>
      </c>
      <c r="I223" s="32">
        <f>VLOOKUP($A223,$A$4:$O$28,12,0)*(HLOOKUP(I$212,'2.2.Brecha Efectiva x UdM'!$H$25:$AK$32,7,0))</f>
        <v>0</v>
      </c>
      <c r="J223" s="32">
        <f>VLOOKUP($A223,$A$4:$O$28,12,0)*(HLOOKUP(J$212,'2.2.Brecha Efectiva x UdM'!$H$25:$AK$32,7,0))</f>
        <v>0</v>
      </c>
      <c r="K223" s="32">
        <f>VLOOKUP($A223,$A$4:$O$28,12,0)*(HLOOKUP(K$212,'2.2.Brecha Efectiva x UdM'!$H$25:$AK$32,7,0))</f>
        <v>0</v>
      </c>
      <c r="L223" s="32">
        <f>VLOOKUP($A223,$A$4:$O$28,12,0)*(HLOOKUP(L$212,'2.2.Brecha Efectiva x UdM'!$H$25:$AK$32,7,0))</f>
        <v>0</v>
      </c>
      <c r="M223" s="32">
        <f>VLOOKUP($A223,$A$4:$O$28,12,0)*(HLOOKUP(M$212,'2.2.Brecha Efectiva x UdM'!$H$25:$AK$32,7,0))</f>
        <v>0</v>
      </c>
      <c r="N223" s="32">
        <f>VLOOKUP($A223,$A$4:$O$28,12,0)*(HLOOKUP(N$212,'2.2.Brecha Efectiva x UdM'!$H$25:$AK$32,7,0))</f>
        <v>0</v>
      </c>
      <c r="O223" s="32">
        <f>VLOOKUP($A223,$A$4:$O$28,12,0)*(HLOOKUP(O$212,'2.2.Brecha Efectiva x UdM'!$H$25:$AK$32,7,0))</f>
        <v>0</v>
      </c>
      <c r="P223" s="32">
        <f>VLOOKUP($A223,$A$4:$O$28,12,0)*(HLOOKUP(P$212,'2.2.Brecha Efectiva x UdM'!$H$25:$AK$32,7,0))</f>
        <v>0</v>
      </c>
      <c r="Q223" s="32">
        <f>VLOOKUP($A223,$A$4:$O$28,12,0)*(HLOOKUP(Q$212,'2.2.Brecha Efectiva x UdM'!$H$25:$AK$32,7,0))</f>
        <v>0</v>
      </c>
      <c r="R223" s="32">
        <f>VLOOKUP($A223,$A$4:$O$28,12,0)*(HLOOKUP(R$212,'2.2.Brecha Efectiva x UdM'!$H$25:$AK$32,7,0))</f>
        <v>0</v>
      </c>
      <c r="S223" s="32">
        <f>VLOOKUP($A223,$A$4:$O$28,12,0)*(HLOOKUP(S$212,'2.2.Brecha Efectiva x UdM'!$H$25:$AK$32,7,0))</f>
        <v>0</v>
      </c>
      <c r="T223" s="32">
        <f>VLOOKUP($A223,$A$4:$O$28,12,0)*(HLOOKUP(T$212,'2.2.Brecha Efectiva x UdM'!$H$25:$AK$32,7,0))</f>
        <v>0</v>
      </c>
      <c r="U223" s="32">
        <f>VLOOKUP($A223,$A$4:$O$28,12,0)*(HLOOKUP(U$212,'2.2.Brecha Efectiva x UdM'!$H$25:$AK$32,7,0))</f>
        <v>0</v>
      </c>
      <c r="V223" s="32">
        <f>VLOOKUP($A223,$A$4:$O$28,12,0)*(HLOOKUP(V$212,'2.2.Brecha Efectiva x UdM'!$H$25:$AK$32,7,0))</f>
        <v>0</v>
      </c>
      <c r="W223" s="32">
        <f>VLOOKUP($A223,$A$4:$O$28,12,0)*(HLOOKUP(W$212,'2.2.Brecha Efectiva x UdM'!$H$25:$AK$32,7,0))</f>
        <v>0</v>
      </c>
      <c r="X223" s="32">
        <f>VLOOKUP($A223,$A$4:$O$28,12,0)*(HLOOKUP(X$212,'2.2.Brecha Efectiva x UdM'!$H$25:$AK$32,7,0))</f>
        <v>0</v>
      </c>
      <c r="Y223" s="32">
        <f>VLOOKUP($A223,$A$4:$O$28,12,0)*(HLOOKUP(Y$212,'2.2.Brecha Efectiva x UdM'!$H$25:$AK$32,7,0))</f>
        <v>0</v>
      </c>
      <c r="Z223" s="32">
        <f>VLOOKUP($A223,$A$4:$O$28,12,0)*(HLOOKUP(Z$212,'2.2.Brecha Efectiva x UdM'!$H$25:$AK$32,7,0))</f>
        <v>0</v>
      </c>
      <c r="AA223" s="32">
        <f>VLOOKUP($A223,$A$4:$O$28,12,0)*(HLOOKUP(AA$212,'2.2.Brecha Efectiva x UdM'!$H$25:$AK$32,7,0))</f>
        <v>0</v>
      </c>
      <c r="AB223" s="32">
        <f>VLOOKUP($A223,$A$4:$O$28,12,0)*(HLOOKUP(AB$212,'2.2.Brecha Efectiva x UdM'!$H$25:$AK$32,7,0))</f>
        <v>0</v>
      </c>
      <c r="AC223" s="32">
        <f>VLOOKUP($A223,$A$4:$O$28,12,0)*(HLOOKUP(AC$212,'2.2.Brecha Efectiva x UdM'!$H$25:$AK$32,7,0))</f>
        <v>0</v>
      </c>
      <c r="AD223" s="32">
        <f>VLOOKUP($A223,$A$4:$O$28,12,0)*(HLOOKUP(AD$212,'2.2.Brecha Efectiva x UdM'!$H$25:$AK$32,7,0))</f>
        <v>0</v>
      </c>
      <c r="AE223" s="32">
        <f>VLOOKUP($A223,$A$4:$O$28,12,0)*(HLOOKUP(AE$212,'2.2.Brecha Efectiva x UdM'!$H$25:$AK$32,7,0))</f>
        <v>0</v>
      </c>
      <c r="AF223" s="32">
        <f>VLOOKUP($A223,$A$4:$O$28,12,0)*(HLOOKUP(AF$212,'2.2.Brecha Efectiva x UdM'!$H$25:$AK$32,7,0))</f>
        <v>0</v>
      </c>
      <c r="AG223" s="32">
        <f>VLOOKUP($A223,$A$4:$O$28,12,0)*(HLOOKUP(AG$212,'2.2.Brecha Efectiva x UdM'!$H$25:$AK$32,7,0))</f>
        <v>0</v>
      </c>
      <c r="AH223" s="62">
        <f t="shared" si="228"/>
        <v>0</v>
      </c>
    </row>
    <row r="224" spans="1:34" hidden="1" x14ac:dyDescent="0.2">
      <c r="A224" s="26" t="str">
        <f t="shared" si="225"/>
        <v>La Rioja</v>
      </c>
      <c r="B224" s="52">
        <f t="shared" si="226"/>
        <v>0</v>
      </c>
      <c r="C224" s="26" t="str">
        <f t="shared" si="227"/>
        <v>La Rioja 0</v>
      </c>
      <c r="D224" s="31">
        <f>VLOOKUP($A224,$A$4:$O$28,12,0)*(HLOOKUP(D$212,'2.2.Brecha Efectiva x UdM'!$H$25:$AK$32,7,0))</f>
        <v>0</v>
      </c>
      <c r="E224" s="31">
        <f>VLOOKUP($A224,$A$4:$O$28,12,0)*(HLOOKUP(E$212,'2.2.Brecha Efectiva x UdM'!$H$25:$AK$32,7,0))</f>
        <v>0</v>
      </c>
      <c r="F224" s="31">
        <f>VLOOKUP($A224,$A$4:$O$28,12,0)*(HLOOKUP(F$212,'2.2.Brecha Efectiva x UdM'!$H$25:$AK$32,7,0))</f>
        <v>0</v>
      </c>
      <c r="G224" s="31">
        <f>VLOOKUP($A224,$A$4:$O$28,12,0)*(HLOOKUP(G$212,'2.2.Brecha Efectiva x UdM'!$H$25:$AK$32,7,0))</f>
        <v>0</v>
      </c>
      <c r="H224" s="31">
        <f>VLOOKUP($A224,$A$4:$O$28,12,0)*(HLOOKUP(H$212,'2.2.Brecha Efectiva x UdM'!$H$25:$AK$32,7,0))</f>
        <v>0</v>
      </c>
      <c r="I224" s="31">
        <f>VLOOKUP($A224,$A$4:$O$28,12,0)*(HLOOKUP(I$212,'2.2.Brecha Efectiva x UdM'!$H$25:$AK$32,7,0))</f>
        <v>0</v>
      </c>
      <c r="J224" s="31">
        <f>VLOOKUP($A224,$A$4:$O$28,12,0)*(HLOOKUP(J$212,'2.2.Brecha Efectiva x UdM'!$H$25:$AK$32,7,0))</f>
        <v>0</v>
      </c>
      <c r="K224" s="31">
        <f>VLOOKUP($A224,$A$4:$O$28,12,0)*(HLOOKUP(K$212,'2.2.Brecha Efectiva x UdM'!$H$25:$AK$32,7,0))</f>
        <v>0</v>
      </c>
      <c r="L224" s="31">
        <f>VLOOKUP($A224,$A$4:$O$28,12,0)*(HLOOKUP(L$212,'2.2.Brecha Efectiva x UdM'!$H$25:$AK$32,7,0))</f>
        <v>0</v>
      </c>
      <c r="M224" s="31">
        <f>VLOOKUP($A224,$A$4:$O$28,12,0)*(HLOOKUP(M$212,'2.2.Brecha Efectiva x UdM'!$H$25:$AK$32,7,0))</f>
        <v>0</v>
      </c>
      <c r="N224" s="31">
        <f>VLOOKUP($A224,$A$4:$O$28,12,0)*(HLOOKUP(N$212,'2.2.Brecha Efectiva x UdM'!$H$25:$AK$32,7,0))</f>
        <v>0</v>
      </c>
      <c r="O224" s="31">
        <f>VLOOKUP($A224,$A$4:$O$28,12,0)*(HLOOKUP(O$212,'2.2.Brecha Efectiva x UdM'!$H$25:$AK$32,7,0))</f>
        <v>0</v>
      </c>
      <c r="P224" s="31">
        <f>VLOOKUP($A224,$A$4:$O$28,12,0)*(HLOOKUP(P$212,'2.2.Brecha Efectiva x UdM'!$H$25:$AK$32,7,0))</f>
        <v>0</v>
      </c>
      <c r="Q224" s="31">
        <f>VLOOKUP($A224,$A$4:$O$28,12,0)*(HLOOKUP(Q$212,'2.2.Brecha Efectiva x UdM'!$H$25:$AK$32,7,0))</f>
        <v>0</v>
      </c>
      <c r="R224" s="31">
        <f>VLOOKUP($A224,$A$4:$O$28,12,0)*(HLOOKUP(R$212,'2.2.Brecha Efectiva x UdM'!$H$25:$AK$32,7,0))</f>
        <v>0</v>
      </c>
      <c r="S224" s="31">
        <f>VLOOKUP($A224,$A$4:$O$28,12,0)*(HLOOKUP(S$212,'2.2.Brecha Efectiva x UdM'!$H$25:$AK$32,7,0))</f>
        <v>0</v>
      </c>
      <c r="T224" s="31">
        <f>VLOOKUP($A224,$A$4:$O$28,12,0)*(HLOOKUP(T$212,'2.2.Brecha Efectiva x UdM'!$H$25:$AK$32,7,0))</f>
        <v>0</v>
      </c>
      <c r="U224" s="31">
        <f>VLOOKUP($A224,$A$4:$O$28,12,0)*(HLOOKUP(U$212,'2.2.Brecha Efectiva x UdM'!$H$25:$AK$32,7,0))</f>
        <v>0</v>
      </c>
      <c r="V224" s="31">
        <f>VLOOKUP($A224,$A$4:$O$28,12,0)*(HLOOKUP(V$212,'2.2.Brecha Efectiva x UdM'!$H$25:$AK$32,7,0))</f>
        <v>0</v>
      </c>
      <c r="W224" s="31">
        <f>VLOOKUP($A224,$A$4:$O$28,12,0)*(HLOOKUP(W$212,'2.2.Brecha Efectiva x UdM'!$H$25:$AK$32,7,0))</f>
        <v>0</v>
      </c>
      <c r="X224" s="31">
        <f>VLOOKUP($A224,$A$4:$O$28,12,0)*(HLOOKUP(X$212,'2.2.Brecha Efectiva x UdM'!$H$25:$AK$32,7,0))</f>
        <v>0</v>
      </c>
      <c r="Y224" s="31">
        <f>VLOOKUP($A224,$A$4:$O$28,12,0)*(HLOOKUP(Y$212,'2.2.Brecha Efectiva x UdM'!$H$25:$AK$32,7,0))</f>
        <v>0</v>
      </c>
      <c r="Z224" s="31">
        <f>VLOOKUP($A224,$A$4:$O$28,12,0)*(HLOOKUP(Z$212,'2.2.Brecha Efectiva x UdM'!$H$25:$AK$32,7,0))</f>
        <v>0</v>
      </c>
      <c r="AA224" s="31">
        <f>VLOOKUP($A224,$A$4:$O$28,12,0)*(HLOOKUP(AA$212,'2.2.Brecha Efectiva x UdM'!$H$25:$AK$32,7,0))</f>
        <v>0</v>
      </c>
      <c r="AB224" s="31">
        <f>VLOOKUP($A224,$A$4:$O$28,12,0)*(HLOOKUP(AB$212,'2.2.Brecha Efectiva x UdM'!$H$25:$AK$32,7,0))</f>
        <v>0</v>
      </c>
      <c r="AC224" s="31">
        <f>VLOOKUP($A224,$A$4:$O$28,12,0)*(HLOOKUP(AC$212,'2.2.Brecha Efectiva x UdM'!$H$25:$AK$32,7,0))</f>
        <v>0</v>
      </c>
      <c r="AD224" s="31">
        <f>VLOOKUP($A224,$A$4:$O$28,12,0)*(HLOOKUP(AD$212,'2.2.Brecha Efectiva x UdM'!$H$25:$AK$32,7,0))</f>
        <v>0</v>
      </c>
      <c r="AE224" s="31">
        <f>VLOOKUP($A224,$A$4:$O$28,12,0)*(HLOOKUP(AE$212,'2.2.Brecha Efectiva x UdM'!$H$25:$AK$32,7,0))</f>
        <v>0</v>
      </c>
      <c r="AF224" s="31">
        <f>VLOOKUP($A224,$A$4:$O$28,12,0)*(HLOOKUP(AF$212,'2.2.Brecha Efectiva x UdM'!$H$25:$AK$32,7,0))</f>
        <v>0</v>
      </c>
      <c r="AG224" s="31">
        <f>VLOOKUP($A224,$A$4:$O$28,12,0)*(HLOOKUP(AG$212,'2.2.Brecha Efectiva x UdM'!$H$25:$AK$32,7,0))</f>
        <v>0</v>
      </c>
      <c r="AH224" s="63">
        <f t="shared" si="228"/>
        <v>0</v>
      </c>
    </row>
    <row r="225" spans="1:34" hidden="1" x14ac:dyDescent="0.2">
      <c r="A225" s="25" t="str">
        <f t="shared" si="225"/>
        <v>Mendoza</v>
      </c>
      <c r="B225" s="51">
        <f t="shared" si="226"/>
        <v>0</v>
      </c>
      <c r="C225" s="25" t="str">
        <f t="shared" si="227"/>
        <v>Mendoza 0</v>
      </c>
      <c r="D225" s="32">
        <f>VLOOKUP($A225,$A$4:$O$28,12,0)*(HLOOKUP(D$212,'2.2.Brecha Efectiva x UdM'!$H$25:$AK$32,7,0))</f>
        <v>0</v>
      </c>
      <c r="E225" s="32">
        <f>VLOOKUP($A225,$A$4:$O$28,12,0)*(HLOOKUP(E$212,'2.2.Brecha Efectiva x UdM'!$H$25:$AK$32,7,0))</f>
        <v>0</v>
      </c>
      <c r="F225" s="32">
        <f>VLOOKUP($A225,$A$4:$O$28,12,0)*(HLOOKUP(F$212,'2.2.Brecha Efectiva x UdM'!$H$25:$AK$32,7,0))</f>
        <v>0</v>
      </c>
      <c r="G225" s="32">
        <f>VLOOKUP($A225,$A$4:$O$28,12,0)*(HLOOKUP(G$212,'2.2.Brecha Efectiva x UdM'!$H$25:$AK$32,7,0))</f>
        <v>0</v>
      </c>
      <c r="H225" s="32">
        <f>VLOOKUP($A225,$A$4:$O$28,12,0)*(HLOOKUP(H$212,'2.2.Brecha Efectiva x UdM'!$H$25:$AK$32,7,0))</f>
        <v>0</v>
      </c>
      <c r="I225" s="32">
        <f>VLOOKUP($A225,$A$4:$O$28,12,0)*(HLOOKUP(I$212,'2.2.Brecha Efectiva x UdM'!$H$25:$AK$32,7,0))</f>
        <v>0</v>
      </c>
      <c r="J225" s="32">
        <f>VLOOKUP($A225,$A$4:$O$28,12,0)*(HLOOKUP(J$212,'2.2.Brecha Efectiva x UdM'!$H$25:$AK$32,7,0))</f>
        <v>0</v>
      </c>
      <c r="K225" s="32">
        <f>VLOOKUP($A225,$A$4:$O$28,12,0)*(HLOOKUP(K$212,'2.2.Brecha Efectiva x UdM'!$H$25:$AK$32,7,0))</f>
        <v>0</v>
      </c>
      <c r="L225" s="32">
        <f>VLOOKUP($A225,$A$4:$O$28,12,0)*(HLOOKUP(L$212,'2.2.Brecha Efectiva x UdM'!$H$25:$AK$32,7,0))</f>
        <v>0</v>
      </c>
      <c r="M225" s="32">
        <f>VLOOKUP($A225,$A$4:$O$28,12,0)*(HLOOKUP(M$212,'2.2.Brecha Efectiva x UdM'!$H$25:$AK$32,7,0))</f>
        <v>0</v>
      </c>
      <c r="N225" s="32">
        <f>VLOOKUP($A225,$A$4:$O$28,12,0)*(HLOOKUP(N$212,'2.2.Brecha Efectiva x UdM'!$H$25:$AK$32,7,0))</f>
        <v>0</v>
      </c>
      <c r="O225" s="32">
        <f>VLOOKUP($A225,$A$4:$O$28,12,0)*(HLOOKUP(O$212,'2.2.Brecha Efectiva x UdM'!$H$25:$AK$32,7,0))</f>
        <v>0</v>
      </c>
      <c r="P225" s="32">
        <f>VLOOKUP($A225,$A$4:$O$28,12,0)*(HLOOKUP(P$212,'2.2.Brecha Efectiva x UdM'!$H$25:$AK$32,7,0))</f>
        <v>0</v>
      </c>
      <c r="Q225" s="32">
        <f>VLOOKUP($A225,$A$4:$O$28,12,0)*(HLOOKUP(Q$212,'2.2.Brecha Efectiva x UdM'!$H$25:$AK$32,7,0))</f>
        <v>0</v>
      </c>
      <c r="R225" s="32">
        <f>VLOOKUP($A225,$A$4:$O$28,12,0)*(HLOOKUP(R$212,'2.2.Brecha Efectiva x UdM'!$H$25:$AK$32,7,0))</f>
        <v>0</v>
      </c>
      <c r="S225" s="32">
        <f>VLOOKUP($A225,$A$4:$O$28,12,0)*(HLOOKUP(S$212,'2.2.Brecha Efectiva x UdM'!$H$25:$AK$32,7,0))</f>
        <v>0</v>
      </c>
      <c r="T225" s="32">
        <f>VLOOKUP($A225,$A$4:$O$28,12,0)*(HLOOKUP(T$212,'2.2.Brecha Efectiva x UdM'!$H$25:$AK$32,7,0))</f>
        <v>0</v>
      </c>
      <c r="U225" s="32">
        <f>VLOOKUP($A225,$A$4:$O$28,12,0)*(HLOOKUP(U$212,'2.2.Brecha Efectiva x UdM'!$H$25:$AK$32,7,0))</f>
        <v>0</v>
      </c>
      <c r="V225" s="32">
        <f>VLOOKUP($A225,$A$4:$O$28,12,0)*(HLOOKUP(V$212,'2.2.Brecha Efectiva x UdM'!$H$25:$AK$32,7,0))</f>
        <v>0</v>
      </c>
      <c r="W225" s="32">
        <f>VLOOKUP($A225,$A$4:$O$28,12,0)*(HLOOKUP(W$212,'2.2.Brecha Efectiva x UdM'!$H$25:$AK$32,7,0))</f>
        <v>0</v>
      </c>
      <c r="X225" s="32">
        <f>VLOOKUP($A225,$A$4:$O$28,12,0)*(HLOOKUP(X$212,'2.2.Brecha Efectiva x UdM'!$H$25:$AK$32,7,0))</f>
        <v>0</v>
      </c>
      <c r="Y225" s="32">
        <f>VLOOKUP($A225,$A$4:$O$28,12,0)*(HLOOKUP(Y$212,'2.2.Brecha Efectiva x UdM'!$H$25:$AK$32,7,0))</f>
        <v>0</v>
      </c>
      <c r="Z225" s="32">
        <f>VLOOKUP($A225,$A$4:$O$28,12,0)*(HLOOKUP(Z$212,'2.2.Brecha Efectiva x UdM'!$H$25:$AK$32,7,0))</f>
        <v>0</v>
      </c>
      <c r="AA225" s="32">
        <f>VLOOKUP($A225,$A$4:$O$28,12,0)*(HLOOKUP(AA$212,'2.2.Brecha Efectiva x UdM'!$H$25:$AK$32,7,0))</f>
        <v>0</v>
      </c>
      <c r="AB225" s="32">
        <f>VLOOKUP($A225,$A$4:$O$28,12,0)*(HLOOKUP(AB$212,'2.2.Brecha Efectiva x UdM'!$H$25:$AK$32,7,0))</f>
        <v>0</v>
      </c>
      <c r="AC225" s="32">
        <f>VLOOKUP($A225,$A$4:$O$28,12,0)*(HLOOKUP(AC$212,'2.2.Brecha Efectiva x UdM'!$H$25:$AK$32,7,0))</f>
        <v>0</v>
      </c>
      <c r="AD225" s="32">
        <f>VLOOKUP($A225,$A$4:$O$28,12,0)*(HLOOKUP(AD$212,'2.2.Brecha Efectiva x UdM'!$H$25:$AK$32,7,0))</f>
        <v>0</v>
      </c>
      <c r="AE225" s="32">
        <f>VLOOKUP($A225,$A$4:$O$28,12,0)*(HLOOKUP(AE$212,'2.2.Brecha Efectiva x UdM'!$H$25:$AK$32,7,0))</f>
        <v>0</v>
      </c>
      <c r="AF225" s="32">
        <f>VLOOKUP($A225,$A$4:$O$28,12,0)*(HLOOKUP(AF$212,'2.2.Brecha Efectiva x UdM'!$H$25:$AK$32,7,0))</f>
        <v>0</v>
      </c>
      <c r="AG225" s="32">
        <f>VLOOKUP($A225,$A$4:$O$28,12,0)*(HLOOKUP(AG$212,'2.2.Brecha Efectiva x UdM'!$H$25:$AK$32,7,0))</f>
        <v>0</v>
      </c>
      <c r="AH225" s="62">
        <f t="shared" si="228"/>
        <v>0</v>
      </c>
    </row>
    <row r="226" spans="1:34" hidden="1" x14ac:dyDescent="0.2">
      <c r="A226" s="26" t="str">
        <f t="shared" si="225"/>
        <v>Misiones</v>
      </c>
      <c r="B226" s="52">
        <f t="shared" si="226"/>
        <v>0</v>
      </c>
      <c r="C226" s="26" t="str">
        <f t="shared" si="227"/>
        <v>Misiones 0</v>
      </c>
      <c r="D226" s="31">
        <f>VLOOKUP($A226,$A$4:$O$28,12,0)*(HLOOKUP(D$212,'2.2.Brecha Efectiva x UdM'!$H$25:$AK$32,7,0))</f>
        <v>0</v>
      </c>
      <c r="E226" s="31">
        <f>VLOOKUP($A226,$A$4:$O$28,12,0)*(HLOOKUP(E$212,'2.2.Brecha Efectiva x UdM'!$H$25:$AK$32,7,0))</f>
        <v>0</v>
      </c>
      <c r="F226" s="31">
        <f>VLOOKUP($A226,$A$4:$O$28,12,0)*(HLOOKUP(F$212,'2.2.Brecha Efectiva x UdM'!$H$25:$AK$32,7,0))</f>
        <v>0</v>
      </c>
      <c r="G226" s="31">
        <f>VLOOKUP($A226,$A$4:$O$28,12,0)*(HLOOKUP(G$212,'2.2.Brecha Efectiva x UdM'!$H$25:$AK$32,7,0))</f>
        <v>0</v>
      </c>
      <c r="H226" s="31">
        <f>VLOOKUP($A226,$A$4:$O$28,12,0)*(HLOOKUP(H$212,'2.2.Brecha Efectiva x UdM'!$H$25:$AK$32,7,0))</f>
        <v>0</v>
      </c>
      <c r="I226" s="31">
        <f>VLOOKUP($A226,$A$4:$O$28,12,0)*(HLOOKUP(I$212,'2.2.Brecha Efectiva x UdM'!$H$25:$AK$32,7,0))</f>
        <v>0</v>
      </c>
      <c r="J226" s="31">
        <f>VLOOKUP($A226,$A$4:$O$28,12,0)*(HLOOKUP(J$212,'2.2.Brecha Efectiva x UdM'!$H$25:$AK$32,7,0))</f>
        <v>0</v>
      </c>
      <c r="K226" s="31">
        <f>VLOOKUP($A226,$A$4:$O$28,12,0)*(HLOOKUP(K$212,'2.2.Brecha Efectiva x UdM'!$H$25:$AK$32,7,0))</f>
        <v>0</v>
      </c>
      <c r="L226" s="31">
        <f>VLOOKUP($A226,$A$4:$O$28,12,0)*(HLOOKUP(L$212,'2.2.Brecha Efectiva x UdM'!$H$25:$AK$32,7,0))</f>
        <v>0</v>
      </c>
      <c r="M226" s="31">
        <f>VLOOKUP($A226,$A$4:$O$28,12,0)*(HLOOKUP(M$212,'2.2.Brecha Efectiva x UdM'!$H$25:$AK$32,7,0))</f>
        <v>0</v>
      </c>
      <c r="N226" s="31">
        <f>VLOOKUP($A226,$A$4:$O$28,12,0)*(HLOOKUP(N$212,'2.2.Brecha Efectiva x UdM'!$H$25:$AK$32,7,0))</f>
        <v>0</v>
      </c>
      <c r="O226" s="31">
        <f>VLOOKUP($A226,$A$4:$O$28,12,0)*(HLOOKUP(O$212,'2.2.Brecha Efectiva x UdM'!$H$25:$AK$32,7,0))</f>
        <v>0</v>
      </c>
      <c r="P226" s="31">
        <f>VLOOKUP($A226,$A$4:$O$28,12,0)*(HLOOKUP(P$212,'2.2.Brecha Efectiva x UdM'!$H$25:$AK$32,7,0))</f>
        <v>0</v>
      </c>
      <c r="Q226" s="31">
        <f>VLOOKUP($A226,$A$4:$O$28,12,0)*(HLOOKUP(Q$212,'2.2.Brecha Efectiva x UdM'!$H$25:$AK$32,7,0))</f>
        <v>0</v>
      </c>
      <c r="R226" s="31">
        <f>VLOOKUP($A226,$A$4:$O$28,12,0)*(HLOOKUP(R$212,'2.2.Brecha Efectiva x UdM'!$H$25:$AK$32,7,0))</f>
        <v>0</v>
      </c>
      <c r="S226" s="31">
        <f>VLOOKUP($A226,$A$4:$O$28,12,0)*(HLOOKUP(S$212,'2.2.Brecha Efectiva x UdM'!$H$25:$AK$32,7,0))</f>
        <v>0</v>
      </c>
      <c r="T226" s="31">
        <f>VLOOKUP($A226,$A$4:$O$28,12,0)*(HLOOKUP(T$212,'2.2.Brecha Efectiva x UdM'!$H$25:$AK$32,7,0))</f>
        <v>0</v>
      </c>
      <c r="U226" s="31">
        <f>VLOOKUP($A226,$A$4:$O$28,12,0)*(HLOOKUP(U$212,'2.2.Brecha Efectiva x UdM'!$H$25:$AK$32,7,0))</f>
        <v>0</v>
      </c>
      <c r="V226" s="31">
        <f>VLOOKUP($A226,$A$4:$O$28,12,0)*(HLOOKUP(V$212,'2.2.Brecha Efectiva x UdM'!$H$25:$AK$32,7,0))</f>
        <v>0</v>
      </c>
      <c r="W226" s="31">
        <f>VLOOKUP($A226,$A$4:$O$28,12,0)*(HLOOKUP(W$212,'2.2.Brecha Efectiva x UdM'!$H$25:$AK$32,7,0))</f>
        <v>0</v>
      </c>
      <c r="X226" s="31">
        <f>VLOOKUP($A226,$A$4:$O$28,12,0)*(HLOOKUP(X$212,'2.2.Brecha Efectiva x UdM'!$H$25:$AK$32,7,0))</f>
        <v>0</v>
      </c>
      <c r="Y226" s="31">
        <f>VLOOKUP($A226,$A$4:$O$28,12,0)*(HLOOKUP(Y$212,'2.2.Brecha Efectiva x UdM'!$H$25:$AK$32,7,0))</f>
        <v>0</v>
      </c>
      <c r="Z226" s="31">
        <f>VLOOKUP($A226,$A$4:$O$28,12,0)*(HLOOKUP(Z$212,'2.2.Brecha Efectiva x UdM'!$H$25:$AK$32,7,0))</f>
        <v>0</v>
      </c>
      <c r="AA226" s="31">
        <f>VLOOKUP($A226,$A$4:$O$28,12,0)*(HLOOKUP(AA$212,'2.2.Brecha Efectiva x UdM'!$H$25:$AK$32,7,0))</f>
        <v>0</v>
      </c>
      <c r="AB226" s="31">
        <f>VLOOKUP($A226,$A$4:$O$28,12,0)*(HLOOKUP(AB$212,'2.2.Brecha Efectiva x UdM'!$H$25:$AK$32,7,0))</f>
        <v>0</v>
      </c>
      <c r="AC226" s="31">
        <f>VLOOKUP($A226,$A$4:$O$28,12,0)*(HLOOKUP(AC$212,'2.2.Brecha Efectiva x UdM'!$H$25:$AK$32,7,0))</f>
        <v>0</v>
      </c>
      <c r="AD226" s="31">
        <f>VLOOKUP($A226,$A$4:$O$28,12,0)*(HLOOKUP(AD$212,'2.2.Brecha Efectiva x UdM'!$H$25:$AK$32,7,0))</f>
        <v>0</v>
      </c>
      <c r="AE226" s="31">
        <f>VLOOKUP($A226,$A$4:$O$28,12,0)*(HLOOKUP(AE$212,'2.2.Brecha Efectiva x UdM'!$H$25:$AK$32,7,0))</f>
        <v>0</v>
      </c>
      <c r="AF226" s="31">
        <f>VLOOKUP($A226,$A$4:$O$28,12,0)*(HLOOKUP(AF$212,'2.2.Brecha Efectiva x UdM'!$H$25:$AK$32,7,0))</f>
        <v>0</v>
      </c>
      <c r="AG226" s="31">
        <f>VLOOKUP($A226,$A$4:$O$28,12,0)*(HLOOKUP(AG$212,'2.2.Brecha Efectiva x UdM'!$H$25:$AK$32,7,0))</f>
        <v>0</v>
      </c>
      <c r="AH226" s="63">
        <f t="shared" si="228"/>
        <v>0</v>
      </c>
    </row>
    <row r="227" spans="1:34" hidden="1" x14ac:dyDescent="0.2">
      <c r="A227" s="25" t="str">
        <f t="shared" si="225"/>
        <v>Neuquén</v>
      </c>
      <c r="B227" s="51">
        <f t="shared" si="226"/>
        <v>0</v>
      </c>
      <c r="C227" s="25" t="str">
        <f t="shared" si="227"/>
        <v>Neuquén 0</v>
      </c>
      <c r="D227" s="32">
        <f>VLOOKUP($A227,$A$4:$O$28,12,0)*(HLOOKUP(D$212,'2.2.Brecha Efectiva x UdM'!$H$25:$AK$32,7,0))</f>
        <v>0</v>
      </c>
      <c r="E227" s="32">
        <f>VLOOKUP($A227,$A$4:$O$28,12,0)*(HLOOKUP(E$212,'2.2.Brecha Efectiva x UdM'!$H$25:$AK$32,7,0))</f>
        <v>0</v>
      </c>
      <c r="F227" s="32">
        <f>VLOOKUP($A227,$A$4:$O$28,12,0)*(HLOOKUP(F$212,'2.2.Brecha Efectiva x UdM'!$H$25:$AK$32,7,0))</f>
        <v>0</v>
      </c>
      <c r="G227" s="32">
        <f>VLOOKUP($A227,$A$4:$O$28,12,0)*(HLOOKUP(G$212,'2.2.Brecha Efectiva x UdM'!$H$25:$AK$32,7,0))</f>
        <v>0</v>
      </c>
      <c r="H227" s="32">
        <f>VLOOKUP($A227,$A$4:$O$28,12,0)*(HLOOKUP(H$212,'2.2.Brecha Efectiva x UdM'!$H$25:$AK$32,7,0))</f>
        <v>0</v>
      </c>
      <c r="I227" s="32">
        <f>VLOOKUP($A227,$A$4:$O$28,12,0)*(HLOOKUP(I$212,'2.2.Brecha Efectiva x UdM'!$H$25:$AK$32,7,0))</f>
        <v>0</v>
      </c>
      <c r="J227" s="32">
        <f>VLOOKUP($A227,$A$4:$O$28,12,0)*(HLOOKUP(J$212,'2.2.Brecha Efectiva x UdM'!$H$25:$AK$32,7,0))</f>
        <v>0</v>
      </c>
      <c r="K227" s="32">
        <f>VLOOKUP($A227,$A$4:$O$28,12,0)*(HLOOKUP(K$212,'2.2.Brecha Efectiva x UdM'!$H$25:$AK$32,7,0))</f>
        <v>0</v>
      </c>
      <c r="L227" s="32">
        <f>VLOOKUP($A227,$A$4:$O$28,12,0)*(HLOOKUP(L$212,'2.2.Brecha Efectiva x UdM'!$H$25:$AK$32,7,0))</f>
        <v>0</v>
      </c>
      <c r="M227" s="32">
        <f>VLOOKUP($A227,$A$4:$O$28,12,0)*(HLOOKUP(M$212,'2.2.Brecha Efectiva x UdM'!$H$25:$AK$32,7,0))</f>
        <v>0</v>
      </c>
      <c r="N227" s="32">
        <f>VLOOKUP($A227,$A$4:$O$28,12,0)*(HLOOKUP(N$212,'2.2.Brecha Efectiva x UdM'!$H$25:$AK$32,7,0))</f>
        <v>0</v>
      </c>
      <c r="O227" s="32">
        <f>VLOOKUP($A227,$A$4:$O$28,12,0)*(HLOOKUP(O$212,'2.2.Brecha Efectiva x UdM'!$H$25:$AK$32,7,0))</f>
        <v>0</v>
      </c>
      <c r="P227" s="32">
        <f>VLOOKUP($A227,$A$4:$O$28,12,0)*(HLOOKUP(P$212,'2.2.Brecha Efectiva x UdM'!$H$25:$AK$32,7,0))</f>
        <v>0</v>
      </c>
      <c r="Q227" s="32">
        <f>VLOOKUP($A227,$A$4:$O$28,12,0)*(HLOOKUP(Q$212,'2.2.Brecha Efectiva x UdM'!$H$25:$AK$32,7,0))</f>
        <v>0</v>
      </c>
      <c r="R227" s="32">
        <f>VLOOKUP($A227,$A$4:$O$28,12,0)*(HLOOKUP(R$212,'2.2.Brecha Efectiva x UdM'!$H$25:$AK$32,7,0))</f>
        <v>0</v>
      </c>
      <c r="S227" s="32">
        <f>VLOOKUP($A227,$A$4:$O$28,12,0)*(HLOOKUP(S$212,'2.2.Brecha Efectiva x UdM'!$H$25:$AK$32,7,0))</f>
        <v>0</v>
      </c>
      <c r="T227" s="32">
        <f>VLOOKUP($A227,$A$4:$O$28,12,0)*(HLOOKUP(T$212,'2.2.Brecha Efectiva x UdM'!$H$25:$AK$32,7,0))</f>
        <v>0</v>
      </c>
      <c r="U227" s="32">
        <f>VLOOKUP($A227,$A$4:$O$28,12,0)*(HLOOKUP(U$212,'2.2.Brecha Efectiva x UdM'!$H$25:$AK$32,7,0))</f>
        <v>0</v>
      </c>
      <c r="V227" s="32">
        <f>VLOOKUP($A227,$A$4:$O$28,12,0)*(HLOOKUP(V$212,'2.2.Brecha Efectiva x UdM'!$H$25:$AK$32,7,0))</f>
        <v>0</v>
      </c>
      <c r="W227" s="32">
        <f>VLOOKUP($A227,$A$4:$O$28,12,0)*(HLOOKUP(W$212,'2.2.Brecha Efectiva x UdM'!$H$25:$AK$32,7,0))</f>
        <v>0</v>
      </c>
      <c r="X227" s="32">
        <f>VLOOKUP($A227,$A$4:$O$28,12,0)*(HLOOKUP(X$212,'2.2.Brecha Efectiva x UdM'!$H$25:$AK$32,7,0))</f>
        <v>0</v>
      </c>
      <c r="Y227" s="32">
        <f>VLOOKUP($A227,$A$4:$O$28,12,0)*(HLOOKUP(Y$212,'2.2.Brecha Efectiva x UdM'!$H$25:$AK$32,7,0))</f>
        <v>0</v>
      </c>
      <c r="Z227" s="32">
        <f>VLOOKUP($A227,$A$4:$O$28,12,0)*(HLOOKUP(Z$212,'2.2.Brecha Efectiva x UdM'!$H$25:$AK$32,7,0))</f>
        <v>0</v>
      </c>
      <c r="AA227" s="32">
        <f>VLOOKUP($A227,$A$4:$O$28,12,0)*(HLOOKUP(AA$212,'2.2.Brecha Efectiva x UdM'!$H$25:$AK$32,7,0))</f>
        <v>0</v>
      </c>
      <c r="AB227" s="32">
        <f>VLOOKUP($A227,$A$4:$O$28,12,0)*(HLOOKUP(AB$212,'2.2.Brecha Efectiva x UdM'!$H$25:$AK$32,7,0))</f>
        <v>0</v>
      </c>
      <c r="AC227" s="32">
        <f>VLOOKUP($A227,$A$4:$O$28,12,0)*(HLOOKUP(AC$212,'2.2.Brecha Efectiva x UdM'!$H$25:$AK$32,7,0))</f>
        <v>0</v>
      </c>
      <c r="AD227" s="32">
        <f>VLOOKUP($A227,$A$4:$O$28,12,0)*(HLOOKUP(AD$212,'2.2.Brecha Efectiva x UdM'!$H$25:$AK$32,7,0))</f>
        <v>0</v>
      </c>
      <c r="AE227" s="32">
        <f>VLOOKUP($A227,$A$4:$O$28,12,0)*(HLOOKUP(AE$212,'2.2.Brecha Efectiva x UdM'!$H$25:$AK$32,7,0))</f>
        <v>0</v>
      </c>
      <c r="AF227" s="32">
        <f>VLOOKUP($A227,$A$4:$O$28,12,0)*(HLOOKUP(AF$212,'2.2.Brecha Efectiva x UdM'!$H$25:$AK$32,7,0))</f>
        <v>0</v>
      </c>
      <c r="AG227" s="32">
        <f>VLOOKUP($A227,$A$4:$O$28,12,0)*(HLOOKUP(AG$212,'2.2.Brecha Efectiva x UdM'!$H$25:$AK$32,7,0))</f>
        <v>0</v>
      </c>
      <c r="AH227" s="62">
        <f t="shared" si="228"/>
        <v>0</v>
      </c>
    </row>
    <row r="228" spans="1:34" hidden="1" x14ac:dyDescent="0.2">
      <c r="A228" s="26" t="str">
        <f t="shared" si="225"/>
        <v>Río Negro</v>
      </c>
      <c r="B228" s="52">
        <f t="shared" si="226"/>
        <v>0</v>
      </c>
      <c r="C228" s="26" t="str">
        <f t="shared" si="227"/>
        <v>Río Negro 0</v>
      </c>
      <c r="D228" s="31">
        <f>VLOOKUP($A228,$A$4:$O$28,12,0)*(HLOOKUP(D$212,'2.2.Brecha Efectiva x UdM'!$H$25:$AK$32,7,0))</f>
        <v>0</v>
      </c>
      <c r="E228" s="31">
        <f>VLOOKUP($A228,$A$4:$O$28,12,0)*(HLOOKUP(E$212,'2.2.Brecha Efectiva x UdM'!$H$25:$AK$32,7,0))</f>
        <v>0</v>
      </c>
      <c r="F228" s="31">
        <f>VLOOKUP($A228,$A$4:$O$28,12,0)*(HLOOKUP(F$212,'2.2.Brecha Efectiva x UdM'!$H$25:$AK$32,7,0))</f>
        <v>0</v>
      </c>
      <c r="G228" s="31">
        <f>VLOOKUP($A228,$A$4:$O$28,12,0)*(HLOOKUP(G$212,'2.2.Brecha Efectiva x UdM'!$H$25:$AK$32,7,0))</f>
        <v>0</v>
      </c>
      <c r="H228" s="31">
        <f>VLOOKUP($A228,$A$4:$O$28,12,0)*(HLOOKUP(H$212,'2.2.Brecha Efectiva x UdM'!$H$25:$AK$32,7,0))</f>
        <v>0</v>
      </c>
      <c r="I228" s="31">
        <f>VLOOKUP($A228,$A$4:$O$28,12,0)*(HLOOKUP(I$212,'2.2.Brecha Efectiva x UdM'!$H$25:$AK$32,7,0))</f>
        <v>0</v>
      </c>
      <c r="J228" s="31">
        <f>VLOOKUP($A228,$A$4:$O$28,12,0)*(HLOOKUP(J$212,'2.2.Brecha Efectiva x UdM'!$H$25:$AK$32,7,0))</f>
        <v>0</v>
      </c>
      <c r="K228" s="31">
        <f>VLOOKUP($A228,$A$4:$O$28,12,0)*(HLOOKUP(K$212,'2.2.Brecha Efectiva x UdM'!$H$25:$AK$32,7,0))</f>
        <v>0</v>
      </c>
      <c r="L228" s="31">
        <f>VLOOKUP($A228,$A$4:$O$28,12,0)*(HLOOKUP(L$212,'2.2.Brecha Efectiva x UdM'!$H$25:$AK$32,7,0))</f>
        <v>0</v>
      </c>
      <c r="M228" s="31">
        <f>VLOOKUP($A228,$A$4:$O$28,12,0)*(HLOOKUP(M$212,'2.2.Brecha Efectiva x UdM'!$H$25:$AK$32,7,0))</f>
        <v>0</v>
      </c>
      <c r="N228" s="31">
        <f>VLOOKUP($A228,$A$4:$O$28,12,0)*(HLOOKUP(N$212,'2.2.Brecha Efectiva x UdM'!$H$25:$AK$32,7,0))</f>
        <v>0</v>
      </c>
      <c r="O228" s="31">
        <f>VLOOKUP($A228,$A$4:$O$28,12,0)*(HLOOKUP(O$212,'2.2.Brecha Efectiva x UdM'!$H$25:$AK$32,7,0))</f>
        <v>0</v>
      </c>
      <c r="P228" s="31">
        <f>VLOOKUP($A228,$A$4:$O$28,12,0)*(HLOOKUP(P$212,'2.2.Brecha Efectiva x UdM'!$H$25:$AK$32,7,0))</f>
        <v>0</v>
      </c>
      <c r="Q228" s="31">
        <f>VLOOKUP($A228,$A$4:$O$28,12,0)*(HLOOKUP(Q$212,'2.2.Brecha Efectiva x UdM'!$H$25:$AK$32,7,0))</f>
        <v>0</v>
      </c>
      <c r="R228" s="31">
        <f>VLOOKUP($A228,$A$4:$O$28,12,0)*(HLOOKUP(R$212,'2.2.Brecha Efectiva x UdM'!$H$25:$AK$32,7,0))</f>
        <v>0</v>
      </c>
      <c r="S228" s="31">
        <f>VLOOKUP($A228,$A$4:$O$28,12,0)*(HLOOKUP(S$212,'2.2.Brecha Efectiva x UdM'!$H$25:$AK$32,7,0))</f>
        <v>0</v>
      </c>
      <c r="T228" s="31">
        <f>VLOOKUP($A228,$A$4:$O$28,12,0)*(HLOOKUP(T$212,'2.2.Brecha Efectiva x UdM'!$H$25:$AK$32,7,0))</f>
        <v>0</v>
      </c>
      <c r="U228" s="31">
        <f>VLOOKUP($A228,$A$4:$O$28,12,0)*(HLOOKUP(U$212,'2.2.Brecha Efectiva x UdM'!$H$25:$AK$32,7,0))</f>
        <v>0</v>
      </c>
      <c r="V228" s="31">
        <f>VLOOKUP($A228,$A$4:$O$28,12,0)*(HLOOKUP(V$212,'2.2.Brecha Efectiva x UdM'!$H$25:$AK$32,7,0))</f>
        <v>0</v>
      </c>
      <c r="W228" s="31">
        <f>VLOOKUP($A228,$A$4:$O$28,12,0)*(HLOOKUP(W$212,'2.2.Brecha Efectiva x UdM'!$H$25:$AK$32,7,0))</f>
        <v>0</v>
      </c>
      <c r="X228" s="31">
        <f>VLOOKUP($A228,$A$4:$O$28,12,0)*(HLOOKUP(X$212,'2.2.Brecha Efectiva x UdM'!$H$25:$AK$32,7,0))</f>
        <v>0</v>
      </c>
      <c r="Y228" s="31">
        <f>VLOOKUP($A228,$A$4:$O$28,12,0)*(HLOOKUP(Y$212,'2.2.Brecha Efectiva x UdM'!$H$25:$AK$32,7,0))</f>
        <v>0</v>
      </c>
      <c r="Z228" s="31">
        <f>VLOOKUP($A228,$A$4:$O$28,12,0)*(HLOOKUP(Z$212,'2.2.Brecha Efectiva x UdM'!$H$25:$AK$32,7,0))</f>
        <v>0</v>
      </c>
      <c r="AA228" s="31">
        <f>VLOOKUP($A228,$A$4:$O$28,12,0)*(HLOOKUP(AA$212,'2.2.Brecha Efectiva x UdM'!$H$25:$AK$32,7,0))</f>
        <v>0</v>
      </c>
      <c r="AB228" s="31">
        <f>VLOOKUP($A228,$A$4:$O$28,12,0)*(HLOOKUP(AB$212,'2.2.Brecha Efectiva x UdM'!$H$25:$AK$32,7,0))</f>
        <v>0</v>
      </c>
      <c r="AC228" s="31">
        <f>VLOOKUP($A228,$A$4:$O$28,12,0)*(HLOOKUP(AC$212,'2.2.Brecha Efectiva x UdM'!$H$25:$AK$32,7,0))</f>
        <v>0</v>
      </c>
      <c r="AD228" s="31">
        <f>VLOOKUP($A228,$A$4:$O$28,12,0)*(HLOOKUP(AD$212,'2.2.Brecha Efectiva x UdM'!$H$25:$AK$32,7,0))</f>
        <v>0</v>
      </c>
      <c r="AE228" s="31">
        <f>VLOOKUP($A228,$A$4:$O$28,12,0)*(HLOOKUP(AE$212,'2.2.Brecha Efectiva x UdM'!$H$25:$AK$32,7,0))</f>
        <v>0</v>
      </c>
      <c r="AF228" s="31">
        <f>VLOOKUP($A228,$A$4:$O$28,12,0)*(HLOOKUP(AF$212,'2.2.Brecha Efectiva x UdM'!$H$25:$AK$32,7,0))</f>
        <v>0</v>
      </c>
      <c r="AG228" s="31">
        <f>VLOOKUP($A228,$A$4:$O$28,12,0)*(HLOOKUP(AG$212,'2.2.Brecha Efectiva x UdM'!$H$25:$AK$32,7,0))</f>
        <v>0</v>
      </c>
      <c r="AH228" s="63">
        <f t="shared" si="228"/>
        <v>0</v>
      </c>
    </row>
    <row r="229" spans="1:34" hidden="1" x14ac:dyDescent="0.2">
      <c r="A229" s="25" t="str">
        <f t="shared" si="225"/>
        <v>Salta</v>
      </c>
      <c r="B229" s="51">
        <f t="shared" si="226"/>
        <v>0</v>
      </c>
      <c r="C229" s="25" t="str">
        <f t="shared" si="227"/>
        <v>Salta 0</v>
      </c>
      <c r="D229" s="32">
        <f>VLOOKUP($A229,$A$4:$O$28,12,0)*(HLOOKUP(D$212,'2.2.Brecha Efectiva x UdM'!$H$25:$AK$32,7,0))</f>
        <v>0</v>
      </c>
      <c r="E229" s="32">
        <f>VLOOKUP($A229,$A$4:$O$28,12,0)*(HLOOKUP(E$212,'2.2.Brecha Efectiva x UdM'!$H$25:$AK$32,7,0))</f>
        <v>0</v>
      </c>
      <c r="F229" s="32">
        <f>VLOOKUP($A229,$A$4:$O$28,12,0)*(HLOOKUP(F$212,'2.2.Brecha Efectiva x UdM'!$H$25:$AK$32,7,0))</f>
        <v>0</v>
      </c>
      <c r="G229" s="32">
        <f>VLOOKUP($A229,$A$4:$O$28,12,0)*(HLOOKUP(G$212,'2.2.Brecha Efectiva x UdM'!$H$25:$AK$32,7,0))</f>
        <v>0</v>
      </c>
      <c r="H229" s="32">
        <f>VLOOKUP($A229,$A$4:$O$28,12,0)*(HLOOKUP(H$212,'2.2.Brecha Efectiva x UdM'!$H$25:$AK$32,7,0))</f>
        <v>0</v>
      </c>
      <c r="I229" s="32">
        <f>VLOOKUP($A229,$A$4:$O$28,12,0)*(HLOOKUP(I$212,'2.2.Brecha Efectiva x UdM'!$H$25:$AK$32,7,0))</f>
        <v>0</v>
      </c>
      <c r="J229" s="32">
        <f>VLOOKUP($A229,$A$4:$O$28,12,0)*(HLOOKUP(J$212,'2.2.Brecha Efectiva x UdM'!$H$25:$AK$32,7,0))</f>
        <v>0</v>
      </c>
      <c r="K229" s="32">
        <f>VLOOKUP($A229,$A$4:$O$28,12,0)*(HLOOKUP(K$212,'2.2.Brecha Efectiva x UdM'!$H$25:$AK$32,7,0))</f>
        <v>0</v>
      </c>
      <c r="L229" s="32">
        <f>VLOOKUP($A229,$A$4:$O$28,12,0)*(HLOOKUP(L$212,'2.2.Brecha Efectiva x UdM'!$H$25:$AK$32,7,0))</f>
        <v>0</v>
      </c>
      <c r="M229" s="32">
        <f>VLOOKUP($A229,$A$4:$O$28,12,0)*(HLOOKUP(M$212,'2.2.Brecha Efectiva x UdM'!$H$25:$AK$32,7,0))</f>
        <v>0</v>
      </c>
      <c r="N229" s="32">
        <f>VLOOKUP($A229,$A$4:$O$28,12,0)*(HLOOKUP(N$212,'2.2.Brecha Efectiva x UdM'!$H$25:$AK$32,7,0))</f>
        <v>0</v>
      </c>
      <c r="O229" s="32">
        <f>VLOOKUP($A229,$A$4:$O$28,12,0)*(HLOOKUP(O$212,'2.2.Brecha Efectiva x UdM'!$H$25:$AK$32,7,0))</f>
        <v>0</v>
      </c>
      <c r="P229" s="32">
        <f>VLOOKUP($A229,$A$4:$O$28,12,0)*(HLOOKUP(P$212,'2.2.Brecha Efectiva x UdM'!$H$25:$AK$32,7,0))</f>
        <v>0</v>
      </c>
      <c r="Q229" s="32">
        <f>VLOOKUP($A229,$A$4:$O$28,12,0)*(HLOOKUP(Q$212,'2.2.Brecha Efectiva x UdM'!$H$25:$AK$32,7,0))</f>
        <v>0</v>
      </c>
      <c r="R229" s="32">
        <f>VLOOKUP($A229,$A$4:$O$28,12,0)*(HLOOKUP(R$212,'2.2.Brecha Efectiva x UdM'!$H$25:$AK$32,7,0))</f>
        <v>0</v>
      </c>
      <c r="S229" s="32">
        <f>VLOOKUP($A229,$A$4:$O$28,12,0)*(HLOOKUP(S$212,'2.2.Brecha Efectiva x UdM'!$H$25:$AK$32,7,0))</f>
        <v>0</v>
      </c>
      <c r="T229" s="32">
        <f>VLOOKUP($A229,$A$4:$O$28,12,0)*(HLOOKUP(T$212,'2.2.Brecha Efectiva x UdM'!$H$25:$AK$32,7,0))</f>
        <v>0</v>
      </c>
      <c r="U229" s="32">
        <f>VLOOKUP($A229,$A$4:$O$28,12,0)*(HLOOKUP(U$212,'2.2.Brecha Efectiva x UdM'!$H$25:$AK$32,7,0))</f>
        <v>0</v>
      </c>
      <c r="V229" s="32">
        <f>VLOOKUP($A229,$A$4:$O$28,12,0)*(HLOOKUP(V$212,'2.2.Brecha Efectiva x UdM'!$H$25:$AK$32,7,0))</f>
        <v>0</v>
      </c>
      <c r="W229" s="32">
        <f>VLOOKUP($A229,$A$4:$O$28,12,0)*(HLOOKUP(W$212,'2.2.Brecha Efectiva x UdM'!$H$25:$AK$32,7,0))</f>
        <v>0</v>
      </c>
      <c r="X229" s="32">
        <f>VLOOKUP($A229,$A$4:$O$28,12,0)*(HLOOKUP(X$212,'2.2.Brecha Efectiva x UdM'!$H$25:$AK$32,7,0))</f>
        <v>0</v>
      </c>
      <c r="Y229" s="32">
        <f>VLOOKUP($A229,$A$4:$O$28,12,0)*(HLOOKUP(Y$212,'2.2.Brecha Efectiva x UdM'!$H$25:$AK$32,7,0))</f>
        <v>0</v>
      </c>
      <c r="Z229" s="32">
        <f>VLOOKUP($A229,$A$4:$O$28,12,0)*(HLOOKUP(Z$212,'2.2.Brecha Efectiva x UdM'!$H$25:$AK$32,7,0))</f>
        <v>0</v>
      </c>
      <c r="AA229" s="32">
        <f>VLOOKUP($A229,$A$4:$O$28,12,0)*(HLOOKUP(AA$212,'2.2.Brecha Efectiva x UdM'!$H$25:$AK$32,7,0))</f>
        <v>0</v>
      </c>
      <c r="AB229" s="32">
        <f>VLOOKUP($A229,$A$4:$O$28,12,0)*(HLOOKUP(AB$212,'2.2.Brecha Efectiva x UdM'!$H$25:$AK$32,7,0))</f>
        <v>0</v>
      </c>
      <c r="AC229" s="32">
        <f>VLOOKUP($A229,$A$4:$O$28,12,0)*(HLOOKUP(AC$212,'2.2.Brecha Efectiva x UdM'!$H$25:$AK$32,7,0))</f>
        <v>0</v>
      </c>
      <c r="AD229" s="32">
        <f>VLOOKUP($A229,$A$4:$O$28,12,0)*(HLOOKUP(AD$212,'2.2.Brecha Efectiva x UdM'!$H$25:$AK$32,7,0))</f>
        <v>0</v>
      </c>
      <c r="AE229" s="32">
        <f>VLOOKUP($A229,$A$4:$O$28,12,0)*(HLOOKUP(AE$212,'2.2.Brecha Efectiva x UdM'!$H$25:$AK$32,7,0))</f>
        <v>0</v>
      </c>
      <c r="AF229" s="32">
        <f>VLOOKUP($A229,$A$4:$O$28,12,0)*(HLOOKUP(AF$212,'2.2.Brecha Efectiva x UdM'!$H$25:$AK$32,7,0))</f>
        <v>0</v>
      </c>
      <c r="AG229" s="32">
        <f>VLOOKUP($A229,$A$4:$O$28,12,0)*(HLOOKUP(AG$212,'2.2.Brecha Efectiva x UdM'!$H$25:$AK$32,7,0))</f>
        <v>0</v>
      </c>
      <c r="AH229" s="62">
        <f t="shared" si="228"/>
        <v>0</v>
      </c>
    </row>
    <row r="230" spans="1:34" hidden="1" x14ac:dyDescent="0.2">
      <c r="A230" s="26" t="str">
        <f t="shared" si="225"/>
        <v>San Juan</v>
      </c>
      <c r="B230" s="52">
        <f t="shared" si="226"/>
        <v>0</v>
      </c>
      <c r="C230" s="26" t="str">
        <f t="shared" si="227"/>
        <v>San Juan 0</v>
      </c>
      <c r="D230" s="31">
        <f>VLOOKUP($A230,$A$4:$O$28,12,0)*(HLOOKUP(D$212,'2.2.Brecha Efectiva x UdM'!$H$25:$AK$32,7,0))</f>
        <v>0</v>
      </c>
      <c r="E230" s="31">
        <f>VLOOKUP($A230,$A$4:$O$28,12,0)*(HLOOKUP(E$212,'2.2.Brecha Efectiva x UdM'!$H$25:$AK$32,7,0))</f>
        <v>0</v>
      </c>
      <c r="F230" s="31">
        <f>VLOOKUP($A230,$A$4:$O$28,12,0)*(HLOOKUP(F$212,'2.2.Brecha Efectiva x UdM'!$H$25:$AK$32,7,0))</f>
        <v>0</v>
      </c>
      <c r="G230" s="31">
        <f>VLOOKUP($A230,$A$4:$O$28,12,0)*(HLOOKUP(G$212,'2.2.Brecha Efectiva x UdM'!$H$25:$AK$32,7,0))</f>
        <v>0</v>
      </c>
      <c r="H230" s="31">
        <f>VLOOKUP($A230,$A$4:$O$28,12,0)*(HLOOKUP(H$212,'2.2.Brecha Efectiva x UdM'!$H$25:$AK$32,7,0))</f>
        <v>0</v>
      </c>
      <c r="I230" s="31">
        <f>VLOOKUP($A230,$A$4:$O$28,12,0)*(HLOOKUP(I$212,'2.2.Brecha Efectiva x UdM'!$H$25:$AK$32,7,0))</f>
        <v>0</v>
      </c>
      <c r="J230" s="31">
        <f>VLOOKUP($A230,$A$4:$O$28,12,0)*(HLOOKUP(J$212,'2.2.Brecha Efectiva x UdM'!$H$25:$AK$32,7,0))</f>
        <v>0</v>
      </c>
      <c r="K230" s="31">
        <f>VLOOKUP($A230,$A$4:$O$28,12,0)*(HLOOKUP(K$212,'2.2.Brecha Efectiva x UdM'!$H$25:$AK$32,7,0))</f>
        <v>0</v>
      </c>
      <c r="L230" s="31">
        <f>VLOOKUP($A230,$A$4:$O$28,12,0)*(HLOOKUP(L$212,'2.2.Brecha Efectiva x UdM'!$H$25:$AK$32,7,0))</f>
        <v>0</v>
      </c>
      <c r="M230" s="31">
        <f>VLOOKUP($A230,$A$4:$O$28,12,0)*(HLOOKUP(M$212,'2.2.Brecha Efectiva x UdM'!$H$25:$AK$32,7,0))</f>
        <v>0</v>
      </c>
      <c r="N230" s="31">
        <f>VLOOKUP($A230,$A$4:$O$28,12,0)*(HLOOKUP(N$212,'2.2.Brecha Efectiva x UdM'!$H$25:$AK$32,7,0))</f>
        <v>0</v>
      </c>
      <c r="O230" s="31">
        <f>VLOOKUP($A230,$A$4:$O$28,12,0)*(HLOOKUP(O$212,'2.2.Brecha Efectiva x UdM'!$H$25:$AK$32,7,0))</f>
        <v>0</v>
      </c>
      <c r="P230" s="31">
        <f>VLOOKUP($A230,$A$4:$O$28,12,0)*(HLOOKUP(P$212,'2.2.Brecha Efectiva x UdM'!$H$25:$AK$32,7,0))</f>
        <v>0</v>
      </c>
      <c r="Q230" s="31">
        <f>VLOOKUP($A230,$A$4:$O$28,12,0)*(HLOOKUP(Q$212,'2.2.Brecha Efectiva x UdM'!$H$25:$AK$32,7,0))</f>
        <v>0</v>
      </c>
      <c r="R230" s="31">
        <f>VLOOKUP($A230,$A$4:$O$28,12,0)*(HLOOKUP(R$212,'2.2.Brecha Efectiva x UdM'!$H$25:$AK$32,7,0))</f>
        <v>0</v>
      </c>
      <c r="S230" s="31">
        <f>VLOOKUP($A230,$A$4:$O$28,12,0)*(HLOOKUP(S$212,'2.2.Brecha Efectiva x UdM'!$H$25:$AK$32,7,0))</f>
        <v>0</v>
      </c>
      <c r="T230" s="31">
        <f>VLOOKUP($A230,$A$4:$O$28,12,0)*(HLOOKUP(T$212,'2.2.Brecha Efectiva x UdM'!$H$25:$AK$32,7,0))</f>
        <v>0</v>
      </c>
      <c r="U230" s="31">
        <f>VLOOKUP($A230,$A$4:$O$28,12,0)*(HLOOKUP(U$212,'2.2.Brecha Efectiva x UdM'!$H$25:$AK$32,7,0))</f>
        <v>0</v>
      </c>
      <c r="V230" s="31">
        <f>VLOOKUP($A230,$A$4:$O$28,12,0)*(HLOOKUP(V$212,'2.2.Brecha Efectiva x UdM'!$H$25:$AK$32,7,0))</f>
        <v>0</v>
      </c>
      <c r="W230" s="31">
        <f>VLOOKUP($A230,$A$4:$O$28,12,0)*(HLOOKUP(W$212,'2.2.Brecha Efectiva x UdM'!$H$25:$AK$32,7,0))</f>
        <v>0</v>
      </c>
      <c r="X230" s="31">
        <f>VLOOKUP($A230,$A$4:$O$28,12,0)*(HLOOKUP(X$212,'2.2.Brecha Efectiva x UdM'!$H$25:$AK$32,7,0))</f>
        <v>0</v>
      </c>
      <c r="Y230" s="31">
        <f>VLOOKUP($A230,$A$4:$O$28,12,0)*(HLOOKUP(Y$212,'2.2.Brecha Efectiva x UdM'!$H$25:$AK$32,7,0))</f>
        <v>0</v>
      </c>
      <c r="Z230" s="31">
        <f>VLOOKUP($A230,$A$4:$O$28,12,0)*(HLOOKUP(Z$212,'2.2.Brecha Efectiva x UdM'!$H$25:$AK$32,7,0))</f>
        <v>0</v>
      </c>
      <c r="AA230" s="31">
        <f>VLOOKUP($A230,$A$4:$O$28,12,0)*(HLOOKUP(AA$212,'2.2.Brecha Efectiva x UdM'!$H$25:$AK$32,7,0))</f>
        <v>0</v>
      </c>
      <c r="AB230" s="31">
        <f>VLOOKUP($A230,$A$4:$O$28,12,0)*(HLOOKUP(AB$212,'2.2.Brecha Efectiva x UdM'!$H$25:$AK$32,7,0))</f>
        <v>0</v>
      </c>
      <c r="AC230" s="31">
        <f>VLOOKUP($A230,$A$4:$O$28,12,0)*(HLOOKUP(AC$212,'2.2.Brecha Efectiva x UdM'!$H$25:$AK$32,7,0))</f>
        <v>0</v>
      </c>
      <c r="AD230" s="31">
        <f>VLOOKUP($A230,$A$4:$O$28,12,0)*(HLOOKUP(AD$212,'2.2.Brecha Efectiva x UdM'!$H$25:$AK$32,7,0))</f>
        <v>0</v>
      </c>
      <c r="AE230" s="31">
        <f>VLOOKUP($A230,$A$4:$O$28,12,0)*(HLOOKUP(AE$212,'2.2.Brecha Efectiva x UdM'!$H$25:$AK$32,7,0))</f>
        <v>0</v>
      </c>
      <c r="AF230" s="31">
        <f>VLOOKUP($A230,$A$4:$O$28,12,0)*(HLOOKUP(AF$212,'2.2.Brecha Efectiva x UdM'!$H$25:$AK$32,7,0))</f>
        <v>0</v>
      </c>
      <c r="AG230" s="31">
        <f>VLOOKUP($A230,$A$4:$O$28,12,0)*(HLOOKUP(AG$212,'2.2.Brecha Efectiva x UdM'!$H$25:$AK$32,7,0))</f>
        <v>0</v>
      </c>
      <c r="AH230" s="63">
        <f t="shared" si="228"/>
        <v>0</v>
      </c>
    </row>
    <row r="231" spans="1:34" hidden="1" x14ac:dyDescent="0.2">
      <c r="A231" s="25" t="str">
        <f t="shared" si="225"/>
        <v>San Luis</v>
      </c>
      <c r="B231" s="51">
        <f t="shared" si="226"/>
        <v>0</v>
      </c>
      <c r="C231" s="25" t="str">
        <f t="shared" si="227"/>
        <v>San Luis 0</v>
      </c>
      <c r="D231" s="32">
        <f>VLOOKUP($A231,$A$4:$O$28,12,0)*(HLOOKUP(D$212,'2.2.Brecha Efectiva x UdM'!$H$25:$AK$32,7,0))</f>
        <v>0</v>
      </c>
      <c r="E231" s="32">
        <f>VLOOKUP($A231,$A$4:$O$28,12,0)*(HLOOKUP(E$212,'2.2.Brecha Efectiva x UdM'!$H$25:$AK$32,7,0))</f>
        <v>0</v>
      </c>
      <c r="F231" s="32">
        <f>VLOOKUP($A231,$A$4:$O$28,12,0)*(HLOOKUP(F$212,'2.2.Brecha Efectiva x UdM'!$H$25:$AK$32,7,0))</f>
        <v>0</v>
      </c>
      <c r="G231" s="32">
        <f>VLOOKUP($A231,$A$4:$O$28,12,0)*(HLOOKUP(G$212,'2.2.Brecha Efectiva x UdM'!$H$25:$AK$32,7,0))</f>
        <v>0</v>
      </c>
      <c r="H231" s="32">
        <f>VLOOKUP($A231,$A$4:$O$28,12,0)*(HLOOKUP(H$212,'2.2.Brecha Efectiva x UdM'!$H$25:$AK$32,7,0))</f>
        <v>0</v>
      </c>
      <c r="I231" s="32">
        <f>VLOOKUP($A231,$A$4:$O$28,12,0)*(HLOOKUP(I$212,'2.2.Brecha Efectiva x UdM'!$H$25:$AK$32,7,0))</f>
        <v>0</v>
      </c>
      <c r="J231" s="32">
        <f>VLOOKUP($A231,$A$4:$O$28,12,0)*(HLOOKUP(J$212,'2.2.Brecha Efectiva x UdM'!$H$25:$AK$32,7,0))</f>
        <v>0</v>
      </c>
      <c r="K231" s="32">
        <f>VLOOKUP($A231,$A$4:$O$28,12,0)*(HLOOKUP(K$212,'2.2.Brecha Efectiva x UdM'!$H$25:$AK$32,7,0))</f>
        <v>0</v>
      </c>
      <c r="L231" s="32">
        <f>VLOOKUP($A231,$A$4:$O$28,12,0)*(HLOOKUP(L$212,'2.2.Brecha Efectiva x UdM'!$H$25:$AK$32,7,0))</f>
        <v>0</v>
      </c>
      <c r="M231" s="32">
        <f>VLOOKUP($A231,$A$4:$O$28,12,0)*(HLOOKUP(M$212,'2.2.Brecha Efectiva x UdM'!$H$25:$AK$32,7,0))</f>
        <v>0</v>
      </c>
      <c r="N231" s="32">
        <f>VLOOKUP($A231,$A$4:$O$28,12,0)*(HLOOKUP(N$212,'2.2.Brecha Efectiva x UdM'!$H$25:$AK$32,7,0))</f>
        <v>0</v>
      </c>
      <c r="O231" s="32">
        <f>VLOOKUP($A231,$A$4:$O$28,12,0)*(HLOOKUP(O$212,'2.2.Brecha Efectiva x UdM'!$H$25:$AK$32,7,0))</f>
        <v>0</v>
      </c>
      <c r="P231" s="32">
        <f>VLOOKUP($A231,$A$4:$O$28,12,0)*(HLOOKUP(P$212,'2.2.Brecha Efectiva x UdM'!$H$25:$AK$32,7,0))</f>
        <v>0</v>
      </c>
      <c r="Q231" s="32">
        <f>VLOOKUP($A231,$A$4:$O$28,12,0)*(HLOOKUP(Q$212,'2.2.Brecha Efectiva x UdM'!$H$25:$AK$32,7,0))</f>
        <v>0</v>
      </c>
      <c r="R231" s="32">
        <f>VLOOKUP($A231,$A$4:$O$28,12,0)*(HLOOKUP(R$212,'2.2.Brecha Efectiva x UdM'!$H$25:$AK$32,7,0))</f>
        <v>0</v>
      </c>
      <c r="S231" s="32">
        <f>VLOOKUP($A231,$A$4:$O$28,12,0)*(HLOOKUP(S$212,'2.2.Brecha Efectiva x UdM'!$H$25:$AK$32,7,0))</f>
        <v>0</v>
      </c>
      <c r="T231" s="32">
        <f>VLOOKUP($A231,$A$4:$O$28,12,0)*(HLOOKUP(T$212,'2.2.Brecha Efectiva x UdM'!$H$25:$AK$32,7,0))</f>
        <v>0</v>
      </c>
      <c r="U231" s="32">
        <f>VLOOKUP($A231,$A$4:$O$28,12,0)*(HLOOKUP(U$212,'2.2.Brecha Efectiva x UdM'!$H$25:$AK$32,7,0))</f>
        <v>0</v>
      </c>
      <c r="V231" s="32">
        <f>VLOOKUP($A231,$A$4:$O$28,12,0)*(HLOOKUP(V$212,'2.2.Brecha Efectiva x UdM'!$H$25:$AK$32,7,0))</f>
        <v>0</v>
      </c>
      <c r="W231" s="32">
        <f>VLOOKUP($A231,$A$4:$O$28,12,0)*(HLOOKUP(W$212,'2.2.Brecha Efectiva x UdM'!$H$25:$AK$32,7,0))</f>
        <v>0</v>
      </c>
      <c r="X231" s="32">
        <f>VLOOKUP($A231,$A$4:$O$28,12,0)*(HLOOKUP(X$212,'2.2.Brecha Efectiva x UdM'!$H$25:$AK$32,7,0))</f>
        <v>0</v>
      </c>
      <c r="Y231" s="32">
        <f>VLOOKUP($A231,$A$4:$O$28,12,0)*(HLOOKUP(Y$212,'2.2.Brecha Efectiva x UdM'!$H$25:$AK$32,7,0))</f>
        <v>0</v>
      </c>
      <c r="Z231" s="32">
        <f>VLOOKUP($A231,$A$4:$O$28,12,0)*(HLOOKUP(Z$212,'2.2.Brecha Efectiva x UdM'!$H$25:$AK$32,7,0))</f>
        <v>0</v>
      </c>
      <c r="AA231" s="32">
        <f>VLOOKUP($A231,$A$4:$O$28,12,0)*(HLOOKUP(AA$212,'2.2.Brecha Efectiva x UdM'!$H$25:$AK$32,7,0))</f>
        <v>0</v>
      </c>
      <c r="AB231" s="32">
        <f>VLOOKUP($A231,$A$4:$O$28,12,0)*(HLOOKUP(AB$212,'2.2.Brecha Efectiva x UdM'!$H$25:$AK$32,7,0))</f>
        <v>0</v>
      </c>
      <c r="AC231" s="32">
        <f>VLOOKUP($A231,$A$4:$O$28,12,0)*(HLOOKUP(AC$212,'2.2.Brecha Efectiva x UdM'!$H$25:$AK$32,7,0))</f>
        <v>0</v>
      </c>
      <c r="AD231" s="32">
        <f>VLOOKUP($A231,$A$4:$O$28,12,0)*(HLOOKUP(AD$212,'2.2.Brecha Efectiva x UdM'!$H$25:$AK$32,7,0))</f>
        <v>0</v>
      </c>
      <c r="AE231" s="32">
        <f>VLOOKUP($A231,$A$4:$O$28,12,0)*(HLOOKUP(AE$212,'2.2.Brecha Efectiva x UdM'!$H$25:$AK$32,7,0))</f>
        <v>0</v>
      </c>
      <c r="AF231" s="32">
        <f>VLOOKUP($A231,$A$4:$O$28,12,0)*(HLOOKUP(AF$212,'2.2.Brecha Efectiva x UdM'!$H$25:$AK$32,7,0))</f>
        <v>0</v>
      </c>
      <c r="AG231" s="32">
        <f>VLOOKUP($A231,$A$4:$O$28,12,0)*(HLOOKUP(AG$212,'2.2.Brecha Efectiva x UdM'!$H$25:$AK$32,7,0))</f>
        <v>0</v>
      </c>
      <c r="AH231" s="62">
        <f t="shared" si="228"/>
        <v>0</v>
      </c>
    </row>
    <row r="232" spans="1:34" hidden="1" x14ac:dyDescent="0.2">
      <c r="A232" s="26" t="str">
        <f t="shared" si="225"/>
        <v>Santa Cruz</v>
      </c>
      <c r="B232" s="52">
        <f t="shared" si="226"/>
        <v>0</v>
      </c>
      <c r="C232" s="26" t="str">
        <f t="shared" si="227"/>
        <v>Santa Cruz 0</v>
      </c>
      <c r="D232" s="31">
        <f>VLOOKUP($A232,$A$4:$O$28,12,0)*(HLOOKUP(D$212,'2.2.Brecha Efectiva x UdM'!$H$25:$AK$32,7,0))</f>
        <v>0</v>
      </c>
      <c r="E232" s="31">
        <f>VLOOKUP($A232,$A$4:$O$28,12,0)*(HLOOKUP(E$212,'2.2.Brecha Efectiva x UdM'!$H$25:$AK$32,7,0))</f>
        <v>0</v>
      </c>
      <c r="F232" s="31">
        <f>VLOOKUP($A232,$A$4:$O$28,12,0)*(HLOOKUP(F$212,'2.2.Brecha Efectiva x UdM'!$H$25:$AK$32,7,0))</f>
        <v>0</v>
      </c>
      <c r="G232" s="31">
        <f>VLOOKUP($A232,$A$4:$O$28,12,0)*(HLOOKUP(G$212,'2.2.Brecha Efectiva x UdM'!$H$25:$AK$32,7,0))</f>
        <v>0</v>
      </c>
      <c r="H232" s="31">
        <f>VLOOKUP($A232,$A$4:$O$28,12,0)*(HLOOKUP(H$212,'2.2.Brecha Efectiva x UdM'!$H$25:$AK$32,7,0))</f>
        <v>0</v>
      </c>
      <c r="I232" s="31">
        <f>VLOOKUP($A232,$A$4:$O$28,12,0)*(HLOOKUP(I$212,'2.2.Brecha Efectiva x UdM'!$H$25:$AK$32,7,0))</f>
        <v>0</v>
      </c>
      <c r="J232" s="31">
        <f>VLOOKUP($A232,$A$4:$O$28,12,0)*(HLOOKUP(J$212,'2.2.Brecha Efectiva x UdM'!$H$25:$AK$32,7,0))</f>
        <v>0</v>
      </c>
      <c r="K232" s="31">
        <f>VLOOKUP($A232,$A$4:$O$28,12,0)*(HLOOKUP(K$212,'2.2.Brecha Efectiva x UdM'!$H$25:$AK$32,7,0))</f>
        <v>0</v>
      </c>
      <c r="L232" s="31">
        <f>VLOOKUP($A232,$A$4:$O$28,12,0)*(HLOOKUP(L$212,'2.2.Brecha Efectiva x UdM'!$H$25:$AK$32,7,0))</f>
        <v>0</v>
      </c>
      <c r="M232" s="31">
        <f>VLOOKUP($A232,$A$4:$O$28,12,0)*(HLOOKUP(M$212,'2.2.Brecha Efectiva x UdM'!$H$25:$AK$32,7,0))</f>
        <v>0</v>
      </c>
      <c r="N232" s="31">
        <f>VLOOKUP($A232,$A$4:$O$28,12,0)*(HLOOKUP(N$212,'2.2.Brecha Efectiva x UdM'!$H$25:$AK$32,7,0))</f>
        <v>0</v>
      </c>
      <c r="O232" s="31">
        <f>VLOOKUP($A232,$A$4:$O$28,12,0)*(HLOOKUP(O$212,'2.2.Brecha Efectiva x UdM'!$H$25:$AK$32,7,0))</f>
        <v>0</v>
      </c>
      <c r="P232" s="31">
        <f>VLOOKUP($A232,$A$4:$O$28,12,0)*(HLOOKUP(P$212,'2.2.Brecha Efectiva x UdM'!$H$25:$AK$32,7,0))</f>
        <v>0</v>
      </c>
      <c r="Q232" s="31">
        <f>VLOOKUP($A232,$A$4:$O$28,12,0)*(HLOOKUP(Q$212,'2.2.Brecha Efectiva x UdM'!$H$25:$AK$32,7,0))</f>
        <v>0</v>
      </c>
      <c r="R232" s="31">
        <f>VLOOKUP($A232,$A$4:$O$28,12,0)*(HLOOKUP(R$212,'2.2.Brecha Efectiva x UdM'!$H$25:$AK$32,7,0))</f>
        <v>0</v>
      </c>
      <c r="S232" s="31">
        <f>VLOOKUP($A232,$A$4:$O$28,12,0)*(HLOOKUP(S$212,'2.2.Brecha Efectiva x UdM'!$H$25:$AK$32,7,0))</f>
        <v>0</v>
      </c>
      <c r="T232" s="31">
        <f>VLOOKUP($A232,$A$4:$O$28,12,0)*(HLOOKUP(T$212,'2.2.Brecha Efectiva x UdM'!$H$25:$AK$32,7,0))</f>
        <v>0</v>
      </c>
      <c r="U232" s="31">
        <f>VLOOKUP($A232,$A$4:$O$28,12,0)*(HLOOKUP(U$212,'2.2.Brecha Efectiva x UdM'!$H$25:$AK$32,7,0))</f>
        <v>0</v>
      </c>
      <c r="V232" s="31">
        <f>VLOOKUP($A232,$A$4:$O$28,12,0)*(HLOOKUP(V$212,'2.2.Brecha Efectiva x UdM'!$H$25:$AK$32,7,0))</f>
        <v>0</v>
      </c>
      <c r="W232" s="31">
        <f>VLOOKUP($A232,$A$4:$O$28,12,0)*(HLOOKUP(W$212,'2.2.Brecha Efectiva x UdM'!$H$25:$AK$32,7,0))</f>
        <v>0</v>
      </c>
      <c r="X232" s="31">
        <f>VLOOKUP($A232,$A$4:$O$28,12,0)*(HLOOKUP(X$212,'2.2.Brecha Efectiva x UdM'!$H$25:$AK$32,7,0))</f>
        <v>0</v>
      </c>
      <c r="Y232" s="31">
        <f>VLOOKUP($A232,$A$4:$O$28,12,0)*(HLOOKUP(Y$212,'2.2.Brecha Efectiva x UdM'!$H$25:$AK$32,7,0))</f>
        <v>0</v>
      </c>
      <c r="Z232" s="31">
        <f>VLOOKUP($A232,$A$4:$O$28,12,0)*(HLOOKUP(Z$212,'2.2.Brecha Efectiva x UdM'!$H$25:$AK$32,7,0))</f>
        <v>0</v>
      </c>
      <c r="AA232" s="31">
        <f>VLOOKUP($A232,$A$4:$O$28,12,0)*(HLOOKUP(AA$212,'2.2.Brecha Efectiva x UdM'!$H$25:$AK$32,7,0))</f>
        <v>0</v>
      </c>
      <c r="AB232" s="31">
        <f>VLOOKUP($A232,$A$4:$O$28,12,0)*(HLOOKUP(AB$212,'2.2.Brecha Efectiva x UdM'!$H$25:$AK$32,7,0))</f>
        <v>0</v>
      </c>
      <c r="AC232" s="31">
        <f>VLOOKUP($A232,$A$4:$O$28,12,0)*(HLOOKUP(AC$212,'2.2.Brecha Efectiva x UdM'!$H$25:$AK$32,7,0))</f>
        <v>0</v>
      </c>
      <c r="AD232" s="31">
        <f>VLOOKUP($A232,$A$4:$O$28,12,0)*(HLOOKUP(AD$212,'2.2.Brecha Efectiva x UdM'!$H$25:$AK$32,7,0))</f>
        <v>0</v>
      </c>
      <c r="AE232" s="31">
        <f>VLOOKUP($A232,$A$4:$O$28,12,0)*(HLOOKUP(AE$212,'2.2.Brecha Efectiva x UdM'!$H$25:$AK$32,7,0))</f>
        <v>0</v>
      </c>
      <c r="AF232" s="31">
        <f>VLOOKUP($A232,$A$4:$O$28,12,0)*(HLOOKUP(AF$212,'2.2.Brecha Efectiva x UdM'!$H$25:$AK$32,7,0))</f>
        <v>0</v>
      </c>
      <c r="AG232" s="31">
        <f>VLOOKUP($A232,$A$4:$O$28,12,0)*(HLOOKUP(AG$212,'2.2.Brecha Efectiva x UdM'!$H$25:$AK$32,7,0))</f>
        <v>0</v>
      </c>
      <c r="AH232" s="63">
        <f t="shared" si="228"/>
        <v>0</v>
      </c>
    </row>
    <row r="233" spans="1:34" hidden="1" x14ac:dyDescent="0.2">
      <c r="A233" s="25" t="str">
        <f t="shared" si="225"/>
        <v>Santa Fe</v>
      </c>
      <c r="B233" s="51">
        <f t="shared" si="226"/>
        <v>0</v>
      </c>
      <c r="C233" s="25" t="str">
        <f t="shared" si="227"/>
        <v>Santa Fe 0</v>
      </c>
      <c r="D233" s="32">
        <f>VLOOKUP($A233,$A$4:$O$28,12,0)*(HLOOKUP(D$212,'2.2.Brecha Efectiva x UdM'!$H$25:$AK$32,7,0))</f>
        <v>0</v>
      </c>
      <c r="E233" s="32">
        <f>VLOOKUP($A233,$A$4:$O$28,12,0)*(HLOOKUP(E$212,'2.2.Brecha Efectiva x UdM'!$H$25:$AK$32,7,0))</f>
        <v>0</v>
      </c>
      <c r="F233" s="32">
        <f>VLOOKUP($A233,$A$4:$O$28,12,0)*(HLOOKUP(F$212,'2.2.Brecha Efectiva x UdM'!$H$25:$AK$32,7,0))</f>
        <v>0</v>
      </c>
      <c r="G233" s="32">
        <f>VLOOKUP($A233,$A$4:$O$28,12,0)*(HLOOKUP(G$212,'2.2.Brecha Efectiva x UdM'!$H$25:$AK$32,7,0))</f>
        <v>0</v>
      </c>
      <c r="H233" s="32">
        <f>VLOOKUP($A233,$A$4:$O$28,12,0)*(HLOOKUP(H$212,'2.2.Brecha Efectiva x UdM'!$H$25:$AK$32,7,0))</f>
        <v>0</v>
      </c>
      <c r="I233" s="32">
        <f>VLOOKUP($A233,$A$4:$O$28,12,0)*(HLOOKUP(I$212,'2.2.Brecha Efectiva x UdM'!$H$25:$AK$32,7,0))</f>
        <v>0</v>
      </c>
      <c r="J233" s="32">
        <f>VLOOKUP($A233,$A$4:$O$28,12,0)*(HLOOKUP(J$212,'2.2.Brecha Efectiva x UdM'!$H$25:$AK$32,7,0))</f>
        <v>0</v>
      </c>
      <c r="K233" s="32">
        <f>VLOOKUP($A233,$A$4:$O$28,12,0)*(HLOOKUP(K$212,'2.2.Brecha Efectiva x UdM'!$H$25:$AK$32,7,0))</f>
        <v>0</v>
      </c>
      <c r="L233" s="32">
        <f>VLOOKUP($A233,$A$4:$O$28,12,0)*(HLOOKUP(L$212,'2.2.Brecha Efectiva x UdM'!$H$25:$AK$32,7,0))</f>
        <v>0</v>
      </c>
      <c r="M233" s="32">
        <f>VLOOKUP($A233,$A$4:$O$28,12,0)*(HLOOKUP(M$212,'2.2.Brecha Efectiva x UdM'!$H$25:$AK$32,7,0))</f>
        <v>0</v>
      </c>
      <c r="N233" s="32">
        <f>VLOOKUP($A233,$A$4:$O$28,12,0)*(HLOOKUP(N$212,'2.2.Brecha Efectiva x UdM'!$H$25:$AK$32,7,0))</f>
        <v>0</v>
      </c>
      <c r="O233" s="32">
        <f>VLOOKUP($A233,$A$4:$O$28,12,0)*(HLOOKUP(O$212,'2.2.Brecha Efectiva x UdM'!$H$25:$AK$32,7,0))</f>
        <v>0</v>
      </c>
      <c r="P233" s="32">
        <f>VLOOKUP($A233,$A$4:$O$28,12,0)*(HLOOKUP(P$212,'2.2.Brecha Efectiva x UdM'!$H$25:$AK$32,7,0))</f>
        <v>0</v>
      </c>
      <c r="Q233" s="32">
        <f>VLOOKUP($A233,$A$4:$O$28,12,0)*(HLOOKUP(Q$212,'2.2.Brecha Efectiva x UdM'!$H$25:$AK$32,7,0))</f>
        <v>0</v>
      </c>
      <c r="R233" s="32">
        <f>VLOOKUP($A233,$A$4:$O$28,12,0)*(HLOOKUP(R$212,'2.2.Brecha Efectiva x UdM'!$H$25:$AK$32,7,0))</f>
        <v>0</v>
      </c>
      <c r="S233" s="32">
        <f>VLOOKUP($A233,$A$4:$O$28,12,0)*(HLOOKUP(S$212,'2.2.Brecha Efectiva x UdM'!$H$25:$AK$32,7,0))</f>
        <v>0</v>
      </c>
      <c r="T233" s="32">
        <f>VLOOKUP($A233,$A$4:$O$28,12,0)*(HLOOKUP(T$212,'2.2.Brecha Efectiva x UdM'!$H$25:$AK$32,7,0))</f>
        <v>0</v>
      </c>
      <c r="U233" s="32">
        <f>VLOOKUP($A233,$A$4:$O$28,12,0)*(HLOOKUP(U$212,'2.2.Brecha Efectiva x UdM'!$H$25:$AK$32,7,0))</f>
        <v>0</v>
      </c>
      <c r="V233" s="32">
        <f>VLOOKUP($A233,$A$4:$O$28,12,0)*(HLOOKUP(V$212,'2.2.Brecha Efectiva x UdM'!$H$25:$AK$32,7,0))</f>
        <v>0</v>
      </c>
      <c r="W233" s="32">
        <f>VLOOKUP($A233,$A$4:$O$28,12,0)*(HLOOKUP(W$212,'2.2.Brecha Efectiva x UdM'!$H$25:$AK$32,7,0))</f>
        <v>0</v>
      </c>
      <c r="X233" s="32">
        <f>VLOOKUP($A233,$A$4:$O$28,12,0)*(HLOOKUP(X$212,'2.2.Brecha Efectiva x UdM'!$H$25:$AK$32,7,0))</f>
        <v>0</v>
      </c>
      <c r="Y233" s="32">
        <f>VLOOKUP($A233,$A$4:$O$28,12,0)*(HLOOKUP(Y$212,'2.2.Brecha Efectiva x UdM'!$H$25:$AK$32,7,0))</f>
        <v>0</v>
      </c>
      <c r="Z233" s="32">
        <f>VLOOKUP($A233,$A$4:$O$28,12,0)*(HLOOKUP(Z$212,'2.2.Brecha Efectiva x UdM'!$H$25:$AK$32,7,0))</f>
        <v>0</v>
      </c>
      <c r="AA233" s="32">
        <f>VLOOKUP($A233,$A$4:$O$28,12,0)*(HLOOKUP(AA$212,'2.2.Brecha Efectiva x UdM'!$H$25:$AK$32,7,0))</f>
        <v>0</v>
      </c>
      <c r="AB233" s="32">
        <f>VLOOKUP($A233,$A$4:$O$28,12,0)*(HLOOKUP(AB$212,'2.2.Brecha Efectiva x UdM'!$H$25:$AK$32,7,0))</f>
        <v>0</v>
      </c>
      <c r="AC233" s="32">
        <f>VLOOKUP($A233,$A$4:$O$28,12,0)*(HLOOKUP(AC$212,'2.2.Brecha Efectiva x UdM'!$H$25:$AK$32,7,0))</f>
        <v>0</v>
      </c>
      <c r="AD233" s="32">
        <f>VLOOKUP($A233,$A$4:$O$28,12,0)*(HLOOKUP(AD$212,'2.2.Brecha Efectiva x UdM'!$H$25:$AK$32,7,0))</f>
        <v>0</v>
      </c>
      <c r="AE233" s="32">
        <f>VLOOKUP($A233,$A$4:$O$28,12,0)*(HLOOKUP(AE$212,'2.2.Brecha Efectiva x UdM'!$H$25:$AK$32,7,0))</f>
        <v>0</v>
      </c>
      <c r="AF233" s="32">
        <f>VLOOKUP($A233,$A$4:$O$28,12,0)*(HLOOKUP(AF$212,'2.2.Brecha Efectiva x UdM'!$H$25:$AK$32,7,0))</f>
        <v>0</v>
      </c>
      <c r="AG233" s="32">
        <f>VLOOKUP($A233,$A$4:$O$28,12,0)*(HLOOKUP(AG$212,'2.2.Brecha Efectiva x UdM'!$H$25:$AK$32,7,0))</f>
        <v>0</v>
      </c>
      <c r="AH233" s="62">
        <f t="shared" si="228"/>
        <v>0</v>
      </c>
    </row>
    <row r="234" spans="1:34" hidden="1" x14ac:dyDescent="0.2">
      <c r="A234" s="26" t="str">
        <f t="shared" si="225"/>
        <v>Santiago del Estero</v>
      </c>
      <c r="B234" s="52">
        <f t="shared" si="226"/>
        <v>0</v>
      </c>
      <c r="C234" s="26" t="str">
        <f t="shared" si="227"/>
        <v>Santiago del Estero 0</v>
      </c>
      <c r="D234" s="31">
        <f>VLOOKUP($A234,$A$4:$O$28,12,0)*(HLOOKUP(D$212,'2.2.Brecha Efectiva x UdM'!$H$25:$AK$32,7,0))</f>
        <v>0</v>
      </c>
      <c r="E234" s="31">
        <f>VLOOKUP($A234,$A$4:$O$28,12,0)*(HLOOKUP(E$212,'2.2.Brecha Efectiva x UdM'!$H$25:$AK$32,7,0))</f>
        <v>0</v>
      </c>
      <c r="F234" s="31">
        <f>VLOOKUP($A234,$A$4:$O$28,12,0)*(HLOOKUP(F$212,'2.2.Brecha Efectiva x UdM'!$H$25:$AK$32,7,0))</f>
        <v>0</v>
      </c>
      <c r="G234" s="31">
        <f>VLOOKUP($A234,$A$4:$O$28,12,0)*(HLOOKUP(G$212,'2.2.Brecha Efectiva x UdM'!$H$25:$AK$32,7,0))</f>
        <v>0</v>
      </c>
      <c r="H234" s="31">
        <f>VLOOKUP($A234,$A$4:$O$28,12,0)*(HLOOKUP(H$212,'2.2.Brecha Efectiva x UdM'!$H$25:$AK$32,7,0))</f>
        <v>0</v>
      </c>
      <c r="I234" s="31">
        <f>VLOOKUP($A234,$A$4:$O$28,12,0)*(HLOOKUP(I$212,'2.2.Brecha Efectiva x UdM'!$H$25:$AK$32,7,0))</f>
        <v>0</v>
      </c>
      <c r="J234" s="31">
        <f>VLOOKUP($A234,$A$4:$O$28,12,0)*(HLOOKUP(J$212,'2.2.Brecha Efectiva x UdM'!$H$25:$AK$32,7,0))</f>
        <v>0</v>
      </c>
      <c r="K234" s="31">
        <f>VLOOKUP($A234,$A$4:$O$28,12,0)*(HLOOKUP(K$212,'2.2.Brecha Efectiva x UdM'!$H$25:$AK$32,7,0))</f>
        <v>0</v>
      </c>
      <c r="L234" s="31">
        <f>VLOOKUP($A234,$A$4:$O$28,12,0)*(HLOOKUP(L$212,'2.2.Brecha Efectiva x UdM'!$H$25:$AK$32,7,0))</f>
        <v>0</v>
      </c>
      <c r="M234" s="31">
        <f>VLOOKUP($A234,$A$4:$O$28,12,0)*(HLOOKUP(M$212,'2.2.Brecha Efectiva x UdM'!$H$25:$AK$32,7,0))</f>
        <v>0</v>
      </c>
      <c r="N234" s="31">
        <f>VLOOKUP($A234,$A$4:$O$28,12,0)*(HLOOKUP(N$212,'2.2.Brecha Efectiva x UdM'!$H$25:$AK$32,7,0))</f>
        <v>0</v>
      </c>
      <c r="O234" s="31">
        <f>VLOOKUP($A234,$A$4:$O$28,12,0)*(HLOOKUP(O$212,'2.2.Brecha Efectiva x UdM'!$H$25:$AK$32,7,0))</f>
        <v>0</v>
      </c>
      <c r="P234" s="31">
        <f>VLOOKUP($A234,$A$4:$O$28,12,0)*(HLOOKUP(P$212,'2.2.Brecha Efectiva x UdM'!$H$25:$AK$32,7,0))</f>
        <v>0</v>
      </c>
      <c r="Q234" s="31">
        <f>VLOOKUP($A234,$A$4:$O$28,12,0)*(HLOOKUP(Q$212,'2.2.Brecha Efectiva x UdM'!$H$25:$AK$32,7,0))</f>
        <v>0</v>
      </c>
      <c r="R234" s="31">
        <f>VLOOKUP($A234,$A$4:$O$28,12,0)*(HLOOKUP(R$212,'2.2.Brecha Efectiva x UdM'!$H$25:$AK$32,7,0))</f>
        <v>0</v>
      </c>
      <c r="S234" s="31">
        <f>VLOOKUP($A234,$A$4:$O$28,12,0)*(HLOOKUP(S$212,'2.2.Brecha Efectiva x UdM'!$H$25:$AK$32,7,0))</f>
        <v>0</v>
      </c>
      <c r="T234" s="31">
        <f>VLOOKUP($A234,$A$4:$O$28,12,0)*(HLOOKUP(T$212,'2.2.Brecha Efectiva x UdM'!$H$25:$AK$32,7,0))</f>
        <v>0</v>
      </c>
      <c r="U234" s="31">
        <f>VLOOKUP($A234,$A$4:$O$28,12,0)*(HLOOKUP(U$212,'2.2.Brecha Efectiva x UdM'!$H$25:$AK$32,7,0))</f>
        <v>0</v>
      </c>
      <c r="V234" s="31">
        <f>VLOOKUP($A234,$A$4:$O$28,12,0)*(HLOOKUP(V$212,'2.2.Brecha Efectiva x UdM'!$H$25:$AK$32,7,0))</f>
        <v>0</v>
      </c>
      <c r="W234" s="31">
        <f>VLOOKUP($A234,$A$4:$O$28,12,0)*(HLOOKUP(W$212,'2.2.Brecha Efectiva x UdM'!$H$25:$AK$32,7,0))</f>
        <v>0</v>
      </c>
      <c r="X234" s="31">
        <f>VLOOKUP($A234,$A$4:$O$28,12,0)*(HLOOKUP(X$212,'2.2.Brecha Efectiva x UdM'!$H$25:$AK$32,7,0))</f>
        <v>0</v>
      </c>
      <c r="Y234" s="31">
        <f>VLOOKUP($A234,$A$4:$O$28,12,0)*(HLOOKUP(Y$212,'2.2.Brecha Efectiva x UdM'!$H$25:$AK$32,7,0))</f>
        <v>0</v>
      </c>
      <c r="Z234" s="31">
        <f>VLOOKUP($A234,$A$4:$O$28,12,0)*(HLOOKUP(Z$212,'2.2.Brecha Efectiva x UdM'!$H$25:$AK$32,7,0))</f>
        <v>0</v>
      </c>
      <c r="AA234" s="31">
        <f>VLOOKUP($A234,$A$4:$O$28,12,0)*(HLOOKUP(AA$212,'2.2.Brecha Efectiva x UdM'!$H$25:$AK$32,7,0))</f>
        <v>0</v>
      </c>
      <c r="AB234" s="31">
        <f>VLOOKUP($A234,$A$4:$O$28,12,0)*(HLOOKUP(AB$212,'2.2.Brecha Efectiva x UdM'!$H$25:$AK$32,7,0))</f>
        <v>0</v>
      </c>
      <c r="AC234" s="31">
        <f>VLOOKUP($A234,$A$4:$O$28,12,0)*(HLOOKUP(AC$212,'2.2.Brecha Efectiva x UdM'!$H$25:$AK$32,7,0))</f>
        <v>0</v>
      </c>
      <c r="AD234" s="31">
        <f>VLOOKUP($A234,$A$4:$O$28,12,0)*(HLOOKUP(AD$212,'2.2.Brecha Efectiva x UdM'!$H$25:$AK$32,7,0))</f>
        <v>0</v>
      </c>
      <c r="AE234" s="31">
        <f>VLOOKUP($A234,$A$4:$O$28,12,0)*(HLOOKUP(AE$212,'2.2.Brecha Efectiva x UdM'!$H$25:$AK$32,7,0))</f>
        <v>0</v>
      </c>
      <c r="AF234" s="31">
        <f>VLOOKUP($A234,$A$4:$O$28,12,0)*(HLOOKUP(AF$212,'2.2.Brecha Efectiva x UdM'!$H$25:$AK$32,7,0))</f>
        <v>0</v>
      </c>
      <c r="AG234" s="31">
        <f>VLOOKUP($A234,$A$4:$O$28,12,0)*(HLOOKUP(AG$212,'2.2.Brecha Efectiva x UdM'!$H$25:$AK$32,7,0))</f>
        <v>0</v>
      </c>
      <c r="AH234" s="63">
        <f t="shared" si="228"/>
        <v>0</v>
      </c>
    </row>
    <row r="235" spans="1:34" hidden="1" x14ac:dyDescent="0.2">
      <c r="A235" s="25" t="str">
        <f t="shared" si="225"/>
        <v>Tierra del Fuego</v>
      </c>
      <c r="B235" s="51">
        <f t="shared" si="226"/>
        <v>0</v>
      </c>
      <c r="C235" s="25" t="str">
        <f t="shared" si="227"/>
        <v>Tierra del Fuego 0</v>
      </c>
      <c r="D235" s="32">
        <f>VLOOKUP($A235,$A$4:$O$28,12,0)*(HLOOKUP(D$212,'2.2.Brecha Efectiva x UdM'!$H$25:$AK$32,7,0))</f>
        <v>0</v>
      </c>
      <c r="E235" s="32">
        <f>VLOOKUP($A235,$A$4:$O$28,12,0)*(HLOOKUP(E$212,'2.2.Brecha Efectiva x UdM'!$H$25:$AK$32,7,0))</f>
        <v>0</v>
      </c>
      <c r="F235" s="32">
        <f>VLOOKUP($A235,$A$4:$O$28,12,0)*(HLOOKUP(F$212,'2.2.Brecha Efectiva x UdM'!$H$25:$AK$32,7,0))</f>
        <v>0</v>
      </c>
      <c r="G235" s="32">
        <f>VLOOKUP($A235,$A$4:$O$28,12,0)*(HLOOKUP(G$212,'2.2.Brecha Efectiva x UdM'!$H$25:$AK$32,7,0))</f>
        <v>0</v>
      </c>
      <c r="H235" s="32">
        <f>VLOOKUP($A235,$A$4:$O$28,12,0)*(HLOOKUP(H$212,'2.2.Brecha Efectiva x UdM'!$H$25:$AK$32,7,0))</f>
        <v>0</v>
      </c>
      <c r="I235" s="32">
        <f>VLOOKUP($A235,$A$4:$O$28,12,0)*(HLOOKUP(I$212,'2.2.Brecha Efectiva x UdM'!$H$25:$AK$32,7,0))</f>
        <v>0</v>
      </c>
      <c r="J235" s="32">
        <f>VLOOKUP($A235,$A$4:$O$28,12,0)*(HLOOKUP(J$212,'2.2.Brecha Efectiva x UdM'!$H$25:$AK$32,7,0))</f>
        <v>0</v>
      </c>
      <c r="K235" s="32">
        <f>VLOOKUP($A235,$A$4:$O$28,12,0)*(HLOOKUP(K$212,'2.2.Brecha Efectiva x UdM'!$H$25:$AK$32,7,0))</f>
        <v>0</v>
      </c>
      <c r="L235" s="32">
        <f>VLOOKUP($A235,$A$4:$O$28,12,0)*(HLOOKUP(L$212,'2.2.Brecha Efectiva x UdM'!$H$25:$AK$32,7,0))</f>
        <v>0</v>
      </c>
      <c r="M235" s="32">
        <f>VLOOKUP($A235,$A$4:$O$28,12,0)*(HLOOKUP(M$212,'2.2.Brecha Efectiva x UdM'!$H$25:$AK$32,7,0))</f>
        <v>0</v>
      </c>
      <c r="N235" s="32">
        <f>VLOOKUP($A235,$A$4:$O$28,12,0)*(HLOOKUP(N$212,'2.2.Brecha Efectiva x UdM'!$H$25:$AK$32,7,0))</f>
        <v>0</v>
      </c>
      <c r="O235" s="32">
        <f>VLOOKUP($A235,$A$4:$O$28,12,0)*(HLOOKUP(O$212,'2.2.Brecha Efectiva x UdM'!$H$25:$AK$32,7,0))</f>
        <v>0</v>
      </c>
      <c r="P235" s="32">
        <f>VLOOKUP($A235,$A$4:$O$28,12,0)*(HLOOKUP(P$212,'2.2.Brecha Efectiva x UdM'!$H$25:$AK$32,7,0))</f>
        <v>0</v>
      </c>
      <c r="Q235" s="32">
        <f>VLOOKUP($A235,$A$4:$O$28,12,0)*(HLOOKUP(Q$212,'2.2.Brecha Efectiva x UdM'!$H$25:$AK$32,7,0))</f>
        <v>0</v>
      </c>
      <c r="R235" s="32">
        <f>VLOOKUP($A235,$A$4:$O$28,12,0)*(HLOOKUP(R$212,'2.2.Brecha Efectiva x UdM'!$H$25:$AK$32,7,0))</f>
        <v>0</v>
      </c>
      <c r="S235" s="32">
        <f>VLOOKUP($A235,$A$4:$O$28,12,0)*(HLOOKUP(S$212,'2.2.Brecha Efectiva x UdM'!$H$25:$AK$32,7,0))</f>
        <v>0</v>
      </c>
      <c r="T235" s="32">
        <f>VLOOKUP($A235,$A$4:$O$28,12,0)*(HLOOKUP(T$212,'2.2.Brecha Efectiva x UdM'!$H$25:$AK$32,7,0))</f>
        <v>0</v>
      </c>
      <c r="U235" s="32">
        <f>VLOOKUP($A235,$A$4:$O$28,12,0)*(HLOOKUP(U$212,'2.2.Brecha Efectiva x UdM'!$H$25:$AK$32,7,0))</f>
        <v>0</v>
      </c>
      <c r="V235" s="32">
        <f>VLOOKUP($A235,$A$4:$O$28,12,0)*(HLOOKUP(V$212,'2.2.Brecha Efectiva x UdM'!$H$25:$AK$32,7,0))</f>
        <v>0</v>
      </c>
      <c r="W235" s="32">
        <f>VLOOKUP($A235,$A$4:$O$28,12,0)*(HLOOKUP(W$212,'2.2.Brecha Efectiva x UdM'!$H$25:$AK$32,7,0))</f>
        <v>0</v>
      </c>
      <c r="X235" s="32">
        <f>VLOOKUP($A235,$A$4:$O$28,12,0)*(HLOOKUP(X$212,'2.2.Brecha Efectiva x UdM'!$H$25:$AK$32,7,0))</f>
        <v>0</v>
      </c>
      <c r="Y235" s="32">
        <f>VLOOKUP($A235,$A$4:$O$28,12,0)*(HLOOKUP(Y$212,'2.2.Brecha Efectiva x UdM'!$H$25:$AK$32,7,0))</f>
        <v>0</v>
      </c>
      <c r="Z235" s="32">
        <f>VLOOKUP($A235,$A$4:$O$28,12,0)*(HLOOKUP(Z$212,'2.2.Brecha Efectiva x UdM'!$H$25:$AK$32,7,0))</f>
        <v>0</v>
      </c>
      <c r="AA235" s="32">
        <f>VLOOKUP($A235,$A$4:$O$28,12,0)*(HLOOKUP(AA$212,'2.2.Brecha Efectiva x UdM'!$H$25:$AK$32,7,0))</f>
        <v>0</v>
      </c>
      <c r="AB235" s="32">
        <f>VLOOKUP($A235,$A$4:$O$28,12,0)*(HLOOKUP(AB$212,'2.2.Brecha Efectiva x UdM'!$H$25:$AK$32,7,0))</f>
        <v>0</v>
      </c>
      <c r="AC235" s="32">
        <f>VLOOKUP($A235,$A$4:$O$28,12,0)*(HLOOKUP(AC$212,'2.2.Brecha Efectiva x UdM'!$H$25:$AK$32,7,0))</f>
        <v>0</v>
      </c>
      <c r="AD235" s="32">
        <f>VLOOKUP($A235,$A$4:$O$28,12,0)*(HLOOKUP(AD$212,'2.2.Brecha Efectiva x UdM'!$H$25:$AK$32,7,0))</f>
        <v>0</v>
      </c>
      <c r="AE235" s="32">
        <f>VLOOKUP($A235,$A$4:$O$28,12,0)*(HLOOKUP(AE$212,'2.2.Brecha Efectiva x UdM'!$H$25:$AK$32,7,0))</f>
        <v>0</v>
      </c>
      <c r="AF235" s="32">
        <f>VLOOKUP($A235,$A$4:$O$28,12,0)*(HLOOKUP(AF$212,'2.2.Brecha Efectiva x UdM'!$H$25:$AK$32,7,0))</f>
        <v>0</v>
      </c>
      <c r="AG235" s="32">
        <f>VLOOKUP($A235,$A$4:$O$28,12,0)*(HLOOKUP(AG$212,'2.2.Brecha Efectiva x UdM'!$H$25:$AK$32,7,0))</f>
        <v>0</v>
      </c>
      <c r="AH235" s="62">
        <f t="shared" si="228"/>
        <v>0</v>
      </c>
    </row>
    <row r="236" spans="1:34" hidden="1" x14ac:dyDescent="0.2">
      <c r="A236" s="26" t="str">
        <f t="shared" si="225"/>
        <v>Tucumán</v>
      </c>
      <c r="B236" s="52">
        <f t="shared" si="226"/>
        <v>0</v>
      </c>
      <c r="C236" s="26" t="str">
        <f t="shared" si="227"/>
        <v>Tucumán 0</v>
      </c>
      <c r="D236" s="31">
        <f>VLOOKUP($A236,$A$4:$O$28,12,0)*(HLOOKUP(D$212,'2.2.Brecha Efectiva x UdM'!$H$25:$AK$32,7,0))</f>
        <v>0</v>
      </c>
      <c r="E236" s="31">
        <f>VLOOKUP($A236,$A$4:$O$28,12,0)*(HLOOKUP(E$212,'2.2.Brecha Efectiva x UdM'!$H$25:$AK$32,7,0))</f>
        <v>0</v>
      </c>
      <c r="F236" s="31">
        <f>VLOOKUP($A236,$A$4:$O$28,12,0)*(HLOOKUP(F$212,'2.2.Brecha Efectiva x UdM'!$H$25:$AK$32,7,0))</f>
        <v>0</v>
      </c>
      <c r="G236" s="31">
        <f>VLOOKUP($A236,$A$4:$O$28,12,0)*(HLOOKUP(G$212,'2.2.Brecha Efectiva x UdM'!$H$25:$AK$32,7,0))</f>
        <v>0</v>
      </c>
      <c r="H236" s="31">
        <f>VLOOKUP($A236,$A$4:$O$28,12,0)*(HLOOKUP(H$212,'2.2.Brecha Efectiva x UdM'!$H$25:$AK$32,7,0))</f>
        <v>0</v>
      </c>
      <c r="I236" s="31">
        <f>VLOOKUP($A236,$A$4:$O$28,12,0)*(HLOOKUP(I$212,'2.2.Brecha Efectiva x UdM'!$H$25:$AK$32,7,0))</f>
        <v>0</v>
      </c>
      <c r="J236" s="31">
        <f>VLOOKUP($A236,$A$4:$O$28,12,0)*(HLOOKUP(J$212,'2.2.Brecha Efectiva x UdM'!$H$25:$AK$32,7,0))</f>
        <v>0</v>
      </c>
      <c r="K236" s="31">
        <f>VLOOKUP($A236,$A$4:$O$28,12,0)*(HLOOKUP(K$212,'2.2.Brecha Efectiva x UdM'!$H$25:$AK$32,7,0))</f>
        <v>0</v>
      </c>
      <c r="L236" s="31">
        <f>VLOOKUP($A236,$A$4:$O$28,12,0)*(HLOOKUP(L$212,'2.2.Brecha Efectiva x UdM'!$H$25:$AK$32,7,0))</f>
        <v>0</v>
      </c>
      <c r="M236" s="31">
        <f>VLOOKUP($A236,$A$4:$O$28,12,0)*(HLOOKUP(M$212,'2.2.Brecha Efectiva x UdM'!$H$25:$AK$32,7,0))</f>
        <v>0</v>
      </c>
      <c r="N236" s="31">
        <f>VLOOKUP($A236,$A$4:$O$28,12,0)*(HLOOKUP(N$212,'2.2.Brecha Efectiva x UdM'!$H$25:$AK$32,7,0))</f>
        <v>0</v>
      </c>
      <c r="O236" s="31">
        <f>VLOOKUP($A236,$A$4:$O$28,12,0)*(HLOOKUP(O$212,'2.2.Brecha Efectiva x UdM'!$H$25:$AK$32,7,0))</f>
        <v>0</v>
      </c>
      <c r="P236" s="31">
        <f>VLOOKUP($A236,$A$4:$O$28,12,0)*(HLOOKUP(P$212,'2.2.Brecha Efectiva x UdM'!$H$25:$AK$32,7,0))</f>
        <v>0</v>
      </c>
      <c r="Q236" s="31">
        <f>VLOOKUP($A236,$A$4:$O$28,12,0)*(HLOOKUP(Q$212,'2.2.Brecha Efectiva x UdM'!$H$25:$AK$32,7,0))</f>
        <v>0</v>
      </c>
      <c r="R236" s="31">
        <f>VLOOKUP($A236,$A$4:$O$28,12,0)*(HLOOKUP(R$212,'2.2.Brecha Efectiva x UdM'!$H$25:$AK$32,7,0))</f>
        <v>0</v>
      </c>
      <c r="S236" s="31">
        <f>VLOOKUP($A236,$A$4:$O$28,12,0)*(HLOOKUP(S$212,'2.2.Brecha Efectiva x UdM'!$H$25:$AK$32,7,0))</f>
        <v>0</v>
      </c>
      <c r="T236" s="31">
        <f>VLOOKUP($A236,$A$4:$O$28,12,0)*(HLOOKUP(T$212,'2.2.Brecha Efectiva x UdM'!$H$25:$AK$32,7,0))</f>
        <v>0</v>
      </c>
      <c r="U236" s="31">
        <f>VLOOKUP($A236,$A$4:$O$28,12,0)*(HLOOKUP(U$212,'2.2.Brecha Efectiva x UdM'!$H$25:$AK$32,7,0))</f>
        <v>0</v>
      </c>
      <c r="V236" s="31">
        <f>VLOOKUP($A236,$A$4:$O$28,12,0)*(HLOOKUP(V$212,'2.2.Brecha Efectiva x UdM'!$H$25:$AK$32,7,0))</f>
        <v>0</v>
      </c>
      <c r="W236" s="31">
        <f>VLOOKUP($A236,$A$4:$O$28,12,0)*(HLOOKUP(W$212,'2.2.Brecha Efectiva x UdM'!$H$25:$AK$32,7,0))</f>
        <v>0</v>
      </c>
      <c r="X236" s="31">
        <f>VLOOKUP($A236,$A$4:$O$28,12,0)*(HLOOKUP(X$212,'2.2.Brecha Efectiva x UdM'!$H$25:$AK$32,7,0))</f>
        <v>0</v>
      </c>
      <c r="Y236" s="31">
        <f>VLOOKUP($A236,$A$4:$O$28,12,0)*(HLOOKUP(Y$212,'2.2.Brecha Efectiva x UdM'!$H$25:$AK$32,7,0))</f>
        <v>0</v>
      </c>
      <c r="Z236" s="31">
        <f>VLOOKUP($A236,$A$4:$O$28,12,0)*(HLOOKUP(Z$212,'2.2.Brecha Efectiva x UdM'!$H$25:$AK$32,7,0))</f>
        <v>0</v>
      </c>
      <c r="AA236" s="31">
        <f>VLOOKUP($A236,$A$4:$O$28,12,0)*(HLOOKUP(AA$212,'2.2.Brecha Efectiva x UdM'!$H$25:$AK$32,7,0))</f>
        <v>0</v>
      </c>
      <c r="AB236" s="31">
        <f>VLOOKUP($A236,$A$4:$O$28,12,0)*(HLOOKUP(AB$212,'2.2.Brecha Efectiva x UdM'!$H$25:$AK$32,7,0))</f>
        <v>0</v>
      </c>
      <c r="AC236" s="31">
        <f>VLOOKUP($A236,$A$4:$O$28,12,0)*(HLOOKUP(AC$212,'2.2.Brecha Efectiva x UdM'!$H$25:$AK$32,7,0))</f>
        <v>0</v>
      </c>
      <c r="AD236" s="31">
        <f>VLOOKUP($A236,$A$4:$O$28,12,0)*(HLOOKUP(AD$212,'2.2.Brecha Efectiva x UdM'!$H$25:$AK$32,7,0))</f>
        <v>0</v>
      </c>
      <c r="AE236" s="31">
        <f>VLOOKUP($A236,$A$4:$O$28,12,0)*(HLOOKUP(AE$212,'2.2.Brecha Efectiva x UdM'!$H$25:$AK$32,7,0))</f>
        <v>0</v>
      </c>
      <c r="AF236" s="31">
        <f>VLOOKUP($A236,$A$4:$O$28,12,0)*(HLOOKUP(AF$212,'2.2.Brecha Efectiva x UdM'!$H$25:$AK$32,7,0))</f>
        <v>0</v>
      </c>
      <c r="AG236" s="31">
        <f>VLOOKUP($A236,$A$4:$O$28,12,0)*(HLOOKUP(AG$212,'2.2.Brecha Efectiva x UdM'!$H$25:$AK$32,7,0))</f>
        <v>0</v>
      </c>
      <c r="AH236" s="63">
        <f t="shared" si="228"/>
        <v>0</v>
      </c>
    </row>
    <row r="237" spans="1:34" hidden="1" x14ac:dyDescent="0.2">
      <c r="A237" s="34" t="str">
        <f>CONCATENATE("Total"," ",B213)</f>
        <v>Total 0</v>
      </c>
      <c r="B237" s="29"/>
      <c r="C237" s="13"/>
      <c r="D237" s="13">
        <f>SUM(D213:D236)</f>
        <v>0</v>
      </c>
      <c r="E237" s="13">
        <f t="shared" ref="E237:AG237" si="229">SUM(E213:E236)</f>
        <v>0</v>
      </c>
      <c r="F237" s="13">
        <f t="shared" si="229"/>
        <v>0</v>
      </c>
      <c r="G237" s="13">
        <f t="shared" si="229"/>
        <v>0</v>
      </c>
      <c r="H237" s="13">
        <f t="shared" si="229"/>
        <v>0</v>
      </c>
      <c r="I237" s="13">
        <f t="shared" si="229"/>
        <v>0</v>
      </c>
      <c r="J237" s="13">
        <f t="shared" si="229"/>
        <v>0</v>
      </c>
      <c r="K237" s="13">
        <f t="shared" si="229"/>
        <v>0</v>
      </c>
      <c r="L237" s="13">
        <f t="shared" si="229"/>
        <v>0</v>
      </c>
      <c r="M237" s="13">
        <f t="shared" si="229"/>
        <v>0</v>
      </c>
      <c r="N237" s="13">
        <f t="shared" si="229"/>
        <v>0</v>
      </c>
      <c r="O237" s="13">
        <f t="shared" si="229"/>
        <v>0</v>
      </c>
      <c r="P237" s="13">
        <f t="shared" si="229"/>
        <v>0</v>
      </c>
      <c r="Q237" s="13">
        <f t="shared" si="229"/>
        <v>0</v>
      </c>
      <c r="R237" s="13">
        <f t="shared" si="229"/>
        <v>0</v>
      </c>
      <c r="S237" s="13">
        <f t="shared" si="229"/>
        <v>0</v>
      </c>
      <c r="T237" s="13">
        <f t="shared" si="229"/>
        <v>0</v>
      </c>
      <c r="U237" s="13">
        <f t="shared" si="229"/>
        <v>0</v>
      </c>
      <c r="V237" s="13">
        <f t="shared" si="229"/>
        <v>0</v>
      </c>
      <c r="W237" s="13">
        <f t="shared" si="229"/>
        <v>0</v>
      </c>
      <c r="X237" s="13">
        <f t="shared" si="229"/>
        <v>0</v>
      </c>
      <c r="Y237" s="13">
        <f t="shared" si="229"/>
        <v>0</v>
      </c>
      <c r="Z237" s="13">
        <f t="shared" si="229"/>
        <v>0</v>
      </c>
      <c r="AA237" s="13">
        <f t="shared" si="229"/>
        <v>0</v>
      </c>
      <c r="AB237" s="13">
        <f t="shared" si="229"/>
        <v>0</v>
      </c>
      <c r="AC237" s="13">
        <f t="shared" si="229"/>
        <v>0</v>
      </c>
      <c r="AD237" s="13">
        <f t="shared" si="229"/>
        <v>0</v>
      </c>
      <c r="AE237" s="13">
        <f t="shared" si="229"/>
        <v>0</v>
      </c>
      <c r="AF237" s="13">
        <f t="shared" si="229"/>
        <v>0</v>
      </c>
      <c r="AG237" s="13">
        <f t="shared" si="229"/>
        <v>0</v>
      </c>
      <c r="AH237" s="13">
        <f t="shared" si="228"/>
        <v>0</v>
      </c>
    </row>
    <row r="238" spans="1:34" hidden="1" x14ac:dyDescent="0.2">
      <c r="A238" s="34" t="str">
        <f>CONCATENATE("Total Acumulado"," ",B213)</f>
        <v>Total Acumulado 0</v>
      </c>
      <c r="B238" s="29"/>
      <c r="C238" s="13"/>
      <c r="D238" s="13">
        <f>D237</f>
        <v>0</v>
      </c>
      <c r="E238" s="13">
        <f>E237+D238</f>
        <v>0</v>
      </c>
      <c r="F238" s="13">
        <f t="shared" ref="F238" si="230">F237+E238</f>
        <v>0</v>
      </c>
      <c r="G238" s="13">
        <f t="shared" ref="G238" si="231">G237+F238</f>
        <v>0</v>
      </c>
      <c r="H238" s="13">
        <f t="shared" ref="H238" si="232">H237+G238</f>
        <v>0</v>
      </c>
      <c r="I238" s="13">
        <f t="shared" ref="I238" si="233">I237+H238</f>
        <v>0</v>
      </c>
      <c r="J238" s="13">
        <f t="shared" ref="J238" si="234">J237+I238</f>
        <v>0</v>
      </c>
      <c r="K238" s="13">
        <f t="shared" ref="K238" si="235">K237+J238</f>
        <v>0</v>
      </c>
      <c r="L238" s="13">
        <f t="shared" ref="L238" si="236">L237+K238</f>
        <v>0</v>
      </c>
      <c r="M238" s="13">
        <f t="shared" ref="M238" si="237">M237+L238</f>
        <v>0</v>
      </c>
      <c r="N238" s="13">
        <f t="shared" ref="N238" si="238">N237+M238</f>
        <v>0</v>
      </c>
      <c r="O238" s="13">
        <f t="shared" ref="O238" si="239">O237+N238</f>
        <v>0</v>
      </c>
      <c r="P238" s="13">
        <f t="shared" ref="P238" si="240">P237+O238</f>
        <v>0</v>
      </c>
      <c r="Q238" s="13">
        <f t="shared" ref="Q238" si="241">Q237+P238</f>
        <v>0</v>
      </c>
      <c r="R238" s="13">
        <f t="shared" ref="R238" si="242">R237+Q238</f>
        <v>0</v>
      </c>
      <c r="S238" s="13">
        <f t="shared" ref="S238" si="243">S237+R238</f>
        <v>0</v>
      </c>
      <c r="T238" s="13">
        <f t="shared" ref="T238" si="244">T237+S238</f>
        <v>0</v>
      </c>
      <c r="U238" s="13">
        <f t="shared" ref="U238" si="245">U237+T238</f>
        <v>0</v>
      </c>
      <c r="V238" s="13">
        <f t="shared" ref="V238" si="246">V237+U238</f>
        <v>0</v>
      </c>
      <c r="W238" s="13">
        <f t="shared" ref="W238" si="247">W237+V238</f>
        <v>0</v>
      </c>
      <c r="X238" s="13">
        <f t="shared" ref="X238" si="248">X237+W238</f>
        <v>0</v>
      </c>
      <c r="Y238" s="13">
        <f t="shared" ref="Y238" si="249">Y237+X238</f>
        <v>0</v>
      </c>
      <c r="Z238" s="13">
        <f t="shared" ref="Z238" si="250">Z237+Y238</f>
        <v>0</v>
      </c>
      <c r="AA238" s="13">
        <f t="shared" ref="AA238" si="251">AA237+Z238</f>
        <v>0</v>
      </c>
      <c r="AB238" s="13">
        <f t="shared" ref="AB238" si="252">AB237+AA238</f>
        <v>0</v>
      </c>
      <c r="AC238" s="13">
        <f t="shared" ref="AC238" si="253">AC237+AB238</f>
        <v>0</v>
      </c>
      <c r="AD238" s="13">
        <f t="shared" ref="AD238" si="254">AD237+AC238</f>
        <v>0</v>
      </c>
      <c r="AE238" s="13">
        <f t="shared" ref="AE238" si="255">AE237+AD238</f>
        <v>0</v>
      </c>
      <c r="AF238" s="13">
        <f t="shared" ref="AF238" si="256">AF237+AE238</f>
        <v>0</v>
      </c>
      <c r="AG238" s="13">
        <f t="shared" ref="AG238" si="257">AG237+AF238</f>
        <v>0</v>
      </c>
    </row>
    <row r="239" spans="1:34" hidden="1" x14ac:dyDescent="0.2"/>
    <row r="240" spans="1:34" hidden="1" x14ac:dyDescent="0.2">
      <c r="A240" s="33" t="s">
        <v>41</v>
      </c>
      <c r="D240" t="b">
        <f>D237='2.2.Brecha Efectiva x UdM'!H31</f>
        <v>1</v>
      </c>
      <c r="E240" t="b">
        <f>E237='2.2.Brecha Efectiva x UdM'!I31</f>
        <v>1</v>
      </c>
      <c r="F240" t="b">
        <f>F237='2.2.Brecha Efectiva x UdM'!J31</f>
        <v>1</v>
      </c>
      <c r="G240" t="b">
        <f>G237='2.2.Brecha Efectiva x UdM'!K31</f>
        <v>1</v>
      </c>
    </row>
    <row r="241" spans="1:34" hidden="1" x14ac:dyDescent="0.2">
      <c r="G241" t="b">
        <f>AG238=SUM('2.2.Brecha Efectiva x UdM'!H31:AK31)</f>
        <v>1</v>
      </c>
    </row>
    <row r="242" spans="1:34" hidden="1" x14ac:dyDescent="0.2">
      <c r="A242" s="33" t="s">
        <v>41</v>
      </c>
      <c r="D242" t="b">
        <f>SUM('2.3.Brecha x Provincia'!AG73,'2.3.Brecha x Provincia'!AG106,'2.3.Brecha x Provincia'!AG139,'2.3.Brecha x Provincia'!AG172,'2.3.Brecha x Provincia'!AG205,'2.3.Brecha x Provincia'!AG238)=SUM('2.2.Brecha Efectiva x UdM'!H32:AK32)</f>
        <v>1</v>
      </c>
    </row>
    <row r="243" spans="1:34" hidden="1" x14ac:dyDescent="0.2"/>
    <row r="244" spans="1:34" x14ac:dyDescent="0.2">
      <c r="A244" s="17" t="s">
        <v>100</v>
      </c>
    </row>
    <row r="245" spans="1:34" x14ac:dyDescent="0.2">
      <c r="A245" s="35" t="s">
        <v>44</v>
      </c>
    </row>
    <row r="246" spans="1:34" x14ac:dyDescent="0.2">
      <c r="A246" t="s">
        <v>65</v>
      </c>
    </row>
    <row r="247" spans="1:34" x14ac:dyDescent="0.2">
      <c r="A247" t="s">
        <v>48</v>
      </c>
    </row>
    <row r="248" spans="1:34" x14ac:dyDescent="0.2">
      <c r="A248" t="s">
        <v>47</v>
      </c>
    </row>
    <row r="250" spans="1:34" x14ac:dyDescent="0.2">
      <c r="A250" s="46" t="s">
        <v>101</v>
      </c>
    </row>
    <row r="252" spans="1:34" x14ac:dyDescent="0.2">
      <c r="A252" s="24" t="s">
        <v>18</v>
      </c>
      <c r="B252" s="24" t="s">
        <v>42</v>
      </c>
      <c r="C252" s="24" t="s">
        <v>43</v>
      </c>
      <c r="D252" s="6">
        <v>2024</v>
      </c>
      <c r="E252" s="6">
        <v>2025</v>
      </c>
      <c r="F252" s="6">
        <v>2026</v>
      </c>
      <c r="G252" s="6">
        <v>2027</v>
      </c>
      <c r="H252" s="6">
        <v>2028</v>
      </c>
      <c r="I252" s="6">
        <v>2029</v>
      </c>
      <c r="J252" s="6">
        <v>2030</v>
      </c>
      <c r="K252" s="6">
        <v>2031</v>
      </c>
      <c r="L252" s="6">
        <v>2032</v>
      </c>
      <c r="M252" s="6">
        <v>2033</v>
      </c>
      <c r="N252" s="50">
        <v>2034</v>
      </c>
      <c r="O252" s="50">
        <v>2035</v>
      </c>
      <c r="P252" s="50">
        <v>2036</v>
      </c>
      <c r="Q252" s="50">
        <v>2037</v>
      </c>
      <c r="R252" s="50">
        <v>2038</v>
      </c>
      <c r="S252" s="50">
        <v>2039</v>
      </c>
      <c r="T252" s="50">
        <v>2040</v>
      </c>
      <c r="U252" s="50">
        <v>2041</v>
      </c>
      <c r="V252" s="50">
        <v>2042</v>
      </c>
      <c r="W252" s="50">
        <v>2043</v>
      </c>
      <c r="X252" s="50">
        <v>2044</v>
      </c>
      <c r="Y252" s="50">
        <v>2045</v>
      </c>
      <c r="Z252" s="50">
        <v>2046</v>
      </c>
      <c r="AA252" s="50">
        <v>2047</v>
      </c>
      <c r="AB252" s="50">
        <v>2048</v>
      </c>
      <c r="AC252" s="50">
        <v>2049</v>
      </c>
      <c r="AD252" s="50">
        <v>2050</v>
      </c>
      <c r="AE252" s="50">
        <v>2051</v>
      </c>
      <c r="AF252" s="50">
        <v>2052</v>
      </c>
      <c r="AG252" s="50">
        <v>2053</v>
      </c>
      <c r="AH252" s="6" t="s">
        <v>1</v>
      </c>
    </row>
    <row r="253" spans="1:34" x14ac:dyDescent="0.2">
      <c r="A253" s="25" t="str">
        <f t="shared" ref="A253:A276" si="258">A4</f>
        <v>Buenos Aires</v>
      </c>
      <c r="B253" s="51" t="str">
        <f>$C$3</f>
        <v>Nombre UdM 1</v>
      </c>
      <c r="C253" s="25" t="str">
        <f>CONCATENATE(A253," ",B253)</f>
        <v>Buenos Aires Nombre UdM 1</v>
      </c>
      <c r="D253" s="32">
        <f>VLOOKUP($A253,$A$4:$O$28,2,0)*(HLOOKUP(D$252,'2.2.Brecha Efectiva x UdM'!$H$64:$AK$71,2,0))</f>
        <v>354878766.68871945</v>
      </c>
      <c r="E253" s="32">
        <f>VLOOKUP($A253,$A$4:$O$28,2,0)*(HLOOKUP(E$252,'2.2.Brecha Efectiva x UdM'!$H$64:$AK$71,2,0))</f>
        <v>357940806.90970397</v>
      </c>
      <c r="F253" s="32">
        <f>VLOOKUP($A253,$A$4:$O$28,2,0)*(HLOOKUP(F$252,'2.2.Brecha Efectiva x UdM'!$H$64:$AK$71,2,0))</f>
        <v>222269086.24071568</v>
      </c>
      <c r="G253" s="32">
        <f>VLOOKUP($A253,$A$4:$O$28,2,0)*(HLOOKUP(G$252,'2.2.Brecha Efectiva x UdM'!$H$64:$AK$71,2,0))</f>
        <v>176299970.95469046</v>
      </c>
      <c r="H253" s="32">
        <f>VLOOKUP($A253,$A$4:$O$28,2,0)*(HLOOKUP(H$252,'2.2.Brecha Efectiva x UdM'!$H$64:$AK$71,2,0))</f>
        <v>93000312.730037555</v>
      </c>
      <c r="I253" s="32">
        <f>VLOOKUP($A253,$A$4:$O$28,2,0)*(HLOOKUP(I$252,'2.2.Brecha Efectiva x UdM'!$H$64:$AK$71,2,0))</f>
        <v>93727237.85413824</v>
      </c>
      <c r="J253" s="32">
        <f>VLOOKUP($A253,$A$4:$O$28,2,0)*(HLOOKUP(J$252,'2.2.Brecha Efectiva x UdM'!$H$64:$AK$71,2,0))</f>
        <v>94441344.546444967</v>
      </c>
      <c r="K253" s="32">
        <f>VLOOKUP($A253,$A$4:$O$28,2,0)*(HLOOKUP(K$252,'2.2.Brecha Efectiva x UdM'!$H$64:$AK$71,2,0))</f>
        <v>87775016.572374552</v>
      </c>
      <c r="L253" s="32">
        <f>VLOOKUP($A253,$A$4:$O$28,2,0)*(HLOOKUP(L$252,'2.2.Brecha Efectiva x UdM'!$H$64:$AK$71,2,0))</f>
        <v>88410894.316748947</v>
      </c>
      <c r="M253" s="32">
        <f>VLOOKUP($A253,$A$4:$O$28,2,0)*(HLOOKUP(M$252,'2.2.Brecha Efectiva x UdM'!$H$64:$AK$71,2,0))</f>
        <v>89035281.346361667</v>
      </c>
      <c r="N253" s="32">
        <f>VLOOKUP($A253,$A$4:$O$28,2,0)*(HLOOKUP(N$252,'2.2.Brecha Efectiva x UdM'!$H$64:$AK$71,2,0))</f>
        <v>0</v>
      </c>
      <c r="O253" s="32">
        <f>VLOOKUP($A253,$A$4:$O$28,2,0)*(HLOOKUP(O$252,'2.2.Brecha Efectiva x UdM'!$H$64:$AK$71,2,0))</f>
        <v>0</v>
      </c>
      <c r="P253" s="32">
        <f>VLOOKUP($A253,$A$4:$O$28,2,0)*(HLOOKUP(P$252,'2.2.Brecha Efectiva x UdM'!$H$64:$AK$71,2,0))</f>
        <v>0</v>
      </c>
      <c r="Q253" s="32">
        <f>VLOOKUP($A253,$A$4:$O$28,2,0)*(HLOOKUP(Q$252,'2.2.Brecha Efectiva x UdM'!$H$64:$AK$71,2,0))</f>
        <v>0</v>
      </c>
      <c r="R253" s="32">
        <f>VLOOKUP($A253,$A$4:$O$28,2,0)*(HLOOKUP(R$252,'2.2.Brecha Efectiva x UdM'!$H$64:$AK$71,2,0))</f>
        <v>0</v>
      </c>
      <c r="S253" s="32">
        <f>VLOOKUP($A253,$A$4:$O$28,2,0)*(HLOOKUP(S$252,'2.2.Brecha Efectiva x UdM'!$H$64:$AK$71,2,0))</f>
        <v>0</v>
      </c>
      <c r="T253" s="32">
        <f>VLOOKUP($A253,$A$4:$O$28,2,0)*(HLOOKUP(T$252,'2.2.Brecha Efectiva x UdM'!$H$64:$AK$71,2,0))</f>
        <v>0</v>
      </c>
      <c r="U253" s="32">
        <f>VLOOKUP($A253,$A$4:$O$28,2,0)*(HLOOKUP(U$252,'2.2.Brecha Efectiva x UdM'!$H$64:$AK$71,2,0))</f>
        <v>0</v>
      </c>
      <c r="V253" s="32">
        <f>VLOOKUP($A253,$A$4:$O$28,2,0)*(HLOOKUP(V$252,'2.2.Brecha Efectiva x UdM'!$H$64:$AK$71,2,0))</f>
        <v>0</v>
      </c>
      <c r="W253" s="32">
        <f>VLOOKUP($A253,$A$4:$O$28,2,0)*(HLOOKUP(W$252,'2.2.Brecha Efectiva x UdM'!$H$64:$AK$71,2,0))</f>
        <v>0</v>
      </c>
      <c r="X253" s="32">
        <f>VLOOKUP($A253,$A$4:$O$28,2,0)*(HLOOKUP(X$252,'2.2.Brecha Efectiva x UdM'!$H$64:$AK$71,2,0))</f>
        <v>0</v>
      </c>
      <c r="Y253" s="32">
        <f>VLOOKUP($A253,$A$4:$O$28,2,0)*(HLOOKUP(Y$252,'2.2.Brecha Efectiva x UdM'!$H$64:$AK$71,2,0))</f>
        <v>0</v>
      </c>
      <c r="Z253" s="32">
        <f>VLOOKUP($A253,$A$4:$O$28,2,0)*(HLOOKUP(Z$252,'2.2.Brecha Efectiva x UdM'!$H$64:$AK$71,2,0))</f>
        <v>0</v>
      </c>
      <c r="AA253" s="32">
        <f>VLOOKUP($A253,$A$4:$O$28,2,0)*(HLOOKUP(AA$252,'2.2.Brecha Efectiva x UdM'!$H$64:$AK$71,2,0))</f>
        <v>0</v>
      </c>
      <c r="AB253" s="32">
        <f>VLOOKUP($A253,$A$4:$O$28,2,0)*(HLOOKUP(AB$252,'2.2.Brecha Efectiva x UdM'!$H$64:$AK$71,2,0))</f>
        <v>0</v>
      </c>
      <c r="AC253" s="32">
        <f>VLOOKUP($A253,$A$4:$O$28,2,0)*(HLOOKUP(AC$252,'2.2.Brecha Efectiva x UdM'!$H$64:$AK$71,2,0))</f>
        <v>0</v>
      </c>
      <c r="AD253" s="32">
        <f>VLOOKUP($A253,$A$4:$O$28,2,0)*(HLOOKUP(AD$252,'2.2.Brecha Efectiva x UdM'!$H$64:$AK$71,2,0))</f>
        <v>0</v>
      </c>
      <c r="AE253" s="32">
        <f>VLOOKUP($A253,$A$4:$O$28,2,0)*(HLOOKUP(AE$252,'2.2.Brecha Efectiva x UdM'!$H$64:$AK$71,2,0))</f>
        <v>0</v>
      </c>
      <c r="AF253" s="32">
        <f>VLOOKUP($A253,$A$4:$O$28,2,0)*(HLOOKUP(AF$252,'2.2.Brecha Efectiva x UdM'!$H$64:$AK$71,2,0))</f>
        <v>0</v>
      </c>
      <c r="AG253" s="32">
        <f>VLOOKUP($A253,$A$4:$O$28,2,0)*(HLOOKUP(AG$252,'2.2.Brecha Efectiva x UdM'!$H$64:$AK$71,2,0))</f>
        <v>0</v>
      </c>
      <c r="AH253" s="62">
        <f>SUM(D253:AG253)</f>
        <v>1657778718.1599352</v>
      </c>
    </row>
    <row r="254" spans="1:34" x14ac:dyDescent="0.2">
      <c r="A254" s="26" t="str">
        <f t="shared" si="258"/>
        <v>CABA</v>
      </c>
      <c r="B254" s="52" t="str">
        <f t="shared" ref="B254:B276" si="259">$C$3</f>
        <v>Nombre UdM 1</v>
      </c>
      <c r="C254" s="26" t="str">
        <f t="shared" ref="C254:C276" si="260">CONCATENATE(A254," ",B254)</f>
        <v>CABA Nombre UdM 1</v>
      </c>
      <c r="D254" s="31">
        <f>VLOOKUP($A254,$A$4:$O$28,2,0)*(HLOOKUP(D$252,'2.2.Brecha Efectiva x UdM'!$H$64:$AK$71,2,0))</f>
        <v>230762.17633568798</v>
      </c>
      <c r="E254" s="31">
        <f>VLOOKUP($A254,$A$4:$O$28,2,0)*(HLOOKUP(E$252,'2.2.Brecha Efectiva x UdM'!$H$64:$AK$71,2,0))</f>
        <v>232753.28747489455</v>
      </c>
      <c r="F254" s="31">
        <f>VLOOKUP($A254,$A$4:$O$28,2,0)*(HLOOKUP(F$252,'2.2.Brecha Efectiva x UdM'!$H$64:$AK$71,2,0))</f>
        <v>144531.88775321189</v>
      </c>
      <c r="G254" s="31">
        <f>VLOOKUP($A254,$A$4:$O$28,2,0)*(HLOOKUP(G$252,'2.2.Brecha Efectiva x UdM'!$H$64:$AK$71,2,0))</f>
        <v>114640.17801072951</v>
      </c>
      <c r="H254" s="31">
        <f>VLOOKUP($A254,$A$4:$O$28,2,0)*(HLOOKUP(H$252,'2.2.Brecha Efectiva x UdM'!$H$64:$AK$71,2,0))</f>
        <v>60474.045166831427</v>
      </c>
      <c r="I254" s="31">
        <f>VLOOKUP($A254,$A$4:$O$28,2,0)*(HLOOKUP(I$252,'2.2.Brecha Efectiva x UdM'!$H$64:$AK$71,2,0))</f>
        <v>60946.732854617781</v>
      </c>
      <c r="J254" s="31">
        <f>VLOOKUP($A254,$A$4:$O$28,2,0)*(HLOOKUP(J$252,'2.2.Brecha Efectiva x UdM'!$H$64:$AK$71,2,0))</f>
        <v>61411.085275559111</v>
      </c>
      <c r="K254" s="31">
        <f>VLOOKUP($A254,$A$4:$O$28,2,0)*(HLOOKUP(K$252,'2.2.Brecha Efectiva x UdM'!$H$64:$AK$71,2,0))</f>
        <v>57076.263088766194</v>
      </c>
      <c r="L254" s="31">
        <f>VLOOKUP($A254,$A$4:$O$28,2,0)*(HLOOKUP(L$252,'2.2.Brecha Efectiva x UdM'!$H$64:$AK$71,2,0))</f>
        <v>57489.74663849904</v>
      </c>
      <c r="M254" s="31">
        <f>VLOOKUP($A254,$A$4:$O$28,2,0)*(HLOOKUP(M$252,'2.2.Brecha Efectiva x UdM'!$H$64:$AK$71,2,0))</f>
        <v>57895.758277836117</v>
      </c>
      <c r="N254" s="31">
        <f>VLOOKUP($A254,$A$4:$O$28,2,0)*(HLOOKUP(N$252,'2.2.Brecha Efectiva x UdM'!$H$64:$AK$71,2,0))</f>
        <v>0</v>
      </c>
      <c r="O254" s="31">
        <f>VLOOKUP($A254,$A$4:$O$28,2,0)*(HLOOKUP(O$252,'2.2.Brecha Efectiva x UdM'!$H$64:$AK$71,2,0))</f>
        <v>0</v>
      </c>
      <c r="P254" s="31">
        <f>VLOOKUP($A254,$A$4:$O$28,2,0)*(HLOOKUP(P$252,'2.2.Brecha Efectiva x UdM'!$H$64:$AK$71,2,0))</f>
        <v>0</v>
      </c>
      <c r="Q254" s="31">
        <f>VLOOKUP($A254,$A$4:$O$28,2,0)*(HLOOKUP(Q$252,'2.2.Brecha Efectiva x UdM'!$H$64:$AK$71,2,0))</f>
        <v>0</v>
      </c>
      <c r="R254" s="31">
        <f>VLOOKUP($A254,$A$4:$O$28,2,0)*(HLOOKUP(R$252,'2.2.Brecha Efectiva x UdM'!$H$64:$AK$71,2,0))</f>
        <v>0</v>
      </c>
      <c r="S254" s="31">
        <f>VLOOKUP($A254,$A$4:$O$28,2,0)*(HLOOKUP(S$252,'2.2.Brecha Efectiva x UdM'!$H$64:$AK$71,2,0))</f>
        <v>0</v>
      </c>
      <c r="T254" s="31">
        <f>VLOOKUP($A254,$A$4:$O$28,2,0)*(HLOOKUP(T$252,'2.2.Brecha Efectiva x UdM'!$H$64:$AK$71,2,0))</f>
        <v>0</v>
      </c>
      <c r="U254" s="31">
        <f>VLOOKUP($A254,$A$4:$O$28,2,0)*(HLOOKUP(U$252,'2.2.Brecha Efectiva x UdM'!$H$64:$AK$71,2,0))</f>
        <v>0</v>
      </c>
      <c r="V254" s="31">
        <f>VLOOKUP($A254,$A$4:$O$28,2,0)*(HLOOKUP(V$252,'2.2.Brecha Efectiva x UdM'!$H$64:$AK$71,2,0))</f>
        <v>0</v>
      </c>
      <c r="W254" s="31">
        <f>VLOOKUP($A254,$A$4:$O$28,2,0)*(HLOOKUP(W$252,'2.2.Brecha Efectiva x UdM'!$H$64:$AK$71,2,0))</f>
        <v>0</v>
      </c>
      <c r="X254" s="31">
        <f>VLOOKUP($A254,$A$4:$O$28,2,0)*(HLOOKUP(X$252,'2.2.Brecha Efectiva x UdM'!$H$64:$AK$71,2,0))</f>
        <v>0</v>
      </c>
      <c r="Y254" s="31">
        <f>VLOOKUP($A254,$A$4:$O$28,2,0)*(HLOOKUP(Y$252,'2.2.Brecha Efectiva x UdM'!$H$64:$AK$71,2,0))</f>
        <v>0</v>
      </c>
      <c r="Z254" s="31">
        <f>VLOOKUP($A254,$A$4:$O$28,2,0)*(HLOOKUP(Z$252,'2.2.Brecha Efectiva x UdM'!$H$64:$AK$71,2,0))</f>
        <v>0</v>
      </c>
      <c r="AA254" s="31">
        <f>VLOOKUP($A254,$A$4:$O$28,2,0)*(HLOOKUP(AA$252,'2.2.Brecha Efectiva x UdM'!$H$64:$AK$71,2,0))</f>
        <v>0</v>
      </c>
      <c r="AB254" s="31">
        <f>VLOOKUP($A254,$A$4:$O$28,2,0)*(HLOOKUP(AB$252,'2.2.Brecha Efectiva x UdM'!$H$64:$AK$71,2,0))</f>
        <v>0</v>
      </c>
      <c r="AC254" s="31">
        <f>VLOOKUP($A254,$A$4:$O$28,2,0)*(HLOOKUP(AC$252,'2.2.Brecha Efectiva x UdM'!$H$64:$AK$71,2,0))</f>
        <v>0</v>
      </c>
      <c r="AD254" s="31">
        <f>VLOOKUP($A254,$A$4:$O$28,2,0)*(HLOOKUP(AD$252,'2.2.Brecha Efectiva x UdM'!$H$64:$AK$71,2,0))</f>
        <v>0</v>
      </c>
      <c r="AE254" s="31">
        <f>VLOOKUP($A254,$A$4:$O$28,2,0)*(HLOOKUP(AE$252,'2.2.Brecha Efectiva x UdM'!$H$64:$AK$71,2,0))</f>
        <v>0</v>
      </c>
      <c r="AF254" s="31">
        <f>VLOOKUP($A254,$A$4:$O$28,2,0)*(HLOOKUP(AF$252,'2.2.Brecha Efectiva x UdM'!$H$64:$AK$71,2,0))</f>
        <v>0</v>
      </c>
      <c r="AG254" s="31">
        <f>VLOOKUP($A254,$A$4:$O$28,2,0)*(HLOOKUP(AG$252,'2.2.Brecha Efectiva x UdM'!$H$64:$AK$71,2,0))</f>
        <v>0</v>
      </c>
      <c r="AH254" s="63">
        <f>SUM(D254:AG254)</f>
        <v>1077981.1608766336</v>
      </c>
    </row>
    <row r="255" spans="1:34" x14ac:dyDescent="0.2">
      <c r="A255" s="25" t="str">
        <f t="shared" si="258"/>
        <v>Catamarca</v>
      </c>
      <c r="B255" s="51" t="str">
        <f t="shared" si="259"/>
        <v>Nombre UdM 1</v>
      </c>
      <c r="C255" s="25" t="str">
        <f t="shared" si="260"/>
        <v>Catamarca Nombre UdM 1</v>
      </c>
      <c r="D255" s="32">
        <f>VLOOKUP($A255,$A$4:$O$28,2,0)*(HLOOKUP(D$252,'2.2.Brecha Efectiva x UdM'!$H$64:$AK$71,2,0))</f>
        <v>89682696.661227018</v>
      </c>
      <c r="E255" s="32">
        <f>VLOOKUP($A255,$A$4:$O$28,2,0)*(HLOOKUP(E$252,'2.2.Brecha Efectiva x UdM'!$H$64:$AK$71,2,0))</f>
        <v>90456515.920309097</v>
      </c>
      <c r="F255" s="32">
        <f>VLOOKUP($A255,$A$4:$O$28,2,0)*(HLOOKUP(F$252,'2.2.Brecha Efectiva x UdM'!$H$64:$AK$71,2,0))</f>
        <v>56170424.690353401</v>
      </c>
      <c r="G255" s="32">
        <f>VLOOKUP($A255,$A$4:$O$28,2,0)*(HLOOKUP(G$252,'2.2.Brecha Efectiva x UdM'!$H$64:$AK$71,2,0))</f>
        <v>44553403.30457484</v>
      </c>
      <c r="H255" s="32">
        <f>VLOOKUP($A255,$A$4:$O$28,2,0)*(HLOOKUP(H$252,'2.2.Brecha Efectiva x UdM'!$H$64:$AK$71,2,0))</f>
        <v>23502445.39505814</v>
      </c>
      <c r="I255" s="32">
        <f>VLOOKUP($A255,$A$4:$O$28,2,0)*(HLOOKUP(I$252,'2.2.Brecha Efectiva x UdM'!$H$64:$AK$71,2,0))</f>
        <v>23686149.272324286</v>
      </c>
      <c r="J255" s="32">
        <f>VLOOKUP($A255,$A$4:$O$28,2,0)*(HLOOKUP(J$252,'2.2.Brecha Efectiva x UdM'!$H$64:$AK$71,2,0))</f>
        <v>23866613.757329874</v>
      </c>
      <c r="K255" s="32">
        <f>VLOOKUP($A255,$A$4:$O$28,2,0)*(HLOOKUP(K$252,'2.2.Brecha Efectiva x UdM'!$H$64:$AK$71,2,0))</f>
        <v>22181941.904118616</v>
      </c>
      <c r="L255" s="32">
        <f>VLOOKUP($A255,$A$4:$O$28,2,0)*(HLOOKUP(L$252,'2.2.Brecha Efectiva x UdM'!$H$64:$AK$71,2,0))</f>
        <v>22342636.868752487</v>
      </c>
      <c r="M255" s="32">
        <f>VLOOKUP($A255,$A$4:$O$28,2,0)*(HLOOKUP(M$252,'2.2.Brecha Efectiva x UdM'!$H$64:$AK$71,2,0))</f>
        <v>22500427.973299127</v>
      </c>
      <c r="N255" s="32">
        <f>VLOOKUP($A255,$A$4:$O$28,2,0)*(HLOOKUP(N$252,'2.2.Brecha Efectiva x UdM'!$H$64:$AK$71,2,0))</f>
        <v>0</v>
      </c>
      <c r="O255" s="32">
        <f>VLOOKUP($A255,$A$4:$O$28,2,0)*(HLOOKUP(O$252,'2.2.Brecha Efectiva x UdM'!$H$64:$AK$71,2,0))</f>
        <v>0</v>
      </c>
      <c r="P255" s="32">
        <f>VLOOKUP($A255,$A$4:$O$28,2,0)*(HLOOKUP(P$252,'2.2.Brecha Efectiva x UdM'!$H$64:$AK$71,2,0))</f>
        <v>0</v>
      </c>
      <c r="Q255" s="32">
        <f>VLOOKUP($A255,$A$4:$O$28,2,0)*(HLOOKUP(Q$252,'2.2.Brecha Efectiva x UdM'!$H$64:$AK$71,2,0))</f>
        <v>0</v>
      </c>
      <c r="R255" s="32">
        <f>VLOOKUP($A255,$A$4:$O$28,2,0)*(HLOOKUP(R$252,'2.2.Brecha Efectiva x UdM'!$H$64:$AK$71,2,0))</f>
        <v>0</v>
      </c>
      <c r="S255" s="32">
        <f>VLOOKUP($A255,$A$4:$O$28,2,0)*(HLOOKUP(S$252,'2.2.Brecha Efectiva x UdM'!$H$64:$AK$71,2,0))</f>
        <v>0</v>
      </c>
      <c r="T255" s="32">
        <f>VLOOKUP($A255,$A$4:$O$28,2,0)*(HLOOKUP(T$252,'2.2.Brecha Efectiva x UdM'!$H$64:$AK$71,2,0))</f>
        <v>0</v>
      </c>
      <c r="U255" s="32">
        <f>VLOOKUP($A255,$A$4:$O$28,2,0)*(HLOOKUP(U$252,'2.2.Brecha Efectiva x UdM'!$H$64:$AK$71,2,0))</f>
        <v>0</v>
      </c>
      <c r="V255" s="32">
        <f>VLOOKUP($A255,$A$4:$O$28,2,0)*(HLOOKUP(V$252,'2.2.Brecha Efectiva x UdM'!$H$64:$AK$71,2,0))</f>
        <v>0</v>
      </c>
      <c r="W255" s="32">
        <f>VLOOKUP($A255,$A$4:$O$28,2,0)*(HLOOKUP(W$252,'2.2.Brecha Efectiva x UdM'!$H$64:$AK$71,2,0))</f>
        <v>0</v>
      </c>
      <c r="X255" s="32">
        <f>VLOOKUP($A255,$A$4:$O$28,2,0)*(HLOOKUP(X$252,'2.2.Brecha Efectiva x UdM'!$H$64:$AK$71,2,0))</f>
        <v>0</v>
      </c>
      <c r="Y255" s="32">
        <f>VLOOKUP($A255,$A$4:$O$28,2,0)*(HLOOKUP(Y$252,'2.2.Brecha Efectiva x UdM'!$H$64:$AK$71,2,0))</f>
        <v>0</v>
      </c>
      <c r="Z255" s="32">
        <f>VLOOKUP($A255,$A$4:$O$28,2,0)*(HLOOKUP(Z$252,'2.2.Brecha Efectiva x UdM'!$H$64:$AK$71,2,0))</f>
        <v>0</v>
      </c>
      <c r="AA255" s="32">
        <f>VLOOKUP($A255,$A$4:$O$28,2,0)*(HLOOKUP(AA$252,'2.2.Brecha Efectiva x UdM'!$H$64:$AK$71,2,0))</f>
        <v>0</v>
      </c>
      <c r="AB255" s="32">
        <f>VLOOKUP($A255,$A$4:$O$28,2,0)*(HLOOKUP(AB$252,'2.2.Brecha Efectiva x UdM'!$H$64:$AK$71,2,0))</f>
        <v>0</v>
      </c>
      <c r="AC255" s="32">
        <f>VLOOKUP($A255,$A$4:$O$28,2,0)*(HLOOKUP(AC$252,'2.2.Brecha Efectiva x UdM'!$H$64:$AK$71,2,0))</f>
        <v>0</v>
      </c>
      <c r="AD255" s="32">
        <f>VLOOKUP($A255,$A$4:$O$28,2,0)*(HLOOKUP(AD$252,'2.2.Brecha Efectiva x UdM'!$H$64:$AK$71,2,0))</f>
        <v>0</v>
      </c>
      <c r="AE255" s="32">
        <f>VLOOKUP($A255,$A$4:$O$28,2,0)*(HLOOKUP(AE$252,'2.2.Brecha Efectiva x UdM'!$H$64:$AK$71,2,0))</f>
        <v>0</v>
      </c>
      <c r="AF255" s="32">
        <f>VLOOKUP($A255,$A$4:$O$28,2,0)*(HLOOKUP(AF$252,'2.2.Brecha Efectiva x UdM'!$H$64:$AK$71,2,0))</f>
        <v>0</v>
      </c>
      <c r="AG255" s="32">
        <f>VLOOKUP($A255,$A$4:$O$28,2,0)*(HLOOKUP(AG$252,'2.2.Brecha Efectiva x UdM'!$H$64:$AK$71,2,0))</f>
        <v>0</v>
      </c>
      <c r="AH255" s="62">
        <f t="shared" ref="AH255:AH277" si="261">SUM(D255:AG255)</f>
        <v>418943255.74734688</v>
      </c>
    </row>
    <row r="256" spans="1:34" x14ac:dyDescent="0.2">
      <c r="A256" s="26" t="str">
        <f t="shared" si="258"/>
        <v>Chaco</v>
      </c>
      <c r="B256" s="52" t="str">
        <f t="shared" si="259"/>
        <v>Nombre UdM 1</v>
      </c>
      <c r="C256" s="26" t="str">
        <f t="shared" si="260"/>
        <v>Chaco Nombre UdM 1</v>
      </c>
      <c r="D256" s="31">
        <f>VLOOKUP($A256,$A$4:$O$28,2,0)*(HLOOKUP(D$252,'2.2.Brecha Efectiva x UdM'!$H$64:$AK$71,2,0))</f>
        <v>51479326.47598239</v>
      </c>
      <c r="E256" s="31">
        <f>VLOOKUP($A256,$A$4:$O$28,2,0)*(HLOOKUP(E$252,'2.2.Brecha Efectiva x UdM'!$H$64:$AK$71,2,0))</f>
        <v>51923511.316032052</v>
      </c>
      <c r="F256" s="31">
        <f>VLOOKUP($A256,$A$4:$O$28,2,0)*(HLOOKUP(F$252,'2.2.Brecha Efectiva x UdM'!$H$64:$AK$71,2,0))</f>
        <v>32242737.323703069</v>
      </c>
      <c r="G256" s="31">
        <f>VLOOKUP($A256,$A$4:$O$28,2,0)*(HLOOKUP(G$252,'2.2.Brecha Efectiva x UdM'!$H$64:$AK$71,2,0))</f>
        <v>25574378.109929379</v>
      </c>
      <c r="H256" s="31">
        <f>VLOOKUP($A256,$A$4:$O$28,2,0)*(HLOOKUP(H$252,'2.2.Brecha Efectiva x UdM'!$H$64:$AK$71,2,0))</f>
        <v>13490785.898716457</v>
      </c>
      <c r="I256" s="31">
        <f>VLOOKUP($A256,$A$4:$O$28,2,0)*(HLOOKUP(I$252,'2.2.Brecha Efectiva x UdM'!$H$64:$AK$71,2,0))</f>
        <v>13596234.912012869</v>
      </c>
      <c r="J256" s="31">
        <f>VLOOKUP($A256,$A$4:$O$28,2,0)*(HLOOKUP(J$252,'2.2.Brecha Efectiva x UdM'!$H$64:$AK$71,2,0))</f>
        <v>13699824.461466495</v>
      </c>
      <c r="K256" s="31">
        <f>VLOOKUP($A256,$A$4:$O$28,2,0)*(HLOOKUP(K$252,'2.2.Brecha Efectiva x UdM'!$H$64:$AK$71,2,0))</f>
        <v>12732795.418350587</v>
      </c>
      <c r="L256" s="31">
        <f>VLOOKUP($A256,$A$4:$O$28,2,0)*(HLOOKUP(L$252,'2.2.Brecha Efectiva x UdM'!$H$64:$AK$71,2,0))</f>
        <v>12825036.941580897</v>
      </c>
      <c r="M256" s="31">
        <f>VLOOKUP($A256,$A$4:$O$28,2,0)*(HLOOKUP(M$252,'2.2.Brecha Efectiva x UdM'!$H$64:$AK$71,2,0))</f>
        <v>12915611.601892982</v>
      </c>
      <c r="N256" s="31">
        <f>VLOOKUP($A256,$A$4:$O$28,2,0)*(HLOOKUP(N$252,'2.2.Brecha Efectiva x UdM'!$H$64:$AK$71,2,0))</f>
        <v>0</v>
      </c>
      <c r="O256" s="31">
        <f>VLOOKUP($A256,$A$4:$O$28,2,0)*(HLOOKUP(O$252,'2.2.Brecha Efectiva x UdM'!$H$64:$AK$71,2,0))</f>
        <v>0</v>
      </c>
      <c r="P256" s="31">
        <f>VLOOKUP($A256,$A$4:$O$28,2,0)*(HLOOKUP(P$252,'2.2.Brecha Efectiva x UdM'!$H$64:$AK$71,2,0))</f>
        <v>0</v>
      </c>
      <c r="Q256" s="31">
        <f>VLOOKUP($A256,$A$4:$O$28,2,0)*(HLOOKUP(Q$252,'2.2.Brecha Efectiva x UdM'!$H$64:$AK$71,2,0))</f>
        <v>0</v>
      </c>
      <c r="R256" s="31">
        <f>VLOOKUP($A256,$A$4:$O$28,2,0)*(HLOOKUP(R$252,'2.2.Brecha Efectiva x UdM'!$H$64:$AK$71,2,0))</f>
        <v>0</v>
      </c>
      <c r="S256" s="31">
        <f>VLOOKUP($A256,$A$4:$O$28,2,0)*(HLOOKUP(S$252,'2.2.Brecha Efectiva x UdM'!$H$64:$AK$71,2,0))</f>
        <v>0</v>
      </c>
      <c r="T256" s="31">
        <f>VLOOKUP($A256,$A$4:$O$28,2,0)*(HLOOKUP(T$252,'2.2.Brecha Efectiva x UdM'!$H$64:$AK$71,2,0))</f>
        <v>0</v>
      </c>
      <c r="U256" s="31">
        <f>VLOOKUP($A256,$A$4:$O$28,2,0)*(HLOOKUP(U$252,'2.2.Brecha Efectiva x UdM'!$H$64:$AK$71,2,0))</f>
        <v>0</v>
      </c>
      <c r="V256" s="31">
        <f>VLOOKUP($A256,$A$4:$O$28,2,0)*(HLOOKUP(V$252,'2.2.Brecha Efectiva x UdM'!$H$64:$AK$71,2,0))</f>
        <v>0</v>
      </c>
      <c r="W256" s="31">
        <f>VLOOKUP($A256,$A$4:$O$28,2,0)*(HLOOKUP(W$252,'2.2.Brecha Efectiva x UdM'!$H$64:$AK$71,2,0))</f>
        <v>0</v>
      </c>
      <c r="X256" s="31">
        <f>VLOOKUP($A256,$A$4:$O$28,2,0)*(HLOOKUP(X$252,'2.2.Brecha Efectiva x UdM'!$H$64:$AK$71,2,0))</f>
        <v>0</v>
      </c>
      <c r="Y256" s="31">
        <f>VLOOKUP($A256,$A$4:$O$28,2,0)*(HLOOKUP(Y$252,'2.2.Brecha Efectiva x UdM'!$H$64:$AK$71,2,0))</f>
        <v>0</v>
      </c>
      <c r="Z256" s="31">
        <f>VLOOKUP($A256,$A$4:$O$28,2,0)*(HLOOKUP(Z$252,'2.2.Brecha Efectiva x UdM'!$H$64:$AK$71,2,0))</f>
        <v>0</v>
      </c>
      <c r="AA256" s="31">
        <f>VLOOKUP($A256,$A$4:$O$28,2,0)*(HLOOKUP(AA$252,'2.2.Brecha Efectiva x UdM'!$H$64:$AK$71,2,0))</f>
        <v>0</v>
      </c>
      <c r="AB256" s="31">
        <f>VLOOKUP($A256,$A$4:$O$28,2,0)*(HLOOKUP(AB$252,'2.2.Brecha Efectiva x UdM'!$H$64:$AK$71,2,0))</f>
        <v>0</v>
      </c>
      <c r="AC256" s="31">
        <f>VLOOKUP($A256,$A$4:$O$28,2,0)*(HLOOKUP(AC$252,'2.2.Brecha Efectiva x UdM'!$H$64:$AK$71,2,0))</f>
        <v>0</v>
      </c>
      <c r="AD256" s="31">
        <f>VLOOKUP($A256,$A$4:$O$28,2,0)*(HLOOKUP(AD$252,'2.2.Brecha Efectiva x UdM'!$H$64:$AK$71,2,0))</f>
        <v>0</v>
      </c>
      <c r="AE256" s="31">
        <f>VLOOKUP($A256,$A$4:$O$28,2,0)*(HLOOKUP(AE$252,'2.2.Brecha Efectiva x UdM'!$H$64:$AK$71,2,0))</f>
        <v>0</v>
      </c>
      <c r="AF256" s="31">
        <f>VLOOKUP($A256,$A$4:$O$28,2,0)*(HLOOKUP(AF$252,'2.2.Brecha Efectiva x UdM'!$H$64:$AK$71,2,0))</f>
        <v>0</v>
      </c>
      <c r="AG256" s="31">
        <f>VLOOKUP($A256,$A$4:$O$28,2,0)*(HLOOKUP(AG$252,'2.2.Brecha Efectiva x UdM'!$H$64:$AK$71,2,0))</f>
        <v>0</v>
      </c>
      <c r="AH256" s="63">
        <f t="shared" si="261"/>
        <v>240480242.45966718</v>
      </c>
    </row>
    <row r="257" spans="1:34" x14ac:dyDescent="0.2">
      <c r="A257" s="25" t="str">
        <f t="shared" si="258"/>
        <v>Chubut</v>
      </c>
      <c r="B257" s="51" t="str">
        <f t="shared" si="259"/>
        <v>Nombre UdM 1</v>
      </c>
      <c r="C257" s="25" t="str">
        <f t="shared" si="260"/>
        <v>Chubut Nombre UdM 1</v>
      </c>
      <c r="D257" s="32">
        <f>VLOOKUP($A257,$A$4:$O$28,2,0)*(HLOOKUP(D$252,'2.2.Brecha Efectiva x UdM'!$H$64:$AK$71,2,0))</f>
        <v>714510812.14898777</v>
      </c>
      <c r="E257" s="32">
        <f>VLOOKUP($A257,$A$4:$O$28,2,0)*(HLOOKUP(E$252,'2.2.Brecha Efectiva x UdM'!$H$64:$AK$71,2,0))</f>
        <v>720675905.83870852</v>
      </c>
      <c r="F257" s="32">
        <f>VLOOKUP($A257,$A$4:$O$28,2,0)*(HLOOKUP(F$252,'2.2.Brecha Efectiva x UdM'!$H$64:$AK$71,2,0))</f>
        <v>447515265.02223772</v>
      </c>
      <c r="G257" s="32">
        <f>VLOOKUP($A257,$A$4:$O$28,2,0)*(HLOOKUP(G$252,'2.2.Brecha Efectiva x UdM'!$H$64:$AK$71,2,0))</f>
        <v>354961319.90103364</v>
      </c>
      <c r="H257" s="32">
        <f>VLOOKUP($A257,$A$4:$O$28,2,0)*(HLOOKUP(H$252,'2.2.Brecha Efectiva x UdM'!$H$64:$AK$71,2,0))</f>
        <v>187246280.18428358</v>
      </c>
      <c r="I257" s="32">
        <f>VLOOKUP($A257,$A$4:$O$28,2,0)*(HLOOKUP(I$252,'2.2.Brecha Efectiva x UdM'!$H$64:$AK$71,2,0))</f>
        <v>188709866.93431383</v>
      </c>
      <c r="J257" s="32">
        <f>VLOOKUP($A257,$A$4:$O$28,2,0)*(HLOOKUP(J$252,'2.2.Brecha Efectiva x UdM'!$H$64:$AK$71,2,0))</f>
        <v>190147645.12950426</v>
      </c>
      <c r="K257" s="32">
        <f>VLOOKUP($A257,$A$4:$O$28,2,0)*(HLOOKUP(K$252,'2.2.Brecha Efectiva x UdM'!$H$64:$AK$71,2,0))</f>
        <v>176725699.77264789</v>
      </c>
      <c r="L257" s="32">
        <f>VLOOKUP($A257,$A$4:$O$28,2,0)*(HLOOKUP(L$252,'2.2.Brecha Efectiva x UdM'!$H$64:$AK$71,2,0))</f>
        <v>178005972.26626524</v>
      </c>
      <c r="M257" s="32">
        <f>VLOOKUP($A257,$A$4:$O$28,2,0)*(HLOOKUP(M$252,'2.2.Brecha Efectiva x UdM'!$H$64:$AK$71,2,0))</f>
        <v>179263109.42267114</v>
      </c>
      <c r="N257" s="32">
        <f>VLOOKUP($A257,$A$4:$O$28,2,0)*(HLOOKUP(N$252,'2.2.Brecha Efectiva x UdM'!$H$64:$AK$71,2,0))</f>
        <v>0</v>
      </c>
      <c r="O257" s="32">
        <f>VLOOKUP($A257,$A$4:$O$28,2,0)*(HLOOKUP(O$252,'2.2.Brecha Efectiva x UdM'!$H$64:$AK$71,2,0))</f>
        <v>0</v>
      </c>
      <c r="P257" s="32">
        <f>VLOOKUP($A257,$A$4:$O$28,2,0)*(HLOOKUP(P$252,'2.2.Brecha Efectiva x UdM'!$H$64:$AK$71,2,0))</f>
        <v>0</v>
      </c>
      <c r="Q257" s="32">
        <f>VLOOKUP($A257,$A$4:$O$28,2,0)*(HLOOKUP(Q$252,'2.2.Brecha Efectiva x UdM'!$H$64:$AK$71,2,0))</f>
        <v>0</v>
      </c>
      <c r="R257" s="32">
        <f>VLOOKUP($A257,$A$4:$O$28,2,0)*(HLOOKUP(R$252,'2.2.Brecha Efectiva x UdM'!$H$64:$AK$71,2,0))</f>
        <v>0</v>
      </c>
      <c r="S257" s="32">
        <f>VLOOKUP($A257,$A$4:$O$28,2,0)*(HLOOKUP(S$252,'2.2.Brecha Efectiva x UdM'!$H$64:$AK$71,2,0))</f>
        <v>0</v>
      </c>
      <c r="T257" s="32">
        <f>VLOOKUP($A257,$A$4:$O$28,2,0)*(HLOOKUP(T$252,'2.2.Brecha Efectiva x UdM'!$H$64:$AK$71,2,0))</f>
        <v>0</v>
      </c>
      <c r="U257" s="32">
        <f>VLOOKUP($A257,$A$4:$O$28,2,0)*(HLOOKUP(U$252,'2.2.Brecha Efectiva x UdM'!$H$64:$AK$71,2,0))</f>
        <v>0</v>
      </c>
      <c r="V257" s="32">
        <f>VLOOKUP($A257,$A$4:$O$28,2,0)*(HLOOKUP(V$252,'2.2.Brecha Efectiva x UdM'!$H$64:$AK$71,2,0))</f>
        <v>0</v>
      </c>
      <c r="W257" s="32">
        <f>VLOOKUP($A257,$A$4:$O$28,2,0)*(HLOOKUP(W$252,'2.2.Brecha Efectiva x UdM'!$H$64:$AK$71,2,0))</f>
        <v>0</v>
      </c>
      <c r="X257" s="32">
        <f>VLOOKUP($A257,$A$4:$O$28,2,0)*(HLOOKUP(X$252,'2.2.Brecha Efectiva x UdM'!$H$64:$AK$71,2,0))</f>
        <v>0</v>
      </c>
      <c r="Y257" s="32">
        <f>VLOOKUP($A257,$A$4:$O$28,2,0)*(HLOOKUP(Y$252,'2.2.Brecha Efectiva x UdM'!$H$64:$AK$71,2,0))</f>
        <v>0</v>
      </c>
      <c r="Z257" s="32">
        <f>VLOOKUP($A257,$A$4:$O$28,2,0)*(HLOOKUP(Z$252,'2.2.Brecha Efectiva x UdM'!$H$64:$AK$71,2,0))</f>
        <v>0</v>
      </c>
      <c r="AA257" s="32">
        <f>VLOOKUP($A257,$A$4:$O$28,2,0)*(HLOOKUP(AA$252,'2.2.Brecha Efectiva x UdM'!$H$64:$AK$71,2,0))</f>
        <v>0</v>
      </c>
      <c r="AB257" s="32">
        <f>VLOOKUP($A257,$A$4:$O$28,2,0)*(HLOOKUP(AB$252,'2.2.Brecha Efectiva x UdM'!$H$64:$AK$71,2,0))</f>
        <v>0</v>
      </c>
      <c r="AC257" s="32">
        <f>VLOOKUP($A257,$A$4:$O$28,2,0)*(HLOOKUP(AC$252,'2.2.Brecha Efectiva x UdM'!$H$64:$AK$71,2,0))</f>
        <v>0</v>
      </c>
      <c r="AD257" s="32">
        <f>VLOOKUP($A257,$A$4:$O$28,2,0)*(HLOOKUP(AD$252,'2.2.Brecha Efectiva x UdM'!$H$64:$AK$71,2,0))</f>
        <v>0</v>
      </c>
      <c r="AE257" s="32">
        <f>VLOOKUP($A257,$A$4:$O$28,2,0)*(HLOOKUP(AE$252,'2.2.Brecha Efectiva x UdM'!$H$64:$AK$71,2,0))</f>
        <v>0</v>
      </c>
      <c r="AF257" s="32">
        <f>VLOOKUP($A257,$A$4:$O$28,2,0)*(HLOOKUP(AF$252,'2.2.Brecha Efectiva x UdM'!$H$64:$AK$71,2,0))</f>
        <v>0</v>
      </c>
      <c r="AG257" s="32">
        <f>VLOOKUP($A257,$A$4:$O$28,2,0)*(HLOOKUP(AG$252,'2.2.Brecha Efectiva x UdM'!$H$64:$AK$71,2,0))</f>
        <v>0</v>
      </c>
      <c r="AH257" s="62">
        <f t="shared" si="261"/>
        <v>3337761876.6206541</v>
      </c>
    </row>
    <row r="258" spans="1:34" x14ac:dyDescent="0.2">
      <c r="A258" s="26" t="str">
        <f t="shared" si="258"/>
        <v>Córdoba</v>
      </c>
      <c r="B258" s="52" t="str">
        <f t="shared" si="259"/>
        <v>Nombre UdM 1</v>
      </c>
      <c r="C258" s="26" t="str">
        <f t="shared" si="260"/>
        <v>Córdoba Nombre UdM 1</v>
      </c>
      <c r="D258" s="31">
        <f>VLOOKUP($A258,$A$4:$O$28,2,0)*(HLOOKUP(D$252,'2.2.Brecha Efectiva x UdM'!$H$64:$AK$71,2,0))</f>
        <v>153455927.27053639</v>
      </c>
      <c r="E258" s="31">
        <f>VLOOKUP($A258,$A$4:$O$28,2,0)*(HLOOKUP(E$252,'2.2.Brecha Efectiva x UdM'!$H$64:$AK$71,2,0))</f>
        <v>154780008.2400327</v>
      </c>
      <c r="F258" s="31">
        <f>VLOOKUP($A258,$A$4:$O$28,2,0)*(HLOOKUP(F$252,'2.2.Brecha Efectiva x UdM'!$H$64:$AK$71,2,0))</f>
        <v>96113129.142386794</v>
      </c>
      <c r="G258" s="31">
        <f>VLOOKUP($A258,$A$4:$O$28,2,0)*(HLOOKUP(G$252,'2.2.Brecha Efectiva x UdM'!$H$64:$AK$71,2,0))</f>
        <v>76235261.334615737</v>
      </c>
      <c r="H258" s="31">
        <f>VLOOKUP($A258,$A$4:$O$28,2,0)*(HLOOKUP(H$252,'2.2.Brecha Efectiva x UdM'!$H$64:$AK$71,2,0))</f>
        <v>40214998.940626748</v>
      </c>
      <c r="I258" s="31">
        <f>VLOOKUP($A258,$A$4:$O$28,2,0)*(HLOOKUP(I$252,'2.2.Brecha Efectiva x UdM'!$H$64:$AK$71,2,0))</f>
        <v>40529334.368513778</v>
      </c>
      <c r="J258" s="31">
        <f>VLOOKUP($A258,$A$4:$O$28,2,0)*(HLOOKUP(J$252,'2.2.Brecha Efectiva x UdM'!$H$64:$AK$71,2,0))</f>
        <v>40838126.877179556</v>
      </c>
      <c r="K258" s="31">
        <f>VLOOKUP($A258,$A$4:$O$28,2,0)*(HLOOKUP(K$252,'2.2.Brecha Efectiva x UdM'!$H$64:$AK$71,2,0))</f>
        <v>37955487.404844478</v>
      </c>
      <c r="L258" s="31">
        <f>VLOOKUP($A258,$A$4:$O$28,2,0)*(HLOOKUP(L$252,'2.2.Brecha Efectiva x UdM'!$H$64:$AK$71,2,0))</f>
        <v>38230452.316958427</v>
      </c>
      <c r="M258" s="31">
        <f>VLOOKUP($A258,$A$4:$O$28,2,0)*(HLOOKUP(M$252,'2.2.Brecha Efectiva x UdM'!$H$64:$AK$71,2,0))</f>
        <v>38500448.438447885</v>
      </c>
      <c r="N258" s="31">
        <f>VLOOKUP($A258,$A$4:$O$28,2,0)*(HLOOKUP(N$252,'2.2.Brecha Efectiva x UdM'!$H$64:$AK$71,2,0))</f>
        <v>0</v>
      </c>
      <c r="O258" s="31">
        <f>VLOOKUP($A258,$A$4:$O$28,2,0)*(HLOOKUP(O$252,'2.2.Brecha Efectiva x UdM'!$H$64:$AK$71,2,0))</f>
        <v>0</v>
      </c>
      <c r="P258" s="31">
        <f>VLOOKUP($A258,$A$4:$O$28,2,0)*(HLOOKUP(P$252,'2.2.Brecha Efectiva x UdM'!$H$64:$AK$71,2,0))</f>
        <v>0</v>
      </c>
      <c r="Q258" s="31">
        <f>VLOOKUP($A258,$A$4:$O$28,2,0)*(HLOOKUP(Q$252,'2.2.Brecha Efectiva x UdM'!$H$64:$AK$71,2,0))</f>
        <v>0</v>
      </c>
      <c r="R258" s="31">
        <f>VLOOKUP($A258,$A$4:$O$28,2,0)*(HLOOKUP(R$252,'2.2.Brecha Efectiva x UdM'!$H$64:$AK$71,2,0))</f>
        <v>0</v>
      </c>
      <c r="S258" s="31">
        <f>VLOOKUP($A258,$A$4:$O$28,2,0)*(HLOOKUP(S$252,'2.2.Brecha Efectiva x UdM'!$H$64:$AK$71,2,0))</f>
        <v>0</v>
      </c>
      <c r="T258" s="31">
        <f>VLOOKUP($A258,$A$4:$O$28,2,0)*(HLOOKUP(T$252,'2.2.Brecha Efectiva x UdM'!$H$64:$AK$71,2,0))</f>
        <v>0</v>
      </c>
      <c r="U258" s="31">
        <f>VLOOKUP($A258,$A$4:$O$28,2,0)*(HLOOKUP(U$252,'2.2.Brecha Efectiva x UdM'!$H$64:$AK$71,2,0))</f>
        <v>0</v>
      </c>
      <c r="V258" s="31">
        <f>VLOOKUP($A258,$A$4:$O$28,2,0)*(HLOOKUP(V$252,'2.2.Brecha Efectiva x UdM'!$H$64:$AK$71,2,0))</f>
        <v>0</v>
      </c>
      <c r="W258" s="31">
        <f>VLOOKUP($A258,$A$4:$O$28,2,0)*(HLOOKUP(W$252,'2.2.Brecha Efectiva x UdM'!$H$64:$AK$71,2,0))</f>
        <v>0</v>
      </c>
      <c r="X258" s="31">
        <f>VLOOKUP($A258,$A$4:$O$28,2,0)*(HLOOKUP(X$252,'2.2.Brecha Efectiva x UdM'!$H$64:$AK$71,2,0))</f>
        <v>0</v>
      </c>
      <c r="Y258" s="31">
        <f>VLOOKUP($A258,$A$4:$O$28,2,0)*(HLOOKUP(Y$252,'2.2.Brecha Efectiva x UdM'!$H$64:$AK$71,2,0))</f>
        <v>0</v>
      </c>
      <c r="Z258" s="31">
        <f>VLOOKUP($A258,$A$4:$O$28,2,0)*(HLOOKUP(Z$252,'2.2.Brecha Efectiva x UdM'!$H$64:$AK$71,2,0))</f>
        <v>0</v>
      </c>
      <c r="AA258" s="31">
        <f>VLOOKUP($A258,$A$4:$O$28,2,0)*(HLOOKUP(AA$252,'2.2.Brecha Efectiva x UdM'!$H$64:$AK$71,2,0))</f>
        <v>0</v>
      </c>
      <c r="AB258" s="31">
        <f>VLOOKUP($A258,$A$4:$O$28,2,0)*(HLOOKUP(AB$252,'2.2.Brecha Efectiva x UdM'!$H$64:$AK$71,2,0))</f>
        <v>0</v>
      </c>
      <c r="AC258" s="31">
        <f>VLOOKUP($A258,$A$4:$O$28,2,0)*(HLOOKUP(AC$252,'2.2.Brecha Efectiva x UdM'!$H$64:$AK$71,2,0))</f>
        <v>0</v>
      </c>
      <c r="AD258" s="31">
        <f>VLOOKUP($A258,$A$4:$O$28,2,0)*(HLOOKUP(AD$252,'2.2.Brecha Efectiva x UdM'!$H$64:$AK$71,2,0))</f>
        <v>0</v>
      </c>
      <c r="AE258" s="31">
        <f>VLOOKUP($A258,$A$4:$O$28,2,0)*(HLOOKUP(AE$252,'2.2.Brecha Efectiva x UdM'!$H$64:$AK$71,2,0))</f>
        <v>0</v>
      </c>
      <c r="AF258" s="31">
        <f>VLOOKUP($A258,$A$4:$O$28,2,0)*(HLOOKUP(AF$252,'2.2.Brecha Efectiva x UdM'!$H$64:$AK$71,2,0))</f>
        <v>0</v>
      </c>
      <c r="AG258" s="31">
        <f>VLOOKUP($A258,$A$4:$O$28,2,0)*(HLOOKUP(AG$252,'2.2.Brecha Efectiva x UdM'!$H$64:$AK$71,2,0))</f>
        <v>0</v>
      </c>
      <c r="AH258" s="63">
        <f t="shared" si="261"/>
        <v>716853174.33414245</v>
      </c>
    </row>
    <row r="259" spans="1:34" x14ac:dyDescent="0.2">
      <c r="A259" s="25" t="str">
        <f t="shared" si="258"/>
        <v>Corrientes</v>
      </c>
      <c r="B259" s="51" t="str">
        <f t="shared" si="259"/>
        <v>Nombre UdM 1</v>
      </c>
      <c r="C259" s="25" t="str">
        <f t="shared" si="260"/>
        <v>Corrientes Nombre UdM 1</v>
      </c>
      <c r="D259" s="32">
        <f>VLOOKUP($A259,$A$4:$O$28,2,0)*(HLOOKUP(D$252,'2.2.Brecha Efectiva x UdM'!$H$64:$AK$71,2,0))</f>
        <v>45963684.353555702</v>
      </c>
      <c r="E259" s="32">
        <f>VLOOKUP($A259,$A$4:$O$28,2,0)*(HLOOKUP(E$252,'2.2.Brecha Efectiva x UdM'!$H$64:$AK$71,2,0))</f>
        <v>46360277.960742898</v>
      </c>
      <c r="F259" s="32">
        <f>VLOOKUP($A259,$A$4:$O$28,2,0)*(HLOOKUP(F$252,'2.2.Brecha Efectiva x UdM'!$H$64:$AK$71,2,0))</f>
        <v>28788158.324734878</v>
      </c>
      <c r="G259" s="32">
        <f>VLOOKUP($A259,$A$4:$O$28,2,0)*(HLOOKUP(G$252,'2.2.Brecha Efectiva x UdM'!$H$64:$AK$71,2,0))</f>
        <v>22834266.1695798</v>
      </c>
      <c r="H259" s="32">
        <f>VLOOKUP($A259,$A$4:$O$28,2,0)*(HLOOKUP(H$252,'2.2.Brecha Efectiva x UdM'!$H$64:$AK$71,2,0))</f>
        <v>12045344.552425407</v>
      </c>
      <c r="I259" s="32">
        <f>VLOOKUP($A259,$A$4:$O$28,2,0)*(HLOOKUP(I$252,'2.2.Brecha Efectiva x UdM'!$H$64:$AK$71,2,0))</f>
        <v>12139495.457154345</v>
      </c>
      <c r="J259" s="32">
        <f>VLOOKUP($A259,$A$4:$O$28,2,0)*(HLOOKUP(J$252,'2.2.Brecha Efectiva x UdM'!$H$64:$AK$71,2,0))</f>
        <v>12231986.126309367</v>
      </c>
      <c r="K259" s="32">
        <f>VLOOKUP($A259,$A$4:$O$28,2,0)*(HLOOKUP(K$252,'2.2.Brecha Efectiva x UdM'!$H$64:$AK$71,2,0))</f>
        <v>11368567.337813022</v>
      </c>
      <c r="L259" s="32">
        <f>VLOOKUP($A259,$A$4:$O$28,2,0)*(HLOOKUP(L$252,'2.2.Brecha Efectiva x UdM'!$H$64:$AK$71,2,0))</f>
        <v>11450925.840697227</v>
      </c>
      <c r="M259" s="32">
        <f>VLOOKUP($A259,$A$4:$O$28,2,0)*(HLOOKUP(M$252,'2.2.Brecha Efectiva x UdM'!$H$64:$AK$71,2,0))</f>
        <v>11531796.073118731</v>
      </c>
      <c r="N259" s="32">
        <f>VLOOKUP($A259,$A$4:$O$28,2,0)*(HLOOKUP(N$252,'2.2.Brecha Efectiva x UdM'!$H$64:$AK$71,2,0))</f>
        <v>0</v>
      </c>
      <c r="O259" s="32">
        <f>VLOOKUP($A259,$A$4:$O$28,2,0)*(HLOOKUP(O$252,'2.2.Brecha Efectiva x UdM'!$H$64:$AK$71,2,0))</f>
        <v>0</v>
      </c>
      <c r="P259" s="32">
        <f>VLOOKUP($A259,$A$4:$O$28,2,0)*(HLOOKUP(P$252,'2.2.Brecha Efectiva x UdM'!$H$64:$AK$71,2,0))</f>
        <v>0</v>
      </c>
      <c r="Q259" s="32">
        <f>VLOOKUP($A259,$A$4:$O$28,2,0)*(HLOOKUP(Q$252,'2.2.Brecha Efectiva x UdM'!$H$64:$AK$71,2,0))</f>
        <v>0</v>
      </c>
      <c r="R259" s="32">
        <f>VLOOKUP($A259,$A$4:$O$28,2,0)*(HLOOKUP(R$252,'2.2.Brecha Efectiva x UdM'!$H$64:$AK$71,2,0))</f>
        <v>0</v>
      </c>
      <c r="S259" s="32">
        <f>VLOOKUP($A259,$A$4:$O$28,2,0)*(HLOOKUP(S$252,'2.2.Brecha Efectiva x UdM'!$H$64:$AK$71,2,0))</f>
        <v>0</v>
      </c>
      <c r="T259" s="32">
        <f>VLOOKUP($A259,$A$4:$O$28,2,0)*(HLOOKUP(T$252,'2.2.Brecha Efectiva x UdM'!$H$64:$AK$71,2,0))</f>
        <v>0</v>
      </c>
      <c r="U259" s="32">
        <f>VLOOKUP($A259,$A$4:$O$28,2,0)*(HLOOKUP(U$252,'2.2.Brecha Efectiva x UdM'!$H$64:$AK$71,2,0))</f>
        <v>0</v>
      </c>
      <c r="V259" s="32">
        <f>VLOOKUP($A259,$A$4:$O$28,2,0)*(HLOOKUP(V$252,'2.2.Brecha Efectiva x UdM'!$H$64:$AK$71,2,0))</f>
        <v>0</v>
      </c>
      <c r="W259" s="32">
        <f>VLOOKUP($A259,$A$4:$O$28,2,0)*(HLOOKUP(W$252,'2.2.Brecha Efectiva x UdM'!$H$64:$AK$71,2,0))</f>
        <v>0</v>
      </c>
      <c r="X259" s="32">
        <f>VLOOKUP($A259,$A$4:$O$28,2,0)*(HLOOKUP(X$252,'2.2.Brecha Efectiva x UdM'!$H$64:$AK$71,2,0))</f>
        <v>0</v>
      </c>
      <c r="Y259" s="32">
        <f>VLOOKUP($A259,$A$4:$O$28,2,0)*(HLOOKUP(Y$252,'2.2.Brecha Efectiva x UdM'!$H$64:$AK$71,2,0))</f>
        <v>0</v>
      </c>
      <c r="Z259" s="32">
        <f>VLOOKUP($A259,$A$4:$O$28,2,0)*(HLOOKUP(Z$252,'2.2.Brecha Efectiva x UdM'!$H$64:$AK$71,2,0))</f>
        <v>0</v>
      </c>
      <c r="AA259" s="32">
        <f>VLOOKUP($A259,$A$4:$O$28,2,0)*(HLOOKUP(AA$252,'2.2.Brecha Efectiva x UdM'!$H$64:$AK$71,2,0))</f>
        <v>0</v>
      </c>
      <c r="AB259" s="32">
        <f>VLOOKUP($A259,$A$4:$O$28,2,0)*(HLOOKUP(AB$252,'2.2.Brecha Efectiva x UdM'!$H$64:$AK$71,2,0))</f>
        <v>0</v>
      </c>
      <c r="AC259" s="32">
        <f>VLOOKUP($A259,$A$4:$O$28,2,0)*(HLOOKUP(AC$252,'2.2.Brecha Efectiva x UdM'!$H$64:$AK$71,2,0))</f>
        <v>0</v>
      </c>
      <c r="AD259" s="32">
        <f>VLOOKUP($A259,$A$4:$O$28,2,0)*(HLOOKUP(AD$252,'2.2.Brecha Efectiva x UdM'!$H$64:$AK$71,2,0))</f>
        <v>0</v>
      </c>
      <c r="AE259" s="32">
        <f>VLOOKUP($A259,$A$4:$O$28,2,0)*(HLOOKUP(AE$252,'2.2.Brecha Efectiva x UdM'!$H$64:$AK$71,2,0))</f>
        <v>0</v>
      </c>
      <c r="AF259" s="32">
        <f>VLOOKUP($A259,$A$4:$O$28,2,0)*(HLOOKUP(AF$252,'2.2.Brecha Efectiva x UdM'!$H$64:$AK$71,2,0))</f>
        <v>0</v>
      </c>
      <c r="AG259" s="32">
        <f>VLOOKUP($A259,$A$4:$O$28,2,0)*(HLOOKUP(AG$252,'2.2.Brecha Efectiva x UdM'!$H$64:$AK$71,2,0))</f>
        <v>0</v>
      </c>
      <c r="AH259" s="62">
        <f t="shared" si="261"/>
        <v>214714502.19613135</v>
      </c>
    </row>
    <row r="260" spans="1:34" x14ac:dyDescent="0.2">
      <c r="A260" s="26" t="str">
        <f t="shared" si="258"/>
        <v>Entre Ríos</v>
      </c>
      <c r="B260" s="52" t="str">
        <f t="shared" si="259"/>
        <v>Nombre UdM 1</v>
      </c>
      <c r="C260" s="26" t="str">
        <f t="shared" si="260"/>
        <v>Entre Ríos Nombre UdM 1</v>
      </c>
      <c r="D260" s="31">
        <f>VLOOKUP($A260,$A$4:$O$28,2,0)*(HLOOKUP(D$252,'2.2.Brecha Efectiva x UdM'!$H$64:$AK$71,2,0))</f>
        <v>90898375.069509178</v>
      </c>
      <c r="E260" s="31">
        <f>VLOOKUP($A260,$A$4:$O$28,2,0)*(HLOOKUP(E$252,'2.2.Brecha Efectiva x UdM'!$H$64:$AK$71,2,0))</f>
        <v>91682683.702798337</v>
      </c>
      <c r="F260" s="31">
        <f>VLOOKUP($A260,$A$4:$O$28,2,0)*(HLOOKUP(F$252,'2.2.Brecha Efectiva x UdM'!$H$64:$AK$71,2,0))</f>
        <v>56931833.245428935</v>
      </c>
      <c r="G260" s="31">
        <f>VLOOKUP($A260,$A$4:$O$28,2,0)*(HLOOKUP(G$252,'2.2.Brecha Efectiva x UdM'!$H$64:$AK$71,2,0))</f>
        <v>45157339.31931641</v>
      </c>
      <c r="H260" s="31">
        <f>VLOOKUP($A260,$A$4:$O$28,2,0)*(HLOOKUP(H$252,'2.2.Brecha Efectiva x UdM'!$H$64:$AK$71,2,0))</f>
        <v>23821028.761440735</v>
      </c>
      <c r="I260" s="31">
        <f>VLOOKUP($A260,$A$4:$O$28,2,0)*(HLOOKUP(I$252,'2.2.Brecha Efectiva x UdM'!$H$64:$AK$71,2,0))</f>
        <v>24007222.805098217</v>
      </c>
      <c r="J260" s="31">
        <f>VLOOKUP($A260,$A$4:$O$28,2,0)*(HLOOKUP(J$252,'2.2.Brecha Efectiva x UdM'!$H$64:$AK$71,2,0))</f>
        <v>24190133.545469113</v>
      </c>
      <c r="K260" s="31">
        <f>VLOOKUP($A260,$A$4:$O$28,2,0)*(HLOOKUP(K$252,'2.2.Brecha Efectiva x UdM'!$H$64:$AK$71,2,0))</f>
        <v>22482625.41198045</v>
      </c>
      <c r="L260" s="31">
        <f>VLOOKUP($A260,$A$4:$O$28,2,0)*(HLOOKUP(L$252,'2.2.Brecha Efectiva x UdM'!$H$64:$AK$71,2,0))</f>
        <v>22645498.649637967</v>
      </c>
      <c r="M260" s="31">
        <f>VLOOKUP($A260,$A$4:$O$28,2,0)*(HLOOKUP(M$252,'2.2.Brecha Efectiva x UdM'!$H$64:$AK$71,2,0))</f>
        <v>22805428.664431039</v>
      </c>
      <c r="N260" s="31">
        <f>VLOOKUP($A260,$A$4:$O$28,2,0)*(HLOOKUP(N$252,'2.2.Brecha Efectiva x UdM'!$H$64:$AK$71,2,0))</f>
        <v>0</v>
      </c>
      <c r="O260" s="31">
        <f>VLOOKUP($A260,$A$4:$O$28,2,0)*(HLOOKUP(O$252,'2.2.Brecha Efectiva x UdM'!$H$64:$AK$71,2,0))</f>
        <v>0</v>
      </c>
      <c r="P260" s="31">
        <f>VLOOKUP($A260,$A$4:$O$28,2,0)*(HLOOKUP(P$252,'2.2.Brecha Efectiva x UdM'!$H$64:$AK$71,2,0))</f>
        <v>0</v>
      </c>
      <c r="Q260" s="31">
        <f>VLOOKUP($A260,$A$4:$O$28,2,0)*(HLOOKUP(Q$252,'2.2.Brecha Efectiva x UdM'!$H$64:$AK$71,2,0))</f>
        <v>0</v>
      </c>
      <c r="R260" s="31">
        <f>VLOOKUP($A260,$A$4:$O$28,2,0)*(HLOOKUP(R$252,'2.2.Brecha Efectiva x UdM'!$H$64:$AK$71,2,0))</f>
        <v>0</v>
      </c>
      <c r="S260" s="31">
        <f>VLOOKUP($A260,$A$4:$O$28,2,0)*(HLOOKUP(S$252,'2.2.Brecha Efectiva x UdM'!$H$64:$AK$71,2,0))</f>
        <v>0</v>
      </c>
      <c r="T260" s="31">
        <f>VLOOKUP($A260,$A$4:$O$28,2,0)*(HLOOKUP(T$252,'2.2.Brecha Efectiva x UdM'!$H$64:$AK$71,2,0))</f>
        <v>0</v>
      </c>
      <c r="U260" s="31">
        <f>VLOOKUP($A260,$A$4:$O$28,2,0)*(HLOOKUP(U$252,'2.2.Brecha Efectiva x UdM'!$H$64:$AK$71,2,0))</f>
        <v>0</v>
      </c>
      <c r="V260" s="31">
        <f>VLOOKUP($A260,$A$4:$O$28,2,0)*(HLOOKUP(V$252,'2.2.Brecha Efectiva x UdM'!$H$64:$AK$71,2,0))</f>
        <v>0</v>
      </c>
      <c r="W260" s="31">
        <f>VLOOKUP($A260,$A$4:$O$28,2,0)*(HLOOKUP(W$252,'2.2.Brecha Efectiva x UdM'!$H$64:$AK$71,2,0))</f>
        <v>0</v>
      </c>
      <c r="X260" s="31">
        <f>VLOOKUP($A260,$A$4:$O$28,2,0)*(HLOOKUP(X$252,'2.2.Brecha Efectiva x UdM'!$H$64:$AK$71,2,0))</f>
        <v>0</v>
      </c>
      <c r="Y260" s="31">
        <f>VLOOKUP($A260,$A$4:$O$28,2,0)*(HLOOKUP(Y$252,'2.2.Brecha Efectiva x UdM'!$H$64:$AK$71,2,0))</f>
        <v>0</v>
      </c>
      <c r="Z260" s="31">
        <f>VLOOKUP($A260,$A$4:$O$28,2,0)*(HLOOKUP(Z$252,'2.2.Brecha Efectiva x UdM'!$H$64:$AK$71,2,0))</f>
        <v>0</v>
      </c>
      <c r="AA260" s="31">
        <f>VLOOKUP($A260,$A$4:$O$28,2,0)*(HLOOKUP(AA$252,'2.2.Brecha Efectiva x UdM'!$H$64:$AK$71,2,0))</f>
        <v>0</v>
      </c>
      <c r="AB260" s="31">
        <f>VLOOKUP($A260,$A$4:$O$28,2,0)*(HLOOKUP(AB$252,'2.2.Brecha Efectiva x UdM'!$H$64:$AK$71,2,0))</f>
        <v>0</v>
      </c>
      <c r="AC260" s="31">
        <f>VLOOKUP($A260,$A$4:$O$28,2,0)*(HLOOKUP(AC$252,'2.2.Brecha Efectiva x UdM'!$H$64:$AK$71,2,0))</f>
        <v>0</v>
      </c>
      <c r="AD260" s="31">
        <f>VLOOKUP($A260,$A$4:$O$28,2,0)*(HLOOKUP(AD$252,'2.2.Brecha Efectiva x UdM'!$H$64:$AK$71,2,0))</f>
        <v>0</v>
      </c>
      <c r="AE260" s="31">
        <f>VLOOKUP($A260,$A$4:$O$28,2,0)*(HLOOKUP(AE$252,'2.2.Brecha Efectiva x UdM'!$H$64:$AK$71,2,0))</f>
        <v>0</v>
      </c>
      <c r="AF260" s="31">
        <f>VLOOKUP($A260,$A$4:$O$28,2,0)*(HLOOKUP(AF$252,'2.2.Brecha Efectiva x UdM'!$H$64:$AK$71,2,0))</f>
        <v>0</v>
      </c>
      <c r="AG260" s="31">
        <f>VLOOKUP($A260,$A$4:$O$28,2,0)*(HLOOKUP(AG$252,'2.2.Brecha Efectiva x UdM'!$H$64:$AK$71,2,0))</f>
        <v>0</v>
      </c>
      <c r="AH260" s="63">
        <f t="shared" si="261"/>
        <v>424622169.1751104</v>
      </c>
    </row>
    <row r="261" spans="1:34" x14ac:dyDescent="0.2">
      <c r="A261" s="25" t="str">
        <f t="shared" si="258"/>
        <v>Formosa</v>
      </c>
      <c r="B261" s="51" t="str">
        <f t="shared" si="259"/>
        <v>Nombre UdM 1</v>
      </c>
      <c r="C261" s="25" t="str">
        <f t="shared" si="260"/>
        <v>Formosa Nombre UdM 1</v>
      </c>
      <c r="D261" s="32">
        <f>VLOOKUP($A261,$A$4:$O$28,2,0)*(HLOOKUP(D$252,'2.2.Brecha Efectiva x UdM'!$H$64:$AK$71,2,0))</f>
        <v>36770947.482844561</v>
      </c>
      <c r="E261" s="32">
        <f>VLOOKUP($A261,$A$4:$O$28,2,0)*(HLOOKUP(E$252,'2.2.Brecha Efectiva x UdM'!$H$64:$AK$71,2,0))</f>
        <v>37088222.368594319</v>
      </c>
      <c r="F261" s="32">
        <f>VLOOKUP($A261,$A$4:$O$28,2,0)*(HLOOKUP(F$252,'2.2.Brecha Efectiva x UdM'!$H$64:$AK$71,2,0))</f>
        <v>23030526.659787904</v>
      </c>
      <c r="G261" s="32">
        <f>VLOOKUP($A261,$A$4:$O$28,2,0)*(HLOOKUP(G$252,'2.2.Brecha Efectiva x UdM'!$H$64:$AK$71,2,0))</f>
        <v>18267412.935663842</v>
      </c>
      <c r="H261" s="32">
        <f>VLOOKUP($A261,$A$4:$O$28,2,0)*(HLOOKUP(H$252,'2.2.Brecha Efectiva x UdM'!$H$64:$AK$71,2,0))</f>
        <v>9636275.6419403255</v>
      </c>
      <c r="I261" s="32">
        <f>VLOOKUP($A261,$A$4:$O$28,2,0)*(HLOOKUP(I$252,'2.2.Brecha Efectiva x UdM'!$H$64:$AK$71,2,0))</f>
        <v>9711596.3657234777</v>
      </c>
      <c r="J261" s="32">
        <f>VLOOKUP($A261,$A$4:$O$28,2,0)*(HLOOKUP(J$252,'2.2.Brecha Efectiva x UdM'!$H$64:$AK$71,2,0))</f>
        <v>9785588.9010474943</v>
      </c>
      <c r="K261" s="32">
        <f>VLOOKUP($A261,$A$4:$O$28,2,0)*(HLOOKUP(K$252,'2.2.Brecha Efectiva x UdM'!$H$64:$AK$71,2,0))</f>
        <v>9094853.8702504188</v>
      </c>
      <c r="L261" s="32">
        <f>VLOOKUP($A261,$A$4:$O$28,2,0)*(HLOOKUP(L$252,'2.2.Brecha Efectiva x UdM'!$H$64:$AK$71,2,0))</f>
        <v>9160740.6725577824</v>
      </c>
      <c r="M261" s="32">
        <f>VLOOKUP($A261,$A$4:$O$28,2,0)*(HLOOKUP(M$252,'2.2.Brecha Efectiva x UdM'!$H$64:$AK$71,2,0))</f>
        <v>9225436.8584949858</v>
      </c>
      <c r="N261" s="32">
        <f>VLOOKUP($A261,$A$4:$O$28,2,0)*(HLOOKUP(N$252,'2.2.Brecha Efectiva x UdM'!$H$64:$AK$71,2,0))</f>
        <v>0</v>
      </c>
      <c r="O261" s="32">
        <f>VLOOKUP($A261,$A$4:$O$28,2,0)*(HLOOKUP(O$252,'2.2.Brecha Efectiva x UdM'!$H$64:$AK$71,2,0))</f>
        <v>0</v>
      </c>
      <c r="P261" s="32">
        <f>VLOOKUP($A261,$A$4:$O$28,2,0)*(HLOOKUP(P$252,'2.2.Brecha Efectiva x UdM'!$H$64:$AK$71,2,0))</f>
        <v>0</v>
      </c>
      <c r="Q261" s="32">
        <f>VLOOKUP($A261,$A$4:$O$28,2,0)*(HLOOKUP(Q$252,'2.2.Brecha Efectiva x UdM'!$H$64:$AK$71,2,0))</f>
        <v>0</v>
      </c>
      <c r="R261" s="32">
        <f>VLOOKUP($A261,$A$4:$O$28,2,0)*(HLOOKUP(R$252,'2.2.Brecha Efectiva x UdM'!$H$64:$AK$71,2,0))</f>
        <v>0</v>
      </c>
      <c r="S261" s="32">
        <f>VLOOKUP($A261,$A$4:$O$28,2,0)*(HLOOKUP(S$252,'2.2.Brecha Efectiva x UdM'!$H$64:$AK$71,2,0))</f>
        <v>0</v>
      </c>
      <c r="T261" s="32">
        <f>VLOOKUP($A261,$A$4:$O$28,2,0)*(HLOOKUP(T$252,'2.2.Brecha Efectiva x UdM'!$H$64:$AK$71,2,0))</f>
        <v>0</v>
      </c>
      <c r="U261" s="32">
        <f>VLOOKUP($A261,$A$4:$O$28,2,0)*(HLOOKUP(U$252,'2.2.Brecha Efectiva x UdM'!$H$64:$AK$71,2,0))</f>
        <v>0</v>
      </c>
      <c r="V261" s="32">
        <f>VLOOKUP($A261,$A$4:$O$28,2,0)*(HLOOKUP(V$252,'2.2.Brecha Efectiva x UdM'!$H$64:$AK$71,2,0))</f>
        <v>0</v>
      </c>
      <c r="W261" s="32">
        <f>VLOOKUP($A261,$A$4:$O$28,2,0)*(HLOOKUP(W$252,'2.2.Brecha Efectiva x UdM'!$H$64:$AK$71,2,0))</f>
        <v>0</v>
      </c>
      <c r="X261" s="32">
        <f>VLOOKUP($A261,$A$4:$O$28,2,0)*(HLOOKUP(X$252,'2.2.Brecha Efectiva x UdM'!$H$64:$AK$71,2,0))</f>
        <v>0</v>
      </c>
      <c r="Y261" s="32">
        <f>VLOOKUP($A261,$A$4:$O$28,2,0)*(HLOOKUP(Y$252,'2.2.Brecha Efectiva x UdM'!$H$64:$AK$71,2,0))</f>
        <v>0</v>
      </c>
      <c r="Z261" s="32">
        <f>VLOOKUP($A261,$A$4:$O$28,2,0)*(HLOOKUP(Z$252,'2.2.Brecha Efectiva x UdM'!$H$64:$AK$71,2,0))</f>
        <v>0</v>
      </c>
      <c r="AA261" s="32">
        <f>VLOOKUP($A261,$A$4:$O$28,2,0)*(HLOOKUP(AA$252,'2.2.Brecha Efectiva x UdM'!$H$64:$AK$71,2,0))</f>
        <v>0</v>
      </c>
      <c r="AB261" s="32">
        <f>VLOOKUP($A261,$A$4:$O$28,2,0)*(HLOOKUP(AB$252,'2.2.Brecha Efectiva x UdM'!$H$64:$AK$71,2,0))</f>
        <v>0</v>
      </c>
      <c r="AC261" s="32">
        <f>VLOOKUP($A261,$A$4:$O$28,2,0)*(HLOOKUP(AC$252,'2.2.Brecha Efectiva x UdM'!$H$64:$AK$71,2,0))</f>
        <v>0</v>
      </c>
      <c r="AD261" s="32">
        <f>VLOOKUP($A261,$A$4:$O$28,2,0)*(HLOOKUP(AD$252,'2.2.Brecha Efectiva x UdM'!$H$64:$AK$71,2,0))</f>
        <v>0</v>
      </c>
      <c r="AE261" s="32">
        <f>VLOOKUP($A261,$A$4:$O$28,2,0)*(HLOOKUP(AE$252,'2.2.Brecha Efectiva x UdM'!$H$64:$AK$71,2,0))</f>
        <v>0</v>
      </c>
      <c r="AF261" s="32">
        <f>VLOOKUP($A261,$A$4:$O$28,2,0)*(HLOOKUP(AF$252,'2.2.Brecha Efectiva x UdM'!$H$64:$AK$71,2,0))</f>
        <v>0</v>
      </c>
      <c r="AG261" s="32">
        <f>VLOOKUP($A261,$A$4:$O$28,2,0)*(HLOOKUP(AG$252,'2.2.Brecha Efectiva x UdM'!$H$64:$AK$71,2,0))</f>
        <v>0</v>
      </c>
      <c r="AH261" s="62">
        <f t="shared" si="261"/>
        <v>171771601.75690514</v>
      </c>
    </row>
    <row r="262" spans="1:34" x14ac:dyDescent="0.2">
      <c r="A262" s="26" t="str">
        <f t="shared" si="258"/>
        <v>Jujuy</v>
      </c>
      <c r="B262" s="52" t="str">
        <f t="shared" si="259"/>
        <v>Nombre UdM 1</v>
      </c>
      <c r="C262" s="26" t="str">
        <f t="shared" si="260"/>
        <v>Jujuy Nombre UdM 1</v>
      </c>
      <c r="D262" s="31">
        <f>VLOOKUP($A262,$A$4:$O$28,2,0)*(HLOOKUP(D$252,'2.2.Brecha Efectiva x UdM'!$H$64:$AK$71,2,0))</f>
        <v>44841348.330613509</v>
      </c>
      <c r="E262" s="31">
        <f>VLOOKUP($A262,$A$4:$O$28,2,0)*(HLOOKUP(E$252,'2.2.Brecha Efectiva x UdM'!$H$64:$AK$71,2,0))</f>
        <v>45228257.960154548</v>
      </c>
      <c r="F262" s="31">
        <f>VLOOKUP($A262,$A$4:$O$28,2,0)*(HLOOKUP(F$252,'2.2.Brecha Efectiva x UdM'!$H$64:$AK$71,2,0))</f>
        <v>28085212.345176701</v>
      </c>
      <c r="G262" s="31">
        <f>VLOOKUP($A262,$A$4:$O$28,2,0)*(HLOOKUP(G$252,'2.2.Brecha Efectiva x UdM'!$H$64:$AK$71,2,0))</f>
        <v>22276701.65228742</v>
      </c>
      <c r="H262" s="31">
        <f>VLOOKUP($A262,$A$4:$O$28,2,0)*(HLOOKUP(H$252,'2.2.Brecha Efectiva x UdM'!$H$64:$AK$71,2,0))</f>
        <v>11751222.69752907</v>
      </c>
      <c r="I262" s="31">
        <f>VLOOKUP($A262,$A$4:$O$28,2,0)*(HLOOKUP(I$252,'2.2.Brecha Efectiva x UdM'!$H$64:$AK$71,2,0))</f>
        <v>11843074.636162143</v>
      </c>
      <c r="J262" s="31">
        <f>VLOOKUP($A262,$A$4:$O$28,2,0)*(HLOOKUP(J$252,'2.2.Brecha Efectiva x UdM'!$H$64:$AK$71,2,0))</f>
        <v>11933306.878664937</v>
      </c>
      <c r="K262" s="31">
        <f>VLOOKUP($A262,$A$4:$O$28,2,0)*(HLOOKUP(K$252,'2.2.Brecha Efectiva x UdM'!$H$64:$AK$71,2,0))</f>
        <v>11090970.952059308</v>
      </c>
      <c r="L262" s="31">
        <f>VLOOKUP($A262,$A$4:$O$28,2,0)*(HLOOKUP(L$252,'2.2.Brecha Efectiva x UdM'!$H$64:$AK$71,2,0))</f>
        <v>11171318.434376244</v>
      </c>
      <c r="M262" s="31">
        <f>VLOOKUP($A262,$A$4:$O$28,2,0)*(HLOOKUP(M$252,'2.2.Brecha Efectiva x UdM'!$H$64:$AK$71,2,0))</f>
        <v>11250213.986649564</v>
      </c>
      <c r="N262" s="31">
        <f>VLOOKUP($A262,$A$4:$O$28,2,0)*(HLOOKUP(N$252,'2.2.Brecha Efectiva x UdM'!$H$64:$AK$71,2,0))</f>
        <v>0</v>
      </c>
      <c r="O262" s="31">
        <f>VLOOKUP($A262,$A$4:$O$28,2,0)*(HLOOKUP(O$252,'2.2.Brecha Efectiva x UdM'!$H$64:$AK$71,2,0))</f>
        <v>0</v>
      </c>
      <c r="P262" s="31">
        <f>VLOOKUP($A262,$A$4:$O$28,2,0)*(HLOOKUP(P$252,'2.2.Brecha Efectiva x UdM'!$H$64:$AK$71,2,0))</f>
        <v>0</v>
      </c>
      <c r="Q262" s="31">
        <f>VLOOKUP($A262,$A$4:$O$28,2,0)*(HLOOKUP(Q$252,'2.2.Brecha Efectiva x UdM'!$H$64:$AK$71,2,0))</f>
        <v>0</v>
      </c>
      <c r="R262" s="31">
        <f>VLOOKUP($A262,$A$4:$O$28,2,0)*(HLOOKUP(R$252,'2.2.Brecha Efectiva x UdM'!$H$64:$AK$71,2,0))</f>
        <v>0</v>
      </c>
      <c r="S262" s="31">
        <f>VLOOKUP($A262,$A$4:$O$28,2,0)*(HLOOKUP(S$252,'2.2.Brecha Efectiva x UdM'!$H$64:$AK$71,2,0))</f>
        <v>0</v>
      </c>
      <c r="T262" s="31">
        <f>VLOOKUP($A262,$A$4:$O$28,2,0)*(HLOOKUP(T$252,'2.2.Brecha Efectiva x UdM'!$H$64:$AK$71,2,0))</f>
        <v>0</v>
      </c>
      <c r="U262" s="31">
        <f>VLOOKUP($A262,$A$4:$O$28,2,0)*(HLOOKUP(U$252,'2.2.Brecha Efectiva x UdM'!$H$64:$AK$71,2,0))</f>
        <v>0</v>
      </c>
      <c r="V262" s="31">
        <f>VLOOKUP($A262,$A$4:$O$28,2,0)*(HLOOKUP(V$252,'2.2.Brecha Efectiva x UdM'!$H$64:$AK$71,2,0))</f>
        <v>0</v>
      </c>
      <c r="W262" s="31">
        <f>VLOOKUP($A262,$A$4:$O$28,2,0)*(HLOOKUP(W$252,'2.2.Brecha Efectiva x UdM'!$H$64:$AK$71,2,0))</f>
        <v>0</v>
      </c>
      <c r="X262" s="31">
        <f>VLOOKUP($A262,$A$4:$O$28,2,0)*(HLOOKUP(X$252,'2.2.Brecha Efectiva x UdM'!$H$64:$AK$71,2,0))</f>
        <v>0</v>
      </c>
      <c r="Y262" s="31">
        <f>VLOOKUP($A262,$A$4:$O$28,2,0)*(HLOOKUP(Y$252,'2.2.Brecha Efectiva x UdM'!$H$64:$AK$71,2,0))</f>
        <v>0</v>
      </c>
      <c r="Z262" s="31">
        <f>VLOOKUP($A262,$A$4:$O$28,2,0)*(HLOOKUP(Z$252,'2.2.Brecha Efectiva x UdM'!$H$64:$AK$71,2,0))</f>
        <v>0</v>
      </c>
      <c r="AA262" s="31">
        <f>VLOOKUP($A262,$A$4:$O$28,2,0)*(HLOOKUP(AA$252,'2.2.Brecha Efectiva x UdM'!$H$64:$AK$71,2,0))</f>
        <v>0</v>
      </c>
      <c r="AB262" s="31">
        <f>VLOOKUP($A262,$A$4:$O$28,2,0)*(HLOOKUP(AB$252,'2.2.Brecha Efectiva x UdM'!$H$64:$AK$71,2,0))</f>
        <v>0</v>
      </c>
      <c r="AC262" s="31">
        <f>VLOOKUP($A262,$A$4:$O$28,2,0)*(HLOOKUP(AC$252,'2.2.Brecha Efectiva x UdM'!$H$64:$AK$71,2,0))</f>
        <v>0</v>
      </c>
      <c r="AD262" s="31">
        <f>VLOOKUP($A262,$A$4:$O$28,2,0)*(HLOOKUP(AD$252,'2.2.Brecha Efectiva x UdM'!$H$64:$AK$71,2,0))</f>
        <v>0</v>
      </c>
      <c r="AE262" s="31">
        <f>VLOOKUP($A262,$A$4:$O$28,2,0)*(HLOOKUP(AE$252,'2.2.Brecha Efectiva x UdM'!$H$64:$AK$71,2,0))</f>
        <v>0</v>
      </c>
      <c r="AF262" s="31">
        <f>VLOOKUP($A262,$A$4:$O$28,2,0)*(HLOOKUP(AF$252,'2.2.Brecha Efectiva x UdM'!$H$64:$AK$71,2,0))</f>
        <v>0</v>
      </c>
      <c r="AG262" s="31">
        <f>VLOOKUP($A262,$A$4:$O$28,2,0)*(HLOOKUP(AG$252,'2.2.Brecha Efectiva x UdM'!$H$64:$AK$71,2,0))</f>
        <v>0</v>
      </c>
      <c r="AH262" s="63">
        <f t="shared" si="261"/>
        <v>209471627.87367344</v>
      </c>
    </row>
    <row r="263" spans="1:34" x14ac:dyDescent="0.2">
      <c r="A263" s="25" t="str">
        <f t="shared" si="258"/>
        <v>La Pampa</v>
      </c>
      <c r="B263" s="51" t="str">
        <f t="shared" si="259"/>
        <v>Nombre UdM 1</v>
      </c>
      <c r="C263" s="25" t="str">
        <f t="shared" si="260"/>
        <v>La Pampa Nombre UdM 1</v>
      </c>
      <c r="D263" s="32">
        <f>VLOOKUP($A263,$A$4:$O$28,2,0)*(HLOOKUP(D$252,'2.2.Brecha Efectiva x UdM'!$H$64:$AK$71,2,0))</f>
        <v>223385198.30691794</v>
      </c>
      <c r="E263" s="32">
        <f>VLOOKUP($A263,$A$4:$O$28,2,0)*(HLOOKUP(E$252,'2.2.Brecha Efectiva x UdM'!$H$64:$AK$71,2,0))</f>
        <v>225312657.84012908</v>
      </c>
      <c r="F263" s="32">
        <f>VLOOKUP($A263,$A$4:$O$28,2,0)*(HLOOKUP(F$252,'2.2.Brecha Efectiva x UdM'!$H$64:$AK$71,2,0))</f>
        <v>139911509.41676781</v>
      </c>
      <c r="G263" s="32">
        <f>VLOOKUP($A263,$A$4:$O$28,2,0)*(HLOOKUP(G$252,'2.2.Brecha Efectiva x UdM'!$H$64:$AK$71,2,0))</f>
        <v>110975374.32483773</v>
      </c>
      <c r="H263" s="32">
        <f>VLOOKUP($A263,$A$4:$O$28,2,0)*(HLOOKUP(H$252,'2.2.Brecha Efectiva x UdM'!$H$64:$AK$71,2,0))</f>
        <v>58540818.025405958</v>
      </c>
      <c r="I263" s="32">
        <f>VLOOKUP($A263,$A$4:$O$28,2,0)*(HLOOKUP(I$252,'2.2.Brecha Efectiva x UdM'!$H$64:$AK$71,2,0))</f>
        <v>58998394.888954818</v>
      </c>
      <c r="J263" s="32">
        <f>VLOOKUP($A263,$A$4:$O$28,2,0)*(HLOOKUP(J$252,'2.2.Brecha Efectiva x UdM'!$H$64:$AK$71,2,0))</f>
        <v>59447902.946485795</v>
      </c>
      <c r="K263" s="32">
        <f>VLOOKUP($A263,$A$4:$O$28,2,0)*(HLOOKUP(K$252,'2.2.Brecha Efectiva x UdM'!$H$64:$AK$71,2,0))</f>
        <v>55251655.843956597</v>
      </c>
      <c r="L263" s="32">
        <f>VLOOKUP($A263,$A$4:$O$28,2,0)*(HLOOKUP(L$252,'2.2.Brecha Efectiva x UdM'!$H$64:$AK$71,2,0))</f>
        <v>55651921.200352594</v>
      </c>
      <c r="M263" s="32">
        <f>VLOOKUP($A263,$A$4:$O$28,2,0)*(HLOOKUP(M$252,'2.2.Brecha Efectiva x UdM'!$H$64:$AK$71,2,0))</f>
        <v>56044953.507502846</v>
      </c>
      <c r="N263" s="32">
        <f>VLOOKUP($A263,$A$4:$O$28,2,0)*(HLOOKUP(N$252,'2.2.Brecha Efectiva x UdM'!$H$64:$AK$71,2,0))</f>
        <v>0</v>
      </c>
      <c r="O263" s="32">
        <f>VLOOKUP($A263,$A$4:$O$28,2,0)*(HLOOKUP(O$252,'2.2.Brecha Efectiva x UdM'!$H$64:$AK$71,2,0))</f>
        <v>0</v>
      </c>
      <c r="P263" s="32">
        <f>VLOOKUP($A263,$A$4:$O$28,2,0)*(HLOOKUP(P$252,'2.2.Brecha Efectiva x UdM'!$H$64:$AK$71,2,0))</f>
        <v>0</v>
      </c>
      <c r="Q263" s="32">
        <f>VLOOKUP($A263,$A$4:$O$28,2,0)*(HLOOKUP(Q$252,'2.2.Brecha Efectiva x UdM'!$H$64:$AK$71,2,0))</f>
        <v>0</v>
      </c>
      <c r="R263" s="32">
        <f>VLOOKUP($A263,$A$4:$O$28,2,0)*(HLOOKUP(R$252,'2.2.Brecha Efectiva x UdM'!$H$64:$AK$71,2,0))</f>
        <v>0</v>
      </c>
      <c r="S263" s="32">
        <f>VLOOKUP($A263,$A$4:$O$28,2,0)*(HLOOKUP(S$252,'2.2.Brecha Efectiva x UdM'!$H$64:$AK$71,2,0))</f>
        <v>0</v>
      </c>
      <c r="T263" s="32">
        <f>VLOOKUP($A263,$A$4:$O$28,2,0)*(HLOOKUP(T$252,'2.2.Brecha Efectiva x UdM'!$H$64:$AK$71,2,0))</f>
        <v>0</v>
      </c>
      <c r="U263" s="32">
        <f>VLOOKUP($A263,$A$4:$O$28,2,0)*(HLOOKUP(U$252,'2.2.Brecha Efectiva x UdM'!$H$64:$AK$71,2,0))</f>
        <v>0</v>
      </c>
      <c r="V263" s="32">
        <f>VLOOKUP($A263,$A$4:$O$28,2,0)*(HLOOKUP(V$252,'2.2.Brecha Efectiva x UdM'!$H$64:$AK$71,2,0))</f>
        <v>0</v>
      </c>
      <c r="W263" s="32">
        <f>VLOOKUP($A263,$A$4:$O$28,2,0)*(HLOOKUP(W$252,'2.2.Brecha Efectiva x UdM'!$H$64:$AK$71,2,0))</f>
        <v>0</v>
      </c>
      <c r="X263" s="32">
        <f>VLOOKUP($A263,$A$4:$O$28,2,0)*(HLOOKUP(X$252,'2.2.Brecha Efectiva x UdM'!$H$64:$AK$71,2,0))</f>
        <v>0</v>
      </c>
      <c r="Y263" s="32">
        <f>VLOOKUP($A263,$A$4:$O$28,2,0)*(HLOOKUP(Y$252,'2.2.Brecha Efectiva x UdM'!$H$64:$AK$71,2,0))</f>
        <v>0</v>
      </c>
      <c r="Z263" s="32">
        <f>VLOOKUP($A263,$A$4:$O$28,2,0)*(HLOOKUP(Z$252,'2.2.Brecha Efectiva x UdM'!$H$64:$AK$71,2,0))</f>
        <v>0</v>
      </c>
      <c r="AA263" s="32">
        <f>VLOOKUP($A263,$A$4:$O$28,2,0)*(HLOOKUP(AA$252,'2.2.Brecha Efectiva x UdM'!$H$64:$AK$71,2,0))</f>
        <v>0</v>
      </c>
      <c r="AB263" s="32">
        <f>VLOOKUP($A263,$A$4:$O$28,2,0)*(HLOOKUP(AB$252,'2.2.Brecha Efectiva x UdM'!$H$64:$AK$71,2,0))</f>
        <v>0</v>
      </c>
      <c r="AC263" s="32">
        <f>VLOOKUP($A263,$A$4:$O$28,2,0)*(HLOOKUP(AC$252,'2.2.Brecha Efectiva x UdM'!$H$64:$AK$71,2,0))</f>
        <v>0</v>
      </c>
      <c r="AD263" s="32">
        <f>VLOOKUP($A263,$A$4:$O$28,2,0)*(HLOOKUP(AD$252,'2.2.Brecha Efectiva x UdM'!$H$64:$AK$71,2,0))</f>
        <v>0</v>
      </c>
      <c r="AE263" s="32">
        <f>VLOOKUP($A263,$A$4:$O$28,2,0)*(HLOOKUP(AE$252,'2.2.Brecha Efectiva x UdM'!$H$64:$AK$71,2,0))</f>
        <v>0</v>
      </c>
      <c r="AF263" s="32">
        <f>VLOOKUP($A263,$A$4:$O$28,2,0)*(HLOOKUP(AF$252,'2.2.Brecha Efectiva x UdM'!$H$64:$AK$71,2,0))</f>
        <v>0</v>
      </c>
      <c r="AG263" s="32">
        <f>VLOOKUP($A263,$A$4:$O$28,2,0)*(HLOOKUP(AG$252,'2.2.Brecha Efectiva x UdM'!$H$64:$AK$71,2,0))</f>
        <v>0</v>
      </c>
      <c r="AH263" s="62">
        <f t="shared" si="261"/>
        <v>1043520386.301311</v>
      </c>
    </row>
    <row r="264" spans="1:34" x14ac:dyDescent="0.2">
      <c r="A264" s="26" t="str">
        <f t="shared" si="258"/>
        <v>La Rioja</v>
      </c>
      <c r="B264" s="52" t="str">
        <f t="shared" si="259"/>
        <v>Nombre UdM 1</v>
      </c>
      <c r="C264" s="26" t="str">
        <f t="shared" si="260"/>
        <v>La Rioja Nombre UdM 1</v>
      </c>
      <c r="D264" s="31">
        <f>VLOOKUP($A264,$A$4:$O$28,2,0)*(HLOOKUP(D$252,'2.2.Brecha Efectiva x UdM'!$H$64:$AK$71,2,0))</f>
        <v>76870882.852480292</v>
      </c>
      <c r="E264" s="31">
        <f>VLOOKUP($A264,$A$4:$O$28,2,0)*(HLOOKUP(E$252,'2.2.Brecha Efectiva x UdM'!$H$64:$AK$71,2,0))</f>
        <v>77534156.503122076</v>
      </c>
      <c r="F264" s="31">
        <f>VLOOKUP($A264,$A$4:$O$28,2,0)*(HLOOKUP(F$252,'2.2.Brecha Efectiva x UdM'!$H$64:$AK$71,2,0))</f>
        <v>48146078.306017198</v>
      </c>
      <c r="G264" s="31">
        <f>VLOOKUP($A264,$A$4:$O$28,2,0)*(HLOOKUP(G$252,'2.2.Brecha Efectiva x UdM'!$H$64:$AK$71,2,0))</f>
        <v>38188631.403921284</v>
      </c>
      <c r="H264" s="31">
        <f>VLOOKUP($A264,$A$4:$O$28,2,0)*(HLOOKUP(H$252,'2.2.Brecha Efectiva x UdM'!$H$64:$AK$71,2,0))</f>
        <v>20144953.195764117</v>
      </c>
      <c r="I264" s="31">
        <f>VLOOKUP($A264,$A$4:$O$28,2,0)*(HLOOKUP(I$252,'2.2.Brecha Efectiva x UdM'!$H$64:$AK$71,2,0))</f>
        <v>20302413.661992244</v>
      </c>
      <c r="J264" s="31">
        <f>VLOOKUP($A264,$A$4:$O$28,2,0)*(HLOOKUP(J$252,'2.2.Brecha Efectiva x UdM'!$H$64:$AK$71,2,0))</f>
        <v>20457097.506282747</v>
      </c>
      <c r="K264" s="31">
        <f>VLOOKUP($A264,$A$4:$O$28,2,0)*(HLOOKUP(K$252,'2.2.Brecha Efectiva x UdM'!$H$64:$AK$71,2,0))</f>
        <v>19013093.060673099</v>
      </c>
      <c r="L264" s="31">
        <f>VLOOKUP($A264,$A$4:$O$28,2,0)*(HLOOKUP(L$252,'2.2.Brecha Efectiva x UdM'!$H$64:$AK$71,2,0))</f>
        <v>19150831.601787843</v>
      </c>
      <c r="M264" s="31">
        <f>VLOOKUP($A264,$A$4:$O$28,2,0)*(HLOOKUP(M$252,'2.2.Brecha Efectiva x UdM'!$H$64:$AK$71,2,0))</f>
        <v>19286081.119970676</v>
      </c>
      <c r="N264" s="31">
        <f>VLOOKUP($A264,$A$4:$O$28,2,0)*(HLOOKUP(N$252,'2.2.Brecha Efectiva x UdM'!$H$64:$AK$71,2,0))</f>
        <v>0</v>
      </c>
      <c r="O264" s="31">
        <f>VLOOKUP($A264,$A$4:$O$28,2,0)*(HLOOKUP(O$252,'2.2.Brecha Efectiva x UdM'!$H$64:$AK$71,2,0))</f>
        <v>0</v>
      </c>
      <c r="P264" s="31">
        <f>VLOOKUP($A264,$A$4:$O$28,2,0)*(HLOOKUP(P$252,'2.2.Brecha Efectiva x UdM'!$H$64:$AK$71,2,0))</f>
        <v>0</v>
      </c>
      <c r="Q264" s="31">
        <f>VLOOKUP($A264,$A$4:$O$28,2,0)*(HLOOKUP(Q$252,'2.2.Brecha Efectiva x UdM'!$H$64:$AK$71,2,0))</f>
        <v>0</v>
      </c>
      <c r="R264" s="31">
        <f>VLOOKUP($A264,$A$4:$O$28,2,0)*(HLOOKUP(R$252,'2.2.Brecha Efectiva x UdM'!$H$64:$AK$71,2,0))</f>
        <v>0</v>
      </c>
      <c r="S264" s="31">
        <f>VLOOKUP($A264,$A$4:$O$28,2,0)*(HLOOKUP(S$252,'2.2.Brecha Efectiva x UdM'!$H$64:$AK$71,2,0))</f>
        <v>0</v>
      </c>
      <c r="T264" s="31">
        <f>VLOOKUP($A264,$A$4:$O$28,2,0)*(HLOOKUP(T$252,'2.2.Brecha Efectiva x UdM'!$H$64:$AK$71,2,0))</f>
        <v>0</v>
      </c>
      <c r="U264" s="31">
        <f>VLOOKUP($A264,$A$4:$O$28,2,0)*(HLOOKUP(U$252,'2.2.Brecha Efectiva x UdM'!$H$64:$AK$71,2,0))</f>
        <v>0</v>
      </c>
      <c r="V264" s="31">
        <f>VLOOKUP($A264,$A$4:$O$28,2,0)*(HLOOKUP(V$252,'2.2.Brecha Efectiva x UdM'!$H$64:$AK$71,2,0))</f>
        <v>0</v>
      </c>
      <c r="W264" s="31">
        <f>VLOOKUP($A264,$A$4:$O$28,2,0)*(HLOOKUP(W$252,'2.2.Brecha Efectiva x UdM'!$H$64:$AK$71,2,0))</f>
        <v>0</v>
      </c>
      <c r="X264" s="31">
        <f>VLOOKUP($A264,$A$4:$O$28,2,0)*(HLOOKUP(X$252,'2.2.Brecha Efectiva x UdM'!$H$64:$AK$71,2,0))</f>
        <v>0</v>
      </c>
      <c r="Y264" s="31">
        <f>VLOOKUP($A264,$A$4:$O$28,2,0)*(HLOOKUP(Y$252,'2.2.Brecha Efectiva x UdM'!$H$64:$AK$71,2,0))</f>
        <v>0</v>
      </c>
      <c r="Z264" s="31">
        <f>VLOOKUP($A264,$A$4:$O$28,2,0)*(HLOOKUP(Z$252,'2.2.Brecha Efectiva x UdM'!$H$64:$AK$71,2,0))</f>
        <v>0</v>
      </c>
      <c r="AA264" s="31">
        <f>VLOOKUP($A264,$A$4:$O$28,2,0)*(HLOOKUP(AA$252,'2.2.Brecha Efectiva x UdM'!$H$64:$AK$71,2,0))</f>
        <v>0</v>
      </c>
      <c r="AB264" s="31">
        <f>VLOOKUP($A264,$A$4:$O$28,2,0)*(HLOOKUP(AB$252,'2.2.Brecha Efectiva x UdM'!$H$64:$AK$71,2,0))</f>
        <v>0</v>
      </c>
      <c r="AC264" s="31">
        <f>VLOOKUP($A264,$A$4:$O$28,2,0)*(HLOOKUP(AC$252,'2.2.Brecha Efectiva x UdM'!$H$64:$AK$71,2,0))</f>
        <v>0</v>
      </c>
      <c r="AD264" s="31">
        <f>VLOOKUP($A264,$A$4:$O$28,2,0)*(HLOOKUP(AD$252,'2.2.Brecha Efectiva x UdM'!$H$64:$AK$71,2,0))</f>
        <v>0</v>
      </c>
      <c r="AE264" s="31">
        <f>VLOOKUP($A264,$A$4:$O$28,2,0)*(HLOOKUP(AE$252,'2.2.Brecha Efectiva x UdM'!$H$64:$AK$71,2,0))</f>
        <v>0</v>
      </c>
      <c r="AF264" s="31">
        <f>VLOOKUP($A264,$A$4:$O$28,2,0)*(HLOOKUP(AF$252,'2.2.Brecha Efectiva x UdM'!$H$64:$AK$71,2,0))</f>
        <v>0</v>
      </c>
      <c r="AG264" s="31">
        <f>VLOOKUP($A264,$A$4:$O$28,2,0)*(HLOOKUP(AG$252,'2.2.Brecha Efectiva x UdM'!$H$64:$AK$71,2,0))</f>
        <v>0</v>
      </c>
      <c r="AH264" s="63">
        <f t="shared" si="261"/>
        <v>359094219.21201164</v>
      </c>
    </row>
    <row r="265" spans="1:34" x14ac:dyDescent="0.2">
      <c r="A265" s="25" t="str">
        <f t="shared" si="258"/>
        <v>Mendoza</v>
      </c>
      <c r="B265" s="51" t="str">
        <f t="shared" si="259"/>
        <v>Nombre UdM 1</v>
      </c>
      <c r="C265" s="25" t="str">
        <f t="shared" si="260"/>
        <v>Mendoza Nombre UdM 1</v>
      </c>
      <c r="D265" s="32">
        <f>VLOOKUP($A265,$A$4:$O$28,2,0)*(HLOOKUP(D$252,'2.2.Brecha Efectiva x UdM'!$H$64:$AK$71,2,0))</f>
        <v>339704895.03205764</v>
      </c>
      <c r="E265" s="32">
        <f>VLOOKUP($A265,$A$4:$O$28,2,0)*(HLOOKUP(E$252,'2.2.Brecha Efectiva x UdM'!$H$64:$AK$71,2,0))</f>
        <v>342636008.83624268</v>
      </c>
      <c r="F265" s="32">
        <f>VLOOKUP($A265,$A$4:$O$28,2,0)*(HLOOKUP(F$252,'2.2.Brecha Efectiva x UdM'!$H$64:$AK$71,2,0))</f>
        <v>212765326.35299477</v>
      </c>
      <c r="G265" s="32">
        <f>VLOOKUP($A265,$A$4:$O$28,2,0)*(HLOOKUP(G$252,'2.2.Brecha Efectiva x UdM'!$H$64:$AK$71,2,0))</f>
        <v>168761754.01006782</v>
      </c>
      <c r="H265" s="32">
        <f>VLOOKUP($A265,$A$4:$O$28,2,0)*(HLOOKUP(H$252,'2.2.Brecha Efectiva x UdM'!$H$64:$AK$71,2,0))</f>
        <v>89023814.438628614</v>
      </c>
      <c r="I265" s="32">
        <f>VLOOKUP($A265,$A$4:$O$28,2,0)*(HLOOKUP(I$252,'2.2.Brecha Efectiva x UdM'!$H$64:$AK$71,2,0))</f>
        <v>89719657.769248024</v>
      </c>
      <c r="J265" s="32">
        <f>VLOOKUP($A265,$A$4:$O$28,2,0)*(HLOOKUP(J$252,'2.2.Brecha Efectiva x UdM'!$H$64:$AK$71,2,0))</f>
        <v>90403230.75732857</v>
      </c>
      <c r="K265" s="32">
        <f>VLOOKUP($A265,$A$4:$O$28,2,0)*(HLOOKUP(K$252,'2.2.Brecha Efectiva x UdM'!$H$64:$AK$71,2,0))</f>
        <v>84021940.98389101</v>
      </c>
      <c r="L265" s="32">
        <f>VLOOKUP($A265,$A$4:$O$28,2,0)*(HLOOKUP(L$252,'2.2.Brecha Efectiva x UdM'!$H$64:$AK$71,2,0))</f>
        <v>84630629.92975685</v>
      </c>
      <c r="M265" s="32">
        <f>VLOOKUP($A265,$A$4:$O$28,2,0)*(HLOOKUP(M$252,'2.2.Brecha Efectiva x UdM'!$H$64:$AK$71,2,0))</f>
        <v>85228319.479720876</v>
      </c>
      <c r="N265" s="32">
        <f>VLOOKUP($A265,$A$4:$O$28,2,0)*(HLOOKUP(N$252,'2.2.Brecha Efectiva x UdM'!$H$64:$AK$71,2,0))</f>
        <v>0</v>
      </c>
      <c r="O265" s="32">
        <f>VLOOKUP($A265,$A$4:$O$28,2,0)*(HLOOKUP(O$252,'2.2.Brecha Efectiva x UdM'!$H$64:$AK$71,2,0))</f>
        <v>0</v>
      </c>
      <c r="P265" s="32">
        <f>VLOOKUP($A265,$A$4:$O$28,2,0)*(HLOOKUP(P$252,'2.2.Brecha Efectiva x UdM'!$H$64:$AK$71,2,0))</f>
        <v>0</v>
      </c>
      <c r="Q265" s="32">
        <f>VLOOKUP($A265,$A$4:$O$28,2,0)*(HLOOKUP(Q$252,'2.2.Brecha Efectiva x UdM'!$H$64:$AK$71,2,0))</f>
        <v>0</v>
      </c>
      <c r="R265" s="32">
        <f>VLOOKUP($A265,$A$4:$O$28,2,0)*(HLOOKUP(R$252,'2.2.Brecha Efectiva x UdM'!$H$64:$AK$71,2,0))</f>
        <v>0</v>
      </c>
      <c r="S265" s="32">
        <f>VLOOKUP($A265,$A$4:$O$28,2,0)*(HLOOKUP(S$252,'2.2.Brecha Efectiva x UdM'!$H$64:$AK$71,2,0))</f>
        <v>0</v>
      </c>
      <c r="T265" s="32">
        <f>VLOOKUP($A265,$A$4:$O$28,2,0)*(HLOOKUP(T$252,'2.2.Brecha Efectiva x UdM'!$H$64:$AK$71,2,0))</f>
        <v>0</v>
      </c>
      <c r="U265" s="32">
        <f>VLOOKUP($A265,$A$4:$O$28,2,0)*(HLOOKUP(U$252,'2.2.Brecha Efectiva x UdM'!$H$64:$AK$71,2,0))</f>
        <v>0</v>
      </c>
      <c r="V265" s="32">
        <f>VLOOKUP($A265,$A$4:$O$28,2,0)*(HLOOKUP(V$252,'2.2.Brecha Efectiva x UdM'!$H$64:$AK$71,2,0))</f>
        <v>0</v>
      </c>
      <c r="W265" s="32">
        <f>VLOOKUP($A265,$A$4:$O$28,2,0)*(HLOOKUP(W$252,'2.2.Brecha Efectiva x UdM'!$H$64:$AK$71,2,0))</f>
        <v>0</v>
      </c>
      <c r="X265" s="32">
        <f>VLOOKUP($A265,$A$4:$O$28,2,0)*(HLOOKUP(X$252,'2.2.Brecha Efectiva x UdM'!$H$64:$AK$71,2,0))</f>
        <v>0</v>
      </c>
      <c r="Y265" s="32">
        <f>VLOOKUP($A265,$A$4:$O$28,2,0)*(HLOOKUP(Y$252,'2.2.Brecha Efectiva x UdM'!$H$64:$AK$71,2,0))</f>
        <v>0</v>
      </c>
      <c r="Z265" s="32">
        <f>VLOOKUP($A265,$A$4:$O$28,2,0)*(HLOOKUP(Z$252,'2.2.Brecha Efectiva x UdM'!$H$64:$AK$71,2,0))</f>
        <v>0</v>
      </c>
      <c r="AA265" s="32">
        <f>VLOOKUP($A265,$A$4:$O$28,2,0)*(HLOOKUP(AA$252,'2.2.Brecha Efectiva x UdM'!$H$64:$AK$71,2,0))</f>
        <v>0</v>
      </c>
      <c r="AB265" s="32">
        <f>VLOOKUP($A265,$A$4:$O$28,2,0)*(HLOOKUP(AB$252,'2.2.Brecha Efectiva x UdM'!$H$64:$AK$71,2,0))</f>
        <v>0</v>
      </c>
      <c r="AC265" s="32">
        <f>VLOOKUP($A265,$A$4:$O$28,2,0)*(HLOOKUP(AC$252,'2.2.Brecha Efectiva x UdM'!$H$64:$AK$71,2,0))</f>
        <v>0</v>
      </c>
      <c r="AD265" s="32">
        <f>VLOOKUP($A265,$A$4:$O$28,2,0)*(HLOOKUP(AD$252,'2.2.Brecha Efectiva x UdM'!$H$64:$AK$71,2,0))</f>
        <v>0</v>
      </c>
      <c r="AE265" s="32">
        <f>VLOOKUP($A265,$A$4:$O$28,2,0)*(HLOOKUP(AE$252,'2.2.Brecha Efectiva x UdM'!$H$64:$AK$71,2,0))</f>
        <v>0</v>
      </c>
      <c r="AF265" s="32">
        <f>VLOOKUP($A265,$A$4:$O$28,2,0)*(HLOOKUP(AF$252,'2.2.Brecha Efectiva x UdM'!$H$64:$AK$71,2,0))</f>
        <v>0</v>
      </c>
      <c r="AG265" s="32">
        <f>VLOOKUP($A265,$A$4:$O$28,2,0)*(HLOOKUP(AG$252,'2.2.Brecha Efectiva x UdM'!$H$64:$AK$71,2,0))</f>
        <v>0</v>
      </c>
      <c r="AH265" s="62">
        <f t="shared" si="261"/>
        <v>1586895577.5899367</v>
      </c>
    </row>
    <row r="266" spans="1:34" x14ac:dyDescent="0.2">
      <c r="A266" s="26" t="str">
        <f t="shared" si="258"/>
        <v>Misiones</v>
      </c>
      <c r="B266" s="52" t="str">
        <f t="shared" si="259"/>
        <v>Nombre UdM 1</v>
      </c>
      <c r="C266" s="26" t="str">
        <f t="shared" si="260"/>
        <v>Misiones Nombre UdM 1</v>
      </c>
      <c r="D266" s="31">
        <f>VLOOKUP($A266,$A$4:$O$28,2,0)*(HLOOKUP(D$252,'2.2.Brecha Efectiva x UdM'!$H$64:$AK$71,2,0))</f>
        <v>14708378.993137823</v>
      </c>
      <c r="E266" s="31">
        <f>VLOOKUP($A266,$A$4:$O$28,2,0)*(HLOOKUP(E$252,'2.2.Brecha Efectiva x UdM'!$H$64:$AK$71,2,0))</f>
        <v>14835288.947437728</v>
      </c>
      <c r="F266" s="31">
        <f>VLOOKUP($A266,$A$4:$O$28,2,0)*(HLOOKUP(F$252,'2.2.Brecha Efectiva x UdM'!$H$64:$AK$71,2,0))</f>
        <v>9212210.663915161</v>
      </c>
      <c r="G266" s="31">
        <f>VLOOKUP($A266,$A$4:$O$28,2,0)*(HLOOKUP(G$252,'2.2.Brecha Efectiva x UdM'!$H$64:$AK$71,2,0))</f>
        <v>7306965.1742655355</v>
      </c>
      <c r="H266" s="31">
        <f>VLOOKUP($A266,$A$4:$O$28,2,0)*(HLOOKUP(H$252,'2.2.Brecha Efectiva x UdM'!$H$64:$AK$71,2,0))</f>
        <v>3854510.2567761298</v>
      </c>
      <c r="I266" s="31">
        <f>VLOOKUP($A266,$A$4:$O$28,2,0)*(HLOOKUP(I$252,'2.2.Brecha Efectiva x UdM'!$H$64:$AK$71,2,0))</f>
        <v>3884638.5462893904</v>
      </c>
      <c r="J266" s="31">
        <f>VLOOKUP($A266,$A$4:$O$28,2,0)*(HLOOKUP(J$252,'2.2.Brecha Efectiva x UdM'!$H$64:$AK$71,2,0))</f>
        <v>3914235.5604189974</v>
      </c>
      <c r="K266" s="31">
        <f>VLOOKUP($A266,$A$4:$O$28,2,0)*(HLOOKUP(K$252,'2.2.Brecha Efectiva x UdM'!$H$64:$AK$71,2,0))</f>
        <v>3637941.548100167</v>
      </c>
      <c r="L266" s="31">
        <f>VLOOKUP($A266,$A$4:$O$28,2,0)*(HLOOKUP(L$252,'2.2.Brecha Efectiva x UdM'!$H$64:$AK$71,2,0))</f>
        <v>3664296.2690231125</v>
      </c>
      <c r="M266" s="31">
        <f>VLOOKUP($A266,$A$4:$O$28,2,0)*(HLOOKUP(M$252,'2.2.Brecha Efectiva x UdM'!$H$64:$AK$71,2,0))</f>
        <v>3690174.743397994</v>
      </c>
      <c r="N266" s="31">
        <f>VLOOKUP($A266,$A$4:$O$28,2,0)*(HLOOKUP(N$252,'2.2.Brecha Efectiva x UdM'!$H$64:$AK$71,2,0))</f>
        <v>0</v>
      </c>
      <c r="O266" s="31">
        <f>VLOOKUP($A266,$A$4:$O$28,2,0)*(HLOOKUP(O$252,'2.2.Brecha Efectiva x UdM'!$H$64:$AK$71,2,0))</f>
        <v>0</v>
      </c>
      <c r="P266" s="31">
        <f>VLOOKUP($A266,$A$4:$O$28,2,0)*(HLOOKUP(P$252,'2.2.Brecha Efectiva x UdM'!$H$64:$AK$71,2,0))</f>
        <v>0</v>
      </c>
      <c r="Q266" s="31">
        <f>VLOOKUP($A266,$A$4:$O$28,2,0)*(HLOOKUP(Q$252,'2.2.Brecha Efectiva x UdM'!$H$64:$AK$71,2,0))</f>
        <v>0</v>
      </c>
      <c r="R266" s="31">
        <f>VLOOKUP($A266,$A$4:$O$28,2,0)*(HLOOKUP(R$252,'2.2.Brecha Efectiva x UdM'!$H$64:$AK$71,2,0))</f>
        <v>0</v>
      </c>
      <c r="S266" s="31">
        <f>VLOOKUP($A266,$A$4:$O$28,2,0)*(HLOOKUP(S$252,'2.2.Brecha Efectiva x UdM'!$H$64:$AK$71,2,0))</f>
        <v>0</v>
      </c>
      <c r="T266" s="31">
        <f>VLOOKUP($A266,$A$4:$O$28,2,0)*(HLOOKUP(T$252,'2.2.Brecha Efectiva x UdM'!$H$64:$AK$71,2,0))</f>
        <v>0</v>
      </c>
      <c r="U266" s="31">
        <f>VLOOKUP($A266,$A$4:$O$28,2,0)*(HLOOKUP(U$252,'2.2.Brecha Efectiva x UdM'!$H$64:$AK$71,2,0))</f>
        <v>0</v>
      </c>
      <c r="V266" s="31">
        <f>VLOOKUP($A266,$A$4:$O$28,2,0)*(HLOOKUP(V$252,'2.2.Brecha Efectiva x UdM'!$H$64:$AK$71,2,0))</f>
        <v>0</v>
      </c>
      <c r="W266" s="31">
        <f>VLOOKUP($A266,$A$4:$O$28,2,0)*(HLOOKUP(W$252,'2.2.Brecha Efectiva x UdM'!$H$64:$AK$71,2,0))</f>
        <v>0</v>
      </c>
      <c r="X266" s="31">
        <f>VLOOKUP($A266,$A$4:$O$28,2,0)*(HLOOKUP(X$252,'2.2.Brecha Efectiva x UdM'!$H$64:$AK$71,2,0))</f>
        <v>0</v>
      </c>
      <c r="Y266" s="31">
        <f>VLOOKUP($A266,$A$4:$O$28,2,0)*(HLOOKUP(Y$252,'2.2.Brecha Efectiva x UdM'!$H$64:$AK$71,2,0))</f>
        <v>0</v>
      </c>
      <c r="Z266" s="31">
        <f>VLOOKUP($A266,$A$4:$O$28,2,0)*(HLOOKUP(Z$252,'2.2.Brecha Efectiva x UdM'!$H$64:$AK$71,2,0))</f>
        <v>0</v>
      </c>
      <c r="AA266" s="31">
        <f>VLOOKUP($A266,$A$4:$O$28,2,0)*(HLOOKUP(AA$252,'2.2.Brecha Efectiva x UdM'!$H$64:$AK$71,2,0))</f>
        <v>0</v>
      </c>
      <c r="AB266" s="31">
        <f>VLOOKUP($A266,$A$4:$O$28,2,0)*(HLOOKUP(AB$252,'2.2.Brecha Efectiva x UdM'!$H$64:$AK$71,2,0))</f>
        <v>0</v>
      </c>
      <c r="AC266" s="31">
        <f>VLOOKUP($A266,$A$4:$O$28,2,0)*(HLOOKUP(AC$252,'2.2.Brecha Efectiva x UdM'!$H$64:$AK$71,2,0))</f>
        <v>0</v>
      </c>
      <c r="AD266" s="31">
        <f>VLOOKUP($A266,$A$4:$O$28,2,0)*(HLOOKUP(AD$252,'2.2.Brecha Efectiva x UdM'!$H$64:$AK$71,2,0))</f>
        <v>0</v>
      </c>
      <c r="AE266" s="31">
        <f>VLOOKUP($A266,$A$4:$O$28,2,0)*(HLOOKUP(AE$252,'2.2.Brecha Efectiva x UdM'!$H$64:$AK$71,2,0))</f>
        <v>0</v>
      </c>
      <c r="AF266" s="31">
        <f>VLOOKUP($A266,$A$4:$O$28,2,0)*(HLOOKUP(AF$252,'2.2.Brecha Efectiva x UdM'!$H$64:$AK$71,2,0))</f>
        <v>0</v>
      </c>
      <c r="AG266" s="31">
        <f>VLOOKUP($A266,$A$4:$O$28,2,0)*(HLOOKUP(AG$252,'2.2.Brecha Efectiva x UdM'!$H$64:$AK$71,2,0))</f>
        <v>0</v>
      </c>
      <c r="AH266" s="63">
        <f t="shared" si="261"/>
        <v>68708640.702762038</v>
      </c>
    </row>
    <row r="267" spans="1:34" x14ac:dyDescent="0.2">
      <c r="A267" s="25" t="str">
        <f t="shared" si="258"/>
        <v>Neuquén</v>
      </c>
      <c r="B267" s="51" t="str">
        <f t="shared" si="259"/>
        <v>Nombre UdM 1</v>
      </c>
      <c r="C267" s="25" t="str">
        <f t="shared" si="260"/>
        <v>Neuquén Nombre UdM 1</v>
      </c>
      <c r="D267" s="32">
        <f>VLOOKUP($A267,$A$4:$O$28,2,0)*(HLOOKUP(D$252,'2.2.Brecha Efectiva x UdM'!$H$64:$AK$71,2,0))</f>
        <v>125440943.55779839</v>
      </c>
      <c r="E267" s="32">
        <f>VLOOKUP($A267,$A$4:$O$28,2,0)*(HLOOKUP(E$252,'2.2.Brecha Efectiva x UdM'!$H$64:$AK$71,2,0))</f>
        <v>126523299.70470515</v>
      </c>
      <c r="F267" s="32">
        <f>VLOOKUP($A267,$A$4:$O$28,2,0)*(HLOOKUP(F$252,'2.2.Brecha Efectiva x UdM'!$H$64:$AK$71,2,0))</f>
        <v>78566672.67506966</v>
      </c>
      <c r="G267" s="32">
        <f>VLOOKUP($A267,$A$4:$O$28,2,0)*(HLOOKUP(G$252,'2.2.Brecha Efectiva x UdM'!$H$64:$AK$71,2,0))</f>
        <v>62317717.433816239</v>
      </c>
      <c r="H267" s="32">
        <f>VLOOKUP($A267,$A$4:$O$28,2,0)*(HLOOKUP(H$252,'2.2.Brecha Efectiva x UdM'!$H$64:$AK$71,2,0))</f>
        <v>32873330.486574497</v>
      </c>
      <c r="I267" s="32">
        <f>VLOOKUP($A267,$A$4:$O$28,2,0)*(HLOOKUP(I$252,'2.2.Brecha Efectiva x UdM'!$H$64:$AK$71,2,0))</f>
        <v>33130280.696117584</v>
      </c>
      <c r="J267" s="32">
        <f>VLOOKUP($A267,$A$4:$O$28,2,0)*(HLOOKUP(J$252,'2.2.Brecha Efectiva x UdM'!$H$64:$AK$71,2,0))</f>
        <v>33382699.904287536</v>
      </c>
      <c r="K267" s="32">
        <f>VLOOKUP($A267,$A$4:$O$28,2,0)*(HLOOKUP(K$252,'2.2.Brecha Efectiva x UdM'!$H$64:$AK$71,2,0))</f>
        <v>31026316.402012132</v>
      </c>
      <c r="L267" s="32">
        <f>VLOOKUP($A267,$A$4:$O$28,2,0)*(HLOOKUP(L$252,'2.2.Brecha Efectiva x UdM'!$H$64:$AK$71,2,0))</f>
        <v>31251083.595005944</v>
      </c>
      <c r="M267" s="32">
        <f>VLOOKUP($A267,$A$4:$O$28,2,0)*(HLOOKUP(M$252,'2.2.Brecha Efectiva x UdM'!$H$64:$AK$71,2,0))</f>
        <v>31471789.102046248</v>
      </c>
      <c r="N267" s="32">
        <f>VLOOKUP($A267,$A$4:$O$28,2,0)*(HLOOKUP(N$252,'2.2.Brecha Efectiva x UdM'!$H$64:$AK$71,2,0))</f>
        <v>0</v>
      </c>
      <c r="O267" s="32">
        <f>VLOOKUP($A267,$A$4:$O$28,2,0)*(HLOOKUP(O$252,'2.2.Brecha Efectiva x UdM'!$H$64:$AK$71,2,0))</f>
        <v>0</v>
      </c>
      <c r="P267" s="32">
        <f>VLOOKUP($A267,$A$4:$O$28,2,0)*(HLOOKUP(P$252,'2.2.Brecha Efectiva x UdM'!$H$64:$AK$71,2,0))</f>
        <v>0</v>
      </c>
      <c r="Q267" s="32">
        <f>VLOOKUP($A267,$A$4:$O$28,2,0)*(HLOOKUP(Q$252,'2.2.Brecha Efectiva x UdM'!$H$64:$AK$71,2,0))</f>
        <v>0</v>
      </c>
      <c r="R267" s="32">
        <f>VLOOKUP($A267,$A$4:$O$28,2,0)*(HLOOKUP(R$252,'2.2.Brecha Efectiva x UdM'!$H$64:$AK$71,2,0))</f>
        <v>0</v>
      </c>
      <c r="S267" s="32">
        <f>VLOOKUP($A267,$A$4:$O$28,2,0)*(HLOOKUP(S$252,'2.2.Brecha Efectiva x UdM'!$H$64:$AK$71,2,0))</f>
        <v>0</v>
      </c>
      <c r="T267" s="32">
        <f>VLOOKUP($A267,$A$4:$O$28,2,0)*(HLOOKUP(T$252,'2.2.Brecha Efectiva x UdM'!$H$64:$AK$71,2,0))</f>
        <v>0</v>
      </c>
      <c r="U267" s="32">
        <f>VLOOKUP($A267,$A$4:$O$28,2,0)*(HLOOKUP(U$252,'2.2.Brecha Efectiva x UdM'!$H$64:$AK$71,2,0))</f>
        <v>0</v>
      </c>
      <c r="V267" s="32">
        <f>VLOOKUP($A267,$A$4:$O$28,2,0)*(HLOOKUP(V$252,'2.2.Brecha Efectiva x UdM'!$H$64:$AK$71,2,0))</f>
        <v>0</v>
      </c>
      <c r="W267" s="32">
        <f>VLOOKUP($A267,$A$4:$O$28,2,0)*(HLOOKUP(W$252,'2.2.Brecha Efectiva x UdM'!$H$64:$AK$71,2,0))</f>
        <v>0</v>
      </c>
      <c r="X267" s="32">
        <f>VLOOKUP($A267,$A$4:$O$28,2,0)*(HLOOKUP(X$252,'2.2.Brecha Efectiva x UdM'!$H$64:$AK$71,2,0))</f>
        <v>0</v>
      </c>
      <c r="Y267" s="32">
        <f>VLOOKUP($A267,$A$4:$O$28,2,0)*(HLOOKUP(Y$252,'2.2.Brecha Efectiva x UdM'!$H$64:$AK$71,2,0))</f>
        <v>0</v>
      </c>
      <c r="Z267" s="32">
        <f>VLOOKUP($A267,$A$4:$O$28,2,0)*(HLOOKUP(Z$252,'2.2.Brecha Efectiva x UdM'!$H$64:$AK$71,2,0))</f>
        <v>0</v>
      </c>
      <c r="AA267" s="32">
        <f>VLOOKUP($A267,$A$4:$O$28,2,0)*(HLOOKUP(AA$252,'2.2.Brecha Efectiva x UdM'!$H$64:$AK$71,2,0))</f>
        <v>0</v>
      </c>
      <c r="AB267" s="32">
        <f>VLOOKUP($A267,$A$4:$O$28,2,0)*(HLOOKUP(AB$252,'2.2.Brecha Efectiva x UdM'!$H$64:$AK$71,2,0))</f>
        <v>0</v>
      </c>
      <c r="AC267" s="32">
        <f>VLOOKUP($A267,$A$4:$O$28,2,0)*(HLOOKUP(AC$252,'2.2.Brecha Efectiva x UdM'!$H$64:$AK$71,2,0))</f>
        <v>0</v>
      </c>
      <c r="AD267" s="32">
        <f>VLOOKUP($A267,$A$4:$O$28,2,0)*(HLOOKUP(AD$252,'2.2.Brecha Efectiva x UdM'!$H$64:$AK$71,2,0))</f>
        <v>0</v>
      </c>
      <c r="AE267" s="32">
        <f>VLOOKUP($A267,$A$4:$O$28,2,0)*(HLOOKUP(AE$252,'2.2.Brecha Efectiva x UdM'!$H$64:$AK$71,2,0))</f>
        <v>0</v>
      </c>
      <c r="AF267" s="32">
        <f>VLOOKUP($A267,$A$4:$O$28,2,0)*(HLOOKUP(AF$252,'2.2.Brecha Efectiva x UdM'!$H$64:$AK$71,2,0))</f>
        <v>0</v>
      </c>
      <c r="AG267" s="32">
        <f>VLOOKUP($A267,$A$4:$O$28,2,0)*(HLOOKUP(AG$252,'2.2.Brecha Efectiva x UdM'!$H$64:$AK$71,2,0))</f>
        <v>0</v>
      </c>
      <c r="AH267" s="62">
        <f t="shared" si="261"/>
        <v>585984133.55743337</v>
      </c>
    </row>
    <row r="268" spans="1:34" x14ac:dyDescent="0.2">
      <c r="A268" s="26" t="str">
        <f t="shared" si="258"/>
        <v>Río Negro</v>
      </c>
      <c r="B268" s="52" t="str">
        <f t="shared" si="259"/>
        <v>Nombre UdM 1</v>
      </c>
      <c r="C268" s="26" t="str">
        <f t="shared" si="260"/>
        <v>Río Negro Nombre UdM 1</v>
      </c>
      <c r="D268" s="31">
        <f>VLOOKUP($A268,$A$4:$O$28,2,0)*(HLOOKUP(D$252,'2.2.Brecha Efectiva x UdM'!$H$64:$AK$71,2,0))</f>
        <v>397033302.83603728</v>
      </c>
      <c r="E268" s="31">
        <f>VLOOKUP($A268,$A$4:$O$28,2,0)*(HLOOKUP(E$252,'2.2.Brecha Efectiva x UdM'!$H$64:$AK$71,2,0))</f>
        <v>400459069.76398832</v>
      </c>
      <c r="F268" s="31">
        <f>VLOOKUP($A268,$A$4:$O$28,2,0)*(HLOOKUP(F$252,'2.2.Brecha Efectiva x UdM'!$H$64:$AK$71,2,0))</f>
        <v>248671483.6503756</v>
      </c>
      <c r="G268" s="31">
        <f>VLOOKUP($A268,$A$4:$O$28,2,0)*(HLOOKUP(G$252,'2.2.Brecha Efectiva x UdM'!$H$64:$AK$71,2,0))</f>
        <v>197241893.08693057</v>
      </c>
      <c r="H268" s="31">
        <f>VLOOKUP($A268,$A$4:$O$28,2,0)*(HLOOKUP(H$252,'2.2.Brecha Efectiva x UdM'!$H$64:$AK$71,2,0))</f>
        <v>104047423.49766761</v>
      </c>
      <c r="I268" s="31">
        <f>VLOOKUP($A268,$A$4:$O$28,2,0)*(HLOOKUP(I$252,'2.2.Brecha Efectiva x UdM'!$H$64:$AK$71,2,0))</f>
        <v>104860696.95899405</v>
      </c>
      <c r="J268" s="31">
        <f>VLOOKUP($A268,$A$4:$O$28,2,0)*(HLOOKUP(J$252,'2.2.Brecha Efectiva x UdM'!$H$64:$AK$71,2,0))</f>
        <v>105659629.34164783</v>
      </c>
      <c r="K268" s="31">
        <f>VLOOKUP($A268,$A$4:$O$28,2,0)*(HLOOKUP(K$252,'2.2.Brecha Efectiva x UdM'!$H$64:$AK$71,2,0))</f>
        <v>98201436.680448025</v>
      </c>
      <c r="L268" s="31">
        <f>VLOOKUP($A268,$A$4:$O$28,2,0)*(HLOOKUP(L$252,'2.2.Brecha Efectiva x UdM'!$H$64:$AK$71,2,0))</f>
        <v>98912847.631868362</v>
      </c>
      <c r="M268" s="31">
        <f>VLOOKUP($A268,$A$4:$O$28,2,0)*(HLOOKUP(M$252,'2.2.Brecha Efectiva x UdM'!$H$64:$AK$71,2,0))</f>
        <v>99611402.935495675</v>
      </c>
      <c r="N268" s="31">
        <f>VLOOKUP($A268,$A$4:$O$28,2,0)*(HLOOKUP(N$252,'2.2.Brecha Efectiva x UdM'!$H$64:$AK$71,2,0))</f>
        <v>0</v>
      </c>
      <c r="O268" s="31">
        <f>VLOOKUP($A268,$A$4:$O$28,2,0)*(HLOOKUP(O$252,'2.2.Brecha Efectiva x UdM'!$H$64:$AK$71,2,0))</f>
        <v>0</v>
      </c>
      <c r="P268" s="31">
        <f>VLOOKUP($A268,$A$4:$O$28,2,0)*(HLOOKUP(P$252,'2.2.Brecha Efectiva x UdM'!$H$64:$AK$71,2,0))</f>
        <v>0</v>
      </c>
      <c r="Q268" s="31">
        <f>VLOOKUP($A268,$A$4:$O$28,2,0)*(HLOOKUP(Q$252,'2.2.Brecha Efectiva x UdM'!$H$64:$AK$71,2,0))</f>
        <v>0</v>
      </c>
      <c r="R268" s="31">
        <f>VLOOKUP($A268,$A$4:$O$28,2,0)*(HLOOKUP(R$252,'2.2.Brecha Efectiva x UdM'!$H$64:$AK$71,2,0))</f>
        <v>0</v>
      </c>
      <c r="S268" s="31">
        <f>VLOOKUP($A268,$A$4:$O$28,2,0)*(HLOOKUP(S$252,'2.2.Brecha Efectiva x UdM'!$H$64:$AK$71,2,0))</f>
        <v>0</v>
      </c>
      <c r="T268" s="31">
        <f>VLOOKUP($A268,$A$4:$O$28,2,0)*(HLOOKUP(T$252,'2.2.Brecha Efectiva x UdM'!$H$64:$AK$71,2,0))</f>
        <v>0</v>
      </c>
      <c r="U268" s="31">
        <f>VLOOKUP($A268,$A$4:$O$28,2,0)*(HLOOKUP(U$252,'2.2.Brecha Efectiva x UdM'!$H$64:$AK$71,2,0))</f>
        <v>0</v>
      </c>
      <c r="V268" s="31">
        <f>VLOOKUP($A268,$A$4:$O$28,2,0)*(HLOOKUP(V$252,'2.2.Brecha Efectiva x UdM'!$H$64:$AK$71,2,0))</f>
        <v>0</v>
      </c>
      <c r="W268" s="31">
        <f>VLOOKUP($A268,$A$4:$O$28,2,0)*(HLOOKUP(W$252,'2.2.Brecha Efectiva x UdM'!$H$64:$AK$71,2,0))</f>
        <v>0</v>
      </c>
      <c r="X268" s="31">
        <f>VLOOKUP($A268,$A$4:$O$28,2,0)*(HLOOKUP(X$252,'2.2.Brecha Efectiva x UdM'!$H$64:$AK$71,2,0))</f>
        <v>0</v>
      </c>
      <c r="Y268" s="31">
        <f>VLOOKUP($A268,$A$4:$O$28,2,0)*(HLOOKUP(Y$252,'2.2.Brecha Efectiva x UdM'!$H$64:$AK$71,2,0))</f>
        <v>0</v>
      </c>
      <c r="Z268" s="31">
        <f>VLOOKUP($A268,$A$4:$O$28,2,0)*(HLOOKUP(Z$252,'2.2.Brecha Efectiva x UdM'!$H$64:$AK$71,2,0))</f>
        <v>0</v>
      </c>
      <c r="AA268" s="31">
        <f>VLOOKUP($A268,$A$4:$O$28,2,0)*(HLOOKUP(AA$252,'2.2.Brecha Efectiva x UdM'!$H$64:$AK$71,2,0))</f>
        <v>0</v>
      </c>
      <c r="AB268" s="31">
        <f>VLOOKUP($A268,$A$4:$O$28,2,0)*(HLOOKUP(AB$252,'2.2.Brecha Efectiva x UdM'!$H$64:$AK$71,2,0))</f>
        <v>0</v>
      </c>
      <c r="AC268" s="31">
        <f>VLOOKUP($A268,$A$4:$O$28,2,0)*(HLOOKUP(AC$252,'2.2.Brecha Efectiva x UdM'!$H$64:$AK$71,2,0))</f>
        <v>0</v>
      </c>
      <c r="AD268" s="31">
        <f>VLOOKUP($A268,$A$4:$O$28,2,0)*(HLOOKUP(AD$252,'2.2.Brecha Efectiva x UdM'!$H$64:$AK$71,2,0))</f>
        <v>0</v>
      </c>
      <c r="AE268" s="31">
        <f>VLOOKUP($A268,$A$4:$O$28,2,0)*(HLOOKUP(AE$252,'2.2.Brecha Efectiva x UdM'!$H$64:$AK$71,2,0))</f>
        <v>0</v>
      </c>
      <c r="AF268" s="31">
        <f>VLOOKUP($A268,$A$4:$O$28,2,0)*(HLOOKUP(AF$252,'2.2.Brecha Efectiva x UdM'!$H$64:$AK$71,2,0))</f>
        <v>0</v>
      </c>
      <c r="AG268" s="31">
        <f>VLOOKUP($A268,$A$4:$O$28,2,0)*(HLOOKUP(AG$252,'2.2.Brecha Efectiva x UdM'!$H$64:$AK$71,2,0))</f>
        <v>0</v>
      </c>
      <c r="AH268" s="63">
        <f t="shared" si="261"/>
        <v>1854699186.3834534</v>
      </c>
    </row>
    <row r="269" spans="1:34" x14ac:dyDescent="0.2">
      <c r="A269" s="25" t="str">
        <f t="shared" si="258"/>
        <v>Salta</v>
      </c>
      <c r="B269" s="51" t="str">
        <f t="shared" si="259"/>
        <v>Nombre UdM 1</v>
      </c>
      <c r="C269" s="25" t="str">
        <f t="shared" si="260"/>
        <v>Salta Nombre UdM 1</v>
      </c>
      <c r="D269" s="32">
        <f>VLOOKUP($A269,$A$4:$O$28,2,0)*(HLOOKUP(D$252,'2.2.Brecha Efectiva x UdM'!$H$64:$AK$71,2,0))</f>
        <v>134524044.99184051</v>
      </c>
      <c r="E269" s="32">
        <f>VLOOKUP($A269,$A$4:$O$28,2,0)*(HLOOKUP(E$252,'2.2.Brecha Efectiva x UdM'!$H$64:$AK$71,2,0))</f>
        <v>135684773.88046363</v>
      </c>
      <c r="F269" s="32">
        <f>VLOOKUP($A269,$A$4:$O$28,2,0)*(HLOOKUP(F$252,'2.2.Brecha Efectiva x UdM'!$H$64:$AK$71,2,0))</f>
        <v>84255637.03553009</v>
      </c>
      <c r="G269" s="32">
        <f>VLOOKUP($A269,$A$4:$O$28,2,0)*(HLOOKUP(G$252,'2.2.Brecha Efectiva x UdM'!$H$64:$AK$71,2,0))</f>
        <v>66830104.956862241</v>
      </c>
      <c r="H269" s="32">
        <f>VLOOKUP($A269,$A$4:$O$28,2,0)*(HLOOKUP(H$252,'2.2.Brecha Efectiva x UdM'!$H$64:$AK$71,2,0))</f>
        <v>35253668.092587203</v>
      </c>
      <c r="I269" s="32">
        <f>VLOOKUP($A269,$A$4:$O$28,2,0)*(HLOOKUP(I$252,'2.2.Brecha Efectiva x UdM'!$H$64:$AK$71,2,0))</f>
        <v>35529223.908486426</v>
      </c>
      <c r="J269" s="32">
        <f>VLOOKUP($A269,$A$4:$O$28,2,0)*(HLOOKUP(J$252,'2.2.Brecha Efectiva x UdM'!$H$64:$AK$71,2,0))</f>
        <v>35799920.635994799</v>
      </c>
      <c r="K269" s="32">
        <f>VLOOKUP($A269,$A$4:$O$28,2,0)*(HLOOKUP(K$252,'2.2.Brecha Efectiva x UdM'!$H$64:$AK$71,2,0))</f>
        <v>33272912.856177919</v>
      </c>
      <c r="L269" s="32">
        <f>VLOOKUP($A269,$A$4:$O$28,2,0)*(HLOOKUP(L$252,'2.2.Brecha Efectiva x UdM'!$H$64:$AK$71,2,0))</f>
        <v>33513955.303128723</v>
      </c>
      <c r="M269" s="32">
        <f>VLOOKUP($A269,$A$4:$O$28,2,0)*(HLOOKUP(M$252,'2.2.Brecha Efectiva x UdM'!$H$64:$AK$71,2,0))</f>
        <v>33750641.959948681</v>
      </c>
      <c r="N269" s="32">
        <f>VLOOKUP($A269,$A$4:$O$28,2,0)*(HLOOKUP(N$252,'2.2.Brecha Efectiva x UdM'!$H$64:$AK$71,2,0))</f>
        <v>0</v>
      </c>
      <c r="O269" s="32">
        <f>VLOOKUP($A269,$A$4:$O$28,2,0)*(HLOOKUP(O$252,'2.2.Brecha Efectiva x UdM'!$H$64:$AK$71,2,0))</f>
        <v>0</v>
      </c>
      <c r="P269" s="32">
        <f>VLOOKUP($A269,$A$4:$O$28,2,0)*(HLOOKUP(P$252,'2.2.Brecha Efectiva x UdM'!$H$64:$AK$71,2,0))</f>
        <v>0</v>
      </c>
      <c r="Q269" s="32">
        <f>VLOOKUP($A269,$A$4:$O$28,2,0)*(HLOOKUP(Q$252,'2.2.Brecha Efectiva x UdM'!$H$64:$AK$71,2,0))</f>
        <v>0</v>
      </c>
      <c r="R269" s="32">
        <f>VLOOKUP($A269,$A$4:$O$28,2,0)*(HLOOKUP(R$252,'2.2.Brecha Efectiva x UdM'!$H$64:$AK$71,2,0))</f>
        <v>0</v>
      </c>
      <c r="S269" s="32">
        <f>VLOOKUP($A269,$A$4:$O$28,2,0)*(HLOOKUP(S$252,'2.2.Brecha Efectiva x UdM'!$H$64:$AK$71,2,0))</f>
        <v>0</v>
      </c>
      <c r="T269" s="32">
        <f>VLOOKUP($A269,$A$4:$O$28,2,0)*(HLOOKUP(T$252,'2.2.Brecha Efectiva x UdM'!$H$64:$AK$71,2,0))</f>
        <v>0</v>
      </c>
      <c r="U269" s="32">
        <f>VLOOKUP($A269,$A$4:$O$28,2,0)*(HLOOKUP(U$252,'2.2.Brecha Efectiva x UdM'!$H$64:$AK$71,2,0))</f>
        <v>0</v>
      </c>
      <c r="V269" s="32">
        <f>VLOOKUP($A269,$A$4:$O$28,2,0)*(HLOOKUP(V$252,'2.2.Brecha Efectiva x UdM'!$H$64:$AK$71,2,0))</f>
        <v>0</v>
      </c>
      <c r="W269" s="32">
        <f>VLOOKUP($A269,$A$4:$O$28,2,0)*(HLOOKUP(W$252,'2.2.Brecha Efectiva x UdM'!$H$64:$AK$71,2,0))</f>
        <v>0</v>
      </c>
      <c r="X269" s="32">
        <f>VLOOKUP($A269,$A$4:$O$28,2,0)*(HLOOKUP(X$252,'2.2.Brecha Efectiva x UdM'!$H$64:$AK$71,2,0))</f>
        <v>0</v>
      </c>
      <c r="Y269" s="32">
        <f>VLOOKUP($A269,$A$4:$O$28,2,0)*(HLOOKUP(Y$252,'2.2.Brecha Efectiva x UdM'!$H$64:$AK$71,2,0))</f>
        <v>0</v>
      </c>
      <c r="Z269" s="32">
        <f>VLOOKUP($A269,$A$4:$O$28,2,0)*(HLOOKUP(Z$252,'2.2.Brecha Efectiva x UdM'!$H$64:$AK$71,2,0))</f>
        <v>0</v>
      </c>
      <c r="AA269" s="32">
        <f>VLOOKUP($A269,$A$4:$O$28,2,0)*(HLOOKUP(AA$252,'2.2.Brecha Efectiva x UdM'!$H$64:$AK$71,2,0))</f>
        <v>0</v>
      </c>
      <c r="AB269" s="32">
        <f>VLOOKUP($A269,$A$4:$O$28,2,0)*(HLOOKUP(AB$252,'2.2.Brecha Efectiva x UdM'!$H$64:$AK$71,2,0))</f>
        <v>0</v>
      </c>
      <c r="AC269" s="32">
        <f>VLOOKUP($A269,$A$4:$O$28,2,0)*(HLOOKUP(AC$252,'2.2.Brecha Efectiva x UdM'!$H$64:$AK$71,2,0))</f>
        <v>0</v>
      </c>
      <c r="AD269" s="32">
        <f>VLOOKUP($A269,$A$4:$O$28,2,0)*(HLOOKUP(AD$252,'2.2.Brecha Efectiva x UdM'!$H$64:$AK$71,2,0))</f>
        <v>0</v>
      </c>
      <c r="AE269" s="32">
        <f>VLOOKUP($A269,$A$4:$O$28,2,0)*(HLOOKUP(AE$252,'2.2.Brecha Efectiva x UdM'!$H$64:$AK$71,2,0))</f>
        <v>0</v>
      </c>
      <c r="AF269" s="32">
        <f>VLOOKUP($A269,$A$4:$O$28,2,0)*(HLOOKUP(AF$252,'2.2.Brecha Efectiva x UdM'!$H$64:$AK$71,2,0))</f>
        <v>0</v>
      </c>
      <c r="AG269" s="32">
        <f>VLOOKUP($A269,$A$4:$O$28,2,0)*(HLOOKUP(AG$252,'2.2.Brecha Efectiva x UdM'!$H$64:$AK$71,2,0))</f>
        <v>0</v>
      </c>
      <c r="AH269" s="62">
        <f t="shared" si="261"/>
        <v>628414883.6210202</v>
      </c>
    </row>
    <row r="270" spans="1:34" x14ac:dyDescent="0.2">
      <c r="A270" s="26" t="str">
        <f t="shared" si="258"/>
        <v>San Juan</v>
      </c>
      <c r="B270" s="52" t="str">
        <f t="shared" si="259"/>
        <v>Nombre UdM 1</v>
      </c>
      <c r="C270" s="26" t="str">
        <f t="shared" si="260"/>
        <v>San Juan Nombre UdM 1</v>
      </c>
      <c r="D270" s="31">
        <f>VLOOKUP($A270,$A$4:$O$28,2,0)*(HLOOKUP(D$252,'2.2.Brecha Efectiva x UdM'!$H$64:$AK$71,2,0))</f>
        <v>208455276.49694446</v>
      </c>
      <c r="E270" s="31">
        <f>VLOOKUP($A270,$A$4:$O$28,2,0)*(HLOOKUP(E$252,'2.2.Brecha Efectiva x UdM'!$H$64:$AK$71,2,0))</f>
        <v>210253914.51314893</v>
      </c>
      <c r="F270" s="31">
        <f>VLOOKUP($A270,$A$4:$O$28,2,0)*(HLOOKUP(F$252,'2.2.Brecha Efectiva x UdM'!$H$64:$AK$71,2,0))</f>
        <v>130560541.17115588</v>
      </c>
      <c r="G270" s="31">
        <f>VLOOKUP($A270,$A$4:$O$28,2,0)*(HLOOKUP(G$252,'2.2.Brecha Efectiva x UdM'!$H$64:$AK$71,2,0))</f>
        <v>103558349.05163254</v>
      </c>
      <c r="H270" s="31">
        <f>VLOOKUP($A270,$A$4:$O$28,2,0)*(HLOOKUP(H$252,'2.2.Brecha Efectiva x UdM'!$H$64:$AK$71,2,0))</f>
        <v>54628249.769158468</v>
      </c>
      <c r="I270" s="31">
        <f>VLOOKUP($A270,$A$4:$O$28,2,0)*(HLOOKUP(I$252,'2.2.Brecha Efectiva x UdM'!$H$64:$AK$71,2,0))</f>
        <v>55055244.54022038</v>
      </c>
      <c r="J270" s="31">
        <f>VLOOKUP($A270,$A$4:$O$28,2,0)*(HLOOKUP(J$252,'2.2.Brecha Efectiva x UdM'!$H$64:$AK$71,2,0))</f>
        <v>55474709.782906175</v>
      </c>
      <c r="K270" s="31">
        <f>VLOOKUP($A270,$A$4:$O$28,2,0)*(HLOOKUP(K$252,'2.2.Brecha Efectiva x UdM'!$H$64:$AK$71,2,0))</f>
        <v>51558918.331024028</v>
      </c>
      <c r="L270" s="31">
        <f>VLOOKUP($A270,$A$4:$O$28,2,0)*(HLOOKUP(L$252,'2.2.Brecha Efectiva x UdM'!$H$64:$AK$71,2,0))</f>
        <v>51932432.0023508</v>
      </c>
      <c r="M270" s="31">
        <f>VLOOKUP($A270,$A$4:$O$28,2,0)*(HLOOKUP(M$252,'2.2.Brecha Efectiva x UdM'!$H$64:$AK$71,2,0))</f>
        <v>52299196.044374175</v>
      </c>
      <c r="N270" s="31">
        <f>VLOOKUP($A270,$A$4:$O$28,2,0)*(HLOOKUP(N$252,'2.2.Brecha Efectiva x UdM'!$H$64:$AK$71,2,0))</f>
        <v>0</v>
      </c>
      <c r="O270" s="31">
        <f>VLOOKUP($A270,$A$4:$O$28,2,0)*(HLOOKUP(O$252,'2.2.Brecha Efectiva x UdM'!$H$64:$AK$71,2,0))</f>
        <v>0</v>
      </c>
      <c r="P270" s="31">
        <f>VLOOKUP($A270,$A$4:$O$28,2,0)*(HLOOKUP(P$252,'2.2.Brecha Efectiva x UdM'!$H$64:$AK$71,2,0))</f>
        <v>0</v>
      </c>
      <c r="Q270" s="31">
        <f>VLOOKUP($A270,$A$4:$O$28,2,0)*(HLOOKUP(Q$252,'2.2.Brecha Efectiva x UdM'!$H$64:$AK$71,2,0))</f>
        <v>0</v>
      </c>
      <c r="R270" s="31">
        <f>VLOOKUP($A270,$A$4:$O$28,2,0)*(HLOOKUP(R$252,'2.2.Brecha Efectiva x UdM'!$H$64:$AK$71,2,0))</f>
        <v>0</v>
      </c>
      <c r="S270" s="31">
        <f>VLOOKUP($A270,$A$4:$O$28,2,0)*(HLOOKUP(S$252,'2.2.Brecha Efectiva x UdM'!$H$64:$AK$71,2,0))</f>
        <v>0</v>
      </c>
      <c r="T270" s="31">
        <f>VLOOKUP($A270,$A$4:$O$28,2,0)*(HLOOKUP(T$252,'2.2.Brecha Efectiva x UdM'!$H$64:$AK$71,2,0))</f>
        <v>0</v>
      </c>
      <c r="U270" s="31">
        <f>VLOOKUP($A270,$A$4:$O$28,2,0)*(HLOOKUP(U$252,'2.2.Brecha Efectiva x UdM'!$H$64:$AK$71,2,0))</f>
        <v>0</v>
      </c>
      <c r="V270" s="31">
        <f>VLOOKUP($A270,$A$4:$O$28,2,0)*(HLOOKUP(V$252,'2.2.Brecha Efectiva x UdM'!$H$64:$AK$71,2,0))</f>
        <v>0</v>
      </c>
      <c r="W270" s="31">
        <f>VLOOKUP($A270,$A$4:$O$28,2,0)*(HLOOKUP(W$252,'2.2.Brecha Efectiva x UdM'!$H$64:$AK$71,2,0))</f>
        <v>0</v>
      </c>
      <c r="X270" s="31">
        <f>VLOOKUP($A270,$A$4:$O$28,2,0)*(HLOOKUP(X$252,'2.2.Brecha Efectiva x UdM'!$H$64:$AK$71,2,0))</f>
        <v>0</v>
      </c>
      <c r="Y270" s="31">
        <f>VLOOKUP($A270,$A$4:$O$28,2,0)*(HLOOKUP(Y$252,'2.2.Brecha Efectiva x UdM'!$H$64:$AK$71,2,0))</f>
        <v>0</v>
      </c>
      <c r="Z270" s="31">
        <f>VLOOKUP($A270,$A$4:$O$28,2,0)*(HLOOKUP(Z$252,'2.2.Brecha Efectiva x UdM'!$H$64:$AK$71,2,0))</f>
        <v>0</v>
      </c>
      <c r="AA270" s="31">
        <f>VLOOKUP($A270,$A$4:$O$28,2,0)*(HLOOKUP(AA$252,'2.2.Brecha Efectiva x UdM'!$H$64:$AK$71,2,0))</f>
        <v>0</v>
      </c>
      <c r="AB270" s="31">
        <f>VLOOKUP($A270,$A$4:$O$28,2,0)*(HLOOKUP(AB$252,'2.2.Brecha Efectiva x UdM'!$H$64:$AK$71,2,0))</f>
        <v>0</v>
      </c>
      <c r="AC270" s="31">
        <f>VLOOKUP($A270,$A$4:$O$28,2,0)*(HLOOKUP(AC$252,'2.2.Brecha Efectiva x UdM'!$H$64:$AK$71,2,0))</f>
        <v>0</v>
      </c>
      <c r="AD270" s="31">
        <f>VLOOKUP($A270,$A$4:$O$28,2,0)*(HLOOKUP(AD$252,'2.2.Brecha Efectiva x UdM'!$H$64:$AK$71,2,0))</f>
        <v>0</v>
      </c>
      <c r="AE270" s="31">
        <f>VLOOKUP($A270,$A$4:$O$28,2,0)*(HLOOKUP(AE$252,'2.2.Brecha Efectiva x UdM'!$H$64:$AK$71,2,0))</f>
        <v>0</v>
      </c>
      <c r="AF270" s="31">
        <f>VLOOKUP($A270,$A$4:$O$28,2,0)*(HLOOKUP(AF$252,'2.2.Brecha Efectiva x UdM'!$H$64:$AK$71,2,0))</f>
        <v>0</v>
      </c>
      <c r="AG270" s="31">
        <f>VLOOKUP($A270,$A$4:$O$28,2,0)*(HLOOKUP(AG$252,'2.2.Brecha Efectiva x UdM'!$H$64:$AK$71,2,0))</f>
        <v>0</v>
      </c>
      <c r="AH270" s="63">
        <f t="shared" si="261"/>
        <v>973776831.70291591</v>
      </c>
    </row>
    <row r="271" spans="1:34" x14ac:dyDescent="0.2">
      <c r="A271" s="25" t="str">
        <f t="shared" si="258"/>
        <v>San Luis</v>
      </c>
      <c r="B271" s="51" t="str">
        <f t="shared" si="259"/>
        <v>Nombre UdM 1</v>
      </c>
      <c r="C271" s="25" t="str">
        <f t="shared" si="260"/>
        <v>San Luis Nombre UdM 1</v>
      </c>
      <c r="D271" s="32">
        <f>VLOOKUP($A271,$A$4:$O$28,2,0)*(HLOOKUP(D$252,'2.2.Brecha Efectiva x UdM'!$H$64:$AK$71,2,0))</f>
        <v>117246889.1699058</v>
      </c>
      <c r="E271" s="32">
        <f>VLOOKUP($A271,$A$4:$O$28,2,0)*(HLOOKUP(E$252,'2.2.Brecha Efectiva x UdM'!$H$64:$AK$71,2,0))</f>
        <v>118258543.63932766</v>
      </c>
      <c r="F271" s="32">
        <f>VLOOKUP($A271,$A$4:$O$28,2,0)*(HLOOKUP(F$252,'2.2.Brecha Efectiva x UdM'!$H$64:$AK$71,2,0))</f>
        <v>73434539.810662076</v>
      </c>
      <c r="G271" s="32">
        <f>VLOOKUP($A271,$A$4:$O$28,2,0)*(HLOOKUP(G$252,'2.2.Brecha Efectiva x UdM'!$H$64:$AK$71,2,0))</f>
        <v>58246998.962643936</v>
      </c>
      <c r="H271" s="32">
        <f>VLOOKUP($A271,$A$4:$O$28,2,0)*(HLOOKUP(H$252,'2.2.Brecha Efectiva x UdM'!$H$64:$AK$71,2,0))</f>
        <v>30725978.511387497</v>
      </c>
      <c r="I271" s="32">
        <f>VLOOKUP($A271,$A$4:$O$28,2,0)*(HLOOKUP(I$252,'2.2.Brecha Efectiva x UdM'!$H$64:$AK$71,2,0))</f>
        <v>30966144.217145294</v>
      </c>
      <c r="J271" s="32">
        <f>VLOOKUP($A271,$A$4:$O$28,2,0)*(HLOOKUP(J$252,'2.2.Brecha Efectiva x UdM'!$H$64:$AK$71,2,0))</f>
        <v>31202074.895640399</v>
      </c>
      <c r="K271" s="32">
        <f>VLOOKUP($A271,$A$4:$O$28,2,0)*(HLOOKUP(K$252,'2.2.Brecha Efectiva x UdM'!$H$64:$AK$71,2,0))</f>
        <v>28999615.096653156</v>
      </c>
      <c r="L271" s="32">
        <f>VLOOKUP($A271,$A$4:$O$28,2,0)*(HLOOKUP(L$252,'2.2.Brecha Efectiva x UdM'!$H$64:$AK$71,2,0))</f>
        <v>29209700.045143951</v>
      </c>
      <c r="M271" s="32">
        <f>VLOOKUP($A271,$A$4:$O$28,2,0)*(HLOOKUP(M$252,'2.2.Brecha Efectiva x UdM'!$H$64:$AK$71,2,0))</f>
        <v>29415988.625165824</v>
      </c>
      <c r="N271" s="32">
        <f>VLOOKUP($A271,$A$4:$O$28,2,0)*(HLOOKUP(N$252,'2.2.Brecha Efectiva x UdM'!$H$64:$AK$71,2,0))</f>
        <v>0</v>
      </c>
      <c r="O271" s="32">
        <f>VLOOKUP($A271,$A$4:$O$28,2,0)*(HLOOKUP(O$252,'2.2.Brecha Efectiva x UdM'!$H$64:$AK$71,2,0))</f>
        <v>0</v>
      </c>
      <c r="P271" s="32">
        <f>VLOOKUP($A271,$A$4:$O$28,2,0)*(HLOOKUP(P$252,'2.2.Brecha Efectiva x UdM'!$H$64:$AK$71,2,0))</f>
        <v>0</v>
      </c>
      <c r="Q271" s="32">
        <f>VLOOKUP($A271,$A$4:$O$28,2,0)*(HLOOKUP(Q$252,'2.2.Brecha Efectiva x UdM'!$H$64:$AK$71,2,0))</f>
        <v>0</v>
      </c>
      <c r="R271" s="32">
        <f>VLOOKUP($A271,$A$4:$O$28,2,0)*(HLOOKUP(R$252,'2.2.Brecha Efectiva x UdM'!$H$64:$AK$71,2,0))</f>
        <v>0</v>
      </c>
      <c r="S271" s="32">
        <f>VLOOKUP($A271,$A$4:$O$28,2,0)*(HLOOKUP(S$252,'2.2.Brecha Efectiva x UdM'!$H$64:$AK$71,2,0))</f>
        <v>0</v>
      </c>
      <c r="T271" s="32">
        <f>VLOOKUP($A271,$A$4:$O$28,2,0)*(HLOOKUP(T$252,'2.2.Brecha Efectiva x UdM'!$H$64:$AK$71,2,0))</f>
        <v>0</v>
      </c>
      <c r="U271" s="32">
        <f>VLOOKUP($A271,$A$4:$O$28,2,0)*(HLOOKUP(U$252,'2.2.Brecha Efectiva x UdM'!$H$64:$AK$71,2,0))</f>
        <v>0</v>
      </c>
      <c r="V271" s="32">
        <f>VLOOKUP($A271,$A$4:$O$28,2,0)*(HLOOKUP(V$252,'2.2.Brecha Efectiva x UdM'!$H$64:$AK$71,2,0))</f>
        <v>0</v>
      </c>
      <c r="W271" s="32">
        <f>VLOOKUP($A271,$A$4:$O$28,2,0)*(HLOOKUP(W$252,'2.2.Brecha Efectiva x UdM'!$H$64:$AK$71,2,0))</f>
        <v>0</v>
      </c>
      <c r="X271" s="32">
        <f>VLOOKUP($A271,$A$4:$O$28,2,0)*(HLOOKUP(X$252,'2.2.Brecha Efectiva x UdM'!$H$64:$AK$71,2,0))</f>
        <v>0</v>
      </c>
      <c r="Y271" s="32">
        <f>VLOOKUP($A271,$A$4:$O$28,2,0)*(HLOOKUP(Y$252,'2.2.Brecha Efectiva x UdM'!$H$64:$AK$71,2,0))</f>
        <v>0</v>
      </c>
      <c r="Z271" s="32">
        <f>VLOOKUP($A271,$A$4:$O$28,2,0)*(HLOOKUP(Z$252,'2.2.Brecha Efectiva x UdM'!$H$64:$AK$71,2,0))</f>
        <v>0</v>
      </c>
      <c r="AA271" s="32">
        <f>VLOOKUP($A271,$A$4:$O$28,2,0)*(HLOOKUP(AA$252,'2.2.Brecha Efectiva x UdM'!$H$64:$AK$71,2,0))</f>
        <v>0</v>
      </c>
      <c r="AB271" s="32">
        <f>VLOOKUP($A271,$A$4:$O$28,2,0)*(HLOOKUP(AB$252,'2.2.Brecha Efectiva x UdM'!$H$64:$AK$71,2,0))</f>
        <v>0</v>
      </c>
      <c r="AC271" s="32">
        <f>VLOOKUP($A271,$A$4:$O$28,2,0)*(HLOOKUP(AC$252,'2.2.Brecha Efectiva x UdM'!$H$64:$AK$71,2,0))</f>
        <v>0</v>
      </c>
      <c r="AD271" s="32">
        <f>VLOOKUP($A271,$A$4:$O$28,2,0)*(HLOOKUP(AD$252,'2.2.Brecha Efectiva x UdM'!$H$64:$AK$71,2,0))</f>
        <v>0</v>
      </c>
      <c r="AE271" s="32">
        <f>VLOOKUP($A271,$A$4:$O$28,2,0)*(HLOOKUP(AE$252,'2.2.Brecha Efectiva x UdM'!$H$64:$AK$71,2,0))</f>
        <v>0</v>
      </c>
      <c r="AF271" s="32">
        <f>VLOOKUP($A271,$A$4:$O$28,2,0)*(HLOOKUP(AF$252,'2.2.Brecha Efectiva x UdM'!$H$64:$AK$71,2,0))</f>
        <v>0</v>
      </c>
      <c r="AG271" s="32">
        <f>VLOOKUP($A271,$A$4:$O$28,2,0)*(HLOOKUP(AG$252,'2.2.Brecha Efectiva x UdM'!$H$64:$AK$71,2,0))</f>
        <v>0</v>
      </c>
      <c r="AH271" s="62">
        <f t="shared" si="261"/>
        <v>547706472.97367561</v>
      </c>
    </row>
    <row r="272" spans="1:34" x14ac:dyDescent="0.2">
      <c r="A272" s="26" t="str">
        <f t="shared" si="258"/>
        <v>Santa Cruz</v>
      </c>
      <c r="B272" s="52" t="str">
        <f t="shared" si="259"/>
        <v>Nombre UdM 1</v>
      </c>
      <c r="C272" s="26" t="str">
        <f t="shared" si="260"/>
        <v>Santa Cruz Nombre UdM 1</v>
      </c>
      <c r="D272" s="31">
        <f>VLOOKUP($A272,$A$4:$O$28,2,0)*(HLOOKUP(D$252,'2.2.Brecha Efectiva x UdM'!$H$64:$AK$71,2,0))</f>
        <v>787793972.36939669</v>
      </c>
      <c r="E272" s="31">
        <f>VLOOKUP($A272,$A$4:$O$28,2,0)*(HLOOKUP(E$252,'2.2.Brecha Efectiva x UdM'!$H$64:$AK$71,2,0))</f>
        <v>794591383.36062717</v>
      </c>
      <c r="F272" s="31">
        <f>VLOOKUP($A272,$A$4:$O$28,2,0)*(HLOOKUP(F$252,'2.2.Brecha Efectiva x UdM'!$H$64:$AK$71,2,0))</f>
        <v>493414266.56298006</v>
      </c>
      <c r="G272" s="31">
        <f>VLOOKUP($A272,$A$4:$O$28,2,0)*(HLOOKUP(G$252,'2.2.Brecha Efectiva x UdM'!$H$64:$AK$71,2,0))</f>
        <v>391367609.12165242</v>
      </c>
      <c r="H272" s="31">
        <f>VLOOKUP($A272,$A$4:$O$28,2,0)*(HLOOKUP(H$252,'2.2.Brecha Efectiva x UdM'!$H$64:$AK$71,2,0))</f>
        <v>206451026.86985111</v>
      </c>
      <c r="I272" s="31">
        <f>VLOOKUP($A272,$A$4:$O$28,2,0)*(HLOOKUP(I$252,'2.2.Brecha Efectiva x UdM'!$H$64:$AK$71,2,0))</f>
        <v>208064725.08142292</v>
      </c>
      <c r="J272" s="31">
        <f>VLOOKUP($A272,$A$4:$O$28,2,0)*(HLOOKUP(J$252,'2.2.Brecha Efectiva x UdM'!$H$64:$AK$71,2,0))</f>
        <v>209649967.7068893</v>
      </c>
      <c r="K272" s="31">
        <f>VLOOKUP($A272,$A$4:$O$28,2,0)*(HLOOKUP(K$252,'2.2.Brecha Efectiva x UdM'!$H$64:$AK$71,2,0))</f>
        <v>194851412.56984252</v>
      </c>
      <c r="L272" s="31">
        <f>VLOOKUP($A272,$A$4:$O$28,2,0)*(HLOOKUP(L$252,'2.2.Brecha Efectiva x UdM'!$H$64:$AK$71,2,0))</f>
        <v>196262995.06280527</v>
      </c>
      <c r="M272" s="31">
        <f>VLOOKUP($A272,$A$4:$O$28,2,0)*(HLOOKUP(M$252,'2.2.Brecha Efectiva x UdM'!$H$64:$AK$71,2,0))</f>
        <v>197649069.36345789</v>
      </c>
      <c r="N272" s="31">
        <f>VLOOKUP($A272,$A$4:$O$28,2,0)*(HLOOKUP(N$252,'2.2.Brecha Efectiva x UdM'!$H$64:$AK$71,2,0))</f>
        <v>0</v>
      </c>
      <c r="O272" s="31">
        <f>VLOOKUP($A272,$A$4:$O$28,2,0)*(HLOOKUP(O$252,'2.2.Brecha Efectiva x UdM'!$H$64:$AK$71,2,0))</f>
        <v>0</v>
      </c>
      <c r="P272" s="31">
        <f>VLOOKUP($A272,$A$4:$O$28,2,0)*(HLOOKUP(P$252,'2.2.Brecha Efectiva x UdM'!$H$64:$AK$71,2,0))</f>
        <v>0</v>
      </c>
      <c r="Q272" s="31">
        <f>VLOOKUP($A272,$A$4:$O$28,2,0)*(HLOOKUP(Q$252,'2.2.Brecha Efectiva x UdM'!$H$64:$AK$71,2,0))</f>
        <v>0</v>
      </c>
      <c r="R272" s="31">
        <f>VLOOKUP($A272,$A$4:$O$28,2,0)*(HLOOKUP(R$252,'2.2.Brecha Efectiva x UdM'!$H$64:$AK$71,2,0))</f>
        <v>0</v>
      </c>
      <c r="S272" s="31">
        <f>VLOOKUP($A272,$A$4:$O$28,2,0)*(HLOOKUP(S$252,'2.2.Brecha Efectiva x UdM'!$H$64:$AK$71,2,0))</f>
        <v>0</v>
      </c>
      <c r="T272" s="31">
        <f>VLOOKUP($A272,$A$4:$O$28,2,0)*(HLOOKUP(T$252,'2.2.Brecha Efectiva x UdM'!$H$64:$AK$71,2,0))</f>
        <v>0</v>
      </c>
      <c r="U272" s="31">
        <f>VLOOKUP($A272,$A$4:$O$28,2,0)*(HLOOKUP(U$252,'2.2.Brecha Efectiva x UdM'!$H$64:$AK$71,2,0))</f>
        <v>0</v>
      </c>
      <c r="V272" s="31">
        <f>VLOOKUP($A272,$A$4:$O$28,2,0)*(HLOOKUP(V$252,'2.2.Brecha Efectiva x UdM'!$H$64:$AK$71,2,0))</f>
        <v>0</v>
      </c>
      <c r="W272" s="31">
        <f>VLOOKUP($A272,$A$4:$O$28,2,0)*(HLOOKUP(W$252,'2.2.Brecha Efectiva x UdM'!$H$64:$AK$71,2,0))</f>
        <v>0</v>
      </c>
      <c r="X272" s="31">
        <f>VLOOKUP($A272,$A$4:$O$28,2,0)*(HLOOKUP(X$252,'2.2.Brecha Efectiva x UdM'!$H$64:$AK$71,2,0))</f>
        <v>0</v>
      </c>
      <c r="Y272" s="31">
        <f>VLOOKUP($A272,$A$4:$O$28,2,0)*(HLOOKUP(Y$252,'2.2.Brecha Efectiva x UdM'!$H$64:$AK$71,2,0))</f>
        <v>0</v>
      </c>
      <c r="Z272" s="31">
        <f>VLOOKUP($A272,$A$4:$O$28,2,0)*(HLOOKUP(Z$252,'2.2.Brecha Efectiva x UdM'!$H$64:$AK$71,2,0))</f>
        <v>0</v>
      </c>
      <c r="AA272" s="31">
        <f>VLOOKUP($A272,$A$4:$O$28,2,0)*(HLOOKUP(AA$252,'2.2.Brecha Efectiva x UdM'!$H$64:$AK$71,2,0))</f>
        <v>0</v>
      </c>
      <c r="AB272" s="31">
        <f>VLOOKUP($A272,$A$4:$O$28,2,0)*(HLOOKUP(AB$252,'2.2.Brecha Efectiva x UdM'!$H$64:$AK$71,2,0))</f>
        <v>0</v>
      </c>
      <c r="AC272" s="31">
        <f>VLOOKUP($A272,$A$4:$O$28,2,0)*(HLOOKUP(AC$252,'2.2.Brecha Efectiva x UdM'!$H$64:$AK$71,2,0))</f>
        <v>0</v>
      </c>
      <c r="AD272" s="31">
        <f>VLOOKUP($A272,$A$4:$O$28,2,0)*(HLOOKUP(AD$252,'2.2.Brecha Efectiva x UdM'!$H$64:$AK$71,2,0))</f>
        <v>0</v>
      </c>
      <c r="AE272" s="31">
        <f>VLOOKUP($A272,$A$4:$O$28,2,0)*(HLOOKUP(AE$252,'2.2.Brecha Efectiva x UdM'!$H$64:$AK$71,2,0))</f>
        <v>0</v>
      </c>
      <c r="AF272" s="31">
        <f>VLOOKUP($A272,$A$4:$O$28,2,0)*(HLOOKUP(AF$252,'2.2.Brecha Efectiva x UdM'!$H$64:$AK$71,2,0))</f>
        <v>0</v>
      </c>
      <c r="AG272" s="31">
        <f>VLOOKUP($A272,$A$4:$O$28,2,0)*(HLOOKUP(AG$252,'2.2.Brecha Efectiva x UdM'!$H$64:$AK$71,2,0))</f>
        <v>0</v>
      </c>
      <c r="AH272" s="63">
        <f t="shared" si="261"/>
        <v>3680096428.0689249</v>
      </c>
    </row>
    <row r="273" spans="1:34" x14ac:dyDescent="0.2">
      <c r="A273" s="25" t="str">
        <f t="shared" si="258"/>
        <v>Santa Fe</v>
      </c>
      <c r="B273" s="51" t="str">
        <f t="shared" si="259"/>
        <v>Nombre UdM 1</v>
      </c>
      <c r="C273" s="25" t="str">
        <f t="shared" si="260"/>
        <v>Santa Fe Nombre UdM 1</v>
      </c>
      <c r="D273" s="32">
        <f>VLOOKUP($A273,$A$4:$O$28,2,0)*(HLOOKUP(D$252,'2.2.Brecha Efectiva x UdM'!$H$64:$AK$71,2,0))</f>
        <v>121312598.33853097</v>
      </c>
      <c r="E273" s="32">
        <f>VLOOKUP($A273,$A$4:$O$28,2,0)*(HLOOKUP(E$252,'2.2.Brecha Efectiva x UdM'!$H$64:$AK$71,2,0))</f>
        <v>122359333.42186873</v>
      </c>
      <c r="F273" s="32">
        <f>VLOOKUP($A273,$A$4:$O$28,2,0)*(HLOOKUP(F$252,'2.2.Brecha Efectiva x UdM'!$H$64:$AK$71,2,0))</f>
        <v>75980991.012188807</v>
      </c>
      <c r="G273" s="32">
        <f>VLOOKUP($A273,$A$4:$O$28,2,0)*(HLOOKUP(G$252,'2.2.Brecha Efectiva x UdM'!$H$64:$AK$71,2,0))</f>
        <v>60266799.738629952</v>
      </c>
      <c r="H273" s="32">
        <f>VLOOKUP($A273,$A$4:$O$28,2,0)*(HLOOKUP(H$252,'2.2.Brecha Efectiva x UdM'!$H$64:$AK$71,2,0))</f>
        <v>31791447.228154037</v>
      </c>
      <c r="I273" s="32">
        <f>VLOOKUP($A273,$A$4:$O$28,2,0)*(HLOOKUP(I$252,'2.2.Brecha Efectiva x UdM'!$H$64:$AK$71,2,0))</f>
        <v>32039941.034715205</v>
      </c>
      <c r="J273" s="32">
        <f>VLOOKUP($A273,$A$4:$O$28,2,0)*(HLOOKUP(J$252,'2.2.Brecha Efectiva x UdM'!$H$64:$AK$71,2,0))</f>
        <v>32284052.95818413</v>
      </c>
      <c r="K273" s="32">
        <f>VLOOKUP($A273,$A$4:$O$28,2,0)*(HLOOKUP(K$252,'2.2.Brecha Efectiva x UdM'!$H$64:$AK$71,2,0))</f>
        <v>30005219.610511139</v>
      </c>
      <c r="L273" s="32">
        <f>VLOOKUP($A273,$A$4:$O$28,2,0)*(HLOOKUP(L$252,'2.2.Brecha Efectiva x UdM'!$H$64:$AK$71,2,0))</f>
        <v>30222589.565088797</v>
      </c>
      <c r="M273" s="32">
        <f>VLOOKUP($A273,$A$4:$O$28,2,0)*(HLOOKUP(M$252,'2.2.Brecha Efectiva x UdM'!$H$64:$AK$71,2,0))</f>
        <v>30436031.506509986</v>
      </c>
      <c r="N273" s="32">
        <f>VLOOKUP($A273,$A$4:$O$28,2,0)*(HLOOKUP(N$252,'2.2.Brecha Efectiva x UdM'!$H$64:$AK$71,2,0))</f>
        <v>0</v>
      </c>
      <c r="O273" s="32">
        <f>VLOOKUP($A273,$A$4:$O$28,2,0)*(HLOOKUP(O$252,'2.2.Brecha Efectiva x UdM'!$H$64:$AK$71,2,0))</f>
        <v>0</v>
      </c>
      <c r="P273" s="32">
        <f>VLOOKUP($A273,$A$4:$O$28,2,0)*(HLOOKUP(P$252,'2.2.Brecha Efectiva x UdM'!$H$64:$AK$71,2,0))</f>
        <v>0</v>
      </c>
      <c r="Q273" s="32">
        <f>VLOOKUP($A273,$A$4:$O$28,2,0)*(HLOOKUP(Q$252,'2.2.Brecha Efectiva x UdM'!$H$64:$AK$71,2,0))</f>
        <v>0</v>
      </c>
      <c r="R273" s="32">
        <f>VLOOKUP($A273,$A$4:$O$28,2,0)*(HLOOKUP(R$252,'2.2.Brecha Efectiva x UdM'!$H$64:$AK$71,2,0))</f>
        <v>0</v>
      </c>
      <c r="S273" s="32">
        <f>VLOOKUP($A273,$A$4:$O$28,2,0)*(HLOOKUP(S$252,'2.2.Brecha Efectiva x UdM'!$H$64:$AK$71,2,0))</f>
        <v>0</v>
      </c>
      <c r="T273" s="32">
        <f>VLOOKUP($A273,$A$4:$O$28,2,0)*(HLOOKUP(T$252,'2.2.Brecha Efectiva x UdM'!$H$64:$AK$71,2,0))</f>
        <v>0</v>
      </c>
      <c r="U273" s="32">
        <f>VLOOKUP($A273,$A$4:$O$28,2,0)*(HLOOKUP(U$252,'2.2.Brecha Efectiva x UdM'!$H$64:$AK$71,2,0))</f>
        <v>0</v>
      </c>
      <c r="V273" s="32">
        <f>VLOOKUP($A273,$A$4:$O$28,2,0)*(HLOOKUP(V$252,'2.2.Brecha Efectiva x UdM'!$H$64:$AK$71,2,0))</f>
        <v>0</v>
      </c>
      <c r="W273" s="32">
        <f>VLOOKUP($A273,$A$4:$O$28,2,0)*(HLOOKUP(W$252,'2.2.Brecha Efectiva x UdM'!$H$64:$AK$71,2,0))</f>
        <v>0</v>
      </c>
      <c r="X273" s="32">
        <f>VLOOKUP($A273,$A$4:$O$28,2,0)*(HLOOKUP(X$252,'2.2.Brecha Efectiva x UdM'!$H$64:$AK$71,2,0))</f>
        <v>0</v>
      </c>
      <c r="Y273" s="32">
        <f>VLOOKUP($A273,$A$4:$O$28,2,0)*(HLOOKUP(Y$252,'2.2.Brecha Efectiva x UdM'!$H$64:$AK$71,2,0))</f>
        <v>0</v>
      </c>
      <c r="Z273" s="32">
        <f>VLOOKUP($A273,$A$4:$O$28,2,0)*(HLOOKUP(Z$252,'2.2.Brecha Efectiva x UdM'!$H$64:$AK$71,2,0))</f>
        <v>0</v>
      </c>
      <c r="AA273" s="32">
        <f>VLOOKUP($A273,$A$4:$O$28,2,0)*(HLOOKUP(AA$252,'2.2.Brecha Efectiva x UdM'!$H$64:$AK$71,2,0))</f>
        <v>0</v>
      </c>
      <c r="AB273" s="32">
        <f>VLOOKUP($A273,$A$4:$O$28,2,0)*(HLOOKUP(AB$252,'2.2.Brecha Efectiva x UdM'!$H$64:$AK$71,2,0))</f>
        <v>0</v>
      </c>
      <c r="AC273" s="32">
        <f>VLOOKUP($A273,$A$4:$O$28,2,0)*(HLOOKUP(AC$252,'2.2.Brecha Efectiva x UdM'!$H$64:$AK$71,2,0))</f>
        <v>0</v>
      </c>
      <c r="AD273" s="32">
        <f>VLOOKUP($A273,$A$4:$O$28,2,0)*(HLOOKUP(AD$252,'2.2.Brecha Efectiva x UdM'!$H$64:$AK$71,2,0))</f>
        <v>0</v>
      </c>
      <c r="AE273" s="32">
        <f>VLOOKUP($A273,$A$4:$O$28,2,0)*(HLOOKUP(AE$252,'2.2.Brecha Efectiva x UdM'!$H$64:$AK$71,2,0))</f>
        <v>0</v>
      </c>
      <c r="AF273" s="32">
        <f>VLOOKUP($A273,$A$4:$O$28,2,0)*(HLOOKUP(AF$252,'2.2.Brecha Efectiva x UdM'!$H$64:$AK$71,2,0))</f>
        <v>0</v>
      </c>
      <c r="AG273" s="32">
        <f>VLOOKUP($A273,$A$4:$O$28,2,0)*(HLOOKUP(AG$252,'2.2.Brecha Efectiva x UdM'!$H$64:$AK$71,2,0))</f>
        <v>0</v>
      </c>
      <c r="AH273" s="62">
        <f t="shared" si="261"/>
        <v>566699004.41438174</v>
      </c>
    </row>
    <row r="274" spans="1:34" x14ac:dyDescent="0.2">
      <c r="A274" s="26" t="str">
        <f t="shared" si="258"/>
        <v>Santiago del Estero</v>
      </c>
      <c r="B274" s="52" t="str">
        <f t="shared" si="259"/>
        <v>Nombre UdM 1</v>
      </c>
      <c r="C274" s="26" t="str">
        <f t="shared" si="260"/>
        <v>Santiago del Estero Nombre UdM 1</v>
      </c>
      <c r="D274" s="31">
        <f>VLOOKUP($A274,$A$4:$O$28,2,0)*(HLOOKUP(D$252,'2.2.Brecha Efectiva x UdM'!$H$64:$AK$71,2,0))</f>
        <v>110796982.55873819</v>
      </c>
      <c r="E274" s="31">
        <f>VLOOKUP($A274,$A$4:$O$28,2,0)*(HLOOKUP(E$252,'2.2.Brecha Efectiva x UdM'!$H$64:$AK$71,2,0))</f>
        <v>111752984.57634032</v>
      </c>
      <c r="F274" s="31">
        <f>VLOOKUP($A274,$A$4:$O$28,2,0)*(HLOOKUP(F$252,'2.2.Brecha Efectiva x UdM'!$H$64:$AK$71,2,0))</f>
        <v>69394808.546436653</v>
      </c>
      <c r="G274" s="31">
        <f>VLOOKUP($A274,$A$4:$O$28,2,0)*(HLOOKUP(G$252,'2.2.Brecha Efectiva x UdM'!$H$64:$AK$71,2,0))</f>
        <v>55042754.429167137</v>
      </c>
      <c r="H274" s="31">
        <f>VLOOKUP($A274,$A$4:$O$28,2,0)*(HLOOKUP(H$252,'2.2.Brecha Efectiva x UdM'!$H$64:$AK$71,2,0))</f>
        <v>29035701.751481276</v>
      </c>
      <c r="I274" s="31">
        <f>VLOOKUP($A274,$A$4:$O$28,2,0)*(HLOOKUP(I$252,'2.2.Brecha Efectiva x UdM'!$H$64:$AK$71,2,0))</f>
        <v>29262655.623779695</v>
      </c>
      <c r="J274" s="31">
        <f>VLOOKUP($A274,$A$4:$O$28,2,0)*(HLOOKUP(J$252,'2.2.Brecha Efectiva x UdM'!$H$64:$AK$71,2,0))</f>
        <v>29485607.443272427</v>
      </c>
      <c r="K274" s="31">
        <f>VLOOKUP($A274,$A$4:$O$28,2,0)*(HLOOKUP(K$252,'2.2.Brecha Efectiva x UdM'!$H$64:$AK$71,2,0))</f>
        <v>27404307.873941537</v>
      </c>
      <c r="L274" s="31">
        <f>VLOOKUP($A274,$A$4:$O$28,2,0)*(HLOOKUP(L$252,'2.2.Brecha Efectiva x UdM'!$H$64:$AK$71,2,0))</f>
        <v>27602835.771257915</v>
      </c>
      <c r="M274" s="31">
        <f>VLOOKUP($A274,$A$4:$O$28,2,0)*(HLOOKUP(M$252,'2.2.Brecha Efectiva x UdM'!$H$64:$AK$71,2,0))</f>
        <v>27797776.143361337</v>
      </c>
      <c r="N274" s="31">
        <f>VLOOKUP($A274,$A$4:$O$28,2,0)*(HLOOKUP(N$252,'2.2.Brecha Efectiva x UdM'!$H$64:$AK$71,2,0))</f>
        <v>0</v>
      </c>
      <c r="O274" s="31">
        <f>VLOOKUP($A274,$A$4:$O$28,2,0)*(HLOOKUP(O$252,'2.2.Brecha Efectiva x UdM'!$H$64:$AK$71,2,0))</f>
        <v>0</v>
      </c>
      <c r="P274" s="31">
        <f>VLOOKUP($A274,$A$4:$O$28,2,0)*(HLOOKUP(P$252,'2.2.Brecha Efectiva x UdM'!$H$64:$AK$71,2,0))</f>
        <v>0</v>
      </c>
      <c r="Q274" s="31">
        <f>VLOOKUP($A274,$A$4:$O$28,2,0)*(HLOOKUP(Q$252,'2.2.Brecha Efectiva x UdM'!$H$64:$AK$71,2,0))</f>
        <v>0</v>
      </c>
      <c r="R274" s="31">
        <f>VLOOKUP($A274,$A$4:$O$28,2,0)*(HLOOKUP(R$252,'2.2.Brecha Efectiva x UdM'!$H$64:$AK$71,2,0))</f>
        <v>0</v>
      </c>
      <c r="S274" s="31">
        <f>VLOOKUP($A274,$A$4:$O$28,2,0)*(HLOOKUP(S$252,'2.2.Brecha Efectiva x UdM'!$H$64:$AK$71,2,0))</f>
        <v>0</v>
      </c>
      <c r="T274" s="31">
        <f>VLOOKUP($A274,$A$4:$O$28,2,0)*(HLOOKUP(T$252,'2.2.Brecha Efectiva x UdM'!$H$64:$AK$71,2,0))</f>
        <v>0</v>
      </c>
      <c r="U274" s="31">
        <f>VLOOKUP($A274,$A$4:$O$28,2,0)*(HLOOKUP(U$252,'2.2.Brecha Efectiva x UdM'!$H$64:$AK$71,2,0))</f>
        <v>0</v>
      </c>
      <c r="V274" s="31">
        <f>VLOOKUP($A274,$A$4:$O$28,2,0)*(HLOOKUP(V$252,'2.2.Brecha Efectiva x UdM'!$H$64:$AK$71,2,0))</f>
        <v>0</v>
      </c>
      <c r="W274" s="31">
        <f>VLOOKUP($A274,$A$4:$O$28,2,0)*(HLOOKUP(W$252,'2.2.Brecha Efectiva x UdM'!$H$64:$AK$71,2,0))</f>
        <v>0</v>
      </c>
      <c r="X274" s="31">
        <f>VLOOKUP($A274,$A$4:$O$28,2,0)*(HLOOKUP(X$252,'2.2.Brecha Efectiva x UdM'!$H$64:$AK$71,2,0))</f>
        <v>0</v>
      </c>
      <c r="Y274" s="31">
        <f>VLOOKUP($A274,$A$4:$O$28,2,0)*(HLOOKUP(Y$252,'2.2.Brecha Efectiva x UdM'!$H$64:$AK$71,2,0))</f>
        <v>0</v>
      </c>
      <c r="Z274" s="31">
        <f>VLOOKUP($A274,$A$4:$O$28,2,0)*(HLOOKUP(Z$252,'2.2.Brecha Efectiva x UdM'!$H$64:$AK$71,2,0))</f>
        <v>0</v>
      </c>
      <c r="AA274" s="31">
        <f>VLOOKUP($A274,$A$4:$O$28,2,0)*(HLOOKUP(AA$252,'2.2.Brecha Efectiva x UdM'!$H$64:$AK$71,2,0))</f>
        <v>0</v>
      </c>
      <c r="AB274" s="31">
        <f>VLOOKUP($A274,$A$4:$O$28,2,0)*(HLOOKUP(AB$252,'2.2.Brecha Efectiva x UdM'!$H$64:$AK$71,2,0))</f>
        <v>0</v>
      </c>
      <c r="AC274" s="31">
        <f>VLOOKUP($A274,$A$4:$O$28,2,0)*(HLOOKUP(AC$252,'2.2.Brecha Efectiva x UdM'!$H$64:$AK$71,2,0))</f>
        <v>0</v>
      </c>
      <c r="AD274" s="31">
        <f>VLOOKUP($A274,$A$4:$O$28,2,0)*(HLOOKUP(AD$252,'2.2.Brecha Efectiva x UdM'!$H$64:$AK$71,2,0))</f>
        <v>0</v>
      </c>
      <c r="AE274" s="31">
        <f>VLOOKUP($A274,$A$4:$O$28,2,0)*(HLOOKUP(AE$252,'2.2.Brecha Efectiva x UdM'!$H$64:$AK$71,2,0))</f>
        <v>0</v>
      </c>
      <c r="AF274" s="31">
        <f>VLOOKUP($A274,$A$4:$O$28,2,0)*(HLOOKUP(AF$252,'2.2.Brecha Efectiva x UdM'!$H$64:$AK$71,2,0))</f>
        <v>0</v>
      </c>
      <c r="AG274" s="31">
        <f>VLOOKUP($A274,$A$4:$O$28,2,0)*(HLOOKUP(AG$252,'2.2.Brecha Efectiva x UdM'!$H$64:$AK$71,2,0))</f>
        <v>0</v>
      </c>
      <c r="AH274" s="63">
        <f t="shared" si="261"/>
        <v>517576414.71777654</v>
      </c>
    </row>
    <row r="275" spans="1:34" x14ac:dyDescent="0.2">
      <c r="A275" s="25" t="str">
        <f t="shared" si="258"/>
        <v>Tierra del Fuego</v>
      </c>
      <c r="B275" s="51" t="str">
        <f t="shared" si="259"/>
        <v>Nombre UdM 1</v>
      </c>
      <c r="C275" s="25" t="str">
        <f t="shared" si="260"/>
        <v>Tierra del Fuego Nombre UdM 1</v>
      </c>
      <c r="D275" s="32">
        <f>VLOOKUP($A275,$A$4:$O$28,2,0)*(HLOOKUP(D$252,'2.2.Brecha Efectiva x UdM'!$H$64:$AK$71,2,0))</f>
        <v>73283160.220409006</v>
      </c>
      <c r="E275" s="32">
        <f>VLOOKUP($A275,$A$4:$O$28,2,0)*(HLOOKUP(E$252,'2.2.Brecha Efectiva x UdM'!$H$64:$AK$71,2,0))</f>
        <v>73915477.521918818</v>
      </c>
      <c r="F275" s="32">
        <f>VLOOKUP($A275,$A$4:$O$28,2,0)*(HLOOKUP(F$252,'2.2.Brecha Efectiva x UdM'!$H$64:$AK$71,2,0))</f>
        <v>45899001.54074233</v>
      </c>
      <c r="G275" s="32">
        <f>VLOOKUP($A275,$A$4:$O$28,2,0)*(HLOOKUP(G$252,'2.2.Brecha Efectiva x UdM'!$H$64:$AK$71,2,0))</f>
        <v>36406289.220618829</v>
      </c>
      <c r="H275" s="32">
        <f>VLOOKUP($A275,$A$4:$O$28,2,0)*(HLOOKUP(H$252,'2.2.Brecha Efectiva x UdM'!$H$64:$AK$71,2,0))</f>
        <v>19204746.685567547</v>
      </c>
      <c r="I275" s="32">
        <f>VLOOKUP($A275,$A$4:$O$28,2,0)*(HLOOKUP(I$252,'2.2.Brecha Efectiva x UdM'!$H$64:$AK$71,2,0))</f>
        <v>19354858.14710911</v>
      </c>
      <c r="J275" s="32">
        <f>VLOOKUP($A275,$A$4:$O$28,2,0)*(HLOOKUP(J$252,'2.2.Brecha Efectiva x UdM'!$H$64:$AK$71,2,0))</f>
        <v>19502322.577385053</v>
      </c>
      <c r="K275" s="32">
        <f>VLOOKUP($A275,$A$4:$O$28,2,0)*(HLOOKUP(K$252,'2.2.Brecha Efectiva x UdM'!$H$64:$AK$71,2,0))</f>
        <v>18125712.797194656</v>
      </c>
      <c r="L275" s="32">
        <f>VLOOKUP($A275,$A$4:$O$28,2,0)*(HLOOKUP(L$252,'2.2.Brecha Efectiva x UdM'!$H$64:$AK$71,2,0))</f>
        <v>18257022.796540026</v>
      </c>
      <c r="M275" s="32">
        <f>VLOOKUP($A275,$A$4:$O$28,2,0)*(HLOOKUP(M$252,'2.2.Brecha Efectiva x UdM'!$H$64:$AK$71,2,0))</f>
        <v>18385959.940786783</v>
      </c>
      <c r="N275" s="32">
        <f>VLOOKUP($A275,$A$4:$O$28,2,0)*(HLOOKUP(N$252,'2.2.Brecha Efectiva x UdM'!$H$64:$AK$71,2,0))</f>
        <v>0</v>
      </c>
      <c r="O275" s="32">
        <f>VLOOKUP($A275,$A$4:$O$28,2,0)*(HLOOKUP(O$252,'2.2.Brecha Efectiva x UdM'!$H$64:$AK$71,2,0))</f>
        <v>0</v>
      </c>
      <c r="P275" s="32">
        <f>VLOOKUP($A275,$A$4:$O$28,2,0)*(HLOOKUP(P$252,'2.2.Brecha Efectiva x UdM'!$H$64:$AK$71,2,0))</f>
        <v>0</v>
      </c>
      <c r="Q275" s="32">
        <f>VLOOKUP($A275,$A$4:$O$28,2,0)*(HLOOKUP(Q$252,'2.2.Brecha Efectiva x UdM'!$H$64:$AK$71,2,0))</f>
        <v>0</v>
      </c>
      <c r="R275" s="32">
        <f>VLOOKUP($A275,$A$4:$O$28,2,0)*(HLOOKUP(R$252,'2.2.Brecha Efectiva x UdM'!$H$64:$AK$71,2,0))</f>
        <v>0</v>
      </c>
      <c r="S275" s="32">
        <f>VLOOKUP($A275,$A$4:$O$28,2,0)*(HLOOKUP(S$252,'2.2.Brecha Efectiva x UdM'!$H$64:$AK$71,2,0))</f>
        <v>0</v>
      </c>
      <c r="T275" s="32">
        <f>VLOOKUP($A275,$A$4:$O$28,2,0)*(HLOOKUP(T$252,'2.2.Brecha Efectiva x UdM'!$H$64:$AK$71,2,0))</f>
        <v>0</v>
      </c>
      <c r="U275" s="32">
        <f>VLOOKUP($A275,$A$4:$O$28,2,0)*(HLOOKUP(U$252,'2.2.Brecha Efectiva x UdM'!$H$64:$AK$71,2,0))</f>
        <v>0</v>
      </c>
      <c r="V275" s="32">
        <f>VLOOKUP($A275,$A$4:$O$28,2,0)*(HLOOKUP(V$252,'2.2.Brecha Efectiva x UdM'!$H$64:$AK$71,2,0))</f>
        <v>0</v>
      </c>
      <c r="W275" s="32">
        <f>VLOOKUP($A275,$A$4:$O$28,2,0)*(HLOOKUP(W$252,'2.2.Brecha Efectiva x UdM'!$H$64:$AK$71,2,0))</f>
        <v>0</v>
      </c>
      <c r="X275" s="32">
        <f>VLOOKUP($A275,$A$4:$O$28,2,0)*(HLOOKUP(X$252,'2.2.Brecha Efectiva x UdM'!$H$64:$AK$71,2,0))</f>
        <v>0</v>
      </c>
      <c r="Y275" s="32">
        <f>VLOOKUP($A275,$A$4:$O$28,2,0)*(HLOOKUP(Y$252,'2.2.Brecha Efectiva x UdM'!$H$64:$AK$71,2,0))</f>
        <v>0</v>
      </c>
      <c r="Z275" s="32">
        <f>VLOOKUP($A275,$A$4:$O$28,2,0)*(HLOOKUP(Z$252,'2.2.Brecha Efectiva x UdM'!$H$64:$AK$71,2,0))</f>
        <v>0</v>
      </c>
      <c r="AA275" s="32">
        <f>VLOOKUP($A275,$A$4:$O$28,2,0)*(HLOOKUP(AA$252,'2.2.Brecha Efectiva x UdM'!$H$64:$AK$71,2,0))</f>
        <v>0</v>
      </c>
      <c r="AB275" s="32">
        <f>VLOOKUP($A275,$A$4:$O$28,2,0)*(HLOOKUP(AB$252,'2.2.Brecha Efectiva x UdM'!$H$64:$AK$71,2,0))</f>
        <v>0</v>
      </c>
      <c r="AC275" s="32">
        <f>VLOOKUP($A275,$A$4:$O$28,2,0)*(HLOOKUP(AC$252,'2.2.Brecha Efectiva x UdM'!$H$64:$AK$71,2,0))</f>
        <v>0</v>
      </c>
      <c r="AD275" s="32">
        <f>VLOOKUP($A275,$A$4:$O$28,2,0)*(HLOOKUP(AD$252,'2.2.Brecha Efectiva x UdM'!$H$64:$AK$71,2,0))</f>
        <v>0</v>
      </c>
      <c r="AE275" s="32">
        <f>VLOOKUP($A275,$A$4:$O$28,2,0)*(HLOOKUP(AE$252,'2.2.Brecha Efectiva x UdM'!$H$64:$AK$71,2,0))</f>
        <v>0</v>
      </c>
      <c r="AF275" s="32">
        <f>VLOOKUP($A275,$A$4:$O$28,2,0)*(HLOOKUP(AF$252,'2.2.Brecha Efectiva x UdM'!$H$64:$AK$71,2,0))</f>
        <v>0</v>
      </c>
      <c r="AG275" s="32">
        <f>VLOOKUP($A275,$A$4:$O$28,2,0)*(HLOOKUP(AG$252,'2.2.Brecha Efectiva x UdM'!$H$64:$AK$71,2,0))</f>
        <v>0</v>
      </c>
      <c r="AH275" s="62">
        <f t="shared" si="261"/>
        <v>342334551.44827217</v>
      </c>
    </row>
    <row r="276" spans="1:34" x14ac:dyDescent="0.2">
      <c r="A276" s="26" t="str">
        <f t="shared" si="258"/>
        <v>Tucumán</v>
      </c>
      <c r="B276" s="52" t="str">
        <f t="shared" si="259"/>
        <v>Nombre UdM 1</v>
      </c>
      <c r="C276" s="26" t="str">
        <f t="shared" si="260"/>
        <v>Tucumán Nombre UdM 1</v>
      </c>
      <c r="D276" s="31">
        <f>VLOOKUP($A276,$A$4:$O$28,2,0)*(HLOOKUP(D$252,'2.2.Brecha Efectiva x UdM'!$H$64:$AK$71,2,0))</f>
        <v>25623627.617493428</v>
      </c>
      <c r="E276" s="31">
        <f>VLOOKUP($A276,$A$4:$O$28,2,0)*(HLOOKUP(E$252,'2.2.Brecha Efectiva x UdM'!$H$64:$AK$71,2,0))</f>
        <v>25844718.834374025</v>
      </c>
      <c r="F276" s="31">
        <f>VLOOKUP($A276,$A$4:$O$28,2,0)*(HLOOKUP(F$252,'2.2.Brecha Efectiva x UdM'!$H$64:$AK$71,2,0))</f>
        <v>16048692.768672397</v>
      </c>
      <c r="G276" s="31">
        <f>VLOOKUP($A276,$A$4:$O$28,2,0)*(HLOOKUP(G$252,'2.2.Brecha Efectiva x UdM'!$H$64:$AK$71,2,0))</f>
        <v>12729543.801307093</v>
      </c>
      <c r="H276" s="31">
        <f>VLOOKUP($A276,$A$4:$O$28,2,0)*(HLOOKUP(H$252,'2.2.Brecha Efectiva x UdM'!$H$64:$AK$71,2,0))</f>
        <v>6714984.398588039</v>
      </c>
      <c r="I276" s="31">
        <f>VLOOKUP($A276,$A$4:$O$28,2,0)*(HLOOKUP(I$252,'2.2.Brecha Efectiva x UdM'!$H$64:$AK$71,2,0))</f>
        <v>6767471.2206640812</v>
      </c>
      <c r="J276" s="31">
        <f>VLOOKUP($A276,$A$4:$O$28,2,0)*(HLOOKUP(J$252,'2.2.Brecha Efectiva x UdM'!$H$64:$AK$71,2,0))</f>
        <v>6819032.5020942483</v>
      </c>
      <c r="K276" s="31">
        <f>VLOOKUP($A276,$A$4:$O$28,2,0)*(HLOOKUP(K$252,'2.2.Brecha Efectiva x UdM'!$H$64:$AK$71,2,0))</f>
        <v>6337697.6868910324</v>
      </c>
      <c r="L276" s="31">
        <f>VLOOKUP($A276,$A$4:$O$28,2,0)*(HLOOKUP(L$252,'2.2.Brecha Efectiva x UdM'!$H$64:$AK$71,2,0))</f>
        <v>6383610.5339292809</v>
      </c>
      <c r="M276" s="31">
        <f>VLOOKUP($A276,$A$4:$O$28,2,0)*(HLOOKUP(M$252,'2.2.Brecha Efectiva x UdM'!$H$64:$AK$71,2,0))</f>
        <v>6428693.7066568919</v>
      </c>
      <c r="N276" s="31">
        <f>VLOOKUP($A276,$A$4:$O$28,2,0)*(HLOOKUP(N$252,'2.2.Brecha Efectiva x UdM'!$H$64:$AK$71,2,0))</f>
        <v>0</v>
      </c>
      <c r="O276" s="31">
        <f>VLOOKUP($A276,$A$4:$O$28,2,0)*(HLOOKUP(O$252,'2.2.Brecha Efectiva x UdM'!$H$64:$AK$71,2,0))</f>
        <v>0</v>
      </c>
      <c r="P276" s="31">
        <f>VLOOKUP($A276,$A$4:$O$28,2,0)*(HLOOKUP(P$252,'2.2.Brecha Efectiva x UdM'!$H$64:$AK$71,2,0))</f>
        <v>0</v>
      </c>
      <c r="Q276" s="31">
        <f>VLOOKUP($A276,$A$4:$O$28,2,0)*(HLOOKUP(Q$252,'2.2.Brecha Efectiva x UdM'!$H$64:$AK$71,2,0))</f>
        <v>0</v>
      </c>
      <c r="R276" s="31">
        <f>VLOOKUP($A276,$A$4:$O$28,2,0)*(HLOOKUP(R$252,'2.2.Brecha Efectiva x UdM'!$H$64:$AK$71,2,0))</f>
        <v>0</v>
      </c>
      <c r="S276" s="31">
        <f>VLOOKUP($A276,$A$4:$O$28,2,0)*(HLOOKUP(S$252,'2.2.Brecha Efectiva x UdM'!$H$64:$AK$71,2,0))</f>
        <v>0</v>
      </c>
      <c r="T276" s="31">
        <f>VLOOKUP($A276,$A$4:$O$28,2,0)*(HLOOKUP(T$252,'2.2.Brecha Efectiva x UdM'!$H$64:$AK$71,2,0))</f>
        <v>0</v>
      </c>
      <c r="U276" s="31">
        <f>VLOOKUP($A276,$A$4:$O$28,2,0)*(HLOOKUP(U$252,'2.2.Brecha Efectiva x UdM'!$H$64:$AK$71,2,0))</f>
        <v>0</v>
      </c>
      <c r="V276" s="31">
        <f>VLOOKUP($A276,$A$4:$O$28,2,0)*(HLOOKUP(V$252,'2.2.Brecha Efectiva x UdM'!$H$64:$AK$71,2,0))</f>
        <v>0</v>
      </c>
      <c r="W276" s="31">
        <f>VLOOKUP($A276,$A$4:$O$28,2,0)*(HLOOKUP(W$252,'2.2.Brecha Efectiva x UdM'!$H$64:$AK$71,2,0))</f>
        <v>0</v>
      </c>
      <c r="X276" s="31">
        <f>VLOOKUP($A276,$A$4:$O$28,2,0)*(HLOOKUP(X$252,'2.2.Brecha Efectiva x UdM'!$H$64:$AK$71,2,0))</f>
        <v>0</v>
      </c>
      <c r="Y276" s="31">
        <f>VLOOKUP($A276,$A$4:$O$28,2,0)*(HLOOKUP(Y$252,'2.2.Brecha Efectiva x UdM'!$H$64:$AK$71,2,0))</f>
        <v>0</v>
      </c>
      <c r="Z276" s="31">
        <f>VLOOKUP($A276,$A$4:$O$28,2,0)*(HLOOKUP(Z$252,'2.2.Brecha Efectiva x UdM'!$H$64:$AK$71,2,0))</f>
        <v>0</v>
      </c>
      <c r="AA276" s="31">
        <f>VLOOKUP($A276,$A$4:$O$28,2,0)*(HLOOKUP(AA$252,'2.2.Brecha Efectiva x UdM'!$H$64:$AK$71,2,0))</f>
        <v>0</v>
      </c>
      <c r="AB276" s="31">
        <f>VLOOKUP($A276,$A$4:$O$28,2,0)*(HLOOKUP(AB$252,'2.2.Brecha Efectiva x UdM'!$H$64:$AK$71,2,0))</f>
        <v>0</v>
      </c>
      <c r="AC276" s="31">
        <f>VLOOKUP($A276,$A$4:$O$28,2,0)*(HLOOKUP(AC$252,'2.2.Brecha Efectiva x UdM'!$H$64:$AK$71,2,0))</f>
        <v>0</v>
      </c>
      <c r="AD276" s="31">
        <f>VLOOKUP($A276,$A$4:$O$28,2,0)*(HLOOKUP(AD$252,'2.2.Brecha Efectiva x UdM'!$H$64:$AK$71,2,0))</f>
        <v>0</v>
      </c>
      <c r="AE276" s="31">
        <f>VLOOKUP($A276,$A$4:$O$28,2,0)*(HLOOKUP(AE$252,'2.2.Brecha Efectiva x UdM'!$H$64:$AK$71,2,0))</f>
        <v>0</v>
      </c>
      <c r="AF276" s="31">
        <f>VLOOKUP($A276,$A$4:$O$28,2,0)*(HLOOKUP(AF$252,'2.2.Brecha Efectiva x UdM'!$H$64:$AK$71,2,0))</f>
        <v>0</v>
      </c>
      <c r="AG276" s="31">
        <f>VLOOKUP($A276,$A$4:$O$28,2,0)*(HLOOKUP(AG$252,'2.2.Brecha Efectiva x UdM'!$H$64:$AK$71,2,0))</f>
        <v>0</v>
      </c>
      <c r="AH276" s="63">
        <f t="shared" si="261"/>
        <v>119698073.07067053</v>
      </c>
    </row>
    <row r="277" spans="1:34" x14ac:dyDescent="0.2">
      <c r="A277" s="34" t="str">
        <f>CONCATENATE("Total"," ",B253)</f>
        <v>Total Nombre UdM 1</v>
      </c>
      <c r="B277" s="29"/>
      <c r="C277" s="13"/>
      <c r="D277" s="13">
        <f>SUM(D253:D276)</f>
        <v>4338892800</v>
      </c>
      <c r="E277" s="13">
        <f t="shared" ref="E277:AG277" si="262">SUM(E253:E276)</f>
        <v>4376330554.8482466</v>
      </c>
      <c r="F277" s="13">
        <f t="shared" si="262"/>
        <v>2717552664.3957868</v>
      </c>
      <c r="G277" s="13">
        <f t="shared" si="262"/>
        <v>2155515478.576055</v>
      </c>
      <c r="H277" s="13">
        <f t="shared" si="262"/>
        <v>1137059822.054817</v>
      </c>
      <c r="I277" s="13">
        <f t="shared" si="262"/>
        <v>1145947505.6334352</v>
      </c>
      <c r="J277" s="13">
        <f t="shared" si="262"/>
        <v>1154678465.8275094</v>
      </c>
      <c r="K277" s="13">
        <f t="shared" si="262"/>
        <v>1073173216.248845</v>
      </c>
      <c r="L277" s="13">
        <f t="shared" si="262"/>
        <v>1080947717.3622532</v>
      </c>
      <c r="M277" s="13">
        <f t="shared" si="262"/>
        <v>1088581728.3020411</v>
      </c>
      <c r="N277" s="13">
        <f t="shared" si="262"/>
        <v>0</v>
      </c>
      <c r="O277" s="13">
        <f t="shared" si="262"/>
        <v>0</v>
      </c>
      <c r="P277" s="13">
        <f t="shared" si="262"/>
        <v>0</v>
      </c>
      <c r="Q277" s="13">
        <f t="shared" si="262"/>
        <v>0</v>
      </c>
      <c r="R277" s="13">
        <f t="shared" si="262"/>
        <v>0</v>
      </c>
      <c r="S277" s="13">
        <f t="shared" si="262"/>
        <v>0</v>
      </c>
      <c r="T277" s="13">
        <f t="shared" si="262"/>
        <v>0</v>
      </c>
      <c r="U277" s="13">
        <f t="shared" si="262"/>
        <v>0</v>
      </c>
      <c r="V277" s="13">
        <f t="shared" si="262"/>
        <v>0</v>
      </c>
      <c r="W277" s="13">
        <f t="shared" si="262"/>
        <v>0</v>
      </c>
      <c r="X277" s="13">
        <f t="shared" si="262"/>
        <v>0</v>
      </c>
      <c r="Y277" s="13">
        <f t="shared" si="262"/>
        <v>0</v>
      </c>
      <c r="Z277" s="13">
        <f t="shared" si="262"/>
        <v>0</v>
      </c>
      <c r="AA277" s="13">
        <f t="shared" si="262"/>
        <v>0</v>
      </c>
      <c r="AB277" s="13">
        <f t="shared" si="262"/>
        <v>0</v>
      </c>
      <c r="AC277" s="13">
        <f t="shared" si="262"/>
        <v>0</v>
      </c>
      <c r="AD277" s="13">
        <f t="shared" si="262"/>
        <v>0</v>
      </c>
      <c r="AE277" s="13">
        <f t="shared" si="262"/>
        <v>0</v>
      </c>
      <c r="AF277" s="13">
        <f t="shared" si="262"/>
        <v>0</v>
      </c>
      <c r="AG277" s="13">
        <f t="shared" si="262"/>
        <v>0</v>
      </c>
      <c r="AH277" s="13">
        <f t="shared" si="261"/>
        <v>20268679953.248993</v>
      </c>
    </row>
    <row r="278" spans="1:34" x14ac:dyDescent="0.2">
      <c r="A278" s="34" t="str">
        <f>CONCATENATE("Total Acumulado"," ",B253)</f>
        <v>Total Acumulado Nombre UdM 1</v>
      </c>
      <c r="B278" s="29"/>
      <c r="C278" s="13"/>
      <c r="D278" s="13">
        <f>D277</f>
        <v>4338892800</v>
      </c>
      <c r="E278" s="13">
        <f>E277+D278</f>
        <v>8715223354.8482475</v>
      </c>
      <c r="F278" s="13">
        <f t="shared" ref="F278" si="263">F277+E278</f>
        <v>11432776019.244034</v>
      </c>
      <c r="G278" s="13">
        <f t="shared" ref="G278" si="264">G277+F278</f>
        <v>13588291497.820089</v>
      </c>
      <c r="H278" s="13">
        <f t="shared" ref="H278" si="265">H277+G278</f>
        <v>14725351319.874907</v>
      </c>
      <c r="I278" s="13">
        <f t="shared" ref="I278" si="266">I277+H278</f>
        <v>15871298825.508343</v>
      </c>
      <c r="J278" s="13">
        <f t="shared" ref="J278" si="267">J277+I278</f>
        <v>17025977291.335852</v>
      </c>
      <c r="K278" s="13">
        <f t="shared" ref="K278" si="268">K277+J278</f>
        <v>18099150507.584698</v>
      </c>
      <c r="L278" s="13">
        <f t="shared" ref="L278" si="269">L277+K278</f>
        <v>19180098224.946953</v>
      </c>
      <c r="M278" s="13">
        <f t="shared" ref="M278" si="270">M277+L278</f>
        <v>20268679953.248993</v>
      </c>
      <c r="N278" s="13">
        <f t="shared" ref="N278" si="271">N277+M278</f>
        <v>20268679953.248993</v>
      </c>
      <c r="O278" s="13">
        <f t="shared" ref="O278" si="272">O277+N278</f>
        <v>20268679953.248993</v>
      </c>
      <c r="P278" s="13">
        <f t="shared" ref="P278" si="273">P277+O278</f>
        <v>20268679953.248993</v>
      </c>
      <c r="Q278" s="13">
        <f t="shared" ref="Q278" si="274">Q277+P278</f>
        <v>20268679953.248993</v>
      </c>
      <c r="R278" s="13">
        <f t="shared" ref="R278" si="275">R277+Q278</f>
        <v>20268679953.248993</v>
      </c>
      <c r="S278" s="13">
        <f t="shared" ref="S278" si="276">S277+R278</f>
        <v>20268679953.248993</v>
      </c>
      <c r="T278" s="13">
        <f t="shared" ref="T278" si="277">T277+S278</f>
        <v>20268679953.248993</v>
      </c>
      <c r="U278" s="13">
        <f t="shared" ref="U278" si="278">U277+T278</f>
        <v>20268679953.248993</v>
      </c>
      <c r="V278" s="13">
        <f t="shared" ref="V278" si="279">V277+U278</f>
        <v>20268679953.248993</v>
      </c>
      <c r="W278" s="13">
        <f t="shared" ref="W278" si="280">W277+V278</f>
        <v>20268679953.248993</v>
      </c>
      <c r="X278" s="13">
        <f t="shared" ref="X278" si="281">X277+W278</f>
        <v>20268679953.248993</v>
      </c>
      <c r="Y278" s="13">
        <f t="shared" ref="Y278" si="282">Y277+X278</f>
        <v>20268679953.248993</v>
      </c>
      <c r="Z278" s="13">
        <f t="shared" ref="Z278" si="283">Z277+Y278</f>
        <v>20268679953.248993</v>
      </c>
      <c r="AA278" s="13">
        <f t="shared" ref="AA278" si="284">AA277+Z278</f>
        <v>20268679953.248993</v>
      </c>
      <c r="AB278" s="13">
        <f t="shared" ref="AB278" si="285">AB277+AA278</f>
        <v>20268679953.248993</v>
      </c>
      <c r="AC278" s="13">
        <f t="shared" ref="AC278" si="286">AC277+AB278</f>
        <v>20268679953.248993</v>
      </c>
      <c r="AD278" s="13">
        <f t="shared" ref="AD278" si="287">AD277+AC278</f>
        <v>20268679953.248993</v>
      </c>
      <c r="AE278" s="13">
        <f t="shared" ref="AE278" si="288">AE277+AD278</f>
        <v>20268679953.248993</v>
      </c>
      <c r="AF278" s="13">
        <f t="shared" ref="AF278" si="289">AF277+AE278</f>
        <v>20268679953.248993</v>
      </c>
      <c r="AG278" s="13">
        <f t="shared" ref="AG278" si="290">AG277+AF278</f>
        <v>20268679953.248993</v>
      </c>
    </row>
    <row r="280" spans="1:34" x14ac:dyDescent="0.2">
      <c r="A280" s="33" t="s">
        <v>41</v>
      </c>
      <c r="D280" t="b">
        <f>D277='2.2.Brecha Efectiva x UdM'!H65</f>
        <v>1</v>
      </c>
      <c r="E280" t="b">
        <f>E277='2.2.Brecha Efectiva x UdM'!I65</f>
        <v>1</v>
      </c>
      <c r="F280" t="b">
        <f>F277='2.2.Brecha Efectiva x UdM'!J65</f>
        <v>1</v>
      </c>
      <c r="G280" t="b">
        <f>G277='2.2.Brecha Efectiva x UdM'!K65</f>
        <v>1</v>
      </c>
      <c r="H280" t="b">
        <f>H277='2.2.Brecha Efectiva x UdM'!L65</f>
        <v>1</v>
      </c>
      <c r="I280" t="b">
        <f>I277='2.2.Brecha Efectiva x UdM'!M65</f>
        <v>1</v>
      </c>
      <c r="J280" t="b">
        <f>J277='2.2.Brecha Efectiva x UdM'!N65</f>
        <v>1</v>
      </c>
      <c r="L280" s="23"/>
      <c r="M280" s="33"/>
    </row>
    <row r="281" spans="1:34" x14ac:dyDescent="0.2">
      <c r="J281" t="b">
        <f>AG278=SUM('2.2.Brecha Efectiva x UdM'!H65:AK65)</f>
        <v>1</v>
      </c>
      <c r="L281" s="23"/>
    </row>
    <row r="282" spans="1:34" x14ac:dyDescent="0.2">
      <c r="L282" s="23"/>
    </row>
    <row r="283" spans="1:34" x14ac:dyDescent="0.2">
      <c r="A283" s="46" t="s">
        <v>102</v>
      </c>
    </row>
    <row r="285" spans="1:34" x14ac:dyDescent="0.2">
      <c r="A285" s="24" t="s">
        <v>18</v>
      </c>
      <c r="B285" s="24" t="s">
        <v>42</v>
      </c>
      <c r="C285" s="24" t="s">
        <v>43</v>
      </c>
      <c r="D285" s="6">
        <v>2024</v>
      </c>
      <c r="E285" s="6">
        <v>2025</v>
      </c>
      <c r="F285" s="6">
        <v>2026</v>
      </c>
      <c r="G285" s="6">
        <v>2027</v>
      </c>
      <c r="H285" s="6">
        <v>2028</v>
      </c>
      <c r="I285" s="6">
        <v>2029</v>
      </c>
      <c r="J285" s="6">
        <v>2030</v>
      </c>
      <c r="K285" s="6">
        <v>2031</v>
      </c>
      <c r="L285" s="6">
        <v>2032</v>
      </c>
      <c r="M285" s="6">
        <v>2033</v>
      </c>
      <c r="N285" s="50">
        <v>2034</v>
      </c>
      <c r="O285" s="50">
        <v>2035</v>
      </c>
      <c r="P285" s="50">
        <v>2036</v>
      </c>
      <c r="Q285" s="50">
        <v>2037</v>
      </c>
      <c r="R285" s="50">
        <v>2038</v>
      </c>
      <c r="S285" s="50">
        <v>2039</v>
      </c>
      <c r="T285" s="50">
        <v>2040</v>
      </c>
      <c r="U285" s="50">
        <v>2041</v>
      </c>
      <c r="V285" s="50">
        <v>2042</v>
      </c>
      <c r="W285" s="50">
        <v>2043</v>
      </c>
      <c r="X285" s="50">
        <v>2044</v>
      </c>
      <c r="Y285" s="50">
        <v>2045</v>
      </c>
      <c r="Z285" s="50">
        <v>2046</v>
      </c>
      <c r="AA285" s="50">
        <v>2047</v>
      </c>
      <c r="AB285" s="50">
        <v>2048</v>
      </c>
      <c r="AC285" s="50">
        <v>2049</v>
      </c>
      <c r="AD285" s="50">
        <v>2050</v>
      </c>
      <c r="AE285" s="50">
        <v>2051</v>
      </c>
      <c r="AF285" s="50">
        <v>2052</v>
      </c>
      <c r="AG285" s="50">
        <v>2053</v>
      </c>
      <c r="AH285" s="6" t="s">
        <v>1</v>
      </c>
    </row>
    <row r="286" spans="1:34" x14ac:dyDescent="0.2">
      <c r="A286" s="25" t="str">
        <f t="shared" ref="A286:A309" si="291">A4</f>
        <v>Buenos Aires</v>
      </c>
      <c r="B286" s="51" t="str">
        <f>$E$3</f>
        <v>Nombre UdM 2</v>
      </c>
      <c r="C286" s="25" t="str">
        <f>CONCATENATE(A286," ",B286)</f>
        <v>Buenos Aires Nombre UdM 2</v>
      </c>
      <c r="D286" s="32">
        <f>VLOOKUP($A286,$A$4:$O$28,4,0)*(HLOOKUP(D$285,'2.2.Brecha Efectiva x UdM'!$H$64:$AK$71,3,0))</f>
        <v>106150172.7554196</v>
      </c>
      <c r="E286" s="32">
        <f>VLOOKUP($A286,$A$4:$O$28,4,0)*(HLOOKUP(E$285,'2.2.Brecha Efectiva x UdM'!$H$64:$AK$71,3,0))</f>
        <v>113870336.8810121</v>
      </c>
      <c r="F286" s="32">
        <f>VLOOKUP($A286,$A$4:$O$28,4,0)*(HLOOKUP(F$285,'2.2.Brecha Efectiva x UdM'!$H$64:$AK$71,3,0))</f>
        <v>172125107.94796127</v>
      </c>
      <c r="G286" s="32">
        <f>VLOOKUP($A286,$A$4:$O$28,4,0)*(HLOOKUP(G$285,'2.2.Brecha Efectiva x UdM'!$H$64:$AK$71,3,0))</f>
        <v>0</v>
      </c>
      <c r="H286" s="32">
        <f>VLOOKUP($A286,$A$4:$O$28,4,0)*(HLOOKUP(H$285,'2.2.Brecha Efectiva x UdM'!$H$64:$AK$71,3,0))</f>
        <v>0</v>
      </c>
      <c r="I286" s="32">
        <f>VLOOKUP($A286,$A$4:$O$28,4,0)*(HLOOKUP(I$285,'2.2.Brecha Efectiva x UdM'!$H$64:$AK$71,3,0))</f>
        <v>0</v>
      </c>
      <c r="J286" s="32">
        <f>VLOOKUP($A286,$A$4:$O$28,4,0)*(HLOOKUP(J$285,'2.2.Brecha Efectiva x UdM'!$H$64:$AK$71,3,0))</f>
        <v>0</v>
      </c>
      <c r="K286" s="32">
        <f>VLOOKUP($A286,$A$4:$O$28,4,0)*(HLOOKUP(K$285,'2.2.Brecha Efectiva x UdM'!$H$64:$AK$71,3,0))</f>
        <v>0</v>
      </c>
      <c r="L286" s="32">
        <f>VLOOKUP($A286,$A$4:$O$28,4,0)*(HLOOKUP(L$285,'2.2.Brecha Efectiva x UdM'!$H$64:$AK$71,3,0))</f>
        <v>0</v>
      </c>
      <c r="M286" s="32">
        <f>VLOOKUP($A286,$A$4:$O$28,4,0)*(HLOOKUP(M$285,'2.2.Brecha Efectiva x UdM'!$H$64:$AK$71,3,0))</f>
        <v>0</v>
      </c>
      <c r="N286" s="32">
        <f>VLOOKUP($A286,$A$4:$O$28,4,0)*(HLOOKUP(N$285,'2.2.Brecha Efectiva x UdM'!$H$64:$AK$71,3,0))</f>
        <v>0</v>
      </c>
      <c r="O286" s="32">
        <f>VLOOKUP($A286,$A$4:$O$28,4,0)*(HLOOKUP(O$285,'2.2.Brecha Efectiva x UdM'!$H$64:$AK$71,3,0))</f>
        <v>0</v>
      </c>
      <c r="P286" s="32">
        <f>VLOOKUP($A286,$A$4:$O$28,4,0)*(HLOOKUP(P$285,'2.2.Brecha Efectiva x UdM'!$H$64:$AK$71,3,0))</f>
        <v>0</v>
      </c>
      <c r="Q286" s="32">
        <f>VLOOKUP($A286,$A$4:$O$28,4,0)*(HLOOKUP(Q$285,'2.2.Brecha Efectiva x UdM'!$H$64:$AK$71,3,0))</f>
        <v>0</v>
      </c>
      <c r="R286" s="32">
        <f>VLOOKUP($A286,$A$4:$O$28,4,0)*(HLOOKUP(R$285,'2.2.Brecha Efectiva x UdM'!$H$64:$AK$71,3,0))</f>
        <v>0</v>
      </c>
      <c r="S286" s="32">
        <f>VLOOKUP($A286,$A$4:$O$28,4,0)*(HLOOKUP(S$285,'2.2.Brecha Efectiva x UdM'!$H$64:$AK$71,3,0))</f>
        <v>0</v>
      </c>
      <c r="T286" s="32">
        <f>VLOOKUP($A286,$A$4:$O$28,4,0)*(HLOOKUP(T$285,'2.2.Brecha Efectiva x UdM'!$H$64:$AK$71,3,0))</f>
        <v>0</v>
      </c>
      <c r="U286" s="32">
        <f>VLOOKUP($A286,$A$4:$O$28,4,0)*(HLOOKUP(U$285,'2.2.Brecha Efectiva x UdM'!$H$64:$AK$71,3,0))</f>
        <v>0</v>
      </c>
      <c r="V286" s="32">
        <f>VLOOKUP($A286,$A$4:$O$28,4,0)*(HLOOKUP(V$285,'2.2.Brecha Efectiva x UdM'!$H$64:$AK$71,3,0))</f>
        <v>0</v>
      </c>
      <c r="W286" s="32">
        <f>VLOOKUP($A286,$A$4:$O$28,4,0)*(HLOOKUP(W$285,'2.2.Brecha Efectiva x UdM'!$H$64:$AK$71,3,0))</f>
        <v>0</v>
      </c>
      <c r="X286" s="32">
        <f>VLOOKUP($A286,$A$4:$O$28,4,0)*(HLOOKUP(X$285,'2.2.Brecha Efectiva x UdM'!$H$64:$AK$71,3,0))</f>
        <v>0</v>
      </c>
      <c r="Y286" s="32">
        <f>VLOOKUP($A286,$A$4:$O$28,4,0)*(HLOOKUP(Y$285,'2.2.Brecha Efectiva x UdM'!$H$64:$AK$71,3,0))</f>
        <v>0</v>
      </c>
      <c r="Z286" s="32">
        <f>VLOOKUP($A286,$A$4:$O$28,4,0)*(HLOOKUP(Z$285,'2.2.Brecha Efectiva x UdM'!$H$64:$AK$71,3,0))</f>
        <v>0</v>
      </c>
      <c r="AA286" s="32">
        <f>VLOOKUP($A286,$A$4:$O$28,4,0)*(HLOOKUP(AA$285,'2.2.Brecha Efectiva x UdM'!$H$64:$AK$71,3,0))</f>
        <v>0</v>
      </c>
      <c r="AB286" s="32">
        <f>VLOOKUP($A286,$A$4:$O$28,4,0)*(HLOOKUP(AB$285,'2.2.Brecha Efectiva x UdM'!$H$64:$AK$71,3,0))</f>
        <v>0</v>
      </c>
      <c r="AC286" s="32">
        <f>VLOOKUP($A286,$A$4:$O$28,4,0)*(HLOOKUP(AC$285,'2.2.Brecha Efectiva x UdM'!$H$64:$AK$71,3,0))</f>
        <v>0</v>
      </c>
      <c r="AD286" s="32">
        <f>VLOOKUP($A286,$A$4:$O$28,4,0)*(HLOOKUP(AD$285,'2.2.Brecha Efectiva x UdM'!$H$64:$AK$71,3,0))</f>
        <v>0</v>
      </c>
      <c r="AE286" s="32">
        <f>VLOOKUP($A286,$A$4:$O$28,4,0)*(HLOOKUP(AE$285,'2.2.Brecha Efectiva x UdM'!$H$64:$AK$71,3,0))</f>
        <v>0</v>
      </c>
      <c r="AF286" s="32">
        <f>VLOOKUP($A286,$A$4:$O$28,4,0)*(HLOOKUP(AF$285,'2.2.Brecha Efectiva x UdM'!$H$64:$AK$71,3,0))</f>
        <v>0</v>
      </c>
      <c r="AG286" s="32">
        <f>VLOOKUP($A286,$A$4:$O$28,4,0)*(HLOOKUP(AG$285,'2.2.Brecha Efectiva x UdM'!$H$64:$AK$71,3,0))</f>
        <v>0</v>
      </c>
      <c r="AH286" s="62">
        <f>SUM(D286:AG286)</f>
        <v>392145617.58439296</v>
      </c>
    </row>
    <row r="287" spans="1:34" x14ac:dyDescent="0.2">
      <c r="A287" s="26" t="str">
        <f t="shared" si="291"/>
        <v>CABA</v>
      </c>
      <c r="B287" s="52" t="str">
        <f t="shared" ref="B287:B309" si="292">$E$3</f>
        <v>Nombre UdM 2</v>
      </c>
      <c r="C287" s="26" t="str">
        <f t="shared" ref="C287:C309" si="293">CONCATENATE(A287," ",B287)</f>
        <v>CABA Nombre UdM 2</v>
      </c>
      <c r="D287" s="31">
        <f>VLOOKUP($A287,$A$4:$O$28,4,0)*(HLOOKUP(D$285,'2.2.Brecha Efectiva x UdM'!$H$64:$AK$71,3,0))</f>
        <v>9917772.8385642357</v>
      </c>
      <c r="E287" s="31">
        <f>VLOOKUP($A287,$A$4:$O$28,4,0)*(HLOOKUP(E$285,'2.2.Brecha Efectiva x UdM'!$H$64:$AK$71,3,0))</f>
        <v>10639079.569269959</v>
      </c>
      <c r="F287" s="31">
        <f>VLOOKUP($A287,$A$4:$O$28,4,0)*(HLOOKUP(F$285,'2.2.Brecha Efectiva x UdM'!$H$64:$AK$71,3,0))</f>
        <v>16081911.84365331</v>
      </c>
      <c r="G287" s="31">
        <f>VLOOKUP($A287,$A$4:$O$28,4,0)*(HLOOKUP(G$285,'2.2.Brecha Efectiva x UdM'!$H$64:$AK$71,3,0))</f>
        <v>0</v>
      </c>
      <c r="H287" s="31">
        <f>VLOOKUP($A287,$A$4:$O$28,4,0)*(HLOOKUP(H$285,'2.2.Brecha Efectiva x UdM'!$H$64:$AK$71,3,0))</f>
        <v>0</v>
      </c>
      <c r="I287" s="31">
        <f>VLOOKUP($A287,$A$4:$O$28,4,0)*(HLOOKUP(I$285,'2.2.Brecha Efectiva x UdM'!$H$64:$AK$71,3,0))</f>
        <v>0</v>
      </c>
      <c r="J287" s="31">
        <f>VLOOKUP($A287,$A$4:$O$28,4,0)*(HLOOKUP(J$285,'2.2.Brecha Efectiva x UdM'!$H$64:$AK$71,3,0))</f>
        <v>0</v>
      </c>
      <c r="K287" s="31">
        <f>VLOOKUP($A287,$A$4:$O$28,4,0)*(HLOOKUP(K$285,'2.2.Brecha Efectiva x UdM'!$H$64:$AK$71,3,0))</f>
        <v>0</v>
      </c>
      <c r="L287" s="31">
        <f>VLOOKUP($A287,$A$4:$O$28,4,0)*(HLOOKUP(L$285,'2.2.Brecha Efectiva x UdM'!$H$64:$AK$71,3,0))</f>
        <v>0</v>
      </c>
      <c r="M287" s="31">
        <f>VLOOKUP($A287,$A$4:$O$28,4,0)*(HLOOKUP(M$285,'2.2.Brecha Efectiva x UdM'!$H$64:$AK$71,3,0))</f>
        <v>0</v>
      </c>
      <c r="N287" s="31">
        <f>VLOOKUP($A287,$A$4:$O$28,4,0)*(HLOOKUP(N$285,'2.2.Brecha Efectiva x UdM'!$H$64:$AK$71,3,0))</f>
        <v>0</v>
      </c>
      <c r="O287" s="31">
        <f>VLOOKUP($A287,$A$4:$O$28,4,0)*(HLOOKUP(O$285,'2.2.Brecha Efectiva x UdM'!$H$64:$AK$71,3,0))</f>
        <v>0</v>
      </c>
      <c r="P287" s="31">
        <f>VLOOKUP($A287,$A$4:$O$28,4,0)*(HLOOKUP(P$285,'2.2.Brecha Efectiva x UdM'!$H$64:$AK$71,3,0))</f>
        <v>0</v>
      </c>
      <c r="Q287" s="31">
        <f>VLOOKUP($A287,$A$4:$O$28,4,0)*(HLOOKUP(Q$285,'2.2.Brecha Efectiva x UdM'!$H$64:$AK$71,3,0))</f>
        <v>0</v>
      </c>
      <c r="R287" s="31">
        <f>VLOOKUP($A287,$A$4:$O$28,4,0)*(HLOOKUP(R$285,'2.2.Brecha Efectiva x UdM'!$H$64:$AK$71,3,0))</f>
        <v>0</v>
      </c>
      <c r="S287" s="31">
        <f>VLOOKUP($A287,$A$4:$O$28,4,0)*(HLOOKUP(S$285,'2.2.Brecha Efectiva x UdM'!$H$64:$AK$71,3,0))</f>
        <v>0</v>
      </c>
      <c r="T287" s="31">
        <f>VLOOKUP($A287,$A$4:$O$28,4,0)*(HLOOKUP(T$285,'2.2.Brecha Efectiva x UdM'!$H$64:$AK$71,3,0))</f>
        <v>0</v>
      </c>
      <c r="U287" s="31">
        <f>VLOOKUP($A287,$A$4:$O$28,4,0)*(HLOOKUP(U$285,'2.2.Brecha Efectiva x UdM'!$H$64:$AK$71,3,0))</f>
        <v>0</v>
      </c>
      <c r="V287" s="31">
        <f>VLOOKUP($A287,$A$4:$O$28,4,0)*(HLOOKUP(V$285,'2.2.Brecha Efectiva x UdM'!$H$64:$AK$71,3,0))</f>
        <v>0</v>
      </c>
      <c r="W287" s="31">
        <f>VLOOKUP($A287,$A$4:$O$28,4,0)*(HLOOKUP(W$285,'2.2.Brecha Efectiva x UdM'!$H$64:$AK$71,3,0))</f>
        <v>0</v>
      </c>
      <c r="X287" s="31">
        <f>VLOOKUP($A287,$A$4:$O$28,4,0)*(HLOOKUP(X$285,'2.2.Brecha Efectiva x UdM'!$H$64:$AK$71,3,0))</f>
        <v>0</v>
      </c>
      <c r="Y287" s="31">
        <f>VLOOKUP($A287,$A$4:$O$28,4,0)*(HLOOKUP(Y$285,'2.2.Brecha Efectiva x UdM'!$H$64:$AK$71,3,0))</f>
        <v>0</v>
      </c>
      <c r="Z287" s="31">
        <f>VLOOKUP($A287,$A$4:$O$28,4,0)*(HLOOKUP(Z$285,'2.2.Brecha Efectiva x UdM'!$H$64:$AK$71,3,0))</f>
        <v>0</v>
      </c>
      <c r="AA287" s="31">
        <f>VLOOKUP($A287,$A$4:$O$28,4,0)*(HLOOKUP(AA$285,'2.2.Brecha Efectiva x UdM'!$H$64:$AK$71,3,0))</f>
        <v>0</v>
      </c>
      <c r="AB287" s="31">
        <f>VLOOKUP($A287,$A$4:$O$28,4,0)*(HLOOKUP(AB$285,'2.2.Brecha Efectiva x UdM'!$H$64:$AK$71,3,0))</f>
        <v>0</v>
      </c>
      <c r="AC287" s="31">
        <f>VLOOKUP($A287,$A$4:$O$28,4,0)*(HLOOKUP(AC$285,'2.2.Brecha Efectiva x UdM'!$H$64:$AK$71,3,0))</f>
        <v>0</v>
      </c>
      <c r="AD287" s="31">
        <f>VLOOKUP($A287,$A$4:$O$28,4,0)*(HLOOKUP(AD$285,'2.2.Brecha Efectiva x UdM'!$H$64:$AK$71,3,0))</f>
        <v>0</v>
      </c>
      <c r="AE287" s="31">
        <f>VLOOKUP($A287,$A$4:$O$28,4,0)*(HLOOKUP(AE$285,'2.2.Brecha Efectiva x UdM'!$H$64:$AK$71,3,0))</f>
        <v>0</v>
      </c>
      <c r="AF287" s="31">
        <f>VLOOKUP($A287,$A$4:$O$28,4,0)*(HLOOKUP(AF$285,'2.2.Brecha Efectiva x UdM'!$H$64:$AK$71,3,0))</f>
        <v>0</v>
      </c>
      <c r="AG287" s="31">
        <f>VLOOKUP($A287,$A$4:$O$28,4,0)*(HLOOKUP(AG$285,'2.2.Brecha Efectiva x UdM'!$H$64:$AK$71,3,0))</f>
        <v>0</v>
      </c>
      <c r="AH287" s="63">
        <f>SUM(D287:AG287)</f>
        <v>36638764.251487508</v>
      </c>
    </row>
    <row r="288" spans="1:34" x14ac:dyDescent="0.2">
      <c r="A288" s="25" t="str">
        <f t="shared" si="291"/>
        <v>Catamarca</v>
      </c>
      <c r="B288" s="51" t="str">
        <f t="shared" si="292"/>
        <v>Nombre UdM 2</v>
      </c>
      <c r="C288" s="25" t="str">
        <f t="shared" si="293"/>
        <v>Catamarca Nombre UdM 2</v>
      </c>
      <c r="D288" s="32">
        <f>VLOOKUP($A288,$A$4:$O$28,4,0)*(HLOOKUP(D$285,'2.2.Brecha Efectiva x UdM'!$H$64:$AK$71,3,0))</f>
        <v>16890217.208341476</v>
      </c>
      <c r="E288" s="32">
        <f>VLOOKUP($A288,$A$4:$O$28,4,0)*(HLOOKUP(E$285,'2.2.Brecha Efectiva x UdM'!$H$64:$AK$71,3,0))</f>
        <v>18118620.757582478</v>
      </c>
      <c r="F288" s="32">
        <f>VLOOKUP($A288,$A$4:$O$28,4,0)*(HLOOKUP(F$285,'2.2.Brecha Efectiva x UdM'!$H$64:$AK$71,3,0))</f>
        <v>27387901.35508148</v>
      </c>
      <c r="G288" s="32">
        <f>VLOOKUP($A288,$A$4:$O$28,4,0)*(HLOOKUP(G$285,'2.2.Brecha Efectiva x UdM'!$H$64:$AK$71,3,0))</f>
        <v>0</v>
      </c>
      <c r="H288" s="32">
        <f>VLOOKUP($A288,$A$4:$O$28,4,0)*(HLOOKUP(H$285,'2.2.Brecha Efectiva x UdM'!$H$64:$AK$71,3,0))</f>
        <v>0</v>
      </c>
      <c r="I288" s="32">
        <f>VLOOKUP($A288,$A$4:$O$28,4,0)*(HLOOKUP(I$285,'2.2.Brecha Efectiva x UdM'!$H$64:$AK$71,3,0))</f>
        <v>0</v>
      </c>
      <c r="J288" s="32">
        <f>VLOOKUP($A288,$A$4:$O$28,4,0)*(HLOOKUP(J$285,'2.2.Brecha Efectiva x UdM'!$H$64:$AK$71,3,0))</f>
        <v>0</v>
      </c>
      <c r="K288" s="32">
        <f>VLOOKUP($A288,$A$4:$O$28,4,0)*(HLOOKUP(K$285,'2.2.Brecha Efectiva x UdM'!$H$64:$AK$71,3,0))</f>
        <v>0</v>
      </c>
      <c r="L288" s="32">
        <f>VLOOKUP($A288,$A$4:$O$28,4,0)*(HLOOKUP(L$285,'2.2.Brecha Efectiva x UdM'!$H$64:$AK$71,3,0))</f>
        <v>0</v>
      </c>
      <c r="M288" s="32">
        <f>VLOOKUP($A288,$A$4:$O$28,4,0)*(HLOOKUP(M$285,'2.2.Brecha Efectiva x UdM'!$H$64:$AK$71,3,0))</f>
        <v>0</v>
      </c>
      <c r="N288" s="32">
        <f>VLOOKUP($A288,$A$4:$O$28,4,0)*(HLOOKUP(N$285,'2.2.Brecha Efectiva x UdM'!$H$64:$AK$71,3,0))</f>
        <v>0</v>
      </c>
      <c r="O288" s="32">
        <f>VLOOKUP($A288,$A$4:$O$28,4,0)*(HLOOKUP(O$285,'2.2.Brecha Efectiva x UdM'!$H$64:$AK$71,3,0))</f>
        <v>0</v>
      </c>
      <c r="P288" s="32">
        <f>VLOOKUP($A288,$A$4:$O$28,4,0)*(HLOOKUP(P$285,'2.2.Brecha Efectiva x UdM'!$H$64:$AK$71,3,0))</f>
        <v>0</v>
      </c>
      <c r="Q288" s="32">
        <f>VLOOKUP($A288,$A$4:$O$28,4,0)*(HLOOKUP(Q$285,'2.2.Brecha Efectiva x UdM'!$H$64:$AK$71,3,0))</f>
        <v>0</v>
      </c>
      <c r="R288" s="32">
        <f>VLOOKUP($A288,$A$4:$O$28,4,0)*(HLOOKUP(R$285,'2.2.Brecha Efectiva x UdM'!$H$64:$AK$71,3,0))</f>
        <v>0</v>
      </c>
      <c r="S288" s="32">
        <f>VLOOKUP($A288,$A$4:$O$28,4,0)*(HLOOKUP(S$285,'2.2.Brecha Efectiva x UdM'!$H$64:$AK$71,3,0))</f>
        <v>0</v>
      </c>
      <c r="T288" s="32">
        <f>VLOOKUP($A288,$A$4:$O$28,4,0)*(HLOOKUP(T$285,'2.2.Brecha Efectiva x UdM'!$H$64:$AK$71,3,0))</f>
        <v>0</v>
      </c>
      <c r="U288" s="32">
        <f>VLOOKUP($A288,$A$4:$O$28,4,0)*(HLOOKUP(U$285,'2.2.Brecha Efectiva x UdM'!$H$64:$AK$71,3,0))</f>
        <v>0</v>
      </c>
      <c r="V288" s="32">
        <f>VLOOKUP($A288,$A$4:$O$28,4,0)*(HLOOKUP(V$285,'2.2.Brecha Efectiva x UdM'!$H$64:$AK$71,3,0))</f>
        <v>0</v>
      </c>
      <c r="W288" s="32">
        <f>VLOOKUP($A288,$A$4:$O$28,4,0)*(HLOOKUP(W$285,'2.2.Brecha Efectiva x UdM'!$H$64:$AK$71,3,0))</f>
        <v>0</v>
      </c>
      <c r="X288" s="32">
        <f>VLOOKUP($A288,$A$4:$O$28,4,0)*(HLOOKUP(X$285,'2.2.Brecha Efectiva x UdM'!$H$64:$AK$71,3,0))</f>
        <v>0</v>
      </c>
      <c r="Y288" s="32">
        <f>VLOOKUP($A288,$A$4:$O$28,4,0)*(HLOOKUP(Y$285,'2.2.Brecha Efectiva x UdM'!$H$64:$AK$71,3,0))</f>
        <v>0</v>
      </c>
      <c r="Z288" s="32">
        <f>VLOOKUP($A288,$A$4:$O$28,4,0)*(HLOOKUP(Z$285,'2.2.Brecha Efectiva x UdM'!$H$64:$AK$71,3,0))</f>
        <v>0</v>
      </c>
      <c r="AA288" s="32">
        <f>VLOOKUP($A288,$A$4:$O$28,4,0)*(HLOOKUP(AA$285,'2.2.Brecha Efectiva x UdM'!$H$64:$AK$71,3,0))</f>
        <v>0</v>
      </c>
      <c r="AB288" s="32">
        <f>VLOOKUP($A288,$A$4:$O$28,4,0)*(HLOOKUP(AB$285,'2.2.Brecha Efectiva x UdM'!$H$64:$AK$71,3,0))</f>
        <v>0</v>
      </c>
      <c r="AC288" s="32">
        <f>VLOOKUP($A288,$A$4:$O$28,4,0)*(HLOOKUP(AC$285,'2.2.Brecha Efectiva x UdM'!$H$64:$AK$71,3,0))</f>
        <v>0</v>
      </c>
      <c r="AD288" s="32">
        <f>VLOOKUP($A288,$A$4:$O$28,4,0)*(HLOOKUP(AD$285,'2.2.Brecha Efectiva x UdM'!$H$64:$AK$71,3,0))</f>
        <v>0</v>
      </c>
      <c r="AE288" s="32">
        <f>VLOOKUP($A288,$A$4:$O$28,4,0)*(HLOOKUP(AE$285,'2.2.Brecha Efectiva x UdM'!$H$64:$AK$71,3,0))</f>
        <v>0</v>
      </c>
      <c r="AF288" s="32">
        <f>VLOOKUP($A288,$A$4:$O$28,4,0)*(HLOOKUP(AF$285,'2.2.Brecha Efectiva x UdM'!$H$64:$AK$71,3,0))</f>
        <v>0</v>
      </c>
      <c r="AG288" s="32">
        <f>VLOOKUP($A288,$A$4:$O$28,4,0)*(HLOOKUP(AG$285,'2.2.Brecha Efectiva x UdM'!$H$64:$AK$71,3,0))</f>
        <v>0</v>
      </c>
      <c r="AH288" s="62">
        <f t="shared" ref="AH288:AH310" si="294">SUM(D288:AG288)</f>
        <v>62396739.321005434</v>
      </c>
    </row>
    <row r="289" spans="1:34" x14ac:dyDescent="0.2">
      <c r="A289" s="26" t="str">
        <f t="shared" si="291"/>
        <v>Chaco</v>
      </c>
      <c r="B289" s="52" t="str">
        <f t="shared" si="292"/>
        <v>Nombre UdM 2</v>
      </c>
      <c r="C289" s="26" t="str">
        <f t="shared" si="293"/>
        <v>Chaco Nombre UdM 2</v>
      </c>
      <c r="D289" s="31">
        <f>VLOOKUP($A289,$A$4:$O$28,4,0)*(HLOOKUP(D$285,'2.2.Brecha Efectiva x UdM'!$H$64:$AK$71,3,0))</f>
        <v>24644137.573825657</v>
      </c>
      <c r="E289" s="31">
        <f>VLOOKUP($A289,$A$4:$O$28,4,0)*(HLOOKUP(E$285,'2.2.Brecha Efectiva x UdM'!$H$64:$AK$71,3,0))</f>
        <v>26436473.675265506</v>
      </c>
      <c r="F289" s="31">
        <f>VLOOKUP($A289,$A$4:$O$28,4,0)*(HLOOKUP(F$285,'2.2.Brecha Efectiva x UdM'!$H$64:$AK$71,3,0))</f>
        <v>39961073.355507813</v>
      </c>
      <c r="G289" s="31">
        <f>VLOOKUP($A289,$A$4:$O$28,4,0)*(HLOOKUP(G$285,'2.2.Brecha Efectiva x UdM'!$H$64:$AK$71,3,0))</f>
        <v>0</v>
      </c>
      <c r="H289" s="31">
        <f>VLOOKUP($A289,$A$4:$O$28,4,0)*(HLOOKUP(H$285,'2.2.Brecha Efectiva x UdM'!$H$64:$AK$71,3,0))</f>
        <v>0</v>
      </c>
      <c r="I289" s="31">
        <f>VLOOKUP($A289,$A$4:$O$28,4,0)*(HLOOKUP(I$285,'2.2.Brecha Efectiva x UdM'!$H$64:$AK$71,3,0))</f>
        <v>0</v>
      </c>
      <c r="J289" s="31">
        <f>VLOOKUP($A289,$A$4:$O$28,4,0)*(HLOOKUP(J$285,'2.2.Brecha Efectiva x UdM'!$H$64:$AK$71,3,0))</f>
        <v>0</v>
      </c>
      <c r="K289" s="31">
        <f>VLOOKUP($A289,$A$4:$O$28,4,0)*(HLOOKUP(K$285,'2.2.Brecha Efectiva x UdM'!$H$64:$AK$71,3,0))</f>
        <v>0</v>
      </c>
      <c r="L289" s="31">
        <f>VLOOKUP($A289,$A$4:$O$28,4,0)*(HLOOKUP(L$285,'2.2.Brecha Efectiva x UdM'!$H$64:$AK$71,3,0))</f>
        <v>0</v>
      </c>
      <c r="M289" s="31">
        <f>VLOOKUP($A289,$A$4:$O$28,4,0)*(HLOOKUP(M$285,'2.2.Brecha Efectiva x UdM'!$H$64:$AK$71,3,0))</f>
        <v>0</v>
      </c>
      <c r="N289" s="31">
        <f>VLOOKUP($A289,$A$4:$O$28,4,0)*(HLOOKUP(N$285,'2.2.Brecha Efectiva x UdM'!$H$64:$AK$71,3,0))</f>
        <v>0</v>
      </c>
      <c r="O289" s="31">
        <f>VLOOKUP($A289,$A$4:$O$28,4,0)*(HLOOKUP(O$285,'2.2.Brecha Efectiva x UdM'!$H$64:$AK$71,3,0))</f>
        <v>0</v>
      </c>
      <c r="P289" s="31">
        <f>VLOOKUP($A289,$A$4:$O$28,4,0)*(HLOOKUP(P$285,'2.2.Brecha Efectiva x UdM'!$H$64:$AK$71,3,0))</f>
        <v>0</v>
      </c>
      <c r="Q289" s="31">
        <f>VLOOKUP($A289,$A$4:$O$28,4,0)*(HLOOKUP(Q$285,'2.2.Brecha Efectiva x UdM'!$H$64:$AK$71,3,0))</f>
        <v>0</v>
      </c>
      <c r="R289" s="31">
        <f>VLOOKUP($A289,$A$4:$O$28,4,0)*(HLOOKUP(R$285,'2.2.Brecha Efectiva x UdM'!$H$64:$AK$71,3,0))</f>
        <v>0</v>
      </c>
      <c r="S289" s="31">
        <f>VLOOKUP($A289,$A$4:$O$28,4,0)*(HLOOKUP(S$285,'2.2.Brecha Efectiva x UdM'!$H$64:$AK$71,3,0))</f>
        <v>0</v>
      </c>
      <c r="T289" s="31">
        <f>VLOOKUP($A289,$A$4:$O$28,4,0)*(HLOOKUP(T$285,'2.2.Brecha Efectiva x UdM'!$H$64:$AK$71,3,0))</f>
        <v>0</v>
      </c>
      <c r="U289" s="31">
        <f>VLOOKUP($A289,$A$4:$O$28,4,0)*(HLOOKUP(U$285,'2.2.Brecha Efectiva x UdM'!$H$64:$AK$71,3,0))</f>
        <v>0</v>
      </c>
      <c r="V289" s="31">
        <f>VLOOKUP($A289,$A$4:$O$28,4,0)*(HLOOKUP(V$285,'2.2.Brecha Efectiva x UdM'!$H$64:$AK$71,3,0))</f>
        <v>0</v>
      </c>
      <c r="W289" s="31">
        <f>VLOOKUP($A289,$A$4:$O$28,4,0)*(HLOOKUP(W$285,'2.2.Brecha Efectiva x UdM'!$H$64:$AK$71,3,0))</f>
        <v>0</v>
      </c>
      <c r="X289" s="31">
        <f>VLOOKUP($A289,$A$4:$O$28,4,0)*(HLOOKUP(X$285,'2.2.Brecha Efectiva x UdM'!$H$64:$AK$71,3,0))</f>
        <v>0</v>
      </c>
      <c r="Y289" s="31">
        <f>VLOOKUP($A289,$A$4:$O$28,4,0)*(HLOOKUP(Y$285,'2.2.Brecha Efectiva x UdM'!$H$64:$AK$71,3,0))</f>
        <v>0</v>
      </c>
      <c r="Z289" s="31">
        <f>VLOOKUP($A289,$A$4:$O$28,4,0)*(HLOOKUP(Z$285,'2.2.Brecha Efectiva x UdM'!$H$64:$AK$71,3,0))</f>
        <v>0</v>
      </c>
      <c r="AA289" s="31">
        <f>VLOOKUP($A289,$A$4:$O$28,4,0)*(HLOOKUP(AA$285,'2.2.Brecha Efectiva x UdM'!$H$64:$AK$71,3,0))</f>
        <v>0</v>
      </c>
      <c r="AB289" s="31">
        <f>VLOOKUP($A289,$A$4:$O$28,4,0)*(HLOOKUP(AB$285,'2.2.Brecha Efectiva x UdM'!$H$64:$AK$71,3,0))</f>
        <v>0</v>
      </c>
      <c r="AC289" s="31">
        <f>VLOOKUP($A289,$A$4:$O$28,4,0)*(HLOOKUP(AC$285,'2.2.Brecha Efectiva x UdM'!$H$64:$AK$71,3,0))</f>
        <v>0</v>
      </c>
      <c r="AD289" s="31">
        <f>VLOOKUP($A289,$A$4:$O$28,4,0)*(HLOOKUP(AD$285,'2.2.Brecha Efectiva x UdM'!$H$64:$AK$71,3,0))</f>
        <v>0</v>
      </c>
      <c r="AE289" s="31">
        <f>VLOOKUP($A289,$A$4:$O$28,4,0)*(HLOOKUP(AE$285,'2.2.Brecha Efectiva x UdM'!$H$64:$AK$71,3,0))</f>
        <v>0</v>
      </c>
      <c r="AF289" s="31">
        <f>VLOOKUP($A289,$A$4:$O$28,4,0)*(HLOOKUP(AF$285,'2.2.Brecha Efectiva x UdM'!$H$64:$AK$71,3,0))</f>
        <v>0</v>
      </c>
      <c r="AG289" s="31">
        <f>VLOOKUP($A289,$A$4:$O$28,4,0)*(HLOOKUP(AG$285,'2.2.Brecha Efectiva x UdM'!$H$64:$AK$71,3,0))</f>
        <v>0</v>
      </c>
      <c r="AH289" s="63">
        <f t="shared" si="294"/>
        <v>91041684.604598969</v>
      </c>
    </row>
    <row r="290" spans="1:34" x14ac:dyDescent="0.2">
      <c r="A290" s="25" t="str">
        <f t="shared" si="291"/>
        <v>Chubut</v>
      </c>
      <c r="B290" s="51" t="str">
        <f t="shared" si="292"/>
        <v>Nombre UdM 2</v>
      </c>
      <c r="C290" s="25" t="str">
        <f t="shared" si="293"/>
        <v>Chubut Nombre UdM 2</v>
      </c>
      <c r="D290" s="32">
        <f>VLOOKUP($A290,$A$4:$O$28,4,0)*(HLOOKUP(D$285,'2.2.Brecha Efectiva x UdM'!$H$64:$AK$71,3,0))</f>
        <v>414305987.43782097</v>
      </c>
      <c r="E290" s="32">
        <f>VLOOKUP($A290,$A$4:$O$28,4,0)*(HLOOKUP(E$285,'2.2.Brecha Efectiva x UdM'!$H$64:$AK$71,3,0))</f>
        <v>444437923.52619004</v>
      </c>
      <c r="F290" s="32">
        <f>VLOOKUP($A290,$A$4:$O$28,4,0)*(HLOOKUP(F$285,'2.2.Brecha Efectiva x UdM'!$H$64:$AK$71,3,0))</f>
        <v>671807317.50227594</v>
      </c>
      <c r="G290" s="32">
        <f>VLOOKUP($A290,$A$4:$O$28,4,0)*(HLOOKUP(G$285,'2.2.Brecha Efectiva x UdM'!$H$64:$AK$71,3,0))</f>
        <v>0</v>
      </c>
      <c r="H290" s="32">
        <f>VLOOKUP($A290,$A$4:$O$28,4,0)*(HLOOKUP(H$285,'2.2.Brecha Efectiva x UdM'!$H$64:$AK$71,3,0))</f>
        <v>0</v>
      </c>
      <c r="I290" s="32">
        <f>VLOOKUP($A290,$A$4:$O$28,4,0)*(HLOOKUP(I$285,'2.2.Brecha Efectiva x UdM'!$H$64:$AK$71,3,0))</f>
        <v>0</v>
      </c>
      <c r="J290" s="32">
        <f>VLOOKUP($A290,$A$4:$O$28,4,0)*(HLOOKUP(J$285,'2.2.Brecha Efectiva x UdM'!$H$64:$AK$71,3,0))</f>
        <v>0</v>
      </c>
      <c r="K290" s="32">
        <f>VLOOKUP($A290,$A$4:$O$28,4,0)*(HLOOKUP(K$285,'2.2.Brecha Efectiva x UdM'!$H$64:$AK$71,3,0))</f>
        <v>0</v>
      </c>
      <c r="L290" s="32">
        <f>VLOOKUP($A290,$A$4:$O$28,4,0)*(HLOOKUP(L$285,'2.2.Brecha Efectiva x UdM'!$H$64:$AK$71,3,0))</f>
        <v>0</v>
      </c>
      <c r="M290" s="32">
        <f>VLOOKUP($A290,$A$4:$O$28,4,0)*(HLOOKUP(M$285,'2.2.Brecha Efectiva x UdM'!$H$64:$AK$71,3,0))</f>
        <v>0</v>
      </c>
      <c r="N290" s="32">
        <f>VLOOKUP($A290,$A$4:$O$28,4,0)*(HLOOKUP(N$285,'2.2.Brecha Efectiva x UdM'!$H$64:$AK$71,3,0))</f>
        <v>0</v>
      </c>
      <c r="O290" s="32">
        <f>VLOOKUP($A290,$A$4:$O$28,4,0)*(HLOOKUP(O$285,'2.2.Brecha Efectiva x UdM'!$H$64:$AK$71,3,0))</f>
        <v>0</v>
      </c>
      <c r="P290" s="32">
        <f>VLOOKUP($A290,$A$4:$O$28,4,0)*(HLOOKUP(P$285,'2.2.Brecha Efectiva x UdM'!$H$64:$AK$71,3,0))</f>
        <v>0</v>
      </c>
      <c r="Q290" s="32">
        <f>VLOOKUP($A290,$A$4:$O$28,4,0)*(HLOOKUP(Q$285,'2.2.Brecha Efectiva x UdM'!$H$64:$AK$71,3,0))</f>
        <v>0</v>
      </c>
      <c r="R290" s="32">
        <f>VLOOKUP($A290,$A$4:$O$28,4,0)*(HLOOKUP(R$285,'2.2.Brecha Efectiva x UdM'!$H$64:$AK$71,3,0))</f>
        <v>0</v>
      </c>
      <c r="S290" s="32">
        <f>VLOOKUP($A290,$A$4:$O$28,4,0)*(HLOOKUP(S$285,'2.2.Brecha Efectiva x UdM'!$H$64:$AK$71,3,0))</f>
        <v>0</v>
      </c>
      <c r="T290" s="32">
        <f>VLOOKUP($A290,$A$4:$O$28,4,0)*(HLOOKUP(T$285,'2.2.Brecha Efectiva x UdM'!$H$64:$AK$71,3,0))</f>
        <v>0</v>
      </c>
      <c r="U290" s="32">
        <f>VLOOKUP($A290,$A$4:$O$28,4,0)*(HLOOKUP(U$285,'2.2.Brecha Efectiva x UdM'!$H$64:$AK$71,3,0))</f>
        <v>0</v>
      </c>
      <c r="V290" s="32">
        <f>VLOOKUP($A290,$A$4:$O$28,4,0)*(HLOOKUP(V$285,'2.2.Brecha Efectiva x UdM'!$H$64:$AK$71,3,0))</f>
        <v>0</v>
      </c>
      <c r="W290" s="32">
        <f>VLOOKUP($A290,$A$4:$O$28,4,0)*(HLOOKUP(W$285,'2.2.Brecha Efectiva x UdM'!$H$64:$AK$71,3,0))</f>
        <v>0</v>
      </c>
      <c r="X290" s="32">
        <f>VLOOKUP($A290,$A$4:$O$28,4,0)*(HLOOKUP(X$285,'2.2.Brecha Efectiva x UdM'!$H$64:$AK$71,3,0))</f>
        <v>0</v>
      </c>
      <c r="Y290" s="32">
        <f>VLOOKUP($A290,$A$4:$O$28,4,0)*(HLOOKUP(Y$285,'2.2.Brecha Efectiva x UdM'!$H$64:$AK$71,3,0))</f>
        <v>0</v>
      </c>
      <c r="Z290" s="32">
        <f>VLOOKUP($A290,$A$4:$O$28,4,0)*(HLOOKUP(Z$285,'2.2.Brecha Efectiva x UdM'!$H$64:$AK$71,3,0))</f>
        <v>0</v>
      </c>
      <c r="AA290" s="32">
        <f>VLOOKUP($A290,$A$4:$O$28,4,0)*(HLOOKUP(AA$285,'2.2.Brecha Efectiva x UdM'!$H$64:$AK$71,3,0))</f>
        <v>0</v>
      </c>
      <c r="AB290" s="32">
        <f>VLOOKUP($A290,$A$4:$O$28,4,0)*(HLOOKUP(AB$285,'2.2.Brecha Efectiva x UdM'!$H$64:$AK$71,3,0))</f>
        <v>0</v>
      </c>
      <c r="AC290" s="32">
        <f>VLOOKUP($A290,$A$4:$O$28,4,0)*(HLOOKUP(AC$285,'2.2.Brecha Efectiva x UdM'!$H$64:$AK$71,3,0))</f>
        <v>0</v>
      </c>
      <c r="AD290" s="32">
        <f>VLOOKUP($A290,$A$4:$O$28,4,0)*(HLOOKUP(AD$285,'2.2.Brecha Efectiva x UdM'!$H$64:$AK$71,3,0))</f>
        <v>0</v>
      </c>
      <c r="AE290" s="32">
        <f>VLOOKUP($A290,$A$4:$O$28,4,0)*(HLOOKUP(AE$285,'2.2.Brecha Efectiva x UdM'!$H$64:$AK$71,3,0))</f>
        <v>0</v>
      </c>
      <c r="AF290" s="32">
        <f>VLOOKUP($A290,$A$4:$O$28,4,0)*(HLOOKUP(AF$285,'2.2.Brecha Efectiva x UdM'!$H$64:$AK$71,3,0))</f>
        <v>0</v>
      </c>
      <c r="AG290" s="32">
        <f>VLOOKUP($A290,$A$4:$O$28,4,0)*(HLOOKUP(AG$285,'2.2.Brecha Efectiva x UdM'!$H$64:$AK$71,3,0))</f>
        <v>0</v>
      </c>
      <c r="AH290" s="62">
        <f t="shared" si="294"/>
        <v>1530551228.4662869</v>
      </c>
    </row>
    <row r="291" spans="1:34" x14ac:dyDescent="0.2">
      <c r="A291" s="26" t="str">
        <f t="shared" si="291"/>
        <v>Córdoba</v>
      </c>
      <c r="B291" s="52" t="str">
        <f t="shared" si="292"/>
        <v>Nombre UdM 2</v>
      </c>
      <c r="C291" s="26" t="str">
        <f t="shared" si="293"/>
        <v>Córdoba Nombre UdM 2</v>
      </c>
      <c r="D291" s="31">
        <f>VLOOKUP($A291,$A$4:$O$28,4,0)*(HLOOKUP(D$285,'2.2.Brecha Efectiva x UdM'!$H$64:$AK$71,3,0))</f>
        <v>19835545.677128471</v>
      </c>
      <c r="E291" s="31">
        <f>VLOOKUP($A291,$A$4:$O$28,4,0)*(HLOOKUP(E$285,'2.2.Brecha Efectiva x UdM'!$H$64:$AK$71,3,0))</f>
        <v>21278159.138539918</v>
      </c>
      <c r="F291" s="31">
        <f>VLOOKUP($A291,$A$4:$O$28,4,0)*(HLOOKUP(F$285,'2.2.Brecha Efectiva x UdM'!$H$64:$AK$71,3,0))</f>
        <v>32163823.68730662</v>
      </c>
      <c r="G291" s="31">
        <f>VLOOKUP($A291,$A$4:$O$28,4,0)*(HLOOKUP(G$285,'2.2.Brecha Efectiva x UdM'!$H$64:$AK$71,3,0))</f>
        <v>0</v>
      </c>
      <c r="H291" s="31">
        <f>VLOOKUP($A291,$A$4:$O$28,4,0)*(HLOOKUP(H$285,'2.2.Brecha Efectiva x UdM'!$H$64:$AK$71,3,0))</f>
        <v>0</v>
      </c>
      <c r="I291" s="31">
        <f>VLOOKUP($A291,$A$4:$O$28,4,0)*(HLOOKUP(I$285,'2.2.Brecha Efectiva x UdM'!$H$64:$AK$71,3,0))</f>
        <v>0</v>
      </c>
      <c r="J291" s="31">
        <f>VLOOKUP($A291,$A$4:$O$28,4,0)*(HLOOKUP(J$285,'2.2.Brecha Efectiva x UdM'!$H$64:$AK$71,3,0))</f>
        <v>0</v>
      </c>
      <c r="K291" s="31">
        <f>VLOOKUP($A291,$A$4:$O$28,4,0)*(HLOOKUP(K$285,'2.2.Brecha Efectiva x UdM'!$H$64:$AK$71,3,0))</f>
        <v>0</v>
      </c>
      <c r="L291" s="31">
        <f>VLOOKUP($A291,$A$4:$O$28,4,0)*(HLOOKUP(L$285,'2.2.Brecha Efectiva x UdM'!$H$64:$AK$71,3,0))</f>
        <v>0</v>
      </c>
      <c r="M291" s="31">
        <f>VLOOKUP($A291,$A$4:$O$28,4,0)*(HLOOKUP(M$285,'2.2.Brecha Efectiva x UdM'!$H$64:$AK$71,3,0))</f>
        <v>0</v>
      </c>
      <c r="N291" s="31">
        <f>VLOOKUP($A291,$A$4:$O$28,4,0)*(HLOOKUP(N$285,'2.2.Brecha Efectiva x UdM'!$H$64:$AK$71,3,0))</f>
        <v>0</v>
      </c>
      <c r="O291" s="31">
        <f>VLOOKUP($A291,$A$4:$O$28,4,0)*(HLOOKUP(O$285,'2.2.Brecha Efectiva x UdM'!$H$64:$AK$71,3,0))</f>
        <v>0</v>
      </c>
      <c r="P291" s="31">
        <f>VLOOKUP($A291,$A$4:$O$28,4,0)*(HLOOKUP(P$285,'2.2.Brecha Efectiva x UdM'!$H$64:$AK$71,3,0))</f>
        <v>0</v>
      </c>
      <c r="Q291" s="31">
        <f>VLOOKUP($A291,$A$4:$O$28,4,0)*(HLOOKUP(Q$285,'2.2.Brecha Efectiva x UdM'!$H$64:$AK$71,3,0))</f>
        <v>0</v>
      </c>
      <c r="R291" s="31">
        <f>VLOOKUP($A291,$A$4:$O$28,4,0)*(HLOOKUP(R$285,'2.2.Brecha Efectiva x UdM'!$H$64:$AK$71,3,0))</f>
        <v>0</v>
      </c>
      <c r="S291" s="31">
        <f>VLOOKUP($A291,$A$4:$O$28,4,0)*(HLOOKUP(S$285,'2.2.Brecha Efectiva x UdM'!$H$64:$AK$71,3,0))</f>
        <v>0</v>
      </c>
      <c r="T291" s="31">
        <f>VLOOKUP($A291,$A$4:$O$28,4,0)*(HLOOKUP(T$285,'2.2.Brecha Efectiva x UdM'!$H$64:$AK$71,3,0))</f>
        <v>0</v>
      </c>
      <c r="U291" s="31">
        <f>VLOOKUP($A291,$A$4:$O$28,4,0)*(HLOOKUP(U$285,'2.2.Brecha Efectiva x UdM'!$H$64:$AK$71,3,0))</f>
        <v>0</v>
      </c>
      <c r="V291" s="31">
        <f>VLOOKUP($A291,$A$4:$O$28,4,0)*(HLOOKUP(V$285,'2.2.Brecha Efectiva x UdM'!$H$64:$AK$71,3,0))</f>
        <v>0</v>
      </c>
      <c r="W291" s="31">
        <f>VLOOKUP($A291,$A$4:$O$28,4,0)*(HLOOKUP(W$285,'2.2.Brecha Efectiva x UdM'!$H$64:$AK$71,3,0))</f>
        <v>0</v>
      </c>
      <c r="X291" s="31">
        <f>VLOOKUP($A291,$A$4:$O$28,4,0)*(HLOOKUP(X$285,'2.2.Brecha Efectiva x UdM'!$H$64:$AK$71,3,0))</f>
        <v>0</v>
      </c>
      <c r="Y291" s="31">
        <f>VLOOKUP($A291,$A$4:$O$28,4,0)*(HLOOKUP(Y$285,'2.2.Brecha Efectiva x UdM'!$H$64:$AK$71,3,0))</f>
        <v>0</v>
      </c>
      <c r="Z291" s="31">
        <f>VLOOKUP($A291,$A$4:$O$28,4,0)*(HLOOKUP(Z$285,'2.2.Brecha Efectiva x UdM'!$H$64:$AK$71,3,0))</f>
        <v>0</v>
      </c>
      <c r="AA291" s="31">
        <f>VLOOKUP($A291,$A$4:$O$28,4,0)*(HLOOKUP(AA$285,'2.2.Brecha Efectiva x UdM'!$H$64:$AK$71,3,0))</f>
        <v>0</v>
      </c>
      <c r="AB291" s="31">
        <f>VLOOKUP($A291,$A$4:$O$28,4,0)*(HLOOKUP(AB$285,'2.2.Brecha Efectiva x UdM'!$H$64:$AK$71,3,0))</f>
        <v>0</v>
      </c>
      <c r="AC291" s="31">
        <f>VLOOKUP($A291,$A$4:$O$28,4,0)*(HLOOKUP(AC$285,'2.2.Brecha Efectiva x UdM'!$H$64:$AK$71,3,0))</f>
        <v>0</v>
      </c>
      <c r="AD291" s="31">
        <f>VLOOKUP($A291,$A$4:$O$28,4,0)*(HLOOKUP(AD$285,'2.2.Brecha Efectiva x UdM'!$H$64:$AK$71,3,0))</f>
        <v>0</v>
      </c>
      <c r="AE291" s="31">
        <f>VLOOKUP($A291,$A$4:$O$28,4,0)*(HLOOKUP(AE$285,'2.2.Brecha Efectiva x UdM'!$H$64:$AK$71,3,0))</f>
        <v>0</v>
      </c>
      <c r="AF291" s="31">
        <f>VLOOKUP($A291,$A$4:$O$28,4,0)*(HLOOKUP(AF$285,'2.2.Brecha Efectiva x UdM'!$H$64:$AK$71,3,0))</f>
        <v>0</v>
      </c>
      <c r="AG291" s="31">
        <f>VLOOKUP($A291,$A$4:$O$28,4,0)*(HLOOKUP(AG$285,'2.2.Brecha Efectiva x UdM'!$H$64:$AK$71,3,0))</f>
        <v>0</v>
      </c>
      <c r="AH291" s="63">
        <f t="shared" si="294"/>
        <v>73277528.502975017</v>
      </c>
    </row>
    <row r="292" spans="1:34" x14ac:dyDescent="0.2">
      <c r="A292" s="25" t="str">
        <f t="shared" si="291"/>
        <v>Corrientes</v>
      </c>
      <c r="B292" s="51" t="str">
        <f t="shared" si="292"/>
        <v>Nombre UdM 2</v>
      </c>
      <c r="C292" s="25" t="str">
        <f t="shared" si="293"/>
        <v>Corrientes Nombre UdM 2</v>
      </c>
      <c r="D292" s="32">
        <f>VLOOKUP($A292,$A$4:$O$28,4,0)*(HLOOKUP(D$285,'2.2.Brecha Efectiva x UdM'!$H$64:$AK$71,3,0))</f>
        <v>105623022.36972983</v>
      </c>
      <c r="E292" s="32">
        <f>VLOOKUP($A292,$A$4:$O$28,4,0)*(HLOOKUP(E$285,'2.2.Brecha Efectiva x UdM'!$H$64:$AK$71,3,0))</f>
        <v>113304847.53278695</v>
      </c>
      <c r="F292" s="32">
        <f>VLOOKUP($A292,$A$4:$O$28,4,0)*(HLOOKUP(F$285,'2.2.Brecha Efectiva x UdM'!$H$64:$AK$71,3,0))</f>
        <v>171270320.67172456</v>
      </c>
      <c r="G292" s="32">
        <f>VLOOKUP($A292,$A$4:$O$28,4,0)*(HLOOKUP(G$285,'2.2.Brecha Efectiva x UdM'!$H$64:$AK$71,3,0))</f>
        <v>0</v>
      </c>
      <c r="H292" s="32">
        <f>VLOOKUP($A292,$A$4:$O$28,4,0)*(HLOOKUP(H$285,'2.2.Brecha Efectiva x UdM'!$H$64:$AK$71,3,0))</f>
        <v>0</v>
      </c>
      <c r="I292" s="32">
        <f>VLOOKUP($A292,$A$4:$O$28,4,0)*(HLOOKUP(I$285,'2.2.Brecha Efectiva x UdM'!$H$64:$AK$71,3,0))</f>
        <v>0</v>
      </c>
      <c r="J292" s="32">
        <f>VLOOKUP($A292,$A$4:$O$28,4,0)*(HLOOKUP(J$285,'2.2.Brecha Efectiva x UdM'!$H$64:$AK$71,3,0))</f>
        <v>0</v>
      </c>
      <c r="K292" s="32">
        <f>VLOOKUP($A292,$A$4:$O$28,4,0)*(HLOOKUP(K$285,'2.2.Brecha Efectiva x UdM'!$H$64:$AK$71,3,0))</f>
        <v>0</v>
      </c>
      <c r="L292" s="32">
        <f>VLOOKUP($A292,$A$4:$O$28,4,0)*(HLOOKUP(L$285,'2.2.Brecha Efectiva x UdM'!$H$64:$AK$71,3,0))</f>
        <v>0</v>
      </c>
      <c r="M292" s="32">
        <f>VLOOKUP($A292,$A$4:$O$28,4,0)*(HLOOKUP(M$285,'2.2.Brecha Efectiva x UdM'!$H$64:$AK$71,3,0))</f>
        <v>0</v>
      </c>
      <c r="N292" s="32">
        <f>VLOOKUP($A292,$A$4:$O$28,4,0)*(HLOOKUP(N$285,'2.2.Brecha Efectiva x UdM'!$H$64:$AK$71,3,0))</f>
        <v>0</v>
      </c>
      <c r="O292" s="32">
        <f>VLOOKUP($A292,$A$4:$O$28,4,0)*(HLOOKUP(O$285,'2.2.Brecha Efectiva x UdM'!$H$64:$AK$71,3,0))</f>
        <v>0</v>
      </c>
      <c r="P292" s="32">
        <f>VLOOKUP($A292,$A$4:$O$28,4,0)*(HLOOKUP(P$285,'2.2.Brecha Efectiva x UdM'!$H$64:$AK$71,3,0))</f>
        <v>0</v>
      </c>
      <c r="Q292" s="32">
        <f>VLOOKUP($A292,$A$4:$O$28,4,0)*(HLOOKUP(Q$285,'2.2.Brecha Efectiva x UdM'!$H$64:$AK$71,3,0))</f>
        <v>0</v>
      </c>
      <c r="R292" s="32">
        <f>VLOOKUP($A292,$A$4:$O$28,4,0)*(HLOOKUP(R$285,'2.2.Brecha Efectiva x UdM'!$H$64:$AK$71,3,0))</f>
        <v>0</v>
      </c>
      <c r="S292" s="32">
        <f>VLOOKUP($A292,$A$4:$O$28,4,0)*(HLOOKUP(S$285,'2.2.Brecha Efectiva x UdM'!$H$64:$AK$71,3,0))</f>
        <v>0</v>
      </c>
      <c r="T292" s="32">
        <f>VLOOKUP($A292,$A$4:$O$28,4,0)*(HLOOKUP(T$285,'2.2.Brecha Efectiva x UdM'!$H$64:$AK$71,3,0))</f>
        <v>0</v>
      </c>
      <c r="U292" s="32">
        <f>VLOOKUP($A292,$A$4:$O$28,4,0)*(HLOOKUP(U$285,'2.2.Brecha Efectiva x UdM'!$H$64:$AK$71,3,0))</f>
        <v>0</v>
      </c>
      <c r="V292" s="32">
        <f>VLOOKUP($A292,$A$4:$O$28,4,0)*(HLOOKUP(V$285,'2.2.Brecha Efectiva x UdM'!$H$64:$AK$71,3,0))</f>
        <v>0</v>
      </c>
      <c r="W292" s="32">
        <f>VLOOKUP($A292,$A$4:$O$28,4,0)*(HLOOKUP(W$285,'2.2.Brecha Efectiva x UdM'!$H$64:$AK$71,3,0))</f>
        <v>0</v>
      </c>
      <c r="X292" s="32">
        <f>VLOOKUP($A292,$A$4:$O$28,4,0)*(HLOOKUP(X$285,'2.2.Brecha Efectiva x UdM'!$H$64:$AK$71,3,0))</f>
        <v>0</v>
      </c>
      <c r="Y292" s="32">
        <f>VLOOKUP($A292,$A$4:$O$28,4,0)*(HLOOKUP(Y$285,'2.2.Brecha Efectiva x UdM'!$H$64:$AK$71,3,0))</f>
        <v>0</v>
      </c>
      <c r="Z292" s="32">
        <f>VLOOKUP($A292,$A$4:$O$28,4,0)*(HLOOKUP(Z$285,'2.2.Brecha Efectiva x UdM'!$H$64:$AK$71,3,0))</f>
        <v>0</v>
      </c>
      <c r="AA292" s="32">
        <f>VLOOKUP($A292,$A$4:$O$28,4,0)*(HLOOKUP(AA$285,'2.2.Brecha Efectiva x UdM'!$H$64:$AK$71,3,0))</f>
        <v>0</v>
      </c>
      <c r="AB292" s="32">
        <f>VLOOKUP($A292,$A$4:$O$28,4,0)*(HLOOKUP(AB$285,'2.2.Brecha Efectiva x UdM'!$H$64:$AK$71,3,0))</f>
        <v>0</v>
      </c>
      <c r="AC292" s="32">
        <f>VLOOKUP($A292,$A$4:$O$28,4,0)*(HLOOKUP(AC$285,'2.2.Brecha Efectiva x UdM'!$H$64:$AK$71,3,0))</f>
        <v>0</v>
      </c>
      <c r="AD292" s="32">
        <f>VLOOKUP($A292,$A$4:$O$28,4,0)*(HLOOKUP(AD$285,'2.2.Brecha Efectiva x UdM'!$H$64:$AK$71,3,0))</f>
        <v>0</v>
      </c>
      <c r="AE292" s="32">
        <f>VLOOKUP($A292,$A$4:$O$28,4,0)*(HLOOKUP(AE$285,'2.2.Brecha Efectiva x UdM'!$H$64:$AK$71,3,0))</f>
        <v>0</v>
      </c>
      <c r="AF292" s="32">
        <f>VLOOKUP($A292,$A$4:$O$28,4,0)*(HLOOKUP(AF$285,'2.2.Brecha Efectiva x UdM'!$H$64:$AK$71,3,0))</f>
        <v>0</v>
      </c>
      <c r="AG292" s="32">
        <f>VLOOKUP($A292,$A$4:$O$28,4,0)*(HLOOKUP(AG$285,'2.2.Brecha Efectiva x UdM'!$H$64:$AK$71,3,0))</f>
        <v>0</v>
      </c>
      <c r="AH292" s="62">
        <f t="shared" si="294"/>
        <v>390198190.57424134</v>
      </c>
    </row>
    <row r="293" spans="1:34" x14ac:dyDescent="0.2">
      <c r="A293" s="26" t="str">
        <f t="shared" si="291"/>
        <v>Entre Ríos</v>
      </c>
      <c r="B293" s="52" t="str">
        <f t="shared" si="292"/>
        <v>Nombre UdM 2</v>
      </c>
      <c r="C293" s="26" t="str">
        <f t="shared" si="293"/>
        <v>Entre Ríos Nombre UdM 2</v>
      </c>
      <c r="D293" s="31">
        <f>VLOOKUP($A293,$A$4:$O$28,4,0)*(HLOOKUP(D$285,'2.2.Brecha Efectiva x UdM'!$H$64:$AK$71,3,0))</f>
        <v>165520828.05318004</v>
      </c>
      <c r="E293" s="31">
        <f>VLOOKUP($A293,$A$4:$O$28,4,0)*(HLOOKUP(E$285,'2.2.Brecha Efectiva x UdM'!$H$64:$AK$71,3,0))</f>
        <v>177558942.78822443</v>
      </c>
      <c r="F293" s="31">
        <f>VLOOKUP($A293,$A$4:$O$28,4,0)*(HLOOKUP(F$285,'2.2.Brecha Efectiva x UdM'!$H$64:$AK$71,3,0))</f>
        <v>268396081.29450688</v>
      </c>
      <c r="G293" s="31">
        <f>VLOOKUP($A293,$A$4:$O$28,4,0)*(HLOOKUP(G$285,'2.2.Brecha Efectiva x UdM'!$H$64:$AK$71,3,0))</f>
        <v>0</v>
      </c>
      <c r="H293" s="31">
        <f>VLOOKUP($A293,$A$4:$O$28,4,0)*(HLOOKUP(H$285,'2.2.Brecha Efectiva x UdM'!$H$64:$AK$71,3,0))</f>
        <v>0</v>
      </c>
      <c r="I293" s="31">
        <f>VLOOKUP($A293,$A$4:$O$28,4,0)*(HLOOKUP(I$285,'2.2.Brecha Efectiva x UdM'!$H$64:$AK$71,3,0))</f>
        <v>0</v>
      </c>
      <c r="J293" s="31">
        <f>VLOOKUP($A293,$A$4:$O$28,4,0)*(HLOOKUP(J$285,'2.2.Brecha Efectiva x UdM'!$H$64:$AK$71,3,0))</f>
        <v>0</v>
      </c>
      <c r="K293" s="31">
        <f>VLOOKUP($A293,$A$4:$O$28,4,0)*(HLOOKUP(K$285,'2.2.Brecha Efectiva x UdM'!$H$64:$AK$71,3,0))</f>
        <v>0</v>
      </c>
      <c r="L293" s="31">
        <f>VLOOKUP($A293,$A$4:$O$28,4,0)*(HLOOKUP(L$285,'2.2.Brecha Efectiva x UdM'!$H$64:$AK$71,3,0))</f>
        <v>0</v>
      </c>
      <c r="M293" s="31">
        <f>VLOOKUP($A293,$A$4:$O$28,4,0)*(HLOOKUP(M$285,'2.2.Brecha Efectiva x UdM'!$H$64:$AK$71,3,0))</f>
        <v>0</v>
      </c>
      <c r="N293" s="31">
        <f>VLOOKUP($A293,$A$4:$O$28,4,0)*(HLOOKUP(N$285,'2.2.Brecha Efectiva x UdM'!$H$64:$AK$71,3,0))</f>
        <v>0</v>
      </c>
      <c r="O293" s="31">
        <f>VLOOKUP($A293,$A$4:$O$28,4,0)*(HLOOKUP(O$285,'2.2.Brecha Efectiva x UdM'!$H$64:$AK$71,3,0))</f>
        <v>0</v>
      </c>
      <c r="P293" s="31">
        <f>VLOOKUP($A293,$A$4:$O$28,4,0)*(HLOOKUP(P$285,'2.2.Brecha Efectiva x UdM'!$H$64:$AK$71,3,0))</f>
        <v>0</v>
      </c>
      <c r="Q293" s="31">
        <f>VLOOKUP($A293,$A$4:$O$28,4,0)*(HLOOKUP(Q$285,'2.2.Brecha Efectiva x UdM'!$H$64:$AK$71,3,0))</f>
        <v>0</v>
      </c>
      <c r="R293" s="31">
        <f>VLOOKUP($A293,$A$4:$O$28,4,0)*(HLOOKUP(R$285,'2.2.Brecha Efectiva x UdM'!$H$64:$AK$71,3,0))</f>
        <v>0</v>
      </c>
      <c r="S293" s="31">
        <f>VLOOKUP($A293,$A$4:$O$28,4,0)*(HLOOKUP(S$285,'2.2.Brecha Efectiva x UdM'!$H$64:$AK$71,3,0))</f>
        <v>0</v>
      </c>
      <c r="T293" s="31">
        <f>VLOOKUP($A293,$A$4:$O$28,4,0)*(HLOOKUP(T$285,'2.2.Brecha Efectiva x UdM'!$H$64:$AK$71,3,0))</f>
        <v>0</v>
      </c>
      <c r="U293" s="31">
        <f>VLOOKUP($A293,$A$4:$O$28,4,0)*(HLOOKUP(U$285,'2.2.Brecha Efectiva x UdM'!$H$64:$AK$71,3,0))</f>
        <v>0</v>
      </c>
      <c r="V293" s="31">
        <f>VLOOKUP($A293,$A$4:$O$28,4,0)*(HLOOKUP(V$285,'2.2.Brecha Efectiva x UdM'!$H$64:$AK$71,3,0))</f>
        <v>0</v>
      </c>
      <c r="W293" s="31">
        <f>VLOOKUP($A293,$A$4:$O$28,4,0)*(HLOOKUP(W$285,'2.2.Brecha Efectiva x UdM'!$H$64:$AK$71,3,0))</f>
        <v>0</v>
      </c>
      <c r="X293" s="31">
        <f>VLOOKUP($A293,$A$4:$O$28,4,0)*(HLOOKUP(X$285,'2.2.Brecha Efectiva x UdM'!$H$64:$AK$71,3,0))</f>
        <v>0</v>
      </c>
      <c r="Y293" s="31">
        <f>VLOOKUP($A293,$A$4:$O$28,4,0)*(HLOOKUP(Y$285,'2.2.Brecha Efectiva x UdM'!$H$64:$AK$71,3,0))</f>
        <v>0</v>
      </c>
      <c r="Z293" s="31">
        <f>VLOOKUP($A293,$A$4:$O$28,4,0)*(HLOOKUP(Z$285,'2.2.Brecha Efectiva x UdM'!$H$64:$AK$71,3,0))</f>
        <v>0</v>
      </c>
      <c r="AA293" s="31">
        <f>VLOOKUP($A293,$A$4:$O$28,4,0)*(HLOOKUP(AA$285,'2.2.Brecha Efectiva x UdM'!$H$64:$AK$71,3,0))</f>
        <v>0</v>
      </c>
      <c r="AB293" s="31">
        <f>VLOOKUP($A293,$A$4:$O$28,4,0)*(HLOOKUP(AB$285,'2.2.Brecha Efectiva x UdM'!$H$64:$AK$71,3,0))</f>
        <v>0</v>
      </c>
      <c r="AC293" s="31">
        <f>VLOOKUP($A293,$A$4:$O$28,4,0)*(HLOOKUP(AC$285,'2.2.Brecha Efectiva x UdM'!$H$64:$AK$71,3,0))</f>
        <v>0</v>
      </c>
      <c r="AD293" s="31">
        <f>VLOOKUP($A293,$A$4:$O$28,4,0)*(HLOOKUP(AD$285,'2.2.Brecha Efectiva x UdM'!$H$64:$AK$71,3,0))</f>
        <v>0</v>
      </c>
      <c r="AE293" s="31">
        <f>VLOOKUP($A293,$A$4:$O$28,4,0)*(HLOOKUP(AE$285,'2.2.Brecha Efectiva x UdM'!$H$64:$AK$71,3,0))</f>
        <v>0</v>
      </c>
      <c r="AF293" s="31">
        <f>VLOOKUP($A293,$A$4:$O$28,4,0)*(HLOOKUP(AF$285,'2.2.Brecha Efectiva x UdM'!$H$64:$AK$71,3,0))</f>
        <v>0</v>
      </c>
      <c r="AG293" s="31">
        <f>VLOOKUP($A293,$A$4:$O$28,4,0)*(HLOOKUP(AG$285,'2.2.Brecha Efectiva x UdM'!$H$64:$AK$71,3,0))</f>
        <v>0</v>
      </c>
      <c r="AH293" s="63">
        <f t="shared" si="294"/>
        <v>611475852.13591135</v>
      </c>
    </row>
    <row r="294" spans="1:34" x14ac:dyDescent="0.2">
      <c r="A294" s="25" t="str">
        <f t="shared" si="291"/>
        <v>Formosa</v>
      </c>
      <c r="B294" s="51" t="str">
        <f t="shared" si="292"/>
        <v>Nombre UdM 2</v>
      </c>
      <c r="C294" s="25" t="str">
        <f t="shared" si="293"/>
        <v>Formosa Nombre UdM 2</v>
      </c>
      <c r="D294" s="32">
        <f>VLOOKUP($A294,$A$4:$O$28,4,0)*(HLOOKUP(D$285,'2.2.Brecha Efectiva x UdM'!$H$64:$AK$71,3,0))</f>
        <v>103133530.76686673</v>
      </c>
      <c r="E294" s="32">
        <f>VLOOKUP($A294,$A$4:$O$28,4,0)*(HLOOKUP(E$285,'2.2.Brecha Efectiva x UdM'!$H$64:$AK$71,3,0))</f>
        <v>110634298.44066595</v>
      </c>
      <c r="F294" s="32">
        <f>VLOOKUP($A294,$A$4:$O$28,4,0)*(HLOOKUP(F$285,'2.2.Brecha Efectiva x UdM'!$H$64:$AK$71,3,0))</f>
        <v>167233548.99481291</v>
      </c>
      <c r="G294" s="32">
        <f>VLOOKUP($A294,$A$4:$O$28,4,0)*(HLOOKUP(G$285,'2.2.Brecha Efectiva x UdM'!$H$64:$AK$71,3,0))</f>
        <v>0</v>
      </c>
      <c r="H294" s="32">
        <f>VLOOKUP($A294,$A$4:$O$28,4,0)*(HLOOKUP(H$285,'2.2.Brecha Efectiva x UdM'!$H$64:$AK$71,3,0))</f>
        <v>0</v>
      </c>
      <c r="I294" s="32">
        <f>VLOOKUP($A294,$A$4:$O$28,4,0)*(HLOOKUP(I$285,'2.2.Brecha Efectiva x UdM'!$H$64:$AK$71,3,0))</f>
        <v>0</v>
      </c>
      <c r="J294" s="32">
        <f>VLOOKUP($A294,$A$4:$O$28,4,0)*(HLOOKUP(J$285,'2.2.Brecha Efectiva x UdM'!$H$64:$AK$71,3,0))</f>
        <v>0</v>
      </c>
      <c r="K294" s="32">
        <f>VLOOKUP($A294,$A$4:$O$28,4,0)*(HLOOKUP(K$285,'2.2.Brecha Efectiva x UdM'!$H$64:$AK$71,3,0))</f>
        <v>0</v>
      </c>
      <c r="L294" s="32">
        <f>VLOOKUP($A294,$A$4:$O$28,4,0)*(HLOOKUP(L$285,'2.2.Brecha Efectiva x UdM'!$H$64:$AK$71,3,0))</f>
        <v>0</v>
      </c>
      <c r="M294" s="32">
        <f>VLOOKUP($A294,$A$4:$O$28,4,0)*(HLOOKUP(M$285,'2.2.Brecha Efectiva x UdM'!$H$64:$AK$71,3,0))</f>
        <v>0</v>
      </c>
      <c r="N294" s="32">
        <f>VLOOKUP($A294,$A$4:$O$28,4,0)*(HLOOKUP(N$285,'2.2.Brecha Efectiva x UdM'!$H$64:$AK$71,3,0))</f>
        <v>0</v>
      </c>
      <c r="O294" s="32">
        <f>VLOOKUP($A294,$A$4:$O$28,4,0)*(HLOOKUP(O$285,'2.2.Brecha Efectiva x UdM'!$H$64:$AK$71,3,0))</f>
        <v>0</v>
      </c>
      <c r="P294" s="32">
        <f>VLOOKUP($A294,$A$4:$O$28,4,0)*(HLOOKUP(P$285,'2.2.Brecha Efectiva x UdM'!$H$64:$AK$71,3,0))</f>
        <v>0</v>
      </c>
      <c r="Q294" s="32">
        <f>VLOOKUP($A294,$A$4:$O$28,4,0)*(HLOOKUP(Q$285,'2.2.Brecha Efectiva x UdM'!$H$64:$AK$71,3,0))</f>
        <v>0</v>
      </c>
      <c r="R294" s="32">
        <f>VLOOKUP($A294,$A$4:$O$28,4,0)*(HLOOKUP(R$285,'2.2.Brecha Efectiva x UdM'!$H$64:$AK$71,3,0))</f>
        <v>0</v>
      </c>
      <c r="S294" s="32">
        <f>VLOOKUP($A294,$A$4:$O$28,4,0)*(HLOOKUP(S$285,'2.2.Brecha Efectiva x UdM'!$H$64:$AK$71,3,0))</f>
        <v>0</v>
      </c>
      <c r="T294" s="32">
        <f>VLOOKUP($A294,$A$4:$O$28,4,0)*(HLOOKUP(T$285,'2.2.Brecha Efectiva x UdM'!$H$64:$AK$71,3,0))</f>
        <v>0</v>
      </c>
      <c r="U294" s="32">
        <f>VLOOKUP($A294,$A$4:$O$28,4,0)*(HLOOKUP(U$285,'2.2.Brecha Efectiva x UdM'!$H$64:$AK$71,3,0))</f>
        <v>0</v>
      </c>
      <c r="V294" s="32">
        <f>VLOOKUP($A294,$A$4:$O$28,4,0)*(HLOOKUP(V$285,'2.2.Brecha Efectiva x UdM'!$H$64:$AK$71,3,0))</f>
        <v>0</v>
      </c>
      <c r="W294" s="32">
        <f>VLOOKUP($A294,$A$4:$O$28,4,0)*(HLOOKUP(W$285,'2.2.Brecha Efectiva x UdM'!$H$64:$AK$71,3,0))</f>
        <v>0</v>
      </c>
      <c r="X294" s="32">
        <f>VLOOKUP($A294,$A$4:$O$28,4,0)*(HLOOKUP(X$285,'2.2.Brecha Efectiva x UdM'!$H$64:$AK$71,3,0))</f>
        <v>0</v>
      </c>
      <c r="Y294" s="32">
        <f>VLOOKUP($A294,$A$4:$O$28,4,0)*(HLOOKUP(Y$285,'2.2.Brecha Efectiva x UdM'!$H$64:$AK$71,3,0))</f>
        <v>0</v>
      </c>
      <c r="Z294" s="32">
        <f>VLOOKUP($A294,$A$4:$O$28,4,0)*(HLOOKUP(Z$285,'2.2.Brecha Efectiva x UdM'!$H$64:$AK$71,3,0))</f>
        <v>0</v>
      </c>
      <c r="AA294" s="32">
        <f>VLOOKUP($A294,$A$4:$O$28,4,0)*(HLOOKUP(AA$285,'2.2.Brecha Efectiva x UdM'!$H$64:$AK$71,3,0))</f>
        <v>0</v>
      </c>
      <c r="AB294" s="32">
        <f>VLOOKUP($A294,$A$4:$O$28,4,0)*(HLOOKUP(AB$285,'2.2.Brecha Efectiva x UdM'!$H$64:$AK$71,3,0))</f>
        <v>0</v>
      </c>
      <c r="AC294" s="32">
        <f>VLOOKUP($A294,$A$4:$O$28,4,0)*(HLOOKUP(AC$285,'2.2.Brecha Efectiva x UdM'!$H$64:$AK$71,3,0))</f>
        <v>0</v>
      </c>
      <c r="AD294" s="32">
        <f>VLOOKUP($A294,$A$4:$O$28,4,0)*(HLOOKUP(AD$285,'2.2.Brecha Efectiva x UdM'!$H$64:$AK$71,3,0))</f>
        <v>0</v>
      </c>
      <c r="AE294" s="32">
        <f>VLOOKUP($A294,$A$4:$O$28,4,0)*(HLOOKUP(AE$285,'2.2.Brecha Efectiva x UdM'!$H$64:$AK$71,3,0))</f>
        <v>0</v>
      </c>
      <c r="AF294" s="32">
        <f>VLOOKUP($A294,$A$4:$O$28,4,0)*(HLOOKUP(AF$285,'2.2.Brecha Efectiva x UdM'!$H$64:$AK$71,3,0))</f>
        <v>0</v>
      </c>
      <c r="AG294" s="32">
        <f>VLOOKUP($A294,$A$4:$O$28,4,0)*(HLOOKUP(AG$285,'2.2.Brecha Efectiva x UdM'!$H$64:$AK$71,3,0))</f>
        <v>0</v>
      </c>
      <c r="AH294" s="62">
        <f t="shared" si="294"/>
        <v>381001378.20234561</v>
      </c>
    </row>
    <row r="295" spans="1:34" x14ac:dyDescent="0.2">
      <c r="A295" s="26" t="str">
        <f t="shared" si="291"/>
        <v>Jujuy</v>
      </c>
      <c r="B295" s="52" t="str">
        <f t="shared" si="292"/>
        <v>Nombre UdM 2</v>
      </c>
      <c r="C295" s="26" t="str">
        <f t="shared" si="293"/>
        <v>Jujuy Nombre UdM 2</v>
      </c>
      <c r="D295" s="31">
        <f>VLOOKUP($A295,$A$4:$O$28,4,0)*(HLOOKUP(D$285,'2.2.Brecha Efectiva x UdM'!$H$64:$AK$71,3,0))</f>
        <v>72598169.500852257</v>
      </c>
      <c r="E295" s="31">
        <f>VLOOKUP($A295,$A$4:$O$28,4,0)*(HLOOKUP(E$285,'2.2.Brecha Efectiva x UdM'!$H$64:$AK$71,3,0))</f>
        <v>77878140.0295441</v>
      </c>
      <c r="F295" s="31">
        <f>VLOOKUP($A295,$A$4:$O$28,4,0)*(HLOOKUP(F$285,'2.2.Brecha Efectiva x UdM'!$H$64:$AK$71,3,0))</f>
        <v>117719711.96834995</v>
      </c>
      <c r="G295" s="31">
        <f>VLOOKUP($A295,$A$4:$O$28,4,0)*(HLOOKUP(G$285,'2.2.Brecha Efectiva x UdM'!$H$64:$AK$71,3,0))</f>
        <v>0</v>
      </c>
      <c r="H295" s="31">
        <f>VLOOKUP($A295,$A$4:$O$28,4,0)*(HLOOKUP(H$285,'2.2.Brecha Efectiva x UdM'!$H$64:$AK$71,3,0))</f>
        <v>0</v>
      </c>
      <c r="I295" s="31">
        <f>VLOOKUP($A295,$A$4:$O$28,4,0)*(HLOOKUP(I$285,'2.2.Brecha Efectiva x UdM'!$H$64:$AK$71,3,0))</f>
        <v>0</v>
      </c>
      <c r="J295" s="31">
        <f>VLOOKUP($A295,$A$4:$O$28,4,0)*(HLOOKUP(J$285,'2.2.Brecha Efectiva x UdM'!$H$64:$AK$71,3,0))</f>
        <v>0</v>
      </c>
      <c r="K295" s="31">
        <f>VLOOKUP($A295,$A$4:$O$28,4,0)*(HLOOKUP(K$285,'2.2.Brecha Efectiva x UdM'!$H$64:$AK$71,3,0))</f>
        <v>0</v>
      </c>
      <c r="L295" s="31">
        <f>VLOOKUP($A295,$A$4:$O$28,4,0)*(HLOOKUP(L$285,'2.2.Brecha Efectiva x UdM'!$H$64:$AK$71,3,0))</f>
        <v>0</v>
      </c>
      <c r="M295" s="31">
        <f>VLOOKUP($A295,$A$4:$O$28,4,0)*(HLOOKUP(M$285,'2.2.Brecha Efectiva x UdM'!$H$64:$AK$71,3,0))</f>
        <v>0</v>
      </c>
      <c r="N295" s="31">
        <f>VLOOKUP($A295,$A$4:$O$28,4,0)*(HLOOKUP(N$285,'2.2.Brecha Efectiva x UdM'!$H$64:$AK$71,3,0))</f>
        <v>0</v>
      </c>
      <c r="O295" s="31">
        <f>VLOOKUP($A295,$A$4:$O$28,4,0)*(HLOOKUP(O$285,'2.2.Brecha Efectiva x UdM'!$H$64:$AK$71,3,0))</f>
        <v>0</v>
      </c>
      <c r="P295" s="31">
        <f>VLOOKUP($A295,$A$4:$O$28,4,0)*(HLOOKUP(P$285,'2.2.Brecha Efectiva x UdM'!$H$64:$AK$71,3,0))</f>
        <v>0</v>
      </c>
      <c r="Q295" s="31">
        <f>VLOOKUP($A295,$A$4:$O$28,4,0)*(HLOOKUP(Q$285,'2.2.Brecha Efectiva x UdM'!$H$64:$AK$71,3,0))</f>
        <v>0</v>
      </c>
      <c r="R295" s="31">
        <f>VLOOKUP($A295,$A$4:$O$28,4,0)*(HLOOKUP(R$285,'2.2.Brecha Efectiva x UdM'!$H$64:$AK$71,3,0))</f>
        <v>0</v>
      </c>
      <c r="S295" s="31">
        <f>VLOOKUP($A295,$A$4:$O$28,4,0)*(HLOOKUP(S$285,'2.2.Brecha Efectiva x UdM'!$H$64:$AK$71,3,0))</f>
        <v>0</v>
      </c>
      <c r="T295" s="31">
        <f>VLOOKUP($A295,$A$4:$O$28,4,0)*(HLOOKUP(T$285,'2.2.Brecha Efectiva x UdM'!$H$64:$AK$71,3,0))</f>
        <v>0</v>
      </c>
      <c r="U295" s="31">
        <f>VLOOKUP($A295,$A$4:$O$28,4,0)*(HLOOKUP(U$285,'2.2.Brecha Efectiva x UdM'!$H$64:$AK$71,3,0))</f>
        <v>0</v>
      </c>
      <c r="V295" s="31">
        <f>VLOOKUP($A295,$A$4:$O$28,4,0)*(HLOOKUP(V$285,'2.2.Brecha Efectiva x UdM'!$H$64:$AK$71,3,0))</f>
        <v>0</v>
      </c>
      <c r="W295" s="31">
        <f>VLOOKUP($A295,$A$4:$O$28,4,0)*(HLOOKUP(W$285,'2.2.Brecha Efectiva x UdM'!$H$64:$AK$71,3,0))</f>
        <v>0</v>
      </c>
      <c r="X295" s="31">
        <f>VLOOKUP($A295,$A$4:$O$28,4,0)*(HLOOKUP(X$285,'2.2.Brecha Efectiva x UdM'!$H$64:$AK$71,3,0))</f>
        <v>0</v>
      </c>
      <c r="Y295" s="31">
        <f>VLOOKUP($A295,$A$4:$O$28,4,0)*(HLOOKUP(Y$285,'2.2.Brecha Efectiva x UdM'!$H$64:$AK$71,3,0))</f>
        <v>0</v>
      </c>
      <c r="Z295" s="31">
        <f>VLOOKUP($A295,$A$4:$O$28,4,0)*(HLOOKUP(Z$285,'2.2.Brecha Efectiva x UdM'!$H$64:$AK$71,3,0))</f>
        <v>0</v>
      </c>
      <c r="AA295" s="31">
        <f>VLOOKUP($A295,$A$4:$O$28,4,0)*(HLOOKUP(AA$285,'2.2.Brecha Efectiva x UdM'!$H$64:$AK$71,3,0))</f>
        <v>0</v>
      </c>
      <c r="AB295" s="31">
        <f>VLOOKUP($A295,$A$4:$O$28,4,0)*(HLOOKUP(AB$285,'2.2.Brecha Efectiva x UdM'!$H$64:$AK$71,3,0))</f>
        <v>0</v>
      </c>
      <c r="AC295" s="31">
        <f>VLOOKUP($A295,$A$4:$O$28,4,0)*(HLOOKUP(AC$285,'2.2.Brecha Efectiva x UdM'!$H$64:$AK$71,3,0))</f>
        <v>0</v>
      </c>
      <c r="AD295" s="31">
        <f>VLOOKUP($A295,$A$4:$O$28,4,0)*(HLOOKUP(AD$285,'2.2.Brecha Efectiva x UdM'!$H$64:$AK$71,3,0))</f>
        <v>0</v>
      </c>
      <c r="AE295" s="31">
        <f>VLOOKUP($A295,$A$4:$O$28,4,0)*(HLOOKUP(AE$285,'2.2.Brecha Efectiva x UdM'!$H$64:$AK$71,3,0))</f>
        <v>0</v>
      </c>
      <c r="AF295" s="31">
        <f>VLOOKUP($A295,$A$4:$O$28,4,0)*(HLOOKUP(AF$285,'2.2.Brecha Efectiva x UdM'!$H$64:$AK$71,3,0))</f>
        <v>0</v>
      </c>
      <c r="AG295" s="31">
        <f>VLOOKUP($A295,$A$4:$O$28,4,0)*(HLOOKUP(AG$285,'2.2.Brecha Efectiva x UdM'!$H$64:$AK$71,3,0))</f>
        <v>0</v>
      </c>
      <c r="AH295" s="63">
        <f t="shared" si="294"/>
        <v>268196021.49874628</v>
      </c>
    </row>
    <row r="296" spans="1:34" x14ac:dyDescent="0.2">
      <c r="A296" s="25" t="str">
        <f t="shared" si="291"/>
        <v>La Pampa</v>
      </c>
      <c r="B296" s="51" t="str">
        <f t="shared" si="292"/>
        <v>Nombre UdM 2</v>
      </c>
      <c r="C296" s="25" t="str">
        <f t="shared" si="293"/>
        <v>La Pampa Nombre UdM 2</v>
      </c>
      <c r="D296" s="32">
        <f>VLOOKUP($A296,$A$4:$O$28,4,0)*(HLOOKUP(D$285,'2.2.Brecha Efectiva x UdM'!$H$64:$AK$71,3,0))</f>
        <v>9917772.8385642357</v>
      </c>
      <c r="E296" s="32">
        <f>VLOOKUP($A296,$A$4:$O$28,4,0)*(HLOOKUP(E$285,'2.2.Brecha Efectiva x UdM'!$H$64:$AK$71,3,0))</f>
        <v>10639079.569269959</v>
      </c>
      <c r="F296" s="32">
        <f>VLOOKUP($A296,$A$4:$O$28,4,0)*(HLOOKUP(F$285,'2.2.Brecha Efectiva x UdM'!$H$64:$AK$71,3,0))</f>
        <v>16081911.84365331</v>
      </c>
      <c r="G296" s="32">
        <f>VLOOKUP($A296,$A$4:$O$28,4,0)*(HLOOKUP(G$285,'2.2.Brecha Efectiva x UdM'!$H$64:$AK$71,3,0))</f>
        <v>0</v>
      </c>
      <c r="H296" s="32">
        <f>VLOOKUP($A296,$A$4:$O$28,4,0)*(HLOOKUP(H$285,'2.2.Brecha Efectiva x UdM'!$H$64:$AK$71,3,0))</f>
        <v>0</v>
      </c>
      <c r="I296" s="32">
        <f>VLOOKUP($A296,$A$4:$O$28,4,0)*(HLOOKUP(I$285,'2.2.Brecha Efectiva x UdM'!$H$64:$AK$71,3,0))</f>
        <v>0</v>
      </c>
      <c r="J296" s="32">
        <f>VLOOKUP($A296,$A$4:$O$28,4,0)*(HLOOKUP(J$285,'2.2.Brecha Efectiva x UdM'!$H$64:$AK$71,3,0))</f>
        <v>0</v>
      </c>
      <c r="K296" s="32">
        <f>VLOOKUP($A296,$A$4:$O$28,4,0)*(HLOOKUP(K$285,'2.2.Brecha Efectiva x UdM'!$H$64:$AK$71,3,0))</f>
        <v>0</v>
      </c>
      <c r="L296" s="32">
        <f>VLOOKUP($A296,$A$4:$O$28,4,0)*(HLOOKUP(L$285,'2.2.Brecha Efectiva x UdM'!$H$64:$AK$71,3,0))</f>
        <v>0</v>
      </c>
      <c r="M296" s="32">
        <f>VLOOKUP($A296,$A$4:$O$28,4,0)*(HLOOKUP(M$285,'2.2.Brecha Efectiva x UdM'!$H$64:$AK$71,3,0))</f>
        <v>0</v>
      </c>
      <c r="N296" s="32">
        <f>VLOOKUP($A296,$A$4:$O$28,4,0)*(HLOOKUP(N$285,'2.2.Brecha Efectiva x UdM'!$H$64:$AK$71,3,0))</f>
        <v>0</v>
      </c>
      <c r="O296" s="32">
        <f>VLOOKUP($A296,$A$4:$O$28,4,0)*(HLOOKUP(O$285,'2.2.Brecha Efectiva x UdM'!$H$64:$AK$71,3,0))</f>
        <v>0</v>
      </c>
      <c r="P296" s="32">
        <f>VLOOKUP($A296,$A$4:$O$28,4,0)*(HLOOKUP(P$285,'2.2.Brecha Efectiva x UdM'!$H$64:$AK$71,3,0))</f>
        <v>0</v>
      </c>
      <c r="Q296" s="32">
        <f>VLOOKUP($A296,$A$4:$O$28,4,0)*(HLOOKUP(Q$285,'2.2.Brecha Efectiva x UdM'!$H$64:$AK$71,3,0))</f>
        <v>0</v>
      </c>
      <c r="R296" s="32">
        <f>VLOOKUP($A296,$A$4:$O$28,4,0)*(HLOOKUP(R$285,'2.2.Brecha Efectiva x UdM'!$H$64:$AK$71,3,0))</f>
        <v>0</v>
      </c>
      <c r="S296" s="32">
        <f>VLOOKUP($A296,$A$4:$O$28,4,0)*(HLOOKUP(S$285,'2.2.Brecha Efectiva x UdM'!$H$64:$AK$71,3,0))</f>
        <v>0</v>
      </c>
      <c r="T296" s="32">
        <f>VLOOKUP($A296,$A$4:$O$28,4,0)*(HLOOKUP(T$285,'2.2.Brecha Efectiva x UdM'!$H$64:$AK$71,3,0))</f>
        <v>0</v>
      </c>
      <c r="U296" s="32">
        <f>VLOOKUP($A296,$A$4:$O$28,4,0)*(HLOOKUP(U$285,'2.2.Brecha Efectiva x UdM'!$H$64:$AK$71,3,0))</f>
        <v>0</v>
      </c>
      <c r="V296" s="32">
        <f>VLOOKUP($A296,$A$4:$O$28,4,0)*(HLOOKUP(V$285,'2.2.Brecha Efectiva x UdM'!$H$64:$AK$71,3,0))</f>
        <v>0</v>
      </c>
      <c r="W296" s="32">
        <f>VLOOKUP($A296,$A$4:$O$28,4,0)*(HLOOKUP(W$285,'2.2.Brecha Efectiva x UdM'!$H$64:$AK$71,3,0))</f>
        <v>0</v>
      </c>
      <c r="X296" s="32">
        <f>VLOOKUP($A296,$A$4:$O$28,4,0)*(HLOOKUP(X$285,'2.2.Brecha Efectiva x UdM'!$H$64:$AK$71,3,0))</f>
        <v>0</v>
      </c>
      <c r="Y296" s="32">
        <f>VLOOKUP($A296,$A$4:$O$28,4,0)*(HLOOKUP(Y$285,'2.2.Brecha Efectiva x UdM'!$H$64:$AK$71,3,0))</f>
        <v>0</v>
      </c>
      <c r="Z296" s="32">
        <f>VLOOKUP($A296,$A$4:$O$28,4,0)*(HLOOKUP(Z$285,'2.2.Brecha Efectiva x UdM'!$H$64:$AK$71,3,0))</f>
        <v>0</v>
      </c>
      <c r="AA296" s="32">
        <f>VLOOKUP($A296,$A$4:$O$28,4,0)*(HLOOKUP(AA$285,'2.2.Brecha Efectiva x UdM'!$H$64:$AK$71,3,0))</f>
        <v>0</v>
      </c>
      <c r="AB296" s="32">
        <f>VLOOKUP($A296,$A$4:$O$28,4,0)*(HLOOKUP(AB$285,'2.2.Brecha Efectiva x UdM'!$H$64:$AK$71,3,0))</f>
        <v>0</v>
      </c>
      <c r="AC296" s="32">
        <f>VLOOKUP($A296,$A$4:$O$28,4,0)*(HLOOKUP(AC$285,'2.2.Brecha Efectiva x UdM'!$H$64:$AK$71,3,0))</f>
        <v>0</v>
      </c>
      <c r="AD296" s="32">
        <f>VLOOKUP($A296,$A$4:$O$28,4,0)*(HLOOKUP(AD$285,'2.2.Brecha Efectiva x UdM'!$H$64:$AK$71,3,0))</f>
        <v>0</v>
      </c>
      <c r="AE296" s="32">
        <f>VLOOKUP($A296,$A$4:$O$28,4,0)*(HLOOKUP(AE$285,'2.2.Brecha Efectiva x UdM'!$H$64:$AK$71,3,0))</f>
        <v>0</v>
      </c>
      <c r="AF296" s="32">
        <f>VLOOKUP($A296,$A$4:$O$28,4,0)*(HLOOKUP(AF$285,'2.2.Brecha Efectiva x UdM'!$H$64:$AK$71,3,0))</f>
        <v>0</v>
      </c>
      <c r="AG296" s="32">
        <f>VLOOKUP($A296,$A$4:$O$28,4,0)*(HLOOKUP(AG$285,'2.2.Brecha Efectiva x UdM'!$H$64:$AK$71,3,0))</f>
        <v>0</v>
      </c>
      <c r="AH296" s="62">
        <f t="shared" si="294"/>
        <v>36638764.251487508</v>
      </c>
    </row>
    <row r="297" spans="1:34" x14ac:dyDescent="0.2">
      <c r="A297" s="26" t="str">
        <f t="shared" si="291"/>
        <v>La Rioja</v>
      </c>
      <c r="B297" s="52" t="str">
        <f t="shared" si="292"/>
        <v>Nombre UdM 2</v>
      </c>
      <c r="C297" s="26" t="str">
        <f t="shared" si="293"/>
        <v>La Rioja Nombre UdM 2</v>
      </c>
      <c r="D297" s="31">
        <f>VLOOKUP($A297,$A$4:$O$28,4,0)*(HLOOKUP(D$285,'2.2.Brecha Efectiva x UdM'!$H$64:$AK$71,3,0))</f>
        <v>18362881.442734975</v>
      </c>
      <c r="E297" s="31">
        <f>VLOOKUP($A297,$A$4:$O$28,4,0)*(HLOOKUP(E$285,'2.2.Brecha Efectiva x UdM'!$H$64:$AK$71,3,0))</f>
        <v>19698389.948061198</v>
      </c>
      <c r="F297" s="31">
        <f>VLOOKUP($A297,$A$4:$O$28,4,0)*(HLOOKUP(F$285,'2.2.Brecha Efectiva x UdM'!$H$64:$AK$71,3,0))</f>
        <v>29775862.521194048</v>
      </c>
      <c r="G297" s="31">
        <f>VLOOKUP($A297,$A$4:$O$28,4,0)*(HLOOKUP(G$285,'2.2.Brecha Efectiva x UdM'!$H$64:$AK$71,3,0))</f>
        <v>0</v>
      </c>
      <c r="H297" s="31">
        <f>VLOOKUP($A297,$A$4:$O$28,4,0)*(HLOOKUP(H$285,'2.2.Brecha Efectiva x UdM'!$H$64:$AK$71,3,0))</f>
        <v>0</v>
      </c>
      <c r="I297" s="31">
        <f>VLOOKUP($A297,$A$4:$O$28,4,0)*(HLOOKUP(I$285,'2.2.Brecha Efectiva x UdM'!$H$64:$AK$71,3,0))</f>
        <v>0</v>
      </c>
      <c r="J297" s="31">
        <f>VLOOKUP($A297,$A$4:$O$28,4,0)*(HLOOKUP(J$285,'2.2.Brecha Efectiva x UdM'!$H$64:$AK$71,3,0))</f>
        <v>0</v>
      </c>
      <c r="K297" s="31">
        <f>VLOOKUP($A297,$A$4:$O$28,4,0)*(HLOOKUP(K$285,'2.2.Brecha Efectiva x UdM'!$H$64:$AK$71,3,0))</f>
        <v>0</v>
      </c>
      <c r="L297" s="31">
        <f>VLOOKUP($A297,$A$4:$O$28,4,0)*(HLOOKUP(L$285,'2.2.Brecha Efectiva x UdM'!$H$64:$AK$71,3,0))</f>
        <v>0</v>
      </c>
      <c r="M297" s="31">
        <f>VLOOKUP($A297,$A$4:$O$28,4,0)*(HLOOKUP(M$285,'2.2.Brecha Efectiva x UdM'!$H$64:$AK$71,3,0))</f>
        <v>0</v>
      </c>
      <c r="N297" s="31">
        <f>VLOOKUP($A297,$A$4:$O$28,4,0)*(HLOOKUP(N$285,'2.2.Brecha Efectiva x UdM'!$H$64:$AK$71,3,0))</f>
        <v>0</v>
      </c>
      <c r="O297" s="31">
        <f>VLOOKUP($A297,$A$4:$O$28,4,0)*(HLOOKUP(O$285,'2.2.Brecha Efectiva x UdM'!$H$64:$AK$71,3,0))</f>
        <v>0</v>
      </c>
      <c r="P297" s="31">
        <f>VLOOKUP($A297,$A$4:$O$28,4,0)*(HLOOKUP(P$285,'2.2.Brecha Efectiva x UdM'!$H$64:$AK$71,3,0))</f>
        <v>0</v>
      </c>
      <c r="Q297" s="31">
        <f>VLOOKUP($A297,$A$4:$O$28,4,0)*(HLOOKUP(Q$285,'2.2.Brecha Efectiva x UdM'!$H$64:$AK$71,3,0))</f>
        <v>0</v>
      </c>
      <c r="R297" s="31">
        <f>VLOOKUP($A297,$A$4:$O$28,4,0)*(HLOOKUP(R$285,'2.2.Brecha Efectiva x UdM'!$H$64:$AK$71,3,0))</f>
        <v>0</v>
      </c>
      <c r="S297" s="31">
        <f>VLOOKUP($A297,$A$4:$O$28,4,0)*(HLOOKUP(S$285,'2.2.Brecha Efectiva x UdM'!$H$64:$AK$71,3,0))</f>
        <v>0</v>
      </c>
      <c r="T297" s="31">
        <f>VLOOKUP($A297,$A$4:$O$28,4,0)*(HLOOKUP(T$285,'2.2.Brecha Efectiva x UdM'!$H$64:$AK$71,3,0))</f>
        <v>0</v>
      </c>
      <c r="U297" s="31">
        <f>VLOOKUP($A297,$A$4:$O$28,4,0)*(HLOOKUP(U$285,'2.2.Brecha Efectiva x UdM'!$H$64:$AK$71,3,0))</f>
        <v>0</v>
      </c>
      <c r="V297" s="31">
        <f>VLOOKUP($A297,$A$4:$O$28,4,0)*(HLOOKUP(V$285,'2.2.Brecha Efectiva x UdM'!$H$64:$AK$71,3,0))</f>
        <v>0</v>
      </c>
      <c r="W297" s="31">
        <f>VLOOKUP($A297,$A$4:$O$28,4,0)*(HLOOKUP(W$285,'2.2.Brecha Efectiva x UdM'!$H$64:$AK$71,3,0))</f>
        <v>0</v>
      </c>
      <c r="X297" s="31">
        <f>VLOOKUP($A297,$A$4:$O$28,4,0)*(HLOOKUP(X$285,'2.2.Brecha Efectiva x UdM'!$H$64:$AK$71,3,0))</f>
        <v>0</v>
      </c>
      <c r="Y297" s="31">
        <f>VLOOKUP($A297,$A$4:$O$28,4,0)*(HLOOKUP(Y$285,'2.2.Brecha Efectiva x UdM'!$H$64:$AK$71,3,0))</f>
        <v>0</v>
      </c>
      <c r="Z297" s="31">
        <f>VLOOKUP($A297,$A$4:$O$28,4,0)*(HLOOKUP(Z$285,'2.2.Brecha Efectiva x UdM'!$H$64:$AK$71,3,0))</f>
        <v>0</v>
      </c>
      <c r="AA297" s="31">
        <f>VLOOKUP($A297,$A$4:$O$28,4,0)*(HLOOKUP(AA$285,'2.2.Brecha Efectiva x UdM'!$H$64:$AK$71,3,0))</f>
        <v>0</v>
      </c>
      <c r="AB297" s="31">
        <f>VLOOKUP($A297,$A$4:$O$28,4,0)*(HLOOKUP(AB$285,'2.2.Brecha Efectiva x UdM'!$H$64:$AK$71,3,0))</f>
        <v>0</v>
      </c>
      <c r="AC297" s="31">
        <f>VLOOKUP($A297,$A$4:$O$28,4,0)*(HLOOKUP(AC$285,'2.2.Brecha Efectiva x UdM'!$H$64:$AK$71,3,0))</f>
        <v>0</v>
      </c>
      <c r="AD297" s="31">
        <f>VLOOKUP($A297,$A$4:$O$28,4,0)*(HLOOKUP(AD$285,'2.2.Brecha Efectiva x UdM'!$H$64:$AK$71,3,0))</f>
        <v>0</v>
      </c>
      <c r="AE297" s="31">
        <f>VLOOKUP($A297,$A$4:$O$28,4,0)*(HLOOKUP(AE$285,'2.2.Brecha Efectiva x UdM'!$H$64:$AK$71,3,0))</f>
        <v>0</v>
      </c>
      <c r="AF297" s="31">
        <f>VLOOKUP($A297,$A$4:$O$28,4,0)*(HLOOKUP(AF$285,'2.2.Brecha Efectiva x UdM'!$H$64:$AK$71,3,0))</f>
        <v>0</v>
      </c>
      <c r="AG297" s="31">
        <f>VLOOKUP($A297,$A$4:$O$28,4,0)*(HLOOKUP(AG$285,'2.2.Brecha Efectiva x UdM'!$H$64:$AK$71,3,0))</f>
        <v>0</v>
      </c>
      <c r="AH297" s="63">
        <f t="shared" si="294"/>
        <v>67837133.911990225</v>
      </c>
    </row>
    <row r="298" spans="1:34" x14ac:dyDescent="0.2">
      <c r="A298" s="25" t="str">
        <f t="shared" si="291"/>
        <v>Mendoza</v>
      </c>
      <c r="B298" s="51" t="str">
        <f t="shared" si="292"/>
        <v>Nombre UdM 2</v>
      </c>
      <c r="C298" s="25" t="str">
        <f t="shared" si="293"/>
        <v>Mendoza Nombre UdM 2</v>
      </c>
      <c r="D298" s="32">
        <f>VLOOKUP($A298,$A$4:$O$28,4,0)*(HLOOKUP(D$285,'2.2.Brecha Efectiva x UdM'!$H$64:$AK$71,3,0))</f>
        <v>154291092.08337167</v>
      </c>
      <c r="E298" s="32">
        <f>VLOOKUP($A298,$A$4:$O$28,4,0)*(HLOOKUP(E$285,'2.2.Brecha Efectiva x UdM'!$H$64:$AK$71,3,0))</f>
        <v>165512482.71403098</v>
      </c>
      <c r="F298" s="32">
        <f>VLOOKUP($A298,$A$4:$O$28,4,0)*(HLOOKUP(F$285,'2.2.Brecha Efectiva x UdM'!$H$64:$AK$71,3,0))</f>
        <v>250186789.06392327</v>
      </c>
      <c r="G298" s="32">
        <f>VLOOKUP($A298,$A$4:$O$28,4,0)*(HLOOKUP(G$285,'2.2.Brecha Efectiva x UdM'!$H$64:$AK$71,3,0))</f>
        <v>0</v>
      </c>
      <c r="H298" s="32">
        <f>VLOOKUP($A298,$A$4:$O$28,4,0)*(HLOOKUP(H$285,'2.2.Brecha Efectiva x UdM'!$H$64:$AK$71,3,0))</f>
        <v>0</v>
      </c>
      <c r="I298" s="32">
        <f>VLOOKUP($A298,$A$4:$O$28,4,0)*(HLOOKUP(I$285,'2.2.Brecha Efectiva x UdM'!$H$64:$AK$71,3,0))</f>
        <v>0</v>
      </c>
      <c r="J298" s="32">
        <f>VLOOKUP($A298,$A$4:$O$28,4,0)*(HLOOKUP(J$285,'2.2.Brecha Efectiva x UdM'!$H$64:$AK$71,3,0))</f>
        <v>0</v>
      </c>
      <c r="K298" s="32">
        <f>VLOOKUP($A298,$A$4:$O$28,4,0)*(HLOOKUP(K$285,'2.2.Brecha Efectiva x UdM'!$H$64:$AK$71,3,0))</f>
        <v>0</v>
      </c>
      <c r="L298" s="32">
        <f>VLOOKUP($A298,$A$4:$O$28,4,0)*(HLOOKUP(L$285,'2.2.Brecha Efectiva x UdM'!$H$64:$AK$71,3,0))</f>
        <v>0</v>
      </c>
      <c r="M298" s="32">
        <f>VLOOKUP($A298,$A$4:$O$28,4,0)*(HLOOKUP(M$285,'2.2.Brecha Efectiva x UdM'!$H$64:$AK$71,3,0))</f>
        <v>0</v>
      </c>
      <c r="N298" s="32">
        <f>VLOOKUP($A298,$A$4:$O$28,4,0)*(HLOOKUP(N$285,'2.2.Brecha Efectiva x UdM'!$H$64:$AK$71,3,0))</f>
        <v>0</v>
      </c>
      <c r="O298" s="32">
        <f>VLOOKUP($A298,$A$4:$O$28,4,0)*(HLOOKUP(O$285,'2.2.Brecha Efectiva x UdM'!$H$64:$AK$71,3,0))</f>
        <v>0</v>
      </c>
      <c r="P298" s="32">
        <f>VLOOKUP($A298,$A$4:$O$28,4,0)*(HLOOKUP(P$285,'2.2.Brecha Efectiva x UdM'!$H$64:$AK$71,3,0))</f>
        <v>0</v>
      </c>
      <c r="Q298" s="32">
        <f>VLOOKUP($A298,$A$4:$O$28,4,0)*(HLOOKUP(Q$285,'2.2.Brecha Efectiva x UdM'!$H$64:$AK$71,3,0))</f>
        <v>0</v>
      </c>
      <c r="R298" s="32">
        <f>VLOOKUP($A298,$A$4:$O$28,4,0)*(HLOOKUP(R$285,'2.2.Brecha Efectiva x UdM'!$H$64:$AK$71,3,0))</f>
        <v>0</v>
      </c>
      <c r="S298" s="32">
        <f>VLOOKUP($A298,$A$4:$O$28,4,0)*(HLOOKUP(S$285,'2.2.Brecha Efectiva x UdM'!$H$64:$AK$71,3,0))</f>
        <v>0</v>
      </c>
      <c r="T298" s="32">
        <f>VLOOKUP($A298,$A$4:$O$28,4,0)*(HLOOKUP(T$285,'2.2.Brecha Efectiva x UdM'!$H$64:$AK$71,3,0))</f>
        <v>0</v>
      </c>
      <c r="U298" s="32">
        <f>VLOOKUP($A298,$A$4:$O$28,4,0)*(HLOOKUP(U$285,'2.2.Brecha Efectiva x UdM'!$H$64:$AK$71,3,0))</f>
        <v>0</v>
      </c>
      <c r="V298" s="32">
        <f>VLOOKUP($A298,$A$4:$O$28,4,0)*(HLOOKUP(V$285,'2.2.Brecha Efectiva x UdM'!$H$64:$AK$71,3,0))</f>
        <v>0</v>
      </c>
      <c r="W298" s="32">
        <f>VLOOKUP($A298,$A$4:$O$28,4,0)*(HLOOKUP(W$285,'2.2.Brecha Efectiva x UdM'!$H$64:$AK$71,3,0))</f>
        <v>0</v>
      </c>
      <c r="X298" s="32">
        <f>VLOOKUP($A298,$A$4:$O$28,4,0)*(HLOOKUP(X$285,'2.2.Brecha Efectiva x UdM'!$H$64:$AK$71,3,0))</f>
        <v>0</v>
      </c>
      <c r="Y298" s="32">
        <f>VLOOKUP($A298,$A$4:$O$28,4,0)*(HLOOKUP(Y$285,'2.2.Brecha Efectiva x UdM'!$H$64:$AK$71,3,0))</f>
        <v>0</v>
      </c>
      <c r="Z298" s="32">
        <f>VLOOKUP($A298,$A$4:$O$28,4,0)*(HLOOKUP(Z$285,'2.2.Brecha Efectiva x UdM'!$H$64:$AK$71,3,0))</f>
        <v>0</v>
      </c>
      <c r="AA298" s="32">
        <f>VLOOKUP($A298,$A$4:$O$28,4,0)*(HLOOKUP(AA$285,'2.2.Brecha Efectiva x UdM'!$H$64:$AK$71,3,0))</f>
        <v>0</v>
      </c>
      <c r="AB298" s="32">
        <f>VLOOKUP($A298,$A$4:$O$28,4,0)*(HLOOKUP(AB$285,'2.2.Brecha Efectiva x UdM'!$H$64:$AK$71,3,0))</f>
        <v>0</v>
      </c>
      <c r="AC298" s="32">
        <f>VLOOKUP($A298,$A$4:$O$28,4,0)*(HLOOKUP(AC$285,'2.2.Brecha Efectiva x UdM'!$H$64:$AK$71,3,0))</f>
        <v>0</v>
      </c>
      <c r="AD298" s="32">
        <f>VLOOKUP($A298,$A$4:$O$28,4,0)*(HLOOKUP(AD$285,'2.2.Brecha Efectiva x UdM'!$H$64:$AK$71,3,0))</f>
        <v>0</v>
      </c>
      <c r="AE298" s="32">
        <f>VLOOKUP($A298,$A$4:$O$28,4,0)*(HLOOKUP(AE$285,'2.2.Brecha Efectiva x UdM'!$H$64:$AK$71,3,0))</f>
        <v>0</v>
      </c>
      <c r="AF298" s="32">
        <f>VLOOKUP($A298,$A$4:$O$28,4,0)*(HLOOKUP(AF$285,'2.2.Brecha Efectiva x UdM'!$H$64:$AK$71,3,0))</f>
        <v>0</v>
      </c>
      <c r="AG298" s="32">
        <f>VLOOKUP($A298,$A$4:$O$28,4,0)*(HLOOKUP(AG$285,'2.2.Brecha Efectiva x UdM'!$H$64:$AK$71,3,0))</f>
        <v>0</v>
      </c>
      <c r="AH298" s="62">
        <f t="shared" si="294"/>
        <v>569990363.86132586</v>
      </c>
    </row>
    <row r="299" spans="1:34" x14ac:dyDescent="0.2">
      <c r="A299" s="26" t="str">
        <f t="shared" si="291"/>
        <v>Misiones</v>
      </c>
      <c r="B299" s="52" t="str">
        <f t="shared" si="292"/>
        <v>Nombre UdM 2</v>
      </c>
      <c r="C299" s="26" t="str">
        <f t="shared" si="293"/>
        <v>Misiones Nombre UdM 2</v>
      </c>
      <c r="D299" s="31">
        <f>VLOOKUP($A299,$A$4:$O$28,4,0)*(HLOOKUP(D$285,'2.2.Brecha Efectiva x UdM'!$H$64:$AK$71,3,0))</f>
        <v>284770453.45716614</v>
      </c>
      <c r="E299" s="31">
        <f>VLOOKUP($A299,$A$4:$O$28,4,0)*(HLOOKUP(E$285,'2.2.Brecha Efectiva x UdM'!$H$64:$AK$71,3,0))</f>
        <v>305481438.48659444</v>
      </c>
      <c r="F299" s="31">
        <f>VLOOKUP($A299,$A$4:$O$28,4,0)*(HLOOKUP(F$285,'2.2.Brecha Efectiva x UdM'!$H$64:$AK$71,3,0))</f>
        <v>461762272.91351283</v>
      </c>
      <c r="G299" s="31">
        <f>VLOOKUP($A299,$A$4:$O$28,4,0)*(HLOOKUP(G$285,'2.2.Brecha Efectiva x UdM'!$H$64:$AK$71,3,0))</f>
        <v>0</v>
      </c>
      <c r="H299" s="31">
        <f>VLOOKUP($A299,$A$4:$O$28,4,0)*(HLOOKUP(H$285,'2.2.Brecha Efectiva x UdM'!$H$64:$AK$71,3,0))</f>
        <v>0</v>
      </c>
      <c r="I299" s="31">
        <f>VLOOKUP($A299,$A$4:$O$28,4,0)*(HLOOKUP(I$285,'2.2.Brecha Efectiva x UdM'!$H$64:$AK$71,3,0))</f>
        <v>0</v>
      </c>
      <c r="J299" s="31">
        <f>VLOOKUP($A299,$A$4:$O$28,4,0)*(HLOOKUP(J$285,'2.2.Brecha Efectiva x UdM'!$H$64:$AK$71,3,0))</f>
        <v>0</v>
      </c>
      <c r="K299" s="31">
        <f>VLOOKUP($A299,$A$4:$O$28,4,0)*(HLOOKUP(K$285,'2.2.Brecha Efectiva x UdM'!$H$64:$AK$71,3,0))</f>
        <v>0</v>
      </c>
      <c r="L299" s="31">
        <f>VLOOKUP($A299,$A$4:$O$28,4,0)*(HLOOKUP(L$285,'2.2.Brecha Efectiva x UdM'!$H$64:$AK$71,3,0))</f>
        <v>0</v>
      </c>
      <c r="M299" s="31">
        <f>VLOOKUP($A299,$A$4:$O$28,4,0)*(HLOOKUP(M$285,'2.2.Brecha Efectiva x UdM'!$H$64:$AK$71,3,0))</f>
        <v>0</v>
      </c>
      <c r="N299" s="31">
        <f>VLOOKUP($A299,$A$4:$O$28,4,0)*(HLOOKUP(N$285,'2.2.Brecha Efectiva x UdM'!$H$64:$AK$71,3,0))</f>
        <v>0</v>
      </c>
      <c r="O299" s="31">
        <f>VLOOKUP($A299,$A$4:$O$28,4,0)*(HLOOKUP(O$285,'2.2.Brecha Efectiva x UdM'!$H$64:$AK$71,3,0))</f>
        <v>0</v>
      </c>
      <c r="P299" s="31">
        <f>VLOOKUP($A299,$A$4:$O$28,4,0)*(HLOOKUP(P$285,'2.2.Brecha Efectiva x UdM'!$H$64:$AK$71,3,0))</f>
        <v>0</v>
      </c>
      <c r="Q299" s="31">
        <f>VLOOKUP($A299,$A$4:$O$28,4,0)*(HLOOKUP(Q$285,'2.2.Brecha Efectiva x UdM'!$H$64:$AK$71,3,0))</f>
        <v>0</v>
      </c>
      <c r="R299" s="31">
        <f>VLOOKUP($A299,$A$4:$O$28,4,0)*(HLOOKUP(R$285,'2.2.Brecha Efectiva x UdM'!$H$64:$AK$71,3,0))</f>
        <v>0</v>
      </c>
      <c r="S299" s="31">
        <f>VLOOKUP($A299,$A$4:$O$28,4,0)*(HLOOKUP(S$285,'2.2.Brecha Efectiva x UdM'!$H$64:$AK$71,3,0))</f>
        <v>0</v>
      </c>
      <c r="T299" s="31">
        <f>VLOOKUP($A299,$A$4:$O$28,4,0)*(HLOOKUP(T$285,'2.2.Brecha Efectiva x UdM'!$H$64:$AK$71,3,0))</f>
        <v>0</v>
      </c>
      <c r="U299" s="31">
        <f>VLOOKUP($A299,$A$4:$O$28,4,0)*(HLOOKUP(U$285,'2.2.Brecha Efectiva x UdM'!$H$64:$AK$71,3,0))</f>
        <v>0</v>
      </c>
      <c r="V299" s="31">
        <f>VLOOKUP($A299,$A$4:$O$28,4,0)*(HLOOKUP(V$285,'2.2.Brecha Efectiva x UdM'!$H$64:$AK$71,3,0))</f>
        <v>0</v>
      </c>
      <c r="W299" s="31">
        <f>VLOOKUP($A299,$A$4:$O$28,4,0)*(HLOOKUP(W$285,'2.2.Brecha Efectiva x UdM'!$H$64:$AK$71,3,0))</f>
        <v>0</v>
      </c>
      <c r="X299" s="31">
        <f>VLOOKUP($A299,$A$4:$O$28,4,0)*(HLOOKUP(X$285,'2.2.Brecha Efectiva x UdM'!$H$64:$AK$71,3,0))</f>
        <v>0</v>
      </c>
      <c r="Y299" s="31">
        <f>VLOOKUP($A299,$A$4:$O$28,4,0)*(HLOOKUP(Y$285,'2.2.Brecha Efectiva x UdM'!$H$64:$AK$71,3,0))</f>
        <v>0</v>
      </c>
      <c r="Z299" s="31">
        <f>VLOOKUP($A299,$A$4:$O$28,4,0)*(HLOOKUP(Z$285,'2.2.Brecha Efectiva x UdM'!$H$64:$AK$71,3,0))</f>
        <v>0</v>
      </c>
      <c r="AA299" s="31">
        <f>VLOOKUP($A299,$A$4:$O$28,4,0)*(HLOOKUP(AA$285,'2.2.Brecha Efectiva x UdM'!$H$64:$AK$71,3,0))</f>
        <v>0</v>
      </c>
      <c r="AB299" s="31">
        <f>VLOOKUP($A299,$A$4:$O$28,4,0)*(HLOOKUP(AB$285,'2.2.Brecha Efectiva x UdM'!$H$64:$AK$71,3,0))</f>
        <v>0</v>
      </c>
      <c r="AC299" s="31">
        <f>VLOOKUP($A299,$A$4:$O$28,4,0)*(HLOOKUP(AC$285,'2.2.Brecha Efectiva x UdM'!$H$64:$AK$71,3,0))</f>
        <v>0</v>
      </c>
      <c r="AD299" s="31">
        <f>VLOOKUP($A299,$A$4:$O$28,4,0)*(HLOOKUP(AD$285,'2.2.Brecha Efectiva x UdM'!$H$64:$AK$71,3,0))</f>
        <v>0</v>
      </c>
      <c r="AE299" s="31">
        <f>VLOOKUP($A299,$A$4:$O$28,4,0)*(HLOOKUP(AE$285,'2.2.Brecha Efectiva x UdM'!$H$64:$AK$71,3,0))</f>
        <v>0</v>
      </c>
      <c r="AF299" s="31">
        <f>VLOOKUP($A299,$A$4:$O$28,4,0)*(HLOOKUP(AF$285,'2.2.Brecha Efectiva x UdM'!$H$64:$AK$71,3,0))</f>
        <v>0</v>
      </c>
      <c r="AG299" s="31">
        <f>VLOOKUP($A299,$A$4:$O$28,4,0)*(HLOOKUP(AG$285,'2.2.Brecha Efectiva x UdM'!$H$64:$AK$71,3,0))</f>
        <v>0</v>
      </c>
      <c r="AH299" s="63">
        <f t="shared" si="294"/>
        <v>1052014164.8572735</v>
      </c>
    </row>
    <row r="300" spans="1:34" x14ac:dyDescent="0.2">
      <c r="A300" s="25" t="str">
        <f t="shared" si="291"/>
        <v>Neuquén</v>
      </c>
      <c r="B300" s="51" t="str">
        <f t="shared" si="292"/>
        <v>Nombre UdM 2</v>
      </c>
      <c r="C300" s="25" t="str">
        <f t="shared" si="293"/>
        <v>Neuquén Nombre UdM 2</v>
      </c>
      <c r="D300" s="32">
        <f>VLOOKUP($A300,$A$4:$O$28,4,0)*(HLOOKUP(D$285,'2.2.Brecha Efectiva x UdM'!$H$64:$AK$71,3,0))</f>
        <v>393662707.14464742</v>
      </c>
      <c r="E300" s="32">
        <f>VLOOKUP($A300,$A$4:$O$28,4,0)*(HLOOKUP(E$285,'2.2.Brecha Efectiva x UdM'!$H$64:$AK$71,3,0))</f>
        <v>422293284.2826066</v>
      </c>
      <c r="F300" s="32">
        <f>VLOOKUP($A300,$A$4:$O$28,4,0)*(HLOOKUP(F$285,'2.2.Brecha Efectiva x UdM'!$H$64:$AK$71,3,0))</f>
        <v>638333732.3292259</v>
      </c>
      <c r="G300" s="32">
        <f>VLOOKUP($A300,$A$4:$O$28,4,0)*(HLOOKUP(G$285,'2.2.Brecha Efectiva x UdM'!$H$64:$AK$71,3,0))</f>
        <v>0</v>
      </c>
      <c r="H300" s="32">
        <f>VLOOKUP($A300,$A$4:$O$28,4,0)*(HLOOKUP(H$285,'2.2.Brecha Efectiva x UdM'!$H$64:$AK$71,3,0))</f>
        <v>0</v>
      </c>
      <c r="I300" s="32">
        <f>VLOOKUP($A300,$A$4:$O$28,4,0)*(HLOOKUP(I$285,'2.2.Brecha Efectiva x UdM'!$H$64:$AK$71,3,0))</f>
        <v>0</v>
      </c>
      <c r="J300" s="32">
        <f>VLOOKUP($A300,$A$4:$O$28,4,0)*(HLOOKUP(J$285,'2.2.Brecha Efectiva x UdM'!$H$64:$AK$71,3,0))</f>
        <v>0</v>
      </c>
      <c r="K300" s="32">
        <f>VLOOKUP($A300,$A$4:$O$28,4,0)*(HLOOKUP(K$285,'2.2.Brecha Efectiva x UdM'!$H$64:$AK$71,3,0))</f>
        <v>0</v>
      </c>
      <c r="L300" s="32">
        <f>VLOOKUP($A300,$A$4:$O$28,4,0)*(HLOOKUP(L$285,'2.2.Brecha Efectiva x UdM'!$H$64:$AK$71,3,0))</f>
        <v>0</v>
      </c>
      <c r="M300" s="32">
        <f>VLOOKUP($A300,$A$4:$O$28,4,0)*(HLOOKUP(M$285,'2.2.Brecha Efectiva x UdM'!$H$64:$AK$71,3,0))</f>
        <v>0</v>
      </c>
      <c r="N300" s="32">
        <f>VLOOKUP($A300,$A$4:$O$28,4,0)*(HLOOKUP(N$285,'2.2.Brecha Efectiva x UdM'!$H$64:$AK$71,3,0))</f>
        <v>0</v>
      </c>
      <c r="O300" s="32">
        <f>VLOOKUP($A300,$A$4:$O$28,4,0)*(HLOOKUP(O$285,'2.2.Brecha Efectiva x UdM'!$H$64:$AK$71,3,0))</f>
        <v>0</v>
      </c>
      <c r="P300" s="32">
        <f>VLOOKUP($A300,$A$4:$O$28,4,0)*(HLOOKUP(P$285,'2.2.Brecha Efectiva x UdM'!$H$64:$AK$71,3,0))</f>
        <v>0</v>
      </c>
      <c r="Q300" s="32">
        <f>VLOOKUP($A300,$A$4:$O$28,4,0)*(HLOOKUP(Q$285,'2.2.Brecha Efectiva x UdM'!$H$64:$AK$71,3,0))</f>
        <v>0</v>
      </c>
      <c r="R300" s="32">
        <f>VLOOKUP($A300,$A$4:$O$28,4,0)*(HLOOKUP(R$285,'2.2.Brecha Efectiva x UdM'!$H$64:$AK$71,3,0))</f>
        <v>0</v>
      </c>
      <c r="S300" s="32">
        <f>VLOOKUP($A300,$A$4:$O$28,4,0)*(HLOOKUP(S$285,'2.2.Brecha Efectiva x UdM'!$H$64:$AK$71,3,0))</f>
        <v>0</v>
      </c>
      <c r="T300" s="32">
        <f>VLOOKUP($A300,$A$4:$O$28,4,0)*(HLOOKUP(T$285,'2.2.Brecha Efectiva x UdM'!$H$64:$AK$71,3,0))</f>
        <v>0</v>
      </c>
      <c r="U300" s="32">
        <f>VLOOKUP($A300,$A$4:$O$28,4,0)*(HLOOKUP(U$285,'2.2.Brecha Efectiva x UdM'!$H$64:$AK$71,3,0))</f>
        <v>0</v>
      </c>
      <c r="V300" s="32">
        <f>VLOOKUP($A300,$A$4:$O$28,4,0)*(HLOOKUP(V$285,'2.2.Brecha Efectiva x UdM'!$H$64:$AK$71,3,0))</f>
        <v>0</v>
      </c>
      <c r="W300" s="32">
        <f>VLOOKUP($A300,$A$4:$O$28,4,0)*(HLOOKUP(W$285,'2.2.Brecha Efectiva x UdM'!$H$64:$AK$71,3,0))</f>
        <v>0</v>
      </c>
      <c r="X300" s="32">
        <f>VLOOKUP($A300,$A$4:$O$28,4,0)*(HLOOKUP(X$285,'2.2.Brecha Efectiva x UdM'!$H$64:$AK$71,3,0))</f>
        <v>0</v>
      </c>
      <c r="Y300" s="32">
        <f>VLOOKUP($A300,$A$4:$O$28,4,0)*(HLOOKUP(Y$285,'2.2.Brecha Efectiva x UdM'!$H$64:$AK$71,3,0))</f>
        <v>0</v>
      </c>
      <c r="Z300" s="32">
        <f>VLOOKUP($A300,$A$4:$O$28,4,0)*(HLOOKUP(Z$285,'2.2.Brecha Efectiva x UdM'!$H$64:$AK$71,3,0))</f>
        <v>0</v>
      </c>
      <c r="AA300" s="32">
        <f>VLOOKUP($A300,$A$4:$O$28,4,0)*(HLOOKUP(AA$285,'2.2.Brecha Efectiva x UdM'!$H$64:$AK$71,3,0))</f>
        <v>0</v>
      </c>
      <c r="AB300" s="32">
        <f>VLOOKUP($A300,$A$4:$O$28,4,0)*(HLOOKUP(AB$285,'2.2.Brecha Efectiva x UdM'!$H$64:$AK$71,3,0))</f>
        <v>0</v>
      </c>
      <c r="AC300" s="32">
        <f>VLOOKUP($A300,$A$4:$O$28,4,0)*(HLOOKUP(AC$285,'2.2.Brecha Efectiva x UdM'!$H$64:$AK$71,3,0))</f>
        <v>0</v>
      </c>
      <c r="AD300" s="32">
        <f>VLOOKUP($A300,$A$4:$O$28,4,0)*(HLOOKUP(AD$285,'2.2.Brecha Efectiva x UdM'!$H$64:$AK$71,3,0))</f>
        <v>0</v>
      </c>
      <c r="AE300" s="32">
        <f>VLOOKUP($A300,$A$4:$O$28,4,0)*(HLOOKUP(AE$285,'2.2.Brecha Efectiva x UdM'!$H$64:$AK$71,3,0))</f>
        <v>0</v>
      </c>
      <c r="AF300" s="32">
        <f>VLOOKUP($A300,$A$4:$O$28,4,0)*(HLOOKUP(AF$285,'2.2.Brecha Efectiva x UdM'!$H$64:$AK$71,3,0))</f>
        <v>0</v>
      </c>
      <c r="AG300" s="32">
        <f>VLOOKUP($A300,$A$4:$O$28,4,0)*(HLOOKUP(AG$285,'2.2.Brecha Efectiva x UdM'!$H$64:$AK$71,3,0))</f>
        <v>0</v>
      </c>
      <c r="AH300" s="62">
        <f t="shared" si="294"/>
        <v>1454289723.7564797</v>
      </c>
    </row>
    <row r="301" spans="1:34" x14ac:dyDescent="0.2">
      <c r="A301" s="26" t="str">
        <f t="shared" si="291"/>
        <v>Río Negro</v>
      </c>
      <c r="B301" s="52" t="str">
        <f t="shared" si="292"/>
        <v>Nombre UdM 2</v>
      </c>
      <c r="C301" s="26" t="str">
        <f t="shared" si="293"/>
        <v>Río Negro Nombre UdM 2</v>
      </c>
      <c r="D301" s="31">
        <f>VLOOKUP($A301,$A$4:$O$28,4,0)*(HLOOKUP(D$285,'2.2.Brecha Efectiva x UdM'!$H$64:$AK$71,3,0))</f>
        <v>82233338.523088664</v>
      </c>
      <c r="E301" s="31">
        <f>VLOOKUP($A301,$A$4:$O$28,4,0)*(HLOOKUP(E$285,'2.2.Brecha Efectiva x UdM'!$H$64:$AK$71,3,0))</f>
        <v>88214062.374159738</v>
      </c>
      <c r="F301" s="31">
        <f>VLOOKUP($A301,$A$4:$O$28,4,0)*(HLOOKUP(F$285,'2.2.Brecha Efectiva x UdM'!$H$64:$AK$71,3,0))</f>
        <v>133343374.79432139</v>
      </c>
      <c r="G301" s="31">
        <f>VLOOKUP($A301,$A$4:$O$28,4,0)*(HLOOKUP(G$285,'2.2.Brecha Efectiva x UdM'!$H$64:$AK$71,3,0))</f>
        <v>0</v>
      </c>
      <c r="H301" s="31">
        <f>VLOOKUP($A301,$A$4:$O$28,4,0)*(HLOOKUP(H$285,'2.2.Brecha Efectiva x UdM'!$H$64:$AK$71,3,0))</f>
        <v>0</v>
      </c>
      <c r="I301" s="31">
        <f>VLOOKUP($A301,$A$4:$O$28,4,0)*(HLOOKUP(I$285,'2.2.Brecha Efectiva x UdM'!$H$64:$AK$71,3,0))</f>
        <v>0</v>
      </c>
      <c r="J301" s="31">
        <f>VLOOKUP($A301,$A$4:$O$28,4,0)*(HLOOKUP(J$285,'2.2.Brecha Efectiva x UdM'!$H$64:$AK$71,3,0))</f>
        <v>0</v>
      </c>
      <c r="K301" s="31">
        <f>VLOOKUP($A301,$A$4:$O$28,4,0)*(HLOOKUP(K$285,'2.2.Brecha Efectiva x UdM'!$H$64:$AK$71,3,0))</f>
        <v>0</v>
      </c>
      <c r="L301" s="31">
        <f>VLOOKUP($A301,$A$4:$O$28,4,0)*(HLOOKUP(L$285,'2.2.Brecha Efectiva x UdM'!$H$64:$AK$71,3,0))</f>
        <v>0</v>
      </c>
      <c r="M301" s="31">
        <f>VLOOKUP($A301,$A$4:$O$28,4,0)*(HLOOKUP(M$285,'2.2.Brecha Efectiva x UdM'!$H$64:$AK$71,3,0))</f>
        <v>0</v>
      </c>
      <c r="N301" s="31">
        <f>VLOOKUP($A301,$A$4:$O$28,4,0)*(HLOOKUP(N$285,'2.2.Brecha Efectiva x UdM'!$H$64:$AK$71,3,0))</f>
        <v>0</v>
      </c>
      <c r="O301" s="31">
        <f>VLOOKUP($A301,$A$4:$O$28,4,0)*(HLOOKUP(O$285,'2.2.Brecha Efectiva x UdM'!$H$64:$AK$71,3,0))</f>
        <v>0</v>
      </c>
      <c r="P301" s="31">
        <f>VLOOKUP($A301,$A$4:$O$28,4,0)*(HLOOKUP(P$285,'2.2.Brecha Efectiva x UdM'!$H$64:$AK$71,3,0))</f>
        <v>0</v>
      </c>
      <c r="Q301" s="31">
        <f>VLOOKUP($A301,$A$4:$O$28,4,0)*(HLOOKUP(Q$285,'2.2.Brecha Efectiva x UdM'!$H$64:$AK$71,3,0))</f>
        <v>0</v>
      </c>
      <c r="R301" s="31">
        <f>VLOOKUP($A301,$A$4:$O$28,4,0)*(HLOOKUP(R$285,'2.2.Brecha Efectiva x UdM'!$H$64:$AK$71,3,0))</f>
        <v>0</v>
      </c>
      <c r="S301" s="31">
        <f>VLOOKUP($A301,$A$4:$O$28,4,0)*(HLOOKUP(S$285,'2.2.Brecha Efectiva x UdM'!$H$64:$AK$71,3,0))</f>
        <v>0</v>
      </c>
      <c r="T301" s="31">
        <f>VLOOKUP($A301,$A$4:$O$28,4,0)*(HLOOKUP(T$285,'2.2.Brecha Efectiva x UdM'!$H$64:$AK$71,3,0))</f>
        <v>0</v>
      </c>
      <c r="U301" s="31">
        <f>VLOOKUP($A301,$A$4:$O$28,4,0)*(HLOOKUP(U$285,'2.2.Brecha Efectiva x UdM'!$H$64:$AK$71,3,0))</f>
        <v>0</v>
      </c>
      <c r="V301" s="31">
        <f>VLOOKUP($A301,$A$4:$O$28,4,0)*(HLOOKUP(V$285,'2.2.Brecha Efectiva x UdM'!$H$64:$AK$71,3,0))</f>
        <v>0</v>
      </c>
      <c r="W301" s="31">
        <f>VLOOKUP($A301,$A$4:$O$28,4,0)*(HLOOKUP(W$285,'2.2.Brecha Efectiva x UdM'!$H$64:$AK$71,3,0))</f>
        <v>0</v>
      </c>
      <c r="X301" s="31">
        <f>VLOOKUP($A301,$A$4:$O$28,4,0)*(HLOOKUP(X$285,'2.2.Brecha Efectiva x UdM'!$H$64:$AK$71,3,0))</f>
        <v>0</v>
      </c>
      <c r="Y301" s="31">
        <f>VLOOKUP($A301,$A$4:$O$28,4,0)*(HLOOKUP(Y$285,'2.2.Brecha Efectiva x UdM'!$H$64:$AK$71,3,0))</f>
        <v>0</v>
      </c>
      <c r="Z301" s="31">
        <f>VLOOKUP($A301,$A$4:$O$28,4,0)*(HLOOKUP(Z$285,'2.2.Brecha Efectiva x UdM'!$H$64:$AK$71,3,0))</f>
        <v>0</v>
      </c>
      <c r="AA301" s="31">
        <f>VLOOKUP($A301,$A$4:$O$28,4,0)*(HLOOKUP(AA$285,'2.2.Brecha Efectiva x UdM'!$H$64:$AK$71,3,0))</f>
        <v>0</v>
      </c>
      <c r="AB301" s="31">
        <f>VLOOKUP($A301,$A$4:$O$28,4,0)*(HLOOKUP(AB$285,'2.2.Brecha Efectiva x UdM'!$H$64:$AK$71,3,0))</f>
        <v>0</v>
      </c>
      <c r="AC301" s="31">
        <f>VLOOKUP($A301,$A$4:$O$28,4,0)*(HLOOKUP(AC$285,'2.2.Brecha Efectiva x UdM'!$H$64:$AK$71,3,0))</f>
        <v>0</v>
      </c>
      <c r="AD301" s="31">
        <f>VLOOKUP($A301,$A$4:$O$28,4,0)*(HLOOKUP(AD$285,'2.2.Brecha Efectiva x UdM'!$H$64:$AK$71,3,0))</f>
        <v>0</v>
      </c>
      <c r="AE301" s="31">
        <f>VLOOKUP($A301,$A$4:$O$28,4,0)*(HLOOKUP(AE$285,'2.2.Brecha Efectiva x UdM'!$H$64:$AK$71,3,0))</f>
        <v>0</v>
      </c>
      <c r="AF301" s="31">
        <f>VLOOKUP($A301,$A$4:$O$28,4,0)*(HLOOKUP(AF$285,'2.2.Brecha Efectiva x UdM'!$H$64:$AK$71,3,0))</f>
        <v>0</v>
      </c>
      <c r="AG301" s="31">
        <f>VLOOKUP($A301,$A$4:$O$28,4,0)*(HLOOKUP(AG$285,'2.2.Brecha Efectiva x UdM'!$H$64:$AK$71,3,0))</f>
        <v>0</v>
      </c>
      <c r="AH301" s="63">
        <f t="shared" si="294"/>
        <v>303790775.69156981</v>
      </c>
    </row>
    <row r="302" spans="1:34" x14ac:dyDescent="0.2">
      <c r="A302" s="25" t="str">
        <f t="shared" si="291"/>
        <v>Salta</v>
      </c>
      <c r="B302" s="51" t="str">
        <f t="shared" si="292"/>
        <v>Nombre UdM 2</v>
      </c>
      <c r="C302" s="25" t="str">
        <f t="shared" si="293"/>
        <v>Salta Nombre UdM 2</v>
      </c>
      <c r="D302" s="32">
        <f>VLOOKUP($A302,$A$4:$O$28,4,0)*(HLOOKUP(D$285,'2.2.Brecha Efectiva x UdM'!$H$64:$AK$71,3,0))</f>
        <v>136466498.51139039</v>
      </c>
      <c r="E302" s="32">
        <f>VLOOKUP($A302,$A$4:$O$28,4,0)*(HLOOKUP(E$285,'2.2.Brecha Efectiva x UdM'!$H$64:$AK$71,3,0))</f>
        <v>146391529.61407474</v>
      </c>
      <c r="F302" s="32">
        <f>VLOOKUP($A302,$A$4:$O$28,4,0)*(HLOOKUP(F$285,'2.2.Brecha Efectiva x UdM'!$H$64:$AK$71,3,0))</f>
        <v>221283773.52409062</v>
      </c>
      <c r="G302" s="32">
        <f>VLOOKUP($A302,$A$4:$O$28,4,0)*(HLOOKUP(G$285,'2.2.Brecha Efectiva x UdM'!$H$64:$AK$71,3,0))</f>
        <v>0</v>
      </c>
      <c r="H302" s="32">
        <f>VLOOKUP($A302,$A$4:$O$28,4,0)*(HLOOKUP(H$285,'2.2.Brecha Efectiva x UdM'!$H$64:$AK$71,3,0))</f>
        <v>0</v>
      </c>
      <c r="I302" s="32">
        <f>VLOOKUP($A302,$A$4:$O$28,4,0)*(HLOOKUP(I$285,'2.2.Brecha Efectiva x UdM'!$H$64:$AK$71,3,0))</f>
        <v>0</v>
      </c>
      <c r="J302" s="32">
        <f>VLOOKUP($A302,$A$4:$O$28,4,0)*(HLOOKUP(J$285,'2.2.Brecha Efectiva x UdM'!$H$64:$AK$71,3,0))</f>
        <v>0</v>
      </c>
      <c r="K302" s="32">
        <f>VLOOKUP($A302,$A$4:$O$28,4,0)*(HLOOKUP(K$285,'2.2.Brecha Efectiva x UdM'!$H$64:$AK$71,3,0))</f>
        <v>0</v>
      </c>
      <c r="L302" s="32">
        <f>VLOOKUP($A302,$A$4:$O$28,4,0)*(HLOOKUP(L$285,'2.2.Brecha Efectiva x UdM'!$H$64:$AK$71,3,0))</f>
        <v>0</v>
      </c>
      <c r="M302" s="32">
        <f>VLOOKUP($A302,$A$4:$O$28,4,0)*(HLOOKUP(M$285,'2.2.Brecha Efectiva x UdM'!$H$64:$AK$71,3,0))</f>
        <v>0</v>
      </c>
      <c r="N302" s="32">
        <f>VLOOKUP($A302,$A$4:$O$28,4,0)*(HLOOKUP(N$285,'2.2.Brecha Efectiva x UdM'!$H$64:$AK$71,3,0))</f>
        <v>0</v>
      </c>
      <c r="O302" s="32">
        <f>VLOOKUP($A302,$A$4:$O$28,4,0)*(HLOOKUP(O$285,'2.2.Brecha Efectiva x UdM'!$H$64:$AK$71,3,0))</f>
        <v>0</v>
      </c>
      <c r="P302" s="32">
        <f>VLOOKUP($A302,$A$4:$O$28,4,0)*(HLOOKUP(P$285,'2.2.Brecha Efectiva x UdM'!$H$64:$AK$71,3,0))</f>
        <v>0</v>
      </c>
      <c r="Q302" s="32">
        <f>VLOOKUP($A302,$A$4:$O$28,4,0)*(HLOOKUP(Q$285,'2.2.Brecha Efectiva x UdM'!$H$64:$AK$71,3,0))</f>
        <v>0</v>
      </c>
      <c r="R302" s="32">
        <f>VLOOKUP($A302,$A$4:$O$28,4,0)*(HLOOKUP(R$285,'2.2.Brecha Efectiva x UdM'!$H$64:$AK$71,3,0))</f>
        <v>0</v>
      </c>
      <c r="S302" s="32">
        <f>VLOOKUP($A302,$A$4:$O$28,4,0)*(HLOOKUP(S$285,'2.2.Brecha Efectiva x UdM'!$H$64:$AK$71,3,0))</f>
        <v>0</v>
      </c>
      <c r="T302" s="32">
        <f>VLOOKUP($A302,$A$4:$O$28,4,0)*(HLOOKUP(T$285,'2.2.Brecha Efectiva x UdM'!$H$64:$AK$71,3,0))</f>
        <v>0</v>
      </c>
      <c r="U302" s="32">
        <f>VLOOKUP($A302,$A$4:$O$28,4,0)*(HLOOKUP(U$285,'2.2.Brecha Efectiva x UdM'!$H$64:$AK$71,3,0))</f>
        <v>0</v>
      </c>
      <c r="V302" s="32">
        <f>VLOOKUP($A302,$A$4:$O$28,4,0)*(HLOOKUP(V$285,'2.2.Brecha Efectiva x UdM'!$H$64:$AK$71,3,0))</f>
        <v>0</v>
      </c>
      <c r="W302" s="32">
        <f>VLOOKUP($A302,$A$4:$O$28,4,0)*(HLOOKUP(W$285,'2.2.Brecha Efectiva x UdM'!$H$64:$AK$71,3,0))</f>
        <v>0</v>
      </c>
      <c r="X302" s="32">
        <f>VLOOKUP($A302,$A$4:$O$28,4,0)*(HLOOKUP(X$285,'2.2.Brecha Efectiva x UdM'!$H$64:$AK$71,3,0))</f>
        <v>0</v>
      </c>
      <c r="Y302" s="32">
        <f>VLOOKUP($A302,$A$4:$O$28,4,0)*(HLOOKUP(Y$285,'2.2.Brecha Efectiva x UdM'!$H$64:$AK$71,3,0))</f>
        <v>0</v>
      </c>
      <c r="Z302" s="32">
        <f>VLOOKUP($A302,$A$4:$O$28,4,0)*(HLOOKUP(Z$285,'2.2.Brecha Efectiva x UdM'!$H$64:$AK$71,3,0))</f>
        <v>0</v>
      </c>
      <c r="AA302" s="32">
        <f>VLOOKUP($A302,$A$4:$O$28,4,0)*(HLOOKUP(AA$285,'2.2.Brecha Efectiva x UdM'!$H$64:$AK$71,3,0))</f>
        <v>0</v>
      </c>
      <c r="AB302" s="32">
        <f>VLOOKUP($A302,$A$4:$O$28,4,0)*(HLOOKUP(AB$285,'2.2.Brecha Efectiva x UdM'!$H$64:$AK$71,3,0))</f>
        <v>0</v>
      </c>
      <c r="AC302" s="32">
        <f>VLOOKUP($A302,$A$4:$O$28,4,0)*(HLOOKUP(AC$285,'2.2.Brecha Efectiva x UdM'!$H$64:$AK$71,3,0))</f>
        <v>0</v>
      </c>
      <c r="AD302" s="32">
        <f>VLOOKUP($A302,$A$4:$O$28,4,0)*(HLOOKUP(AD$285,'2.2.Brecha Efectiva x UdM'!$H$64:$AK$71,3,0))</f>
        <v>0</v>
      </c>
      <c r="AE302" s="32">
        <f>VLOOKUP($A302,$A$4:$O$28,4,0)*(HLOOKUP(AE$285,'2.2.Brecha Efectiva x UdM'!$H$64:$AK$71,3,0))</f>
        <v>0</v>
      </c>
      <c r="AF302" s="32">
        <f>VLOOKUP($A302,$A$4:$O$28,4,0)*(HLOOKUP(AF$285,'2.2.Brecha Efectiva x UdM'!$H$64:$AK$71,3,0))</f>
        <v>0</v>
      </c>
      <c r="AG302" s="32">
        <f>VLOOKUP($A302,$A$4:$O$28,4,0)*(HLOOKUP(AG$285,'2.2.Brecha Efectiva x UdM'!$H$64:$AK$71,3,0))</f>
        <v>0</v>
      </c>
      <c r="AH302" s="62">
        <f t="shared" si="294"/>
        <v>504141801.6495558</v>
      </c>
    </row>
    <row r="303" spans="1:34" x14ac:dyDescent="0.2">
      <c r="A303" s="26" t="str">
        <f t="shared" si="291"/>
        <v>San Juan</v>
      </c>
      <c r="B303" s="52" t="str">
        <f t="shared" si="292"/>
        <v>Nombre UdM 2</v>
      </c>
      <c r="C303" s="26" t="str">
        <f t="shared" si="293"/>
        <v>San Juan Nombre UdM 2</v>
      </c>
      <c r="D303" s="31">
        <f>VLOOKUP($A303,$A$4:$O$28,4,0)*(HLOOKUP(D$285,'2.2.Brecha Efectiva x UdM'!$H$64:$AK$71,3,0))</f>
        <v>184589782.54173598</v>
      </c>
      <c r="E303" s="31">
        <f>VLOOKUP($A303,$A$4:$O$28,4,0)*(HLOOKUP(E$285,'2.2.Brecha Efectiva x UdM'!$H$64:$AK$71,3,0))</f>
        <v>198014757.55720878</v>
      </c>
      <c r="F303" s="31">
        <f>VLOOKUP($A303,$A$4:$O$28,4,0)*(HLOOKUP(F$285,'2.2.Brecha Efectiva x UdM'!$H$64:$AK$71,3,0))</f>
        <v>299316858.57256246</v>
      </c>
      <c r="G303" s="31">
        <f>VLOOKUP($A303,$A$4:$O$28,4,0)*(HLOOKUP(G$285,'2.2.Brecha Efectiva x UdM'!$H$64:$AK$71,3,0))</f>
        <v>0</v>
      </c>
      <c r="H303" s="31">
        <f>VLOOKUP($A303,$A$4:$O$28,4,0)*(HLOOKUP(H$285,'2.2.Brecha Efectiva x UdM'!$H$64:$AK$71,3,0))</f>
        <v>0</v>
      </c>
      <c r="I303" s="31">
        <f>VLOOKUP($A303,$A$4:$O$28,4,0)*(HLOOKUP(I$285,'2.2.Brecha Efectiva x UdM'!$H$64:$AK$71,3,0))</f>
        <v>0</v>
      </c>
      <c r="J303" s="31">
        <f>VLOOKUP($A303,$A$4:$O$28,4,0)*(HLOOKUP(J$285,'2.2.Brecha Efectiva x UdM'!$H$64:$AK$71,3,0))</f>
        <v>0</v>
      </c>
      <c r="K303" s="31">
        <f>VLOOKUP($A303,$A$4:$O$28,4,0)*(HLOOKUP(K$285,'2.2.Brecha Efectiva x UdM'!$H$64:$AK$71,3,0))</f>
        <v>0</v>
      </c>
      <c r="L303" s="31">
        <f>VLOOKUP($A303,$A$4:$O$28,4,0)*(HLOOKUP(L$285,'2.2.Brecha Efectiva x UdM'!$H$64:$AK$71,3,0))</f>
        <v>0</v>
      </c>
      <c r="M303" s="31">
        <f>VLOOKUP($A303,$A$4:$O$28,4,0)*(HLOOKUP(M$285,'2.2.Brecha Efectiva x UdM'!$H$64:$AK$71,3,0))</f>
        <v>0</v>
      </c>
      <c r="N303" s="31">
        <f>VLOOKUP($A303,$A$4:$O$28,4,0)*(HLOOKUP(N$285,'2.2.Brecha Efectiva x UdM'!$H$64:$AK$71,3,0))</f>
        <v>0</v>
      </c>
      <c r="O303" s="31">
        <f>VLOOKUP($A303,$A$4:$O$28,4,0)*(HLOOKUP(O$285,'2.2.Brecha Efectiva x UdM'!$H$64:$AK$71,3,0))</f>
        <v>0</v>
      </c>
      <c r="P303" s="31">
        <f>VLOOKUP($A303,$A$4:$O$28,4,0)*(HLOOKUP(P$285,'2.2.Brecha Efectiva x UdM'!$H$64:$AK$71,3,0))</f>
        <v>0</v>
      </c>
      <c r="Q303" s="31">
        <f>VLOOKUP($A303,$A$4:$O$28,4,0)*(HLOOKUP(Q$285,'2.2.Brecha Efectiva x UdM'!$H$64:$AK$71,3,0))</f>
        <v>0</v>
      </c>
      <c r="R303" s="31">
        <f>VLOOKUP($A303,$A$4:$O$28,4,0)*(HLOOKUP(R$285,'2.2.Brecha Efectiva x UdM'!$H$64:$AK$71,3,0))</f>
        <v>0</v>
      </c>
      <c r="S303" s="31">
        <f>VLOOKUP($A303,$A$4:$O$28,4,0)*(HLOOKUP(S$285,'2.2.Brecha Efectiva x UdM'!$H$64:$AK$71,3,0))</f>
        <v>0</v>
      </c>
      <c r="T303" s="31">
        <f>VLOOKUP($A303,$A$4:$O$28,4,0)*(HLOOKUP(T$285,'2.2.Brecha Efectiva x UdM'!$H$64:$AK$71,3,0))</f>
        <v>0</v>
      </c>
      <c r="U303" s="31">
        <f>VLOOKUP($A303,$A$4:$O$28,4,0)*(HLOOKUP(U$285,'2.2.Brecha Efectiva x UdM'!$H$64:$AK$71,3,0))</f>
        <v>0</v>
      </c>
      <c r="V303" s="31">
        <f>VLOOKUP($A303,$A$4:$O$28,4,0)*(HLOOKUP(V$285,'2.2.Brecha Efectiva x UdM'!$H$64:$AK$71,3,0))</f>
        <v>0</v>
      </c>
      <c r="W303" s="31">
        <f>VLOOKUP($A303,$A$4:$O$28,4,0)*(HLOOKUP(W$285,'2.2.Brecha Efectiva x UdM'!$H$64:$AK$71,3,0))</f>
        <v>0</v>
      </c>
      <c r="X303" s="31">
        <f>VLOOKUP($A303,$A$4:$O$28,4,0)*(HLOOKUP(X$285,'2.2.Brecha Efectiva x UdM'!$H$64:$AK$71,3,0))</f>
        <v>0</v>
      </c>
      <c r="Y303" s="31">
        <f>VLOOKUP($A303,$A$4:$O$28,4,0)*(HLOOKUP(Y$285,'2.2.Brecha Efectiva x UdM'!$H$64:$AK$71,3,0))</f>
        <v>0</v>
      </c>
      <c r="Z303" s="31">
        <f>VLOOKUP($A303,$A$4:$O$28,4,0)*(HLOOKUP(Z$285,'2.2.Brecha Efectiva x UdM'!$H$64:$AK$71,3,0))</f>
        <v>0</v>
      </c>
      <c r="AA303" s="31">
        <f>VLOOKUP($A303,$A$4:$O$28,4,0)*(HLOOKUP(AA$285,'2.2.Brecha Efectiva x UdM'!$H$64:$AK$71,3,0))</f>
        <v>0</v>
      </c>
      <c r="AB303" s="31">
        <f>VLOOKUP($A303,$A$4:$O$28,4,0)*(HLOOKUP(AB$285,'2.2.Brecha Efectiva x UdM'!$H$64:$AK$71,3,0))</f>
        <v>0</v>
      </c>
      <c r="AC303" s="31">
        <f>VLOOKUP($A303,$A$4:$O$28,4,0)*(HLOOKUP(AC$285,'2.2.Brecha Efectiva x UdM'!$H$64:$AK$71,3,0))</f>
        <v>0</v>
      </c>
      <c r="AD303" s="31">
        <f>VLOOKUP($A303,$A$4:$O$28,4,0)*(HLOOKUP(AD$285,'2.2.Brecha Efectiva x UdM'!$H$64:$AK$71,3,0))</f>
        <v>0</v>
      </c>
      <c r="AE303" s="31">
        <f>VLOOKUP($A303,$A$4:$O$28,4,0)*(HLOOKUP(AE$285,'2.2.Brecha Efectiva x UdM'!$H$64:$AK$71,3,0))</f>
        <v>0</v>
      </c>
      <c r="AF303" s="31">
        <f>VLOOKUP($A303,$A$4:$O$28,4,0)*(HLOOKUP(AF$285,'2.2.Brecha Efectiva x UdM'!$H$64:$AK$71,3,0))</f>
        <v>0</v>
      </c>
      <c r="AG303" s="31">
        <f>VLOOKUP($A303,$A$4:$O$28,4,0)*(HLOOKUP(AG$285,'2.2.Brecha Efectiva x UdM'!$H$64:$AK$71,3,0))</f>
        <v>0</v>
      </c>
      <c r="AH303" s="63">
        <f t="shared" si="294"/>
        <v>681921398.67150724</v>
      </c>
    </row>
    <row r="304" spans="1:34" x14ac:dyDescent="0.2">
      <c r="A304" s="25" t="str">
        <f t="shared" si="291"/>
        <v>San Luis</v>
      </c>
      <c r="B304" s="51" t="str">
        <f t="shared" si="292"/>
        <v>Nombre UdM 2</v>
      </c>
      <c r="C304" s="25" t="str">
        <f t="shared" si="293"/>
        <v>San Luis Nombre UdM 2</v>
      </c>
      <c r="D304" s="32">
        <f>VLOOKUP($A304,$A$4:$O$28,4,0)*(HLOOKUP(D$285,'2.2.Brecha Efectiva x UdM'!$H$64:$AK$71,3,0))</f>
        <v>9917772.8385642357</v>
      </c>
      <c r="E304" s="32">
        <f>VLOOKUP($A304,$A$4:$O$28,4,0)*(HLOOKUP(E$285,'2.2.Brecha Efectiva x UdM'!$H$64:$AK$71,3,0))</f>
        <v>10639079.569269959</v>
      </c>
      <c r="F304" s="32">
        <f>VLOOKUP($A304,$A$4:$O$28,4,0)*(HLOOKUP(F$285,'2.2.Brecha Efectiva x UdM'!$H$64:$AK$71,3,0))</f>
        <v>16081911.84365331</v>
      </c>
      <c r="G304" s="32">
        <f>VLOOKUP($A304,$A$4:$O$28,4,0)*(HLOOKUP(G$285,'2.2.Brecha Efectiva x UdM'!$H$64:$AK$71,3,0))</f>
        <v>0</v>
      </c>
      <c r="H304" s="32">
        <f>VLOOKUP($A304,$A$4:$O$28,4,0)*(HLOOKUP(H$285,'2.2.Brecha Efectiva x UdM'!$H$64:$AK$71,3,0))</f>
        <v>0</v>
      </c>
      <c r="I304" s="32">
        <f>VLOOKUP($A304,$A$4:$O$28,4,0)*(HLOOKUP(I$285,'2.2.Brecha Efectiva x UdM'!$H$64:$AK$71,3,0))</f>
        <v>0</v>
      </c>
      <c r="J304" s="32">
        <f>VLOOKUP($A304,$A$4:$O$28,4,0)*(HLOOKUP(J$285,'2.2.Brecha Efectiva x UdM'!$H$64:$AK$71,3,0))</f>
        <v>0</v>
      </c>
      <c r="K304" s="32">
        <f>VLOOKUP($A304,$A$4:$O$28,4,0)*(HLOOKUP(K$285,'2.2.Brecha Efectiva x UdM'!$H$64:$AK$71,3,0))</f>
        <v>0</v>
      </c>
      <c r="L304" s="32">
        <f>VLOOKUP($A304,$A$4:$O$28,4,0)*(HLOOKUP(L$285,'2.2.Brecha Efectiva x UdM'!$H$64:$AK$71,3,0))</f>
        <v>0</v>
      </c>
      <c r="M304" s="32">
        <f>VLOOKUP($A304,$A$4:$O$28,4,0)*(HLOOKUP(M$285,'2.2.Brecha Efectiva x UdM'!$H$64:$AK$71,3,0))</f>
        <v>0</v>
      </c>
      <c r="N304" s="32">
        <f>VLOOKUP($A304,$A$4:$O$28,4,0)*(HLOOKUP(N$285,'2.2.Brecha Efectiva x UdM'!$H$64:$AK$71,3,0))</f>
        <v>0</v>
      </c>
      <c r="O304" s="32">
        <f>VLOOKUP($A304,$A$4:$O$28,4,0)*(HLOOKUP(O$285,'2.2.Brecha Efectiva x UdM'!$H$64:$AK$71,3,0))</f>
        <v>0</v>
      </c>
      <c r="P304" s="32">
        <f>VLOOKUP($A304,$A$4:$O$28,4,0)*(HLOOKUP(P$285,'2.2.Brecha Efectiva x UdM'!$H$64:$AK$71,3,0))</f>
        <v>0</v>
      </c>
      <c r="Q304" s="32">
        <f>VLOOKUP($A304,$A$4:$O$28,4,0)*(HLOOKUP(Q$285,'2.2.Brecha Efectiva x UdM'!$H$64:$AK$71,3,0))</f>
        <v>0</v>
      </c>
      <c r="R304" s="32">
        <f>VLOOKUP($A304,$A$4:$O$28,4,0)*(HLOOKUP(R$285,'2.2.Brecha Efectiva x UdM'!$H$64:$AK$71,3,0))</f>
        <v>0</v>
      </c>
      <c r="S304" s="32">
        <f>VLOOKUP($A304,$A$4:$O$28,4,0)*(HLOOKUP(S$285,'2.2.Brecha Efectiva x UdM'!$H$64:$AK$71,3,0))</f>
        <v>0</v>
      </c>
      <c r="T304" s="32">
        <f>VLOOKUP($A304,$A$4:$O$28,4,0)*(HLOOKUP(T$285,'2.2.Brecha Efectiva x UdM'!$H$64:$AK$71,3,0))</f>
        <v>0</v>
      </c>
      <c r="U304" s="32">
        <f>VLOOKUP($A304,$A$4:$O$28,4,0)*(HLOOKUP(U$285,'2.2.Brecha Efectiva x UdM'!$H$64:$AK$71,3,0))</f>
        <v>0</v>
      </c>
      <c r="V304" s="32">
        <f>VLOOKUP($A304,$A$4:$O$28,4,0)*(HLOOKUP(V$285,'2.2.Brecha Efectiva x UdM'!$H$64:$AK$71,3,0))</f>
        <v>0</v>
      </c>
      <c r="W304" s="32">
        <f>VLOOKUP($A304,$A$4:$O$28,4,0)*(HLOOKUP(W$285,'2.2.Brecha Efectiva x UdM'!$H$64:$AK$71,3,0))</f>
        <v>0</v>
      </c>
      <c r="X304" s="32">
        <f>VLOOKUP($A304,$A$4:$O$28,4,0)*(HLOOKUP(X$285,'2.2.Brecha Efectiva x UdM'!$H$64:$AK$71,3,0))</f>
        <v>0</v>
      </c>
      <c r="Y304" s="32">
        <f>VLOOKUP($A304,$A$4:$O$28,4,0)*(HLOOKUP(Y$285,'2.2.Brecha Efectiva x UdM'!$H$64:$AK$71,3,0))</f>
        <v>0</v>
      </c>
      <c r="Z304" s="32">
        <f>VLOOKUP($A304,$A$4:$O$28,4,0)*(HLOOKUP(Z$285,'2.2.Brecha Efectiva x UdM'!$H$64:$AK$71,3,0))</f>
        <v>0</v>
      </c>
      <c r="AA304" s="32">
        <f>VLOOKUP($A304,$A$4:$O$28,4,0)*(HLOOKUP(AA$285,'2.2.Brecha Efectiva x UdM'!$H$64:$AK$71,3,0))</f>
        <v>0</v>
      </c>
      <c r="AB304" s="32">
        <f>VLOOKUP($A304,$A$4:$O$28,4,0)*(HLOOKUP(AB$285,'2.2.Brecha Efectiva x UdM'!$H$64:$AK$71,3,0))</f>
        <v>0</v>
      </c>
      <c r="AC304" s="32">
        <f>VLOOKUP($A304,$A$4:$O$28,4,0)*(HLOOKUP(AC$285,'2.2.Brecha Efectiva x UdM'!$H$64:$AK$71,3,0))</f>
        <v>0</v>
      </c>
      <c r="AD304" s="32">
        <f>VLOOKUP($A304,$A$4:$O$28,4,0)*(HLOOKUP(AD$285,'2.2.Brecha Efectiva x UdM'!$H$64:$AK$71,3,0))</f>
        <v>0</v>
      </c>
      <c r="AE304" s="32">
        <f>VLOOKUP($A304,$A$4:$O$28,4,0)*(HLOOKUP(AE$285,'2.2.Brecha Efectiva x UdM'!$H$64:$AK$71,3,0))</f>
        <v>0</v>
      </c>
      <c r="AF304" s="32">
        <f>VLOOKUP($A304,$A$4:$O$28,4,0)*(HLOOKUP(AF$285,'2.2.Brecha Efectiva x UdM'!$H$64:$AK$71,3,0))</f>
        <v>0</v>
      </c>
      <c r="AG304" s="32">
        <f>VLOOKUP($A304,$A$4:$O$28,4,0)*(HLOOKUP(AG$285,'2.2.Brecha Efectiva x UdM'!$H$64:$AK$71,3,0))</f>
        <v>0</v>
      </c>
      <c r="AH304" s="62">
        <f t="shared" si="294"/>
        <v>36638764.251487508</v>
      </c>
    </row>
    <row r="305" spans="1:34" x14ac:dyDescent="0.2">
      <c r="A305" s="26" t="str">
        <f t="shared" si="291"/>
        <v>Santa Cruz</v>
      </c>
      <c r="B305" s="52" t="str">
        <f t="shared" si="292"/>
        <v>Nombre UdM 2</v>
      </c>
      <c r="C305" s="26" t="str">
        <f t="shared" si="293"/>
        <v>Santa Cruz Nombre UdM 2</v>
      </c>
      <c r="D305" s="31">
        <f>VLOOKUP($A305,$A$4:$O$28,4,0)*(HLOOKUP(D$285,'2.2.Brecha Efectiva x UdM'!$H$64:$AK$71,3,0))</f>
        <v>621610542.44070935</v>
      </c>
      <c r="E305" s="31">
        <f>VLOOKUP($A305,$A$4:$O$28,4,0)*(HLOOKUP(E$285,'2.2.Brecha Efectiva x UdM'!$H$64:$AK$71,3,0))</f>
        <v>666819469.42849743</v>
      </c>
      <c r="F305" s="31">
        <f>VLOOKUP($A305,$A$4:$O$28,4,0)*(HLOOKUP(F$285,'2.2.Brecha Efectiva x UdM'!$H$64:$AK$71,3,0))</f>
        <v>1007956736.5916992</v>
      </c>
      <c r="G305" s="31">
        <f>VLOOKUP($A305,$A$4:$O$28,4,0)*(HLOOKUP(G$285,'2.2.Brecha Efectiva x UdM'!$H$64:$AK$71,3,0))</f>
        <v>0</v>
      </c>
      <c r="H305" s="31">
        <f>VLOOKUP($A305,$A$4:$O$28,4,0)*(HLOOKUP(H$285,'2.2.Brecha Efectiva x UdM'!$H$64:$AK$71,3,0))</f>
        <v>0</v>
      </c>
      <c r="I305" s="31">
        <f>VLOOKUP($A305,$A$4:$O$28,4,0)*(HLOOKUP(I$285,'2.2.Brecha Efectiva x UdM'!$H$64:$AK$71,3,0))</f>
        <v>0</v>
      </c>
      <c r="J305" s="31">
        <f>VLOOKUP($A305,$A$4:$O$28,4,0)*(HLOOKUP(J$285,'2.2.Brecha Efectiva x UdM'!$H$64:$AK$71,3,0))</f>
        <v>0</v>
      </c>
      <c r="K305" s="31">
        <f>VLOOKUP($A305,$A$4:$O$28,4,0)*(HLOOKUP(K$285,'2.2.Brecha Efectiva x UdM'!$H$64:$AK$71,3,0))</f>
        <v>0</v>
      </c>
      <c r="L305" s="31">
        <f>VLOOKUP($A305,$A$4:$O$28,4,0)*(HLOOKUP(L$285,'2.2.Brecha Efectiva x UdM'!$H$64:$AK$71,3,0))</f>
        <v>0</v>
      </c>
      <c r="M305" s="31">
        <f>VLOOKUP($A305,$A$4:$O$28,4,0)*(HLOOKUP(M$285,'2.2.Brecha Efectiva x UdM'!$H$64:$AK$71,3,0))</f>
        <v>0</v>
      </c>
      <c r="N305" s="31">
        <f>VLOOKUP($A305,$A$4:$O$28,4,0)*(HLOOKUP(N$285,'2.2.Brecha Efectiva x UdM'!$H$64:$AK$71,3,0))</f>
        <v>0</v>
      </c>
      <c r="O305" s="31">
        <f>VLOOKUP($A305,$A$4:$O$28,4,0)*(HLOOKUP(O$285,'2.2.Brecha Efectiva x UdM'!$H$64:$AK$71,3,0))</f>
        <v>0</v>
      </c>
      <c r="P305" s="31">
        <f>VLOOKUP($A305,$A$4:$O$28,4,0)*(HLOOKUP(P$285,'2.2.Brecha Efectiva x UdM'!$H$64:$AK$71,3,0))</f>
        <v>0</v>
      </c>
      <c r="Q305" s="31">
        <f>VLOOKUP($A305,$A$4:$O$28,4,0)*(HLOOKUP(Q$285,'2.2.Brecha Efectiva x UdM'!$H$64:$AK$71,3,0))</f>
        <v>0</v>
      </c>
      <c r="R305" s="31">
        <f>VLOOKUP($A305,$A$4:$O$28,4,0)*(HLOOKUP(R$285,'2.2.Brecha Efectiva x UdM'!$H$64:$AK$71,3,0))</f>
        <v>0</v>
      </c>
      <c r="S305" s="31">
        <f>VLOOKUP($A305,$A$4:$O$28,4,0)*(HLOOKUP(S$285,'2.2.Brecha Efectiva x UdM'!$H$64:$AK$71,3,0))</f>
        <v>0</v>
      </c>
      <c r="T305" s="31">
        <f>VLOOKUP($A305,$A$4:$O$28,4,0)*(HLOOKUP(T$285,'2.2.Brecha Efectiva x UdM'!$H$64:$AK$71,3,0))</f>
        <v>0</v>
      </c>
      <c r="U305" s="31">
        <f>VLOOKUP($A305,$A$4:$O$28,4,0)*(HLOOKUP(U$285,'2.2.Brecha Efectiva x UdM'!$H$64:$AK$71,3,0))</f>
        <v>0</v>
      </c>
      <c r="V305" s="31">
        <f>VLOOKUP($A305,$A$4:$O$28,4,0)*(HLOOKUP(V$285,'2.2.Brecha Efectiva x UdM'!$H$64:$AK$71,3,0))</f>
        <v>0</v>
      </c>
      <c r="W305" s="31">
        <f>VLOOKUP($A305,$A$4:$O$28,4,0)*(HLOOKUP(W$285,'2.2.Brecha Efectiva x UdM'!$H$64:$AK$71,3,0))</f>
        <v>0</v>
      </c>
      <c r="X305" s="31">
        <f>VLOOKUP($A305,$A$4:$O$28,4,0)*(HLOOKUP(X$285,'2.2.Brecha Efectiva x UdM'!$H$64:$AK$71,3,0))</f>
        <v>0</v>
      </c>
      <c r="Y305" s="31">
        <f>VLOOKUP($A305,$A$4:$O$28,4,0)*(HLOOKUP(Y$285,'2.2.Brecha Efectiva x UdM'!$H$64:$AK$71,3,0))</f>
        <v>0</v>
      </c>
      <c r="Z305" s="31">
        <f>VLOOKUP($A305,$A$4:$O$28,4,0)*(HLOOKUP(Z$285,'2.2.Brecha Efectiva x UdM'!$H$64:$AK$71,3,0))</f>
        <v>0</v>
      </c>
      <c r="AA305" s="31">
        <f>VLOOKUP($A305,$A$4:$O$28,4,0)*(HLOOKUP(AA$285,'2.2.Brecha Efectiva x UdM'!$H$64:$AK$71,3,0))</f>
        <v>0</v>
      </c>
      <c r="AB305" s="31">
        <f>VLOOKUP($A305,$A$4:$O$28,4,0)*(HLOOKUP(AB$285,'2.2.Brecha Efectiva x UdM'!$H$64:$AK$71,3,0))</f>
        <v>0</v>
      </c>
      <c r="AC305" s="31">
        <f>VLOOKUP($A305,$A$4:$O$28,4,0)*(HLOOKUP(AC$285,'2.2.Brecha Efectiva x UdM'!$H$64:$AK$71,3,0))</f>
        <v>0</v>
      </c>
      <c r="AD305" s="31">
        <f>VLOOKUP($A305,$A$4:$O$28,4,0)*(HLOOKUP(AD$285,'2.2.Brecha Efectiva x UdM'!$H$64:$AK$71,3,0))</f>
        <v>0</v>
      </c>
      <c r="AE305" s="31">
        <f>VLOOKUP($A305,$A$4:$O$28,4,0)*(HLOOKUP(AE$285,'2.2.Brecha Efectiva x UdM'!$H$64:$AK$71,3,0))</f>
        <v>0</v>
      </c>
      <c r="AF305" s="31">
        <f>VLOOKUP($A305,$A$4:$O$28,4,0)*(HLOOKUP(AF$285,'2.2.Brecha Efectiva x UdM'!$H$64:$AK$71,3,0))</f>
        <v>0</v>
      </c>
      <c r="AG305" s="31">
        <f>VLOOKUP($A305,$A$4:$O$28,4,0)*(HLOOKUP(AG$285,'2.2.Brecha Efectiva x UdM'!$H$64:$AK$71,3,0))</f>
        <v>0</v>
      </c>
      <c r="AH305" s="63">
        <f t="shared" si="294"/>
        <v>2296386748.460906</v>
      </c>
    </row>
    <row r="306" spans="1:34" x14ac:dyDescent="0.2">
      <c r="A306" s="25" t="str">
        <f t="shared" si="291"/>
        <v>Santa Fe</v>
      </c>
      <c r="B306" s="51" t="str">
        <f t="shared" si="292"/>
        <v>Nombre UdM 2</v>
      </c>
      <c r="C306" s="25" t="str">
        <f t="shared" si="293"/>
        <v>Santa Fe Nombre UdM 2</v>
      </c>
      <c r="D306" s="32">
        <f>VLOOKUP($A306,$A$4:$O$28,4,0)*(HLOOKUP(D$285,'2.2.Brecha Efectiva x UdM'!$H$64:$AK$71,3,0))</f>
        <v>18362881.442734975</v>
      </c>
      <c r="E306" s="32">
        <f>VLOOKUP($A306,$A$4:$O$28,4,0)*(HLOOKUP(E$285,'2.2.Brecha Efectiva x UdM'!$H$64:$AK$71,3,0))</f>
        <v>19698389.948061198</v>
      </c>
      <c r="F306" s="32">
        <f>VLOOKUP($A306,$A$4:$O$28,4,0)*(HLOOKUP(F$285,'2.2.Brecha Efectiva x UdM'!$H$64:$AK$71,3,0))</f>
        <v>29775862.521194048</v>
      </c>
      <c r="G306" s="32">
        <f>VLOOKUP($A306,$A$4:$O$28,4,0)*(HLOOKUP(G$285,'2.2.Brecha Efectiva x UdM'!$H$64:$AK$71,3,0))</f>
        <v>0</v>
      </c>
      <c r="H306" s="32">
        <f>VLOOKUP($A306,$A$4:$O$28,4,0)*(HLOOKUP(H$285,'2.2.Brecha Efectiva x UdM'!$H$64:$AK$71,3,0))</f>
        <v>0</v>
      </c>
      <c r="I306" s="32">
        <f>VLOOKUP($A306,$A$4:$O$28,4,0)*(HLOOKUP(I$285,'2.2.Brecha Efectiva x UdM'!$H$64:$AK$71,3,0))</f>
        <v>0</v>
      </c>
      <c r="J306" s="32">
        <f>VLOOKUP($A306,$A$4:$O$28,4,0)*(HLOOKUP(J$285,'2.2.Brecha Efectiva x UdM'!$H$64:$AK$71,3,0))</f>
        <v>0</v>
      </c>
      <c r="K306" s="32">
        <f>VLOOKUP($A306,$A$4:$O$28,4,0)*(HLOOKUP(K$285,'2.2.Brecha Efectiva x UdM'!$H$64:$AK$71,3,0))</f>
        <v>0</v>
      </c>
      <c r="L306" s="32">
        <f>VLOOKUP($A306,$A$4:$O$28,4,0)*(HLOOKUP(L$285,'2.2.Brecha Efectiva x UdM'!$H$64:$AK$71,3,0))</f>
        <v>0</v>
      </c>
      <c r="M306" s="32">
        <f>VLOOKUP($A306,$A$4:$O$28,4,0)*(HLOOKUP(M$285,'2.2.Brecha Efectiva x UdM'!$H$64:$AK$71,3,0))</f>
        <v>0</v>
      </c>
      <c r="N306" s="32">
        <f>VLOOKUP($A306,$A$4:$O$28,4,0)*(HLOOKUP(N$285,'2.2.Brecha Efectiva x UdM'!$H$64:$AK$71,3,0))</f>
        <v>0</v>
      </c>
      <c r="O306" s="32">
        <f>VLOOKUP($A306,$A$4:$O$28,4,0)*(HLOOKUP(O$285,'2.2.Brecha Efectiva x UdM'!$H$64:$AK$71,3,0))</f>
        <v>0</v>
      </c>
      <c r="P306" s="32">
        <f>VLOOKUP($A306,$A$4:$O$28,4,0)*(HLOOKUP(P$285,'2.2.Brecha Efectiva x UdM'!$H$64:$AK$71,3,0))</f>
        <v>0</v>
      </c>
      <c r="Q306" s="32">
        <f>VLOOKUP($A306,$A$4:$O$28,4,0)*(HLOOKUP(Q$285,'2.2.Brecha Efectiva x UdM'!$H$64:$AK$71,3,0))</f>
        <v>0</v>
      </c>
      <c r="R306" s="32">
        <f>VLOOKUP($A306,$A$4:$O$28,4,0)*(HLOOKUP(R$285,'2.2.Brecha Efectiva x UdM'!$H$64:$AK$71,3,0))</f>
        <v>0</v>
      </c>
      <c r="S306" s="32">
        <f>VLOOKUP($A306,$A$4:$O$28,4,0)*(HLOOKUP(S$285,'2.2.Brecha Efectiva x UdM'!$H$64:$AK$71,3,0))</f>
        <v>0</v>
      </c>
      <c r="T306" s="32">
        <f>VLOOKUP($A306,$A$4:$O$28,4,0)*(HLOOKUP(T$285,'2.2.Brecha Efectiva x UdM'!$H$64:$AK$71,3,0))</f>
        <v>0</v>
      </c>
      <c r="U306" s="32">
        <f>VLOOKUP($A306,$A$4:$O$28,4,0)*(HLOOKUP(U$285,'2.2.Brecha Efectiva x UdM'!$H$64:$AK$71,3,0))</f>
        <v>0</v>
      </c>
      <c r="V306" s="32">
        <f>VLOOKUP($A306,$A$4:$O$28,4,0)*(HLOOKUP(V$285,'2.2.Brecha Efectiva x UdM'!$H$64:$AK$71,3,0))</f>
        <v>0</v>
      </c>
      <c r="W306" s="32">
        <f>VLOOKUP($A306,$A$4:$O$28,4,0)*(HLOOKUP(W$285,'2.2.Brecha Efectiva x UdM'!$H$64:$AK$71,3,0))</f>
        <v>0</v>
      </c>
      <c r="X306" s="32">
        <f>VLOOKUP($A306,$A$4:$O$28,4,0)*(HLOOKUP(X$285,'2.2.Brecha Efectiva x UdM'!$H$64:$AK$71,3,0))</f>
        <v>0</v>
      </c>
      <c r="Y306" s="32">
        <f>VLOOKUP($A306,$A$4:$O$28,4,0)*(HLOOKUP(Y$285,'2.2.Brecha Efectiva x UdM'!$H$64:$AK$71,3,0))</f>
        <v>0</v>
      </c>
      <c r="Z306" s="32">
        <f>VLOOKUP($A306,$A$4:$O$28,4,0)*(HLOOKUP(Z$285,'2.2.Brecha Efectiva x UdM'!$H$64:$AK$71,3,0))</f>
        <v>0</v>
      </c>
      <c r="AA306" s="32">
        <f>VLOOKUP($A306,$A$4:$O$28,4,0)*(HLOOKUP(AA$285,'2.2.Brecha Efectiva x UdM'!$H$64:$AK$71,3,0))</f>
        <v>0</v>
      </c>
      <c r="AB306" s="32">
        <f>VLOOKUP($A306,$A$4:$O$28,4,0)*(HLOOKUP(AB$285,'2.2.Brecha Efectiva x UdM'!$H$64:$AK$71,3,0))</f>
        <v>0</v>
      </c>
      <c r="AC306" s="32">
        <f>VLOOKUP($A306,$A$4:$O$28,4,0)*(HLOOKUP(AC$285,'2.2.Brecha Efectiva x UdM'!$H$64:$AK$71,3,0))</f>
        <v>0</v>
      </c>
      <c r="AD306" s="32">
        <f>VLOOKUP($A306,$A$4:$O$28,4,0)*(HLOOKUP(AD$285,'2.2.Brecha Efectiva x UdM'!$H$64:$AK$71,3,0))</f>
        <v>0</v>
      </c>
      <c r="AE306" s="32">
        <f>VLOOKUP($A306,$A$4:$O$28,4,0)*(HLOOKUP(AE$285,'2.2.Brecha Efectiva x UdM'!$H$64:$AK$71,3,0))</f>
        <v>0</v>
      </c>
      <c r="AF306" s="32">
        <f>VLOOKUP($A306,$A$4:$O$28,4,0)*(HLOOKUP(AF$285,'2.2.Brecha Efectiva x UdM'!$H$64:$AK$71,3,0))</f>
        <v>0</v>
      </c>
      <c r="AG306" s="32">
        <f>VLOOKUP($A306,$A$4:$O$28,4,0)*(HLOOKUP(AG$285,'2.2.Brecha Efectiva x UdM'!$H$64:$AK$71,3,0))</f>
        <v>0</v>
      </c>
      <c r="AH306" s="62">
        <f t="shared" si="294"/>
        <v>67837133.911990225</v>
      </c>
    </row>
    <row r="307" spans="1:34" x14ac:dyDescent="0.2">
      <c r="A307" s="26" t="str">
        <f t="shared" si="291"/>
        <v>Santiago del Estero</v>
      </c>
      <c r="B307" s="52" t="str">
        <f t="shared" si="292"/>
        <v>Nombre UdM 2</v>
      </c>
      <c r="C307" s="26" t="str">
        <f t="shared" si="293"/>
        <v>Santiago del Estero Nombre UdM 2</v>
      </c>
      <c r="D307" s="31">
        <f>VLOOKUP($A307,$A$4:$O$28,4,0)*(HLOOKUP(D$285,'2.2.Brecha Efectiva x UdM'!$H$64:$AK$71,3,0))</f>
        <v>16890217.208341476</v>
      </c>
      <c r="E307" s="31">
        <f>VLOOKUP($A307,$A$4:$O$28,4,0)*(HLOOKUP(E$285,'2.2.Brecha Efectiva x UdM'!$H$64:$AK$71,3,0))</f>
        <v>18118620.757582478</v>
      </c>
      <c r="F307" s="31">
        <f>VLOOKUP($A307,$A$4:$O$28,4,0)*(HLOOKUP(F$285,'2.2.Brecha Efectiva x UdM'!$H$64:$AK$71,3,0))</f>
        <v>27387901.35508148</v>
      </c>
      <c r="G307" s="31">
        <f>VLOOKUP($A307,$A$4:$O$28,4,0)*(HLOOKUP(G$285,'2.2.Brecha Efectiva x UdM'!$H$64:$AK$71,3,0))</f>
        <v>0</v>
      </c>
      <c r="H307" s="31">
        <f>VLOOKUP($A307,$A$4:$O$28,4,0)*(HLOOKUP(H$285,'2.2.Brecha Efectiva x UdM'!$H$64:$AK$71,3,0))</f>
        <v>0</v>
      </c>
      <c r="I307" s="31">
        <f>VLOOKUP($A307,$A$4:$O$28,4,0)*(HLOOKUP(I$285,'2.2.Brecha Efectiva x UdM'!$H$64:$AK$71,3,0))</f>
        <v>0</v>
      </c>
      <c r="J307" s="31">
        <f>VLOOKUP($A307,$A$4:$O$28,4,0)*(HLOOKUP(J$285,'2.2.Brecha Efectiva x UdM'!$H$64:$AK$71,3,0))</f>
        <v>0</v>
      </c>
      <c r="K307" s="31">
        <f>VLOOKUP($A307,$A$4:$O$28,4,0)*(HLOOKUP(K$285,'2.2.Brecha Efectiva x UdM'!$H$64:$AK$71,3,0))</f>
        <v>0</v>
      </c>
      <c r="L307" s="31">
        <f>VLOOKUP($A307,$A$4:$O$28,4,0)*(HLOOKUP(L$285,'2.2.Brecha Efectiva x UdM'!$H$64:$AK$71,3,0))</f>
        <v>0</v>
      </c>
      <c r="M307" s="31">
        <f>VLOOKUP($A307,$A$4:$O$28,4,0)*(HLOOKUP(M$285,'2.2.Brecha Efectiva x UdM'!$H$64:$AK$71,3,0))</f>
        <v>0</v>
      </c>
      <c r="N307" s="31">
        <f>VLOOKUP($A307,$A$4:$O$28,4,0)*(HLOOKUP(N$285,'2.2.Brecha Efectiva x UdM'!$H$64:$AK$71,3,0))</f>
        <v>0</v>
      </c>
      <c r="O307" s="31">
        <f>VLOOKUP($A307,$A$4:$O$28,4,0)*(HLOOKUP(O$285,'2.2.Brecha Efectiva x UdM'!$H$64:$AK$71,3,0))</f>
        <v>0</v>
      </c>
      <c r="P307" s="31">
        <f>VLOOKUP($A307,$A$4:$O$28,4,0)*(HLOOKUP(P$285,'2.2.Brecha Efectiva x UdM'!$H$64:$AK$71,3,0))</f>
        <v>0</v>
      </c>
      <c r="Q307" s="31">
        <f>VLOOKUP($A307,$A$4:$O$28,4,0)*(HLOOKUP(Q$285,'2.2.Brecha Efectiva x UdM'!$H$64:$AK$71,3,0))</f>
        <v>0</v>
      </c>
      <c r="R307" s="31">
        <f>VLOOKUP($A307,$A$4:$O$28,4,0)*(HLOOKUP(R$285,'2.2.Brecha Efectiva x UdM'!$H$64:$AK$71,3,0))</f>
        <v>0</v>
      </c>
      <c r="S307" s="31">
        <f>VLOOKUP($A307,$A$4:$O$28,4,0)*(HLOOKUP(S$285,'2.2.Brecha Efectiva x UdM'!$H$64:$AK$71,3,0))</f>
        <v>0</v>
      </c>
      <c r="T307" s="31">
        <f>VLOOKUP($A307,$A$4:$O$28,4,0)*(HLOOKUP(T$285,'2.2.Brecha Efectiva x UdM'!$H$64:$AK$71,3,0))</f>
        <v>0</v>
      </c>
      <c r="U307" s="31">
        <f>VLOOKUP($A307,$A$4:$O$28,4,0)*(HLOOKUP(U$285,'2.2.Brecha Efectiva x UdM'!$H$64:$AK$71,3,0))</f>
        <v>0</v>
      </c>
      <c r="V307" s="31">
        <f>VLOOKUP($A307,$A$4:$O$28,4,0)*(HLOOKUP(V$285,'2.2.Brecha Efectiva x UdM'!$H$64:$AK$71,3,0))</f>
        <v>0</v>
      </c>
      <c r="W307" s="31">
        <f>VLOOKUP($A307,$A$4:$O$28,4,0)*(HLOOKUP(W$285,'2.2.Brecha Efectiva x UdM'!$H$64:$AK$71,3,0))</f>
        <v>0</v>
      </c>
      <c r="X307" s="31">
        <f>VLOOKUP($A307,$A$4:$O$28,4,0)*(HLOOKUP(X$285,'2.2.Brecha Efectiva x UdM'!$H$64:$AK$71,3,0))</f>
        <v>0</v>
      </c>
      <c r="Y307" s="31">
        <f>VLOOKUP($A307,$A$4:$O$28,4,0)*(HLOOKUP(Y$285,'2.2.Brecha Efectiva x UdM'!$H$64:$AK$71,3,0))</f>
        <v>0</v>
      </c>
      <c r="Z307" s="31">
        <f>VLOOKUP($A307,$A$4:$O$28,4,0)*(HLOOKUP(Z$285,'2.2.Brecha Efectiva x UdM'!$H$64:$AK$71,3,0))</f>
        <v>0</v>
      </c>
      <c r="AA307" s="31">
        <f>VLOOKUP($A307,$A$4:$O$28,4,0)*(HLOOKUP(AA$285,'2.2.Brecha Efectiva x UdM'!$H$64:$AK$71,3,0))</f>
        <v>0</v>
      </c>
      <c r="AB307" s="31">
        <f>VLOOKUP($A307,$A$4:$O$28,4,0)*(HLOOKUP(AB$285,'2.2.Brecha Efectiva x UdM'!$H$64:$AK$71,3,0))</f>
        <v>0</v>
      </c>
      <c r="AC307" s="31">
        <f>VLOOKUP($A307,$A$4:$O$28,4,0)*(HLOOKUP(AC$285,'2.2.Brecha Efectiva x UdM'!$H$64:$AK$71,3,0))</f>
        <v>0</v>
      </c>
      <c r="AD307" s="31">
        <f>VLOOKUP($A307,$A$4:$O$28,4,0)*(HLOOKUP(AD$285,'2.2.Brecha Efectiva x UdM'!$H$64:$AK$71,3,0))</f>
        <v>0</v>
      </c>
      <c r="AE307" s="31">
        <f>VLOOKUP($A307,$A$4:$O$28,4,0)*(HLOOKUP(AE$285,'2.2.Brecha Efectiva x UdM'!$H$64:$AK$71,3,0))</f>
        <v>0</v>
      </c>
      <c r="AF307" s="31">
        <f>VLOOKUP($A307,$A$4:$O$28,4,0)*(HLOOKUP(AF$285,'2.2.Brecha Efectiva x UdM'!$H$64:$AK$71,3,0))</f>
        <v>0</v>
      </c>
      <c r="AG307" s="31">
        <f>VLOOKUP($A307,$A$4:$O$28,4,0)*(HLOOKUP(AG$285,'2.2.Brecha Efectiva x UdM'!$H$64:$AK$71,3,0))</f>
        <v>0</v>
      </c>
      <c r="AH307" s="63">
        <f t="shared" si="294"/>
        <v>62396739.321005434</v>
      </c>
    </row>
    <row r="308" spans="1:34" x14ac:dyDescent="0.2">
      <c r="A308" s="25" t="str">
        <f t="shared" si="291"/>
        <v>Tierra del Fuego</v>
      </c>
      <c r="B308" s="51" t="str">
        <f t="shared" si="292"/>
        <v>Nombre UdM 2</v>
      </c>
      <c r="C308" s="25" t="str">
        <f t="shared" si="293"/>
        <v>Tierra del Fuego Nombre UdM 2</v>
      </c>
      <c r="D308" s="32">
        <f>VLOOKUP($A308,$A$4:$O$28,4,0)*(HLOOKUP(D$285,'2.2.Brecha Efectiva x UdM'!$H$64:$AK$71,3,0))</f>
        <v>57533450.323329598</v>
      </c>
      <c r="E308" s="32">
        <f>VLOOKUP($A308,$A$4:$O$28,4,0)*(HLOOKUP(E$285,'2.2.Brecha Efectiva x UdM'!$H$64:$AK$71,3,0))</f>
        <v>61717783.402382925</v>
      </c>
      <c r="F308" s="32">
        <f>VLOOKUP($A308,$A$4:$O$28,4,0)*(HLOOKUP(F$285,'2.2.Brecha Efectiva x UdM'!$H$64:$AK$71,3,0))</f>
        <v>93291900.431845218</v>
      </c>
      <c r="G308" s="32">
        <f>VLOOKUP($A308,$A$4:$O$28,4,0)*(HLOOKUP(G$285,'2.2.Brecha Efectiva x UdM'!$H$64:$AK$71,3,0))</f>
        <v>0</v>
      </c>
      <c r="H308" s="32">
        <f>VLOOKUP($A308,$A$4:$O$28,4,0)*(HLOOKUP(H$285,'2.2.Brecha Efectiva x UdM'!$H$64:$AK$71,3,0))</f>
        <v>0</v>
      </c>
      <c r="I308" s="32">
        <f>VLOOKUP($A308,$A$4:$O$28,4,0)*(HLOOKUP(I$285,'2.2.Brecha Efectiva x UdM'!$H$64:$AK$71,3,0))</f>
        <v>0</v>
      </c>
      <c r="J308" s="32">
        <f>VLOOKUP($A308,$A$4:$O$28,4,0)*(HLOOKUP(J$285,'2.2.Brecha Efectiva x UdM'!$H$64:$AK$71,3,0))</f>
        <v>0</v>
      </c>
      <c r="K308" s="32">
        <f>VLOOKUP($A308,$A$4:$O$28,4,0)*(HLOOKUP(K$285,'2.2.Brecha Efectiva x UdM'!$H$64:$AK$71,3,0))</f>
        <v>0</v>
      </c>
      <c r="L308" s="32">
        <f>VLOOKUP($A308,$A$4:$O$28,4,0)*(HLOOKUP(L$285,'2.2.Brecha Efectiva x UdM'!$H$64:$AK$71,3,0))</f>
        <v>0</v>
      </c>
      <c r="M308" s="32">
        <f>VLOOKUP($A308,$A$4:$O$28,4,0)*(HLOOKUP(M$285,'2.2.Brecha Efectiva x UdM'!$H$64:$AK$71,3,0))</f>
        <v>0</v>
      </c>
      <c r="N308" s="32">
        <f>VLOOKUP($A308,$A$4:$O$28,4,0)*(HLOOKUP(N$285,'2.2.Brecha Efectiva x UdM'!$H$64:$AK$71,3,0))</f>
        <v>0</v>
      </c>
      <c r="O308" s="32">
        <f>VLOOKUP($A308,$A$4:$O$28,4,0)*(HLOOKUP(O$285,'2.2.Brecha Efectiva x UdM'!$H$64:$AK$71,3,0))</f>
        <v>0</v>
      </c>
      <c r="P308" s="32">
        <f>VLOOKUP($A308,$A$4:$O$28,4,0)*(HLOOKUP(P$285,'2.2.Brecha Efectiva x UdM'!$H$64:$AK$71,3,0))</f>
        <v>0</v>
      </c>
      <c r="Q308" s="32">
        <f>VLOOKUP($A308,$A$4:$O$28,4,0)*(HLOOKUP(Q$285,'2.2.Brecha Efectiva x UdM'!$H$64:$AK$71,3,0))</f>
        <v>0</v>
      </c>
      <c r="R308" s="32">
        <f>VLOOKUP($A308,$A$4:$O$28,4,0)*(HLOOKUP(R$285,'2.2.Brecha Efectiva x UdM'!$H$64:$AK$71,3,0))</f>
        <v>0</v>
      </c>
      <c r="S308" s="32">
        <f>VLOOKUP($A308,$A$4:$O$28,4,0)*(HLOOKUP(S$285,'2.2.Brecha Efectiva x UdM'!$H$64:$AK$71,3,0))</f>
        <v>0</v>
      </c>
      <c r="T308" s="32">
        <f>VLOOKUP($A308,$A$4:$O$28,4,0)*(HLOOKUP(T$285,'2.2.Brecha Efectiva x UdM'!$H$64:$AK$71,3,0))</f>
        <v>0</v>
      </c>
      <c r="U308" s="32">
        <f>VLOOKUP($A308,$A$4:$O$28,4,0)*(HLOOKUP(U$285,'2.2.Brecha Efectiva x UdM'!$H$64:$AK$71,3,0))</f>
        <v>0</v>
      </c>
      <c r="V308" s="32">
        <f>VLOOKUP($A308,$A$4:$O$28,4,0)*(HLOOKUP(V$285,'2.2.Brecha Efectiva x UdM'!$H$64:$AK$71,3,0))</f>
        <v>0</v>
      </c>
      <c r="W308" s="32">
        <f>VLOOKUP($A308,$A$4:$O$28,4,0)*(HLOOKUP(W$285,'2.2.Brecha Efectiva x UdM'!$H$64:$AK$71,3,0))</f>
        <v>0</v>
      </c>
      <c r="X308" s="32">
        <f>VLOOKUP($A308,$A$4:$O$28,4,0)*(HLOOKUP(X$285,'2.2.Brecha Efectiva x UdM'!$H$64:$AK$71,3,0))</f>
        <v>0</v>
      </c>
      <c r="Y308" s="32">
        <f>VLOOKUP($A308,$A$4:$O$28,4,0)*(HLOOKUP(Y$285,'2.2.Brecha Efectiva x UdM'!$H$64:$AK$71,3,0))</f>
        <v>0</v>
      </c>
      <c r="Z308" s="32">
        <f>VLOOKUP($A308,$A$4:$O$28,4,0)*(HLOOKUP(Z$285,'2.2.Brecha Efectiva x UdM'!$H$64:$AK$71,3,0))</f>
        <v>0</v>
      </c>
      <c r="AA308" s="32">
        <f>VLOOKUP($A308,$A$4:$O$28,4,0)*(HLOOKUP(AA$285,'2.2.Brecha Efectiva x UdM'!$H$64:$AK$71,3,0))</f>
        <v>0</v>
      </c>
      <c r="AB308" s="32">
        <f>VLOOKUP($A308,$A$4:$O$28,4,0)*(HLOOKUP(AB$285,'2.2.Brecha Efectiva x UdM'!$H$64:$AK$71,3,0))</f>
        <v>0</v>
      </c>
      <c r="AC308" s="32">
        <f>VLOOKUP($A308,$A$4:$O$28,4,0)*(HLOOKUP(AC$285,'2.2.Brecha Efectiva x UdM'!$H$64:$AK$71,3,0))</f>
        <v>0</v>
      </c>
      <c r="AD308" s="32">
        <f>VLOOKUP($A308,$A$4:$O$28,4,0)*(HLOOKUP(AD$285,'2.2.Brecha Efectiva x UdM'!$H$64:$AK$71,3,0))</f>
        <v>0</v>
      </c>
      <c r="AE308" s="32">
        <f>VLOOKUP($A308,$A$4:$O$28,4,0)*(HLOOKUP(AE$285,'2.2.Brecha Efectiva x UdM'!$H$64:$AK$71,3,0))</f>
        <v>0</v>
      </c>
      <c r="AF308" s="32">
        <f>VLOOKUP($A308,$A$4:$O$28,4,0)*(HLOOKUP(AF$285,'2.2.Brecha Efectiva x UdM'!$H$64:$AK$71,3,0))</f>
        <v>0</v>
      </c>
      <c r="AG308" s="32">
        <f>VLOOKUP($A308,$A$4:$O$28,4,0)*(HLOOKUP(AG$285,'2.2.Brecha Efectiva x UdM'!$H$64:$AK$71,3,0))</f>
        <v>0</v>
      </c>
      <c r="AH308" s="62">
        <f t="shared" si="294"/>
        <v>212543134.15755773</v>
      </c>
    </row>
    <row r="309" spans="1:34" x14ac:dyDescent="0.2">
      <c r="A309" s="26" t="str">
        <f t="shared" si="291"/>
        <v>Tucumán</v>
      </c>
      <c r="B309" s="52" t="str">
        <f t="shared" si="292"/>
        <v>Nombre UdM 2</v>
      </c>
      <c r="C309" s="26" t="str">
        <f t="shared" si="293"/>
        <v>Tucumán Nombre UdM 2</v>
      </c>
      <c r="D309" s="31">
        <f>VLOOKUP($A309,$A$4:$O$28,4,0)*(HLOOKUP(D$285,'2.2.Brecha Efectiva x UdM'!$H$64:$AK$71,3,0))</f>
        <v>9917772.8385642357</v>
      </c>
      <c r="E309" s="31">
        <f>VLOOKUP($A309,$A$4:$O$28,4,0)*(HLOOKUP(E$285,'2.2.Brecha Efectiva x UdM'!$H$64:$AK$71,3,0))</f>
        <v>10639079.569269959</v>
      </c>
      <c r="F309" s="31">
        <f>VLOOKUP($A309,$A$4:$O$28,4,0)*(HLOOKUP(F$285,'2.2.Brecha Efectiva x UdM'!$H$64:$AK$71,3,0))</f>
        <v>16081911.84365331</v>
      </c>
      <c r="G309" s="31">
        <f>VLOOKUP($A309,$A$4:$O$28,4,0)*(HLOOKUP(G$285,'2.2.Brecha Efectiva x UdM'!$H$64:$AK$71,3,0))</f>
        <v>0</v>
      </c>
      <c r="H309" s="31">
        <f>VLOOKUP($A309,$A$4:$O$28,4,0)*(HLOOKUP(H$285,'2.2.Brecha Efectiva x UdM'!$H$64:$AK$71,3,0))</f>
        <v>0</v>
      </c>
      <c r="I309" s="31">
        <f>VLOOKUP($A309,$A$4:$O$28,4,0)*(HLOOKUP(I$285,'2.2.Brecha Efectiva x UdM'!$H$64:$AK$71,3,0))</f>
        <v>0</v>
      </c>
      <c r="J309" s="31">
        <f>VLOOKUP($A309,$A$4:$O$28,4,0)*(HLOOKUP(J$285,'2.2.Brecha Efectiva x UdM'!$H$64:$AK$71,3,0))</f>
        <v>0</v>
      </c>
      <c r="K309" s="31">
        <f>VLOOKUP($A309,$A$4:$O$28,4,0)*(HLOOKUP(K$285,'2.2.Brecha Efectiva x UdM'!$H$64:$AK$71,3,0))</f>
        <v>0</v>
      </c>
      <c r="L309" s="31">
        <f>VLOOKUP($A309,$A$4:$O$28,4,0)*(HLOOKUP(L$285,'2.2.Brecha Efectiva x UdM'!$H$64:$AK$71,3,0))</f>
        <v>0</v>
      </c>
      <c r="M309" s="31">
        <f>VLOOKUP($A309,$A$4:$O$28,4,0)*(HLOOKUP(M$285,'2.2.Brecha Efectiva x UdM'!$H$64:$AK$71,3,0))</f>
        <v>0</v>
      </c>
      <c r="N309" s="31">
        <f>VLOOKUP($A309,$A$4:$O$28,4,0)*(HLOOKUP(N$285,'2.2.Brecha Efectiva x UdM'!$H$64:$AK$71,3,0))</f>
        <v>0</v>
      </c>
      <c r="O309" s="31">
        <f>VLOOKUP($A309,$A$4:$O$28,4,0)*(HLOOKUP(O$285,'2.2.Brecha Efectiva x UdM'!$H$64:$AK$71,3,0))</f>
        <v>0</v>
      </c>
      <c r="P309" s="31">
        <f>VLOOKUP($A309,$A$4:$O$28,4,0)*(HLOOKUP(P$285,'2.2.Brecha Efectiva x UdM'!$H$64:$AK$71,3,0))</f>
        <v>0</v>
      </c>
      <c r="Q309" s="31">
        <f>VLOOKUP($A309,$A$4:$O$28,4,0)*(HLOOKUP(Q$285,'2.2.Brecha Efectiva x UdM'!$H$64:$AK$71,3,0))</f>
        <v>0</v>
      </c>
      <c r="R309" s="31">
        <f>VLOOKUP($A309,$A$4:$O$28,4,0)*(HLOOKUP(R$285,'2.2.Brecha Efectiva x UdM'!$H$64:$AK$71,3,0))</f>
        <v>0</v>
      </c>
      <c r="S309" s="31">
        <f>VLOOKUP($A309,$A$4:$O$28,4,0)*(HLOOKUP(S$285,'2.2.Brecha Efectiva x UdM'!$H$64:$AK$71,3,0))</f>
        <v>0</v>
      </c>
      <c r="T309" s="31">
        <f>VLOOKUP($A309,$A$4:$O$28,4,0)*(HLOOKUP(T$285,'2.2.Brecha Efectiva x UdM'!$H$64:$AK$71,3,0))</f>
        <v>0</v>
      </c>
      <c r="U309" s="31">
        <f>VLOOKUP($A309,$A$4:$O$28,4,0)*(HLOOKUP(U$285,'2.2.Brecha Efectiva x UdM'!$H$64:$AK$71,3,0))</f>
        <v>0</v>
      </c>
      <c r="V309" s="31">
        <f>VLOOKUP($A309,$A$4:$O$28,4,0)*(HLOOKUP(V$285,'2.2.Brecha Efectiva x UdM'!$H$64:$AK$71,3,0))</f>
        <v>0</v>
      </c>
      <c r="W309" s="31">
        <f>VLOOKUP($A309,$A$4:$O$28,4,0)*(HLOOKUP(W$285,'2.2.Brecha Efectiva x UdM'!$H$64:$AK$71,3,0))</f>
        <v>0</v>
      </c>
      <c r="X309" s="31">
        <f>VLOOKUP($A309,$A$4:$O$28,4,0)*(HLOOKUP(X$285,'2.2.Brecha Efectiva x UdM'!$H$64:$AK$71,3,0))</f>
        <v>0</v>
      </c>
      <c r="Y309" s="31">
        <f>VLOOKUP($A309,$A$4:$O$28,4,0)*(HLOOKUP(Y$285,'2.2.Brecha Efectiva x UdM'!$H$64:$AK$71,3,0))</f>
        <v>0</v>
      </c>
      <c r="Z309" s="31">
        <f>VLOOKUP($A309,$A$4:$O$28,4,0)*(HLOOKUP(Z$285,'2.2.Brecha Efectiva x UdM'!$H$64:$AK$71,3,0))</f>
        <v>0</v>
      </c>
      <c r="AA309" s="31">
        <f>VLOOKUP($A309,$A$4:$O$28,4,0)*(HLOOKUP(AA$285,'2.2.Brecha Efectiva x UdM'!$H$64:$AK$71,3,0))</f>
        <v>0</v>
      </c>
      <c r="AB309" s="31">
        <f>VLOOKUP($A309,$A$4:$O$28,4,0)*(HLOOKUP(AB$285,'2.2.Brecha Efectiva x UdM'!$H$64:$AK$71,3,0))</f>
        <v>0</v>
      </c>
      <c r="AC309" s="31">
        <f>VLOOKUP($A309,$A$4:$O$28,4,0)*(HLOOKUP(AC$285,'2.2.Brecha Efectiva x UdM'!$H$64:$AK$71,3,0))</f>
        <v>0</v>
      </c>
      <c r="AD309" s="31">
        <f>VLOOKUP($A309,$A$4:$O$28,4,0)*(HLOOKUP(AD$285,'2.2.Brecha Efectiva x UdM'!$H$64:$AK$71,3,0))</f>
        <v>0</v>
      </c>
      <c r="AE309" s="31">
        <f>VLOOKUP($A309,$A$4:$O$28,4,0)*(HLOOKUP(AE$285,'2.2.Brecha Efectiva x UdM'!$H$64:$AK$71,3,0))</f>
        <v>0</v>
      </c>
      <c r="AF309" s="31">
        <f>VLOOKUP($A309,$A$4:$O$28,4,0)*(HLOOKUP(AF$285,'2.2.Brecha Efectiva x UdM'!$H$64:$AK$71,3,0))</f>
        <v>0</v>
      </c>
      <c r="AG309" s="31">
        <f>VLOOKUP($A309,$A$4:$O$28,4,0)*(HLOOKUP(AG$285,'2.2.Brecha Efectiva x UdM'!$H$64:$AK$71,3,0))</f>
        <v>0</v>
      </c>
      <c r="AH309" s="63">
        <f t="shared" si="294"/>
        <v>36638764.251487508</v>
      </c>
    </row>
    <row r="310" spans="1:34" x14ac:dyDescent="0.2">
      <c r="A310" s="34" t="str">
        <f>CONCATENATE("Total"," ",B286)</f>
        <v>Total Nombre UdM 2</v>
      </c>
      <c r="B310" s="29"/>
      <c r="C310" s="13"/>
      <c r="D310" s="13">
        <f>SUM(D286:D309)</f>
        <v>3037146547.8166728</v>
      </c>
      <c r="E310" s="13">
        <f t="shared" ref="E310:AG310" si="295">SUM(E286:E309)</f>
        <v>3258034269.5601521</v>
      </c>
      <c r="F310" s="13">
        <f t="shared" si="295"/>
        <v>4924807598.770793</v>
      </c>
      <c r="G310" s="13">
        <f t="shared" si="295"/>
        <v>0</v>
      </c>
      <c r="H310" s="13">
        <f t="shared" si="295"/>
        <v>0</v>
      </c>
      <c r="I310" s="13">
        <f t="shared" si="295"/>
        <v>0</v>
      </c>
      <c r="J310" s="13">
        <f t="shared" si="295"/>
        <v>0</v>
      </c>
      <c r="K310" s="13">
        <f t="shared" si="295"/>
        <v>0</v>
      </c>
      <c r="L310" s="13">
        <f t="shared" si="295"/>
        <v>0</v>
      </c>
      <c r="M310" s="13">
        <f t="shared" si="295"/>
        <v>0</v>
      </c>
      <c r="N310" s="13">
        <f t="shared" si="295"/>
        <v>0</v>
      </c>
      <c r="O310" s="13">
        <f t="shared" si="295"/>
        <v>0</v>
      </c>
      <c r="P310" s="13">
        <f t="shared" si="295"/>
        <v>0</v>
      </c>
      <c r="Q310" s="13">
        <f t="shared" si="295"/>
        <v>0</v>
      </c>
      <c r="R310" s="13">
        <f t="shared" si="295"/>
        <v>0</v>
      </c>
      <c r="S310" s="13">
        <f t="shared" si="295"/>
        <v>0</v>
      </c>
      <c r="T310" s="13">
        <f t="shared" si="295"/>
        <v>0</v>
      </c>
      <c r="U310" s="13">
        <f t="shared" si="295"/>
        <v>0</v>
      </c>
      <c r="V310" s="13">
        <f t="shared" si="295"/>
        <v>0</v>
      </c>
      <c r="W310" s="13">
        <f t="shared" si="295"/>
        <v>0</v>
      </c>
      <c r="X310" s="13">
        <f t="shared" si="295"/>
        <v>0</v>
      </c>
      <c r="Y310" s="13">
        <f t="shared" si="295"/>
        <v>0</v>
      </c>
      <c r="Z310" s="13">
        <f t="shared" si="295"/>
        <v>0</v>
      </c>
      <c r="AA310" s="13">
        <f t="shared" si="295"/>
        <v>0</v>
      </c>
      <c r="AB310" s="13">
        <f t="shared" si="295"/>
        <v>0</v>
      </c>
      <c r="AC310" s="13">
        <f t="shared" si="295"/>
        <v>0</v>
      </c>
      <c r="AD310" s="13">
        <f t="shared" si="295"/>
        <v>0</v>
      </c>
      <c r="AE310" s="13">
        <f t="shared" si="295"/>
        <v>0</v>
      </c>
      <c r="AF310" s="13">
        <f t="shared" si="295"/>
        <v>0</v>
      </c>
      <c r="AG310" s="13">
        <f t="shared" si="295"/>
        <v>0</v>
      </c>
      <c r="AH310" s="13">
        <f t="shared" si="294"/>
        <v>11219988416.147617</v>
      </c>
    </row>
    <row r="311" spans="1:34" x14ac:dyDescent="0.2">
      <c r="A311" s="34" t="str">
        <f>CONCATENATE("Total Acumulado"," ",B286)</f>
        <v>Total Acumulado Nombre UdM 2</v>
      </c>
      <c r="B311" s="29"/>
      <c r="C311" s="13"/>
      <c r="D311" s="13">
        <f>D310</f>
        <v>3037146547.8166728</v>
      </c>
      <c r="E311" s="13">
        <f>E310+D311</f>
        <v>6295180817.3768253</v>
      </c>
      <c r="F311" s="13">
        <f t="shared" ref="F311" si="296">F310+E311</f>
        <v>11219988416.147617</v>
      </c>
      <c r="G311" s="13">
        <f t="shared" ref="G311" si="297">G310+F311</f>
        <v>11219988416.147617</v>
      </c>
      <c r="H311" s="13">
        <f t="shared" ref="H311" si="298">H310+G311</f>
        <v>11219988416.147617</v>
      </c>
      <c r="I311" s="13">
        <f t="shared" ref="I311" si="299">I310+H311</f>
        <v>11219988416.147617</v>
      </c>
      <c r="J311" s="13">
        <f t="shared" ref="J311" si="300">J310+I311</f>
        <v>11219988416.147617</v>
      </c>
      <c r="K311" s="13">
        <f t="shared" ref="K311" si="301">K310+J311</f>
        <v>11219988416.147617</v>
      </c>
      <c r="L311" s="13">
        <f t="shared" ref="L311" si="302">L310+K311</f>
        <v>11219988416.147617</v>
      </c>
      <c r="M311" s="13">
        <f t="shared" ref="M311" si="303">M310+L311</f>
        <v>11219988416.147617</v>
      </c>
      <c r="N311" s="13">
        <f t="shared" ref="N311" si="304">N310+M311</f>
        <v>11219988416.147617</v>
      </c>
      <c r="O311" s="13">
        <f t="shared" ref="O311" si="305">O310+N311</f>
        <v>11219988416.147617</v>
      </c>
      <c r="P311" s="13">
        <f t="shared" ref="P311" si="306">P310+O311</f>
        <v>11219988416.147617</v>
      </c>
      <c r="Q311" s="13">
        <f t="shared" ref="Q311" si="307">Q310+P311</f>
        <v>11219988416.147617</v>
      </c>
      <c r="R311" s="13">
        <f t="shared" ref="R311" si="308">R310+Q311</f>
        <v>11219988416.147617</v>
      </c>
      <c r="S311" s="13">
        <f t="shared" ref="S311" si="309">S310+R311</f>
        <v>11219988416.147617</v>
      </c>
      <c r="T311" s="13">
        <f t="shared" ref="T311" si="310">T310+S311</f>
        <v>11219988416.147617</v>
      </c>
      <c r="U311" s="13">
        <f t="shared" ref="U311" si="311">U310+T311</f>
        <v>11219988416.147617</v>
      </c>
      <c r="V311" s="13">
        <f t="shared" ref="V311" si="312">V310+U311</f>
        <v>11219988416.147617</v>
      </c>
      <c r="W311" s="13">
        <f t="shared" ref="W311" si="313">W310+V311</f>
        <v>11219988416.147617</v>
      </c>
      <c r="X311" s="13">
        <f t="shared" ref="X311" si="314">X310+W311</f>
        <v>11219988416.147617</v>
      </c>
      <c r="Y311" s="13">
        <f t="shared" ref="Y311" si="315">Y310+X311</f>
        <v>11219988416.147617</v>
      </c>
      <c r="Z311" s="13">
        <f t="shared" ref="Z311" si="316">Z310+Y311</f>
        <v>11219988416.147617</v>
      </c>
      <c r="AA311" s="13">
        <f t="shared" ref="AA311" si="317">AA310+Z311</f>
        <v>11219988416.147617</v>
      </c>
      <c r="AB311" s="13">
        <f t="shared" ref="AB311" si="318">AB310+AA311</f>
        <v>11219988416.147617</v>
      </c>
      <c r="AC311" s="13">
        <f t="shared" ref="AC311" si="319">AC310+AB311</f>
        <v>11219988416.147617</v>
      </c>
      <c r="AD311" s="13">
        <f t="shared" ref="AD311" si="320">AD310+AC311</f>
        <v>11219988416.147617</v>
      </c>
      <c r="AE311" s="13">
        <f t="shared" ref="AE311" si="321">AE310+AD311</f>
        <v>11219988416.147617</v>
      </c>
      <c r="AF311" s="13">
        <f t="shared" ref="AF311" si="322">AF310+AE311</f>
        <v>11219988416.147617</v>
      </c>
      <c r="AG311" s="13">
        <f t="shared" ref="AG311" si="323">AG310+AF311</f>
        <v>11219988416.147617</v>
      </c>
    </row>
    <row r="313" spans="1:34" x14ac:dyDescent="0.2">
      <c r="A313" s="33" t="s">
        <v>41</v>
      </c>
      <c r="D313" t="b">
        <f>D310=('2.2.Brecha Efectiva x UdM'!H66)</f>
        <v>1</v>
      </c>
      <c r="E313" t="b">
        <f>E310=('2.2.Brecha Efectiva x UdM'!I66)</f>
        <v>1</v>
      </c>
      <c r="F313" t="b">
        <f>F310=('2.2.Brecha Efectiva x UdM'!J66)</f>
        <v>1</v>
      </c>
      <c r="G313" t="b">
        <f>G310=('2.2.Brecha Efectiva x UdM'!K66)</f>
        <v>1</v>
      </c>
    </row>
    <row r="314" spans="1:34" x14ac:dyDescent="0.2">
      <c r="G314" t="b">
        <f>AG311=SUM('2.2.Brecha Efectiva x UdM'!H66:AK66)</f>
        <v>1</v>
      </c>
    </row>
    <row r="316" spans="1:34" x14ac:dyDescent="0.2">
      <c r="A316" s="46" t="s">
        <v>103</v>
      </c>
    </row>
    <row r="318" spans="1:34" x14ac:dyDescent="0.2">
      <c r="A318" s="24" t="s">
        <v>18</v>
      </c>
      <c r="B318" s="24" t="s">
        <v>42</v>
      </c>
      <c r="C318" s="24" t="s">
        <v>43</v>
      </c>
      <c r="D318" s="6">
        <v>2024</v>
      </c>
      <c r="E318" s="6">
        <v>2025</v>
      </c>
      <c r="F318" s="6">
        <v>2026</v>
      </c>
      <c r="G318" s="6">
        <v>2027</v>
      </c>
      <c r="H318" s="6">
        <v>2028</v>
      </c>
      <c r="I318" s="6">
        <v>2029</v>
      </c>
      <c r="J318" s="6">
        <v>2030</v>
      </c>
      <c r="K318" s="6">
        <v>2031</v>
      </c>
      <c r="L318" s="6">
        <v>2032</v>
      </c>
      <c r="M318" s="6">
        <v>2033</v>
      </c>
      <c r="N318" s="50">
        <v>2034</v>
      </c>
      <c r="O318" s="50">
        <v>2035</v>
      </c>
      <c r="P318" s="50">
        <v>2036</v>
      </c>
      <c r="Q318" s="50">
        <v>2037</v>
      </c>
      <c r="R318" s="50">
        <v>2038</v>
      </c>
      <c r="S318" s="50">
        <v>2039</v>
      </c>
      <c r="T318" s="50">
        <v>2040</v>
      </c>
      <c r="U318" s="50">
        <v>2041</v>
      </c>
      <c r="V318" s="50">
        <v>2042</v>
      </c>
      <c r="W318" s="50">
        <v>2043</v>
      </c>
      <c r="X318" s="50">
        <v>2044</v>
      </c>
      <c r="Y318" s="50">
        <v>2045</v>
      </c>
      <c r="Z318" s="50">
        <v>2046</v>
      </c>
      <c r="AA318" s="50">
        <v>2047</v>
      </c>
      <c r="AB318" s="50">
        <v>2048</v>
      </c>
      <c r="AC318" s="50">
        <v>2049</v>
      </c>
      <c r="AD318" s="50">
        <v>2050</v>
      </c>
      <c r="AE318" s="50">
        <v>2051</v>
      </c>
      <c r="AF318" s="50">
        <v>2052</v>
      </c>
      <c r="AG318" s="50">
        <v>2053</v>
      </c>
      <c r="AH318" s="6" t="s">
        <v>1</v>
      </c>
    </row>
    <row r="319" spans="1:34" x14ac:dyDescent="0.2">
      <c r="A319" s="25" t="str">
        <f t="shared" ref="A319:A342" si="324">A4</f>
        <v>Buenos Aires</v>
      </c>
      <c r="B319" s="51" t="str">
        <f>$G$3</f>
        <v>Nombre UdM 3</v>
      </c>
      <c r="C319" s="25" t="str">
        <f>CONCATENATE(A319," ",B319)</f>
        <v>Buenos Aires Nombre UdM 3</v>
      </c>
      <c r="D319" s="32">
        <f>VLOOKUP($A319,$A$4:$O$28,6,0)*(HLOOKUP(D$318,'2.2.Brecha Efectiva x UdM'!$H$64:$AK$71,4,0))</f>
        <v>799701308.69436145</v>
      </c>
      <c r="E319" s="32">
        <f>VLOOKUP($A319,$A$4:$O$28,6,0)*(HLOOKUP(E$318,'2.2.Brecha Efectiva x UdM'!$H$64:$AK$71,4,0))</f>
        <v>5435692093.5515165</v>
      </c>
      <c r="F319" s="32">
        <f>VLOOKUP($A319,$A$4:$O$28,6,0)*(HLOOKUP(F$318,'2.2.Brecha Efectiva x UdM'!$H$64:$AK$71,4,0))</f>
        <v>276294141.82066864</v>
      </c>
      <c r="G319" s="32">
        <f>VLOOKUP($A319,$A$4:$O$28,6,0)*(HLOOKUP(G$318,'2.2.Brecha Efectiva x UdM'!$H$64:$AK$71,4,0))</f>
        <v>151166555.08408609</v>
      </c>
      <c r="H319" s="32">
        <f>VLOOKUP($A319,$A$4:$O$28,6,0)*(HLOOKUP(H$318,'2.2.Brecha Efectiva x UdM'!$H$64:$AK$71,4,0))</f>
        <v>0</v>
      </c>
      <c r="I319" s="32">
        <f>VLOOKUP($A319,$A$4:$O$28,6,0)*(HLOOKUP(I$318,'2.2.Brecha Efectiva x UdM'!$H$64:$AK$71,4,0))</f>
        <v>0</v>
      </c>
      <c r="J319" s="32">
        <f>VLOOKUP($A319,$A$4:$O$28,6,0)*(HLOOKUP(J$318,'2.2.Brecha Efectiva x UdM'!$H$64:$AK$71,4,0))</f>
        <v>0</v>
      </c>
      <c r="K319" s="32">
        <f>VLOOKUP($A319,$A$4:$O$28,6,0)*(HLOOKUP(K$318,'2.2.Brecha Efectiva x UdM'!$H$64:$AK$71,4,0))</f>
        <v>0</v>
      </c>
      <c r="L319" s="32">
        <f>VLOOKUP($A319,$A$4:$O$28,6,0)*(HLOOKUP(L$318,'2.2.Brecha Efectiva x UdM'!$H$64:$AK$71,4,0))</f>
        <v>0</v>
      </c>
      <c r="M319" s="32">
        <f>VLOOKUP($A319,$A$4:$O$28,6,0)*(HLOOKUP(M$318,'2.2.Brecha Efectiva x UdM'!$H$64:$AK$71,4,0))</f>
        <v>0</v>
      </c>
      <c r="N319" s="32">
        <f>VLOOKUP($A319,$A$4:$O$28,6,0)*(HLOOKUP(N$318,'2.2.Brecha Efectiva x UdM'!$H$64:$AK$71,4,0))</f>
        <v>0</v>
      </c>
      <c r="O319" s="32">
        <f>VLOOKUP($A319,$A$4:$O$28,6,0)*(HLOOKUP(O$318,'2.2.Brecha Efectiva x UdM'!$H$64:$AK$71,4,0))</f>
        <v>0</v>
      </c>
      <c r="P319" s="32">
        <f>VLOOKUP($A319,$A$4:$O$28,6,0)*(HLOOKUP(P$318,'2.2.Brecha Efectiva x UdM'!$H$64:$AK$71,4,0))</f>
        <v>0</v>
      </c>
      <c r="Q319" s="32">
        <f>VLOOKUP($A319,$A$4:$O$28,6,0)*(HLOOKUP(Q$318,'2.2.Brecha Efectiva x UdM'!$H$64:$AK$71,4,0))</f>
        <v>0</v>
      </c>
      <c r="R319" s="32">
        <f>VLOOKUP($A319,$A$4:$O$28,6,0)*(HLOOKUP(R$318,'2.2.Brecha Efectiva x UdM'!$H$64:$AK$71,4,0))</f>
        <v>0</v>
      </c>
      <c r="S319" s="32">
        <f>VLOOKUP($A319,$A$4:$O$28,6,0)*(HLOOKUP(S$318,'2.2.Brecha Efectiva x UdM'!$H$64:$AK$71,4,0))</f>
        <v>0</v>
      </c>
      <c r="T319" s="32">
        <f>VLOOKUP($A319,$A$4:$O$28,6,0)*(HLOOKUP(T$318,'2.2.Brecha Efectiva x UdM'!$H$64:$AK$71,4,0))</f>
        <v>0</v>
      </c>
      <c r="U319" s="32">
        <f>VLOOKUP($A319,$A$4:$O$28,6,0)*(HLOOKUP(U$318,'2.2.Brecha Efectiva x UdM'!$H$64:$AK$71,4,0))</f>
        <v>0</v>
      </c>
      <c r="V319" s="32">
        <f>VLOOKUP($A319,$A$4:$O$28,6,0)*(HLOOKUP(V$318,'2.2.Brecha Efectiva x UdM'!$H$64:$AK$71,4,0))</f>
        <v>0</v>
      </c>
      <c r="W319" s="32">
        <f>VLOOKUP($A319,$A$4:$O$28,6,0)*(HLOOKUP(W$318,'2.2.Brecha Efectiva x UdM'!$H$64:$AK$71,4,0))</f>
        <v>0</v>
      </c>
      <c r="X319" s="32">
        <f>VLOOKUP($A319,$A$4:$O$28,6,0)*(HLOOKUP(X$318,'2.2.Brecha Efectiva x UdM'!$H$64:$AK$71,4,0))</f>
        <v>0</v>
      </c>
      <c r="Y319" s="32">
        <f>VLOOKUP($A319,$A$4:$O$28,6,0)*(HLOOKUP(Y$318,'2.2.Brecha Efectiva x UdM'!$H$64:$AK$71,4,0))</f>
        <v>0</v>
      </c>
      <c r="Z319" s="32">
        <f>VLOOKUP($A319,$A$4:$O$28,6,0)*(HLOOKUP(Z$318,'2.2.Brecha Efectiva x UdM'!$H$64:$AK$71,4,0))</f>
        <v>0</v>
      </c>
      <c r="AA319" s="32">
        <f>VLOOKUP($A319,$A$4:$O$28,6,0)*(HLOOKUP(AA$318,'2.2.Brecha Efectiva x UdM'!$H$64:$AK$71,4,0))</f>
        <v>0</v>
      </c>
      <c r="AB319" s="32">
        <f>VLOOKUP($A319,$A$4:$O$28,6,0)*(HLOOKUP(AB$318,'2.2.Brecha Efectiva x UdM'!$H$64:$AK$71,4,0))</f>
        <v>0</v>
      </c>
      <c r="AC319" s="32">
        <f>VLOOKUP($A319,$A$4:$O$28,6,0)*(HLOOKUP(AC$318,'2.2.Brecha Efectiva x UdM'!$H$64:$AK$71,4,0))</f>
        <v>0</v>
      </c>
      <c r="AD319" s="32">
        <f>VLOOKUP($A319,$A$4:$O$28,6,0)*(HLOOKUP(AD$318,'2.2.Brecha Efectiva x UdM'!$H$64:$AK$71,4,0))</f>
        <v>0</v>
      </c>
      <c r="AE319" s="32">
        <f>VLOOKUP($A319,$A$4:$O$28,6,0)*(HLOOKUP(AE$318,'2.2.Brecha Efectiva x UdM'!$H$64:$AK$71,4,0))</f>
        <v>0</v>
      </c>
      <c r="AF319" s="32">
        <f>VLOOKUP($A319,$A$4:$O$28,6,0)*(HLOOKUP(AF$318,'2.2.Brecha Efectiva x UdM'!$H$64:$AK$71,4,0))</f>
        <v>0</v>
      </c>
      <c r="AG319" s="32">
        <f>VLOOKUP($A319,$A$4:$O$28,6,0)*(HLOOKUP(AG$318,'2.2.Brecha Efectiva x UdM'!$H$64:$AK$71,4,0))</f>
        <v>0</v>
      </c>
      <c r="AH319" s="62">
        <f>SUM(D319:AG319)</f>
        <v>6662854099.1506329</v>
      </c>
    </row>
    <row r="320" spans="1:34" x14ac:dyDescent="0.2">
      <c r="A320" s="26" t="str">
        <f t="shared" si="324"/>
        <v>CABA</v>
      </c>
      <c r="B320" s="52" t="str">
        <f t="shared" ref="B320:B342" si="325">$G$3</f>
        <v>Nombre UdM 3</v>
      </c>
      <c r="C320" s="26" t="str">
        <f t="shared" ref="C320:C342" si="326">CONCATENATE(A320," ",B320)</f>
        <v>CABA Nombre UdM 3</v>
      </c>
      <c r="D320" s="31">
        <f>VLOOKUP($A320,$A$4:$O$28,6,0)*(HLOOKUP(D$318,'2.2.Brecha Efectiva x UdM'!$H$64:$AK$71,4,0))</f>
        <v>25174680.257932253</v>
      </c>
      <c r="E320" s="31">
        <f>VLOOKUP($A320,$A$4:$O$28,6,0)*(HLOOKUP(E$318,'2.2.Brecha Efectiva x UdM'!$H$64:$AK$71,4,0))</f>
        <v>171116151.67811298</v>
      </c>
      <c r="F320" s="31">
        <f>VLOOKUP($A320,$A$4:$O$28,6,0)*(HLOOKUP(F$318,'2.2.Brecha Efectiva x UdM'!$H$64:$AK$71,4,0))</f>
        <v>8697768.281549098</v>
      </c>
      <c r="G320" s="31">
        <f>VLOOKUP($A320,$A$4:$O$28,6,0)*(HLOOKUP(G$318,'2.2.Brecha Efectiva x UdM'!$H$64:$AK$71,4,0))</f>
        <v>4758738.8548208876</v>
      </c>
      <c r="H320" s="31">
        <f>VLOOKUP($A320,$A$4:$O$28,6,0)*(HLOOKUP(H$318,'2.2.Brecha Efectiva x UdM'!$H$64:$AK$71,4,0))</f>
        <v>0</v>
      </c>
      <c r="I320" s="31">
        <f>VLOOKUP($A320,$A$4:$O$28,6,0)*(HLOOKUP(I$318,'2.2.Brecha Efectiva x UdM'!$H$64:$AK$71,4,0))</f>
        <v>0</v>
      </c>
      <c r="J320" s="31">
        <f>VLOOKUP($A320,$A$4:$O$28,6,0)*(HLOOKUP(J$318,'2.2.Brecha Efectiva x UdM'!$H$64:$AK$71,4,0))</f>
        <v>0</v>
      </c>
      <c r="K320" s="31">
        <f>VLOOKUP($A320,$A$4:$O$28,6,0)*(HLOOKUP(K$318,'2.2.Brecha Efectiva x UdM'!$H$64:$AK$71,4,0))</f>
        <v>0</v>
      </c>
      <c r="L320" s="31">
        <f>VLOOKUP($A320,$A$4:$O$28,6,0)*(HLOOKUP(L$318,'2.2.Brecha Efectiva x UdM'!$H$64:$AK$71,4,0))</f>
        <v>0</v>
      </c>
      <c r="M320" s="31">
        <f>VLOOKUP($A320,$A$4:$O$28,6,0)*(HLOOKUP(M$318,'2.2.Brecha Efectiva x UdM'!$H$64:$AK$71,4,0))</f>
        <v>0</v>
      </c>
      <c r="N320" s="31">
        <f>VLOOKUP($A320,$A$4:$O$28,6,0)*(HLOOKUP(N$318,'2.2.Brecha Efectiva x UdM'!$H$64:$AK$71,4,0))</f>
        <v>0</v>
      </c>
      <c r="O320" s="31">
        <f>VLOOKUP($A320,$A$4:$O$28,6,0)*(HLOOKUP(O$318,'2.2.Brecha Efectiva x UdM'!$H$64:$AK$71,4,0))</f>
        <v>0</v>
      </c>
      <c r="P320" s="31">
        <f>VLOOKUP($A320,$A$4:$O$28,6,0)*(HLOOKUP(P$318,'2.2.Brecha Efectiva x UdM'!$H$64:$AK$71,4,0))</f>
        <v>0</v>
      </c>
      <c r="Q320" s="31">
        <f>VLOOKUP($A320,$A$4:$O$28,6,0)*(HLOOKUP(Q$318,'2.2.Brecha Efectiva x UdM'!$H$64:$AK$71,4,0))</f>
        <v>0</v>
      </c>
      <c r="R320" s="31">
        <f>VLOOKUP($A320,$A$4:$O$28,6,0)*(HLOOKUP(R$318,'2.2.Brecha Efectiva x UdM'!$H$64:$AK$71,4,0))</f>
        <v>0</v>
      </c>
      <c r="S320" s="31">
        <f>VLOOKUP($A320,$A$4:$O$28,6,0)*(HLOOKUP(S$318,'2.2.Brecha Efectiva x UdM'!$H$64:$AK$71,4,0))</f>
        <v>0</v>
      </c>
      <c r="T320" s="31">
        <f>VLOOKUP($A320,$A$4:$O$28,6,0)*(HLOOKUP(T$318,'2.2.Brecha Efectiva x UdM'!$H$64:$AK$71,4,0))</f>
        <v>0</v>
      </c>
      <c r="U320" s="31">
        <f>VLOOKUP($A320,$A$4:$O$28,6,0)*(HLOOKUP(U$318,'2.2.Brecha Efectiva x UdM'!$H$64:$AK$71,4,0))</f>
        <v>0</v>
      </c>
      <c r="V320" s="31">
        <f>VLOOKUP($A320,$A$4:$O$28,6,0)*(HLOOKUP(V$318,'2.2.Brecha Efectiva x UdM'!$H$64:$AK$71,4,0))</f>
        <v>0</v>
      </c>
      <c r="W320" s="31">
        <f>VLOOKUP($A320,$A$4:$O$28,6,0)*(HLOOKUP(W$318,'2.2.Brecha Efectiva x UdM'!$H$64:$AK$71,4,0))</f>
        <v>0</v>
      </c>
      <c r="X320" s="31">
        <f>VLOOKUP($A320,$A$4:$O$28,6,0)*(HLOOKUP(X$318,'2.2.Brecha Efectiva x UdM'!$H$64:$AK$71,4,0))</f>
        <v>0</v>
      </c>
      <c r="Y320" s="31">
        <f>VLOOKUP($A320,$A$4:$O$28,6,0)*(HLOOKUP(Y$318,'2.2.Brecha Efectiva x UdM'!$H$64:$AK$71,4,0))</f>
        <v>0</v>
      </c>
      <c r="Z320" s="31">
        <f>VLOOKUP($A320,$A$4:$O$28,6,0)*(HLOOKUP(Z$318,'2.2.Brecha Efectiva x UdM'!$H$64:$AK$71,4,0))</f>
        <v>0</v>
      </c>
      <c r="AA320" s="31">
        <f>VLOOKUP($A320,$A$4:$O$28,6,0)*(HLOOKUP(AA$318,'2.2.Brecha Efectiva x UdM'!$H$64:$AK$71,4,0))</f>
        <v>0</v>
      </c>
      <c r="AB320" s="31">
        <f>VLOOKUP($A320,$A$4:$O$28,6,0)*(HLOOKUP(AB$318,'2.2.Brecha Efectiva x UdM'!$H$64:$AK$71,4,0))</f>
        <v>0</v>
      </c>
      <c r="AC320" s="31">
        <f>VLOOKUP($A320,$A$4:$O$28,6,0)*(HLOOKUP(AC$318,'2.2.Brecha Efectiva x UdM'!$H$64:$AK$71,4,0))</f>
        <v>0</v>
      </c>
      <c r="AD320" s="31">
        <f>VLOOKUP($A320,$A$4:$O$28,6,0)*(HLOOKUP(AD$318,'2.2.Brecha Efectiva x UdM'!$H$64:$AK$71,4,0))</f>
        <v>0</v>
      </c>
      <c r="AE320" s="31">
        <f>VLOOKUP($A320,$A$4:$O$28,6,0)*(HLOOKUP(AE$318,'2.2.Brecha Efectiva x UdM'!$H$64:$AK$71,4,0))</f>
        <v>0</v>
      </c>
      <c r="AF320" s="31">
        <f>VLOOKUP($A320,$A$4:$O$28,6,0)*(HLOOKUP(AF$318,'2.2.Brecha Efectiva x UdM'!$H$64:$AK$71,4,0))</f>
        <v>0</v>
      </c>
      <c r="AG320" s="31">
        <f>VLOOKUP($A320,$A$4:$O$28,6,0)*(HLOOKUP(AG$318,'2.2.Brecha Efectiva x UdM'!$H$64:$AK$71,4,0))</f>
        <v>0</v>
      </c>
      <c r="AH320" s="63">
        <f>SUM(D320:AG320)</f>
        <v>209747339.0724152</v>
      </c>
    </row>
    <row r="321" spans="1:34" x14ac:dyDescent="0.2">
      <c r="A321" s="25" t="str">
        <f t="shared" si="324"/>
        <v>Catamarca</v>
      </c>
      <c r="B321" s="51" t="str">
        <f t="shared" si="325"/>
        <v>Nombre UdM 3</v>
      </c>
      <c r="C321" s="25" t="str">
        <f t="shared" si="326"/>
        <v>Catamarca Nombre UdM 3</v>
      </c>
      <c r="D321" s="32">
        <f>VLOOKUP($A321,$A$4:$O$28,6,0)*(HLOOKUP(D$318,'2.2.Brecha Efectiva x UdM'!$H$64:$AK$71,4,0))</f>
        <v>0</v>
      </c>
      <c r="E321" s="32">
        <f>VLOOKUP($A321,$A$4:$O$28,6,0)*(HLOOKUP(E$318,'2.2.Brecha Efectiva x UdM'!$H$64:$AK$71,4,0))</f>
        <v>0</v>
      </c>
      <c r="F321" s="32">
        <f>VLOOKUP($A321,$A$4:$O$28,6,0)*(HLOOKUP(F$318,'2.2.Brecha Efectiva x UdM'!$H$64:$AK$71,4,0))</f>
        <v>0</v>
      </c>
      <c r="G321" s="32">
        <f>VLOOKUP($A321,$A$4:$O$28,6,0)*(HLOOKUP(G$318,'2.2.Brecha Efectiva x UdM'!$H$64:$AK$71,4,0))</f>
        <v>0</v>
      </c>
      <c r="H321" s="32">
        <f>VLOOKUP($A321,$A$4:$O$28,6,0)*(HLOOKUP(H$318,'2.2.Brecha Efectiva x UdM'!$H$64:$AK$71,4,0))</f>
        <v>0</v>
      </c>
      <c r="I321" s="32">
        <f>VLOOKUP($A321,$A$4:$O$28,6,0)*(HLOOKUP(I$318,'2.2.Brecha Efectiva x UdM'!$H$64:$AK$71,4,0))</f>
        <v>0</v>
      </c>
      <c r="J321" s="32">
        <f>VLOOKUP($A321,$A$4:$O$28,6,0)*(HLOOKUP(J$318,'2.2.Brecha Efectiva x UdM'!$H$64:$AK$71,4,0))</f>
        <v>0</v>
      </c>
      <c r="K321" s="32">
        <f>VLOOKUP($A321,$A$4:$O$28,6,0)*(HLOOKUP(K$318,'2.2.Brecha Efectiva x UdM'!$H$64:$AK$71,4,0))</f>
        <v>0</v>
      </c>
      <c r="L321" s="32">
        <f>VLOOKUP($A321,$A$4:$O$28,6,0)*(HLOOKUP(L$318,'2.2.Brecha Efectiva x UdM'!$H$64:$AK$71,4,0))</f>
        <v>0</v>
      </c>
      <c r="M321" s="32">
        <f>VLOOKUP($A321,$A$4:$O$28,6,0)*(HLOOKUP(M$318,'2.2.Brecha Efectiva x UdM'!$H$64:$AK$71,4,0))</f>
        <v>0</v>
      </c>
      <c r="N321" s="32">
        <f>VLOOKUP($A321,$A$4:$O$28,6,0)*(HLOOKUP(N$318,'2.2.Brecha Efectiva x UdM'!$H$64:$AK$71,4,0))</f>
        <v>0</v>
      </c>
      <c r="O321" s="32">
        <f>VLOOKUP($A321,$A$4:$O$28,6,0)*(HLOOKUP(O$318,'2.2.Brecha Efectiva x UdM'!$H$64:$AK$71,4,0))</f>
        <v>0</v>
      </c>
      <c r="P321" s="32">
        <f>VLOOKUP($A321,$A$4:$O$28,6,0)*(HLOOKUP(P$318,'2.2.Brecha Efectiva x UdM'!$H$64:$AK$71,4,0))</f>
        <v>0</v>
      </c>
      <c r="Q321" s="32">
        <f>VLOOKUP($A321,$A$4:$O$28,6,0)*(HLOOKUP(Q$318,'2.2.Brecha Efectiva x UdM'!$H$64:$AK$71,4,0))</f>
        <v>0</v>
      </c>
      <c r="R321" s="32">
        <f>VLOOKUP($A321,$A$4:$O$28,6,0)*(HLOOKUP(R$318,'2.2.Brecha Efectiva x UdM'!$H$64:$AK$71,4,0))</f>
        <v>0</v>
      </c>
      <c r="S321" s="32">
        <f>VLOOKUP($A321,$A$4:$O$28,6,0)*(HLOOKUP(S$318,'2.2.Brecha Efectiva x UdM'!$H$64:$AK$71,4,0))</f>
        <v>0</v>
      </c>
      <c r="T321" s="32">
        <f>VLOOKUP($A321,$A$4:$O$28,6,0)*(HLOOKUP(T$318,'2.2.Brecha Efectiva x UdM'!$H$64:$AK$71,4,0))</f>
        <v>0</v>
      </c>
      <c r="U321" s="32">
        <f>VLOOKUP($A321,$A$4:$O$28,6,0)*(HLOOKUP(U$318,'2.2.Brecha Efectiva x UdM'!$H$64:$AK$71,4,0))</f>
        <v>0</v>
      </c>
      <c r="V321" s="32">
        <f>VLOOKUP($A321,$A$4:$O$28,6,0)*(HLOOKUP(V$318,'2.2.Brecha Efectiva x UdM'!$H$64:$AK$71,4,0))</f>
        <v>0</v>
      </c>
      <c r="W321" s="32">
        <f>VLOOKUP($A321,$A$4:$O$28,6,0)*(HLOOKUP(W$318,'2.2.Brecha Efectiva x UdM'!$H$64:$AK$71,4,0))</f>
        <v>0</v>
      </c>
      <c r="X321" s="32">
        <f>VLOOKUP($A321,$A$4:$O$28,6,0)*(HLOOKUP(X$318,'2.2.Brecha Efectiva x UdM'!$H$64:$AK$71,4,0))</f>
        <v>0</v>
      </c>
      <c r="Y321" s="32">
        <f>VLOOKUP($A321,$A$4:$O$28,6,0)*(HLOOKUP(Y$318,'2.2.Brecha Efectiva x UdM'!$H$64:$AK$71,4,0))</f>
        <v>0</v>
      </c>
      <c r="Z321" s="32">
        <f>VLOOKUP($A321,$A$4:$O$28,6,0)*(HLOOKUP(Z$318,'2.2.Brecha Efectiva x UdM'!$H$64:$AK$71,4,0))</f>
        <v>0</v>
      </c>
      <c r="AA321" s="32">
        <f>VLOOKUP($A321,$A$4:$O$28,6,0)*(HLOOKUP(AA$318,'2.2.Brecha Efectiva x UdM'!$H$64:$AK$71,4,0))</f>
        <v>0</v>
      </c>
      <c r="AB321" s="32">
        <f>VLOOKUP($A321,$A$4:$O$28,6,0)*(HLOOKUP(AB$318,'2.2.Brecha Efectiva x UdM'!$H$64:$AK$71,4,0))</f>
        <v>0</v>
      </c>
      <c r="AC321" s="32">
        <f>VLOOKUP($A321,$A$4:$O$28,6,0)*(HLOOKUP(AC$318,'2.2.Brecha Efectiva x UdM'!$H$64:$AK$71,4,0))</f>
        <v>0</v>
      </c>
      <c r="AD321" s="32">
        <f>VLOOKUP($A321,$A$4:$O$28,6,0)*(HLOOKUP(AD$318,'2.2.Brecha Efectiva x UdM'!$H$64:$AK$71,4,0))</f>
        <v>0</v>
      </c>
      <c r="AE321" s="32">
        <f>VLOOKUP($A321,$A$4:$O$28,6,0)*(HLOOKUP(AE$318,'2.2.Brecha Efectiva x UdM'!$H$64:$AK$71,4,0))</f>
        <v>0</v>
      </c>
      <c r="AF321" s="32">
        <f>VLOOKUP($A321,$A$4:$O$28,6,0)*(HLOOKUP(AF$318,'2.2.Brecha Efectiva x UdM'!$H$64:$AK$71,4,0))</f>
        <v>0</v>
      </c>
      <c r="AG321" s="32">
        <f>VLOOKUP($A321,$A$4:$O$28,6,0)*(HLOOKUP(AG$318,'2.2.Brecha Efectiva x UdM'!$H$64:$AK$71,4,0))</f>
        <v>0</v>
      </c>
      <c r="AH321" s="62">
        <f t="shared" ref="AH321:AH343" si="327">SUM(D321:AG321)</f>
        <v>0</v>
      </c>
    </row>
    <row r="322" spans="1:34" x14ac:dyDescent="0.2">
      <c r="A322" s="26" t="str">
        <f t="shared" si="324"/>
        <v>Chaco</v>
      </c>
      <c r="B322" s="52" t="str">
        <f t="shared" si="325"/>
        <v>Nombre UdM 3</v>
      </c>
      <c r="C322" s="26" t="str">
        <f t="shared" si="326"/>
        <v>Chaco Nombre UdM 3</v>
      </c>
      <c r="D322" s="31">
        <f>VLOOKUP($A322,$A$4:$O$28,6,0)*(HLOOKUP(D$318,'2.2.Brecha Efectiva x UdM'!$H$64:$AK$71,4,0))</f>
        <v>0</v>
      </c>
      <c r="E322" s="31">
        <f>VLOOKUP($A322,$A$4:$O$28,6,0)*(HLOOKUP(E$318,'2.2.Brecha Efectiva x UdM'!$H$64:$AK$71,4,0))</f>
        <v>0</v>
      </c>
      <c r="F322" s="31">
        <f>VLOOKUP($A322,$A$4:$O$28,6,0)*(HLOOKUP(F$318,'2.2.Brecha Efectiva x UdM'!$H$64:$AK$71,4,0))</f>
        <v>0</v>
      </c>
      <c r="G322" s="31">
        <f>VLOOKUP($A322,$A$4:$O$28,6,0)*(HLOOKUP(G$318,'2.2.Brecha Efectiva x UdM'!$H$64:$AK$71,4,0))</f>
        <v>0</v>
      </c>
      <c r="H322" s="31">
        <f>VLOOKUP($A322,$A$4:$O$28,6,0)*(HLOOKUP(H$318,'2.2.Brecha Efectiva x UdM'!$H$64:$AK$71,4,0))</f>
        <v>0</v>
      </c>
      <c r="I322" s="31">
        <f>VLOOKUP($A322,$A$4:$O$28,6,0)*(HLOOKUP(I$318,'2.2.Brecha Efectiva x UdM'!$H$64:$AK$71,4,0))</f>
        <v>0</v>
      </c>
      <c r="J322" s="31">
        <f>VLOOKUP($A322,$A$4:$O$28,6,0)*(HLOOKUP(J$318,'2.2.Brecha Efectiva x UdM'!$H$64:$AK$71,4,0))</f>
        <v>0</v>
      </c>
      <c r="K322" s="31">
        <f>VLOOKUP($A322,$A$4:$O$28,6,0)*(HLOOKUP(K$318,'2.2.Brecha Efectiva x UdM'!$H$64:$AK$71,4,0))</f>
        <v>0</v>
      </c>
      <c r="L322" s="31">
        <f>VLOOKUP($A322,$A$4:$O$28,6,0)*(HLOOKUP(L$318,'2.2.Brecha Efectiva x UdM'!$H$64:$AK$71,4,0))</f>
        <v>0</v>
      </c>
      <c r="M322" s="31">
        <f>VLOOKUP($A322,$A$4:$O$28,6,0)*(HLOOKUP(M$318,'2.2.Brecha Efectiva x UdM'!$H$64:$AK$71,4,0))</f>
        <v>0</v>
      </c>
      <c r="N322" s="31">
        <f>VLOOKUP($A322,$A$4:$O$28,6,0)*(HLOOKUP(N$318,'2.2.Brecha Efectiva x UdM'!$H$64:$AK$71,4,0))</f>
        <v>0</v>
      </c>
      <c r="O322" s="31">
        <f>VLOOKUP($A322,$A$4:$O$28,6,0)*(HLOOKUP(O$318,'2.2.Brecha Efectiva x UdM'!$H$64:$AK$71,4,0))</f>
        <v>0</v>
      </c>
      <c r="P322" s="31">
        <f>VLOOKUP($A322,$A$4:$O$28,6,0)*(HLOOKUP(P$318,'2.2.Brecha Efectiva x UdM'!$H$64:$AK$71,4,0))</f>
        <v>0</v>
      </c>
      <c r="Q322" s="31">
        <f>VLOOKUP($A322,$A$4:$O$28,6,0)*(HLOOKUP(Q$318,'2.2.Brecha Efectiva x UdM'!$H$64:$AK$71,4,0))</f>
        <v>0</v>
      </c>
      <c r="R322" s="31">
        <f>VLOOKUP($A322,$A$4:$O$28,6,0)*(HLOOKUP(R$318,'2.2.Brecha Efectiva x UdM'!$H$64:$AK$71,4,0))</f>
        <v>0</v>
      </c>
      <c r="S322" s="31">
        <f>VLOOKUP($A322,$A$4:$O$28,6,0)*(HLOOKUP(S$318,'2.2.Brecha Efectiva x UdM'!$H$64:$AK$71,4,0))</f>
        <v>0</v>
      </c>
      <c r="T322" s="31">
        <f>VLOOKUP($A322,$A$4:$O$28,6,0)*(HLOOKUP(T$318,'2.2.Brecha Efectiva x UdM'!$H$64:$AK$71,4,0))</f>
        <v>0</v>
      </c>
      <c r="U322" s="31">
        <f>VLOOKUP($A322,$A$4:$O$28,6,0)*(HLOOKUP(U$318,'2.2.Brecha Efectiva x UdM'!$H$64:$AK$71,4,0))</f>
        <v>0</v>
      </c>
      <c r="V322" s="31">
        <f>VLOOKUP($A322,$A$4:$O$28,6,0)*(HLOOKUP(V$318,'2.2.Brecha Efectiva x UdM'!$H$64:$AK$71,4,0))</f>
        <v>0</v>
      </c>
      <c r="W322" s="31">
        <f>VLOOKUP($A322,$A$4:$O$28,6,0)*(HLOOKUP(W$318,'2.2.Brecha Efectiva x UdM'!$H$64:$AK$71,4,0))</f>
        <v>0</v>
      </c>
      <c r="X322" s="31">
        <f>VLOOKUP($A322,$A$4:$O$28,6,0)*(HLOOKUP(X$318,'2.2.Brecha Efectiva x UdM'!$H$64:$AK$71,4,0))</f>
        <v>0</v>
      </c>
      <c r="Y322" s="31">
        <f>VLOOKUP($A322,$A$4:$O$28,6,0)*(HLOOKUP(Y$318,'2.2.Brecha Efectiva x UdM'!$H$64:$AK$71,4,0))</f>
        <v>0</v>
      </c>
      <c r="Z322" s="31">
        <f>VLOOKUP($A322,$A$4:$O$28,6,0)*(HLOOKUP(Z$318,'2.2.Brecha Efectiva x UdM'!$H$64:$AK$71,4,0))</f>
        <v>0</v>
      </c>
      <c r="AA322" s="31">
        <f>VLOOKUP($A322,$A$4:$O$28,6,0)*(HLOOKUP(AA$318,'2.2.Brecha Efectiva x UdM'!$H$64:$AK$71,4,0))</f>
        <v>0</v>
      </c>
      <c r="AB322" s="31">
        <f>VLOOKUP($A322,$A$4:$O$28,6,0)*(HLOOKUP(AB$318,'2.2.Brecha Efectiva x UdM'!$H$64:$AK$71,4,0))</f>
        <v>0</v>
      </c>
      <c r="AC322" s="31">
        <f>VLOOKUP($A322,$A$4:$O$28,6,0)*(HLOOKUP(AC$318,'2.2.Brecha Efectiva x UdM'!$H$64:$AK$71,4,0))</f>
        <v>0</v>
      </c>
      <c r="AD322" s="31">
        <f>VLOOKUP($A322,$A$4:$O$28,6,0)*(HLOOKUP(AD$318,'2.2.Brecha Efectiva x UdM'!$H$64:$AK$71,4,0))</f>
        <v>0</v>
      </c>
      <c r="AE322" s="31">
        <f>VLOOKUP($A322,$A$4:$O$28,6,0)*(HLOOKUP(AE$318,'2.2.Brecha Efectiva x UdM'!$H$64:$AK$71,4,0))</f>
        <v>0</v>
      </c>
      <c r="AF322" s="31">
        <f>VLOOKUP($A322,$A$4:$O$28,6,0)*(HLOOKUP(AF$318,'2.2.Brecha Efectiva x UdM'!$H$64:$AK$71,4,0))</f>
        <v>0</v>
      </c>
      <c r="AG322" s="31">
        <f>VLOOKUP($A322,$A$4:$O$28,6,0)*(HLOOKUP(AG$318,'2.2.Brecha Efectiva x UdM'!$H$64:$AK$71,4,0))</f>
        <v>0</v>
      </c>
      <c r="AH322" s="63">
        <f t="shared" si="327"/>
        <v>0</v>
      </c>
    </row>
    <row r="323" spans="1:34" x14ac:dyDescent="0.2">
      <c r="A323" s="25" t="str">
        <f t="shared" si="324"/>
        <v>Chubut</v>
      </c>
      <c r="B323" s="51" t="str">
        <f t="shared" si="325"/>
        <v>Nombre UdM 3</v>
      </c>
      <c r="C323" s="25" t="str">
        <f t="shared" si="326"/>
        <v>Chubut Nombre UdM 3</v>
      </c>
      <c r="D323" s="32">
        <f>VLOOKUP($A323,$A$4:$O$28,6,0)*(HLOOKUP(D$318,'2.2.Brecha Efectiva x UdM'!$H$64:$AK$71,4,0))</f>
        <v>19395119.435761947</v>
      </c>
      <c r="E323" s="32">
        <f>VLOOKUP($A323,$A$4:$O$28,6,0)*(HLOOKUP(E$318,'2.2.Brecha Efectiva x UdM'!$H$64:$AK$71,4,0))</f>
        <v>131831592.90133333</v>
      </c>
      <c r="F323" s="32">
        <f>VLOOKUP($A323,$A$4:$O$28,6,0)*(HLOOKUP(F$318,'2.2.Brecha Efectiva x UdM'!$H$64:$AK$71,4,0))</f>
        <v>6700949.2441149503</v>
      </c>
      <c r="G323" s="32">
        <f>VLOOKUP($A323,$A$4:$O$28,6,0)*(HLOOKUP(G$318,'2.2.Brecha Efectiva x UdM'!$H$64:$AK$71,4,0))</f>
        <v>3666235.5790505279</v>
      </c>
      <c r="H323" s="32">
        <f>VLOOKUP($A323,$A$4:$O$28,6,0)*(HLOOKUP(H$318,'2.2.Brecha Efectiva x UdM'!$H$64:$AK$71,4,0))</f>
        <v>0</v>
      </c>
      <c r="I323" s="32">
        <f>VLOOKUP($A323,$A$4:$O$28,6,0)*(HLOOKUP(I$318,'2.2.Brecha Efectiva x UdM'!$H$64:$AK$71,4,0))</f>
        <v>0</v>
      </c>
      <c r="J323" s="32">
        <f>VLOOKUP($A323,$A$4:$O$28,6,0)*(HLOOKUP(J$318,'2.2.Brecha Efectiva x UdM'!$H$64:$AK$71,4,0))</f>
        <v>0</v>
      </c>
      <c r="K323" s="32">
        <f>VLOOKUP($A323,$A$4:$O$28,6,0)*(HLOOKUP(K$318,'2.2.Brecha Efectiva x UdM'!$H$64:$AK$71,4,0))</f>
        <v>0</v>
      </c>
      <c r="L323" s="32">
        <f>VLOOKUP($A323,$A$4:$O$28,6,0)*(HLOOKUP(L$318,'2.2.Brecha Efectiva x UdM'!$H$64:$AK$71,4,0))</f>
        <v>0</v>
      </c>
      <c r="M323" s="32">
        <f>VLOOKUP($A323,$A$4:$O$28,6,0)*(HLOOKUP(M$318,'2.2.Brecha Efectiva x UdM'!$H$64:$AK$71,4,0))</f>
        <v>0</v>
      </c>
      <c r="N323" s="32">
        <f>VLOOKUP($A323,$A$4:$O$28,6,0)*(HLOOKUP(N$318,'2.2.Brecha Efectiva x UdM'!$H$64:$AK$71,4,0))</f>
        <v>0</v>
      </c>
      <c r="O323" s="32">
        <f>VLOOKUP($A323,$A$4:$O$28,6,0)*(HLOOKUP(O$318,'2.2.Brecha Efectiva x UdM'!$H$64:$AK$71,4,0))</f>
        <v>0</v>
      </c>
      <c r="P323" s="32">
        <f>VLOOKUP($A323,$A$4:$O$28,6,0)*(HLOOKUP(P$318,'2.2.Brecha Efectiva x UdM'!$H$64:$AK$71,4,0))</f>
        <v>0</v>
      </c>
      <c r="Q323" s="32">
        <f>VLOOKUP($A323,$A$4:$O$28,6,0)*(HLOOKUP(Q$318,'2.2.Brecha Efectiva x UdM'!$H$64:$AK$71,4,0))</f>
        <v>0</v>
      </c>
      <c r="R323" s="32">
        <f>VLOOKUP($A323,$A$4:$O$28,6,0)*(HLOOKUP(R$318,'2.2.Brecha Efectiva x UdM'!$H$64:$AK$71,4,0))</f>
        <v>0</v>
      </c>
      <c r="S323" s="32">
        <f>VLOOKUP($A323,$A$4:$O$28,6,0)*(HLOOKUP(S$318,'2.2.Brecha Efectiva x UdM'!$H$64:$AK$71,4,0))</f>
        <v>0</v>
      </c>
      <c r="T323" s="32">
        <f>VLOOKUP($A323,$A$4:$O$28,6,0)*(HLOOKUP(T$318,'2.2.Brecha Efectiva x UdM'!$H$64:$AK$71,4,0))</f>
        <v>0</v>
      </c>
      <c r="U323" s="32">
        <f>VLOOKUP($A323,$A$4:$O$28,6,0)*(HLOOKUP(U$318,'2.2.Brecha Efectiva x UdM'!$H$64:$AK$71,4,0))</f>
        <v>0</v>
      </c>
      <c r="V323" s="32">
        <f>VLOOKUP($A323,$A$4:$O$28,6,0)*(HLOOKUP(V$318,'2.2.Brecha Efectiva x UdM'!$H$64:$AK$71,4,0))</f>
        <v>0</v>
      </c>
      <c r="W323" s="32">
        <f>VLOOKUP($A323,$A$4:$O$28,6,0)*(HLOOKUP(W$318,'2.2.Brecha Efectiva x UdM'!$H$64:$AK$71,4,0))</f>
        <v>0</v>
      </c>
      <c r="X323" s="32">
        <f>VLOOKUP($A323,$A$4:$O$28,6,0)*(HLOOKUP(X$318,'2.2.Brecha Efectiva x UdM'!$H$64:$AK$71,4,0))</f>
        <v>0</v>
      </c>
      <c r="Y323" s="32">
        <f>VLOOKUP($A323,$A$4:$O$28,6,0)*(HLOOKUP(Y$318,'2.2.Brecha Efectiva x UdM'!$H$64:$AK$71,4,0))</f>
        <v>0</v>
      </c>
      <c r="Z323" s="32">
        <f>VLOOKUP($A323,$A$4:$O$28,6,0)*(HLOOKUP(Z$318,'2.2.Brecha Efectiva x UdM'!$H$64:$AK$71,4,0))</f>
        <v>0</v>
      </c>
      <c r="AA323" s="32">
        <f>VLOOKUP($A323,$A$4:$O$28,6,0)*(HLOOKUP(AA$318,'2.2.Brecha Efectiva x UdM'!$H$64:$AK$71,4,0))</f>
        <v>0</v>
      </c>
      <c r="AB323" s="32">
        <f>VLOOKUP($A323,$A$4:$O$28,6,0)*(HLOOKUP(AB$318,'2.2.Brecha Efectiva x UdM'!$H$64:$AK$71,4,0))</f>
        <v>0</v>
      </c>
      <c r="AC323" s="32">
        <f>VLOOKUP($A323,$A$4:$O$28,6,0)*(HLOOKUP(AC$318,'2.2.Brecha Efectiva x UdM'!$H$64:$AK$71,4,0))</f>
        <v>0</v>
      </c>
      <c r="AD323" s="32">
        <f>VLOOKUP($A323,$A$4:$O$28,6,0)*(HLOOKUP(AD$318,'2.2.Brecha Efectiva x UdM'!$H$64:$AK$71,4,0))</f>
        <v>0</v>
      </c>
      <c r="AE323" s="32">
        <f>VLOOKUP($A323,$A$4:$O$28,6,0)*(HLOOKUP(AE$318,'2.2.Brecha Efectiva x UdM'!$H$64:$AK$71,4,0))</f>
        <v>0</v>
      </c>
      <c r="AF323" s="32">
        <f>VLOOKUP($A323,$A$4:$O$28,6,0)*(HLOOKUP(AF$318,'2.2.Brecha Efectiva x UdM'!$H$64:$AK$71,4,0))</f>
        <v>0</v>
      </c>
      <c r="AG323" s="32">
        <f>VLOOKUP($A323,$A$4:$O$28,6,0)*(HLOOKUP(AG$318,'2.2.Brecha Efectiva x UdM'!$H$64:$AK$71,4,0))</f>
        <v>0</v>
      </c>
      <c r="AH323" s="62">
        <f t="shared" si="327"/>
        <v>161593897.1602608</v>
      </c>
    </row>
    <row r="324" spans="1:34" x14ac:dyDescent="0.2">
      <c r="A324" s="26" t="str">
        <f t="shared" si="324"/>
        <v>Córdoba</v>
      </c>
      <c r="B324" s="52" t="str">
        <f t="shared" si="325"/>
        <v>Nombre UdM 3</v>
      </c>
      <c r="C324" s="26" t="str">
        <f t="shared" si="326"/>
        <v>Córdoba Nombre UdM 3</v>
      </c>
      <c r="D324" s="31">
        <f>VLOOKUP($A324,$A$4:$O$28,6,0)*(HLOOKUP(D$318,'2.2.Brecha Efectiva x UdM'!$H$64:$AK$71,4,0))</f>
        <v>9318624.5084069669</v>
      </c>
      <c r="E324" s="31">
        <f>VLOOKUP($A324,$A$4:$O$28,6,0)*(HLOOKUP(E$318,'2.2.Brecha Efectiva x UdM'!$H$64:$AK$71,4,0))</f>
        <v>63340115.881293774</v>
      </c>
      <c r="F324" s="31">
        <f>VLOOKUP($A324,$A$4:$O$28,6,0)*(HLOOKUP(F$318,'2.2.Brecha Efectiva x UdM'!$H$64:$AK$71,4,0))</f>
        <v>3219553.7677722778</v>
      </c>
      <c r="G324" s="31">
        <f>VLOOKUP($A324,$A$4:$O$28,6,0)*(HLOOKUP(G$318,'2.2.Brecha Efectiva x UdM'!$H$64:$AK$71,4,0))</f>
        <v>1761488.1328103405</v>
      </c>
      <c r="H324" s="31">
        <f>VLOOKUP($A324,$A$4:$O$28,6,0)*(HLOOKUP(H$318,'2.2.Brecha Efectiva x UdM'!$H$64:$AK$71,4,0))</f>
        <v>0</v>
      </c>
      <c r="I324" s="31">
        <f>VLOOKUP($A324,$A$4:$O$28,6,0)*(HLOOKUP(I$318,'2.2.Brecha Efectiva x UdM'!$H$64:$AK$71,4,0))</f>
        <v>0</v>
      </c>
      <c r="J324" s="31">
        <f>VLOOKUP($A324,$A$4:$O$28,6,0)*(HLOOKUP(J$318,'2.2.Brecha Efectiva x UdM'!$H$64:$AK$71,4,0))</f>
        <v>0</v>
      </c>
      <c r="K324" s="31">
        <f>VLOOKUP($A324,$A$4:$O$28,6,0)*(HLOOKUP(K$318,'2.2.Brecha Efectiva x UdM'!$H$64:$AK$71,4,0))</f>
        <v>0</v>
      </c>
      <c r="L324" s="31">
        <f>VLOOKUP($A324,$A$4:$O$28,6,0)*(HLOOKUP(L$318,'2.2.Brecha Efectiva x UdM'!$H$64:$AK$71,4,0))</f>
        <v>0</v>
      </c>
      <c r="M324" s="31">
        <f>VLOOKUP($A324,$A$4:$O$28,6,0)*(HLOOKUP(M$318,'2.2.Brecha Efectiva x UdM'!$H$64:$AK$71,4,0))</f>
        <v>0</v>
      </c>
      <c r="N324" s="31">
        <f>VLOOKUP($A324,$A$4:$O$28,6,0)*(HLOOKUP(N$318,'2.2.Brecha Efectiva x UdM'!$H$64:$AK$71,4,0))</f>
        <v>0</v>
      </c>
      <c r="O324" s="31">
        <f>VLOOKUP($A324,$A$4:$O$28,6,0)*(HLOOKUP(O$318,'2.2.Brecha Efectiva x UdM'!$H$64:$AK$71,4,0))</f>
        <v>0</v>
      </c>
      <c r="P324" s="31">
        <f>VLOOKUP($A324,$A$4:$O$28,6,0)*(HLOOKUP(P$318,'2.2.Brecha Efectiva x UdM'!$H$64:$AK$71,4,0))</f>
        <v>0</v>
      </c>
      <c r="Q324" s="31">
        <f>VLOOKUP($A324,$A$4:$O$28,6,0)*(HLOOKUP(Q$318,'2.2.Brecha Efectiva x UdM'!$H$64:$AK$71,4,0))</f>
        <v>0</v>
      </c>
      <c r="R324" s="31">
        <f>VLOOKUP($A324,$A$4:$O$28,6,0)*(HLOOKUP(R$318,'2.2.Brecha Efectiva x UdM'!$H$64:$AK$71,4,0))</f>
        <v>0</v>
      </c>
      <c r="S324" s="31">
        <f>VLOOKUP($A324,$A$4:$O$28,6,0)*(HLOOKUP(S$318,'2.2.Brecha Efectiva x UdM'!$H$64:$AK$71,4,0))</f>
        <v>0</v>
      </c>
      <c r="T324" s="31">
        <f>VLOOKUP($A324,$A$4:$O$28,6,0)*(HLOOKUP(T$318,'2.2.Brecha Efectiva x UdM'!$H$64:$AK$71,4,0))</f>
        <v>0</v>
      </c>
      <c r="U324" s="31">
        <f>VLOOKUP($A324,$A$4:$O$28,6,0)*(HLOOKUP(U$318,'2.2.Brecha Efectiva x UdM'!$H$64:$AK$71,4,0))</f>
        <v>0</v>
      </c>
      <c r="V324" s="31">
        <f>VLOOKUP($A324,$A$4:$O$28,6,0)*(HLOOKUP(V$318,'2.2.Brecha Efectiva x UdM'!$H$64:$AK$71,4,0))</f>
        <v>0</v>
      </c>
      <c r="W324" s="31">
        <f>VLOOKUP($A324,$A$4:$O$28,6,0)*(HLOOKUP(W$318,'2.2.Brecha Efectiva x UdM'!$H$64:$AK$71,4,0))</f>
        <v>0</v>
      </c>
      <c r="X324" s="31">
        <f>VLOOKUP($A324,$A$4:$O$28,6,0)*(HLOOKUP(X$318,'2.2.Brecha Efectiva x UdM'!$H$64:$AK$71,4,0))</f>
        <v>0</v>
      </c>
      <c r="Y324" s="31">
        <f>VLOOKUP($A324,$A$4:$O$28,6,0)*(HLOOKUP(Y$318,'2.2.Brecha Efectiva x UdM'!$H$64:$AK$71,4,0))</f>
        <v>0</v>
      </c>
      <c r="Z324" s="31">
        <f>VLOOKUP($A324,$A$4:$O$28,6,0)*(HLOOKUP(Z$318,'2.2.Brecha Efectiva x UdM'!$H$64:$AK$71,4,0))</f>
        <v>0</v>
      </c>
      <c r="AA324" s="31">
        <f>VLOOKUP($A324,$A$4:$O$28,6,0)*(HLOOKUP(AA$318,'2.2.Brecha Efectiva x UdM'!$H$64:$AK$71,4,0))</f>
        <v>0</v>
      </c>
      <c r="AB324" s="31">
        <f>VLOOKUP($A324,$A$4:$O$28,6,0)*(HLOOKUP(AB$318,'2.2.Brecha Efectiva x UdM'!$H$64:$AK$71,4,0))</f>
        <v>0</v>
      </c>
      <c r="AC324" s="31">
        <f>VLOOKUP($A324,$A$4:$O$28,6,0)*(HLOOKUP(AC$318,'2.2.Brecha Efectiva x UdM'!$H$64:$AK$71,4,0))</f>
        <v>0</v>
      </c>
      <c r="AD324" s="31">
        <f>VLOOKUP($A324,$A$4:$O$28,6,0)*(HLOOKUP(AD$318,'2.2.Brecha Efectiva x UdM'!$H$64:$AK$71,4,0))</f>
        <v>0</v>
      </c>
      <c r="AE324" s="31">
        <f>VLOOKUP($A324,$A$4:$O$28,6,0)*(HLOOKUP(AE$318,'2.2.Brecha Efectiva x UdM'!$H$64:$AK$71,4,0))</f>
        <v>0</v>
      </c>
      <c r="AF324" s="31">
        <f>VLOOKUP($A324,$A$4:$O$28,6,0)*(HLOOKUP(AF$318,'2.2.Brecha Efectiva x UdM'!$H$64:$AK$71,4,0))</f>
        <v>0</v>
      </c>
      <c r="AG324" s="31">
        <f>VLOOKUP($A324,$A$4:$O$28,6,0)*(HLOOKUP(AG$318,'2.2.Brecha Efectiva x UdM'!$H$64:$AK$71,4,0))</f>
        <v>0</v>
      </c>
      <c r="AH324" s="63">
        <f t="shared" si="327"/>
        <v>77639782.290283352</v>
      </c>
    </row>
    <row r="325" spans="1:34" x14ac:dyDescent="0.2">
      <c r="A325" s="25" t="str">
        <f t="shared" si="324"/>
        <v>Corrientes</v>
      </c>
      <c r="B325" s="51" t="str">
        <f t="shared" si="325"/>
        <v>Nombre UdM 3</v>
      </c>
      <c r="C325" s="25" t="str">
        <f t="shared" si="326"/>
        <v>Corrientes Nombre UdM 3</v>
      </c>
      <c r="D325" s="32">
        <f>VLOOKUP($A325,$A$4:$O$28,6,0)*(HLOOKUP(D$318,'2.2.Brecha Efectiva x UdM'!$H$64:$AK$71,4,0))</f>
        <v>4611913.9851979055</v>
      </c>
      <c r="E325" s="32">
        <f>VLOOKUP($A325,$A$4:$O$28,6,0)*(HLOOKUP(E$318,'2.2.Brecha Efectiva x UdM'!$H$64:$AK$71,4,0))</f>
        <v>31347884.657596629</v>
      </c>
      <c r="F325" s="32">
        <f>VLOOKUP($A325,$A$4:$O$28,6,0)*(HLOOKUP(F$318,'2.2.Brecha Efectiva x UdM'!$H$64:$AK$71,4,0))</f>
        <v>1593400.9396225708</v>
      </c>
      <c r="G325" s="32">
        <f>VLOOKUP($A325,$A$4:$O$28,6,0)*(HLOOKUP(G$318,'2.2.Brecha Efectiva x UdM'!$H$64:$AK$71,4,0))</f>
        <v>871784.42989510857</v>
      </c>
      <c r="H325" s="32">
        <f>VLOOKUP($A325,$A$4:$O$28,6,0)*(HLOOKUP(H$318,'2.2.Brecha Efectiva x UdM'!$H$64:$AK$71,4,0))</f>
        <v>0</v>
      </c>
      <c r="I325" s="32">
        <f>VLOOKUP($A325,$A$4:$O$28,6,0)*(HLOOKUP(I$318,'2.2.Brecha Efectiva x UdM'!$H$64:$AK$71,4,0))</f>
        <v>0</v>
      </c>
      <c r="J325" s="32">
        <f>VLOOKUP($A325,$A$4:$O$28,6,0)*(HLOOKUP(J$318,'2.2.Brecha Efectiva x UdM'!$H$64:$AK$71,4,0))</f>
        <v>0</v>
      </c>
      <c r="K325" s="32">
        <f>VLOOKUP($A325,$A$4:$O$28,6,0)*(HLOOKUP(K$318,'2.2.Brecha Efectiva x UdM'!$H$64:$AK$71,4,0))</f>
        <v>0</v>
      </c>
      <c r="L325" s="32">
        <f>VLOOKUP($A325,$A$4:$O$28,6,0)*(HLOOKUP(L$318,'2.2.Brecha Efectiva x UdM'!$H$64:$AK$71,4,0))</f>
        <v>0</v>
      </c>
      <c r="M325" s="32">
        <f>VLOOKUP($A325,$A$4:$O$28,6,0)*(HLOOKUP(M$318,'2.2.Brecha Efectiva x UdM'!$H$64:$AK$71,4,0))</f>
        <v>0</v>
      </c>
      <c r="N325" s="32">
        <f>VLOOKUP($A325,$A$4:$O$28,6,0)*(HLOOKUP(N$318,'2.2.Brecha Efectiva x UdM'!$H$64:$AK$71,4,0))</f>
        <v>0</v>
      </c>
      <c r="O325" s="32">
        <f>VLOOKUP($A325,$A$4:$O$28,6,0)*(HLOOKUP(O$318,'2.2.Brecha Efectiva x UdM'!$H$64:$AK$71,4,0))</f>
        <v>0</v>
      </c>
      <c r="P325" s="32">
        <f>VLOOKUP($A325,$A$4:$O$28,6,0)*(HLOOKUP(P$318,'2.2.Brecha Efectiva x UdM'!$H$64:$AK$71,4,0))</f>
        <v>0</v>
      </c>
      <c r="Q325" s="32">
        <f>VLOOKUP($A325,$A$4:$O$28,6,0)*(HLOOKUP(Q$318,'2.2.Brecha Efectiva x UdM'!$H$64:$AK$71,4,0))</f>
        <v>0</v>
      </c>
      <c r="R325" s="32">
        <f>VLOOKUP($A325,$A$4:$O$28,6,0)*(HLOOKUP(R$318,'2.2.Brecha Efectiva x UdM'!$H$64:$AK$71,4,0))</f>
        <v>0</v>
      </c>
      <c r="S325" s="32">
        <f>VLOOKUP($A325,$A$4:$O$28,6,0)*(HLOOKUP(S$318,'2.2.Brecha Efectiva x UdM'!$H$64:$AK$71,4,0))</f>
        <v>0</v>
      </c>
      <c r="T325" s="32">
        <f>VLOOKUP($A325,$A$4:$O$28,6,0)*(HLOOKUP(T$318,'2.2.Brecha Efectiva x UdM'!$H$64:$AK$71,4,0))</f>
        <v>0</v>
      </c>
      <c r="U325" s="32">
        <f>VLOOKUP($A325,$A$4:$O$28,6,0)*(HLOOKUP(U$318,'2.2.Brecha Efectiva x UdM'!$H$64:$AK$71,4,0))</f>
        <v>0</v>
      </c>
      <c r="V325" s="32">
        <f>VLOOKUP($A325,$A$4:$O$28,6,0)*(HLOOKUP(V$318,'2.2.Brecha Efectiva x UdM'!$H$64:$AK$71,4,0))</f>
        <v>0</v>
      </c>
      <c r="W325" s="32">
        <f>VLOOKUP($A325,$A$4:$O$28,6,0)*(HLOOKUP(W$318,'2.2.Brecha Efectiva x UdM'!$H$64:$AK$71,4,0))</f>
        <v>0</v>
      </c>
      <c r="X325" s="32">
        <f>VLOOKUP($A325,$A$4:$O$28,6,0)*(HLOOKUP(X$318,'2.2.Brecha Efectiva x UdM'!$H$64:$AK$71,4,0))</f>
        <v>0</v>
      </c>
      <c r="Y325" s="32">
        <f>VLOOKUP($A325,$A$4:$O$28,6,0)*(HLOOKUP(Y$318,'2.2.Brecha Efectiva x UdM'!$H$64:$AK$71,4,0))</f>
        <v>0</v>
      </c>
      <c r="Z325" s="32">
        <f>VLOOKUP($A325,$A$4:$O$28,6,0)*(HLOOKUP(Z$318,'2.2.Brecha Efectiva x UdM'!$H$64:$AK$71,4,0))</f>
        <v>0</v>
      </c>
      <c r="AA325" s="32">
        <f>VLOOKUP($A325,$A$4:$O$28,6,0)*(HLOOKUP(AA$318,'2.2.Brecha Efectiva x UdM'!$H$64:$AK$71,4,0))</f>
        <v>0</v>
      </c>
      <c r="AB325" s="32">
        <f>VLOOKUP($A325,$A$4:$O$28,6,0)*(HLOOKUP(AB$318,'2.2.Brecha Efectiva x UdM'!$H$64:$AK$71,4,0))</f>
        <v>0</v>
      </c>
      <c r="AC325" s="32">
        <f>VLOOKUP($A325,$A$4:$O$28,6,0)*(HLOOKUP(AC$318,'2.2.Brecha Efectiva x UdM'!$H$64:$AK$71,4,0))</f>
        <v>0</v>
      </c>
      <c r="AD325" s="32">
        <f>VLOOKUP($A325,$A$4:$O$28,6,0)*(HLOOKUP(AD$318,'2.2.Brecha Efectiva x UdM'!$H$64:$AK$71,4,0))</f>
        <v>0</v>
      </c>
      <c r="AE325" s="32">
        <f>VLOOKUP($A325,$A$4:$O$28,6,0)*(HLOOKUP(AE$318,'2.2.Brecha Efectiva x UdM'!$H$64:$AK$71,4,0))</f>
        <v>0</v>
      </c>
      <c r="AF325" s="32">
        <f>VLOOKUP($A325,$A$4:$O$28,6,0)*(HLOOKUP(AF$318,'2.2.Brecha Efectiva x UdM'!$H$64:$AK$71,4,0))</f>
        <v>0</v>
      </c>
      <c r="AG325" s="32">
        <f>VLOOKUP($A325,$A$4:$O$28,6,0)*(HLOOKUP(AG$318,'2.2.Brecha Efectiva x UdM'!$H$64:$AK$71,4,0))</f>
        <v>0</v>
      </c>
      <c r="AH325" s="62">
        <f t="shared" si="327"/>
        <v>38424984.012312219</v>
      </c>
    </row>
    <row r="326" spans="1:34" x14ac:dyDescent="0.2">
      <c r="A326" s="26" t="str">
        <f t="shared" si="324"/>
        <v>Entre Ríos</v>
      </c>
      <c r="B326" s="52" t="str">
        <f t="shared" si="325"/>
        <v>Nombre UdM 3</v>
      </c>
      <c r="C326" s="26" t="str">
        <f t="shared" si="326"/>
        <v>Entre Ríos Nombre UdM 3</v>
      </c>
      <c r="D326" s="31">
        <f>VLOOKUP($A326,$A$4:$O$28,6,0)*(HLOOKUP(D$318,'2.2.Brecha Efectiva x UdM'!$H$64:$AK$71,4,0))</f>
        <v>3215396.3148469571</v>
      </c>
      <c r="E326" s="31">
        <f>VLOOKUP($A326,$A$4:$O$28,6,0)*(HLOOKUP(E$318,'2.2.Brecha Efectiva x UdM'!$H$64:$AK$71,4,0))</f>
        <v>21855540.482713129</v>
      </c>
      <c r="F326" s="31">
        <f>VLOOKUP($A326,$A$4:$O$28,6,0)*(HLOOKUP(F$318,'2.2.Brecha Efectiva x UdM'!$H$64:$AK$71,4,0))</f>
        <v>1110908.7302538315</v>
      </c>
      <c r="G326" s="31">
        <f>VLOOKUP($A326,$A$4:$O$28,6,0)*(HLOOKUP(G$318,'2.2.Brecha Efectiva x UdM'!$H$64:$AK$71,4,0))</f>
        <v>607802.41180178907</v>
      </c>
      <c r="H326" s="31">
        <f>VLOOKUP($A326,$A$4:$O$28,6,0)*(HLOOKUP(H$318,'2.2.Brecha Efectiva x UdM'!$H$64:$AK$71,4,0))</f>
        <v>0</v>
      </c>
      <c r="I326" s="31">
        <f>VLOOKUP($A326,$A$4:$O$28,6,0)*(HLOOKUP(I$318,'2.2.Brecha Efectiva x UdM'!$H$64:$AK$71,4,0))</f>
        <v>0</v>
      </c>
      <c r="J326" s="31">
        <f>VLOOKUP($A326,$A$4:$O$28,6,0)*(HLOOKUP(J$318,'2.2.Brecha Efectiva x UdM'!$H$64:$AK$71,4,0))</f>
        <v>0</v>
      </c>
      <c r="K326" s="31">
        <f>VLOOKUP($A326,$A$4:$O$28,6,0)*(HLOOKUP(K$318,'2.2.Brecha Efectiva x UdM'!$H$64:$AK$71,4,0))</f>
        <v>0</v>
      </c>
      <c r="L326" s="31">
        <f>VLOOKUP($A326,$A$4:$O$28,6,0)*(HLOOKUP(L$318,'2.2.Brecha Efectiva x UdM'!$H$64:$AK$71,4,0))</f>
        <v>0</v>
      </c>
      <c r="M326" s="31">
        <f>VLOOKUP($A326,$A$4:$O$28,6,0)*(HLOOKUP(M$318,'2.2.Brecha Efectiva x UdM'!$H$64:$AK$71,4,0))</f>
        <v>0</v>
      </c>
      <c r="N326" s="31">
        <f>VLOOKUP($A326,$A$4:$O$28,6,0)*(HLOOKUP(N$318,'2.2.Brecha Efectiva x UdM'!$H$64:$AK$71,4,0))</f>
        <v>0</v>
      </c>
      <c r="O326" s="31">
        <f>VLOOKUP($A326,$A$4:$O$28,6,0)*(HLOOKUP(O$318,'2.2.Brecha Efectiva x UdM'!$H$64:$AK$71,4,0))</f>
        <v>0</v>
      </c>
      <c r="P326" s="31">
        <f>VLOOKUP($A326,$A$4:$O$28,6,0)*(HLOOKUP(P$318,'2.2.Brecha Efectiva x UdM'!$H$64:$AK$71,4,0))</f>
        <v>0</v>
      </c>
      <c r="Q326" s="31">
        <f>VLOOKUP($A326,$A$4:$O$28,6,0)*(HLOOKUP(Q$318,'2.2.Brecha Efectiva x UdM'!$H$64:$AK$71,4,0))</f>
        <v>0</v>
      </c>
      <c r="R326" s="31">
        <f>VLOOKUP($A326,$A$4:$O$28,6,0)*(HLOOKUP(R$318,'2.2.Brecha Efectiva x UdM'!$H$64:$AK$71,4,0))</f>
        <v>0</v>
      </c>
      <c r="S326" s="31">
        <f>VLOOKUP($A326,$A$4:$O$28,6,0)*(HLOOKUP(S$318,'2.2.Brecha Efectiva x UdM'!$H$64:$AK$71,4,0))</f>
        <v>0</v>
      </c>
      <c r="T326" s="31">
        <f>VLOOKUP($A326,$A$4:$O$28,6,0)*(HLOOKUP(T$318,'2.2.Brecha Efectiva x UdM'!$H$64:$AK$71,4,0))</f>
        <v>0</v>
      </c>
      <c r="U326" s="31">
        <f>VLOOKUP($A326,$A$4:$O$28,6,0)*(HLOOKUP(U$318,'2.2.Brecha Efectiva x UdM'!$H$64:$AK$71,4,0))</f>
        <v>0</v>
      </c>
      <c r="V326" s="31">
        <f>VLOOKUP($A326,$A$4:$O$28,6,0)*(HLOOKUP(V$318,'2.2.Brecha Efectiva x UdM'!$H$64:$AK$71,4,0))</f>
        <v>0</v>
      </c>
      <c r="W326" s="31">
        <f>VLOOKUP($A326,$A$4:$O$28,6,0)*(HLOOKUP(W$318,'2.2.Brecha Efectiva x UdM'!$H$64:$AK$71,4,0))</f>
        <v>0</v>
      </c>
      <c r="X326" s="31">
        <f>VLOOKUP($A326,$A$4:$O$28,6,0)*(HLOOKUP(X$318,'2.2.Brecha Efectiva x UdM'!$H$64:$AK$71,4,0))</f>
        <v>0</v>
      </c>
      <c r="Y326" s="31">
        <f>VLOOKUP($A326,$A$4:$O$28,6,0)*(HLOOKUP(Y$318,'2.2.Brecha Efectiva x UdM'!$H$64:$AK$71,4,0))</f>
        <v>0</v>
      </c>
      <c r="Z326" s="31">
        <f>VLOOKUP($A326,$A$4:$O$28,6,0)*(HLOOKUP(Z$318,'2.2.Brecha Efectiva x UdM'!$H$64:$AK$71,4,0))</f>
        <v>0</v>
      </c>
      <c r="AA326" s="31">
        <f>VLOOKUP($A326,$A$4:$O$28,6,0)*(HLOOKUP(AA$318,'2.2.Brecha Efectiva x UdM'!$H$64:$AK$71,4,0))</f>
        <v>0</v>
      </c>
      <c r="AB326" s="31">
        <f>VLOOKUP($A326,$A$4:$O$28,6,0)*(HLOOKUP(AB$318,'2.2.Brecha Efectiva x UdM'!$H$64:$AK$71,4,0))</f>
        <v>0</v>
      </c>
      <c r="AC326" s="31">
        <f>VLOOKUP($A326,$A$4:$O$28,6,0)*(HLOOKUP(AC$318,'2.2.Brecha Efectiva x UdM'!$H$64:$AK$71,4,0))</f>
        <v>0</v>
      </c>
      <c r="AD326" s="31">
        <f>VLOOKUP($A326,$A$4:$O$28,6,0)*(HLOOKUP(AD$318,'2.2.Brecha Efectiva x UdM'!$H$64:$AK$71,4,0))</f>
        <v>0</v>
      </c>
      <c r="AE326" s="31">
        <f>VLOOKUP($A326,$A$4:$O$28,6,0)*(HLOOKUP(AE$318,'2.2.Brecha Efectiva x UdM'!$H$64:$AK$71,4,0))</f>
        <v>0</v>
      </c>
      <c r="AF326" s="31">
        <f>VLOOKUP($A326,$A$4:$O$28,6,0)*(HLOOKUP(AF$318,'2.2.Brecha Efectiva x UdM'!$H$64:$AK$71,4,0))</f>
        <v>0</v>
      </c>
      <c r="AG326" s="31">
        <f>VLOOKUP($A326,$A$4:$O$28,6,0)*(HLOOKUP(AG$318,'2.2.Brecha Efectiva x UdM'!$H$64:$AK$71,4,0))</f>
        <v>0</v>
      </c>
      <c r="AH326" s="63">
        <f t="shared" si="327"/>
        <v>26789647.939615708</v>
      </c>
    </row>
    <row r="327" spans="1:34" x14ac:dyDescent="0.2">
      <c r="A327" s="25" t="str">
        <f t="shared" si="324"/>
        <v>Formosa</v>
      </c>
      <c r="B327" s="51" t="str">
        <f t="shared" si="325"/>
        <v>Nombre UdM 3</v>
      </c>
      <c r="C327" s="25" t="str">
        <f t="shared" si="326"/>
        <v>Formosa Nombre UdM 3</v>
      </c>
      <c r="D327" s="32">
        <f>VLOOKUP($A327,$A$4:$O$28,6,0)*(HLOOKUP(D$318,'2.2.Brecha Efectiva x UdM'!$H$64:$AK$71,4,0))</f>
        <v>0</v>
      </c>
      <c r="E327" s="32">
        <f>VLOOKUP($A327,$A$4:$O$28,6,0)*(HLOOKUP(E$318,'2.2.Brecha Efectiva x UdM'!$H$64:$AK$71,4,0))</f>
        <v>0</v>
      </c>
      <c r="F327" s="32">
        <f>VLOOKUP($A327,$A$4:$O$28,6,0)*(HLOOKUP(F$318,'2.2.Brecha Efectiva x UdM'!$H$64:$AK$71,4,0))</f>
        <v>0</v>
      </c>
      <c r="G327" s="32">
        <f>VLOOKUP($A327,$A$4:$O$28,6,0)*(HLOOKUP(G$318,'2.2.Brecha Efectiva x UdM'!$H$64:$AK$71,4,0))</f>
        <v>0</v>
      </c>
      <c r="H327" s="32">
        <f>VLOOKUP($A327,$A$4:$O$28,6,0)*(HLOOKUP(H$318,'2.2.Brecha Efectiva x UdM'!$H$64:$AK$71,4,0))</f>
        <v>0</v>
      </c>
      <c r="I327" s="32">
        <f>VLOOKUP($A327,$A$4:$O$28,6,0)*(HLOOKUP(I$318,'2.2.Brecha Efectiva x UdM'!$H$64:$AK$71,4,0))</f>
        <v>0</v>
      </c>
      <c r="J327" s="32">
        <f>VLOOKUP($A327,$A$4:$O$28,6,0)*(HLOOKUP(J$318,'2.2.Brecha Efectiva x UdM'!$H$64:$AK$71,4,0))</f>
        <v>0</v>
      </c>
      <c r="K327" s="32">
        <f>VLOOKUP($A327,$A$4:$O$28,6,0)*(HLOOKUP(K$318,'2.2.Brecha Efectiva x UdM'!$H$64:$AK$71,4,0))</f>
        <v>0</v>
      </c>
      <c r="L327" s="32">
        <f>VLOOKUP($A327,$A$4:$O$28,6,0)*(HLOOKUP(L$318,'2.2.Brecha Efectiva x UdM'!$H$64:$AK$71,4,0))</f>
        <v>0</v>
      </c>
      <c r="M327" s="32">
        <f>VLOOKUP($A327,$A$4:$O$28,6,0)*(HLOOKUP(M$318,'2.2.Brecha Efectiva x UdM'!$H$64:$AK$71,4,0))</f>
        <v>0</v>
      </c>
      <c r="N327" s="32">
        <f>VLOOKUP($A327,$A$4:$O$28,6,0)*(HLOOKUP(N$318,'2.2.Brecha Efectiva x UdM'!$H$64:$AK$71,4,0))</f>
        <v>0</v>
      </c>
      <c r="O327" s="32">
        <f>VLOOKUP($A327,$A$4:$O$28,6,0)*(HLOOKUP(O$318,'2.2.Brecha Efectiva x UdM'!$H$64:$AK$71,4,0))</f>
        <v>0</v>
      </c>
      <c r="P327" s="32">
        <f>VLOOKUP($A327,$A$4:$O$28,6,0)*(HLOOKUP(P$318,'2.2.Brecha Efectiva x UdM'!$H$64:$AK$71,4,0))</f>
        <v>0</v>
      </c>
      <c r="Q327" s="32">
        <f>VLOOKUP($A327,$A$4:$O$28,6,0)*(HLOOKUP(Q$318,'2.2.Brecha Efectiva x UdM'!$H$64:$AK$71,4,0))</f>
        <v>0</v>
      </c>
      <c r="R327" s="32">
        <f>VLOOKUP($A327,$A$4:$O$28,6,0)*(HLOOKUP(R$318,'2.2.Brecha Efectiva x UdM'!$H$64:$AK$71,4,0))</f>
        <v>0</v>
      </c>
      <c r="S327" s="32">
        <f>VLOOKUP($A327,$A$4:$O$28,6,0)*(HLOOKUP(S$318,'2.2.Brecha Efectiva x UdM'!$H$64:$AK$71,4,0))</f>
        <v>0</v>
      </c>
      <c r="T327" s="32">
        <f>VLOOKUP($A327,$A$4:$O$28,6,0)*(HLOOKUP(T$318,'2.2.Brecha Efectiva x UdM'!$H$64:$AK$71,4,0))</f>
        <v>0</v>
      </c>
      <c r="U327" s="32">
        <f>VLOOKUP($A327,$A$4:$O$28,6,0)*(HLOOKUP(U$318,'2.2.Brecha Efectiva x UdM'!$H$64:$AK$71,4,0))</f>
        <v>0</v>
      </c>
      <c r="V327" s="32">
        <f>VLOOKUP($A327,$A$4:$O$28,6,0)*(HLOOKUP(V$318,'2.2.Brecha Efectiva x UdM'!$H$64:$AK$71,4,0))</f>
        <v>0</v>
      </c>
      <c r="W327" s="32">
        <f>VLOOKUP($A327,$A$4:$O$28,6,0)*(HLOOKUP(W$318,'2.2.Brecha Efectiva x UdM'!$H$64:$AK$71,4,0))</f>
        <v>0</v>
      </c>
      <c r="X327" s="32">
        <f>VLOOKUP($A327,$A$4:$O$28,6,0)*(HLOOKUP(X$318,'2.2.Brecha Efectiva x UdM'!$H$64:$AK$71,4,0))</f>
        <v>0</v>
      </c>
      <c r="Y327" s="32">
        <f>VLOOKUP($A327,$A$4:$O$28,6,0)*(HLOOKUP(Y$318,'2.2.Brecha Efectiva x UdM'!$H$64:$AK$71,4,0))</f>
        <v>0</v>
      </c>
      <c r="Z327" s="32">
        <f>VLOOKUP($A327,$A$4:$O$28,6,0)*(HLOOKUP(Z$318,'2.2.Brecha Efectiva x UdM'!$H$64:$AK$71,4,0))</f>
        <v>0</v>
      </c>
      <c r="AA327" s="32">
        <f>VLOOKUP($A327,$A$4:$O$28,6,0)*(HLOOKUP(AA$318,'2.2.Brecha Efectiva x UdM'!$H$64:$AK$71,4,0))</f>
        <v>0</v>
      </c>
      <c r="AB327" s="32">
        <f>VLOOKUP($A327,$A$4:$O$28,6,0)*(HLOOKUP(AB$318,'2.2.Brecha Efectiva x UdM'!$H$64:$AK$71,4,0))</f>
        <v>0</v>
      </c>
      <c r="AC327" s="32">
        <f>VLOOKUP($A327,$A$4:$O$28,6,0)*(HLOOKUP(AC$318,'2.2.Brecha Efectiva x UdM'!$H$64:$AK$71,4,0))</f>
        <v>0</v>
      </c>
      <c r="AD327" s="32">
        <f>VLOOKUP($A327,$A$4:$O$28,6,0)*(HLOOKUP(AD$318,'2.2.Brecha Efectiva x UdM'!$H$64:$AK$71,4,0))</f>
        <v>0</v>
      </c>
      <c r="AE327" s="32">
        <f>VLOOKUP($A327,$A$4:$O$28,6,0)*(HLOOKUP(AE$318,'2.2.Brecha Efectiva x UdM'!$H$64:$AK$71,4,0))</f>
        <v>0</v>
      </c>
      <c r="AF327" s="32">
        <f>VLOOKUP($A327,$A$4:$O$28,6,0)*(HLOOKUP(AF$318,'2.2.Brecha Efectiva x UdM'!$H$64:$AK$71,4,0))</f>
        <v>0</v>
      </c>
      <c r="AG327" s="32">
        <f>VLOOKUP($A327,$A$4:$O$28,6,0)*(HLOOKUP(AG$318,'2.2.Brecha Efectiva x UdM'!$H$64:$AK$71,4,0))</f>
        <v>0</v>
      </c>
      <c r="AH327" s="62">
        <f t="shared" si="327"/>
        <v>0</v>
      </c>
    </row>
    <row r="328" spans="1:34" x14ac:dyDescent="0.2">
      <c r="A328" s="26" t="str">
        <f t="shared" si="324"/>
        <v>Jujuy</v>
      </c>
      <c r="B328" s="52" t="str">
        <f t="shared" si="325"/>
        <v>Nombre UdM 3</v>
      </c>
      <c r="C328" s="26" t="str">
        <f t="shared" si="326"/>
        <v>Jujuy Nombre UdM 3</v>
      </c>
      <c r="D328" s="31">
        <f>VLOOKUP($A328,$A$4:$O$28,6,0)*(HLOOKUP(D$318,'2.2.Brecha Efectiva x UdM'!$H$64:$AK$71,4,0))</f>
        <v>0</v>
      </c>
      <c r="E328" s="31">
        <f>VLOOKUP($A328,$A$4:$O$28,6,0)*(HLOOKUP(E$318,'2.2.Brecha Efectiva x UdM'!$H$64:$AK$71,4,0))</f>
        <v>0</v>
      </c>
      <c r="F328" s="31">
        <f>VLOOKUP($A328,$A$4:$O$28,6,0)*(HLOOKUP(F$318,'2.2.Brecha Efectiva x UdM'!$H$64:$AK$71,4,0))</f>
        <v>0</v>
      </c>
      <c r="G328" s="31">
        <f>VLOOKUP($A328,$A$4:$O$28,6,0)*(HLOOKUP(G$318,'2.2.Brecha Efectiva x UdM'!$H$64:$AK$71,4,0))</f>
        <v>0</v>
      </c>
      <c r="H328" s="31">
        <f>VLOOKUP($A328,$A$4:$O$28,6,0)*(HLOOKUP(H$318,'2.2.Brecha Efectiva x UdM'!$H$64:$AK$71,4,0))</f>
        <v>0</v>
      </c>
      <c r="I328" s="31">
        <f>VLOOKUP($A328,$A$4:$O$28,6,0)*(HLOOKUP(I$318,'2.2.Brecha Efectiva x UdM'!$H$64:$AK$71,4,0))</f>
        <v>0</v>
      </c>
      <c r="J328" s="31">
        <f>VLOOKUP($A328,$A$4:$O$28,6,0)*(HLOOKUP(J$318,'2.2.Brecha Efectiva x UdM'!$H$64:$AK$71,4,0))</f>
        <v>0</v>
      </c>
      <c r="K328" s="31">
        <f>VLOOKUP($A328,$A$4:$O$28,6,0)*(HLOOKUP(K$318,'2.2.Brecha Efectiva x UdM'!$H$64:$AK$71,4,0))</f>
        <v>0</v>
      </c>
      <c r="L328" s="31">
        <f>VLOOKUP($A328,$A$4:$O$28,6,0)*(HLOOKUP(L$318,'2.2.Brecha Efectiva x UdM'!$H$64:$AK$71,4,0))</f>
        <v>0</v>
      </c>
      <c r="M328" s="31">
        <f>VLOOKUP($A328,$A$4:$O$28,6,0)*(HLOOKUP(M$318,'2.2.Brecha Efectiva x UdM'!$H$64:$AK$71,4,0))</f>
        <v>0</v>
      </c>
      <c r="N328" s="31">
        <f>VLOOKUP($A328,$A$4:$O$28,6,0)*(HLOOKUP(N$318,'2.2.Brecha Efectiva x UdM'!$H$64:$AK$71,4,0))</f>
        <v>0</v>
      </c>
      <c r="O328" s="31">
        <f>VLOOKUP($A328,$A$4:$O$28,6,0)*(HLOOKUP(O$318,'2.2.Brecha Efectiva x UdM'!$H$64:$AK$71,4,0))</f>
        <v>0</v>
      </c>
      <c r="P328" s="31">
        <f>VLOOKUP($A328,$A$4:$O$28,6,0)*(HLOOKUP(P$318,'2.2.Brecha Efectiva x UdM'!$H$64:$AK$71,4,0))</f>
        <v>0</v>
      </c>
      <c r="Q328" s="31">
        <f>VLOOKUP($A328,$A$4:$O$28,6,0)*(HLOOKUP(Q$318,'2.2.Brecha Efectiva x UdM'!$H$64:$AK$71,4,0))</f>
        <v>0</v>
      </c>
      <c r="R328" s="31">
        <f>VLOOKUP($A328,$A$4:$O$28,6,0)*(HLOOKUP(R$318,'2.2.Brecha Efectiva x UdM'!$H$64:$AK$71,4,0))</f>
        <v>0</v>
      </c>
      <c r="S328" s="31">
        <f>VLOOKUP($A328,$A$4:$O$28,6,0)*(HLOOKUP(S$318,'2.2.Brecha Efectiva x UdM'!$H$64:$AK$71,4,0))</f>
        <v>0</v>
      </c>
      <c r="T328" s="31">
        <f>VLOOKUP($A328,$A$4:$O$28,6,0)*(HLOOKUP(T$318,'2.2.Brecha Efectiva x UdM'!$H$64:$AK$71,4,0))</f>
        <v>0</v>
      </c>
      <c r="U328" s="31">
        <f>VLOOKUP($A328,$A$4:$O$28,6,0)*(HLOOKUP(U$318,'2.2.Brecha Efectiva x UdM'!$H$64:$AK$71,4,0))</f>
        <v>0</v>
      </c>
      <c r="V328" s="31">
        <f>VLOOKUP($A328,$A$4:$O$28,6,0)*(HLOOKUP(V$318,'2.2.Brecha Efectiva x UdM'!$H$64:$AK$71,4,0))</f>
        <v>0</v>
      </c>
      <c r="W328" s="31">
        <f>VLOOKUP($A328,$A$4:$O$28,6,0)*(HLOOKUP(W$318,'2.2.Brecha Efectiva x UdM'!$H$64:$AK$71,4,0))</f>
        <v>0</v>
      </c>
      <c r="X328" s="31">
        <f>VLOOKUP($A328,$A$4:$O$28,6,0)*(HLOOKUP(X$318,'2.2.Brecha Efectiva x UdM'!$H$64:$AK$71,4,0))</f>
        <v>0</v>
      </c>
      <c r="Y328" s="31">
        <f>VLOOKUP($A328,$A$4:$O$28,6,0)*(HLOOKUP(Y$318,'2.2.Brecha Efectiva x UdM'!$H$64:$AK$71,4,0))</f>
        <v>0</v>
      </c>
      <c r="Z328" s="31">
        <f>VLOOKUP($A328,$A$4:$O$28,6,0)*(HLOOKUP(Z$318,'2.2.Brecha Efectiva x UdM'!$H$64:$AK$71,4,0))</f>
        <v>0</v>
      </c>
      <c r="AA328" s="31">
        <f>VLOOKUP($A328,$A$4:$O$28,6,0)*(HLOOKUP(AA$318,'2.2.Brecha Efectiva x UdM'!$H$64:$AK$71,4,0))</f>
        <v>0</v>
      </c>
      <c r="AB328" s="31">
        <f>VLOOKUP($A328,$A$4:$O$28,6,0)*(HLOOKUP(AB$318,'2.2.Brecha Efectiva x UdM'!$H$64:$AK$71,4,0))</f>
        <v>0</v>
      </c>
      <c r="AC328" s="31">
        <f>VLOOKUP($A328,$A$4:$O$28,6,0)*(HLOOKUP(AC$318,'2.2.Brecha Efectiva x UdM'!$H$64:$AK$71,4,0))</f>
        <v>0</v>
      </c>
      <c r="AD328" s="31">
        <f>VLOOKUP($A328,$A$4:$O$28,6,0)*(HLOOKUP(AD$318,'2.2.Brecha Efectiva x UdM'!$H$64:$AK$71,4,0))</f>
        <v>0</v>
      </c>
      <c r="AE328" s="31">
        <f>VLOOKUP($A328,$A$4:$O$28,6,0)*(HLOOKUP(AE$318,'2.2.Brecha Efectiva x UdM'!$H$64:$AK$71,4,0))</f>
        <v>0</v>
      </c>
      <c r="AF328" s="31">
        <f>VLOOKUP($A328,$A$4:$O$28,6,0)*(HLOOKUP(AF$318,'2.2.Brecha Efectiva x UdM'!$H$64:$AK$71,4,0))</f>
        <v>0</v>
      </c>
      <c r="AG328" s="31">
        <f>VLOOKUP($A328,$A$4:$O$28,6,0)*(HLOOKUP(AG$318,'2.2.Brecha Efectiva x UdM'!$H$64:$AK$71,4,0))</f>
        <v>0</v>
      </c>
      <c r="AH328" s="63">
        <f t="shared" si="327"/>
        <v>0</v>
      </c>
    </row>
    <row r="329" spans="1:34" x14ac:dyDescent="0.2">
      <c r="A329" s="25" t="str">
        <f t="shared" si="324"/>
        <v>La Pampa</v>
      </c>
      <c r="B329" s="51" t="str">
        <f t="shared" si="325"/>
        <v>Nombre UdM 3</v>
      </c>
      <c r="C329" s="25" t="str">
        <f t="shared" si="326"/>
        <v>La Pampa Nombre UdM 3</v>
      </c>
      <c r="D329" s="32">
        <f>VLOOKUP($A329,$A$4:$O$28,6,0)*(HLOOKUP(D$318,'2.2.Brecha Efectiva x UdM'!$H$64:$AK$71,4,0))</f>
        <v>0</v>
      </c>
      <c r="E329" s="32">
        <f>VLOOKUP($A329,$A$4:$O$28,6,0)*(HLOOKUP(E$318,'2.2.Brecha Efectiva x UdM'!$H$64:$AK$71,4,0))</f>
        <v>0</v>
      </c>
      <c r="F329" s="32">
        <f>VLOOKUP($A329,$A$4:$O$28,6,0)*(HLOOKUP(F$318,'2.2.Brecha Efectiva x UdM'!$H$64:$AK$71,4,0))</f>
        <v>0</v>
      </c>
      <c r="G329" s="32">
        <f>VLOOKUP($A329,$A$4:$O$28,6,0)*(HLOOKUP(G$318,'2.2.Brecha Efectiva x UdM'!$H$64:$AK$71,4,0))</f>
        <v>0</v>
      </c>
      <c r="H329" s="32">
        <f>VLOOKUP($A329,$A$4:$O$28,6,0)*(HLOOKUP(H$318,'2.2.Brecha Efectiva x UdM'!$H$64:$AK$71,4,0))</f>
        <v>0</v>
      </c>
      <c r="I329" s="32">
        <f>VLOOKUP($A329,$A$4:$O$28,6,0)*(HLOOKUP(I$318,'2.2.Brecha Efectiva x UdM'!$H$64:$AK$71,4,0))</f>
        <v>0</v>
      </c>
      <c r="J329" s="32">
        <f>VLOOKUP($A329,$A$4:$O$28,6,0)*(HLOOKUP(J$318,'2.2.Brecha Efectiva x UdM'!$H$64:$AK$71,4,0))</f>
        <v>0</v>
      </c>
      <c r="K329" s="32">
        <f>VLOOKUP($A329,$A$4:$O$28,6,0)*(HLOOKUP(K$318,'2.2.Brecha Efectiva x UdM'!$H$64:$AK$71,4,0))</f>
        <v>0</v>
      </c>
      <c r="L329" s="32">
        <f>VLOOKUP($A329,$A$4:$O$28,6,0)*(HLOOKUP(L$318,'2.2.Brecha Efectiva x UdM'!$H$64:$AK$71,4,0))</f>
        <v>0</v>
      </c>
      <c r="M329" s="32">
        <f>VLOOKUP($A329,$A$4:$O$28,6,0)*(HLOOKUP(M$318,'2.2.Brecha Efectiva x UdM'!$H$64:$AK$71,4,0))</f>
        <v>0</v>
      </c>
      <c r="N329" s="32">
        <f>VLOOKUP($A329,$A$4:$O$28,6,0)*(HLOOKUP(N$318,'2.2.Brecha Efectiva x UdM'!$H$64:$AK$71,4,0))</f>
        <v>0</v>
      </c>
      <c r="O329" s="32">
        <f>VLOOKUP($A329,$A$4:$O$28,6,0)*(HLOOKUP(O$318,'2.2.Brecha Efectiva x UdM'!$H$64:$AK$71,4,0))</f>
        <v>0</v>
      </c>
      <c r="P329" s="32">
        <f>VLOOKUP($A329,$A$4:$O$28,6,0)*(HLOOKUP(P$318,'2.2.Brecha Efectiva x UdM'!$H$64:$AK$71,4,0))</f>
        <v>0</v>
      </c>
      <c r="Q329" s="32">
        <f>VLOOKUP($A329,$A$4:$O$28,6,0)*(HLOOKUP(Q$318,'2.2.Brecha Efectiva x UdM'!$H$64:$AK$71,4,0))</f>
        <v>0</v>
      </c>
      <c r="R329" s="32">
        <f>VLOOKUP($A329,$A$4:$O$28,6,0)*(HLOOKUP(R$318,'2.2.Brecha Efectiva x UdM'!$H$64:$AK$71,4,0))</f>
        <v>0</v>
      </c>
      <c r="S329" s="32">
        <f>VLOOKUP($A329,$A$4:$O$28,6,0)*(HLOOKUP(S$318,'2.2.Brecha Efectiva x UdM'!$H$64:$AK$71,4,0))</f>
        <v>0</v>
      </c>
      <c r="T329" s="32">
        <f>VLOOKUP($A329,$A$4:$O$28,6,0)*(HLOOKUP(T$318,'2.2.Brecha Efectiva x UdM'!$H$64:$AK$71,4,0))</f>
        <v>0</v>
      </c>
      <c r="U329" s="32">
        <f>VLOOKUP($A329,$A$4:$O$28,6,0)*(HLOOKUP(U$318,'2.2.Brecha Efectiva x UdM'!$H$64:$AK$71,4,0))</f>
        <v>0</v>
      </c>
      <c r="V329" s="32">
        <f>VLOOKUP($A329,$A$4:$O$28,6,0)*(HLOOKUP(V$318,'2.2.Brecha Efectiva x UdM'!$H$64:$AK$71,4,0))</f>
        <v>0</v>
      </c>
      <c r="W329" s="32">
        <f>VLOOKUP($A329,$A$4:$O$28,6,0)*(HLOOKUP(W$318,'2.2.Brecha Efectiva x UdM'!$H$64:$AK$71,4,0))</f>
        <v>0</v>
      </c>
      <c r="X329" s="32">
        <f>VLOOKUP($A329,$A$4:$O$28,6,0)*(HLOOKUP(X$318,'2.2.Brecha Efectiva x UdM'!$H$64:$AK$71,4,0))</f>
        <v>0</v>
      </c>
      <c r="Y329" s="32">
        <f>VLOOKUP($A329,$A$4:$O$28,6,0)*(HLOOKUP(Y$318,'2.2.Brecha Efectiva x UdM'!$H$64:$AK$71,4,0))</f>
        <v>0</v>
      </c>
      <c r="Z329" s="32">
        <f>VLOOKUP($A329,$A$4:$O$28,6,0)*(HLOOKUP(Z$318,'2.2.Brecha Efectiva x UdM'!$H$64:$AK$71,4,0))</f>
        <v>0</v>
      </c>
      <c r="AA329" s="32">
        <f>VLOOKUP($A329,$A$4:$O$28,6,0)*(HLOOKUP(AA$318,'2.2.Brecha Efectiva x UdM'!$H$64:$AK$71,4,0))</f>
        <v>0</v>
      </c>
      <c r="AB329" s="32">
        <f>VLOOKUP($A329,$A$4:$O$28,6,0)*(HLOOKUP(AB$318,'2.2.Brecha Efectiva x UdM'!$H$64:$AK$71,4,0))</f>
        <v>0</v>
      </c>
      <c r="AC329" s="32">
        <f>VLOOKUP($A329,$A$4:$O$28,6,0)*(HLOOKUP(AC$318,'2.2.Brecha Efectiva x UdM'!$H$64:$AK$71,4,0))</f>
        <v>0</v>
      </c>
      <c r="AD329" s="32">
        <f>VLOOKUP($A329,$A$4:$O$28,6,0)*(HLOOKUP(AD$318,'2.2.Brecha Efectiva x UdM'!$H$64:$AK$71,4,0))</f>
        <v>0</v>
      </c>
      <c r="AE329" s="32">
        <f>VLOOKUP($A329,$A$4:$O$28,6,0)*(HLOOKUP(AE$318,'2.2.Brecha Efectiva x UdM'!$H$64:$AK$71,4,0))</f>
        <v>0</v>
      </c>
      <c r="AF329" s="32">
        <f>VLOOKUP($A329,$A$4:$O$28,6,0)*(HLOOKUP(AF$318,'2.2.Brecha Efectiva x UdM'!$H$64:$AK$71,4,0))</f>
        <v>0</v>
      </c>
      <c r="AG329" s="32">
        <f>VLOOKUP($A329,$A$4:$O$28,6,0)*(HLOOKUP(AG$318,'2.2.Brecha Efectiva x UdM'!$H$64:$AK$71,4,0))</f>
        <v>0</v>
      </c>
      <c r="AH329" s="62">
        <f t="shared" si="327"/>
        <v>0</v>
      </c>
    </row>
    <row r="330" spans="1:34" x14ac:dyDescent="0.2">
      <c r="A330" s="26" t="str">
        <f t="shared" si="324"/>
        <v>La Rioja</v>
      </c>
      <c r="B330" s="52" t="str">
        <f t="shared" si="325"/>
        <v>Nombre UdM 3</v>
      </c>
      <c r="C330" s="26" t="str">
        <f t="shared" si="326"/>
        <v>La Rioja Nombre UdM 3</v>
      </c>
      <c r="D330" s="31">
        <f>VLOOKUP($A330,$A$4:$O$28,6,0)*(HLOOKUP(D$318,'2.2.Brecha Efectiva x UdM'!$H$64:$AK$71,4,0))</f>
        <v>0</v>
      </c>
      <c r="E330" s="31">
        <f>VLOOKUP($A330,$A$4:$O$28,6,0)*(HLOOKUP(E$318,'2.2.Brecha Efectiva x UdM'!$H$64:$AK$71,4,0))</f>
        <v>0</v>
      </c>
      <c r="F330" s="31">
        <f>VLOOKUP($A330,$A$4:$O$28,6,0)*(HLOOKUP(F$318,'2.2.Brecha Efectiva x UdM'!$H$64:$AK$71,4,0))</f>
        <v>0</v>
      </c>
      <c r="G330" s="31">
        <f>VLOOKUP($A330,$A$4:$O$28,6,0)*(HLOOKUP(G$318,'2.2.Brecha Efectiva x UdM'!$H$64:$AK$71,4,0))</f>
        <v>0</v>
      </c>
      <c r="H330" s="31">
        <f>VLOOKUP($A330,$A$4:$O$28,6,0)*(HLOOKUP(H$318,'2.2.Brecha Efectiva x UdM'!$H$64:$AK$71,4,0))</f>
        <v>0</v>
      </c>
      <c r="I330" s="31">
        <f>VLOOKUP($A330,$A$4:$O$28,6,0)*(HLOOKUP(I$318,'2.2.Brecha Efectiva x UdM'!$H$64:$AK$71,4,0))</f>
        <v>0</v>
      </c>
      <c r="J330" s="31">
        <f>VLOOKUP($A330,$A$4:$O$28,6,0)*(HLOOKUP(J$318,'2.2.Brecha Efectiva x UdM'!$H$64:$AK$71,4,0))</f>
        <v>0</v>
      </c>
      <c r="K330" s="31">
        <f>VLOOKUP($A330,$A$4:$O$28,6,0)*(HLOOKUP(K$318,'2.2.Brecha Efectiva x UdM'!$H$64:$AK$71,4,0))</f>
        <v>0</v>
      </c>
      <c r="L330" s="31">
        <f>VLOOKUP($A330,$A$4:$O$28,6,0)*(HLOOKUP(L$318,'2.2.Brecha Efectiva x UdM'!$H$64:$AK$71,4,0))</f>
        <v>0</v>
      </c>
      <c r="M330" s="31">
        <f>VLOOKUP($A330,$A$4:$O$28,6,0)*(HLOOKUP(M$318,'2.2.Brecha Efectiva x UdM'!$H$64:$AK$71,4,0))</f>
        <v>0</v>
      </c>
      <c r="N330" s="31">
        <f>VLOOKUP($A330,$A$4:$O$28,6,0)*(HLOOKUP(N$318,'2.2.Brecha Efectiva x UdM'!$H$64:$AK$71,4,0))</f>
        <v>0</v>
      </c>
      <c r="O330" s="31">
        <f>VLOOKUP($A330,$A$4:$O$28,6,0)*(HLOOKUP(O$318,'2.2.Brecha Efectiva x UdM'!$H$64:$AK$71,4,0))</f>
        <v>0</v>
      </c>
      <c r="P330" s="31">
        <f>VLOOKUP($A330,$A$4:$O$28,6,0)*(HLOOKUP(P$318,'2.2.Brecha Efectiva x UdM'!$H$64:$AK$71,4,0))</f>
        <v>0</v>
      </c>
      <c r="Q330" s="31">
        <f>VLOOKUP($A330,$A$4:$O$28,6,0)*(HLOOKUP(Q$318,'2.2.Brecha Efectiva x UdM'!$H$64:$AK$71,4,0))</f>
        <v>0</v>
      </c>
      <c r="R330" s="31">
        <f>VLOOKUP($A330,$A$4:$O$28,6,0)*(HLOOKUP(R$318,'2.2.Brecha Efectiva x UdM'!$H$64:$AK$71,4,0))</f>
        <v>0</v>
      </c>
      <c r="S330" s="31">
        <f>VLOOKUP($A330,$A$4:$O$28,6,0)*(HLOOKUP(S$318,'2.2.Brecha Efectiva x UdM'!$H$64:$AK$71,4,0))</f>
        <v>0</v>
      </c>
      <c r="T330" s="31">
        <f>VLOOKUP($A330,$A$4:$O$28,6,0)*(HLOOKUP(T$318,'2.2.Brecha Efectiva x UdM'!$H$64:$AK$71,4,0))</f>
        <v>0</v>
      </c>
      <c r="U330" s="31">
        <f>VLOOKUP($A330,$A$4:$O$28,6,0)*(HLOOKUP(U$318,'2.2.Brecha Efectiva x UdM'!$H$64:$AK$71,4,0))</f>
        <v>0</v>
      </c>
      <c r="V330" s="31">
        <f>VLOOKUP($A330,$A$4:$O$28,6,0)*(HLOOKUP(V$318,'2.2.Brecha Efectiva x UdM'!$H$64:$AK$71,4,0))</f>
        <v>0</v>
      </c>
      <c r="W330" s="31">
        <f>VLOOKUP($A330,$A$4:$O$28,6,0)*(HLOOKUP(W$318,'2.2.Brecha Efectiva x UdM'!$H$64:$AK$71,4,0))</f>
        <v>0</v>
      </c>
      <c r="X330" s="31">
        <f>VLOOKUP($A330,$A$4:$O$28,6,0)*(HLOOKUP(X$318,'2.2.Brecha Efectiva x UdM'!$H$64:$AK$71,4,0))</f>
        <v>0</v>
      </c>
      <c r="Y330" s="31">
        <f>VLOOKUP($A330,$A$4:$O$28,6,0)*(HLOOKUP(Y$318,'2.2.Brecha Efectiva x UdM'!$H$64:$AK$71,4,0))</f>
        <v>0</v>
      </c>
      <c r="Z330" s="31">
        <f>VLOOKUP($A330,$A$4:$O$28,6,0)*(HLOOKUP(Z$318,'2.2.Brecha Efectiva x UdM'!$H$64:$AK$71,4,0))</f>
        <v>0</v>
      </c>
      <c r="AA330" s="31">
        <f>VLOOKUP($A330,$A$4:$O$28,6,0)*(HLOOKUP(AA$318,'2.2.Brecha Efectiva x UdM'!$H$64:$AK$71,4,0))</f>
        <v>0</v>
      </c>
      <c r="AB330" s="31">
        <f>VLOOKUP($A330,$A$4:$O$28,6,0)*(HLOOKUP(AB$318,'2.2.Brecha Efectiva x UdM'!$H$64:$AK$71,4,0))</f>
        <v>0</v>
      </c>
      <c r="AC330" s="31">
        <f>VLOOKUP($A330,$A$4:$O$28,6,0)*(HLOOKUP(AC$318,'2.2.Brecha Efectiva x UdM'!$H$64:$AK$71,4,0))</f>
        <v>0</v>
      </c>
      <c r="AD330" s="31">
        <f>VLOOKUP($A330,$A$4:$O$28,6,0)*(HLOOKUP(AD$318,'2.2.Brecha Efectiva x UdM'!$H$64:$AK$71,4,0))</f>
        <v>0</v>
      </c>
      <c r="AE330" s="31">
        <f>VLOOKUP($A330,$A$4:$O$28,6,0)*(HLOOKUP(AE$318,'2.2.Brecha Efectiva x UdM'!$H$64:$AK$71,4,0))</f>
        <v>0</v>
      </c>
      <c r="AF330" s="31">
        <f>VLOOKUP($A330,$A$4:$O$28,6,0)*(HLOOKUP(AF$318,'2.2.Brecha Efectiva x UdM'!$H$64:$AK$71,4,0))</f>
        <v>0</v>
      </c>
      <c r="AG330" s="31">
        <f>VLOOKUP($A330,$A$4:$O$28,6,0)*(HLOOKUP(AG$318,'2.2.Brecha Efectiva x UdM'!$H$64:$AK$71,4,0))</f>
        <v>0</v>
      </c>
      <c r="AH330" s="63">
        <f t="shared" si="327"/>
        <v>0</v>
      </c>
    </row>
    <row r="331" spans="1:34" x14ac:dyDescent="0.2">
      <c r="A331" s="25" t="str">
        <f t="shared" si="324"/>
        <v>Mendoza</v>
      </c>
      <c r="B331" s="51" t="str">
        <f t="shared" si="325"/>
        <v>Nombre UdM 3</v>
      </c>
      <c r="C331" s="25" t="str">
        <f t="shared" si="326"/>
        <v>Mendoza Nombre UdM 3</v>
      </c>
      <c r="D331" s="32">
        <f>VLOOKUP($A331,$A$4:$O$28,6,0)*(HLOOKUP(D$318,'2.2.Brecha Efectiva x UdM'!$H$64:$AK$71,4,0))</f>
        <v>0</v>
      </c>
      <c r="E331" s="32">
        <f>VLOOKUP($A331,$A$4:$O$28,6,0)*(HLOOKUP(E$318,'2.2.Brecha Efectiva x UdM'!$H$64:$AK$71,4,0))</f>
        <v>0</v>
      </c>
      <c r="F331" s="32">
        <f>VLOOKUP($A331,$A$4:$O$28,6,0)*(HLOOKUP(F$318,'2.2.Brecha Efectiva x UdM'!$H$64:$AK$71,4,0))</f>
        <v>0</v>
      </c>
      <c r="G331" s="32">
        <f>VLOOKUP($A331,$A$4:$O$28,6,0)*(HLOOKUP(G$318,'2.2.Brecha Efectiva x UdM'!$H$64:$AK$71,4,0))</f>
        <v>0</v>
      </c>
      <c r="H331" s="32">
        <f>VLOOKUP($A331,$A$4:$O$28,6,0)*(HLOOKUP(H$318,'2.2.Brecha Efectiva x UdM'!$H$64:$AK$71,4,0))</f>
        <v>0</v>
      </c>
      <c r="I331" s="32">
        <f>VLOOKUP($A331,$A$4:$O$28,6,0)*(HLOOKUP(I$318,'2.2.Brecha Efectiva x UdM'!$H$64:$AK$71,4,0))</f>
        <v>0</v>
      </c>
      <c r="J331" s="32">
        <f>VLOOKUP($A331,$A$4:$O$28,6,0)*(HLOOKUP(J$318,'2.2.Brecha Efectiva x UdM'!$H$64:$AK$71,4,0))</f>
        <v>0</v>
      </c>
      <c r="K331" s="32">
        <f>VLOOKUP($A331,$A$4:$O$28,6,0)*(HLOOKUP(K$318,'2.2.Brecha Efectiva x UdM'!$H$64:$AK$71,4,0))</f>
        <v>0</v>
      </c>
      <c r="L331" s="32">
        <f>VLOOKUP($A331,$A$4:$O$28,6,0)*(HLOOKUP(L$318,'2.2.Brecha Efectiva x UdM'!$H$64:$AK$71,4,0))</f>
        <v>0</v>
      </c>
      <c r="M331" s="32">
        <f>VLOOKUP($A331,$A$4:$O$28,6,0)*(HLOOKUP(M$318,'2.2.Brecha Efectiva x UdM'!$H$64:$AK$71,4,0))</f>
        <v>0</v>
      </c>
      <c r="N331" s="32">
        <f>VLOOKUP($A331,$A$4:$O$28,6,0)*(HLOOKUP(N$318,'2.2.Brecha Efectiva x UdM'!$H$64:$AK$71,4,0))</f>
        <v>0</v>
      </c>
      <c r="O331" s="32">
        <f>VLOOKUP($A331,$A$4:$O$28,6,0)*(HLOOKUP(O$318,'2.2.Brecha Efectiva x UdM'!$H$64:$AK$71,4,0))</f>
        <v>0</v>
      </c>
      <c r="P331" s="32">
        <f>VLOOKUP($A331,$A$4:$O$28,6,0)*(HLOOKUP(P$318,'2.2.Brecha Efectiva x UdM'!$H$64:$AK$71,4,0))</f>
        <v>0</v>
      </c>
      <c r="Q331" s="32">
        <f>VLOOKUP($A331,$A$4:$O$28,6,0)*(HLOOKUP(Q$318,'2.2.Brecha Efectiva x UdM'!$H$64:$AK$71,4,0))</f>
        <v>0</v>
      </c>
      <c r="R331" s="32">
        <f>VLOOKUP($A331,$A$4:$O$28,6,0)*(HLOOKUP(R$318,'2.2.Brecha Efectiva x UdM'!$H$64:$AK$71,4,0))</f>
        <v>0</v>
      </c>
      <c r="S331" s="32">
        <f>VLOOKUP($A331,$A$4:$O$28,6,0)*(HLOOKUP(S$318,'2.2.Brecha Efectiva x UdM'!$H$64:$AK$71,4,0))</f>
        <v>0</v>
      </c>
      <c r="T331" s="32">
        <f>VLOOKUP($A331,$A$4:$O$28,6,0)*(HLOOKUP(T$318,'2.2.Brecha Efectiva x UdM'!$H$64:$AK$71,4,0))</f>
        <v>0</v>
      </c>
      <c r="U331" s="32">
        <f>VLOOKUP($A331,$A$4:$O$28,6,0)*(HLOOKUP(U$318,'2.2.Brecha Efectiva x UdM'!$H$64:$AK$71,4,0))</f>
        <v>0</v>
      </c>
      <c r="V331" s="32">
        <f>VLOOKUP($A331,$A$4:$O$28,6,0)*(HLOOKUP(V$318,'2.2.Brecha Efectiva x UdM'!$H$64:$AK$71,4,0))</f>
        <v>0</v>
      </c>
      <c r="W331" s="32">
        <f>VLOOKUP($A331,$A$4:$O$28,6,0)*(HLOOKUP(W$318,'2.2.Brecha Efectiva x UdM'!$H$64:$AK$71,4,0))</f>
        <v>0</v>
      </c>
      <c r="X331" s="32">
        <f>VLOOKUP($A331,$A$4:$O$28,6,0)*(HLOOKUP(X$318,'2.2.Brecha Efectiva x UdM'!$H$64:$AK$71,4,0))</f>
        <v>0</v>
      </c>
      <c r="Y331" s="32">
        <f>VLOOKUP($A331,$A$4:$O$28,6,0)*(HLOOKUP(Y$318,'2.2.Brecha Efectiva x UdM'!$H$64:$AK$71,4,0))</f>
        <v>0</v>
      </c>
      <c r="Z331" s="32">
        <f>VLOOKUP($A331,$A$4:$O$28,6,0)*(HLOOKUP(Z$318,'2.2.Brecha Efectiva x UdM'!$H$64:$AK$71,4,0))</f>
        <v>0</v>
      </c>
      <c r="AA331" s="32">
        <f>VLOOKUP($A331,$A$4:$O$28,6,0)*(HLOOKUP(AA$318,'2.2.Brecha Efectiva x UdM'!$H$64:$AK$71,4,0))</f>
        <v>0</v>
      </c>
      <c r="AB331" s="32">
        <f>VLOOKUP($A331,$A$4:$O$28,6,0)*(HLOOKUP(AB$318,'2.2.Brecha Efectiva x UdM'!$H$64:$AK$71,4,0))</f>
        <v>0</v>
      </c>
      <c r="AC331" s="32">
        <f>VLOOKUP($A331,$A$4:$O$28,6,0)*(HLOOKUP(AC$318,'2.2.Brecha Efectiva x UdM'!$H$64:$AK$71,4,0))</f>
        <v>0</v>
      </c>
      <c r="AD331" s="32">
        <f>VLOOKUP($A331,$A$4:$O$28,6,0)*(HLOOKUP(AD$318,'2.2.Brecha Efectiva x UdM'!$H$64:$AK$71,4,0))</f>
        <v>0</v>
      </c>
      <c r="AE331" s="32">
        <f>VLOOKUP($A331,$A$4:$O$28,6,0)*(HLOOKUP(AE$318,'2.2.Brecha Efectiva x UdM'!$H$64:$AK$71,4,0))</f>
        <v>0</v>
      </c>
      <c r="AF331" s="32">
        <f>VLOOKUP($A331,$A$4:$O$28,6,0)*(HLOOKUP(AF$318,'2.2.Brecha Efectiva x UdM'!$H$64:$AK$71,4,0))</f>
        <v>0</v>
      </c>
      <c r="AG331" s="32">
        <f>VLOOKUP($A331,$A$4:$O$28,6,0)*(HLOOKUP(AG$318,'2.2.Brecha Efectiva x UdM'!$H$64:$AK$71,4,0))</f>
        <v>0</v>
      </c>
      <c r="AH331" s="62">
        <f t="shared" si="327"/>
        <v>0</v>
      </c>
    </row>
    <row r="332" spans="1:34" x14ac:dyDescent="0.2">
      <c r="A332" s="26" t="str">
        <f t="shared" si="324"/>
        <v>Misiones</v>
      </c>
      <c r="B332" s="52" t="str">
        <f t="shared" si="325"/>
        <v>Nombre UdM 3</v>
      </c>
      <c r="C332" s="26" t="str">
        <f t="shared" si="326"/>
        <v>Misiones Nombre UdM 3</v>
      </c>
      <c r="D332" s="31">
        <f>VLOOKUP($A332,$A$4:$O$28,6,0)*(HLOOKUP(D$318,'2.2.Brecha Efectiva x UdM'!$H$64:$AK$71,4,0))</f>
        <v>11981088.653666101</v>
      </c>
      <c r="E332" s="31">
        <f>VLOOKUP($A332,$A$4:$O$28,6,0)*(HLOOKUP(E$318,'2.2.Brecha Efectiva x UdM'!$H$64:$AK$71,4,0))</f>
        <v>81437291.847377703</v>
      </c>
      <c r="F332" s="31">
        <f>VLOOKUP($A332,$A$4:$O$28,6,0)*(HLOOKUP(F$318,'2.2.Brecha Efectiva x UdM'!$H$64:$AK$71,4,0))</f>
        <v>4139426.272850072</v>
      </c>
      <c r="G332" s="31">
        <f>VLOOKUP($A332,$A$4:$O$28,6,0)*(HLOOKUP(G$318,'2.2.Brecha Efectiva x UdM'!$H$64:$AK$71,4,0))</f>
        <v>2264770.4564704378</v>
      </c>
      <c r="H332" s="31">
        <f>VLOOKUP($A332,$A$4:$O$28,6,0)*(HLOOKUP(H$318,'2.2.Brecha Efectiva x UdM'!$H$64:$AK$71,4,0))</f>
        <v>0</v>
      </c>
      <c r="I332" s="31">
        <f>VLOOKUP($A332,$A$4:$O$28,6,0)*(HLOOKUP(I$318,'2.2.Brecha Efectiva x UdM'!$H$64:$AK$71,4,0))</f>
        <v>0</v>
      </c>
      <c r="J332" s="31">
        <f>VLOOKUP($A332,$A$4:$O$28,6,0)*(HLOOKUP(J$318,'2.2.Brecha Efectiva x UdM'!$H$64:$AK$71,4,0))</f>
        <v>0</v>
      </c>
      <c r="K332" s="31">
        <f>VLOOKUP($A332,$A$4:$O$28,6,0)*(HLOOKUP(K$318,'2.2.Brecha Efectiva x UdM'!$H$64:$AK$71,4,0))</f>
        <v>0</v>
      </c>
      <c r="L332" s="31">
        <f>VLOOKUP($A332,$A$4:$O$28,6,0)*(HLOOKUP(L$318,'2.2.Brecha Efectiva x UdM'!$H$64:$AK$71,4,0))</f>
        <v>0</v>
      </c>
      <c r="M332" s="31">
        <f>VLOOKUP($A332,$A$4:$O$28,6,0)*(HLOOKUP(M$318,'2.2.Brecha Efectiva x UdM'!$H$64:$AK$71,4,0))</f>
        <v>0</v>
      </c>
      <c r="N332" s="31">
        <f>VLOOKUP($A332,$A$4:$O$28,6,0)*(HLOOKUP(N$318,'2.2.Brecha Efectiva x UdM'!$H$64:$AK$71,4,0))</f>
        <v>0</v>
      </c>
      <c r="O332" s="31">
        <f>VLOOKUP($A332,$A$4:$O$28,6,0)*(HLOOKUP(O$318,'2.2.Brecha Efectiva x UdM'!$H$64:$AK$71,4,0))</f>
        <v>0</v>
      </c>
      <c r="P332" s="31">
        <f>VLOOKUP($A332,$A$4:$O$28,6,0)*(HLOOKUP(P$318,'2.2.Brecha Efectiva x UdM'!$H$64:$AK$71,4,0))</f>
        <v>0</v>
      </c>
      <c r="Q332" s="31">
        <f>VLOOKUP($A332,$A$4:$O$28,6,0)*(HLOOKUP(Q$318,'2.2.Brecha Efectiva x UdM'!$H$64:$AK$71,4,0))</f>
        <v>0</v>
      </c>
      <c r="R332" s="31">
        <f>VLOOKUP($A332,$A$4:$O$28,6,0)*(HLOOKUP(R$318,'2.2.Brecha Efectiva x UdM'!$H$64:$AK$71,4,0))</f>
        <v>0</v>
      </c>
      <c r="S332" s="31">
        <f>VLOOKUP($A332,$A$4:$O$28,6,0)*(HLOOKUP(S$318,'2.2.Brecha Efectiva x UdM'!$H$64:$AK$71,4,0))</f>
        <v>0</v>
      </c>
      <c r="T332" s="31">
        <f>VLOOKUP($A332,$A$4:$O$28,6,0)*(HLOOKUP(T$318,'2.2.Brecha Efectiva x UdM'!$H$64:$AK$71,4,0))</f>
        <v>0</v>
      </c>
      <c r="U332" s="31">
        <f>VLOOKUP($A332,$A$4:$O$28,6,0)*(HLOOKUP(U$318,'2.2.Brecha Efectiva x UdM'!$H$64:$AK$71,4,0))</f>
        <v>0</v>
      </c>
      <c r="V332" s="31">
        <f>VLOOKUP($A332,$A$4:$O$28,6,0)*(HLOOKUP(V$318,'2.2.Brecha Efectiva x UdM'!$H$64:$AK$71,4,0))</f>
        <v>0</v>
      </c>
      <c r="W332" s="31">
        <f>VLOOKUP($A332,$A$4:$O$28,6,0)*(HLOOKUP(W$318,'2.2.Brecha Efectiva x UdM'!$H$64:$AK$71,4,0))</f>
        <v>0</v>
      </c>
      <c r="X332" s="31">
        <f>VLOOKUP($A332,$A$4:$O$28,6,0)*(HLOOKUP(X$318,'2.2.Brecha Efectiva x UdM'!$H$64:$AK$71,4,0))</f>
        <v>0</v>
      </c>
      <c r="Y332" s="31">
        <f>VLOOKUP($A332,$A$4:$O$28,6,0)*(HLOOKUP(Y$318,'2.2.Brecha Efectiva x UdM'!$H$64:$AK$71,4,0))</f>
        <v>0</v>
      </c>
      <c r="Z332" s="31">
        <f>VLOOKUP($A332,$A$4:$O$28,6,0)*(HLOOKUP(Z$318,'2.2.Brecha Efectiva x UdM'!$H$64:$AK$71,4,0))</f>
        <v>0</v>
      </c>
      <c r="AA332" s="31">
        <f>VLOOKUP($A332,$A$4:$O$28,6,0)*(HLOOKUP(AA$318,'2.2.Brecha Efectiva x UdM'!$H$64:$AK$71,4,0))</f>
        <v>0</v>
      </c>
      <c r="AB332" s="31">
        <f>VLOOKUP($A332,$A$4:$O$28,6,0)*(HLOOKUP(AB$318,'2.2.Brecha Efectiva x UdM'!$H$64:$AK$71,4,0))</f>
        <v>0</v>
      </c>
      <c r="AC332" s="31">
        <f>VLOOKUP($A332,$A$4:$O$28,6,0)*(HLOOKUP(AC$318,'2.2.Brecha Efectiva x UdM'!$H$64:$AK$71,4,0))</f>
        <v>0</v>
      </c>
      <c r="AD332" s="31">
        <f>VLOOKUP($A332,$A$4:$O$28,6,0)*(HLOOKUP(AD$318,'2.2.Brecha Efectiva x UdM'!$H$64:$AK$71,4,0))</f>
        <v>0</v>
      </c>
      <c r="AE332" s="31">
        <f>VLOOKUP($A332,$A$4:$O$28,6,0)*(HLOOKUP(AE$318,'2.2.Brecha Efectiva x UdM'!$H$64:$AK$71,4,0))</f>
        <v>0</v>
      </c>
      <c r="AF332" s="31">
        <f>VLOOKUP($A332,$A$4:$O$28,6,0)*(HLOOKUP(AF$318,'2.2.Brecha Efectiva x UdM'!$H$64:$AK$71,4,0))</f>
        <v>0</v>
      </c>
      <c r="AG332" s="31">
        <f>VLOOKUP($A332,$A$4:$O$28,6,0)*(HLOOKUP(AG$318,'2.2.Brecha Efectiva x UdM'!$H$64:$AK$71,4,0))</f>
        <v>0</v>
      </c>
      <c r="AH332" s="63">
        <f t="shared" si="327"/>
        <v>99822577.230364308</v>
      </c>
    </row>
    <row r="333" spans="1:34" x14ac:dyDescent="0.2">
      <c r="A333" s="25" t="str">
        <f t="shared" si="324"/>
        <v>Neuquén</v>
      </c>
      <c r="B333" s="51" t="str">
        <f t="shared" si="325"/>
        <v>Nombre UdM 3</v>
      </c>
      <c r="C333" s="25" t="str">
        <f t="shared" si="326"/>
        <v>Neuquén Nombre UdM 3</v>
      </c>
      <c r="D333" s="32">
        <f>VLOOKUP($A333,$A$4:$O$28,6,0)*(HLOOKUP(D$318,'2.2.Brecha Efectiva x UdM'!$H$64:$AK$71,4,0))</f>
        <v>22343970.622249443</v>
      </c>
      <c r="E333" s="32">
        <f>VLOOKUP($A333,$A$4:$O$28,6,0)*(HLOOKUP(E$318,'2.2.Brecha Efectiva x UdM'!$H$64:$AK$71,4,0))</f>
        <v>151875385.38382915</v>
      </c>
      <c r="F333" s="32">
        <f>VLOOKUP($A333,$A$4:$O$28,6,0)*(HLOOKUP(F$318,'2.2.Brecha Efectiva x UdM'!$H$64:$AK$71,4,0))</f>
        <v>7719767.5192252314</v>
      </c>
      <c r="G333" s="32">
        <f>VLOOKUP($A333,$A$4:$O$28,6,0)*(HLOOKUP(G$318,'2.2.Brecha Efectiva x UdM'!$H$64:$AK$71,4,0))</f>
        <v>4223653.2929776451</v>
      </c>
      <c r="H333" s="32">
        <f>VLOOKUP($A333,$A$4:$O$28,6,0)*(HLOOKUP(H$318,'2.2.Brecha Efectiva x UdM'!$H$64:$AK$71,4,0))</f>
        <v>0</v>
      </c>
      <c r="I333" s="32">
        <f>VLOOKUP($A333,$A$4:$O$28,6,0)*(HLOOKUP(I$318,'2.2.Brecha Efectiva x UdM'!$H$64:$AK$71,4,0))</f>
        <v>0</v>
      </c>
      <c r="J333" s="32">
        <f>VLOOKUP($A333,$A$4:$O$28,6,0)*(HLOOKUP(J$318,'2.2.Brecha Efectiva x UdM'!$H$64:$AK$71,4,0))</f>
        <v>0</v>
      </c>
      <c r="K333" s="32">
        <f>VLOOKUP($A333,$A$4:$O$28,6,0)*(HLOOKUP(K$318,'2.2.Brecha Efectiva x UdM'!$H$64:$AK$71,4,0))</f>
        <v>0</v>
      </c>
      <c r="L333" s="32">
        <f>VLOOKUP($A333,$A$4:$O$28,6,0)*(HLOOKUP(L$318,'2.2.Brecha Efectiva x UdM'!$H$64:$AK$71,4,0))</f>
        <v>0</v>
      </c>
      <c r="M333" s="32">
        <f>VLOOKUP($A333,$A$4:$O$28,6,0)*(HLOOKUP(M$318,'2.2.Brecha Efectiva x UdM'!$H$64:$AK$71,4,0))</f>
        <v>0</v>
      </c>
      <c r="N333" s="32">
        <f>VLOOKUP($A333,$A$4:$O$28,6,0)*(HLOOKUP(N$318,'2.2.Brecha Efectiva x UdM'!$H$64:$AK$71,4,0))</f>
        <v>0</v>
      </c>
      <c r="O333" s="32">
        <f>VLOOKUP($A333,$A$4:$O$28,6,0)*(HLOOKUP(O$318,'2.2.Brecha Efectiva x UdM'!$H$64:$AK$71,4,0))</f>
        <v>0</v>
      </c>
      <c r="P333" s="32">
        <f>VLOOKUP($A333,$A$4:$O$28,6,0)*(HLOOKUP(P$318,'2.2.Brecha Efectiva x UdM'!$H$64:$AK$71,4,0))</f>
        <v>0</v>
      </c>
      <c r="Q333" s="32">
        <f>VLOOKUP($A333,$A$4:$O$28,6,0)*(HLOOKUP(Q$318,'2.2.Brecha Efectiva x UdM'!$H$64:$AK$71,4,0))</f>
        <v>0</v>
      </c>
      <c r="R333" s="32">
        <f>VLOOKUP($A333,$A$4:$O$28,6,0)*(HLOOKUP(R$318,'2.2.Brecha Efectiva x UdM'!$H$64:$AK$71,4,0))</f>
        <v>0</v>
      </c>
      <c r="S333" s="32">
        <f>VLOOKUP($A333,$A$4:$O$28,6,0)*(HLOOKUP(S$318,'2.2.Brecha Efectiva x UdM'!$H$64:$AK$71,4,0))</f>
        <v>0</v>
      </c>
      <c r="T333" s="32">
        <f>VLOOKUP($A333,$A$4:$O$28,6,0)*(HLOOKUP(T$318,'2.2.Brecha Efectiva x UdM'!$H$64:$AK$71,4,0))</f>
        <v>0</v>
      </c>
      <c r="U333" s="32">
        <f>VLOOKUP($A333,$A$4:$O$28,6,0)*(HLOOKUP(U$318,'2.2.Brecha Efectiva x UdM'!$H$64:$AK$71,4,0))</f>
        <v>0</v>
      </c>
      <c r="V333" s="32">
        <f>VLOOKUP($A333,$A$4:$O$28,6,0)*(HLOOKUP(V$318,'2.2.Brecha Efectiva x UdM'!$H$64:$AK$71,4,0))</f>
        <v>0</v>
      </c>
      <c r="W333" s="32">
        <f>VLOOKUP($A333,$A$4:$O$28,6,0)*(HLOOKUP(W$318,'2.2.Brecha Efectiva x UdM'!$H$64:$AK$71,4,0))</f>
        <v>0</v>
      </c>
      <c r="X333" s="32">
        <f>VLOOKUP($A333,$A$4:$O$28,6,0)*(HLOOKUP(X$318,'2.2.Brecha Efectiva x UdM'!$H$64:$AK$71,4,0))</f>
        <v>0</v>
      </c>
      <c r="Y333" s="32">
        <f>VLOOKUP($A333,$A$4:$O$28,6,0)*(HLOOKUP(Y$318,'2.2.Brecha Efectiva x UdM'!$H$64:$AK$71,4,0))</f>
        <v>0</v>
      </c>
      <c r="Z333" s="32">
        <f>VLOOKUP($A333,$A$4:$O$28,6,0)*(HLOOKUP(Z$318,'2.2.Brecha Efectiva x UdM'!$H$64:$AK$71,4,0))</f>
        <v>0</v>
      </c>
      <c r="AA333" s="32">
        <f>VLOOKUP($A333,$A$4:$O$28,6,0)*(HLOOKUP(AA$318,'2.2.Brecha Efectiva x UdM'!$H$64:$AK$71,4,0))</f>
        <v>0</v>
      </c>
      <c r="AB333" s="32">
        <f>VLOOKUP($A333,$A$4:$O$28,6,0)*(HLOOKUP(AB$318,'2.2.Brecha Efectiva x UdM'!$H$64:$AK$71,4,0))</f>
        <v>0</v>
      </c>
      <c r="AC333" s="32">
        <f>VLOOKUP($A333,$A$4:$O$28,6,0)*(HLOOKUP(AC$318,'2.2.Brecha Efectiva x UdM'!$H$64:$AK$71,4,0))</f>
        <v>0</v>
      </c>
      <c r="AD333" s="32">
        <f>VLOOKUP($A333,$A$4:$O$28,6,0)*(HLOOKUP(AD$318,'2.2.Brecha Efectiva x UdM'!$H$64:$AK$71,4,0))</f>
        <v>0</v>
      </c>
      <c r="AE333" s="32">
        <f>VLOOKUP($A333,$A$4:$O$28,6,0)*(HLOOKUP(AE$318,'2.2.Brecha Efectiva x UdM'!$H$64:$AK$71,4,0))</f>
        <v>0</v>
      </c>
      <c r="AF333" s="32">
        <f>VLOOKUP($A333,$A$4:$O$28,6,0)*(HLOOKUP(AF$318,'2.2.Brecha Efectiva x UdM'!$H$64:$AK$71,4,0))</f>
        <v>0</v>
      </c>
      <c r="AG333" s="32">
        <f>VLOOKUP($A333,$A$4:$O$28,6,0)*(HLOOKUP(AG$318,'2.2.Brecha Efectiva x UdM'!$H$64:$AK$71,4,0))</f>
        <v>0</v>
      </c>
      <c r="AH333" s="62">
        <f t="shared" si="327"/>
        <v>186162776.81828147</v>
      </c>
    </row>
    <row r="334" spans="1:34" x14ac:dyDescent="0.2">
      <c r="A334" s="26" t="str">
        <f t="shared" si="324"/>
        <v>Río Negro</v>
      </c>
      <c r="B334" s="52" t="str">
        <f t="shared" si="325"/>
        <v>Nombre UdM 3</v>
      </c>
      <c r="C334" s="26" t="str">
        <f t="shared" si="326"/>
        <v>Río Negro Nombre UdM 3</v>
      </c>
      <c r="D334" s="31">
        <f>VLOOKUP($A334,$A$4:$O$28,6,0)*(HLOOKUP(D$318,'2.2.Brecha Efectiva x UdM'!$H$64:$AK$71,4,0))</f>
        <v>4394590.3666471457</v>
      </c>
      <c r="E334" s="31">
        <f>VLOOKUP($A334,$A$4:$O$28,6,0)*(HLOOKUP(E$318,'2.2.Brecha Efectiva x UdM'!$H$64:$AK$71,4,0))</f>
        <v>29870702.786996674</v>
      </c>
      <c r="F334" s="31">
        <f>VLOOKUP($A334,$A$4:$O$28,6,0)*(HLOOKUP(F$318,'2.2.Brecha Efectiva x UdM'!$H$64:$AK$71,4,0))</f>
        <v>1518316.3523747672</v>
      </c>
      <c r="G334" s="31">
        <f>VLOOKUP($A334,$A$4:$O$28,6,0)*(HLOOKUP(G$318,'2.2.Brecha Efectiva x UdM'!$H$64:$AK$71,4,0))</f>
        <v>830704.01349768823</v>
      </c>
      <c r="H334" s="31">
        <f>VLOOKUP($A334,$A$4:$O$28,6,0)*(HLOOKUP(H$318,'2.2.Brecha Efectiva x UdM'!$H$64:$AK$71,4,0))</f>
        <v>0</v>
      </c>
      <c r="I334" s="31">
        <f>VLOOKUP($A334,$A$4:$O$28,6,0)*(HLOOKUP(I$318,'2.2.Brecha Efectiva x UdM'!$H$64:$AK$71,4,0))</f>
        <v>0</v>
      </c>
      <c r="J334" s="31">
        <f>VLOOKUP($A334,$A$4:$O$28,6,0)*(HLOOKUP(J$318,'2.2.Brecha Efectiva x UdM'!$H$64:$AK$71,4,0))</f>
        <v>0</v>
      </c>
      <c r="K334" s="31">
        <f>VLOOKUP($A334,$A$4:$O$28,6,0)*(HLOOKUP(K$318,'2.2.Brecha Efectiva x UdM'!$H$64:$AK$71,4,0))</f>
        <v>0</v>
      </c>
      <c r="L334" s="31">
        <f>VLOOKUP($A334,$A$4:$O$28,6,0)*(HLOOKUP(L$318,'2.2.Brecha Efectiva x UdM'!$H$64:$AK$71,4,0))</f>
        <v>0</v>
      </c>
      <c r="M334" s="31">
        <f>VLOOKUP($A334,$A$4:$O$28,6,0)*(HLOOKUP(M$318,'2.2.Brecha Efectiva x UdM'!$H$64:$AK$71,4,0))</f>
        <v>0</v>
      </c>
      <c r="N334" s="31">
        <f>VLOOKUP($A334,$A$4:$O$28,6,0)*(HLOOKUP(N$318,'2.2.Brecha Efectiva x UdM'!$H$64:$AK$71,4,0))</f>
        <v>0</v>
      </c>
      <c r="O334" s="31">
        <f>VLOOKUP($A334,$A$4:$O$28,6,0)*(HLOOKUP(O$318,'2.2.Brecha Efectiva x UdM'!$H$64:$AK$71,4,0))</f>
        <v>0</v>
      </c>
      <c r="P334" s="31">
        <f>VLOOKUP($A334,$A$4:$O$28,6,0)*(HLOOKUP(P$318,'2.2.Brecha Efectiva x UdM'!$H$64:$AK$71,4,0))</f>
        <v>0</v>
      </c>
      <c r="Q334" s="31">
        <f>VLOOKUP($A334,$A$4:$O$28,6,0)*(HLOOKUP(Q$318,'2.2.Brecha Efectiva x UdM'!$H$64:$AK$71,4,0))</f>
        <v>0</v>
      </c>
      <c r="R334" s="31">
        <f>VLOOKUP($A334,$A$4:$O$28,6,0)*(HLOOKUP(R$318,'2.2.Brecha Efectiva x UdM'!$H$64:$AK$71,4,0))</f>
        <v>0</v>
      </c>
      <c r="S334" s="31">
        <f>VLOOKUP($A334,$A$4:$O$28,6,0)*(HLOOKUP(S$318,'2.2.Brecha Efectiva x UdM'!$H$64:$AK$71,4,0))</f>
        <v>0</v>
      </c>
      <c r="T334" s="31">
        <f>VLOOKUP($A334,$A$4:$O$28,6,0)*(HLOOKUP(T$318,'2.2.Brecha Efectiva x UdM'!$H$64:$AK$71,4,0))</f>
        <v>0</v>
      </c>
      <c r="U334" s="31">
        <f>VLOOKUP($A334,$A$4:$O$28,6,0)*(HLOOKUP(U$318,'2.2.Brecha Efectiva x UdM'!$H$64:$AK$71,4,0))</f>
        <v>0</v>
      </c>
      <c r="V334" s="31">
        <f>VLOOKUP($A334,$A$4:$O$28,6,0)*(HLOOKUP(V$318,'2.2.Brecha Efectiva x UdM'!$H$64:$AK$71,4,0))</f>
        <v>0</v>
      </c>
      <c r="W334" s="31">
        <f>VLOOKUP($A334,$A$4:$O$28,6,0)*(HLOOKUP(W$318,'2.2.Brecha Efectiva x UdM'!$H$64:$AK$71,4,0))</f>
        <v>0</v>
      </c>
      <c r="X334" s="31">
        <f>VLOOKUP($A334,$A$4:$O$28,6,0)*(HLOOKUP(X$318,'2.2.Brecha Efectiva x UdM'!$H$64:$AK$71,4,0))</f>
        <v>0</v>
      </c>
      <c r="Y334" s="31">
        <f>VLOOKUP($A334,$A$4:$O$28,6,0)*(HLOOKUP(Y$318,'2.2.Brecha Efectiva x UdM'!$H$64:$AK$71,4,0))</f>
        <v>0</v>
      </c>
      <c r="Z334" s="31">
        <f>VLOOKUP($A334,$A$4:$O$28,6,0)*(HLOOKUP(Z$318,'2.2.Brecha Efectiva x UdM'!$H$64:$AK$71,4,0))</f>
        <v>0</v>
      </c>
      <c r="AA334" s="31">
        <f>VLOOKUP($A334,$A$4:$O$28,6,0)*(HLOOKUP(AA$318,'2.2.Brecha Efectiva x UdM'!$H$64:$AK$71,4,0))</f>
        <v>0</v>
      </c>
      <c r="AB334" s="31">
        <f>VLOOKUP($A334,$A$4:$O$28,6,0)*(HLOOKUP(AB$318,'2.2.Brecha Efectiva x UdM'!$H$64:$AK$71,4,0))</f>
        <v>0</v>
      </c>
      <c r="AC334" s="31">
        <f>VLOOKUP($A334,$A$4:$O$28,6,0)*(HLOOKUP(AC$318,'2.2.Brecha Efectiva x UdM'!$H$64:$AK$71,4,0))</f>
        <v>0</v>
      </c>
      <c r="AD334" s="31">
        <f>VLOOKUP($A334,$A$4:$O$28,6,0)*(HLOOKUP(AD$318,'2.2.Brecha Efectiva x UdM'!$H$64:$AK$71,4,0))</f>
        <v>0</v>
      </c>
      <c r="AE334" s="31">
        <f>VLOOKUP($A334,$A$4:$O$28,6,0)*(HLOOKUP(AE$318,'2.2.Brecha Efectiva x UdM'!$H$64:$AK$71,4,0))</f>
        <v>0</v>
      </c>
      <c r="AF334" s="31">
        <f>VLOOKUP($A334,$A$4:$O$28,6,0)*(HLOOKUP(AF$318,'2.2.Brecha Efectiva x UdM'!$H$64:$AK$71,4,0))</f>
        <v>0</v>
      </c>
      <c r="AG334" s="31">
        <f>VLOOKUP($A334,$A$4:$O$28,6,0)*(HLOOKUP(AG$318,'2.2.Brecha Efectiva x UdM'!$H$64:$AK$71,4,0))</f>
        <v>0</v>
      </c>
      <c r="AH334" s="63">
        <f t="shared" si="327"/>
        <v>36614313.519516274</v>
      </c>
    </row>
    <row r="335" spans="1:34" x14ac:dyDescent="0.2">
      <c r="A335" s="25" t="str">
        <f t="shared" si="324"/>
        <v>Salta</v>
      </c>
      <c r="B335" s="51" t="str">
        <f t="shared" si="325"/>
        <v>Nombre UdM 3</v>
      </c>
      <c r="C335" s="25" t="str">
        <f t="shared" si="326"/>
        <v>Salta Nombre UdM 3</v>
      </c>
      <c r="D335" s="32">
        <f>VLOOKUP($A335,$A$4:$O$28,6,0)*(HLOOKUP(D$318,'2.2.Brecha Efectiva x UdM'!$H$64:$AK$71,4,0))</f>
        <v>31202639.655580875</v>
      </c>
      <c r="E335" s="32">
        <f>VLOOKUP($A335,$A$4:$O$28,6,0)*(HLOOKUP(E$318,'2.2.Brecha Efectiva x UdM'!$H$64:$AK$71,4,0))</f>
        <v>212089113.56002367</v>
      </c>
      <c r="F335" s="32">
        <f>VLOOKUP($A335,$A$4:$O$28,6,0)*(HLOOKUP(F$318,'2.2.Brecha Efectiva x UdM'!$H$64:$AK$71,4,0))</f>
        <v>10780408.200473746</v>
      </c>
      <c r="G335" s="32">
        <f>VLOOKUP($A335,$A$4:$O$28,6,0)*(HLOOKUP(G$318,'2.2.Brecha Efectiva x UdM'!$H$64:$AK$71,4,0))</f>
        <v>5898196.607887473</v>
      </c>
      <c r="H335" s="32">
        <f>VLOOKUP($A335,$A$4:$O$28,6,0)*(HLOOKUP(H$318,'2.2.Brecha Efectiva x UdM'!$H$64:$AK$71,4,0))</f>
        <v>0</v>
      </c>
      <c r="I335" s="32">
        <f>VLOOKUP($A335,$A$4:$O$28,6,0)*(HLOOKUP(I$318,'2.2.Brecha Efectiva x UdM'!$H$64:$AK$71,4,0))</f>
        <v>0</v>
      </c>
      <c r="J335" s="32">
        <f>VLOOKUP($A335,$A$4:$O$28,6,0)*(HLOOKUP(J$318,'2.2.Brecha Efectiva x UdM'!$H$64:$AK$71,4,0))</f>
        <v>0</v>
      </c>
      <c r="K335" s="32">
        <f>VLOOKUP($A335,$A$4:$O$28,6,0)*(HLOOKUP(K$318,'2.2.Brecha Efectiva x UdM'!$H$64:$AK$71,4,0))</f>
        <v>0</v>
      </c>
      <c r="L335" s="32">
        <f>VLOOKUP($A335,$A$4:$O$28,6,0)*(HLOOKUP(L$318,'2.2.Brecha Efectiva x UdM'!$H$64:$AK$71,4,0))</f>
        <v>0</v>
      </c>
      <c r="M335" s="32">
        <f>VLOOKUP($A335,$A$4:$O$28,6,0)*(HLOOKUP(M$318,'2.2.Brecha Efectiva x UdM'!$H$64:$AK$71,4,0))</f>
        <v>0</v>
      </c>
      <c r="N335" s="32">
        <f>VLOOKUP($A335,$A$4:$O$28,6,0)*(HLOOKUP(N$318,'2.2.Brecha Efectiva x UdM'!$H$64:$AK$71,4,0))</f>
        <v>0</v>
      </c>
      <c r="O335" s="32">
        <f>VLOOKUP($A335,$A$4:$O$28,6,0)*(HLOOKUP(O$318,'2.2.Brecha Efectiva x UdM'!$H$64:$AK$71,4,0))</f>
        <v>0</v>
      </c>
      <c r="P335" s="32">
        <f>VLOOKUP($A335,$A$4:$O$28,6,0)*(HLOOKUP(P$318,'2.2.Brecha Efectiva x UdM'!$H$64:$AK$71,4,0))</f>
        <v>0</v>
      </c>
      <c r="Q335" s="32">
        <f>VLOOKUP($A335,$A$4:$O$28,6,0)*(HLOOKUP(Q$318,'2.2.Brecha Efectiva x UdM'!$H$64:$AK$71,4,0))</f>
        <v>0</v>
      </c>
      <c r="R335" s="32">
        <f>VLOOKUP($A335,$A$4:$O$28,6,0)*(HLOOKUP(R$318,'2.2.Brecha Efectiva x UdM'!$H$64:$AK$71,4,0))</f>
        <v>0</v>
      </c>
      <c r="S335" s="32">
        <f>VLOOKUP($A335,$A$4:$O$28,6,0)*(HLOOKUP(S$318,'2.2.Brecha Efectiva x UdM'!$H$64:$AK$71,4,0))</f>
        <v>0</v>
      </c>
      <c r="T335" s="32">
        <f>VLOOKUP($A335,$A$4:$O$28,6,0)*(HLOOKUP(T$318,'2.2.Brecha Efectiva x UdM'!$H$64:$AK$71,4,0))</f>
        <v>0</v>
      </c>
      <c r="U335" s="32">
        <f>VLOOKUP($A335,$A$4:$O$28,6,0)*(HLOOKUP(U$318,'2.2.Brecha Efectiva x UdM'!$H$64:$AK$71,4,0))</f>
        <v>0</v>
      </c>
      <c r="V335" s="32">
        <f>VLOOKUP($A335,$A$4:$O$28,6,0)*(HLOOKUP(V$318,'2.2.Brecha Efectiva x UdM'!$H$64:$AK$71,4,0))</f>
        <v>0</v>
      </c>
      <c r="W335" s="32">
        <f>VLOOKUP($A335,$A$4:$O$28,6,0)*(HLOOKUP(W$318,'2.2.Brecha Efectiva x UdM'!$H$64:$AK$71,4,0))</f>
        <v>0</v>
      </c>
      <c r="X335" s="32">
        <f>VLOOKUP($A335,$A$4:$O$28,6,0)*(HLOOKUP(X$318,'2.2.Brecha Efectiva x UdM'!$H$64:$AK$71,4,0))</f>
        <v>0</v>
      </c>
      <c r="Y335" s="32">
        <f>VLOOKUP($A335,$A$4:$O$28,6,0)*(HLOOKUP(Y$318,'2.2.Brecha Efectiva x UdM'!$H$64:$AK$71,4,0))</f>
        <v>0</v>
      </c>
      <c r="Z335" s="32">
        <f>VLOOKUP($A335,$A$4:$O$28,6,0)*(HLOOKUP(Z$318,'2.2.Brecha Efectiva x UdM'!$H$64:$AK$71,4,0))</f>
        <v>0</v>
      </c>
      <c r="AA335" s="32">
        <f>VLOOKUP($A335,$A$4:$O$28,6,0)*(HLOOKUP(AA$318,'2.2.Brecha Efectiva x UdM'!$H$64:$AK$71,4,0))</f>
        <v>0</v>
      </c>
      <c r="AB335" s="32">
        <f>VLOOKUP($A335,$A$4:$O$28,6,0)*(HLOOKUP(AB$318,'2.2.Brecha Efectiva x UdM'!$H$64:$AK$71,4,0))</f>
        <v>0</v>
      </c>
      <c r="AC335" s="32">
        <f>VLOOKUP($A335,$A$4:$O$28,6,0)*(HLOOKUP(AC$318,'2.2.Brecha Efectiva x UdM'!$H$64:$AK$71,4,0))</f>
        <v>0</v>
      </c>
      <c r="AD335" s="32">
        <f>VLOOKUP($A335,$A$4:$O$28,6,0)*(HLOOKUP(AD$318,'2.2.Brecha Efectiva x UdM'!$H$64:$AK$71,4,0))</f>
        <v>0</v>
      </c>
      <c r="AE335" s="32">
        <f>VLOOKUP($A335,$A$4:$O$28,6,0)*(HLOOKUP(AE$318,'2.2.Brecha Efectiva x UdM'!$H$64:$AK$71,4,0))</f>
        <v>0</v>
      </c>
      <c r="AF335" s="32">
        <f>VLOOKUP($A335,$A$4:$O$28,6,0)*(HLOOKUP(AF$318,'2.2.Brecha Efectiva x UdM'!$H$64:$AK$71,4,0))</f>
        <v>0</v>
      </c>
      <c r="AG335" s="32">
        <f>VLOOKUP($A335,$A$4:$O$28,6,0)*(HLOOKUP(AG$318,'2.2.Brecha Efectiva x UdM'!$H$64:$AK$71,4,0))</f>
        <v>0</v>
      </c>
      <c r="AH335" s="62">
        <f t="shared" si="327"/>
        <v>259970358.02396578</v>
      </c>
    </row>
    <row r="336" spans="1:34" x14ac:dyDescent="0.2">
      <c r="A336" s="26" t="str">
        <f t="shared" si="324"/>
        <v>San Juan</v>
      </c>
      <c r="B336" s="52" t="str">
        <f t="shared" si="325"/>
        <v>Nombre UdM 3</v>
      </c>
      <c r="C336" s="26" t="str">
        <f t="shared" si="326"/>
        <v>San Juan Nombre UdM 3</v>
      </c>
      <c r="D336" s="31">
        <f>VLOOKUP($A336,$A$4:$O$28,6,0)*(HLOOKUP(D$318,'2.2.Brecha Efectiva x UdM'!$H$64:$AK$71,4,0))</f>
        <v>0</v>
      </c>
      <c r="E336" s="31">
        <f>VLOOKUP($A336,$A$4:$O$28,6,0)*(HLOOKUP(E$318,'2.2.Brecha Efectiva x UdM'!$H$64:$AK$71,4,0))</f>
        <v>0</v>
      </c>
      <c r="F336" s="31">
        <f>VLOOKUP($A336,$A$4:$O$28,6,0)*(HLOOKUP(F$318,'2.2.Brecha Efectiva x UdM'!$H$64:$AK$71,4,0))</f>
        <v>0</v>
      </c>
      <c r="G336" s="31">
        <f>VLOOKUP($A336,$A$4:$O$28,6,0)*(HLOOKUP(G$318,'2.2.Brecha Efectiva x UdM'!$H$64:$AK$71,4,0))</f>
        <v>0</v>
      </c>
      <c r="H336" s="31">
        <f>VLOOKUP($A336,$A$4:$O$28,6,0)*(HLOOKUP(H$318,'2.2.Brecha Efectiva x UdM'!$H$64:$AK$71,4,0))</f>
        <v>0</v>
      </c>
      <c r="I336" s="31">
        <f>VLOOKUP($A336,$A$4:$O$28,6,0)*(HLOOKUP(I$318,'2.2.Brecha Efectiva x UdM'!$H$64:$AK$71,4,0))</f>
        <v>0</v>
      </c>
      <c r="J336" s="31">
        <f>VLOOKUP($A336,$A$4:$O$28,6,0)*(HLOOKUP(J$318,'2.2.Brecha Efectiva x UdM'!$H$64:$AK$71,4,0))</f>
        <v>0</v>
      </c>
      <c r="K336" s="31">
        <f>VLOOKUP($A336,$A$4:$O$28,6,0)*(HLOOKUP(K$318,'2.2.Brecha Efectiva x UdM'!$H$64:$AK$71,4,0))</f>
        <v>0</v>
      </c>
      <c r="L336" s="31">
        <f>VLOOKUP($A336,$A$4:$O$28,6,0)*(HLOOKUP(L$318,'2.2.Brecha Efectiva x UdM'!$H$64:$AK$71,4,0))</f>
        <v>0</v>
      </c>
      <c r="M336" s="31">
        <f>VLOOKUP($A336,$A$4:$O$28,6,0)*(HLOOKUP(M$318,'2.2.Brecha Efectiva x UdM'!$H$64:$AK$71,4,0))</f>
        <v>0</v>
      </c>
      <c r="N336" s="31">
        <f>VLOOKUP($A336,$A$4:$O$28,6,0)*(HLOOKUP(N$318,'2.2.Brecha Efectiva x UdM'!$H$64:$AK$71,4,0))</f>
        <v>0</v>
      </c>
      <c r="O336" s="31">
        <f>VLOOKUP($A336,$A$4:$O$28,6,0)*(HLOOKUP(O$318,'2.2.Brecha Efectiva x UdM'!$H$64:$AK$71,4,0))</f>
        <v>0</v>
      </c>
      <c r="P336" s="31">
        <f>VLOOKUP($A336,$A$4:$O$28,6,0)*(HLOOKUP(P$318,'2.2.Brecha Efectiva x UdM'!$H$64:$AK$71,4,0))</f>
        <v>0</v>
      </c>
      <c r="Q336" s="31">
        <f>VLOOKUP($A336,$A$4:$O$28,6,0)*(HLOOKUP(Q$318,'2.2.Brecha Efectiva x UdM'!$H$64:$AK$71,4,0))</f>
        <v>0</v>
      </c>
      <c r="R336" s="31">
        <f>VLOOKUP($A336,$A$4:$O$28,6,0)*(HLOOKUP(R$318,'2.2.Brecha Efectiva x UdM'!$H$64:$AK$71,4,0))</f>
        <v>0</v>
      </c>
      <c r="S336" s="31">
        <f>VLOOKUP($A336,$A$4:$O$28,6,0)*(HLOOKUP(S$318,'2.2.Brecha Efectiva x UdM'!$H$64:$AK$71,4,0))</f>
        <v>0</v>
      </c>
      <c r="T336" s="31">
        <f>VLOOKUP($A336,$A$4:$O$28,6,0)*(HLOOKUP(T$318,'2.2.Brecha Efectiva x UdM'!$H$64:$AK$71,4,0))</f>
        <v>0</v>
      </c>
      <c r="U336" s="31">
        <f>VLOOKUP($A336,$A$4:$O$28,6,0)*(HLOOKUP(U$318,'2.2.Brecha Efectiva x UdM'!$H$64:$AK$71,4,0))</f>
        <v>0</v>
      </c>
      <c r="V336" s="31">
        <f>VLOOKUP($A336,$A$4:$O$28,6,0)*(HLOOKUP(V$318,'2.2.Brecha Efectiva x UdM'!$H$64:$AK$71,4,0))</f>
        <v>0</v>
      </c>
      <c r="W336" s="31">
        <f>VLOOKUP($A336,$A$4:$O$28,6,0)*(HLOOKUP(W$318,'2.2.Brecha Efectiva x UdM'!$H$64:$AK$71,4,0))</f>
        <v>0</v>
      </c>
      <c r="X336" s="31">
        <f>VLOOKUP($A336,$A$4:$O$28,6,0)*(HLOOKUP(X$318,'2.2.Brecha Efectiva x UdM'!$H$64:$AK$71,4,0))</f>
        <v>0</v>
      </c>
      <c r="Y336" s="31">
        <f>VLOOKUP($A336,$A$4:$O$28,6,0)*(HLOOKUP(Y$318,'2.2.Brecha Efectiva x UdM'!$H$64:$AK$71,4,0))</f>
        <v>0</v>
      </c>
      <c r="Z336" s="31">
        <f>VLOOKUP($A336,$A$4:$O$28,6,0)*(HLOOKUP(Z$318,'2.2.Brecha Efectiva x UdM'!$H$64:$AK$71,4,0))</f>
        <v>0</v>
      </c>
      <c r="AA336" s="31">
        <f>VLOOKUP($A336,$A$4:$O$28,6,0)*(HLOOKUP(AA$318,'2.2.Brecha Efectiva x UdM'!$H$64:$AK$71,4,0))</f>
        <v>0</v>
      </c>
      <c r="AB336" s="31">
        <f>VLOOKUP($A336,$A$4:$O$28,6,0)*(HLOOKUP(AB$318,'2.2.Brecha Efectiva x UdM'!$H$64:$AK$71,4,0))</f>
        <v>0</v>
      </c>
      <c r="AC336" s="31">
        <f>VLOOKUP($A336,$A$4:$O$28,6,0)*(HLOOKUP(AC$318,'2.2.Brecha Efectiva x UdM'!$H$64:$AK$71,4,0))</f>
        <v>0</v>
      </c>
      <c r="AD336" s="31">
        <f>VLOOKUP($A336,$A$4:$O$28,6,0)*(HLOOKUP(AD$318,'2.2.Brecha Efectiva x UdM'!$H$64:$AK$71,4,0))</f>
        <v>0</v>
      </c>
      <c r="AE336" s="31">
        <f>VLOOKUP($A336,$A$4:$O$28,6,0)*(HLOOKUP(AE$318,'2.2.Brecha Efectiva x UdM'!$H$64:$AK$71,4,0))</f>
        <v>0</v>
      </c>
      <c r="AF336" s="31">
        <f>VLOOKUP($A336,$A$4:$O$28,6,0)*(HLOOKUP(AF$318,'2.2.Brecha Efectiva x UdM'!$H$64:$AK$71,4,0))</f>
        <v>0</v>
      </c>
      <c r="AG336" s="31">
        <f>VLOOKUP($A336,$A$4:$O$28,6,0)*(HLOOKUP(AG$318,'2.2.Brecha Efectiva x UdM'!$H$64:$AK$71,4,0))</f>
        <v>0</v>
      </c>
      <c r="AH336" s="63">
        <f t="shared" si="327"/>
        <v>0</v>
      </c>
    </row>
    <row r="337" spans="1:34" x14ac:dyDescent="0.2">
      <c r="A337" s="25" t="str">
        <f t="shared" si="324"/>
        <v>San Luis</v>
      </c>
      <c r="B337" s="51" t="str">
        <f t="shared" si="325"/>
        <v>Nombre UdM 3</v>
      </c>
      <c r="C337" s="25" t="str">
        <f t="shared" si="326"/>
        <v>San Luis Nombre UdM 3</v>
      </c>
      <c r="D337" s="32">
        <f>VLOOKUP($A337,$A$4:$O$28,6,0)*(HLOOKUP(D$318,'2.2.Brecha Efectiva x UdM'!$H$64:$AK$71,4,0))</f>
        <v>0</v>
      </c>
      <c r="E337" s="32">
        <f>VLOOKUP($A337,$A$4:$O$28,6,0)*(HLOOKUP(E$318,'2.2.Brecha Efectiva x UdM'!$H$64:$AK$71,4,0))</f>
        <v>0</v>
      </c>
      <c r="F337" s="32">
        <f>VLOOKUP($A337,$A$4:$O$28,6,0)*(HLOOKUP(F$318,'2.2.Brecha Efectiva x UdM'!$H$64:$AK$71,4,0))</f>
        <v>0</v>
      </c>
      <c r="G337" s="32">
        <f>VLOOKUP($A337,$A$4:$O$28,6,0)*(HLOOKUP(G$318,'2.2.Brecha Efectiva x UdM'!$H$64:$AK$71,4,0))</f>
        <v>0</v>
      </c>
      <c r="H337" s="32">
        <f>VLOOKUP($A337,$A$4:$O$28,6,0)*(HLOOKUP(H$318,'2.2.Brecha Efectiva x UdM'!$H$64:$AK$71,4,0))</f>
        <v>0</v>
      </c>
      <c r="I337" s="32">
        <f>VLOOKUP($A337,$A$4:$O$28,6,0)*(HLOOKUP(I$318,'2.2.Brecha Efectiva x UdM'!$H$64:$AK$71,4,0))</f>
        <v>0</v>
      </c>
      <c r="J337" s="32">
        <f>VLOOKUP($A337,$A$4:$O$28,6,0)*(HLOOKUP(J$318,'2.2.Brecha Efectiva x UdM'!$H$64:$AK$71,4,0))</f>
        <v>0</v>
      </c>
      <c r="K337" s="32">
        <f>VLOOKUP($A337,$A$4:$O$28,6,0)*(HLOOKUP(K$318,'2.2.Brecha Efectiva x UdM'!$H$64:$AK$71,4,0))</f>
        <v>0</v>
      </c>
      <c r="L337" s="32">
        <f>VLOOKUP($A337,$A$4:$O$28,6,0)*(HLOOKUP(L$318,'2.2.Brecha Efectiva x UdM'!$H$64:$AK$71,4,0))</f>
        <v>0</v>
      </c>
      <c r="M337" s="32">
        <f>VLOOKUP($A337,$A$4:$O$28,6,0)*(HLOOKUP(M$318,'2.2.Brecha Efectiva x UdM'!$H$64:$AK$71,4,0))</f>
        <v>0</v>
      </c>
      <c r="N337" s="32">
        <f>VLOOKUP($A337,$A$4:$O$28,6,0)*(HLOOKUP(N$318,'2.2.Brecha Efectiva x UdM'!$H$64:$AK$71,4,0))</f>
        <v>0</v>
      </c>
      <c r="O337" s="32">
        <f>VLOOKUP($A337,$A$4:$O$28,6,0)*(HLOOKUP(O$318,'2.2.Brecha Efectiva x UdM'!$H$64:$AK$71,4,0))</f>
        <v>0</v>
      </c>
      <c r="P337" s="32">
        <f>VLOOKUP($A337,$A$4:$O$28,6,0)*(HLOOKUP(P$318,'2.2.Brecha Efectiva x UdM'!$H$64:$AK$71,4,0))</f>
        <v>0</v>
      </c>
      <c r="Q337" s="32">
        <f>VLOOKUP($A337,$A$4:$O$28,6,0)*(HLOOKUP(Q$318,'2.2.Brecha Efectiva x UdM'!$H$64:$AK$71,4,0))</f>
        <v>0</v>
      </c>
      <c r="R337" s="32">
        <f>VLOOKUP($A337,$A$4:$O$28,6,0)*(HLOOKUP(R$318,'2.2.Brecha Efectiva x UdM'!$H$64:$AK$71,4,0))</f>
        <v>0</v>
      </c>
      <c r="S337" s="32">
        <f>VLOOKUP($A337,$A$4:$O$28,6,0)*(HLOOKUP(S$318,'2.2.Brecha Efectiva x UdM'!$H$64:$AK$71,4,0))</f>
        <v>0</v>
      </c>
      <c r="T337" s="32">
        <f>VLOOKUP($A337,$A$4:$O$28,6,0)*(HLOOKUP(T$318,'2.2.Brecha Efectiva x UdM'!$H$64:$AK$71,4,0))</f>
        <v>0</v>
      </c>
      <c r="U337" s="32">
        <f>VLOOKUP($A337,$A$4:$O$28,6,0)*(HLOOKUP(U$318,'2.2.Brecha Efectiva x UdM'!$H$64:$AK$71,4,0))</f>
        <v>0</v>
      </c>
      <c r="V337" s="32">
        <f>VLOOKUP($A337,$A$4:$O$28,6,0)*(HLOOKUP(V$318,'2.2.Brecha Efectiva x UdM'!$H$64:$AK$71,4,0))</f>
        <v>0</v>
      </c>
      <c r="W337" s="32">
        <f>VLOOKUP($A337,$A$4:$O$28,6,0)*(HLOOKUP(W$318,'2.2.Brecha Efectiva x UdM'!$H$64:$AK$71,4,0))</f>
        <v>0</v>
      </c>
      <c r="X337" s="32">
        <f>VLOOKUP($A337,$A$4:$O$28,6,0)*(HLOOKUP(X$318,'2.2.Brecha Efectiva x UdM'!$H$64:$AK$71,4,0))</f>
        <v>0</v>
      </c>
      <c r="Y337" s="32">
        <f>VLOOKUP($A337,$A$4:$O$28,6,0)*(HLOOKUP(Y$318,'2.2.Brecha Efectiva x UdM'!$H$64:$AK$71,4,0))</f>
        <v>0</v>
      </c>
      <c r="Z337" s="32">
        <f>VLOOKUP($A337,$A$4:$O$28,6,0)*(HLOOKUP(Z$318,'2.2.Brecha Efectiva x UdM'!$H$64:$AK$71,4,0))</f>
        <v>0</v>
      </c>
      <c r="AA337" s="32">
        <f>VLOOKUP($A337,$A$4:$O$28,6,0)*(HLOOKUP(AA$318,'2.2.Brecha Efectiva x UdM'!$H$64:$AK$71,4,0))</f>
        <v>0</v>
      </c>
      <c r="AB337" s="32">
        <f>VLOOKUP($A337,$A$4:$O$28,6,0)*(HLOOKUP(AB$318,'2.2.Brecha Efectiva x UdM'!$H$64:$AK$71,4,0))</f>
        <v>0</v>
      </c>
      <c r="AC337" s="32">
        <f>VLOOKUP($A337,$A$4:$O$28,6,0)*(HLOOKUP(AC$318,'2.2.Brecha Efectiva x UdM'!$H$64:$AK$71,4,0))</f>
        <v>0</v>
      </c>
      <c r="AD337" s="32">
        <f>VLOOKUP($A337,$A$4:$O$28,6,0)*(HLOOKUP(AD$318,'2.2.Brecha Efectiva x UdM'!$H$64:$AK$71,4,0))</f>
        <v>0</v>
      </c>
      <c r="AE337" s="32">
        <f>VLOOKUP($A337,$A$4:$O$28,6,0)*(HLOOKUP(AE$318,'2.2.Brecha Efectiva x UdM'!$H$64:$AK$71,4,0))</f>
        <v>0</v>
      </c>
      <c r="AF337" s="32">
        <f>VLOOKUP($A337,$A$4:$O$28,6,0)*(HLOOKUP(AF$318,'2.2.Brecha Efectiva x UdM'!$H$64:$AK$71,4,0))</f>
        <v>0</v>
      </c>
      <c r="AG337" s="32">
        <f>VLOOKUP($A337,$A$4:$O$28,6,0)*(HLOOKUP(AG$318,'2.2.Brecha Efectiva x UdM'!$H$64:$AK$71,4,0))</f>
        <v>0</v>
      </c>
      <c r="AH337" s="62">
        <f t="shared" si="327"/>
        <v>0</v>
      </c>
    </row>
    <row r="338" spans="1:34" x14ac:dyDescent="0.2">
      <c r="A338" s="26" t="str">
        <f t="shared" si="324"/>
        <v>Santa Cruz</v>
      </c>
      <c r="B338" s="52" t="str">
        <f t="shared" si="325"/>
        <v>Nombre UdM 3</v>
      </c>
      <c r="C338" s="26" t="str">
        <f t="shared" si="326"/>
        <v>Santa Cruz Nombre UdM 3</v>
      </c>
      <c r="D338" s="31">
        <f>VLOOKUP($A338,$A$4:$O$28,6,0)*(HLOOKUP(D$318,'2.2.Brecha Efectiva x UdM'!$H$64:$AK$71,4,0))</f>
        <v>19702234.674917586</v>
      </c>
      <c r="E338" s="31">
        <f>VLOOKUP($A338,$A$4:$O$28,6,0)*(HLOOKUP(E$318,'2.2.Brecha Efectiva x UdM'!$H$64:$AK$71,4,0))</f>
        <v>133919102.14902112</v>
      </c>
      <c r="F338" s="31">
        <f>VLOOKUP($A338,$A$4:$O$28,6,0)*(HLOOKUP(F$318,'2.2.Brecha Efectiva x UdM'!$H$64:$AK$71,4,0))</f>
        <v>6807056.5375756733</v>
      </c>
      <c r="G338" s="31">
        <f>VLOOKUP($A338,$A$4:$O$28,6,0)*(HLOOKUP(G$318,'2.2.Brecha Efectiva x UdM'!$H$64:$AK$71,4,0))</f>
        <v>3724289.1950847199</v>
      </c>
      <c r="H338" s="31">
        <f>VLOOKUP($A338,$A$4:$O$28,6,0)*(HLOOKUP(H$318,'2.2.Brecha Efectiva x UdM'!$H$64:$AK$71,4,0))</f>
        <v>0</v>
      </c>
      <c r="I338" s="31">
        <f>VLOOKUP($A338,$A$4:$O$28,6,0)*(HLOOKUP(I$318,'2.2.Brecha Efectiva x UdM'!$H$64:$AK$71,4,0))</f>
        <v>0</v>
      </c>
      <c r="J338" s="31">
        <f>VLOOKUP($A338,$A$4:$O$28,6,0)*(HLOOKUP(J$318,'2.2.Brecha Efectiva x UdM'!$H$64:$AK$71,4,0))</f>
        <v>0</v>
      </c>
      <c r="K338" s="31">
        <f>VLOOKUP($A338,$A$4:$O$28,6,0)*(HLOOKUP(K$318,'2.2.Brecha Efectiva x UdM'!$H$64:$AK$71,4,0))</f>
        <v>0</v>
      </c>
      <c r="L338" s="31">
        <f>VLOOKUP($A338,$A$4:$O$28,6,0)*(HLOOKUP(L$318,'2.2.Brecha Efectiva x UdM'!$H$64:$AK$71,4,0))</f>
        <v>0</v>
      </c>
      <c r="M338" s="31">
        <f>VLOOKUP($A338,$A$4:$O$28,6,0)*(HLOOKUP(M$318,'2.2.Brecha Efectiva x UdM'!$H$64:$AK$71,4,0))</f>
        <v>0</v>
      </c>
      <c r="N338" s="31">
        <f>VLOOKUP($A338,$A$4:$O$28,6,0)*(HLOOKUP(N$318,'2.2.Brecha Efectiva x UdM'!$H$64:$AK$71,4,0))</f>
        <v>0</v>
      </c>
      <c r="O338" s="31">
        <f>VLOOKUP($A338,$A$4:$O$28,6,0)*(HLOOKUP(O$318,'2.2.Brecha Efectiva x UdM'!$H$64:$AK$71,4,0))</f>
        <v>0</v>
      </c>
      <c r="P338" s="31">
        <f>VLOOKUP($A338,$A$4:$O$28,6,0)*(HLOOKUP(P$318,'2.2.Brecha Efectiva x UdM'!$H$64:$AK$71,4,0))</f>
        <v>0</v>
      </c>
      <c r="Q338" s="31">
        <f>VLOOKUP($A338,$A$4:$O$28,6,0)*(HLOOKUP(Q$318,'2.2.Brecha Efectiva x UdM'!$H$64:$AK$71,4,0))</f>
        <v>0</v>
      </c>
      <c r="R338" s="31">
        <f>VLOOKUP($A338,$A$4:$O$28,6,0)*(HLOOKUP(R$318,'2.2.Brecha Efectiva x UdM'!$H$64:$AK$71,4,0))</f>
        <v>0</v>
      </c>
      <c r="S338" s="31">
        <f>VLOOKUP($A338,$A$4:$O$28,6,0)*(HLOOKUP(S$318,'2.2.Brecha Efectiva x UdM'!$H$64:$AK$71,4,0))</f>
        <v>0</v>
      </c>
      <c r="T338" s="31">
        <f>VLOOKUP($A338,$A$4:$O$28,6,0)*(HLOOKUP(T$318,'2.2.Brecha Efectiva x UdM'!$H$64:$AK$71,4,0))</f>
        <v>0</v>
      </c>
      <c r="U338" s="31">
        <f>VLOOKUP($A338,$A$4:$O$28,6,0)*(HLOOKUP(U$318,'2.2.Brecha Efectiva x UdM'!$H$64:$AK$71,4,0))</f>
        <v>0</v>
      </c>
      <c r="V338" s="31">
        <f>VLOOKUP($A338,$A$4:$O$28,6,0)*(HLOOKUP(V$318,'2.2.Brecha Efectiva x UdM'!$H$64:$AK$71,4,0))</f>
        <v>0</v>
      </c>
      <c r="W338" s="31">
        <f>VLOOKUP($A338,$A$4:$O$28,6,0)*(HLOOKUP(W$318,'2.2.Brecha Efectiva x UdM'!$H$64:$AK$71,4,0))</f>
        <v>0</v>
      </c>
      <c r="X338" s="31">
        <f>VLOOKUP($A338,$A$4:$O$28,6,0)*(HLOOKUP(X$318,'2.2.Brecha Efectiva x UdM'!$H$64:$AK$71,4,0))</f>
        <v>0</v>
      </c>
      <c r="Y338" s="31">
        <f>VLOOKUP($A338,$A$4:$O$28,6,0)*(HLOOKUP(Y$318,'2.2.Brecha Efectiva x UdM'!$H$64:$AK$71,4,0))</f>
        <v>0</v>
      </c>
      <c r="Z338" s="31">
        <f>VLOOKUP($A338,$A$4:$O$28,6,0)*(HLOOKUP(Z$318,'2.2.Brecha Efectiva x UdM'!$H$64:$AK$71,4,0))</f>
        <v>0</v>
      </c>
      <c r="AA338" s="31">
        <f>VLOOKUP($A338,$A$4:$O$28,6,0)*(HLOOKUP(AA$318,'2.2.Brecha Efectiva x UdM'!$H$64:$AK$71,4,0))</f>
        <v>0</v>
      </c>
      <c r="AB338" s="31">
        <f>VLOOKUP($A338,$A$4:$O$28,6,0)*(HLOOKUP(AB$318,'2.2.Brecha Efectiva x UdM'!$H$64:$AK$71,4,0))</f>
        <v>0</v>
      </c>
      <c r="AC338" s="31">
        <f>VLOOKUP($A338,$A$4:$O$28,6,0)*(HLOOKUP(AC$318,'2.2.Brecha Efectiva x UdM'!$H$64:$AK$71,4,0))</f>
        <v>0</v>
      </c>
      <c r="AD338" s="31">
        <f>VLOOKUP($A338,$A$4:$O$28,6,0)*(HLOOKUP(AD$318,'2.2.Brecha Efectiva x UdM'!$H$64:$AK$71,4,0))</f>
        <v>0</v>
      </c>
      <c r="AE338" s="31">
        <f>VLOOKUP($A338,$A$4:$O$28,6,0)*(HLOOKUP(AE$318,'2.2.Brecha Efectiva x UdM'!$H$64:$AK$71,4,0))</f>
        <v>0</v>
      </c>
      <c r="AF338" s="31">
        <f>VLOOKUP($A338,$A$4:$O$28,6,0)*(HLOOKUP(AF$318,'2.2.Brecha Efectiva x UdM'!$H$64:$AK$71,4,0))</f>
        <v>0</v>
      </c>
      <c r="AG338" s="31">
        <f>VLOOKUP($A338,$A$4:$O$28,6,0)*(HLOOKUP(AG$318,'2.2.Brecha Efectiva x UdM'!$H$64:$AK$71,4,0))</f>
        <v>0</v>
      </c>
      <c r="AH338" s="63">
        <f t="shared" si="327"/>
        <v>164152682.55659908</v>
      </c>
    </row>
    <row r="339" spans="1:34" x14ac:dyDescent="0.2">
      <c r="A339" s="25" t="str">
        <f t="shared" si="324"/>
        <v>Santa Fe</v>
      </c>
      <c r="B339" s="51" t="str">
        <f t="shared" si="325"/>
        <v>Nombre UdM 3</v>
      </c>
      <c r="C339" s="25" t="str">
        <f t="shared" si="326"/>
        <v>Santa Fe Nombre UdM 3</v>
      </c>
      <c r="D339" s="32">
        <f>VLOOKUP($A339,$A$4:$O$28,6,0)*(HLOOKUP(D$318,'2.2.Brecha Efectiva x UdM'!$H$64:$AK$71,4,0))</f>
        <v>0</v>
      </c>
      <c r="E339" s="32">
        <f>VLOOKUP($A339,$A$4:$O$28,6,0)*(HLOOKUP(E$318,'2.2.Brecha Efectiva x UdM'!$H$64:$AK$71,4,0))</f>
        <v>0</v>
      </c>
      <c r="F339" s="32">
        <f>VLOOKUP($A339,$A$4:$O$28,6,0)*(HLOOKUP(F$318,'2.2.Brecha Efectiva x UdM'!$H$64:$AK$71,4,0))</f>
        <v>0</v>
      </c>
      <c r="G339" s="32">
        <f>VLOOKUP($A339,$A$4:$O$28,6,0)*(HLOOKUP(G$318,'2.2.Brecha Efectiva x UdM'!$H$64:$AK$71,4,0))</f>
        <v>0</v>
      </c>
      <c r="H339" s="32">
        <f>VLOOKUP($A339,$A$4:$O$28,6,0)*(HLOOKUP(H$318,'2.2.Brecha Efectiva x UdM'!$H$64:$AK$71,4,0))</f>
        <v>0</v>
      </c>
      <c r="I339" s="32">
        <f>VLOOKUP($A339,$A$4:$O$28,6,0)*(HLOOKUP(I$318,'2.2.Brecha Efectiva x UdM'!$H$64:$AK$71,4,0))</f>
        <v>0</v>
      </c>
      <c r="J339" s="32">
        <f>VLOOKUP($A339,$A$4:$O$28,6,0)*(HLOOKUP(J$318,'2.2.Brecha Efectiva x UdM'!$H$64:$AK$71,4,0))</f>
        <v>0</v>
      </c>
      <c r="K339" s="32">
        <f>VLOOKUP($A339,$A$4:$O$28,6,0)*(HLOOKUP(K$318,'2.2.Brecha Efectiva x UdM'!$H$64:$AK$71,4,0))</f>
        <v>0</v>
      </c>
      <c r="L339" s="32">
        <f>VLOOKUP($A339,$A$4:$O$28,6,0)*(HLOOKUP(L$318,'2.2.Brecha Efectiva x UdM'!$H$64:$AK$71,4,0))</f>
        <v>0</v>
      </c>
      <c r="M339" s="32">
        <f>VLOOKUP($A339,$A$4:$O$28,6,0)*(HLOOKUP(M$318,'2.2.Brecha Efectiva x UdM'!$H$64:$AK$71,4,0))</f>
        <v>0</v>
      </c>
      <c r="N339" s="32">
        <f>VLOOKUP($A339,$A$4:$O$28,6,0)*(HLOOKUP(N$318,'2.2.Brecha Efectiva x UdM'!$H$64:$AK$71,4,0))</f>
        <v>0</v>
      </c>
      <c r="O339" s="32">
        <f>VLOOKUP($A339,$A$4:$O$28,6,0)*(HLOOKUP(O$318,'2.2.Brecha Efectiva x UdM'!$H$64:$AK$71,4,0))</f>
        <v>0</v>
      </c>
      <c r="P339" s="32">
        <f>VLOOKUP($A339,$A$4:$O$28,6,0)*(HLOOKUP(P$318,'2.2.Brecha Efectiva x UdM'!$H$64:$AK$71,4,0))</f>
        <v>0</v>
      </c>
      <c r="Q339" s="32">
        <f>VLOOKUP($A339,$A$4:$O$28,6,0)*(HLOOKUP(Q$318,'2.2.Brecha Efectiva x UdM'!$H$64:$AK$71,4,0))</f>
        <v>0</v>
      </c>
      <c r="R339" s="32">
        <f>VLOOKUP($A339,$A$4:$O$28,6,0)*(HLOOKUP(R$318,'2.2.Brecha Efectiva x UdM'!$H$64:$AK$71,4,0))</f>
        <v>0</v>
      </c>
      <c r="S339" s="32">
        <f>VLOOKUP($A339,$A$4:$O$28,6,0)*(HLOOKUP(S$318,'2.2.Brecha Efectiva x UdM'!$H$64:$AK$71,4,0))</f>
        <v>0</v>
      </c>
      <c r="T339" s="32">
        <f>VLOOKUP($A339,$A$4:$O$28,6,0)*(HLOOKUP(T$318,'2.2.Brecha Efectiva x UdM'!$H$64:$AK$71,4,0))</f>
        <v>0</v>
      </c>
      <c r="U339" s="32">
        <f>VLOOKUP($A339,$A$4:$O$28,6,0)*(HLOOKUP(U$318,'2.2.Brecha Efectiva x UdM'!$H$64:$AK$71,4,0))</f>
        <v>0</v>
      </c>
      <c r="V339" s="32">
        <f>VLOOKUP($A339,$A$4:$O$28,6,0)*(HLOOKUP(V$318,'2.2.Brecha Efectiva x UdM'!$H$64:$AK$71,4,0))</f>
        <v>0</v>
      </c>
      <c r="W339" s="32">
        <f>VLOOKUP($A339,$A$4:$O$28,6,0)*(HLOOKUP(W$318,'2.2.Brecha Efectiva x UdM'!$H$64:$AK$71,4,0))</f>
        <v>0</v>
      </c>
      <c r="X339" s="32">
        <f>VLOOKUP($A339,$A$4:$O$28,6,0)*(HLOOKUP(X$318,'2.2.Brecha Efectiva x UdM'!$H$64:$AK$71,4,0))</f>
        <v>0</v>
      </c>
      <c r="Y339" s="32">
        <f>VLOOKUP($A339,$A$4:$O$28,6,0)*(HLOOKUP(Y$318,'2.2.Brecha Efectiva x UdM'!$H$64:$AK$71,4,0))</f>
        <v>0</v>
      </c>
      <c r="Z339" s="32">
        <f>VLOOKUP($A339,$A$4:$O$28,6,0)*(HLOOKUP(Z$318,'2.2.Brecha Efectiva x UdM'!$H$64:$AK$71,4,0))</f>
        <v>0</v>
      </c>
      <c r="AA339" s="32">
        <f>VLOOKUP($A339,$A$4:$O$28,6,0)*(HLOOKUP(AA$318,'2.2.Brecha Efectiva x UdM'!$H$64:$AK$71,4,0))</f>
        <v>0</v>
      </c>
      <c r="AB339" s="32">
        <f>VLOOKUP($A339,$A$4:$O$28,6,0)*(HLOOKUP(AB$318,'2.2.Brecha Efectiva x UdM'!$H$64:$AK$71,4,0))</f>
        <v>0</v>
      </c>
      <c r="AC339" s="32">
        <f>VLOOKUP($A339,$A$4:$O$28,6,0)*(HLOOKUP(AC$318,'2.2.Brecha Efectiva x UdM'!$H$64:$AK$71,4,0))</f>
        <v>0</v>
      </c>
      <c r="AD339" s="32">
        <f>VLOOKUP($A339,$A$4:$O$28,6,0)*(HLOOKUP(AD$318,'2.2.Brecha Efectiva x UdM'!$H$64:$AK$71,4,0))</f>
        <v>0</v>
      </c>
      <c r="AE339" s="32">
        <f>VLOOKUP($A339,$A$4:$O$28,6,0)*(HLOOKUP(AE$318,'2.2.Brecha Efectiva x UdM'!$H$64:$AK$71,4,0))</f>
        <v>0</v>
      </c>
      <c r="AF339" s="32">
        <f>VLOOKUP($A339,$A$4:$O$28,6,0)*(HLOOKUP(AF$318,'2.2.Brecha Efectiva x UdM'!$H$64:$AK$71,4,0))</f>
        <v>0</v>
      </c>
      <c r="AG339" s="32">
        <f>VLOOKUP($A339,$A$4:$O$28,6,0)*(HLOOKUP(AG$318,'2.2.Brecha Efectiva x UdM'!$H$64:$AK$71,4,0))</f>
        <v>0</v>
      </c>
      <c r="AH339" s="62">
        <f t="shared" si="327"/>
        <v>0</v>
      </c>
    </row>
    <row r="340" spans="1:34" x14ac:dyDescent="0.2">
      <c r="A340" s="26" t="str">
        <f t="shared" si="324"/>
        <v>Santiago del Estero</v>
      </c>
      <c r="B340" s="52" t="str">
        <f t="shared" si="325"/>
        <v>Nombre UdM 3</v>
      </c>
      <c r="C340" s="26" t="str">
        <f t="shared" si="326"/>
        <v>Santiago del Estero Nombre UdM 3</v>
      </c>
      <c r="D340" s="31">
        <f>VLOOKUP($A340,$A$4:$O$28,6,0)*(HLOOKUP(D$318,'2.2.Brecha Efectiva x UdM'!$H$64:$AK$71,4,0))</f>
        <v>18637249.016813934</v>
      </c>
      <c r="E340" s="31">
        <f>VLOOKUP($A340,$A$4:$O$28,6,0)*(HLOOKUP(E$318,'2.2.Brecha Efectiva x UdM'!$H$64:$AK$71,4,0))</f>
        <v>126680231.76258755</v>
      </c>
      <c r="F340" s="31">
        <f>VLOOKUP($A340,$A$4:$O$28,6,0)*(HLOOKUP(F$318,'2.2.Brecha Efectiva x UdM'!$H$64:$AK$71,4,0))</f>
        <v>6439107.5355445556</v>
      </c>
      <c r="G340" s="31">
        <f>VLOOKUP($A340,$A$4:$O$28,6,0)*(HLOOKUP(G$318,'2.2.Brecha Efectiva x UdM'!$H$64:$AK$71,4,0))</f>
        <v>3522976.265620681</v>
      </c>
      <c r="H340" s="31">
        <f>VLOOKUP($A340,$A$4:$O$28,6,0)*(HLOOKUP(H$318,'2.2.Brecha Efectiva x UdM'!$H$64:$AK$71,4,0))</f>
        <v>0</v>
      </c>
      <c r="I340" s="31">
        <f>VLOOKUP($A340,$A$4:$O$28,6,0)*(HLOOKUP(I$318,'2.2.Brecha Efectiva x UdM'!$H$64:$AK$71,4,0))</f>
        <v>0</v>
      </c>
      <c r="J340" s="31">
        <f>VLOOKUP($A340,$A$4:$O$28,6,0)*(HLOOKUP(J$318,'2.2.Brecha Efectiva x UdM'!$H$64:$AK$71,4,0))</f>
        <v>0</v>
      </c>
      <c r="K340" s="31">
        <f>VLOOKUP($A340,$A$4:$O$28,6,0)*(HLOOKUP(K$318,'2.2.Brecha Efectiva x UdM'!$H$64:$AK$71,4,0))</f>
        <v>0</v>
      </c>
      <c r="L340" s="31">
        <f>VLOOKUP($A340,$A$4:$O$28,6,0)*(HLOOKUP(L$318,'2.2.Brecha Efectiva x UdM'!$H$64:$AK$71,4,0))</f>
        <v>0</v>
      </c>
      <c r="M340" s="31">
        <f>VLOOKUP($A340,$A$4:$O$28,6,0)*(HLOOKUP(M$318,'2.2.Brecha Efectiva x UdM'!$H$64:$AK$71,4,0))</f>
        <v>0</v>
      </c>
      <c r="N340" s="31">
        <f>VLOOKUP($A340,$A$4:$O$28,6,0)*(HLOOKUP(N$318,'2.2.Brecha Efectiva x UdM'!$H$64:$AK$71,4,0))</f>
        <v>0</v>
      </c>
      <c r="O340" s="31">
        <f>VLOOKUP($A340,$A$4:$O$28,6,0)*(HLOOKUP(O$318,'2.2.Brecha Efectiva x UdM'!$H$64:$AK$71,4,0))</f>
        <v>0</v>
      </c>
      <c r="P340" s="31">
        <f>VLOOKUP($A340,$A$4:$O$28,6,0)*(HLOOKUP(P$318,'2.2.Brecha Efectiva x UdM'!$H$64:$AK$71,4,0))</f>
        <v>0</v>
      </c>
      <c r="Q340" s="31">
        <f>VLOOKUP($A340,$A$4:$O$28,6,0)*(HLOOKUP(Q$318,'2.2.Brecha Efectiva x UdM'!$H$64:$AK$71,4,0))</f>
        <v>0</v>
      </c>
      <c r="R340" s="31">
        <f>VLOOKUP($A340,$A$4:$O$28,6,0)*(HLOOKUP(R$318,'2.2.Brecha Efectiva x UdM'!$H$64:$AK$71,4,0))</f>
        <v>0</v>
      </c>
      <c r="S340" s="31">
        <f>VLOOKUP($A340,$A$4:$O$28,6,0)*(HLOOKUP(S$318,'2.2.Brecha Efectiva x UdM'!$H$64:$AK$71,4,0))</f>
        <v>0</v>
      </c>
      <c r="T340" s="31">
        <f>VLOOKUP($A340,$A$4:$O$28,6,0)*(HLOOKUP(T$318,'2.2.Brecha Efectiva x UdM'!$H$64:$AK$71,4,0))</f>
        <v>0</v>
      </c>
      <c r="U340" s="31">
        <f>VLOOKUP($A340,$A$4:$O$28,6,0)*(HLOOKUP(U$318,'2.2.Brecha Efectiva x UdM'!$H$64:$AK$71,4,0))</f>
        <v>0</v>
      </c>
      <c r="V340" s="31">
        <f>VLOOKUP($A340,$A$4:$O$28,6,0)*(HLOOKUP(V$318,'2.2.Brecha Efectiva x UdM'!$H$64:$AK$71,4,0))</f>
        <v>0</v>
      </c>
      <c r="W340" s="31">
        <f>VLOOKUP($A340,$A$4:$O$28,6,0)*(HLOOKUP(W$318,'2.2.Brecha Efectiva x UdM'!$H$64:$AK$71,4,0))</f>
        <v>0</v>
      </c>
      <c r="X340" s="31">
        <f>VLOOKUP($A340,$A$4:$O$28,6,0)*(HLOOKUP(X$318,'2.2.Brecha Efectiva x UdM'!$H$64:$AK$71,4,0))</f>
        <v>0</v>
      </c>
      <c r="Y340" s="31">
        <f>VLOOKUP($A340,$A$4:$O$28,6,0)*(HLOOKUP(Y$318,'2.2.Brecha Efectiva x UdM'!$H$64:$AK$71,4,0))</f>
        <v>0</v>
      </c>
      <c r="Z340" s="31">
        <f>VLOOKUP($A340,$A$4:$O$28,6,0)*(HLOOKUP(Z$318,'2.2.Brecha Efectiva x UdM'!$H$64:$AK$71,4,0))</f>
        <v>0</v>
      </c>
      <c r="AA340" s="31">
        <f>VLOOKUP($A340,$A$4:$O$28,6,0)*(HLOOKUP(AA$318,'2.2.Brecha Efectiva x UdM'!$H$64:$AK$71,4,0))</f>
        <v>0</v>
      </c>
      <c r="AB340" s="31">
        <f>VLOOKUP($A340,$A$4:$O$28,6,0)*(HLOOKUP(AB$318,'2.2.Brecha Efectiva x UdM'!$H$64:$AK$71,4,0))</f>
        <v>0</v>
      </c>
      <c r="AC340" s="31">
        <f>VLOOKUP($A340,$A$4:$O$28,6,0)*(HLOOKUP(AC$318,'2.2.Brecha Efectiva x UdM'!$H$64:$AK$71,4,0))</f>
        <v>0</v>
      </c>
      <c r="AD340" s="31">
        <f>VLOOKUP($A340,$A$4:$O$28,6,0)*(HLOOKUP(AD$318,'2.2.Brecha Efectiva x UdM'!$H$64:$AK$71,4,0))</f>
        <v>0</v>
      </c>
      <c r="AE340" s="31">
        <f>VLOOKUP($A340,$A$4:$O$28,6,0)*(HLOOKUP(AE$318,'2.2.Brecha Efectiva x UdM'!$H$64:$AK$71,4,0))</f>
        <v>0</v>
      </c>
      <c r="AF340" s="31">
        <f>VLOOKUP($A340,$A$4:$O$28,6,0)*(HLOOKUP(AF$318,'2.2.Brecha Efectiva x UdM'!$H$64:$AK$71,4,0))</f>
        <v>0</v>
      </c>
      <c r="AG340" s="31">
        <f>VLOOKUP($A340,$A$4:$O$28,6,0)*(HLOOKUP(AG$318,'2.2.Brecha Efectiva x UdM'!$H$64:$AK$71,4,0))</f>
        <v>0</v>
      </c>
      <c r="AH340" s="63">
        <f t="shared" si="327"/>
        <v>155279564.5805667</v>
      </c>
    </row>
    <row r="341" spans="1:34" x14ac:dyDescent="0.2">
      <c r="A341" s="25" t="str">
        <f t="shared" si="324"/>
        <v>Tierra del Fuego</v>
      </c>
      <c r="B341" s="51" t="str">
        <f t="shared" si="325"/>
        <v>Nombre UdM 3</v>
      </c>
      <c r="C341" s="25" t="str">
        <f t="shared" si="326"/>
        <v>Tierra del Fuego Nombre UdM 3</v>
      </c>
      <c r="D341" s="32">
        <f>VLOOKUP($A341,$A$4:$O$28,6,0)*(HLOOKUP(D$318,'2.2.Brecha Efectiva x UdM'!$H$64:$AK$71,4,0))</f>
        <v>29952721.634165253</v>
      </c>
      <c r="E341" s="32">
        <f>VLOOKUP($A341,$A$4:$O$28,6,0)*(HLOOKUP(E$318,'2.2.Brecha Efectiva x UdM'!$H$64:$AK$71,4,0))</f>
        <v>203593229.61844429</v>
      </c>
      <c r="F341" s="32">
        <f>VLOOKUP($A341,$A$4:$O$28,6,0)*(HLOOKUP(F$318,'2.2.Brecha Efectiva x UdM'!$H$64:$AK$71,4,0))</f>
        <v>10348565.682125181</v>
      </c>
      <c r="G341" s="32">
        <f>VLOOKUP($A341,$A$4:$O$28,6,0)*(HLOOKUP(G$318,'2.2.Brecha Efectiva x UdM'!$H$64:$AK$71,4,0))</f>
        <v>5661926.1411760952</v>
      </c>
      <c r="H341" s="32">
        <f>VLOOKUP($A341,$A$4:$O$28,6,0)*(HLOOKUP(H$318,'2.2.Brecha Efectiva x UdM'!$H$64:$AK$71,4,0))</f>
        <v>0</v>
      </c>
      <c r="I341" s="32">
        <f>VLOOKUP($A341,$A$4:$O$28,6,0)*(HLOOKUP(I$318,'2.2.Brecha Efectiva x UdM'!$H$64:$AK$71,4,0))</f>
        <v>0</v>
      </c>
      <c r="J341" s="32">
        <f>VLOOKUP($A341,$A$4:$O$28,6,0)*(HLOOKUP(J$318,'2.2.Brecha Efectiva x UdM'!$H$64:$AK$71,4,0))</f>
        <v>0</v>
      </c>
      <c r="K341" s="32">
        <f>VLOOKUP($A341,$A$4:$O$28,6,0)*(HLOOKUP(K$318,'2.2.Brecha Efectiva x UdM'!$H$64:$AK$71,4,0))</f>
        <v>0</v>
      </c>
      <c r="L341" s="32">
        <f>VLOOKUP($A341,$A$4:$O$28,6,0)*(HLOOKUP(L$318,'2.2.Brecha Efectiva x UdM'!$H$64:$AK$71,4,0))</f>
        <v>0</v>
      </c>
      <c r="M341" s="32">
        <f>VLOOKUP($A341,$A$4:$O$28,6,0)*(HLOOKUP(M$318,'2.2.Brecha Efectiva x UdM'!$H$64:$AK$71,4,0))</f>
        <v>0</v>
      </c>
      <c r="N341" s="32">
        <f>VLOOKUP($A341,$A$4:$O$28,6,0)*(HLOOKUP(N$318,'2.2.Brecha Efectiva x UdM'!$H$64:$AK$71,4,0))</f>
        <v>0</v>
      </c>
      <c r="O341" s="32">
        <f>VLOOKUP($A341,$A$4:$O$28,6,0)*(HLOOKUP(O$318,'2.2.Brecha Efectiva x UdM'!$H$64:$AK$71,4,0))</f>
        <v>0</v>
      </c>
      <c r="P341" s="32">
        <f>VLOOKUP($A341,$A$4:$O$28,6,0)*(HLOOKUP(P$318,'2.2.Brecha Efectiva x UdM'!$H$64:$AK$71,4,0))</f>
        <v>0</v>
      </c>
      <c r="Q341" s="32">
        <f>VLOOKUP($A341,$A$4:$O$28,6,0)*(HLOOKUP(Q$318,'2.2.Brecha Efectiva x UdM'!$H$64:$AK$71,4,0))</f>
        <v>0</v>
      </c>
      <c r="R341" s="32">
        <f>VLOOKUP($A341,$A$4:$O$28,6,0)*(HLOOKUP(R$318,'2.2.Brecha Efectiva x UdM'!$H$64:$AK$71,4,0))</f>
        <v>0</v>
      </c>
      <c r="S341" s="32">
        <f>VLOOKUP($A341,$A$4:$O$28,6,0)*(HLOOKUP(S$318,'2.2.Brecha Efectiva x UdM'!$H$64:$AK$71,4,0))</f>
        <v>0</v>
      </c>
      <c r="T341" s="32">
        <f>VLOOKUP($A341,$A$4:$O$28,6,0)*(HLOOKUP(T$318,'2.2.Brecha Efectiva x UdM'!$H$64:$AK$71,4,0))</f>
        <v>0</v>
      </c>
      <c r="U341" s="32">
        <f>VLOOKUP($A341,$A$4:$O$28,6,0)*(HLOOKUP(U$318,'2.2.Brecha Efectiva x UdM'!$H$64:$AK$71,4,0))</f>
        <v>0</v>
      </c>
      <c r="V341" s="32">
        <f>VLOOKUP($A341,$A$4:$O$28,6,0)*(HLOOKUP(V$318,'2.2.Brecha Efectiva x UdM'!$H$64:$AK$71,4,0))</f>
        <v>0</v>
      </c>
      <c r="W341" s="32">
        <f>VLOOKUP($A341,$A$4:$O$28,6,0)*(HLOOKUP(W$318,'2.2.Brecha Efectiva x UdM'!$H$64:$AK$71,4,0))</f>
        <v>0</v>
      </c>
      <c r="X341" s="32">
        <f>VLOOKUP($A341,$A$4:$O$28,6,0)*(HLOOKUP(X$318,'2.2.Brecha Efectiva x UdM'!$H$64:$AK$71,4,0))</f>
        <v>0</v>
      </c>
      <c r="Y341" s="32">
        <f>VLOOKUP($A341,$A$4:$O$28,6,0)*(HLOOKUP(Y$318,'2.2.Brecha Efectiva x UdM'!$H$64:$AK$71,4,0))</f>
        <v>0</v>
      </c>
      <c r="Z341" s="32">
        <f>VLOOKUP($A341,$A$4:$O$28,6,0)*(HLOOKUP(Z$318,'2.2.Brecha Efectiva x UdM'!$H$64:$AK$71,4,0))</f>
        <v>0</v>
      </c>
      <c r="AA341" s="32">
        <f>VLOOKUP($A341,$A$4:$O$28,6,0)*(HLOOKUP(AA$318,'2.2.Brecha Efectiva x UdM'!$H$64:$AK$71,4,0))</f>
        <v>0</v>
      </c>
      <c r="AB341" s="32">
        <f>VLOOKUP($A341,$A$4:$O$28,6,0)*(HLOOKUP(AB$318,'2.2.Brecha Efectiva x UdM'!$H$64:$AK$71,4,0))</f>
        <v>0</v>
      </c>
      <c r="AC341" s="32">
        <f>VLOOKUP($A341,$A$4:$O$28,6,0)*(HLOOKUP(AC$318,'2.2.Brecha Efectiva x UdM'!$H$64:$AK$71,4,0))</f>
        <v>0</v>
      </c>
      <c r="AD341" s="32">
        <f>VLOOKUP($A341,$A$4:$O$28,6,0)*(HLOOKUP(AD$318,'2.2.Brecha Efectiva x UdM'!$H$64:$AK$71,4,0))</f>
        <v>0</v>
      </c>
      <c r="AE341" s="32">
        <f>VLOOKUP($A341,$A$4:$O$28,6,0)*(HLOOKUP(AE$318,'2.2.Brecha Efectiva x UdM'!$H$64:$AK$71,4,0))</f>
        <v>0</v>
      </c>
      <c r="AF341" s="32">
        <f>VLOOKUP($A341,$A$4:$O$28,6,0)*(HLOOKUP(AF$318,'2.2.Brecha Efectiva x UdM'!$H$64:$AK$71,4,0))</f>
        <v>0</v>
      </c>
      <c r="AG341" s="32">
        <f>VLOOKUP($A341,$A$4:$O$28,6,0)*(HLOOKUP(AG$318,'2.2.Brecha Efectiva x UdM'!$H$64:$AK$71,4,0))</f>
        <v>0</v>
      </c>
      <c r="AH341" s="62">
        <f t="shared" si="327"/>
        <v>249556443.07591084</v>
      </c>
    </row>
    <row r="342" spans="1:34" x14ac:dyDescent="0.2">
      <c r="A342" s="26" t="str">
        <f t="shared" si="324"/>
        <v>Tucumán</v>
      </c>
      <c r="B342" s="52" t="str">
        <f t="shared" si="325"/>
        <v>Nombre UdM 3</v>
      </c>
      <c r="C342" s="26" t="str">
        <f t="shared" si="326"/>
        <v>Tucumán Nombre UdM 3</v>
      </c>
      <c r="D342" s="31">
        <f>VLOOKUP($A342,$A$4:$O$28,6,0)*(HLOOKUP(D$318,'2.2.Brecha Efectiva x UdM'!$H$64:$AK$71,4,0))</f>
        <v>0</v>
      </c>
      <c r="E342" s="31">
        <f>VLOOKUP($A342,$A$4:$O$28,6,0)*(HLOOKUP(E$318,'2.2.Brecha Efectiva x UdM'!$H$64:$AK$71,4,0))</f>
        <v>0</v>
      </c>
      <c r="F342" s="31">
        <f>VLOOKUP($A342,$A$4:$O$28,6,0)*(HLOOKUP(F$318,'2.2.Brecha Efectiva x UdM'!$H$64:$AK$71,4,0))</f>
        <v>0</v>
      </c>
      <c r="G342" s="31">
        <f>VLOOKUP($A342,$A$4:$O$28,6,0)*(HLOOKUP(G$318,'2.2.Brecha Efectiva x UdM'!$H$64:$AK$71,4,0))</f>
        <v>0</v>
      </c>
      <c r="H342" s="31">
        <f>VLOOKUP($A342,$A$4:$O$28,6,0)*(HLOOKUP(H$318,'2.2.Brecha Efectiva x UdM'!$H$64:$AK$71,4,0))</f>
        <v>0</v>
      </c>
      <c r="I342" s="31">
        <f>VLOOKUP($A342,$A$4:$O$28,6,0)*(HLOOKUP(I$318,'2.2.Brecha Efectiva x UdM'!$H$64:$AK$71,4,0))</f>
        <v>0</v>
      </c>
      <c r="J342" s="31">
        <f>VLOOKUP($A342,$A$4:$O$28,6,0)*(HLOOKUP(J$318,'2.2.Brecha Efectiva x UdM'!$H$64:$AK$71,4,0))</f>
        <v>0</v>
      </c>
      <c r="K342" s="31">
        <f>VLOOKUP($A342,$A$4:$O$28,6,0)*(HLOOKUP(K$318,'2.2.Brecha Efectiva x UdM'!$H$64:$AK$71,4,0))</f>
        <v>0</v>
      </c>
      <c r="L342" s="31">
        <f>VLOOKUP($A342,$A$4:$O$28,6,0)*(HLOOKUP(L$318,'2.2.Brecha Efectiva x UdM'!$H$64:$AK$71,4,0))</f>
        <v>0</v>
      </c>
      <c r="M342" s="31">
        <f>VLOOKUP($A342,$A$4:$O$28,6,0)*(HLOOKUP(M$318,'2.2.Brecha Efectiva x UdM'!$H$64:$AK$71,4,0))</f>
        <v>0</v>
      </c>
      <c r="N342" s="31">
        <f>VLOOKUP($A342,$A$4:$O$28,6,0)*(HLOOKUP(N$318,'2.2.Brecha Efectiva x UdM'!$H$64:$AK$71,4,0))</f>
        <v>0</v>
      </c>
      <c r="O342" s="31">
        <f>VLOOKUP($A342,$A$4:$O$28,6,0)*(HLOOKUP(O$318,'2.2.Brecha Efectiva x UdM'!$H$64:$AK$71,4,0))</f>
        <v>0</v>
      </c>
      <c r="P342" s="31">
        <f>VLOOKUP($A342,$A$4:$O$28,6,0)*(HLOOKUP(P$318,'2.2.Brecha Efectiva x UdM'!$H$64:$AK$71,4,0))</f>
        <v>0</v>
      </c>
      <c r="Q342" s="31">
        <f>VLOOKUP($A342,$A$4:$O$28,6,0)*(HLOOKUP(Q$318,'2.2.Brecha Efectiva x UdM'!$H$64:$AK$71,4,0))</f>
        <v>0</v>
      </c>
      <c r="R342" s="31">
        <f>VLOOKUP($A342,$A$4:$O$28,6,0)*(HLOOKUP(R$318,'2.2.Brecha Efectiva x UdM'!$H$64:$AK$71,4,0))</f>
        <v>0</v>
      </c>
      <c r="S342" s="31">
        <f>VLOOKUP($A342,$A$4:$O$28,6,0)*(HLOOKUP(S$318,'2.2.Brecha Efectiva x UdM'!$H$64:$AK$71,4,0))</f>
        <v>0</v>
      </c>
      <c r="T342" s="31">
        <f>VLOOKUP($A342,$A$4:$O$28,6,0)*(HLOOKUP(T$318,'2.2.Brecha Efectiva x UdM'!$H$64:$AK$71,4,0))</f>
        <v>0</v>
      </c>
      <c r="U342" s="31">
        <f>VLOOKUP($A342,$A$4:$O$28,6,0)*(HLOOKUP(U$318,'2.2.Brecha Efectiva x UdM'!$H$64:$AK$71,4,0))</f>
        <v>0</v>
      </c>
      <c r="V342" s="31">
        <f>VLOOKUP($A342,$A$4:$O$28,6,0)*(HLOOKUP(V$318,'2.2.Brecha Efectiva x UdM'!$H$64:$AK$71,4,0))</f>
        <v>0</v>
      </c>
      <c r="W342" s="31">
        <f>VLOOKUP($A342,$A$4:$O$28,6,0)*(HLOOKUP(W$318,'2.2.Brecha Efectiva x UdM'!$H$64:$AK$71,4,0))</f>
        <v>0</v>
      </c>
      <c r="X342" s="31">
        <f>VLOOKUP($A342,$A$4:$O$28,6,0)*(HLOOKUP(X$318,'2.2.Brecha Efectiva x UdM'!$H$64:$AK$71,4,0))</f>
        <v>0</v>
      </c>
      <c r="Y342" s="31">
        <f>VLOOKUP($A342,$A$4:$O$28,6,0)*(HLOOKUP(Y$318,'2.2.Brecha Efectiva x UdM'!$H$64:$AK$71,4,0))</f>
        <v>0</v>
      </c>
      <c r="Z342" s="31">
        <f>VLOOKUP($A342,$A$4:$O$28,6,0)*(HLOOKUP(Z$318,'2.2.Brecha Efectiva x UdM'!$H$64:$AK$71,4,0))</f>
        <v>0</v>
      </c>
      <c r="AA342" s="31">
        <f>VLOOKUP($A342,$A$4:$O$28,6,0)*(HLOOKUP(AA$318,'2.2.Brecha Efectiva x UdM'!$H$64:$AK$71,4,0))</f>
        <v>0</v>
      </c>
      <c r="AB342" s="31">
        <f>VLOOKUP($A342,$A$4:$O$28,6,0)*(HLOOKUP(AB$318,'2.2.Brecha Efectiva x UdM'!$H$64:$AK$71,4,0))</f>
        <v>0</v>
      </c>
      <c r="AC342" s="31">
        <f>VLOOKUP($A342,$A$4:$O$28,6,0)*(HLOOKUP(AC$318,'2.2.Brecha Efectiva x UdM'!$H$64:$AK$71,4,0))</f>
        <v>0</v>
      </c>
      <c r="AD342" s="31">
        <f>VLOOKUP($A342,$A$4:$O$28,6,0)*(HLOOKUP(AD$318,'2.2.Brecha Efectiva x UdM'!$H$64:$AK$71,4,0))</f>
        <v>0</v>
      </c>
      <c r="AE342" s="31">
        <f>VLOOKUP($A342,$A$4:$O$28,6,0)*(HLOOKUP(AE$318,'2.2.Brecha Efectiva x UdM'!$H$64:$AK$71,4,0))</f>
        <v>0</v>
      </c>
      <c r="AF342" s="31">
        <f>VLOOKUP($A342,$A$4:$O$28,6,0)*(HLOOKUP(AF$318,'2.2.Brecha Efectiva x UdM'!$H$64:$AK$71,4,0))</f>
        <v>0</v>
      </c>
      <c r="AG342" s="31">
        <f>VLOOKUP($A342,$A$4:$O$28,6,0)*(HLOOKUP(AG$318,'2.2.Brecha Efectiva x UdM'!$H$64:$AK$71,4,0))</f>
        <v>0</v>
      </c>
      <c r="AH342" s="63">
        <f t="shared" si="327"/>
        <v>0</v>
      </c>
    </row>
    <row r="343" spans="1:34" x14ac:dyDescent="0.2">
      <c r="A343" s="34" t="str">
        <f>CONCATENATE("Total"," ",B319)</f>
        <v>Total Nombre UdM 3</v>
      </c>
      <c r="B343" s="29"/>
      <c r="C343" s="13"/>
      <c r="D343" s="13">
        <f>SUM(D319:D342)</f>
        <v>999631537.82054806</v>
      </c>
      <c r="E343" s="13">
        <f t="shared" ref="E343:AG343" si="328">SUM(E319:E342)</f>
        <v>6794648436.2608461</v>
      </c>
      <c r="F343" s="13">
        <f t="shared" si="328"/>
        <v>345369370.88415062</v>
      </c>
      <c r="G343" s="13">
        <f t="shared" si="328"/>
        <v>188959120.46517947</v>
      </c>
      <c r="H343" s="13">
        <f t="shared" si="328"/>
        <v>0</v>
      </c>
      <c r="I343" s="13">
        <f t="shared" si="328"/>
        <v>0</v>
      </c>
      <c r="J343" s="13">
        <f t="shared" si="328"/>
        <v>0</v>
      </c>
      <c r="K343" s="13">
        <f t="shared" si="328"/>
        <v>0</v>
      </c>
      <c r="L343" s="13">
        <f t="shared" si="328"/>
        <v>0</v>
      </c>
      <c r="M343" s="13">
        <f t="shared" si="328"/>
        <v>0</v>
      </c>
      <c r="N343" s="13">
        <f t="shared" si="328"/>
        <v>0</v>
      </c>
      <c r="O343" s="13">
        <f t="shared" si="328"/>
        <v>0</v>
      </c>
      <c r="P343" s="13">
        <f t="shared" si="328"/>
        <v>0</v>
      </c>
      <c r="Q343" s="13">
        <f t="shared" si="328"/>
        <v>0</v>
      </c>
      <c r="R343" s="13">
        <f t="shared" si="328"/>
        <v>0</v>
      </c>
      <c r="S343" s="13">
        <f t="shared" si="328"/>
        <v>0</v>
      </c>
      <c r="T343" s="13">
        <f t="shared" si="328"/>
        <v>0</v>
      </c>
      <c r="U343" s="13">
        <f t="shared" si="328"/>
        <v>0</v>
      </c>
      <c r="V343" s="13">
        <f t="shared" si="328"/>
        <v>0</v>
      </c>
      <c r="W343" s="13">
        <f t="shared" si="328"/>
        <v>0</v>
      </c>
      <c r="X343" s="13">
        <f t="shared" si="328"/>
        <v>0</v>
      </c>
      <c r="Y343" s="13">
        <f t="shared" si="328"/>
        <v>0</v>
      </c>
      <c r="Z343" s="13">
        <f t="shared" si="328"/>
        <v>0</v>
      </c>
      <c r="AA343" s="13">
        <f t="shared" si="328"/>
        <v>0</v>
      </c>
      <c r="AB343" s="13">
        <f t="shared" si="328"/>
        <v>0</v>
      </c>
      <c r="AC343" s="13">
        <f t="shared" si="328"/>
        <v>0</v>
      </c>
      <c r="AD343" s="13">
        <f t="shared" si="328"/>
        <v>0</v>
      </c>
      <c r="AE343" s="13">
        <f t="shared" si="328"/>
        <v>0</v>
      </c>
      <c r="AF343" s="13">
        <f t="shared" si="328"/>
        <v>0</v>
      </c>
      <c r="AG343" s="13">
        <f t="shared" si="328"/>
        <v>0</v>
      </c>
      <c r="AH343" s="13">
        <f t="shared" si="327"/>
        <v>8328608465.4307241</v>
      </c>
    </row>
    <row r="344" spans="1:34" x14ac:dyDescent="0.2">
      <c r="A344" s="34" t="str">
        <f>CONCATENATE("Total Acumulado"," ",B319)</f>
        <v>Total Acumulado Nombre UdM 3</v>
      </c>
      <c r="B344" s="29"/>
      <c r="C344" s="13"/>
      <c r="D344" s="13">
        <f>D343</f>
        <v>999631537.82054806</v>
      </c>
      <c r="E344" s="13">
        <f>E343+D344</f>
        <v>7794279974.0813942</v>
      </c>
      <c r="F344" s="13">
        <f t="shared" ref="F344" si="329">F343+E344</f>
        <v>8139649344.9655447</v>
      </c>
      <c r="G344" s="13">
        <f t="shared" ref="G344" si="330">G343+F344</f>
        <v>8328608465.4307241</v>
      </c>
      <c r="H344" s="13">
        <f t="shared" ref="H344" si="331">H343+G344</f>
        <v>8328608465.4307241</v>
      </c>
      <c r="I344" s="13">
        <f t="shared" ref="I344" si="332">I343+H344</f>
        <v>8328608465.4307241</v>
      </c>
      <c r="J344" s="13">
        <f t="shared" ref="J344" si="333">J343+I344</f>
        <v>8328608465.4307241</v>
      </c>
      <c r="K344" s="13">
        <f t="shared" ref="K344" si="334">K343+J344</f>
        <v>8328608465.4307241</v>
      </c>
      <c r="L344" s="13">
        <f t="shared" ref="L344" si="335">L343+K344</f>
        <v>8328608465.4307241</v>
      </c>
      <c r="M344" s="13">
        <f t="shared" ref="M344" si="336">M343+L344</f>
        <v>8328608465.4307241</v>
      </c>
      <c r="N344" s="13">
        <f t="shared" ref="N344" si="337">N343+M344</f>
        <v>8328608465.4307241</v>
      </c>
      <c r="O344" s="13">
        <f t="shared" ref="O344" si="338">O343+N344</f>
        <v>8328608465.4307241</v>
      </c>
      <c r="P344" s="13">
        <f t="shared" ref="P344" si="339">P343+O344</f>
        <v>8328608465.4307241</v>
      </c>
      <c r="Q344" s="13">
        <f t="shared" ref="Q344" si="340">Q343+P344</f>
        <v>8328608465.4307241</v>
      </c>
      <c r="R344" s="13">
        <f t="shared" ref="R344" si="341">R343+Q344</f>
        <v>8328608465.4307241</v>
      </c>
      <c r="S344" s="13">
        <f t="shared" ref="S344" si="342">S343+R344</f>
        <v>8328608465.4307241</v>
      </c>
      <c r="T344" s="13">
        <f t="shared" ref="T344" si="343">T343+S344</f>
        <v>8328608465.4307241</v>
      </c>
      <c r="U344" s="13">
        <f t="shared" ref="U344" si="344">U343+T344</f>
        <v>8328608465.4307241</v>
      </c>
      <c r="V344" s="13">
        <f t="shared" ref="V344" si="345">V343+U344</f>
        <v>8328608465.4307241</v>
      </c>
      <c r="W344" s="13">
        <f t="shared" ref="W344" si="346">W343+V344</f>
        <v>8328608465.4307241</v>
      </c>
      <c r="X344" s="13">
        <f t="shared" ref="X344" si="347">X343+W344</f>
        <v>8328608465.4307241</v>
      </c>
      <c r="Y344" s="13">
        <f t="shared" ref="Y344" si="348">Y343+X344</f>
        <v>8328608465.4307241</v>
      </c>
      <c r="Z344" s="13">
        <f t="shared" ref="Z344" si="349">Z343+Y344</f>
        <v>8328608465.4307241</v>
      </c>
      <c r="AA344" s="13">
        <f t="shared" ref="AA344" si="350">AA343+Z344</f>
        <v>8328608465.4307241</v>
      </c>
      <c r="AB344" s="13">
        <f t="shared" ref="AB344" si="351">AB343+AA344</f>
        <v>8328608465.4307241</v>
      </c>
      <c r="AC344" s="13">
        <f t="shared" ref="AC344" si="352">AC343+AB344</f>
        <v>8328608465.4307241</v>
      </c>
      <c r="AD344" s="13">
        <f t="shared" ref="AD344" si="353">AD343+AC344</f>
        <v>8328608465.4307241</v>
      </c>
      <c r="AE344" s="13">
        <f t="shared" ref="AE344" si="354">AE343+AD344</f>
        <v>8328608465.4307241</v>
      </c>
      <c r="AF344" s="13">
        <f t="shared" ref="AF344" si="355">AF343+AE344</f>
        <v>8328608465.4307241</v>
      </c>
      <c r="AG344" s="13">
        <f t="shared" ref="AG344" si="356">AG343+AF344</f>
        <v>8328608465.4307241</v>
      </c>
    </row>
    <row r="346" spans="1:34" x14ac:dyDescent="0.2">
      <c r="A346" s="33" t="s">
        <v>41</v>
      </c>
      <c r="D346" t="b">
        <f>D343='2.2.Brecha Efectiva x UdM'!H67</f>
        <v>1</v>
      </c>
      <c r="E346" t="b">
        <f>E343='2.2.Brecha Efectiva x UdM'!I67</f>
        <v>1</v>
      </c>
      <c r="F346" t="b">
        <f>F343='2.2.Brecha Efectiva x UdM'!J67</f>
        <v>1</v>
      </c>
      <c r="G346" t="b">
        <f>G343='2.2.Brecha Efectiva x UdM'!K67</f>
        <v>0</v>
      </c>
    </row>
    <row r="347" spans="1:34" x14ac:dyDescent="0.2">
      <c r="G347" t="b">
        <f>AG344=SUM('2.2.Brecha Efectiva x UdM'!H67:AK67)</f>
        <v>0</v>
      </c>
    </row>
    <row r="348" spans="1:34" x14ac:dyDescent="0.2">
      <c r="A348" s="33" t="s">
        <v>67</v>
      </c>
    </row>
    <row r="349" spans="1:34" hidden="1" x14ac:dyDescent="0.2">
      <c r="A349" s="46" t="s">
        <v>104</v>
      </c>
    </row>
    <row r="350" spans="1:34" hidden="1" x14ac:dyDescent="0.2"/>
    <row r="351" spans="1:34" hidden="1" x14ac:dyDescent="0.2">
      <c r="A351" s="24" t="s">
        <v>18</v>
      </c>
      <c r="B351" s="24" t="s">
        <v>42</v>
      </c>
      <c r="C351" s="24" t="s">
        <v>43</v>
      </c>
      <c r="D351" s="6">
        <v>2024</v>
      </c>
      <c r="E351" s="6">
        <v>2025</v>
      </c>
      <c r="F351" s="6">
        <v>2026</v>
      </c>
      <c r="G351" s="6">
        <v>2027</v>
      </c>
      <c r="H351" s="6">
        <v>2028</v>
      </c>
      <c r="I351" s="6">
        <v>2029</v>
      </c>
      <c r="J351" s="6">
        <v>2030</v>
      </c>
      <c r="K351" s="6">
        <v>2031</v>
      </c>
      <c r="L351" s="6">
        <v>2032</v>
      </c>
      <c r="M351" s="6">
        <v>2033</v>
      </c>
      <c r="N351" s="50">
        <v>2034</v>
      </c>
      <c r="O351" s="50">
        <v>2035</v>
      </c>
      <c r="P351" s="50">
        <v>2036</v>
      </c>
      <c r="Q351" s="50">
        <v>2037</v>
      </c>
      <c r="R351" s="50">
        <v>2038</v>
      </c>
      <c r="S351" s="50">
        <v>2039</v>
      </c>
      <c r="T351" s="50">
        <v>2040</v>
      </c>
      <c r="U351" s="50">
        <v>2041</v>
      </c>
      <c r="V351" s="50">
        <v>2042</v>
      </c>
      <c r="W351" s="50">
        <v>2043</v>
      </c>
      <c r="X351" s="50">
        <v>2044</v>
      </c>
      <c r="Y351" s="50">
        <v>2045</v>
      </c>
      <c r="Z351" s="50">
        <v>2046</v>
      </c>
      <c r="AA351" s="50">
        <v>2047</v>
      </c>
      <c r="AB351" s="50">
        <v>2048</v>
      </c>
      <c r="AC351" s="50">
        <v>2049</v>
      </c>
      <c r="AD351" s="50">
        <v>2050</v>
      </c>
      <c r="AE351" s="50">
        <v>2051</v>
      </c>
      <c r="AF351" s="50">
        <v>2052</v>
      </c>
      <c r="AG351" s="50">
        <v>2053</v>
      </c>
      <c r="AH351" s="6" t="s">
        <v>1</v>
      </c>
    </row>
    <row r="352" spans="1:34" hidden="1" x14ac:dyDescent="0.2">
      <c r="A352" s="25" t="str">
        <f t="shared" ref="A352:A375" si="357">A4</f>
        <v>Buenos Aires</v>
      </c>
      <c r="B352" s="51">
        <f>$I$3</f>
        <v>0</v>
      </c>
      <c r="C352" s="25" t="str">
        <f>CONCATENATE(A352," ",B352)</f>
        <v>Buenos Aires 0</v>
      </c>
      <c r="D352" s="32">
        <f>VLOOKUP($A352,$A$4:$O$28,8,0)*(HLOOKUP(D$351,'2.2.Brecha Efectiva x UdM'!$H$64:$AK$71,5,0))</f>
        <v>0</v>
      </c>
      <c r="E352" s="32">
        <f>VLOOKUP($A352,$A$4:$O$28,8,0)*(HLOOKUP(E$351,'2.2.Brecha Efectiva x UdM'!$H$64:$AK$71,5,0))</f>
        <v>0</v>
      </c>
      <c r="F352" s="32">
        <f>VLOOKUP($A352,$A$4:$O$28,8,0)*(HLOOKUP(F$351,'2.2.Brecha Efectiva x UdM'!$H$64:$AK$71,5,0))</f>
        <v>0</v>
      </c>
      <c r="G352" s="32">
        <f>VLOOKUP($A352,$A$4:$O$28,8,0)*(HLOOKUP(G$351,'2.2.Brecha Efectiva x UdM'!$H$64:$AK$71,5,0))</f>
        <v>0</v>
      </c>
      <c r="H352" s="32">
        <f>VLOOKUP($A352,$A$4:$O$28,8,0)*(HLOOKUP(H$351,'2.2.Brecha Efectiva x UdM'!$H$64:$AK$71,5,0))</f>
        <v>0</v>
      </c>
      <c r="I352" s="32">
        <f>VLOOKUP($A352,$A$4:$O$28,8,0)*(HLOOKUP(I$351,'2.2.Brecha Efectiva x UdM'!$H$64:$AK$71,5,0))</f>
        <v>0</v>
      </c>
      <c r="J352" s="32">
        <f>VLOOKUP($A352,$A$4:$O$28,8,0)*(HLOOKUP(J$351,'2.2.Brecha Efectiva x UdM'!$H$64:$AK$71,5,0))</f>
        <v>0</v>
      </c>
      <c r="K352" s="32">
        <f>VLOOKUP($A352,$A$4:$O$28,8,0)*(HLOOKUP(K$351,'2.2.Brecha Efectiva x UdM'!$H$64:$AK$71,5,0))</f>
        <v>0</v>
      </c>
      <c r="L352" s="32">
        <f>VLOOKUP($A352,$A$4:$O$28,8,0)*(HLOOKUP(L$351,'2.2.Brecha Efectiva x UdM'!$H$64:$AK$71,5,0))</f>
        <v>0</v>
      </c>
      <c r="M352" s="32">
        <f>VLOOKUP($A352,$A$4:$O$28,8,0)*(HLOOKUP(M$351,'2.2.Brecha Efectiva x UdM'!$H$64:$AK$71,5,0))</f>
        <v>0</v>
      </c>
      <c r="N352" s="32">
        <f>VLOOKUP($A352,$A$4:$O$28,8,0)*(HLOOKUP(N$351,'2.2.Brecha Efectiva x UdM'!$H$64:$AK$71,5,0))</f>
        <v>0</v>
      </c>
      <c r="O352" s="32">
        <f>VLOOKUP($A352,$A$4:$O$28,8,0)*(HLOOKUP(O$351,'2.2.Brecha Efectiva x UdM'!$H$64:$AK$71,5,0))</f>
        <v>0</v>
      </c>
      <c r="P352" s="32">
        <f>VLOOKUP($A352,$A$4:$O$28,8,0)*(HLOOKUP(P$351,'2.2.Brecha Efectiva x UdM'!$H$64:$AK$71,5,0))</f>
        <v>0</v>
      </c>
      <c r="Q352" s="32">
        <f>VLOOKUP($A352,$A$4:$O$28,8,0)*(HLOOKUP(Q$351,'2.2.Brecha Efectiva x UdM'!$H$64:$AK$71,5,0))</f>
        <v>0</v>
      </c>
      <c r="R352" s="32">
        <f>VLOOKUP($A352,$A$4:$O$28,8,0)*(HLOOKUP(R$351,'2.2.Brecha Efectiva x UdM'!$H$64:$AK$71,5,0))</f>
        <v>0</v>
      </c>
      <c r="S352" s="32">
        <f>VLOOKUP($A352,$A$4:$O$28,8,0)*(HLOOKUP(S$351,'2.2.Brecha Efectiva x UdM'!$H$64:$AK$71,5,0))</f>
        <v>0</v>
      </c>
      <c r="T352" s="32">
        <f>VLOOKUP($A352,$A$4:$O$28,8,0)*(HLOOKUP(T$351,'2.2.Brecha Efectiva x UdM'!$H$64:$AK$71,5,0))</f>
        <v>0</v>
      </c>
      <c r="U352" s="32">
        <f>VLOOKUP($A352,$A$4:$O$28,8,0)*(HLOOKUP(U$351,'2.2.Brecha Efectiva x UdM'!$H$64:$AK$71,5,0))</f>
        <v>0</v>
      </c>
      <c r="V352" s="32">
        <f>VLOOKUP($A352,$A$4:$O$28,8,0)*(HLOOKUP(V$351,'2.2.Brecha Efectiva x UdM'!$H$64:$AK$71,5,0))</f>
        <v>0</v>
      </c>
      <c r="W352" s="32">
        <f>VLOOKUP($A352,$A$4:$O$28,8,0)*(HLOOKUP(W$351,'2.2.Brecha Efectiva x UdM'!$H$64:$AK$71,5,0))</f>
        <v>0</v>
      </c>
      <c r="X352" s="32">
        <f>VLOOKUP($A352,$A$4:$O$28,8,0)*(HLOOKUP(X$351,'2.2.Brecha Efectiva x UdM'!$H$64:$AK$71,5,0))</f>
        <v>0</v>
      </c>
      <c r="Y352" s="32">
        <f>VLOOKUP($A352,$A$4:$O$28,8,0)*(HLOOKUP(Y$351,'2.2.Brecha Efectiva x UdM'!$H$64:$AK$71,5,0))</f>
        <v>0</v>
      </c>
      <c r="Z352" s="32">
        <f>VLOOKUP($A352,$A$4:$O$28,8,0)*(HLOOKUP(Z$351,'2.2.Brecha Efectiva x UdM'!$H$64:$AK$71,5,0))</f>
        <v>0</v>
      </c>
      <c r="AA352" s="32">
        <f>VLOOKUP($A352,$A$4:$O$28,8,0)*(HLOOKUP(AA$351,'2.2.Brecha Efectiva x UdM'!$H$64:$AK$71,5,0))</f>
        <v>0</v>
      </c>
      <c r="AB352" s="32">
        <f>VLOOKUP($A352,$A$4:$O$28,8,0)*(HLOOKUP(AB$351,'2.2.Brecha Efectiva x UdM'!$H$64:$AK$71,5,0))</f>
        <v>0</v>
      </c>
      <c r="AC352" s="32">
        <f>VLOOKUP($A352,$A$4:$O$28,8,0)*(HLOOKUP(AC$351,'2.2.Brecha Efectiva x UdM'!$H$64:$AK$71,5,0))</f>
        <v>0</v>
      </c>
      <c r="AD352" s="32">
        <f>VLOOKUP($A352,$A$4:$O$28,8,0)*(HLOOKUP(AD$351,'2.2.Brecha Efectiva x UdM'!$H$64:$AK$71,5,0))</f>
        <v>0</v>
      </c>
      <c r="AE352" s="32">
        <f>VLOOKUP($A352,$A$4:$O$28,8,0)*(HLOOKUP(AE$351,'2.2.Brecha Efectiva x UdM'!$H$64:$AK$71,5,0))</f>
        <v>0</v>
      </c>
      <c r="AF352" s="32">
        <f>VLOOKUP($A352,$A$4:$O$28,8,0)*(HLOOKUP(AF$351,'2.2.Brecha Efectiva x UdM'!$H$64:$AK$71,5,0))</f>
        <v>0</v>
      </c>
      <c r="AG352" s="32">
        <f>VLOOKUP($A352,$A$4:$O$28,8,0)*(HLOOKUP(AG$351,'2.2.Brecha Efectiva x UdM'!$H$64:$AK$71,5,0))</f>
        <v>0</v>
      </c>
      <c r="AH352" s="62">
        <f>SUM(D352:AG352)</f>
        <v>0</v>
      </c>
    </row>
    <row r="353" spans="1:34" hidden="1" x14ac:dyDescent="0.2">
      <c r="A353" s="26" t="str">
        <f t="shared" si="357"/>
        <v>CABA</v>
      </c>
      <c r="B353" s="52">
        <f t="shared" ref="B353:B375" si="358">$I$3</f>
        <v>0</v>
      </c>
      <c r="C353" s="26" t="str">
        <f t="shared" ref="C353:C375" si="359">CONCATENATE(A353," ",B353)</f>
        <v>CABA 0</v>
      </c>
      <c r="D353" s="31">
        <f>VLOOKUP($A353,$A$4:$O$28,8,0)*(HLOOKUP(D$351,'2.2.Brecha Efectiva x UdM'!$H$64:$AK$71,5,0))</f>
        <v>0</v>
      </c>
      <c r="E353" s="31">
        <f>VLOOKUP($A353,$A$4:$O$28,8,0)*(HLOOKUP(E$351,'2.2.Brecha Efectiva x UdM'!$H$64:$AK$71,5,0))</f>
        <v>0</v>
      </c>
      <c r="F353" s="31">
        <f>VLOOKUP($A353,$A$4:$O$28,8,0)*(HLOOKUP(F$351,'2.2.Brecha Efectiva x UdM'!$H$64:$AK$71,5,0))</f>
        <v>0</v>
      </c>
      <c r="G353" s="31">
        <f>VLOOKUP($A353,$A$4:$O$28,8,0)*(HLOOKUP(G$351,'2.2.Brecha Efectiva x UdM'!$H$64:$AK$71,5,0))</f>
        <v>0</v>
      </c>
      <c r="H353" s="31">
        <f>VLOOKUP($A353,$A$4:$O$28,8,0)*(HLOOKUP(H$351,'2.2.Brecha Efectiva x UdM'!$H$64:$AK$71,5,0))</f>
        <v>0</v>
      </c>
      <c r="I353" s="31">
        <f>VLOOKUP($A353,$A$4:$O$28,8,0)*(HLOOKUP(I$351,'2.2.Brecha Efectiva x UdM'!$H$64:$AK$71,5,0))</f>
        <v>0</v>
      </c>
      <c r="J353" s="31">
        <f>VLOOKUP($A353,$A$4:$O$28,8,0)*(HLOOKUP(J$351,'2.2.Brecha Efectiva x UdM'!$H$64:$AK$71,5,0))</f>
        <v>0</v>
      </c>
      <c r="K353" s="31">
        <f>VLOOKUP($A353,$A$4:$O$28,8,0)*(HLOOKUP(K$351,'2.2.Brecha Efectiva x UdM'!$H$64:$AK$71,5,0))</f>
        <v>0</v>
      </c>
      <c r="L353" s="31">
        <f>VLOOKUP($A353,$A$4:$O$28,8,0)*(HLOOKUP(L$351,'2.2.Brecha Efectiva x UdM'!$H$64:$AK$71,5,0))</f>
        <v>0</v>
      </c>
      <c r="M353" s="31">
        <f>VLOOKUP($A353,$A$4:$O$28,8,0)*(HLOOKUP(M$351,'2.2.Brecha Efectiva x UdM'!$H$64:$AK$71,5,0))</f>
        <v>0</v>
      </c>
      <c r="N353" s="31">
        <f>VLOOKUP($A353,$A$4:$O$28,8,0)*(HLOOKUP(N$351,'2.2.Brecha Efectiva x UdM'!$H$64:$AK$71,5,0))</f>
        <v>0</v>
      </c>
      <c r="O353" s="31">
        <f>VLOOKUP($A353,$A$4:$O$28,8,0)*(HLOOKUP(O$351,'2.2.Brecha Efectiva x UdM'!$H$64:$AK$71,5,0))</f>
        <v>0</v>
      </c>
      <c r="P353" s="31">
        <f>VLOOKUP($A353,$A$4:$O$28,8,0)*(HLOOKUP(P$351,'2.2.Brecha Efectiva x UdM'!$H$64:$AK$71,5,0))</f>
        <v>0</v>
      </c>
      <c r="Q353" s="31">
        <f>VLOOKUP($A353,$A$4:$O$28,8,0)*(HLOOKUP(Q$351,'2.2.Brecha Efectiva x UdM'!$H$64:$AK$71,5,0))</f>
        <v>0</v>
      </c>
      <c r="R353" s="31">
        <f>VLOOKUP($A353,$A$4:$O$28,8,0)*(HLOOKUP(R$351,'2.2.Brecha Efectiva x UdM'!$H$64:$AK$71,5,0))</f>
        <v>0</v>
      </c>
      <c r="S353" s="31">
        <f>VLOOKUP($A353,$A$4:$O$28,8,0)*(HLOOKUP(S$351,'2.2.Brecha Efectiva x UdM'!$H$64:$AK$71,5,0))</f>
        <v>0</v>
      </c>
      <c r="T353" s="31">
        <f>VLOOKUP($A353,$A$4:$O$28,8,0)*(HLOOKUP(T$351,'2.2.Brecha Efectiva x UdM'!$H$64:$AK$71,5,0))</f>
        <v>0</v>
      </c>
      <c r="U353" s="31">
        <f>VLOOKUP($A353,$A$4:$O$28,8,0)*(HLOOKUP(U$351,'2.2.Brecha Efectiva x UdM'!$H$64:$AK$71,5,0))</f>
        <v>0</v>
      </c>
      <c r="V353" s="31">
        <f>VLOOKUP($A353,$A$4:$O$28,8,0)*(HLOOKUP(V$351,'2.2.Brecha Efectiva x UdM'!$H$64:$AK$71,5,0))</f>
        <v>0</v>
      </c>
      <c r="W353" s="31">
        <f>VLOOKUP($A353,$A$4:$O$28,8,0)*(HLOOKUP(W$351,'2.2.Brecha Efectiva x UdM'!$H$64:$AK$71,5,0))</f>
        <v>0</v>
      </c>
      <c r="X353" s="31">
        <f>VLOOKUP($A353,$A$4:$O$28,8,0)*(HLOOKUP(X$351,'2.2.Brecha Efectiva x UdM'!$H$64:$AK$71,5,0))</f>
        <v>0</v>
      </c>
      <c r="Y353" s="31">
        <f>VLOOKUP($A353,$A$4:$O$28,8,0)*(HLOOKUP(Y$351,'2.2.Brecha Efectiva x UdM'!$H$64:$AK$71,5,0))</f>
        <v>0</v>
      </c>
      <c r="Z353" s="31">
        <f>VLOOKUP($A353,$A$4:$O$28,8,0)*(HLOOKUP(Z$351,'2.2.Brecha Efectiva x UdM'!$H$64:$AK$71,5,0))</f>
        <v>0</v>
      </c>
      <c r="AA353" s="31">
        <f>VLOOKUP($A353,$A$4:$O$28,8,0)*(HLOOKUP(AA$351,'2.2.Brecha Efectiva x UdM'!$H$64:$AK$71,5,0))</f>
        <v>0</v>
      </c>
      <c r="AB353" s="31">
        <f>VLOOKUP($A353,$A$4:$O$28,8,0)*(HLOOKUP(AB$351,'2.2.Brecha Efectiva x UdM'!$H$64:$AK$71,5,0))</f>
        <v>0</v>
      </c>
      <c r="AC353" s="31">
        <f>VLOOKUP($A353,$A$4:$O$28,8,0)*(HLOOKUP(AC$351,'2.2.Brecha Efectiva x UdM'!$H$64:$AK$71,5,0))</f>
        <v>0</v>
      </c>
      <c r="AD353" s="31">
        <f>VLOOKUP($A353,$A$4:$O$28,8,0)*(HLOOKUP(AD$351,'2.2.Brecha Efectiva x UdM'!$H$64:$AK$71,5,0))</f>
        <v>0</v>
      </c>
      <c r="AE353" s="31">
        <f>VLOOKUP($A353,$A$4:$O$28,8,0)*(HLOOKUP(AE$351,'2.2.Brecha Efectiva x UdM'!$H$64:$AK$71,5,0))</f>
        <v>0</v>
      </c>
      <c r="AF353" s="31">
        <f>VLOOKUP($A353,$A$4:$O$28,8,0)*(HLOOKUP(AF$351,'2.2.Brecha Efectiva x UdM'!$H$64:$AK$71,5,0))</f>
        <v>0</v>
      </c>
      <c r="AG353" s="31">
        <f>VLOOKUP($A353,$A$4:$O$28,8,0)*(HLOOKUP(AG$351,'2.2.Brecha Efectiva x UdM'!$H$64:$AK$71,5,0))</f>
        <v>0</v>
      </c>
      <c r="AH353" s="63">
        <f>SUM(D353:AG353)</f>
        <v>0</v>
      </c>
    </row>
    <row r="354" spans="1:34" hidden="1" x14ac:dyDescent="0.2">
      <c r="A354" s="25" t="str">
        <f t="shared" si="357"/>
        <v>Catamarca</v>
      </c>
      <c r="B354" s="51">
        <f t="shared" si="358"/>
        <v>0</v>
      </c>
      <c r="C354" s="25" t="str">
        <f t="shared" si="359"/>
        <v>Catamarca 0</v>
      </c>
      <c r="D354" s="32">
        <f>VLOOKUP($A354,$A$4:$O$28,8,0)*(HLOOKUP(D$351,'2.2.Brecha Efectiva x UdM'!$H$64:$AK$71,5,0))</f>
        <v>0</v>
      </c>
      <c r="E354" s="32">
        <f>VLOOKUP($A354,$A$4:$O$28,8,0)*(HLOOKUP(E$351,'2.2.Brecha Efectiva x UdM'!$H$64:$AK$71,5,0))</f>
        <v>0</v>
      </c>
      <c r="F354" s="32">
        <f>VLOOKUP($A354,$A$4:$O$28,8,0)*(HLOOKUP(F$351,'2.2.Brecha Efectiva x UdM'!$H$64:$AK$71,5,0))</f>
        <v>0</v>
      </c>
      <c r="G354" s="32">
        <f>VLOOKUP($A354,$A$4:$O$28,8,0)*(HLOOKUP(G$351,'2.2.Brecha Efectiva x UdM'!$H$64:$AK$71,5,0))</f>
        <v>0</v>
      </c>
      <c r="H354" s="32">
        <f>VLOOKUP($A354,$A$4:$O$28,8,0)*(HLOOKUP(H$351,'2.2.Brecha Efectiva x UdM'!$H$64:$AK$71,5,0))</f>
        <v>0</v>
      </c>
      <c r="I354" s="32">
        <f>VLOOKUP($A354,$A$4:$O$28,8,0)*(HLOOKUP(I$351,'2.2.Brecha Efectiva x UdM'!$H$64:$AK$71,5,0))</f>
        <v>0</v>
      </c>
      <c r="J354" s="32">
        <f>VLOOKUP($A354,$A$4:$O$28,8,0)*(HLOOKUP(J$351,'2.2.Brecha Efectiva x UdM'!$H$64:$AK$71,5,0))</f>
        <v>0</v>
      </c>
      <c r="K354" s="32">
        <f>VLOOKUP($A354,$A$4:$O$28,8,0)*(HLOOKUP(K$351,'2.2.Brecha Efectiva x UdM'!$H$64:$AK$71,5,0))</f>
        <v>0</v>
      </c>
      <c r="L354" s="32">
        <f>VLOOKUP($A354,$A$4:$O$28,8,0)*(HLOOKUP(L$351,'2.2.Brecha Efectiva x UdM'!$H$64:$AK$71,5,0))</f>
        <v>0</v>
      </c>
      <c r="M354" s="32">
        <f>VLOOKUP($A354,$A$4:$O$28,8,0)*(HLOOKUP(M$351,'2.2.Brecha Efectiva x UdM'!$H$64:$AK$71,5,0))</f>
        <v>0</v>
      </c>
      <c r="N354" s="32">
        <f>VLOOKUP($A354,$A$4:$O$28,8,0)*(HLOOKUP(N$351,'2.2.Brecha Efectiva x UdM'!$H$64:$AK$71,5,0))</f>
        <v>0</v>
      </c>
      <c r="O354" s="32">
        <f>VLOOKUP($A354,$A$4:$O$28,8,0)*(HLOOKUP(O$351,'2.2.Brecha Efectiva x UdM'!$H$64:$AK$71,5,0))</f>
        <v>0</v>
      </c>
      <c r="P354" s="32">
        <f>VLOOKUP($A354,$A$4:$O$28,8,0)*(HLOOKUP(P$351,'2.2.Brecha Efectiva x UdM'!$H$64:$AK$71,5,0))</f>
        <v>0</v>
      </c>
      <c r="Q354" s="32">
        <f>VLOOKUP($A354,$A$4:$O$28,8,0)*(HLOOKUP(Q$351,'2.2.Brecha Efectiva x UdM'!$H$64:$AK$71,5,0))</f>
        <v>0</v>
      </c>
      <c r="R354" s="32">
        <f>VLOOKUP($A354,$A$4:$O$28,8,0)*(HLOOKUP(R$351,'2.2.Brecha Efectiva x UdM'!$H$64:$AK$71,5,0))</f>
        <v>0</v>
      </c>
      <c r="S354" s="32">
        <f>VLOOKUP($A354,$A$4:$O$28,8,0)*(HLOOKUP(S$351,'2.2.Brecha Efectiva x UdM'!$H$64:$AK$71,5,0))</f>
        <v>0</v>
      </c>
      <c r="T354" s="32">
        <f>VLOOKUP($A354,$A$4:$O$28,8,0)*(HLOOKUP(T$351,'2.2.Brecha Efectiva x UdM'!$H$64:$AK$71,5,0))</f>
        <v>0</v>
      </c>
      <c r="U354" s="32">
        <f>VLOOKUP($A354,$A$4:$O$28,8,0)*(HLOOKUP(U$351,'2.2.Brecha Efectiva x UdM'!$H$64:$AK$71,5,0))</f>
        <v>0</v>
      </c>
      <c r="V354" s="32">
        <f>VLOOKUP($A354,$A$4:$O$28,8,0)*(HLOOKUP(V$351,'2.2.Brecha Efectiva x UdM'!$H$64:$AK$71,5,0))</f>
        <v>0</v>
      </c>
      <c r="W354" s="32">
        <f>VLOOKUP($A354,$A$4:$O$28,8,0)*(HLOOKUP(W$351,'2.2.Brecha Efectiva x UdM'!$H$64:$AK$71,5,0))</f>
        <v>0</v>
      </c>
      <c r="X354" s="32">
        <f>VLOOKUP($A354,$A$4:$O$28,8,0)*(HLOOKUP(X$351,'2.2.Brecha Efectiva x UdM'!$H$64:$AK$71,5,0))</f>
        <v>0</v>
      </c>
      <c r="Y354" s="32">
        <f>VLOOKUP($A354,$A$4:$O$28,8,0)*(HLOOKUP(Y$351,'2.2.Brecha Efectiva x UdM'!$H$64:$AK$71,5,0))</f>
        <v>0</v>
      </c>
      <c r="Z354" s="32">
        <f>VLOOKUP($A354,$A$4:$O$28,8,0)*(HLOOKUP(Z$351,'2.2.Brecha Efectiva x UdM'!$H$64:$AK$71,5,0))</f>
        <v>0</v>
      </c>
      <c r="AA354" s="32">
        <f>VLOOKUP($A354,$A$4:$O$28,8,0)*(HLOOKUP(AA$351,'2.2.Brecha Efectiva x UdM'!$H$64:$AK$71,5,0))</f>
        <v>0</v>
      </c>
      <c r="AB354" s="32">
        <f>VLOOKUP($A354,$A$4:$O$28,8,0)*(HLOOKUP(AB$351,'2.2.Brecha Efectiva x UdM'!$H$64:$AK$71,5,0))</f>
        <v>0</v>
      </c>
      <c r="AC354" s="32">
        <f>VLOOKUP($A354,$A$4:$O$28,8,0)*(HLOOKUP(AC$351,'2.2.Brecha Efectiva x UdM'!$H$64:$AK$71,5,0))</f>
        <v>0</v>
      </c>
      <c r="AD354" s="32">
        <f>VLOOKUP($A354,$A$4:$O$28,8,0)*(HLOOKUP(AD$351,'2.2.Brecha Efectiva x UdM'!$H$64:$AK$71,5,0))</f>
        <v>0</v>
      </c>
      <c r="AE354" s="32">
        <f>VLOOKUP($A354,$A$4:$O$28,8,0)*(HLOOKUP(AE$351,'2.2.Brecha Efectiva x UdM'!$H$64:$AK$71,5,0))</f>
        <v>0</v>
      </c>
      <c r="AF354" s="32">
        <f>VLOOKUP($A354,$A$4:$O$28,8,0)*(HLOOKUP(AF$351,'2.2.Brecha Efectiva x UdM'!$H$64:$AK$71,5,0))</f>
        <v>0</v>
      </c>
      <c r="AG354" s="32">
        <f>VLOOKUP($A354,$A$4:$O$28,8,0)*(HLOOKUP(AG$351,'2.2.Brecha Efectiva x UdM'!$H$64:$AK$71,5,0))</f>
        <v>0</v>
      </c>
      <c r="AH354" s="62">
        <f t="shared" ref="AH354:AH376" si="360">SUM(D354:AG354)</f>
        <v>0</v>
      </c>
    </row>
    <row r="355" spans="1:34" hidden="1" x14ac:dyDescent="0.2">
      <c r="A355" s="26" t="str">
        <f t="shared" si="357"/>
        <v>Chaco</v>
      </c>
      <c r="B355" s="52">
        <f t="shared" si="358"/>
        <v>0</v>
      </c>
      <c r="C355" s="26" t="str">
        <f t="shared" si="359"/>
        <v>Chaco 0</v>
      </c>
      <c r="D355" s="31">
        <f>VLOOKUP($A355,$A$4:$O$28,8,0)*(HLOOKUP(D$351,'2.2.Brecha Efectiva x UdM'!$H$64:$AK$71,5,0))</f>
        <v>0</v>
      </c>
      <c r="E355" s="31">
        <f>VLOOKUP($A355,$A$4:$O$28,8,0)*(HLOOKUP(E$351,'2.2.Brecha Efectiva x UdM'!$H$64:$AK$71,5,0))</f>
        <v>0</v>
      </c>
      <c r="F355" s="31">
        <f>VLOOKUP($A355,$A$4:$O$28,8,0)*(HLOOKUP(F$351,'2.2.Brecha Efectiva x UdM'!$H$64:$AK$71,5,0))</f>
        <v>0</v>
      </c>
      <c r="G355" s="31">
        <f>VLOOKUP($A355,$A$4:$O$28,8,0)*(HLOOKUP(G$351,'2.2.Brecha Efectiva x UdM'!$H$64:$AK$71,5,0))</f>
        <v>0</v>
      </c>
      <c r="H355" s="31">
        <f>VLOOKUP($A355,$A$4:$O$28,8,0)*(HLOOKUP(H$351,'2.2.Brecha Efectiva x UdM'!$H$64:$AK$71,5,0))</f>
        <v>0</v>
      </c>
      <c r="I355" s="31">
        <f>VLOOKUP($A355,$A$4:$O$28,8,0)*(HLOOKUP(I$351,'2.2.Brecha Efectiva x UdM'!$H$64:$AK$71,5,0))</f>
        <v>0</v>
      </c>
      <c r="J355" s="31">
        <f>VLOOKUP($A355,$A$4:$O$28,8,0)*(HLOOKUP(J$351,'2.2.Brecha Efectiva x UdM'!$H$64:$AK$71,5,0))</f>
        <v>0</v>
      </c>
      <c r="K355" s="31">
        <f>VLOOKUP($A355,$A$4:$O$28,8,0)*(HLOOKUP(K$351,'2.2.Brecha Efectiva x UdM'!$H$64:$AK$71,5,0))</f>
        <v>0</v>
      </c>
      <c r="L355" s="31">
        <f>VLOOKUP($A355,$A$4:$O$28,8,0)*(HLOOKUP(L$351,'2.2.Brecha Efectiva x UdM'!$H$64:$AK$71,5,0))</f>
        <v>0</v>
      </c>
      <c r="M355" s="31">
        <f>VLOOKUP($A355,$A$4:$O$28,8,0)*(HLOOKUP(M$351,'2.2.Brecha Efectiva x UdM'!$H$64:$AK$71,5,0))</f>
        <v>0</v>
      </c>
      <c r="N355" s="31">
        <f>VLOOKUP($A355,$A$4:$O$28,8,0)*(HLOOKUP(N$351,'2.2.Brecha Efectiva x UdM'!$H$64:$AK$71,5,0))</f>
        <v>0</v>
      </c>
      <c r="O355" s="31">
        <f>VLOOKUP($A355,$A$4:$O$28,8,0)*(HLOOKUP(O$351,'2.2.Brecha Efectiva x UdM'!$H$64:$AK$71,5,0))</f>
        <v>0</v>
      </c>
      <c r="P355" s="31">
        <f>VLOOKUP($A355,$A$4:$O$28,8,0)*(HLOOKUP(P$351,'2.2.Brecha Efectiva x UdM'!$H$64:$AK$71,5,0))</f>
        <v>0</v>
      </c>
      <c r="Q355" s="31">
        <f>VLOOKUP($A355,$A$4:$O$28,8,0)*(HLOOKUP(Q$351,'2.2.Brecha Efectiva x UdM'!$H$64:$AK$71,5,0))</f>
        <v>0</v>
      </c>
      <c r="R355" s="31">
        <f>VLOOKUP($A355,$A$4:$O$28,8,0)*(HLOOKUP(R$351,'2.2.Brecha Efectiva x UdM'!$H$64:$AK$71,5,0))</f>
        <v>0</v>
      </c>
      <c r="S355" s="31">
        <f>VLOOKUP($A355,$A$4:$O$28,8,0)*(HLOOKUP(S$351,'2.2.Brecha Efectiva x UdM'!$H$64:$AK$71,5,0))</f>
        <v>0</v>
      </c>
      <c r="T355" s="31">
        <f>VLOOKUP($A355,$A$4:$O$28,8,0)*(HLOOKUP(T$351,'2.2.Brecha Efectiva x UdM'!$H$64:$AK$71,5,0))</f>
        <v>0</v>
      </c>
      <c r="U355" s="31">
        <f>VLOOKUP($A355,$A$4:$O$28,8,0)*(HLOOKUP(U$351,'2.2.Brecha Efectiva x UdM'!$H$64:$AK$71,5,0))</f>
        <v>0</v>
      </c>
      <c r="V355" s="31">
        <f>VLOOKUP($A355,$A$4:$O$28,8,0)*(HLOOKUP(V$351,'2.2.Brecha Efectiva x UdM'!$H$64:$AK$71,5,0))</f>
        <v>0</v>
      </c>
      <c r="W355" s="31">
        <f>VLOOKUP($A355,$A$4:$O$28,8,0)*(HLOOKUP(W$351,'2.2.Brecha Efectiva x UdM'!$H$64:$AK$71,5,0))</f>
        <v>0</v>
      </c>
      <c r="X355" s="31">
        <f>VLOOKUP($A355,$A$4:$O$28,8,0)*(HLOOKUP(X$351,'2.2.Brecha Efectiva x UdM'!$H$64:$AK$71,5,0))</f>
        <v>0</v>
      </c>
      <c r="Y355" s="31">
        <f>VLOOKUP($A355,$A$4:$O$28,8,0)*(HLOOKUP(Y$351,'2.2.Brecha Efectiva x UdM'!$H$64:$AK$71,5,0))</f>
        <v>0</v>
      </c>
      <c r="Z355" s="31">
        <f>VLOOKUP($A355,$A$4:$O$28,8,0)*(HLOOKUP(Z$351,'2.2.Brecha Efectiva x UdM'!$H$64:$AK$71,5,0))</f>
        <v>0</v>
      </c>
      <c r="AA355" s="31">
        <f>VLOOKUP($A355,$A$4:$O$28,8,0)*(HLOOKUP(AA$351,'2.2.Brecha Efectiva x UdM'!$H$64:$AK$71,5,0))</f>
        <v>0</v>
      </c>
      <c r="AB355" s="31">
        <f>VLOOKUP($A355,$A$4:$O$28,8,0)*(HLOOKUP(AB$351,'2.2.Brecha Efectiva x UdM'!$H$64:$AK$71,5,0))</f>
        <v>0</v>
      </c>
      <c r="AC355" s="31">
        <f>VLOOKUP($A355,$A$4:$O$28,8,0)*(HLOOKUP(AC$351,'2.2.Brecha Efectiva x UdM'!$H$64:$AK$71,5,0))</f>
        <v>0</v>
      </c>
      <c r="AD355" s="31">
        <f>VLOOKUP($A355,$A$4:$O$28,8,0)*(HLOOKUP(AD$351,'2.2.Brecha Efectiva x UdM'!$H$64:$AK$71,5,0))</f>
        <v>0</v>
      </c>
      <c r="AE355" s="31">
        <f>VLOOKUP($A355,$A$4:$O$28,8,0)*(HLOOKUP(AE$351,'2.2.Brecha Efectiva x UdM'!$H$64:$AK$71,5,0))</f>
        <v>0</v>
      </c>
      <c r="AF355" s="31">
        <f>VLOOKUP($A355,$A$4:$O$28,8,0)*(HLOOKUP(AF$351,'2.2.Brecha Efectiva x UdM'!$H$64:$AK$71,5,0))</f>
        <v>0</v>
      </c>
      <c r="AG355" s="31">
        <f>VLOOKUP($A355,$A$4:$O$28,8,0)*(HLOOKUP(AG$351,'2.2.Brecha Efectiva x UdM'!$H$64:$AK$71,5,0))</f>
        <v>0</v>
      </c>
      <c r="AH355" s="63">
        <f t="shared" si="360"/>
        <v>0</v>
      </c>
    </row>
    <row r="356" spans="1:34" hidden="1" x14ac:dyDescent="0.2">
      <c r="A356" s="25" t="str">
        <f t="shared" si="357"/>
        <v>Chubut</v>
      </c>
      <c r="B356" s="51">
        <f t="shared" si="358"/>
        <v>0</v>
      </c>
      <c r="C356" s="25" t="str">
        <f t="shared" si="359"/>
        <v>Chubut 0</v>
      </c>
      <c r="D356" s="32">
        <f>VLOOKUP($A356,$A$4:$O$28,8,0)*(HLOOKUP(D$351,'2.2.Brecha Efectiva x UdM'!$H$64:$AK$71,5,0))</f>
        <v>0</v>
      </c>
      <c r="E356" s="32">
        <f>VLOOKUP($A356,$A$4:$O$28,8,0)*(HLOOKUP(E$351,'2.2.Brecha Efectiva x UdM'!$H$64:$AK$71,5,0))</f>
        <v>0</v>
      </c>
      <c r="F356" s="32">
        <f>VLOOKUP($A356,$A$4:$O$28,8,0)*(HLOOKUP(F$351,'2.2.Brecha Efectiva x UdM'!$H$64:$AK$71,5,0))</f>
        <v>0</v>
      </c>
      <c r="G356" s="32">
        <f>VLOOKUP($A356,$A$4:$O$28,8,0)*(HLOOKUP(G$351,'2.2.Brecha Efectiva x UdM'!$H$64:$AK$71,5,0))</f>
        <v>0</v>
      </c>
      <c r="H356" s="32">
        <f>VLOOKUP($A356,$A$4:$O$28,8,0)*(HLOOKUP(H$351,'2.2.Brecha Efectiva x UdM'!$H$64:$AK$71,5,0))</f>
        <v>0</v>
      </c>
      <c r="I356" s="32">
        <f>VLOOKUP($A356,$A$4:$O$28,8,0)*(HLOOKUP(I$351,'2.2.Brecha Efectiva x UdM'!$H$64:$AK$71,5,0))</f>
        <v>0</v>
      </c>
      <c r="J356" s="32">
        <f>VLOOKUP($A356,$A$4:$O$28,8,0)*(HLOOKUP(J$351,'2.2.Brecha Efectiva x UdM'!$H$64:$AK$71,5,0))</f>
        <v>0</v>
      </c>
      <c r="K356" s="32">
        <f>VLOOKUP($A356,$A$4:$O$28,8,0)*(HLOOKUP(K$351,'2.2.Brecha Efectiva x UdM'!$H$64:$AK$71,5,0))</f>
        <v>0</v>
      </c>
      <c r="L356" s="32">
        <f>VLOOKUP($A356,$A$4:$O$28,8,0)*(HLOOKUP(L$351,'2.2.Brecha Efectiva x UdM'!$H$64:$AK$71,5,0))</f>
        <v>0</v>
      </c>
      <c r="M356" s="32">
        <f>VLOOKUP($A356,$A$4:$O$28,8,0)*(HLOOKUP(M$351,'2.2.Brecha Efectiva x UdM'!$H$64:$AK$71,5,0))</f>
        <v>0</v>
      </c>
      <c r="N356" s="32">
        <f>VLOOKUP($A356,$A$4:$O$28,8,0)*(HLOOKUP(N$351,'2.2.Brecha Efectiva x UdM'!$H$64:$AK$71,5,0))</f>
        <v>0</v>
      </c>
      <c r="O356" s="32">
        <f>VLOOKUP($A356,$A$4:$O$28,8,0)*(HLOOKUP(O$351,'2.2.Brecha Efectiva x UdM'!$H$64:$AK$71,5,0))</f>
        <v>0</v>
      </c>
      <c r="P356" s="32">
        <f>VLOOKUP($A356,$A$4:$O$28,8,0)*(HLOOKUP(P$351,'2.2.Brecha Efectiva x UdM'!$H$64:$AK$71,5,0))</f>
        <v>0</v>
      </c>
      <c r="Q356" s="32">
        <f>VLOOKUP($A356,$A$4:$O$28,8,0)*(HLOOKUP(Q$351,'2.2.Brecha Efectiva x UdM'!$H$64:$AK$71,5,0))</f>
        <v>0</v>
      </c>
      <c r="R356" s="32">
        <f>VLOOKUP($A356,$A$4:$O$28,8,0)*(HLOOKUP(R$351,'2.2.Brecha Efectiva x UdM'!$H$64:$AK$71,5,0))</f>
        <v>0</v>
      </c>
      <c r="S356" s="32">
        <f>VLOOKUP($A356,$A$4:$O$28,8,0)*(HLOOKUP(S$351,'2.2.Brecha Efectiva x UdM'!$H$64:$AK$71,5,0))</f>
        <v>0</v>
      </c>
      <c r="T356" s="32">
        <f>VLOOKUP($A356,$A$4:$O$28,8,0)*(HLOOKUP(T$351,'2.2.Brecha Efectiva x UdM'!$H$64:$AK$71,5,0))</f>
        <v>0</v>
      </c>
      <c r="U356" s="32">
        <f>VLOOKUP($A356,$A$4:$O$28,8,0)*(HLOOKUP(U$351,'2.2.Brecha Efectiva x UdM'!$H$64:$AK$71,5,0))</f>
        <v>0</v>
      </c>
      <c r="V356" s="32">
        <f>VLOOKUP($A356,$A$4:$O$28,8,0)*(HLOOKUP(V$351,'2.2.Brecha Efectiva x UdM'!$H$64:$AK$71,5,0))</f>
        <v>0</v>
      </c>
      <c r="W356" s="32">
        <f>VLOOKUP($A356,$A$4:$O$28,8,0)*(HLOOKUP(W$351,'2.2.Brecha Efectiva x UdM'!$H$64:$AK$71,5,0))</f>
        <v>0</v>
      </c>
      <c r="X356" s="32">
        <f>VLOOKUP($A356,$A$4:$O$28,8,0)*(HLOOKUP(X$351,'2.2.Brecha Efectiva x UdM'!$H$64:$AK$71,5,0))</f>
        <v>0</v>
      </c>
      <c r="Y356" s="32">
        <f>VLOOKUP($A356,$A$4:$O$28,8,0)*(HLOOKUP(Y$351,'2.2.Brecha Efectiva x UdM'!$H$64:$AK$71,5,0))</f>
        <v>0</v>
      </c>
      <c r="Z356" s="32">
        <f>VLOOKUP($A356,$A$4:$O$28,8,0)*(HLOOKUP(Z$351,'2.2.Brecha Efectiva x UdM'!$H$64:$AK$71,5,0))</f>
        <v>0</v>
      </c>
      <c r="AA356" s="32">
        <f>VLOOKUP($A356,$A$4:$O$28,8,0)*(HLOOKUP(AA$351,'2.2.Brecha Efectiva x UdM'!$H$64:$AK$71,5,0))</f>
        <v>0</v>
      </c>
      <c r="AB356" s="32">
        <f>VLOOKUP($A356,$A$4:$O$28,8,0)*(HLOOKUP(AB$351,'2.2.Brecha Efectiva x UdM'!$H$64:$AK$71,5,0))</f>
        <v>0</v>
      </c>
      <c r="AC356" s="32">
        <f>VLOOKUP($A356,$A$4:$O$28,8,0)*(HLOOKUP(AC$351,'2.2.Brecha Efectiva x UdM'!$H$64:$AK$71,5,0))</f>
        <v>0</v>
      </c>
      <c r="AD356" s="32">
        <f>VLOOKUP($A356,$A$4:$O$28,8,0)*(HLOOKUP(AD$351,'2.2.Brecha Efectiva x UdM'!$H$64:$AK$71,5,0))</f>
        <v>0</v>
      </c>
      <c r="AE356" s="32">
        <f>VLOOKUP($A356,$A$4:$O$28,8,0)*(HLOOKUP(AE$351,'2.2.Brecha Efectiva x UdM'!$H$64:$AK$71,5,0))</f>
        <v>0</v>
      </c>
      <c r="AF356" s="32">
        <f>VLOOKUP($A356,$A$4:$O$28,8,0)*(HLOOKUP(AF$351,'2.2.Brecha Efectiva x UdM'!$H$64:$AK$71,5,0))</f>
        <v>0</v>
      </c>
      <c r="AG356" s="32">
        <f>VLOOKUP($A356,$A$4:$O$28,8,0)*(HLOOKUP(AG$351,'2.2.Brecha Efectiva x UdM'!$H$64:$AK$71,5,0))</f>
        <v>0</v>
      </c>
      <c r="AH356" s="62">
        <f t="shared" si="360"/>
        <v>0</v>
      </c>
    </row>
    <row r="357" spans="1:34" hidden="1" x14ac:dyDescent="0.2">
      <c r="A357" s="26" t="str">
        <f t="shared" si="357"/>
        <v>Córdoba</v>
      </c>
      <c r="B357" s="52">
        <f t="shared" si="358"/>
        <v>0</v>
      </c>
      <c r="C357" s="26" t="str">
        <f t="shared" si="359"/>
        <v>Córdoba 0</v>
      </c>
      <c r="D357" s="31">
        <f>VLOOKUP($A357,$A$4:$O$28,8,0)*(HLOOKUP(D$351,'2.2.Brecha Efectiva x UdM'!$H$64:$AK$71,5,0))</f>
        <v>0</v>
      </c>
      <c r="E357" s="31">
        <f>VLOOKUP($A357,$A$4:$O$28,8,0)*(HLOOKUP(E$351,'2.2.Brecha Efectiva x UdM'!$H$64:$AK$71,5,0))</f>
        <v>0</v>
      </c>
      <c r="F357" s="31">
        <f>VLOOKUP($A357,$A$4:$O$28,8,0)*(HLOOKUP(F$351,'2.2.Brecha Efectiva x UdM'!$H$64:$AK$71,5,0))</f>
        <v>0</v>
      </c>
      <c r="G357" s="31">
        <f>VLOOKUP($A357,$A$4:$O$28,8,0)*(HLOOKUP(G$351,'2.2.Brecha Efectiva x UdM'!$H$64:$AK$71,5,0))</f>
        <v>0</v>
      </c>
      <c r="H357" s="31">
        <f>VLOOKUP($A357,$A$4:$O$28,8,0)*(HLOOKUP(H$351,'2.2.Brecha Efectiva x UdM'!$H$64:$AK$71,5,0))</f>
        <v>0</v>
      </c>
      <c r="I357" s="31">
        <f>VLOOKUP($A357,$A$4:$O$28,8,0)*(HLOOKUP(I$351,'2.2.Brecha Efectiva x UdM'!$H$64:$AK$71,5,0))</f>
        <v>0</v>
      </c>
      <c r="J357" s="31">
        <f>VLOOKUP($A357,$A$4:$O$28,8,0)*(HLOOKUP(J$351,'2.2.Brecha Efectiva x UdM'!$H$64:$AK$71,5,0))</f>
        <v>0</v>
      </c>
      <c r="K357" s="31">
        <f>VLOOKUP($A357,$A$4:$O$28,8,0)*(HLOOKUP(K$351,'2.2.Brecha Efectiva x UdM'!$H$64:$AK$71,5,0))</f>
        <v>0</v>
      </c>
      <c r="L357" s="31">
        <f>VLOOKUP($A357,$A$4:$O$28,8,0)*(HLOOKUP(L$351,'2.2.Brecha Efectiva x UdM'!$H$64:$AK$71,5,0))</f>
        <v>0</v>
      </c>
      <c r="M357" s="31">
        <f>VLOOKUP($A357,$A$4:$O$28,8,0)*(HLOOKUP(M$351,'2.2.Brecha Efectiva x UdM'!$H$64:$AK$71,5,0))</f>
        <v>0</v>
      </c>
      <c r="N357" s="31">
        <f>VLOOKUP($A357,$A$4:$O$28,8,0)*(HLOOKUP(N$351,'2.2.Brecha Efectiva x UdM'!$H$64:$AK$71,5,0))</f>
        <v>0</v>
      </c>
      <c r="O357" s="31">
        <f>VLOOKUP($A357,$A$4:$O$28,8,0)*(HLOOKUP(O$351,'2.2.Brecha Efectiva x UdM'!$H$64:$AK$71,5,0))</f>
        <v>0</v>
      </c>
      <c r="P357" s="31">
        <f>VLOOKUP($A357,$A$4:$O$28,8,0)*(HLOOKUP(P$351,'2.2.Brecha Efectiva x UdM'!$H$64:$AK$71,5,0))</f>
        <v>0</v>
      </c>
      <c r="Q357" s="31">
        <f>VLOOKUP($A357,$A$4:$O$28,8,0)*(HLOOKUP(Q$351,'2.2.Brecha Efectiva x UdM'!$H$64:$AK$71,5,0))</f>
        <v>0</v>
      </c>
      <c r="R357" s="31">
        <f>VLOOKUP($A357,$A$4:$O$28,8,0)*(HLOOKUP(R$351,'2.2.Brecha Efectiva x UdM'!$H$64:$AK$71,5,0))</f>
        <v>0</v>
      </c>
      <c r="S357" s="31">
        <f>VLOOKUP($A357,$A$4:$O$28,8,0)*(HLOOKUP(S$351,'2.2.Brecha Efectiva x UdM'!$H$64:$AK$71,5,0))</f>
        <v>0</v>
      </c>
      <c r="T357" s="31">
        <f>VLOOKUP($A357,$A$4:$O$28,8,0)*(HLOOKUP(T$351,'2.2.Brecha Efectiva x UdM'!$H$64:$AK$71,5,0))</f>
        <v>0</v>
      </c>
      <c r="U357" s="31">
        <f>VLOOKUP($A357,$A$4:$O$28,8,0)*(HLOOKUP(U$351,'2.2.Brecha Efectiva x UdM'!$H$64:$AK$71,5,0))</f>
        <v>0</v>
      </c>
      <c r="V357" s="31">
        <f>VLOOKUP($A357,$A$4:$O$28,8,0)*(HLOOKUP(V$351,'2.2.Brecha Efectiva x UdM'!$H$64:$AK$71,5,0))</f>
        <v>0</v>
      </c>
      <c r="W357" s="31">
        <f>VLOOKUP($A357,$A$4:$O$28,8,0)*(HLOOKUP(W$351,'2.2.Brecha Efectiva x UdM'!$H$64:$AK$71,5,0))</f>
        <v>0</v>
      </c>
      <c r="X357" s="31">
        <f>VLOOKUP($A357,$A$4:$O$28,8,0)*(HLOOKUP(X$351,'2.2.Brecha Efectiva x UdM'!$H$64:$AK$71,5,0))</f>
        <v>0</v>
      </c>
      <c r="Y357" s="31">
        <f>VLOOKUP($A357,$A$4:$O$28,8,0)*(HLOOKUP(Y$351,'2.2.Brecha Efectiva x UdM'!$H$64:$AK$71,5,0))</f>
        <v>0</v>
      </c>
      <c r="Z357" s="31">
        <f>VLOOKUP($A357,$A$4:$O$28,8,0)*(HLOOKUP(Z$351,'2.2.Brecha Efectiva x UdM'!$H$64:$AK$71,5,0))</f>
        <v>0</v>
      </c>
      <c r="AA357" s="31">
        <f>VLOOKUP($A357,$A$4:$O$28,8,0)*(HLOOKUP(AA$351,'2.2.Brecha Efectiva x UdM'!$H$64:$AK$71,5,0))</f>
        <v>0</v>
      </c>
      <c r="AB357" s="31">
        <f>VLOOKUP($A357,$A$4:$O$28,8,0)*(HLOOKUP(AB$351,'2.2.Brecha Efectiva x UdM'!$H$64:$AK$71,5,0))</f>
        <v>0</v>
      </c>
      <c r="AC357" s="31">
        <f>VLOOKUP($A357,$A$4:$O$28,8,0)*(HLOOKUP(AC$351,'2.2.Brecha Efectiva x UdM'!$H$64:$AK$71,5,0))</f>
        <v>0</v>
      </c>
      <c r="AD357" s="31">
        <f>VLOOKUP($A357,$A$4:$O$28,8,0)*(HLOOKUP(AD$351,'2.2.Brecha Efectiva x UdM'!$H$64:$AK$71,5,0))</f>
        <v>0</v>
      </c>
      <c r="AE357" s="31">
        <f>VLOOKUP($A357,$A$4:$O$28,8,0)*(HLOOKUP(AE$351,'2.2.Brecha Efectiva x UdM'!$H$64:$AK$71,5,0))</f>
        <v>0</v>
      </c>
      <c r="AF357" s="31">
        <f>VLOOKUP($A357,$A$4:$O$28,8,0)*(HLOOKUP(AF$351,'2.2.Brecha Efectiva x UdM'!$H$64:$AK$71,5,0))</f>
        <v>0</v>
      </c>
      <c r="AG357" s="31">
        <f>VLOOKUP($A357,$A$4:$O$28,8,0)*(HLOOKUP(AG$351,'2.2.Brecha Efectiva x UdM'!$H$64:$AK$71,5,0))</f>
        <v>0</v>
      </c>
      <c r="AH357" s="63">
        <f t="shared" si="360"/>
        <v>0</v>
      </c>
    </row>
    <row r="358" spans="1:34" hidden="1" x14ac:dyDescent="0.2">
      <c r="A358" s="25" t="str">
        <f t="shared" si="357"/>
        <v>Corrientes</v>
      </c>
      <c r="B358" s="51">
        <f t="shared" si="358"/>
        <v>0</v>
      </c>
      <c r="C358" s="25" t="str">
        <f t="shared" si="359"/>
        <v>Corrientes 0</v>
      </c>
      <c r="D358" s="32">
        <f>VLOOKUP($A358,$A$4:$O$28,8,0)*(HLOOKUP(D$351,'2.2.Brecha Efectiva x UdM'!$H$64:$AK$71,5,0))</f>
        <v>0</v>
      </c>
      <c r="E358" s="32">
        <f>VLOOKUP($A358,$A$4:$O$28,8,0)*(HLOOKUP(E$351,'2.2.Brecha Efectiva x UdM'!$H$64:$AK$71,5,0))</f>
        <v>0</v>
      </c>
      <c r="F358" s="32">
        <f>VLOOKUP($A358,$A$4:$O$28,8,0)*(HLOOKUP(F$351,'2.2.Brecha Efectiva x UdM'!$H$64:$AK$71,5,0))</f>
        <v>0</v>
      </c>
      <c r="G358" s="32">
        <f>VLOOKUP($A358,$A$4:$O$28,8,0)*(HLOOKUP(G$351,'2.2.Brecha Efectiva x UdM'!$H$64:$AK$71,5,0))</f>
        <v>0</v>
      </c>
      <c r="H358" s="32">
        <f>VLOOKUP($A358,$A$4:$O$28,8,0)*(HLOOKUP(H$351,'2.2.Brecha Efectiva x UdM'!$H$64:$AK$71,5,0))</f>
        <v>0</v>
      </c>
      <c r="I358" s="32">
        <f>VLOOKUP($A358,$A$4:$O$28,8,0)*(HLOOKUP(I$351,'2.2.Brecha Efectiva x UdM'!$H$64:$AK$71,5,0))</f>
        <v>0</v>
      </c>
      <c r="J358" s="32">
        <f>VLOOKUP($A358,$A$4:$O$28,8,0)*(HLOOKUP(J$351,'2.2.Brecha Efectiva x UdM'!$H$64:$AK$71,5,0))</f>
        <v>0</v>
      </c>
      <c r="K358" s="32">
        <f>VLOOKUP($A358,$A$4:$O$28,8,0)*(HLOOKUP(K$351,'2.2.Brecha Efectiva x UdM'!$H$64:$AK$71,5,0))</f>
        <v>0</v>
      </c>
      <c r="L358" s="32">
        <f>VLOOKUP($A358,$A$4:$O$28,8,0)*(HLOOKUP(L$351,'2.2.Brecha Efectiva x UdM'!$H$64:$AK$71,5,0))</f>
        <v>0</v>
      </c>
      <c r="M358" s="32">
        <f>VLOOKUP($A358,$A$4:$O$28,8,0)*(HLOOKUP(M$351,'2.2.Brecha Efectiva x UdM'!$H$64:$AK$71,5,0))</f>
        <v>0</v>
      </c>
      <c r="N358" s="32">
        <f>VLOOKUP($A358,$A$4:$O$28,8,0)*(HLOOKUP(N$351,'2.2.Brecha Efectiva x UdM'!$H$64:$AK$71,5,0))</f>
        <v>0</v>
      </c>
      <c r="O358" s="32">
        <f>VLOOKUP($A358,$A$4:$O$28,8,0)*(HLOOKUP(O$351,'2.2.Brecha Efectiva x UdM'!$H$64:$AK$71,5,0))</f>
        <v>0</v>
      </c>
      <c r="P358" s="32">
        <f>VLOOKUP($A358,$A$4:$O$28,8,0)*(HLOOKUP(P$351,'2.2.Brecha Efectiva x UdM'!$H$64:$AK$71,5,0))</f>
        <v>0</v>
      </c>
      <c r="Q358" s="32">
        <f>VLOOKUP($A358,$A$4:$O$28,8,0)*(HLOOKUP(Q$351,'2.2.Brecha Efectiva x UdM'!$H$64:$AK$71,5,0))</f>
        <v>0</v>
      </c>
      <c r="R358" s="32">
        <f>VLOOKUP($A358,$A$4:$O$28,8,0)*(HLOOKUP(R$351,'2.2.Brecha Efectiva x UdM'!$H$64:$AK$71,5,0))</f>
        <v>0</v>
      </c>
      <c r="S358" s="32">
        <f>VLOOKUP($A358,$A$4:$O$28,8,0)*(HLOOKUP(S$351,'2.2.Brecha Efectiva x UdM'!$H$64:$AK$71,5,0))</f>
        <v>0</v>
      </c>
      <c r="T358" s="32">
        <f>VLOOKUP($A358,$A$4:$O$28,8,0)*(HLOOKUP(T$351,'2.2.Brecha Efectiva x UdM'!$H$64:$AK$71,5,0))</f>
        <v>0</v>
      </c>
      <c r="U358" s="32">
        <f>VLOOKUP($A358,$A$4:$O$28,8,0)*(HLOOKUP(U$351,'2.2.Brecha Efectiva x UdM'!$H$64:$AK$71,5,0))</f>
        <v>0</v>
      </c>
      <c r="V358" s="32">
        <f>VLOOKUP($A358,$A$4:$O$28,8,0)*(HLOOKUP(V$351,'2.2.Brecha Efectiva x UdM'!$H$64:$AK$71,5,0))</f>
        <v>0</v>
      </c>
      <c r="W358" s="32">
        <f>VLOOKUP($A358,$A$4:$O$28,8,0)*(HLOOKUP(W$351,'2.2.Brecha Efectiva x UdM'!$H$64:$AK$71,5,0))</f>
        <v>0</v>
      </c>
      <c r="X358" s="32">
        <f>VLOOKUP($A358,$A$4:$O$28,8,0)*(HLOOKUP(X$351,'2.2.Brecha Efectiva x UdM'!$H$64:$AK$71,5,0))</f>
        <v>0</v>
      </c>
      <c r="Y358" s="32">
        <f>VLOOKUP($A358,$A$4:$O$28,8,0)*(HLOOKUP(Y$351,'2.2.Brecha Efectiva x UdM'!$H$64:$AK$71,5,0))</f>
        <v>0</v>
      </c>
      <c r="Z358" s="32">
        <f>VLOOKUP($A358,$A$4:$O$28,8,0)*(HLOOKUP(Z$351,'2.2.Brecha Efectiva x UdM'!$H$64:$AK$71,5,0))</f>
        <v>0</v>
      </c>
      <c r="AA358" s="32">
        <f>VLOOKUP($A358,$A$4:$O$28,8,0)*(HLOOKUP(AA$351,'2.2.Brecha Efectiva x UdM'!$H$64:$AK$71,5,0))</f>
        <v>0</v>
      </c>
      <c r="AB358" s="32">
        <f>VLOOKUP($A358,$A$4:$O$28,8,0)*(HLOOKUP(AB$351,'2.2.Brecha Efectiva x UdM'!$H$64:$AK$71,5,0))</f>
        <v>0</v>
      </c>
      <c r="AC358" s="32">
        <f>VLOOKUP($A358,$A$4:$O$28,8,0)*(HLOOKUP(AC$351,'2.2.Brecha Efectiva x UdM'!$H$64:$AK$71,5,0))</f>
        <v>0</v>
      </c>
      <c r="AD358" s="32">
        <f>VLOOKUP($A358,$A$4:$O$28,8,0)*(HLOOKUP(AD$351,'2.2.Brecha Efectiva x UdM'!$H$64:$AK$71,5,0))</f>
        <v>0</v>
      </c>
      <c r="AE358" s="32">
        <f>VLOOKUP($A358,$A$4:$O$28,8,0)*(HLOOKUP(AE$351,'2.2.Brecha Efectiva x UdM'!$H$64:$AK$71,5,0))</f>
        <v>0</v>
      </c>
      <c r="AF358" s="32">
        <f>VLOOKUP($A358,$A$4:$O$28,8,0)*(HLOOKUP(AF$351,'2.2.Brecha Efectiva x UdM'!$H$64:$AK$71,5,0))</f>
        <v>0</v>
      </c>
      <c r="AG358" s="32">
        <f>VLOOKUP($A358,$A$4:$O$28,8,0)*(HLOOKUP(AG$351,'2.2.Brecha Efectiva x UdM'!$H$64:$AK$71,5,0))</f>
        <v>0</v>
      </c>
      <c r="AH358" s="62">
        <f t="shared" si="360"/>
        <v>0</v>
      </c>
    </row>
    <row r="359" spans="1:34" hidden="1" x14ac:dyDescent="0.2">
      <c r="A359" s="26" t="str">
        <f t="shared" si="357"/>
        <v>Entre Ríos</v>
      </c>
      <c r="B359" s="52">
        <f t="shared" si="358"/>
        <v>0</v>
      </c>
      <c r="C359" s="26" t="str">
        <f t="shared" si="359"/>
        <v>Entre Ríos 0</v>
      </c>
      <c r="D359" s="31">
        <f>VLOOKUP($A359,$A$4:$O$28,8,0)*(HLOOKUP(D$351,'2.2.Brecha Efectiva x UdM'!$H$64:$AK$71,5,0))</f>
        <v>0</v>
      </c>
      <c r="E359" s="31">
        <f>VLOOKUP($A359,$A$4:$O$28,8,0)*(HLOOKUP(E$351,'2.2.Brecha Efectiva x UdM'!$H$64:$AK$71,5,0))</f>
        <v>0</v>
      </c>
      <c r="F359" s="31">
        <f>VLOOKUP($A359,$A$4:$O$28,8,0)*(HLOOKUP(F$351,'2.2.Brecha Efectiva x UdM'!$H$64:$AK$71,5,0))</f>
        <v>0</v>
      </c>
      <c r="G359" s="31">
        <f>VLOOKUP($A359,$A$4:$O$28,8,0)*(HLOOKUP(G$351,'2.2.Brecha Efectiva x UdM'!$H$64:$AK$71,5,0))</f>
        <v>0</v>
      </c>
      <c r="H359" s="31">
        <f>VLOOKUP($A359,$A$4:$O$28,8,0)*(HLOOKUP(H$351,'2.2.Brecha Efectiva x UdM'!$H$64:$AK$71,5,0))</f>
        <v>0</v>
      </c>
      <c r="I359" s="31">
        <f>VLOOKUP($A359,$A$4:$O$28,8,0)*(HLOOKUP(I$351,'2.2.Brecha Efectiva x UdM'!$H$64:$AK$71,5,0))</f>
        <v>0</v>
      </c>
      <c r="J359" s="31">
        <f>VLOOKUP($A359,$A$4:$O$28,8,0)*(HLOOKUP(J$351,'2.2.Brecha Efectiva x UdM'!$H$64:$AK$71,5,0))</f>
        <v>0</v>
      </c>
      <c r="K359" s="31">
        <f>VLOOKUP($A359,$A$4:$O$28,8,0)*(HLOOKUP(K$351,'2.2.Brecha Efectiva x UdM'!$H$64:$AK$71,5,0))</f>
        <v>0</v>
      </c>
      <c r="L359" s="31">
        <f>VLOOKUP($A359,$A$4:$O$28,8,0)*(HLOOKUP(L$351,'2.2.Brecha Efectiva x UdM'!$H$64:$AK$71,5,0))</f>
        <v>0</v>
      </c>
      <c r="M359" s="31">
        <f>VLOOKUP($A359,$A$4:$O$28,8,0)*(HLOOKUP(M$351,'2.2.Brecha Efectiva x UdM'!$H$64:$AK$71,5,0))</f>
        <v>0</v>
      </c>
      <c r="N359" s="31">
        <f>VLOOKUP($A359,$A$4:$O$28,8,0)*(HLOOKUP(N$351,'2.2.Brecha Efectiva x UdM'!$H$64:$AK$71,5,0))</f>
        <v>0</v>
      </c>
      <c r="O359" s="31">
        <f>VLOOKUP($A359,$A$4:$O$28,8,0)*(HLOOKUP(O$351,'2.2.Brecha Efectiva x UdM'!$H$64:$AK$71,5,0))</f>
        <v>0</v>
      </c>
      <c r="P359" s="31">
        <f>VLOOKUP($A359,$A$4:$O$28,8,0)*(HLOOKUP(P$351,'2.2.Brecha Efectiva x UdM'!$H$64:$AK$71,5,0))</f>
        <v>0</v>
      </c>
      <c r="Q359" s="31">
        <f>VLOOKUP($A359,$A$4:$O$28,8,0)*(HLOOKUP(Q$351,'2.2.Brecha Efectiva x UdM'!$H$64:$AK$71,5,0))</f>
        <v>0</v>
      </c>
      <c r="R359" s="31">
        <f>VLOOKUP($A359,$A$4:$O$28,8,0)*(HLOOKUP(R$351,'2.2.Brecha Efectiva x UdM'!$H$64:$AK$71,5,0))</f>
        <v>0</v>
      </c>
      <c r="S359" s="31">
        <f>VLOOKUP($A359,$A$4:$O$28,8,0)*(HLOOKUP(S$351,'2.2.Brecha Efectiva x UdM'!$H$64:$AK$71,5,0))</f>
        <v>0</v>
      </c>
      <c r="T359" s="31">
        <f>VLOOKUP($A359,$A$4:$O$28,8,0)*(HLOOKUP(T$351,'2.2.Brecha Efectiva x UdM'!$H$64:$AK$71,5,0))</f>
        <v>0</v>
      </c>
      <c r="U359" s="31">
        <f>VLOOKUP($A359,$A$4:$O$28,8,0)*(HLOOKUP(U$351,'2.2.Brecha Efectiva x UdM'!$H$64:$AK$71,5,0))</f>
        <v>0</v>
      </c>
      <c r="V359" s="31">
        <f>VLOOKUP($A359,$A$4:$O$28,8,0)*(HLOOKUP(V$351,'2.2.Brecha Efectiva x UdM'!$H$64:$AK$71,5,0))</f>
        <v>0</v>
      </c>
      <c r="W359" s="31">
        <f>VLOOKUP($A359,$A$4:$O$28,8,0)*(HLOOKUP(W$351,'2.2.Brecha Efectiva x UdM'!$H$64:$AK$71,5,0))</f>
        <v>0</v>
      </c>
      <c r="X359" s="31">
        <f>VLOOKUP($A359,$A$4:$O$28,8,0)*(HLOOKUP(X$351,'2.2.Brecha Efectiva x UdM'!$H$64:$AK$71,5,0))</f>
        <v>0</v>
      </c>
      <c r="Y359" s="31">
        <f>VLOOKUP($A359,$A$4:$O$28,8,0)*(HLOOKUP(Y$351,'2.2.Brecha Efectiva x UdM'!$H$64:$AK$71,5,0))</f>
        <v>0</v>
      </c>
      <c r="Z359" s="31">
        <f>VLOOKUP($A359,$A$4:$O$28,8,0)*(HLOOKUP(Z$351,'2.2.Brecha Efectiva x UdM'!$H$64:$AK$71,5,0))</f>
        <v>0</v>
      </c>
      <c r="AA359" s="31">
        <f>VLOOKUP($A359,$A$4:$O$28,8,0)*(HLOOKUP(AA$351,'2.2.Brecha Efectiva x UdM'!$H$64:$AK$71,5,0))</f>
        <v>0</v>
      </c>
      <c r="AB359" s="31">
        <f>VLOOKUP($A359,$A$4:$O$28,8,0)*(HLOOKUP(AB$351,'2.2.Brecha Efectiva x UdM'!$H$64:$AK$71,5,0))</f>
        <v>0</v>
      </c>
      <c r="AC359" s="31">
        <f>VLOOKUP($A359,$A$4:$O$28,8,0)*(HLOOKUP(AC$351,'2.2.Brecha Efectiva x UdM'!$H$64:$AK$71,5,0))</f>
        <v>0</v>
      </c>
      <c r="AD359" s="31">
        <f>VLOOKUP($A359,$A$4:$O$28,8,0)*(HLOOKUP(AD$351,'2.2.Brecha Efectiva x UdM'!$H$64:$AK$71,5,0))</f>
        <v>0</v>
      </c>
      <c r="AE359" s="31">
        <f>VLOOKUP($A359,$A$4:$O$28,8,0)*(HLOOKUP(AE$351,'2.2.Brecha Efectiva x UdM'!$H$64:$AK$71,5,0))</f>
        <v>0</v>
      </c>
      <c r="AF359" s="31">
        <f>VLOOKUP($A359,$A$4:$O$28,8,0)*(HLOOKUP(AF$351,'2.2.Brecha Efectiva x UdM'!$H$64:$AK$71,5,0))</f>
        <v>0</v>
      </c>
      <c r="AG359" s="31">
        <f>VLOOKUP($A359,$A$4:$O$28,8,0)*(HLOOKUP(AG$351,'2.2.Brecha Efectiva x UdM'!$H$64:$AK$71,5,0))</f>
        <v>0</v>
      </c>
      <c r="AH359" s="63">
        <f t="shared" si="360"/>
        <v>0</v>
      </c>
    </row>
    <row r="360" spans="1:34" hidden="1" x14ac:dyDescent="0.2">
      <c r="A360" s="25" t="str">
        <f t="shared" si="357"/>
        <v>Formosa</v>
      </c>
      <c r="B360" s="51">
        <f t="shared" si="358"/>
        <v>0</v>
      </c>
      <c r="C360" s="25" t="str">
        <f t="shared" si="359"/>
        <v>Formosa 0</v>
      </c>
      <c r="D360" s="32">
        <f>VLOOKUP($A360,$A$4:$O$28,8,0)*(HLOOKUP(D$351,'2.2.Brecha Efectiva x UdM'!$H$64:$AK$71,5,0))</f>
        <v>0</v>
      </c>
      <c r="E360" s="32">
        <f>VLOOKUP($A360,$A$4:$O$28,8,0)*(HLOOKUP(E$351,'2.2.Brecha Efectiva x UdM'!$H$64:$AK$71,5,0))</f>
        <v>0</v>
      </c>
      <c r="F360" s="32">
        <f>VLOOKUP($A360,$A$4:$O$28,8,0)*(HLOOKUP(F$351,'2.2.Brecha Efectiva x UdM'!$H$64:$AK$71,5,0))</f>
        <v>0</v>
      </c>
      <c r="G360" s="32">
        <f>VLOOKUP($A360,$A$4:$O$28,8,0)*(HLOOKUP(G$351,'2.2.Brecha Efectiva x UdM'!$H$64:$AK$71,5,0))</f>
        <v>0</v>
      </c>
      <c r="H360" s="32">
        <f>VLOOKUP($A360,$A$4:$O$28,8,0)*(HLOOKUP(H$351,'2.2.Brecha Efectiva x UdM'!$H$64:$AK$71,5,0))</f>
        <v>0</v>
      </c>
      <c r="I360" s="32">
        <f>VLOOKUP($A360,$A$4:$O$28,8,0)*(HLOOKUP(I$351,'2.2.Brecha Efectiva x UdM'!$H$64:$AK$71,5,0))</f>
        <v>0</v>
      </c>
      <c r="J360" s="32">
        <f>VLOOKUP($A360,$A$4:$O$28,8,0)*(HLOOKUP(J$351,'2.2.Brecha Efectiva x UdM'!$H$64:$AK$71,5,0))</f>
        <v>0</v>
      </c>
      <c r="K360" s="32">
        <f>VLOOKUP($A360,$A$4:$O$28,8,0)*(HLOOKUP(K$351,'2.2.Brecha Efectiva x UdM'!$H$64:$AK$71,5,0))</f>
        <v>0</v>
      </c>
      <c r="L360" s="32">
        <f>VLOOKUP($A360,$A$4:$O$28,8,0)*(HLOOKUP(L$351,'2.2.Brecha Efectiva x UdM'!$H$64:$AK$71,5,0))</f>
        <v>0</v>
      </c>
      <c r="M360" s="32">
        <f>VLOOKUP($A360,$A$4:$O$28,8,0)*(HLOOKUP(M$351,'2.2.Brecha Efectiva x UdM'!$H$64:$AK$71,5,0))</f>
        <v>0</v>
      </c>
      <c r="N360" s="32">
        <f>VLOOKUP($A360,$A$4:$O$28,8,0)*(HLOOKUP(N$351,'2.2.Brecha Efectiva x UdM'!$H$64:$AK$71,5,0))</f>
        <v>0</v>
      </c>
      <c r="O360" s="32">
        <f>VLOOKUP($A360,$A$4:$O$28,8,0)*(HLOOKUP(O$351,'2.2.Brecha Efectiva x UdM'!$H$64:$AK$71,5,0))</f>
        <v>0</v>
      </c>
      <c r="P360" s="32">
        <f>VLOOKUP($A360,$A$4:$O$28,8,0)*(HLOOKUP(P$351,'2.2.Brecha Efectiva x UdM'!$H$64:$AK$71,5,0))</f>
        <v>0</v>
      </c>
      <c r="Q360" s="32">
        <f>VLOOKUP($A360,$A$4:$O$28,8,0)*(HLOOKUP(Q$351,'2.2.Brecha Efectiva x UdM'!$H$64:$AK$71,5,0))</f>
        <v>0</v>
      </c>
      <c r="R360" s="32">
        <f>VLOOKUP($A360,$A$4:$O$28,8,0)*(HLOOKUP(R$351,'2.2.Brecha Efectiva x UdM'!$H$64:$AK$71,5,0))</f>
        <v>0</v>
      </c>
      <c r="S360" s="32">
        <f>VLOOKUP($A360,$A$4:$O$28,8,0)*(HLOOKUP(S$351,'2.2.Brecha Efectiva x UdM'!$H$64:$AK$71,5,0))</f>
        <v>0</v>
      </c>
      <c r="T360" s="32">
        <f>VLOOKUP($A360,$A$4:$O$28,8,0)*(HLOOKUP(T$351,'2.2.Brecha Efectiva x UdM'!$H$64:$AK$71,5,0))</f>
        <v>0</v>
      </c>
      <c r="U360" s="32">
        <f>VLOOKUP($A360,$A$4:$O$28,8,0)*(HLOOKUP(U$351,'2.2.Brecha Efectiva x UdM'!$H$64:$AK$71,5,0))</f>
        <v>0</v>
      </c>
      <c r="V360" s="32">
        <f>VLOOKUP($A360,$A$4:$O$28,8,0)*(HLOOKUP(V$351,'2.2.Brecha Efectiva x UdM'!$H$64:$AK$71,5,0))</f>
        <v>0</v>
      </c>
      <c r="W360" s="32">
        <f>VLOOKUP($A360,$A$4:$O$28,8,0)*(HLOOKUP(W$351,'2.2.Brecha Efectiva x UdM'!$H$64:$AK$71,5,0))</f>
        <v>0</v>
      </c>
      <c r="X360" s="32">
        <f>VLOOKUP($A360,$A$4:$O$28,8,0)*(HLOOKUP(X$351,'2.2.Brecha Efectiva x UdM'!$H$64:$AK$71,5,0))</f>
        <v>0</v>
      </c>
      <c r="Y360" s="32">
        <f>VLOOKUP($A360,$A$4:$O$28,8,0)*(HLOOKUP(Y$351,'2.2.Brecha Efectiva x UdM'!$H$64:$AK$71,5,0))</f>
        <v>0</v>
      </c>
      <c r="Z360" s="32">
        <f>VLOOKUP($A360,$A$4:$O$28,8,0)*(HLOOKUP(Z$351,'2.2.Brecha Efectiva x UdM'!$H$64:$AK$71,5,0))</f>
        <v>0</v>
      </c>
      <c r="AA360" s="32">
        <f>VLOOKUP($A360,$A$4:$O$28,8,0)*(HLOOKUP(AA$351,'2.2.Brecha Efectiva x UdM'!$H$64:$AK$71,5,0))</f>
        <v>0</v>
      </c>
      <c r="AB360" s="32">
        <f>VLOOKUP($A360,$A$4:$O$28,8,0)*(HLOOKUP(AB$351,'2.2.Brecha Efectiva x UdM'!$H$64:$AK$71,5,0))</f>
        <v>0</v>
      </c>
      <c r="AC360" s="32">
        <f>VLOOKUP($A360,$A$4:$O$28,8,0)*(HLOOKUP(AC$351,'2.2.Brecha Efectiva x UdM'!$H$64:$AK$71,5,0))</f>
        <v>0</v>
      </c>
      <c r="AD360" s="32">
        <f>VLOOKUP($A360,$A$4:$O$28,8,0)*(HLOOKUP(AD$351,'2.2.Brecha Efectiva x UdM'!$H$64:$AK$71,5,0))</f>
        <v>0</v>
      </c>
      <c r="AE360" s="32">
        <f>VLOOKUP($A360,$A$4:$O$28,8,0)*(HLOOKUP(AE$351,'2.2.Brecha Efectiva x UdM'!$H$64:$AK$71,5,0))</f>
        <v>0</v>
      </c>
      <c r="AF360" s="32">
        <f>VLOOKUP($A360,$A$4:$O$28,8,0)*(HLOOKUP(AF$351,'2.2.Brecha Efectiva x UdM'!$H$64:$AK$71,5,0))</f>
        <v>0</v>
      </c>
      <c r="AG360" s="32">
        <f>VLOOKUP($A360,$A$4:$O$28,8,0)*(HLOOKUP(AG$351,'2.2.Brecha Efectiva x UdM'!$H$64:$AK$71,5,0))</f>
        <v>0</v>
      </c>
      <c r="AH360" s="62">
        <f t="shared" si="360"/>
        <v>0</v>
      </c>
    </row>
    <row r="361" spans="1:34" hidden="1" x14ac:dyDescent="0.2">
      <c r="A361" s="26" t="str">
        <f t="shared" si="357"/>
        <v>Jujuy</v>
      </c>
      <c r="B361" s="52">
        <f t="shared" si="358"/>
        <v>0</v>
      </c>
      <c r="C361" s="26" t="str">
        <f t="shared" si="359"/>
        <v>Jujuy 0</v>
      </c>
      <c r="D361" s="31">
        <f>VLOOKUP($A361,$A$4:$O$28,8,0)*(HLOOKUP(D$351,'2.2.Brecha Efectiva x UdM'!$H$64:$AK$71,5,0))</f>
        <v>0</v>
      </c>
      <c r="E361" s="31">
        <f>VLOOKUP($A361,$A$4:$O$28,8,0)*(HLOOKUP(E$351,'2.2.Brecha Efectiva x UdM'!$H$64:$AK$71,5,0))</f>
        <v>0</v>
      </c>
      <c r="F361" s="31">
        <f>VLOOKUP($A361,$A$4:$O$28,8,0)*(HLOOKUP(F$351,'2.2.Brecha Efectiva x UdM'!$H$64:$AK$71,5,0))</f>
        <v>0</v>
      </c>
      <c r="G361" s="31">
        <f>VLOOKUP($A361,$A$4:$O$28,8,0)*(HLOOKUP(G$351,'2.2.Brecha Efectiva x UdM'!$H$64:$AK$71,5,0))</f>
        <v>0</v>
      </c>
      <c r="H361" s="31">
        <f>VLOOKUP($A361,$A$4:$O$28,8,0)*(HLOOKUP(H$351,'2.2.Brecha Efectiva x UdM'!$H$64:$AK$71,5,0))</f>
        <v>0</v>
      </c>
      <c r="I361" s="31">
        <f>VLOOKUP($A361,$A$4:$O$28,8,0)*(HLOOKUP(I$351,'2.2.Brecha Efectiva x UdM'!$H$64:$AK$71,5,0))</f>
        <v>0</v>
      </c>
      <c r="J361" s="31">
        <f>VLOOKUP($A361,$A$4:$O$28,8,0)*(HLOOKUP(J$351,'2.2.Brecha Efectiva x UdM'!$H$64:$AK$71,5,0))</f>
        <v>0</v>
      </c>
      <c r="K361" s="31">
        <f>VLOOKUP($A361,$A$4:$O$28,8,0)*(HLOOKUP(K$351,'2.2.Brecha Efectiva x UdM'!$H$64:$AK$71,5,0))</f>
        <v>0</v>
      </c>
      <c r="L361" s="31">
        <f>VLOOKUP($A361,$A$4:$O$28,8,0)*(HLOOKUP(L$351,'2.2.Brecha Efectiva x UdM'!$H$64:$AK$71,5,0))</f>
        <v>0</v>
      </c>
      <c r="M361" s="31">
        <f>VLOOKUP($A361,$A$4:$O$28,8,0)*(HLOOKUP(M$351,'2.2.Brecha Efectiva x UdM'!$H$64:$AK$71,5,0))</f>
        <v>0</v>
      </c>
      <c r="N361" s="31">
        <f>VLOOKUP($A361,$A$4:$O$28,8,0)*(HLOOKUP(N$351,'2.2.Brecha Efectiva x UdM'!$H$64:$AK$71,5,0))</f>
        <v>0</v>
      </c>
      <c r="O361" s="31">
        <f>VLOOKUP($A361,$A$4:$O$28,8,0)*(HLOOKUP(O$351,'2.2.Brecha Efectiva x UdM'!$H$64:$AK$71,5,0))</f>
        <v>0</v>
      </c>
      <c r="P361" s="31">
        <f>VLOOKUP($A361,$A$4:$O$28,8,0)*(HLOOKUP(P$351,'2.2.Brecha Efectiva x UdM'!$H$64:$AK$71,5,0))</f>
        <v>0</v>
      </c>
      <c r="Q361" s="31">
        <f>VLOOKUP($A361,$A$4:$O$28,8,0)*(HLOOKUP(Q$351,'2.2.Brecha Efectiva x UdM'!$H$64:$AK$71,5,0))</f>
        <v>0</v>
      </c>
      <c r="R361" s="31">
        <f>VLOOKUP($A361,$A$4:$O$28,8,0)*(HLOOKUP(R$351,'2.2.Brecha Efectiva x UdM'!$H$64:$AK$71,5,0))</f>
        <v>0</v>
      </c>
      <c r="S361" s="31">
        <f>VLOOKUP($A361,$A$4:$O$28,8,0)*(HLOOKUP(S$351,'2.2.Brecha Efectiva x UdM'!$H$64:$AK$71,5,0))</f>
        <v>0</v>
      </c>
      <c r="T361" s="31">
        <f>VLOOKUP($A361,$A$4:$O$28,8,0)*(HLOOKUP(T$351,'2.2.Brecha Efectiva x UdM'!$H$64:$AK$71,5,0))</f>
        <v>0</v>
      </c>
      <c r="U361" s="31">
        <f>VLOOKUP($A361,$A$4:$O$28,8,0)*(HLOOKUP(U$351,'2.2.Brecha Efectiva x UdM'!$H$64:$AK$71,5,0))</f>
        <v>0</v>
      </c>
      <c r="V361" s="31">
        <f>VLOOKUP($A361,$A$4:$O$28,8,0)*(HLOOKUP(V$351,'2.2.Brecha Efectiva x UdM'!$H$64:$AK$71,5,0))</f>
        <v>0</v>
      </c>
      <c r="W361" s="31">
        <f>VLOOKUP($A361,$A$4:$O$28,8,0)*(HLOOKUP(W$351,'2.2.Brecha Efectiva x UdM'!$H$64:$AK$71,5,0))</f>
        <v>0</v>
      </c>
      <c r="X361" s="31">
        <f>VLOOKUP($A361,$A$4:$O$28,8,0)*(HLOOKUP(X$351,'2.2.Brecha Efectiva x UdM'!$H$64:$AK$71,5,0))</f>
        <v>0</v>
      </c>
      <c r="Y361" s="31">
        <f>VLOOKUP($A361,$A$4:$O$28,8,0)*(HLOOKUP(Y$351,'2.2.Brecha Efectiva x UdM'!$H$64:$AK$71,5,0))</f>
        <v>0</v>
      </c>
      <c r="Z361" s="31">
        <f>VLOOKUP($A361,$A$4:$O$28,8,0)*(HLOOKUP(Z$351,'2.2.Brecha Efectiva x UdM'!$H$64:$AK$71,5,0))</f>
        <v>0</v>
      </c>
      <c r="AA361" s="31">
        <f>VLOOKUP($A361,$A$4:$O$28,8,0)*(HLOOKUP(AA$351,'2.2.Brecha Efectiva x UdM'!$H$64:$AK$71,5,0))</f>
        <v>0</v>
      </c>
      <c r="AB361" s="31">
        <f>VLOOKUP($A361,$A$4:$O$28,8,0)*(HLOOKUP(AB$351,'2.2.Brecha Efectiva x UdM'!$H$64:$AK$71,5,0))</f>
        <v>0</v>
      </c>
      <c r="AC361" s="31">
        <f>VLOOKUP($A361,$A$4:$O$28,8,0)*(HLOOKUP(AC$351,'2.2.Brecha Efectiva x UdM'!$H$64:$AK$71,5,0))</f>
        <v>0</v>
      </c>
      <c r="AD361" s="31">
        <f>VLOOKUP($A361,$A$4:$O$28,8,0)*(HLOOKUP(AD$351,'2.2.Brecha Efectiva x UdM'!$H$64:$AK$71,5,0))</f>
        <v>0</v>
      </c>
      <c r="AE361" s="31">
        <f>VLOOKUP($A361,$A$4:$O$28,8,0)*(HLOOKUP(AE$351,'2.2.Brecha Efectiva x UdM'!$H$64:$AK$71,5,0))</f>
        <v>0</v>
      </c>
      <c r="AF361" s="31">
        <f>VLOOKUP($A361,$A$4:$O$28,8,0)*(HLOOKUP(AF$351,'2.2.Brecha Efectiva x UdM'!$H$64:$AK$71,5,0))</f>
        <v>0</v>
      </c>
      <c r="AG361" s="31">
        <f>VLOOKUP($A361,$A$4:$O$28,8,0)*(HLOOKUP(AG$351,'2.2.Brecha Efectiva x UdM'!$H$64:$AK$71,5,0))</f>
        <v>0</v>
      </c>
      <c r="AH361" s="63">
        <f t="shared" si="360"/>
        <v>0</v>
      </c>
    </row>
    <row r="362" spans="1:34" hidden="1" x14ac:dyDescent="0.2">
      <c r="A362" s="25" t="str">
        <f t="shared" si="357"/>
        <v>La Pampa</v>
      </c>
      <c r="B362" s="51">
        <f t="shared" si="358"/>
        <v>0</v>
      </c>
      <c r="C362" s="25" t="str">
        <f t="shared" si="359"/>
        <v>La Pampa 0</v>
      </c>
      <c r="D362" s="32">
        <f>VLOOKUP($A362,$A$4:$O$28,8,0)*(HLOOKUP(D$351,'2.2.Brecha Efectiva x UdM'!$H$64:$AK$71,5,0))</f>
        <v>0</v>
      </c>
      <c r="E362" s="32">
        <f>VLOOKUP($A362,$A$4:$O$28,8,0)*(HLOOKUP(E$351,'2.2.Brecha Efectiva x UdM'!$H$64:$AK$71,5,0))</f>
        <v>0</v>
      </c>
      <c r="F362" s="32">
        <f>VLOOKUP($A362,$A$4:$O$28,8,0)*(HLOOKUP(F$351,'2.2.Brecha Efectiva x UdM'!$H$64:$AK$71,5,0))</f>
        <v>0</v>
      </c>
      <c r="G362" s="32">
        <f>VLOOKUP($A362,$A$4:$O$28,8,0)*(HLOOKUP(G$351,'2.2.Brecha Efectiva x UdM'!$H$64:$AK$71,5,0))</f>
        <v>0</v>
      </c>
      <c r="H362" s="32">
        <f>VLOOKUP($A362,$A$4:$O$28,8,0)*(HLOOKUP(H$351,'2.2.Brecha Efectiva x UdM'!$H$64:$AK$71,5,0))</f>
        <v>0</v>
      </c>
      <c r="I362" s="32">
        <f>VLOOKUP($A362,$A$4:$O$28,8,0)*(HLOOKUP(I$351,'2.2.Brecha Efectiva x UdM'!$H$64:$AK$71,5,0))</f>
        <v>0</v>
      </c>
      <c r="J362" s="32">
        <f>VLOOKUP($A362,$A$4:$O$28,8,0)*(HLOOKUP(J$351,'2.2.Brecha Efectiva x UdM'!$H$64:$AK$71,5,0))</f>
        <v>0</v>
      </c>
      <c r="K362" s="32">
        <f>VLOOKUP($A362,$A$4:$O$28,8,0)*(HLOOKUP(K$351,'2.2.Brecha Efectiva x UdM'!$H$64:$AK$71,5,0))</f>
        <v>0</v>
      </c>
      <c r="L362" s="32">
        <f>VLOOKUP($A362,$A$4:$O$28,8,0)*(HLOOKUP(L$351,'2.2.Brecha Efectiva x UdM'!$H$64:$AK$71,5,0))</f>
        <v>0</v>
      </c>
      <c r="M362" s="32">
        <f>VLOOKUP($A362,$A$4:$O$28,8,0)*(HLOOKUP(M$351,'2.2.Brecha Efectiva x UdM'!$H$64:$AK$71,5,0))</f>
        <v>0</v>
      </c>
      <c r="N362" s="32">
        <f>VLOOKUP($A362,$A$4:$O$28,8,0)*(HLOOKUP(N$351,'2.2.Brecha Efectiva x UdM'!$H$64:$AK$71,5,0))</f>
        <v>0</v>
      </c>
      <c r="O362" s="32">
        <f>VLOOKUP($A362,$A$4:$O$28,8,0)*(HLOOKUP(O$351,'2.2.Brecha Efectiva x UdM'!$H$64:$AK$71,5,0))</f>
        <v>0</v>
      </c>
      <c r="P362" s="32">
        <f>VLOOKUP($A362,$A$4:$O$28,8,0)*(HLOOKUP(P$351,'2.2.Brecha Efectiva x UdM'!$H$64:$AK$71,5,0))</f>
        <v>0</v>
      </c>
      <c r="Q362" s="32">
        <f>VLOOKUP($A362,$A$4:$O$28,8,0)*(HLOOKUP(Q$351,'2.2.Brecha Efectiva x UdM'!$H$64:$AK$71,5,0))</f>
        <v>0</v>
      </c>
      <c r="R362" s="32">
        <f>VLOOKUP($A362,$A$4:$O$28,8,0)*(HLOOKUP(R$351,'2.2.Brecha Efectiva x UdM'!$H$64:$AK$71,5,0))</f>
        <v>0</v>
      </c>
      <c r="S362" s="32">
        <f>VLOOKUP($A362,$A$4:$O$28,8,0)*(HLOOKUP(S$351,'2.2.Brecha Efectiva x UdM'!$H$64:$AK$71,5,0))</f>
        <v>0</v>
      </c>
      <c r="T362" s="32">
        <f>VLOOKUP($A362,$A$4:$O$28,8,0)*(HLOOKUP(T$351,'2.2.Brecha Efectiva x UdM'!$H$64:$AK$71,5,0))</f>
        <v>0</v>
      </c>
      <c r="U362" s="32">
        <f>VLOOKUP($A362,$A$4:$O$28,8,0)*(HLOOKUP(U$351,'2.2.Brecha Efectiva x UdM'!$H$64:$AK$71,5,0))</f>
        <v>0</v>
      </c>
      <c r="V362" s="32">
        <f>VLOOKUP($A362,$A$4:$O$28,8,0)*(HLOOKUP(V$351,'2.2.Brecha Efectiva x UdM'!$H$64:$AK$71,5,0))</f>
        <v>0</v>
      </c>
      <c r="W362" s="32">
        <f>VLOOKUP($A362,$A$4:$O$28,8,0)*(HLOOKUP(W$351,'2.2.Brecha Efectiva x UdM'!$H$64:$AK$71,5,0))</f>
        <v>0</v>
      </c>
      <c r="X362" s="32">
        <f>VLOOKUP($A362,$A$4:$O$28,8,0)*(HLOOKUP(X$351,'2.2.Brecha Efectiva x UdM'!$H$64:$AK$71,5,0))</f>
        <v>0</v>
      </c>
      <c r="Y362" s="32">
        <f>VLOOKUP($A362,$A$4:$O$28,8,0)*(HLOOKUP(Y$351,'2.2.Brecha Efectiva x UdM'!$H$64:$AK$71,5,0))</f>
        <v>0</v>
      </c>
      <c r="Z362" s="32">
        <f>VLOOKUP($A362,$A$4:$O$28,8,0)*(HLOOKUP(Z$351,'2.2.Brecha Efectiva x UdM'!$H$64:$AK$71,5,0))</f>
        <v>0</v>
      </c>
      <c r="AA362" s="32">
        <f>VLOOKUP($A362,$A$4:$O$28,8,0)*(HLOOKUP(AA$351,'2.2.Brecha Efectiva x UdM'!$H$64:$AK$71,5,0))</f>
        <v>0</v>
      </c>
      <c r="AB362" s="32">
        <f>VLOOKUP($A362,$A$4:$O$28,8,0)*(HLOOKUP(AB$351,'2.2.Brecha Efectiva x UdM'!$H$64:$AK$71,5,0))</f>
        <v>0</v>
      </c>
      <c r="AC362" s="32">
        <f>VLOOKUP($A362,$A$4:$O$28,8,0)*(HLOOKUP(AC$351,'2.2.Brecha Efectiva x UdM'!$H$64:$AK$71,5,0))</f>
        <v>0</v>
      </c>
      <c r="AD362" s="32">
        <f>VLOOKUP($A362,$A$4:$O$28,8,0)*(HLOOKUP(AD$351,'2.2.Brecha Efectiva x UdM'!$H$64:$AK$71,5,0))</f>
        <v>0</v>
      </c>
      <c r="AE362" s="32">
        <f>VLOOKUP($A362,$A$4:$O$28,8,0)*(HLOOKUP(AE$351,'2.2.Brecha Efectiva x UdM'!$H$64:$AK$71,5,0))</f>
        <v>0</v>
      </c>
      <c r="AF362" s="32">
        <f>VLOOKUP($A362,$A$4:$O$28,8,0)*(HLOOKUP(AF$351,'2.2.Brecha Efectiva x UdM'!$H$64:$AK$71,5,0))</f>
        <v>0</v>
      </c>
      <c r="AG362" s="32">
        <f>VLOOKUP($A362,$A$4:$O$28,8,0)*(HLOOKUP(AG$351,'2.2.Brecha Efectiva x UdM'!$H$64:$AK$71,5,0))</f>
        <v>0</v>
      </c>
      <c r="AH362" s="62">
        <f t="shared" si="360"/>
        <v>0</v>
      </c>
    </row>
    <row r="363" spans="1:34" hidden="1" x14ac:dyDescent="0.2">
      <c r="A363" s="26" t="str">
        <f t="shared" si="357"/>
        <v>La Rioja</v>
      </c>
      <c r="B363" s="52">
        <f t="shared" si="358"/>
        <v>0</v>
      </c>
      <c r="C363" s="26" t="str">
        <f t="shared" si="359"/>
        <v>La Rioja 0</v>
      </c>
      <c r="D363" s="31">
        <f>VLOOKUP($A363,$A$4:$O$28,8,0)*(HLOOKUP(D$351,'2.2.Brecha Efectiva x UdM'!$H$64:$AK$71,5,0))</f>
        <v>0</v>
      </c>
      <c r="E363" s="31">
        <f>VLOOKUP($A363,$A$4:$O$28,8,0)*(HLOOKUP(E$351,'2.2.Brecha Efectiva x UdM'!$H$64:$AK$71,5,0))</f>
        <v>0</v>
      </c>
      <c r="F363" s="31">
        <f>VLOOKUP($A363,$A$4:$O$28,8,0)*(HLOOKUP(F$351,'2.2.Brecha Efectiva x UdM'!$H$64:$AK$71,5,0))</f>
        <v>0</v>
      </c>
      <c r="G363" s="31">
        <f>VLOOKUP($A363,$A$4:$O$28,8,0)*(HLOOKUP(G$351,'2.2.Brecha Efectiva x UdM'!$H$64:$AK$71,5,0))</f>
        <v>0</v>
      </c>
      <c r="H363" s="31">
        <f>VLOOKUP($A363,$A$4:$O$28,8,0)*(HLOOKUP(H$351,'2.2.Brecha Efectiva x UdM'!$H$64:$AK$71,5,0))</f>
        <v>0</v>
      </c>
      <c r="I363" s="31">
        <f>VLOOKUP($A363,$A$4:$O$28,8,0)*(HLOOKUP(I$351,'2.2.Brecha Efectiva x UdM'!$H$64:$AK$71,5,0))</f>
        <v>0</v>
      </c>
      <c r="J363" s="31">
        <f>VLOOKUP($A363,$A$4:$O$28,8,0)*(HLOOKUP(J$351,'2.2.Brecha Efectiva x UdM'!$H$64:$AK$71,5,0))</f>
        <v>0</v>
      </c>
      <c r="K363" s="31">
        <f>VLOOKUP($A363,$A$4:$O$28,8,0)*(HLOOKUP(K$351,'2.2.Brecha Efectiva x UdM'!$H$64:$AK$71,5,0))</f>
        <v>0</v>
      </c>
      <c r="L363" s="31">
        <f>VLOOKUP($A363,$A$4:$O$28,8,0)*(HLOOKUP(L$351,'2.2.Brecha Efectiva x UdM'!$H$64:$AK$71,5,0))</f>
        <v>0</v>
      </c>
      <c r="M363" s="31">
        <f>VLOOKUP($A363,$A$4:$O$28,8,0)*(HLOOKUP(M$351,'2.2.Brecha Efectiva x UdM'!$H$64:$AK$71,5,0))</f>
        <v>0</v>
      </c>
      <c r="N363" s="31">
        <f>VLOOKUP($A363,$A$4:$O$28,8,0)*(HLOOKUP(N$351,'2.2.Brecha Efectiva x UdM'!$H$64:$AK$71,5,0))</f>
        <v>0</v>
      </c>
      <c r="O363" s="31">
        <f>VLOOKUP($A363,$A$4:$O$28,8,0)*(HLOOKUP(O$351,'2.2.Brecha Efectiva x UdM'!$H$64:$AK$71,5,0))</f>
        <v>0</v>
      </c>
      <c r="P363" s="31">
        <f>VLOOKUP($A363,$A$4:$O$28,8,0)*(HLOOKUP(P$351,'2.2.Brecha Efectiva x UdM'!$H$64:$AK$71,5,0))</f>
        <v>0</v>
      </c>
      <c r="Q363" s="31">
        <f>VLOOKUP($A363,$A$4:$O$28,8,0)*(HLOOKUP(Q$351,'2.2.Brecha Efectiva x UdM'!$H$64:$AK$71,5,0))</f>
        <v>0</v>
      </c>
      <c r="R363" s="31">
        <f>VLOOKUP($A363,$A$4:$O$28,8,0)*(HLOOKUP(R$351,'2.2.Brecha Efectiva x UdM'!$H$64:$AK$71,5,0))</f>
        <v>0</v>
      </c>
      <c r="S363" s="31">
        <f>VLOOKUP($A363,$A$4:$O$28,8,0)*(HLOOKUP(S$351,'2.2.Brecha Efectiva x UdM'!$H$64:$AK$71,5,0))</f>
        <v>0</v>
      </c>
      <c r="T363" s="31">
        <f>VLOOKUP($A363,$A$4:$O$28,8,0)*(HLOOKUP(T$351,'2.2.Brecha Efectiva x UdM'!$H$64:$AK$71,5,0))</f>
        <v>0</v>
      </c>
      <c r="U363" s="31">
        <f>VLOOKUP($A363,$A$4:$O$28,8,0)*(HLOOKUP(U$351,'2.2.Brecha Efectiva x UdM'!$H$64:$AK$71,5,0))</f>
        <v>0</v>
      </c>
      <c r="V363" s="31">
        <f>VLOOKUP($A363,$A$4:$O$28,8,0)*(HLOOKUP(V$351,'2.2.Brecha Efectiva x UdM'!$H$64:$AK$71,5,0))</f>
        <v>0</v>
      </c>
      <c r="W363" s="31">
        <f>VLOOKUP($A363,$A$4:$O$28,8,0)*(HLOOKUP(W$351,'2.2.Brecha Efectiva x UdM'!$H$64:$AK$71,5,0))</f>
        <v>0</v>
      </c>
      <c r="X363" s="31">
        <f>VLOOKUP($A363,$A$4:$O$28,8,0)*(HLOOKUP(X$351,'2.2.Brecha Efectiva x UdM'!$H$64:$AK$71,5,0))</f>
        <v>0</v>
      </c>
      <c r="Y363" s="31">
        <f>VLOOKUP($A363,$A$4:$O$28,8,0)*(HLOOKUP(Y$351,'2.2.Brecha Efectiva x UdM'!$H$64:$AK$71,5,0))</f>
        <v>0</v>
      </c>
      <c r="Z363" s="31">
        <f>VLOOKUP($A363,$A$4:$O$28,8,0)*(HLOOKUP(Z$351,'2.2.Brecha Efectiva x UdM'!$H$64:$AK$71,5,0))</f>
        <v>0</v>
      </c>
      <c r="AA363" s="31">
        <f>VLOOKUP($A363,$A$4:$O$28,8,0)*(HLOOKUP(AA$351,'2.2.Brecha Efectiva x UdM'!$H$64:$AK$71,5,0))</f>
        <v>0</v>
      </c>
      <c r="AB363" s="31">
        <f>VLOOKUP($A363,$A$4:$O$28,8,0)*(HLOOKUP(AB$351,'2.2.Brecha Efectiva x UdM'!$H$64:$AK$71,5,0))</f>
        <v>0</v>
      </c>
      <c r="AC363" s="31">
        <f>VLOOKUP($A363,$A$4:$O$28,8,0)*(HLOOKUP(AC$351,'2.2.Brecha Efectiva x UdM'!$H$64:$AK$71,5,0))</f>
        <v>0</v>
      </c>
      <c r="AD363" s="31">
        <f>VLOOKUP($A363,$A$4:$O$28,8,0)*(HLOOKUP(AD$351,'2.2.Brecha Efectiva x UdM'!$H$64:$AK$71,5,0))</f>
        <v>0</v>
      </c>
      <c r="AE363" s="31">
        <f>VLOOKUP($A363,$A$4:$O$28,8,0)*(HLOOKUP(AE$351,'2.2.Brecha Efectiva x UdM'!$H$64:$AK$71,5,0))</f>
        <v>0</v>
      </c>
      <c r="AF363" s="31">
        <f>VLOOKUP($A363,$A$4:$O$28,8,0)*(HLOOKUP(AF$351,'2.2.Brecha Efectiva x UdM'!$H$64:$AK$71,5,0))</f>
        <v>0</v>
      </c>
      <c r="AG363" s="31">
        <f>VLOOKUP($A363,$A$4:$O$28,8,0)*(HLOOKUP(AG$351,'2.2.Brecha Efectiva x UdM'!$H$64:$AK$71,5,0))</f>
        <v>0</v>
      </c>
      <c r="AH363" s="63">
        <f t="shared" si="360"/>
        <v>0</v>
      </c>
    </row>
    <row r="364" spans="1:34" hidden="1" x14ac:dyDescent="0.2">
      <c r="A364" s="25" t="str">
        <f t="shared" si="357"/>
        <v>Mendoza</v>
      </c>
      <c r="B364" s="51">
        <f t="shared" si="358"/>
        <v>0</v>
      </c>
      <c r="C364" s="25" t="str">
        <f t="shared" si="359"/>
        <v>Mendoza 0</v>
      </c>
      <c r="D364" s="32">
        <f>VLOOKUP($A364,$A$4:$O$28,8,0)*(HLOOKUP(D$351,'2.2.Brecha Efectiva x UdM'!$H$64:$AK$71,5,0))</f>
        <v>0</v>
      </c>
      <c r="E364" s="32">
        <f>VLOOKUP($A364,$A$4:$O$28,8,0)*(HLOOKUP(E$351,'2.2.Brecha Efectiva x UdM'!$H$64:$AK$71,5,0))</f>
        <v>0</v>
      </c>
      <c r="F364" s="32">
        <f>VLOOKUP($A364,$A$4:$O$28,8,0)*(HLOOKUP(F$351,'2.2.Brecha Efectiva x UdM'!$H$64:$AK$71,5,0))</f>
        <v>0</v>
      </c>
      <c r="G364" s="32">
        <f>VLOOKUP($A364,$A$4:$O$28,8,0)*(HLOOKUP(G$351,'2.2.Brecha Efectiva x UdM'!$H$64:$AK$71,5,0))</f>
        <v>0</v>
      </c>
      <c r="H364" s="32">
        <f>VLOOKUP($A364,$A$4:$O$28,8,0)*(HLOOKUP(H$351,'2.2.Brecha Efectiva x UdM'!$H$64:$AK$71,5,0))</f>
        <v>0</v>
      </c>
      <c r="I364" s="32">
        <f>VLOOKUP($A364,$A$4:$O$28,8,0)*(HLOOKUP(I$351,'2.2.Brecha Efectiva x UdM'!$H$64:$AK$71,5,0))</f>
        <v>0</v>
      </c>
      <c r="J364" s="32">
        <f>VLOOKUP($A364,$A$4:$O$28,8,0)*(HLOOKUP(J$351,'2.2.Brecha Efectiva x UdM'!$H$64:$AK$71,5,0))</f>
        <v>0</v>
      </c>
      <c r="K364" s="32">
        <f>VLOOKUP($A364,$A$4:$O$28,8,0)*(HLOOKUP(K$351,'2.2.Brecha Efectiva x UdM'!$H$64:$AK$71,5,0))</f>
        <v>0</v>
      </c>
      <c r="L364" s="32">
        <f>VLOOKUP($A364,$A$4:$O$28,8,0)*(HLOOKUP(L$351,'2.2.Brecha Efectiva x UdM'!$H$64:$AK$71,5,0))</f>
        <v>0</v>
      </c>
      <c r="M364" s="32">
        <f>VLOOKUP($A364,$A$4:$O$28,8,0)*(HLOOKUP(M$351,'2.2.Brecha Efectiva x UdM'!$H$64:$AK$71,5,0))</f>
        <v>0</v>
      </c>
      <c r="N364" s="32">
        <f>VLOOKUP($A364,$A$4:$O$28,8,0)*(HLOOKUP(N$351,'2.2.Brecha Efectiva x UdM'!$H$64:$AK$71,5,0))</f>
        <v>0</v>
      </c>
      <c r="O364" s="32">
        <f>VLOOKUP($A364,$A$4:$O$28,8,0)*(HLOOKUP(O$351,'2.2.Brecha Efectiva x UdM'!$H$64:$AK$71,5,0))</f>
        <v>0</v>
      </c>
      <c r="P364" s="32">
        <f>VLOOKUP($A364,$A$4:$O$28,8,0)*(HLOOKUP(P$351,'2.2.Brecha Efectiva x UdM'!$H$64:$AK$71,5,0))</f>
        <v>0</v>
      </c>
      <c r="Q364" s="32">
        <f>VLOOKUP($A364,$A$4:$O$28,8,0)*(HLOOKUP(Q$351,'2.2.Brecha Efectiva x UdM'!$H$64:$AK$71,5,0))</f>
        <v>0</v>
      </c>
      <c r="R364" s="32">
        <f>VLOOKUP($A364,$A$4:$O$28,8,0)*(HLOOKUP(R$351,'2.2.Brecha Efectiva x UdM'!$H$64:$AK$71,5,0))</f>
        <v>0</v>
      </c>
      <c r="S364" s="32">
        <f>VLOOKUP($A364,$A$4:$O$28,8,0)*(HLOOKUP(S$351,'2.2.Brecha Efectiva x UdM'!$H$64:$AK$71,5,0))</f>
        <v>0</v>
      </c>
      <c r="T364" s="32">
        <f>VLOOKUP($A364,$A$4:$O$28,8,0)*(HLOOKUP(T$351,'2.2.Brecha Efectiva x UdM'!$H$64:$AK$71,5,0))</f>
        <v>0</v>
      </c>
      <c r="U364" s="32">
        <f>VLOOKUP($A364,$A$4:$O$28,8,0)*(HLOOKUP(U$351,'2.2.Brecha Efectiva x UdM'!$H$64:$AK$71,5,0))</f>
        <v>0</v>
      </c>
      <c r="V364" s="32">
        <f>VLOOKUP($A364,$A$4:$O$28,8,0)*(HLOOKUP(V$351,'2.2.Brecha Efectiva x UdM'!$H$64:$AK$71,5,0))</f>
        <v>0</v>
      </c>
      <c r="W364" s="32">
        <f>VLOOKUP($A364,$A$4:$O$28,8,0)*(HLOOKUP(W$351,'2.2.Brecha Efectiva x UdM'!$H$64:$AK$71,5,0))</f>
        <v>0</v>
      </c>
      <c r="X364" s="32">
        <f>VLOOKUP($A364,$A$4:$O$28,8,0)*(HLOOKUP(X$351,'2.2.Brecha Efectiva x UdM'!$H$64:$AK$71,5,0))</f>
        <v>0</v>
      </c>
      <c r="Y364" s="32">
        <f>VLOOKUP($A364,$A$4:$O$28,8,0)*(HLOOKUP(Y$351,'2.2.Brecha Efectiva x UdM'!$H$64:$AK$71,5,0))</f>
        <v>0</v>
      </c>
      <c r="Z364" s="32">
        <f>VLOOKUP($A364,$A$4:$O$28,8,0)*(HLOOKUP(Z$351,'2.2.Brecha Efectiva x UdM'!$H$64:$AK$71,5,0))</f>
        <v>0</v>
      </c>
      <c r="AA364" s="32">
        <f>VLOOKUP($A364,$A$4:$O$28,8,0)*(HLOOKUP(AA$351,'2.2.Brecha Efectiva x UdM'!$H$64:$AK$71,5,0))</f>
        <v>0</v>
      </c>
      <c r="AB364" s="32">
        <f>VLOOKUP($A364,$A$4:$O$28,8,0)*(HLOOKUP(AB$351,'2.2.Brecha Efectiva x UdM'!$H$64:$AK$71,5,0))</f>
        <v>0</v>
      </c>
      <c r="AC364" s="32">
        <f>VLOOKUP($A364,$A$4:$O$28,8,0)*(HLOOKUP(AC$351,'2.2.Brecha Efectiva x UdM'!$H$64:$AK$71,5,0))</f>
        <v>0</v>
      </c>
      <c r="AD364" s="32">
        <f>VLOOKUP($A364,$A$4:$O$28,8,0)*(HLOOKUP(AD$351,'2.2.Brecha Efectiva x UdM'!$H$64:$AK$71,5,0))</f>
        <v>0</v>
      </c>
      <c r="AE364" s="32">
        <f>VLOOKUP($A364,$A$4:$O$28,8,0)*(HLOOKUP(AE$351,'2.2.Brecha Efectiva x UdM'!$H$64:$AK$71,5,0))</f>
        <v>0</v>
      </c>
      <c r="AF364" s="32">
        <f>VLOOKUP($A364,$A$4:$O$28,8,0)*(HLOOKUP(AF$351,'2.2.Brecha Efectiva x UdM'!$H$64:$AK$71,5,0))</f>
        <v>0</v>
      </c>
      <c r="AG364" s="32">
        <f>VLOOKUP($A364,$A$4:$O$28,8,0)*(HLOOKUP(AG$351,'2.2.Brecha Efectiva x UdM'!$H$64:$AK$71,5,0))</f>
        <v>0</v>
      </c>
      <c r="AH364" s="62">
        <f t="shared" si="360"/>
        <v>0</v>
      </c>
    </row>
    <row r="365" spans="1:34" hidden="1" x14ac:dyDescent="0.2">
      <c r="A365" s="26" t="str">
        <f t="shared" si="357"/>
        <v>Misiones</v>
      </c>
      <c r="B365" s="52">
        <f t="shared" si="358"/>
        <v>0</v>
      </c>
      <c r="C365" s="26" t="str">
        <f t="shared" si="359"/>
        <v>Misiones 0</v>
      </c>
      <c r="D365" s="31">
        <f>VLOOKUP($A365,$A$4:$O$28,8,0)*(HLOOKUP(D$351,'2.2.Brecha Efectiva x UdM'!$H$64:$AK$71,5,0))</f>
        <v>0</v>
      </c>
      <c r="E365" s="31">
        <f>VLOOKUP($A365,$A$4:$O$28,8,0)*(HLOOKUP(E$351,'2.2.Brecha Efectiva x UdM'!$H$64:$AK$71,5,0))</f>
        <v>0</v>
      </c>
      <c r="F365" s="31">
        <f>VLOOKUP($A365,$A$4:$O$28,8,0)*(HLOOKUP(F$351,'2.2.Brecha Efectiva x UdM'!$H$64:$AK$71,5,0))</f>
        <v>0</v>
      </c>
      <c r="G365" s="31">
        <f>VLOOKUP($A365,$A$4:$O$28,8,0)*(HLOOKUP(G$351,'2.2.Brecha Efectiva x UdM'!$H$64:$AK$71,5,0))</f>
        <v>0</v>
      </c>
      <c r="H365" s="31">
        <f>VLOOKUP($A365,$A$4:$O$28,8,0)*(HLOOKUP(H$351,'2.2.Brecha Efectiva x UdM'!$H$64:$AK$71,5,0))</f>
        <v>0</v>
      </c>
      <c r="I365" s="31">
        <f>VLOOKUP($A365,$A$4:$O$28,8,0)*(HLOOKUP(I$351,'2.2.Brecha Efectiva x UdM'!$H$64:$AK$71,5,0))</f>
        <v>0</v>
      </c>
      <c r="J365" s="31">
        <f>VLOOKUP($A365,$A$4:$O$28,8,0)*(HLOOKUP(J$351,'2.2.Brecha Efectiva x UdM'!$H$64:$AK$71,5,0))</f>
        <v>0</v>
      </c>
      <c r="K365" s="31">
        <f>VLOOKUP($A365,$A$4:$O$28,8,0)*(HLOOKUP(K$351,'2.2.Brecha Efectiva x UdM'!$H$64:$AK$71,5,0))</f>
        <v>0</v>
      </c>
      <c r="L365" s="31">
        <f>VLOOKUP($A365,$A$4:$O$28,8,0)*(HLOOKUP(L$351,'2.2.Brecha Efectiva x UdM'!$H$64:$AK$71,5,0))</f>
        <v>0</v>
      </c>
      <c r="M365" s="31">
        <f>VLOOKUP($A365,$A$4:$O$28,8,0)*(HLOOKUP(M$351,'2.2.Brecha Efectiva x UdM'!$H$64:$AK$71,5,0))</f>
        <v>0</v>
      </c>
      <c r="N365" s="31">
        <f>VLOOKUP($A365,$A$4:$O$28,8,0)*(HLOOKUP(N$351,'2.2.Brecha Efectiva x UdM'!$H$64:$AK$71,5,0))</f>
        <v>0</v>
      </c>
      <c r="O365" s="31">
        <f>VLOOKUP($A365,$A$4:$O$28,8,0)*(HLOOKUP(O$351,'2.2.Brecha Efectiva x UdM'!$H$64:$AK$71,5,0))</f>
        <v>0</v>
      </c>
      <c r="P365" s="31">
        <f>VLOOKUP($A365,$A$4:$O$28,8,0)*(HLOOKUP(P$351,'2.2.Brecha Efectiva x UdM'!$H$64:$AK$71,5,0))</f>
        <v>0</v>
      </c>
      <c r="Q365" s="31">
        <f>VLOOKUP($A365,$A$4:$O$28,8,0)*(HLOOKUP(Q$351,'2.2.Brecha Efectiva x UdM'!$H$64:$AK$71,5,0))</f>
        <v>0</v>
      </c>
      <c r="R365" s="31">
        <f>VLOOKUP($A365,$A$4:$O$28,8,0)*(HLOOKUP(R$351,'2.2.Brecha Efectiva x UdM'!$H$64:$AK$71,5,0))</f>
        <v>0</v>
      </c>
      <c r="S365" s="31">
        <f>VLOOKUP($A365,$A$4:$O$28,8,0)*(HLOOKUP(S$351,'2.2.Brecha Efectiva x UdM'!$H$64:$AK$71,5,0))</f>
        <v>0</v>
      </c>
      <c r="T365" s="31">
        <f>VLOOKUP($A365,$A$4:$O$28,8,0)*(HLOOKUP(T$351,'2.2.Brecha Efectiva x UdM'!$H$64:$AK$71,5,0))</f>
        <v>0</v>
      </c>
      <c r="U365" s="31">
        <f>VLOOKUP($A365,$A$4:$O$28,8,0)*(HLOOKUP(U$351,'2.2.Brecha Efectiva x UdM'!$H$64:$AK$71,5,0))</f>
        <v>0</v>
      </c>
      <c r="V365" s="31">
        <f>VLOOKUP($A365,$A$4:$O$28,8,0)*(HLOOKUP(V$351,'2.2.Brecha Efectiva x UdM'!$H$64:$AK$71,5,0))</f>
        <v>0</v>
      </c>
      <c r="W365" s="31">
        <f>VLOOKUP($A365,$A$4:$O$28,8,0)*(HLOOKUP(W$351,'2.2.Brecha Efectiva x UdM'!$H$64:$AK$71,5,0))</f>
        <v>0</v>
      </c>
      <c r="X365" s="31">
        <f>VLOOKUP($A365,$A$4:$O$28,8,0)*(HLOOKUP(X$351,'2.2.Brecha Efectiva x UdM'!$H$64:$AK$71,5,0))</f>
        <v>0</v>
      </c>
      <c r="Y365" s="31">
        <f>VLOOKUP($A365,$A$4:$O$28,8,0)*(HLOOKUP(Y$351,'2.2.Brecha Efectiva x UdM'!$H$64:$AK$71,5,0))</f>
        <v>0</v>
      </c>
      <c r="Z365" s="31">
        <f>VLOOKUP($A365,$A$4:$O$28,8,0)*(HLOOKUP(Z$351,'2.2.Brecha Efectiva x UdM'!$H$64:$AK$71,5,0))</f>
        <v>0</v>
      </c>
      <c r="AA365" s="31">
        <f>VLOOKUP($A365,$A$4:$O$28,8,0)*(HLOOKUP(AA$351,'2.2.Brecha Efectiva x UdM'!$H$64:$AK$71,5,0))</f>
        <v>0</v>
      </c>
      <c r="AB365" s="31">
        <f>VLOOKUP($A365,$A$4:$O$28,8,0)*(HLOOKUP(AB$351,'2.2.Brecha Efectiva x UdM'!$H$64:$AK$71,5,0))</f>
        <v>0</v>
      </c>
      <c r="AC365" s="31">
        <f>VLOOKUP($A365,$A$4:$O$28,8,0)*(HLOOKUP(AC$351,'2.2.Brecha Efectiva x UdM'!$H$64:$AK$71,5,0))</f>
        <v>0</v>
      </c>
      <c r="AD365" s="31">
        <f>VLOOKUP($A365,$A$4:$O$28,8,0)*(HLOOKUP(AD$351,'2.2.Brecha Efectiva x UdM'!$H$64:$AK$71,5,0))</f>
        <v>0</v>
      </c>
      <c r="AE365" s="31">
        <f>VLOOKUP($A365,$A$4:$O$28,8,0)*(HLOOKUP(AE$351,'2.2.Brecha Efectiva x UdM'!$H$64:$AK$71,5,0))</f>
        <v>0</v>
      </c>
      <c r="AF365" s="31">
        <f>VLOOKUP($A365,$A$4:$O$28,8,0)*(HLOOKUP(AF$351,'2.2.Brecha Efectiva x UdM'!$H$64:$AK$71,5,0))</f>
        <v>0</v>
      </c>
      <c r="AG365" s="31">
        <f>VLOOKUP($A365,$A$4:$O$28,8,0)*(HLOOKUP(AG$351,'2.2.Brecha Efectiva x UdM'!$H$64:$AK$71,5,0))</f>
        <v>0</v>
      </c>
      <c r="AH365" s="63">
        <f t="shared" si="360"/>
        <v>0</v>
      </c>
    </row>
    <row r="366" spans="1:34" hidden="1" x14ac:dyDescent="0.2">
      <c r="A366" s="25" t="str">
        <f t="shared" si="357"/>
        <v>Neuquén</v>
      </c>
      <c r="B366" s="51">
        <f t="shared" si="358"/>
        <v>0</v>
      </c>
      <c r="C366" s="25" t="str">
        <f t="shared" si="359"/>
        <v>Neuquén 0</v>
      </c>
      <c r="D366" s="32">
        <f>VLOOKUP($A366,$A$4:$O$28,8,0)*(HLOOKUP(D$351,'2.2.Brecha Efectiva x UdM'!$H$64:$AK$71,5,0))</f>
        <v>0</v>
      </c>
      <c r="E366" s="32">
        <f>VLOOKUP($A366,$A$4:$O$28,8,0)*(HLOOKUP(E$351,'2.2.Brecha Efectiva x UdM'!$H$64:$AK$71,5,0))</f>
        <v>0</v>
      </c>
      <c r="F366" s="32">
        <f>VLOOKUP($A366,$A$4:$O$28,8,0)*(HLOOKUP(F$351,'2.2.Brecha Efectiva x UdM'!$H$64:$AK$71,5,0))</f>
        <v>0</v>
      </c>
      <c r="G366" s="32">
        <f>VLOOKUP($A366,$A$4:$O$28,8,0)*(HLOOKUP(G$351,'2.2.Brecha Efectiva x UdM'!$H$64:$AK$71,5,0))</f>
        <v>0</v>
      </c>
      <c r="H366" s="32">
        <f>VLOOKUP($A366,$A$4:$O$28,8,0)*(HLOOKUP(H$351,'2.2.Brecha Efectiva x UdM'!$H$64:$AK$71,5,0))</f>
        <v>0</v>
      </c>
      <c r="I366" s="32">
        <f>VLOOKUP($A366,$A$4:$O$28,8,0)*(HLOOKUP(I$351,'2.2.Brecha Efectiva x UdM'!$H$64:$AK$71,5,0))</f>
        <v>0</v>
      </c>
      <c r="J366" s="32">
        <f>VLOOKUP($A366,$A$4:$O$28,8,0)*(HLOOKUP(J$351,'2.2.Brecha Efectiva x UdM'!$H$64:$AK$71,5,0))</f>
        <v>0</v>
      </c>
      <c r="K366" s="32">
        <f>VLOOKUP($A366,$A$4:$O$28,8,0)*(HLOOKUP(K$351,'2.2.Brecha Efectiva x UdM'!$H$64:$AK$71,5,0))</f>
        <v>0</v>
      </c>
      <c r="L366" s="32">
        <f>VLOOKUP($A366,$A$4:$O$28,8,0)*(HLOOKUP(L$351,'2.2.Brecha Efectiva x UdM'!$H$64:$AK$71,5,0))</f>
        <v>0</v>
      </c>
      <c r="M366" s="32">
        <f>VLOOKUP($A366,$A$4:$O$28,8,0)*(HLOOKUP(M$351,'2.2.Brecha Efectiva x UdM'!$H$64:$AK$71,5,0))</f>
        <v>0</v>
      </c>
      <c r="N366" s="32">
        <f>VLOOKUP($A366,$A$4:$O$28,8,0)*(HLOOKUP(N$351,'2.2.Brecha Efectiva x UdM'!$H$64:$AK$71,5,0))</f>
        <v>0</v>
      </c>
      <c r="O366" s="32">
        <f>VLOOKUP($A366,$A$4:$O$28,8,0)*(HLOOKUP(O$351,'2.2.Brecha Efectiva x UdM'!$H$64:$AK$71,5,0))</f>
        <v>0</v>
      </c>
      <c r="P366" s="32">
        <f>VLOOKUP($A366,$A$4:$O$28,8,0)*(HLOOKUP(P$351,'2.2.Brecha Efectiva x UdM'!$H$64:$AK$71,5,0))</f>
        <v>0</v>
      </c>
      <c r="Q366" s="32">
        <f>VLOOKUP($A366,$A$4:$O$28,8,0)*(HLOOKUP(Q$351,'2.2.Brecha Efectiva x UdM'!$H$64:$AK$71,5,0))</f>
        <v>0</v>
      </c>
      <c r="R366" s="32">
        <f>VLOOKUP($A366,$A$4:$O$28,8,0)*(HLOOKUP(R$351,'2.2.Brecha Efectiva x UdM'!$H$64:$AK$71,5,0))</f>
        <v>0</v>
      </c>
      <c r="S366" s="32">
        <f>VLOOKUP($A366,$A$4:$O$28,8,0)*(HLOOKUP(S$351,'2.2.Brecha Efectiva x UdM'!$H$64:$AK$71,5,0))</f>
        <v>0</v>
      </c>
      <c r="T366" s="32">
        <f>VLOOKUP($A366,$A$4:$O$28,8,0)*(HLOOKUP(T$351,'2.2.Brecha Efectiva x UdM'!$H$64:$AK$71,5,0))</f>
        <v>0</v>
      </c>
      <c r="U366" s="32">
        <f>VLOOKUP($A366,$A$4:$O$28,8,0)*(HLOOKUP(U$351,'2.2.Brecha Efectiva x UdM'!$H$64:$AK$71,5,0))</f>
        <v>0</v>
      </c>
      <c r="V366" s="32">
        <f>VLOOKUP($A366,$A$4:$O$28,8,0)*(HLOOKUP(V$351,'2.2.Brecha Efectiva x UdM'!$H$64:$AK$71,5,0))</f>
        <v>0</v>
      </c>
      <c r="W366" s="32">
        <f>VLOOKUP($A366,$A$4:$O$28,8,0)*(HLOOKUP(W$351,'2.2.Brecha Efectiva x UdM'!$H$64:$AK$71,5,0))</f>
        <v>0</v>
      </c>
      <c r="X366" s="32">
        <f>VLOOKUP($A366,$A$4:$O$28,8,0)*(HLOOKUP(X$351,'2.2.Brecha Efectiva x UdM'!$H$64:$AK$71,5,0))</f>
        <v>0</v>
      </c>
      <c r="Y366" s="32">
        <f>VLOOKUP($A366,$A$4:$O$28,8,0)*(HLOOKUP(Y$351,'2.2.Brecha Efectiva x UdM'!$H$64:$AK$71,5,0))</f>
        <v>0</v>
      </c>
      <c r="Z366" s="32">
        <f>VLOOKUP($A366,$A$4:$O$28,8,0)*(HLOOKUP(Z$351,'2.2.Brecha Efectiva x UdM'!$H$64:$AK$71,5,0))</f>
        <v>0</v>
      </c>
      <c r="AA366" s="32">
        <f>VLOOKUP($A366,$A$4:$O$28,8,0)*(HLOOKUP(AA$351,'2.2.Brecha Efectiva x UdM'!$H$64:$AK$71,5,0))</f>
        <v>0</v>
      </c>
      <c r="AB366" s="32">
        <f>VLOOKUP($A366,$A$4:$O$28,8,0)*(HLOOKUP(AB$351,'2.2.Brecha Efectiva x UdM'!$H$64:$AK$71,5,0))</f>
        <v>0</v>
      </c>
      <c r="AC366" s="32">
        <f>VLOOKUP($A366,$A$4:$O$28,8,0)*(HLOOKUP(AC$351,'2.2.Brecha Efectiva x UdM'!$H$64:$AK$71,5,0))</f>
        <v>0</v>
      </c>
      <c r="AD366" s="32">
        <f>VLOOKUP($A366,$A$4:$O$28,8,0)*(HLOOKUP(AD$351,'2.2.Brecha Efectiva x UdM'!$H$64:$AK$71,5,0))</f>
        <v>0</v>
      </c>
      <c r="AE366" s="32">
        <f>VLOOKUP($A366,$A$4:$O$28,8,0)*(HLOOKUP(AE$351,'2.2.Brecha Efectiva x UdM'!$H$64:$AK$71,5,0))</f>
        <v>0</v>
      </c>
      <c r="AF366" s="32">
        <f>VLOOKUP($A366,$A$4:$O$28,8,0)*(HLOOKUP(AF$351,'2.2.Brecha Efectiva x UdM'!$H$64:$AK$71,5,0))</f>
        <v>0</v>
      </c>
      <c r="AG366" s="32">
        <f>VLOOKUP($A366,$A$4:$O$28,8,0)*(HLOOKUP(AG$351,'2.2.Brecha Efectiva x UdM'!$H$64:$AK$71,5,0))</f>
        <v>0</v>
      </c>
      <c r="AH366" s="62">
        <f t="shared" si="360"/>
        <v>0</v>
      </c>
    </row>
    <row r="367" spans="1:34" hidden="1" x14ac:dyDescent="0.2">
      <c r="A367" s="26" t="str">
        <f t="shared" si="357"/>
        <v>Río Negro</v>
      </c>
      <c r="B367" s="52">
        <f t="shared" si="358"/>
        <v>0</v>
      </c>
      <c r="C367" s="26" t="str">
        <f t="shared" si="359"/>
        <v>Río Negro 0</v>
      </c>
      <c r="D367" s="31">
        <f>VLOOKUP($A367,$A$4:$O$28,8,0)*(HLOOKUP(D$351,'2.2.Brecha Efectiva x UdM'!$H$64:$AK$71,5,0))</f>
        <v>0</v>
      </c>
      <c r="E367" s="31">
        <f>VLOOKUP($A367,$A$4:$O$28,8,0)*(HLOOKUP(E$351,'2.2.Brecha Efectiva x UdM'!$H$64:$AK$71,5,0))</f>
        <v>0</v>
      </c>
      <c r="F367" s="31">
        <f>VLOOKUP($A367,$A$4:$O$28,8,0)*(HLOOKUP(F$351,'2.2.Brecha Efectiva x UdM'!$H$64:$AK$71,5,0))</f>
        <v>0</v>
      </c>
      <c r="G367" s="31">
        <f>VLOOKUP($A367,$A$4:$O$28,8,0)*(HLOOKUP(G$351,'2.2.Brecha Efectiva x UdM'!$H$64:$AK$71,5,0))</f>
        <v>0</v>
      </c>
      <c r="H367" s="31">
        <f>VLOOKUP($A367,$A$4:$O$28,8,0)*(HLOOKUP(H$351,'2.2.Brecha Efectiva x UdM'!$H$64:$AK$71,5,0))</f>
        <v>0</v>
      </c>
      <c r="I367" s="31">
        <f>VLOOKUP($A367,$A$4:$O$28,8,0)*(HLOOKUP(I$351,'2.2.Brecha Efectiva x UdM'!$H$64:$AK$71,5,0))</f>
        <v>0</v>
      </c>
      <c r="J367" s="31">
        <f>VLOOKUP($A367,$A$4:$O$28,8,0)*(HLOOKUP(J$351,'2.2.Brecha Efectiva x UdM'!$H$64:$AK$71,5,0))</f>
        <v>0</v>
      </c>
      <c r="K367" s="31">
        <f>VLOOKUP($A367,$A$4:$O$28,8,0)*(HLOOKUP(K$351,'2.2.Brecha Efectiva x UdM'!$H$64:$AK$71,5,0))</f>
        <v>0</v>
      </c>
      <c r="L367" s="31">
        <f>VLOOKUP($A367,$A$4:$O$28,8,0)*(HLOOKUP(L$351,'2.2.Brecha Efectiva x UdM'!$H$64:$AK$71,5,0))</f>
        <v>0</v>
      </c>
      <c r="M367" s="31">
        <f>VLOOKUP($A367,$A$4:$O$28,8,0)*(HLOOKUP(M$351,'2.2.Brecha Efectiva x UdM'!$H$64:$AK$71,5,0))</f>
        <v>0</v>
      </c>
      <c r="N367" s="31">
        <f>VLOOKUP($A367,$A$4:$O$28,8,0)*(HLOOKUP(N$351,'2.2.Brecha Efectiva x UdM'!$H$64:$AK$71,5,0))</f>
        <v>0</v>
      </c>
      <c r="O367" s="31">
        <f>VLOOKUP($A367,$A$4:$O$28,8,0)*(HLOOKUP(O$351,'2.2.Brecha Efectiva x UdM'!$H$64:$AK$71,5,0))</f>
        <v>0</v>
      </c>
      <c r="P367" s="31">
        <f>VLOOKUP($A367,$A$4:$O$28,8,0)*(HLOOKUP(P$351,'2.2.Brecha Efectiva x UdM'!$H$64:$AK$71,5,0))</f>
        <v>0</v>
      </c>
      <c r="Q367" s="31">
        <f>VLOOKUP($A367,$A$4:$O$28,8,0)*(HLOOKUP(Q$351,'2.2.Brecha Efectiva x UdM'!$H$64:$AK$71,5,0))</f>
        <v>0</v>
      </c>
      <c r="R367" s="31">
        <f>VLOOKUP($A367,$A$4:$O$28,8,0)*(HLOOKUP(R$351,'2.2.Brecha Efectiva x UdM'!$H$64:$AK$71,5,0))</f>
        <v>0</v>
      </c>
      <c r="S367" s="31">
        <f>VLOOKUP($A367,$A$4:$O$28,8,0)*(HLOOKUP(S$351,'2.2.Brecha Efectiva x UdM'!$H$64:$AK$71,5,0))</f>
        <v>0</v>
      </c>
      <c r="T367" s="31">
        <f>VLOOKUP($A367,$A$4:$O$28,8,0)*(HLOOKUP(T$351,'2.2.Brecha Efectiva x UdM'!$H$64:$AK$71,5,0))</f>
        <v>0</v>
      </c>
      <c r="U367" s="31">
        <f>VLOOKUP($A367,$A$4:$O$28,8,0)*(HLOOKUP(U$351,'2.2.Brecha Efectiva x UdM'!$H$64:$AK$71,5,0))</f>
        <v>0</v>
      </c>
      <c r="V367" s="31">
        <f>VLOOKUP($A367,$A$4:$O$28,8,0)*(HLOOKUP(V$351,'2.2.Brecha Efectiva x UdM'!$H$64:$AK$71,5,0))</f>
        <v>0</v>
      </c>
      <c r="W367" s="31">
        <f>VLOOKUP($A367,$A$4:$O$28,8,0)*(HLOOKUP(W$351,'2.2.Brecha Efectiva x UdM'!$H$64:$AK$71,5,0))</f>
        <v>0</v>
      </c>
      <c r="X367" s="31">
        <f>VLOOKUP($A367,$A$4:$O$28,8,0)*(HLOOKUP(X$351,'2.2.Brecha Efectiva x UdM'!$H$64:$AK$71,5,0))</f>
        <v>0</v>
      </c>
      <c r="Y367" s="31">
        <f>VLOOKUP($A367,$A$4:$O$28,8,0)*(HLOOKUP(Y$351,'2.2.Brecha Efectiva x UdM'!$H$64:$AK$71,5,0))</f>
        <v>0</v>
      </c>
      <c r="Z367" s="31">
        <f>VLOOKUP($A367,$A$4:$O$28,8,0)*(HLOOKUP(Z$351,'2.2.Brecha Efectiva x UdM'!$H$64:$AK$71,5,0))</f>
        <v>0</v>
      </c>
      <c r="AA367" s="31">
        <f>VLOOKUP($A367,$A$4:$O$28,8,0)*(HLOOKUP(AA$351,'2.2.Brecha Efectiva x UdM'!$H$64:$AK$71,5,0))</f>
        <v>0</v>
      </c>
      <c r="AB367" s="31">
        <f>VLOOKUP($A367,$A$4:$O$28,8,0)*(HLOOKUP(AB$351,'2.2.Brecha Efectiva x UdM'!$H$64:$AK$71,5,0))</f>
        <v>0</v>
      </c>
      <c r="AC367" s="31">
        <f>VLOOKUP($A367,$A$4:$O$28,8,0)*(HLOOKUP(AC$351,'2.2.Brecha Efectiva x UdM'!$H$64:$AK$71,5,0))</f>
        <v>0</v>
      </c>
      <c r="AD367" s="31">
        <f>VLOOKUP($A367,$A$4:$O$28,8,0)*(HLOOKUP(AD$351,'2.2.Brecha Efectiva x UdM'!$H$64:$AK$71,5,0))</f>
        <v>0</v>
      </c>
      <c r="AE367" s="31">
        <f>VLOOKUP($A367,$A$4:$O$28,8,0)*(HLOOKUP(AE$351,'2.2.Brecha Efectiva x UdM'!$H$64:$AK$71,5,0))</f>
        <v>0</v>
      </c>
      <c r="AF367" s="31">
        <f>VLOOKUP($A367,$A$4:$O$28,8,0)*(HLOOKUP(AF$351,'2.2.Brecha Efectiva x UdM'!$H$64:$AK$71,5,0))</f>
        <v>0</v>
      </c>
      <c r="AG367" s="31">
        <f>VLOOKUP($A367,$A$4:$O$28,8,0)*(HLOOKUP(AG$351,'2.2.Brecha Efectiva x UdM'!$H$64:$AK$71,5,0))</f>
        <v>0</v>
      </c>
      <c r="AH367" s="63">
        <f t="shared" si="360"/>
        <v>0</v>
      </c>
    </row>
    <row r="368" spans="1:34" hidden="1" x14ac:dyDescent="0.2">
      <c r="A368" s="25" t="str">
        <f t="shared" si="357"/>
        <v>Salta</v>
      </c>
      <c r="B368" s="51">
        <f t="shared" si="358"/>
        <v>0</v>
      </c>
      <c r="C368" s="25" t="str">
        <f t="shared" si="359"/>
        <v>Salta 0</v>
      </c>
      <c r="D368" s="32">
        <f>VLOOKUP($A368,$A$4:$O$28,8,0)*(HLOOKUP(D$351,'2.2.Brecha Efectiva x UdM'!$H$64:$AK$71,5,0))</f>
        <v>0</v>
      </c>
      <c r="E368" s="32">
        <f>VLOOKUP($A368,$A$4:$O$28,8,0)*(HLOOKUP(E$351,'2.2.Brecha Efectiva x UdM'!$H$64:$AK$71,5,0))</f>
        <v>0</v>
      </c>
      <c r="F368" s="32">
        <f>VLOOKUP($A368,$A$4:$O$28,8,0)*(HLOOKUP(F$351,'2.2.Brecha Efectiva x UdM'!$H$64:$AK$71,5,0))</f>
        <v>0</v>
      </c>
      <c r="G368" s="32">
        <f>VLOOKUP($A368,$A$4:$O$28,8,0)*(HLOOKUP(G$351,'2.2.Brecha Efectiva x UdM'!$H$64:$AK$71,5,0))</f>
        <v>0</v>
      </c>
      <c r="H368" s="32">
        <f>VLOOKUP($A368,$A$4:$O$28,8,0)*(HLOOKUP(H$351,'2.2.Brecha Efectiva x UdM'!$H$64:$AK$71,5,0))</f>
        <v>0</v>
      </c>
      <c r="I368" s="32">
        <f>VLOOKUP($A368,$A$4:$O$28,8,0)*(HLOOKUP(I$351,'2.2.Brecha Efectiva x UdM'!$H$64:$AK$71,5,0))</f>
        <v>0</v>
      </c>
      <c r="J368" s="32">
        <f>VLOOKUP($A368,$A$4:$O$28,8,0)*(HLOOKUP(J$351,'2.2.Brecha Efectiva x UdM'!$H$64:$AK$71,5,0))</f>
        <v>0</v>
      </c>
      <c r="K368" s="32">
        <f>VLOOKUP($A368,$A$4:$O$28,8,0)*(HLOOKUP(K$351,'2.2.Brecha Efectiva x UdM'!$H$64:$AK$71,5,0))</f>
        <v>0</v>
      </c>
      <c r="L368" s="32">
        <f>VLOOKUP($A368,$A$4:$O$28,8,0)*(HLOOKUP(L$351,'2.2.Brecha Efectiva x UdM'!$H$64:$AK$71,5,0))</f>
        <v>0</v>
      </c>
      <c r="M368" s="32">
        <f>VLOOKUP($A368,$A$4:$O$28,8,0)*(HLOOKUP(M$351,'2.2.Brecha Efectiva x UdM'!$H$64:$AK$71,5,0))</f>
        <v>0</v>
      </c>
      <c r="N368" s="32">
        <f>VLOOKUP($A368,$A$4:$O$28,8,0)*(HLOOKUP(N$351,'2.2.Brecha Efectiva x UdM'!$H$64:$AK$71,5,0))</f>
        <v>0</v>
      </c>
      <c r="O368" s="32">
        <f>VLOOKUP($A368,$A$4:$O$28,8,0)*(HLOOKUP(O$351,'2.2.Brecha Efectiva x UdM'!$H$64:$AK$71,5,0))</f>
        <v>0</v>
      </c>
      <c r="P368" s="32">
        <f>VLOOKUP($A368,$A$4:$O$28,8,0)*(HLOOKUP(P$351,'2.2.Brecha Efectiva x UdM'!$H$64:$AK$71,5,0))</f>
        <v>0</v>
      </c>
      <c r="Q368" s="32">
        <f>VLOOKUP($A368,$A$4:$O$28,8,0)*(HLOOKUP(Q$351,'2.2.Brecha Efectiva x UdM'!$H$64:$AK$71,5,0))</f>
        <v>0</v>
      </c>
      <c r="R368" s="32">
        <f>VLOOKUP($A368,$A$4:$O$28,8,0)*(HLOOKUP(R$351,'2.2.Brecha Efectiva x UdM'!$H$64:$AK$71,5,0))</f>
        <v>0</v>
      </c>
      <c r="S368" s="32">
        <f>VLOOKUP($A368,$A$4:$O$28,8,0)*(HLOOKUP(S$351,'2.2.Brecha Efectiva x UdM'!$H$64:$AK$71,5,0))</f>
        <v>0</v>
      </c>
      <c r="T368" s="32">
        <f>VLOOKUP($A368,$A$4:$O$28,8,0)*(HLOOKUP(T$351,'2.2.Brecha Efectiva x UdM'!$H$64:$AK$71,5,0))</f>
        <v>0</v>
      </c>
      <c r="U368" s="32">
        <f>VLOOKUP($A368,$A$4:$O$28,8,0)*(HLOOKUP(U$351,'2.2.Brecha Efectiva x UdM'!$H$64:$AK$71,5,0))</f>
        <v>0</v>
      </c>
      <c r="V368" s="32">
        <f>VLOOKUP($A368,$A$4:$O$28,8,0)*(HLOOKUP(V$351,'2.2.Brecha Efectiva x UdM'!$H$64:$AK$71,5,0))</f>
        <v>0</v>
      </c>
      <c r="W368" s="32">
        <f>VLOOKUP($A368,$A$4:$O$28,8,0)*(HLOOKUP(W$351,'2.2.Brecha Efectiva x UdM'!$H$64:$AK$71,5,0))</f>
        <v>0</v>
      </c>
      <c r="X368" s="32">
        <f>VLOOKUP($A368,$A$4:$O$28,8,0)*(HLOOKUP(X$351,'2.2.Brecha Efectiva x UdM'!$H$64:$AK$71,5,0))</f>
        <v>0</v>
      </c>
      <c r="Y368" s="32">
        <f>VLOOKUP($A368,$A$4:$O$28,8,0)*(HLOOKUP(Y$351,'2.2.Brecha Efectiva x UdM'!$H$64:$AK$71,5,0))</f>
        <v>0</v>
      </c>
      <c r="Z368" s="32">
        <f>VLOOKUP($A368,$A$4:$O$28,8,0)*(HLOOKUP(Z$351,'2.2.Brecha Efectiva x UdM'!$H$64:$AK$71,5,0))</f>
        <v>0</v>
      </c>
      <c r="AA368" s="32">
        <f>VLOOKUP($A368,$A$4:$O$28,8,0)*(HLOOKUP(AA$351,'2.2.Brecha Efectiva x UdM'!$H$64:$AK$71,5,0))</f>
        <v>0</v>
      </c>
      <c r="AB368" s="32">
        <f>VLOOKUP($A368,$A$4:$O$28,8,0)*(HLOOKUP(AB$351,'2.2.Brecha Efectiva x UdM'!$H$64:$AK$71,5,0))</f>
        <v>0</v>
      </c>
      <c r="AC368" s="32">
        <f>VLOOKUP($A368,$A$4:$O$28,8,0)*(HLOOKUP(AC$351,'2.2.Brecha Efectiva x UdM'!$H$64:$AK$71,5,0))</f>
        <v>0</v>
      </c>
      <c r="AD368" s="32">
        <f>VLOOKUP($A368,$A$4:$O$28,8,0)*(HLOOKUP(AD$351,'2.2.Brecha Efectiva x UdM'!$H$64:$AK$71,5,0))</f>
        <v>0</v>
      </c>
      <c r="AE368" s="32">
        <f>VLOOKUP($A368,$A$4:$O$28,8,0)*(HLOOKUP(AE$351,'2.2.Brecha Efectiva x UdM'!$H$64:$AK$71,5,0))</f>
        <v>0</v>
      </c>
      <c r="AF368" s="32">
        <f>VLOOKUP($A368,$A$4:$O$28,8,0)*(HLOOKUP(AF$351,'2.2.Brecha Efectiva x UdM'!$H$64:$AK$71,5,0))</f>
        <v>0</v>
      </c>
      <c r="AG368" s="32">
        <f>VLOOKUP($A368,$A$4:$O$28,8,0)*(HLOOKUP(AG$351,'2.2.Brecha Efectiva x UdM'!$H$64:$AK$71,5,0))</f>
        <v>0</v>
      </c>
      <c r="AH368" s="62">
        <f t="shared" si="360"/>
        <v>0</v>
      </c>
    </row>
    <row r="369" spans="1:34" hidden="1" x14ac:dyDescent="0.2">
      <c r="A369" s="26" t="str">
        <f t="shared" si="357"/>
        <v>San Juan</v>
      </c>
      <c r="B369" s="52">
        <f t="shared" si="358"/>
        <v>0</v>
      </c>
      <c r="C369" s="26" t="str">
        <f t="shared" si="359"/>
        <v>San Juan 0</v>
      </c>
      <c r="D369" s="31">
        <f>VLOOKUP($A369,$A$4:$O$28,8,0)*(HLOOKUP(D$351,'2.2.Brecha Efectiva x UdM'!$H$64:$AK$71,5,0))</f>
        <v>0</v>
      </c>
      <c r="E369" s="31">
        <f>VLOOKUP($A369,$A$4:$O$28,8,0)*(HLOOKUP(E$351,'2.2.Brecha Efectiva x UdM'!$H$64:$AK$71,5,0))</f>
        <v>0</v>
      </c>
      <c r="F369" s="31">
        <f>VLOOKUP($A369,$A$4:$O$28,8,0)*(HLOOKUP(F$351,'2.2.Brecha Efectiva x UdM'!$H$64:$AK$71,5,0))</f>
        <v>0</v>
      </c>
      <c r="G369" s="31">
        <f>VLOOKUP($A369,$A$4:$O$28,8,0)*(HLOOKUP(G$351,'2.2.Brecha Efectiva x UdM'!$H$64:$AK$71,5,0))</f>
        <v>0</v>
      </c>
      <c r="H369" s="31">
        <f>VLOOKUP($A369,$A$4:$O$28,8,0)*(HLOOKUP(H$351,'2.2.Brecha Efectiva x UdM'!$H$64:$AK$71,5,0))</f>
        <v>0</v>
      </c>
      <c r="I369" s="31">
        <f>VLOOKUP($A369,$A$4:$O$28,8,0)*(HLOOKUP(I$351,'2.2.Brecha Efectiva x UdM'!$H$64:$AK$71,5,0))</f>
        <v>0</v>
      </c>
      <c r="J369" s="31">
        <f>VLOOKUP($A369,$A$4:$O$28,8,0)*(HLOOKUP(J$351,'2.2.Brecha Efectiva x UdM'!$H$64:$AK$71,5,0))</f>
        <v>0</v>
      </c>
      <c r="K369" s="31">
        <f>VLOOKUP($A369,$A$4:$O$28,8,0)*(HLOOKUP(K$351,'2.2.Brecha Efectiva x UdM'!$H$64:$AK$71,5,0))</f>
        <v>0</v>
      </c>
      <c r="L369" s="31">
        <f>VLOOKUP($A369,$A$4:$O$28,8,0)*(HLOOKUP(L$351,'2.2.Brecha Efectiva x UdM'!$H$64:$AK$71,5,0))</f>
        <v>0</v>
      </c>
      <c r="M369" s="31">
        <f>VLOOKUP($A369,$A$4:$O$28,8,0)*(HLOOKUP(M$351,'2.2.Brecha Efectiva x UdM'!$H$64:$AK$71,5,0))</f>
        <v>0</v>
      </c>
      <c r="N369" s="31">
        <f>VLOOKUP($A369,$A$4:$O$28,8,0)*(HLOOKUP(N$351,'2.2.Brecha Efectiva x UdM'!$H$64:$AK$71,5,0))</f>
        <v>0</v>
      </c>
      <c r="O369" s="31">
        <f>VLOOKUP($A369,$A$4:$O$28,8,0)*(HLOOKUP(O$351,'2.2.Brecha Efectiva x UdM'!$H$64:$AK$71,5,0))</f>
        <v>0</v>
      </c>
      <c r="P369" s="31">
        <f>VLOOKUP($A369,$A$4:$O$28,8,0)*(HLOOKUP(P$351,'2.2.Brecha Efectiva x UdM'!$H$64:$AK$71,5,0))</f>
        <v>0</v>
      </c>
      <c r="Q369" s="31">
        <f>VLOOKUP($A369,$A$4:$O$28,8,0)*(HLOOKUP(Q$351,'2.2.Brecha Efectiva x UdM'!$H$64:$AK$71,5,0))</f>
        <v>0</v>
      </c>
      <c r="R369" s="31">
        <f>VLOOKUP($A369,$A$4:$O$28,8,0)*(HLOOKUP(R$351,'2.2.Brecha Efectiva x UdM'!$H$64:$AK$71,5,0))</f>
        <v>0</v>
      </c>
      <c r="S369" s="31">
        <f>VLOOKUP($A369,$A$4:$O$28,8,0)*(HLOOKUP(S$351,'2.2.Brecha Efectiva x UdM'!$H$64:$AK$71,5,0))</f>
        <v>0</v>
      </c>
      <c r="T369" s="31">
        <f>VLOOKUP($A369,$A$4:$O$28,8,0)*(HLOOKUP(T$351,'2.2.Brecha Efectiva x UdM'!$H$64:$AK$71,5,0))</f>
        <v>0</v>
      </c>
      <c r="U369" s="31">
        <f>VLOOKUP($A369,$A$4:$O$28,8,0)*(HLOOKUP(U$351,'2.2.Brecha Efectiva x UdM'!$H$64:$AK$71,5,0))</f>
        <v>0</v>
      </c>
      <c r="V369" s="31">
        <f>VLOOKUP($A369,$A$4:$O$28,8,0)*(HLOOKUP(V$351,'2.2.Brecha Efectiva x UdM'!$H$64:$AK$71,5,0))</f>
        <v>0</v>
      </c>
      <c r="W369" s="31">
        <f>VLOOKUP($A369,$A$4:$O$28,8,0)*(HLOOKUP(W$351,'2.2.Brecha Efectiva x UdM'!$H$64:$AK$71,5,0))</f>
        <v>0</v>
      </c>
      <c r="X369" s="31">
        <f>VLOOKUP($A369,$A$4:$O$28,8,0)*(HLOOKUP(X$351,'2.2.Brecha Efectiva x UdM'!$H$64:$AK$71,5,0))</f>
        <v>0</v>
      </c>
      <c r="Y369" s="31">
        <f>VLOOKUP($A369,$A$4:$O$28,8,0)*(HLOOKUP(Y$351,'2.2.Brecha Efectiva x UdM'!$H$64:$AK$71,5,0))</f>
        <v>0</v>
      </c>
      <c r="Z369" s="31">
        <f>VLOOKUP($A369,$A$4:$O$28,8,0)*(HLOOKUP(Z$351,'2.2.Brecha Efectiva x UdM'!$H$64:$AK$71,5,0))</f>
        <v>0</v>
      </c>
      <c r="AA369" s="31">
        <f>VLOOKUP($A369,$A$4:$O$28,8,0)*(HLOOKUP(AA$351,'2.2.Brecha Efectiva x UdM'!$H$64:$AK$71,5,0))</f>
        <v>0</v>
      </c>
      <c r="AB369" s="31">
        <f>VLOOKUP($A369,$A$4:$O$28,8,0)*(HLOOKUP(AB$351,'2.2.Brecha Efectiva x UdM'!$H$64:$AK$71,5,0))</f>
        <v>0</v>
      </c>
      <c r="AC369" s="31">
        <f>VLOOKUP($A369,$A$4:$O$28,8,0)*(HLOOKUP(AC$351,'2.2.Brecha Efectiva x UdM'!$H$64:$AK$71,5,0))</f>
        <v>0</v>
      </c>
      <c r="AD369" s="31">
        <f>VLOOKUP($A369,$A$4:$O$28,8,0)*(HLOOKUP(AD$351,'2.2.Brecha Efectiva x UdM'!$H$64:$AK$71,5,0))</f>
        <v>0</v>
      </c>
      <c r="AE369" s="31">
        <f>VLOOKUP($A369,$A$4:$O$28,8,0)*(HLOOKUP(AE$351,'2.2.Brecha Efectiva x UdM'!$H$64:$AK$71,5,0))</f>
        <v>0</v>
      </c>
      <c r="AF369" s="31">
        <f>VLOOKUP($A369,$A$4:$O$28,8,0)*(HLOOKUP(AF$351,'2.2.Brecha Efectiva x UdM'!$H$64:$AK$71,5,0))</f>
        <v>0</v>
      </c>
      <c r="AG369" s="31">
        <f>VLOOKUP($A369,$A$4:$O$28,8,0)*(HLOOKUP(AG$351,'2.2.Brecha Efectiva x UdM'!$H$64:$AK$71,5,0))</f>
        <v>0</v>
      </c>
      <c r="AH369" s="63">
        <f t="shared" si="360"/>
        <v>0</v>
      </c>
    </row>
    <row r="370" spans="1:34" hidden="1" x14ac:dyDescent="0.2">
      <c r="A370" s="25" t="str">
        <f t="shared" si="357"/>
        <v>San Luis</v>
      </c>
      <c r="B370" s="51">
        <f t="shared" si="358"/>
        <v>0</v>
      </c>
      <c r="C370" s="25" t="str">
        <f t="shared" si="359"/>
        <v>San Luis 0</v>
      </c>
      <c r="D370" s="32">
        <f>VLOOKUP($A370,$A$4:$O$28,8,0)*(HLOOKUP(D$351,'2.2.Brecha Efectiva x UdM'!$H$64:$AK$71,5,0))</f>
        <v>0</v>
      </c>
      <c r="E370" s="32">
        <f>VLOOKUP($A370,$A$4:$O$28,8,0)*(HLOOKUP(E$351,'2.2.Brecha Efectiva x UdM'!$H$64:$AK$71,5,0))</f>
        <v>0</v>
      </c>
      <c r="F370" s="32">
        <f>VLOOKUP($A370,$A$4:$O$28,8,0)*(HLOOKUP(F$351,'2.2.Brecha Efectiva x UdM'!$H$64:$AK$71,5,0))</f>
        <v>0</v>
      </c>
      <c r="G370" s="32">
        <f>VLOOKUP($A370,$A$4:$O$28,8,0)*(HLOOKUP(G$351,'2.2.Brecha Efectiva x UdM'!$H$64:$AK$71,5,0))</f>
        <v>0</v>
      </c>
      <c r="H370" s="32">
        <f>VLOOKUP($A370,$A$4:$O$28,8,0)*(HLOOKUP(H$351,'2.2.Brecha Efectiva x UdM'!$H$64:$AK$71,5,0))</f>
        <v>0</v>
      </c>
      <c r="I370" s="32">
        <f>VLOOKUP($A370,$A$4:$O$28,8,0)*(HLOOKUP(I$351,'2.2.Brecha Efectiva x UdM'!$H$64:$AK$71,5,0))</f>
        <v>0</v>
      </c>
      <c r="J370" s="32">
        <f>VLOOKUP($A370,$A$4:$O$28,8,0)*(HLOOKUP(J$351,'2.2.Brecha Efectiva x UdM'!$H$64:$AK$71,5,0))</f>
        <v>0</v>
      </c>
      <c r="K370" s="32">
        <f>VLOOKUP($A370,$A$4:$O$28,8,0)*(HLOOKUP(K$351,'2.2.Brecha Efectiva x UdM'!$H$64:$AK$71,5,0))</f>
        <v>0</v>
      </c>
      <c r="L370" s="32">
        <f>VLOOKUP($A370,$A$4:$O$28,8,0)*(HLOOKUP(L$351,'2.2.Brecha Efectiva x UdM'!$H$64:$AK$71,5,0))</f>
        <v>0</v>
      </c>
      <c r="M370" s="32">
        <f>VLOOKUP($A370,$A$4:$O$28,8,0)*(HLOOKUP(M$351,'2.2.Brecha Efectiva x UdM'!$H$64:$AK$71,5,0))</f>
        <v>0</v>
      </c>
      <c r="N370" s="32">
        <f>VLOOKUP($A370,$A$4:$O$28,8,0)*(HLOOKUP(N$351,'2.2.Brecha Efectiva x UdM'!$H$64:$AK$71,5,0))</f>
        <v>0</v>
      </c>
      <c r="O370" s="32">
        <f>VLOOKUP($A370,$A$4:$O$28,8,0)*(HLOOKUP(O$351,'2.2.Brecha Efectiva x UdM'!$H$64:$AK$71,5,0))</f>
        <v>0</v>
      </c>
      <c r="P370" s="32">
        <f>VLOOKUP($A370,$A$4:$O$28,8,0)*(HLOOKUP(P$351,'2.2.Brecha Efectiva x UdM'!$H$64:$AK$71,5,0))</f>
        <v>0</v>
      </c>
      <c r="Q370" s="32">
        <f>VLOOKUP($A370,$A$4:$O$28,8,0)*(HLOOKUP(Q$351,'2.2.Brecha Efectiva x UdM'!$H$64:$AK$71,5,0))</f>
        <v>0</v>
      </c>
      <c r="R370" s="32">
        <f>VLOOKUP($A370,$A$4:$O$28,8,0)*(HLOOKUP(R$351,'2.2.Brecha Efectiva x UdM'!$H$64:$AK$71,5,0))</f>
        <v>0</v>
      </c>
      <c r="S370" s="32">
        <f>VLOOKUP($A370,$A$4:$O$28,8,0)*(HLOOKUP(S$351,'2.2.Brecha Efectiva x UdM'!$H$64:$AK$71,5,0))</f>
        <v>0</v>
      </c>
      <c r="T370" s="32">
        <f>VLOOKUP($A370,$A$4:$O$28,8,0)*(HLOOKUP(T$351,'2.2.Brecha Efectiva x UdM'!$H$64:$AK$71,5,0))</f>
        <v>0</v>
      </c>
      <c r="U370" s="32">
        <f>VLOOKUP($A370,$A$4:$O$28,8,0)*(HLOOKUP(U$351,'2.2.Brecha Efectiva x UdM'!$H$64:$AK$71,5,0))</f>
        <v>0</v>
      </c>
      <c r="V370" s="32">
        <f>VLOOKUP($A370,$A$4:$O$28,8,0)*(HLOOKUP(V$351,'2.2.Brecha Efectiva x UdM'!$H$64:$AK$71,5,0))</f>
        <v>0</v>
      </c>
      <c r="W370" s="32">
        <f>VLOOKUP($A370,$A$4:$O$28,8,0)*(HLOOKUP(W$351,'2.2.Brecha Efectiva x UdM'!$H$64:$AK$71,5,0))</f>
        <v>0</v>
      </c>
      <c r="X370" s="32">
        <f>VLOOKUP($A370,$A$4:$O$28,8,0)*(HLOOKUP(X$351,'2.2.Brecha Efectiva x UdM'!$H$64:$AK$71,5,0))</f>
        <v>0</v>
      </c>
      <c r="Y370" s="32">
        <f>VLOOKUP($A370,$A$4:$O$28,8,0)*(HLOOKUP(Y$351,'2.2.Brecha Efectiva x UdM'!$H$64:$AK$71,5,0))</f>
        <v>0</v>
      </c>
      <c r="Z370" s="32">
        <f>VLOOKUP($A370,$A$4:$O$28,8,0)*(HLOOKUP(Z$351,'2.2.Brecha Efectiva x UdM'!$H$64:$AK$71,5,0))</f>
        <v>0</v>
      </c>
      <c r="AA370" s="32">
        <f>VLOOKUP($A370,$A$4:$O$28,8,0)*(HLOOKUP(AA$351,'2.2.Brecha Efectiva x UdM'!$H$64:$AK$71,5,0))</f>
        <v>0</v>
      </c>
      <c r="AB370" s="32">
        <f>VLOOKUP($A370,$A$4:$O$28,8,0)*(HLOOKUP(AB$351,'2.2.Brecha Efectiva x UdM'!$H$64:$AK$71,5,0))</f>
        <v>0</v>
      </c>
      <c r="AC370" s="32">
        <f>VLOOKUP($A370,$A$4:$O$28,8,0)*(HLOOKUP(AC$351,'2.2.Brecha Efectiva x UdM'!$H$64:$AK$71,5,0))</f>
        <v>0</v>
      </c>
      <c r="AD370" s="32">
        <f>VLOOKUP($A370,$A$4:$O$28,8,0)*(HLOOKUP(AD$351,'2.2.Brecha Efectiva x UdM'!$H$64:$AK$71,5,0))</f>
        <v>0</v>
      </c>
      <c r="AE370" s="32">
        <f>VLOOKUP($A370,$A$4:$O$28,8,0)*(HLOOKUP(AE$351,'2.2.Brecha Efectiva x UdM'!$H$64:$AK$71,5,0))</f>
        <v>0</v>
      </c>
      <c r="AF370" s="32">
        <f>VLOOKUP($A370,$A$4:$O$28,8,0)*(HLOOKUP(AF$351,'2.2.Brecha Efectiva x UdM'!$H$64:$AK$71,5,0))</f>
        <v>0</v>
      </c>
      <c r="AG370" s="32">
        <f>VLOOKUP($A370,$A$4:$O$28,8,0)*(HLOOKUP(AG$351,'2.2.Brecha Efectiva x UdM'!$H$64:$AK$71,5,0))</f>
        <v>0</v>
      </c>
      <c r="AH370" s="62">
        <f t="shared" si="360"/>
        <v>0</v>
      </c>
    </row>
    <row r="371" spans="1:34" hidden="1" x14ac:dyDescent="0.2">
      <c r="A371" s="26" t="str">
        <f t="shared" si="357"/>
        <v>Santa Cruz</v>
      </c>
      <c r="B371" s="52">
        <f t="shared" si="358"/>
        <v>0</v>
      </c>
      <c r="C371" s="26" t="str">
        <f t="shared" si="359"/>
        <v>Santa Cruz 0</v>
      </c>
      <c r="D371" s="31">
        <f>VLOOKUP($A371,$A$4:$O$28,8,0)*(HLOOKUP(D$351,'2.2.Brecha Efectiva x UdM'!$H$64:$AK$71,5,0))</f>
        <v>0</v>
      </c>
      <c r="E371" s="31">
        <f>VLOOKUP($A371,$A$4:$O$28,8,0)*(HLOOKUP(E$351,'2.2.Brecha Efectiva x UdM'!$H$64:$AK$71,5,0))</f>
        <v>0</v>
      </c>
      <c r="F371" s="31">
        <f>VLOOKUP($A371,$A$4:$O$28,8,0)*(HLOOKUP(F$351,'2.2.Brecha Efectiva x UdM'!$H$64:$AK$71,5,0))</f>
        <v>0</v>
      </c>
      <c r="G371" s="31">
        <f>VLOOKUP($A371,$A$4:$O$28,8,0)*(HLOOKUP(G$351,'2.2.Brecha Efectiva x UdM'!$H$64:$AK$71,5,0))</f>
        <v>0</v>
      </c>
      <c r="H371" s="31">
        <f>VLOOKUP($A371,$A$4:$O$28,8,0)*(HLOOKUP(H$351,'2.2.Brecha Efectiva x UdM'!$H$64:$AK$71,5,0))</f>
        <v>0</v>
      </c>
      <c r="I371" s="31">
        <f>VLOOKUP($A371,$A$4:$O$28,8,0)*(HLOOKUP(I$351,'2.2.Brecha Efectiva x UdM'!$H$64:$AK$71,5,0))</f>
        <v>0</v>
      </c>
      <c r="J371" s="31">
        <f>VLOOKUP($A371,$A$4:$O$28,8,0)*(HLOOKUP(J$351,'2.2.Brecha Efectiva x UdM'!$H$64:$AK$71,5,0))</f>
        <v>0</v>
      </c>
      <c r="K371" s="31">
        <f>VLOOKUP($A371,$A$4:$O$28,8,0)*(HLOOKUP(K$351,'2.2.Brecha Efectiva x UdM'!$H$64:$AK$71,5,0))</f>
        <v>0</v>
      </c>
      <c r="L371" s="31">
        <f>VLOOKUP($A371,$A$4:$O$28,8,0)*(HLOOKUP(L$351,'2.2.Brecha Efectiva x UdM'!$H$64:$AK$71,5,0))</f>
        <v>0</v>
      </c>
      <c r="M371" s="31">
        <f>VLOOKUP($A371,$A$4:$O$28,8,0)*(HLOOKUP(M$351,'2.2.Brecha Efectiva x UdM'!$H$64:$AK$71,5,0))</f>
        <v>0</v>
      </c>
      <c r="N371" s="31">
        <f>VLOOKUP($A371,$A$4:$O$28,8,0)*(HLOOKUP(N$351,'2.2.Brecha Efectiva x UdM'!$H$64:$AK$71,5,0))</f>
        <v>0</v>
      </c>
      <c r="O371" s="31">
        <f>VLOOKUP($A371,$A$4:$O$28,8,0)*(HLOOKUP(O$351,'2.2.Brecha Efectiva x UdM'!$H$64:$AK$71,5,0))</f>
        <v>0</v>
      </c>
      <c r="P371" s="31">
        <f>VLOOKUP($A371,$A$4:$O$28,8,0)*(HLOOKUP(P$351,'2.2.Brecha Efectiva x UdM'!$H$64:$AK$71,5,0))</f>
        <v>0</v>
      </c>
      <c r="Q371" s="31">
        <f>VLOOKUP($A371,$A$4:$O$28,8,0)*(HLOOKUP(Q$351,'2.2.Brecha Efectiva x UdM'!$H$64:$AK$71,5,0))</f>
        <v>0</v>
      </c>
      <c r="R371" s="31">
        <f>VLOOKUP($A371,$A$4:$O$28,8,0)*(HLOOKUP(R$351,'2.2.Brecha Efectiva x UdM'!$H$64:$AK$71,5,0))</f>
        <v>0</v>
      </c>
      <c r="S371" s="31">
        <f>VLOOKUP($A371,$A$4:$O$28,8,0)*(HLOOKUP(S$351,'2.2.Brecha Efectiva x UdM'!$H$64:$AK$71,5,0))</f>
        <v>0</v>
      </c>
      <c r="T371" s="31">
        <f>VLOOKUP($A371,$A$4:$O$28,8,0)*(HLOOKUP(T$351,'2.2.Brecha Efectiva x UdM'!$H$64:$AK$71,5,0))</f>
        <v>0</v>
      </c>
      <c r="U371" s="31">
        <f>VLOOKUP($A371,$A$4:$O$28,8,0)*(HLOOKUP(U$351,'2.2.Brecha Efectiva x UdM'!$H$64:$AK$71,5,0))</f>
        <v>0</v>
      </c>
      <c r="V371" s="31">
        <f>VLOOKUP($A371,$A$4:$O$28,8,0)*(HLOOKUP(V$351,'2.2.Brecha Efectiva x UdM'!$H$64:$AK$71,5,0))</f>
        <v>0</v>
      </c>
      <c r="W371" s="31">
        <f>VLOOKUP($A371,$A$4:$O$28,8,0)*(HLOOKUP(W$351,'2.2.Brecha Efectiva x UdM'!$H$64:$AK$71,5,0))</f>
        <v>0</v>
      </c>
      <c r="X371" s="31">
        <f>VLOOKUP($A371,$A$4:$O$28,8,0)*(HLOOKUP(X$351,'2.2.Brecha Efectiva x UdM'!$H$64:$AK$71,5,0))</f>
        <v>0</v>
      </c>
      <c r="Y371" s="31">
        <f>VLOOKUP($A371,$A$4:$O$28,8,0)*(HLOOKUP(Y$351,'2.2.Brecha Efectiva x UdM'!$H$64:$AK$71,5,0))</f>
        <v>0</v>
      </c>
      <c r="Z371" s="31">
        <f>VLOOKUP($A371,$A$4:$O$28,8,0)*(HLOOKUP(Z$351,'2.2.Brecha Efectiva x UdM'!$H$64:$AK$71,5,0))</f>
        <v>0</v>
      </c>
      <c r="AA371" s="31">
        <f>VLOOKUP($A371,$A$4:$O$28,8,0)*(HLOOKUP(AA$351,'2.2.Brecha Efectiva x UdM'!$H$64:$AK$71,5,0))</f>
        <v>0</v>
      </c>
      <c r="AB371" s="31">
        <f>VLOOKUP($A371,$A$4:$O$28,8,0)*(HLOOKUP(AB$351,'2.2.Brecha Efectiva x UdM'!$H$64:$AK$71,5,0))</f>
        <v>0</v>
      </c>
      <c r="AC371" s="31">
        <f>VLOOKUP($A371,$A$4:$O$28,8,0)*(HLOOKUP(AC$351,'2.2.Brecha Efectiva x UdM'!$H$64:$AK$71,5,0))</f>
        <v>0</v>
      </c>
      <c r="AD371" s="31">
        <f>VLOOKUP($A371,$A$4:$O$28,8,0)*(HLOOKUP(AD$351,'2.2.Brecha Efectiva x UdM'!$H$64:$AK$71,5,0))</f>
        <v>0</v>
      </c>
      <c r="AE371" s="31">
        <f>VLOOKUP($A371,$A$4:$O$28,8,0)*(HLOOKUP(AE$351,'2.2.Brecha Efectiva x UdM'!$H$64:$AK$71,5,0))</f>
        <v>0</v>
      </c>
      <c r="AF371" s="31">
        <f>VLOOKUP($A371,$A$4:$O$28,8,0)*(HLOOKUP(AF$351,'2.2.Brecha Efectiva x UdM'!$H$64:$AK$71,5,0))</f>
        <v>0</v>
      </c>
      <c r="AG371" s="31">
        <f>VLOOKUP($A371,$A$4:$O$28,8,0)*(HLOOKUP(AG$351,'2.2.Brecha Efectiva x UdM'!$H$64:$AK$71,5,0))</f>
        <v>0</v>
      </c>
      <c r="AH371" s="63">
        <f t="shared" si="360"/>
        <v>0</v>
      </c>
    </row>
    <row r="372" spans="1:34" hidden="1" x14ac:dyDescent="0.2">
      <c r="A372" s="25" t="str">
        <f t="shared" si="357"/>
        <v>Santa Fe</v>
      </c>
      <c r="B372" s="51">
        <f t="shared" si="358"/>
        <v>0</v>
      </c>
      <c r="C372" s="25" t="str">
        <f t="shared" si="359"/>
        <v>Santa Fe 0</v>
      </c>
      <c r="D372" s="32">
        <f>VLOOKUP($A372,$A$4:$O$28,8,0)*(HLOOKUP(D$351,'2.2.Brecha Efectiva x UdM'!$H$64:$AK$71,5,0))</f>
        <v>0</v>
      </c>
      <c r="E372" s="32">
        <f>VLOOKUP($A372,$A$4:$O$28,8,0)*(HLOOKUP(E$351,'2.2.Brecha Efectiva x UdM'!$H$64:$AK$71,5,0))</f>
        <v>0</v>
      </c>
      <c r="F372" s="32">
        <f>VLOOKUP($A372,$A$4:$O$28,8,0)*(HLOOKUP(F$351,'2.2.Brecha Efectiva x UdM'!$H$64:$AK$71,5,0))</f>
        <v>0</v>
      </c>
      <c r="G372" s="32">
        <f>VLOOKUP($A372,$A$4:$O$28,8,0)*(HLOOKUP(G$351,'2.2.Brecha Efectiva x UdM'!$H$64:$AK$71,5,0))</f>
        <v>0</v>
      </c>
      <c r="H372" s="32">
        <f>VLOOKUP($A372,$A$4:$O$28,8,0)*(HLOOKUP(H$351,'2.2.Brecha Efectiva x UdM'!$H$64:$AK$71,5,0))</f>
        <v>0</v>
      </c>
      <c r="I372" s="32">
        <f>VLOOKUP($A372,$A$4:$O$28,8,0)*(HLOOKUP(I$351,'2.2.Brecha Efectiva x UdM'!$H$64:$AK$71,5,0))</f>
        <v>0</v>
      </c>
      <c r="J372" s="32">
        <f>VLOOKUP($A372,$A$4:$O$28,8,0)*(HLOOKUP(J$351,'2.2.Brecha Efectiva x UdM'!$H$64:$AK$71,5,0))</f>
        <v>0</v>
      </c>
      <c r="K372" s="32">
        <f>VLOOKUP($A372,$A$4:$O$28,8,0)*(HLOOKUP(K$351,'2.2.Brecha Efectiva x UdM'!$H$64:$AK$71,5,0))</f>
        <v>0</v>
      </c>
      <c r="L372" s="32">
        <f>VLOOKUP($A372,$A$4:$O$28,8,0)*(HLOOKUP(L$351,'2.2.Brecha Efectiva x UdM'!$H$64:$AK$71,5,0))</f>
        <v>0</v>
      </c>
      <c r="M372" s="32">
        <f>VLOOKUP($A372,$A$4:$O$28,8,0)*(HLOOKUP(M$351,'2.2.Brecha Efectiva x UdM'!$H$64:$AK$71,5,0))</f>
        <v>0</v>
      </c>
      <c r="N372" s="32">
        <f>VLOOKUP($A372,$A$4:$O$28,8,0)*(HLOOKUP(N$351,'2.2.Brecha Efectiva x UdM'!$H$64:$AK$71,5,0))</f>
        <v>0</v>
      </c>
      <c r="O372" s="32">
        <f>VLOOKUP($A372,$A$4:$O$28,8,0)*(HLOOKUP(O$351,'2.2.Brecha Efectiva x UdM'!$H$64:$AK$71,5,0))</f>
        <v>0</v>
      </c>
      <c r="P372" s="32">
        <f>VLOOKUP($A372,$A$4:$O$28,8,0)*(HLOOKUP(P$351,'2.2.Brecha Efectiva x UdM'!$H$64:$AK$71,5,0))</f>
        <v>0</v>
      </c>
      <c r="Q372" s="32">
        <f>VLOOKUP($A372,$A$4:$O$28,8,0)*(HLOOKUP(Q$351,'2.2.Brecha Efectiva x UdM'!$H$64:$AK$71,5,0))</f>
        <v>0</v>
      </c>
      <c r="R372" s="32">
        <f>VLOOKUP($A372,$A$4:$O$28,8,0)*(HLOOKUP(R$351,'2.2.Brecha Efectiva x UdM'!$H$64:$AK$71,5,0))</f>
        <v>0</v>
      </c>
      <c r="S372" s="32">
        <f>VLOOKUP($A372,$A$4:$O$28,8,0)*(HLOOKUP(S$351,'2.2.Brecha Efectiva x UdM'!$H$64:$AK$71,5,0))</f>
        <v>0</v>
      </c>
      <c r="T372" s="32">
        <f>VLOOKUP($A372,$A$4:$O$28,8,0)*(HLOOKUP(T$351,'2.2.Brecha Efectiva x UdM'!$H$64:$AK$71,5,0))</f>
        <v>0</v>
      </c>
      <c r="U372" s="32">
        <f>VLOOKUP($A372,$A$4:$O$28,8,0)*(HLOOKUP(U$351,'2.2.Brecha Efectiva x UdM'!$H$64:$AK$71,5,0))</f>
        <v>0</v>
      </c>
      <c r="V372" s="32">
        <f>VLOOKUP($A372,$A$4:$O$28,8,0)*(HLOOKUP(V$351,'2.2.Brecha Efectiva x UdM'!$H$64:$AK$71,5,0))</f>
        <v>0</v>
      </c>
      <c r="W372" s="32">
        <f>VLOOKUP($A372,$A$4:$O$28,8,0)*(HLOOKUP(W$351,'2.2.Brecha Efectiva x UdM'!$H$64:$AK$71,5,0))</f>
        <v>0</v>
      </c>
      <c r="X372" s="32">
        <f>VLOOKUP($A372,$A$4:$O$28,8,0)*(HLOOKUP(X$351,'2.2.Brecha Efectiva x UdM'!$H$64:$AK$71,5,0))</f>
        <v>0</v>
      </c>
      <c r="Y372" s="32">
        <f>VLOOKUP($A372,$A$4:$O$28,8,0)*(HLOOKUP(Y$351,'2.2.Brecha Efectiva x UdM'!$H$64:$AK$71,5,0))</f>
        <v>0</v>
      </c>
      <c r="Z372" s="32">
        <f>VLOOKUP($A372,$A$4:$O$28,8,0)*(HLOOKUP(Z$351,'2.2.Brecha Efectiva x UdM'!$H$64:$AK$71,5,0))</f>
        <v>0</v>
      </c>
      <c r="AA372" s="32">
        <f>VLOOKUP($A372,$A$4:$O$28,8,0)*(HLOOKUP(AA$351,'2.2.Brecha Efectiva x UdM'!$H$64:$AK$71,5,0))</f>
        <v>0</v>
      </c>
      <c r="AB372" s="32">
        <f>VLOOKUP($A372,$A$4:$O$28,8,0)*(HLOOKUP(AB$351,'2.2.Brecha Efectiva x UdM'!$H$64:$AK$71,5,0))</f>
        <v>0</v>
      </c>
      <c r="AC372" s="32">
        <f>VLOOKUP($A372,$A$4:$O$28,8,0)*(HLOOKUP(AC$351,'2.2.Brecha Efectiva x UdM'!$H$64:$AK$71,5,0))</f>
        <v>0</v>
      </c>
      <c r="AD372" s="32">
        <f>VLOOKUP($A372,$A$4:$O$28,8,0)*(HLOOKUP(AD$351,'2.2.Brecha Efectiva x UdM'!$H$64:$AK$71,5,0))</f>
        <v>0</v>
      </c>
      <c r="AE372" s="32">
        <f>VLOOKUP($A372,$A$4:$O$28,8,0)*(HLOOKUP(AE$351,'2.2.Brecha Efectiva x UdM'!$H$64:$AK$71,5,0))</f>
        <v>0</v>
      </c>
      <c r="AF372" s="32">
        <f>VLOOKUP($A372,$A$4:$O$28,8,0)*(HLOOKUP(AF$351,'2.2.Brecha Efectiva x UdM'!$H$64:$AK$71,5,0))</f>
        <v>0</v>
      </c>
      <c r="AG372" s="32">
        <f>VLOOKUP($A372,$A$4:$O$28,8,0)*(HLOOKUP(AG$351,'2.2.Brecha Efectiva x UdM'!$H$64:$AK$71,5,0))</f>
        <v>0</v>
      </c>
      <c r="AH372" s="62">
        <f t="shared" si="360"/>
        <v>0</v>
      </c>
    </row>
    <row r="373" spans="1:34" hidden="1" x14ac:dyDescent="0.2">
      <c r="A373" s="26" t="str">
        <f t="shared" si="357"/>
        <v>Santiago del Estero</v>
      </c>
      <c r="B373" s="52">
        <f t="shared" si="358"/>
        <v>0</v>
      </c>
      <c r="C373" s="26" t="str">
        <f t="shared" si="359"/>
        <v>Santiago del Estero 0</v>
      </c>
      <c r="D373" s="31">
        <f>VLOOKUP($A373,$A$4:$O$28,8,0)*(HLOOKUP(D$351,'2.2.Brecha Efectiva x UdM'!$H$64:$AK$71,5,0))</f>
        <v>0</v>
      </c>
      <c r="E373" s="31">
        <f>VLOOKUP($A373,$A$4:$O$28,8,0)*(HLOOKUP(E$351,'2.2.Brecha Efectiva x UdM'!$H$64:$AK$71,5,0))</f>
        <v>0</v>
      </c>
      <c r="F373" s="31">
        <f>VLOOKUP($A373,$A$4:$O$28,8,0)*(HLOOKUP(F$351,'2.2.Brecha Efectiva x UdM'!$H$64:$AK$71,5,0))</f>
        <v>0</v>
      </c>
      <c r="G373" s="31">
        <f>VLOOKUP($A373,$A$4:$O$28,8,0)*(HLOOKUP(G$351,'2.2.Brecha Efectiva x UdM'!$H$64:$AK$71,5,0))</f>
        <v>0</v>
      </c>
      <c r="H373" s="31">
        <f>VLOOKUP($A373,$A$4:$O$28,8,0)*(HLOOKUP(H$351,'2.2.Brecha Efectiva x UdM'!$H$64:$AK$71,5,0))</f>
        <v>0</v>
      </c>
      <c r="I373" s="31">
        <f>VLOOKUP($A373,$A$4:$O$28,8,0)*(HLOOKUP(I$351,'2.2.Brecha Efectiva x UdM'!$H$64:$AK$71,5,0))</f>
        <v>0</v>
      </c>
      <c r="J373" s="31">
        <f>VLOOKUP($A373,$A$4:$O$28,8,0)*(HLOOKUP(J$351,'2.2.Brecha Efectiva x UdM'!$H$64:$AK$71,5,0))</f>
        <v>0</v>
      </c>
      <c r="K373" s="31">
        <f>VLOOKUP($A373,$A$4:$O$28,8,0)*(HLOOKUP(K$351,'2.2.Brecha Efectiva x UdM'!$H$64:$AK$71,5,0))</f>
        <v>0</v>
      </c>
      <c r="L373" s="31">
        <f>VLOOKUP($A373,$A$4:$O$28,8,0)*(HLOOKUP(L$351,'2.2.Brecha Efectiva x UdM'!$H$64:$AK$71,5,0))</f>
        <v>0</v>
      </c>
      <c r="M373" s="31">
        <f>VLOOKUP($A373,$A$4:$O$28,8,0)*(HLOOKUP(M$351,'2.2.Brecha Efectiva x UdM'!$H$64:$AK$71,5,0))</f>
        <v>0</v>
      </c>
      <c r="N373" s="31">
        <f>VLOOKUP($A373,$A$4:$O$28,8,0)*(HLOOKUP(N$351,'2.2.Brecha Efectiva x UdM'!$H$64:$AK$71,5,0))</f>
        <v>0</v>
      </c>
      <c r="O373" s="31">
        <f>VLOOKUP($A373,$A$4:$O$28,8,0)*(HLOOKUP(O$351,'2.2.Brecha Efectiva x UdM'!$H$64:$AK$71,5,0))</f>
        <v>0</v>
      </c>
      <c r="P373" s="31">
        <f>VLOOKUP($A373,$A$4:$O$28,8,0)*(HLOOKUP(P$351,'2.2.Brecha Efectiva x UdM'!$H$64:$AK$71,5,0))</f>
        <v>0</v>
      </c>
      <c r="Q373" s="31">
        <f>VLOOKUP($A373,$A$4:$O$28,8,0)*(HLOOKUP(Q$351,'2.2.Brecha Efectiva x UdM'!$H$64:$AK$71,5,0))</f>
        <v>0</v>
      </c>
      <c r="R373" s="31">
        <f>VLOOKUP($A373,$A$4:$O$28,8,0)*(HLOOKUP(R$351,'2.2.Brecha Efectiva x UdM'!$H$64:$AK$71,5,0))</f>
        <v>0</v>
      </c>
      <c r="S373" s="31">
        <f>VLOOKUP($A373,$A$4:$O$28,8,0)*(HLOOKUP(S$351,'2.2.Brecha Efectiva x UdM'!$H$64:$AK$71,5,0))</f>
        <v>0</v>
      </c>
      <c r="T373" s="31">
        <f>VLOOKUP($A373,$A$4:$O$28,8,0)*(HLOOKUP(T$351,'2.2.Brecha Efectiva x UdM'!$H$64:$AK$71,5,0))</f>
        <v>0</v>
      </c>
      <c r="U373" s="31">
        <f>VLOOKUP($A373,$A$4:$O$28,8,0)*(HLOOKUP(U$351,'2.2.Brecha Efectiva x UdM'!$H$64:$AK$71,5,0))</f>
        <v>0</v>
      </c>
      <c r="V373" s="31">
        <f>VLOOKUP($A373,$A$4:$O$28,8,0)*(HLOOKUP(V$351,'2.2.Brecha Efectiva x UdM'!$H$64:$AK$71,5,0))</f>
        <v>0</v>
      </c>
      <c r="W373" s="31">
        <f>VLOOKUP($A373,$A$4:$O$28,8,0)*(HLOOKUP(W$351,'2.2.Brecha Efectiva x UdM'!$H$64:$AK$71,5,0))</f>
        <v>0</v>
      </c>
      <c r="X373" s="31">
        <f>VLOOKUP($A373,$A$4:$O$28,8,0)*(HLOOKUP(X$351,'2.2.Brecha Efectiva x UdM'!$H$64:$AK$71,5,0))</f>
        <v>0</v>
      </c>
      <c r="Y373" s="31">
        <f>VLOOKUP($A373,$A$4:$O$28,8,0)*(HLOOKUP(Y$351,'2.2.Brecha Efectiva x UdM'!$H$64:$AK$71,5,0))</f>
        <v>0</v>
      </c>
      <c r="Z373" s="31">
        <f>VLOOKUP($A373,$A$4:$O$28,8,0)*(HLOOKUP(Z$351,'2.2.Brecha Efectiva x UdM'!$H$64:$AK$71,5,0))</f>
        <v>0</v>
      </c>
      <c r="AA373" s="31">
        <f>VLOOKUP($A373,$A$4:$O$28,8,0)*(HLOOKUP(AA$351,'2.2.Brecha Efectiva x UdM'!$H$64:$AK$71,5,0))</f>
        <v>0</v>
      </c>
      <c r="AB373" s="31">
        <f>VLOOKUP($A373,$A$4:$O$28,8,0)*(HLOOKUP(AB$351,'2.2.Brecha Efectiva x UdM'!$H$64:$AK$71,5,0))</f>
        <v>0</v>
      </c>
      <c r="AC373" s="31">
        <f>VLOOKUP($A373,$A$4:$O$28,8,0)*(HLOOKUP(AC$351,'2.2.Brecha Efectiva x UdM'!$H$64:$AK$71,5,0))</f>
        <v>0</v>
      </c>
      <c r="AD373" s="31">
        <f>VLOOKUP($A373,$A$4:$O$28,8,0)*(HLOOKUP(AD$351,'2.2.Brecha Efectiva x UdM'!$H$64:$AK$71,5,0))</f>
        <v>0</v>
      </c>
      <c r="AE373" s="31">
        <f>VLOOKUP($A373,$A$4:$O$28,8,0)*(HLOOKUP(AE$351,'2.2.Brecha Efectiva x UdM'!$H$64:$AK$71,5,0))</f>
        <v>0</v>
      </c>
      <c r="AF373" s="31">
        <f>VLOOKUP($A373,$A$4:$O$28,8,0)*(HLOOKUP(AF$351,'2.2.Brecha Efectiva x UdM'!$H$64:$AK$71,5,0))</f>
        <v>0</v>
      </c>
      <c r="AG373" s="31">
        <f>VLOOKUP($A373,$A$4:$O$28,8,0)*(HLOOKUP(AG$351,'2.2.Brecha Efectiva x UdM'!$H$64:$AK$71,5,0))</f>
        <v>0</v>
      </c>
      <c r="AH373" s="63">
        <f t="shared" si="360"/>
        <v>0</v>
      </c>
    </row>
    <row r="374" spans="1:34" hidden="1" x14ac:dyDescent="0.2">
      <c r="A374" s="25" t="str">
        <f t="shared" si="357"/>
        <v>Tierra del Fuego</v>
      </c>
      <c r="B374" s="51">
        <f t="shared" si="358"/>
        <v>0</v>
      </c>
      <c r="C374" s="25" t="str">
        <f t="shared" si="359"/>
        <v>Tierra del Fuego 0</v>
      </c>
      <c r="D374" s="32">
        <f>VLOOKUP($A374,$A$4:$O$28,8,0)*(HLOOKUP(D$351,'2.2.Brecha Efectiva x UdM'!$H$64:$AK$71,5,0))</f>
        <v>0</v>
      </c>
      <c r="E374" s="32">
        <f>VLOOKUP($A374,$A$4:$O$28,8,0)*(HLOOKUP(E$351,'2.2.Brecha Efectiva x UdM'!$H$64:$AK$71,5,0))</f>
        <v>0</v>
      </c>
      <c r="F374" s="32">
        <f>VLOOKUP($A374,$A$4:$O$28,8,0)*(HLOOKUP(F$351,'2.2.Brecha Efectiva x UdM'!$H$64:$AK$71,5,0))</f>
        <v>0</v>
      </c>
      <c r="G374" s="32">
        <f>VLOOKUP($A374,$A$4:$O$28,8,0)*(HLOOKUP(G$351,'2.2.Brecha Efectiva x UdM'!$H$64:$AK$71,5,0))</f>
        <v>0</v>
      </c>
      <c r="H374" s="32">
        <f>VLOOKUP($A374,$A$4:$O$28,8,0)*(HLOOKUP(H$351,'2.2.Brecha Efectiva x UdM'!$H$64:$AK$71,5,0))</f>
        <v>0</v>
      </c>
      <c r="I374" s="32">
        <f>VLOOKUP($A374,$A$4:$O$28,8,0)*(HLOOKUP(I$351,'2.2.Brecha Efectiva x UdM'!$H$64:$AK$71,5,0))</f>
        <v>0</v>
      </c>
      <c r="J374" s="32">
        <f>VLOOKUP($A374,$A$4:$O$28,8,0)*(HLOOKUP(J$351,'2.2.Brecha Efectiva x UdM'!$H$64:$AK$71,5,0))</f>
        <v>0</v>
      </c>
      <c r="K374" s="32">
        <f>VLOOKUP($A374,$A$4:$O$28,8,0)*(HLOOKUP(K$351,'2.2.Brecha Efectiva x UdM'!$H$64:$AK$71,5,0))</f>
        <v>0</v>
      </c>
      <c r="L374" s="32">
        <f>VLOOKUP($A374,$A$4:$O$28,8,0)*(HLOOKUP(L$351,'2.2.Brecha Efectiva x UdM'!$H$64:$AK$71,5,0))</f>
        <v>0</v>
      </c>
      <c r="M374" s="32">
        <f>VLOOKUP($A374,$A$4:$O$28,8,0)*(HLOOKUP(M$351,'2.2.Brecha Efectiva x UdM'!$H$64:$AK$71,5,0))</f>
        <v>0</v>
      </c>
      <c r="N374" s="32">
        <f>VLOOKUP($A374,$A$4:$O$28,8,0)*(HLOOKUP(N$351,'2.2.Brecha Efectiva x UdM'!$H$64:$AK$71,5,0))</f>
        <v>0</v>
      </c>
      <c r="O374" s="32">
        <f>VLOOKUP($A374,$A$4:$O$28,8,0)*(HLOOKUP(O$351,'2.2.Brecha Efectiva x UdM'!$H$64:$AK$71,5,0))</f>
        <v>0</v>
      </c>
      <c r="P374" s="32">
        <f>VLOOKUP($A374,$A$4:$O$28,8,0)*(HLOOKUP(P$351,'2.2.Brecha Efectiva x UdM'!$H$64:$AK$71,5,0))</f>
        <v>0</v>
      </c>
      <c r="Q374" s="32">
        <f>VLOOKUP($A374,$A$4:$O$28,8,0)*(HLOOKUP(Q$351,'2.2.Brecha Efectiva x UdM'!$H$64:$AK$71,5,0))</f>
        <v>0</v>
      </c>
      <c r="R374" s="32">
        <f>VLOOKUP($A374,$A$4:$O$28,8,0)*(HLOOKUP(R$351,'2.2.Brecha Efectiva x UdM'!$H$64:$AK$71,5,0))</f>
        <v>0</v>
      </c>
      <c r="S374" s="32">
        <f>VLOOKUP($A374,$A$4:$O$28,8,0)*(HLOOKUP(S$351,'2.2.Brecha Efectiva x UdM'!$H$64:$AK$71,5,0))</f>
        <v>0</v>
      </c>
      <c r="T374" s="32">
        <f>VLOOKUP($A374,$A$4:$O$28,8,0)*(HLOOKUP(T$351,'2.2.Brecha Efectiva x UdM'!$H$64:$AK$71,5,0))</f>
        <v>0</v>
      </c>
      <c r="U374" s="32">
        <f>VLOOKUP($A374,$A$4:$O$28,8,0)*(HLOOKUP(U$351,'2.2.Brecha Efectiva x UdM'!$H$64:$AK$71,5,0))</f>
        <v>0</v>
      </c>
      <c r="V374" s="32">
        <f>VLOOKUP($A374,$A$4:$O$28,8,0)*(HLOOKUP(V$351,'2.2.Brecha Efectiva x UdM'!$H$64:$AK$71,5,0))</f>
        <v>0</v>
      </c>
      <c r="W374" s="32">
        <f>VLOOKUP($A374,$A$4:$O$28,8,0)*(HLOOKUP(W$351,'2.2.Brecha Efectiva x UdM'!$H$64:$AK$71,5,0))</f>
        <v>0</v>
      </c>
      <c r="X374" s="32">
        <f>VLOOKUP($A374,$A$4:$O$28,8,0)*(HLOOKUP(X$351,'2.2.Brecha Efectiva x UdM'!$H$64:$AK$71,5,0))</f>
        <v>0</v>
      </c>
      <c r="Y374" s="32">
        <f>VLOOKUP($A374,$A$4:$O$28,8,0)*(HLOOKUP(Y$351,'2.2.Brecha Efectiva x UdM'!$H$64:$AK$71,5,0))</f>
        <v>0</v>
      </c>
      <c r="Z374" s="32">
        <f>VLOOKUP($A374,$A$4:$O$28,8,0)*(HLOOKUP(Z$351,'2.2.Brecha Efectiva x UdM'!$H$64:$AK$71,5,0))</f>
        <v>0</v>
      </c>
      <c r="AA374" s="32">
        <f>VLOOKUP($A374,$A$4:$O$28,8,0)*(HLOOKUP(AA$351,'2.2.Brecha Efectiva x UdM'!$H$64:$AK$71,5,0))</f>
        <v>0</v>
      </c>
      <c r="AB374" s="32">
        <f>VLOOKUP($A374,$A$4:$O$28,8,0)*(HLOOKUP(AB$351,'2.2.Brecha Efectiva x UdM'!$H$64:$AK$71,5,0))</f>
        <v>0</v>
      </c>
      <c r="AC374" s="32">
        <f>VLOOKUP($A374,$A$4:$O$28,8,0)*(HLOOKUP(AC$351,'2.2.Brecha Efectiva x UdM'!$H$64:$AK$71,5,0))</f>
        <v>0</v>
      </c>
      <c r="AD374" s="32">
        <f>VLOOKUP($A374,$A$4:$O$28,8,0)*(HLOOKUP(AD$351,'2.2.Brecha Efectiva x UdM'!$H$64:$AK$71,5,0))</f>
        <v>0</v>
      </c>
      <c r="AE374" s="32">
        <f>VLOOKUP($A374,$A$4:$O$28,8,0)*(HLOOKUP(AE$351,'2.2.Brecha Efectiva x UdM'!$H$64:$AK$71,5,0))</f>
        <v>0</v>
      </c>
      <c r="AF374" s="32">
        <f>VLOOKUP($A374,$A$4:$O$28,8,0)*(HLOOKUP(AF$351,'2.2.Brecha Efectiva x UdM'!$H$64:$AK$71,5,0))</f>
        <v>0</v>
      </c>
      <c r="AG374" s="32">
        <f>VLOOKUP($A374,$A$4:$O$28,8,0)*(HLOOKUP(AG$351,'2.2.Brecha Efectiva x UdM'!$H$64:$AK$71,5,0))</f>
        <v>0</v>
      </c>
      <c r="AH374" s="62">
        <f t="shared" si="360"/>
        <v>0</v>
      </c>
    </row>
    <row r="375" spans="1:34" hidden="1" x14ac:dyDescent="0.2">
      <c r="A375" s="26" t="str">
        <f t="shared" si="357"/>
        <v>Tucumán</v>
      </c>
      <c r="B375" s="52">
        <f t="shared" si="358"/>
        <v>0</v>
      </c>
      <c r="C375" s="26" t="str">
        <f t="shared" si="359"/>
        <v>Tucumán 0</v>
      </c>
      <c r="D375" s="31">
        <f>VLOOKUP($A375,$A$4:$O$28,8,0)*(HLOOKUP(D$351,'2.2.Brecha Efectiva x UdM'!$H$64:$AK$71,5,0))</f>
        <v>0</v>
      </c>
      <c r="E375" s="31">
        <f>VLOOKUP($A375,$A$4:$O$28,8,0)*(HLOOKUP(E$351,'2.2.Brecha Efectiva x UdM'!$H$64:$AK$71,5,0))</f>
        <v>0</v>
      </c>
      <c r="F375" s="31">
        <f>VLOOKUP($A375,$A$4:$O$28,8,0)*(HLOOKUP(F$351,'2.2.Brecha Efectiva x UdM'!$H$64:$AK$71,5,0))</f>
        <v>0</v>
      </c>
      <c r="G375" s="31">
        <f>VLOOKUP($A375,$A$4:$O$28,8,0)*(HLOOKUP(G$351,'2.2.Brecha Efectiva x UdM'!$H$64:$AK$71,5,0))</f>
        <v>0</v>
      </c>
      <c r="H375" s="31">
        <f>VLOOKUP($A375,$A$4:$O$28,8,0)*(HLOOKUP(H$351,'2.2.Brecha Efectiva x UdM'!$H$64:$AK$71,5,0))</f>
        <v>0</v>
      </c>
      <c r="I375" s="31">
        <f>VLOOKUP($A375,$A$4:$O$28,8,0)*(HLOOKUP(I$351,'2.2.Brecha Efectiva x UdM'!$H$64:$AK$71,5,0))</f>
        <v>0</v>
      </c>
      <c r="J375" s="31">
        <f>VLOOKUP($A375,$A$4:$O$28,8,0)*(HLOOKUP(J$351,'2.2.Brecha Efectiva x UdM'!$H$64:$AK$71,5,0))</f>
        <v>0</v>
      </c>
      <c r="K375" s="31">
        <f>VLOOKUP($A375,$A$4:$O$28,8,0)*(HLOOKUP(K$351,'2.2.Brecha Efectiva x UdM'!$H$64:$AK$71,5,0))</f>
        <v>0</v>
      </c>
      <c r="L375" s="31">
        <f>VLOOKUP($A375,$A$4:$O$28,8,0)*(HLOOKUP(L$351,'2.2.Brecha Efectiva x UdM'!$H$64:$AK$71,5,0))</f>
        <v>0</v>
      </c>
      <c r="M375" s="31">
        <f>VLOOKUP($A375,$A$4:$O$28,8,0)*(HLOOKUP(M$351,'2.2.Brecha Efectiva x UdM'!$H$64:$AK$71,5,0))</f>
        <v>0</v>
      </c>
      <c r="N375" s="31">
        <f>VLOOKUP($A375,$A$4:$O$28,8,0)*(HLOOKUP(N$351,'2.2.Brecha Efectiva x UdM'!$H$64:$AK$71,5,0))</f>
        <v>0</v>
      </c>
      <c r="O375" s="31">
        <f>VLOOKUP($A375,$A$4:$O$28,8,0)*(HLOOKUP(O$351,'2.2.Brecha Efectiva x UdM'!$H$64:$AK$71,5,0))</f>
        <v>0</v>
      </c>
      <c r="P375" s="31">
        <f>VLOOKUP($A375,$A$4:$O$28,8,0)*(HLOOKUP(P$351,'2.2.Brecha Efectiva x UdM'!$H$64:$AK$71,5,0))</f>
        <v>0</v>
      </c>
      <c r="Q375" s="31">
        <f>VLOOKUP($A375,$A$4:$O$28,8,0)*(HLOOKUP(Q$351,'2.2.Brecha Efectiva x UdM'!$H$64:$AK$71,5,0))</f>
        <v>0</v>
      </c>
      <c r="R375" s="31">
        <f>VLOOKUP($A375,$A$4:$O$28,8,0)*(HLOOKUP(R$351,'2.2.Brecha Efectiva x UdM'!$H$64:$AK$71,5,0))</f>
        <v>0</v>
      </c>
      <c r="S375" s="31">
        <f>VLOOKUP($A375,$A$4:$O$28,8,0)*(HLOOKUP(S$351,'2.2.Brecha Efectiva x UdM'!$H$64:$AK$71,5,0))</f>
        <v>0</v>
      </c>
      <c r="T375" s="31">
        <f>VLOOKUP($A375,$A$4:$O$28,8,0)*(HLOOKUP(T$351,'2.2.Brecha Efectiva x UdM'!$H$64:$AK$71,5,0))</f>
        <v>0</v>
      </c>
      <c r="U375" s="31">
        <f>VLOOKUP($A375,$A$4:$O$28,8,0)*(HLOOKUP(U$351,'2.2.Brecha Efectiva x UdM'!$H$64:$AK$71,5,0))</f>
        <v>0</v>
      </c>
      <c r="V375" s="31">
        <f>VLOOKUP($A375,$A$4:$O$28,8,0)*(HLOOKUP(V$351,'2.2.Brecha Efectiva x UdM'!$H$64:$AK$71,5,0))</f>
        <v>0</v>
      </c>
      <c r="W375" s="31">
        <f>VLOOKUP($A375,$A$4:$O$28,8,0)*(HLOOKUP(W$351,'2.2.Brecha Efectiva x UdM'!$H$64:$AK$71,5,0))</f>
        <v>0</v>
      </c>
      <c r="X375" s="31">
        <f>VLOOKUP($A375,$A$4:$O$28,8,0)*(HLOOKUP(X$351,'2.2.Brecha Efectiva x UdM'!$H$64:$AK$71,5,0))</f>
        <v>0</v>
      </c>
      <c r="Y375" s="31">
        <f>VLOOKUP($A375,$A$4:$O$28,8,0)*(HLOOKUP(Y$351,'2.2.Brecha Efectiva x UdM'!$H$64:$AK$71,5,0))</f>
        <v>0</v>
      </c>
      <c r="Z375" s="31">
        <f>VLOOKUP($A375,$A$4:$O$28,8,0)*(HLOOKUP(Z$351,'2.2.Brecha Efectiva x UdM'!$H$64:$AK$71,5,0))</f>
        <v>0</v>
      </c>
      <c r="AA375" s="31">
        <f>VLOOKUP($A375,$A$4:$O$28,8,0)*(HLOOKUP(AA$351,'2.2.Brecha Efectiva x UdM'!$H$64:$AK$71,5,0))</f>
        <v>0</v>
      </c>
      <c r="AB375" s="31">
        <f>VLOOKUP($A375,$A$4:$O$28,8,0)*(HLOOKUP(AB$351,'2.2.Brecha Efectiva x UdM'!$H$64:$AK$71,5,0))</f>
        <v>0</v>
      </c>
      <c r="AC375" s="31">
        <f>VLOOKUP($A375,$A$4:$O$28,8,0)*(HLOOKUP(AC$351,'2.2.Brecha Efectiva x UdM'!$H$64:$AK$71,5,0))</f>
        <v>0</v>
      </c>
      <c r="AD375" s="31">
        <f>VLOOKUP($A375,$A$4:$O$28,8,0)*(HLOOKUP(AD$351,'2.2.Brecha Efectiva x UdM'!$H$64:$AK$71,5,0))</f>
        <v>0</v>
      </c>
      <c r="AE375" s="31">
        <f>VLOOKUP($A375,$A$4:$O$28,8,0)*(HLOOKUP(AE$351,'2.2.Brecha Efectiva x UdM'!$H$64:$AK$71,5,0))</f>
        <v>0</v>
      </c>
      <c r="AF375" s="31">
        <f>VLOOKUP($A375,$A$4:$O$28,8,0)*(HLOOKUP(AF$351,'2.2.Brecha Efectiva x UdM'!$H$64:$AK$71,5,0))</f>
        <v>0</v>
      </c>
      <c r="AG375" s="31">
        <f>VLOOKUP($A375,$A$4:$O$28,8,0)*(HLOOKUP(AG$351,'2.2.Brecha Efectiva x UdM'!$H$64:$AK$71,5,0))</f>
        <v>0</v>
      </c>
      <c r="AH375" s="63">
        <f t="shared" si="360"/>
        <v>0</v>
      </c>
    </row>
    <row r="376" spans="1:34" hidden="1" x14ac:dyDescent="0.2">
      <c r="A376" s="34" t="str">
        <f>CONCATENATE("Total"," ",B352)</f>
        <v>Total 0</v>
      </c>
      <c r="B376" s="29"/>
      <c r="C376" s="13"/>
      <c r="D376" s="13">
        <f>SUM(D352:D375)</f>
        <v>0</v>
      </c>
      <c r="E376" s="13">
        <f t="shared" ref="E376:AG376" si="361">SUM(E352:E375)</f>
        <v>0</v>
      </c>
      <c r="F376" s="13">
        <f t="shared" si="361"/>
        <v>0</v>
      </c>
      <c r="G376" s="13">
        <f t="shared" si="361"/>
        <v>0</v>
      </c>
      <c r="H376" s="13">
        <f t="shared" si="361"/>
        <v>0</v>
      </c>
      <c r="I376" s="13">
        <f t="shared" si="361"/>
        <v>0</v>
      </c>
      <c r="J376" s="13">
        <f t="shared" si="361"/>
        <v>0</v>
      </c>
      <c r="K376" s="13">
        <f t="shared" si="361"/>
        <v>0</v>
      </c>
      <c r="L376" s="13">
        <f t="shared" si="361"/>
        <v>0</v>
      </c>
      <c r="M376" s="13">
        <f t="shared" si="361"/>
        <v>0</v>
      </c>
      <c r="N376" s="13">
        <f t="shared" si="361"/>
        <v>0</v>
      </c>
      <c r="O376" s="13">
        <f t="shared" si="361"/>
        <v>0</v>
      </c>
      <c r="P376" s="13">
        <f t="shared" si="361"/>
        <v>0</v>
      </c>
      <c r="Q376" s="13">
        <f t="shared" si="361"/>
        <v>0</v>
      </c>
      <c r="R376" s="13">
        <f t="shared" si="361"/>
        <v>0</v>
      </c>
      <c r="S376" s="13">
        <f t="shared" si="361"/>
        <v>0</v>
      </c>
      <c r="T376" s="13">
        <f t="shared" si="361"/>
        <v>0</v>
      </c>
      <c r="U376" s="13">
        <f t="shared" si="361"/>
        <v>0</v>
      </c>
      <c r="V376" s="13">
        <f t="shared" si="361"/>
        <v>0</v>
      </c>
      <c r="W376" s="13">
        <f t="shared" si="361"/>
        <v>0</v>
      </c>
      <c r="X376" s="13">
        <f t="shared" si="361"/>
        <v>0</v>
      </c>
      <c r="Y376" s="13">
        <f t="shared" si="361"/>
        <v>0</v>
      </c>
      <c r="Z376" s="13">
        <f t="shared" si="361"/>
        <v>0</v>
      </c>
      <c r="AA376" s="13">
        <f t="shared" si="361"/>
        <v>0</v>
      </c>
      <c r="AB376" s="13">
        <f t="shared" si="361"/>
        <v>0</v>
      </c>
      <c r="AC376" s="13">
        <f t="shared" si="361"/>
        <v>0</v>
      </c>
      <c r="AD376" s="13">
        <f t="shared" si="361"/>
        <v>0</v>
      </c>
      <c r="AE376" s="13">
        <f t="shared" si="361"/>
        <v>0</v>
      </c>
      <c r="AF376" s="13">
        <f t="shared" si="361"/>
        <v>0</v>
      </c>
      <c r="AG376" s="13">
        <f t="shared" si="361"/>
        <v>0</v>
      </c>
      <c r="AH376" s="13">
        <f t="shared" si="360"/>
        <v>0</v>
      </c>
    </row>
    <row r="377" spans="1:34" hidden="1" x14ac:dyDescent="0.2">
      <c r="A377" s="34" t="str">
        <f>CONCATENATE("Total Acumulado"," ",B352)</f>
        <v>Total Acumulado 0</v>
      </c>
      <c r="B377" s="29"/>
      <c r="C377" s="13"/>
      <c r="D377" s="13">
        <f>D376</f>
        <v>0</v>
      </c>
      <c r="E377" s="13">
        <f>E376+D377</f>
        <v>0</v>
      </c>
      <c r="F377" s="13">
        <f t="shared" ref="F377" si="362">F376+E377</f>
        <v>0</v>
      </c>
      <c r="G377" s="13">
        <f t="shared" ref="G377" si="363">G376+F377</f>
        <v>0</v>
      </c>
      <c r="H377" s="13">
        <f t="shared" ref="H377" si="364">H376+G377</f>
        <v>0</v>
      </c>
      <c r="I377" s="13">
        <f t="shared" ref="I377" si="365">I376+H377</f>
        <v>0</v>
      </c>
      <c r="J377" s="13">
        <f t="shared" ref="J377" si="366">J376+I377</f>
        <v>0</v>
      </c>
      <c r="K377" s="13">
        <f t="shared" ref="K377" si="367">K376+J377</f>
        <v>0</v>
      </c>
      <c r="L377" s="13">
        <f t="shared" ref="L377" si="368">L376+K377</f>
        <v>0</v>
      </c>
      <c r="M377" s="13">
        <f t="shared" ref="M377" si="369">M376+L377</f>
        <v>0</v>
      </c>
      <c r="N377" s="13">
        <f t="shared" ref="N377" si="370">N376+M377</f>
        <v>0</v>
      </c>
      <c r="O377" s="13">
        <f t="shared" ref="O377" si="371">O376+N377</f>
        <v>0</v>
      </c>
      <c r="P377" s="13">
        <f t="shared" ref="P377" si="372">P376+O377</f>
        <v>0</v>
      </c>
      <c r="Q377" s="13">
        <f t="shared" ref="Q377" si="373">Q376+P377</f>
        <v>0</v>
      </c>
      <c r="R377" s="13">
        <f t="shared" ref="R377" si="374">R376+Q377</f>
        <v>0</v>
      </c>
      <c r="S377" s="13">
        <f t="shared" ref="S377" si="375">S376+R377</f>
        <v>0</v>
      </c>
      <c r="T377" s="13">
        <f t="shared" ref="T377" si="376">T376+S377</f>
        <v>0</v>
      </c>
      <c r="U377" s="13">
        <f t="shared" ref="U377" si="377">U376+T377</f>
        <v>0</v>
      </c>
      <c r="V377" s="13">
        <f t="shared" ref="V377" si="378">V376+U377</f>
        <v>0</v>
      </c>
      <c r="W377" s="13">
        <f t="shared" ref="W377" si="379">W376+V377</f>
        <v>0</v>
      </c>
      <c r="X377" s="13">
        <f t="shared" ref="X377" si="380">X376+W377</f>
        <v>0</v>
      </c>
      <c r="Y377" s="13">
        <f t="shared" ref="Y377" si="381">Y376+X377</f>
        <v>0</v>
      </c>
      <c r="Z377" s="13">
        <f t="shared" ref="Z377" si="382">Z376+Y377</f>
        <v>0</v>
      </c>
      <c r="AA377" s="13">
        <f t="shared" ref="AA377" si="383">AA376+Z377</f>
        <v>0</v>
      </c>
      <c r="AB377" s="13">
        <f t="shared" ref="AB377" si="384">AB376+AA377</f>
        <v>0</v>
      </c>
      <c r="AC377" s="13">
        <f t="shared" ref="AC377" si="385">AC376+AB377</f>
        <v>0</v>
      </c>
      <c r="AD377" s="13">
        <f t="shared" ref="AD377" si="386">AD376+AC377</f>
        <v>0</v>
      </c>
      <c r="AE377" s="13">
        <f t="shared" ref="AE377" si="387">AE376+AD377</f>
        <v>0</v>
      </c>
      <c r="AF377" s="13">
        <f t="shared" ref="AF377" si="388">AF376+AE377</f>
        <v>0</v>
      </c>
      <c r="AG377" s="13">
        <f t="shared" ref="AG377" si="389">AG376+AF377</f>
        <v>0</v>
      </c>
    </row>
    <row r="378" spans="1:34" hidden="1" x14ac:dyDescent="0.2"/>
    <row r="379" spans="1:34" hidden="1" x14ac:dyDescent="0.2">
      <c r="A379" s="33" t="s">
        <v>41</v>
      </c>
      <c r="D379" t="b">
        <f>D376='2.2.Brecha Efectiva x UdM'!H68</f>
        <v>1</v>
      </c>
      <c r="E379" t="b">
        <f>E376='2.2.Brecha Efectiva x UdM'!I68</f>
        <v>1</v>
      </c>
      <c r="F379" t="b">
        <f>F376='2.2.Brecha Efectiva x UdM'!J68</f>
        <v>1</v>
      </c>
      <c r="G379" t="b">
        <f>G376='2.2.Brecha Efectiva x UdM'!K68</f>
        <v>1</v>
      </c>
    </row>
    <row r="380" spans="1:34" hidden="1" x14ac:dyDescent="0.2">
      <c r="G380" t="b">
        <f>AG377=SUM('2.2.Brecha Efectiva x UdM'!H68:AK68)</f>
        <v>1</v>
      </c>
    </row>
    <row r="381" spans="1:34" hidden="1" x14ac:dyDescent="0.2"/>
    <row r="382" spans="1:34" hidden="1" x14ac:dyDescent="0.2">
      <c r="A382" s="46" t="s">
        <v>105</v>
      </c>
    </row>
    <row r="383" spans="1:34" hidden="1" x14ac:dyDescent="0.2"/>
    <row r="384" spans="1:34" hidden="1" x14ac:dyDescent="0.2">
      <c r="A384" s="24" t="s">
        <v>18</v>
      </c>
      <c r="B384" s="24" t="s">
        <v>42</v>
      </c>
      <c r="C384" s="24" t="s">
        <v>43</v>
      </c>
      <c r="D384" s="6">
        <v>2024</v>
      </c>
      <c r="E384" s="6">
        <v>2025</v>
      </c>
      <c r="F384" s="6">
        <v>2026</v>
      </c>
      <c r="G384" s="6">
        <v>2027</v>
      </c>
      <c r="H384" s="6">
        <v>2028</v>
      </c>
      <c r="I384" s="6">
        <v>2029</v>
      </c>
      <c r="J384" s="6">
        <v>2030</v>
      </c>
      <c r="K384" s="6">
        <v>2031</v>
      </c>
      <c r="L384" s="6">
        <v>2032</v>
      </c>
      <c r="M384" s="6">
        <v>2033</v>
      </c>
      <c r="N384" s="50">
        <v>2034</v>
      </c>
      <c r="O384" s="50">
        <v>2035</v>
      </c>
      <c r="P384" s="50">
        <v>2036</v>
      </c>
      <c r="Q384" s="50">
        <v>2037</v>
      </c>
      <c r="R384" s="50">
        <v>2038</v>
      </c>
      <c r="S384" s="50">
        <v>2039</v>
      </c>
      <c r="T384" s="50">
        <v>2040</v>
      </c>
      <c r="U384" s="50">
        <v>2041</v>
      </c>
      <c r="V384" s="50">
        <v>2042</v>
      </c>
      <c r="W384" s="50">
        <v>2043</v>
      </c>
      <c r="X384" s="50">
        <v>2044</v>
      </c>
      <c r="Y384" s="50">
        <v>2045</v>
      </c>
      <c r="Z384" s="50">
        <v>2046</v>
      </c>
      <c r="AA384" s="50">
        <v>2047</v>
      </c>
      <c r="AB384" s="50">
        <v>2048</v>
      </c>
      <c r="AC384" s="50">
        <v>2049</v>
      </c>
      <c r="AD384" s="50">
        <v>2050</v>
      </c>
      <c r="AE384" s="50">
        <v>2051</v>
      </c>
      <c r="AF384" s="50">
        <v>2052</v>
      </c>
      <c r="AG384" s="50">
        <v>2053</v>
      </c>
      <c r="AH384" s="6" t="s">
        <v>1</v>
      </c>
    </row>
    <row r="385" spans="1:34" hidden="1" x14ac:dyDescent="0.2">
      <c r="A385" s="25" t="str">
        <f t="shared" ref="A385:A408" si="390">A4</f>
        <v>Buenos Aires</v>
      </c>
      <c r="B385" s="51">
        <f>$K$3</f>
        <v>0</v>
      </c>
      <c r="C385" s="25" t="str">
        <f>CONCATENATE(A385," ",B385)</f>
        <v>Buenos Aires 0</v>
      </c>
      <c r="D385" s="32">
        <f>VLOOKUP($A385,$A$4:$O$28,10,0)*(HLOOKUP(D$384,'2.2.Brecha Efectiva x UdM'!$H$64:$AK$71,6,0))</f>
        <v>0</v>
      </c>
      <c r="E385" s="32">
        <f>VLOOKUP($A385,$A$4:$O$28,10,0)*(HLOOKUP(E$384,'2.2.Brecha Efectiva x UdM'!$H$64:$AK$71,6,0))</f>
        <v>0</v>
      </c>
      <c r="F385" s="32">
        <f>VLOOKUP($A385,$A$4:$O$28,10,0)*(HLOOKUP(F$384,'2.2.Brecha Efectiva x UdM'!$H$64:$AK$71,6,0))</f>
        <v>0</v>
      </c>
      <c r="G385" s="32">
        <f>VLOOKUP($A385,$A$4:$O$28,10,0)*(HLOOKUP(G$384,'2.2.Brecha Efectiva x UdM'!$H$64:$AK$71,6,0))</f>
        <v>0</v>
      </c>
      <c r="H385" s="32">
        <f>VLOOKUP($A385,$A$4:$O$28,10,0)*(HLOOKUP(H$384,'2.2.Brecha Efectiva x UdM'!$H$64:$AK$71,6,0))</f>
        <v>0</v>
      </c>
      <c r="I385" s="32">
        <f>VLOOKUP($A385,$A$4:$O$28,10,0)*(HLOOKUP(I$384,'2.2.Brecha Efectiva x UdM'!$H$64:$AK$71,6,0))</f>
        <v>0</v>
      </c>
      <c r="J385" s="32">
        <f>VLOOKUP($A385,$A$4:$O$28,10,0)*(HLOOKUP(J$384,'2.2.Brecha Efectiva x UdM'!$H$64:$AK$71,6,0))</f>
        <v>0</v>
      </c>
      <c r="K385" s="32">
        <f>VLOOKUP($A385,$A$4:$O$28,10,0)*(HLOOKUP(K$384,'2.2.Brecha Efectiva x UdM'!$H$64:$AK$71,6,0))</f>
        <v>0</v>
      </c>
      <c r="L385" s="32">
        <f>VLOOKUP($A385,$A$4:$O$28,10,0)*(HLOOKUP(L$384,'2.2.Brecha Efectiva x UdM'!$H$64:$AK$71,6,0))</f>
        <v>0</v>
      </c>
      <c r="M385" s="32">
        <f>VLOOKUP($A385,$A$4:$O$28,10,0)*(HLOOKUP(M$384,'2.2.Brecha Efectiva x UdM'!$H$64:$AK$71,6,0))</f>
        <v>0</v>
      </c>
      <c r="N385" s="32">
        <f>VLOOKUP($A385,$A$4:$O$28,10,0)*(HLOOKUP(N$384,'2.2.Brecha Efectiva x UdM'!$H$64:$AK$71,6,0))</f>
        <v>0</v>
      </c>
      <c r="O385" s="32">
        <f>VLOOKUP($A385,$A$4:$O$28,10,0)*(HLOOKUP(O$384,'2.2.Brecha Efectiva x UdM'!$H$64:$AK$71,6,0))</f>
        <v>0</v>
      </c>
      <c r="P385" s="32">
        <f>VLOOKUP($A385,$A$4:$O$28,10,0)*(HLOOKUP(P$384,'2.2.Brecha Efectiva x UdM'!$H$64:$AK$71,6,0))</f>
        <v>0</v>
      </c>
      <c r="Q385" s="32">
        <f>VLOOKUP($A385,$A$4:$O$28,10,0)*(HLOOKUP(Q$384,'2.2.Brecha Efectiva x UdM'!$H$64:$AK$71,6,0))</f>
        <v>0</v>
      </c>
      <c r="R385" s="32">
        <f>VLOOKUP($A385,$A$4:$O$28,10,0)*(HLOOKUP(R$384,'2.2.Brecha Efectiva x UdM'!$H$64:$AK$71,6,0))</f>
        <v>0</v>
      </c>
      <c r="S385" s="32">
        <f>VLOOKUP($A385,$A$4:$O$28,10,0)*(HLOOKUP(S$384,'2.2.Brecha Efectiva x UdM'!$H$64:$AK$71,6,0))</f>
        <v>0</v>
      </c>
      <c r="T385" s="32">
        <f>VLOOKUP($A385,$A$4:$O$28,10,0)*(HLOOKUP(T$384,'2.2.Brecha Efectiva x UdM'!$H$64:$AK$71,6,0))</f>
        <v>0</v>
      </c>
      <c r="U385" s="32">
        <f>VLOOKUP($A385,$A$4:$O$28,10,0)*(HLOOKUP(U$384,'2.2.Brecha Efectiva x UdM'!$H$64:$AK$71,6,0))</f>
        <v>0</v>
      </c>
      <c r="V385" s="32">
        <f>VLOOKUP($A385,$A$4:$O$28,10,0)*(HLOOKUP(V$384,'2.2.Brecha Efectiva x UdM'!$H$64:$AK$71,6,0))</f>
        <v>0</v>
      </c>
      <c r="W385" s="32">
        <f>VLOOKUP($A385,$A$4:$O$28,10,0)*(HLOOKUP(W$384,'2.2.Brecha Efectiva x UdM'!$H$64:$AK$71,6,0))</f>
        <v>0</v>
      </c>
      <c r="X385" s="32">
        <f>VLOOKUP($A385,$A$4:$O$28,10,0)*(HLOOKUP(X$384,'2.2.Brecha Efectiva x UdM'!$H$64:$AK$71,6,0))</f>
        <v>0</v>
      </c>
      <c r="Y385" s="32">
        <f>VLOOKUP($A385,$A$4:$O$28,10,0)*(HLOOKUP(Y$384,'2.2.Brecha Efectiva x UdM'!$H$64:$AK$71,6,0))</f>
        <v>0</v>
      </c>
      <c r="Z385" s="32">
        <f>VLOOKUP($A385,$A$4:$O$28,10,0)*(HLOOKUP(Z$384,'2.2.Brecha Efectiva x UdM'!$H$64:$AK$71,6,0))</f>
        <v>0</v>
      </c>
      <c r="AA385" s="32">
        <f>VLOOKUP($A385,$A$4:$O$28,10,0)*(HLOOKUP(AA$384,'2.2.Brecha Efectiva x UdM'!$H$64:$AK$71,6,0))</f>
        <v>0</v>
      </c>
      <c r="AB385" s="32">
        <f>VLOOKUP($A385,$A$4:$O$28,10,0)*(HLOOKUP(AB$384,'2.2.Brecha Efectiva x UdM'!$H$64:$AK$71,6,0))</f>
        <v>0</v>
      </c>
      <c r="AC385" s="32">
        <f>VLOOKUP($A385,$A$4:$O$28,10,0)*(HLOOKUP(AC$384,'2.2.Brecha Efectiva x UdM'!$H$64:$AK$71,6,0))</f>
        <v>0</v>
      </c>
      <c r="AD385" s="32">
        <f>VLOOKUP($A385,$A$4:$O$28,10,0)*(HLOOKUP(AD$384,'2.2.Brecha Efectiva x UdM'!$H$64:$AK$71,6,0))</f>
        <v>0</v>
      </c>
      <c r="AE385" s="32">
        <f>VLOOKUP($A385,$A$4:$O$28,10,0)*(HLOOKUP(AE$384,'2.2.Brecha Efectiva x UdM'!$H$64:$AK$71,6,0))</f>
        <v>0</v>
      </c>
      <c r="AF385" s="32">
        <f>VLOOKUP($A385,$A$4:$O$28,10,0)*(HLOOKUP(AF$384,'2.2.Brecha Efectiva x UdM'!$H$64:$AK$71,6,0))</f>
        <v>0</v>
      </c>
      <c r="AG385" s="32">
        <f>VLOOKUP($A385,$A$4:$O$28,10,0)*(HLOOKUP(AG$384,'2.2.Brecha Efectiva x UdM'!$H$64:$AK$71,6,0))</f>
        <v>0</v>
      </c>
      <c r="AH385" s="62">
        <f>SUM(D385:AG385)</f>
        <v>0</v>
      </c>
    </row>
    <row r="386" spans="1:34" hidden="1" x14ac:dyDescent="0.2">
      <c r="A386" s="26" t="str">
        <f t="shared" si="390"/>
        <v>CABA</v>
      </c>
      <c r="B386" s="52">
        <f t="shared" ref="B386:B408" si="391">$K$3</f>
        <v>0</v>
      </c>
      <c r="C386" s="26" t="str">
        <f t="shared" ref="C386:C408" si="392">CONCATENATE(A386," ",B386)</f>
        <v>CABA 0</v>
      </c>
      <c r="D386" s="31">
        <f>VLOOKUP($A386,$A$4:$O$28,10,0)*(HLOOKUP(D$384,'2.2.Brecha Efectiva x UdM'!$H$64:$AK$71,6,0))</f>
        <v>0</v>
      </c>
      <c r="E386" s="31">
        <f>VLOOKUP($A386,$A$4:$O$28,10,0)*(HLOOKUP(E$384,'2.2.Brecha Efectiva x UdM'!$H$64:$AK$71,6,0))</f>
        <v>0</v>
      </c>
      <c r="F386" s="31">
        <f>VLOOKUP($A386,$A$4:$O$28,10,0)*(HLOOKUP(F$384,'2.2.Brecha Efectiva x UdM'!$H$64:$AK$71,6,0))</f>
        <v>0</v>
      </c>
      <c r="G386" s="31">
        <f>VLOOKUP($A386,$A$4:$O$28,10,0)*(HLOOKUP(G$384,'2.2.Brecha Efectiva x UdM'!$H$64:$AK$71,6,0))</f>
        <v>0</v>
      </c>
      <c r="H386" s="31">
        <f>VLOOKUP($A386,$A$4:$O$28,10,0)*(HLOOKUP(H$384,'2.2.Brecha Efectiva x UdM'!$H$64:$AK$71,6,0))</f>
        <v>0</v>
      </c>
      <c r="I386" s="31">
        <f>VLOOKUP($A386,$A$4:$O$28,10,0)*(HLOOKUP(I$384,'2.2.Brecha Efectiva x UdM'!$H$64:$AK$71,6,0))</f>
        <v>0</v>
      </c>
      <c r="J386" s="31">
        <f>VLOOKUP($A386,$A$4:$O$28,10,0)*(HLOOKUP(J$384,'2.2.Brecha Efectiva x UdM'!$H$64:$AK$71,6,0))</f>
        <v>0</v>
      </c>
      <c r="K386" s="31">
        <f>VLOOKUP($A386,$A$4:$O$28,10,0)*(HLOOKUP(K$384,'2.2.Brecha Efectiva x UdM'!$H$64:$AK$71,6,0))</f>
        <v>0</v>
      </c>
      <c r="L386" s="31">
        <f>VLOOKUP($A386,$A$4:$O$28,10,0)*(HLOOKUP(L$384,'2.2.Brecha Efectiva x UdM'!$H$64:$AK$71,6,0))</f>
        <v>0</v>
      </c>
      <c r="M386" s="31">
        <f>VLOOKUP($A386,$A$4:$O$28,10,0)*(HLOOKUP(M$384,'2.2.Brecha Efectiva x UdM'!$H$64:$AK$71,6,0))</f>
        <v>0</v>
      </c>
      <c r="N386" s="31">
        <f>VLOOKUP($A386,$A$4:$O$28,10,0)*(HLOOKUP(N$384,'2.2.Brecha Efectiva x UdM'!$H$64:$AK$71,6,0))</f>
        <v>0</v>
      </c>
      <c r="O386" s="31">
        <f>VLOOKUP($A386,$A$4:$O$28,10,0)*(HLOOKUP(O$384,'2.2.Brecha Efectiva x UdM'!$H$64:$AK$71,6,0))</f>
        <v>0</v>
      </c>
      <c r="P386" s="31">
        <f>VLOOKUP($A386,$A$4:$O$28,10,0)*(HLOOKUP(P$384,'2.2.Brecha Efectiva x UdM'!$H$64:$AK$71,6,0))</f>
        <v>0</v>
      </c>
      <c r="Q386" s="31">
        <f>VLOOKUP($A386,$A$4:$O$28,10,0)*(HLOOKUP(Q$384,'2.2.Brecha Efectiva x UdM'!$H$64:$AK$71,6,0))</f>
        <v>0</v>
      </c>
      <c r="R386" s="31">
        <f>VLOOKUP($A386,$A$4:$O$28,10,0)*(HLOOKUP(R$384,'2.2.Brecha Efectiva x UdM'!$H$64:$AK$71,6,0))</f>
        <v>0</v>
      </c>
      <c r="S386" s="31">
        <f>VLOOKUP($A386,$A$4:$O$28,10,0)*(HLOOKUP(S$384,'2.2.Brecha Efectiva x UdM'!$H$64:$AK$71,6,0))</f>
        <v>0</v>
      </c>
      <c r="T386" s="31">
        <f>VLOOKUP($A386,$A$4:$O$28,10,0)*(HLOOKUP(T$384,'2.2.Brecha Efectiva x UdM'!$H$64:$AK$71,6,0))</f>
        <v>0</v>
      </c>
      <c r="U386" s="31">
        <f>VLOOKUP($A386,$A$4:$O$28,10,0)*(HLOOKUP(U$384,'2.2.Brecha Efectiva x UdM'!$H$64:$AK$71,6,0))</f>
        <v>0</v>
      </c>
      <c r="V386" s="31">
        <f>VLOOKUP($A386,$A$4:$O$28,10,0)*(HLOOKUP(V$384,'2.2.Brecha Efectiva x UdM'!$H$64:$AK$71,6,0))</f>
        <v>0</v>
      </c>
      <c r="W386" s="31">
        <f>VLOOKUP($A386,$A$4:$O$28,10,0)*(HLOOKUP(W$384,'2.2.Brecha Efectiva x UdM'!$H$64:$AK$71,6,0))</f>
        <v>0</v>
      </c>
      <c r="X386" s="31">
        <f>VLOOKUP($A386,$A$4:$O$28,10,0)*(HLOOKUP(X$384,'2.2.Brecha Efectiva x UdM'!$H$64:$AK$71,6,0))</f>
        <v>0</v>
      </c>
      <c r="Y386" s="31">
        <f>VLOOKUP($A386,$A$4:$O$28,10,0)*(HLOOKUP(Y$384,'2.2.Brecha Efectiva x UdM'!$H$64:$AK$71,6,0))</f>
        <v>0</v>
      </c>
      <c r="Z386" s="31">
        <f>VLOOKUP($A386,$A$4:$O$28,10,0)*(HLOOKUP(Z$384,'2.2.Brecha Efectiva x UdM'!$H$64:$AK$71,6,0))</f>
        <v>0</v>
      </c>
      <c r="AA386" s="31">
        <f>VLOOKUP($A386,$A$4:$O$28,10,0)*(HLOOKUP(AA$384,'2.2.Brecha Efectiva x UdM'!$H$64:$AK$71,6,0))</f>
        <v>0</v>
      </c>
      <c r="AB386" s="31">
        <f>VLOOKUP($A386,$A$4:$O$28,10,0)*(HLOOKUP(AB$384,'2.2.Brecha Efectiva x UdM'!$H$64:$AK$71,6,0))</f>
        <v>0</v>
      </c>
      <c r="AC386" s="31">
        <f>VLOOKUP($A386,$A$4:$O$28,10,0)*(HLOOKUP(AC$384,'2.2.Brecha Efectiva x UdM'!$H$64:$AK$71,6,0))</f>
        <v>0</v>
      </c>
      <c r="AD386" s="31">
        <f>VLOOKUP($A386,$A$4:$O$28,10,0)*(HLOOKUP(AD$384,'2.2.Brecha Efectiva x UdM'!$H$64:$AK$71,6,0))</f>
        <v>0</v>
      </c>
      <c r="AE386" s="31">
        <f>VLOOKUP($A386,$A$4:$O$28,10,0)*(HLOOKUP(AE$384,'2.2.Brecha Efectiva x UdM'!$H$64:$AK$71,6,0))</f>
        <v>0</v>
      </c>
      <c r="AF386" s="31">
        <f>VLOOKUP($A386,$A$4:$O$28,10,0)*(HLOOKUP(AF$384,'2.2.Brecha Efectiva x UdM'!$H$64:$AK$71,6,0))</f>
        <v>0</v>
      </c>
      <c r="AG386" s="31">
        <f>VLOOKUP($A386,$A$4:$O$28,10,0)*(HLOOKUP(AG$384,'2.2.Brecha Efectiva x UdM'!$H$64:$AK$71,6,0))</f>
        <v>0</v>
      </c>
      <c r="AH386" s="63">
        <f>SUM(D386:AG386)</f>
        <v>0</v>
      </c>
    </row>
    <row r="387" spans="1:34" hidden="1" x14ac:dyDescent="0.2">
      <c r="A387" s="25" t="str">
        <f t="shared" si="390"/>
        <v>Catamarca</v>
      </c>
      <c r="B387" s="51">
        <f t="shared" si="391"/>
        <v>0</v>
      </c>
      <c r="C387" s="25" t="str">
        <f t="shared" si="392"/>
        <v>Catamarca 0</v>
      </c>
      <c r="D387" s="32">
        <f>VLOOKUP($A387,$A$4:$O$28,10,0)*(HLOOKUP(D$384,'2.2.Brecha Efectiva x UdM'!$H$64:$AK$71,6,0))</f>
        <v>0</v>
      </c>
      <c r="E387" s="32">
        <f>VLOOKUP($A387,$A$4:$O$28,10,0)*(HLOOKUP(E$384,'2.2.Brecha Efectiva x UdM'!$H$64:$AK$71,6,0))</f>
        <v>0</v>
      </c>
      <c r="F387" s="32">
        <f>VLOOKUP($A387,$A$4:$O$28,10,0)*(HLOOKUP(F$384,'2.2.Brecha Efectiva x UdM'!$H$64:$AK$71,6,0))</f>
        <v>0</v>
      </c>
      <c r="G387" s="32">
        <f>VLOOKUP($A387,$A$4:$O$28,10,0)*(HLOOKUP(G$384,'2.2.Brecha Efectiva x UdM'!$H$64:$AK$71,6,0))</f>
        <v>0</v>
      </c>
      <c r="H387" s="32">
        <f>VLOOKUP($A387,$A$4:$O$28,10,0)*(HLOOKUP(H$384,'2.2.Brecha Efectiva x UdM'!$H$64:$AK$71,6,0))</f>
        <v>0</v>
      </c>
      <c r="I387" s="32">
        <f>VLOOKUP($A387,$A$4:$O$28,10,0)*(HLOOKUP(I$384,'2.2.Brecha Efectiva x UdM'!$H$64:$AK$71,6,0))</f>
        <v>0</v>
      </c>
      <c r="J387" s="32">
        <f>VLOOKUP($A387,$A$4:$O$28,10,0)*(HLOOKUP(J$384,'2.2.Brecha Efectiva x UdM'!$H$64:$AK$71,6,0))</f>
        <v>0</v>
      </c>
      <c r="K387" s="32">
        <f>VLOOKUP($A387,$A$4:$O$28,10,0)*(HLOOKUP(K$384,'2.2.Brecha Efectiva x UdM'!$H$64:$AK$71,6,0))</f>
        <v>0</v>
      </c>
      <c r="L387" s="32">
        <f>VLOOKUP($A387,$A$4:$O$28,10,0)*(HLOOKUP(L$384,'2.2.Brecha Efectiva x UdM'!$H$64:$AK$71,6,0))</f>
        <v>0</v>
      </c>
      <c r="M387" s="32">
        <f>VLOOKUP($A387,$A$4:$O$28,10,0)*(HLOOKUP(M$384,'2.2.Brecha Efectiva x UdM'!$H$64:$AK$71,6,0))</f>
        <v>0</v>
      </c>
      <c r="N387" s="32">
        <f>VLOOKUP($A387,$A$4:$O$28,10,0)*(HLOOKUP(N$384,'2.2.Brecha Efectiva x UdM'!$H$64:$AK$71,6,0))</f>
        <v>0</v>
      </c>
      <c r="O387" s="32">
        <f>VLOOKUP($A387,$A$4:$O$28,10,0)*(HLOOKUP(O$384,'2.2.Brecha Efectiva x UdM'!$H$64:$AK$71,6,0))</f>
        <v>0</v>
      </c>
      <c r="P387" s="32">
        <f>VLOOKUP($A387,$A$4:$O$28,10,0)*(HLOOKUP(P$384,'2.2.Brecha Efectiva x UdM'!$H$64:$AK$71,6,0))</f>
        <v>0</v>
      </c>
      <c r="Q387" s="32">
        <f>VLOOKUP($A387,$A$4:$O$28,10,0)*(HLOOKUP(Q$384,'2.2.Brecha Efectiva x UdM'!$H$64:$AK$71,6,0))</f>
        <v>0</v>
      </c>
      <c r="R387" s="32">
        <f>VLOOKUP($A387,$A$4:$O$28,10,0)*(HLOOKUP(R$384,'2.2.Brecha Efectiva x UdM'!$H$64:$AK$71,6,0))</f>
        <v>0</v>
      </c>
      <c r="S387" s="32">
        <f>VLOOKUP($A387,$A$4:$O$28,10,0)*(HLOOKUP(S$384,'2.2.Brecha Efectiva x UdM'!$H$64:$AK$71,6,0))</f>
        <v>0</v>
      </c>
      <c r="T387" s="32">
        <f>VLOOKUP($A387,$A$4:$O$28,10,0)*(HLOOKUP(T$384,'2.2.Brecha Efectiva x UdM'!$H$64:$AK$71,6,0))</f>
        <v>0</v>
      </c>
      <c r="U387" s="32">
        <f>VLOOKUP($A387,$A$4:$O$28,10,0)*(HLOOKUP(U$384,'2.2.Brecha Efectiva x UdM'!$H$64:$AK$71,6,0))</f>
        <v>0</v>
      </c>
      <c r="V387" s="32">
        <f>VLOOKUP($A387,$A$4:$O$28,10,0)*(HLOOKUP(V$384,'2.2.Brecha Efectiva x UdM'!$H$64:$AK$71,6,0))</f>
        <v>0</v>
      </c>
      <c r="W387" s="32">
        <f>VLOOKUP($A387,$A$4:$O$28,10,0)*(HLOOKUP(W$384,'2.2.Brecha Efectiva x UdM'!$H$64:$AK$71,6,0))</f>
        <v>0</v>
      </c>
      <c r="X387" s="32">
        <f>VLOOKUP($A387,$A$4:$O$28,10,0)*(HLOOKUP(X$384,'2.2.Brecha Efectiva x UdM'!$H$64:$AK$71,6,0))</f>
        <v>0</v>
      </c>
      <c r="Y387" s="32">
        <f>VLOOKUP($A387,$A$4:$O$28,10,0)*(HLOOKUP(Y$384,'2.2.Brecha Efectiva x UdM'!$H$64:$AK$71,6,0))</f>
        <v>0</v>
      </c>
      <c r="Z387" s="32">
        <f>VLOOKUP($A387,$A$4:$O$28,10,0)*(HLOOKUP(Z$384,'2.2.Brecha Efectiva x UdM'!$H$64:$AK$71,6,0))</f>
        <v>0</v>
      </c>
      <c r="AA387" s="32">
        <f>VLOOKUP($A387,$A$4:$O$28,10,0)*(HLOOKUP(AA$384,'2.2.Brecha Efectiva x UdM'!$H$64:$AK$71,6,0))</f>
        <v>0</v>
      </c>
      <c r="AB387" s="32">
        <f>VLOOKUP($A387,$A$4:$O$28,10,0)*(HLOOKUP(AB$384,'2.2.Brecha Efectiva x UdM'!$H$64:$AK$71,6,0))</f>
        <v>0</v>
      </c>
      <c r="AC387" s="32">
        <f>VLOOKUP($A387,$A$4:$O$28,10,0)*(HLOOKUP(AC$384,'2.2.Brecha Efectiva x UdM'!$H$64:$AK$71,6,0))</f>
        <v>0</v>
      </c>
      <c r="AD387" s="32">
        <f>VLOOKUP($A387,$A$4:$O$28,10,0)*(HLOOKUP(AD$384,'2.2.Brecha Efectiva x UdM'!$H$64:$AK$71,6,0))</f>
        <v>0</v>
      </c>
      <c r="AE387" s="32">
        <f>VLOOKUP($A387,$A$4:$O$28,10,0)*(HLOOKUP(AE$384,'2.2.Brecha Efectiva x UdM'!$H$64:$AK$71,6,0))</f>
        <v>0</v>
      </c>
      <c r="AF387" s="32">
        <f>VLOOKUP($A387,$A$4:$O$28,10,0)*(HLOOKUP(AF$384,'2.2.Brecha Efectiva x UdM'!$H$64:$AK$71,6,0))</f>
        <v>0</v>
      </c>
      <c r="AG387" s="32">
        <f>VLOOKUP($A387,$A$4:$O$28,10,0)*(HLOOKUP(AG$384,'2.2.Brecha Efectiva x UdM'!$H$64:$AK$71,6,0))</f>
        <v>0</v>
      </c>
      <c r="AH387" s="62">
        <f t="shared" ref="AH387:AH409" si="393">SUM(D387:AG387)</f>
        <v>0</v>
      </c>
    </row>
    <row r="388" spans="1:34" hidden="1" x14ac:dyDescent="0.2">
      <c r="A388" s="26" t="str">
        <f t="shared" si="390"/>
        <v>Chaco</v>
      </c>
      <c r="B388" s="52">
        <f t="shared" si="391"/>
        <v>0</v>
      </c>
      <c r="C388" s="26" t="str">
        <f t="shared" si="392"/>
        <v>Chaco 0</v>
      </c>
      <c r="D388" s="31">
        <f>VLOOKUP($A388,$A$4:$O$28,10,0)*(HLOOKUP(D$384,'2.2.Brecha Efectiva x UdM'!$H$64:$AK$71,6,0))</f>
        <v>0</v>
      </c>
      <c r="E388" s="31">
        <f>VLOOKUP($A388,$A$4:$O$28,10,0)*(HLOOKUP(E$384,'2.2.Brecha Efectiva x UdM'!$H$64:$AK$71,6,0))</f>
        <v>0</v>
      </c>
      <c r="F388" s="31">
        <f>VLOOKUP($A388,$A$4:$O$28,10,0)*(HLOOKUP(F$384,'2.2.Brecha Efectiva x UdM'!$H$64:$AK$71,6,0))</f>
        <v>0</v>
      </c>
      <c r="G388" s="31">
        <f>VLOOKUP($A388,$A$4:$O$28,10,0)*(HLOOKUP(G$384,'2.2.Brecha Efectiva x UdM'!$H$64:$AK$71,6,0))</f>
        <v>0</v>
      </c>
      <c r="H388" s="31">
        <f>VLOOKUP($A388,$A$4:$O$28,10,0)*(HLOOKUP(H$384,'2.2.Brecha Efectiva x UdM'!$H$64:$AK$71,6,0))</f>
        <v>0</v>
      </c>
      <c r="I388" s="31">
        <f>VLOOKUP($A388,$A$4:$O$28,10,0)*(HLOOKUP(I$384,'2.2.Brecha Efectiva x UdM'!$H$64:$AK$71,6,0))</f>
        <v>0</v>
      </c>
      <c r="J388" s="31">
        <f>VLOOKUP($A388,$A$4:$O$28,10,0)*(HLOOKUP(J$384,'2.2.Brecha Efectiva x UdM'!$H$64:$AK$71,6,0))</f>
        <v>0</v>
      </c>
      <c r="K388" s="31">
        <f>VLOOKUP($A388,$A$4:$O$28,10,0)*(HLOOKUP(K$384,'2.2.Brecha Efectiva x UdM'!$H$64:$AK$71,6,0))</f>
        <v>0</v>
      </c>
      <c r="L388" s="31">
        <f>VLOOKUP($A388,$A$4:$O$28,10,0)*(HLOOKUP(L$384,'2.2.Brecha Efectiva x UdM'!$H$64:$AK$71,6,0))</f>
        <v>0</v>
      </c>
      <c r="M388" s="31">
        <f>VLOOKUP($A388,$A$4:$O$28,10,0)*(HLOOKUP(M$384,'2.2.Brecha Efectiva x UdM'!$H$64:$AK$71,6,0))</f>
        <v>0</v>
      </c>
      <c r="N388" s="31">
        <f>VLOOKUP($A388,$A$4:$O$28,10,0)*(HLOOKUP(N$384,'2.2.Brecha Efectiva x UdM'!$H$64:$AK$71,6,0))</f>
        <v>0</v>
      </c>
      <c r="O388" s="31">
        <f>VLOOKUP($A388,$A$4:$O$28,10,0)*(HLOOKUP(O$384,'2.2.Brecha Efectiva x UdM'!$H$64:$AK$71,6,0))</f>
        <v>0</v>
      </c>
      <c r="P388" s="31">
        <f>VLOOKUP($A388,$A$4:$O$28,10,0)*(HLOOKUP(P$384,'2.2.Brecha Efectiva x UdM'!$H$64:$AK$71,6,0))</f>
        <v>0</v>
      </c>
      <c r="Q388" s="31">
        <f>VLOOKUP($A388,$A$4:$O$28,10,0)*(HLOOKUP(Q$384,'2.2.Brecha Efectiva x UdM'!$H$64:$AK$71,6,0))</f>
        <v>0</v>
      </c>
      <c r="R388" s="31">
        <f>VLOOKUP($A388,$A$4:$O$28,10,0)*(HLOOKUP(R$384,'2.2.Brecha Efectiva x UdM'!$H$64:$AK$71,6,0))</f>
        <v>0</v>
      </c>
      <c r="S388" s="31">
        <f>VLOOKUP($A388,$A$4:$O$28,10,0)*(HLOOKUP(S$384,'2.2.Brecha Efectiva x UdM'!$H$64:$AK$71,6,0))</f>
        <v>0</v>
      </c>
      <c r="T388" s="31">
        <f>VLOOKUP($A388,$A$4:$O$28,10,0)*(HLOOKUP(T$384,'2.2.Brecha Efectiva x UdM'!$H$64:$AK$71,6,0))</f>
        <v>0</v>
      </c>
      <c r="U388" s="31">
        <f>VLOOKUP($A388,$A$4:$O$28,10,0)*(HLOOKUP(U$384,'2.2.Brecha Efectiva x UdM'!$H$64:$AK$71,6,0))</f>
        <v>0</v>
      </c>
      <c r="V388" s="31">
        <f>VLOOKUP($A388,$A$4:$O$28,10,0)*(HLOOKUP(V$384,'2.2.Brecha Efectiva x UdM'!$H$64:$AK$71,6,0))</f>
        <v>0</v>
      </c>
      <c r="W388" s="31">
        <f>VLOOKUP($A388,$A$4:$O$28,10,0)*(HLOOKUP(W$384,'2.2.Brecha Efectiva x UdM'!$H$64:$AK$71,6,0))</f>
        <v>0</v>
      </c>
      <c r="X388" s="31">
        <f>VLOOKUP($A388,$A$4:$O$28,10,0)*(HLOOKUP(X$384,'2.2.Brecha Efectiva x UdM'!$H$64:$AK$71,6,0))</f>
        <v>0</v>
      </c>
      <c r="Y388" s="31">
        <f>VLOOKUP($A388,$A$4:$O$28,10,0)*(HLOOKUP(Y$384,'2.2.Brecha Efectiva x UdM'!$H$64:$AK$71,6,0))</f>
        <v>0</v>
      </c>
      <c r="Z388" s="31">
        <f>VLOOKUP($A388,$A$4:$O$28,10,0)*(HLOOKUP(Z$384,'2.2.Brecha Efectiva x UdM'!$H$64:$AK$71,6,0))</f>
        <v>0</v>
      </c>
      <c r="AA388" s="31">
        <f>VLOOKUP($A388,$A$4:$O$28,10,0)*(HLOOKUP(AA$384,'2.2.Brecha Efectiva x UdM'!$H$64:$AK$71,6,0))</f>
        <v>0</v>
      </c>
      <c r="AB388" s="31">
        <f>VLOOKUP($A388,$A$4:$O$28,10,0)*(HLOOKUP(AB$384,'2.2.Brecha Efectiva x UdM'!$H$64:$AK$71,6,0))</f>
        <v>0</v>
      </c>
      <c r="AC388" s="31">
        <f>VLOOKUP($A388,$A$4:$O$28,10,0)*(HLOOKUP(AC$384,'2.2.Brecha Efectiva x UdM'!$H$64:$AK$71,6,0))</f>
        <v>0</v>
      </c>
      <c r="AD388" s="31">
        <f>VLOOKUP($A388,$A$4:$O$28,10,0)*(HLOOKUP(AD$384,'2.2.Brecha Efectiva x UdM'!$H$64:$AK$71,6,0))</f>
        <v>0</v>
      </c>
      <c r="AE388" s="31">
        <f>VLOOKUP($A388,$A$4:$O$28,10,0)*(HLOOKUP(AE$384,'2.2.Brecha Efectiva x UdM'!$H$64:$AK$71,6,0))</f>
        <v>0</v>
      </c>
      <c r="AF388" s="31">
        <f>VLOOKUP($A388,$A$4:$O$28,10,0)*(HLOOKUP(AF$384,'2.2.Brecha Efectiva x UdM'!$H$64:$AK$71,6,0))</f>
        <v>0</v>
      </c>
      <c r="AG388" s="31">
        <f>VLOOKUP($A388,$A$4:$O$28,10,0)*(HLOOKUP(AG$384,'2.2.Brecha Efectiva x UdM'!$H$64:$AK$71,6,0))</f>
        <v>0</v>
      </c>
      <c r="AH388" s="63">
        <f t="shared" si="393"/>
        <v>0</v>
      </c>
    </row>
    <row r="389" spans="1:34" hidden="1" x14ac:dyDescent="0.2">
      <c r="A389" s="25" t="str">
        <f t="shared" si="390"/>
        <v>Chubut</v>
      </c>
      <c r="B389" s="51">
        <f t="shared" si="391"/>
        <v>0</v>
      </c>
      <c r="C389" s="25" t="str">
        <f t="shared" si="392"/>
        <v>Chubut 0</v>
      </c>
      <c r="D389" s="32">
        <f>VLOOKUP($A389,$A$4:$O$28,10,0)*(HLOOKUP(D$384,'2.2.Brecha Efectiva x UdM'!$H$64:$AK$71,6,0))</f>
        <v>0</v>
      </c>
      <c r="E389" s="32">
        <f>VLOOKUP($A389,$A$4:$O$28,10,0)*(HLOOKUP(E$384,'2.2.Brecha Efectiva x UdM'!$H$64:$AK$71,6,0))</f>
        <v>0</v>
      </c>
      <c r="F389" s="32">
        <f>VLOOKUP($A389,$A$4:$O$28,10,0)*(HLOOKUP(F$384,'2.2.Brecha Efectiva x UdM'!$H$64:$AK$71,6,0))</f>
        <v>0</v>
      </c>
      <c r="G389" s="32">
        <f>VLOOKUP($A389,$A$4:$O$28,10,0)*(HLOOKUP(G$384,'2.2.Brecha Efectiva x UdM'!$H$64:$AK$71,6,0))</f>
        <v>0</v>
      </c>
      <c r="H389" s="32">
        <f>VLOOKUP($A389,$A$4:$O$28,10,0)*(HLOOKUP(H$384,'2.2.Brecha Efectiva x UdM'!$H$64:$AK$71,6,0))</f>
        <v>0</v>
      </c>
      <c r="I389" s="32">
        <f>VLOOKUP($A389,$A$4:$O$28,10,0)*(HLOOKUP(I$384,'2.2.Brecha Efectiva x UdM'!$H$64:$AK$71,6,0))</f>
        <v>0</v>
      </c>
      <c r="J389" s="32">
        <f>VLOOKUP($A389,$A$4:$O$28,10,0)*(HLOOKUP(J$384,'2.2.Brecha Efectiva x UdM'!$H$64:$AK$71,6,0))</f>
        <v>0</v>
      </c>
      <c r="K389" s="32">
        <f>VLOOKUP($A389,$A$4:$O$28,10,0)*(HLOOKUP(K$384,'2.2.Brecha Efectiva x UdM'!$H$64:$AK$71,6,0))</f>
        <v>0</v>
      </c>
      <c r="L389" s="32">
        <f>VLOOKUP($A389,$A$4:$O$28,10,0)*(HLOOKUP(L$384,'2.2.Brecha Efectiva x UdM'!$H$64:$AK$71,6,0))</f>
        <v>0</v>
      </c>
      <c r="M389" s="32">
        <f>VLOOKUP($A389,$A$4:$O$28,10,0)*(HLOOKUP(M$384,'2.2.Brecha Efectiva x UdM'!$H$64:$AK$71,6,0))</f>
        <v>0</v>
      </c>
      <c r="N389" s="32">
        <f>VLOOKUP($A389,$A$4:$O$28,10,0)*(HLOOKUP(N$384,'2.2.Brecha Efectiva x UdM'!$H$64:$AK$71,6,0))</f>
        <v>0</v>
      </c>
      <c r="O389" s="32">
        <f>VLOOKUP($A389,$A$4:$O$28,10,0)*(HLOOKUP(O$384,'2.2.Brecha Efectiva x UdM'!$H$64:$AK$71,6,0))</f>
        <v>0</v>
      </c>
      <c r="P389" s="32">
        <f>VLOOKUP($A389,$A$4:$O$28,10,0)*(HLOOKUP(P$384,'2.2.Brecha Efectiva x UdM'!$H$64:$AK$71,6,0))</f>
        <v>0</v>
      </c>
      <c r="Q389" s="32">
        <f>VLOOKUP($A389,$A$4:$O$28,10,0)*(HLOOKUP(Q$384,'2.2.Brecha Efectiva x UdM'!$H$64:$AK$71,6,0))</f>
        <v>0</v>
      </c>
      <c r="R389" s="32">
        <f>VLOOKUP($A389,$A$4:$O$28,10,0)*(HLOOKUP(R$384,'2.2.Brecha Efectiva x UdM'!$H$64:$AK$71,6,0))</f>
        <v>0</v>
      </c>
      <c r="S389" s="32">
        <f>VLOOKUP($A389,$A$4:$O$28,10,0)*(HLOOKUP(S$384,'2.2.Brecha Efectiva x UdM'!$H$64:$AK$71,6,0))</f>
        <v>0</v>
      </c>
      <c r="T389" s="32">
        <f>VLOOKUP($A389,$A$4:$O$28,10,0)*(HLOOKUP(T$384,'2.2.Brecha Efectiva x UdM'!$H$64:$AK$71,6,0))</f>
        <v>0</v>
      </c>
      <c r="U389" s="32">
        <f>VLOOKUP($A389,$A$4:$O$28,10,0)*(HLOOKUP(U$384,'2.2.Brecha Efectiva x UdM'!$H$64:$AK$71,6,0))</f>
        <v>0</v>
      </c>
      <c r="V389" s="32">
        <f>VLOOKUP($A389,$A$4:$O$28,10,0)*(HLOOKUP(V$384,'2.2.Brecha Efectiva x UdM'!$H$64:$AK$71,6,0))</f>
        <v>0</v>
      </c>
      <c r="W389" s="32">
        <f>VLOOKUP($A389,$A$4:$O$28,10,0)*(HLOOKUP(W$384,'2.2.Brecha Efectiva x UdM'!$H$64:$AK$71,6,0))</f>
        <v>0</v>
      </c>
      <c r="X389" s="32">
        <f>VLOOKUP($A389,$A$4:$O$28,10,0)*(HLOOKUP(X$384,'2.2.Brecha Efectiva x UdM'!$H$64:$AK$71,6,0))</f>
        <v>0</v>
      </c>
      <c r="Y389" s="32">
        <f>VLOOKUP($A389,$A$4:$O$28,10,0)*(HLOOKUP(Y$384,'2.2.Brecha Efectiva x UdM'!$H$64:$AK$71,6,0))</f>
        <v>0</v>
      </c>
      <c r="Z389" s="32">
        <f>VLOOKUP($A389,$A$4:$O$28,10,0)*(HLOOKUP(Z$384,'2.2.Brecha Efectiva x UdM'!$H$64:$AK$71,6,0))</f>
        <v>0</v>
      </c>
      <c r="AA389" s="32">
        <f>VLOOKUP($A389,$A$4:$O$28,10,0)*(HLOOKUP(AA$384,'2.2.Brecha Efectiva x UdM'!$H$64:$AK$71,6,0))</f>
        <v>0</v>
      </c>
      <c r="AB389" s="32">
        <f>VLOOKUP($A389,$A$4:$O$28,10,0)*(HLOOKUP(AB$384,'2.2.Brecha Efectiva x UdM'!$H$64:$AK$71,6,0))</f>
        <v>0</v>
      </c>
      <c r="AC389" s="32">
        <f>VLOOKUP($A389,$A$4:$O$28,10,0)*(HLOOKUP(AC$384,'2.2.Brecha Efectiva x UdM'!$H$64:$AK$71,6,0))</f>
        <v>0</v>
      </c>
      <c r="AD389" s="32">
        <f>VLOOKUP($A389,$A$4:$O$28,10,0)*(HLOOKUP(AD$384,'2.2.Brecha Efectiva x UdM'!$H$64:$AK$71,6,0))</f>
        <v>0</v>
      </c>
      <c r="AE389" s="32">
        <f>VLOOKUP($A389,$A$4:$O$28,10,0)*(HLOOKUP(AE$384,'2.2.Brecha Efectiva x UdM'!$H$64:$AK$71,6,0))</f>
        <v>0</v>
      </c>
      <c r="AF389" s="32">
        <f>VLOOKUP($A389,$A$4:$O$28,10,0)*(HLOOKUP(AF$384,'2.2.Brecha Efectiva x UdM'!$H$64:$AK$71,6,0))</f>
        <v>0</v>
      </c>
      <c r="AG389" s="32">
        <f>VLOOKUP($A389,$A$4:$O$28,10,0)*(HLOOKUP(AG$384,'2.2.Brecha Efectiva x UdM'!$H$64:$AK$71,6,0))</f>
        <v>0</v>
      </c>
      <c r="AH389" s="62">
        <f t="shared" si="393"/>
        <v>0</v>
      </c>
    </row>
    <row r="390" spans="1:34" hidden="1" x14ac:dyDescent="0.2">
      <c r="A390" s="26" t="str">
        <f t="shared" si="390"/>
        <v>Córdoba</v>
      </c>
      <c r="B390" s="52">
        <f t="shared" si="391"/>
        <v>0</v>
      </c>
      <c r="C390" s="26" t="str">
        <f t="shared" si="392"/>
        <v>Córdoba 0</v>
      </c>
      <c r="D390" s="31">
        <f>VLOOKUP($A390,$A$4:$O$28,10,0)*(HLOOKUP(D$384,'2.2.Brecha Efectiva x UdM'!$H$64:$AK$71,6,0))</f>
        <v>0</v>
      </c>
      <c r="E390" s="31">
        <f>VLOOKUP($A390,$A$4:$O$28,10,0)*(HLOOKUP(E$384,'2.2.Brecha Efectiva x UdM'!$H$64:$AK$71,6,0))</f>
        <v>0</v>
      </c>
      <c r="F390" s="31">
        <f>VLOOKUP($A390,$A$4:$O$28,10,0)*(HLOOKUP(F$384,'2.2.Brecha Efectiva x UdM'!$H$64:$AK$71,6,0))</f>
        <v>0</v>
      </c>
      <c r="G390" s="31">
        <f>VLOOKUP($A390,$A$4:$O$28,10,0)*(HLOOKUP(G$384,'2.2.Brecha Efectiva x UdM'!$H$64:$AK$71,6,0))</f>
        <v>0</v>
      </c>
      <c r="H390" s="31">
        <f>VLOOKUP($A390,$A$4:$O$28,10,0)*(HLOOKUP(H$384,'2.2.Brecha Efectiva x UdM'!$H$64:$AK$71,6,0))</f>
        <v>0</v>
      </c>
      <c r="I390" s="31">
        <f>VLOOKUP($A390,$A$4:$O$28,10,0)*(HLOOKUP(I$384,'2.2.Brecha Efectiva x UdM'!$H$64:$AK$71,6,0))</f>
        <v>0</v>
      </c>
      <c r="J390" s="31">
        <f>VLOOKUP($A390,$A$4:$O$28,10,0)*(HLOOKUP(J$384,'2.2.Brecha Efectiva x UdM'!$H$64:$AK$71,6,0))</f>
        <v>0</v>
      </c>
      <c r="K390" s="31">
        <f>VLOOKUP($A390,$A$4:$O$28,10,0)*(HLOOKUP(K$384,'2.2.Brecha Efectiva x UdM'!$H$64:$AK$71,6,0))</f>
        <v>0</v>
      </c>
      <c r="L390" s="31">
        <f>VLOOKUP($A390,$A$4:$O$28,10,0)*(HLOOKUP(L$384,'2.2.Brecha Efectiva x UdM'!$H$64:$AK$71,6,0))</f>
        <v>0</v>
      </c>
      <c r="M390" s="31">
        <f>VLOOKUP($A390,$A$4:$O$28,10,0)*(HLOOKUP(M$384,'2.2.Brecha Efectiva x UdM'!$H$64:$AK$71,6,0))</f>
        <v>0</v>
      </c>
      <c r="N390" s="31">
        <f>VLOOKUP($A390,$A$4:$O$28,10,0)*(HLOOKUP(N$384,'2.2.Brecha Efectiva x UdM'!$H$64:$AK$71,6,0))</f>
        <v>0</v>
      </c>
      <c r="O390" s="31">
        <f>VLOOKUP($A390,$A$4:$O$28,10,0)*(HLOOKUP(O$384,'2.2.Brecha Efectiva x UdM'!$H$64:$AK$71,6,0))</f>
        <v>0</v>
      </c>
      <c r="P390" s="31">
        <f>VLOOKUP($A390,$A$4:$O$28,10,0)*(HLOOKUP(P$384,'2.2.Brecha Efectiva x UdM'!$H$64:$AK$71,6,0))</f>
        <v>0</v>
      </c>
      <c r="Q390" s="31">
        <f>VLOOKUP($A390,$A$4:$O$28,10,0)*(HLOOKUP(Q$384,'2.2.Brecha Efectiva x UdM'!$H$64:$AK$71,6,0))</f>
        <v>0</v>
      </c>
      <c r="R390" s="31">
        <f>VLOOKUP($A390,$A$4:$O$28,10,0)*(HLOOKUP(R$384,'2.2.Brecha Efectiva x UdM'!$H$64:$AK$71,6,0))</f>
        <v>0</v>
      </c>
      <c r="S390" s="31">
        <f>VLOOKUP($A390,$A$4:$O$28,10,0)*(HLOOKUP(S$384,'2.2.Brecha Efectiva x UdM'!$H$64:$AK$71,6,0))</f>
        <v>0</v>
      </c>
      <c r="T390" s="31">
        <f>VLOOKUP($A390,$A$4:$O$28,10,0)*(HLOOKUP(T$384,'2.2.Brecha Efectiva x UdM'!$H$64:$AK$71,6,0))</f>
        <v>0</v>
      </c>
      <c r="U390" s="31">
        <f>VLOOKUP($A390,$A$4:$O$28,10,0)*(HLOOKUP(U$384,'2.2.Brecha Efectiva x UdM'!$H$64:$AK$71,6,0))</f>
        <v>0</v>
      </c>
      <c r="V390" s="31">
        <f>VLOOKUP($A390,$A$4:$O$28,10,0)*(HLOOKUP(V$384,'2.2.Brecha Efectiva x UdM'!$H$64:$AK$71,6,0))</f>
        <v>0</v>
      </c>
      <c r="W390" s="31">
        <f>VLOOKUP($A390,$A$4:$O$28,10,0)*(HLOOKUP(W$384,'2.2.Brecha Efectiva x UdM'!$H$64:$AK$71,6,0))</f>
        <v>0</v>
      </c>
      <c r="X390" s="31">
        <f>VLOOKUP($A390,$A$4:$O$28,10,0)*(HLOOKUP(X$384,'2.2.Brecha Efectiva x UdM'!$H$64:$AK$71,6,0))</f>
        <v>0</v>
      </c>
      <c r="Y390" s="31">
        <f>VLOOKUP($A390,$A$4:$O$28,10,0)*(HLOOKUP(Y$384,'2.2.Brecha Efectiva x UdM'!$H$64:$AK$71,6,0))</f>
        <v>0</v>
      </c>
      <c r="Z390" s="31">
        <f>VLOOKUP($A390,$A$4:$O$28,10,0)*(HLOOKUP(Z$384,'2.2.Brecha Efectiva x UdM'!$H$64:$AK$71,6,0))</f>
        <v>0</v>
      </c>
      <c r="AA390" s="31">
        <f>VLOOKUP($A390,$A$4:$O$28,10,0)*(HLOOKUP(AA$384,'2.2.Brecha Efectiva x UdM'!$H$64:$AK$71,6,0))</f>
        <v>0</v>
      </c>
      <c r="AB390" s="31">
        <f>VLOOKUP($A390,$A$4:$O$28,10,0)*(HLOOKUP(AB$384,'2.2.Brecha Efectiva x UdM'!$H$64:$AK$71,6,0))</f>
        <v>0</v>
      </c>
      <c r="AC390" s="31">
        <f>VLOOKUP($A390,$A$4:$O$28,10,0)*(HLOOKUP(AC$384,'2.2.Brecha Efectiva x UdM'!$H$64:$AK$71,6,0))</f>
        <v>0</v>
      </c>
      <c r="AD390" s="31">
        <f>VLOOKUP($A390,$A$4:$O$28,10,0)*(HLOOKUP(AD$384,'2.2.Brecha Efectiva x UdM'!$H$64:$AK$71,6,0))</f>
        <v>0</v>
      </c>
      <c r="AE390" s="31">
        <f>VLOOKUP($A390,$A$4:$O$28,10,0)*(HLOOKUP(AE$384,'2.2.Brecha Efectiva x UdM'!$H$64:$AK$71,6,0))</f>
        <v>0</v>
      </c>
      <c r="AF390" s="31">
        <f>VLOOKUP($A390,$A$4:$O$28,10,0)*(HLOOKUP(AF$384,'2.2.Brecha Efectiva x UdM'!$H$64:$AK$71,6,0))</f>
        <v>0</v>
      </c>
      <c r="AG390" s="31">
        <f>VLOOKUP($A390,$A$4:$O$28,10,0)*(HLOOKUP(AG$384,'2.2.Brecha Efectiva x UdM'!$H$64:$AK$71,6,0))</f>
        <v>0</v>
      </c>
      <c r="AH390" s="63">
        <f t="shared" si="393"/>
        <v>0</v>
      </c>
    </row>
    <row r="391" spans="1:34" hidden="1" x14ac:dyDescent="0.2">
      <c r="A391" s="25" t="str">
        <f t="shared" si="390"/>
        <v>Corrientes</v>
      </c>
      <c r="B391" s="51">
        <f t="shared" si="391"/>
        <v>0</v>
      </c>
      <c r="C391" s="25" t="str">
        <f t="shared" si="392"/>
        <v>Corrientes 0</v>
      </c>
      <c r="D391" s="32">
        <f>VLOOKUP($A391,$A$4:$O$28,10,0)*(HLOOKUP(D$384,'2.2.Brecha Efectiva x UdM'!$H$64:$AK$71,6,0))</f>
        <v>0</v>
      </c>
      <c r="E391" s="32">
        <f>VLOOKUP($A391,$A$4:$O$28,10,0)*(HLOOKUP(E$384,'2.2.Brecha Efectiva x UdM'!$H$64:$AK$71,6,0))</f>
        <v>0</v>
      </c>
      <c r="F391" s="32">
        <f>VLOOKUP($A391,$A$4:$O$28,10,0)*(HLOOKUP(F$384,'2.2.Brecha Efectiva x UdM'!$H$64:$AK$71,6,0))</f>
        <v>0</v>
      </c>
      <c r="G391" s="32">
        <f>VLOOKUP($A391,$A$4:$O$28,10,0)*(HLOOKUP(G$384,'2.2.Brecha Efectiva x UdM'!$H$64:$AK$71,6,0))</f>
        <v>0</v>
      </c>
      <c r="H391" s="32">
        <f>VLOOKUP($A391,$A$4:$O$28,10,0)*(HLOOKUP(H$384,'2.2.Brecha Efectiva x UdM'!$H$64:$AK$71,6,0))</f>
        <v>0</v>
      </c>
      <c r="I391" s="32">
        <f>VLOOKUP($A391,$A$4:$O$28,10,0)*(HLOOKUP(I$384,'2.2.Brecha Efectiva x UdM'!$H$64:$AK$71,6,0))</f>
        <v>0</v>
      </c>
      <c r="J391" s="32">
        <f>VLOOKUP($A391,$A$4:$O$28,10,0)*(HLOOKUP(J$384,'2.2.Brecha Efectiva x UdM'!$H$64:$AK$71,6,0))</f>
        <v>0</v>
      </c>
      <c r="K391" s="32">
        <f>VLOOKUP($A391,$A$4:$O$28,10,0)*(HLOOKUP(K$384,'2.2.Brecha Efectiva x UdM'!$H$64:$AK$71,6,0))</f>
        <v>0</v>
      </c>
      <c r="L391" s="32">
        <f>VLOOKUP($A391,$A$4:$O$28,10,0)*(HLOOKUP(L$384,'2.2.Brecha Efectiva x UdM'!$H$64:$AK$71,6,0))</f>
        <v>0</v>
      </c>
      <c r="M391" s="32">
        <f>VLOOKUP($A391,$A$4:$O$28,10,0)*(HLOOKUP(M$384,'2.2.Brecha Efectiva x UdM'!$H$64:$AK$71,6,0))</f>
        <v>0</v>
      </c>
      <c r="N391" s="32">
        <f>VLOOKUP($A391,$A$4:$O$28,10,0)*(HLOOKUP(N$384,'2.2.Brecha Efectiva x UdM'!$H$64:$AK$71,6,0))</f>
        <v>0</v>
      </c>
      <c r="O391" s="32">
        <f>VLOOKUP($A391,$A$4:$O$28,10,0)*(HLOOKUP(O$384,'2.2.Brecha Efectiva x UdM'!$H$64:$AK$71,6,0))</f>
        <v>0</v>
      </c>
      <c r="P391" s="32">
        <f>VLOOKUP($A391,$A$4:$O$28,10,0)*(HLOOKUP(P$384,'2.2.Brecha Efectiva x UdM'!$H$64:$AK$71,6,0))</f>
        <v>0</v>
      </c>
      <c r="Q391" s="32">
        <f>VLOOKUP($A391,$A$4:$O$28,10,0)*(HLOOKUP(Q$384,'2.2.Brecha Efectiva x UdM'!$H$64:$AK$71,6,0))</f>
        <v>0</v>
      </c>
      <c r="R391" s="32">
        <f>VLOOKUP($A391,$A$4:$O$28,10,0)*(HLOOKUP(R$384,'2.2.Brecha Efectiva x UdM'!$H$64:$AK$71,6,0))</f>
        <v>0</v>
      </c>
      <c r="S391" s="32">
        <f>VLOOKUP($A391,$A$4:$O$28,10,0)*(HLOOKUP(S$384,'2.2.Brecha Efectiva x UdM'!$H$64:$AK$71,6,0))</f>
        <v>0</v>
      </c>
      <c r="T391" s="32">
        <f>VLOOKUP($A391,$A$4:$O$28,10,0)*(HLOOKUP(T$384,'2.2.Brecha Efectiva x UdM'!$H$64:$AK$71,6,0))</f>
        <v>0</v>
      </c>
      <c r="U391" s="32">
        <f>VLOOKUP($A391,$A$4:$O$28,10,0)*(HLOOKUP(U$384,'2.2.Brecha Efectiva x UdM'!$H$64:$AK$71,6,0))</f>
        <v>0</v>
      </c>
      <c r="V391" s="32">
        <f>VLOOKUP($A391,$A$4:$O$28,10,0)*(HLOOKUP(V$384,'2.2.Brecha Efectiva x UdM'!$H$64:$AK$71,6,0))</f>
        <v>0</v>
      </c>
      <c r="W391" s="32">
        <f>VLOOKUP($A391,$A$4:$O$28,10,0)*(HLOOKUP(W$384,'2.2.Brecha Efectiva x UdM'!$H$64:$AK$71,6,0))</f>
        <v>0</v>
      </c>
      <c r="X391" s="32">
        <f>VLOOKUP($A391,$A$4:$O$28,10,0)*(HLOOKUP(X$384,'2.2.Brecha Efectiva x UdM'!$H$64:$AK$71,6,0))</f>
        <v>0</v>
      </c>
      <c r="Y391" s="32">
        <f>VLOOKUP($A391,$A$4:$O$28,10,0)*(HLOOKUP(Y$384,'2.2.Brecha Efectiva x UdM'!$H$64:$AK$71,6,0))</f>
        <v>0</v>
      </c>
      <c r="Z391" s="32">
        <f>VLOOKUP($A391,$A$4:$O$28,10,0)*(HLOOKUP(Z$384,'2.2.Brecha Efectiva x UdM'!$H$64:$AK$71,6,0))</f>
        <v>0</v>
      </c>
      <c r="AA391" s="32">
        <f>VLOOKUP($A391,$A$4:$O$28,10,0)*(HLOOKUP(AA$384,'2.2.Brecha Efectiva x UdM'!$H$64:$AK$71,6,0))</f>
        <v>0</v>
      </c>
      <c r="AB391" s="32">
        <f>VLOOKUP($A391,$A$4:$O$28,10,0)*(HLOOKUP(AB$384,'2.2.Brecha Efectiva x UdM'!$H$64:$AK$71,6,0))</f>
        <v>0</v>
      </c>
      <c r="AC391" s="32">
        <f>VLOOKUP($A391,$A$4:$O$28,10,0)*(HLOOKUP(AC$384,'2.2.Brecha Efectiva x UdM'!$H$64:$AK$71,6,0))</f>
        <v>0</v>
      </c>
      <c r="AD391" s="32">
        <f>VLOOKUP($A391,$A$4:$O$28,10,0)*(HLOOKUP(AD$384,'2.2.Brecha Efectiva x UdM'!$H$64:$AK$71,6,0))</f>
        <v>0</v>
      </c>
      <c r="AE391" s="32">
        <f>VLOOKUP($A391,$A$4:$O$28,10,0)*(HLOOKUP(AE$384,'2.2.Brecha Efectiva x UdM'!$H$64:$AK$71,6,0))</f>
        <v>0</v>
      </c>
      <c r="AF391" s="32">
        <f>VLOOKUP($A391,$A$4:$O$28,10,0)*(HLOOKUP(AF$384,'2.2.Brecha Efectiva x UdM'!$H$64:$AK$71,6,0))</f>
        <v>0</v>
      </c>
      <c r="AG391" s="32">
        <f>VLOOKUP($A391,$A$4:$O$28,10,0)*(HLOOKUP(AG$384,'2.2.Brecha Efectiva x UdM'!$H$64:$AK$71,6,0))</f>
        <v>0</v>
      </c>
      <c r="AH391" s="62">
        <f t="shared" si="393"/>
        <v>0</v>
      </c>
    </row>
    <row r="392" spans="1:34" hidden="1" x14ac:dyDescent="0.2">
      <c r="A392" s="26" t="str">
        <f t="shared" si="390"/>
        <v>Entre Ríos</v>
      </c>
      <c r="B392" s="52">
        <f t="shared" si="391"/>
        <v>0</v>
      </c>
      <c r="C392" s="26" t="str">
        <f t="shared" si="392"/>
        <v>Entre Ríos 0</v>
      </c>
      <c r="D392" s="31">
        <f>VLOOKUP($A392,$A$4:$O$28,10,0)*(HLOOKUP(D$384,'2.2.Brecha Efectiva x UdM'!$H$64:$AK$71,6,0))</f>
        <v>0</v>
      </c>
      <c r="E392" s="31">
        <f>VLOOKUP($A392,$A$4:$O$28,10,0)*(HLOOKUP(E$384,'2.2.Brecha Efectiva x UdM'!$H$64:$AK$71,6,0))</f>
        <v>0</v>
      </c>
      <c r="F392" s="31">
        <f>VLOOKUP($A392,$A$4:$O$28,10,0)*(HLOOKUP(F$384,'2.2.Brecha Efectiva x UdM'!$H$64:$AK$71,6,0))</f>
        <v>0</v>
      </c>
      <c r="G392" s="31">
        <f>VLOOKUP($A392,$A$4:$O$28,10,0)*(HLOOKUP(G$384,'2.2.Brecha Efectiva x UdM'!$H$64:$AK$71,6,0))</f>
        <v>0</v>
      </c>
      <c r="H392" s="31">
        <f>VLOOKUP($A392,$A$4:$O$28,10,0)*(HLOOKUP(H$384,'2.2.Brecha Efectiva x UdM'!$H$64:$AK$71,6,0))</f>
        <v>0</v>
      </c>
      <c r="I392" s="31">
        <f>VLOOKUP($A392,$A$4:$O$28,10,0)*(HLOOKUP(I$384,'2.2.Brecha Efectiva x UdM'!$H$64:$AK$71,6,0))</f>
        <v>0</v>
      </c>
      <c r="J392" s="31">
        <f>VLOOKUP($A392,$A$4:$O$28,10,0)*(HLOOKUP(J$384,'2.2.Brecha Efectiva x UdM'!$H$64:$AK$71,6,0))</f>
        <v>0</v>
      </c>
      <c r="K392" s="31">
        <f>VLOOKUP($A392,$A$4:$O$28,10,0)*(HLOOKUP(K$384,'2.2.Brecha Efectiva x UdM'!$H$64:$AK$71,6,0))</f>
        <v>0</v>
      </c>
      <c r="L392" s="31">
        <f>VLOOKUP($A392,$A$4:$O$28,10,0)*(HLOOKUP(L$384,'2.2.Brecha Efectiva x UdM'!$H$64:$AK$71,6,0))</f>
        <v>0</v>
      </c>
      <c r="M392" s="31">
        <f>VLOOKUP($A392,$A$4:$O$28,10,0)*(HLOOKUP(M$384,'2.2.Brecha Efectiva x UdM'!$H$64:$AK$71,6,0))</f>
        <v>0</v>
      </c>
      <c r="N392" s="31">
        <f>VLOOKUP($A392,$A$4:$O$28,10,0)*(HLOOKUP(N$384,'2.2.Brecha Efectiva x UdM'!$H$64:$AK$71,6,0))</f>
        <v>0</v>
      </c>
      <c r="O392" s="31">
        <f>VLOOKUP($A392,$A$4:$O$28,10,0)*(HLOOKUP(O$384,'2.2.Brecha Efectiva x UdM'!$H$64:$AK$71,6,0))</f>
        <v>0</v>
      </c>
      <c r="P392" s="31">
        <f>VLOOKUP($A392,$A$4:$O$28,10,0)*(HLOOKUP(P$384,'2.2.Brecha Efectiva x UdM'!$H$64:$AK$71,6,0))</f>
        <v>0</v>
      </c>
      <c r="Q392" s="31">
        <f>VLOOKUP($A392,$A$4:$O$28,10,0)*(HLOOKUP(Q$384,'2.2.Brecha Efectiva x UdM'!$H$64:$AK$71,6,0))</f>
        <v>0</v>
      </c>
      <c r="R392" s="31">
        <f>VLOOKUP($A392,$A$4:$O$28,10,0)*(HLOOKUP(R$384,'2.2.Brecha Efectiva x UdM'!$H$64:$AK$71,6,0))</f>
        <v>0</v>
      </c>
      <c r="S392" s="31">
        <f>VLOOKUP($A392,$A$4:$O$28,10,0)*(HLOOKUP(S$384,'2.2.Brecha Efectiva x UdM'!$H$64:$AK$71,6,0))</f>
        <v>0</v>
      </c>
      <c r="T392" s="31">
        <f>VLOOKUP($A392,$A$4:$O$28,10,0)*(HLOOKUP(T$384,'2.2.Brecha Efectiva x UdM'!$H$64:$AK$71,6,0))</f>
        <v>0</v>
      </c>
      <c r="U392" s="31">
        <f>VLOOKUP($A392,$A$4:$O$28,10,0)*(HLOOKUP(U$384,'2.2.Brecha Efectiva x UdM'!$H$64:$AK$71,6,0))</f>
        <v>0</v>
      </c>
      <c r="V392" s="31">
        <f>VLOOKUP($A392,$A$4:$O$28,10,0)*(HLOOKUP(V$384,'2.2.Brecha Efectiva x UdM'!$H$64:$AK$71,6,0))</f>
        <v>0</v>
      </c>
      <c r="W392" s="31">
        <f>VLOOKUP($A392,$A$4:$O$28,10,0)*(HLOOKUP(W$384,'2.2.Brecha Efectiva x UdM'!$H$64:$AK$71,6,0))</f>
        <v>0</v>
      </c>
      <c r="X392" s="31">
        <f>VLOOKUP($A392,$A$4:$O$28,10,0)*(HLOOKUP(X$384,'2.2.Brecha Efectiva x UdM'!$H$64:$AK$71,6,0))</f>
        <v>0</v>
      </c>
      <c r="Y392" s="31">
        <f>VLOOKUP($A392,$A$4:$O$28,10,0)*(HLOOKUP(Y$384,'2.2.Brecha Efectiva x UdM'!$H$64:$AK$71,6,0))</f>
        <v>0</v>
      </c>
      <c r="Z392" s="31">
        <f>VLOOKUP($A392,$A$4:$O$28,10,0)*(HLOOKUP(Z$384,'2.2.Brecha Efectiva x UdM'!$H$64:$AK$71,6,0))</f>
        <v>0</v>
      </c>
      <c r="AA392" s="31">
        <f>VLOOKUP($A392,$A$4:$O$28,10,0)*(HLOOKUP(AA$384,'2.2.Brecha Efectiva x UdM'!$H$64:$AK$71,6,0))</f>
        <v>0</v>
      </c>
      <c r="AB392" s="31">
        <f>VLOOKUP($A392,$A$4:$O$28,10,0)*(HLOOKUP(AB$384,'2.2.Brecha Efectiva x UdM'!$H$64:$AK$71,6,0))</f>
        <v>0</v>
      </c>
      <c r="AC392" s="31">
        <f>VLOOKUP($A392,$A$4:$O$28,10,0)*(HLOOKUP(AC$384,'2.2.Brecha Efectiva x UdM'!$H$64:$AK$71,6,0))</f>
        <v>0</v>
      </c>
      <c r="AD392" s="31">
        <f>VLOOKUP($A392,$A$4:$O$28,10,0)*(HLOOKUP(AD$384,'2.2.Brecha Efectiva x UdM'!$H$64:$AK$71,6,0))</f>
        <v>0</v>
      </c>
      <c r="AE392" s="31">
        <f>VLOOKUP($A392,$A$4:$O$28,10,0)*(HLOOKUP(AE$384,'2.2.Brecha Efectiva x UdM'!$H$64:$AK$71,6,0))</f>
        <v>0</v>
      </c>
      <c r="AF392" s="31">
        <f>VLOOKUP($A392,$A$4:$O$28,10,0)*(HLOOKUP(AF$384,'2.2.Brecha Efectiva x UdM'!$H$64:$AK$71,6,0))</f>
        <v>0</v>
      </c>
      <c r="AG392" s="31">
        <f>VLOOKUP($A392,$A$4:$O$28,10,0)*(HLOOKUP(AG$384,'2.2.Brecha Efectiva x UdM'!$H$64:$AK$71,6,0))</f>
        <v>0</v>
      </c>
      <c r="AH392" s="63">
        <f t="shared" si="393"/>
        <v>0</v>
      </c>
    </row>
    <row r="393" spans="1:34" hidden="1" x14ac:dyDescent="0.2">
      <c r="A393" s="25" t="str">
        <f t="shared" si="390"/>
        <v>Formosa</v>
      </c>
      <c r="B393" s="51">
        <f t="shared" si="391"/>
        <v>0</v>
      </c>
      <c r="C393" s="25" t="str">
        <f t="shared" si="392"/>
        <v>Formosa 0</v>
      </c>
      <c r="D393" s="32">
        <f>VLOOKUP($A393,$A$4:$O$28,10,0)*(HLOOKUP(D$384,'2.2.Brecha Efectiva x UdM'!$H$64:$AK$71,6,0))</f>
        <v>0</v>
      </c>
      <c r="E393" s="32">
        <f>VLOOKUP($A393,$A$4:$O$28,10,0)*(HLOOKUP(E$384,'2.2.Brecha Efectiva x UdM'!$H$64:$AK$71,6,0))</f>
        <v>0</v>
      </c>
      <c r="F393" s="32">
        <f>VLOOKUP($A393,$A$4:$O$28,10,0)*(HLOOKUP(F$384,'2.2.Brecha Efectiva x UdM'!$H$64:$AK$71,6,0))</f>
        <v>0</v>
      </c>
      <c r="G393" s="32">
        <f>VLOOKUP($A393,$A$4:$O$28,10,0)*(HLOOKUP(G$384,'2.2.Brecha Efectiva x UdM'!$H$64:$AK$71,6,0))</f>
        <v>0</v>
      </c>
      <c r="H393" s="32">
        <f>VLOOKUP($A393,$A$4:$O$28,10,0)*(HLOOKUP(H$384,'2.2.Brecha Efectiva x UdM'!$H$64:$AK$71,6,0))</f>
        <v>0</v>
      </c>
      <c r="I393" s="32">
        <f>VLOOKUP($A393,$A$4:$O$28,10,0)*(HLOOKUP(I$384,'2.2.Brecha Efectiva x UdM'!$H$64:$AK$71,6,0))</f>
        <v>0</v>
      </c>
      <c r="J393" s="32">
        <f>VLOOKUP($A393,$A$4:$O$28,10,0)*(HLOOKUP(J$384,'2.2.Brecha Efectiva x UdM'!$H$64:$AK$71,6,0))</f>
        <v>0</v>
      </c>
      <c r="K393" s="32">
        <f>VLOOKUP($A393,$A$4:$O$28,10,0)*(HLOOKUP(K$384,'2.2.Brecha Efectiva x UdM'!$H$64:$AK$71,6,0))</f>
        <v>0</v>
      </c>
      <c r="L393" s="32">
        <f>VLOOKUP($A393,$A$4:$O$28,10,0)*(HLOOKUP(L$384,'2.2.Brecha Efectiva x UdM'!$H$64:$AK$71,6,0))</f>
        <v>0</v>
      </c>
      <c r="M393" s="32">
        <f>VLOOKUP($A393,$A$4:$O$28,10,0)*(HLOOKUP(M$384,'2.2.Brecha Efectiva x UdM'!$H$64:$AK$71,6,0))</f>
        <v>0</v>
      </c>
      <c r="N393" s="32">
        <f>VLOOKUP($A393,$A$4:$O$28,10,0)*(HLOOKUP(N$384,'2.2.Brecha Efectiva x UdM'!$H$64:$AK$71,6,0))</f>
        <v>0</v>
      </c>
      <c r="O393" s="32">
        <f>VLOOKUP($A393,$A$4:$O$28,10,0)*(HLOOKUP(O$384,'2.2.Brecha Efectiva x UdM'!$H$64:$AK$71,6,0))</f>
        <v>0</v>
      </c>
      <c r="P393" s="32">
        <f>VLOOKUP($A393,$A$4:$O$28,10,0)*(HLOOKUP(P$384,'2.2.Brecha Efectiva x UdM'!$H$64:$AK$71,6,0))</f>
        <v>0</v>
      </c>
      <c r="Q393" s="32">
        <f>VLOOKUP($A393,$A$4:$O$28,10,0)*(HLOOKUP(Q$384,'2.2.Brecha Efectiva x UdM'!$H$64:$AK$71,6,0))</f>
        <v>0</v>
      </c>
      <c r="R393" s="32">
        <f>VLOOKUP($A393,$A$4:$O$28,10,0)*(HLOOKUP(R$384,'2.2.Brecha Efectiva x UdM'!$H$64:$AK$71,6,0))</f>
        <v>0</v>
      </c>
      <c r="S393" s="32">
        <f>VLOOKUP($A393,$A$4:$O$28,10,0)*(HLOOKUP(S$384,'2.2.Brecha Efectiva x UdM'!$H$64:$AK$71,6,0))</f>
        <v>0</v>
      </c>
      <c r="T393" s="32">
        <f>VLOOKUP($A393,$A$4:$O$28,10,0)*(HLOOKUP(T$384,'2.2.Brecha Efectiva x UdM'!$H$64:$AK$71,6,0))</f>
        <v>0</v>
      </c>
      <c r="U393" s="32">
        <f>VLOOKUP($A393,$A$4:$O$28,10,0)*(HLOOKUP(U$384,'2.2.Brecha Efectiva x UdM'!$H$64:$AK$71,6,0))</f>
        <v>0</v>
      </c>
      <c r="V393" s="32">
        <f>VLOOKUP($A393,$A$4:$O$28,10,0)*(HLOOKUP(V$384,'2.2.Brecha Efectiva x UdM'!$H$64:$AK$71,6,0))</f>
        <v>0</v>
      </c>
      <c r="W393" s="32">
        <f>VLOOKUP($A393,$A$4:$O$28,10,0)*(HLOOKUP(W$384,'2.2.Brecha Efectiva x UdM'!$H$64:$AK$71,6,0))</f>
        <v>0</v>
      </c>
      <c r="X393" s="32">
        <f>VLOOKUP($A393,$A$4:$O$28,10,0)*(HLOOKUP(X$384,'2.2.Brecha Efectiva x UdM'!$H$64:$AK$71,6,0))</f>
        <v>0</v>
      </c>
      <c r="Y393" s="32">
        <f>VLOOKUP($A393,$A$4:$O$28,10,0)*(HLOOKUP(Y$384,'2.2.Brecha Efectiva x UdM'!$H$64:$AK$71,6,0))</f>
        <v>0</v>
      </c>
      <c r="Z393" s="32">
        <f>VLOOKUP($A393,$A$4:$O$28,10,0)*(HLOOKUP(Z$384,'2.2.Brecha Efectiva x UdM'!$H$64:$AK$71,6,0))</f>
        <v>0</v>
      </c>
      <c r="AA393" s="32">
        <f>VLOOKUP($A393,$A$4:$O$28,10,0)*(HLOOKUP(AA$384,'2.2.Brecha Efectiva x UdM'!$H$64:$AK$71,6,0))</f>
        <v>0</v>
      </c>
      <c r="AB393" s="32">
        <f>VLOOKUP($A393,$A$4:$O$28,10,0)*(HLOOKUP(AB$384,'2.2.Brecha Efectiva x UdM'!$H$64:$AK$71,6,0))</f>
        <v>0</v>
      </c>
      <c r="AC393" s="32">
        <f>VLOOKUP($A393,$A$4:$O$28,10,0)*(HLOOKUP(AC$384,'2.2.Brecha Efectiva x UdM'!$H$64:$AK$71,6,0))</f>
        <v>0</v>
      </c>
      <c r="AD393" s="32">
        <f>VLOOKUP($A393,$A$4:$O$28,10,0)*(HLOOKUP(AD$384,'2.2.Brecha Efectiva x UdM'!$H$64:$AK$71,6,0))</f>
        <v>0</v>
      </c>
      <c r="AE393" s="32">
        <f>VLOOKUP($A393,$A$4:$O$28,10,0)*(HLOOKUP(AE$384,'2.2.Brecha Efectiva x UdM'!$H$64:$AK$71,6,0))</f>
        <v>0</v>
      </c>
      <c r="AF393" s="32">
        <f>VLOOKUP($A393,$A$4:$O$28,10,0)*(HLOOKUP(AF$384,'2.2.Brecha Efectiva x UdM'!$H$64:$AK$71,6,0))</f>
        <v>0</v>
      </c>
      <c r="AG393" s="32">
        <f>VLOOKUP($A393,$A$4:$O$28,10,0)*(HLOOKUP(AG$384,'2.2.Brecha Efectiva x UdM'!$H$64:$AK$71,6,0))</f>
        <v>0</v>
      </c>
      <c r="AH393" s="62">
        <f t="shared" si="393"/>
        <v>0</v>
      </c>
    </row>
    <row r="394" spans="1:34" hidden="1" x14ac:dyDescent="0.2">
      <c r="A394" s="26" t="str">
        <f t="shared" si="390"/>
        <v>Jujuy</v>
      </c>
      <c r="B394" s="52">
        <f t="shared" si="391"/>
        <v>0</v>
      </c>
      <c r="C394" s="26" t="str">
        <f t="shared" si="392"/>
        <v>Jujuy 0</v>
      </c>
      <c r="D394" s="31">
        <f>VLOOKUP($A394,$A$4:$O$28,10,0)*(HLOOKUP(D$384,'2.2.Brecha Efectiva x UdM'!$H$64:$AK$71,6,0))</f>
        <v>0</v>
      </c>
      <c r="E394" s="31">
        <f>VLOOKUP($A394,$A$4:$O$28,10,0)*(HLOOKUP(E$384,'2.2.Brecha Efectiva x UdM'!$H$64:$AK$71,6,0))</f>
        <v>0</v>
      </c>
      <c r="F394" s="31">
        <f>VLOOKUP($A394,$A$4:$O$28,10,0)*(HLOOKUP(F$384,'2.2.Brecha Efectiva x UdM'!$H$64:$AK$71,6,0))</f>
        <v>0</v>
      </c>
      <c r="G394" s="31">
        <f>VLOOKUP($A394,$A$4:$O$28,10,0)*(HLOOKUP(G$384,'2.2.Brecha Efectiva x UdM'!$H$64:$AK$71,6,0))</f>
        <v>0</v>
      </c>
      <c r="H394" s="31">
        <f>VLOOKUP($A394,$A$4:$O$28,10,0)*(HLOOKUP(H$384,'2.2.Brecha Efectiva x UdM'!$H$64:$AK$71,6,0))</f>
        <v>0</v>
      </c>
      <c r="I394" s="31">
        <f>VLOOKUP($A394,$A$4:$O$28,10,0)*(HLOOKUP(I$384,'2.2.Brecha Efectiva x UdM'!$H$64:$AK$71,6,0))</f>
        <v>0</v>
      </c>
      <c r="J394" s="31">
        <f>VLOOKUP($A394,$A$4:$O$28,10,0)*(HLOOKUP(J$384,'2.2.Brecha Efectiva x UdM'!$H$64:$AK$71,6,0))</f>
        <v>0</v>
      </c>
      <c r="K394" s="31">
        <f>VLOOKUP($A394,$A$4:$O$28,10,0)*(HLOOKUP(K$384,'2.2.Brecha Efectiva x UdM'!$H$64:$AK$71,6,0))</f>
        <v>0</v>
      </c>
      <c r="L394" s="31">
        <f>VLOOKUP($A394,$A$4:$O$28,10,0)*(HLOOKUP(L$384,'2.2.Brecha Efectiva x UdM'!$H$64:$AK$71,6,0))</f>
        <v>0</v>
      </c>
      <c r="M394" s="31">
        <f>VLOOKUP($A394,$A$4:$O$28,10,0)*(HLOOKUP(M$384,'2.2.Brecha Efectiva x UdM'!$H$64:$AK$71,6,0))</f>
        <v>0</v>
      </c>
      <c r="N394" s="31">
        <f>VLOOKUP($A394,$A$4:$O$28,10,0)*(HLOOKUP(N$384,'2.2.Brecha Efectiva x UdM'!$H$64:$AK$71,6,0))</f>
        <v>0</v>
      </c>
      <c r="O394" s="31">
        <f>VLOOKUP($A394,$A$4:$O$28,10,0)*(HLOOKUP(O$384,'2.2.Brecha Efectiva x UdM'!$H$64:$AK$71,6,0))</f>
        <v>0</v>
      </c>
      <c r="P394" s="31">
        <f>VLOOKUP($A394,$A$4:$O$28,10,0)*(HLOOKUP(P$384,'2.2.Brecha Efectiva x UdM'!$H$64:$AK$71,6,0))</f>
        <v>0</v>
      </c>
      <c r="Q394" s="31">
        <f>VLOOKUP($A394,$A$4:$O$28,10,0)*(HLOOKUP(Q$384,'2.2.Brecha Efectiva x UdM'!$H$64:$AK$71,6,0))</f>
        <v>0</v>
      </c>
      <c r="R394" s="31">
        <f>VLOOKUP($A394,$A$4:$O$28,10,0)*(HLOOKUP(R$384,'2.2.Brecha Efectiva x UdM'!$H$64:$AK$71,6,0))</f>
        <v>0</v>
      </c>
      <c r="S394" s="31">
        <f>VLOOKUP($A394,$A$4:$O$28,10,0)*(HLOOKUP(S$384,'2.2.Brecha Efectiva x UdM'!$H$64:$AK$71,6,0))</f>
        <v>0</v>
      </c>
      <c r="T394" s="31">
        <f>VLOOKUP($A394,$A$4:$O$28,10,0)*(HLOOKUP(T$384,'2.2.Brecha Efectiva x UdM'!$H$64:$AK$71,6,0))</f>
        <v>0</v>
      </c>
      <c r="U394" s="31">
        <f>VLOOKUP($A394,$A$4:$O$28,10,0)*(HLOOKUP(U$384,'2.2.Brecha Efectiva x UdM'!$H$64:$AK$71,6,0))</f>
        <v>0</v>
      </c>
      <c r="V394" s="31">
        <f>VLOOKUP($A394,$A$4:$O$28,10,0)*(HLOOKUP(V$384,'2.2.Brecha Efectiva x UdM'!$H$64:$AK$71,6,0))</f>
        <v>0</v>
      </c>
      <c r="W394" s="31">
        <f>VLOOKUP($A394,$A$4:$O$28,10,0)*(HLOOKUP(W$384,'2.2.Brecha Efectiva x UdM'!$H$64:$AK$71,6,0))</f>
        <v>0</v>
      </c>
      <c r="X394" s="31">
        <f>VLOOKUP($A394,$A$4:$O$28,10,0)*(HLOOKUP(X$384,'2.2.Brecha Efectiva x UdM'!$H$64:$AK$71,6,0))</f>
        <v>0</v>
      </c>
      <c r="Y394" s="31">
        <f>VLOOKUP($A394,$A$4:$O$28,10,0)*(HLOOKUP(Y$384,'2.2.Brecha Efectiva x UdM'!$H$64:$AK$71,6,0))</f>
        <v>0</v>
      </c>
      <c r="Z394" s="31">
        <f>VLOOKUP($A394,$A$4:$O$28,10,0)*(HLOOKUP(Z$384,'2.2.Brecha Efectiva x UdM'!$H$64:$AK$71,6,0))</f>
        <v>0</v>
      </c>
      <c r="AA394" s="31">
        <f>VLOOKUP($A394,$A$4:$O$28,10,0)*(HLOOKUP(AA$384,'2.2.Brecha Efectiva x UdM'!$H$64:$AK$71,6,0))</f>
        <v>0</v>
      </c>
      <c r="AB394" s="31">
        <f>VLOOKUP($A394,$A$4:$O$28,10,0)*(HLOOKUP(AB$384,'2.2.Brecha Efectiva x UdM'!$H$64:$AK$71,6,0))</f>
        <v>0</v>
      </c>
      <c r="AC394" s="31">
        <f>VLOOKUP($A394,$A$4:$O$28,10,0)*(HLOOKUP(AC$384,'2.2.Brecha Efectiva x UdM'!$H$64:$AK$71,6,0))</f>
        <v>0</v>
      </c>
      <c r="AD394" s="31">
        <f>VLOOKUP($A394,$A$4:$O$28,10,0)*(HLOOKUP(AD$384,'2.2.Brecha Efectiva x UdM'!$H$64:$AK$71,6,0))</f>
        <v>0</v>
      </c>
      <c r="AE394" s="31">
        <f>VLOOKUP($A394,$A$4:$O$28,10,0)*(HLOOKUP(AE$384,'2.2.Brecha Efectiva x UdM'!$H$64:$AK$71,6,0))</f>
        <v>0</v>
      </c>
      <c r="AF394" s="31">
        <f>VLOOKUP($A394,$A$4:$O$28,10,0)*(HLOOKUP(AF$384,'2.2.Brecha Efectiva x UdM'!$H$64:$AK$71,6,0))</f>
        <v>0</v>
      </c>
      <c r="AG394" s="31">
        <f>VLOOKUP($A394,$A$4:$O$28,10,0)*(HLOOKUP(AG$384,'2.2.Brecha Efectiva x UdM'!$H$64:$AK$71,6,0))</f>
        <v>0</v>
      </c>
      <c r="AH394" s="63">
        <f t="shared" si="393"/>
        <v>0</v>
      </c>
    </row>
    <row r="395" spans="1:34" hidden="1" x14ac:dyDescent="0.2">
      <c r="A395" s="25" t="str">
        <f t="shared" si="390"/>
        <v>La Pampa</v>
      </c>
      <c r="B395" s="51">
        <f t="shared" si="391"/>
        <v>0</v>
      </c>
      <c r="C395" s="25" t="str">
        <f t="shared" si="392"/>
        <v>La Pampa 0</v>
      </c>
      <c r="D395" s="32">
        <f>VLOOKUP($A395,$A$4:$O$28,10,0)*(HLOOKUP(D$384,'2.2.Brecha Efectiva x UdM'!$H$64:$AK$71,6,0))</f>
        <v>0</v>
      </c>
      <c r="E395" s="32">
        <f>VLOOKUP($A395,$A$4:$O$28,10,0)*(HLOOKUP(E$384,'2.2.Brecha Efectiva x UdM'!$H$64:$AK$71,6,0))</f>
        <v>0</v>
      </c>
      <c r="F395" s="32">
        <f>VLOOKUP($A395,$A$4:$O$28,10,0)*(HLOOKUP(F$384,'2.2.Brecha Efectiva x UdM'!$H$64:$AK$71,6,0))</f>
        <v>0</v>
      </c>
      <c r="G395" s="32">
        <f>VLOOKUP($A395,$A$4:$O$28,10,0)*(HLOOKUP(G$384,'2.2.Brecha Efectiva x UdM'!$H$64:$AK$71,6,0))</f>
        <v>0</v>
      </c>
      <c r="H395" s="32">
        <f>VLOOKUP($A395,$A$4:$O$28,10,0)*(HLOOKUP(H$384,'2.2.Brecha Efectiva x UdM'!$H$64:$AK$71,6,0))</f>
        <v>0</v>
      </c>
      <c r="I395" s="32">
        <f>VLOOKUP($A395,$A$4:$O$28,10,0)*(HLOOKUP(I$384,'2.2.Brecha Efectiva x UdM'!$H$64:$AK$71,6,0))</f>
        <v>0</v>
      </c>
      <c r="J395" s="32">
        <f>VLOOKUP($A395,$A$4:$O$28,10,0)*(HLOOKUP(J$384,'2.2.Brecha Efectiva x UdM'!$H$64:$AK$71,6,0))</f>
        <v>0</v>
      </c>
      <c r="K395" s="32">
        <f>VLOOKUP($A395,$A$4:$O$28,10,0)*(HLOOKUP(K$384,'2.2.Brecha Efectiva x UdM'!$H$64:$AK$71,6,0))</f>
        <v>0</v>
      </c>
      <c r="L395" s="32">
        <f>VLOOKUP($A395,$A$4:$O$28,10,0)*(HLOOKUP(L$384,'2.2.Brecha Efectiva x UdM'!$H$64:$AK$71,6,0))</f>
        <v>0</v>
      </c>
      <c r="M395" s="32">
        <f>VLOOKUP($A395,$A$4:$O$28,10,0)*(HLOOKUP(M$384,'2.2.Brecha Efectiva x UdM'!$H$64:$AK$71,6,0))</f>
        <v>0</v>
      </c>
      <c r="N395" s="32">
        <f>VLOOKUP($A395,$A$4:$O$28,10,0)*(HLOOKUP(N$384,'2.2.Brecha Efectiva x UdM'!$H$64:$AK$71,6,0))</f>
        <v>0</v>
      </c>
      <c r="O395" s="32">
        <f>VLOOKUP($A395,$A$4:$O$28,10,0)*(HLOOKUP(O$384,'2.2.Brecha Efectiva x UdM'!$H$64:$AK$71,6,0))</f>
        <v>0</v>
      </c>
      <c r="P395" s="32">
        <f>VLOOKUP($A395,$A$4:$O$28,10,0)*(HLOOKUP(P$384,'2.2.Brecha Efectiva x UdM'!$H$64:$AK$71,6,0))</f>
        <v>0</v>
      </c>
      <c r="Q395" s="32">
        <f>VLOOKUP($A395,$A$4:$O$28,10,0)*(HLOOKUP(Q$384,'2.2.Brecha Efectiva x UdM'!$H$64:$AK$71,6,0))</f>
        <v>0</v>
      </c>
      <c r="R395" s="32">
        <f>VLOOKUP($A395,$A$4:$O$28,10,0)*(HLOOKUP(R$384,'2.2.Brecha Efectiva x UdM'!$H$64:$AK$71,6,0))</f>
        <v>0</v>
      </c>
      <c r="S395" s="32">
        <f>VLOOKUP($A395,$A$4:$O$28,10,0)*(HLOOKUP(S$384,'2.2.Brecha Efectiva x UdM'!$H$64:$AK$71,6,0))</f>
        <v>0</v>
      </c>
      <c r="T395" s="32">
        <f>VLOOKUP($A395,$A$4:$O$28,10,0)*(HLOOKUP(T$384,'2.2.Brecha Efectiva x UdM'!$H$64:$AK$71,6,0))</f>
        <v>0</v>
      </c>
      <c r="U395" s="32">
        <f>VLOOKUP($A395,$A$4:$O$28,10,0)*(HLOOKUP(U$384,'2.2.Brecha Efectiva x UdM'!$H$64:$AK$71,6,0))</f>
        <v>0</v>
      </c>
      <c r="V395" s="32">
        <f>VLOOKUP($A395,$A$4:$O$28,10,0)*(HLOOKUP(V$384,'2.2.Brecha Efectiva x UdM'!$H$64:$AK$71,6,0))</f>
        <v>0</v>
      </c>
      <c r="W395" s="32">
        <f>VLOOKUP($A395,$A$4:$O$28,10,0)*(HLOOKUP(W$384,'2.2.Brecha Efectiva x UdM'!$H$64:$AK$71,6,0))</f>
        <v>0</v>
      </c>
      <c r="X395" s="32">
        <f>VLOOKUP($A395,$A$4:$O$28,10,0)*(HLOOKUP(X$384,'2.2.Brecha Efectiva x UdM'!$H$64:$AK$71,6,0))</f>
        <v>0</v>
      </c>
      <c r="Y395" s="32">
        <f>VLOOKUP($A395,$A$4:$O$28,10,0)*(HLOOKUP(Y$384,'2.2.Brecha Efectiva x UdM'!$H$64:$AK$71,6,0))</f>
        <v>0</v>
      </c>
      <c r="Z395" s="32">
        <f>VLOOKUP($A395,$A$4:$O$28,10,0)*(HLOOKUP(Z$384,'2.2.Brecha Efectiva x UdM'!$H$64:$AK$71,6,0))</f>
        <v>0</v>
      </c>
      <c r="AA395" s="32">
        <f>VLOOKUP($A395,$A$4:$O$28,10,0)*(HLOOKUP(AA$384,'2.2.Brecha Efectiva x UdM'!$H$64:$AK$71,6,0))</f>
        <v>0</v>
      </c>
      <c r="AB395" s="32">
        <f>VLOOKUP($A395,$A$4:$O$28,10,0)*(HLOOKUP(AB$384,'2.2.Brecha Efectiva x UdM'!$H$64:$AK$71,6,0))</f>
        <v>0</v>
      </c>
      <c r="AC395" s="32">
        <f>VLOOKUP($A395,$A$4:$O$28,10,0)*(HLOOKUP(AC$384,'2.2.Brecha Efectiva x UdM'!$H$64:$AK$71,6,0))</f>
        <v>0</v>
      </c>
      <c r="AD395" s="32">
        <f>VLOOKUP($A395,$A$4:$O$28,10,0)*(HLOOKUP(AD$384,'2.2.Brecha Efectiva x UdM'!$H$64:$AK$71,6,0))</f>
        <v>0</v>
      </c>
      <c r="AE395" s="32">
        <f>VLOOKUP($A395,$A$4:$O$28,10,0)*(HLOOKUP(AE$384,'2.2.Brecha Efectiva x UdM'!$H$64:$AK$71,6,0))</f>
        <v>0</v>
      </c>
      <c r="AF395" s="32">
        <f>VLOOKUP($A395,$A$4:$O$28,10,0)*(HLOOKUP(AF$384,'2.2.Brecha Efectiva x UdM'!$H$64:$AK$71,6,0))</f>
        <v>0</v>
      </c>
      <c r="AG395" s="32">
        <f>VLOOKUP($A395,$A$4:$O$28,10,0)*(HLOOKUP(AG$384,'2.2.Brecha Efectiva x UdM'!$H$64:$AK$71,6,0))</f>
        <v>0</v>
      </c>
      <c r="AH395" s="62">
        <f t="shared" si="393"/>
        <v>0</v>
      </c>
    </row>
    <row r="396" spans="1:34" hidden="1" x14ac:dyDescent="0.2">
      <c r="A396" s="26" t="str">
        <f t="shared" si="390"/>
        <v>La Rioja</v>
      </c>
      <c r="B396" s="52">
        <f t="shared" si="391"/>
        <v>0</v>
      </c>
      <c r="C396" s="26" t="str">
        <f t="shared" si="392"/>
        <v>La Rioja 0</v>
      </c>
      <c r="D396" s="31">
        <f>VLOOKUP($A396,$A$4:$O$28,10,0)*(HLOOKUP(D$384,'2.2.Brecha Efectiva x UdM'!$H$64:$AK$71,6,0))</f>
        <v>0</v>
      </c>
      <c r="E396" s="31">
        <f>VLOOKUP($A396,$A$4:$O$28,10,0)*(HLOOKUP(E$384,'2.2.Brecha Efectiva x UdM'!$H$64:$AK$71,6,0))</f>
        <v>0</v>
      </c>
      <c r="F396" s="31">
        <f>VLOOKUP($A396,$A$4:$O$28,10,0)*(HLOOKUP(F$384,'2.2.Brecha Efectiva x UdM'!$H$64:$AK$71,6,0))</f>
        <v>0</v>
      </c>
      <c r="G396" s="31">
        <f>VLOOKUP($A396,$A$4:$O$28,10,0)*(HLOOKUP(G$384,'2.2.Brecha Efectiva x UdM'!$H$64:$AK$71,6,0))</f>
        <v>0</v>
      </c>
      <c r="H396" s="31">
        <f>VLOOKUP($A396,$A$4:$O$28,10,0)*(HLOOKUP(H$384,'2.2.Brecha Efectiva x UdM'!$H$64:$AK$71,6,0))</f>
        <v>0</v>
      </c>
      <c r="I396" s="31">
        <f>VLOOKUP($A396,$A$4:$O$28,10,0)*(HLOOKUP(I$384,'2.2.Brecha Efectiva x UdM'!$H$64:$AK$71,6,0))</f>
        <v>0</v>
      </c>
      <c r="J396" s="31">
        <f>VLOOKUP($A396,$A$4:$O$28,10,0)*(HLOOKUP(J$384,'2.2.Brecha Efectiva x UdM'!$H$64:$AK$71,6,0))</f>
        <v>0</v>
      </c>
      <c r="K396" s="31">
        <f>VLOOKUP($A396,$A$4:$O$28,10,0)*(HLOOKUP(K$384,'2.2.Brecha Efectiva x UdM'!$H$64:$AK$71,6,0))</f>
        <v>0</v>
      </c>
      <c r="L396" s="31">
        <f>VLOOKUP($A396,$A$4:$O$28,10,0)*(HLOOKUP(L$384,'2.2.Brecha Efectiva x UdM'!$H$64:$AK$71,6,0))</f>
        <v>0</v>
      </c>
      <c r="M396" s="31">
        <f>VLOOKUP($A396,$A$4:$O$28,10,0)*(HLOOKUP(M$384,'2.2.Brecha Efectiva x UdM'!$H$64:$AK$71,6,0))</f>
        <v>0</v>
      </c>
      <c r="N396" s="31">
        <f>VLOOKUP($A396,$A$4:$O$28,10,0)*(HLOOKUP(N$384,'2.2.Brecha Efectiva x UdM'!$H$64:$AK$71,6,0))</f>
        <v>0</v>
      </c>
      <c r="O396" s="31">
        <f>VLOOKUP($A396,$A$4:$O$28,10,0)*(HLOOKUP(O$384,'2.2.Brecha Efectiva x UdM'!$H$64:$AK$71,6,0))</f>
        <v>0</v>
      </c>
      <c r="P396" s="31">
        <f>VLOOKUP($A396,$A$4:$O$28,10,0)*(HLOOKUP(P$384,'2.2.Brecha Efectiva x UdM'!$H$64:$AK$71,6,0))</f>
        <v>0</v>
      </c>
      <c r="Q396" s="31">
        <f>VLOOKUP($A396,$A$4:$O$28,10,0)*(HLOOKUP(Q$384,'2.2.Brecha Efectiva x UdM'!$H$64:$AK$71,6,0))</f>
        <v>0</v>
      </c>
      <c r="R396" s="31">
        <f>VLOOKUP($A396,$A$4:$O$28,10,0)*(HLOOKUP(R$384,'2.2.Brecha Efectiva x UdM'!$H$64:$AK$71,6,0))</f>
        <v>0</v>
      </c>
      <c r="S396" s="31">
        <f>VLOOKUP($A396,$A$4:$O$28,10,0)*(HLOOKUP(S$384,'2.2.Brecha Efectiva x UdM'!$H$64:$AK$71,6,0))</f>
        <v>0</v>
      </c>
      <c r="T396" s="31">
        <f>VLOOKUP($A396,$A$4:$O$28,10,0)*(HLOOKUP(T$384,'2.2.Brecha Efectiva x UdM'!$H$64:$AK$71,6,0))</f>
        <v>0</v>
      </c>
      <c r="U396" s="31">
        <f>VLOOKUP($A396,$A$4:$O$28,10,0)*(HLOOKUP(U$384,'2.2.Brecha Efectiva x UdM'!$H$64:$AK$71,6,0))</f>
        <v>0</v>
      </c>
      <c r="V396" s="31">
        <f>VLOOKUP($A396,$A$4:$O$28,10,0)*(HLOOKUP(V$384,'2.2.Brecha Efectiva x UdM'!$H$64:$AK$71,6,0))</f>
        <v>0</v>
      </c>
      <c r="W396" s="31">
        <f>VLOOKUP($A396,$A$4:$O$28,10,0)*(HLOOKUP(W$384,'2.2.Brecha Efectiva x UdM'!$H$64:$AK$71,6,0))</f>
        <v>0</v>
      </c>
      <c r="X396" s="31">
        <f>VLOOKUP($A396,$A$4:$O$28,10,0)*(HLOOKUP(X$384,'2.2.Brecha Efectiva x UdM'!$H$64:$AK$71,6,0))</f>
        <v>0</v>
      </c>
      <c r="Y396" s="31">
        <f>VLOOKUP($A396,$A$4:$O$28,10,0)*(HLOOKUP(Y$384,'2.2.Brecha Efectiva x UdM'!$H$64:$AK$71,6,0))</f>
        <v>0</v>
      </c>
      <c r="Z396" s="31">
        <f>VLOOKUP($A396,$A$4:$O$28,10,0)*(HLOOKUP(Z$384,'2.2.Brecha Efectiva x UdM'!$H$64:$AK$71,6,0))</f>
        <v>0</v>
      </c>
      <c r="AA396" s="31">
        <f>VLOOKUP($A396,$A$4:$O$28,10,0)*(HLOOKUP(AA$384,'2.2.Brecha Efectiva x UdM'!$H$64:$AK$71,6,0))</f>
        <v>0</v>
      </c>
      <c r="AB396" s="31">
        <f>VLOOKUP($A396,$A$4:$O$28,10,0)*(HLOOKUP(AB$384,'2.2.Brecha Efectiva x UdM'!$H$64:$AK$71,6,0))</f>
        <v>0</v>
      </c>
      <c r="AC396" s="31">
        <f>VLOOKUP($A396,$A$4:$O$28,10,0)*(HLOOKUP(AC$384,'2.2.Brecha Efectiva x UdM'!$H$64:$AK$71,6,0))</f>
        <v>0</v>
      </c>
      <c r="AD396" s="31">
        <f>VLOOKUP($A396,$A$4:$O$28,10,0)*(HLOOKUP(AD$384,'2.2.Brecha Efectiva x UdM'!$H$64:$AK$71,6,0))</f>
        <v>0</v>
      </c>
      <c r="AE396" s="31">
        <f>VLOOKUP($A396,$A$4:$O$28,10,0)*(HLOOKUP(AE$384,'2.2.Brecha Efectiva x UdM'!$H$64:$AK$71,6,0))</f>
        <v>0</v>
      </c>
      <c r="AF396" s="31">
        <f>VLOOKUP($A396,$A$4:$O$28,10,0)*(HLOOKUP(AF$384,'2.2.Brecha Efectiva x UdM'!$H$64:$AK$71,6,0))</f>
        <v>0</v>
      </c>
      <c r="AG396" s="31">
        <f>VLOOKUP($A396,$A$4:$O$28,10,0)*(HLOOKUP(AG$384,'2.2.Brecha Efectiva x UdM'!$H$64:$AK$71,6,0))</f>
        <v>0</v>
      </c>
      <c r="AH396" s="63">
        <f t="shared" si="393"/>
        <v>0</v>
      </c>
    </row>
    <row r="397" spans="1:34" hidden="1" x14ac:dyDescent="0.2">
      <c r="A397" s="25" t="str">
        <f t="shared" si="390"/>
        <v>Mendoza</v>
      </c>
      <c r="B397" s="51">
        <f t="shared" si="391"/>
        <v>0</v>
      </c>
      <c r="C397" s="25" t="str">
        <f t="shared" si="392"/>
        <v>Mendoza 0</v>
      </c>
      <c r="D397" s="32">
        <f>VLOOKUP($A397,$A$4:$O$28,10,0)*(HLOOKUP(D$384,'2.2.Brecha Efectiva x UdM'!$H$64:$AK$71,6,0))</f>
        <v>0</v>
      </c>
      <c r="E397" s="32">
        <f>VLOOKUP($A397,$A$4:$O$28,10,0)*(HLOOKUP(E$384,'2.2.Brecha Efectiva x UdM'!$H$64:$AK$71,6,0))</f>
        <v>0</v>
      </c>
      <c r="F397" s="32">
        <f>VLOOKUP($A397,$A$4:$O$28,10,0)*(HLOOKUP(F$384,'2.2.Brecha Efectiva x UdM'!$H$64:$AK$71,6,0))</f>
        <v>0</v>
      </c>
      <c r="G397" s="32">
        <f>VLOOKUP($A397,$A$4:$O$28,10,0)*(HLOOKUP(G$384,'2.2.Brecha Efectiva x UdM'!$H$64:$AK$71,6,0))</f>
        <v>0</v>
      </c>
      <c r="H397" s="32">
        <f>VLOOKUP($A397,$A$4:$O$28,10,0)*(HLOOKUP(H$384,'2.2.Brecha Efectiva x UdM'!$H$64:$AK$71,6,0))</f>
        <v>0</v>
      </c>
      <c r="I397" s="32">
        <f>VLOOKUP($A397,$A$4:$O$28,10,0)*(HLOOKUP(I$384,'2.2.Brecha Efectiva x UdM'!$H$64:$AK$71,6,0))</f>
        <v>0</v>
      </c>
      <c r="J397" s="32">
        <f>VLOOKUP($A397,$A$4:$O$28,10,0)*(HLOOKUP(J$384,'2.2.Brecha Efectiva x UdM'!$H$64:$AK$71,6,0))</f>
        <v>0</v>
      </c>
      <c r="K397" s="32">
        <f>VLOOKUP($A397,$A$4:$O$28,10,0)*(HLOOKUP(K$384,'2.2.Brecha Efectiva x UdM'!$H$64:$AK$71,6,0))</f>
        <v>0</v>
      </c>
      <c r="L397" s="32">
        <f>VLOOKUP($A397,$A$4:$O$28,10,0)*(HLOOKUP(L$384,'2.2.Brecha Efectiva x UdM'!$H$64:$AK$71,6,0))</f>
        <v>0</v>
      </c>
      <c r="M397" s="32">
        <f>VLOOKUP($A397,$A$4:$O$28,10,0)*(HLOOKUP(M$384,'2.2.Brecha Efectiva x UdM'!$H$64:$AK$71,6,0))</f>
        <v>0</v>
      </c>
      <c r="N397" s="32">
        <f>VLOOKUP($A397,$A$4:$O$28,10,0)*(HLOOKUP(N$384,'2.2.Brecha Efectiva x UdM'!$H$64:$AK$71,6,0))</f>
        <v>0</v>
      </c>
      <c r="O397" s="32">
        <f>VLOOKUP($A397,$A$4:$O$28,10,0)*(HLOOKUP(O$384,'2.2.Brecha Efectiva x UdM'!$H$64:$AK$71,6,0))</f>
        <v>0</v>
      </c>
      <c r="P397" s="32">
        <f>VLOOKUP($A397,$A$4:$O$28,10,0)*(HLOOKUP(P$384,'2.2.Brecha Efectiva x UdM'!$H$64:$AK$71,6,0))</f>
        <v>0</v>
      </c>
      <c r="Q397" s="32">
        <f>VLOOKUP($A397,$A$4:$O$28,10,0)*(HLOOKUP(Q$384,'2.2.Brecha Efectiva x UdM'!$H$64:$AK$71,6,0))</f>
        <v>0</v>
      </c>
      <c r="R397" s="32">
        <f>VLOOKUP($A397,$A$4:$O$28,10,0)*(HLOOKUP(R$384,'2.2.Brecha Efectiva x UdM'!$H$64:$AK$71,6,0))</f>
        <v>0</v>
      </c>
      <c r="S397" s="32">
        <f>VLOOKUP($A397,$A$4:$O$28,10,0)*(HLOOKUP(S$384,'2.2.Brecha Efectiva x UdM'!$H$64:$AK$71,6,0))</f>
        <v>0</v>
      </c>
      <c r="T397" s="32">
        <f>VLOOKUP($A397,$A$4:$O$28,10,0)*(HLOOKUP(T$384,'2.2.Brecha Efectiva x UdM'!$H$64:$AK$71,6,0))</f>
        <v>0</v>
      </c>
      <c r="U397" s="32">
        <f>VLOOKUP($A397,$A$4:$O$28,10,0)*(HLOOKUP(U$384,'2.2.Brecha Efectiva x UdM'!$H$64:$AK$71,6,0))</f>
        <v>0</v>
      </c>
      <c r="V397" s="32">
        <f>VLOOKUP($A397,$A$4:$O$28,10,0)*(HLOOKUP(V$384,'2.2.Brecha Efectiva x UdM'!$H$64:$AK$71,6,0))</f>
        <v>0</v>
      </c>
      <c r="W397" s="32">
        <f>VLOOKUP($A397,$A$4:$O$28,10,0)*(HLOOKUP(W$384,'2.2.Brecha Efectiva x UdM'!$H$64:$AK$71,6,0))</f>
        <v>0</v>
      </c>
      <c r="X397" s="32">
        <f>VLOOKUP($A397,$A$4:$O$28,10,0)*(HLOOKUP(X$384,'2.2.Brecha Efectiva x UdM'!$H$64:$AK$71,6,0))</f>
        <v>0</v>
      </c>
      <c r="Y397" s="32">
        <f>VLOOKUP($A397,$A$4:$O$28,10,0)*(HLOOKUP(Y$384,'2.2.Brecha Efectiva x UdM'!$H$64:$AK$71,6,0))</f>
        <v>0</v>
      </c>
      <c r="Z397" s="32">
        <f>VLOOKUP($A397,$A$4:$O$28,10,0)*(HLOOKUP(Z$384,'2.2.Brecha Efectiva x UdM'!$H$64:$AK$71,6,0))</f>
        <v>0</v>
      </c>
      <c r="AA397" s="32">
        <f>VLOOKUP($A397,$A$4:$O$28,10,0)*(HLOOKUP(AA$384,'2.2.Brecha Efectiva x UdM'!$H$64:$AK$71,6,0))</f>
        <v>0</v>
      </c>
      <c r="AB397" s="32">
        <f>VLOOKUP($A397,$A$4:$O$28,10,0)*(HLOOKUP(AB$384,'2.2.Brecha Efectiva x UdM'!$H$64:$AK$71,6,0))</f>
        <v>0</v>
      </c>
      <c r="AC397" s="32">
        <f>VLOOKUP($A397,$A$4:$O$28,10,0)*(HLOOKUP(AC$384,'2.2.Brecha Efectiva x UdM'!$H$64:$AK$71,6,0))</f>
        <v>0</v>
      </c>
      <c r="AD397" s="32">
        <f>VLOOKUP($A397,$A$4:$O$28,10,0)*(HLOOKUP(AD$384,'2.2.Brecha Efectiva x UdM'!$H$64:$AK$71,6,0))</f>
        <v>0</v>
      </c>
      <c r="AE397" s="32">
        <f>VLOOKUP($A397,$A$4:$O$28,10,0)*(HLOOKUP(AE$384,'2.2.Brecha Efectiva x UdM'!$H$64:$AK$71,6,0))</f>
        <v>0</v>
      </c>
      <c r="AF397" s="32">
        <f>VLOOKUP($A397,$A$4:$O$28,10,0)*(HLOOKUP(AF$384,'2.2.Brecha Efectiva x UdM'!$H$64:$AK$71,6,0))</f>
        <v>0</v>
      </c>
      <c r="AG397" s="32">
        <f>VLOOKUP($A397,$A$4:$O$28,10,0)*(HLOOKUP(AG$384,'2.2.Brecha Efectiva x UdM'!$H$64:$AK$71,6,0))</f>
        <v>0</v>
      </c>
      <c r="AH397" s="62">
        <f t="shared" si="393"/>
        <v>0</v>
      </c>
    </row>
    <row r="398" spans="1:34" hidden="1" x14ac:dyDescent="0.2">
      <c r="A398" s="26" t="str">
        <f t="shared" si="390"/>
        <v>Misiones</v>
      </c>
      <c r="B398" s="52">
        <f t="shared" si="391"/>
        <v>0</v>
      </c>
      <c r="C398" s="26" t="str">
        <f t="shared" si="392"/>
        <v>Misiones 0</v>
      </c>
      <c r="D398" s="31">
        <f>VLOOKUP($A398,$A$4:$O$28,10,0)*(HLOOKUP(D$384,'2.2.Brecha Efectiva x UdM'!$H$64:$AK$71,6,0))</f>
        <v>0</v>
      </c>
      <c r="E398" s="31">
        <f>VLOOKUP($A398,$A$4:$O$28,10,0)*(HLOOKUP(E$384,'2.2.Brecha Efectiva x UdM'!$H$64:$AK$71,6,0))</f>
        <v>0</v>
      </c>
      <c r="F398" s="31">
        <f>VLOOKUP($A398,$A$4:$O$28,10,0)*(HLOOKUP(F$384,'2.2.Brecha Efectiva x UdM'!$H$64:$AK$71,6,0))</f>
        <v>0</v>
      </c>
      <c r="G398" s="31">
        <f>VLOOKUP($A398,$A$4:$O$28,10,0)*(HLOOKUP(G$384,'2.2.Brecha Efectiva x UdM'!$H$64:$AK$71,6,0))</f>
        <v>0</v>
      </c>
      <c r="H398" s="31">
        <f>VLOOKUP($A398,$A$4:$O$28,10,0)*(HLOOKUP(H$384,'2.2.Brecha Efectiva x UdM'!$H$64:$AK$71,6,0))</f>
        <v>0</v>
      </c>
      <c r="I398" s="31">
        <f>VLOOKUP($A398,$A$4:$O$28,10,0)*(HLOOKUP(I$384,'2.2.Brecha Efectiva x UdM'!$H$64:$AK$71,6,0))</f>
        <v>0</v>
      </c>
      <c r="J398" s="31">
        <f>VLOOKUP($A398,$A$4:$O$28,10,0)*(HLOOKUP(J$384,'2.2.Brecha Efectiva x UdM'!$H$64:$AK$71,6,0))</f>
        <v>0</v>
      </c>
      <c r="K398" s="31">
        <f>VLOOKUP($A398,$A$4:$O$28,10,0)*(HLOOKUP(K$384,'2.2.Brecha Efectiva x UdM'!$H$64:$AK$71,6,0))</f>
        <v>0</v>
      </c>
      <c r="L398" s="31">
        <f>VLOOKUP($A398,$A$4:$O$28,10,0)*(HLOOKUP(L$384,'2.2.Brecha Efectiva x UdM'!$H$64:$AK$71,6,0))</f>
        <v>0</v>
      </c>
      <c r="M398" s="31">
        <f>VLOOKUP($A398,$A$4:$O$28,10,0)*(HLOOKUP(M$384,'2.2.Brecha Efectiva x UdM'!$H$64:$AK$71,6,0))</f>
        <v>0</v>
      </c>
      <c r="N398" s="31">
        <f>VLOOKUP($A398,$A$4:$O$28,10,0)*(HLOOKUP(N$384,'2.2.Brecha Efectiva x UdM'!$H$64:$AK$71,6,0))</f>
        <v>0</v>
      </c>
      <c r="O398" s="31">
        <f>VLOOKUP($A398,$A$4:$O$28,10,0)*(HLOOKUP(O$384,'2.2.Brecha Efectiva x UdM'!$H$64:$AK$71,6,0))</f>
        <v>0</v>
      </c>
      <c r="P398" s="31">
        <f>VLOOKUP($A398,$A$4:$O$28,10,0)*(HLOOKUP(P$384,'2.2.Brecha Efectiva x UdM'!$H$64:$AK$71,6,0))</f>
        <v>0</v>
      </c>
      <c r="Q398" s="31">
        <f>VLOOKUP($A398,$A$4:$O$28,10,0)*(HLOOKUP(Q$384,'2.2.Brecha Efectiva x UdM'!$H$64:$AK$71,6,0))</f>
        <v>0</v>
      </c>
      <c r="R398" s="31">
        <f>VLOOKUP($A398,$A$4:$O$28,10,0)*(HLOOKUP(R$384,'2.2.Brecha Efectiva x UdM'!$H$64:$AK$71,6,0))</f>
        <v>0</v>
      </c>
      <c r="S398" s="31">
        <f>VLOOKUP($A398,$A$4:$O$28,10,0)*(HLOOKUP(S$384,'2.2.Brecha Efectiva x UdM'!$H$64:$AK$71,6,0))</f>
        <v>0</v>
      </c>
      <c r="T398" s="31">
        <f>VLOOKUP($A398,$A$4:$O$28,10,0)*(HLOOKUP(T$384,'2.2.Brecha Efectiva x UdM'!$H$64:$AK$71,6,0))</f>
        <v>0</v>
      </c>
      <c r="U398" s="31">
        <f>VLOOKUP($A398,$A$4:$O$28,10,0)*(HLOOKUP(U$384,'2.2.Brecha Efectiva x UdM'!$H$64:$AK$71,6,0))</f>
        <v>0</v>
      </c>
      <c r="V398" s="31">
        <f>VLOOKUP($A398,$A$4:$O$28,10,0)*(HLOOKUP(V$384,'2.2.Brecha Efectiva x UdM'!$H$64:$AK$71,6,0))</f>
        <v>0</v>
      </c>
      <c r="W398" s="31">
        <f>VLOOKUP($A398,$A$4:$O$28,10,0)*(HLOOKUP(W$384,'2.2.Brecha Efectiva x UdM'!$H$64:$AK$71,6,0))</f>
        <v>0</v>
      </c>
      <c r="X398" s="31">
        <f>VLOOKUP($A398,$A$4:$O$28,10,0)*(HLOOKUP(X$384,'2.2.Brecha Efectiva x UdM'!$H$64:$AK$71,6,0))</f>
        <v>0</v>
      </c>
      <c r="Y398" s="31">
        <f>VLOOKUP($A398,$A$4:$O$28,10,0)*(HLOOKUP(Y$384,'2.2.Brecha Efectiva x UdM'!$H$64:$AK$71,6,0))</f>
        <v>0</v>
      </c>
      <c r="Z398" s="31">
        <f>VLOOKUP($A398,$A$4:$O$28,10,0)*(HLOOKUP(Z$384,'2.2.Brecha Efectiva x UdM'!$H$64:$AK$71,6,0))</f>
        <v>0</v>
      </c>
      <c r="AA398" s="31">
        <f>VLOOKUP($A398,$A$4:$O$28,10,0)*(HLOOKUP(AA$384,'2.2.Brecha Efectiva x UdM'!$H$64:$AK$71,6,0))</f>
        <v>0</v>
      </c>
      <c r="AB398" s="31">
        <f>VLOOKUP($A398,$A$4:$O$28,10,0)*(HLOOKUP(AB$384,'2.2.Brecha Efectiva x UdM'!$H$64:$AK$71,6,0))</f>
        <v>0</v>
      </c>
      <c r="AC398" s="31">
        <f>VLOOKUP($A398,$A$4:$O$28,10,0)*(HLOOKUP(AC$384,'2.2.Brecha Efectiva x UdM'!$H$64:$AK$71,6,0))</f>
        <v>0</v>
      </c>
      <c r="AD398" s="31">
        <f>VLOOKUP($A398,$A$4:$O$28,10,0)*(HLOOKUP(AD$384,'2.2.Brecha Efectiva x UdM'!$H$64:$AK$71,6,0))</f>
        <v>0</v>
      </c>
      <c r="AE398" s="31">
        <f>VLOOKUP($A398,$A$4:$O$28,10,0)*(HLOOKUP(AE$384,'2.2.Brecha Efectiva x UdM'!$H$64:$AK$71,6,0))</f>
        <v>0</v>
      </c>
      <c r="AF398" s="31">
        <f>VLOOKUP($A398,$A$4:$O$28,10,0)*(HLOOKUP(AF$384,'2.2.Brecha Efectiva x UdM'!$H$64:$AK$71,6,0))</f>
        <v>0</v>
      </c>
      <c r="AG398" s="31">
        <f>VLOOKUP($A398,$A$4:$O$28,10,0)*(HLOOKUP(AG$384,'2.2.Brecha Efectiva x UdM'!$H$64:$AK$71,6,0))</f>
        <v>0</v>
      </c>
      <c r="AH398" s="63">
        <f t="shared" si="393"/>
        <v>0</v>
      </c>
    </row>
    <row r="399" spans="1:34" hidden="1" x14ac:dyDescent="0.2">
      <c r="A399" s="25" t="str">
        <f t="shared" si="390"/>
        <v>Neuquén</v>
      </c>
      <c r="B399" s="51">
        <f t="shared" si="391"/>
        <v>0</v>
      </c>
      <c r="C399" s="25" t="str">
        <f t="shared" si="392"/>
        <v>Neuquén 0</v>
      </c>
      <c r="D399" s="32">
        <f>VLOOKUP($A399,$A$4:$O$28,10,0)*(HLOOKUP(D$384,'2.2.Brecha Efectiva x UdM'!$H$64:$AK$71,6,0))</f>
        <v>0</v>
      </c>
      <c r="E399" s="32">
        <f>VLOOKUP($A399,$A$4:$O$28,10,0)*(HLOOKUP(E$384,'2.2.Brecha Efectiva x UdM'!$H$64:$AK$71,6,0))</f>
        <v>0</v>
      </c>
      <c r="F399" s="32">
        <f>VLOOKUP($A399,$A$4:$O$28,10,0)*(HLOOKUP(F$384,'2.2.Brecha Efectiva x UdM'!$H$64:$AK$71,6,0))</f>
        <v>0</v>
      </c>
      <c r="G399" s="32">
        <f>VLOOKUP($A399,$A$4:$O$28,10,0)*(HLOOKUP(G$384,'2.2.Brecha Efectiva x UdM'!$H$64:$AK$71,6,0))</f>
        <v>0</v>
      </c>
      <c r="H399" s="32">
        <f>VLOOKUP($A399,$A$4:$O$28,10,0)*(HLOOKUP(H$384,'2.2.Brecha Efectiva x UdM'!$H$64:$AK$71,6,0))</f>
        <v>0</v>
      </c>
      <c r="I399" s="32">
        <f>VLOOKUP($A399,$A$4:$O$28,10,0)*(HLOOKUP(I$384,'2.2.Brecha Efectiva x UdM'!$H$64:$AK$71,6,0))</f>
        <v>0</v>
      </c>
      <c r="J399" s="32">
        <f>VLOOKUP($A399,$A$4:$O$28,10,0)*(HLOOKUP(J$384,'2.2.Brecha Efectiva x UdM'!$H$64:$AK$71,6,0))</f>
        <v>0</v>
      </c>
      <c r="K399" s="32">
        <f>VLOOKUP($A399,$A$4:$O$28,10,0)*(HLOOKUP(K$384,'2.2.Brecha Efectiva x UdM'!$H$64:$AK$71,6,0))</f>
        <v>0</v>
      </c>
      <c r="L399" s="32">
        <f>VLOOKUP($A399,$A$4:$O$28,10,0)*(HLOOKUP(L$384,'2.2.Brecha Efectiva x UdM'!$H$64:$AK$71,6,0))</f>
        <v>0</v>
      </c>
      <c r="M399" s="32">
        <f>VLOOKUP($A399,$A$4:$O$28,10,0)*(HLOOKUP(M$384,'2.2.Brecha Efectiva x UdM'!$H$64:$AK$71,6,0))</f>
        <v>0</v>
      </c>
      <c r="N399" s="32">
        <f>VLOOKUP($A399,$A$4:$O$28,10,0)*(HLOOKUP(N$384,'2.2.Brecha Efectiva x UdM'!$H$64:$AK$71,6,0))</f>
        <v>0</v>
      </c>
      <c r="O399" s="32">
        <f>VLOOKUP($A399,$A$4:$O$28,10,0)*(HLOOKUP(O$384,'2.2.Brecha Efectiva x UdM'!$H$64:$AK$71,6,0))</f>
        <v>0</v>
      </c>
      <c r="P399" s="32">
        <f>VLOOKUP($A399,$A$4:$O$28,10,0)*(HLOOKUP(P$384,'2.2.Brecha Efectiva x UdM'!$H$64:$AK$71,6,0))</f>
        <v>0</v>
      </c>
      <c r="Q399" s="32">
        <f>VLOOKUP($A399,$A$4:$O$28,10,0)*(HLOOKUP(Q$384,'2.2.Brecha Efectiva x UdM'!$H$64:$AK$71,6,0))</f>
        <v>0</v>
      </c>
      <c r="R399" s="32">
        <f>VLOOKUP($A399,$A$4:$O$28,10,0)*(HLOOKUP(R$384,'2.2.Brecha Efectiva x UdM'!$H$64:$AK$71,6,0))</f>
        <v>0</v>
      </c>
      <c r="S399" s="32">
        <f>VLOOKUP($A399,$A$4:$O$28,10,0)*(HLOOKUP(S$384,'2.2.Brecha Efectiva x UdM'!$H$64:$AK$71,6,0))</f>
        <v>0</v>
      </c>
      <c r="T399" s="32">
        <f>VLOOKUP($A399,$A$4:$O$28,10,0)*(HLOOKUP(T$384,'2.2.Brecha Efectiva x UdM'!$H$64:$AK$71,6,0))</f>
        <v>0</v>
      </c>
      <c r="U399" s="32">
        <f>VLOOKUP($A399,$A$4:$O$28,10,0)*(HLOOKUP(U$384,'2.2.Brecha Efectiva x UdM'!$H$64:$AK$71,6,0))</f>
        <v>0</v>
      </c>
      <c r="V399" s="32">
        <f>VLOOKUP($A399,$A$4:$O$28,10,0)*(HLOOKUP(V$384,'2.2.Brecha Efectiva x UdM'!$H$64:$AK$71,6,0))</f>
        <v>0</v>
      </c>
      <c r="W399" s="32">
        <f>VLOOKUP($A399,$A$4:$O$28,10,0)*(HLOOKUP(W$384,'2.2.Brecha Efectiva x UdM'!$H$64:$AK$71,6,0))</f>
        <v>0</v>
      </c>
      <c r="X399" s="32">
        <f>VLOOKUP($A399,$A$4:$O$28,10,0)*(HLOOKUP(X$384,'2.2.Brecha Efectiva x UdM'!$H$64:$AK$71,6,0))</f>
        <v>0</v>
      </c>
      <c r="Y399" s="32">
        <f>VLOOKUP($A399,$A$4:$O$28,10,0)*(HLOOKUP(Y$384,'2.2.Brecha Efectiva x UdM'!$H$64:$AK$71,6,0))</f>
        <v>0</v>
      </c>
      <c r="Z399" s="32">
        <f>VLOOKUP($A399,$A$4:$O$28,10,0)*(HLOOKUP(Z$384,'2.2.Brecha Efectiva x UdM'!$H$64:$AK$71,6,0))</f>
        <v>0</v>
      </c>
      <c r="AA399" s="32">
        <f>VLOOKUP($A399,$A$4:$O$28,10,0)*(HLOOKUP(AA$384,'2.2.Brecha Efectiva x UdM'!$H$64:$AK$71,6,0))</f>
        <v>0</v>
      </c>
      <c r="AB399" s="32">
        <f>VLOOKUP($A399,$A$4:$O$28,10,0)*(HLOOKUP(AB$384,'2.2.Brecha Efectiva x UdM'!$H$64:$AK$71,6,0))</f>
        <v>0</v>
      </c>
      <c r="AC399" s="32">
        <f>VLOOKUP($A399,$A$4:$O$28,10,0)*(HLOOKUP(AC$384,'2.2.Brecha Efectiva x UdM'!$H$64:$AK$71,6,0))</f>
        <v>0</v>
      </c>
      <c r="AD399" s="32">
        <f>VLOOKUP($A399,$A$4:$O$28,10,0)*(HLOOKUP(AD$384,'2.2.Brecha Efectiva x UdM'!$H$64:$AK$71,6,0))</f>
        <v>0</v>
      </c>
      <c r="AE399" s="32">
        <f>VLOOKUP($A399,$A$4:$O$28,10,0)*(HLOOKUP(AE$384,'2.2.Brecha Efectiva x UdM'!$H$64:$AK$71,6,0))</f>
        <v>0</v>
      </c>
      <c r="AF399" s="32">
        <f>VLOOKUP($A399,$A$4:$O$28,10,0)*(HLOOKUP(AF$384,'2.2.Brecha Efectiva x UdM'!$H$64:$AK$71,6,0))</f>
        <v>0</v>
      </c>
      <c r="AG399" s="32">
        <f>VLOOKUP($A399,$A$4:$O$28,10,0)*(HLOOKUP(AG$384,'2.2.Brecha Efectiva x UdM'!$H$64:$AK$71,6,0))</f>
        <v>0</v>
      </c>
      <c r="AH399" s="62">
        <f t="shared" si="393"/>
        <v>0</v>
      </c>
    </row>
    <row r="400" spans="1:34" hidden="1" x14ac:dyDescent="0.2">
      <c r="A400" s="26" t="str">
        <f t="shared" si="390"/>
        <v>Río Negro</v>
      </c>
      <c r="B400" s="52">
        <f t="shared" si="391"/>
        <v>0</v>
      </c>
      <c r="C400" s="26" t="str">
        <f t="shared" si="392"/>
        <v>Río Negro 0</v>
      </c>
      <c r="D400" s="31">
        <f>VLOOKUP($A400,$A$4:$O$28,10,0)*(HLOOKUP(D$384,'2.2.Brecha Efectiva x UdM'!$H$64:$AK$71,6,0))</f>
        <v>0</v>
      </c>
      <c r="E400" s="31">
        <f>VLOOKUP($A400,$A$4:$O$28,10,0)*(HLOOKUP(E$384,'2.2.Brecha Efectiva x UdM'!$H$64:$AK$71,6,0))</f>
        <v>0</v>
      </c>
      <c r="F400" s="31">
        <f>VLOOKUP($A400,$A$4:$O$28,10,0)*(HLOOKUP(F$384,'2.2.Brecha Efectiva x UdM'!$H$64:$AK$71,6,0))</f>
        <v>0</v>
      </c>
      <c r="G400" s="31">
        <f>VLOOKUP($A400,$A$4:$O$28,10,0)*(HLOOKUP(G$384,'2.2.Brecha Efectiva x UdM'!$H$64:$AK$71,6,0))</f>
        <v>0</v>
      </c>
      <c r="H400" s="31">
        <f>VLOOKUP($A400,$A$4:$O$28,10,0)*(HLOOKUP(H$384,'2.2.Brecha Efectiva x UdM'!$H$64:$AK$71,6,0))</f>
        <v>0</v>
      </c>
      <c r="I400" s="31">
        <f>VLOOKUP($A400,$A$4:$O$28,10,0)*(HLOOKUP(I$384,'2.2.Brecha Efectiva x UdM'!$H$64:$AK$71,6,0))</f>
        <v>0</v>
      </c>
      <c r="J400" s="31">
        <f>VLOOKUP($A400,$A$4:$O$28,10,0)*(HLOOKUP(J$384,'2.2.Brecha Efectiva x UdM'!$H$64:$AK$71,6,0))</f>
        <v>0</v>
      </c>
      <c r="K400" s="31">
        <f>VLOOKUP($A400,$A$4:$O$28,10,0)*(HLOOKUP(K$384,'2.2.Brecha Efectiva x UdM'!$H$64:$AK$71,6,0))</f>
        <v>0</v>
      </c>
      <c r="L400" s="31">
        <f>VLOOKUP($A400,$A$4:$O$28,10,0)*(HLOOKUP(L$384,'2.2.Brecha Efectiva x UdM'!$H$64:$AK$71,6,0))</f>
        <v>0</v>
      </c>
      <c r="M400" s="31">
        <f>VLOOKUP($A400,$A$4:$O$28,10,0)*(HLOOKUP(M$384,'2.2.Brecha Efectiva x UdM'!$H$64:$AK$71,6,0))</f>
        <v>0</v>
      </c>
      <c r="N400" s="31">
        <f>VLOOKUP($A400,$A$4:$O$28,10,0)*(HLOOKUP(N$384,'2.2.Brecha Efectiva x UdM'!$H$64:$AK$71,6,0))</f>
        <v>0</v>
      </c>
      <c r="O400" s="31">
        <f>VLOOKUP($A400,$A$4:$O$28,10,0)*(HLOOKUP(O$384,'2.2.Brecha Efectiva x UdM'!$H$64:$AK$71,6,0))</f>
        <v>0</v>
      </c>
      <c r="P400" s="31">
        <f>VLOOKUP($A400,$A$4:$O$28,10,0)*(HLOOKUP(P$384,'2.2.Brecha Efectiva x UdM'!$H$64:$AK$71,6,0))</f>
        <v>0</v>
      </c>
      <c r="Q400" s="31">
        <f>VLOOKUP($A400,$A$4:$O$28,10,0)*(HLOOKUP(Q$384,'2.2.Brecha Efectiva x UdM'!$H$64:$AK$71,6,0))</f>
        <v>0</v>
      </c>
      <c r="R400" s="31">
        <f>VLOOKUP($A400,$A$4:$O$28,10,0)*(HLOOKUP(R$384,'2.2.Brecha Efectiva x UdM'!$H$64:$AK$71,6,0))</f>
        <v>0</v>
      </c>
      <c r="S400" s="31">
        <f>VLOOKUP($A400,$A$4:$O$28,10,0)*(HLOOKUP(S$384,'2.2.Brecha Efectiva x UdM'!$H$64:$AK$71,6,0))</f>
        <v>0</v>
      </c>
      <c r="T400" s="31">
        <f>VLOOKUP($A400,$A$4:$O$28,10,0)*(HLOOKUP(T$384,'2.2.Brecha Efectiva x UdM'!$H$64:$AK$71,6,0))</f>
        <v>0</v>
      </c>
      <c r="U400" s="31">
        <f>VLOOKUP($A400,$A$4:$O$28,10,0)*(HLOOKUP(U$384,'2.2.Brecha Efectiva x UdM'!$H$64:$AK$71,6,0))</f>
        <v>0</v>
      </c>
      <c r="V400" s="31">
        <f>VLOOKUP($A400,$A$4:$O$28,10,0)*(HLOOKUP(V$384,'2.2.Brecha Efectiva x UdM'!$H$64:$AK$71,6,0))</f>
        <v>0</v>
      </c>
      <c r="W400" s="31">
        <f>VLOOKUP($A400,$A$4:$O$28,10,0)*(HLOOKUP(W$384,'2.2.Brecha Efectiva x UdM'!$H$64:$AK$71,6,0))</f>
        <v>0</v>
      </c>
      <c r="X400" s="31">
        <f>VLOOKUP($A400,$A$4:$O$28,10,0)*(HLOOKUP(X$384,'2.2.Brecha Efectiva x UdM'!$H$64:$AK$71,6,0))</f>
        <v>0</v>
      </c>
      <c r="Y400" s="31">
        <f>VLOOKUP($A400,$A$4:$O$28,10,0)*(HLOOKUP(Y$384,'2.2.Brecha Efectiva x UdM'!$H$64:$AK$71,6,0))</f>
        <v>0</v>
      </c>
      <c r="Z400" s="31">
        <f>VLOOKUP($A400,$A$4:$O$28,10,0)*(HLOOKUP(Z$384,'2.2.Brecha Efectiva x UdM'!$H$64:$AK$71,6,0))</f>
        <v>0</v>
      </c>
      <c r="AA400" s="31">
        <f>VLOOKUP($A400,$A$4:$O$28,10,0)*(HLOOKUP(AA$384,'2.2.Brecha Efectiva x UdM'!$H$64:$AK$71,6,0))</f>
        <v>0</v>
      </c>
      <c r="AB400" s="31">
        <f>VLOOKUP($A400,$A$4:$O$28,10,0)*(HLOOKUP(AB$384,'2.2.Brecha Efectiva x UdM'!$H$64:$AK$71,6,0))</f>
        <v>0</v>
      </c>
      <c r="AC400" s="31">
        <f>VLOOKUP($A400,$A$4:$O$28,10,0)*(HLOOKUP(AC$384,'2.2.Brecha Efectiva x UdM'!$H$64:$AK$71,6,0))</f>
        <v>0</v>
      </c>
      <c r="AD400" s="31">
        <f>VLOOKUP($A400,$A$4:$O$28,10,0)*(HLOOKUP(AD$384,'2.2.Brecha Efectiva x UdM'!$H$64:$AK$71,6,0))</f>
        <v>0</v>
      </c>
      <c r="AE400" s="31">
        <f>VLOOKUP($A400,$A$4:$O$28,10,0)*(HLOOKUP(AE$384,'2.2.Brecha Efectiva x UdM'!$H$64:$AK$71,6,0))</f>
        <v>0</v>
      </c>
      <c r="AF400" s="31">
        <f>VLOOKUP($A400,$A$4:$O$28,10,0)*(HLOOKUP(AF$384,'2.2.Brecha Efectiva x UdM'!$H$64:$AK$71,6,0))</f>
        <v>0</v>
      </c>
      <c r="AG400" s="31">
        <f>VLOOKUP($A400,$A$4:$O$28,10,0)*(HLOOKUP(AG$384,'2.2.Brecha Efectiva x UdM'!$H$64:$AK$71,6,0))</f>
        <v>0</v>
      </c>
      <c r="AH400" s="63">
        <f t="shared" si="393"/>
        <v>0</v>
      </c>
    </row>
    <row r="401" spans="1:34" hidden="1" x14ac:dyDescent="0.2">
      <c r="A401" s="25" t="str">
        <f t="shared" si="390"/>
        <v>Salta</v>
      </c>
      <c r="B401" s="51">
        <f t="shared" si="391"/>
        <v>0</v>
      </c>
      <c r="C401" s="25" t="str">
        <f t="shared" si="392"/>
        <v>Salta 0</v>
      </c>
      <c r="D401" s="32">
        <f>VLOOKUP($A401,$A$4:$O$28,10,0)*(HLOOKUP(D$384,'2.2.Brecha Efectiva x UdM'!$H$64:$AK$71,6,0))</f>
        <v>0</v>
      </c>
      <c r="E401" s="32">
        <f>VLOOKUP($A401,$A$4:$O$28,10,0)*(HLOOKUP(E$384,'2.2.Brecha Efectiva x UdM'!$H$64:$AK$71,6,0))</f>
        <v>0</v>
      </c>
      <c r="F401" s="32">
        <f>VLOOKUP($A401,$A$4:$O$28,10,0)*(HLOOKUP(F$384,'2.2.Brecha Efectiva x UdM'!$H$64:$AK$71,6,0))</f>
        <v>0</v>
      </c>
      <c r="G401" s="32">
        <f>VLOOKUP($A401,$A$4:$O$28,10,0)*(HLOOKUP(G$384,'2.2.Brecha Efectiva x UdM'!$H$64:$AK$71,6,0))</f>
        <v>0</v>
      </c>
      <c r="H401" s="32">
        <f>VLOOKUP($A401,$A$4:$O$28,10,0)*(HLOOKUP(H$384,'2.2.Brecha Efectiva x UdM'!$H$64:$AK$71,6,0))</f>
        <v>0</v>
      </c>
      <c r="I401" s="32">
        <f>VLOOKUP($A401,$A$4:$O$28,10,0)*(HLOOKUP(I$384,'2.2.Brecha Efectiva x UdM'!$H$64:$AK$71,6,0))</f>
        <v>0</v>
      </c>
      <c r="J401" s="32">
        <f>VLOOKUP($A401,$A$4:$O$28,10,0)*(HLOOKUP(J$384,'2.2.Brecha Efectiva x UdM'!$H$64:$AK$71,6,0))</f>
        <v>0</v>
      </c>
      <c r="K401" s="32">
        <f>VLOOKUP($A401,$A$4:$O$28,10,0)*(HLOOKUP(K$384,'2.2.Brecha Efectiva x UdM'!$H$64:$AK$71,6,0))</f>
        <v>0</v>
      </c>
      <c r="L401" s="32">
        <f>VLOOKUP($A401,$A$4:$O$28,10,0)*(HLOOKUP(L$384,'2.2.Brecha Efectiva x UdM'!$H$64:$AK$71,6,0))</f>
        <v>0</v>
      </c>
      <c r="M401" s="32">
        <f>VLOOKUP($A401,$A$4:$O$28,10,0)*(HLOOKUP(M$384,'2.2.Brecha Efectiva x UdM'!$H$64:$AK$71,6,0))</f>
        <v>0</v>
      </c>
      <c r="N401" s="32">
        <f>VLOOKUP($A401,$A$4:$O$28,10,0)*(HLOOKUP(N$384,'2.2.Brecha Efectiva x UdM'!$H$64:$AK$71,6,0))</f>
        <v>0</v>
      </c>
      <c r="O401" s="32">
        <f>VLOOKUP($A401,$A$4:$O$28,10,0)*(HLOOKUP(O$384,'2.2.Brecha Efectiva x UdM'!$H$64:$AK$71,6,0))</f>
        <v>0</v>
      </c>
      <c r="P401" s="32">
        <f>VLOOKUP($A401,$A$4:$O$28,10,0)*(HLOOKUP(P$384,'2.2.Brecha Efectiva x UdM'!$H$64:$AK$71,6,0))</f>
        <v>0</v>
      </c>
      <c r="Q401" s="32">
        <f>VLOOKUP($A401,$A$4:$O$28,10,0)*(HLOOKUP(Q$384,'2.2.Brecha Efectiva x UdM'!$H$64:$AK$71,6,0))</f>
        <v>0</v>
      </c>
      <c r="R401" s="32">
        <f>VLOOKUP($A401,$A$4:$O$28,10,0)*(HLOOKUP(R$384,'2.2.Brecha Efectiva x UdM'!$H$64:$AK$71,6,0))</f>
        <v>0</v>
      </c>
      <c r="S401" s="32">
        <f>VLOOKUP($A401,$A$4:$O$28,10,0)*(HLOOKUP(S$384,'2.2.Brecha Efectiva x UdM'!$H$64:$AK$71,6,0))</f>
        <v>0</v>
      </c>
      <c r="T401" s="32">
        <f>VLOOKUP($A401,$A$4:$O$28,10,0)*(HLOOKUP(T$384,'2.2.Brecha Efectiva x UdM'!$H$64:$AK$71,6,0))</f>
        <v>0</v>
      </c>
      <c r="U401" s="32">
        <f>VLOOKUP($A401,$A$4:$O$28,10,0)*(HLOOKUP(U$384,'2.2.Brecha Efectiva x UdM'!$H$64:$AK$71,6,0))</f>
        <v>0</v>
      </c>
      <c r="V401" s="32">
        <f>VLOOKUP($A401,$A$4:$O$28,10,0)*(HLOOKUP(V$384,'2.2.Brecha Efectiva x UdM'!$H$64:$AK$71,6,0))</f>
        <v>0</v>
      </c>
      <c r="W401" s="32">
        <f>VLOOKUP($A401,$A$4:$O$28,10,0)*(HLOOKUP(W$384,'2.2.Brecha Efectiva x UdM'!$H$64:$AK$71,6,0))</f>
        <v>0</v>
      </c>
      <c r="X401" s="32">
        <f>VLOOKUP($A401,$A$4:$O$28,10,0)*(HLOOKUP(X$384,'2.2.Brecha Efectiva x UdM'!$H$64:$AK$71,6,0))</f>
        <v>0</v>
      </c>
      <c r="Y401" s="32">
        <f>VLOOKUP($A401,$A$4:$O$28,10,0)*(HLOOKUP(Y$384,'2.2.Brecha Efectiva x UdM'!$H$64:$AK$71,6,0))</f>
        <v>0</v>
      </c>
      <c r="Z401" s="32">
        <f>VLOOKUP($A401,$A$4:$O$28,10,0)*(HLOOKUP(Z$384,'2.2.Brecha Efectiva x UdM'!$H$64:$AK$71,6,0))</f>
        <v>0</v>
      </c>
      <c r="AA401" s="32">
        <f>VLOOKUP($A401,$A$4:$O$28,10,0)*(HLOOKUP(AA$384,'2.2.Brecha Efectiva x UdM'!$H$64:$AK$71,6,0))</f>
        <v>0</v>
      </c>
      <c r="AB401" s="32">
        <f>VLOOKUP($A401,$A$4:$O$28,10,0)*(HLOOKUP(AB$384,'2.2.Brecha Efectiva x UdM'!$H$64:$AK$71,6,0))</f>
        <v>0</v>
      </c>
      <c r="AC401" s="32">
        <f>VLOOKUP($A401,$A$4:$O$28,10,0)*(HLOOKUP(AC$384,'2.2.Brecha Efectiva x UdM'!$H$64:$AK$71,6,0))</f>
        <v>0</v>
      </c>
      <c r="AD401" s="32">
        <f>VLOOKUP($A401,$A$4:$O$28,10,0)*(HLOOKUP(AD$384,'2.2.Brecha Efectiva x UdM'!$H$64:$AK$71,6,0))</f>
        <v>0</v>
      </c>
      <c r="AE401" s="32">
        <f>VLOOKUP($A401,$A$4:$O$28,10,0)*(HLOOKUP(AE$384,'2.2.Brecha Efectiva x UdM'!$H$64:$AK$71,6,0))</f>
        <v>0</v>
      </c>
      <c r="AF401" s="32">
        <f>VLOOKUP($A401,$A$4:$O$28,10,0)*(HLOOKUP(AF$384,'2.2.Brecha Efectiva x UdM'!$H$64:$AK$71,6,0))</f>
        <v>0</v>
      </c>
      <c r="AG401" s="32">
        <f>VLOOKUP($A401,$A$4:$O$28,10,0)*(HLOOKUP(AG$384,'2.2.Brecha Efectiva x UdM'!$H$64:$AK$71,6,0))</f>
        <v>0</v>
      </c>
      <c r="AH401" s="62">
        <f t="shared" si="393"/>
        <v>0</v>
      </c>
    </row>
    <row r="402" spans="1:34" hidden="1" x14ac:dyDescent="0.2">
      <c r="A402" s="26" t="str">
        <f t="shared" si="390"/>
        <v>San Juan</v>
      </c>
      <c r="B402" s="52">
        <f t="shared" si="391"/>
        <v>0</v>
      </c>
      <c r="C402" s="26" t="str">
        <f t="shared" si="392"/>
        <v>San Juan 0</v>
      </c>
      <c r="D402" s="31">
        <f>VLOOKUP($A402,$A$4:$O$28,10,0)*(HLOOKUP(D$384,'2.2.Brecha Efectiva x UdM'!$H$64:$AK$71,6,0))</f>
        <v>0</v>
      </c>
      <c r="E402" s="31">
        <f>VLOOKUP($A402,$A$4:$O$28,10,0)*(HLOOKUP(E$384,'2.2.Brecha Efectiva x UdM'!$H$64:$AK$71,6,0))</f>
        <v>0</v>
      </c>
      <c r="F402" s="31">
        <f>VLOOKUP($A402,$A$4:$O$28,10,0)*(HLOOKUP(F$384,'2.2.Brecha Efectiva x UdM'!$H$64:$AK$71,6,0))</f>
        <v>0</v>
      </c>
      <c r="G402" s="31">
        <f>VLOOKUP($A402,$A$4:$O$28,10,0)*(HLOOKUP(G$384,'2.2.Brecha Efectiva x UdM'!$H$64:$AK$71,6,0))</f>
        <v>0</v>
      </c>
      <c r="H402" s="31">
        <f>VLOOKUP($A402,$A$4:$O$28,10,0)*(HLOOKUP(H$384,'2.2.Brecha Efectiva x UdM'!$H$64:$AK$71,6,0))</f>
        <v>0</v>
      </c>
      <c r="I402" s="31">
        <f>VLOOKUP($A402,$A$4:$O$28,10,0)*(HLOOKUP(I$384,'2.2.Brecha Efectiva x UdM'!$H$64:$AK$71,6,0))</f>
        <v>0</v>
      </c>
      <c r="J402" s="31">
        <f>VLOOKUP($A402,$A$4:$O$28,10,0)*(HLOOKUP(J$384,'2.2.Brecha Efectiva x UdM'!$H$64:$AK$71,6,0))</f>
        <v>0</v>
      </c>
      <c r="K402" s="31">
        <f>VLOOKUP($A402,$A$4:$O$28,10,0)*(HLOOKUP(K$384,'2.2.Brecha Efectiva x UdM'!$H$64:$AK$71,6,0))</f>
        <v>0</v>
      </c>
      <c r="L402" s="31">
        <f>VLOOKUP($A402,$A$4:$O$28,10,0)*(HLOOKUP(L$384,'2.2.Brecha Efectiva x UdM'!$H$64:$AK$71,6,0))</f>
        <v>0</v>
      </c>
      <c r="M402" s="31">
        <f>VLOOKUP($A402,$A$4:$O$28,10,0)*(HLOOKUP(M$384,'2.2.Brecha Efectiva x UdM'!$H$64:$AK$71,6,0))</f>
        <v>0</v>
      </c>
      <c r="N402" s="31">
        <f>VLOOKUP($A402,$A$4:$O$28,10,0)*(HLOOKUP(N$384,'2.2.Brecha Efectiva x UdM'!$H$64:$AK$71,6,0))</f>
        <v>0</v>
      </c>
      <c r="O402" s="31">
        <f>VLOOKUP($A402,$A$4:$O$28,10,0)*(HLOOKUP(O$384,'2.2.Brecha Efectiva x UdM'!$H$64:$AK$71,6,0))</f>
        <v>0</v>
      </c>
      <c r="P402" s="31">
        <f>VLOOKUP($A402,$A$4:$O$28,10,0)*(HLOOKUP(P$384,'2.2.Brecha Efectiva x UdM'!$H$64:$AK$71,6,0))</f>
        <v>0</v>
      </c>
      <c r="Q402" s="31">
        <f>VLOOKUP($A402,$A$4:$O$28,10,0)*(HLOOKUP(Q$384,'2.2.Brecha Efectiva x UdM'!$H$64:$AK$71,6,0))</f>
        <v>0</v>
      </c>
      <c r="R402" s="31">
        <f>VLOOKUP($A402,$A$4:$O$28,10,0)*(HLOOKUP(R$384,'2.2.Brecha Efectiva x UdM'!$H$64:$AK$71,6,0))</f>
        <v>0</v>
      </c>
      <c r="S402" s="31">
        <f>VLOOKUP($A402,$A$4:$O$28,10,0)*(HLOOKUP(S$384,'2.2.Brecha Efectiva x UdM'!$H$64:$AK$71,6,0))</f>
        <v>0</v>
      </c>
      <c r="T402" s="31">
        <f>VLOOKUP($A402,$A$4:$O$28,10,0)*(HLOOKUP(T$384,'2.2.Brecha Efectiva x UdM'!$H$64:$AK$71,6,0))</f>
        <v>0</v>
      </c>
      <c r="U402" s="31">
        <f>VLOOKUP($A402,$A$4:$O$28,10,0)*(HLOOKUP(U$384,'2.2.Brecha Efectiva x UdM'!$H$64:$AK$71,6,0))</f>
        <v>0</v>
      </c>
      <c r="V402" s="31">
        <f>VLOOKUP($A402,$A$4:$O$28,10,0)*(HLOOKUP(V$384,'2.2.Brecha Efectiva x UdM'!$H$64:$AK$71,6,0))</f>
        <v>0</v>
      </c>
      <c r="W402" s="31">
        <f>VLOOKUP($A402,$A$4:$O$28,10,0)*(HLOOKUP(W$384,'2.2.Brecha Efectiva x UdM'!$H$64:$AK$71,6,0))</f>
        <v>0</v>
      </c>
      <c r="X402" s="31">
        <f>VLOOKUP($A402,$A$4:$O$28,10,0)*(HLOOKUP(X$384,'2.2.Brecha Efectiva x UdM'!$H$64:$AK$71,6,0))</f>
        <v>0</v>
      </c>
      <c r="Y402" s="31">
        <f>VLOOKUP($A402,$A$4:$O$28,10,0)*(HLOOKUP(Y$384,'2.2.Brecha Efectiva x UdM'!$H$64:$AK$71,6,0))</f>
        <v>0</v>
      </c>
      <c r="Z402" s="31">
        <f>VLOOKUP($A402,$A$4:$O$28,10,0)*(HLOOKUP(Z$384,'2.2.Brecha Efectiva x UdM'!$H$64:$AK$71,6,0))</f>
        <v>0</v>
      </c>
      <c r="AA402" s="31">
        <f>VLOOKUP($A402,$A$4:$O$28,10,0)*(HLOOKUP(AA$384,'2.2.Brecha Efectiva x UdM'!$H$64:$AK$71,6,0))</f>
        <v>0</v>
      </c>
      <c r="AB402" s="31">
        <f>VLOOKUP($A402,$A$4:$O$28,10,0)*(HLOOKUP(AB$384,'2.2.Brecha Efectiva x UdM'!$H$64:$AK$71,6,0))</f>
        <v>0</v>
      </c>
      <c r="AC402" s="31">
        <f>VLOOKUP($A402,$A$4:$O$28,10,0)*(HLOOKUP(AC$384,'2.2.Brecha Efectiva x UdM'!$H$64:$AK$71,6,0))</f>
        <v>0</v>
      </c>
      <c r="AD402" s="31">
        <f>VLOOKUP($A402,$A$4:$O$28,10,0)*(HLOOKUP(AD$384,'2.2.Brecha Efectiva x UdM'!$H$64:$AK$71,6,0))</f>
        <v>0</v>
      </c>
      <c r="AE402" s="31">
        <f>VLOOKUP($A402,$A$4:$O$28,10,0)*(HLOOKUP(AE$384,'2.2.Brecha Efectiva x UdM'!$H$64:$AK$71,6,0))</f>
        <v>0</v>
      </c>
      <c r="AF402" s="31">
        <f>VLOOKUP($A402,$A$4:$O$28,10,0)*(HLOOKUP(AF$384,'2.2.Brecha Efectiva x UdM'!$H$64:$AK$71,6,0))</f>
        <v>0</v>
      </c>
      <c r="AG402" s="31">
        <f>VLOOKUP($A402,$A$4:$O$28,10,0)*(HLOOKUP(AG$384,'2.2.Brecha Efectiva x UdM'!$H$64:$AK$71,6,0))</f>
        <v>0</v>
      </c>
      <c r="AH402" s="63">
        <f t="shared" si="393"/>
        <v>0</v>
      </c>
    </row>
    <row r="403" spans="1:34" hidden="1" x14ac:dyDescent="0.2">
      <c r="A403" s="25" t="str">
        <f t="shared" si="390"/>
        <v>San Luis</v>
      </c>
      <c r="B403" s="51">
        <f t="shared" si="391"/>
        <v>0</v>
      </c>
      <c r="C403" s="25" t="str">
        <f t="shared" si="392"/>
        <v>San Luis 0</v>
      </c>
      <c r="D403" s="32">
        <f>VLOOKUP($A403,$A$4:$O$28,10,0)*(HLOOKUP(D$384,'2.2.Brecha Efectiva x UdM'!$H$64:$AK$71,6,0))</f>
        <v>0</v>
      </c>
      <c r="E403" s="32">
        <f>VLOOKUP($A403,$A$4:$O$28,10,0)*(HLOOKUP(E$384,'2.2.Brecha Efectiva x UdM'!$H$64:$AK$71,6,0))</f>
        <v>0</v>
      </c>
      <c r="F403" s="32">
        <f>VLOOKUP($A403,$A$4:$O$28,10,0)*(HLOOKUP(F$384,'2.2.Brecha Efectiva x UdM'!$H$64:$AK$71,6,0))</f>
        <v>0</v>
      </c>
      <c r="G403" s="32">
        <f>VLOOKUP($A403,$A$4:$O$28,10,0)*(HLOOKUP(G$384,'2.2.Brecha Efectiva x UdM'!$H$64:$AK$71,6,0))</f>
        <v>0</v>
      </c>
      <c r="H403" s="32">
        <f>VLOOKUP($A403,$A$4:$O$28,10,0)*(HLOOKUP(H$384,'2.2.Brecha Efectiva x UdM'!$H$64:$AK$71,6,0))</f>
        <v>0</v>
      </c>
      <c r="I403" s="32">
        <f>VLOOKUP($A403,$A$4:$O$28,10,0)*(HLOOKUP(I$384,'2.2.Brecha Efectiva x UdM'!$H$64:$AK$71,6,0))</f>
        <v>0</v>
      </c>
      <c r="J403" s="32">
        <f>VLOOKUP($A403,$A$4:$O$28,10,0)*(HLOOKUP(J$384,'2.2.Brecha Efectiva x UdM'!$H$64:$AK$71,6,0))</f>
        <v>0</v>
      </c>
      <c r="K403" s="32">
        <f>VLOOKUP($A403,$A$4:$O$28,10,0)*(HLOOKUP(K$384,'2.2.Brecha Efectiva x UdM'!$H$64:$AK$71,6,0))</f>
        <v>0</v>
      </c>
      <c r="L403" s="32">
        <f>VLOOKUP($A403,$A$4:$O$28,10,0)*(HLOOKUP(L$384,'2.2.Brecha Efectiva x UdM'!$H$64:$AK$71,6,0))</f>
        <v>0</v>
      </c>
      <c r="M403" s="32">
        <f>VLOOKUP($A403,$A$4:$O$28,10,0)*(HLOOKUP(M$384,'2.2.Brecha Efectiva x UdM'!$H$64:$AK$71,6,0))</f>
        <v>0</v>
      </c>
      <c r="N403" s="32">
        <f>VLOOKUP($A403,$A$4:$O$28,10,0)*(HLOOKUP(N$384,'2.2.Brecha Efectiva x UdM'!$H$64:$AK$71,6,0))</f>
        <v>0</v>
      </c>
      <c r="O403" s="32">
        <f>VLOOKUP($A403,$A$4:$O$28,10,0)*(HLOOKUP(O$384,'2.2.Brecha Efectiva x UdM'!$H$64:$AK$71,6,0))</f>
        <v>0</v>
      </c>
      <c r="P403" s="32">
        <f>VLOOKUP($A403,$A$4:$O$28,10,0)*(HLOOKUP(P$384,'2.2.Brecha Efectiva x UdM'!$H$64:$AK$71,6,0))</f>
        <v>0</v>
      </c>
      <c r="Q403" s="32">
        <f>VLOOKUP($A403,$A$4:$O$28,10,0)*(HLOOKUP(Q$384,'2.2.Brecha Efectiva x UdM'!$H$64:$AK$71,6,0))</f>
        <v>0</v>
      </c>
      <c r="R403" s="32">
        <f>VLOOKUP($A403,$A$4:$O$28,10,0)*(HLOOKUP(R$384,'2.2.Brecha Efectiva x UdM'!$H$64:$AK$71,6,0))</f>
        <v>0</v>
      </c>
      <c r="S403" s="32">
        <f>VLOOKUP($A403,$A$4:$O$28,10,0)*(HLOOKUP(S$384,'2.2.Brecha Efectiva x UdM'!$H$64:$AK$71,6,0))</f>
        <v>0</v>
      </c>
      <c r="T403" s="32">
        <f>VLOOKUP($A403,$A$4:$O$28,10,0)*(HLOOKUP(T$384,'2.2.Brecha Efectiva x UdM'!$H$64:$AK$71,6,0))</f>
        <v>0</v>
      </c>
      <c r="U403" s="32">
        <f>VLOOKUP($A403,$A$4:$O$28,10,0)*(HLOOKUP(U$384,'2.2.Brecha Efectiva x UdM'!$H$64:$AK$71,6,0))</f>
        <v>0</v>
      </c>
      <c r="V403" s="32">
        <f>VLOOKUP($A403,$A$4:$O$28,10,0)*(HLOOKUP(V$384,'2.2.Brecha Efectiva x UdM'!$H$64:$AK$71,6,0))</f>
        <v>0</v>
      </c>
      <c r="W403" s="32">
        <f>VLOOKUP($A403,$A$4:$O$28,10,0)*(HLOOKUP(W$384,'2.2.Brecha Efectiva x UdM'!$H$64:$AK$71,6,0))</f>
        <v>0</v>
      </c>
      <c r="X403" s="32">
        <f>VLOOKUP($A403,$A$4:$O$28,10,0)*(HLOOKUP(X$384,'2.2.Brecha Efectiva x UdM'!$H$64:$AK$71,6,0))</f>
        <v>0</v>
      </c>
      <c r="Y403" s="32">
        <f>VLOOKUP($A403,$A$4:$O$28,10,0)*(HLOOKUP(Y$384,'2.2.Brecha Efectiva x UdM'!$H$64:$AK$71,6,0))</f>
        <v>0</v>
      </c>
      <c r="Z403" s="32">
        <f>VLOOKUP($A403,$A$4:$O$28,10,0)*(HLOOKUP(Z$384,'2.2.Brecha Efectiva x UdM'!$H$64:$AK$71,6,0))</f>
        <v>0</v>
      </c>
      <c r="AA403" s="32">
        <f>VLOOKUP($A403,$A$4:$O$28,10,0)*(HLOOKUP(AA$384,'2.2.Brecha Efectiva x UdM'!$H$64:$AK$71,6,0))</f>
        <v>0</v>
      </c>
      <c r="AB403" s="32">
        <f>VLOOKUP($A403,$A$4:$O$28,10,0)*(HLOOKUP(AB$384,'2.2.Brecha Efectiva x UdM'!$H$64:$AK$71,6,0))</f>
        <v>0</v>
      </c>
      <c r="AC403" s="32">
        <f>VLOOKUP($A403,$A$4:$O$28,10,0)*(HLOOKUP(AC$384,'2.2.Brecha Efectiva x UdM'!$H$64:$AK$71,6,0))</f>
        <v>0</v>
      </c>
      <c r="AD403" s="32">
        <f>VLOOKUP($A403,$A$4:$O$28,10,0)*(HLOOKUP(AD$384,'2.2.Brecha Efectiva x UdM'!$H$64:$AK$71,6,0))</f>
        <v>0</v>
      </c>
      <c r="AE403" s="32">
        <f>VLOOKUP($A403,$A$4:$O$28,10,0)*(HLOOKUP(AE$384,'2.2.Brecha Efectiva x UdM'!$H$64:$AK$71,6,0))</f>
        <v>0</v>
      </c>
      <c r="AF403" s="32">
        <f>VLOOKUP($A403,$A$4:$O$28,10,0)*(HLOOKUP(AF$384,'2.2.Brecha Efectiva x UdM'!$H$64:$AK$71,6,0))</f>
        <v>0</v>
      </c>
      <c r="AG403" s="32">
        <f>VLOOKUP($A403,$A$4:$O$28,10,0)*(HLOOKUP(AG$384,'2.2.Brecha Efectiva x UdM'!$H$64:$AK$71,6,0))</f>
        <v>0</v>
      </c>
      <c r="AH403" s="62">
        <f t="shared" si="393"/>
        <v>0</v>
      </c>
    </row>
    <row r="404" spans="1:34" hidden="1" x14ac:dyDescent="0.2">
      <c r="A404" s="26" t="str">
        <f t="shared" si="390"/>
        <v>Santa Cruz</v>
      </c>
      <c r="B404" s="52">
        <f t="shared" si="391"/>
        <v>0</v>
      </c>
      <c r="C404" s="26" t="str">
        <f t="shared" si="392"/>
        <v>Santa Cruz 0</v>
      </c>
      <c r="D404" s="31">
        <f>VLOOKUP($A404,$A$4:$O$28,10,0)*(HLOOKUP(D$384,'2.2.Brecha Efectiva x UdM'!$H$64:$AK$71,6,0))</f>
        <v>0</v>
      </c>
      <c r="E404" s="31">
        <f>VLOOKUP($A404,$A$4:$O$28,10,0)*(HLOOKUP(E$384,'2.2.Brecha Efectiva x UdM'!$H$64:$AK$71,6,0))</f>
        <v>0</v>
      </c>
      <c r="F404" s="31">
        <f>VLOOKUP($A404,$A$4:$O$28,10,0)*(HLOOKUP(F$384,'2.2.Brecha Efectiva x UdM'!$H$64:$AK$71,6,0))</f>
        <v>0</v>
      </c>
      <c r="G404" s="31">
        <f>VLOOKUP($A404,$A$4:$O$28,10,0)*(HLOOKUP(G$384,'2.2.Brecha Efectiva x UdM'!$H$64:$AK$71,6,0))</f>
        <v>0</v>
      </c>
      <c r="H404" s="31">
        <f>VLOOKUP($A404,$A$4:$O$28,10,0)*(HLOOKUP(H$384,'2.2.Brecha Efectiva x UdM'!$H$64:$AK$71,6,0))</f>
        <v>0</v>
      </c>
      <c r="I404" s="31">
        <f>VLOOKUP($A404,$A$4:$O$28,10,0)*(HLOOKUP(I$384,'2.2.Brecha Efectiva x UdM'!$H$64:$AK$71,6,0))</f>
        <v>0</v>
      </c>
      <c r="J404" s="31">
        <f>VLOOKUP($A404,$A$4:$O$28,10,0)*(HLOOKUP(J$384,'2.2.Brecha Efectiva x UdM'!$H$64:$AK$71,6,0))</f>
        <v>0</v>
      </c>
      <c r="K404" s="31">
        <f>VLOOKUP($A404,$A$4:$O$28,10,0)*(HLOOKUP(K$384,'2.2.Brecha Efectiva x UdM'!$H$64:$AK$71,6,0))</f>
        <v>0</v>
      </c>
      <c r="L404" s="31">
        <f>VLOOKUP($A404,$A$4:$O$28,10,0)*(HLOOKUP(L$384,'2.2.Brecha Efectiva x UdM'!$H$64:$AK$71,6,0))</f>
        <v>0</v>
      </c>
      <c r="M404" s="31">
        <f>VLOOKUP($A404,$A$4:$O$28,10,0)*(HLOOKUP(M$384,'2.2.Brecha Efectiva x UdM'!$H$64:$AK$71,6,0))</f>
        <v>0</v>
      </c>
      <c r="N404" s="31">
        <f>VLOOKUP($A404,$A$4:$O$28,10,0)*(HLOOKUP(N$384,'2.2.Brecha Efectiva x UdM'!$H$64:$AK$71,6,0))</f>
        <v>0</v>
      </c>
      <c r="O404" s="31">
        <f>VLOOKUP($A404,$A$4:$O$28,10,0)*(HLOOKUP(O$384,'2.2.Brecha Efectiva x UdM'!$H$64:$AK$71,6,0))</f>
        <v>0</v>
      </c>
      <c r="P404" s="31">
        <f>VLOOKUP($A404,$A$4:$O$28,10,0)*(HLOOKUP(P$384,'2.2.Brecha Efectiva x UdM'!$H$64:$AK$71,6,0))</f>
        <v>0</v>
      </c>
      <c r="Q404" s="31">
        <f>VLOOKUP($A404,$A$4:$O$28,10,0)*(HLOOKUP(Q$384,'2.2.Brecha Efectiva x UdM'!$H$64:$AK$71,6,0))</f>
        <v>0</v>
      </c>
      <c r="R404" s="31">
        <f>VLOOKUP($A404,$A$4:$O$28,10,0)*(HLOOKUP(R$384,'2.2.Brecha Efectiva x UdM'!$H$64:$AK$71,6,0))</f>
        <v>0</v>
      </c>
      <c r="S404" s="31">
        <f>VLOOKUP($A404,$A$4:$O$28,10,0)*(HLOOKUP(S$384,'2.2.Brecha Efectiva x UdM'!$H$64:$AK$71,6,0))</f>
        <v>0</v>
      </c>
      <c r="T404" s="31">
        <f>VLOOKUP($A404,$A$4:$O$28,10,0)*(HLOOKUP(T$384,'2.2.Brecha Efectiva x UdM'!$H$64:$AK$71,6,0))</f>
        <v>0</v>
      </c>
      <c r="U404" s="31">
        <f>VLOOKUP($A404,$A$4:$O$28,10,0)*(HLOOKUP(U$384,'2.2.Brecha Efectiva x UdM'!$H$64:$AK$71,6,0))</f>
        <v>0</v>
      </c>
      <c r="V404" s="31">
        <f>VLOOKUP($A404,$A$4:$O$28,10,0)*(HLOOKUP(V$384,'2.2.Brecha Efectiva x UdM'!$H$64:$AK$71,6,0))</f>
        <v>0</v>
      </c>
      <c r="W404" s="31">
        <f>VLOOKUP($A404,$A$4:$O$28,10,0)*(HLOOKUP(W$384,'2.2.Brecha Efectiva x UdM'!$H$64:$AK$71,6,0))</f>
        <v>0</v>
      </c>
      <c r="X404" s="31">
        <f>VLOOKUP($A404,$A$4:$O$28,10,0)*(HLOOKUP(X$384,'2.2.Brecha Efectiva x UdM'!$H$64:$AK$71,6,0))</f>
        <v>0</v>
      </c>
      <c r="Y404" s="31">
        <f>VLOOKUP($A404,$A$4:$O$28,10,0)*(HLOOKUP(Y$384,'2.2.Brecha Efectiva x UdM'!$H$64:$AK$71,6,0))</f>
        <v>0</v>
      </c>
      <c r="Z404" s="31">
        <f>VLOOKUP($A404,$A$4:$O$28,10,0)*(HLOOKUP(Z$384,'2.2.Brecha Efectiva x UdM'!$H$64:$AK$71,6,0))</f>
        <v>0</v>
      </c>
      <c r="AA404" s="31">
        <f>VLOOKUP($A404,$A$4:$O$28,10,0)*(HLOOKUP(AA$384,'2.2.Brecha Efectiva x UdM'!$H$64:$AK$71,6,0))</f>
        <v>0</v>
      </c>
      <c r="AB404" s="31">
        <f>VLOOKUP($A404,$A$4:$O$28,10,0)*(HLOOKUP(AB$384,'2.2.Brecha Efectiva x UdM'!$H$64:$AK$71,6,0))</f>
        <v>0</v>
      </c>
      <c r="AC404" s="31">
        <f>VLOOKUP($A404,$A$4:$O$28,10,0)*(HLOOKUP(AC$384,'2.2.Brecha Efectiva x UdM'!$H$64:$AK$71,6,0))</f>
        <v>0</v>
      </c>
      <c r="AD404" s="31">
        <f>VLOOKUP($A404,$A$4:$O$28,10,0)*(HLOOKUP(AD$384,'2.2.Brecha Efectiva x UdM'!$H$64:$AK$71,6,0))</f>
        <v>0</v>
      </c>
      <c r="AE404" s="31">
        <f>VLOOKUP($A404,$A$4:$O$28,10,0)*(HLOOKUP(AE$384,'2.2.Brecha Efectiva x UdM'!$H$64:$AK$71,6,0))</f>
        <v>0</v>
      </c>
      <c r="AF404" s="31">
        <f>VLOOKUP($A404,$A$4:$O$28,10,0)*(HLOOKUP(AF$384,'2.2.Brecha Efectiva x UdM'!$H$64:$AK$71,6,0))</f>
        <v>0</v>
      </c>
      <c r="AG404" s="31">
        <f>VLOOKUP($A404,$A$4:$O$28,10,0)*(HLOOKUP(AG$384,'2.2.Brecha Efectiva x UdM'!$H$64:$AK$71,6,0))</f>
        <v>0</v>
      </c>
      <c r="AH404" s="63">
        <f t="shared" si="393"/>
        <v>0</v>
      </c>
    </row>
    <row r="405" spans="1:34" hidden="1" x14ac:dyDescent="0.2">
      <c r="A405" s="25" t="str">
        <f t="shared" si="390"/>
        <v>Santa Fe</v>
      </c>
      <c r="B405" s="51">
        <f t="shared" si="391"/>
        <v>0</v>
      </c>
      <c r="C405" s="25" t="str">
        <f t="shared" si="392"/>
        <v>Santa Fe 0</v>
      </c>
      <c r="D405" s="32">
        <f>VLOOKUP($A405,$A$4:$O$28,10,0)*(HLOOKUP(D$384,'2.2.Brecha Efectiva x UdM'!$H$64:$AK$71,6,0))</f>
        <v>0</v>
      </c>
      <c r="E405" s="32">
        <f>VLOOKUP($A405,$A$4:$O$28,10,0)*(HLOOKUP(E$384,'2.2.Brecha Efectiva x UdM'!$H$64:$AK$71,6,0))</f>
        <v>0</v>
      </c>
      <c r="F405" s="32">
        <f>VLOOKUP($A405,$A$4:$O$28,10,0)*(HLOOKUP(F$384,'2.2.Brecha Efectiva x UdM'!$H$64:$AK$71,6,0))</f>
        <v>0</v>
      </c>
      <c r="G405" s="32">
        <f>VLOOKUP($A405,$A$4:$O$28,10,0)*(HLOOKUP(G$384,'2.2.Brecha Efectiva x UdM'!$H$64:$AK$71,6,0))</f>
        <v>0</v>
      </c>
      <c r="H405" s="32">
        <f>VLOOKUP($A405,$A$4:$O$28,10,0)*(HLOOKUP(H$384,'2.2.Brecha Efectiva x UdM'!$H$64:$AK$71,6,0))</f>
        <v>0</v>
      </c>
      <c r="I405" s="32">
        <f>VLOOKUP($A405,$A$4:$O$28,10,0)*(HLOOKUP(I$384,'2.2.Brecha Efectiva x UdM'!$H$64:$AK$71,6,0))</f>
        <v>0</v>
      </c>
      <c r="J405" s="32">
        <f>VLOOKUP($A405,$A$4:$O$28,10,0)*(HLOOKUP(J$384,'2.2.Brecha Efectiva x UdM'!$H$64:$AK$71,6,0))</f>
        <v>0</v>
      </c>
      <c r="K405" s="32">
        <f>VLOOKUP($A405,$A$4:$O$28,10,0)*(HLOOKUP(K$384,'2.2.Brecha Efectiva x UdM'!$H$64:$AK$71,6,0))</f>
        <v>0</v>
      </c>
      <c r="L405" s="32">
        <f>VLOOKUP($A405,$A$4:$O$28,10,0)*(HLOOKUP(L$384,'2.2.Brecha Efectiva x UdM'!$H$64:$AK$71,6,0))</f>
        <v>0</v>
      </c>
      <c r="M405" s="32">
        <f>VLOOKUP($A405,$A$4:$O$28,10,0)*(HLOOKUP(M$384,'2.2.Brecha Efectiva x UdM'!$H$64:$AK$71,6,0))</f>
        <v>0</v>
      </c>
      <c r="N405" s="32">
        <f>VLOOKUP($A405,$A$4:$O$28,10,0)*(HLOOKUP(N$384,'2.2.Brecha Efectiva x UdM'!$H$64:$AK$71,6,0))</f>
        <v>0</v>
      </c>
      <c r="O405" s="32">
        <f>VLOOKUP($A405,$A$4:$O$28,10,0)*(HLOOKUP(O$384,'2.2.Brecha Efectiva x UdM'!$H$64:$AK$71,6,0))</f>
        <v>0</v>
      </c>
      <c r="P405" s="32">
        <f>VLOOKUP($A405,$A$4:$O$28,10,0)*(HLOOKUP(P$384,'2.2.Brecha Efectiva x UdM'!$H$64:$AK$71,6,0))</f>
        <v>0</v>
      </c>
      <c r="Q405" s="32">
        <f>VLOOKUP($A405,$A$4:$O$28,10,0)*(HLOOKUP(Q$384,'2.2.Brecha Efectiva x UdM'!$H$64:$AK$71,6,0))</f>
        <v>0</v>
      </c>
      <c r="R405" s="32">
        <f>VLOOKUP($A405,$A$4:$O$28,10,0)*(HLOOKUP(R$384,'2.2.Brecha Efectiva x UdM'!$H$64:$AK$71,6,0))</f>
        <v>0</v>
      </c>
      <c r="S405" s="32">
        <f>VLOOKUP($A405,$A$4:$O$28,10,0)*(HLOOKUP(S$384,'2.2.Brecha Efectiva x UdM'!$H$64:$AK$71,6,0))</f>
        <v>0</v>
      </c>
      <c r="T405" s="32">
        <f>VLOOKUP($A405,$A$4:$O$28,10,0)*(HLOOKUP(T$384,'2.2.Brecha Efectiva x UdM'!$H$64:$AK$71,6,0))</f>
        <v>0</v>
      </c>
      <c r="U405" s="32">
        <f>VLOOKUP($A405,$A$4:$O$28,10,0)*(HLOOKUP(U$384,'2.2.Brecha Efectiva x UdM'!$H$64:$AK$71,6,0))</f>
        <v>0</v>
      </c>
      <c r="V405" s="32">
        <f>VLOOKUP($A405,$A$4:$O$28,10,0)*(HLOOKUP(V$384,'2.2.Brecha Efectiva x UdM'!$H$64:$AK$71,6,0))</f>
        <v>0</v>
      </c>
      <c r="W405" s="32">
        <f>VLOOKUP($A405,$A$4:$O$28,10,0)*(HLOOKUP(W$384,'2.2.Brecha Efectiva x UdM'!$H$64:$AK$71,6,0))</f>
        <v>0</v>
      </c>
      <c r="X405" s="32">
        <f>VLOOKUP($A405,$A$4:$O$28,10,0)*(HLOOKUP(X$384,'2.2.Brecha Efectiva x UdM'!$H$64:$AK$71,6,0))</f>
        <v>0</v>
      </c>
      <c r="Y405" s="32">
        <f>VLOOKUP($A405,$A$4:$O$28,10,0)*(HLOOKUP(Y$384,'2.2.Brecha Efectiva x UdM'!$H$64:$AK$71,6,0))</f>
        <v>0</v>
      </c>
      <c r="Z405" s="32">
        <f>VLOOKUP($A405,$A$4:$O$28,10,0)*(HLOOKUP(Z$384,'2.2.Brecha Efectiva x UdM'!$H$64:$AK$71,6,0))</f>
        <v>0</v>
      </c>
      <c r="AA405" s="32">
        <f>VLOOKUP($A405,$A$4:$O$28,10,0)*(HLOOKUP(AA$384,'2.2.Brecha Efectiva x UdM'!$H$64:$AK$71,6,0))</f>
        <v>0</v>
      </c>
      <c r="AB405" s="32">
        <f>VLOOKUP($A405,$A$4:$O$28,10,0)*(HLOOKUP(AB$384,'2.2.Brecha Efectiva x UdM'!$H$64:$AK$71,6,0))</f>
        <v>0</v>
      </c>
      <c r="AC405" s="32">
        <f>VLOOKUP($A405,$A$4:$O$28,10,0)*(HLOOKUP(AC$384,'2.2.Brecha Efectiva x UdM'!$H$64:$AK$71,6,0))</f>
        <v>0</v>
      </c>
      <c r="AD405" s="32">
        <f>VLOOKUP($A405,$A$4:$O$28,10,0)*(HLOOKUP(AD$384,'2.2.Brecha Efectiva x UdM'!$H$64:$AK$71,6,0))</f>
        <v>0</v>
      </c>
      <c r="AE405" s="32">
        <f>VLOOKUP($A405,$A$4:$O$28,10,0)*(HLOOKUP(AE$384,'2.2.Brecha Efectiva x UdM'!$H$64:$AK$71,6,0))</f>
        <v>0</v>
      </c>
      <c r="AF405" s="32">
        <f>VLOOKUP($A405,$A$4:$O$28,10,0)*(HLOOKUP(AF$384,'2.2.Brecha Efectiva x UdM'!$H$64:$AK$71,6,0))</f>
        <v>0</v>
      </c>
      <c r="AG405" s="32">
        <f>VLOOKUP($A405,$A$4:$O$28,10,0)*(HLOOKUP(AG$384,'2.2.Brecha Efectiva x UdM'!$H$64:$AK$71,6,0))</f>
        <v>0</v>
      </c>
      <c r="AH405" s="62">
        <f t="shared" si="393"/>
        <v>0</v>
      </c>
    </row>
    <row r="406" spans="1:34" hidden="1" x14ac:dyDescent="0.2">
      <c r="A406" s="26" t="str">
        <f t="shared" si="390"/>
        <v>Santiago del Estero</v>
      </c>
      <c r="B406" s="52">
        <f t="shared" si="391"/>
        <v>0</v>
      </c>
      <c r="C406" s="26" t="str">
        <f t="shared" si="392"/>
        <v>Santiago del Estero 0</v>
      </c>
      <c r="D406" s="31">
        <f>VLOOKUP($A406,$A$4:$O$28,10,0)*(HLOOKUP(D$384,'2.2.Brecha Efectiva x UdM'!$H$64:$AK$71,6,0))</f>
        <v>0</v>
      </c>
      <c r="E406" s="31">
        <f>VLOOKUP($A406,$A$4:$O$28,10,0)*(HLOOKUP(E$384,'2.2.Brecha Efectiva x UdM'!$H$64:$AK$71,6,0))</f>
        <v>0</v>
      </c>
      <c r="F406" s="31">
        <f>VLOOKUP($A406,$A$4:$O$28,10,0)*(HLOOKUP(F$384,'2.2.Brecha Efectiva x UdM'!$H$64:$AK$71,6,0))</f>
        <v>0</v>
      </c>
      <c r="G406" s="31">
        <f>VLOOKUP($A406,$A$4:$O$28,10,0)*(HLOOKUP(G$384,'2.2.Brecha Efectiva x UdM'!$H$64:$AK$71,6,0))</f>
        <v>0</v>
      </c>
      <c r="H406" s="31">
        <f>VLOOKUP($A406,$A$4:$O$28,10,0)*(HLOOKUP(H$384,'2.2.Brecha Efectiva x UdM'!$H$64:$AK$71,6,0))</f>
        <v>0</v>
      </c>
      <c r="I406" s="31">
        <f>VLOOKUP($A406,$A$4:$O$28,10,0)*(HLOOKUP(I$384,'2.2.Brecha Efectiva x UdM'!$H$64:$AK$71,6,0))</f>
        <v>0</v>
      </c>
      <c r="J406" s="31">
        <f>VLOOKUP($A406,$A$4:$O$28,10,0)*(HLOOKUP(J$384,'2.2.Brecha Efectiva x UdM'!$H$64:$AK$71,6,0))</f>
        <v>0</v>
      </c>
      <c r="K406" s="31">
        <f>VLOOKUP($A406,$A$4:$O$28,10,0)*(HLOOKUP(K$384,'2.2.Brecha Efectiva x UdM'!$H$64:$AK$71,6,0))</f>
        <v>0</v>
      </c>
      <c r="L406" s="31">
        <f>VLOOKUP($A406,$A$4:$O$28,10,0)*(HLOOKUP(L$384,'2.2.Brecha Efectiva x UdM'!$H$64:$AK$71,6,0))</f>
        <v>0</v>
      </c>
      <c r="M406" s="31">
        <f>VLOOKUP($A406,$A$4:$O$28,10,0)*(HLOOKUP(M$384,'2.2.Brecha Efectiva x UdM'!$H$64:$AK$71,6,0))</f>
        <v>0</v>
      </c>
      <c r="N406" s="31">
        <f>VLOOKUP($A406,$A$4:$O$28,10,0)*(HLOOKUP(N$384,'2.2.Brecha Efectiva x UdM'!$H$64:$AK$71,6,0))</f>
        <v>0</v>
      </c>
      <c r="O406" s="31">
        <f>VLOOKUP($A406,$A$4:$O$28,10,0)*(HLOOKUP(O$384,'2.2.Brecha Efectiva x UdM'!$H$64:$AK$71,6,0))</f>
        <v>0</v>
      </c>
      <c r="P406" s="31">
        <f>VLOOKUP($A406,$A$4:$O$28,10,0)*(HLOOKUP(P$384,'2.2.Brecha Efectiva x UdM'!$H$64:$AK$71,6,0))</f>
        <v>0</v>
      </c>
      <c r="Q406" s="31">
        <f>VLOOKUP($A406,$A$4:$O$28,10,0)*(HLOOKUP(Q$384,'2.2.Brecha Efectiva x UdM'!$H$64:$AK$71,6,0))</f>
        <v>0</v>
      </c>
      <c r="R406" s="31">
        <f>VLOOKUP($A406,$A$4:$O$28,10,0)*(HLOOKUP(R$384,'2.2.Brecha Efectiva x UdM'!$H$64:$AK$71,6,0))</f>
        <v>0</v>
      </c>
      <c r="S406" s="31">
        <f>VLOOKUP($A406,$A$4:$O$28,10,0)*(HLOOKUP(S$384,'2.2.Brecha Efectiva x UdM'!$H$64:$AK$71,6,0))</f>
        <v>0</v>
      </c>
      <c r="T406" s="31">
        <f>VLOOKUP($A406,$A$4:$O$28,10,0)*(HLOOKUP(T$384,'2.2.Brecha Efectiva x UdM'!$H$64:$AK$71,6,0))</f>
        <v>0</v>
      </c>
      <c r="U406" s="31">
        <f>VLOOKUP($A406,$A$4:$O$28,10,0)*(HLOOKUP(U$384,'2.2.Brecha Efectiva x UdM'!$H$64:$AK$71,6,0))</f>
        <v>0</v>
      </c>
      <c r="V406" s="31">
        <f>VLOOKUP($A406,$A$4:$O$28,10,0)*(HLOOKUP(V$384,'2.2.Brecha Efectiva x UdM'!$H$64:$AK$71,6,0))</f>
        <v>0</v>
      </c>
      <c r="W406" s="31">
        <f>VLOOKUP($A406,$A$4:$O$28,10,0)*(HLOOKUP(W$384,'2.2.Brecha Efectiva x UdM'!$H$64:$AK$71,6,0))</f>
        <v>0</v>
      </c>
      <c r="X406" s="31">
        <f>VLOOKUP($A406,$A$4:$O$28,10,0)*(HLOOKUP(X$384,'2.2.Brecha Efectiva x UdM'!$H$64:$AK$71,6,0))</f>
        <v>0</v>
      </c>
      <c r="Y406" s="31">
        <f>VLOOKUP($A406,$A$4:$O$28,10,0)*(HLOOKUP(Y$384,'2.2.Brecha Efectiva x UdM'!$H$64:$AK$71,6,0))</f>
        <v>0</v>
      </c>
      <c r="Z406" s="31">
        <f>VLOOKUP($A406,$A$4:$O$28,10,0)*(HLOOKUP(Z$384,'2.2.Brecha Efectiva x UdM'!$H$64:$AK$71,6,0))</f>
        <v>0</v>
      </c>
      <c r="AA406" s="31">
        <f>VLOOKUP($A406,$A$4:$O$28,10,0)*(HLOOKUP(AA$384,'2.2.Brecha Efectiva x UdM'!$H$64:$AK$71,6,0))</f>
        <v>0</v>
      </c>
      <c r="AB406" s="31">
        <f>VLOOKUP($A406,$A$4:$O$28,10,0)*(HLOOKUP(AB$384,'2.2.Brecha Efectiva x UdM'!$H$64:$AK$71,6,0))</f>
        <v>0</v>
      </c>
      <c r="AC406" s="31">
        <f>VLOOKUP($A406,$A$4:$O$28,10,0)*(HLOOKUP(AC$384,'2.2.Brecha Efectiva x UdM'!$H$64:$AK$71,6,0))</f>
        <v>0</v>
      </c>
      <c r="AD406" s="31">
        <f>VLOOKUP($A406,$A$4:$O$28,10,0)*(HLOOKUP(AD$384,'2.2.Brecha Efectiva x UdM'!$H$64:$AK$71,6,0))</f>
        <v>0</v>
      </c>
      <c r="AE406" s="31">
        <f>VLOOKUP($A406,$A$4:$O$28,10,0)*(HLOOKUP(AE$384,'2.2.Brecha Efectiva x UdM'!$H$64:$AK$71,6,0))</f>
        <v>0</v>
      </c>
      <c r="AF406" s="31">
        <f>VLOOKUP($A406,$A$4:$O$28,10,0)*(HLOOKUP(AF$384,'2.2.Brecha Efectiva x UdM'!$H$64:$AK$71,6,0))</f>
        <v>0</v>
      </c>
      <c r="AG406" s="31">
        <f>VLOOKUP($A406,$A$4:$O$28,10,0)*(HLOOKUP(AG$384,'2.2.Brecha Efectiva x UdM'!$H$64:$AK$71,6,0))</f>
        <v>0</v>
      </c>
      <c r="AH406" s="63">
        <f t="shared" si="393"/>
        <v>0</v>
      </c>
    </row>
    <row r="407" spans="1:34" hidden="1" x14ac:dyDescent="0.2">
      <c r="A407" s="25" t="str">
        <f t="shared" si="390"/>
        <v>Tierra del Fuego</v>
      </c>
      <c r="B407" s="51">
        <f t="shared" si="391"/>
        <v>0</v>
      </c>
      <c r="C407" s="25" t="str">
        <f t="shared" si="392"/>
        <v>Tierra del Fuego 0</v>
      </c>
      <c r="D407" s="32">
        <f>VLOOKUP($A407,$A$4:$O$28,10,0)*(HLOOKUP(D$384,'2.2.Brecha Efectiva x UdM'!$H$64:$AK$71,6,0))</f>
        <v>0</v>
      </c>
      <c r="E407" s="32">
        <f>VLOOKUP($A407,$A$4:$O$28,10,0)*(HLOOKUP(E$384,'2.2.Brecha Efectiva x UdM'!$H$64:$AK$71,6,0))</f>
        <v>0</v>
      </c>
      <c r="F407" s="32">
        <f>VLOOKUP($A407,$A$4:$O$28,10,0)*(HLOOKUP(F$384,'2.2.Brecha Efectiva x UdM'!$H$64:$AK$71,6,0))</f>
        <v>0</v>
      </c>
      <c r="G407" s="32">
        <f>VLOOKUP($A407,$A$4:$O$28,10,0)*(HLOOKUP(G$384,'2.2.Brecha Efectiva x UdM'!$H$64:$AK$71,6,0))</f>
        <v>0</v>
      </c>
      <c r="H407" s="32">
        <f>VLOOKUP($A407,$A$4:$O$28,10,0)*(HLOOKUP(H$384,'2.2.Brecha Efectiva x UdM'!$H$64:$AK$71,6,0))</f>
        <v>0</v>
      </c>
      <c r="I407" s="32">
        <f>VLOOKUP($A407,$A$4:$O$28,10,0)*(HLOOKUP(I$384,'2.2.Brecha Efectiva x UdM'!$H$64:$AK$71,6,0))</f>
        <v>0</v>
      </c>
      <c r="J407" s="32">
        <f>VLOOKUP($A407,$A$4:$O$28,10,0)*(HLOOKUP(J$384,'2.2.Brecha Efectiva x UdM'!$H$64:$AK$71,6,0))</f>
        <v>0</v>
      </c>
      <c r="K407" s="32">
        <f>VLOOKUP($A407,$A$4:$O$28,10,0)*(HLOOKUP(K$384,'2.2.Brecha Efectiva x UdM'!$H$64:$AK$71,6,0))</f>
        <v>0</v>
      </c>
      <c r="L407" s="32">
        <f>VLOOKUP($A407,$A$4:$O$28,10,0)*(HLOOKUP(L$384,'2.2.Brecha Efectiva x UdM'!$H$64:$AK$71,6,0))</f>
        <v>0</v>
      </c>
      <c r="M407" s="32">
        <f>VLOOKUP($A407,$A$4:$O$28,10,0)*(HLOOKUP(M$384,'2.2.Brecha Efectiva x UdM'!$H$64:$AK$71,6,0))</f>
        <v>0</v>
      </c>
      <c r="N407" s="32">
        <f>VLOOKUP($A407,$A$4:$O$28,10,0)*(HLOOKUP(N$384,'2.2.Brecha Efectiva x UdM'!$H$64:$AK$71,6,0))</f>
        <v>0</v>
      </c>
      <c r="O407" s="32">
        <f>VLOOKUP($A407,$A$4:$O$28,10,0)*(HLOOKUP(O$384,'2.2.Brecha Efectiva x UdM'!$H$64:$AK$71,6,0))</f>
        <v>0</v>
      </c>
      <c r="P407" s="32">
        <f>VLOOKUP($A407,$A$4:$O$28,10,0)*(HLOOKUP(P$384,'2.2.Brecha Efectiva x UdM'!$H$64:$AK$71,6,0))</f>
        <v>0</v>
      </c>
      <c r="Q407" s="32">
        <f>VLOOKUP($A407,$A$4:$O$28,10,0)*(HLOOKUP(Q$384,'2.2.Brecha Efectiva x UdM'!$H$64:$AK$71,6,0))</f>
        <v>0</v>
      </c>
      <c r="R407" s="32">
        <f>VLOOKUP($A407,$A$4:$O$28,10,0)*(HLOOKUP(R$384,'2.2.Brecha Efectiva x UdM'!$H$64:$AK$71,6,0))</f>
        <v>0</v>
      </c>
      <c r="S407" s="32">
        <f>VLOOKUP($A407,$A$4:$O$28,10,0)*(HLOOKUP(S$384,'2.2.Brecha Efectiva x UdM'!$H$64:$AK$71,6,0))</f>
        <v>0</v>
      </c>
      <c r="T407" s="32">
        <f>VLOOKUP($A407,$A$4:$O$28,10,0)*(HLOOKUP(T$384,'2.2.Brecha Efectiva x UdM'!$H$64:$AK$71,6,0))</f>
        <v>0</v>
      </c>
      <c r="U407" s="32">
        <f>VLOOKUP($A407,$A$4:$O$28,10,0)*(HLOOKUP(U$384,'2.2.Brecha Efectiva x UdM'!$H$64:$AK$71,6,0))</f>
        <v>0</v>
      </c>
      <c r="V407" s="32">
        <f>VLOOKUP($A407,$A$4:$O$28,10,0)*(HLOOKUP(V$384,'2.2.Brecha Efectiva x UdM'!$H$64:$AK$71,6,0))</f>
        <v>0</v>
      </c>
      <c r="W407" s="32">
        <f>VLOOKUP($A407,$A$4:$O$28,10,0)*(HLOOKUP(W$384,'2.2.Brecha Efectiva x UdM'!$H$64:$AK$71,6,0))</f>
        <v>0</v>
      </c>
      <c r="X407" s="32">
        <f>VLOOKUP($A407,$A$4:$O$28,10,0)*(HLOOKUP(X$384,'2.2.Brecha Efectiva x UdM'!$H$64:$AK$71,6,0))</f>
        <v>0</v>
      </c>
      <c r="Y407" s="32">
        <f>VLOOKUP($A407,$A$4:$O$28,10,0)*(HLOOKUP(Y$384,'2.2.Brecha Efectiva x UdM'!$H$64:$AK$71,6,0))</f>
        <v>0</v>
      </c>
      <c r="Z407" s="32">
        <f>VLOOKUP($A407,$A$4:$O$28,10,0)*(HLOOKUP(Z$384,'2.2.Brecha Efectiva x UdM'!$H$64:$AK$71,6,0))</f>
        <v>0</v>
      </c>
      <c r="AA407" s="32">
        <f>VLOOKUP($A407,$A$4:$O$28,10,0)*(HLOOKUP(AA$384,'2.2.Brecha Efectiva x UdM'!$H$64:$AK$71,6,0))</f>
        <v>0</v>
      </c>
      <c r="AB407" s="32">
        <f>VLOOKUP($A407,$A$4:$O$28,10,0)*(HLOOKUP(AB$384,'2.2.Brecha Efectiva x UdM'!$H$64:$AK$71,6,0))</f>
        <v>0</v>
      </c>
      <c r="AC407" s="32">
        <f>VLOOKUP($A407,$A$4:$O$28,10,0)*(HLOOKUP(AC$384,'2.2.Brecha Efectiva x UdM'!$H$64:$AK$71,6,0))</f>
        <v>0</v>
      </c>
      <c r="AD407" s="32">
        <f>VLOOKUP($A407,$A$4:$O$28,10,0)*(HLOOKUP(AD$384,'2.2.Brecha Efectiva x UdM'!$H$64:$AK$71,6,0))</f>
        <v>0</v>
      </c>
      <c r="AE407" s="32">
        <f>VLOOKUP($A407,$A$4:$O$28,10,0)*(HLOOKUP(AE$384,'2.2.Brecha Efectiva x UdM'!$H$64:$AK$71,6,0))</f>
        <v>0</v>
      </c>
      <c r="AF407" s="32">
        <f>VLOOKUP($A407,$A$4:$O$28,10,0)*(HLOOKUP(AF$384,'2.2.Brecha Efectiva x UdM'!$H$64:$AK$71,6,0))</f>
        <v>0</v>
      </c>
      <c r="AG407" s="32">
        <f>VLOOKUP($A407,$A$4:$O$28,10,0)*(HLOOKUP(AG$384,'2.2.Brecha Efectiva x UdM'!$H$64:$AK$71,6,0))</f>
        <v>0</v>
      </c>
      <c r="AH407" s="62">
        <f t="shared" si="393"/>
        <v>0</v>
      </c>
    </row>
    <row r="408" spans="1:34" hidden="1" x14ac:dyDescent="0.2">
      <c r="A408" s="26" t="str">
        <f t="shared" si="390"/>
        <v>Tucumán</v>
      </c>
      <c r="B408" s="52">
        <f t="shared" si="391"/>
        <v>0</v>
      </c>
      <c r="C408" s="26" t="str">
        <f t="shared" si="392"/>
        <v>Tucumán 0</v>
      </c>
      <c r="D408" s="31">
        <f>VLOOKUP($A408,$A$4:$O$28,10,0)*(HLOOKUP(D$384,'2.2.Brecha Efectiva x UdM'!$H$64:$AK$71,6,0))</f>
        <v>0</v>
      </c>
      <c r="E408" s="31">
        <f>VLOOKUP($A408,$A$4:$O$28,10,0)*(HLOOKUP(E$384,'2.2.Brecha Efectiva x UdM'!$H$64:$AK$71,6,0))</f>
        <v>0</v>
      </c>
      <c r="F408" s="31">
        <f>VLOOKUP($A408,$A$4:$O$28,10,0)*(HLOOKUP(F$384,'2.2.Brecha Efectiva x UdM'!$H$64:$AK$71,6,0))</f>
        <v>0</v>
      </c>
      <c r="G408" s="31">
        <f>VLOOKUP($A408,$A$4:$O$28,10,0)*(HLOOKUP(G$384,'2.2.Brecha Efectiva x UdM'!$H$64:$AK$71,6,0))</f>
        <v>0</v>
      </c>
      <c r="H408" s="31">
        <f>VLOOKUP($A408,$A$4:$O$28,10,0)*(HLOOKUP(H$384,'2.2.Brecha Efectiva x UdM'!$H$64:$AK$71,6,0))</f>
        <v>0</v>
      </c>
      <c r="I408" s="31">
        <f>VLOOKUP($A408,$A$4:$O$28,10,0)*(HLOOKUP(I$384,'2.2.Brecha Efectiva x UdM'!$H$64:$AK$71,6,0))</f>
        <v>0</v>
      </c>
      <c r="J408" s="31">
        <f>VLOOKUP($A408,$A$4:$O$28,10,0)*(HLOOKUP(J$384,'2.2.Brecha Efectiva x UdM'!$H$64:$AK$71,6,0))</f>
        <v>0</v>
      </c>
      <c r="K408" s="31">
        <f>VLOOKUP($A408,$A$4:$O$28,10,0)*(HLOOKUP(K$384,'2.2.Brecha Efectiva x UdM'!$H$64:$AK$71,6,0))</f>
        <v>0</v>
      </c>
      <c r="L408" s="31">
        <f>VLOOKUP($A408,$A$4:$O$28,10,0)*(HLOOKUP(L$384,'2.2.Brecha Efectiva x UdM'!$H$64:$AK$71,6,0))</f>
        <v>0</v>
      </c>
      <c r="M408" s="31">
        <f>VLOOKUP($A408,$A$4:$O$28,10,0)*(HLOOKUP(M$384,'2.2.Brecha Efectiva x UdM'!$H$64:$AK$71,6,0))</f>
        <v>0</v>
      </c>
      <c r="N408" s="31">
        <f>VLOOKUP($A408,$A$4:$O$28,10,0)*(HLOOKUP(N$384,'2.2.Brecha Efectiva x UdM'!$H$64:$AK$71,6,0))</f>
        <v>0</v>
      </c>
      <c r="O408" s="31">
        <f>VLOOKUP($A408,$A$4:$O$28,10,0)*(HLOOKUP(O$384,'2.2.Brecha Efectiva x UdM'!$H$64:$AK$71,6,0))</f>
        <v>0</v>
      </c>
      <c r="P408" s="31">
        <f>VLOOKUP($A408,$A$4:$O$28,10,0)*(HLOOKUP(P$384,'2.2.Brecha Efectiva x UdM'!$H$64:$AK$71,6,0))</f>
        <v>0</v>
      </c>
      <c r="Q408" s="31">
        <f>VLOOKUP($A408,$A$4:$O$28,10,0)*(HLOOKUP(Q$384,'2.2.Brecha Efectiva x UdM'!$H$64:$AK$71,6,0))</f>
        <v>0</v>
      </c>
      <c r="R408" s="31">
        <f>VLOOKUP($A408,$A$4:$O$28,10,0)*(HLOOKUP(R$384,'2.2.Brecha Efectiva x UdM'!$H$64:$AK$71,6,0))</f>
        <v>0</v>
      </c>
      <c r="S408" s="31">
        <f>VLOOKUP($A408,$A$4:$O$28,10,0)*(HLOOKUP(S$384,'2.2.Brecha Efectiva x UdM'!$H$64:$AK$71,6,0))</f>
        <v>0</v>
      </c>
      <c r="T408" s="31">
        <f>VLOOKUP($A408,$A$4:$O$28,10,0)*(HLOOKUP(T$384,'2.2.Brecha Efectiva x UdM'!$H$64:$AK$71,6,0))</f>
        <v>0</v>
      </c>
      <c r="U408" s="31">
        <f>VLOOKUP($A408,$A$4:$O$28,10,0)*(HLOOKUP(U$384,'2.2.Brecha Efectiva x UdM'!$H$64:$AK$71,6,0))</f>
        <v>0</v>
      </c>
      <c r="V408" s="31">
        <f>VLOOKUP($A408,$A$4:$O$28,10,0)*(HLOOKUP(V$384,'2.2.Brecha Efectiva x UdM'!$H$64:$AK$71,6,0))</f>
        <v>0</v>
      </c>
      <c r="W408" s="31">
        <f>VLOOKUP($A408,$A$4:$O$28,10,0)*(HLOOKUP(W$384,'2.2.Brecha Efectiva x UdM'!$H$64:$AK$71,6,0))</f>
        <v>0</v>
      </c>
      <c r="X408" s="31">
        <f>VLOOKUP($A408,$A$4:$O$28,10,0)*(HLOOKUP(X$384,'2.2.Brecha Efectiva x UdM'!$H$64:$AK$71,6,0))</f>
        <v>0</v>
      </c>
      <c r="Y408" s="31">
        <f>VLOOKUP($A408,$A$4:$O$28,10,0)*(HLOOKUP(Y$384,'2.2.Brecha Efectiva x UdM'!$H$64:$AK$71,6,0))</f>
        <v>0</v>
      </c>
      <c r="Z408" s="31">
        <f>VLOOKUP($A408,$A$4:$O$28,10,0)*(HLOOKUP(Z$384,'2.2.Brecha Efectiva x UdM'!$H$64:$AK$71,6,0))</f>
        <v>0</v>
      </c>
      <c r="AA408" s="31">
        <f>VLOOKUP($A408,$A$4:$O$28,10,0)*(HLOOKUP(AA$384,'2.2.Brecha Efectiva x UdM'!$H$64:$AK$71,6,0))</f>
        <v>0</v>
      </c>
      <c r="AB408" s="31">
        <f>VLOOKUP($A408,$A$4:$O$28,10,0)*(HLOOKUP(AB$384,'2.2.Brecha Efectiva x UdM'!$H$64:$AK$71,6,0))</f>
        <v>0</v>
      </c>
      <c r="AC408" s="31">
        <f>VLOOKUP($A408,$A$4:$O$28,10,0)*(HLOOKUP(AC$384,'2.2.Brecha Efectiva x UdM'!$H$64:$AK$71,6,0))</f>
        <v>0</v>
      </c>
      <c r="AD408" s="31">
        <f>VLOOKUP($A408,$A$4:$O$28,10,0)*(HLOOKUP(AD$384,'2.2.Brecha Efectiva x UdM'!$H$64:$AK$71,6,0))</f>
        <v>0</v>
      </c>
      <c r="AE408" s="31">
        <f>VLOOKUP($A408,$A$4:$O$28,10,0)*(HLOOKUP(AE$384,'2.2.Brecha Efectiva x UdM'!$H$64:$AK$71,6,0))</f>
        <v>0</v>
      </c>
      <c r="AF408" s="31">
        <f>VLOOKUP($A408,$A$4:$O$28,10,0)*(HLOOKUP(AF$384,'2.2.Brecha Efectiva x UdM'!$H$64:$AK$71,6,0))</f>
        <v>0</v>
      </c>
      <c r="AG408" s="31">
        <f>VLOOKUP($A408,$A$4:$O$28,10,0)*(HLOOKUP(AG$384,'2.2.Brecha Efectiva x UdM'!$H$64:$AK$71,6,0))</f>
        <v>0</v>
      </c>
      <c r="AH408" s="63">
        <f t="shared" si="393"/>
        <v>0</v>
      </c>
    </row>
    <row r="409" spans="1:34" hidden="1" x14ac:dyDescent="0.2">
      <c r="A409" s="34" t="str">
        <f>CONCATENATE("Total"," ",B385)</f>
        <v>Total 0</v>
      </c>
      <c r="B409" s="29"/>
      <c r="C409" s="13"/>
      <c r="D409" s="13">
        <f>SUM(D385:D408)</f>
        <v>0</v>
      </c>
      <c r="E409" s="13">
        <f t="shared" ref="E409:AG409" si="394">SUM(E385:E408)</f>
        <v>0</v>
      </c>
      <c r="F409" s="13">
        <f t="shared" si="394"/>
        <v>0</v>
      </c>
      <c r="G409" s="13">
        <f t="shared" si="394"/>
        <v>0</v>
      </c>
      <c r="H409" s="13">
        <f t="shared" si="394"/>
        <v>0</v>
      </c>
      <c r="I409" s="13">
        <f t="shared" si="394"/>
        <v>0</v>
      </c>
      <c r="J409" s="13">
        <f t="shared" si="394"/>
        <v>0</v>
      </c>
      <c r="K409" s="13">
        <f t="shared" si="394"/>
        <v>0</v>
      </c>
      <c r="L409" s="13">
        <f t="shared" si="394"/>
        <v>0</v>
      </c>
      <c r="M409" s="13">
        <f t="shared" si="394"/>
        <v>0</v>
      </c>
      <c r="N409" s="13">
        <f t="shared" si="394"/>
        <v>0</v>
      </c>
      <c r="O409" s="13">
        <f t="shared" si="394"/>
        <v>0</v>
      </c>
      <c r="P409" s="13">
        <f t="shared" si="394"/>
        <v>0</v>
      </c>
      <c r="Q409" s="13">
        <f t="shared" si="394"/>
        <v>0</v>
      </c>
      <c r="R409" s="13">
        <f t="shared" si="394"/>
        <v>0</v>
      </c>
      <c r="S409" s="13">
        <f t="shared" si="394"/>
        <v>0</v>
      </c>
      <c r="T409" s="13">
        <f t="shared" si="394"/>
        <v>0</v>
      </c>
      <c r="U409" s="13">
        <f t="shared" si="394"/>
        <v>0</v>
      </c>
      <c r="V409" s="13">
        <f t="shared" si="394"/>
        <v>0</v>
      </c>
      <c r="W409" s="13">
        <f t="shared" si="394"/>
        <v>0</v>
      </c>
      <c r="X409" s="13">
        <f t="shared" si="394"/>
        <v>0</v>
      </c>
      <c r="Y409" s="13">
        <f t="shared" si="394"/>
        <v>0</v>
      </c>
      <c r="Z409" s="13">
        <f t="shared" si="394"/>
        <v>0</v>
      </c>
      <c r="AA409" s="13">
        <f t="shared" si="394"/>
        <v>0</v>
      </c>
      <c r="AB409" s="13">
        <f t="shared" si="394"/>
        <v>0</v>
      </c>
      <c r="AC409" s="13">
        <f t="shared" si="394"/>
        <v>0</v>
      </c>
      <c r="AD409" s="13">
        <f t="shared" si="394"/>
        <v>0</v>
      </c>
      <c r="AE409" s="13">
        <f t="shared" si="394"/>
        <v>0</v>
      </c>
      <c r="AF409" s="13">
        <f t="shared" si="394"/>
        <v>0</v>
      </c>
      <c r="AG409" s="13">
        <f t="shared" si="394"/>
        <v>0</v>
      </c>
      <c r="AH409" s="13">
        <f t="shared" si="393"/>
        <v>0</v>
      </c>
    </row>
    <row r="410" spans="1:34" hidden="1" x14ac:dyDescent="0.2">
      <c r="A410" s="34" t="str">
        <f>CONCATENATE("Total Acumulado"," ",B385)</f>
        <v>Total Acumulado 0</v>
      </c>
      <c r="B410" s="29"/>
      <c r="C410" s="13"/>
      <c r="D410" s="13">
        <f>D409</f>
        <v>0</v>
      </c>
      <c r="E410" s="13">
        <f>E409+D410</f>
        <v>0</v>
      </c>
      <c r="F410" s="13">
        <f t="shared" ref="F410" si="395">F409+E410</f>
        <v>0</v>
      </c>
      <c r="G410" s="13">
        <f t="shared" ref="G410" si="396">G409+F410</f>
        <v>0</v>
      </c>
      <c r="H410" s="13">
        <f t="shared" ref="H410" si="397">H409+G410</f>
        <v>0</v>
      </c>
      <c r="I410" s="13">
        <f t="shared" ref="I410" si="398">I409+H410</f>
        <v>0</v>
      </c>
      <c r="J410" s="13">
        <f t="shared" ref="J410" si="399">J409+I410</f>
        <v>0</v>
      </c>
      <c r="K410" s="13">
        <f t="shared" ref="K410" si="400">K409+J410</f>
        <v>0</v>
      </c>
      <c r="L410" s="13">
        <f t="shared" ref="L410" si="401">L409+K410</f>
        <v>0</v>
      </c>
      <c r="M410" s="13">
        <f t="shared" ref="M410" si="402">M409+L410</f>
        <v>0</v>
      </c>
      <c r="N410" s="13">
        <f t="shared" ref="N410" si="403">N409+M410</f>
        <v>0</v>
      </c>
      <c r="O410" s="13">
        <f t="shared" ref="O410" si="404">O409+N410</f>
        <v>0</v>
      </c>
      <c r="P410" s="13">
        <f t="shared" ref="P410" si="405">P409+O410</f>
        <v>0</v>
      </c>
      <c r="Q410" s="13">
        <f t="shared" ref="Q410" si="406">Q409+P410</f>
        <v>0</v>
      </c>
      <c r="R410" s="13">
        <f t="shared" ref="R410" si="407">R409+Q410</f>
        <v>0</v>
      </c>
      <c r="S410" s="13">
        <f t="shared" ref="S410" si="408">S409+R410</f>
        <v>0</v>
      </c>
      <c r="T410" s="13">
        <f t="shared" ref="T410" si="409">T409+S410</f>
        <v>0</v>
      </c>
      <c r="U410" s="13">
        <f t="shared" ref="U410" si="410">U409+T410</f>
        <v>0</v>
      </c>
      <c r="V410" s="13">
        <f t="shared" ref="V410" si="411">V409+U410</f>
        <v>0</v>
      </c>
      <c r="W410" s="13">
        <f t="shared" ref="W410" si="412">W409+V410</f>
        <v>0</v>
      </c>
      <c r="X410" s="13">
        <f t="shared" ref="X410" si="413">X409+W410</f>
        <v>0</v>
      </c>
      <c r="Y410" s="13">
        <f t="shared" ref="Y410" si="414">Y409+X410</f>
        <v>0</v>
      </c>
      <c r="Z410" s="13">
        <f t="shared" ref="Z410" si="415">Z409+Y410</f>
        <v>0</v>
      </c>
      <c r="AA410" s="13">
        <f t="shared" ref="AA410" si="416">AA409+Z410</f>
        <v>0</v>
      </c>
      <c r="AB410" s="13">
        <f t="shared" ref="AB410" si="417">AB409+AA410</f>
        <v>0</v>
      </c>
      <c r="AC410" s="13">
        <f t="shared" ref="AC410" si="418">AC409+AB410</f>
        <v>0</v>
      </c>
      <c r="AD410" s="13">
        <f t="shared" ref="AD410" si="419">AD409+AC410</f>
        <v>0</v>
      </c>
      <c r="AE410" s="13">
        <f t="shared" ref="AE410" si="420">AE409+AD410</f>
        <v>0</v>
      </c>
      <c r="AF410" s="13">
        <f t="shared" ref="AF410" si="421">AF409+AE410</f>
        <v>0</v>
      </c>
      <c r="AG410" s="13">
        <f t="shared" ref="AG410" si="422">AG409+AF410</f>
        <v>0</v>
      </c>
    </row>
    <row r="411" spans="1:34" hidden="1" x14ac:dyDescent="0.2"/>
    <row r="412" spans="1:34" hidden="1" x14ac:dyDescent="0.2">
      <c r="A412" s="33" t="s">
        <v>41</v>
      </c>
      <c r="D412" t="b">
        <f>D409='2.2.Brecha Efectiva x UdM'!H69</f>
        <v>1</v>
      </c>
      <c r="E412" t="b">
        <f>E409='2.2.Brecha Efectiva x UdM'!I69</f>
        <v>1</v>
      </c>
      <c r="F412" t="b">
        <f>F409='2.2.Brecha Efectiva x UdM'!J69</f>
        <v>1</v>
      </c>
      <c r="G412" t="b">
        <f>G409='2.2.Brecha Efectiva x UdM'!K69</f>
        <v>1</v>
      </c>
    </row>
    <row r="413" spans="1:34" hidden="1" x14ac:dyDescent="0.2">
      <c r="G413" t="b">
        <f>AG410=SUM('2.2.Brecha Efectiva x UdM'!H69:AK69)</f>
        <v>1</v>
      </c>
    </row>
    <row r="414" spans="1:34" hidden="1" x14ac:dyDescent="0.2"/>
    <row r="415" spans="1:34" hidden="1" x14ac:dyDescent="0.2">
      <c r="A415" s="46" t="s">
        <v>106</v>
      </c>
    </row>
    <row r="416" spans="1:34" hidden="1" x14ac:dyDescent="0.2"/>
    <row r="417" spans="1:34" hidden="1" x14ac:dyDescent="0.2">
      <c r="A417" s="24" t="s">
        <v>18</v>
      </c>
      <c r="B417" s="24" t="s">
        <v>42</v>
      </c>
      <c r="C417" s="24" t="s">
        <v>43</v>
      </c>
      <c r="D417" s="6">
        <v>2024</v>
      </c>
      <c r="E417" s="6">
        <v>2025</v>
      </c>
      <c r="F417" s="6">
        <v>2026</v>
      </c>
      <c r="G417" s="6">
        <v>2027</v>
      </c>
      <c r="H417" s="6">
        <v>2028</v>
      </c>
      <c r="I417" s="6">
        <v>2029</v>
      </c>
      <c r="J417" s="6">
        <v>2030</v>
      </c>
      <c r="K417" s="6">
        <v>2031</v>
      </c>
      <c r="L417" s="6">
        <v>2032</v>
      </c>
      <c r="M417" s="6">
        <v>2033</v>
      </c>
      <c r="N417" s="50">
        <v>2034</v>
      </c>
      <c r="O417" s="50">
        <v>2035</v>
      </c>
      <c r="P417" s="50">
        <v>2036</v>
      </c>
      <c r="Q417" s="50">
        <v>2037</v>
      </c>
      <c r="R417" s="50">
        <v>2038</v>
      </c>
      <c r="S417" s="50">
        <v>2039</v>
      </c>
      <c r="T417" s="50">
        <v>2040</v>
      </c>
      <c r="U417" s="50">
        <v>2041</v>
      </c>
      <c r="V417" s="50">
        <v>2042</v>
      </c>
      <c r="W417" s="50">
        <v>2043</v>
      </c>
      <c r="X417" s="50">
        <v>2044</v>
      </c>
      <c r="Y417" s="50">
        <v>2045</v>
      </c>
      <c r="Z417" s="50">
        <v>2046</v>
      </c>
      <c r="AA417" s="50">
        <v>2047</v>
      </c>
      <c r="AB417" s="50">
        <v>2048</v>
      </c>
      <c r="AC417" s="50">
        <v>2049</v>
      </c>
      <c r="AD417" s="50">
        <v>2050</v>
      </c>
      <c r="AE417" s="50">
        <v>2051</v>
      </c>
      <c r="AF417" s="50">
        <v>2052</v>
      </c>
      <c r="AG417" s="50">
        <v>2053</v>
      </c>
      <c r="AH417" s="6" t="s">
        <v>1</v>
      </c>
    </row>
    <row r="418" spans="1:34" hidden="1" x14ac:dyDescent="0.2">
      <c r="A418" s="25" t="str">
        <f t="shared" ref="A418:A441" si="423">A4</f>
        <v>Buenos Aires</v>
      </c>
      <c r="B418" s="51">
        <f>$M$3</f>
        <v>0</v>
      </c>
      <c r="C418" s="25" t="str">
        <f>CONCATENATE(A418," ",B418)</f>
        <v>Buenos Aires 0</v>
      </c>
      <c r="D418" s="32">
        <f>VLOOKUP($A418,$A$4:$O$28,12,0)*(HLOOKUP(D$417,'2.2.Brecha Efectiva x UdM'!$H$64:$AK$71,7,0))</f>
        <v>0</v>
      </c>
      <c r="E418" s="32">
        <f>VLOOKUP($A418,$A$4:$O$28,12,0)*(HLOOKUP(E$417,'2.2.Brecha Efectiva x UdM'!$H$64:$AK$71,7,0))</f>
        <v>0</v>
      </c>
      <c r="F418" s="32">
        <f>VLOOKUP($A418,$A$4:$O$28,12,0)*(HLOOKUP(F$417,'2.2.Brecha Efectiva x UdM'!$H$64:$AK$71,7,0))</f>
        <v>0</v>
      </c>
      <c r="G418" s="32">
        <f>VLOOKUP($A418,$A$4:$O$28,12,0)*(HLOOKUP(G$417,'2.2.Brecha Efectiva x UdM'!$H$64:$AK$71,7,0))</f>
        <v>0</v>
      </c>
      <c r="H418" s="32">
        <f>VLOOKUP($A418,$A$4:$O$28,12,0)*(HLOOKUP(H$417,'2.2.Brecha Efectiva x UdM'!$H$64:$AK$71,7,0))</f>
        <v>0</v>
      </c>
      <c r="I418" s="32">
        <f>VLOOKUP($A418,$A$4:$O$28,12,0)*(HLOOKUP(I$417,'2.2.Brecha Efectiva x UdM'!$H$64:$AK$71,7,0))</f>
        <v>0</v>
      </c>
      <c r="J418" s="32">
        <f>VLOOKUP($A418,$A$4:$O$28,12,0)*(HLOOKUP(J$417,'2.2.Brecha Efectiva x UdM'!$H$64:$AK$71,7,0))</f>
        <v>0</v>
      </c>
      <c r="K418" s="32">
        <f>VLOOKUP($A418,$A$4:$O$28,12,0)*(HLOOKUP(K$417,'2.2.Brecha Efectiva x UdM'!$H$64:$AK$71,7,0))</f>
        <v>0</v>
      </c>
      <c r="L418" s="32">
        <f>VLOOKUP($A418,$A$4:$O$28,12,0)*(HLOOKUP(L$417,'2.2.Brecha Efectiva x UdM'!$H$64:$AK$71,7,0))</f>
        <v>0</v>
      </c>
      <c r="M418" s="32">
        <f>VLOOKUP($A418,$A$4:$O$28,12,0)*(HLOOKUP(M$417,'2.2.Brecha Efectiva x UdM'!$H$64:$AK$71,7,0))</f>
        <v>0</v>
      </c>
      <c r="N418" s="32">
        <f>VLOOKUP($A418,$A$4:$O$28,12,0)*(HLOOKUP(N$417,'2.2.Brecha Efectiva x UdM'!$H$64:$AK$71,7,0))</f>
        <v>0</v>
      </c>
      <c r="O418" s="32">
        <f>VLOOKUP($A418,$A$4:$O$28,12,0)*(HLOOKUP(O$417,'2.2.Brecha Efectiva x UdM'!$H$64:$AK$71,7,0))</f>
        <v>0</v>
      </c>
      <c r="P418" s="32">
        <f>VLOOKUP($A418,$A$4:$O$28,12,0)*(HLOOKUP(P$417,'2.2.Brecha Efectiva x UdM'!$H$64:$AK$71,7,0))</f>
        <v>0</v>
      </c>
      <c r="Q418" s="32">
        <f>VLOOKUP($A418,$A$4:$O$28,12,0)*(HLOOKUP(Q$417,'2.2.Brecha Efectiva x UdM'!$H$64:$AK$71,7,0))</f>
        <v>0</v>
      </c>
      <c r="R418" s="32">
        <f>VLOOKUP($A418,$A$4:$O$28,12,0)*(HLOOKUP(R$417,'2.2.Brecha Efectiva x UdM'!$H$64:$AK$71,7,0))</f>
        <v>0</v>
      </c>
      <c r="S418" s="32">
        <f>VLOOKUP($A418,$A$4:$O$28,12,0)*(HLOOKUP(S$417,'2.2.Brecha Efectiva x UdM'!$H$64:$AK$71,7,0))</f>
        <v>0</v>
      </c>
      <c r="T418" s="32">
        <f>VLOOKUP($A418,$A$4:$O$28,12,0)*(HLOOKUP(T$417,'2.2.Brecha Efectiva x UdM'!$H$64:$AK$71,7,0))</f>
        <v>0</v>
      </c>
      <c r="U418" s="32">
        <f>VLOOKUP($A418,$A$4:$O$28,12,0)*(HLOOKUP(U$417,'2.2.Brecha Efectiva x UdM'!$H$64:$AK$71,7,0))</f>
        <v>0</v>
      </c>
      <c r="V418" s="32">
        <f>VLOOKUP($A418,$A$4:$O$28,12,0)*(HLOOKUP(V$417,'2.2.Brecha Efectiva x UdM'!$H$64:$AK$71,7,0))</f>
        <v>0</v>
      </c>
      <c r="W418" s="32">
        <f>VLOOKUP($A418,$A$4:$O$28,12,0)*(HLOOKUP(W$417,'2.2.Brecha Efectiva x UdM'!$H$64:$AK$71,7,0))</f>
        <v>0</v>
      </c>
      <c r="X418" s="32">
        <f>VLOOKUP($A418,$A$4:$O$28,12,0)*(HLOOKUP(X$417,'2.2.Brecha Efectiva x UdM'!$H$64:$AK$71,7,0))</f>
        <v>0</v>
      </c>
      <c r="Y418" s="32">
        <f>VLOOKUP($A418,$A$4:$O$28,12,0)*(HLOOKUP(Y$417,'2.2.Brecha Efectiva x UdM'!$H$64:$AK$71,7,0))</f>
        <v>0</v>
      </c>
      <c r="Z418" s="32">
        <f>VLOOKUP($A418,$A$4:$O$28,12,0)*(HLOOKUP(Z$417,'2.2.Brecha Efectiva x UdM'!$H$64:$AK$71,7,0))</f>
        <v>0</v>
      </c>
      <c r="AA418" s="32">
        <f>VLOOKUP($A418,$A$4:$O$28,12,0)*(HLOOKUP(AA$417,'2.2.Brecha Efectiva x UdM'!$H$64:$AK$71,7,0))</f>
        <v>0</v>
      </c>
      <c r="AB418" s="32">
        <f>VLOOKUP($A418,$A$4:$O$28,12,0)*(HLOOKUP(AB$417,'2.2.Brecha Efectiva x UdM'!$H$64:$AK$71,7,0))</f>
        <v>0</v>
      </c>
      <c r="AC418" s="32">
        <f>VLOOKUP($A418,$A$4:$O$28,12,0)*(HLOOKUP(AC$417,'2.2.Brecha Efectiva x UdM'!$H$64:$AK$71,7,0))</f>
        <v>0</v>
      </c>
      <c r="AD418" s="32">
        <f>VLOOKUP($A418,$A$4:$O$28,12,0)*(HLOOKUP(AD$417,'2.2.Brecha Efectiva x UdM'!$H$64:$AK$71,7,0))</f>
        <v>0</v>
      </c>
      <c r="AE418" s="32">
        <f>VLOOKUP($A418,$A$4:$O$28,12,0)*(HLOOKUP(AE$417,'2.2.Brecha Efectiva x UdM'!$H$64:$AK$71,7,0))</f>
        <v>0</v>
      </c>
      <c r="AF418" s="32">
        <f>VLOOKUP($A418,$A$4:$O$28,12,0)*(HLOOKUP(AF$417,'2.2.Brecha Efectiva x UdM'!$H$64:$AK$71,7,0))</f>
        <v>0</v>
      </c>
      <c r="AG418" s="32">
        <f>VLOOKUP($A418,$A$4:$O$28,12,0)*(HLOOKUP(AG$417,'2.2.Brecha Efectiva x UdM'!$H$64:$AK$71,7,0))</f>
        <v>0</v>
      </c>
      <c r="AH418" s="62">
        <f>SUM(D418:AG418)</f>
        <v>0</v>
      </c>
    </row>
    <row r="419" spans="1:34" hidden="1" x14ac:dyDescent="0.2">
      <c r="A419" s="26" t="str">
        <f t="shared" si="423"/>
        <v>CABA</v>
      </c>
      <c r="B419" s="52">
        <f t="shared" ref="B419:B441" si="424">$M$3</f>
        <v>0</v>
      </c>
      <c r="C419" s="26" t="str">
        <f t="shared" ref="C419:C441" si="425">CONCATENATE(A419," ",B419)</f>
        <v>CABA 0</v>
      </c>
      <c r="D419" s="31">
        <f>VLOOKUP($A419,$A$4:$O$28,12,0)*(HLOOKUP(D$417,'2.2.Brecha Efectiva x UdM'!$H$64:$AK$71,7,0))</f>
        <v>0</v>
      </c>
      <c r="E419" s="31">
        <f>VLOOKUP($A419,$A$4:$O$28,12,0)*(HLOOKUP(E$417,'2.2.Brecha Efectiva x UdM'!$H$64:$AK$71,7,0))</f>
        <v>0</v>
      </c>
      <c r="F419" s="31">
        <f>VLOOKUP($A419,$A$4:$O$28,12,0)*(HLOOKUP(F$417,'2.2.Brecha Efectiva x UdM'!$H$64:$AK$71,7,0))</f>
        <v>0</v>
      </c>
      <c r="G419" s="31">
        <f>VLOOKUP($A419,$A$4:$O$28,12,0)*(HLOOKUP(G$417,'2.2.Brecha Efectiva x UdM'!$H$64:$AK$71,7,0))</f>
        <v>0</v>
      </c>
      <c r="H419" s="31">
        <f>VLOOKUP($A419,$A$4:$O$28,12,0)*(HLOOKUP(H$417,'2.2.Brecha Efectiva x UdM'!$H$64:$AK$71,7,0))</f>
        <v>0</v>
      </c>
      <c r="I419" s="31">
        <f>VLOOKUP($A419,$A$4:$O$28,12,0)*(HLOOKUP(I$417,'2.2.Brecha Efectiva x UdM'!$H$64:$AK$71,7,0))</f>
        <v>0</v>
      </c>
      <c r="J419" s="31">
        <f>VLOOKUP($A419,$A$4:$O$28,12,0)*(HLOOKUP(J$417,'2.2.Brecha Efectiva x UdM'!$H$64:$AK$71,7,0))</f>
        <v>0</v>
      </c>
      <c r="K419" s="31">
        <f>VLOOKUP($A419,$A$4:$O$28,12,0)*(HLOOKUP(K$417,'2.2.Brecha Efectiva x UdM'!$H$64:$AK$71,7,0))</f>
        <v>0</v>
      </c>
      <c r="L419" s="31">
        <f>VLOOKUP($A419,$A$4:$O$28,12,0)*(HLOOKUP(L$417,'2.2.Brecha Efectiva x UdM'!$H$64:$AK$71,7,0))</f>
        <v>0</v>
      </c>
      <c r="M419" s="31">
        <f>VLOOKUP($A419,$A$4:$O$28,12,0)*(HLOOKUP(M$417,'2.2.Brecha Efectiva x UdM'!$H$64:$AK$71,7,0))</f>
        <v>0</v>
      </c>
      <c r="N419" s="31">
        <f>VLOOKUP($A419,$A$4:$O$28,12,0)*(HLOOKUP(N$417,'2.2.Brecha Efectiva x UdM'!$H$64:$AK$71,7,0))</f>
        <v>0</v>
      </c>
      <c r="O419" s="31">
        <f>VLOOKUP($A419,$A$4:$O$28,12,0)*(HLOOKUP(O$417,'2.2.Brecha Efectiva x UdM'!$H$64:$AK$71,7,0))</f>
        <v>0</v>
      </c>
      <c r="P419" s="31">
        <f>VLOOKUP($A419,$A$4:$O$28,12,0)*(HLOOKUP(P$417,'2.2.Brecha Efectiva x UdM'!$H$64:$AK$71,7,0))</f>
        <v>0</v>
      </c>
      <c r="Q419" s="31">
        <f>VLOOKUP($A419,$A$4:$O$28,12,0)*(HLOOKUP(Q$417,'2.2.Brecha Efectiva x UdM'!$H$64:$AK$71,7,0))</f>
        <v>0</v>
      </c>
      <c r="R419" s="31">
        <f>VLOOKUP($A419,$A$4:$O$28,12,0)*(HLOOKUP(R$417,'2.2.Brecha Efectiva x UdM'!$H$64:$AK$71,7,0))</f>
        <v>0</v>
      </c>
      <c r="S419" s="31">
        <f>VLOOKUP($A419,$A$4:$O$28,12,0)*(HLOOKUP(S$417,'2.2.Brecha Efectiva x UdM'!$H$64:$AK$71,7,0))</f>
        <v>0</v>
      </c>
      <c r="T419" s="31">
        <f>VLOOKUP($A419,$A$4:$O$28,12,0)*(HLOOKUP(T$417,'2.2.Brecha Efectiva x UdM'!$H$64:$AK$71,7,0))</f>
        <v>0</v>
      </c>
      <c r="U419" s="31">
        <f>VLOOKUP($A419,$A$4:$O$28,12,0)*(HLOOKUP(U$417,'2.2.Brecha Efectiva x UdM'!$H$64:$AK$71,7,0))</f>
        <v>0</v>
      </c>
      <c r="V419" s="31">
        <f>VLOOKUP($A419,$A$4:$O$28,12,0)*(HLOOKUP(V$417,'2.2.Brecha Efectiva x UdM'!$H$64:$AK$71,7,0))</f>
        <v>0</v>
      </c>
      <c r="W419" s="31">
        <f>VLOOKUP($A419,$A$4:$O$28,12,0)*(HLOOKUP(W$417,'2.2.Brecha Efectiva x UdM'!$H$64:$AK$71,7,0))</f>
        <v>0</v>
      </c>
      <c r="X419" s="31">
        <f>VLOOKUP($A419,$A$4:$O$28,12,0)*(HLOOKUP(X$417,'2.2.Brecha Efectiva x UdM'!$H$64:$AK$71,7,0))</f>
        <v>0</v>
      </c>
      <c r="Y419" s="31">
        <f>VLOOKUP($A419,$A$4:$O$28,12,0)*(HLOOKUP(Y$417,'2.2.Brecha Efectiva x UdM'!$H$64:$AK$71,7,0))</f>
        <v>0</v>
      </c>
      <c r="Z419" s="31">
        <f>VLOOKUP($A419,$A$4:$O$28,12,0)*(HLOOKUP(Z$417,'2.2.Brecha Efectiva x UdM'!$H$64:$AK$71,7,0))</f>
        <v>0</v>
      </c>
      <c r="AA419" s="31">
        <f>VLOOKUP($A419,$A$4:$O$28,12,0)*(HLOOKUP(AA$417,'2.2.Brecha Efectiva x UdM'!$H$64:$AK$71,7,0))</f>
        <v>0</v>
      </c>
      <c r="AB419" s="31">
        <f>VLOOKUP($A419,$A$4:$O$28,12,0)*(HLOOKUP(AB$417,'2.2.Brecha Efectiva x UdM'!$H$64:$AK$71,7,0))</f>
        <v>0</v>
      </c>
      <c r="AC419" s="31">
        <f>VLOOKUP($A419,$A$4:$O$28,12,0)*(HLOOKUP(AC$417,'2.2.Brecha Efectiva x UdM'!$H$64:$AK$71,7,0))</f>
        <v>0</v>
      </c>
      <c r="AD419" s="31">
        <f>VLOOKUP($A419,$A$4:$O$28,12,0)*(HLOOKUP(AD$417,'2.2.Brecha Efectiva x UdM'!$H$64:$AK$71,7,0))</f>
        <v>0</v>
      </c>
      <c r="AE419" s="31">
        <f>VLOOKUP($A419,$A$4:$O$28,12,0)*(HLOOKUP(AE$417,'2.2.Brecha Efectiva x UdM'!$H$64:$AK$71,7,0))</f>
        <v>0</v>
      </c>
      <c r="AF419" s="31">
        <f>VLOOKUP($A419,$A$4:$O$28,12,0)*(HLOOKUP(AF$417,'2.2.Brecha Efectiva x UdM'!$H$64:$AK$71,7,0))</f>
        <v>0</v>
      </c>
      <c r="AG419" s="31">
        <f>VLOOKUP($A419,$A$4:$O$28,12,0)*(HLOOKUP(AG$417,'2.2.Brecha Efectiva x UdM'!$H$64:$AK$71,7,0))</f>
        <v>0</v>
      </c>
      <c r="AH419" s="63">
        <f>SUM(D419:AG419)</f>
        <v>0</v>
      </c>
    </row>
    <row r="420" spans="1:34" hidden="1" x14ac:dyDescent="0.2">
      <c r="A420" s="25" t="str">
        <f t="shared" si="423"/>
        <v>Catamarca</v>
      </c>
      <c r="B420" s="51">
        <f t="shared" si="424"/>
        <v>0</v>
      </c>
      <c r="C420" s="25" t="str">
        <f t="shared" si="425"/>
        <v>Catamarca 0</v>
      </c>
      <c r="D420" s="32">
        <f>VLOOKUP($A420,$A$4:$O$28,12,0)*(HLOOKUP(D$417,'2.2.Brecha Efectiva x UdM'!$H$64:$AK$71,7,0))</f>
        <v>0</v>
      </c>
      <c r="E420" s="32">
        <f>VLOOKUP($A420,$A$4:$O$28,12,0)*(HLOOKUP(E$417,'2.2.Brecha Efectiva x UdM'!$H$64:$AK$71,7,0))</f>
        <v>0</v>
      </c>
      <c r="F420" s="32">
        <f>VLOOKUP($A420,$A$4:$O$28,12,0)*(HLOOKUP(F$417,'2.2.Brecha Efectiva x UdM'!$H$64:$AK$71,7,0))</f>
        <v>0</v>
      </c>
      <c r="G420" s="32">
        <f>VLOOKUP($A420,$A$4:$O$28,12,0)*(HLOOKUP(G$417,'2.2.Brecha Efectiva x UdM'!$H$64:$AK$71,7,0))</f>
        <v>0</v>
      </c>
      <c r="H420" s="32">
        <f>VLOOKUP($A420,$A$4:$O$28,12,0)*(HLOOKUP(H$417,'2.2.Brecha Efectiva x UdM'!$H$64:$AK$71,7,0))</f>
        <v>0</v>
      </c>
      <c r="I420" s="32">
        <f>VLOOKUP($A420,$A$4:$O$28,12,0)*(HLOOKUP(I$417,'2.2.Brecha Efectiva x UdM'!$H$64:$AK$71,7,0))</f>
        <v>0</v>
      </c>
      <c r="J420" s="32">
        <f>VLOOKUP($A420,$A$4:$O$28,12,0)*(HLOOKUP(J$417,'2.2.Brecha Efectiva x UdM'!$H$64:$AK$71,7,0))</f>
        <v>0</v>
      </c>
      <c r="K420" s="32">
        <f>VLOOKUP($A420,$A$4:$O$28,12,0)*(HLOOKUP(K$417,'2.2.Brecha Efectiva x UdM'!$H$64:$AK$71,7,0))</f>
        <v>0</v>
      </c>
      <c r="L420" s="32">
        <f>VLOOKUP($A420,$A$4:$O$28,12,0)*(HLOOKUP(L$417,'2.2.Brecha Efectiva x UdM'!$H$64:$AK$71,7,0))</f>
        <v>0</v>
      </c>
      <c r="M420" s="32">
        <f>VLOOKUP($A420,$A$4:$O$28,12,0)*(HLOOKUP(M$417,'2.2.Brecha Efectiva x UdM'!$H$64:$AK$71,7,0))</f>
        <v>0</v>
      </c>
      <c r="N420" s="32">
        <f>VLOOKUP($A420,$A$4:$O$28,12,0)*(HLOOKUP(N$417,'2.2.Brecha Efectiva x UdM'!$H$64:$AK$71,7,0))</f>
        <v>0</v>
      </c>
      <c r="O420" s="32">
        <f>VLOOKUP($A420,$A$4:$O$28,12,0)*(HLOOKUP(O$417,'2.2.Brecha Efectiva x UdM'!$H$64:$AK$71,7,0))</f>
        <v>0</v>
      </c>
      <c r="P420" s="32">
        <f>VLOOKUP($A420,$A$4:$O$28,12,0)*(HLOOKUP(P$417,'2.2.Brecha Efectiva x UdM'!$H$64:$AK$71,7,0))</f>
        <v>0</v>
      </c>
      <c r="Q420" s="32">
        <f>VLOOKUP($A420,$A$4:$O$28,12,0)*(HLOOKUP(Q$417,'2.2.Brecha Efectiva x UdM'!$H$64:$AK$71,7,0))</f>
        <v>0</v>
      </c>
      <c r="R420" s="32">
        <f>VLOOKUP($A420,$A$4:$O$28,12,0)*(HLOOKUP(R$417,'2.2.Brecha Efectiva x UdM'!$H$64:$AK$71,7,0))</f>
        <v>0</v>
      </c>
      <c r="S420" s="32">
        <f>VLOOKUP($A420,$A$4:$O$28,12,0)*(HLOOKUP(S$417,'2.2.Brecha Efectiva x UdM'!$H$64:$AK$71,7,0))</f>
        <v>0</v>
      </c>
      <c r="T420" s="32">
        <f>VLOOKUP($A420,$A$4:$O$28,12,0)*(HLOOKUP(T$417,'2.2.Brecha Efectiva x UdM'!$H$64:$AK$71,7,0))</f>
        <v>0</v>
      </c>
      <c r="U420" s="32">
        <f>VLOOKUP($A420,$A$4:$O$28,12,0)*(HLOOKUP(U$417,'2.2.Brecha Efectiva x UdM'!$H$64:$AK$71,7,0))</f>
        <v>0</v>
      </c>
      <c r="V420" s="32">
        <f>VLOOKUP($A420,$A$4:$O$28,12,0)*(HLOOKUP(V$417,'2.2.Brecha Efectiva x UdM'!$H$64:$AK$71,7,0))</f>
        <v>0</v>
      </c>
      <c r="W420" s="32">
        <f>VLOOKUP($A420,$A$4:$O$28,12,0)*(HLOOKUP(W$417,'2.2.Brecha Efectiva x UdM'!$H$64:$AK$71,7,0))</f>
        <v>0</v>
      </c>
      <c r="X420" s="32">
        <f>VLOOKUP($A420,$A$4:$O$28,12,0)*(HLOOKUP(X$417,'2.2.Brecha Efectiva x UdM'!$H$64:$AK$71,7,0))</f>
        <v>0</v>
      </c>
      <c r="Y420" s="32">
        <f>VLOOKUP($A420,$A$4:$O$28,12,0)*(HLOOKUP(Y$417,'2.2.Brecha Efectiva x UdM'!$H$64:$AK$71,7,0))</f>
        <v>0</v>
      </c>
      <c r="Z420" s="32">
        <f>VLOOKUP($A420,$A$4:$O$28,12,0)*(HLOOKUP(Z$417,'2.2.Brecha Efectiva x UdM'!$H$64:$AK$71,7,0))</f>
        <v>0</v>
      </c>
      <c r="AA420" s="32">
        <f>VLOOKUP($A420,$A$4:$O$28,12,0)*(HLOOKUP(AA$417,'2.2.Brecha Efectiva x UdM'!$H$64:$AK$71,7,0))</f>
        <v>0</v>
      </c>
      <c r="AB420" s="32">
        <f>VLOOKUP($A420,$A$4:$O$28,12,0)*(HLOOKUP(AB$417,'2.2.Brecha Efectiva x UdM'!$H$64:$AK$71,7,0))</f>
        <v>0</v>
      </c>
      <c r="AC420" s="32">
        <f>VLOOKUP($A420,$A$4:$O$28,12,0)*(HLOOKUP(AC$417,'2.2.Brecha Efectiva x UdM'!$H$64:$AK$71,7,0))</f>
        <v>0</v>
      </c>
      <c r="AD420" s="32">
        <f>VLOOKUP($A420,$A$4:$O$28,12,0)*(HLOOKUP(AD$417,'2.2.Brecha Efectiva x UdM'!$H$64:$AK$71,7,0))</f>
        <v>0</v>
      </c>
      <c r="AE420" s="32">
        <f>VLOOKUP($A420,$A$4:$O$28,12,0)*(HLOOKUP(AE$417,'2.2.Brecha Efectiva x UdM'!$H$64:$AK$71,7,0))</f>
        <v>0</v>
      </c>
      <c r="AF420" s="32">
        <f>VLOOKUP($A420,$A$4:$O$28,12,0)*(HLOOKUP(AF$417,'2.2.Brecha Efectiva x UdM'!$H$64:$AK$71,7,0))</f>
        <v>0</v>
      </c>
      <c r="AG420" s="32">
        <f>VLOOKUP($A420,$A$4:$O$28,12,0)*(HLOOKUP(AG$417,'2.2.Brecha Efectiva x UdM'!$H$64:$AK$71,7,0))</f>
        <v>0</v>
      </c>
      <c r="AH420" s="62">
        <f t="shared" ref="AH420:AH442" si="426">SUM(D420:AG420)</f>
        <v>0</v>
      </c>
    </row>
    <row r="421" spans="1:34" hidden="1" x14ac:dyDescent="0.2">
      <c r="A421" s="26" t="str">
        <f t="shared" si="423"/>
        <v>Chaco</v>
      </c>
      <c r="B421" s="52">
        <f t="shared" si="424"/>
        <v>0</v>
      </c>
      <c r="C421" s="26" t="str">
        <f t="shared" si="425"/>
        <v>Chaco 0</v>
      </c>
      <c r="D421" s="31">
        <f>VLOOKUP($A421,$A$4:$O$28,12,0)*(HLOOKUP(D$417,'2.2.Brecha Efectiva x UdM'!$H$64:$AK$71,7,0))</f>
        <v>0</v>
      </c>
      <c r="E421" s="31">
        <f>VLOOKUP($A421,$A$4:$O$28,12,0)*(HLOOKUP(E$417,'2.2.Brecha Efectiva x UdM'!$H$64:$AK$71,7,0))</f>
        <v>0</v>
      </c>
      <c r="F421" s="31">
        <f>VLOOKUP($A421,$A$4:$O$28,12,0)*(HLOOKUP(F$417,'2.2.Brecha Efectiva x UdM'!$H$64:$AK$71,7,0))</f>
        <v>0</v>
      </c>
      <c r="G421" s="31">
        <f>VLOOKUP($A421,$A$4:$O$28,12,0)*(HLOOKUP(G$417,'2.2.Brecha Efectiva x UdM'!$H$64:$AK$71,7,0))</f>
        <v>0</v>
      </c>
      <c r="H421" s="31">
        <f>VLOOKUP($A421,$A$4:$O$28,12,0)*(HLOOKUP(H$417,'2.2.Brecha Efectiva x UdM'!$H$64:$AK$71,7,0))</f>
        <v>0</v>
      </c>
      <c r="I421" s="31">
        <f>VLOOKUP($A421,$A$4:$O$28,12,0)*(HLOOKUP(I$417,'2.2.Brecha Efectiva x UdM'!$H$64:$AK$71,7,0))</f>
        <v>0</v>
      </c>
      <c r="J421" s="31">
        <f>VLOOKUP($A421,$A$4:$O$28,12,0)*(HLOOKUP(J$417,'2.2.Brecha Efectiva x UdM'!$H$64:$AK$71,7,0))</f>
        <v>0</v>
      </c>
      <c r="K421" s="31">
        <f>VLOOKUP($A421,$A$4:$O$28,12,0)*(HLOOKUP(K$417,'2.2.Brecha Efectiva x UdM'!$H$64:$AK$71,7,0))</f>
        <v>0</v>
      </c>
      <c r="L421" s="31">
        <f>VLOOKUP($A421,$A$4:$O$28,12,0)*(HLOOKUP(L$417,'2.2.Brecha Efectiva x UdM'!$H$64:$AK$71,7,0))</f>
        <v>0</v>
      </c>
      <c r="M421" s="31">
        <f>VLOOKUP($A421,$A$4:$O$28,12,0)*(HLOOKUP(M$417,'2.2.Brecha Efectiva x UdM'!$H$64:$AK$71,7,0))</f>
        <v>0</v>
      </c>
      <c r="N421" s="31">
        <f>VLOOKUP($A421,$A$4:$O$28,12,0)*(HLOOKUP(N$417,'2.2.Brecha Efectiva x UdM'!$H$64:$AK$71,7,0))</f>
        <v>0</v>
      </c>
      <c r="O421" s="31">
        <f>VLOOKUP($A421,$A$4:$O$28,12,0)*(HLOOKUP(O$417,'2.2.Brecha Efectiva x UdM'!$H$64:$AK$71,7,0))</f>
        <v>0</v>
      </c>
      <c r="P421" s="31">
        <f>VLOOKUP($A421,$A$4:$O$28,12,0)*(HLOOKUP(P$417,'2.2.Brecha Efectiva x UdM'!$H$64:$AK$71,7,0))</f>
        <v>0</v>
      </c>
      <c r="Q421" s="31">
        <f>VLOOKUP($A421,$A$4:$O$28,12,0)*(HLOOKUP(Q$417,'2.2.Brecha Efectiva x UdM'!$H$64:$AK$71,7,0))</f>
        <v>0</v>
      </c>
      <c r="R421" s="31">
        <f>VLOOKUP($A421,$A$4:$O$28,12,0)*(HLOOKUP(R$417,'2.2.Brecha Efectiva x UdM'!$H$64:$AK$71,7,0))</f>
        <v>0</v>
      </c>
      <c r="S421" s="31">
        <f>VLOOKUP($A421,$A$4:$O$28,12,0)*(HLOOKUP(S$417,'2.2.Brecha Efectiva x UdM'!$H$64:$AK$71,7,0))</f>
        <v>0</v>
      </c>
      <c r="T421" s="31">
        <f>VLOOKUP($A421,$A$4:$O$28,12,0)*(HLOOKUP(T$417,'2.2.Brecha Efectiva x UdM'!$H$64:$AK$71,7,0))</f>
        <v>0</v>
      </c>
      <c r="U421" s="31">
        <f>VLOOKUP($A421,$A$4:$O$28,12,0)*(HLOOKUP(U$417,'2.2.Brecha Efectiva x UdM'!$H$64:$AK$71,7,0))</f>
        <v>0</v>
      </c>
      <c r="V421" s="31">
        <f>VLOOKUP($A421,$A$4:$O$28,12,0)*(HLOOKUP(V$417,'2.2.Brecha Efectiva x UdM'!$H$64:$AK$71,7,0))</f>
        <v>0</v>
      </c>
      <c r="W421" s="31">
        <f>VLOOKUP($A421,$A$4:$O$28,12,0)*(HLOOKUP(W$417,'2.2.Brecha Efectiva x UdM'!$H$64:$AK$71,7,0))</f>
        <v>0</v>
      </c>
      <c r="X421" s="31">
        <f>VLOOKUP($A421,$A$4:$O$28,12,0)*(HLOOKUP(X$417,'2.2.Brecha Efectiva x UdM'!$H$64:$AK$71,7,0))</f>
        <v>0</v>
      </c>
      <c r="Y421" s="31">
        <f>VLOOKUP($A421,$A$4:$O$28,12,0)*(HLOOKUP(Y$417,'2.2.Brecha Efectiva x UdM'!$H$64:$AK$71,7,0))</f>
        <v>0</v>
      </c>
      <c r="Z421" s="31">
        <f>VLOOKUP($A421,$A$4:$O$28,12,0)*(HLOOKUP(Z$417,'2.2.Brecha Efectiva x UdM'!$H$64:$AK$71,7,0))</f>
        <v>0</v>
      </c>
      <c r="AA421" s="31">
        <f>VLOOKUP($A421,$A$4:$O$28,12,0)*(HLOOKUP(AA$417,'2.2.Brecha Efectiva x UdM'!$H$64:$AK$71,7,0))</f>
        <v>0</v>
      </c>
      <c r="AB421" s="31">
        <f>VLOOKUP($A421,$A$4:$O$28,12,0)*(HLOOKUP(AB$417,'2.2.Brecha Efectiva x UdM'!$H$64:$AK$71,7,0))</f>
        <v>0</v>
      </c>
      <c r="AC421" s="31">
        <f>VLOOKUP($A421,$A$4:$O$28,12,0)*(HLOOKUP(AC$417,'2.2.Brecha Efectiva x UdM'!$H$64:$AK$71,7,0))</f>
        <v>0</v>
      </c>
      <c r="AD421" s="31">
        <f>VLOOKUP($A421,$A$4:$O$28,12,0)*(HLOOKUP(AD$417,'2.2.Brecha Efectiva x UdM'!$H$64:$AK$71,7,0))</f>
        <v>0</v>
      </c>
      <c r="AE421" s="31">
        <f>VLOOKUP($A421,$A$4:$O$28,12,0)*(HLOOKUP(AE$417,'2.2.Brecha Efectiva x UdM'!$H$64:$AK$71,7,0))</f>
        <v>0</v>
      </c>
      <c r="AF421" s="31">
        <f>VLOOKUP($A421,$A$4:$O$28,12,0)*(HLOOKUP(AF$417,'2.2.Brecha Efectiva x UdM'!$H$64:$AK$71,7,0))</f>
        <v>0</v>
      </c>
      <c r="AG421" s="31">
        <f>VLOOKUP($A421,$A$4:$O$28,12,0)*(HLOOKUP(AG$417,'2.2.Brecha Efectiva x UdM'!$H$64:$AK$71,7,0))</f>
        <v>0</v>
      </c>
      <c r="AH421" s="63">
        <f t="shared" si="426"/>
        <v>0</v>
      </c>
    </row>
    <row r="422" spans="1:34" hidden="1" x14ac:dyDescent="0.2">
      <c r="A422" s="25" t="str">
        <f t="shared" si="423"/>
        <v>Chubut</v>
      </c>
      <c r="B422" s="51">
        <f t="shared" si="424"/>
        <v>0</v>
      </c>
      <c r="C422" s="25" t="str">
        <f t="shared" si="425"/>
        <v>Chubut 0</v>
      </c>
      <c r="D422" s="32">
        <f>VLOOKUP($A422,$A$4:$O$28,12,0)*(HLOOKUP(D$417,'2.2.Brecha Efectiva x UdM'!$H$64:$AK$71,7,0))</f>
        <v>0</v>
      </c>
      <c r="E422" s="32">
        <f>VLOOKUP($A422,$A$4:$O$28,12,0)*(HLOOKUP(E$417,'2.2.Brecha Efectiva x UdM'!$H$64:$AK$71,7,0))</f>
        <v>0</v>
      </c>
      <c r="F422" s="32">
        <f>VLOOKUP($A422,$A$4:$O$28,12,0)*(HLOOKUP(F$417,'2.2.Brecha Efectiva x UdM'!$H$64:$AK$71,7,0))</f>
        <v>0</v>
      </c>
      <c r="G422" s="32">
        <f>VLOOKUP($A422,$A$4:$O$28,12,0)*(HLOOKUP(G$417,'2.2.Brecha Efectiva x UdM'!$H$64:$AK$71,7,0))</f>
        <v>0</v>
      </c>
      <c r="H422" s="32">
        <f>VLOOKUP($A422,$A$4:$O$28,12,0)*(HLOOKUP(H$417,'2.2.Brecha Efectiva x UdM'!$H$64:$AK$71,7,0))</f>
        <v>0</v>
      </c>
      <c r="I422" s="32">
        <f>VLOOKUP($A422,$A$4:$O$28,12,0)*(HLOOKUP(I$417,'2.2.Brecha Efectiva x UdM'!$H$64:$AK$71,7,0))</f>
        <v>0</v>
      </c>
      <c r="J422" s="32">
        <f>VLOOKUP($A422,$A$4:$O$28,12,0)*(HLOOKUP(J$417,'2.2.Brecha Efectiva x UdM'!$H$64:$AK$71,7,0))</f>
        <v>0</v>
      </c>
      <c r="K422" s="32">
        <f>VLOOKUP($A422,$A$4:$O$28,12,0)*(HLOOKUP(K$417,'2.2.Brecha Efectiva x UdM'!$H$64:$AK$71,7,0))</f>
        <v>0</v>
      </c>
      <c r="L422" s="32">
        <f>VLOOKUP($A422,$A$4:$O$28,12,0)*(HLOOKUP(L$417,'2.2.Brecha Efectiva x UdM'!$H$64:$AK$71,7,0))</f>
        <v>0</v>
      </c>
      <c r="M422" s="32">
        <f>VLOOKUP($A422,$A$4:$O$28,12,0)*(HLOOKUP(M$417,'2.2.Brecha Efectiva x UdM'!$H$64:$AK$71,7,0))</f>
        <v>0</v>
      </c>
      <c r="N422" s="32">
        <f>VLOOKUP($A422,$A$4:$O$28,12,0)*(HLOOKUP(N$417,'2.2.Brecha Efectiva x UdM'!$H$64:$AK$71,7,0))</f>
        <v>0</v>
      </c>
      <c r="O422" s="32">
        <f>VLOOKUP($A422,$A$4:$O$28,12,0)*(HLOOKUP(O$417,'2.2.Brecha Efectiva x UdM'!$H$64:$AK$71,7,0))</f>
        <v>0</v>
      </c>
      <c r="P422" s="32">
        <f>VLOOKUP($A422,$A$4:$O$28,12,0)*(HLOOKUP(P$417,'2.2.Brecha Efectiva x UdM'!$H$64:$AK$71,7,0))</f>
        <v>0</v>
      </c>
      <c r="Q422" s="32">
        <f>VLOOKUP($A422,$A$4:$O$28,12,0)*(HLOOKUP(Q$417,'2.2.Brecha Efectiva x UdM'!$H$64:$AK$71,7,0))</f>
        <v>0</v>
      </c>
      <c r="R422" s="32">
        <f>VLOOKUP($A422,$A$4:$O$28,12,0)*(HLOOKUP(R$417,'2.2.Brecha Efectiva x UdM'!$H$64:$AK$71,7,0))</f>
        <v>0</v>
      </c>
      <c r="S422" s="32">
        <f>VLOOKUP($A422,$A$4:$O$28,12,0)*(HLOOKUP(S$417,'2.2.Brecha Efectiva x UdM'!$H$64:$AK$71,7,0))</f>
        <v>0</v>
      </c>
      <c r="T422" s="32">
        <f>VLOOKUP($A422,$A$4:$O$28,12,0)*(HLOOKUP(T$417,'2.2.Brecha Efectiva x UdM'!$H$64:$AK$71,7,0))</f>
        <v>0</v>
      </c>
      <c r="U422" s="32">
        <f>VLOOKUP($A422,$A$4:$O$28,12,0)*(HLOOKUP(U$417,'2.2.Brecha Efectiva x UdM'!$H$64:$AK$71,7,0))</f>
        <v>0</v>
      </c>
      <c r="V422" s="32">
        <f>VLOOKUP($A422,$A$4:$O$28,12,0)*(HLOOKUP(V$417,'2.2.Brecha Efectiva x UdM'!$H$64:$AK$71,7,0))</f>
        <v>0</v>
      </c>
      <c r="W422" s="32">
        <f>VLOOKUP($A422,$A$4:$O$28,12,0)*(HLOOKUP(W$417,'2.2.Brecha Efectiva x UdM'!$H$64:$AK$71,7,0))</f>
        <v>0</v>
      </c>
      <c r="X422" s="32">
        <f>VLOOKUP($A422,$A$4:$O$28,12,0)*(HLOOKUP(X$417,'2.2.Brecha Efectiva x UdM'!$H$64:$AK$71,7,0))</f>
        <v>0</v>
      </c>
      <c r="Y422" s="32">
        <f>VLOOKUP($A422,$A$4:$O$28,12,0)*(HLOOKUP(Y$417,'2.2.Brecha Efectiva x UdM'!$H$64:$AK$71,7,0))</f>
        <v>0</v>
      </c>
      <c r="Z422" s="32">
        <f>VLOOKUP($A422,$A$4:$O$28,12,0)*(HLOOKUP(Z$417,'2.2.Brecha Efectiva x UdM'!$H$64:$AK$71,7,0))</f>
        <v>0</v>
      </c>
      <c r="AA422" s="32">
        <f>VLOOKUP($A422,$A$4:$O$28,12,0)*(HLOOKUP(AA$417,'2.2.Brecha Efectiva x UdM'!$H$64:$AK$71,7,0))</f>
        <v>0</v>
      </c>
      <c r="AB422" s="32">
        <f>VLOOKUP($A422,$A$4:$O$28,12,0)*(HLOOKUP(AB$417,'2.2.Brecha Efectiva x UdM'!$H$64:$AK$71,7,0))</f>
        <v>0</v>
      </c>
      <c r="AC422" s="32">
        <f>VLOOKUP($A422,$A$4:$O$28,12,0)*(HLOOKUP(AC$417,'2.2.Brecha Efectiva x UdM'!$H$64:$AK$71,7,0))</f>
        <v>0</v>
      </c>
      <c r="AD422" s="32">
        <f>VLOOKUP($A422,$A$4:$O$28,12,0)*(HLOOKUP(AD$417,'2.2.Brecha Efectiva x UdM'!$H$64:$AK$71,7,0))</f>
        <v>0</v>
      </c>
      <c r="AE422" s="32">
        <f>VLOOKUP($A422,$A$4:$O$28,12,0)*(HLOOKUP(AE$417,'2.2.Brecha Efectiva x UdM'!$H$64:$AK$71,7,0))</f>
        <v>0</v>
      </c>
      <c r="AF422" s="32">
        <f>VLOOKUP($A422,$A$4:$O$28,12,0)*(HLOOKUP(AF$417,'2.2.Brecha Efectiva x UdM'!$H$64:$AK$71,7,0))</f>
        <v>0</v>
      </c>
      <c r="AG422" s="32">
        <f>VLOOKUP($A422,$A$4:$O$28,12,0)*(HLOOKUP(AG$417,'2.2.Brecha Efectiva x UdM'!$H$64:$AK$71,7,0))</f>
        <v>0</v>
      </c>
      <c r="AH422" s="62">
        <f t="shared" si="426"/>
        <v>0</v>
      </c>
    </row>
    <row r="423" spans="1:34" hidden="1" x14ac:dyDescent="0.2">
      <c r="A423" s="26" t="str">
        <f t="shared" si="423"/>
        <v>Córdoba</v>
      </c>
      <c r="B423" s="52">
        <f t="shared" si="424"/>
        <v>0</v>
      </c>
      <c r="C423" s="26" t="str">
        <f t="shared" si="425"/>
        <v>Córdoba 0</v>
      </c>
      <c r="D423" s="31">
        <f>VLOOKUP($A423,$A$4:$O$28,12,0)*(HLOOKUP(D$417,'2.2.Brecha Efectiva x UdM'!$H$64:$AK$71,7,0))</f>
        <v>0</v>
      </c>
      <c r="E423" s="31">
        <f>VLOOKUP($A423,$A$4:$O$28,12,0)*(HLOOKUP(E$417,'2.2.Brecha Efectiva x UdM'!$H$64:$AK$71,7,0))</f>
        <v>0</v>
      </c>
      <c r="F423" s="31">
        <f>VLOOKUP($A423,$A$4:$O$28,12,0)*(HLOOKUP(F$417,'2.2.Brecha Efectiva x UdM'!$H$64:$AK$71,7,0))</f>
        <v>0</v>
      </c>
      <c r="G423" s="31">
        <f>VLOOKUP($A423,$A$4:$O$28,12,0)*(HLOOKUP(G$417,'2.2.Brecha Efectiva x UdM'!$H$64:$AK$71,7,0))</f>
        <v>0</v>
      </c>
      <c r="H423" s="31">
        <f>VLOOKUP($A423,$A$4:$O$28,12,0)*(HLOOKUP(H$417,'2.2.Brecha Efectiva x UdM'!$H$64:$AK$71,7,0))</f>
        <v>0</v>
      </c>
      <c r="I423" s="31">
        <f>VLOOKUP($A423,$A$4:$O$28,12,0)*(HLOOKUP(I$417,'2.2.Brecha Efectiva x UdM'!$H$64:$AK$71,7,0))</f>
        <v>0</v>
      </c>
      <c r="J423" s="31">
        <f>VLOOKUP($A423,$A$4:$O$28,12,0)*(HLOOKUP(J$417,'2.2.Brecha Efectiva x UdM'!$H$64:$AK$71,7,0))</f>
        <v>0</v>
      </c>
      <c r="K423" s="31">
        <f>VLOOKUP($A423,$A$4:$O$28,12,0)*(HLOOKUP(K$417,'2.2.Brecha Efectiva x UdM'!$H$64:$AK$71,7,0))</f>
        <v>0</v>
      </c>
      <c r="L423" s="31">
        <f>VLOOKUP($A423,$A$4:$O$28,12,0)*(HLOOKUP(L$417,'2.2.Brecha Efectiva x UdM'!$H$64:$AK$71,7,0))</f>
        <v>0</v>
      </c>
      <c r="M423" s="31">
        <f>VLOOKUP($A423,$A$4:$O$28,12,0)*(HLOOKUP(M$417,'2.2.Brecha Efectiva x UdM'!$H$64:$AK$71,7,0))</f>
        <v>0</v>
      </c>
      <c r="N423" s="31">
        <f>VLOOKUP($A423,$A$4:$O$28,12,0)*(HLOOKUP(N$417,'2.2.Brecha Efectiva x UdM'!$H$64:$AK$71,7,0))</f>
        <v>0</v>
      </c>
      <c r="O423" s="31">
        <f>VLOOKUP($A423,$A$4:$O$28,12,0)*(HLOOKUP(O$417,'2.2.Brecha Efectiva x UdM'!$H$64:$AK$71,7,0))</f>
        <v>0</v>
      </c>
      <c r="P423" s="31">
        <f>VLOOKUP($A423,$A$4:$O$28,12,0)*(HLOOKUP(P$417,'2.2.Brecha Efectiva x UdM'!$H$64:$AK$71,7,0))</f>
        <v>0</v>
      </c>
      <c r="Q423" s="31">
        <f>VLOOKUP($A423,$A$4:$O$28,12,0)*(HLOOKUP(Q$417,'2.2.Brecha Efectiva x UdM'!$H$64:$AK$71,7,0))</f>
        <v>0</v>
      </c>
      <c r="R423" s="31">
        <f>VLOOKUP($A423,$A$4:$O$28,12,0)*(HLOOKUP(R$417,'2.2.Brecha Efectiva x UdM'!$H$64:$AK$71,7,0))</f>
        <v>0</v>
      </c>
      <c r="S423" s="31">
        <f>VLOOKUP($A423,$A$4:$O$28,12,0)*(HLOOKUP(S$417,'2.2.Brecha Efectiva x UdM'!$H$64:$AK$71,7,0))</f>
        <v>0</v>
      </c>
      <c r="T423" s="31">
        <f>VLOOKUP($A423,$A$4:$O$28,12,0)*(HLOOKUP(T$417,'2.2.Brecha Efectiva x UdM'!$H$64:$AK$71,7,0))</f>
        <v>0</v>
      </c>
      <c r="U423" s="31">
        <f>VLOOKUP($A423,$A$4:$O$28,12,0)*(HLOOKUP(U$417,'2.2.Brecha Efectiva x UdM'!$H$64:$AK$71,7,0))</f>
        <v>0</v>
      </c>
      <c r="V423" s="31">
        <f>VLOOKUP($A423,$A$4:$O$28,12,0)*(HLOOKUP(V$417,'2.2.Brecha Efectiva x UdM'!$H$64:$AK$71,7,0))</f>
        <v>0</v>
      </c>
      <c r="W423" s="31">
        <f>VLOOKUP($A423,$A$4:$O$28,12,0)*(HLOOKUP(W$417,'2.2.Brecha Efectiva x UdM'!$H$64:$AK$71,7,0))</f>
        <v>0</v>
      </c>
      <c r="X423" s="31">
        <f>VLOOKUP($A423,$A$4:$O$28,12,0)*(HLOOKUP(X$417,'2.2.Brecha Efectiva x UdM'!$H$64:$AK$71,7,0))</f>
        <v>0</v>
      </c>
      <c r="Y423" s="31">
        <f>VLOOKUP($A423,$A$4:$O$28,12,0)*(HLOOKUP(Y$417,'2.2.Brecha Efectiva x UdM'!$H$64:$AK$71,7,0))</f>
        <v>0</v>
      </c>
      <c r="Z423" s="31">
        <f>VLOOKUP($A423,$A$4:$O$28,12,0)*(HLOOKUP(Z$417,'2.2.Brecha Efectiva x UdM'!$H$64:$AK$71,7,0))</f>
        <v>0</v>
      </c>
      <c r="AA423" s="31">
        <f>VLOOKUP($A423,$A$4:$O$28,12,0)*(HLOOKUP(AA$417,'2.2.Brecha Efectiva x UdM'!$H$64:$AK$71,7,0))</f>
        <v>0</v>
      </c>
      <c r="AB423" s="31">
        <f>VLOOKUP($A423,$A$4:$O$28,12,0)*(HLOOKUP(AB$417,'2.2.Brecha Efectiva x UdM'!$H$64:$AK$71,7,0))</f>
        <v>0</v>
      </c>
      <c r="AC423" s="31">
        <f>VLOOKUP($A423,$A$4:$O$28,12,0)*(HLOOKUP(AC$417,'2.2.Brecha Efectiva x UdM'!$H$64:$AK$71,7,0))</f>
        <v>0</v>
      </c>
      <c r="AD423" s="31">
        <f>VLOOKUP($A423,$A$4:$O$28,12,0)*(HLOOKUP(AD$417,'2.2.Brecha Efectiva x UdM'!$H$64:$AK$71,7,0))</f>
        <v>0</v>
      </c>
      <c r="AE423" s="31">
        <f>VLOOKUP($A423,$A$4:$O$28,12,0)*(HLOOKUP(AE$417,'2.2.Brecha Efectiva x UdM'!$H$64:$AK$71,7,0))</f>
        <v>0</v>
      </c>
      <c r="AF423" s="31">
        <f>VLOOKUP($A423,$A$4:$O$28,12,0)*(HLOOKUP(AF$417,'2.2.Brecha Efectiva x UdM'!$H$64:$AK$71,7,0))</f>
        <v>0</v>
      </c>
      <c r="AG423" s="31">
        <f>VLOOKUP($A423,$A$4:$O$28,12,0)*(HLOOKUP(AG$417,'2.2.Brecha Efectiva x UdM'!$H$64:$AK$71,7,0))</f>
        <v>0</v>
      </c>
      <c r="AH423" s="63">
        <f t="shared" si="426"/>
        <v>0</v>
      </c>
    </row>
    <row r="424" spans="1:34" hidden="1" x14ac:dyDescent="0.2">
      <c r="A424" s="25" t="str">
        <f t="shared" si="423"/>
        <v>Corrientes</v>
      </c>
      <c r="B424" s="51">
        <f t="shared" si="424"/>
        <v>0</v>
      </c>
      <c r="C424" s="25" t="str">
        <f t="shared" si="425"/>
        <v>Corrientes 0</v>
      </c>
      <c r="D424" s="32">
        <f>VLOOKUP($A424,$A$4:$O$28,12,0)*(HLOOKUP(D$417,'2.2.Brecha Efectiva x UdM'!$H$64:$AK$71,7,0))</f>
        <v>0</v>
      </c>
      <c r="E424" s="32">
        <f>VLOOKUP($A424,$A$4:$O$28,12,0)*(HLOOKUP(E$417,'2.2.Brecha Efectiva x UdM'!$H$64:$AK$71,7,0))</f>
        <v>0</v>
      </c>
      <c r="F424" s="32">
        <f>VLOOKUP($A424,$A$4:$O$28,12,0)*(HLOOKUP(F$417,'2.2.Brecha Efectiva x UdM'!$H$64:$AK$71,7,0))</f>
        <v>0</v>
      </c>
      <c r="G424" s="32">
        <f>VLOOKUP($A424,$A$4:$O$28,12,0)*(HLOOKUP(G$417,'2.2.Brecha Efectiva x UdM'!$H$64:$AK$71,7,0))</f>
        <v>0</v>
      </c>
      <c r="H424" s="32">
        <f>VLOOKUP($A424,$A$4:$O$28,12,0)*(HLOOKUP(H$417,'2.2.Brecha Efectiva x UdM'!$H$64:$AK$71,7,0))</f>
        <v>0</v>
      </c>
      <c r="I424" s="32">
        <f>VLOOKUP($A424,$A$4:$O$28,12,0)*(HLOOKUP(I$417,'2.2.Brecha Efectiva x UdM'!$H$64:$AK$71,7,0))</f>
        <v>0</v>
      </c>
      <c r="J424" s="32">
        <f>VLOOKUP($A424,$A$4:$O$28,12,0)*(HLOOKUP(J$417,'2.2.Brecha Efectiva x UdM'!$H$64:$AK$71,7,0))</f>
        <v>0</v>
      </c>
      <c r="K424" s="32">
        <f>VLOOKUP($A424,$A$4:$O$28,12,0)*(HLOOKUP(K$417,'2.2.Brecha Efectiva x UdM'!$H$64:$AK$71,7,0))</f>
        <v>0</v>
      </c>
      <c r="L424" s="32">
        <f>VLOOKUP($A424,$A$4:$O$28,12,0)*(HLOOKUP(L$417,'2.2.Brecha Efectiva x UdM'!$H$64:$AK$71,7,0))</f>
        <v>0</v>
      </c>
      <c r="M424" s="32">
        <f>VLOOKUP($A424,$A$4:$O$28,12,0)*(HLOOKUP(M$417,'2.2.Brecha Efectiva x UdM'!$H$64:$AK$71,7,0))</f>
        <v>0</v>
      </c>
      <c r="N424" s="32">
        <f>VLOOKUP($A424,$A$4:$O$28,12,0)*(HLOOKUP(N$417,'2.2.Brecha Efectiva x UdM'!$H$64:$AK$71,7,0))</f>
        <v>0</v>
      </c>
      <c r="O424" s="32">
        <f>VLOOKUP($A424,$A$4:$O$28,12,0)*(HLOOKUP(O$417,'2.2.Brecha Efectiva x UdM'!$H$64:$AK$71,7,0))</f>
        <v>0</v>
      </c>
      <c r="P424" s="32">
        <f>VLOOKUP($A424,$A$4:$O$28,12,0)*(HLOOKUP(P$417,'2.2.Brecha Efectiva x UdM'!$H$64:$AK$71,7,0))</f>
        <v>0</v>
      </c>
      <c r="Q424" s="32">
        <f>VLOOKUP($A424,$A$4:$O$28,12,0)*(HLOOKUP(Q$417,'2.2.Brecha Efectiva x UdM'!$H$64:$AK$71,7,0))</f>
        <v>0</v>
      </c>
      <c r="R424" s="32">
        <f>VLOOKUP($A424,$A$4:$O$28,12,0)*(HLOOKUP(R$417,'2.2.Brecha Efectiva x UdM'!$H$64:$AK$71,7,0))</f>
        <v>0</v>
      </c>
      <c r="S424" s="32">
        <f>VLOOKUP($A424,$A$4:$O$28,12,0)*(HLOOKUP(S$417,'2.2.Brecha Efectiva x UdM'!$H$64:$AK$71,7,0))</f>
        <v>0</v>
      </c>
      <c r="T424" s="32">
        <f>VLOOKUP($A424,$A$4:$O$28,12,0)*(HLOOKUP(T$417,'2.2.Brecha Efectiva x UdM'!$H$64:$AK$71,7,0))</f>
        <v>0</v>
      </c>
      <c r="U424" s="32">
        <f>VLOOKUP($A424,$A$4:$O$28,12,0)*(HLOOKUP(U$417,'2.2.Brecha Efectiva x UdM'!$H$64:$AK$71,7,0))</f>
        <v>0</v>
      </c>
      <c r="V424" s="32">
        <f>VLOOKUP($A424,$A$4:$O$28,12,0)*(HLOOKUP(V$417,'2.2.Brecha Efectiva x UdM'!$H$64:$AK$71,7,0))</f>
        <v>0</v>
      </c>
      <c r="W424" s="32">
        <f>VLOOKUP($A424,$A$4:$O$28,12,0)*(HLOOKUP(W$417,'2.2.Brecha Efectiva x UdM'!$H$64:$AK$71,7,0))</f>
        <v>0</v>
      </c>
      <c r="X424" s="32">
        <f>VLOOKUP($A424,$A$4:$O$28,12,0)*(HLOOKUP(X$417,'2.2.Brecha Efectiva x UdM'!$H$64:$AK$71,7,0))</f>
        <v>0</v>
      </c>
      <c r="Y424" s="32">
        <f>VLOOKUP($A424,$A$4:$O$28,12,0)*(HLOOKUP(Y$417,'2.2.Brecha Efectiva x UdM'!$H$64:$AK$71,7,0))</f>
        <v>0</v>
      </c>
      <c r="Z424" s="32">
        <f>VLOOKUP($A424,$A$4:$O$28,12,0)*(HLOOKUP(Z$417,'2.2.Brecha Efectiva x UdM'!$H$64:$AK$71,7,0))</f>
        <v>0</v>
      </c>
      <c r="AA424" s="32">
        <f>VLOOKUP($A424,$A$4:$O$28,12,0)*(HLOOKUP(AA$417,'2.2.Brecha Efectiva x UdM'!$H$64:$AK$71,7,0))</f>
        <v>0</v>
      </c>
      <c r="AB424" s="32">
        <f>VLOOKUP($A424,$A$4:$O$28,12,0)*(HLOOKUP(AB$417,'2.2.Brecha Efectiva x UdM'!$H$64:$AK$71,7,0))</f>
        <v>0</v>
      </c>
      <c r="AC424" s="32">
        <f>VLOOKUP($A424,$A$4:$O$28,12,0)*(HLOOKUP(AC$417,'2.2.Brecha Efectiva x UdM'!$H$64:$AK$71,7,0))</f>
        <v>0</v>
      </c>
      <c r="AD424" s="32">
        <f>VLOOKUP($A424,$A$4:$O$28,12,0)*(HLOOKUP(AD$417,'2.2.Brecha Efectiva x UdM'!$H$64:$AK$71,7,0))</f>
        <v>0</v>
      </c>
      <c r="AE424" s="32">
        <f>VLOOKUP($A424,$A$4:$O$28,12,0)*(HLOOKUP(AE$417,'2.2.Brecha Efectiva x UdM'!$H$64:$AK$71,7,0))</f>
        <v>0</v>
      </c>
      <c r="AF424" s="32">
        <f>VLOOKUP($A424,$A$4:$O$28,12,0)*(HLOOKUP(AF$417,'2.2.Brecha Efectiva x UdM'!$H$64:$AK$71,7,0))</f>
        <v>0</v>
      </c>
      <c r="AG424" s="32">
        <f>VLOOKUP($A424,$A$4:$O$28,12,0)*(HLOOKUP(AG$417,'2.2.Brecha Efectiva x UdM'!$H$64:$AK$71,7,0))</f>
        <v>0</v>
      </c>
      <c r="AH424" s="62">
        <f t="shared" si="426"/>
        <v>0</v>
      </c>
    </row>
    <row r="425" spans="1:34" hidden="1" x14ac:dyDescent="0.2">
      <c r="A425" s="26" t="str">
        <f t="shared" si="423"/>
        <v>Entre Ríos</v>
      </c>
      <c r="B425" s="52">
        <f t="shared" si="424"/>
        <v>0</v>
      </c>
      <c r="C425" s="26" t="str">
        <f t="shared" si="425"/>
        <v>Entre Ríos 0</v>
      </c>
      <c r="D425" s="31">
        <f>VLOOKUP($A425,$A$4:$O$28,12,0)*(HLOOKUP(D$417,'2.2.Brecha Efectiva x UdM'!$H$64:$AK$71,7,0))</f>
        <v>0</v>
      </c>
      <c r="E425" s="31">
        <f>VLOOKUP($A425,$A$4:$O$28,12,0)*(HLOOKUP(E$417,'2.2.Brecha Efectiva x UdM'!$H$64:$AK$71,7,0))</f>
        <v>0</v>
      </c>
      <c r="F425" s="31">
        <f>VLOOKUP($A425,$A$4:$O$28,12,0)*(HLOOKUP(F$417,'2.2.Brecha Efectiva x UdM'!$H$64:$AK$71,7,0))</f>
        <v>0</v>
      </c>
      <c r="G425" s="31">
        <f>VLOOKUP($A425,$A$4:$O$28,12,0)*(HLOOKUP(G$417,'2.2.Brecha Efectiva x UdM'!$H$64:$AK$71,7,0))</f>
        <v>0</v>
      </c>
      <c r="H425" s="31">
        <f>VLOOKUP($A425,$A$4:$O$28,12,0)*(HLOOKUP(H$417,'2.2.Brecha Efectiva x UdM'!$H$64:$AK$71,7,0))</f>
        <v>0</v>
      </c>
      <c r="I425" s="31">
        <f>VLOOKUP($A425,$A$4:$O$28,12,0)*(HLOOKUP(I$417,'2.2.Brecha Efectiva x UdM'!$H$64:$AK$71,7,0))</f>
        <v>0</v>
      </c>
      <c r="J425" s="31">
        <f>VLOOKUP($A425,$A$4:$O$28,12,0)*(HLOOKUP(J$417,'2.2.Brecha Efectiva x UdM'!$H$64:$AK$71,7,0))</f>
        <v>0</v>
      </c>
      <c r="K425" s="31">
        <f>VLOOKUP($A425,$A$4:$O$28,12,0)*(HLOOKUP(K$417,'2.2.Brecha Efectiva x UdM'!$H$64:$AK$71,7,0))</f>
        <v>0</v>
      </c>
      <c r="L425" s="31">
        <f>VLOOKUP($A425,$A$4:$O$28,12,0)*(HLOOKUP(L$417,'2.2.Brecha Efectiva x UdM'!$H$64:$AK$71,7,0))</f>
        <v>0</v>
      </c>
      <c r="M425" s="31">
        <f>VLOOKUP($A425,$A$4:$O$28,12,0)*(HLOOKUP(M$417,'2.2.Brecha Efectiva x UdM'!$H$64:$AK$71,7,0))</f>
        <v>0</v>
      </c>
      <c r="N425" s="31">
        <f>VLOOKUP($A425,$A$4:$O$28,12,0)*(HLOOKUP(N$417,'2.2.Brecha Efectiva x UdM'!$H$64:$AK$71,7,0))</f>
        <v>0</v>
      </c>
      <c r="O425" s="31">
        <f>VLOOKUP($A425,$A$4:$O$28,12,0)*(HLOOKUP(O$417,'2.2.Brecha Efectiva x UdM'!$H$64:$AK$71,7,0))</f>
        <v>0</v>
      </c>
      <c r="P425" s="31">
        <f>VLOOKUP($A425,$A$4:$O$28,12,0)*(HLOOKUP(P$417,'2.2.Brecha Efectiva x UdM'!$H$64:$AK$71,7,0))</f>
        <v>0</v>
      </c>
      <c r="Q425" s="31">
        <f>VLOOKUP($A425,$A$4:$O$28,12,0)*(HLOOKUP(Q$417,'2.2.Brecha Efectiva x UdM'!$H$64:$AK$71,7,0))</f>
        <v>0</v>
      </c>
      <c r="R425" s="31">
        <f>VLOOKUP($A425,$A$4:$O$28,12,0)*(HLOOKUP(R$417,'2.2.Brecha Efectiva x UdM'!$H$64:$AK$71,7,0))</f>
        <v>0</v>
      </c>
      <c r="S425" s="31">
        <f>VLOOKUP($A425,$A$4:$O$28,12,0)*(HLOOKUP(S$417,'2.2.Brecha Efectiva x UdM'!$H$64:$AK$71,7,0))</f>
        <v>0</v>
      </c>
      <c r="T425" s="31">
        <f>VLOOKUP($A425,$A$4:$O$28,12,0)*(HLOOKUP(T$417,'2.2.Brecha Efectiva x UdM'!$H$64:$AK$71,7,0))</f>
        <v>0</v>
      </c>
      <c r="U425" s="31">
        <f>VLOOKUP($A425,$A$4:$O$28,12,0)*(HLOOKUP(U$417,'2.2.Brecha Efectiva x UdM'!$H$64:$AK$71,7,0))</f>
        <v>0</v>
      </c>
      <c r="V425" s="31">
        <f>VLOOKUP($A425,$A$4:$O$28,12,0)*(HLOOKUP(V$417,'2.2.Brecha Efectiva x UdM'!$H$64:$AK$71,7,0))</f>
        <v>0</v>
      </c>
      <c r="W425" s="31">
        <f>VLOOKUP($A425,$A$4:$O$28,12,0)*(HLOOKUP(W$417,'2.2.Brecha Efectiva x UdM'!$H$64:$AK$71,7,0))</f>
        <v>0</v>
      </c>
      <c r="X425" s="31">
        <f>VLOOKUP($A425,$A$4:$O$28,12,0)*(HLOOKUP(X$417,'2.2.Brecha Efectiva x UdM'!$H$64:$AK$71,7,0))</f>
        <v>0</v>
      </c>
      <c r="Y425" s="31">
        <f>VLOOKUP($A425,$A$4:$O$28,12,0)*(HLOOKUP(Y$417,'2.2.Brecha Efectiva x UdM'!$H$64:$AK$71,7,0))</f>
        <v>0</v>
      </c>
      <c r="Z425" s="31">
        <f>VLOOKUP($A425,$A$4:$O$28,12,0)*(HLOOKUP(Z$417,'2.2.Brecha Efectiva x UdM'!$H$64:$AK$71,7,0))</f>
        <v>0</v>
      </c>
      <c r="AA425" s="31">
        <f>VLOOKUP($A425,$A$4:$O$28,12,0)*(HLOOKUP(AA$417,'2.2.Brecha Efectiva x UdM'!$H$64:$AK$71,7,0))</f>
        <v>0</v>
      </c>
      <c r="AB425" s="31">
        <f>VLOOKUP($A425,$A$4:$O$28,12,0)*(HLOOKUP(AB$417,'2.2.Brecha Efectiva x UdM'!$H$64:$AK$71,7,0))</f>
        <v>0</v>
      </c>
      <c r="AC425" s="31">
        <f>VLOOKUP($A425,$A$4:$O$28,12,0)*(HLOOKUP(AC$417,'2.2.Brecha Efectiva x UdM'!$H$64:$AK$71,7,0))</f>
        <v>0</v>
      </c>
      <c r="AD425" s="31">
        <f>VLOOKUP($A425,$A$4:$O$28,12,0)*(HLOOKUP(AD$417,'2.2.Brecha Efectiva x UdM'!$H$64:$AK$71,7,0))</f>
        <v>0</v>
      </c>
      <c r="AE425" s="31">
        <f>VLOOKUP($A425,$A$4:$O$28,12,0)*(HLOOKUP(AE$417,'2.2.Brecha Efectiva x UdM'!$H$64:$AK$71,7,0))</f>
        <v>0</v>
      </c>
      <c r="AF425" s="31">
        <f>VLOOKUP($A425,$A$4:$O$28,12,0)*(HLOOKUP(AF$417,'2.2.Brecha Efectiva x UdM'!$H$64:$AK$71,7,0))</f>
        <v>0</v>
      </c>
      <c r="AG425" s="31">
        <f>VLOOKUP($A425,$A$4:$O$28,12,0)*(HLOOKUP(AG$417,'2.2.Brecha Efectiva x UdM'!$H$64:$AK$71,7,0))</f>
        <v>0</v>
      </c>
      <c r="AH425" s="63">
        <f t="shared" si="426"/>
        <v>0</v>
      </c>
    </row>
    <row r="426" spans="1:34" hidden="1" x14ac:dyDescent="0.2">
      <c r="A426" s="25" t="str">
        <f t="shared" si="423"/>
        <v>Formosa</v>
      </c>
      <c r="B426" s="51">
        <f t="shared" si="424"/>
        <v>0</v>
      </c>
      <c r="C426" s="25" t="str">
        <f t="shared" si="425"/>
        <v>Formosa 0</v>
      </c>
      <c r="D426" s="32">
        <f>VLOOKUP($A426,$A$4:$O$28,12,0)*(HLOOKUP(D$417,'2.2.Brecha Efectiva x UdM'!$H$64:$AK$71,7,0))</f>
        <v>0</v>
      </c>
      <c r="E426" s="32">
        <f>VLOOKUP($A426,$A$4:$O$28,12,0)*(HLOOKUP(E$417,'2.2.Brecha Efectiva x UdM'!$H$64:$AK$71,7,0))</f>
        <v>0</v>
      </c>
      <c r="F426" s="32">
        <f>VLOOKUP($A426,$A$4:$O$28,12,0)*(HLOOKUP(F$417,'2.2.Brecha Efectiva x UdM'!$H$64:$AK$71,7,0))</f>
        <v>0</v>
      </c>
      <c r="G426" s="32">
        <f>VLOOKUP($A426,$A$4:$O$28,12,0)*(HLOOKUP(G$417,'2.2.Brecha Efectiva x UdM'!$H$64:$AK$71,7,0))</f>
        <v>0</v>
      </c>
      <c r="H426" s="32">
        <f>VLOOKUP($A426,$A$4:$O$28,12,0)*(HLOOKUP(H$417,'2.2.Brecha Efectiva x UdM'!$H$64:$AK$71,7,0))</f>
        <v>0</v>
      </c>
      <c r="I426" s="32">
        <f>VLOOKUP($A426,$A$4:$O$28,12,0)*(HLOOKUP(I$417,'2.2.Brecha Efectiva x UdM'!$H$64:$AK$71,7,0))</f>
        <v>0</v>
      </c>
      <c r="J426" s="32">
        <f>VLOOKUP($A426,$A$4:$O$28,12,0)*(HLOOKUP(J$417,'2.2.Brecha Efectiva x UdM'!$H$64:$AK$71,7,0))</f>
        <v>0</v>
      </c>
      <c r="K426" s="32">
        <f>VLOOKUP($A426,$A$4:$O$28,12,0)*(HLOOKUP(K$417,'2.2.Brecha Efectiva x UdM'!$H$64:$AK$71,7,0))</f>
        <v>0</v>
      </c>
      <c r="L426" s="32">
        <f>VLOOKUP($A426,$A$4:$O$28,12,0)*(HLOOKUP(L$417,'2.2.Brecha Efectiva x UdM'!$H$64:$AK$71,7,0))</f>
        <v>0</v>
      </c>
      <c r="M426" s="32">
        <f>VLOOKUP($A426,$A$4:$O$28,12,0)*(HLOOKUP(M$417,'2.2.Brecha Efectiva x UdM'!$H$64:$AK$71,7,0))</f>
        <v>0</v>
      </c>
      <c r="N426" s="32">
        <f>VLOOKUP($A426,$A$4:$O$28,12,0)*(HLOOKUP(N$417,'2.2.Brecha Efectiva x UdM'!$H$64:$AK$71,7,0))</f>
        <v>0</v>
      </c>
      <c r="O426" s="32">
        <f>VLOOKUP($A426,$A$4:$O$28,12,0)*(HLOOKUP(O$417,'2.2.Brecha Efectiva x UdM'!$H$64:$AK$71,7,0))</f>
        <v>0</v>
      </c>
      <c r="P426" s="32">
        <f>VLOOKUP($A426,$A$4:$O$28,12,0)*(HLOOKUP(P$417,'2.2.Brecha Efectiva x UdM'!$H$64:$AK$71,7,0))</f>
        <v>0</v>
      </c>
      <c r="Q426" s="32">
        <f>VLOOKUP($A426,$A$4:$O$28,12,0)*(HLOOKUP(Q$417,'2.2.Brecha Efectiva x UdM'!$H$64:$AK$71,7,0))</f>
        <v>0</v>
      </c>
      <c r="R426" s="32">
        <f>VLOOKUP($A426,$A$4:$O$28,12,0)*(HLOOKUP(R$417,'2.2.Brecha Efectiva x UdM'!$H$64:$AK$71,7,0))</f>
        <v>0</v>
      </c>
      <c r="S426" s="32">
        <f>VLOOKUP($A426,$A$4:$O$28,12,0)*(HLOOKUP(S$417,'2.2.Brecha Efectiva x UdM'!$H$64:$AK$71,7,0))</f>
        <v>0</v>
      </c>
      <c r="T426" s="32">
        <f>VLOOKUP($A426,$A$4:$O$28,12,0)*(HLOOKUP(T$417,'2.2.Brecha Efectiva x UdM'!$H$64:$AK$71,7,0))</f>
        <v>0</v>
      </c>
      <c r="U426" s="32">
        <f>VLOOKUP($A426,$A$4:$O$28,12,0)*(HLOOKUP(U$417,'2.2.Brecha Efectiva x UdM'!$H$64:$AK$71,7,0))</f>
        <v>0</v>
      </c>
      <c r="V426" s="32">
        <f>VLOOKUP($A426,$A$4:$O$28,12,0)*(HLOOKUP(V$417,'2.2.Brecha Efectiva x UdM'!$H$64:$AK$71,7,0))</f>
        <v>0</v>
      </c>
      <c r="W426" s="32">
        <f>VLOOKUP($A426,$A$4:$O$28,12,0)*(HLOOKUP(W$417,'2.2.Brecha Efectiva x UdM'!$H$64:$AK$71,7,0))</f>
        <v>0</v>
      </c>
      <c r="X426" s="32">
        <f>VLOOKUP($A426,$A$4:$O$28,12,0)*(HLOOKUP(X$417,'2.2.Brecha Efectiva x UdM'!$H$64:$AK$71,7,0))</f>
        <v>0</v>
      </c>
      <c r="Y426" s="32">
        <f>VLOOKUP($A426,$A$4:$O$28,12,0)*(HLOOKUP(Y$417,'2.2.Brecha Efectiva x UdM'!$H$64:$AK$71,7,0))</f>
        <v>0</v>
      </c>
      <c r="Z426" s="32">
        <f>VLOOKUP($A426,$A$4:$O$28,12,0)*(HLOOKUP(Z$417,'2.2.Brecha Efectiva x UdM'!$H$64:$AK$71,7,0))</f>
        <v>0</v>
      </c>
      <c r="AA426" s="32">
        <f>VLOOKUP($A426,$A$4:$O$28,12,0)*(HLOOKUP(AA$417,'2.2.Brecha Efectiva x UdM'!$H$64:$AK$71,7,0))</f>
        <v>0</v>
      </c>
      <c r="AB426" s="32">
        <f>VLOOKUP($A426,$A$4:$O$28,12,0)*(HLOOKUP(AB$417,'2.2.Brecha Efectiva x UdM'!$H$64:$AK$71,7,0))</f>
        <v>0</v>
      </c>
      <c r="AC426" s="32">
        <f>VLOOKUP($A426,$A$4:$O$28,12,0)*(HLOOKUP(AC$417,'2.2.Brecha Efectiva x UdM'!$H$64:$AK$71,7,0))</f>
        <v>0</v>
      </c>
      <c r="AD426" s="32">
        <f>VLOOKUP($A426,$A$4:$O$28,12,0)*(HLOOKUP(AD$417,'2.2.Brecha Efectiva x UdM'!$H$64:$AK$71,7,0))</f>
        <v>0</v>
      </c>
      <c r="AE426" s="32">
        <f>VLOOKUP($A426,$A$4:$O$28,12,0)*(HLOOKUP(AE$417,'2.2.Brecha Efectiva x UdM'!$H$64:$AK$71,7,0))</f>
        <v>0</v>
      </c>
      <c r="AF426" s="32">
        <f>VLOOKUP($A426,$A$4:$O$28,12,0)*(HLOOKUP(AF$417,'2.2.Brecha Efectiva x UdM'!$H$64:$AK$71,7,0))</f>
        <v>0</v>
      </c>
      <c r="AG426" s="32">
        <f>VLOOKUP($A426,$A$4:$O$28,12,0)*(HLOOKUP(AG$417,'2.2.Brecha Efectiva x UdM'!$H$64:$AK$71,7,0))</f>
        <v>0</v>
      </c>
      <c r="AH426" s="62">
        <f t="shared" si="426"/>
        <v>0</v>
      </c>
    </row>
    <row r="427" spans="1:34" hidden="1" x14ac:dyDescent="0.2">
      <c r="A427" s="26" t="str">
        <f t="shared" si="423"/>
        <v>Jujuy</v>
      </c>
      <c r="B427" s="52">
        <f t="shared" si="424"/>
        <v>0</v>
      </c>
      <c r="C427" s="26" t="str">
        <f t="shared" si="425"/>
        <v>Jujuy 0</v>
      </c>
      <c r="D427" s="31">
        <f>VLOOKUP($A427,$A$4:$O$28,12,0)*(HLOOKUP(D$417,'2.2.Brecha Efectiva x UdM'!$H$64:$AK$71,7,0))</f>
        <v>0</v>
      </c>
      <c r="E427" s="31">
        <f>VLOOKUP($A427,$A$4:$O$28,12,0)*(HLOOKUP(E$417,'2.2.Brecha Efectiva x UdM'!$H$64:$AK$71,7,0))</f>
        <v>0</v>
      </c>
      <c r="F427" s="31">
        <f>VLOOKUP($A427,$A$4:$O$28,12,0)*(HLOOKUP(F$417,'2.2.Brecha Efectiva x UdM'!$H$64:$AK$71,7,0))</f>
        <v>0</v>
      </c>
      <c r="G427" s="31">
        <f>VLOOKUP($A427,$A$4:$O$28,12,0)*(HLOOKUP(G$417,'2.2.Brecha Efectiva x UdM'!$H$64:$AK$71,7,0))</f>
        <v>0</v>
      </c>
      <c r="H427" s="31">
        <f>VLOOKUP($A427,$A$4:$O$28,12,0)*(HLOOKUP(H$417,'2.2.Brecha Efectiva x UdM'!$H$64:$AK$71,7,0))</f>
        <v>0</v>
      </c>
      <c r="I427" s="31">
        <f>VLOOKUP($A427,$A$4:$O$28,12,0)*(HLOOKUP(I$417,'2.2.Brecha Efectiva x UdM'!$H$64:$AK$71,7,0))</f>
        <v>0</v>
      </c>
      <c r="J427" s="31">
        <f>VLOOKUP($A427,$A$4:$O$28,12,0)*(HLOOKUP(J$417,'2.2.Brecha Efectiva x UdM'!$H$64:$AK$71,7,0))</f>
        <v>0</v>
      </c>
      <c r="K427" s="31">
        <f>VLOOKUP($A427,$A$4:$O$28,12,0)*(HLOOKUP(K$417,'2.2.Brecha Efectiva x UdM'!$H$64:$AK$71,7,0))</f>
        <v>0</v>
      </c>
      <c r="L427" s="31">
        <f>VLOOKUP($A427,$A$4:$O$28,12,0)*(HLOOKUP(L$417,'2.2.Brecha Efectiva x UdM'!$H$64:$AK$71,7,0))</f>
        <v>0</v>
      </c>
      <c r="M427" s="31">
        <f>VLOOKUP($A427,$A$4:$O$28,12,0)*(HLOOKUP(M$417,'2.2.Brecha Efectiva x UdM'!$H$64:$AK$71,7,0))</f>
        <v>0</v>
      </c>
      <c r="N427" s="31">
        <f>VLOOKUP($A427,$A$4:$O$28,12,0)*(HLOOKUP(N$417,'2.2.Brecha Efectiva x UdM'!$H$64:$AK$71,7,0))</f>
        <v>0</v>
      </c>
      <c r="O427" s="31">
        <f>VLOOKUP($A427,$A$4:$O$28,12,0)*(HLOOKUP(O$417,'2.2.Brecha Efectiva x UdM'!$H$64:$AK$71,7,0))</f>
        <v>0</v>
      </c>
      <c r="P427" s="31">
        <f>VLOOKUP($A427,$A$4:$O$28,12,0)*(HLOOKUP(P$417,'2.2.Brecha Efectiva x UdM'!$H$64:$AK$71,7,0))</f>
        <v>0</v>
      </c>
      <c r="Q427" s="31">
        <f>VLOOKUP($A427,$A$4:$O$28,12,0)*(HLOOKUP(Q$417,'2.2.Brecha Efectiva x UdM'!$H$64:$AK$71,7,0))</f>
        <v>0</v>
      </c>
      <c r="R427" s="31">
        <f>VLOOKUP($A427,$A$4:$O$28,12,0)*(HLOOKUP(R$417,'2.2.Brecha Efectiva x UdM'!$H$64:$AK$71,7,0))</f>
        <v>0</v>
      </c>
      <c r="S427" s="31">
        <f>VLOOKUP($A427,$A$4:$O$28,12,0)*(HLOOKUP(S$417,'2.2.Brecha Efectiva x UdM'!$H$64:$AK$71,7,0))</f>
        <v>0</v>
      </c>
      <c r="T427" s="31">
        <f>VLOOKUP($A427,$A$4:$O$28,12,0)*(HLOOKUP(T$417,'2.2.Brecha Efectiva x UdM'!$H$64:$AK$71,7,0))</f>
        <v>0</v>
      </c>
      <c r="U427" s="31">
        <f>VLOOKUP($A427,$A$4:$O$28,12,0)*(HLOOKUP(U$417,'2.2.Brecha Efectiva x UdM'!$H$64:$AK$71,7,0))</f>
        <v>0</v>
      </c>
      <c r="V427" s="31">
        <f>VLOOKUP($A427,$A$4:$O$28,12,0)*(HLOOKUP(V$417,'2.2.Brecha Efectiva x UdM'!$H$64:$AK$71,7,0))</f>
        <v>0</v>
      </c>
      <c r="W427" s="31">
        <f>VLOOKUP($A427,$A$4:$O$28,12,0)*(HLOOKUP(W$417,'2.2.Brecha Efectiva x UdM'!$H$64:$AK$71,7,0))</f>
        <v>0</v>
      </c>
      <c r="X427" s="31">
        <f>VLOOKUP($A427,$A$4:$O$28,12,0)*(HLOOKUP(X$417,'2.2.Brecha Efectiva x UdM'!$H$64:$AK$71,7,0))</f>
        <v>0</v>
      </c>
      <c r="Y427" s="31">
        <f>VLOOKUP($A427,$A$4:$O$28,12,0)*(HLOOKUP(Y$417,'2.2.Brecha Efectiva x UdM'!$H$64:$AK$71,7,0))</f>
        <v>0</v>
      </c>
      <c r="Z427" s="31">
        <f>VLOOKUP($A427,$A$4:$O$28,12,0)*(HLOOKUP(Z$417,'2.2.Brecha Efectiva x UdM'!$H$64:$AK$71,7,0))</f>
        <v>0</v>
      </c>
      <c r="AA427" s="31">
        <f>VLOOKUP($A427,$A$4:$O$28,12,0)*(HLOOKUP(AA$417,'2.2.Brecha Efectiva x UdM'!$H$64:$AK$71,7,0))</f>
        <v>0</v>
      </c>
      <c r="AB427" s="31">
        <f>VLOOKUP($A427,$A$4:$O$28,12,0)*(HLOOKUP(AB$417,'2.2.Brecha Efectiva x UdM'!$H$64:$AK$71,7,0))</f>
        <v>0</v>
      </c>
      <c r="AC427" s="31">
        <f>VLOOKUP($A427,$A$4:$O$28,12,0)*(HLOOKUP(AC$417,'2.2.Brecha Efectiva x UdM'!$H$64:$AK$71,7,0))</f>
        <v>0</v>
      </c>
      <c r="AD427" s="31">
        <f>VLOOKUP($A427,$A$4:$O$28,12,0)*(HLOOKUP(AD$417,'2.2.Brecha Efectiva x UdM'!$H$64:$AK$71,7,0))</f>
        <v>0</v>
      </c>
      <c r="AE427" s="31">
        <f>VLOOKUP($A427,$A$4:$O$28,12,0)*(HLOOKUP(AE$417,'2.2.Brecha Efectiva x UdM'!$H$64:$AK$71,7,0))</f>
        <v>0</v>
      </c>
      <c r="AF427" s="31">
        <f>VLOOKUP($A427,$A$4:$O$28,12,0)*(HLOOKUP(AF$417,'2.2.Brecha Efectiva x UdM'!$H$64:$AK$71,7,0))</f>
        <v>0</v>
      </c>
      <c r="AG427" s="31">
        <f>VLOOKUP($A427,$A$4:$O$28,12,0)*(HLOOKUP(AG$417,'2.2.Brecha Efectiva x UdM'!$H$64:$AK$71,7,0))</f>
        <v>0</v>
      </c>
      <c r="AH427" s="63">
        <f t="shared" si="426"/>
        <v>0</v>
      </c>
    </row>
    <row r="428" spans="1:34" hidden="1" x14ac:dyDescent="0.2">
      <c r="A428" s="25" t="str">
        <f t="shared" si="423"/>
        <v>La Pampa</v>
      </c>
      <c r="B428" s="51">
        <f t="shared" si="424"/>
        <v>0</v>
      </c>
      <c r="C428" s="25" t="str">
        <f t="shared" si="425"/>
        <v>La Pampa 0</v>
      </c>
      <c r="D428" s="32">
        <f>VLOOKUP($A428,$A$4:$O$28,12,0)*(HLOOKUP(D$417,'2.2.Brecha Efectiva x UdM'!$H$64:$AK$71,7,0))</f>
        <v>0</v>
      </c>
      <c r="E428" s="32">
        <f>VLOOKUP($A428,$A$4:$O$28,12,0)*(HLOOKUP(E$417,'2.2.Brecha Efectiva x UdM'!$H$64:$AK$71,7,0))</f>
        <v>0</v>
      </c>
      <c r="F428" s="32">
        <f>VLOOKUP($A428,$A$4:$O$28,12,0)*(HLOOKUP(F$417,'2.2.Brecha Efectiva x UdM'!$H$64:$AK$71,7,0))</f>
        <v>0</v>
      </c>
      <c r="G428" s="32">
        <f>VLOOKUP($A428,$A$4:$O$28,12,0)*(HLOOKUP(G$417,'2.2.Brecha Efectiva x UdM'!$H$64:$AK$71,7,0))</f>
        <v>0</v>
      </c>
      <c r="H428" s="32">
        <f>VLOOKUP($A428,$A$4:$O$28,12,0)*(HLOOKUP(H$417,'2.2.Brecha Efectiva x UdM'!$H$64:$AK$71,7,0))</f>
        <v>0</v>
      </c>
      <c r="I428" s="32">
        <f>VLOOKUP($A428,$A$4:$O$28,12,0)*(HLOOKUP(I$417,'2.2.Brecha Efectiva x UdM'!$H$64:$AK$71,7,0))</f>
        <v>0</v>
      </c>
      <c r="J428" s="32">
        <f>VLOOKUP($A428,$A$4:$O$28,12,0)*(HLOOKUP(J$417,'2.2.Brecha Efectiva x UdM'!$H$64:$AK$71,7,0))</f>
        <v>0</v>
      </c>
      <c r="K428" s="32">
        <f>VLOOKUP($A428,$A$4:$O$28,12,0)*(HLOOKUP(K$417,'2.2.Brecha Efectiva x UdM'!$H$64:$AK$71,7,0))</f>
        <v>0</v>
      </c>
      <c r="L428" s="32">
        <f>VLOOKUP($A428,$A$4:$O$28,12,0)*(HLOOKUP(L$417,'2.2.Brecha Efectiva x UdM'!$H$64:$AK$71,7,0))</f>
        <v>0</v>
      </c>
      <c r="M428" s="32">
        <f>VLOOKUP($A428,$A$4:$O$28,12,0)*(HLOOKUP(M$417,'2.2.Brecha Efectiva x UdM'!$H$64:$AK$71,7,0))</f>
        <v>0</v>
      </c>
      <c r="N428" s="32">
        <f>VLOOKUP($A428,$A$4:$O$28,12,0)*(HLOOKUP(N$417,'2.2.Brecha Efectiva x UdM'!$H$64:$AK$71,7,0))</f>
        <v>0</v>
      </c>
      <c r="O428" s="32">
        <f>VLOOKUP($A428,$A$4:$O$28,12,0)*(HLOOKUP(O$417,'2.2.Brecha Efectiva x UdM'!$H$64:$AK$71,7,0))</f>
        <v>0</v>
      </c>
      <c r="P428" s="32">
        <f>VLOOKUP($A428,$A$4:$O$28,12,0)*(HLOOKUP(P$417,'2.2.Brecha Efectiva x UdM'!$H$64:$AK$71,7,0))</f>
        <v>0</v>
      </c>
      <c r="Q428" s="32">
        <f>VLOOKUP($A428,$A$4:$O$28,12,0)*(HLOOKUP(Q$417,'2.2.Brecha Efectiva x UdM'!$H$64:$AK$71,7,0))</f>
        <v>0</v>
      </c>
      <c r="R428" s="32">
        <f>VLOOKUP($A428,$A$4:$O$28,12,0)*(HLOOKUP(R$417,'2.2.Brecha Efectiva x UdM'!$H$64:$AK$71,7,0))</f>
        <v>0</v>
      </c>
      <c r="S428" s="32">
        <f>VLOOKUP($A428,$A$4:$O$28,12,0)*(HLOOKUP(S$417,'2.2.Brecha Efectiva x UdM'!$H$64:$AK$71,7,0))</f>
        <v>0</v>
      </c>
      <c r="T428" s="32">
        <f>VLOOKUP($A428,$A$4:$O$28,12,0)*(HLOOKUP(T$417,'2.2.Brecha Efectiva x UdM'!$H$64:$AK$71,7,0))</f>
        <v>0</v>
      </c>
      <c r="U428" s="32">
        <f>VLOOKUP($A428,$A$4:$O$28,12,0)*(HLOOKUP(U$417,'2.2.Brecha Efectiva x UdM'!$H$64:$AK$71,7,0))</f>
        <v>0</v>
      </c>
      <c r="V428" s="32">
        <f>VLOOKUP($A428,$A$4:$O$28,12,0)*(HLOOKUP(V$417,'2.2.Brecha Efectiva x UdM'!$H$64:$AK$71,7,0))</f>
        <v>0</v>
      </c>
      <c r="W428" s="32">
        <f>VLOOKUP($A428,$A$4:$O$28,12,0)*(HLOOKUP(W$417,'2.2.Brecha Efectiva x UdM'!$H$64:$AK$71,7,0))</f>
        <v>0</v>
      </c>
      <c r="X428" s="32">
        <f>VLOOKUP($A428,$A$4:$O$28,12,0)*(HLOOKUP(X$417,'2.2.Brecha Efectiva x UdM'!$H$64:$AK$71,7,0))</f>
        <v>0</v>
      </c>
      <c r="Y428" s="32">
        <f>VLOOKUP($A428,$A$4:$O$28,12,0)*(HLOOKUP(Y$417,'2.2.Brecha Efectiva x UdM'!$H$64:$AK$71,7,0))</f>
        <v>0</v>
      </c>
      <c r="Z428" s="32">
        <f>VLOOKUP($A428,$A$4:$O$28,12,0)*(HLOOKUP(Z$417,'2.2.Brecha Efectiva x UdM'!$H$64:$AK$71,7,0))</f>
        <v>0</v>
      </c>
      <c r="AA428" s="32">
        <f>VLOOKUP($A428,$A$4:$O$28,12,0)*(HLOOKUP(AA$417,'2.2.Brecha Efectiva x UdM'!$H$64:$AK$71,7,0))</f>
        <v>0</v>
      </c>
      <c r="AB428" s="32">
        <f>VLOOKUP($A428,$A$4:$O$28,12,0)*(HLOOKUP(AB$417,'2.2.Brecha Efectiva x UdM'!$H$64:$AK$71,7,0))</f>
        <v>0</v>
      </c>
      <c r="AC428" s="32">
        <f>VLOOKUP($A428,$A$4:$O$28,12,0)*(HLOOKUP(AC$417,'2.2.Brecha Efectiva x UdM'!$H$64:$AK$71,7,0))</f>
        <v>0</v>
      </c>
      <c r="AD428" s="32">
        <f>VLOOKUP($A428,$A$4:$O$28,12,0)*(HLOOKUP(AD$417,'2.2.Brecha Efectiva x UdM'!$H$64:$AK$71,7,0))</f>
        <v>0</v>
      </c>
      <c r="AE428" s="32">
        <f>VLOOKUP($A428,$A$4:$O$28,12,0)*(HLOOKUP(AE$417,'2.2.Brecha Efectiva x UdM'!$H$64:$AK$71,7,0))</f>
        <v>0</v>
      </c>
      <c r="AF428" s="32">
        <f>VLOOKUP($A428,$A$4:$O$28,12,0)*(HLOOKUP(AF$417,'2.2.Brecha Efectiva x UdM'!$H$64:$AK$71,7,0))</f>
        <v>0</v>
      </c>
      <c r="AG428" s="32">
        <f>VLOOKUP($A428,$A$4:$O$28,12,0)*(HLOOKUP(AG$417,'2.2.Brecha Efectiva x UdM'!$H$64:$AK$71,7,0))</f>
        <v>0</v>
      </c>
      <c r="AH428" s="62">
        <f t="shared" si="426"/>
        <v>0</v>
      </c>
    </row>
    <row r="429" spans="1:34" hidden="1" x14ac:dyDescent="0.2">
      <c r="A429" s="26" t="str">
        <f t="shared" si="423"/>
        <v>La Rioja</v>
      </c>
      <c r="B429" s="52">
        <f t="shared" si="424"/>
        <v>0</v>
      </c>
      <c r="C429" s="26" t="str">
        <f t="shared" si="425"/>
        <v>La Rioja 0</v>
      </c>
      <c r="D429" s="31">
        <f>VLOOKUP($A429,$A$4:$O$28,12,0)*(HLOOKUP(D$417,'2.2.Brecha Efectiva x UdM'!$H$64:$AK$71,7,0))</f>
        <v>0</v>
      </c>
      <c r="E429" s="31">
        <f>VLOOKUP($A429,$A$4:$O$28,12,0)*(HLOOKUP(E$417,'2.2.Brecha Efectiva x UdM'!$H$64:$AK$71,7,0))</f>
        <v>0</v>
      </c>
      <c r="F429" s="31">
        <f>VLOOKUP($A429,$A$4:$O$28,12,0)*(HLOOKUP(F$417,'2.2.Brecha Efectiva x UdM'!$H$64:$AK$71,7,0))</f>
        <v>0</v>
      </c>
      <c r="G429" s="31">
        <f>VLOOKUP($A429,$A$4:$O$28,12,0)*(HLOOKUP(G$417,'2.2.Brecha Efectiva x UdM'!$H$64:$AK$71,7,0))</f>
        <v>0</v>
      </c>
      <c r="H429" s="31">
        <f>VLOOKUP($A429,$A$4:$O$28,12,0)*(HLOOKUP(H$417,'2.2.Brecha Efectiva x UdM'!$H$64:$AK$71,7,0))</f>
        <v>0</v>
      </c>
      <c r="I429" s="31">
        <f>VLOOKUP($A429,$A$4:$O$28,12,0)*(HLOOKUP(I$417,'2.2.Brecha Efectiva x UdM'!$H$64:$AK$71,7,0))</f>
        <v>0</v>
      </c>
      <c r="J429" s="31">
        <f>VLOOKUP($A429,$A$4:$O$28,12,0)*(HLOOKUP(J$417,'2.2.Brecha Efectiva x UdM'!$H$64:$AK$71,7,0))</f>
        <v>0</v>
      </c>
      <c r="K429" s="31">
        <f>VLOOKUP($A429,$A$4:$O$28,12,0)*(HLOOKUP(K$417,'2.2.Brecha Efectiva x UdM'!$H$64:$AK$71,7,0))</f>
        <v>0</v>
      </c>
      <c r="L429" s="31">
        <f>VLOOKUP($A429,$A$4:$O$28,12,0)*(HLOOKUP(L$417,'2.2.Brecha Efectiva x UdM'!$H$64:$AK$71,7,0))</f>
        <v>0</v>
      </c>
      <c r="M429" s="31">
        <f>VLOOKUP($A429,$A$4:$O$28,12,0)*(HLOOKUP(M$417,'2.2.Brecha Efectiva x UdM'!$H$64:$AK$71,7,0))</f>
        <v>0</v>
      </c>
      <c r="N429" s="31">
        <f>VLOOKUP($A429,$A$4:$O$28,12,0)*(HLOOKUP(N$417,'2.2.Brecha Efectiva x UdM'!$H$64:$AK$71,7,0))</f>
        <v>0</v>
      </c>
      <c r="O429" s="31">
        <f>VLOOKUP($A429,$A$4:$O$28,12,0)*(HLOOKUP(O$417,'2.2.Brecha Efectiva x UdM'!$H$64:$AK$71,7,0))</f>
        <v>0</v>
      </c>
      <c r="P429" s="31">
        <f>VLOOKUP($A429,$A$4:$O$28,12,0)*(HLOOKUP(P$417,'2.2.Brecha Efectiva x UdM'!$H$64:$AK$71,7,0))</f>
        <v>0</v>
      </c>
      <c r="Q429" s="31">
        <f>VLOOKUP($A429,$A$4:$O$28,12,0)*(HLOOKUP(Q$417,'2.2.Brecha Efectiva x UdM'!$H$64:$AK$71,7,0))</f>
        <v>0</v>
      </c>
      <c r="R429" s="31">
        <f>VLOOKUP($A429,$A$4:$O$28,12,0)*(HLOOKUP(R$417,'2.2.Brecha Efectiva x UdM'!$H$64:$AK$71,7,0))</f>
        <v>0</v>
      </c>
      <c r="S429" s="31">
        <f>VLOOKUP($A429,$A$4:$O$28,12,0)*(HLOOKUP(S$417,'2.2.Brecha Efectiva x UdM'!$H$64:$AK$71,7,0))</f>
        <v>0</v>
      </c>
      <c r="T429" s="31">
        <f>VLOOKUP($A429,$A$4:$O$28,12,0)*(HLOOKUP(T$417,'2.2.Brecha Efectiva x UdM'!$H$64:$AK$71,7,0))</f>
        <v>0</v>
      </c>
      <c r="U429" s="31">
        <f>VLOOKUP($A429,$A$4:$O$28,12,0)*(HLOOKUP(U$417,'2.2.Brecha Efectiva x UdM'!$H$64:$AK$71,7,0))</f>
        <v>0</v>
      </c>
      <c r="V429" s="31">
        <f>VLOOKUP($A429,$A$4:$O$28,12,0)*(HLOOKUP(V$417,'2.2.Brecha Efectiva x UdM'!$H$64:$AK$71,7,0))</f>
        <v>0</v>
      </c>
      <c r="W429" s="31">
        <f>VLOOKUP($A429,$A$4:$O$28,12,0)*(HLOOKUP(W$417,'2.2.Brecha Efectiva x UdM'!$H$64:$AK$71,7,0))</f>
        <v>0</v>
      </c>
      <c r="X429" s="31">
        <f>VLOOKUP($A429,$A$4:$O$28,12,0)*(HLOOKUP(X$417,'2.2.Brecha Efectiva x UdM'!$H$64:$AK$71,7,0))</f>
        <v>0</v>
      </c>
      <c r="Y429" s="31">
        <f>VLOOKUP($A429,$A$4:$O$28,12,0)*(HLOOKUP(Y$417,'2.2.Brecha Efectiva x UdM'!$H$64:$AK$71,7,0))</f>
        <v>0</v>
      </c>
      <c r="Z429" s="31">
        <f>VLOOKUP($A429,$A$4:$O$28,12,0)*(HLOOKUP(Z$417,'2.2.Brecha Efectiva x UdM'!$H$64:$AK$71,7,0))</f>
        <v>0</v>
      </c>
      <c r="AA429" s="31">
        <f>VLOOKUP($A429,$A$4:$O$28,12,0)*(HLOOKUP(AA$417,'2.2.Brecha Efectiva x UdM'!$H$64:$AK$71,7,0))</f>
        <v>0</v>
      </c>
      <c r="AB429" s="31">
        <f>VLOOKUP($A429,$A$4:$O$28,12,0)*(HLOOKUP(AB$417,'2.2.Brecha Efectiva x UdM'!$H$64:$AK$71,7,0))</f>
        <v>0</v>
      </c>
      <c r="AC429" s="31">
        <f>VLOOKUP($A429,$A$4:$O$28,12,0)*(HLOOKUP(AC$417,'2.2.Brecha Efectiva x UdM'!$H$64:$AK$71,7,0))</f>
        <v>0</v>
      </c>
      <c r="AD429" s="31">
        <f>VLOOKUP($A429,$A$4:$O$28,12,0)*(HLOOKUP(AD$417,'2.2.Brecha Efectiva x UdM'!$H$64:$AK$71,7,0))</f>
        <v>0</v>
      </c>
      <c r="AE429" s="31">
        <f>VLOOKUP($A429,$A$4:$O$28,12,0)*(HLOOKUP(AE$417,'2.2.Brecha Efectiva x UdM'!$H$64:$AK$71,7,0))</f>
        <v>0</v>
      </c>
      <c r="AF429" s="31">
        <f>VLOOKUP($A429,$A$4:$O$28,12,0)*(HLOOKUP(AF$417,'2.2.Brecha Efectiva x UdM'!$H$64:$AK$71,7,0))</f>
        <v>0</v>
      </c>
      <c r="AG429" s="31">
        <f>VLOOKUP($A429,$A$4:$O$28,12,0)*(HLOOKUP(AG$417,'2.2.Brecha Efectiva x UdM'!$H$64:$AK$71,7,0))</f>
        <v>0</v>
      </c>
      <c r="AH429" s="63">
        <f t="shared" si="426"/>
        <v>0</v>
      </c>
    </row>
    <row r="430" spans="1:34" hidden="1" x14ac:dyDescent="0.2">
      <c r="A430" s="25" t="str">
        <f t="shared" si="423"/>
        <v>Mendoza</v>
      </c>
      <c r="B430" s="51">
        <f t="shared" si="424"/>
        <v>0</v>
      </c>
      <c r="C430" s="25" t="str">
        <f t="shared" si="425"/>
        <v>Mendoza 0</v>
      </c>
      <c r="D430" s="32">
        <f>VLOOKUP($A430,$A$4:$O$28,12,0)*(HLOOKUP(D$417,'2.2.Brecha Efectiva x UdM'!$H$64:$AK$71,7,0))</f>
        <v>0</v>
      </c>
      <c r="E430" s="32">
        <f>VLOOKUP($A430,$A$4:$O$28,12,0)*(HLOOKUP(E$417,'2.2.Brecha Efectiva x UdM'!$H$64:$AK$71,7,0))</f>
        <v>0</v>
      </c>
      <c r="F430" s="32">
        <f>VLOOKUP($A430,$A$4:$O$28,12,0)*(HLOOKUP(F$417,'2.2.Brecha Efectiva x UdM'!$H$64:$AK$71,7,0))</f>
        <v>0</v>
      </c>
      <c r="G430" s="32">
        <f>VLOOKUP($A430,$A$4:$O$28,12,0)*(HLOOKUP(G$417,'2.2.Brecha Efectiva x UdM'!$H$64:$AK$71,7,0))</f>
        <v>0</v>
      </c>
      <c r="H430" s="32">
        <f>VLOOKUP($A430,$A$4:$O$28,12,0)*(HLOOKUP(H$417,'2.2.Brecha Efectiva x UdM'!$H$64:$AK$71,7,0))</f>
        <v>0</v>
      </c>
      <c r="I430" s="32">
        <f>VLOOKUP($A430,$A$4:$O$28,12,0)*(HLOOKUP(I$417,'2.2.Brecha Efectiva x UdM'!$H$64:$AK$71,7,0))</f>
        <v>0</v>
      </c>
      <c r="J430" s="32">
        <f>VLOOKUP($A430,$A$4:$O$28,12,0)*(HLOOKUP(J$417,'2.2.Brecha Efectiva x UdM'!$H$64:$AK$71,7,0))</f>
        <v>0</v>
      </c>
      <c r="K430" s="32">
        <f>VLOOKUP($A430,$A$4:$O$28,12,0)*(HLOOKUP(K$417,'2.2.Brecha Efectiva x UdM'!$H$64:$AK$71,7,0))</f>
        <v>0</v>
      </c>
      <c r="L430" s="32">
        <f>VLOOKUP($A430,$A$4:$O$28,12,0)*(HLOOKUP(L$417,'2.2.Brecha Efectiva x UdM'!$H$64:$AK$71,7,0))</f>
        <v>0</v>
      </c>
      <c r="M430" s="32">
        <f>VLOOKUP($A430,$A$4:$O$28,12,0)*(HLOOKUP(M$417,'2.2.Brecha Efectiva x UdM'!$H$64:$AK$71,7,0))</f>
        <v>0</v>
      </c>
      <c r="N430" s="32">
        <f>VLOOKUP($A430,$A$4:$O$28,12,0)*(HLOOKUP(N$417,'2.2.Brecha Efectiva x UdM'!$H$64:$AK$71,7,0))</f>
        <v>0</v>
      </c>
      <c r="O430" s="32">
        <f>VLOOKUP($A430,$A$4:$O$28,12,0)*(HLOOKUP(O$417,'2.2.Brecha Efectiva x UdM'!$H$64:$AK$71,7,0))</f>
        <v>0</v>
      </c>
      <c r="P430" s="32">
        <f>VLOOKUP($A430,$A$4:$O$28,12,0)*(HLOOKUP(P$417,'2.2.Brecha Efectiva x UdM'!$H$64:$AK$71,7,0))</f>
        <v>0</v>
      </c>
      <c r="Q430" s="32">
        <f>VLOOKUP($A430,$A$4:$O$28,12,0)*(HLOOKUP(Q$417,'2.2.Brecha Efectiva x UdM'!$H$64:$AK$71,7,0))</f>
        <v>0</v>
      </c>
      <c r="R430" s="32">
        <f>VLOOKUP($A430,$A$4:$O$28,12,0)*(HLOOKUP(R$417,'2.2.Brecha Efectiva x UdM'!$H$64:$AK$71,7,0))</f>
        <v>0</v>
      </c>
      <c r="S430" s="32">
        <f>VLOOKUP($A430,$A$4:$O$28,12,0)*(HLOOKUP(S$417,'2.2.Brecha Efectiva x UdM'!$H$64:$AK$71,7,0))</f>
        <v>0</v>
      </c>
      <c r="T430" s="32">
        <f>VLOOKUP($A430,$A$4:$O$28,12,0)*(HLOOKUP(T$417,'2.2.Brecha Efectiva x UdM'!$H$64:$AK$71,7,0))</f>
        <v>0</v>
      </c>
      <c r="U430" s="32">
        <f>VLOOKUP($A430,$A$4:$O$28,12,0)*(HLOOKUP(U$417,'2.2.Brecha Efectiva x UdM'!$H$64:$AK$71,7,0))</f>
        <v>0</v>
      </c>
      <c r="V430" s="32">
        <f>VLOOKUP($A430,$A$4:$O$28,12,0)*(HLOOKUP(V$417,'2.2.Brecha Efectiva x UdM'!$H$64:$AK$71,7,0))</f>
        <v>0</v>
      </c>
      <c r="W430" s="32">
        <f>VLOOKUP($A430,$A$4:$O$28,12,0)*(HLOOKUP(W$417,'2.2.Brecha Efectiva x UdM'!$H$64:$AK$71,7,0))</f>
        <v>0</v>
      </c>
      <c r="X430" s="32">
        <f>VLOOKUP($A430,$A$4:$O$28,12,0)*(HLOOKUP(X$417,'2.2.Brecha Efectiva x UdM'!$H$64:$AK$71,7,0))</f>
        <v>0</v>
      </c>
      <c r="Y430" s="32">
        <f>VLOOKUP($A430,$A$4:$O$28,12,0)*(HLOOKUP(Y$417,'2.2.Brecha Efectiva x UdM'!$H$64:$AK$71,7,0))</f>
        <v>0</v>
      </c>
      <c r="Z430" s="32">
        <f>VLOOKUP($A430,$A$4:$O$28,12,0)*(HLOOKUP(Z$417,'2.2.Brecha Efectiva x UdM'!$H$64:$AK$71,7,0))</f>
        <v>0</v>
      </c>
      <c r="AA430" s="32">
        <f>VLOOKUP($A430,$A$4:$O$28,12,0)*(HLOOKUP(AA$417,'2.2.Brecha Efectiva x UdM'!$H$64:$AK$71,7,0))</f>
        <v>0</v>
      </c>
      <c r="AB430" s="32">
        <f>VLOOKUP($A430,$A$4:$O$28,12,0)*(HLOOKUP(AB$417,'2.2.Brecha Efectiva x UdM'!$H$64:$AK$71,7,0))</f>
        <v>0</v>
      </c>
      <c r="AC430" s="32">
        <f>VLOOKUP($A430,$A$4:$O$28,12,0)*(HLOOKUP(AC$417,'2.2.Brecha Efectiva x UdM'!$H$64:$AK$71,7,0))</f>
        <v>0</v>
      </c>
      <c r="AD430" s="32">
        <f>VLOOKUP($A430,$A$4:$O$28,12,0)*(HLOOKUP(AD$417,'2.2.Brecha Efectiva x UdM'!$H$64:$AK$71,7,0))</f>
        <v>0</v>
      </c>
      <c r="AE430" s="32">
        <f>VLOOKUP($A430,$A$4:$O$28,12,0)*(HLOOKUP(AE$417,'2.2.Brecha Efectiva x UdM'!$H$64:$AK$71,7,0))</f>
        <v>0</v>
      </c>
      <c r="AF430" s="32">
        <f>VLOOKUP($A430,$A$4:$O$28,12,0)*(HLOOKUP(AF$417,'2.2.Brecha Efectiva x UdM'!$H$64:$AK$71,7,0))</f>
        <v>0</v>
      </c>
      <c r="AG430" s="32">
        <f>VLOOKUP($A430,$A$4:$O$28,12,0)*(HLOOKUP(AG$417,'2.2.Brecha Efectiva x UdM'!$H$64:$AK$71,7,0))</f>
        <v>0</v>
      </c>
      <c r="AH430" s="62">
        <f t="shared" si="426"/>
        <v>0</v>
      </c>
    </row>
    <row r="431" spans="1:34" hidden="1" x14ac:dyDescent="0.2">
      <c r="A431" s="26" t="str">
        <f t="shared" si="423"/>
        <v>Misiones</v>
      </c>
      <c r="B431" s="52">
        <f t="shared" si="424"/>
        <v>0</v>
      </c>
      <c r="C431" s="26" t="str">
        <f t="shared" si="425"/>
        <v>Misiones 0</v>
      </c>
      <c r="D431" s="31">
        <f>VLOOKUP($A431,$A$4:$O$28,12,0)*(HLOOKUP(D$417,'2.2.Brecha Efectiva x UdM'!$H$64:$AK$71,7,0))</f>
        <v>0</v>
      </c>
      <c r="E431" s="31">
        <f>VLOOKUP($A431,$A$4:$O$28,12,0)*(HLOOKUP(E$417,'2.2.Brecha Efectiva x UdM'!$H$64:$AK$71,7,0))</f>
        <v>0</v>
      </c>
      <c r="F431" s="31">
        <f>VLOOKUP($A431,$A$4:$O$28,12,0)*(HLOOKUP(F$417,'2.2.Brecha Efectiva x UdM'!$H$64:$AK$71,7,0))</f>
        <v>0</v>
      </c>
      <c r="G431" s="31">
        <f>VLOOKUP($A431,$A$4:$O$28,12,0)*(HLOOKUP(G$417,'2.2.Brecha Efectiva x UdM'!$H$64:$AK$71,7,0))</f>
        <v>0</v>
      </c>
      <c r="H431" s="31">
        <f>VLOOKUP($A431,$A$4:$O$28,12,0)*(HLOOKUP(H$417,'2.2.Brecha Efectiva x UdM'!$H$64:$AK$71,7,0))</f>
        <v>0</v>
      </c>
      <c r="I431" s="31">
        <f>VLOOKUP($A431,$A$4:$O$28,12,0)*(HLOOKUP(I$417,'2.2.Brecha Efectiva x UdM'!$H$64:$AK$71,7,0))</f>
        <v>0</v>
      </c>
      <c r="J431" s="31">
        <f>VLOOKUP($A431,$A$4:$O$28,12,0)*(HLOOKUP(J$417,'2.2.Brecha Efectiva x UdM'!$H$64:$AK$71,7,0))</f>
        <v>0</v>
      </c>
      <c r="K431" s="31">
        <f>VLOOKUP($A431,$A$4:$O$28,12,0)*(HLOOKUP(K$417,'2.2.Brecha Efectiva x UdM'!$H$64:$AK$71,7,0))</f>
        <v>0</v>
      </c>
      <c r="L431" s="31">
        <f>VLOOKUP($A431,$A$4:$O$28,12,0)*(HLOOKUP(L$417,'2.2.Brecha Efectiva x UdM'!$H$64:$AK$71,7,0))</f>
        <v>0</v>
      </c>
      <c r="M431" s="31">
        <f>VLOOKUP($A431,$A$4:$O$28,12,0)*(HLOOKUP(M$417,'2.2.Brecha Efectiva x UdM'!$H$64:$AK$71,7,0))</f>
        <v>0</v>
      </c>
      <c r="N431" s="31">
        <f>VLOOKUP($A431,$A$4:$O$28,12,0)*(HLOOKUP(N$417,'2.2.Brecha Efectiva x UdM'!$H$64:$AK$71,7,0))</f>
        <v>0</v>
      </c>
      <c r="O431" s="31">
        <f>VLOOKUP($A431,$A$4:$O$28,12,0)*(HLOOKUP(O$417,'2.2.Brecha Efectiva x UdM'!$H$64:$AK$71,7,0))</f>
        <v>0</v>
      </c>
      <c r="P431" s="31">
        <f>VLOOKUP($A431,$A$4:$O$28,12,0)*(HLOOKUP(P$417,'2.2.Brecha Efectiva x UdM'!$H$64:$AK$71,7,0))</f>
        <v>0</v>
      </c>
      <c r="Q431" s="31">
        <f>VLOOKUP($A431,$A$4:$O$28,12,0)*(HLOOKUP(Q$417,'2.2.Brecha Efectiva x UdM'!$H$64:$AK$71,7,0))</f>
        <v>0</v>
      </c>
      <c r="R431" s="31">
        <f>VLOOKUP($A431,$A$4:$O$28,12,0)*(HLOOKUP(R$417,'2.2.Brecha Efectiva x UdM'!$H$64:$AK$71,7,0))</f>
        <v>0</v>
      </c>
      <c r="S431" s="31">
        <f>VLOOKUP($A431,$A$4:$O$28,12,0)*(HLOOKUP(S$417,'2.2.Brecha Efectiva x UdM'!$H$64:$AK$71,7,0))</f>
        <v>0</v>
      </c>
      <c r="T431" s="31">
        <f>VLOOKUP($A431,$A$4:$O$28,12,0)*(HLOOKUP(T$417,'2.2.Brecha Efectiva x UdM'!$H$64:$AK$71,7,0))</f>
        <v>0</v>
      </c>
      <c r="U431" s="31">
        <f>VLOOKUP($A431,$A$4:$O$28,12,0)*(HLOOKUP(U$417,'2.2.Brecha Efectiva x UdM'!$H$64:$AK$71,7,0))</f>
        <v>0</v>
      </c>
      <c r="V431" s="31">
        <f>VLOOKUP($A431,$A$4:$O$28,12,0)*(HLOOKUP(V$417,'2.2.Brecha Efectiva x UdM'!$H$64:$AK$71,7,0))</f>
        <v>0</v>
      </c>
      <c r="W431" s="31">
        <f>VLOOKUP($A431,$A$4:$O$28,12,0)*(HLOOKUP(W$417,'2.2.Brecha Efectiva x UdM'!$H$64:$AK$71,7,0))</f>
        <v>0</v>
      </c>
      <c r="X431" s="31">
        <f>VLOOKUP($A431,$A$4:$O$28,12,0)*(HLOOKUP(X$417,'2.2.Brecha Efectiva x UdM'!$H$64:$AK$71,7,0))</f>
        <v>0</v>
      </c>
      <c r="Y431" s="31">
        <f>VLOOKUP($A431,$A$4:$O$28,12,0)*(HLOOKUP(Y$417,'2.2.Brecha Efectiva x UdM'!$H$64:$AK$71,7,0))</f>
        <v>0</v>
      </c>
      <c r="Z431" s="31">
        <f>VLOOKUP($A431,$A$4:$O$28,12,0)*(HLOOKUP(Z$417,'2.2.Brecha Efectiva x UdM'!$H$64:$AK$71,7,0))</f>
        <v>0</v>
      </c>
      <c r="AA431" s="31">
        <f>VLOOKUP($A431,$A$4:$O$28,12,0)*(HLOOKUP(AA$417,'2.2.Brecha Efectiva x UdM'!$H$64:$AK$71,7,0))</f>
        <v>0</v>
      </c>
      <c r="AB431" s="31">
        <f>VLOOKUP($A431,$A$4:$O$28,12,0)*(HLOOKUP(AB$417,'2.2.Brecha Efectiva x UdM'!$H$64:$AK$71,7,0))</f>
        <v>0</v>
      </c>
      <c r="AC431" s="31">
        <f>VLOOKUP($A431,$A$4:$O$28,12,0)*(HLOOKUP(AC$417,'2.2.Brecha Efectiva x UdM'!$H$64:$AK$71,7,0))</f>
        <v>0</v>
      </c>
      <c r="AD431" s="31">
        <f>VLOOKUP($A431,$A$4:$O$28,12,0)*(HLOOKUP(AD$417,'2.2.Brecha Efectiva x UdM'!$H$64:$AK$71,7,0))</f>
        <v>0</v>
      </c>
      <c r="AE431" s="31">
        <f>VLOOKUP($A431,$A$4:$O$28,12,0)*(HLOOKUP(AE$417,'2.2.Brecha Efectiva x UdM'!$H$64:$AK$71,7,0))</f>
        <v>0</v>
      </c>
      <c r="AF431" s="31">
        <f>VLOOKUP($A431,$A$4:$O$28,12,0)*(HLOOKUP(AF$417,'2.2.Brecha Efectiva x UdM'!$H$64:$AK$71,7,0))</f>
        <v>0</v>
      </c>
      <c r="AG431" s="31">
        <f>VLOOKUP($A431,$A$4:$O$28,12,0)*(HLOOKUP(AG$417,'2.2.Brecha Efectiva x UdM'!$H$64:$AK$71,7,0))</f>
        <v>0</v>
      </c>
      <c r="AH431" s="63">
        <f t="shared" si="426"/>
        <v>0</v>
      </c>
    </row>
    <row r="432" spans="1:34" hidden="1" x14ac:dyDescent="0.2">
      <c r="A432" s="25" t="str">
        <f t="shared" si="423"/>
        <v>Neuquén</v>
      </c>
      <c r="B432" s="51">
        <f t="shared" si="424"/>
        <v>0</v>
      </c>
      <c r="C432" s="25" t="str">
        <f t="shared" si="425"/>
        <v>Neuquén 0</v>
      </c>
      <c r="D432" s="32">
        <f>VLOOKUP($A432,$A$4:$O$28,12,0)*(HLOOKUP(D$417,'2.2.Brecha Efectiva x UdM'!$H$64:$AK$71,7,0))</f>
        <v>0</v>
      </c>
      <c r="E432" s="32">
        <f>VLOOKUP($A432,$A$4:$O$28,12,0)*(HLOOKUP(E$417,'2.2.Brecha Efectiva x UdM'!$H$64:$AK$71,7,0))</f>
        <v>0</v>
      </c>
      <c r="F432" s="32">
        <f>VLOOKUP($A432,$A$4:$O$28,12,0)*(HLOOKUP(F$417,'2.2.Brecha Efectiva x UdM'!$H$64:$AK$71,7,0))</f>
        <v>0</v>
      </c>
      <c r="G432" s="32">
        <f>VLOOKUP($A432,$A$4:$O$28,12,0)*(HLOOKUP(G$417,'2.2.Brecha Efectiva x UdM'!$H$64:$AK$71,7,0))</f>
        <v>0</v>
      </c>
      <c r="H432" s="32">
        <f>VLOOKUP($A432,$A$4:$O$28,12,0)*(HLOOKUP(H$417,'2.2.Brecha Efectiva x UdM'!$H$64:$AK$71,7,0))</f>
        <v>0</v>
      </c>
      <c r="I432" s="32">
        <f>VLOOKUP($A432,$A$4:$O$28,12,0)*(HLOOKUP(I$417,'2.2.Brecha Efectiva x UdM'!$H$64:$AK$71,7,0))</f>
        <v>0</v>
      </c>
      <c r="J432" s="32">
        <f>VLOOKUP($A432,$A$4:$O$28,12,0)*(HLOOKUP(J$417,'2.2.Brecha Efectiva x UdM'!$H$64:$AK$71,7,0))</f>
        <v>0</v>
      </c>
      <c r="K432" s="32">
        <f>VLOOKUP($A432,$A$4:$O$28,12,0)*(HLOOKUP(K$417,'2.2.Brecha Efectiva x UdM'!$H$64:$AK$71,7,0))</f>
        <v>0</v>
      </c>
      <c r="L432" s="32">
        <f>VLOOKUP($A432,$A$4:$O$28,12,0)*(HLOOKUP(L$417,'2.2.Brecha Efectiva x UdM'!$H$64:$AK$71,7,0))</f>
        <v>0</v>
      </c>
      <c r="M432" s="32">
        <f>VLOOKUP($A432,$A$4:$O$28,12,0)*(HLOOKUP(M$417,'2.2.Brecha Efectiva x UdM'!$H$64:$AK$71,7,0))</f>
        <v>0</v>
      </c>
      <c r="N432" s="32">
        <f>VLOOKUP($A432,$A$4:$O$28,12,0)*(HLOOKUP(N$417,'2.2.Brecha Efectiva x UdM'!$H$64:$AK$71,7,0))</f>
        <v>0</v>
      </c>
      <c r="O432" s="32">
        <f>VLOOKUP($A432,$A$4:$O$28,12,0)*(HLOOKUP(O$417,'2.2.Brecha Efectiva x UdM'!$H$64:$AK$71,7,0))</f>
        <v>0</v>
      </c>
      <c r="P432" s="32">
        <f>VLOOKUP($A432,$A$4:$O$28,12,0)*(HLOOKUP(P$417,'2.2.Brecha Efectiva x UdM'!$H$64:$AK$71,7,0))</f>
        <v>0</v>
      </c>
      <c r="Q432" s="32">
        <f>VLOOKUP($A432,$A$4:$O$28,12,0)*(HLOOKUP(Q$417,'2.2.Brecha Efectiva x UdM'!$H$64:$AK$71,7,0))</f>
        <v>0</v>
      </c>
      <c r="R432" s="32">
        <f>VLOOKUP($A432,$A$4:$O$28,12,0)*(HLOOKUP(R$417,'2.2.Brecha Efectiva x UdM'!$H$64:$AK$71,7,0))</f>
        <v>0</v>
      </c>
      <c r="S432" s="32">
        <f>VLOOKUP($A432,$A$4:$O$28,12,0)*(HLOOKUP(S$417,'2.2.Brecha Efectiva x UdM'!$H$64:$AK$71,7,0))</f>
        <v>0</v>
      </c>
      <c r="T432" s="32">
        <f>VLOOKUP($A432,$A$4:$O$28,12,0)*(HLOOKUP(T$417,'2.2.Brecha Efectiva x UdM'!$H$64:$AK$71,7,0))</f>
        <v>0</v>
      </c>
      <c r="U432" s="32">
        <f>VLOOKUP($A432,$A$4:$O$28,12,0)*(HLOOKUP(U$417,'2.2.Brecha Efectiva x UdM'!$H$64:$AK$71,7,0))</f>
        <v>0</v>
      </c>
      <c r="V432" s="32">
        <f>VLOOKUP($A432,$A$4:$O$28,12,0)*(HLOOKUP(V$417,'2.2.Brecha Efectiva x UdM'!$H$64:$AK$71,7,0))</f>
        <v>0</v>
      </c>
      <c r="W432" s="32">
        <f>VLOOKUP($A432,$A$4:$O$28,12,0)*(HLOOKUP(W$417,'2.2.Brecha Efectiva x UdM'!$H$64:$AK$71,7,0))</f>
        <v>0</v>
      </c>
      <c r="X432" s="32">
        <f>VLOOKUP($A432,$A$4:$O$28,12,0)*(HLOOKUP(X$417,'2.2.Brecha Efectiva x UdM'!$H$64:$AK$71,7,0))</f>
        <v>0</v>
      </c>
      <c r="Y432" s="32">
        <f>VLOOKUP($A432,$A$4:$O$28,12,0)*(HLOOKUP(Y$417,'2.2.Brecha Efectiva x UdM'!$H$64:$AK$71,7,0))</f>
        <v>0</v>
      </c>
      <c r="Z432" s="32">
        <f>VLOOKUP($A432,$A$4:$O$28,12,0)*(HLOOKUP(Z$417,'2.2.Brecha Efectiva x UdM'!$H$64:$AK$71,7,0))</f>
        <v>0</v>
      </c>
      <c r="AA432" s="32">
        <f>VLOOKUP($A432,$A$4:$O$28,12,0)*(HLOOKUP(AA$417,'2.2.Brecha Efectiva x UdM'!$H$64:$AK$71,7,0))</f>
        <v>0</v>
      </c>
      <c r="AB432" s="32">
        <f>VLOOKUP($A432,$A$4:$O$28,12,0)*(HLOOKUP(AB$417,'2.2.Brecha Efectiva x UdM'!$H$64:$AK$71,7,0))</f>
        <v>0</v>
      </c>
      <c r="AC432" s="32">
        <f>VLOOKUP($A432,$A$4:$O$28,12,0)*(HLOOKUP(AC$417,'2.2.Brecha Efectiva x UdM'!$H$64:$AK$71,7,0))</f>
        <v>0</v>
      </c>
      <c r="AD432" s="32">
        <f>VLOOKUP($A432,$A$4:$O$28,12,0)*(HLOOKUP(AD$417,'2.2.Brecha Efectiva x UdM'!$H$64:$AK$71,7,0))</f>
        <v>0</v>
      </c>
      <c r="AE432" s="32">
        <f>VLOOKUP($A432,$A$4:$O$28,12,0)*(HLOOKUP(AE$417,'2.2.Brecha Efectiva x UdM'!$H$64:$AK$71,7,0))</f>
        <v>0</v>
      </c>
      <c r="AF432" s="32">
        <f>VLOOKUP($A432,$A$4:$O$28,12,0)*(HLOOKUP(AF$417,'2.2.Brecha Efectiva x UdM'!$H$64:$AK$71,7,0))</f>
        <v>0</v>
      </c>
      <c r="AG432" s="32">
        <f>VLOOKUP($A432,$A$4:$O$28,12,0)*(HLOOKUP(AG$417,'2.2.Brecha Efectiva x UdM'!$H$64:$AK$71,7,0))</f>
        <v>0</v>
      </c>
      <c r="AH432" s="62">
        <f t="shared" si="426"/>
        <v>0</v>
      </c>
    </row>
    <row r="433" spans="1:34" hidden="1" x14ac:dyDescent="0.2">
      <c r="A433" s="26" t="str">
        <f t="shared" si="423"/>
        <v>Río Negro</v>
      </c>
      <c r="B433" s="52">
        <f t="shared" si="424"/>
        <v>0</v>
      </c>
      <c r="C433" s="26" t="str">
        <f t="shared" si="425"/>
        <v>Río Negro 0</v>
      </c>
      <c r="D433" s="31">
        <f>VLOOKUP($A433,$A$4:$O$28,12,0)*(HLOOKUP(D$417,'2.2.Brecha Efectiva x UdM'!$H$64:$AK$71,7,0))</f>
        <v>0</v>
      </c>
      <c r="E433" s="31">
        <f>VLOOKUP($A433,$A$4:$O$28,12,0)*(HLOOKUP(E$417,'2.2.Brecha Efectiva x UdM'!$H$64:$AK$71,7,0))</f>
        <v>0</v>
      </c>
      <c r="F433" s="31">
        <f>VLOOKUP($A433,$A$4:$O$28,12,0)*(HLOOKUP(F$417,'2.2.Brecha Efectiva x UdM'!$H$64:$AK$71,7,0))</f>
        <v>0</v>
      </c>
      <c r="G433" s="31">
        <f>VLOOKUP($A433,$A$4:$O$28,12,0)*(HLOOKUP(G$417,'2.2.Brecha Efectiva x UdM'!$H$64:$AK$71,7,0))</f>
        <v>0</v>
      </c>
      <c r="H433" s="31">
        <f>VLOOKUP($A433,$A$4:$O$28,12,0)*(HLOOKUP(H$417,'2.2.Brecha Efectiva x UdM'!$H$64:$AK$71,7,0))</f>
        <v>0</v>
      </c>
      <c r="I433" s="31">
        <f>VLOOKUP($A433,$A$4:$O$28,12,0)*(HLOOKUP(I$417,'2.2.Brecha Efectiva x UdM'!$H$64:$AK$71,7,0))</f>
        <v>0</v>
      </c>
      <c r="J433" s="31">
        <f>VLOOKUP($A433,$A$4:$O$28,12,0)*(HLOOKUP(J$417,'2.2.Brecha Efectiva x UdM'!$H$64:$AK$71,7,0))</f>
        <v>0</v>
      </c>
      <c r="K433" s="31">
        <f>VLOOKUP($A433,$A$4:$O$28,12,0)*(HLOOKUP(K$417,'2.2.Brecha Efectiva x UdM'!$H$64:$AK$71,7,0))</f>
        <v>0</v>
      </c>
      <c r="L433" s="31">
        <f>VLOOKUP($A433,$A$4:$O$28,12,0)*(HLOOKUP(L$417,'2.2.Brecha Efectiva x UdM'!$H$64:$AK$71,7,0))</f>
        <v>0</v>
      </c>
      <c r="M433" s="31">
        <f>VLOOKUP($A433,$A$4:$O$28,12,0)*(HLOOKUP(M$417,'2.2.Brecha Efectiva x UdM'!$H$64:$AK$71,7,0))</f>
        <v>0</v>
      </c>
      <c r="N433" s="31">
        <f>VLOOKUP($A433,$A$4:$O$28,12,0)*(HLOOKUP(N$417,'2.2.Brecha Efectiva x UdM'!$H$64:$AK$71,7,0))</f>
        <v>0</v>
      </c>
      <c r="O433" s="31">
        <f>VLOOKUP($A433,$A$4:$O$28,12,0)*(HLOOKUP(O$417,'2.2.Brecha Efectiva x UdM'!$H$64:$AK$71,7,0))</f>
        <v>0</v>
      </c>
      <c r="P433" s="31">
        <f>VLOOKUP($A433,$A$4:$O$28,12,0)*(HLOOKUP(P$417,'2.2.Brecha Efectiva x UdM'!$H$64:$AK$71,7,0))</f>
        <v>0</v>
      </c>
      <c r="Q433" s="31">
        <f>VLOOKUP($A433,$A$4:$O$28,12,0)*(HLOOKUP(Q$417,'2.2.Brecha Efectiva x UdM'!$H$64:$AK$71,7,0))</f>
        <v>0</v>
      </c>
      <c r="R433" s="31">
        <f>VLOOKUP($A433,$A$4:$O$28,12,0)*(HLOOKUP(R$417,'2.2.Brecha Efectiva x UdM'!$H$64:$AK$71,7,0))</f>
        <v>0</v>
      </c>
      <c r="S433" s="31">
        <f>VLOOKUP($A433,$A$4:$O$28,12,0)*(HLOOKUP(S$417,'2.2.Brecha Efectiva x UdM'!$H$64:$AK$71,7,0))</f>
        <v>0</v>
      </c>
      <c r="T433" s="31">
        <f>VLOOKUP($A433,$A$4:$O$28,12,0)*(HLOOKUP(T$417,'2.2.Brecha Efectiva x UdM'!$H$64:$AK$71,7,0))</f>
        <v>0</v>
      </c>
      <c r="U433" s="31">
        <f>VLOOKUP($A433,$A$4:$O$28,12,0)*(HLOOKUP(U$417,'2.2.Brecha Efectiva x UdM'!$H$64:$AK$71,7,0))</f>
        <v>0</v>
      </c>
      <c r="V433" s="31">
        <f>VLOOKUP($A433,$A$4:$O$28,12,0)*(HLOOKUP(V$417,'2.2.Brecha Efectiva x UdM'!$H$64:$AK$71,7,0))</f>
        <v>0</v>
      </c>
      <c r="W433" s="31">
        <f>VLOOKUP($A433,$A$4:$O$28,12,0)*(HLOOKUP(W$417,'2.2.Brecha Efectiva x UdM'!$H$64:$AK$71,7,0))</f>
        <v>0</v>
      </c>
      <c r="X433" s="31">
        <f>VLOOKUP($A433,$A$4:$O$28,12,0)*(HLOOKUP(X$417,'2.2.Brecha Efectiva x UdM'!$H$64:$AK$71,7,0))</f>
        <v>0</v>
      </c>
      <c r="Y433" s="31">
        <f>VLOOKUP($A433,$A$4:$O$28,12,0)*(HLOOKUP(Y$417,'2.2.Brecha Efectiva x UdM'!$H$64:$AK$71,7,0))</f>
        <v>0</v>
      </c>
      <c r="Z433" s="31">
        <f>VLOOKUP($A433,$A$4:$O$28,12,0)*(HLOOKUP(Z$417,'2.2.Brecha Efectiva x UdM'!$H$64:$AK$71,7,0))</f>
        <v>0</v>
      </c>
      <c r="AA433" s="31">
        <f>VLOOKUP($A433,$A$4:$O$28,12,0)*(HLOOKUP(AA$417,'2.2.Brecha Efectiva x UdM'!$H$64:$AK$71,7,0))</f>
        <v>0</v>
      </c>
      <c r="AB433" s="31">
        <f>VLOOKUP($A433,$A$4:$O$28,12,0)*(HLOOKUP(AB$417,'2.2.Brecha Efectiva x UdM'!$H$64:$AK$71,7,0))</f>
        <v>0</v>
      </c>
      <c r="AC433" s="31">
        <f>VLOOKUP($A433,$A$4:$O$28,12,0)*(HLOOKUP(AC$417,'2.2.Brecha Efectiva x UdM'!$H$64:$AK$71,7,0))</f>
        <v>0</v>
      </c>
      <c r="AD433" s="31">
        <f>VLOOKUP($A433,$A$4:$O$28,12,0)*(HLOOKUP(AD$417,'2.2.Brecha Efectiva x UdM'!$H$64:$AK$71,7,0))</f>
        <v>0</v>
      </c>
      <c r="AE433" s="31">
        <f>VLOOKUP($A433,$A$4:$O$28,12,0)*(HLOOKUP(AE$417,'2.2.Brecha Efectiva x UdM'!$H$64:$AK$71,7,0))</f>
        <v>0</v>
      </c>
      <c r="AF433" s="31">
        <f>VLOOKUP($A433,$A$4:$O$28,12,0)*(HLOOKUP(AF$417,'2.2.Brecha Efectiva x UdM'!$H$64:$AK$71,7,0))</f>
        <v>0</v>
      </c>
      <c r="AG433" s="31">
        <f>VLOOKUP($A433,$A$4:$O$28,12,0)*(HLOOKUP(AG$417,'2.2.Brecha Efectiva x UdM'!$H$64:$AK$71,7,0))</f>
        <v>0</v>
      </c>
      <c r="AH433" s="63">
        <f t="shared" si="426"/>
        <v>0</v>
      </c>
    </row>
    <row r="434" spans="1:34" hidden="1" x14ac:dyDescent="0.2">
      <c r="A434" s="25" t="str">
        <f t="shared" si="423"/>
        <v>Salta</v>
      </c>
      <c r="B434" s="51">
        <f t="shared" si="424"/>
        <v>0</v>
      </c>
      <c r="C434" s="25" t="str">
        <f t="shared" si="425"/>
        <v>Salta 0</v>
      </c>
      <c r="D434" s="32">
        <f>VLOOKUP($A434,$A$4:$O$28,12,0)*(HLOOKUP(D$417,'2.2.Brecha Efectiva x UdM'!$H$64:$AK$71,7,0))</f>
        <v>0</v>
      </c>
      <c r="E434" s="32">
        <f>VLOOKUP($A434,$A$4:$O$28,12,0)*(HLOOKUP(E$417,'2.2.Brecha Efectiva x UdM'!$H$64:$AK$71,7,0))</f>
        <v>0</v>
      </c>
      <c r="F434" s="32">
        <f>VLOOKUP($A434,$A$4:$O$28,12,0)*(HLOOKUP(F$417,'2.2.Brecha Efectiva x UdM'!$H$64:$AK$71,7,0))</f>
        <v>0</v>
      </c>
      <c r="G434" s="32">
        <f>VLOOKUP($A434,$A$4:$O$28,12,0)*(HLOOKUP(G$417,'2.2.Brecha Efectiva x UdM'!$H$64:$AK$71,7,0))</f>
        <v>0</v>
      </c>
      <c r="H434" s="32">
        <f>VLOOKUP($A434,$A$4:$O$28,12,0)*(HLOOKUP(H$417,'2.2.Brecha Efectiva x UdM'!$H$64:$AK$71,7,0))</f>
        <v>0</v>
      </c>
      <c r="I434" s="32">
        <f>VLOOKUP($A434,$A$4:$O$28,12,0)*(HLOOKUP(I$417,'2.2.Brecha Efectiva x UdM'!$H$64:$AK$71,7,0))</f>
        <v>0</v>
      </c>
      <c r="J434" s="32">
        <f>VLOOKUP($A434,$A$4:$O$28,12,0)*(HLOOKUP(J$417,'2.2.Brecha Efectiva x UdM'!$H$64:$AK$71,7,0))</f>
        <v>0</v>
      </c>
      <c r="K434" s="32">
        <f>VLOOKUP($A434,$A$4:$O$28,12,0)*(HLOOKUP(K$417,'2.2.Brecha Efectiva x UdM'!$H$64:$AK$71,7,0))</f>
        <v>0</v>
      </c>
      <c r="L434" s="32">
        <f>VLOOKUP($A434,$A$4:$O$28,12,0)*(HLOOKUP(L$417,'2.2.Brecha Efectiva x UdM'!$H$64:$AK$71,7,0))</f>
        <v>0</v>
      </c>
      <c r="M434" s="32">
        <f>VLOOKUP($A434,$A$4:$O$28,12,0)*(HLOOKUP(M$417,'2.2.Brecha Efectiva x UdM'!$H$64:$AK$71,7,0))</f>
        <v>0</v>
      </c>
      <c r="N434" s="32">
        <f>VLOOKUP($A434,$A$4:$O$28,12,0)*(HLOOKUP(N$417,'2.2.Brecha Efectiva x UdM'!$H$64:$AK$71,7,0))</f>
        <v>0</v>
      </c>
      <c r="O434" s="32">
        <f>VLOOKUP($A434,$A$4:$O$28,12,0)*(HLOOKUP(O$417,'2.2.Brecha Efectiva x UdM'!$H$64:$AK$71,7,0))</f>
        <v>0</v>
      </c>
      <c r="P434" s="32">
        <f>VLOOKUP($A434,$A$4:$O$28,12,0)*(HLOOKUP(P$417,'2.2.Brecha Efectiva x UdM'!$H$64:$AK$71,7,0))</f>
        <v>0</v>
      </c>
      <c r="Q434" s="32">
        <f>VLOOKUP($A434,$A$4:$O$28,12,0)*(HLOOKUP(Q$417,'2.2.Brecha Efectiva x UdM'!$H$64:$AK$71,7,0))</f>
        <v>0</v>
      </c>
      <c r="R434" s="32">
        <f>VLOOKUP($A434,$A$4:$O$28,12,0)*(HLOOKUP(R$417,'2.2.Brecha Efectiva x UdM'!$H$64:$AK$71,7,0))</f>
        <v>0</v>
      </c>
      <c r="S434" s="32">
        <f>VLOOKUP($A434,$A$4:$O$28,12,0)*(HLOOKUP(S$417,'2.2.Brecha Efectiva x UdM'!$H$64:$AK$71,7,0))</f>
        <v>0</v>
      </c>
      <c r="T434" s="32">
        <f>VLOOKUP($A434,$A$4:$O$28,12,0)*(HLOOKUP(T$417,'2.2.Brecha Efectiva x UdM'!$H$64:$AK$71,7,0))</f>
        <v>0</v>
      </c>
      <c r="U434" s="32">
        <f>VLOOKUP($A434,$A$4:$O$28,12,0)*(HLOOKUP(U$417,'2.2.Brecha Efectiva x UdM'!$H$64:$AK$71,7,0))</f>
        <v>0</v>
      </c>
      <c r="V434" s="32">
        <f>VLOOKUP($A434,$A$4:$O$28,12,0)*(HLOOKUP(V$417,'2.2.Brecha Efectiva x UdM'!$H$64:$AK$71,7,0))</f>
        <v>0</v>
      </c>
      <c r="W434" s="32">
        <f>VLOOKUP($A434,$A$4:$O$28,12,0)*(HLOOKUP(W$417,'2.2.Brecha Efectiva x UdM'!$H$64:$AK$71,7,0))</f>
        <v>0</v>
      </c>
      <c r="X434" s="32">
        <f>VLOOKUP($A434,$A$4:$O$28,12,0)*(HLOOKUP(X$417,'2.2.Brecha Efectiva x UdM'!$H$64:$AK$71,7,0))</f>
        <v>0</v>
      </c>
      <c r="Y434" s="32">
        <f>VLOOKUP($A434,$A$4:$O$28,12,0)*(HLOOKUP(Y$417,'2.2.Brecha Efectiva x UdM'!$H$64:$AK$71,7,0))</f>
        <v>0</v>
      </c>
      <c r="Z434" s="32">
        <f>VLOOKUP($A434,$A$4:$O$28,12,0)*(HLOOKUP(Z$417,'2.2.Brecha Efectiva x UdM'!$H$64:$AK$71,7,0))</f>
        <v>0</v>
      </c>
      <c r="AA434" s="32">
        <f>VLOOKUP($A434,$A$4:$O$28,12,0)*(HLOOKUP(AA$417,'2.2.Brecha Efectiva x UdM'!$H$64:$AK$71,7,0))</f>
        <v>0</v>
      </c>
      <c r="AB434" s="32">
        <f>VLOOKUP($A434,$A$4:$O$28,12,0)*(HLOOKUP(AB$417,'2.2.Brecha Efectiva x UdM'!$H$64:$AK$71,7,0))</f>
        <v>0</v>
      </c>
      <c r="AC434" s="32">
        <f>VLOOKUP($A434,$A$4:$O$28,12,0)*(HLOOKUP(AC$417,'2.2.Brecha Efectiva x UdM'!$H$64:$AK$71,7,0))</f>
        <v>0</v>
      </c>
      <c r="AD434" s="32">
        <f>VLOOKUP($A434,$A$4:$O$28,12,0)*(HLOOKUP(AD$417,'2.2.Brecha Efectiva x UdM'!$H$64:$AK$71,7,0))</f>
        <v>0</v>
      </c>
      <c r="AE434" s="32">
        <f>VLOOKUP($A434,$A$4:$O$28,12,0)*(HLOOKUP(AE$417,'2.2.Brecha Efectiva x UdM'!$H$64:$AK$71,7,0))</f>
        <v>0</v>
      </c>
      <c r="AF434" s="32">
        <f>VLOOKUP($A434,$A$4:$O$28,12,0)*(HLOOKUP(AF$417,'2.2.Brecha Efectiva x UdM'!$H$64:$AK$71,7,0))</f>
        <v>0</v>
      </c>
      <c r="AG434" s="32">
        <f>VLOOKUP($A434,$A$4:$O$28,12,0)*(HLOOKUP(AG$417,'2.2.Brecha Efectiva x UdM'!$H$64:$AK$71,7,0))</f>
        <v>0</v>
      </c>
      <c r="AH434" s="62">
        <f t="shared" si="426"/>
        <v>0</v>
      </c>
    </row>
    <row r="435" spans="1:34" hidden="1" x14ac:dyDescent="0.2">
      <c r="A435" s="26" t="str">
        <f t="shared" si="423"/>
        <v>San Juan</v>
      </c>
      <c r="B435" s="52">
        <f t="shared" si="424"/>
        <v>0</v>
      </c>
      <c r="C435" s="26" t="str">
        <f t="shared" si="425"/>
        <v>San Juan 0</v>
      </c>
      <c r="D435" s="31">
        <f>VLOOKUP($A435,$A$4:$O$28,12,0)*(HLOOKUP(D$417,'2.2.Brecha Efectiva x UdM'!$H$64:$AK$71,7,0))</f>
        <v>0</v>
      </c>
      <c r="E435" s="31">
        <f>VLOOKUP($A435,$A$4:$O$28,12,0)*(HLOOKUP(E$417,'2.2.Brecha Efectiva x UdM'!$H$64:$AK$71,7,0))</f>
        <v>0</v>
      </c>
      <c r="F435" s="31">
        <f>VLOOKUP($A435,$A$4:$O$28,12,0)*(HLOOKUP(F$417,'2.2.Brecha Efectiva x UdM'!$H$64:$AK$71,7,0))</f>
        <v>0</v>
      </c>
      <c r="G435" s="31">
        <f>VLOOKUP($A435,$A$4:$O$28,12,0)*(HLOOKUP(G$417,'2.2.Brecha Efectiva x UdM'!$H$64:$AK$71,7,0))</f>
        <v>0</v>
      </c>
      <c r="H435" s="31">
        <f>VLOOKUP($A435,$A$4:$O$28,12,0)*(HLOOKUP(H$417,'2.2.Brecha Efectiva x UdM'!$H$64:$AK$71,7,0))</f>
        <v>0</v>
      </c>
      <c r="I435" s="31">
        <f>VLOOKUP($A435,$A$4:$O$28,12,0)*(HLOOKUP(I$417,'2.2.Brecha Efectiva x UdM'!$H$64:$AK$71,7,0))</f>
        <v>0</v>
      </c>
      <c r="J435" s="31">
        <f>VLOOKUP($A435,$A$4:$O$28,12,0)*(HLOOKUP(J$417,'2.2.Brecha Efectiva x UdM'!$H$64:$AK$71,7,0))</f>
        <v>0</v>
      </c>
      <c r="K435" s="31">
        <f>VLOOKUP($A435,$A$4:$O$28,12,0)*(HLOOKUP(K$417,'2.2.Brecha Efectiva x UdM'!$H$64:$AK$71,7,0))</f>
        <v>0</v>
      </c>
      <c r="L435" s="31">
        <f>VLOOKUP($A435,$A$4:$O$28,12,0)*(HLOOKUP(L$417,'2.2.Brecha Efectiva x UdM'!$H$64:$AK$71,7,0))</f>
        <v>0</v>
      </c>
      <c r="M435" s="31">
        <f>VLOOKUP($A435,$A$4:$O$28,12,0)*(HLOOKUP(M$417,'2.2.Brecha Efectiva x UdM'!$H$64:$AK$71,7,0))</f>
        <v>0</v>
      </c>
      <c r="N435" s="31">
        <f>VLOOKUP($A435,$A$4:$O$28,12,0)*(HLOOKUP(N$417,'2.2.Brecha Efectiva x UdM'!$H$64:$AK$71,7,0))</f>
        <v>0</v>
      </c>
      <c r="O435" s="31">
        <f>VLOOKUP($A435,$A$4:$O$28,12,0)*(HLOOKUP(O$417,'2.2.Brecha Efectiva x UdM'!$H$64:$AK$71,7,0))</f>
        <v>0</v>
      </c>
      <c r="P435" s="31">
        <f>VLOOKUP($A435,$A$4:$O$28,12,0)*(HLOOKUP(P$417,'2.2.Brecha Efectiva x UdM'!$H$64:$AK$71,7,0))</f>
        <v>0</v>
      </c>
      <c r="Q435" s="31">
        <f>VLOOKUP($A435,$A$4:$O$28,12,0)*(HLOOKUP(Q$417,'2.2.Brecha Efectiva x UdM'!$H$64:$AK$71,7,0))</f>
        <v>0</v>
      </c>
      <c r="R435" s="31">
        <f>VLOOKUP($A435,$A$4:$O$28,12,0)*(HLOOKUP(R$417,'2.2.Brecha Efectiva x UdM'!$H$64:$AK$71,7,0))</f>
        <v>0</v>
      </c>
      <c r="S435" s="31">
        <f>VLOOKUP($A435,$A$4:$O$28,12,0)*(HLOOKUP(S$417,'2.2.Brecha Efectiva x UdM'!$H$64:$AK$71,7,0))</f>
        <v>0</v>
      </c>
      <c r="T435" s="31">
        <f>VLOOKUP($A435,$A$4:$O$28,12,0)*(HLOOKUP(T$417,'2.2.Brecha Efectiva x UdM'!$H$64:$AK$71,7,0))</f>
        <v>0</v>
      </c>
      <c r="U435" s="31">
        <f>VLOOKUP($A435,$A$4:$O$28,12,0)*(HLOOKUP(U$417,'2.2.Brecha Efectiva x UdM'!$H$64:$AK$71,7,0))</f>
        <v>0</v>
      </c>
      <c r="V435" s="31">
        <f>VLOOKUP($A435,$A$4:$O$28,12,0)*(HLOOKUP(V$417,'2.2.Brecha Efectiva x UdM'!$H$64:$AK$71,7,0))</f>
        <v>0</v>
      </c>
      <c r="W435" s="31">
        <f>VLOOKUP($A435,$A$4:$O$28,12,0)*(HLOOKUP(W$417,'2.2.Brecha Efectiva x UdM'!$H$64:$AK$71,7,0))</f>
        <v>0</v>
      </c>
      <c r="X435" s="31">
        <f>VLOOKUP($A435,$A$4:$O$28,12,0)*(HLOOKUP(X$417,'2.2.Brecha Efectiva x UdM'!$H$64:$AK$71,7,0))</f>
        <v>0</v>
      </c>
      <c r="Y435" s="31">
        <f>VLOOKUP($A435,$A$4:$O$28,12,0)*(HLOOKUP(Y$417,'2.2.Brecha Efectiva x UdM'!$H$64:$AK$71,7,0))</f>
        <v>0</v>
      </c>
      <c r="Z435" s="31">
        <f>VLOOKUP($A435,$A$4:$O$28,12,0)*(HLOOKUP(Z$417,'2.2.Brecha Efectiva x UdM'!$H$64:$AK$71,7,0))</f>
        <v>0</v>
      </c>
      <c r="AA435" s="31">
        <f>VLOOKUP($A435,$A$4:$O$28,12,0)*(HLOOKUP(AA$417,'2.2.Brecha Efectiva x UdM'!$H$64:$AK$71,7,0))</f>
        <v>0</v>
      </c>
      <c r="AB435" s="31">
        <f>VLOOKUP($A435,$A$4:$O$28,12,0)*(HLOOKUP(AB$417,'2.2.Brecha Efectiva x UdM'!$H$64:$AK$71,7,0))</f>
        <v>0</v>
      </c>
      <c r="AC435" s="31">
        <f>VLOOKUP($A435,$A$4:$O$28,12,0)*(HLOOKUP(AC$417,'2.2.Brecha Efectiva x UdM'!$H$64:$AK$71,7,0))</f>
        <v>0</v>
      </c>
      <c r="AD435" s="31">
        <f>VLOOKUP($A435,$A$4:$O$28,12,0)*(HLOOKUP(AD$417,'2.2.Brecha Efectiva x UdM'!$H$64:$AK$71,7,0))</f>
        <v>0</v>
      </c>
      <c r="AE435" s="31">
        <f>VLOOKUP($A435,$A$4:$O$28,12,0)*(HLOOKUP(AE$417,'2.2.Brecha Efectiva x UdM'!$H$64:$AK$71,7,0))</f>
        <v>0</v>
      </c>
      <c r="AF435" s="31">
        <f>VLOOKUP($A435,$A$4:$O$28,12,0)*(HLOOKUP(AF$417,'2.2.Brecha Efectiva x UdM'!$H$64:$AK$71,7,0))</f>
        <v>0</v>
      </c>
      <c r="AG435" s="31">
        <f>VLOOKUP($A435,$A$4:$O$28,12,0)*(HLOOKUP(AG$417,'2.2.Brecha Efectiva x UdM'!$H$64:$AK$71,7,0))</f>
        <v>0</v>
      </c>
      <c r="AH435" s="63">
        <f t="shared" si="426"/>
        <v>0</v>
      </c>
    </row>
    <row r="436" spans="1:34" hidden="1" x14ac:dyDescent="0.2">
      <c r="A436" s="25" t="str">
        <f t="shared" si="423"/>
        <v>San Luis</v>
      </c>
      <c r="B436" s="51">
        <f t="shared" si="424"/>
        <v>0</v>
      </c>
      <c r="C436" s="25" t="str">
        <f t="shared" si="425"/>
        <v>San Luis 0</v>
      </c>
      <c r="D436" s="32">
        <f>VLOOKUP($A436,$A$4:$O$28,12,0)*(HLOOKUP(D$417,'2.2.Brecha Efectiva x UdM'!$H$64:$AK$71,7,0))</f>
        <v>0</v>
      </c>
      <c r="E436" s="32">
        <f>VLOOKUP($A436,$A$4:$O$28,12,0)*(HLOOKUP(E$417,'2.2.Brecha Efectiva x UdM'!$H$64:$AK$71,7,0))</f>
        <v>0</v>
      </c>
      <c r="F436" s="32">
        <f>VLOOKUP($A436,$A$4:$O$28,12,0)*(HLOOKUP(F$417,'2.2.Brecha Efectiva x UdM'!$H$64:$AK$71,7,0))</f>
        <v>0</v>
      </c>
      <c r="G436" s="32">
        <f>VLOOKUP($A436,$A$4:$O$28,12,0)*(HLOOKUP(G$417,'2.2.Brecha Efectiva x UdM'!$H$64:$AK$71,7,0))</f>
        <v>0</v>
      </c>
      <c r="H436" s="32">
        <f>VLOOKUP($A436,$A$4:$O$28,12,0)*(HLOOKUP(H$417,'2.2.Brecha Efectiva x UdM'!$H$64:$AK$71,7,0))</f>
        <v>0</v>
      </c>
      <c r="I436" s="32">
        <f>VLOOKUP($A436,$A$4:$O$28,12,0)*(HLOOKUP(I$417,'2.2.Brecha Efectiva x UdM'!$H$64:$AK$71,7,0))</f>
        <v>0</v>
      </c>
      <c r="J436" s="32">
        <f>VLOOKUP($A436,$A$4:$O$28,12,0)*(HLOOKUP(J$417,'2.2.Brecha Efectiva x UdM'!$H$64:$AK$71,7,0))</f>
        <v>0</v>
      </c>
      <c r="K436" s="32">
        <f>VLOOKUP($A436,$A$4:$O$28,12,0)*(HLOOKUP(K$417,'2.2.Brecha Efectiva x UdM'!$H$64:$AK$71,7,0))</f>
        <v>0</v>
      </c>
      <c r="L436" s="32">
        <f>VLOOKUP($A436,$A$4:$O$28,12,0)*(HLOOKUP(L$417,'2.2.Brecha Efectiva x UdM'!$H$64:$AK$71,7,0))</f>
        <v>0</v>
      </c>
      <c r="M436" s="32">
        <f>VLOOKUP($A436,$A$4:$O$28,12,0)*(HLOOKUP(M$417,'2.2.Brecha Efectiva x UdM'!$H$64:$AK$71,7,0))</f>
        <v>0</v>
      </c>
      <c r="N436" s="32">
        <f>VLOOKUP($A436,$A$4:$O$28,12,0)*(HLOOKUP(N$417,'2.2.Brecha Efectiva x UdM'!$H$64:$AK$71,7,0))</f>
        <v>0</v>
      </c>
      <c r="O436" s="32">
        <f>VLOOKUP($A436,$A$4:$O$28,12,0)*(HLOOKUP(O$417,'2.2.Brecha Efectiva x UdM'!$H$64:$AK$71,7,0))</f>
        <v>0</v>
      </c>
      <c r="P436" s="32">
        <f>VLOOKUP($A436,$A$4:$O$28,12,0)*(HLOOKUP(P$417,'2.2.Brecha Efectiva x UdM'!$H$64:$AK$71,7,0))</f>
        <v>0</v>
      </c>
      <c r="Q436" s="32">
        <f>VLOOKUP($A436,$A$4:$O$28,12,0)*(HLOOKUP(Q$417,'2.2.Brecha Efectiva x UdM'!$H$64:$AK$71,7,0))</f>
        <v>0</v>
      </c>
      <c r="R436" s="32">
        <f>VLOOKUP($A436,$A$4:$O$28,12,0)*(HLOOKUP(R$417,'2.2.Brecha Efectiva x UdM'!$H$64:$AK$71,7,0))</f>
        <v>0</v>
      </c>
      <c r="S436" s="32">
        <f>VLOOKUP($A436,$A$4:$O$28,12,0)*(HLOOKUP(S$417,'2.2.Brecha Efectiva x UdM'!$H$64:$AK$71,7,0))</f>
        <v>0</v>
      </c>
      <c r="T436" s="32">
        <f>VLOOKUP($A436,$A$4:$O$28,12,0)*(HLOOKUP(T$417,'2.2.Brecha Efectiva x UdM'!$H$64:$AK$71,7,0))</f>
        <v>0</v>
      </c>
      <c r="U436" s="32">
        <f>VLOOKUP($A436,$A$4:$O$28,12,0)*(HLOOKUP(U$417,'2.2.Brecha Efectiva x UdM'!$H$64:$AK$71,7,0))</f>
        <v>0</v>
      </c>
      <c r="V436" s="32">
        <f>VLOOKUP($A436,$A$4:$O$28,12,0)*(HLOOKUP(V$417,'2.2.Brecha Efectiva x UdM'!$H$64:$AK$71,7,0))</f>
        <v>0</v>
      </c>
      <c r="W436" s="32">
        <f>VLOOKUP($A436,$A$4:$O$28,12,0)*(HLOOKUP(W$417,'2.2.Brecha Efectiva x UdM'!$H$64:$AK$71,7,0))</f>
        <v>0</v>
      </c>
      <c r="X436" s="32">
        <f>VLOOKUP($A436,$A$4:$O$28,12,0)*(HLOOKUP(X$417,'2.2.Brecha Efectiva x UdM'!$H$64:$AK$71,7,0))</f>
        <v>0</v>
      </c>
      <c r="Y436" s="32">
        <f>VLOOKUP($A436,$A$4:$O$28,12,0)*(HLOOKUP(Y$417,'2.2.Brecha Efectiva x UdM'!$H$64:$AK$71,7,0))</f>
        <v>0</v>
      </c>
      <c r="Z436" s="32">
        <f>VLOOKUP($A436,$A$4:$O$28,12,0)*(HLOOKUP(Z$417,'2.2.Brecha Efectiva x UdM'!$H$64:$AK$71,7,0))</f>
        <v>0</v>
      </c>
      <c r="AA436" s="32">
        <f>VLOOKUP($A436,$A$4:$O$28,12,0)*(HLOOKUP(AA$417,'2.2.Brecha Efectiva x UdM'!$H$64:$AK$71,7,0))</f>
        <v>0</v>
      </c>
      <c r="AB436" s="32">
        <f>VLOOKUP($A436,$A$4:$O$28,12,0)*(HLOOKUP(AB$417,'2.2.Brecha Efectiva x UdM'!$H$64:$AK$71,7,0))</f>
        <v>0</v>
      </c>
      <c r="AC436" s="32">
        <f>VLOOKUP($A436,$A$4:$O$28,12,0)*(HLOOKUP(AC$417,'2.2.Brecha Efectiva x UdM'!$H$64:$AK$71,7,0))</f>
        <v>0</v>
      </c>
      <c r="AD436" s="32">
        <f>VLOOKUP($A436,$A$4:$O$28,12,0)*(HLOOKUP(AD$417,'2.2.Brecha Efectiva x UdM'!$H$64:$AK$71,7,0))</f>
        <v>0</v>
      </c>
      <c r="AE436" s="32">
        <f>VLOOKUP($A436,$A$4:$O$28,12,0)*(HLOOKUP(AE$417,'2.2.Brecha Efectiva x UdM'!$H$64:$AK$71,7,0))</f>
        <v>0</v>
      </c>
      <c r="AF436" s="32">
        <f>VLOOKUP($A436,$A$4:$O$28,12,0)*(HLOOKUP(AF$417,'2.2.Brecha Efectiva x UdM'!$H$64:$AK$71,7,0))</f>
        <v>0</v>
      </c>
      <c r="AG436" s="32">
        <f>VLOOKUP($A436,$A$4:$O$28,12,0)*(HLOOKUP(AG$417,'2.2.Brecha Efectiva x UdM'!$H$64:$AK$71,7,0))</f>
        <v>0</v>
      </c>
      <c r="AH436" s="62">
        <f t="shared" si="426"/>
        <v>0</v>
      </c>
    </row>
    <row r="437" spans="1:34" hidden="1" x14ac:dyDescent="0.2">
      <c r="A437" s="26" t="str">
        <f t="shared" si="423"/>
        <v>Santa Cruz</v>
      </c>
      <c r="B437" s="52">
        <f t="shared" si="424"/>
        <v>0</v>
      </c>
      <c r="C437" s="26" t="str">
        <f t="shared" si="425"/>
        <v>Santa Cruz 0</v>
      </c>
      <c r="D437" s="31">
        <f>VLOOKUP($A437,$A$4:$O$28,12,0)*(HLOOKUP(D$417,'2.2.Brecha Efectiva x UdM'!$H$64:$AK$71,7,0))</f>
        <v>0</v>
      </c>
      <c r="E437" s="31">
        <f>VLOOKUP($A437,$A$4:$O$28,12,0)*(HLOOKUP(E$417,'2.2.Brecha Efectiva x UdM'!$H$64:$AK$71,7,0))</f>
        <v>0</v>
      </c>
      <c r="F437" s="31">
        <f>VLOOKUP($A437,$A$4:$O$28,12,0)*(HLOOKUP(F$417,'2.2.Brecha Efectiva x UdM'!$H$64:$AK$71,7,0))</f>
        <v>0</v>
      </c>
      <c r="G437" s="31">
        <f>VLOOKUP($A437,$A$4:$O$28,12,0)*(HLOOKUP(G$417,'2.2.Brecha Efectiva x UdM'!$H$64:$AK$71,7,0))</f>
        <v>0</v>
      </c>
      <c r="H437" s="31">
        <f>VLOOKUP($A437,$A$4:$O$28,12,0)*(HLOOKUP(H$417,'2.2.Brecha Efectiva x UdM'!$H$64:$AK$71,7,0))</f>
        <v>0</v>
      </c>
      <c r="I437" s="31">
        <f>VLOOKUP($A437,$A$4:$O$28,12,0)*(HLOOKUP(I$417,'2.2.Brecha Efectiva x UdM'!$H$64:$AK$71,7,0))</f>
        <v>0</v>
      </c>
      <c r="J437" s="31">
        <f>VLOOKUP($A437,$A$4:$O$28,12,0)*(HLOOKUP(J$417,'2.2.Brecha Efectiva x UdM'!$H$64:$AK$71,7,0))</f>
        <v>0</v>
      </c>
      <c r="K437" s="31">
        <f>VLOOKUP($A437,$A$4:$O$28,12,0)*(HLOOKUP(K$417,'2.2.Brecha Efectiva x UdM'!$H$64:$AK$71,7,0))</f>
        <v>0</v>
      </c>
      <c r="L437" s="31">
        <f>VLOOKUP($A437,$A$4:$O$28,12,0)*(HLOOKUP(L$417,'2.2.Brecha Efectiva x UdM'!$H$64:$AK$71,7,0))</f>
        <v>0</v>
      </c>
      <c r="M437" s="31">
        <f>VLOOKUP($A437,$A$4:$O$28,12,0)*(HLOOKUP(M$417,'2.2.Brecha Efectiva x UdM'!$H$64:$AK$71,7,0))</f>
        <v>0</v>
      </c>
      <c r="N437" s="31">
        <f>VLOOKUP($A437,$A$4:$O$28,12,0)*(HLOOKUP(N$417,'2.2.Brecha Efectiva x UdM'!$H$64:$AK$71,7,0))</f>
        <v>0</v>
      </c>
      <c r="O437" s="31">
        <f>VLOOKUP($A437,$A$4:$O$28,12,0)*(HLOOKUP(O$417,'2.2.Brecha Efectiva x UdM'!$H$64:$AK$71,7,0))</f>
        <v>0</v>
      </c>
      <c r="P437" s="31">
        <f>VLOOKUP($A437,$A$4:$O$28,12,0)*(HLOOKUP(P$417,'2.2.Brecha Efectiva x UdM'!$H$64:$AK$71,7,0))</f>
        <v>0</v>
      </c>
      <c r="Q437" s="31">
        <f>VLOOKUP($A437,$A$4:$O$28,12,0)*(HLOOKUP(Q$417,'2.2.Brecha Efectiva x UdM'!$H$64:$AK$71,7,0))</f>
        <v>0</v>
      </c>
      <c r="R437" s="31">
        <f>VLOOKUP($A437,$A$4:$O$28,12,0)*(HLOOKUP(R$417,'2.2.Brecha Efectiva x UdM'!$H$64:$AK$71,7,0))</f>
        <v>0</v>
      </c>
      <c r="S437" s="31">
        <f>VLOOKUP($A437,$A$4:$O$28,12,0)*(HLOOKUP(S$417,'2.2.Brecha Efectiva x UdM'!$H$64:$AK$71,7,0))</f>
        <v>0</v>
      </c>
      <c r="T437" s="31">
        <f>VLOOKUP($A437,$A$4:$O$28,12,0)*(HLOOKUP(T$417,'2.2.Brecha Efectiva x UdM'!$H$64:$AK$71,7,0))</f>
        <v>0</v>
      </c>
      <c r="U437" s="31">
        <f>VLOOKUP($A437,$A$4:$O$28,12,0)*(HLOOKUP(U$417,'2.2.Brecha Efectiva x UdM'!$H$64:$AK$71,7,0))</f>
        <v>0</v>
      </c>
      <c r="V437" s="31">
        <f>VLOOKUP($A437,$A$4:$O$28,12,0)*(HLOOKUP(V$417,'2.2.Brecha Efectiva x UdM'!$H$64:$AK$71,7,0))</f>
        <v>0</v>
      </c>
      <c r="W437" s="31">
        <f>VLOOKUP($A437,$A$4:$O$28,12,0)*(HLOOKUP(W$417,'2.2.Brecha Efectiva x UdM'!$H$64:$AK$71,7,0))</f>
        <v>0</v>
      </c>
      <c r="X437" s="31">
        <f>VLOOKUP($A437,$A$4:$O$28,12,0)*(HLOOKUP(X$417,'2.2.Brecha Efectiva x UdM'!$H$64:$AK$71,7,0))</f>
        <v>0</v>
      </c>
      <c r="Y437" s="31">
        <f>VLOOKUP($A437,$A$4:$O$28,12,0)*(HLOOKUP(Y$417,'2.2.Brecha Efectiva x UdM'!$H$64:$AK$71,7,0))</f>
        <v>0</v>
      </c>
      <c r="Z437" s="31">
        <f>VLOOKUP($A437,$A$4:$O$28,12,0)*(HLOOKUP(Z$417,'2.2.Brecha Efectiva x UdM'!$H$64:$AK$71,7,0))</f>
        <v>0</v>
      </c>
      <c r="AA437" s="31">
        <f>VLOOKUP($A437,$A$4:$O$28,12,0)*(HLOOKUP(AA$417,'2.2.Brecha Efectiva x UdM'!$H$64:$AK$71,7,0))</f>
        <v>0</v>
      </c>
      <c r="AB437" s="31">
        <f>VLOOKUP($A437,$A$4:$O$28,12,0)*(HLOOKUP(AB$417,'2.2.Brecha Efectiva x UdM'!$H$64:$AK$71,7,0))</f>
        <v>0</v>
      </c>
      <c r="AC437" s="31">
        <f>VLOOKUP($A437,$A$4:$O$28,12,0)*(HLOOKUP(AC$417,'2.2.Brecha Efectiva x UdM'!$H$64:$AK$71,7,0))</f>
        <v>0</v>
      </c>
      <c r="AD437" s="31">
        <f>VLOOKUP($A437,$A$4:$O$28,12,0)*(HLOOKUP(AD$417,'2.2.Brecha Efectiva x UdM'!$H$64:$AK$71,7,0))</f>
        <v>0</v>
      </c>
      <c r="AE437" s="31">
        <f>VLOOKUP($A437,$A$4:$O$28,12,0)*(HLOOKUP(AE$417,'2.2.Brecha Efectiva x UdM'!$H$64:$AK$71,7,0))</f>
        <v>0</v>
      </c>
      <c r="AF437" s="31">
        <f>VLOOKUP($A437,$A$4:$O$28,12,0)*(HLOOKUP(AF$417,'2.2.Brecha Efectiva x UdM'!$H$64:$AK$71,7,0))</f>
        <v>0</v>
      </c>
      <c r="AG437" s="31">
        <f>VLOOKUP($A437,$A$4:$O$28,12,0)*(HLOOKUP(AG$417,'2.2.Brecha Efectiva x UdM'!$H$64:$AK$71,7,0))</f>
        <v>0</v>
      </c>
      <c r="AH437" s="63">
        <f t="shared" si="426"/>
        <v>0</v>
      </c>
    </row>
    <row r="438" spans="1:34" hidden="1" x14ac:dyDescent="0.2">
      <c r="A438" s="25" t="str">
        <f t="shared" si="423"/>
        <v>Santa Fe</v>
      </c>
      <c r="B438" s="51">
        <f t="shared" si="424"/>
        <v>0</v>
      </c>
      <c r="C438" s="25" t="str">
        <f t="shared" si="425"/>
        <v>Santa Fe 0</v>
      </c>
      <c r="D438" s="32">
        <f>VLOOKUP($A438,$A$4:$O$28,12,0)*(HLOOKUP(D$417,'2.2.Brecha Efectiva x UdM'!$H$64:$AK$71,7,0))</f>
        <v>0</v>
      </c>
      <c r="E438" s="32">
        <f>VLOOKUP($A438,$A$4:$O$28,12,0)*(HLOOKUP(E$417,'2.2.Brecha Efectiva x UdM'!$H$64:$AK$71,7,0))</f>
        <v>0</v>
      </c>
      <c r="F438" s="32">
        <f>VLOOKUP($A438,$A$4:$O$28,12,0)*(HLOOKUP(F$417,'2.2.Brecha Efectiva x UdM'!$H$64:$AK$71,7,0))</f>
        <v>0</v>
      </c>
      <c r="G438" s="32">
        <f>VLOOKUP($A438,$A$4:$O$28,12,0)*(HLOOKUP(G$417,'2.2.Brecha Efectiva x UdM'!$H$64:$AK$71,7,0))</f>
        <v>0</v>
      </c>
      <c r="H438" s="32">
        <f>VLOOKUP($A438,$A$4:$O$28,12,0)*(HLOOKUP(H$417,'2.2.Brecha Efectiva x UdM'!$H$64:$AK$71,7,0))</f>
        <v>0</v>
      </c>
      <c r="I438" s="32">
        <f>VLOOKUP($A438,$A$4:$O$28,12,0)*(HLOOKUP(I$417,'2.2.Brecha Efectiva x UdM'!$H$64:$AK$71,7,0))</f>
        <v>0</v>
      </c>
      <c r="J438" s="32">
        <f>VLOOKUP($A438,$A$4:$O$28,12,0)*(HLOOKUP(J$417,'2.2.Brecha Efectiva x UdM'!$H$64:$AK$71,7,0))</f>
        <v>0</v>
      </c>
      <c r="K438" s="32">
        <f>VLOOKUP($A438,$A$4:$O$28,12,0)*(HLOOKUP(K$417,'2.2.Brecha Efectiva x UdM'!$H$64:$AK$71,7,0))</f>
        <v>0</v>
      </c>
      <c r="L438" s="32">
        <f>VLOOKUP($A438,$A$4:$O$28,12,0)*(HLOOKUP(L$417,'2.2.Brecha Efectiva x UdM'!$H$64:$AK$71,7,0))</f>
        <v>0</v>
      </c>
      <c r="M438" s="32">
        <f>VLOOKUP($A438,$A$4:$O$28,12,0)*(HLOOKUP(M$417,'2.2.Brecha Efectiva x UdM'!$H$64:$AK$71,7,0))</f>
        <v>0</v>
      </c>
      <c r="N438" s="32">
        <f>VLOOKUP($A438,$A$4:$O$28,12,0)*(HLOOKUP(N$417,'2.2.Brecha Efectiva x UdM'!$H$64:$AK$71,7,0))</f>
        <v>0</v>
      </c>
      <c r="O438" s="32">
        <f>VLOOKUP($A438,$A$4:$O$28,12,0)*(HLOOKUP(O$417,'2.2.Brecha Efectiva x UdM'!$H$64:$AK$71,7,0))</f>
        <v>0</v>
      </c>
      <c r="P438" s="32">
        <f>VLOOKUP($A438,$A$4:$O$28,12,0)*(HLOOKUP(P$417,'2.2.Brecha Efectiva x UdM'!$H$64:$AK$71,7,0))</f>
        <v>0</v>
      </c>
      <c r="Q438" s="32">
        <f>VLOOKUP($A438,$A$4:$O$28,12,0)*(HLOOKUP(Q$417,'2.2.Brecha Efectiva x UdM'!$H$64:$AK$71,7,0))</f>
        <v>0</v>
      </c>
      <c r="R438" s="32">
        <f>VLOOKUP($A438,$A$4:$O$28,12,0)*(HLOOKUP(R$417,'2.2.Brecha Efectiva x UdM'!$H$64:$AK$71,7,0))</f>
        <v>0</v>
      </c>
      <c r="S438" s="32">
        <f>VLOOKUP($A438,$A$4:$O$28,12,0)*(HLOOKUP(S$417,'2.2.Brecha Efectiva x UdM'!$H$64:$AK$71,7,0))</f>
        <v>0</v>
      </c>
      <c r="T438" s="32">
        <f>VLOOKUP($A438,$A$4:$O$28,12,0)*(HLOOKUP(T$417,'2.2.Brecha Efectiva x UdM'!$H$64:$AK$71,7,0))</f>
        <v>0</v>
      </c>
      <c r="U438" s="32">
        <f>VLOOKUP($A438,$A$4:$O$28,12,0)*(HLOOKUP(U$417,'2.2.Brecha Efectiva x UdM'!$H$64:$AK$71,7,0))</f>
        <v>0</v>
      </c>
      <c r="V438" s="32">
        <f>VLOOKUP($A438,$A$4:$O$28,12,0)*(HLOOKUP(V$417,'2.2.Brecha Efectiva x UdM'!$H$64:$AK$71,7,0))</f>
        <v>0</v>
      </c>
      <c r="W438" s="32">
        <f>VLOOKUP($A438,$A$4:$O$28,12,0)*(HLOOKUP(W$417,'2.2.Brecha Efectiva x UdM'!$H$64:$AK$71,7,0))</f>
        <v>0</v>
      </c>
      <c r="X438" s="32">
        <f>VLOOKUP($A438,$A$4:$O$28,12,0)*(HLOOKUP(X$417,'2.2.Brecha Efectiva x UdM'!$H$64:$AK$71,7,0))</f>
        <v>0</v>
      </c>
      <c r="Y438" s="32">
        <f>VLOOKUP($A438,$A$4:$O$28,12,0)*(HLOOKUP(Y$417,'2.2.Brecha Efectiva x UdM'!$H$64:$AK$71,7,0))</f>
        <v>0</v>
      </c>
      <c r="Z438" s="32">
        <f>VLOOKUP($A438,$A$4:$O$28,12,0)*(HLOOKUP(Z$417,'2.2.Brecha Efectiva x UdM'!$H$64:$AK$71,7,0))</f>
        <v>0</v>
      </c>
      <c r="AA438" s="32">
        <f>VLOOKUP($A438,$A$4:$O$28,12,0)*(HLOOKUP(AA$417,'2.2.Brecha Efectiva x UdM'!$H$64:$AK$71,7,0))</f>
        <v>0</v>
      </c>
      <c r="AB438" s="32">
        <f>VLOOKUP($A438,$A$4:$O$28,12,0)*(HLOOKUP(AB$417,'2.2.Brecha Efectiva x UdM'!$H$64:$AK$71,7,0))</f>
        <v>0</v>
      </c>
      <c r="AC438" s="32">
        <f>VLOOKUP($A438,$A$4:$O$28,12,0)*(HLOOKUP(AC$417,'2.2.Brecha Efectiva x UdM'!$H$64:$AK$71,7,0))</f>
        <v>0</v>
      </c>
      <c r="AD438" s="32">
        <f>VLOOKUP($A438,$A$4:$O$28,12,0)*(HLOOKUP(AD$417,'2.2.Brecha Efectiva x UdM'!$H$64:$AK$71,7,0))</f>
        <v>0</v>
      </c>
      <c r="AE438" s="32">
        <f>VLOOKUP($A438,$A$4:$O$28,12,0)*(HLOOKUP(AE$417,'2.2.Brecha Efectiva x UdM'!$H$64:$AK$71,7,0))</f>
        <v>0</v>
      </c>
      <c r="AF438" s="32">
        <f>VLOOKUP($A438,$A$4:$O$28,12,0)*(HLOOKUP(AF$417,'2.2.Brecha Efectiva x UdM'!$H$64:$AK$71,7,0))</f>
        <v>0</v>
      </c>
      <c r="AG438" s="32">
        <f>VLOOKUP($A438,$A$4:$O$28,12,0)*(HLOOKUP(AG$417,'2.2.Brecha Efectiva x UdM'!$H$64:$AK$71,7,0))</f>
        <v>0</v>
      </c>
      <c r="AH438" s="62">
        <f t="shared" si="426"/>
        <v>0</v>
      </c>
    </row>
    <row r="439" spans="1:34" hidden="1" x14ac:dyDescent="0.2">
      <c r="A439" s="26" t="str">
        <f t="shared" si="423"/>
        <v>Santiago del Estero</v>
      </c>
      <c r="B439" s="52">
        <f t="shared" si="424"/>
        <v>0</v>
      </c>
      <c r="C439" s="26" t="str">
        <f t="shared" si="425"/>
        <v>Santiago del Estero 0</v>
      </c>
      <c r="D439" s="31">
        <f>VLOOKUP($A439,$A$4:$O$28,12,0)*(HLOOKUP(D$417,'2.2.Brecha Efectiva x UdM'!$H$64:$AK$71,7,0))</f>
        <v>0</v>
      </c>
      <c r="E439" s="31">
        <f>VLOOKUP($A439,$A$4:$O$28,12,0)*(HLOOKUP(E$417,'2.2.Brecha Efectiva x UdM'!$H$64:$AK$71,7,0))</f>
        <v>0</v>
      </c>
      <c r="F439" s="31">
        <f>VLOOKUP($A439,$A$4:$O$28,12,0)*(HLOOKUP(F$417,'2.2.Brecha Efectiva x UdM'!$H$64:$AK$71,7,0))</f>
        <v>0</v>
      </c>
      <c r="G439" s="31">
        <f>VLOOKUP($A439,$A$4:$O$28,12,0)*(HLOOKUP(G$417,'2.2.Brecha Efectiva x UdM'!$H$64:$AK$71,7,0))</f>
        <v>0</v>
      </c>
      <c r="H439" s="31">
        <f>VLOOKUP($A439,$A$4:$O$28,12,0)*(HLOOKUP(H$417,'2.2.Brecha Efectiva x UdM'!$H$64:$AK$71,7,0))</f>
        <v>0</v>
      </c>
      <c r="I439" s="31">
        <f>VLOOKUP($A439,$A$4:$O$28,12,0)*(HLOOKUP(I$417,'2.2.Brecha Efectiva x UdM'!$H$64:$AK$71,7,0))</f>
        <v>0</v>
      </c>
      <c r="J439" s="31">
        <f>VLOOKUP($A439,$A$4:$O$28,12,0)*(HLOOKUP(J$417,'2.2.Brecha Efectiva x UdM'!$H$64:$AK$71,7,0))</f>
        <v>0</v>
      </c>
      <c r="K439" s="31">
        <f>VLOOKUP($A439,$A$4:$O$28,12,0)*(HLOOKUP(K$417,'2.2.Brecha Efectiva x UdM'!$H$64:$AK$71,7,0))</f>
        <v>0</v>
      </c>
      <c r="L439" s="31">
        <f>VLOOKUP($A439,$A$4:$O$28,12,0)*(HLOOKUP(L$417,'2.2.Brecha Efectiva x UdM'!$H$64:$AK$71,7,0))</f>
        <v>0</v>
      </c>
      <c r="M439" s="31">
        <f>VLOOKUP($A439,$A$4:$O$28,12,0)*(HLOOKUP(M$417,'2.2.Brecha Efectiva x UdM'!$H$64:$AK$71,7,0))</f>
        <v>0</v>
      </c>
      <c r="N439" s="31">
        <f>VLOOKUP($A439,$A$4:$O$28,12,0)*(HLOOKUP(N$417,'2.2.Brecha Efectiva x UdM'!$H$64:$AK$71,7,0))</f>
        <v>0</v>
      </c>
      <c r="O439" s="31">
        <f>VLOOKUP($A439,$A$4:$O$28,12,0)*(HLOOKUP(O$417,'2.2.Brecha Efectiva x UdM'!$H$64:$AK$71,7,0))</f>
        <v>0</v>
      </c>
      <c r="P439" s="31">
        <f>VLOOKUP($A439,$A$4:$O$28,12,0)*(HLOOKUP(P$417,'2.2.Brecha Efectiva x UdM'!$H$64:$AK$71,7,0))</f>
        <v>0</v>
      </c>
      <c r="Q439" s="31">
        <f>VLOOKUP($A439,$A$4:$O$28,12,0)*(HLOOKUP(Q$417,'2.2.Brecha Efectiva x UdM'!$H$64:$AK$71,7,0))</f>
        <v>0</v>
      </c>
      <c r="R439" s="31">
        <f>VLOOKUP($A439,$A$4:$O$28,12,0)*(HLOOKUP(R$417,'2.2.Brecha Efectiva x UdM'!$H$64:$AK$71,7,0))</f>
        <v>0</v>
      </c>
      <c r="S439" s="31">
        <f>VLOOKUP($A439,$A$4:$O$28,12,0)*(HLOOKUP(S$417,'2.2.Brecha Efectiva x UdM'!$H$64:$AK$71,7,0))</f>
        <v>0</v>
      </c>
      <c r="T439" s="31">
        <f>VLOOKUP($A439,$A$4:$O$28,12,0)*(HLOOKUP(T$417,'2.2.Brecha Efectiva x UdM'!$H$64:$AK$71,7,0))</f>
        <v>0</v>
      </c>
      <c r="U439" s="31">
        <f>VLOOKUP($A439,$A$4:$O$28,12,0)*(HLOOKUP(U$417,'2.2.Brecha Efectiva x UdM'!$H$64:$AK$71,7,0))</f>
        <v>0</v>
      </c>
      <c r="V439" s="31">
        <f>VLOOKUP($A439,$A$4:$O$28,12,0)*(HLOOKUP(V$417,'2.2.Brecha Efectiva x UdM'!$H$64:$AK$71,7,0))</f>
        <v>0</v>
      </c>
      <c r="W439" s="31">
        <f>VLOOKUP($A439,$A$4:$O$28,12,0)*(HLOOKUP(W$417,'2.2.Brecha Efectiva x UdM'!$H$64:$AK$71,7,0))</f>
        <v>0</v>
      </c>
      <c r="X439" s="31">
        <f>VLOOKUP($A439,$A$4:$O$28,12,0)*(HLOOKUP(X$417,'2.2.Brecha Efectiva x UdM'!$H$64:$AK$71,7,0))</f>
        <v>0</v>
      </c>
      <c r="Y439" s="31">
        <f>VLOOKUP($A439,$A$4:$O$28,12,0)*(HLOOKUP(Y$417,'2.2.Brecha Efectiva x UdM'!$H$64:$AK$71,7,0))</f>
        <v>0</v>
      </c>
      <c r="Z439" s="31">
        <f>VLOOKUP($A439,$A$4:$O$28,12,0)*(HLOOKUP(Z$417,'2.2.Brecha Efectiva x UdM'!$H$64:$AK$71,7,0))</f>
        <v>0</v>
      </c>
      <c r="AA439" s="31">
        <f>VLOOKUP($A439,$A$4:$O$28,12,0)*(HLOOKUP(AA$417,'2.2.Brecha Efectiva x UdM'!$H$64:$AK$71,7,0))</f>
        <v>0</v>
      </c>
      <c r="AB439" s="31">
        <f>VLOOKUP($A439,$A$4:$O$28,12,0)*(HLOOKUP(AB$417,'2.2.Brecha Efectiva x UdM'!$H$64:$AK$71,7,0))</f>
        <v>0</v>
      </c>
      <c r="AC439" s="31">
        <f>VLOOKUP($A439,$A$4:$O$28,12,0)*(HLOOKUP(AC$417,'2.2.Brecha Efectiva x UdM'!$H$64:$AK$71,7,0))</f>
        <v>0</v>
      </c>
      <c r="AD439" s="31">
        <f>VLOOKUP($A439,$A$4:$O$28,12,0)*(HLOOKUP(AD$417,'2.2.Brecha Efectiva x UdM'!$H$64:$AK$71,7,0))</f>
        <v>0</v>
      </c>
      <c r="AE439" s="31">
        <f>VLOOKUP($A439,$A$4:$O$28,12,0)*(HLOOKUP(AE$417,'2.2.Brecha Efectiva x UdM'!$H$64:$AK$71,7,0))</f>
        <v>0</v>
      </c>
      <c r="AF439" s="31">
        <f>VLOOKUP($A439,$A$4:$O$28,12,0)*(HLOOKUP(AF$417,'2.2.Brecha Efectiva x UdM'!$H$64:$AK$71,7,0))</f>
        <v>0</v>
      </c>
      <c r="AG439" s="31">
        <f>VLOOKUP($A439,$A$4:$O$28,12,0)*(HLOOKUP(AG$417,'2.2.Brecha Efectiva x UdM'!$H$64:$AK$71,7,0))</f>
        <v>0</v>
      </c>
      <c r="AH439" s="63">
        <f t="shared" si="426"/>
        <v>0</v>
      </c>
    </row>
    <row r="440" spans="1:34" hidden="1" x14ac:dyDescent="0.2">
      <c r="A440" s="25" t="str">
        <f t="shared" si="423"/>
        <v>Tierra del Fuego</v>
      </c>
      <c r="B440" s="51">
        <f t="shared" si="424"/>
        <v>0</v>
      </c>
      <c r="C440" s="25" t="str">
        <f t="shared" si="425"/>
        <v>Tierra del Fuego 0</v>
      </c>
      <c r="D440" s="32">
        <f>VLOOKUP($A440,$A$4:$O$28,12,0)*(HLOOKUP(D$417,'2.2.Brecha Efectiva x UdM'!$H$64:$AK$71,7,0))</f>
        <v>0</v>
      </c>
      <c r="E440" s="32">
        <f>VLOOKUP($A440,$A$4:$O$28,12,0)*(HLOOKUP(E$417,'2.2.Brecha Efectiva x UdM'!$H$64:$AK$71,7,0))</f>
        <v>0</v>
      </c>
      <c r="F440" s="32">
        <f>VLOOKUP($A440,$A$4:$O$28,12,0)*(HLOOKUP(F$417,'2.2.Brecha Efectiva x UdM'!$H$64:$AK$71,7,0))</f>
        <v>0</v>
      </c>
      <c r="G440" s="32">
        <f>VLOOKUP($A440,$A$4:$O$28,12,0)*(HLOOKUP(G$417,'2.2.Brecha Efectiva x UdM'!$H$64:$AK$71,7,0))</f>
        <v>0</v>
      </c>
      <c r="H440" s="32">
        <f>VLOOKUP($A440,$A$4:$O$28,12,0)*(HLOOKUP(H$417,'2.2.Brecha Efectiva x UdM'!$H$64:$AK$71,7,0))</f>
        <v>0</v>
      </c>
      <c r="I440" s="32">
        <f>VLOOKUP($A440,$A$4:$O$28,12,0)*(HLOOKUP(I$417,'2.2.Brecha Efectiva x UdM'!$H$64:$AK$71,7,0))</f>
        <v>0</v>
      </c>
      <c r="J440" s="32">
        <f>VLOOKUP($A440,$A$4:$O$28,12,0)*(HLOOKUP(J$417,'2.2.Brecha Efectiva x UdM'!$H$64:$AK$71,7,0))</f>
        <v>0</v>
      </c>
      <c r="K440" s="32">
        <f>VLOOKUP($A440,$A$4:$O$28,12,0)*(HLOOKUP(K$417,'2.2.Brecha Efectiva x UdM'!$H$64:$AK$71,7,0))</f>
        <v>0</v>
      </c>
      <c r="L440" s="32">
        <f>VLOOKUP($A440,$A$4:$O$28,12,0)*(HLOOKUP(L$417,'2.2.Brecha Efectiva x UdM'!$H$64:$AK$71,7,0))</f>
        <v>0</v>
      </c>
      <c r="M440" s="32">
        <f>VLOOKUP($A440,$A$4:$O$28,12,0)*(HLOOKUP(M$417,'2.2.Brecha Efectiva x UdM'!$H$64:$AK$71,7,0))</f>
        <v>0</v>
      </c>
      <c r="N440" s="32">
        <f>VLOOKUP($A440,$A$4:$O$28,12,0)*(HLOOKUP(N$417,'2.2.Brecha Efectiva x UdM'!$H$64:$AK$71,7,0))</f>
        <v>0</v>
      </c>
      <c r="O440" s="32">
        <f>VLOOKUP($A440,$A$4:$O$28,12,0)*(HLOOKUP(O$417,'2.2.Brecha Efectiva x UdM'!$H$64:$AK$71,7,0))</f>
        <v>0</v>
      </c>
      <c r="P440" s="32">
        <f>VLOOKUP($A440,$A$4:$O$28,12,0)*(HLOOKUP(P$417,'2.2.Brecha Efectiva x UdM'!$H$64:$AK$71,7,0))</f>
        <v>0</v>
      </c>
      <c r="Q440" s="32">
        <f>VLOOKUP($A440,$A$4:$O$28,12,0)*(HLOOKUP(Q$417,'2.2.Brecha Efectiva x UdM'!$H$64:$AK$71,7,0))</f>
        <v>0</v>
      </c>
      <c r="R440" s="32">
        <f>VLOOKUP($A440,$A$4:$O$28,12,0)*(HLOOKUP(R$417,'2.2.Brecha Efectiva x UdM'!$H$64:$AK$71,7,0))</f>
        <v>0</v>
      </c>
      <c r="S440" s="32">
        <f>VLOOKUP($A440,$A$4:$O$28,12,0)*(HLOOKUP(S$417,'2.2.Brecha Efectiva x UdM'!$H$64:$AK$71,7,0))</f>
        <v>0</v>
      </c>
      <c r="T440" s="32">
        <f>VLOOKUP($A440,$A$4:$O$28,12,0)*(HLOOKUP(T$417,'2.2.Brecha Efectiva x UdM'!$H$64:$AK$71,7,0))</f>
        <v>0</v>
      </c>
      <c r="U440" s="32">
        <f>VLOOKUP($A440,$A$4:$O$28,12,0)*(HLOOKUP(U$417,'2.2.Brecha Efectiva x UdM'!$H$64:$AK$71,7,0))</f>
        <v>0</v>
      </c>
      <c r="V440" s="32">
        <f>VLOOKUP($A440,$A$4:$O$28,12,0)*(HLOOKUP(V$417,'2.2.Brecha Efectiva x UdM'!$H$64:$AK$71,7,0))</f>
        <v>0</v>
      </c>
      <c r="W440" s="32">
        <f>VLOOKUP($A440,$A$4:$O$28,12,0)*(HLOOKUP(W$417,'2.2.Brecha Efectiva x UdM'!$H$64:$AK$71,7,0))</f>
        <v>0</v>
      </c>
      <c r="X440" s="32">
        <f>VLOOKUP($A440,$A$4:$O$28,12,0)*(HLOOKUP(X$417,'2.2.Brecha Efectiva x UdM'!$H$64:$AK$71,7,0))</f>
        <v>0</v>
      </c>
      <c r="Y440" s="32">
        <f>VLOOKUP($A440,$A$4:$O$28,12,0)*(HLOOKUP(Y$417,'2.2.Brecha Efectiva x UdM'!$H$64:$AK$71,7,0))</f>
        <v>0</v>
      </c>
      <c r="Z440" s="32">
        <f>VLOOKUP($A440,$A$4:$O$28,12,0)*(HLOOKUP(Z$417,'2.2.Brecha Efectiva x UdM'!$H$64:$AK$71,7,0))</f>
        <v>0</v>
      </c>
      <c r="AA440" s="32">
        <f>VLOOKUP($A440,$A$4:$O$28,12,0)*(HLOOKUP(AA$417,'2.2.Brecha Efectiva x UdM'!$H$64:$AK$71,7,0))</f>
        <v>0</v>
      </c>
      <c r="AB440" s="32">
        <f>VLOOKUP($A440,$A$4:$O$28,12,0)*(HLOOKUP(AB$417,'2.2.Brecha Efectiva x UdM'!$H$64:$AK$71,7,0))</f>
        <v>0</v>
      </c>
      <c r="AC440" s="32">
        <f>VLOOKUP($A440,$A$4:$O$28,12,0)*(HLOOKUP(AC$417,'2.2.Brecha Efectiva x UdM'!$H$64:$AK$71,7,0))</f>
        <v>0</v>
      </c>
      <c r="AD440" s="32">
        <f>VLOOKUP($A440,$A$4:$O$28,12,0)*(HLOOKUP(AD$417,'2.2.Brecha Efectiva x UdM'!$H$64:$AK$71,7,0))</f>
        <v>0</v>
      </c>
      <c r="AE440" s="32">
        <f>VLOOKUP($A440,$A$4:$O$28,12,0)*(HLOOKUP(AE$417,'2.2.Brecha Efectiva x UdM'!$H$64:$AK$71,7,0))</f>
        <v>0</v>
      </c>
      <c r="AF440" s="32">
        <f>VLOOKUP($A440,$A$4:$O$28,12,0)*(HLOOKUP(AF$417,'2.2.Brecha Efectiva x UdM'!$H$64:$AK$71,7,0))</f>
        <v>0</v>
      </c>
      <c r="AG440" s="32">
        <f>VLOOKUP($A440,$A$4:$O$28,12,0)*(HLOOKUP(AG$417,'2.2.Brecha Efectiva x UdM'!$H$64:$AK$71,7,0))</f>
        <v>0</v>
      </c>
      <c r="AH440" s="62">
        <f t="shared" si="426"/>
        <v>0</v>
      </c>
    </row>
    <row r="441" spans="1:34" hidden="1" x14ac:dyDescent="0.2">
      <c r="A441" s="26" t="str">
        <f t="shared" si="423"/>
        <v>Tucumán</v>
      </c>
      <c r="B441" s="52">
        <f t="shared" si="424"/>
        <v>0</v>
      </c>
      <c r="C441" s="26" t="str">
        <f t="shared" si="425"/>
        <v>Tucumán 0</v>
      </c>
      <c r="D441" s="31">
        <f>VLOOKUP($A441,$A$4:$O$28,12,0)*(HLOOKUP(D$417,'2.2.Brecha Efectiva x UdM'!$H$64:$AK$71,7,0))</f>
        <v>0</v>
      </c>
      <c r="E441" s="31">
        <f>VLOOKUP($A441,$A$4:$O$28,12,0)*(HLOOKUP(E$417,'2.2.Brecha Efectiva x UdM'!$H$64:$AK$71,7,0))</f>
        <v>0</v>
      </c>
      <c r="F441" s="31">
        <f>VLOOKUP($A441,$A$4:$O$28,12,0)*(HLOOKUP(F$417,'2.2.Brecha Efectiva x UdM'!$H$64:$AK$71,7,0))</f>
        <v>0</v>
      </c>
      <c r="G441" s="31">
        <f>VLOOKUP($A441,$A$4:$O$28,12,0)*(HLOOKUP(G$417,'2.2.Brecha Efectiva x UdM'!$H$64:$AK$71,7,0))</f>
        <v>0</v>
      </c>
      <c r="H441" s="31">
        <f>VLOOKUP($A441,$A$4:$O$28,12,0)*(HLOOKUP(H$417,'2.2.Brecha Efectiva x UdM'!$H$64:$AK$71,7,0))</f>
        <v>0</v>
      </c>
      <c r="I441" s="31">
        <f>VLOOKUP($A441,$A$4:$O$28,12,0)*(HLOOKUP(I$417,'2.2.Brecha Efectiva x UdM'!$H$64:$AK$71,7,0))</f>
        <v>0</v>
      </c>
      <c r="J441" s="31">
        <f>VLOOKUP($A441,$A$4:$O$28,12,0)*(HLOOKUP(J$417,'2.2.Brecha Efectiva x UdM'!$H$64:$AK$71,7,0))</f>
        <v>0</v>
      </c>
      <c r="K441" s="31">
        <f>VLOOKUP($A441,$A$4:$O$28,12,0)*(HLOOKUP(K$417,'2.2.Brecha Efectiva x UdM'!$H$64:$AK$71,7,0))</f>
        <v>0</v>
      </c>
      <c r="L441" s="31">
        <f>VLOOKUP($A441,$A$4:$O$28,12,0)*(HLOOKUP(L$417,'2.2.Brecha Efectiva x UdM'!$H$64:$AK$71,7,0))</f>
        <v>0</v>
      </c>
      <c r="M441" s="31">
        <f>VLOOKUP($A441,$A$4:$O$28,12,0)*(HLOOKUP(M$417,'2.2.Brecha Efectiva x UdM'!$H$64:$AK$71,7,0))</f>
        <v>0</v>
      </c>
      <c r="N441" s="31">
        <f>VLOOKUP($A441,$A$4:$O$28,12,0)*(HLOOKUP(N$417,'2.2.Brecha Efectiva x UdM'!$H$64:$AK$71,7,0))</f>
        <v>0</v>
      </c>
      <c r="O441" s="31">
        <f>VLOOKUP($A441,$A$4:$O$28,12,0)*(HLOOKUP(O$417,'2.2.Brecha Efectiva x UdM'!$H$64:$AK$71,7,0))</f>
        <v>0</v>
      </c>
      <c r="P441" s="31">
        <f>VLOOKUP($A441,$A$4:$O$28,12,0)*(HLOOKUP(P$417,'2.2.Brecha Efectiva x UdM'!$H$64:$AK$71,7,0))</f>
        <v>0</v>
      </c>
      <c r="Q441" s="31">
        <f>VLOOKUP($A441,$A$4:$O$28,12,0)*(HLOOKUP(Q$417,'2.2.Brecha Efectiva x UdM'!$H$64:$AK$71,7,0))</f>
        <v>0</v>
      </c>
      <c r="R441" s="31">
        <f>VLOOKUP($A441,$A$4:$O$28,12,0)*(HLOOKUP(R$417,'2.2.Brecha Efectiva x UdM'!$H$64:$AK$71,7,0))</f>
        <v>0</v>
      </c>
      <c r="S441" s="31">
        <f>VLOOKUP($A441,$A$4:$O$28,12,0)*(HLOOKUP(S$417,'2.2.Brecha Efectiva x UdM'!$H$64:$AK$71,7,0))</f>
        <v>0</v>
      </c>
      <c r="T441" s="31">
        <f>VLOOKUP($A441,$A$4:$O$28,12,0)*(HLOOKUP(T$417,'2.2.Brecha Efectiva x UdM'!$H$64:$AK$71,7,0))</f>
        <v>0</v>
      </c>
      <c r="U441" s="31">
        <f>VLOOKUP($A441,$A$4:$O$28,12,0)*(HLOOKUP(U$417,'2.2.Brecha Efectiva x UdM'!$H$64:$AK$71,7,0))</f>
        <v>0</v>
      </c>
      <c r="V441" s="31">
        <f>VLOOKUP($A441,$A$4:$O$28,12,0)*(HLOOKUP(V$417,'2.2.Brecha Efectiva x UdM'!$H$64:$AK$71,7,0))</f>
        <v>0</v>
      </c>
      <c r="W441" s="31">
        <f>VLOOKUP($A441,$A$4:$O$28,12,0)*(HLOOKUP(W$417,'2.2.Brecha Efectiva x UdM'!$H$64:$AK$71,7,0))</f>
        <v>0</v>
      </c>
      <c r="X441" s="31">
        <f>VLOOKUP($A441,$A$4:$O$28,12,0)*(HLOOKUP(X$417,'2.2.Brecha Efectiva x UdM'!$H$64:$AK$71,7,0))</f>
        <v>0</v>
      </c>
      <c r="Y441" s="31">
        <f>VLOOKUP($A441,$A$4:$O$28,12,0)*(HLOOKUP(Y$417,'2.2.Brecha Efectiva x UdM'!$H$64:$AK$71,7,0))</f>
        <v>0</v>
      </c>
      <c r="Z441" s="31">
        <f>VLOOKUP($A441,$A$4:$O$28,12,0)*(HLOOKUP(Z$417,'2.2.Brecha Efectiva x UdM'!$H$64:$AK$71,7,0))</f>
        <v>0</v>
      </c>
      <c r="AA441" s="31">
        <f>VLOOKUP($A441,$A$4:$O$28,12,0)*(HLOOKUP(AA$417,'2.2.Brecha Efectiva x UdM'!$H$64:$AK$71,7,0))</f>
        <v>0</v>
      </c>
      <c r="AB441" s="31">
        <f>VLOOKUP($A441,$A$4:$O$28,12,0)*(HLOOKUP(AB$417,'2.2.Brecha Efectiva x UdM'!$H$64:$AK$71,7,0))</f>
        <v>0</v>
      </c>
      <c r="AC441" s="31">
        <f>VLOOKUP($A441,$A$4:$O$28,12,0)*(HLOOKUP(AC$417,'2.2.Brecha Efectiva x UdM'!$H$64:$AK$71,7,0))</f>
        <v>0</v>
      </c>
      <c r="AD441" s="31">
        <f>VLOOKUP($A441,$A$4:$O$28,12,0)*(HLOOKUP(AD$417,'2.2.Brecha Efectiva x UdM'!$H$64:$AK$71,7,0))</f>
        <v>0</v>
      </c>
      <c r="AE441" s="31">
        <f>VLOOKUP($A441,$A$4:$O$28,12,0)*(HLOOKUP(AE$417,'2.2.Brecha Efectiva x UdM'!$H$64:$AK$71,7,0))</f>
        <v>0</v>
      </c>
      <c r="AF441" s="31">
        <f>VLOOKUP($A441,$A$4:$O$28,12,0)*(HLOOKUP(AF$417,'2.2.Brecha Efectiva x UdM'!$H$64:$AK$71,7,0))</f>
        <v>0</v>
      </c>
      <c r="AG441" s="31">
        <f>VLOOKUP($A441,$A$4:$O$28,12,0)*(HLOOKUP(AG$417,'2.2.Brecha Efectiva x UdM'!$H$64:$AK$71,7,0))</f>
        <v>0</v>
      </c>
      <c r="AH441" s="63">
        <f t="shared" si="426"/>
        <v>0</v>
      </c>
    </row>
    <row r="442" spans="1:34" hidden="1" x14ac:dyDescent="0.2">
      <c r="A442" s="34" t="str">
        <f>CONCATENATE("Total"," ",B418)</f>
        <v>Total 0</v>
      </c>
      <c r="B442" s="29"/>
      <c r="C442" s="13"/>
      <c r="D442" s="13">
        <f>SUM(D418:D441)</f>
        <v>0</v>
      </c>
      <c r="E442" s="13">
        <f t="shared" ref="E442:AG442" si="427">SUM(E418:E441)</f>
        <v>0</v>
      </c>
      <c r="F442" s="13">
        <f t="shared" si="427"/>
        <v>0</v>
      </c>
      <c r="G442" s="13">
        <f t="shared" si="427"/>
        <v>0</v>
      </c>
      <c r="H442" s="13">
        <f t="shared" si="427"/>
        <v>0</v>
      </c>
      <c r="I442" s="13">
        <f t="shared" si="427"/>
        <v>0</v>
      </c>
      <c r="J442" s="13">
        <f t="shared" si="427"/>
        <v>0</v>
      </c>
      <c r="K442" s="13">
        <f t="shared" si="427"/>
        <v>0</v>
      </c>
      <c r="L442" s="13">
        <f t="shared" si="427"/>
        <v>0</v>
      </c>
      <c r="M442" s="13">
        <f t="shared" si="427"/>
        <v>0</v>
      </c>
      <c r="N442" s="13">
        <f t="shared" si="427"/>
        <v>0</v>
      </c>
      <c r="O442" s="13">
        <f t="shared" si="427"/>
        <v>0</v>
      </c>
      <c r="P442" s="13">
        <f t="shared" si="427"/>
        <v>0</v>
      </c>
      <c r="Q442" s="13">
        <f t="shared" si="427"/>
        <v>0</v>
      </c>
      <c r="R442" s="13">
        <f t="shared" si="427"/>
        <v>0</v>
      </c>
      <c r="S442" s="13">
        <f t="shared" si="427"/>
        <v>0</v>
      </c>
      <c r="T442" s="13">
        <f t="shared" si="427"/>
        <v>0</v>
      </c>
      <c r="U442" s="13">
        <f t="shared" si="427"/>
        <v>0</v>
      </c>
      <c r="V442" s="13">
        <f t="shared" si="427"/>
        <v>0</v>
      </c>
      <c r="W442" s="13">
        <f t="shared" si="427"/>
        <v>0</v>
      </c>
      <c r="X442" s="13">
        <f t="shared" si="427"/>
        <v>0</v>
      </c>
      <c r="Y442" s="13">
        <f t="shared" si="427"/>
        <v>0</v>
      </c>
      <c r="Z442" s="13">
        <f t="shared" si="427"/>
        <v>0</v>
      </c>
      <c r="AA442" s="13">
        <f t="shared" si="427"/>
        <v>0</v>
      </c>
      <c r="AB442" s="13">
        <f t="shared" si="427"/>
        <v>0</v>
      </c>
      <c r="AC442" s="13">
        <f t="shared" si="427"/>
        <v>0</v>
      </c>
      <c r="AD442" s="13">
        <f t="shared" si="427"/>
        <v>0</v>
      </c>
      <c r="AE442" s="13">
        <f t="shared" si="427"/>
        <v>0</v>
      </c>
      <c r="AF442" s="13">
        <f t="shared" si="427"/>
        <v>0</v>
      </c>
      <c r="AG442" s="13">
        <f t="shared" si="427"/>
        <v>0</v>
      </c>
      <c r="AH442" s="13">
        <f t="shared" si="426"/>
        <v>0</v>
      </c>
    </row>
    <row r="443" spans="1:34" hidden="1" x14ac:dyDescent="0.2">
      <c r="A443" s="34" t="str">
        <f>CONCATENATE("Total Acumulado"," ",B418)</f>
        <v>Total Acumulado 0</v>
      </c>
      <c r="B443" s="29"/>
      <c r="C443" s="13"/>
      <c r="D443" s="13">
        <f>D442</f>
        <v>0</v>
      </c>
      <c r="E443" s="13">
        <f>E442+D443</f>
        <v>0</v>
      </c>
      <c r="F443" s="13">
        <f t="shared" ref="F443" si="428">F442+E443</f>
        <v>0</v>
      </c>
      <c r="G443" s="13">
        <f t="shared" ref="G443" si="429">G442+F443</f>
        <v>0</v>
      </c>
      <c r="H443" s="13">
        <f t="shared" ref="H443" si="430">H442+G443</f>
        <v>0</v>
      </c>
      <c r="I443" s="13">
        <f t="shared" ref="I443" si="431">I442+H443</f>
        <v>0</v>
      </c>
      <c r="J443" s="13">
        <f t="shared" ref="J443" si="432">J442+I443</f>
        <v>0</v>
      </c>
      <c r="K443" s="13">
        <f t="shared" ref="K443" si="433">K442+J443</f>
        <v>0</v>
      </c>
      <c r="L443" s="13">
        <f t="shared" ref="L443" si="434">L442+K443</f>
        <v>0</v>
      </c>
      <c r="M443" s="13">
        <f t="shared" ref="M443" si="435">M442+L443</f>
        <v>0</v>
      </c>
      <c r="N443" s="13">
        <f t="shared" ref="N443" si="436">N442+M443</f>
        <v>0</v>
      </c>
      <c r="O443" s="13">
        <f t="shared" ref="O443" si="437">O442+N443</f>
        <v>0</v>
      </c>
      <c r="P443" s="13">
        <f t="shared" ref="P443" si="438">P442+O443</f>
        <v>0</v>
      </c>
      <c r="Q443" s="13">
        <f t="shared" ref="Q443" si="439">Q442+P443</f>
        <v>0</v>
      </c>
      <c r="R443" s="13">
        <f t="shared" ref="R443" si="440">R442+Q443</f>
        <v>0</v>
      </c>
      <c r="S443" s="13">
        <f t="shared" ref="S443" si="441">S442+R443</f>
        <v>0</v>
      </c>
      <c r="T443" s="13">
        <f t="shared" ref="T443" si="442">T442+S443</f>
        <v>0</v>
      </c>
      <c r="U443" s="13">
        <f t="shared" ref="U443" si="443">U442+T443</f>
        <v>0</v>
      </c>
      <c r="V443" s="13">
        <f t="shared" ref="V443" si="444">V442+U443</f>
        <v>0</v>
      </c>
      <c r="W443" s="13">
        <f t="shared" ref="W443" si="445">W442+V443</f>
        <v>0</v>
      </c>
      <c r="X443" s="13">
        <f t="shared" ref="X443" si="446">X442+W443</f>
        <v>0</v>
      </c>
      <c r="Y443" s="13">
        <f t="shared" ref="Y443" si="447">Y442+X443</f>
        <v>0</v>
      </c>
      <c r="Z443" s="13">
        <f t="shared" ref="Z443" si="448">Z442+Y443</f>
        <v>0</v>
      </c>
      <c r="AA443" s="13">
        <f t="shared" ref="AA443" si="449">AA442+Z443</f>
        <v>0</v>
      </c>
      <c r="AB443" s="13">
        <f t="shared" ref="AB443" si="450">AB442+AA443</f>
        <v>0</v>
      </c>
      <c r="AC443" s="13">
        <f t="shared" ref="AC443" si="451">AC442+AB443</f>
        <v>0</v>
      </c>
      <c r="AD443" s="13">
        <f t="shared" ref="AD443" si="452">AD442+AC443</f>
        <v>0</v>
      </c>
      <c r="AE443" s="13">
        <f t="shared" ref="AE443" si="453">AE442+AD443</f>
        <v>0</v>
      </c>
      <c r="AF443" s="13">
        <f t="shared" ref="AF443" si="454">AF442+AE443</f>
        <v>0</v>
      </c>
      <c r="AG443" s="13">
        <f t="shared" ref="AG443" si="455">AG442+AF443</f>
        <v>0</v>
      </c>
    </row>
    <row r="444" spans="1:34" hidden="1" x14ac:dyDescent="0.2"/>
    <row r="445" spans="1:34" hidden="1" x14ac:dyDescent="0.2">
      <c r="A445" s="33" t="s">
        <v>41</v>
      </c>
      <c r="D445" t="b">
        <f>D442='2.2.Brecha Efectiva x UdM'!H70</f>
        <v>1</v>
      </c>
      <c r="E445" t="b">
        <f>E442='2.2.Brecha Efectiva x UdM'!I70</f>
        <v>1</v>
      </c>
      <c r="F445" t="b">
        <f>F442='2.2.Brecha Efectiva x UdM'!J70</f>
        <v>1</v>
      </c>
      <c r="G445" t="b">
        <f>G442='2.2.Brecha Efectiva x UdM'!K70</f>
        <v>1</v>
      </c>
    </row>
    <row r="446" spans="1:34" hidden="1" x14ac:dyDescent="0.2">
      <c r="G446" t="b">
        <f>AG443=SUM('2.2.Brecha Efectiva x UdM'!H70:AK70)</f>
        <v>1</v>
      </c>
    </row>
    <row r="447" spans="1:34" hidden="1" x14ac:dyDescent="0.2">
      <c r="A447" s="33" t="s">
        <v>41</v>
      </c>
      <c r="D447" t="b">
        <f>SUM(AG278,AG311,AG344,AG377,AG410,AG443)='2.2.Brecha Efectiva x UdM'!D71</f>
        <v>1</v>
      </c>
    </row>
    <row r="448" spans="1:34" hidden="1" x14ac:dyDescent="0.2"/>
    <row r="450" spans="1:15" x14ac:dyDescent="0.2">
      <c r="A450" s="17" t="s">
        <v>82</v>
      </c>
    </row>
    <row r="451" spans="1:15" x14ac:dyDescent="0.2">
      <c r="A451" s="35" t="s">
        <v>44</v>
      </c>
    </row>
    <row r="452" spans="1:15" x14ac:dyDescent="0.2">
      <c r="A452" s="35" t="s">
        <v>107</v>
      </c>
    </row>
    <row r="453" spans="1:15" x14ac:dyDescent="0.2">
      <c r="A453" t="s">
        <v>65</v>
      </c>
    </row>
    <row r="454" spans="1:15" x14ac:dyDescent="0.2">
      <c r="A454" t="s">
        <v>108</v>
      </c>
    </row>
    <row r="456" spans="1:15" x14ac:dyDescent="0.2">
      <c r="A456" s="17" t="s">
        <v>129</v>
      </c>
    </row>
    <row r="457" spans="1:15" x14ac:dyDescent="0.2">
      <c r="A457" s="6" t="s">
        <v>58</v>
      </c>
      <c r="B457" s="71" t="str">
        <f>B2</f>
        <v>Nombre Jurisdicción</v>
      </c>
      <c r="C457" s="72"/>
      <c r="D457" s="72"/>
      <c r="E457" s="72"/>
      <c r="F457" s="72"/>
      <c r="G457" s="72"/>
      <c r="H457" s="72"/>
      <c r="I457" s="72"/>
      <c r="J457" s="72"/>
      <c r="K457" s="72"/>
      <c r="L457" s="72"/>
      <c r="M457" s="72"/>
      <c r="N457" s="72"/>
      <c r="O457" s="72"/>
    </row>
    <row r="458" spans="1:15" x14ac:dyDescent="0.2">
      <c r="A458" s="7" t="s">
        <v>0</v>
      </c>
      <c r="B458" s="7" t="s">
        <v>40</v>
      </c>
      <c r="C458" s="7" t="str">
        <f>C3</f>
        <v>Nombre UdM 1</v>
      </c>
      <c r="D458" s="7" t="s">
        <v>40</v>
      </c>
      <c r="E458" s="7" t="str">
        <f>E3</f>
        <v>Nombre UdM 2</v>
      </c>
      <c r="F458" s="7" t="s">
        <v>40</v>
      </c>
      <c r="G458" s="7" t="str">
        <f>G3</f>
        <v>Nombre UdM 3</v>
      </c>
      <c r="H458" s="7" t="s">
        <v>40</v>
      </c>
      <c r="I458" s="7">
        <f>I3</f>
        <v>0</v>
      </c>
      <c r="J458" s="7" t="s">
        <v>40</v>
      </c>
      <c r="K458" s="7">
        <f>K3</f>
        <v>0</v>
      </c>
      <c r="L458" s="7" t="s">
        <v>40</v>
      </c>
      <c r="M458" s="7">
        <f>M3</f>
        <v>0</v>
      </c>
      <c r="N458" s="7" t="s">
        <v>40</v>
      </c>
      <c r="O458" s="7" t="s">
        <v>1</v>
      </c>
    </row>
    <row r="459" spans="1:15" x14ac:dyDescent="0.2">
      <c r="A459" s="25" t="str">
        <f>A4</f>
        <v>Buenos Aires</v>
      </c>
      <c r="B459" s="14">
        <f>IFERROR(C459/C$483,0)</f>
        <v>8.179016699576433E-2</v>
      </c>
      <c r="C459" s="21">
        <f>VLOOKUP(A459,A4:O27,2,0)*'2.2.Brecha Efectiva x UdM'!$F$87</f>
        <v>294385555.22739398</v>
      </c>
      <c r="D459" s="14">
        <f>IFERROR(E459/E$483,0)</f>
        <v>3.4950625886567194E-2</v>
      </c>
      <c r="E459" s="21">
        <f>VLOOKUP(A459,A4:O27,4,0)*'2.2.Brecha Efectiva x UdM'!$F$88</f>
        <v>70595440.88999109</v>
      </c>
      <c r="F459" s="14">
        <f>IFERROR(G459/G$483,0)</f>
        <v>0.79999607699244335</v>
      </c>
      <c r="G459" s="21">
        <f>VLOOKUP(A459,A4:O27,6,0)*'2.2.Brecha Efectiva x UdM'!$F$89</f>
        <v>1201445375.5080009</v>
      </c>
      <c r="H459" s="14">
        <f>IFERROR(I459/I$483,0)</f>
        <v>0</v>
      </c>
      <c r="I459" s="21">
        <f>VLOOKUP(A459,A4:O27,8,0)*'2.2.Brecha Efectiva x UdM'!$F$90</f>
        <v>0</v>
      </c>
      <c r="J459" s="14">
        <f>IFERROR(K459/K$483,0)</f>
        <v>0</v>
      </c>
      <c r="K459" s="21">
        <f>VLOOKUP(A459,A4:O27,10,0)*'2.2.Brecha Efectiva x UdM'!$F$91</f>
        <v>0</v>
      </c>
      <c r="L459" s="14">
        <f>IFERROR(M459/M$483,0)</f>
        <v>0</v>
      </c>
      <c r="M459" s="21">
        <f>VLOOKUP(A459,A4:O27,12,0)*'2.2.Brecha Efectiva x UdM'!$F$92</f>
        <v>0</v>
      </c>
      <c r="N459" s="14">
        <f>IFERROR(O459/O$28,0)</f>
        <v>4.3994844986142527E-2</v>
      </c>
      <c r="O459" s="36">
        <f>SUM(C459,E459,G459,I459,K459,M459)</f>
        <v>1566426371.625386</v>
      </c>
    </row>
    <row r="460" spans="1:15" x14ac:dyDescent="0.2">
      <c r="A460" s="26" t="str">
        <f t="shared" ref="A460:A482" si="456">A5</f>
        <v>CABA</v>
      </c>
      <c r="B460" s="28">
        <f t="shared" ref="B460:B481" si="457">IFERROR(C460/C$483,0)</f>
        <v>5.3184576566558173E-5</v>
      </c>
      <c r="C460" s="22">
        <f>VLOOKUP(A460,A5:O28,2,0)*'2.2.Brecha Efectiva x UdM'!$F$87</f>
        <v>191426.08063009448</v>
      </c>
      <c r="D460" s="28">
        <f t="shared" ref="D460:D482" si="458">IFERROR(E460/E$483,0)</f>
        <v>3.265490381323176E-3</v>
      </c>
      <c r="E460" s="22">
        <f>VLOOKUP(A460,A5:O28,4,0)*'2.2.Brecha Efectiva x UdM'!$F$88</f>
        <v>6595839.912558916</v>
      </c>
      <c r="F460" s="28">
        <f t="shared" ref="F460:F482" si="459">IFERROR(G460/G$483,0)</f>
        <v>2.5183959594571707E-2</v>
      </c>
      <c r="G460" s="22">
        <f>VLOOKUP(A460,A5:O28,6,0)*'2.2.Brecha Efectiva x UdM'!$F$89</f>
        <v>37821625.208000027</v>
      </c>
      <c r="H460" s="28">
        <f t="shared" ref="H460:H482" si="460">IFERROR(I460/I$483,0)</f>
        <v>0</v>
      </c>
      <c r="I460" s="22">
        <f>VLOOKUP(A460,A5:O28,8,0)*'2.2.Brecha Efectiva x UdM'!$F$90</f>
        <v>0</v>
      </c>
      <c r="J460" s="28">
        <f t="shared" ref="J460:J482" si="461">IFERROR(K460/K$483,0)</f>
        <v>0</v>
      </c>
      <c r="K460" s="22">
        <f>VLOOKUP(A460,A5:O28,10,0)*'2.2.Brecha Efectiva x UdM'!$F$91</f>
        <v>0</v>
      </c>
      <c r="L460" s="28">
        <f t="shared" ref="L460:L482" si="462">IFERROR(M460/M$483,0)</f>
        <v>0</v>
      </c>
      <c r="M460" s="22">
        <f>VLOOKUP(A460,A5:O28,12,0)*'2.2.Brecha Efectiva x UdM'!$F$92</f>
        <v>0</v>
      </c>
      <c r="N460" s="28">
        <f t="shared" ref="N460:N483" si="463">IFERROR(O460/O$28,0)</f>
        <v>1.2528908405465479E-3</v>
      </c>
      <c r="O460" s="37">
        <f t="shared" ref="O460:O482" si="464">SUM(C460,E460,G460,I460,K460,M460)</f>
        <v>44608891.201189041</v>
      </c>
    </row>
    <row r="461" spans="1:15" x14ac:dyDescent="0.2">
      <c r="A461" s="25" t="str">
        <f t="shared" si="456"/>
        <v>Catamarca</v>
      </c>
      <c r="B461" s="14">
        <f t="shared" si="457"/>
        <v>2.0669488921511731E-2</v>
      </c>
      <c r="C461" s="21">
        <f>VLOOKUP(A461,A6:O29,2,0)*'2.2.Brecha Efectiva x UdM'!$F$87</f>
        <v>74395238.400000021</v>
      </c>
      <c r="D461" s="14">
        <f t="shared" si="458"/>
        <v>5.561212454658607E-3</v>
      </c>
      <c r="E461" s="21">
        <f>VLOOKUP(A461,A6:O29,4,0)*'2.2.Brecha Efectiva x UdM'!$F$88</f>
        <v>11232881.676960843</v>
      </c>
      <c r="F461" s="14">
        <f t="shared" si="459"/>
        <v>0</v>
      </c>
      <c r="G461" s="21">
        <f>VLOOKUP(A461,A6:O29,6,0)*'2.2.Brecha Efectiva x UdM'!$F$89</f>
        <v>0</v>
      </c>
      <c r="H461" s="14">
        <f t="shared" si="460"/>
        <v>0</v>
      </c>
      <c r="I461" s="21">
        <f>VLOOKUP(A461,A6:O29,8,0)*'2.2.Brecha Efectiva x UdM'!$F$90</f>
        <v>0</v>
      </c>
      <c r="J461" s="14">
        <f t="shared" si="461"/>
        <v>0</v>
      </c>
      <c r="K461" s="21">
        <f>VLOOKUP(A461,A6:O29,10,0)*'2.2.Brecha Efectiva x UdM'!$F$91</f>
        <v>0</v>
      </c>
      <c r="L461" s="14">
        <f t="shared" si="462"/>
        <v>0</v>
      </c>
      <c r="M461" s="21">
        <f>VLOOKUP(A461,A6:O29,12,0)*'2.2.Brecha Efectiva x UdM'!$F$92</f>
        <v>0</v>
      </c>
      <c r="N461" s="14">
        <f t="shared" si="463"/>
        <v>2.4049619806462402E-3</v>
      </c>
      <c r="O461" s="36">
        <f t="shared" si="464"/>
        <v>85628120.076960862</v>
      </c>
    </row>
    <row r="462" spans="1:15" x14ac:dyDescent="0.2">
      <c r="A462" s="26" t="str">
        <f t="shared" si="456"/>
        <v>Chaco</v>
      </c>
      <c r="B462" s="28">
        <f t="shared" si="457"/>
        <v>1.1864622807915974E-2</v>
      </c>
      <c r="C462" s="22">
        <f>VLOOKUP(A462,A7:O30,2,0)*'2.2.Brecha Efectiva x UdM'!$F$87</f>
        <v>42704076.800000012</v>
      </c>
      <c r="D462" s="28">
        <f t="shared" si="458"/>
        <v>8.1142405168238251E-3</v>
      </c>
      <c r="E462" s="22">
        <f>VLOOKUP(A462,A7:O30,4,0)*'2.2.Brecha Efectiva x UdM'!$F$88</f>
        <v>16389646.028993318</v>
      </c>
      <c r="F462" s="28">
        <f t="shared" si="459"/>
        <v>0</v>
      </c>
      <c r="G462" s="22">
        <f>VLOOKUP(A462,A7:O30,6,0)*'2.2.Brecha Efectiva x UdM'!$F$89</f>
        <v>0</v>
      </c>
      <c r="H462" s="28">
        <f t="shared" si="460"/>
        <v>0</v>
      </c>
      <c r="I462" s="22">
        <f>VLOOKUP(A462,A7:O30,8,0)*'2.2.Brecha Efectiva x UdM'!$F$90</f>
        <v>0</v>
      </c>
      <c r="J462" s="28">
        <f t="shared" si="461"/>
        <v>0</v>
      </c>
      <c r="K462" s="22">
        <f>VLOOKUP(A462,A7:O30,10,0)*'2.2.Brecha Efectiva x UdM'!$F$91</f>
        <v>0</v>
      </c>
      <c r="L462" s="28">
        <f t="shared" si="462"/>
        <v>0</v>
      </c>
      <c r="M462" s="22">
        <f>VLOOKUP(A462,A7:O30,12,0)*'2.2.Brecha Efectiva x UdM'!$F$92</f>
        <v>0</v>
      </c>
      <c r="N462" s="28">
        <f t="shared" si="463"/>
        <v>1.6597136147663029E-3</v>
      </c>
      <c r="O462" s="37">
        <f t="shared" si="464"/>
        <v>59093722.828993328</v>
      </c>
    </row>
    <row r="463" spans="1:15" x14ac:dyDescent="0.2">
      <c r="A463" s="25" t="str">
        <f t="shared" si="456"/>
        <v>Chubut</v>
      </c>
      <c r="B463" s="14">
        <f t="shared" si="457"/>
        <v>0.16467583899491312</v>
      </c>
      <c r="C463" s="21">
        <f>VLOOKUP(A463,A8:O31,2,0)*'2.2.Brecha Efectiva x UdM'!$F$87</f>
        <v>592714137.60000002</v>
      </c>
      <c r="D463" s="14">
        <f t="shared" si="458"/>
        <v>0.13641290629708169</v>
      </c>
      <c r="E463" s="21">
        <f>VLOOKUP(A463,A8:O31,4,0)*'2.2.Brecha Efectiva x UdM'!$F$88</f>
        <v>275535244.90182978</v>
      </c>
      <c r="F463" s="14">
        <f t="shared" si="459"/>
        <v>1.9402268437876881E-2</v>
      </c>
      <c r="G463" s="21">
        <f>VLOOKUP(A463,A8:O31,6,0)*'2.2.Brecha Efectiva x UdM'!$F$89</f>
        <v>29138600.000000019</v>
      </c>
      <c r="H463" s="14">
        <f t="shared" si="460"/>
        <v>0</v>
      </c>
      <c r="I463" s="21">
        <f>VLOOKUP(A463,A8:O31,8,0)*'2.2.Brecha Efectiva x UdM'!$F$90</f>
        <v>0</v>
      </c>
      <c r="J463" s="14">
        <f t="shared" si="461"/>
        <v>0</v>
      </c>
      <c r="K463" s="21">
        <f>VLOOKUP(A463,A8:O31,10,0)*'2.2.Brecha Efectiva x UdM'!$F$91</f>
        <v>0</v>
      </c>
      <c r="L463" s="14">
        <f t="shared" si="462"/>
        <v>0</v>
      </c>
      <c r="M463" s="21">
        <f>VLOOKUP(A463,A8:O31,12,0)*'2.2.Brecha Efectiva x UdM'!$F$92</f>
        <v>0</v>
      </c>
      <c r="N463" s="14">
        <f t="shared" si="463"/>
        <v>2.5204149966926766E-2</v>
      </c>
      <c r="O463" s="36">
        <f t="shared" si="464"/>
        <v>897387982.50182986</v>
      </c>
    </row>
    <row r="464" spans="1:15" x14ac:dyDescent="0.2">
      <c r="A464" s="26" t="str">
        <f t="shared" si="456"/>
        <v>Córdoba</v>
      </c>
      <c r="B464" s="28">
        <f t="shared" si="457"/>
        <v>3.5367531382784194E-2</v>
      </c>
      <c r="C464" s="22">
        <f>VLOOKUP(A464,A9:O32,2,0)*'2.2.Brecha Efectiva x UdM'!$F$87</f>
        <v>127297580.44976723</v>
      </c>
      <c r="D464" s="28">
        <f t="shared" si="458"/>
        <v>6.5309807626463519E-3</v>
      </c>
      <c r="E464" s="22">
        <f>VLOOKUP(A464,A9:O32,4,0)*'2.2.Brecha Efectiva x UdM'!$F$88</f>
        <v>13191679.825117832</v>
      </c>
      <c r="F464" s="28">
        <f t="shared" si="459"/>
        <v>9.3220593347064142E-3</v>
      </c>
      <c r="G464" s="22">
        <f>VLOOKUP(A464,A9:O32,6,0)*'2.2.Brecha Efectiva x UdM'!$F$89</f>
        <v>14000000.000000007</v>
      </c>
      <c r="H464" s="28">
        <f t="shared" si="460"/>
        <v>0</v>
      </c>
      <c r="I464" s="22">
        <f>VLOOKUP(A464,A9:O32,8,0)*'2.2.Brecha Efectiva x UdM'!$F$90</f>
        <v>0</v>
      </c>
      <c r="J464" s="28">
        <f t="shared" si="461"/>
        <v>0</v>
      </c>
      <c r="K464" s="22">
        <f>VLOOKUP(A464,A9:O32,10,0)*'2.2.Brecha Efectiva x UdM'!$F$91</f>
        <v>0</v>
      </c>
      <c r="L464" s="28">
        <f t="shared" si="462"/>
        <v>0</v>
      </c>
      <c r="M464" s="22">
        <f>VLOOKUP(A464,A9:O32,12,0)*'2.2.Brecha Efectiva x UdM'!$F$92</f>
        <v>0</v>
      </c>
      <c r="N464" s="28">
        <f t="shared" si="463"/>
        <v>4.3390044887745586E-3</v>
      </c>
      <c r="O464" s="37">
        <f t="shared" si="464"/>
        <v>154489260.27488506</v>
      </c>
    </row>
    <row r="465" spans="1:15" x14ac:dyDescent="0.2">
      <c r="A465" s="25" t="str">
        <f t="shared" si="456"/>
        <v>Corrientes</v>
      </c>
      <c r="B465" s="14">
        <f t="shared" si="457"/>
        <v>1.0593413221353544E-2</v>
      </c>
      <c r="C465" s="21">
        <f>VLOOKUP(A465,A10:O33,2,0)*'2.2.Brecha Efectiva x UdM'!$F$87</f>
        <v>38128640</v>
      </c>
      <c r="D465" s="14">
        <f t="shared" si="458"/>
        <v>3.4777058237660446E-2</v>
      </c>
      <c r="E465" s="21">
        <f>VLOOKUP(A465,A10:O33,4,0)*'2.2.Brecha Efectiva x UdM'!$F$88</f>
        <v>70244858.19260025</v>
      </c>
      <c r="F465" s="14">
        <f t="shared" si="459"/>
        <v>4.6136139274407604E-3</v>
      </c>
      <c r="G465" s="21">
        <f>VLOOKUP(A465,A10:O33,6,0)*'2.2.Brecha Efectiva x UdM'!$F$89</f>
        <v>6928790.3740000036</v>
      </c>
      <c r="H465" s="14">
        <f t="shared" si="460"/>
        <v>0</v>
      </c>
      <c r="I465" s="21">
        <f>VLOOKUP(A465,A10:O33,8,0)*'2.2.Brecha Efectiva x UdM'!$F$90</f>
        <v>0</v>
      </c>
      <c r="J465" s="14">
        <f t="shared" si="461"/>
        <v>0</v>
      </c>
      <c r="K465" s="21">
        <f>VLOOKUP(A465,A10:O33,10,0)*'2.2.Brecha Efectiva x UdM'!$F$91</f>
        <v>0</v>
      </c>
      <c r="L465" s="14">
        <f t="shared" si="462"/>
        <v>0</v>
      </c>
      <c r="M465" s="21">
        <f>VLOOKUP(A465,A10:O33,12,0)*'2.2.Brecha Efectiva x UdM'!$F$92</f>
        <v>0</v>
      </c>
      <c r="N465" s="14">
        <f t="shared" si="463"/>
        <v>3.2383943503015793E-3</v>
      </c>
      <c r="O465" s="36">
        <f t="shared" si="464"/>
        <v>115302288.56660025</v>
      </c>
    </row>
    <row r="466" spans="1:15" x14ac:dyDescent="0.2">
      <c r="A466" s="26" t="str">
        <f t="shared" si="456"/>
        <v>Entre Ríos</v>
      </c>
      <c r="B466" s="28">
        <f t="shared" si="457"/>
        <v>2.0949670632450099E-2</v>
      </c>
      <c r="C466" s="22">
        <f>VLOOKUP(A466,A11:O34,2,0)*'2.2.Brecha Efectiva x UdM'!$F$87</f>
        <v>75403690.290597379</v>
      </c>
      <c r="D466" s="28">
        <f t="shared" si="458"/>
        <v>5.4498795315678361E-2</v>
      </c>
      <c r="E466" s="22">
        <f>VLOOKUP(A466,A11:O34,4,0)*'2.2.Brecha Efectiva x UdM'!$F$88</f>
        <v>110080045.36944155</v>
      </c>
      <c r="F466" s="28">
        <f t="shared" si="459"/>
        <v>3.2165815034781138E-3</v>
      </c>
      <c r="G466" s="22">
        <f>VLOOKUP(A466,A11:O34,6,0)*'2.2.Brecha Efectiva x UdM'!$F$89</f>
        <v>4830707.4040000029</v>
      </c>
      <c r="H466" s="28">
        <f t="shared" si="460"/>
        <v>0</v>
      </c>
      <c r="I466" s="22">
        <f>VLOOKUP(A466,A11:O34,8,0)*'2.2.Brecha Efectiva x UdM'!$F$90</f>
        <v>0</v>
      </c>
      <c r="J466" s="28">
        <f t="shared" si="461"/>
        <v>0</v>
      </c>
      <c r="K466" s="22">
        <f>VLOOKUP(A466,A11:O34,10,0)*'2.2.Brecha Efectiva x UdM'!$F$91</f>
        <v>0</v>
      </c>
      <c r="L466" s="28">
        <f t="shared" si="462"/>
        <v>0</v>
      </c>
      <c r="M466" s="22">
        <f>VLOOKUP(A466,A11:O34,12,0)*'2.2.Brecha Efectiva x UdM'!$F$92</f>
        <v>0</v>
      </c>
      <c r="N466" s="28">
        <f t="shared" si="463"/>
        <v>5.3451950074987807E-3</v>
      </c>
      <c r="O466" s="37">
        <f t="shared" si="464"/>
        <v>190314443.06403896</v>
      </c>
    </row>
    <row r="467" spans="1:15" x14ac:dyDescent="0.2">
      <c r="A467" s="25" t="str">
        <f t="shared" si="456"/>
        <v>Formosa</v>
      </c>
      <c r="B467" s="14">
        <f t="shared" si="457"/>
        <v>8.4747305770828361E-3</v>
      </c>
      <c r="C467" s="21">
        <f>VLOOKUP(A467,A12:O35,2,0)*'2.2.Brecha Efectiva x UdM'!$F$87</f>
        <v>30502912.000000004</v>
      </c>
      <c r="D467" s="14">
        <f t="shared" si="458"/>
        <v>3.3957377144348454E-2</v>
      </c>
      <c r="E467" s="21">
        <f>VLOOKUP(A467,A12:O35,4,0)*'2.2.Brecha Efectiva x UdM'!$F$88</f>
        <v>68589215.505131528</v>
      </c>
      <c r="F467" s="14">
        <f t="shared" si="459"/>
        <v>0</v>
      </c>
      <c r="G467" s="21">
        <f>VLOOKUP(A467,A12:O35,6,0)*'2.2.Brecha Efectiva x UdM'!$F$89</f>
        <v>0</v>
      </c>
      <c r="H467" s="14">
        <f t="shared" si="460"/>
        <v>0</v>
      </c>
      <c r="I467" s="21">
        <f>VLOOKUP(A467,A12:O35,8,0)*'2.2.Brecha Efectiva x UdM'!$F$90</f>
        <v>0</v>
      </c>
      <c r="J467" s="14">
        <f t="shared" si="461"/>
        <v>0</v>
      </c>
      <c r="K467" s="21">
        <f>VLOOKUP(A467,A12:O35,10,0)*'2.2.Brecha Efectiva x UdM'!$F$91</f>
        <v>0</v>
      </c>
      <c r="L467" s="14">
        <f t="shared" si="462"/>
        <v>0</v>
      </c>
      <c r="M467" s="21">
        <f>VLOOKUP(A467,A12:O35,12,0)*'2.2.Brecha Efectiva x UdM'!$F$92</f>
        <v>0</v>
      </c>
      <c r="N467" s="14">
        <f t="shared" si="463"/>
        <v>2.783113760024161E-3</v>
      </c>
      <c r="O467" s="36">
        <f t="shared" si="464"/>
        <v>99092127.505131528</v>
      </c>
    </row>
    <row r="468" spans="1:15" x14ac:dyDescent="0.2">
      <c r="A468" s="26" t="str">
        <f t="shared" si="456"/>
        <v>Jujuy</v>
      </c>
      <c r="B468" s="28">
        <f t="shared" si="457"/>
        <v>1.0334744460755866E-2</v>
      </c>
      <c r="C468" s="22">
        <f>VLOOKUP(A468,A13:O36,2,0)*'2.2.Brecha Efectiva x UdM'!$F$87</f>
        <v>37197619.20000001</v>
      </c>
      <c r="D468" s="28">
        <f t="shared" si="458"/>
        <v>2.3903413403953525E-2</v>
      </c>
      <c r="E468" s="22">
        <f>VLOOKUP(A468,A13:O36,4,0)*'2.2.Brecha Efectiva x UdM'!$F$88</f>
        <v>48281596.258234084</v>
      </c>
      <c r="F468" s="28">
        <f t="shared" si="459"/>
        <v>0</v>
      </c>
      <c r="G468" s="22">
        <f>VLOOKUP(A468,A13:O36,6,0)*'2.2.Brecha Efectiva x UdM'!$F$89</f>
        <v>0</v>
      </c>
      <c r="H468" s="28">
        <f t="shared" si="460"/>
        <v>0</v>
      </c>
      <c r="I468" s="22">
        <f>VLOOKUP(A468,A13:O36,8,0)*'2.2.Brecha Efectiva x UdM'!$F$90</f>
        <v>0</v>
      </c>
      <c r="J468" s="28">
        <f t="shared" si="461"/>
        <v>0</v>
      </c>
      <c r="K468" s="22">
        <f>VLOOKUP(A468,A13:O36,10,0)*'2.2.Brecha Efectiva x UdM'!$F$91</f>
        <v>0</v>
      </c>
      <c r="L468" s="28">
        <f t="shared" si="462"/>
        <v>0</v>
      </c>
      <c r="M468" s="22">
        <f>VLOOKUP(A468,A13:O36,12,0)*'2.2.Brecha Efectiva x UdM'!$F$92</f>
        <v>0</v>
      </c>
      <c r="N468" s="28">
        <f t="shared" si="463"/>
        <v>2.400779827091326E-3</v>
      </c>
      <c r="O468" s="37">
        <f t="shared" si="464"/>
        <v>85479215.458234102</v>
      </c>
    </row>
    <row r="469" spans="1:15" x14ac:dyDescent="0.2">
      <c r="A469" s="25" t="str">
        <f t="shared" si="456"/>
        <v>La Pampa</v>
      </c>
      <c r="B469" s="14">
        <f t="shared" si="457"/>
        <v>5.148437829736608E-2</v>
      </c>
      <c r="C469" s="21">
        <f>VLOOKUP(A469,A14:O37,2,0)*'2.2.Brecha Efectiva x UdM'!$F$87</f>
        <v>185306594.26813745</v>
      </c>
      <c r="D469" s="14">
        <f t="shared" si="458"/>
        <v>3.265490381323176E-3</v>
      </c>
      <c r="E469" s="21">
        <f>VLOOKUP(A469,A14:O37,4,0)*'2.2.Brecha Efectiva x UdM'!$F$88</f>
        <v>6595839.912558916</v>
      </c>
      <c r="F469" s="14">
        <f t="shared" si="459"/>
        <v>0</v>
      </c>
      <c r="G469" s="21">
        <f>VLOOKUP(A469,A14:O37,6,0)*'2.2.Brecha Efectiva x UdM'!$F$89</f>
        <v>0</v>
      </c>
      <c r="H469" s="14">
        <f t="shared" si="460"/>
        <v>0</v>
      </c>
      <c r="I469" s="21">
        <f>VLOOKUP(A469,A14:O37,8,0)*'2.2.Brecha Efectiva x UdM'!$F$90</f>
        <v>0</v>
      </c>
      <c r="J469" s="14">
        <f t="shared" si="461"/>
        <v>0</v>
      </c>
      <c r="K469" s="21">
        <f>VLOOKUP(A469,A14:O37,10,0)*'2.2.Brecha Efectiva x UdM'!$F$91</f>
        <v>0</v>
      </c>
      <c r="L469" s="14">
        <f t="shared" si="462"/>
        <v>0</v>
      </c>
      <c r="M469" s="21">
        <f>VLOOKUP(A469,A14:O37,12,0)*'2.2.Brecha Efectiva x UdM'!$F$92</f>
        <v>0</v>
      </c>
      <c r="N469" s="14">
        <f t="shared" si="463"/>
        <v>5.3897955225834576E-3</v>
      </c>
      <c r="O469" s="36">
        <f t="shared" si="464"/>
        <v>191902434.18069637</v>
      </c>
    </row>
    <row r="470" spans="1:15" x14ac:dyDescent="0.2">
      <c r="A470" s="26" t="str">
        <f t="shared" si="456"/>
        <v>La Rioja</v>
      </c>
      <c r="B470" s="28">
        <f t="shared" si="457"/>
        <v>1.7716704789867196E-2</v>
      </c>
      <c r="C470" s="22">
        <f>VLOOKUP(A470,A15:O38,2,0)*'2.2.Brecha Efectiva x UdM'!$F$87</f>
        <v>63767347.200000003</v>
      </c>
      <c r="D470" s="28">
        <f t="shared" si="458"/>
        <v>6.046096608652479E-3</v>
      </c>
      <c r="E470" s="22">
        <f>VLOOKUP(A470,A15:O38,4,0)*'2.2.Brecha Efectiva x UdM'!$F$88</f>
        <v>12212280.751039337</v>
      </c>
      <c r="F470" s="28">
        <f t="shared" si="459"/>
        <v>0</v>
      </c>
      <c r="G470" s="22">
        <f>VLOOKUP(A470,A15:O38,6,0)*'2.2.Brecha Efectiva x UdM'!$F$89</f>
        <v>0</v>
      </c>
      <c r="H470" s="28">
        <f t="shared" si="460"/>
        <v>0</v>
      </c>
      <c r="I470" s="22">
        <f>VLOOKUP(A470,A15:O38,8,0)*'2.2.Brecha Efectiva x UdM'!$F$90</f>
        <v>0</v>
      </c>
      <c r="J470" s="28">
        <f t="shared" si="461"/>
        <v>0</v>
      </c>
      <c r="K470" s="22">
        <f>VLOOKUP(A470,A15:O38,10,0)*'2.2.Brecha Efectiva x UdM'!$F$91</f>
        <v>0</v>
      </c>
      <c r="L470" s="28">
        <f t="shared" si="462"/>
        <v>0</v>
      </c>
      <c r="M470" s="22">
        <f>VLOOKUP(A470,A15:O38,12,0)*'2.2.Brecha Efectiva x UdM'!$F$92</f>
        <v>0</v>
      </c>
      <c r="N470" s="28">
        <f t="shared" si="463"/>
        <v>2.133973236381502E-3</v>
      </c>
      <c r="O470" s="37">
        <f t="shared" si="464"/>
        <v>75979627.951039344</v>
      </c>
    </row>
    <row r="471" spans="1:15" x14ac:dyDescent="0.2">
      <c r="A471" s="25" t="str">
        <f t="shared" si="456"/>
        <v>Mendoza</v>
      </c>
      <c r="B471" s="14">
        <f t="shared" si="457"/>
        <v>7.8292991021132768E-2</v>
      </c>
      <c r="C471" s="21">
        <f>VLOOKUP(A471,A16:O39,2,0)*'2.2.Brecha Efectiva x UdM'!$F$87</f>
        <v>281798246.39999998</v>
      </c>
      <c r="D471" s="14">
        <f t="shared" si="458"/>
        <v>5.0801332650308742E-2</v>
      </c>
      <c r="E471" s="21">
        <f>VLOOKUP(A471,A16:O39,4,0)*'2.2.Brecha Efectiva x UdM'!$F$88</f>
        <v>102611681.05793516</v>
      </c>
      <c r="F471" s="14">
        <f t="shared" si="459"/>
        <v>0</v>
      </c>
      <c r="G471" s="21">
        <f>VLOOKUP(A471,A16:O39,6,0)*'2.2.Brecha Efectiva x UdM'!$F$89</f>
        <v>0</v>
      </c>
      <c r="H471" s="14">
        <f t="shared" si="460"/>
        <v>0</v>
      </c>
      <c r="I471" s="21">
        <f>VLOOKUP(A471,A16:O39,8,0)*'2.2.Brecha Efectiva x UdM'!$F$90</f>
        <v>0</v>
      </c>
      <c r="J471" s="14">
        <f t="shared" si="461"/>
        <v>0</v>
      </c>
      <c r="K471" s="21">
        <f>VLOOKUP(A471,A16:O39,10,0)*'2.2.Brecha Efectiva x UdM'!$F$91</f>
        <v>0</v>
      </c>
      <c r="L471" s="14">
        <f t="shared" si="462"/>
        <v>0</v>
      </c>
      <c r="M471" s="21">
        <f>VLOOKUP(A471,A16:O39,12,0)*'2.2.Brecha Efectiva x UdM'!$F$92</f>
        <v>0</v>
      </c>
      <c r="N471" s="14">
        <f t="shared" si="463"/>
        <v>1.0796584809854506E-2</v>
      </c>
      <c r="O471" s="36">
        <f t="shared" si="464"/>
        <v>384409927.45793515</v>
      </c>
    </row>
    <row r="472" spans="1:15" x14ac:dyDescent="0.2">
      <c r="A472" s="26" t="str">
        <f t="shared" si="456"/>
        <v>Misiones</v>
      </c>
      <c r="B472" s="28">
        <f t="shared" si="457"/>
        <v>3.3898922308331337E-3</v>
      </c>
      <c r="C472" s="22">
        <f>VLOOKUP(A472,A17:O40,2,0)*'2.2.Brecha Efectiva x UdM'!$F$87</f>
        <v>12201164.799999999</v>
      </c>
      <c r="D472" s="28">
        <f t="shared" si="458"/>
        <v>9.3762500088077835E-2</v>
      </c>
      <c r="E472" s="22">
        <f>VLOOKUP(A472,A17:O40,4,0)*'2.2.Brecha Efectiva x UdM'!$F$88</f>
        <v>189387310.37745696</v>
      </c>
      <c r="F472" s="28">
        <f t="shared" si="459"/>
        <v>1.1985504858908248E-2</v>
      </c>
      <c r="G472" s="22">
        <f>VLOOKUP(A472,A17:O40,6,0)*'2.2.Brecha Efectiva x UdM'!$F$89</f>
        <v>18000000.000000011</v>
      </c>
      <c r="H472" s="28">
        <f t="shared" si="460"/>
        <v>0</v>
      </c>
      <c r="I472" s="22">
        <f>VLOOKUP(A472,A17:O40,8,0)*'2.2.Brecha Efectiva x UdM'!$F$90</f>
        <v>0</v>
      </c>
      <c r="J472" s="28">
        <f t="shared" si="461"/>
        <v>0</v>
      </c>
      <c r="K472" s="22">
        <f>VLOOKUP(A472,A17:O40,10,0)*'2.2.Brecha Efectiva x UdM'!$F$91</f>
        <v>0</v>
      </c>
      <c r="L472" s="28">
        <f t="shared" si="462"/>
        <v>0</v>
      </c>
      <c r="M472" s="22">
        <f>VLOOKUP(A472,A17:O40,12,0)*'2.2.Brecha Efectiva x UdM'!$F$92</f>
        <v>0</v>
      </c>
      <c r="N472" s="28">
        <f t="shared" si="463"/>
        <v>6.1673890973574699E-3</v>
      </c>
      <c r="O472" s="37">
        <f t="shared" si="464"/>
        <v>219588475.17745697</v>
      </c>
    </row>
    <row r="473" spans="1:15" x14ac:dyDescent="0.2">
      <c r="A473" s="25" t="str">
        <f t="shared" si="456"/>
        <v>Neuquén</v>
      </c>
      <c r="B473" s="14">
        <f t="shared" si="457"/>
        <v>2.8910818805617505E-2</v>
      </c>
      <c r="C473" s="21">
        <f>VLOOKUP(A473,A18:O41,2,0)*'2.2.Brecha Efectiva x UdM'!$F$87</f>
        <v>104058076.40191087</v>
      </c>
      <c r="D473" s="14">
        <f t="shared" si="458"/>
        <v>0.12961597372627326</v>
      </c>
      <c r="E473" s="21">
        <f>VLOOKUP(A473,A18:O41,4,0)*'2.2.Brecha Efectiva x UdM'!$F$88</f>
        <v>261806379.1272063</v>
      </c>
      <c r="F473" s="14">
        <f t="shared" si="459"/>
        <v>2.2352206564995945E-2</v>
      </c>
      <c r="G473" s="21">
        <f>VLOOKUP(A473,A18:O41,6,0)*'2.2.Brecha Efectiva x UdM'!$F$89</f>
        <v>33568858.626000017</v>
      </c>
      <c r="H473" s="14">
        <f t="shared" si="460"/>
        <v>0</v>
      </c>
      <c r="I473" s="21">
        <f>VLOOKUP(A473,A18:O41,8,0)*'2.2.Brecha Efectiva x UdM'!$F$90</f>
        <v>0</v>
      </c>
      <c r="J473" s="14">
        <f t="shared" si="461"/>
        <v>0</v>
      </c>
      <c r="K473" s="21">
        <f>VLOOKUP(A473,A18:O41,10,0)*'2.2.Brecha Efectiva x UdM'!$F$91</f>
        <v>0</v>
      </c>
      <c r="L473" s="14">
        <f t="shared" si="462"/>
        <v>0</v>
      </c>
      <c r="M473" s="21">
        <f>VLOOKUP(A473,A18:O41,12,0)*'2.2.Brecha Efectiva x UdM'!$F$92</f>
        <v>0</v>
      </c>
      <c r="N473" s="14">
        <f t="shared" si="463"/>
        <v>1.1218533508422168E-2</v>
      </c>
      <c r="O473" s="36">
        <f t="shared" si="464"/>
        <v>399433314.15511715</v>
      </c>
    </row>
    <row r="474" spans="1:15" x14ac:dyDescent="0.2">
      <c r="A474" s="26" t="str">
        <f t="shared" si="456"/>
        <v>Río Negro</v>
      </c>
      <c r="B474" s="28">
        <f t="shared" si="457"/>
        <v>9.1505672330977436E-2</v>
      </c>
      <c r="C474" s="22">
        <f>VLOOKUP(A474,A19:O42,2,0)*'2.2.Brecha Efectiva x UdM'!$F$87</f>
        <v>329354360.61654961</v>
      </c>
      <c r="D474" s="28">
        <f t="shared" si="458"/>
        <v>2.707585466437374E-2</v>
      </c>
      <c r="E474" s="22">
        <f>VLOOKUP(A474,A19:O42,4,0)*'2.2.Brecha Efectiva x UdM'!$F$88</f>
        <v>54689489.787918769</v>
      </c>
      <c r="F474" s="28">
        <f t="shared" si="459"/>
        <v>4.3962102038401819E-3</v>
      </c>
      <c r="G474" s="22">
        <f>VLOOKUP(A474,A19:O42,6,0)*'2.2.Brecha Efectiva x UdM'!$F$89</f>
        <v>6602290.4000000041</v>
      </c>
      <c r="H474" s="28">
        <f t="shared" si="460"/>
        <v>0</v>
      </c>
      <c r="I474" s="22">
        <f>VLOOKUP(A474,A19:O42,8,0)*'2.2.Brecha Efectiva x UdM'!$F$90</f>
        <v>0</v>
      </c>
      <c r="J474" s="28">
        <f t="shared" si="461"/>
        <v>0</v>
      </c>
      <c r="K474" s="22">
        <f>VLOOKUP(A474,A19:O42,10,0)*'2.2.Brecha Efectiva x UdM'!$F$91</f>
        <v>0</v>
      </c>
      <c r="L474" s="28">
        <f t="shared" si="462"/>
        <v>0</v>
      </c>
      <c r="M474" s="22">
        <f>VLOOKUP(A474,A19:O42,12,0)*'2.2.Brecha Efectiva x UdM'!$F$92</f>
        <v>0</v>
      </c>
      <c r="N474" s="28">
        <f t="shared" si="463"/>
        <v>1.0971735869905004E-2</v>
      </c>
      <c r="O474" s="37">
        <f t="shared" si="464"/>
        <v>390646140.80446833</v>
      </c>
    </row>
    <row r="475" spans="1:15" x14ac:dyDescent="0.2">
      <c r="A475" s="25" t="str">
        <f t="shared" si="456"/>
        <v>Salta</v>
      </c>
      <c r="B475" s="14">
        <f t="shared" si="457"/>
        <v>3.1004233382267592E-2</v>
      </c>
      <c r="C475" s="21">
        <f>VLOOKUP(A475,A20:O43,2,0)*'2.2.Brecha Efectiva x UdM'!$F$87</f>
        <v>111592857.60000001</v>
      </c>
      <c r="D475" s="14">
        <f t="shared" si="458"/>
        <v>4.4932470779025339E-2</v>
      </c>
      <c r="E475" s="21">
        <f>VLOOKUP(A475,A20:O43,4,0)*'2.2.Brecha Efectiva x UdM'!$F$88</f>
        <v>90757390.016899869</v>
      </c>
      <c r="F475" s="14">
        <f t="shared" si="459"/>
        <v>3.1214140885961441E-2</v>
      </c>
      <c r="G475" s="21">
        <f>VLOOKUP(A475,A20:O43,6,0)*'2.2.Brecha Efectiva x UdM'!$F$89</f>
        <v>46877836.400000028</v>
      </c>
      <c r="H475" s="14">
        <f t="shared" si="460"/>
        <v>0</v>
      </c>
      <c r="I475" s="21">
        <f>VLOOKUP(A475,A20:O43,8,0)*'2.2.Brecha Efectiva x UdM'!$F$90</f>
        <v>0</v>
      </c>
      <c r="J475" s="14">
        <f t="shared" si="461"/>
        <v>0</v>
      </c>
      <c r="K475" s="21">
        <f>VLOOKUP(A475,A20:O43,10,0)*'2.2.Brecha Efectiva x UdM'!$F$91</f>
        <v>0</v>
      </c>
      <c r="L475" s="14">
        <f t="shared" si="462"/>
        <v>0</v>
      </c>
      <c r="M475" s="21">
        <f>VLOOKUP(A475,A20:O43,12,0)*'2.2.Brecha Efectiva x UdM'!$F$92</f>
        <v>0</v>
      </c>
      <c r="N475" s="14">
        <f t="shared" si="463"/>
        <v>6.9998508203991472E-3</v>
      </c>
      <c r="O475" s="36">
        <f t="shared" si="464"/>
        <v>249228084.01689991</v>
      </c>
    </row>
    <row r="476" spans="1:15" x14ac:dyDescent="0.2">
      <c r="A476" s="26" t="str">
        <f t="shared" si="456"/>
        <v>San Juan</v>
      </c>
      <c r="B476" s="28">
        <f t="shared" si="457"/>
        <v>4.8043426308422385E-2</v>
      </c>
      <c r="C476" s="22">
        <f>VLOOKUP(A476,A21:O44,2,0)*'2.2.Brecha Efectiva x UdM'!$F$87</f>
        <v>172921651.20000002</v>
      </c>
      <c r="D476" s="28">
        <f t="shared" si="458"/>
        <v>6.0777371007807585E-2</v>
      </c>
      <c r="E476" s="22">
        <f>VLOOKUP(A476,A21:O44,4,0)*'2.2.Brecha Efectiva x UdM'!$F$88</f>
        <v>122761901.7855636</v>
      </c>
      <c r="F476" s="28">
        <f t="shared" si="459"/>
        <v>0</v>
      </c>
      <c r="G476" s="22">
        <f>VLOOKUP(A476,A21:O44,6,0)*'2.2.Brecha Efectiva x UdM'!$F$89</f>
        <v>0</v>
      </c>
      <c r="H476" s="28">
        <f t="shared" si="460"/>
        <v>0</v>
      </c>
      <c r="I476" s="22">
        <f>VLOOKUP(A476,A21:O44,8,0)*'2.2.Brecha Efectiva x UdM'!$F$90</f>
        <v>0</v>
      </c>
      <c r="J476" s="28">
        <f t="shared" si="461"/>
        <v>0</v>
      </c>
      <c r="K476" s="22">
        <f>VLOOKUP(A476,A21:O44,10,0)*'2.2.Brecha Efectiva x UdM'!$F$91</f>
        <v>0</v>
      </c>
      <c r="L476" s="28">
        <f t="shared" si="462"/>
        <v>0</v>
      </c>
      <c r="M476" s="22">
        <f>VLOOKUP(A476,A21:O44,12,0)*'2.2.Brecha Efectiva x UdM'!$F$92</f>
        <v>0</v>
      </c>
      <c r="N476" s="28">
        <f t="shared" si="463"/>
        <v>8.3046048727164531E-3</v>
      </c>
      <c r="O476" s="37">
        <f t="shared" si="464"/>
        <v>295683552.98556364</v>
      </c>
    </row>
    <row r="477" spans="1:15" x14ac:dyDescent="0.2">
      <c r="A477" s="25" t="str">
        <f t="shared" si="456"/>
        <v>San Luis</v>
      </c>
      <c r="B477" s="14">
        <f t="shared" si="457"/>
        <v>2.7022306052342612E-2</v>
      </c>
      <c r="C477" s="21">
        <f>VLOOKUP(A477,A22:O45,2,0)*'2.2.Brecha Efectiva x UdM'!$F$87</f>
        <v>97260793.845248103</v>
      </c>
      <c r="D477" s="14">
        <f t="shared" si="458"/>
        <v>3.265490381323176E-3</v>
      </c>
      <c r="E477" s="21">
        <f>VLOOKUP(A477,A22:O45,4,0)*'2.2.Brecha Efectiva x UdM'!$F$88</f>
        <v>6595839.912558916</v>
      </c>
      <c r="F477" s="14">
        <f t="shared" si="459"/>
        <v>0</v>
      </c>
      <c r="G477" s="21">
        <f>VLOOKUP(A477,A22:O45,6,0)*'2.2.Brecha Efectiva x UdM'!$F$89</f>
        <v>0</v>
      </c>
      <c r="H477" s="14">
        <f t="shared" si="460"/>
        <v>0</v>
      </c>
      <c r="I477" s="21">
        <f>VLOOKUP(A477,A22:O45,8,0)*'2.2.Brecha Efectiva x UdM'!$F$90</f>
        <v>0</v>
      </c>
      <c r="J477" s="14">
        <f t="shared" si="461"/>
        <v>0</v>
      </c>
      <c r="K477" s="21">
        <f>VLOOKUP(A477,A22:O45,10,0)*'2.2.Brecha Efectiva x UdM'!$F$91</f>
        <v>0</v>
      </c>
      <c r="L477" s="14">
        <f t="shared" si="462"/>
        <v>0</v>
      </c>
      <c r="M477" s="21">
        <f>VLOOKUP(A477,A22:O45,12,0)*'2.2.Brecha Efectiva x UdM'!$F$92</f>
        <v>0</v>
      </c>
      <c r="N477" s="14">
        <f t="shared" si="463"/>
        <v>2.916930272449486E-3</v>
      </c>
      <c r="O477" s="36">
        <f t="shared" si="464"/>
        <v>103856633.75780702</v>
      </c>
    </row>
    <row r="478" spans="1:15" x14ac:dyDescent="0.2">
      <c r="A478" s="26" t="str">
        <f t="shared" si="456"/>
        <v>Santa Cruz</v>
      </c>
      <c r="B478" s="28">
        <f t="shared" si="457"/>
        <v>0.18156566863541701</v>
      </c>
      <c r="C478" s="22">
        <f>VLOOKUP(A478,A23:O46,2,0)*'2.2.Brecha Efectiva x UdM'!$F$87</f>
        <v>653505331.19999993</v>
      </c>
      <c r="D478" s="28">
        <f t="shared" si="458"/>
        <v>0.20466926197142812</v>
      </c>
      <c r="E478" s="22">
        <f>VLOOKUP(A478,A23:O46,4,0)*'2.2.Brecha Efectiva x UdM'!$F$88</f>
        <v>413403663.56801718</v>
      </c>
      <c r="F478" s="28">
        <f t="shared" si="459"/>
        <v>1.9709496879093562E-2</v>
      </c>
      <c r="G478" s="22">
        <f>VLOOKUP(A478,A23:O46,6,0)*'2.2.Brecha Efectiva x UdM'!$F$89</f>
        <v>29600000.000000019</v>
      </c>
      <c r="H478" s="28">
        <f t="shared" si="460"/>
        <v>0</v>
      </c>
      <c r="I478" s="22">
        <f>VLOOKUP(A478,A23:O46,8,0)*'2.2.Brecha Efectiva x UdM'!$F$90</f>
        <v>0</v>
      </c>
      <c r="J478" s="28">
        <f t="shared" si="461"/>
        <v>0</v>
      </c>
      <c r="K478" s="22">
        <f>VLOOKUP(A478,A23:O46,10,0)*'2.2.Brecha Efectiva x UdM'!$F$91</f>
        <v>0</v>
      </c>
      <c r="L478" s="28">
        <f t="shared" si="462"/>
        <v>0</v>
      </c>
      <c r="M478" s="22">
        <f>VLOOKUP(A478,A23:O46,12,0)*'2.2.Brecha Efectiva x UdM'!$F$92</f>
        <v>0</v>
      </c>
      <c r="N478" s="28">
        <f t="shared" si="463"/>
        <v>3.0796687367228997E-2</v>
      </c>
      <c r="O478" s="37">
        <f t="shared" si="464"/>
        <v>1096508994.7680171</v>
      </c>
    </row>
    <row r="479" spans="1:15" x14ac:dyDescent="0.2">
      <c r="A479" s="25" t="str">
        <f t="shared" si="456"/>
        <v>Santa Fe</v>
      </c>
      <c r="B479" s="14">
        <f t="shared" si="457"/>
        <v>2.7959344452697925E-2</v>
      </c>
      <c r="C479" s="21">
        <f>VLOOKUP(A479,A24:O47,2,0)*'2.2.Brecha Efectiva x UdM'!$F$87</f>
        <v>100633455.61976524</v>
      </c>
      <c r="D479" s="14">
        <f t="shared" si="458"/>
        <v>6.046096608652479E-3</v>
      </c>
      <c r="E479" s="21">
        <f>VLOOKUP(A479,A24:O47,4,0)*'2.2.Brecha Efectiva x UdM'!$F$88</f>
        <v>12212280.751039337</v>
      </c>
      <c r="F479" s="14">
        <f t="shared" si="459"/>
        <v>0</v>
      </c>
      <c r="G479" s="21">
        <f>VLOOKUP(A479,A24:O47,6,0)*'2.2.Brecha Efectiva x UdM'!$F$89</f>
        <v>0</v>
      </c>
      <c r="H479" s="14">
        <f t="shared" si="460"/>
        <v>0</v>
      </c>
      <c r="I479" s="21">
        <f>VLOOKUP(A479,A24:O47,8,0)*'2.2.Brecha Efectiva x UdM'!$F$90</f>
        <v>0</v>
      </c>
      <c r="J479" s="14">
        <f t="shared" si="461"/>
        <v>0</v>
      </c>
      <c r="K479" s="21">
        <f>VLOOKUP(A479,A24:O47,10,0)*'2.2.Brecha Efectiva x UdM'!$F$91</f>
        <v>0</v>
      </c>
      <c r="L479" s="14">
        <f t="shared" si="462"/>
        <v>0</v>
      </c>
      <c r="M479" s="21">
        <f>VLOOKUP(A479,A24:O47,12,0)*'2.2.Brecha Efectiva x UdM'!$F$92</f>
        <v>0</v>
      </c>
      <c r="N479" s="14">
        <f t="shared" si="463"/>
        <v>3.1693993212264142E-3</v>
      </c>
      <c r="O479" s="36">
        <f t="shared" si="464"/>
        <v>112845736.37080458</v>
      </c>
    </row>
    <row r="480" spans="1:15" x14ac:dyDescent="0.2">
      <c r="A480" s="26" t="str">
        <f t="shared" si="456"/>
        <v>Santiago del Estero</v>
      </c>
      <c r="B480" s="28">
        <f t="shared" si="457"/>
        <v>2.5535773218167128E-2</v>
      </c>
      <c r="C480" s="22">
        <f>VLOOKUP(A480,A25:O48,2,0)*'2.2.Brecha Efectiva x UdM'!$F$87</f>
        <v>91910348.799999997</v>
      </c>
      <c r="D480" s="28">
        <f t="shared" si="458"/>
        <v>5.561212454658607E-3</v>
      </c>
      <c r="E480" s="22">
        <f>VLOOKUP(A480,A25:O48,4,0)*'2.2.Brecha Efectiva x UdM'!$F$88</f>
        <v>11232881.676960843</v>
      </c>
      <c r="F480" s="28">
        <f t="shared" si="459"/>
        <v>1.8644118669412828E-2</v>
      </c>
      <c r="G480" s="22">
        <f>VLOOKUP(A480,A25:O48,6,0)*'2.2.Brecha Efectiva x UdM'!$F$89</f>
        <v>28000000.000000015</v>
      </c>
      <c r="H480" s="28">
        <f t="shared" si="460"/>
        <v>0</v>
      </c>
      <c r="I480" s="22">
        <f>VLOOKUP(A480,A25:O48,8,0)*'2.2.Brecha Efectiva x UdM'!$F$90</f>
        <v>0</v>
      </c>
      <c r="J480" s="28">
        <f t="shared" si="461"/>
        <v>0</v>
      </c>
      <c r="K480" s="22">
        <f>VLOOKUP(A480,A25:O48,10,0)*'2.2.Brecha Efectiva x UdM'!$F$91</f>
        <v>0</v>
      </c>
      <c r="L480" s="28">
        <f t="shared" si="462"/>
        <v>0</v>
      </c>
      <c r="M480" s="22">
        <f>VLOOKUP(A480,A25:O48,12,0)*'2.2.Brecha Efectiva x UdM'!$F$92</f>
        <v>0</v>
      </c>
      <c r="N480" s="28">
        <f t="shared" si="463"/>
        <v>3.6833050057942162E-3</v>
      </c>
      <c r="O480" s="37">
        <f t="shared" si="464"/>
        <v>131143230.47696085</v>
      </c>
    </row>
    <row r="481" spans="1:16384" x14ac:dyDescent="0.2">
      <c r="A481" s="25" t="str">
        <f t="shared" si="456"/>
        <v>Tierra del Fuego</v>
      </c>
      <c r="B481" s="14">
        <f t="shared" si="457"/>
        <v>1.6889829640503909E-2</v>
      </c>
      <c r="C481" s="21">
        <f>VLOOKUP(A481,A26:O49,2,0)*'2.2.Brecha Efectiva x UdM'!$F$87</f>
        <v>60791193.600000001</v>
      </c>
      <c r="D481" s="14">
        <f t="shared" si="458"/>
        <v>1.8943257896030376E-2</v>
      </c>
      <c r="E481" s="21">
        <f>VLOOKUP(A481,A26:O49,4,0)*'2.2.Brecha Efectiva x UdM'!$F$88</f>
        <v>38262766.664131351</v>
      </c>
      <c r="F481" s="14">
        <f t="shared" si="459"/>
        <v>2.9963762147270621E-2</v>
      </c>
      <c r="G481" s="21">
        <f>VLOOKUP(A481,A26:O49,6,0)*'2.2.Brecha Efectiva x UdM'!$F$89</f>
        <v>45000000.00000003</v>
      </c>
      <c r="H481" s="14">
        <f t="shared" si="460"/>
        <v>0</v>
      </c>
      <c r="I481" s="21">
        <f>VLOOKUP(A481,A26:O49,8,0)*'2.2.Brecha Efectiva x UdM'!$F$90</f>
        <v>0</v>
      </c>
      <c r="J481" s="14">
        <f t="shared" si="461"/>
        <v>0</v>
      </c>
      <c r="K481" s="21">
        <f>VLOOKUP(A481,A26:O49,10,0)*'2.2.Brecha Efectiva x UdM'!$F$91</f>
        <v>0</v>
      </c>
      <c r="L481" s="14">
        <f t="shared" si="462"/>
        <v>0</v>
      </c>
      <c r="M481" s="21">
        <f>VLOOKUP(A481,A26:O49,12,0)*'2.2.Brecha Efectiva x UdM'!$F$92</f>
        <v>0</v>
      </c>
      <c r="N481" s="14">
        <f t="shared" si="463"/>
        <v>4.0459173608550893E-3</v>
      </c>
      <c r="O481" s="36">
        <f t="shared" si="464"/>
        <v>144053960.26413137</v>
      </c>
    </row>
    <row r="482" spans="1:16384" x14ac:dyDescent="0.2">
      <c r="A482" s="26" t="str">
        <f t="shared" si="456"/>
        <v>Tucumán</v>
      </c>
      <c r="B482" s="28">
        <f>IFERROR(C482/C$483,0)</f>
        <v>5.9055682632890641E-3</v>
      </c>
      <c r="C482" s="22">
        <f>VLOOKUP(A482,A27:O50,2,0)*'2.2.Brecha Efectiva x UdM'!$F$87</f>
        <v>21255782.399999999</v>
      </c>
      <c r="D482" s="28">
        <f t="shared" si="458"/>
        <v>3.265490381323176E-3</v>
      </c>
      <c r="E482" s="22">
        <f>VLOOKUP(A482,A27:O50,4,0)*'2.2.Brecha Efectiva x UdM'!$F$88</f>
        <v>6595839.912558916</v>
      </c>
      <c r="F482" s="28">
        <f t="shared" si="459"/>
        <v>0</v>
      </c>
      <c r="G482" s="22">
        <f>VLOOKUP(A482,A27:O50,6,0)*'2.2.Brecha Efectiva x UdM'!$F$89</f>
        <v>0</v>
      </c>
      <c r="H482" s="28">
        <f t="shared" si="460"/>
        <v>0</v>
      </c>
      <c r="I482" s="22">
        <f>VLOOKUP(A482,A27:O50,8,0)*'2.2.Brecha Efectiva x UdM'!$F$90</f>
        <v>0</v>
      </c>
      <c r="J482" s="28">
        <f t="shared" si="461"/>
        <v>0</v>
      </c>
      <c r="K482" s="22">
        <f>VLOOKUP(A482,A27:O50,10,0)*'2.2.Brecha Efectiva x UdM'!$F$91</f>
        <v>0</v>
      </c>
      <c r="L482" s="28">
        <f t="shared" si="462"/>
        <v>0</v>
      </c>
      <c r="M482" s="22">
        <f>VLOOKUP(A482,A27:O50,12,0)*'2.2.Brecha Efectiva x UdM'!$F$92</f>
        <v>0</v>
      </c>
      <c r="N482" s="28">
        <f t="shared" si="463"/>
        <v>7.8224411210733728E-4</v>
      </c>
      <c r="O482" s="37">
        <f t="shared" si="464"/>
        <v>27851622.312558915</v>
      </c>
    </row>
    <row r="483" spans="1:16384" x14ac:dyDescent="0.2">
      <c r="A483" s="27" t="s">
        <v>27</v>
      </c>
      <c r="B483" s="29">
        <f t="shared" ref="B483:G483" si="465">SUM(B459:B482)</f>
        <v>0.99999999999999978</v>
      </c>
      <c r="C483" s="13">
        <f t="shared" si="465"/>
        <v>3599278080</v>
      </c>
      <c r="D483" s="29">
        <f t="shared" si="465"/>
        <v>0.99999999999999967</v>
      </c>
      <c r="E483" s="13">
        <f t="shared" si="465"/>
        <v>2019861993.8627052</v>
      </c>
      <c r="F483" s="29">
        <f t="shared" si="465"/>
        <v>1</v>
      </c>
      <c r="G483" s="13">
        <f t="shared" si="465"/>
        <v>1501814083.920001</v>
      </c>
      <c r="H483" s="29">
        <f t="shared" ref="H483" si="466">IFERROR(I483/I$28,0)</f>
        <v>0</v>
      </c>
      <c r="I483" s="13">
        <f>SUM(I459:I482)</f>
        <v>0</v>
      </c>
      <c r="J483" s="29">
        <f t="shared" ref="J483" si="467">IFERROR(K483/K$28,0)</f>
        <v>0</v>
      </c>
      <c r="K483" s="13">
        <f>SUM(K459:K482)</f>
        <v>0</v>
      </c>
      <c r="L483" s="29">
        <f t="shared" ref="L483" si="468">IFERROR(M483/M$28,0)</f>
        <v>0</v>
      </c>
      <c r="M483" s="13">
        <f>SUM(M459:M482)</f>
        <v>0</v>
      </c>
      <c r="N483" s="29">
        <f t="shared" si="463"/>
        <v>0.20000000000000007</v>
      </c>
      <c r="O483" s="13">
        <f>SUM(C483,E483,G483,I483,K483,M483)</f>
        <v>7120954157.7827063</v>
      </c>
    </row>
    <row r="485" spans="1:16384" x14ac:dyDescent="0.2">
      <c r="A485" s="33" t="s">
        <v>41</v>
      </c>
      <c r="C485" t="b">
        <f>C483=SUM('2.2.Brecha Efectiva x UdM'!H87:Q87)</f>
        <v>1</v>
      </c>
      <c r="E485" t="b">
        <f>ROUND(E483,4)=ROUND(SUM('2.2.Brecha Efectiva x UdM'!H88:Q88),4)</f>
        <v>1</v>
      </c>
      <c r="G485" t="b">
        <f>G483=SUM('2.2.Brecha Efectiva x UdM'!H89:Q89)</f>
        <v>1</v>
      </c>
      <c r="I485" t="b">
        <f>I483=SUM('2.2.Brecha Efectiva x UdM'!H106:Q106)</f>
        <v>1</v>
      </c>
      <c r="K485" t="b">
        <f>K483=SUM('2.2.Brecha Efectiva x UdM'!H91:Q91)</f>
        <v>1</v>
      </c>
      <c r="M485" t="b">
        <f>M483=SUM('2.2.Brecha Efectiva x UdM'!H92:Q92)</f>
        <v>1</v>
      </c>
      <c r="O485" t="b">
        <f>O483=SUM('2.2.Brecha Efectiva x UdM'!H93:Q93)</f>
        <v>1</v>
      </c>
      <c r="P485" s="64"/>
    </row>
    <row r="486" spans="1:16384" x14ac:dyDescent="0.2">
      <c r="E486" s="47"/>
    </row>
    <row r="487" spans="1:16384" x14ac:dyDescent="0.2">
      <c r="A487" s="17" t="s">
        <v>33</v>
      </c>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c r="DE487" s="17"/>
      <c r="DF487" s="17"/>
      <c r="DG487" s="17"/>
      <c r="DH487" s="17"/>
      <c r="DI487" s="17"/>
      <c r="DJ487" s="17"/>
      <c r="DK487" s="17"/>
      <c r="DL487" s="17"/>
      <c r="DM487" s="17"/>
      <c r="DN487" s="17"/>
      <c r="DO487" s="17"/>
      <c r="DP487" s="17"/>
      <c r="DQ487" s="17"/>
      <c r="DR487" s="17"/>
      <c r="DS487" s="17"/>
      <c r="DT487" s="17"/>
      <c r="DU487" s="17"/>
      <c r="DV487" s="17"/>
      <c r="DW487" s="17"/>
      <c r="DX487" s="17"/>
      <c r="DY487" s="17"/>
      <c r="DZ487" s="17"/>
      <c r="EA487" s="17"/>
      <c r="EB487" s="17"/>
      <c r="EC487" s="17"/>
      <c r="ED487" s="17"/>
      <c r="EE487" s="17"/>
      <c r="EF487" s="17"/>
      <c r="EG487" s="17"/>
      <c r="EH487" s="17"/>
      <c r="EI487" s="17"/>
      <c r="EJ487" s="17"/>
      <c r="EK487" s="17"/>
      <c r="EL487" s="17"/>
      <c r="EM487" s="17"/>
      <c r="EN487" s="17"/>
      <c r="EO487" s="17"/>
      <c r="EP487" s="17"/>
      <c r="EQ487" s="17"/>
      <c r="ER487" s="17"/>
      <c r="ES487" s="17"/>
      <c r="ET487" s="17"/>
      <c r="EU487" s="17"/>
      <c r="EV487" s="17"/>
      <c r="EW487" s="17"/>
      <c r="EX487" s="17"/>
      <c r="EY487" s="17"/>
      <c r="EZ487" s="17"/>
      <c r="FA487" s="17"/>
      <c r="FB487" s="17"/>
      <c r="FC487" s="17"/>
      <c r="FD487" s="17"/>
      <c r="FE487" s="17"/>
      <c r="FF487" s="17"/>
      <c r="FG487" s="17"/>
      <c r="FH487" s="17"/>
      <c r="FI487" s="17"/>
      <c r="FJ487" s="17"/>
      <c r="FK487" s="17"/>
      <c r="FL487" s="17"/>
      <c r="FM487" s="17"/>
      <c r="FN487" s="17"/>
      <c r="FO487" s="17"/>
      <c r="FP487" s="17"/>
      <c r="FQ487" s="17"/>
      <c r="FR487" s="17"/>
      <c r="FS487" s="17"/>
      <c r="FT487" s="17"/>
      <c r="FU487" s="17"/>
      <c r="FV487" s="17"/>
      <c r="FW487" s="17"/>
      <c r="FX487" s="17"/>
      <c r="FY487" s="17"/>
      <c r="FZ487" s="17"/>
      <c r="GA487" s="17"/>
      <c r="GB487" s="17"/>
      <c r="GC487" s="17"/>
      <c r="GD487" s="17"/>
      <c r="GE487" s="17"/>
      <c r="GF487" s="17"/>
      <c r="GG487" s="17"/>
      <c r="GH487" s="17"/>
      <c r="GI487" s="17"/>
      <c r="GJ487" s="17"/>
      <c r="GK487" s="17"/>
      <c r="GL487" s="17"/>
      <c r="GM487" s="17"/>
      <c r="GN487" s="17"/>
      <c r="GO487" s="17"/>
      <c r="GP487" s="17"/>
      <c r="GQ487" s="17"/>
      <c r="GR487" s="17"/>
      <c r="GS487" s="17"/>
      <c r="GT487" s="17"/>
      <c r="GU487" s="17"/>
      <c r="GV487" s="17"/>
      <c r="GW487" s="17"/>
      <c r="GX487" s="17"/>
      <c r="GY487" s="17"/>
      <c r="GZ487" s="17"/>
      <c r="HA487" s="17"/>
      <c r="HB487" s="17"/>
      <c r="HC487" s="17"/>
      <c r="HD487" s="17"/>
      <c r="HE487" s="17"/>
      <c r="HF487" s="17"/>
      <c r="HG487" s="17"/>
      <c r="HH487" s="17"/>
      <c r="HI487" s="17"/>
      <c r="HJ487" s="17"/>
      <c r="HK487" s="17"/>
      <c r="HL487" s="17"/>
      <c r="HM487" s="17"/>
      <c r="HN487" s="17"/>
      <c r="HO487" s="17"/>
      <c r="HP487" s="17"/>
      <c r="HQ487" s="17"/>
      <c r="HR487" s="17"/>
      <c r="HS487" s="17"/>
      <c r="HT487" s="17"/>
      <c r="HU487" s="17"/>
      <c r="HV487" s="17"/>
      <c r="HW487" s="17"/>
      <c r="HX487" s="17"/>
      <c r="HY487" s="17"/>
      <c r="HZ487" s="17"/>
      <c r="IA487" s="17"/>
      <c r="IB487" s="17"/>
      <c r="IC487" s="17"/>
      <c r="ID487" s="17"/>
      <c r="IE487" s="17"/>
      <c r="IF487" s="17"/>
      <c r="IG487" s="17"/>
      <c r="IH487" s="17"/>
      <c r="II487" s="17"/>
      <c r="IJ487" s="17"/>
      <c r="IK487" s="17"/>
      <c r="IL487" s="17"/>
      <c r="IM487" s="17"/>
      <c r="IN487" s="17"/>
      <c r="IO487" s="17"/>
      <c r="IP487" s="17"/>
      <c r="IQ487" s="17"/>
      <c r="IR487" s="17"/>
      <c r="IS487" s="17"/>
      <c r="IT487" s="17"/>
      <c r="IU487" s="17"/>
      <c r="IV487" s="17"/>
      <c r="IW487" s="17"/>
      <c r="IX487" s="17"/>
      <c r="IY487" s="17"/>
      <c r="IZ487" s="17"/>
      <c r="JA487" s="17"/>
      <c r="JB487" s="17"/>
      <c r="JC487" s="17"/>
      <c r="JD487" s="17"/>
      <c r="JE487" s="17"/>
      <c r="JF487" s="17"/>
      <c r="JG487" s="17"/>
      <c r="JH487" s="17"/>
      <c r="JI487" s="17"/>
      <c r="JJ487" s="17"/>
      <c r="JK487" s="17"/>
      <c r="JL487" s="17"/>
      <c r="JM487" s="17"/>
      <c r="JN487" s="17"/>
      <c r="JO487" s="17"/>
      <c r="JP487" s="17"/>
      <c r="JQ487" s="17"/>
      <c r="JR487" s="17"/>
      <c r="JS487" s="17"/>
      <c r="JT487" s="17"/>
      <c r="JU487" s="17"/>
      <c r="JV487" s="17"/>
      <c r="JW487" s="17"/>
      <c r="JX487" s="17"/>
      <c r="JY487" s="17"/>
      <c r="JZ487" s="17"/>
      <c r="KA487" s="17"/>
      <c r="KB487" s="17"/>
      <c r="KC487" s="17"/>
      <c r="KD487" s="17"/>
      <c r="KE487" s="17"/>
      <c r="KF487" s="17"/>
      <c r="KG487" s="17"/>
      <c r="KH487" s="17"/>
      <c r="KI487" s="17"/>
      <c r="KJ487" s="17"/>
      <c r="KK487" s="17"/>
      <c r="KL487" s="17"/>
      <c r="KM487" s="17"/>
      <c r="KN487" s="17"/>
      <c r="KO487" s="17"/>
      <c r="KP487" s="17"/>
      <c r="KQ487" s="17"/>
      <c r="KR487" s="17"/>
      <c r="KS487" s="17"/>
      <c r="KT487" s="17"/>
      <c r="KU487" s="17"/>
      <c r="KV487" s="17"/>
      <c r="KW487" s="17"/>
      <c r="KX487" s="17"/>
      <c r="KY487" s="17"/>
      <c r="KZ487" s="17"/>
      <c r="LA487" s="17"/>
      <c r="LB487" s="17"/>
      <c r="LC487" s="17"/>
      <c r="LD487" s="17"/>
      <c r="LE487" s="17"/>
      <c r="LF487" s="17"/>
      <c r="LG487" s="17"/>
      <c r="LH487" s="17"/>
      <c r="LI487" s="17"/>
      <c r="LJ487" s="17"/>
      <c r="LK487" s="17"/>
      <c r="LL487" s="17"/>
      <c r="LM487" s="17"/>
      <c r="LN487" s="17"/>
      <c r="LO487" s="17"/>
      <c r="LP487" s="17"/>
      <c r="LQ487" s="17"/>
      <c r="LR487" s="17"/>
      <c r="LS487" s="17"/>
      <c r="LT487" s="17"/>
      <c r="LU487" s="17"/>
      <c r="LV487" s="17"/>
      <c r="LW487" s="17"/>
      <c r="LX487" s="17"/>
      <c r="LY487" s="17"/>
      <c r="LZ487" s="17"/>
      <c r="MA487" s="17"/>
      <c r="MB487" s="17"/>
      <c r="MC487" s="17"/>
      <c r="MD487" s="17"/>
      <c r="ME487" s="17"/>
      <c r="MF487" s="17"/>
      <c r="MG487" s="17"/>
      <c r="MH487" s="17"/>
      <c r="MI487" s="17"/>
      <c r="MJ487" s="17"/>
      <c r="MK487" s="17"/>
      <c r="ML487" s="17"/>
      <c r="MM487" s="17"/>
      <c r="MN487" s="17"/>
      <c r="MO487" s="17"/>
      <c r="MP487" s="17"/>
      <c r="MQ487" s="17"/>
      <c r="MR487" s="17"/>
      <c r="MS487" s="17"/>
      <c r="MT487" s="17"/>
      <c r="MU487" s="17"/>
      <c r="MV487" s="17"/>
      <c r="MW487" s="17"/>
      <c r="MX487" s="17"/>
      <c r="MY487" s="17"/>
      <c r="MZ487" s="17"/>
      <c r="NA487" s="17"/>
      <c r="NB487" s="17"/>
      <c r="NC487" s="17"/>
      <c r="ND487" s="17"/>
      <c r="NE487" s="17"/>
      <c r="NF487" s="17"/>
      <c r="NG487" s="17"/>
      <c r="NH487" s="17"/>
      <c r="NI487" s="17"/>
      <c r="NJ487" s="17"/>
      <c r="NK487" s="17"/>
      <c r="NL487" s="17"/>
      <c r="NM487" s="17"/>
      <c r="NN487" s="17"/>
      <c r="NO487" s="17"/>
      <c r="NP487" s="17"/>
      <c r="NQ487" s="17"/>
      <c r="NR487" s="17"/>
      <c r="NS487" s="17"/>
      <c r="NT487" s="17"/>
      <c r="NU487" s="17"/>
      <c r="NV487" s="17"/>
      <c r="NW487" s="17"/>
      <c r="NX487" s="17"/>
      <c r="NY487" s="17"/>
      <c r="NZ487" s="17"/>
      <c r="OA487" s="17"/>
      <c r="OB487" s="17"/>
      <c r="OC487" s="17"/>
      <c r="OD487" s="17"/>
      <c r="OE487" s="17"/>
      <c r="OF487" s="17"/>
      <c r="OG487" s="17"/>
      <c r="OH487" s="17"/>
      <c r="OI487" s="17"/>
      <c r="OJ487" s="17"/>
      <c r="OK487" s="17"/>
      <c r="OL487" s="17"/>
      <c r="OM487" s="17"/>
      <c r="ON487" s="17"/>
      <c r="OO487" s="17"/>
      <c r="OP487" s="17"/>
      <c r="OQ487" s="17"/>
      <c r="OR487" s="17"/>
      <c r="OS487" s="17"/>
      <c r="OT487" s="17"/>
      <c r="OU487" s="17"/>
      <c r="OV487" s="17"/>
      <c r="OW487" s="17"/>
      <c r="OX487" s="17"/>
      <c r="OY487" s="17"/>
      <c r="OZ487" s="17"/>
      <c r="PA487" s="17"/>
      <c r="PB487" s="17"/>
      <c r="PC487" s="17"/>
      <c r="PD487" s="17"/>
      <c r="PE487" s="17"/>
      <c r="PF487" s="17"/>
      <c r="PG487" s="17"/>
      <c r="PH487" s="17"/>
      <c r="PI487" s="17"/>
      <c r="PJ487" s="17"/>
      <c r="PK487" s="17"/>
      <c r="PL487" s="17"/>
      <c r="PM487" s="17"/>
      <c r="PN487" s="17"/>
      <c r="PO487" s="17"/>
      <c r="PP487" s="17"/>
      <c r="PQ487" s="17"/>
      <c r="PR487" s="17"/>
      <c r="PS487" s="17"/>
      <c r="PT487" s="17"/>
      <c r="PU487" s="17"/>
      <c r="PV487" s="17"/>
      <c r="PW487" s="17"/>
      <c r="PX487" s="17"/>
      <c r="PY487" s="17"/>
      <c r="PZ487" s="17"/>
      <c r="QA487" s="17"/>
      <c r="QB487" s="17"/>
      <c r="QC487" s="17"/>
      <c r="QD487" s="17"/>
      <c r="QE487" s="17"/>
      <c r="QF487" s="17"/>
      <c r="QG487" s="17"/>
      <c r="QH487" s="17"/>
      <c r="QI487" s="17"/>
      <c r="QJ487" s="17"/>
      <c r="QK487" s="17"/>
      <c r="QL487" s="17"/>
      <c r="QM487" s="17"/>
      <c r="QN487" s="17"/>
      <c r="QO487" s="17"/>
      <c r="QP487" s="17"/>
      <c r="QQ487" s="17"/>
      <c r="QR487" s="17"/>
      <c r="QS487" s="17"/>
      <c r="QT487" s="17"/>
      <c r="QU487" s="17"/>
      <c r="QV487" s="17"/>
      <c r="QW487" s="17"/>
      <c r="QX487" s="17"/>
      <c r="QY487" s="17"/>
      <c r="QZ487" s="17"/>
      <c r="RA487" s="17"/>
      <c r="RB487" s="17"/>
      <c r="RC487" s="17"/>
      <c r="RD487" s="17"/>
      <c r="RE487" s="17"/>
      <c r="RF487" s="17"/>
      <c r="RG487" s="17"/>
      <c r="RH487" s="17"/>
      <c r="RI487" s="17"/>
      <c r="RJ487" s="17"/>
      <c r="RK487" s="17"/>
      <c r="RL487" s="17"/>
      <c r="RM487" s="17"/>
      <c r="RN487" s="17"/>
      <c r="RO487" s="17"/>
      <c r="RP487" s="17"/>
      <c r="RQ487" s="17"/>
      <c r="RR487" s="17"/>
      <c r="RS487" s="17"/>
      <c r="RT487" s="17"/>
      <c r="RU487" s="17"/>
      <c r="RV487" s="17"/>
      <c r="RW487" s="17"/>
      <c r="RX487" s="17"/>
      <c r="RY487" s="17"/>
      <c r="RZ487" s="17"/>
      <c r="SA487" s="17"/>
      <c r="SB487" s="17"/>
      <c r="SC487" s="17"/>
      <c r="SD487" s="17"/>
      <c r="SE487" s="17"/>
      <c r="SF487" s="17"/>
      <c r="SG487" s="17"/>
      <c r="SH487" s="17"/>
      <c r="SI487" s="17"/>
      <c r="SJ487" s="17"/>
      <c r="SK487" s="17"/>
      <c r="SL487" s="17"/>
      <c r="SM487" s="17"/>
      <c r="SN487" s="17"/>
      <c r="SO487" s="17"/>
      <c r="SP487" s="17"/>
      <c r="SQ487" s="17"/>
      <c r="SR487" s="17"/>
      <c r="SS487" s="17"/>
      <c r="ST487" s="17"/>
      <c r="SU487" s="17"/>
      <c r="SV487" s="17"/>
      <c r="SW487" s="17"/>
      <c r="SX487" s="17"/>
      <c r="SY487" s="17"/>
      <c r="SZ487" s="17"/>
      <c r="TA487" s="17"/>
      <c r="TB487" s="17"/>
      <c r="TC487" s="17"/>
      <c r="TD487" s="17"/>
      <c r="TE487" s="17"/>
      <c r="TF487" s="17"/>
      <c r="TG487" s="17"/>
      <c r="TH487" s="17"/>
      <c r="TI487" s="17"/>
      <c r="TJ487" s="17"/>
      <c r="TK487" s="17"/>
      <c r="TL487" s="17"/>
      <c r="TM487" s="17"/>
      <c r="TN487" s="17"/>
      <c r="TO487" s="17"/>
      <c r="TP487" s="17"/>
      <c r="TQ487" s="17"/>
      <c r="TR487" s="17"/>
      <c r="TS487" s="17"/>
      <c r="TT487" s="17"/>
      <c r="TU487" s="17"/>
      <c r="TV487" s="17"/>
      <c r="TW487" s="17"/>
      <c r="TX487" s="17"/>
      <c r="TY487" s="17"/>
      <c r="TZ487" s="17"/>
      <c r="UA487" s="17"/>
      <c r="UB487" s="17"/>
      <c r="UC487" s="17"/>
      <c r="UD487" s="17"/>
      <c r="UE487" s="17"/>
      <c r="UF487" s="17"/>
      <c r="UG487" s="17"/>
      <c r="UH487" s="17"/>
      <c r="UI487" s="17"/>
      <c r="UJ487" s="17"/>
      <c r="UK487" s="17"/>
      <c r="UL487" s="17"/>
      <c r="UM487" s="17"/>
      <c r="UN487" s="17"/>
      <c r="UO487" s="17"/>
      <c r="UP487" s="17"/>
      <c r="UQ487" s="17"/>
      <c r="UR487" s="17"/>
      <c r="US487" s="17"/>
      <c r="UT487" s="17"/>
      <c r="UU487" s="17"/>
      <c r="UV487" s="17"/>
      <c r="UW487" s="17"/>
      <c r="UX487" s="17"/>
      <c r="UY487" s="17"/>
      <c r="UZ487" s="17"/>
      <c r="VA487" s="17"/>
      <c r="VB487" s="17"/>
      <c r="VC487" s="17"/>
      <c r="VD487" s="17"/>
      <c r="VE487" s="17"/>
      <c r="VF487" s="17"/>
      <c r="VG487" s="17"/>
      <c r="VH487" s="17"/>
      <c r="VI487" s="17"/>
      <c r="VJ487" s="17"/>
      <c r="VK487" s="17"/>
      <c r="VL487" s="17"/>
      <c r="VM487" s="17"/>
      <c r="VN487" s="17"/>
      <c r="VO487" s="17"/>
      <c r="VP487" s="17"/>
      <c r="VQ487" s="17"/>
      <c r="VR487" s="17"/>
      <c r="VS487" s="17"/>
      <c r="VT487" s="17"/>
      <c r="VU487" s="17"/>
      <c r="VV487" s="17"/>
      <c r="VW487" s="17"/>
      <c r="VX487" s="17"/>
      <c r="VY487" s="17"/>
      <c r="VZ487" s="17"/>
      <c r="WA487" s="17"/>
      <c r="WB487" s="17"/>
      <c r="WC487" s="17"/>
      <c r="WD487" s="17"/>
      <c r="WE487" s="17"/>
      <c r="WF487" s="17"/>
      <c r="WG487" s="17"/>
      <c r="WH487" s="17"/>
      <c r="WI487" s="17"/>
      <c r="WJ487" s="17"/>
      <c r="WK487" s="17"/>
      <c r="WL487" s="17"/>
      <c r="WM487" s="17"/>
      <c r="WN487" s="17"/>
      <c r="WO487" s="17"/>
      <c r="WP487" s="17"/>
      <c r="WQ487" s="17"/>
      <c r="WR487" s="17"/>
      <c r="WS487" s="17"/>
      <c r="WT487" s="17"/>
      <c r="WU487" s="17"/>
      <c r="WV487" s="17"/>
      <c r="WW487" s="17"/>
      <c r="WX487" s="17"/>
      <c r="WY487" s="17"/>
      <c r="WZ487" s="17"/>
      <c r="XA487" s="17"/>
      <c r="XB487" s="17"/>
      <c r="XC487" s="17"/>
      <c r="XD487" s="17"/>
      <c r="XE487" s="17"/>
      <c r="XF487" s="17"/>
      <c r="XG487" s="17"/>
      <c r="XH487" s="17"/>
      <c r="XI487" s="17"/>
      <c r="XJ487" s="17"/>
      <c r="XK487" s="17"/>
      <c r="XL487" s="17"/>
      <c r="XM487" s="17"/>
      <c r="XN487" s="17"/>
      <c r="XO487" s="17"/>
      <c r="XP487" s="17"/>
      <c r="XQ487" s="17"/>
      <c r="XR487" s="17"/>
      <c r="XS487" s="17"/>
      <c r="XT487" s="17"/>
      <c r="XU487" s="17"/>
      <c r="XV487" s="17"/>
      <c r="XW487" s="17"/>
      <c r="XX487" s="17"/>
      <c r="XY487" s="17"/>
      <c r="XZ487" s="17"/>
      <c r="YA487" s="17"/>
      <c r="YB487" s="17"/>
      <c r="YC487" s="17"/>
      <c r="YD487" s="17"/>
      <c r="YE487" s="17"/>
      <c r="YF487" s="17"/>
      <c r="YG487" s="17"/>
      <c r="YH487" s="17"/>
      <c r="YI487" s="17"/>
      <c r="YJ487" s="17"/>
      <c r="YK487" s="17"/>
      <c r="YL487" s="17"/>
      <c r="YM487" s="17"/>
      <c r="YN487" s="17"/>
      <c r="YO487" s="17"/>
      <c r="YP487" s="17"/>
      <c r="YQ487" s="17"/>
      <c r="YR487" s="17"/>
      <c r="YS487" s="17"/>
      <c r="YT487" s="17"/>
      <c r="YU487" s="17"/>
      <c r="YV487" s="17"/>
      <c r="YW487" s="17"/>
      <c r="YX487" s="17"/>
      <c r="YY487" s="17"/>
      <c r="YZ487" s="17"/>
      <c r="ZA487" s="17"/>
      <c r="ZB487" s="17"/>
      <c r="ZC487" s="17"/>
      <c r="ZD487" s="17"/>
      <c r="ZE487" s="17"/>
      <c r="ZF487" s="17"/>
      <c r="ZG487" s="17"/>
      <c r="ZH487" s="17"/>
      <c r="ZI487" s="17"/>
      <c r="ZJ487" s="17"/>
      <c r="ZK487" s="17"/>
      <c r="ZL487" s="17"/>
      <c r="ZM487" s="17"/>
      <c r="ZN487" s="17"/>
      <c r="ZO487" s="17"/>
      <c r="ZP487" s="17"/>
      <c r="ZQ487" s="17"/>
      <c r="ZR487" s="17"/>
      <c r="ZS487" s="17"/>
      <c r="ZT487" s="17"/>
      <c r="ZU487" s="17"/>
      <c r="ZV487" s="17"/>
      <c r="ZW487" s="17"/>
      <c r="ZX487" s="17"/>
      <c r="ZY487" s="17"/>
      <c r="ZZ487" s="17"/>
      <c r="AAA487" s="17"/>
      <c r="AAB487" s="17"/>
      <c r="AAC487" s="17"/>
      <c r="AAD487" s="17"/>
      <c r="AAE487" s="17"/>
      <c r="AAF487" s="17"/>
      <c r="AAG487" s="17"/>
      <c r="AAH487" s="17"/>
      <c r="AAI487" s="17"/>
      <c r="AAJ487" s="17"/>
      <c r="AAK487" s="17"/>
      <c r="AAL487" s="17"/>
      <c r="AAM487" s="17"/>
      <c r="AAN487" s="17"/>
      <c r="AAO487" s="17"/>
      <c r="AAP487" s="17"/>
      <c r="AAQ487" s="17"/>
      <c r="AAR487" s="17"/>
      <c r="AAS487" s="17"/>
      <c r="AAT487" s="17"/>
      <c r="AAU487" s="17"/>
      <c r="AAV487" s="17"/>
      <c r="AAW487" s="17"/>
      <c r="AAX487" s="17"/>
      <c r="AAY487" s="17"/>
      <c r="AAZ487" s="17"/>
      <c r="ABA487" s="17"/>
      <c r="ABB487" s="17"/>
      <c r="ABC487" s="17"/>
      <c r="ABD487" s="17"/>
      <c r="ABE487" s="17"/>
      <c r="ABF487" s="17"/>
      <c r="ABG487" s="17"/>
      <c r="ABH487" s="17"/>
      <c r="ABI487" s="17"/>
      <c r="ABJ487" s="17"/>
      <c r="ABK487" s="17"/>
      <c r="ABL487" s="17"/>
      <c r="ABM487" s="17"/>
      <c r="ABN487" s="17"/>
      <c r="ABO487" s="17"/>
      <c r="ABP487" s="17"/>
      <c r="ABQ487" s="17"/>
      <c r="ABR487" s="17"/>
      <c r="ABS487" s="17"/>
      <c r="ABT487" s="17"/>
      <c r="ABU487" s="17"/>
      <c r="ABV487" s="17"/>
      <c r="ABW487" s="17"/>
      <c r="ABX487" s="17"/>
      <c r="ABY487" s="17"/>
      <c r="ABZ487" s="17"/>
      <c r="ACA487" s="17"/>
      <c r="ACB487" s="17"/>
      <c r="ACC487" s="17"/>
      <c r="ACD487" s="17"/>
      <c r="ACE487" s="17"/>
      <c r="ACF487" s="17"/>
      <c r="ACG487" s="17"/>
      <c r="ACH487" s="17"/>
      <c r="ACI487" s="17"/>
      <c r="ACJ487" s="17"/>
      <c r="ACK487" s="17"/>
      <c r="ACL487" s="17"/>
      <c r="ACM487" s="17"/>
      <c r="ACN487" s="17"/>
      <c r="ACO487" s="17"/>
      <c r="ACP487" s="17"/>
      <c r="ACQ487" s="17"/>
      <c r="ACR487" s="17"/>
      <c r="ACS487" s="17"/>
      <c r="ACT487" s="17"/>
      <c r="ACU487" s="17"/>
      <c r="ACV487" s="17"/>
      <c r="ACW487" s="17"/>
      <c r="ACX487" s="17"/>
      <c r="ACY487" s="17"/>
      <c r="ACZ487" s="17"/>
      <c r="ADA487" s="17"/>
      <c r="ADB487" s="17"/>
      <c r="ADC487" s="17"/>
      <c r="ADD487" s="17"/>
      <c r="ADE487" s="17"/>
      <c r="ADF487" s="17"/>
      <c r="ADG487" s="17"/>
      <c r="ADH487" s="17"/>
      <c r="ADI487" s="17"/>
      <c r="ADJ487" s="17"/>
      <c r="ADK487" s="17"/>
      <c r="ADL487" s="17"/>
      <c r="ADM487" s="17"/>
      <c r="ADN487" s="17"/>
      <c r="ADO487" s="17"/>
      <c r="ADP487" s="17"/>
      <c r="ADQ487" s="17"/>
      <c r="ADR487" s="17"/>
      <c r="ADS487" s="17"/>
      <c r="ADT487" s="17"/>
      <c r="ADU487" s="17"/>
      <c r="ADV487" s="17"/>
      <c r="ADW487" s="17"/>
      <c r="ADX487" s="17"/>
      <c r="ADY487" s="17"/>
      <c r="ADZ487" s="17"/>
      <c r="AEA487" s="17"/>
      <c r="AEB487" s="17"/>
      <c r="AEC487" s="17"/>
      <c r="AED487" s="17"/>
      <c r="AEE487" s="17"/>
      <c r="AEF487" s="17"/>
      <c r="AEG487" s="17"/>
      <c r="AEH487" s="17"/>
      <c r="AEI487" s="17"/>
      <c r="AEJ487" s="17"/>
      <c r="AEK487" s="17"/>
      <c r="AEL487" s="17"/>
      <c r="AEM487" s="17"/>
      <c r="AEN487" s="17"/>
      <c r="AEO487" s="17"/>
      <c r="AEP487" s="17"/>
      <c r="AEQ487" s="17"/>
      <c r="AER487" s="17"/>
      <c r="AES487" s="17"/>
      <c r="AET487" s="17"/>
      <c r="AEU487" s="17"/>
      <c r="AEV487" s="17"/>
      <c r="AEW487" s="17"/>
      <c r="AEX487" s="17"/>
      <c r="AEY487" s="17"/>
      <c r="AEZ487" s="17"/>
      <c r="AFA487" s="17"/>
      <c r="AFB487" s="17"/>
      <c r="AFC487" s="17"/>
      <c r="AFD487" s="17"/>
      <c r="AFE487" s="17"/>
      <c r="AFF487" s="17"/>
      <c r="AFG487" s="17"/>
      <c r="AFH487" s="17"/>
      <c r="AFI487" s="17"/>
      <c r="AFJ487" s="17"/>
      <c r="AFK487" s="17"/>
      <c r="AFL487" s="17"/>
      <c r="AFM487" s="17"/>
      <c r="AFN487" s="17"/>
      <c r="AFO487" s="17"/>
      <c r="AFP487" s="17"/>
      <c r="AFQ487" s="17"/>
      <c r="AFR487" s="17"/>
      <c r="AFS487" s="17"/>
      <c r="AFT487" s="17"/>
      <c r="AFU487" s="17"/>
      <c r="AFV487" s="17"/>
      <c r="AFW487" s="17"/>
      <c r="AFX487" s="17"/>
      <c r="AFY487" s="17"/>
      <c r="AFZ487" s="17"/>
      <c r="AGA487" s="17"/>
      <c r="AGB487" s="17"/>
      <c r="AGC487" s="17"/>
      <c r="AGD487" s="17"/>
      <c r="AGE487" s="17"/>
      <c r="AGF487" s="17"/>
      <c r="AGG487" s="17"/>
      <c r="AGH487" s="17"/>
      <c r="AGI487" s="17"/>
      <c r="AGJ487" s="17"/>
      <c r="AGK487" s="17"/>
      <c r="AGL487" s="17"/>
      <c r="AGM487" s="17"/>
      <c r="AGN487" s="17"/>
      <c r="AGO487" s="17"/>
      <c r="AGP487" s="17"/>
      <c r="AGQ487" s="17"/>
      <c r="AGR487" s="17"/>
      <c r="AGS487" s="17"/>
      <c r="AGT487" s="17"/>
      <c r="AGU487" s="17"/>
      <c r="AGV487" s="17"/>
      <c r="AGW487" s="17"/>
      <c r="AGX487" s="17"/>
      <c r="AGY487" s="17"/>
      <c r="AGZ487" s="17"/>
      <c r="AHA487" s="17"/>
      <c r="AHB487" s="17"/>
      <c r="AHC487" s="17"/>
      <c r="AHD487" s="17"/>
      <c r="AHE487" s="17"/>
      <c r="AHF487" s="17"/>
      <c r="AHG487" s="17"/>
      <c r="AHH487" s="17"/>
      <c r="AHI487" s="17"/>
      <c r="AHJ487" s="17"/>
      <c r="AHK487" s="17"/>
      <c r="AHL487" s="17"/>
      <c r="AHM487" s="17"/>
      <c r="AHN487" s="17"/>
      <c r="AHO487" s="17"/>
      <c r="AHP487" s="17"/>
      <c r="AHQ487" s="17"/>
      <c r="AHR487" s="17"/>
      <c r="AHS487" s="17"/>
      <c r="AHT487" s="17"/>
      <c r="AHU487" s="17"/>
      <c r="AHV487" s="17"/>
      <c r="AHW487" s="17"/>
      <c r="AHX487" s="17"/>
      <c r="AHY487" s="17"/>
      <c r="AHZ487" s="17"/>
      <c r="AIA487" s="17"/>
      <c r="AIB487" s="17"/>
      <c r="AIC487" s="17"/>
      <c r="AID487" s="17"/>
      <c r="AIE487" s="17"/>
      <c r="AIF487" s="17"/>
      <c r="AIG487" s="17"/>
      <c r="AIH487" s="17"/>
      <c r="AII487" s="17"/>
      <c r="AIJ487" s="17"/>
      <c r="AIK487" s="17"/>
      <c r="AIL487" s="17"/>
      <c r="AIM487" s="17"/>
      <c r="AIN487" s="17"/>
      <c r="AIO487" s="17"/>
      <c r="AIP487" s="17"/>
      <c r="AIQ487" s="17"/>
      <c r="AIR487" s="17"/>
      <c r="AIS487" s="17"/>
      <c r="AIT487" s="17"/>
      <c r="AIU487" s="17"/>
      <c r="AIV487" s="17"/>
      <c r="AIW487" s="17"/>
      <c r="AIX487" s="17"/>
      <c r="AIY487" s="17"/>
      <c r="AIZ487" s="17"/>
      <c r="AJA487" s="17"/>
      <c r="AJB487" s="17"/>
      <c r="AJC487" s="17"/>
      <c r="AJD487" s="17"/>
      <c r="AJE487" s="17"/>
      <c r="AJF487" s="17"/>
      <c r="AJG487" s="17"/>
      <c r="AJH487" s="17"/>
      <c r="AJI487" s="17"/>
      <c r="AJJ487" s="17"/>
      <c r="AJK487" s="17"/>
      <c r="AJL487" s="17"/>
      <c r="AJM487" s="17"/>
      <c r="AJN487" s="17"/>
      <c r="AJO487" s="17"/>
      <c r="AJP487" s="17"/>
      <c r="AJQ487" s="17"/>
      <c r="AJR487" s="17"/>
      <c r="AJS487" s="17"/>
      <c r="AJT487" s="17"/>
      <c r="AJU487" s="17"/>
      <c r="AJV487" s="17"/>
      <c r="AJW487" s="17"/>
      <c r="AJX487" s="17"/>
      <c r="AJY487" s="17"/>
      <c r="AJZ487" s="17"/>
      <c r="AKA487" s="17"/>
      <c r="AKB487" s="17"/>
      <c r="AKC487" s="17"/>
      <c r="AKD487" s="17"/>
      <c r="AKE487" s="17"/>
      <c r="AKF487" s="17"/>
      <c r="AKG487" s="17"/>
      <c r="AKH487" s="17"/>
      <c r="AKI487" s="17"/>
      <c r="AKJ487" s="17"/>
      <c r="AKK487" s="17"/>
      <c r="AKL487" s="17"/>
      <c r="AKM487" s="17"/>
      <c r="AKN487" s="17"/>
      <c r="AKO487" s="17"/>
      <c r="AKP487" s="17"/>
      <c r="AKQ487" s="17"/>
      <c r="AKR487" s="17"/>
      <c r="AKS487" s="17"/>
      <c r="AKT487" s="17"/>
      <c r="AKU487" s="17"/>
      <c r="AKV487" s="17"/>
      <c r="AKW487" s="17"/>
      <c r="AKX487" s="17"/>
      <c r="AKY487" s="17"/>
      <c r="AKZ487" s="17"/>
      <c r="ALA487" s="17"/>
      <c r="ALB487" s="17"/>
      <c r="ALC487" s="17"/>
      <c r="ALD487" s="17"/>
      <c r="ALE487" s="17"/>
      <c r="ALF487" s="17"/>
      <c r="ALG487" s="17"/>
      <c r="ALH487" s="17"/>
      <c r="ALI487" s="17"/>
      <c r="ALJ487" s="17"/>
      <c r="ALK487" s="17"/>
      <c r="ALL487" s="17"/>
      <c r="ALM487" s="17"/>
      <c r="ALN487" s="17"/>
      <c r="ALO487" s="17"/>
      <c r="ALP487" s="17"/>
      <c r="ALQ487" s="17"/>
      <c r="ALR487" s="17"/>
      <c r="ALS487" s="17"/>
      <c r="ALT487" s="17"/>
      <c r="ALU487" s="17"/>
      <c r="ALV487" s="17"/>
      <c r="ALW487" s="17"/>
      <c r="ALX487" s="17"/>
      <c r="ALY487" s="17"/>
      <c r="ALZ487" s="17"/>
      <c r="AMA487" s="17"/>
      <c r="AMB487" s="17"/>
      <c r="AMC487" s="17"/>
      <c r="AMD487" s="17"/>
      <c r="AME487" s="17"/>
      <c r="AMF487" s="17"/>
      <c r="AMG487" s="17"/>
      <c r="AMH487" s="17"/>
      <c r="AMI487" s="17"/>
      <c r="AMJ487" s="17"/>
      <c r="AMK487" s="17"/>
      <c r="AML487" s="17"/>
      <c r="AMM487" s="17"/>
      <c r="AMN487" s="17"/>
      <c r="AMO487" s="17"/>
      <c r="AMP487" s="17"/>
      <c r="AMQ487" s="17"/>
      <c r="AMR487" s="17"/>
      <c r="AMS487" s="17"/>
      <c r="AMT487" s="17"/>
      <c r="AMU487" s="17"/>
      <c r="AMV487" s="17"/>
      <c r="AMW487" s="17"/>
      <c r="AMX487" s="17"/>
      <c r="AMY487" s="17"/>
      <c r="AMZ487" s="17"/>
      <c r="ANA487" s="17"/>
      <c r="ANB487" s="17"/>
      <c r="ANC487" s="17"/>
      <c r="AND487" s="17"/>
      <c r="ANE487" s="17"/>
      <c r="ANF487" s="17"/>
      <c r="ANG487" s="17"/>
      <c r="ANH487" s="17"/>
      <c r="ANI487" s="17"/>
      <c r="ANJ487" s="17"/>
      <c r="ANK487" s="17"/>
      <c r="ANL487" s="17"/>
      <c r="ANM487" s="17"/>
      <c r="ANN487" s="17"/>
      <c r="ANO487" s="17"/>
      <c r="ANP487" s="17"/>
      <c r="ANQ487" s="17"/>
      <c r="ANR487" s="17"/>
      <c r="ANS487" s="17"/>
      <c r="ANT487" s="17"/>
      <c r="ANU487" s="17"/>
      <c r="ANV487" s="17"/>
      <c r="ANW487" s="17"/>
      <c r="ANX487" s="17"/>
      <c r="ANY487" s="17"/>
      <c r="ANZ487" s="17"/>
      <c r="AOA487" s="17"/>
      <c r="AOB487" s="17"/>
      <c r="AOC487" s="17"/>
      <c r="AOD487" s="17"/>
      <c r="AOE487" s="17"/>
      <c r="AOF487" s="17"/>
      <c r="AOG487" s="17"/>
      <c r="AOH487" s="17"/>
      <c r="AOI487" s="17"/>
      <c r="AOJ487" s="17"/>
      <c r="AOK487" s="17"/>
      <c r="AOL487" s="17"/>
      <c r="AOM487" s="17"/>
      <c r="AON487" s="17"/>
      <c r="AOO487" s="17"/>
      <c r="AOP487" s="17"/>
      <c r="AOQ487" s="17"/>
      <c r="AOR487" s="17"/>
      <c r="AOS487" s="17"/>
      <c r="AOT487" s="17"/>
      <c r="AOU487" s="17"/>
      <c r="AOV487" s="17"/>
      <c r="AOW487" s="17"/>
      <c r="AOX487" s="17"/>
      <c r="AOY487" s="17"/>
      <c r="AOZ487" s="17"/>
      <c r="APA487" s="17"/>
      <c r="APB487" s="17"/>
      <c r="APC487" s="17"/>
      <c r="APD487" s="17"/>
      <c r="APE487" s="17"/>
      <c r="APF487" s="17"/>
      <c r="APG487" s="17"/>
      <c r="APH487" s="17"/>
      <c r="API487" s="17"/>
      <c r="APJ487" s="17"/>
      <c r="APK487" s="17"/>
      <c r="APL487" s="17"/>
      <c r="APM487" s="17"/>
      <c r="APN487" s="17"/>
      <c r="APO487" s="17"/>
      <c r="APP487" s="17"/>
      <c r="APQ487" s="17"/>
      <c r="APR487" s="17"/>
      <c r="APS487" s="17"/>
      <c r="APT487" s="17"/>
      <c r="APU487" s="17"/>
      <c r="APV487" s="17"/>
      <c r="APW487" s="17"/>
      <c r="APX487" s="17"/>
      <c r="APY487" s="17"/>
      <c r="APZ487" s="17"/>
      <c r="AQA487" s="17"/>
      <c r="AQB487" s="17"/>
      <c r="AQC487" s="17"/>
      <c r="AQD487" s="17"/>
      <c r="AQE487" s="17"/>
      <c r="AQF487" s="17"/>
      <c r="AQG487" s="17"/>
      <c r="AQH487" s="17"/>
      <c r="AQI487" s="17"/>
      <c r="AQJ487" s="17"/>
      <c r="AQK487" s="17"/>
      <c r="AQL487" s="17"/>
      <c r="AQM487" s="17"/>
      <c r="AQN487" s="17"/>
      <c r="AQO487" s="17"/>
      <c r="AQP487" s="17"/>
      <c r="AQQ487" s="17"/>
      <c r="AQR487" s="17"/>
      <c r="AQS487" s="17"/>
      <c r="AQT487" s="17"/>
      <c r="AQU487" s="17"/>
      <c r="AQV487" s="17"/>
      <c r="AQW487" s="17"/>
      <c r="AQX487" s="17"/>
      <c r="AQY487" s="17"/>
      <c r="AQZ487" s="17"/>
      <c r="ARA487" s="17"/>
      <c r="ARB487" s="17"/>
      <c r="ARC487" s="17"/>
      <c r="ARD487" s="17"/>
      <c r="ARE487" s="17"/>
      <c r="ARF487" s="17"/>
      <c r="ARG487" s="17"/>
      <c r="ARH487" s="17"/>
      <c r="ARI487" s="17"/>
      <c r="ARJ487" s="17"/>
      <c r="ARK487" s="17"/>
      <c r="ARL487" s="17"/>
      <c r="ARM487" s="17"/>
      <c r="ARN487" s="17"/>
      <c r="ARO487" s="17"/>
      <c r="ARP487" s="17"/>
      <c r="ARQ487" s="17"/>
      <c r="ARR487" s="17"/>
      <c r="ARS487" s="17"/>
      <c r="ART487" s="17"/>
      <c r="ARU487" s="17"/>
      <c r="ARV487" s="17"/>
      <c r="ARW487" s="17"/>
      <c r="ARX487" s="17"/>
      <c r="ARY487" s="17"/>
      <c r="ARZ487" s="17"/>
      <c r="ASA487" s="17"/>
      <c r="ASB487" s="17"/>
      <c r="ASC487" s="17"/>
      <c r="ASD487" s="17"/>
      <c r="ASE487" s="17"/>
      <c r="ASF487" s="17"/>
      <c r="ASG487" s="17"/>
      <c r="ASH487" s="17"/>
      <c r="ASI487" s="17"/>
      <c r="ASJ487" s="17"/>
      <c r="ASK487" s="17"/>
      <c r="ASL487" s="17"/>
      <c r="ASM487" s="17"/>
      <c r="ASN487" s="17"/>
      <c r="ASO487" s="17"/>
      <c r="ASP487" s="17"/>
      <c r="ASQ487" s="17"/>
      <c r="ASR487" s="17"/>
      <c r="ASS487" s="17"/>
      <c r="AST487" s="17"/>
      <c r="ASU487" s="17"/>
      <c r="ASV487" s="17"/>
      <c r="ASW487" s="17"/>
      <c r="ASX487" s="17"/>
      <c r="ASY487" s="17"/>
      <c r="ASZ487" s="17"/>
      <c r="ATA487" s="17"/>
      <c r="ATB487" s="17"/>
      <c r="ATC487" s="17"/>
      <c r="ATD487" s="17"/>
      <c r="ATE487" s="17"/>
      <c r="ATF487" s="17"/>
      <c r="ATG487" s="17"/>
      <c r="ATH487" s="17"/>
      <c r="ATI487" s="17"/>
      <c r="ATJ487" s="17"/>
      <c r="ATK487" s="17"/>
      <c r="ATL487" s="17"/>
      <c r="ATM487" s="17"/>
      <c r="ATN487" s="17"/>
      <c r="ATO487" s="17"/>
      <c r="ATP487" s="17"/>
      <c r="ATQ487" s="17"/>
      <c r="ATR487" s="17"/>
      <c r="ATS487" s="17"/>
      <c r="ATT487" s="17"/>
      <c r="ATU487" s="17"/>
      <c r="ATV487" s="17"/>
      <c r="ATW487" s="17"/>
      <c r="ATX487" s="17"/>
      <c r="ATY487" s="17"/>
      <c r="ATZ487" s="17"/>
      <c r="AUA487" s="17"/>
      <c r="AUB487" s="17"/>
      <c r="AUC487" s="17"/>
      <c r="AUD487" s="17"/>
      <c r="AUE487" s="17"/>
      <c r="AUF487" s="17"/>
      <c r="AUG487" s="17"/>
      <c r="AUH487" s="17"/>
      <c r="AUI487" s="17"/>
      <c r="AUJ487" s="17"/>
      <c r="AUK487" s="17"/>
      <c r="AUL487" s="17"/>
      <c r="AUM487" s="17"/>
      <c r="AUN487" s="17"/>
      <c r="AUO487" s="17"/>
      <c r="AUP487" s="17"/>
      <c r="AUQ487" s="17"/>
      <c r="AUR487" s="17"/>
      <c r="AUS487" s="17"/>
      <c r="AUT487" s="17"/>
      <c r="AUU487" s="17"/>
      <c r="AUV487" s="17"/>
      <c r="AUW487" s="17"/>
      <c r="AUX487" s="17"/>
      <c r="AUY487" s="17"/>
      <c r="AUZ487" s="17"/>
      <c r="AVA487" s="17"/>
      <c r="AVB487" s="17"/>
      <c r="AVC487" s="17"/>
      <c r="AVD487" s="17"/>
      <c r="AVE487" s="17"/>
      <c r="AVF487" s="17"/>
      <c r="AVG487" s="17"/>
      <c r="AVH487" s="17"/>
      <c r="AVI487" s="17"/>
      <c r="AVJ487" s="17"/>
      <c r="AVK487" s="17"/>
      <c r="AVL487" s="17"/>
      <c r="AVM487" s="17"/>
      <c r="AVN487" s="17"/>
      <c r="AVO487" s="17"/>
      <c r="AVP487" s="17"/>
      <c r="AVQ487" s="17"/>
      <c r="AVR487" s="17"/>
      <c r="AVS487" s="17"/>
      <c r="AVT487" s="17"/>
      <c r="AVU487" s="17"/>
      <c r="AVV487" s="17"/>
      <c r="AVW487" s="17"/>
      <c r="AVX487" s="17"/>
      <c r="AVY487" s="17"/>
      <c r="AVZ487" s="17"/>
      <c r="AWA487" s="17"/>
      <c r="AWB487" s="17"/>
      <c r="AWC487" s="17"/>
      <c r="AWD487" s="17"/>
      <c r="AWE487" s="17"/>
      <c r="AWF487" s="17"/>
      <c r="AWG487" s="17"/>
      <c r="AWH487" s="17"/>
      <c r="AWI487" s="17"/>
      <c r="AWJ487" s="17"/>
      <c r="AWK487" s="17"/>
      <c r="AWL487" s="17"/>
      <c r="AWM487" s="17"/>
      <c r="AWN487" s="17"/>
      <c r="AWO487" s="17"/>
      <c r="AWP487" s="17"/>
      <c r="AWQ487" s="17"/>
      <c r="AWR487" s="17"/>
      <c r="AWS487" s="17"/>
      <c r="AWT487" s="17"/>
      <c r="AWU487" s="17"/>
      <c r="AWV487" s="17"/>
      <c r="AWW487" s="17"/>
      <c r="AWX487" s="17"/>
      <c r="AWY487" s="17"/>
      <c r="AWZ487" s="17"/>
      <c r="AXA487" s="17"/>
      <c r="AXB487" s="17"/>
      <c r="AXC487" s="17"/>
      <c r="AXD487" s="17"/>
      <c r="AXE487" s="17"/>
      <c r="AXF487" s="17"/>
      <c r="AXG487" s="17"/>
      <c r="AXH487" s="17"/>
      <c r="AXI487" s="17"/>
      <c r="AXJ487" s="17"/>
      <c r="AXK487" s="17"/>
      <c r="AXL487" s="17"/>
      <c r="AXM487" s="17"/>
      <c r="AXN487" s="17"/>
      <c r="AXO487" s="17"/>
      <c r="AXP487" s="17"/>
      <c r="AXQ487" s="17"/>
      <c r="AXR487" s="17"/>
      <c r="AXS487" s="17"/>
      <c r="AXT487" s="17"/>
      <c r="AXU487" s="17"/>
      <c r="AXV487" s="17"/>
      <c r="AXW487" s="17"/>
      <c r="AXX487" s="17"/>
      <c r="AXY487" s="17"/>
      <c r="AXZ487" s="17"/>
      <c r="AYA487" s="17"/>
      <c r="AYB487" s="17"/>
      <c r="AYC487" s="17"/>
      <c r="AYD487" s="17"/>
      <c r="AYE487" s="17"/>
      <c r="AYF487" s="17"/>
      <c r="AYG487" s="17"/>
      <c r="AYH487" s="17"/>
      <c r="AYI487" s="17"/>
      <c r="AYJ487" s="17"/>
      <c r="AYK487" s="17"/>
      <c r="AYL487" s="17"/>
      <c r="AYM487" s="17"/>
      <c r="AYN487" s="17"/>
      <c r="AYO487" s="17"/>
      <c r="AYP487" s="17"/>
      <c r="AYQ487" s="17"/>
      <c r="AYR487" s="17"/>
      <c r="AYS487" s="17"/>
      <c r="AYT487" s="17"/>
      <c r="AYU487" s="17"/>
      <c r="AYV487" s="17"/>
      <c r="AYW487" s="17"/>
      <c r="AYX487" s="17"/>
      <c r="AYY487" s="17"/>
      <c r="AYZ487" s="17"/>
      <c r="AZA487" s="17"/>
      <c r="AZB487" s="17"/>
      <c r="AZC487" s="17"/>
      <c r="AZD487" s="17"/>
      <c r="AZE487" s="17"/>
      <c r="AZF487" s="17"/>
      <c r="AZG487" s="17"/>
      <c r="AZH487" s="17"/>
      <c r="AZI487" s="17"/>
      <c r="AZJ487" s="17"/>
      <c r="AZK487" s="17"/>
      <c r="AZL487" s="17"/>
      <c r="AZM487" s="17"/>
      <c r="AZN487" s="17"/>
      <c r="AZO487" s="17"/>
      <c r="AZP487" s="17"/>
      <c r="AZQ487" s="17"/>
      <c r="AZR487" s="17"/>
      <c r="AZS487" s="17"/>
      <c r="AZT487" s="17"/>
      <c r="AZU487" s="17"/>
      <c r="AZV487" s="17"/>
      <c r="AZW487" s="17"/>
      <c r="AZX487" s="17"/>
      <c r="AZY487" s="17"/>
      <c r="AZZ487" s="17"/>
      <c r="BAA487" s="17"/>
      <c r="BAB487" s="17"/>
      <c r="BAC487" s="17"/>
      <c r="BAD487" s="17"/>
      <c r="BAE487" s="17"/>
      <c r="BAF487" s="17"/>
      <c r="BAG487" s="17"/>
      <c r="BAH487" s="17"/>
      <c r="BAI487" s="17"/>
      <c r="BAJ487" s="17"/>
      <c r="BAK487" s="17"/>
      <c r="BAL487" s="17"/>
      <c r="BAM487" s="17"/>
      <c r="BAN487" s="17"/>
      <c r="BAO487" s="17"/>
      <c r="BAP487" s="17"/>
      <c r="BAQ487" s="17"/>
      <c r="BAR487" s="17"/>
      <c r="BAS487" s="17"/>
      <c r="BAT487" s="17"/>
      <c r="BAU487" s="17"/>
      <c r="BAV487" s="17"/>
      <c r="BAW487" s="17"/>
      <c r="BAX487" s="17"/>
      <c r="BAY487" s="17"/>
      <c r="BAZ487" s="17"/>
      <c r="BBA487" s="17"/>
      <c r="BBB487" s="17"/>
      <c r="BBC487" s="17"/>
      <c r="BBD487" s="17"/>
      <c r="BBE487" s="17"/>
      <c r="BBF487" s="17"/>
      <c r="BBG487" s="17"/>
      <c r="BBH487" s="17"/>
      <c r="BBI487" s="17"/>
      <c r="BBJ487" s="17"/>
      <c r="BBK487" s="17"/>
      <c r="BBL487" s="17"/>
      <c r="BBM487" s="17"/>
      <c r="BBN487" s="17"/>
      <c r="BBO487" s="17"/>
      <c r="BBP487" s="17"/>
      <c r="BBQ487" s="17"/>
      <c r="BBR487" s="17"/>
      <c r="BBS487" s="17"/>
      <c r="BBT487" s="17"/>
      <c r="BBU487" s="17"/>
      <c r="BBV487" s="17"/>
      <c r="BBW487" s="17"/>
      <c r="BBX487" s="17"/>
      <c r="BBY487" s="17"/>
      <c r="BBZ487" s="17"/>
      <c r="BCA487" s="17"/>
      <c r="BCB487" s="17"/>
      <c r="BCC487" s="17"/>
      <c r="BCD487" s="17"/>
      <c r="BCE487" s="17"/>
      <c r="BCF487" s="17"/>
      <c r="BCG487" s="17"/>
      <c r="BCH487" s="17"/>
      <c r="BCI487" s="17"/>
      <c r="BCJ487" s="17"/>
      <c r="BCK487" s="17"/>
      <c r="BCL487" s="17"/>
      <c r="BCM487" s="17"/>
      <c r="BCN487" s="17"/>
      <c r="BCO487" s="17"/>
      <c r="BCP487" s="17"/>
      <c r="BCQ487" s="17"/>
      <c r="BCR487" s="17"/>
      <c r="BCS487" s="17"/>
      <c r="BCT487" s="17"/>
      <c r="BCU487" s="17"/>
      <c r="BCV487" s="17"/>
      <c r="BCW487" s="17"/>
      <c r="BCX487" s="17"/>
      <c r="BCY487" s="17"/>
      <c r="BCZ487" s="17"/>
      <c r="BDA487" s="17"/>
      <c r="BDB487" s="17"/>
      <c r="BDC487" s="17"/>
      <c r="BDD487" s="17"/>
      <c r="BDE487" s="17"/>
      <c r="BDF487" s="17"/>
      <c r="BDG487" s="17"/>
      <c r="BDH487" s="17"/>
      <c r="BDI487" s="17"/>
      <c r="BDJ487" s="17"/>
      <c r="BDK487" s="17"/>
      <c r="BDL487" s="17"/>
      <c r="BDM487" s="17"/>
      <c r="BDN487" s="17"/>
      <c r="BDO487" s="17"/>
      <c r="BDP487" s="17"/>
      <c r="BDQ487" s="17"/>
      <c r="BDR487" s="17"/>
      <c r="BDS487" s="17"/>
      <c r="BDT487" s="17"/>
      <c r="BDU487" s="17"/>
      <c r="BDV487" s="17"/>
      <c r="BDW487" s="17"/>
      <c r="BDX487" s="17"/>
      <c r="BDY487" s="17"/>
      <c r="BDZ487" s="17"/>
      <c r="BEA487" s="17"/>
      <c r="BEB487" s="17"/>
      <c r="BEC487" s="17"/>
      <c r="BED487" s="17"/>
      <c r="BEE487" s="17"/>
      <c r="BEF487" s="17"/>
      <c r="BEG487" s="17"/>
      <c r="BEH487" s="17"/>
      <c r="BEI487" s="17"/>
      <c r="BEJ487" s="17"/>
      <c r="BEK487" s="17"/>
      <c r="BEL487" s="17"/>
      <c r="BEM487" s="17"/>
      <c r="BEN487" s="17"/>
      <c r="BEO487" s="17"/>
      <c r="BEP487" s="17"/>
      <c r="BEQ487" s="17"/>
      <c r="BER487" s="17"/>
      <c r="BES487" s="17"/>
      <c r="BET487" s="17"/>
      <c r="BEU487" s="17"/>
      <c r="BEV487" s="17"/>
      <c r="BEW487" s="17"/>
      <c r="BEX487" s="17"/>
      <c r="BEY487" s="17"/>
      <c r="BEZ487" s="17"/>
      <c r="BFA487" s="17"/>
      <c r="BFB487" s="17"/>
      <c r="BFC487" s="17"/>
      <c r="BFD487" s="17"/>
      <c r="BFE487" s="17"/>
      <c r="BFF487" s="17"/>
      <c r="BFG487" s="17"/>
      <c r="BFH487" s="17"/>
      <c r="BFI487" s="17"/>
      <c r="BFJ487" s="17"/>
      <c r="BFK487" s="17"/>
      <c r="BFL487" s="17"/>
      <c r="BFM487" s="17"/>
      <c r="BFN487" s="17"/>
      <c r="BFO487" s="17"/>
      <c r="BFP487" s="17"/>
      <c r="BFQ487" s="17"/>
      <c r="BFR487" s="17"/>
      <c r="BFS487" s="17"/>
      <c r="BFT487" s="17"/>
      <c r="BFU487" s="17"/>
      <c r="BFV487" s="17"/>
      <c r="BFW487" s="17"/>
      <c r="BFX487" s="17"/>
      <c r="BFY487" s="17"/>
      <c r="BFZ487" s="17"/>
      <c r="BGA487" s="17"/>
      <c r="BGB487" s="17"/>
      <c r="BGC487" s="17"/>
      <c r="BGD487" s="17"/>
      <c r="BGE487" s="17"/>
      <c r="BGF487" s="17"/>
      <c r="BGG487" s="17"/>
      <c r="BGH487" s="17"/>
      <c r="BGI487" s="17"/>
      <c r="BGJ487" s="17"/>
      <c r="BGK487" s="17"/>
      <c r="BGL487" s="17"/>
      <c r="BGM487" s="17"/>
      <c r="BGN487" s="17"/>
      <c r="BGO487" s="17"/>
      <c r="BGP487" s="17"/>
      <c r="BGQ487" s="17"/>
      <c r="BGR487" s="17"/>
      <c r="BGS487" s="17"/>
      <c r="BGT487" s="17"/>
      <c r="BGU487" s="17"/>
      <c r="BGV487" s="17"/>
      <c r="BGW487" s="17"/>
      <c r="BGX487" s="17"/>
      <c r="BGY487" s="17"/>
      <c r="BGZ487" s="17"/>
      <c r="BHA487" s="17"/>
      <c r="BHB487" s="17"/>
      <c r="BHC487" s="17"/>
      <c r="BHD487" s="17"/>
      <c r="BHE487" s="17"/>
      <c r="BHF487" s="17"/>
      <c r="BHG487" s="17"/>
      <c r="BHH487" s="17"/>
      <c r="BHI487" s="17"/>
      <c r="BHJ487" s="17"/>
      <c r="BHK487" s="17"/>
      <c r="BHL487" s="17"/>
      <c r="BHM487" s="17"/>
      <c r="BHN487" s="17"/>
      <c r="BHO487" s="17"/>
      <c r="BHP487" s="17"/>
      <c r="BHQ487" s="17"/>
      <c r="BHR487" s="17"/>
      <c r="BHS487" s="17"/>
      <c r="BHT487" s="17"/>
      <c r="BHU487" s="17"/>
      <c r="BHV487" s="17"/>
      <c r="BHW487" s="17"/>
      <c r="BHX487" s="17"/>
      <c r="BHY487" s="17"/>
      <c r="BHZ487" s="17"/>
      <c r="BIA487" s="17"/>
      <c r="BIB487" s="17"/>
      <c r="BIC487" s="17"/>
      <c r="BID487" s="17"/>
      <c r="BIE487" s="17"/>
      <c r="BIF487" s="17"/>
      <c r="BIG487" s="17"/>
      <c r="BIH487" s="17"/>
      <c r="BII487" s="17"/>
      <c r="BIJ487" s="17"/>
      <c r="BIK487" s="17"/>
      <c r="BIL487" s="17"/>
      <c r="BIM487" s="17"/>
      <c r="BIN487" s="17"/>
      <c r="BIO487" s="17"/>
      <c r="BIP487" s="17"/>
      <c r="BIQ487" s="17"/>
      <c r="BIR487" s="17"/>
      <c r="BIS487" s="17"/>
      <c r="BIT487" s="17"/>
      <c r="BIU487" s="17"/>
      <c r="BIV487" s="17"/>
      <c r="BIW487" s="17"/>
      <c r="BIX487" s="17"/>
      <c r="BIY487" s="17"/>
      <c r="BIZ487" s="17"/>
      <c r="BJA487" s="17"/>
      <c r="BJB487" s="17"/>
      <c r="BJC487" s="17"/>
      <c r="BJD487" s="17"/>
      <c r="BJE487" s="17"/>
      <c r="BJF487" s="17"/>
      <c r="BJG487" s="17"/>
      <c r="BJH487" s="17"/>
      <c r="BJI487" s="17"/>
      <c r="BJJ487" s="17"/>
      <c r="BJK487" s="17"/>
      <c r="BJL487" s="17"/>
      <c r="BJM487" s="17"/>
      <c r="BJN487" s="17"/>
      <c r="BJO487" s="17"/>
      <c r="BJP487" s="17"/>
      <c r="BJQ487" s="17"/>
      <c r="BJR487" s="17"/>
      <c r="BJS487" s="17"/>
      <c r="BJT487" s="17"/>
      <c r="BJU487" s="17"/>
      <c r="BJV487" s="17"/>
      <c r="BJW487" s="17"/>
      <c r="BJX487" s="17"/>
      <c r="BJY487" s="17"/>
      <c r="BJZ487" s="17"/>
      <c r="BKA487" s="17"/>
      <c r="BKB487" s="17"/>
      <c r="BKC487" s="17"/>
      <c r="BKD487" s="17"/>
      <c r="BKE487" s="17"/>
      <c r="BKF487" s="17"/>
      <c r="BKG487" s="17"/>
      <c r="BKH487" s="17"/>
      <c r="BKI487" s="17"/>
      <c r="BKJ487" s="17"/>
      <c r="BKK487" s="17"/>
      <c r="BKL487" s="17"/>
      <c r="BKM487" s="17"/>
      <c r="BKN487" s="17"/>
      <c r="BKO487" s="17"/>
      <c r="BKP487" s="17"/>
      <c r="BKQ487" s="17"/>
      <c r="BKR487" s="17"/>
      <c r="BKS487" s="17"/>
      <c r="BKT487" s="17"/>
      <c r="BKU487" s="17"/>
      <c r="BKV487" s="17"/>
      <c r="BKW487" s="17"/>
      <c r="BKX487" s="17"/>
      <c r="BKY487" s="17"/>
      <c r="BKZ487" s="17"/>
      <c r="BLA487" s="17"/>
      <c r="BLB487" s="17"/>
      <c r="BLC487" s="17"/>
      <c r="BLD487" s="17"/>
      <c r="BLE487" s="17"/>
      <c r="BLF487" s="17"/>
      <c r="BLG487" s="17"/>
      <c r="BLH487" s="17"/>
      <c r="BLI487" s="17"/>
      <c r="BLJ487" s="17"/>
      <c r="BLK487" s="17"/>
      <c r="BLL487" s="17"/>
      <c r="BLM487" s="17"/>
      <c r="BLN487" s="17"/>
      <c r="BLO487" s="17"/>
      <c r="BLP487" s="17"/>
      <c r="BLQ487" s="17"/>
      <c r="BLR487" s="17"/>
      <c r="BLS487" s="17"/>
      <c r="BLT487" s="17"/>
      <c r="BLU487" s="17"/>
      <c r="BLV487" s="17"/>
      <c r="BLW487" s="17"/>
      <c r="BLX487" s="17"/>
      <c r="BLY487" s="17"/>
      <c r="BLZ487" s="17"/>
      <c r="BMA487" s="17"/>
      <c r="BMB487" s="17"/>
      <c r="BMC487" s="17"/>
      <c r="BMD487" s="17"/>
      <c r="BME487" s="17"/>
      <c r="BMF487" s="17"/>
      <c r="BMG487" s="17"/>
      <c r="BMH487" s="17"/>
      <c r="BMI487" s="17"/>
      <c r="BMJ487" s="17"/>
      <c r="BMK487" s="17"/>
      <c r="BML487" s="17"/>
      <c r="BMM487" s="17"/>
      <c r="BMN487" s="17"/>
      <c r="BMO487" s="17"/>
      <c r="BMP487" s="17"/>
      <c r="BMQ487" s="17"/>
      <c r="BMR487" s="17"/>
      <c r="BMS487" s="17"/>
      <c r="BMT487" s="17"/>
      <c r="BMU487" s="17"/>
      <c r="BMV487" s="17"/>
      <c r="BMW487" s="17"/>
      <c r="BMX487" s="17"/>
      <c r="BMY487" s="17"/>
      <c r="BMZ487" s="17"/>
      <c r="BNA487" s="17"/>
      <c r="BNB487" s="17"/>
      <c r="BNC487" s="17"/>
      <c r="BND487" s="17"/>
      <c r="BNE487" s="17"/>
      <c r="BNF487" s="17"/>
      <c r="BNG487" s="17"/>
      <c r="BNH487" s="17"/>
      <c r="BNI487" s="17"/>
      <c r="BNJ487" s="17"/>
      <c r="BNK487" s="17"/>
      <c r="BNL487" s="17"/>
      <c r="BNM487" s="17"/>
      <c r="BNN487" s="17"/>
      <c r="BNO487" s="17"/>
      <c r="BNP487" s="17"/>
      <c r="BNQ487" s="17"/>
      <c r="BNR487" s="17"/>
      <c r="BNS487" s="17"/>
      <c r="BNT487" s="17"/>
      <c r="BNU487" s="17"/>
      <c r="BNV487" s="17"/>
      <c r="BNW487" s="17"/>
      <c r="BNX487" s="17"/>
      <c r="BNY487" s="17"/>
      <c r="BNZ487" s="17"/>
      <c r="BOA487" s="17"/>
      <c r="BOB487" s="17"/>
      <c r="BOC487" s="17"/>
      <c r="BOD487" s="17"/>
      <c r="BOE487" s="17"/>
      <c r="BOF487" s="17"/>
      <c r="BOG487" s="17"/>
      <c r="BOH487" s="17"/>
      <c r="BOI487" s="17"/>
      <c r="BOJ487" s="17"/>
      <c r="BOK487" s="17"/>
      <c r="BOL487" s="17"/>
      <c r="BOM487" s="17"/>
      <c r="BON487" s="17"/>
      <c r="BOO487" s="17"/>
      <c r="BOP487" s="17"/>
      <c r="BOQ487" s="17"/>
      <c r="BOR487" s="17"/>
      <c r="BOS487" s="17"/>
      <c r="BOT487" s="17"/>
      <c r="BOU487" s="17"/>
      <c r="BOV487" s="17"/>
      <c r="BOW487" s="17"/>
      <c r="BOX487" s="17"/>
      <c r="BOY487" s="17"/>
      <c r="BOZ487" s="17"/>
      <c r="BPA487" s="17"/>
      <c r="BPB487" s="17"/>
      <c r="BPC487" s="17"/>
      <c r="BPD487" s="17"/>
      <c r="BPE487" s="17"/>
      <c r="BPF487" s="17"/>
      <c r="BPG487" s="17"/>
      <c r="BPH487" s="17"/>
      <c r="BPI487" s="17"/>
      <c r="BPJ487" s="17"/>
      <c r="BPK487" s="17"/>
      <c r="BPL487" s="17"/>
      <c r="BPM487" s="17"/>
      <c r="BPN487" s="17"/>
      <c r="BPO487" s="17"/>
      <c r="BPP487" s="17"/>
      <c r="BPQ487" s="17"/>
      <c r="BPR487" s="17"/>
      <c r="BPS487" s="17"/>
      <c r="BPT487" s="17"/>
      <c r="BPU487" s="17"/>
      <c r="BPV487" s="17"/>
      <c r="BPW487" s="17"/>
      <c r="BPX487" s="17"/>
      <c r="BPY487" s="17"/>
      <c r="BPZ487" s="17"/>
      <c r="BQA487" s="17"/>
      <c r="BQB487" s="17"/>
      <c r="BQC487" s="17"/>
      <c r="BQD487" s="17"/>
      <c r="BQE487" s="17"/>
      <c r="BQF487" s="17"/>
      <c r="BQG487" s="17"/>
      <c r="BQH487" s="17"/>
      <c r="BQI487" s="17"/>
      <c r="BQJ487" s="17"/>
      <c r="BQK487" s="17"/>
      <c r="BQL487" s="17"/>
      <c r="BQM487" s="17"/>
      <c r="BQN487" s="17"/>
      <c r="BQO487" s="17"/>
      <c r="BQP487" s="17"/>
      <c r="BQQ487" s="17"/>
      <c r="BQR487" s="17"/>
      <c r="BQS487" s="17"/>
      <c r="BQT487" s="17"/>
      <c r="BQU487" s="17"/>
      <c r="BQV487" s="17"/>
      <c r="BQW487" s="17"/>
      <c r="BQX487" s="17"/>
      <c r="BQY487" s="17"/>
      <c r="BQZ487" s="17"/>
      <c r="BRA487" s="17"/>
      <c r="BRB487" s="17"/>
      <c r="BRC487" s="17"/>
      <c r="BRD487" s="17"/>
      <c r="BRE487" s="17"/>
      <c r="BRF487" s="17"/>
      <c r="BRG487" s="17"/>
      <c r="BRH487" s="17"/>
      <c r="BRI487" s="17"/>
      <c r="BRJ487" s="17"/>
      <c r="BRK487" s="17"/>
      <c r="BRL487" s="17"/>
      <c r="BRM487" s="17"/>
      <c r="BRN487" s="17"/>
      <c r="BRO487" s="17"/>
      <c r="BRP487" s="17"/>
      <c r="BRQ487" s="17"/>
      <c r="BRR487" s="17"/>
      <c r="BRS487" s="17"/>
      <c r="BRT487" s="17"/>
      <c r="BRU487" s="17"/>
      <c r="BRV487" s="17"/>
      <c r="BRW487" s="17"/>
      <c r="BRX487" s="17"/>
      <c r="BRY487" s="17"/>
      <c r="BRZ487" s="17"/>
      <c r="BSA487" s="17"/>
      <c r="BSB487" s="17"/>
      <c r="BSC487" s="17"/>
      <c r="BSD487" s="17"/>
      <c r="BSE487" s="17"/>
      <c r="BSF487" s="17"/>
      <c r="BSG487" s="17"/>
      <c r="BSH487" s="17"/>
      <c r="BSI487" s="17"/>
      <c r="BSJ487" s="17"/>
      <c r="BSK487" s="17"/>
      <c r="BSL487" s="17"/>
      <c r="BSM487" s="17"/>
      <c r="BSN487" s="17"/>
      <c r="BSO487" s="17"/>
      <c r="BSP487" s="17"/>
      <c r="BSQ487" s="17"/>
      <c r="BSR487" s="17"/>
      <c r="BSS487" s="17"/>
      <c r="BST487" s="17"/>
      <c r="BSU487" s="17"/>
      <c r="BSV487" s="17"/>
      <c r="BSW487" s="17"/>
      <c r="BSX487" s="17"/>
      <c r="BSY487" s="17"/>
      <c r="BSZ487" s="17"/>
      <c r="BTA487" s="17"/>
      <c r="BTB487" s="17"/>
      <c r="BTC487" s="17"/>
      <c r="BTD487" s="17"/>
      <c r="BTE487" s="17"/>
      <c r="BTF487" s="17"/>
      <c r="BTG487" s="17"/>
      <c r="BTH487" s="17"/>
      <c r="BTI487" s="17"/>
      <c r="BTJ487" s="17"/>
      <c r="BTK487" s="17"/>
      <c r="BTL487" s="17"/>
      <c r="BTM487" s="17"/>
      <c r="BTN487" s="17"/>
      <c r="BTO487" s="17"/>
      <c r="BTP487" s="17"/>
      <c r="BTQ487" s="17"/>
      <c r="BTR487" s="17"/>
      <c r="BTS487" s="17"/>
      <c r="BTT487" s="17"/>
      <c r="BTU487" s="17"/>
      <c r="BTV487" s="17"/>
      <c r="BTW487" s="17"/>
      <c r="BTX487" s="17"/>
      <c r="BTY487" s="17"/>
      <c r="BTZ487" s="17"/>
      <c r="BUA487" s="17"/>
      <c r="BUB487" s="17"/>
      <c r="BUC487" s="17"/>
      <c r="BUD487" s="17"/>
      <c r="BUE487" s="17"/>
      <c r="BUF487" s="17"/>
      <c r="BUG487" s="17"/>
      <c r="BUH487" s="17"/>
      <c r="BUI487" s="17"/>
      <c r="BUJ487" s="17"/>
      <c r="BUK487" s="17"/>
      <c r="BUL487" s="17"/>
      <c r="BUM487" s="17"/>
      <c r="BUN487" s="17"/>
      <c r="BUO487" s="17"/>
      <c r="BUP487" s="17"/>
      <c r="BUQ487" s="17"/>
      <c r="BUR487" s="17"/>
      <c r="BUS487" s="17"/>
      <c r="BUT487" s="17"/>
      <c r="BUU487" s="17"/>
      <c r="BUV487" s="17"/>
      <c r="BUW487" s="17"/>
      <c r="BUX487" s="17"/>
      <c r="BUY487" s="17"/>
      <c r="BUZ487" s="17"/>
      <c r="BVA487" s="17"/>
      <c r="BVB487" s="17"/>
      <c r="BVC487" s="17"/>
      <c r="BVD487" s="17"/>
      <c r="BVE487" s="17"/>
      <c r="BVF487" s="17"/>
      <c r="BVG487" s="17"/>
      <c r="BVH487" s="17"/>
      <c r="BVI487" s="17"/>
      <c r="BVJ487" s="17"/>
      <c r="BVK487" s="17"/>
      <c r="BVL487" s="17"/>
      <c r="BVM487" s="17"/>
      <c r="BVN487" s="17"/>
      <c r="BVO487" s="17"/>
      <c r="BVP487" s="17"/>
      <c r="BVQ487" s="17"/>
      <c r="BVR487" s="17"/>
      <c r="BVS487" s="17"/>
      <c r="BVT487" s="17"/>
      <c r="BVU487" s="17"/>
      <c r="BVV487" s="17"/>
      <c r="BVW487" s="17"/>
      <c r="BVX487" s="17"/>
      <c r="BVY487" s="17"/>
      <c r="BVZ487" s="17"/>
      <c r="BWA487" s="17"/>
      <c r="BWB487" s="17"/>
      <c r="BWC487" s="17"/>
      <c r="BWD487" s="17"/>
      <c r="BWE487" s="17"/>
      <c r="BWF487" s="17"/>
      <c r="BWG487" s="17"/>
      <c r="BWH487" s="17"/>
      <c r="BWI487" s="17"/>
      <c r="BWJ487" s="17"/>
      <c r="BWK487" s="17"/>
      <c r="BWL487" s="17"/>
      <c r="BWM487" s="17"/>
      <c r="BWN487" s="17"/>
      <c r="BWO487" s="17"/>
      <c r="BWP487" s="17"/>
      <c r="BWQ487" s="17"/>
      <c r="BWR487" s="17"/>
      <c r="BWS487" s="17"/>
      <c r="BWT487" s="17"/>
      <c r="BWU487" s="17"/>
      <c r="BWV487" s="17"/>
      <c r="BWW487" s="17"/>
      <c r="BWX487" s="17"/>
      <c r="BWY487" s="17"/>
      <c r="BWZ487" s="17"/>
      <c r="BXA487" s="17"/>
      <c r="BXB487" s="17"/>
      <c r="BXC487" s="17"/>
      <c r="BXD487" s="17"/>
      <c r="BXE487" s="17"/>
      <c r="BXF487" s="17"/>
      <c r="BXG487" s="17"/>
      <c r="BXH487" s="17"/>
      <c r="BXI487" s="17"/>
      <c r="BXJ487" s="17"/>
      <c r="BXK487" s="17"/>
      <c r="BXL487" s="17"/>
      <c r="BXM487" s="17"/>
      <c r="BXN487" s="17"/>
      <c r="BXO487" s="17"/>
      <c r="BXP487" s="17"/>
      <c r="BXQ487" s="17"/>
      <c r="BXR487" s="17"/>
      <c r="BXS487" s="17"/>
      <c r="BXT487" s="17"/>
      <c r="BXU487" s="17"/>
      <c r="BXV487" s="17"/>
      <c r="BXW487" s="17"/>
      <c r="BXX487" s="17"/>
      <c r="BXY487" s="17"/>
      <c r="BXZ487" s="17"/>
      <c r="BYA487" s="17"/>
      <c r="BYB487" s="17"/>
      <c r="BYC487" s="17"/>
      <c r="BYD487" s="17"/>
      <c r="BYE487" s="17"/>
      <c r="BYF487" s="17"/>
      <c r="BYG487" s="17"/>
      <c r="BYH487" s="17"/>
      <c r="BYI487" s="17"/>
      <c r="BYJ487" s="17"/>
      <c r="BYK487" s="17"/>
      <c r="BYL487" s="17"/>
      <c r="BYM487" s="17"/>
      <c r="BYN487" s="17"/>
      <c r="BYO487" s="17"/>
      <c r="BYP487" s="17"/>
      <c r="BYQ487" s="17"/>
      <c r="BYR487" s="17"/>
      <c r="BYS487" s="17"/>
      <c r="BYT487" s="17"/>
      <c r="BYU487" s="17"/>
      <c r="BYV487" s="17"/>
      <c r="BYW487" s="17"/>
      <c r="BYX487" s="17"/>
      <c r="BYY487" s="17"/>
      <c r="BYZ487" s="17"/>
      <c r="BZA487" s="17"/>
      <c r="BZB487" s="17"/>
      <c r="BZC487" s="17"/>
      <c r="BZD487" s="17"/>
      <c r="BZE487" s="17"/>
      <c r="BZF487" s="17"/>
      <c r="BZG487" s="17"/>
      <c r="BZH487" s="17"/>
      <c r="BZI487" s="17"/>
      <c r="BZJ487" s="17"/>
      <c r="BZK487" s="17"/>
      <c r="BZL487" s="17"/>
      <c r="BZM487" s="17"/>
      <c r="BZN487" s="17"/>
      <c r="BZO487" s="17"/>
      <c r="BZP487" s="17"/>
      <c r="BZQ487" s="17"/>
      <c r="BZR487" s="17"/>
      <c r="BZS487" s="17"/>
      <c r="BZT487" s="17"/>
      <c r="BZU487" s="17"/>
      <c r="BZV487" s="17"/>
      <c r="BZW487" s="17"/>
      <c r="BZX487" s="17"/>
      <c r="BZY487" s="17"/>
      <c r="BZZ487" s="17"/>
      <c r="CAA487" s="17"/>
      <c r="CAB487" s="17"/>
      <c r="CAC487" s="17"/>
      <c r="CAD487" s="17"/>
      <c r="CAE487" s="17"/>
      <c r="CAF487" s="17"/>
      <c r="CAG487" s="17"/>
      <c r="CAH487" s="17"/>
      <c r="CAI487" s="17"/>
      <c r="CAJ487" s="17"/>
      <c r="CAK487" s="17"/>
      <c r="CAL487" s="17"/>
      <c r="CAM487" s="17"/>
      <c r="CAN487" s="17"/>
      <c r="CAO487" s="17"/>
      <c r="CAP487" s="17"/>
      <c r="CAQ487" s="17"/>
      <c r="CAR487" s="17"/>
      <c r="CAS487" s="17"/>
      <c r="CAT487" s="17"/>
      <c r="CAU487" s="17"/>
      <c r="CAV487" s="17"/>
      <c r="CAW487" s="17"/>
      <c r="CAX487" s="17"/>
      <c r="CAY487" s="17"/>
      <c r="CAZ487" s="17"/>
      <c r="CBA487" s="17"/>
      <c r="CBB487" s="17"/>
      <c r="CBC487" s="17"/>
      <c r="CBD487" s="17"/>
      <c r="CBE487" s="17"/>
      <c r="CBF487" s="17"/>
      <c r="CBG487" s="17"/>
      <c r="CBH487" s="17"/>
      <c r="CBI487" s="17"/>
      <c r="CBJ487" s="17"/>
      <c r="CBK487" s="17"/>
      <c r="CBL487" s="17"/>
      <c r="CBM487" s="17"/>
      <c r="CBN487" s="17"/>
      <c r="CBO487" s="17"/>
      <c r="CBP487" s="17"/>
      <c r="CBQ487" s="17"/>
      <c r="CBR487" s="17"/>
      <c r="CBS487" s="17"/>
      <c r="CBT487" s="17"/>
      <c r="CBU487" s="17"/>
      <c r="CBV487" s="17"/>
      <c r="CBW487" s="17"/>
      <c r="CBX487" s="17"/>
      <c r="CBY487" s="17"/>
      <c r="CBZ487" s="17"/>
      <c r="CCA487" s="17"/>
      <c r="CCB487" s="17"/>
      <c r="CCC487" s="17"/>
      <c r="CCD487" s="17"/>
      <c r="CCE487" s="17"/>
      <c r="CCF487" s="17"/>
      <c r="CCG487" s="17"/>
      <c r="CCH487" s="17"/>
      <c r="CCI487" s="17"/>
      <c r="CCJ487" s="17"/>
      <c r="CCK487" s="17"/>
      <c r="CCL487" s="17"/>
      <c r="CCM487" s="17"/>
      <c r="CCN487" s="17"/>
      <c r="CCO487" s="17"/>
      <c r="CCP487" s="17"/>
      <c r="CCQ487" s="17"/>
      <c r="CCR487" s="17"/>
      <c r="CCS487" s="17"/>
      <c r="CCT487" s="17"/>
      <c r="CCU487" s="17"/>
      <c r="CCV487" s="17"/>
      <c r="CCW487" s="17"/>
      <c r="CCX487" s="17"/>
      <c r="CCY487" s="17"/>
      <c r="CCZ487" s="17"/>
      <c r="CDA487" s="17"/>
      <c r="CDB487" s="17"/>
      <c r="CDC487" s="17"/>
      <c r="CDD487" s="17"/>
      <c r="CDE487" s="17"/>
      <c r="CDF487" s="17"/>
      <c r="CDG487" s="17"/>
      <c r="CDH487" s="17"/>
      <c r="CDI487" s="17"/>
      <c r="CDJ487" s="17"/>
      <c r="CDK487" s="17"/>
      <c r="CDL487" s="17"/>
      <c r="CDM487" s="17"/>
      <c r="CDN487" s="17"/>
      <c r="CDO487" s="17"/>
      <c r="CDP487" s="17"/>
      <c r="CDQ487" s="17"/>
      <c r="CDR487" s="17"/>
      <c r="CDS487" s="17"/>
      <c r="CDT487" s="17"/>
      <c r="CDU487" s="17"/>
      <c r="CDV487" s="17"/>
      <c r="CDW487" s="17"/>
      <c r="CDX487" s="17"/>
      <c r="CDY487" s="17"/>
      <c r="CDZ487" s="17"/>
      <c r="CEA487" s="17"/>
      <c r="CEB487" s="17"/>
      <c r="CEC487" s="17"/>
      <c r="CED487" s="17"/>
      <c r="CEE487" s="17"/>
      <c r="CEF487" s="17"/>
      <c r="CEG487" s="17"/>
      <c r="CEH487" s="17"/>
      <c r="CEI487" s="17"/>
      <c r="CEJ487" s="17"/>
      <c r="CEK487" s="17"/>
      <c r="CEL487" s="17"/>
      <c r="CEM487" s="17"/>
      <c r="CEN487" s="17"/>
      <c r="CEO487" s="17"/>
      <c r="CEP487" s="17"/>
      <c r="CEQ487" s="17"/>
      <c r="CER487" s="17"/>
      <c r="CES487" s="17"/>
      <c r="CET487" s="17"/>
      <c r="CEU487" s="17"/>
      <c r="CEV487" s="17"/>
      <c r="CEW487" s="17"/>
      <c r="CEX487" s="17"/>
      <c r="CEY487" s="17"/>
      <c r="CEZ487" s="17"/>
      <c r="CFA487" s="17"/>
      <c r="CFB487" s="17"/>
      <c r="CFC487" s="17"/>
      <c r="CFD487" s="17"/>
      <c r="CFE487" s="17"/>
      <c r="CFF487" s="17"/>
      <c r="CFG487" s="17"/>
      <c r="CFH487" s="17"/>
      <c r="CFI487" s="17"/>
      <c r="CFJ487" s="17"/>
      <c r="CFK487" s="17"/>
      <c r="CFL487" s="17"/>
      <c r="CFM487" s="17"/>
      <c r="CFN487" s="17"/>
      <c r="CFO487" s="17"/>
      <c r="CFP487" s="17"/>
      <c r="CFQ487" s="17"/>
      <c r="CFR487" s="17"/>
      <c r="CFS487" s="17"/>
      <c r="CFT487" s="17"/>
      <c r="CFU487" s="17"/>
      <c r="CFV487" s="17"/>
      <c r="CFW487" s="17"/>
      <c r="CFX487" s="17"/>
      <c r="CFY487" s="17"/>
      <c r="CFZ487" s="17"/>
      <c r="CGA487" s="17"/>
      <c r="CGB487" s="17"/>
      <c r="CGC487" s="17"/>
      <c r="CGD487" s="17"/>
      <c r="CGE487" s="17"/>
      <c r="CGF487" s="17"/>
      <c r="CGG487" s="17"/>
      <c r="CGH487" s="17"/>
      <c r="CGI487" s="17"/>
      <c r="CGJ487" s="17"/>
      <c r="CGK487" s="17"/>
      <c r="CGL487" s="17"/>
      <c r="CGM487" s="17"/>
      <c r="CGN487" s="17"/>
      <c r="CGO487" s="17"/>
      <c r="CGP487" s="17"/>
      <c r="CGQ487" s="17"/>
      <c r="CGR487" s="17"/>
      <c r="CGS487" s="17"/>
      <c r="CGT487" s="17"/>
      <c r="CGU487" s="17"/>
      <c r="CGV487" s="17"/>
      <c r="CGW487" s="17"/>
      <c r="CGX487" s="17"/>
      <c r="CGY487" s="17"/>
      <c r="CGZ487" s="17"/>
      <c r="CHA487" s="17"/>
      <c r="CHB487" s="17"/>
      <c r="CHC487" s="17"/>
      <c r="CHD487" s="17"/>
      <c r="CHE487" s="17"/>
      <c r="CHF487" s="17"/>
      <c r="CHG487" s="17"/>
      <c r="CHH487" s="17"/>
      <c r="CHI487" s="17"/>
      <c r="CHJ487" s="17"/>
      <c r="CHK487" s="17"/>
      <c r="CHL487" s="17"/>
      <c r="CHM487" s="17"/>
      <c r="CHN487" s="17"/>
      <c r="CHO487" s="17"/>
      <c r="CHP487" s="17"/>
      <c r="CHQ487" s="17"/>
      <c r="CHR487" s="17"/>
      <c r="CHS487" s="17"/>
      <c r="CHT487" s="17"/>
      <c r="CHU487" s="17"/>
      <c r="CHV487" s="17"/>
      <c r="CHW487" s="17"/>
      <c r="CHX487" s="17"/>
      <c r="CHY487" s="17"/>
      <c r="CHZ487" s="17"/>
      <c r="CIA487" s="17"/>
      <c r="CIB487" s="17"/>
      <c r="CIC487" s="17"/>
      <c r="CID487" s="17"/>
      <c r="CIE487" s="17"/>
      <c r="CIF487" s="17"/>
      <c r="CIG487" s="17"/>
      <c r="CIH487" s="17"/>
      <c r="CII487" s="17"/>
      <c r="CIJ487" s="17"/>
      <c r="CIK487" s="17"/>
      <c r="CIL487" s="17"/>
      <c r="CIM487" s="17"/>
      <c r="CIN487" s="17"/>
      <c r="CIO487" s="17"/>
      <c r="CIP487" s="17"/>
      <c r="CIQ487" s="17"/>
      <c r="CIR487" s="17"/>
      <c r="CIS487" s="17"/>
      <c r="CIT487" s="17"/>
      <c r="CIU487" s="17"/>
      <c r="CIV487" s="17"/>
      <c r="CIW487" s="17"/>
      <c r="CIX487" s="17"/>
      <c r="CIY487" s="17"/>
      <c r="CIZ487" s="17"/>
      <c r="CJA487" s="17"/>
      <c r="CJB487" s="17"/>
      <c r="CJC487" s="17"/>
      <c r="CJD487" s="17"/>
      <c r="CJE487" s="17"/>
      <c r="CJF487" s="17"/>
      <c r="CJG487" s="17"/>
      <c r="CJH487" s="17"/>
      <c r="CJI487" s="17"/>
      <c r="CJJ487" s="17"/>
      <c r="CJK487" s="17"/>
      <c r="CJL487" s="17"/>
      <c r="CJM487" s="17"/>
      <c r="CJN487" s="17"/>
      <c r="CJO487" s="17"/>
      <c r="CJP487" s="17"/>
      <c r="CJQ487" s="17"/>
      <c r="CJR487" s="17"/>
      <c r="CJS487" s="17"/>
      <c r="CJT487" s="17"/>
      <c r="CJU487" s="17"/>
      <c r="CJV487" s="17"/>
      <c r="CJW487" s="17"/>
      <c r="CJX487" s="17"/>
      <c r="CJY487" s="17"/>
      <c r="CJZ487" s="17"/>
      <c r="CKA487" s="17"/>
      <c r="CKB487" s="17"/>
      <c r="CKC487" s="17"/>
      <c r="CKD487" s="17"/>
      <c r="CKE487" s="17"/>
      <c r="CKF487" s="17"/>
      <c r="CKG487" s="17"/>
      <c r="CKH487" s="17"/>
      <c r="CKI487" s="17"/>
      <c r="CKJ487" s="17"/>
      <c r="CKK487" s="17"/>
      <c r="CKL487" s="17"/>
      <c r="CKM487" s="17"/>
      <c r="CKN487" s="17"/>
      <c r="CKO487" s="17"/>
      <c r="CKP487" s="17"/>
      <c r="CKQ487" s="17"/>
      <c r="CKR487" s="17"/>
      <c r="CKS487" s="17"/>
      <c r="CKT487" s="17"/>
      <c r="CKU487" s="17"/>
      <c r="CKV487" s="17"/>
      <c r="CKW487" s="17"/>
      <c r="CKX487" s="17"/>
      <c r="CKY487" s="17"/>
      <c r="CKZ487" s="17"/>
      <c r="CLA487" s="17"/>
      <c r="CLB487" s="17"/>
      <c r="CLC487" s="17"/>
      <c r="CLD487" s="17"/>
      <c r="CLE487" s="17"/>
      <c r="CLF487" s="17"/>
      <c r="CLG487" s="17"/>
      <c r="CLH487" s="17"/>
      <c r="CLI487" s="17"/>
      <c r="CLJ487" s="17"/>
      <c r="CLK487" s="17"/>
      <c r="CLL487" s="17"/>
      <c r="CLM487" s="17"/>
      <c r="CLN487" s="17"/>
      <c r="CLO487" s="17"/>
      <c r="CLP487" s="17"/>
      <c r="CLQ487" s="17"/>
      <c r="CLR487" s="17"/>
      <c r="CLS487" s="17"/>
      <c r="CLT487" s="17"/>
      <c r="CLU487" s="17"/>
      <c r="CLV487" s="17"/>
      <c r="CLW487" s="17"/>
      <c r="CLX487" s="17"/>
      <c r="CLY487" s="17"/>
      <c r="CLZ487" s="17"/>
      <c r="CMA487" s="17"/>
      <c r="CMB487" s="17"/>
      <c r="CMC487" s="17"/>
      <c r="CMD487" s="17"/>
      <c r="CME487" s="17"/>
      <c r="CMF487" s="17"/>
      <c r="CMG487" s="17"/>
      <c r="CMH487" s="17"/>
      <c r="CMI487" s="17"/>
      <c r="CMJ487" s="17"/>
      <c r="CMK487" s="17"/>
      <c r="CML487" s="17"/>
      <c r="CMM487" s="17"/>
      <c r="CMN487" s="17"/>
      <c r="CMO487" s="17"/>
      <c r="CMP487" s="17"/>
      <c r="CMQ487" s="17"/>
      <c r="CMR487" s="17"/>
      <c r="CMS487" s="17"/>
      <c r="CMT487" s="17"/>
      <c r="CMU487" s="17"/>
      <c r="CMV487" s="17"/>
      <c r="CMW487" s="17"/>
      <c r="CMX487" s="17"/>
      <c r="CMY487" s="17"/>
      <c r="CMZ487" s="17"/>
      <c r="CNA487" s="17"/>
      <c r="CNB487" s="17"/>
      <c r="CNC487" s="17"/>
      <c r="CND487" s="17"/>
      <c r="CNE487" s="17"/>
      <c r="CNF487" s="17"/>
      <c r="CNG487" s="17"/>
      <c r="CNH487" s="17"/>
      <c r="CNI487" s="17"/>
      <c r="CNJ487" s="17"/>
      <c r="CNK487" s="17"/>
      <c r="CNL487" s="17"/>
      <c r="CNM487" s="17"/>
      <c r="CNN487" s="17"/>
      <c r="CNO487" s="17"/>
      <c r="CNP487" s="17"/>
      <c r="CNQ487" s="17"/>
      <c r="CNR487" s="17"/>
      <c r="CNS487" s="17"/>
      <c r="CNT487" s="17"/>
      <c r="CNU487" s="17"/>
      <c r="CNV487" s="17"/>
      <c r="CNW487" s="17"/>
      <c r="CNX487" s="17"/>
      <c r="CNY487" s="17"/>
      <c r="CNZ487" s="17"/>
      <c r="COA487" s="17"/>
      <c r="COB487" s="17"/>
      <c r="COC487" s="17"/>
      <c r="COD487" s="17"/>
      <c r="COE487" s="17"/>
      <c r="COF487" s="17"/>
      <c r="COG487" s="17"/>
      <c r="COH487" s="17"/>
      <c r="COI487" s="17"/>
      <c r="COJ487" s="17"/>
      <c r="COK487" s="17"/>
      <c r="COL487" s="17"/>
      <c r="COM487" s="17"/>
      <c r="CON487" s="17"/>
      <c r="COO487" s="17"/>
      <c r="COP487" s="17"/>
      <c r="COQ487" s="17"/>
      <c r="COR487" s="17"/>
      <c r="COS487" s="17"/>
      <c r="COT487" s="17"/>
      <c r="COU487" s="17"/>
      <c r="COV487" s="17"/>
      <c r="COW487" s="17"/>
      <c r="COX487" s="17"/>
      <c r="COY487" s="17"/>
      <c r="COZ487" s="17"/>
      <c r="CPA487" s="17"/>
      <c r="CPB487" s="17"/>
      <c r="CPC487" s="17"/>
      <c r="CPD487" s="17"/>
      <c r="CPE487" s="17"/>
      <c r="CPF487" s="17"/>
      <c r="CPG487" s="17"/>
      <c r="CPH487" s="17"/>
      <c r="CPI487" s="17"/>
      <c r="CPJ487" s="17"/>
      <c r="CPK487" s="17"/>
      <c r="CPL487" s="17"/>
      <c r="CPM487" s="17"/>
      <c r="CPN487" s="17"/>
      <c r="CPO487" s="17"/>
      <c r="CPP487" s="17"/>
      <c r="CPQ487" s="17"/>
      <c r="CPR487" s="17"/>
      <c r="CPS487" s="17"/>
      <c r="CPT487" s="17"/>
      <c r="CPU487" s="17"/>
      <c r="CPV487" s="17"/>
      <c r="CPW487" s="17"/>
      <c r="CPX487" s="17"/>
      <c r="CPY487" s="17"/>
      <c r="CPZ487" s="17"/>
      <c r="CQA487" s="17"/>
      <c r="CQB487" s="17"/>
      <c r="CQC487" s="17"/>
      <c r="CQD487" s="17"/>
      <c r="CQE487" s="17"/>
      <c r="CQF487" s="17"/>
      <c r="CQG487" s="17"/>
      <c r="CQH487" s="17"/>
      <c r="CQI487" s="17"/>
      <c r="CQJ487" s="17"/>
      <c r="CQK487" s="17"/>
      <c r="CQL487" s="17"/>
      <c r="CQM487" s="17"/>
      <c r="CQN487" s="17"/>
      <c r="CQO487" s="17"/>
      <c r="CQP487" s="17"/>
      <c r="CQQ487" s="17"/>
      <c r="CQR487" s="17"/>
      <c r="CQS487" s="17"/>
      <c r="CQT487" s="17"/>
      <c r="CQU487" s="17"/>
      <c r="CQV487" s="17"/>
      <c r="CQW487" s="17"/>
      <c r="CQX487" s="17"/>
      <c r="CQY487" s="17"/>
      <c r="CQZ487" s="17"/>
      <c r="CRA487" s="17"/>
      <c r="CRB487" s="17"/>
      <c r="CRC487" s="17"/>
      <c r="CRD487" s="17"/>
      <c r="CRE487" s="17"/>
      <c r="CRF487" s="17"/>
      <c r="CRG487" s="17"/>
      <c r="CRH487" s="17"/>
      <c r="CRI487" s="17"/>
      <c r="CRJ487" s="17"/>
      <c r="CRK487" s="17"/>
      <c r="CRL487" s="17"/>
      <c r="CRM487" s="17"/>
      <c r="CRN487" s="17"/>
      <c r="CRO487" s="17"/>
      <c r="CRP487" s="17"/>
      <c r="CRQ487" s="17"/>
      <c r="CRR487" s="17"/>
      <c r="CRS487" s="17"/>
      <c r="CRT487" s="17"/>
      <c r="CRU487" s="17"/>
      <c r="CRV487" s="17"/>
      <c r="CRW487" s="17"/>
      <c r="CRX487" s="17"/>
      <c r="CRY487" s="17"/>
      <c r="CRZ487" s="17"/>
      <c r="CSA487" s="17"/>
      <c r="CSB487" s="17"/>
      <c r="CSC487" s="17"/>
      <c r="CSD487" s="17"/>
      <c r="CSE487" s="17"/>
      <c r="CSF487" s="17"/>
      <c r="CSG487" s="17"/>
      <c r="CSH487" s="17"/>
      <c r="CSI487" s="17"/>
      <c r="CSJ487" s="17"/>
      <c r="CSK487" s="17"/>
      <c r="CSL487" s="17"/>
      <c r="CSM487" s="17"/>
      <c r="CSN487" s="17"/>
      <c r="CSO487" s="17"/>
      <c r="CSP487" s="17"/>
      <c r="CSQ487" s="17"/>
      <c r="CSR487" s="17"/>
      <c r="CSS487" s="17"/>
      <c r="CST487" s="17"/>
      <c r="CSU487" s="17"/>
      <c r="CSV487" s="17"/>
      <c r="CSW487" s="17"/>
      <c r="CSX487" s="17"/>
      <c r="CSY487" s="17"/>
      <c r="CSZ487" s="17"/>
      <c r="CTA487" s="17"/>
      <c r="CTB487" s="17"/>
      <c r="CTC487" s="17"/>
      <c r="CTD487" s="17"/>
      <c r="CTE487" s="17"/>
      <c r="CTF487" s="17"/>
      <c r="CTG487" s="17"/>
      <c r="CTH487" s="17"/>
      <c r="CTI487" s="17"/>
      <c r="CTJ487" s="17"/>
      <c r="CTK487" s="17"/>
      <c r="CTL487" s="17"/>
      <c r="CTM487" s="17"/>
      <c r="CTN487" s="17"/>
      <c r="CTO487" s="17"/>
      <c r="CTP487" s="17"/>
      <c r="CTQ487" s="17"/>
      <c r="CTR487" s="17"/>
      <c r="CTS487" s="17"/>
      <c r="CTT487" s="17"/>
      <c r="CTU487" s="17"/>
      <c r="CTV487" s="17"/>
      <c r="CTW487" s="17"/>
      <c r="CTX487" s="17"/>
      <c r="CTY487" s="17"/>
      <c r="CTZ487" s="17"/>
      <c r="CUA487" s="17"/>
      <c r="CUB487" s="17"/>
      <c r="CUC487" s="17"/>
      <c r="CUD487" s="17"/>
      <c r="CUE487" s="17"/>
      <c r="CUF487" s="17"/>
      <c r="CUG487" s="17"/>
      <c r="CUH487" s="17"/>
      <c r="CUI487" s="17"/>
      <c r="CUJ487" s="17"/>
      <c r="CUK487" s="17"/>
      <c r="CUL487" s="17"/>
      <c r="CUM487" s="17"/>
      <c r="CUN487" s="17"/>
      <c r="CUO487" s="17"/>
      <c r="CUP487" s="17"/>
      <c r="CUQ487" s="17"/>
      <c r="CUR487" s="17"/>
      <c r="CUS487" s="17"/>
      <c r="CUT487" s="17"/>
      <c r="CUU487" s="17"/>
      <c r="CUV487" s="17"/>
      <c r="CUW487" s="17"/>
      <c r="CUX487" s="17"/>
      <c r="CUY487" s="17"/>
      <c r="CUZ487" s="17"/>
      <c r="CVA487" s="17"/>
      <c r="CVB487" s="17"/>
      <c r="CVC487" s="17"/>
      <c r="CVD487" s="17"/>
      <c r="CVE487" s="17"/>
      <c r="CVF487" s="17"/>
      <c r="CVG487" s="17"/>
      <c r="CVH487" s="17"/>
      <c r="CVI487" s="17"/>
      <c r="CVJ487" s="17"/>
      <c r="CVK487" s="17"/>
      <c r="CVL487" s="17"/>
      <c r="CVM487" s="17"/>
      <c r="CVN487" s="17"/>
      <c r="CVO487" s="17"/>
      <c r="CVP487" s="17"/>
      <c r="CVQ487" s="17"/>
      <c r="CVR487" s="17"/>
      <c r="CVS487" s="17"/>
      <c r="CVT487" s="17"/>
      <c r="CVU487" s="17"/>
      <c r="CVV487" s="17"/>
      <c r="CVW487" s="17"/>
      <c r="CVX487" s="17"/>
      <c r="CVY487" s="17"/>
      <c r="CVZ487" s="17"/>
      <c r="CWA487" s="17"/>
      <c r="CWB487" s="17"/>
      <c r="CWC487" s="17"/>
      <c r="CWD487" s="17"/>
      <c r="CWE487" s="17"/>
      <c r="CWF487" s="17"/>
      <c r="CWG487" s="17"/>
      <c r="CWH487" s="17"/>
      <c r="CWI487" s="17"/>
      <c r="CWJ487" s="17"/>
      <c r="CWK487" s="17"/>
      <c r="CWL487" s="17"/>
      <c r="CWM487" s="17"/>
      <c r="CWN487" s="17"/>
      <c r="CWO487" s="17"/>
      <c r="CWP487" s="17"/>
      <c r="CWQ487" s="17"/>
      <c r="CWR487" s="17"/>
      <c r="CWS487" s="17"/>
      <c r="CWT487" s="17"/>
      <c r="CWU487" s="17"/>
      <c r="CWV487" s="17"/>
      <c r="CWW487" s="17"/>
      <c r="CWX487" s="17"/>
      <c r="CWY487" s="17"/>
      <c r="CWZ487" s="17"/>
      <c r="CXA487" s="17"/>
      <c r="CXB487" s="17"/>
      <c r="CXC487" s="17"/>
      <c r="CXD487" s="17"/>
      <c r="CXE487" s="17"/>
      <c r="CXF487" s="17"/>
      <c r="CXG487" s="17"/>
      <c r="CXH487" s="17"/>
      <c r="CXI487" s="17"/>
      <c r="CXJ487" s="17"/>
      <c r="CXK487" s="17"/>
      <c r="CXL487" s="17"/>
      <c r="CXM487" s="17"/>
      <c r="CXN487" s="17"/>
      <c r="CXO487" s="17"/>
      <c r="CXP487" s="17"/>
      <c r="CXQ487" s="17"/>
      <c r="CXR487" s="17"/>
      <c r="CXS487" s="17"/>
      <c r="CXT487" s="17"/>
      <c r="CXU487" s="17"/>
      <c r="CXV487" s="17"/>
      <c r="CXW487" s="17"/>
      <c r="CXX487" s="17"/>
      <c r="CXY487" s="17"/>
      <c r="CXZ487" s="17"/>
      <c r="CYA487" s="17"/>
      <c r="CYB487" s="17"/>
      <c r="CYC487" s="17"/>
      <c r="CYD487" s="17"/>
      <c r="CYE487" s="17"/>
      <c r="CYF487" s="17"/>
      <c r="CYG487" s="17"/>
      <c r="CYH487" s="17"/>
      <c r="CYI487" s="17"/>
      <c r="CYJ487" s="17"/>
      <c r="CYK487" s="17"/>
      <c r="CYL487" s="17"/>
      <c r="CYM487" s="17"/>
      <c r="CYN487" s="17"/>
      <c r="CYO487" s="17"/>
      <c r="CYP487" s="17"/>
      <c r="CYQ487" s="17"/>
      <c r="CYR487" s="17"/>
      <c r="CYS487" s="17"/>
      <c r="CYT487" s="17"/>
      <c r="CYU487" s="17"/>
      <c r="CYV487" s="17"/>
      <c r="CYW487" s="17"/>
      <c r="CYX487" s="17"/>
      <c r="CYY487" s="17"/>
      <c r="CYZ487" s="17"/>
      <c r="CZA487" s="17"/>
      <c r="CZB487" s="17"/>
      <c r="CZC487" s="17"/>
      <c r="CZD487" s="17"/>
      <c r="CZE487" s="17"/>
      <c r="CZF487" s="17"/>
      <c r="CZG487" s="17"/>
      <c r="CZH487" s="17"/>
      <c r="CZI487" s="17"/>
      <c r="CZJ487" s="17"/>
      <c r="CZK487" s="17"/>
      <c r="CZL487" s="17"/>
      <c r="CZM487" s="17"/>
      <c r="CZN487" s="17"/>
      <c r="CZO487" s="17"/>
      <c r="CZP487" s="17"/>
      <c r="CZQ487" s="17"/>
      <c r="CZR487" s="17"/>
      <c r="CZS487" s="17"/>
      <c r="CZT487" s="17"/>
      <c r="CZU487" s="17"/>
      <c r="CZV487" s="17"/>
      <c r="CZW487" s="17"/>
      <c r="CZX487" s="17"/>
      <c r="CZY487" s="17"/>
      <c r="CZZ487" s="17"/>
      <c r="DAA487" s="17"/>
      <c r="DAB487" s="17"/>
      <c r="DAC487" s="17"/>
      <c r="DAD487" s="17"/>
      <c r="DAE487" s="17"/>
      <c r="DAF487" s="17"/>
      <c r="DAG487" s="17"/>
      <c r="DAH487" s="17"/>
      <c r="DAI487" s="17"/>
      <c r="DAJ487" s="17"/>
      <c r="DAK487" s="17"/>
      <c r="DAL487" s="17"/>
      <c r="DAM487" s="17"/>
      <c r="DAN487" s="17"/>
      <c r="DAO487" s="17"/>
      <c r="DAP487" s="17"/>
      <c r="DAQ487" s="17"/>
      <c r="DAR487" s="17"/>
      <c r="DAS487" s="17"/>
      <c r="DAT487" s="17"/>
      <c r="DAU487" s="17"/>
      <c r="DAV487" s="17"/>
      <c r="DAW487" s="17"/>
      <c r="DAX487" s="17"/>
      <c r="DAY487" s="17"/>
      <c r="DAZ487" s="17"/>
      <c r="DBA487" s="17"/>
      <c r="DBB487" s="17"/>
      <c r="DBC487" s="17"/>
      <c r="DBD487" s="17"/>
      <c r="DBE487" s="17"/>
      <c r="DBF487" s="17"/>
      <c r="DBG487" s="17"/>
      <c r="DBH487" s="17"/>
      <c r="DBI487" s="17"/>
      <c r="DBJ487" s="17"/>
      <c r="DBK487" s="17"/>
      <c r="DBL487" s="17"/>
      <c r="DBM487" s="17"/>
      <c r="DBN487" s="17"/>
      <c r="DBO487" s="17"/>
      <c r="DBP487" s="17"/>
      <c r="DBQ487" s="17"/>
      <c r="DBR487" s="17"/>
      <c r="DBS487" s="17"/>
      <c r="DBT487" s="17"/>
      <c r="DBU487" s="17"/>
      <c r="DBV487" s="17"/>
      <c r="DBW487" s="17"/>
      <c r="DBX487" s="17"/>
      <c r="DBY487" s="17"/>
      <c r="DBZ487" s="17"/>
      <c r="DCA487" s="17"/>
      <c r="DCB487" s="17"/>
      <c r="DCC487" s="17"/>
      <c r="DCD487" s="17"/>
      <c r="DCE487" s="17"/>
      <c r="DCF487" s="17"/>
      <c r="DCG487" s="17"/>
      <c r="DCH487" s="17"/>
      <c r="DCI487" s="17"/>
      <c r="DCJ487" s="17"/>
      <c r="DCK487" s="17"/>
      <c r="DCL487" s="17"/>
      <c r="DCM487" s="17"/>
      <c r="DCN487" s="17"/>
      <c r="DCO487" s="17"/>
      <c r="DCP487" s="17"/>
      <c r="DCQ487" s="17"/>
      <c r="DCR487" s="17"/>
      <c r="DCS487" s="17"/>
      <c r="DCT487" s="17"/>
      <c r="DCU487" s="17"/>
      <c r="DCV487" s="17"/>
      <c r="DCW487" s="17"/>
      <c r="DCX487" s="17"/>
      <c r="DCY487" s="17"/>
      <c r="DCZ487" s="17"/>
      <c r="DDA487" s="17"/>
      <c r="DDB487" s="17"/>
      <c r="DDC487" s="17"/>
      <c r="DDD487" s="17"/>
      <c r="DDE487" s="17"/>
      <c r="DDF487" s="17"/>
      <c r="DDG487" s="17"/>
      <c r="DDH487" s="17"/>
      <c r="DDI487" s="17"/>
      <c r="DDJ487" s="17"/>
      <c r="DDK487" s="17"/>
      <c r="DDL487" s="17"/>
      <c r="DDM487" s="17"/>
      <c r="DDN487" s="17"/>
      <c r="DDO487" s="17"/>
      <c r="DDP487" s="17"/>
      <c r="DDQ487" s="17"/>
      <c r="DDR487" s="17"/>
      <c r="DDS487" s="17"/>
      <c r="DDT487" s="17"/>
      <c r="DDU487" s="17"/>
      <c r="DDV487" s="17"/>
      <c r="DDW487" s="17"/>
      <c r="DDX487" s="17"/>
      <c r="DDY487" s="17"/>
      <c r="DDZ487" s="17"/>
      <c r="DEA487" s="17"/>
      <c r="DEB487" s="17"/>
      <c r="DEC487" s="17"/>
      <c r="DED487" s="17"/>
      <c r="DEE487" s="17"/>
      <c r="DEF487" s="17"/>
      <c r="DEG487" s="17"/>
      <c r="DEH487" s="17"/>
      <c r="DEI487" s="17"/>
      <c r="DEJ487" s="17"/>
      <c r="DEK487" s="17"/>
      <c r="DEL487" s="17"/>
      <c r="DEM487" s="17"/>
      <c r="DEN487" s="17"/>
      <c r="DEO487" s="17"/>
      <c r="DEP487" s="17"/>
      <c r="DEQ487" s="17"/>
      <c r="DER487" s="17"/>
      <c r="DES487" s="17"/>
      <c r="DET487" s="17"/>
      <c r="DEU487" s="17"/>
      <c r="DEV487" s="17"/>
      <c r="DEW487" s="17"/>
      <c r="DEX487" s="17"/>
      <c r="DEY487" s="17"/>
      <c r="DEZ487" s="17"/>
      <c r="DFA487" s="17"/>
      <c r="DFB487" s="17"/>
      <c r="DFC487" s="17"/>
      <c r="DFD487" s="17"/>
      <c r="DFE487" s="17"/>
      <c r="DFF487" s="17"/>
      <c r="DFG487" s="17"/>
      <c r="DFH487" s="17"/>
      <c r="DFI487" s="17"/>
      <c r="DFJ487" s="17"/>
      <c r="DFK487" s="17"/>
      <c r="DFL487" s="17"/>
      <c r="DFM487" s="17"/>
      <c r="DFN487" s="17"/>
      <c r="DFO487" s="17"/>
      <c r="DFP487" s="17"/>
      <c r="DFQ487" s="17"/>
      <c r="DFR487" s="17"/>
      <c r="DFS487" s="17"/>
      <c r="DFT487" s="17"/>
      <c r="DFU487" s="17"/>
      <c r="DFV487" s="17"/>
      <c r="DFW487" s="17"/>
      <c r="DFX487" s="17"/>
      <c r="DFY487" s="17"/>
      <c r="DFZ487" s="17"/>
      <c r="DGA487" s="17"/>
      <c r="DGB487" s="17"/>
      <c r="DGC487" s="17"/>
      <c r="DGD487" s="17"/>
      <c r="DGE487" s="17"/>
      <c r="DGF487" s="17"/>
      <c r="DGG487" s="17"/>
      <c r="DGH487" s="17"/>
      <c r="DGI487" s="17"/>
      <c r="DGJ487" s="17"/>
      <c r="DGK487" s="17"/>
      <c r="DGL487" s="17"/>
      <c r="DGM487" s="17"/>
      <c r="DGN487" s="17"/>
      <c r="DGO487" s="17"/>
      <c r="DGP487" s="17"/>
      <c r="DGQ487" s="17"/>
      <c r="DGR487" s="17"/>
      <c r="DGS487" s="17"/>
      <c r="DGT487" s="17"/>
      <c r="DGU487" s="17"/>
      <c r="DGV487" s="17"/>
      <c r="DGW487" s="17"/>
      <c r="DGX487" s="17"/>
      <c r="DGY487" s="17"/>
      <c r="DGZ487" s="17"/>
      <c r="DHA487" s="17"/>
      <c r="DHB487" s="17"/>
      <c r="DHC487" s="17"/>
      <c r="DHD487" s="17"/>
      <c r="DHE487" s="17"/>
      <c r="DHF487" s="17"/>
      <c r="DHG487" s="17"/>
      <c r="DHH487" s="17"/>
      <c r="DHI487" s="17"/>
      <c r="DHJ487" s="17"/>
      <c r="DHK487" s="17"/>
      <c r="DHL487" s="17"/>
      <c r="DHM487" s="17"/>
      <c r="DHN487" s="17"/>
      <c r="DHO487" s="17"/>
      <c r="DHP487" s="17"/>
      <c r="DHQ487" s="17"/>
      <c r="DHR487" s="17"/>
      <c r="DHS487" s="17"/>
      <c r="DHT487" s="17"/>
      <c r="DHU487" s="17"/>
      <c r="DHV487" s="17"/>
      <c r="DHW487" s="17"/>
      <c r="DHX487" s="17"/>
      <c r="DHY487" s="17"/>
      <c r="DHZ487" s="17"/>
      <c r="DIA487" s="17"/>
      <c r="DIB487" s="17"/>
      <c r="DIC487" s="17"/>
      <c r="DID487" s="17"/>
      <c r="DIE487" s="17"/>
      <c r="DIF487" s="17"/>
      <c r="DIG487" s="17"/>
      <c r="DIH487" s="17"/>
      <c r="DII487" s="17"/>
      <c r="DIJ487" s="17"/>
      <c r="DIK487" s="17"/>
      <c r="DIL487" s="17"/>
      <c r="DIM487" s="17"/>
      <c r="DIN487" s="17"/>
      <c r="DIO487" s="17"/>
      <c r="DIP487" s="17"/>
      <c r="DIQ487" s="17"/>
      <c r="DIR487" s="17"/>
      <c r="DIS487" s="17"/>
      <c r="DIT487" s="17"/>
      <c r="DIU487" s="17"/>
      <c r="DIV487" s="17"/>
      <c r="DIW487" s="17"/>
      <c r="DIX487" s="17"/>
      <c r="DIY487" s="17"/>
      <c r="DIZ487" s="17"/>
      <c r="DJA487" s="17"/>
      <c r="DJB487" s="17"/>
      <c r="DJC487" s="17"/>
      <c r="DJD487" s="17"/>
      <c r="DJE487" s="17"/>
      <c r="DJF487" s="17"/>
      <c r="DJG487" s="17"/>
      <c r="DJH487" s="17"/>
      <c r="DJI487" s="17"/>
      <c r="DJJ487" s="17"/>
      <c r="DJK487" s="17"/>
      <c r="DJL487" s="17"/>
      <c r="DJM487" s="17"/>
      <c r="DJN487" s="17"/>
      <c r="DJO487" s="17"/>
      <c r="DJP487" s="17"/>
      <c r="DJQ487" s="17"/>
      <c r="DJR487" s="17"/>
      <c r="DJS487" s="17"/>
      <c r="DJT487" s="17"/>
      <c r="DJU487" s="17"/>
      <c r="DJV487" s="17"/>
      <c r="DJW487" s="17"/>
      <c r="DJX487" s="17"/>
      <c r="DJY487" s="17"/>
      <c r="DJZ487" s="17"/>
      <c r="DKA487" s="17"/>
      <c r="DKB487" s="17"/>
      <c r="DKC487" s="17"/>
      <c r="DKD487" s="17"/>
      <c r="DKE487" s="17"/>
      <c r="DKF487" s="17"/>
      <c r="DKG487" s="17"/>
      <c r="DKH487" s="17"/>
      <c r="DKI487" s="17"/>
      <c r="DKJ487" s="17"/>
      <c r="DKK487" s="17"/>
      <c r="DKL487" s="17"/>
      <c r="DKM487" s="17"/>
      <c r="DKN487" s="17"/>
      <c r="DKO487" s="17"/>
      <c r="DKP487" s="17"/>
      <c r="DKQ487" s="17"/>
      <c r="DKR487" s="17"/>
      <c r="DKS487" s="17"/>
      <c r="DKT487" s="17"/>
      <c r="DKU487" s="17"/>
      <c r="DKV487" s="17"/>
      <c r="DKW487" s="17"/>
      <c r="DKX487" s="17"/>
      <c r="DKY487" s="17"/>
      <c r="DKZ487" s="17"/>
      <c r="DLA487" s="17"/>
      <c r="DLB487" s="17"/>
      <c r="DLC487" s="17"/>
      <c r="DLD487" s="17"/>
      <c r="DLE487" s="17"/>
      <c r="DLF487" s="17"/>
      <c r="DLG487" s="17"/>
      <c r="DLH487" s="17"/>
      <c r="DLI487" s="17"/>
      <c r="DLJ487" s="17"/>
      <c r="DLK487" s="17"/>
      <c r="DLL487" s="17"/>
      <c r="DLM487" s="17"/>
      <c r="DLN487" s="17"/>
      <c r="DLO487" s="17"/>
      <c r="DLP487" s="17"/>
      <c r="DLQ487" s="17"/>
      <c r="DLR487" s="17"/>
      <c r="DLS487" s="17"/>
      <c r="DLT487" s="17"/>
      <c r="DLU487" s="17"/>
      <c r="DLV487" s="17"/>
      <c r="DLW487" s="17"/>
      <c r="DLX487" s="17"/>
      <c r="DLY487" s="17"/>
      <c r="DLZ487" s="17"/>
      <c r="DMA487" s="17"/>
      <c r="DMB487" s="17"/>
      <c r="DMC487" s="17"/>
      <c r="DMD487" s="17"/>
      <c r="DME487" s="17"/>
      <c r="DMF487" s="17"/>
      <c r="DMG487" s="17"/>
      <c r="DMH487" s="17"/>
      <c r="DMI487" s="17"/>
      <c r="DMJ487" s="17"/>
      <c r="DMK487" s="17"/>
      <c r="DML487" s="17"/>
      <c r="DMM487" s="17"/>
      <c r="DMN487" s="17"/>
      <c r="DMO487" s="17"/>
      <c r="DMP487" s="17"/>
      <c r="DMQ487" s="17"/>
      <c r="DMR487" s="17"/>
      <c r="DMS487" s="17"/>
      <c r="DMT487" s="17"/>
      <c r="DMU487" s="17"/>
      <c r="DMV487" s="17"/>
      <c r="DMW487" s="17"/>
      <c r="DMX487" s="17"/>
      <c r="DMY487" s="17"/>
      <c r="DMZ487" s="17"/>
      <c r="DNA487" s="17"/>
      <c r="DNB487" s="17"/>
      <c r="DNC487" s="17"/>
      <c r="DND487" s="17"/>
      <c r="DNE487" s="17"/>
      <c r="DNF487" s="17"/>
      <c r="DNG487" s="17"/>
      <c r="DNH487" s="17"/>
      <c r="DNI487" s="17"/>
      <c r="DNJ487" s="17"/>
      <c r="DNK487" s="17"/>
      <c r="DNL487" s="17"/>
      <c r="DNM487" s="17"/>
      <c r="DNN487" s="17"/>
      <c r="DNO487" s="17"/>
      <c r="DNP487" s="17"/>
      <c r="DNQ487" s="17"/>
      <c r="DNR487" s="17"/>
      <c r="DNS487" s="17"/>
      <c r="DNT487" s="17"/>
      <c r="DNU487" s="17"/>
      <c r="DNV487" s="17"/>
      <c r="DNW487" s="17"/>
      <c r="DNX487" s="17"/>
      <c r="DNY487" s="17"/>
      <c r="DNZ487" s="17"/>
      <c r="DOA487" s="17"/>
      <c r="DOB487" s="17"/>
      <c r="DOC487" s="17"/>
      <c r="DOD487" s="17"/>
      <c r="DOE487" s="17"/>
      <c r="DOF487" s="17"/>
      <c r="DOG487" s="17"/>
      <c r="DOH487" s="17"/>
      <c r="DOI487" s="17"/>
      <c r="DOJ487" s="17"/>
      <c r="DOK487" s="17"/>
      <c r="DOL487" s="17"/>
      <c r="DOM487" s="17"/>
      <c r="DON487" s="17"/>
      <c r="DOO487" s="17"/>
      <c r="DOP487" s="17"/>
      <c r="DOQ487" s="17"/>
      <c r="DOR487" s="17"/>
      <c r="DOS487" s="17"/>
      <c r="DOT487" s="17"/>
      <c r="DOU487" s="17"/>
      <c r="DOV487" s="17"/>
      <c r="DOW487" s="17"/>
      <c r="DOX487" s="17"/>
      <c r="DOY487" s="17"/>
      <c r="DOZ487" s="17"/>
      <c r="DPA487" s="17"/>
      <c r="DPB487" s="17"/>
      <c r="DPC487" s="17"/>
      <c r="DPD487" s="17"/>
      <c r="DPE487" s="17"/>
      <c r="DPF487" s="17"/>
      <c r="DPG487" s="17"/>
      <c r="DPH487" s="17"/>
      <c r="DPI487" s="17"/>
      <c r="DPJ487" s="17"/>
      <c r="DPK487" s="17"/>
      <c r="DPL487" s="17"/>
      <c r="DPM487" s="17"/>
      <c r="DPN487" s="17"/>
      <c r="DPO487" s="17"/>
      <c r="DPP487" s="17"/>
      <c r="DPQ487" s="17"/>
      <c r="DPR487" s="17"/>
      <c r="DPS487" s="17"/>
      <c r="DPT487" s="17"/>
      <c r="DPU487" s="17"/>
      <c r="DPV487" s="17"/>
      <c r="DPW487" s="17"/>
      <c r="DPX487" s="17"/>
      <c r="DPY487" s="17"/>
      <c r="DPZ487" s="17"/>
      <c r="DQA487" s="17"/>
      <c r="DQB487" s="17"/>
      <c r="DQC487" s="17"/>
      <c r="DQD487" s="17"/>
      <c r="DQE487" s="17"/>
      <c r="DQF487" s="17"/>
      <c r="DQG487" s="17"/>
      <c r="DQH487" s="17"/>
      <c r="DQI487" s="17"/>
      <c r="DQJ487" s="17"/>
      <c r="DQK487" s="17"/>
      <c r="DQL487" s="17"/>
      <c r="DQM487" s="17"/>
      <c r="DQN487" s="17"/>
      <c r="DQO487" s="17"/>
      <c r="DQP487" s="17"/>
      <c r="DQQ487" s="17"/>
      <c r="DQR487" s="17"/>
      <c r="DQS487" s="17"/>
      <c r="DQT487" s="17"/>
      <c r="DQU487" s="17"/>
      <c r="DQV487" s="17"/>
      <c r="DQW487" s="17"/>
      <c r="DQX487" s="17"/>
      <c r="DQY487" s="17"/>
      <c r="DQZ487" s="17"/>
      <c r="DRA487" s="17"/>
      <c r="DRB487" s="17"/>
      <c r="DRC487" s="17"/>
      <c r="DRD487" s="17"/>
      <c r="DRE487" s="17"/>
      <c r="DRF487" s="17"/>
      <c r="DRG487" s="17"/>
      <c r="DRH487" s="17"/>
      <c r="DRI487" s="17"/>
      <c r="DRJ487" s="17"/>
      <c r="DRK487" s="17"/>
      <c r="DRL487" s="17"/>
      <c r="DRM487" s="17"/>
      <c r="DRN487" s="17"/>
      <c r="DRO487" s="17"/>
      <c r="DRP487" s="17"/>
      <c r="DRQ487" s="17"/>
      <c r="DRR487" s="17"/>
      <c r="DRS487" s="17"/>
      <c r="DRT487" s="17"/>
      <c r="DRU487" s="17"/>
      <c r="DRV487" s="17"/>
      <c r="DRW487" s="17"/>
      <c r="DRX487" s="17"/>
      <c r="DRY487" s="17"/>
      <c r="DRZ487" s="17"/>
      <c r="DSA487" s="17"/>
      <c r="DSB487" s="17"/>
      <c r="DSC487" s="17"/>
      <c r="DSD487" s="17"/>
      <c r="DSE487" s="17"/>
      <c r="DSF487" s="17"/>
      <c r="DSG487" s="17"/>
      <c r="DSH487" s="17"/>
      <c r="DSI487" s="17"/>
      <c r="DSJ487" s="17"/>
      <c r="DSK487" s="17"/>
      <c r="DSL487" s="17"/>
      <c r="DSM487" s="17"/>
      <c r="DSN487" s="17"/>
      <c r="DSO487" s="17"/>
      <c r="DSP487" s="17"/>
      <c r="DSQ487" s="17"/>
      <c r="DSR487" s="17"/>
      <c r="DSS487" s="17"/>
      <c r="DST487" s="17"/>
      <c r="DSU487" s="17"/>
      <c r="DSV487" s="17"/>
      <c r="DSW487" s="17"/>
      <c r="DSX487" s="17"/>
      <c r="DSY487" s="17"/>
      <c r="DSZ487" s="17"/>
      <c r="DTA487" s="17"/>
      <c r="DTB487" s="17"/>
      <c r="DTC487" s="17"/>
      <c r="DTD487" s="17"/>
      <c r="DTE487" s="17"/>
      <c r="DTF487" s="17"/>
      <c r="DTG487" s="17"/>
      <c r="DTH487" s="17"/>
      <c r="DTI487" s="17"/>
      <c r="DTJ487" s="17"/>
      <c r="DTK487" s="17"/>
      <c r="DTL487" s="17"/>
      <c r="DTM487" s="17"/>
      <c r="DTN487" s="17"/>
      <c r="DTO487" s="17"/>
      <c r="DTP487" s="17"/>
      <c r="DTQ487" s="17"/>
      <c r="DTR487" s="17"/>
      <c r="DTS487" s="17"/>
      <c r="DTT487" s="17"/>
      <c r="DTU487" s="17"/>
      <c r="DTV487" s="17"/>
      <c r="DTW487" s="17"/>
      <c r="DTX487" s="17"/>
      <c r="DTY487" s="17"/>
      <c r="DTZ487" s="17"/>
      <c r="DUA487" s="17"/>
      <c r="DUB487" s="17"/>
      <c r="DUC487" s="17"/>
      <c r="DUD487" s="17"/>
      <c r="DUE487" s="17"/>
      <c r="DUF487" s="17"/>
      <c r="DUG487" s="17"/>
      <c r="DUH487" s="17"/>
      <c r="DUI487" s="17"/>
      <c r="DUJ487" s="17"/>
      <c r="DUK487" s="17"/>
      <c r="DUL487" s="17"/>
      <c r="DUM487" s="17"/>
      <c r="DUN487" s="17"/>
      <c r="DUO487" s="17"/>
      <c r="DUP487" s="17"/>
      <c r="DUQ487" s="17"/>
      <c r="DUR487" s="17"/>
      <c r="DUS487" s="17"/>
      <c r="DUT487" s="17"/>
      <c r="DUU487" s="17"/>
      <c r="DUV487" s="17"/>
      <c r="DUW487" s="17"/>
      <c r="DUX487" s="17"/>
      <c r="DUY487" s="17"/>
      <c r="DUZ487" s="17"/>
      <c r="DVA487" s="17"/>
      <c r="DVB487" s="17"/>
      <c r="DVC487" s="17"/>
      <c r="DVD487" s="17"/>
      <c r="DVE487" s="17"/>
      <c r="DVF487" s="17"/>
      <c r="DVG487" s="17"/>
      <c r="DVH487" s="17"/>
      <c r="DVI487" s="17"/>
      <c r="DVJ487" s="17"/>
      <c r="DVK487" s="17"/>
      <c r="DVL487" s="17"/>
      <c r="DVM487" s="17"/>
      <c r="DVN487" s="17"/>
      <c r="DVO487" s="17"/>
      <c r="DVP487" s="17"/>
      <c r="DVQ487" s="17"/>
      <c r="DVR487" s="17"/>
      <c r="DVS487" s="17"/>
      <c r="DVT487" s="17"/>
      <c r="DVU487" s="17"/>
      <c r="DVV487" s="17"/>
      <c r="DVW487" s="17"/>
      <c r="DVX487" s="17"/>
      <c r="DVY487" s="17"/>
      <c r="DVZ487" s="17"/>
      <c r="DWA487" s="17"/>
      <c r="DWB487" s="17"/>
      <c r="DWC487" s="17"/>
      <c r="DWD487" s="17"/>
      <c r="DWE487" s="17"/>
      <c r="DWF487" s="17"/>
      <c r="DWG487" s="17"/>
      <c r="DWH487" s="17"/>
      <c r="DWI487" s="17"/>
      <c r="DWJ487" s="17"/>
      <c r="DWK487" s="17"/>
      <c r="DWL487" s="17"/>
      <c r="DWM487" s="17"/>
      <c r="DWN487" s="17"/>
      <c r="DWO487" s="17"/>
      <c r="DWP487" s="17"/>
      <c r="DWQ487" s="17"/>
      <c r="DWR487" s="17"/>
      <c r="DWS487" s="17"/>
      <c r="DWT487" s="17"/>
      <c r="DWU487" s="17"/>
      <c r="DWV487" s="17"/>
      <c r="DWW487" s="17"/>
      <c r="DWX487" s="17"/>
      <c r="DWY487" s="17"/>
      <c r="DWZ487" s="17"/>
      <c r="DXA487" s="17"/>
      <c r="DXB487" s="17"/>
      <c r="DXC487" s="17"/>
      <c r="DXD487" s="17"/>
      <c r="DXE487" s="17"/>
      <c r="DXF487" s="17"/>
      <c r="DXG487" s="17"/>
      <c r="DXH487" s="17"/>
      <c r="DXI487" s="17"/>
      <c r="DXJ487" s="17"/>
      <c r="DXK487" s="17"/>
      <c r="DXL487" s="17"/>
      <c r="DXM487" s="17"/>
      <c r="DXN487" s="17"/>
      <c r="DXO487" s="17"/>
      <c r="DXP487" s="17"/>
      <c r="DXQ487" s="17"/>
      <c r="DXR487" s="17"/>
      <c r="DXS487" s="17"/>
      <c r="DXT487" s="17"/>
      <c r="DXU487" s="17"/>
      <c r="DXV487" s="17"/>
      <c r="DXW487" s="17"/>
      <c r="DXX487" s="17"/>
      <c r="DXY487" s="17"/>
      <c r="DXZ487" s="17"/>
      <c r="DYA487" s="17"/>
      <c r="DYB487" s="17"/>
      <c r="DYC487" s="17"/>
      <c r="DYD487" s="17"/>
      <c r="DYE487" s="17"/>
      <c r="DYF487" s="17"/>
      <c r="DYG487" s="17"/>
      <c r="DYH487" s="17"/>
      <c r="DYI487" s="17"/>
      <c r="DYJ487" s="17"/>
      <c r="DYK487" s="17"/>
      <c r="DYL487" s="17"/>
      <c r="DYM487" s="17"/>
      <c r="DYN487" s="17"/>
      <c r="DYO487" s="17"/>
      <c r="DYP487" s="17"/>
      <c r="DYQ487" s="17"/>
      <c r="DYR487" s="17"/>
      <c r="DYS487" s="17"/>
      <c r="DYT487" s="17"/>
      <c r="DYU487" s="17"/>
      <c r="DYV487" s="17"/>
      <c r="DYW487" s="17"/>
      <c r="DYX487" s="17"/>
      <c r="DYY487" s="17"/>
      <c r="DYZ487" s="17"/>
      <c r="DZA487" s="17"/>
      <c r="DZB487" s="17"/>
      <c r="DZC487" s="17"/>
      <c r="DZD487" s="17"/>
      <c r="DZE487" s="17"/>
      <c r="DZF487" s="17"/>
      <c r="DZG487" s="17"/>
      <c r="DZH487" s="17"/>
      <c r="DZI487" s="17"/>
      <c r="DZJ487" s="17"/>
      <c r="DZK487" s="17"/>
      <c r="DZL487" s="17"/>
      <c r="DZM487" s="17"/>
      <c r="DZN487" s="17"/>
      <c r="DZO487" s="17"/>
      <c r="DZP487" s="17"/>
      <c r="DZQ487" s="17"/>
      <c r="DZR487" s="17"/>
      <c r="DZS487" s="17"/>
      <c r="DZT487" s="17"/>
      <c r="DZU487" s="17"/>
      <c r="DZV487" s="17"/>
      <c r="DZW487" s="17"/>
      <c r="DZX487" s="17"/>
      <c r="DZY487" s="17"/>
      <c r="DZZ487" s="17"/>
      <c r="EAA487" s="17"/>
      <c r="EAB487" s="17"/>
      <c r="EAC487" s="17"/>
      <c r="EAD487" s="17"/>
      <c r="EAE487" s="17"/>
      <c r="EAF487" s="17"/>
      <c r="EAG487" s="17"/>
      <c r="EAH487" s="17"/>
      <c r="EAI487" s="17"/>
      <c r="EAJ487" s="17"/>
      <c r="EAK487" s="17"/>
      <c r="EAL487" s="17"/>
      <c r="EAM487" s="17"/>
      <c r="EAN487" s="17"/>
      <c r="EAO487" s="17"/>
      <c r="EAP487" s="17"/>
      <c r="EAQ487" s="17"/>
      <c r="EAR487" s="17"/>
      <c r="EAS487" s="17"/>
      <c r="EAT487" s="17"/>
      <c r="EAU487" s="17"/>
      <c r="EAV487" s="17"/>
      <c r="EAW487" s="17"/>
      <c r="EAX487" s="17"/>
      <c r="EAY487" s="17"/>
      <c r="EAZ487" s="17"/>
      <c r="EBA487" s="17"/>
      <c r="EBB487" s="17"/>
      <c r="EBC487" s="17"/>
      <c r="EBD487" s="17"/>
      <c r="EBE487" s="17"/>
      <c r="EBF487" s="17"/>
      <c r="EBG487" s="17"/>
      <c r="EBH487" s="17"/>
      <c r="EBI487" s="17"/>
      <c r="EBJ487" s="17"/>
      <c r="EBK487" s="17"/>
      <c r="EBL487" s="17"/>
      <c r="EBM487" s="17"/>
      <c r="EBN487" s="17"/>
      <c r="EBO487" s="17"/>
      <c r="EBP487" s="17"/>
      <c r="EBQ487" s="17"/>
      <c r="EBR487" s="17"/>
      <c r="EBS487" s="17"/>
      <c r="EBT487" s="17"/>
      <c r="EBU487" s="17"/>
      <c r="EBV487" s="17"/>
      <c r="EBW487" s="17"/>
      <c r="EBX487" s="17"/>
      <c r="EBY487" s="17"/>
      <c r="EBZ487" s="17"/>
      <c r="ECA487" s="17"/>
      <c r="ECB487" s="17"/>
      <c r="ECC487" s="17"/>
      <c r="ECD487" s="17"/>
      <c r="ECE487" s="17"/>
      <c r="ECF487" s="17"/>
      <c r="ECG487" s="17"/>
      <c r="ECH487" s="17"/>
      <c r="ECI487" s="17"/>
      <c r="ECJ487" s="17"/>
      <c r="ECK487" s="17"/>
      <c r="ECL487" s="17"/>
      <c r="ECM487" s="17"/>
      <c r="ECN487" s="17"/>
      <c r="ECO487" s="17"/>
      <c r="ECP487" s="17"/>
      <c r="ECQ487" s="17"/>
      <c r="ECR487" s="17"/>
      <c r="ECS487" s="17"/>
      <c r="ECT487" s="17"/>
      <c r="ECU487" s="17"/>
      <c r="ECV487" s="17"/>
      <c r="ECW487" s="17"/>
      <c r="ECX487" s="17"/>
      <c r="ECY487" s="17"/>
      <c r="ECZ487" s="17"/>
      <c r="EDA487" s="17"/>
      <c r="EDB487" s="17"/>
      <c r="EDC487" s="17"/>
      <c r="EDD487" s="17"/>
      <c r="EDE487" s="17"/>
      <c r="EDF487" s="17"/>
      <c r="EDG487" s="17"/>
      <c r="EDH487" s="17"/>
      <c r="EDI487" s="17"/>
      <c r="EDJ487" s="17"/>
      <c r="EDK487" s="17"/>
      <c r="EDL487" s="17"/>
      <c r="EDM487" s="17"/>
      <c r="EDN487" s="17"/>
      <c r="EDO487" s="17"/>
      <c r="EDP487" s="17"/>
      <c r="EDQ487" s="17"/>
      <c r="EDR487" s="17"/>
      <c r="EDS487" s="17"/>
      <c r="EDT487" s="17"/>
      <c r="EDU487" s="17"/>
      <c r="EDV487" s="17"/>
      <c r="EDW487" s="17"/>
      <c r="EDX487" s="17"/>
      <c r="EDY487" s="17"/>
      <c r="EDZ487" s="17"/>
      <c r="EEA487" s="17"/>
      <c r="EEB487" s="17"/>
      <c r="EEC487" s="17"/>
      <c r="EED487" s="17"/>
      <c r="EEE487" s="17"/>
      <c r="EEF487" s="17"/>
      <c r="EEG487" s="17"/>
      <c r="EEH487" s="17"/>
      <c r="EEI487" s="17"/>
      <c r="EEJ487" s="17"/>
      <c r="EEK487" s="17"/>
      <c r="EEL487" s="17"/>
      <c r="EEM487" s="17"/>
      <c r="EEN487" s="17"/>
      <c r="EEO487" s="17"/>
      <c r="EEP487" s="17"/>
      <c r="EEQ487" s="17"/>
      <c r="EER487" s="17"/>
      <c r="EES487" s="17"/>
      <c r="EET487" s="17"/>
      <c r="EEU487" s="17"/>
      <c r="EEV487" s="17"/>
      <c r="EEW487" s="17"/>
      <c r="EEX487" s="17"/>
      <c r="EEY487" s="17"/>
      <c r="EEZ487" s="17"/>
      <c r="EFA487" s="17"/>
      <c r="EFB487" s="17"/>
      <c r="EFC487" s="17"/>
      <c r="EFD487" s="17"/>
      <c r="EFE487" s="17"/>
      <c r="EFF487" s="17"/>
      <c r="EFG487" s="17"/>
      <c r="EFH487" s="17"/>
      <c r="EFI487" s="17"/>
      <c r="EFJ487" s="17"/>
      <c r="EFK487" s="17"/>
      <c r="EFL487" s="17"/>
      <c r="EFM487" s="17"/>
      <c r="EFN487" s="17"/>
      <c r="EFO487" s="17"/>
      <c r="EFP487" s="17"/>
      <c r="EFQ487" s="17"/>
      <c r="EFR487" s="17"/>
      <c r="EFS487" s="17"/>
      <c r="EFT487" s="17"/>
      <c r="EFU487" s="17"/>
      <c r="EFV487" s="17"/>
      <c r="EFW487" s="17"/>
      <c r="EFX487" s="17"/>
      <c r="EFY487" s="17"/>
      <c r="EFZ487" s="17"/>
      <c r="EGA487" s="17"/>
      <c r="EGB487" s="17"/>
      <c r="EGC487" s="17"/>
      <c r="EGD487" s="17"/>
      <c r="EGE487" s="17"/>
      <c r="EGF487" s="17"/>
      <c r="EGG487" s="17"/>
      <c r="EGH487" s="17"/>
      <c r="EGI487" s="17"/>
      <c r="EGJ487" s="17"/>
      <c r="EGK487" s="17"/>
      <c r="EGL487" s="17"/>
      <c r="EGM487" s="17"/>
      <c r="EGN487" s="17"/>
      <c r="EGO487" s="17"/>
      <c r="EGP487" s="17"/>
      <c r="EGQ487" s="17"/>
      <c r="EGR487" s="17"/>
      <c r="EGS487" s="17"/>
      <c r="EGT487" s="17"/>
      <c r="EGU487" s="17"/>
      <c r="EGV487" s="17"/>
      <c r="EGW487" s="17"/>
      <c r="EGX487" s="17"/>
      <c r="EGY487" s="17"/>
      <c r="EGZ487" s="17"/>
      <c r="EHA487" s="17"/>
      <c r="EHB487" s="17"/>
      <c r="EHC487" s="17"/>
      <c r="EHD487" s="17"/>
      <c r="EHE487" s="17"/>
      <c r="EHF487" s="17"/>
      <c r="EHG487" s="17"/>
      <c r="EHH487" s="17"/>
      <c r="EHI487" s="17"/>
      <c r="EHJ487" s="17"/>
      <c r="EHK487" s="17"/>
      <c r="EHL487" s="17"/>
      <c r="EHM487" s="17"/>
      <c r="EHN487" s="17"/>
      <c r="EHO487" s="17"/>
      <c r="EHP487" s="17"/>
      <c r="EHQ487" s="17"/>
      <c r="EHR487" s="17"/>
      <c r="EHS487" s="17"/>
      <c r="EHT487" s="17"/>
      <c r="EHU487" s="17"/>
      <c r="EHV487" s="17"/>
      <c r="EHW487" s="17"/>
      <c r="EHX487" s="17"/>
      <c r="EHY487" s="17"/>
      <c r="EHZ487" s="17"/>
      <c r="EIA487" s="17"/>
      <c r="EIB487" s="17"/>
      <c r="EIC487" s="17"/>
      <c r="EID487" s="17"/>
      <c r="EIE487" s="17"/>
      <c r="EIF487" s="17"/>
      <c r="EIG487" s="17"/>
      <c r="EIH487" s="17"/>
      <c r="EII487" s="17"/>
      <c r="EIJ487" s="17"/>
      <c r="EIK487" s="17"/>
      <c r="EIL487" s="17"/>
      <c r="EIM487" s="17"/>
      <c r="EIN487" s="17"/>
      <c r="EIO487" s="17"/>
      <c r="EIP487" s="17"/>
      <c r="EIQ487" s="17"/>
      <c r="EIR487" s="17"/>
      <c r="EIS487" s="17"/>
      <c r="EIT487" s="17"/>
      <c r="EIU487" s="17"/>
      <c r="EIV487" s="17"/>
      <c r="EIW487" s="17"/>
      <c r="EIX487" s="17"/>
      <c r="EIY487" s="17"/>
      <c r="EIZ487" s="17"/>
      <c r="EJA487" s="17"/>
      <c r="EJB487" s="17"/>
      <c r="EJC487" s="17"/>
      <c r="EJD487" s="17"/>
      <c r="EJE487" s="17"/>
      <c r="EJF487" s="17"/>
      <c r="EJG487" s="17"/>
      <c r="EJH487" s="17"/>
      <c r="EJI487" s="17"/>
      <c r="EJJ487" s="17"/>
      <c r="EJK487" s="17"/>
      <c r="EJL487" s="17"/>
      <c r="EJM487" s="17"/>
      <c r="EJN487" s="17"/>
      <c r="EJO487" s="17"/>
      <c r="EJP487" s="17"/>
      <c r="EJQ487" s="17"/>
      <c r="EJR487" s="17"/>
      <c r="EJS487" s="17"/>
      <c r="EJT487" s="17"/>
      <c r="EJU487" s="17"/>
      <c r="EJV487" s="17"/>
      <c r="EJW487" s="17"/>
      <c r="EJX487" s="17"/>
      <c r="EJY487" s="17"/>
      <c r="EJZ487" s="17"/>
      <c r="EKA487" s="17"/>
      <c r="EKB487" s="17"/>
      <c r="EKC487" s="17"/>
      <c r="EKD487" s="17"/>
      <c r="EKE487" s="17"/>
      <c r="EKF487" s="17"/>
      <c r="EKG487" s="17"/>
      <c r="EKH487" s="17"/>
      <c r="EKI487" s="17"/>
      <c r="EKJ487" s="17"/>
      <c r="EKK487" s="17"/>
      <c r="EKL487" s="17"/>
      <c r="EKM487" s="17"/>
      <c r="EKN487" s="17"/>
      <c r="EKO487" s="17"/>
      <c r="EKP487" s="17"/>
      <c r="EKQ487" s="17"/>
      <c r="EKR487" s="17"/>
      <c r="EKS487" s="17"/>
      <c r="EKT487" s="17"/>
      <c r="EKU487" s="17"/>
      <c r="EKV487" s="17"/>
      <c r="EKW487" s="17"/>
      <c r="EKX487" s="17"/>
      <c r="EKY487" s="17"/>
      <c r="EKZ487" s="17"/>
      <c r="ELA487" s="17"/>
      <c r="ELB487" s="17"/>
      <c r="ELC487" s="17"/>
      <c r="ELD487" s="17"/>
      <c r="ELE487" s="17"/>
      <c r="ELF487" s="17"/>
      <c r="ELG487" s="17"/>
      <c r="ELH487" s="17"/>
      <c r="ELI487" s="17"/>
      <c r="ELJ487" s="17"/>
      <c r="ELK487" s="17"/>
      <c r="ELL487" s="17"/>
      <c r="ELM487" s="17"/>
      <c r="ELN487" s="17"/>
      <c r="ELO487" s="17"/>
      <c r="ELP487" s="17"/>
      <c r="ELQ487" s="17"/>
      <c r="ELR487" s="17"/>
      <c r="ELS487" s="17"/>
      <c r="ELT487" s="17"/>
      <c r="ELU487" s="17"/>
      <c r="ELV487" s="17"/>
      <c r="ELW487" s="17"/>
      <c r="ELX487" s="17"/>
      <c r="ELY487" s="17"/>
      <c r="ELZ487" s="17"/>
      <c r="EMA487" s="17"/>
      <c r="EMB487" s="17"/>
      <c r="EMC487" s="17"/>
      <c r="EMD487" s="17"/>
      <c r="EME487" s="17"/>
      <c r="EMF487" s="17"/>
      <c r="EMG487" s="17"/>
      <c r="EMH487" s="17"/>
      <c r="EMI487" s="17"/>
      <c r="EMJ487" s="17"/>
      <c r="EMK487" s="17"/>
      <c r="EML487" s="17"/>
      <c r="EMM487" s="17"/>
      <c r="EMN487" s="17"/>
      <c r="EMO487" s="17"/>
      <c r="EMP487" s="17"/>
      <c r="EMQ487" s="17"/>
      <c r="EMR487" s="17"/>
      <c r="EMS487" s="17"/>
      <c r="EMT487" s="17"/>
      <c r="EMU487" s="17"/>
      <c r="EMV487" s="17"/>
      <c r="EMW487" s="17"/>
      <c r="EMX487" s="17"/>
      <c r="EMY487" s="17"/>
      <c r="EMZ487" s="17"/>
      <c r="ENA487" s="17"/>
      <c r="ENB487" s="17"/>
      <c r="ENC487" s="17"/>
      <c r="END487" s="17"/>
      <c r="ENE487" s="17"/>
      <c r="ENF487" s="17"/>
      <c r="ENG487" s="17"/>
      <c r="ENH487" s="17"/>
      <c r="ENI487" s="17"/>
      <c r="ENJ487" s="17"/>
      <c r="ENK487" s="17"/>
      <c r="ENL487" s="17"/>
      <c r="ENM487" s="17"/>
      <c r="ENN487" s="17"/>
      <c r="ENO487" s="17"/>
      <c r="ENP487" s="17"/>
      <c r="ENQ487" s="17"/>
      <c r="ENR487" s="17"/>
      <c r="ENS487" s="17"/>
      <c r="ENT487" s="17"/>
      <c r="ENU487" s="17"/>
      <c r="ENV487" s="17"/>
      <c r="ENW487" s="17"/>
      <c r="ENX487" s="17"/>
      <c r="ENY487" s="17"/>
      <c r="ENZ487" s="17"/>
      <c r="EOA487" s="17"/>
      <c r="EOB487" s="17"/>
      <c r="EOC487" s="17"/>
      <c r="EOD487" s="17"/>
      <c r="EOE487" s="17"/>
      <c r="EOF487" s="17"/>
      <c r="EOG487" s="17"/>
      <c r="EOH487" s="17"/>
      <c r="EOI487" s="17"/>
      <c r="EOJ487" s="17"/>
      <c r="EOK487" s="17"/>
      <c r="EOL487" s="17"/>
      <c r="EOM487" s="17"/>
      <c r="EON487" s="17"/>
      <c r="EOO487" s="17"/>
      <c r="EOP487" s="17"/>
      <c r="EOQ487" s="17"/>
      <c r="EOR487" s="17"/>
      <c r="EOS487" s="17"/>
      <c r="EOT487" s="17"/>
      <c r="EOU487" s="17"/>
      <c r="EOV487" s="17"/>
      <c r="EOW487" s="17"/>
      <c r="EOX487" s="17"/>
      <c r="EOY487" s="17"/>
      <c r="EOZ487" s="17"/>
      <c r="EPA487" s="17"/>
      <c r="EPB487" s="17"/>
      <c r="EPC487" s="17"/>
      <c r="EPD487" s="17"/>
      <c r="EPE487" s="17"/>
      <c r="EPF487" s="17"/>
      <c r="EPG487" s="17"/>
      <c r="EPH487" s="17"/>
      <c r="EPI487" s="17"/>
      <c r="EPJ487" s="17"/>
      <c r="EPK487" s="17"/>
      <c r="EPL487" s="17"/>
      <c r="EPM487" s="17"/>
      <c r="EPN487" s="17"/>
      <c r="EPO487" s="17"/>
      <c r="EPP487" s="17"/>
      <c r="EPQ487" s="17"/>
      <c r="EPR487" s="17"/>
      <c r="EPS487" s="17"/>
      <c r="EPT487" s="17"/>
      <c r="EPU487" s="17"/>
      <c r="EPV487" s="17"/>
      <c r="EPW487" s="17"/>
      <c r="EPX487" s="17"/>
      <c r="EPY487" s="17"/>
      <c r="EPZ487" s="17"/>
      <c r="EQA487" s="17"/>
      <c r="EQB487" s="17"/>
      <c r="EQC487" s="17"/>
      <c r="EQD487" s="17"/>
      <c r="EQE487" s="17"/>
      <c r="EQF487" s="17"/>
      <c r="EQG487" s="17"/>
      <c r="EQH487" s="17"/>
      <c r="EQI487" s="17"/>
      <c r="EQJ487" s="17"/>
      <c r="EQK487" s="17"/>
      <c r="EQL487" s="17"/>
      <c r="EQM487" s="17"/>
      <c r="EQN487" s="17"/>
      <c r="EQO487" s="17"/>
      <c r="EQP487" s="17"/>
      <c r="EQQ487" s="17"/>
      <c r="EQR487" s="17"/>
      <c r="EQS487" s="17"/>
      <c r="EQT487" s="17"/>
      <c r="EQU487" s="17"/>
      <c r="EQV487" s="17"/>
      <c r="EQW487" s="17"/>
      <c r="EQX487" s="17"/>
      <c r="EQY487" s="17"/>
      <c r="EQZ487" s="17"/>
      <c r="ERA487" s="17"/>
      <c r="ERB487" s="17"/>
      <c r="ERC487" s="17"/>
      <c r="ERD487" s="17"/>
      <c r="ERE487" s="17"/>
      <c r="ERF487" s="17"/>
      <c r="ERG487" s="17"/>
      <c r="ERH487" s="17"/>
      <c r="ERI487" s="17"/>
      <c r="ERJ487" s="17"/>
      <c r="ERK487" s="17"/>
      <c r="ERL487" s="17"/>
      <c r="ERM487" s="17"/>
      <c r="ERN487" s="17"/>
      <c r="ERO487" s="17"/>
      <c r="ERP487" s="17"/>
      <c r="ERQ487" s="17"/>
      <c r="ERR487" s="17"/>
      <c r="ERS487" s="17"/>
      <c r="ERT487" s="17"/>
      <c r="ERU487" s="17"/>
      <c r="ERV487" s="17"/>
      <c r="ERW487" s="17"/>
      <c r="ERX487" s="17"/>
      <c r="ERY487" s="17"/>
      <c r="ERZ487" s="17"/>
      <c r="ESA487" s="17"/>
      <c r="ESB487" s="17"/>
      <c r="ESC487" s="17"/>
      <c r="ESD487" s="17"/>
      <c r="ESE487" s="17"/>
      <c r="ESF487" s="17"/>
      <c r="ESG487" s="17"/>
      <c r="ESH487" s="17"/>
      <c r="ESI487" s="17"/>
      <c r="ESJ487" s="17"/>
      <c r="ESK487" s="17"/>
      <c r="ESL487" s="17"/>
      <c r="ESM487" s="17"/>
      <c r="ESN487" s="17"/>
      <c r="ESO487" s="17"/>
      <c r="ESP487" s="17"/>
      <c r="ESQ487" s="17"/>
      <c r="ESR487" s="17"/>
      <c r="ESS487" s="17"/>
      <c r="EST487" s="17"/>
      <c r="ESU487" s="17"/>
      <c r="ESV487" s="17"/>
      <c r="ESW487" s="17"/>
      <c r="ESX487" s="17"/>
      <c r="ESY487" s="17"/>
      <c r="ESZ487" s="17"/>
      <c r="ETA487" s="17"/>
      <c r="ETB487" s="17"/>
      <c r="ETC487" s="17"/>
      <c r="ETD487" s="17"/>
      <c r="ETE487" s="17"/>
      <c r="ETF487" s="17"/>
      <c r="ETG487" s="17"/>
      <c r="ETH487" s="17"/>
      <c r="ETI487" s="17"/>
      <c r="ETJ487" s="17"/>
      <c r="ETK487" s="17"/>
      <c r="ETL487" s="17"/>
      <c r="ETM487" s="17"/>
      <c r="ETN487" s="17"/>
      <c r="ETO487" s="17"/>
      <c r="ETP487" s="17"/>
      <c r="ETQ487" s="17"/>
      <c r="ETR487" s="17"/>
      <c r="ETS487" s="17"/>
      <c r="ETT487" s="17"/>
      <c r="ETU487" s="17"/>
      <c r="ETV487" s="17"/>
      <c r="ETW487" s="17"/>
      <c r="ETX487" s="17"/>
      <c r="ETY487" s="17"/>
      <c r="ETZ487" s="17"/>
      <c r="EUA487" s="17"/>
      <c r="EUB487" s="17"/>
      <c r="EUC487" s="17"/>
      <c r="EUD487" s="17"/>
      <c r="EUE487" s="17"/>
      <c r="EUF487" s="17"/>
      <c r="EUG487" s="17"/>
      <c r="EUH487" s="17"/>
      <c r="EUI487" s="17"/>
      <c r="EUJ487" s="17"/>
      <c r="EUK487" s="17"/>
      <c r="EUL487" s="17"/>
      <c r="EUM487" s="17"/>
      <c r="EUN487" s="17"/>
      <c r="EUO487" s="17"/>
      <c r="EUP487" s="17"/>
      <c r="EUQ487" s="17"/>
      <c r="EUR487" s="17"/>
      <c r="EUS487" s="17"/>
      <c r="EUT487" s="17"/>
      <c r="EUU487" s="17"/>
      <c r="EUV487" s="17"/>
      <c r="EUW487" s="17"/>
      <c r="EUX487" s="17"/>
      <c r="EUY487" s="17"/>
      <c r="EUZ487" s="17"/>
      <c r="EVA487" s="17"/>
      <c r="EVB487" s="17"/>
      <c r="EVC487" s="17"/>
      <c r="EVD487" s="17"/>
      <c r="EVE487" s="17"/>
      <c r="EVF487" s="17"/>
      <c r="EVG487" s="17"/>
      <c r="EVH487" s="17"/>
      <c r="EVI487" s="17"/>
      <c r="EVJ487" s="17"/>
      <c r="EVK487" s="17"/>
      <c r="EVL487" s="17"/>
      <c r="EVM487" s="17"/>
      <c r="EVN487" s="17"/>
      <c r="EVO487" s="17"/>
      <c r="EVP487" s="17"/>
      <c r="EVQ487" s="17"/>
      <c r="EVR487" s="17"/>
      <c r="EVS487" s="17"/>
      <c r="EVT487" s="17"/>
      <c r="EVU487" s="17"/>
      <c r="EVV487" s="17"/>
      <c r="EVW487" s="17"/>
      <c r="EVX487" s="17"/>
      <c r="EVY487" s="17"/>
      <c r="EVZ487" s="17"/>
      <c r="EWA487" s="17"/>
      <c r="EWB487" s="17"/>
      <c r="EWC487" s="17"/>
      <c r="EWD487" s="17"/>
      <c r="EWE487" s="17"/>
      <c r="EWF487" s="17"/>
      <c r="EWG487" s="17"/>
      <c r="EWH487" s="17"/>
      <c r="EWI487" s="17"/>
      <c r="EWJ487" s="17"/>
      <c r="EWK487" s="17"/>
      <c r="EWL487" s="17"/>
      <c r="EWM487" s="17"/>
      <c r="EWN487" s="17"/>
      <c r="EWO487" s="17"/>
      <c r="EWP487" s="17"/>
      <c r="EWQ487" s="17"/>
      <c r="EWR487" s="17"/>
      <c r="EWS487" s="17"/>
      <c r="EWT487" s="17"/>
      <c r="EWU487" s="17"/>
      <c r="EWV487" s="17"/>
      <c r="EWW487" s="17"/>
      <c r="EWX487" s="17"/>
      <c r="EWY487" s="17"/>
      <c r="EWZ487" s="17"/>
      <c r="EXA487" s="17"/>
      <c r="EXB487" s="17"/>
      <c r="EXC487" s="17"/>
      <c r="EXD487" s="17"/>
      <c r="EXE487" s="17"/>
      <c r="EXF487" s="17"/>
      <c r="EXG487" s="17"/>
      <c r="EXH487" s="17"/>
      <c r="EXI487" s="17"/>
      <c r="EXJ487" s="17"/>
      <c r="EXK487" s="17"/>
      <c r="EXL487" s="17"/>
      <c r="EXM487" s="17"/>
      <c r="EXN487" s="17"/>
      <c r="EXO487" s="17"/>
      <c r="EXP487" s="17"/>
      <c r="EXQ487" s="17"/>
      <c r="EXR487" s="17"/>
      <c r="EXS487" s="17"/>
      <c r="EXT487" s="17"/>
      <c r="EXU487" s="17"/>
      <c r="EXV487" s="17"/>
      <c r="EXW487" s="17"/>
      <c r="EXX487" s="17"/>
      <c r="EXY487" s="17"/>
      <c r="EXZ487" s="17"/>
      <c r="EYA487" s="17"/>
      <c r="EYB487" s="17"/>
      <c r="EYC487" s="17"/>
      <c r="EYD487" s="17"/>
      <c r="EYE487" s="17"/>
      <c r="EYF487" s="17"/>
      <c r="EYG487" s="17"/>
      <c r="EYH487" s="17"/>
      <c r="EYI487" s="17"/>
      <c r="EYJ487" s="17"/>
      <c r="EYK487" s="17"/>
      <c r="EYL487" s="17"/>
      <c r="EYM487" s="17"/>
      <c r="EYN487" s="17"/>
      <c r="EYO487" s="17"/>
      <c r="EYP487" s="17"/>
      <c r="EYQ487" s="17"/>
      <c r="EYR487" s="17"/>
      <c r="EYS487" s="17"/>
      <c r="EYT487" s="17"/>
      <c r="EYU487" s="17"/>
      <c r="EYV487" s="17"/>
      <c r="EYW487" s="17"/>
      <c r="EYX487" s="17"/>
      <c r="EYY487" s="17"/>
      <c r="EYZ487" s="17"/>
      <c r="EZA487" s="17"/>
      <c r="EZB487" s="17"/>
      <c r="EZC487" s="17"/>
      <c r="EZD487" s="17"/>
      <c r="EZE487" s="17"/>
      <c r="EZF487" s="17"/>
      <c r="EZG487" s="17"/>
      <c r="EZH487" s="17"/>
      <c r="EZI487" s="17"/>
      <c r="EZJ487" s="17"/>
      <c r="EZK487" s="17"/>
      <c r="EZL487" s="17"/>
      <c r="EZM487" s="17"/>
      <c r="EZN487" s="17"/>
      <c r="EZO487" s="17"/>
      <c r="EZP487" s="17"/>
      <c r="EZQ487" s="17"/>
      <c r="EZR487" s="17"/>
      <c r="EZS487" s="17"/>
      <c r="EZT487" s="17"/>
      <c r="EZU487" s="17"/>
      <c r="EZV487" s="17"/>
      <c r="EZW487" s="17"/>
      <c r="EZX487" s="17"/>
      <c r="EZY487" s="17"/>
      <c r="EZZ487" s="17"/>
      <c r="FAA487" s="17"/>
      <c r="FAB487" s="17"/>
      <c r="FAC487" s="17"/>
      <c r="FAD487" s="17"/>
      <c r="FAE487" s="17"/>
      <c r="FAF487" s="17"/>
      <c r="FAG487" s="17"/>
      <c r="FAH487" s="17"/>
      <c r="FAI487" s="17"/>
      <c r="FAJ487" s="17"/>
      <c r="FAK487" s="17"/>
      <c r="FAL487" s="17"/>
      <c r="FAM487" s="17"/>
      <c r="FAN487" s="17"/>
      <c r="FAO487" s="17"/>
      <c r="FAP487" s="17"/>
      <c r="FAQ487" s="17"/>
      <c r="FAR487" s="17"/>
      <c r="FAS487" s="17"/>
      <c r="FAT487" s="17"/>
      <c r="FAU487" s="17"/>
      <c r="FAV487" s="17"/>
      <c r="FAW487" s="17"/>
      <c r="FAX487" s="17"/>
      <c r="FAY487" s="17"/>
      <c r="FAZ487" s="17"/>
      <c r="FBA487" s="17"/>
      <c r="FBB487" s="17"/>
      <c r="FBC487" s="17"/>
      <c r="FBD487" s="17"/>
      <c r="FBE487" s="17"/>
      <c r="FBF487" s="17"/>
      <c r="FBG487" s="17"/>
      <c r="FBH487" s="17"/>
      <c r="FBI487" s="17"/>
      <c r="FBJ487" s="17"/>
      <c r="FBK487" s="17"/>
      <c r="FBL487" s="17"/>
      <c r="FBM487" s="17"/>
      <c r="FBN487" s="17"/>
      <c r="FBO487" s="17"/>
      <c r="FBP487" s="17"/>
      <c r="FBQ487" s="17"/>
      <c r="FBR487" s="17"/>
      <c r="FBS487" s="17"/>
      <c r="FBT487" s="17"/>
      <c r="FBU487" s="17"/>
      <c r="FBV487" s="17"/>
      <c r="FBW487" s="17"/>
      <c r="FBX487" s="17"/>
      <c r="FBY487" s="17"/>
      <c r="FBZ487" s="17"/>
      <c r="FCA487" s="17"/>
      <c r="FCB487" s="17"/>
      <c r="FCC487" s="17"/>
      <c r="FCD487" s="17"/>
      <c r="FCE487" s="17"/>
      <c r="FCF487" s="17"/>
      <c r="FCG487" s="17"/>
      <c r="FCH487" s="17"/>
      <c r="FCI487" s="17"/>
      <c r="FCJ487" s="17"/>
      <c r="FCK487" s="17"/>
      <c r="FCL487" s="17"/>
      <c r="FCM487" s="17"/>
      <c r="FCN487" s="17"/>
      <c r="FCO487" s="17"/>
      <c r="FCP487" s="17"/>
      <c r="FCQ487" s="17"/>
      <c r="FCR487" s="17"/>
      <c r="FCS487" s="17"/>
      <c r="FCT487" s="17"/>
      <c r="FCU487" s="17"/>
      <c r="FCV487" s="17"/>
      <c r="FCW487" s="17"/>
      <c r="FCX487" s="17"/>
      <c r="FCY487" s="17"/>
      <c r="FCZ487" s="17"/>
      <c r="FDA487" s="17"/>
      <c r="FDB487" s="17"/>
      <c r="FDC487" s="17"/>
      <c r="FDD487" s="17"/>
      <c r="FDE487" s="17"/>
      <c r="FDF487" s="17"/>
      <c r="FDG487" s="17"/>
      <c r="FDH487" s="17"/>
      <c r="FDI487" s="17"/>
      <c r="FDJ487" s="17"/>
      <c r="FDK487" s="17"/>
      <c r="FDL487" s="17"/>
      <c r="FDM487" s="17"/>
      <c r="FDN487" s="17"/>
      <c r="FDO487" s="17"/>
      <c r="FDP487" s="17"/>
      <c r="FDQ487" s="17"/>
      <c r="FDR487" s="17"/>
      <c r="FDS487" s="17"/>
      <c r="FDT487" s="17"/>
      <c r="FDU487" s="17"/>
      <c r="FDV487" s="17"/>
      <c r="FDW487" s="17"/>
      <c r="FDX487" s="17"/>
      <c r="FDY487" s="17"/>
      <c r="FDZ487" s="17"/>
      <c r="FEA487" s="17"/>
      <c r="FEB487" s="17"/>
      <c r="FEC487" s="17"/>
      <c r="FED487" s="17"/>
      <c r="FEE487" s="17"/>
      <c r="FEF487" s="17"/>
      <c r="FEG487" s="17"/>
      <c r="FEH487" s="17"/>
      <c r="FEI487" s="17"/>
      <c r="FEJ487" s="17"/>
      <c r="FEK487" s="17"/>
      <c r="FEL487" s="17"/>
      <c r="FEM487" s="17"/>
      <c r="FEN487" s="17"/>
      <c r="FEO487" s="17"/>
      <c r="FEP487" s="17"/>
      <c r="FEQ487" s="17"/>
      <c r="FER487" s="17"/>
      <c r="FES487" s="17"/>
      <c r="FET487" s="17"/>
      <c r="FEU487" s="17"/>
      <c r="FEV487" s="17"/>
      <c r="FEW487" s="17"/>
      <c r="FEX487" s="17"/>
      <c r="FEY487" s="17"/>
      <c r="FEZ487" s="17"/>
      <c r="FFA487" s="17"/>
      <c r="FFB487" s="17"/>
      <c r="FFC487" s="17"/>
      <c r="FFD487" s="17"/>
      <c r="FFE487" s="17"/>
      <c r="FFF487" s="17"/>
      <c r="FFG487" s="17"/>
      <c r="FFH487" s="17"/>
      <c r="FFI487" s="17"/>
      <c r="FFJ487" s="17"/>
      <c r="FFK487" s="17"/>
      <c r="FFL487" s="17"/>
      <c r="FFM487" s="17"/>
      <c r="FFN487" s="17"/>
      <c r="FFO487" s="17"/>
      <c r="FFP487" s="17"/>
      <c r="FFQ487" s="17"/>
      <c r="FFR487" s="17"/>
      <c r="FFS487" s="17"/>
      <c r="FFT487" s="17"/>
      <c r="FFU487" s="17"/>
      <c r="FFV487" s="17"/>
      <c r="FFW487" s="17"/>
      <c r="FFX487" s="17"/>
      <c r="FFY487" s="17"/>
      <c r="FFZ487" s="17"/>
      <c r="FGA487" s="17"/>
      <c r="FGB487" s="17"/>
      <c r="FGC487" s="17"/>
      <c r="FGD487" s="17"/>
      <c r="FGE487" s="17"/>
      <c r="FGF487" s="17"/>
      <c r="FGG487" s="17"/>
      <c r="FGH487" s="17"/>
      <c r="FGI487" s="17"/>
      <c r="FGJ487" s="17"/>
      <c r="FGK487" s="17"/>
      <c r="FGL487" s="17"/>
      <c r="FGM487" s="17"/>
      <c r="FGN487" s="17"/>
      <c r="FGO487" s="17"/>
      <c r="FGP487" s="17"/>
      <c r="FGQ487" s="17"/>
      <c r="FGR487" s="17"/>
      <c r="FGS487" s="17"/>
      <c r="FGT487" s="17"/>
      <c r="FGU487" s="17"/>
      <c r="FGV487" s="17"/>
      <c r="FGW487" s="17"/>
      <c r="FGX487" s="17"/>
      <c r="FGY487" s="17"/>
      <c r="FGZ487" s="17"/>
      <c r="FHA487" s="17"/>
      <c r="FHB487" s="17"/>
      <c r="FHC487" s="17"/>
      <c r="FHD487" s="17"/>
      <c r="FHE487" s="17"/>
      <c r="FHF487" s="17"/>
      <c r="FHG487" s="17"/>
      <c r="FHH487" s="17"/>
      <c r="FHI487" s="17"/>
      <c r="FHJ487" s="17"/>
      <c r="FHK487" s="17"/>
      <c r="FHL487" s="17"/>
      <c r="FHM487" s="17"/>
      <c r="FHN487" s="17"/>
      <c r="FHO487" s="17"/>
      <c r="FHP487" s="17"/>
      <c r="FHQ487" s="17"/>
      <c r="FHR487" s="17"/>
      <c r="FHS487" s="17"/>
      <c r="FHT487" s="17"/>
      <c r="FHU487" s="17"/>
      <c r="FHV487" s="17"/>
      <c r="FHW487" s="17"/>
      <c r="FHX487" s="17"/>
      <c r="FHY487" s="17"/>
      <c r="FHZ487" s="17"/>
      <c r="FIA487" s="17"/>
      <c r="FIB487" s="17"/>
      <c r="FIC487" s="17"/>
      <c r="FID487" s="17"/>
      <c r="FIE487" s="17"/>
      <c r="FIF487" s="17"/>
      <c r="FIG487" s="17"/>
      <c r="FIH487" s="17"/>
      <c r="FII487" s="17"/>
      <c r="FIJ487" s="17"/>
      <c r="FIK487" s="17"/>
      <c r="FIL487" s="17"/>
      <c r="FIM487" s="17"/>
      <c r="FIN487" s="17"/>
      <c r="FIO487" s="17"/>
      <c r="FIP487" s="17"/>
      <c r="FIQ487" s="17"/>
      <c r="FIR487" s="17"/>
      <c r="FIS487" s="17"/>
      <c r="FIT487" s="17"/>
      <c r="FIU487" s="17"/>
      <c r="FIV487" s="17"/>
      <c r="FIW487" s="17"/>
      <c r="FIX487" s="17"/>
      <c r="FIY487" s="17"/>
      <c r="FIZ487" s="17"/>
      <c r="FJA487" s="17"/>
      <c r="FJB487" s="17"/>
      <c r="FJC487" s="17"/>
      <c r="FJD487" s="17"/>
      <c r="FJE487" s="17"/>
      <c r="FJF487" s="17"/>
      <c r="FJG487" s="17"/>
      <c r="FJH487" s="17"/>
      <c r="FJI487" s="17"/>
      <c r="FJJ487" s="17"/>
      <c r="FJK487" s="17"/>
      <c r="FJL487" s="17"/>
      <c r="FJM487" s="17"/>
      <c r="FJN487" s="17"/>
      <c r="FJO487" s="17"/>
      <c r="FJP487" s="17"/>
      <c r="FJQ487" s="17"/>
      <c r="FJR487" s="17"/>
      <c r="FJS487" s="17"/>
      <c r="FJT487" s="17"/>
      <c r="FJU487" s="17"/>
      <c r="FJV487" s="17"/>
      <c r="FJW487" s="17"/>
      <c r="FJX487" s="17"/>
      <c r="FJY487" s="17"/>
      <c r="FJZ487" s="17"/>
      <c r="FKA487" s="17"/>
      <c r="FKB487" s="17"/>
      <c r="FKC487" s="17"/>
      <c r="FKD487" s="17"/>
      <c r="FKE487" s="17"/>
      <c r="FKF487" s="17"/>
      <c r="FKG487" s="17"/>
      <c r="FKH487" s="17"/>
      <c r="FKI487" s="17"/>
      <c r="FKJ487" s="17"/>
      <c r="FKK487" s="17"/>
      <c r="FKL487" s="17"/>
      <c r="FKM487" s="17"/>
      <c r="FKN487" s="17"/>
      <c r="FKO487" s="17"/>
      <c r="FKP487" s="17"/>
      <c r="FKQ487" s="17"/>
      <c r="FKR487" s="17"/>
      <c r="FKS487" s="17"/>
      <c r="FKT487" s="17"/>
      <c r="FKU487" s="17"/>
      <c r="FKV487" s="17"/>
      <c r="FKW487" s="17"/>
      <c r="FKX487" s="17"/>
      <c r="FKY487" s="17"/>
      <c r="FKZ487" s="17"/>
      <c r="FLA487" s="17"/>
      <c r="FLB487" s="17"/>
      <c r="FLC487" s="17"/>
      <c r="FLD487" s="17"/>
      <c r="FLE487" s="17"/>
      <c r="FLF487" s="17"/>
      <c r="FLG487" s="17"/>
      <c r="FLH487" s="17"/>
      <c r="FLI487" s="17"/>
      <c r="FLJ487" s="17"/>
      <c r="FLK487" s="17"/>
      <c r="FLL487" s="17"/>
      <c r="FLM487" s="17"/>
      <c r="FLN487" s="17"/>
      <c r="FLO487" s="17"/>
      <c r="FLP487" s="17"/>
      <c r="FLQ487" s="17"/>
      <c r="FLR487" s="17"/>
      <c r="FLS487" s="17"/>
      <c r="FLT487" s="17"/>
      <c r="FLU487" s="17"/>
      <c r="FLV487" s="17"/>
      <c r="FLW487" s="17"/>
      <c r="FLX487" s="17"/>
      <c r="FLY487" s="17"/>
      <c r="FLZ487" s="17"/>
      <c r="FMA487" s="17"/>
      <c r="FMB487" s="17"/>
      <c r="FMC487" s="17"/>
      <c r="FMD487" s="17"/>
      <c r="FME487" s="17"/>
      <c r="FMF487" s="17"/>
      <c r="FMG487" s="17"/>
      <c r="FMH487" s="17"/>
      <c r="FMI487" s="17"/>
      <c r="FMJ487" s="17"/>
      <c r="FMK487" s="17"/>
      <c r="FML487" s="17"/>
      <c r="FMM487" s="17"/>
      <c r="FMN487" s="17"/>
      <c r="FMO487" s="17"/>
      <c r="FMP487" s="17"/>
      <c r="FMQ487" s="17"/>
      <c r="FMR487" s="17"/>
      <c r="FMS487" s="17"/>
      <c r="FMT487" s="17"/>
      <c r="FMU487" s="17"/>
      <c r="FMV487" s="17"/>
      <c r="FMW487" s="17"/>
      <c r="FMX487" s="17"/>
      <c r="FMY487" s="17"/>
      <c r="FMZ487" s="17"/>
      <c r="FNA487" s="17"/>
      <c r="FNB487" s="17"/>
      <c r="FNC487" s="17"/>
      <c r="FND487" s="17"/>
      <c r="FNE487" s="17"/>
      <c r="FNF487" s="17"/>
      <c r="FNG487" s="17"/>
      <c r="FNH487" s="17"/>
      <c r="FNI487" s="17"/>
      <c r="FNJ487" s="17"/>
      <c r="FNK487" s="17"/>
      <c r="FNL487" s="17"/>
      <c r="FNM487" s="17"/>
      <c r="FNN487" s="17"/>
      <c r="FNO487" s="17"/>
      <c r="FNP487" s="17"/>
      <c r="FNQ487" s="17"/>
      <c r="FNR487" s="17"/>
      <c r="FNS487" s="17"/>
      <c r="FNT487" s="17"/>
      <c r="FNU487" s="17"/>
      <c r="FNV487" s="17"/>
      <c r="FNW487" s="17"/>
      <c r="FNX487" s="17"/>
      <c r="FNY487" s="17"/>
      <c r="FNZ487" s="17"/>
      <c r="FOA487" s="17"/>
      <c r="FOB487" s="17"/>
      <c r="FOC487" s="17"/>
      <c r="FOD487" s="17"/>
      <c r="FOE487" s="17"/>
      <c r="FOF487" s="17"/>
      <c r="FOG487" s="17"/>
      <c r="FOH487" s="17"/>
      <c r="FOI487" s="17"/>
      <c r="FOJ487" s="17"/>
      <c r="FOK487" s="17"/>
      <c r="FOL487" s="17"/>
      <c r="FOM487" s="17"/>
      <c r="FON487" s="17"/>
      <c r="FOO487" s="17"/>
      <c r="FOP487" s="17"/>
      <c r="FOQ487" s="17"/>
      <c r="FOR487" s="17"/>
      <c r="FOS487" s="17"/>
      <c r="FOT487" s="17"/>
      <c r="FOU487" s="17"/>
      <c r="FOV487" s="17"/>
      <c r="FOW487" s="17"/>
      <c r="FOX487" s="17"/>
      <c r="FOY487" s="17"/>
      <c r="FOZ487" s="17"/>
      <c r="FPA487" s="17"/>
      <c r="FPB487" s="17"/>
      <c r="FPC487" s="17"/>
      <c r="FPD487" s="17"/>
      <c r="FPE487" s="17"/>
      <c r="FPF487" s="17"/>
      <c r="FPG487" s="17"/>
      <c r="FPH487" s="17"/>
      <c r="FPI487" s="17"/>
      <c r="FPJ487" s="17"/>
      <c r="FPK487" s="17"/>
      <c r="FPL487" s="17"/>
      <c r="FPM487" s="17"/>
      <c r="FPN487" s="17"/>
      <c r="FPO487" s="17"/>
      <c r="FPP487" s="17"/>
      <c r="FPQ487" s="17"/>
      <c r="FPR487" s="17"/>
      <c r="FPS487" s="17"/>
      <c r="FPT487" s="17"/>
      <c r="FPU487" s="17"/>
      <c r="FPV487" s="17"/>
      <c r="FPW487" s="17"/>
      <c r="FPX487" s="17"/>
      <c r="FPY487" s="17"/>
      <c r="FPZ487" s="17"/>
      <c r="FQA487" s="17"/>
      <c r="FQB487" s="17"/>
      <c r="FQC487" s="17"/>
      <c r="FQD487" s="17"/>
      <c r="FQE487" s="17"/>
      <c r="FQF487" s="17"/>
      <c r="FQG487" s="17"/>
      <c r="FQH487" s="17"/>
      <c r="FQI487" s="17"/>
      <c r="FQJ487" s="17"/>
      <c r="FQK487" s="17"/>
      <c r="FQL487" s="17"/>
      <c r="FQM487" s="17"/>
      <c r="FQN487" s="17"/>
      <c r="FQO487" s="17"/>
      <c r="FQP487" s="17"/>
      <c r="FQQ487" s="17"/>
      <c r="FQR487" s="17"/>
      <c r="FQS487" s="17"/>
      <c r="FQT487" s="17"/>
      <c r="FQU487" s="17"/>
      <c r="FQV487" s="17"/>
      <c r="FQW487" s="17"/>
      <c r="FQX487" s="17"/>
      <c r="FQY487" s="17"/>
      <c r="FQZ487" s="17"/>
      <c r="FRA487" s="17"/>
      <c r="FRB487" s="17"/>
      <c r="FRC487" s="17"/>
      <c r="FRD487" s="17"/>
      <c r="FRE487" s="17"/>
      <c r="FRF487" s="17"/>
      <c r="FRG487" s="17"/>
      <c r="FRH487" s="17"/>
      <c r="FRI487" s="17"/>
      <c r="FRJ487" s="17"/>
      <c r="FRK487" s="17"/>
      <c r="FRL487" s="17"/>
      <c r="FRM487" s="17"/>
      <c r="FRN487" s="17"/>
      <c r="FRO487" s="17"/>
      <c r="FRP487" s="17"/>
      <c r="FRQ487" s="17"/>
      <c r="FRR487" s="17"/>
      <c r="FRS487" s="17"/>
      <c r="FRT487" s="17"/>
      <c r="FRU487" s="17"/>
      <c r="FRV487" s="17"/>
      <c r="FRW487" s="17"/>
      <c r="FRX487" s="17"/>
      <c r="FRY487" s="17"/>
      <c r="FRZ487" s="17"/>
      <c r="FSA487" s="17"/>
      <c r="FSB487" s="17"/>
      <c r="FSC487" s="17"/>
      <c r="FSD487" s="17"/>
      <c r="FSE487" s="17"/>
      <c r="FSF487" s="17"/>
      <c r="FSG487" s="17"/>
      <c r="FSH487" s="17"/>
      <c r="FSI487" s="17"/>
      <c r="FSJ487" s="17"/>
      <c r="FSK487" s="17"/>
      <c r="FSL487" s="17"/>
      <c r="FSM487" s="17"/>
      <c r="FSN487" s="17"/>
      <c r="FSO487" s="17"/>
      <c r="FSP487" s="17"/>
      <c r="FSQ487" s="17"/>
      <c r="FSR487" s="17"/>
      <c r="FSS487" s="17"/>
      <c r="FST487" s="17"/>
      <c r="FSU487" s="17"/>
      <c r="FSV487" s="17"/>
      <c r="FSW487" s="17"/>
      <c r="FSX487" s="17"/>
      <c r="FSY487" s="17"/>
      <c r="FSZ487" s="17"/>
      <c r="FTA487" s="17"/>
      <c r="FTB487" s="17"/>
      <c r="FTC487" s="17"/>
      <c r="FTD487" s="17"/>
      <c r="FTE487" s="17"/>
      <c r="FTF487" s="17"/>
      <c r="FTG487" s="17"/>
      <c r="FTH487" s="17"/>
      <c r="FTI487" s="17"/>
      <c r="FTJ487" s="17"/>
      <c r="FTK487" s="17"/>
      <c r="FTL487" s="17"/>
      <c r="FTM487" s="17"/>
      <c r="FTN487" s="17"/>
      <c r="FTO487" s="17"/>
      <c r="FTP487" s="17"/>
      <c r="FTQ487" s="17"/>
      <c r="FTR487" s="17"/>
      <c r="FTS487" s="17"/>
      <c r="FTT487" s="17"/>
      <c r="FTU487" s="17"/>
      <c r="FTV487" s="17"/>
      <c r="FTW487" s="17"/>
      <c r="FTX487" s="17"/>
      <c r="FTY487" s="17"/>
      <c r="FTZ487" s="17"/>
      <c r="FUA487" s="17"/>
      <c r="FUB487" s="17"/>
      <c r="FUC487" s="17"/>
      <c r="FUD487" s="17"/>
      <c r="FUE487" s="17"/>
      <c r="FUF487" s="17"/>
      <c r="FUG487" s="17"/>
      <c r="FUH487" s="17"/>
      <c r="FUI487" s="17"/>
      <c r="FUJ487" s="17"/>
      <c r="FUK487" s="17"/>
      <c r="FUL487" s="17"/>
      <c r="FUM487" s="17"/>
      <c r="FUN487" s="17"/>
      <c r="FUO487" s="17"/>
      <c r="FUP487" s="17"/>
      <c r="FUQ487" s="17"/>
      <c r="FUR487" s="17"/>
      <c r="FUS487" s="17"/>
      <c r="FUT487" s="17"/>
      <c r="FUU487" s="17"/>
      <c r="FUV487" s="17"/>
      <c r="FUW487" s="17"/>
      <c r="FUX487" s="17"/>
      <c r="FUY487" s="17"/>
      <c r="FUZ487" s="17"/>
      <c r="FVA487" s="17"/>
      <c r="FVB487" s="17"/>
      <c r="FVC487" s="17"/>
      <c r="FVD487" s="17"/>
      <c r="FVE487" s="17"/>
      <c r="FVF487" s="17"/>
      <c r="FVG487" s="17"/>
      <c r="FVH487" s="17"/>
      <c r="FVI487" s="17"/>
      <c r="FVJ487" s="17"/>
      <c r="FVK487" s="17"/>
      <c r="FVL487" s="17"/>
      <c r="FVM487" s="17"/>
      <c r="FVN487" s="17"/>
      <c r="FVO487" s="17"/>
      <c r="FVP487" s="17"/>
      <c r="FVQ487" s="17"/>
      <c r="FVR487" s="17"/>
      <c r="FVS487" s="17"/>
      <c r="FVT487" s="17"/>
      <c r="FVU487" s="17"/>
      <c r="FVV487" s="17"/>
      <c r="FVW487" s="17"/>
      <c r="FVX487" s="17"/>
      <c r="FVY487" s="17"/>
      <c r="FVZ487" s="17"/>
      <c r="FWA487" s="17"/>
      <c r="FWB487" s="17"/>
      <c r="FWC487" s="17"/>
      <c r="FWD487" s="17"/>
      <c r="FWE487" s="17"/>
      <c r="FWF487" s="17"/>
      <c r="FWG487" s="17"/>
      <c r="FWH487" s="17"/>
      <c r="FWI487" s="17"/>
      <c r="FWJ487" s="17"/>
      <c r="FWK487" s="17"/>
      <c r="FWL487" s="17"/>
      <c r="FWM487" s="17"/>
      <c r="FWN487" s="17"/>
      <c r="FWO487" s="17"/>
      <c r="FWP487" s="17"/>
      <c r="FWQ487" s="17"/>
      <c r="FWR487" s="17"/>
      <c r="FWS487" s="17"/>
      <c r="FWT487" s="17"/>
      <c r="FWU487" s="17"/>
      <c r="FWV487" s="17"/>
      <c r="FWW487" s="17"/>
      <c r="FWX487" s="17"/>
      <c r="FWY487" s="17"/>
      <c r="FWZ487" s="17"/>
      <c r="FXA487" s="17"/>
      <c r="FXB487" s="17"/>
      <c r="FXC487" s="17"/>
      <c r="FXD487" s="17"/>
      <c r="FXE487" s="17"/>
      <c r="FXF487" s="17"/>
      <c r="FXG487" s="17"/>
      <c r="FXH487" s="17"/>
      <c r="FXI487" s="17"/>
      <c r="FXJ487" s="17"/>
      <c r="FXK487" s="17"/>
      <c r="FXL487" s="17"/>
      <c r="FXM487" s="17"/>
      <c r="FXN487" s="17"/>
      <c r="FXO487" s="17"/>
      <c r="FXP487" s="17"/>
      <c r="FXQ487" s="17"/>
      <c r="FXR487" s="17"/>
      <c r="FXS487" s="17"/>
      <c r="FXT487" s="17"/>
      <c r="FXU487" s="17"/>
      <c r="FXV487" s="17"/>
      <c r="FXW487" s="17"/>
      <c r="FXX487" s="17"/>
      <c r="FXY487" s="17"/>
      <c r="FXZ487" s="17"/>
      <c r="FYA487" s="17"/>
      <c r="FYB487" s="17"/>
      <c r="FYC487" s="17"/>
      <c r="FYD487" s="17"/>
      <c r="FYE487" s="17"/>
      <c r="FYF487" s="17"/>
      <c r="FYG487" s="17"/>
      <c r="FYH487" s="17"/>
      <c r="FYI487" s="17"/>
      <c r="FYJ487" s="17"/>
      <c r="FYK487" s="17"/>
      <c r="FYL487" s="17"/>
      <c r="FYM487" s="17"/>
      <c r="FYN487" s="17"/>
      <c r="FYO487" s="17"/>
      <c r="FYP487" s="17"/>
      <c r="FYQ487" s="17"/>
      <c r="FYR487" s="17"/>
      <c r="FYS487" s="17"/>
      <c r="FYT487" s="17"/>
      <c r="FYU487" s="17"/>
      <c r="FYV487" s="17"/>
      <c r="FYW487" s="17"/>
      <c r="FYX487" s="17"/>
      <c r="FYY487" s="17"/>
      <c r="FYZ487" s="17"/>
      <c r="FZA487" s="17"/>
      <c r="FZB487" s="17"/>
      <c r="FZC487" s="17"/>
      <c r="FZD487" s="17"/>
      <c r="FZE487" s="17"/>
      <c r="FZF487" s="17"/>
      <c r="FZG487" s="17"/>
      <c r="FZH487" s="17"/>
      <c r="FZI487" s="17"/>
      <c r="FZJ487" s="17"/>
      <c r="FZK487" s="17"/>
      <c r="FZL487" s="17"/>
      <c r="FZM487" s="17"/>
      <c r="FZN487" s="17"/>
      <c r="FZO487" s="17"/>
      <c r="FZP487" s="17"/>
      <c r="FZQ487" s="17"/>
      <c r="FZR487" s="17"/>
      <c r="FZS487" s="17"/>
      <c r="FZT487" s="17"/>
      <c r="FZU487" s="17"/>
      <c r="FZV487" s="17"/>
      <c r="FZW487" s="17"/>
      <c r="FZX487" s="17"/>
      <c r="FZY487" s="17"/>
      <c r="FZZ487" s="17"/>
      <c r="GAA487" s="17"/>
      <c r="GAB487" s="17"/>
      <c r="GAC487" s="17"/>
      <c r="GAD487" s="17"/>
      <c r="GAE487" s="17"/>
      <c r="GAF487" s="17"/>
      <c r="GAG487" s="17"/>
      <c r="GAH487" s="17"/>
      <c r="GAI487" s="17"/>
      <c r="GAJ487" s="17"/>
      <c r="GAK487" s="17"/>
      <c r="GAL487" s="17"/>
      <c r="GAM487" s="17"/>
      <c r="GAN487" s="17"/>
      <c r="GAO487" s="17"/>
      <c r="GAP487" s="17"/>
      <c r="GAQ487" s="17"/>
      <c r="GAR487" s="17"/>
      <c r="GAS487" s="17"/>
      <c r="GAT487" s="17"/>
      <c r="GAU487" s="17"/>
      <c r="GAV487" s="17"/>
      <c r="GAW487" s="17"/>
      <c r="GAX487" s="17"/>
      <c r="GAY487" s="17"/>
      <c r="GAZ487" s="17"/>
      <c r="GBA487" s="17"/>
      <c r="GBB487" s="17"/>
      <c r="GBC487" s="17"/>
      <c r="GBD487" s="17"/>
      <c r="GBE487" s="17"/>
      <c r="GBF487" s="17"/>
      <c r="GBG487" s="17"/>
      <c r="GBH487" s="17"/>
      <c r="GBI487" s="17"/>
      <c r="GBJ487" s="17"/>
      <c r="GBK487" s="17"/>
      <c r="GBL487" s="17"/>
      <c r="GBM487" s="17"/>
      <c r="GBN487" s="17"/>
      <c r="GBO487" s="17"/>
      <c r="GBP487" s="17"/>
      <c r="GBQ487" s="17"/>
      <c r="GBR487" s="17"/>
      <c r="GBS487" s="17"/>
      <c r="GBT487" s="17"/>
      <c r="GBU487" s="17"/>
      <c r="GBV487" s="17"/>
      <c r="GBW487" s="17"/>
      <c r="GBX487" s="17"/>
      <c r="GBY487" s="17"/>
      <c r="GBZ487" s="17"/>
      <c r="GCA487" s="17"/>
      <c r="GCB487" s="17"/>
      <c r="GCC487" s="17"/>
      <c r="GCD487" s="17"/>
      <c r="GCE487" s="17"/>
      <c r="GCF487" s="17"/>
      <c r="GCG487" s="17"/>
      <c r="GCH487" s="17"/>
      <c r="GCI487" s="17"/>
      <c r="GCJ487" s="17"/>
      <c r="GCK487" s="17"/>
      <c r="GCL487" s="17"/>
      <c r="GCM487" s="17"/>
      <c r="GCN487" s="17"/>
      <c r="GCO487" s="17"/>
      <c r="GCP487" s="17"/>
      <c r="GCQ487" s="17"/>
      <c r="GCR487" s="17"/>
      <c r="GCS487" s="17"/>
      <c r="GCT487" s="17"/>
      <c r="GCU487" s="17"/>
      <c r="GCV487" s="17"/>
      <c r="GCW487" s="17"/>
      <c r="GCX487" s="17"/>
      <c r="GCY487" s="17"/>
      <c r="GCZ487" s="17"/>
      <c r="GDA487" s="17"/>
      <c r="GDB487" s="17"/>
      <c r="GDC487" s="17"/>
      <c r="GDD487" s="17"/>
      <c r="GDE487" s="17"/>
      <c r="GDF487" s="17"/>
      <c r="GDG487" s="17"/>
      <c r="GDH487" s="17"/>
      <c r="GDI487" s="17"/>
      <c r="GDJ487" s="17"/>
      <c r="GDK487" s="17"/>
      <c r="GDL487" s="17"/>
      <c r="GDM487" s="17"/>
      <c r="GDN487" s="17"/>
      <c r="GDO487" s="17"/>
      <c r="GDP487" s="17"/>
      <c r="GDQ487" s="17"/>
      <c r="GDR487" s="17"/>
      <c r="GDS487" s="17"/>
      <c r="GDT487" s="17"/>
      <c r="GDU487" s="17"/>
      <c r="GDV487" s="17"/>
      <c r="GDW487" s="17"/>
      <c r="GDX487" s="17"/>
      <c r="GDY487" s="17"/>
      <c r="GDZ487" s="17"/>
      <c r="GEA487" s="17"/>
      <c r="GEB487" s="17"/>
      <c r="GEC487" s="17"/>
      <c r="GED487" s="17"/>
      <c r="GEE487" s="17"/>
      <c r="GEF487" s="17"/>
      <c r="GEG487" s="17"/>
      <c r="GEH487" s="17"/>
      <c r="GEI487" s="17"/>
      <c r="GEJ487" s="17"/>
      <c r="GEK487" s="17"/>
      <c r="GEL487" s="17"/>
      <c r="GEM487" s="17"/>
      <c r="GEN487" s="17"/>
      <c r="GEO487" s="17"/>
      <c r="GEP487" s="17"/>
      <c r="GEQ487" s="17"/>
      <c r="GER487" s="17"/>
      <c r="GES487" s="17"/>
      <c r="GET487" s="17"/>
      <c r="GEU487" s="17"/>
      <c r="GEV487" s="17"/>
      <c r="GEW487" s="17"/>
      <c r="GEX487" s="17"/>
      <c r="GEY487" s="17"/>
      <c r="GEZ487" s="17"/>
      <c r="GFA487" s="17"/>
      <c r="GFB487" s="17"/>
      <c r="GFC487" s="17"/>
      <c r="GFD487" s="17"/>
      <c r="GFE487" s="17"/>
      <c r="GFF487" s="17"/>
      <c r="GFG487" s="17"/>
      <c r="GFH487" s="17"/>
      <c r="GFI487" s="17"/>
      <c r="GFJ487" s="17"/>
      <c r="GFK487" s="17"/>
      <c r="GFL487" s="17"/>
      <c r="GFM487" s="17"/>
      <c r="GFN487" s="17"/>
      <c r="GFO487" s="17"/>
      <c r="GFP487" s="17"/>
      <c r="GFQ487" s="17"/>
      <c r="GFR487" s="17"/>
      <c r="GFS487" s="17"/>
      <c r="GFT487" s="17"/>
      <c r="GFU487" s="17"/>
      <c r="GFV487" s="17"/>
      <c r="GFW487" s="17"/>
      <c r="GFX487" s="17"/>
      <c r="GFY487" s="17"/>
      <c r="GFZ487" s="17"/>
      <c r="GGA487" s="17"/>
      <c r="GGB487" s="17"/>
      <c r="GGC487" s="17"/>
      <c r="GGD487" s="17"/>
      <c r="GGE487" s="17"/>
      <c r="GGF487" s="17"/>
      <c r="GGG487" s="17"/>
      <c r="GGH487" s="17"/>
      <c r="GGI487" s="17"/>
      <c r="GGJ487" s="17"/>
      <c r="GGK487" s="17"/>
      <c r="GGL487" s="17"/>
      <c r="GGM487" s="17"/>
      <c r="GGN487" s="17"/>
      <c r="GGO487" s="17"/>
      <c r="GGP487" s="17"/>
      <c r="GGQ487" s="17"/>
      <c r="GGR487" s="17"/>
      <c r="GGS487" s="17"/>
      <c r="GGT487" s="17"/>
      <c r="GGU487" s="17"/>
      <c r="GGV487" s="17"/>
      <c r="GGW487" s="17"/>
      <c r="GGX487" s="17"/>
      <c r="GGY487" s="17"/>
      <c r="GGZ487" s="17"/>
      <c r="GHA487" s="17"/>
      <c r="GHB487" s="17"/>
      <c r="GHC487" s="17"/>
      <c r="GHD487" s="17"/>
      <c r="GHE487" s="17"/>
      <c r="GHF487" s="17"/>
      <c r="GHG487" s="17"/>
      <c r="GHH487" s="17"/>
      <c r="GHI487" s="17"/>
      <c r="GHJ487" s="17"/>
      <c r="GHK487" s="17"/>
      <c r="GHL487" s="17"/>
      <c r="GHM487" s="17"/>
      <c r="GHN487" s="17"/>
      <c r="GHO487" s="17"/>
      <c r="GHP487" s="17"/>
      <c r="GHQ487" s="17"/>
      <c r="GHR487" s="17"/>
      <c r="GHS487" s="17"/>
      <c r="GHT487" s="17"/>
      <c r="GHU487" s="17"/>
      <c r="GHV487" s="17"/>
      <c r="GHW487" s="17"/>
      <c r="GHX487" s="17"/>
      <c r="GHY487" s="17"/>
      <c r="GHZ487" s="17"/>
      <c r="GIA487" s="17"/>
      <c r="GIB487" s="17"/>
      <c r="GIC487" s="17"/>
      <c r="GID487" s="17"/>
      <c r="GIE487" s="17"/>
      <c r="GIF487" s="17"/>
      <c r="GIG487" s="17"/>
      <c r="GIH487" s="17"/>
      <c r="GII487" s="17"/>
      <c r="GIJ487" s="17"/>
      <c r="GIK487" s="17"/>
      <c r="GIL487" s="17"/>
      <c r="GIM487" s="17"/>
      <c r="GIN487" s="17"/>
      <c r="GIO487" s="17"/>
      <c r="GIP487" s="17"/>
      <c r="GIQ487" s="17"/>
      <c r="GIR487" s="17"/>
      <c r="GIS487" s="17"/>
      <c r="GIT487" s="17"/>
      <c r="GIU487" s="17"/>
      <c r="GIV487" s="17"/>
      <c r="GIW487" s="17"/>
      <c r="GIX487" s="17"/>
      <c r="GIY487" s="17"/>
      <c r="GIZ487" s="17"/>
      <c r="GJA487" s="17"/>
      <c r="GJB487" s="17"/>
      <c r="GJC487" s="17"/>
      <c r="GJD487" s="17"/>
      <c r="GJE487" s="17"/>
      <c r="GJF487" s="17"/>
      <c r="GJG487" s="17"/>
      <c r="GJH487" s="17"/>
      <c r="GJI487" s="17"/>
      <c r="GJJ487" s="17"/>
      <c r="GJK487" s="17"/>
      <c r="GJL487" s="17"/>
      <c r="GJM487" s="17"/>
      <c r="GJN487" s="17"/>
      <c r="GJO487" s="17"/>
      <c r="GJP487" s="17"/>
      <c r="GJQ487" s="17"/>
      <c r="GJR487" s="17"/>
      <c r="GJS487" s="17"/>
      <c r="GJT487" s="17"/>
      <c r="GJU487" s="17"/>
      <c r="GJV487" s="17"/>
      <c r="GJW487" s="17"/>
      <c r="GJX487" s="17"/>
      <c r="GJY487" s="17"/>
      <c r="GJZ487" s="17"/>
      <c r="GKA487" s="17"/>
      <c r="GKB487" s="17"/>
      <c r="GKC487" s="17"/>
      <c r="GKD487" s="17"/>
      <c r="GKE487" s="17"/>
      <c r="GKF487" s="17"/>
      <c r="GKG487" s="17"/>
      <c r="GKH487" s="17"/>
      <c r="GKI487" s="17"/>
      <c r="GKJ487" s="17"/>
      <c r="GKK487" s="17"/>
      <c r="GKL487" s="17"/>
      <c r="GKM487" s="17"/>
      <c r="GKN487" s="17"/>
      <c r="GKO487" s="17"/>
      <c r="GKP487" s="17"/>
      <c r="GKQ487" s="17"/>
      <c r="GKR487" s="17"/>
      <c r="GKS487" s="17"/>
      <c r="GKT487" s="17"/>
      <c r="GKU487" s="17"/>
      <c r="GKV487" s="17"/>
      <c r="GKW487" s="17"/>
      <c r="GKX487" s="17"/>
      <c r="GKY487" s="17"/>
      <c r="GKZ487" s="17"/>
      <c r="GLA487" s="17"/>
      <c r="GLB487" s="17"/>
      <c r="GLC487" s="17"/>
      <c r="GLD487" s="17"/>
      <c r="GLE487" s="17"/>
      <c r="GLF487" s="17"/>
      <c r="GLG487" s="17"/>
      <c r="GLH487" s="17"/>
      <c r="GLI487" s="17"/>
      <c r="GLJ487" s="17"/>
      <c r="GLK487" s="17"/>
      <c r="GLL487" s="17"/>
      <c r="GLM487" s="17"/>
      <c r="GLN487" s="17"/>
      <c r="GLO487" s="17"/>
      <c r="GLP487" s="17"/>
      <c r="GLQ487" s="17"/>
      <c r="GLR487" s="17"/>
      <c r="GLS487" s="17"/>
      <c r="GLT487" s="17"/>
      <c r="GLU487" s="17"/>
      <c r="GLV487" s="17"/>
      <c r="GLW487" s="17"/>
      <c r="GLX487" s="17"/>
      <c r="GLY487" s="17"/>
      <c r="GLZ487" s="17"/>
      <c r="GMA487" s="17"/>
      <c r="GMB487" s="17"/>
      <c r="GMC487" s="17"/>
      <c r="GMD487" s="17"/>
      <c r="GME487" s="17"/>
      <c r="GMF487" s="17"/>
      <c r="GMG487" s="17"/>
      <c r="GMH487" s="17"/>
      <c r="GMI487" s="17"/>
      <c r="GMJ487" s="17"/>
      <c r="GMK487" s="17"/>
      <c r="GML487" s="17"/>
      <c r="GMM487" s="17"/>
      <c r="GMN487" s="17"/>
      <c r="GMO487" s="17"/>
      <c r="GMP487" s="17"/>
      <c r="GMQ487" s="17"/>
      <c r="GMR487" s="17"/>
      <c r="GMS487" s="17"/>
      <c r="GMT487" s="17"/>
      <c r="GMU487" s="17"/>
      <c r="GMV487" s="17"/>
      <c r="GMW487" s="17"/>
      <c r="GMX487" s="17"/>
      <c r="GMY487" s="17"/>
      <c r="GMZ487" s="17"/>
      <c r="GNA487" s="17"/>
      <c r="GNB487" s="17"/>
      <c r="GNC487" s="17"/>
      <c r="GND487" s="17"/>
      <c r="GNE487" s="17"/>
      <c r="GNF487" s="17"/>
      <c r="GNG487" s="17"/>
      <c r="GNH487" s="17"/>
      <c r="GNI487" s="17"/>
      <c r="GNJ487" s="17"/>
      <c r="GNK487" s="17"/>
      <c r="GNL487" s="17"/>
      <c r="GNM487" s="17"/>
      <c r="GNN487" s="17"/>
      <c r="GNO487" s="17"/>
      <c r="GNP487" s="17"/>
      <c r="GNQ487" s="17"/>
      <c r="GNR487" s="17"/>
      <c r="GNS487" s="17"/>
      <c r="GNT487" s="17"/>
      <c r="GNU487" s="17"/>
      <c r="GNV487" s="17"/>
      <c r="GNW487" s="17"/>
      <c r="GNX487" s="17"/>
      <c r="GNY487" s="17"/>
      <c r="GNZ487" s="17"/>
      <c r="GOA487" s="17"/>
      <c r="GOB487" s="17"/>
      <c r="GOC487" s="17"/>
      <c r="GOD487" s="17"/>
      <c r="GOE487" s="17"/>
      <c r="GOF487" s="17"/>
      <c r="GOG487" s="17"/>
      <c r="GOH487" s="17"/>
      <c r="GOI487" s="17"/>
      <c r="GOJ487" s="17"/>
      <c r="GOK487" s="17"/>
      <c r="GOL487" s="17"/>
      <c r="GOM487" s="17"/>
      <c r="GON487" s="17"/>
      <c r="GOO487" s="17"/>
      <c r="GOP487" s="17"/>
      <c r="GOQ487" s="17"/>
      <c r="GOR487" s="17"/>
      <c r="GOS487" s="17"/>
      <c r="GOT487" s="17"/>
      <c r="GOU487" s="17"/>
      <c r="GOV487" s="17"/>
      <c r="GOW487" s="17"/>
      <c r="GOX487" s="17"/>
      <c r="GOY487" s="17"/>
      <c r="GOZ487" s="17"/>
      <c r="GPA487" s="17"/>
      <c r="GPB487" s="17"/>
      <c r="GPC487" s="17"/>
      <c r="GPD487" s="17"/>
      <c r="GPE487" s="17"/>
      <c r="GPF487" s="17"/>
      <c r="GPG487" s="17"/>
      <c r="GPH487" s="17"/>
      <c r="GPI487" s="17"/>
      <c r="GPJ487" s="17"/>
      <c r="GPK487" s="17"/>
      <c r="GPL487" s="17"/>
      <c r="GPM487" s="17"/>
      <c r="GPN487" s="17"/>
      <c r="GPO487" s="17"/>
      <c r="GPP487" s="17"/>
      <c r="GPQ487" s="17"/>
      <c r="GPR487" s="17"/>
      <c r="GPS487" s="17"/>
      <c r="GPT487" s="17"/>
      <c r="GPU487" s="17"/>
      <c r="GPV487" s="17"/>
      <c r="GPW487" s="17"/>
      <c r="GPX487" s="17"/>
      <c r="GPY487" s="17"/>
      <c r="GPZ487" s="17"/>
      <c r="GQA487" s="17"/>
      <c r="GQB487" s="17"/>
      <c r="GQC487" s="17"/>
      <c r="GQD487" s="17"/>
      <c r="GQE487" s="17"/>
      <c r="GQF487" s="17"/>
      <c r="GQG487" s="17"/>
      <c r="GQH487" s="17"/>
      <c r="GQI487" s="17"/>
      <c r="GQJ487" s="17"/>
      <c r="GQK487" s="17"/>
      <c r="GQL487" s="17"/>
      <c r="GQM487" s="17"/>
      <c r="GQN487" s="17"/>
      <c r="GQO487" s="17"/>
      <c r="GQP487" s="17"/>
      <c r="GQQ487" s="17"/>
      <c r="GQR487" s="17"/>
      <c r="GQS487" s="17"/>
      <c r="GQT487" s="17"/>
      <c r="GQU487" s="17"/>
      <c r="GQV487" s="17"/>
      <c r="GQW487" s="17"/>
      <c r="GQX487" s="17"/>
      <c r="GQY487" s="17"/>
      <c r="GQZ487" s="17"/>
      <c r="GRA487" s="17"/>
      <c r="GRB487" s="17"/>
      <c r="GRC487" s="17"/>
      <c r="GRD487" s="17"/>
      <c r="GRE487" s="17"/>
      <c r="GRF487" s="17"/>
      <c r="GRG487" s="17"/>
      <c r="GRH487" s="17"/>
      <c r="GRI487" s="17"/>
      <c r="GRJ487" s="17"/>
      <c r="GRK487" s="17"/>
      <c r="GRL487" s="17"/>
      <c r="GRM487" s="17"/>
      <c r="GRN487" s="17"/>
      <c r="GRO487" s="17"/>
      <c r="GRP487" s="17"/>
      <c r="GRQ487" s="17"/>
      <c r="GRR487" s="17"/>
      <c r="GRS487" s="17"/>
      <c r="GRT487" s="17"/>
      <c r="GRU487" s="17"/>
      <c r="GRV487" s="17"/>
      <c r="GRW487" s="17"/>
      <c r="GRX487" s="17"/>
      <c r="GRY487" s="17"/>
      <c r="GRZ487" s="17"/>
      <c r="GSA487" s="17"/>
      <c r="GSB487" s="17"/>
      <c r="GSC487" s="17"/>
      <c r="GSD487" s="17"/>
      <c r="GSE487" s="17"/>
      <c r="GSF487" s="17"/>
      <c r="GSG487" s="17"/>
      <c r="GSH487" s="17"/>
      <c r="GSI487" s="17"/>
      <c r="GSJ487" s="17"/>
      <c r="GSK487" s="17"/>
      <c r="GSL487" s="17"/>
      <c r="GSM487" s="17"/>
      <c r="GSN487" s="17"/>
      <c r="GSO487" s="17"/>
      <c r="GSP487" s="17"/>
      <c r="GSQ487" s="17"/>
      <c r="GSR487" s="17"/>
      <c r="GSS487" s="17"/>
      <c r="GST487" s="17"/>
      <c r="GSU487" s="17"/>
      <c r="GSV487" s="17"/>
      <c r="GSW487" s="17"/>
      <c r="GSX487" s="17"/>
      <c r="GSY487" s="17"/>
      <c r="GSZ487" s="17"/>
      <c r="GTA487" s="17"/>
      <c r="GTB487" s="17"/>
      <c r="GTC487" s="17"/>
      <c r="GTD487" s="17"/>
      <c r="GTE487" s="17"/>
      <c r="GTF487" s="17"/>
      <c r="GTG487" s="17"/>
      <c r="GTH487" s="17"/>
      <c r="GTI487" s="17"/>
      <c r="GTJ487" s="17"/>
      <c r="GTK487" s="17"/>
      <c r="GTL487" s="17"/>
      <c r="GTM487" s="17"/>
      <c r="GTN487" s="17"/>
      <c r="GTO487" s="17"/>
      <c r="GTP487" s="17"/>
      <c r="GTQ487" s="17"/>
      <c r="GTR487" s="17"/>
      <c r="GTS487" s="17"/>
      <c r="GTT487" s="17"/>
      <c r="GTU487" s="17"/>
      <c r="GTV487" s="17"/>
      <c r="GTW487" s="17"/>
      <c r="GTX487" s="17"/>
      <c r="GTY487" s="17"/>
      <c r="GTZ487" s="17"/>
      <c r="GUA487" s="17"/>
      <c r="GUB487" s="17"/>
      <c r="GUC487" s="17"/>
      <c r="GUD487" s="17"/>
      <c r="GUE487" s="17"/>
      <c r="GUF487" s="17"/>
      <c r="GUG487" s="17"/>
      <c r="GUH487" s="17"/>
      <c r="GUI487" s="17"/>
      <c r="GUJ487" s="17"/>
      <c r="GUK487" s="17"/>
      <c r="GUL487" s="17"/>
      <c r="GUM487" s="17"/>
      <c r="GUN487" s="17"/>
      <c r="GUO487" s="17"/>
      <c r="GUP487" s="17"/>
      <c r="GUQ487" s="17"/>
      <c r="GUR487" s="17"/>
      <c r="GUS487" s="17"/>
      <c r="GUT487" s="17"/>
      <c r="GUU487" s="17"/>
      <c r="GUV487" s="17"/>
      <c r="GUW487" s="17"/>
      <c r="GUX487" s="17"/>
      <c r="GUY487" s="17"/>
      <c r="GUZ487" s="17"/>
      <c r="GVA487" s="17"/>
      <c r="GVB487" s="17"/>
      <c r="GVC487" s="17"/>
      <c r="GVD487" s="17"/>
      <c r="GVE487" s="17"/>
      <c r="GVF487" s="17"/>
      <c r="GVG487" s="17"/>
      <c r="GVH487" s="17"/>
      <c r="GVI487" s="17"/>
      <c r="GVJ487" s="17"/>
      <c r="GVK487" s="17"/>
      <c r="GVL487" s="17"/>
      <c r="GVM487" s="17"/>
      <c r="GVN487" s="17"/>
      <c r="GVO487" s="17"/>
      <c r="GVP487" s="17"/>
      <c r="GVQ487" s="17"/>
      <c r="GVR487" s="17"/>
      <c r="GVS487" s="17"/>
      <c r="GVT487" s="17"/>
      <c r="GVU487" s="17"/>
      <c r="GVV487" s="17"/>
      <c r="GVW487" s="17"/>
      <c r="GVX487" s="17"/>
      <c r="GVY487" s="17"/>
      <c r="GVZ487" s="17"/>
      <c r="GWA487" s="17"/>
      <c r="GWB487" s="17"/>
      <c r="GWC487" s="17"/>
      <c r="GWD487" s="17"/>
      <c r="GWE487" s="17"/>
      <c r="GWF487" s="17"/>
      <c r="GWG487" s="17"/>
      <c r="GWH487" s="17"/>
      <c r="GWI487" s="17"/>
      <c r="GWJ487" s="17"/>
      <c r="GWK487" s="17"/>
      <c r="GWL487" s="17"/>
      <c r="GWM487" s="17"/>
      <c r="GWN487" s="17"/>
      <c r="GWO487" s="17"/>
      <c r="GWP487" s="17"/>
      <c r="GWQ487" s="17"/>
      <c r="GWR487" s="17"/>
      <c r="GWS487" s="17"/>
      <c r="GWT487" s="17"/>
      <c r="GWU487" s="17"/>
      <c r="GWV487" s="17"/>
      <c r="GWW487" s="17"/>
      <c r="GWX487" s="17"/>
      <c r="GWY487" s="17"/>
      <c r="GWZ487" s="17"/>
      <c r="GXA487" s="17"/>
      <c r="GXB487" s="17"/>
      <c r="GXC487" s="17"/>
      <c r="GXD487" s="17"/>
      <c r="GXE487" s="17"/>
      <c r="GXF487" s="17"/>
      <c r="GXG487" s="17"/>
      <c r="GXH487" s="17"/>
      <c r="GXI487" s="17"/>
      <c r="GXJ487" s="17"/>
      <c r="GXK487" s="17"/>
      <c r="GXL487" s="17"/>
      <c r="GXM487" s="17"/>
      <c r="GXN487" s="17"/>
      <c r="GXO487" s="17"/>
      <c r="GXP487" s="17"/>
      <c r="GXQ487" s="17"/>
      <c r="GXR487" s="17"/>
      <c r="GXS487" s="17"/>
      <c r="GXT487" s="17"/>
      <c r="GXU487" s="17"/>
      <c r="GXV487" s="17"/>
      <c r="GXW487" s="17"/>
      <c r="GXX487" s="17"/>
      <c r="GXY487" s="17"/>
      <c r="GXZ487" s="17"/>
      <c r="GYA487" s="17"/>
      <c r="GYB487" s="17"/>
      <c r="GYC487" s="17"/>
      <c r="GYD487" s="17"/>
      <c r="GYE487" s="17"/>
      <c r="GYF487" s="17"/>
      <c r="GYG487" s="17"/>
      <c r="GYH487" s="17"/>
      <c r="GYI487" s="17"/>
      <c r="GYJ487" s="17"/>
      <c r="GYK487" s="17"/>
      <c r="GYL487" s="17"/>
      <c r="GYM487" s="17"/>
      <c r="GYN487" s="17"/>
      <c r="GYO487" s="17"/>
      <c r="GYP487" s="17"/>
      <c r="GYQ487" s="17"/>
      <c r="GYR487" s="17"/>
      <c r="GYS487" s="17"/>
      <c r="GYT487" s="17"/>
      <c r="GYU487" s="17"/>
      <c r="GYV487" s="17"/>
      <c r="GYW487" s="17"/>
      <c r="GYX487" s="17"/>
      <c r="GYY487" s="17"/>
      <c r="GYZ487" s="17"/>
      <c r="GZA487" s="17"/>
      <c r="GZB487" s="17"/>
      <c r="GZC487" s="17"/>
      <c r="GZD487" s="17"/>
      <c r="GZE487" s="17"/>
      <c r="GZF487" s="17"/>
      <c r="GZG487" s="17"/>
      <c r="GZH487" s="17"/>
      <c r="GZI487" s="17"/>
      <c r="GZJ487" s="17"/>
      <c r="GZK487" s="17"/>
      <c r="GZL487" s="17"/>
      <c r="GZM487" s="17"/>
      <c r="GZN487" s="17"/>
      <c r="GZO487" s="17"/>
      <c r="GZP487" s="17"/>
      <c r="GZQ487" s="17"/>
      <c r="GZR487" s="17"/>
      <c r="GZS487" s="17"/>
      <c r="GZT487" s="17"/>
      <c r="GZU487" s="17"/>
      <c r="GZV487" s="17"/>
      <c r="GZW487" s="17"/>
      <c r="GZX487" s="17"/>
      <c r="GZY487" s="17"/>
      <c r="GZZ487" s="17"/>
      <c r="HAA487" s="17"/>
      <c r="HAB487" s="17"/>
      <c r="HAC487" s="17"/>
      <c r="HAD487" s="17"/>
      <c r="HAE487" s="17"/>
      <c r="HAF487" s="17"/>
      <c r="HAG487" s="17"/>
      <c r="HAH487" s="17"/>
      <c r="HAI487" s="17"/>
      <c r="HAJ487" s="17"/>
      <c r="HAK487" s="17"/>
      <c r="HAL487" s="17"/>
      <c r="HAM487" s="17"/>
      <c r="HAN487" s="17"/>
      <c r="HAO487" s="17"/>
      <c r="HAP487" s="17"/>
      <c r="HAQ487" s="17"/>
      <c r="HAR487" s="17"/>
      <c r="HAS487" s="17"/>
      <c r="HAT487" s="17"/>
      <c r="HAU487" s="17"/>
      <c r="HAV487" s="17"/>
      <c r="HAW487" s="17"/>
      <c r="HAX487" s="17"/>
      <c r="HAY487" s="17"/>
      <c r="HAZ487" s="17"/>
      <c r="HBA487" s="17"/>
      <c r="HBB487" s="17"/>
      <c r="HBC487" s="17"/>
      <c r="HBD487" s="17"/>
      <c r="HBE487" s="17"/>
      <c r="HBF487" s="17"/>
      <c r="HBG487" s="17"/>
      <c r="HBH487" s="17"/>
      <c r="HBI487" s="17"/>
      <c r="HBJ487" s="17"/>
      <c r="HBK487" s="17"/>
      <c r="HBL487" s="17"/>
      <c r="HBM487" s="17"/>
      <c r="HBN487" s="17"/>
      <c r="HBO487" s="17"/>
      <c r="HBP487" s="17"/>
      <c r="HBQ487" s="17"/>
      <c r="HBR487" s="17"/>
      <c r="HBS487" s="17"/>
      <c r="HBT487" s="17"/>
      <c r="HBU487" s="17"/>
      <c r="HBV487" s="17"/>
      <c r="HBW487" s="17"/>
      <c r="HBX487" s="17"/>
      <c r="HBY487" s="17"/>
      <c r="HBZ487" s="17"/>
      <c r="HCA487" s="17"/>
      <c r="HCB487" s="17"/>
      <c r="HCC487" s="17"/>
      <c r="HCD487" s="17"/>
      <c r="HCE487" s="17"/>
      <c r="HCF487" s="17"/>
      <c r="HCG487" s="17"/>
      <c r="HCH487" s="17"/>
      <c r="HCI487" s="17"/>
      <c r="HCJ487" s="17"/>
      <c r="HCK487" s="17"/>
      <c r="HCL487" s="17"/>
      <c r="HCM487" s="17"/>
      <c r="HCN487" s="17"/>
      <c r="HCO487" s="17"/>
      <c r="HCP487" s="17"/>
      <c r="HCQ487" s="17"/>
      <c r="HCR487" s="17"/>
      <c r="HCS487" s="17"/>
      <c r="HCT487" s="17"/>
      <c r="HCU487" s="17"/>
      <c r="HCV487" s="17"/>
      <c r="HCW487" s="17"/>
      <c r="HCX487" s="17"/>
      <c r="HCY487" s="17"/>
      <c r="HCZ487" s="17"/>
      <c r="HDA487" s="17"/>
      <c r="HDB487" s="17"/>
      <c r="HDC487" s="17"/>
      <c r="HDD487" s="17"/>
      <c r="HDE487" s="17"/>
      <c r="HDF487" s="17"/>
      <c r="HDG487" s="17"/>
      <c r="HDH487" s="17"/>
      <c r="HDI487" s="17"/>
      <c r="HDJ487" s="17"/>
      <c r="HDK487" s="17"/>
      <c r="HDL487" s="17"/>
      <c r="HDM487" s="17"/>
      <c r="HDN487" s="17"/>
      <c r="HDO487" s="17"/>
      <c r="HDP487" s="17"/>
      <c r="HDQ487" s="17"/>
      <c r="HDR487" s="17"/>
      <c r="HDS487" s="17"/>
      <c r="HDT487" s="17"/>
      <c r="HDU487" s="17"/>
      <c r="HDV487" s="17"/>
      <c r="HDW487" s="17"/>
      <c r="HDX487" s="17"/>
      <c r="HDY487" s="17"/>
      <c r="HDZ487" s="17"/>
      <c r="HEA487" s="17"/>
      <c r="HEB487" s="17"/>
      <c r="HEC487" s="17"/>
      <c r="HED487" s="17"/>
      <c r="HEE487" s="17"/>
      <c r="HEF487" s="17"/>
      <c r="HEG487" s="17"/>
      <c r="HEH487" s="17"/>
      <c r="HEI487" s="17"/>
      <c r="HEJ487" s="17"/>
      <c r="HEK487" s="17"/>
      <c r="HEL487" s="17"/>
      <c r="HEM487" s="17"/>
      <c r="HEN487" s="17"/>
      <c r="HEO487" s="17"/>
      <c r="HEP487" s="17"/>
      <c r="HEQ487" s="17"/>
      <c r="HER487" s="17"/>
      <c r="HES487" s="17"/>
      <c r="HET487" s="17"/>
      <c r="HEU487" s="17"/>
      <c r="HEV487" s="17"/>
      <c r="HEW487" s="17"/>
      <c r="HEX487" s="17"/>
      <c r="HEY487" s="17"/>
      <c r="HEZ487" s="17"/>
      <c r="HFA487" s="17"/>
      <c r="HFB487" s="17"/>
      <c r="HFC487" s="17"/>
      <c r="HFD487" s="17"/>
      <c r="HFE487" s="17"/>
      <c r="HFF487" s="17"/>
      <c r="HFG487" s="17"/>
      <c r="HFH487" s="17"/>
      <c r="HFI487" s="17"/>
      <c r="HFJ487" s="17"/>
      <c r="HFK487" s="17"/>
      <c r="HFL487" s="17"/>
      <c r="HFM487" s="17"/>
      <c r="HFN487" s="17"/>
      <c r="HFO487" s="17"/>
      <c r="HFP487" s="17"/>
      <c r="HFQ487" s="17"/>
      <c r="HFR487" s="17"/>
      <c r="HFS487" s="17"/>
      <c r="HFT487" s="17"/>
      <c r="HFU487" s="17"/>
      <c r="HFV487" s="17"/>
      <c r="HFW487" s="17"/>
      <c r="HFX487" s="17"/>
      <c r="HFY487" s="17"/>
      <c r="HFZ487" s="17"/>
      <c r="HGA487" s="17"/>
      <c r="HGB487" s="17"/>
      <c r="HGC487" s="17"/>
      <c r="HGD487" s="17"/>
      <c r="HGE487" s="17"/>
      <c r="HGF487" s="17"/>
      <c r="HGG487" s="17"/>
      <c r="HGH487" s="17"/>
      <c r="HGI487" s="17"/>
      <c r="HGJ487" s="17"/>
      <c r="HGK487" s="17"/>
      <c r="HGL487" s="17"/>
      <c r="HGM487" s="17"/>
      <c r="HGN487" s="17"/>
      <c r="HGO487" s="17"/>
      <c r="HGP487" s="17"/>
      <c r="HGQ487" s="17"/>
      <c r="HGR487" s="17"/>
      <c r="HGS487" s="17"/>
      <c r="HGT487" s="17"/>
      <c r="HGU487" s="17"/>
      <c r="HGV487" s="17"/>
      <c r="HGW487" s="17"/>
      <c r="HGX487" s="17"/>
      <c r="HGY487" s="17"/>
      <c r="HGZ487" s="17"/>
      <c r="HHA487" s="17"/>
      <c r="HHB487" s="17"/>
      <c r="HHC487" s="17"/>
      <c r="HHD487" s="17"/>
      <c r="HHE487" s="17"/>
      <c r="HHF487" s="17"/>
      <c r="HHG487" s="17"/>
      <c r="HHH487" s="17"/>
      <c r="HHI487" s="17"/>
      <c r="HHJ487" s="17"/>
      <c r="HHK487" s="17"/>
      <c r="HHL487" s="17"/>
      <c r="HHM487" s="17"/>
      <c r="HHN487" s="17"/>
      <c r="HHO487" s="17"/>
      <c r="HHP487" s="17"/>
      <c r="HHQ487" s="17"/>
      <c r="HHR487" s="17"/>
      <c r="HHS487" s="17"/>
      <c r="HHT487" s="17"/>
      <c r="HHU487" s="17"/>
      <c r="HHV487" s="17"/>
      <c r="HHW487" s="17"/>
      <c r="HHX487" s="17"/>
      <c r="HHY487" s="17"/>
      <c r="HHZ487" s="17"/>
      <c r="HIA487" s="17"/>
      <c r="HIB487" s="17"/>
      <c r="HIC487" s="17"/>
      <c r="HID487" s="17"/>
      <c r="HIE487" s="17"/>
      <c r="HIF487" s="17"/>
      <c r="HIG487" s="17"/>
      <c r="HIH487" s="17"/>
      <c r="HII487" s="17"/>
      <c r="HIJ487" s="17"/>
      <c r="HIK487" s="17"/>
      <c r="HIL487" s="17"/>
      <c r="HIM487" s="17"/>
      <c r="HIN487" s="17"/>
      <c r="HIO487" s="17"/>
      <c r="HIP487" s="17"/>
      <c r="HIQ487" s="17"/>
      <c r="HIR487" s="17"/>
      <c r="HIS487" s="17"/>
      <c r="HIT487" s="17"/>
      <c r="HIU487" s="17"/>
      <c r="HIV487" s="17"/>
      <c r="HIW487" s="17"/>
      <c r="HIX487" s="17"/>
      <c r="HIY487" s="17"/>
      <c r="HIZ487" s="17"/>
      <c r="HJA487" s="17"/>
      <c r="HJB487" s="17"/>
      <c r="HJC487" s="17"/>
      <c r="HJD487" s="17"/>
      <c r="HJE487" s="17"/>
      <c r="HJF487" s="17"/>
      <c r="HJG487" s="17"/>
      <c r="HJH487" s="17"/>
      <c r="HJI487" s="17"/>
      <c r="HJJ487" s="17"/>
      <c r="HJK487" s="17"/>
      <c r="HJL487" s="17"/>
      <c r="HJM487" s="17"/>
      <c r="HJN487" s="17"/>
      <c r="HJO487" s="17"/>
      <c r="HJP487" s="17"/>
      <c r="HJQ487" s="17"/>
      <c r="HJR487" s="17"/>
      <c r="HJS487" s="17"/>
      <c r="HJT487" s="17"/>
      <c r="HJU487" s="17"/>
      <c r="HJV487" s="17"/>
      <c r="HJW487" s="17"/>
      <c r="HJX487" s="17"/>
      <c r="HJY487" s="17"/>
      <c r="HJZ487" s="17"/>
      <c r="HKA487" s="17"/>
      <c r="HKB487" s="17"/>
      <c r="HKC487" s="17"/>
      <c r="HKD487" s="17"/>
      <c r="HKE487" s="17"/>
      <c r="HKF487" s="17"/>
      <c r="HKG487" s="17"/>
      <c r="HKH487" s="17"/>
      <c r="HKI487" s="17"/>
      <c r="HKJ487" s="17"/>
      <c r="HKK487" s="17"/>
      <c r="HKL487" s="17"/>
      <c r="HKM487" s="17"/>
      <c r="HKN487" s="17"/>
      <c r="HKO487" s="17"/>
      <c r="HKP487" s="17"/>
      <c r="HKQ487" s="17"/>
      <c r="HKR487" s="17"/>
      <c r="HKS487" s="17"/>
      <c r="HKT487" s="17"/>
      <c r="HKU487" s="17"/>
      <c r="HKV487" s="17"/>
      <c r="HKW487" s="17"/>
      <c r="HKX487" s="17"/>
      <c r="HKY487" s="17"/>
      <c r="HKZ487" s="17"/>
      <c r="HLA487" s="17"/>
      <c r="HLB487" s="17"/>
      <c r="HLC487" s="17"/>
      <c r="HLD487" s="17"/>
      <c r="HLE487" s="17"/>
      <c r="HLF487" s="17"/>
      <c r="HLG487" s="17"/>
      <c r="HLH487" s="17"/>
      <c r="HLI487" s="17"/>
      <c r="HLJ487" s="17"/>
      <c r="HLK487" s="17"/>
      <c r="HLL487" s="17"/>
      <c r="HLM487" s="17"/>
      <c r="HLN487" s="17"/>
      <c r="HLO487" s="17"/>
      <c r="HLP487" s="17"/>
      <c r="HLQ487" s="17"/>
      <c r="HLR487" s="17"/>
      <c r="HLS487" s="17"/>
      <c r="HLT487" s="17"/>
      <c r="HLU487" s="17"/>
      <c r="HLV487" s="17"/>
      <c r="HLW487" s="17"/>
      <c r="HLX487" s="17"/>
      <c r="HLY487" s="17"/>
      <c r="HLZ487" s="17"/>
      <c r="HMA487" s="17"/>
      <c r="HMB487" s="17"/>
      <c r="HMC487" s="17"/>
      <c r="HMD487" s="17"/>
      <c r="HME487" s="17"/>
      <c r="HMF487" s="17"/>
      <c r="HMG487" s="17"/>
      <c r="HMH487" s="17"/>
      <c r="HMI487" s="17"/>
      <c r="HMJ487" s="17"/>
      <c r="HMK487" s="17"/>
      <c r="HML487" s="17"/>
      <c r="HMM487" s="17"/>
      <c r="HMN487" s="17"/>
      <c r="HMO487" s="17"/>
      <c r="HMP487" s="17"/>
      <c r="HMQ487" s="17"/>
      <c r="HMR487" s="17"/>
      <c r="HMS487" s="17"/>
      <c r="HMT487" s="17"/>
      <c r="HMU487" s="17"/>
      <c r="HMV487" s="17"/>
      <c r="HMW487" s="17"/>
      <c r="HMX487" s="17"/>
      <c r="HMY487" s="17"/>
      <c r="HMZ487" s="17"/>
      <c r="HNA487" s="17"/>
      <c r="HNB487" s="17"/>
      <c r="HNC487" s="17"/>
      <c r="HND487" s="17"/>
      <c r="HNE487" s="17"/>
      <c r="HNF487" s="17"/>
      <c r="HNG487" s="17"/>
      <c r="HNH487" s="17"/>
      <c r="HNI487" s="17"/>
      <c r="HNJ487" s="17"/>
      <c r="HNK487" s="17"/>
      <c r="HNL487" s="17"/>
      <c r="HNM487" s="17"/>
      <c r="HNN487" s="17"/>
      <c r="HNO487" s="17"/>
      <c r="HNP487" s="17"/>
      <c r="HNQ487" s="17"/>
      <c r="HNR487" s="17"/>
      <c r="HNS487" s="17"/>
      <c r="HNT487" s="17"/>
      <c r="HNU487" s="17"/>
      <c r="HNV487" s="17"/>
      <c r="HNW487" s="17"/>
      <c r="HNX487" s="17"/>
      <c r="HNY487" s="17"/>
      <c r="HNZ487" s="17"/>
      <c r="HOA487" s="17"/>
      <c r="HOB487" s="17"/>
      <c r="HOC487" s="17"/>
      <c r="HOD487" s="17"/>
      <c r="HOE487" s="17"/>
      <c r="HOF487" s="17"/>
      <c r="HOG487" s="17"/>
      <c r="HOH487" s="17"/>
      <c r="HOI487" s="17"/>
      <c r="HOJ487" s="17"/>
      <c r="HOK487" s="17"/>
      <c r="HOL487" s="17"/>
      <c r="HOM487" s="17"/>
      <c r="HON487" s="17"/>
      <c r="HOO487" s="17"/>
      <c r="HOP487" s="17"/>
      <c r="HOQ487" s="17"/>
      <c r="HOR487" s="17"/>
      <c r="HOS487" s="17"/>
      <c r="HOT487" s="17"/>
      <c r="HOU487" s="17"/>
      <c r="HOV487" s="17"/>
      <c r="HOW487" s="17"/>
      <c r="HOX487" s="17"/>
      <c r="HOY487" s="17"/>
      <c r="HOZ487" s="17"/>
      <c r="HPA487" s="17"/>
      <c r="HPB487" s="17"/>
      <c r="HPC487" s="17"/>
      <c r="HPD487" s="17"/>
      <c r="HPE487" s="17"/>
      <c r="HPF487" s="17"/>
      <c r="HPG487" s="17"/>
      <c r="HPH487" s="17"/>
      <c r="HPI487" s="17"/>
      <c r="HPJ487" s="17"/>
      <c r="HPK487" s="17"/>
      <c r="HPL487" s="17"/>
      <c r="HPM487" s="17"/>
      <c r="HPN487" s="17"/>
      <c r="HPO487" s="17"/>
      <c r="HPP487" s="17"/>
      <c r="HPQ487" s="17"/>
      <c r="HPR487" s="17"/>
      <c r="HPS487" s="17"/>
      <c r="HPT487" s="17"/>
      <c r="HPU487" s="17"/>
      <c r="HPV487" s="17"/>
      <c r="HPW487" s="17"/>
      <c r="HPX487" s="17"/>
      <c r="HPY487" s="17"/>
      <c r="HPZ487" s="17"/>
      <c r="HQA487" s="17"/>
      <c r="HQB487" s="17"/>
      <c r="HQC487" s="17"/>
      <c r="HQD487" s="17"/>
      <c r="HQE487" s="17"/>
      <c r="HQF487" s="17"/>
      <c r="HQG487" s="17"/>
      <c r="HQH487" s="17"/>
      <c r="HQI487" s="17"/>
      <c r="HQJ487" s="17"/>
      <c r="HQK487" s="17"/>
      <c r="HQL487" s="17"/>
      <c r="HQM487" s="17"/>
      <c r="HQN487" s="17"/>
      <c r="HQO487" s="17"/>
      <c r="HQP487" s="17"/>
      <c r="HQQ487" s="17"/>
      <c r="HQR487" s="17"/>
      <c r="HQS487" s="17"/>
      <c r="HQT487" s="17"/>
      <c r="HQU487" s="17"/>
      <c r="HQV487" s="17"/>
      <c r="HQW487" s="17"/>
      <c r="HQX487" s="17"/>
      <c r="HQY487" s="17"/>
      <c r="HQZ487" s="17"/>
      <c r="HRA487" s="17"/>
      <c r="HRB487" s="17"/>
      <c r="HRC487" s="17"/>
      <c r="HRD487" s="17"/>
      <c r="HRE487" s="17"/>
      <c r="HRF487" s="17"/>
      <c r="HRG487" s="17"/>
      <c r="HRH487" s="17"/>
      <c r="HRI487" s="17"/>
      <c r="HRJ487" s="17"/>
      <c r="HRK487" s="17"/>
      <c r="HRL487" s="17"/>
      <c r="HRM487" s="17"/>
      <c r="HRN487" s="17"/>
      <c r="HRO487" s="17"/>
      <c r="HRP487" s="17"/>
      <c r="HRQ487" s="17"/>
      <c r="HRR487" s="17"/>
      <c r="HRS487" s="17"/>
      <c r="HRT487" s="17"/>
      <c r="HRU487" s="17"/>
      <c r="HRV487" s="17"/>
      <c r="HRW487" s="17"/>
      <c r="HRX487" s="17"/>
      <c r="HRY487" s="17"/>
      <c r="HRZ487" s="17"/>
      <c r="HSA487" s="17"/>
      <c r="HSB487" s="17"/>
      <c r="HSC487" s="17"/>
      <c r="HSD487" s="17"/>
      <c r="HSE487" s="17"/>
      <c r="HSF487" s="17"/>
      <c r="HSG487" s="17"/>
      <c r="HSH487" s="17"/>
      <c r="HSI487" s="17"/>
      <c r="HSJ487" s="17"/>
      <c r="HSK487" s="17"/>
      <c r="HSL487" s="17"/>
      <c r="HSM487" s="17"/>
      <c r="HSN487" s="17"/>
      <c r="HSO487" s="17"/>
      <c r="HSP487" s="17"/>
      <c r="HSQ487" s="17"/>
      <c r="HSR487" s="17"/>
      <c r="HSS487" s="17"/>
      <c r="HST487" s="17"/>
      <c r="HSU487" s="17"/>
      <c r="HSV487" s="17"/>
      <c r="HSW487" s="17"/>
      <c r="HSX487" s="17"/>
      <c r="HSY487" s="17"/>
      <c r="HSZ487" s="17"/>
      <c r="HTA487" s="17"/>
      <c r="HTB487" s="17"/>
      <c r="HTC487" s="17"/>
      <c r="HTD487" s="17"/>
      <c r="HTE487" s="17"/>
      <c r="HTF487" s="17"/>
      <c r="HTG487" s="17"/>
      <c r="HTH487" s="17"/>
      <c r="HTI487" s="17"/>
      <c r="HTJ487" s="17"/>
      <c r="HTK487" s="17"/>
      <c r="HTL487" s="17"/>
      <c r="HTM487" s="17"/>
      <c r="HTN487" s="17"/>
      <c r="HTO487" s="17"/>
      <c r="HTP487" s="17"/>
      <c r="HTQ487" s="17"/>
      <c r="HTR487" s="17"/>
      <c r="HTS487" s="17"/>
      <c r="HTT487" s="17"/>
      <c r="HTU487" s="17"/>
      <c r="HTV487" s="17"/>
      <c r="HTW487" s="17"/>
      <c r="HTX487" s="17"/>
      <c r="HTY487" s="17"/>
      <c r="HTZ487" s="17"/>
      <c r="HUA487" s="17"/>
      <c r="HUB487" s="17"/>
      <c r="HUC487" s="17"/>
      <c r="HUD487" s="17"/>
      <c r="HUE487" s="17"/>
      <c r="HUF487" s="17"/>
      <c r="HUG487" s="17"/>
      <c r="HUH487" s="17"/>
      <c r="HUI487" s="17"/>
      <c r="HUJ487" s="17"/>
      <c r="HUK487" s="17"/>
      <c r="HUL487" s="17"/>
      <c r="HUM487" s="17"/>
      <c r="HUN487" s="17"/>
      <c r="HUO487" s="17"/>
      <c r="HUP487" s="17"/>
      <c r="HUQ487" s="17"/>
      <c r="HUR487" s="17"/>
      <c r="HUS487" s="17"/>
      <c r="HUT487" s="17"/>
      <c r="HUU487" s="17"/>
      <c r="HUV487" s="17"/>
      <c r="HUW487" s="17"/>
      <c r="HUX487" s="17"/>
      <c r="HUY487" s="17"/>
      <c r="HUZ487" s="17"/>
      <c r="HVA487" s="17"/>
      <c r="HVB487" s="17"/>
      <c r="HVC487" s="17"/>
      <c r="HVD487" s="17"/>
      <c r="HVE487" s="17"/>
      <c r="HVF487" s="17"/>
      <c r="HVG487" s="17"/>
      <c r="HVH487" s="17"/>
      <c r="HVI487" s="17"/>
      <c r="HVJ487" s="17"/>
      <c r="HVK487" s="17"/>
      <c r="HVL487" s="17"/>
      <c r="HVM487" s="17"/>
      <c r="HVN487" s="17"/>
      <c r="HVO487" s="17"/>
      <c r="HVP487" s="17"/>
      <c r="HVQ487" s="17"/>
      <c r="HVR487" s="17"/>
      <c r="HVS487" s="17"/>
      <c r="HVT487" s="17"/>
      <c r="HVU487" s="17"/>
      <c r="HVV487" s="17"/>
      <c r="HVW487" s="17"/>
      <c r="HVX487" s="17"/>
      <c r="HVY487" s="17"/>
      <c r="HVZ487" s="17"/>
      <c r="HWA487" s="17"/>
      <c r="HWB487" s="17"/>
      <c r="HWC487" s="17"/>
      <c r="HWD487" s="17"/>
      <c r="HWE487" s="17"/>
      <c r="HWF487" s="17"/>
      <c r="HWG487" s="17"/>
      <c r="HWH487" s="17"/>
      <c r="HWI487" s="17"/>
      <c r="HWJ487" s="17"/>
      <c r="HWK487" s="17"/>
      <c r="HWL487" s="17"/>
      <c r="HWM487" s="17"/>
      <c r="HWN487" s="17"/>
      <c r="HWO487" s="17"/>
      <c r="HWP487" s="17"/>
      <c r="HWQ487" s="17"/>
      <c r="HWR487" s="17"/>
      <c r="HWS487" s="17"/>
      <c r="HWT487" s="17"/>
      <c r="HWU487" s="17"/>
      <c r="HWV487" s="17"/>
      <c r="HWW487" s="17"/>
      <c r="HWX487" s="17"/>
      <c r="HWY487" s="17"/>
      <c r="HWZ487" s="17"/>
      <c r="HXA487" s="17"/>
      <c r="HXB487" s="17"/>
      <c r="HXC487" s="17"/>
      <c r="HXD487" s="17"/>
      <c r="HXE487" s="17"/>
      <c r="HXF487" s="17"/>
      <c r="HXG487" s="17"/>
      <c r="HXH487" s="17"/>
      <c r="HXI487" s="17"/>
      <c r="HXJ487" s="17"/>
      <c r="HXK487" s="17"/>
      <c r="HXL487" s="17"/>
      <c r="HXM487" s="17"/>
      <c r="HXN487" s="17"/>
      <c r="HXO487" s="17"/>
      <c r="HXP487" s="17"/>
      <c r="HXQ487" s="17"/>
      <c r="HXR487" s="17"/>
      <c r="HXS487" s="17"/>
      <c r="HXT487" s="17"/>
      <c r="HXU487" s="17"/>
      <c r="HXV487" s="17"/>
      <c r="HXW487" s="17"/>
      <c r="HXX487" s="17"/>
      <c r="HXY487" s="17"/>
      <c r="HXZ487" s="17"/>
      <c r="HYA487" s="17"/>
      <c r="HYB487" s="17"/>
      <c r="HYC487" s="17"/>
      <c r="HYD487" s="17"/>
      <c r="HYE487" s="17"/>
      <c r="HYF487" s="17"/>
      <c r="HYG487" s="17"/>
      <c r="HYH487" s="17"/>
      <c r="HYI487" s="17"/>
      <c r="HYJ487" s="17"/>
      <c r="HYK487" s="17"/>
      <c r="HYL487" s="17"/>
      <c r="HYM487" s="17"/>
      <c r="HYN487" s="17"/>
      <c r="HYO487" s="17"/>
      <c r="HYP487" s="17"/>
      <c r="HYQ487" s="17"/>
      <c r="HYR487" s="17"/>
      <c r="HYS487" s="17"/>
      <c r="HYT487" s="17"/>
      <c r="HYU487" s="17"/>
      <c r="HYV487" s="17"/>
      <c r="HYW487" s="17"/>
      <c r="HYX487" s="17"/>
      <c r="HYY487" s="17"/>
      <c r="HYZ487" s="17"/>
      <c r="HZA487" s="17"/>
      <c r="HZB487" s="17"/>
      <c r="HZC487" s="17"/>
      <c r="HZD487" s="17"/>
      <c r="HZE487" s="17"/>
      <c r="HZF487" s="17"/>
      <c r="HZG487" s="17"/>
      <c r="HZH487" s="17"/>
      <c r="HZI487" s="17"/>
      <c r="HZJ487" s="17"/>
      <c r="HZK487" s="17"/>
      <c r="HZL487" s="17"/>
      <c r="HZM487" s="17"/>
      <c r="HZN487" s="17"/>
      <c r="HZO487" s="17"/>
      <c r="HZP487" s="17"/>
      <c r="HZQ487" s="17"/>
      <c r="HZR487" s="17"/>
      <c r="HZS487" s="17"/>
      <c r="HZT487" s="17"/>
      <c r="HZU487" s="17"/>
      <c r="HZV487" s="17"/>
      <c r="HZW487" s="17"/>
      <c r="HZX487" s="17"/>
      <c r="HZY487" s="17"/>
      <c r="HZZ487" s="17"/>
      <c r="IAA487" s="17"/>
      <c r="IAB487" s="17"/>
      <c r="IAC487" s="17"/>
      <c r="IAD487" s="17"/>
      <c r="IAE487" s="17"/>
      <c r="IAF487" s="17"/>
      <c r="IAG487" s="17"/>
      <c r="IAH487" s="17"/>
      <c r="IAI487" s="17"/>
      <c r="IAJ487" s="17"/>
      <c r="IAK487" s="17"/>
      <c r="IAL487" s="17"/>
      <c r="IAM487" s="17"/>
      <c r="IAN487" s="17"/>
      <c r="IAO487" s="17"/>
      <c r="IAP487" s="17"/>
      <c r="IAQ487" s="17"/>
      <c r="IAR487" s="17"/>
      <c r="IAS487" s="17"/>
      <c r="IAT487" s="17"/>
      <c r="IAU487" s="17"/>
      <c r="IAV487" s="17"/>
      <c r="IAW487" s="17"/>
      <c r="IAX487" s="17"/>
      <c r="IAY487" s="17"/>
      <c r="IAZ487" s="17"/>
      <c r="IBA487" s="17"/>
      <c r="IBB487" s="17"/>
      <c r="IBC487" s="17"/>
      <c r="IBD487" s="17"/>
      <c r="IBE487" s="17"/>
      <c r="IBF487" s="17"/>
      <c r="IBG487" s="17"/>
      <c r="IBH487" s="17"/>
      <c r="IBI487" s="17"/>
      <c r="IBJ487" s="17"/>
      <c r="IBK487" s="17"/>
      <c r="IBL487" s="17"/>
      <c r="IBM487" s="17"/>
      <c r="IBN487" s="17"/>
      <c r="IBO487" s="17"/>
      <c r="IBP487" s="17"/>
      <c r="IBQ487" s="17"/>
      <c r="IBR487" s="17"/>
      <c r="IBS487" s="17"/>
      <c r="IBT487" s="17"/>
      <c r="IBU487" s="17"/>
      <c r="IBV487" s="17"/>
      <c r="IBW487" s="17"/>
      <c r="IBX487" s="17"/>
      <c r="IBY487" s="17"/>
      <c r="IBZ487" s="17"/>
      <c r="ICA487" s="17"/>
      <c r="ICB487" s="17"/>
      <c r="ICC487" s="17"/>
      <c r="ICD487" s="17"/>
      <c r="ICE487" s="17"/>
      <c r="ICF487" s="17"/>
      <c r="ICG487" s="17"/>
      <c r="ICH487" s="17"/>
      <c r="ICI487" s="17"/>
      <c r="ICJ487" s="17"/>
      <c r="ICK487" s="17"/>
      <c r="ICL487" s="17"/>
      <c r="ICM487" s="17"/>
      <c r="ICN487" s="17"/>
      <c r="ICO487" s="17"/>
      <c r="ICP487" s="17"/>
      <c r="ICQ487" s="17"/>
      <c r="ICR487" s="17"/>
      <c r="ICS487" s="17"/>
      <c r="ICT487" s="17"/>
      <c r="ICU487" s="17"/>
      <c r="ICV487" s="17"/>
      <c r="ICW487" s="17"/>
      <c r="ICX487" s="17"/>
      <c r="ICY487" s="17"/>
      <c r="ICZ487" s="17"/>
      <c r="IDA487" s="17"/>
      <c r="IDB487" s="17"/>
      <c r="IDC487" s="17"/>
      <c r="IDD487" s="17"/>
      <c r="IDE487" s="17"/>
      <c r="IDF487" s="17"/>
      <c r="IDG487" s="17"/>
      <c r="IDH487" s="17"/>
      <c r="IDI487" s="17"/>
      <c r="IDJ487" s="17"/>
      <c r="IDK487" s="17"/>
      <c r="IDL487" s="17"/>
      <c r="IDM487" s="17"/>
      <c r="IDN487" s="17"/>
      <c r="IDO487" s="17"/>
      <c r="IDP487" s="17"/>
      <c r="IDQ487" s="17"/>
      <c r="IDR487" s="17"/>
      <c r="IDS487" s="17"/>
      <c r="IDT487" s="17"/>
      <c r="IDU487" s="17"/>
      <c r="IDV487" s="17"/>
      <c r="IDW487" s="17"/>
      <c r="IDX487" s="17"/>
      <c r="IDY487" s="17"/>
      <c r="IDZ487" s="17"/>
      <c r="IEA487" s="17"/>
      <c r="IEB487" s="17"/>
      <c r="IEC487" s="17"/>
      <c r="IED487" s="17"/>
      <c r="IEE487" s="17"/>
      <c r="IEF487" s="17"/>
      <c r="IEG487" s="17"/>
      <c r="IEH487" s="17"/>
      <c r="IEI487" s="17"/>
      <c r="IEJ487" s="17"/>
      <c r="IEK487" s="17"/>
      <c r="IEL487" s="17"/>
      <c r="IEM487" s="17"/>
      <c r="IEN487" s="17"/>
      <c r="IEO487" s="17"/>
      <c r="IEP487" s="17"/>
      <c r="IEQ487" s="17"/>
      <c r="IER487" s="17"/>
      <c r="IES487" s="17"/>
      <c r="IET487" s="17"/>
      <c r="IEU487" s="17"/>
      <c r="IEV487" s="17"/>
      <c r="IEW487" s="17"/>
      <c r="IEX487" s="17"/>
      <c r="IEY487" s="17"/>
      <c r="IEZ487" s="17"/>
      <c r="IFA487" s="17"/>
      <c r="IFB487" s="17"/>
      <c r="IFC487" s="17"/>
      <c r="IFD487" s="17"/>
      <c r="IFE487" s="17"/>
      <c r="IFF487" s="17"/>
      <c r="IFG487" s="17"/>
      <c r="IFH487" s="17"/>
      <c r="IFI487" s="17"/>
      <c r="IFJ487" s="17"/>
      <c r="IFK487" s="17"/>
      <c r="IFL487" s="17"/>
      <c r="IFM487" s="17"/>
      <c r="IFN487" s="17"/>
      <c r="IFO487" s="17"/>
      <c r="IFP487" s="17"/>
      <c r="IFQ487" s="17"/>
      <c r="IFR487" s="17"/>
      <c r="IFS487" s="17"/>
      <c r="IFT487" s="17"/>
      <c r="IFU487" s="17"/>
      <c r="IFV487" s="17"/>
      <c r="IFW487" s="17"/>
      <c r="IFX487" s="17"/>
      <c r="IFY487" s="17"/>
      <c r="IFZ487" s="17"/>
      <c r="IGA487" s="17"/>
      <c r="IGB487" s="17"/>
      <c r="IGC487" s="17"/>
      <c r="IGD487" s="17"/>
      <c r="IGE487" s="17"/>
      <c r="IGF487" s="17"/>
      <c r="IGG487" s="17"/>
      <c r="IGH487" s="17"/>
      <c r="IGI487" s="17"/>
      <c r="IGJ487" s="17"/>
      <c r="IGK487" s="17"/>
      <c r="IGL487" s="17"/>
      <c r="IGM487" s="17"/>
      <c r="IGN487" s="17"/>
      <c r="IGO487" s="17"/>
      <c r="IGP487" s="17"/>
      <c r="IGQ487" s="17"/>
      <c r="IGR487" s="17"/>
      <c r="IGS487" s="17"/>
      <c r="IGT487" s="17"/>
      <c r="IGU487" s="17"/>
      <c r="IGV487" s="17"/>
      <c r="IGW487" s="17"/>
      <c r="IGX487" s="17"/>
      <c r="IGY487" s="17"/>
      <c r="IGZ487" s="17"/>
      <c r="IHA487" s="17"/>
      <c r="IHB487" s="17"/>
      <c r="IHC487" s="17"/>
      <c r="IHD487" s="17"/>
      <c r="IHE487" s="17"/>
      <c r="IHF487" s="17"/>
      <c r="IHG487" s="17"/>
      <c r="IHH487" s="17"/>
      <c r="IHI487" s="17"/>
      <c r="IHJ487" s="17"/>
      <c r="IHK487" s="17"/>
      <c r="IHL487" s="17"/>
      <c r="IHM487" s="17"/>
      <c r="IHN487" s="17"/>
      <c r="IHO487" s="17"/>
      <c r="IHP487" s="17"/>
      <c r="IHQ487" s="17"/>
      <c r="IHR487" s="17"/>
      <c r="IHS487" s="17"/>
      <c r="IHT487" s="17"/>
      <c r="IHU487" s="17"/>
      <c r="IHV487" s="17"/>
      <c r="IHW487" s="17"/>
      <c r="IHX487" s="17"/>
      <c r="IHY487" s="17"/>
      <c r="IHZ487" s="17"/>
      <c r="IIA487" s="17"/>
      <c r="IIB487" s="17"/>
      <c r="IIC487" s="17"/>
      <c r="IID487" s="17"/>
      <c r="IIE487" s="17"/>
      <c r="IIF487" s="17"/>
      <c r="IIG487" s="17"/>
      <c r="IIH487" s="17"/>
      <c r="III487" s="17"/>
      <c r="IIJ487" s="17"/>
      <c r="IIK487" s="17"/>
      <c r="IIL487" s="17"/>
      <c r="IIM487" s="17"/>
      <c r="IIN487" s="17"/>
      <c r="IIO487" s="17"/>
      <c r="IIP487" s="17"/>
      <c r="IIQ487" s="17"/>
      <c r="IIR487" s="17"/>
      <c r="IIS487" s="17"/>
      <c r="IIT487" s="17"/>
      <c r="IIU487" s="17"/>
      <c r="IIV487" s="17"/>
      <c r="IIW487" s="17"/>
      <c r="IIX487" s="17"/>
      <c r="IIY487" s="17"/>
      <c r="IIZ487" s="17"/>
      <c r="IJA487" s="17"/>
      <c r="IJB487" s="17"/>
      <c r="IJC487" s="17"/>
      <c r="IJD487" s="17"/>
      <c r="IJE487" s="17"/>
      <c r="IJF487" s="17"/>
      <c r="IJG487" s="17"/>
      <c r="IJH487" s="17"/>
      <c r="IJI487" s="17"/>
      <c r="IJJ487" s="17"/>
      <c r="IJK487" s="17"/>
      <c r="IJL487" s="17"/>
      <c r="IJM487" s="17"/>
      <c r="IJN487" s="17"/>
      <c r="IJO487" s="17"/>
      <c r="IJP487" s="17"/>
      <c r="IJQ487" s="17"/>
      <c r="IJR487" s="17"/>
      <c r="IJS487" s="17"/>
      <c r="IJT487" s="17"/>
      <c r="IJU487" s="17"/>
      <c r="IJV487" s="17"/>
      <c r="IJW487" s="17"/>
      <c r="IJX487" s="17"/>
      <c r="IJY487" s="17"/>
      <c r="IJZ487" s="17"/>
      <c r="IKA487" s="17"/>
      <c r="IKB487" s="17"/>
      <c r="IKC487" s="17"/>
      <c r="IKD487" s="17"/>
      <c r="IKE487" s="17"/>
      <c r="IKF487" s="17"/>
      <c r="IKG487" s="17"/>
      <c r="IKH487" s="17"/>
      <c r="IKI487" s="17"/>
      <c r="IKJ487" s="17"/>
      <c r="IKK487" s="17"/>
      <c r="IKL487" s="17"/>
      <c r="IKM487" s="17"/>
      <c r="IKN487" s="17"/>
      <c r="IKO487" s="17"/>
      <c r="IKP487" s="17"/>
      <c r="IKQ487" s="17"/>
      <c r="IKR487" s="17"/>
      <c r="IKS487" s="17"/>
      <c r="IKT487" s="17"/>
      <c r="IKU487" s="17"/>
      <c r="IKV487" s="17"/>
      <c r="IKW487" s="17"/>
      <c r="IKX487" s="17"/>
      <c r="IKY487" s="17"/>
      <c r="IKZ487" s="17"/>
      <c r="ILA487" s="17"/>
      <c r="ILB487" s="17"/>
      <c r="ILC487" s="17"/>
      <c r="ILD487" s="17"/>
      <c r="ILE487" s="17"/>
      <c r="ILF487" s="17"/>
      <c r="ILG487" s="17"/>
      <c r="ILH487" s="17"/>
      <c r="ILI487" s="17"/>
      <c r="ILJ487" s="17"/>
      <c r="ILK487" s="17"/>
      <c r="ILL487" s="17"/>
      <c r="ILM487" s="17"/>
      <c r="ILN487" s="17"/>
      <c r="ILO487" s="17"/>
      <c r="ILP487" s="17"/>
      <c r="ILQ487" s="17"/>
      <c r="ILR487" s="17"/>
      <c r="ILS487" s="17"/>
      <c r="ILT487" s="17"/>
      <c r="ILU487" s="17"/>
      <c r="ILV487" s="17"/>
      <c r="ILW487" s="17"/>
      <c r="ILX487" s="17"/>
      <c r="ILY487" s="17"/>
      <c r="ILZ487" s="17"/>
      <c r="IMA487" s="17"/>
      <c r="IMB487" s="17"/>
      <c r="IMC487" s="17"/>
      <c r="IMD487" s="17"/>
      <c r="IME487" s="17"/>
      <c r="IMF487" s="17"/>
      <c r="IMG487" s="17"/>
      <c r="IMH487" s="17"/>
      <c r="IMI487" s="17"/>
      <c r="IMJ487" s="17"/>
      <c r="IMK487" s="17"/>
      <c r="IML487" s="17"/>
      <c r="IMM487" s="17"/>
      <c r="IMN487" s="17"/>
      <c r="IMO487" s="17"/>
      <c r="IMP487" s="17"/>
      <c r="IMQ487" s="17"/>
      <c r="IMR487" s="17"/>
      <c r="IMS487" s="17"/>
      <c r="IMT487" s="17"/>
      <c r="IMU487" s="17"/>
      <c r="IMV487" s="17"/>
      <c r="IMW487" s="17"/>
      <c r="IMX487" s="17"/>
      <c r="IMY487" s="17"/>
      <c r="IMZ487" s="17"/>
      <c r="INA487" s="17"/>
      <c r="INB487" s="17"/>
      <c r="INC487" s="17"/>
      <c r="IND487" s="17"/>
      <c r="INE487" s="17"/>
      <c r="INF487" s="17"/>
      <c r="ING487" s="17"/>
      <c r="INH487" s="17"/>
      <c r="INI487" s="17"/>
      <c r="INJ487" s="17"/>
      <c r="INK487" s="17"/>
      <c r="INL487" s="17"/>
      <c r="INM487" s="17"/>
      <c r="INN487" s="17"/>
      <c r="INO487" s="17"/>
      <c r="INP487" s="17"/>
      <c r="INQ487" s="17"/>
      <c r="INR487" s="17"/>
      <c r="INS487" s="17"/>
      <c r="INT487" s="17"/>
      <c r="INU487" s="17"/>
      <c r="INV487" s="17"/>
      <c r="INW487" s="17"/>
      <c r="INX487" s="17"/>
      <c r="INY487" s="17"/>
      <c r="INZ487" s="17"/>
      <c r="IOA487" s="17"/>
      <c r="IOB487" s="17"/>
      <c r="IOC487" s="17"/>
      <c r="IOD487" s="17"/>
      <c r="IOE487" s="17"/>
      <c r="IOF487" s="17"/>
      <c r="IOG487" s="17"/>
      <c r="IOH487" s="17"/>
      <c r="IOI487" s="17"/>
      <c r="IOJ487" s="17"/>
      <c r="IOK487" s="17"/>
      <c r="IOL487" s="17"/>
      <c r="IOM487" s="17"/>
      <c r="ION487" s="17"/>
      <c r="IOO487" s="17"/>
      <c r="IOP487" s="17"/>
      <c r="IOQ487" s="17"/>
      <c r="IOR487" s="17"/>
      <c r="IOS487" s="17"/>
      <c r="IOT487" s="17"/>
      <c r="IOU487" s="17"/>
      <c r="IOV487" s="17"/>
      <c r="IOW487" s="17"/>
      <c r="IOX487" s="17"/>
      <c r="IOY487" s="17"/>
      <c r="IOZ487" s="17"/>
      <c r="IPA487" s="17"/>
      <c r="IPB487" s="17"/>
      <c r="IPC487" s="17"/>
      <c r="IPD487" s="17"/>
      <c r="IPE487" s="17"/>
      <c r="IPF487" s="17"/>
      <c r="IPG487" s="17"/>
      <c r="IPH487" s="17"/>
      <c r="IPI487" s="17"/>
      <c r="IPJ487" s="17"/>
      <c r="IPK487" s="17"/>
      <c r="IPL487" s="17"/>
      <c r="IPM487" s="17"/>
      <c r="IPN487" s="17"/>
      <c r="IPO487" s="17"/>
      <c r="IPP487" s="17"/>
      <c r="IPQ487" s="17"/>
      <c r="IPR487" s="17"/>
      <c r="IPS487" s="17"/>
      <c r="IPT487" s="17"/>
      <c r="IPU487" s="17"/>
      <c r="IPV487" s="17"/>
      <c r="IPW487" s="17"/>
      <c r="IPX487" s="17"/>
      <c r="IPY487" s="17"/>
      <c r="IPZ487" s="17"/>
      <c r="IQA487" s="17"/>
      <c r="IQB487" s="17"/>
      <c r="IQC487" s="17"/>
      <c r="IQD487" s="17"/>
      <c r="IQE487" s="17"/>
      <c r="IQF487" s="17"/>
      <c r="IQG487" s="17"/>
      <c r="IQH487" s="17"/>
      <c r="IQI487" s="17"/>
      <c r="IQJ487" s="17"/>
      <c r="IQK487" s="17"/>
      <c r="IQL487" s="17"/>
      <c r="IQM487" s="17"/>
      <c r="IQN487" s="17"/>
      <c r="IQO487" s="17"/>
      <c r="IQP487" s="17"/>
      <c r="IQQ487" s="17"/>
      <c r="IQR487" s="17"/>
      <c r="IQS487" s="17"/>
      <c r="IQT487" s="17"/>
      <c r="IQU487" s="17"/>
      <c r="IQV487" s="17"/>
      <c r="IQW487" s="17"/>
      <c r="IQX487" s="17"/>
      <c r="IQY487" s="17"/>
      <c r="IQZ487" s="17"/>
      <c r="IRA487" s="17"/>
      <c r="IRB487" s="17"/>
      <c r="IRC487" s="17"/>
      <c r="IRD487" s="17"/>
      <c r="IRE487" s="17"/>
      <c r="IRF487" s="17"/>
      <c r="IRG487" s="17"/>
      <c r="IRH487" s="17"/>
      <c r="IRI487" s="17"/>
      <c r="IRJ487" s="17"/>
      <c r="IRK487" s="17"/>
      <c r="IRL487" s="17"/>
      <c r="IRM487" s="17"/>
      <c r="IRN487" s="17"/>
      <c r="IRO487" s="17"/>
      <c r="IRP487" s="17"/>
      <c r="IRQ487" s="17"/>
      <c r="IRR487" s="17"/>
      <c r="IRS487" s="17"/>
      <c r="IRT487" s="17"/>
      <c r="IRU487" s="17"/>
      <c r="IRV487" s="17"/>
      <c r="IRW487" s="17"/>
      <c r="IRX487" s="17"/>
      <c r="IRY487" s="17"/>
      <c r="IRZ487" s="17"/>
      <c r="ISA487" s="17"/>
      <c r="ISB487" s="17"/>
      <c r="ISC487" s="17"/>
      <c r="ISD487" s="17"/>
      <c r="ISE487" s="17"/>
      <c r="ISF487" s="17"/>
      <c r="ISG487" s="17"/>
      <c r="ISH487" s="17"/>
      <c r="ISI487" s="17"/>
      <c r="ISJ487" s="17"/>
      <c r="ISK487" s="17"/>
      <c r="ISL487" s="17"/>
      <c r="ISM487" s="17"/>
      <c r="ISN487" s="17"/>
      <c r="ISO487" s="17"/>
      <c r="ISP487" s="17"/>
      <c r="ISQ487" s="17"/>
      <c r="ISR487" s="17"/>
      <c r="ISS487" s="17"/>
      <c r="IST487" s="17"/>
      <c r="ISU487" s="17"/>
      <c r="ISV487" s="17"/>
      <c r="ISW487" s="17"/>
      <c r="ISX487" s="17"/>
      <c r="ISY487" s="17"/>
      <c r="ISZ487" s="17"/>
      <c r="ITA487" s="17"/>
      <c r="ITB487" s="17"/>
      <c r="ITC487" s="17"/>
      <c r="ITD487" s="17"/>
      <c r="ITE487" s="17"/>
      <c r="ITF487" s="17"/>
      <c r="ITG487" s="17"/>
      <c r="ITH487" s="17"/>
      <c r="ITI487" s="17"/>
      <c r="ITJ487" s="17"/>
      <c r="ITK487" s="17"/>
      <c r="ITL487" s="17"/>
      <c r="ITM487" s="17"/>
      <c r="ITN487" s="17"/>
      <c r="ITO487" s="17"/>
      <c r="ITP487" s="17"/>
      <c r="ITQ487" s="17"/>
      <c r="ITR487" s="17"/>
      <c r="ITS487" s="17"/>
      <c r="ITT487" s="17"/>
      <c r="ITU487" s="17"/>
      <c r="ITV487" s="17"/>
      <c r="ITW487" s="17"/>
      <c r="ITX487" s="17"/>
      <c r="ITY487" s="17"/>
      <c r="ITZ487" s="17"/>
      <c r="IUA487" s="17"/>
      <c r="IUB487" s="17"/>
      <c r="IUC487" s="17"/>
      <c r="IUD487" s="17"/>
      <c r="IUE487" s="17"/>
      <c r="IUF487" s="17"/>
      <c r="IUG487" s="17"/>
      <c r="IUH487" s="17"/>
      <c r="IUI487" s="17"/>
      <c r="IUJ487" s="17"/>
      <c r="IUK487" s="17"/>
      <c r="IUL487" s="17"/>
      <c r="IUM487" s="17"/>
      <c r="IUN487" s="17"/>
      <c r="IUO487" s="17"/>
      <c r="IUP487" s="17"/>
      <c r="IUQ487" s="17"/>
      <c r="IUR487" s="17"/>
      <c r="IUS487" s="17"/>
      <c r="IUT487" s="17"/>
      <c r="IUU487" s="17"/>
      <c r="IUV487" s="17"/>
      <c r="IUW487" s="17"/>
      <c r="IUX487" s="17"/>
      <c r="IUY487" s="17"/>
      <c r="IUZ487" s="17"/>
      <c r="IVA487" s="17"/>
      <c r="IVB487" s="17"/>
      <c r="IVC487" s="17"/>
      <c r="IVD487" s="17"/>
      <c r="IVE487" s="17"/>
      <c r="IVF487" s="17"/>
      <c r="IVG487" s="17"/>
      <c r="IVH487" s="17"/>
      <c r="IVI487" s="17"/>
      <c r="IVJ487" s="17"/>
      <c r="IVK487" s="17"/>
      <c r="IVL487" s="17"/>
      <c r="IVM487" s="17"/>
      <c r="IVN487" s="17"/>
      <c r="IVO487" s="17"/>
      <c r="IVP487" s="17"/>
      <c r="IVQ487" s="17"/>
      <c r="IVR487" s="17"/>
      <c r="IVS487" s="17"/>
      <c r="IVT487" s="17"/>
      <c r="IVU487" s="17"/>
      <c r="IVV487" s="17"/>
      <c r="IVW487" s="17"/>
      <c r="IVX487" s="17"/>
      <c r="IVY487" s="17"/>
      <c r="IVZ487" s="17"/>
      <c r="IWA487" s="17"/>
      <c r="IWB487" s="17"/>
      <c r="IWC487" s="17"/>
      <c r="IWD487" s="17"/>
      <c r="IWE487" s="17"/>
      <c r="IWF487" s="17"/>
      <c r="IWG487" s="17"/>
      <c r="IWH487" s="17"/>
      <c r="IWI487" s="17"/>
      <c r="IWJ487" s="17"/>
      <c r="IWK487" s="17"/>
      <c r="IWL487" s="17"/>
      <c r="IWM487" s="17"/>
      <c r="IWN487" s="17"/>
      <c r="IWO487" s="17"/>
      <c r="IWP487" s="17"/>
      <c r="IWQ487" s="17"/>
      <c r="IWR487" s="17"/>
      <c r="IWS487" s="17"/>
      <c r="IWT487" s="17"/>
      <c r="IWU487" s="17"/>
      <c r="IWV487" s="17"/>
      <c r="IWW487" s="17"/>
      <c r="IWX487" s="17"/>
      <c r="IWY487" s="17"/>
      <c r="IWZ487" s="17"/>
      <c r="IXA487" s="17"/>
      <c r="IXB487" s="17"/>
      <c r="IXC487" s="17"/>
      <c r="IXD487" s="17"/>
      <c r="IXE487" s="17"/>
      <c r="IXF487" s="17"/>
      <c r="IXG487" s="17"/>
      <c r="IXH487" s="17"/>
      <c r="IXI487" s="17"/>
      <c r="IXJ487" s="17"/>
      <c r="IXK487" s="17"/>
      <c r="IXL487" s="17"/>
      <c r="IXM487" s="17"/>
      <c r="IXN487" s="17"/>
      <c r="IXO487" s="17"/>
      <c r="IXP487" s="17"/>
      <c r="IXQ487" s="17"/>
      <c r="IXR487" s="17"/>
      <c r="IXS487" s="17"/>
      <c r="IXT487" s="17"/>
      <c r="IXU487" s="17"/>
      <c r="IXV487" s="17"/>
      <c r="IXW487" s="17"/>
      <c r="IXX487" s="17"/>
      <c r="IXY487" s="17"/>
      <c r="IXZ487" s="17"/>
      <c r="IYA487" s="17"/>
      <c r="IYB487" s="17"/>
      <c r="IYC487" s="17"/>
      <c r="IYD487" s="17"/>
      <c r="IYE487" s="17"/>
      <c r="IYF487" s="17"/>
      <c r="IYG487" s="17"/>
      <c r="IYH487" s="17"/>
      <c r="IYI487" s="17"/>
      <c r="IYJ487" s="17"/>
      <c r="IYK487" s="17"/>
      <c r="IYL487" s="17"/>
      <c r="IYM487" s="17"/>
      <c r="IYN487" s="17"/>
      <c r="IYO487" s="17"/>
      <c r="IYP487" s="17"/>
      <c r="IYQ487" s="17"/>
      <c r="IYR487" s="17"/>
      <c r="IYS487" s="17"/>
      <c r="IYT487" s="17"/>
      <c r="IYU487" s="17"/>
      <c r="IYV487" s="17"/>
      <c r="IYW487" s="17"/>
      <c r="IYX487" s="17"/>
      <c r="IYY487" s="17"/>
      <c r="IYZ487" s="17"/>
      <c r="IZA487" s="17"/>
      <c r="IZB487" s="17"/>
      <c r="IZC487" s="17"/>
      <c r="IZD487" s="17"/>
      <c r="IZE487" s="17"/>
      <c r="IZF487" s="17"/>
      <c r="IZG487" s="17"/>
      <c r="IZH487" s="17"/>
      <c r="IZI487" s="17"/>
      <c r="IZJ487" s="17"/>
      <c r="IZK487" s="17"/>
      <c r="IZL487" s="17"/>
      <c r="IZM487" s="17"/>
      <c r="IZN487" s="17"/>
      <c r="IZO487" s="17"/>
      <c r="IZP487" s="17"/>
      <c r="IZQ487" s="17"/>
      <c r="IZR487" s="17"/>
      <c r="IZS487" s="17"/>
      <c r="IZT487" s="17"/>
      <c r="IZU487" s="17"/>
      <c r="IZV487" s="17"/>
      <c r="IZW487" s="17"/>
      <c r="IZX487" s="17"/>
      <c r="IZY487" s="17"/>
      <c r="IZZ487" s="17"/>
      <c r="JAA487" s="17"/>
      <c r="JAB487" s="17"/>
      <c r="JAC487" s="17"/>
      <c r="JAD487" s="17"/>
      <c r="JAE487" s="17"/>
      <c r="JAF487" s="17"/>
      <c r="JAG487" s="17"/>
      <c r="JAH487" s="17"/>
      <c r="JAI487" s="17"/>
      <c r="JAJ487" s="17"/>
      <c r="JAK487" s="17"/>
      <c r="JAL487" s="17"/>
      <c r="JAM487" s="17"/>
      <c r="JAN487" s="17"/>
      <c r="JAO487" s="17"/>
      <c r="JAP487" s="17"/>
      <c r="JAQ487" s="17"/>
      <c r="JAR487" s="17"/>
      <c r="JAS487" s="17"/>
      <c r="JAT487" s="17"/>
      <c r="JAU487" s="17"/>
      <c r="JAV487" s="17"/>
      <c r="JAW487" s="17"/>
      <c r="JAX487" s="17"/>
      <c r="JAY487" s="17"/>
      <c r="JAZ487" s="17"/>
      <c r="JBA487" s="17"/>
      <c r="JBB487" s="17"/>
      <c r="JBC487" s="17"/>
      <c r="JBD487" s="17"/>
      <c r="JBE487" s="17"/>
      <c r="JBF487" s="17"/>
      <c r="JBG487" s="17"/>
      <c r="JBH487" s="17"/>
      <c r="JBI487" s="17"/>
      <c r="JBJ487" s="17"/>
      <c r="JBK487" s="17"/>
      <c r="JBL487" s="17"/>
      <c r="JBM487" s="17"/>
      <c r="JBN487" s="17"/>
      <c r="JBO487" s="17"/>
      <c r="JBP487" s="17"/>
      <c r="JBQ487" s="17"/>
      <c r="JBR487" s="17"/>
      <c r="JBS487" s="17"/>
      <c r="JBT487" s="17"/>
      <c r="JBU487" s="17"/>
      <c r="JBV487" s="17"/>
      <c r="JBW487" s="17"/>
      <c r="JBX487" s="17"/>
      <c r="JBY487" s="17"/>
      <c r="JBZ487" s="17"/>
      <c r="JCA487" s="17"/>
      <c r="JCB487" s="17"/>
      <c r="JCC487" s="17"/>
      <c r="JCD487" s="17"/>
      <c r="JCE487" s="17"/>
      <c r="JCF487" s="17"/>
      <c r="JCG487" s="17"/>
      <c r="JCH487" s="17"/>
      <c r="JCI487" s="17"/>
      <c r="JCJ487" s="17"/>
      <c r="JCK487" s="17"/>
      <c r="JCL487" s="17"/>
      <c r="JCM487" s="17"/>
      <c r="JCN487" s="17"/>
      <c r="JCO487" s="17"/>
      <c r="JCP487" s="17"/>
      <c r="JCQ487" s="17"/>
      <c r="JCR487" s="17"/>
      <c r="JCS487" s="17"/>
      <c r="JCT487" s="17"/>
      <c r="JCU487" s="17"/>
      <c r="JCV487" s="17"/>
      <c r="JCW487" s="17"/>
      <c r="JCX487" s="17"/>
      <c r="JCY487" s="17"/>
      <c r="JCZ487" s="17"/>
      <c r="JDA487" s="17"/>
      <c r="JDB487" s="17"/>
      <c r="JDC487" s="17"/>
      <c r="JDD487" s="17"/>
      <c r="JDE487" s="17"/>
      <c r="JDF487" s="17"/>
      <c r="JDG487" s="17"/>
      <c r="JDH487" s="17"/>
      <c r="JDI487" s="17"/>
      <c r="JDJ487" s="17"/>
      <c r="JDK487" s="17"/>
      <c r="JDL487" s="17"/>
      <c r="JDM487" s="17"/>
      <c r="JDN487" s="17"/>
      <c r="JDO487" s="17"/>
      <c r="JDP487" s="17"/>
      <c r="JDQ487" s="17"/>
      <c r="JDR487" s="17"/>
      <c r="JDS487" s="17"/>
      <c r="JDT487" s="17"/>
      <c r="JDU487" s="17"/>
      <c r="JDV487" s="17"/>
      <c r="JDW487" s="17"/>
      <c r="JDX487" s="17"/>
      <c r="JDY487" s="17"/>
      <c r="JDZ487" s="17"/>
      <c r="JEA487" s="17"/>
      <c r="JEB487" s="17"/>
      <c r="JEC487" s="17"/>
      <c r="JED487" s="17"/>
      <c r="JEE487" s="17"/>
      <c r="JEF487" s="17"/>
      <c r="JEG487" s="17"/>
      <c r="JEH487" s="17"/>
      <c r="JEI487" s="17"/>
      <c r="JEJ487" s="17"/>
      <c r="JEK487" s="17"/>
      <c r="JEL487" s="17"/>
      <c r="JEM487" s="17"/>
      <c r="JEN487" s="17"/>
      <c r="JEO487" s="17"/>
      <c r="JEP487" s="17"/>
      <c r="JEQ487" s="17"/>
      <c r="JER487" s="17"/>
      <c r="JES487" s="17"/>
      <c r="JET487" s="17"/>
      <c r="JEU487" s="17"/>
      <c r="JEV487" s="17"/>
      <c r="JEW487" s="17"/>
      <c r="JEX487" s="17"/>
      <c r="JEY487" s="17"/>
      <c r="JEZ487" s="17"/>
      <c r="JFA487" s="17"/>
      <c r="JFB487" s="17"/>
      <c r="JFC487" s="17"/>
      <c r="JFD487" s="17"/>
      <c r="JFE487" s="17"/>
      <c r="JFF487" s="17"/>
      <c r="JFG487" s="17"/>
      <c r="JFH487" s="17"/>
      <c r="JFI487" s="17"/>
      <c r="JFJ487" s="17"/>
      <c r="JFK487" s="17"/>
      <c r="JFL487" s="17"/>
      <c r="JFM487" s="17"/>
      <c r="JFN487" s="17"/>
      <c r="JFO487" s="17"/>
      <c r="JFP487" s="17"/>
      <c r="JFQ487" s="17"/>
      <c r="JFR487" s="17"/>
      <c r="JFS487" s="17"/>
      <c r="JFT487" s="17"/>
      <c r="JFU487" s="17"/>
      <c r="JFV487" s="17"/>
      <c r="JFW487" s="17"/>
      <c r="JFX487" s="17"/>
      <c r="JFY487" s="17"/>
      <c r="JFZ487" s="17"/>
      <c r="JGA487" s="17"/>
      <c r="JGB487" s="17"/>
      <c r="JGC487" s="17"/>
      <c r="JGD487" s="17"/>
      <c r="JGE487" s="17"/>
      <c r="JGF487" s="17"/>
      <c r="JGG487" s="17"/>
      <c r="JGH487" s="17"/>
      <c r="JGI487" s="17"/>
      <c r="JGJ487" s="17"/>
      <c r="JGK487" s="17"/>
      <c r="JGL487" s="17"/>
      <c r="JGM487" s="17"/>
      <c r="JGN487" s="17"/>
      <c r="JGO487" s="17"/>
      <c r="JGP487" s="17"/>
      <c r="JGQ487" s="17"/>
      <c r="JGR487" s="17"/>
      <c r="JGS487" s="17"/>
      <c r="JGT487" s="17"/>
      <c r="JGU487" s="17"/>
      <c r="JGV487" s="17"/>
      <c r="JGW487" s="17"/>
      <c r="JGX487" s="17"/>
      <c r="JGY487" s="17"/>
      <c r="JGZ487" s="17"/>
      <c r="JHA487" s="17"/>
      <c r="JHB487" s="17"/>
      <c r="JHC487" s="17"/>
      <c r="JHD487" s="17"/>
      <c r="JHE487" s="17"/>
      <c r="JHF487" s="17"/>
      <c r="JHG487" s="17"/>
      <c r="JHH487" s="17"/>
      <c r="JHI487" s="17"/>
      <c r="JHJ487" s="17"/>
      <c r="JHK487" s="17"/>
      <c r="JHL487" s="17"/>
      <c r="JHM487" s="17"/>
      <c r="JHN487" s="17"/>
      <c r="JHO487" s="17"/>
      <c r="JHP487" s="17"/>
      <c r="JHQ487" s="17"/>
      <c r="JHR487" s="17"/>
      <c r="JHS487" s="17"/>
      <c r="JHT487" s="17"/>
      <c r="JHU487" s="17"/>
      <c r="JHV487" s="17"/>
      <c r="JHW487" s="17"/>
      <c r="JHX487" s="17"/>
      <c r="JHY487" s="17"/>
      <c r="JHZ487" s="17"/>
      <c r="JIA487" s="17"/>
      <c r="JIB487" s="17"/>
      <c r="JIC487" s="17"/>
      <c r="JID487" s="17"/>
      <c r="JIE487" s="17"/>
      <c r="JIF487" s="17"/>
      <c r="JIG487" s="17"/>
      <c r="JIH487" s="17"/>
      <c r="JII487" s="17"/>
      <c r="JIJ487" s="17"/>
      <c r="JIK487" s="17"/>
      <c r="JIL487" s="17"/>
      <c r="JIM487" s="17"/>
      <c r="JIN487" s="17"/>
      <c r="JIO487" s="17"/>
      <c r="JIP487" s="17"/>
      <c r="JIQ487" s="17"/>
      <c r="JIR487" s="17"/>
      <c r="JIS487" s="17"/>
      <c r="JIT487" s="17"/>
      <c r="JIU487" s="17"/>
      <c r="JIV487" s="17"/>
      <c r="JIW487" s="17"/>
      <c r="JIX487" s="17"/>
      <c r="JIY487" s="17"/>
      <c r="JIZ487" s="17"/>
      <c r="JJA487" s="17"/>
      <c r="JJB487" s="17"/>
      <c r="JJC487" s="17"/>
      <c r="JJD487" s="17"/>
      <c r="JJE487" s="17"/>
      <c r="JJF487" s="17"/>
      <c r="JJG487" s="17"/>
      <c r="JJH487" s="17"/>
      <c r="JJI487" s="17"/>
      <c r="JJJ487" s="17"/>
      <c r="JJK487" s="17"/>
      <c r="JJL487" s="17"/>
      <c r="JJM487" s="17"/>
      <c r="JJN487" s="17"/>
      <c r="JJO487" s="17"/>
      <c r="JJP487" s="17"/>
      <c r="JJQ487" s="17"/>
      <c r="JJR487" s="17"/>
      <c r="JJS487" s="17"/>
      <c r="JJT487" s="17"/>
      <c r="JJU487" s="17"/>
      <c r="JJV487" s="17"/>
      <c r="JJW487" s="17"/>
      <c r="JJX487" s="17"/>
      <c r="JJY487" s="17"/>
      <c r="JJZ487" s="17"/>
      <c r="JKA487" s="17"/>
      <c r="JKB487" s="17"/>
      <c r="JKC487" s="17"/>
      <c r="JKD487" s="17"/>
      <c r="JKE487" s="17"/>
      <c r="JKF487" s="17"/>
      <c r="JKG487" s="17"/>
      <c r="JKH487" s="17"/>
      <c r="JKI487" s="17"/>
      <c r="JKJ487" s="17"/>
      <c r="JKK487" s="17"/>
      <c r="JKL487" s="17"/>
      <c r="JKM487" s="17"/>
      <c r="JKN487" s="17"/>
      <c r="JKO487" s="17"/>
      <c r="JKP487" s="17"/>
      <c r="JKQ487" s="17"/>
      <c r="JKR487" s="17"/>
      <c r="JKS487" s="17"/>
      <c r="JKT487" s="17"/>
      <c r="JKU487" s="17"/>
      <c r="JKV487" s="17"/>
      <c r="JKW487" s="17"/>
      <c r="JKX487" s="17"/>
      <c r="JKY487" s="17"/>
      <c r="JKZ487" s="17"/>
      <c r="JLA487" s="17"/>
      <c r="JLB487" s="17"/>
      <c r="JLC487" s="17"/>
      <c r="JLD487" s="17"/>
      <c r="JLE487" s="17"/>
      <c r="JLF487" s="17"/>
      <c r="JLG487" s="17"/>
      <c r="JLH487" s="17"/>
      <c r="JLI487" s="17"/>
      <c r="JLJ487" s="17"/>
      <c r="JLK487" s="17"/>
      <c r="JLL487" s="17"/>
      <c r="JLM487" s="17"/>
      <c r="JLN487" s="17"/>
      <c r="JLO487" s="17"/>
      <c r="JLP487" s="17"/>
      <c r="JLQ487" s="17"/>
      <c r="JLR487" s="17"/>
      <c r="JLS487" s="17"/>
      <c r="JLT487" s="17"/>
      <c r="JLU487" s="17"/>
      <c r="JLV487" s="17"/>
      <c r="JLW487" s="17"/>
      <c r="JLX487" s="17"/>
      <c r="JLY487" s="17"/>
      <c r="JLZ487" s="17"/>
      <c r="JMA487" s="17"/>
      <c r="JMB487" s="17"/>
      <c r="JMC487" s="17"/>
      <c r="JMD487" s="17"/>
      <c r="JME487" s="17"/>
      <c r="JMF487" s="17"/>
      <c r="JMG487" s="17"/>
      <c r="JMH487" s="17"/>
      <c r="JMI487" s="17"/>
      <c r="JMJ487" s="17"/>
      <c r="JMK487" s="17"/>
      <c r="JML487" s="17"/>
      <c r="JMM487" s="17"/>
      <c r="JMN487" s="17"/>
      <c r="JMO487" s="17"/>
      <c r="JMP487" s="17"/>
      <c r="JMQ487" s="17"/>
      <c r="JMR487" s="17"/>
      <c r="JMS487" s="17"/>
      <c r="JMT487" s="17"/>
      <c r="JMU487" s="17"/>
      <c r="JMV487" s="17"/>
      <c r="JMW487" s="17"/>
      <c r="JMX487" s="17"/>
      <c r="JMY487" s="17"/>
      <c r="JMZ487" s="17"/>
      <c r="JNA487" s="17"/>
      <c r="JNB487" s="17"/>
      <c r="JNC487" s="17"/>
      <c r="JND487" s="17"/>
      <c r="JNE487" s="17"/>
      <c r="JNF487" s="17"/>
      <c r="JNG487" s="17"/>
      <c r="JNH487" s="17"/>
      <c r="JNI487" s="17"/>
      <c r="JNJ487" s="17"/>
      <c r="JNK487" s="17"/>
      <c r="JNL487" s="17"/>
      <c r="JNM487" s="17"/>
      <c r="JNN487" s="17"/>
      <c r="JNO487" s="17"/>
      <c r="JNP487" s="17"/>
      <c r="JNQ487" s="17"/>
      <c r="JNR487" s="17"/>
      <c r="JNS487" s="17"/>
      <c r="JNT487" s="17"/>
      <c r="JNU487" s="17"/>
      <c r="JNV487" s="17"/>
      <c r="JNW487" s="17"/>
      <c r="JNX487" s="17"/>
      <c r="JNY487" s="17"/>
      <c r="JNZ487" s="17"/>
      <c r="JOA487" s="17"/>
      <c r="JOB487" s="17"/>
      <c r="JOC487" s="17"/>
      <c r="JOD487" s="17"/>
      <c r="JOE487" s="17"/>
      <c r="JOF487" s="17"/>
      <c r="JOG487" s="17"/>
      <c r="JOH487" s="17"/>
      <c r="JOI487" s="17"/>
      <c r="JOJ487" s="17"/>
      <c r="JOK487" s="17"/>
      <c r="JOL487" s="17"/>
      <c r="JOM487" s="17"/>
      <c r="JON487" s="17"/>
      <c r="JOO487" s="17"/>
      <c r="JOP487" s="17"/>
      <c r="JOQ487" s="17"/>
      <c r="JOR487" s="17"/>
      <c r="JOS487" s="17"/>
      <c r="JOT487" s="17"/>
      <c r="JOU487" s="17"/>
      <c r="JOV487" s="17"/>
      <c r="JOW487" s="17"/>
      <c r="JOX487" s="17"/>
      <c r="JOY487" s="17"/>
      <c r="JOZ487" s="17"/>
      <c r="JPA487" s="17"/>
      <c r="JPB487" s="17"/>
      <c r="JPC487" s="17"/>
      <c r="JPD487" s="17"/>
      <c r="JPE487" s="17"/>
      <c r="JPF487" s="17"/>
      <c r="JPG487" s="17"/>
      <c r="JPH487" s="17"/>
      <c r="JPI487" s="17"/>
      <c r="JPJ487" s="17"/>
      <c r="JPK487" s="17"/>
      <c r="JPL487" s="17"/>
      <c r="JPM487" s="17"/>
      <c r="JPN487" s="17"/>
      <c r="JPO487" s="17"/>
      <c r="JPP487" s="17"/>
      <c r="JPQ487" s="17"/>
      <c r="JPR487" s="17"/>
      <c r="JPS487" s="17"/>
      <c r="JPT487" s="17"/>
      <c r="JPU487" s="17"/>
      <c r="JPV487" s="17"/>
      <c r="JPW487" s="17"/>
      <c r="JPX487" s="17"/>
      <c r="JPY487" s="17"/>
      <c r="JPZ487" s="17"/>
      <c r="JQA487" s="17"/>
      <c r="JQB487" s="17"/>
      <c r="JQC487" s="17"/>
      <c r="JQD487" s="17"/>
      <c r="JQE487" s="17"/>
      <c r="JQF487" s="17"/>
      <c r="JQG487" s="17"/>
      <c r="JQH487" s="17"/>
      <c r="JQI487" s="17"/>
      <c r="JQJ487" s="17"/>
      <c r="JQK487" s="17"/>
      <c r="JQL487" s="17"/>
      <c r="JQM487" s="17"/>
      <c r="JQN487" s="17"/>
      <c r="JQO487" s="17"/>
      <c r="JQP487" s="17"/>
      <c r="JQQ487" s="17"/>
      <c r="JQR487" s="17"/>
      <c r="JQS487" s="17"/>
      <c r="JQT487" s="17"/>
      <c r="JQU487" s="17"/>
      <c r="JQV487" s="17"/>
      <c r="JQW487" s="17"/>
      <c r="JQX487" s="17"/>
      <c r="JQY487" s="17"/>
      <c r="JQZ487" s="17"/>
      <c r="JRA487" s="17"/>
      <c r="JRB487" s="17"/>
      <c r="JRC487" s="17"/>
      <c r="JRD487" s="17"/>
      <c r="JRE487" s="17"/>
      <c r="JRF487" s="17"/>
      <c r="JRG487" s="17"/>
      <c r="JRH487" s="17"/>
      <c r="JRI487" s="17"/>
      <c r="JRJ487" s="17"/>
      <c r="JRK487" s="17"/>
      <c r="JRL487" s="17"/>
      <c r="JRM487" s="17"/>
      <c r="JRN487" s="17"/>
      <c r="JRO487" s="17"/>
      <c r="JRP487" s="17"/>
      <c r="JRQ487" s="17"/>
      <c r="JRR487" s="17"/>
      <c r="JRS487" s="17"/>
      <c r="JRT487" s="17"/>
      <c r="JRU487" s="17"/>
      <c r="JRV487" s="17"/>
      <c r="JRW487" s="17"/>
      <c r="JRX487" s="17"/>
      <c r="JRY487" s="17"/>
      <c r="JRZ487" s="17"/>
      <c r="JSA487" s="17"/>
      <c r="JSB487" s="17"/>
      <c r="JSC487" s="17"/>
      <c r="JSD487" s="17"/>
      <c r="JSE487" s="17"/>
      <c r="JSF487" s="17"/>
      <c r="JSG487" s="17"/>
      <c r="JSH487" s="17"/>
      <c r="JSI487" s="17"/>
      <c r="JSJ487" s="17"/>
      <c r="JSK487" s="17"/>
      <c r="JSL487" s="17"/>
      <c r="JSM487" s="17"/>
      <c r="JSN487" s="17"/>
      <c r="JSO487" s="17"/>
      <c r="JSP487" s="17"/>
      <c r="JSQ487" s="17"/>
      <c r="JSR487" s="17"/>
      <c r="JSS487" s="17"/>
      <c r="JST487" s="17"/>
      <c r="JSU487" s="17"/>
      <c r="JSV487" s="17"/>
      <c r="JSW487" s="17"/>
      <c r="JSX487" s="17"/>
      <c r="JSY487" s="17"/>
      <c r="JSZ487" s="17"/>
      <c r="JTA487" s="17"/>
      <c r="JTB487" s="17"/>
      <c r="JTC487" s="17"/>
      <c r="JTD487" s="17"/>
      <c r="JTE487" s="17"/>
      <c r="JTF487" s="17"/>
      <c r="JTG487" s="17"/>
      <c r="JTH487" s="17"/>
      <c r="JTI487" s="17"/>
      <c r="JTJ487" s="17"/>
      <c r="JTK487" s="17"/>
      <c r="JTL487" s="17"/>
      <c r="JTM487" s="17"/>
      <c r="JTN487" s="17"/>
      <c r="JTO487" s="17"/>
      <c r="JTP487" s="17"/>
      <c r="JTQ487" s="17"/>
      <c r="JTR487" s="17"/>
      <c r="JTS487" s="17"/>
      <c r="JTT487" s="17"/>
      <c r="JTU487" s="17"/>
      <c r="JTV487" s="17"/>
      <c r="JTW487" s="17"/>
      <c r="JTX487" s="17"/>
      <c r="JTY487" s="17"/>
      <c r="JTZ487" s="17"/>
      <c r="JUA487" s="17"/>
      <c r="JUB487" s="17"/>
      <c r="JUC487" s="17"/>
      <c r="JUD487" s="17"/>
      <c r="JUE487" s="17"/>
      <c r="JUF487" s="17"/>
      <c r="JUG487" s="17"/>
      <c r="JUH487" s="17"/>
      <c r="JUI487" s="17"/>
      <c r="JUJ487" s="17"/>
      <c r="JUK487" s="17"/>
      <c r="JUL487" s="17"/>
      <c r="JUM487" s="17"/>
      <c r="JUN487" s="17"/>
      <c r="JUO487" s="17"/>
      <c r="JUP487" s="17"/>
      <c r="JUQ487" s="17"/>
      <c r="JUR487" s="17"/>
      <c r="JUS487" s="17"/>
      <c r="JUT487" s="17"/>
      <c r="JUU487" s="17"/>
      <c r="JUV487" s="17"/>
      <c r="JUW487" s="17"/>
      <c r="JUX487" s="17"/>
      <c r="JUY487" s="17"/>
      <c r="JUZ487" s="17"/>
      <c r="JVA487" s="17"/>
      <c r="JVB487" s="17"/>
      <c r="JVC487" s="17"/>
      <c r="JVD487" s="17"/>
      <c r="JVE487" s="17"/>
      <c r="JVF487" s="17"/>
      <c r="JVG487" s="17"/>
      <c r="JVH487" s="17"/>
      <c r="JVI487" s="17"/>
      <c r="JVJ487" s="17"/>
      <c r="JVK487" s="17"/>
      <c r="JVL487" s="17"/>
      <c r="JVM487" s="17"/>
      <c r="JVN487" s="17"/>
      <c r="JVO487" s="17"/>
      <c r="JVP487" s="17"/>
      <c r="JVQ487" s="17"/>
      <c r="JVR487" s="17"/>
      <c r="JVS487" s="17"/>
      <c r="JVT487" s="17"/>
      <c r="JVU487" s="17"/>
      <c r="JVV487" s="17"/>
      <c r="JVW487" s="17"/>
      <c r="JVX487" s="17"/>
      <c r="JVY487" s="17"/>
      <c r="JVZ487" s="17"/>
      <c r="JWA487" s="17"/>
      <c r="JWB487" s="17"/>
      <c r="JWC487" s="17"/>
      <c r="JWD487" s="17"/>
      <c r="JWE487" s="17"/>
      <c r="JWF487" s="17"/>
      <c r="JWG487" s="17"/>
      <c r="JWH487" s="17"/>
      <c r="JWI487" s="17"/>
      <c r="JWJ487" s="17"/>
      <c r="JWK487" s="17"/>
      <c r="JWL487" s="17"/>
      <c r="JWM487" s="17"/>
      <c r="JWN487" s="17"/>
      <c r="JWO487" s="17"/>
      <c r="JWP487" s="17"/>
      <c r="JWQ487" s="17"/>
      <c r="JWR487" s="17"/>
      <c r="JWS487" s="17"/>
      <c r="JWT487" s="17"/>
      <c r="JWU487" s="17"/>
      <c r="JWV487" s="17"/>
      <c r="JWW487" s="17"/>
      <c r="JWX487" s="17"/>
      <c r="JWY487" s="17"/>
      <c r="JWZ487" s="17"/>
      <c r="JXA487" s="17"/>
      <c r="JXB487" s="17"/>
      <c r="JXC487" s="17"/>
      <c r="JXD487" s="17"/>
      <c r="JXE487" s="17"/>
      <c r="JXF487" s="17"/>
      <c r="JXG487" s="17"/>
      <c r="JXH487" s="17"/>
      <c r="JXI487" s="17"/>
      <c r="JXJ487" s="17"/>
      <c r="JXK487" s="17"/>
      <c r="JXL487" s="17"/>
      <c r="JXM487" s="17"/>
      <c r="JXN487" s="17"/>
      <c r="JXO487" s="17"/>
      <c r="JXP487" s="17"/>
      <c r="JXQ487" s="17"/>
      <c r="JXR487" s="17"/>
      <c r="JXS487" s="17"/>
      <c r="JXT487" s="17"/>
      <c r="JXU487" s="17"/>
      <c r="JXV487" s="17"/>
      <c r="JXW487" s="17"/>
      <c r="JXX487" s="17"/>
      <c r="JXY487" s="17"/>
      <c r="JXZ487" s="17"/>
      <c r="JYA487" s="17"/>
      <c r="JYB487" s="17"/>
      <c r="JYC487" s="17"/>
      <c r="JYD487" s="17"/>
      <c r="JYE487" s="17"/>
      <c r="JYF487" s="17"/>
      <c r="JYG487" s="17"/>
      <c r="JYH487" s="17"/>
      <c r="JYI487" s="17"/>
      <c r="JYJ487" s="17"/>
      <c r="JYK487" s="17"/>
      <c r="JYL487" s="17"/>
      <c r="JYM487" s="17"/>
      <c r="JYN487" s="17"/>
      <c r="JYO487" s="17"/>
      <c r="JYP487" s="17"/>
      <c r="JYQ487" s="17"/>
      <c r="JYR487" s="17"/>
      <c r="JYS487" s="17"/>
      <c r="JYT487" s="17"/>
      <c r="JYU487" s="17"/>
      <c r="JYV487" s="17"/>
      <c r="JYW487" s="17"/>
      <c r="JYX487" s="17"/>
      <c r="JYY487" s="17"/>
      <c r="JYZ487" s="17"/>
      <c r="JZA487" s="17"/>
      <c r="JZB487" s="17"/>
      <c r="JZC487" s="17"/>
      <c r="JZD487" s="17"/>
      <c r="JZE487" s="17"/>
      <c r="JZF487" s="17"/>
      <c r="JZG487" s="17"/>
      <c r="JZH487" s="17"/>
      <c r="JZI487" s="17"/>
      <c r="JZJ487" s="17"/>
      <c r="JZK487" s="17"/>
      <c r="JZL487" s="17"/>
      <c r="JZM487" s="17"/>
      <c r="JZN487" s="17"/>
      <c r="JZO487" s="17"/>
      <c r="JZP487" s="17"/>
      <c r="JZQ487" s="17"/>
      <c r="JZR487" s="17"/>
      <c r="JZS487" s="17"/>
      <c r="JZT487" s="17"/>
      <c r="JZU487" s="17"/>
      <c r="JZV487" s="17"/>
      <c r="JZW487" s="17"/>
      <c r="JZX487" s="17"/>
      <c r="JZY487" s="17"/>
      <c r="JZZ487" s="17"/>
      <c r="KAA487" s="17"/>
      <c r="KAB487" s="17"/>
      <c r="KAC487" s="17"/>
      <c r="KAD487" s="17"/>
      <c r="KAE487" s="17"/>
      <c r="KAF487" s="17"/>
      <c r="KAG487" s="17"/>
      <c r="KAH487" s="17"/>
      <c r="KAI487" s="17"/>
      <c r="KAJ487" s="17"/>
      <c r="KAK487" s="17"/>
      <c r="KAL487" s="17"/>
      <c r="KAM487" s="17"/>
      <c r="KAN487" s="17"/>
      <c r="KAO487" s="17"/>
      <c r="KAP487" s="17"/>
      <c r="KAQ487" s="17"/>
      <c r="KAR487" s="17"/>
      <c r="KAS487" s="17"/>
      <c r="KAT487" s="17"/>
      <c r="KAU487" s="17"/>
      <c r="KAV487" s="17"/>
      <c r="KAW487" s="17"/>
      <c r="KAX487" s="17"/>
      <c r="KAY487" s="17"/>
      <c r="KAZ487" s="17"/>
      <c r="KBA487" s="17"/>
      <c r="KBB487" s="17"/>
      <c r="KBC487" s="17"/>
      <c r="KBD487" s="17"/>
      <c r="KBE487" s="17"/>
      <c r="KBF487" s="17"/>
      <c r="KBG487" s="17"/>
      <c r="KBH487" s="17"/>
      <c r="KBI487" s="17"/>
      <c r="KBJ487" s="17"/>
      <c r="KBK487" s="17"/>
      <c r="KBL487" s="17"/>
      <c r="KBM487" s="17"/>
      <c r="KBN487" s="17"/>
      <c r="KBO487" s="17"/>
      <c r="KBP487" s="17"/>
      <c r="KBQ487" s="17"/>
      <c r="KBR487" s="17"/>
      <c r="KBS487" s="17"/>
      <c r="KBT487" s="17"/>
      <c r="KBU487" s="17"/>
      <c r="KBV487" s="17"/>
      <c r="KBW487" s="17"/>
      <c r="KBX487" s="17"/>
      <c r="KBY487" s="17"/>
      <c r="KBZ487" s="17"/>
      <c r="KCA487" s="17"/>
      <c r="KCB487" s="17"/>
      <c r="KCC487" s="17"/>
      <c r="KCD487" s="17"/>
      <c r="KCE487" s="17"/>
      <c r="KCF487" s="17"/>
      <c r="KCG487" s="17"/>
      <c r="KCH487" s="17"/>
      <c r="KCI487" s="17"/>
      <c r="KCJ487" s="17"/>
      <c r="KCK487" s="17"/>
      <c r="KCL487" s="17"/>
      <c r="KCM487" s="17"/>
      <c r="KCN487" s="17"/>
      <c r="KCO487" s="17"/>
      <c r="KCP487" s="17"/>
      <c r="KCQ487" s="17"/>
      <c r="KCR487" s="17"/>
      <c r="KCS487" s="17"/>
      <c r="KCT487" s="17"/>
      <c r="KCU487" s="17"/>
      <c r="KCV487" s="17"/>
      <c r="KCW487" s="17"/>
      <c r="KCX487" s="17"/>
      <c r="KCY487" s="17"/>
      <c r="KCZ487" s="17"/>
      <c r="KDA487" s="17"/>
      <c r="KDB487" s="17"/>
      <c r="KDC487" s="17"/>
      <c r="KDD487" s="17"/>
      <c r="KDE487" s="17"/>
      <c r="KDF487" s="17"/>
      <c r="KDG487" s="17"/>
      <c r="KDH487" s="17"/>
      <c r="KDI487" s="17"/>
      <c r="KDJ487" s="17"/>
      <c r="KDK487" s="17"/>
      <c r="KDL487" s="17"/>
      <c r="KDM487" s="17"/>
      <c r="KDN487" s="17"/>
      <c r="KDO487" s="17"/>
      <c r="KDP487" s="17"/>
      <c r="KDQ487" s="17"/>
      <c r="KDR487" s="17"/>
      <c r="KDS487" s="17"/>
      <c r="KDT487" s="17"/>
      <c r="KDU487" s="17"/>
      <c r="KDV487" s="17"/>
      <c r="KDW487" s="17"/>
      <c r="KDX487" s="17"/>
      <c r="KDY487" s="17"/>
      <c r="KDZ487" s="17"/>
      <c r="KEA487" s="17"/>
      <c r="KEB487" s="17"/>
      <c r="KEC487" s="17"/>
      <c r="KED487" s="17"/>
      <c r="KEE487" s="17"/>
      <c r="KEF487" s="17"/>
      <c r="KEG487" s="17"/>
      <c r="KEH487" s="17"/>
      <c r="KEI487" s="17"/>
      <c r="KEJ487" s="17"/>
      <c r="KEK487" s="17"/>
      <c r="KEL487" s="17"/>
      <c r="KEM487" s="17"/>
      <c r="KEN487" s="17"/>
      <c r="KEO487" s="17"/>
      <c r="KEP487" s="17"/>
      <c r="KEQ487" s="17"/>
      <c r="KER487" s="17"/>
      <c r="KES487" s="17"/>
      <c r="KET487" s="17"/>
      <c r="KEU487" s="17"/>
      <c r="KEV487" s="17"/>
      <c r="KEW487" s="17"/>
      <c r="KEX487" s="17"/>
      <c r="KEY487" s="17"/>
      <c r="KEZ487" s="17"/>
      <c r="KFA487" s="17"/>
      <c r="KFB487" s="17"/>
      <c r="KFC487" s="17"/>
      <c r="KFD487" s="17"/>
      <c r="KFE487" s="17"/>
      <c r="KFF487" s="17"/>
      <c r="KFG487" s="17"/>
      <c r="KFH487" s="17"/>
      <c r="KFI487" s="17"/>
      <c r="KFJ487" s="17"/>
      <c r="KFK487" s="17"/>
      <c r="KFL487" s="17"/>
      <c r="KFM487" s="17"/>
      <c r="KFN487" s="17"/>
      <c r="KFO487" s="17"/>
      <c r="KFP487" s="17"/>
      <c r="KFQ487" s="17"/>
      <c r="KFR487" s="17"/>
      <c r="KFS487" s="17"/>
      <c r="KFT487" s="17"/>
      <c r="KFU487" s="17"/>
      <c r="KFV487" s="17"/>
      <c r="KFW487" s="17"/>
      <c r="KFX487" s="17"/>
      <c r="KFY487" s="17"/>
      <c r="KFZ487" s="17"/>
      <c r="KGA487" s="17"/>
      <c r="KGB487" s="17"/>
      <c r="KGC487" s="17"/>
      <c r="KGD487" s="17"/>
      <c r="KGE487" s="17"/>
      <c r="KGF487" s="17"/>
      <c r="KGG487" s="17"/>
      <c r="KGH487" s="17"/>
      <c r="KGI487" s="17"/>
      <c r="KGJ487" s="17"/>
      <c r="KGK487" s="17"/>
      <c r="KGL487" s="17"/>
      <c r="KGM487" s="17"/>
      <c r="KGN487" s="17"/>
      <c r="KGO487" s="17"/>
      <c r="KGP487" s="17"/>
      <c r="KGQ487" s="17"/>
      <c r="KGR487" s="17"/>
      <c r="KGS487" s="17"/>
      <c r="KGT487" s="17"/>
      <c r="KGU487" s="17"/>
      <c r="KGV487" s="17"/>
      <c r="KGW487" s="17"/>
      <c r="KGX487" s="17"/>
      <c r="KGY487" s="17"/>
      <c r="KGZ487" s="17"/>
      <c r="KHA487" s="17"/>
      <c r="KHB487" s="17"/>
      <c r="KHC487" s="17"/>
      <c r="KHD487" s="17"/>
      <c r="KHE487" s="17"/>
      <c r="KHF487" s="17"/>
      <c r="KHG487" s="17"/>
      <c r="KHH487" s="17"/>
      <c r="KHI487" s="17"/>
      <c r="KHJ487" s="17"/>
      <c r="KHK487" s="17"/>
      <c r="KHL487" s="17"/>
      <c r="KHM487" s="17"/>
      <c r="KHN487" s="17"/>
      <c r="KHO487" s="17"/>
      <c r="KHP487" s="17"/>
      <c r="KHQ487" s="17"/>
      <c r="KHR487" s="17"/>
      <c r="KHS487" s="17"/>
      <c r="KHT487" s="17"/>
      <c r="KHU487" s="17"/>
      <c r="KHV487" s="17"/>
      <c r="KHW487" s="17"/>
      <c r="KHX487" s="17"/>
      <c r="KHY487" s="17"/>
      <c r="KHZ487" s="17"/>
      <c r="KIA487" s="17"/>
      <c r="KIB487" s="17"/>
      <c r="KIC487" s="17"/>
      <c r="KID487" s="17"/>
      <c r="KIE487" s="17"/>
      <c r="KIF487" s="17"/>
      <c r="KIG487" s="17"/>
      <c r="KIH487" s="17"/>
      <c r="KII487" s="17"/>
      <c r="KIJ487" s="17"/>
      <c r="KIK487" s="17"/>
      <c r="KIL487" s="17"/>
      <c r="KIM487" s="17"/>
      <c r="KIN487" s="17"/>
      <c r="KIO487" s="17"/>
      <c r="KIP487" s="17"/>
      <c r="KIQ487" s="17"/>
      <c r="KIR487" s="17"/>
      <c r="KIS487" s="17"/>
      <c r="KIT487" s="17"/>
      <c r="KIU487" s="17"/>
      <c r="KIV487" s="17"/>
      <c r="KIW487" s="17"/>
      <c r="KIX487" s="17"/>
      <c r="KIY487" s="17"/>
      <c r="KIZ487" s="17"/>
      <c r="KJA487" s="17"/>
      <c r="KJB487" s="17"/>
      <c r="KJC487" s="17"/>
      <c r="KJD487" s="17"/>
      <c r="KJE487" s="17"/>
      <c r="KJF487" s="17"/>
      <c r="KJG487" s="17"/>
      <c r="KJH487" s="17"/>
      <c r="KJI487" s="17"/>
      <c r="KJJ487" s="17"/>
      <c r="KJK487" s="17"/>
      <c r="KJL487" s="17"/>
      <c r="KJM487" s="17"/>
      <c r="KJN487" s="17"/>
      <c r="KJO487" s="17"/>
      <c r="KJP487" s="17"/>
      <c r="KJQ487" s="17"/>
      <c r="KJR487" s="17"/>
      <c r="KJS487" s="17"/>
      <c r="KJT487" s="17"/>
      <c r="KJU487" s="17"/>
      <c r="KJV487" s="17"/>
      <c r="KJW487" s="17"/>
      <c r="KJX487" s="17"/>
      <c r="KJY487" s="17"/>
      <c r="KJZ487" s="17"/>
      <c r="KKA487" s="17"/>
      <c r="KKB487" s="17"/>
      <c r="KKC487" s="17"/>
      <c r="KKD487" s="17"/>
      <c r="KKE487" s="17"/>
      <c r="KKF487" s="17"/>
      <c r="KKG487" s="17"/>
      <c r="KKH487" s="17"/>
      <c r="KKI487" s="17"/>
      <c r="KKJ487" s="17"/>
      <c r="KKK487" s="17"/>
      <c r="KKL487" s="17"/>
      <c r="KKM487" s="17"/>
      <c r="KKN487" s="17"/>
      <c r="KKO487" s="17"/>
      <c r="KKP487" s="17"/>
      <c r="KKQ487" s="17"/>
      <c r="KKR487" s="17"/>
      <c r="KKS487" s="17"/>
      <c r="KKT487" s="17"/>
      <c r="KKU487" s="17"/>
      <c r="KKV487" s="17"/>
      <c r="KKW487" s="17"/>
      <c r="KKX487" s="17"/>
      <c r="KKY487" s="17"/>
      <c r="KKZ487" s="17"/>
      <c r="KLA487" s="17"/>
      <c r="KLB487" s="17"/>
      <c r="KLC487" s="17"/>
      <c r="KLD487" s="17"/>
      <c r="KLE487" s="17"/>
      <c r="KLF487" s="17"/>
      <c r="KLG487" s="17"/>
      <c r="KLH487" s="17"/>
      <c r="KLI487" s="17"/>
      <c r="KLJ487" s="17"/>
      <c r="KLK487" s="17"/>
      <c r="KLL487" s="17"/>
      <c r="KLM487" s="17"/>
      <c r="KLN487" s="17"/>
      <c r="KLO487" s="17"/>
      <c r="KLP487" s="17"/>
      <c r="KLQ487" s="17"/>
      <c r="KLR487" s="17"/>
      <c r="KLS487" s="17"/>
      <c r="KLT487" s="17"/>
      <c r="KLU487" s="17"/>
      <c r="KLV487" s="17"/>
      <c r="KLW487" s="17"/>
      <c r="KLX487" s="17"/>
      <c r="KLY487" s="17"/>
      <c r="KLZ487" s="17"/>
      <c r="KMA487" s="17"/>
      <c r="KMB487" s="17"/>
      <c r="KMC487" s="17"/>
      <c r="KMD487" s="17"/>
      <c r="KME487" s="17"/>
      <c r="KMF487" s="17"/>
      <c r="KMG487" s="17"/>
      <c r="KMH487" s="17"/>
      <c r="KMI487" s="17"/>
      <c r="KMJ487" s="17"/>
      <c r="KMK487" s="17"/>
      <c r="KML487" s="17"/>
      <c r="KMM487" s="17"/>
      <c r="KMN487" s="17"/>
      <c r="KMO487" s="17"/>
      <c r="KMP487" s="17"/>
      <c r="KMQ487" s="17"/>
      <c r="KMR487" s="17"/>
      <c r="KMS487" s="17"/>
      <c r="KMT487" s="17"/>
      <c r="KMU487" s="17"/>
      <c r="KMV487" s="17"/>
      <c r="KMW487" s="17"/>
      <c r="KMX487" s="17"/>
      <c r="KMY487" s="17"/>
      <c r="KMZ487" s="17"/>
      <c r="KNA487" s="17"/>
      <c r="KNB487" s="17"/>
      <c r="KNC487" s="17"/>
      <c r="KND487" s="17"/>
      <c r="KNE487" s="17"/>
      <c r="KNF487" s="17"/>
      <c r="KNG487" s="17"/>
      <c r="KNH487" s="17"/>
      <c r="KNI487" s="17"/>
      <c r="KNJ487" s="17"/>
      <c r="KNK487" s="17"/>
      <c r="KNL487" s="17"/>
      <c r="KNM487" s="17"/>
      <c r="KNN487" s="17"/>
      <c r="KNO487" s="17"/>
      <c r="KNP487" s="17"/>
      <c r="KNQ487" s="17"/>
      <c r="KNR487" s="17"/>
      <c r="KNS487" s="17"/>
      <c r="KNT487" s="17"/>
      <c r="KNU487" s="17"/>
      <c r="KNV487" s="17"/>
      <c r="KNW487" s="17"/>
      <c r="KNX487" s="17"/>
      <c r="KNY487" s="17"/>
      <c r="KNZ487" s="17"/>
      <c r="KOA487" s="17"/>
      <c r="KOB487" s="17"/>
      <c r="KOC487" s="17"/>
      <c r="KOD487" s="17"/>
      <c r="KOE487" s="17"/>
      <c r="KOF487" s="17"/>
      <c r="KOG487" s="17"/>
      <c r="KOH487" s="17"/>
      <c r="KOI487" s="17"/>
      <c r="KOJ487" s="17"/>
      <c r="KOK487" s="17"/>
      <c r="KOL487" s="17"/>
      <c r="KOM487" s="17"/>
      <c r="KON487" s="17"/>
      <c r="KOO487" s="17"/>
      <c r="KOP487" s="17"/>
      <c r="KOQ487" s="17"/>
      <c r="KOR487" s="17"/>
      <c r="KOS487" s="17"/>
      <c r="KOT487" s="17"/>
      <c r="KOU487" s="17"/>
      <c r="KOV487" s="17"/>
      <c r="KOW487" s="17"/>
      <c r="KOX487" s="17"/>
      <c r="KOY487" s="17"/>
      <c r="KOZ487" s="17"/>
      <c r="KPA487" s="17"/>
      <c r="KPB487" s="17"/>
      <c r="KPC487" s="17"/>
      <c r="KPD487" s="17"/>
      <c r="KPE487" s="17"/>
      <c r="KPF487" s="17"/>
      <c r="KPG487" s="17"/>
      <c r="KPH487" s="17"/>
      <c r="KPI487" s="17"/>
      <c r="KPJ487" s="17"/>
      <c r="KPK487" s="17"/>
      <c r="KPL487" s="17"/>
      <c r="KPM487" s="17"/>
      <c r="KPN487" s="17"/>
      <c r="KPO487" s="17"/>
      <c r="KPP487" s="17"/>
      <c r="KPQ487" s="17"/>
      <c r="KPR487" s="17"/>
      <c r="KPS487" s="17"/>
      <c r="KPT487" s="17"/>
      <c r="KPU487" s="17"/>
      <c r="KPV487" s="17"/>
      <c r="KPW487" s="17"/>
      <c r="KPX487" s="17"/>
      <c r="KPY487" s="17"/>
      <c r="KPZ487" s="17"/>
      <c r="KQA487" s="17"/>
      <c r="KQB487" s="17"/>
      <c r="KQC487" s="17"/>
      <c r="KQD487" s="17"/>
      <c r="KQE487" s="17"/>
      <c r="KQF487" s="17"/>
      <c r="KQG487" s="17"/>
      <c r="KQH487" s="17"/>
      <c r="KQI487" s="17"/>
      <c r="KQJ487" s="17"/>
      <c r="KQK487" s="17"/>
      <c r="KQL487" s="17"/>
      <c r="KQM487" s="17"/>
      <c r="KQN487" s="17"/>
      <c r="KQO487" s="17"/>
      <c r="KQP487" s="17"/>
      <c r="KQQ487" s="17"/>
      <c r="KQR487" s="17"/>
      <c r="KQS487" s="17"/>
      <c r="KQT487" s="17"/>
      <c r="KQU487" s="17"/>
      <c r="KQV487" s="17"/>
      <c r="KQW487" s="17"/>
      <c r="KQX487" s="17"/>
      <c r="KQY487" s="17"/>
      <c r="KQZ487" s="17"/>
      <c r="KRA487" s="17"/>
      <c r="KRB487" s="17"/>
      <c r="KRC487" s="17"/>
      <c r="KRD487" s="17"/>
      <c r="KRE487" s="17"/>
      <c r="KRF487" s="17"/>
      <c r="KRG487" s="17"/>
      <c r="KRH487" s="17"/>
      <c r="KRI487" s="17"/>
      <c r="KRJ487" s="17"/>
      <c r="KRK487" s="17"/>
      <c r="KRL487" s="17"/>
      <c r="KRM487" s="17"/>
      <c r="KRN487" s="17"/>
      <c r="KRO487" s="17"/>
      <c r="KRP487" s="17"/>
      <c r="KRQ487" s="17"/>
      <c r="KRR487" s="17"/>
      <c r="KRS487" s="17"/>
      <c r="KRT487" s="17"/>
      <c r="KRU487" s="17"/>
      <c r="KRV487" s="17"/>
      <c r="KRW487" s="17"/>
      <c r="KRX487" s="17"/>
      <c r="KRY487" s="17"/>
      <c r="KRZ487" s="17"/>
      <c r="KSA487" s="17"/>
      <c r="KSB487" s="17"/>
      <c r="KSC487" s="17"/>
      <c r="KSD487" s="17"/>
      <c r="KSE487" s="17"/>
      <c r="KSF487" s="17"/>
      <c r="KSG487" s="17"/>
      <c r="KSH487" s="17"/>
      <c r="KSI487" s="17"/>
      <c r="KSJ487" s="17"/>
      <c r="KSK487" s="17"/>
      <c r="KSL487" s="17"/>
      <c r="KSM487" s="17"/>
      <c r="KSN487" s="17"/>
      <c r="KSO487" s="17"/>
      <c r="KSP487" s="17"/>
      <c r="KSQ487" s="17"/>
      <c r="KSR487" s="17"/>
      <c r="KSS487" s="17"/>
      <c r="KST487" s="17"/>
      <c r="KSU487" s="17"/>
      <c r="KSV487" s="17"/>
      <c r="KSW487" s="17"/>
      <c r="KSX487" s="17"/>
      <c r="KSY487" s="17"/>
      <c r="KSZ487" s="17"/>
      <c r="KTA487" s="17"/>
      <c r="KTB487" s="17"/>
      <c r="KTC487" s="17"/>
      <c r="KTD487" s="17"/>
      <c r="KTE487" s="17"/>
      <c r="KTF487" s="17"/>
      <c r="KTG487" s="17"/>
      <c r="KTH487" s="17"/>
      <c r="KTI487" s="17"/>
      <c r="KTJ487" s="17"/>
      <c r="KTK487" s="17"/>
      <c r="KTL487" s="17"/>
      <c r="KTM487" s="17"/>
      <c r="KTN487" s="17"/>
      <c r="KTO487" s="17"/>
      <c r="KTP487" s="17"/>
      <c r="KTQ487" s="17"/>
      <c r="KTR487" s="17"/>
      <c r="KTS487" s="17"/>
      <c r="KTT487" s="17"/>
      <c r="KTU487" s="17"/>
      <c r="KTV487" s="17"/>
      <c r="KTW487" s="17"/>
      <c r="KTX487" s="17"/>
      <c r="KTY487" s="17"/>
      <c r="KTZ487" s="17"/>
      <c r="KUA487" s="17"/>
      <c r="KUB487" s="17"/>
      <c r="KUC487" s="17"/>
      <c r="KUD487" s="17"/>
      <c r="KUE487" s="17"/>
      <c r="KUF487" s="17"/>
      <c r="KUG487" s="17"/>
      <c r="KUH487" s="17"/>
      <c r="KUI487" s="17"/>
      <c r="KUJ487" s="17"/>
      <c r="KUK487" s="17"/>
      <c r="KUL487" s="17"/>
      <c r="KUM487" s="17"/>
      <c r="KUN487" s="17"/>
      <c r="KUO487" s="17"/>
      <c r="KUP487" s="17"/>
      <c r="KUQ487" s="17"/>
      <c r="KUR487" s="17"/>
      <c r="KUS487" s="17"/>
      <c r="KUT487" s="17"/>
      <c r="KUU487" s="17"/>
      <c r="KUV487" s="17"/>
      <c r="KUW487" s="17"/>
      <c r="KUX487" s="17"/>
      <c r="KUY487" s="17"/>
      <c r="KUZ487" s="17"/>
      <c r="KVA487" s="17"/>
      <c r="KVB487" s="17"/>
      <c r="KVC487" s="17"/>
      <c r="KVD487" s="17"/>
      <c r="KVE487" s="17"/>
      <c r="KVF487" s="17"/>
      <c r="KVG487" s="17"/>
      <c r="KVH487" s="17"/>
      <c r="KVI487" s="17"/>
      <c r="KVJ487" s="17"/>
      <c r="KVK487" s="17"/>
      <c r="KVL487" s="17"/>
      <c r="KVM487" s="17"/>
      <c r="KVN487" s="17"/>
      <c r="KVO487" s="17"/>
      <c r="KVP487" s="17"/>
      <c r="KVQ487" s="17"/>
      <c r="KVR487" s="17"/>
      <c r="KVS487" s="17"/>
      <c r="KVT487" s="17"/>
      <c r="KVU487" s="17"/>
      <c r="KVV487" s="17"/>
      <c r="KVW487" s="17"/>
      <c r="KVX487" s="17"/>
      <c r="KVY487" s="17"/>
      <c r="KVZ487" s="17"/>
      <c r="KWA487" s="17"/>
      <c r="KWB487" s="17"/>
      <c r="KWC487" s="17"/>
      <c r="KWD487" s="17"/>
      <c r="KWE487" s="17"/>
      <c r="KWF487" s="17"/>
      <c r="KWG487" s="17"/>
      <c r="KWH487" s="17"/>
      <c r="KWI487" s="17"/>
      <c r="KWJ487" s="17"/>
      <c r="KWK487" s="17"/>
      <c r="KWL487" s="17"/>
      <c r="KWM487" s="17"/>
      <c r="KWN487" s="17"/>
      <c r="KWO487" s="17"/>
      <c r="KWP487" s="17"/>
      <c r="KWQ487" s="17"/>
      <c r="KWR487" s="17"/>
      <c r="KWS487" s="17"/>
      <c r="KWT487" s="17"/>
      <c r="KWU487" s="17"/>
      <c r="KWV487" s="17"/>
      <c r="KWW487" s="17"/>
      <c r="KWX487" s="17"/>
      <c r="KWY487" s="17"/>
      <c r="KWZ487" s="17"/>
      <c r="KXA487" s="17"/>
      <c r="KXB487" s="17"/>
      <c r="KXC487" s="17"/>
      <c r="KXD487" s="17"/>
      <c r="KXE487" s="17"/>
      <c r="KXF487" s="17"/>
      <c r="KXG487" s="17"/>
      <c r="KXH487" s="17"/>
      <c r="KXI487" s="17"/>
      <c r="KXJ487" s="17"/>
      <c r="KXK487" s="17"/>
      <c r="KXL487" s="17"/>
      <c r="KXM487" s="17"/>
      <c r="KXN487" s="17"/>
      <c r="KXO487" s="17"/>
      <c r="KXP487" s="17"/>
      <c r="KXQ487" s="17"/>
      <c r="KXR487" s="17"/>
      <c r="KXS487" s="17"/>
      <c r="KXT487" s="17"/>
      <c r="KXU487" s="17"/>
      <c r="KXV487" s="17"/>
      <c r="KXW487" s="17"/>
      <c r="KXX487" s="17"/>
      <c r="KXY487" s="17"/>
      <c r="KXZ487" s="17"/>
      <c r="KYA487" s="17"/>
      <c r="KYB487" s="17"/>
      <c r="KYC487" s="17"/>
      <c r="KYD487" s="17"/>
      <c r="KYE487" s="17"/>
      <c r="KYF487" s="17"/>
      <c r="KYG487" s="17"/>
      <c r="KYH487" s="17"/>
      <c r="KYI487" s="17"/>
      <c r="KYJ487" s="17"/>
      <c r="KYK487" s="17"/>
      <c r="KYL487" s="17"/>
      <c r="KYM487" s="17"/>
      <c r="KYN487" s="17"/>
      <c r="KYO487" s="17"/>
      <c r="KYP487" s="17"/>
      <c r="KYQ487" s="17"/>
      <c r="KYR487" s="17"/>
      <c r="KYS487" s="17"/>
      <c r="KYT487" s="17"/>
      <c r="KYU487" s="17"/>
      <c r="KYV487" s="17"/>
      <c r="KYW487" s="17"/>
      <c r="KYX487" s="17"/>
      <c r="KYY487" s="17"/>
      <c r="KYZ487" s="17"/>
      <c r="KZA487" s="17"/>
      <c r="KZB487" s="17"/>
      <c r="KZC487" s="17"/>
      <c r="KZD487" s="17"/>
      <c r="KZE487" s="17"/>
      <c r="KZF487" s="17"/>
      <c r="KZG487" s="17"/>
      <c r="KZH487" s="17"/>
      <c r="KZI487" s="17"/>
      <c r="KZJ487" s="17"/>
      <c r="KZK487" s="17"/>
      <c r="KZL487" s="17"/>
      <c r="KZM487" s="17"/>
      <c r="KZN487" s="17"/>
      <c r="KZO487" s="17"/>
      <c r="KZP487" s="17"/>
      <c r="KZQ487" s="17"/>
      <c r="KZR487" s="17"/>
      <c r="KZS487" s="17"/>
      <c r="KZT487" s="17"/>
      <c r="KZU487" s="17"/>
      <c r="KZV487" s="17"/>
      <c r="KZW487" s="17"/>
      <c r="KZX487" s="17"/>
      <c r="KZY487" s="17"/>
      <c r="KZZ487" s="17"/>
      <c r="LAA487" s="17"/>
      <c r="LAB487" s="17"/>
      <c r="LAC487" s="17"/>
      <c r="LAD487" s="17"/>
      <c r="LAE487" s="17"/>
      <c r="LAF487" s="17"/>
      <c r="LAG487" s="17"/>
      <c r="LAH487" s="17"/>
      <c r="LAI487" s="17"/>
      <c r="LAJ487" s="17"/>
      <c r="LAK487" s="17"/>
      <c r="LAL487" s="17"/>
      <c r="LAM487" s="17"/>
      <c r="LAN487" s="17"/>
      <c r="LAO487" s="17"/>
      <c r="LAP487" s="17"/>
      <c r="LAQ487" s="17"/>
      <c r="LAR487" s="17"/>
      <c r="LAS487" s="17"/>
      <c r="LAT487" s="17"/>
      <c r="LAU487" s="17"/>
      <c r="LAV487" s="17"/>
      <c r="LAW487" s="17"/>
      <c r="LAX487" s="17"/>
      <c r="LAY487" s="17"/>
      <c r="LAZ487" s="17"/>
      <c r="LBA487" s="17"/>
      <c r="LBB487" s="17"/>
      <c r="LBC487" s="17"/>
      <c r="LBD487" s="17"/>
      <c r="LBE487" s="17"/>
      <c r="LBF487" s="17"/>
      <c r="LBG487" s="17"/>
      <c r="LBH487" s="17"/>
      <c r="LBI487" s="17"/>
      <c r="LBJ487" s="17"/>
      <c r="LBK487" s="17"/>
      <c r="LBL487" s="17"/>
      <c r="LBM487" s="17"/>
      <c r="LBN487" s="17"/>
      <c r="LBO487" s="17"/>
      <c r="LBP487" s="17"/>
      <c r="LBQ487" s="17"/>
      <c r="LBR487" s="17"/>
      <c r="LBS487" s="17"/>
      <c r="LBT487" s="17"/>
      <c r="LBU487" s="17"/>
      <c r="LBV487" s="17"/>
      <c r="LBW487" s="17"/>
      <c r="LBX487" s="17"/>
      <c r="LBY487" s="17"/>
      <c r="LBZ487" s="17"/>
      <c r="LCA487" s="17"/>
      <c r="LCB487" s="17"/>
      <c r="LCC487" s="17"/>
      <c r="LCD487" s="17"/>
      <c r="LCE487" s="17"/>
      <c r="LCF487" s="17"/>
      <c r="LCG487" s="17"/>
      <c r="LCH487" s="17"/>
      <c r="LCI487" s="17"/>
      <c r="LCJ487" s="17"/>
      <c r="LCK487" s="17"/>
      <c r="LCL487" s="17"/>
      <c r="LCM487" s="17"/>
      <c r="LCN487" s="17"/>
      <c r="LCO487" s="17"/>
      <c r="LCP487" s="17"/>
      <c r="LCQ487" s="17"/>
      <c r="LCR487" s="17"/>
      <c r="LCS487" s="17"/>
      <c r="LCT487" s="17"/>
      <c r="LCU487" s="17"/>
      <c r="LCV487" s="17"/>
      <c r="LCW487" s="17"/>
      <c r="LCX487" s="17"/>
      <c r="LCY487" s="17"/>
      <c r="LCZ487" s="17"/>
      <c r="LDA487" s="17"/>
      <c r="LDB487" s="17"/>
      <c r="LDC487" s="17"/>
      <c r="LDD487" s="17"/>
      <c r="LDE487" s="17"/>
      <c r="LDF487" s="17"/>
      <c r="LDG487" s="17"/>
      <c r="LDH487" s="17"/>
      <c r="LDI487" s="17"/>
      <c r="LDJ487" s="17"/>
      <c r="LDK487" s="17"/>
      <c r="LDL487" s="17"/>
      <c r="LDM487" s="17"/>
      <c r="LDN487" s="17"/>
      <c r="LDO487" s="17"/>
      <c r="LDP487" s="17"/>
      <c r="LDQ487" s="17"/>
      <c r="LDR487" s="17"/>
      <c r="LDS487" s="17"/>
      <c r="LDT487" s="17"/>
      <c r="LDU487" s="17"/>
      <c r="LDV487" s="17"/>
      <c r="LDW487" s="17"/>
      <c r="LDX487" s="17"/>
      <c r="LDY487" s="17"/>
      <c r="LDZ487" s="17"/>
      <c r="LEA487" s="17"/>
      <c r="LEB487" s="17"/>
      <c r="LEC487" s="17"/>
      <c r="LED487" s="17"/>
      <c r="LEE487" s="17"/>
      <c r="LEF487" s="17"/>
      <c r="LEG487" s="17"/>
      <c r="LEH487" s="17"/>
      <c r="LEI487" s="17"/>
      <c r="LEJ487" s="17"/>
      <c r="LEK487" s="17"/>
      <c r="LEL487" s="17"/>
      <c r="LEM487" s="17"/>
      <c r="LEN487" s="17"/>
      <c r="LEO487" s="17"/>
      <c r="LEP487" s="17"/>
      <c r="LEQ487" s="17"/>
      <c r="LER487" s="17"/>
      <c r="LES487" s="17"/>
      <c r="LET487" s="17"/>
      <c r="LEU487" s="17"/>
      <c r="LEV487" s="17"/>
      <c r="LEW487" s="17"/>
      <c r="LEX487" s="17"/>
      <c r="LEY487" s="17"/>
      <c r="LEZ487" s="17"/>
      <c r="LFA487" s="17"/>
      <c r="LFB487" s="17"/>
      <c r="LFC487" s="17"/>
      <c r="LFD487" s="17"/>
      <c r="LFE487" s="17"/>
      <c r="LFF487" s="17"/>
      <c r="LFG487" s="17"/>
      <c r="LFH487" s="17"/>
      <c r="LFI487" s="17"/>
      <c r="LFJ487" s="17"/>
      <c r="LFK487" s="17"/>
      <c r="LFL487" s="17"/>
      <c r="LFM487" s="17"/>
      <c r="LFN487" s="17"/>
      <c r="LFO487" s="17"/>
      <c r="LFP487" s="17"/>
      <c r="LFQ487" s="17"/>
      <c r="LFR487" s="17"/>
      <c r="LFS487" s="17"/>
      <c r="LFT487" s="17"/>
      <c r="LFU487" s="17"/>
      <c r="LFV487" s="17"/>
      <c r="LFW487" s="17"/>
      <c r="LFX487" s="17"/>
      <c r="LFY487" s="17"/>
      <c r="LFZ487" s="17"/>
      <c r="LGA487" s="17"/>
      <c r="LGB487" s="17"/>
      <c r="LGC487" s="17"/>
      <c r="LGD487" s="17"/>
      <c r="LGE487" s="17"/>
      <c r="LGF487" s="17"/>
      <c r="LGG487" s="17"/>
      <c r="LGH487" s="17"/>
      <c r="LGI487" s="17"/>
      <c r="LGJ487" s="17"/>
      <c r="LGK487" s="17"/>
      <c r="LGL487" s="17"/>
      <c r="LGM487" s="17"/>
      <c r="LGN487" s="17"/>
      <c r="LGO487" s="17"/>
      <c r="LGP487" s="17"/>
      <c r="LGQ487" s="17"/>
      <c r="LGR487" s="17"/>
      <c r="LGS487" s="17"/>
      <c r="LGT487" s="17"/>
      <c r="LGU487" s="17"/>
      <c r="LGV487" s="17"/>
      <c r="LGW487" s="17"/>
      <c r="LGX487" s="17"/>
      <c r="LGY487" s="17"/>
      <c r="LGZ487" s="17"/>
      <c r="LHA487" s="17"/>
      <c r="LHB487" s="17"/>
      <c r="LHC487" s="17"/>
      <c r="LHD487" s="17"/>
      <c r="LHE487" s="17"/>
      <c r="LHF487" s="17"/>
      <c r="LHG487" s="17"/>
      <c r="LHH487" s="17"/>
      <c r="LHI487" s="17"/>
      <c r="LHJ487" s="17"/>
      <c r="LHK487" s="17"/>
      <c r="LHL487" s="17"/>
      <c r="LHM487" s="17"/>
      <c r="LHN487" s="17"/>
      <c r="LHO487" s="17"/>
      <c r="LHP487" s="17"/>
      <c r="LHQ487" s="17"/>
      <c r="LHR487" s="17"/>
      <c r="LHS487" s="17"/>
      <c r="LHT487" s="17"/>
      <c r="LHU487" s="17"/>
      <c r="LHV487" s="17"/>
      <c r="LHW487" s="17"/>
      <c r="LHX487" s="17"/>
      <c r="LHY487" s="17"/>
      <c r="LHZ487" s="17"/>
      <c r="LIA487" s="17"/>
      <c r="LIB487" s="17"/>
      <c r="LIC487" s="17"/>
      <c r="LID487" s="17"/>
      <c r="LIE487" s="17"/>
      <c r="LIF487" s="17"/>
      <c r="LIG487" s="17"/>
      <c r="LIH487" s="17"/>
      <c r="LII487" s="17"/>
      <c r="LIJ487" s="17"/>
      <c r="LIK487" s="17"/>
      <c r="LIL487" s="17"/>
      <c r="LIM487" s="17"/>
      <c r="LIN487" s="17"/>
      <c r="LIO487" s="17"/>
      <c r="LIP487" s="17"/>
      <c r="LIQ487" s="17"/>
      <c r="LIR487" s="17"/>
      <c r="LIS487" s="17"/>
      <c r="LIT487" s="17"/>
      <c r="LIU487" s="17"/>
      <c r="LIV487" s="17"/>
      <c r="LIW487" s="17"/>
      <c r="LIX487" s="17"/>
      <c r="LIY487" s="17"/>
      <c r="LIZ487" s="17"/>
      <c r="LJA487" s="17"/>
      <c r="LJB487" s="17"/>
      <c r="LJC487" s="17"/>
      <c r="LJD487" s="17"/>
      <c r="LJE487" s="17"/>
      <c r="LJF487" s="17"/>
      <c r="LJG487" s="17"/>
      <c r="LJH487" s="17"/>
      <c r="LJI487" s="17"/>
      <c r="LJJ487" s="17"/>
      <c r="LJK487" s="17"/>
      <c r="LJL487" s="17"/>
      <c r="LJM487" s="17"/>
      <c r="LJN487" s="17"/>
      <c r="LJO487" s="17"/>
      <c r="LJP487" s="17"/>
      <c r="LJQ487" s="17"/>
      <c r="LJR487" s="17"/>
      <c r="LJS487" s="17"/>
      <c r="LJT487" s="17"/>
      <c r="LJU487" s="17"/>
      <c r="LJV487" s="17"/>
      <c r="LJW487" s="17"/>
      <c r="LJX487" s="17"/>
      <c r="LJY487" s="17"/>
      <c r="LJZ487" s="17"/>
      <c r="LKA487" s="17"/>
      <c r="LKB487" s="17"/>
      <c r="LKC487" s="17"/>
      <c r="LKD487" s="17"/>
      <c r="LKE487" s="17"/>
      <c r="LKF487" s="17"/>
      <c r="LKG487" s="17"/>
      <c r="LKH487" s="17"/>
      <c r="LKI487" s="17"/>
      <c r="LKJ487" s="17"/>
      <c r="LKK487" s="17"/>
      <c r="LKL487" s="17"/>
      <c r="LKM487" s="17"/>
      <c r="LKN487" s="17"/>
      <c r="LKO487" s="17"/>
      <c r="LKP487" s="17"/>
      <c r="LKQ487" s="17"/>
      <c r="LKR487" s="17"/>
      <c r="LKS487" s="17"/>
      <c r="LKT487" s="17"/>
      <c r="LKU487" s="17"/>
      <c r="LKV487" s="17"/>
      <c r="LKW487" s="17"/>
      <c r="LKX487" s="17"/>
      <c r="LKY487" s="17"/>
      <c r="LKZ487" s="17"/>
      <c r="LLA487" s="17"/>
      <c r="LLB487" s="17"/>
      <c r="LLC487" s="17"/>
      <c r="LLD487" s="17"/>
      <c r="LLE487" s="17"/>
      <c r="LLF487" s="17"/>
      <c r="LLG487" s="17"/>
      <c r="LLH487" s="17"/>
      <c r="LLI487" s="17"/>
      <c r="LLJ487" s="17"/>
      <c r="LLK487" s="17"/>
      <c r="LLL487" s="17"/>
      <c r="LLM487" s="17"/>
      <c r="LLN487" s="17"/>
      <c r="LLO487" s="17"/>
      <c r="LLP487" s="17"/>
      <c r="LLQ487" s="17"/>
      <c r="LLR487" s="17"/>
      <c r="LLS487" s="17"/>
      <c r="LLT487" s="17"/>
      <c r="LLU487" s="17"/>
      <c r="LLV487" s="17"/>
      <c r="LLW487" s="17"/>
      <c r="LLX487" s="17"/>
      <c r="LLY487" s="17"/>
      <c r="LLZ487" s="17"/>
      <c r="LMA487" s="17"/>
      <c r="LMB487" s="17"/>
      <c r="LMC487" s="17"/>
      <c r="LMD487" s="17"/>
      <c r="LME487" s="17"/>
      <c r="LMF487" s="17"/>
      <c r="LMG487" s="17"/>
      <c r="LMH487" s="17"/>
      <c r="LMI487" s="17"/>
      <c r="LMJ487" s="17"/>
      <c r="LMK487" s="17"/>
      <c r="LML487" s="17"/>
      <c r="LMM487" s="17"/>
      <c r="LMN487" s="17"/>
      <c r="LMO487" s="17"/>
      <c r="LMP487" s="17"/>
      <c r="LMQ487" s="17"/>
      <c r="LMR487" s="17"/>
      <c r="LMS487" s="17"/>
      <c r="LMT487" s="17"/>
      <c r="LMU487" s="17"/>
      <c r="LMV487" s="17"/>
      <c r="LMW487" s="17"/>
      <c r="LMX487" s="17"/>
      <c r="LMY487" s="17"/>
      <c r="LMZ487" s="17"/>
      <c r="LNA487" s="17"/>
      <c r="LNB487" s="17"/>
      <c r="LNC487" s="17"/>
      <c r="LND487" s="17"/>
      <c r="LNE487" s="17"/>
      <c r="LNF487" s="17"/>
      <c r="LNG487" s="17"/>
      <c r="LNH487" s="17"/>
      <c r="LNI487" s="17"/>
      <c r="LNJ487" s="17"/>
      <c r="LNK487" s="17"/>
      <c r="LNL487" s="17"/>
      <c r="LNM487" s="17"/>
      <c r="LNN487" s="17"/>
      <c r="LNO487" s="17"/>
      <c r="LNP487" s="17"/>
      <c r="LNQ487" s="17"/>
      <c r="LNR487" s="17"/>
      <c r="LNS487" s="17"/>
      <c r="LNT487" s="17"/>
      <c r="LNU487" s="17"/>
      <c r="LNV487" s="17"/>
      <c r="LNW487" s="17"/>
      <c r="LNX487" s="17"/>
      <c r="LNY487" s="17"/>
      <c r="LNZ487" s="17"/>
      <c r="LOA487" s="17"/>
      <c r="LOB487" s="17"/>
      <c r="LOC487" s="17"/>
      <c r="LOD487" s="17"/>
      <c r="LOE487" s="17"/>
      <c r="LOF487" s="17"/>
      <c r="LOG487" s="17"/>
      <c r="LOH487" s="17"/>
      <c r="LOI487" s="17"/>
      <c r="LOJ487" s="17"/>
      <c r="LOK487" s="17"/>
      <c r="LOL487" s="17"/>
      <c r="LOM487" s="17"/>
      <c r="LON487" s="17"/>
      <c r="LOO487" s="17"/>
      <c r="LOP487" s="17"/>
      <c r="LOQ487" s="17"/>
      <c r="LOR487" s="17"/>
      <c r="LOS487" s="17"/>
      <c r="LOT487" s="17"/>
      <c r="LOU487" s="17"/>
      <c r="LOV487" s="17"/>
      <c r="LOW487" s="17"/>
      <c r="LOX487" s="17"/>
      <c r="LOY487" s="17"/>
      <c r="LOZ487" s="17"/>
      <c r="LPA487" s="17"/>
      <c r="LPB487" s="17"/>
      <c r="LPC487" s="17"/>
      <c r="LPD487" s="17"/>
      <c r="LPE487" s="17"/>
      <c r="LPF487" s="17"/>
      <c r="LPG487" s="17"/>
      <c r="LPH487" s="17"/>
      <c r="LPI487" s="17"/>
      <c r="LPJ487" s="17"/>
      <c r="LPK487" s="17"/>
      <c r="LPL487" s="17"/>
      <c r="LPM487" s="17"/>
      <c r="LPN487" s="17"/>
      <c r="LPO487" s="17"/>
      <c r="LPP487" s="17"/>
      <c r="LPQ487" s="17"/>
      <c r="LPR487" s="17"/>
      <c r="LPS487" s="17"/>
      <c r="LPT487" s="17"/>
      <c r="LPU487" s="17"/>
      <c r="LPV487" s="17"/>
      <c r="LPW487" s="17"/>
      <c r="LPX487" s="17"/>
      <c r="LPY487" s="17"/>
      <c r="LPZ487" s="17"/>
      <c r="LQA487" s="17"/>
      <c r="LQB487" s="17"/>
      <c r="LQC487" s="17"/>
      <c r="LQD487" s="17"/>
      <c r="LQE487" s="17"/>
      <c r="LQF487" s="17"/>
      <c r="LQG487" s="17"/>
      <c r="LQH487" s="17"/>
      <c r="LQI487" s="17"/>
      <c r="LQJ487" s="17"/>
      <c r="LQK487" s="17"/>
      <c r="LQL487" s="17"/>
      <c r="LQM487" s="17"/>
      <c r="LQN487" s="17"/>
      <c r="LQO487" s="17"/>
      <c r="LQP487" s="17"/>
      <c r="LQQ487" s="17"/>
      <c r="LQR487" s="17"/>
      <c r="LQS487" s="17"/>
      <c r="LQT487" s="17"/>
      <c r="LQU487" s="17"/>
      <c r="LQV487" s="17"/>
      <c r="LQW487" s="17"/>
      <c r="LQX487" s="17"/>
      <c r="LQY487" s="17"/>
      <c r="LQZ487" s="17"/>
      <c r="LRA487" s="17"/>
      <c r="LRB487" s="17"/>
      <c r="LRC487" s="17"/>
      <c r="LRD487" s="17"/>
      <c r="LRE487" s="17"/>
      <c r="LRF487" s="17"/>
      <c r="LRG487" s="17"/>
      <c r="LRH487" s="17"/>
      <c r="LRI487" s="17"/>
      <c r="LRJ487" s="17"/>
      <c r="LRK487" s="17"/>
      <c r="LRL487" s="17"/>
      <c r="LRM487" s="17"/>
      <c r="LRN487" s="17"/>
      <c r="LRO487" s="17"/>
      <c r="LRP487" s="17"/>
      <c r="LRQ487" s="17"/>
      <c r="LRR487" s="17"/>
      <c r="LRS487" s="17"/>
      <c r="LRT487" s="17"/>
      <c r="LRU487" s="17"/>
      <c r="LRV487" s="17"/>
      <c r="LRW487" s="17"/>
      <c r="LRX487" s="17"/>
      <c r="LRY487" s="17"/>
      <c r="LRZ487" s="17"/>
      <c r="LSA487" s="17"/>
      <c r="LSB487" s="17"/>
      <c r="LSC487" s="17"/>
      <c r="LSD487" s="17"/>
      <c r="LSE487" s="17"/>
      <c r="LSF487" s="17"/>
      <c r="LSG487" s="17"/>
      <c r="LSH487" s="17"/>
      <c r="LSI487" s="17"/>
      <c r="LSJ487" s="17"/>
      <c r="LSK487" s="17"/>
      <c r="LSL487" s="17"/>
      <c r="LSM487" s="17"/>
      <c r="LSN487" s="17"/>
      <c r="LSO487" s="17"/>
      <c r="LSP487" s="17"/>
      <c r="LSQ487" s="17"/>
      <c r="LSR487" s="17"/>
      <c r="LSS487" s="17"/>
      <c r="LST487" s="17"/>
      <c r="LSU487" s="17"/>
      <c r="LSV487" s="17"/>
      <c r="LSW487" s="17"/>
      <c r="LSX487" s="17"/>
      <c r="LSY487" s="17"/>
      <c r="LSZ487" s="17"/>
      <c r="LTA487" s="17"/>
      <c r="LTB487" s="17"/>
      <c r="LTC487" s="17"/>
      <c r="LTD487" s="17"/>
      <c r="LTE487" s="17"/>
      <c r="LTF487" s="17"/>
      <c r="LTG487" s="17"/>
      <c r="LTH487" s="17"/>
      <c r="LTI487" s="17"/>
      <c r="LTJ487" s="17"/>
      <c r="LTK487" s="17"/>
      <c r="LTL487" s="17"/>
      <c r="LTM487" s="17"/>
      <c r="LTN487" s="17"/>
      <c r="LTO487" s="17"/>
      <c r="LTP487" s="17"/>
      <c r="LTQ487" s="17"/>
      <c r="LTR487" s="17"/>
      <c r="LTS487" s="17"/>
      <c r="LTT487" s="17"/>
      <c r="LTU487" s="17"/>
      <c r="LTV487" s="17"/>
      <c r="LTW487" s="17"/>
      <c r="LTX487" s="17"/>
      <c r="LTY487" s="17"/>
      <c r="LTZ487" s="17"/>
      <c r="LUA487" s="17"/>
      <c r="LUB487" s="17"/>
      <c r="LUC487" s="17"/>
      <c r="LUD487" s="17"/>
      <c r="LUE487" s="17"/>
      <c r="LUF487" s="17"/>
      <c r="LUG487" s="17"/>
      <c r="LUH487" s="17"/>
      <c r="LUI487" s="17"/>
      <c r="LUJ487" s="17"/>
      <c r="LUK487" s="17"/>
      <c r="LUL487" s="17"/>
      <c r="LUM487" s="17"/>
      <c r="LUN487" s="17"/>
      <c r="LUO487" s="17"/>
      <c r="LUP487" s="17"/>
      <c r="LUQ487" s="17"/>
      <c r="LUR487" s="17"/>
      <c r="LUS487" s="17"/>
      <c r="LUT487" s="17"/>
      <c r="LUU487" s="17"/>
      <c r="LUV487" s="17"/>
      <c r="LUW487" s="17"/>
      <c r="LUX487" s="17"/>
      <c r="LUY487" s="17"/>
      <c r="LUZ487" s="17"/>
      <c r="LVA487" s="17"/>
      <c r="LVB487" s="17"/>
      <c r="LVC487" s="17"/>
      <c r="LVD487" s="17"/>
      <c r="LVE487" s="17"/>
      <c r="LVF487" s="17"/>
      <c r="LVG487" s="17"/>
      <c r="LVH487" s="17"/>
      <c r="LVI487" s="17"/>
      <c r="LVJ487" s="17"/>
      <c r="LVK487" s="17"/>
      <c r="LVL487" s="17"/>
      <c r="LVM487" s="17"/>
      <c r="LVN487" s="17"/>
      <c r="LVO487" s="17"/>
      <c r="LVP487" s="17"/>
      <c r="LVQ487" s="17"/>
      <c r="LVR487" s="17"/>
      <c r="LVS487" s="17"/>
      <c r="LVT487" s="17"/>
      <c r="LVU487" s="17"/>
      <c r="LVV487" s="17"/>
      <c r="LVW487" s="17"/>
      <c r="LVX487" s="17"/>
      <c r="LVY487" s="17"/>
      <c r="LVZ487" s="17"/>
      <c r="LWA487" s="17"/>
      <c r="LWB487" s="17"/>
      <c r="LWC487" s="17"/>
      <c r="LWD487" s="17"/>
      <c r="LWE487" s="17"/>
      <c r="LWF487" s="17"/>
      <c r="LWG487" s="17"/>
      <c r="LWH487" s="17"/>
      <c r="LWI487" s="17"/>
      <c r="LWJ487" s="17"/>
      <c r="LWK487" s="17"/>
      <c r="LWL487" s="17"/>
      <c r="LWM487" s="17"/>
      <c r="LWN487" s="17"/>
      <c r="LWO487" s="17"/>
      <c r="LWP487" s="17"/>
      <c r="LWQ487" s="17"/>
      <c r="LWR487" s="17"/>
      <c r="LWS487" s="17"/>
      <c r="LWT487" s="17"/>
      <c r="LWU487" s="17"/>
      <c r="LWV487" s="17"/>
      <c r="LWW487" s="17"/>
      <c r="LWX487" s="17"/>
      <c r="LWY487" s="17"/>
      <c r="LWZ487" s="17"/>
      <c r="LXA487" s="17"/>
      <c r="LXB487" s="17"/>
      <c r="LXC487" s="17"/>
      <c r="LXD487" s="17"/>
      <c r="LXE487" s="17"/>
      <c r="LXF487" s="17"/>
      <c r="LXG487" s="17"/>
      <c r="LXH487" s="17"/>
      <c r="LXI487" s="17"/>
      <c r="LXJ487" s="17"/>
      <c r="LXK487" s="17"/>
      <c r="LXL487" s="17"/>
      <c r="LXM487" s="17"/>
      <c r="LXN487" s="17"/>
      <c r="LXO487" s="17"/>
      <c r="LXP487" s="17"/>
      <c r="LXQ487" s="17"/>
      <c r="LXR487" s="17"/>
      <c r="LXS487" s="17"/>
      <c r="LXT487" s="17"/>
      <c r="LXU487" s="17"/>
      <c r="LXV487" s="17"/>
      <c r="LXW487" s="17"/>
      <c r="LXX487" s="17"/>
      <c r="LXY487" s="17"/>
      <c r="LXZ487" s="17"/>
      <c r="LYA487" s="17"/>
      <c r="LYB487" s="17"/>
      <c r="LYC487" s="17"/>
      <c r="LYD487" s="17"/>
      <c r="LYE487" s="17"/>
      <c r="LYF487" s="17"/>
      <c r="LYG487" s="17"/>
      <c r="LYH487" s="17"/>
      <c r="LYI487" s="17"/>
      <c r="LYJ487" s="17"/>
      <c r="LYK487" s="17"/>
      <c r="LYL487" s="17"/>
      <c r="LYM487" s="17"/>
      <c r="LYN487" s="17"/>
      <c r="LYO487" s="17"/>
      <c r="LYP487" s="17"/>
      <c r="LYQ487" s="17"/>
      <c r="LYR487" s="17"/>
      <c r="LYS487" s="17"/>
      <c r="LYT487" s="17"/>
      <c r="LYU487" s="17"/>
      <c r="LYV487" s="17"/>
      <c r="LYW487" s="17"/>
      <c r="LYX487" s="17"/>
      <c r="LYY487" s="17"/>
      <c r="LYZ487" s="17"/>
      <c r="LZA487" s="17"/>
      <c r="LZB487" s="17"/>
      <c r="LZC487" s="17"/>
      <c r="LZD487" s="17"/>
      <c r="LZE487" s="17"/>
      <c r="LZF487" s="17"/>
      <c r="LZG487" s="17"/>
      <c r="LZH487" s="17"/>
      <c r="LZI487" s="17"/>
      <c r="LZJ487" s="17"/>
      <c r="LZK487" s="17"/>
      <c r="LZL487" s="17"/>
      <c r="LZM487" s="17"/>
      <c r="LZN487" s="17"/>
      <c r="LZO487" s="17"/>
      <c r="LZP487" s="17"/>
      <c r="LZQ487" s="17"/>
      <c r="LZR487" s="17"/>
      <c r="LZS487" s="17"/>
      <c r="LZT487" s="17"/>
      <c r="LZU487" s="17"/>
      <c r="LZV487" s="17"/>
      <c r="LZW487" s="17"/>
      <c r="LZX487" s="17"/>
      <c r="LZY487" s="17"/>
      <c r="LZZ487" s="17"/>
      <c r="MAA487" s="17"/>
      <c r="MAB487" s="17"/>
      <c r="MAC487" s="17"/>
      <c r="MAD487" s="17"/>
      <c r="MAE487" s="17"/>
      <c r="MAF487" s="17"/>
      <c r="MAG487" s="17"/>
      <c r="MAH487" s="17"/>
      <c r="MAI487" s="17"/>
      <c r="MAJ487" s="17"/>
      <c r="MAK487" s="17"/>
      <c r="MAL487" s="17"/>
      <c r="MAM487" s="17"/>
      <c r="MAN487" s="17"/>
      <c r="MAO487" s="17"/>
      <c r="MAP487" s="17"/>
      <c r="MAQ487" s="17"/>
      <c r="MAR487" s="17"/>
      <c r="MAS487" s="17"/>
      <c r="MAT487" s="17"/>
      <c r="MAU487" s="17"/>
      <c r="MAV487" s="17"/>
      <c r="MAW487" s="17"/>
      <c r="MAX487" s="17"/>
      <c r="MAY487" s="17"/>
      <c r="MAZ487" s="17"/>
      <c r="MBA487" s="17"/>
      <c r="MBB487" s="17"/>
      <c r="MBC487" s="17"/>
      <c r="MBD487" s="17"/>
      <c r="MBE487" s="17"/>
      <c r="MBF487" s="17"/>
      <c r="MBG487" s="17"/>
      <c r="MBH487" s="17"/>
      <c r="MBI487" s="17"/>
      <c r="MBJ487" s="17"/>
      <c r="MBK487" s="17"/>
      <c r="MBL487" s="17"/>
      <c r="MBM487" s="17"/>
      <c r="MBN487" s="17"/>
      <c r="MBO487" s="17"/>
      <c r="MBP487" s="17"/>
      <c r="MBQ487" s="17"/>
      <c r="MBR487" s="17"/>
      <c r="MBS487" s="17"/>
      <c r="MBT487" s="17"/>
      <c r="MBU487" s="17"/>
      <c r="MBV487" s="17"/>
      <c r="MBW487" s="17"/>
      <c r="MBX487" s="17"/>
      <c r="MBY487" s="17"/>
      <c r="MBZ487" s="17"/>
      <c r="MCA487" s="17"/>
      <c r="MCB487" s="17"/>
      <c r="MCC487" s="17"/>
      <c r="MCD487" s="17"/>
      <c r="MCE487" s="17"/>
      <c r="MCF487" s="17"/>
      <c r="MCG487" s="17"/>
      <c r="MCH487" s="17"/>
      <c r="MCI487" s="17"/>
      <c r="MCJ487" s="17"/>
      <c r="MCK487" s="17"/>
      <c r="MCL487" s="17"/>
      <c r="MCM487" s="17"/>
      <c r="MCN487" s="17"/>
      <c r="MCO487" s="17"/>
      <c r="MCP487" s="17"/>
      <c r="MCQ487" s="17"/>
      <c r="MCR487" s="17"/>
      <c r="MCS487" s="17"/>
      <c r="MCT487" s="17"/>
      <c r="MCU487" s="17"/>
      <c r="MCV487" s="17"/>
      <c r="MCW487" s="17"/>
      <c r="MCX487" s="17"/>
      <c r="MCY487" s="17"/>
      <c r="MCZ487" s="17"/>
      <c r="MDA487" s="17"/>
      <c r="MDB487" s="17"/>
      <c r="MDC487" s="17"/>
      <c r="MDD487" s="17"/>
      <c r="MDE487" s="17"/>
      <c r="MDF487" s="17"/>
      <c r="MDG487" s="17"/>
      <c r="MDH487" s="17"/>
      <c r="MDI487" s="17"/>
      <c r="MDJ487" s="17"/>
      <c r="MDK487" s="17"/>
      <c r="MDL487" s="17"/>
      <c r="MDM487" s="17"/>
      <c r="MDN487" s="17"/>
      <c r="MDO487" s="17"/>
      <c r="MDP487" s="17"/>
      <c r="MDQ487" s="17"/>
      <c r="MDR487" s="17"/>
      <c r="MDS487" s="17"/>
      <c r="MDT487" s="17"/>
      <c r="MDU487" s="17"/>
      <c r="MDV487" s="17"/>
      <c r="MDW487" s="17"/>
      <c r="MDX487" s="17"/>
      <c r="MDY487" s="17"/>
      <c r="MDZ487" s="17"/>
      <c r="MEA487" s="17"/>
      <c r="MEB487" s="17"/>
      <c r="MEC487" s="17"/>
      <c r="MED487" s="17"/>
      <c r="MEE487" s="17"/>
      <c r="MEF487" s="17"/>
      <c r="MEG487" s="17"/>
      <c r="MEH487" s="17"/>
      <c r="MEI487" s="17"/>
      <c r="MEJ487" s="17"/>
      <c r="MEK487" s="17"/>
      <c r="MEL487" s="17"/>
      <c r="MEM487" s="17"/>
      <c r="MEN487" s="17"/>
      <c r="MEO487" s="17"/>
      <c r="MEP487" s="17"/>
      <c r="MEQ487" s="17"/>
      <c r="MER487" s="17"/>
      <c r="MES487" s="17"/>
      <c r="MET487" s="17"/>
      <c r="MEU487" s="17"/>
      <c r="MEV487" s="17"/>
      <c r="MEW487" s="17"/>
      <c r="MEX487" s="17"/>
      <c r="MEY487" s="17"/>
      <c r="MEZ487" s="17"/>
      <c r="MFA487" s="17"/>
      <c r="MFB487" s="17"/>
      <c r="MFC487" s="17"/>
      <c r="MFD487" s="17"/>
      <c r="MFE487" s="17"/>
      <c r="MFF487" s="17"/>
      <c r="MFG487" s="17"/>
      <c r="MFH487" s="17"/>
      <c r="MFI487" s="17"/>
      <c r="MFJ487" s="17"/>
      <c r="MFK487" s="17"/>
      <c r="MFL487" s="17"/>
      <c r="MFM487" s="17"/>
      <c r="MFN487" s="17"/>
      <c r="MFO487" s="17"/>
      <c r="MFP487" s="17"/>
      <c r="MFQ487" s="17"/>
      <c r="MFR487" s="17"/>
      <c r="MFS487" s="17"/>
      <c r="MFT487" s="17"/>
      <c r="MFU487" s="17"/>
      <c r="MFV487" s="17"/>
      <c r="MFW487" s="17"/>
      <c r="MFX487" s="17"/>
      <c r="MFY487" s="17"/>
      <c r="MFZ487" s="17"/>
      <c r="MGA487" s="17"/>
      <c r="MGB487" s="17"/>
      <c r="MGC487" s="17"/>
      <c r="MGD487" s="17"/>
      <c r="MGE487" s="17"/>
      <c r="MGF487" s="17"/>
      <c r="MGG487" s="17"/>
      <c r="MGH487" s="17"/>
      <c r="MGI487" s="17"/>
      <c r="MGJ487" s="17"/>
      <c r="MGK487" s="17"/>
      <c r="MGL487" s="17"/>
      <c r="MGM487" s="17"/>
      <c r="MGN487" s="17"/>
      <c r="MGO487" s="17"/>
      <c r="MGP487" s="17"/>
      <c r="MGQ487" s="17"/>
      <c r="MGR487" s="17"/>
      <c r="MGS487" s="17"/>
      <c r="MGT487" s="17"/>
      <c r="MGU487" s="17"/>
      <c r="MGV487" s="17"/>
      <c r="MGW487" s="17"/>
      <c r="MGX487" s="17"/>
      <c r="MGY487" s="17"/>
      <c r="MGZ487" s="17"/>
      <c r="MHA487" s="17"/>
      <c r="MHB487" s="17"/>
      <c r="MHC487" s="17"/>
      <c r="MHD487" s="17"/>
      <c r="MHE487" s="17"/>
      <c r="MHF487" s="17"/>
      <c r="MHG487" s="17"/>
      <c r="MHH487" s="17"/>
      <c r="MHI487" s="17"/>
      <c r="MHJ487" s="17"/>
      <c r="MHK487" s="17"/>
      <c r="MHL487" s="17"/>
      <c r="MHM487" s="17"/>
      <c r="MHN487" s="17"/>
      <c r="MHO487" s="17"/>
      <c r="MHP487" s="17"/>
      <c r="MHQ487" s="17"/>
      <c r="MHR487" s="17"/>
      <c r="MHS487" s="17"/>
      <c r="MHT487" s="17"/>
      <c r="MHU487" s="17"/>
      <c r="MHV487" s="17"/>
      <c r="MHW487" s="17"/>
      <c r="MHX487" s="17"/>
      <c r="MHY487" s="17"/>
      <c r="MHZ487" s="17"/>
      <c r="MIA487" s="17"/>
      <c r="MIB487" s="17"/>
      <c r="MIC487" s="17"/>
      <c r="MID487" s="17"/>
      <c r="MIE487" s="17"/>
      <c r="MIF487" s="17"/>
      <c r="MIG487" s="17"/>
      <c r="MIH487" s="17"/>
      <c r="MII487" s="17"/>
      <c r="MIJ487" s="17"/>
      <c r="MIK487" s="17"/>
      <c r="MIL487" s="17"/>
      <c r="MIM487" s="17"/>
      <c r="MIN487" s="17"/>
      <c r="MIO487" s="17"/>
      <c r="MIP487" s="17"/>
      <c r="MIQ487" s="17"/>
      <c r="MIR487" s="17"/>
      <c r="MIS487" s="17"/>
      <c r="MIT487" s="17"/>
      <c r="MIU487" s="17"/>
      <c r="MIV487" s="17"/>
      <c r="MIW487" s="17"/>
      <c r="MIX487" s="17"/>
      <c r="MIY487" s="17"/>
      <c r="MIZ487" s="17"/>
      <c r="MJA487" s="17"/>
      <c r="MJB487" s="17"/>
      <c r="MJC487" s="17"/>
      <c r="MJD487" s="17"/>
      <c r="MJE487" s="17"/>
      <c r="MJF487" s="17"/>
      <c r="MJG487" s="17"/>
      <c r="MJH487" s="17"/>
      <c r="MJI487" s="17"/>
      <c r="MJJ487" s="17"/>
      <c r="MJK487" s="17"/>
      <c r="MJL487" s="17"/>
      <c r="MJM487" s="17"/>
      <c r="MJN487" s="17"/>
      <c r="MJO487" s="17"/>
      <c r="MJP487" s="17"/>
      <c r="MJQ487" s="17"/>
      <c r="MJR487" s="17"/>
      <c r="MJS487" s="17"/>
      <c r="MJT487" s="17"/>
      <c r="MJU487" s="17"/>
      <c r="MJV487" s="17"/>
      <c r="MJW487" s="17"/>
      <c r="MJX487" s="17"/>
      <c r="MJY487" s="17"/>
      <c r="MJZ487" s="17"/>
      <c r="MKA487" s="17"/>
      <c r="MKB487" s="17"/>
      <c r="MKC487" s="17"/>
      <c r="MKD487" s="17"/>
      <c r="MKE487" s="17"/>
      <c r="MKF487" s="17"/>
      <c r="MKG487" s="17"/>
      <c r="MKH487" s="17"/>
      <c r="MKI487" s="17"/>
      <c r="MKJ487" s="17"/>
      <c r="MKK487" s="17"/>
      <c r="MKL487" s="17"/>
      <c r="MKM487" s="17"/>
      <c r="MKN487" s="17"/>
      <c r="MKO487" s="17"/>
      <c r="MKP487" s="17"/>
      <c r="MKQ487" s="17"/>
      <c r="MKR487" s="17"/>
      <c r="MKS487" s="17"/>
      <c r="MKT487" s="17"/>
      <c r="MKU487" s="17"/>
      <c r="MKV487" s="17"/>
      <c r="MKW487" s="17"/>
      <c r="MKX487" s="17"/>
      <c r="MKY487" s="17"/>
      <c r="MKZ487" s="17"/>
      <c r="MLA487" s="17"/>
      <c r="MLB487" s="17"/>
      <c r="MLC487" s="17"/>
      <c r="MLD487" s="17"/>
      <c r="MLE487" s="17"/>
      <c r="MLF487" s="17"/>
      <c r="MLG487" s="17"/>
      <c r="MLH487" s="17"/>
      <c r="MLI487" s="17"/>
      <c r="MLJ487" s="17"/>
      <c r="MLK487" s="17"/>
      <c r="MLL487" s="17"/>
      <c r="MLM487" s="17"/>
      <c r="MLN487" s="17"/>
      <c r="MLO487" s="17"/>
      <c r="MLP487" s="17"/>
      <c r="MLQ487" s="17"/>
      <c r="MLR487" s="17"/>
      <c r="MLS487" s="17"/>
      <c r="MLT487" s="17"/>
      <c r="MLU487" s="17"/>
      <c r="MLV487" s="17"/>
      <c r="MLW487" s="17"/>
      <c r="MLX487" s="17"/>
      <c r="MLY487" s="17"/>
      <c r="MLZ487" s="17"/>
      <c r="MMA487" s="17"/>
      <c r="MMB487" s="17"/>
      <c r="MMC487" s="17"/>
      <c r="MMD487" s="17"/>
      <c r="MME487" s="17"/>
      <c r="MMF487" s="17"/>
      <c r="MMG487" s="17"/>
      <c r="MMH487" s="17"/>
      <c r="MMI487" s="17"/>
      <c r="MMJ487" s="17"/>
      <c r="MMK487" s="17"/>
      <c r="MML487" s="17"/>
      <c r="MMM487" s="17"/>
      <c r="MMN487" s="17"/>
      <c r="MMO487" s="17"/>
      <c r="MMP487" s="17"/>
      <c r="MMQ487" s="17"/>
      <c r="MMR487" s="17"/>
      <c r="MMS487" s="17"/>
      <c r="MMT487" s="17"/>
      <c r="MMU487" s="17"/>
      <c r="MMV487" s="17"/>
      <c r="MMW487" s="17"/>
      <c r="MMX487" s="17"/>
      <c r="MMY487" s="17"/>
      <c r="MMZ487" s="17"/>
      <c r="MNA487" s="17"/>
      <c r="MNB487" s="17"/>
      <c r="MNC487" s="17"/>
      <c r="MND487" s="17"/>
      <c r="MNE487" s="17"/>
      <c r="MNF487" s="17"/>
      <c r="MNG487" s="17"/>
      <c r="MNH487" s="17"/>
      <c r="MNI487" s="17"/>
      <c r="MNJ487" s="17"/>
      <c r="MNK487" s="17"/>
      <c r="MNL487" s="17"/>
      <c r="MNM487" s="17"/>
      <c r="MNN487" s="17"/>
      <c r="MNO487" s="17"/>
      <c r="MNP487" s="17"/>
      <c r="MNQ487" s="17"/>
      <c r="MNR487" s="17"/>
      <c r="MNS487" s="17"/>
      <c r="MNT487" s="17"/>
      <c r="MNU487" s="17"/>
      <c r="MNV487" s="17"/>
      <c r="MNW487" s="17"/>
      <c r="MNX487" s="17"/>
      <c r="MNY487" s="17"/>
      <c r="MNZ487" s="17"/>
      <c r="MOA487" s="17"/>
      <c r="MOB487" s="17"/>
      <c r="MOC487" s="17"/>
      <c r="MOD487" s="17"/>
      <c r="MOE487" s="17"/>
      <c r="MOF487" s="17"/>
      <c r="MOG487" s="17"/>
      <c r="MOH487" s="17"/>
      <c r="MOI487" s="17"/>
      <c r="MOJ487" s="17"/>
      <c r="MOK487" s="17"/>
      <c r="MOL487" s="17"/>
      <c r="MOM487" s="17"/>
      <c r="MON487" s="17"/>
      <c r="MOO487" s="17"/>
      <c r="MOP487" s="17"/>
      <c r="MOQ487" s="17"/>
      <c r="MOR487" s="17"/>
      <c r="MOS487" s="17"/>
      <c r="MOT487" s="17"/>
      <c r="MOU487" s="17"/>
      <c r="MOV487" s="17"/>
      <c r="MOW487" s="17"/>
      <c r="MOX487" s="17"/>
      <c r="MOY487" s="17"/>
      <c r="MOZ487" s="17"/>
      <c r="MPA487" s="17"/>
      <c r="MPB487" s="17"/>
      <c r="MPC487" s="17"/>
      <c r="MPD487" s="17"/>
      <c r="MPE487" s="17"/>
      <c r="MPF487" s="17"/>
      <c r="MPG487" s="17"/>
      <c r="MPH487" s="17"/>
      <c r="MPI487" s="17"/>
      <c r="MPJ487" s="17"/>
      <c r="MPK487" s="17"/>
      <c r="MPL487" s="17"/>
      <c r="MPM487" s="17"/>
      <c r="MPN487" s="17"/>
      <c r="MPO487" s="17"/>
      <c r="MPP487" s="17"/>
      <c r="MPQ487" s="17"/>
      <c r="MPR487" s="17"/>
      <c r="MPS487" s="17"/>
      <c r="MPT487" s="17"/>
      <c r="MPU487" s="17"/>
      <c r="MPV487" s="17"/>
      <c r="MPW487" s="17"/>
      <c r="MPX487" s="17"/>
      <c r="MPY487" s="17"/>
      <c r="MPZ487" s="17"/>
      <c r="MQA487" s="17"/>
      <c r="MQB487" s="17"/>
      <c r="MQC487" s="17"/>
      <c r="MQD487" s="17"/>
      <c r="MQE487" s="17"/>
      <c r="MQF487" s="17"/>
      <c r="MQG487" s="17"/>
      <c r="MQH487" s="17"/>
      <c r="MQI487" s="17"/>
      <c r="MQJ487" s="17"/>
      <c r="MQK487" s="17"/>
      <c r="MQL487" s="17"/>
      <c r="MQM487" s="17"/>
      <c r="MQN487" s="17"/>
      <c r="MQO487" s="17"/>
      <c r="MQP487" s="17"/>
      <c r="MQQ487" s="17"/>
      <c r="MQR487" s="17"/>
      <c r="MQS487" s="17"/>
      <c r="MQT487" s="17"/>
      <c r="MQU487" s="17"/>
      <c r="MQV487" s="17"/>
      <c r="MQW487" s="17"/>
      <c r="MQX487" s="17"/>
      <c r="MQY487" s="17"/>
      <c r="MQZ487" s="17"/>
      <c r="MRA487" s="17"/>
      <c r="MRB487" s="17"/>
      <c r="MRC487" s="17"/>
      <c r="MRD487" s="17"/>
      <c r="MRE487" s="17"/>
      <c r="MRF487" s="17"/>
      <c r="MRG487" s="17"/>
      <c r="MRH487" s="17"/>
      <c r="MRI487" s="17"/>
      <c r="MRJ487" s="17"/>
      <c r="MRK487" s="17"/>
      <c r="MRL487" s="17"/>
      <c r="MRM487" s="17"/>
      <c r="MRN487" s="17"/>
      <c r="MRO487" s="17"/>
      <c r="MRP487" s="17"/>
      <c r="MRQ487" s="17"/>
      <c r="MRR487" s="17"/>
      <c r="MRS487" s="17"/>
      <c r="MRT487" s="17"/>
      <c r="MRU487" s="17"/>
      <c r="MRV487" s="17"/>
      <c r="MRW487" s="17"/>
      <c r="MRX487" s="17"/>
      <c r="MRY487" s="17"/>
      <c r="MRZ487" s="17"/>
      <c r="MSA487" s="17"/>
      <c r="MSB487" s="17"/>
      <c r="MSC487" s="17"/>
      <c r="MSD487" s="17"/>
      <c r="MSE487" s="17"/>
      <c r="MSF487" s="17"/>
      <c r="MSG487" s="17"/>
      <c r="MSH487" s="17"/>
      <c r="MSI487" s="17"/>
      <c r="MSJ487" s="17"/>
      <c r="MSK487" s="17"/>
      <c r="MSL487" s="17"/>
      <c r="MSM487" s="17"/>
      <c r="MSN487" s="17"/>
      <c r="MSO487" s="17"/>
      <c r="MSP487" s="17"/>
      <c r="MSQ487" s="17"/>
      <c r="MSR487" s="17"/>
      <c r="MSS487" s="17"/>
      <c r="MST487" s="17"/>
      <c r="MSU487" s="17"/>
      <c r="MSV487" s="17"/>
      <c r="MSW487" s="17"/>
      <c r="MSX487" s="17"/>
      <c r="MSY487" s="17"/>
      <c r="MSZ487" s="17"/>
      <c r="MTA487" s="17"/>
      <c r="MTB487" s="17"/>
      <c r="MTC487" s="17"/>
      <c r="MTD487" s="17"/>
      <c r="MTE487" s="17"/>
      <c r="MTF487" s="17"/>
      <c r="MTG487" s="17"/>
      <c r="MTH487" s="17"/>
      <c r="MTI487" s="17"/>
      <c r="MTJ487" s="17"/>
      <c r="MTK487" s="17"/>
      <c r="MTL487" s="17"/>
      <c r="MTM487" s="17"/>
      <c r="MTN487" s="17"/>
      <c r="MTO487" s="17"/>
      <c r="MTP487" s="17"/>
      <c r="MTQ487" s="17"/>
      <c r="MTR487" s="17"/>
      <c r="MTS487" s="17"/>
      <c r="MTT487" s="17"/>
      <c r="MTU487" s="17"/>
      <c r="MTV487" s="17"/>
      <c r="MTW487" s="17"/>
      <c r="MTX487" s="17"/>
      <c r="MTY487" s="17"/>
      <c r="MTZ487" s="17"/>
      <c r="MUA487" s="17"/>
      <c r="MUB487" s="17"/>
      <c r="MUC487" s="17"/>
      <c r="MUD487" s="17"/>
      <c r="MUE487" s="17"/>
      <c r="MUF487" s="17"/>
      <c r="MUG487" s="17"/>
      <c r="MUH487" s="17"/>
      <c r="MUI487" s="17"/>
      <c r="MUJ487" s="17"/>
      <c r="MUK487" s="17"/>
      <c r="MUL487" s="17"/>
      <c r="MUM487" s="17"/>
      <c r="MUN487" s="17"/>
      <c r="MUO487" s="17"/>
      <c r="MUP487" s="17"/>
      <c r="MUQ487" s="17"/>
      <c r="MUR487" s="17"/>
      <c r="MUS487" s="17"/>
      <c r="MUT487" s="17"/>
      <c r="MUU487" s="17"/>
      <c r="MUV487" s="17"/>
      <c r="MUW487" s="17"/>
      <c r="MUX487" s="17"/>
      <c r="MUY487" s="17"/>
      <c r="MUZ487" s="17"/>
      <c r="MVA487" s="17"/>
      <c r="MVB487" s="17"/>
      <c r="MVC487" s="17"/>
      <c r="MVD487" s="17"/>
      <c r="MVE487" s="17"/>
      <c r="MVF487" s="17"/>
      <c r="MVG487" s="17"/>
      <c r="MVH487" s="17"/>
      <c r="MVI487" s="17"/>
      <c r="MVJ487" s="17"/>
      <c r="MVK487" s="17"/>
      <c r="MVL487" s="17"/>
      <c r="MVM487" s="17"/>
      <c r="MVN487" s="17"/>
      <c r="MVO487" s="17"/>
      <c r="MVP487" s="17"/>
      <c r="MVQ487" s="17"/>
      <c r="MVR487" s="17"/>
      <c r="MVS487" s="17"/>
      <c r="MVT487" s="17"/>
      <c r="MVU487" s="17"/>
      <c r="MVV487" s="17"/>
      <c r="MVW487" s="17"/>
      <c r="MVX487" s="17"/>
      <c r="MVY487" s="17"/>
      <c r="MVZ487" s="17"/>
      <c r="MWA487" s="17"/>
      <c r="MWB487" s="17"/>
      <c r="MWC487" s="17"/>
      <c r="MWD487" s="17"/>
      <c r="MWE487" s="17"/>
      <c r="MWF487" s="17"/>
      <c r="MWG487" s="17"/>
      <c r="MWH487" s="17"/>
      <c r="MWI487" s="17"/>
      <c r="MWJ487" s="17"/>
      <c r="MWK487" s="17"/>
      <c r="MWL487" s="17"/>
      <c r="MWM487" s="17"/>
      <c r="MWN487" s="17"/>
      <c r="MWO487" s="17"/>
      <c r="MWP487" s="17"/>
      <c r="MWQ487" s="17"/>
      <c r="MWR487" s="17"/>
      <c r="MWS487" s="17"/>
      <c r="MWT487" s="17"/>
      <c r="MWU487" s="17"/>
      <c r="MWV487" s="17"/>
      <c r="MWW487" s="17"/>
      <c r="MWX487" s="17"/>
      <c r="MWY487" s="17"/>
      <c r="MWZ487" s="17"/>
      <c r="MXA487" s="17"/>
      <c r="MXB487" s="17"/>
      <c r="MXC487" s="17"/>
      <c r="MXD487" s="17"/>
      <c r="MXE487" s="17"/>
      <c r="MXF487" s="17"/>
      <c r="MXG487" s="17"/>
      <c r="MXH487" s="17"/>
      <c r="MXI487" s="17"/>
      <c r="MXJ487" s="17"/>
      <c r="MXK487" s="17"/>
      <c r="MXL487" s="17"/>
      <c r="MXM487" s="17"/>
      <c r="MXN487" s="17"/>
      <c r="MXO487" s="17"/>
      <c r="MXP487" s="17"/>
      <c r="MXQ487" s="17"/>
      <c r="MXR487" s="17"/>
      <c r="MXS487" s="17"/>
      <c r="MXT487" s="17"/>
      <c r="MXU487" s="17"/>
      <c r="MXV487" s="17"/>
      <c r="MXW487" s="17"/>
      <c r="MXX487" s="17"/>
      <c r="MXY487" s="17"/>
      <c r="MXZ487" s="17"/>
      <c r="MYA487" s="17"/>
      <c r="MYB487" s="17"/>
      <c r="MYC487" s="17"/>
      <c r="MYD487" s="17"/>
      <c r="MYE487" s="17"/>
      <c r="MYF487" s="17"/>
      <c r="MYG487" s="17"/>
      <c r="MYH487" s="17"/>
      <c r="MYI487" s="17"/>
      <c r="MYJ487" s="17"/>
      <c r="MYK487" s="17"/>
      <c r="MYL487" s="17"/>
      <c r="MYM487" s="17"/>
      <c r="MYN487" s="17"/>
      <c r="MYO487" s="17"/>
      <c r="MYP487" s="17"/>
      <c r="MYQ487" s="17"/>
      <c r="MYR487" s="17"/>
      <c r="MYS487" s="17"/>
      <c r="MYT487" s="17"/>
      <c r="MYU487" s="17"/>
      <c r="MYV487" s="17"/>
      <c r="MYW487" s="17"/>
      <c r="MYX487" s="17"/>
      <c r="MYY487" s="17"/>
      <c r="MYZ487" s="17"/>
      <c r="MZA487" s="17"/>
      <c r="MZB487" s="17"/>
      <c r="MZC487" s="17"/>
      <c r="MZD487" s="17"/>
      <c r="MZE487" s="17"/>
      <c r="MZF487" s="17"/>
      <c r="MZG487" s="17"/>
      <c r="MZH487" s="17"/>
      <c r="MZI487" s="17"/>
      <c r="MZJ487" s="17"/>
      <c r="MZK487" s="17"/>
      <c r="MZL487" s="17"/>
      <c r="MZM487" s="17"/>
      <c r="MZN487" s="17"/>
      <c r="MZO487" s="17"/>
      <c r="MZP487" s="17"/>
      <c r="MZQ487" s="17"/>
      <c r="MZR487" s="17"/>
      <c r="MZS487" s="17"/>
      <c r="MZT487" s="17"/>
      <c r="MZU487" s="17"/>
      <c r="MZV487" s="17"/>
      <c r="MZW487" s="17"/>
      <c r="MZX487" s="17"/>
      <c r="MZY487" s="17"/>
      <c r="MZZ487" s="17"/>
      <c r="NAA487" s="17"/>
      <c r="NAB487" s="17"/>
      <c r="NAC487" s="17"/>
      <c r="NAD487" s="17"/>
      <c r="NAE487" s="17"/>
      <c r="NAF487" s="17"/>
      <c r="NAG487" s="17"/>
      <c r="NAH487" s="17"/>
      <c r="NAI487" s="17"/>
      <c r="NAJ487" s="17"/>
      <c r="NAK487" s="17"/>
      <c r="NAL487" s="17"/>
      <c r="NAM487" s="17"/>
      <c r="NAN487" s="17"/>
      <c r="NAO487" s="17"/>
      <c r="NAP487" s="17"/>
      <c r="NAQ487" s="17"/>
      <c r="NAR487" s="17"/>
      <c r="NAS487" s="17"/>
      <c r="NAT487" s="17"/>
      <c r="NAU487" s="17"/>
      <c r="NAV487" s="17"/>
      <c r="NAW487" s="17"/>
      <c r="NAX487" s="17"/>
      <c r="NAY487" s="17"/>
      <c r="NAZ487" s="17"/>
      <c r="NBA487" s="17"/>
      <c r="NBB487" s="17"/>
      <c r="NBC487" s="17"/>
      <c r="NBD487" s="17"/>
      <c r="NBE487" s="17"/>
      <c r="NBF487" s="17"/>
      <c r="NBG487" s="17"/>
      <c r="NBH487" s="17"/>
      <c r="NBI487" s="17"/>
      <c r="NBJ487" s="17"/>
      <c r="NBK487" s="17"/>
      <c r="NBL487" s="17"/>
      <c r="NBM487" s="17"/>
      <c r="NBN487" s="17"/>
      <c r="NBO487" s="17"/>
      <c r="NBP487" s="17"/>
      <c r="NBQ487" s="17"/>
      <c r="NBR487" s="17"/>
      <c r="NBS487" s="17"/>
      <c r="NBT487" s="17"/>
      <c r="NBU487" s="17"/>
      <c r="NBV487" s="17"/>
      <c r="NBW487" s="17"/>
      <c r="NBX487" s="17"/>
      <c r="NBY487" s="17"/>
      <c r="NBZ487" s="17"/>
      <c r="NCA487" s="17"/>
      <c r="NCB487" s="17"/>
      <c r="NCC487" s="17"/>
      <c r="NCD487" s="17"/>
      <c r="NCE487" s="17"/>
      <c r="NCF487" s="17"/>
      <c r="NCG487" s="17"/>
      <c r="NCH487" s="17"/>
      <c r="NCI487" s="17"/>
      <c r="NCJ487" s="17"/>
      <c r="NCK487" s="17"/>
      <c r="NCL487" s="17"/>
      <c r="NCM487" s="17"/>
      <c r="NCN487" s="17"/>
      <c r="NCO487" s="17"/>
      <c r="NCP487" s="17"/>
      <c r="NCQ487" s="17"/>
      <c r="NCR487" s="17"/>
      <c r="NCS487" s="17"/>
      <c r="NCT487" s="17"/>
      <c r="NCU487" s="17"/>
      <c r="NCV487" s="17"/>
      <c r="NCW487" s="17"/>
      <c r="NCX487" s="17"/>
      <c r="NCY487" s="17"/>
      <c r="NCZ487" s="17"/>
      <c r="NDA487" s="17"/>
      <c r="NDB487" s="17"/>
      <c r="NDC487" s="17"/>
      <c r="NDD487" s="17"/>
      <c r="NDE487" s="17"/>
      <c r="NDF487" s="17"/>
      <c r="NDG487" s="17"/>
      <c r="NDH487" s="17"/>
      <c r="NDI487" s="17"/>
      <c r="NDJ487" s="17"/>
      <c r="NDK487" s="17"/>
      <c r="NDL487" s="17"/>
      <c r="NDM487" s="17"/>
      <c r="NDN487" s="17"/>
      <c r="NDO487" s="17"/>
      <c r="NDP487" s="17"/>
      <c r="NDQ487" s="17"/>
      <c r="NDR487" s="17"/>
      <c r="NDS487" s="17"/>
      <c r="NDT487" s="17"/>
      <c r="NDU487" s="17"/>
      <c r="NDV487" s="17"/>
      <c r="NDW487" s="17"/>
      <c r="NDX487" s="17"/>
      <c r="NDY487" s="17"/>
      <c r="NDZ487" s="17"/>
      <c r="NEA487" s="17"/>
      <c r="NEB487" s="17"/>
      <c r="NEC487" s="17"/>
      <c r="NED487" s="17"/>
      <c r="NEE487" s="17"/>
      <c r="NEF487" s="17"/>
      <c r="NEG487" s="17"/>
      <c r="NEH487" s="17"/>
      <c r="NEI487" s="17"/>
      <c r="NEJ487" s="17"/>
      <c r="NEK487" s="17"/>
      <c r="NEL487" s="17"/>
      <c r="NEM487" s="17"/>
      <c r="NEN487" s="17"/>
      <c r="NEO487" s="17"/>
      <c r="NEP487" s="17"/>
      <c r="NEQ487" s="17"/>
      <c r="NER487" s="17"/>
      <c r="NES487" s="17"/>
      <c r="NET487" s="17"/>
      <c r="NEU487" s="17"/>
      <c r="NEV487" s="17"/>
      <c r="NEW487" s="17"/>
      <c r="NEX487" s="17"/>
      <c r="NEY487" s="17"/>
      <c r="NEZ487" s="17"/>
      <c r="NFA487" s="17"/>
      <c r="NFB487" s="17"/>
      <c r="NFC487" s="17"/>
      <c r="NFD487" s="17"/>
      <c r="NFE487" s="17"/>
      <c r="NFF487" s="17"/>
      <c r="NFG487" s="17"/>
      <c r="NFH487" s="17"/>
      <c r="NFI487" s="17"/>
      <c r="NFJ487" s="17"/>
      <c r="NFK487" s="17"/>
      <c r="NFL487" s="17"/>
      <c r="NFM487" s="17"/>
      <c r="NFN487" s="17"/>
      <c r="NFO487" s="17"/>
      <c r="NFP487" s="17"/>
      <c r="NFQ487" s="17"/>
      <c r="NFR487" s="17"/>
      <c r="NFS487" s="17"/>
      <c r="NFT487" s="17"/>
      <c r="NFU487" s="17"/>
      <c r="NFV487" s="17"/>
      <c r="NFW487" s="17"/>
      <c r="NFX487" s="17"/>
      <c r="NFY487" s="17"/>
      <c r="NFZ487" s="17"/>
      <c r="NGA487" s="17"/>
      <c r="NGB487" s="17"/>
      <c r="NGC487" s="17"/>
      <c r="NGD487" s="17"/>
      <c r="NGE487" s="17"/>
      <c r="NGF487" s="17"/>
      <c r="NGG487" s="17"/>
      <c r="NGH487" s="17"/>
      <c r="NGI487" s="17"/>
      <c r="NGJ487" s="17"/>
      <c r="NGK487" s="17"/>
      <c r="NGL487" s="17"/>
      <c r="NGM487" s="17"/>
      <c r="NGN487" s="17"/>
      <c r="NGO487" s="17"/>
      <c r="NGP487" s="17"/>
      <c r="NGQ487" s="17"/>
      <c r="NGR487" s="17"/>
      <c r="NGS487" s="17"/>
      <c r="NGT487" s="17"/>
      <c r="NGU487" s="17"/>
      <c r="NGV487" s="17"/>
      <c r="NGW487" s="17"/>
      <c r="NGX487" s="17"/>
      <c r="NGY487" s="17"/>
      <c r="NGZ487" s="17"/>
      <c r="NHA487" s="17"/>
      <c r="NHB487" s="17"/>
      <c r="NHC487" s="17"/>
      <c r="NHD487" s="17"/>
      <c r="NHE487" s="17"/>
      <c r="NHF487" s="17"/>
      <c r="NHG487" s="17"/>
      <c r="NHH487" s="17"/>
      <c r="NHI487" s="17"/>
      <c r="NHJ487" s="17"/>
      <c r="NHK487" s="17"/>
      <c r="NHL487" s="17"/>
      <c r="NHM487" s="17"/>
      <c r="NHN487" s="17"/>
      <c r="NHO487" s="17"/>
      <c r="NHP487" s="17"/>
      <c r="NHQ487" s="17"/>
      <c r="NHR487" s="17"/>
      <c r="NHS487" s="17"/>
      <c r="NHT487" s="17"/>
      <c r="NHU487" s="17"/>
      <c r="NHV487" s="17"/>
      <c r="NHW487" s="17"/>
      <c r="NHX487" s="17"/>
      <c r="NHY487" s="17"/>
      <c r="NHZ487" s="17"/>
      <c r="NIA487" s="17"/>
      <c r="NIB487" s="17"/>
      <c r="NIC487" s="17"/>
      <c r="NID487" s="17"/>
      <c r="NIE487" s="17"/>
      <c r="NIF487" s="17"/>
      <c r="NIG487" s="17"/>
      <c r="NIH487" s="17"/>
      <c r="NII487" s="17"/>
      <c r="NIJ487" s="17"/>
      <c r="NIK487" s="17"/>
      <c r="NIL487" s="17"/>
      <c r="NIM487" s="17"/>
      <c r="NIN487" s="17"/>
      <c r="NIO487" s="17"/>
      <c r="NIP487" s="17"/>
      <c r="NIQ487" s="17"/>
      <c r="NIR487" s="17"/>
      <c r="NIS487" s="17"/>
      <c r="NIT487" s="17"/>
      <c r="NIU487" s="17"/>
      <c r="NIV487" s="17"/>
      <c r="NIW487" s="17"/>
      <c r="NIX487" s="17"/>
      <c r="NIY487" s="17"/>
      <c r="NIZ487" s="17"/>
      <c r="NJA487" s="17"/>
      <c r="NJB487" s="17"/>
      <c r="NJC487" s="17"/>
      <c r="NJD487" s="17"/>
      <c r="NJE487" s="17"/>
      <c r="NJF487" s="17"/>
      <c r="NJG487" s="17"/>
      <c r="NJH487" s="17"/>
      <c r="NJI487" s="17"/>
      <c r="NJJ487" s="17"/>
      <c r="NJK487" s="17"/>
      <c r="NJL487" s="17"/>
      <c r="NJM487" s="17"/>
      <c r="NJN487" s="17"/>
      <c r="NJO487" s="17"/>
      <c r="NJP487" s="17"/>
      <c r="NJQ487" s="17"/>
      <c r="NJR487" s="17"/>
      <c r="NJS487" s="17"/>
      <c r="NJT487" s="17"/>
      <c r="NJU487" s="17"/>
      <c r="NJV487" s="17"/>
      <c r="NJW487" s="17"/>
      <c r="NJX487" s="17"/>
      <c r="NJY487" s="17"/>
      <c r="NJZ487" s="17"/>
      <c r="NKA487" s="17"/>
      <c r="NKB487" s="17"/>
      <c r="NKC487" s="17"/>
      <c r="NKD487" s="17"/>
      <c r="NKE487" s="17"/>
      <c r="NKF487" s="17"/>
      <c r="NKG487" s="17"/>
      <c r="NKH487" s="17"/>
      <c r="NKI487" s="17"/>
      <c r="NKJ487" s="17"/>
      <c r="NKK487" s="17"/>
      <c r="NKL487" s="17"/>
      <c r="NKM487" s="17"/>
      <c r="NKN487" s="17"/>
      <c r="NKO487" s="17"/>
      <c r="NKP487" s="17"/>
      <c r="NKQ487" s="17"/>
      <c r="NKR487" s="17"/>
      <c r="NKS487" s="17"/>
      <c r="NKT487" s="17"/>
      <c r="NKU487" s="17"/>
      <c r="NKV487" s="17"/>
      <c r="NKW487" s="17"/>
      <c r="NKX487" s="17"/>
      <c r="NKY487" s="17"/>
      <c r="NKZ487" s="17"/>
      <c r="NLA487" s="17"/>
      <c r="NLB487" s="17"/>
      <c r="NLC487" s="17"/>
      <c r="NLD487" s="17"/>
      <c r="NLE487" s="17"/>
      <c r="NLF487" s="17"/>
      <c r="NLG487" s="17"/>
      <c r="NLH487" s="17"/>
      <c r="NLI487" s="17"/>
      <c r="NLJ487" s="17"/>
      <c r="NLK487" s="17"/>
      <c r="NLL487" s="17"/>
      <c r="NLM487" s="17"/>
      <c r="NLN487" s="17"/>
      <c r="NLO487" s="17"/>
      <c r="NLP487" s="17"/>
      <c r="NLQ487" s="17"/>
      <c r="NLR487" s="17"/>
      <c r="NLS487" s="17"/>
      <c r="NLT487" s="17"/>
      <c r="NLU487" s="17"/>
      <c r="NLV487" s="17"/>
      <c r="NLW487" s="17"/>
      <c r="NLX487" s="17"/>
      <c r="NLY487" s="17"/>
      <c r="NLZ487" s="17"/>
      <c r="NMA487" s="17"/>
      <c r="NMB487" s="17"/>
      <c r="NMC487" s="17"/>
      <c r="NMD487" s="17"/>
      <c r="NME487" s="17"/>
      <c r="NMF487" s="17"/>
      <c r="NMG487" s="17"/>
      <c r="NMH487" s="17"/>
      <c r="NMI487" s="17"/>
      <c r="NMJ487" s="17"/>
      <c r="NMK487" s="17"/>
      <c r="NML487" s="17"/>
      <c r="NMM487" s="17"/>
      <c r="NMN487" s="17"/>
      <c r="NMO487" s="17"/>
      <c r="NMP487" s="17"/>
      <c r="NMQ487" s="17"/>
      <c r="NMR487" s="17"/>
      <c r="NMS487" s="17"/>
      <c r="NMT487" s="17"/>
      <c r="NMU487" s="17"/>
      <c r="NMV487" s="17"/>
      <c r="NMW487" s="17"/>
      <c r="NMX487" s="17"/>
      <c r="NMY487" s="17"/>
      <c r="NMZ487" s="17"/>
      <c r="NNA487" s="17"/>
      <c r="NNB487" s="17"/>
      <c r="NNC487" s="17"/>
      <c r="NND487" s="17"/>
      <c r="NNE487" s="17"/>
      <c r="NNF487" s="17"/>
      <c r="NNG487" s="17"/>
      <c r="NNH487" s="17"/>
      <c r="NNI487" s="17"/>
      <c r="NNJ487" s="17"/>
      <c r="NNK487" s="17"/>
      <c r="NNL487" s="17"/>
      <c r="NNM487" s="17"/>
      <c r="NNN487" s="17"/>
      <c r="NNO487" s="17"/>
      <c r="NNP487" s="17"/>
      <c r="NNQ487" s="17"/>
      <c r="NNR487" s="17"/>
      <c r="NNS487" s="17"/>
      <c r="NNT487" s="17"/>
      <c r="NNU487" s="17"/>
      <c r="NNV487" s="17"/>
      <c r="NNW487" s="17"/>
      <c r="NNX487" s="17"/>
      <c r="NNY487" s="17"/>
      <c r="NNZ487" s="17"/>
      <c r="NOA487" s="17"/>
      <c r="NOB487" s="17"/>
      <c r="NOC487" s="17"/>
      <c r="NOD487" s="17"/>
      <c r="NOE487" s="17"/>
      <c r="NOF487" s="17"/>
      <c r="NOG487" s="17"/>
      <c r="NOH487" s="17"/>
      <c r="NOI487" s="17"/>
      <c r="NOJ487" s="17"/>
      <c r="NOK487" s="17"/>
      <c r="NOL487" s="17"/>
      <c r="NOM487" s="17"/>
      <c r="NON487" s="17"/>
      <c r="NOO487" s="17"/>
      <c r="NOP487" s="17"/>
      <c r="NOQ487" s="17"/>
      <c r="NOR487" s="17"/>
      <c r="NOS487" s="17"/>
      <c r="NOT487" s="17"/>
      <c r="NOU487" s="17"/>
      <c r="NOV487" s="17"/>
      <c r="NOW487" s="17"/>
      <c r="NOX487" s="17"/>
      <c r="NOY487" s="17"/>
      <c r="NOZ487" s="17"/>
      <c r="NPA487" s="17"/>
      <c r="NPB487" s="17"/>
      <c r="NPC487" s="17"/>
      <c r="NPD487" s="17"/>
      <c r="NPE487" s="17"/>
      <c r="NPF487" s="17"/>
      <c r="NPG487" s="17"/>
      <c r="NPH487" s="17"/>
      <c r="NPI487" s="17"/>
      <c r="NPJ487" s="17"/>
      <c r="NPK487" s="17"/>
      <c r="NPL487" s="17"/>
      <c r="NPM487" s="17"/>
      <c r="NPN487" s="17"/>
      <c r="NPO487" s="17"/>
      <c r="NPP487" s="17"/>
      <c r="NPQ487" s="17"/>
      <c r="NPR487" s="17"/>
      <c r="NPS487" s="17"/>
      <c r="NPT487" s="17"/>
      <c r="NPU487" s="17"/>
      <c r="NPV487" s="17"/>
      <c r="NPW487" s="17"/>
      <c r="NPX487" s="17"/>
      <c r="NPY487" s="17"/>
      <c r="NPZ487" s="17"/>
      <c r="NQA487" s="17"/>
      <c r="NQB487" s="17"/>
      <c r="NQC487" s="17"/>
      <c r="NQD487" s="17"/>
      <c r="NQE487" s="17"/>
      <c r="NQF487" s="17"/>
      <c r="NQG487" s="17"/>
      <c r="NQH487" s="17"/>
      <c r="NQI487" s="17"/>
      <c r="NQJ487" s="17"/>
      <c r="NQK487" s="17"/>
      <c r="NQL487" s="17"/>
      <c r="NQM487" s="17"/>
      <c r="NQN487" s="17"/>
      <c r="NQO487" s="17"/>
      <c r="NQP487" s="17"/>
      <c r="NQQ487" s="17"/>
      <c r="NQR487" s="17"/>
      <c r="NQS487" s="17"/>
      <c r="NQT487" s="17"/>
      <c r="NQU487" s="17"/>
      <c r="NQV487" s="17"/>
      <c r="NQW487" s="17"/>
      <c r="NQX487" s="17"/>
      <c r="NQY487" s="17"/>
      <c r="NQZ487" s="17"/>
      <c r="NRA487" s="17"/>
      <c r="NRB487" s="17"/>
      <c r="NRC487" s="17"/>
      <c r="NRD487" s="17"/>
      <c r="NRE487" s="17"/>
      <c r="NRF487" s="17"/>
      <c r="NRG487" s="17"/>
      <c r="NRH487" s="17"/>
      <c r="NRI487" s="17"/>
      <c r="NRJ487" s="17"/>
      <c r="NRK487" s="17"/>
      <c r="NRL487" s="17"/>
      <c r="NRM487" s="17"/>
      <c r="NRN487" s="17"/>
      <c r="NRO487" s="17"/>
      <c r="NRP487" s="17"/>
      <c r="NRQ487" s="17"/>
      <c r="NRR487" s="17"/>
      <c r="NRS487" s="17"/>
      <c r="NRT487" s="17"/>
      <c r="NRU487" s="17"/>
      <c r="NRV487" s="17"/>
      <c r="NRW487" s="17"/>
      <c r="NRX487" s="17"/>
      <c r="NRY487" s="17"/>
      <c r="NRZ487" s="17"/>
      <c r="NSA487" s="17"/>
      <c r="NSB487" s="17"/>
      <c r="NSC487" s="17"/>
      <c r="NSD487" s="17"/>
      <c r="NSE487" s="17"/>
      <c r="NSF487" s="17"/>
      <c r="NSG487" s="17"/>
      <c r="NSH487" s="17"/>
      <c r="NSI487" s="17"/>
      <c r="NSJ487" s="17"/>
      <c r="NSK487" s="17"/>
      <c r="NSL487" s="17"/>
      <c r="NSM487" s="17"/>
      <c r="NSN487" s="17"/>
      <c r="NSO487" s="17"/>
      <c r="NSP487" s="17"/>
      <c r="NSQ487" s="17"/>
      <c r="NSR487" s="17"/>
      <c r="NSS487" s="17"/>
      <c r="NST487" s="17"/>
      <c r="NSU487" s="17"/>
      <c r="NSV487" s="17"/>
      <c r="NSW487" s="17"/>
      <c r="NSX487" s="17"/>
      <c r="NSY487" s="17"/>
      <c r="NSZ487" s="17"/>
      <c r="NTA487" s="17"/>
      <c r="NTB487" s="17"/>
      <c r="NTC487" s="17"/>
      <c r="NTD487" s="17"/>
      <c r="NTE487" s="17"/>
      <c r="NTF487" s="17"/>
      <c r="NTG487" s="17"/>
      <c r="NTH487" s="17"/>
      <c r="NTI487" s="17"/>
      <c r="NTJ487" s="17"/>
      <c r="NTK487" s="17"/>
      <c r="NTL487" s="17"/>
      <c r="NTM487" s="17"/>
      <c r="NTN487" s="17"/>
      <c r="NTO487" s="17"/>
      <c r="NTP487" s="17"/>
      <c r="NTQ487" s="17"/>
      <c r="NTR487" s="17"/>
      <c r="NTS487" s="17"/>
      <c r="NTT487" s="17"/>
      <c r="NTU487" s="17"/>
      <c r="NTV487" s="17"/>
      <c r="NTW487" s="17"/>
      <c r="NTX487" s="17"/>
      <c r="NTY487" s="17"/>
      <c r="NTZ487" s="17"/>
      <c r="NUA487" s="17"/>
      <c r="NUB487" s="17"/>
      <c r="NUC487" s="17"/>
      <c r="NUD487" s="17"/>
      <c r="NUE487" s="17"/>
      <c r="NUF487" s="17"/>
      <c r="NUG487" s="17"/>
      <c r="NUH487" s="17"/>
      <c r="NUI487" s="17"/>
      <c r="NUJ487" s="17"/>
      <c r="NUK487" s="17"/>
      <c r="NUL487" s="17"/>
      <c r="NUM487" s="17"/>
      <c r="NUN487" s="17"/>
      <c r="NUO487" s="17"/>
      <c r="NUP487" s="17"/>
      <c r="NUQ487" s="17"/>
      <c r="NUR487" s="17"/>
      <c r="NUS487" s="17"/>
      <c r="NUT487" s="17"/>
      <c r="NUU487" s="17"/>
      <c r="NUV487" s="17"/>
      <c r="NUW487" s="17"/>
      <c r="NUX487" s="17"/>
      <c r="NUY487" s="17"/>
      <c r="NUZ487" s="17"/>
      <c r="NVA487" s="17"/>
      <c r="NVB487" s="17"/>
      <c r="NVC487" s="17"/>
      <c r="NVD487" s="17"/>
      <c r="NVE487" s="17"/>
      <c r="NVF487" s="17"/>
      <c r="NVG487" s="17"/>
      <c r="NVH487" s="17"/>
      <c r="NVI487" s="17"/>
      <c r="NVJ487" s="17"/>
      <c r="NVK487" s="17"/>
      <c r="NVL487" s="17"/>
      <c r="NVM487" s="17"/>
      <c r="NVN487" s="17"/>
      <c r="NVO487" s="17"/>
      <c r="NVP487" s="17"/>
      <c r="NVQ487" s="17"/>
      <c r="NVR487" s="17"/>
      <c r="NVS487" s="17"/>
      <c r="NVT487" s="17"/>
      <c r="NVU487" s="17"/>
      <c r="NVV487" s="17"/>
      <c r="NVW487" s="17"/>
      <c r="NVX487" s="17"/>
      <c r="NVY487" s="17"/>
      <c r="NVZ487" s="17"/>
      <c r="NWA487" s="17"/>
      <c r="NWB487" s="17"/>
      <c r="NWC487" s="17"/>
      <c r="NWD487" s="17"/>
      <c r="NWE487" s="17"/>
      <c r="NWF487" s="17"/>
      <c r="NWG487" s="17"/>
      <c r="NWH487" s="17"/>
      <c r="NWI487" s="17"/>
      <c r="NWJ487" s="17"/>
      <c r="NWK487" s="17"/>
      <c r="NWL487" s="17"/>
      <c r="NWM487" s="17"/>
      <c r="NWN487" s="17"/>
      <c r="NWO487" s="17"/>
      <c r="NWP487" s="17"/>
      <c r="NWQ487" s="17"/>
      <c r="NWR487" s="17"/>
      <c r="NWS487" s="17"/>
      <c r="NWT487" s="17"/>
      <c r="NWU487" s="17"/>
      <c r="NWV487" s="17"/>
      <c r="NWW487" s="17"/>
      <c r="NWX487" s="17"/>
      <c r="NWY487" s="17"/>
      <c r="NWZ487" s="17"/>
      <c r="NXA487" s="17"/>
      <c r="NXB487" s="17"/>
      <c r="NXC487" s="17"/>
      <c r="NXD487" s="17"/>
      <c r="NXE487" s="17"/>
      <c r="NXF487" s="17"/>
      <c r="NXG487" s="17"/>
      <c r="NXH487" s="17"/>
      <c r="NXI487" s="17"/>
      <c r="NXJ487" s="17"/>
      <c r="NXK487" s="17"/>
      <c r="NXL487" s="17"/>
      <c r="NXM487" s="17"/>
      <c r="NXN487" s="17"/>
      <c r="NXO487" s="17"/>
      <c r="NXP487" s="17"/>
      <c r="NXQ487" s="17"/>
      <c r="NXR487" s="17"/>
      <c r="NXS487" s="17"/>
      <c r="NXT487" s="17"/>
      <c r="NXU487" s="17"/>
      <c r="NXV487" s="17"/>
      <c r="NXW487" s="17"/>
      <c r="NXX487" s="17"/>
      <c r="NXY487" s="17"/>
      <c r="NXZ487" s="17"/>
      <c r="NYA487" s="17"/>
      <c r="NYB487" s="17"/>
      <c r="NYC487" s="17"/>
      <c r="NYD487" s="17"/>
      <c r="NYE487" s="17"/>
      <c r="NYF487" s="17"/>
      <c r="NYG487" s="17"/>
      <c r="NYH487" s="17"/>
      <c r="NYI487" s="17"/>
      <c r="NYJ487" s="17"/>
      <c r="NYK487" s="17"/>
      <c r="NYL487" s="17"/>
      <c r="NYM487" s="17"/>
      <c r="NYN487" s="17"/>
      <c r="NYO487" s="17"/>
      <c r="NYP487" s="17"/>
      <c r="NYQ487" s="17"/>
      <c r="NYR487" s="17"/>
      <c r="NYS487" s="17"/>
      <c r="NYT487" s="17"/>
      <c r="NYU487" s="17"/>
      <c r="NYV487" s="17"/>
      <c r="NYW487" s="17"/>
      <c r="NYX487" s="17"/>
      <c r="NYY487" s="17"/>
      <c r="NYZ487" s="17"/>
      <c r="NZA487" s="17"/>
      <c r="NZB487" s="17"/>
      <c r="NZC487" s="17"/>
      <c r="NZD487" s="17"/>
      <c r="NZE487" s="17"/>
      <c r="NZF487" s="17"/>
      <c r="NZG487" s="17"/>
      <c r="NZH487" s="17"/>
      <c r="NZI487" s="17"/>
      <c r="NZJ487" s="17"/>
      <c r="NZK487" s="17"/>
      <c r="NZL487" s="17"/>
      <c r="NZM487" s="17"/>
      <c r="NZN487" s="17"/>
      <c r="NZO487" s="17"/>
      <c r="NZP487" s="17"/>
      <c r="NZQ487" s="17"/>
      <c r="NZR487" s="17"/>
      <c r="NZS487" s="17"/>
      <c r="NZT487" s="17"/>
      <c r="NZU487" s="17"/>
      <c r="NZV487" s="17"/>
      <c r="NZW487" s="17"/>
      <c r="NZX487" s="17"/>
      <c r="NZY487" s="17"/>
      <c r="NZZ487" s="17"/>
      <c r="OAA487" s="17"/>
      <c r="OAB487" s="17"/>
      <c r="OAC487" s="17"/>
      <c r="OAD487" s="17"/>
      <c r="OAE487" s="17"/>
      <c r="OAF487" s="17"/>
      <c r="OAG487" s="17"/>
      <c r="OAH487" s="17"/>
      <c r="OAI487" s="17"/>
      <c r="OAJ487" s="17"/>
      <c r="OAK487" s="17"/>
      <c r="OAL487" s="17"/>
      <c r="OAM487" s="17"/>
      <c r="OAN487" s="17"/>
      <c r="OAO487" s="17"/>
      <c r="OAP487" s="17"/>
      <c r="OAQ487" s="17"/>
      <c r="OAR487" s="17"/>
      <c r="OAS487" s="17"/>
      <c r="OAT487" s="17"/>
      <c r="OAU487" s="17"/>
      <c r="OAV487" s="17"/>
      <c r="OAW487" s="17"/>
      <c r="OAX487" s="17"/>
      <c r="OAY487" s="17"/>
      <c r="OAZ487" s="17"/>
      <c r="OBA487" s="17"/>
      <c r="OBB487" s="17"/>
      <c r="OBC487" s="17"/>
      <c r="OBD487" s="17"/>
      <c r="OBE487" s="17"/>
      <c r="OBF487" s="17"/>
      <c r="OBG487" s="17"/>
      <c r="OBH487" s="17"/>
      <c r="OBI487" s="17"/>
      <c r="OBJ487" s="17"/>
      <c r="OBK487" s="17"/>
      <c r="OBL487" s="17"/>
      <c r="OBM487" s="17"/>
      <c r="OBN487" s="17"/>
      <c r="OBO487" s="17"/>
      <c r="OBP487" s="17"/>
      <c r="OBQ487" s="17"/>
      <c r="OBR487" s="17"/>
      <c r="OBS487" s="17"/>
      <c r="OBT487" s="17"/>
      <c r="OBU487" s="17"/>
      <c r="OBV487" s="17"/>
      <c r="OBW487" s="17"/>
      <c r="OBX487" s="17"/>
      <c r="OBY487" s="17"/>
      <c r="OBZ487" s="17"/>
      <c r="OCA487" s="17"/>
      <c r="OCB487" s="17"/>
      <c r="OCC487" s="17"/>
      <c r="OCD487" s="17"/>
      <c r="OCE487" s="17"/>
      <c r="OCF487" s="17"/>
      <c r="OCG487" s="17"/>
      <c r="OCH487" s="17"/>
      <c r="OCI487" s="17"/>
      <c r="OCJ487" s="17"/>
      <c r="OCK487" s="17"/>
      <c r="OCL487" s="17"/>
      <c r="OCM487" s="17"/>
      <c r="OCN487" s="17"/>
      <c r="OCO487" s="17"/>
      <c r="OCP487" s="17"/>
      <c r="OCQ487" s="17"/>
      <c r="OCR487" s="17"/>
      <c r="OCS487" s="17"/>
      <c r="OCT487" s="17"/>
      <c r="OCU487" s="17"/>
      <c r="OCV487" s="17"/>
      <c r="OCW487" s="17"/>
      <c r="OCX487" s="17"/>
      <c r="OCY487" s="17"/>
      <c r="OCZ487" s="17"/>
      <c r="ODA487" s="17"/>
      <c r="ODB487" s="17"/>
      <c r="ODC487" s="17"/>
      <c r="ODD487" s="17"/>
      <c r="ODE487" s="17"/>
      <c r="ODF487" s="17"/>
      <c r="ODG487" s="17"/>
      <c r="ODH487" s="17"/>
      <c r="ODI487" s="17"/>
      <c r="ODJ487" s="17"/>
      <c r="ODK487" s="17"/>
      <c r="ODL487" s="17"/>
      <c r="ODM487" s="17"/>
      <c r="ODN487" s="17"/>
      <c r="ODO487" s="17"/>
      <c r="ODP487" s="17"/>
      <c r="ODQ487" s="17"/>
      <c r="ODR487" s="17"/>
      <c r="ODS487" s="17"/>
      <c r="ODT487" s="17"/>
      <c r="ODU487" s="17"/>
      <c r="ODV487" s="17"/>
      <c r="ODW487" s="17"/>
      <c r="ODX487" s="17"/>
      <c r="ODY487" s="17"/>
      <c r="ODZ487" s="17"/>
      <c r="OEA487" s="17"/>
      <c r="OEB487" s="17"/>
      <c r="OEC487" s="17"/>
      <c r="OED487" s="17"/>
      <c r="OEE487" s="17"/>
      <c r="OEF487" s="17"/>
      <c r="OEG487" s="17"/>
      <c r="OEH487" s="17"/>
      <c r="OEI487" s="17"/>
      <c r="OEJ487" s="17"/>
      <c r="OEK487" s="17"/>
      <c r="OEL487" s="17"/>
      <c r="OEM487" s="17"/>
      <c r="OEN487" s="17"/>
      <c r="OEO487" s="17"/>
      <c r="OEP487" s="17"/>
      <c r="OEQ487" s="17"/>
      <c r="OER487" s="17"/>
      <c r="OES487" s="17"/>
      <c r="OET487" s="17"/>
      <c r="OEU487" s="17"/>
      <c r="OEV487" s="17"/>
      <c r="OEW487" s="17"/>
      <c r="OEX487" s="17"/>
      <c r="OEY487" s="17"/>
      <c r="OEZ487" s="17"/>
      <c r="OFA487" s="17"/>
      <c r="OFB487" s="17"/>
      <c r="OFC487" s="17"/>
      <c r="OFD487" s="17"/>
      <c r="OFE487" s="17"/>
      <c r="OFF487" s="17"/>
      <c r="OFG487" s="17"/>
      <c r="OFH487" s="17"/>
      <c r="OFI487" s="17"/>
      <c r="OFJ487" s="17"/>
      <c r="OFK487" s="17"/>
      <c r="OFL487" s="17"/>
      <c r="OFM487" s="17"/>
      <c r="OFN487" s="17"/>
      <c r="OFO487" s="17"/>
      <c r="OFP487" s="17"/>
      <c r="OFQ487" s="17"/>
      <c r="OFR487" s="17"/>
      <c r="OFS487" s="17"/>
      <c r="OFT487" s="17"/>
      <c r="OFU487" s="17"/>
      <c r="OFV487" s="17"/>
      <c r="OFW487" s="17"/>
      <c r="OFX487" s="17"/>
      <c r="OFY487" s="17"/>
      <c r="OFZ487" s="17"/>
      <c r="OGA487" s="17"/>
      <c r="OGB487" s="17"/>
      <c r="OGC487" s="17"/>
      <c r="OGD487" s="17"/>
      <c r="OGE487" s="17"/>
      <c r="OGF487" s="17"/>
      <c r="OGG487" s="17"/>
      <c r="OGH487" s="17"/>
      <c r="OGI487" s="17"/>
      <c r="OGJ487" s="17"/>
      <c r="OGK487" s="17"/>
      <c r="OGL487" s="17"/>
      <c r="OGM487" s="17"/>
      <c r="OGN487" s="17"/>
      <c r="OGO487" s="17"/>
      <c r="OGP487" s="17"/>
      <c r="OGQ487" s="17"/>
      <c r="OGR487" s="17"/>
      <c r="OGS487" s="17"/>
      <c r="OGT487" s="17"/>
      <c r="OGU487" s="17"/>
      <c r="OGV487" s="17"/>
      <c r="OGW487" s="17"/>
      <c r="OGX487" s="17"/>
      <c r="OGY487" s="17"/>
      <c r="OGZ487" s="17"/>
      <c r="OHA487" s="17"/>
      <c r="OHB487" s="17"/>
      <c r="OHC487" s="17"/>
      <c r="OHD487" s="17"/>
      <c r="OHE487" s="17"/>
      <c r="OHF487" s="17"/>
      <c r="OHG487" s="17"/>
      <c r="OHH487" s="17"/>
      <c r="OHI487" s="17"/>
      <c r="OHJ487" s="17"/>
      <c r="OHK487" s="17"/>
      <c r="OHL487" s="17"/>
      <c r="OHM487" s="17"/>
      <c r="OHN487" s="17"/>
      <c r="OHO487" s="17"/>
      <c r="OHP487" s="17"/>
      <c r="OHQ487" s="17"/>
      <c r="OHR487" s="17"/>
      <c r="OHS487" s="17"/>
      <c r="OHT487" s="17"/>
      <c r="OHU487" s="17"/>
      <c r="OHV487" s="17"/>
      <c r="OHW487" s="17"/>
      <c r="OHX487" s="17"/>
      <c r="OHY487" s="17"/>
      <c r="OHZ487" s="17"/>
      <c r="OIA487" s="17"/>
      <c r="OIB487" s="17"/>
      <c r="OIC487" s="17"/>
      <c r="OID487" s="17"/>
      <c r="OIE487" s="17"/>
      <c r="OIF487" s="17"/>
      <c r="OIG487" s="17"/>
      <c r="OIH487" s="17"/>
      <c r="OII487" s="17"/>
      <c r="OIJ487" s="17"/>
      <c r="OIK487" s="17"/>
      <c r="OIL487" s="17"/>
      <c r="OIM487" s="17"/>
      <c r="OIN487" s="17"/>
      <c r="OIO487" s="17"/>
      <c r="OIP487" s="17"/>
      <c r="OIQ487" s="17"/>
      <c r="OIR487" s="17"/>
      <c r="OIS487" s="17"/>
      <c r="OIT487" s="17"/>
      <c r="OIU487" s="17"/>
      <c r="OIV487" s="17"/>
      <c r="OIW487" s="17"/>
      <c r="OIX487" s="17"/>
      <c r="OIY487" s="17"/>
      <c r="OIZ487" s="17"/>
      <c r="OJA487" s="17"/>
      <c r="OJB487" s="17"/>
      <c r="OJC487" s="17"/>
      <c r="OJD487" s="17"/>
      <c r="OJE487" s="17"/>
      <c r="OJF487" s="17"/>
      <c r="OJG487" s="17"/>
      <c r="OJH487" s="17"/>
      <c r="OJI487" s="17"/>
      <c r="OJJ487" s="17"/>
      <c r="OJK487" s="17"/>
      <c r="OJL487" s="17"/>
      <c r="OJM487" s="17"/>
      <c r="OJN487" s="17"/>
      <c r="OJO487" s="17"/>
      <c r="OJP487" s="17"/>
      <c r="OJQ487" s="17"/>
      <c r="OJR487" s="17"/>
      <c r="OJS487" s="17"/>
      <c r="OJT487" s="17"/>
      <c r="OJU487" s="17"/>
      <c r="OJV487" s="17"/>
      <c r="OJW487" s="17"/>
      <c r="OJX487" s="17"/>
      <c r="OJY487" s="17"/>
      <c r="OJZ487" s="17"/>
      <c r="OKA487" s="17"/>
      <c r="OKB487" s="17"/>
      <c r="OKC487" s="17"/>
      <c r="OKD487" s="17"/>
      <c r="OKE487" s="17"/>
      <c r="OKF487" s="17"/>
      <c r="OKG487" s="17"/>
      <c r="OKH487" s="17"/>
      <c r="OKI487" s="17"/>
      <c r="OKJ487" s="17"/>
      <c r="OKK487" s="17"/>
      <c r="OKL487" s="17"/>
      <c r="OKM487" s="17"/>
      <c r="OKN487" s="17"/>
      <c r="OKO487" s="17"/>
      <c r="OKP487" s="17"/>
      <c r="OKQ487" s="17"/>
      <c r="OKR487" s="17"/>
      <c r="OKS487" s="17"/>
      <c r="OKT487" s="17"/>
      <c r="OKU487" s="17"/>
      <c r="OKV487" s="17"/>
      <c r="OKW487" s="17"/>
      <c r="OKX487" s="17"/>
      <c r="OKY487" s="17"/>
      <c r="OKZ487" s="17"/>
      <c r="OLA487" s="17"/>
      <c r="OLB487" s="17"/>
      <c r="OLC487" s="17"/>
      <c r="OLD487" s="17"/>
      <c r="OLE487" s="17"/>
      <c r="OLF487" s="17"/>
      <c r="OLG487" s="17"/>
      <c r="OLH487" s="17"/>
      <c r="OLI487" s="17"/>
      <c r="OLJ487" s="17"/>
      <c r="OLK487" s="17"/>
      <c r="OLL487" s="17"/>
      <c r="OLM487" s="17"/>
      <c r="OLN487" s="17"/>
      <c r="OLO487" s="17"/>
      <c r="OLP487" s="17"/>
      <c r="OLQ487" s="17"/>
      <c r="OLR487" s="17"/>
      <c r="OLS487" s="17"/>
      <c r="OLT487" s="17"/>
      <c r="OLU487" s="17"/>
      <c r="OLV487" s="17"/>
      <c r="OLW487" s="17"/>
      <c r="OLX487" s="17"/>
      <c r="OLY487" s="17"/>
      <c r="OLZ487" s="17"/>
      <c r="OMA487" s="17"/>
      <c r="OMB487" s="17"/>
      <c r="OMC487" s="17"/>
      <c r="OMD487" s="17"/>
      <c r="OME487" s="17"/>
      <c r="OMF487" s="17"/>
      <c r="OMG487" s="17"/>
      <c r="OMH487" s="17"/>
      <c r="OMI487" s="17"/>
      <c r="OMJ487" s="17"/>
      <c r="OMK487" s="17"/>
      <c r="OML487" s="17"/>
      <c r="OMM487" s="17"/>
      <c r="OMN487" s="17"/>
      <c r="OMO487" s="17"/>
      <c r="OMP487" s="17"/>
      <c r="OMQ487" s="17"/>
      <c r="OMR487" s="17"/>
      <c r="OMS487" s="17"/>
      <c r="OMT487" s="17"/>
      <c r="OMU487" s="17"/>
      <c r="OMV487" s="17"/>
      <c r="OMW487" s="17"/>
      <c r="OMX487" s="17"/>
      <c r="OMY487" s="17"/>
      <c r="OMZ487" s="17"/>
      <c r="ONA487" s="17"/>
      <c r="ONB487" s="17"/>
      <c r="ONC487" s="17"/>
      <c r="OND487" s="17"/>
      <c r="ONE487" s="17"/>
      <c r="ONF487" s="17"/>
      <c r="ONG487" s="17"/>
      <c r="ONH487" s="17"/>
      <c r="ONI487" s="17"/>
      <c r="ONJ487" s="17"/>
      <c r="ONK487" s="17"/>
      <c r="ONL487" s="17"/>
      <c r="ONM487" s="17"/>
      <c r="ONN487" s="17"/>
      <c r="ONO487" s="17"/>
      <c r="ONP487" s="17"/>
      <c r="ONQ487" s="17"/>
      <c r="ONR487" s="17"/>
      <c r="ONS487" s="17"/>
      <c r="ONT487" s="17"/>
      <c r="ONU487" s="17"/>
      <c r="ONV487" s="17"/>
      <c r="ONW487" s="17"/>
      <c r="ONX487" s="17"/>
      <c r="ONY487" s="17"/>
      <c r="ONZ487" s="17"/>
      <c r="OOA487" s="17"/>
      <c r="OOB487" s="17"/>
      <c r="OOC487" s="17"/>
      <c r="OOD487" s="17"/>
      <c r="OOE487" s="17"/>
      <c r="OOF487" s="17"/>
      <c r="OOG487" s="17"/>
      <c r="OOH487" s="17"/>
      <c r="OOI487" s="17"/>
      <c r="OOJ487" s="17"/>
      <c r="OOK487" s="17"/>
      <c r="OOL487" s="17"/>
      <c r="OOM487" s="17"/>
      <c r="OON487" s="17"/>
      <c r="OOO487" s="17"/>
      <c r="OOP487" s="17"/>
      <c r="OOQ487" s="17"/>
      <c r="OOR487" s="17"/>
      <c r="OOS487" s="17"/>
      <c r="OOT487" s="17"/>
      <c r="OOU487" s="17"/>
      <c r="OOV487" s="17"/>
      <c r="OOW487" s="17"/>
      <c r="OOX487" s="17"/>
      <c r="OOY487" s="17"/>
      <c r="OOZ487" s="17"/>
      <c r="OPA487" s="17"/>
      <c r="OPB487" s="17"/>
      <c r="OPC487" s="17"/>
      <c r="OPD487" s="17"/>
      <c r="OPE487" s="17"/>
      <c r="OPF487" s="17"/>
      <c r="OPG487" s="17"/>
      <c r="OPH487" s="17"/>
      <c r="OPI487" s="17"/>
      <c r="OPJ487" s="17"/>
      <c r="OPK487" s="17"/>
      <c r="OPL487" s="17"/>
      <c r="OPM487" s="17"/>
      <c r="OPN487" s="17"/>
      <c r="OPO487" s="17"/>
      <c r="OPP487" s="17"/>
      <c r="OPQ487" s="17"/>
      <c r="OPR487" s="17"/>
      <c r="OPS487" s="17"/>
      <c r="OPT487" s="17"/>
      <c r="OPU487" s="17"/>
      <c r="OPV487" s="17"/>
      <c r="OPW487" s="17"/>
      <c r="OPX487" s="17"/>
      <c r="OPY487" s="17"/>
      <c r="OPZ487" s="17"/>
      <c r="OQA487" s="17"/>
      <c r="OQB487" s="17"/>
      <c r="OQC487" s="17"/>
      <c r="OQD487" s="17"/>
      <c r="OQE487" s="17"/>
      <c r="OQF487" s="17"/>
      <c r="OQG487" s="17"/>
      <c r="OQH487" s="17"/>
      <c r="OQI487" s="17"/>
      <c r="OQJ487" s="17"/>
      <c r="OQK487" s="17"/>
      <c r="OQL487" s="17"/>
      <c r="OQM487" s="17"/>
      <c r="OQN487" s="17"/>
      <c r="OQO487" s="17"/>
      <c r="OQP487" s="17"/>
      <c r="OQQ487" s="17"/>
      <c r="OQR487" s="17"/>
      <c r="OQS487" s="17"/>
      <c r="OQT487" s="17"/>
      <c r="OQU487" s="17"/>
      <c r="OQV487" s="17"/>
      <c r="OQW487" s="17"/>
      <c r="OQX487" s="17"/>
      <c r="OQY487" s="17"/>
      <c r="OQZ487" s="17"/>
      <c r="ORA487" s="17"/>
      <c r="ORB487" s="17"/>
      <c r="ORC487" s="17"/>
      <c r="ORD487" s="17"/>
      <c r="ORE487" s="17"/>
      <c r="ORF487" s="17"/>
      <c r="ORG487" s="17"/>
      <c r="ORH487" s="17"/>
      <c r="ORI487" s="17"/>
      <c r="ORJ487" s="17"/>
      <c r="ORK487" s="17"/>
      <c r="ORL487" s="17"/>
      <c r="ORM487" s="17"/>
      <c r="ORN487" s="17"/>
      <c r="ORO487" s="17"/>
      <c r="ORP487" s="17"/>
      <c r="ORQ487" s="17"/>
      <c r="ORR487" s="17"/>
      <c r="ORS487" s="17"/>
      <c r="ORT487" s="17"/>
      <c r="ORU487" s="17"/>
      <c r="ORV487" s="17"/>
      <c r="ORW487" s="17"/>
      <c r="ORX487" s="17"/>
      <c r="ORY487" s="17"/>
      <c r="ORZ487" s="17"/>
      <c r="OSA487" s="17"/>
      <c r="OSB487" s="17"/>
      <c r="OSC487" s="17"/>
      <c r="OSD487" s="17"/>
      <c r="OSE487" s="17"/>
      <c r="OSF487" s="17"/>
      <c r="OSG487" s="17"/>
      <c r="OSH487" s="17"/>
      <c r="OSI487" s="17"/>
      <c r="OSJ487" s="17"/>
      <c r="OSK487" s="17"/>
      <c r="OSL487" s="17"/>
      <c r="OSM487" s="17"/>
      <c r="OSN487" s="17"/>
      <c r="OSO487" s="17"/>
      <c r="OSP487" s="17"/>
      <c r="OSQ487" s="17"/>
      <c r="OSR487" s="17"/>
      <c r="OSS487" s="17"/>
      <c r="OST487" s="17"/>
      <c r="OSU487" s="17"/>
      <c r="OSV487" s="17"/>
      <c r="OSW487" s="17"/>
      <c r="OSX487" s="17"/>
      <c r="OSY487" s="17"/>
      <c r="OSZ487" s="17"/>
      <c r="OTA487" s="17"/>
      <c r="OTB487" s="17"/>
      <c r="OTC487" s="17"/>
      <c r="OTD487" s="17"/>
      <c r="OTE487" s="17"/>
      <c r="OTF487" s="17"/>
      <c r="OTG487" s="17"/>
      <c r="OTH487" s="17"/>
      <c r="OTI487" s="17"/>
      <c r="OTJ487" s="17"/>
      <c r="OTK487" s="17"/>
      <c r="OTL487" s="17"/>
      <c r="OTM487" s="17"/>
      <c r="OTN487" s="17"/>
      <c r="OTO487" s="17"/>
      <c r="OTP487" s="17"/>
      <c r="OTQ487" s="17"/>
      <c r="OTR487" s="17"/>
      <c r="OTS487" s="17"/>
      <c r="OTT487" s="17"/>
      <c r="OTU487" s="17"/>
      <c r="OTV487" s="17"/>
      <c r="OTW487" s="17"/>
      <c r="OTX487" s="17"/>
      <c r="OTY487" s="17"/>
      <c r="OTZ487" s="17"/>
      <c r="OUA487" s="17"/>
      <c r="OUB487" s="17"/>
      <c r="OUC487" s="17"/>
      <c r="OUD487" s="17"/>
      <c r="OUE487" s="17"/>
      <c r="OUF487" s="17"/>
      <c r="OUG487" s="17"/>
      <c r="OUH487" s="17"/>
      <c r="OUI487" s="17"/>
      <c r="OUJ487" s="17"/>
      <c r="OUK487" s="17"/>
      <c r="OUL487" s="17"/>
      <c r="OUM487" s="17"/>
      <c r="OUN487" s="17"/>
      <c r="OUO487" s="17"/>
      <c r="OUP487" s="17"/>
      <c r="OUQ487" s="17"/>
      <c r="OUR487" s="17"/>
      <c r="OUS487" s="17"/>
      <c r="OUT487" s="17"/>
      <c r="OUU487" s="17"/>
      <c r="OUV487" s="17"/>
      <c r="OUW487" s="17"/>
      <c r="OUX487" s="17"/>
      <c r="OUY487" s="17"/>
      <c r="OUZ487" s="17"/>
      <c r="OVA487" s="17"/>
      <c r="OVB487" s="17"/>
      <c r="OVC487" s="17"/>
      <c r="OVD487" s="17"/>
      <c r="OVE487" s="17"/>
      <c r="OVF487" s="17"/>
      <c r="OVG487" s="17"/>
      <c r="OVH487" s="17"/>
      <c r="OVI487" s="17"/>
      <c r="OVJ487" s="17"/>
      <c r="OVK487" s="17"/>
      <c r="OVL487" s="17"/>
      <c r="OVM487" s="17"/>
      <c r="OVN487" s="17"/>
      <c r="OVO487" s="17"/>
      <c r="OVP487" s="17"/>
      <c r="OVQ487" s="17"/>
      <c r="OVR487" s="17"/>
      <c r="OVS487" s="17"/>
      <c r="OVT487" s="17"/>
      <c r="OVU487" s="17"/>
      <c r="OVV487" s="17"/>
      <c r="OVW487" s="17"/>
      <c r="OVX487" s="17"/>
      <c r="OVY487" s="17"/>
      <c r="OVZ487" s="17"/>
      <c r="OWA487" s="17"/>
      <c r="OWB487" s="17"/>
      <c r="OWC487" s="17"/>
      <c r="OWD487" s="17"/>
      <c r="OWE487" s="17"/>
      <c r="OWF487" s="17"/>
      <c r="OWG487" s="17"/>
      <c r="OWH487" s="17"/>
      <c r="OWI487" s="17"/>
      <c r="OWJ487" s="17"/>
      <c r="OWK487" s="17"/>
      <c r="OWL487" s="17"/>
      <c r="OWM487" s="17"/>
      <c r="OWN487" s="17"/>
      <c r="OWO487" s="17"/>
      <c r="OWP487" s="17"/>
      <c r="OWQ487" s="17"/>
      <c r="OWR487" s="17"/>
      <c r="OWS487" s="17"/>
      <c r="OWT487" s="17"/>
      <c r="OWU487" s="17"/>
      <c r="OWV487" s="17"/>
      <c r="OWW487" s="17"/>
      <c r="OWX487" s="17"/>
      <c r="OWY487" s="17"/>
      <c r="OWZ487" s="17"/>
      <c r="OXA487" s="17"/>
      <c r="OXB487" s="17"/>
      <c r="OXC487" s="17"/>
      <c r="OXD487" s="17"/>
      <c r="OXE487" s="17"/>
      <c r="OXF487" s="17"/>
      <c r="OXG487" s="17"/>
      <c r="OXH487" s="17"/>
      <c r="OXI487" s="17"/>
      <c r="OXJ487" s="17"/>
      <c r="OXK487" s="17"/>
      <c r="OXL487" s="17"/>
      <c r="OXM487" s="17"/>
      <c r="OXN487" s="17"/>
      <c r="OXO487" s="17"/>
      <c r="OXP487" s="17"/>
      <c r="OXQ487" s="17"/>
      <c r="OXR487" s="17"/>
      <c r="OXS487" s="17"/>
      <c r="OXT487" s="17"/>
      <c r="OXU487" s="17"/>
      <c r="OXV487" s="17"/>
      <c r="OXW487" s="17"/>
      <c r="OXX487" s="17"/>
      <c r="OXY487" s="17"/>
      <c r="OXZ487" s="17"/>
      <c r="OYA487" s="17"/>
      <c r="OYB487" s="17"/>
      <c r="OYC487" s="17"/>
      <c r="OYD487" s="17"/>
      <c r="OYE487" s="17"/>
      <c r="OYF487" s="17"/>
      <c r="OYG487" s="17"/>
      <c r="OYH487" s="17"/>
      <c r="OYI487" s="17"/>
      <c r="OYJ487" s="17"/>
      <c r="OYK487" s="17"/>
      <c r="OYL487" s="17"/>
      <c r="OYM487" s="17"/>
      <c r="OYN487" s="17"/>
      <c r="OYO487" s="17"/>
      <c r="OYP487" s="17"/>
      <c r="OYQ487" s="17"/>
      <c r="OYR487" s="17"/>
      <c r="OYS487" s="17"/>
      <c r="OYT487" s="17"/>
      <c r="OYU487" s="17"/>
      <c r="OYV487" s="17"/>
      <c r="OYW487" s="17"/>
      <c r="OYX487" s="17"/>
      <c r="OYY487" s="17"/>
      <c r="OYZ487" s="17"/>
      <c r="OZA487" s="17"/>
      <c r="OZB487" s="17"/>
      <c r="OZC487" s="17"/>
      <c r="OZD487" s="17"/>
      <c r="OZE487" s="17"/>
      <c r="OZF487" s="17"/>
      <c r="OZG487" s="17"/>
      <c r="OZH487" s="17"/>
      <c r="OZI487" s="17"/>
      <c r="OZJ487" s="17"/>
      <c r="OZK487" s="17"/>
      <c r="OZL487" s="17"/>
      <c r="OZM487" s="17"/>
      <c r="OZN487" s="17"/>
      <c r="OZO487" s="17"/>
      <c r="OZP487" s="17"/>
      <c r="OZQ487" s="17"/>
      <c r="OZR487" s="17"/>
      <c r="OZS487" s="17"/>
      <c r="OZT487" s="17"/>
      <c r="OZU487" s="17"/>
      <c r="OZV487" s="17"/>
      <c r="OZW487" s="17"/>
      <c r="OZX487" s="17"/>
      <c r="OZY487" s="17"/>
      <c r="OZZ487" s="17"/>
      <c r="PAA487" s="17"/>
      <c r="PAB487" s="17"/>
      <c r="PAC487" s="17"/>
      <c r="PAD487" s="17"/>
      <c r="PAE487" s="17"/>
      <c r="PAF487" s="17"/>
      <c r="PAG487" s="17"/>
      <c r="PAH487" s="17"/>
      <c r="PAI487" s="17"/>
      <c r="PAJ487" s="17"/>
      <c r="PAK487" s="17"/>
      <c r="PAL487" s="17"/>
      <c r="PAM487" s="17"/>
      <c r="PAN487" s="17"/>
      <c r="PAO487" s="17"/>
      <c r="PAP487" s="17"/>
      <c r="PAQ487" s="17"/>
      <c r="PAR487" s="17"/>
      <c r="PAS487" s="17"/>
      <c r="PAT487" s="17"/>
      <c r="PAU487" s="17"/>
      <c r="PAV487" s="17"/>
      <c r="PAW487" s="17"/>
      <c r="PAX487" s="17"/>
      <c r="PAY487" s="17"/>
      <c r="PAZ487" s="17"/>
      <c r="PBA487" s="17"/>
      <c r="PBB487" s="17"/>
      <c r="PBC487" s="17"/>
      <c r="PBD487" s="17"/>
      <c r="PBE487" s="17"/>
      <c r="PBF487" s="17"/>
      <c r="PBG487" s="17"/>
      <c r="PBH487" s="17"/>
      <c r="PBI487" s="17"/>
      <c r="PBJ487" s="17"/>
      <c r="PBK487" s="17"/>
      <c r="PBL487" s="17"/>
      <c r="PBM487" s="17"/>
      <c r="PBN487" s="17"/>
      <c r="PBO487" s="17"/>
      <c r="PBP487" s="17"/>
      <c r="PBQ487" s="17"/>
      <c r="PBR487" s="17"/>
      <c r="PBS487" s="17"/>
      <c r="PBT487" s="17"/>
      <c r="PBU487" s="17"/>
      <c r="PBV487" s="17"/>
      <c r="PBW487" s="17"/>
      <c r="PBX487" s="17"/>
      <c r="PBY487" s="17"/>
      <c r="PBZ487" s="17"/>
      <c r="PCA487" s="17"/>
      <c r="PCB487" s="17"/>
      <c r="PCC487" s="17"/>
      <c r="PCD487" s="17"/>
      <c r="PCE487" s="17"/>
      <c r="PCF487" s="17"/>
      <c r="PCG487" s="17"/>
      <c r="PCH487" s="17"/>
      <c r="PCI487" s="17"/>
      <c r="PCJ487" s="17"/>
      <c r="PCK487" s="17"/>
      <c r="PCL487" s="17"/>
      <c r="PCM487" s="17"/>
      <c r="PCN487" s="17"/>
      <c r="PCO487" s="17"/>
      <c r="PCP487" s="17"/>
      <c r="PCQ487" s="17"/>
      <c r="PCR487" s="17"/>
      <c r="PCS487" s="17"/>
      <c r="PCT487" s="17"/>
      <c r="PCU487" s="17"/>
      <c r="PCV487" s="17"/>
      <c r="PCW487" s="17"/>
      <c r="PCX487" s="17"/>
      <c r="PCY487" s="17"/>
      <c r="PCZ487" s="17"/>
      <c r="PDA487" s="17"/>
      <c r="PDB487" s="17"/>
      <c r="PDC487" s="17"/>
      <c r="PDD487" s="17"/>
      <c r="PDE487" s="17"/>
      <c r="PDF487" s="17"/>
      <c r="PDG487" s="17"/>
      <c r="PDH487" s="17"/>
      <c r="PDI487" s="17"/>
      <c r="PDJ487" s="17"/>
      <c r="PDK487" s="17"/>
      <c r="PDL487" s="17"/>
      <c r="PDM487" s="17"/>
      <c r="PDN487" s="17"/>
      <c r="PDO487" s="17"/>
      <c r="PDP487" s="17"/>
      <c r="PDQ487" s="17"/>
      <c r="PDR487" s="17"/>
      <c r="PDS487" s="17"/>
      <c r="PDT487" s="17"/>
      <c r="PDU487" s="17"/>
      <c r="PDV487" s="17"/>
      <c r="PDW487" s="17"/>
      <c r="PDX487" s="17"/>
      <c r="PDY487" s="17"/>
      <c r="PDZ487" s="17"/>
      <c r="PEA487" s="17"/>
      <c r="PEB487" s="17"/>
      <c r="PEC487" s="17"/>
      <c r="PED487" s="17"/>
      <c r="PEE487" s="17"/>
      <c r="PEF487" s="17"/>
      <c r="PEG487" s="17"/>
      <c r="PEH487" s="17"/>
      <c r="PEI487" s="17"/>
      <c r="PEJ487" s="17"/>
      <c r="PEK487" s="17"/>
      <c r="PEL487" s="17"/>
      <c r="PEM487" s="17"/>
      <c r="PEN487" s="17"/>
      <c r="PEO487" s="17"/>
      <c r="PEP487" s="17"/>
      <c r="PEQ487" s="17"/>
      <c r="PER487" s="17"/>
      <c r="PES487" s="17"/>
      <c r="PET487" s="17"/>
      <c r="PEU487" s="17"/>
      <c r="PEV487" s="17"/>
      <c r="PEW487" s="17"/>
      <c r="PEX487" s="17"/>
      <c r="PEY487" s="17"/>
      <c r="PEZ487" s="17"/>
      <c r="PFA487" s="17"/>
      <c r="PFB487" s="17"/>
      <c r="PFC487" s="17"/>
      <c r="PFD487" s="17"/>
      <c r="PFE487" s="17"/>
      <c r="PFF487" s="17"/>
      <c r="PFG487" s="17"/>
      <c r="PFH487" s="17"/>
      <c r="PFI487" s="17"/>
      <c r="PFJ487" s="17"/>
      <c r="PFK487" s="17"/>
      <c r="PFL487" s="17"/>
      <c r="PFM487" s="17"/>
      <c r="PFN487" s="17"/>
      <c r="PFO487" s="17"/>
      <c r="PFP487" s="17"/>
      <c r="PFQ487" s="17"/>
      <c r="PFR487" s="17"/>
      <c r="PFS487" s="17"/>
      <c r="PFT487" s="17"/>
      <c r="PFU487" s="17"/>
      <c r="PFV487" s="17"/>
      <c r="PFW487" s="17"/>
      <c r="PFX487" s="17"/>
      <c r="PFY487" s="17"/>
      <c r="PFZ487" s="17"/>
      <c r="PGA487" s="17"/>
      <c r="PGB487" s="17"/>
      <c r="PGC487" s="17"/>
      <c r="PGD487" s="17"/>
      <c r="PGE487" s="17"/>
      <c r="PGF487" s="17"/>
      <c r="PGG487" s="17"/>
      <c r="PGH487" s="17"/>
      <c r="PGI487" s="17"/>
      <c r="PGJ487" s="17"/>
      <c r="PGK487" s="17"/>
      <c r="PGL487" s="17"/>
      <c r="PGM487" s="17"/>
      <c r="PGN487" s="17"/>
      <c r="PGO487" s="17"/>
      <c r="PGP487" s="17"/>
      <c r="PGQ487" s="17"/>
      <c r="PGR487" s="17"/>
      <c r="PGS487" s="17"/>
      <c r="PGT487" s="17"/>
      <c r="PGU487" s="17"/>
      <c r="PGV487" s="17"/>
      <c r="PGW487" s="17"/>
      <c r="PGX487" s="17"/>
      <c r="PGY487" s="17"/>
      <c r="PGZ487" s="17"/>
      <c r="PHA487" s="17"/>
      <c r="PHB487" s="17"/>
      <c r="PHC487" s="17"/>
      <c r="PHD487" s="17"/>
      <c r="PHE487" s="17"/>
      <c r="PHF487" s="17"/>
      <c r="PHG487" s="17"/>
      <c r="PHH487" s="17"/>
      <c r="PHI487" s="17"/>
      <c r="PHJ487" s="17"/>
      <c r="PHK487" s="17"/>
      <c r="PHL487" s="17"/>
      <c r="PHM487" s="17"/>
      <c r="PHN487" s="17"/>
      <c r="PHO487" s="17"/>
      <c r="PHP487" s="17"/>
      <c r="PHQ487" s="17"/>
      <c r="PHR487" s="17"/>
      <c r="PHS487" s="17"/>
      <c r="PHT487" s="17"/>
      <c r="PHU487" s="17"/>
      <c r="PHV487" s="17"/>
      <c r="PHW487" s="17"/>
      <c r="PHX487" s="17"/>
      <c r="PHY487" s="17"/>
      <c r="PHZ487" s="17"/>
      <c r="PIA487" s="17"/>
      <c r="PIB487" s="17"/>
      <c r="PIC487" s="17"/>
      <c r="PID487" s="17"/>
      <c r="PIE487" s="17"/>
      <c r="PIF487" s="17"/>
      <c r="PIG487" s="17"/>
      <c r="PIH487" s="17"/>
      <c r="PII487" s="17"/>
      <c r="PIJ487" s="17"/>
      <c r="PIK487" s="17"/>
      <c r="PIL487" s="17"/>
      <c r="PIM487" s="17"/>
      <c r="PIN487" s="17"/>
      <c r="PIO487" s="17"/>
      <c r="PIP487" s="17"/>
      <c r="PIQ487" s="17"/>
      <c r="PIR487" s="17"/>
      <c r="PIS487" s="17"/>
      <c r="PIT487" s="17"/>
      <c r="PIU487" s="17"/>
      <c r="PIV487" s="17"/>
      <c r="PIW487" s="17"/>
      <c r="PIX487" s="17"/>
      <c r="PIY487" s="17"/>
      <c r="PIZ487" s="17"/>
      <c r="PJA487" s="17"/>
      <c r="PJB487" s="17"/>
      <c r="PJC487" s="17"/>
      <c r="PJD487" s="17"/>
      <c r="PJE487" s="17"/>
      <c r="PJF487" s="17"/>
      <c r="PJG487" s="17"/>
      <c r="PJH487" s="17"/>
      <c r="PJI487" s="17"/>
      <c r="PJJ487" s="17"/>
      <c r="PJK487" s="17"/>
      <c r="PJL487" s="17"/>
      <c r="PJM487" s="17"/>
      <c r="PJN487" s="17"/>
      <c r="PJO487" s="17"/>
      <c r="PJP487" s="17"/>
      <c r="PJQ487" s="17"/>
      <c r="PJR487" s="17"/>
      <c r="PJS487" s="17"/>
      <c r="PJT487" s="17"/>
      <c r="PJU487" s="17"/>
      <c r="PJV487" s="17"/>
      <c r="PJW487" s="17"/>
      <c r="PJX487" s="17"/>
      <c r="PJY487" s="17"/>
      <c r="PJZ487" s="17"/>
      <c r="PKA487" s="17"/>
      <c r="PKB487" s="17"/>
      <c r="PKC487" s="17"/>
      <c r="PKD487" s="17"/>
      <c r="PKE487" s="17"/>
      <c r="PKF487" s="17"/>
      <c r="PKG487" s="17"/>
      <c r="PKH487" s="17"/>
      <c r="PKI487" s="17"/>
      <c r="PKJ487" s="17"/>
      <c r="PKK487" s="17"/>
      <c r="PKL487" s="17"/>
      <c r="PKM487" s="17"/>
      <c r="PKN487" s="17"/>
      <c r="PKO487" s="17"/>
      <c r="PKP487" s="17"/>
      <c r="PKQ487" s="17"/>
      <c r="PKR487" s="17"/>
      <c r="PKS487" s="17"/>
      <c r="PKT487" s="17"/>
      <c r="PKU487" s="17"/>
      <c r="PKV487" s="17"/>
      <c r="PKW487" s="17"/>
      <c r="PKX487" s="17"/>
      <c r="PKY487" s="17"/>
      <c r="PKZ487" s="17"/>
      <c r="PLA487" s="17"/>
      <c r="PLB487" s="17"/>
      <c r="PLC487" s="17"/>
      <c r="PLD487" s="17"/>
      <c r="PLE487" s="17"/>
      <c r="PLF487" s="17"/>
      <c r="PLG487" s="17"/>
      <c r="PLH487" s="17"/>
      <c r="PLI487" s="17"/>
      <c r="PLJ487" s="17"/>
      <c r="PLK487" s="17"/>
      <c r="PLL487" s="17"/>
      <c r="PLM487" s="17"/>
      <c r="PLN487" s="17"/>
      <c r="PLO487" s="17"/>
      <c r="PLP487" s="17"/>
      <c r="PLQ487" s="17"/>
      <c r="PLR487" s="17"/>
      <c r="PLS487" s="17"/>
      <c r="PLT487" s="17"/>
      <c r="PLU487" s="17"/>
      <c r="PLV487" s="17"/>
      <c r="PLW487" s="17"/>
      <c r="PLX487" s="17"/>
      <c r="PLY487" s="17"/>
      <c r="PLZ487" s="17"/>
      <c r="PMA487" s="17"/>
      <c r="PMB487" s="17"/>
      <c r="PMC487" s="17"/>
      <c r="PMD487" s="17"/>
      <c r="PME487" s="17"/>
      <c r="PMF487" s="17"/>
      <c r="PMG487" s="17"/>
      <c r="PMH487" s="17"/>
      <c r="PMI487" s="17"/>
      <c r="PMJ487" s="17"/>
      <c r="PMK487" s="17"/>
      <c r="PML487" s="17"/>
      <c r="PMM487" s="17"/>
      <c r="PMN487" s="17"/>
      <c r="PMO487" s="17"/>
      <c r="PMP487" s="17"/>
      <c r="PMQ487" s="17"/>
      <c r="PMR487" s="17"/>
      <c r="PMS487" s="17"/>
      <c r="PMT487" s="17"/>
      <c r="PMU487" s="17"/>
      <c r="PMV487" s="17"/>
      <c r="PMW487" s="17"/>
      <c r="PMX487" s="17"/>
      <c r="PMY487" s="17"/>
      <c r="PMZ487" s="17"/>
      <c r="PNA487" s="17"/>
      <c r="PNB487" s="17"/>
      <c r="PNC487" s="17"/>
      <c r="PND487" s="17"/>
      <c r="PNE487" s="17"/>
      <c r="PNF487" s="17"/>
      <c r="PNG487" s="17"/>
      <c r="PNH487" s="17"/>
      <c r="PNI487" s="17"/>
      <c r="PNJ487" s="17"/>
      <c r="PNK487" s="17"/>
      <c r="PNL487" s="17"/>
      <c r="PNM487" s="17"/>
      <c r="PNN487" s="17"/>
      <c r="PNO487" s="17"/>
      <c r="PNP487" s="17"/>
      <c r="PNQ487" s="17"/>
      <c r="PNR487" s="17"/>
      <c r="PNS487" s="17"/>
      <c r="PNT487" s="17"/>
      <c r="PNU487" s="17"/>
      <c r="PNV487" s="17"/>
      <c r="PNW487" s="17"/>
      <c r="PNX487" s="17"/>
      <c r="PNY487" s="17"/>
      <c r="PNZ487" s="17"/>
      <c r="POA487" s="17"/>
      <c r="POB487" s="17"/>
      <c r="POC487" s="17"/>
      <c r="POD487" s="17"/>
      <c r="POE487" s="17"/>
      <c r="POF487" s="17"/>
      <c r="POG487" s="17"/>
      <c r="POH487" s="17"/>
      <c r="POI487" s="17"/>
      <c r="POJ487" s="17"/>
      <c r="POK487" s="17"/>
      <c r="POL487" s="17"/>
      <c r="POM487" s="17"/>
      <c r="PON487" s="17"/>
      <c r="POO487" s="17"/>
      <c r="POP487" s="17"/>
      <c r="POQ487" s="17"/>
      <c r="POR487" s="17"/>
      <c r="POS487" s="17"/>
      <c r="POT487" s="17"/>
      <c r="POU487" s="17"/>
      <c r="POV487" s="17"/>
      <c r="POW487" s="17"/>
      <c r="POX487" s="17"/>
      <c r="POY487" s="17"/>
      <c r="POZ487" s="17"/>
      <c r="PPA487" s="17"/>
      <c r="PPB487" s="17"/>
      <c r="PPC487" s="17"/>
      <c r="PPD487" s="17"/>
      <c r="PPE487" s="17"/>
      <c r="PPF487" s="17"/>
      <c r="PPG487" s="17"/>
      <c r="PPH487" s="17"/>
      <c r="PPI487" s="17"/>
      <c r="PPJ487" s="17"/>
      <c r="PPK487" s="17"/>
      <c r="PPL487" s="17"/>
      <c r="PPM487" s="17"/>
      <c r="PPN487" s="17"/>
      <c r="PPO487" s="17"/>
      <c r="PPP487" s="17"/>
      <c r="PPQ487" s="17"/>
      <c r="PPR487" s="17"/>
      <c r="PPS487" s="17"/>
      <c r="PPT487" s="17"/>
      <c r="PPU487" s="17"/>
      <c r="PPV487" s="17"/>
      <c r="PPW487" s="17"/>
      <c r="PPX487" s="17"/>
      <c r="PPY487" s="17"/>
      <c r="PPZ487" s="17"/>
      <c r="PQA487" s="17"/>
      <c r="PQB487" s="17"/>
      <c r="PQC487" s="17"/>
      <c r="PQD487" s="17"/>
      <c r="PQE487" s="17"/>
      <c r="PQF487" s="17"/>
      <c r="PQG487" s="17"/>
      <c r="PQH487" s="17"/>
      <c r="PQI487" s="17"/>
      <c r="PQJ487" s="17"/>
      <c r="PQK487" s="17"/>
      <c r="PQL487" s="17"/>
      <c r="PQM487" s="17"/>
      <c r="PQN487" s="17"/>
      <c r="PQO487" s="17"/>
      <c r="PQP487" s="17"/>
      <c r="PQQ487" s="17"/>
      <c r="PQR487" s="17"/>
      <c r="PQS487" s="17"/>
      <c r="PQT487" s="17"/>
      <c r="PQU487" s="17"/>
      <c r="PQV487" s="17"/>
      <c r="PQW487" s="17"/>
      <c r="PQX487" s="17"/>
      <c r="PQY487" s="17"/>
      <c r="PQZ487" s="17"/>
      <c r="PRA487" s="17"/>
      <c r="PRB487" s="17"/>
      <c r="PRC487" s="17"/>
      <c r="PRD487" s="17"/>
      <c r="PRE487" s="17"/>
      <c r="PRF487" s="17"/>
      <c r="PRG487" s="17"/>
      <c r="PRH487" s="17"/>
      <c r="PRI487" s="17"/>
      <c r="PRJ487" s="17"/>
      <c r="PRK487" s="17"/>
      <c r="PRL487" s="17"/>
      <c r="PRM487" s="17"/>
      <c r="PRN487" s="17"/>
      <c r="PRO487" s="17"/>
      <c r="PRP487" s="17"/>
      <c r="PRQ487" s="17"/>
      <c r="PRR487" s="17"/>
      <c r="PRS487" s="17"/>
      <c r="PRT487" s="17"/>
      <c r="PRU487" s="17"/>
      <c r="PRV487" s="17"/>
      <c r="PRW487" s="17"/>
      <c r="PRX487" s="17"/>
      <c r="PRY487" s="17"/>
      <c r="PRZ487" s="17"/>
      <c r="PSA487" s="17"/>
      <c r="PSB487" s="17"/>
      <c r="PSC487" s="17"/>
      <c r="PSD487" s="17"/>
      <c r="PSE487" s="17"/>
      <c r="PSF487" s="17"/>
      <c r="PSG487" s="17"/>
      <c r="PSH487" s="17"/>
      <c r="PSI487" s="17"/>
      <c r="PSJ487" s="17"/>
      <c r="PSK487" s="17"/>
      <c r="PSL487" s="17"/>
      <c r="PSM487" s="17"/>
      <c r="PSN487" s="17"/>
      <c r="PSO487" s="17"/>
      <c r="PSP487" s="17"/>
      <c r="PSQ487" s="17"/>
      <c r="PSR487" s="17"/>
      <c r="PSS487" s="17"/>
      <c r="PST487" s="17"/>
      <c r="PSU487" s="17"/>
      <c r="PSV487" s="17"/>
      <c r="PSW487" s="17"/>
      <c r="PSX487" s="17"/>
      <c r="PSY487" s="17"/>
      <c r="PSZ487" s="17"/>
      <c r="PTA487" s="17"/>
      <c r="PTB487" s="17"/>
      <c r="PTC487" s="17"/>
      <c r="PTD487" s="17"/>
      <c r="PTE487" s="17"/>
      <c r="PTF487" s="17"/>
      <c r="PTG487" s="17"/>
      <c r="PTH487" s="17"/>
      <c r="PTI487" s="17"/>
      <c r="PTJ487" s="17"/>
      <c r="PTK487" s="17"/>
      <c r="PTL487" s="17"/>
      <c r="PTM487" s="17"/>
      <c r="PTN487" s="17"/>
      <c r="PTO487" s="17"/>
      <c r="PTP487" s="17"/>
      <c r="PTQ487" s="17"/>
      <c r="PTR487" s="17"/>
      <c r="PTS487" s="17"/>
      <c r="PTT487" s="17"/>
      <c r="PTU487" s="17"/>
      <c r="PTV487" s="17"/>
      <c r="PTW487" s="17"/>
      <c r="PTX487" s="17"/>
      <c r="PTY487" s="17"/>
      <c r="PTZ487" s="17"/>
      <c r="PUA487" s="17"/>
      <c r="PUB487" s="17"/>
      <c r="PUC487" s="17"/>
      <c r="PUD487" s="17"/>
      <c r="PUE487" s="17"/>
      <c r="PUF487" s="17"/>
      <c r="PUG487" s="17"/>
      <c r="PUH487" s="17"/>
      <c r="PUI487" s="17"/>
      <c r="PUJ487" s="17"/>
      <c r="PUK487" s="17"/>
      <c r="PUL487" s="17"/>
      <c r="PUM487" s="17"/>
      <c r="PUN487" s="17"/>
      <c r="PUO487" s="17"/>
      <c r="PUP487" s="17"/>
      <c r="PUQ487" s="17"/>
      <c r="PUR487" s="17"/>
      <c r="PUS487" s="17"/>
      <c r="PUT487" s="17"/>
      <c r="PUU487" s="17"/>
      <c r="PUV487" s="17"/>
      <c r="PUW487" s="17"/>
      <c r="PUX487" s="17"/>
      <c r="PUY487" s="17"/>
      <c r="PUZ487" s="17"/>
      <c r="PVA487" s="17"/>
      <c r="PVB487" s="17"/>
      <c r="PVC487" s="17"/>
      <c r="PVD487" s="17"/>
      <c r="PVE487" s="17"/>
      <c r="PVF487" s="17"/>
      <c r="PVG487" s="17"/>
      <c r="PVH487" s="17"/>
      <c r="PVI487" s="17"/>
      <c r="PVJ487" s="17"/>
      <c r="PVK487" s="17"/>
      <c r="PVL487" s="17"/>
      <c r="PVM487" s="17"/>
      <c r="PVN487" s="17"/>
      <c r="PVO487" s="17"/>
      <c r="PVP487" s="17"/>
      <c r="PVQ487" s="17"/>
      <c r="PVR487" s="17"/>
      <c r="PVS487" s="17"/>
      <c r="PVT487" s="17"/>
      <c r="PVU487" s="17"/>
      <c r="PVV487" s="17"/>
      <c r="PVW487" s="17"/>
      <c r="PVX487" s="17"/>
      <c r="PVY487" s="17"/>
      <c r="PVZ487" s="17"/>
      <c r="PWA487" s="17"/>
      <c r="PWB487" s="17"/>
      <c r="PWC487" s="17"/>
      <c r="PWD487" s="17"/>
      <c r="PWE487" s="17"/>
      <c r="PWF487" s="17"/>
      <c r="PWG487" s="17"/>
      <c r="PWH487" s="17"/>
      <c r="PWI487" s="17"/>
      <c r="PWJ487" s="17"/>
      <c r="PWK487" s="17"/>
      <c r="PWL487" s="17"/>
      <c r="PWM487" s="17"/>
      <c r="PWN487" s="17"/>
      <c r="PWO487" s="17"/>
      <c r="PWP487" s="17"/>
      <c r="PWQ487" s="17"/>
      <c r="PWR487" s="17"/>
      <c r="PWS487" s="17"/>
      <c r="PWT487" s="17"/>
      <c r="PWU487" s="17"/>
      <c r="PWV487" s="17"/>
      <c r="PWW487" s="17"/>
      <c r="PWX487" s="17"/>
      <c r="PWY487" s="17"/>
      <c r="PWZ487" s="17"/>
      <c r="PXA487" s="17"/>
      <c r="PXB487" s="17"/>
      <c r="PXC487" s="17"/>
      <c r="PXD487" s="17"/>
      <c r="PXE487" s="17"/>
      <c r="PXF487" s="17"/>
      <c r="PXG487" s="17"/>
      <c r="PXH487" s="17"/>
      <c r="PXI487" s="17"/>
      <c r="PXJ487" s="17"/>
      <c r="PXK487" s="17"/>
      <c r="PXL487" s="17"/>
      <c r="PXM487" s="17"/>
      <c r="PXN487" s="17"/>
      <c r="PXO487" s="17"/>
      <c r="PXP487" s="17"/>
      <c r="PXQ487" s="17"/>
      <c r="PXR487" s="17"/>
      <c r="PXS487" s="17"/>
      <c r="PXT487" s="17"/>
      <c r="PXU487" s="17"/>
      <c r="PXV487" s="17"/>
      <c r="PXW487" s="17"/>
      <c r="PXX487" s="17"/>
      <c r="PXY487" s="17"/>
      <c r="PXZ487" s="17"/>
      <c r="PYA487" s="17"/>
      <c r="PYB487" s="17"/>
      <c r="PYC487" s="17"/>
      <c r="PYD487" s="17"/>
      <c r="PYE487" s="17"/>
      <c r="PYF487" s="17"/>
      <c r="PYG487" s="17"/>
      <c r="PYH487" s="17"/>
      <c r="PYI487" s="17"/>
      <c r="PYJ487" s="17"/>
      <c r="PYK487" s="17"/>
      <c r="PYL487" s="17"/>
      <c r="PYM487" s="17"/>
      <c r="PYN487" s="17"/>
      <c r="PYO487" s="17"/>
      <c r="PYP487" s="17"/>
      <c r="PYQ487" s="17"/>
      <c r="PYR487" s="17"/>
      <c r="PYS487" s="17"/>
      <c r="PYT487" s="17"/>
      <c r="PYU487" s="17"/>
      <c r="PYV487" s="17"/>
      <c r="PYW487" s="17"/>
      <c r="PYX487" s="17"/>
      <c r="PYY487" s="17"/>
      <c r="PYZ487" s="17"/>
      <c r="PZA487" s="17"/>
      <c r="PZB487" s="17"/>
      <c r="PZC487" s="17"/>
      <c r="PZD487" s="17"/>
      <c r="PZE487" s="17"/>
      <c r="PZF487" s="17"/>
      <c r="PZG487" s="17"/>
      <c r="PZH487" s="17"/>
      <c r="PZI487" s="17"/>
      <c r="PZJ487" s="17"/>
      <c r="PZK487" s="17"/>
      <c r="PZL487" s="17"/>
      <c r="PZM487" s="17"/>
      <c r="PZN487" s="17"/>
      <c r="PZO487" s="17"/>
      <c r="PZP487" s="17"/>
      <c r="PZQ487" s="17"/>
      <c r="PZR487" s="17"/>
      <c r="PZS487" s="17"/>
      <c r="PZT487" s="17"/>
      <c r="PZU487" s="17"/>
      <c r="PZV487" s="17"/>
      <c r="PZW487" s="17"/>
      <c r="PZX487" s="17"/>
      <c r="PZY487" s="17"/>
      <c r="PZZ487" s="17"/>
      <c r="QAA487" s="17"/>
      <c r="QAB487" s="17"/>
      <c r="QAC487" s="17"/>
      <c r="QAD487" s="17"/>
      <c r="QAE487" s="17"/>
      <c r="QAF487" s="17"/>
      <c r="QAG487" s="17"/>
      <c r="QAH487" s="17"/>
      <c r="QAI487" s="17"/>
      <c r="QAJ487" s="17"/>
      <c r="QAK487" s="17"/>
      <c r="QAL487" s="17"/>
      <c r="QAM487" s="17"/>
      <c r="QAN487" s="17"/>
      <c r="QAO487" s="17"/>
      <c r="QAP487" s="17"/>
      <c r="QAQ487" s="17"/>
      <c r="QAR487" s="17"/>
      <c r="QAS487" s="17"/>
      <c r="QAT487" s="17"/>
      <c r="QAU487" s="17"/>
      <c r="QAV487" s="17"/>
      <c r="QAW487" s="17"/>
      <c r="QAX487" s="17"/>
      <c r="QAY487" s="17"/>
      <c r="QAZ487" s="17"/>
      <c r="QBA487" s="17"/>
      <c r="QBB487" s="17"/>
      <c r="QBC487" s="17"/>
      <c r="QBD487" s="17"/>
      <c r="QBE487" s="17"/>
      <c r="QBF487" s="17"/>
      <c r="QBG487" s="17"/>
      <c r="QBH487" s="17"/>
      <c r="QBI487" s="17"/>
      <c r="QBJ487" s="17"/>
      <c r="QBK487" s="17"/>
      <c r="QBL487" s="17"/>
      <c r="QBM487" s="17"/>
      <c r="QBN487" s="17"/>
      <c r="QBO487" s="17"/>
      <c r="QBP487" s="17"/>
      <c r="QBQ487" s="17"/>
      <c r="QBR487" s="17"/>
      <c r="QBS487" s="17"/>
      <c r="QBT487" s="17"/>
      <c r="QBU487" s="17"/>
      <c r="QBV487" s="17"/>
      <c r="QBW487" s="17"/>
      <c r="QBX487" s="17"/>
      <c r="QBY487" s="17"/>
      <c r="QBZ487" s="17"/>
      <c r="QCA487" s="17"/>
      <c r="QCB487" s="17"/>
      <c r="QCC487" s="17"/>
      <c r="QCD487" s="17"/>
      <c r="QCE487" s="17"/>
      <c r="QCF487" s="17"/>
      <c r="QCG487" s="17"/>
      <c r="QCH487" s="17"/>
      <c r="QCI487" s="17"/>
      <c r="QCJ487" s="17"/>
      <c r="QCK487" s="17"/>
      <c r="QCL487" s="17"/>
      <c r="QCM487" s="17"/>
      <c r="QCN487" s="17"/>
      <c r="QCO487" s="17"/>
      <c r="QCP487" s="17"/>
      <c r="QCQ487" s="17"/>
      <c r="QCR487" s="17"/>
      <c r="QCS487" s="17"/>
      <c r="QCT487" s="17"/>
      <c r="QCU487" s="17"/>
      <c r="QCV487" s="17"/>
      <c r="QCW487" s="17"/>
      <c r="QCX487" s="17"/>
      <c r="QCY487" s="17"/>
      <c r="QCZ487" s="17"/>
      <c r="QDA487" s="17"/>
      <c r="QDB487" s="17"/>
      <c r="QDC487" s="17"/>
      <c r="QDD487" s="17"/>
      <c r="QDE487" s="17"/>
      <c r="QDF487" s="17"/>
      <c r="QDG487" s="17"/>
      <c r="QDH487" s="17"/>
      <c r="QDI487" s="17"/>
      <c r="QDJ487" s="17"/>
      <c r="QDK487" s="17"/>
      <c r="QDL487" s="17"/>
      <c r="QDM487" s="17"/>
      <c r="QDN487" s="17"/>
      <c r="QDO487" s="17"/>
      <c r="QDP487" s="17"/>
      <c r="QDQ487" s="17"/>
      <c r="QDR487" s="17"/>
      <c r="QDS487" s="17"/>
      <c r="QDT487" s="17"/>
      <c r="QDU487" s="17"/>
      <c r="QDV487" s="17"/>
      <c r="QDW487" s="17"/>
      <c r="QDX487" s="17"/>
      <c r="QDY487" s="17"/>
      <c r="QDZ487" s="17"/>
      <c r="QEA487" s="17"/>
      <c r="QEB487" s="17"/>
      <c r="QEC487" s="17"/>
      <c r="QED487" s="17"/>
      <c r="QEE487" s="17"/>
      <c r="QEF487" s="17"/>
      <c r="QEG487" s="17"/>
      <c r="QEH487" s="17"/>
      <c r="QEI487" s="17"/>
      <c r="QEJ487" s="17"/>
      <c r="QEK487" s="17"/>
      <c r="QEL487" s="17"/>
      <c r="QEM487" s="17"/>
      <c r="QEN487" s="17"/>
      <c r="QEO487" s="17"/>
      <c r="QEP487" s="17"/>
      <c r="QEQ487" s="17"/>
      <c r="QER487" s="17"/>
      <c r="QES487" s="17"/>
      <c r="QET487" s="17"/>
      <c r="QEU487" s="17"/>
      <c r="QEV487" s="17"/>
      <c r="QEW487" s="17"/>
      <c r="QEX487" s="17"/>
      <c r="QEY487" s="17"/>
      <c r="QEZ487" s="17"/>
      <c r="QFA487" s="17"/>
      <c r="QFB487" s="17"/>
      <c r="QFC487" s="17"/>
      <c r="QFD487" s="17"/>
      <c r="QFE487" s="17"/>
      <c r="QFF487" s="17"/>
      <c r="QFG487" s="17"/>
      <c r="QFH487" s="17"/>
      <c r="QFI487" s="17"/>
      <c r="QFJ487" s="17"/>
      <c r="QFK487" s="17"/>
      <c r="QFL487" s="17"/>
      <c r="QFM487" s="17"/>
      <c r="QFN487" s="17"/>
      <c r="QFO487" s="17"/>
      <c r="QFP487" s="17"/>
      <c r="QFQ487" s="17"/>
      <c r="QFR487" s="17"/>
      <c r="QFS487" s="17"/>
      <c r="QFT487" s="17"/>
      <c r="QFU487" s="17"/>
      <c r="QFV487" s="17"/>
      <c r="QFW487" s="17"/>
      <c r="QFX487" s="17"/>
      <c r="QFY487" s="17"/>
      <c r="QFZ487" s="17"/>
      <c r="QGA487" s="17"/>
      <c r="QGB487" s="17"/>
      <c r="QGC487" s="17"/>
      <c r="QGD487" s="17"/>
      <c r="QGE487" s="17"/>
      <c r="QGF487" s="17"/>
      <c r="QGG487" s="17"/>
      <c r="QGH487" s="17"/>
      <c r="QGI487" s="17"/>
      <c r="QGJ487" s="17"/>
      <c r="QGK487" s="17"/>
      <c r="QGL487" s="17"/>
      <c r="QGM487" s="17"/>
      <c r="QGN487" s="17"/>
      <c r="QGO487" s="17"/>
      <c r="QGP487" s="17"/>
      <c r="QGQ487" s="17"/>
      <c r="QGR487" s="17"/>
      <c r="QGS487" s="17"/>
      <c r="QGT487" s="17"/>
      <c r="QGU487" s="17"/>
      <c r="QGV487" s="17"/>
      <c r="QGW487" s="17"/>
      <c r="QGX487" s="17"/>
      <c r="QGY487" s="17"/>
      <c r="QGZ487" s="17"/>
      <c r="QHA487" s="17"/>
      <c r="QHB487" s="17"/>
      <c r="QHC487" s="17"/>
      <c r="QHD487" s="17"/>
      <c r="QHE487" s="17"/>
      <c r="QHF487" s="17"/>
      <c r="QHG487" s="17"/>
      <c r="QHH487" s="17"/>
      <c r="QHI487" s="17"/>
      <c r="QHJ487" s="17"/>
      <c r="QHK487" s="17"/>
      <c r="QHL487" s="17"/>
      <c r="QHM487" s="17"/>
      <c r="QHN487" s="17"/>
      <c r="QHO487" s="17"/>
      <c r="QHP487" s="17"/>
      <c r="QHQ487" s="17"/>
      <c r="QHR487" s="17"/>
      <c r="QHS487" s="17"/>
      <c r="QHT487" s="17"/>
      <c r="QHU487" s="17"/>
      <c r="QHV487" s="17"/>
      <c r="QHW487" s="17"/>
      <c r="QHX487" s="17"/>
      <c r="QHY487" s="17"/>
      <c r="QHZ487" s="17"/>
      <c r="QIA487" s="17"/>
      <c r="QIB487" s="17"/>
      <c r="QIC487" s="17"/>
      <c r="QID487" s="17"/>
      <c r="QIE487" s="17"/>
      <c r="QIF487" s="17"/>
      <c r="QIG487" s="17"/>
      <c r="QIH487" s="17"/>
      <c r="QII487" s="17"/>
      <c r="QIJ487" s="17"/>
      <c r="QIK487" s="17"/>
      <c r="QIL487" s="17"/>
      <c r="QIM487" s="17"/>
      <c r="QIN487" s="17"/>
      <c r="QIO487" s="17"/>
      <c r="QIP487" s="17"/>
      <c r="QIQ487" s="17"/>
      <c r="QIR487" s="17"/>
      <c r="QIS487" s="17"/>
      <c r="QIT487" s="17"/>
      <c r="QIU487" s="17"/>
      <c r="QIV487" s="17"/>
      <c r="QIW487" s="17"/>
      <c r="QIX487" s="17"/>
      <c r="QIY487" s="17"/>
      <c r="QIZ487" s="17"/>
      <c r="QJA487" s="17"/>
      <c r="QJB487" s="17"/>
      <c r="QJC487" s="17"/>
      <c r="QJD487" s="17"/>
      <c r="QJE487" s="17"/>
      <c r="QJF487" s="17"/>
      <c r="QJG487" s="17"/>
      <c r="QJH487" s="17"/>
      <c r="QJI487" s="17"/>
      <c r="QJJ487" s="17"/>
      <c r="QJK487" s="17"/>
      <c r="QJL487" s="17"/>
      <c r="QJM487" s="17"/>
      <c r="QJN487" s="17"/>
      <c r="QJO487" s="17"/>
      <c r="QJP487" s="17"/>
      <c r="QJQ487" s="17"/>
      <c r="QJR487" s="17"/>
      <c r="QJS487" s="17"/>
      <c r="QJT487" s="17"/>
      <c r="QJU487" s="17"/>
      <c r="QJV487" s="17"/>
      <c r="QJW487" s="17"/>
      <c r="QJX487" s="17"/>
      <c r="QJY487" s="17"/>
      <c r="QJZ487" s="17"/>
      <c r="QKA487" s="17"/>
      <c r="QKB487" s="17"/>
      <c r="QKC487" s="17"/>
      <c r="QKD487" s="17"/>
      <c r="QKE487" s="17"/>
      <c r="QKF487" s="17"/>
      <c r="QKG487" s="17"/>
      <c r="QKH487" s="17"/>
      <c r="QKI487" s="17"/>
      <c r="QKJ487" s="17"/>
      <c r="QKK487" s="17"/>
      <c r="QKL487" s="17"/>
      <c r="QKM487" s="17"/>
      <c r="QKN487" s="17"/>
      <c r="QKO487" s="17"/>
      <c r="QKP487" s="17"/>
      <c r="QKQ487" s="17"/>
      <c r="QKR487" s="17"/>
      <c r="QKS487" s="17"/>
      <c r="QKT487" s="17"/>
      <c r="QKU487" s="17"/>
      <c r="QKV487" s="17"/>
      <c r="QKW487" s="17"/>
      <c r="QKX487" s="17"/>
      <c r="QKY487" s="17"/>
      <c r="QKZ487" s="17"/>
      <c r="QLA487" s="17"/>
      <c r="QLB487" s="17"/>
      <c r="QLC487" s="17"/>
      <c r="QLD487" s="17"/>
      <c r="QLE487" s="17"/>
      <c r="QLF487" s="17"/>
      <c r="QLG487" s="17"/>
      <c r="QLH487" s="17"/>
      <c r="QLI487" s="17"/>
      <c r="QLJ487" s="17"/>
      <c r="QLK487" s="17"/>
      <c r="QLL487" s="17"/>
      <c r="QLM487" s="17"/>
      <c r="QLN487" s="17"/>
      <c r="QLO487" s="17"/>
      <c r="QLP487" s="17"/>
      <c r="QLQ487" s="17"/>
      <c r="QLR487" s="17"/>
      <c r="QLS487" s="17"/>
      <c r="QLT487" s="17"/>
      <c r="QLU487" s="17"/>
      <c r="QLV487" s="17"/>
      <c r="QLW487" s="17"/>
      <c r="QLX487" s="17"/>
      <c r="QLY487" s="17"/>
      <c r="QLZ487" s="17"/>
      <c r="QMA487" s="17"/>
      <c r="QMB487" s="17"/>
      <c r="QMC487" s="17"/>
      <c r="QMD487" s="17"/>
      <c r="QME487" s="17"/>
      <c r="QMF487" s="17"/>
      <c r="QMG487" s="17"/>
      <c r="QMH487" s="17"/>
      <c r="QMI487" s="17"/>
      <c r="QMJ487" s="17"/>
      <c r="QMK487" s="17"/>
      <c r="QML487" s="17"/>
      <c r="QMM487" s="17"/>
      <c r="QMN487" s="17"/>
      <c r="QMO487" s="17"/>
      <c r="QMP487" s="17"/>
      <c r="QMQ487" s="17"/>
      <c r="QMR487" s="17"/>
      <c r="QMS487" s="17"/>
      <c r="QMT487" s="17"/>
      <c r="QMU487" s="17"/>
      <c r="QMV487" s="17"/>
      <c r="QMW487" s="17"/>
      <c r="QMX487" s="17"/>
      <c r="QMY487" s="17"/>
      <c r="QMZ487" s="17"/>
      <c r="QNA487" s="17"/>
      <c r="QNB487" s="17"/>
      <c r="QNC487" s="17"/>
      <c r="QND487" s="17"/>
      <c r="QNE487" s="17"/>
      <c r="QNF487" s="17"/>
      <c r="QNG487" s="17"/>
      <c r="QNH487" s="17"/>
      <c r="QNI487" s="17"/>
      <c r="QNJ487" s="17"/>
      <c r="QNK487" s="17"/>
      <c r="QNL487" s="17"/>
      <c r="QNM487" s="17"/>
      <c r="QNN487" s="17"/>
      <c r="QNO487" s="17"/>
      <c r="QNP487" s="17"/>
      <c r="QNQ487" s="17"/>
      <c r="QNR487" s="17"/>
      <c r="QNS487" s="17"/>
      <c r="QNT487" s="17"/>
      <c r="QNU487" s="17"/>
      <c r="QNV487" s="17"/>
      <c r="QNW487" s="17"/>
      <c r="QNX487" s="17"/>
      <c r="QNY487" s="17"/>
      <c r="QNZ487" s="17"/>
      <c r="QOA487" s="17"/>
      <c r="QOB487" s="17"/>
      <c r="QOC487" s="17"/>
      <c r="QOD487" s="17"/>
      <c r="QOE487" s="17"/>
      <c r="QOF487" s="17"/>
      <c r="QOG487" s="17"/>
      <c r="QOH487" s="17"/>
      <c r="QOI487" s="17"/>
      <c r="QOJ487" s="17"/>
      <c r="QOK487" s="17"/>
      <c r="QOL487" s="17"/>
      <c r="QOM487" s="17"/>
      <c r="QON487" s="17"/>
      <c r="QOO487" s="17"/>
      <c r="QOP487" s="17"/>
      <c r="QOQ487" s="17"/>
      <c r="QOR487" s="17"/>
      <c r="QOS487" s="17"/>
      <c r="QOT487" s="17"/>
      <c r="QOU487" s="17"/>
      <c r="QOV487" s="17"/>
      <c r="QOW487" s="17"/>
      <c r="QOX487" s="17"/>
      <c r="QOY487" s="17"/>
      <c r="QOZ487" s="17"/>
      <c r="QPA487" s="17"/>
      <c r="QPB487" s="17"/>
      <c r="QPC487" s="17"/>
      <c r="QPD487" s="17"/>
      <c r="QPE487" s="17"/>
      <c r="QPF487" s="17"/>
      <c r="QPG487" s="17"/>
      <c r="QPH487" s="17"/>
      <c r="QPI487" s="17"/>
      <c r="QPJ487" s="17"/>
      <c r="QPK487" s="17"/>
      <c r="QPL487" s="17"/>
      <c r="QPM487" s="17"/>
      <c r="QPN487" s="17"/>
      <c r="QPO487" s="17"/>
      <c r="QPP487" s="17"/>
      <c r="QPQ487" s="17"/>
      <c r="QPR487" s="17"/>
      <c r="QPS487" s="17"/>
      <c r="QPT487" s="17"/>
      <c r="QPU487" s="17"/>
      <c r="QPV487" s="17"/>
      <c r="QPW487" s="17"/>
      <c r="QPX487" s="17"/>
      <c r="QPY487" s="17"/>
      <c r="QPZ487" s="17"/>
      <c r="QQA487" s="17"/>
      <c r="QQB487" s="17"/>
      <c r="QQC487" s="17"/>
      <c r="QQD487" s="17"/>
      <c r="QQE487" s="17"/>
      <c r="QQF487" s="17"/>
      <c r="QQG487" s="17"/>
      <c r="QQH487" s="17"/>
      <c r="QQI487" s="17"/>
      <c r="QQJ487" s="17"/>
      <c r="QQK487" s="17"/>
      <c r="QQL487" s="17"/>
      <c r="QQM487" s="17"/>
      <c r="QQN487" s="17"/>
      <c r="QQO487" s="17"/>
      <c r="QQP487" s="17"/>
      <c r="QQQ487" s="17"/>
      <c r="QQR487" s="17"/>
      <c r="QQS487" s="17"/>
      <c r="QQT487" s="17"/>
      <c r="QQU487" s="17"/>
      <c r="QQV487" s="17"/>
      <c r="QQW487" s="17"/>
      <c r="QQX487" s="17"/>
      <c r="QQY487" s="17"/>
      <c r="QQZ487" s="17"/>
      <c r="QRA487" s="17"/>
      <c r="QRB487" s="17"/>
      <c r="QRC487" s="17"/>
      <c r="QRD487" s="17"/>
      <c r="QRE487" s="17"/>
      <c r="QRF487" s="17"/>
      <c r="QRG487" s="17"/>
      <c r="QRH487" s="17"/>
      <c r="QRI487" s="17"/>
      <c r="QRJ487" s="17"/>
      <c r="QRK487" s="17"/>
      <c r="QRL487" s="17"/>
      <c r="QRM487" s="17"/>
      <c r="QRN487" s="17"/>
      <c r="QRO487" s="17"/>
      <c r="QRP487" s="17"/>
      <c r="QRQ487" s="17"/>
      <c r="QRR487" s="17"/>
      <c r="QRS487" s="17"/>
      <c r="QRT487" s="17"/>
      <c r="QRU487" s="17"/>
      <c r="QRV487" s="17"/>
      <c r="QRW487" s="17"/>
      <c r="QRX487" s="17"/>
      <c r="QRY487" s="17"/>
      <c r="QRZ487" s="17"/>
      <c r="QSA487" s="17"/>
      <c r="QSB487" s="17"/>
      <c r="QSC487" s="17"/>
      <c r="QSD487" s="17"/>
      <c r="QSE487" s="17"/>
      <c r="QSF487" s="17"/>
      <c r="QSG487" s="17"/>
      <c r="QSH487" s="17"/>
      <c r="QSI487" s="17"/>
      <c r="QSJ487" s="17"/>
      <c r="QSK487" s="17"/>
      <c r="QSL487" s="17"/>
      <c r="QSM487" s="17"/>
      <c r="QSN487" s="17"/>
      <c r="QSO487" s="17"/>
      <c r="QSP487" s="17"/>
      <c r="QSQ487" s="17"/>
      <c r="QSR487" s="17"/>
      <c r="QSS487" s="17"/>
      <c r="QST487" s="17"/>
      <c r="QSU487" s="17"/>
      <c r="QSV487" s="17"/>
      <c r="QSW487" s="17"/>
      <c r="QSX487" s="17"/>
      <c r="QSY487" s="17"/>
      <c r="QSZ487" s="17"/>
      <c r="QTA487" s="17"/>
      <c r="QTB487" s="17"/>
      <c r="QTC487" s="17"/>
      <c r="QTD487" s="17"/>
      <c r="QTE487" s="17"/>
      <c r="QTF487" s="17"/>
      <c r="QTG487" s="17"/>
      <c r="QTH487" s="17"/>
      <c r="QTI487" s="17"/>
      <c r="QTJ487" s="17"/>
      <c r="QTK487" s="17"/>
      <c r="QTL487" s="17"/>
      <c r="QTM487" s="17"/>
      <c r="QTN487" s="17"/>
      <c r="QTO487" s="17"/>
      <c r="QTP487" s="17"/>
      <c r="QTQ487" s="17"/>
      <c r="QTR487" s="17"/>
      <c r="QTS487" s="17"/>
      <c r="QTT487" s="17"/>
      <c r="QTU487" s="17"/>
      <c r="QTV487" s="17"/>
      <c r="QTW487" s="17"/>
      <c r="QTX487" s="17"/>
      <c r="QTY487" s="17"/>
      <c r="QTZ487" s="17"/>
      <c r="QUA487" s="17"/>
      <c r="QUB487" s="17"/>
      <c r="QUC487" s="17"/>
      <c r="QUD487" s="17"/>
      <c r="QUE487" s="17"/>
      <c r="QUF487" s="17"/>
      <c r="QUG487" s="17"/>
      <c r="QUH487" s="17"/>
      <c r="QUI487" s="17"/>
      <c r="QUJ487" s="17"/>
      <c r="QUK487" s="17"/>
      <c r="QUL487" s="17"/>
      <c r="QUM487" s="17"/>
      <c r="QUN487" s="17"/>
      <c r="QUO487" s="17"/>
      <c r="QUP487" s="17"/>
      <c r="QUQ487" s="17"/>
      <c r="QUR487" s="17"/>
      <c r="QUS487" s="17"/>
      <c r="QUT487" s="17"/>
      <c r="QUU487" s="17"/>
      <c r="QUV487" s="17"/>
      <c r="QUW487" s="17"/>
      <c r="QUX487" s="17"/>
      <c r="QUY487" s="17"/>
      <c r="QUZ487" s="17"/>
      <c r="QVA487" s="17"/>
      <c r="QVB487" s="17"/>
      <c r="QVC487" s="17"/>
      <c r="QVD487" s="17"/>
      <c r="QVE487" s="17"/>
      <c r="QVF487" s="17"/>
      <c r="QVG487" s="17"/>
      <c r="QVH487" s="17"/>
      <c r="QVI487" s="17"/>
      <c r="QVJ487" s="17"/>
      <c r="QVK487" s="17"/>
      <c r="QVL487" s="17"/>
      <c r="QVM487" s="17"/>
      <c r="QVN487" s="17"/>
      <c r="QVO487" s="17"/>
      <c r="QVP487" s="17"/>
      <c r="QVQ487" s="17"/>
      <c r="QVR487" s="17"/>
      <c r="QVS487" s="17"/>
      <c r="QVT487" s="17"/>
      <c r="QVU487" s="17"/>
      <c r="QVV487" s="17"/>
      <c r="QVW487" s="17"/>
      <c r="QVX487" s="17"/>
      <c r="QVY487" s="17"/>
      <c r="QVZ487" s="17"/>
      <c r="QWA487" s="17"/>
      <c r="QWB487" s="17"/>
      <c r="QWC487" s="17"/>
      <c r="QWD487" s="17"/>
      <c r="QWE487" s="17"/>
      <c r="QWF487" s="17"/>
      <c r="QWG487" s="17"/>
      <c r="QWH487" s="17"/>
      <c r="QWI487" s="17"/>
      <c r="QWJ487" s="17"/>
      <c r="QWK487" s="17"/>
      <c r="QWL487" s="17"/>
      <c r="QWM487" s="17"/>
      <c r="QWN487" s="17"/>
      <c r="QWO487" s="17"/>
      <c r="QWP487" s="17"/>
      <c r="QWQ487" s="17"/>
      <c r="QWR487" s="17"/>
      <c r="QWS487" s="17"/>
      <c r="QWT487" s="17"/>
      <c r="QWU487" s="17"/>
      <c r="QWV487" s="17"/>
      <c r="QWW487" s="17"/>
      <c r="QWX487" s="17"/>
      <c r="QWY487" s="17"/>
      <c r="QWZ487" s="17"/>
      <c r="QXA487" s="17"/>
      <c r="QXB487" s="17"/>
      <c r="QXC487" s="17"/>
      <c r="QXD487" s="17"/>
      <c r="QXE487" s="17"/>
      <c r="QXF487" s="17"/>
      <c r="QXG487" s="17"/>
      <c r="QXH487" s="17"/>
      <c r="QXI487" s="17"/>
      <c r="QXJ487" s="17"/>
      <c r="QXK487" s="17"/>
      <c r="QXL487" s="17"/>
      <c r="QXM487" s="17"/>
      <c r="QXN487" s="17"/>
      <c r="QXO487" s="17"/>
      <c r="QXP487" s="17"/>
      <c r="QXQ487" s="17"/>
      <c r="QXR487" s="17"/>
      <c r="QXS487" s="17"/>
      <c r="QXT487" s="17"/>
      <c r="QXU487" s="17"/>
      <c r="QXV487" s="17"/>
      <c r="QXW487" s="17"/>
      <c r="QXX487" s="17"/>
      <c r="QXY487" s="17"/>
      <c r="QXZ487" s="17"/>
      <c r="QYA487" s="17"/>
      <c r="QYB487" s="17"/>
      <c r="QYC487" s="17"/>
      <c r="QYD487" s="17"/>
      <c r="QYE487" s="17"/>
      <c r="QYF487" s="17"/>
      <c r="QYG487" s="17"/>
      <c r="QYH487" s="17"/>
      <c r="QYI487" s="17"/>
      <c r="QYJ487" s="17"/>
      <c r="QYK487" s="17"/>
      <c r="QYL487" s="17"/>
      <c r="QYM487" s="17"/>
      <c r="QYN487" s="17"/>
      <c r="QYO487" s="17"/>
      <c r="QYP487" s="17"/>
      <c r="QYQ487" s="17"/>
      <c r="QYR487" s="17"/>
      <c r="QYS487" s="17"/>
      <c r="QYT487" s="17"/>
      <c r="QYU487" s="17"/>
      <c r="QYV487" s="17"/>
      <c r="QYW487" s="17"/>
      <c r="QYX487" s="17"/>
      <c r="QYY487" s="17"/>
      <c r="QYZ487" s="17"/>
      <c r="QZA487" s="17"/>
      <c r="QZB487" s="17"/>
      <c r="QZC487" s="17"/>
      <c r="QZD487" s="17"/>
      <c r="QZE487" s="17"/>
      <c r="QZF487" s="17"/>
      <c r="QZG487" s="17"/>
      <c r="QZH487" s="17"/>
      <c r="QZI487" s="17"/>
      <c r="QZJ487" s="17"/>
      <c r="QZK487" s="17"/>
      <c r="QZL487" s="17"/>
      <c r="QZM487" s="17"/>
      <c r="QZN487" s="17"/>
      <c r="QZO487" s="17"/>
      <c r="QZP487" s="17"/>
      <c r="QZQ487" s="17"/>
      <c r="QZR487" s="17"/>
      <c r="QZS487" s="17"/>
      <c r="QZT487" s="17"/>
      <c r="QZU487" s="17"/>
      <c r="QZV487" s="17"/>
      <c r="QZW487" s="17"/>
      <c r="QZX487" s="17"/>
      <c r="QZY487" s="17"/>
      <c r="QZZ487" s="17"/>
      <c r="RAA487" s="17"/>
      <c r="RAB487" s="17"/>
      <c r="RAC487" s="17"/>
      <c r="RAD487" s="17"/>
      <c r="RAE487" s="17"/>
      <c r="RAF487" s="17"/>
      <c r="RAG487" s="17"/>
      <c r="RAH487" s="17"/>
      <c r="RAI487" s="17"/>
      <c r="RAJ487" s="17"/>
      <c r="RAK487" s="17"/>
      <c r="RAL487" s="17"/>
      <c r="RAM487" s="17"/>
      <c r="RAN487" s="17"/>
      <c r="RAO487" s="17"/>
      <c r="RAP487" s="17"/>
      <c r="RAQ487" s="17"/>
      <c r="RAR487" s="17"/>
      <c r="RAS487" s="17"/>
      <c r="RAT487" s="17"/>
      <c r="RAU487" s="17"/>
      <c r="RAV487" s="17"/>
      <c r="RAW487" s="17"/>
      <c r="RAX487" s="17"/>
      <c r="RAY487" s="17"/>
      <c r="RAZ487" s="17"/>
      <c r="RBA487" s="17"/>
      <c r="RBB487" s="17"/>
      <c r="RBC487" s="17"/>
      <c r="RBD487" s="17"/>
      <c r="RBE487" s="17"/>
      <c r="RBF487" s="17"/>
      <c r="RBG487" s="17"/>
      <c r="RBH487" s="17"/>
      <c r="RBI487" s="17"/>
      <c r="RBJ487" s="17"/>
      <c r="RBK487" s="17"/>
      <c r="RBL487" s="17"/>
      <c r="RBM487" s="17"/>
      <c r="RBN487" s="17"/>
      <c r="RBO487" s="17"/>
      <c r="RBP487" s="17"/>
      <c r="RBQ487" s="17"/>
      <c r="RBR487" s="17"/>
      <c r="RBS487" s="17"/>
      <c r="RBT487" s="17"/>
      <c r="RBU487" s="17"/>
      <c r="RBV487" s="17"/>
      <c r="RBW487" s="17"/>
      <c r="RBX487" s="17"/>
      <c r="RBY487" s="17"/>
      <c r="RBZ487" s="17"/>
      <c r="RCA487" s="17"/>
      <c r="RCB487" s="17"/>
      <c r="RCC487" s="17"/>
      <c r="RCD487" s="17"/>
      <c r="RCE487" s="17"/>
      <c r="RCF487" s="17"/>
      <c r="RCG487" s="17"/>
      <c r="RCH487" s="17"/>
      <c r="RCI487" s="17"/>
      <c r="RCJ487" s="17"/>
      <c r="RCK487" s="17"/>
      <c r="RCL487" s="17"/>
      <c r="RCM487" s="17"/>
      <c r="RCN487" s="17"/>
      <c r="RCO487" s="17"/>
      <c r="RCP487" s="17"/>
      <c r="RCQ487" s="17"/>
      <c r="RCR487" s="17"/>
      <c r="RCS487" s="17"/>
      <c r="RCT487" s="17"/>
      <c r="RCU487" s="17"/>
      <c r="RCV487" s="17"/>
      <c r="RCW487" s="17"/>
      <c r="RCX487" s="17"/>
      <c r="RCY487" s="17"/>
      <c r="RCZ487" s="17"/>
      <c r="RDA487" s="17"/>
      <c r="RDB487" s="17"/>
      <c r="RDC487" s="17"/>
      <c r="RDD487" s="17"/>
      <c r="RDE487" s="17"/>
      <c r="RDF487" s="17"/>
      <c r="RDG487" s="17"/>
      <c r="RDH487" s="17"/>
      <c r="RDI487" s="17"/>
      <c r="RDJ487" s="17"/>
      <c r="RDK487" s="17"/>
      <c r="RDL487" s="17"/>
      <c r="RDM487" s="17"/>
      <c r="RDN487" s="17"/>
      <c r="RDO487" s="17"/>
      <c r="RDP487" s="17"/>
      <c r="RDQ487" s="17"/>
      <c r="RDR487" s="17"/>
      <c r="RDS487" s="17"/>
      <c r="RDT487" s="17"/>
      <c r="RDU487" s="17"/>
      <c r="RDV487" s="17"/>
      <c r="RDW487" s="17"/>
      <c r="RDX487" s="17"/>
      <c r="RDY487" s="17"/>
      <c r="RDZ487" s="17"/>
      <c r="REA487" s="17"/>
      <c r="REB487" s="17"/>
      <c r="REC487" s="17"/>
      <c r="RED487" s="17"/>
      <c r="REE487" s="17"/>
      <c r="REF487" s="17"/>
      <c r="REG487" s="17"/>
      <c r="REH487" s="17"/>
      <c r="REI487" s="17"/>
      <c r="REJ487" s="17"/>
      <c r="REK487" s="17"/>
      <c r="REL487" s="17"/>
      <c r="REM487" s="17"/>
      <c r="REN487" s="17"/>
      <c r="REO487" s="17"/>
      <c r="REP487" s="17"/>
      <c r="REQ487" s="17"/>
      <c r="RER487" s="17"/>
      <c r="RES487" s="17"/>
      <c r="RET487" s="17"/>
      <c r="REU487" s="17"/>
      <c r="REV487" s="17"/>
      <c r="REW487" s="17"/>
      <c r="REX487" s="17"/>
      <c r="REY487" s="17"/>
      <c r="REZ487" s="17"/>
      <c r="RFA487" s="17"/>
      <c r="RFB487" s="17"/>
      <c r="RFC487" s="17"/>
      <c r="RFD487" s="17"/>
      <c r="RFE487" s="17"/>
      <c r="RFF487" s="17"/>
      <c r="RFG487" s="17"/>
      <c r="RFH487" s="17"/>
      <c r="RFI487" s="17"/>
      <c r="RFJ487" s="17"/>
      <c r="RFK487" s="17"/>
      <c r="RFL487" s="17"/>
      <c r="RFM487" s="17"/>
      <c r="RFN487" s="17"/>
      <c r="RFO487" s="17"/>
      <c r="RFP487" s="17"/>
      <c r="RFQ487" s="17"/>
      <c r="RFR487" s="17"/>
      <c r="RFS487" s="17"/>
      <c r="RFT487" s="17"/>
      <c r="RFU487" s="17"/>
      <c r="RFV487" s="17"/>
      <c r="RFW487" s="17"/>
      <c r="RFX487" s="17"/>
      <c r="RFY487" s="17"/>
      <c r="RFZ487" s="17"/>
      <c r="RGA487" s="17"/>
      <c r="RGB487" s="17"/>
      <c r="RGC487" s="17"/>
      <c r="RGD487" s="17"/>
      <c r="RGE487" s="17"/>
      <c r="RGF487" s="17"/>
      <c r="RGG487" s="17"/>
      <c r="RGH487" s="17"/>
      <c r="RGI487" s="17"/>
      <c r="RGJ487" s="17"/>
      <c r="RGK487" s="17"/>
      <c r="RGL487" s="17"/>
      <c r="RGM487" s="17"/>
      <c r="RGN487" s="17"/>
      <c r="RGO487" s="17"/>
      <c r="RGP487" s="17"/>
      <c r="RGQ487" s="17"/>
      <c r="RGR487" s="17"/>
      <c r="RGS487" s="17"/>
      <c r="RGT487" s="17"/>
      <c r="RGU487" s="17"/>
      <c r="RGV487" s="17"/>
      <c r="RGW487" s="17"/>
      <c r="RGX487" s="17"/>
      <c r="RGY487" s="17"/>
      <c r="RGZ487" s="17"/>
      <c r="RHA487" s="17"/>
      <c r="RHB487" s="17"/>
      <c r="RHC487" s="17"/>
      <c r="RHD487" s="17"/>
      <c r="RHE487" s="17"/>
      <c r="RHF487" s="17"/>
      <c r="RHG487" s="17"/>
      <c r="RHH487" s="17"/>
      <c r="RHI487" s="17"/>
      <c r="RHJ487" s="17"/>
      <c r="RHK487" s="17"/>
      <c r="RHL487" s="17"/>
      <c r="RHM487" s="17"/>
      <c r="RHN487" s="17"/>
      <c r="RHO487" s="17"/>
      <c r="RHP487" s="17"/>
      <c r="RHQ487" s="17"/>
      <c r="RHR487" s="17"/>
      <c r="RHS487" s="17"/>
      <c r="RHT487" s="17"/>
      <c r="RHU487" s="17"/>
      <c r="RHV487" s="17"/>
      <c r="RHW487" s="17"/>
      <c r="RHX487" s="17"/>
      <c r="RHY487" s="17"/>
      <c r="RHZ487" s="17"/>
      <c r="RIA487" s="17"/>
      <c r="RIB487" s="17"/>
      <c r="RIC487" s="17"/>
      <c r="RID487" s="17"/>
      <c r="RIE487" s="17"/>
      <c r="RIF487" s="17"/>
      <c r="RIG487" s="17"/>
      <c r="RIH487" s="17"/>
      <c r="RII487" s="17"/>
      <c r="RIJ487" s="17"/>
      <c r="RIK487" s="17"/>
      <c r="RIL487" s="17"/>
      <c r="RIM487" s="17"/>
      <c r="RIN487" s="17"/>
      <c r="RIO487" s="17"/>
      <c r="RIP487" s="17"/>
      <c r="RIQ487" s="17"/>
      <c r="RIR487" s="17"/>
      <c r="RIS487" s="17"/>
      <c r="RIT487" s="17"/>
      <c r="RIU487" s="17"/>
      <c r="RIV487" s="17"/>
      <c r="RIW487" s="17"/>
      <c r="RIX487" s="17"/>
      <c r="RIY487" s="17"/>
      <c r="RIZ487" s="17"/>
      <c r="RJA487" s="17"/>
      <c r="RJB487" s="17"/>
      <c r="RJC487" s="17"/>
      <c r="RJD487" s="17"/>
      <c r="RJE487" s="17"/>
      <c r="RJF487" s="17"/>
      <c r="RJG487" s="17"/>
      <c r="RJH487" s="17"/>
      <c r="RJI487" s="17"/>
      <c r="RJJ487" s="17"/>
      <c r="RJK487" s="17"/>
      <c r="RJL487" s="17"/>
      <c r="RJM487" s="17"/>
      <c r="RJN487" s="17"/>
      <c r="RJO487" s="17"/>
      <c r="RJP487" s="17"/>
      <c r="RJQ487" s="17"/>
      <c r="RJR487" s="17"/>
      <c r="RJS487" s="17"/>
      <c r="RJT487" s="17"/>
      <c r="RJU487" s="17"/>
      <c r="RJV487" s="17"/>
      <c r="RJW487" s="17"/>
      <c r="RJX487" s="17"/>
      <c r="RJY487" s="17"/>
      <c r="RJZ487" s="17"/>
      <c r="RKA487" s="17"/>
      <c r="RKB487" s="17"/>
      <c r="RKC487" s="17"/>
      <c r="RKD487" s="17"/>
      <c r="RKE487" s="17"/>
      <c r="RKF487" s="17"/>
      <c r="RKG487" s="17"/>
      <c r="RKH487" s="17"/>
      <c r="RKI487" s="17"/>
      <c r="RKJ487" s="17"/>
      <c r="RKK487" s="17"/>
      <c r="RKL487" s="17"/>
      <c r="RKM487" s="17"/>
      <c r="RKN487" s="17"/>
      <c r="RKO487" s="17"/>
      <c r="RKP487" s="17"/>
      <c r="RKQ487" s="17"/>
      <c r="RKR487" s="17"/>
      <c r="RKS487" s="17"/>
      <c r="RKT487" s="17"/>
      <c r="RKU487" s="17"/>
      <c r="RKV487" s="17"/>
      <c r="RKW487" s="17"/>
      <c r="RKX487" s="17"/>
      <c r="RKY487" s="17"/>
      <c r="RKZ487" s="17"/>
      <c r="RLA487" s="17"/>
      <c r="RLB487" s="17"/>
      <c r="RLC487" s="17"/>
      <c r="RLD487" s="17"/>
      <c r="RLE487" s="17"/>
      <c r="RLF487" s="17"/>
      <c r="RLG487" s="17"/>
      <c r="RLH487" s="17"/>
      <c r="RLI487" s="17"/>
      <c r="RLJ487" s="17"/>
      <c r="RLK487" s="17"/>
      <c r="RLL487" s="17"/>
      <c r="RLM487" s="17"/>
      <c r="RLN487" s="17"/>
      <c r="RLO487" s="17"/>
      <c r="RLP487" s="17"/>
      <c r="RLQ487" s="17"/>
      <c r="RLR487" s="17"/>
      <c r="RLS487" s="17"/>
      <c r="RLT487" s="17"/>
      <c r="RLU487" s="17"/>
      <c r="RLV487" s="17"/>
      <c r="RLW487" s="17"/>
      <c r="RLX487" s="17"/>
      <c r="RLY487" s="17"/>
      <c r="RLZ487" s="17"/>
      <c r="RMA487" s="17"/>
      <c r="RMB487" s="17"/>
      <c r="RMC487" s="17"/>
      <c r="RMD487" s="17"/>
      <c r="RME487" s="17"/>
      <c r="RMF487" s="17"/>
      <c r="RMG487" s="17"/>
      <c r="RMH487" s="17"/>
      <c r="RMI487" s="17"/>
      <c r="RMJ487" s="17"/>
      <c r="RMK487" s="17"/>
      <c r="RML487" s="17"/>
      <c r="RMM487" s="17"/>
      <c r="RMN487" s="17"/>
      <c r="RMO487" s="17"/>
      <c r="RMP487" s="17"/>
      <c r="RMQ487" s="17"/>
      <c r="RMR487" s="17"/>
      <c r="RMS487" s="17"/>
      <c r="RMT487" s="17"/>
      <c r="RMU487" s="17"/>
      <c r="RMV487" s="17"/>
      <c r="RMW487" s="17"/>
      <c r="RMX487" s="17"/>
      <c r="RMY487" s="17"/>
      <c r="RMZ487" s="17"/>
      <c r="RNA487" s="17"/>
      <c r="RNB487" s="17"/>
      <c r="RNC487" s="17"/>
      <c r="RND487" s="17"/>
      <c r="RNE487" s="17"/>
      <c r="RNF487" s="17"/>
      <c r="RNG487" s="17"/>
      <c r="RNH487" s="17"/>
      <c r="RNI487" s="17"/>
      <c r="RNJ487" s="17"/>
      <c r="RNK487" s="17"/>
      <c r="RNL487" s="17"/>
      <c r="RNM487" s="17"/>
      <c r="RNN487" s="17"/>
      <c r="RNO487" s="17"/>
      <c r="RNP487" s="17"/>
      <c r="RNQ487" s="17"/>
      <c r="RNR487" s="17"/>
      <c r="RNS487" s="17"/>
      <c r="RNT487" s="17"/>
      <c r="RNU487" s="17"/>
      <c r="RNV487" s="17"/>
      <c r="RNW487" s="17"/>
      <c r="RNX487" s="17"/>
      <c r="RNY487" s="17"/>
      <c r="RNZ487" s="17"/>
      <c r="ROA487" s="17"/>
      <c r="ROB487" s="17"/>
      <c r="ROC487" s="17"/>
      <c r="ROD487" s="17"/>
      <c r="ROE487" s="17"/>
      <c r="ROF487" s="17"/>
      <c r="ROG487" s="17"/>
      <c r="ROH487" s="17"/>
      <c r="ROI487" s="17"/>
      <c r="ROJ487" s="17"/>
      <c r="ROK487" s="17"/>
      <c r="ROL487" s="17"/>
      <c r="ROM487" s="17"/>
      <c r="RON487" s="17"/>
      <c r="ROO487" s="17"/>
      <c r="ROP487" s="17"/>
      <c r="ROQ487" s="17"/>
      <c r="ROR487" s="17"/>
      <c r="ROS487" s="17"/>
      <c r="ROT487" s="17"/>
      <c r="ROU487" s="17"/>
      <c r="ROV487" s="17"/>
      <c r="ROW487" s="17"/>
      <c r="ROX487" s="17"/>
      <c r="ROY487" s="17"/>
      <c r="ROZ487" s="17"/>
      <c r="RPA487" s="17"/>
      <c r="RPB487" s="17"/>
      <c r="RPC487" s="17"/>
      <c r="RPD487" s="17"/>
      <c r="RPE487" s="17"/>
      <c r="RPF487" s="17"/>
      <c r="RPG487" s="17"/>
      <c r="RPH487" s="17"/>
      <c r="RPI487" s="17"/>
      <c r="RPJ487" s="17"/>
      <c r="RPK487" s="17"/>
      <c r="RPL487" s="17"/>
      <c r="RPM487" s="17"/>
      <c r="RPN487" s="17"/>
      <c r="RPO487" s="17"/>
      <c r="RPP487" s="17"/>
      <c r="RPQ487" s="17"/>
      <c r="RPR487" s="17"/>
      <c r="RPS487" s="17"/>
      <c r="RPT487" s="17"/>
      <c r="RPU487" s="17"/>
      <c r="RPV487" s="17"/>
      <c r="RPW487" s="17"/>
      <c r="RPX487" s="17"/>
      <c r="RPY487" s="17"/>
      <c r="RPZ487" s="17"/>
      <c r="RQA487" s="17"/>
      <c r="RQB487" s="17"/>
      <c r="RQC487" s="17"/>
      <c r="RQD487" s="17"/>
      <c r="RQE487" s="17"/>
      <c r="RQF487" s="17"/>
      <c r="RQG487" s="17"/>
      <c r="RQH487" s="17"/>
      <c r="RQI487" s="17"/>
      <c r="RQJ487" s="17"/>
      <c r="RQK487" s="17"/>
      <c r="RQL487" s="17"/>
      <c r="RQM487" s="17"/>
      <c r="RQN487" s="17"/>
      <c r="RQO487" s="17"/>
      <c r="RQP487" s="17"/>
      <c r="RQQ487" s="17"/>
      <c r="RQR487" s="17"/>
      <c r="RQS487" s="17"/>
      <c r="RQT487" s="17"/>
      <c r="RQU487" s="17"/>
      <c r="RQV487" s="17"/>
      <c r="RQW487" s="17"/>
      <c r="RQX487" s="17"/>
      <c r="RQY487" s="17"/>
      <c r="RQZ487" s="17"/>
      <c r="RRA487" s="17"/>
      <c r="RRB487" s="17"/>
      <c r="RRC487" s="17"/>
      <c r="RRD487" s="17"/>
      <c r="RRE487" s="17"/>
      <c r="RRF487" s="17"/>
      <c r="RRG487" s="17"/>
      <c r="RRH487" s="17"/>
      <c r="RRI487" s="17"/>
      <c r="RRJ487" s="17"/>
      <c r="RRK487" s="17"/>
      <c r="RRL487" s="17"/>
      <c r="RRM487" s="17"/>
      <c r="RRN487" s="17"/>
      <c r="RRO487" s="17"/>
      <c r="RRP487" s="17"/>
      <c r="RRQ487" s="17"/>
      <c r="RRR487" s="17"/>
      <c r="RRS487" s="17"/>
      <c r="RRT487" s="17"/>
      <c r="RRU487" s="17"/>
      <c r="RRV487" s="17"/>
      <c r="RRW487" s="17"/>
      <c r="RRX487" s="17"/>
      <c r="RRY487" s="17"/>
      <c r="RRZ487" s="17"/>
      <c r="RSA487" s="17"/>
      <c r="RSB487" s="17"/>
      <c r="RSC487" s="17"/>
      <c r="RSD487" s="17"/>
      <c r="RSE487" s="17"/>
      <c r="RSF487" s="17"/>
      <c r="RSG487" s="17"/>
      <c r="RSH487" s="17"/>
      <c r="RSI487" s="17"/>
      <c r="RSJ487" s="17"/>
      <c r="RSK487" s="17"/>
      <c r="RSL487" s="17"/>
      <c r="RSM487" s="17"/>
      <c r="RSN487" s="17"/>
      <c r="RSO487" s="17"/>
      <c r="RSP487" s="17"/>
      <c r="RSQ487" s="17"/>
      <c r="RSR487" s="17"/>
      <c r="RSS487" s="17"/>
      <c r="RST487" s="17"/>
      <c r="RSU487" s="17"/>
      <c r="RSV487" s="17"/>
      <c r="RSW487" s="17"/>
      <c r="RSX487" s="17"/>
      <c r="RSY487" s="17"/>
      <c r="RSZ487" s="17"/>
      <c r="RTA487" s="17"/>
      <c r="RTB487" s="17"/>
      <c r="RTC487" s="17"/>
      <c r="RTD487" s="17"/>
      <c r="RTE487" s="17"/>
      <c r="RTF487" s="17"/>
      <c r="RTG487" s="17"/>
      <c r="RTH487" s="17"/>
      <c r="RTI487" s="17"/>
      <c r="RTJ487" s="17"/>
      <c r="RTK487" s="17"/>
      <c r="RTL487" s="17"/>
      <c r="RTM487" s="17"/>
      <c r="RTN487" s="17"/>
      <c r="RTO487" s="17"/>
      <c r="RTP487" s="17"/>
      <c r="RTQ487" s="17"/>
      <c r="RTR487" s="17"/>
      <c r="RTS487" s="17"/>
      <c r="RTT487" s="17"/>
      <c r="RTU487" s="17"/>
      <c r="RTV487" s="17"/>
      <c r="RTW487" s="17"/>
      <c r="RTX487" s="17"/>
      <c r="RTY487" s="17"/>
      <c r="RTZ487" s="17"/>
      <c r="RUA487" s="17"/>
      <c r="RUB487" s="17"/>
      <c r="RUC487" s="17"/>
      <c r="RUD487" s="17"/>
      <c r="RUE487" s="17"/>
      <c r="RUF487" s="17"/>
      <c r="RUG487" s="17"/>
      <c r="RUH487" s="17"/>
      <c r="RUI487" s="17"/>
      <c r="RUJ487" s="17"/>
      <c r="RUK487" s="17"/>
      <c r="RUL487" s="17"/>
      <c r="RUM487" s="17"/>
      <c r="RUN487" s="17"/>
      <c r="RUO487" s="17"/>
      <c r="RUP487" s="17"/>
      <c r="RUQ487" s="17"/>
      <c r="RUR487" s="17"/>
      <c r="RUS487" s="17"/>
      <c r="RUT487" s="17"/>
      <c r="RUU487" s="17"/>
      <c r="RUV487" s="17"/>
      <c r="RUW487" s="17"/>
      <c r="RUX487" s="17"/>
      <c r="RUY487" s="17"/>
      <c r="RUZ487" s="17"/>
      <c r="RVA487" s="17"/>
      <c r="RVB487" s="17"/>
      <c r="RVC487" s="17"/>
      <c r="RVD487" s="17"/>
      <c r="RVE487" s="17"/>
      <c r="RVF487" s="17"/>
      <c r="RVG487" s="17"/>
      <c r="RVH487" s="17"/>
      <c r="RVI487" s="17"/>
      <c r="RVJ487" s="17"/>
      <c r="RVK487" s="17"/>
      <c r="RVL487" s="17"/>
      <c r="RVM487" s="17"/>
      <c r="RVN487" s="17"/>
      <c r="RVO487" s="17"/>
      <c r="RVP487" s="17"/>
      <c r="RVQ487" s="17"/>
      <c r="RVR487" s="17"/>
      <c r="RVS487" s="17"/>
      <c r="RVT487" s="17"/>
      <c r="RVU487" s="17"/>
      <c r="RVV487" s="17"/>
      <c r="RVW487" s="17"/>
      <c r="RVX487" s="17"/>
      <c r="RVY487" s="17"/>
      <c r="RVZ487" s="17"/>
      <c r="RWA487" s="17"/>
      <c r="RWB487" s="17"/>
      <c r="RWC487" s="17"/>
      <c r="RWD487" s="17"/>
      <c r="RWE487" s="17"/>
      <c r="RWF487" s="17"/>
      <c r="RWG487" s="17"/>
      <c r="RWH487" s="17"/>
      <c r="RWI487" s="17"/>
      <c r="RWJ487" s="17"/>
      <c r="RWK487" s="17"/>
      <c r="RWL487" s="17"/>
      <c r="RWM487" s="17"/>
      <c r="RWN487" s="17"/>
      <c r="RWO487" s="17"/>
      <c r="RWP487" s="17"/>
      <c r="RWQ487" s="17"/>
      <c r="RWR487" s="17"/>
      <c r="RWS487" s="17"/>
      <c r="RWT487" s="17"/>
      <c r="RWU487" s="17"/>
      <c r="RWV487" s="17"/>
      <c r="RWW487" s="17"/>
      <c r="RWX487" s="17"/>
      <c r="RWY487" s="17"/>
      <c r="RWZ487" s="17"/>
      <c r="RXA487" s="17"/>
      <c r="RXB487" s="17"/>
      <c r="RXC487" s="17"/>
      <c r="RXD487" s="17"/>
      <c r="RXE487" s="17"/>
      <c r="RXF487" s="17"/>
      <c r="RXG487" s="17"/>
      <c r="RXH487" s="17"/>
      <c r="RXI487" s="17"/>
      <c r="RXJ487" s="17"/>
      <c r="RXK487" s="17"/>
      <c r="RXL487" s="17"/>
      <c r="RXM487" s="17"/>
      <c r="RXN487" s="17"/>
      <c r="RXO487" s="17"/>
      <c r="RXP487" s="17"/>
      <c r="RXQ487" s="17"/>
      <c r="RXR487" s="17"/>
      <c r="RXS487" s="17"/>
      <c r="RXT487" s="17"/>
      <c r="RXU487" s="17"/>
      <c r="RXV487" s="17"/>
      <c r="RXW487" s="17"/>
      <c r="RXX487" s="17"/>
      <c r="RXY487" s="17"/>
      <c r="RXZ487" s="17"/>
      <c r="RYA487" s="17"/>
      <c r="RYB487" s="17"/>
      <c r="RYC487" s="17"/>
      <c r="RYD487" s="17"/>
      <c r="RYE487" s="17"/>
      <c r="RYF487" s="17"/>
      <c r="RYG487" s="17"/>
      <c r="RYH487" s="17"/>
      <c r="RYI487" s="17"/>
      <c r="RYJ487" s="17"/>
      <c r="RYK487" s="17"/>
      <c r="RYL487" s="17"/>
      <c r="RYM487" s="17"/>
      <c r="RYN487" s="17"/>
      <c r="RYO487" s="17"/>
      <c r="RYP487" s="17"/>
      <c r="RYQ487" s="17"/>
      <c r="RYR487" s="17"/>
      <c r="RYS487" s="17"/>
      <c r="RYT487" s="17"/>
      <c r="RYU487" s="17"/>
      <c r="RYV487" s="17"/>
      <c r="RYW487" s="17"/>
      <c r="RYX487" s="17"/>
      <c r="RYY487" s="17"/>
      <c r="RYZ487" s="17"/>
      <c r="RZA487" s="17"/>
      <c r="RZB487" s="17"/>
      <c r="RZC487" s="17"/>
      <c r="RZD487" s="17"/>
      <c r="RZE487" s="17"/>
      <c r="RZF487" s="17"/>
      <c r="RZG487" s="17"/>
      <c r="RZH487" s="17"/>
      <c r="RZI487" s="17"/>
      <c r="RZJ487" s="17"/>
      <c r="RZK487" s="17"/>
      <c r="RZL487" s="17"/>
      <c r="RZM487" s="17"/>
      <c r="RZN487" s="17"/>
      <c r="RZO487" s="17"/>
      <c r="RZP487" s="17"/>
      <c r="RZQ487" s="17"/>
      <c r="RZR487" s="17"/>
      <c r="RZS487" s="17"/>
      <c r="RZT487" s="17"/>
      <c r="RZU487" s="17"/>
      <c r="RZV487" s="17"/>
      <c r="RZW487" s="17"/>
      <c r="RZX487" s="17"/>
      <c r="RZY487" s="17"/>
      <c r="RZZ487" s="17"/>
      <c r="SAA487" s="17"/>
      <c r="SAB487" s="17"/>
      <c r="SAC487" s="17"/>
      <c r="SAD487" s="17"/>
      <c r="SAE487" s="17"/>
      <c r="SAF487" s="17"/>
      <c r="SAG487" s="17"/>
      <c r="SAH487" s="17"/>
      <c r="SAI487" s="17"/>
      <c r="SAJ487" s="17"/>
      <c r="SAK487" s="17"/>
      <c r="SAL487" s="17"/>
      <c r="SAM487" s="17"/>
      <c r="SAN487" s="17"/>
      <c r="SAO487" s="17"/>
      <c r="SAP487" s="17"/>
      <c r="SAQ487" s="17"/>
      <c r="SAR487" s="17"/>
      <c r="SAS487" s="17"/>
      <c r="SAT487" s="17"/>
      <c r="SAU487" s="17"/>
      <c r="SAV487" s="17"/>
      <c r="SAW487" s="17"/>
      <c r="SAX487" s="17"/>
      <c r="SAY487" s="17"/>
      <c r="SAZ487" s="17"/>
      <c r="SBA487" s="17"/>
      <c r="SBB487" s="17"/>
      <c r="SBC487" s="17"/>
      <c r="SBD487" s="17"/>
      <c r="SBE487" s="17"/>
      <c r="SBF487" s="17"/>
      <c r="SBG487" s="17"/>
      <c r="SBH487" s="17"/>
      <c r="SBI487" s="17"/>
      <c r="SBJ487" s="17"/>
      <c r="SBK487" s="17"/>
      <c r="SBL487" s="17"/>
      <c r="SBM487" s="17"/>
      <c r="SBN487" s="17"/>
      <c r="SBO487" s="17"/>
      <c r="SBP487" s="17"/>
      <c r="SBQ487" s="17"/>
      <c r="SBR487" s="17"/>
      <c r="SBS487" s="17"/>
      <c r="SBT487" s="17"/>
      <c r="SBU487" s="17"/>
      <c r="SBV487" s="17"/>
      <c r="SBW487" s="17"/>
      <c r="SBX487" s="17"/>
      <c r="SBY487" s="17"/>
      <c r="SBZ487" s="17"/>
      <c r="SCA487" s="17"/>
      <c r="SCB487" s="17"/>
      <c r="SCC487" s="17"/>
      <c r="SCD487" s="17"/>
      <c r="SCE487" s="17"/>
      <c r="SCF487" s="17"/>
      <c r="SCG487" s="17"/>
      <c r="SCH487" s="17"/>
      <c r="SCI487" s="17"/>
      <c r="SCJ487" s="17"/>
      <c r="SCK487" s="17"/>
      <c r="SCL487" s="17"/>
      <c r="SCM487" s="17"/>
      <c r="SCN487" s="17"/>
      <c r="SCO487" s="17"/>
      <c r="SCP487" s="17"/>
      <c r="SCQ487" s="17"/>
      <c r="SCR487" s="17"/>
      <c r="SCS487" s="17"/>
      <c r="SCT487" s="17"/>
      <c r="SCU487" s="17"/>
      <c r="SCV487" s="17"/>
      <c r="SCW487" s="17"/>
      <c r="SCX487" s="17"/>
      <c r="SCY487" s="17"/>
      <c r="SCZ487" s="17"/>
      <c r="SDA487" s="17"/>
      <c r="SDB487" s="17"/>
      <c r="SDC487" s="17"/>
      <c r="SDD487" s="17"/>
      <c r="SDE487" s="17"/>
      <c r="SDF487" s="17"/>
      <c r="SDG487" s="17"/>
      <c r="SDH487" s="17"/>
      <c r="SDI487" s="17"/>
      <c r="SDJ487" s="17"/>
      <c r="SDK487" s="17"/>
      <c r="SDL487" s="17"/>
      <c r="SDM487" s="17"/>
      <c r="SDN487" s="17"/>
      <c r="SDO487" s="17"/>
      <c r="SDP487" s="17"/>
      <c r="SDQ487" s="17"/>
      <c r="SDR487" s="17"/>
      <c r="SDS487" s="17"/>
      <c r="SDT487" s="17"/>
      <c r="SDU487" s="17"/>
      <c r="SDV487" s="17"/>
      <c r="SDW487" s="17"/>
      <c r="SDX487" s="17"/>
      <c r="SDY487" s="17"/>
      <c r="SDZ487" s="17"/>
      <c r="SEA487" s="17"/>
      <c r="SEB487" s="17"/>
      <c r="SEC487" s="17"/>
      <c r="SED487" s="17"/>
      <c r="SEE487" s="17"/>
      <c r="SEF487" s="17"/>
      <c r="SEG487" s="17"/>
      <c r="SEH487" s="17"/>
      <c r="SEI487" s="17"/>
      <c r="SEJ487" s="17"/>
      <c r="SEK487" s="17"/>
      <c r="SEL487" s="17"/>
      <c r="SEM487" s="17"/>
      <c r="SEN487" s="17"/>
      <c r="SEO487" s="17"/>
      <c r="SEP487" s="17"/>
      <c r="SEQ487" s="17"/>
      <c r="SER487" s="17"/>
      <c r="SES487" s="17"/>
      <c r="SET487" s="17"/>
      <c r="SEU487" s="17"/>
      <c r="SEV487" s="17"/>
      <c r="SEW487" s="17"/>
      <c r="SEX487" s="17"/>
      <c r="SEY487" s="17"/>
      <c r="SEZ487" s="17"/>
      <c r="SFA487" s="17"/>
      <c r="SFB487" s="17"/>
      <c r="SFC487" s="17"/>
      <c r="SFD487" s="17"/>
      <c r="SFE487" s="17"/>
      <c r="SFF487" s="17"/>
      <c r="SFG487" s="17"/>
      <c r="SFH487" s="17"/>
      <c r="SFI487" s="17"/>
      <c r="SFJ487" s="17"/>
      <c r="SFK487" s="17"/>
      <c r="SFL487" s="17"/>
      <c r="SFM487" s="17"/>
      <c r="SFN487" s="17"/>
      <c r="SFO487" s="17"/>
      <c r="SFP487" s="17"/>
      <c r="SFQ487" s="17"/>
      <c r="SFR487" s="17"/>
      <c r="SFS487" s="17"/>
      <c r="SFT487" s="17"/>
      <c r="SFU487" s="17"/>
      <c r="SFV487" s="17"/>
      <c r="SFW487" s="17"/>
      <c r="SFX487" s="17"/>
      <c r="SFY487" s="17"/>
      <c r="SFZ487" s="17"/>
      <c r="SGA487" s="17"/>
      <c r="SGB487" s="17"/>
      <c r="SGC487" s="17"/>
      <c r="SGD487" s="17"/>
      <c r="SGE487" s="17"/>
      <c r="SGF487" s="17"/>
      <c r="SGG487" s="17"/>
      <c r="SGH487" s="17"/>
      <c r="SGI487" s="17"/>
      <c r="SGJ487" s="17"/>
      <c r="SGK487" s="17"/>
      <c r="SGL487" s="17"/>
      <c r="SGM487" s="17"/>
      <c r="SGN487" s="17"/>
      <c r="SGO487" s="17"/>
      <c r="SGP487" s="17"/>
      <c r="SGQ487" s="17"/>
      <c r="SGR487" s="17"/>
      <c r="SGS487" s="17"/>
      <c r="SGT487" s="17"/>
      <c r="SGU487" s="17"/>
      <c r="SGV487" s="17"/>
      <c r="SGW487" s="17"/>
      <c r="SGX487" s="17"/>
      <c r="SGY487" s="17"/>
      <c r="SGZ487" s="17"/>
      <c r="SHA487" s="17"/>
      <c r="SHB487" s="17"/>
      <c r="SHC487" s="17"/>
      <c r="SHD487" s="17"/>
      <c r="SHE487" s="17"/>
      <c r="SHF487" s="17"/>
      <c r="SHG487" s="17"/>
      <c r="SHH487" s="17"/>
      <c r="SHI487" s="17"/>
      <c r="SHJ487" s="17"/>
      <c r="SHK487" s="17"/>
      <c r="SHL487" s="17"/>
      <c r="SHM487" s="17"/>
      <c r="SHN487" s="17"/>
      <c r="SHO487" s="17"/>
      <c r="SHP487" s="17"/>
      <c r="SHQ487" s="17"/>
      <c r="SHR487" s="17"/>
      <c r="SHS487" s="17"/>
      <c r="SHT487" s="17"/>
      <c r="SHU487" s="17"/>
      <c r="SHV487" s="17"/>
      <c r="SHW487" s="17"/>
      <c r="SHX487" s="17"/>
      <c r="SHY487" s="17"/>
      <c r="SHZ487" s="17"/>
      <c r="SIA487" s="17"/>
      <c r="SIB487" s="17"/>
      <c r="SIC487" s="17"/>
      <c r="SID487" s="17"/>
      <c r="SIE487" s="17"/>
      <c r="SIF487" s="17"/>
      <c r="SIG487" s="17"/>
      <c r="SIH487" s="17"/>
      <c r="SII487" s="17"/>
      <c r="SIJ487" s="17"/>
      <c r="SIK487" s="17"/>
      <c r="SIL487" s="17"/>
      <c r="SIM487" s="17"/>
      <c r="SIN487" s="17"/>
      <c r="SIO487" s="17"/>
      <c r="SIP487" s="17"/>
      <c r="SIQ487" s="17"/>
      <c r="SIR487" s="17"/>
      <c r="SIS487" s="17"/>
      <c r="SIT487" s="17"/>
      <c r="SIU487" s="17"/>
      <c r="SIV487" s="17"/>
      <c r="SIW487" s="17"/>
      <c r="SIX487" s="17"/>
      <c r="SIY487" s="17"/>
      <c r="SIZ487" s="17"/>
      <c r="SJA487" s="17"/>
      <c r="SJB487" s="17"/>
      <c r="SJC487" s="17"/>
      <c r="SJD487" s="17"/>
      <c r="SJE487" s="17"/>
      <c r="SJF487" s="17"/>
      <c r="SJG487" s="17"/>
      <c r="SJH487" s="17"/>
      <c r="SJI487" s="17"/>
      <c r="SJJ487" s="17"/>
      <c r="SJK487" s="17"/>
      <c r="SJL487" s="17"/>
      <c r="SJM487" s="17"/>
      <c r="SJN487" s="17"/>
      <c r="SJO487" s="17"/>
      <c r="SJP487" s="17"/>
      <c r="SJQ487" s="17"/>
      <c r="SJR487" s="17"/>
      <c r="SJS487" s="17"/>
      <c r="SJT487" s="17"/>
      <c r="SJU487" s="17"/>
      <c r="SJV487" s="17"/>
      <c r="SJW487" s="17"/>
      <c r="SJX487" s="17"/>
      <c r="SJY487" s="17"/>
      <c r="SJZ487" s="17"/>
      <c r="SKA487" s="17"/>
      <c r="SKB487" s="17"/>
      <c r="SKC487" s="17"/>
      <c r="SKD487" s="17"/>
      <c r="SKE487" s="17"/>
      <c r="SKF487" s="17"/>
      <c r="SKG487" s="17"/>
      <c r="SKH487" s="17"/>
      <c r="SKI487" s="17"/>
      <c r="SKJ487" s="17"/>
      <c r="SKK487" s="17"/>
      <c r="SKL487" s="17"/>
      <c r="SKM487" s="17"/>
      <c r="SKN487" s="17"/>
      <c r="SKO487" s="17"/>
      <c r="SKP487" s="17"/>
      <c r="SKQ487" s="17"/>
      <c r="SKR487" s="17"/>
      <c r="SKS487" s="17"/>
      <c r="SKT487" s="17"/>
      <c r="SKU487" s="17"/>
      <c r="SKV487" s="17"/>
      <c r="SKW487" s="17"/>
      <c r="SKX487" s="17"/>
      <c r="SKY487" s="17"/>
      <c r="SKZ487" s="17"/>
      <c r="SLA487" s="17"/>
      <c r="SLB487" s="17"/>
      <c r="SLC487" s="17"/>
      <c r="SLD487" s="17"/>
      <c r="SLE487" s="17"/>
      <c r="SLF487" s="17"/>
      <c r="SLG487" s="17"/>
      <c r="SLH487" s="17"/>
      <c r="SLI487" s="17"/>
      <c r="SLJ487" s="17"/>
      <c r="SLK487" s="17"/>
      <c r="SLL487" s="17"/>
      <c r="SLM487" s="17"/>
      <c r="SLN487" s="17"/>
      <c r="SLO487" s="17"/>
      <c r="SLP487" s="17"/>
      <c r="SLQ487" s="17"/>
      <c r="SLR487" s="17"/>
      <c r="SLS487" s="17"/>
      <c r="SLT487" s="17"/>
      <c r="SLU487" s="17"/>
      <c r="SLV487" s="17"/>
      <c r="SLW487" s="17"/>
      <c r="SLX487" s="17"/>
      <c r="SLY487" s="17"/>
      <c r="SLZ487" s="17"/>
      <c r="SMA487" s="17"/>
      <c r="SMB487" s="17"/>
      <c r="SMC487" s="17"/>
      <c r="SMD487" s="17"/>
      <c r="SME487" s="17"/>
      <c r="SMF487" s="17"/>
      <c r="SMG487" s="17"/>
      <c r="SMH487" s="17"/>
      <c r="SMI487" s="17"/>
      <c r="SMJ487" s="17"/>
      <c r="SMK487" s="17"/>
      <c r="SML487" s="17"/>
      <c r="SMM487" s="17"/>
      <c r="SMN487" s="17"/>
      <c r="SMO487" s="17"/>
      <c r="SMP487" s="17"/>
      <c r="SMQ487" s="17"/>
      <c r="SMR487" s="17"/>
      <c r="SMS487" s="17"/>
      <c r="SMT487" s="17"/>
      <c r="SMU487" s="17"/>
      <c r="SMV487" s="17"/>
      <c r="SMW487" s="17"/>
      <c r="SMX487" s="17"/>
      <c r="SMY487" s="17"/>
      <c r="SMZ487" s="17"/>
      <c r="SNA487" s="17"/>
      <c r="SNB487" s="17"/>
      <c r="SNC487" s="17"/>
      <c r="SND487" s="17"/>
      <c r="SNE487" s="17"/>
      <c r="SNF487" s="17"/>
      <c r="SNG487" s="17"/>
      <c r="SNH487" s="17"/>
      <c r="SNI487" s="17"/>
      <c r="SNJ487" s="17"/>
      <c r="SNK487" s="17"/>
      <c r="SNL487" s="17"/>
      <c r="SNM487" s="17"/>
      <c r="SNN487" s="17"/>
      <c r="SNO487" s="17"/>
      <c r="SNP487" s="17"/>
      <c r="SNQ487" s="17"/>
      <c r="SNR487" s="17"/>
      <c r="SNS487" s="17"/>
      <c r="SNT487" s="17"/>
      <c r="SNU487" s="17"/>
      <c r="SNV487" s="17"/>
      <c r="SNW487" s="17"/>
      <c r="SNX487" s="17"/>
      <c r="SNY487" s="17"/>
      <c r="SNZ487" s="17"/>
      <c r="SOA487" s="17"/>
      <c r="SOB487" s="17"/>
      <c r="SOC487" s="17"/>
      <c r="SOD487" s="17"/>
      <c r="SOE487" s="17"/>
      <c r="SOF487" s="17"/>
      <c r="SOG487" s="17"/>
      <c r="SOH487" s="17"/>
      <c r="SOI487" s="17"/>
      <c r="SOJ487" s="17"/>
      <c r="SOK487" s="17"/>
      <c r="SOL487" s="17"/>
      <c r="SOM487" s="17"/>
      <c r="SON487" s="17"/>
      <c r="SOO487" s="17"/>
      <c r="SOP487" s="17"/>
      <c r="SOQ487" s="17"/>
      <c r="SOR487" s="17"/>
      <c r="SOS487" s="17"/>
      <c r="SOT487" s="17"/>
      <c r="SOU487" s="17"/>
      <c r="SOV487" s="17"/>
      <c r="SOW487" s="17"/>
      <c r="SOX487" s="17"/>
      <c r="SOY487" s="17"/>
      <c r="SOZ487" s="17"/>
      <c r="SPA487" s="17"/>
      <c r="SPB487" s="17"/>
      <c r="SPC487" s="17"/>
      <c r="SPD487" s="17"/>
      <c r="SPE487" s="17"/>
      <c r="SPF487" s="17"/>
      <c r="SPG487" s="17"/>
      <c r="SPH487" s="17"/>
      <c r="SPI487" s="17"/>
      <c r="SPJ487" s="17"/>
      <c r="SPK487" s="17"/>
      <c r="SPL487" s="17"/>
      <c r="SPM487" s="17"/>
      <c r="SPN487" s="17"/>
      <c r="SPO487" s="17"/>
      <c r="SPP487" s="17"/>
      <c r="SPQ487" s="17"/>
      <c r="SPR487" s="17"/>
      <c r="SPS487" s="17"/>
      <c r="SPT487" s="17"/>
      <c r="SPU487" s="17"/>
      <c r="SPV487" s="17"/>
      <c r="SPW487" s="17"/>
      <c r="SPX487" s="17"/>
      <c r="SPY487" s="17"/>
      <c r="SPZ487" s="17"/>
      <c r="SQA487" s="17"/>
      <c r="SQB487" s="17"/>
      <c r="SQC487" s="17"/>
      <c r="SQD487" s="17"/>
      <c r="SQE487" s="17"/>
      <c r="SQF487" s="17"/>
      <c r="SQG487" s="17"/>
      <c r="SQH487" s="17"/>
      <c r="SQI487" s="17"/>
      <c r="SQJ487" s="17"/>
      <c r="SQK487" s="17"/>
      <c r="SQL487" s="17"/>
      <c r="SQM487" s="17"/>
      <c r="SQN487" s="17"/>
      <c r="SQO487" s="17"/>
      <c r="SQP487" s="17"/>
      <c r="SQQ487" s="17"/>
      <c r="SQR487" s="17"/>
      <c r="SQS487" s="17"/>
      <c r="SQT487" s="17"/>
      <c r="SQU487" s="17"/>
      <c r="SQV487" s="17"/>
      <c r="SQW487" s="17"/>
      <c r="SQX487" s="17"/>
      <c r="SQY487" s="17"/>
      <c r="SQZ487" s="17"/>
      <c r="SRA487" s="17"/>
      <c r="SRB487" s="17"/>
      <c r="SRC487" s="17"/>
      <c r="SRD487" s="17"/>
      <c r="SRE487" s="17"/>
      <c r="SRF487" s="17"/>
      <c r="SRG487" s="17"/>
      <c r="SRH487" s="17"/>
      <c r="SRI487" s="17"/>
      <c r="SRJ487" s="17"/>
      <c r="SRK487" s="17"/>
      <c r="SRL487" s="17"/>
      <c r="SRM487" s="17"/>
      <c r="SRN487" s="17"/>
      <c r="SRO487" s="17"/>
      <c r="SRP487" s="17"/>
      <c r="SRQ487" s="17"/>
      <c r="SRR487" s="17"/>
      <c r="SRS487" s="17"/>
      <c r="SRT487" s="17"/>
      <c r="SRU487" s="17"/>
      <c r="SRV487" s="17"/>
      <c r="SRW487" s="17"/>
      <c r="SRX487" s="17"/>
      <c r="SRY487" s="17"/>
      <c r="SRZ487" s="17"/>
      <c r="SSA487" s="17"/>
      <c r="SSB487" s="17"/>
      <c r="SSC487" s="17"/>
      <c r="SSD487" s="17"/>
      <c r="SSE487" s="17"/>
      <c r="SSF487" s="17"/>
      <c r="SSG487" s="17"/>
      <c r="SSH487" s="17"/>
      <c r="SSI487" s="17"/>
      <c r="SSJ487" s="17"/>
      <c r="SSK487" s="17"/>
      <c r="SSL487" s="17"/>
      <c r="SSM487" s="17"/>
      <c r="SSN487" s="17"/>
      <c r="SSO487" s="17"/>
      <c r="SSP487" s="17"/>
      <c r="SSQ487" s="17"/>
      <c r="SSR487" s="17"/>
      <c r="SSS487" s="17"/>
      <c r="SST487" s="17"/>
      <c r="SSU487" s="17"/>
      <c r="SSV487" s="17"/>
      <c r="SSW487" s="17"/>
      <c r="SSX487" s="17"/>
      <c r="SSY487" s="17"/>
      <c r="SSZ487" s="17"/>
      <c r="STA487" s="17"/>
      <c r="STB487" s="17"/>
      <c r="STC487" s="17"/>
      <c r="STD487" s="17"/>
      <c r="STE487" s="17"/>
      <c r="STF487" s="17"/>
      <c r="STG487" s="17"/>
      <c r="STH487" s="17"/>
      <c r="STI487" s="17"/>
      <c r="STJ487" s="17"/>
      <c r="STK487" s="17"/>
      <c r="STL487" s="17"/>
      <c r="STM487" s="17"/>
      <c r="STN487" s="17"/>
      <c r="STO487" s="17"/>
      <c r="STP487" s="17"/>
      <c r="STQ487" s="17"/>
      <c r="STR487" s="17"/>
      <c r="STS487" s="17"/>
      <c r="STT487" s="17"/>
      <c r="STU487" s="17"/>
      <c r="STV487" s="17"/>
      <c r="STW487" s="17"/>
      <c r="STX487" s="17"/>
      <c r="STY487" s="17"/>
      <c r="STZ487" s="17"/>
      <c r="SUA487" s="17"/>
      <c r="SUB487" s="17"/>
      <c r="SUC487" s="17"/>
      <c r="SUD487" s="17"/>
      <c r="SUE487" s="17"/>
      <c r="SUF487" s="17"/>
      <c r="SUG487" s="17"/>
      <c r="SUH487" s="17"/>
      <c r="SUI487" s="17"/>
      <c r="SUJ487" s="17"/>
      <c r="SUK487" s="17"/>
      <c r="SUL487" s="17"/>
      <c r="SUM487" s="17"/>
      <c r="SUN487" s="17"/>
      <c r="SUO487" s="17"/>
      <c r="SUP487" s="17"/>
      <c r="SUQ487" s="17"/>
      <c r="SUR487" s="17"/>
      <c r="SUS487" s="17"/>
      <c r="SUT487" s="17"/>
      <c r="SUU487" s="17"/>
      <c r="SUV487" s="17"/>
      <c r="SUW487" s="17"/>
      <c r="SUX487" s="17"/>
      <c r="SUY487" s="17"/>
      <c r="SUZ487" s="17"/>
      <c r="SVA487" s="17"/>
      <c r="SVB487" s="17"/>
      <c r="SVC487" s="17"/>
      <c r="SVD487" s="17"/>
      <c r="SVE487" s="17"/>
      <c r="SVF487" s="17"/>
      <c r="SVG487" s="17"/>
      <c r="SVH487" s="17"/>
      <c r="SVI487" s="17"/>
      <c r="SVJ487" s="17"/>
      <c r="SVK487" s="17"/>
      <c r="SVL487" s="17"/>
      <c r="SVM487" s="17"/>
      <c r="SVN487" s="17"/>
      <c r="SVO487" s="17"/>
      <c r="SVP487" s="17"/>
      <c r="SVQ487" s="17"/>
      <c r="SVR487" s="17"/>
      <c r="SVS487" s="17"/>
      <c r="SVT487" s="17"/>
      <c r="SVU487" s="17"/>
      <c r="SVV487" s="17"/>
      <c r="SVW487" s="17"/>
      <c r="SVX487" s="17"/>
      <c r="SVY487" s="17"/>
      <c r="SVZ487" s="17"/>
      <c r="SWA487" s="17"/>
      <c r="SWB487" s="17"/>
      <c r="SWC487" s="17"/>
      <c r="SWD487" s="17"/>
      <c r="SWE487" s="17"/>
      <c r="SWF487" s="17"/>
      <c r="SWG487" s="17"/>
      <c r="SWH487" s="17"/>
      <c r="SWI487" s="17"/>
      <c r="SWJ487" s="17"/>
      <c r="SWK487" s="17"/>
      <c r="SWL487" s="17"/>
      <c r="SWM487" s="17"/>
      <c r="SWN487" s="17"/>
      <c r="SWO487" s="17"/>
      <c r="SWP487" s="17"/>
      <c r="SWQ487" s="17"/>
      <c r="SWR487" s="17"/>
      <c r="SWS487" s="17"/>
      <c r="SWT487" s="17"/>
      <c r="SWU487" s="17"/>
      <c r="SWV487" s="17"/>
      <c r="SWW487" s="17"/>
      <c r="SWX487" s="17"/>
      <c r="SWY487" s="17"/>
      <c r="SWZ487" s="17"/>
      <c r="SXA487" s="17"/>
      <c r="SXB487" s="17"/>
      <c r="SXC487" s="17"/>
      <c r="SXD487" s="17"/>
      <c r="SXE487" s="17"/>
      <c r="SXF487" s="17"/>
      <c r="SXG487" s="17"/>
      <c r="SXH487" s="17"/>
      <c r="SXI487" s="17"/>
      <c r="SXJ487" s="17"/>
      <c r="SXK487" s="17"/>
      <c r="SXL487" s="17"/>
      <c r="SXM487" s="17"/>
      <c r="SXN487" s="17"/>
      <c r="SXO487" s="17"/>
      <c r="SXP487" s="17"/>
      <c r="SXQ487" s="17"/>
      <c r="SXR487" s="17"/>
      <c r="SXS487" s="17"/>
      <c r="SXT487" s="17"/>
      <c r="SXU487" s="17"/>
      <c r="SXV487" s="17"/>
      <c r="SXW487" s="17"/>
      <c r="SXX487" s="17"/>
      <c r="SXY487" s="17"/>
      <c r="SXZ487" s="17"/>
      <c r="SYA487" s="17"/>
      <c r="SYB487" s="17"/>
      <c r="SYC487" s="17"/>
      <c r="SYD487" s="17"/>
      <c r="SYE487" s="17"/>
      <c r="SYF487" s="17"/>
      <c r="SYG487" s="17"/>
      <c r="SYH487" s="17"/>
      <c r="SYI487" s="17"/>
      <c r="SYJ487" s="17"/>
      <c r="SYK487" s="17"/>
      <c r="SYL487" s="17"/>
      <c r="SYM487" s="17"/>
      <c r="SYN487" s="17"/>
      <c r="SYO487" s="17"/>
      <c r="SYP487" s="17"/>
      <c r="SYQ487" s="17"/>
      <c r="SYR487" s="17"/>
      <c r="SYS487" s="17"/>
      <c r="SYT487" s="17"/>
      <c r="SYU487" s="17"/>
      <c r="SYV487" s="17"/>
      <c r="SYW487" s="17"/>
      <c r="SYX487" s="17"/>
      <c r="SYY487" s="17"/>
      <c r="SYZ487" s="17"/>
      <c r="SZA487" s="17"/>
      <c r="SZB487" s="17"/>
      <c r="SZC487" s="17"/>
      <c r="SZD487" s="17"/>
      <c r="SZE487" s="17"/>
      <c r="SZF487" s="17"/>
      <c r="SZG487" s="17"/>
      <c r="SZH487" s="17"/>
      <c r="SZI487" s="17"/>
      <c r="SZJ487" s="17"/>
      <c r="SZK487" s="17"/>
      <c r="SZL487" s="17"/>
      <c r="SZM487" s="17"/>
      <c r="SZN487" s="17"/>
      <c r="SZO487" s="17"/>
      <c r="SZP487" s="17"/>
      <c r="SZQ487" s="17"/>
      <c r="SZR487" s="17"/>
      <c r="SZS487" s="17"/>
      <c r="SZT487" s="17"/>
      <c r="SZU487" s="17"/>
      <c r="SZV487" s="17"/>
      <c r="SZW487" s="17"/>
      <c r="SZX487" s="17"/>
      <c r="SZY487" s="17"/>
      <c r="SZZ487" s="17"/>
      <c r="TAA487" s="17"/>
      <c r="TAB487" s="17"/>
      <c r="TAC487" s="17"/>
      <c r="TAD487" s="17"/>
      <c r="TAE487" s="17"/>
      <c r="TAF487" s="17"/>
      <c r="TAG487" s="17"/>
      <c r="TAH487" s="17"/>
      <c r="TAI487" s="17"/>
      <c r="TAJ487" s="17"/>
      <c r="TAK487" s="17"/>
      <c r="TAL487" s="17"/>
      <c r="TAM487" s="17"/>
      <c r="TAN487" s="17"/>
      <c r="TAO487" s="17"/>
      <c r="TAP487" s="17"/>
      <c r="TAQ487" s="17"/>
      <c r="TAR487" s="17"/>
      <c r="TAS487" s="17"/>
      <c r="TAT487" s="17"/>
      <c r="TAU487" s="17"/>
      <c r="TAV487" s="17"/>
      <c r="TAW487" s="17"/>
      <c r="TAX487" s="17"/>
      <c r="TAY487" s="17"/>
      <c r="TAZ487" s="17"/>
      <c r="TBA487" s="17"/>
      <c r="TBB487" s="17"/>
      <c r="TBC487" s="17"/>
      <c r="TBD487" s="17"/>
      <c r="TBE487" s="17"/>
      <c r="TBF487" s="17"/>
      <c r="TBG487" s="17"/>
      <c r="TBH487" s="17"/>
      <c r="TBI487" s="17"/>
      <c r="TBJ487" s="17"/>
      <c r="TBK487" s="17"/>
      <c r="TBL487" s="17"/>
      <c r="TBM487" s="17"/>
      <c r="TBN487" s="17"/>
      <c r="TBO487" s="17"/>
      <c r="TBP487" s="17"/>
      <c r="TBQ487" s="17"/>
      <c r="TBR487" s="17"/>
      <c r="TBS487" s="17"/>
      <c r="TBT487" s="17"/>
      <c r="TBU487" s="17"/>
      <c r="TBV487" s="17"/>
      <c r="TBW487" s="17"/>
      <c r="TBX487" s="17"/>
      <c r="TBY487" s="17"/>
      <c r="TBZ487" s="17"/>
      <c r="TCA487" s="17"/>
      <c r="TCB487" s="17"/>
      <c r="TCC487" s="17"/>
      <c r="TCD487" s="17"/>
      <c r="TCE487" s="17"/>
      <c r="TCF487" s="17"/>
      <c r="TCG487" s="17"/>
      <c r="TCH487" s="17"/>
      <c r="TCI487" s="17"/>
      <c r="TCJ487" s="17"/>
      <c r="TCK487" s="17"/>
      <c r="TCL487" s="17"/>
      <c r="TCM487" s="17"/>
      <c r="TCN487" s="17"/>
      <c r="TCO487" s="17"/>
      <c r="TCP487" s="17"/>
      <c r="TCQ487" s="17"/>
      <c r="TCR487" s="17"/>
      <c r="TCS487" s="17"/>
      <c r="TCT487" s="17"/>
      <c r="TCU487" s="17"/>
      <c r="TCV487" s="17"/>
      <c r="TCW487" s="17"/>
      <c r="TCX487" s="17"/>
      <c r="TCY487" s="17"/>
      <c r="TCZ487" s="17"/>
      <c r="TDA487" s="17"/>
      <c r="TDB487" s="17"/>
      <c r="TDC487" s="17"/>
      <c r="TDD487" s="17"/>
      <c r="TDE487" s="17"/>
      <c r="TDF487" s="17"/>
      <c r="TDG487" s="17"/>
      <c r="TDH487" s="17"/>
      <c r="TDI487" s="17"/>
      <c r="TDJ487" s="17"/>
      <c r="TDK487" s="17"/>
      <c r="TDL487" s="17"/>
      <c r="TDM487" s="17"/>
      <c r="TDN487" s="17"/>
      <c r="TDO487" s="17"/>
      <c r="TDP487" s="17"/>
      <c r="TDQ487" s="17"/>
      <c r="TDR487" s="17"/>
      <c r="TDS487" s="17"/>
      <c r="TDT487" s="17"/>
      <c r="TDU487" s="17"/>
      <c r="TDV487" s="17"/>
      <c r="TDW487" s="17"/>
      <c r="TDX487" s="17"/>
      <c r="TDY487" s="17"/>
      <c r="TDZ487" s="17"/>
      <c r="TEA487" s="17"/>
      <c r="TEB487" s="17"/>
      <c r="TEC487" s="17"/>
      <c r="TED487" s="17"/>
      <c r="TEE487" s="17"/>
      <c r="TEF487" s="17"/>
      <c r="TEG487" s="17"/>
      <c r="TEH487" s="17"/>
      <c r="TEI487" s="17"/>
      <c r="TEJ487" s="17"/>
      <c r="TEK487" s="17"/>
      <c r="TEL487" s="17"/>
      <c r="TEM487" s="17"/>
      <c r="TEN487" s="17"/>
      <c r="TEO487" s="17"/>
      <c r="TEP487" s="17"/>
      <c r="TEQ487" s="17"/>
      <c r="TER487" s="17"/>
      <c r="TES487" s="17"/>
      <c r="TET487" s="17"/>
      <c r="TEU487" s="17"/>
      <c r="TEV487" s="17"/>
      <c r="TEW487" s="17"/>
      <c r="TEX487" s="17"/>
      <c r="TEY487" s="17"/>
      <c r="TEZ487" s="17"/>
      <c r="TFA487" s="17"/>
      <c r="TFB487" s="17"/>
      <c r="TFC487" s="17"/>
      <c r="TFD487" s="17"/>
      <c r="TFE487" s="17"/>
      <c r="TFF487" s="17"/>
      <c r="TFG487" s="17"/>
      <c r="TFH487" s="17"/>
      <c r="TFI487" s="17"/>
      <c r="TFJ487" s="17"/>
      <c r="TFK487" s="17"/>
      <c r="TFL487" s="17"/>
      <c r="TFM487" s="17"/>
      <c r="TFN487" s="17"/>
      <c r="TFO487" s="17"/>
      <c r="TFP487" s="17"/>
      <c r="TFQ487" s="17"/>
      <c r="TFR487" s="17"/>
      <c r="TFS487" s="17"/>
      <c r="TFT487" s="17"/>
      <c r="TFU487" s="17"/>
      <c r="TFV487" s="17"/>
      <c r="TFW487" s="17"/>
      <c r="TFX487" s="17"/>
      <c r="TFY487" s="17"/>
      <c r="TFZ487" s="17"/>
      <c r="TGA487" s="17"/>
      <c r="TGB487" s="17"/>
      <c r="TGC487" s="17"/>
      <c r="TGD487" s="17"/>
      <c r="TGE487" s="17"/>
      <c r="TGF487" s="17"/>
      <c r="TGG487" s="17"/>
      <c r="TGH487" s="17"/>
      <c r="TGI487" s="17"/>
      <c r="TGJ487" s="17"/>
      <c r="TGK487" s="17"/>
      <c r="TGL487" s="17"/>
      <c r="TGM487" s="17"/>
      <c r="TGN487" s="17"/>
      <c r="TGO487" s="17"/>
      <c r="TGP487" s="17"/>
      <c r="TGQ487" s="17"/>
      <c r="TGR487" s="17"/>
      <c r="TGS487" s="17"/>
      <c r="TGT487" s="17"/>
      <c r="TGU487" s="17"/>
      <c r="TGV487" s="17"/>
      <c r="TGW487" s="17"/>
      <c r="TGX487" s="17"/>
      <c r="TGY487" s="17"/>
      <c r="TGZ487" s="17"/>
      <c r="THA487" s="17"/>
      <c r="THB487" s="17"/>
      <c r="THC487" s="17"/>
      <c r="THD487" s="17"/>
      <c r="THE487" s="17"/>
      <c r="THF487" s="17"/>
      <c r="THG487" s="17"/>
      <c r="THH487" s="17"/>
      <c r="THI487" s="17"/>
      <c r="THJ487" s="17"/>
      <c r="THK487" s="17"/>
      <c r="THL487" s="17"/>
      <c r="THM487" s="17"/>
      <c r="THN487" s="17"/>
      <c r="THO487" s="17"/>
      <c r="THP487" s="17"/>
      <c r="THQ487" s="17"/>
      <c r="THR487" s="17"/>
      <c r="THS487" s="17"/>
      <c r="THT487" s="17"/>
      <c r="THU487" s="17"/>
      <c r="THV487" s="17"/>
      <c r="THW487" s="17"/>
      <c r="THX487" s="17"/>
      <c r="THY487" s="17"/>
      <c r="THZ487" s="17"/>
      <c r="TIA487" s="17"/>
      <c r="TIB487" s="17"/>
      <c r="TIC487" s="17"/>
      <c r="TID487" s="17"/>
      <c r="TIE487" s="17"/>
      <c r="TIF487" s="17"/>
      <c r="TIG487" s="17"/>
      <c r="TIH487" s="17"/>
      <c r="TII487" s="17"/>
      <c r="TIJ487" s="17"/>
      <c r="TIK487" s="17"/>
      <c r="TIL487" s="17"/>
      <c r="TIM487" s="17"/>
      <c r="TIN487" s="17"/>
      <c r="TIO487" s="17"/>
      <c r="TIP487" s="17"/>
      <c r="TIQ487" s="17"/>
      <c r="TIR487" s="17"/>
      <c r="TIS487" s="17"/>
      <c r="TIT487" s="17"/>
      <c r="TIU487" s="17"/>
      <c r="TIV487" s="17"/>
      <c r="TIW487" s="17"/>
      <c r="TIX487" s="17"/>
      <c r="TIY487" s="17"/>
      <c r="TIZ487" s="17"/>
      <c r="TJA487" s="17"/>
      <c r="TJB487" s="17"/>
      <c r="TJC487" s="17"/>
      <c r="TJD487" s="17"/>
      <c r="TJE487" s="17"/>
      <c r="TJF487" s="17"/>
      <c r="TJG487" s="17"/>
      <c r="TJH487" s="17"/>
      <c r="TJI487" s="17"/>
      <c r="TJJ487" s="17"/>
      <c r="TJK487" s="17"/>
      <c r="TJL487" s="17"/>
      <c r="TJM487" s="17"/>
      <c r="TJN487" s="17"/>
      <c r="TJO487" s="17"/>
      <c r="TJP487" s="17"/>
      <c r="TJQ487" s="17"/>
      <c r="TJR487" s="17"/>
      <c r="TJS487" s="17"/>
      <c r="TJT487" s="17"/>
      <c r="TJU487" s="17"/>
      <c r="TJV487" s="17"/>
      <c r="TJW487" s="17"/>
      <c r="TJX487" s="17"/>
      <c r="TJY487" s="17"/>
      <c r="TJZ487" s="17"/>
      <c r="TKA487" s="17"/>
      <c r="TKB487" s="17"/>
      <c r="TKC487" s="17"/>
      <c r="TKD487" s="17"/>
      <c r="TKE487" s="17"/>
      <c r="TKF487" s="17"/>
      <c r="TKG487" s="17"/>
      <c r="TKH487" s="17"/>
      <c r="TKI487" s="17"/>
      <c r="TKJ487" s="17"/>
      <c r="TKK487" s="17"/>
      <c r="TKL487" s="17"/>
      <c r="TKM487" s="17"/>
      <c r="TKN487" s="17"/>
      <c r="TKO487" s="17"/>
      <c r="TKP487" s="17"/>
      <c r="TKQ487" s="17"/>
      <c r="TKR487" s="17"/>
      <c r="TKS487" s="17"/>
      <c r="TKT487" s="17"/>
      <c r="TKU487" s="17"/>
      <c r="TKV487" s="17"/>
      <c r="TKW487" s="17"/>
      <c r="TKX487" s="17"/>
      <c r="TKY487" s="17"/>
      <c r="TKZ487" s="17"/>
      <c r="TLA487" s="17"/>
      <c r="TLB487" s="17"/>
      <c r="TLC487" s="17"/>
      <c r="TLD487" s="17"/>
      <c r="TLE487" s="17"/>
      <c r="TLF487" s="17"/>
      <c r="TLG487" s="17"/>
      <c r="TLH487" s="17"/>
      <c r="TLI487" s="17"/>
      <c r="TLJ487" s="17"/>
      <c r="TLK487" s="17"/>
      <c r="TLL487" s="17"/>
      <c r="TLM487" s="17"/>
      <c r="TLN487" s="17"/>
      <c r="TLO487" s="17"/>
      <c r="TLP487" s="17"/>
      <c r="TLQ487" s="17"/>
      <c r="TLR487" s="17"/>
      <c r="TLS487" s="17"/>
      <c r="TLT487" s="17"/>
      <c r="TLU487" s="17"/>
      <c r="TLV487" s="17"/>
      <c r="TLW487" s="17"/>
      <c r="TLX487" s="17"/>
      <c r="TLY487" s="17"/>
      <c r="TLZ487" s="17"/>
      <c r="TMA487" s="17"/>
      <c r="TMB487" s="17"/>
      <c r="TMC487" s="17"/>
      <c r="TMD487" s="17"/>
      <c r="TME487" s="17"/>
      <c r="TMF487" s="17"/>
      <c r="TMG487" s="17"/>
      <c r="TMH487" s="17"/>
      <c r="TMI487" s="17"/>
      <c r="TMJ487" s="17"/>
      <c r="TMK487" s="17"/>
      <c r="TML487" s="17"/>
      <c r="TMM487" s="17"/>
      <c r="TMN487" s="17"/>
      <c r="TMO487" s="17"/>
      <c r="TMP487" s="17"/>
      <c r="TMQ487" s="17"/>
      <c r="TMR487" s="17"/>
      <c r="TMS487" s="17"/>
      <c r="TMT487" s="17"/>
      <c r="TMU487" s="17"/>
      <c r="TMV487" s="17"/>
      <c r="TMW487" s="17"/>
      <c r="TMX487" s="17"/>
      <c r="TMY487" s="17"/>
      <c r="TMZ487" s="17"/>
      <c r="TNA487" s="17"/>
      <c r="TNB487" s="17"/>
      <c r="TNC487" s="17"/>
      <c r="TND487" s="17"/>
      <c r="TNE487" s="17"/>
      <c r="TNF487" s="17"/>
      <c r="TNG487" s="17"/>
      <c r="TNH487" s="17"/>
      <c r="TNI487" s="17"/>
      <c r="TNJ487" s="17"/>
      <c r="TNK487" s="17"/>
      <c r="TNL487" s="17"/>
      <c r="TNM487" s="17"/>
      <c r="TNN487" s="17"/>
      <c r="TNO487" s="17"/>
      <c r="TNP487" s="17"/>
      <c r="TNQ487" s="17"/>
      <c r="TNR487" s="17"/>
      <c r="TNS487" s="17"/>
      <c r="TNT487" s="17"/>
      <c r="TNU487" s="17"/>
      <c r="TNV487" s="17"/>
      <c r="TNW487" s="17"/>
      <c r="TNX487" s="17"/>
      <c r="TNY487" s="17"/>
      <c r="TNZ487" s="17"/>
      <c r="TOA487" s="17"/>
      <c r="TOB487" s="17"/>
      <c r="TOC487" s="17"/>
      <c r="TOD487" s="17"/>
      <c r="TOE487" s="17"/>
      <c r="TOF487" s="17"/>
      <c r="TOG487" s="17"/>
      <c r="TOH487" s="17"/>
      <c r="TOI487" s="17"/>
      <c r="TOJ487" s="17"/>
      <c r="TOK487" s="17"/>
      <c r="TOL487" s="17"/>
      <c r="TOM487" s="17"/>
      <c r="TON487" s="17"/>
      <c r="TOO487" s="17"/>
      <c r="TOP487" s="17"/>
      <c r="TOQ487" s="17"/>
      <c r="TOR487" s="17"/>
      <c r="TOS487" s="17"/>
      <c r="TOT487" s="17"/>
      <c r="TOU487" s="17"/>
      <c r="TOV487" s="17"/>
      <c r="TOW487" s="17"/>
      <c r="TOX487" s="17"/>
      <c r="TOY487" s="17"/>
      <c r="TOZ487" s="17"/>
      <c r="TPA487" s="17"/>
      <c r="TPB487" s="17"/>
      <c r="TPC487" s="17"/>
      <c r="TPD487" s="17"/>
      <c r="TPE487" s="17"/>
      <c r="TPF487" s="17"/>
      <c r="TPG487" s="17"/>
      <c r="TPH487" s="17"/>
      <c r="TPI487" s="17"/>
      <c r="TPJ487" s="17"/>
      <c r="TPK487" s="17"/>
      <c r="TPL487" s="17"/>
      <c r="TPM487" s="17"/>
      <c r="TPN487" s="17"/>
      <c r="TPO487" s="17"/>
      <c r="TPP487" s="17"/>
      <c r="TPQ487" s="17"/>
      <c r="TPR487" s="17"/>
      <c r="TPS487" s="17"/>
      <c r="TPT487" s="17"/>
      <c r="TPU487" s="17"/>
      <c r="TPV487" s="17"/>
      <c r="TPW487" s="17"/>
      <c r="TPX487" s="17"/>
      <c r="TPY487" s="17"/>
      <c r="TPZ487" s="17"/>
      <c r="TQA487" s="17"/>
      <c r="TQB487" s="17"/>
      <c r="TQC487" s="17"/>
      <c r="TQD487" s="17"/>
      <c r="TQE487" s="17"/>
      <c r="TQF487" s="17"/>
      <c r="TQG487" s="17"/>
      <c r="TQH487" s="17"/>
      <c r="TQI487" s="17"/>
      <c r="TQJ487" s="17"/>
      <c r="TQK487" s="17"/>
      <c r="TQL487" s="17"/>
      <c r="TQM487" s="17"/>
      <c r="TQN487" s="17"/>
      <c r="TQO487" s="17"/>
      <c r="TQP487" s="17"/>
      <c r="TQQ487" s="17"/>
      <c r="TQR487" s="17"/>
      <c r="TQS487" s="17"/>
      <c r="TQT487" s="17"/>
      <c r="TQU487" s="17"/>
      <c r="TQV487" s="17"/>
      <c r="TQW487" s="17"/>
      <c r="TQX487" s="17"/>
      <c r="TQY487" s="17"/>
      <c r="TQZ487" s="17"/>
      <c r="TRA487" s="17"/>
      <c r="TRB487" s="17"/>
      <c r="TRC487" s="17"/>
      <c r="TRD487" s="17"/>
      <c r="TRE487" s="17"/>
      <c r="TRF487" s="17"/>
      <c r="TRG487" s="17"/>
      <c r="TRH487" s="17"/>
      <c r="TRI487" s="17"/>
      <c r="TRJ487" s="17"/>
      <c r="TRK487" s="17"/>
      <c r="TRL487" s="17"/>
      <c r="TRM487" s="17"/>
      <c r="TRN487" s="17"/>
      <c r="TRO487" s="17"/>
      <c r="TRP487" s="17"/>
      <c r="TRQ487" s="17"/>
      <c r="TRR487" s="17"/>
      <c r="TRS487" s="17"/>
      <c r="TRT487" s="17"/>
      <c r="TRU487" s="17"/>
      <c r="TRV487" s="17"/>
      <c r="TRW487" s="17"/>
      <c r="TRX487" s="17"/>
      <c r="TRY487" s="17"/>
      <c r="TRZ487" s="17"/>
      <c r="TSA487" s="17"/>
      <c r="TSB487" s="17"/>
      <c r="TSC487" s="17"/>
      <c r="TSD487" s="17"/>
      <c r="TSE487" s="17"/>
      <c r="TSF487" s="17"/>
      <c r="TSG487" s="17"/>
      <c r="TSH487" s="17"/>
      <c r="TSI487" s="17"/>
      <c r="TSJ487" s="17"/>
      <c r="TSK487" s="17"/>
      <c r="TSL487" s="17"/>
      <c r="TSM487" s="17"/>
      <c r="TSN487" s="17"/>
      <c r="TSO487" s="17"/>
      <c r="TSP487" s="17"/>
      <c r="TSQ487" s="17"/>
      <c r="TSR487" s="17"/>
      <c r="TSS487" s="17"/>
      <c r="TST487" s="17"/>
      <c r="TSU487" s="17"/>
      <c r="TSV487" s="17"/>
      <c r="TSW487" s="17"/>
      <c r="TSX487" s="17"/>
      <c r="TSY487" s="17"/>
      <c r="TSZ487" s="17"/>
      <c r="TTA487" s="17"/>
      <c r="TTB487" s="17"/>
      <c r="TTC487" s="17"/>
      <c r="TTD487" s="17"/>
      <c r="TTE487" s="17"/>
      <c r="TTF487" s="17"/>
      <c r="TTG487" s="17"/>
      <c r="TTH487" s="17"/>
      <c r="TTI487" s="17"/>
      <c r="TTJ487" s="17"/>
      <c r="TTK487" s="17"/>
      <c r="TTL487" s="17"/>
      <c r="TTM487" s="17"/>
      <c r="TTN487" s="17"/>
      <c r="TTO487" s="17"/>
      <c r="TTP487" s="17"/>
      <c r="TTQ487" s="17"/>
      <c r="TTR487" s="17"/>
      <c r="TTS487" s="17"/>
      <c r="TTT487" s="17"/>
      <c r="TTU487" s="17"/>
      <c r="TTV487" s="17"/>
      <c r="TTW487" s="17"/>
      <c r="TTX487" s="17"/>
      <c r="TTY487" s="17"/>
      <c r="TTZ487" s="17"/>
      <c r="TUA487" s="17"/>
      <c r="TUB487" s="17"/>
      <c r="TUC487" s="17"/>
      <c r="TUD487" s="17"/>
      <c r="TUE487" s="17"/>
      <c r="TUF487" s="17"/>
      <c r="TUG487" s="17"/>
      <c r="TUH487" s="17"/>
      <c r="TUI487" s="17"/>
      <c r="TUJ487" s="17"/>
      <c r="TUK487" s="17"/>
      <c r="TUL487" s="17"/>
      <c r="TUM487" s="17"/>
      <c r="TUN487" s="17"/>
      <c r="TUO487" s="17"/>
      <c r="TUP487" s="17"/>
      <c r="TUQ487" s="17"/>
      <c r="TUR487" s="17"/>
      <c r="TUS487" s="17"/>
      <c r="TUT487" s="17"/>
      <c r="TUU487" s="17"/>
      <c r="TUV487" s="17"/>
      <c r="TUW487" s="17"/>
      <c r="TUX487" s="17"/>
      <c r="TUY487" s="17"/>
      <c r="TUZ487" s="17"/>
      <c r="TVA487" s="17"/>
      <c r="TVB487" s="17"/>
      <c r="TVC487" s="17"/>
      <c r="TVD487" s="17"/>
      <c r="TVE487" s="17"/>
      <c r="TVF487" s="17"/>
      <c r="TVG487" s="17"/>
      <c r="TVH487" s="17"/>
      <c r="TVI487" s="17"/>
      <c r="TVJ487" s="17"/>
      <c r="TVK487" s="17"/>
      <c r="TVL487" s="17"/>
      <c r="TVM487" s="17"/>
      <c r="TVN487" s="17"/>
      <c r="TVO487" s="17"/>
      <c r="TVP487" s="17"/>
      <c r="TVQ487" s="17"/>
      <c r="TVR487" s="17"/>
      <c r="TVS487" s="17"/>
      <c r="TVT487" s="17"/>
      <c r="TVU487" s="17"/>
      <c r="TVV487" s="17"/>
      <c r="TVW487" s="17"/>
      <c r="TVX487" s="17"/>
      <c r="TVY487" s="17"/>
      <c r="TVZ487" s="17"/>
      <c r="TWA487" s="17"/>
      <c r="TWB487" s="17"/>
      <c r="TWC487" s="17"/>
      <c r="TWD487" s="17"/>
      <c r="TWE487" s="17"/>
      <c r="TWF487" s="17"/>
      <c r="TWG487" s="17"/>
      <c r="TWH487" s="17"/>
      <c r="TWI487" s="17"/>
      <c r="TWJ487" s="17"/>
      <c r="TWK487" s="17"/>
      <c r="TWL487" s="17"/>
      <c r="TWM487" s="17"/>
      <c r="TWN487" s="17"/>
      <c r="TWO487" s="17"/>
      <c r="TWP487" s="17"/>
      <c r="TWQ487" s="17"/>
      <c r="TWR487" s="17"/>
      <c r="TWS487" s="17"/>
      <c r="TWT487" s="17"/>
      <c r="TWU487" s="17"/>
      <c r="TWV487" s="17"/>
      <c r="TWW487" s="17"/>
      <c r="TWX487" s="17"/>
      <c r="TWY487" s="17"/>
      <c r="TWZ487" s="17"/>
      <c r="TXA487" s="17"/>
      <c r="TXB487" s="17"/>
      <c r="TXC487" s="17"/>
      <c r="TXD487" s="17"/>
      <c r="TXE487" s="17"/>
      <c r="TXF487" s="17"/>
      <c r="TXG487" s="17"/>
      <c r="TXH487" s="17"/>
      <c r="TXI487" s="17"/>
      <c r="TXJ487" s="17"/>
      <c r="TXK487" s="17"/>
      <c r="TXL487" s="17"/>
      <c r="TXM487" s="17"/>
      <c r="TXN487" s="17"/>
      <c r="TXO487" s="17"/>
      <c r="TXP487" s="17"/>
      <c r="TXQ487" s="17"/>
      <c r="TXR487" s="17"/>
      <c r="TXS487" s="17"/>
      <c r="TXT487" s="17"/>
      <c r="TXU487" s="17"/>
      <c r="TXV487" s="17"/>
      <c r="TXW487" s="17"/>
      <c r="TXX487" s="17"/>
      <c r="TXY487" s="17"/>
      <c r="TXZ487" s="17"/>
      <c r="TYA487" s="17"/>
      <c r="TYB487" s="17"/>
      <c r="TYC487" s="17"/>
      <c r="TYD487" s="17"/>
      <c r="TYE487" s="17"/>
      <c r="TYF487" s="17"/>
      <c r="TYG487" s="17"/>
      <c r="TYH487" s="17"/>
      <c r="TYI487" s="17"/>
      <c r="TYJ487" s="17"/>
      <c r="TYK487" s="17"/>
      <c r="TYL487" s="17"/>
      <c r="TYM487" s="17"/>
      <c r="TYN487" s="17"/>
      <c r="TYO487" s="17"/>
      <c r="TYP487" s="17"/>
      <c r="TYQ487" s="17"/>
      <c r="TYR487" s="17"/>
      <c r="TYS487" s="17"/>
      <c r="TYT487" s="17"/>
      <c r="TYU487" s="17"/>
      <c r="TYV487" s="17"/>
      <c r="TYW487" s="17"/>
      <c r="TYX487" s="17"/>
      <c r="TYY487" s="17"/>
      <c r="TYZ487" s="17"/>
      <c r="TZA487" s="17"/>
      <c r="TZB487" s="17"/>
      <c r="TZC487" s="17"/>
      <c r="TZD487" s="17"/>
      <c r="TZE487" s="17"/>
      <c r="TZF487" s="17"/>
      <c r="TZG487" s="17"/>
      <c r="TZH487" s="17"/>
      <c r="TZI487" s="17"/>
      <c r="TZJ487" s="17"/>
      <c r="TZK487" s="17"/>
      <c r="TZL487" s="17"/>
      <c r="TZM487" s="17"/>
      <c r="TZN487" s="17"/>
      <c r="TZO487" s="17"/>
      <c r="TZP487" s="17"/>
      <c r="TZQ487" s="17"/>
      <c r="TZR487" s="17"/>
      <c r="TZS487" s="17"/>
      <c r="TZT487" s="17"/>
      <c r="TZU487" s="17"/>
      <c r="TZV487" s="17"/>
      <c r="TZW487" s="17"/>
      <c r="TZX487" s="17"/>
      <c r="TZY487" s="17"/>
      <c r="TZZ487" s="17"/>
      <c r="UAA487" s="17"/>
      <c r="UAB487" s="17"/>
      <c r="UAC487" s="17"/>
      <c r="UAD487" s="17"/>
      <c r="UAE487" s="17"/>
      <c r="UAF487" s="17"/>
      <c r="UAG487" s="17"/>
      <c r="UAH487" s="17"/>
      <c r="UAI487" s="17"/>
      <c r="UAJ487" s="17"/>
      <c r="UAK487" s="17"/>
      <c r="UAL487" s="17"/>
      <c r="UAM487" s="17"/>
      <c r="UAN487" s="17"/>
      <c r="UAO487" s="17"/>
      <c r="UAP487" s="17"/>
      <c r="UAQ487" s="17"/>
      <c r="UAR487" s="17"/>
      <c r="UAS487" s="17"/>
      <c r="UAT487" s="17"/>
      <c r="UAU487" s="17"/>
      <c r="UAV487" s="17"/>
      <c r="UAW487" s="17"/>
      <c r="UAX487" s="17"/>
      <c r="UAY487" s="17"/>
      <c r="UAZ487" s="17"/>
      <c r="UBA487" s="17"/>
      <c r="UBB487" s="17"/>
      <c r="UBC487" s="17"/>
      <c r="UBD487" s="17"/>
      <c r="UBE487" s="17"/>
      <c r="UBF487" s="17"/>
      <c r="UBG487" s="17"/>
      <c r="UBH487" s="17"/>
      <c r="UBI487" s="17"/>
      <c r="UBJ487" s="17"/>
      <c r="UBK487" s="17"/>
      <c r="UBL487" s="17"/>
      <c r="UBM487" s="17"/>
      <c r="UBN487" s="17"/>
      <c r="UBO487" s="17"/>
      <c r="UBP487" s="17"/>
      <c r="UBQ487" s="17"/>
      <c r="UBR487" s="17"/>
      <c r="UBS487" s="17"/>
      <c r="UBT487" s="17"/>
      <c r="UBU487" s="17"/>
      <c r="UBV487" s="17"/>
      <c r="UBW487" s="17"/>
      <c r="UBX487" s="17"/>
      <c r="UBY487" s="17"/>
      <c r="UBZ487" s="17"/>
      <c r="UCA487" s="17"/>
      <c r="UCB487" s="17"/>
      <c r="UCC487" s="17"/>
      <c r="UCD487" s="17"/>
      <c r="UCE487" s="17"/>
      <c r="UCF487" s="17"/>
      <c r="UCG487" s="17"/>
      <c r="UCH487" s="17"/>
      <c r="UCI487" s="17"/>
      <c r="UCJ487" s="17"/>
      <c r="UCK487" s="17"/>
      <c r="UCL487" s="17"/>
      <c r="UCM487" s="17"/>
      <c r="UCN487" s="17"/>
      <c r="UCO487" s="17"/>
      <c r="UCP487" s="17"/>
      <c r="UCQ487" s="17"/>
      <c r="UCR487" s="17"/>
      <c r="UCS487" s="17"/>
      <c r="UCT487" s="17"/>
      <c r="UCU487" s="17"/>
      <c r="UCV487" s="17"/>
      <c r="UCW487" s="17"/>
      <c r="UCX487" s="17"/>
      <c r="UCY487" s="17"/>
      <c r="UCZ487" s="17"/>
      <c r="UDA487" s="17"/>
      <c r="UDB487" s="17"/>
      <c r="UDC487" s="17"/>
      <c r="UDD487" s="17"/>
      <c r="UDE487" s="17"/>
      <c r="UDF487" s="17"/>
      <c r="UDG487" s="17"/>
      <c r="UDH487" s="17"/>
      <c r="UDI487" s="17"/>
      <c r="UDJ487" s="17"/>
      <c r="UDK487" s="17"/>
      <c r="UDL487" s="17"/>
      <c r="UDM487" s="17"/>
      <c r="UDN487" s="17"/>
      <c r="UDO487" s="17"/>
      <c r="UDP487" s="17"/>
      <c r="UDQ487" s="17"/>
      <c r="UDR487" s="17"/>
      <c r="UDS487" s="17"/>
      <c r="UDT487" s="17"/>
      <c r="UDU487" s="17"/>
      <c r="UDV487" s="17"/>
      <c r="UDW487" s="17"/>
      <c r="UDX487" s="17"/>
      <c r="UDY487" s="17"/>
      <c r="UDZ487" s="17"/>
      <c r="UEA487" s="17"/>
      <c r="UEB487" s="17"/>
      <c r="UEC487" s="17"/>
      <c r="UED487" s="17"/>
      <c r="UEE487" s="17"/>
      <c r="UEF487" s="17"/>
      <c r="UEG487" s="17"/>
      <c r="UEH487" s="17"/>
      <c r="UEI487" s="17"/>
      <c r="UEJ487" s="17"/>
      <c r="UEK487" s="17"/>
      <c r="UEL487" s="17"/>
      <c r="UEM487" s="17"/>
      <c r="UEN487" s="17"/>
      <c r="UEO487" s="17"/>
      <c r="UEP487" s="17"/>
      <c r="UEQ487" s="17"/>
      <c r="UER487" s="17"/>
      <c r="UES487" s="17"/>
      <c r="UET487" s="17"/>
      <c r="UEU487" s="17"/>
      <c r="UEV487" s="17"/>
      <c r="UEW487" s="17"/>
      <c r="UEX487" s="17"/>
      <c r="UEY487" s="17"/>
      <c r="UEZ487" s="17"/>
      <c r="UFA487" s="17"/>
      <c r="UFB487" s="17"/>
      <c r="UFC487" s="17"/>
      <c r="UFD487" s="17"/>
      <c r="UFE487" s="17"/>
      <c r="UFF487" s="17"/>
      <c r="UFG487" s="17"/>
      <c r="UFH487" s="17"/>
      <c r="UFI487" s="17"/>
      <c r="UFJ487" s="17"/>
      <c r="UFK487" s="17"/>
      <c r="UFL487" s="17"/>
      <c r="UFM487" s="17"/>
      <c r="UFN487" s="17"/>
      <c r="UFO487" s="17"/>
      <c r="UFP487" s="17"/>
      <c r="UFQ487" s="17"/>
      <c r="UFR487" s="17"/>
      <c r="UFS487" s="17"/>
      <c r="UFT487" s="17"/>
      <c r="UFU487" s="17"/>
      <c r="UFV487" s="17"/>
      <c r="UFW487" s="17"/>
      <c r="UFX487" s="17"/>
      <c r="UFY487" s="17"/>
      <c r="UFZ487" s="17"/>
      <c r="UGA487" s="17"/>
      <c r="UGB487" s="17"/>
      <c r="UGC487" s="17"/>
      <c r="UGD487" s="17"/>
      <c r="UGE487" s="17"/>
      <c r="UGF487" s="17"/>
      <c r="UGG487" s="17"/>
      <c r="UGH487" s="17"/>
      <c r="UGI487" s="17"/>
      <c r="UGJ487" s="17"/>
      <c r="UGK487" s="17"/>
      <c r="UGL487" s="17"/>
      <c r="UGM487" s="17"/>
      <c r="UGN487" s="17"/>
      <c r="UGO487" s="17"/>
      <c r="UGP487" s="17"/>
      <c r="UGQ487" s="17"/>
      <c r="UGR487" s="17"/>
      <c r="UGS487" s="17"/>
      <c r="UGT487" s="17"/>
      <c r="UGU487" s="17"/>
      <c r="UGV487" s="17"/>
      <c r="UGW487" s="17"/>
      <c r="UGX487" s="17"/>
      <c r="UGY487" s="17"/>
      <c r="UGZ487" s="17"/>
      <c r="UHA487" s="17"/>
      <c r="UHB487" s="17"/>
      <c r="UHC487" s="17"/>
      <c r="UHD487" s="17"/>
      <c r="UHE487" s="17"/>
      <c r="UHF487" s="17"/>
      <c r="UHG487" s="17"/>
      <c r="UHH487" s="17"/>
      <c r="UHI487" s="17"/>
      <c r="UHJ487" s="17"/>
      <c r="UHK487" s="17"/>
      <c r="UHL487" s="17"/>
      <c r="UHM487" s="17"/>
      <c r="UHN487" s="17"/>
      <c r="UHO487" s="17"/>
      <c r="UHP487" s="17"/>
      <c r="UHQ487" s="17"/>
      <c r="UHR487" s="17"/>
      <c r="UHS487" s="17"/>
      <c r="UHT487" s="17"/>
      <c r="UHU487" s="17"/>
      <c r="UHV487" s="17"/>
      <c r="UHW487" s="17"/>
      <c r="UHX487" s="17"/>
      <c r="UHY487" s="17"/>
      <c r="UHZ487" s="17"/>
      <c r="UIA487" s="17"/>
      <c r="UIB487" s="17"/>
      <c r="UIC487" s="17"/>
      <c r="UID487" s="17"/>
      <c r="UIE487" s="17"/>
      <c r="UIF487" s="17"/>
      <c r="UIG487" s="17"/>
      <c r="UIH487" s="17"/>
      <c r="UII487" s="17"/>
      <c r="UIJ487" s="17"/>
      <c r="UIK487" s="17"/>
      <c r="UIL487" s="17"/>
      <c r="UIM487" s="17"/>
      <c r="UIN487" s="17"/>
      <c r="UIO487" s="17"/>
      <c r="UIP487" s="17"/>
      <c r="UIQ487" s="17"/>
      <c r="UIR487" s="17"/>
      <c r="UIS487" s="17"/>
      <c r="UIT487" s="17"/>
      <c r="UIU487" s="17"/>
      <c r="UIV487" s="17"/>
      <c r="UIW487" s="17"/>
      <c r="UIX487" s="17"/>
      <c r="UIY487" s="17"/>
      <c r="UIZ487" s="17"/>
      <c r="UJA487" s="17"/>
      <c r="UJB487" s="17"/>
      <c r="UJC487" s="17"/>
      <c r="UJD487" s="17"/>
      <c r="UJE487" s="17"/>
      <c r="UJF487" s="17"/>
      <c r="UJG487" s="17"/>
      <c r="UJH487" s="17"/>
      <c r="UJI487" s="17"/>
      <c r="UJJ487" s="17"/>
      <c r="UJK487" s="17"/>
      <c r="UJL487" s="17"/>
      <c r="UJM487" s="17"/>
      <c r="UJN487" s="17"/>
      <c r="UJO487" s="17"/>
      <c r="UJP487" s="17"/>
      <c r="UJQ487" s="17"/>
      <c r="UJR487" s="17"/>
      <c r="UJS487" s="17"/>
      <c r="UJT487" s="17"/>
      <c r="UJU487" s="17"/>
      <c r="UJV487" s="17"/>
      <c r="UJW487" s="17"/>
      <c r="UJX487" s="17"/>
      <c r="UJY487" s="17"/>
      <c r="UJZ487" s="17"/>
      <c r="UKA487" s="17"/>
      <c r="UKB487" s="17"/>
      <c r="UKC487" s="17"/>
      <c r="UKD487" s="17"/>
      <c r="UKE487" s="17"/>
      <c r="UKF487" s="17"/>
      <c r="UKG487" s="17"/>
      <c r="UKH487" s="17"/>
      <c r="UKI487" s="17"/>
      <c r="UKJ487" s="17"/>
      <c r="UKK487" s="17"/>
      <c r="UKL487" s="17"/>
      <c r="UKM487" s="17"/>
      <c r="UKN487" s="17"/>
      <c r="UKO487" s="17"/>
      <c r="UKP487" s="17"/>
      <c r="UKQ487" s="17"/>
      <c r="UKR487" s="17"/>
      <c r="UKS487" s="17"/>
      <c r="UKT487" s="17"/>
      <c r="UKU487" s="17"/>
      <c r="UKV487" s="17"/>
      <c r="UKW487" s="17"/>
      <c r="UKX487" s="17"/>
      <c r="UKY487" s="17"/>
      <c r="UKZ487" s="17"/>
      <c r="ULA487" s="17"/>
      <c r="ULB487" s="17"/>
      <c r="ULC487" s="17"/>
      <c r="ULD487" s="17"/>
      <c r="ULE487" s="17"/>
      <c r="ULF487" s="17"/>
      <c r="ULG487" s="17"/>
      <c r="ULH487" s="17"/>
      <c r="ULI487" s="17"/>
      <c r="ULJ487" s="17"/>
      <c r="ULK487" s="17"/>
      <c r="ULL487" s="17"/>
      <c r="ULM487" s="17"/>
      <c r="ULN487" s="17"/>
      <c r="ULO487" s="17"/>
      <c r="ULP487" s="17"/>
      <c r="ULQ487" s="17"/>
      <c r="ULR487" s="17"/>
      <c r="ULS487" s="17"/>
      <c r="ULT487" s="17"/>
      <c r="ULU487" s="17"/>
      <c r="ULV487" s="17"/>
      <c r="ULW487" s="17"/>
      <c r="ULX487" s="17"/>
      <c r="ULY487" s="17"/>
      <c r="ULZ487" s="17"/>
      <c r="UMA487" s="17"/>
      <c r="UMB487" s="17"/>
      <c r="UMC487" s="17"/>
      <c r="UMD487" s="17"/>
      <c r="UME487" s="17"/>
      <c r="UMF487" s="17"/>
      <c r="UMG487" s="17"/>
      <c r="UMH487" s="17"/>
      <c r="UMI487" s="17"/>
      <c r="UMJ487" s="17"/>
      <c r="UMK487" s="17"/>
      <c r="UML487" s="17"/>
      <c r="UMM487" s="17"/>
      <c r="UMN487" s="17"/>
      <c r="UMO487" s="17"/>
      <c r="UMP487" s="17"/>
      <c r="UMQ487" s="17"/>
      <c r="UMR487" s="17"/>
      <c r="UMS487" s="17"/>
      <c r="UMT487" s="17"/>
      <c r="UMU487" s="17"/>
      <c r="UMV487" s="17"/>
      <c r="UMW487" s="17"/>
      <c r="UMX487" s="17"/>
      <c r="UMY487" s="17"/>
      <c r="UMZ487" s="17"/>
      <c r="UNA487" s="17"/>
      <c r="UNB487" s="17"/>
      <c r="UNC487" s="17"/>
      <c r="UND487" s="17"/>
      <c r="UNE487" s="17"/>
      <c r="UNF487" s="17"/>
      <c r="UNG487" s="17"/>
      <c r="UNH487" s="17"/>
      <c r="UNI487" s="17"/>
      <c r="UNJ487" s="17"/>
      <c r="UNK487" s="17"/>
      <c r="UNL487" s="17"/>
      <c r="UNM487" s="17"/>
      <c r="UNN487" s="17"/>
      <c r="UNO487" s="17"/>
      <c r="UNP487" s="17"/>
      <c r="UNQ487" s="17"/>
      <c r="UNR487" s="17"/>
      <c r="UNS487" s="17"/>
      <c r="UNT487" s="17"/>
      <c r="UNU487" s="17"/>
      <c r="UNV487" s="17"/>
      <c r="UNW487" s="17"/>
      <c r="UNX487" s="17"/>
      <c r="UNY487" s="17"/>
      <c r="UNZ487" s="17"/>
      <c r="UOA487" s="17"/>
      <c r="UOB487" s="17"/>
      <c r="UOC487" s="17"/>
      <c r="UOD487" s="17"/>
      <c r="UOE487" s="17"/>
      <c r="UOF487" s="17"/>
      <c r="UOG487" s="17"/>
      <c r="UOH487" s="17"/>
      <c r="UOI487" s="17"/>
      <c r="UOJ487" s="17"/>
      <c r="UOK487" s="17"/>
      <c r="UOL487" s="17"/>
      <c r="UOM487" s="17"/>
      <c r="UON487" s="17"/>
      <c r="UOO487" s="17"/>
      <c r="UOP487" s="17"/>
      <c r="UOQ487" s="17"/>
      <c r="UOR487" s="17"/>
      <c r="UOS487" s="17"/>
      <c r="UOT487" s="17"/>
      <c r="UOU487" s="17"/>
      <c r="UOV487" s="17"/>
      <c r="UOW487" s="17"/>
      <c r="UOX487" s="17"/>
      <c r="UOY487" s="17"/>
      <c r="UOZ487" s="17"/>
      <c r="UPA487" s="17"/>
      <c r="UPB487" s="17"/>
      <c r="UPC487" s="17"/>
      <c r="UPD487" s="17"/>
      <c r="UPE487" s="17"/>
      <c r="UPF487" s="17"/>
      <c r="UPG487" s="17"/>
      <c r="UPH487" s="17"/>
      <c r="UPI487" s="17"/>
      <c r="UPJ487" s="17"/>
      <c r="UPK487" s="17"/>
      <c r="UPL487" s="17"/>
      <c r="UPM487" s="17"/>
      <c r="UPN487" s="17"/>
      <c r="UPO487" s="17"/>
      <c r="UPP487" s="17"/>
      <c r="UPQ487" s="17"/>
      <c r="UPR487" s="17"/>
      <c r="UPS487" s="17"/>
      <c r="UPT487" s="17"/>
      <c r="UPU487" s="17"/>
      <c r="UPV487" s="17"/>
      <c r="UPW487" s="17"/>
      <c r="UPX487" s="17"/>
      <c r="UPY487" s="17"/>
      <c r="UPZ487" s="17"/>
      <c r="UQA487" s="17"/>
      <c r="UQB487" s="17"/>
      <c r="UQC487" s="17"/>
      <c r="UQD487" s="17"/>
      <c r="UQE487" s="17"/>
      <c r="UQF487" s="17"/>
      <c r="UQG487" s="17"/>
      <c r="UQH487" s="17"/>
      <c r="UQI487" s="17"/>
      <c r="UQJ487" s="17"/>
      <c r="UQK487" s="17"/>
      <c r="UQL487" s="17"/>
      <c r="UQM487" s="17"/>
      <c r="UQN487" s="17"/>
      <c r="UQO487" s="17"/>
      <c r="UQP487" s="17"/>
      <c r="UQQ487" s="17"/>
      <c r="UQR487" s="17"/>
      <c r="UQS487" s="17"/>
      <c r="UQT487" s="17"/>
      <c r="UQU487" s="17"/>
      <c r="UQV487" s="17"/>
      <c r="UQW487" s="17"/>
      <c r="UQX487" s="17"/>
      <c r="UQY487" s="17"/>
      <c r="UQZ487" s="17"/>
      <c r="URA487" s="17"/>
      <c r="URB487" s="17"/>
      <c r="URC487" s="17"/>
      <c r="URD487" s="17"/>
      <c r="URE487" s="17"/>
      <c r="URF487" s="17"/>
      <c r="URG487" s="17"/>
      <c r="URH487" s="17"/>
      <c r="URI487" s="17"/>
      <c r="URJ487" s="17"/>
      <c r="URK487" s="17"/>
      <c r="URL487" s="17"/>
      <c r="URM487" s="17"/>
      <c r="URN487" s="17"/>
      <c r="URO487" s="17"/>
      <c r="URP487" s="17"/>
      <c r="URQ487" s="17"/>
      <c r="URR487" s="17"/>
      <c r="URS487" s="17"/>
      <c r="URT487" s="17"/>
      <c r="URU487" s="17"/>
      <c r="URV487" s="17"/>
      <c r="URW487" s="17"/>
      <c r="URX487" s="17"/>
      <c r="URY487" s="17"/>
      <c r="URZ487" s="17"/>
      <c r="USA487" s="17"/>
      <c r="USB487" s="17"/>
      <c r="USC487" s="17"/>
      <c r="USD487" s="17"/>
      <c r="USE487" s="17"/>
      <c r="USF487" s="17"/>
      <c r="USG487" s="17"/>
      <c r="USH487" s="17"/>
      <c r="USI487" s="17"/>
      <c r="USJ487" s="17"/>
      <c r="USK487" s="17"/>
      <c r="USL487" s="17"/>
      <c r="USM487" s="17"/>
      <c r="USN487" s="17"/>
      <c r="USO487" s="17"/>
      <c r="USP487" s="17"/>
      <c r="USQ487" s="17"/>
      <c r="USR487" s="17"/>
      <c r="USS487" s="17"/>
      <c r="UST487" s="17"/>
      <c r="USU487" s="17"/>
      <c r="USV487" s="17"/>
      <c r="USW487" s="17"/>
      <c r="USX487" s="17"/>
      <c r="USY487" s="17"/>
      <c r="USZ487" s="17"/>
      <c r="UTA487" s="17"/>
      <c r="UTB487" s="17"/>
      <c r="UTC487" s="17"/>
      <c r="UTD487" s="17"/>
      <c r="UTE487" s="17"/>
      <c r="UTF487" s="17"/>
      <c r="UTG487" s="17"/>
      <c r="UTH487" s="17"/>
      <c r="UTI487" s="17"/>
      <c r="UTJ487" s="17"/>
      <c r="UTK487" s="17"/>
      <c r="UTL487" s="17"/>
      <c r="UTM487" s="17"/>
      <c r="UTN487" s="17"/>
      <c r="UTO487" s="17"/>
      <c r="UTP487" s="17"/>
      <c r="UTQ487" s="17"/>
      <c r="UTR487" s="17"/>
      <c r="UTS487" s="17"/>
      <c r="UTT487" s="17"/>
      <c r="UTU487" s="17"/>
      <c r="UTV487" s="17"/>
      <c r="UTW487" s="17"/>
      <c r="UTX487" s="17"/>
      <c r="UTY487" s="17"/>
      <c r="UTZ487" s="17"/>
      <c r="UUA487" s="17"/>
      <c r="UUB487" s="17"/>
      <c r="UUC487" s="17"/>
      <c r="UUD487" s="17"/>
      <c r="UUE487" s="17"/>
      <c r="UUF487" s="17"/>
      <c r="UUG487" s="17"/>
      <c r="UUH487" s="17"/>
      <c r="UUI487" s="17"/>
      <c r="UUJ487" s="17"/>
      <c r="UUK487" s="17"/>
      <c r="UUL487" s="17"/>
      <c r="UUM487" s="17"/>
      <c r="UUN487" s="17"/>
      <c r="UUO487" s="17"/>
      <c r="UUP487" s="17"/>
      <c r="UUQ487" s="17"/>
      <c r="UUR487" s="17"/>
      <c r="UUS487" s="17"/>
      <c r="UUT487" s="17"/>
      <c r="UUU487" s="17"/>
      <c r="UUV487" s="17"/>
      <c r="UUW487" s="17"/>
      <c r="UUX487" s="17"/>
      <c r="UUY487" s="17"/>
      <c r="UUZ487" s="17"/>
      <c r="UVA487" s="17"/>
      <c r="UVB487" s="17"/>
      <c r="UVC487" s="17"/>
      <c r="UVD487" s="17"/>
      <c r="UVE487" s="17"/>
      <c r="UVF487" s="17"/>
      <c r="UVG487" s="17"/>
      <c r="UVH487" s="17"/>
      <c r="UVI487" s="17"/>
      <c r="UVJ487" s="17"/>
      <c r="UVK487" s="17"/>
      <c r="UVL487" s="17"/>
      <c r="UVM487" s="17"/>
      <c r="UVN487" s="17"/>
      <c r="UVO487" s="17"/>
      <c r="UVP487" s="17"/>
      <c r="UVQ487" s="17"/>
      <c r="UVR487" s="17"/>
      <c r="UVS487" s="17"/>
      <c r="UVT487" s="17"/>
      <c r="UVU487" s="17"/>
      <c r="UVV487" s="17"/>
      <c r="UVW487" s="17"/>
      <c r="UVX487" s="17"/>
      <c r="UVY487" s="17"/>
      <c r="UVZ487" s="17"/>
      <c r="UWA487" s="17"/>
      <c r="UWB487" s="17"/>
      <c r="UWC487" s="17"/>
      <c r="UWD487" s="17"/>
      <c r="UWE487" s="17"/>
      <c r="UWF487" s="17"/>
      <c r="UWG487" s="17"/>
      <c r="UWH487" s="17"/>
      <c r="UWI487" s="17"/>
      <c r="UWJ487" s="17"/>
      <c r="UWK487" s="17"/>
      <c r="UWL487" s="17"/>
      <c r="UWM487" s="17"/>
      <c r="UWN487" s="17"/>
      <c r="UWO487" s="17"/>
      <c r="UWP487" s="17"/>
      <c r="UWQ487" s="17"/>
      <c r="UWR487" s="17"/>
      <c r="UWS487" s="17"/>
      <c r="UWT487" s="17"/>
      <c r="UWU487" s="17"/>
      <c r="UWV487" s="17"/>
      <c r="UWW487" s="17"/>
      <c r="UWX487" s="17"/>
      <c r="UWY487" s="17"/>
      <c r="UWZ487" s="17"/>
      <c r="UXA487" s="17"/>
      <c r="UXB487" s="17"/>
      <c r="UXC487" s="17"/>
      <c r="UXD487" s="17"/>
      <c r="UXE487" s="17"/>
      <c r="UXF487" s="17"/>
      <c r="UXG487" s="17"/>
      <c r="UXH487" s="17"/>
      <c r="UXI487" s="17"/>
      <c r="UXJ487" s="17"/>
      <c r="UXK487" s="17"/>
      <c r="UXL487" s="17"/>
      <c r="UXM487" s="17"/>
      <c r="UXN487" s="17"/>
      <c r="UXO487" s="17"/>
      <c r="UXP487" s="17"/>
      <c r="UXQ487" s="17"/>
      <c r="UXR487" s="17"/>
      <c r="UXS487" s="17"/>
      <c r="UXT487" s="17"/>
      <c r="UXU487" s="17"/>
      <c r="UXV487" s="17"/>
      <c r="UXW487" s="17"/>
      <c r="UXX487" s="17"/>
      <c r="UXY487" s="17"/>
      <c r="UXZ487" s="17"/>
      <c r="UYA487" s="17"/>
      <c r="UYB487" s="17"/>
      <c r="UYC487" s="17"/>
      <c r="UYD487" s="17"/>
      <c r="UYE487" s="17"/>
      <c r="UYF487" s="17"/>
      <c r="UYG487" s="17"/>
      <c r="UYH487" s="17"/>
      <c r="UYI487" s="17"/>
      <c r="UYJ487" s="17"/>
      <c r="UYK487" s="17"/>
      <c r="UYL487" s="17"/>
      <c r="UYM487" s="17"/>
      <c r="UYN487" s="17"/>
      <c r="UYO487" s="17"/>
      <c r="UYP487" s="17"/>
      <c r="UYQ487" s="17"/>
      <c r="UYR487" s="17"/>
      <c r="UYS487" s="17"/>
      <c r="UYT487" s="17"/>
      <c r="UYU487" s="17"/>
      <c r="UYV487" s="17"/>
      <c r="UYW487" s="17"/>
      <c r="UYX487" s="17"/>
      <c r="UYY487" s="17"/>
      <c r="UYZ487" s="17"/>
      <c r="UZA487" s="17"/>
      <c r="UZB487" s="17"/>
      <c r="UZC487" s="17"/>
      <c r="UZD487" s="17"/>
      <c r="UZE487" s="17"/>
      <c r="UZF487" s="17"/>
      <c r="UZG487" s="17"/>
      <c r="UZH487" s="17"/>
      <c r="UZI487" s="17"/>
      <c r="UZJ487" s="17"/>
      <c r="UZK487" s="17"/>
      <c r="UZL487" s="17"/>
      <c r="UZM487" s="17"/>
      <c r="UZN487" s="17"/>
      <c r="UZO487" s="17"/>
      <c r="UZP487" s="17"/>
      <c r="UZQ487" s="17"/>
      <c r="UZR487" s="17"/>
      <c r="UZS487" s="17"/>
      <c r="UZT487" s="17"/>
      <c r="UZU487" s="17"/>
      <c r="UZV487" s="17"/>
      <c r="UZW487" s="17"/>
      <c r="UZX487" s="17"/>
      <c r="UZY487" s="17"/>
      <c r="UZZ487" s="17"/>
      <c r="VAA487" s="17"/>
      <c r="VAB487" s="17"/>
      <c r="VAC487" s="17"/>
      <c r="VAD487" s="17"/>
      <c r="VAE487" s="17"/>
      <c r="VAF487" s="17"/>
      <c r="VAG487" s="17"/>
      <c r="VAH487" s="17"/>
      <c r="VAI487" s="17"/>
      <c r="VAJ487" s="17"/>
      <c r="VAK487" s="17"/>
      <c r="VAL487" s="17"/>
      <c r="VAM487" s="17"/>
      <c r="VAN487" s="17"/>
      <c r="VAO487" s="17"/>
      <c r="VAP487" s="17"/>
      <c r="VAQ487" s="17"/>
      <c r="VAR487" s="17"/>
      <c r="VAS487" s="17"/>
      <c r="VAT487" s="17"/>
      <c r="VAU487" s="17"/>
      <c r="VAV487" s="17"/>
      <c r="VAW487" s="17"/>
      <c r="VAX487" s="17"/>
      <c r="VAY487" s="17"/>
      <c r="VAZ487" s="17"/>
      <c r="VBA487" s="17"/>
      <c r="VBB487" s="17"/>
      <c r="VBC487" s="17"/>
      <c r="VBD487" s="17"/>
      <c r="VBE487" s="17"/>
      <c r="VBF487" s="17"/>
      <c r="VBG487" s="17"/>
      <c r="VBH487" s="17"/>
      <c r="VBI487" s="17"/>
      <c r="VBJ487" s="17"/>
      <c r="VBK487" s="17"/>
      <c r="VBL487" s="17"/>
      <c r="VBM487" s="17"/>
      <c r="VBN487" s="17"/>
      <c r="VBO487" s="17"/>
      <c r="VBP487" s="17"/>
      <c r="VBQ487" s="17"/>
      <c r="VBR487" s="17"/>
      <c r="VBS487" s="17"/>
      <c r="VBT487" s="17"/>
      <c r="VBU487" s="17"/>
      <c r="VBV487" s="17"/>
      <c r="VBW487" s="17"/>
      <c r="VBX487" s="17"/>
      <c r="VBY487" s="17"/>
      <c r="VBZ487" s="17"/>
      <c r="VCA487" s="17"/>
      <c r="VCB487" s="17"/>
      <c r="VCC487" s="17"/>
      <c r="VCD487" s="17"/>
      <c r="VCE487" s="17"/>
      <c r="VCF487" s="17"/>
      <c r="VCG487" s="17"/>
      <c r="VCH487" s="17"/>
      <c r="VCI487" s="17"/>
      <c r="VCJ487" s="17"/>
      <c r="VCK487" s="17"/>
      <c r="VCL487" s="17"/>
      <c r="VCM487" s="17"/>
      <c r="VCN487" s="17"/>
      <c r="VCO487" s="17"/>
      <c r="VCP487" s="17"/>
      <c r="VCQ487" s="17"/>
      <c r="VCR487" s="17"/>
      <c r="VCS487" s="17"/>
      <c r="VCT487" s="17"/>
      <c r="VCU487" s="17"/>
      <c r="VCV487" s="17"/>
      <c r="VCW487" s="17"/>
      <c r="VCX487" s="17"/>
      <c r="VCY487" s="17"/>
      <c r="VCZ487" s="17"/>
      <c r="VDA487" s="17"/>
      <c r="VDB487" s="17"/>
      <c r="VDC487" s="17"/>
      <c r="VDD487" s="17"/>
      <c r="VDE487" s="17"/>
      <c r="VDF487" s="17"/>
      <c r="VDG487" s="17"/>
      <c r="VDH487" s="17"/>
      <c r="VDI487" s="17"/>
      <c r="VDJ487" s="17"/>
      <c r="VDK487" s="17"/>
      <c r="VDL487" s="17"/>
      <c r="VDM487" s="17"/>
      <c r="VDN487" s="17"/>
      <c r="VDO487" s="17"/>
      <c r="VDP487" s="17"/>
      <c r="VDQ487" s="17"/>
      <c r="VDR487" s="17"/>
      <c r="VDS487" s="17"/>
      <c r="VDT487" s="17"/>
      <c r="VDU487" s="17"/>
      <c r="VDV487" s="17"/>
      <c r="VDW487" s="17"/>
      <c r="VDX487" s="17"/>
      <c r="VDY487" s="17"/>
      <c r="VDZ487" s="17"/>
      <c r="VEA487" s="17"/>
      <c r="VEB487" s="17"/>
      <c r="VEC487" s="17"/>
      <c r="VED487" s="17"/>
      <c r="VEE487" s="17"/>
      <c r="VEF487" s="17"/>
      <c r="VEG487" s="17"/>
      <c r="VEH487" s="17"/>
      <c r="VEI487" s="17"/>
      <c r="VEJ487" s="17"/>
      <c r="VEK487" s="17"/>
      <c r="VEL487" s="17"/>
      <c r="VEM487" s="17"/>
      <c r="VEN487" s="17"/>
      <c r="VEO487" s="17"/>
      <c r="VEP487" s="17"/>
      <c r="VEQ487" s="17"/>
      <c r="VER487" s="17"/>
      <c r="VES487" s="17"/>
      <c r="VET487" s="17"/>
      <c r="VEU487" s="17"/>
      <c r="VEV487" s="17"/>
      <c r="VEW487" s="17"/>
      <c r="VEX487" s="17"/>
      <c r="VEY487" s="17"/>
      <c r="VEZ487" s="17"/>
      <c r="VFA487" s="17"/>
      <c r="VFB487" s="17"/>
      <c r="VFC487" s="17"/>
      <c r="VFD487" s="17"/>
      <c r="VFE487" s="17"/>
      <c r="VFF487" s="17"/>
      <c r="VFG487" s="17"/>
      <c r="VFH487" s="17"/>
      <c r="VFI487" s="17"/>
      <c r="VFJ487" s="17"/>
      <c r="VFK487" s="17"/>
      <c r="VFL487" s="17"/>
      <c r="VFM487" s="17"/>
      <c r="VFN487" s="17"/>
      <c r="VFO487" s="17"/>
      <c r="VFP487" s="17"/>
      <c r="VFQ487" s="17"/>
      <c r="VFR487" s="17"/>
      <c r="VFS487" s="17"/>
      <c r="VFT487" s="17"/>
      <c r="VFU487" s="17"/>
      <c r="VFV487" s="17"/>
      <c r="VFW487" s="17"/>
      <c r="VFX487" s="17"/>
      <c r="VFY487" s="17"/>
      <c r="VFZ487" s="17"/>
      <c r="VGA487" s="17"/>
      <c r="VGB487" s="17"/>
      <c r="VGC487" s="17"/>
      <c r="VGD487" s="17"/>
      <c r="VGE487" s="17"/>
      <c r="VGF487" s="17"/>
      <c r="VGG487" s="17"/>
      <c r="VGH487" s="17"/>
      <c r="VGI487" s="17"/>
      <c r="VGJ487" s="17"/>
      <c r="VGK487" s="17"/>
      <c r="VGL487" s="17"/>
      <c r="VGM487" s="17"/>
      <c r="VGN487" s="17"/>
      <c r="VGO487" s="17"/>
      <c r="VGP487" s="17"/>
      <c r="VGQ487" s="17"/>
      <c r="VGR487" s="17"/>
      <c r="VGS487" s="17"/>
      <c r="VGT487" s="17"/>
      <c r="VGU487" s="17"/>
      <c r="VGV487" s="17"/>
      <c r="VGW487" s="17"/>
      <c r="VGX487" s="17"/>
      <c r="VGY487" s="17"/>
      <c r="VGZ487" s="17"/>
      <c r="VHA487" s="17"/>
      <c r="VHB487" s="17"/>
      <c r="VHC487" s="17"/>
      <c r="VHD487" s="17"/>
      <c r="VHE487" s="17"/>
      <c r="VHF487" s="17"/>
      <c r="VHG487" s="17"/>
      <c r="VHH487" s="17"/>
      <c r="VHI487" s="17"/>
      <c r="VHJ487" s="17"/>
      <c r="VHK487" s="17"/>
      <c r="VHL487" s="17"/>
      <c r="VHM487" s="17"/>
      <c r="VHN487" s="17"/>
      <c r="VHO487" s="17"/>
      <c r="VHP487" s="17"/>
      <c r="VHQ487" s="17"/>
      <c r="VHR487" s="17"/>
      <c r="VHS487" s="17"/>
      <c r="VHT487" s="17"/>
      <c r="VHU487" s="17"/>
      <c r="VHV487" s="17"/>
      <c r="VHW487" s="17"/>
      <c r="VHX487" s="17"/>
      <c r="VHY487" s="17"/>
      <c r="VHZ487" s="17"/>
      <c r="VIA487" s="17"/>
      <c r="VIB487" s="17"/>
      <c r="VIC487" s="17"/>
      <c r="VID487" s="17"/>
      <c r="VIE487" s="17"/>
      <c r="VIF487" s="17"/>
      <c r="VIG487" s="17"/>
      <c r="VIH487" s="17"/>
      <c r="VII487" s="17"/>
      <c r="VIJ487" s="17"/>
      <c r="VIK487" s="17"/>
      <c r="VIL487" s="17"/>
      <c r="VIM487" s="17"/>
      <c r="VIN487" s="17"/>
      <c r="VIO487" s="17"/>
      <c r="VIP487" s="17"/>
      <c r="VIQ487" s="17"/>
      <c r="VIR487" s="17"/>
      <c r="VIS487" s="17"/>
      <c r="VIT487" s="17"/>
      <c r="VIU487" s="17"/>
      <c r="VIV487" s="17"/>
      <c r="VIW487" s="17"/>
      <c r="VIX487" s="17"/>
      <c r="VIY487" s="17"/>
      <c r="VIZ487" s="17"/>
      <c r="VJA487" s="17"/>
      <c r="VJB487" s="17"/>
      <c r="VJC487" s="17"/>
      <c r="VJD487" s="17"/>
      <c r="VJE487" s="17"/>
      <c r="VJF487" s="17"/>
      <c r="VJG487" s="17"/>
      <c r="VJH487" s="17"/>
      <c r="VJI487" s="17"/>
      <c r="VJJ487" s="17"/>
      <c r="VJK487" s="17"/>
      <c r="VJL487" s="17"/>
      <c r="VJM487" s="17"/>
      <c r="VJN487" s="17"/>
      <c r="VJO487" s="17"/>
      <c r="VJP487" s="17"/>
      <c r="VJQ487" s="17"/>
      <c r="VJR487" s="17"/>
      <c r="VJS487" s="17"/>
      <c r="VJT487" s="17"/>
      <c r="VJU487" s="17"/>
      <c r="VJV487" s="17"/>
      <c r="VJW487" s="17"/>
      <c r="VJX487" s="17"/>
      <c r="VJY487" s="17"/>
      <c r="VJZ487" s="17"/>
      <c r="VKA487" s="17"/>
      <c r="VKB487" s="17"/>
      <c r="VKC487" s="17"/>
      <c r="VKD487" s="17"/>
      <c r="VKE487" s="17"/>
      <c r="VKF487" s="17"/>
      <c r="VKG487" s="17"/>
      <c r="VKH487" s="17"/>
      <c r="VKI487" s="17"/>
      <c r="VKJ487" s="17"/>
      <c r="VKK487" s="17"/>
      <c r="VKL487" s="17"/>
      <c r="VKM487" s="17"/>
      <c r="VKN487" s="17"/>
      <c r="VKO487" s="17"/>
      <c r="VKP487" s="17"/>
      <c r="VKQ487" s="17"/>
      <c r="VKR487" s="17"/>
      <c r="VKS487" s="17"/>
      <c r="VKT487" s="17"/>
      <c r="VKU487" s="17"/>
      <c r="VKV487" s="17"/>
      <c r="VKW487" s="17"/>
      <c r="VKX487" s="17"/>
      <c r="VKY487" s="17"/>
      <c r="VKZ487" s="17"/>
      <c r="VLA487" s="17"/>
      <c r="VLB487" s="17"/>
      <c r="VLC487" s="17"/>
      <c r="VLD487" s="17"/>
      <c r="VLE487" s="17"/>
      <c r="VLF487" s="17"/>
      <c r="VLG487" s="17"/>
      <c r="VLH487" s="17"/>
      <c r="VLI487" s="17"/>
      <c r="VLJ487" s="17"/>
      <c r="VLK487" s="17"/>
      <c r="VLL487" s="17"/>
      <c r="VLM487" s="17"/>
      <c r="VLN487" s="17"/>
      <c r="VLO487" s="17"/>
      <c r="VLP487" s="17"/>
      <c r="VLQ487" s="17"/>
      <c r="VLR487" s="17"/>
      <c r="VLS487" s="17"/>
      <c r="VLT487" s="17"/>
      <c r="VLU487" s="17"/>
      <c r="VLV487" s="17"/>
      <c r="VLW487" s="17"/>
      <c r="VLX487" s="17"/>
      <c r="VLY487" s="17"/>
      <c r="VLZ487" s="17"/>
      <c r="VMA487" s="17"/>
      <c r="VMB487" s="17"/>
      <c r="VMC487" s="17"/>
      <c r="VMD487" s="17"/>
      <c r="VME487" s="17"/>
      <c r="VMF487" s="17"/>
      <c r="VMG487" s="17"/>
      <c r="VMH487" s="17"/>
      <c r="VMI487" s="17"/>
      <c r="VMJ487" s="17"/>
      <c r="VMK487" s="17"/>
      <c r="VML487" s="17"/>
      <c r="VMM487" s="17"/>
      <c r="VMN487" s="17"/>
      <c r="VMO487" s="17"/>
      <c r="VMP487" s="17"/>
      <c r="VMQ487" s="17"/>
      <c r="VMR487" s="17"/>
      <c r="VMS487" s="17"/>
      <c r="VMT487" s="17"/>
      <c r="VMU487" s="17"/>
      <c r="VMV487" s="17"/>
      <c r="VMW487" s="17"/>
      <c r="VMX487" s="17"/>
      <c r="VMY487" s="17"/>
      <c r="VMZ487" s="17"/>
      <c r="VNA487" s="17"/>
      <c r="VNB487" s="17"/>
      <c r="VNC487" s="17"/>
      <c r="VND487" s="17"/>
      <c r="VNE487" s="17"/>
      <c r="VNF487" s="17"/>
      <c r="VNG487" s="17"/>
      <c r="VNH487" s="17"/>
      <c r="VNI487" s="17"/>
      <c r="VNJ487" s="17"/>
      <c r="VNK487" s="17"/>
      <c r="VNL487" s="17"/>
      <c r="VNM487" s="17"/>
      <c r="VNN487" s="17"/>
      <c r="VNO487" s="17"/>
      <c r="VNP487" s="17"/>
      <c r="VNQ487" s="17"/>
      <c r="VNR487" s="17"/>
      <c r="VNS487" s="17"/>
      <c r="VNT487" s="17"/>
      <c r="VNU487" s="17"/>
      <c r="VNV487" s="17"/>
      <c r="VNW487" s="17"/>
      <c r="VNX487" s="17"/>
      <c r="VNY487" s="17"/>
      <c r="VNZ487" s="17"/>
      <c r="VOA487" s="17"/>
      <c r="VOB487" s="17"/>
      <c r="VOC487" s="17"/>
      <c r="VOD487" s="17"/>
      <c r="VOE487" s="17"/>
      <c r="VOF487" s="17"/>
      <c r="VOG487" s="17"/>
      <c r="VOH487" s="17"/>
      <c r="VOI487" s="17"/>
      <c r="VOJ487" s="17"/>
      <c r="VOK487" s="17"/>
      <c r="VOL487" s="17"/>
      <c r="VOM487" s="17"/>
      <c r="VON487" s="17"/>
      <c r="VOO487" s="17"/>
      <c r="VOP487" s="17"/>
      <c r="VOQ487" s="17"/>
      <c r="VOR487" s="17"/>
      <c r="VOS487" s="17"/>
      <c r="VOT487" s="17"/>
      <c r="VOU487" s="17"/>
      <c r="VOV487" s="17"/>
      <c r="VOW487" s="17"/>
      <c r="VOX487" s="17"/>
      <c r="VOY487" s="17"/>
      <c r="VOZ487" s="17"/>
      <c r="VPA487" s="17"/>
      <c r="VPB487" s="17"/>
      <c r="VPC487" s="17"/>
      <c r="VPD487" s="17"/>
      <c r="VPE487" s="17"/>
      <c r="VPF487" s="17"/>
      <c r="VPG487" s="17"/>
      <c r="VPH487" s="17"/>
      <c r="VPI487" s="17"/>
      <c r="VPJ487" s="17"/>
      <c r="VPK487" s="17"/>
      <c r="VPL487" s="17"/>
      <c r="VPM487" s="17"/>
      <c r="VPN487" s="17"/>
      <c r="VPO487" s="17"/>
      <c r="VPP487" s="17"/>
      <c r="VPQ487" s="17"/>
      <c r="VPR487" s="17"/>
      <c r="VPS487" s="17"/>
      <c r="VPT487" s="17"/>
      <c r="VPU487" s="17"/>
      <c r="VPV487" s="17"/>
      <c r="VPW487" s="17"/>
      <c r="VPX487" s="17"/>
      <c r="VPY487" s="17"/>
      <c r="VPZ487" s="17"/>
      <c r="VQA487" s="17"/>
      <c r="VQB487" s="17"/>
      <c r="VQC487" s="17"/>
      <c r="VQD487" s="17"/>
      <c r="VQE487" s="17"/>
      <c r="VQF487" s="17"/>
      <c r="VQG487" s="17"/>
      <c r="VQH487" s="17"/>
      <c r="VQI487" s="17"/>
      <c r="VQJ487" s="17"/>
      <c r="VQK487" s="17"/>
      <c r="VQL487" s="17"/>
      <c r="VQM487" s="17"/>
      <c r="VQN487" s="17"/>
      <c r="VQO487" s="17"/>
      <c r="VQP487" s="17"/>
      <c r="VQQ487" s="17"/>
      <c r="VQR487" s="17"/>
      <c r="VQS487" s="17"/>
      <c r="VQT487" s="17"/>
      <c r="VQU487" s="17"/>
      <c r="VQV487" s="17"/>
      <c r="VQW487" s="17"/>
      <c r="VQX487" s="17"/>
      <c r="VQY487" s="17"/>
      <c r="VQZ487" s="17"/>
      <c r="VRA487" s="17"/>
      <c r="VRB487" s="17"/>
      <c r="VRC487" s="17"/>
      <c r="VRD487" s="17"/>
      <c r="VRE487" s="17"/>
      <c r="VRF487" s="17"/>
      <c r="VRG487" s="17"/>
      <c r="VRH487" s="17"/>
      <c r="VRI487" s="17"/>
      <c r="VRJ487" s="17"/>
      <c r="VRK487" s="17"/>
      <c r="VRL487" s="17"/>
      <c r="VRM487" s="17"/>
      <c r="VRN487" s="17"/>
      <c r="VRO487" s="17"/>
      <c r="VRP487" s="17"/>
      <c r="VRQ487" s="17"/>
      <c r="VRR487" s="17"/>
      <c r="VRS487" s="17"/>
      <c r="VRT487" s="17"/>
      <c r="VRU487" s="17"/>
      <c r="VRV487" s="17"/>
      <c r="VRW487" s="17"/>
      <c r="VRX487" s="17"/>
      <c r="VRY487" s="17"/>
      <c r="VRZ487" s="17"/>
      <c r="VSA487" s="17"/>
      <c r="VSB487" s="17"/>
      <c r="VSC487" s="17"/>
      <c r="VSD487" s="17"/>
      <c r="VSE487" s="17"/>
      <c r="VSF487" s="17"/>
      <c r="VSG487" s="17"/>
      <c r="VSH487" s="17"/>
      <c r="VSI487" s="17"/>
      <c r="VSJ487" s="17"/>
      <c r="VSK487" s="17"/>
      <c r="VSL487" s="17"/>
      <c r="VSM487" s="17"/>
      <c r="VSN487" s="17"/>
      <c r="VSO487" s="17"/>
      <c r="VSP487" s="17"/>
      <c r="VSQ487" s="17"/>
      <c r="VSR487" s="17"/>
      <c r="VSS487" s="17"/>
      <c r="VST487" s="17"/>
      <c r="VSU487" s="17"/>
      <c r="VSV487" s="17"/>
      <c r="VSW487" s="17"/>
      <c r="VSX487" s="17"/>
      <c r="VSY487" s="17"/>
      <c r="VSZ487" s="17"/>
      <c r="VTA487" s="17"/>
      <c r="VTB487" s="17"/>
      <c r="VTC487" s="17"/>
      <c r="VTD487" s="17"/>
      <c r="VTE487" s="17"/>
      <c r="VTF487" s="17"/>
      <c r="VTG487" s="17"/>
      <c r="VTH487" s="17"/>
      <c r="VTI487" s="17"/>
      <c r="VTJ487" s="17"/>
      <c r="VTK487" s="17"/>
      <c r="VTL487" s="17"/>
      <c r="VTM487" s="17"/>
      <c r="VTN487" s="17"/>
      <c r="VTO487" s="17"/>
      <c r="VTP487" s="17"/>
      <c r="VTQ487" s="17"/>
      <c r="VTR487" s="17"/>
      <c r="VTS487" s="17"/>
      <c r="VTT487" s="17"/>
      <c r="VTU487" s="17"/>
      <c r="VTV487" s="17"/>
      <c r="VTW487" s="17"/>
      <c r="VTX487" s="17"/>
      <c r="VTY487" s="17"/>
      <c r="VTZ487" s="17"/>
      <c r="VUA487" s="17"/>
      <c r="VUB487" s="17"/>
      <c r="VUC487" s="17"/>
      <c r="VUD487" s="17"/>
      <c r="VUE487" s="17"/>
      <c r="VUF487" s="17"/>
      <c r="VUG487" s="17"/>
      <c r="VUH487" s="17"/>
      <c r="VUI487" s="17"/>
      <c r="VUJ487" s="17"/>
      <c r="VUK487" s="17"/>
      <c r="VUL487" s="17"/>
      <c r="VUM487" s="17"/>
      <c r="VUN487" s="17"/>
      <c r="VUO487" s="17"/>
      <c r="VUP487" s="17"/>
      <c r="VUQ487" s="17"/>
      <c r="VUR487" s="17"/>
      <c r="VUS487" s="17"/>
      <c r="VUT487" s="17"/>
      <c r="VUU487" s="17"/>
      <c r="VUV487" s="17"/>
      <c r="VUW487" s="17"/>
      <c r="VUX487" s="17"/>
      <c r="VUY487" s="17"/>
      <c r="VUZ487" s="17"/>
      <c r="VVA487" s="17"/>
      <c r="VVB487" s="17"/>
      <c r="VVC487" s="17"/>
      <c r="VVD487" s="17"/>
      <c r="VVE487" s="17"/>
      <c r="VVF487" s="17"/>
      <c r="VVG487" s="17"/>
      <c r="VVH487" s="17"/>
      <c r="VVI487" s="17"/>
      <c r="VVJ487" s="17"/>
      <c r="VVK487" s="17"/>
      <c r="VVL487" s="17"/>
      <c r="VVM487" s="17"/>
      <c r="VVN487" s="17"/>
      <c r="VVO487" s="17"/>
      <c r="VVP487" s="17"/>
      <c r="VVQ487" s="17"/>
      <c r="VVR487" s="17"/>
      <c r="VVS487" s="17"/>
      <c r="VVT487" s="17"/>
      <c r="VVU487" s="17"/>
      <c r="VVV487" s="17"/>
      <c r="VVW487" s="17"/>
      <c r="VVX487" s="17"/>
      <c r="VVY487" s="17"/>
      <c r="VVZ487" s="17"/>
      <c r="VWA487" s="17"/>
      <c r="VWB487" s="17"/>
      <c r="VWC487" s="17"/>
      <c r="VWD487" s="17"/>
      <c r="VWE487" s="17"/>
      <c r="VWF487" s="17"/>
      <c r="VWG487" s="17"/>
      <c r="VWH487" s="17"/>
      <c r="VWI487" s="17"/>
      <c r="VWJ487" s="17"/>
      <c r="VWK487" s="17"/>
      <c r="VWL487" s="17"/>
      <c r="VWM487" s="17"/>
      <c r="VWN487" s="17"/>
      <c r="VWO487" s="17"/>
      <c r="VWP487" s="17"/>
      <c r="VWQ487" s="17"/>
      <c r="VWR487" s="17"/>
      <c r="VWS487" s="17"/>
      <c r="VWT487" s="17"/>
      <c r="VWU487" s="17"/>
      <c r="VWV487" s="17"/>
      <c r="VWW487" s="17"/>
      <c r="VWX487" s="17"/>
      <c r="VWY487" s="17"/>
      <c r="VWZ487" s="17"/>
      <c r="VXA487" s="17"/>
      <c r="VXB487" s="17"/>
      <c r="VXC487" s="17"/>
      <c r="VXD487" s="17"/>
      <c r="VXE487" s="17"/>
      <c r="VXF487" s="17"/>
      <c r="VXG487" s="17"/>
      <c r="VXH487" s="17"/>
      <c r="VXI487" s="17"/>
      <c r="VXJ487" s="17"/>
      <c r="VXK487" s="17"/>
      <c r="VXL487" s="17"/>
      <c r="VXM487" s="17"/>
      <c r="VXN487" s="17"/>
      <c r="VXO487" s="17"/>
      <c r="VXP487" s="17"/>
      <c r="VXQ487" s="17"/>
      <c r="VXR487" s="17"/>
      <c r="VXS487" s="17"/>
      <c r="VXT487" s="17"/>
      <c r="VXU487" s="17"/>
      <c r="VXV487" s="17"/>
      <c r="VXW487" s="17"/>
      <c r="VXX487" s="17"/>
      <c r="VXY487" s="17"/>
      <c r="VXZ487" s="17"/>
      <c r="VYA487" s="17"/>
      <c r="VYB487" s="17"/>
      <c r="VYC487" s="17"/>
      <c r="VYD487" s="17"/>
      <c r="VYE487" s="17"/>
      <c r="VYF487" s="17"/>
      <c r="VYG487" s="17"/>
      <c r="VYH487" s="17"/>
      <c r="VYI487" s="17"/>
      <c r="VYJ487" s="17"/>
      <c r="VYK487" s="17"/>
      <c r="VYL487" s="17"/>
      <c r="VYM487" s="17"/>
      <c r="VYN487" s="17"/>
      <c r="VYO487" s="17"/>
      <c r="VYP487" s="17"/>
      <c r="VYQ487" s="17"/>
      <c r="VYR487" s="17"/>
      <c r="VYS487" s="17"/>
      <c r="VYT487" s="17"/>
      <c r="VYU487" s="17"/>
      <c r="VYV487" s="17"/>
      <c r="VYW487" s="17"/>
      <c r="VYX487" s="17"/>
      <c r="VYY487" s="17"/>
      <c r="VYZ487" s="17"/>
      <c r="VZA487" s="17"/>
      <c r="VZB487" s="17"/>
      <c r="VZC487" s="17"/>
      <c r="VZD487" s="17"/>
      <c r="VZE487" s="17"/>
      <c r="VZF487" s="17"/>
      <c r="VZG487" s="17"/>
      <c r="VZH487" s="17"/>
      <c r="VZI487" s="17"/>
      <c r="VZJ487" s="17"/>
      <c r="VZK487" s="17"/>
      <c r="VZL487" s="17"/>
      <c r="VZM487" s="17"/>
      <c r="VZN487" s="17"/>
      <c r="VZO487" s="17"/>
      <c r="VZP487" s="17"/>
      <c r="VZQ487" s="17"/>
      <c r="VZR487" s="17"/>
      <c r="VZS487" s="17"/>
      <c r="VZT487" s="17"/>
      <c r="VZU487" s="17"/>
      <c r="VZV487" s="17"/>
      <c r="VZW487" s="17"/>
      <c r="VZX487" s="17"/>
      <c r="VZY487" s="17"/>
      <c r="VZZ487" s="17"/>
      <c r="WAA487" s="17"/>
      <c r="WAB487" s="17"/>
      <c r="WAC487" s="17"/>
      <c r="WAD487" s="17"/>
      <c r="WAE487" s="17"/>
      <c r="WAF487" s="17"/>
      <c r="WAG487" s="17"/>
      <c r="WAH487" s="17"/>
      <c r="WAI487" s="17"/>
      <c r="WAJ487" s="17"/>
      <c r="WAK487" s="17"/>
      <c r="WAL487" s="17"/>
      <c r="WAM487" s="17"/>
      <c r="WAN487" s="17"/>
      <c r="WAO487" s="17"/>
      <c r="WAP487" s="17"/>
      <c r="WAQ487" s="17"/>
      <c r="WAR487" s="17"/>
      <c r="WAS487" s="17"/>
      <c r="WAT487" s="17"/>
      <c r="WAU487" s="17"/>
      <c r="WAV487" s="17"/>
      <c r="WAW487" s="17"/>
      <c r="WAX487" s="17"/>
      <c r="WAY487" s="17"/>
      <c r="WAZ487" s="17"/>
      <c r="WBA487" s="17"/>
      <c r="WBB487" s="17"/>
      <c r="WBC487" s="17"/>
      <c r="WBD487" s="17"/>
      <c r="WBE487" s="17"/>
      <c r="WBF487" s="17"/>
      <c r="WBG487" s="17"/>
      <c r="WBH487" s="17"/>
      <c r="WBI487" s="17"/>
      <c r="WBJ487" s="17"/>
      <c r="WBK487" s="17"/>
      <c r="WBL487" s="17"/>
      <c r="WBM487" s="17"/>
      <c r="WBN487" s="17"/>
      <c r="WBO487" s="17"/>
      <c r="WBP487" s="17"/>
      <c r="WBQ487" s="17"/>
      <c r="WBR487" s="17"/>
      <c r="WBS487" s="17"/>
      <c r="WBT487" s="17"/>
      <c r="WBU487" s="17"/>
      <c r="WBV487" s="17"/>
      <c r="WBW487" s="17"/>
      <c r="WBX487" s="17"/>
      <c r="WBY487" s="17"/>
      <c r="WBZ487" s="17"/>
      <c r="WCA487" s="17"/>
      <c r="WCB487" s="17"/>
      <c r="WCC487" s="17"/>
      <c r="WCD487" s="17"/>
      <c r="WCE487" s="17"/>
      <c r="WCF487" s="17"/>
      <c r="WCG487" s="17"/>
      <c r="WCH487" s="17"/>
      <c r="WCI487" s="17"/>
      <c r="WCJ487" s="17"/>
      <c r="WCK487" s="17"/>
      <c r="WCL487" s="17"/>
      <c r="WCM487" s="17"/>
      <c r="WCN487" s="17"/>
      <c r="WCO487" s="17"/>
      <c r="WCP487" s="17"/>
      <c r="WCQ487" s="17"/>
      <c r="WCR487" s="17"/>
      <c r="WCS487" s="17"/>
      <c r="WCT487" s="17"/>
      <c r="WCU487" s="17"/>
      <c r="WCV487" s="17"/>
      <c r="WCW487" s="17"/>
      <c r="WCX487" s="17"/>
      <c r="WCY487" s="17"/>
      <c r="WCZ487" s="17"/>
      <c r="WDA487" s="17"/>
      <c r="WDB487" s="17"/>
      <c r="WDC487" s="17"/>
      <c r="WDD487" s="17"/>
      <c r="WDE487" s="17"/>
      <c r="WDF487" s="17"/>
      <c r="WDG487" s="17"/>
      <c r="WDH487" s="17"/>
      <c r="WDI487" s="17"/>
      <c r="WDJ487" s="17"/>
      <c r="WDK487" s="17"/>
      <c r="WDL487" s="17"/>
      <c r="WDM487" s="17"/>
      <c r="WDN487" s="17"/>
      <c r="WDO487" s="17"/>
      <c r="WDP487" s="17"/>
      <c r="WDQ487" s="17"/>
      <c r="WDR487" s="17"/>
      <c r="WDS487" s="17"/>
      <c r="WDT487" s="17"/>
      <c r="WDU487" s="17"/>
      <c r="WDV487" s="17"/>
      <c r="WDW487" s="17"/>
      <c r="WDX487" s="17"/>
      <c r="WDY487" s="17"/>
      <c r="WDZ487" s="17"/>
      <c r="WEA487" s="17"/>
      <c r="WEB487" s="17"/>
      <c r="WEC487" s="17"/>
      <c r="WED487" s="17"/>
      <c r="WEE487" s="17"/>
      <c r="WEF487" s="17"/>
      <c r="WEG487" s="17"/>
      <c r="WEH487" s="17"/>
      <c r="WEI487" s="17"/>
      <c r="WEJ487" s="17"/>
      <c r="WEK487" s="17"/>
      <c r="WEL487" s="17"/>
      <c r="WEM487" s="17"/>
      <c r="WEN487" s="17"/>
      <c r="WEO487" s="17"/>
      <c r="WEP487" s="17"/>
      <c r="WEQ487" s="17"/>
      <c r="WER487" s="17"/>
      <c r="WES487" s="17"/>
      <c r="WET487" s="17"/>
      <c r="WEU487" s="17"/>
      <c r="WEV487" s="17"/>
      <c r="WEW487" s="17"/>
      <c r="WEX487" s="17"/>
      <c r="WEY487" s="17"/>
      <c r="WEZ487" s="17"/>
      <c r="WFA487" s="17"/>
      <c r="WFB487" s="17"/>
      <c r="WFC487" s="17"/>
      <c r="WFD487" s="17"/>
      <c r="WFE487" s="17"/>
      <c r="WFF487" s="17"/>
      <c r="WFG487" s="17"/>
      <c r="WFH487" s="17"/>
      <c r="WFI487" s="17"/>
      <c r="WFJ487" s="17"/>
      <c r="WFK487" s="17"/>
      <c r="WFL487" s="17"/>
      <c r="WFM487" s="17"/>
      <c r="WFN487" s="17"/>
      <c r="WFO487" s="17"/>
      <c r="WFP487" s="17"/>
      <c r="WFQ487" s="17"/>
      <c r="WFR487" s="17"/>
      <c r="WFS487" s="17"/>
      <c r="WFT487" s="17"/>
      <c r="WFU487" s="17"/>
      <c r="WFV487" s="17"/>
      <c r="WFW487" s="17"/>
      <c r="WFX487" s="17"/>
      <c r="WFY487" s="17"/>
      <c r="WFZ487" s="17"/>
      <c r="WGA487" s="17"/>
      <c r="WGB487" s="17"/>
      <c r="WGC487" s="17"/>
      <c r="WGD487" s="17"/>
      <c r="WGE487" s="17"/>
      <c r="WGF487" s="17"/>
      <c r="WGG487" s="17"/>
      <c r="WGH487" s="17"/>
      <c r="WGI487" s="17"/>
      <c r="WGJ487" s="17"/>
      <c r="WGK487" s="17"/>
      <c r="WGL487" s="17"/>
      <c r="WGM487" s="17"/>
      <c r="WGN487" s="17"/>
      <c r="WGO487" s="17"/>
      <c r="WGP487" s="17"/>
      <c r="WGQ487" s="17"/>
      <c r="WGR487" s="17"/>
      <c r="WGS487" s="17"/>
      <c r="WGT487" s="17"/>
      <c r="WGU487" s="17"/>
      <c r="WGV487" s="17"/>
      <c r="WGW487" s="17"/>
      <c r="WGX487" s="17"/>
      <c r="WGY487" s="17"/>
      <c r="WGZ487" s="17"/>
      <c r="WHA487" s="17"/>
      <c r="WHB487" s="17"/>
      <c r="WHC487" s="17"/>
      <c r="WHD487" s="17"/>
      <c r="WHE487" s="17"/>
      <c r="WHF487" s="17"/>
      <c r="WHG487" s="17"/>
      <c r="WHH487" s="17"/>
      <c r="WHI487" s="17"/>
      <c r="WHJ487" s="17"/>
      <c r="WHK487" s="17"/>
      <c r="WHL487" s="17"/>
      <c r="WHM487" s="17"/>
      <c r="WHN487" s="17"/>
      <c r="WHO487" s="17"/>
      <c r="WHP487" s="17"/>
      <c r="WHQ487" s="17"/>
      <c r="WHR487" s="17"/>
      <c r="WHS487" s="17"/>
      <c r="WHT487" s="17"/>
      <c r="WHU487" s="17"/>
      <c r="WHV487" s="17"/>
      <c r="WHW487" s="17"/>
      <c r="WHX487" s="17"/>
      <c r="WHY487" s="17"/>
      <c r="WHZ487" s="17"/>
      <c r="WIA487" s="17"/>
      <c r="WIB487" s="17"/>
      <c r="WIC487" s="17"/>
      <c r="WID487" s="17"/>
      <c r="WIE487" s="17"/>
      <c r="WIF487" s="17"/>
      <c r="WIG487" s="17"/>
      <c r="WIH487" s="17"/>
      <c r="WII487" s="17"/>
      <c r="WIJ487" s="17"/>
      <c r="WIK487" s="17"/>
      <c r="WIL487" s="17"/>
      <c r="WIM487" s="17"/>
      <c r="WIN487" s="17"/>
      <c r="WIO487" s="17"/>
      <c r="WIP487" s="17"/>
      <c r="WIQ487" s="17"/>
      <c r="WIR487" s="17"/>
      <c r="WIS487" s="17"/>
      <c r="WIT487" s="17"/>
      <c r="WIU487" s="17"/>
      <c r="WIV487" s="17"/>
      <c r="WIW487" s="17"/>
      <c r="WIX487" s="17"/>
      <c r="WIY487" s="17"/>
      <c r="WIZ487" s="17"/>
      <c r="WJA487" s="17"/>
      <c r="WJB487" s="17"/>
      <c r="WJC487" s="17"/>
      <c r="WJD487" s="17"/>
      <c r="WJE487" s="17"/>
      <c r="WJF487" s="17"/>
      <c r="WJG487" s="17"/>
      <c r="WJH487" s="17"/>
      <c r="WJI487" s="17"/>
      <c r="WJJ487" s="17"/>
      <c r="WJK487" s="17"/>
      <c r="WJL487" s="17"/>
      <c r="WJM487" s="17"/>
      <c r="WJN487" s="17"/>
      <c r="WJO487" s="17"/>
      <c r="WJP487" s="17"/>
      <c r="WJQ487" s="17"/>
      <c r="WJR487" s="17"/>
      <c r="WJS487" s="17"/>
      <c r="WJT487" s="17"/>
      <c r="WJU487" s="17"/>
      <c r="WJV487" s="17"/>
      <c r="WJW487" s="17"/>
      <c r="WJX487" s="17"/>
      <c r="WJY487" s="17"/>
      <c r="WJZ487" s="17"/>
      <c r="WKA487" s="17"/>
      <c r="WKB487" s="17"/>
      <c r="WKC487" s="17"/>
      <c r="WKD487" s="17"/>
      <c r="WKE487" s="17"/>
      <c r="WKF487" s="17"/>
      <c r="WKG487" s="17"/>
      <c r="WKH487" s="17"/>
      <c r="WKI487" s="17"/>
      <c r="WKJ487" s="17"/>
      <c r="WKK487" s="17"/>
      <c r="WKL487" s="17"/>
      <c r="WKM487" s="17"/>
      <c r="WKN487" s="17"/>
      <c r="WKO487" s="17"/>
      <c r="WKP487" s="17"/>
      <c r="WKQ487" s="17"/>
      <c r="WKR487" s="17"/>
      <c r="WKS487" s="17"/>
      <c r="WKT487" s="17"/>
      <c r="WKU487" s="17"/>
      <c r="WKV487" s="17"/>
      <c r="WKW487" s="17"/>
      <c r="WKX487" s="17"/>
      <c r="WKY487" s="17"/>
      <c r="WKZ487" s="17"/>
      <c r="WLA487" s="17"/>
      <c r="WLB487" s="17"/>
      <c r="WLC487" s="17"/>
      <c r="WLD487" s="17"/>
      <c r="WLE487" s="17"/>
      <c r="WLF487" s="17"/>
      <c r="WLG487" s="17"/>
      <c r="WLH487" s="17"/>
      <c r="WLI487" s="17"/>
      <c r="WLJ487" s="17"/>
      <c r="WLK487" s="17"/>
      <c r="WLL487" s="17"/>
      <c r="WLM487" s="17"/>
      <c r="WLN487" s="17"/>
      <c r="WLO487" s="17"/>
      <c r="WLP487" s="17"/>
      <c r="WLQ487" s="17"/>
      <c r="WLR487" s="17"/>
      <c r="WLS487" s="17"/>
      <c r="WLT487" s="17"/>
      <c r="WLU487" s="17"/>
      <c r="WLV487" s="17"/>
      <c r="WLW487" s="17"/>
      <c r="WLX487" s="17"/>
      <c r="WLY487" s="17"/>
      <c r="WLZ487" s="17"/>
      <c r="WMA487" s="17"/>
      <c r="WMB487" s="17"/>
      <c r="WMC487" s="17"/>
      <c r="WMD487" s="17"/>
      <c r="WME487" s="17"/>
      <c r="WMF487" s="17"/>
      <c r="WMG487" s="17"/>
      <c r="WMH487" s="17"/>
      <c r="WMI487" s="17"/>
      <c r="WMJ487" s="17"/>
      <c r="WMK487" s="17"/>
      <c r="WML487" s="17"/>
      <c r="WMM487" s="17"/>
      <c r="WMN487" s="17"/>
      <c r="WMO487" s="17"/>
      <c r="WMP487" s="17"/>
      <c r="WMQ487" s="17"/>
      <c r="WMR487" s="17"/>
      <c r="WMS487" s="17"/>
      <c r="WMT487" s="17"/>
      <c r="WMU487" s="17"/>
      <c r="WMV487" s="17"/>
      <c r="WMW487" s="17"/>
      <c r="WMX487" s="17"/>
      <c r="WMY487" s="17"/>
      <c r="WMZ487" s="17"/>
      <c r="WNA487" s="17"/>
      <c r="WNB487" s="17"/>
      <c r="WNC487" s="17"/>
      <c r="WND487" s="17"/>
      <c r="WNE487" s="17"/>
      <c r="WNF487" s="17"/>
      <c r="WNG487" s="17"/>
      <c r="WNH487" s="17"/>
      <c r="WNI487" s="17"/>
      <c r="WNJ487" s="17"/>
      <c r="WNK487" s="17"/>
      <c r="WNL487" s="17"/>
      <c r="WNM487" s="17"/>
      <c r="WNN487" s="17"/>
      <c r="WNO487" s="17"/>
      <c r="WNP487" s="17"/>
      <c r="WNQ487" s="17"/>
      <c r="WNR487" s="17"/>
      <c r="WNS487" s="17"/>
      <c r="WNT487" s="17"/>
      <c r="WNU487" s="17"/>
      <c r="WNV487" s="17"/>
      <c r="WNW487" s="17"/>
      <c r="WNX487" s="17"/>
      <c r="WNY487" s="17"/>
      <c r="WNZ487" s="17"/>
      <c r="WOA487" s="17"/>
      <c r="WOB487" s="17"/>
      <c r="WOC487" s="17"/>
      <c r="WOD487" s="17"/>
      <c r="WOE487" s="17"/>
      <c r="WOF487" s="17"/>
      <c r="WOG487" s="17"/>
      <c r="WOH487" s="17"/>
      <c r="WOI487" s="17"/>
      <c r="WOJ487" s="17"/>
      <c r="WOK487" s="17"/>
      <c r="WOL487" s="17"/>
      <c r="WOM487" s="17"/>
      <c r="WON487" s="17"/>
      <c r="WOO487" s="17"/>
      <c r="WOP487" s="17"/>
      <c r="WOQ487" s="17"/>
      <c r="WOR487" s="17"/>
      <c r="WOS487" s="17"/>
      <c r="WOT487" s="17"/>
      <c r="WOU487" s="17"/>
      <c r="WOV487" s="17"/>
      <c r="WOW487" s="17"/>
      <c r="WOX487" s="17"/>
      <c r="WOY487" s="17"/>
      <c r="WOZ487" s="17"/>
      <c r="WPA487" s="17"/>
      <c r="WPB487" s="17"/>
      <c r="WPC487" s="17"/>
      <c r="WPD487" s="17"/>
      <c r="WPE487" s="17"/>
      <c r="WPF487" s="17"/>
      <c r="WPG487" s="17"/>
      <c r="WPH487" s="17"/>
      <c r="WPI487" s="17"/>
      <c r="WPJ487" s="17"/>
      <c r="WPK487" s="17"/>
      <c r="WPL487" s="17"/>
      <c r="WPM487" s="17"/>
      <c r="WPN487" s="17"/>
      <c r="WPO487" s="17"/>
      <c r="WPP487" s="17"/>
      <c r="WPQ487" s="17"/>
      <c r="WPR487" s="17"/>
      <c r="WPS487" s="17"/>
      <c r="WPT487" s="17"/>
      <c r="WPU487" s="17"/>
      <c r="WPV487" s="17"/>
      <c r="WPW487" s="17"/>
      <c r="WPX487" s="17"/>
      <c r="WPY487" s="17"/>
      <c r="WPZ487" s="17"/>
      <c r="WQA487" s="17"/>
      <c r="WQB487" s="17"/>
      <c r="WQC487" s="17"/>
      <c r="WQD487" s="17"/>
      <c r="WQE487" s="17"/>
      <c r="WQF487" s="17"/>
      <c r="WQG487" s="17"/>
      <c r="WQH487" s="17"/>
      <c r="WQI487" s="17"/>
      <c r="WQJ487" s="17"/>
      <c r="WQK487" s="17"/>
      <c r="WQL487" s="17"/>
      <c r="WQM487" s="17"/>
      <c r="WQN487" s="17"/>
      <c r="WQO487" s="17"/>
      <c r="WQP487" s="17"/>
      <c r="WQQ487" s="17"/>
      <c r="WQR487" s="17"/>
      <c r="WQS487" s="17"/>
      <c r="WQT487" s="17"/>
      <c r="WQU487" s="17"/>
      <c r="WQV487" s="17"/>
      <c r="WQW487" s="17"/>
      <c r="WQX487" s="17"/>
      <c r="WQY487" s="17"/>
      <c r="WQZ487" s="17"/>
      <c r="WRA487" s="17"/>
      <c r="WRB487" s="17"/>
      <c r="WRC487" s="17"/>
      <c r="WRD487" s="17"/>
      <c r="WRE487" s="17"/>
      <c r="WRF487" s="17"/>
      <c r="WRG487" s="17"/>
      <c r="WRH487" s="17"/>
      <c r="WRI487" s="17"/>
      <c r="WRJ487" s="17"/>
      <c r="WRK487" s="17"/>
      <c r="WRL487" s="17"/>
      <c r="WRM487" s="17"/>
      <c r="WRN487" s="17"/>
      <c r="WRO487" s="17"/>
      <c r="WRP487" s="17"/>
      <c r="WRQ487" s="17"/>
      <c r="WRR487" s="17"/>
      <c r="WRS487" s="17"/>
      <c r="WRT487" s="17"/>
      <c r="WRU487" s="17"/>
      <c r="WRV487" s="17"/>
      <c r="WRW487" s="17"/>
      <c r="WRX487" s="17"/>
      <c r="WRY487" s="17"/>
      <c r="WRZ487" s="17"/>
      <c r="WSA487" s="17"/>
      <c r="WSB487" s="17"/>
      <c r="WSC487" s="17"/>
      <c r="WSD487" s="17"/>
      <c r="WSE487" s="17"/>
      <c r="WSF487" s="17"/>
      <c r="WSG487" s="17"/>
      <c r="WSH487" s="17"/>
      <c r="WSI487" s="17"/>
      <c r="WSJ487" s="17"/>
      <c r="WSK487" s="17"/>
      <c r="WSL487" s="17"/>
      <c r="WSM487" s="17"/>
      <c r="WSN487" s="17"/>
      <c r="WSO487" s="17"/>
      <c r="WSP487" s="17"/>
      <c r="WSQ487" s="17"/>
      <c r="WSR487" s="17"/>
      <c r="WSS487" s="17"/>
      <c r="WST487" s="17"/>
      <c r="WSU487" s="17"/>
      <c r="WSV487" s="17"/>
      <c r="WSW487" s="17"/>
      <c r="WSX487" s="17"/>
      <c r="WSY487" s="17"/>
      <c r="WSZ487" s="17"/>
      <c r="WTA487" s="17"/>
      <c r="WTB487" s="17"/>
      <c r="WTC487" s="17"/>
      <c r="WTD487" s="17"/>
      <c r="WTE487" s="17"/>
      <c r="WTF487" s="17"/>
      <c r="WTG487" s="17"/>
      <c r="WTH487" s="17"/>
      <c r="WTI487" s="17"/>
      <c r="WTJ487" s="17"/>
      <c r="WTK487" s="17"/>
      <c r="WTL487" s="17"/>
      <c r="WTM487" s="17"/>
      <c r="WTN487" s="17"/>
      <c r="WTO487" s="17"/>
      <c r="WTP487" s="17"/>
      <c r="WTQ487" s="17"/>
      <c r="WTR487" s="17"/>
      <c r="WTS487" s="17"/>
      <c r="WTT487" s="17"/>
      <c r="WTU487" s="17"/>
      <c r="WTV487" s="17"/>
      <c r="WTW487" s="17"/>
      <c r="WTX487" s="17"/>
      <c r="WTY487" s="17"/>
      <c r="WTZ487" s="17"/>
      <c r="WUA487" s="17"/>
      <c r="WUB487" s="17"/>
      <c r="WUC487" s="17"/>
      <c r="WUD487" s="17"/>
      <c r="WUE487" s="17"/>
      <c r="WUF487" s="17"/>
      <c r="WUG487" s="17"/>
      <c r="WUH487" s="17"/>
      <c r="WUI487" s="17"/>
      <c r="WUJ487" s="17"/>
      <c r="WUK487" s="17"/>
      <c r="WUL487" s="17"/>
      <c r="WUM487" s="17"/>
      <c r="WUN487" s="17"/>
      <c r="WUO487" s="17"/>
      <c r="WUP487" s="17"/>
      <c r="WUQ487" s="17"/>
      <c r="WUR487" s="17"/>
      <c r="WUS487" s="17"/>
      <c r="WUT487" s="17"/>
      <c r="WUU487" s="17"/>
      <c r="WUV487" s="17"/>
      <c r="WUW487" s="17"/>
      <c r="WUX487" s="17"/>
      <c r="WUY487" s="17"/>
      <c r="WUZ487" s="17"/>
      <c r="WVA487" s="17"/>
      <c r="WVB487" s="17"/>
      <c r="WVC487" s="17"/>
      <c r="WVD487" s="17"/>
      <c r="WVE487" s="17"/>
      <c r="WVF487" s="17"/>
      <c r="WVG487" s="17"/>
      <c r="WVH487" s="17"/>
      <c r="WVI487" s="17"/>
      <c r="WVJ487" s="17"/>
      <c r="WVK487" s="17"/>
      <c r="WVL487" s="17"/>
      <c r="WVM487" s="17"/>
      <c r="WVN487" s="17"/>
      <c r="WVO487" s="17"/>
      <c r="WVP487" s="17"/>
      <c r="WVQ487" s="17"/>
      <c r="WVR487" s="17"/>
      <c r="WVS487" s="17"/>
      <c r="WVT487" s="17"/>
      <c r="WVU487" s="17"/>
      <c r="WVV487" s="17"/>
      <c r="WVW487" s="17"/>
      <c r="WVX487" s="17"/>
      <c r="WVY487" s="17"/>
      <c r="WVZ487" s="17"/>
      <c r="WWA487" s="17"/>
      <c r="WWB487" s="17"/>
      <c r="WWC487" s="17"/>
      <c r="WWD487" s="17"/>
      <c r="WWE487" s="17"/>
      <c r="WWF487" s="17"/>
      <c r="WWG487" s="17"/>
      <c r="WWH487" s="17"/>
      <c r="WWI487" s="17"/>
      <c r="WWJ487" s="17"/>
      <c r="WWK487" s="17"/>
      <c r="WWL487" s="17"/>
      <c r="WWM487" s="17"/>
      <c r="WWN487" s="17"/>
      <c r="WWO487" s="17"/>
      <c r="WWP487" s="17"/>
      <c r="WWQ487" s="17"/>
      <c r="WWR487" s="17"/>
      <c r="WWS487" s="17"/>
      <c r="WWT487" s="17"/>
      <c r="WWU487" s="17"/>
      <c r="WWV487" s="17"/>
      <c r="WWW487" s="17"/>
      <c r="WWX487" s="17"/>
      <c r="WWY487" s="17"/>
      <c r="WWZ487" s="17"/>
      <c r="WXA487" s="17"/>
      <c r="WXB487" s="17"/>
      <c r="WXC487" s="17"/>
      <c r="WXD487" s="17"/>
      <c r="WXE487" s="17"/>
      <c r="WXF487" s="17"/>
      <c r="WXG487" s="17"/>
      <c r="WXH487" s="17"/>
      <c r="WXI487" s="17"/>
      <c r="WXJ487" s="17"/>
      <c r="WXK487" s="17"/>
      <c r="WXL487" s="17"/>
      <c r="WXM487" s="17"/>
      <c r="WXN487" s="17"/>
      <c r="WXO487" s="17"/>
      <c r="WXP487" s="17"/>
      <c r="WXQ487" s="17"/>
      <c r="WXR487" s="17"/>
      <c r="WXS487" s="17"/>
      <c r="WXT487" s="17"/>
      <c r="WXU487" s="17"/>
      <c r="WXV487" s="17"/>
      <c r="WXW487" s="17"/>
      <c r="WXX487" s="17"/>
      <c r="WXY487" s="17"/>
      <c r="WXZ487" s="17"/>
      <c r="WYA487" s="17"/>
      <c r="WYB487" s="17"/>
      <c r="WYC487" s="17"/>
      <c r="WYD487" s="17"/>
      <c r="WYE487" s="17"/>
      <c r="WYF487" s="17"/>
      <c r="WYG487" s="17"/>
      <c r="WYH487" s="17"/>
      <c r="WYI487" s="17"/>
      <c r="WYJ487" s="17"/>
      <c r="WYK487" s="17"/>
      <c r="WYL487" s="17"/>
      <c r="WYM487" s="17"/>
      <c r="WYN487" s="17"/>
      <c r="WYO487" s="17"/>
      <c r="WYP487" s="17"/>
      <c r="WYQ487" s="17"/>
      <c r="WYR487" s="17"/>
      <c r="WYS487" s="17"/>
      <c r="WYT487" s="17"/>
      <c r="WYU487" s="17"/>
      <c r="WYV487" s="17"/>
      <c r="WYW487" s="17"/>
      <c r="WYX487" s="17"/>
      <c r="WYY487" s="17"/>
      <c r="WYZ487" s="17"/>
      <c r="WZA487" s="17"/>
      <c r="WZB487" s="17"/>
      <c r="WZC487" s="17"/>
      <c r="WZD487" s="17"/>
      <c r="WZE487" s="17"/>
      <c r="WZF487" s="17"/>
      <c r="WZG487" s="17"/>
      <c r="WZH487" s="17"/>
      <c r="WZI487" s="17"/>
      <c r="WZJ487" s="17"/>
      <c r="WZK487" s="17"/>
      <c r="WZL487" s="17"/>
      <c r="WZM487" s="17"/>
      <c r="WZN487" s="17"/>
      <c r="WZO487" s="17"/>
      <c r="WZP487" s="17"/>
      <c r="WZQ487" s="17"/>
      <c r="WZR487" s="17"/>
      <c r="WZS487" s="17"/>
      <c r="WZT487" s="17"/>
      <c r="WZU487" s="17"/>
      <c r="WZV487" s="17"/>
      <c r="WZW487" s="17"/>
      <c r="WZX487" s="17"/>
      <c r="WZY487" s="17"/>
      <c r="WZZ487" s="17"/>
      <c r="XAA487" s="17"/>
      <c r="XAB487" s="17"/>
      <c r="XAC487" s="17"/>
      <c r="XAD487" s="17"/>
      <c r="XAE487" s="17"/>
      <c r="XAF487" s="17"/>
      <c r="XAG487" s="17"/>
      <c r="XAH487" s="17"/>
      <c r="XAI487" s="17"/>
      <c r="XAJ487" s="17"/>
      <c r="XAK487" s="17"/>
      <c r="XAL487" s="17"/>
      <c r="XAM487" s="17"/>
      <c r="XAN487" s="17"/>
      <c r="XAO487" s="17"/>
      <c r="XAP487" s="17"/>
      <c r="XAQ487" s="17"/>
      <c r="XAR487" s="17"/>
      <c r="XAS487" s="17"/>
      <c r="XAT487" s="17"/>
      <c r="XAU487" s="17"/>
      <c r="XAV487" s="17"/>
      <c r="XAW487" s="17"/>
      <c r="XAX487" s="17"/>
      <c r="XAY487" s="17"/>
      <c r="XAZ487" s="17"/>
      <c r="XBA487" s="17"/>
      <c r="XBB487" s="17"/>
      <c r="XBC487" s="17"/>
      <c r="XBD487" s="17"/>
      <c r="XBE487" s="17"/>
      <c r="XBF487" s="17"/>
      <c r="XBG487" s="17"/>
      <c r="XBH487" s="17"/>
      <c r="XBI487" s="17"/>
      <c r="XBJ487" s="17"/>
      <c r="XBK487" s="17"/>
      <c r="XBL487" s="17"/>
      <c r="XBM487" s="17"/>
      <c r="XBN487" s="17"/>
      <c r="XBO487" s="17"/>
      <c r="XBP487" s="17"/>
      <c r="XBQ487" s="17"/>
      <c r="XBR487" s="17"/>
      <c r="XBS487" s="17"/>
      <c r="XBT487" s="17"/>
      <c r="XBU487" s="17"/>
      <c r="XBV487" s="17"/>
      <c r="XBW487" s="17"/>
      <c r="XBX487" s="17"/>
      <c r="XBY487" s="17"/>
      <c r="XBZ487" s="17"/>
      <c r="XCA487" s="17"/>
      <c r="XCB487" s="17"/>
      <c r="XCC487" s="17"/>
      <c r="XCD487" s="17"/>
      <c r="XCE487" s="17"/>
      <c r="XCF487" s="17"/>
      <c r="XCG487" s="17"/>
      <c r="XCH487" s="17"/>
      <c r="XCI487" s="17"/>
      <c r="XCJ487" s="17"/>
      <c r="XCK487" s="17"/>
      <c r="XCL487" s="17"/>
      <c r="XCM487" s="17"/>
      <c r="XCN487" s="17"/>
      <c r="XCO487" s="17"/>
      <c r="XCP487" s="17"/>
      <c r="XCQ487" s="17"/>
      <c r="XCR487" s="17"/>
      <c r="XCS487" s="17"/>
      <c r="XCT487" s="17"/>
      <c r="XCU487" s="17"/>
      <c r="XCV487" s="17"/>
      <c r="XCW487" s="17"/>
      <c r="XCX487" s="17"/>
      <c r="XCY487" s="17"/>
      <c r="XCZ487" s="17"/>
      <c r="XDA487" s="17"/>
      <c r="XDB487" s="17"/>
      <c r="XDC487" s="17"/>
      <c r="XDD487" s="17"/>
      <c r="XDE487" s="17"/>
      <c r="XDF487" s="17"/>
      <c r="XDG487" s="17"/>
      <c r="XDH487" s="17"/>
      <c r="XDI487" s="17"/>
      <c r="XDJ487" s="17"/>
      <c r="XDK487" s="17"/>
      <c r="XDL487" s="17"/>
      <c r="XDM487" s="17"/>
      <c r="XDN487" s="17"/>
      <c r="XDO487" s="17"/>
      <c r="XDP487" s="17"/>
      <c r="XDQ487" s="17"/>
      <c r="XDR487" s="17"/>
      <c r="XDS487" s="17"/>
      <c r="XDT487" s="17"/>
      <c r="XDU487" s="17"/>
      <c r="XDV487" s="17"/>
      <c r="XDW487" s="17"/>
      <c r="XDX487" s="17"/>
      <c r="XDY487" s="17"/>
      <c r="XDZ487" s="17"/>
      <c r="XEA487" s="17"/>
      <c r="XEB487" s="17"/>
      <c r="XEC487" s="17"/>
      <c r="XED487" s="17"/>
      <c r="XEE487" s="17"/>
      <c r="XEF487" s="17"/>
      <c r="XEG487" s="17"/>
      <c r="XEH487" s="17"/>
      <c r="XEI487" s="17"/>
      <c r="XEJ487" s="17"/>
      <c r="XEK487" s="17"/>
      <c r="XEL487" s="17"/>
      <c r="XEM487" s="17"/>
      <c r="XEN487" s="17"/>
      <c r="XEO487" s="17"/>
      <c r="XEP487" s="17"/>
      <c r="XEQ487" s="17"/>
      <c r="XER487" s="17"/>
      <c r="XES487" s="17"/>
      <c r="XET487" s="17"/>
      <c r="XEU487" s="17"/>
      <c r="XEV487" s="17"/>
      <c r="XEW487" s="17"/>
      <c r="XEX487" s="17"/>
      <c r="XEY487" s="17"/>
      <c r="XEZ487" s="17"/>
      <c r="XFA487" s="17"/>
      <c r="XFB487" s="17"/>
      <c r="XFC487" s="17"/>
      <c r="XFD487" s="17"/>
    </row>
    <row r="489" spans="1:16384" x14ac:dyDescent="0.2">
      <c r="A489" t="s">
        <v>139</v>
      </c>
    </row>
    <row r="490" spans="1:16384" x14ac:dyDescent="0.2">
      <c r="A490" t="s">
        <v>50</v>
      </c>
    </row>
    <row r="491" spans="1:16384" x14ac:dyDescent="0.2">
      <c r="A491" t="s">
        <v>55</v>
      </c>
      <c r="G491" s="1"/>
      <c r="H491" s="1"/>
    </row>
    <row r="493" spans="1:16384" x14ac:dyDescent="0.2">
      <c r="A493" s="46" t="s">
        <v>83</v>
      </c>
    </row>
    <row r="495" spans="1:16384" x14ac:dyDescent="0.2">
      <c r="A495" s="24" t="s">
        <v>18</v>
      </c>
      <c r="B495" s="24" t="s">
        <v>42</v>
      </c>
      <c r="C495" s="24" t="s">
        <v>43</v>
      </c>
      <c r="D495" s="6">
        <v>2024</v>
      </c>
      <c r="E495" s="6">
        <v>2025</v>
      </c>
      <c r="F495" s="6">
        <v>2026</v>
      </c>
      <c r="G495" s="6">
        <v>2027</v>
      </c>
      <c r="H495" s="6">
        <v>2028</v>
      </c>
      <c r="I495" s="6">
        <v>2029</v>
      </c>
      <c r="J495" s="6">
        <v>2030</v>
      </c>
      <c r="K495" s="6">
        <v>2031</v>
      </c>
      <c r="L495" s="6">
        <v>2032</v>
      </c>
      <c r="M495" s="6">
        <v>2033</v>
      </c>
      <c r="N495" s="50">
        <v>2034</v>
      </c>
      <c r="O495" s="50">
        <v>2035</v>
      </c>
      <c r="P495" s="50">
        <v>2036</v>
      </c>
      <c r="Q495" s="50">
        <v>2037</v>
      </c>
      <c r="R495" s="50">
        <v>2038</v>
      </c>
      <c r="S495" s="50">
        <v>2039</v>
      </c>
      <c r="T495" s="50">
        <v>2040</v>
      </c>
      <c r="U495" s="50">
        <v>2041</v>
      </c>
      <c r="V495" s="50">
        <v>2042</v>
      </c>
      <c r="W495" s="50">
        <v>2043</v>
      </c>
      <c r="X495" s="50">
        <v>2044</v>
      </c>
      <c r="Y495" s="50">
        <v>2045</v>
      </c>
      <c r="Z495" s="50">
        <v>2046</v>
      </c>
      <c r="AA495" s="50">
        <v>2047</v>
      </c>
      <c r="AB495" s="50">
        <v>2048</v>
      </c>
      <c r="AC495" s="50">
        <v>2049</v>
      </c>
      <c r="AD495" s="50">
        <v>2050</v>
      </c>
      <c r="AE495" s="50">
        <v>2051</v>
      </c>
      <c r="AF495" s="50">
        <v>2052</v>
      </c>
      <c r="AG495" s="50">
        <v>2053</v>
      </c>
      <c r="AH495" s="6" t="s">
        <v>1</v>
      </c>
    </row>
    <row r="496" spans="1:16384" x14ac:dyDescent="0.2">
      <c r="A496" s="25" t="str">
        <f t="shared" ref="A496:A519" si="469">A48</f>
        <v>Buenos Aires</v>
      </c>
      <c r="B496" s="51" t="str">
        <f>$C$3</f>
        <v>Nombre UdM 1</v>
      </c>
      <c r="C496" s="25" t="str">
        <f>CONCATENATE(A496," ",B496)</f>
        <v>Buenos Aires Nombre UdM 1</v>
      </c>
      <c r="D496" s="32">
        <f>(VLOOKUP($A496,$A$458:$O$482,2,0)*(HLOOKUP(D$495,'2.2.Brecha Efectiva x UdM'!$H$86:$AK$92,2,0))+(VLOOKUP($A496,$A$4:$O$27,2,0)*(HLOOKUP(D$495,'2.2.Brecha Efectiva x UdM'!$H$64:$AK$70,2,0))))</f>
        <v>419402178.81394118</v>
      </c>
      <c r="E496" s="32">
        <f>(VLOOKUP($A496,$A$458:$O$482,2,0)*(HLOOKUP(E$495,'2.2.Brecha Efectiva x UdM'!$H$86:$AK$92,2,0))+(VLOOKUP($A496,$A$4:$O$27,2,0)*(HLOOKUP(E$495,'2.2.Brecha Efectiva x UdM'!$H$64:$AK$70,2,0))))</f>
        <v>422464219.0349257</v>
      </c>
      <c r="F496" s="32">
        <f>(VLOOKUP($A496,$A$458:$O$482,2,0)*(HLOOKUP(F$495,'2.2.Brecha Efectiva x UdM'!$H$86:$AK$92,2,0))+(VLOOKUP($A496,$A$4:$O$27,2,0)*(HLOOKUP(F$495,'2.2.Brecha Efectiva x UdM'!$H$64:$AK$70,2,0))))</f>
        <v>262001571.58885324</v>
      </c>
      <c r="G496" s="32">
        <f>(VLOOKUP($A496,$A$458:$O$482,2,0)*(HLOOKUP(G$495,'2.2.Brecha Efectiva x UdM'!$H$86:$AK$92,2,0))+(VLOOKUP($A496,$A$4:$O$27,2,0)*(HLOOKUP(G$495,'2.2.Brecha Efectiva x UdM'!$H$64:$AK$70,2,0))))</f>
        <v>207558314.50787744</v>
      </c>
      <c r="H496" s="32">
        <f>(VLOOKUP($A496,$A$458:$O$482,2,0)*(HLOOKUP(H$495,'2.2.Brecha Efectiva x UdM'!$H$86:$AK$92,2,0))+(VLOOKUP($A496,$A$4:$O$27,2,0)*(HLOOKUP(H$495,'2.2.Brecha Efectiva x UdM'!$H$64:$AK$70,2,0))))</f>
        <v>109358346.12919042</v>
      </c>
      <c r="I496" s="32">
        <f>(VLOOKUP($A496,$A$458:$O$482,2,0)*(HLOOKUP(I$495,'2.2.Brecha Efectiva x UdM'!$H$86:$AK$92,2,0))+(VLOOKUP($A496,$A$4:$O$27,2,0)*(HLOOKUP(I$495,'2.2.Brecha Efectiva x UdM'!$H$64:$AK$70,2,0))))</f>
        <v>110085271.2532911</v>
      </c>
      <c r="J496" s="32">
        <f>(VLOOKUP($A496,$A$458:$O$482,2,0)*(HLOOKUP(J$495,'2.2.Brecha Efectiva x UdM'!$H$86:$AK$92,2,0))+(VLOOKUP($A496,$A$4:$O$27,2,0)*(HLOOKUP(J$495,'2.2.Brecha Efectiva x UdM'!$H$64:$AK$70,2,0))))</f>
        <v>110799377.94559783</v>
      </c>
      <c r="K496" s="32">
        <f>(VLOOKUP($A496,$A$458:$O$482,2,0)*(HLOOKUP(K$495,'2.2.Brecha Efectiva x UdM'!$H$86:$AK$92,2,0))+(VLOOKUP($A496,$A$4:$O$27,2,0)*(HLOOKUP(K$495,'2.2.Brecha Efectiva x UdM'!$H$64:$AK$70,2,0))))</f>
        <v>102866283.86509702</v>
      </c>
      <c r="L496" s="32">
        <f>(VLOOKUP($A496,$A$458:$O$482,2,0)*(HLOOKUP(L$495,'2.2.Brecha Efectiva x UdM'!$H$86:$AK$92,2,0))+(VLOOKUP($A496,$A$4:$O$27,2,0)*(HLOOKUP(L$495,'2.2.Brecha Efectiva x UdM'!$H$64:$AK$70,2,0))))</f>
        <v>103502161.60947141</v>
      </c>
      <c r="M496" s="32">
        <f>(VLOOKUP($A496,$A$458:$O$482,2,0)*(HLOOKUP(M$495,'2.2.Brecha Efectiva x UdM'!$H$86:$AK$92,2,0))+(VLOOKUP($A496,$A$4:$O$27,2,0)*(HLOOKUP(M$495,'2.2.Brecha Efectiva x UdM'!$H$64:$AK$70,2,0))))</f>
        <v>104126548.63908413</v>
      </c>
      <c r="N496" s="32">
        <f>(VLOOKUP($A496,$A$458:$O$482,2,0)*(HLOOKUP(N$495,'2.2.Brecha Efectiva x UdM'!$H$86:$AK$92,2,0))+(VLOOKUP($A496,$A$4:$O$27,2,0)*(HLOOKUP(N$495,'2.2.Brecha Efectiva x UdM'!$H$64:$AK$70,2,0))))</f>
        <v>0</v>
      </c>
      <c r="O496" s="32">
        <f>(VLOOKUP($A496,$A$458:$O$482,2,0)*(HLOOKUP(O$495,'2.2.Brecha Efectiva x UdM'!$H$86:$AK$92,2,0))+(VLOOKUP($A496,$A$4:$O$27,2,0)*(HLOOKUP(O$495,'2.2.Brecha Efectiva x UdM'!$H$64:$AK$70,2,0))))</f>
        <v>0</v>
      </c>
      <c r="P496" s="32">
        <f>(VLOOKUP($A496,$A$458:$O$482,2,0)*(HLOOKUP(P$495,'2.2.Brecha Efectiva x UdM'!$H$86:$AK$92,2,0))+(VLOOKUP($A496,$A$4:$O$27,2,0)*(HLOOKUP(P$495,'2.2.Brecha Efectiva x UdM'!$H$64:$AK$70,2,0))))</f>
        <v>0</v>
      </c>
      <c r="Q496" s="32">
        <f>(VLOOKUP($A496,$A$458:$O$482,2,0)*(HLOOKUP(Q$495,'2.2.Brecha Efectiva x UdM'!$H$86:$AK$92,2,0))+(VLOOKUP($A496,$A$4:$O$27,2,0)*(HLOOKUP(Q$495,'2.2.Brecha Efectiva x UdM'!$H$64:$AK$70,2,0))))</f>
        <v>0</v>
      </c>
      <c r="R496" s="32">
        <f>(VLOOKUP($A496,$A$458:$O$482,2,0)*(HLOOKUP(R$495,'2.2.Brecha Efectiva x UdM'!$H$86:$AK$92,2,0))+(VLOOKUP($A496,$A$4:$O$27,2,0)*(HLOOKUP(R$495,'2.2.Brecha Efectiva x UdM'!$H$64:$AK$70,2,0))))</f>
        <v>0</v>
      </c>
      <c r="S496" s="32">
        <f>(VLOOKUP($A496,$A$458:$O$482,2,0)*(HLOOKUP(S$495,'2.2.Brecha Efectiva x UdM'!$H$86:$AK$92,2,0))+(VLOOKUP($A496,$A$4:$O$27,2,0)*(HLOOKUP(S$495,'2.2.Brecha Efectiva x UdM'!$H$64:$AK$70,2,0))))</f>
        <v>0</v>
      </c>
      <c r="T496" s="32">
        <f>(VLOOKUP($A496,$A$458:$O$482,2,0)*(HLOOKUP(T$495,'2.2.Brecha Efectiva x UdM'!$H$86:$AK$92,2,0))+(VLOOKUP($A496,$A$4:$O$27,2,0)*(HLOOKUP(T$495,'2.2.Brecha Efectiva x UdM'!$H$64:$AK$70,2,0))))</f>
        <v>0</v>
      </c>
      <c r="U496" s="32">
        <f>(VLOOKUP($A496,$A$458:$O$482,2,0)*(HLOOKUP(U$495,'2.2.Brecha Efectiva x UdM'!$H$86:$AK$92,2,0))+(VLOOKUP($A496,$A$4:$O$27,2,0)*(HLOOKUP(U$495,'2.2.Brecha Efectiva x UdM'!$H$64:$AK$70,2,0))))</f>
        <v>0</v>
      </c>
      <c r="V496" s="32">
        <f>(VLOOKUP($A496,$A$458:$O$482,2,0)*(HLOOKUP(V$495,'2.2.Brecha Efectiva x UdM'!$H$86:$AK$92,2,0))+(VLOOKUP($A496,$A$4:$O$27,2,0)*(HLOOKUP(V$495,'2.2.Brecha Efectiva x UdM'!$H$64:$AK$70,2,0))))</f>
        <v>0</v>
      </c>
      <c r="W496" s="32">
        <f>(VLOOKUP($A496,$A$458:$O$482,2,0)*(HLOOKUP(W$495,'2.2.Brecha Efectiva x UdM'!$H$86:$AK$92,2,0))+(VLOOKUP($A496,$A$4:$O$27,2,0)*(HLOOKUP(W$495,'2.2.Brecha Efectiva x UdM'!$H$64:$AK$70,2,0))))</f>
        <v>0</v>
      </c>
      <c r="X496" s="32">
        <f>(VLOOKUP($A496,$A$458:$O$482,2,0)*(HLOOKUP(X$495,'2.2.Brecha Efectiva x UdM'!$H$86:$AK$92,2,0))+(VLOOKUP($A496,$A$4:$O$27,2,0)*(HLOOKUP(X$495,'2.2.Brecha Efectiva x UdM'!$H$64:$AK$70,2,0))))</f>
        <v>0</v>
      </c>
      <c r="Y496" s="32">
        <f>(VLOOKUP($A496,$A$458:$O$482,2,0)*(HLOOKUP(Y$495,'2.2.Brecha Efectiva x UdM'!$H$86:$AK$92,2,0))+(VLOOKUP($A496,$A$4:$O$27,2,0)*(HLOOKUP(Y$495,'2.2.Brecha Efectiva x UdM'!$H$64:$AK$70,2,0))))</f>
        <v>0</v>
      </c>
      <c r="Z496" s="32">
        <f>(VLOOKUP($A496,$A$458:$O$482,2,0)*(HLOOKUP(Z$495,'2.2.Brecha Efectiva x UdM'!$H$86:$AK$92,2,0))+(VLOOKUP($A496,$A$4:$O$27,2,0)*(HLOOKUP(Z$495,'2.2.Brecha Efectiva x UdM'!$H$64:$AK$70,2,0))))</f>
        <v>0</v>
      </c>
      <c r="AA496" s="32">
        <f>(VLOOKUP($A496,$A$458:$O$482,2,0)*(HLOOKUP(AA$495,'2.2.Brecha Efectiva x UdM'!$H$86:$AK$92,2,0))+(VLOOKUP($A496,$A$4:$O$27,2,0)*(HLOOKUP(AA$495,'2.2.Brecha Efectiva x UdM'!$H$64:$AK$70,2,0))))</f>
        <v>0</v>
      </c>
      <c r="AB496" s="32">
        <f>(VLOOKUP($A496,$A$458:$O$482,2,0)*(HLOOKUP(AB$495,'2.2.Brecha Efectiva x UdM'!$H$86:$AK$92,2,0))+(VLOOKUP($A496,$A$4:$O$27,2,0)*(HLOOKUP(AB$495,'2.2.Brecha Efectiva x UdM'!$H$64:$AK$70,2,0))))</f>
        <v>0</v>
      </c>
      <c r="AC496" s="32">
        <f>(VLOOKUP($A496,$A$458:$O$482,2,0)*(HLOOKUP(AC$495,'2.2.Brecha Efectiva x UdM'!$H$86:$AK$92,2,0))+(VLOOKUP($A496,$A$4:$O$27,2,0)*(HLOOKUP(AC$495,'2.2.Brecha Efectiva x UdM'!$H$64:$AK$70,2,0))))</f>
        <v>0</v>
      </c>
      <c r="AD496" s="32">
        <f>(VLOOKUP($A496,$A$458:$O$482,2,0)*(HLOOKUP(AD$495,'2.2.Brecha Efectiva x UdM'!$H$86:$AK$92,2,0))+(VLOOKUP($A496,$A$4:$O$27,2,0)*(HLOOKUP(AD$495,'2.2.Brecha Efectiva x UdM'!$H$64:$AK$70,2,0))))</f>
        <v>0</v>
      </c>
      <c r="AE496" s="32">
        <f>(VLOOKUP($A496,$A$458:$O$482,2,0)*(HLOOKUP(AE$495,'2.2.Brecha Efectiva x UdM'!$H$86:$AK$92,2,0))+(VLOOKUP($A496,$A$4:$O$27,2,0)*(HLOOKUP(AE$495,'2.2.Brecha Efectiva x UdM'!$H$64:$AK$70,2,0))))</f>
        <v>0</v>
      </c>
      <c r="AF496" s="32">
        <f>(VLOOKUP($A496,$A$458:$O$482,2,0)*(HLOOKUP(AF$495,'2.2.Brecha Efectiva x UdM'!$H$86:$AK$92,2,0))+(VLOOKUP($A496,$A$4:$O$27,2,0)*(HLOOKUP(AF$495,'2.2.Brecha Efectiva x UdM'!$H$64:$AK$70,2,0))))</f>
        <v>0</v>
      </c>
      <c r="AG496" s="32">
        <f>(VLOOKUP($A496,$A$458:$O$482,2,0)*(HLOOKUP(AG$495,'2.2.Brecha Efectiva x UdM'!$H$86:$AK$92,2,0))+(VLOOKUP($A496,$A$4:$O$27,2,0)*(HLOOKUP(AG$495,'2.2.Brecha Efectiva x UdM'!$H$64:$AK$70,2,0))))</f>
        <v>0</v>
      </c>
      <c r="AH496" s="62">
        <f>SUM(D496:AG496)</f>
        <v>1952164273.3873296</v>
      </c>
    </row>
    <row r="497" spans="1:34" x14ac:dyDescent="0.2">
      <c r="A497" s="26" t="str">
        <f t="shared" si="469"/>
        <v>CABA</v>
      </c>
      <c r="B497" s="52" t="str">
        <f t="shared" ref="B497:B519" si="470">$C$3</f>
        <v>Nombre UdM 1</v>
      </c>
      <c r="C497" s="26" t="str">
        <f t="shared" ref="C497:C519" si="471">CONCATENATE(A497," ",B497)</f>
        <v>CABA Nombre UdM 1</v>
      </c>
      <c r="D497" s="31">
        <f>(VLOOKUP($A497,$A$458:$O$482,2,0)*(HLOOKUP(D$495,'2.2.Brecha Efectiva x UdM'!$H$86:$AK$92,2,0))+(VLOOKUP($A497,$A$4:$O$27,2,0)*(HLOOKUP(D$495,'2.2.Brecha Efectiva x UdM'!$H$64:$AK$70,2,0))))</f>
        <v>272718.93566944945</v>
      </c>
      <c r="E497" s="31">
        <f>(VLOOKUP($A497,$A$458:$O$482,2,0)*(HLOOKUP(E$495,'2.2.Brecha Efectiva x UdM'!$H$86:$AK$92,2,0))+(VLOOKUP($A497,$A$4:$O$27,2,0)*(HLOOKUP(E$495,'2.2.Brecha Efectiva x UdM'!$H$64:$AK$70,2,0))))</f>
        <v>274710.04680865601</v>
      </c>
      <c r="F497" s="31">
        <f>(VLOOKUP($A497,$A$458:$O$482,2,0)*(HLOOKUP(F$495,'2.2.Brecha Efectiva x UdM'!$H$86:$AK$92,2,0))+(VLOOKUP($A497,$A$4:$O$27,2,0)*(HLOOKUP(F$495,'2.2.Brecha Efectiva x UdM'!$H$64:$AK$70,2,0))))</f>
        <v>170368.18919134329</v>
      </c>
      <c r="G497" s="31">
        <f>(VLOOKUP($A497,$A$458:$O$482,2,0)*(HLOOKUP(G$495,'2.2.Brecha Efectiva x UdM'!$H$86:$AK$92,2,0))+(VLOOKUP($A497,$A$4:$O$27,2,0)*(HLOOKUP(G$495,'2.2.Brecha Efectiva x UdM'!$H$64:$AK$70,2,0))))</f>
        <v>134966.11482088844</v>
      </c>
      <c r="H497" s="31">
        <f>(VLOOKUP($A497,$A$458:$O$482,2,0)*(HLOOKUP(H$495,'2.2.Brecha Efectiva x UdM'!$H$86:$AK$92,2,0))+(VLOOKUP($A497,$A$4:$O$27,2,0)*(HLOOKUP(H$495,'2.2.Brecha Efectiva x UdM'!$H$64:$AK$70,2,0))))</f>
        <v>71110.960480143054</v>
      </c>
      <c r="I497" s="31">
        <f>(VLOOKUP($A497,$A$458:$O$482,2,0)*(HLOOKUP(I$495,'2.2.Brecha Efectiva x UdM'!$H$86:$AK$92,2,0))+(VLOOKUP($A497,$A$4:$O$27,2,0)*(HLOOKUP(I$495,'2.2.Brecha Efectiva x UdM'!$H$64:$AK$70,2,0))))</f>
        <v>71583.648167929408</v>
      </c>
      <c r="J497" s="31">
        <f>(VLOOKUP($A497,$A$458:$O$482,2,0)*(HLOOKUP(J$495,'2.2.Brecha Efectiva x UdM'!$H$86:$AK$92,2,0))+(VLOOKUP($A497,$A$4:$O$27,2,0)*(HLOOKUP(J$495,'2.2.Brecha Efectiva x UdM'!$H$64:$AK$70,2,0))))</f>
        <v>72048.000588870753</v>
      </c>
      <c r="K497" s="31">
        <f>(VLOOKUP($A497,$A$458:$O$482,2,0)*(HLOOKUP(K$495,'2.2.Brecha Efectiva x UdM'!$H$86:$AK$92,2,0))+(VLOOKUP($A497,$A$4:$O$27,2,0)*(HLOOKUP(K$495,'2.2.Brecha Efectiva x UdM'!$H$64:$AK$70,2,0))))</f>
        <v>66889.455680214975</v>
      </c>
      <c r="L497" s="31">
        <f>(VLOOKUP($A497,$A$458:$O$482,2,0)*(HLOOKUP(L$495,'2.2.Brecha Efectiva x UdM'!$H$86:$AK$92,2,0))+(VLOOKUP($A497,$A$4:$O$27,2,0)*(HLOOKUP(L$495,'2.2.Brecha Efectiva x UdM'!$H$64:$AK$70,2,0))))</f>
        <v>67302.93922994782</v>
      </c>
      <c r="M497" s="31">
        <f>(VLOOKUP($A497,$A$458:$O$482,2,0)*(HLOOKUP(M$495,'2.2.Brecha Efectiva x UdM'!$H$86:$AK$92,2,0))+(VLOOKUP($A497,$A$4:$O$27,2,0)*(HLOOKUP(M$495,'2.2.Brecha Efectiva x UdM'!$H$64:$AK$70,2,0))))</f>
        <v>67708.950869284905</v>
      </c>
      <c r="N497" s="31">
        <f>(VLOOKUP($A497,$A$458:$O$482,2,0)*(HLOOKUP(N$495,'2.2.Brecha Efectiva x UdM'!$H$86:$AK$92,2,0))+(VLOOKUP($A497,$A$4:$O$27,2,0)*(HLOOKUP(N$495,'2.2.Brecha Efectiva x UdM'!$H$64:$AK$70,2,0))))</f>
        <v>0</v>
      </c>
      <c r="O497" s="31">
        <f>(VLOOKUP($A497,$A$458:$O$482,2,0)*(HLOOKUP(O$495,'2.2.Brecha Efectiva x UdM'!$H$86:$AK$92,2,0))+(VLOOKUP($A497,$A$4:$O$27,2,0)*(HLOOKUP(O$495,'2.2.Brecha Efectiva x UdM'!$H$64:$AK$70,2,0))))</f>
        <v>0</v>
      </c>
      <c r="P497" s="31">
        <f>(VLOOKUP($A497,$A$458:$O$482,2,0)*(HLOOKUP(P$495,'2.2.Brecha Efectiva x UdM'!$H$86:$AK$92,2,0))+(VLOOKUP($A497,$A$4:$O$27,2,0)*(HLOOKUP(P$495,'2.2.Brecha Efectiva x UdM'!$H$64:$AK$70,2,0))))</f>
        <v>0</v>
      </c>
      <c r="Q497" s="31">
        <f>(VLOOKUP($A497,$A$458:$O$482,2,0)*(HLOOKUP(Q$495,'2.2.Brecha Efectiva x UdM'!$H$86:$AK$92,2,0))+(VLOOKUP($A497,$A$4:$O$27,2,0)*(HLOOKUP(Q$495,'2.2.Brecha Efectiva x UdM'!$H$64:$AK$70,2,0))))</f>
        <v>0</v>
      </c>
      <c r="R497" s="31">
        <f>(VLOOKUP($A497,$A$458:$O$482,2,0)*(HLOOKUP(R$495,'2.2.Brecha Efectiva x UdM'!$H$86:$AK$92,2,0))+(VLOOKUP($A497,$A$4:$O$27,2,0)*(HLOOKUP(R$495,'2.2.Brecha Efectiva x UdM'!$H$64:$AK$70,2,0))))</f>
        <v>0</v>
      </c>
      <c r="S497" s="31">
        <f>(VLOOKUP($A497,$A$458:$O$482,2,0)*(HLOOKUP(S$495,'2.2.Brecha Efectiva x UdM'!$H$86:$AK$92,2,0))+(VLOOKUP($A497,$A$4:$O$27,2,0)*(HLOOKUP(S$495,'2.2.Brecha Efectiva x UdM'!$H$64:$AK$70,2,0))))</f>
        <v>0</v>
      </c>
      <c r="T497" s="31">
        <f>(VLOOKUP($A497,$A$458:$O$482,2,0)*(HLOOKUP(T$495,'2.2.Brecha Efectiva x UdM'!$H$86:$AK$92,2,0))+(VLOOKUP($A497,$A$4:$O$27,2,0)*(HLOOKUP(T$495,'2.2.Brecha Efectiva x UdM'!$H$64:$AK$70,2,0))))</f>
        <v>0</v>
      </c>
      <c r="U497" s="31">
        <f>(VLOOKUP($A497,$A$458:$O$482,2,0)*(HLOOKUP(U$495,'2.2.Brecha Efectiva x UdM'!$H$86:$AK$92,2,0))+(VLOOKUP($A497,$A$4:$O$27,2,0)*(HLOOKUP(U$495,'2.2.Brecha Efectiva x UdM'!$H$64:$AK$70,2,0))))</f>
        <v>0</v>
      </c>
      <c r="V497" s="31">
        <f>(VLOOKUP($A497,$A$458:$O$482,2,0)*(HLOOKUP(V$495,'2.2.Brecha Efectiva x UdM'!$H$86:$AK$92,2,0))+(VLOOKUP($A497,$A$4:$O$27,2,0)*(HLOOKUP(V$495,'2.2.Brecha Efectiva x UdM'!$H$64:$AK$70,2,0))))</f>
        <v>0</v>
      </c>
      <c r="W497" s="31">
        <f>(VLOOKUP($A497,$A$458:$O$482,2,0)*(HLOOKUP(W$495,'2.2.Brecha Efectiva x UdM'!$H$86:$AK$92,2,0))+(VLOOKUP($A497,$A$4:$O$27,2,0)*(HLOOKUP(W$495,'2.2.Brecha Efectiva x UdM'!$H$64:$AK$70,2,0))))</f>
        <v>0</v>
      </c>
      <c r="X497" s="31">
        <f>(VLOOKUP($A497,$A$458:$O$482,2,0)*(HLOOKUP(X$495,'2.2.Brecha Efectiva x UdM'!$H$86:$AK$92,2,0))+(VLOOKUP($A497,$A$4:$O$27,2,0)*(HLOOKUP(X$495,'2.2.Brecha Efectiva x UdM'!$H$64:$AK$70,2,0))))</f>
        <v>0</v>
      </c>
      <c r="Y497" s="31">
        <f>(VLOOKUP($A497,$A$458:$O$482,2,0)*(HLOOKUP(Y$495,'2.2.Brecha Efectiva x UdM'!$H$86:$AK$92,2,0))+(VLOOKUP($A497,$A$4:$O$27,2,0)*(HLOOKUP(Y$495,'2.2.Brecha Efectiva x UdM'!$H$64:$AK$70,2,0))))</f>
        <v>0</v>
      </c>
      <c r="Z497" s="31">
        <f>(VLOOKUP($A497,$A$458:$O$482,2,0)*(HLOOKUP(Z$495,'2.2.Brecha Efectiva x UdM'!$H$86:$AK$92,2,0))+(VLOOKUP($A497,$A$4:$O$27,2,0)*(HLOOKUP(Z$495,'2.2.Brecha Efectiva x UdM'!$H$64:$AK$70,2,0))))</f>
        <v>0</v>
      </c>
      <c r="AA497" s="31">
        <f>(VLOOKUP($A497,$A$458:$O$482,2,0)*(HLOOKUP(AA$495,'2.2.Brecha Efectiva x UdM'!$H$86:$AK$92,2,0))+(VLOOKUP($A497,$A$4:$O$27,2,0)*(HLOOKUP(AA$495,'2.2.Brecha Efectiva x UdM'!$H$64:$AK$70,2,0))))</f>
        <v>0</v>
      </c>
      <c r="AB497" s="31">
        <f>(VLOOKUP($A497,$A$458:$O$482,2,0)*(HLOOKUP(AB$495,'2.2.Brecha Efectiva x UdM'!$H$86:$AK$92,2,0))+(VLOOKUP($A497,$A$4:$O$27,2,0)*(HLOOKUP(AB$495,'2.2.Brecha Efectiva x UdM'!$H$64:$AK$70,2,0))))</f>
        <v>0</v>
      </c>
      <c r="AC497" s="31">
        <f>(VLOOKUP($A497,$A$458:$O$482,2,0)*(HLOOKUP(AC$495,'2.2.Brecha Efectiva x UdM'!$H$86:$AK$92,2,0))+(VLOOKUP($A497,$A$4:$O$27,2,0)*(HLOOKUP(AC$495,'2.2.Brecha Efectiva x UdM'!$H$64:$AK$70,2,0))))</f>
        <v>0</v>
      </c>
      <c r="AD497" s="31">
        <f>(VLOOKUP($A497,$A$458:$O$482,2,0)*(HLOOKUP(AD$495,'2.2.Brecha Efectiva x UdM'!$H$86:$AK$92,2,0))+(VLOOKUP($A497,$A$4:$O$27,2,0)*(HLOOKUP(AD$495,'2.2.Brecha Efectiva x UdM'!$H$64:$AK$70,2,0))))</f>
        <v>0</v>
      </c>
      <c r="AE497" s="31">
        <f>(VLOOKUP($A497,$A$458:$O$482,2,0)*(HLOOKUP(AE$495,'2.2.Brecha Efectiva x UdM'!$H$86:$AK$92,2,0))+(VLOOKUP($A497,$A$4:$O$27,2,0)*(HLOOKUP(AE$495,'2.2.Brecha Efectiva x UdM'!$H$64:$AK$70,2,0))))</f>
        <v>0</v>
      </c>
      <c r="AF497" s="31">
        <f>(VLOOKUP($A497,$A$458:$O$482,2,0)*(HLOOKUP(AF$495,'2.2.Brecha Efectiva x UdM'!$H$86:$AK$92,2,0))+(VLOOKUP($A497,$A$4:$O$27,2,0)*(HLOOKUP(AF$495,'2.2.Brecha Efectiva x UdM'!$H$64:$AK$70,2,0))))</f>
        <v>0</v>
      </c>
      <c r="AG497" s="31">
        <f>(VLOOKUP($A497,$A$458:$O$482,2,0)*(HLOOKUP(AG$495,'2.2.Brecha Efectiva x UdM'!$H$86:$AK$92,2,0))+(VLOOKUP($A497,$A$4:$O$27,2,0)*(HLOOKUP(AG$495,'2.2.Brecha Efectiva x UdM'!$H$64:$AK$70,2,0))))</f>
        <v>0</v>
      </c>
      <c r="AH497" s="63">
        <f>SUM(D497:AG497)</f>
        <v>1269407.2415067281</v>
      </c>
    </row>
    <row r="498" spans="1:34" x14ac:dyDescent="0.2">
      <c r="A498" s="25" t="str">
        <f t="shared" si="469"/>
        <v>Catamarca</v>
      </c>
      <c r="B498" s="51" t="str">
        <f t="shared" si="470"/>
        <v>Nombre UdM 1</v>
      </c>
      <c r="C498" s="25" t="str">
        <f t="shared" si="471"/>
        <v>Catamarca Nombre UdM 1</v>
      </c>
      <c r="D498" s="32">
        <f>(VLOOKUP($A498,$A$458:$O$482,2,0)*(HLOOKUP(D$495,'2.2.Brecha Efectiva x UdM'!$H$86:$AK$92,2,0))+(VLOOKUP($A498,$A$4:$O$27,2,0)*(HLOOKUP(D$495,'2.2.Brecha Efectiva x UdM'!$H$64:$AK$70,2,0))))</f>
        <v>105988641.50872284</v>
      </c>
      <c r="E498" s="32">
        <f>(VLOOKUP($A498,$A$458:$O$482,2,0)*(HLOOKUP(E$495,'2.2.Brecha Efectiva x UdM'!$H$86:$AK$92,2,0))+(VLOOKUP($A498,$A$4:$O$27,2,0)*(HLOOKUP(E$495,'2.2.Brecha Efectiva x UdM'!$H$64:$AK$70,2,0))))</f>
        <v>106762460.76780492</v>
      </c>
      <c r="F498" s="32">
        <f>(VLOOKUP($A498,$A$458:$O$482,2,0)*(HLOOKUP(F$495,'2.2.Brecha Efectiva x UdM'!$H$86:$AK$92,2,0))+(VLOOKUP($A498,$A$4:$O$27,2,0)*(HLOOKUP(F$495,'2.2.Brecha Efectiva x UdM'!$H$64:$AK$70,2,0))))</f>
        <v>66211364.767783329</v>
      </c>
      <c r="G498" s="32">
        <f>(VLOOKUP($A498,$A$458:$O$482,2,0)*(HLOOKUP(G$495,'2.2.Brecha Efectiva x UdM'!$H$86:$AK$92,2,0))+(VLOOKUP($A498,$A$4:$O$27,2,0)*(HLOOKUP(G$495,'2.2.Brecha Efectiva x UdM'!$H$64:$AK$70,2,0))))</f>
        <v>52452812.359588325</v>
      </c>
      <c r="H498" s="32">
        <f>(VLOOKUP($A498,$A$458:$O$482,2,0)*(HLOOKUP(H$495,'2.2.Brecha Efectiva x UdM'!$H$86:$AK$92,2,0))+(VLOOKUP($A498,$A$4:$O$27,2,0)*(HLOOKUP(H$495,'2.2.Brecha Efectiva x UdM'!$H$64:$AK$70,2,0))))</f>
        <v>27636343.179360487</v>
      </c>
      <c r="I498" s="32">
        <f>(VLOOKUP($A498,$A$458:$O$482,2,0)*(HLOOKUP(I$495,'2.2.Brecha Efectiva x UdM'!$H$86:$AK$92,2,0))+(VLOOKUP($A498,$A$4:$O$27,2,0)*(HLOOKUP(I$495,'2.2.Brecha Efectiva x UdM'!$H$64:$AK$70,2,0))))</f>
        <v>27820047.056626633</v>
      </c>
      <c r="J498" s="32">
        <f>(VLOOKUP($A498,$A$458:$O$482,2,0)*(HLOOKUP(J$495,'2.2.Brecha Efectiva x UdM'!$H$86:$AK$92,2,0))+(VLOOKUP($A498,$A$4:$O$27,2,0)*(HLOOKUP(J$495,'2.2.Brecha Efectiva x UdM'!$H$64:$AK$70,2,0))))</f>
        <v>28000511.54163222</v>
      </c>
      <c r="K498" s="32">
        <f>(VLOOKUP($A498,$A$458:$O$482,2,0)*(HLOOKUP(K$495,'2.2.Brecha Efectiva x UdM'!$H$86:$AK$92,2,0))+(VLOOKUP($A498,$A$4:$O$27,2,0)*(HLOOKUP(K$495,'2.2.Brecha Efectiva x UdM'!$H$64:$AK$70,2,0))))</f>
        <v>25995710.644004587</v>
      </c>
      <c r="L498" s="32">
        <f>(VLOOKUP($A498,$A$458:$O$482,2,0)*(HLOOKUP(L$495,'2.2.Brecha Efectiva x UdM'!$H$86:$AK$92,2,0))+(VLOOKUP($A498,$A$4:$O$27,2,0)*(HLOOKUP(L$495,'2.2.Brecha Efectiva x UdM'!$H$64:$AK$70,2,0))))</f>
        <v>26156405.608638458</v>
      </c>
      <c r="M498" s="32">
        <f>(VLOOKUP($A498,$A$458:$O$482,2,0)*(HLOOKUP(M$495,'2.2.Brecha Efectiva x UdM'!$H$86:$AK$92,2,0))+(VLOOKUP($A498,$A$4:$O$27,2,0)*(HLOOKUP(M$495,'2.2.Brecha Efectiva x UdM'!$H$64:$AK$70,2,0))))</f>
        <v>26314196.713185098</v>
      </c>
      <c r="N498" s="32">
        <f>(VLOOKUP($A498,$A$458:$O$482,2,0)*(HLOOKUP(N$495,'2.2.Brecha Efectiva x UdM'!$H$86:$AK$92,2,0))+(VLOOKUP($A498,$A$4:$O$27,2,0)*(HLOOKUP(N$495,'2.2.Brecha Efectiva x UdM'!$H$64:$AK$70,2,0))))</f>
        <v>0</v>
      </c>
      <c r="O498" s="32">
        <f>(VLOOKUP($A498,$A$458:$O$482,2,0)*(HLOOKUP(O$495,'2.2.Brecha Efectiva x UdM'!$H$86:$AK$92,2,0))+(VLOOKUP($A498,$A$4:$O$27,2,0)*(HLOOKUP(O$495,'2.2.Brecha Efectiva x UdM'!$H$64:$AK$70,2,0))))</f>
        <v>0</v>
      </c>
      <c r="P498" s="32">
        <f>(VLOOKUP($A498,$A$458:$O$482,2,0)*(HLOOKUP(P$495,'2.2.Brecha Efectiva x UdM'!$H$86:$AK$92,2,0))+(VLOOKUP($A498,$A$4:$O$27,2,0)*(HLOOKUP(P$495,'2.2.Brecha Efectiva x UdM'!$H$64:$AK$70,2,0))))</f>
        <v>0</v>
      </c>
      <c r="Q498" s="32">
        <f>(VLOOKUP($A498,$A$458:$O$482,2,0)*(HLOOKUP(Q$495,'2.2.Brecha Efectiva x UdM'!$H$86:$AK$92,2,0))+(VLOOKUP($A498,$A$4:$O$27,2,0)*(HLOOKUP(Q$495,'2.2.Brecha Efectiva x UdM'!$H$64:$AK$70,2,0))))</f>
        <v>0</v>
      </c>
      <c r="R498" s="32">
        <f>(VLOOKUP($A498,$A$458:$O$482,2,0)*(HLOOKUP(R$495,'2.2.Brecha Efectiva x UdM'!$H$86:$AK$92,2,0))+(VLOOKUP($A498,$A$4:$O$27,2,0)*(HLOOKUP(R$495,'2.2.Brecha Efectiva x UdM'!$H$64:$AK$70,2,0))))</f>
        <v>0</v>
      </c>
      <c r="S498" s="32">
        <f>(VLOOKUP($A498,$A$458:$O$482,2,0)*(HLOOKUP(S$495,'2.2.Brecha Efectiva x UdM'!$H$86:$AK$92,2,0))+(VLOOKUP($A498,$A$4:$O$27,2,0)*(HLOOKUP(S$495,'2.2.Brecha Efectiva x UdM'!$H$64:$AK$70,2,0))))</f>
        <v>0</v>
      </c>
      <c r="T498" s="32">
        <f>(VLOOKUP($A498,$A$458:$O$482,2,0)*(HLOOKUP(T$495,'2.2.Brecha Efectiva x UdM'!$H$86:$AK$92,2,0))+(VLOOKUP($A498,$A$4:$O$27,2,0)*(HLOOKUP(T$495,'2.2.Brecha Efectiva x UdM'!$H$64:$AK$70,2,0))))</f>
        <v>0</v>
      </c>
      <c r="U498" s="32">
        <f>(VLOOKUP($A498,$A$458:$O$482,2,0)*(HLOOKUP(U$495,'2.2.Brecha Efectiva x UdM'!$H$86:$AK$92,2,0))+(VLOOKUP($A498,$A$4:$O$27,2,0)*(HLOOKUP(U$495,'2.2.Brecha Efectiva x UdM'!$H$64:$AK$70,2,0))))</f>
        <v>0</v>
      </c>
      <c r="V498" s="32">
        <f>(VLOOKUP($A498,$A$458:$O$482,2,0)*(HLOOKUP(V$495,'2.2.Brecha Efectiva x UdM'!$H$86:$AK$92,2,0))+(VLOOKUP($A498,$A$4:$O$27,2,0)*(HLOOKUP(V$495,'2.2.Brecha Efectiva x UdM'!$H$64:$AK$70,2,0))))</f>
        <v>0</v>
      </c>
      <c r="W498" s="32">
        <f>(VLOOKUP($A498,$A$458:$O$482,2,0)*(HLOOKUP(W$495,'2.2.Brecha Efectiva x UdM'!$H$86:$AK$92,2,0))+(VLOOKUP($A498,$A$4:$O$27,2,0)*(HLOOKUP(W$495,'2.2.Brecha Efectiva x UdM'!$H$64:$AK$70,2,0))))</f>
        <v>0</v>
      </c>
      <c r="X498" s="32">
        <f>(VLOOKUP($A498,$A$458:$O$482,2,0)*(HLOOKUP(X$495,'2.2.Brecha Efectiva x UdM'!$H$86:$AK$92,2,0))+(VLOOKUP($A498,$A$4:$O$27,2,0)*(HLOOKUP(X$495,'2.2.Brecha Efectiva x UdM'!$H$64:$AK$70,2,0))))</f>
        <v>0</v>
      </c>
      <c r="Y498" s="32">
        <f>(VLOOKUP($A498,$A$458:$O$482,2,0)*(HLOOKUP(Y$495,'2.2.Brecha Efectiva x UdM'!$H$86:$AK$92,2,0))+(VLOOKUP($A498,$A$4:$O$27,2,0)*(HLOOKUP(Y$495,'2.2.Brecha Efectiva x UdM'!$H$64:$AK$70,2,0))))</f>
        <v>0</v>
      </c>
      <c r="Z498" s="32">
        <f>(VLOOKUP($A498,$A$458:$O$482,2,0)*(HLOOKUP(Z$495,'2.2.Brecha Efectiva x UdM'!$H$86:$AK$92,2,0))+(VLOOKUP($A498,$A$4:$O$27,2,0)*(HLOOKUP(Z$495,'2.2.Brecha Efectiva x UdM'!$H$64:$AK$70,2,0))))</f>
        <v>0</v>
      </c>
      <c r="AA498" s="32">
        <f>(VLOOKUP($A498,$A$458:$O$482,2,0)*(HLOOKUP(AA$495,'2.2.Brecha Efectiva x UdM'!$H$86:$AK$92,2,0))+(VLOOKUP($A498,$A$4:$O$27,2,0)*(HLOOKUP(AA$495,'2.2.Brecha Efectiva x UdM'!$H$64:$AK$70,2,0))))</f>
        <v>0</v>
      </c>
      <c r="AB498" s="32">
        <f>(VLOOKUP($A498,$A$458:$O$482,2,0)*(HLOOKUP(AB$495,'2.2.Brecha Efectiva x UdM'!$H$86:$AK$92,2,0))+(VLOOKUP($A498,$A$4:$O$27,2,0)*(HLOOKUP(AB$495,'2.2.Brecha Efectiva x UdM'!$H$64:$AK$70,2,0))))</f>
        <v>0</v>
      </c>
      <c r="AC498" s="32">
        <f>(VLOOKUP($A498,$A$458:$O$482,2,0)*(HLOOKUP(AC$495,'2.2.Brecha Efectiva x UdM'!$H$86:$AK$92,2,0))+(VLOOKUP($A498,$A$4:$O$27,2,0)*(HLOOKUP(AC$495,'2.2.Brecha Efectiva x UdM'!$H$64:$AK$70,2,0))))</f>
        <v>0</v>
      </c>
      <c r="AD498" s="32">
        <f>(VLOOKUP($A498,$A$458:$O$482,2,0)*(HLOOKUP(AD$495,'2.2.Brecha Efectiva x UdM'!$H$86:$AK$92,2,0))+(VLOOKUP($A498,$A$4:$O$27,2,0)*(HLOOKUP(AD$495,'2.2.Brecha Efectiva x UdM'!$H$64:$AK$70,2,0))))</f>
        <v>0</v>
      </c>
      <c r="AE498" s="32">
        <f>(VLOOKUP($A498,$A$458:$O$482,2,0)*(HLOOKUP(AE$495,'2.2.Brecha Efectiva x UdM'!$H$86:$AK$92,2,0))+(VLOOKUP($A498,$A$4:$O$27,2,0)*(HLOOKUP(AE$495,'2.2.Brecha Efectiva x UdM'!$H$64:$AK$70,2,0))))</f>
        <v>0</v>
      </c>
      <c r="AF498" s="32">
        <f>(VLOOKUP($A498,$A$458:$O$482,2,0)*(HLOOKUP(AF$495,'2.2.Brecha Efectiva x UdM'!$H$86:$AK$92,2,0))+(VLOOKUP($A498,$A$4:$O$27,2,0)*(HLOOKUP(AF$495,'2.2.Brecha Efectiva x UdM'!$H$64:$AK$70,2,0))))</f>
        <v>0</v>
      </c>
      <c r="AG498" s="32">
        <f>(VLOOKUP($A498,$A$458:$O$482,2,0)*(HLOOKUP(AG$495,'2.2.Brecha Efectiva x UdM'!$H$86:$AK$92,2,0))+(VLOOKUP($A498,$A$4:$O$27,2,0)*(HLOOKUP(AG$495,'2.2.Brecha Efectiva x UdM'!$H$64:$AK$70,2,0))))</f>
        <v>0</v>
      </c>
      <c r="AH498" s="62">
        <f t="shared" ref="AH498:AH520" si="472">SUM(D498:AG498)</f>
        <v>493338494.14734691</v>
      </c>
    </row>
    <row r="499" spans="1:34" x14ac:dyDescent="0.2">
      <c r="A499" s="26" t="str">
        <f t="shared" si="469"/>
        <v>Chaco</v>
      </c>
      <c r="B499" s="52" t="str">
        <f t="shared" si="470"/>
        <v>Nombre UdM 1</v>
      </c>
      <c r="C499" s="26" t="str">
        <f t="shared" si="471"/>
        <v>Chaco Nombre UdM 1</v>
      </c>
      <c r="D499" s="31">
        <f>(VLOOKUP($A499,$A$458:$O$482,2,0)*(HLOOKUP(D$495,'2.2.Brecha Efectiva x UdM'!$H$86:$AK$92,2,0))+(VLOOKUP($A499,$A$4:$O$27,2,0)*(HLOOKUP(D$495,'2.2.Brecha Efectiva x UdM'!$H$64:$AK$70,2,0))))</f>
        <v>60839204.0170701</v>
      </c>
      <c r="E499" s="31">
        <f>(VLOOKUP($A499,$A$458:$O$482,2,0)*(HLOOKUP(E$495,'2.2.Brecha Efectiva x UdM'!$H$86:$AK$92,2,0))+(VLOOKUP($A499,$A$4:$O$27,2,0)*(HLOOKUP(E$495,'2.2.Brecha Efectiva x UdM'!$H$64:$AK$70,2,0))))</f>
        <v>61283388.857119761</v>
      </c>
      <c r="F499" s="31">
        <f>(VLOOKUP($A499,$A$458:$O$482,2,0)*(HLOOKUP(F$495,'2.2.Brecha Efectiva x UdM'!$H$86:$AK$92,2,0))+(VLOOKUP($A499,$A$4:$O$27,2,0)*(HLOOKUP(F$495,'2.2.Brecha Efectiva x UdM'!$H$64:$AK$70,2,0))))</f>
        <v>38006400.233220212</v>
      </c>
      <c r="G499" s="31">
        <f>(VLOOKUP($A499,$A$458:$O$482,2,0)*(HLOOKUP(G$495,'2.2.Brecha Efectiva x UdM'!$H$86:$AK$92,2,0))+(VLOOKUP($A499,$A$4:$O$27,2,0)*(HLOOKUP(G$495,'2.2.Brecha Efectiva x UdM'!$H$64:$AK$70,2,0))))</f>
        <v>30108767.382884666</v>
      </c>
      <c r="H499" s="31">
        <f>(VLOOKUP($A499,$A$458:$O$482,2,0)*(HLOOKUP(H$495,'2.2.Brecha Efectiva x UdM'!$H$86:$AK$92,2,0))+(VLOOKUP($A499,$A$4:$O$27,2,0)*(HLOOKUP(H$495,'2.2.Brecha Efectiva x UdM'!$H$64:$AK$70,2,0))))</f>
        <v>15863710.460299652</v>
      </c>
      <c r="I499" s="31">
        <f>(VLOOKUP($A499,$A$458:$O$482,2,0)*(HLOOKUP(I$495,'2.2.Brecha Efectiva x UdM'!$H$86:$AK$92,2,0))+(VLOOKUP($A499,$A$4:$O$27,2,0)*(HLOOKUP(I$495,'2.2.Brecha Efectiva x UdM'!$H$64:$AK$70,2,0))))</f>
        <v>15969159.473596064</v>
      </c>
      <c r="J499" s="31">
        <f>(VLOOKUP($A499,$A$458:$O$482,2,0)*(HLOOKUP(J$495,'2.2.Brecha Efectiva x UdM'!$H$86:$AK$92,2,0))+(VLOOKUP($A499,$A$4:$O$27,2,0)*(HLOOKUP(J$495,'2.2.Brecha Efectiva x UdM'!$H$64:$AK$70,2,0))))</f>
        <v>16072749.02304969</v>
      </c>
      <c r="K499" s="31">
        <f>(VLOOKUP($A499,$A$458:$O$482,2,0)*(HLOOKUP(K$495,'2.2.Brecha Efectiva x UdM'!$H$86:$AK$92,2,0))+(VLOOKUP($A499,$A$4:$O$27,2,0)*(HLOOKUP(K$495,'2.2.Brecha Efectiva x UdM'!$H$64:$AK$70,2,0))))</f>
        <v>14921960.701884778</v>
      </c>
      <c r="L499" s="31">
        <f>(VLOOKUP($A499,$A$458:$O$482,2,0)*(HLOOKUP(L$495,'2.2.Brecha Efectiva x UdM'!$H$86:$AK$92,2,0))+(VLOOKUP($A499,$A$4:$O$27,2,0)*(HLOOKUP(L$495,'2.2.Brecha Efectiva x UdM'!$H$64:$AK$70,2,0))))</f>
        <v>15014202.225115089</v>
      </c>
      <c r="M499" s="31">
        <f>(VLOOKUP($A499,$A$458:$O$482,2,0)*(HLOOKUP(M$495,'2.2.Brecha Efectiva x UdM'!$H$86:$AK$92,2,0))+(VLOOKUP($A499,$A$4:$O$27,2,0)*(HLOOKUP(M$495,'2.2.Brecha Efectiva x UdM'!$H$64:$AK$70,2,0))))</f>
        <v>15104776.885427173</v>
      </c>
      <c r="N499" s="31">
        <f>(VLOOKUP($A499,$A$458:$O$482,2,0)*(HLOOKUP(N$495,'2.2.Brecha Efectiva x UdM'!$H$86:$AK$92,2,0))+(VLOOKUP($A499,$A$4:$O$27,2,0)*(HLOOKUP(N$495,'2.2.Brecha Efectiva x UdM'!$H$64:$AK$70,2,0))))</f>
        <v>0</v>
      </c>
      <c r="O499" s="31">
        <f>(VLOOKUP($A499,$A$458:$O$482,2,0)*(HLOOKUP(O$495,'2.2.Brecha Efectiva x UdM'!$H$86:$AK$92,2,0))+(VLOOKUP($A499,$A$4:$O$27,2,0)*(HLOOKUP(O$495,'2.2.Brecha Efectiva x UdM'!$H$64:$AK$70,2,0))))</f>
        <v>0</v>
      </c>
      <c r="P499" s="31">
        <f>(VLOOKUP($A499,$A$458:$O$482,2,0)*(HLOOKUP(P$495,'2.2.Brecha Efectiva x UdM'!$H$86:$AK$92,2,0))+(VLOOKUP($A499,$A$4:$O$27,2,0)*(HLOOKUP(P$495,'2.2.Brecha Efectiva x UdM'!$H$64:$AK$70,2,0))))</f>
        <v>0</v>
      </c>
      <c r="Q499" s="31">
        <f>(VLOOKUP($A499,$A$458:$O$482,2,0)*(HLOOKUP(Q$495,'2.2.Brecha Efectiva x UdM'!$H$86:$AK$92,2,0))+(VLOOKUP($A499,$A$4:$O$27,2,0)*(HLOOKUP(Q$495,'2.2.Brecha Efectiva x UdM'!$H$64:$AK$70,2,0))))</f>
        <v>0</v>
      </c>
      <c r="R499" s="31">
        <f>(VLOOKUP($A499,$A$458:$O$482,2,0)*(HLOOKUP(R$495,'2.2.Brecha Efectiva x UdM'!$H$86:$AK$92,2,0))+(VLOOKUP($A499,$A$4:$O$27,2,0)*(HLOOKUP(R$495,'2.2.Brecha Efectiva x UdM'!$H$64:$AK$70,2,0))))</f>
        <v>0</v>
      </c>
      <c r="S499" s="31">
        <f>(VLOOKUP($A499,$A$458:$O$482,2,0)*(HLOOKUP(S$495,'2.2.Brecha Efectiva x UdM'!$H$86:$AK$92,2,0))+(VLOOKUP($A499,$A$4:$O$27,2,0)*(HLOOKUP(S$495,'2.2.Brecha Efectiva x UdM'!$H$64:$AK$70,2,0))))</f>
        <v>0</v>
      </c>
      <c r="T499" s="31">
        <f>(VLOOKUP($A499,$A$458:$O$482,2,0)*(HLOOKUP(T$495,'2.2.Brecha Efectiva x UdM'!$H$86:$AK$92,2,0))+(VLOOKUP($A499,$A$4:$O$27,2,0)*(HLOOKUP(T$495,'2.2.Brecha Efectiva x UdM'!$H$64:$AK$70,2,0))))</f>
        <v>0</v>
      </c>
      <c r="U499" s="31">
        <f>(VLOOKUP($A499,$A$458:$O$482,2,0)*(HLOOKUP(U$495,'2.2.Brecha Efectiva x UdM'!$H$86:$AK$92,2,0))+(VLOOKUP($A499,$A$4:$O$27,2,0)*(HLOOKUP(U$495,'2.2.Brecha Efectiva x UdM'!$H$64:$AK$70,2,0))))</f>
        <v>0</v>
      </c>
      <c r="V499" s="31">
        <f>(VLOOKUP($A499,$A$458:$O$482,2,0)*(HLOOKUP(V$495,'2.2.Brecha Efectiva x UdM'!$H$86:$AK$92,2,0))+(VLOOKUP($A499,$A$4:$O$27,2,0)*(HLOOKUP(V$495,'2.2.Brecha Efectiva x UdM'!$H$64:$AK$70,2,0))))</f>
        <v>0</v>
      </c>
      <c r="W499" s="31">
        <f>(VLOOKUP($A499,$A$458:$O$482,2,0)*(HLOOKUP(W$495,'2.2.Brecha Efectiva x UdM'!$H$86:$AK$92,2,0))+(VLOOKUP($A499,$A$4:$O$27,2,0)*(HLOOKUP(W$495,'2.2.Brecha Efectiva x UdM'!$H$64:$AK$70,2,0))))</f>
        <v>0</v>
      </c>
      <c r="X499" s="31">
        <f>(VLOOKUP($A499,$A$458:$O$482,2,0)*(HLOOKUP(X$495,'2.2.Brecha Efectiva x UdM'!$H$86:$AK$92,2,0))+(VLOOKUP($A499,$A$4:$O$27,2,0)*(HLOOKUP(X$495,'2.2.Brecha Efectiva x UdM'!$H$64:$AK$70,2,0))))</f>
        <v>0</v>
      </c>
      <c r="Y499" s="31">
        <f>(VLOOKUP($A499,$A$458:$O$482,2,0)*(HLOOKUP(Y$495,'2.2.Brecha Efectiva x UdM'!$H$86:$AK$92,2,0))+(VLOOKUP($A499,$A$4:$O$27,2,0)*(HLOOKUP(Y$495,'2.2.Brecha Efectiva x UdM'!$H$64:$AK$70,2,0))))</f>
        <v>0</v>
      </c>
      <c r="Z499" s="31">
        <f>(VLOOKUP($A499,$A$458:$O$482,2,0)*(HLOOKUP(Z$495,'2.2.Brecha Efectiva x UdM'!$H$86:$AK$92,2,0))+(VLOOKUP($A499,$A$4:$O$27,2,0)*(HLOOKUP(Z$495,'2.2.Brecha Efectiva x UdM'!$H$64:$AK$70,2,0))))</f>
        <v>0</v>
      </c>
      <c r="AA499" s="31">
        <f>(VLOOKUP($A499,$A$458:$O$482,2,0)*(HLOOKUP(AA$495,'2.2.Brecha Efectiva x UdM'!$H$86:$AK$92,2,0))+(VLOOKUP($A499,$A$4:$O$27,2,0)*(HLOOKUP(AA$495,'2.2.Brecha Efectiva x UdM'!$H$64:$AK$70,2,0))))</f>
        <v>0</v>
      </c>
      <c r="AB499" s="31">
        <f>(VLOOKUP($A499,$A$458:$O$482,2,0)*(HLOOKUP(AB$495,'2.2.Brecha Efectiva x UdM'!$H$86:$AK$92,2,0))+(VLOOKUP($A499,$A$4:$O$27,2,0)*(HLOOKUP(AB$495,'2.2.Brecha Efectiva x UdM'!$H$64:$AK$70,2,0))))</f>
        <v>0</v>
      </c>
      <c r="AC499" s="31">
        <f>(VLOOKUP($A499,$A$458:$O$482,2,0)*(HLOOKUP(AC$495,'2.2.Brecha Efectiva x UdM'!$H$86:$AK$92,2,0))+(VLOOKUP($A499,$A$4:$O$27,2,0)*(HLOOKUP(AC$495,'2.2.Brecha Efectiva x UdM'!$H$64:$AK$70,2,0))))</f>
        <v>0</v>
      </c>
      <c r="AD499" s="31">
        <f>(VLOOKUP($A499,$A$458:$O$482,2,0)*(HLOOKUP(AD$495,'2.2.Brecha Efectiva x UdM'!$H$86:$AK$92,2,0))+(VLOOKUP($A499,$A$4:$O$27,2,0)*(HLOOKUP(AD$495,'2.2.Brecha Efectiva x UdM'!$H$64:$AK$70,2,0))))</f>
        <v>0</v>
      </c>
      <c r="AE499" s="31">
        <f>(VLOOKUP($A499,$A$458:$O$482,2,0)*(HLOOKUP(AE$495,'2.2.Brecha Efectiva x UdM'!$H$86:$AK$92,2,0))+(VLOOKUP($A499,$A$4:$O$27,2,0)*(HLOOKUP(AE$495,'2.2.Brecha Efectiva x UdM'!$H$64:$AK$70,2,0))))</f>
        <v>0</v>
      </c>
      <c r="AF499" s="31">
        <f>(VLOOKUP($A499,$A$458:$O$482,2,0)*(HLOOKUP(AF$495,'2.2.Brecha Efectiva x UdM'!$H$86:$AK$92,2,0))+(VLOOKUP($A499,$A$4:$O$27,2,0)*(HLOOKUP(AF$495,'2.2.Brecha Efectiva x UdM'!$H$64:$AK$70,2,0))))</f>
        <v>0</v>
      </c>
      <c r="AG499" s="31">
        <f>(VLOOKUP($A499,$A$458:$O$482,2,0)*(HLOOKUP(AG$495,'2.2.Brecha Efectiva x UdM'!$H$86:$AK$92,2,0))+(VLOOKUP($A499,$A$4:$O$27,2,0)*(HLOOKUP(AG$495,'2.2.Brecha Efectiva x UdM'!$H$64:$AK$70,2,0))))</f>
        <v>0</v>
      </c>
      <c r="AH499" s="63">
        <f t="shared" si="472"/>
        <v>283184319.25966716</v>
      </c>
    </row>
    <row r="500" spans="1:34" x14ac:dyDescent="0.2">
      <c r="A500" s="25" t="str">
        <f t="shared" si="469"/>
        <v>Chubut</v>
      </c>
      <c r="B500" s="51" t="str">
        <f t="shared" si="470"/>
        <v>Nombre UdM 1</v>
      </c>
      <c r="C500" s="25" t="str">
        <f t="shared" si="471"/>
        <v>Chubut Nombre UdM 1</v>
      </c>
      <c r="D500" s="32">
        <f>(VLOOKUP($A500,$A$458:$O$482,2,0)*(HLOOKUP(D$495,'2.2.Brecha Efectiva x UdM'!$H$86:$AK$92,2,0))+(VLOOKUP($A500,$A$4:$O$27,2,0)*(HLOOKUP(D$495,'2.2.Brecha Efectiva x UdM'!$H$64:$AK$70,2,0))))</f>
        <v>844421868.90334916</v>
      </c>
      <c r="E500" s="32">
        <f>(VLOOKUP($A500,$A$458:$O$482,2,0)*(HLOOKUP(E$495,'2.2.Brecha Efectiva x UdM'!$H$86:$AK$92,2,0))+(VLOOKUP($A500,$A$4:$O$27,2,0)*(HLOOKUP(E$495,'2.2.Brecha Efectiva x UdM'!$H$64:$AK$70,2,0))))</f>
        <v>850586962.59306991</v>
      </c>
      <c r="F500" s="32">
        <f>(VLOOKUP($A500,$A$458:$O$482,2,0)*(HLOOKUP(F$495,'2.2.Brecha Efectiva x UdM'!$H$86:$AK$92,2,0))+(VLOOKUP($A500,$A$4:$O$27,2,0)*(HLOOKUP(F$495,'2.2.Brecha Efectiva x UdM'!$H$64:$AK$70,2,0))))</f>
        <v>527512416.27388501</v>
      </c>
      <c r="G500" s="32">
        <f>(VLOOKUP($A500,$A$458:$O$482,2,0)*(HLOOKUP(G$495,'2.2.Brecha Efectiva x UdM'!$H$86:$AK$92,2,0))+(VLOOKUP($A500,$A$4:$O$27,2,0)*(HLOOKUP(G$495,'2.2.Brecha Efectiva x UdM'!$H$64:$AK$70,2,0))))</f>
        <v>417896684.1298275</v>
      </c>
      <c r="H500" s="32">
        <f>(VLOOKUP($A500,$A$458:$O$482,2,0)*(HLOOKUP(H$495,'2.2.Brecha Efectiva x UdM'!$H$86:$AK$92,2,0))+(VLOOKUP($A500,$A$4:$O$27,2,0)*(HLOOKUP(H$495,'2.2.Brecha Efectiva x UdM'!$H$64:$AK$70,2,0))))</f>
        <v>220181447.9832662</v>
      </c>
      <c r="I500" s="32">
        <f>(VLOOKUP($A500,$A$458:$O$482,2,0)*(HLOOKUP(I$495,'2.2.Brecha Efectiva x UdM'!$H$86:$AK$92,2,0))+(VLOOKUP($A500,$A$4:$O$27,2,0)*(HLOOKUP(I$495,'2.2.Brecha Efectiva x UdM'!$H$64:$AK$70,2,0))))</f>
        <v>221645034.73329645</v>
      </c>
      <c r="J500" s="32">
        <f>(VLOOKUP($A500,$A$458:$O$482,2,0)*(HLOOKUP(J$495,'2.2.Brecha Efectiva x UdM'!$H$86:$AK$92,2,0))+(VLOOKUP($A500,$A$4:$O$27,2,0)*(HLOOKUP(J$495,'2.2.Brecha Efectiva x UdM'!$H$64:$AK$70,2,0))))</f>
        <v>223082812.92848688</v>
      </c>
      <c r="K500" s="32">
        <f>(VLOOKUP($A500,$A$458:$O$482,2,0)*(HLOOKUP(K$495,'2.2.Brecha Efectiva x UdM'!$H$86:$AK$92,2,0))+(VLOOKUP($A500,$A$4:$O$27,2,0)*(HLOOKUP(K$495,'2.2.Brecha Efectiva x UdM'!$H$64:$AK$70,2,0))))</f>
        <v>207110368.1772773</v>
      </c>
      <c r="L500" s="32">
        <f>(VLOOKUP($A500,$A$458:$O$482,2,0)*(HLOOKUP(L$495,'2.2.Brecha Efectiva x UdM'!$H$86:$AK$92,2,0))+(VLOOKUP($A500,$A$4:$O$27,2,0)*(HLOOKUP(L$495,'2.2.Brecha Efectiva x UdM'!$H$64:$AK$70,2,0))))</f>
        <v>208390640.67089465</v>
      </c>
      <c r="M500" s="32">
        <f>(VLOOKUP($A500,$A$458:$O$482,2,0)*(HLOOKUP(M$495,'2.2.Brecha Efectiva x UdM'!$H$86:$AK$92,2,0))+(VLOOKUP($A500,$A$4:$O$27,2,0)*(HLOOKUP(M$495,'2.2.Brecha Efectiva x UdM'!$H$64:$AK$70,2,0))))</f>
        <v>209647777.82730055</v>
      </c>
      <c r="N500" s="32">
        <f>(VLOOKUP($A500,$A$458:$O$482,2,0)*(HLOOKUP(N$495,'2.2.Brecha Efectiva x UdM'!$H$86:$AK$92,2,0))+(VLOOKUP($A500,$A$4:$O$27,2,0)*(HLOOKUP(N$495,'2.2.Brecha Efectiva x UdM'!$H$64:$AK$70,2,0))))</f>
        <v>0</v>
      </c>
      <c r="O500" s="32">
        <f>(VLOOKUP($A500,$A$458:$O$482,2,0)*(HLOOKUP(O$495,'2.2.Brecha Efectiva x UdM'!$H$86:$AK$92,2,0))+(VLOOKUP($A500,$A$4:$O$27,2,0)*(HLOOKUP(O$495,'2.2.Brecha Efectiva x UdM'!$H$64:$AK$70,2,0))))</f>
        <v>0</v>
      </c>
      <c r="P500" s="32">
        <f>(VLOOKUP($A500,$A$458:$O$482,2,0)*(HLOOKUP(P$495,'2.2.Brecha Efectiva x UdM'!$H$86:$AK$92,2,0))+(VLOOKUP($A500,$A$4:$O$27,2,0)*(HLOOKUP(P$495,'2.2.Brecha Efectiva x UdM'!$H$64:$AK$70,2,0))))</f>
        <v>0</v>
      </c>
      <c r="Q500" s="32">
        <f>(VLOOKUP($A500,$A$458:$O$482,2,0)*(HLOOKUP(Q$495,'2.2.Brecha Efectiva x UdM'!$H$86:$AK$92,2,0))+(VLOOKUP($A500,$A$4:$O$27,2,0)*(HLOOKUP(Q$495,'2.2.Brecha Efectiva x UdM'!$H$64:$AK$70,2,0))))</f>
        <v>0</v>
      </c>
      <c r="R500" s="32">
        <f>(VLOOKUP($A500,$A$458:$O$482,2,0)*(HLOOKUP(R$495,'2.2.Brecha Efectiva x UdM'!$H$86:$AK$92,2,0))+(VLOOKUP($A500,$A$4:$O$27,2,0)*(HLOOKUP(R$495,'2.2.Brecha Efectiva x UdM'!$H$64:$AK$70,2,0))))</f>
        <v>0</v>
      </c>
      <c r="S500" s="32">
        <f>(VLOOKUP($A500,$A$458:$O$482,2,0)*(HLOOKUP(S$495,'2.2.Brecha Efectiva x UdM'!$H$86:$AK$92,2,0))+(VLOOKUP($A500,$A$4:$O$27,2,0)*(HLOOKUP(S$495,'2.2.Brecha Efectiva x UdM'!$H$64:$AK$70,2,0))))</f>
        <v>0</v>
      </c>
      <c r="T500" s="32">
        <f>(VLOOKUP($A500,$A$458:$O$482,2,0)*(HLOOKUP(T$495,'2.2.Brecha Efectiva x UdM'!$H$86:$AK$92,2,0))+(VLOOKUP($A500,$A$4:$O$27,2,0)*(HLOOKUP(T$495,'2.2.Brecha Efectiva x UdM'!$H$64:$AK$70,2,0))))</f>
        <v>0</v>
      </c>
      <c r="U500" s="32">
        <f>(VLOOKUP($A500,$A$458:$O$482,2,0)*(HLOOKUP(U$495,'2.2.Brecha Efectiva x UdM'!$H$86:$AK$92,2,0))+(VLOOKUP($A500,$A$4:$O$27,2,0)*(HLOOKUP(U$495,'2.2.Brecha Efectiva x UdM'!$H$64:$AK$70,2,0))))</f>
        <v>0</v>
      </c>
      <c r="V500" s="32">
        <f>(VLOOKUP($A500,$A$458:$O$482,2,0)*(HLOOKUP(V$495,'2.2.Brecha Efectiva x UdM'!$H$86:$AK$92,2,0))+(VLOOKUP($A500,$A$4:$O$27,2,0)*(HLOOKUP(V$495,'2.2.Brecha Efectiva x UdM'!$H$64:$AK$70,2,0))))</f>
        <v>0</v>
      </c>
      <c r="W500" s="32">
        <f>(VLOOKUP($A500,$A$458:$O$482,2,0)*(HLOOKUP(W$495,'2.2.Brecha Efectiva x UdM'!$H$86:$AK$92,2,0))+(VLOOKUP($A500,$A$4:$O$27,2,0)*(HLOOKUP(W$495,'2.2.Brecha Efectiva x UdM'!$H$64:$AK$70,2,0))))</f>
        <v>0</v>
      </c>
      <c r="X500" s="32">
        <f>(VLOOKUP($A500,$A$458:$O$482,2,0)*(HLOOKUP(X$495,'2.2.Brecha Efectiva x UdM'!$H$86:$AK$92,2,0))+(VLOOKUP($A500,$A$4:$O$27,2,0)*(HLOOKUP(X$495,'2.2.Brecha Efectiva x UdM'!$H$64:$AK$70,2,0))))</f>
        <v>0</v>
      </c>
      <c r="Y500" s="32">
        <f>(VLOOKUP($A500,$A$458:$O$482,2,0)*(HLOOKUP(Y$495,'2.2.Brecha Efectiva x UdM'!$H$86:$AK$92,2,0))+(VLOOKUP($A500,$A$4:$O$27,2,0)*(HLOOKUP(Y$495,'2.2.Brecha Efectiva x UdM'!$H$64:$AK$70,2,0))))</f>
        <v>0</v>
      </c>
      <c r="Z500" s="32">
        <f>(VLOOKUP($A500,$A$458:$O$482,2,0)*(HLOOKUP(Z$495,'2.2.Brecha Efectiva x UdM'!$H$86:$AK$92,2,0))+(VLOOKUP($A500,$A$4:$O$27,2,0)*(HLOOKUP(Z$495,'2.2.Brecha Efectiva x UdM'!$H$64:$AK$70,2,0))))</f>
        <v>0</v>
      </c>
      <c r="AA500" s="32">
        <f>(VLOOKUP($A500,$A$458:$O$482,2,0)*(HLOOKUP(AA$495,'2.2.Brecha Efectiva x UdM'!$H$86:$AK$92,2,0))+(VLOOKUP($A500,$A$4:$O$27,2,0)*(HLOOKUP(AA$495,'2.2.Brecha Efectiva x UdM'!$H$64:$AK$70,2,0))))</f>
        <v>0</v>
      </c>
      <c r="AB500" s="32">
        <f>(VLOOKUP($A500,$A$458:$O$482,2,0)*(HLOOKUP(AB$495,'2.2.Brecha Efectiva x UdM'!$H$86:$AK$92,2,0))+(VLOOKUP($A500,$A$4:$O$27,2,0)*(HLOOKUP(AB$495,'2.2.Brecha Efectiva x UdM'!$H$64:$AK$70,2,0))))</f>
        <v>0</v>
      </c>
      <c r="AC500" s="32">
        <f>(VLOOKUP($A500,$A$458:$O$482,2,0)*(HLOOKUP(AC$495,'2.2.Brecha Efectiva x UdM'!$H$86:$AK$92,2,0))+(VLOOKUP($A500,$A$4:$O$27,2,0)*(HLOOKUP(AC$495,'2.2.Brecha Efectiva x UdM'!$H$64:$AK$70,2,0))))</f>
        <v>0</v>
      </c>
      <c r="AD500" s="32">
        <f>(VLOOKUP($A500,$A$458:$O$482,2,0)*(HLOOKUP(AD$495,'2.2.Brecha Efectiva x UdM'!$H$86:$AK$92,2,0))+(VLOOKUP($A500,$A$4:$O$27,2,0)*(HLOOKUP(AD$495,'2.2.Brecha Efectiva x UdM'!$H$64:$AK$70,2,0))))</f>
        <v>0</v>
      </c>
      <c r="AE500" s="32">
        <f>(VLOOKUP($A500,$A$458:$O$482,2,0)*(HLOOKUP(AE$495,'2.2.Brecha Efectiva x UdM'!$H$86:$AK$92,2,0))+(VLOOKUP($A500,$A$4:$O$27,2,0)*(HLOOKUP(AE$495,'2.2.Brecha Efectiva x UdM'!$H$64:$AK$70,2,0))))</f>
        <v>0</v>
      </c>
      <c r="AF500" s="32">
        <f>(VLOOKUP($A500,$A$458:$O$482,2,0)*(HLOOKUP(AF$495,'2.2.Brecha Efectiva x UdM'!$H$86:$AK$92,2,0))+(VLOOKUP($A500,$A$4:$O$27,2,0)*(HLOOKUP(AF$495,'2.2.Brecha Efectiva x UdM'!$H$64:$AK$70,2,0))))</f>
        <v>0</v>
      </c>
      <c r="AG500" s="32">
        <f>(VLOOKUP($A500,$A$458:$O$482,2,0)*(HLOOKUP(AG$495,'2.2.Brecha Efectiva x UdM'!$H$86:$AK$92,2,0))+(VLOOKUP($A500,$A$4:$O$27,2,0)*(HLOOKUP(AG$495,'2.2.Brecha Efectiva x UdM'!$H$64:$AK$70,2,0))))</f>
        <v>0</v>
      </c>
      <c r="AH500" s="62">
        <f t="shared" si="472"/>
        <v>3930476014.2206531</v>
      </c>
    </row>
    <row r="501" spans="1:34" x14ac:dyDescent="0.2">
      <c r="A501" s="26" t="str">
        <f t="shared" si="469"/>
        <v>Córdoba</v>
      </c>
      <c r="B501" s="52" t="str">
        <f t="shared" si="470"/>
        <v>Nombre UdM 1</v>
      </c>
      <c r="C501" s="26" t="str">
        <f t="shared" si="471"/>
        <v>Córdoba Nombre UdM 1</v>
      </c>
      <c r="D501" s="31">
        <f>(VLOOKUP($A501,$A$458:$O$482,2,0)*(HLOOKUP(D$495,'2.2.Brecha Efectiva x UdM'!$H$86:$AK$92,2,0))+(VLOOKUP($A501,$A$4:$O$27,2,0)*(HLOOKUP(D$495,'2.2.Brecha Efectiva x UdM'!$H$64:$AK$70,2,0))))</f>
        <v>181357004.95608845</v>
      </c>
      <c r="E501" s="31">
        <f>(VLOOKUP($A501,$A$458:$O$482,2,0)*(HLOOKUP(E$495,'2.2.Brecha Efectiva x UdM'!$H$86:$AK$92,2,0))+(VLOOKUP($A501,$A$4:$O$27,2,0)*(HLOOKUP(E$495,'2.2.Brecha Efectiva x UdM'!$H$64:$AK$70,2,0))))</f>
        <v>182681085.92558476</v>
      </c>
      <c r="F501" s="31">
        <f>(VLOOKUP($A501,$A$458:$O$482,2,0)*(HLOOKUP(F$495,'2.2.Brecha Efectiva x UdM'!$H$86:$AK$92,2,0))+(VLOOKUP($A501,$A$4:$O$27,2,0)*(HLOOKUP(F$495,'2.2.Brecha Efectiva x UdM'!$H$64:$AK$70,2,0))))</f>
        <v>113294166.59569144</v>
      </c>
      <c r="G501" s="31">
        <f>(VLOOKUP($A501,$A$458:$O$482,2,0)*(HLOOKUP(G$495,'2.2.Brecha Efectiva x UdM'!$H$86:$AK$92,2,0))+(VLOOKUP($A501,$A$4:$O$27,2,0)*(HLOOKUP(G$495,'2.2.Brecha Efectiva x UdM'!$H$64:$AK$70,2,0))))</f>
        <v>89751928.278802842</v>
      </c>
      <c r="H501" s="31">
        <f>(VLOOKUP($A501,$A$458:$O$482,2,0)*(HLOOKUP(H$495,'2.2.Brecha Efectiva x UdM'!$H$86:$AK$92,2,0))+(VLOOKUP($A501,$A$4:$O$27,2,0)*(HLOOKUP(H$495,'2.2.Brecha Efectiva x UdM'!$H$64:$AK$70,2,0))))</f>
        <v>47288505.21718359</v>
      </c>
      <c r="I501" s="31">
        <f>(VLOOKUP($A501,$A$458:$O$482,2,0)*(HLOOKUP(I$495,'2.2.Brecha Efectiva x UdM'!$H$86:$AK$92,2,0))+(VLOOKUP($A501,$A$4:$O$27,2,0)*(HLOOKUP(I$495,'2.2.Brecha Efectiva x UdM'!$H$64:$AK$70,2,0))))</f>
        <v>47602840.64507062</v>
      </c>
      <c r="J501" s="31">
        <f>(VLOOKUP($A501,$A$458:$O$482,2,0)*(HLOOKUP(J$495,'2.2.Brecha Efectiva x UdM'!$H$86:$AK$92,2,0))+(VLOOKUP($A501,$A$4:$O$27,2,0)*(HLOOKUP(J$495,'2.2.Brecha Efectiva x UdM'!$H$64:$AK$70,2,0))))</f>
        <v>47911633.153736398</v>
      </c>
      <c r="K501" s="31">
        <f>(VLOOKUP($A501,$A$458:$O$482,2,0)*(HLOOKUP(K$495,'2.2.Brecha Efectiva x UdM'!$H$86:$AK$92,2,0))+(VLOOKUP($A501,$A$4:$O$27,2,0)*(HLOOKUP(K$495,'2.2.Brecha Efectiva x UdM'!$H$64:$AK$70,2,0))))</f>
        <v>44481221.355344757</v>
      </c>
      <c r="L501" s="31">
        <f>(VLOOKUP($A501,$A$458:$O$482,2,0)*(HLOOKUP(L$495,'2.2.Brecha Efectiva x UdM'!$H$86:$AK$92,2,0))+(VLOOKUP($A501,$A$4:$O$27,2,0)*(HLOOKUP(L$495,'2.2.Brecha Efectiva x UdM'!$H$64:$AK$70,2,0))))</f>
        <v>44756186.267458707</v>
      </c>
      <c r="M501" s="31">
        <f>(VLOOKUP($A501,$A$458:$O$482,2,0)*(HLOOKUP(M$495,'2.2.Brecha Efectiva x UdM'!$H$86:$AK$92,2,0))+(VLOOKUP($A501,$A$4:$O$27,2,0)*(HLOOKUP(M$495,'2.2.Brecha Efectiva x UdM'!$H$64:$AK$70,2,0))))</f>
        <v>45026182.388948165</v>
      </c>
      <c r="N501" s="31">
        <f>(VLOOKUP($A501,$A$458:$O$482,2,0)*(HLOOKUP(N$495,'2.2.Brecha Efectiva x UdM'!$H$86:$AK$92,2,0))+(VLOOKUP($A501,$A$4:$O$27,2,0)*(HLOOKUP(N$495,'2.2.Brecha Efectiva x UdM'!$H$64:$AK$70,2,0))))</f>
        <v>0</v>
      </c>
      <c r="O501" s="31">
        <f>(VLOOKUP($A501,$A$458:$O$482,2,0)*(HLOOKUP(O$495,'2.2.Brecha Efectiva x UdM'!$H$86:$AK$92,2,0))+(VLOOKUP($A501,$A$4:$O$27,2,0)*(HLOOKUP(O$495,'2.2.Brecha Efectiva x UdM'!$H$64:$AK$70,2,0))))</f>
        <v>0</v>
      </c>
      <c r="P501" s="31">
        <f>(VLOOKUP($A501,$A$458:$O$482,2,0)*(HLOOKUP(P$495,'2.2.Brecha Efectiva x UdM'!$H$86:$AK$92,2,0))+(VLOOKUP($A501,$A$4:$O$27,2,0)*(HLOOKUP(P$495,'2.2.Brecha Efectiva x UdM'!$H$64:$AK$70,2,0))))</f>
        <v>0</v>
      </c>
      <c r="Q501" s="31">
        <f>(VLOOKUP($A501,$A$458:$O$482,2,0)*(HLOOKUP(Q$495,'2.2.Brecha Efectiva x UdM'!$H$86:$AK$92,2,0))+(VLOOKUP($A501,$A$4:$O$27,2,0)*(HLOOKUP(Q$495,'2.2.Brecha Efectiva x UdM'!$H$64:$AK$70,2,0))))</f>
        <v>0</v>
      </c>
      <c r="R501" s="31">
        <f>(VLOOKUP($A501,$A$458:$O$482,2,0)*(HLOOKUP(R$495,'2.2.Brecha Efectiva x UdM'!$H$86:$AK$92,2,0))+(VLOOKUP($A501,$A$4:$O$27,2,0)*(HLOOKUP(R$495,'2.2.Brecha Efectiva x UdM'!$H$64:$AK$70,2,0))))</f>
        <v>0</v>
      </c>
      <c r="S501" s="31">
        <f>(VLOOKUP($A501,$A$458:$O$482,2,0)*(HLOOKUP(S$495,'2.2.Brecha Efectiva x UdM'!$H$86:$AK$92,2,0))+(VLOOKUP($A501,$A$4:$O$27,2,0)*(HLOOKUP(S$495,'2.2.Brecha Efectiva x UdM'!$H$64:$AK$70,2,0))))</f>
        <v>0</v>
      </c>
      <c r="T501" s="31">
        <f>(VLOOKUP($A501,$A$458:$O$482,2,0)*(HLOOKUP(T$495,'2.2.Brecha Efectiva x UdM'!$H$86:$AK$92,2,0))+(VLOOKUP($A501,$A$4:$O$27,2,0)*(HLOOKUP(T$495,'2.2.Brecha Efectiva x UdM'!$H$64:$AK$70,2,0))))</f>
        <v>0</v>
      </c>
      <c r="U501" s="31">
        <f>(VLOOKUP($A501,$A$458:$O$482,2,0)*(HLOOKUP(U$495,'2.2.Brecha Efectiva x UdM'!$H$86:$AK$92,2,0))+(VLOOKUP($A501,$A$4:$O$27,2,0)*(HLOOKUP(U$495,'2.2.Brecha Efectiva x UdM'!$H$64:$AK$70,2,0))))</f>
        <v>0</v>
      </c>
      <c r="V501" s="31">
        <f>(VLOOKUP($A501,$A$458:$O$482,2,0)*(HLOOKUP(V$495,'2.2.Brecha Efectiva x UdM'!$H$86:$AK$92,2,0))+(VLOOKUP($A501,$A$4:$O$27,2,0)*(HLOOKUP(V$495,'2.2.Brecha Efectiva x UdM'!$H$64:$AK$70,2,0))))</f>
        <v>0</v>
      </c>
      <c r="W501" s="31">
        <f>(VLOOKUP($A501,$A$458:$O$482,2,0)*(HLOOKUP(W$495,'2.2.Brecha Efectiva x UdM'!$H$86:$AK$92,2,0))+(VLOOKUP($A501,$A$4:$O$27,2,0)*(HLOOKUP(W$495,'2.2.Brecha Efectiva x UdM'!$H$64:$AK$70,2,0))))</f>
        <v>0</v>
      </c>
      <c r="X501" s="31">
        <f>(VLOOKUP($A501,$A$458:$O$482,2,0)*(HLOOKUP(X$495,'2.2.Brecha Efectiva x UdM'!$H$86:$AK$92,2,0))+(VLOOKUP($A501,$A$4:$O$27,2,0)*(HLOOKUP(X$495,'2.2.Brecha Efectiva x UdM'!$H$64:$AK$70,2,0))))</f>
        <v>0</v>
      </c>
      <c r="Y501" s="31">
        <f>(VLOOKUP($A501,$A$458:$O$482,2,0)*(HLOOKUP(Y$495,'2.2.Brecha Efectiva x UdM'!$H$86:$AK$92,2,0))+(VLOOKUP($A501,$A$4:$O$27,2,0)*(HLOOKUP(Y$495,'2.2.Brecha Efectiva x UdM'!$H$64:$AK$70,2,0))))</f>
        <v>0</v>
      </c>
      <c r="Z501" s="31">
        <f>(VLOOKUP($A501,$A$458:$O$482,2,0)*(HLOOKUP(Z$495,'2.2.Brecha Efectiva x UdM'!$H$86:$AK$92,2,0))+(VLOOKUP($A501,$A$4:$O$27,2,0)*(HLOOKUP(Z$495,'2.2.Brecha Efectiva x UdM'!$H$64:$AK$70,2,0))))</f>
        <v>0</v>
      </c>
      <c r="AA501" s="31">
        <f>(VLOOKUP($A501,$A$458:$O$482,2,0)*(HLOOKUP(AA$495,'2.2.Brecha Efectiva x UdM'!$H$86:$AK$92,2,0))+(VLOOKUP($A501,$A$4:$O$27,2,0)*(HLOOKUP(AA$495,'2.2.Brecha Efectiva x UdM'!$H$64:$AK$70,2,0))))</f>
        <v>0</v>
      </c>
      <c r="AB501" s="31">
        <f>(VLOOKUP($A501,$A$458:$O$482,2,0)*(HLOOKUP(AB$495,'2.2.Brecha Efectiva x UdM'!$H$86:$AK$92,2,0))+(VLOOKUP($A501,$A$4:$O$27,2,0)*(HLOOKUP(AB$495,'2.2.Brecha Efectiva x UdM'!$H$64:$AK$70,2,0))))</f>
        <v>0</v>
      </c>
      <c r="AC501" s="31">
        <f>(VLOOKUP($A501,$A$458:$O$482,2,0)*(HLOOKUP(AC$495,'2.2.Brecha Efectiva x UdM'!$H$86:$AK$92,2,0))+(VLOOKUP($A501,$A$4:$O$27,2,0)*(HLOOKUP(AC$495,'2.2.Brecha Efectiva x UdM'!$H$64:$AK$70,2,0))))</f>
        <v>0</v>
      </c>
      <c r="AD501" s="31">
        <f>(VLOOKUP($A501,$A$458:$O$482,2,0)*(HLOOKUP(AD$495,'2.2.Brecha Efectiva x UdM'!$H$86:$AK$92,2,0))+(VLOOKUP($A501,$A$4:$O$27,2,0)*(HLOOKUP(AD$495,'2.2.Brecha Efectiva x UdM'!$H$64:$AK$70,2,0))))</f>
        <v>0</v>
      </c>
      <c r="AE501" s="31">
        <f>(VLOOKUP($A501,$A$458:$O$482,2,0)*(HLOOKUP(AE$495,'2.2.Brecha Efectiva x UdM'!$H$86:$AK$92,2,0))+(VLOOKUP($A501,$A$4:$O$27,2,0)*(HLOOKUP(AE$495,'2.2.Brecha Efectiva x UdM'!$H$64:$AK$70,2,0))))</f>
        <v>0</v>
      </c>
      <c r="AF501" s="31">
        <f>(VLOOKUP($A501,$A$458:$O$482,2,0)*(HLOOKUP(AF$495,'2.2.Brecha Efectiva x UdM'!$H$86:$AK$92,2,0))+(VLOOKUP($A501,$A$4:$O$27,2,0)*(HLOOKUP(AF$495,'2.2.Brecha Efectiva x UdM'!$H$64:$AK$70,2,0))))</f>
        <v>0</v>
      </c>
      <c r="AG501" s="31">
        <f>(VLOOKUP($A501,$A$458:$O$482,2,0)*(HLOOKUP(AG$495,'2.2.Brecha Efectiva x UdM'!$H$86:$AK$92,2,0))+(VLOOKUP($A501,$A$4:$O$27,2,0)*(HLOOKUP(AG$495,'2.2.Brecha Efectiva x UdM'!$H$64:$AK$70,2,0))))</f>
        <v>0</v>
      </c>
      <c r="AH501" s="63">
        <f t="shared" si="472"/>
        <v>844150754.7839098</v>
      </c>
    </row>
    <row r="502" spans="1:34" x14ac:dyDescent="0.2">
      <c r="A502" s="25" t="str">
        <f t="shared" si="469"/>
        <v>Corrientes</v>
      </c>
      <c r="B502" s="51" t="str">
        <f t="shared" si="470"/>
        <v>Nombre UdM 1</v>
      </c>
      <c r="C502" s="25" t="str">
        <f t="shared" si="471"/>
        <v>Corrientes Nombre UdM 1</v>
      </c>
      <c r="D502" s="32">
        <f>(VLOOKUP($A502,$A$458:$O$482,2,0)*(HLOOKUP(D$495,'2.2.Brecha Efectiva x UdM'!$H$86:$AK$92,2,0))+(VLOOKUP($A502,$A$4:$O$27,2,0)*(HLOOKUP(D$495,'2.2.Brecha Efectiva x UdM'!$H$64:$AK$70,2,0))))</f>
        <v>54320717.872384012</v>
      </c>
      <c r="E502" s="32">
        <f>(VLOOKUP($A502,$A$458:$O$482,2,0)*(HLOOKUP(E$495,'2.2.Brecha Efectiva x UdM'!$H$86:$AK$92,2,0))+(VLOOKUP($A502,$A$4:$O$27,2,0)*(HLOOKUP(E$495,'2.2.Brecha Efectiva x UdM'!$H$64:$AK$70,2,0))))</f>
        <v>54717311.479571208</v>
      </c>
      <c r="F502" s="32">
        <f>(VLOOKUP($A502,$A$458:$O$482,2,0)*(HLOOKUP(F$495,'2.2.Brecha Efectiva x UdM'!$H$86:$AK$92,2,0))+(VLOOKUP($A502,$A$4:$O$27,2,0)*(HLOOKUP(F$495,'2.2.Brecha Efectiva x UdM'!$H$64:$AK$70,2,0))))</f>
        <v>33934285.922518045</v>
      </c>
      <c r="G502" s="32">
        <f>(VLOOKUP($A502,$A$458:$O$482,2,0)*(HLOOKUP(G$495,'2.2.Brecha Efectiva x UdM'!$H$86:$AK$92,2,0))+(VLOOKUP($A502,$A$4:$O$27,2,0)*(HLOOKUP(G$495,'2.2.Brecha Efectiva x UdM'!$H$64:$AK$70,2,0))))</f>
        <v>26882828.020432737</v>
      </c>
      <c r="H502" s="32">
        <f>(VLOOKUP($A502,$A$458:$O$482,2,0)*(HLOOKUP(H$495,'2.2.Brecha Efectiva x UdM'!$H$86:$AK$92,2,0))+(VLOOKUP($A502,$A$4:$O$27,2,0)*(HLOOKUP(H$495,'2.2.Brecha Efectiva x UdM'!$H$64:$AK$70,2,0))))</f>
        <v>14164027.196696116</v>
      </c>
      <c r="I502" s="32">
        <f>(VLOOKUP($A502,$A$458:$O$482,2,0)*(HLOOKUP(I$495,'2.2.Brecha Efectiva x UdM'!$H$86:$AK$92,2,0))+(VLOOKUP($A502,$A$4:$O$27,2,0)*(HLOOKUP(I$495,'2.2.Brecha Efectiva x UdM'!$H$64:$AK$70,2,0))))</f>
        <v>14258178.101425054</v>
      </c>
      <c r="J502" s="32">
        <f>(VLOOKUP($A502,$A$458:$O$482,2,0)*(HLOOKUP(J$495,'2.2.Brecha Efectiva x UdM'!$H$86:$AK$92,2,0))+(VLOOKUP($A502,$A$4:$O$27,2,0)*(HLOOKUP(J$495,'2.2.Brecha Efectiva x UdM'!$H$64:$AK$70,2,0))))</f>
        <v>14350668.770580076</v>
      </c>
      <c r="K502" s="32">
        <f>(VLOOKUP($A502,$A$458:$O$482,2,0)*(HLOOKUP(K$495,'2.2.Brecha Efectiva x UdM'!$H$86:$AK$92,2,0))+(VLOOKUP($A502,$A$4:$O$27,2,0)*(HLOOKUP(K$495,'2.2.Brecha Efectiva x UdM'!$H$64:$AK$70,2,0))))</f>
        <v>13323179.198111407</v>
      </c>
      <c r="L502" s="32">
        <f>(VLOOKUP($A502,$A$458:$O$482,2,0)*(HLOOKUP(L$495,'2.2.Brecha Efectiva x UdM'!$H$86:$AK$92,2,0))+(VLOOKUP($A502,$A$4:$O$27,2,0)*(HLOOKUP(L$495,'2.2.Brecha Efectiva x UdM'!$H$64:$AK$70,2,0))))</f>
        <v>13405537.700995613</v>
      </c>
      <c r="M502" s="32">
        <f>(VLOOKUP($A502,$A$458:$O$482,2,0)*(HLOOKUP(M$495,'2.2.Brecha Efectiva x UdM'!$H$86:$AK$92,2,0))+(VLOOKUP($A502,$A$4:$O$27,2,0)*(HLOOKUP(M$495,'2.2.Brecha Efectiva x UdM'!$H$64:$AK$70,2,0))))</f>
        <v>13486407.933417117</v>
      </c>
      <c r="N502" s="32">
        <f>(VLOOKUP($A502,$A$458:$O$482,2,0)*(HLOOKUP(N$495,'2.2.Brecha Efectiva x UdM'!$H$86:$AK$92,2,0))+(VLOOKUP($A502,$A$4:$O$27,2,0)*(HLOOKUP(N$495,'2.2.Brecha Efectiva x UdM'!$H$64:$AK$70,2,0))))</f>
        <v>0</v>
      </c>
      <c r="O502" s="32">
        <f>(VLOOKUP($A502,$A$458:$O$482,2,0)*(HLOOKUP(O$495,'2.2.Brecha Efectiva x UdM'!$H$86:$AK$92,2,0))+(VLOOKUP($A502,$A$4:$O$27,2,0)*(HLOOKUP(O$495,'2.2.Brecha Efectiva x UdM'!$H$64:$AK$70,2,0))))</f>
        <v>0</v>
      </c>
      <c r="P502" s="32">
        <f>(VLOOKUP($A502,$A$458:$O$482,2,0)*(HLOOKUP(P$495,'2.2.Brecha Efectiva x UdM'!$H$86:$AK$92,2,0))+(VLOOKUP($A502,$A$4:$O$27,2,0)*(HLOOKUP(P$495,'2.2.Brecha Efectiva x UdM'!$H$64:$AK$70,2,0))))</f>
        <v>0</v>
      </c>
      <c r="Q502" s="32">
        <f>(VLOOKUP($A502,$A$458:$O$482,2,0)*(HLOOKUP(Q$495,'2.2.Brecha Efectiva x UdM'!$H$86:$AK$92,2,0))+(VLOOKUP($A502,$A$4:$O$27,2,0)*(HLOOKUP(Q$495,'2.2.Brecha Efectiva x UdM'!$H$64:$AK$70,2,0))))</f>
        <v>0</v>
      </c>
      <c r="R502" s="32">
        <f>(VLOOKUP($A502,$A$458:$O$482,2,0)*(HLOOKUP(R$495,'2.2.Brecha Efectiva x UdM'!$H$86:$AK$92,2,0))+(VLOOKUP($A502,$A$4:$O$27,2,0)*(HLOOKUP(R$495,'2.2.Brecha Efectiva x UdM'!$H$64:$AK$70,2,0))))</f>
        <v>0</v>
      </c>
      <c r="S502" s="32">
        <f>(VLOOKUP($A502,$A$458:$O$482,2,0)*(HLOOKUP(S$495,'2.2.Brecha Efectiva x UdM'!$H$86:$AK$92,2,0))+(VLOOKUP($A502,$A$4:$O$27,2,0)*(HLOOKUP(S$495,'2.2.Brecha Efectiva x UdM'!$H$64:$AK$70,2,0))))</f>
        <v>0</v>
      </c>
      <c r="T502" s="32">
        <f>(VLOOKUP($A502,$A$458:$O$482,2,0)*(HLOOKUP(T$495,'2.2.Brecha Efectiva x UdM'!$H$86:$AK$92,2,0))+(VLOOKUP($A502,$A$4:$O$27,2,0)*(HLOOKUP(T$495,'2.2.Brecha Efectiva x UdM'!$H$64:$AK$70,2,0))))</f>
        <v>0</v>
      </c>
      <c r="U502" s="32">
        <f>(VLOOKUP($A502,$A$458:$O$482,2,0)*(HLOOKUP(U$495,'2.2.Brecha Efectiva x UdM'!$H$86:$AK$92,2,0))+(VLOOKUP($A502,$A$4:$O$27,2,0)*(HLOOKUP(U$495,'2.2.Brecha Efectiva x UdM'!$H$64:$AK$70,2,0))))</f>
        <v>0</v>
      </c>
      <c r="V502" s="32">
        <f>(VLOOKUP($A502,$A$458:$O$482,2,0)*(HLOOKUP(V$495,'2.2.Brecha Efectiva x UdM'!$H$86:$AK$92,2,0))+(VLOOKUP($A502,$A$4:$O$27,2,0)*(HLOOKUP(V$495,'2.2.Brecha Efectiva x UdM'!$H$64:$AK$70,2,0))))</f>
        <v>0</v>
      </c>
      <c r="W502" s="32">
        <f>(VLOOKUP($A502,$A$458:$O$482,2,0)*(HLOOKUP(W$495,'2.2.Brecha Efectiva x UdM'!$H$86:$AK$92,2,0))+(VLOOKUP($A502,$A$4:$O$27,2,0)*(HLOOKUP(W$495,'2.2.Brecha Efectiva x UdM'!$H$64:$AK$70,2,0))))</f>
        <v>0</v>
      </c>
      <c r="X502" s="32">
        <f>(VLOOKUP($A502,$A$458:$O$482,2,0)*(HLOOKUP(X$495,'2.2.Brecha Efectiva x UdM'!$H$86:$AK$92,2,0))+(VLOOKUP($A502,$A$4:$O$27,2,0)*(HLOOKUP(X$495,'2.2.Brecha Efectiva x UdM'!$H$64:$AK$70,2,0))))</f>
        <v>0</v>
      </c>
      <c r="Y502" s="32">
        <f>(VLOOKUP($A502,$A$458:$O$482,2,0)*(HLOOKUP(Y$495,'2.2.Brecha Efectiva x UdM'!$H$86:$AK$92,2,0))+(VLOOKUP($A502,$A$4:$O$27,2,0)*(HLOOKUP(Y$495,'2.2.Brecha Efectiva x UdM'!$H$64:$AK$70,2,0))))</f>
        <v>0</v>
      </c>
      <c r="Z502" s="32">
        <f>(VLOOKUP($A502,$A$458:$O$482,2,0)*(HLOOKUP(Z$495,'2.2.Brecha Efectiva x UdM'!$H$86:$AK$92,2,0))+(VLOOKUP($A502,$A$4:$O$27,2,0)*(HLOOKUP(Z$495,'2.2.Brecha Efectiva x UdM'!$H$64:$AK$70,2,0))))</f>
        <v>0</v>
      </c>
      <c r="AA502" s="32">
        <f>(VLOOKUP($A502,$A$458:$O$482,2,0)*(HLOOKUP(AA$495,'2.2.Brecha Efectiva x UdM'!$H$86:$AK$92,2,0))+(VLOOKUP($A502,$A$4:$O$27,2,0)*(HLOOKUP(AA$495,'2.2.Brecha Efectiva x UdM'!$H$64:$AK$70,2,0))))</f>
        <v>0</v>
      </c>
      <c r="AB502" s="32">
        <f>(VLOOKUP($A502,$A$458:$O$482,2,0)*(HLOOKUP(AB$495,'2.2.Brecha Efectiva x UdM'!$H$86:$AK$92,2,0))+(VLOOKUP($A502,$A$4:$O$27,2,0)*(HLOOKUP(AB$495,'2.2.Brecha Efectiva x UdM'!$H$64:$AK$70,2,0))))</f>
        <v>0</v>
      </c>
      <c r="AC502" s="32">
        <f>(VLOOKUP($A502,$A$458:$O$482,2,0)*(HLOOKUP(AC$495,'2.2.Brecha Efectiva x UdM'!$H$86:$AK$92,2,0))+(VLOOKUP($A502,$A$4:$O$27,2,0)*(HLOOKUP(AC$495,'2.2.Brecha Efectiva x UdM'!$H$64:$AK$70,2,0))))</f>
        <v>0</v>
      </c>
      <c r="AD502" s="32">
        <f>(VLOOKUP($A502,$A$458:$O$482,2,0)*(HLOOKUP(AD$495,'2.2.Brecha Efectiva x UdM'!$H$86:$AK$92,2,0))+(VLOOKUP($A502,$A$4:$O$27,2,0)*(HLOOKUP(AD$495,'2.2.Brecha Efectiva x UdM'!$H$64:$AK$70,2,0))))</f>
        <v>0</v>
      </c>
      <c r="AE502" s="32">
        <f>(VLOOKUP($A502,$A$458:$O$482,2,0)*(HLOOKUP(AE$495,'2.2.Brecha Efectiva x UdM'!$H$86:$AK$92,2,0))+(VLOOKUP($A502,$A$4:$O$27,2,0)*(HLOOKUP(AE$495,'2.2.Brecha Efectiva x UdM'!$H$64:$AK$70,2,0))))</f>
        <v>0</v>
      </c>
      <c r="AF502" s="32">
        <f>(VLOOKUP($A502,$A$458:$O$482,2,0)*(HLOOKUP(AF$495,'2.2.Brecha Efectiva x UdM'!$H$86:$AK$92,2,0))+(VLOOKUP($A502,$A$4:$O$27,2,0)*(HLOOKUP(AF$495,'2.2.Brecha Efectiva x UdM'!$H$64:$AK$70,2,0))))</f>
        <v>0</v>
      </c>
      <c r="AG502" s="32">
        <f>(VLOOKUP($A502,$A$458:$O$482,2,0)*(HLOOKUP(AG$495,'2.2.Brecha Efectiva x UdM'!$H$86:$AK$92,2,0))+(VLOOKUP($A502,$A$4:$O$27,2,0)*(HLOOKUP(AG$495,'2.2.Brecha Efectiva x UdM'!$H$64:$AK$70,2,0))))</f>
        <v>0</v>
      </c>
      <c r="AH502" s="62">
        <f t="shared" si="472"/>
        <v>252843142.19613138</v>
      </c>
    </row>
    <row r="503" spans="1:34" x14ac:dyDescent="0.2">
      <c r="A503" s="26" t="str">
        <f t="shared" si="469"/>
        <v>Entre Ríos</v>
      </c>
      <c r="B503" s="52" t="str">
        <f t="shared" si="470"/>
        <v>Nombre UdM 1</v>
      </c>
      <c r="C503" s="26" t="str">
        <f t="shared" si="471"/>
        <v>Entre Ríos Nombre UdM 1</v>
      </c>
      <c r="D503" s="31">
        <f>(VLOOKUP($A503,$A$458:$O$482,2,0)*(HLOOKUP(D$495,'2.2.Brecha Efectiva x UdM'!$H$86:$AK$92,2,0))+(VLOOKUP($A503,$A$4:$O$27,2,0)*(HLOOKUP(D$495,'2.2.Brecha Efectiva x UdM'!$H$64:$AK$70,2,0))))</f>
        <v>107425352.35487449</v>
      </c>
      <c r="E503" s="31">
        <f>(VLOOKUP($A503,$A$458:$O$482,2,0)*(HLOOKUP(E$495,'2.2.Brecha Efectiva x UdM'!$H$86:$AK$92,2,0))+(VLOOKUP($A503,$A$4:$O$27,2,0)*(HLOOKUP(E$495,'2.2.Brecha Efectiva x UdM'!$H$64:$AK$70,2,0))))</f>
        <v>108209660.98816365</v>
      </c>
      <c r="F503" s="31">
        <f>(VLOOKUP($A503,$A$458:$O$482,2,0)*(HLOOKUP(F$495,'2.2.Brecha Efectiva x UdM'!$H$86:$AK$92,2,0))+(VLOOKUP($A503,$A$4:$O$27,2,0)*(HLOOKUP(F$495,'2.2.Brecha Efectiva x UdM'!$H$64:$AK$70,2,0))))</f>
        <v>67108881.563416094</v>
      </c>
      <c r="G503" s="31">
        <f>(VLOOKUP($A503,$A$458:$O$482,2,0)*(HLOOKUP(G$495,'2.2.Brecha Efectiva x UdM'!$H$86:$AK$92,2,0))+(VLOOKUP($A503,$A$4:$O$27,2,0)*(HLOOKUP(G$495,'2.2.Brecha Efectiva x UdM'!$H$64:$AK$70,2,0))))</f>
        <v>53163827.458522066</v>
      </c>
      <c r="H503" s="31">
        <f>(VLOOKUP($A503,$A$458:$O$482,2,0)*(HLOOKUP(H$495,'2.2.Brecha Efectiva x UdM'!$H$86:$AK$92,2,0))+(VLOOKUP($A503,$A$4:$O$27,2,0)*(HLOOKUP(H$495,'2.2.Brecha Efectiva x UdM'!$H$64:$AK$70,2,0))))</f>
        <v>28010962.887930755</v>
      </c>
      <c r="I503" s="31">
        <f>(VLOOKUP($A503,$A$458:$O$482,2,0)*(HLOOKUP(I$495,'2.2.Brecha Efectiva x UdM'!$H$86:$AK$92,2,0))+(VLOOKUP($A503,$A$4:$O$27,2,0)*(HLOOKUP(I$495,'2.2.Brecha Efectiva x UdM'!$H$64:$AK$70,2,0))))</f>
        <v>28197156.931588236</v>
      </c>
      <c r="J503" s="31">
        <f>(VLOOKUP($A503,$A$458:$O$482,2,0)*(HLOOKUP(J$495,'2.2.Brecha Efectiva x UdM'!$H$86:$AK$92,2,0))+(VLOOKUP($A503,$A$4:$O$27,2,0)*(HLOOKUP(J$495,'2.2.Brecha Efectiva x UdM'!$H$64:$AK$70,2,0))))</f>
        <v>28380067.671959132</v>
      </c>
      <c r="K503" s="31">
        <f>(VLOOKUP($A503,$A$458:$O$482,2,0)*(HLOOKUP(K$495,'2.2.Brecha Efectiva x UdM'!$H$86:$AK$92,2,0))+(VLOOKUP($A503,$A$4:$O$27,2,0)*(HLOOKUP(K$495,'2.2.Brecha Efectiva x UdM'!$H$64:$AK$70,2,0))))</f>
        <v>26348091.039715081</v>
      </c>
      <c r="L503" s="31">
        <f>(VLOOKUP($A503,$A$458:$O$482,2,0)*(HLOOKUP(L$495,'2.2.Brecha Efectiva x UdM'!$H$86:$AK$92,2,0))+(VLOOKUP($A503,$A$4:$O$27,2,0)*(HLOOKUP(L$495,'2.2.Brecha Efectiva x UdM'!$H$64:$AK$70,2,0))))</f>
        <v>26510964.277372599</v>
      </c>
      <c r="M503" s="31">
        <f>(VLOOKUP($A503,$A$458:$O$482,2,0)*(HLOOKUP(M$495,'2.2.Brecha Efectiva x UdM'!$H$86:$AK$92,2,0))+(VLOOKUP($A503,$A$4:$O$27,2,0)*(HLOOKUP(M$495,'2.2.Brecha Efectiva x UdM'!$H$64:$AK$70,2,0))))</f>
        <v>26670894.292165671</v>
      </c>
      <c r="N503" s="31">
        <f>(VLOOKUP($A503,$A$458:$O$482,2,0)*(HLOOKUP(N$495,'2.2.Brecha Efectiva x UdM'!$H$86:$AK$92,2,0))+(VLOOKUP($A503,$A$4:$O$27,2,0)*(HLOOKUP(N$495,'2.2.Brecha Efectiva x UdM'!$H$64:$AK$70,2,0))))</f>
        <v>0</v>
      </c>
      <c r="O503" s="31">
        <f>(VLOOKUP($A503,$A$458:$O$482,2,0)*(HLOOKUP(O$495,'2.2.Brecha Efectiva x UdM'!$H$86:$AK$92,2,0))+(VLOOKUP($A503,$A$4:$O$27,2,0)*(HLOOKUP(O$495,'2.2.Brecha Efectiva x UdM'!$H$64:$AK$70,2,0))))</f>
        <v>0</v>
      </c>
      <c r="P503" s="31">
        <f>(VLOOKUP($A503,$A$458:$O$482,2,0)*(HLOOKUP(P$495,'2.2.Brecha Efectiva x UdM'!$H$86:$AK$92,2,0))+(VLOOKUP($A503,$A$4:$O$27,2,0)*(HLOOKUP(P$495,'2.2.Brecha Efectiva x UdM'!$H$64:$AK$70,2,0))))</f>
        <v>0</v>
      </c>
      <c r="Q503" s="31">
        <f>(VLOOKUP($A503,$A$458:$O$482,2,0)*(HLOOKUP(Q$495,'2.2.Brecha Efectiva x UdM'!$H$86:$AK$92,2,0))+(VLOOKUP($A503,$A$4:$O$27,2,0)*(HLOOKUP(Q$495,'2.2.Brecha Efectiva x UdM'!$H$64:$AK$70,2,0))))</f>
        <v>0</v>
      </c>
      <c r="R503" s="31">
        <f>(VLOOKUP($A503,$A$458:$O$482,2,0)*(HLOOKUP(R$495,'2.2.Brecha Efectiva x UdM'!$H$86:$AK$92,2,0))+(VLOOKUP($A503,$A$4:$O$27,2,0)*(HLOOKUP(R$495,'2.2.Brecha Efectiva x UdM'!$H$64:$AK$70,2,0))))</f>
        <v>0</v>
      </c>
      <c r="S503" s="31">
        <f>(VLOOKUP($A503,$A$458:$O$482,2,0)*(HLOOKUP(S$495,'2.2.Brecha Efectiva x UdM'!$H$86:$AK$92,2,0))+(VLOOKUP($A503,$A$4:$O$27,2,0)*(HLOOKUP(S$495,'2.2.Brecha Efectiva x UdM'!$H$64:$AK$70,2,0))))</f>
        <v>0</v>
      </c>
      <c r="T503" s="31">
        <f>(VLOOKUP($A503,$A$458:$O$482,2,0)*(HLOOKUP(T$495,'2.2.Brecha Efectiva x UdM'!$H$86:$AK$92,2,0))+(VLOOKUP($A503,$A$4:$O$27,2,0)*(HLOOKUP(T$495,'2.2.Brecha Efectiva x UdM'!$H$64:$AK$70,2,0))))</f>
        <v>0</v>
      </c>
      <c r="U503" s="31">
        <f>(VLOOKUP($A503,$A$458:$O$482,2,0)*(HLOOKUP(U$495,'2.2.Brecha Efectiva x UdM'!$H$86:$AK$92,2,0))+(VLOOKUP($A503,$A$4:$O$27,2,0)*(HLOOKUP(U$495,'2.2.Brecha Efectiva x UdM'!$H$64:$AK$70,2,0))))</f>
        <v>0</v>
      </c>
      <c r="V503" s="31">
        <f>(VLOOKUP($A503,$A$458:$O$482,2,0)*(HLOOKUP(V$495,'2.2.Brecha Efectiva x UdM'!$H$86:$AK$92,2,0))+(VLOOKUP($A503,$A$4:$O$27,2,0)*(HLOOKUP(V$495,'2.2.Brecha Efectiva x UdM'!$H$64:$AK$70,2,0))))</f>
        <v>0</v>
      </c>
      <c r="W503" s="31">
        <f>(VLOOKUP($A503,$A$458:$O$482,2,0)*(HLOOKUP(W$495,'2.2.Brecha Efectiva x UdM'!$H$86:$AK$92,2,0))+(VLOOKUP($A503,$A$4:$O$27,2,0)*(HLOOKUP(W$495,'2.2.Brecha Efectiva x UdM'!$H$64:$AK$70,2,0))))</f>
        <v>0</v>
      </c>
      <c r="X503" s="31">
        <f>(VLOOKUP($A503,$A$458:$O$482,2,0)*(HLOOKUP(X$495,'2.2.Brecha Efectiva x UdM'!$H$86:$AK$92,2,0))+(VLOOKUP($A503,$A$4:$O$27,2,0)*(HLOOKUP(X$495,'2.2.Brecha Efectiva x UdM'!$H$64:$AK$70,2,0))))</f>
        <v>0</v>
      </c>
      <c r="Y503" s="31">
        <f>(VLOOKUP($A503,$A$458:$O$482,2,0)*(HLOOKUP(Y$495,'2.2.Brecha Efectiva x UdM'!$H$86:$AK$92,2,0))+(VLOOKUP($A503,$A$4:$O$27,2,0)*(HLOOKUP(Y$495,'2.2.Brecha Efectiva x UdM'!$H$64:$AK$70,2,0))))</f>
        <v>0</v>
      </c>
      <c r="Z503" s="31">
        <f>(VLOOKUP($A503,$A$458:$O$482,2,0)*(HLOOKUP(Z$495,'2.2.Brecha Efectiva x UdM'!$H$86:$AK$92,2,0))+(VLOOKUP($A503,$A$4:$O$27,2,0)*(HLOOKUP(Z$495,'2.2.Brecha Efectiva x UdM'!$H$64:$AK$70,2,0))))</f>
        <v>0</v>
      </c>
      <c r="AA503" s="31">
        <f>(VLOOKUP($A503,$A$458:$O$482,2,0)*(HLOOKUP(AA$495,'2.2.Brecha Efectiva x UdM'!$H$86:$AK$92,2,0))+(VLOOKUP($A503,$A$4:$O$27,2,0)*(HLOOKUP(AA$495,'2.2.Brecha Efectiva x UdM'!$H$64:$AK$70,2,0))))</f>
        <v>0</v>
      </c>
      <c r="AB503" s="31">
        <f>(VLOOKUP($A503,$A$458:$O$482,2,0)*(HLOOKUP(AB$495,'2.2.Brecha Efectiva x UdM'!$H$86:$AK$92,2,0))+(VLOOKUP($A503,$A$4:$O$27,2,0)*(HLOOKUP(AB$495,'2.2.Brecha Efectiva x UdM'!$H$64:$AK$70,2,0))))</f>
        <v>0</v>
      </c>
      <c r="AC503" s="31">
        <f>(VLOOKUP($A503,$A$458:$O$482,2,0)*(HLOOKUP(AC$495,'2.2.Brecha Efectiva x UdM'!$H$86:$AK$92,2,0))+(VLOOKUP($A503,$A$4:$O$27,2,0)*(HLOOKUP(AC$495,'2.2.Brecha Efectiva x UdM'!$H$64:$AK$70,2,0))))</f>
        <v>0</v>
      </c>
      <c r="AD503" s="31">
        <f>(VLOOKUP($A503,$A$458:$O$482,2,0)*(HLOOKUP(AD$495,'2.2.Brecha Efectiva x UdM'!$H$86:$AK$92,2,0))+(VLOOKUP($A503,$A$4:$O$27,2,0)*(HLOOKUP(AD$495,'2.2.Brecha Efectiva x UdM'!$H$64:$AK$70,2,0))))</f>
        <v>0</v>
      </c>
      <c r="AE503" s="31">
        <f>(VLOOKUP($A503,$A$458:$O$482,2,0)*(HLOOKUP(AE$495,'2.2.Brecha Efectiva x UdM'!$H$86:$AK$92,2,0))+(VLOOKUP($A503,$A$4:$O$27,2,0)*(HLOOKUP(AE$495,'2.2.Brecha Efectiva x UdM'!$H$64:$AK$70,2,0))))</f>
        <v>0</v>
      </c>
      <c r="AF503" s="31">
        <f>(VLOOKUP($A503,$A$458:$O$482,2,0)*(HLOOKUP(AF$495,'2.2.Brecha Efectiva x UdM'!$H$86:$AK$92,2,0))+(VLOOKUP($A503,$A$4:$O$27,2,0)*(HLOOKUP(AF$495,'2.2.Brecha Efectiva x UdM'!$H$64:$AK$70,2,0))))</f>
        <v>0</v>
      </c>
      <c r="AG503" s="31">
        <f>(VLOOKUP($A503,$A$458:$O$482,2,0)*(HLOOKUP(AG$495,'2.2.Brecha Efectiva x UdM'!$H$86:$AK$92,2,0))+(VLOOKUP($A503,$A$4:$O$27,2,0)*(HLOOKUP(AG$495,'2.2.Brecha Efectiva x UdM'!$H$64:$AK$70,2,0))))</f>
        <v>0</v>
      </c>
      <c r="AH503" s="63">
        <f t="shared" si="472"/>
        <v>500025859.46570772</v>
      </c>
    </row>
    <row r="504" spans="1:34" x14ac:dyDescent="0.2">
      <c r="A504" s="25" t="str">
        <f t="shared" si="469"/>
        <v>Formosa</v>
      </c>
      <c r="B504" s="51" t="str">
        <f t="shared" si="470"/>
        <v>Nombre UdM 1</v>
      </c>
      <c r="C504" s="25" t="str">
        <f t="shared" si="471"/>
        <v>Formosa Nombre UdM 1</v>
      </c>
      <c r="D504" s="32">
        <f>(VLOOKUP($A504,$A$458:$O$482,2,0)*(HLOOKUP(D$495,'2.2.Brecha Efectiva x UdM'!$H$86:$AK$92,2,0))+(VLOOKUP($A504,$A$4:$O$27,2,0)*(HLOOKUP(D$495,'2.2.Brecha Efectiva x UdM'!$H$64:$AK$70,2,0))))</f>
        <v>43456574.297907211</v>
      </c>
      <c r="E504" s="32">
        <f>(VLOOKUP($A504,$A$458:$O$482,2,0)*(HLOOKUP(E$495,'2.2.Brecha Efectiva x UdM'!$H$86:$AK$92,2,0))+(VLOOKUP($A504,$A$4:$O$27,2,0)*(HLOOKUP(E$495,'2.2.Brecha Efectiva x UdM'!$H$64:$AK$70,2,0))))</f>
        <v>43773849.183656968</v>
      </c>
      <c r="F504" s="32">
        <f>(VLOOKUP($A504,$A$458:$O$482,2,0)*(HLOOKUP(F$495,'2.2.Brecha Efectiva x UdM'!$H$86:$AK$92,2,0))+(VLOOKUP($A504,$A$4:$O$27,2,0)*(HLOOKUP(F$495,'2.2.Brecha Efectiva x UdM'!$H$64:$AK$70,2,0))))</f>
        <v>27147428.738014437</v>
      </c>
      <c r="G504" s="32">
        <f>(VLOOKUP($A504,$A$458:$O$482,2,0)*(HLOOKUP(G$495,'2.2.Brecha Efectiva x UdM'!$H$86:$AK$92,2,0))+(VLOOKUP($A504,$A$4:$O$27,2,0)*(HLOOKUP(G$495,'2.2.Brecha Efectiva x UdM'!$H$64:$AK$70,2,0))))</f>
        <v>21506262.416346192</v>
      </c>
      <c r="H504" s="32">
        <f>(VLOOKUP($A504,$A$458:$O$482,2,0)*(HLOOKUP(H$495,'2.2.Brecha Efectiva x UdM'!$H$86:$AK$92,2,0))+(VLOOKUP($A504,$A$4:$O$27,2,0)*(HLOOKUP(H$495,'2.2.Brecha Efectiva x UdM'!$H$64:$AK$70,2,0))))</f>
        <v>11331221.757356893</v>
      </c>
      <c r="I504" s="32">
        <f>(VLOOKUP($A504,$A$458:$O$482,2,0)*(HLOOKUP(I$495,'2.2.Brecha Efectiva x UdM'!$H$86:$AK$92,2,0))+(VLOOKUP($A504,$A$4:$O$27,2,0)*(HLOOKUP(I$495,'2.2.Brecha Efectiva x UdM'!$H$64:$AK$70,2,0))))</f>
        <v>11406542.481140045</v>
      </c>
      <c r="J504" s="32">
        <f>(VLOOKUP($A504,$A$458:$O$482,2,0)*(HLOOKUP(J$495,'2.2.Brecha Efectiva x UdM'!$H$86:$AK$92,2,0))+(VLOOKUP($A504,$A$4:$O$27,2,0)*(HLOOKUP(J$495,'2.2.Brecha Efectiva x UdM'!$H$64:$AK$70,2,0))))</f>
        <v>11480535.016464062</v>
      </c>
      <c r="K504" s="32">
        <f>(VLOOKUP($A504,$A$458:$O$482,2,0)*(HLOOKUP(K$495,'2.2.Brecha Efectiva x UdM'!$H$86:$AK$92,2,0))+(VLOOKUP($A504,$A$4:$O$27,2,0)*(HLOOKUP(K$495,'2.2.Brecha Efectiva x UdM'!$H$64:$AK$70,2,0))))</f>
        <v>10658543.358489128</v>
      </c>
      <c r="L504" s="32">
        <f>(VLOOKUP($A504,$A$458:$O$482,2,0)*(HLOOKUP(L$495,'2.2.Brecha Efectiva x UdM'!$H$86:$AK$92,2,0))+(VLOOKUP($A504,$A$4:$O$27,2,0)*(HLOOKUP(L$495,'2.2.Brecha Efectiva x UdM'!$H$64:$AK$70,2,0))))</f>
        <v>10724430.160796491</v>
      </c>
      <c r="M504" s="32">
        <f>(VLOOKUP($A504,$A$458:$O$482,2,0)*(HLOOKUP(M$495,'2.2.Brecha Efectiva x UdM'!$H$86:$AK$92,2,0))+(VLOOKUP($A504,$A$4:$O$27,2,0)*(HLOOKUP(M$495,'2.2.Brecha Efectiva x UdM'!$H$64:$AK$70,2,0))))</f>
        <v>10789126.346733695</v>
      </c>
      <c r="N504" s="32">
        <f>(VLOOKUP($A504,$A$458:$O$482,2,0)*(HLOOKUP(N$495,'2.2.Brecha Efectiva x UdM'!$H$86:$AK$92,2,0))+(VLOOKUP($A504,$A$4:$O$27,2,0)*(HLOOKUP(N$495,'2.2.Brecha Efectiva x UdM'!$H$64:$AK$70,2,0))))</f>
        <v>0</v>
      </c>
      <c r="O504" s="32">
        <f>(VLOOKUP($A504,$A$458:$O$482,2,0)*(HLOOKUP(O$495,'2.2.Brecha Efectiva x UdM'!$H$86:$AK$92,2,0))+(VLOOKUP($A504,$A$4:$O$27,2,0)*(HLOOKUP(O$495,'2.2.Brecha Efectiva x UdM'!$H$64:$AK$70,2,0))))</f>
        <v>0</v>
      </c>
      <c r="P504" s="32">
        <f>(VLOOKUP($A504,$A$458:$O$482,2,0)*(HLOOKUP(P$495,'2.2.Brecha Efectiva x UdM'!$H$86:$AK$92,2,0))+(VLOOKUP($A504,$A$4:$O$27,2,0)*(HLOOKUP(P$495,'2.2.Brecha Efectiva x UdM'!$H$64:$AK$70,2,0))))</f>
        <v>0</v>
      </c>
      <c r="Q504" s="32">
        <f>(VLOOKUP($A504,$A$458:$O$482,2,0)*(HLOOKUP(Q$495,'2.2.Brecha Efectiva x UdM'!$H$86:$AK$92,2,0))+(VLOOKUP($A504,$A$4:$O$27,2,0)*(HLOOKUP(Q$495,'2.2.Brecha Efectiva x UdM'!$H$64:$AK$70,2,0))))</f>
        <v>0</v>
      </c>
      <c r="R504" s="32">
        <f>(VLOOKUP($A504,$A$458:$O$482,2,0)*(HLOOKUP(R$495,'2.2.Brecha Efectiva x UdM'!$H$86:$AK$92,2,0))+(VLOOKUP($A504,$A$4:$O$27,2,0)*(HLOOKUP(R$495,'2.2.Brecha Efectiva x UdM'!$H$64:$AK$70,2,0))))</f>
        <v>0</v>
      </c>
      <c r="S504" s="32">
        <f>(VLOOKUP($A504,$A$458:$O$482,2,0)*(HLOOKUP(S$495,'2.2.Brecha Efectiva x UdM'!$H$86:$AK$92,2,0))+(VLOOKUP($A504,$A$4:$O$27,2,0)*(HLOOKUP(S$495,'2.2.Brecha Efectiva x UdM'!$H$64:$AK$70,2,0))))</f>
        <v>0</v>
      </c>
      <c r="T504" s="32">
        <f>(VLOOKUP($A504,$A$458:$O$482,2,0)*(HLOOKUP(T$495,'2.2.Brecha Efectiva x UdM'!$H$86:$AK$92,2,0))+(VLOOKUP($A504,$A$4:$O$27,2,0)*(HLOOKUP(T$495,'2.2.Brecha Efectiva x UdM'!$H$64:$AK$70,2,0))))</f>
        <v>0</v>
      </c>
      <c r="U504" s="32">
        <f>(VLOOKUP($A504,$A$458:$O$482,2,0)*(HLOOKUP(U$495,'2.2.Brecha Efectiva x UdM'!$H$86:$AK$92,2,0))+(VLOOKUP($A504,$A$4:$O$27,2,0)*(HLOOKUP(U$495,'2.2.Brecha Efectiva x UdM'!$H$64:$AK$70,2,0))))</f>
        <v>0</v>
      </c>
      <c r="V504" s="32">
        <f>(VLOOKUP($A504,$A$458:$O$482,2,0)*(HLOOKUP(V$495,'2.2.Brecha Efectiva x UdM'!$H$86:$AK$92,2,0))+(VLOOKUP($A504,$A$4:$O$27,2,0)*(HLOOKUP(V$495,'2.2.Brecha Efectiva x UdM'!$H$64:$AK$70,2,0))))</f>
        <v>0</v>
      </c>
      <c r="W504" s="32">
        <f>(VLOOKUP($A504,$A$458:$O$482,2,0)*(HLOOKUP(W$495,'2.2.Brecha Efectiva x UdM'!$H$86:$AK$92,2,0))+(VLOOKUP($A504,$A$4:$O$27,2,0)*(HLOOKUP(W$495,'2.2.Brecha Efectiva x UdM'!$H$64:$AK$70,2,0))))</f>
        <v>0</v>
      </c>
      <c r="X504" s="32">
        <f>(VLOOKUP($A504,$A$458:$O$482,2,0)*(HLOOKUP(X$495,'2.2.Brecha Efectiva x UdM'!$H$86:$AK$92,2,0))+(VLOOKUP($A504,$A$4:$O$27,2,0)*(HLOOKUP(X$495,'2.2.Brecha Efectiva x UdM'!$H$64:$AK$70,2,0))))</f>
        <v>0</v>
      </c>
      <c r="Y504" s="32">
        <f>(VLOOKUP($A504,$A$458:$O$482,2,0)*(HLOOKUP(Y$495,'2.2.Brecha Efectiva x UdM'!$H$86:$AK$92,2,0))+(VLOOKUP($A504,$A$4:$O$27,2,0)*(HLOOKUP(Y$495,'2.2.Brecha Efectiva x UdM'!$H$64:$AK$70,2,0))))</f>
        <v>0</v>
      </c>
      <c r="Z504" s="32">
        <f>(VLOOKUP($A504,$A$458:$O$482,2,0)*(HLOOKUP(Z$495,'2.2.Brecha Efectiva x UdM'!$H$86:$AK$92,2,0))+(VLOOKUP($A504,$A$4:$O$27,2,0)*(HLOOKUP(Z$495,'2.2.Brecha Efectiva x UdM'!$H$64:$AK$70,2,0))))</f>
        <v>0</v>
      </c>
      <c r="AA504" s="32">
        <f>(VLOOKUP($A504,$A$458:$O$482,2,0)*(HLOOKUP(AA$495,'2.2.Brecha Efectiva x UdM'!$H$86:$AK$92,2,0))+(VLOOKUP($A504,$A$4:$O$27,2,0)*(HLOOKUP(AA$495,'2.2.Brecha Efectiva x UdM'!$H$64:$AK$70,2,0))))</f>
        <v>0</v>
      </c>
      <c r="AB504" s="32">
        <f>(VLOOKUP($A504,$A$458:$O$482,2,0)*(HLOOKUP(AB$495,'2.2.Brecha Efectiva x UdM'!$H$86:$AK$92,2,0))+(VLOOKUP($A504,$A$4:$O$27,2,0)*(HLOOKUP(AB$495,'2.2.Brecha Efectiva x UdM'!$H$64:$AK$70,2,0))))</f>
        <v>0</v>
      </c>
      <c r="AC504" s="32">
        <f>(VLOOKUP($A504,$A$458:$O$482,2,0)*(HLOOKUP(AC$495,'2.2.Brecha Efectiva x UdM'!$H$86:$AK$92,2,0))+(VLOOKUP($A504,$A$4:$O$27,2,0)*(HLOOKUP(AC$495,'2.2.Brecha Efectiva x UdM'!$H$64:$AK$70,2,0))))</f>
        <v>0</v>
      </c>
      <c r="AD504" s="32">
        <f>(VLOOKUP($A504,$A$458:$O$482,2,0)*(HLOOKUP(AD$495,'2.2.Brecha Efectiva x UdM'!$H$86:$AK$92,2,0))+(VLOOKUP($A504,$A$4:$O$27,2,0)*(HLOOKUP(AD$495,'2.2.Brecha Efectiva x UdM'!$H$64:$AK$70,2,0))))</f>
        <v>0</v>
      </c>
      <c r="AE504" s="32">
        <f>(VLOOKUP($A504,$A$458:$O$482,2,0)*(HLOOKUP(AE$495,'2.2.Brecha Efectiva x UdM'!$H$86:$AK$92,2,0))+(VLOOKUP($A504,$A$4:$O$27,2,0)*(HLOOKUP(AE$495,'2.2.Brecha Efectiva x UdM'!$H$64:$AK$70,2,0))))</f>
        <v>0</v>
      </c>
      <c r="AF504" s="32">
        <f>(VLOOKUP($A504,$A$458:$O$482,2,0)*(HLOOKUP(AF$495,'2.2.Brecha Efectiva x UdM'!$H$86:$AK$92,2,0))+(VLOOKUP($A504,$A$4:$O$27,2,0)*(HLOOKUP(AF$495,'2.2.Brecha Efectiva x UdM'!$H$64:$AK$70,2,0))))</f>
        <v>0</v>
      </c>
      <c r="AG504" s="32">
        <f>(VLOOKUP($A504,$A$458:$O$482,2,0)*(HLOOKUP(AG$495,'2.2.Brecha Efectiva x UdM'!$H$86:$AK$92,2,0))+(VLOOKUP($A504,$A$4:$O$27,2,0)*(HLOOKUP(AG$495,'2.2.Brecha Efectiva x UdM'!$H$64:$AK$70,2,0))))</f>
        <v>0</v>
      </c>
      <c r="AH504" s="62">
        <f t="shared" si="472"/>
        <v>202274513.75690511</v>
      </c>
    </row>
    <row r="505" spans="1:34" x14ac:dyDescent="0.2">
      <c r="A505" s="26" t="str">
        <f t="shared" si="469"/>
        <v>Jujuy</v>
      </c>
      <c r="B505" s="52" t="str">
        <f t="shared" si="470"/>
        <v>Nombre UdM 1</v>
      </c>
      <c r="C505" s="26" t="str">
        <f t="shared" si="471"/>
        <v>Jujuy Nombre UdM 1</v>
      </c>
      <c r="D505" s="31">
        <f>(VLOOKUP($A505,$A$458:$O$482,2,0)*(HLOOKUP(D$495,'2.2.Brecha Efectiva x UdM'!$H$86:$AK$92,2,0))+(VLOOKUP($A505,$A$4:$O$27,2,0)*(HLOOKUP(D$495,'2.2.Brecha Efectiva x UdM'!$H$64:$AK$70,2,0))))</f>
        <v>52994320.754361421</v>
      </c>
      <c r="E505" s="31">
        <f>(VLOOKUP($A505,$A$458:$O$482,2,0)*(HLOOKUP(E$495,'2.2.Brecha Efectiva x UdM'!$H$86:$AK$92,2,0))+(VLOOKUP($A505,$A$4:$O$27,2,0)*(HLOOKUP(E$495,'2.2.Brecha Efectiva x UdM'!$H$64:$AK$70,2,0))))</f>
        <v>53381230.38390246</v>
      </c>
      <c r="F505" s="31">
        <f>(VLOOKUP($A505,$A$458:$O$482,2,0)*(HLOOKUP(F$495,'2.2.Brecha Efectiva x UdM'!$H$86:$AK$92,2,0))+(VLOOKUP($A505,$A$4:$O$27,2,0)*(HLOOKUP(F$495,'2.2.Brecha Efectiva x UdM'!$H$64:$AK$70,2,0))))</f>
        <v>33105682.383891664</v>
      </c>
      <c r="G505" s="31">
        <f>(VLOOKUP($A505,$A$458:$O$482,2,0)*(HLOOKUP(G$495,'2.2.Brecha Efectiva x UdM'!$H$86:$AK$92,2,0))+(VLOOKUP($A505,$A$4:$O$27,2,0)*(HLOOKUP(G$495,'2.2.Brecha Efectiva x UdM'!$H$64:$AK$70,2,0))))</f>
        <v>26226406.179794163</v>
      </c>
      <c r="H505" s="31">
        <f>(VLOOKUP($A505,$A$458:$O$482,2,0)*(HLOOKUP(H$495,'2.2.Brecha Efectiva x UdM'!$H$86:$AK$92,2,0))+(VLOOKUP($A505,$A$4:$O$27,2,0)*(HLOOKUP(H$495,'2.2.Brecha Efectiva x UdM'!$H$64:$AK$70,2,0))))</f>
        <v>13818171.589680243</v>
      </c>
      <c r="I505" s="31">
        <f>(VLOOKUP($A505,$A$458:$O$482,2,0)*(HLOOKUP(I$495,'2.2.Brecha Efectiva x UdM'!$H$86:$AK$92,2,0))+(VLOOKUP($A505,$A$4:$O$27,2,0)*(HLOOKUP(I$495,'2.2.Brecha Efectiva x UdM'!$H$64:$AK$70,2,0))))</f>
        <v>13910023.528313316</v>
      </c>
      <c r="J505" s="31">
        <f>(VLOOKUP($A505,$A$458:$O$482,2,0)*(HLOOKUP(J$495,'2.2.Brecha Efectiva x UdM'!$H$86:$AK$92,2,0))+(VLOOKUP($A505,$A$4:$O$27,2,0)*(HLOOKUP(J$495,'2.2.Brecha Efectiva x UdM'!$H$64:$AK$70,2,0))))</f>
        <v>14000255.77081611</v>
      </c>
      <c r="K505" s="31">
        <f>(VLOOKUP($A505,$A$458:$O$482,2,0)*(HLOOKUP(K$495,'2.2.Brecha Efectiva x UdM'!$H$86:$AK$92,2,0))+(VLOOKUP($A505,$A$4:$O$27,2,0)*(HLOOKUP(K$495,'2.2.Brecha Efectiva x UdM'!$H$64:$AK$70,2,0))))</f>
        <v>12997855.322002294</v>
      </c>
      <c r="L505" s="31">
        <f>(VLOOKUP($A505,$A$458:$O$482,2,0)*(HLOOKUP(L$495,'2.2.Brecha Efectiva x UdM'!$H$86:$AK$92,2,0))+(VLOOKUP($A505,$A$4:$O$27,2,0)*(HLOOKUP(L$495,'2.2.Brecha Efectiva x UdM'!$H$64:$AK$70,2,0))))</f>
        <v>13078202.804319229</v>
      </c>
      <c r="M505" s="31">
        <f>(VLOOKUP($A505,$A$458:$O$482,2,0)*(HLOOKUP(M$495,'2.2.Brecha Efectiva x UdM'!$H$86:$AK$92,2,0))+(VLOOKUP($A505,$A$4:$O$27,2,0)*(HLOOKUP(M$495,'2.2.Brecha Efectiva x UdM'!$H$64:$AK$70,2,0))))</f>
        <v>13157098.356592549</v>
      </c>
      <c r="N505" s="31">
        <f>(VLOOKUP($A505,$A$458:$O$482,2,0)*(HLOOKUP(N$495,'2.2.Brecha Efectiva x UdM'!$H$86:$AK$92,2,0))+(VLOOKUP($A505,$A$4:$O$27,2,0)*(HLOOKUP(N$495,'2.2.Brecha Efectiva x UdM'!$H$64:$AK$70,2,0))))</f>
        <v>0</v>
      </c>
      <c r="O505" s="31">
        <f>(VLOOKUP($A505,$A$458:$O$482,2,0)*(HLOOKUP(O$495,'2.2.Brecha Efectiva x UdM'!$H$86:$AK$92,2,0))+(VLOOKUP($A505,$A$4:$O$27,2,0)*(HLOOKUP(O$495,'2.2.Brecha Efectiva x UdM'!$H$64:$AK$70,2,0))))</f>
        <v>0</v>
      </c>
      <c r="P505" s="31">
        <f>(VLOOKUP($A505,$A$458:$O$482,2,0)*(HLOOKUP(P$495,'2.2.Brecha Efectiva x UdM'!$H$86:$AK$92,2,0))+(VLOOKUP($A505,$A$4:$O$27,2,0)*(HLOOKUP(P$495,'2.2.Brecha Efectiva x UdM'!$H$64:$AK$70,2,0))))</f>
        <v>0</v>
      </c>
      <c r="Q505" s="31">
        <f>(VLOOKUP($A505,$A$458:$O$482,2,0)*(HLOOKUP(Q$495,'2.2.Brecha Efectiva x UdM'!$H$86:$AK$92,2,0))+(VLOOKUP($A505,$A$4:$O$27,2,0)*(HLOOKUP(Q$495,'2.2.Brecha Efectiva x UdM'!$H$64:$AK$70,2,0))))</f>
        <v>0</v>
      </c>
      <c r="R505" s="31">
        <f>(VLOOKUP($A505,$A$458:$O$482,2,0)*(HLOOKUP(R$495,'2.2.Brecha Efectiva x UdM'!$H$86:$AK$92,2,0))+(VLOOKUP($A505,$A$4:$O$27,2,0)*(HLOOKUP(R$495,'2.2.Brecha Efectiva x UdM'!$H$64:$AK$70,2,0))))</f>
        <v>0</v>
      </c>
      <c r="S505" s="31">
        <f>(VLOOKUP($A505,$A$458:$O$482,2,0)*(HLOOKUP(S$495,'2.2.Brecha Efectiva x UdM'!$H$86:$AK$92,2,0))+(VLOOKUP($A505,$A$4:$O$27,2,0)*(HLOOKUP(S$495,'2.2.Brecha Efectiva x UdM'!$H$64:$AK$70,2,0))))</f>
        <v>0</v>
      </c>
      <c r="T505" s="31">
        <f>(VLOOKUP($A505,$A$458:$O$482,2,0)*(HLOOKUP(T$495,'2.2.Brecha Efectiva x UdM'!$H$86:$AK$92,2,0))+(VLOOKUP($A505,$A$4:$O$27,2,0)*(HLOOKUP(T$495,'2.2.Brecha Efectiva x UdM'!$H$64:$AK$70,2,0))))</f>
        <v>0</v>
      </c>
      <c r="U505" s="31">
        <f>(VLOOKUP($A505,$A$458:$O$482,2,0)*(HLOOKUP(U$495,'2.2.Brecha Efectiva x UdM'!$H$86:$AK$92,2,0))+(VLOOKUP($A505,$A$4:$O$27,2,0)*(HLOOKUP(U$495,'2.2.Brecha Efectiva x UdM'!$H$64:$AK$70,2,0))))</f>
        <v>0</v>
      </c>
      <c r="V505" s="31">
        <f>(VLOOKUP($A505,$A$458:$O$482,2,0)*(HLOOKUP(V$495,'2.2.Brecha Efectiva x UdM'!$H$86:$AK$92,2,0))+(VLOOKUP($A505,$A$4:$O$27,2,0)*(HLOOKUP(V$495,'2.2.Brecha Efectiva x UdM'!$H$64:$AK$70,2,0))))</f>
        <v>0</v>
      </c>
      <c r="W505" s="31">
        <f>(VLOOKUP($A505,$A$458:$O$482,2,0)*(HLOOKUP(W$495,'2.2.Brecha Efectiva x UdM'!$H$86:$AK$92,2,0))+(VLOOKUP($A505,$A$4:$O$27,2,0)*(HLOOKUP(W$495,'2.2.Brecha Efectiva x UdM'!$H$64:$AK$70,2,0))))</f>
        <v>0</v>
      </c>
      <c r="X505" s="31">
        <f>(VLOOKUP($A505,$A$458:$O$482,2,0)*(HLOOKUP(X$495,'2.2.Brecha Efectiva x UdM'!$H$86:$AK$92,2,0))+(VLOOKUP($A505,$A$4:$O$27,2,0)*(HLOOKUP(X$495,'2.2.Brecha Efectiva x UdM'!$H$64:$AK$70,2,0))))</f>
        <v>0</v>
      </c>
      <c r="Y505" s="31">
        <f>(VLOOKUP($A505,$A$458:$O$482,2,0)*(HLOOKUP(Y$495,'2.2.Brecha Efectiva x UdM'!$H$86:$AK$92,2,0))+(VLOOKUP($A505,$A$4:$O$27,2,0)*(HLOOKUP(Y$495,'2.2.Brecha Efectiva x UdM'!$H$64:$AK$70,2,0))))</f>
        <v>0</v>
      </c>
      <c r="Z505" s="31">
        <f>(VLOOKUP($A505,$A$458:$O$482,2,0)*(HLOOKUP(Z$495,'2.2.Brecha Efectiva x UdM'!$H$86:$AK$92,2,0))+(VLOOKUP($A505,$A$4:$O$27,2,0)*(HLOOKUP(Z$495,'2.2.Brecha Efectiva x UdM'!$H$64:$AK$70,2,0))))</f>
        <v>0</v>
      </c>
      <c r="AA505" s="31">
        <f>(VLOOKUP($A505,$A$458:$O$482,2,0)*(HLOOKUP(AA$495,'2.2.Brecha Efectiva x UdM'!$H$86:$AK$92,2,0))+(VLOOKUP($A505,$A$4:$O$27,2,0)*(HLOOKUP(AA$495,'2.2.Brecha Efectiva x UdM'!$H$64:$AK$70,2,0))))</f>
        <v>0</v>
      </c>
      <c r="AB505" s="31">
        <f>(VLOOKUP($A505,$A$458:$O$482,2,0)*(HLOOKUP(AB$495,'2.2.Brecha Efectiva x UdM'!$H$86:$AK$92,2,0))+(VLOOKUP($A505,$A$4:$O$27,2,0)*(HLOOKUP(AB$495,'2.2.Brecha Efectiva x UdM'!$H$64:$AK$70,2,0))))</f>
        <v>0</v>
      </c>
      <c r="AC505" s="31">
        <f>(VLOOKUP($A505,$A$458:$O$482,2,0)*(HLOOKUP(AC$495,'2.2.Brecha Efectiva x UdM'!$H$86:$AK$92,2,0))+(VLOOKUP($A505,$A$4:$O$27,2,0)*(HLOOKUP(AC$495,'2.2.Brecha Efectiva x UdM'!$H$64:$AK$70,2,0))))</f>
        <v>0</v>
      </c>
      <c r="AD505" s="31">
        <f>(VLOOKUP($A505,$A$458:$O$482,2,0)*(HLOOKUP(AD$495,'2.2.Brecha Efectiva x UdM'!$H$86:$AK$92,2,0))+(VLOOKUP($A505,$A$4:$O$27,2,0)*(HLOOKUP(AD$495,'2.2.Brecha Efectiva x UdM'!$H$64:$AK$70,2,0))))</f>
        <v>0</v>
      </c>
      <c r="AE505" s="31">
        <f>(VLOOKUP($A505,$A$458:$O$482,2,0)*(HLOOKUP(AE$495,'2.2.Brecha Efectiva x UdM'!$H$86:$AK$92,2,0))+(VLOOKUP($A505,$A$4:$O$27,2,0)*(HLOOKUP(AE$495,'2.2.Brecha Efectiva x UdM'!$H$64:$AK$70,2,0))))</f>
        <v>0</v>
      </c>
      <c r="AF505" s="31">
        <f>(VLOOKUP($A505,$A$458:$O$482,2,0)*(HLOOKUP(AF$495,'2.2.Brecha Efectiva x UdM'!$H$86:$AK$92,2,0))+(VLOOKUP($A505,$A$4:$O$27,2,0)*(HLOOKUP(AF$495,'2.2.Brecha Efectiva x UdM'!$H$64:$AK$70,2,0))))</f>
        <v>0</v>
      </c>
      <c r="AG505" s="31">
        <f>(VLOOKUP($A505,$A$458:$O$482,2,0)*(HLOOKUP(AG$495,'2.2.Brecha Efectiva x UdM'!$H$86:$AK$92,2,0))+(VLOOKUP($A505,$A$4:$O$27,2,0)*(HLOOKUP(AG$495,'2.2.Brecha Efectiva x UdM'!$H$64:$AK$70,2,0))))</f>
        <v>0</v>
      </c>
      <c r="AH505" s="63">
        <f t="shared" si="472"/>
        <v>246669247.07367346</v>
      </c>
    </row>
    <row r="506" spans="1:34" x14ac:dyDescent="0.2">
      <c r="A506" s="25" t="str">
        <f t="shared" si="469"/>
        <v>La Pampa</v>
      </c>
      <c r="B506" s="51" t="str">
        <f t="shared" si="470"/>
        <v>Nombre UdM 1</v>
      </c>
      <c r="C506" s="25" t="str">
        <f t="shared" si="471"/>
        <v>La Pampa Nombre UdM 1</v>
      </c>
      <c r="D506" s="32">
        <f>(VLOOKUP($A506,$A$458:$O$482,2,0)*(HLOOKUP(D$495,'2.2.Brecha Efectiva x UdM'!$H$86:$AK$92,2,0))+(VLOOKUP($A506,$A$4:$O$27,2,0)*(HLOOKUP(D$495,'2.2.Brecha Efectiva x UdM'!$H$64:$AK$70,2,0))))</f>
        <v>264000688.90817574</v>
      </c>
      <c r="E506" s="32">
        <f>(VLOOKUP($A506,$A$458:$O$482,2,0)*(HLOOKUP(E$495,'2.2.Brecha Efectiva x UdM'!$H$86:$AK$92,2,0))+(VLOOKUP($A506,$A$4:$O$27,2,0)*(HLOOKUP(E$495,'2.2.Brecha Efectiva x UdM'!$H$64:$AK$70,2,0))))</f>
        <v>265928148.44138688</v>
      </c>
      <c r="F506" s="32">
        <f>(VLOOKUP($A506,$A$458:$O$482,2,0)*(HLOOKUP(F$495,'2.2.Brecha Efectiva x UdM'!$H$86:$AK$92,2,0))+(VLOOKUP($A506,$A$4:$O$27,2,0)*(HLOOKUP(F$495,'2.2.Brecha Efectiva x UdM'!$H$64:$AK$70,2,0))))</f>
        <v>164921879.01858076</v>
      </c>
      <c r="G506" s="32">
        <f>(VLOOKUP($A506,$A$458:$O$482,2,0)*(HLOOKUP(G$495,'2.2.Brecha Efectiva x UdM'!$H$86:$AK$92,2,0))+(VLOOKUP($A506,$A$4:$O$27,2,0)*(HLOOKUP(G$495,'2.2.Brecha Efectiva x UdM'!$H$64:$AK$70,2,0))))</f>
        <v>130651533.98501614</v>
      </c>
      <c r="H506" s="32">
        <f>(VLOOKUP($A506,$A$458:$O$482,2,0)*(HLOOKUP(H$495,'2.2.Brecha Efectiva x UdM'!$H$86:$AK$92,2,0))+(VLOOKUP($A506,$A$4:$O$27,2,0)*(HLOOKUP(H$495,'2.2.Brecha Efectiva x UdM'!$H$64:$AK$70,2,0))))</f>
        <v>68837693.684879169</v>
      </c>
      <c r="I506" s="32">
        <f>(VLOOKUP($A506,$A$458:$O$482,2,0)*(HLOOKUP(I$495,'2.2.Brecha Efectiva x UdM'!$H$86:$AK$92,2,0))+(VLOOKUP($A506,$A$4:$O$27,2,0)*(HLOOKUP(I$495,'2.2.Brecha Efectiva x UdM'!$H$64:$AK$70,2,0))))</f>
        <v>69295270.548428029</v>
      </c>
      <c r="J506" s="32">
        <f>(VLOOKUP($A506,$A$458:$O$482,2,0)*(HLOOKUP(J$495,'2.2.Brecha Efectiva x UdM'!$H$86:$AK$92,2,0))+(VLOOKUP($A506,$A$4:$O$27,2,0)*(HLOOKUP(J$495,'2.2.Brecha Efectiva x UdM'!$H$64:$AK$70,2,0))))</f>
        <v>69744778.605959013</v>
      </c>
      <c r="K506" s="32">
        <f>(VLOOKUP($A506,$A$458:$O$482,2,0)*(HLOOKUP(K$495,'2.2.Brecha Efectiva x UdM'!$H$86:$AK$92,2,0))+(VLOOKUP($A506,$A$4:$O$27,2,0)*(HLOOKUP(K$495,'2.2.Brecha Efectiva x UdM'!$H$64:$AK$70,2,0))))</f>
        <v>64751141.452360205</v>
      </c>
      <c r="L506" s="32">
        <f>(VLOOKUP($A506,$A$458:$O$482,2,0)*(HLOOKUP(L$495,'2.2.Brecha Efectiva x UdM'!$H$86:$AK$92,2,0))+(VLOOKUP($A506,$A$4:$O$27,2,0)*(HLOOKUP(L$495,'2.2.Brecha Efectiva x UdM'!$H$64:$AK$70,2,0))))</f>
        <v>65151406.808756202</v>
      </c>
      <c r="M506" s="32">
        <f>(VLOOKUP($A506,$A$458:$O$482,2,0)*(HLOOKUP(M$495,'2.2.Brecha Efectiva x UdM'!$H$86:$AK$92,2,0))+(VLOOKUP($A506,$A$4:$O$27,2,0)*(HLOOKUP(M$495,'2.2.Brecha Efectiva x UdM'!$H$64:$AK$70,2,0))))</f>
        <v>65544439.115906455</v>
      </c>
      <c r="N506" s="32">
        <f>(VLOOKUP($A506,$A$458:$O$482,2,0)*(HLOOKUP(N$495,'2.2.Brecha Efectiva x UdM'!$H$86:$AK$92,2,0))+(VLOOKUP($A506,$A$4:$O$27,2,0)*(HLOOKUP(N$495,'2.2.Brecha Efectiva x UdM'!$H$64:$AK$70,2,0))))</f>
        <v>0</v>
      </c>
      <c r="O506" s="32">
        <f>(VLOOKUP($A506,$A$458:$O$482,2,0)*(HLOOKUP(O$495,'2.2.Brecha Efectiva x UdM'!$H$86:$AK$92,2,0))+(VLOOKUP($A506,$A$4:$O$27,2,0)*(HLOOKUP(O$495,'2.2.Brecha Efectiva x UdM'!$H$64:$AK$70,2,0))))</f>
        <v>0</v>
      </c>
      <c r="P506" s="32">
        <f>(VLOOKUP($A506,$A$458:$O$482,2,0)*(HLOOKUP(P$495,'2.2.Brecha Efectiva x UdM'!$H$86:$AK$92,2,0))+(VLOOKUP($A506,$A$4:$O$27,2,0)*(HLOOKUP(P$495,'2.2.Brecha Efectiva x UdM'!$H$64:$AK$70,2,0))))</f>
        <v>0</v>
      </c>
      <c r="Q506" s="32">
        <f>(VLOOKUP($A506,$A$458:$O$482,2,0)*(HLOOKUP(Q$495,'2.2.Brecha Efectiva x UdM'!$H$86:$AK$92,2,0))+(VLOOKUP($A506,$A$4:$O$27,2,0)*(HLOOKUP(Q$495,'2.2.Brecha Efectiva x UdM'!$H$64:$AK$70,2,0))))</f>
        <v>0</v>
      </c>
      <c r="R506" s="32">
        <f>(VLOOKUP($A506,$A$458:$O$482,2,0)*(HLOOKUP(R$495,'2.2.Brecha Efectiva x UdM'!$H$86:$AK$92,2,0))+(VLOOKUP($A506,$A$4:$O$27,2,0)*(HLOOKUP(R$495,'2.2.Brecha Efectiva x UdM'!$H$64:$AK$70,2,0))))</f>
        <v>0</v>
      </c>
      <c r="S506" s="32">
        <f>(VLOOKUP($A506,$A$458:$O$482,2,0)*(HLOOKUP(S$495,'2.2.Brecha Efectiva x UdM'!$H$86:$AK$92,2,0))+(VLOOKUP($A506,$A$4:$O$27,2,0)*(HLOOKUP(S$495,'2.2.Brecha Efectiva x UdM'!$H$64:$AK$70,2,0))))</f>
        <v>0</v>
      </c>
      <c r="T506" s="32">
        <f>(VLOOKUP($A506,$A$458:$O$482,2,0)*(HLOOKUP(T$495,'2.2.Brecha Efectiva x UdM'!$H$86:$AK$92,2,0))+(VLOOKUP($A506,$A$4:$O$27,2,0)*(HLOOKUP(T$495,'2.2.Brecha Efectiva x UdM'!$H$64:$AK$70,2,0))))</f>
        <v>0</v>
      </c>
      <c r="U506" s="32">
        <f>(VLOOKUP($A506,$A$458:$O$482,2,0)*(HLOOKUP(U$495,'2.2.Brecha Efectiva x UdM'!$H$86:$AK$92,2,0))+(VLOOKUP($A506,$A$4:$O$27,2,0)*(HLOOKUP(U$495,'2.2.Brecha Efectiva x UdM'!$H$64:$AK$70,2,0))))</f>
        <v>0</v>
      </c>
      <c r="V506" s="32">
        <f>(VLOOKUP($A506,$A$458:$O$482,2,0)*(HLOOKUP(V$495,'2.2.Brecha Efectiva x UdM'!$H$86:$AK$92,2,0))+(VLOOKUP($A506,$A$4:$O$27,2,0)*(HLOOKUP(V$495,'2.2.Brecha Efectiva x UdM'!$H$64:$AK$70,2,0))))</f>
        <v>0</v>
      </c>
      <c r="W506" s="32">
        <f>(VLOOKUP($A506,$A$458:$O$482,2,0)*(HLOOKUP(W$495,'2.2.Brecha Efectiva x UdM'!$H$86:$AK$92,2,0))+(VLOOKUP($A506,$A$4:$O$27,2,0)*(HLOOKUP(W$495,'2.2.Brecha Efectiva x UdM'!$H$64:$AK$70,2,0))))</f>
        <v>0</v>
      </c>
      <c r="X506" s="32">
        <f>(VLOOKUP($A506,$A$458:$O$482,2,0)*(HLOOKUP(X$495,'2.2.Brecha Efectiva x UdM'!$H$86:$AK$92,2,0))+(VLOOKUP($A506,$A$4:$O$27,2,0)*(HLOOKUP(X$495,'2.2.Brecha Efectiva x UdM'!$H$64:$AK$70,2,0))))</f>
        <v>0</v>
      </c>
      <c r="Y506" s="32">
        <f>(VLOOKUP($A506,$A$458:$O$482,2,0)*(HLOOKUP(Y$495,'2.2.Brecha Efectiva x UdM'!$H$86:$AK$92,2,0))+(VLOOKUP($A506,$A$4:$O$27,2,0)*(HLOOKUP(Y$495,'2.2.Brecha Efectiva x UdM'!$H$64:$AK$70,2,0))))</f>
        <v>0</v>
      </c>
      <c r="Z506" s="32">
        <f>(VLOOKUP($A506,$A$458:$O$482,2,0)*(HLOOKUP(Z$495,'2.2.Brecha Efectiva x UdM'!$H$86:$AK$92,2,0))+(VLOOKUP($A506,$A$4:$O$27,2,0)*(HLOOKUP(Z$495,'2.2.Brecha Efectiva x UdM'!$H$64:$AK$70,2,0))))</f>
        <v>0</v>
      </c>
      <c r="AA506" s="32">
        <f>(VLOOKUP($A506,$A$458:$O$482,2,0)*(HLOOKUP(AA$495,'2.2.Brecha Efectiva x UdM'!$H$86:$AK$92,2,0))+(VLOOKUP($A506,$A$4:$O$27,2,0)*(HLOOKUP(AA$495,'2.2.Brecha Efectiva x UdM'!$H$64:$AK$70,2,0))))</f>
        <v>0</v>
      </c>
      <c r="AB506" s="32">
        <f>(VLOOKUP($A506,$A$458:$O$482,2,0)*(HLOOKUP(AB$495,'2.2.Brecha Efectiva x UdM'!$H$86:$AK$92,2,0))+(VLOOKUP($A506,$A$4:$O$27,2,0)*(HLOOKUP(AB$495,'2.2.Brecha Efectiva x UdM'!$H$64:$AK$70,2,0))))</f>
        <v>0</v>
      </c>
      <c r="AC506" s="32">
        <f>(VLOOKUP($A506,$A$458:$O$482,2,0)*(HLOOKUP(AC$495,'2.2.Brecha Efectiva x UdM'!$H$86:$AK$92,2,0))+(VLOOKUP($A506,$A$4:$O$27,2,0)*(HLOOKUP(AC$495,'2.2.Brecha Efectiva x UdM'!$H$64:$AK$70,2,0))))</f>
        <v>0</v>
      </c>
      <c r="AD506" s="32">
        <f>(VLOOKUP($A506,$A$458:$O$482,2,0)*(HLOOKUP(AD$495,'2.2.Brecha Efectiva x UdM'!$H$86:$AK$92,2,0))+(VLOOKUP($A506,$A$4:$O$27,2,0)*(HLOOKUP(AD$495,'2.2.Brecha Efectiva x UdM'!$H$64:$AK$70,2,0))))</f>
        <v>0</v>
      </c>
      <c r="AE506" s="32">
        <f>(VLOOKUP($A506,$A$458:$O$482,2,0)*(HLOOKUP(AE$495,'2.2.Brecha Efectiva x UdM'!$H$86:$AK$92,2,0))+(VLOOKUP($A506,$A$4:$O$27,2,0)*(HLOOKUP(AE$495,'2.2.Brecha Efectiva x UdM'!$H$64:$AK$70,2,0))))</f>
        <v>0</v>
      </c>
      <c r="AF506" s="32">
        <f>(VLOOKUP($A506,$A$458:$O$482,2,0)*(HLOOKUP(AF$495,'2.2.Brecha Efectiva x UdM'!$H$86:$AK$92,2,0))+(VLOOKUP($A506,$A$4:$O$27,2,0)*(HLOOKUP(AF$495,'2.2.Brecha Efectiva x UdM'!$H$64:$AK$70,2,0))))</f>
        <v>0</v>
      </c>
      <c r="AG506" s="32">
        <f>(VLOOKUP($A506,$A$458:$O$482,2,0)*(HLOOKUP(AG$495,'2.2.Brecha Efectiva x UdM'!$H$86:$AK$92,2,0))+(VLOOKUP($A506,$A$4:$O$27,2,0)*(HLOOKUP(AG$495,'2.2.Brecha Efectiva x UdM'!$H$64:$AK$70,2,0))))</f>
        <v>0</v>
      </c>
      <c r="AH506" s="62">
        <f t="shared" si="472"/>
        <v>1228826980.5694487</v>
      </c>
    </row>
    <row r="507" spans="1:34" x14ac:dyDescent="0.2">
      <c r="A507" s="26" t="str">
        <f t="shared" si="469"/>
        <v>La Rioja</v>
      </c>
      <c r="B507" s="52" t="str">
        <f t="shared" si="470"/>
        <v>Nombre UdM 1</v>
      </c>
      <c r="C507" s="26" t="str">
        <f t="shared" si="471"/>
        <v>La Rioja Nombre UdM 1</v>
      </c>
      <c r="D507" s="31">
        <f>(VLOOKUP($A507,$A$458:$O$482,2,0)*(HLOOKUP(D$495,'2.2.Brecha Efectiva x UdM'!$H$86:$AK$92,2,0))+(VLOOKUP($A507,$A$4:$O$27,2,0)*(HLOOKUP(D$495,'2.2.Brecha Efectiva x UdM'!$H$64:$AK$70,2,0))))</f>
        <v>90847407.007476702</v>
      </c>
      <c r="E507" s="31">
        <f>(VLOOKUP($A507,$A$458:$O$482,2,0)*(HLOOKUP(E$495,'2.2.Brecha Efectiva x UdM'!$H$86:$AK$92,2,0))+(VLOOKUP($A507,$A$4:$O$27,2,0)*(HLOOKUP(E$495,'2.2.Brecha Efectiva x UdM'!$H$64:$AK$70,2,0))))</f>
        <v>91510680.658118486</v>
      </c>
      <c r="F507" s="31">
        <f>(VLOOKUP($A507,$A$458:$O$482,2,0)*(HLOOKUP(F$495,'2.2.Brecha Efectiva x UdM'!$H$86:$AK$92,2,0))+(VLOOKUP($A507,$A$4:$O$27,2,0)*(HLOOKUP(F$495,'2.2.Brecha Efectiva x UdM'!$H$64:$AK$70,2,0))))</f>
        <v>56752598.37238571</v>
      </c>
      <c r="G507" s="31">
        <f>(VLOOKUP($A507,$A$458:$O$482,2,0)*(HLOOKUP(G$495,'2.2.Brecha Efectiva x UdM'!$H$86:$AK$92,2,0))+(VLOOKUP($A507,$A$4:$O$27,2,0)*(HLOOKUP(G$495,'2.2.Brecha Efectiva x UdM'!$H$64:$AK$70,2,0))))</f>
        <v>44959553.451075703</v>
      </c>
      <c r="H507" s="31">
        <f>(VLOOKUP($A507,$A$458:$O$482,2,0)*(HLOOKUP(H$495,'2.2.Brecha Efectiva x UdM'!$H$86:$AK$92,2,0))+(VLOOKUP($A507,$A$4:$O$27,2,0)*(HLOOKUP(H$495,'2.2.Brecha Efectiva x UdM'!$H$64:$AK$70,2,0))))</f>
        <v>23688294.153737556</v>
      </c>
      <c r="I507" s="31">
        <f>(VLOOKUP($A507,$A$458:$O$482,2,0)*(HLOOKUP(I$495,'2.2.Brecha Efectiva x UdM'!$H$86:$AK$92,2,0))+(VLOOKUP($A507,$A$4:$O$27,2,0)*(HLOOKUP(I$495,'2.2.Brecha Efectiva x UdM'!$H$64:$AK$70,2,0))))</f>
        <v>23845754.619965684</v>
      </c>
      <c r="J507" s="31">
        <f>(VLOOKUP($A507,$A$458:$O$482,2,0)*(HLOOKUP(J$495,'2.2.Brecha Efectiva x UdM'!$H$86:$AK$92,2,0))+(VLOOKUP($A507,$A$4:$O$27,2,0)*(HLOOKUP(J$495,'2.2.Brecha Efectiva x UdM'!$H$64:$AK$70,2,0))))</f>
        <v>24000438.464256186</v>
      </c>
      <c r="K507" s="31">
        <f>(VLOOKUP($A507,$A$458:$O$482,2,0)*(HLOOKUP(K$495,'2.2.Brecha Efectiva x UdM'!$H$86:$AK$92,2,0))+(VLOOKUP($A507,$A$4:$O$27,2,0)*(HLOOKUP(K$495,'2.2.Brecha Efectiva x UdM'!$H$64:$AK$70,2,0))))</f>
        <v>22282037.694861077</v>
      </c>
      <c r="L507" s="31">
        <f>(VLOOKUP($A507,$A$458:$O$482,2,0)*(HLOOKUP(L$495,'2.2.Brecha Efectiva x UdM'!$H$86:$AK$92,2,0))+(VLOOKUP($A507,$A$4:$O$27,2,0)*(HLOOKUP(L$495,'2.2.Brecha Efectiva x UdM'!$H$64:$AK$70,2,0))))</f>
        <v>22419776.235975817</v>
      </c>
      <c r="M507" s="31">
        <f>(VLOOKUP($A507,$A$458:$O$482,2,0)*(HLOOKUP(M$495,'2.2.Brecha Efectiva x UdM'!$H$86:$AK$92,2,0))+(VLOOKUP($A507,$A$4:$O$27,2,0)*(HLOOKUP(M$495,'2.2.Brecha Efectiva x UdM'!$H$64:$AK$70,2,0))))</f>
        <v>22555025.754158653</v>
      </c>
      <c r="N507" s="31">
        <f>(VLOOKUP($A507,$A$458:$O$482,2,0)*(HLOOKUP(N$495,'2.2.Brecha Efectiva x UdM'!$H$86:$AK$92,2,0))+(VLOOKUP($A507,$A$4:$O$27,2,0)*(HLOOKUP(N$495,'2.2.Brecha Efectiva x UdM'!$H$64:$AK$70,2,0))))</f>
        <v>0</v>
      </c>
      <c r="O507" s="31">
        <f>(VLOOKUP($A507,$A$458:$O$482,2,0)*(HLOOKUP(O$495,'2.2.Brecha Efectiva x UdM'!$H$86:$AK$92,2,0))+(VLOOKUP($A507,$A$4:$O$27,2,0)*(HLOOKUP(O$495,'2.2.Brecha Efectiva x UdM'!$H$64:$AK$70,2,0))))</f>
        <v>0</v>
      </c>
      <c r="P507" s="31">
        <f>(VLOOKUP($A507,$A$458:$O$482,2,0)*(HLOOKUP(P$495,'2.2.Brecha Efectiva x UdM'!$H$86:$AK$92,2,0))+(VLOOKUP($A507,$A$4:$O$27,2,0)*(HLOOKUP(P$495,'2.2.Brecha Efectiva x UdM'!$H$64:$AK$70,2,0))))</f>
        <v>0</v>
      </c>
      <c r="Q507" s="31">
        <f>(VLOOKUP($A507,$A$458:$O$482,2,0)*(HLOOKUP(Q$495,'2.2.Brecha Efectiva x UdM'!$H$86:$AK$92,2,0))+(VLOOKUP($A507,$A$4:$O$27,2,0)*(HLOOKUP(Q$495,'2.2.Brecha Efectiva x UdM'!$H$64:$AK$70,2,0))))</f>
        <v>0</v>
      </c>
      <c r="R507" s="31">
        <f>(VLOOKUP($A507,$A$458:$O$482,2,0)*(HLOOKUP(R$495,'2.2.Brecha Efectiva x UdM'!$H$86:$AK$92,2,0))+(VLOOKUP($A507,$A$4:$O$27,2,0)*(HLOOKUP(R$495,'2.2.Brecha Efectiva x UdM'!$H$64:$AK$70,2,0))))</f>
        <v>0</v>
      </c>
      <c r="S507" s="31">
        <f>(VLOOKUP($A507,$A$458:$O$482,2,0)*(HLOOKUP(S$495,'2.2.Brecha Efectiva x UdM'!$H$86:$AK$92,2,0))+(VLOOKUP($A507,$A$4:$O$27,2,0)*(HLOOKUP(S$495,'2.2.Brecha Efectiva x UdM'!$H$64:$AK$70,2,0))))</f>
        <v>0</v>
      </c>
      <c r="T507" s="31">
        <f>(VLOOKUP($A507,$A$458:$O$482,2,0)*(HLOOKUP(T$495,'2.2.Brecha Efectiva x UdM'!$H$86:$AK$92,2,0))+(VLOOKUP($A507,$A$4:$O$27,2,0)*(HLOOKUP(T$495,'2.2.Brecha Efectiva x UdM'!$H$64:$AK$70,2,0))))</f>
        <v>0</v>
      </c>
      <c r="U507" s="31">
        <f>(VLOOKUP($A507,$A$458:$O$482,2,0)*(HLOOKUP(U$495,'2.2.Brecha Efectiva x UdM'!$H$86:$AK$92,2,0))+(VLOOKUP($A507,$A$4:$O$27,2,0)*(HLOOKUP(U$495,'2.2.Brecha Efectiva x UdM'!$H$64:$AK$70,2,0))))</f>
        <v>0</v>
      </c>
      <c r="V507" s="31">
        <f>(VLOOKUP($A507,$A$458:$O$482,2,0)*(HLOOKUP(V$495,'2.2.Brecha Efectiva x UdM'!$H$86:$AK$92,2,0))+(VLOOKUP($A507,$A$4:$O$27,2,0)*(HLOOKUP(V$495,'2.2.Brecha Efectiva x UdM'!$H$64:$AK$70,2,0))))</f>
        <v>0</v>
      </c>
      <c r="W507" s="31">
        <f>(VLOOKUP($A507,$A$458:$O$482,2,0)*(HLOOKUP(W$495,'2.2.Brecha Efectiva x UdM'!$H$86:$AK$92,2,0))+(VLOOKUP($A507,$A$4:$O$27,2,0)*(HLOOKUP(W$495,'2.2.Brecha Efectiva x UdM'!$H$64:$AK$70,2,0))))</f>
        <v>0</v>
      </c>
      <c r="X507" s="31">
        <f>(VLOOKUP($A507,$A$458:$O$482,2,0)*(HLOOKUP(X$495,'2.2.Brecha Efectiva x UdM'!$H$86:$AK$92,2,0))+(VLOOKUP($A507,$A$4:$O$27,2,0)*(HLOOKUP(X$495,'2.2.Brecha Efectiva x UdM'!$H$64:$AK$70,2,0))))</f>
        <v>0</v>
      </c>
      <c r="Y507" s="31">
        <f>(VLOOKUP($A507,$A$458:$O$482,2,0)*(HLOOKUP(Y$495,'2.2.Brecha Efectiva x UdM'!$H$86:$AK$92,2,0))+(VLOOKUP($A507,$A$4:$O$27,2,0)*(HLOOKUP(Y$495,'2.2.Brecha Efectiva x UdM'!$H$64:$AK$70,2,0))))</f>
        <v>0</v>
      </c>
      <c r="Z507" s="31">
        <f>(VLOOKUP($A507,$A$458:$O$482,2,0)*(HLOOKUP(Z$495,'2.2.Brecha Efectiva x UdM'!$H$86:$AK$92,2,0))+(VLOOKUP($A507,$A$4:$O$27,2,0)*(HLOOKUP(Z$495,'2.2.Brecha Efectiva x UdM'!$H$64:$AK$70,2,0))))</f>
        <v>0</v>
      </c>
      <c r="AA507" s="31">
        <f>(VLOOKUP($A507,$A$458:$O$482,2,0)*(HLOOKUP(AA$495,'2.2.Brecha Efectiva x UdM'!$H$86:$AK$92,2,0))+(VLOOKUP($A507,$A$4:$O$27,2,0)*(HLOOKUP(AA$495,'2.2.Brecha Efectiva x UdM'!$H$64:$AK$70,2,0))))</f>
        <v>0</v>
      </c>
      <c r="AB507" s="31">
        <f>(VLOOKUP($A507,$A$458:$O$482,2,0)*(HLOOKUP(AB$495,'2.2.Brecha Efectiva x UdM'!$H$86:$AK$92,2,0))+(VLOOKUP($A507,$A$4:$O$27,2,0)*(HLOOKUP(AB$495,'2.2.Brecha Efectiva x UdM'!$H$64:$AK$70,2,0))))</f>
        <v>0</v>
      </c>
      <c r="AC507" s="31">
        <f>(VLOOKUP($A507,$A$458:$O$482,2,0)*(HLOOKUP(AC$495,'2.2.Brecha Efectiva x UdM'!$H$86:$AK$92,2,0))+(VLOOKUP($A507,$A$4:$O$27,2,0)*(HLOOKUP(AC$495,'2.2.Brecha Efectiva x UdM'!$H$64:$AK$70,2,0))))</f>
        <v>0</v>
      </c>
      <c r="AD507" s="31">
        <f>(VLOOKUP($A507,$A$458:$O$482,2,0)*(HLOOKUP(AD$495,'2.2.Brecha Efectiva x UdM'!$H$86:$AK$92,2,0))+(VLOOKUP($A507,$A$4:$O$27,2,0)*(HLOOKUP(AD$495,'2.2.Brecha Efectiva x UdM'!$H$64:$AK$70,2,0))))</f>
        <v>0</v>
      </c>
      <c r="AE507" s="31">
        <f>(VLOOKUP($A507,$A$458:$O$482,2,0)*(HLOOKUP(AE$495,'2.2.Brecha Efectiva x UdM'!$H$86:$AK$92,2,0))+(VLOOKUP($A507,$A$4:$O$27,2,0)*(HLOOKUP(AE$495,'2.2.Brecha Efectiva x UdM'!$H$64:$AK$70,2,0))))</f>
        <v>0</v>
      </c>
      <c r="AF507" s="31">
        <f>(VLOOKUP($A507,$A$458:$O$482,2,0)*(HLOOKUP(AF$495,'2.2.Brecha Efectiva x UdM'!$H$86:$AK$92,2,0))+(VLOOKUP($A507,$A$4:$O$27,2,0)*(HLOOKUP(AF$495,'2.2.Brecha Efectiva x UdM'!$H$64:$AK$70,2,0))))</f>
        <v>0</v>
      </c>
      <c r="AG507" s="31">
        <f>(VLOOKUP($A507,$A$458:$O$482,2,0)*(HLOOKUP(AG$495,'2.2.Brecha Efectiva x UdM'!$H$86:$AK$92,2,0))+(VLOOKUP($A507,$A$4:$O$27,2,0)*(HLOOKUP(AG$495,'2.2.Brecha Efectiva x UdM'!$H$64:$AK$70,2,0))))</f>
        <v>0</v>
      </c>
      <c r="AH507" s="63">
        <f t="shared" si="472"/>
        <v>422861566.4120115</v>
      </c>
    </row>
    <row r="508" spans="1:34" x14ac:dyDescent="0.2">
      <c r="A508" s="25" t="str">
        <f t="shared" si="469"/>
        <v>Mendoza</v>
      </c>
      <c r="B508" s="51" t="str">
        <f t="shared" si="470"/>
        <v>Nombre UdM 1</v>
      </c>
      <c r="C508" s="25" t="str">
        <f t="shared" si="471"/>
        <v>Mendoza Nombre UdM 1</v>
      </c>
      <c r="D508" s="32">
        <f>(VLOOKUP($A508,$A$458:$O$482,2,0)*(HLOOKUP(D$495,'2.2.Brecha Efectiva x UdM'!$H$86:$AK$92,2,0))+(VLOOKUP($A508,$A$4:$O$27,2,0)*(HLOOKUP(D$495,'2.2.Brecha Efectiva x UdM'!$H$64:$AK$70,2,0))))</f>
        <v>401469421.40152264</v>
      </c>
      <c r="E508" s="32">
        <f>(VLOOKUP($A508,$A$458:$O$482,2,0)*(HLOOKUP(E$495,'2.2.Brecha Efectiva x UdM'!$H$86:$AK$92,2,0))+(VLOOKUP($A508,$A$4:$O$27,2,0)*(HLOOKUP(E$495,'2.2.Brecha Efectiva x UdM'!$H$64:$AK$70,2,0))))</f>
        <v>404400535.20570767</v>
      </c>
      <c r="F508" s="32">
        <f>(VLOOKUP($A508,$A$458:$O$482,2,0)*(HLOOKUP(F$495,'2.2.Brecha Efectiva x UdM'!$H$86:$AK$92,2,0))+(VLOOKUP($A508,$A$4:$O$27,2,0)*(HLOOKUP(F$495,'2.2.Brecha Efectiva x UdM'!$H$64:$AK$70,2,0))))</f>
        <v>250798933.97199035</v>
      </c>
      <c r="G508" s="32">
        <f>(VLOOKUP($A508,$A$458:$O$482,2,0)*(HLOOKUP(G$495,'2.2.Brecha Efectiva x UdM'!$H$86:$AK$92,2,0))+(VLOOKUP($A508,$A$4:$O$27,2,0)*(HLOOKUP(G$495,'2.2.Brecha Efectiva x UdM'!$H$64:$AK$70,2,0))))</f>
        <v>198683556.36158878</v>
      </c>
      <c r="H508" s="32">
        <f>(VLOOKUP($A508,$A$458:$O$482,2,0)*(HLOOKUP(H$495,'2.2.Brecha Efectiva x UdM'!$H$86:$AK$92,2,0))+(VLOOKUP($A508,$A$4:$O$27,2,0)*(HLOOKUP(H$495,'2.2.Brecha Efectiva x UdM'!$H$64:$AK$70,2,0))))</f>
        <v>104682412.64285517</v>
      </c>
      <c r="I508" s="32">
        <f>(VLOOKUP($A508,$A$458:$O$482,2,0)*(HLOOKUP(I$495,'2.2.Brecha Efectiva x UdM'!$H$86:$AK$92,2,0))+(VLOOKUP($A508,$A$4:$O$27,2,0)*(HLOOKUP(I$495,'2.2.Brecha Efectiva x UdM'!$H$64:$AK$70,2,0))))</f>
        <v>105378255.97347458</v>
      </c>
      <c r="J508" s="32">
        <f>(VLOOKUP($A508,$A$458:$O$482,2,0)*(HLOOKUP(J$495,'2.2.Brecha Efectiva x UdM'!$H$86:$AK$92,2,0))+(VLOOKUP($A508,$A$4:$O$27,2,0)*(HLOOKUP(J$495,'2.2.Brecha Efectiva x UdM'!$H$64:$AK$70,2,0))))</f>
        <v>106061828.96155512</v>
      </c>
      <c r="K508" s="32">
        <f>(VLOOKUP($A508,$A$458:$O$482,2,0)*(HLOOKUP(K$495,'2.2.Brecha Efectiva x UdM'!$H$86:$AK$92,2,0))+(VLOOKUP($A508,$A$4:$O$27,2,0)*(HLOOKUP(K$495,'2.2.Brecha Efectiva x UdM'!$H$64:$AK$70,2,0))))</f>
        <v>98467937.343182266</v>
      </c>
      <c r="L508" s="32">
        <f>(VLOOKUP($A508,$A$458:$O$482,2,0)*(HLOOKUP(L$495,'2.2.Brecha Efectiva x UdM'!$H$86:$AK$92,2,0))+(VLOOKUP($A508,$A$4:$O$27,2,0)*(HLOOKUP(L$495,'2.2.Brecha Efectiva x UdM'!$H$64:$AK$70,2,0))))</f>
        <v>99076626.289048105</v>
      </c>
      <c r="M508" s="32">
        <f>(VLOOKUP($A508,$A$458:$O$482,2,0)*(HLOOKUP(M$495,'2.2.Brecha Efectiva x UdM'!$H$86:$AK$92,2,0))+(VLOOKUP($A508,$A$4:$O$27,2,0)*(HLOOKUP(M$495,'2.2.Brecha Efectiva x UdM'!$H$64:$AK$70,2,0))))</f>
        <v>99674315.839012131</v>
      </c>
      <c r="N508" s="32">
        <f>(VLOOKUP($A508,$A$458:$O$482,2,0)*(HLOOKUP(N$495,'2.2.Brecha Efectiva x UdM'!$H$86:$AK$92,2,0))+(VLOOKUP($A508,$A$4:$O$27,2,0)*(HLOOKUP(N$495,'2.2.Brecha Efectiva x UdM'!$H$64:$AK$70,2,0))))</f>
        <v>0</v>
      </c>
      <c r="O508" s="32">
        <f>(VLOOKUP($A508,$A$458:$O$482,2,0)*(HLOOKUP(O$495,'2.2.Brecha Efectiva x UdM'!$H$86:$AK$92,2,0))+(VLOOKUP($A508,$A$4:$O$27,2,0)*(HLOOKUP(O$495,'2.2.Brecha Efectiva x UdM'!$H$64:$AK$70,2,0))))</f>
        <v>0</v>
      </c>
      <c r="P508" s="32">
        <f>(VLOOKUP($A508,$A$458:$O$482,2,0)*(HLOOKUP(P$495,'2.2.Brecha Efectiva x UdM'!$H$86:$AK$92,2,0))+(VLOOKUP($A508,$A$4:$O$27,2,0)*(HLOOKUP(P$495,'2.2.Brecha Efectiva x UdM'!$H$64:$AK$70,2,0))))</f>
        <v>0</v>
      </c>
      <c r="Q508" s="32">
        <f>(VLOOKUP($A508,$A$458:$O$482,2,0)*(HLOOKUP(Q$495,'2.2.Brecha Efectiva x UdM'!$H$86:$AK$92,2,0))+(VLOOKUP($A508,$A$4:$O$27,2,0)*(HLOOKUP(Q$495,'2.2.Brecha Efectiva x UdM'!$H$64:$AK$70,2,0))))</f>
        <v>0</v>
      </c>
      <c r="R508" s="32">
        <f>(VLOOKUP($A508,$A$458:$O$482,2,0)*(HLOOKUP(R$495,'2.2.Brecha Efectiva x UdM'!$H$86:$AK$92,2,0))+(VLOOKUP($A508,$A$4:$O$27,2,0)*(HLOOKUP(R$495,'2.2.Brecha Efectiva x UdM'!$H$64:$AK$70,2,0))))</f>
        <v>0</v>
      </c>
      <c r="S508" s="32">
        <f>(VLOOKUP($A508,$A$458:$O$482,2,0)*(HLOOKUP(S$495,'2.2.Brecha Efectiva x UdM'!$H$86:$AK$92,2,0))+(VLOOKUP($A508,$A$4:$O$27,2,0)*(HLOOKUP(S$495,'2.2.Brecha Efectiva x UdM'!$H$64:$AK$70,2,0))))</f>
        <v>0</v>
      </c>
      <c r="T508" s="32">
        <f>(VLOOKUP($A508,$A$458:$O$482,2,0)*(HLOOKUP(T$495,'2.2.Brecha Efectiva x UdM'!$H$86:$AK$92,2,0))+(VLOOKUP($A508,$A$4:$O$27,2,0)*(HLOOKUP(T$495,'2.2.Brecha Efectiva x UdM'!$H$64:$AK$70,2,0))))</f>
        <v>0</v>
      </c>
      <c r="U508" s="32">
        <f>(VLOOKUP($A508,$A$458:$O$482,2,0)*(HLOOKUP(U$495,'2.2.Brecha Efectiva x UdM'!$H$86:$AK$92,2,0))+(VLOOKUP($A508,$A$4:$O$27,2,0)*(HLOOKUP(U$495,'2.2.Brecha Efectiva x UdM'!$H$64:$AK$70,2,0))))</f>
        <v>0</v>
      </c>
      <c r="V508" s="32">
        <f>(VLOOKUP($A508,$A$458:$O$482,2,0)*(HLOOKUP(V$495,'2.2.Brecha Efectiva x UdM'!$H$86:$AK$92,2,0))+(VLOOKUP($A508,$A$4:$O$27,2,0)*(HLOOKUP(V$495,'2.2.Brecha Efectiva x UdM'!$H$64:$AK$70,2,0))))</f>
        <v>0</v>
      </c>
      <c r="W508" s="32">
        <f>(VLOOKUP($A508,$A$458:$O$482,2,0)*(HLOOKUP(W$495,'2.2.Brecha Efectiva x UdM'!$H$86:$AK$92,2,0))+(VLOOKUP($A508,$A$4:$O$27,2,0)*(HLOOKUP(W$495,'2.2.Brecha Efectiva x UdM'!$H$64:$AK$70,2,0))))</f>
        <v>0</v>
      </c>
      <c r="X508" s="32">
        <f>(VLOOKUP($A508,$A$458:$O$482,2,0)*(HLOOKUP(X$495,'2.2.Brecha Efectiva x UdM'!$H$86:$AK$92,2,0))+(VLOOKUP($A508,$A$4:$O$27,2,0)*(HLOOKUP(X$495,'2.2.Brecha Efectiva x UdM'!$H$64:$AK$70,2,0))))</f>
        <v>0</v>
      </c>
      <c r="Y508" s="32">
        <f>(VLOOKUP($A508,$A$458:$O$482,2,0)*(HLOOKUP(Y$495,'2.2.Brecha Efectiva x UdM'!$H$86:$AK$92,2,0))+(VLOOKUP($A508,$A$4:$O$27,2,0)*(HLOOKUP(Y$495,'2.2.Brecha Efectiva x UdM'!$H$64:$AK$70,2,0))))</f>
        <v>0</v>
      </c>
      <c r="Z508" s="32">
        <f>(VLOOKUP($A508,$A$458:$O$482,2,0)*(HLOOKUP(Z$495,'2.2.Brecha Efectiva x UdM'!$H$86:$AK$92,2,0))+(VLOOKUP($A508,$A$4:$O$27,2,0)*(HLOOKUP(Z$495,'2.2.Brecha Efectiva x UdM'!$H$64:$AK$70,2,0))))</f>
        <v>0</v>
      </c>
      <c r="AA508" s="32">
        <f>(VLOOKUP($A508,$A$458:$O$482,2,0)*(HLOOKUP(AA$495,'2.2.Brecha Efectiva x UdM'!$H$86:$AK$92,2,0))+(VLOOKUP($A508,$A$4:$O$27,2,0)*(HLOOKUP(AA$495,'2.2.Brecha Efectiva x UdM'!$H$64:$AK$70,2,0))))</f>
        <v>0</v>
      </c>
      <c r="AB508" s="32">
        <f>(VLOOKUP($A508,$A$458:$O$482,2,0)*(HLOOKUP(AB$495,'2.2.Brecha Efectiva x UdM'!$H$86:$AK$92,2,0))+(VLOOKUP($A508,$A$4:$O$27,2,0)*(HLOOKUP(AB$495,'2.2.Brecha Efectiva x UdM'!$H$64:$AK$70,2,0))))</f>
        <v>0</v>
      </c>
      <c r="AC508" s="32">
        <f>(VLOOKUP($A508,$A$458:$O$482,2,0)*(HLOOKUP(AC$495,'2.2.Brecha Efectiva x UdM'!$H$86:$AK$92,2,0))+(VLOOKUP($A508,$A$4:$O$27,2,0)*(HLOOKUP(AC$495,'2.2.Brecha Efectiva x UdM'!$H$64:$AK$70,2,0))))</f>
        <v>0</v>
      </c>
      <c r="AD508" s="32">
        <f>(VLOOKUP($A508,$A$458:$O$482,2,0)*(HLOOKUP(AD$495,'2.2.Brecha Efectiva x UdM'!$H$86:$AK$92,2,0))+(VLOOKUP($A508,$A$4:$O$27,2,0)*(HLOOKUP(AD$495,'2.2.Brecha Efectiva x UdM'!$H$64:$AK$70,2,0))))</f>
        <v>0</v>
      </c>
      <c r="AE508" s="32">
        <f>(VLOOKUP($A508,$A$458:$O$482,2,0)*(HLOOKUP(AE$495,'2.2.Brecha Efectiva x UdM'!$H$86:$AK$92,2,0))+(VLOOKUP($A508,$A$4:$O$27,2,0)*(HLOOKUP(AE$495,'2.2.Brecha Efectiva x UdM'!$H$64:$AK$70,2,0))))</f>
        <v>0</v>
      </c>
      <c r="AF508" s="32">
        <f>(VLOOKUP($A508,$A$458:$O$482,2,0)*(HLOOKUP(AF$495,'2.2.Brecha Efectiva x UdM'!$H$86:$AK$92,2,0))+(VLOOKUP($A508,$A$4:$O$27,2,0)*(HLOOKUP(AF$495,'2.2.Brecha Efectiva x UdM'!$H$64:$AK$70,2,0))))</f>
        <v>0</v>
      </c>
      <c r="AG508" s="32">
        <f>(VLOOKUP($A508,$A$458:$O$482,2,0)*(HLOOKUP(AG$495,'2.2.Brecha Efectiva x UdM'!$H$86:$AK$92,2,0))+(VLOOKUP($A508,$A$4:$O$27,2,0)*(HLOOKUP(AG$495,'2.2.Brecha Efectiva x UdM'!$H$64:$AK$70,2,0))))</f>
        <v>0</v>
      </c>
      <c r="AH508" s="62">
        <f t="shared" si="472"/>
        <v>1868693823.9899371</v>
      </c>
    </row>
    <row r="509" spans="1:34" x14ac:dyDescent="0.2">
      <c r="A509" s="26" t="str">
        <f t="shared" si="469"/>
        <v>Misiones</v>
      </c>
      <c r="B509" s="52" t="str">
        <f t="shared" si="470"/>
        <v>Nombre UdM 1</v>
      </c>
      <c r="C509" s="26" t="str">
        <f t="shared" si="471"/>
        <v>Misiones Nombre UdM 1</v>
      </c>
      <c r="D509" s="31">
        <f>(VLOOKUP($A509,$A$458:$O$482,2,0)*(HLOOKUP(D$495,'2.2.Brecha Efectiva x UdM'!$H$86:$AK$92,2,0))+(VLOOKUP($A509,$A$4:$O$27,2,0)*(HLOOKUP(D$495,'2.2.Brecha Efectiva x UdM'!$H$64:$AK$70,2,0))))</f>
        <v>17382629.719162881</v>
      </c>
      <c r="E509" s="31">
        <f>(VLOOKUP($A509,$A$458:$O$482,2,0)*(HLOOKUP(E$495,'2.2.Brecha Efectiva x UdM'!$H$86:$AK$92,2,0))+(VLOOKUP($A509,$A$4:$O$27,2,0)*(HLOOKUP(E$495,'2.2.Brecha Efectiva x UdM'!$H$64:$AK$70,2,0))))</f>
        <v>17509539.673462786</v>
      </c>
      <c r="F509" s="31">
        <f>(VLOOKUP($A509,$A$458:$O$482,2,0)*(HLOOKUP(F$495,'2.2.Brecha Efectiva x UdM'!$H$86:$AK$92,2,0))+(VLOOKUP($A509,$A$4:$O$27,2,0)*(HLOOKUP(F$495,'2.2.Brecha Efectiva x UdM'!$H$64:$AK$70,2,0))))</f>
        <v>10858971.495205773</v>
      </c>
      <c r="G509" s="31">
        <f>(VLOOKUP($A509,$A$458:$O$482,2,0)*(HLOOKUP(G$495,'2.2.Brecha Efectiva x UdM'!$H$86:$AK$92,2,0))+(VLOOKUP($A509,$A$4:$O$27,2,0)*(HLOOKUP(G$495,'2.2.Brecha Efectiva x UdM'!$H$64:$AK$70,2,0))))</f>
        <v>8602504.966538474</v>
      </c>
      <c r="H509" s="31">
        <f>(VLOOKUP($A509,$A$458:$O$482,2,0)*(HLOOKUP(H$495,'2.2.Brecha Efectiva x UdM'!$H$86:$AK$92,2,0))+(VLOOKUP($A509,$A$4:$O$27,2,0)*(HLOOKUP(H$495,'2.2.Brecha Efectiva x UdM'!$H$64:$AK$70,2,0))))</f>
        <v>4532488.7029427569</v>
      </c>
      <c r="I509" s="31">
        <f>(VLOOKUP($A509,$A$458:$O$482,2,0)*(HLOOKUP(I$495,'2.2.Brecha Efectiva x UdM'!$H$86:$AK$92,2,0))+(VLOOKUP($A509,$A$4:$O$27,2,0)*(HLOOKUP(I$495,'2.2.Brecha Efectiva x UdM'!$H$64:$AK$70,2,0))))</f>
        <v>4562616.9924560171</v>
      </c>
      <c r="J509" s="31">
        <f>(VLOOKUP($A509,$A$458:$O$482,2,0)*(HLOOKUP(J$495,'2.2.Brecha Efectiva x UdM'!$H$86:$AK$92,2,0))+(VLOOKUP($A509,$A$4:$O$27,2,0)*(HLOOKUP(J$495,'2.2.Brecha Efectiva x UdM'!$H$64:$AK$70,2,0))))</f>
        <v>4592214.0065856241</v>
      </c>
      <c r="K509" s="31">
        <f>(VLOOKUP($A509,$A$458:$O$482,2,0)*(HLOOKUP(K$495,'2.2.Brecha Efectiva x UdM'!$H$86:$AK$92,2,0))+(VLOOKUP($A509,$A$4:$O$27,2,0)*(HLOOKUP(K$495,'2.2.Brecha Efectiva x UdM'!$H$64:$AK$70,2,0))))</f>
        <v>4263417.3433956504</v>
      </c>
      <c r="L509" s="31">
        <f>(VLOOKUP($A509,$A$458:$O$482,2,0)*(HLOOKUP(L$495,'2.2.Brecha Efectiva x UdM'!$H$86:$AK$92,2,0))+(VLOOKUP($A509,$A$4:$O$27,2,0)*(HLOOKUP(L$495,'2.2.Brecha Efectiva x UdM'!$H$64:$AK$70,2,0))))</f>
        <v>4289772.0643185955</v>
      </c>
      <c r="M509" s="31">
        <f>(VLOOKUP($A509,$A$458:$O$482,2,0)*(HLOOKUP(M$495,'2.2.Brecha Efectiva x UdM'!$H$86:$AK$92,2,0))+(VLOOKUP($A509,$A$4:$O$27,2,0)*(HLOOKUP(M$495,'2.2.Brecha Efectiva x UdM'!$H$64:$AK$70,2,0))))</f>
        <v>4315650.5386934774</v>
      </c>
      <c r="N509" s="31">
        <f>(VLOOKUP($A509,$A$458:$O$482,2,0)*(HLOOKUP(N$495,'2.2.Brecha Efectiva x UdM'!$H$86:$AK$92,2,0))+(VLOOKUP($A509,$A$4:$O$27,2,0)*(HLOOKUP(N$495,'2.2.Brecha Efectiva x UdM'!$H$64:$AK$70,2,0))))</f>
        <v>0</v>
      </c>
      <c r="O509" s="31">
        <f>(VLOOKUP($A509,$A$458:$O$482,2,0)*(HLOOKUP(O$495,'2.2.Brecha Efectiva x UdM'!$H$86:$AK$92,2,0))+(VLOOKUP($A509,$A$4:$O$27,2,0)*(HLOOKUP(O$495,'2.2.Brecha Efectiva x UdM'!$H$64:$AK$70,2,0))))</f>
        <v>0</v>
      </c>
      <c r="P509" s="31">
        <f>(VLOOKUP($A509,$A$458:$O$482,2,0)*(HLOOKUP(P$495,'2.2.Brecha Efectiva x UdM'!$H$86:$AK$92,2,0))+(VLOOKUP($A509,$A$4:$O$27,2,0)*(HLOOKUP(P$495,'2.2.Brecha Efectiva x UdM'!$H$64:$AK$70,2,0))))</f>
        <v>0</v>
      </c>
      <c r="Q509" s="31">
        <f>(VLOOKUP($A509,$A$458:$O$482,2,0)*(HLOOKUP(Q$495,'2.2.Brecha Efectiva x UdM'!$H$86:$AK$92,2,0))+(VLOOKUP($A509,$A$4:$O$27,2,0)*(HLOOKUP(Q$495,'2.2.Brecha Efectiva x UdM'!$H$64:$AK$70,2,0))))</f>
        <v>0</v>
      </c>
      <c r="R509" s="31">
        <f>(VLOOKUP($A509,$A$458:$O$482,2,0)*(HLOOKUP(R$495,'2.2.Brecha Efectiva x UdM'!$H$86:$AK$92,2,0))+(VLOOKUP($A509,$A$4:$O$27,2,0)*(HLOOKUP(R$495,'2.2.Brecha Efectiva x UdM'!$H$64:$AK$70,2,0))))</f>
        <v>0</v>
      </c>
      <c r="S509" s="31">
        <f>(VLOOKUP($A509,$A$458:$O$482,2,0)*(HLOOKUP(S$495,'2.2.Brecha Efectiva x UdM'!$H$86:$AK$92,2,0))+(VLOOKUP($A509,$A$4:$O$27,2,0)*(HLOOKUP(S$495,'2.2.Brecha Efectiva x UdM'!$H$64:$AK$70,2,0))))</f>
        <v>0</v>
      </c>
      <c r="T509" s="31">
        <f>(VLOOKUP($A509,$A$458:$O$482,2,0)*(HLOOKUP(T$495,'2.2.Brecha Efectiva x UdM'!$H$86:$AK$92,2,0))+(VLOOKUP($A509,$A$4:$O$27,2,0)*(HLOOKUP(T$495,'2.2.Brecha Efectiva x UdM'!$H$64:$AK$70,2,0))))</f>
        <v>0</v>
      </c>
      <c r="U509" s="31">
        <f>(VLOOKUP($A509,$A$458:$O$482,2,0)*(HLOOKUP(U$495,'2.2.Brecha Efectiva x UdM'!$H$86:$AK$92,2,0))+(VLOOKUP($A509,$A$4:$O$27,2,0)*(HLOOKUP(U$495,'2.2.Brecha Efectiva x UdM'!$H$64:$AK$70,2,0))))</f>
        <v>0</v>
      </c>
      <c r="V509" s="31">
        <f>(VLOOKUP($A509,$A$458:$O$482,2,0)*(HLOOKUP(V$495,'2.2.Brecha Efectiva x UdM'!$H$86:$AK$92,2,0))+(VLOOKUP($A509,$A$4:$O$27,2,0)*(HLOOKUP(V$495,'2.2.Brecha Efectiva x UdM'!$H$64:$AK$70,2,0))))</f>
        <v>0</v>
      </c>
      <c r="W509" s="31">
        <f>(VLOOKUP($A509,$A$458:$O$482,2,0)*(HLOOKUP(W$495,'2.2.Brecha Efectiva x UdM'!$H$86:$AK$92,2,0))+(VLOOKUP($A509,$A$4:$O$27,2,0)*(HLOOKUP(W$495,'2.2.Brecha Efectiva x UdM'!$H$64:$AK$70,2,0))))</f>
        <v>0</v>
      </c>
      <c r="X509" s="31">
        <f>(VLOOKUP($A509,$A$458:$O$482,2,0)*(HLOOKUP(X$495,'2.2.Brecha Efectiva x UdM'!$H$86:$AK$92,2,0))+(VLOOKUP($A509,$A$4:$O$27,2,0)*(HLOOKUP(X$495,'2.2.Brecha Efectiva x UdM'!$H$64:$AK$70,2,0))))</f>
        <v>0</v>
      </c>
      <c r="Y509" s="31">
        <f>(VLOOKUP($A509,$A$458:$O$482,2,0)*(HLOOKUP(Y$495,'2.2.Brecha Efectiva x UdM'!$H$86:$AK$92,2,0))+(VLOOKUP($A509,$A$4:$O$27,2,0)*(HLOOKUP(Y$495,'2.2.Brecha Efectiva x UdM'!$H$64:$AK$70,2,0))))</f>
        <v>0</v>
      </c>
      <c r="Z509" s="31">
        <f>(VLOOKUP($A509,$A$458:$O$482,2,0)*(HLOOKUP(Z$495,'2.2.Brecha Efectiva x UdM'!$H$86:$AK$92,2,0))+(VLOOKUP($A509,$A$4:$O$27,2,0)*(HLOOKUP(Z$495,'2.2.Brecha Efectiva x UdM'!$H$64:$AK$70,2,0))))</f>
        <v>0</v>
      </c>
      <c r="AA509" s="31">
        <f>(VLOOKUP($A509,$A$458:$O$482,2,0)*(HLOOKUP(AA$495,'2.2.Brecha Efectiva x UdM'!$H$86:$AK$92,2,0))+(VLOOKUP($A509,$A$4:$O$27,2,0)*(HLOOKUP(AA$495,'2.2.Brecha Efectiva x UdM'!$H$64:$AK$70,2,0))))</f>
        <v>0</v>
      </c>
      <c r="AB509" s="31">
        <f>(VLOOKUP($A509,$A$458:$O$482,2,0)*(HLOOKUP(AB$495,'2.2.Brecha Efectiva x UdM'!$H$86:$AK$92,2,0))+(VLOOKUP($A509,$A$4:$O$27,2,0)*(HLOOKUP(AB$495,'2.2.Brecha Efectiva x UdM'!$H$64:$AK$70,2,0))))</f>
        <v>0</v>
      </c>
      <c r="AC509" s="31">
        <f>(VLOOKUP($A509,$A$458:$O$482,2,0)*(HLOOKUP(AC$495,'2.2.Brecha Efectiva x UdM'!$H$86:$AK$92,2,0))+(VLOOKUP($A509,$A$4:$O$27,2,0)*(HLOOKUP(AC$495,'2.2.Brecha Efectiva x UdM'!$H$64:$AK$70,2,0))))</f>
        <v>0</v>
      </c>
      <c r="AD509" s="31">
        <f>(VLOOKUP($A509,$A$458:$O$482,2,0)*(HLOOKUP(AD$495,'2.2.Brecha Efectiva x UdM'!$H$86:$AK$92,2,0))+(VLOOKUP($A509,$A$4:$O$27,2,0)*(HLOOKUP(AD$495,'2.2.Brecha Efectiva x UdM'!$H$64:$AK$70,2,0))))</f>
        <v>0</v>
      </c>
      <c r="AE509" s="31">
        <f>(VLOOKUP($A509,$A$458:$O$482,2,0)*(HLOOKUP(AE$495,'2.2.Brecha Efectiva x UdM'!$H$86:$AK$92,2,0))+(VLOOKUP($A509,$A$4:$O$27,2,0)*(HLOOKUP(AE$495,'2.2.Brecha Efectiva x UdM'!$H$64:$AK$70,2,0))))</f>
        <v>0</v>
      </c>
      <c r="AF509" s="31">
        <f>(VLOOKUP($A509,$A$458:$O$482,2,0)*(HLOOKUP(AF$495,'2.2.Brecha Efectiva x UdM'!$H$86:$AK$92,2,0))+(VLOOKUP($A509,$A$4:$O$27,2,0)*(HLOOKUP(AF$495,'2.2.Brecha Efectiva x UdM'!$H$64:$AK$70,2,0))))</f>
        <v>0</v>
      </c>
      <c r="AG509" s="31">
        <f>(VLOOKUP($A509,$A$458:$O$482,2,0)*(HLOOKUP(AG$495,'2.2.Brecha Efectiva x UdM'!$H$86:$AK$92,2,0))+(VLOOKUP($A509,$A$4:$O$27,2,0)*(HLOOKUP(AG$495,'2.2.Brecha Efectiva x UdM'!$H$64:$AK$70,2,0))))</f>
        <v>0</v>
      </c>
      <c r="AH509" s="63">
        <f t="shared" si="472"/>
        <v>80909805.502762035</v>
      </c>
    </row>
    <row r="510" spans="1:34" x14ac:dyDescent="0.2">
      <c r="A510" s="25" t="str">
        <f t="shared" si="469"/>
        <v>Neuquén</v>
      </c>
      <c r="B510" s="51" t="str">
        <f t="shared" si="470"/>
        <v>Nombre UdM 1</v>
      </c>
      <c r="C510" s="25" t="str">
        <f t="shared" si="471"/>
        <v>Neuquén Nombre UdM 1</v>
      </c>
      <c r="D510" s="32">
        <f>(VLOOKUP($A510,$A$458:$O$482,2,0)*(HLOOKUP(D$495,'2.2.Brecha Efectiva x UdM'!$H$86:$AK$92,2,0))+(VLOOKUP($A510,$A$4:$O$27,2,0)*(HLOOKUP(D$495,'2.2.Brecha Efectiva x UdM'!$H$64:$AK$70,2,0))))</f>
        <v>148248387.84103447</v>
      </c>
      <c r="E510" s="32">
        <f>(VLOOKUP($A510,$A$458:$O$482,2,0)*(HLOOKUP(E$495,'2.2.Brecha Efectiva x UdM'!$H$86:$AK$92,2,0))+(VLOOKUP($A510,$A$4:$O$27,2,0)*(HLOOKUP(E$495,'2.2.Brecha Efectiva x UdM'!$H$64:$AK$70,2,0))))</f>
        <v>149330743.98794121</v>
      </c>
      <c r="F510" s="32">
        <f>(VLOOKUP($A510,$A$458:$O$482,2,0)*(HLOOKUP(F$495,'2.2.Brecha Efectiva x UdM'!$H$86:$AK$92,2,0))+(VLOOKUP($A510,$A$4:$O$27,2,0)*(HLOOKUP(F$495,'2.2.Brecha Efectiva x UdM'!$H$64:$AK$70,2,0))))</f>
        <v>92611132.135047838</v>
      </c>
      <c r="G510" s="32">
        <f>(VLOOKUP($A510,$A$458:$O$482,2,0)*(HLOOKUP(G$495,'2.2.Brecha Efectiva x UdM'!$H$86:$AK$92,2,0))+(VLOOKUP($A510,$A$4:$O$27,2,0)*(HLOOKUP(G$495,'2.2.Brecha Efectiva x UdM'!$H$64:$AK$70,2,0))))</f>
        <v>73366775.527519986</v>
      </c>
      <c r="H510" s="32">
        <f>(VLOOKUP($A510,$A$458:$O$482,2,0)*(HLOOKUP(H$495,'2.2.Brecha Efectiva x UdM'!$H$86:$AK$92,2,0))+(VLOOKUP($A510,$A$4:$O$27,2,0)*(HLOOKUP(H$495,'2.2.Brecha Efectiva x UdM'!$H$64:$AK$70,2,0))))</f>
        <v>38655494.247697994</v>
      </c>
      <c r="I510" s="32">
        <f>(VLOOKUP($A510,$A$458:$O$482,2,0)*(HLOOKUP(I$495,'2.2.Brecha Efectiva x UdM'!$H$86:$AK$92,2,0))+(VLOOKUP($A510,$A$4:$O$27,2,0)*(HLOOKUP(I$495,'2.2.Brecha Efectiva x UdM'!$H$64:$AK$70,2,0))))</f>
        <v>38912444.457241088</v>
      </c>
      <c r="J510" s="32">
        <f>(VLOOKUP($A510,$A$458:$O$482,2,0)*(HLOOKUP(J$495,'2.2.Brecha Efectiva x UdM'!$H$86:$AK$92,2,0))+(VLOOKUP($A510,$A$4:$O$27,2,0)*(HLOOKUP(J$495,'2.2.Brecha Efectiva x UdM'!$H$64:$AK$70,2,0))))</f>
        <v>39164863.66541104</v>
      </c>
      <c r="K510" s="32">
        <f>(VLOOKUP($A510,$A$458:$O$482,2,0)*(HLOOKUP(K$495,'2.2.Brecha Efectiva x UdM'!$H$86:$AK$92,2,0))+(VLOOKUP($A510,$A$4:$O$27,2,0)*(HLOOKUP(K$495,'2.2.Brecha Efectiva x UdM'!$H$64:$AK$70,2,0))))</f>
        <v>36360709.40147423</v>
      </c>
      <c r="L510" s="32">
        <f>(VLOOKUP($A510,$A$458:$O$482,2,0)*(HLOOKUP(L$495,'2.2.Brecha Efectiva x UdM'!$H$86:$AK$92,2,0))+(VLOOKUP($A510,$A$4:$O$27,2,0)*(HLOOKUP(L$495,'2.2.Brecha Efectiva x UdM'!$H$64:$AK$70,2,0))))</f>
        <v>36585476.594468042</v>
      </c>
      <c r="M510" s="32">
        <f>(VLOOKUP($A510,$A$458:$O$482,2,0)*(HLOOKUP(M$495,'2.2.Brecha Efectiva x UdM'!$H$86:$AK$92,2,0))+(VLOOKUP($A510,$A$4:$O$27,2,0)*(HLOOKUP(M$495,'2.2.Brecha Efectiva x UdM'!$H$64:$AK$70,2,0))))</f>
        <v>36806182.101508342</v>
      </c>
      <c r="N510" s="32">
        <f>(VLOOKUP($A510,$A$458:$O$482,2,0)*(HLOOKUP(N$495,'2.2.Brecha Efectiva x UdM'!$H$86:$AK$92,2,0))+(VLOOKUP($A510,$A$4:$O$27,2,0)*(HLOOKUP(N$495,'2.2.Brecha Efectiva x UdM'!$H$64:$AK$70,2,0))))</f>
        <v>0</v>
      </c>
      <c r="O510" s="32">
        <f>(VLOOKUP($A510,$A$458:$O$482,2,0)*(HLOOKUP(O$495,'2.2.Brecha Efectiva x UdM'!$H$86:$AK$92,2,0))+(VLOOKUP($A510,$A$4:$O$27,2,0)*(HLOOKUP(O$495,'2.2.Brecha Efectiva x UdM'!$H$64:$AK$70,2,0))))</f>
        <v>0</v>
      </c>
      <c r="P510" s="32">
        <f>(VLOOKUP($A510,$A$458:$O$482,2,0)*(HLOOKUP(P$495,'2.2.Brecha Efectiva x UdM'!$H$86:$AK$92,2,0))+(VLOOKUP($A510,$A$4:$O$27,2,0)*(HLOOKUP(P$495,'2.2.Brecha Efectiva x UdM'!$H$64:$AK$70,2,0))))</f>
        <v>0</v>
      </c>
      <c r="Q510" s="32">
        <f>(VLOOKUP($A510,$A$458:$O$482,2,0)*(HLOOKUP(Q$495,'2.2.Brecha Efectiva x UdM'!$H$86:$AK$92,2,0))+(VLOOKUP($A510,$A$4:$O$27,2,0)*(HLOOKUP(Q$495,'2.2.Brecha Efectiva x UdM'!$H$64:$AK$70,2,0))))</f>
        <v>0</v>
      </c>
      <c r="R510" s="32">
        <f>(VLOOKUP($A510,$A$458:$O$482,2,0)*(HLOOKUP(R$495,'2.2.Brecha Efectiva x UdM'!$H$86:$AK$92,2,0))+(VLOOKUP($A510,$A$4:$O$27,2,0)*(HLOOKUP(R$495,'2.2.Brecha Efectiva x UdM'!$H$64:$AK$70,2,0))))</f>
        <v>0</v>
      </c>
      <c r="S510" s="32">
        <f>(VLOOKUP($A510,$A$458:$O$482,2,0)*(HLOOKUP(S$495,'2.2.Brecha Efectiva x UdM'!$H$86:$AK$92,2,0))+(VLOOKUP($A510,$A$4:$O$27,2,0)*(HLOOKUP(S$495,'2.2.Brecha Efectiva x UdM'!$H$64:$AK$70,2,0))))</f>
        <v>0</v>
      </c>
      <c r="T510" s="32">
        <f>(VLOOKUP($A510,$A$458:$O$482,2,0)*(HLOOKUP(T$495,'2.2.Brecha Efectiva x UdM'!$H$86:$AK$92,2,0))+(VLOOKUP($A510,$A$4:$O$27,2,0)*(HLOOKUP(T$495,'2.2.Brecha Efectiva x UdM'!$H$64:$AK$70,2,0))))</f>
        <v>0</v>
      </c>
      <c r="U510" s="32">
        <f>(VLOOKUP($A510,$A$458:$O$482,2,0)*(HLOOKUP(U$495,'2.2.Brecha Efectiva x UdM'!$H$86:$AK$92,2,0))+(VLOOKUP($A510,$A$4:$O$27,2,0)*(HLOOKUP(U$495,'2.2.Brecha Efectiva x UdM'!$H$64:$AK$70,2,0))))</f>
        <v>0</v>
      </c>
      <c r="V510" s="32">
        <f>(VLOOKUP($A510,$A$458:$O$482,2,0)*(HLOOKUP(V$495,'2.2.Brecha Efectiva x UdM'!$H$86:$AK$92,2,0))+(VLOOKUP($A510,$A$4:$O$27,2,0)*(HLOOKUP(V$495,'2.2.Brecha Efectiva x UdM'!$H$64:$AK$70,2,0))))</f>
        <v>0</v>
      </c>
      <c r="W510" s="32">
        <f>(VLOOKUP($A510,$A$458:$O$482,2,0)*(HLOOKUP(W$495,'2.2.Brecha Efectiva x UdM'!$H$86:$AK$92,2,0))+(VLOOKUP($A510,$A$4:$O$27,2,0)*(HLOOKUP(W$495,'2.2.Brecha Efectiva x UdM'!$H$64:$AK$70,2,0))))</f>
        <v>0</v>
      </c>
      <c r="X510" s="32">
        <f>(VLOOKUP($A510,$A$458:$O$482,2,0)*(HLOOKUP(X$495,'2.2.Brecha Efectiva x UdM'!$H$86:$AK$92,2,0))+(VLOOKUP($A510,$A$4:$O$27,2,0)*(HLOOKUP(X$495,'2.2.Brecha Efectiva x UdM'!$H$64:$AK$70,2,0))))</f>
        <v>0</v>
      </c>
      <c r="Y510" s="32">
        <f>(VLOOKUP($A510,$A$458:$O$482,2,0)*(HLOOKUP(Y$495,'2.2.Brecha Efectiva x UdM'!$H$86:$AK$92,2,0))+(VLOOKUP($A510,$A$4:$O$27,2,0)*(HLOOKUP(Y$495,'2.2.Brecha Efectiva x UdM'!$H$64:$AK$70,2,0))))</f>
        <v>0</v>
      </c>
      <c r="Z510" s="32">
        <f>(VLOOKUP($A510,$A$458:$O$482,2,0)*(HLOOKUP(Z$495,'2.2.Brecha Efectiva x UdM'!$H$86:$AK$92,2,0))+(VLOOKUP($A510,$A$4:$O$27,2,0)*(HLOOKUP(Z$495,'2.2.Brecha Efectiva x UdM'!$H$64:$AK$70,2,0))))</f>
        <v>0</v>
      </c>
      <c r="AA510" s="32">
        <f>(VLOOKUP($A510,$A$458:$O$482,2,0)*(HLOOKUP(AA$495,'2.2.Brecha Efectiva x UdM'!$H$86:$AK$92,2,0))+(VLOOKUP($A510,$A$4:$O$27,2,0)*(HLOOKUP(AA$495,'2.2.Brecha Efectiva x UdM'!$H$64:$AK$70,2,0))))</f>
        <v>0</v>
      </c>
      <c r="AB510" s="32">
        <f>(VLOOKUP($A510,$A$458:$O$482,2,0)*(HLOOKUP(AB$495,'2.2.Brecha Efectiva x UdM'!$H$86:$AK$92,2,0))+(VLOOKUP($A510,$A$4:$O$27,2,0)*(HLOOKUP(AB$495,'2.2.Brecha Efectiva x UdM'!$H$64:$AK$70,2,0))))</f>
        <v>0</v>
      </c>
      <c r="AC510" s="32">
        <f>(VLOOKUP($A510,$A$458:$O$482,2,0)*(HLOOKUP(AC$495,'2.2.Brecha Efectiva x UdM'!$H$86:$AK$92,2,0))+(VLOOKUP($A510,$A$4:$O$27,2,0)*(HLOOKUP(AC$495,'2.2.Brecha Efectiva x UdM'!$H$64:$AK$70,2,0))))</f>
        <v>0</v>
      </c>
      <c r="AD510" s="32">
        <f>(VLOOKUP($A510,$A$458:$O$482,2,0)*(HLOOKUP(AD$495,'2.2.Brecha Efectiva x UdM'!$H$86:$AK$92,2,0))+(VLOOKUP($A510,$A$4:$O$27,2,0)*(HLOOKUP(AD$495,'2.2.Brecha Efectiva x UdM'!$H$64:$AK$70,2,0))))</f>
        <v>0</v>
      </c>
      <c r="AE510" s="32">
        <f>(VLOOKUP($A510,$A$458:$O$482,2,0)*(HLOOKUP(AE$495,'2.2.Brecha Efectiva x UdM'!$H$86:$AK$92,2,0))+(VLOOKUP($A510,$A$4:$O$27,2,0)*(HLOOKUP(AE$495,'2.2.Brecha Efectiva x UdM'!$H$64:$AK$70,2,0))))</f>
        <v>0</v>
      </c>
      <c r="AF510" s="32">
        <f>(VLOOKUP($A510,$A$458:$O$482,2,0)*(HLOOKUP(AF$495,'2.2.Brecha Efectiva x UdM'!$H$86:$AK$92,2,0))+(VLOOKUP($A510,$A$4:$O$27,2,0)*(HLOOKUP(AF$495,'2.2.Brecha Efectiva x UdM'!$H$64:$AK$70,2,0))))</f>
        <v>0</v>
      </c>
      <c r="AG510" s="32">
        <f>(VLOOKUP($A510,$A$458:$O$482,2,0)*(HLOOKUP(AG$495,'2.2.Brecha Efectiva x UdM'!$H$86:$AK$92,2,0))+(VLOOKUP($A510,$A$4:$O$27,2,0)*(HLOOKUP(AG$495,'2.2.Brecha Efectiva x UdM'!$H$64:$AK$70,2,0))))</f>
        <v>0</v>
      </c>
      <c r="AH510" s="62">
        <f t="shared" si="472"/>
        <v>690042209.95934427</v>
      </c>
    </row>
    <row r="511" spans="1:34" x14ac:dyDescent="0.2">
      <c r="A511" s="26" t="str">
        <f t="shared" si="469"/>
        <v>Río Negro</v>
      </c>
      <c r="B511" s="52" t="str">
        <f t="shared" si="470"/>
        <v>Nombre UdM 1</v>
      </c>
      <c r="C511" s="26" t="str">
        <f t="shared" si="471"/>
        <v>Río Negro Nombre UdM 1</v>
      </c>
      <c r="D511" s="31">
        <f>(VLOOKUP($A511,$A$458:$O$482,2,0)*(HLOOKUP(D$495,'2.2.Brecha Efectiva x UdM'!$H$86:$AK$92,2,0))+(VLOOKUP($A511,$A$4:$O$27,2,0)*(HLOOKUP(D$495,'2.2.Brecha Efectiva x UdM'!$H$64:$AK$70,2,0))))</f>
        <v>469221176.07895315</v>
      </c>
      <c r="E511" s="31">
        <f>(VLOOKUP($A511,$A$458:$O$482,2,0)*(HLOOKUP(E$495,'2.2.Brecha Efectiva x UdM'!$H$86:$AK$92,2,0))+(VLOOKUP($A511,$A$4:$O$27,2,0)*(HLOOKUP(E$495,'2.2.Brecha Efectiva x UdM'!$H$64:$AK$70,2,0))))</f>
        <v>472646943.00690418</v>
      </c>
      <c r="F511" s="31">
        <f>(VLOOKUP($A511,$A$458:$O$482,2,0)*(HLOOKUP(F$495,'2.2.Brecha Efectiva x UdM'!$H$86:$AK$92,2,0))+(VLOOKUP($A511,$A$4:$O$27,2,0)*(HLOOKUP(F$495,'2.2.Brecha Efectiva x UdM'!$H$64:$AK$70,2,0))))</f>
        <v>293123621.58708286</v>
      </c>
      <c r="G511" s="31">
        <f>(VLOOKUP($A511,$A$458:$O$482,2,0)*(HLOOKUP(G$495,'2.2.Brecha Efectiva x UdM'!$H$86:$AK$92,2,0))+(VLOOKUP($A511,$A$4:$O$27,2,0)*(HLOOKUP(G$495,'2.2.Brecha Efectiva x UdM'!$H$64:$AK$70,2,0))))</f>
        <v>232213282.0429548</v>
      </c>
      <c r="H511" s="31">
        <f>(VLOOKUP($A511,$A$458:$O$482,2,0)*(HLOOKUP(H$495,'2.2.Brecha Efectiva x UdM'!$H$86:$AK$92,2,0))+(VLOOKUP($A511,$A$4:$O$27,2,0)*(HLOOKUP(H$495,'2.2.Brecha Efectiva x UdM'!$H$64:$AK$70,2,0))))</f>
        <v>122348557.9638631</v>
      </c>
      <c r="I511" s="31">
        <f>(VLOOKUP($A511,$A$458:$O$482,2,0)*(HLOOKUP(I$495,'2.2.Brecha Efectiva x UdM'!$H$86:$AK$92,2,0))+(VLOOKUP($A511,$A$4:$O$27,2,0)*(HLOOKUP(I$495,'2.2.Brecha Efectiva x UdM'!$H$64:$AK$70,2,0))))</f>
        <v>123161831.42518952</v>
      </c>
      <c r="J511" s="31">
        <f>(VLOOKUP($A511,$A$458:$O$482,2,0)*(HLOOKUP(J$495,'2.2.Brecha Efectiva x UdM'!$H$86:$AK$92,2,0))+(VLOOKUP($A511,$A$4:$O$27,2,0)*(HLOOKUP(J$495,'2.2.Brecha Efectiva x UdM'!$H$64:$AK$70,2,0))))</f>
        <v>123960763.80784333</v>
      </c>
      <c r="K511" s="31">
        <f>(VLOOKUP($A511,$A$458:$O$482,2,0)*(HLOOKUP(K$495,'2.2.Brecha Efectiva x UdM'!$H$86:$AK$92,2,0))+(VLOOKUP($A511,$A$4:$O$27,2,0)*(HLOOKUP(K$495,'2.2.Brecha Efectiva x UdM'!$H$64:$AK$70,2,0))))</f>
        <v>115085331.29358134</v>
      </c>
      <c r="L511" s="31">
        <f>(VLOOKUP($A511,$A$458:$O$482,2,0)*(HLOOKUP(L$495,'2.2.Brecha Efectiva x UdM'!$H$86:$AK$92,2,0))+(VLOOKUP($A511,$A$4:$O$27,2,0)*(HLOOKUP(L$495,'2.2.Brecha Efectiva x UdM'!$H$64:$AK$70,2,0))))</f>
        <v>115796742.24500167</v>
      </c>
      <c r="M511" s="31">
        <f>(VLOOKUP($A511,$A$458:$O$482,2,0)*(HLOOKUP(M$495,'2.2.Brecha Efectiva x UdM'!$H$86:$AK$92,2,0))+(VLOOKUP($A511,$A$4:$O$27,2,0)*(HLOOKUP(M$495,'2.2.Brecha Efectiva x UdM'!$H$64:$AK$70,2,0))))</f>
        <v>116495297.54862899</v>
      </c>
      <c r="N511" s="31">
        <f>(VLOOKUP($A511,$A$458:$O$482,2,0)*(HLOOKUP(N$495,'2.2.Brecha Efectiva x UdM'!$H$86:$AK$92,2,0))+(VLOOKUP($A511,$A$4:$O$27,2,0)*(HLOOKUP(N$495,'2.2.Brecha Efectiva x UdM'!$H$64:$AK$70,2,0))))</f>
        <v>0</v>
      </c>
      <c r="O511" s="31">
        <f>(VLOOKUP($A511,$A$458:$O$482,2,0)*(HLOOKUP(O$495,'2.2.Brecha Efectiva x UdM'!$H$86:$AK$92,2,0))+(VLOOKUP($A511,$A$4:$O$27,2,0)*(HLOOKUP(O$495,'2.2.Brecha Efectiva x UdM'!$H$64:$AK$70,2,0))))</f>
        <v>0</v>
      </c>
      <c r="P511" s="31">
        <f>(VLOOKUP($A511,$A$458:$O$482,2,0)*(HLOOKUP(P$495,'2.2.Brecha Efectiva x UdM'!$H$86:$AK$92,2,0))+(VLOOKUP($A511,$A$4:$O$27,2,0)*(HLOOKUP(P$495,'2.2.Brecha Efectiva x UdM'!$H$64:$AK$70,2,0))))</f>
        <v>0</v>
      </c>
      <c r="Q511" s="31">
        <f>(VLOOKUP($A511,$A$458:$O$482,2,0)*(HLOOKUP(Q$495,'2.2.Brecha Efectiva x UdM'!$H$86:$AK$92,2,0))+(VLOOKUP($A511,$A$4:$O$27,2,0)*(HLOOKUP(Q$495,'2.2.Brecha Efectiva x UdM'!$H$64:$AK$70,2,0))))</f>
        <v>0</v>
      </c>
      <c r="R511" s="31">
        <f>(VLOOKUP($A511,$A$458:$O$482,2,0)*(HLOOKUP(R$495,'2.2.Brecha Efectiva x UdM'!$H$86:$AK$92,2,0))+(VLOOKUP($A511,$A$4:$O$27,2,0)*(HLOOKUP(R$495,'2.2.Brecha Efectiva x UdM'!$H$64:$AK$70,2,0))))</f>
        <v>0</v>
      </c>
      <c r="S511" s="31">
        <f>(VLOOKUP($A511,$A$458:$O$482,2,0)*(HLOOKUP(S$495,'2.2.Brecha Efectiva x UdM'!$H$86:$AK$92,2,0))+(VLOOKUP($A511,$A$4:$O$27,2,0)*(HLOOKUP(S$495,'2.2.Brecha Efectiva x UdM'!$H$64:$AK$70,2,0))))</f>
        <v>0</v>
      </c>
      <c r="T511" s="31">
        <f>(VLOOKUP($A511,$A$458:$O$482,2,0)*(HLOOKUP(T$495,'2.2.Brecha Efectiva x UdM'!$H$86:$AK$92,2,0))+(VLOOKUP($A511,$A$4:$O$27,2,0)*(HLOOKUP(T$495,'2.2.Brecha Efectiva x UdM'!$H$64:$AK$70,2,0))))</f>
        <v>0</v>
      </c>
      <c r="U511" s="31">
        <f>(VLOOKUP($A511,$A$458:$O$482,2,0)*(HLOOKUP(U$495,'2.2.Brecha Efectiva x UdM'!$H$86:$AK$92,2,0))+(VLOOKUP($A511,$A$4:$O$27,2,0)*(HLOOKUP(U$495,'2.2.Brecha Efectiva x UdM'!$H$64:$AK$70,2,0))))</f>
        <v>0</v>
      </c>
      <c r="V511" s="31">
        <f>(VLOOKUP($A511,$A$458:$O$482,2,0)*(HLOOKUP(V$495,'2.2.Brecha Efectiva x UdM'!$H$86:$AK$92,2,0))+(VLOOKUP($A511,$A$4:$O$27,2,0)*(HLOOKUP(V$495,'2.2.Brecha Efectiva x UdM'!$H$64:$AK$70,2,0))))</f>
        <v>0</v>
      </c>
      <c r="W511" s="31">
        <f>(VLOOKUP($A511,$A$458:$O$482,2,0)*(HLOOKUP(W$495,'2.2.Brecha Efectiva x UdM'!$H$86:$AK$92,2,0))+(VLOOKUP($A511,$A$4:$O$27,2,0)*(HLOOKUP(W$495,'2.2.Brecha Efectiva x UdM'!$H$64:$AK$70,2,0))))</f>
        <v>0</v>
      </c>
      <c r="X511" s="31">
        <f>(VLOOKUP($A511,$A$458:$O$482,2,0)*(HLOOKUP(X$495,'2.2.Brecha Efectiva x UdM'!$H$86:$AK$92,2,0))+(VLOOKUP($A511,$A$4:$O$27,2,0)*(HLOOKUP(X$495,'2.2.Brecha Efectiva x UdM'!$H$64:$AK$70,2,0))))</f>
        <v>0</v>
      </c>
      <c r="Y511" s="31">
        <f>(VLOOKUP($A511,$A$458:$O$482,2,0)*(HLOOKUP(Y$495,'2.2.Brecha Efectiva x UdM'!$H$86:$AK$92,2,0))+(VLOOKUP($A511,$A$4:$O$27,2,0)*(HLOOKUP(Y$495,'2.2.Brecha Efectiva x UdM'!$H$64:$AK$70,2,0))))</f>
        <v>0</v>
      </c>
      <c r="Z511" s="31">
        <f>(VLOOKUP($A511,$A$458:$O$482,2,0)*(HLOOKUP(Z$495,'2.2.Brecha Efectiva x UdM'!$H$86:$AK$92,2,0))+(VLOOKUP($A511,$A$4:$O$27,2,0)*(HLOOKUP(Z$495,'2.2.Brecha Efectiva x UdM'!$H$64:$AK$70,2,0))))</f>
        <v>0</v>
      </c>
      <c r="AA511" s="31">
        <f>(VLOOKUP($A511,$A$458:$O$482,2,0)*(HLOOKUP(AA$495,'2.2.Brecha Efectiva x UdM'!$H$86:$AK$92,2,0))+(VLOOKUP($A511,$A$4:$O$27,2,0)*(HLOOKUP(AA$495,'2.2.Brecha Efectiva x UdM'!$H$64:$AK$70,2,0))))</f>
        <v>0</v>
      </c>
      <c r="AB511" s="31">
        <f>(VLOOKUP($A511,$A$458:$O$482,2,0)*(HLOOKUP(AB$495,'2.2.Brecha Efectiva x UdM'!$H$86:$AK$92,2,0))+(VLOOKUP($A511,$A$4:$O$27,2,0)*(HLOOKUP(AB$495,'2.2.Brecha Efectiva x UdM'!$H$64:$AK$70,2,0))))</f>
        <v>0</v>
      </c>
      <c r="AC511" s="31">
        <f>(VLOOKUP($A511,$A$458:$O$482,2,0)*(HLOOKUP(AC$495,'2.2.Brecha Efectiva x UdM'!$H$86:$AK$92,2,0))+(VLOOKUP($A511,$A$4:$O$27,2,0)*(HLOOKUP(AC$495,'2.2.Brecha Efectiva x UdM'!$H$64:$AK$70,2,0))))</f>
        <v>0</v>
      </c>
      <c r="AD511" s="31">
        <f>(VLOOKUP($A511,$A$458:$O$482,2,0)*(HLOOKUP(AD$495,'2.2.Brecha Efectiva x UdM'!$H$86:$AK$92,2,0))+(VLOOKUP($A511,$A$4:$O$27,2,0)*(HLOOKUP(AD$495,'2.2.Brecha Efectiva x UdM'!$H$64:$AK$70,2,0))))</f>
        <v>0</v>
      </c>
      <c r="AE511" s="31">
        <f>(VLOOKUP($A511,$A$458:$O$482,2,0)*(HLOOKUP(AE$495,'2.2.Brecha Efectiva x UdM'!$H$86:$AK$92,2,0))+(VLOOKUP($A511,$A$4:$O$27,2,0)*(HLOOKUP(AE$495,'2.2.Brecha Efectiva x UdM'!$H$64:$AK$70,2,0))))</f>
        <v>0</v>
      </c>
      <c r="AF511" s="31">
        <f>(VLOOKUP($A511,$A$458:$O$482,2,0)*(HLOOKUP(AF$495,'2.2.Brecha Efectiva x UdM'!$H$86:$AK$92,2,0))+(VLOOKUP($A511,$A$4:$O$27,2,0)*(HLOOKUP(AF$495,'2.2.Brecha Efectiva x UdM'!$H$64:$AK$70,2,0))))</f>
        <v>0</v>
      </c>
      <c r="AG511" s="31">
        <f>(VLOOKUP($A511,$A$458:$O$482,2,0)*(HLOOKUP(AG$495,'2.2.Brecha Efectiva x UdM'!$H$86:$AK$92,2,0))+(VLOOKUP($A511,$A$4:$O$27,2,0)*(HLOOKUP(AG$495,'2.2.Brecha Efectiva x UdM'!$H$64:$AK$70,2,0))))</f>
        <v>0</v>
      </c>
      <c r="AH511" s="63">
        <f t="shared" si="472"/>
        <v>2184053547.0000029</v>
      </c>
    </row>
    <row r="512" spans="1:34" x14ac:dyDescent="0.2">
      <c r="A512" s="25" t="str">
        <f t="shared" si="469"/>
        <v>Salta</v>
      </c>
      <c r="B512" s="51" t="str">
        <f t="shared" si="470"/>
        <v>Nombre UdM 1</v>
      </c>
      <c r="C512" s="25" t="str">
        <f t="shared" si="471"/>
        <v>Salta Nombre UdM 1</v>
      </c>
      <c r="D512" s="32">
        <f>(VLOOKUP($A512,$A$458:$O$482,2,0)*(HLOOKUP(D$495,'2.2.Brecha Efectiva x UdM'!$H$86:$AK$92,2,0))+(VLOOKUP($A512,$A$4:$O$27,2,0)*(HLOOKUP(D$495,'2.2.Brecha Efectiva x UdM'!$H$64:$AK$70,2,0))))</f>
        <v>158982962.26308423</v>
      </c>
      <c r="E512" s="32">
        <f>(VLOOKUP($A512,$A$458:$O$482,2,0)*(HLOOKUP(E$495,'2.2.Brecha Efectiva x UdM'!$H$86:$AK$92,2,0))+(VLOOKUP($A512,$A$4:$O$27,2,0)*(HLOOKUP(E$495,'2.2.Brecha Efectiva x UdM'!$H$64:$AK$70,2,0))))</f>
        <v>160143691.15170735</v>
      </c>
      <c r="F512" s="32">
        <f>(VLOOKUP($A512,$A$458:$O$482,2,0)*(HLOOKUP(F$495,'2.2.Brecha Efectiva x UdM'!$H$86:$AK$92,2,0))+(VLOOKUP($A512,$A$4:$O$27,2,0)*(HLOOKUP(F$495,'2.2.Brecha Efectiva x UdM'!$H$64:$AK$70,2,0))))</f>
        <v>99317047.151674986</v>
      </c>
      <c r="G512" s="32">
        <f>(VLOOKUP($A512,$A$458:$O$482,2,0)*(HLOOKUP(G$495,'2.2.Brecha Efectiva x UdM'!$H$86:$AK$92,2,0))+(VLOOKUP($A512,$A$4:$O$27,2,0)*(HLOOKUP(G$495,'2.2.Brecha Efectiva x UdM'!$H$64:$AK$70,2,0))))</f>
        <v>78679218.539382473</v>
      </c>
      <c r="H512" s="32">
        <f>(VLOOKUP($A512,$A$458:$O$482,2,0)*(HLOOKUP(H$495,'2.2.Brecha Efectiva x UdM'!$H$86:$AK$92,2,0))+(VLOOKUP($A512,$A$4:$O$27,2,0)*(HLOOKUP(H$495,'2.2.Brecha Efectiva x UdM'!$H$64:$AK$70,2,0))))</f>
        <v>41454514.769040719</v>
      </c>
      <c r="I512" s="32">
        <f>(VLOOKUP($A512,$A$458:$O$482,2,0)*(HLOOKUP(I$495,'2.2.Brecha Efectiva x UdM'!$H$86:$AK$92,2,0))+(VLOOKUP($A512,$A$4:$O$27,2,0)*(HLOOKUP(I$495,'2.2.Brecha Efectiva x UdM'!$H$64:$AK$70,2,0))))</f>
        <v>41730070.584939942</v>
      </c>
      <c r="J512" s="32">
        <f>(VLOOKUP($A512,$A$458:$O$482,2,0)*(HLOOKUP(J$495,'2.2.Brecha Efectiva x UdM'!$H$86:$AK$92,2,0))+(VLOOKUP($A512,$A$4:$O$27,2,0)*(HLOOKUP(J$495,'2.2.Brecha Efectiva x UdM'!$H$64:$AK$70,2,0))))</f>
        <v>42000767.312448315</v>
      </c>
      <c r="K512" s="32">
        <f>(VLOOKUP($A512,$A$458:$O$482,2,0)*(HLOOKUP(K$495,'2.2.Brecha Efectiva x UdM'!$H$86:$AK$92,2,0))+(VLOOKUP($A512,$A$4:$O$27,2,0)*(HLOOKUP(K$495,'2.2.Brecha Efectiva x UdM'!$H$64:$AK$70,2,0))))</f>
        <v>38993565.966006875</v>
      </c>
      <c r="L512" s="32">
        <f>(VLOOKUP($A512,$A$458:$O$482,2,0)*(HLOOKUP(L$495,'2.2.Brecha Efectiva x UdM'!$H$86:$AK$92,2,0))+(VLOOKUP($A512,$A$4:$O$27,2,0)*(HLOOKUP(L$495,'2.2.Brecha Efectiva x UdM'!$H$64:$AK$70,2,0))))</f>
        <v>39234608.412957683</v>
      </c>
      <c r="M512" s="32">
        <f>(VLOOKUP($A512,$A$458:$O$482,2,0)*(HLOOKUP(M$495,'2.2.Brecha Efectiva x UdM'!$H$86:$AK$92,2,0))+(VLOOKUP($A512,$A$4:$O$27,2,0)*(HLOOKUP(M$495,'2.2.Brecha Efectiva x UdM'!$H$64:$AK$70,2,0))))</f>
        <v>39471295.069777638</v>
      </c>
      <c r="N512" s="32">
        <f>(VLOOKUP($A512,$A$458:$O$482,2,0)*(HLOOKUP(N$495,'2.2.Brecha Efectiva x UdM'!$H$86:$AK$92,2,0))+(VLOOKUP($A512,$A$4:$O$27,2,0)*(HLOOKUP(N$495,'2.2.Brecha Efectiva x UdM'!$H$64:$AK$70,2,0))))</f>
        <v>0</v>
      </c>
      <c r="O512" s="32">
        <f>(VLOOKUP($A512,$A$458:$O$482,2,0)*(HLOOKUP(O$495,'2.2.Brecha Efectiva x UdM'!$H$86:$AK$92,2,0))+(VLOOKUP($A512,$A$4:$O$27,2,0)*(HLOOKUP(O$495,'2.2.Brecha Efectiva x UdM'!$H$64:$AK$70,2,0))))</f>
        <v>0</v>
      </c>
      <c r="P512" s="32">
        <f>(VLOOKUP($A512,$A$458:$O$482,2,0)*(HLOOKUP(P$495,'2.2.Brecha Efectiva x UdM'!$H$86:$AK$92,2,0))+(VLOOKUP($A512,$A$4:$O$27,2,0)*(HLOOKUP(P$495,'2.2.Brecha Efectiva x UdM'!$H$64:$AK$70,2,0))))</f>
        <v>0</v>
      </c>
      <c r="Q512" s="32">
        <f>(VLOOKUP($A512,$A$458:$O$482,2,0)*(HLOOKUP(Q$495,'2.2.Brecha Efectiva x UdM'!$H$86:$AK$92,2,0))+(VLOOKUP($A512,$A$4:$O$27,2,0)*(HLOOKUP(Q$495,'2.2.Brecha Efectiva x UdM'!$H$64:$AK$70,2,0))))</f>
        <v>0</v>
      </c>
      <c r="R512" s="32">
        <f>(VLOOKUP($A512,$A$458:$O$482,2,0)*(HLOOKUP(R$495,'2.2.Brecha Efectiva x UdM'!$H$86:$AK$92,2,0))+(VLOOKUP($A512,$A$4:$O$27,2,0)*(HLOOKUP(R$495,'2.2.Brecha Efectiva x UdM'!$H$64:$AK$70,2,0))))</f>
        <v>0</v>
      </c>
      <c r="S512" s="32">
        <f>(VLOOKUP($A512,$A$458:$O$482,2,0)*(HLOOKUP(S$495,'2.2.Brecha Efectiva x UdM'!$H$86:$AK$92,2,0))+(VLOOKUP($A512,$A$4:$O$27,2,0)*(HLOOKUP(S$495,'2.2.Brecha Efectiva x UdM'!$H$64:$AK$70,2,0))))</f>
        <v>0</v>
      </c>
      <c r="T512" s="32">
        <f>(VLOOKUP($A512,$A$458:$O$482,2,0)*(HLOOKUP(T$495,'2.2.Brecha Efectiva x UdM'!$H$86:$AK$92,2,0))+(VLOOKUP($A512,$A$4:$O$27,2,0)*(HLOOKUP(T$495,'2.2.Brecha Efectiva x UdM'!$H$64:$AK$70,2,0))))</f>
        <v>0</v>
      </c>
      <c r="U512" s="32">
        <f>(VLOOKUP($A512,$A$458:$O$482,2,0)*(HLOOKUP(U$495,'2.2.Brecha Efectiva x UdM'!$H$86:$AK$92,2,0))+(VLOOKUP($A512,$A$4:$O$27,2,0)*(HLOOKUP(U$495,'2.2.Brecha Efectiva x UdM'!$H$64:$AK$70,2,0))))</f>
        <v>0</v>
      </c>
      <c r="V512" s="32">
        <f>(VLOOKUP($A512,$A$458:$O$482,2,0)*(HLOOKUP(V$495,'2.2.Brecha Efectiva x UdM'!$H$86:$AK$92,2,0))+(VLOOKUP($A512,$A$4:$O$27,2,0)*(HLOOKUP(V$495,'2.2.Brecha Efectiva x UdM'!$H$64:$AK$70,2,0))))</f>
        <v>0</v>
      </c>
      <c r="W512" s="32">
        <f>(VLOOKUP($A512,$A$458:$O$482,2,0)*(HLOOKUP(W$495,'2.2.Brecha Efectiva x UdM'!$H$86:$AK$92,2,0))+(VLOOKUP($A512,$A$4:$O$27,2,0)*(HLOOKUP(W$495,'2.2.Brecha Efectiva x UdM'!$H$64:$AK$70,2,0))))</f>
        <v>0</v>
      </c>
      <c r="X512" s="32">
        <f>(VLOOKUP($A512,$A$458:$O$482,2,0)*(HLOOKUP(X$495,'2.2.Brecha Efectiva x UdM'!$H$86:$AK$92,2,0))+(VLOOKUP($A512,$A$4:$O$27,2,0)*(HLOOKUP(X$495,'2.2.Brecha Efectiva x UdM'!$H$64:$AK$70,2,0))))</f>
        <v>0</v>
      </c>
      <c r="Y512" s="32">
        <f>(VLOOKUP($A512,$A$458:$O$482,2,0)*(HLOOKUP(Y$495,'2.2.Brecha Efectiva x UdM'!$H$86:$AK$92,2,0))+(VLOOKUP($A512,$A$4:$O$27,2,0)*(HLOOKUP(Y$495,'2.2.Brecha Efectiva x UdM'!$H$64:$AK$70,2,0))))</f>
        <v>0</v>
      </c>
      <c r="Z512" s="32">
        <f>(VLOOKUP($A512,$A$458:$O$482,2,0)*(HLOOKUP(Z$495,'2.2.Brecha Efectiva x UdM'!$H$86:$AK$92,2,0))+(VLOOKUP($A512,$A$4:$O$27,2,0)*(HLOOKUP(Z$495,'2.2.Brecha Efectiva x UdM'!$H$64:$AK$70,2,0))))</f>
        <v>0</v>
      </c>
      <c r="AA512" s="32">
        <f>(VLOOKUP($A512,$A$458:$O$482,2,0)*(HLOOKUP(AA$495,'2.2.Brecha Efectiva x UdM'!$H$86:$AK$92,2,0))+(VLOOKUP($A512,$A$4:$O$27,2,0)*(HLOOKUP(AA$495,'2.2.Brecha Efectiva x UdM'!$H$64:$AK$70,2,0))))</f>
        <v>0</v>
      </c>
      <c r="AB512" s="32">
        <f>(VLOOKUP($A512,$A$458:$O$482,2,0)*(HLOOKUP(AB$495,'2.2.Brecha Efectiva x UdM'!$H$86:$AK$92,2,0))+(VLOOKUP($A512,$A$4:$O$27,2,0)*(HLOOKUP(AB$495,'2.2.Brecha Efectiva x UdM'!$H$64:$AK$70,2,0))))</f>
        <v>0</v>
      </c>
      <c r="AC512" s="32">
        <f>(VLOOKUP($A512,$A$458:$O$482,2,0)*(HLOOKUP(AC$495,'2.2.Brecha Efectiva x UdM'!$H$86:$AK$92,2,0))+(VLOOKUP($A512,$A$4:$O$27,2,0)*(HLOOKUP(AC$495,'2.2.Brecha Efectiva x UdM'!$H$64:$AK$70,2,0))))</f>
        <v>0</v>
      </c>
      <c r="AD512" s="32">
        <f>(VLOOKUP($A512,$A$458:$O$482,2,0)*(HLOOKUP(AD$495,'2.2.Brecha Efectiva x UdM'!$H$86:$AK$92,2,0))+(VLOOKUP($A512,$A$4:$O$27,2,0)*(HLOOKUP(AD$495,'2.2.Brecha Efectiva x UdM'!$H$64:$AK$70,2,0))))</f>
        <v>0</v>
      </c>
      <c r="AE512" s="32">
        <f>(VLOOKUP($A512,$A$458:$O$482,2,0)*(HLOOKUP(AE$495,'2.2.Brecha Efectiva x UdM'!$H$86:$AK$92,2,0))+(VLOOKUP($A512,$A$4:$O$27,2,0)*(HLOOKUP(AE$495,'2.2.Brecha Efectiva x UdM'!$H$64:$AK$70,2,0))))</f>
        <v>0</v>
      </c>
      <c r="AF512" s="32">
        <f>(VLOOKUP($A512,$A$458:$O$482,2,0)*(HLOOKUP(AF$495,'2.2.Brecha Efectiva x UdM'!$H$86:$AK$92,2,0))+(VLOOKUP($A512,$A$4:$O$27,2,0)*(HLOOKUP(AF$495,'2.2.Brecha Efectiva x UdM'!$H$64:$AK$70,2,0))))</f>
        <v>0</v>
      </c>
      <c r="AG512" s="32">
        <f>(VLOOKUP($A512,$A$458:$O$482,2,0)*(HLOOKUP(AG$495,'2.2.Brecha Efectiva x UdM'!$H$86:$AK$92,2,0))+(VLOOKUP($A512,$A$4:$O$27,2,0)*(HLOOKUP(AG$495,'2.2.Brecha Efectiva x UdM'!$H$64:$AK$70,2,0))))</f>
        <v>0</v>
      </c>
      <c r="AH512" s="62">
        <f t="shared" si="472"/>
        <v>740007741.2210201</v>
      </c>
    </row>
    <row r="513" spans="1:34" x14ac:dyDescent="0.2">
      <c r="A513" s="26" t="str">
        <f t="shared" si="469"/>
        <v>San Juan</v>
      </c>
      <c r="B513" s="52" t="str">
        <f t="shared" si="470"/>
        <v>Nombre UdM 1</v>
      </c>
      <c r="C513" s="26" t="str">
        <f t="shared" si="471"/>
        <v>San Juan Nombre UdM 1</v>
      </c>
      <c r="D513" s="31">
        <f>(VLOOKUP($A513,$A$458:$O$482,2,0)*(HLOOKUP(D$495,'2.2.Brecha Efectiva x UdM'!$H$86:$AK$92,2,0))+(VLOOKUP($A513,$A$4:$O$27,2,0)*(HLOOKUP(D$495,'2.2.Brecha Efectiva x UdM'!$H$64:$AK$70,2,0))))</f>
        <v>246356235.86002529</v>
      </c>
      <c r="E513" s="31">
        <f>(VLOOKUP($A513,$A$458:$O$482,2,0)*(HLOOKUP(E$495,'2.2.Brecha Efectiva x UdM'!$H$86:$AK$92,2,0))+(VLOOKUP($A513,$A$4:$O$27,2,0)*(HLOOKUP(E$495,'2.2.Brecha Efectiva x UdM'!$H$64:$AK$70,2,0))))</f>
        <v>248154873.87622976</v>
      </c>
      <c r="F513" s="31">
        <f>(VLOOKUP($A513,$A$458:$O$482,2,0)*(HLOOKUP(F$495,'2.2.Brecha Efectiva x UdM'!$H$86:$AK$92,2,0))+(VLOOKUP($A513,$A$4:$O$27,2,0)*(HLOOKUP(F$495,'2.2.Brecha Efectiva x UdM'!$H$64:$AK$70,2,0))))</f>
        <v>153899345.84644863</v>
      </c>
      <c r="G513" s="31">
        <f>(VLOOKUP($A513,$A$458:$O$482,2,0)*(HLOOKUP(G$495,'2.2.Brecha Efectiva x UdM'!$H$86:$AK$92,2,0))+(VLOOKUP($A513,$A$4:$O$27,2,0)*(HLOOKUP(G$495,'2.2.Brecha Efectiva x UdM'!$H$64:$AK$70,2,0))))</f>
        <v>121919455.04006585</v>
      </c>
      <c r="H513" s="31">
        <f>(VLOOKUP($A513,$A$458:$O$482,2,0)*(HLOOKUP(H$495,'2.2.Brecha Efectiva x UdM'!$H$86:$AK$92,2,0))+(VLOOKUP($A513,$A$4:$O$27,2,0)*(HLOOKUP(H$495,'2.2.Brecha Efectiva x UdM'!$H$64:$AK$70,2,0))))</f>
        <v>64236935.030842945</v>
      </c>
      <c r="I513" s="31">
        <f>(VLOOKUP($A513,$A$458:$O$482,2,0)*(HLOOKUP(I$495,'2.2.Brecha Efectiva x UdM'!$H$86:$AK$92,2,0))+(VLOOKUP($A513,$A$4:$O$27,2,0)*(HLOOKUP(I$495,'2.2.Brecha Efectiva x UdM'!$H$64:$AK$70,2,0))))</f>
        <v>64663929.801904857</v>
      </c>
      <c r="J513" s="31">
        <f>(VLOOKUP($A513,$A$458:$O$482,2,0)*(HLOOKUP(J$495,'2.2.Brecha Efectiva x UdM'!$H$86:$AK$92,2,0))+(VLOOKUP($A513,$A$4:$O$27,2,0)*(HLOOKUP(J$495,'2.2.Brecha Efectiva x UdM'!$H$64:$AK$70,2,0))))</f>
        <v>65083395.044590652</v>
      </c>
      <c r="K513" s="31">
        <f>(VLOOKUP($A513,$A$458:$O$482,2,0)*(HLOOKUP(K$495,'2.2.Brecha Efectiva x UdM'!$H$86:$AK$92,2,0))+(VLOOKUP($A513,$A$4:$O$27,2,0)*(HLOOKUP(K$495,'2.2.Brecha Efectiva x UdM'!$H$64:$AK$70,2,0))))</f>
        <v>60423507.006043658</v>
      </c>
      <c r="L513" s="31">
        <f>(VLOOKUP($A513,$A$458:$O$482,2,0)*(HLOOKUP(L$495,'2.2.Brecha Efectiva x UdM'!$H$86:$AK$92,2,0))+(VLOOKUP($A513,$A$4:$O$27,2,0)*(HLOOKUP(L$495,'2.2.Brecha Efectiva x UdM'!$H$64:$AK$70,2,0))))</f>
        <v>60797020.677370429</v>
      </c>
      <c r="M513" s="31">
        <f>(VLOOKUP($A513,$A$458:$O$482,2,0)*(HLOOKUP(M$495,'2.2.Brecha Efectiva x UdM'!$H$86:$AK$92,2,0))+(VLOOKUP($A513,$A$4:$O$27,2,0)*(HLOOKUP(M$495,'2.2.Brecha Efectiva x UdM'!$H$64:$AK$70,2,0))))</f>
        <v>61163784.719393805</v>
      </c>
      <c r="N513" s="31">
        <f>(VLOOKUP($A513,$A$458:$O$482,2,0)*(HLOOKUP(N$495,'2.2.Brecha Efectiva x UdM'!$H$86:$AK$92,2,0))+(VLOOKUP($A513,$A$4:$O$27,2,0)*(HLOOKUP(N$495,'2.2.Brecha Efectiva x UdM'!$H$64:$AK$70,2,0))))</f>
        <v>0</v>
      </c>
      <c r="O513" s="31">
        <f>(VLOOKUP($A513,$A$458:$O$482,2,0)*(HLOOKUP(O$495,'2.2.Brecha Efectiva x UdM'!$H$86:$AK$92,2,0))+(VLOOKUP($A513,$A$4:$O$27,2,0)*(HLOOKUP(O$495,'2.2.Brecha Efectiva x UdM'!$H$64:$AK$70,2,0))))</f>
        <v>0</v>
      </c>
      <c r="P513" s="31">
        <f>(VLOOKUP($A513,$A$458:$O$482,2,0)*(HLOOKUP(P$495,'2.2.Brecha Efectiva x UdM'!$H$86:$AK$92,2,0))+(VLOOKUP($A513,$A$4:$O$27,2,0)*(HLOOKUP(P$495,'2.2.Brecha Efectiva x UdM'!$H$64:$AK$70,2,0))))</f>
        <v>0</v>
      </c>
      <c r="Q513" s="31">
        <f>(VLOOKUP($A513,$A$458:$O$482,2,0)*(HLOOKUP(Q$495,'2.2.Brecha Efectiva x UdM'!$H$86:$AK$92,2,0))+(VLOOKUP($A513,$A$4:$O$27,2,0)*(HLOOKUP(Q$495,'2.2.Brecha Efectiva x UdM'!$H$64:$AK$70,2,0))))</f>
        <v>0</v>
      </c>
      <c r="R513" s="31">
        <f>(VLOOKUP($A513,$A$458:$O$482,2,0)*(HLOOKUP(R$495,'2.2.Brecha Efectiva x UdM'!$H$86:$AK$92,2,0))+(VLOOKUP($A513,$A$4:$O$27,2,0)*(HLOOKUP(R$495,'2.2.Brecha Efectiva x UdM'!$H$64:$AK$70,2,0))))</f>
        <v>0</v>
      </c>
      <c r="S513" s="31">
        <f>(VLOOKUP($A513,$A$458:$O$482,2,0)*(HLOOKUP(S$495,'2.2.Brecha Efectiva x UdM'!$H$86:$AK$92,2,0))+(VLOOKUP($A513,$A$4:$O$27,2,0)*(HLOOKUP(S$495,'2.2.Brecha Efectiva x UdM'!$H$64:$AK$70,2,0))))</f>
        <v>0</v>
      </c>
      <c r="T513" s="31">
        <f>(VLOOKUP($A513,$A$458:$O$482,2,0)*(HLOOKUP(T$495,'2.2.Brecha Efectiva x UdM'!$H$86:$AK$92,2,0))+(VLOOKUP($A513,$A$4:$O$27,2,0)*(HLOOKUP(T$495,'2.2.Brecha Efectiva x UdM'!$H$64:$AK$70,2,0))))</f>
        <v>0</v>
      </c>
      <c r="U513" s="31">
        <f>(VLOOKUP($A513,$A$458:$O$482,2,0)*(HLOOKUP(U$495,'2.2.Brecha Efectiva x UdM'!$H$86:$AK$92,2,0))+(VLOOKUP($A513,$A$4:$O$27,2,0)*(HLOOKUP(U$495,'2.2.Brecha Efectiva x UdM'!$H$64:$AK$70,2,0))))</f>
        <v>0</v>
      </c>
      <c r="V513" s="31">
        <f>(VLOOKUP($A513,$A$458:$O$482,2,0)*(HLOOKUP(V$495,'2.2.Brecha Efectiva x UdM'!$H$86:$AK$92,2,0))+(VLOOKUP($A513,$A$4:$O$27,2,0)*(HLOOKUP(V$495,'2.2.Brecha Efectiva x UdM'!$H$64:$AK$70,2,0))))</f>
        <v>0</v>
      </c>
      <c r="W513" s="31">
        <f>(VLOOKUP($A513,$A$458:$O$482,2,0)*(HLOOKUP(W$495,'2.2.Brecha Efectiva x UdM'!$H$86:$AK$92,2,0))+(VLOOKUP($A513,$A$4:$O$27,2,0)*(HLOOKUP(W$495,'2.2.Brecha Efectiva x UdM'!$H$64:$AK$70,2,0))))</f>
        <v>0</v>
      </c>
      <c r="X513" s="31">
        <f>(VLOOKUP($A513,$A$458:$O$482,2,0)*(HLOOKUP(X$495,'2.2.Brecha Efectiva x UdM'!$H$86:$AK$92,2,0))+(VLOOKUP($A513,$A$4:$O$27,2,0)*(HLOOKUP(X$495,'2.2.Brecha Efectiva x UdM'!$H$64:$AK$70,2,0))))</f>
        <v>0</v>
      </c>
      <c r="Y513" s="31">
        <f>(VLOOKUP($A513,$A$458:$O$482,2,0)*(HLOOKUP(Y$495,'2.2.Brecha Efectiva x UdM'!$H$86:$AK$92,2,0))+(VLOOKUP($A513,$A$4:$O$27,2,0)*(HLOOKUP(Y$495,'2.2.Brecha Efectiva x UdM'!$H$64:$AK$70,2,0))))</f>
        <v>0</v>
      </c>
      <c r="Z513" s="31">
        <f>(VLOOKUP($A513,$A$458:$O$482,2,0)*(HLOOKUP(Z$495,'2.2.Brecha Efectiva x UdM'!$H$86:$AK$92,2,0))+(VLOOKUP($A513,$A$4:$O$27,2,0)*(HLOOKUP(Z$495,'2.2.Brecha Efectiva x UdM'!$H$64:$AK$70,2,0))))</f>
        <v>0</v>
      </c>
      <c r="AA513" s="31">
        <f>(VLOOKUP($A513,$A$458:$O$482,2,0)*(HLOOKUP(AA$495,'2.2.Brecha Efectiva x UdM'!$H$86:$AK$92,2,0))+(VLOOKUP($A513,$A$4:$O$27,2,0)*(HLOOKUP(AA$495,'2.2.Brecha Efectiva x UdM'!$H$64:$AK$70,2,0))))</f>
        <v>0</v>
      </c>
      <c r="AB513" s="31">
        <f>(VLOOKUP($A513,$A$458:$O$482,2,0)*(HLOOKUP(AB$495,'2.2.Brecha Efectiva x UdM'!$H$86:$AK$92,2,0))+(VLOOKUP($A513,$A$4:$O$27,2,0)*(HLOOKUP(AB$495,'2.2.Brecha Efectiva x UdM'!$H$64:$AK$70,2,0))))</f>
        <v>0</v>
      </c>
      <c r="AC513" s="31">
        <f>(VLOOKUP($A513,$A$458:$O$482,2,0)*(HLOOKUP(AC$495,'2.2.Brecha Efectiva x UdM'!$H$86:$AK$92,2,0))+(VLOOKUP($A513,$A$4:$O$27,2,0)*(HLOOKUP(AC$495,'2.2.Brecha Efectiva x UdM'!$H$64:$AK$70,2,0))))</f>
        <v>0</v>
      </c>
      <c r="AD513" s="31">
        <f>(VLOOKUP($A513,$A$458:$O$482,2,0)*(HLOOKUP(AD$495,'2.2.Brecha Efectiva x UdM'!$H$86:$AK$92,2,0))+(VLOOKUP($A513,$A$4:$O$27,2,0)*(HLOOKUP(AD$495,'2.2.Brecha Efectiva x UdM'!$H$64:$AK$70,2,0))))</f>
        <v>0</v>
      </c>
      <c r="AE513" s="31">
        <f>(VLOOKUP($A513,$A$458:$O$482,2,0)*(HLOOKUP(AE$495,'2.2.Brecha Efectiva x UdM'!$H$86:$AK$92,2,0))+(VLOOKUP($A513,$A$4:$O$27,2,0)*(HLOOKUP(AE$495,'2.2.Brecha Efectiva x UdM'!$H$64:$AK$70,2,0))))</f>
        <v>0</v>
      </c>
      <c r="AF513" s="31">
        <f>(VLOOKUP($A513,$A$458:$O$482,2,0)*(HLOOKUP(AF$495,'2.2.Brecha Efectiva x UdM'!$H$86:$AK$92,2,0))+(VLOOKUP($A513,$A$4:$O$27,2,0)*(HLOOKUP(AF$495,'2.2.Brecha Efectiva x UdM'!$H$64:$AK$70,2,0))))</f>
        <v>0</v>
      </c>
      <c r="AG513" s="31">
        <f>(VLOOKUP($A513,$A$458:$O$482,2,0)*(HLOOKUP(AG$495,'2.2.Brecha Efectiva x UdM'!$H$86:$AK$92,2,0))+(VLOOKUP($A513,$A$4:$O$27,2,0)*(HLOOKUP(AG$495,'2.2.Brecha Efectiva x UdM'!$H$64:$AK$70,2,0))))</f>
        <v>0</v>
      </c>
      <c r="AH513" s="63">
        <f t="shared" si="472"/>
        <v>1146698482.902916</v>
      </c>
    </row>
    <row r="514" spans="1:34" x14ac:dyDescent="0.2">
      <c r="A514" s="25" t="str">
        <f t="shared" si="469"/>
        <v>San Luis</v>
      </c>
      <c r="B514" s="51" t="str">
        <f t="shared" si="470"/>
        <v>Nombre UdM 1</v>
      </c>
      <c r="C514" s="25" t="str">
        <f t="shared" si="471"/>
        <v>San Luis Nombre UdM 1</v>
      </c>
      <c r="D514" s="32">
        <f>(VLOOKUP($A514,$A$458:$O$482,2,0)*(HLOOKUP(D$495,'2.2.Brecha Efectiva x UdM'!$H$86:$AK$92,2,0))+(VLOOKUP($A514,$A$4:$O$27,2,0)*(HLOOKUP(D$495,'2.2.Brecha Efectiva x UdM'!$H$64:$AK$70,2,0))))</f>
        <v>138564505.38261592</v>
      </c>
      <c r="E514" s="32">
        <f>(VLOOKUP($A514,$A$458:$O$482,2,0)*(HLOOKUP(E$495,'2.2.Brecha Efectiva x UdM'!$H$86:$AK$92,2,0))+(VLOOKUP($A514,$A$4:$O$27,2,0)*(HLOOKUP(E$495,'2.2.Brecha Efectiva x UdM'!$H$64:$AK$70,2,0))))</f>
        <v>139576159.85203779</v>
      </c>
      <c r="F514" s="32">
        <f>(VLOOKUP($A514,$A$458:$O$482,2,0)*(HLOOKUP(F$495,'2.2.Brecha Efectiva x UdM'!$H$86:$AK$92,2,0))+(VLOOKUP($A514,$A$4:$O$27,2,0)*(HLOOKUP(F$495,'2.2.Brecha Efectiva x UdM'!$H$64:$AK$70,2,0))))</f>
        <v>86561586.969682962</v>
      </c>
      <c r="G514" s="32">
        <f>(VLOOKUP($A514,$A$458:$O$482,2,0)*(HLOOKUP(G$495,'2.2.Brecha Efectiva x UdM'!$H$86:$AK$92,2,0))+(VLOOKUP($A514,$A$4:$O$27,2,0)*(HLOOKUP(G$495,'2.2.Brecha Efectiva x UdM'!$H$64:$AK$70,2,0))))</f>
        <v>68574310.389055774</v>
      </c>
      <c r="H514" s="32">
        <f>(VLOOKUP($A514,$A$458:$O$482,2,0)*(HLOOKUP(H$495,'2.2.Brecha Efectiva x UdM'!$H$86:$AK$92,2,0))+(VLOOKUP($A514,$A$4:$O$27,2,0)*(HLOOKUP(H$495,'2.2.Brecha Efectiva x UdM'!$H$64:$AK$70,2,0))))</f>
        <v>36130439.72185602</v>
      </c>
      <c r="I514" s="32">
        <f>(VLOOKUP($A514,$A$458:$O$482,2,0)*(HLOOKUP(I$495,'2.2.Brecha Efectiva x UdM'!$H$86:$AK$92,2,0))+(VLOOKUP($A514,$A$4:$O$27,2,0)*(HLOOKUP(I$495,'2.2.Brecha Efectiva x UdM'!$H$64:$AK$70,2,0))))</f>
        <v>36370605.427613817</v>
      </c>
      <c r="J514" s="32">
        <f>(VLOOKUP($A514,$A$458:$O$482,2,0)*(HLOOKUP(J$495,'2.2.Brecha Efectiva x UdM'!$H$86:$AK$92,2,0))+(VLOOKUP($A514,$A$4:$O$27,2,0)*(HLOOKUP(J$495,'2.2.Brecha Efectiva x UdM'!$H$64:$AK$70,2,0))))</f>
        <v>36606536.106108919</v>
      </c>
      <c r="K514" s="32">
        <f>(VLOOKUP($A514,$A$458:$O$482,2,0)*(HLOOKUP(K$495,'2.2.Brecha Efectiva x UdM'!$H$86:$AK$92,2,0))+(VLOOKUP($A514,$A$4:$O$27,2,0)*(HLOOKUP(K$495,'2.2.Brecha Efectiva x UdM'!$H$64:$AK$70,2,0))))</f>
        <v>33985554.830982998</v>
      </c>
      <c r="L514" s="32">
        <f>(VLOOKUP($A514,$A$458:$O$482,2,0)*(HLOOKUP(L$495,'2.2.Brecha Efectiva x UdM'!$H$86:$AK$92,2,0))+(VLOOKUP($A514,$A$4:$O$27,2,0)*(HLOOKUP(L$495,'2.2.Brecha Efectiva x UdM'!$H$64:$AK$70,2,0))))</f>
        <v>34195639.779473789</v>
      </c>
      <c r="M514" s="32">
        <f>(VLOOKUP($A514,$A$458:$O$482,2,0)*(HLOOKUP(M$495,'2.2.Brecha Efectiva x UdM'!$H$86:$AK$92,2,0))+(VLOOKUP($A514,$A$4:$O$27,2,0)*(HLOOKUP(M$495,'2.2.Brecha Efectiva x UdM'!$H$64:$AK$70,2,0))))</f>
        <v>34401928.359495662</v>
      </c>
      <c r="N514" s="32">
        <f>(VLOOKUP($A514,$A$458:$O$482,2,0)*(HLOOKUP(N$495,'2.2.Brecha Efectiva x UdM'!$H$86:$AK$92,2,0))+(VLOOKUP($A514,$A$4:$O$27,2,0)*(HLOOKUP(N$495,'2.2.Brecha Efectiva x UdM'!$H$64:$AK$70,2,0))))</f>
        <v>0</v>
      </c>
      <c r="O514" s="32">
        <f>(VLOOKUP($A514,$A$458:$O$482,2,0)*(HLOOKUP(O$495,'2.2.Brecha Efectiva x UdM'!$H$86:$AK$92,2,0))+(VLOOKUP($A514,$A$4:$O$27,2,0)*(HLOOKUP(O$495,'2.2.Brecha Efectiva x UdM'!$H$64:$AK$70,2,0))))</f>
        <v>0</v>
      </c>
      <c r="P514" s="32">
        <f>(VLOOKUP($A514,$A$458:$O$482,2,0)*(HLOOKUP(P$495,'2.2.Brecha Efectiva x UdM'!$H$86:$AK$92,2,0))+(VLOOKUP($A514,$A$4:$O$27,2,0)*(HLOOKUP(P$495,'2.2.Brecha Efectiva x UdM'!$H$64:$AK$70,2,0))))</f>
        <v>0</v>
      </c>
      <c r="Q514" s="32">
        <f>(VLOOKUP($A514,$A$458:$O$482,2,0)*(HLOOKUP(Q$495,'2.2.Brecha Efectiva x UdM'!$H$86:$AK$92,2,0))+(VLOOKUP($A514,$A$4:$O$27,2,0)*(HLOOKUP(Q$495,'2.2.Brecha Efectiva x UdM'!$H$64:$AK$70,2,0))))</f>
        <v>0</v>
      </c>
      <c r="R514" s="32">
        <f>(VLOOKUP($A514,$A$458:$O$482,2,0)*(HLOOKUP(R$495,'2.2.Brecha Efectiva x UdM'!$H$86:$AK$92,2,0))+(VLOOKUP($A514,$A$4:$O$27,2,0)*(HLOOKUP(R$495,'2.2.Brecha Efectiva x UdM'!$H$64:$AK$70,2,0))))</f>
        <v>0</v>
      </c>
      <c r="S514" s="32">
        <f>(VLOOKUP($A514,$A$458:$O$482,2,0)*(HLOOKUP(S$495,'2.2.Brecha Efectiva x UdM'!$H$86:$AK$92,2,0))+(VLOOKUP($A514,$A$4:$O$27,2,0)*(HLOOKUP(S$495,'2.2.Brecha Efectiva x UdM'!$H$64:$AK$70,2,0))))</f>
        <v>0</v>
      </c>
      <c r="T514" s="32">
        <f>(VLOOKUP($A514,$A$458:$O$482,2,0)*(HLOOKUP(T$495,'2.2.Brecha Efectiva x UdM'!$H$86:$AK$92,2,0))+(VLOOKUP($A514,$A$4:$O$27,2,0)*(HLOOKUP(T$495,'2.2.Brecha Efectiva x UdM'!$H$64:$AK$70,2,0))))</f>
        <v>0</v>
      </c>
      <c r="U514" s="32">
        <f>(VLOOKUP($A514,$A$458:$O$482,2,0)*(HLOOKUP(U$495,'2.2.Brecha Efectiva x UdM'!$H$86:$AK$92,2,0))+(VLOOKUP($A514,$A$4:$O$27,2,0)*(HLOOKUP(U$495,'2.2.Brecha Efectiva x UdM'!$H$64:$AK$70,2,0))))</f>
        <v>0</v>
      </c>
      <c r="V514" s="32">
        <f>(VLOOKUP($A514,$A$458:$O$482,2,0)*(HLOOKUP(V$495,'2.2.Brecha Efectiva x UdM'!$H$86:$AK$92,2,0))+(VLOOKUP($A514,$A$4:$O$27,2,0)*(HLOOKUP(V$495,'2.2.Brecha Efectiva x UdM'!$H$64:$AK$70,2,0))))</f>
        <v>0</v>
      </c>
      <c r="W514" s="32">
        <f>(VLOOKUP($A514,$A$458:$O$482,2,0)*(HLOOKUP(W$495,'2.2.Brecha Efectiva x UdM'!$H$86:$AK$92,2,0))+(VLOOKUP($A514,$A$4:$O$27,2,0)*(HLOOKUP(W$495,'2.2.Brecha Efectiva x UdM'!$H$64:$AK$70,2,0))))</f>
        <v>0</v>
      </c>
      <c r="X514" s="32">
        <f>(VLOOKUP($A514,$A$458:$O$482,2,0)*(HLOOKUP(X$495,'2.2.Brecha Efectiva x UdM'!$H$86:$AK$92,2,0))+(VLOOKUP($A514,$A$4:$O$27,2,0)*(HLOOKUP(X$495,'2.2.Brecha Efectiva x UdM'!$H$64:$AK$70,2,0))))</f>
        <v>0</v>
      </c>
      <c r="Y514" s="32">
        <f>(VLOOKUP($A514,$A$458:$O$482,2,0)*(HLOOKUP(Y$495,'2.2.Brecha Efectiva x UdM'!$H$86:$AK$92,2,0))+(VLOOKUP($A514,$A$4:$O$27,2,0)*(HLOOKUP(Y$495,'2.2.Brecha Efectiva x UdM'!$H$64:$AK$70,2,0))))</f>
        <v>0</v>
      </c>
      <c r="Z514" s="32">
        <f>(VLOOKUP($A514,$A$458:$O$482,2,0)*(HLOOKUP(Z$495,'2.2.Brecha Efectiva x UdM'!$H$86:$AK$92,2,0))+(VLOOKUP($A514,$A$4:$O$27,2,0)*(HLOOKUP(Z$495,'2.2.Brecha Efectiva x UdM'!$H$64:$AK$70,2,0))))</f>
        <v>0</v>
      </c>
      <c r="AA514" s="32">
        <f>(VLOOKUP($A514,$A$458:$O$482,2,0)*(HLOOKUP(AA$495,'2.2.Brecha Efectiva x UdM'!$H$86:$AK$92,2,0))+(VLOOKUP($A514,$A$4:$O$27,2,0)*(HLOOKUP(AA$495,'2.2.Brecha Efectiva x UdM'!$H$64:$AK$70,2,0))))</f>
        <v>0</v>
      </c>
      <c r="AB514" s="32">
        <f>(VLOOKUP($A514,$A$458:$O$482,2,0)*(HLOOKUP(AB$495,'2.2.Brecha Efectiva x UdM'!$H$86:$AK$92,2,0))+(VLOOKUP($A514,$A$4:$O$27,2,0)*(HLOOKUP(AB$495,'2.2.Brecha Efectiva x UdM'!$H$64:$AK$70,2,0))))</f>
        <v>0</v>
      </c>
      <c r="AC514" s="32">
        <f>(VLOOKUP($A514,$A$458:$O$482,2,0)*(HLOOKUP(AC$495,'2.2.Brecha Efectiva x UdM'!$H$86:$AK$92,2,0))+(VLOOKUP($A514,$A$4:$O$27,2,0)*(HLOOKUP(AC$495,'2.2.Brecha Efectiva x UdM'!$H$64:$AK$70,2,0))))</f>
        <v>0</v>
      </c>
      <c r="AD514" s="32">
        <f>(VLOOKUP($A514,$A$458:$O$482,2,0)*(HLOOKUP(AD$495,'2.2.Brecha Efectiva x UdM'!$H$86:$AK$92,2,0))+(VLOOKUP($A514,$A$4:$O$27,2,0)*(HLOOKUP(AD$495,'2.2.Brecha Efectiva x UdM'!$H$64:$AK$70,2,0))))</f>
        <v>0</v>
      </c>
      <c r="AE514" s="32">
        <f>(VLOOKUP($A514,$A$458:$O$482,2,0)*(HLOOKUP(AE$495,'2.2.Brecha Efectiva x UdM'!$H$86:$AK$92,2,0))+(VLOOKUP($A514,$A$4:$O$27,2,0)*(HLOOKUP(AE$495,'2.2.Brecha Efectiva x UdM'!$H$64:$AK$70,2,0))))</f>
        <v>0</v>
      </c>
      <c r="AF514" s="32">
        <f>(VLOOKUP($A514,$A$458:$O$482,2,0)*(HLOOKUP(AF$495,'2.2.Brecha Efectiva x UdM'!$H$86:$AK$92,2,0))+(VLOOKUP($A514,$A$4:$O$27,2,0)*(HLOOKUP(AF$495,'2.2.Brecha Efectiva x UdM'!$H$64:$AK$70,2,0))))</f>
        <v>0</v>
      </c>
      <c r="AG514" s="32">
        <f>(VLOOKUP($A514,$A$458:$O$482,2,0)*(HLOOKUP(AG$495,'2.2.Brecha Efectiva x UdM'!$H$86:$AK$92,2,0))+(VLOOKUP($A514,$A$4:$O$27,2,0)*(HLOOKUP(AG$495,'2.2.Brecha Efectiva x UdM'!$H$64:$AK$70,2,0))))</f>
        <v>0</v>
      </c>
      <c r="AH514" s="62">
        <f t="shared" si="472"/>
        <v>644967266.81892359</v>
      </c>
    </row>
    <row r="515" spans="1:34" x14ac:dyDescent="0.2">
      <c r="A515" s="26" t="str">
        <f t="shared" si="469"/>
        <v>Santa Cruz</v>
      </c>
      <c r="B515" s="52" t="str">
        <f t="shared" si="470"/>
        <v>Nombre UdM 1</v>
      </c>
      <c r="C515" s="26" t="str">
        <f t="shared" si="471"/>
        <v>Santa Cruz Nombre UdM 1</v>
      </c>
      <c r="D515" s="31">
        <f>(VLOOKUP($A515,$A$458:$O$482,2,0)*(HLOOKUP(D$495,'2.2.Brecha Efectiva x UdM'!$H$86:$AK$92,2,0))+(VLOOKUP($A515,$A$4:$O$27,2,0)*(HLOOKUP(D$495,'2.2.Brecha Efectiva x UdM'!$H$64:$AK$70,2,0))))</f>
        <v>931029240.07292342</v>
      </c>
      <c r="E515" s="31">
        <f>(VLOOKUP($A515,$A$458:$O$482,2,0)*(HLOOKUP(E$495,'2.2.Brecha Efectiva x UdM'!$H$86:$AK$92,2,0))+(VLOOKUP($A515,$A$4:$O$27,2,0)*(HLOOKUP(E$495,'2.2.Brecha Efectiva x UdM'!$H$64:$AK$70,2,0))))</f>
        <v>937826651.06415391</v>
      </c>
      <c r="F515" s="31">
        <f>(VLOOKUP($A515,$A$458:$O$482,2,0)*(HLOOKUP(F$495,'2.2.Brecha Efectiva x UdM'!$H$86:$AK$92,2,0))+(VLOOKUP($A515,$A$4:$O$27,2,0)*(HLOOKUP(F$495,'2.2.Brecha Efectiva x UdM'!$H$64:$AK$70,2,0))))</f>
        <v>581616253.84043729</v>
      </c>
      <c r="G515" s="31">
        <f>(VLOOKUP($A515,$A$458:$O$482,2,0)*(HLOOKUP(G$495,'2.2.Brecha Efectiva x UdM'!$H$86:$AK$92,2,0))+(VLOOKUP($A515,$A$4:$O$27,2,0)*(HLOOKUP(G$495,'2.2.Brecha Efectiva x UdM'!$H$64:$AK$70,2,0))))</f>
        <v>460757882.5021174</v>
      </c>
      <c r="H515" s="31">
        <f>(VLOOKUP($A515,$A$458:$O$482,2,0)*(HLOOKUP(H$495,'2.2.Brecha Efectiva x UdM'!$H$86:$AK$92,2,0))+(VLOOKUP($A515,$A$4:$O$27,2,0)*(HLOOKUP(H$495,'2.2.Brecha Efectiva x UdM'!$H$64:$AK$70,2,0))))</f>
        <v>242764160.5969345</v>
      </c>
      <c r="I515" s="31">
        <f>(VLOOKUP($A515,$A$458:$O$482,2,0)*(HLOOKUP(I$495,'2.2.Brecha Efectiva x UdM'!$H$86:$AK$92,2,0))+(VLOOKUP($A515,$A$4:$O$27,2,0)*(HLOOKUP(I$495,'2.2.Brecha Efectiva x UdM'!$H$64:$AK$70,2,0))))</f>
        <v>244377858.80850631</v>
      </c>
      <c r="J515" s="31">
        <f>(VLOOKUP($A515,$A$458:$O$482,2,0)*(HLOOKUP(J$495,'2.2.Brecha Efectiva x UdM'!$H$86:$AK$92,2,0))+(VLOOKUP($A515,$A$4:$O$27,2,0)*(HLOOKUP(J$495,'2.2.Brecha Efectiva x UdM'!$H$64:$AK$70,2,0))))</f>
        <v>245963101.43397272</v>
      </c>
      <c r="K515" s="31">
        <f>(VLOOKUP($A515,$A$458:$O$482,2,0)*(HLOOKUP(K$495,'2.2.Brecha Efectiva x UdM'!$H$86:$AK$92,2,0))+(VLOOKUP($A515,$A$4:$O$27,2,0)*(HLOOKUP(K$495,'2.2.Brecha Efectiva x UdM'!$H$64:$AK$70,2,0))))</f>
        <v>228352457.22110057</v>
      </c>
      <c r="L515" s="31">
        <f>(VLOOKUP($A515,$A$458:$O$482,2,0)*(HLOOKUP(L$495,'2.2.Brecha Efectiva x UdM'!$H$86:$AK$92,2,0))+(VLOOKUP($A515,$A$4:$O$27,2,0)*(HLOOKUP(L$495,'2.2.Brecha Efectiva x UdM'!$H$64:$AK$70,2,0))))</f>
        <v>229764039.71406332</v>
      </c>
      <c r="M515" s="31">
        <f>(VLOOKUP($A515,$A$458:$O$482,2,0)*(HLOOKUP(M$495,'2.2.Brecha Efectiva x UdM'!$H$86:$AK$92,2,0))+(VLOOKUP($A515,$A$4:$O$27,2,0)*(HLOOKUP(M$495,'2.2.Brecha Efectiva x UdM'!$H$64:$AK$70,2,0))))</f>
        <v>231150114.01471594</v>
      </c>
      <c r="N515" s="31">
        <f>(VLOOKUP($A515,$A$458:$O$482,2,0)*(HLOOKUP(N$495,'2.2.Brecha Efectiva x UdM'!$H$86:$AK$92,2,0))+(VLOOKUP($A515,$A$4:$O$27,2,0)*(HLOOKUP(N$495,'2.2.Brecha Efectiva x UdM'!$H$64:$AK$70,2,0))))</f>
        <v>0</v>
      </c>
      <c r="O515" s="31">
        <f>(VLOOKUP($A515,$A$458:$O$482,2,0)*(HLOOKUP(O$495,'2.2.Brecha Efectiva x UdM'!$H$86:$AK$92,2,0))+(VLOOKUP($A515,$A$4:$O$27,2,0)*(HLOOKUP(O$495,'2.2.Brecha Efectiva x UdM'!$H$64:$AK$70,2,0))))</f>
        <v>0</v>
      </c>
      <c r="P515" s="31">
        <f>(VLOOKUP($A515,$A$458:$O$482,2,0)*(HLOOKUP(P$495,'2.2.Brecha Efectiva x UdM'!$H$86:$AK$92,2,0))+(VLOOKUP($A515,$A$4:$O$27,2,0)*(HLOOKUP(P$495,'2.2.Brecha Efectiva x UdM'!$H$64:$AK$70,2,0))))</f>
        <v>0</v>
      </c>
      <c r="Q515" s="31">
        <f>(VLOOKUP($A515,$A$458:$O$482,2,0)*(HLOOKUP(Q$495,'2.2.Brecha Efectiva x UdM'!$H$86:$AK$92,2,0))+(VLOOKUP($A515,$A$4:$O$27,2,0)*(HLOOKUP(Q$495,'2.2.Brecha Efectiva x UdM'!$H$64:$AK$70,2,0))))</f>
        <v>0</v>
      </c>
      <c r="R515" s="31">
        <f>(VLOOKUP($A515,$A$458:$O$482,2,0)*(HLOOKUP(R$495,'2.2.Brecha Efectiva x UdM'!$H$86:$AK$92,2,0))+(VLOOKUP($A515,$A$4:$O$27,2,0)*(HLOOKUP(R$495,'2.2.Brecha Efectiva x UdM'!$H$64:$AK$70,2,0))))</f>
        <v>0</v>
      </c>
      <c r="S515" s="31">
        <f>(VLOOKUP($A515,$A$458:$O$482,2,0)*(HLOOKUP(S$495,'2.2.Brecha Efectiva x UdM'!$H$86:$AK$92,2,0))+(VLOOKUP($A515,$A$4:$O$27,2,0)*(HLOOKUP(S$495,'2.2.Brecha Efectiva x UdM'!$H$64:$AK$70,2,0))))</f>
        <v>0</v>
      </c>
      <c r="T515" s="31">
        <f>(VLOOKUP($A515,$A$458:$O$482,2,0)*(HLOOKUP(T$495,'2.2.Brecha Efectiva x UdM'!$H$86:$AK$92,2,0))+(VLOOKUP($A515,$A$4:$O$27,2,0)*(HLOOKUP(T$495,'2.2.Brecha Efectiva x UdM'!$H$64:$AK$70,2,0))))</f>
        <v>0</v>
      </c>
      <c r="U515" s="31">
        <f>(VLOOKUP($A515,$A$458:$O$482,2,0)*(HLOOKUP(U$495,'2.2.Brecha Efectiva x UdM'!$H$86:$AK$92,2,0))+(VLOOKUP($A515,$A$4:$O$27,2,0)*(HLOOKUP(U$495,'2.2.Brecha Efectiva x UdM'!$H$64:$AK$70,2,0))))</f>
        <v>0</v>
      </c>
      <c r="V515" s="31">
        <f>(VLOOKUP($A515,$A$458:$O$482,2,0)*(HLOOKUP(V$495,'2.2.Brecha Efectiva x UdM'!$H$86:$AK$92,2,0))+(VLOOKUP($A515,$A$4:$O$27,2,0)*(HLOOKUP(V$495,'2.2.Brecha Efectiva x UdM'!$H$64:$AK$70,2,0))))</f>
        <v>0</v>
      </c>
      <c r="W515" s="31">
        <f>(VLOOKUP($A515,$A$458:$O$482,2,0)*(HLOOKUP(W$495,'2.2.Brecha Efectiva x UdM'!$H$86:$AK$92,2,0))+(VLOOKUP($A515,$A$4:$O$27,2,0)*(HLOOKUP(W$495,'2.2.Brecha Efectiva x UdM'!$H$64:$AK$70,2,0))))</f>
        <v>0</v>
      </c>
      <c r="X515" s="31">
        <f>(VLOOKUP($A515,$A$458:$O$482,2,0)*(HLOOKUP(X$495,'2.2.Brecha Efectiva x UdM'!$H$86:$AK$92,2,0))+(VLOOKUP($A515,$A$4:$O$27,2,0)*(HLOOKUP(X$495,'2.2.Brecha Efectiva x UdM'!$H$64:$AK$70,2,0))))</f>
        <v>0</v>
      </c>
      <c r="Y515" s="31">
        <f>(VLOOKUP($A515,$A$458:$O$482,2,0)*(HLOOKUP(Y$495,'2.2.Brecha Efectiva x UdM'!$H$86:$AK$92,2,0))+(VLOOKUP($A515,$A$4:$O$27,2,0)*(HLOOKUP(Y$495,'2.2.Brecha Efectiva x UdM'!$H$64:$AK$70,2,0))))</f>
        <v>0</v>
      </c>
      <c r="Z515" s="31">
        <f>(VLOOKUP($A515,$A$458:$O$482,2,0)*(HLOOKUP(Z$495,'2.2.Brecha Efectiva x UdM'!$H$86:$AK$92,2,0))+(VLOOKUP($A515,$A$4:$O$27,2,0)*(HLOOKUP(Z$495,'2.2.Brecha Efectiva x UdM'!$H$64:$AK$70,2,0))))</f>
        <v>0</v>
      </c>
      <c r="AA515" s="31">
        <f>(VLOOKUP($A515,$A$458:$O$482,2,0)*(HLOOKUP(AA$495,'2.2.Brecha Efectiva x UdM'!$H$86:$AK$92,2,0))+(VLOOKUP($A515,$A$4:$O$27,2,0)*(HLOOKUP(AA$495,'2.2.Brecha Efectiva x UdM'!$H$64:$AK$70,2,0))))</f>
        <v>0</v>
      </c>
      <c r="AB515" s="31">
        <f>(VLOOKUP($A515,$A$458:$O$482,2,0)*(HLOOKUP(AB$495,'2.2.Brecha Efectiva x UdM'!$H$86:$AK$92,2,0))+(VLOOKUP($A515,$A$4:$O$27,2,0)*(HLOOKUP(AB$495,'2.2.Brecha Efectiva x UdM'!$H$64:$AK$70,2,0))))</f>
        <v>0</v>
      </c>
      <c r="AC515" s="31">
        <f>(VLOOKUP($A515,$A$458:$O$482,2,0)*(HLOOKUP(AC$495,'2.2.Brecha Efectiva x UdM'!$H$86:$AK$92,2,0))+(VLOOKUP($A515,$A$4:$O$27,2,0)*(HLOOKUP(AC$495,'2.2.Brecha Efectiva x UdM'!$H$64:$AK$70,2,0))))</f>
        <v>0</v>
      </c>
      <c r="AD515" s="31">
        <f>(VLOOKUP($A515,$A$458:$O$482,2,0)*(HLOOKUP(AD$495,'2.2.Brecha Efectiva x UdM'!$H$86:$AK$92,2,0))+(VLOOKUP($A515,$A$4:$O$27,2,0)*(HLOOKUP(AD$495,'2.2.Brecha Efectiva x UdM'!$H$64:$AK$70,2,0))))</f>
        <v>0</v>
      </c>
      <c r="AE515" s="31">
        <f>(VLOOKUP($A515,$A$458:$O$482,2,0)*(HLOOKUP(AE$495,'2.2.Brecha Efectiva x UdM'!$H$86:$AK$92,2,0))+(VLOOKUP($A515,$A$4:$O$27,2,0)*(HLOOKUP(AE$495,'2.2.Brecha Efectiva x UdM'!$H$64:$AK$70,2,0))))</f>
        <v>0</v>
      </c>
      <c r="AF515" s="31">
        <f>(VLOOKUP($A515,$A$458:$O$482,2,0)*(HLOOKUP(AF$495,'2.2.Brecha Efectiva x UdM'!$H$86:$AK$92,2,0))+(VLOOKUP($A515,$A$4:$O$27,2,0)*(HLOOKUP(AF$495,'2.2.Brecha Efectiva x UdM'!$H$64:$AK$70,2,0))))</f>
        <v>0</v>
      </c>
      <c r="AG515" s="31">
        <f>(VLOOKUP($A515,$A$458:$O$482,2,0)*(HLOOKUP(AG$495,'2.2.Brecha Efectiva x UdM'!$H$86:$AK$92,2,0))+(VLOOKUP($A515,$A$4:$O$27,2,0)*(HLOOKUP(AG$495,'2.2.Brecha Efectiva x UdM'!$H$64:$AK$70,2,0))))</f>
        <v>0</v>
      </c>
      <c r="AH515" s="63">
        <f t="shared" si="472"/>
        <v>4333601759.2689257</v>
      </c>
    </row>
    <row r="516" spans="1:34" x14ac:dyDescent="0.2">
      <c r="A516" s="25" t="str">
        <f t="shared" si="469"/>
        <v>Santa Fe</v>
      </c>
      <c r="B516" s="51" t="str">
        <f t="shared" si="470"/>
        <v>Nombre UdM 1</v>
      </c>
      <c r="C516" s="25" t="str">
        <f t="shared" si="471"/>
        <v>Santa Fe Nombre UdM 1</v>
      </c>
      <c r="D516" s="32">
        <f>(VLOOKUP($A516,$A$458:$O$482,2,0)*(HLOOKUP(D$495,'2.2.Brecha Efectiva x UdM'!$H$86:$AK$92,2,0))+(VLOOKUP($A516,$A$4:$O$27,2,0)*(HLOOKUP(D$495,'2.2.Brecha Efectiva x UdM'!$H$64:$AK$70,2,0))))</f>
        <v>143369434.40008205</v>
      </c>
      <c r="E516" s="32">
        <f>(VLOOKUP($A516,$A$458:$O$482,2,0)*(HLOOKUP(E$495,'2.2.Brecha Efectiva x UdM'!$H$86:$AK$92,2,0))+(VLOOKUP($A516,$A$4:$O$27,2,0)*(HLOOKUP(E$495,'2.2.Brecha Efectiva x UdM'!$H$64:$AK$70,2,0))))</f>
        <v>144416169.48341981</v>
      </c>
      <c r="F516" s="32">
        <f>(VLOOKUP($A516,$A$458:$O$482,2,0)*(HLOOKUP(F$495,'2.2.Brecha Efectiva x UdM'!$H$86:$AK$92,2,0))+(VLOOKUP($A516,$A$4:$O$27,2,0)*(HLOOKUP(F$495,'2.2.Brecha Efectiva x UdM'!$H$64:$AK$70,2,0))))</f>
        <v>89563237.932749346</v>
      </c>
      <c r="G516" s="32">
        <f>(VLOOKUP($A516,$A$458:$O$482,2,0)*(HLOOKUP(G$495,'2.2.Brecha Efectiva x UdM'!$H$86:$AK$92,2,0))+(VLOOKUP($A516,$A$4:$O$27,2,0)*(HLOOKUP(G$495,'2.2.Brecha Efectiva x UdM'!$H$64:$AK$70,2,0))))</f>
        <v>70952225.952145129</v>
      </c>
      <c r="H516" s="32">
        <f>(VLOOKUP($A516,$A$458:$O$482,2,0)*(HLOOKUP(H$495,'2.2.Brecha Efectiva x UdM'!$H$86:$AK$92,2,0))+(VLOOKUP($A516,$A$4:$O$27,2,0)*(HLOOKUP(H$495,'2.2.Brecha Efectiva x UdM'!$H$64:$AK$70,2,0))))</f>
        <v>37383316.11869362</v>
      </c>
      <c r="I516" s="32">
        <f>(VLOOKUP($A516,$A$458:$O$482,2,0)*(HLOOKUP(I$495,'2.2.Brecha Efectiva x UdM'!$H$86:$AK$92,2,0))+(VLOOKUP($A516,$A$4:$O$27,2,0)*(HLOOKUP(I$495,'2.2.Brecha Efectiva x UdM'!$H$64:$AK$70,2,0))))</f>
        <v>37631809.925254792</v>
      </c>
      <c r="J516" s="32">
        <f>(VLOOKUP($A516,$A$458:$O$482,2,0)*(HLOOKUP(J$495,'2.2.Brecha Efectiva x UdM'!$H$86:$AK$92,2,0))+(VLOOKUP($A516,$A$4:$O$27,2,0)*(HLOOKUP(J$495,'2.2.Brecha Efectiva x UdM'!$H$64:$AK$70,2,0))))</f>
        <v>37875921.848723717</v>
      </c>
      <c r="K516" s="32">
        <f>(VLOOKUP($A516,$A$458:$O$482,2,0)*(HLOOKUP(K$495,'2.2.Brecha Efectiva x UdM'!$H$86:$AK$92,2,0))+(VLOOKUP($A516,$A$4:$O$27,2,0)*(HLOOKUP(K$495,'2.2.Brecha Efectiva x UdM'!$H$64:$AK$70,2,0))))</f>
        <v>35164054.174167335</v>
      </c>
      <c r="L516" s="32">
        <f>(VLOOKUP($A516,$A$458:$O$482,2,0)*(HLOOKUP(L$495,'2.2.Brecha Efectiva x UdM'!$H$86:$AK$92,2,0))+(VLOOKUP($A516,$A$4:$O$27,2,0)*(HLOOKUP(L$495,'2.2.Brecha Efectiva x UdM'!$H$64:$AK$70,2,0))))</f>
        <v>35381424.128744997</v>
      </c>
      <c r="M516" s="32">
        <f>(VLOOKUP($A516,$A$458:$O$482,2,0)*(HLOOKUP(M$495,'2.2.Brecha Efectiva x UdM'!$H$86:$AK$92,2,0))+(VLOOKUP($A516,$A$4:$O$27,2,0)*(HLOOKUP(M$495,'2.2.Brecha Efectiva x UdM'!$H$64:$AK$70,2,0))))</f>
        <v>35594866.070166185</v>
      </c>
      <c r="N516" s="32">
        <f>(VLOOKUP($A516,$A$458:$O$482,2,0)*(HLOOKUP(N$495,'2.2.Brecha Efectiva x UdM'!$H$86:$AK$92,2,0))+(VLOOKUP($A516,$A$4:$O$27,2,0)*(HLOOKUP(N$495,'2.2.Brecha Efectiva x UdM'!$H$64:$AK$70,2,0))))</f>
        <v>0</v>
      </c>
      <c r="O516" s="32">
        <f>(VLOOKUP($A516,$A$458:$O$482,2,0)*(HLOOKUP(O$495,'2.2.Brecha Efectiva x UdM'!$H$86:$AK$92,2,0))+(VLOOKUP($A516,$A$4:$O$27,2,0)*(HLOOKUP(O$495,'2.2.Brecha Efectiva x UdM'!$H$64:$AK$70,2,0))))</f>
        <v>0</v>
      </c>
      <c r="P516" s="32">
        <f>(VLOOKUP($A516,$A$458:$O$482,2,0)*(HLOOKUP(P$495,'2.2.Brecha Efectiva x UdM'!$H$86:$AK$92,2,0))+(VLOOKUP($A516,$A$4:$O$27,2,0)*(HLOOKUP(P$495,'2.2.Brecha Efectiva x UdM'!$H$64:$AK$70,2,0))))</f>
        <v>0</v>
      </c>
      <c r="Q516" s="32">
        <f>(VLOOKUP($A516,$A$458:$O$482,2,0)*(HLOOKUP(Q$495,'2.2.Brecha Efectiva x UdM'!$H$86:$AK$92,2,0))+(VLOOKUP($A516,$A$4:$O$27,2,0)*(HLOOKUP(Q$495,'2.2.Brecha Efectiva x UdM'!$H$64:$AK$70,2,0))))</f>
        <v>0</v>
      </c>
      <c r="R516" s="32">
        <f>(VLOOKUP($A516,$A$458:$O$482,2,0)*(HLOOKUP(R$495,'2.2.Brecha Efectiva x UdM'!$H$86:$AK$92,2,0))+(VLOOKUP($A516,$A$4:$O$27,2,0)*(HLOOKUP(R$495,'2.2.Brecha Efectiva x UdM'!$H$64:$AK$70,2,0))))</f>
        <v>0</v>
      </c>
      <c r="S516" s="32">
        <f>(VLOOKUP($A516,$A$458:$O$482,2,0)*(HLOOKUP(S$495,'2.2.Brecha Efectiva x UdM'!$H$86:$AK$92,2,0))+(VLOOKUP($A516,$A$4:$O$27,2,0)*(HLOOKUP(S$495,'2.2.Brecha Efectiva x UdM'!$H$64:$AK$70,2,0))))</f>
        <v>0</v>
      </c>
      <c r="T516" s="32">
        <f>(VLOOKUP($A516,$A$458:$O$482,2,0)*(HLOOKUP(T$495,'2.2.Brecha Efectiva x UdM'!$H$86:$AK$92,2,0))+(VLOOKUP($A516,$A$4:$O$27,2,0)*(HLOOKUP(T$495,'2.2.Brecha Efectiva x UdM'!$H$64:$AK$70,2,0))))</f>
        <v>0</v>
      </c>
      <c r="U516" s="32">
        <f>(VLOOKUP($A516,$A$458:$O$482,2,0)*(HLOOKUP(U$495,'2.2.Brecha Efectiva x UdM'!$H$86:$AK$92,2,0))+(VLOOKUP($A516,$A$4:$O$27,2,0)*(HLOOKUP(U$495,'2.2.Brecha Efectiva x UdM'!$H$64:$AK$70,2,0))))</f>
        <v>0</v>
      </c>
      <c r="V516" s="32">
        <f>(VLOOKUP($A516,$A$458:$O$482,2,0)*(HLOOKUP(V$495,'2.2.Brecha Efectiva x UdM'!$H$86:$AK$92,2,0))+(VLOOKUP($A516,$A$4:$O$27,2,0)*(HLOOKUP(V$495,'2.2.Brecha Efectiva x UdM'!$H$64:$AK$70,2,0))))</f>
        <v>0</v>
      </c>
      <c r="W516" s="32">
        <f>(VLOOKUP($A516,$A$458:$O$482,2,0)*(HLOOKUP(W$495,'2.2.Brecha Efectiva x UdM'!$H$86:$AK$92,2,0))+(VLOOKUP($A516,$A$4:$O$27,2,0)*(HLOOKUP(W$495,'2.2.Brecha Efectiva x UdM'!$H$64:$AK$70,2,0))))</f>
        <v>0</v>
      </c>
      <c r="X516" s="32">
        <f>(VLOOKUP($A516,$A$458:$O$482,2,0)*(HLOOKUP(X$495,'2.2.Brecha Efectiva x UdM'!$H$86:$AK$92,2,0))+(VLOOKUP($A516,$A$4:$O$27,2,0)*(HLOOKUP(X$495,'2.2.Brecha Efectiva x UdM'!$H$64:$AK$70,2,0))))</f>
        <v>0</v>
      </c>
      <c r="Y516" s="32">
        <f>(VLOOKUP($A516,$A$458:$O$482,2,0)*(HLOOKUP(Y$495,'2.2.Brecha Efectiva x UdM'!$H$86:$AK$92,2,0))+(VLOOKUP($A516,$A$4:$O$27,2,0)*(HLOOKUP(Y$495,'2.2.Brecha Efectiva x UdM'!$H$64:$AK$70,2,0))))</f>
        <v>0</v>
      </c>
      <c r="Z516" s="32">
        <f>(VLOOKUP($A516,$A$458:$O$482,2,0)*(HLOOKUP(Z$495,'2.2.Brecha Efectiva x UdM'!$H$86:$AK$92,2,0))+(VLOOKUP($A516,$A$4:$O$27,2,0)*(HLOOKUP(Z$495,'2.2.Brecha Efectiva x UdM'!$H$64:$AK$70,2,0))))</f>
        <v>0</v>
      </c>
      <c r="AA516" s="32">
        <f>(VLOOKUP($A516,$A$458:$O$482,2,0)*(HLOOKUP(AA$495,'2.2.Brecha Efectiva x UdM'!$H$86:$AK$92,2,0))+(VLOOKUP($A516,$A$4:$O$27,2,0)*(HLOOKUP(AA$495,'2.2.Brecha Efectiva x UdM'!$H$64:$AK$70,2,0))))</f>
        <v>0</v>
      </c>
      <c r="AB516" s="32">
        <f>(VLOOKUP($A516,$A$458:$O$482,2,0)*(HLOOKUP(AB$495,'2.2.Brecha Efectiva x UdM'!$H$86:$AK$92,2,0))+(VLOOKUP($A516,$A$4:$O$27,2,0)*(HLOOKUP(AB$495,'2.2.Brecha Efectiva x UdM'!$H$64:$AK$70,2,0))))</f>
        <v>0</v>
      </c>
      <c r="AC516" s="32">
        <f>(VLOOKUP($A516,$A$458:$O$482,2,0)*(HLOOKUP(AC$495,'2.2.Brecha Efectiva x UdM'!$H$86:$AK$92,2,0))+(VLOOKUP($A516,$A$4:$O$27,2,0)*(HLOOKUP(AC$495,'2.2.Brecha Efectiva x UdM'!$H$64:$AK$70,2,0))))</f>
        <v>0</v>
      </c>
      <c r="AD516" s="32">
        <f>(VLOOKUP($A516,$A$458:$O$482,2,0)*(HLOOKUP(AD$495,'2.2.Brecha Efectiva x UdM'!$H$86:$AK$92,2,0))+(VLOOKUP($A516,$A$4:$O$27,2,0)*(HLOOKUP(AD$495,'2.2.Brecha Efectiva x UdM'!$H$64:$AK$70,2,0))))</f>
        <v>0</v>
      </c>
      <c r="AE516" s="32">
        <f>(VLOOKUP($A516,$A$458:$O$482,2,0)*(HLOOKUP(AE$495,'2.2.Brecha Efectiva x UdM'!$H$86:$AK$92,2,0))+(VLOOKUP($A516,$A$4:$O$27,2,0)*(HLOOKUP(AE$495,'2.2.Brecha Efectiva x UdM'!$H$64:$AK$70,2,0))))</f>
        <v>0</v>
      </c>
      <c r="AF516" s="32">
        <f>(VLOOKUP($A516,$A$458:$O$482,2,0)*(HLOOKUP(AF$495,'2.2.Brecha Efectiva x UdM'!$H$86:$AK$92,2,0))+(VLOOKUP($A516,$A$4:$O$27,2,0)*(HLOOKUP(AF$495,'2.2.Brecha Efectiva x UdM'!$H$64:$AK$70,2,0))))</f>
        <v>0</v>
      </c>
      <c r="AG516" s="32">
        <f>(VLOOKUP($A516,$A$458:$O$482,2,0)*(HLOOKUP(AG$495,'2.2.Brecha Efectiva x UdM'!$H$86:$AK$92,2,0))+(VLOOKUP($A516,$A$4:$O$27,2,0)*(HLOOKUP(AG$495,'2.2.Brecha Efectiva x UdM'!$H$64:$AK$70,2,0))))</f>
        <v>0</v>
      </c>
      <c r="AH516" s="62">
        <f t="shared" si="472"/>
        <v>667332460.03414702</v>
      </c>
    </row>
    <row r="517" spans="1:34" x14ac:dyDescent="0.2">
      <c r="A517" s="26" t="str">
        <f t="shared" si="469"/>
        <v>Santiago del Estero</v>
      </c>
      <c r="B517" s="52" t="str">
        <f t="shared" si="470"/>
        <v>Nombre UdM 1</v>
      </c>
      <c r="C517" s="26" t="str">
        <f t="shared" si="471"/>
        <v>Santiago del Estero Nombre UdM 1</v>
      </c>
      <c r="D517" s="31">
        <f>(VLOOKUP($A517,$A$458:$O$482,2,0)*(HLOOKUP(D$495,'2.2.Brecha Efectiva x UdM'!$H$86:$AK$92,2,0))+(VLOOKUP($A517,$A$4:$O$27,2,0)*(HLOOKUP(D$495,'2.2.Brecha Efectiva x UdM'!$H$64:$AK$70,2,0))))</f>
        <v>130941888.47850877</v>
      </c>
      <c r="E517" s="31">
        <f>(VLOOKUP($A517,$A$458:$O$482,2,0)*(HLOOKUP(E$495,'2.2.Brecha Efectiva x UdM'!$H$86:$AK$92,2,0))+(VLOOKUP($A517,$A$4:$O$27,2,0)*(HLOOKUP(E$495,'2.2.Brecha Efectiva x UdM'!$H$64:$AK$70,2,0))))</f>
        <v>131897890.4961109</v>
      </c>
      <c r="F517" s="31">
        <f>(VLOOKUP($A517,$A$458:$O$482,2,0)*(HLOOKUP(F$495,'2.2.Brecha Efectiva x UdM'!$H$86:$AK$92,2,0))+(VLOOKUP($A517,$A$4:$O$27,2,0)*(HLOOKUP(F$495,'2.2.Brecha Efectiva x UdM'!$H$64:$AK$70,2,0))))</f>
        <v>81799719.460687906</v>
      </c>
      <c r="G517" s="31">
        <f>(VLOOKUP($A517,$A$458:$O$482,2,0)*(HLOOKUP(G$495,'2.2.Brecha Efectiva x UdM'!$H$86:$AK$92,2,0))+(VLOOKUP($A517,$A$4:$O$27,2,0)*(HLOOKUP(G$495,'2.2.Brecha Efectiva x UdM'!$H$64:$AK$70,2,0))))</f>
        <v>64801946.780383095</v>
      </c>
      <c r="H517" s="31">
        <f>(VLOOKUP($A517,$A$458:$O$482,2,0)*(HLOOKUP(H$495,'2.2.Brecha Efectiva x UdM'!$H$86:$AK$92,2,0))+(VLOOKUP($A517,$A$4:$O$27,2,0)*(HLOOKUP(H$495,'2.2.Brecha Efectiva x UdM'!$H$64:$AK$70,2,0))))</f>
        <v>34142856.395114705</v>
      </c>
      <c r="I517" s="31">
        <f>(VLOOKUP($A517,$A$458:$O$482,2,0)*(HLOOKUP(I$495,'2.2.Brecha Efectiva x UdM'!$H$86:$AK$92,2,0))+(VLOOKUP($A517,$A$4:$O$27,2,0)*(HLOOKUP(I$495,'2.2.Brecha Efectiva x UdM'!$H$64:$AK$70,2,0))))</f>
        <v>34369810.267413124</v>
      </c>
      <c r="J517" s="31">
        <f>(VLOOKUP($A517,$A$458:$O$482,2,0)*(HLOOKUP(J$495,'2.2.Brecha Efectiva x UdM'!$H$86:$AK$92,2,0))+(VLOOKUP($A517,$A$4:$O$27,2,0)*(HLOOKUP(J$495,'2.2.Brecha Efectiva x UdM'!$H$64:$AK$70,2,0))))</f>
        <v>34592762.086905852</v>
      </c>
      <c r="K517" s="31">
        <f>(VLOOKUP($A517,$A$458:$O$482,2,0)*(HLOOKUP(K$495,'2.2.Brecha Efectiva x UdM'!$H$86:$AK$92,2,0))+(VLOOKUP($A517,$A$4:$O$27,2,0)*(HLOOKUP(K$495,'2.2.Brecha Efectiva x UdM'!$H$64:$AK$70,2,0))))</f>
        <v>32115964.461971991</v>
      </c>
      <c r="L517" s="31">
        <f>(VLOOKUP($A517,$A$458:$O$482,2,0)*(HLOOKUP(L$495,'2.2.Brecha Efectiva x UdM'!$H$86:$AK$92,2,0))+(VLOOKUP($A517,$A$4:$O$27,2,0)*(HLOOKUP(L$495,'2.2.Brecha Efectiva x UdM'!$H$64:$AK$70,2,0))))</f>
        <v>32314492.359288368</v>
      </c>
      <c r="M517" s="31">
        <f>(VLOOKUP($A517,$A$458:$O$482,2,0)*(HLOOKUP(M$495,'2.2.Brecha Efectiva x UdM'!$H$86:$AK$92,2,0))+(VLOOKUP($A517,$A$4:$O$27,2,0)*(HLOOKUP(M$495,'2.2.Brecha Efectiva x UdM'!$H$64:$AK$70,2,0))))</f>
        <v>32509432.731391791</v>
      </c>
      <c r="N517" s="31">
        <f>(VLOOKUP($A517,$A$458:$O$482,2,0)*(HLOOKUP(N$495,'2.2.Brecha Efectiva x UdM'!$H$86:$AK$92,2,0))+(VLOOKUP($A517,$A$4:$O$27,2,0)*(HLOOKUP(N$495,'2.2.Brecha Efectiva x UdM'!$H$64:$AK$70,2,0))))</f>
        <v>0</v>
      </c>
      <c r="O517" s="31">
        <f>(VLOOKUP($A517,$A$458:$O$482,2,0)*(HLOOKUP(O$495,'2.2.Brecha Efectiva x UdM'!$H$86:$AK$92,2,0))+(VLOOKUP($A517,$A$4:$O$27,2,0)*(HLOOKUP(O$495,'2.2.Brecha Efectiva x UdM'!$H$64:$AK$70,2,0))))</f>
        <v>0</v>
      </c>
      <c r="P517" s="31">
        <f>(VLOOKUP($A517,$A$458:$O$482,2,0)*(HLOOKUP(P$495,'2.2.Brecha Efectiva x UdM'!$H$86:$AK$92,2,0))+(VLOOKUP($A517,$A$4:$O$27,2,0)*(HLOOKUP(P$495,'2.2.Brecha Efectiva x UdM'!$H$64:$AK$70,2,0))))</f>
        <v>0</v>
      </c>
      <c r="Q517" s="31">
        <f>(VLOOKUP($A517,$A$458:$O$482,2,0)*(HLOOKUP(Q$495,'2.2.Brecha Efectiva x UdM'!$H$86:$AK$92,2,0))+(VLOOKUP($A517,$A$4:$O$27,2,0)*(HLOOKUP(Q$495,'2.2.Brecha Efectiva x UdM'!$H$64:$AK$70,2,0))))</f>
        <v>0</v>
      </c>
      <c r="R517" s="31">
        <f>(VLOOKUP($A517,$A$458:$O$482,2,0)*(HLOOKUP(R$495,'2.2.Brecha Efectiva x UdM'!$H$86:$AK$92,2,0))+(VLOOKUP($A517,$A$4:$O$27,2,0)*(HLOOKUP(R$495,'2.2.Brecha Efectiva x UdM'!$H$64:$AK$70,2,0))))</f>
        <v>0</v>
      </c>
      <c r="S517" s="31">
        <f>(VLOOKUP($A517,$A$458:$O$482,2,0)*(HLOOKUP(S$495,'2.2.Brecha Efectiva x UdM'!$H$86:$AK$92,2,0))+(VLOOKUP($A517,$A$4:$O$27,2,0)*(HLOOKUP(S$495,'2.2.Brecha Efectiva x UdM'!$H$64:$AK$70,2,0))))</f>
        <v>0</v>
      </c>
      <c r="T517" s="31">
        <f>(VLOOKUP($A517,$A$458:$O$482,2,0)*(HLOOKUP(T$495,'2.2.Brecha Efectiva x UdM'!$H$86:$AK$92,2,0))+(VLOOKUP($A517,$A$4:$O$27,2,0)*(HLOOKUP(T$495,'2.2.Brecha Efectiva x UdM'!$H$64:$AK$70,2,0))))</f>
        <v>0</v>
      </c>
      <c r="U517" s="31">
        <f>(VLOOKUP($A517,$A$458:$O$482,2,0)*(HLOOKUP(U$495,'2.2.Brecha Efectiva x UdM'!$H$86:$AK$92,2,0))+(VLOOKUP($A517,$A$4:$O$27,2,0)*(HLOOKUP(U$495,'2.2.Brecha Efectiva x UdM'!$H$64:$AK$70,2,0))))</f>
        <v>0</v>
      </c>
      <c r="V517" s="31">
        <f>(VLOOKUP($A517,$A$458:$O$482,2,0)*(HLOOKUP(V$495,'2.2.Brecha Efectiva x UdM'!$H$86:$AK$92,2,0))+(VLOOKUP($A517,$A$4:$O$27,2,0)*(HLOOKUP(V$495,'2.2.Brecha Efectiva x UdM'!$H$64:$AK$70,2,0))))</f>
        <v>0</v>
      </c>
      <c r="W517" s="31">
        <f>(VLOOKUP($A517,$A$458:$O$482,2,0)*(HLOOKUP(W$495,'2.2.Brecha Efectiva x UdM'!$H$86:$AK$92,2,0))+(VLOOKUP($A517,$A$4:$O$27,2,0)*(HLOOKUP(W$495,'2.2.Brecha Efectiva x UdM'!$H$64:$AK$70,2,0))))</f>
        <v>0</v>
      </c>
      <c r="X517" s="31">
        <f>(VLOOKUP($A517,$A$458:$O$482,2,0)*(HLOOKUP(X$495,'2.2.Brecha Efectiva x UdM'!$H$86:$AK$92,2,0))+(VLOOKUP($A517,$A$4:$O$27,2,0)*(HLOOKUP(X$495,'2.2.Brecha Efectiva x UdM'!$H$64:$AK$70,2,0))))</f>
        <v>0</v>
      </c>
      <c r="Y517" s="31">
        <f>(VLOOKUP($A517,$A$458:$O$482,2,0)*(HLOOKUP(Y$495,'2.2.Brecha Efectiva x UdM'!$H$86:$AK$92,2,0))+(VLOOKUP($A517,$A$4:$O$27,2,0)*(HLOOKUP(Y$495,'2.2.Brecha Efectiva x UdM'!$H$64:$AK$70,2,0))))</f>
        <v>0</v>
      </c>
      <c r="Z517" s="31">
        <f>(VLOOKUP($A517,$A$458:$O$482,2,0)*(HLOOKUP(Z$495,'2.2.Brecha Efectiva x UdM'!$H$86:$AK$92,2,0))+(VLOOKUP($A517,$A$4:$O$27,2,0)*(HLOOKUP(Z$495,'2.2.Brecha Efectiva x UdM'!$H$64:$AK$70,2,0))))</f>
        <v>0</v>
      </c>
      <c r="AA517" s="31">
        <f>(VLOOKUP($A517,$A$458:$O$482,2,0)*(HLOOKUP(AA$495,'2.2.Brecha Efectiva x UdM'!$H$86:$AK$92,2,0))+(VLOOKUP($A517,$A$4:$O$27,2,0)*(HLOOKUP(AA$495,'2.2.Brecha Efectiva x UdM'!$H$64:$AK$70,2,0))))</f>
        <v>0</v>
      </c>
      <c r="AB517" s="31">
        <f>(VLOOKUP($A517,$A$458:$O$482,2,0)*(HLOOKUP(AB$495,'2.2.Brecha Efectiva x UdM'!$H$86:$AK$92,2,0))+(VLOOKUP($A517,$A$4:$O$27,2,0)*(HLOOKUP(AB$495,'2.2.Brecha Efectiva x UdM'!$H$64:$AK$70,2,0))))</f>
        <v>0</v>
      </c>
      <c r="AC517" s="31">
        <f>(VLOOKUP($A517,$A$458:$O$482,2,0)*(HLOOKUP(AC$495,'2.2.Brecha Efectiva x UdM'!$H$86:$AK$92,2,0))+(VLOOKUP($A517,$A$4:$O$27,2,0)*(HLOOKUP(AC$495,'2.2.Brecha Efectiva x UdM'!$H$64:$AK$70,2,0))))</f>
        <v>0</v>
      </c>
      <c r="AD517" s="31">
        <f>(VLOOKUP($A517,$A$458:$O$482,2,0)*(HLOOKUP(AD$495,'2.2.Brecha Efectiva x UdM'!$H$86:$AK$92,2,0))+(VLOOKUP($A517,$A$4:$O$27,2,0)*(HLOOKUP(AD$495,'2.2.Brecha Efectiva x UdM'!$H$64:$AK$70,2,0))))</f>
        <v>0</v>
      </c>
      <c r="AE517" s="31">
        <f>(VLOOKUP($A517,$A$458:$O$482,2,0)*(HLOOKUP(AE$495,'2.2.Brecha Efectiva x UdM'!$H$86:$AK$92,2,0))+(VLOOKUP($A517,$A$4:$O$27,2,0)*(HLOOKUP(AE$495,'2.2.Brecha Efectiva x UdM'!$H$64:$AK$70,2,0))))</f>
        <v>0</v>
      </c>
      <c r="AF517" s="31">
        <f>(VLOOKUP($A517,$A$458:$O$482,2,0)*(HLOOKUP(AF$495,'2.2.Brecha Efectiva x UdM'!$H$86:$AK$92,2,0))+(VLOOKUP($A517,$A$4:$O$27,2,0)*(HLOOKUP(AF$495,'2.2.Brecha Efectiva x UdM'!$H$64:$AK$70,2,0))))</f>
        <v>0</v>
      </c>
      <c r="AG517" s="31">
        <f>(VLOOKUP($A517,$A$458:$O$482,2,0)*(HLOOKUP(AG$495,'2.2.Brecha Efectiva x UdM'!$H$86:$AK$92,2,0))+(VLOOKUP($A517,$A$4:$O$27,2,0)*(HLOOKUP(AG$495,'2.2.Brecha Efectiva x UdM'!$H$64:$AK$70,2,0))))</f>
        <v>0</v>
      </c>
      <c r="AH517" s="63">
        <f t="shared" si="472"/>
        <v>609486763.51777649</v>
      </c>
    </row>
    <row r="518" spans="1:34" x14ac:dyDescent="0.2">
      <c r="A518" s="25" t="str">
        <f t="shared" si="469"/>
        <v>Tierra del Fuego</v>
      </c>
      <c r="B518" s="51" t="str">
        <f t="shared" si="470"/>
        <v>Nombre UdM 1</v>
      </c>
      <c r="C518" s="25" t="str">
        <f t="shared" si="471"/>
        <v>Tierra del Fuego Nombre UdM 1</v>
      </c>
      <c r="D518" s="32">
        <f>(VLOOKUP($A518,$A$458:$O$482,2,0)*(HLOOKUP(D$495,'2.2.Brecha Efectiva x UdM'!$H$86:$AK$92,2,0))+(VLOOKUP($A518,$A$4:$O$27,2,0)*(HLOOKUP(D$495,'2.2.Brecha Efectiva x UdM'!$H$64:$AK$70,2,0))))</f>
        <v>86607371.169574276</v>
      </c>
      <c r="E518" s="32">
        <f>(VLOOKUP($A518,$A$458:$O$482,2,0)*(HLOOKUP(E$495,'2.2.Brecha Efectiva x UdM'!$H$86:$AK$92,2,0))+(VLOOKUP($A518,$A$4:$O$27,2,0)*(HLOOKUP(E$495,'2.2.Brecha Efectiva x UdM'!$H$64:$AK$70,2,0))))</f>
        <v>87239688.471084088</v>
      </c>
      <c r="F518" s="32">
        <f>(VLOOKUP($A518,$A$458:$O$482,2,0)*(HLOOKUP(F$495,'2.2.Brecha Efectiva x UdM'!$H$86:$AK$92,2,0))+(VLOOKUP($A518,$A$4:$O$27,2,0)*(HLOOKUP(F$495,'2.2.Brecha Efectiva x UdM'!$H$64:$AK$70,2,0))))</f>
        <v>54103837.566552304</v>
      </c>
      <c r="G518" s="32">
        <f>(VLOOKUP($A518,$A$458:$O$482,2,0)*(HLOOKUP(G$495,'2.2.Brecha Efectiva x UdM'!$H$86:$AK$92,2,0))+(VLOOKUP($A518,$A$4:$O$27,2,0)*(HLOOKUP(G$495,'2.2.Brecha Efectiva x UdM'!$H$64:$AK$70,2,0))))</f>
        <v>42861198.372289993</v>
      </c>
      <c r="H518" s="32">
        <f>(VLOOKUP($A518,$A$458:$O$482,2,0)*(HLOOKUP(H$495,'2.2.Brecha Efectiva x UdM'!$H$86:$AK$92,2,0))+(VLOOKUP($A518,$A$4:$O$27,2,0)*(HLOOKUP(H$495,'2.2.Brecha Efectiva x UdM'!$H$64:$AK$70,2,0))))</f>
        <v>22582712.61366833</v>
      </c>
      <c r="I518" s="32">
        <f>(VLOOKUP($A518,$A$458:$O$482,2,0)*(HLOOKUP(I$495,'2.2.Brecha Efectiva x UdM'!$H$86:$AK$92,2,0))+(VLOOKUP($A518,$A$4:$O$27,2,0)*(HLOOKUP(I$495,'2.2.Brecha Efectiva x UdM'!$H$64:$AK$70,2,0))))</f>
        <v>22732824.075209893</v>
      </c>
      <c r="J518" s="32">
        <f>(VLOOKUP($A518,$A$458:$O$482,2,0)*(HLOOKUP(J$495,'2.2.Brecha Efectiva x UdM'!$H$86:$AK$92,2,0))+(VLOOKUP($A518,$A$4:$O$27,2,0)*(HLOOKUP(J$495,'2.2.Brecha Efectiva x UdM'!$H$64:$AK$70,2,0))))</f>
        <v>22880288.505485836</v>
      </c>
      <c r="K518" s="32">
        <f>(VLOOKUP($A518,$A$458:$O$482,2,0)*(HLOOKUP(K$495,'2.2.Brecha Efectiva x UdM'!$H$86:$AK$92,2,0))+(VLOOKUP($A518,$A$4:$O$27,2,0)*(HLOOKUP(K$495,'2.2.Brecha Efectiva x UdM'!$H$64:$AK$70,2,0))))</f>
        <v>21242089.043823313</v>
      </c>
      <c r="L518" s="32">
        <f>(VLOOKUP($A518,$A$458:$O$482,2,0)*(HLOOKUP(L$495,'2.2.Brecha Efectiva x UdM'!$H$86:$AK$92,2,0))+(VLOOKUP($A518,$A$4:$O$27,2,0)*(HLOOKUP(L$495,'2.2.Brecha Efectiva x UdM'!$H$64:$AK$70,2,0))))</f>
        <v>21373399.043168683</v>
      </c>
      <c r="M518" s="32">
        <f>(VLOOKUP($A518,$A$458:$O$482,2,0)*(HLOOKUP(M$495,'2.2.Brecha Efectiva x UdM'!$H$86:$AK$92,2,0))+(VLOOKUP($A518,$A$4:$O$27,2,0)*(HLOOKUP(M$495,'2.2.Brecha Efectiva x UdM'!$H$64:$AK$70,2,0))))</f>
        <v>21502336.18741544</v>
      </c>
      <c r="N518" s="32">
        <f>(VLOOKUP($A518,$A$458:$O$482,2,0)*(HLOOKUP(N$495,'2.2.Brecha Efectiva x UdM'!$H$86:$AK$92,2,0))+(VLOOKUP($A518,$A$4:$O$27,2,0)*(HLOOKUP(N$495,'2.2.Brecha Efectiva x UdM'!$H$64:$AK$70,2,0))))</f>
        <v>0</v>
      </c>
      <c r="O518" s="32">
        <f>(VLOOKUP($A518,$A$458:$O$482,2,0)*(HLOOKUP(O$495,'2.2.Brecha Efectiva x UdM'!$H$86:$AK$92,2,0))+(VLOOKUP($A518,$A$4:$O$27,2,0)*(HLOOKUP(O$495,'2.2.Brecha Efectiva x UdM'!$H$64:$AK$70,2,0))))</f>
        <v>0</v>
      </c>
      <c r="P518" s="32">
        <f>(VLOOKUP($A518,$A$458:$O$482,2,0)*(HLOOKUP(P$495,'2.2.Brecha Efectiva x UdM'!$H$86:$AK$92,2,0))+(VLOOKUP($A518,$A$4:$O$27,2,0)*(HLOOKUP(P$495,'2.2.Brecha Efectiva x UdM'!$H$64:$AK$70,2,0))))</f>
        <v>0</v>
      </c>
      <c r="Q518" s="32">
        <f>(VLOOKUP($A518,$A$458:$O$482,2,0)*(HLOOKUP(Q$495,'2.2.Brecha Efectiva x UdM'!$H$86:$AK$92,2,0))+(VLOOKUP($A518,$A$4:$O$27,2,0)*(HLOOKUP(Q$495,'2.2.Brecha Efectiva x UdM'!$H$64:$AK$70,2,0))))</f>
        <v>0</v>
      </c>
      <c r="R518" s="32">
        <f>(VLOOKUP($A518,$A$458:$O$482,2,0)*(HLOOKUP(R$495,'2.2.Brecha Efectiva x UdM'!$H$86:$AK$92,2,0))+(VLOOKUP($A518,$A$4:$O$27,2,0)*(HLOOKUP(R$495,'2.2.Brecha Efectiva x UdM'!$H$64:$AK$70,2,0))))</f>
        <v>0</v>
      </c>
      <c r="S518" s="32">
        <f>(VLOOKUP($A518,$A$458:$O$482,2,0)*(HLOOKUP(S$495,'2.2.Brecha Efectiva x UdM'!$H$86:$AK$92,2,0))+(VLOOKUP($A518,$A$4:$O$27,2,0)*(HLOOKUP(S$495,'2.2.Brecha Efectiva x UdM'!$H$64:$AK$70,2,0))))</f>
        <v>0</v>
      </c>
      <c r="T518" s="32">
        <f>(VLOOKUP($A518,$A$458:$O$482,2,0)*(HLOOKUP(T$495,'2.2.Brecha Efectiva x UdM'!$H$86:$AK$92,2,0))+(VLOOKUP($A518,$A$4:$O$27,2,0)*(HLOOKUP(T$495,'2.2.Brecha Efectiva x UdM'!$H$64:$AK$70,2,0))))</f>
        <v>0</v>
      </c>
      <c r="U518" s="32">
        <f>(VLOOKUP($A518,$A$458:$O$482,2,0)*(HLOOKUP(U$495,'2.2.Brecha Efectiva x UdM'!$H$86:$AK$92,2,0))+(VLOOKUP($A518,$A$4:$O$27,2,0)*(HLOOKUP(U$495,'2.2.Brecha Efectiva x UdM'!$H$64:$AK$70,2,0))))</f>
        <v>0</v>
      </c>
      <c r="V518" s="32">
        <f>(VLOOKUP($A518,$A$458:$O$482,2,0)*(HLOOKUP(V$495,'2.2.Brecha Efectiva x UdM'!$H$86:$AK$92,2,0))+(VLOOKUP($A518,$A$4:$O$27,2,0)*(HLOOKUP(V$495,'2.2.Brecha Efectiva x UdM'!$H$64:$AK$70,2,0))))</f>
        <v>0</v>
      </c>
      <c r="W518" s="32">
        <f>(VLOOKUP($A518,$A$458:$O$482,2,0)*(HLOOKUP(W$495,'2.2.Brecha Efectiva x UdM'!$H$86:$AK$92,2,0))+(VLOOKUP($A518,$A$4:$O$27,2,0)*(HLOOKUP(W$495,'2.2.Brecha Efectiva x UdM'!$H$64:$AK$70,2,0))))</f>
        <v>0</v>
      </c>
      <c r="X518" s="32">
        <f>(VLOOKUP($A518,$A$458:$O$482,2,0)*(HLOOKUP(X$495,'2.2.Brecha Efectiva x UdM'!$H$86:$AK$92,2,0))+(VLOOKUP($A518,$A$4:$O$27,2,0)*(HLOOKUP(X$495,'2.2.Brecha Efectiva x UdM'!$H$64:$AK$70,2,0))))</f>
        <v>0</v>
      </c>
      <c r="Y518" s="32">
        <f>(VLOOKUP($A518,$A$458:$O$482,2,0)*(HLOOKUP(Y$495,'2.2.Brecha Efectiva x UdM'!$H$86:$AK$92,2,0))+(VLOOKUP($A518,$A$4:$O$27,2,0)*(HLOOKUP(Y$495,'2.2.Brecha Efectiva x UdM'!$H$64:$AK$70,2,0))))</f>
        <v>0</v>
      </c>
      <c r="Z518" s="32">
        <f>(VLOOKUP($A518,$A$458:$O$482,2,0)*(HLOOKUP(Z$495,'2.2.Brecha Efectiva x UdM'!$H$86:$AK$92,2,0))+(VLOOKUP($A518,$A$4:$O$27,2,0)*(HLOOKUP(Z$495,'2.2.Brecha Efectiva x UdM'!$H$64:$AK$70,2,0))))</f>
        <v>0</v>
      </c>
      <c r="AA518" s="32">
        <f>(VLOOKUP($A518,$A$458:$O$482,2,0)*(HLOOKUP(AA$495,'2.2.Brecha Efectiva x UdM'!$H$86:$AK$92,2,0))+(VLOOKUP($A518,$A$4:$O$27,2,0)*(HLOOKUP(AA$495,'2.2.Brecha Efectiva x UdM'!$H$64:$AK$70,2,0))))</f>
        <v>0</v>
      </c>
      <c r="AB518" s="32">
        <f>(VLOOKUP($A518,$A$458:$O$482,2,0)*(HLOOKUP(AB$495,'2.2.Brecha Efectiva x UdM'!$H$86:$AK$92,2,0))+(VLOOKUP($A518,$A$4:$O$27,2,0)*(HLOOKUP(AB$495,'2.2.Brecha Efectiva x UdM'!$H$64:$AK$70,2,0))))</f>
        <v>0</v>
      </c>
      <c r="AC518" s="32">
        <f>(VLOOKUP($A518,$A$458:$O$482,2,0)*(HLOOKUP(AC$495,'2.2.Brecha Efectiva x UdM'!$H$86:$AK$92,2,0))+(VLOOKUP($A518,$A$4:$O$27,2,0)*(HLOOKUP(AC$495,'2.2.Brecha Efectiva x UdM'!$H$64:$AK$70,2,0))))</f>
        <v>0</v>
      </c>
      <c r="AD518" s="32">
        <f>(VLOOKUP($A518,$A$458:$O$482,2,0)*(HLOOKUP(AD$495,'2.2.Brecha Efectiva x UdM'!$H$86:$AK$92,2,0))+(VLOOKUP($A518,$A$4:$O$27,2,0)*(HLOOKUP(AD$495,'2.2.Brecha Efectiva x UdM'!$H$64:$AK$70,2,0))))</f>
        <v>0</v>
      </c>
      <c r="AE518" s="32">
        <f>(VLOOKUP($A518,$A$458:$O$482,2,0)*(HLOOKUP(AE$495,'2.2.Brecha Efectiva x UdM'!$H$86:$AK$92,2,0))+(VLOOKUP($A518,$A$4:$O$27,2,0)*(HLOOKUP(AE$495,'2.2.Brecha Efectiva x UdM'!$H$64:$AK$70,2,0))))</f>
        <v>0</v>
      </c>
      <c r="AF518" s="32">
        <f>(VLOOKUP($A518,$A$458:$O$482,2,0)*(HLOOKUP(AF$495,'2.2.Brecha Efectiva x UdM'!$H$86:$AK$92,2,0))+(VLOOKUP($A518,$A$4:$O$27,2,0)*(HLOOKUP(AF$495,'2.2.Brecha Efectiva x UdM'!$H$64:$AK$70,2,0))))</f>
        <v>0</v>
      </c>
      <c r="AG518" s="32">
        <f>(VLOOKUP($A518,$A$458:$O$482,2,0)*(HLOOKUP(AG$495,'2.2.Brecha Efectiva x UdM'!$H$86:$AK$92,2,0))+(VLOOKUP($A518,$A$4:$O$27,2,0)*(HLOOKUP(AG$495,'2.2.Brecha Efectiva x UdM'!$H$64:$AK$70,2,0))))</f>
        <v>0</v>
      </c>
      <c r="AH518" s="62">
        <f t="shared" si="472"/>
        <v>403125745.04827213</v>
      </c>
    </row>
    <row r="519" spans="1:34" x14ac:dyDescent="0.2">
      <c r="A519" s="26" t="str">
        <f t="shared" si="469"/>
        <v>Tucumán</v>
      </c>
      <c r="B519" s="52" t="str">
        <f t="shared" si="470"/>
        <v>Nombre UdM 1</v>
      </c>
      <c r="C519" s="26" t="str">
        <f t="shared" si="471"/>
        <v>Tucumán Nombre UdM 1</v>
      </c>
      <c r="D519" s="31">
        <f>(VLOOKUP($A519,$A$458:$O$482,2,0)*(HLOOKUP(D$495,'2.2.Brecha Efectiva x UdM'!$H$86:$AK$92,2,0))+(VLOOKUP($A519,$A$4:$O$27,2,0)*(HLOOKUP(D$495,'2.2.Brecha Efectiva x UdM'!$H$64:$AK$70,2,0))))</f>
        <v>30282469.002492234</v>
      </c>
      <c r="E519" s="31">
        <f>(VLOOKUP($A519,$A$458:$O$482,2,0)*(HLOOKUP(E$495,'2.2.Brecha Efectiva x UdM'!$H$86:$AK$92,2,0))+(VLOOKUP($A519,$A$4:$O$27,2,0)*(HLOOKUP(E$495,'2.2.Brecha Efectiva x UdM'!$H$64:$AK$70,2,0))))</f>
        <v>30503560.219372831</v>
      </c>
      <c r="F519" s="31">
        <f>(VLOOKUP($A519,$A$458:$O$482,2,0)*(HLOOKUP(F$495,'2.2.Brecha Efectiva x UdM'!$H$86:$AK$92,2,0))+(VLOOKUP($A519,$A$4:$O$27,2,0)*(HLOOKUP(F$495,'2.2.Brecha Efectiva x UdM'!$H$64:$AK$70,2,0))))</f>
        <v>18917532.790795233</v>
      </c>
      <c r="G519" s="31">
        <f>(VLOOKUP($A519,$A$458:$O$482,2,0)*(HLOOKUP(G$495,'2.2.Brecha Efectiva x UdM'!$H$86:$AK$92,2,0))+(VLOOKUP($A519,$A$4:$O$27,2,0)*(HLOOKUP(G$495,'2.2.Brecha Efectiva x UdM'!$H$64:$AK$70,2,0))))</f>
        <v>14986517.817025231</v>
      </c>
      <c r="H519" s="31">
        <f>(VLOOKUP($A519,$A$458:$O$482,2,0)*(HLOOKUP(H$495,'2.2.Brecha Efectiva x UdM'!$H$86:$AK$92,2,0))+(VLOOKUP($A519,$A$4:$O$27,2,0)*(HLOOKUP(H$495,'2.2.Brecha Efectiva x UdM'!$H$64:$AK$70,2,0))))</f>
        <v>7896098.0512458514</v>
      </c>
      <c r="I519" s="31">
        <f>(VLOOKUP($A519,$A$458:$O$482,2,0)*(HLOOKUP(I$495,'2.2.Brecha Efectiva x UdM'!$H$86:$AK$92,2,0))+(VLOOKUP($A519,$A$4:$O$27,2,0)*(HLOOKUP(I$495,'2.2.Brecha Efectiva x UdM'!$H$64:$AK$70,2,0))))</f>
        <v>7948584.8733218946</v>
      </c>
      <c r="J519" s="31">
        <f>(VLOOKUP($A519,$A$458:$O$482,2,0)*(HLOOKUP(J$495,'2.2.Brecha Efectiva x UdM'!$H$86:$AK$92,2,0))+(VLOOKUP($A519,$A$4:$O$27,2,0)*(HLOOKUP(J$495,'2.2.Brecha Efectiva x UdM'!$H$64:$AK$70,2,0))))</f>
        <v>8000146.1547520608</v>
      </c>
      <c r="K519" s="31">
        <f>(VLOOKUP($A519,$A$458:$O$482,2,0)*(HLOOKUP(K$495,'2.2.Brecha Efectiva x UdM'!$H$86:$AK$92,2,0))+(VLOOKUP($A519,$A$4:$O$27,2,0)*(HLOOKUP(K$495,'2.2.Brecha Efectiva x UdM'!$H$64:$AK$70,2,0))))</f>
        <v>7427345.8982870243</v>
      </c>
      <c r="L519" s="31">
        <f>(VLOOKUP($A519,$A$458:$O$482,2,0)*(HLOOKUP(L$495,'2.2.Brecha Efectiva x UdM'!$H$86:$AK$92,2,0))+(VLOOKUP($A519,$A$4:$O$27,2,0)*(HLOOKUP(L$495,'2.2.Brecha Efectiva x UdM'!$H$64:$AK$70,2,0))))</f>
        <v>7473258.7453252729</v>
      </c>
      <c r="M519" s="31">
        <f>(VLOOKUP($A519,$A$458:$O$482,2,0)*(HLOOKUP(M$495,'2.2.Brecha Efectiva x UdM'!$H$86:$AK$92,2,0))+(VLOOKUP($A519,$A$4:$O$27,2,0)*(HLOOKUP(M$495,'2.2.Brecha Efectiva x UdM'!$H$64:$AK$70,2,0))))</f>
        <v>7518341.9180528838</v>
      </c>
      <c r="N519" s="31">
        <f>(VLOOKUP($A519,$A$458:$O$482,2,0)*(HLOOKUP(N$495,'2.2.Brecha Efectiva x UdM'!$H$86:$AK$92,2,0))+(VLOOKUP($A519,$A$4:$O$27,2,0)*(HLOOKUP(N$495,'2.2.Brecha Efectiva x UdM'!$H$64:$AK$70,2,0))))</f>
        <v>0</v>
      </c>
      <c r="O519" s="31">
        <f>(VLOOKUP($A519,$A$458:$O$482,2,0)*(HLOOKUP(O$495,'2.2.Brecha Efectiva x UdM'!$H$86:$AK$92,2,0))+(VLOOKUP($A519,$A$4:$O$27,2,0)*(HLOOKUP(O$495,'2.2.Brecha Efectiva x UdM'!$H$64:$AK$70,2,0))))</f>
        <v>0</v>
      </c>
      <c r="P519" s="31">
        <f>(VLOOKUP($A519,$A$458:$O$482,2,0)*(HLOOKUP(P$495,'2.2.Brecha Efectiva x UdM'!$H$86:$AK$92,2,0))+(VLOOKUP($A519,$A$4:$O$27,2,0)*(HLOOKUP(P$495,'2.2.Brecha Efectiva x UdM'!$H$64:$AK$70,2,0))))</f>
        <v>0</v>
      </c>
      <c r="Q519" s="31">
        <f>(VLOOKUP($A519,$A$458:$O$482,2,0)*(HLOOKUP(Q$495,'2.2.Brecha Efectiva x UdM'!$H$86:$AK$92,2,0))+(VLOOKUP($A519,$A$4:$O$27,2,0)*(HLOOKUP(Q$495,'2.2.Brecha Efectiva x UdM'!$H$64:$AK$70,2,0))))</f>
        <v>0</v>
      </c>
      <c r="R519" s="31">
        <f>(VLOOKUP($A519,$A$458:$O$482,2,0)*(HLOOKUP(R$495,'2.2.Brecha Efectiva x UdM'!$H$86:$AK$92,2,0))+(VLOOKUP($A519,$A$4:$O$27,2,0)*(HLOOKUP(R$495,'2.2.Brecha Efectiva x UdM'!$H$64:$AK$70,2,0))))</f>
        <v>0</v>
      </c>
      <c r="S519" s="31">
        <f>(VLOOKUP($A519,$A$458:$O$482,2,0)*(HLOOKUP(S$495,'2.2.Brecha Efectiva x UdM'!$H$86:$AK$92,2,0))+(VLOOKUP($A519,$A$4:$O$27,2,0)*(HLOOKUP(S$495,'2.2.Brecha Efectiva x UdM'!$H$64:$AK$70,2,0))))</f>
        <v>0</v>
      </c>
      <c r="T519" s="31">
        <f>(VLOOKUP($A519,$A$458:$O$482,2,0)*(HLOOKUP(T$495,'2.2.Brecha Efectiva x UdM'!$H$86:$AK$92,2,0))+(VLOOKUP($A519,$A$4:$O$27,2,0)*(HLOOKUP(T$495,'2.2.Brecha Efectiva x UdM'!$H$64:$AK$70,2,0))))</f>
        <v>0</v>
      </c>
      <c r="U519" s="31">
        <f>(VLOOKUP($A519,$A$458:$O$482,2,0)*(HLOOKUP(U$495,'2.2.Brecha Efectiva x UdM'!$H$86:$AK$92,2,0))+(VLOOKUP($A519,$A$4:$O$27,2,0)*(HLOOKUP(U$495,'2.2.Brecha Efectiva x UdM'!$H$64:$AK$70,2,0))))</f>
        <v>0</v>
      </c>
      <c r="V519" s="31">
        <f>(VLOOKUP($A519,$A$458:$O$482,2,0)*(HLOOKUP(V$495,'2.2.Brecha Efectiva x UdM'!$H$86:$AK$92,2,0))+(VLOOKUP($A519,$A$4:$O$27,2,0)*(HLOOKUP(V$495,'2.2.Brecha Efectiva x UdM'!$H$64:$AK$70,2,0))))</f>
        <v>0</v>
      </c>
      <c r="W519" s="31">
        <f>(VLOOKUP($A519,$A$458:$O$482,2,0)*(HLOOKUP(W$495,'2.2.Brecha Efectiva x UdM'!$H$86:$AK$92,2,0))+(VLOOKUP($A519,$A$4:$O$27,2,0)*(HLOOKUP(W$495,'2.2.Brecha Efectiva x UdM'!$H$64:$AK$70,2,0))))</f>
        <v>0</v>
      </c>
      <c r="X519" s="31">
        <f>(VLOOKUP($A519,$A$458:$O$482,2,0)*(HLOOKUP(X$495,'2.2.Brecha Efectiva x UdM'!$H$86:$AK$92,2,0))+(VLOOKUP($A519,$A$4:$O$27,2,0)*(HLOOKUP(X$495,'2.2.Brecha Efectiva x UdM'!$H$64:$AK$70,2,0))))</f>
        <v>0</v>
      </c>
      <c r="Y519" s="31">
        <f>(VLOOKUP($A519,$A$458:$O$482,2,0)*(HLOOKUP(Y$495,'2.2.Brecha Efectiva x UdM'!$H$86:$AK$92,2,0))+(VLOOKUP($A519,$A$4:$O$27,2,0)*(HLOOKUP(Y$495,'2.2.Brecha Efectiva x UdM'!$H$64:$AK$70,2,0))))</f>
        <v>0</v>
      </c>
      <c r="Z519" s="31">
        <f>(VLOOKUP($A519,$A$458:$O$482,2,0)*(HLOOKUP(Z$495,'2.2.Brecha Efectiva x UdM'!$H$86:$AK$92,2,0))+(VLOOKUP($A519,$A$4:$O$27,2,0)*(HLOOKUP(Z$495,'2.2.Brecha Efectiva x UdM'!$H$64:$AK$70,2,0))))</f>
        <v>0</v>
      </c>
      <c r="AA519" s="31">
        <f>(VLOOKUP($A519,$A$458:$O$482,2,0)*(HLOOKUP(AA$495,'2.2.Brecha Efectiva x UdM'!$H$86:$AK$92,2,0))+(VLOOKUP($A519,$A$4:$O$27,2,0)*(HLOOKUP(AA$495,'2.2.Brecha Efectiva x UdM'!$H$64:$AK$70,2,0))))</f>
        <v>0</v>
      </c>
      <c r="AB519" s="31">
        <f>(VLOOKUP($A519,$A$458:$O$482,2,0)*(HLOOKUP(AB$495,'2.2.Brecha Efectiva x UdM'!$H$86:$AK$92,2,0))+(VLOOKUP($A519,$A$4:$O$27,2,0)*(HLOOKUP(AB$495,'2.2.Brecha Efectiva x UdM'!$H$64:$AK$70,2,0))))</f>
        <v>0</v>
      </c>
      <c r="AC519" s="31">
        <f>(VLOOKUP($A519,$A$458:$O$482,2,0)*(HLOOKUP(AC$495,'2.2.Brecha Efectiva x UdM'!$H$86:$AK$92,2,0))+(VLOOKUP($A519,$A$4:$O$27,2,0)*(HLOOKUP(AC$495,'2.2.Brecha Efectiva x UdM'!$H$64:$AK$70,2,0))))</f>
        <v>0</v>
      </c>
      <c r="AD519" s="31">
        <f>(VLOOKUP($A519,$A$458:$O$482,2,0)*(HLOOKUP(AD$495,'2.2.Brecha Efectiva x UdM'!$H$86:$AK$92,2,0))+(VLOOKUP($A519,$A$4:$O$27,2,0)*(HLOOKUP(AD$495,'2.2.Brecha Efectiva x UdM'!$H$64:$AK$70,2,0))))</f>
        <v>0</v>
      </c>
      <c r="AE519" s="31">
        <f>(VLOOKUP($A519,$A$458:$O$482,2,0)*(HLOOKUP(AE$495,'2.2.Brecha Efectiva x UdM'!$H$86:$AK$92,2,0))+(VLOOKUP($A519,$A$4:$O$27,2,0)*(HLOOKUP(AE$495,'2.2.Brecha Efectiva x UdM'!$H$64:$AK$70,2,0))))</f>
        <v>0</v>
      </c>
      <c r="AF519" s="31">
        <f>(VLOOKUP($A519,$A$458:$O$482,2,0)*(HLOOKUP(AF$495,'2.2.Brecha Efectiva x UdM'!$H$86:$AK$92,2,0))+(VLOOKUP($A519,$A$4:$O$27,2,0)*(HLOOKUP(AF$495,'2.2.Brecha Efectiva x UdM'!$H$64:$AK$70,2,0))))</f>
        <v>0</v>
      </c>
      <c r="AG519" s="31">
        <f>(VLOOKUP($A519,$A$458:$O$482,2,0)*(HLOOKUP(AG$495,'2.2.Brecha Efectiva x UdM'!$H$86:$AK$92,2,0))+(VLOOKUP($A519,$A$4:$O$27,2,0)*(HLOOKUP(AG$495,'2.2.Brecha Efectiva x UdM'!$H$64:$AK$70,2,0))))</f>
        <v>0</v>
      </c>
      <c r="AH519" s="63">
        <f t="shared" si="472"/>
        <v>140953855.47067052</v>
      </c>
    </row>
    <row r="520" spans="1:34" x14ac:dyDescent="0.2">
      <c r="A520" s="34" t="str">
        <f>CONCATENATE("Total"," ",B496)</f>
        <v>Total Nombre UdM 1</v>
      </c>
      <c r="B520" s="29"/>
      <c r="C520" s="13"/>
      <c r="D520" s="13">
        <f>SUM(D496:D519)</f>
        <v>5127782400</v>
      </c>
      <c r="E520" s="13">
        <f t="shared" ref="E520:AG520" si="473">SUM(E496:E519)</f>
        <v>5165220154.8482447</v>
      </c>
      <c r="F520" s="13">
        <f t="shared" si="473"/>
        <v>3203338264.3957872</v>
      </c>
      <c r="G520" s="13">
        <f t="shared" si="473"/>
        <v>2537692758.5760555</v>
      </c>
      <c r="H520" s="13">
        <f t="shared" si="473"/>
        <v>1337059822.054817</v>
      </c>
      <c r="I520" s="13">
        <f t="shared" si="473"/>
        <v>1345947505.633435</v>
      </c>
      <c r="J520" s="13">
        <f t="shared" si="473"/>
        <v>1354678465.8275092</v>
      </c>
      <c r="K520" s="13">
        <f t="shared" si="473"/>
        <v>1257685216.2488453</v>
      </c>
      <c r="L520" s="13">
        <f t="shared" si="473"/>
        <v>1265459717.3622534</v>
      </c>
      <c r="M520" s="13">
        <f t="shared" si="473"/>
        <v>1273093728.3020408</v>
      </c>
      <c r="N520" s="13">
        <f t="shared" si="473"/>
        <v>0</v>
      </c>
      <c r="O520" s="13">
        <f t="shared" si="473"/>
        <v>0</v>
      </c>
      <c r="P520" s="13">
        <f t="shared" si="473"/>
        <v>0</v>
      </c>
      <c r="Q520" s="13">
        <f t="shared" si="473"/>
        <v>0</v>
      </c>
      <c r="R520" s="13">
        <f t="shared" si="473"/>
        <v>0</v>
      </c>
      <c r="S520" s="13">
        <f t="shared" si="473"/>
        <v>0</v>
      </c>
      <c r="T520" s="13">
        <f t="shared" si="473"/>
        <v>0</v>
      </c>
      <c r="U520" s="13">
        <f t="shared" si="473"/>
        <v>0</v>
      </c>
      <c r="V520" s="13">
        <f t="shared" si="473"/>
        <v>0</v>
      </c>
      <c r="W520" s="13">
        <f t="shared" si="473"/>
        <v>0</v>
      </c>
      <c r="X520" s="13">
        <f t="shared" si="473"/>
        <v>0</v>
      </c>
      <c r="Y520" s="13">
        <f t="shared" si="473"/>
        <v>0</v>
      </c>
      <c r="Z520" s="13">
        <f t="shared" si="473"/>
        <v>0</v>
      </c>
      <c r="AA520" s="13">
        <f t="shared" si="473"/>
        <v>0</v>
      </c>
      <c r="AB520" s="13">
        <f t="shared" si="473"/>
        <v>0</v>
      </c>
      <c r="AC520" s="13">
        <f t="shared" si="473"/>
        <v>0</v>
      </c>
      <c r="AD520" s="13">
        <f t="shared" si="473"/>
        <v>0</v>
      </c>
      <c r="AE520" s="13">
        <f t="shared" si="473"/>
        <v>0</v>
      </c>
      <c r="AF520" s="13">
        <f t="shared" si="473"/>
        <v>0</v>
      </c>
      <c r="AG520" s="13">
        <f t="shared" si="473"/>
        <v>0</v>
      </c>
      <c r="AH520" s="13">
        <f t="shared" si="472"/>
        <v>23867958033.248985</v>
      </c>
    </row>
    <row r="521" spans="1:34" x14ac:dyDescent="0.2">
      <c r="A521" s="34" t="str">
        <f>CONCATENATE("Total Acumulado"," ",B496)</f>
        <v>Total Acumulado Nombre UdM 1</v>
      </c>
      <c r="B521" s="29"/>
      <c r="C521" s="13"/>
      <c r="D521" s="13">
        <f>D520</f>
        <v>5127782400</v>
      </c>
      <c r="E521" s="13">
        <f>E520+D521</f>
        <v>10293002554.848244</v>
      </c>
      <c r="F521" s="13">
        <f t="shared" ref="F521" si="474">F520+E521</f>
        <v>13496340819.24403</v>
      </c>
      <c r="G521" s="13">
        <f t="shared" ref="G521" si="475">G520+F521</f>
        <v>16034033577.820086</v>
      </c>
      <c r="H521" s="13">
        <f t="shared" ref="H521" si="476">H520+G521</f>
        <v>17371093399.874901</v>
      </c>
      <c r="I521" s="13">
        <f t="shared" ref="I521" si="477">I520+H521</f>
        <v>18717040905.508335</v>
      </c>
      <c r="J521" s="13">
        <f t="shared" ref="J521" si="478">J520+I521</f>
        <v>20071719371.335846</v>
      </c>
      <c r="K521" s="13">
        <f t="shared" ref="K521" si="479">K520+J521</f>
        <v>21329404587.58469</v>
      </c>
      <c r="L521" s="13">
        <f t="shared" ref="L521" si="480">L520+K521</f>
        <v>22594864304.946945</v>
      </c>
      <c r="M521" s="13">
        <f t="shared" ref="M521" si="481">M520+L521</f>
        <v>23867958033.248985</v>
      </c>
      <c r="N521" s="13">
        <f t="shared" ref="N521" si="482">N520+M521</f>
        <v>23867958033.248985</v>
      </c>
      <c r="O521" s="13">
        <f t="shared" ref="O521" si="483">O520+N521</f>
        <v>23867958033.248985</v>
      </c>
      <c r="P521" s="13">
        <f t="shared" ref="P521" si="484">P520+O521</f>
        <v>23867958033.248985</v>
      </c>
      <c r="Q521" s="13">
        <f t="shared" ref="Q521" si="485">Q520+P521</f>
        <v>23867958033.248985</v>
      </c>
      <c r="R521" s="13">
        <f t="shared" ref="R521" si="486">R520+Q521</f>
        <v>23867958033.248985</v>
      </c>
      <c r="S521" s="13">
        <f t="shared" ref="S521" si="487">S520+R521</f>
        <v>23867958033.248985</v>
      </c>
      <c r="T521" s="13">
        <f t="shared" ref="T521" si="488">T520+S521</f>
        <v>23867958033.248985</v>
      </c>
      <c r="U521" s="13">
        <f t="shared" ref="U521" si="489">U520+T521</f>
        <v>23867958033.248985</v>
      </c>
      <c r="V521" s="13">
        <f t="shared" ref="V521" si="490">V520+U521</f>
        <v>23867958033.248985</v>
      </c>
      <c r="W521" s="13">
        <f t="shared" ref="W521" si="491">W520+V521</f>
        <v>23867958033.248985</v>
      </c>
      <c r="X521" s="13">
        <f t="shared" ref="X521" si="492">X520+W521</f>
        <v>23867958033.248985</v>
      </c>
      <c r="Y521" s="13">
        <f t="shared" ref="Y521" si="493">Y520+X521</f>
        <v>23867958033.248985</v>
      </c>
      <c r="Z521" s="13">
        <f t="shared" ref="Z521" si="494">Z520+Y521</f>
        <v>23867958033.248985</v>
      </c>
      <c r="AA521" s="13">
        <f t="shared" ref="AA521" si="495">AA520+Z521</f>
        <v>23867958033.248985</v>
      </c>
      <c r="AB521" s="13">
        <f t="shared" ref="AB521" si="496">AB520+AA521</f>
        <v>23867958033.248985</v>
      </c>
      <c r="AC521" s="13">
        <f t="shared" ref="AC521" si="497">AC520+AB521</f>
        <v>23867958033.248985</v>
      </c>
      <c r="AD521" s="13">
        <f t="shared" ref="AD521" si="498">AD520+AC521</f>
        <v>23867958033.248985</v>
      </c>
      <c r="AE521" s="13">
        <f t="shared" ref="AE521" si="499">AE520+AD521</f>
        <v>23867958033.248985</v>
      </c>
      <c r="AF521" s="13">
        <f t="shared" ref="AF521" si="500">AF520+AE521</f>
        <v>23867958033.248985</v>
      </c>
      <c r="AG521" s="13">
        <f t="shared" ref="AG521" si="501">AG520+AF521</f>
        <v>23867958033.248985</v>
      </c>
    </row>
    <row r="523" spans="1:34" x14ac:dyDescent="0.2">
      <c r="A523" s="33" t="s">
        <v>41</v>
      </c>
      <c r="D523" t="b">
        <f>D520='2.2.Brecha Efectiva x UdM'!H103</f>
        <v>1</v>
      </c>
      <c r="E523" t="b">
        <f>E520='2.2.Brecha Efectiva x UdM'!I103</f>
        <v>0</v>
      </c>
      <c r="F523" t="b">
        <f>F520='2.2.Brecha Efectiva x UdM'!J103</f>
        <v>1</v>
      </c>
      <c r="G523" t="b">
        <f>G520='2.2.Brecha Efectiva x UdM'!K103</f>
        <v>1</v>
      </c>
      <c r="H523" t="b">
        <f>H520='2.2.Brecha Efectiva x UdM'!L103</f>
        <v>1</v>
      </c>
      <c r="I523" t="b">
        <f>I520='2.2.Brecha Efectiva x UdM'!M103</f>
        <v>1</v>
      </c>
      <c r="J523" t="b">
        <f>J520='2.2.Brecha Efectiva x UdM'!N103</f>
        <v>1</v>
      </c>
      <c r="L523" s="23"/>
      <c r="M523" s="33"/>
    </row>
    <row r="524" spans="1:34" x14ac:dyDescent="0.2">
      <c r="J524" t="b">
        <f>AG521=SUM('2.2.Brecha Efectiva x UdM'!H103:AK103)</f>
        <v>1</v>
      </c>
      <c r="L524" s="23"/>
    </row>
    <row r="526" spans="1:34" x14ac:dyDescent="0.2">
      <c r="A526" s="46" t="s">
        <v>84</v>
      </c>
    </row>
    <row r="528" spans="1:34" x14ac:dyDescent="0.2">
      <c r="A528" s="24" t="s">
        <v>18</v>
      </c>
      <c r="B528" s="24" t="s">
        <v>42</v>
      </c>
      <c r="C528" s="24" t="s">
        <v>43</v>
      </c>
      <c r="D528" s="6">
        <v>2024</v>
      </c>
      <c r="E528" s="6">
        <v>2025</v>
      </c>
      <c r="F528" s="6">
        <v>2026</v>
      </c>
      <c r="G528" s="6">
        <v>2027</v>
      </c>
      <c r="H528" s="6">
        <v>2028</v>
      </c>
      <c r="I528" s="6">
        <v>2029</v>
      </c>
      <c r="J528" s="6">
        <v>2030</v>
      </c>
      <c r="K528" s="6">
        <v>2031</v>
      </c>
      <c r="L528" s="6">
        <v>2032</v>
      </c>
      <c r="M528" s="6">
        <v>2033</v>
      </c>
      <c r="N528" s="50">
        <v>2034</v>
      </c>
      <c r="O528" s="50">
        <v>2035</v>
      </c>
      <c r="P528" s="50">
        <v>2036</v>
      </c>
      <c r="Q528" s="50">
        <v>2037</v>
      </c>
      <c r="R528" s="50">
        <v>2038</v>
      </c>
      <c r="S528" s="50">
        <v>2039</v>
      </c>
      <c r="T528" s="50">
        <v>2040</v>
      </c>
      <c r="U528" s="50">
        <v>2041</v>
      </c>
      <c r="V528" s="50">
        <v>2042</v>
      </c>
      <c r="W528" s="50">
        <v>2043</v>
      </c>
      <c r="X528" s="50">
        <v>2044</v>
      </c>
      <c r="Y528" s="50">
        <v>2045</v>
      </c>
      <c r="Z528" s="50">
        <v>2046</v>
      </c>
      <c r="AA528" s="50">
        <v>2047</v>
      </c>
      <c r="AB528" s="50">
        <v>2048</v>
      </c>
      <c r="AC528" s="50">
        <v>2049</v>
      </c>
      <c r="AD528" s="50">
        <v>2050</v>
      </c>
      <c r="AE528" s="50">
        <v>2051</v>
      </c>
      <c r="AF528" s="50">
        <v>2052</v>
      </c>
      <c r="AG528" s="50">
        <v>2053</v>
      </c>
      <c r="AH528" s="6" t="s">
        <v>1</v>
      </c>
    </row>
    <row r="529" spans="1:34" x14ac:dyDescent="0.2">
      <c r="A529" s="25" t="str">
        <f t="shared" ref="A529:A552" si="502">A48</f>
        <v>Buenos Aires</v>
      </c>
      <c r="B529" s="51" t="str">
        <f>$E$3</f>
        <v>Nombre UdM 2</v>
      </c>
      <c r="C529" s="25" t="str">
        <f>CONCATENATE(A529," ",B529)</f>
        <v>Buenos Aires Nombre UdM 2</v>
      </c>
      <c r="D529" s="32">
        <f>(VLOOKUP($A529,$A$458:$O$482,4,0)*(HLOOKUP(D$528,'2.2.Brecha Efectiva x UdM'!$H$86:$AK$92,3,0))+(VLOOKUP($A529,$A$4:$O$27,4,0)*(HLOOKUP(D$528,'2.2.Brecha Efectiva x UdM'!$H$64:$AK$70,3,0))))</f>
        <v>125450204.16549587</v>
      </c>
      <c r="E529" s="32">
        <f>(VLOOKUP($A529,$A$458:$O$482,4,0)*(HLOOKUP(E$528,'2.2.Brecha Efectiva x UdM'!$H$86:$AK$92,3,0))+(VLOOKUP($A529,$A$4:$O$27,4,0)*(HLOOKUP(E$528,'2.2.Brecha Efectiva x UdM'!$H$64:$AK$70,3,0))))</f>
        <v>134396922.6560306</v>
      </c>
      <c r="F529" s="32">
        <f>(VLOOKUP($A529,$A$458:$O$482,4,0)*(HLOOKUP(F$528,'2.2.Brecha Efectiva x UdM'!$H$86:$AK$92,3,0))+(VLOOKUP($A529,$A$4:$O$27,4,0)*(HLOOKUP(F$528,'2.2.Brecha Efectiva x UdM'!$H$64:$AK$70,3,0))))</f>
        <v>202893931.65285754</v>
      </c>
      <c r="G529" s="32">
        <f>(VLOOKUP($A529,$A$458:$O$482,4,0)*(HLOOKUP(G$528,'2.2.Brecha Efectiva x UdM'!$H$86:$AK$92,3,0))+(VLOOKUP($A529,$A$4:$O$27,4,0)*(HLOOKUP(G$528,'2.2.Brecha Efectiva x UdM'!$H$64:$AK$70,3,0))))</f>
        <v>0</v>
      </c>
      <c r="H529" s="32">
        <f>(VLOOKUP($A529,$A$458:$O$482,4,0)*(HLOOKUP(H$528,'2.2.Brecha Efectiva x UdM'!$H$86:$AK$92,3,0))+(VLOOKUP($A529,$A$4:$O$27,4,0)*(HLOOKUP(H$528,'2.2.Brecha Efectiva x UdM'!$H$64:$AK$70,3,0))))</f>
        <v>0</v>
      </c>
      <c r="I529" s="32">
        <f>(VLOOKUP($A529,$A$458:$O$482,4,0)*(HLOOKUP(I$528,'2.2.Brecha Efectiva x UdM'!$H$86:$AK$92,3,0))+(VLOOKUP($A529,$A$4:$O$27,4,0)*(HLOOKUP(I$528,'2.2.Brecha Efectiva x UdM'!$H$64:$AK$70,3,0))))</f>
        <v>0</v>
      </c>
      <c r="J529" s="32">
        <f>(VLOOKUP($A529,$A$458:$O$482,4,0)*(HLOOKUP(J$528,'2.2.Brecha Efectiva x UdM'!$H$86:$AK$92,3,0))+(VLOOKUP($A529,$A$4:$O$27,4,0)*(HLOOKUP(J$528,'2.2.Brecha Efectiva x UdM'!$H$64:$AK$70,3,0))))</f>
        <v>0</v>
      </c>
      <c r="K529" s="32">
        <f>(VLOOKUP($A529,$A$458:$O$482,4,0)*(HLOOKUP(K$528,'2.2.Brecha Efectiva x UdM'!$H$86:$AK$92,3,0))+(VLOOKUP($A529,$A$4:$O$27,4,0)*(HLOOKUP(K$528,'2.2.Brecha Efectiva x UdM'!$H$64:$AK$70,3,0))))</f>
        <v>0</v>
      </c>
      <c r="L529" s="32">
        <f>(VLOOKUP($A529,$A$458:$O$482,4,0)*(HLOOKUP(L$528,'2.2.Brecha Efectiva x UdM'!$H$86:$AK$92,3,0))+(VLOOKUP($A529,$A$4:$O$27,4,0)*(HLOOKUP(L$528,'2.2.Brecha Efectiva x UdM'!$H$64:$AK$70,3,0))))</f>
        <v>0</v>
      </c>
      <c r="M529" s="32">
        <f>(VLOOKUP($A529,$A$458:$O$482,4,0)*(HLOOKUP(M$528,'2.2.Brecha Efectiva x UdM'!$H$86:$AK$92,3,0))+(VLOOKUP($A529,$A$4:$O$27,4,0)*(HLOOKUP(M$528,'2.2.Brecha Efectiva x UdM'!$H$64:$AK$70,3,0))))</f>
        <v>0</v>
      </c>
      <c r="N529" s="32">
        <f>(VLOOKUP($A529,$A$458:$O$482,4,0)*(HLOOKUP(N$528,'2.2.Brecha Efectiva x UdM'!$H$86:$AK$92,3,0))+(VLOOKUP($A529,$A$4:$O$27,4,0)*(HLOOKUP(N$528,'2.2.Brecha Efectiva x UdM'!$H$64:$AK$70,3,0))))</f>
        <v>0</v>
      </c>
      <c r="O529" s="32">
        <f>(VLOOKUP($A529,$A$458:$O$482,4,0)*(HLOOKUP(O$528,'2.2.Brecha Efectiva x UdM'!$H$86:$AK$92,3,0))+(VLOOKUP($A529,$A$4:$O$27,4,0)*(HLOOKUP(O$528,'2.2.Brecha Efectiva x UdM'!$H$64:$AK$70,3,0))))</f>
        <v>0</v>
      </c>
      <c r="P529" s="32">
        <f>(VLOOKUP($A529,$A$458:$O$482,4,0)*(HLOOKUP(P$528,'2.2.Brecha Efectiva x UdM'!$H$86:$AK$92,3,0))+(VLOOKUP($A529,$A$4:$O$27,4,0)*(HLOOKUP(P$528,'2.2.Brecha Efectiva x UdM'!$H$64:$AK$70,3,0))))</f>
        <v>0</v>
      </c>
      <c r="Q529" s="32">
        <f>(VLOOKUP($A529,$A$458:$O$482,4,0)*(HLOOKUP(Q$528,'2.2.Brecha Efectiva x UdM'!$H$86:$AK$92,3,0))+(VLOOKUP($A529,$A$4:$O$27,4,0)*(HLOOKUP(Q$528,'2.2.Brecha Efectiva x UdM'!$H$64:$AK$70,3,0))))</f>
        <v>0</v>
      </c>
      <c r="R529" s="32">
        <f>(VLOOKUP($A529,$A$458:$O$482,4,0)*(HLOOKUP(R$528,'2.2.Brecha Efectiva x UdM'!$H$86:$AK$92,3,0))+(VLOOKUP($A529,$A$4:$O$27,4,0)*(HLOOKUP(R$528,'2.2.Brecha Efectiva x UdM'!$H$64:$AK$70,3,0))))</f>
        <v>0</v>
      </c>
      <c r="S529" s="32">
        <f>(VLOOKUP($A529,$A$458:$O$482,4,0)*(HLOOKUP(S$528,'2.2.Brecha Efectiva x UdM'!$H$86:$AK$92,3,0))+(VLOOKUP($A529,$A$4:$O$27,4,0)*(HLOOKUP(S$528,'2.2.Brecha Efectiva x UdM'!$H$64:$AK$70,3,0))))</f>
        <v>0</v>
      </c>
      <c r="T529" s="32">
        <f>(VLOOKUP($A529,$A$458:$O$482,4,0)*(HLOOKUP(T$528,'2.2.Brecha Efectiva x UdM'!$H$86:$AK$92,3,0))+(VLOOKUP($A529,$A$4:$O$27,4,0)*(HLOOKUP(T$528,'2.2.Brecha Efectiva x UdM'!$H$64:$AK$70,3,0))))</f>
        <v>0</v>
      </c>
      <c r="U529" s="32">
        <f>(VLOOKUP($A529,$A$458:$O$482,4,0)*(HLOOKUP(U$528,'2.2.Brecha Efectiva x UdM'!$H$86:$AK$92,3,0))+(VLOOKUP($A529,$A$4:$O$27,4,0)*(HLOOKUP(U$528,'2.2.Brecha Efectiva x UdM'!$H$64:$AK$70,3,0))))</f>
        <v>0</v>
      </c>
      <c r="V529" s="32">
        <f>(VLOOKUP($A529,$A$458:$O$482,4,0)*(HLOOKUP(V$528,'2.2.Brecha Efectiva x UdM'!$H$86:$AK$92,3,0))+(VLOOKUP($A529,$A$4:$O$27,4,0)*(HLOOKUP(V$528,'2.2.Brecha Efectiva x UdM'!$H$64:$AK$70,3,0))))</f>
        <v>0</v>
      </c>
      <c r="W529" s="32">
        <f>(VLOOKUP($A529,$A$458:$O$482,4,0)*(HLOOKUP(W$528,'2.2.Brecha Efectiva x UdM'!$H$86:$AK$92,3,0))+(VLOOKUP($A529,$A$4:$O$27,4,0)*(HLOOKUP(W$528,'2.2.Brecha Efectiva x UdM'!$H$64:$AK$70,3,0))))</f>
        <v>0</v>
      </c>
      <c r="X529" s="32">
        <f>(VLOOKUP($A529,$A$458:$O$482,4,0)*(HLOOKUP(X$528,'2.2.Brecha Efectiva x UdM'!$H$86:$AK$92,3,0))+(VLOOKUP($A529,$A$4:$O$27,4,0)*(HLOOKUP(X$528,'2.2.Brecha Efectiva x UdM'!$H$64:$AK$70,3,0))))</f>
        <v>0</v>
      </c>
      <c r="Y529" s="32">
        <f>(VLOOKUP($A529,$A$458:$O$482,4,0)*(HLOOKUP(Y$528,'2.2.Brecha Efectiva x UdM'!$H$86:$AK$92,3,0))+(VLOOKUP($A529,$A$4:$O$27,4,0)*(HLOOKUP(Y$528,'2.2.Brecha Efectiva x UdM'!$H$64:$AK$70,3,0))))</f>
        <v>0</v>
      </c>
      <c r="Z529" s="32">
        <f>(VLOOKUP($A529,$A$458:$O$482,4,0)*(HLOOKUP(Z$528,'2.2.Brecha Efectiva x UdM'!$H$86:$AK$92,3,0))+(VLOOKUP($A529,$A$4:$O$27,4,0)*(HLOOKUP(Z$528,'2.2.Brecha Efectiva x UdM'!$H$64:$AK$70,3,0))))</f>
        <v>0</v>
      </c>
      <c r="AA529" s="32">
        <f>(VLOOKUP($A529,$A$458:$O$482,4,0)*(HLOOKUP(AA$528,'2.2.Brecha Efectiva x UdM'!$H$86:$AK$92,3,0))+(VLOOKUP($A529,$A$4:$O$27,4,0)*(HLOOKUP(AA$528,'2.2.Brecha Efectiva x UdM'!$H$64:$AK$70,3,0))))</f>
        <v>0</v>
      </c>
      <c r="AB529" s="32">
        <f>(VLOOKUP($A529,$A$458:$O$482,4,0)*(HLOOKUP(AB$528,'2.2.Brecha Efectiva x UdM'!$H$86:$AK$92,3,0))+(VLOOKUP($A529,$A$4:$O$27,4,0)*(HLOOKUP(AB$528,'2.2.Brecha Efectiva x UdM'!$H$64:$AK$70,3,0))))</f>
        <v>0</v>
      </c>
      <c r="AC529" s="32">
        <f>(VLOOKUP($A529,$A$458:$O$482,4,0)*(HLOOKUP(AC$528,'2.2.Brecha Efectiva x UdM'!$H$86:$AK$92,3,0))+(VLOOKUP($A529,$A$4:$O$27,4,0)*(HLOOKUP(AC$528,'2.2.Brecha Efectiva x UdM'!$H$64:$AK$70,3,0))))</f>
        <v>0</v>
      </c>
      <c r="AD529" s="32">
        <f>(VLOOKUP($A529,$A$458:$O$482,4,0)*(HLOOKUP(AD$528,'2.2.Brecha Efectiva x UdM'!$H$86:$AK$92,3,0))+(VLOOKUP($A529,$A$4:$O$27,4,0)*(HLOOKUP(AD$528,'2.2.Brecha Efectiva x UdM'!$H$64:$AK$70,3,0))))</f>
        <v>0</v>
      </c>
      <c r="AE529" s="32">
        <f>(VLOOKUP($A529,$A$458:$O$482,4,0)*(HLOOKUP(AE$528,'2.2.Brecha Efectiva x UdM'!$H$86:$AK$92,3,0))+(VLOOKUP($A529,$A$4:$O$27,4,0)*(HLOOKUP(AE$528,'2.2.Brecha Efectiva x UdM'!$H$64:$AK$70,3,0))))</f>
        <v>0</v>
      </c>
      <c r="AF529" s="32">
        <f>(VLOOKUP($A529,$A$458:$O$482,4,0)*(HLOOKUP(AF$528,'2.2.Brecha Efectiva x UdM'!$H$86:$AK$92,3,0))+(VLOOKUP($A529,$A$4:$O$27,4,0)*(HLOOKUP(AF$528,'2.2.Brecha Efectiva x UdM'!$H$64:$AK$70,3,0))))</f>
        <v>0</v>
      </c>
      <c r="AG529" s="32">
        <f>(VLOOKUP($A529,$A$458:$O$482,4,0)*(HLOOKUP(AG$528,'2.2.Brecha Efectiva x UdM'!$H$86:$AK$92,3,0))+(VLOOKUP($A529,$A$4:$O$27,4,0)*(HLOOKUP(AG$528,'2.2.Brecha Efectiva x UdM'!$H$64:$AK$70,3,0))))</f>
        <v>0</v>
      </c>
      <c r="AH529" s="62">
        <f>SUM(D529:AG529)</f>
        <v>462741058.47438401</v>
      </c>
    </row>
    <row r="530" spans="1:34" x14ac:dyDescent="0.2">
      <c r="A530" s="26" t="str">
        <f t="shared" si="502"/>
        <v>CABA</v>
      </c>
      <c r="B530" s="52" t="str">
        <f t="shared" ref="B530:B552" si="503">$E$3</f>
        <v>Nombre UdM 2</v>
      </c>
      <c r="C530" s="26" t="str">
        <f t="shared" ref="C530:C552" si="504">CONCATENATE(A530," ",B530)</f>
        <v>CABA Nombre UdM 2</v>
      </c>
      <c r="D530" s="31">
        <f>(VLOOKUP($A530,$A$458:$O$482,4,0)*(HLOOKUP(D$528,'2.2.Brecha Efectiva x UdM'!$H$86:$AK$92,3,0))+(VLOOKUP($A530,$A$4:$O$27,4,0)*(HLOOKUP(D$528,'2.2.Brecha Efectiva x UdM'!$H$64:$AK$70,3,0))))</f>
        <v>11721004.263757732</v>
      </c>
      <c r="E530" s="31">
        <f>(VLOOKUP($A530,$A$458:$O$482,4,0)*(HLOOKUP(E$528,'2.2.Brecha Efectiva x UdM'!$H$86:$AK$92,3,0))+(VLOOKUP($A530,$A$4:$O$27,4,0)*(HLOOKUP(E$528,'2.2.Brecha Efectiva x UdM'!$H$64:$AK$70,3,0))))</f>
        <v>12556909.842961565</v>
      </c>
      <c r="F530" s="31">
        <f>(VLOOKUP($A530,$A$458:$O$482,4,0)*(HLOOKUP(F$528,'2.2.Brecha Efectiva x UdM'!$H$86:$AK$92,3,0))+(VLOOKUP($A530,$A$4:$O$27,4,0)*(HLOOKUP(F$528,'2.2.Brecha Efectiva x UdM'!$H$64:$AK$70,3,0))))</f>
        <v>18956690.057327121</v>
      </c>
      <c r="G530" s="31">
        <f>(VLOOKUP($A530,$A$458:$O$482,4,0)*(HLOOKUP(G$528,'2.2.Brecha Efectiva x UdM'!$H$86:$AK$92,3,0))+(VLOOKUP($A530,$A$4:$O$27,4,0)*(HLOOKUP(G$528,'2.2.Brecha Efectiva x UdM'!$H$64:$AK$70,3,0))))</f>
        <v>0</v>
      </c>
      <c r="H530" s="31">
        <f>(VLOOKUP($A530,$A$458:$O$482,4,0)*(HLOOKUP(H$528,'2.2.Brecha Efectiva x UdM'!$H$86:$AK$92,3,0))+(VLOOKUP($A530,$A$4:$O$27,4,0)*(HLOOKUP(H$528,'2.2.Brecha Efectiva x UdM'!$H$64:$AK$70,3,0))))</f>
        <v>0</v>
      </c>
      <c r="I530" s="31">
        <f>(VLOOKUP($A530,$A$458:$O$482,4,0)*(HLOOKUP(I$528,'2.2.Brecha Efectiva x UdM'!$H$86:$AK$92,3,0))+(VLOOKUP($A530,$A$4:$O$27,4,0)*(HLOOKUP(I$528,'2.2.Brecha Efectiva x UdM'!$H$64:$AK$70,3,0))))</f>
        <v>0</v>
      </c>
      <c r="J530" s="31">
        <f>(VLOOKUP($A530,$A$458:$O$482,4,0)*(HLOOKUP(J$528,'2.2.Brecha Efectiva x UdM'!$H$86:$AK$92,3,0))+(VLOOKUP($A530,$A$4:$O$27,4,0)*(HLOOKUP(J$528,'2.2.Brecha Efectiva x UdM'!$H$64:$AK$70,3,0))))</f>
        <v>0</v>
      </c>
      <c r="K530" s="31">
        <f>(VLOOKUP($A530,$A$458:$O$482,4,0)*(HLOOKUP(K$528,'2.2.Brecha Efectiva x UdM'!$H$86:$AK$92,3,0))+(VLOOKUP($A530,$A$4:$O$27,4,0)*(HLOOKUP(K$528,'2.2.Brecha Efectiva x UdM'!$H$64:$AK$70,3,0))))</f>
        <v>0</v>
      </c>
      <c r="L530" s="31">
        <f>(VLOOKUP($A530,$A$458:$O$482,4,0)*(HLOOKUP(L$528,'2.2.Brecha Efectiva x UdM'!$H$86:$AK$92,3,0))+(VLOOKUP($A530,$A$4:$O$27,4,0)*(HLOOKUP(L$528,'2.2.Brecha Efectiva x UdM'!$H$64:$AK$70,3,0))))</f>
        <v>0</v>
      </c>
      <c r="M530" s="31">
        <f>(VLOOKUP($A530,$A$458:$O$482,4,0)*(HLOOKUP(M$528,'2.2.Brecha Efectiva x UdM'!$H$86:$AK$92,3,0))+(VLOOKUP($A530,$A$4:$O$27,4,0)*(HLOOKUP(M$528,'2.2.Brecha Efectiva x UdM'!$H$64:$AK$70,3,0))))</f>
        <v>0</v>
      </c>
      <c r="N530" s="31">
        <f>(VLOOKUP($A530,$A$458:$O$482,4,0)*(HLOOKUP(N$528,'2.2.Brecha Efectiva x UdM'!$H$86:$AK$92,3,0))+(VLOOKUP($A530,$A$4:$O$27,4,0)*(HLOOKUP(N$528,'2.2.Brecha Efectiva x UdM'!$H$64:$AK$70,3,0))))</f>
        <v>0</v>
      </c>
      <c r="O530" s="31">
        <f>(VLOOKUP($A530,$A$458:$O$482,4,0)*(HLOOKUP(O$528,'2.2.Brecha Efectiva x UdM'!$H$86:$AK$92,3,0))+(VLOOKUP($A530,$A$4:$O$27,4,0)*(HLOOKUP(O$528,'2.2.Brecha Efectiva x UdM'!$H$64:$AK$70,3,0))))</f>
        <v>0</v>
      </c>
      <c r="P530" s="31">
        <f>(VLOOKUP($A530,$A$458:$O$482,4,0)*(HLOOKUP(P$528,'2.2.Brecha Efectiva x UdM'!$H$86:$AK$92,3,0))+(VLOOKUP($A530,$A$4:$O$27,4,0)*(HLOOKUP(P$528,'2.2.Brecha Efectiva x UdM'!$H$64:$AK$70,3,0))))</f>
        <v>0</v>
      </c>
      <c r="Q530" s="31">
        <f>(VLOOKUP($A530,$A$458:$O$482,4,0)*(HLOOKUP(Q$528,'2.2.Brecha Efectiva x UdM'!$H$86:$AK$92,3,0))+(VLOOKUP($A530,$A$4:$O$27,4,0)*(HLOOKUP(Q$528,'2.2.Brecha Efectiva x UdM'!$H$64:$AK$70,3,0))))</f>
        <v>0</v>
      </c>
      <c r="R530" s="31">
        <f>(VLOOKUP($A530,$A$458:$O$482,4,0)*(HLOOKUP(R$528,'2.2.Brecha Efectiva x UdM'!$H$86:$AK$92,3,0))+(VLOOKUP($A530,$A$4:$O$27,4,0)*(HLOOKUP(R$528,'2.2.Brecha Efectiva x UdM'!$H$64:$AK$70,3,0))))</f>
        <v>0</v>
      </c>
      <c r="S530" s="31">
        <f>(VLOOKUP($A530,$A$458:$O$482,4,0)*(HLOOKUP(S$528,'2.2.Brecha Efectiva x UdM'!$H$86:$AK$92,3,0))+(VLOOKUP($A530,$A$4:$O$27,4,0)*(HLOOKUP(S$528,'2.2.Brecha Efectiva x UdM'!$H$64:$AK$70,3,0))))</f>
        <v>0</v>
      </c>
      <c r="T530" s="31">
        <f>(VLOOKUP($A530,$A$458:$O$482,4,0)*(HLOOKUP(T$528,'2.2.Brecha Efectiva x UdM'!$H$86:$AK$92,3,0))+(VLOOKUP($A530,$A$4:$O$27,4,0)*(HLOOKUP(T$528,'2.2.Brecha Efectiva x UdM'!$H$64:$AK$70,3,0))))</f>
        <v>0</v>
      </c>
      <c r="U530" s="31">
        <f>(VLOOKUP($A530,$A$458:$O$482,4,0)*(HLOOKUP(U$528,'2.2.Brecha Efectiva x UdM'!$H$86:$AK$92,3,0))+(VLOOKUP($A530,$A$4:$O$27,4,0)*(HLOOKUP(U$528,'2.2.Brecha Efectiva x UdM'!$H$64:$AK$70,3,0))))</f>
        <v>0</v>
      </c>
      <c r="V530" s="31">
        <f>(VLOOKUP($A530,$A$458:$O$482,4,0)*(HLOOKUP(V$528,'2.2.Brecha Efectiva x UdM'!$H$86:$AK$92,3,0))+(VLOOKUP($A530,$A$4:$O$27,4,0)*(HLOOKUP(V$528,'2.2.Brecha Efectiva x UdM'!$H$64:$AK$70,3,0))))</f>
        <v>0</v>
      </c>
      <c r="W530" s="31">
        <f>(VLOOKUP($A530,$A$458:$O$482,4,0)*(HLOOKUP(W$528,'2.2.Brecha Efectiva x UdM'!$H$86:$AK$92,3,0))+(VLOOKUP($A530,$A$4:$O$27,4,0)*(HLOOKUP(W$528,'2.2.Brecha Efectiva x UdM'!$H$64:$AK$70,3,0))))</f>
        <v>0</v>
      </c>
      <c r="X530" s="31">
        <f>(VLOOKUP($A530,$A$458:$O$482,4,0)*(HLOOKUP(X$528,'2.2.Brecha Efectiva x UdM'!$H$86:$AK$92,3,0))+(VLOOKUP($A530,$A$4:$O$27,4,0)*(HLOOKUP(X$528,'2.2.Brecha Efectiva x UdM'!$H$64:$AK$70,3,0))))</f>
        <v>0</v>
      </c>
      <c r="Y530" s="31">
        <f>(VLOOKUP($A530,$A$458:$O$482,4,0)*(HLOOKUP(Y$528,'2.2.Brecha Efectiva x UdM'!$H$86:$AK$92,3,0))+(VLOOKUP($A530,$A$4:$O$27,4,0)*(HLOOKUP(Y$528,'2.2.Brecha Efectiva x UdM'!$H$64:$AK$70,3,0))))</f>
        <v>0</v>
      </c>
      <c r="Z530" s="31">
        <f>(VLOOKUP($A530,$A$458:$O$482,4,0)*(HLOOKUP(Z$528,'2.2.Brecha Efectiva x UdM'!$H$86:$AK$92,3,0))+(VLOOKUP($A530,$A$4:$O$27,4,0)*(HLOOKUP(Z$528,'2.2.Brecha Efectiva x UdM'!$H$64:$AK$70,3,0))))</f>
        <v>0</v>
      </c>
      <c r="AA530" s="31">
        <f>(VLOOKUP($A530,$A$458:$O$482,4,0)*(HLOOKUP(AA$528,'2.2.Brecha Efectiva x UdM'!$H$86:$AK$92,3,0))+(VLOOKUP($A530,$A$4:$O$27,4,0)*(HLOOKUP(AA$528,'2.2.Brecha Efectiva x UdM'!$H$64:$AK$70,3,0))))</f>
        <v>0</v>
      </c>
      <c r="AB530" s="31">
        <f>(VLOOKUP($A530,$A$458:$O$482,4,0)*(HLOOKUP(AB$528,'2.2.Brecha Efectiva x UdM'!$H$86:$AK$92,3,0))+(VLOOKUP($A530,$A$4:$O$27,4,0)*(HLOOKUP(AB$528,'2.2.Brecha Efectiva x UdM'!$H$64:$AK$70,3,0))))</f>
        <v>0</v>
      </c>
      <c r="AC530" s="31">
        <f>(VLOOKUP($A530,$A$458:$O$482,4,0)*(HLOOKUP(AC$528,'2.2.Brecha Efectiva x UdM'!$H$86:$AK$92,3,0))+(VLOOKUP($A530,$A$4:$O$27,4,0)*(HLOOKUP(AC$528,'2.2.Brecha Efectiva x UdM'!$H$64:$AK$70,3,0))))</f>
        <v>0</v>
      </c>
      <c r="AD530" s="31">
        <f>(VLOOKUP($A530,$A$458:$O$482,4,0)*(HLOOKUP(AD$528,'2.2.Brecha Efectiva x UdM'!$H$86:$AK$92,3,0))+(VLOOKUP($A530,$A$4:$O$27,4,0)*(HLOOKUP(AD$528,'2.2.Brecha Efectiva x UdM'!$H$64:$AK$70,3,0))))</f>
        <v>0</v>
      </c>
      <c r="AE530" s="31">
        <f>(VLOOKUP($A530,$A$458:$O$482,4,0)*(HLOOKUP(AE$528,'2.2.Brecha Efectiva x UdM'!$H$86:$AK$92,3,0))+(VLOOKUP($A530,$A$4:$O$27,4,0)*(HLOOKUP(AE$528,'2.2.Brecha Efectiva x UdM'!$H$64:$AK$70,3,0))))</f>
        <v>0</v>
      </c>
      <c r="AF530" s="31">
        <f>(VLOOKUP($A530,$A$458:$O$482,4,0)*(HLOOKUP(AF$528,'2.2.Brecha Efectiva x UdM'!$H$86:$AK$92,3,0))+(VLOOKUP($A530,$A$4:$O$27,4,0)*(HLOOKUP(AF$528,'2.2.Brecha Efectiva x UdM'!$H$64:$AK$70,3,0))))</f>
        <v>0</v>
      </c>
      <c r="AG530" s="31">
        <f>(VLOOKUP($A530,$A$458:$O$482,4,0)*(HLOOKUP(AG$528,'2.2.Brecha Efectiva x UdM'!$H$86:$AK$92,3,0))+(VLOOKUP($A530,$A$4:$O$27,4,0)*(HLOOKUP(AG$528,'2.2.Brecha Efectiva x UdM'!$H$64:$AK$70,3,0))))</f>
        <v>0</v>
      </c>
      <c r="AH530" s="63">
        <f>SUM(D530:AG530)</f>
        <v>43234604.164046422</v>
      </c>
    </row>
    <row r="531" spans="1:34" x14ac:dyDescent="0.2">
      <c r="A531" s="25" t="str">
        <f t="shared" si="502"/>
        <v>Catamarca</v>
      </c>
      <c r="B531" s="51" t="str">
        <f t="shared" si="503"/>
        <v>Nombre UdM 2</v>
      </c>
      <c r="C531" s="25" t="str">
        <f t="shared" si="504"/>
        <v>Catamarca Nombre UdM 2</v>
      </c>
      <c r="D531" s="32">
        <f>(VLOOKUP($A531,$A$458:$O$482,4,0)*(HLOOKUP(D$528,'2.2.Brecha Efectiva x UdM'!$H$86:$AK$92,3,0))+(VLOOKUP($A531,$A$4:$O$27,4,0)*(HLOOKUP(D$528,'2.2.Brecha Efectiva x UdM'!$H$64:$AK$70,3,0))))</f>
        <v>19961165.791676287</v>
      </c>
      <c r="E531" s="32">
        <f>(VLOOKUP($A531,$A$458:$O$482,4,0)*(HLOOKUP(E$528,'2.2.Brecha Efectiva x UdM'!$H$86:$AK$92,3,0))+(VLOOKUP($A531,$A$4:$O$27,4,0)*(HLOOKUP(E$528,'2.2.Brecha Efectiva x UdM'!$H$64:$AK$70,3,0))))</f>
        <v>21384734.069376536</v>
      </c>
      <c r="F531" s="32">
        <f>(VLOOKUP($A531,$A$458:$O$482,4,0)*(HLOOKUP(F$528,'2.2.Brecha Efectiva x UdM'!$H$86:$AK$92,3,0))+(VLOOKUP($A531,$A$4:$O$27,4,0)*(HLOOKUP(F$528,'2.2.Brecha Efectiva x UdM'!$H$64:$AK$70,3,0))))</f>
        <v>32283721.136913449</v>
      </c>
      <c r="G531" s="32">
        <f>(VLOOKUP($A531,$A$458:$O$482,4,0)*(HLOOKUP(G$528,'2.2.Brecha Efectiva x UdM'!$H$86:$AK$92,3,0))+(VLOOKUP($A531,$A$4:$O$27,4,0)*(HLOOKUP(G$528,'2.2.Brecha Efectiva x UdM'!$H$64:$AK$70,3,0))))</f>
        <v>0</v>
      </c>
      <c r="H531" s="32">
        <f>(VLOOKUP($A531,$A$458:$O$482,4,0)*(HLOOKUP(H$528,'2.2.Brecha Efectiva x UdM'!$H$86:$AK$92,3,0))+(VLOOKUP($A531,$A$4:$O$27,4,0)*(HLOOKUP(H$528,'2.2.Brecha Efectiva x UdM'!$H$64:$AK$70,3,0))))</f>
        <v>0</v>
      </c>
      <c r="I531" s="32">
        <f>(VLOOKUP($A531,$A$458:$O$482,4,0)*(HLOOKUP(I$528,'2.2.Brecha Efectiva x UdM'!$H$86:$AK$92,3,0))+(VLOOKUP($A531,$A$4:$O$27,4,0)*(HLOOKUP(I$528,'2.2.Brecha Efectiva x UdM'!$H$64:$AK$70,3,0))))</f>
        <v>0</v>
      </c>
      <c r="J531" s="32">
        <f>(VLOOKUP($A531,$A$458:$O$482,4,0)*(HLOOKUP(J$528,'2.2.Brecha Efectiva x UdM'!$H$86:$AK$92,3,0))+(VLOOKUP($A531,$A$4:$O$27,4,0)*(HLOOKUP(J$528,'2.2.Brecha Efectiva x UdM'!$H$64:$AK$70,3,0))))</f>
        <v>0</v>
      </c>
      <c r="K531" s="32">
        <f>(VLOOKUP($A531,$A$458:$O$482,4,0)*(HLOOKUP(K$528,'2.2.Brecha Efectiva x UdM'!$H$86:$AK$92,3,0))+(VLOOKUP($A531,$A$4:$O$27,4,0)*(HLOOKUP(K$528,'2.2.Brecha Efectiva x UdM'!$H$64:$AK$70,3,0))))</f>
        <v>0</v>
      </c>
      <c r="L531" s="32">
        <f>(VLOOKUP($A531,$A$458:$O$482,4,0)*(HLOOKUP(L$528,'2.2.Brecha Efectiva x UdM'!$H$86:$AK$92,3,0))+(VLOOKUP($A531,$A$4:$O$27,4,0)*(HLOOKUP(L$528,'2.2.Brecha Efectiva x UdM'!$H$64:$AK$70,3,0))))</f>
        <v>0</v>
      </c>
      <c r="M531" s="32">
        <f>(VLOOKUP($A531,$A$458:$O$482,4,0)*(HLOOKUP(M$528,'2.2.Brecha Efectiva x UdM'!$H$86:$AK$92,3,0))+(VLOOKUP($A531,$A$4:$O$27,4,0)*(HLOOKUP(M$528,'2.2.Brecha Efectiva x UdM'!$H$64:$AK$70,3,0))))</f>
        <v>0</v>
      </c>
      <c r="N531" s="32">
        <f>(VLOOKUP($A531,$A$458:$O$482,4,0)*(HLOOKUP(N$528,'2.2.Brecha Efectiva x UdM'!$H$86:$AK$92,3,0))+(VLOOKUP($A531,$A$4:$O$27,4,0)*(HLOOKUP(N$528,'2.2.Brecha Efectiva x UdM'!$H$64:$AK$70,3,0))))</f>
        <v>0</v>
      </c>
      <c r="O531" s="32">
        <f>(VLOOKUP($A531,$A$458:$O$482,4,0)*(HLOOKUP(O$528,'2.2.Brecha Efectiva x UdM'!$H$86:$AK$92,3,0))+(VLOOKUP($A531,$A$4:$O$27,4,0)*(HLOOKUP(O$528,'2.2.Brecha Efectiva x UdM'!$H$64:$AK$70,3,0))))</f>
        <v>0</v>
      </c>
      <c r="P531" s="32">
        <f>(VLOOKUP($A531,$A$458:$O$482,4,0)*(HLOOKUP(P$528,'2.2.Brecha Efectiva x UdM'!$H$86:$AK$92,3,0))+(VLOOKUP($A531,$A$4:$O$27,4,0)*(HLOOKUP(P$528,'2.2.Brecha Efectiva x UdM'!$H$64:$AK$70,3,0))))</f>
        <v>0</v>
      </c>
      <c r="Q531" s="32">
        <f>(VLOOKUP($A531,$A$458:$O$482,4,0)*(HLOOKUP(Q$528,'2.2.Brecha Efectiva x UdM'!$H$86:$AK$92,3,0))+(VLOOKUP($A531,$A$4:$O$27,4,0)*(HLOOKUP(Q$528,'2.2.Brecha Efectiva x UdM'!$H$64:$AK$70,3,0))))</f>
        <v>0</v>
      </c>
      <c r="R531" s="32">
        <f>(VLOOKUP($A531,$A$458:$O$482,4,0)*(HLOOKUP(R$528,'2.2.Brecha Efectiva x UdM'!$H$86:$AK$92,3,0))+(VLOOKUP($A531,$A$4:$O$27,4,0)*(HLOOKUP(R$528,'2.2.Brecha Efectiva x UdM'!$H$64:$AK$70,3,0))))</f>
        <v>0</v>
      </c>
      <c r="S531" s="32">
        <f>(VLOOKUP($A531,$A$458:$O$482,4,0)*(HLOOKUP(S$528,'2.2.Brecha Efectiva x UdM'!$H$86:$AK$92,3,0))+(VLOOKUP($A531,$A$4:$O$27,4,0)*(HLOOKUP(S$528,'2.2.Brecha Efectiva x UdM'!$H$64:$AK$70,3,0))))</f>
        <v>0</v>
      </c>
      <c r="T531" s="32">
        <f>(VLOOKUP($A531,$A$458:$O$482,4,0)*(HLOOKUP(T$528,'2.2.Brecha Efectiva x UdM'!$H$86:$AK$92,3,0))+(VLOOKUP($A531,$A$4:$O$27,4,0)*(HLOOKUP(T$528,'2.2.Brecha Efectiva x UdM'!$H$64:$AK$70,3,0))))</f>
        <v>0</v>
      </c>
      <c r="U531" s="32">
        <f>(VLOOKUP($A531,$A$458:$O$482,4,0)*(HLOOKUP(U$528,'2.2.Brecha Efectiva x UdM'!$H$86:$AK$92,3,0))+(VLOOKUP($A531,$A$4:$O$27,4,0)*(HLOOKUP(U$528,'2.2.Brecha Efectiva x UdM'!$H$64:$AK$70,3,0))))</f>
        <v>0</v>
      </c>
      <c r="V531" s="32">
        <f>(VLOOKUP($A531,$A$458:$O$482,4,0)*(HLOOKUP(V$528,'2.2.Brecha Efectiva x UdM'!$H$86:$AK$92,3,0))+(VLOOKUP($A531,$A$4:$O$27,4,0)*(HLOOKUP(V$528,'2.2.Brecha Efectiva x UdM'!$H$64:$AK$70,3,0))))</f>
        <v>0</v>
      </c>
      <c r="W531" s="32">
        <f>(VLOOKUP($A531,$A$458:$O$482,4,0)*(HLOOKUP(W$528,'2.2.Brecha Efectiva x UdM'!$H$86:$AK$92,3,0))+(VLOOKUP($A531,$A$4:$O$27,4,0)*(HLOOKUP(W$528,'2.2.Brecha Efectiva x UdM'!$H$64:$AK$70,3,0))))</f>
        <v>0</v>
      </c>
      <c r="X531" s="32">
        <f>(VLOOKUP($A531,$A$458:$O$482,4,0)*(HLOOKUP(X$528,'2.2.Brecha Efectiva x UdM'!$H$86:$AK$92,3,0))+(VLOOKUP($A531,$A$4:$O$27,4,0)*(HLOOKUP(X$528,'2.2.Brecha Efectiva x UdM'!$H$64:$AK$70,3,0))))</f>
        <v>0</v>
      </c>
      <c r="Y531" s="32">
        <f>(VLOOKUP($A531,$A$458:$O$482,4,0)*(HLOOKUP(Y$528,'2.2.Brecha Efectiva x UdM'!$H$86:$AK$92,3,0))+(VLOOKUP($A531,$A$4:$O$27,4,0)*(HLOOKUP(Y$528,'2.2.Brecha Efectiva x UdM'!$H$64:$AK$70,3,0))))</f>
        <v>0</v>
      </c>
      <c r="Z531" s="32">
        <f>(VLOOKUP($A531,$A$458:$O$482,4,0)*(HLOOKUP(Z$528,'2.2.Brecha Efectiva x UdM'!$H$86:$AK$92,3,0))+(VLOOKUP($A531,$A$4:$O$27,4,0)*(HLOOKUP(Z$528,'2.2.Brecha Efectiva x UdM'!$H$64:$AK$70,3,0))))</f>
        <v>0</v>
      </c>
      <c r="AA531" s="32">
        <f>(VLOOKUP($A531,$A$458:$O$482,4,0)*(HLOOKUP(AA$528,'2.2.Brecha Efectiva x UdM'!$H$86:$AK$92,3,0))+(VLOOKUP($A531,$A$4:$O$27,4,0)*(HLOOKUP(AA$528,'2.2.Brecha Efectiva x UdM'!$H$64:$AK$70,3,0))))</f>
        <v>0</v>
      </c>
      <c r="AB531" s="32">
        <f>(VLOOKUP($A531,$A$458:$O$482,4,0)*(HLOOKUP(AB$528,'2.2.Brecha Efectiva x UdM'!$H$86:$AK$92,3,0))+(VLOOKUP($A531,$A$4:$O$27,4,0)*(HLOOKUP(AB$528,'2.2.Brecha Efectiva x UdM'!$H$64:$AK$70,3,0))))</f>
        <v>0</v>
      </c>
      <c r="AC531" s="32">
        <f>(VLOOKUP($A531,$A$458:$O$482,4,0)*(HLOOKUP(AC$528,'2.2.Brecha Efectiva x UdM'!$H$86:$AK$92,3,0))+(VLOOKUP($A531,$A$4:$O$27,4,0)*(HLOOKUP(AC$528,'2.2.Brecha Efectiva x UdM'!$H$64:$AK$70,3,0))))</f>
        <v>0</v>
      </c>
      <c r="AD531" s="32">
        <f>(VLOOKUP($A531,$A$458:$O$482,4,0)*(HLOOKUP(AD$528,'2.2.Brecha Efectiva x UdM'!$H$86:$AK$92,3,0))+(VLOOKUP($A531,$A$4:$O$27,4,0)*(HLOOKUP(AD$528,'2.2.Brecha Efectiva x UdM'!$H$64:$AK$70,3,0))))</f>
        <v>0</v>
      </c>
      <c r="AE531" s="32">
        <f>(VLOOKUP($A531,$A$458:$O$482,4,0)*(HLOOKUP(AE$528,'2.2.Brecha Efectiva x UdM'!$H$86:$AK$92,3,0))+(VLOOKUP($A531,$A$4:$O$27,4,0)*(HLOOKUP(AE$528,'2.2.Brecha Efectiva x UdM'!$H$64:$AK$70,3,0))))</f>
        <v>0</v>
      </c>
      <c r="AF531" s="32">
        <f>(VLOOKUP($A531,$A$458:$O$482,4,0)*(HLOOKUP(AF$528,'2.2.Brecha Efectiva x UdM'!$H$86:$AK$92,3,0))+(VLOOKUP($A531,$A$4:$O$27,4,0)*(HLOOKUP(AF$528,'2.2.Brecha Efectiva x UdM'!$H$64:$AK$70,3,0))))</f>
        <v>0</v>
      </c>
      <c r="AG531" s="32">
        <f>(VLOOKUP($A531,$A$458:$O$482,4,0)*(HLOOKUP(AG$528,'2.2.Brecha Efectiva x UdM'!$H$86:$AK$92,3,0))+(VLOOKUP($A531,$A$4:$O$27,4,0)*(HLOOKUP(AG$528,'2.2.Brecha Efectiva x UdM'!$H$64:$AK$70,3,0))))</f>
        <v>0</v>
      </c>
      <c r="AH531" s="62">
        <f t="shared" ref="AH531:AH553" si="505">SUM(D531:AG531)</f>
        <v>73629620.997966275</v>
      </c>
    </row>
    <row r="532" spans="1:34" x14ac:dyDescent="0.2">
      <c r="A532" s="26" t="str">
        <f t="shared" si="502"/>
        <v>Chaco</v>
      </c>
      <c r="B532" s="52" t="str">
        <f t="shared" si="503"/>
        <v>Nombre UdM 2</v>
      </c>
      <c r="C532" s="26" t="str">
        <f t="shared" si="504"/>
        <v>Chaco Nombre UdM 2</v>
      </c>
      <c r="D532" s="31">
        <f>(VLOOKUP($A532,$A$458:$O$482,4,0)*(HLOOKUP(D$528,'2.2.Brecha Efectiva x UdM'!$H$86:$AK$92,3,0))+(VLOOKUP($A532,$A$4:$O$27,4,0)*(HLOOKUP(D$528,'2.2.Brecha Efectiva x UdM'!$H$64:$AK$70,3,0))))</f>
        <v>29124889.859975778</v>
      </c>
      <c r="E532" s="31">
        <f>(VLOOKUP($A532,$A$458:$O$482,4,0)*(HLOOKUP(E$528,'2.2.Brecha Efectiva x UdM'!$H$86:$AK$92,3,0))+(VLOOKUP($A532,$A$4:$O$27,4,0)*(HLOOKUP(E$528,'2.2.Brecha Efectiva x UdM'!$H$64:$AK$70,3,0))))</f>
        <v>31201986.444858823</v>
      </c>
      <c r="F532" s="31">
        <f>(VLOOKUP($A532,$A$458:$O$482,4,0)*(HLOOKUP(F$528,'2.2.Brecha Efectiva x UdM'!$H$86:$AK$92,3,0))+(VLOOKUP($A532,$A$4:$O$27,4,0)*(HLOOKUP(F$528,'2.2.Brecha Efectiva x UdM'!$H$64:$AK$70,3,0))))</f>
        <v>47104454.328757688</v>
      </c>
      <c r="G532" s="31">
        <f>(VLOOKUP($A532,$A$458:$O$482,4,0)*(HLOOKUP(G$528,'2.2.Brecha Efectiva x UdM'!$H$86:$AK$92,3,0))+(VLOOKUP($A532,$A$4:$O$27,4,0)*(HLOOKUP(G$528,'2.2.Brecha Efectiva x UdM'!$H$64:$AK$70,3,0))))</f>
        <v>0</v>
      </c>
      <c r="H532" s="31">
        <f>(VLOOKUP($A532,$A$458:$O$482,4,0)*(HLOOKUP(H$528,'2.2.Brecha Efectiva x UdM'!$H$86:$AK$92,3,0))+(VLOOKUP($A532,$A$4:$O$27,4,0)*(HLOOKUP(H$528,'2.2.Brecha Efectiva x UdM'!$H$64:$AK$70,3,0))))</f>
        <v>0</v>
      </c>
      <c r="I532" s="31">
        <f>(VLOOKUP($A532,$A$458:$O$482,4,0)*(HLOOKUP(I$528,'2.2.Brecha Efectiva x UdM'!$H$86:$AK$92,3,0))+(VLOOKUP($A532,$A$4:$O$27,4,0)*(HLOOKUP(I$528,'2.2.Brecha Efectiva x UdM'!$H$64:$AK$70,3,0))))</f>
        <v>0</v>
      </c>
      <c r="J532" s="31">
        <f>(VLOOKUP($A532,$A$458:$O$482,4,0)*(HLOOKUP(J$528,'2.2.Brecha Efectiva x UdM'!$H$86:$AK$92,3,0))+(VLOOKUP($A532,$A$4:$O$27,4,0)*(HLOOKUP(J$528,'2.2.Brecha Efectiva x UdM'!$H$64:$AK$70,3,0))))</f>
        <v>0</v>
      </c>
      <c r="K532" s="31">
        <f>(VLOOKUP($A532,$A$458:$O$482,4,0)*(HLOOKUP(K$528,'2.2.Brecha Efectiva x UdM'!$H$86:$AK$92,3,0))+(VLOOKUP($A532,$A$4:$O$27,4,0)*(HLOOKUP(K$528,'2.2.Brecha Efectiva x UdM'!$H$64:$AK$70,3,0))))</f>
        <v>0</v>
      </c>
      <c r="L532" s="31">
        <f>(VLOOKUP($A532,$A$458:$O$482,4,0)*(HLOOKUP(L$528,'2.2.Brecha Efectiva x UdM'!$H$86:$AK$92,3,0))+(VLOOKUP($A532,$A$4:$O$27,4,0)*(HLOOKUP(L$528,'2.2.Brecha Efectiva x UdM'!$H$64:$AK$70,3,0))))</f>
        <v>0</v>
      </c>
      <c r="M532" s="31">
        <f>(VLOOKUP($A532,$A$458:$O$482,4,0)*(HLOOKUP(M$528,'2.2.Brecha Efectiva x UdM'!$H$86:$AK$92,3,0))+(VLOOKUP($A532,$A$4:$O$27,4,0)*(HLOOKUP(M$528,'2.2.Brecha Efectiva x UdM'!$H$64:$AK$70,3,0))))</f>
        <v>0</v>
      </c>
      <c r="N532" s="31">
        <f>(VLOOKUP($A532,$A$458:$O$482,4,0)*(HLOOKUP(N$528,'2.2.Brecha Efectiva x UdM'!$H$86:$AK$92,3,0))+(VLOOKUP($A532,$A$4:$O$27,4,0)*(HLOOKUP(N$528,'2.2.Brecha Efectiva x UdM'!$H$64:$AK$70,3,0))))</f>
        <v>0</v>
      </c>
      <c r="O532" s="31">
        <f>(VLOOKUP($A532,$A$458:$O$482,4,0)*(HLOOKUP(O$528,'2.2.Brecha Efectiva x UdM'!$H$86:$AK$92,3,0))+(VLOOKUP($A532,$A$4:$O$27,4,0)*(HLOOKUP(O$528,'2.2.Brecha Efectiva x UdM'!$H$64:$AK$70,3,0))))</f>
        <v>0</v>
      </c>
      <c r="P532" s="31">
        <f>(VLOOKUP($A532,$A$458:$O$482,4,0)*(HLOOKUP(P$528,'2.2.Brecha Efectiva x UdM'!$H$86:$AK$92,3,0))+(VLOOKUP($A532,$A$4:$O$27,4,0)*(HLOOKUP(P$528,'2.2.Brecha Efectiva x UdM'!$H$64:$AK$70,3,0))))</f>
        <v>0</v>
      </c>
      <c r="Q532" s="31">
        <f>(VLOOKUP($A532,$A$458:$O$482,4,0)*(HLOOKUP(Q$528,'2.2.Brecha Efectiva x UdM'!$H$86:$AK$92,3,0))+(VLOOKUP($A532,$A$4:$O$27,4,0)*(HLOOKUP(Q$528,'2.2.Brecha Efectiva x UdM'!$H$64:$AK$70,3,0))))</f>
        <v>0</v>
      </c>
      <c r="R532" s="31">
        <f>(VLOOKUP($A532,$A$458:$O$482,4,0)*(HLOOKUP(R$528,'2.2.Brecha Efectiva x UdM'!$H$86:$AK$92,3,0))+(VLOOKUP($A532,$A$4:$O$27,4,0)*(HLOOKUP(R$528,'2.2.Brecha Efectiva x UdM'!$H$64:$AK$70,3,0))))</f>
        <v>0</v>
      </c>
      <c r="S532" s="31">
        <f>(VLOOKUP($A532,$A$458:$O$482,4,0)*(HLOOKUP(S$528,'2.2.Brecha Efectiva x UdM'!$H$86:$AK$92,3,0))+(VLOOKUP($A532,$A$4:$O$27,4,0)*(HLOOKUP(S$528,'2.2.Brecha Efectiva x UdM'!$H$64:$AK$70,3,0))))</f>
        <v>0</v>
      </c>
      <c r="T532" s="31">
        <f>(VLOOKUP($A532,$A$458:$O$482,4,0)*(HLOOKUP(T$528,'2.2.Brecha Efectiva x UdM'!$H$86:$AK$92,3,0))+(VLOOKUP($A532,$A$4:$O$27,4,0)*(HLOOKUP(T$528,'2.2.Brecha Efectiva x UdM'!$H$64:$AK$70,3,0))))</f>
        <v>0</v>
      </c>
      <c r="U532" s="31">
        <f>(VLOOKUP($A532,$A$458:$O$482,4,0)*(HLOOKUP(U$528,'2.2.Brecha Efectiva x UdM'!$H$86:$AK$92,3,0))+(VLOOKUP($A532,$A$4:$O$27,4,0)*(HLOOKUP(U$528,'2.2.Brecha Efectiva x UdM'!$H$64:$AK$70,3,0))))</f>
        <v>0</v>
      </c>
      <c r="V532" s="31">
        <f>(VLOOKUP($A532,$A$458:$O$482,4,0)*(HLOOKUP(V$528,'2.2.Brecha Efectiva x UdM'!$H$86:$AK$92,3,0))+(VLOOKUP($A532,$A$4:$O$27,4,0)*(HLOOKUP(V$528,'2.2.Brecha Efectiva x UdM'!$H$64:$AK$70,3,0))))</f>
        <v>0</v>
      </c>
      <c r="W532" s="31">
        <f>(VLOOKUP($A532,$A$458:$O$482,4,0)*(HLOOKUP(W$528,'2.2.Brecha Efectiva x UdM'!$H$86:$AK$92,3,0))+(VLOOKUP($A532,$A$4:$O$27,4,0)*(HLOOKUP(W$528,'2.2.Brecha Efectiva x UdM'!$H$64:$AK$70,3,0))))</f>
        <v>0</v>
      </c>
      <c r="X532" s="31">
        <f>(VLOOKUP($A532,$A$458:$O$482,4,0)*(HLOOKUP(X$528,'2.2.Brecha Efectiva x UdM'!$H$86:$AK$92,3,0))+(VLOOKUP($A532,$A$4:$O$27,4,0)*(HLOOKUP(X$528,'2.2.Brecha Efectiva x UdM'!$H$64:$AK$70,3,0))))</f>
        <v>0</v>
      </c>
      <c r="Y532" s="31">
        <f>(VLOOKUP($A532,$A$458:$O$482,4,0)*(HLOOKUP(Y$528,'2.2.Brecha Efectiva x UdM'!$H$86:$AK$92,3,0))+(VLOOKUP($A532,$A$4:$O$27,4,0)*(HLOOKUP(Y$528,'2.2.Brecha Efectiva x UdM'!$H$64:$AK$70,3,0))))</f>
        <v>0</v>
      </c>
      <c r="Z532" s="31">
        <f>(VLOOKUP($A532,$A$458:$O$482,4,0)*(HLOOKUP(Z$528,'2.2.Brecha Efectiva x UdM'!$H$86:$AK$92,3,0))+(VLOOKUP($A532,$A$4:$O$27,4,0)*(HLOOKUP(Z$528,'2.2.Brecha Efectiva x UdM'!$H$64:$AK$70,3,0))))</f>
        <v>0</v>
      </c>
      <c r="AA532" s="31">
        <f>(VLOOKUP($A532,$A$458:$O$482,4,0)*(HLOOKUP(AA$528,'2.2.Brecha Efectiva x UdM'!$H$86:$AK$92,3,0))+(VLOOKUP($A532,$A$4:$O$27,4,0)*(HLOOKUP(AA$528,'2.2.Brecha Efectiva x UdM'!$H$64:$AK$70,3,0))))</f>
        <v>0</v>
      </c>
      <c r="AB532" s="31">
        <f>(VLOOKUP($A532,$A$458:$O$482,4,0)*(HLOOKUP(AB$528,'2.2.Brecha Efectiva x UdM'!$H$86:$AK$92,3,0))+(VLOOKUP($A532,$A$4:$O$27,4,0)*(HLOOKUP(AB$528,'2.2.Brecha Efectiva x UdM'!$H$64:$AK$70,3,0))))</f>
        <v>0</v>
      </c>
      <c r="AC532" s="31">
        <f>(VLOOKUP($A532,$A$458:$O$482,4,0)*(HLOOKUP(AC$528,'2.2.Brecha Efectiva x UdM'!$H$86:$AK$92,3,0))+(VLOOKUP($A532,$A$4:$O$27,4,0)*(HLOOKUP(AC$528,'2.2.Brecha Efectiva x UdM'!$H$64:$AK$70,3,0))))</f>
        <v>0</v>
      </c>
      <c r="AD532" s="31">
        <f>(VLOOKUP($A532,$A$458:$O$482,4,0)*(HLOOKUP(AD$528,'2.2.Brecha Efectiva x UdM'!$H$86:$AK$92,3,0))+(VLOOKUP($A532,$A$4:$O$27,4,0)*(HLOOKUP(AD$528,'2.2.Brecha Efectiva x UdM'!$H$64:$AK$70,3,0))))</f>
        <v>0</v>
      </c>
      <c r="AE532" s="31">
        <f>(VLOOKUP($A532,$A$458:$O$482,4,0)*(HLOOKUP(AE$528,'2.2.Brecha Efectiva x UdM'!$H$86:$AK$92,3,0))+(VLOOKUP($A532,$A$4:$O$27,4,0)*(HLOOKUP(AE$528,'2.2.Brecha Efectiva x UdM'!$H$64:$AK$70,3,0))))</f>
        <v>0</v>
      </c>
      <c r="AF532" s="31">
        <f>(VLOOKUP($A532,$A$458:$O$482,4,0)*(HLOOKUP(AF$528,'2.2.Brecha Efectiva x UdM'!$H$86:$AK$92,3,0))+(VLOOKUP($A532,$A$4:$O$27,4,0)*(HLOOKUP(AF$528,'2.2.Brecha Efectiva x UdM'!$H$64:$AK$70,3,0))))</f>
        <v>0</v>
      </c>
      <c r="AG532" s="31">
        <f>(VLOOKUP($A532,$A$458:$O$482,4,0)*(HLOOKUP(AG$528,'2.2.Brecha Efectiva x UdM'!$H$86:$AK$92,3,0))+(VLOOKUP($A532,$A$4:$O$27,4,0)*(HLOOKUP(AG$528,'2.2.Brecha Efectiva x UdM'!$H$64:$AK$70,3,0))))</f>
        <v>0</v>
      </c>
      <c r="AH532" s="63">
        <f t="shared" si="505"/>
        <v>107431330.63359229</v>
      </c>
    </row>
    <row r="533" spans="1:34" x14ac:dyDescent="0.2">
      <c r="A533" s="25" t="str">
        <f t="shared" si="502"/>
        <v>Chubut</v>
      </c>
      <c r="B533" s="51" t="str">
        <f t="shared" si="503"/>
        <v>Nombre UdM 2</v>
      </c>
      <c r="C533" s="25" t="str">
        <f t="shared" si="504"/>
        <v>Chubut Nombre UdM 2</v>
      </c>
      <c r="D533" s="32">
        <f>(VLOOKUP($A533,$A$458:$O$482,4,0)*(HLOOKUP(D$528,'2.2.Brecha Efectiva x UdM'!$H$86:$AK$92,3,0))+(VLOOKUP($A533,$A$4:$O$27,4,0)*(HLOOKUP(D$528,'2.2.Brecha Efectiva x UdM'!$H$64:$AK$70,3,0))))</f>
        <v>489634348.79015201</v>
      </c>
      <c r="E533" s="32">
        <f>(VLOOKUP($A533,$A$458:$O$482,4,0)*(HLOOKUP(E$528,'2.2.Brecha Efectiva x UdM'!$H$86:$AK$92,3,0))+(VLOOKUP($A533,$A$4:$O$27,4,0)*(HLOOKUP(E$528,'2.2.Brecha Efectiva x UdM'!$H$64:$AK$70,3,0))))</f>
        <v>524553548.09366846</v>
      </c>
      <c r="F533" s="32">
        <f>(VLOOKUP($A533,$A$458:$O$482,4,0)*(HLOOKUP(F$528,'2.2.Brecha Efectiva x UdM'!$H$86:$AK$92,3,0))+(VLOOKUP($A533,$A$4:$O$27,4,0)*(HLOOKUP(F$528,'2.2.Brecha Efectiva x UdM'!$H$64:$AK$70,3,0))))</f>
        <v>791898576.4842962</v>
      </c>
      <c r="G533" s="32">
        <f>(VLOOKUP($A533,$A$458:$O$482,4,0)*(HLOOKUP(G$528,'2.2.Brecha Efectiva x UdM'!$H$86:$AK$92,3,0))+(VLOOKUP($A533,$A$4:$O$27,4,0)*(HLOOKUP(G$528,'2.2.Brecha Efectiva x UdM'!$H$64:$AK$70,3,0))))</f>
        <v>0</v>
      </c>
      <c r="H533" s="32">
        <f>(VLOOKUP($A533,$A$458:$O$482,4,0)*(HLOOKUP(H$528,'2.2.Brecha Efectiva x UdM'!$H$86:$AK$92,3,0))+(VLOOKUP($A533,$A$4:$O$27,4,0)*(HLOOKUP(H$528,'2.2.Brecha Efectiva x UdM'!$H$64:$AK$70,3,0))))</f>
        <v>0</v>
      </c>
      <c r="I533" s="32">
        <f>(VLOOKUP($A533,$A$458:$O$482,4,0)*(HLOOKUP(I$528,'2.2.Brecha Efectiva x UdM'!$H$86:$AK$92,3,0))+(VLOOKUP($A533,$A$4:$O$27,4,0)*(HLOOKUP(I$528,'2.2.Brecha Efectiva x UdM'!$H$64:$AK$70,3,0))))</f>
        <v>0</v>
      </c>
      <c r="J533" s="32">
        <f>(VLOOKUP($A533,$A$458:$O$482,4,0)*(HLOOKUP(J$528,'2.2.Brecha Efectiva x UdM'!$H$86:$AK$92,3,0))+(VLOOKUP($A533,$A$4:$O$27,4,0)*(HLOOKUP(J$528,'2.2.Brecha Efectiva x UdM'!$H$64:$AK$70,3,0))))</f>
        <v>0</v>
      </c>
      <c r="K533" s="32">
        <f>(VLOOKUP($A533,$A$458:$O$482,4,0)*(HLOOKUP(K$528,'2.2.Brecha Efectiva x UdM'!$H$86:$AK$92,3,0))+(VLOOKUP($A533,$A$4:$O$27,4,0)*(HLOOKUP(K$528,'2.2.Brecha Efectiva x UdM'!$H$64:$AK$70,3,0))))</f>
        <v>0</v>
      </c>
      <c r="L533" s="32">
        <f>(VLOOKUP($A533,$A$458:$O$482,4,0)*(HLOOKUP(L$528,'2.2.Brecha Efectiva x UdM'!$H$86:$AK$92,3,0))+(VLOOKUP($A533,$A$4:$O$27,4,0)*(HLOOKUP(L$528,'2.2.Brecha Efectiva x UdM'!$H$64:$AK$70,3,0))))</f>
        <v>0</v>
      </c>
      <c r="M533" s="32">
        <f>(VLOOKUP($A533,$A$458:$O$482,4,0)*(HLOOKUP(M$528,'2.2.Brecha Efectiva x UdM'!$H$86:$AK$92,3,0))+(VLOOKUP($A533,$A$4:$O$27,4,0)*(HLOOKUP(M$528,'2.2.Brecha Efectiva x UdM'!$H$64:$AK$70,3,0))))</f>
        <v>0</v>
      </c>
      <c r="N533" s="32">
        <f>(VLOOKUP($A533,$A$458:$O$482,4,0)*(HLOOKUP(N$528,'2.2.Brecha Efectiva x UdM'!$H$86:$AK$92,3,0))+(VLOOKUP($A533,$A$4:$O$27,4,0)*(HLOOKUP(N$528,'2.2.Brecha Efectiva x UdM'!$H$64:$AK$70,3,0))))</f>
        <v>0</v>
      </c>
      <c r="O533" s="32">
        <f>(VLOOKUP($A533,$A$458:$O$482,4,0)*(HLOOKUP(O$528,'2.2.Brecha Efectiva x UdM'!$H$86:$AK$92,3,0))+(VLOOKUP($A533,$A$4:$O$27,4,0)*(HLOOKUP(O$528,'2.2.Brecha Efectiva x UdM'!$H$64:$AK$70,3,0))))</f>
        <v>0</v>
      </c>
      <c r="P533" s="32">
        <f>(VLOOKUP($A533,$A$458:$O$482,4,0)*(HLOOKUP(P$528,'2.2.Brecha Efectiva x UdM'!$H$86:$AK$92,3,0))+(VLOOKUP($A533,$A$4:$O$27,4,0)*(HLOOKUP(P$528,'2.2.Brecha Efectiva x UdM'!$H$64:$AK$70,3,0))))</f>
        <v>0</v>
      </c>
      <c r="Q533" s="32">
        <f>(VLOOKUP($A533,$A$458:$O$482,4,0)*(HLOOKUP(Q$528,'2.2.Brecha Efectiva x UdM'!$H$86:$AK$92,3,0))+(VLOOKUP($A533,$A$4:$O$27,4,0)*(HLOOKUP(Q$528,'2.2.Brecha Efectiva x UdM'!$H$64:$AK$70,3,0))))</f>
        <v>0</v>
      </c>
      <c r="R533" s="32">
        <f>(VLOOKUP($A533,$A$458:$O$482,4,0)*(HLOOKUP(R$528,'2.2.Brecha Efectiva x UdM'!$H$86:$AK$92,3,0))+(VLOOKUP($A533,$A$4:$O$27,4,0)*(HLOOKUP(R$528,'2.2.Brecha Efectiva x UdM'!$H$64:$AK$70,3,0))))</f>
        <v>0</v>
      </c>
      <c r="S533" s="32">
        <f>(VLOOKUP($A533,$A$458:$O$482,4,0)*(HLOOKUP(S$528,'2.2.Brecha Efectiva x UdM'!$H$86:$AK$92,3,0))+(VLOOKUP($A533,$A$4:$O$27,4,0)*(HLOOKUP(S$528,'2.2.Brecha Efectiva x UdM'!$H$64:$AK$70,3,0))))</f>
        <v>0</v>
      </c>
      <c r="T533" s="32">
        <f>(VLOOKUP($A533,$A$458:$O$482,4,0)*(HLOOKUP(T$528,'2.2.Brecha Efectiva x UdM'!$H$86:$AK$92,3,0))+(VLOOKUP($A533,$A$4:$O$27,4,0)*(HLOOKUP(T$528,'2.2.Brecha Efectiva x UdM'!$H$64:$AK$70,3,0))))</f>
        <v>0</v>
      </c>
      <c r="U533" s="32">
        <f>(VLOOKUP($A533,$A$458:$O$482,4,0)*(HLOOKUP(U$528,'2.2.Brecha Efectiva x UdM'!$H$86:$AK$92,3,0))+(VLOOKUP($A533,$A$4:$O$27,4,0)*(HLOOKUP(U$528,'2.2.Brecha Efectiva x UdM'!$H$64:$AK$70,3,0))))</f>
        <v>0</v>
      </c>
      <c r="V533" s="32">
        <f>(VLOOKUP($A533,$A$458:$O$482,4,0)*(HLOOKUP(V$528,'2.2.Brecha Efectiva x UdM'!$H$86:$AK$92,3,0))+(VLOOKUP($A533,$A$4:$O$27,4,0)*(HLOOKUP(V$528,'2.2.Brecha Efectiva x UdM'!$H$64:$AK$70,3,0))))</f>
        <v>0</v>
      </c>
      <c r="W533" s="32">
        <f>(VLOOKUP($A533,$A$458:$O$482,4,0)*(HLOOKUP(W$528,'2.2.Brecha Efectiva x UdM'!$H$86:$AK$92,3,0))+(VLOOKUP($A533,$A$4:$O$27,4,0)*(HLOOKUP(W$528,'2.2.Brecha Efectiva x UdM'!$H$64:$AK$70,3,0))))</f>
        <v>0</v>
      </c>
      <c r="X533" s="32">
        <f>(VLOOKUP($A533,$A$458:$O$482,4,0)*(HLOOKUP(X$528,'2.2.Brecha Efectiva x UdM'!$H$86:$AK$92,3,0))+(VLOOKUP($A533,$A$4:$O$27,4,0)*(HLOOKUP(X$528,'2.2.Brecha Efectiva x UdM'!$H$64:$AK$70,3,0))))</f>
        <v>0</v>
      </c>
      <c r="Y533" s="32">
        <f>(VLOOKUP($A533,$A$458:$O$482,4,0)*(HLOOKUP(Y$528,'2.2.Brecha Efectiva x UdM'!$H$86:$AK$92,3,0))+(VLOOKUP($A533,$A$4:$O$27,4,0)*(HLOOKUP(Y$528,'2.2.Brecha Efectiva x UdM'!$H$64:$AK$70,3,0))))</f>
        <v>0</v>
      </c>
      <c r="Z533" s="32">
        <f>(VLOOKUP($A533,$A$458:$O$482,4,0)*(HLOOKUP(Z$528,'2.2.Brecha Efectiva x UdM'!$H$86:$AK$92,3,0))+(VLOOKUP($A533,$A$4:$O$27,4,0)*(HLOOKUP(Z$528,'2.2.Brecha Efectiva x UdM'!$H$64:$AK$70,3,0))))</f>
        <v>0</v>
      </c>
      <c r="AA533" s="32">
        <f>(VLOOKUP($A533,$A$458:$O$482,4,0)*(HLOOKUP(AA$528,'2.2.Brecha Efectiva x UdM'!$H$86:$AK$92,3,0))+(VLOOKUP($A533,$A$4:$O$27,4,0)*(HLOOKUP(AA$528,'2.2.Brecha Efectiva x UdM'!$H$64:$AK$70,3,0))))</f>
        <v>0</v>
      </c>
      <c r="AB533" s="32">
        <f>(VLOOKUP($A533,$A$458:$O$482,4,0)*(HLOOKUP(AB$528,'2.2.Brecha Efectiva x UdM'!$H$86:$AK$92,3,0))+(VLOOKUP($A533,$A$4:$O$27,4,0)*(HLOOKUP(AB$528,'2.2.Brecha Efectiva x UdM'!$H$64:$AK$70,3,0))))</f>
        <v>0</v>
      </c>
      <c r="AC533" s="32">
        <f>(VLOOKUP($A533,$A$458:$O$482,4,0)*(HLOOKUP(AC$528,'2.2.Brecha Efectiva x UdM'!$H$86:$AK$92,3,0))+(VLOOKUP($A533,$A$4:$O$27,4,0)*(HLOOKUP(AC$528,'2.2.Brecha Efectiva x UdM'!$H$64:$AK$70,3,0))))</f>
        <v>0</v>
      </c>
      <c r="AD533" s="32">
        <f>(VLOOKUP($A533,$A$458:$O$482,4,0)*(HLOOKUP(AD$528,'2.2.Brecha Efectiva x UdM'!$H$86:$AK$92,3,0))+(VLOOKUP($A533,$A$4:$O$27,4,0)*(HLOOKUP(AD$528,'2.2.Brecha Efectiva x UdM'!$H$64:$AK$70,3,0))))</f>
        <v>0</v>
      </c>
      <c r="AE533" s="32">
        <f>(VLOOKUP($A533,$A$458:$O$482,4,0)*(HLOOKUP(AE$528,'2.2.Brecha Efectiva x UdM'!$H$86:$AK$92,3,0))+(VLOOKUP($A533,$A$4:$O$27,4,0)*(HLOOKUP(AE$528,'2.2.Brecha Efectiva x UdM'!$H$64:$AK$70,3,0))))</f>
        <v>0</v>
      </c>
      <c r="AF533" s="32">
        <f>(VLOOKUP($A533,$A$458:$O$482,4,0)*(HLOOKUP(AF$528,'2.2.Brecha Efectiva x UdM'!$H$86:$AK$92,3,0))+(VLOOKUP($A533,$A$4:$O$27,4,0)*(HLOOKUP(AF$528,'2.2.Brecha Efectiva x UdM'!$H$64:$AK$70,3,0))))</f>
        <v>0</v>
      </c>
      <c r="AG533" s="32">
        <f>(VLOOKUP($A533,$A$458:$O$482,4,0)*(HLOOKUP(AG$528,'2.2.Brecha Efectiva x UdM'!$H$86:$AK$92,3,0))+(VLOOKUP($A533,$A$4:$O$27,4,0)*(HLOOKUP(AG$528,'2.2.Brecha Efectiva x UdM'!$H$64:$AK$70,3,0))))</f>
        <v>0</v>
      </c>
      <c r="AH533" s="62">
        <f t="shared" si="505"/>
        <v>1806086473.3681169</v>
      </c>
    </row>
    <row r="534" spans="1:34" x14ac:dyDescent="0.2">
      <c r="A534" s="26" t="str">
        <f t="shared" si="502"/>
        <v>Córdoba</v>
      </c>
      <c r="B534" s="52" t="str">
        <f t="shared" si="503"/>
        <v>Nombre UdM 2</v>
      </c>
      <c r="C534" s="26" t="str">
        <f t="shared" si="504"/>
        <v>Córdoba Nombre UdM 2</v>
      </c>
      <c r="D534" s="31">
        <f>(VLOOKUP($A534,$A$458:$O$482,4,0)*(HLOOKUP(D$528,'2.2.Brecha Efectiva x UdM'!$H$86:$AK$92,3,0))+(VLOOKUP($A534,$A$4:$O$27,4,0)*(HLOOKUP(D$528,'2.2.Brecha Efectiva x UdM'!$H$64:$AK$70,3,0))))</f>
        <v>23442008.527515464</v>
      </c>
      <c r="E534" s="31">
        <f>(VLOOKUP($A534,$A$458:$O$482,4,0)*(HLOOKUP(E$528,'2.2.Brecha Efectiva x UdM'!$H$86:$AK$92,3,0))+(VLOOKUP($A534,$A$4:$O$27,4,0)*(HLOOKUP(E$528,'2.2.Brecha Efectiva x UdM'!$H$64:$AK$70,3,0))))</f>
        <v>25113819.685923129</v>
      </c>
      <c r="F534" s="31">
        <f>(VLOOKUP($A534,$A$458:$O$482,4,0)*(HLOOKUP(F$528,'2.2.Brecha Efectiva x UdM'!$H$86:$AK$92,3,0))+(VLOOKUP($A534,$A$4:$O$27,4,0)*(HLOOKUP(F$528,'2.2.Brecha Efectiva x UdM'!$H$64:$AK$70,3,0))))</f>
        <v>37913380.114654243</v>
      </c>
      <c r="G534" s="31">
        <f>(VLOOKUP($A534,$A$458:$O$482,4,0)*(HLOOKUP(G$528,'2.2.Brecha Efectiva x UdM'!$H$86:$AK$92,3,0))+(VLOOKUP($A534,$A$4:$O$27,4,0)*(HLOOKUP(G$528,'2.2.Brecha Efectiva x UdM'!$H$64:$AK$70,3,0))))</f>
        <v>0</v>
      </c>
      <c r="H534" s="31">
        <f>(VLOOKUP($A534,$A$458:$O$482,4,0)*(HLOOKUP(H$528,'2.2.Brecha Efectiva x UdM'!$H$86:$AK$92,3,0))+(VLOOKUP($A534,$A$4:$O$27,4,0)*(HLOOKUP(H$528,'2.2.Brecha Efectiva x UdM'!$H$64:$AK$70,3,0))))</f>
        <v>0</v>
      </c>
      <c r="I534" s="31">
        <f>(VLOOKUP($A534,$A$458:$O$482,4,0)*(HLOOKUP(I$528,'2.2.Brecha Efectiva x UdM'!$H$86:$AK$92,3,0))+(VLOOKUP($A534,$A$4:$O$27,4,0)*(HLOOKUP(I$528,'2.2.Brecha Efectiva x UdM'!$H$64:$AK$70,3,0))))</f>
        <v>0</v>
      </c>
      <c r="J534" s="31">
        <f>(VLOOKUP($A534,$A$458:$O$482,4,0)*(HLOOKUP(J$528,'2.2.Brecha Efectiva x UdM'!$H$86:$AK$92,3,0))+(VLOOKUP($A534,$A$4:$O$27,4,0)*(HLOOKUP(J$528,'2.2.Brecha Efectiva x UdM'!$H$64:$AK$70,3,0))))</f>
        <v>0</v>
      </c>
      <c r="K534" s="31">
        <f>(VLOOKUP($A534,$A$458:$O$482,4,0)*(HLOOKUP(K$528,'2.2.Brecha Efectiva x UdM'!$H$86:$AK$92,3,0))+(VLOOKUP($A534,$A$4:$O$27,4,0)*(HLOOKUP(K$528,'2.2.Brecha Efectiva x UdM'!$H$64:$AK$70,3,0))))</f>
        <v>0</v>
      </c>
      <c r="L534" s="31">
        <f>(VLOOKUP($A534,$A$458:$O$482,4,0)*(HLOOKUP(L$528,'2.2.Brecha Efectiva x UdM'!$H$86:$AK$92,3,0))+(VLOOKUP($A534,$A$4:$O$27,4,0)*(HLOOKUP(L$528,'2.2.Brecha Efectiva x UdM'!$H$64:$AK$70,3,0))))</f>
        <v>0</v>
      </c>
      <c r="M534" s="31">
        <f>(VLOOKUP($A534,$A$458:$O$482,4,0)*(HLOOKUP(M$528,'2.2.Brecha Efectiva x UdM'!$H$86:$AK$92,3,0))+(VLOOKUP($A534,$A$4:$O$27,4,0)*(HLOOKUP(M$528,'2.2.Brecha Efectiva x UdM'!$H$64:$AK$70,3,0))))</f>
        <v>0</v>
      </c>
      <c r="N534" s="31">
        <f>(VLOOKUP($A534,$A$458:$O$482,4,0)*(HLOOKUP(N$528,'2.2.Brecha Efectiva x UdM'!$H$86:$AK$92,3,0))+(VLOOKUP($A534,$A$4:$O$27,4,0)*(HLOOKUP(N$528,'2.2.Brecha Efectiva x UdM'!$H$64:$AK$70,3,0))))</f>
        <v>0</v>
      </c>
      <c r="O534" s="31">
        <f>(VLOOKUP($A534,$A$458:$O$482,4,0)*(HLOOKUP(O$528,'2.2.Brecha Efectiva x UdM'!$H$86:$AK$92,3,0))+(VLOOKUP($A534,$A$4:$O$27,4,0)*(HLOOKUP(O$528,'2.2.Brecha Efectiva x UdM'!$H$64:$AK$70,3,0))))</f>
        <v>0</v>
      </c>
      <c r="P534" s="31">
        <f>(VLOOKUP($A534,$A$458:$O$482,4,0)*(HLOOKUP(P$528,'2.2.Brecha Efectiva x UdM'!$H$86:$AK$92,3,0))+(VLOOKUP($A534,$A$4:$O$27,4,0)*(HLOOKUP(P$528,'2.2.Brecha Efectiva x UdM'!$H$64:$AK$70,3,0))))</f>
        <v>0</v>
      </c>
      <c r="Q534" s="31">
        <f>(VLOOKUP($A534,$A$458:$O$482,4,0)*(HLOOKUP(Q$528,'2.2.Brecha Efectiva x UdM'!$H$86:$AK$92,3,0))+(VLOOKUP($A534,$A$4:$O$27,4,0)*(HLOOKUP(Q$528,'2.2.Brecha Efectiva x UdM'!$H$64:$AK$70,3,0))))</f>
        <v>0</v>
      </c>
      <c r="R534" s="31">
        <f>(VLOOKUP($A534,$A$458:$O$482,4,0)*(HLOOKUP(R$528,'2.2.Brecha Efectiva x UdM'!$H$86:$AK$92,3,0))+(VLOOKUP($A534,$A$4:$O$27,4,0)*(HLOOKUP(R$528,'2.2.Brecha Efectiva x UdM'!$H$64:$AK$70,3,0))))</f>
        <v>0</v>
      </c>
      <c r="S534" s="31">
        <f>(VLOOKUP($A534,$A$458:$O$482,4,0)*(HLOOKUP(S$528,'2.2.Brecha Efectiva x UdM'!$H$86:$AK$92,3,0))+(VLOOKUP($A534,$A$4:$O$27,4,0)*(HLOOKUP(S$528,'2.2.Brecha Efectiva x UdM'!$H$64:$AK$70,3,0))))</f>
        <v>0</v>
      </c>
      <c r="T534" s="31">
        <f>(VLOOKUP($A534,$A$458:$O$482,4,0)*(HLOOKUP(T$528,'2.2.Brecha Efectiva x UdM'!$H$86:$AK$92,3,0))+(VLOOKUP($A534,$A$4:$O$27,4,0)*(HLOOKUP(T$528,'2.2.Brecha Efectiva x UdM'!$H$64:$AK$70,3,0))))</f>
        <v>0</v>
      </c>
      <c r="U534" s="31">
        <f>(VLOOKUP($A534,$A$458:$O$482,4,0)*(HLOOKUP(U$528,'2.2.Brecha Efectiva x UdM'!$H$86:$AK$92,3,0))+(VLOOKUP($A534,$A$4:$O$27,4,0)*(HLOOKUP(U$528,'2.2.Brecha Efectiva x UdM'!$H$64:$AK$70,3,0))))</f>
        <v>0</v>
      </c>
      <c r="V534" s="31">
        <f>(VLOOKUP($A534,$A$458:$O$482,4,0)*(HLOOKUP(V$528,'2.2.Brecha Efectiva x UdM'!$H$86:$AK$92,3,0))+(VLOOKUP($A534,$A$4:$O$27,4,0)*(HLOOKUP(V$528,'2.2.Brecha Efectiva x UdM'!$H$64:$AK$70,3,0))))</f>
        <v>0</v>
      </c>
      <c r="W534" s="31">
        <f>(VLOOKUP($A534,$A$458:$O$482,4,0)*(HLOOKUP(W$528,'2.2.Brecha Efectiva x UdM'!$H$86:$AK$92,3,0))+(VLOOKUP($A534,$A$4:$O$27,4,0)*(HLOOKUP(W$528,'2.2.Brecha Efectiva x UdM'!$H$64:$AK$70,3,0))))</f>
        <v>0</v>
      </c>
      <c r="X534" s="31">
        <f>(VLOOKUP($A534,$A$458:$O$482,4,0)*(HLOOKUP(X$528,'2.2.Brecha Efectiva x UdM'!$H$86:$AK$92,3,0))+(VLOOKUP($A534,$A$4:$O$27,4,0)*(HLOOKUP(X$528,'2.2.Brecha Efectiva x UdM'!$H$64:$AK$70,3,0))))</f>
        <v>0</v>
      </c>
      <c r="Y534" s="31">
        <f>(VLOOKUP($A534,$A$458:$O$482,4,0)*(HLOOKUP(Y$528,'2.2.Brecha Efectiva x UdM'!$H$86:$AK$92,3,0))+(VLOOKUP($A534,$A$4:$O$27,4,0)*(HLOOKUP(Y$528,'2.2.Brecha Efectiva x UdM'!$H$64:$AK$70,3,0))))</f>
        <v>0</v>
      </c>
      <c r="Z534" s="31">
        <f>(VLOOKUP($A534,$A$458:$O$482,4,0)*(HLOOKUP(Z$528,'2.2.Brecha Efectiva x UdM'!$H$86:$AK$92,3,0))+(VLOOKUP($A534,$A$4:$O$27,4,0)*(HLOOKUP(Z$528,'2.2.Brecha Efectiva x UdM'!$H$64:$AK$70,3,0))))</f>
        <v>0</v>
      </c>
      <c r="AA534" s="31">
        <f>(VLOOKUP($A534,$A$458:$O$482,4,0)*(HLOOKUP(AA$528,'2.2.Brecha Efectiva x UdM'!$H$86:$AK$92,3,0))+(VLOOKUP($A534,$A$4:$O$27,4,0)*(HLOOKUP(AA$528,'2.2.Brecha Efectiva x UdM'!$H$64:$AK$70,3,0))))</f>
        <v>0</v>
      </c>
      <c r="AB534" s="31">
        <f>(VLOOKUP($A534,$A$458:$O$482,4,0)*(HLOOKUP(AB$528,'2.2.Brecha Efectiva x UdM'!$H$86:$AK$92,3,0))+(VLOOKUP($A534,$A$4:$O$27,4,0)*(HLOOKUP(AB$528,'2.2.Brecha Efectiva x UdM'!$H$64:$AK$70,3,0))))</f>
        <v>0</v>
      </c>
      <c r="AC534" s="31">
        <f>(VLOOKUP($A534,$A$458:$O$482,4,0)*(HLOOKUP(AC$528,'2.2.Brecha Efectiva x UdM'!$H$86:$AK$92,3,0))+(VLOOKUP($A534,$A$4:$O$27,4,0)*(HLOOKUP(AC$528,'2.2.Brecha Efectiva x UdM'!$H$64:$AK$70,3,0))))</f>
        <v>0</v>
      </c>
      <c r="AD534" s="31">
        <f>(VLOOKUP($A534,$A$458:$O$482,4,0)*(HLOOKUP(AD$528,'2.2.Brecha Efectiva x UdM'!$H$86:$AK$92,3,0))+(VLOOKUP($A534,$A$4:$O$27,4,0)*(HLOOKUP(AD$528,'2.2.Brecha Efectiva x UdM'!$H$64:$AK$70,3,0))))</f>
        <v>0</v>
      </c>
      <c r="AE534" s="31">
        <f>(VLOOKUP($A534,$A$458:$O$482,4,0)*(HLOOKUP(AE$528,'2.2.Brecha Efectiva x UdM'!$H$86:$AK$92,3,0))+(VLOOKUP($A534,$A$4:$O$27,4,0)*(HLOOKUP(AE$528,'2.2.Brecha Efectiva x UdM'!$H$64:$AK$70,3,0))))</f>
        <v>0</v>
      </c>
      <c r="AF534" s="31">
        <f>(VLOOKUP($A534,$A$458:$O$482,4,0)*(HLOOKUP(AF$528,'2.2.Brecha Efectiva x UdM'!$H$86:$AK$92,3,0))+(VLOOKUP($A534,$A$4:$O$27,4,0)*(HLOOKUP(AF$528,'2.2.Brecha Efectiva x UdM'!$H$64:$AK$70,3,0))))</f>
        <v>0</v>
      </c>
      <c r="AG534" s="31">
        <f>(VLOOKUP($A534,$A$458:$O$482,4,0)*(HLOOKUP(AG$528,'2.2.Brecha Efectiva x UdM'!$H$86:$AK$92,3,0))+(VLOOKUP($A534,$A$4:$O$27,4,0)*(HLOOKUP(AG$528,'2.2.Brecha Efectiva x UdM'!$H$64:$AK$70,3,0))))</f>
        <v>0</v>
      </c>
      <c r="AH534" s="63">
        <f t="shared" si="505"/>
        <v>86469208.328092843</v>
      </c>
    </row>
    <row r="535" spans="1:34" x14ac:dyDescent="0.2">
      <c r="A535" s="25" t="str">
        <f t="shared" si="502"/>
        <v>Corrientes</v>
      </c>
      <c r="B535" s="51" t="str">
        <f t="shared" si="503"/>
        <v>Nombre UdM 2</v>
      </c>
      <c r="C535" s="25" t="str">
        <f t="shared" si="504"/>
        <v>Corrientes Nombre UdM 2</v>
      </c>
      <c r="D535" s="32">
        <f>(VLOOKUP($A535,$A$458:$O$482,4,0)*(HLOOKUP(D$528,'2.2.Brecha Efectiva x UdM'!$H$86:$AK$92,3,0))+(VLOOKUP($A535,$A$4:$O$27,4,0)*(HLOOKUP(D$528,'2.2.Brecha Efectiva x UdM'!$H$64:$AK$70,3,0))))</f>
        <v>124827208.25513524</v>
      </c>
      <c r="E535" s="32">
        <f>(VLOOKUP($A535,$A$458:$O$482,4,0)*(HLOOKUP(E$528,'2.2.Brecha Efectiva x UdM'!$H$86:$AK$92,3,0))+(VLOOKUP($A535,$A$4:$O$27,4,0)*(HLOOKUP(E$528,'2.2.Brecha Efectiva x UdM'!$H$64:$AK$70,3,0))))</f>
        <v>133729496.6144651</v>
      </c>
      <c r="F535" s="32">
        <f>(VLOOKUP($A535,$A$458:$O$482,4,0)*(HLOOKUP(F$528,'2.2.Brecha Efectiva x UdM'!$H$86:$AK$92,3,0))+(VLOOKUP($A535,$A$4:$O$27,4,0)*(HLOOKUP(F$528,'2.2.Brecha Efectiva x UdM'!$H$64:$AK$70,3,0))))</f>
        <v>201886343.8972412</v>
      </c>
      <c r="G535" s="32">
        <f>(VLOOKUP($A535,$A$458:$O$482,4,0)*(HLOOKUP(G$528,'2.2.Brecha Efectiva x UdM'!$H$86:$AK$92,3,0))+(VLOOKUP($A535,$A$4:$O$27,4,0)*(HLOOKUP(G$528,'2.2.Brecha Efectiva x UdM'!$H$64:$AK$70,3,0))))</f>
        <v>0</v>
      </c>
      <c r="H535" s="32">
        <f>(VLOOKUP($A535,$A$458:$O$482,4,0)*(HLOOKUP(H$528,'2.2.Brecha Efectiva x UdM'!$H$86:$AK$92,3,0))+(VLOOKUP($A535,$A$4:$O$27,4,0)*(HLOOKUP(H$528,'2.2.Brecha Efectiva x UdM'!$H$64:$AK$70,3,0))))</f>
        <v>0</v>
      </c>
      <c r="I535" s="32">
        <f>(VLOOKUP($A535,$A$458:$O$482,4,0)*(HLOOKUP(I$528,'2.2.Brecha Efectiva x UdM'!$H$86:$AK$92,3,0))+(VLOOKUP($A535,$A$4:$O$27,4,0)*(HLOOKUP(I$528,'2.2.Brecha Efectiva x UdM'!$H$64:$AK$70,3,0))))</f>
        <v>0</v>
      </c>
      <c r="J535" s="32">
        <f>(VLOOKUP($A535,$A$458:$O$482,4,0)*(HLOOKUP(J$528,'2.2.Brecha Efectiva x UdM'!$H$86:$AK$92,3,0))+(VLOOKUP($A535,$A$4:$O$27,4,0)*(HLOOKUP(J$528,'2.2.Brecha Efectiva x UdM'!$H$64:$AK$70,3,0))))</f>
        <v>0</v>
      </c>
      <c r="K535" s="32">
        <f>(VLOOKUP($A535,$A$458:$O$482,4,0)*(HLOOKUP(K$528,'2.2.Brecha Efectiva x UdM'!$H$86:$AK$92,3,0))+(VLOOKUP($A535,$A$4:$O$27,4,0)*(HLOOKUP(K$528,'2.2.Brecha Efectiva x UdM'!$H$64:$AK$70,3,0))))</f>
        <v>0</v>
      </c>
      <c r="L535" s="32">
        <f>(VLOOKUP($A535,$A$458:$O$482,4,0)*(HLOOKUP(L$528,'2.2.Brecha Efectiva x UdM'!$H$86:$AK$92,3,0))+(VLOOKUP($A535,$A$4:$O$27,4,0)*(HLOOKUP(L$528,'2.2.Brecha Efectiva x UdM'!$H$64:$AK$70,3,0))))</f>
        <v>0</v>
      </c>
      <c r="M535" s="32">
        <f>(VLOOKUP($A535,$A$458:$O$482,4,0)*(HLOOKUP(M$528,'2.2.Brecha Efectiva x UdM'!$H$86:$AK$92,3,0))+(VLOOKUP($A535,$A$4:$O$27,4,0)*(HLOOKUP(M$528,'2.2.Brecha Efectiva x UdM'!$H$64:$AK$70,3,0))))</f>
        <v>0</v>
      </c>
      <c r="N535" s="32">
        <f>(VLOOKUP($A535,$A$458:$O$482,4,0)*(HLOOKUP(N$528,'2.2.Brecha Efectiva x UdM'!$H$86:$AK$92,3,0))+(VLOOKUP($A535,$A$4:$O$27,4,0)*(HLOOKUP(N$528,'2.2.Brecha Efectiva x UdM'!$H$64:$AK$70,3,0))))</f>
        <v>0</v>
      </c>
      <c r="O535" s="32">
        <f>(VLOOKUP($A535,$A$458:$O$482,4,0)*(HLOOKUP(O$528,'2.2.Brecha Efectiva x UdM'!$H$86:$AK$92,3,0))+(VLOOKUP($A535,$A$4:$O$27,4,0)*(HLOOKUP(O$528,'2.2.Brecha Efectiva x UdM'!$H$64:$AK$70,3,0))))</f>
        <v>0</v>
      </c>
      <c r="P535" s="32">
        <f>(VLOOKUP($A535,$A$458:$O$482,4,0)*(HLOOKUP(P$528,'2.2.Brecha Efectiva x UdM'!$H$86:$AK$92,3,0))+(VLOOKUP($A535,$A$4:$O$27,4,0)*(HLOOKUP(P$528,'2.2.Brecha Efectiva x UdM'!$H$64:$AK$70,3,0))))</f>
        <v>0</v>
      </c>
      <c r="Q535" s="32">
        <f>(VLOOKUP($A535,$A$458:$O$482,4,0)*(HLOOKUP(Q$528,'2.2.Brecha Efectiva x UdM'!$H$86:$AK$92,3,0))+(VLOOKUP($A535,$A$4:$O$27,4,0)*(HLOOKUP(Q$528,'2.2.Brecha Efectiva x UdM'!$H$64:$AK$70,3,0))))</f>
        <v>0</v>
      </c>
      <c r="R535" s="32">
        <f>(VLOOKUP($A535,$A$458:$O$482,4,0)*(HLOOKUP(R$528,'2.2.Brecha Efectiva x UdM'!$H$86:$AK$92,3,0))+(VLOOKUP($A535,$A$4:$O$27,4,0)*(HLOOKUP(R$528,'2.2.Brecha Efectiva x UdM'!$H$64:$AK$70,3,0))))</f>
        <v>0</v>
      </c>
      <c r="S535" s="32">
        <f>(VLOOKUP($A535,$A$458:$O$482,4,0)*(HLOOKUP(S$528,'2.2.Brecha Efectiva x UdM'!$H$86:$AK$92,3,0))+(VLOOKUP($A535,$A$4:$O$27,4,0)*(HLOOKUP(S$528,'2.2.Brecha Efectiva x UdM'!$H$64:$AK$70,3,0))))</f>
        <v>0</v>
      </c>
      <c r="T535" s="32">
        <f>(VLOOKUP($A535,$A$458:$O$482,4,0)*(HLOOKUP(T$528,'2.2.Brecha Efectiva x UdM'!$H$86:$AK$92,3,0))+(VLOOKUP($A535,$A$4:$O$27,4,0)*(HLOOKUP(T$528,'2.2.Brecha Efectiva x UdM'!$H$64:$AK$70,3,0))))</f>
        <v>0</v>
      </c>
      <c r="U535" s="32">
        <f>(VLOOKUP($A535,$A$458:$O$482,4,0)*(HLOOKUP(U$528,'2.2.Brecha Efectiva x UdM'!$H$86:$AK$92,3,0))+(VLOOKUP($A535,$A$4:$O$27,4,0)*(HLOOKUP(U$528,'2.2.Brecha Efectiva x UdM'!$H$64:$AK$70,3,0))))</f>
        <v>0</v>
      </c>
      <c r="V535" s="32">
        <f>(VLOOKUP($A535,$A$458:$O$482,4,0)*(HLOOKUP(V$528,'2.2.Brecha Efectiva x UdM'!$H$86:$AK$92,3,0))+(VLOOKUP($A535,$A$4:$O$27,4,0)*(HLOOKUP(V$528,'2.2.Brecha Efectiva x UdM'!$H$64:$AK$70,3,0))))</f>
        <v>0</v>
      </c>
      <c r="W535" s="32">
        <f>(VLOOKUP($A535,$A$458:$O$482,4,0)*(HLOOKUP(W$528,'2.2.Brecha Efectiva x UdM'!$H$86:$AK$92,3,0))+(VLOOKUP($A535,$A$4:$O$27,4,0)*(HLOOKUP(W$528,'2.2.Brecha Efectiva x UdM'!$H$64:$AK$70,3,0))))</f>
        <v>0</v>
      </c>
      <c r="X535" s="32">
        <f>(VLOOKUP($A535,$A$458:$O$482,4,0)*(HLOOKUP(X$528,'2.2.Brecha Efectiva x UdM'!$H$86:$AK$92,3,0))+(VLOOKUP($A535,$A$4:$O$27,4,0)*(HLOOKUP(X$528,'2.2.Brecha Efectiva x UdM'!$H$64:$AK$70,3,0))))</f>
        <v>0</v>
      </c>
      <c r="Y535" s="32">
        <f>(VLOOKUP($A535,$A$458:$O$482,4,0)*(HLOOKUP(Y$528,'2.2.Brecha Efectiva x UdM'!$H$86:$AK$92,3,0))+(VLOOKUP($A535,$A$4:$O$27,4,0)*(HLOOKUP(Y$528,'2.2.Brecha Efectiva x UdM'!$H$64:$AK$70,3,0))))</f>
        <v>0</v>
      </c>
      <c r="Z535" s="32">
        <f>(VLOOKUP($A535,$A$458:$O$482,4,0)*(HLOOKUP(Z$528,'2.2.Brecha Efectiva x UdM'!$H$86:$AK$92,3,0))+(VLOOKUP($A535,$A$4:$O$27,4,0)*(HLOOKUP(Z$528,'2.2.Brecha Efectiva x UdM'!$H$64:$AK$70,3,0))))</f>
        <v>0</v>
      </c>
      <c r="AA535" s="32">
        <f>(VLOOKUP($A535,$A$458:$O$482,4,0)*(HLOOKUP(AA$528,'2.2.Brecha Efectiva x UdM'!$H$86:$AK$92,3,0))+(VLOOKUP($A535,$A$4:$O$27,4,0)*(HLOOKUP(AA$528,'2.2.Brecha Efectiva x UdM'!$H$64:$AK$70,3,0))))</f>
        <v>0</v>
      </c>
      <c r="AB535" s="32">
        <f>(VLOOKUP($A535,$A$458:$O$482,4,0)*(HLOOKUP(AB$528,'2.2.Brecha Efectiva x UdM'!$H$86:$AK$92,3,0))+(VLOOKUP($A535,$A$4:$O$27,4,0)*(HLOOKUP(AB$528,'2.2.Brecha Efectiva x UdM'!$H$64:$AK$70,3,0))))</f>
        <v>0</v>
      </c>
      <c r="AC535" s="32">
        <f>(VLOOKUP($A535,$A$458:$O$482,4,0)*(HLOOKUP(AC$528,'2.2.Brecha Efectiva x UdM'!$H$86:$AK$92,3,0))+(VLOOKUP($A535,$A$4:$O$27,4,0)*(HLOOKUP(AC$528,'2.2.Brecha Efectiva x UdM'!$H$64:$AK$70,3,0))))</f>
        <v>0</v>
      </c>
      <c r="AD535" s="32">
        <f>(VLOOKUP($A535,$A$458:$O$482,4,0)*(HLOOKUP(AD$528,'2.2.Brecha Efectiva x UdM'!$H$86:$AK$92,3,0))+(VLOOKUP($A535,$A$4:$O$27,4,0)*(HLOOKUP(AD$528,'2.2.Brecha Efectiva x UdM'!$H$64:$AK$70,3,0))))</f>
        <v>0</v>
      </c>
      <c r="AE535" s="32">
        <f>(VLOOKUP($A535,$A$458:$O$482,4,0)*(HLOOKUP(AE$528,'2.2.Brecha Efectiva x UdM'!$H$86:$AK$92,3,0))+(VLOOKUP($A535,$A$4:$O$27,4,0)*(HLOOKUP(AE$528,'2.2.Brecha Efectiva x UdM'!$H$64:$AK$70,3,0))))</f>
        <v>0</v>
      </c>
      <c r="AF535" s="32">
        <f>(VLOOKUP($A535,$A$458:$O$482,4,0)*(HLOOKUP(AF$528,'2.2.Brecha Efectiva x UdM'!$H$86:$AK$92,3,0))+(VLOOKUP($A535,$A$4:$O$27,4,0)*(HLOOKUP(AF$528,'2.2.Brecha Efectiva x UdM'!$H$64:$AK$70,3,0))))</f>
        <v>0</v>
      </c>
      <c r="AG535" s="32">
        <f>(VLOOKUP($A535,$A$458:$O$482,4,0)*(HLOOKUP(AG$528,'2.2.Brecha Efectiva x UdM'!$H$86:$AK$92,3,0))+(VLOOKUP($A535,$A$4:$O$27,4,0)*(HLOOKUP(AG$528,'2.2.Brecha Efectiva x UdM'!$H$64:$AK$70,3,0))))</f>
        <v>0</v>
      </c>
      <c r="AH535" s="62">
        <f t="shared" si="505"/>
        <v>460443048.76684153</v>
      </c>
    </row>
    <row r="536" spans="1:34" x14ac:dyDescent="0.2">
      <c r="A536" s="26" t="str">
        <f t="shared" si="502"/>
        <v>Entre Ríos</v>
      </c>
      <c r="B536" s="52" t="str">
        <f t="shared" si="503"/>
        <v>Nombre UdM 2</v>
      </c>
      <c r="C536" s="26" t="str">
        <f t="shared" si="504"/>
        <v>Entre Ríos Nombre UdM 2</v>
      </c>
      <c r="D536" s="31">
        <f>(VLOOKUP($A536,$A$458:$O$482,4,0)*(HLOOKUP(D$528,'2.2.Brecha Efectiva x UdM'!$H$86:$AK$92,3,0))+(VLOOKUP($A536,$A$4:$O$27,4,0)*(HLOOKUP(D$528,'2.2.Brecha Efectiva x UdM'!$H$64:$AK$70,3,0))))</f>
        <v>195615524.0628491</v>
      </c>
      <c r="E536" s="31">
        <f>(VLOOKUP($A536,$A$458:$O$482,4,0)*(HLOOKUP(E$528,'2.2.Brecha Efectiva x UdM'!$H$86:$AK$92,3,0))+(VLOOKUP($A536,$A$4:$O$27,4,0)*(HLOOKUP(E$528,'2.2.Brecha Efectiva x UdM'!$H$64:$AK$70,3,0))))</f>
        <v>209566214.99883157</v>
      </c>
      <c r="F536" s="31">
        <f>(VLOOKUP($A536,$A$458:$O$482,4,0)*(HLOOKUP(F$528,'2.2.Brecha Efectiva x UdM'!$H$86:$AK$92,3,0))+(VLOOKUP($A536,$A$4:$O$27,4,0)*(HLOOKUP(F$528,'2.2.Brecha Efectiva x UdM'!$H$64:$AK$70,3,0))))</f>
        <v>316374158.44367218</v>
      </c>
      <c r="G536" s="31">
        <f>(VLOOKUP($A536,$A$458:$O$482,4,0)*(HLOOKUP(G$528,'2.2.Brecha Efectiva x UdM'!$H$86:$AK$92,3,0))+(VLOOKUP($A536,$A$4:$O$27,4,0)*(HLOOKUP(G$528,'2.2.Brecha Efectiva x UdM'!$H$64:$AK$70,3,0))))</f>
        <v>0</v>
      </c>
      <c r="H536" s="31">
        <f>(VLOOKUP($A536,$A$458:$O$482,4,0)*(HLOOKUP(H$528,'2.2.Brecha Efectiva x UdM'!$H$86:$AK$92,3,0))+(VLOOKUP($A536,$A$4:$O$27,4,0)*(HLOOKUP(H$528,'2.2.Brecha Efectiva x UdM'!$H$64:$AK$70,3,0))))</f>
        <v>0</v>
      </c>
      <c r="I536" s="31">
        <f>(VLOOKUP($A536,$A$458:$O$482,4,0)*(HLOOKUP(I$528,'2.2.Brecha Efectiva x UdM'!$H$86:$AK$92,3,0))+(VLOOKUP($A536,$A$4:$O$27,4,0)*(HLOOKUP(I$528,'2.2.Brecha Efectiva x UdM'!$H$64:$AK$70,3,0))))</f>
        <v>0</v>
      </c>
      <c r="J536" s="31">
        <f>(VLOOKUP($A536,$A$458:$O$482,4,0)*(HLOOKUP(J$528,'2.2.Brecha Efectiva x UdM'!$H$86:$AK$92,3,0))+(VLOOKUP($A536,$A$4:$O$27,4,0)*(HLOOKUP(J$528,'2.2.Brecha Efectiva x UdM'!$H$64:$AK$70,3,0))))</f>
        <v>0</v>
      </c>
      <c r="K536" s="31">
        <f>(VLOOKUP($A536,$A$458:$O$482,4,0)*(HLOOKUP(K$528,'2.2.Brecha Efectiva x UdM'!$H$86:$AK$92,3,0))+(VLOOKUP($A536,$A$4:$O$27,4,0)*(HLOOKUP(K$528,'2.2.Brecha Efectiva x UdM'!$H$64:$AK$70,3,0))))</f>
        <v>0</v>
      </c>
      <c r="L536" s="31">
        <f>(VLOOKUP($A536,$A$458:$O$482,4,0)*(HLOOKUP(L$528,'2.2.Brecha Efectiva x UdM'!$H$86:$AK$92,3,0))+(VLOOKUP($A536,$A$4:$O$27,4,0)*(HLOOKUP(L$528,'2.2.Brecha Efectiva x UdM'!$H$64:$AK$70,3,0))))</f>
        <v>0</v>
      </c>
      <c r="M536" s="31">
        <f>(VLOOKUP($A536,$A$458:$O$482,4,0)*(HLOOKUP(M$528,'2.2.Brecha Efectiva x UdM'!$H$86:$AK$92,3,0))+(VLOOKUP($A536,$A$4:$O$27,4,0)*(HLOOKUP(M$528,'2.2.Brecha Efectiva x UdM'!$H$64:$AK$70,3,0))))</f>
        <v>0</v>
      </c>
      <c r="N536" s="31">
        <f>(VLOOKUP($A536,$A$458:$O$482,4,0)*(HLOOKUP(N$528,'2.2.Brecha Efectiva x UdM'!$H$86:$AK$92,3,0))+(VLOOKUP($A536,$A$4:$O$27,4,0)*(HLOOKUP(N$528,'2.2.Brecha Efectiva x UdM'!$H$64:$AK$70,3,0))))</f>
        <v>0</v>
      </c>
      <c r="O536" s="31">
        <f>(VLOOKUP($A536,$A$458:$O$482,4,0)*(HLOOKUP(O$528,'2.2.Brecha Efectiva x UdM'!$H$86:$AK$92,3,0))+(VLOOKUP($A536,$A$4:$O$27,4,0)*(HLOOKUP(O$528,'2.2.Brecha Efectiva x UdM'!$H$64:$AK$70,3,0))))</f>
        <v>0</v>
      </c>
      <c r="P536" s="31">
        <f>(VLOOKUP($A536,$A$458:$O$482,4,0)*(HLOOKUP(P$528,'2.2.Brecha Efectiva x UdM'!$H$86:$AK$92,3,0))+(VLOOKUP($A536,$A$4:$O$27,4,0)*(HLOOKUP(P$528,'2.2.Brecha Efectiva x UdM'!$H$64:$AK$70,3,0))))</f>
        <v>0</v>
      </c>
      <c r="Q536" s="31">
        <f>(VLOOKUP($A536,$A$458:$O$482,4,0)*(HLOOKUP(Q$528,'2.2.Brecha Efectiva x UdM'!$H$86:$AK$92,3,0))+(VLOOKUP($A536,$A$4:$O$27,4,0)*(HLOOKUP(Q$528,'2.2.Brecha Efectiva x UdM'!$H$64:$AK$70,3,0))))</f>
        <v>0</v>
      </c>
      <c r="R536" s="31">
        <f>(VLOOKUP($A536,$A$458:$O$482,4,0)*(HLOOKUP(R$528,'2.2.Brecha Efectiva x UdM'!$H$86:$AK$92,3,0))+(VLOOKUP($A536,$A$4:$O$27,4,0)*(HLOOKUP(R$528,'2.2.Brecha Efectiva x UdM'!$H$64:$AK$70,3,0))))</f>
        <v>0</v>
      </c>
      <c r="S536" s="31">
        <f>(VLOOKUP($A536,$A$458:$O$482,4,0)*(HLOOKUP(S$528,'2.2.Brecha Efectiva x UdM'!$H$86:$AK$92,3,0))+(VLOOKUP($A536,$A$4:$O$27,4,0)*(HLOOKUP(S$528,'2.2.Brecha Efectiva x UdM'!$H$64:$AK$70,3,0))))</f>
        <v>0</v>
      </c>
      <c r="T536" s="31">
        <f>(VLOOKUP($A536,$A$458:$O$482,4,0)*(HLOOKUP(T$528,'2.2.Brecha Efectiva x UdM'!$H$86:$AK$92,3,0))+(VLOOKUP($A536,$A$4:$O$27,4,0)*(HLOOKUP(T$528,'2.2.Brecha Efectiva x UdM'!$H$64:$AK$70,3,0))))</f>
        <v>0</v>
      </c>
      <c r="U536" s="31">
        <f>(VLOOKUP($A536,$A$458:$O$482,4,0)*(HLOOKUP(U$528,'2.2.Brecha Efectiva x UdM'!$H$86:$AK$92,3,0))+(VLOOKUP($A536,$A$4:$O$27,4,0)*(HLOOKUP(U$528,'2.2.Brecha Efectiva x UdM'!$H$64:$AK$70,3,0))))</f>
        <v>0</v>
      </c>
      <c r="V536" s="31">
        <f>(VLOOKUP($A536,$A$458:$O$482,4,0)*(HLOOKUP(V$528,'2.2.Brecha Efectiva x UdM'!$H$86:$AK$92,3,0))+(VLOOKUP($A536,$A$4:$O$27,4,0)*(HLOOKUP(V$528,'2.2.Brecha Efectiva x UdM'!$H$64:$AK$70,3,0))))</f>
        <v>0</v>
      </c>
      <c r="W536" s="31">
        <f>(VLOOKUP($A536,$A$458:$O$482,4,0)*(HLOOKUP(W$528,'2.2.Brecha Efectiva x UdM'!$H$86:$AK$92,3,0))+(VLOOKUP($A536,$A$4:$O$27,4,0)*(HLOOKUP(W$528,'2.2.Brecha Efectiva x UdM'!$H$64:$AK$70,3,0))))</f>
        <v>0</v>
      </c>
      <c r="X536" s="31">
        <f>(VLOOKUP($A536,$A$458:$O$482,4,0)*(HLOOKUP(X$528,'2.2.Brecha Efectiva x UdM'!$H$86:$AK$92,3,0))+(VLOOKUP($A536,$A$4:$O$27,4,0)*(HLOOKUP(X$528,'2.2.Brecha Efectiva x UdM'!$H$64:$AK$70,3,0))))</f>
        <v>0</v>
      </c>
      <c r="Y536" s="31">
        <f>(VLOOKUP($A536,$A$458:$O$482,4,0)*(HLOOKUP(Y$528,'2.2.Brecha Efectiva x UdM'!$H$86:$AK$92,3,0))+(VLOOKUP($A536,$A$4:$O$27,4,0)*(HLOOKUP(Y$528,'2.2.Brecha Efectiva x UdM'!$H$64:$AK$70,3,0))))</f>
        <v>0</v>
      </c>
      <c r="Z536" s="31">
        <f>(VLOOKUP($A536,$A$458:$O$482,4,0)*(HLOOKUP(Z$528,'2.2.Brecha Efectiva x UdM'!$H$86:$AK$92,3,0))+(VLOOKUP($A536,$A$4:$O$27,4,0)*(HLOOKUP(Z$528,'2.2.Brecha Efectiva x UdM'!$H$64:$AK$70,3,0))))</f>
        <v>0</v>
      </c>
      <c r="AA536" s="31">
        <f>(VLOOKUP($A536,$A$458:$O$482,4,0)*(HLOOKUP(AA$528,'2.2.Brecha Efectiva x UdM'!$H$86:$AK$92,3,0))+(VLOOKUP($A536,$A$4:$O$27,4,0)*(HLOOKUP(AA$528,'2.2.Brecha Efectiva x UdM'!$H$64:$AK$70,3,0))))</f>
        <v>0</v>
      </c>
      <c r="AB536" s="31">
        <f>(VLOOKUP($A536,$A$458:$O$482,4,0)*(HLOOKUP(AB$528,'2.2.Brecha Efectiva x UdM'!$H$86:$AK$92,3,0))+(VLOOKUP($A536,$A$4:$O$27,4,0)*(HLOOKUP(AB$528,'2.2.Brecha Efectiva x UdM'!$H$64:$AK$70,3,0))))</f>
        <v>0</v>
      </c>
      <c r="AC536" s="31">
        <f>(VLOOKUP($A536,$A$458:$O$482,4,0)*(HLOOKUP(AC$528,'2.2.Brecha Efectiva x UdM'!$H$86:$AK$92,3,0))+(VLOOKUP($A536,$A$4:$O$27,4,0)*(HLOOKUP(AC$528,'2.2.Brecha Efectiva x UdM'!$H$64:$AK$70,3,0))))</f>
        <v>0</v>
      </c>
      <c r="AD536" s="31">
        <f>(VLOOKUP($A536,$A$458:$O$482,4,0)*(HLOOKUP(AD$528,'2.2.Brecha Efectiva x UdM'!$H$86:$AK$92,3,0))+(VLOOKUP($A536,$A$4:$O$27,4,0)*(HLOOKUP(AD$528,'2.2.Brecha Efectiva x UdM'!$H$64:$AK$70,3,0))))</f>
        <v>0</v>
      </c>
      <c r="AE536" s="31">
        <f>(VLOOKUP($A536,$A$458:$O$482,4,0)*(HLOOKUP(AE$528,'2.2.Brecha Efectiva x UdM'!$H$86:$AK$92,3,0))+(VLOOKUP($A536,$A$4:$O$27,4,0)*(HLOOKUP(AE$528,'2.2.Brecha Efectiva x UdM'!$H$64:$AK$70,3,0))))</f>
        <v>0</v>
      </c>
      <c r="AF536" s="31">
        <f>(VLOOKUP($A536,$A$458:$O$482,4,0)*(HLOOKUP(AF$528,'2.2.Brecha Efectiva x UdM'!$H$86:$AK$92,3,0))+(VLOOKUP($A536,$A$4:$O$27,4,0)*(HLOOKUP(AF$528,'2.2.Brecha Efectiva x UdM'!$H$64:$AK$70,3,0))))</f>
        <v>0</v>
      </c>
      <c r="AG536" s="31">
        <f>(VLOOKUP($A536,$A$458:$O$482,4,0)*(HLOOKUP(AG$528,'2.2.Brecha Efectiva x UdM'!$H$86:$AK$92,3,0))+(VLOOKUP($A536,$A$4:$O$27,4,0)*(HLOOKUP(AG$528,'2.2.Brecha Efectiva x UdM'!$H$64:$AK$70,3,0))))</f>
        <v>0</v>
      </c>
      <c r="AH536" s="63">
        <f t="shared" si="505"/>
        <v>721555897.50535285</v>
      </c>
    </row>
    <row r="537" spans="1:34" x14ac:dyDescent="0.2">
      <c r="A537" s="25" t="str">
        <f t="shared" si="502"/>
        <v>Formosa</v>
      </c>
      <c r="B537" s="51" t="str">
        <f t="shared" si="503"/>
        <v>Nombre UdM 2</v>
      </c>
      <c r="C537" s="25" t="str">
        <f t="shared" si="504"/>
        <v>Formosa Nombre UdM 2</v>
      </c>
      <c r="D537" s="32">
        <f>(VLOOKUP($A537,$A$458:$O$482,4,0)*(HLOOKUP(D$528,'2.2.Brecha Efectiva x UdM'!$H$86:$AK$92,3,0))+(VLOOKUP($A537,$A$4:$O$27,4,0)*(HLOOKUP(D$528,'2.2.Brecha Efectiva x UdM'!$H$64:$AK$70,3,0))))</f>
        <v>121885081.81538793</v>
      </c>
      <c r="E537" s="32">
        <f>(VLOOKUP($A537,$A$458:$O$482,4,0)*(HLOOKUP(E$528,'2.2.Brecha Efectiva x UdM'!$H$86:$AK$92,3,0))+(VLOOKUP($A537,$A$4:$O$27,4,0)*(HLOOKUP(E$528,'2.2.Brecha Efectiva x UdM'!$H$64:$AK$70,3,0))))</f>
        <v>130577546.86518173</v>
      </c>
      <c r="F537" s="32">
        <f>(VLOOKUP($A537,$A$458:$O$482,4,0)*(HLOOKUP(F$528,'2.2.Brecha Efectiva x UdM'!$H$86:$AK$92,3,0))+(VLOOKUP($A537,$A$4:$O$27,4,0)*(HLOOKUP(F$528,'2.2.Brecha Efectiva x UdM'!$H$64:$AK$70,3,0))))</f>
        <v>197127965.02690741</v>
      </c>
      <c r="G537" s="32">
        <f>(VLOOKUP($A537,$A$458:$O$482,4,0)*(HLOOKUP(G$528,'2.2.Brecha Efectiva x UdM'!$H$86:$AK$92,3,0))+(VLOOKUP($A537,$A$4:$O$27,4,0)*(HLOOKUP(G$528,'2.2.Brecha Efectiva x UdM'!$H$64:$AK$70,3,0))))</f>
        <v>0</v>
      </c>
      <c r="H537" s="32">
        <f>(VLOOKUP($A537,$A$458:$O$482,4,0)*(HLOOKUP(H$528,'2.2.Brecha Efectiva x UdM'!$H$86:$AK$92,3,0))+(VLOOKUP($A537,$A$4:$O$27,4,0)*(HLOOKUP(H$528,'2.2.Brecha Efectiva x UdM'!$H$64:$AK$70,3,0))))</f>
        <v>0</v>
      </c>
      <c r="I537" s="32">
        <f>(VLOOKUP($A537,$A$458:$O$482,4,0)*(HLOOKUP(I$528,'2.2.Brecha Efectiva x UdM'!$H$86:$AK$92,3,0))+(VLOOKUP($A537,$A$4:$O$27,4,0)*(HLOOKUP(I$528,'2.2.Brecha Efectiva x UdM'!$H$64:$AK$70,3,0))))</f>
        <v>0</v>
      </c>
      <c r="J537" s="32">
        <f>(VLOOKUP($A537,$A$458:$O$482,4,0)*(HLOOKUP(J$528,'2.2.Brecha Efectiva x UdM'!$H$86:$AK$92,3,0))+(VLOOKUP($A537,$A$4:$O$27,4,0)*(HLOOKUP(J$528,'2.2.Brecha Efectiva x UdM'!$H$64:$AK$70,3,0))))</f>
        <v>0</v>
      </c>
      <c r="K537" s="32">
        <f>(VLOOKUP($A537,$A$458:$O$482,4,0)*(HLOOKUP(K$528,'2.2.Brecha Efectiva x UdM'!$H$86:$AK$92,3,0))+(VLOOKUP($A537,$A$4:$O$27,4,0)*(HLOOKUP(K$528,'2.2.Brecha Efectiva x UdM'!$H$64:$AK$70,3,0))))</f>
        <v>0</v>
      </c>
      <c r="L537" s="32">
        <f>(VLOOKUP($A537,$A$458:$O$482,4,0)*(HLOOKUP(L$528,'2.2.Brecha Efectiva x UdM'!$H$86:$AK$92,3,0))+(VLOOKUP($A537,$A$4:$O$27,4,0)*(HLOOKUP(L$528,'2.2.Brecha Efectiva x UdM'!$H$64:$AK$70,3,0))))</f>
        <v>0</v>
      </c>
      <c r="M537" s="32">
        <f>(VLOOKUP($A537,$A$458:$O$482,4,0)*(HLOOKUP(M$528,'2.2.Brecha Efectiva x UdM'!$H$86:$AK$92,3,0))+(VLOOKUP($A537,$A$4:$O$27,4,0)*(HLOOKUP(M$528,'2.2.Brecha Efectiva x UdM'!$H$64:$AK$70,3,0))))</f>
        <v>0</v>
      </c>
      <c r="N537" s="32">
        <f>(VLOOKUP($A537,$A$458:$O$482,4,0)*(HLOOKUP(N$528,'2.2.Brecha Efectiva x UdM'!$H$86:$AK$92,3,0))+(VLOOKUP($A537,$A$4:$O$27,4,0)*(HLOOKUP(N$528,'2.2.Brecha Efectiva x UdM'!$H$64:$AK$70,3,0))))</f>
        <v>0</v>
      </c>
      <c r="O537" s="32">
        <f>(VLOOKUP($A537,$A$458:$O$482,4,0)*(HLOOKUP(O$528,'2.2.Brecha Efectiva x UdM'!$H$86:$AK$92,3,0))+(VLOOKUP($A537,$A$4:$O$27,4,0)*(HLOOKUP(O$528,'2.2.Brecha Efectiva x UdM'!$H$64:$AK$70,3,0))))</f>
        <v>0</v>
      </c>
      <c r="P537" s="32">
        <f>(VLOOKUP($A537,$A$458:$O$482,4,0)*(HLOOKUP(P$528,'2.2.Brecha Efectiva x UdM'!$H$86:$AK$92,3,0))+(VLOOKUP($A537,$A$4:$O$27,4,0)*(HLOOKUP(P$528,'2.2.Brecha Efectiva x UdM'!$H$64:$AK$70,3,0))))</f>
        <v>0</v>
      </c>
      <c r="Q537" s="32">
        <f>(VLOOKUP($A537,$A$458:$O$482,4,0)*(HLOOKUP(Q$528,'2.2.Brecha Efectiva x UdM'!$H$86:$AK$92,3,0))+(VLOOKUP($A537,$A$4:$O$27,4,0)*(HLOOKUP(Q$528,'2.2.Brecha Efectiva x UdM'!$H$64:$AK$70,3,0))))</f>
        <v>0</v>
      </c>
      <c r="R537" s="32">
        <f>(VLOOKUP($A537,$A$458:$O$482,4,0)*(HLOOKUP(R$528,'2.2.Brecha Efectiva x UdM'!$H$86:$AK$92,3,0))+(VLOOKUP($A537,$A$4:$O$27,4,0)*(HLOOKUP(R$528,'2.2.Brecha Efectiva x UdM'!$H$64:$AK$70,3,0))))</f>
        <v>0</v>
      </c>
      <c r="S537" s="32">
        <f>(VLOOKUP($A537,$A$458:$O$482,4,0)*(HLOOKUP(S$528,'2.2.Brecha Efectiva x UdM'!$H$86:$AK$92,3,0))+(VLOOKUP($A537,$A$4:$O$27,4,0)*(HLOOKUP(S$528,'2.2.Brecha Efectiva x UdM'!$H$64:$AK$70,3,0))))</f>
        <v>0</v>
      </c>
      <c r="T537" s="32">
        <f>(VLOOKUP($A537,$A$458:$O$482,4,0)*(HLOOKUP(T$528,'2.2.Brecha Efectiva x UdM'!$H$86:$AK$92,3,0))+(VLOOKUP($A537,$A$4:$O$27,4,0)*(HLOOKUP(T$528,'2.2.Brecha Efectiva x UdM'!$H$64:$AK$70,3,0))))</f>
        <v>0</v>
      </c>
      <c r="U537" s="32">
        <f>(VLOOKUP($A537,$A$458:$O$482,4,0)*(HLOOKUP(U$528,'2.2.Brecha Efectiva x UdM'!$H$86:$AK$92,3,0))+(VLOOKUP($A537,$A$4:$O$27,4,0)*(HLOOKUP(U$528,'2.2.Brecha Efectiva x UdM'!$H$64:$AK$70,3,0))))</f>
        <v>0</v>
      </c>
      <c r="V537" s="32">
        <f>(VLOOKUP($A537,$A$458:$O$482,4,0)*(HLOOKUP(V$528,'2.2.Brecha Efectiva x UdM'!$H$86:$AK$92,3,0))+(VLOOKUP($A537,$A$4:$O$27,4,0)*(HLOOKUP(V$528,'2.2.Brecha Efectiva x UdM'!$H$64:$AK$70,3,0))))</f>
        <v>0</v>
      </c>
      <c r="W537" s="32">
        <f>(VLOOKUP($A537,$A$458:$O$482,4,0)*(HLOOKUP(W$528,'2.2.Brecha Efectiva x UdM'!$H$86:$AK$92,3,0))+(VLOOKUP($A537,$A$4:$O$27,4,0)*(HLOOKUP(W$528,'2.2.Brecha Efectiva x UdM'!$H$64:$AK$70,3,0))))</f>
        <v>0</v>
      </c>
      <c r="X537" s="32">
        <f>(VLOOKUP($A537,$A$458:$O$482,4,0)*(HLOOKUP(X$528,'2.2.Brecha Efectiva x UdM'!$H$86:$AK$92,3,0))+(VLOOKUP($A537,$A$4:$O$27,4,0)*(HLOOKUP(X$528,'2.2.Brecha Efectiva x UdM'!$H$64:$AK$70,3,0))))</f>
        <v>0</v>
      </c>
      <c r="Y537" s="32">
        <f>(VLOOKUP($A537,$A$458:$O$482,4,0)*(HLOOKUP(Y$528,'2.2.Brecha Efectiva x UdM'!$H$86:$AK$92,3,0))+(VLOOKUP($A537,$A$4:$O$27,4,0)*(HLOOKUP(Y$528,'2.2.Brecha Efectiva x UdM'!$H$64:$AK$70,3,0))))</f>
        <v>0</v>
      </c>
      <c r="Z537" s="32">
        <f>(VLOOKUP($A537,$A$458:$O$482,4,0)*(HLOOKUP(Z$528,'2.2.Brecha Efectiva x UdM'!$H$86:$AK$92,3,0))+(VLOOKUP($A537,$A$4:$O$27,4,0)*(HLOOKUP(Z$528,'2.2.Brecha Efectiva x UdM'!$H$64:$AK$70,3,0))))</f>
        <v>0</v>
      </c>
      <c r="AA537" s="32">
        <f>(VLOOKUP($A537,$A$458:$O$482,4,0)*(HLOOKUP(AA$528,'2.2.Brecha Efectiva x UdM'!$H$86:$AK$92,3,0))+(VLOOKUP($A537,$A$4:$O$27,4,0)*(HLOOKUP(AA$528,'2.2.Brecha Efectiva x UdM'!$H$64:$AK$70,3,0))))</f>
        <v>0</v>
      </c>
      <c r="AB537" s="32">
        <f>(VLOOKUP($A537,$A$458:$O$482,4,0)*(HLOOKUP(AB$528,'2.2.Brecha Efectiva x UdM'!$H$86:$AK$92,3,0))+(VLOOKUP($A537,$A$4:$O$27,4,0)*(HLOOKUP(AB$528,'2.2.Brecha Efectiva x UdM'!$H$64:$AK$70,3,0))))</f>
        <v>0</v>
      </c>
      <c r="AC537" s="32">
        <f>(VLOOKUP($A537,$A$458:$O$482,4,0)*(HLOOKUP(AC$528,'2.2.Brecha Efectiva x UdM'!$H$86:$AK$92,3,0))+(VLOOKUP($A537,$A$4:$O$27,4,0)*(HLOOKUP(AC$528,'2.2.Brecha Efectiva x UdM'!$H$64:$AK$70,3,0))))</f>
        <v>0</v>
      </c>
      <c r="AD537" s="32">
        <f>(VLOOKUP($A537,$A$458:$O$482,4,0)*(HLOOKUP(AD$528,'2.2.Brecha Efectiva x UdM'!$H$86:$AK$92,3,0))+(VLOOKUP($A537,$A$4:$O$27,4,0)*(HLOOKUP(AD$528,'2.2.Brecha Efectiva x UdM'!$H$64:$AK$70,3,0))))</f>
        <v>0</v>
      </c>
      <c r="AE537" s="32">
        <f>(VLOOKUP($A537,$A$458:$O$482,4,0)*(HLOOKUP(AE$528,'2.2.Brecha Efectiva x UdM'!$H$86:$AK$92,3,0))+(VLOOKUP($A537,$A$4:$O$27,4,0)*(HLOOKUP(AE$528,'2.2.Brecha Efectiva x UdM'!$H$64:$AK$70,3,0))))</f>
        <v>0</v>
      </c>
      <c r="AF537" s="32">
        <f>(VLOOKUP($A537,$A$458:$O$482,4,0)*(HLOOKUP(AF$528,'2.2.Brecha Efectiva x UdM'!$H$86:$AK$92,3,0))+(VLOOKUP($A537,$A$4:$O$27,4,0)*(HLOOKUP(AF$528,'2.2.Brecha Efectiva x UdM'!$H$64:$AK$70,3,0))))</f>
        <v>0</v>
      </c>
      <c r="AG537" s="32">
        <f>(VLOOKUP($A537,$A$458:$O$482,4,0)*(HLOOKUP(AG$528,'2.2.Brecha Efectiva x UdM'!$H$86:$AK$92,3,0))+(VLOOKUP($A537,$A$4:$O$27,4,0)*(HLOOKUP(AG$528,'2.2.Brecha Efectiva x UdM'!$H$64:$AK$70,3,0))))</f>
        <v>0</v>
      </c>
      <c r="AH537" s="62">
        <f t="shared" si="505"/>
        <v>449590593.70747709</v>
      </c>
    </row>
    <row r="538" spans="1:34" x14ac:dyDescent="0.2">
      <c r="A538" s="26" t="str">
        <f t="shared" si="502"/>
        <v>Jujuy</v>
      </c>
      <c r="B538" s="52" t="str">
        <f t="shared" si="503"/>
        <v>Nombre UdM 2</v>
      </c>
      <c r="C538" s="26" t="str">
        <f t="shared" si="504"/>
        <v>Jujuy Nombre UdM 2</v>
      </c>
      <c r="D538" s="31">
        <f>(VLOOKUP($A538,$A$458:$O$482,4,0)*(HLOOKUP(D$528,'2.2.Brecha Efectiva x UdM'!$H$86:$AK$92,3,0))+(VLOOKUP($A538,$A$4:$O$27,4,0)*(HLOOKUP(D$528,'2.2.Brecha Efectiva x UdM'!$H$64:$AK$70,3,0))))</f>
        <v>85797836.682825387</v>
      </c>
      <c r="E538" s="31">
        <f>(VLOOKUP($A538,$A$458:$O$482,4,0)*(HLOOKUP(E$528,'2.2.Brecha Efectiva x UdM'!$H$86:$AK$92,3,0))+(VLOOKUP($A538,$A$4:$O$27,4,0)*(HLOOKUP(E$528,'2.2.Brecha Efectiva x UdM'!$H$64:$AK$70,3,0))))</f>
        <v>91916671.618203178</v>
      </c>
      <c r="F538" s="31">
        <f>(VLOOKUP($A538,$A$458:$O$482,4,0)*(HLOOKUP(F$528,'2.2.Brecha Efectiva x UdM'!$H$86:$AK$92,3,0))+(VLOOKUP($A538,$A$4:$O$27,4,0)*(HLOOKUP(F$528,'2.2.Brecha Efectiva x UdM'!$H$64:$AK$70,3,0))))</f>
        <v>138763109.45595181</v>
      </c>
      <c r="G538" s="31">
        <f>(VLOOKUP($A538,$A$458:$O$482,4,0)*(HLOOKUP(G$528,'2.2.Brecha Efectiva x UdM'!$H$86:$AK$92,3,0))+(VLOOKUP($A538,$A$4:$O$27,4,0)*(HLOOKUP(G$528,'2.2.Brecha Efectiva x UdM'!$H$64:$AK$70,3,0))))</f>
        <v>0</v>
      </c>
      <c r="H538" s="31">
        <f>(VLOOKUP($A538,$A$458:$O$482,4,0)*(HLOOKUP(H$528,'2.2.Brecha Efectiva x UdM'!$H$86:$AK$92,3,0))+(VLOOKUP($A538,$A$4:$O$27,4,0)*(HLOOKUP(H$528,'2.2.Brecha Efectiva x UdM'!$H$64:$AK$70,3,0))))</f>
        <v>0</v>
      </c>
      <c r="I538" s="31">
        <f>(VLOOKUP($A538,$A$458:$O$482,4,0)*(HLOOKUP(I$528,'2.2.Brecha Efectiva x UdM'!$H$86:$AK$92,3,0))+(VLOOKUP($A538,$A$4:$O$27,4,0)*(HLOOKUP(I$528,'2.2.Brecha Efectiva x UdM'!$H$64:$AK$70,3,0))))</f>
        <v>0</v>
      </c>
      <c r="J538" s="31">
        <f>(VLOOKUP($A538,$A$458:$O$482,4,0)*(HLOOKUP(J$528,'2.2.Brecha Efectiva x UdM'!$H$86:$AK$92,3,0))+(VLOOKUP($A538,$A$4:$O$27,4,0)*(HLOOKUP(J$528,'2.2.Brecha Efectiva x UdM'!$H$64:$AK$70,3,0))))</f>
        <v>0</v>
      </c>
      <c r="K538" s="31">
        <f>(VLOOKUP($A538,$A$458:$O$482,4,0)*(HLOOKUP(K$528,'2.2.Brecha Efectiva x UdM'!$H$86:$AK$92,3,0))+(VLOOKUP($A538,$A$4:$O$27,4,0)*(HLOOKUP(K$528,'2.2.Brecha Efectiva x UdM'!$H$64:$AK$70,3,0))))</f>
        <v>0</v>
      </c>
      <c r="L538" s="31">
        <f>(VLOOKUP($A538,$A$458:$O$482,4,0)*(HLOOKUP(L$528,'2.2.Brecha Efectiva x UdM'!$H$86:$AK$92,3,0))+(VLOOKUP($A538,$A$4:$O$27,4,0)*(HLOOKUP(L$528,'2.2.Brecha Efectiva x UdM'!$H$64:$AK$70,3,0))))</f>
        <v>0</v>
      </c>
      <c r="M538" s="31">
        <f>(VLOOKUP($A538,$A$458:$O$482,4,0)*(HLOOKUP(M$528,'2.2.Brecha Efectiva x UdM'!$H$86:$AK$92,3,0))+(VLOOKUP($A538,$A$4:$O$27,4,0)*(HLOOKUP(M$528,'2.2.Brecha Efectiva x UdM'!$H$64:$AK$70,3,0))))</f>
        <v>0</v>
      </c>
      <c r="N538" s="31">
        <f>(VLOOKUP($A538,$A$458:$O$482,4,0)*(HLOOKUP(N$528,'2.2.Brecha Efectiva x UdM'!$H$86:$AK$92,3,0))+(VLOOKUP($A538,$A$4:$O$27,4,0)*(HLOOKUP(N$528,'2.2.Brecha Efectiva x UdM'!$H$64:$AK$70,3,0))))</f>
        <v>0</v>
      </c>
      <c r="O538" s="31">
        <f>(VLOOKUP($A538,$A$458:$O$482,4,0)*(HLOOKUP(O$528,'2.2.Brecha Efectiva x UdM'!$H$86:$AK$92,3,0))+(VLOOKUP($A538,$A$4:$O$27,4,0)*(HLOOKUP(O$528,'2.2.Brecha Efectiva x UdM'!$H$64:$AK$70,3,0))))</f>
        <v>0</v>
      </c>
      <c r="P538" s="31">
        <f>(VLOOKUP($A538,$A$458:$O$482,4,0)*(HLOOKUP(P$528,'2.2.Brecha Efectiva x UdM'!$H$86:$AK$92,3,0))+(VLOOKUP($A538,$A$4:$O$27,4,0)*(HLOOKUP(P$528,'2.2.Brecha Efectiva x UdM'!$H$64:$AK$70,3,0))))</f>
        <v>0</v>
      </c>
      <c r="Q538" s="31">
        <f>(VLOOKUP($A538,$A$458:$O$482,4,0)*(HLOOKUP(Q$528,'2.2.Brecha Efectiva x UdM'!$H$86:$AK$92,3,0))+(VLOOKUP($A538,$A$4:$O$27,4,0)*(HLOOKUP(Q$528,'2.2.Brecha Efectiva x UdM'!$H$64:$AK$70,3,0))))</f>
        <v>0</v>
      </c>
      <c r="R538" s="31">
        <f>(VLOOKUP($A538,$A$458:$O$482,4,0)*(HLOOKUP(R$528,'2.2.Brecha Efectiva x UdM'!$H$86:$AK$92,3,0))+(VLOOKUP($A538,$A$4:$O$27,4,0)*(HLOOKUP(R$528,'2.2.Brecha Efectiva x UdM'!$H$64:$AK$70,3,0))))</f>
        <v>0</v>
      </c>
      <c r="S538" s="31">
        <f>(VLOOKUP($A538,$A$458:$O$482,4,0)*(HLOOKUP(S$528,'2.2.Brecha Efectiva x UdM'!$H$86:$AK$92,3,0))+(VLOOKUP($A538,$A$4:$O$27,4,0)*(HLOOKUP(S$528,'2.2.Brecha Efectiva x UdM'!$H$64:$AK$70,3,0))))</f>
        <v>0</v>
      </c>
      <c r="T538" s="31">
        <f>(VLOOKUP($A538,$A$458:$O$482,4,0)*(HLOOKUP(T$528,'2.2.Brecha Efectiva x UdM'!$H$86:$AK$92,3,0))+(VLOOKUP($A538,$A$4:$O$27,4,0)*(HLOOKUP(T$528,'2.2.Brecha Efectiva x UdM'!$H$64:$AK$70,3,0))))</f>
        <v>0</v>
      </c>
      <c r="U538" s="31">
        <f>(VLOOKUP($A538,$A$458:$O$482,4,0)*(HLOOKUP(U$528,'2.2.Brecha Efectiva x UdM'!$H$86:$AK$92,3,0))+(VLOOKUP($A538,$A$4:$O$27,4,0)*(HLOOKUP(U$528,'2.2.Brecha Efectiva x UdM'!$H$64:$AK$70,3,0))))</f>
        <v>0</v>
      </c>
      <c r="V538" s="31">
        <f>(VLOOKUP($A538,$A$458:$O$482,4,0)*(HLOOKUP(V$528,'2.2.Brecha Efectiva x UdM'!$H$86:$AK$92,3,0))+(VLOOKUP($A538,$A$4:$O$27,4,0)*(HLOOKUP(V$528,'2.2.Brecha Efectiva x UdM'!$H$64:$AK$70,3,0))))</f>
        <v>0</v>
      </c>
      <c r="W538" s="31">
        <f>(VLOOKUP($A538,$A$458:$O$482,4,0)*(HLOOKUP(W$528,'2.2.Brecha Efectiva x UdM'!$H$86:$AK$92,3,0))+(VLOOKUP($A538,$A$4:$O$27,4,0)*(HLOOKUP(W$528,'2.2.Brecha Efectiva x UdM'!$H$64:$AK$70,3,0))))</f>
        <v>0</v>
      </c>
      <c r="X538" s="31">
        <f>(VLOOKUP($A538,$A$458:$O$482,4,0)*(HLOOKUP(X$528,'2.2.Brecha Efectiva x UdM'!$H$86:$AK$92,3,0))+(VLOOKUP($A538,$A$4:$O$27,4,0)*(HLOOKUP(X$528,'2.2.Brecha Efectiva x UdM'!$H$64:$AK$70,3,0))))</f>
        <v>0</v>
      </c>
      <c r="Y538" s="31">
        <f>(VLOOKUP($A538,$A$458:$O$482,4,0)*(HLOOKUP(Y$528,'2.2.Brecha Efectiva x UdM'!$H$86:$AK$92,3,0))+(VLOOKUP($A538,$A$4:$O$27,4,0)*(HLOOKUP(Y$528,'2.2.Brecha Efectiva x UdM'!$H$64:$AK$70,3,0))))</f>
        <v>0</v>
      </c>
      <c r="Z538" s="31">
        <f>(VLOOKUP($A538,$A$458:$O$482,4,0)*(HLOOKUP(Z$528,'2.2.Brecha Efectiva x UdM'!$H$86:$AK$92,3,0))+(VLOOKUP($A538,$A$4:$O$27,4,0)*(HLOOKUP(Z$528,'2.2.Brecha Efectiva x UdM'!$H$64:$AK$70,3,0))))</f>
        <v>0</v>
      </c>
      <c r="AA538" s="31">
        <f>(VLOOKUP($A538,$A$458:$O$482,4,0)*(HLOOKUP(AA$528,'2.2.Brecha Efectiva x UdM'!$H$86:$AK$92,3,0))+(VLOOKUP($A538,$A$4:$O$27,4,0)*(HLOOKUP(AA$528,'2.2.Brecha Efectiva x UdM'!$H$64:$AK$70,3,0))))</f>
        <v>0</v>
      </c>
      <c r="AB538" s="31">
        <f>(VLOOKUP($A538,$A$458:$O$482,4,0)*(HLOOKUP(AB$528,'2.2.Brecha Efectiva x UdM'!$H$86:$AK$92,3,0))+(VLOOKUP($A538,$A$4:$O$27,4,0)*(HLOOKUP(AB$528,'2.2.Brecha Efectiva x UdM'!$H$64:$AK$70,3,0))))</f>
        <v>0</v>
      </c>
      <c r="AC538" s="31">
        <f>(VLOOKUP($A538,$A$458:$O$482,4,0)*(HLOOKUP(AC$528,'2.2.Brecha Efectiva x UdM'!$H$86:$AK$92,3,0))+(VLOOKUP($A538,$A$4:$O$27,4,0)*(HLOOKUP(AC$528,'2.2.Brecha Efectiva x UdM'!$H$64:$AK$70,3,0))))</f>
        <v>0</v>
      </c>
      <c r="AD538" s="31">
        <f>(VLOOKUP($A538,$A$458:$O$482,4,0)*(HLOOKUP(AD$528,'2.2.Brecha Efectiva x UdM'!$H$86:$AK$92,3,0))+(VLOOKUP($A538,$A$4:$O$27,4,0)*(HLOOKUP(AD$528,'2.2.Brecha Efectiva x UdM'!$H$64:$AK$70,3,0))))</f>
        <v>0</v>
      </c>
      <c r="AE538" s="31">
        <f>(VLOOKUP($A538,$A$458:$O$482,4,0)*(HLOOKUP(AE$528,'2.2.Brecha Efectiva x UdM'!$H$86:$AK$92,3,0))+(VLOOKUP($A538,$A$4:$O$27,4,0)*(HLOOKUP(AE$528,'2.2.Brecha Efectiva x UdM'!$H$64:$AK$70,3,0))))</f>
        <v>0</v>
      </c>
      <c r="AF538" s="31">
        <f>(VLOOKUP($A538,$A$458:$O$482,4,0)*(HLOOKUP(AF$528,'2.2.Brecha Efectiva x UdM'!$H$86:$AK$92,3,0))+(VLOOKUP($A538,$A$4:$O$27,4,0)*(HLOOKUP(AF$528,'2.2.Brecha Efectiva x UdM'!$H$64:$AK$70,3,0))))</f>
        <v>0</v>
      </c>
      <c r="AG538" s="31">
        <f>(VLOOKUP($A538,$A$458:$O$482,4,0)*(HLOOKUP(AG$528,'2.2.Brecha Efectiva x UdM'!$H$86:$AK$92,3,0))+(VLOOKUP($A538,$A$4:$O$27,4,0)*(HLOOKUP(AG$528,'2.2.Brecha Efectiva x UdM'!$H$64:$AK$70,3,0))))</f>
        <v>0</v>
      </c>
      <c r="AH538" s="63">
        <f t="shared" si="505"/>
        <v>316477617.75698036</v>
      </c>
    </row>
    <row r="539" spans="1:34" x14ac:dyDescent="0.2">
      <c r="A539" s="25" t="str">
        <f t="shared" si="502"/>
        <v>La Pampa</v>
      </c>
      <c r="B539" s="51" t="str">
        <f t="shared" si="503"/>
        <v>Nombre UdM 2</v>
      </c>
      <c r="C539" s="25" t="str">
        <f t="shared" si="504"/>
        <v>La Pampa Nombre UdM 2</v>
      </c>
      <c r="D539" s="32">
        <f>(VLOOKUP($A539,$A$458:$O$482,4,0)*(HLOOKUP(D$528,'2.2.Brecha Efectiva x UdM'!$H$86:$AK$92,3,0))+(VLOOKUP($A539,$A$4:$O$27,4,0)*(HLOOKUP(D$528,'2.2.Brecha Efectiva x UdM'!$H$64:$AK$70,3,0))))</f>
        <v>11721004.263757732</v>
      </c>
      <c r="E539" s="32">
        <f>(VLOOKUP($A539,$A$458:$O$482,4,0)*(HLOOKUP(E$528,'2.2.Brecha Efectiva x UdM'!$H$86:$AK$92,3,0))+(VLOOKUP($A539,$A$4:$O$27,4,0)*(HLOOKUP(E$528,'2.2.Brecha Efectiva x UdM'!$H$64:$AK$70,3,0))))</f>
        <v>12556909.842961565</v>
      </c>
      <c r="F539" s="32">
        <f>(VLOOKUP($A539,$A$458:$O$482,4,0)*(HLOOKUP(F$528,'2.2.Brecha Efectiva x UdM'!$H$86:$AK$92,3,0))+(VLOOKUP($A539,$A$4:$O$27,4,0)*(HLOOKUP(F$528,'2.2.Brecha Efectiva x UdM'!$H$64:$AK$70,3,0))))</f>
        <v>18956690.057327121</v>
      </c>
      <c r="G539" s="32">
        <f>(VLOOKUP($A539,$A$458:$O$482,4,0)*(HLOOKUP(G$528,'2.2.Brecha Efectiva x UdM'!$H$86:$AK$92,3,0))+(VLOOKUP($A539,$A$4:$O$27,4,0)*(HLOOKUP(G$528,'2.2.Brecha Efectiva x UdM'!$H$64:$AK$70,3,0))))</f>
        <v>0</v>
      </c>
      <c r="H539" s="32">
        <f>(VLOOKUP($A539,$A$458:$O$482,4,0)*(HLOOKUP(H$528,'2.2.Brecha Efectiva x UdM'!$H$86:$AK$92,3,0))+(VLOOKUP($A539,$A$4:$O$27,4,0)*(HLOOKUP(H$528,'2.2.Brecha Efectiva x UdM'!$H$64:$AK$70,3,0))))</f>
        <v>0</v>
      </c>
      <c r="I539" s="32">
        <f>(VLOOKUP($A539,$A$458:$O$482,4,0)*(HLOOKUP(I$528,'2.2.Brecha Efectiva x UdM'!$H$86:$AK$92,3,0))+(VLOOKUP($A539,$A$4:$O$27,4,0)*(HLOOKUP(I$528,'2.2.Brecha Efectiva x UdM'!$H$64:$AK$70,3,0))))</f>
        <v>0</v>
      </c>
      <c r="J539" s="32">
        <f>(VLOOKUP($A539,$A$458:$O$482,4,0)*(HLOOKUP(J$528,'2.2.Brecha Efectiva x UdM'!$H$86:$AK$92,3,0))+(VLOOKUP($A539,$A$4:$O$27,4,0)*(HLOOKUP(J$528,'2.2.Brecha Efectiva x UdM'!$H$64:$AK$70,3,0))))</f>
        <v>0</v>
      </c>
      <c r="K539" s="32">
        <f>(VLOOKUP($A539,$A$458:$O$482,4,0)*(HLOOKUP(K$528,'2.2.Brecha Efectiva x UdM'!$H$86:$AK$92,3,0))+(VLOOKUP($A539,$A$4:$O$27,4,0)*(HLOOKUP(K$528,'2.2.Brecha Efectiva x UdM'!$H$64:$AK$70,3,0))))</f>
        <v>0</v>
      </c>
      <c r="L539" s="32">
        <f>(VLOOKUP($A539,$A$458:$O$482,4,0)*(HLOOKUP(L$528,'2.2.Brecha Efectiva x UdM'!$H$86:$AK$92,3,0))+(VLOOKUP($A539,$A$4:$O$27,4,0)*(HLOOKUP(L$528,'2.2.Brecha Efectiva x UdM'!$H$64:$AK$70,3,0))))</f>
        <v>0</v>
      </c>
      <c r="M539" s="32">
        <f>(VLOOKUP($A539,$A$458:$O$482,4,0)*(HLOOKUP(M$528,'2.2.Brecha Efectiva x UdM'!$H$86:$AK$92,3,0))+(VLOOKUP($A539,$A$4:$O$27,4,0)*(HLOOKUP(M$528,'2.2.Brecha Efectiva x UdM'!$H$64:$AK$70,3,0))))</f>
        <v>0</v>
      </c>
      <c r="N539" s="32">
        <f>(VLOOKUP($A539,$A$458:$O$482,4,0)*(HLOOKUP(N$528,'2.2.Brecha Efectiva x UdM'!$H$86:$AK$92,3,0))+(VLOOKUP($A539,$A$4:$O$27,4,0)*(HLOOKUP(N$528,'2.2.Brecha Efectiva x UdM'!$H$64:$AK$70,3,0))))</f>
        <v>0</v>
      </c>
      <c r="O539" s="32">
        <f>(VLOOKUP($A539,$A$458:$O$482,4,0)*(HLOOKUP(O$528,'2.2.Brecha Efectiva x UdM'!$H$86:$AK$92,3,0))+(VLOOKUP($A539,$A$4:$O$27,4,0)*(HLOOKUP(O$528,'2.2.Brecha Efectiva x UdM'!$H$64:$AK$70,3,0))))</f>
        <v>0</v>
      </c>
      <c r="P539" s="32">
        <f>(VLOOKUP($A539,$A$458:$O$482,4,0)*(HLOOKUP(P$528,'2.2.Brecha Efectiva x UdM'!$H$86:$AK$92,3,0))+(VLOOKUP($A539,$A$4:$O$27,4,0)*(HLOOKUP(P$528,'2.2.Brecha Efectiva x UdM'!$H$64:$AK$70,3,0))))</f>
        <v>0</v>
      </c>
      <c r="Q539" s="32">
        <f>(VLOOKUP($A539,$A$458:$O$482,4,0)*(HLOOKUP(Q$528,'2.2.Brecha Efectiva x UdM'!$H$86:$AK$92,3,0))+(VLOOKUP($A539,$A$4:$O$27,4,0)*(HLOOKUP(Q$528,'2.2.Brecha Efectiva x UdM'!$H$64:$AK$70,3,0))))</f>
        <v>0</v>
      </c>
      <c r="R539" s="32">
        <f>(VLOOKUP($A539,$A$458:$O$482,4,0)*(HLOOKUP(R$528,'2.2.Brecha Efectiva x UdM'!$H$86:$AK$92,3,0))+(VLOOKUP($A539,$A$4:$O$27,4,0)*(HLOOKUP(R$528,'2.2.Brecha Efectiva x UdM'!$H$64:$AK$70,3,0))))</f>
        <v>0</v>
      </c>
      <c r="S539" s="32">
        <f>(VLOOKUP($A539,$A$458:$O$482,4,0)*(HLOOKUP(S$528,'2.2.Brecha Efectiva x UdM'!$H$86:$AK$92,3,0))+(VLOOKUP($A539,$A$4:$O$27,4,0)*(HLOOKUP(S$528,'2.2.Brecha Efectiva x UdM'!$H$64:$AK$70,3,0))))</f>
        <v>0</v>
      </c>
      <c r="T539" s="32">
        <f>(VLOOKUP($A539,$A$458:$O$482,4,0)*(HLOOKUP(T$528,'2.2.Brecha Efectiva x UdM'!$H$86:$AK$92,3,0))+(VLOOKUP($A539,$A$4:$O$27,4,0)*(HLOOKUP(T$528,'2.2.Brecha Efectiva x UdM'!$H$64:$AK$70,3,0))))</f>
        <v>0</v>
      </c>
      <c r="U539" s="32">
        <f>(VLOOKUP($A539,$A$458:$O$482,4,0)*(HLOOKUP(U$528,'2.2.Brecha Efectiva x UdM'!$H$86:$AK$92,3,0))+(VLOOKUP($A539,$A$4:$O$27,4,0)*(HLOOKUP(U$528,'2.2.Brecha Efectiva x UdM'!$H$64:$AK$70,3,0))))</f>
        <v>0</v>
      </c>
      <c r="V539" s="32">
        <f>(VLOOKUP($A539,$A$458:$O$482,4,0)*(HLOOKUP(V$528,'2.2.Brecha Efectiva x UdM'!$H$86:$AK$92,3,0))+(VLOOKUP($A539,$A$4:$O$27,4,0)*(HLOOKUP(V$528,'2.2.Brecha Efectiva x UdM'!$H$64:$AK$70,3,0))))</f>
        <v>0</v>
      </c>
      <c r="W539" s="32">
        <f>(VLOOKUP($A539,$A$458:$O$482,4,0)*(HLOOKUP(W$528,'2.2.Brecha Efectiva x UdM'!$H$86:$AK$92,3,0))+(VLOOKUP($A539,$A$4:$O$27,4,0)*(HLOOKUP(W$528,'2.2.Brecha Efectiva x UdM'!$H$64:$AK$70,3,0))))</f>
        <v>0</v>
      </c>
      <c r="X539" s="32">
        <f>(VLOOKUP($A539,$A$458:$O$482,4,0)*(HLOOKUP(X$528,'2.2.Brecha Efectiva x UdM'!$H$86:$AK$92,3,0))+(VLOOKUP($A539,$A$4:$O$27,4,0)*(HLOOKUP(X$528,'2.2.Brecha Efectiva x UdM'!$H$64:$AK$70,3,0))))</f>
        <v>0</v>
      </c>
      <c r="Y539" s="32">
        <f>(VLOOKUP($A539,$A$458:$O$482,4,0)*(HLOOKUP(Y$528,'2.2.Brecha Efectiva x UdM'!$H$86:$AK$92,3,0))+(VLOOKUP($A539,$A$4:$O$27,4,0)*(HLOOKUP(Y$528,'2.2.Brecha Efectiva x UdM'!$H$64:$AK$70,3,0))))</f>
        <v>0</v>
      </c>
      <c r="Z539" s="32">
        <f>(VLOOKUP($A539,$A$458:$O$482,4,0)*(HLOOKUP(Z$528,'2.2.Brecha Efectiva x UdM'!$H$86:$AK$92,3,0))+(VLOOKUP($A539,$A$4:$O$27,4,0)*(HLOOKUP(Z$528,'2.2.Brecha Efectiva x UdM'!$H$64:$AK$70,3,0))))</f>
        <v>0</v>
      </c>
      <c r="AA539" s="32">
        <f>(VLOOKUP($A539,$A$458:$O$482,4,0)*(HLOOKUP(AA$528,'2.2.Brecha Efectiva x UdM'!$H$86:$AK$92,3,0))+(VLOOKUP($A539,$A$4:$O$27,4,0)*(HLOOKUP(AA$528,'2.2.Brecha Efectiva x UdM'!$H$64:$AK$70,3,0))))</f>
        <v>0</v>
      </c>
      <c r="AB539" s="32">
        <f>(VLOOKUP($A539,$A$458:$O$482,4,0)*(HLOOKUP(AB$528,'2.2.Brecha Efectiva x UdM'!$H$86:$AK$92,3,0))+(VLOOKUP($A539,$A$4:$O$27,4,0)*(HLOOKUP(AB$528,'2.2.Brecha Efectiva x UdM'!$H$64:$AK$70,3,0))))</f>
        <v>0</v>
      </c>
      <c r="AC539" s="32">
        <f>(VLOOKUP($A539,$A$458:$O$482,4,0)*(HLOOKUP(AC$528,'2.2.Brecha Efectiva x UdM'!$H$86:$AK$92,3,0))+(VLOOKUP($A539,$A$4:$O$27,4,0)*(HLOOKUP(AC$528,'2.2.Brecha Efectiva x UdM'!$H$64:$AK$70,3,0))))</f>
        <v>0</v>
      </c>
      <c r="AD539" s="32">
        <f>(VLOOKUP($A539,$A$458:$O$482,4,0)*(HLOOKUP(AD$528,'2.2.Brecha Efectiva x UdM'!$H$86:$AK$92,3,0))+(VLOOKUP($A539,$A$4:$O$27,4,0)*(HLOOKUP(AD$528,'2.2.Brecha Efectiva x UdM'!$H$64:$AK$70,3,0))))</f>
        <v>0</v>
      </c>
      <c r="AE539" s="32">
        <f>(VLOOKUP($A539,$A$458:$O$482,4,0)*(HLOOKUP(AE$528,'2.2.Brecha Efectiva x UdM'!$H$86:$AK$92,3,0))+(VLOOKUP($A539,$A$4:$O$27,4,0)*(HLOOKUP(AE$528,'2.2.Brecha Efectiva x UdM'!$H$64:$AK$70,3,0))))</f>
        <v>0</v>
      </c>
      <c r="AF539" s="32">
        <f>(VLOOKUP($A539,$A$458:$O$482,4,0)*(HLOOKUP(AF$528,'2.2.Brecha Efectiva x UdM'!$H$86:$AK$92,3,0))+(VLOOKUP($A539,$A$4:$O$27,4,0)*(HLOOKUP(AF$528,'2.2.Brecha Efectiva x UdM'!$H$64:$AK$70,3,0))))</f>
        <v>0</v>
      </c>
      <c r="AG539" s="32">
        <f>(VLOOKUP($A539,$A$458:$O$482,4,0)*(HLOOKUP(AG$528,'2.2.Brecha Efectiva x UdM'!$H$86:$AK$92,3,0))+(VLOOKUP($A539,$A$4:$O$27,4,0)*(HLOOKUP(AG$528,'2.2.Brecha Efectiva x UdM'!$H$64:$AK$70,3,0))))</f>
        <v>0</v>
      </c>
      <c r="AH539" s="62">
        <f t="shared" si="505"/>
        <v>43234604.164046422</v>
      </c>
    </row>
    <row r="540" spans="1:34" x14ac:dyDescent="0.2">
      <c r="A540" s="26" t="str">
        <f t="shared" si="502"/>
        <v>La Rioja</v>
      </c>
      <c r="B540" s="52" t="str">
        <f t="shared" si="503"/>
        <v>Nombre UdM 2</v>
      </c>
      <c r="C540" s="26" t="str">
        <f t="shared" si="504"/>
        <v>La Rioja Nombre UdM 2</v>
      </c>
      <c r="D540" s="31">
        <f>(VLOOKUP($A540,$A$458:$O$482,4,0)*(HLOOKUP(D$528,'2.2.Brecha Efectiva x UdM'!$H$86:$AK$92,3,0))+(VLOOKUP($A540,$A$4:$O$27,4,0)*(HLOOKUP(D$528,'2.2.Brecha Efectiva x UdM'!$H$64:$AK$70,3,0))))</f>
        <v>21701587.159595877</v>
      </c>
      <c r="E540" s="31">
        <f>(VLOOKUP($A540,$A$458:$O$482,4,0)*(HLOOKUP(E$528,'2.2.Brecha Efectiva x UdM'!$H$86:$AK$92,3,0))+(VLOOKUP($A540,$A$4:$O$27,4,0)*(HLOOKUP(E$528,'2.2.Brecha Efectiva x UdM'!$H$64:$AK$70,3,0))))</f>
        <v>23249276.877649833</v>
      </c>
      <c r="F540" s="31">
        <f>(VLOOKUP($A540,$A$458:$O$482,4,0)*(HLOOKUP(F$528,'2.2.Brecha Efectiva x UdM'!$H$86:$AK$92,3,0))+(VLOOKUP($A540,$A$4:$O$27,4,0)*(HLOOKUP(F$528,'2.2.Brecha Efectiva x UdM'!$H$64:$AK$70,3,0))))</f>
        <v>35098550.625783846</v>
      </c>
      <c r="G540" s="31">
        <f>(VLOOKUP($A540,$A$458:$O$482,4,0)*(HLOOKUP(G$528,'2.2.Brecha Efectiva x UdM'!$H$86:$AK$92,3,0))+(VLOOKUP($A540,$A$4:$O$27,4,0)*(HLOOKUP(G$528,'2.2.Brecha Efectiva x UdM'!$H$64:$AK$70,3,0))))</f>
        <v>0</v>
      </c>
      <c r="H540" s="31">
        <f>(VLOOKUP($A540,$A$458:$O$482,4,0)*(HLOOKUP(H$528,'2.2.Brecha Efectiva x UdM'!$H$86:$AK$92,3,0))+(VLOOKUP($A540,$A$4:$O$27,4,0)*(HLOOKUP(H$528,'2.2.Brecha Efectiva x UdM'!$H$64:$AK$70,3,0))))</f>
        <v>0</v>
      </c>
      <c r="I540" s="31">
        <f>(VLOOKUP($A540,$A$458:$O$482,4,0)*(HLOOKUP(I$528,'2.2.Brecha Efectiva x UdM'!$H$86:$AK$92,3,0))+(VLOOKUP($A540,$A$4:$O$27,4,0)*(HLOOKUP(I$528,'2.2.Brecha Efectiva x UdM'!$H$64:$AK$70,3,0))))</f>
        <v>0</v>
      </c>
      <c r="J540" s="31">
        <f>(VLOOKUP($A540,$A$458:$O$482,4,0)*(HLOOKUP(J$528,'2.2.Brecha Efectiva x UdM'!$H$86:$AK$92,3,0))+(VLOOKUP($A540,$A$4:$O$27,4,0)*(HLOOKUP(J$528,'2.2.Brecha Efectiva x UdM'!$H$64:$AK$70,3,0))))</f>
        <v>0</v>
      </c>
      <c r="K540" s="31">
        <f>(VLOOKUP($A540,$A$458:$O$482,4,0)*(HLOOKUP(K$528,'2.2.Brecha Efectiva x UdM'!$H$86:$AK$92,3,0))+(VLOOKUP($A540,$A$4:$O$27,4,0)*(HLOOKUP(K$528,'2.2.Brecha Efectiva x UdM'!$H$64:$AK$70,3,0))))</f>
        <v>0</v>
      </c>
      <c r="L540" s="31">
        <f>(VLOOKUP($A540,$A$458:$O$482,4,0)*(HLOOKUP(L$528,'2.2.Brecha Efectiva x UdM'!$H$86:$AK$92,3,0))+(VLOOKUP($A540,$A$4:$O$27,4,0)*(HLOOKUP(L$528,'2.2.Brecha Efectiva x UdM'!$H$64:$AK$70,3,0))))</f>
        <v>0</v>
      </c>
      <c r="M540" s="31">
        <f>(VLOOKUP($A540,$A$458:$O$482,4,0)*(HLOOKUP(M$528,'2.2.Brecha Efectiva x UdM'!$H$86:$AK$92,3,0))+(VLOOKUP($A540,$A$4:$O$27,4,0)*(HLOOKUP(M$528,'2.2.Brecha Efectiva x UdM'!$H$64:$AK$70,3,0))))</f>
        <v>0</v>
      </c>
      <c r="N540" s="31">
        <f>(VLOOKUP($A540,$A$458:$O$482,4,0)*(HLOOKUP(N$528,'2.2.Brecha Efectiva x UdM'!$H$86:$AK$92,3,0))+(VLOOKUP($A540,$A$4:$O$27,4,0)*(HLOOKUP(N$528,'2.2.Brecha Efectiva x UdM'!$H$64:$AK$70,3,0))))</f>
        <v>0</v>
      </c>
      <c r="O540" s="31">
        <f>(VLOOKUP($A540,$A$458:$O$482,4,0)*(HLOOKUP(O$528,'2.2.Brecha Efectiva x UdM'!$H$86:$AK$92,3,0))+(VLOOKUP($A540,$A$4:$O$27,4,0)*(HLOOKUP(O$528,'2.2.Brecha Efectiva x UdM'!$H$64:$AK$70,3,0))))</f>
        <v>0</v>
      </c>
      <c r="P540" s="31">
        <f>(VLOOKUP($A540,$A$458:$O$482,4,0)*(HLOOKUP(P$528,'2.2.Brecha Efectiva x UdM'!$H$86:$AK$92,3,0))+(VLOOKUP($A540,$A$4:$O$27,4,0)*(HLOOKUP(P$528,'2.2.Brecha Efectiva x UdM'!$H$64:$AK$70,3,0))))</f>
        <v>0</v>
      </c>
      <c r="Q540" s="31">
        <f>(VLOOKUP($A540,$A$458:$O$482,4,0)*(HLOOKUP(Q$528,'2.2.Brecha Efectiva x UdM'!$H$86:$AK$92,3,0))+(VLOOKUP($A540,$A$4:$O$27,4,0)*(HLOOKUP(Q$528,'2.2.Brecha Efectiva x UdM'!$H$64:$AK$70,3,0))))</f>
        <v>0</v>
      </c>
      <c r="R540" s="31">
        <f>(VLOOKUP($A540,$A$458:$O$482,4,0)*(HLOOKUP(R$528,'2.2.Brecha Efectiva x UdM'!$H$86:$AK$92,3,0))+(VLOOKUP($A540,$A$4:$O$27,4,0)*(HLOOKUP(R$528,'2.2.Brecha Efectiva x UdM'!$H$64:$AK$70,3,0))))</f>
        <v>0</v>
      </c>
      <c r="S540" s="31">
        <f>(VLOOKUP($A540,$A$458:$O$482,4,0)*(HLOOKUP(S$528,'2.2.Brecha Efectiva x UdM'!$H$86:$AK$92,3,0))+(VLOOKUP($A540,$A$4:$O$27,4,0)*(HLOOKUP(S$528,'2.2.Brecha Efectiva x UdM'!$H$64:$AK$70,3,0))))</f>
        <v>0</v>
      </c>
      <c r="T540" s="31">
        <f>(VLOOKUP($A540,$A$458:$O$482,4,0)*(HLOOKUP(T$528,'2.2.Brecha Efectiva x UdM'!$H$86:$AK$92,3,0))+(VLOOKUP($A540,$A$4:$O$27,4,0)*(HLOOKUP(T$528,'2.2.Brecha Efectiva x UdM'!$H$64:$AK$70,3,0))))</f>
        <v>0</v>
      </c>
      <c r="U540" s="31">
        <f>(VLOOKUP($A540,$A$458:$O$482,4,0)*(HLOOKUP(U$528,'2.2.Brecha Efectiva x UdM'!$H$86:$AK$92,3,0))+(VLOOKUP($A540,$A$4:$O$27,4,0)*(HLOOKUP(U$528,'2.2.Brecha Efectiva x UdM'!$H$64:$AK$70,3,0))))</f>
        <v>0</v>
      </c>
      <c r="V540" s="31">
        <f>(VLOOKUP($A540,$A$458:$O$482,4,0)*(HLOOKUP(V$528,'2.2.Brecha Efectiva x UdM'!$H$86:$AK$92,3,0))+(VLOOKUP($A540,$A$4:$O$27,4,0)*(HLOOKUP(V$528,'2.2.Brecha Efectiva x UdM'!$H$64:$AK$70,3,0))))</f>
        <v>0</v>
      </c>
      <c r="W540" s="31">
        <f>(VLOOKUP($A540,$A$458:$O$482,4,0)*(HLOOKUP(W$528,'2.2.Brecha Efectiva x UdM'!$H$86:$AK$92,3,0))+(VLOOKUP($A540,$A$4:$O$27,4,0)*(HLOOKUP(W$528,'2.2.Brecha Efectiva x UdM'!$H$64:$AK$70,3,0))))</f>
        <v>0</v>
      </c>
      <c r="X540" s="31">
        <f>(VLOOKUP($A540,$A$458:$O$482,4,0)*(HLOOKUP(X$528,'2.2.Brecha Efectiva x UdM'!$H$86:$AK$92,3,0))+(VLOOKUP($A540,$A$4:$O$27,4,0)*(HLOOKUP(X$528,'2.2.Brecha Efectiva x UdM'!$H$64:$AK$70,3,0))))</f>
        <v>0</v>
      </c>
      <c r="Y540" s="31">
        <f>(VLOOKUP($A540,$A$458:$O$482,4,0)*(HLOOKUP(Y$528,'2.2.Brecha Efectiva x UdM'!$H$86:$AK$92,3,0))+(VLOOKUP($A540,$A$4:$O$27,4,0)*(HLOOKUP(Y$528,'2.2.Brecha Efectiva x UdM'!$H$64:$AK$70,3,0))))</f>
        <v>0</v>
      </c>
      <c r="Z540" s="31">
        <f>(VLOOKUP($A540,$A$458:$O$482,4,0)*(HLOOKUP(Z$528,'2.2.Brecha Efectiva x UdM'!$H$86:$AK$92,3,0))+(VLOOKUP($A540,$A$4:$O$27,4,0)*(HLOOKUP(Z$528,'2.2.Brecha Efectiva x UdM'!$H$64:$AK$70,3,0))))</f>
        <v>0</v>
      </c>
      <c r="AA540" s="31">
        <f>(VLOOKUP($A540,$A$458:$O$482,4,0)*(HLOOKUP(AA$528,'2.2.Brecha Efectiva x UdM'!$H$86:$AK$92,3,0))+(VLOOKUP($A540,$A$4:$O$27,4,0)*(HLOOKUP(AA$528,'2.2.Brecha Efectiva x UdM'!$H$64:$AK$70,3,0))))</f>
        <v>0</v>
      </c>
      <c r="AB540" s="31">
        <f>(VLOOKUP($A540,$A$458:$O$482,4,0)*(HLOOKUP(AB$528,'2.2.Brecha Efectiva x UdM'!$H$86:$AK$92,3,0))+(VLOOKUP($A540,$A$4:$O$27,4,0)*(HLOOKUP(AB$528,'2.2.Brecha Efectiva x UdM'!$H$64:$AK$70,3,0))))</f>
        <v>0</v>
      </c>
      <c r="AC540" s="31">
        <f>(VLOOKUP($A540,$A$458:$O$482,4,0)*(HLOOKUP(AC$528,'2.2.Brecha Efectiva x UdM'!$H$86:$AK$92,3,0))+(VLOOKUP($A540,$A$4:$O$27,4,0)*(HLOOKUP(AC$528,'2.2.Brecha Efectiva x UdM'!$H$64:$AK$70,3,0))))</f>
        <v>0</v>
      </c>
      <c r="AD540" s="31">
        <f>(VLOOKUP($A540,$A$458:$O$482,4,0)*(HLOOKUP(AD$528,'2.2.Brecha Efectiva x UdM'!$H$86:$AK$92,3,0))+(VLOOKUP($A540,$A$4:$O$27,4,0)*(HLOOKUP(AD$528,'2.2.Brecha Efectiva x UdM'!$H$64:$AK$70,3,0))))</f>
        <v>0</v>
      </c>
      <c r="AE540" s="31">
        <f>(VLOOKUP($A540,$A$458:$O$482,4,0)*(HLOOKUP(AE$528,'2.2.Brecha Efectiva x UdM'!$H$86:$AK$92,3,0))+(VLOOKUP($A540,$A$4:$O$27,4,0)*(HLOOKUP(AE$528,'2.2.Brecha Efectiva x UdM'!$H$64:$AK$70,3,0))))</f>
        <v>0</v>
      </c>
      <c r="AF540" s="31">
        <f>(VLOOKUP($A540,$A$458:$O$482,4,0)*(HLOOKUP(AF$528,'2.2.Brecha Efectiva x UdM'!$H$86:$AK$92,3,0))+(VLOOKUP($A540,$A$4:$O$27,4,0)*(HLOOKUP(AF$528,'2.2.Brecha Efectiva x UdM'!$H$64:$AK$70,3,0))))</f>
        <v>0</v>
      </c>
      <c r="AG540" s="31">
        <f>(VLOOKUP($A540,$A$458:$O$482,4,0)*(HLOOKUP(AG$528,'2.2.Brecha Efectiva x UdM'!$H$86:$AK$92,3,0))+(VLOOKUP($A540,$A$4:$O$27,4,0)*(HLOOKUP(AG$528,'2.2.Brecha Efectiva x UdM'!$H$64:$AK$70,3,0))))</f>
        <v>0</v>
      </c>
      <c r="AH540" s="63">
        <f t="shared" si="505"/>
        <v>80049414.663029552</v>
      </c>
    </row>
    <row r="541" spans="1:34" x14ac:dyDescent="0.2">
      <c r="A541" s="25" t="str">
        <f t="shared" si="502"/>
        <v>Mendoza</v>
      </c>
      <c r="B541" s="51" t="str">
        <f t="shared" si="503"/>
        <v>Nombre UdM 2</v>
      </c>
      <c r="C541" s="25" t="str">
        <f t="shared" si="504"/>
        <v>Mendoza Nombre UdM 2</v>
      </c>
      <c r="D541" s="32">
        <f>(VLOOKUP($A541,$A$458:$O$482,4,0)*(HLOOKUP(D$528,'2.2.Brecha Efectiva x UdM'!$H$86:$AK$92,3,0))+(VLOOKUP($A541,$A$4:$O$27,4,0)*(HLOOKUP(D$528,'2.2.Brecha Efectiva x UdM'!$H$64:$AK$70,3,0))))</f>
        <v>182344017.91671196</v>
      </c>
      <c r="E541" s="32">
        <f>(VLOOKUP($A541,$A$458:$O$482,4,0)*(HLOOKUP(E$528,'2.2.Brecha Efectiva x UdM'!$H$86:$AK$92,3,0))+(VLOOKUP($A541,$A$4:$O$27,4,0)*(HLOOKUP(E$528,'2.2.Brecha Efectiva x UdM'!$H$64:$AK$70,3,0))))</f>
        <v>195348226.30031648</v>
      </c>
      <c r="F541" s="32">
        <f>(VLOOKUP($A541,$A$458:$O$482,4,0)*(HLOOKUP(F$528,'2.2.Brecha Efectiva x UdM'!$H$86:$AK$92,3,0))+(VLOOKUP($A541,$A$4:$O$27,4,0)*(HLOOKUP(F$528,'2.2.Brecha Efectiva x UdM'!$H$64:$AK$70,3,0))))</f>
        <v>294909800.7022326</v>
      </c>
      <c r="G541" s="32">
        <f>(VLOOKUP($A541,$A$458:$O$482,4,0)*(HLOOKUP(G$528,'2.2.Brecha Efectiva x UdM'!$H$86:$AK$92,3,0))+(VLOOKUP($A541,$A$4:$O$27,4,0)*(HLOOKUP(G$528,'2.2.Brecha Efectiva x UdM'!$H$64:$AK$70,3,0))))</f>
        <v>0</v>
      </c>
      <c r="H541" s="32">
        <f>(VLOOKUP($A541,$A$458:$O$482,4,0)*(HLOOKUP(H$528,'2.2.Brecha Efectiva x UdM'!$H$86:$AK$92,3,0))+(VLOOKUP($A541,$A$4:$O$27,4,0)*(HLOOKUP(H$528,'2.2.Brecha Efectiva x UdM'!$H$64:$AK$70,3,0))))</f>
        <v>0</v>
      </c>
      <c r="I541" s="32">
        <f>(VLOOKUP($A541,$A$458:$O$482,4,0)*(HLOOKUP(I$528,'2.2.Brecha Efectiva x UdM'!$H$86:$AK$92,3,0))+(VLOOKUP($A541,$A$4:$O$27,4,0)*(HLOOKUP(I$528,'2.2.Brecha Efectiva x UdM'!$H$64:$AK$70,3,0))))</f>
        <v>0</v>
      </c>
      <c r="J541" s="32">
        <f>(VLOOKUP($A541,$A$458:$O$482,4,0)*(HLOOKUP(J$528,'2.2.Brecha Efectiva x UdM'!$H$86:$AK$92,3,0))+(VLOOKUP($A541,$A$4:$O$27,4,0)*(HLOOKUP(J$528,'2.2.Brecha Efectiva x UdM'!$H$64:$AK$70,3,0))))</f>
        <v>0</v>
      </c>
      <c r="K541" s="32">
        <f>(VLOOKUP($A541,$A$458:$O$482,4,0)*(HLOOKUP(K$528,'2.2.Brecha Efectiva x UdM'!$H$86:$AK$92,3,0))+(VLOOKUP($A541,$A$4:$O$27,4,0)*(HLOOKUP(K$528,'2.2.Brecha Efectiva x UdM'!$H$64:$AK$70,3,0))))</f>
        <v>0</v>
      </c>
      <c r="L541" s="32">
        <f>(VLOOKUP($A541,$A$458:$O$482,4,0)*(HLOOKUP(L$528,'2.2.Brecha Efectiva x UdM'!$H$86:$AK$92,3,0))+(VLOOKUP($A541,$A$4:$O$27,4,0)*(HLOOKUP(L$528,'2.2.Brecha Efectiva x UdM'!$H$64:$AK$70,3,0))))</f>
        <v>0</v>
      </c>
      <c r="M541" s="32">
        <f>(VLOOKUP($A541,$A$458:$O$482,4,0)*(HLOOKUP(M$528,'2.2.Brecha Efectiva x UdM'!$H$86:$AK$92,3,0))+(VLOOKUP($A541,$A$4:$O$27,4,0)*(HLOOKUP(M$528,'2.2.Brecha Efectiva x UdM'!$H$64:$AK$70,3,0))))</f>
        <v>0</v>
      </c>
      <c r="N541" s="32">
        <f>(VLOOKUP($A541,$A$458:$O$482,4,0)*(HLOOKUP(N$528,'2.2.Brecha Efectiva x UdM'!$H$86:$AK$92,3,0))+(VLOOKUP($A541,$A$4:$O$27,4,0)*(HLOOKUP(N$528,'2.2.Brecha Efectiva x UdM'!$H$64:$AK$70,3,0))))</f>
        <v>0</v>
      </c>
      <c r="O541" s="32">
        <f>(VLOOKUP($A541,$A$458:$O$482,4,0)*(HLOOKUP(O$528,'2.2.Brecha Efectiva x UdM'!$H$86:$AK$92,3,0))+(VLOOKUP($A541,$A$4:$O$27,4,0)*(HLOOKUP(O$528,'2.2.Brecha Efectiva x UdM'!$H$64:$AK$70,3,0))))</f>
        <v>0</v>
      </c>
      <c r="P541" s="32">
        <f>(VLOOKUP($A541,$A$458:$O$482,4,0)*(HLOOKUP(P$528,'2.2.Brecha Efectiva x UdM'!$H$86:$AK$92,3,0))+(VLOOKUP($A541,$A$4:$O$27,4,0)*(HLOOKUP(P$528,'2.2.Brecha Efectiva x UdM'!$H$64:$AK$70,3,0))))</f>
        <v>0</v>
      </c>
      <c r="Q541" s="32">
        <f>(VLOOKUP($A541,$A$458:$O$482,4,0)*(HLOOKUP(Q$528,'2.2.Brecha Efectiva x UdM'!$H$86:$AK$92,3,0))+(VLOOKUP($A541,$A$4:$O$27,4,0)*(HLOOKUP(Q$528,'2.2.Brecha Efectiva x UdM'!$H$64:$AK$70,3,0))))</f>
        <v>0</v>
      </c>
      <c r="R541" s="32">
        <f>(VLOOKUP($A541,$A$458:$O$482,4,0)*(HLOOKUP(R$528,'2.2.Brecha Efectiva x UdM'!$H$86:$AK$92,3,0))+(VLOOKUP($A541,$A$4:$O$27,4,0)*(HLOOKUP(R$528,'2.2.Brecha Efectiva x UdM'!$H$64:$AK$70,3,0))))</f>
        <v>0</v>
      </c>
      <c r="S541" s="32">
        <f>(VLOOKUP($A541,$A$458:$O$482,4,0)*(HLOOKUP(S$528,'2.2.Brecha Efectiva x UdM'!$H$86:$AK$92,3,0))+(VLOOKUP($A541,$A$4:$O$27,4,0)*(HLOOKUP(S$528,'2.2.Brecha Efectiva x UdM'!$H$64:$AK$70,3,0))))</f>
        <v>0</v>
      </c>
      <c r="T541" s="32">
        <f>(VLOOKUP($A541,$A$458:$O$482,4,0)*(HLOOKUP(T$528,'2.2.Brecha Efectiva x UdM'!$H$86:$AK$92,3,0))+(VLOOKUP($A541,$A$4:$O$27,4,0)*(HLOOKUP(T$528,'2.2.Brecha Efectiva x UdM'!$H$64:$AK$70,3,0))))</f>
        <v>0</v>
      </c>
      <c r="U541" s="32">
        <f>(VLOOKUP($A541,$A$458:$O$482,4,0)*(HLOOKUP(U$528,'2.2.Brecha Efectiva x UdM'!$H$86:$AK$92,3,0))+(VLOOKUP($A541,$A$4:$O$27,4,0)*(HLOOKUP(U$528,'2.2.Brecha Efectiva x UdM'!$H$64:$AK$70,3,0))))</f>
        <v>0</v>
      </c>
      <c r="V541" s="32">
        <f>(VLOOKUP($A541,$A$458:$O$482,4,0)*(HLOOKUP(V$528,'2.2.Brecha Efectiva x UdM'!$H$86:$AK$92,3,0))+(VLOOKUP($A541,$A$4:$O$27,4,0)*(HLOOKUP(V$528,'2.2.Brecha Efectiva x UdM'!$H$64:$AK$70,3,0))))</f>
        <v>0</v>
      </c>
      <c r="W541" s="32">
        <f>(VLOOKUP($A541,$A$458:$O$482,4,0)*(HLOOKUP(W$528,'2.2.Brecha Efectiva x UdM'!$H$86:$AK$92,3,0))+(VLOOKUP($A541,$A$4:$O$27,4,0)*(HLOOKUP(W$528,'2.2.Brecha Efectiva x UdM'!$H$64:$AK$70,3,0))))</f>
        <v>0</v>
      </c>
      <c r="X541" s="32">
        <f>(VLOOKUP($A541,$A$458:$O$482,4,0)*(HLOOKUP(X$528,'2.2.Brecha Efectiva x UdM'!$H$86:$AK$92,3,0))+(VLOOKUP($A541,$A$4:$O$27,4,0)*(HLOOKUP(X$528,'2.2.Brecha Efectiva x UdM'!$H$64:$AK$70,3,0))))</f>
        <v>0</v>
      </c>
      <c r="Y541" s="32">
        <f>(VLOOKUP($A541,$A$458:$O$482,4,0)*(HLOOKUP(Y$528,'2.2.Brecha Efectiva x UdM'!$H$86:$AK$92,3,0))+(VLOOKUP($A541,$A$4:$O$27,4,0)*(HLOOKUP(Y$528,'2.2.Brecha Efectiva x UdM'!$H$64:$AK$70,3,0))))</f>
        <v>0</v>
      </c>
      <c r="Z541" s="32">
        <f>(VLOOKUP($A541,$A$458:$O$482,4,0)*(HLOOKUP(Z$528,'2.2.Brecha Efectiva x UdM'!$H$86:$AK$92,3,0))+(VLOOKUP($A541,$A$4:$O$27,4,0)*(HLOOKUP(Z$528,'2.2.Brecha Efectiva x UdM'!$H$64:$AK$70,3,0))))</f>
        <v>0</v>
      </c>
      <c r="AA541" s="32">
        <f>(VLOOKUP($A541,$A$458:$O$482,4,0)*(HLOOKUP(AA$528,'2.2.Brecha Efectiva x UdM'!$H$86:$AK$92,3,0))+(VLOOKUP($A541,$A$4:$O$27,4,0)*(HLOOKUP(AA$528,'2.2.Brecha Efectiva x UdM'!$H$64:$AK$70,3,0))))</f>
        <v>0</v>
      </c>
      <c r="AB541" s="32">
        <f>(VLOOKUP($A541,$A$458:$O$482,4,0)*(HLOOKUP(AB$528,'2.2.Brecha Efectiva x UdM'!$H$86:$AK$92,3,0))+(VLOOKUP($A541,$A$4:$O$27,4,0)*(HLOOKUP(AB$528,'2.2.Brecha Efectiva x UdM'!$H$64:$AK$70,3,0))))</f>
        <v>0</v>
      </c>
      <c r="AC541" s="32">
        <f>(VLOOKUP($A541,$A$458:$O$482,4,0)*(HLOOKUP(AC$528,'2.2.Brecha Efectiva x UdM'!$H$86:$AK$92,3,0))+(VLOOKUP($A541,$A$4:$O$27,4,0)*(HLOOKUP(AC$528,'2.2.Brecha Efectiva x UdM'!$H$64:$AK$70,3,0))))</f>
        <v>0</v>
      </c>
      <c r="AD541" s="32">
        <f>(VLOOKUP($A541,$A$458:$O$482,4,0)*(HLOOKUP(AD$528,'2.2.Brecha Efectiva x UdM'!$H$86:$AK$92,3,0))+(VLOOKUP($A541,$A$4:$O$27,4,0)*(HLOOKUP(AD$528,'2.2.Brecha Efectiva x UdM'!$H$64:$AK$70,3,0))))</f>
        <v>0</v>
      </c>
      <c r="AE541" s="32">
        <f>(VLOOKUP($A541,$A$458:$O$482,4,0)*(HLOOKUP(AE$528,'2.2.Brecha Efectiva x UdM'!$H$86:$AK$92,3,0))+(VLOOKUP($A541,$A$4:$O$27,4,0)*(HLOOKUP(AE$528,'2.2.Brecha Efectiva x UdM'!$H$64:$AK$70,3,0))))</f>
        <v>0</v>
      </c>
      <c r="AF541" s="32">
        <f>(VLOOKUP($A541,$A$458:$O$482,4,0)*(HLOOKUP(AF$528,'2.2.Brecha Efectiva x UdM'!$H$86:$AK$92,3,0))+(VLOOKUP($A541,$A$4:$O$27,4,0)*(HLOOKUP(AF$528,'2.2.Brecha Efectiva x UdM'!$H$64:$AK$70,3,0))))</f>
        <v>0</v>
      </c>
      <c r="AG541" s="32">
        <f>(VLOOKUP($A541,$A$458:$O$482,4,0)*(HLOOKUP(AG$528,'2.2.Brecha Efectiva x UdM'!$H$86:$AK$92,3,0))+(VLOOKUP($A541,$A$4:$O$27,4,0)*(HLOOKUP(AG$528,'2.2.Brecha Efectiva x UdM'!$H$64:$AK$70,3,0))))</f>
        <v>0</v>
      </c>
      <c r="AH541" s="62">
        <f t="shared" si="505"/>
        <v>672602044.91926098</v>
      </c>
    </row>
    <row r="542" spans="1:34" x14ac:dyDescent="0.2">
      <c r="A542" s="26" t="str">
        <f t="shared" si="502"/>
        <v>Misiones</v>
      </c>
      <c r="B542" s="52" t="str">
        <f t="shared" si="503"/>
        <v>Nombre UdM 2</v>
      </c>
      <c r="C542" s="26" t="str">
        <f t="shared" si="504"/>
        <v>Misiones Nombre UdM 2</v>
      </c>
      <c r="D542" s="31">
        <f>(VLOOKUP($A542,$A$458:$O$482,4,0)*(HLOOKUP(D$528,'2.2.Brecha Efectiva x UdM'!$H$86:$AK$92,3,0))+(VLOOKUP($A542,$A$4:$O$27,4,0)*(HLOOKUP(D$528,'2.2.Brecha Efectiva x UdM'!$H$64:$AK$70,3,0))))</f>
        <v>336546899.54028726</v>
      </c>
      <c r="E542" s="31">
        <f>(VLOOKUP($A542,$A$458:$O$482,4,0)*(HLOOKUP(E$528,'2.2.Brecha Efectiva x UdM'!$H$86:$AK$92,3,0))+(VLOOKUP($A542,$A$4:$O$27,4,0)*(HLOOKUP(E$528,'2.2.Brecha Efectiva x UdM'!$H$64:$AK$70,3,0))))</f>
        <v>360548377.96815073</v>
      </c>
      <c r="F542" s="31">
        <f>(VLOOKUP($A542,$A$458:$O$482,4,0)*(HLOOKUP(F$528,'2.2.Brecha Efectiva x UdM'!$H$86:$AK$92,3,0))+(VLOOKUP($A542,$A$4:$O$27,4,0)*(HLOOKUP(F$528,'2.2.Brecha Efectiva x UdM'!$H$64:$AK$70,3,0))))</f>
        <v>544306197.72629237</v>
      </c>
      <c r="G542" s="31">
        <f>(VLOOKUP($A542,$A$458:$O$482,4,0)*(HLOOKUP(G$528,'2.2.Brecha Efectiva x UdM'!$H$86:$AK$92,3,0))+(VLOOKUP($A542,$A$4:$O$27,4,0)*(HLOOKUP(G$528,'2.2.Brecha Efectiva x UdM'!$H$64:$AK$70,3,0))))</f>
        <v>0</v>
      </c>
      <c r="H542" s="31">
        <f>(VLOOKUP($A542,$A$458:$O$482,4,0)*(HLOOKUP(H$528,'2.2.Brecha Efectiva x UdM'!$H$86:$AK$92,3,0))+(VLOOKUP($A542,$A$4:$O$27,4,0)*(HLOOKUP(H$528,'2.2.Brecha Efectiva x UdM'!$H$64:$AK$70,3,0))))</f>
        <v>0</v>
      </c>
      <c r="I542" s="31">
        <f>(VLOOKUP($A542,$A$458:$O$482,4,0)*(HLOOKUP(I$528,'2.2.Brecha Efectiva x UdM'!$H$86:$AK$92,3,0))+(VLOOKUP($A542,$A$4:$O$27,4,0)*(HLOOKUP(I$528,'2.2.Brecha Efectiva x UdM'!$H$64:$AK$70,3,0))))</f>
        <v>0</v>
      </c>
      <c r="J542" s="31">
        <f>(VLOOKUP($A542,$A$458:$O$482,4,0)*(HLOOKUP(J$528,'2.2.Brecha Efectiva x UdM'!$H$86:$AK$92,3,0))+(VLOOKUP($A542,$A$4:$O$27,4,0)*(HLOOKUP(J$528,'2.2.Brecha Efectiva x UdM'!$H$64:$AK$70,3,0))))</f>
        <v>0</v>
      </c>
      <c r="K542" s="31">
        <f>(VLOOKUP($A542,$A$458:$O$482,4,0)*(HLOOKUP(K$528,'2.2.Brecha Efectiva x UdM'!$H$86:$AK$92,3,0))+(VLOOKUP($A542,$A$4:$O$27,4,0)*(HLOOKUP(K$528,'2.2.Brecha Efectiva x UdM'!$H$64:$AK$70,3,0))))</f>
        <v>0</v>
      </c>
      <c r="L542" s="31">
        <f>(VLOOKUP($A542,$A$458:$O$482,4,0)*(HLOOKUP(L$528,'2.2.Brecha Efectiva x UdM'!$H$86:$AK$92,3,0))+(VLOOKUP($A542,$A$4:$O$27,4,0)*(HLOOKUP(L$528,'2.2.Brecha Efectiva x UdM'!$H$64:$AK$70,3,0))))</f>
        <v>0</v>
      </c>
      <c r="M542" s="31">
        <f>(VLOOKUP($A542,$A$458:$O$482,4,0)*(HLOOKUP(M$528,'2.2.Brecha Efectiva x UdM'!$H$86:$AK$92,3,0))+(VLOOKUP($A542,$A$4:$O$27,4,0)*(HLOOKUP(M$528,'2.2.Brecha Efectiva x UdM'!$H$64:$AK$70,3,0))))</f>
        <v>0</v>
      </c>
      <c r="N542" s="31">
        <f>(VLOOKUP($A542,$A$458:$O$482,4,0)*(HLOOKUP(N$528,'2.2.Brecha Efectiva x UdM'!$H$86:$AK$92,3,0))+(VLOOKUP($A542,$A$4:$O$27,4,0)*(HLOOKUP(N$528,'2.2.Brecha Efectiva x UdM'!$H$64:$AK$70,3,0))))</f>
        <v>0</v>
      </c>
      <c r="O542" s="31">
        <f>(VLOOKUP($A542,$A$458:$O$482,4,0)*(HLOOKUP(O$528,'2.2.Brecha Efectiva x UdM'!$H$86:$AK$92,3,0))+(VLOOKUP($A542,$A$4:$O$27,4,0)*(HLOOKUP(O$528,'2.2.Brecha Efectiva x UdM'!$H$64:$AK$70,3,0))))</f>
        <v>0</v>
      </c>
      <c r="P542" s="31">
        <f>(VLOOKUP($A542,$A$458:$O$482,4,0)*(HLOOKUP(P$528,'2.2.Brecha Efectiva x UdM'!$H$86:$AK$92,3,0))+(VLOOKUP($A542,$A$4:$O$27,4,0)*(HLOOKUP(P$528,'2.2.Brecha Efectiva x UdM'!$H$64:$AK$70,3,0))))</f>
        <v>0</v>
      </c>
      <c r="Q542" s="31">
        <f>(VLOOKUP($A542,$A$458:$O$482,4,0)*(HLOOKUP(Q$528,'2.2.Brecha Efectiva x UdM'!$H$86:$AK$92,3,0))+(VLOOKUP($A542,$A$4:$O$27,4,0)*(HLOOKUP(Q$528,'2.2.Brecha Efectiva x UdM'!$H$64:$AK$70,3,0))))</f>
        <v>0</v>
      </c>
      <c r="R542" s="31">
        <f>(VLOOKUP($A542,$A$458:$O$482,4,0)*(HLOOKUP(R$528,'2.2.Brecha Efectiva x UdM'!$H$86:$AK$92,3,0))+(VLOOKUP($A542,$A$4:$O$27,4,0)*(HLOOKUP(R$528,'2.2.Brecha Efectiva x UdM'!$H$64:$AK$70,3,0))))</f>
        <v>0</v>
      </c>
      <c r="S542" s="31">
        <f>(VLOOKUP($A542,$A$458:$O$482,4,0)*(HLOOKUP(S$528,'2.2.Brecha Efectiva x UdM'!$H$86:$AK$92,3,0))+(VLOOKUP($A542,$A$4:$O$27,4,0)*(HLOOKUP(S$528,'2.2.Brecha Efectiva x UdM'!$H$64:$AK$70,3,0))))</f>
        <v>0</v>
      </c>
      <c r="T542" s="31">
        <f>(VLOOKUP($A542,$A$458:$O$482,4,0)*(HLOOKUP(T$528,'2.2.Brecha Efectiva x UdM'!$H$86:$AK$92,3,0))+(VLOOKUP($A542,$A$4:$O$27,4,0)*(HLOOKUP(T$528,'2.2.Brecha Efectiva x UdM'!$H$64:$AK$70,3,0))))</f>
        <v>0</v>
      </c>
      <c r="U542" s="31">
        <f>(VLOOKUP($A542,$A$458:$O$482,4,0)*(HLOOKUP(U$528,'2.2.Brecha Efectiva x UdM'!$H$86:$AK$92,3,0))+(VLOOKUP($A542,$A$4:$O$27,4,0)*(HLOOKUP(U$528,'2.2.Brecha Efectiva x UdM'!$H$64:$AK$70,3,0))))</f>
        <v>0</v>
      </c>
      <c r="V542" s="31">
        <f>(VLOOKUP($A542,$A$458:$O$482,4,0)*(HLOOKUP(V$528,'2.2.Brecha Efectiva x UdM'!$H$86:$AK$92,3,0))+(VLOOKUP($A542,$A$4:$O$27,4,0)*(HLOOKUP(V$528,'2.2.Brecha Efectiva x UdM'!$H$64:$AK$70,3,0))))</f>
        <v>0</v>
      </c>
      <c r="W542" s="31">
        <f>(VLOOKUP($A542,$A$458:$O$482,4,0)*(HLOOKUP(W$528,'2.2.Brecha Efectiva x UdM'!$H$86:$AK$92,3,0))+(VLOOKUP($A542,$A$4:$O$27,4,0)*(HLOOKUP(W$528,'2.2.Brecha Efectiva x UdM'!$H$64:$AK$70,3,0))))</f>
        <v>0</v>
      </c>
      <c r="X542" s="31">
        <f>(VLOOKUP($A542,$A$458:$O$482,4,0)*(HLOOKUP(X$528,'2.2.Brecha Efectiva x UdM'!$H$86:$AK$92,3,0))+(VLOOKUP($A542,$A$4:$O$27,4,0)*(HLOOKUP(X$528,'2.2.Brecha Efectiva x UdM'!$H$64:$AK$70,3,0))))</f>
        <v>0</v>
      </c>
      <c r="Y542" s="31">
        <f>(VLOOKUP($A542,$A$458:$O$482,4,0)*(HLOOKUP(Y$528,'2.2.Brecha Efectiva x UdM'!$H$86:$AK$92,3,0))+(VLOOKUP($A542,$A$4:$O$27,4,0)*(HLOOKUP(Y$528,'2.2.Brecha Efectiva x UdM'!$H$64:$AK$70,3,0))))</f>
        <v>0</v>
      </c>
      <c r="Z542" s="31">
        <f>(VLOOKUP($A542,$A$458:$O$482,4,0)*(HLOOKUP(Z$528,'2.2.Brecha Efectiva x UdM'!$H$86:$AK$92,3,0))+(VLOOKUP($A542,$A$4:$O$27,4,0)*(HLOOKUP(Z$528,'2.2.Brecha Efectiva x UdM'!$H$64:$AK$70,3,0))))</f>
        <v>0</v>
      </c>
      <c r="AA542" s="31">
        <f>(VLOOKUP($A542,$A$458:$O$482,4,0)*(HLOOKUP(AA$528,'2.2.Brecha Efectiva x UdM'!$H$86:$AK$92,3,0))+(VLOOKUP($A542,$A$4:$O$27,4,0)*(HLOOKUP(AA$528,'2.2.Brecha Efectiva x UdM'!$H$64:$AK$70,3,0))))</f>
        <v>0</v>
      </c>
      <c r="AB542" s="31">
        <f>(VLOOKUP($A542,$A$458:$O$482,4,0)*(HLOOKUP(AB$528,'2.2.Brecha Efectiva x UdM'!$H$86:$AK$92,3,0))+(VLOOKUP($A542,$A$4:$O$27,4,0)*(HLOOKUP(AB$528,'2.2.Brecha Efectiva x UdM'!$H$64:$AK$70,3,0))))</f>
        <v>0</v>
      </c>
      <c r="AC542" s="31">
        <f>(VLOOKUP($A542,$A$458:$O$482,4,0)*(HLOOKUP(AC$528,'2.2.Brecha Efectiva x UdM'!$H$86:$AK$92,3,0))+(VLOOKUP($A542,$A$4:$O$27,4,0)*(HLOOKUP(AC$528,'2.2.Brecha Efectiva x UdM'!$H$64:$AK$70,3,0))))</f>
        <v>0</v>
      </c>
      <c r="AD542" s="31">
        <f>(VLOOKUP($A542,$A$458:$O$482,4,0)*(HLOOKUP(AD$528,'2.2.Brecha Efectiva x UdM'!$H$86:$AK$92,3,0))+(VLOOKUP($A542,$A$4:$O$27,4,0)*(HLOOKUP(AD$528,'2.2.Brecha Efectiva x UdM'!$H$64:$AK$70,3,0))))</f>
        <v>0</v>
      </c>
      <c r="AE542" s="31">
        <f>(VLOOKUP($A542,$A$458:$O$482,4,0)*(HLOOKUP(AE$528,'2.2.Brecha Efectiva x UdM'!$H$86:$AK$92,3,0))+(VLOOKUP($A542,$A$4:$O$27,4,0)*(HLOOKUP(AE$528,'2.2.Brecha Efectiva x UdM'!$H$64:$AK$70,3,0))))</f>
        <v>0</v>
      </c>
      <c r="AF542" s="31">
        <f>(VLOOKUP($A542,$A$458:$O$482,4,0)*(HLOOKUP(AF$528,'2.2.Brecha Efectiva x UdM'!$H$86:$AK$92,3,0))+(VLOOKUP($A542,$A$4:$O$27,4,0)*(HLOOKUP(AF$528,'2.2.Brecha Efectiva x UdM'!$H$64:$AK$70,3,0))))</f>
        <v>0</v>
      </c>
      <c r="AG542" s="31">
        <f>(VLOOKUP($A542,$A$458:$O$482,4,0)*(HLOOKUP(AG$528,'2.2.Brecha Efectiva x UdM'!$H$86:$AK$92,3,0))+(VLOOKUP($A542,$A$4:$O$27,4,0)*(HLOOKUP(AG$528,'2.2.Brecha Efectiva x UdM'!$H$64:$AK$70,3,0))))</f>
        <v>0</v>
      </c>
      <c r="AH542" s="63">
        <f t="shared" si="505"/>
        <v>1241401475.2347302</v>
      </c>
    </row>
    <row r="543" spans="1:34" x14ac:dyDescent="0.2">
      <c r="A543" s="25" t="str">
        <f t="shared" si="502"/>
        <v>Neuquén</v>
      </c>
      <c r="B543" s="51" t="str">
        <f t="shared" si="503"/>
        <v>Nombre UdM 2</v>
      </c>
      <c r="C543" s="25" t="str">
        <f t="shared" si="504"/>
        <v>Neuquén Nombre UdM 2</v>
      </c>
      <c r="D543" s="32">
        <f>(VLOOKUP($A543,$A$458:$O$482,4,0)*(HLOOKUP(D$528,'2.2.Brecha Efectiva x UdM'!$H$86:$AK$92,3,0))+(VLOOKUP($A543,$A$4:$O$27,4,0)*(HLOOKUP(D$528,'2.2.Brecha Efectiva x UdM'!$H$64:$AK$70,3,0))))</f>
        <v>465237744.80731058</v>
      </c>
      <c r="E543" s="32">
        <f>(VLOOKUP($A543,$A$458:$O$482,4,0)*(HLOOKUP(E$528,'2.2.Brecha Efectiva x UdM'!$H$86:$AK$92,3,0))+(VLOOKUP($A543,$A$4:$O$27,4,0)*(HLOOKUP(E$528,'2.2.Brecha Efectiva x UdM'!$H$64:$AK$70,3,0))))</f>
        <v>498417054.17273176</v>
      </c>
      <c r="F543" s="32">
        <f>(VLOOKUP($A543,$A$458:$O$482,4,0)*(HLOOKUP(F$528,'2.2.Brecha Efectiva x UdM'!$H$86:$AK$92,3,0))+(VLOOKUP($A543,$A$4:$O$27,4,0)*(HLOOKUP(F$528,'2.2.Brecha Efectiva x UdM'!$H$64:$AK$70,3,0))))</f>
        <v>752441303.90364385</v>
      </c>
      <c r="G543" s="32">
        <f>(VLOOKUP($A543,$A$458:$O$482,4,0)*(HLOOKUP(G$528,'2.2.Brecha Efectiva x UdM'!$H$86:$AK$92,3,0))+(VLOOKUP($A543,$A$4:$O$27,4,0)*(HLOOKUP(G$528,'2.2.Brecha Efectiva x UdM'!$H$64:$AK$70,3,0))))</f>
        <v>0</v>
      </c>
      <c r="H543" s="32">
        <f>(VLOOKUP($A543,$A$458:$O$482,4,0)*(HLOOKUP(H$528,'2.2.Brecha Efectiva x UdM'!$H$86:$AK$92,3,0))+(VLOOKUP($A543,$A$4:$O$27,4,0)*(HLOOKUP(H$528,'2.2.Brecha Efectiva x UdM'!$H$64:$AK$70,3,0))))</f>
        <v>0</v>
      </c>
      <c r="I543" s="32">
        <f>(VLOOKUP($A543,$A$458:$O$482,4,0)*(HLOOKUP(I$528,'2.2.Brecha Efectiva x UdM'!$H$86:$AK$92,3,0))+(VLOOKUP($A543,$A$4:$O$27,4,0)*(HLOOKUP(I$528,'2.2.Brecha Efectiva x UdM'!$H$64:$AK$70,3,0))))</f>
        <v>0</v>
      </c>
      <c r="J543" s="32">
        <f>(VLOOKUP($A543,$A$458:$O$482,4,0)*(HLOOKUP(J$528,'2.2.Brecha Efectiva x UdM'!$H$86:$AK$92,3,0))+(VLOOKUP($A543,$A$4:$O$27,4,0)*(HLOOKUP(J$528,'2.2.Brecha Efectiva x UdM'!$H$64:$AK$70,3,0))))</f>
        <v>0</v>
      </c>
      <c r="K543" s="32">
        <f>(VLOOKUP($A543,$A$458:$O$482,4,0)*(HLOOKUP(K$528,'2.2.Brecha Efectiva x UdM'!$H$86:$AK$92,3,0))+(VLOOKUP($A543,$A$4:$O$27,4,0)*(HLOOKUP(K$528,'2.2.Brecha Efectiva x UdM'!$H$64:$AK$70,3,0))))</f>
        <v>0</v>
      </c>
      <c r="L543" s="32">
        <f>(VLOOKUP($A543,$A$458:$O$482,4,0)*(HLOOKUP(L$528,'2.2.Brecha Efectiva x UdM'!$H$86:$AK$92,3,0))+(VLOOKUP($A543,$A$4:$O$27,4,0)*(HLOOKUP(L$528,'2.2.Brecha Efectiva x UdM'!$H$64:$AK$70,3,0))))</f>
        <v>0</v>
      </c>
      <c r="M543" s="32">
        <f>(VLOOKUP($A543,$A$458:$O$482,4,0)*(HLOOKUP(M$528,'2.2.Brecha Efectiva x UdM'!$H$86:$AK$92,3,0))+(VLOOKUP($A543,$A$4:$O$27,4,0)*(HLOOKUP(M$528,'2.2.Brecha Efectiva x UdM'!$H$64:$AK$70,3,0))))</f>
        <v>0</v>
      </c>
      <c r="N543" s="32">
        <f>(VLOOKUP($A543,$A$458:$O$482,4,0)*(HLOOKUP(N$528,'2.2.Brecha Efectiva x UdM'!$H$86:$AK$92,3,0))+(VLOOKUP($A543,$A$4:$O$27,4,0)*(HLOOKUP(N$528,'2.2.Brecha Efectiva x UdM'!$H$64:$AK$70,3,0))))</f>
        <v>0</v>
      </c>
      <c r="O543" s="32">
        <f>(VLOOKUP($A543,$A$458:$O$482,4,0)*(HLOOKUP(O$528,'2.2.Brecha Efectiva x UdM'!$H$86:$AK$92,3,0))+(VLOOKUP($A543,$A$4:$O$27,4,0)*(HLOOKUP(O$528,'2.2.Brecha Efectiva x UdM'!$H$64:$AK$70,3,0))))</f>
        <v>0</v>
      </c>
      <c r="P543" s="32">
        <f>(VLOOKUP($A543,$A$458:$O$482,4,0)*(HLOOKUP(P$528,'2.2.Brecha Efectiva x UdM'!$H$86:$AK$92,3,0))+(VLOOKUP($A543,$A$4:$O$27,4,0)*(HLOOKUP(P$528,'2.2.Brecha Efectiva x UdM'!$H$64:$AK$70,3,0))))</f>
        <v>0</v>
      </c>
      <c r="Q543" s="32">
        <f>(VLOOKUP($A543,$A$458:$O$482,4,0)*(HLOOKUP(Q$528,'2.2.Brecha Efectiva x UdM'!$H$86:$AK$92,3,0))+(VLOOKUP($A543,$A$4:$O$27,4,0)*(HLOOKUP(Q$528,'2.2.Brecha Efectiva x UdM'!$H$64:$AK$70,3,0))))</f>
        <v>0</v>
      </c>
      <c r="R543" s="32">
        <f>(VLOOKUP($A543,$A$458:$O$482,4,0)*(HLOOKUP(R$528,'2.2.Brecha Efectiva x UdM'!$H$86:$AK$92,3,0))+(VLOOKUP($A543,$A$4:$O$27,4,0)*(HLOOKUP(R$528,'2.2.Brecha Efectiva x UdM'!$H$64:$AK$70,3,0))))</f>
        <v>0</v>
      </c>
      <c r="S543" s="32">
        <f>(VLOOKUP($A543,$A$458:$O$482,4,0)*(HLOOKUP(S$528,'2.2.Brecha Efectiva x UdM'!$H$86:$AK$92,3,0))+(VLOOKUP($A543,$A$4:$O$27,4,0)*(HLOOKUP(S$528,'2.2.Brecha Efectiva x UdM'!$H$64:$AK$70,3,0))))</f>
        <v>0</v>
      </c>
      <c r="T543" s="32">
        <f>(VLOOKUP($A543,$A$458:$O$482,4,0)*(HLOOKUP(T$528,'2.2.Brecha Efectiva x UdM'!$H$86:$AK$92,3,0))+(VLOOKUP($A543,$A$4:$O$27,4,0)*(HLOOKUP(T$528,'2.2.Brecha Efectiva x UdM'!$H$64:$AK$70,3,0))))</f>
        <v>0</v>
      </c>
      <c r="U543" s="32">
        <f>(VLOOKUP($A543,$A$458:$O$482,4,0)*(HLOOKUP(U$528,'2.2.Brecha Efectiva x UdM'!$H$86:$AK$92,3,0))+(VLOOKUP($A543,$A$4:$O$27,4,0)*(HLOOKUP(U$528,'2.2.Brecha Efectiva x UdM'!$H$64:$AK$70,3,0))))</f>
        <v>0</v>
      </c>
      <c r="V543" s="32">
        <f>(VLOOKUP($A543,$A$458:$O$482,4,0)*(HLOOKUP(V$528,'2.2.Brecha Efectiva x UdM'!$H$86:$AK$92,3,0))+(VLOOKUP($A543,$A$4:$O$27,4,0)*(HLOOKUP(V$528,'2.2.Brecha Efectiva x UdM'!$H$64:$AK$70,3,0))))</f>
        <v>0</v>
      </c>
      <c r="W543" s="32">
        <f>(VLOOKUP($A543,$A$458:$O$482,4,0)*(HLOOKUP(W$528,'2.2.Brecha Efectiva x UdM'!$H$86:$AK$92,3,0))+(VLOOKUP($A543,$A$4:$O$27,4,0)*(HLOOKUP(W$528,'2.2.Brecha Efectiva x UdM'!$H$64:$AK$70,3,0))))</f>
        <v>0</v>
      </c>
      <c r="X543" s="32">
        <f>(VLOOKUP($A543,$A$458:$O$482,4,0)*(HLOOKUP(X$528,'2.2.Brecha Efectiva x UdM'!$H$86:$AK$92,3,0))+(VLOOKUP($A543,$A$4:$O$27,4,0)*(HLOOKUP(X$528,'2.2.Brecha Efectiva x UdM'!$H$64:$AK$70,3,0))))</f>
        <v>0</v>
      </c>
      <c r="Y543" s="32">
        <f>(VLOOKUP($A543,$A$458:$O$482,4,0)*(HLOOKUP(Y$528,'2.2.Brecha Efectiva x UdM'!$H$86:$AK$92,3,0))+(VLOOKUP($A543,$A$4:$O$27,4,0)*(HLOOKUP(Y$528,'2.2.Brecha Efectiva x UdM'!$H$64:$AK$70,3,0))))</f>
        <v>0</v>
      </c>
      <c r="Z543" s="32">
        <f>(VLOOKUP($A543,$A$458:$O$482,4,0)*(HLOOKUP(Z$528,'2.2.Brecha Efectiva x UdM'!$H$86:$AK$92,3,0))+(VLOOKUP($A543,$A$4:$O$27,4,0)*(HLOOKUP(Z$528,'2.2.Brecha Efectiva x UdM'!$H$64:$AK$70,3,0))))</f>
        <v>0</v>
      </c>
      <c r="AA543" s="32">
        <f>(VLOOKUP($A543,$A$458:$O$482,4,0)*(HLOOKUP(AA$528,'2.2.Brecha Efectiva x UdM'!$H$86:$AK$92,3,0))+(VLOOKUP($A543,$A$4:$O$27,4,0)*(HLOOKUP(AA$528,'2.2.Brecha Efectiva x UdM'!$H$64:$AK$70,3,0))))</f>
        <v>0</v>
      </c>
      <c r="AB543" s="32">
        <f>(VLOOKUP($A543,$A$458:$O$482,4,0)*(HLOOKUP(AB$528,'2.2.Brecha Efectiva x UdM'!$H$86:$AK$92,3,0))+(VLOOKUP($A543,$A$4:$O$27,4,0)*(HLOOKUP(AB$528,'2.2.Brecha Efectiva x UdM'!$H$64:$AK$70,3,0))))</f>
        <v>0</v>
      </c>
      <c r="AC543" s="32">
        <f>(VLOOKUP($A543,$A$458:$O$482,4,0)*(HLOOKUP(AC$528,'2.2.Brecha Efectiva x UdM'!$H$86:$AK$92,3,0))+(VLOOKUP($A543,$A$4:$O$27,4,0)*(HLOOKUP(AC$528,'2.2.Brecha Efectiva x UdM'!$H$64:$AK$70,3,0))))</f>
        <v>0</v>
      </c>
      <c r="AD543" s="32">
        <f>(VLOOKUP($A543,$A$458:$O$482,4,0)*(HLOOKUP(AD$528,'2.2.Brecha Efectiva x UdM'!$H$86:$AK$92,3,0))+(VLOOKUP($A543,$A$4:$O$27,4,0)*(HLOOKUP(AD$528,'2.2.Brecha Efectiva x UdM'!$H$64:$AK$70,3,0))))</f>
        <v>0</v>
      </c>
      <c r="AE543" s="32">
        <f>(VLOOKUP($A543,$A$458:$O$482,4,0)*(HLOOKUP(AE$528,'2.2.Brecha Efectiva x UdM'!$H$86:$AK$92,3,0))+(VLOOKUP($A543,$A$4:$O$27,4,0)*(HLOOKUP(AE$528,'2.2.Brecha Efectiva x UdM'!$H$64:$AK$70,3,0))))</f>
        <v>0</v>
      </c>
      <c r="AF543" s="32">
        <f>(VLOOKUP($A543,$A$458:$O$482,4,0)*(HLOOKUP(AF$528,'2.2.Brecha Efectiva x UdM'!$H$86:$AK$92,3,0))+(VLOOKUP($A543,$A$4:$O$27,4,0)*(HLOOKUP(AF$528,'2.2.Brecha Efectiva x UdM'!$H$64:$AK$70,3,0))))</f>
        <v>0</v>
      </c>
      <c r="AG543" s="32">
        <f>(VLOOKUP($A543,$A$458:$O$482,4,0)*(HLOOKUP(AG$528,'2.2.Brecha Efectiva x UdM'!$H$86:$AK$92,3,0))+(VLOOKUP($A543,$A$4:$O$27,4,0)*(HLOOKUP(AG$528,'2.2.Brecha Efectiva x UdM'!$H$64:$AK$70,3,0))))</f>
        <v>0</v>
      </c>
      <c r="AH543" s="62">
        <f t="shared" si="505"/>
        <v>1716096102.8836861</v>
      </c>
    </row>
    <row r="544" spans="1:34" x14ac:dyDescent="0.2">
      <c r="A544" s="26" t="str">
        <f t="shared" si="502"/>
        <v>Río Negro</v>
      </c>
      <c r="B544" s="52" t="str">
        <f t="shared" si="503"/>
        <v>Nombre UdM 2</v>
      </c>
      <c r="C544" s="26" t="str">
        <f t="shared" si="504"/>
        <v>Río Negro Nombre UdM 2</v>
      </c>
      <c r="D544" s="31">
        <f>(VLOOKUP($A544,$A$458:$O$482,4,0)*(HLOOKUP(D$528,'2.2.Brecha Efectiva x UdM'!$H$86:$AK$92,3,0))+(VLOOKUP($A544,$A$4:$O$27,4,0)*(HLOOKUP(D$528,'2.2.Brecha Efectiva x UdM'!$H$64:$AK$70,3,0))))</f>
        <v>97184854.618195683</v>
      </c>
      <c r="E544" s="31">
        <f>(VLOOKUP($A544,$A$458:$O$482,4,0)*(HLOOKUP(E$528,'2.2.Brecha Efectiva x UdM'!$H$86:$AK$92,3,0))+(VLOOKUP($A544,$A$4:$O$27,4,0)*(HLOOKUP(E$528,'2.2.Brecha Efectiva x UdM'!$H$64:$AK$70,3,0))))</f>
        <v>104115776.26632231</v>
      </c>
      <c r="F544" s="31">
        <f>(VLOOKUP($A544,$A$458:$O$482,4,0)*(HLOOKUP(F$528,'2.2.Brecha Efectiva x UdM'!$H$86:$AK$92,3,0))+(VLOOKUP($A544,$A$4:$O$27,4,0)*(HLOOKUP(F$528,'2.2.Brecha Efectiva x UdM'!$H$64:$AK$70,3,0))))</f>
        <v>157179634.59497052</v>
      </c>
      <c r="G544" s="31">
        <f>(VLOOKUP($A544,$A$458:$O$482,4,0)*(HLOOKUP(G$528,'2.2.Brecha Efectiva x UdM'!$H$86:$AK$92,3,0))+(VLOOKUP($A544,$A$4:$O$27,4,0)*(HLOOKUP(G$528,'2.2.Brecha Efectiva x UdM'!$H$64:$AK$70,3,0))))</f>
        <v>0</v>
      </c>
      <c r="H544" s="31">
        <f>(VLOOKUP($A544,$A$458:$O$482,4,0)*(HLOOKUP(H$528,'2.2.Brecha Efectiva x UdM'!$H$86:$AK$92,3,0))+(VLOOKUP($A544,$A$4:$O$27,4,0)*(HLOOKUP(H$528,'2.2.Brecha Efectiva x UdM'!$H$64:$AK$70,3,0))))</f>
        <v>0</v>
      </c>
      <c r="I544" s="31">
        <f>(VLOOKUP($A544,$A$458:$O$482,4,0)*(HLOOKUP(I$528,'2.2.Brecha Efectiva x UdM'!$H$86:$AK$92,3,0))+(VLOOKUP($A544,$A$4:$O$27,4,0)*(HLOOKUP(I$528,'2.2.Brecha Efectiva x UdM'!$H$64:$AK$70,3,0))))</f>
        <v>0</v>
      </c>
      <c r="J544" s="31">
        <f>(VLOOKUP($A544,$A$458:$O$482,4,0)*(HLOOKUP(J$528,'2.2.Brecha Efectiva x UdM'!$H$86:$AK$92,3,0))+(VLOOKUP($A544,$A$4:$O$27,4,0)*(HLOOKUP(J$528,'2.2.Brecha Efectiva x UdM'!$H$64:$AK$70,3,0))))</f>
        <v>0</v>
      </c>
      <c r="K544" s="31">
        <f>(VLOOKUP($A544,$A$458:$O$482,4,0)*(HLOOKUP(K$528,'2.2.Brecha Efectiva x UdM'!$H$86:$AK$92,3,0))+(VLOOKUP($A544,$A$4:$O$27,4,0)*(HLOOKUP(K$528,'2.2.Brecha Efectiva x UdM'!$H$64:$AK$70,3,0))))</f>
        <v>0</v>
      </c>
      <c r="L544" s="31">
        <f>(VLOOKUP($A544,$A$458:$O$482,4,0)*(HLOOKUP(L$528,'2.2.Brecha Efectiva x UdM'!$H$86:$AK$92,3,0))+(VLOOKUP($A544,$A$4:$O$27,4,0)*(HLOOKUP(L$528,'2.2.Brecha Efectiva x UdM'!$H$64:$AK$70,3,0))))</f>
        <v>0</v>
      </c>
      <c r="M544" s="31">
        <f>(VLOOKUP($A544,$A$458:$O$482,4,0)*(HLOOKUP(M$528,'2.2.Brecha Efectiva x UdM'!$H$86:$AK$92,3,0))+(VLOOKUP($A544,$A$4:$O$27,4,0)*(HLOOKUP(M$528,'2.2.Brecha Efectiva x UdM'!$H$64:$AK$70,3,0))))</f>
        <v>0</v>
      </c>
      <c r="N544" s="31">
        <f>(VLOOKUP($A544,$A$458:$O$482,4,0)*(HLOOKUP(N$528,'2.2.Brecha Efectiva x UdM'!$H$86:$AK$92,3,0))+(VLOOKUP($A544,$A$4:$O$27,4,0)*(HLOOKUP(N$528,'2.2.Brecha Efectiva x UdM'!$H$64:$AK$70,3,0))))</f>
        <v>0</v>
      </c>
      <c r="O544" s="31">
        <f>(VLOOKUP($A544,$A$458:$O$482,4,0)*(HLOOKUP(O$528,'2.2.Brecha Efectiva x UdM'!$H$86:$AK$92,3,0))+(VLOOKUP($A544,$A$4:$O$27,4,0)*(HLOOKUP(O$528,'2.2.Brecha Efectiva x UdM'!$H$64:$AK$70,3,0))))</f>
        <v>0</v>
      </c>
      <c r="P544" s="31">
        <f>(VLOOKUP($A544,$A$458:$O$482,4,0)*(HLOOKUP(P$528,'2.2.Brecha Efectiva x UdM'!$H$86:$AK$92,3,0))+(VLOOKUP($A544,$A$4:$O$27,4,0)*(HLOOKUP(P$528,'2.2.Brecha Efectiva x UdM'!$H$64:$AK$70,3,0))))</f>
        <v>0</v>
      </c>
      <c r="Q544" s="31">
        <f>(VLOOKUP($A544,$A$458:$O$482,4,0)*(HLOOKUP(Q$528,'2.2.Brecha Efectiva x UdM'!$H$86:$AK$92,3,0))+(VLOOKUP($A544,$A$4:$O$27,4,0)*(HLOOKUP(Q$528,'2.2.Brecha Efectiva x UdM'!$H$64:$AK$70,3,0))))</f>
        <v>0</v>
      </c>
      <c r="R544" s="31">
        <f>(VLOOKUP($A544,$A$458:$O$482,4,0)*(HLOOKUP(R$528,'2.2.Brecha Efectiva x UdM'!$H$86:$AK$92,3,0))+(VLOOKUP($A544,$A$4:$O$27,4,0)*(HLOOKUP(R$528,'2.2.Brecha Efectiva x UdM'!$H$64:$AK$70,3,0))))</f>
        <v>0</v>
      </c>
      <c r="S544" s="31">
        <f>(VLOOKUP($A544,$A$458:$O$482,4,0)*(HLOOKUP(S$528,'2.2.Brecha Efectiva x UdM'!$H$86:$AK$92,3,0))+(VLOOKUP($A544,$A$4:$O$27,4,0)*(HLOOKUP(S$528,'2.2.Brecha Efectiva x UdM'!$H$64:$AK$70,3,0))))</f>
        <v>0</v>
      </c>
      <c r="T544" s="31">
        <f>(VLOOKUP($A544,$A$458:$O$482,4,0)*(HLOOKUP(T$528,'2.2.Brecha Efectiva x UdM'!$H$86:$AK$92,3,0))+(VLOOKUP($A544,$A$4:$O$27,4,0)*(HLOOKUP(T$528,'2.2.Brecha Efectiva x UdM'!$H$64:$AK$70,3,0))))</f>
        <v>0</v>
      </c>
      <c r="U544" s="31">
        <f>(VLOOKUP($A544,$A$458:$O$482,4,0)*(HLOOKUP(U$528,'2.2.Brecha Efectiva x UdM'!$H$86:$AK$92,3,0))+(VLOOKUP($A544,$A$4:$O$27,4,0)*(HLOOKUP(U$528,'2.2.Brecha Efectiva x UdM'!$H$64:$AK$70,3,0))))</f>
        <v>0</v>
      </c>
      <c r="V544" s="31">
        <f>(VLOOKUP($A544,$A$458:$O$482,4,0)*(HLOOKUP(V$528,'2.2.Brecha Efectiva x UdM'!$H$86:$AK$92,3,0))+(VLOOKUP($A544,$A$4:$O$27,4,0)*(HLOOKUP(V$528,'2.2.Brecha Efectiva x UdM'!$H$64:$AK$70,3,0))))</f>
        <v>0</v>
      </c>
      <c r="W544" s="31">
        <f>(VLOOKUP($A544,$A$458:$O$482,4,0)*(HLOOKUP(W$528,'2.2.Brecha Efectiva x UdM'!$H$86:$AK$92,3,0))+(VLOOKUP($A544,$A$4:$O$27,4,0)*(HLOOKUP(W$528,'2.2.Brecha Efectiva x UdM'!$H$64:$AK$70,3,0))))</f>
        <v>0</v>
      </c>
      <c r="X544" s="31">
        <f>(VLOOKUP($A544,$A$458:$O$482,4,0)*(HLOOKUP(X$528,'2.2.Brecha Efectiva x UdM'!$H$86:$AK$92,3,0))+(VLOOKUP($A544,$A$4:$O$27,4,0)*(HLOOKUP(X$528,'2.2.Brecha Efectiva x UdM'!$H$64:$AK$70,3,0))))</f>
        <v>0</v>
      </c>
      <c r="Y544" s="31">
        <f>(VLOOKUP($A544,$A$458:$O$482,4,0)*(HLOOKUP(Y$528,'2.2.Brecha Efectiva x UdM'!$H$86:$AK$92,3,0))+(VLOOKUP($A544,$A$4:$O$27,4,0)*(HLOOKUP(Y$528,'2.2.Brecha Efectiva x UdM'!$H$64:$AK$70,3,0))))</f>
        <v>0</v>
      </c>
      <c r="Z544" s="31">
        <f>(VLOOKUP($A544,$A$458:$O$482,4,0)*(HLOOKUP(Z$528,'2.2.Brecha Efectiva x UdM'!$H$86:$AK$92,3,0))+(VLOOKUP($A544,$A$4:$O$27,4,0)*(HLOOKUP(Z$528,'2.2.Brecha Efectiva x UdM'!$H$64:$AK$70,3,0))))</f>
        <v>0</v>
      </c>
      <c r="AA544" s="31">
        <f>(VLOOKUP($A544,$A$458:$O$482,4,0)*(HLOOKUP(AA$528,'2.2.Brecha Efectiva x UdM'!$H$86:$AK$92,3,0))+(VLOOKUP($A544,$A$4:$O$27,4,0)*(HLOOKUP(AA$528,'2.2.Brecha Efectiva x UdM'!$H$64:$AK$70,3,0))))</f>
        <v>0</v>
      </c>
      <c r="AB544" s="31">
        <f>(VLOOKUP($A544,$A$458:$O$482,4,0)*(HLOOKUP(AB$528,'2.2.Brecha Efectiva x UdM'!$H$86:$AK$92,3,0))+(VLOOKUP($A544,$A$4:$O$27,4,0)*(HLOOKUP(AB$528,'2.2.Brecha Efectiva x UdM'!$H$64:$AK$70,3,0))))</f>
        <v>0</v>
      </c>
      <c r="AC544" s="31">
        <f>(VLOOKUP($A544,$A$458:$O$482,4,0)*(HLOOKUP(AC$528,'2.2.Brecha Efectiva x UdM'!$H$86:$AK$92,3,0))+(VLOOKUP($A544,$A$4:$O$27,4,0)*(HLOOKUP(AC$528,'2.2.Brecha Efectiva x UdM'!$H$64:$AK$70,3,0))))</f>
        <v>0</v>
      </c>
      <c r="AD544" s="31">
        <f>(VLOOKUP($A544,$A$458:$O$482,4,0)*(HLOOKUP(AD$528,'2.2.Brecha Efectiva x UdM'!$H$86:$AK$92,3,0))+(VLOOKUP($A544,$A$4:$O$27,4,0)*(HLOOKUP(AD$528,'2.2.Brecha Efectiva x UdM'!$H$64:$AK$70,3,0))))</f>
        <v>0</v>
      </c>
      <c r="AE544" s="31">
        <f>(VLOOKUP($A544,$A$458:$O$482,4,0)*(HLOOKUP(AE$528,'2.2.Brecha Efectiva x UdM'!$H$86:$AK$92,3,0))+(VLOOKUP($A544,$A$4:$O$27,4,0)*(HLOOKUP(AE$528,'2.2.Brecha Efectiva x UdM'!$H$64:$AK$70,3,0))))</f>
        <v>0</v>
      </c>
      <c r="AF544" s="31">
        <f>(VLOOKUP($A544,$A$458:$O$482,4,0)*(HLOOKUP(AF$528,'2.2.Brecha Efectiva x UdM'!$H$86:$AK$92,3,0))+(VLOOKUP($A544,$A$4:$O$27,4,0)*(HLOOKUP(AF$528,'2.2.Brecha Efectiva x UdM'!$H$64:$AK$70,3,0))))</f>
        <v>0</v>
      </c>
      <c r="AG544" s="31">
        <f>(VLOOKUP($A544,$A$458:$O$482,4,0)*(HLOOKUP(AG$528,'2.2.Brecha Efectiva x UdM'!$H$86:$AK$92,3,0))+(VLOOKUP($A544,$A$4:$O$27,4,0)*(HLOOKUP(AG$528,'2.2.Brecha Efectiva x UdM'!$H$64:$AK$70,3,0))))</f>
        <v>0</v>
      </c>
      <c r="AH544" s="63">
        <f t="shared" si="505"/>
        <v>358480265.47948849</v>
      </c>
    </row>
    <row r="545" spans="1:34" x14ac:dyDescent="0.2">
      <c r="A545" s="25" t="str">
        <f t="shared" si="502"/>
        <v>Salta</v>
      </c>
      <c r="B545" s="51" t="str">
        <f t="shared" si="503"/>
        <v>Nombre UdM 2</v>
      </c>
      <c r="C545" s="25" t="str">
        <f t="shared" si="504"/>
        <v>Salta Nombre UdM 2</v>
      </c>
      <c r="D545" s="32">
        <f>(VLOOKUP($A545,$A$458:$O$482,4,0)*(HLOOKUP(D$528,'2.2.Brecha Efectiva x UdM'!$H$86:$AK$92,3,0))+(VLOOKUP($A545,$A$4:$O$27,4,0)*(HLOOKUP(D$528,'2.2.Brecha Efectiva x UdM'!$H$64:$AK$70,3,0))))</f>
        <v>161278589.14982498</v>
      </c>
      <c r="E545" s="32">
        <f>(VLOOKUP($A545,$A$458:$O$482,4,0)*(HLOOKUP(E$528,'2.2.Brecha Efectiva x UdM'!$H$86:$AK$92,3,0))+(VLOOKUP($A545,$A$4:$O$27,4,0)*(HLOOKUP(E$528,'2.2.Brecha Efectiva x UdM'!$H$64:$AK$70,3,0))))</f>
        <v>172780476.65389454</v>
      </c>
      <c r="F545" s="32">
        <f>(VLOOKUP($A545,$A$458:$O$482,4,0)*(HLOOKUP(F$528,'2.2.Brecha Efectiva x UdM'!$H$86:$AK$92,3,0))+(VLOOKUP($A545,$A$4:$O$27,4,0)*(HLOOKUP(F$528,'2.2.Brecha Efectiva x UdM'!$H$64:$AK$70,3,0))))</f>
        <v>260840125.86273605</v>
      </c>
      <c r="G545" s="32">
        <f>(VLOOKUP($A545,$A$458:$O$482,4,0)*(HLOOKUP(G$528,'2.2.Brecha Efectiva x UdM'!$H$86:$AK$92,3,0))+(VLOOKUP($A545,$A$4:$O$27,4,0)*(HLOOKUP(G$528,'2.2.Brecha Efectiva x UdM'!$H$64:$AK$70,3,0))))</f>
        <v>0</v>
      </c>
      <c r="H545" s="32">
        <f>(VLOOKUP($A545,$A$458:$O$482,4,0)*(HLOOKUP(H$528,'2.2.Brecha Efectiva x UdM'!$H$86:$AK$92,3,0))+(VLOOKUP($A545,$A$4:$O$27,4,0)*(HLOOKUP(H$528,'2.2.Brecha Efectiva x UdM'!$H$64:$AK$70,3,0))))</f>
        <v>0</v>
      </c>
      <c r="I545" s="32">
        <f>(VLOOKUP($A545,$A$458:$O$482,4,0)*(HLOOKUP(I$528,'2.2.Brecha Efectiva x UdM'!$H$86:$AK$92,3,0))+(VLOOKUP($A545,$A$4:$O$27,4,0)*(HLOOKUP(I$528,'2.2.Brecha Efectiva x UdM'!$H$64:$AK$70,3,0))))</f>
        <v>0</v>
      </c>
      <c r="J545" s="32">
        <f>(VLOOKUP($A545,$A$458:$O$482,4,0)*(HLOOKUP(J$528,'2.2.Brecha Efectiva x UdM'!$H$86:$AK$92,3,0))+(VLOOKUP($A545,$A$4:$O$27,4,0)*(HLOOKUP(J$528,'2.2.Brecha Efectiva x UdM'!$H$64:$AK$70,3,0))))</f>
        <v>0</v>
      </c>
      <c r="K545" s="32">
        <f>(VLOOKUP($A545,$A$458:$O$482,4,0)*(HLOOKUP(K$528,'2.2.Brecha Efectiva x UdM'!$H$86:$AK$92,3,0))+(VLOOKUP($A545,$A$4:$O$27,4,0)*(HLOOKUP(K$528,'2.2.Brecha Efectiva x UdM'!$H$64:$AK$70,3,0))))</f>
        <v>0</v>
      </c>
      <c r="L545" s="32">
        <f>(VLOOKUP($A545,$A$458:$O$482,4,0)*(HLOOKUP(L$528,'2.2.Brecha Efectiva x UdM'!$H$86:$AK$92,3,0))+(VLOOKUP($A545,$A$4:$O$27,4,0)*(HLOOKUP(L$528,'2.2.Brecha Efectiva x UdM'!$H$64:$AK$70,3,0))))</f>
        <v>0</v>
      </c>
      <c r="M545" s="32">
        <f>(VLOOKUP($A545,$A$458:$O$482,4,0)*(HLOOKUP(M$528,'2.2.Brecha Efectiva x UdM'!$H$86:$AK$92,3,0))+(VLOOKUP($A545,$A$4:$O$27,4,0)*(HLOOKUP(M$528,'2.2.Brecha Efectiva x UdM'!$H$64:$AK$70,3,0))))</f>
        <v>0</v>
      </c>
      <c r="N545" s="32">
        <f>(VLOOKUP($A545,$A$458:$O$482,4,0)*(HLOOKUP(N$528,'2.2.Brecha Efectiva x UdM'!$H$86:$AK$92,3,0))+(VLOOKUP($A545,$A$4:$O$27,4,0)*(HLOOKUP(N$528,'2.2.Brecha Efectiva x UdM'!$H$64:$AK$70,3,0))))</f>
        <v>0</v>
      </c>
      <c r="O545" s="32">
        <f>(VLOOKUP($A545,$A$458:$O$482,4,0)*(HLOOKUP(O$528,'2.2.Brecha Efectiva x UdM'!$H$86:$AK$92,3,0))+(VLOOKUP($A545,$A$4:$O$27,4,0)*(HLOOKUP(O$528,'2.2.Brecha Efectiva x UdM'!$H$64:$AK$70,3,0))))</f>
        <v>0</v>
      </c>
      <c r="P545" s="32">
        <f>(VLOOKUP($A545,$A$458:$O$482,4,0)*(HLOOKUP(P$528,'2.2.Brecha Efectiva x UdM'!$H$86:$AK$92,3,0))+(VLOOKUP($A545,$A$4:$O$27,4,0)*(HLOOKUP(P$528,'2.2.Brecha Efectiva x UdM'!$H$64:$AK$70,3,0))))</f>
        <v>0</v>
      </c>
      <c r="Q545" s="32">
        <f>(VLOOKUP($A545,$A$458:$O$482,4,0)*(HLOOKUP(Q$528,'2.2.Brecha Efectiva x UdM'!$H$86:$AK$92,3,0))+(VLOOKUP($A545,$A$4:$O$27,4,0)*(HLOOKUP(Q$528,'2.2.Brecha Efectiva x UdM'!$H$64:$AK$70,3,0))))</f>
        <v>0</v>
      </c>
      <c r="R545" s="32">
        <f>(VLOOKUP($A545,$A$458:$O$482,4,0)*(HLOOKUP(R$528,'2.2.Brecha Efectiva x UdM'!$H$86:$AK$92,3,0))+(VLOOKUP($A545,$A$4:$O$27,4,0)*(HLOOKUP(R$528,'2.2.Brecha Efectiva x UdM'!$H$64:$AK$70,3,0))))</f>
        <v>0</v>
      </c>
      <c r="S545" s="32">
        <f>(VLOOKUP($A545,$A$458:$O$482,4,0)*(HLOOKUP(S$528,'2.2.Brecha Efectiva x UdM'!$H$86:$AK$92,3,0))+(VLOOKUP($A545,$A$4:$O$27,4,0)*(HLOOKUP(S$528,'2.2.Brecha Efectiva x UdM'!$H$64:$AK$70,3,0))))</f>
        <v>0</v>
      </c>
      <c r="T545" s="32">
        <f>(VLOOKUP($A545,$A$458:$O$482,4,0)*(HLOOKUP(T$528,'2.2.Brecha Efectiva x UdM'!$H$86:$AK$92,3,0))+(VLOOKUP($A545,$A$4:$O$27,4,0)*(HLOOKUP(T$528,'2.2.Brecha Efectiva x UdM'!$H$64:$AK$70,3,0))))</f>
        <v>0</v>
      </c>
      <c r="U545" s="32">
        <f>(VLOOKUP($A545,$A$458:$O$482,4,0)*(HLOOKUP(U$528,'2.2.Brecha Efectiva x UdM'!$H$86:$AK$92,3,0))+(VLOOKUP($A545,$A$4:$O$27,4,0)*(HLOOKUP(U$528,'2.2.Brecha Efectiva x UdM'!$H$64:$AK$70,3,0))))</f>
        <v>0</v>
      </c>
      <c r="V545" s="32">
        <f>(VLOOKUP($A545,$A$458:$O$482,4,0)*(HLOOKUP(V$528,'2.2.Brecha Efectiva x UdM'!$H$86:$AK$92,3,0))+(VLOOKUP($A545,$A$4:$O$27,4,0)*(HLOOKUP(V$528,'2.2.Brecha Efectiva x UdM'!$H$64:$AK$70,3,0))))</f>
        <v>0</v>
      </c>
      <c r="W545" s="32">
        <f>(VLOOKUP($A545,$A$458:$O$482,4,0)*(HLOOKUP(W$528,'2.2.Brecha Efectiva x UdM'!$H$86:$AK$92,3,0))+(VLOOKUP($A545,$A$4:$O$27,4,0)*(HLOOKUP(W$528,'2.2.Brecha Efectiva x UdM'!$H$64:$AK$70,3,0))))</f>
        <v>0</v>
      </c>
      <c r="X545" s="32">
        <f>(VLOOKUP($A545,$A$458:$O$482,4,0)*(HLOOKUP(X$528,'2.2.Brecha Efectiva x UdM'!$H$86:$AK$92,3,0))+(VLOOKUP($A545,$A$4:$O$27,4,0)*(HLOOKUP(X$528,'2.2.Brecha Efectiva x UdM'!$H$64:$AK$70,3,0))))</f>
        <v>0</v>
      </c>
      <c r="Y545" s="32">
        <f>(VLOOKUP($A545,$A$458:$O$482,4,0)*(HLOOKUP(Y$528,'2.2.Brecha Efectiva x UdM'!$H$86:$AK$92,3,0))+(VLOOKUP($A545,$A$4:$O$27,4,0)*(HLOOKUP(Y$528,'2.2.Brecha Efectiva x UdM'!$H$64:$AK$70,3,0))))</f>
        <v>0</v>
      </c>
      <c r="Z545" s="32">
        <f>(VLOOKUP($A545,$A$458:$O$482,4,0)*(HLOOKUP(Z$528,'2.2.Brecha Efectiva x UdM'!$H$86:$AK$92,3,0))+(VLOOKUP($A545,$A$4:$O$27,4,0)*(HLOOKUP(Z$528,'2.2.Brecha Efectiva x UdM'!$H$64:$AK$70,3,0))))</f>
        <v>0</v>
      </c>
      <c r="AA545" s="32">
        <f>(VLOOKUP($A545,$A$458:$O$482,4,0)*(HLOOKUP(AA$528,'2.2.Brecha Efectiva x UdM'!$H$86:$AK$92,3,0))+(VLOOKUP($A545,$A$4:$O$27,4,0)*(HLOOKUP(AA$528,'2.2.Brecha Efectiva x UdM'!$H$64:$AK$70,3,0))))</f>
        <v>0</v>
      </c>
      <c r="AB545" s="32">
        <f>(VLOOKUP($A545,$A$458:$O$482,4,0)*(HLOOKUP(AB$528,'2.2.Brecha Efectiva x UdM'!$H$86:$AK$92,3,0))+(VLOOKUP($A545,$A$4:$O$27,4,0)*(HLOOKUP(AB$528,'2.2.Brecha Efectiva x UdM'!$H$64:$AK$70,3,0))))</f>
        <v>0</v>
      </c>
      <c r="AC545" s="32">
        <f>(VLOOKUP($A545,$A$458:$O$482,4,0)*(HLOOKUP(AC$528,'2.2.Brecha Efectiva x UdM'!$H$86:$AK$92,3,0))+(VLOOKUP($A545,$A$4:$O$27,4,0)*(HLOOKUP(AC$528,'2.2.Brecha Efectiva x UdM'!$H$64:$AK$70,3,0))))</f>
        <v>0</v>
      </c>
      <c r="AD545" s="32">
        <f>(VLOOKUP($A545,$A$458:$O$482,4,0)*(HLOOKUP(AD$528,'2.2.Brecha Efectiva x UdM'!$H$86:$AK$92,3,0))+(VLOOKUP($A545,$A$4:$O$27,4,0)*(HLOOKUP(AD$528,'2.2.Brecha Efectiva x UdM'!$H$64:$AK$70,3,0))))</f>
        <v>0</v>
      </c>
      <c r="AE545" s="32">
        <f>(VLOOKUP($A545,$A$458:$O$482,4,0)*(HLOOKUP(AE$528,'2.2.Brecha Efectiva x UdM'!$H$86:$AK$92,3,0))+(VLOOKUP($A545,$A$4:$O$27,4,0)*(HLOOKUP(AE$528,'2.2.Brecha Efectiva x UdM'!$H$64:$AK$70,3,0))))</f>
        <v>0</v>
      </c>
      <c r="AF545" s="32">
        <f>(VLOOKUP($A545,$A$458:$O$482,4,0)*(HLOOKUP(AF$528,'2.2.Brecha Efectiva x UdM'!$H$86:$AK$92,3,0))+(VLOOKUP($A545,$A$4:$O$27,4,0)*(HLOOKUP(AF$528,'2.2.Brecha Efectiva x UdM'!$H$64:$AK$70,3,0))))</f>
        <v>0</v>
      </c>
      <c r="AG545" s="32">
        <f>(VLOOKUP($A545,$A$458:$O$482,4,0)*(HLOOKUP(AG$528,'2.2.Brecha Efectiva x UdM'!$H$86:$AK$92,3,0))+(VLOOKUP($A545,$A$4:$O$27,4,0)*(HLOOKUP(AG$528,'2.2.Brecha Efectiva x UdM'!$H$64:$AK$70,3,0))))</f>
        <v>0</v>
      </c>
      <c r="AH545" s="62">
        <f t="shared" si="505"/>
        <v>594899191.66645551</v>
      </c>
    </row>
    <row r="546" spans="1:34" x14ac:dyDescent="0.2">
      <c r="A546" s="26" t="str">
        <f t="shared" si="502"/>
        <v>San Juan</v>
      </c>
      <c r="B546" s="52" t="str">
        <f t="shared" si="503"/>
        <v>Nombre UdM 2</v>
      </c>
      <c r="C546" s="26" t="str">
        <f t="shared" si="504"/>
        <v>San Juan Nombre UdM 2</v>
      </c>
      <c r="D546" s="31">
        <f>(VLOOKUP($A546,$A$458:$O$482,4,0)*(HLOOKUP(D$528,'2.2.Brecha Efectiva x UdM'!$H$86:$AK$92,3,0))+(VLOOKUP($A546,$A$4:$O$27,4,0)*(HLOOKUP(D$528,'2.2.Brecha Efectiva x UdM'!$H$64:$AK$70,3,0))))</f>
        <v>218151561.18568796</v>
      </c>
      <c r="E546" s="31">
        <f>(VLOOKUP($A546,$A$458:$O$482,4,0)*(HLOOKUP(E$528,'2.2.Brecha Efectiva x UdM'!$H$86:$AK$92,3,0))+(VLOOKUP($A546,$A$4:$O$27,4,0)*(HLOOKUP(E$528,'2.2.Brecha Efectiva x UdM'!$H$64:$AK$70,3,0))))</f>
        <v>233709452.21649283</v>
      </c>
      <c r="F546" s="31">
        <f>(VLOOKUP($A546,$A$458:$O$482,4,0)*(HLOOKUP(F$528,'2.2.Brecha Efectiva x UdM'!$H$86:$AK$92,3,0))+(VLOOKUP($A546,$A$4:$O$27,4,0)*(HLOOKUP(F$528,'2.2.Brecha Efectiva x UdM'!$H$64:$AK$70,3,0))))</f>
        <v>352822287.05488998</v>
      </c>
      <c r="G546" s="31">
        <f>(VLOOKUP($A546,$A$458:$O$482,4,0)*(HLOOKUP(G$528,'2.2.Brecha Efectiva x UdM'!$H$86:$AK$92,3,0))+(VLOOKUP($A546,$A$4:$O$27,4,0)*(HLOOKUP(G$528,'2.2.Brecha Efectiva x UdM'!$H$64:$AK$70,3,0))))</f>
        <v>0</v>
      </c>
      <c r="H546" s="31">
        <f>(VLOOKUP($A546,$A$458:$O$482,4,0)*(HLOOKUP(H$528,'2.2.Brecha Efectiva x UdM'!$H$86:$AK$92,3,0))+(VLOOKUP($A546,$A$4:$O$27,4,0)*(HLOOKUP(H$528,'2.2.Brecha Efectiva x UdM'!$H$64:$AK$70,3,0))))</f>
        <v>0</v>
      </c>
      <c r="I546" s="31">
        <f>(VLOOKUP($A546,$A$458:$O$482,4,0)*(HLOOKUP(I$528,'2.2.Brecha Efectiva x UdM'!$H$86:$AK$92,3,0))+(VLOOKUP($A546,$A$4:$O$27,4,0)*(HLOOKUP(I$528,'2.2.Brecha Efectiva x UdM'!$H$64:$AK$70,3,0))))</f>
        <v>0</v>
      </c>
      <c r="J546" s="31">
        <f>(VLOOKUP($A546,$A$458:$O$482,4,0)*(HLOOKUP(J$528,'2.2.Brecha Efectiva x UdM'!$H$86:$AK$92,3,0))+(VLOOKUP($A546,$A$4:$O$27,4,0)*(HLOOKUP(J$528,'2.2.Brecha Efectiva x UdM'!$H$64:$AK$70,3,0))))</f>
        <v>0</v>
      </c>
      <c r="K546" s="31">
        <f>(VLOOKUP($A546,$A$458:$O$482,4,0)*(HLOOKUP(K$528,'2.2.Brecha Efectiva x UdM'!$H$86:$AK$92,3,0))+(VLOOKUP($A546,$A$4:$O$27,4,0)*(HLOOKUP(K$528,'2.2.Brecha Efectiva x UdM'!$H$64:$AK$70,3,0))))</f>
        <v>0</v>
      </c>
      <c r="L546" s="31">
        <f>(VLOOKUP($A546,$A$458:$O$482,4,0)*(HLOOKUP(L$528,'2.2.Brecha Efectiva x UdM'!$H$86:$AK$92,3,0))+(VLOOKUP($A546,$A$4:$O$27,4,0)*(HLOOKUP(L$528,'2.2.Brecha Efectiva x UdM'!$H$64:$AK$70,3,0))))</f>
        <v>0</v>
      </c>
      <c r="M546" s="31">
        <f>(VLOOKUP($A546,$A$458:$O$482,4,0)*(HLOOKUP(M$528,'2.2.Brecha Efectiva x UdM'!$H$86:$AK$92,3,0))+(VLOOKUP($A546,$A$4:$O$27,4,0)*(HLOOKUP(M$528,'2.2.Brecha Efectiva x UdM'!$H$64:$AK$70,3,0))))</f>
        <v>0</v>
      </c>
      <c r="N546" s="31">
        <f>(VLOOKUP($A546,$A$458:$O$482,4,0)*(HLOOKUP(N$528,'2.2.Brecha Efectiva x UdM'!$H$86:$AK$92,3,0))+(VLOOKUP($A546,$A$4:$O$27,4,0)*(HLOOKUP(N$528,'2.2.Brecha Efectiva x UdM'!$H$64:$AK$70,3,0))))</f>
        <v>0</v>
      </c>
      <c r="O546" s="31">
        <f>(VLOOKUP($A546,$A$458:$O$482,4,0)*(HLOOKUP(O$528,'2.2.Brecha Efectiva x UdM'!$H$86:$AK$92,3,0))+(VLOOKUP($A546,$A$4:$O$27,4,0)*(HLOOKUP(O$528,'2.2.Brecha Efectiva x UdM'!$H$64:$AK$70,3,0))))</f>
        <v>0</v>
      </c>
      <c r="P546" s="31">
        <f>(VLOOKUP($A546,$A$458:$O$482,4,0)*(HLOOKUP(P$528,'2.2.Brecha Efectiva x UdM'!$H$86:$AK$92,3,0))+(VLOOKUP($A546,$A$4:$O$27,4,0)*(HLOOKUP(P$528,'2.2.Brecha Efectiva x UdM'!$H$64:$AK$70,3,0))))</f>
        <v>0</v>
      </c>
      <c r="Q546" s="31">
        <f>(VLOOKUP($A546,$A$458:$O$482,4,0)*(HLOOKUP(Q$528,'2.2.Brecha Efectiva x UdM'!$H$86:$AK$92,3,0))+(VLOOKUP($A546,$A$4:$O$27,4,0)*(HLOOKUP(Q$528,'2.2.Brecha Efectiva x UdM'!$H$64:$AK$70,3,0))))</f>
        <v>0</v>
      </c>
      <c r="R546" s="31">
        <f>(VLOOKUP($A546,$A$458:$O$482,4,0)*(HLOOKUP(R$528,'2.2.Brecha Efectiva x UdM'!$H$86:$AK$92,3,0))+(VLOOKUP($A546,$A$4:$O$27,4,0)*(HLOOKUP(R$528,'2.2.Brecha Efectiva x UdM'!$H$64:$AK$70,3,0))))</f>
        <v>0</v>
      </c>
      <c r="S546" s="31">
        <f>(VLOOKUP($A546,$A$458:$O$482,4,0)*(HLOOKUP(S$528,'2.2.Brecha Efectiva x UdM'!$H$86:$AK$92,3,0))+(VLOOKUP($A546,$A$4:$O$27,4,0)*(HLOOKUP(S$528,'2.2.Brecha Efectiva x UdM'!$H$64:$AK$70,3,0))))</f>
        <v>0</v>
      </c>
      <c r="T546" s="31">
        <f>(VLOOKUP($A546,$A$458:$O$482,4,0)*(HLOOKUP(T$528,'2.2.Brecha Efectiva x UdM'!$H$86:$AK$92,3,0))+(VLOOKUP($A546,$A$4:$O$27,4,0)*(HLOOKUP(T$528,'2.2.Brecha Efectiva x UdM'!$H$64:$AK$70,3,0))))</f>
        <v>0</v>
      </c>
      <c r="U546" s="31">
        <f>(VLOOKUP($A546,$A$458:$O$482,4,0)*(HLOOKUP(U$528,'2.2.Brecha Efectiva x UdM'!$H$86:$AK$92,3,0))+(VLOOKUP($A546,$A$4:$O$27,4,0)*(HLOOKUP(U$528,'2.2.Brecha Efectiva x UdM'!$H$64:$AK$70,3,0))))</f>
        <v>0</v>
      </c>
      <c r="V546" s="31">
        <f>(VLOOKUP($A546,$A$458:$O$482,4,0)*(HLOOKUP(V$528,'2.2.Brecha Efectiva x UdM'!$H$86:$AK$92,3,0))+(VLOOKUP($A546,$A$4:$O$27,4,0)*(HLOOKUP(V$528,'2.2.Brecha Efectiva x UdM'!$H$64:$AK$70,3,0))))</f>
        <v>0</v>
      </c>
      <c r="W546" s="31">
        <f>(VLOOKUP($A546,$A$458:$O$482,4,0)*(HLOOKUP(W$528,'2.2.Brecha Efectiva x UdM'!$H$86:$AK$92,3,0))+(VLOOKUP($A546,$A$4:$O$27,4,0)*(HLOOKUP(W$528,'2.2.Brecha Efectiva x UdM'!$H$64:$AK$70,3,0))))</f>
        <v>0</v>
      </c>
      <c r="X546" s="31">
        <f>(VLOOKUP($A546,$A$458:$O$482,4,0)*(HLOOKUP(X$528,'2.2.Brecha Efectiva x UdM'!$H$86:$AK$92,3,0))+(VLOOKUP($A546,$A$4:$O$27,4,0)*(HLOOKUP(X$528,'2.2.Brecha Efectiva x UdM'!$H$64:$AK$70,3,0))))</f>
        <v>0</v>
      </c>
      <c r="Y546" s="31">
        <f>(VLOOKUP($A546,$A$458:$O$482,4,0)*(HLOOKUP(Y$528,'2.2.Brecha Efectiva x UdM'!$H$86:$AK$92,3,0))+(VLOOKUP($A546,$A$4:$O$27,4,0)*(HLOOKUP(Y$528,'2.2.Brecha Efectiva x UdM'!$H$64:$AK$70,3,0))))</f>
        <v>0</v>
      </c>
      <c r="Z546" s="31">
        <f>(VLOOKUP($A546,$A$458:$O$482,4,0)*(HLOOKUP(Z$528,'2.2.Brecha Efectiva x UdM'!$H$86:$AK$92,3,0))+(VLOOKUP($A546,$A$4:$O$27,4,0)*(HLOOKUP(Z$528,'2.2.Brecha Efectiva x UdM'!$H$64:$AK$70,3,0))))</f>
        <v>0</v>
      </c>
      <c r="AA546" s="31">
        <f>(VLOOKUP($A546,$A$458:$O$482,4,0)*(HLOOKUP(AA$528,'2.2.Brecha Efectiva x UdM'!$H$86:$AK$92,3,0))+(VLOOKUP($A546,$A$4:$O$27,4,0)*(HLOOKUP(AA$528,'2.2.Brecha Efectiva x UdM'!$H$64:$AK$70,3,0))))</f>
        <v>0</v>
      </c>
      <c r="AB546" s="31">
        <f>(VLOOKUP($A546,$A$458:$O$482,4,0)*(HLOOKUP(AB$528,'2.2.Brecha Efectiva x UdM'!$H$86:$AK$92,3,0))+(VLOOKUP($A546,$A$4:$O$27,4,0)*(HLOOKUP(AB$528,'2.2.Brecha Efectiva x UdM'!$H$64:$AK$70,3,0))))</f>
        <v>0</v>
      </c>
      <c r="AC546" s="31">
        <f>(VLOOKUP($A546,$A$458:$O$482,4,0)*(HLOOKUP(AC$528,'2.2.Brecha Efectiva x UdM'!$H$86:$AK$92,3,0))+(VLOOKUP($A546,$A$4:$O$27,4,0)*(HLOOKUP(AC$528,'2.2.Brecha Efectiva x UdM'!$H$64:$AK$70,3,0))))</f>
        <v>0</v>
      </c>
      <c r="AD546" s="31">
        <f>(VLOOKUP($A546,$A$458:$O$482,4,0)*(HLOOKUP(AD$528,'2.2.Brecha Efectiva x UdM'!$H$86:$AK$92,3,0))+(VLOOKUP($A546,$A$4:$O$27,4,0)*(HLOOKUP(AD$528,'2.2.Brecha Efectiva x UdM'!$H$64:$AK$70,3,0))))</f>
        <v>0</v>
      </c>
      <c r="AE546" s="31">
        <f>(VLOOKUP($A546,$A$458:$O$482,4,0)*(HLOOKUP(AE$528,'2.2.Brecha Efectiva x UdM'!$H$86:$AK$92,3,0))+(VLOOKUP($A546,$A$4:$O$27,4,0)*(HLOOKUP(AE$528,'2.2.Brecha Efectiva x UdM'!$H$64:$AK$70,3,0))))</f>
        <v>0</v>
      </c>
      <c r="AF546" s="31">
        <f>(VLOOKUP($A546,$A$458:$O$482,4,0)*(HLOOKUP(AF$528,'2.2.Brecha Efectiva x UdM'!$H$86:$AK$92,3,0))+(VLOOKUP($A546,$A$4:$O$27,4,0)*(HLOOKUP(AF$528,'2.2.Brecha Efectiva x UdM'!$H$64:$AK$70,3,0))))</f>
        <v>0</v>
      </c>
      <c r="AG546" s="31">
        <f>(VLOOKUP($A546,$A$458:$O$482,4,0)*(HLOOKUP(AG$528,'2.2.Brecha Efectiva x UdM'!$H$86:$AK$92,3,0))+(VLOOKUP($A546,$A$4:$O$27,4,0)*(HLOOKUP(AG$528,'2.2.Brecha Efectiva x UdM'!$H$64:$AK$70,3,0))))</f>
        <v>0</v>
      </c>
      <c r="AH546" s="63">
        <f t="shared" si="505"/>
        <v>804683300.45707083</v>
      </c>
    </row>
    <row r="547" spans="1:34" x14ac:dyDescent="0.2">
      <c r="A547" s="25" t="str">
        <f t="shared" si="502"/>
        <v>San Luis</v>
      </c>
      <c r="B547" s="51" t="str">
        <f t="shared" si="503"/>
        <v>Nombre UdM 2</v>
      </c>
      <c r="C547" s="25" t="str">
        <f t="shared" si="504"/>
        <v>San Luis Nombre UdM 2</v>
      </c>
      <c r="D547" s="32">
        <f>(VLOOKUP($A547,$A$458:$O$482,4,0)*(HLOOKUP(D$528,'2.2.Brecha Efectiva x UdM'!$H$86:$AK$92,3,0))+(VLOOKUP($A547,$A$4:$O$27,4,0)*(HLOOKUP(D$528,'2.2.Brecha Efectiva x UdM'!$H$64:$AK$70,3,0))))</f>
        <v>11721004.263757732</v>
      </c>
      <c r="E547" s="32">
        <f>(VLOOKUP($A547,$A$458:$O$482,4,0)*(HLOOKUP(E$528,'2.2.Brecha Efectiva x UdM'!$H$86:$AK$92,3,0))+(VLOOKUP($A547,$A$4:$O$27,4,0)*(HLOOKUP(E$528,'2.2.Brecha Efectiva x UdM'!$H$64:$AK$70,3,0))))</f>
        <v>12556909.842961565</v>
      </c>
      <c r="F547" s="32">
        <f>(VLOOKUP($A547,$A$458:$O$482,4,0)*(HLOOKUP(F$528,'2.2.Brecha Efectiva x UdM'!$H$86:$AK$92,3,0))+(VLOOKUP($A547,$A$4:$O$27,4,0)*(HLOOKUP(F$528,'2.2.Brecha Efectiva x UdM'!$H$64:$AK$70,3,0))))</f>
        <v>18956690.057327121</v>
      </c>
      <c r="G547" s="32">
        <f>(VLOOKUP($A547,$A$458:$O$482,4,0)*(HLOOKUP(G$528,'2.2.Brecha Efectiva x UdM'!$H$86:$AK$92,3,0))+(VLOOKUP($A547,$A$4:$O$27,4,0)*(HLOOKUP(G$528,'2.2.Brecha Efectiva x UdM'!$H$64:$AK$70,3,0))))</f>
        <v>0</v>
      </c>
      <c r="H547" s="32">
        <f>(VLOOKUP($A547,$A$458:$O$482,4,0)*(HLOOKUP(H$528,'2.2.Brecha Efectiva x UdM'!$H$86:$AK$92,3,0))+(VLOOKUP($A547,$A$4:$O$27,4,0)*(HLOOKUP(H$528,'2.2.Brecha Efectiva x UdM'!$H$64:$AK$70,3,0))))</f>
        <v>0</v>
      </c>
      <c r="I547" s="32">
        <f>(VLOOKUP($A547,$A$458:$O$482,4,0)*(HLOOKUP(I$528,'2.2.Brecha Efectiva x UdM'!$H$86:$AK$92,3,0))+(VLOOKUP($A547,$A$4:$O$27,4,0)*(HLOOKUP(I$528,'2.2.Brecha Efectiva x UdM'!$H$64:$AK$70,3,0))))</f>
        <v>0</v>
      </c>
      <c r="J547" s="32">
        <f>(VLOOKUP($A547,$A$458:$O$482,4,0)*(HLOOKUP(J$528,'2.2.Brecha Efectiva x UdM'!$H$86:$AK$92,3,0))+(VLOOKUP($A547,$A$4:$O$27,4,0)*(HLOOKUP(J$528,'2.2.Brecha Efectiva x UdM'!$H$64:$AK$70,3,0))))</f>
        <v>0</v>
      </c>
      <c r="K547" s="32">
        <f>(VLOOKUP($A547,$A$458:$O$482,4,0)*(HLOOKUP(K$528,'2.2.Brecha Efectiva x UdM'!$H$86:$AK$92,3,0))+(VLOOKUP($A547,$A$4:$O$27,4,0)*(HLOOKUP(K$528,'2.2.Brecha Efectiva x UdM'!$H$64:$AK$70,3,0))))</f>
        <v>0</v>
      </c>
      <c r="L547" s="32">
        <f>(VLOOKUP($A547,$A$458:$O$482,4,0)*(HLOOKUP(L$528,'2.2.Brecha Efectiva x UdM'!$H$86:$AK$92,3,0))+(VLOOKUP($A547,$A$4:$O$27,4,0)*(HLOOKUP(L$528,'2.2.Brecha Efectiva x UdM'!$H$64:$AK$70,3,0))))</f>
        <v>0</v>
      </c>
      <c r="M547" s="32">
        <f>(VLOOKUP($A547,$A$458:$O$482,4,0)*(HLOOKUP(M$528,'2.2.Brecha Efectiva x UdM'!$H$86:$AK$92,3,0))+(VLOOKUP($A547,$A$4:$O$27,4,0)*(HLOOKUP(M$528,'2.2.Brecha Efectiva x UdM'!$H$64:$AK$70,3,0))))</f>
        <v>0</v>
      </c>
      <c r="N547" s="32">
        <f>(VLOOKUP($A547,$A$458:$O$482,4,0)*(HLOOKUP(N$528,'2.2.Brecha Efectiva x UdM'!$H$86:$AK$92,3,0))+(VLOOKUP($A547,$A$4:$O$27,4,0)*(HLOOKUP(N$528,'2.2.Brecha Efectiva x UdM'!$H$64:$AK$70,3,0))))</f>
        <v>0</v>
      </c>
      <c r="O547" s="32">
        <f>(VLOOKUP($A547,$A$458:$O$482,4,0)*(HLOOKUP(O$528,'2.2.Brecha Efectiva x UdM'!$H$86:$AK$92,3,0))+(VLOOKUP($A547,$A$4:$O$27,4,0)*(HLOOKUP(O$528,'2.2.Brecha Efectiva x UdM'!$H$64:$AK$70,3,0))))</f>
        <v>0</v>
      </c>
      <c r="P547" s="32">
        <f>(VLOOKUP($A547,$A$458:$O$482,4,0)*(HLOOKUP(P$528,'2.2.Brecha Efectiva x UdM'!$H$86:$AK$92,3,0))+(VLOOKUP($A547,$A$4:$O$27,4,0)*(HLOOKUP(P$528,'2.2.Brecha Efectiva x UdM'!$H$64:$AK$70,3,0))))</f>
        <v>0</v>
      </c>
      <c r="Q547" s="32">
        <f>(VLOOKUP($A547,$A$458:$O$482,4,0)*(HLOOKUP(Q$528,'2.2.Brecha Efectiva x UdM'!$H$86:$AK$92,3,0))+(VLOOKUP($A547,$A$4:$O$27,4,0)*(HLOOKUP(Q$528,'2.2.Brecha Efectiva x UdM'!$H$64:$AK$70,3,0))))</f>
        <v>0</v>
      </c>
      <c r="R547" s="32">
        <f>(VLOOKUP($A547,$A$458:$O$482,4,0)*(HLOOKUP(R$528,'2.2.Brecha Efectiva x UdM'!$H$86:$AK$92,3,0))+(VLOOKUP($A547,$A$4:$O$27,4,0)*(HLOOKUP(R$528,'2.2.Brecha Efectiva x UdM'!$H$64:$AK$70,3,0))))</f>
        <v>0</v>
      </c>
      <c r="S547" s="32">
        <f>(VLOOKUP($A547,$A$458:$O$482,4,0)*(HLOOKUP(S$528,'2.2.Brecha Efectiva x UdM'!$H$86:$AK$92,3,0))+(VLOOKUP($A547,$A$4:$O$27,4,0)*(HLOOKUP(S$528,'2.2.Brecha Efectiva x UdM'!$H$64:$AK$70,3,0))))</f>
        <v>0</v>
      </c>
      <c r="T547" s="32">
        <f>(VLOOKUP($A547,$A$458:$O$482,4,0)*(HLOOKUP(T$528,'2.2.Brecha Efectiva x UdM'!$H$86:$AK$92,3,0))+(VLOOKUP($A547,$A$4:$O$27,4,0)*(HLOOKUP(T$528,'2.2.Brecha Efectiva x UdM'!$H$64:$AK$70,3,0))))</f>
        <v>0</v>
      </c>
      <c r="U547" s="32">
        <f>(VLOOKUP($A547,$A$458:$O$482,4,0)*(HLOOKUP(U$528,'2.2.Brecha Efectiva x UdM'!$H$86:$AK$92,3,0))+(VLOOKUP($A547,$A$4:$O$27,4,0)*(HLOOKUP(U$528,'2.2.Brecha Efectiva x UdM'!$H$64:$AK$70,3,0))))</f>
        <v>0</v>
      </c>
      <c r="V547" s="32">
        <f>(VLOOKUP($A547,$A$458:$O$482,4,0)*(HLOOKUP(V$528,'2.2.Brecha Efectiva x UdM'!$H$86:$AK$92,3,0))+(VLOOKUP($A547,$A$4:$O$27,4,0)*(HLOOKUP(V$528,'2.2.Brecha Efectiva x UdM'!$H$64:$AK$70,3,0))))</f>
        <v>0</v>
      </c>
      <c r="W547" s="32">
        <f>(VLOOKUP($A547,$A$458:$O$482,4,0)*(HLOOKUP(W$528,'2.2.Brecha Efectiva x UdM'!$H$86:$AK$92,3,0))+(VLOOKUP($A547,$A$4:$O$27,4,0)*(HLOOKUP(W$528,'2.2.Brecha Efectiva x UdM'!$H$64:$AK$70,3,0))))</f>
        <v>0</v>
      </c>
      <c r="X547" s="32">
        <f>(VLOOKUP($A547,$A$458:$O$482,4,0)*(HLOOKUP(X$528,'2.2.Brecha Efectiva x UdM'!$H$86:$AK$92,3,0))+(VLOOKUP($A547,$A$4:$O$27,4,0)*(HLOOKUP(X$528,'2.2.Brecha Efectiva x UdM'!$H$64:$AK$70,3,0))))</f>
        <v>0</v>
      </c>
      <c r="Y547" s="32">
        <f>(VLOOKUP($A547,$A$458:$O$482,4,0)*(HLOOKUP(Y$528,'2.2.Brecha Efectiva x UdM'!$H$86:$AK$92,3,0))+(VLOOKUP($A547,$A$4:$O$27,4,0)*(HLOOKUP(Y$528,'2.2.Brecha Efectiva x UdM'!$H$64:$AK$70,3,0))))</f>
        <v>0</v>
      </c>
      <c r="Z547" s="32">
        <f>(VLOOKUP($A547,$A$458:$O$482,4,0)*(HLOOKUP(Z$528,'2.2.Brecha Efectiva x UdM'!$H$86:$AK$92,3,0))+(VLOOKUP($A547,$A$4:$O$27,4,0)*(HLOOKUP(Z$528,'2.2.Brecha Efectiva x UdM'!$H$64:$AK$70,3,0))))</f>
        <v>0</v>
      </c>
      <c r="AA547" s="32">
        <f>(VLOOKUP($A547,$A$458:$O$482,4,0)*(HLOOKUP(AA$528,'2.2.Brecha Efectiva x UdM'!$H$86:$AK$92,3,0))+(VLOOKUP($A547,$A$4:$O$27,4,0)*(HLOOKUP(AA$528,'2.2.Brecha Efectiva x UdM'!$H$64:$AK$70,3,0))))</f>
        <v>0</v>
      </c>
      <c r="AB547" s="32">
        <f>(VLOOKUP($A547,$A$458:$O$482,4,0)*(HLOOKUP(AB$528,'2.2.Brecha Efectiva x UdM'!$H$86:$AK$92,3,0))+(VLOOKUP($A547,$A$4:$O$27,4,0)*(HLOOKUP(AB$528,'2.2.Brecha Efectiva x UdM'!$H$64:$AK$70,3,0))))</f>
        <v>0</v>
      </c>
      <c r="AC547" s="32">
        <f>(VLOOKUP($A547,$A$458:$O$482,4,0)*(HLOOKUP(AC$528,'2.2.Brecha Efectiva x UdM'!$H$86:$AK$92,3,0))+(VLOOKUP($A547,$A$4:$O$27,4,0)*(HLOOKUP(AC$528,'2.2.Brecha Efectiva x UdM'!$H$64:$AK$70,3,0))))</f>
        <v>0</v>
      </c>
      <c r="AD547" s="32">
        <f>(VLOOKUP($A547,$A$458:$O$482,4,0)*(HLOOKUP(AD$528,'2.2.Brecha Efectiva x UdM'!$H$86:$AK$92,3,0))+(VLOOKUP($A547,$A$4:$O$27,4,0)*(HLOOKUP(AD$528,'2.2.Brecha Efectiva x UdM'!$H$64:$AK$70,3,0))))</f>
        <v>0</v>
      </c>
      <c r="AE547" s="32">
        <f>(VLOOKUP($A547,$A$458:$O$482,4,0)*(HLOOKUP(AE$528,'2.2.Brecha Efectiva x UdM'!$H$86:$AK$92,3,0))+(VLOOKUP($A547,$A$4:$O$27,4,0)*(HLOOKUP(AE$528,'2.2.Brecha Efectiva x UdM'!$H$64:$AK$70,3,0))))</f>
        <v>0</v>
      </c>
      <c r="AF547" s="32">
        <f>(VLOOKUP($A547,$A$458:$O$482,4,0)*(HLOOKUP(AF$528,'2.2.Brecha Efectiva x UdM'!$H$86:$AK$92,3,0))+(VLOOKUP($A547,$A$4:$O$27,4,0)*(HLOOKUP(AF$528,'2.2.Brecha Efectiva x UdM'!$H$64:$AK$70,3,0))))</f>
        <v>0</v>
      </c>
      <c r="AG547" s="32">
        <f>(VLOOKUP($A547,$A$458:$O$482,4,0)*(HLOOKUP(AG$528,'2.2.Brecha Efectiva x UdM'!$H$86:$AK$92,3,0))+(VLOOKUP($A547,$A$4:$O$27,4,0)*(HLOOKUP(AG$528,'2.2.Brecha Efectiva x UdM'!$H$64:$AK$70,3,0))))</f>
        <v>0</v>
      </c>
      <c r="AH547" s="62">
        <f t="shared" si="505"/>
        <v>43234604.164046422</v>
      </c>
    </row>
    <row r="548" spans="1:34" x14ac:dyDescent="0.2">
      <c r="A548" s="26" t="str">
        <f t="shared" si="502"/>
        <v>Santa Cruz</v>
      </c>
      <c r="B548" s="52" t="str">
        <f t="shared" si="503"/>
        <v>Nombre UdM 2</v>
      </c>
      <c r="C548" s="26" t="str">
        <f t="shared" si="504"/>
        <v>Santa Cruz Nombre UdM 2</v>
      </c>
      <c r="D548" s="31">
        <f>(VLOOKUP($A548,$A$458:$O$482,4,0)*(HLOOKUP(D$528,'2.2.Brecha Efectiva x UdM'!$H$86:$AK$92,3,0))+(VLOOKUP($A548,$A$4:$O$27,4,0)*(HLOOKUP(D$528,'2.2.Brecha Efectiva x UdM'!$H$64:$AK$70,3,0))))</f>
        <v>734630641.06629276</v>
      </c>
      <c r="E548" s="31">
        <f>(VLOOKUP($A548,$A$458:$O$482,4,0)*(HLOOKUP(E$528,'2.2.Brecha Efectiva x UdM'!$H$86:$AK$92,3,0))+(VLOOKUP($A548,$A$4:$O$27,4,0)*(HLOOKUP(E$528,'2.2.Brecha Efectiva x UdM'!$H$64:$AK$70,3,0))))</f>
        <v>787022214.15190208</v>
      </c>
      <c r="F548" s="31">
        <f>(VLOOKUP($A548,$A$458:$O$482,4,0)*(HLOOKUP(F$528,'2.2.Brecha Efectiva x UdM'!$H$86:$AK$92,3,0))+(VLOOKUP($A548,$A$4:$O$27,4,0)*(HLOOKUP(F$528,'2.2.Brecha Efectiva x UdM'!$H$64:$AK$70,3,0))))</f>
        <v>1188137556.8107281</v>
      </c>
      <c r="G548" s="31">
        <f>(VLOOKUP($A548,$A$458:$O$482,4,0)*(HLOOKUP(G$528,'2.2.Brecha Efectiva x UdM'!$H$86:$AK$92,3,0))+(VLOOKUP($A548,$A$4:$O$27,4,0)*(HLOOKUP(G$528,'2.2.Brecha Efectiva x UdM'!$H$64:$AK$70,3,0))))</f>
        <v>0</v>
      </c>
      <c r="H548" s="31">
        <f>(VLOOKUP($A548,$A$458:$O$482,4,0)*(HLOOKUP(H$528,'2.2.Brecha Efectiva x UdM'!$H$86:$AK$92,3,0))+(VLOOKUP($A548,$A$4:$O$27,4,0)*(HLOOKUP(H$528,'2.2.Brecha Efectiva x UdM'!$H$64:$AK$70,3,0))))</f>
        <v>0</v>
      </c>
      <c r="I548" s="31">
        <f>(VLOOKUP($A548,$A$458:$O$482,4,0)*(HLOOKUP(I$528,'2.2.Brecha Efectiva x UdM'!$H$86:$AK$92,3,0))+(VLOOKUP($A548,$A$4:$O$27,4,0)*(HLOOKUP(I$528,'2.2.Brecha Efectiva x UdM'!$H$64:$AK$70,3,0))))</f>
        <v>0</v>
      </c>
      <c r="J548" s="31">
        <f>(VLOOKUP($A548,$A$458:$O$482,4,0)*(HLOOKUP(J$528,'2.2.Brecha Efectiva x UdM'!$H$86:$AK$92,3,0))+(VLOOKUP($A548,$A$4:$O$27,4,0)*(HLOOKUP(J$528,'2.2.Brecha Efectiva x UdM'!$H$64:$AK$70,3,0))))</f>
        <v>0</v>
      </c>
      <c r="K548" s="31">
        <f>(VLOOKUP($A548,$A$458:$O$482,4,0)*(HLOOKUP(K$528,'2.2.Brecha Efectiva x UdM'!$H$86:$AK$92,3,0))+(VLOOKUP($A548,$A$4:$O$27,4,0)*(HLOOKUP(K$528,'2.2.Brecha Efectiva x UdM'!$H$64:$AK$70,3,0))))</f>
        <v>0</v>
      </c>
      <c r="L548" s="31">
        <f>(VLOOKUP($A548,$A$458:$O$482,4,0)*(HLOOKUP(L$528,'2.2.Brecha Efectiva x UdM'!$H$86:$AK$92,3,0))+(VLOOKUP($A548,$A$4:$O$27,4,0)*(HLOOKUP(L$528,'2.2.Brecha Efectiva x UdM'!$H$64:$AK$70,3,0))))</f>
        <v>0</v>
      </c>
      <c r="M548" s="31">
        <f>(VLOOKUP($A548,$A$458:$O$482,4,0)*(HLOOKUP(M$528,'2.2.Brecha Efectiva x UdM'!$H$86:$AK$92,3,0))+(VLOOKUP($A548,$A$4:$O$27,4,0)*(HLOOKUP(M$528,'2.2.Brecha Efectiva x UdM'!$H$64:$AK$70,3,0))))</f>
        <v>0</v>
      </c>
      <c r="N548" s="31">
        <f>(VLOOKUP($A548,$A$458:$O$482,4,0)*(HLOOKUP(N$528,'2.2.Brecha Efectiva x UdM'!$H$86:$AK$92,3,0))+(VLOOKUP($A548,$A$4:$O$27,4,0)*(HLOOKUP(N$528,'2.2.Brecha Efectiva x UdM'!$H$64:$AK$70,3,0))))</f>
        <v>0</v>
      </c>
      <c r="O548" s="31">
        <f>(VLOOKUP($A548,$A$458:$O$482,4,0)*(HLOOKUP(O$528,'2.2.Brecha Efectiva x UdM'!$H$86:$AK$92,3,0))+(VLOOKUP($A548,$A$4:$O$27,4,0)*(HLOOKUP(O$528,'2.2.Brecha Efectiva x UdM'!$H$64:$AK$70,3,0))))</f>
        <v>0</v>
      </c>
      <c r="P548" s="31">
        <f>(VLOOKUP($A548,$A$458:$O$482,4,0)*(HLOOKUP(P$528,'2.2.Brecha Efectiva x UdM'!$H$86:$AK$92,3,0))+(VLOOKUP($A548,$A$4:$O$27,4,0)*(HLOOKUP(P$528,'2.2.Brecha Efectiva x UdM'!$H$64:$AK$70,3,0))))</f>
        <v>0</v>
      </c>
      <c r="Q548" s="31">
        <f>(VLOOKUP($A548,$A$458:$O$482,4,0)*(HLOOKUP(Q$528,'2.2.Brecha Efectiva x UdM'!$H$86:$AK$92,3,0))+(VLOOKUP($A548,$A$4:$O$27,4,0)*(HLOOKUP(Q$528,'2.2.Brecha Efectiva x UdM'!$H$64:$AK$70,3,0))))</f>
        <v>0</v>
      </c>
      <c r="R548" s="31">
        <f>(VLOOKUP($A548,$A$458:$O$482,4,0)*(HLOOKUP(R$528,'2.2.Brecha Efectiva x UdM'!$H$86:$AK$92,3,0))+(VLOOKUP($A548,$A$4:$O$27,4,0)*(HLOOKUP(R$528,'2.2.Brecha Efectiva x UdM'!$H$64:$AK$70,3,0))))</f>
        <v>0</v>
      </c>
      <c r="S548" s="31">
        <f>(VLOOKUP($A548,$A$458:$O$482,4,0)*(HLOOKUP(S$528,'2.2.Brecha Efectiva x UdM'!$H$86:$AK$92,3,0))+(VLOOKUP($A548,$A$4:$O$27,4,0)*(HLOOKUP(S$528,'2.2.Brecha Efectiva x UdM'!$H$64:$AK$70,3,0))))</f>
        <v>0</v>
      </c>
      <c r="T548" s="31">
        <f>(VLOOKUP($A548,$A$458:$O$482,4,0)*(HLOOKUP(T$528,'2.2.Brecha Efectiva x UdM'!$H$86:$AK$92,3,0))+(VLOOKUP($A548,$A$4:$O$27,4,0)*(HLOOKUP(T$528,'2.2.Brecha Efectiva x UdM'!$H$64:$AK$70,3,0))))</f>
        <v>0</v>
      </c>
      <c r="U548" s="31">
        <f>(VLOOKUP($A548,$A$458:$O$482,4,0)*(HLOOKUP(U$528,'2.2.Brecha Efectiva x UdM'!$H$86:$AK$92,3,0))+(VLOOKUP($A548,$A$4:$O$27,4,0)*(HLOOKUP(U$528,'2.2.Brecha Efectiva x UdM'!$H$64:$AK$70,3,0))))</f>
        <v>0</v>
      </c>
      <c r="V548" s="31">
        <f>(VLOOKUP($A548,$A$458:$O$482,4,0)*(HLOOKUP(V$528,'2.2.Brecha Efectiva x UdM'!$H$86:$AK$92,3,0))+(VLOOKUP($A548,$A$4:$O$27,4,0)*(HLOOKUP(V$528,'2.2.Brecha Efectiva x UdM'!$H$64:$AK$70,3,0))))</f>
        <v>0</v>
      </c>
      <c r="W548" s="31">
        <f>(VLOOKUP($A548,$A$458:$O$482,4,0)*(HLOOKUP(W$528,'2.2.Brecha Efectiva x UdM'!$H$86:$AK$92,3,0))+(VLOOKUP($A548,$A$4:$O$27,4,0)*(HLOOKUP(W$528,'2.2.Brecha Efectiva x UdM'!$H$64:$AK$70,3,0))))</f>
        <v>0</v>
      </c>
      <c r="X548" s="31">
        <f>(VLOOKUP($A548,$A$458:$O$482,4,0)*(HLOOKUP(X$528,'2.2.Brecha Efectiva x UdM'!$H$86:$AK$92,3,0))+(VLOOKUP($A548,$A$4:$O$27,4,0)*(HLOOKUP(X$528,'2.2.Brecha Efectiva x UdM'!$H$64:$AK$70,3,0))))</f>
        <v>0</v>
      </c>
      <c r="Y548" s="31">
        <f>(VLOOKUP($A548,$A$458:$O$482,4,0)*(HLOOKUP(Y$528,'2.2.Brecha Efectiva x UdM'!$H$86:$AK$92,3,0))+(VLOOKUP($A548,$A$4:$O$27,4,0)*(HLOOKUP(Y$528,'2.2.Brecha Efectiva x UdM'!$H$64:$AK$70,3,0))))</f>
        <v>0</v>
      </c>
      <c r="Z548" s="31">
        <f>(VLOOKUP($A548,$A$458:$O$482,4,0)*(HLOOKUP(Z$528,'2.2.Brecha Efectiva x UdM'!$H$86:$AK$92,3,0))+(VLOOKUP($A548,$A$4:$O$27,4,0)*(HLOOKUP(Z$528,'2.2.Brecha Efectiva x UdM'!$H$64:$AK$70,3,0))))</f>
        <v>0</v>
      </c>
      <c r="AA548" s="31">
        <f>(VLOOKUP($A548,$A$458:$O$482,4,0)*(HLOOKUP(AA$528,'2.2.Brecha Efectiva x UdM'!$H$86:$AK$92,3,0))+(VLOOKUP($A548,$A$4:$O$27,4,0)*(HLOOKUP(AA$528,'2.2.Brecha Efectiva x UdM'!$H$64:$AK$70,3,0))))</f>
        <v>0</v>
      </c>
      <c r="AB548" s="31">
        <f>(VLOOKUP($A548,$A$458:$O$482,4,0)*(HLOOKUP(AB$528,'2.2.Brecha Efectiva x UdM'!$H$86:$AK$92,3,0))+(VLOOKUP($A548,$A$4:$O$27,4,0)*(HLOOKUP(AB$528,'2.2.Brecha Efectiva x UdM'!$H$64:$AK$70,3,0))))</f>
        <v>0</v>
      </c>
      <c r="AC548" s="31">
        <f>(VLOOKUP($A548,$A$458:$O$482,4,0)*(HLOOKUP(AC$528,'2.2.Brecha Efectiva x UdM'!$H$86:$AK$92,3,0))+(VLOOKUP($A548,$A$4:$O$27,4,0)*(HLOOKUP(AC$528,'2.2.Brecha Efectiva x UdM'!$H$64:$AK$70,3,0))))</f>
        <v>0</v>
      </c>
      <c r="AD548" s="31">
        <f>(VLOOKUP($A548,$A$458:$O$482,4,0)*(HLOOKUP(AD$528,'2.2.Brecha Efectiva x UdM'!$H$86:$AK$92,3,0))+(VLOOKUP($A548,$A$4:$O$27,4,0)*(HLOOKUP(AD$528,'2.2.Brecha Efectiva x UdM'!$H$64:$AK$70,3,0))))</f>
        <v>0</v>
      </c>
      <c r="AE548" s="31">
        <f>(VLOOKUP($A548,$A$458:$O$482,4,0)*(HLOOKUP(AE$528,'2.2.Brecha Efectiva x UdM'!$H$86:$AK$92,3,0))+(VLOOKUP($A548,$A$4:$O$27,4,0)*(HLOOKUP(AE$528,'2.2.Brecha Efectiva x UdM'!$H$64:$AK$70,3,0))))</f>
        <v>0</v>
      </c>
      <c r="AF548" s="31">
        <f>(VLOOKUP($A548,$A$458:$O$482,4,0)*(HLOOKUP(AF$528,'2.2.Brecha Efectiva x UdM'!$H$86:$AK$92,3,0))+(VLOOKUP($A548,$A$4:$O$27,4,0)*(HLOOKUP(AF$528,'2.2.Brecha Efectiva x UdM'!$H$64:$AK$70,3,0))))</f>
        <v>0</v>
      </c>
      <c r="AG548" s="31">
        <f>(VLOOKUP($A548,$A$458:$O$482,4,0)*(HLOOKUP(AG$528,'2.2.Brecha Efectiva x UdM'!$H$86:$AK$92,3,0))+(VLOOKUP($A548,$A$4:$O$27,4,0)*(HLOOKUP(AG$528,'2.2.Brecha Efectiva x UdM'!$H$64:$AK$70,3,0))))</f>
        <v>0</v>
      </c>
      <c r="AH548" s="63">
        <f t="shared" si="505"/>
        <v>2709790412.028923</v>
      </c>
    </row>
    <row r="549" spans="1:34" x14ac:dyDescent="0.2">
      <c r="A549" s="25" t="str">
        <f t="shared" si="502"/>
        <v>Santa Fe</v>
      </c>
      <c r="B549" s="51" t="str">
        <f t="shared" si="503"/>
        <v>Nombre UdM 2</v>
      </c>
      <c r="C549" s="25" t="str">
        <f t="shared" si="504"/>
        <v>Santa Fe Nombre UdM 2</v>
      </c>
      <c r="D549" s="32">
        <f>(VLOOKUP($A549,$A$458:$O$482,4,0)*(HLOOKUP(D$528,'2.2.Brecha Efectiva x UdM'!$H$86:$AK$92,3,0))+(VLOOKUP($A549,$A$4:$O$27,4,0)*(HLOOKUP(D$528,'2.2.Brecha Efectiva x UdM'!$H$64:$AK$70,3,0))))</f>
        <v>21701587.159595877</v>
      </c>
      <c r="E549" s="32">
        <f>(VLOOKUP($A549,$A$458:$O$482,4,0)*(HLOOKUP(E$528,'2.2.Brecha Efectiva x UdM'!$H$86:$AK$92,3,0))+(VLOOKUP($A549,$A$4:$O$27,4,0)*(HLOOKUP(E$528,'2.2.Brecha Efectiva x UdM'!$H$64:$AK$70,3,0))))</f>
        <v>23249276.877649833</v>
      </c>
      <c r="F549" s="32">
        <f>(VLOOKUP($A549,$A$458:$O$482,4,0)*(HLOOKUP(F$528,'2.2.Brecha Efectiva x UdM'!$H$86:$AK$92,3,0))+(VLOOKUP($A549,$A$4:$O$27,4,0)*(HLOOKUP(F$528,'2.2.Brecha Efectiva x UdM'!$H$64:$AK$70,3,0))))</f>
        <v>35098550.625783846</v>
      </c>
      <c r="G549" s="32">
        <f>(VLOOKUP($A549,$A$458:$O$482,4,0)*(HLOOKUP(G$528,'2.2.Brecha Efectiva x UdM'!$H$86:$AK$92,3,0))+(VLOOKUP($A549,$A$4:$O$27,4,0)*(HLOOKUP(G$528,'2.2.Brecha Efectiva x UdM'!$H$64:$AK$70,3,0))))</f>
        <v>0</v>
      </c>
      <c r="H549" s="32">
        <f>(VLOOKUP($A549,$A$458:$O$482,4,0)*(HLOOKUP(H$528,'2.2.Brecha Efectiva x UdM'!$H$86:$AK$92,3,0))+(VLOOKUP($A549,$A$4:$O$27,4,0)*(HLOOKUP(H$528,'2.2.Brecha Efectiva x UdM'!$H$64:$AK$70,3,0))))</f>
        <v>0</v>
      </c>
      <c r="I549" s="32">
        <f>(VLOOKUP($A549,$A$458:$O$482,4,0)*(HLOOKUP(I$528,'2.2.Brecha Efectiva x UdM'!$H$86:$AK$92,3,0))+(VLOOKUP($A549,$A$4:$O$27,4,0)*(HLOOKUP(I$528,'2.2.Brecha Efectiva x UdM'!$H$64:$AK$70,3,0))))</f>
        <v>0</v>
      </c>
      <c r="J549" s="32">
        <f>(VLOOKUP($A549,$A$458:$O$482,4,0)*(HLOOKUP(J$528,'2.2.Brecha Efectiva x UdM'!$H$86:$AK$92,3,0))+(VLOOKUP($A549,$A$4:$O$27,4,0)*(HLOOKUP(J$528,'2.2.Brecha Efectiva x UdM'!$H$64:$AK$70,3,0))))</f>
        <v>0</v>
      </c>
      <c r="K549" s="32">
        <f>(VLOOKUP($A549,$A$458:$O$482,4,0)*(HLOOKUP(K$528,'2.2.Brecha Efectiva x UdM'!$H$86:$AK$92,3,0))+(VLOOKUP($A549,$A$4:$O$27,4,0)*(HLOOKUP(K$528,'2.2.Brecha Efectiva x UdM'!$H$64:$AK$70,3,0))))</f>
        <v>0</v>
      </c>
      <c r="L549" s="32">
        <f>(VLOOKUP($A549,$A$458:$O$482,4,0)*(HLOOKUP(L$528,'2.2.Brecha Efectiva x UdM'!$H$86:$AK$92,3,0))+(VLOOKUP($A549,$A$4:$O$27,4,0)*(HLOOKUP(L$528,'2.2.Brecha Efectiva x UdM'!$H$64:$AK$70,3,0))))</f>
        <v>0</v>
      </c>
      <c r="M549" s="32">
        <f>(VLOOKUP($A549,$A$458:$O$482,4,0)*(HLOOKUP(M$528,'2.2.Brecha Efectiva x UdM'!$H$86:$AK$92,3,0))+(VLOOKUP($A549,$A$4:$O$27,4,0)*(HLOOKUP(M$528,'2.2.Brecha Efectiva x UdM'!$H$64:$AK$70,3,0))))</f>
        <v>0</v>
      </c>
      <c r="N549" s="32">
        <f>(VLOOKUP($A549,$A$458:$O$482,4,0)*(HLOOKUP(N$528,'2.2.Brecha Efectiva x UdM'!$H$86:$AK$92,3,0))+(VLOOKUP($A549,$A$4:$O$27,4,0)*(HLOOKUP(N$528,'2.2.Brecha Efectiva x UdM'!$H$64:$AK$70,3,0))))</f>
        <v>0</v>
      </c>
      <c r="O549" s="32">
        <f>(VLOOKUP($A549,$A$458:$O$482,4,0)*(HLOOKUP(O$528,'2.2.Brecha Efectiva x UdM'!$H$86:$AK$92,3,0))+(VLOOKUP($A549,$A$4:$O$27,4,0)*(HLOOKUP(O$528,'2.2.Brecha Efectiva x UdM'!$H$64:$AK$70,3,0))))</f>
        <v>0</v>
      </c>
      <c r="P549" s="32">
        <f>(VLOOKUP($A549,$A$458:$O$482,4,0)*(HLOOKUP(P$528,'2.2.Brecha Efectiva x UdM'!$H$86:$AK$92,3,0))+(VLOOKUP($A549,$A$4:$O$27,4,0)*(HLOOKUP(P$528,'2.2.Brecha Efectiva x UdM'!$H$64:$AK$70,3,0))))</f>
        <v>0</v>
      </c>
      <c r="Q549" s="32">
        <f>(VLOOKUP($A549,$A$458:$O$482,4,0)*(HLOOKUP(Q$528,'2.2.Brecha Efectiva x UdM'!$H$86:$AK$92,3,0))+(VLOOKUP($A549,$A$4:$O$27,4,0)*(HLOOKUP(Q$528,'2.2.Brecha Efectiva x UdM'!$H$64:$AK$70,3,0))))</f>
        <v>0</v>
      </c>
      <c r="R549" s="32">
        <f>(VLOOKUP($A549,$A$458:$O$482,4,0)*(HLOOKUP(R$528,'2.2.Brecha Efectiva x UdM'!$H$86:$AK$92,3,0))+(VLOOKUP($A549,$A$4:$O$27,4,0)*(HLOOKUP(R$528,'2.2.Brecha Efectiva x UdM'!$H$64:$AK$70,3,0))))</f>
        <v>0</v>
      </c>
      <c r="S549" s="32">
        <f>(VLOOKUP($A549,$A$458:$O$482,4,0)*(HLOOKUP(S$528,'2.2.Brecha Efectiva x UdM'!$H$86:$AK$92,3,0))+(VLOOKUP($A549,$A$4:$O$27,4,0)*(HLOOKUP(S$528,'2.2.Brecha Efectiva x UdM'!$H$64:$AK$70,3,0))))</f>
        <v>0</v>
      </c>
      <c r="T549" s="32">
        <f>(VLOOKUP($A549,$A$458:$O$482,4,0)*(HLOOKUP(T$528,'2.2.Brecha Efectiva x UdM'!$H$86:$AK$92,3,0))+(VLOOKUP($A549,$A$4:$O$27,4,0)*(HLOOKUP(T$528,'2.2.Brecha Efectiva x UdM'!$H$64:$AK$70,3,0))))</f>
        <v>0</v>
      </c>
      <c r="U549" s="32">
        <f>(VLOOKUP($A549,$A$458:$O$482,4,0)*(HLOOKUP(U$528,'2.2.Brecha Efectiva x UdM'!$H$86:$AK$92,3,0))+(VLOOKUP($A549,$A$4:$O$27,4,0)*(HLOOKUP(U$528,'2.2.Brecha Efectiva x UdM'!$H$64:$AK$70,3,0))))</f>
        <v>0</v>
      </c>
      <c r="V549" s="32">
        <f>(VLOOKUP($A549,$A$458:$O$482,4,0)*(HLOOKUP(V$528,'2.2.Brecha Efectiva x UdM'!$H$86:$AK$92,3,0))+(VLOOKUP($A549,$A$4:$O$27,4,0)*(HLOOKUP(V$528,'2.2.Brecha Efectiva x UdM'!$H$64:$AK$70,3,0))))</f>
        <v>0</v>
      </c>
      <c r="W549" s="32">
        <f>(VLOOKUP($A549,$A$458:$O$482,4,0)*(HLOOKUP(W$528,'2.2.Brecha Efectiva x UdM'!$H$86:$AK$92,3,0))+(VLOOKUP($A549,$A$4:$O$27,4,0)*(HLOOKUP(W$528,'2.2.Brecha Efectiva x UdM'!$H$64:$AK$70,3,0))))</f>
        <v>0</v>
      </c>
      <c r="X549" s="32">
        <f>(VLOOKUP($A549,$A$458:$O$482,4,0)*(HLOOKUP(X$528,'2.2.Brecha Efectiva x UdM'!$H$86:$AK$92,3,0))+(VLOOKUP($A549,$A$4:$O$27,4,0)*(HLOOKUP(X$528,'2.2.Brecha Efectiva x UdM'!$H$64:$AK$70,3,0))))</f>
        <v>0</v>
      </c>
      <c r="Y549" s="32">
        <f>(VLOOKUP($A549,$A$458:$O$482,4,0)*(HLOOKUP(Y$528,'2.2.Brecha Efectiva x UdM'!$H$86:$AK$92,3,0))+(VLOOKUP($A549,$A$4:$O$27,4,0)*(HLOOKUP(Y$528,'2.2.Brecha Efectiva x UdM'!$H$64:$AK$70,3,0))))</f>
        <v>0</v>
      </c>
      <c r="Z549" s="32">
        <f>(VLOOKUP($A549,$A$458:$O$482,4,0)*(HLOOKUP(Z$528,'2.2.Brecha Efectiva x UdM'!$H$86:$AK$92,3,0))+(VLOOKUP($A549,$A$4:$O$27,4,0)*(HLOOKUP(Z$528,'2.2.Brecha Efectiva x UdM'!$H$64:$AK$70,3,0))))</f>
        <v>0</v>
      </c>
      <c r="AA549" s="32">
        <f>(VLOOKUP($A549,$A$458:$O$482,4,0)*(HLOOKUP(AA$528,'2.2.Brecha Efectiva x UdM'!$H$86:$AK$92,3,0))+(VLOOKUP($A549,$A$4:$O$27,4,0)*(HLOOKUP(AA$528,'2.2.Brecha Efectiva x UdM'!$H$64:$AK$70,3,0))))</f>
        <v>0</v>
      </c>
      <c r="AB549" s="32">
        <f>(VLOOKUP($A549,$A$458:$O$482,4,0)*(HLOOKUP(AB$528,'2.2.Brecha Efectiva x UdM'!$H$86:$AK$92,3,0))+(VLOOKUP($A549,$A$4:$O$27,4,0)*(HLOOKUP(AB$528,'2.2.Brecha Efectiva x UdM'!$H$64:$AK$70,3,0))))</f>
        <v>0</v>
      </c>
      <c r="AC549" s="32">
        <f>(VLOOKUP($A549,$A$458:$O$482,4,0)*(HLOOKUP(AC$528,'2.2.Brecha Efectiva x UdM'!$H$86:$AK$92,3,0))+(VLOOKUP($A549,$A$4:$O$27,4,0)*(HLOOKUP(AC$528,'2.2.Brecha Efectiva x UdM'!$H$64:$AK$70,3,0))))</f>
        <v>0</v>
      </c>
      <c r="AD549" s="32">
        <f>(VLOOKUP($A549,$A$458:$O$482,4,0)*(HLOOKUP(AD$528,'2.2.Brecha Efectiva x UdM'!$H$86:$AK$92,3,0))+(VLOOKUP($A549,$A$4:$O$27,4,0)*(HLOOKUP(AD$528,'2.2.Brecha Efectiva x UdM'!$H$64:$AK$70,3,0))))</f>
        <v>0</v>
      </c>
      <c r="AE549" s="32">
        <f>(VLOOKUP($A549,$A$458:$O$482,4,0)*(HLOOKUP(AE$528,'2.2.Brecha Efectiva x UdM'!$H$86:$AK$92,3,0))+(VLOOKUP($A549,$A$4:$O$27,4,0)*(HLOOKUP(AE$528,'2.2.Brecha Efectiva x UdM'!$H$64:$AK$70,3,0))))</f>
        <v>0</v>
      </c>
      <c r="AF549" s="32">
        <f>(VLOOKUP($A549,$A$458:$O$482,4,0)*(HLOOKUP(AF$528,'2.2.Brecha Efectiva x UdM'!$H$86:$AK$92,3,0))+(VLOOKUP($A549,$A$4:$O$27,4,0)*(HLOOKUP(AF$528,'2.2.Brecha Efectiva x UdM'!$H$64:$AK$70,3,0))))</f>
        <v>0</v>
      </c>
      <c r="AG549" s="32">
        <f>(VLOOKUP($A549,$A$458:$O$482,4,0)*(HLOOKUP(AG$528,'2.2.Brecha Efectiva x UdM'!$H$86:$AK$92,3,0))+(VLOOKUP($A549,$A$4:$O$27,4,0)*(HLOOKUP(AG$528,'2.2.Brecha Efectiva x UdM'!$H$64:$AK$70,3,0))))</f>
        <v>0</v>
      </c>
      <c r="AH549" s="62">
        <f t="shared" si="505"/>
        <v>80049414.663029552</v>
      </c>
    </row>
    <row r="550" spans="1:34" x14ac:dyDescent="0.2">
      <c r="A550" s="26" t="str">
        <f t="shared" si="502"/>
        <v>Santiago del Estero</v>
      </c>
      <c r="B550" s="52" t="str">
        <f t="shared" si="503"/>
        <v>Nombre UdM 2</v>
      </c>
      <c r="C550" s="26" t="str">
        <f t="shared" si="504"/>
        <v>Santiago del Estero Nombre UdM 2</v>
      </c>
      <c r="D550" s="31">
        <f>(VLOOKUP($A550,$A$458:$O$482,4,0)*(HLOOKUP(D$528,'2.2.Brecha Efectiva x UdM'!$H$86:$AK$92,3,0))+(VLOOKUP($A550,$A$4:$O$27,4,0)*(HLOOKUP(D$528,'2.2.Brecha Efectiva x UdM'!$H$64:$AK$70,3,0))))</f>
        <v>19961165.791676287</v>
      </c>
      <c r="E550" s="31">
        <f>(VLOOKUP($A550,$A$458:$O$482,4,0)*(HLOOKUP(E$528,'2.2.Brecha Efectiva x UdM'!$H$86:$AK$92,3,0))+(VLOOKUP($A550,$A$4:$O$27,4,0)*(HLOOKUP(E$528,'2.2.Brecha Efectiva x UdM'!$H$64:$AK$70,3,0))))</f>
        <v>21384734.069376536</v>
      </c>
      <c r="F550" s="31">
        <f>(VLOOKUP($A550,$A$458:$O$482,4,0)*(HLOOKUP(F$528,'2.2.Brecha Efectiva x UdM'!$H$86:$AK$92,3,0))+(VLOOKUP($A550,$A$4:$O$27,4,0)*(HLOOKUP(F$528,'2.2.Brecha Efectiva x UdM'!$H$64:$AK$70,3,0))))</f>
        <v>32283721.136913449</v>
      </c>
      <c r="G550" s="31">
        <f>(VLOOKUP($A550,$A$458:$O$482,4,0)*(HLOOKUP(G$528,'2.2.Brecha Efectiva x UdM'!$H$86:$AK$92,3,0))+(VLOOKUP($A550,$A$4:$O$27,4,0)*(HLOOKUP(G$528,'2.2.Brecha Efectiva x UdM'!$H$64:$AK$70,3,0))))</f>
        <v>0</v>
      </c>
      <c r="H550" s="31">
        <f>(VLOOKUP($A550,$A$458:$O$482,4,0)*(HLOOKUP(H$528,'2.2.Brecha Efectiva x UdM'!$H$86:$AK$92,3,0))+(VLOOKUP($A550,$A$4:$O$27,4,0)*(HLOOKUP(H$528,'2.2.Brecha Efectiva x UdM'!$H$64:$AK$70,3,0))))</f>
        <v>0</v>
      </c>
      <c r="I550" s="31">
        <f>(VLOOKUP($A550,$A$458:$O$482,4,0)*(HLOOKUP(I$528,'2.2.Brecha Efectiva x UdM'!$H$86:$AK$92,3,0))+(VLOOKUP($A550,$A$4:$O$27,4,0)*(HLOOKUP(I$528,'2.2.Brecha Efectiva x UdM'!$H$64:$AK$70,3,0))))</f>
        <v>0</v>
      </c>
      <c r="J550" s="31">
        <f>(VLOOKUP($A550,$A$458:$O$482,4,0)*(HLOOKUP(J$528,'2.2.Brecha Efectiva x UdM'!$H$86:$AK$92,3,0))+(VLOOKUP($A550,$A$4:$O$27,4,0)*(HLOOKUP(J$528,'2.2.Brecha Efectiva x UdM'!$H$64:$AK$70,3,0))))</f>
        <v>0</v>
      </c>
      <c r="K550" s="31">
        <f>(VLOOKUP($A550,$A$458:$O$482,4,0)*(HLOOKUP(K$528,'2.2.Brecha Efectiva x UdM'!$H$86:$AK$92,3,0))+(VLOOKUP($A550,$A$4:$O$27,4,0)*(HLOOKUP(K$528,'2.2.Brecha Efectiva x UdM'!$H$64:$AK$70,3,0))))</f>
        <v>0</v>
      </c>
      <c r="L550" s="31">
        <f>(VLOOKUP($A550,$A$458:$O$482,4,0)*(HLOOKUP(L$528,'2.2.Brecha Efectiva x UdM'!$H$86:$AK$92,3,0))+(VLOOKUP($A550,$A$4:$O$27,4,0)*(HLOOKUP(L$528,'2.2.Brecha Efectiva x UdM'!$H$64:$AK$70,3,0))))</f>
        <v>0</v>
      </c>
      <c r="M550" s="31">
        <f>(VLOOKUP($A550,$A$458:$O$482,4,0)*(HLOOKUP(M$528,'2.2.Brecha Efectiva x UdM'!$H$86:$AK$92,3,0))+(VLOOKUP($A550,$A$4:$O$27,4,0)*(HLOOKUP(M$528,'2.2.Brecha Efectiva x UdM'!$H$64:$AK$70,3,0))))</f>
        <v>0</v>
      </c>
      <c r="N550" s="31">
        <f>(VLOOKUP($A550,$A$458:$O$482,4,0)*(HLOOKUP(N$528,'2.2.Brecha Efectiva x UdM'!$H$86:$AK$92,3,0))+(VLOOKUP($A550,$A$4:$O$27,4,0)*(HLOOKUP(N$528,'2.2.Brecha Efectiva x UdM'!$H$64:$AK$70,3,0))))</f>
        <v>0</v>
      </c>
      <c r="O550" s="31">
        <f>(VLOOKUP($A550,$A$458:$O$482,4,0)*(HLOOKUP(O$528,'2.2.Brecha Efectiva x UdM'!$H$86:$AK$92,3,0))+(VLOOKUP($A550,$A$4:$O$27,4,0)*(HLOOKUP(O$528,'2.2.Brecha Efectiva x UdM'!$H$64:$AK$70,3,0))))</f>
        <v>0</v>
      </c>
      <c r="P550" s="31">
        <f>(VLOOKUP($A550,$A$458:$O$482,4,0)*(HLOOKUP(P$528,'2.2.Brecha Efectiva x UdM'!$H$86:$AK$92,3,0))+(VLOOKUP($A550,$A$4:$O$27,4,0)*(HLOOKUP(P$528,'2.2.Brecha Efectiva x UdM'!$H$64:$AK$70,3,0))))</f>
        <v>0</v>
      </c>
      <c r="Q550" s="31">
        <f>(VLOOKUP($A550,$A$458:$O$482,4,0)*(HLOOKUP(Q$528,'2.2.Brecha Efectiva x UdM'!$H$86:$AK$92,3,0))+(VLOOKUP($A550,$A$4:$O$27,4,0)*(HLOOKUP(Q$528,'2.2.Brecha Efectiva x UdM'!$H$64:$AK$70,3,0))))</f>
        <v>0</v>
      </c>
      <c r="R550" s="31">
        <f>(VLOOKUP($A550,$A$458:$O$482,4,0)*(HLOOKUP(R$528,'2.2.Brecha Efectiva x UdM'!$H$86:$AK$92,3,0))+(VLOOKUP($A550,$A$4:$O$27,4,0)*(HLOOKUP(R$528,'2.2.Brecha Efectiva x UdM'!$H$64:$AK$70,3,0))))</f>
        <v>0</v>
      </c>
      <c r="S550" s="31">
        <f>(VLOOKUP($A550,$A$458:$O$482,4,0)*(HLOOKUP(S$528,'2.2.Brecha Efectiva x UdM'!$H$86:$AK$92,3,0))+(VLOOKUP($A550,$A$4:$O$27,4,0)*(HLOOKUP(S$528,'2.2.Brecha Efectiva x UdM'!$H$64:$AK$70,3,0))))</f>
        <v>0</v>
      </c>
      <c r="T550" s="31">
        <f>(VLOOKUP($A550,$A$458:$O$482,4,0)*(HLOOKUP(T$528,'2.2.Brecha Efectiva x UdM'!$H$86:$AK$92,3,0))+(VLOOKUP($A550,$A$4:$O$27,4,0)*(HLOOKUP(T$528,'2.2.Brecha Efectiva x UdM'!$H$64:$AK$70,3,0))))</f>
        <v>0</v>
      </c>
      <c r="U550" s="31">
        <f>(VLOOKUP($A550,$A$458:$O$482,4,0)*(HLOOKUP(U$528,'2.2.Brecha Efectiva x UdM'!$H$86:$AK$92,3,0))+(VLOOKUP($A550,$A$4:$O$27,4,0)*(HLOOKUP(U$528,'2.2.Brecha Efectiva x UdM'!$H$64:$AK$70,3,0))))</f>
        <v>0</v>
      </c>
      <c r="V550" s="31">
        <f>(VLOOKUP($A550,$A$458:$O$482,4,0)*(HLOOKUP(V$528,'2.2.Brecha Efectiva x UdM'!$H$86:$AK$92,3,0))+(VLOOKUP($A550,$A$4:$O$27,4,0)*(HLOOKUP(V$528,'2.2.Brecha Efectiva x UdM'!$H$64:$AK$70,3,0))))</f>
        <v>0</v>
      </c>
      <c r="W550" s="31">
        <f>(VLOOKUP($A550,$A$458:$O$482,4,0)*(HLOOKUP(W$528,'2.2.Brecha Efectiva x UdM'!$H$86:$AK$92,3,0))+(VLOOKUP($A550,$A$4:$O$27,4,0)*(HLOOKUP(W$528,'2.2.Brecha Efectiva x UdM'!$H$64:$AK$70,3,0))))</f>
        <v>0</v>
      </c>
      <c r="X550" s="31">
        <f>(VLOOKUP($A550,$A$458:$O$482,4,0)*(HLOOKUP(X$528,'2.2.Brecha Efectiva x UdM'!$H$86:$AK$92,3,0))+(VLOOKUP($A550,$A$4:$O$27,4,0)*(HLOOKUP(X$528,'2.2.Brecha Efectiva x UdM'!$H$64:$AK$70,3,0))))</f>
        <v>0</v>
      </c>
      <c r="Y550" s="31">
        <f>(VLOOKUP($A550,$A$458:$O$482,4,0)*(HLOOKUP(Y$528,'2.2.Brecha Efectiva x UdM'!$H$86:$AK$92,3,0))+(VLOOKUP($A550,$A$4:$O$27,4,0)*(HLOOKUP(Y$528,'2.2.Brecha Efectiva x UdM'!$H$64:$AK$70,3,0))))</f>
        <v>0</v>
      </c>
      <c r="Z550" s="31">
        <f>(VLOOKUP($A550,$A$458:$O$482,4,0)*(HLOOKUP(Z$528,'2.2.Brecha Efectiva x UdM'!$H$86:$AK$92,3,0))+(VLOOKUP($A550,$A$4:$O$27,4,0)*(HLOOKUP(Z$528,'2.2.Brecha Efectiva x UdM'!$H$64:$AK$70,3,0))))</f>
        <v>0</v>
      </c>
      <c r="AA550" s="31">
        <f>(VLOOKUP($A550,$A$458:$O$482,4,0)*(HLOOKUP(AA$528,'2.2.Brecha Efectiva x UdM'!$H$86:$AK$92,3,0))+(VLOOKUP($A550,$A$4:$O$27,4,0)*(HLOOKUP(AA$528,'2.2.Brecha Efectiva x UdM'!$H$64:$AK$70,3,0))))</f>
        <v>0</v>
      </c>
      <c r="AB550" s="31">
        <f>(VLOOKUP($A550,$A$458:$O$482,4,0)*(HLOOKUP(AB$528,'2.2.Brecha Efectiva x UdM'!$H$86:$AK$92,3,0))+(VLOOKUP($A550,$A$4:$O$27,4,0)*(HLOOKUP(AB$528,'2.2.Brecha Efectiva x UdM'!$H$64:$AK$70,3,0))))</f>
        <v>0</v>
      </c>
      <c r="AC550" s="31">
        <f>(VLOOKUP($A550,$A$458:$O$482,4,0)*(HLOOKUP(AC$528,'2.2.Brecha Efectiva x UdM'!$H$86:$AK$92,3,0))+(VLOOKUP($A550,$A$4:$O$27,4,0)*(HLOOKUP(AC$528,'2.2.Brecha Efectiva x UdM'!$H$64:$AK$70,3,0))))</f>
        <v>0</v>
      </c>
      <c r="AD550" s="31">
        <f>(VLOOKUP($A550,$A$458:$O$482,4,0)*(HLOOKUP(AD$528,'2.2.Brecha Efectiva x UdM'!$H$86:$AK$92,3,0))+(VLOOKUP($A550,$A$4:$O$27,4,0)*(HLOOKUP(AD$528,'2.2.Brecha Efectiva x UdM'!$H$64:$AK$70,3,0))))</f>
        <v>0</v>
      </c>
      <c r="AE550" s="31">
        <f>(VLOOKUP($A550,$A$458:$O$482,4,0)*(HLOOKUP(AE$528,'2.2.Brecha Efectiva x UdM'!$H$86:$AK$92,3,0))+(VLOOKUP($A550,$A$4:$O$27,4,0)*(HLOOKUP(AE$528,'2.2.Brecha Efectiva x UdM'!$H$64:$AK$70,3,0))))</f>
        <v>0</v>
      </c>
      <c r="AF550" s="31">
        <f>(VLOOKUP($A550,$A$458:$O$482,4,0)*(HLOOKUP(AF$528,'2.2.Brecha Efectiva x UdM'!$H$86:$AK$92,3,0))+(VLOOKUP($A550,$A$4:$O$27,4,0)*(HLOOKUP(AF$528,'2.2.Brecha Efectiva x UdM'!$H$64:$AK$70,3,0))))</f>
        <v>0</v>
      </c>
      <c r="AG550" s="31">
        <f>(VLOOKUP($A550,$A$458:$O$482,4,0)*(HLOOKUP(AG$528,'2.2.Brecha Efectiva x UdM'!$H$86:$AK$92,3,0))+(VLOOKUP($A550,$A$4:$O$27,4,0)*(HLOOKUP(AG$528,'2.2.Brecha Efectiva x UdM'!$H$64:$AK$70,3,0))))</f>
        <v>0</v>
      </c>
      <c r="AH550" s="63">
        <f t="shared" si="505"/>
        <v>73629620.997966275</v>
      </c>
    </row>
    <row r="551" spans="1:34" x14ac:dyDescent="0.2">
      <c r="A551" s="25" t="str">
        <f t="shared" si="502"/>
        <v>Tierra del Fuego</v>
      </c>
      <c r="B551" s="51" t="str">
        <f t="shared" si="503"/>
        <v>Nombre UdM 2</v>
      </c>
      <c r="C551" s="25" t="str">
        <f t="shared" si="504"/>
        <v>Tierra del Fuego Nombre UdM 2</v>
      </c>
      <c r="D551" s="32">
        <f>(VLOOKUP($A551,$A$458:$O$482,4,0)*(HLOOKUP(D$528,'2.2.Brecha Efectiva x UdM'!$H$86:$AK$92,3,0))+(VLOOKUP($A551,$A$4:$O$27,4,0)*(HLOOKUP(D$528,'2.2.Brecha Efectiva x UdM'!$H$64:$AK$70,3,0))))</f>
        <v>67994077.654844061</v>
      </c>
      <c r="E551" s="32">
        <f>(VLOOKUP($A551,$A$458:$O$482,4,0)*(HLOOKUP(E$528,'2.2.Brecha Efectiva x UdM'!$H$86:$AK$92,3,0))+(VLOOKUP($A551,$A$4:$O$27,4,0)*(HLOOKUP(E$528,'2.2.Brecha Efectiva x UdM'!$H$64:$AK$70,3,0))))</f>
        <v>72843203.854741976</v>
      </c>
      <c r="F551" s="32">
        <f>(VLOOKUP($A551,$A$458:$O$482,4,0)*(HLOOKUP(F$528,'2.2.Brecha Efectiva x UdM'!$H$86:$AK$92,3,0))+(VLOOKUP($A551,$A$4:$O$27,4,0)*(HLOOKUP(F$528,'2.2.Brecha Efectiva x UdM'!$H$64:$AK$70,3,0))))</f>
        <v>109968619.31210303</v>
      </c>
      <c r="G551" s="32">
        <f>(VLOOKUP($A551,$A$458:$O$482,4,0)*(HLOOKUP(G$528,'2.2.Brecha Efectiva x UdM'!$H$86:$AK$92,3,0))+(VLOOKUP($A551,$A$4:$O$27,4,0)*(HLOOKUP(G$528,'2.2.Brecha Efectiva x UdM'!$H$64:$AK$70,3,0))))</f>
        <v>0</v>
      </c>
      <c r="H551" s="32">
        <f>(VLOOKUP($A551,$A$458:$O$482,4,0)*(HLOOKUP(H$528,'2.2.Brecha Efectiva x UdM'!$H$86:$AK$92,3,0))+(VLOOKUP($A551,$A$4:$O$27,4,0)*(HLOOKUP(H$528,'2.2.Brecha Efectiva x UdM'!$H$64:$AK$70,3,0))))</f>
        <v>0</v>
      </c>
      <c r="I551" s="32">
        <f>(VLOOKUP($A551,$A$458:$O$482,4,0)*(HLOOKUP(I$528,'2.2.Brecha Efectiva x UdM'!$H$86:$AK$92,3,0))+(VLOOKUP($A551,$A$4:$O$27,4,0)*(HLOOKUP(I$528,'2.2.Brecha Efectiva x UdM'!$H$64:$AK$70,3,0))))</f>
        <v>0</v>
      </c>
      <c r="J551" s="32">
        <f>(VLOOKUP($A551,$A$458:$O$482,4,0)*(HLOOKUP(J$528,'2.2.Brecha Efectiva x UdM'!$H$86:$AK$92,3,0))+(VLOOKUP($A551,$A$4:$O$27,4,0)*(HLOOKUP(J$528,'2.2.Brecha Efectiva x UdM'!$H$64:$AK$70,3,0))))</f>
        <v>0</v>
      </c>
      <c r="K551" s="32">
        <f>(VLOOKUP($A551,$A$458:$O$482,4,0)*(HLOOKUP(K$528,'2.2.Brecha Efectiva x UdM'!$H$86:$AK$92,3,0))+(VLOOKUP($A551,$A$4:$O$27,4,0)*(HLOOKUP(K$528,'2.2.Brecha Efectiva x UdM'!$H$64:$AK$70,3,0))))</f>
        <v>0</v>
      </c>
      <c r="L551" s="32">
        <f>(VLOOKUP($A551,$A$458:$O$482,4,0)*(HLOOKUP(L$528,'2.2.Brecha Efectiva x UdM'!$H$86:$AK$92,3,0))+(VLOOKUP($A551,$A$4:$O$27,4,0)*(HLOOKUP(L$528,'2.2.Brecha Efectiva x UdM'!$H$64:$AK$70,3,0))))</f>
        <v>0</v>
      </c>
      <c r="M551" s="32">
        <f>(VLOOKUP($A551,$A$458:$O$482,4,0)*(HLOOKUP(M$528,'2.2.Brecha Efectiva x UdM'!$H$86:$AK$92,3,0))+(VLOOKUP($A551,$A$4:$O$27,4,0)*(HLOOKUP(M$528,'2.2.Brecha Efectiva x UdM'!$H$64:$AK$70,3,0))))</f>
        <v>0</v>
      </c>
      <c r="N551" s="32">
        <f>(VLOOKUP($A551,$A$458:$O$482,4,0)*(HLOOKUP(N$528,'2.2.Brecha Efectiva x UdM'!$H$86:$AK$92,3,0))+(VLOOKUP($A551,$A$4:$O$27,4,0)*(HLOOKUP(N$528,'2.2.Brecha Efectiva x UdM'!$H$64:$AK$70,3,0))))</f>
        <v>0</v>
      </c>
      <c r="O551" s="32">
        <f>(VLOOKUP($A551,$A$458:$O$482,4,0)*(HLOOKUP(O$528,'2.2.Brecha Efectiva x UdM'!$H$86:$AK$92,3,0))+(VLOOKUP($A551,$A$4:$O$27,4,0)*(HLOOKUP(O$528,'2.2.Brecha Efectiva x UdM'!$H$64:$AK$70,3,0))))</f>
        <v>0</v>
      </c>
      <c r="P551" s="32">
        <f>(VLOOKUP($A551,$A$458:$O$482,4,0)*(HLOOKUP(P$528,'2.2.Brecha Efectiva x UdM'!$H$86:$AK$92,3,0))+(VLOOKUP($A551,$A$4:$O$27,4,0)*(HLOOKUP(P$528,'2.2.Brecha Efectiva x UdM'!$H$64:$AK$70,3,0))))</f>
        <v>0</v>
      </c>
      <c r="Q551" s="32">
        <f>(VLOOKUP($A551,$A$458:$O$482,4,0)*(HLOOKUP(Q$528,'2.2.Brecha Efectiva x UdM'!$H$86:$AK$92,3,0))+(VLOOKUP($A551,$A$4:$O$27,4,0)*(HLOOKUP(Q$528,'2.2.Brecha Efectiva x UdM'!$H$64:$AK$70,3,0))))</f>
        <v>0</v>
      </c>
      <c r="R551" s="32">
        <f>(VLOOKUP($A551,$A$458:$O$482,4,0)*(HLOOKUP(R$528,'2.2.Brecha Efectiva x UdM'!$H$86:$AK$92,3,0))+(VLOOKUP($A551,$A$4:$O$27,4,0)*(HLOOKUP(R$528,'2.2.Brecha Efectiva x UdM'!$H$64:$AK$70,3,0))))</f>
        <v>0</v>
      </c>
      <c r="S551" s="32">
        <f>(VLOOKUP($A551,$A$458:$O$482,4,0)*(HLOOKUP(S$528,'2.2.Brecha Efectiva x UdM'!$H$86:$AK$92,3,0))+(VLOOKUP($A551,$A$4:$O$27,4,0)*(HLOOKUP(S$528,'2.2.Brecha Efectiva x UdM'!$H$64:$AK$70,3,0))))</f>
        <v>0</v>
      </c>
      <c r="T551" s="32">
        <f>(VLOOKUP($A551,$A$458:$O$482,4,0)*(HLOOKUP(T$528,'2.2.Brecha Efectiva x UdM'!$H$86:$AK$92,3,0))+(VLOOKUP($A551,$A$4:$O$27,4,0)*(HLOOKUP(T$528,'2.2.Brecha Efectiva x UdM'!$H$64:$AK$70,3,0))))</f>
        <v>0</v>
      </c>
      <c r="U551" s="32">
        <f>(VLOOKUP($A551,$A$458:$O$482,4,0)*(HLOOKUP(U$528,'2.2.Brecha Efectiva x UdM'!$H$86:$AK$92,3,0))+(VLOOKUP($A551,$A$4:$O$27,4,0)*(HLOOKUP(U$528,'2.2.Brecha Efectiva x UdM'!$H$64:$AK$70,3,0))))</f>
        <v>0</v>
      </c>
      <c r="V551" s="32">
        <f>(VLOOKUP($A551,$A$458:$O$482,4,0)*(HLOOKUP(V$528,'2.2.Brecha Efectiva x UdM'!$H$86:$AK$92,3,0))+(VLOOKUP($A551,$A$4:$O$27,4,0)*(HLOOKUP(V$528,'2.2.Brecha Efectiva x UdM'!$H$64:$AK$70,3,0))))</f>
        <v>0</v>
      </c>
      <c r="W551" s="32">
        <f>(VLOOKUP($A551,$A$458:$O$482,4,0)*(HLOOKUP(W$528,'2.2.Brecha Efectiva x UdM'!$H$86:$AK$92,3,0))+(VLOOKUP($A551,$A$4:$O$27,4,0)*(HLOOKUP(W$528,'2.2.Brecha Efectiva x UdM'!$H$64:$AK$70,3,0))))</f>
        <v>0</v>
      </c>
      <c r="X551" s="32">
        <f>(VLOOKUP($A551,$A$458:$O$482,4,0)*(HLOOKUP(X$528,'2.2.Brecha Efectiva x UdM'!$H$86:$AK$92,3,0))+(VLOOKUP($A551,$A$4:$O$27,4,0)*(HLOOKUP(X$528,'2.2.Brecha Efectiva x UdM'!$H$64:$AK$70,3,0))))</f>
        <v>0</v>
      </c>
      <c r="Y551" s="32">
        <f>(VLOOKUP($A551,$A$458:$O$482,4,0)*(HLOOKUP(Y$528,'2.2.Brecha Efectiva x UdM'!$H$86:$AK$92,3,0))+(VLOOKUP($A551,$A$4:$O$27,4,0)*(HLOOKUP(Y$528,'2.2.Brecha Efectiva x UdM'!$H$64:$AK$70,3,0))))</f>
        <v>0</v>
      </c>
      <c r="Z551" s="32">
        <f>(VLOOKUP($A551,$A$458:$O$482,4,0)*(HLOOKUP(Z$528,'2.2.Brecha Efectiva x UdM'!$H$86:$AK$92,3,0))+(VLOOKUP($A551,$A$4:$O$27,4,0)*(HLOOKUP(Z$528,'2.2.Brecha Efectiva x UdM'!$H$64:$AK$70,3,0))))</f>
        <v>0</v>
      </c>
      <c r="AA551" s="32">
        <f>(VLOOKUP($A551,$A$458:$O$482,4,0)*(HLOOKUP(AA$528,'2.2.Brecha Efectiva x UdM'!$H$86:$AK$92,3,0))+(VLOOKUP($A551,$A$4:$O$27,4,0)*(HLOOKUP(AA$528,'2.2.Brecha Efectiva x UdM'!$H$64:$AK$70,3,0))))</f>
        <v>0</v>
      </c>
      <c r="AB551" s="32">
        <f>(VLOOKUP($A551,$A$458:$O$482,4,0)*(HLOOKUP(AB$528,'2.2.Brecha Efectiva x UdM'!$H$86:$AK$92,3,0))+(VLOOKUP($A551,$A$4:$O$27,4,0)*(HLOOKUP(AB$528,'2.2.Brecha Efectiva x UdM'!$H$64:$AK$70,3,0))))</f>
        <v>0</v>
      </c>
      <c r="AC551" s="32">
        <f>(VLOOKUP($A551,$A$458:$O$482,4,0)*(HLOOKUP(AC$528,'2.2.Brecha Efectiva x UdM'!$H$86:$AK$92,3,0))+(VLOOKUP($A551,$A$4:$O$27,4,0)*(HLOOKUP(AC$528,'2.2.Brecha Efectiva x UdM'!$H$64:$AK$70,3,0))))</f>
        <v>0</v>
      </c>
      <c r="AD551" s="32">
        <f>(VLOOKUP($A551,$A$458:$O$482,4,0)*(HLOOKUP(AD$528,'2.2.Brecha Efectiva x UdM'!$H$86:$AK$92,3,0))+(VLOOKUP($A551,$A$4:$O$27,4,0)*(HLOOKUP(AD$528,'2.2.Brecha Efectiva x UdM'!$H$64:$AK$70,3,0))))</f>
        <v>0</v>
      </c>
      <c r="AE551" s="32">
        <f>(VLOOKUP($A551,$A$458:$O$482,4,0)*(HLOOKUP(AE$528,'2.2.Brecha Efectiva x UdM'!$H$86:$AK$92,3,0))+(VLOOKUP($A551,$A$4:$O$27,4,0)*(HLOOKUP(AE$528,'2.2.Brecha Efectiva x UdM'!$H$64:$AK$70,3,0))))</f>
        <v>0</v>
      </c>
      <c r="AF551" s="32">
        <f>(VLOOKUP($A551,$A$458:$O$482,4,0)*(HLOOKUP(AF$528,'2.2.Brecha Efectiva x UdM'!$H$86:$AK$92,3,0))+(VLOOKUP($A551,$A$4:$O$27,4,0)*(HLOOKUP(AF$528,'2.2.Brecha Efectiva x UdM'!$H$64:$AK$70,3,0))))</f>
        <v>0</v>
      </c>
      <c r="AG551" s="32">
        <f>(VLOOKUP($A551,$A$458:$O$482,4,0)*(HLOOKUP(AG$528,'2.2.Brecha Efectiva x UdM'!$H$86:$AK$92,3,0))+(VLOOKUP($A551,$A$4:$O$27,4,0)*(HLOOKUP(AG$528,'2.2.Brecha Efectiva x UdM'!$H$64:$AK$70,3,0))))</f>
        <v>0</v>
      </c>
      <c r="AH551" s="62">
        <f t="shared" si="505"/>
        <v>250805900.82168907</v>
      </c>
    </row>
    <row r="552" spans="1:34" x14ac:dyDescent="0.2">
      <c r="A552" s="26" t="str">
        <f t="shared" si="502"/>
        <v>Tucumán</v>
      </c>
      <c r="B552" s="52" t="str">
        <f t="shared" si="503"/>
        <v>Nombre UdM 2</v>
      </c>
      <c r="C552" s="26" t="str">
        <f t="shared" si="504"/>
        <v>Tucumán Nombre UdM 2</v>
      </c>
      <c r="D552" s="31">
        <f>(VLOOKUP($A552,$A$458:$O$482,4,0)*(HLOOKUP(D$528,'2.2.Brecha Efectiva x UdM'!$H$86:$AK$92,3,0))+(VLOOKUP($A552,$A$4:$O$27,4,0)*(HLOOKUP(D$528,'2.2.Brecha Efectiva x UdM'!$H$64:$AK$70,3,0))))</f>
        <v>11721004.263757732</v>
      </c>
      <c r="E552" s="31">
        <f>(VLOOKUP($A552,$A$458:$O$482,4,0)*(HLOOKUP(E$528,'2.2.Brecha Efectiva x UdM'!$H$86:$AK$92,3,0))+(VLOOKUP($A552,$A$4:$O$27,4,0)*(HLOOKUP(E$528,'2.2.Brecha Efectiva x UdM'!$H$64:$AK$70,3,0))))</f>
        <v>12556909.842961565</v>
      </c>
      <c r="F552" s="31">
        <f>(VLOOKUP($A552,$A$458:$O$482,4,0)*(HLOOKUP(F$528,'2.2.Brecha Efectiva x UdM'!$H$86:$AK$92,3,0))+(VLOOKUP($A552,$A$4:$O$27,4,0)*(HLOOKUP(F$528,'2.2.Brecha Efectiva x UdM'!$H$64:$AK$70,3,0))))</f>
        <v>18956690.057327121</v>
      </c>
      <c r="G552" s="31">
        <f>(VLOOKUP($A552,$A$458:$O$482,4,0)*(HLOOKUP(G$528,'2.2.Brecha Efectiva x UdM'!$H$86:$AK$92,3,0))+(VLOOKUP($A552,$A$4:$O$27,4,0)*(HLOOKUP(G$528,'2.2.Brecha Efectiva x UdM'!$H$64:$AK$70,3,0))))</f>
        <v>0</v>
      </c>
      <c r="H552" s="31">
        <f>(VLOOKUP($A552,$A$458:$O$482,4,0)*(HLOOKUP(H$528,'2.2.Brecha Efectiva x UdM'!$H$86:$AK$92,3,0))+(VLOOKUP($A552,$A$4:$O$27,4,0)*(HLOOKUP(H$528,'2.2.Brecha Efectiva x UdM'!$H$64:$AK$70,3,0))))</f>
        <v>0</v>
      </c>
      <c r="I552" s="31">
        <f>(VLOOKUP($A552,$A$458:$O$482,4,0)*(HLOOKUP(I$528,'2.2.Brecha Efectiva x UdM'!$H$86:$AK$92,3,0))+(VLOOKUP($A552,$A$4:$O$27,4,0)*(HLOOKUP(I$528,'2.2.Brecha Efectiva x UdM'!$H$64:$AK$70,3,0))))</f>
        <v>0</v>
      </c>
      <c r="J552" s="31">
        <f>(VLOOKUP($A552,$A$458:$O$482,4,0)*(HLOOKUP(J$528,'2.2.Brecha Efectiva x UdM'!$H$86:$AK$92,3,0))+(VLOOKUP($A552,$A$4:$O$27,4,0)*(HLOOKUP(J$528,'2.2.Brecha Efectiva x UdM'!$H$64:$AK$70,3,0))))</f>
        <v>0</v>
      </c>
      <c r="K552" s="31">
        <f>(VLOOKUP($A552,$A$458:$O$482,4,0)*(HLOOKUP(K$528,'2.2.Brecha Efectiva x UdM'!$H$86:$AK$92,3,0))+(VLOOKUP($A552,$A$4:$O$27,4,0)*(HLOOKUP(K$528,'2.2.Brecha Efectiva x UdM'!$H$64:$AK$70,3,0))))</f>
        <v>0</v>
      </c>
      <c r="L552" s="31">
        <f>(VLOOKUP($A552,$A$458:$O$482,4,0)*(HLOOKUP(L$528,'2.2.Brecha Efectiva x UdM'!$H$86:$AK$92,3,0))+(VLOOKUP($A552,$A$4:$O$27,4,0)*(HLOOKUP(L$528,'2.2.Brecha Efectiva x UdM'!$H$64:$AK$70,3,0))))</f>
        <v>0</v>
      </c>
      <c r="M552" s="31">
        <f>(VLOOKUP($A552,$A$458:$O$482,4,0)*(HLOOKUP(M$528,'2.2.Brecha Efectiva x UdM'!$H$86:$AK$92,3,0))+(VLOOKUP($A552,$A$4:$O$27,4,0)*(HLOOKUP(M$528,'2.2.Brecha Efectiva x UdM'!$H$64:$AK$70,3,0))))</f>
        <v>0</v>
      </c>
      <c r="N552" s="31">
        <f>(VLOOKUP($A552,$A$458:$O$482,4,0)*(HLOOKUP(N$528,'2.2.Brecha Efectiva x UdM'!$H$86:$AK$92,3,0))+(VLOOKUP($A552,$A$4:$O$27,4,0)*(HLOOKUP(N$528,'2.2.Brecha Efectiva x UdM'!$H$64:$AK$70,3,0))))</f>
        <v>0</v>
      </c>
      <c r="O552" s="31">
        <f>(VLOOKUP($A552,$A$458:$O$482,4,0)*(HLOOKUP(O$528,'2.2.Brecha Efectiva x UdM'!$H$86:$AK$92,3,0))+(VLOOKUP($A552,$A$4:$O$27,4,0)*(HLOOKUP(O$528,'2.2.Brecha Efectiva x UdM'!$H$64:$AK$70,3,0))))</f>
        <v>0</v>
      </c>
      <c r="P552" s="31">
        <f>(VLOOKUP($A552,$A$458:$O$482,4,0)*(HLOOKUP(P$528,'2.2.Brecha Efectiva x UdM'!$H$86:$AK$92,3,0))+(VLOOKUP($A552,$A$4:$O$27,4,0)*(HLOOKUP(P$528,'2.2.Brecha Efectiva x UdM'!$H$64:$AK$70,3,0))))</f>
        <v>0</v>
      </c>
      <c r="Q552" s="31">
        <f>(VLOOKUP($A552,$A$458:$O$482,4,0)*(HLOOKUP(Q$528,'2.2.Brecha Efectiva x UdM'!$H$86:$AK$92,3,0))+(VLOOKUP($A552,$A$4:$O$27,4,0)*(HLOOKUP(Q$528,'2.2.Brecha Efectiva x UdM'!$H$64:$AK$70,3,0))))</f>
        <v>0</v>
      </c>
      <c r="R552" s="31">
        <f>(VLOOKUP($A552,$A$458:$O$482,4,0)*(HLOOKUP(R$528,'2.2.Brecha Efectiva x UdM'!$H$86:$AK$92,3,0))+(VLOOKUP($A552,$A$4:$O$27,4,0)*(HLOOKUP(R$528,'2.2.Brecha Efectiva x UdM'!$H$64:$AK$70,3,0))))</f>
        <v>0</v>
      </c>
      <c r="S552" s="31">
        <f>(VLOOKUP($A552,$A$458:$O$482,4,0)*(HLOOKUP(S$528,'2.2.Brecha Efectiva x UdM'!$H$86:$AK$92,3,0))+(VLOOKUP($A552,$A$4:$O$27,4,0)*(HLOOKUP(S$528,'2.2.Brecha Efectiva x UdM'!$H$64:$AK$70,3,0))))</f>
        <v>0</v>
      </c>
      <c r="T552" s="31">
        <f>(VLOOKUP($A552,$A$458:$O$482,4,0)*(HLOOKUP(T$528,'2.2.Brecha Efectiva x UdM'!$H$86:$AK$92,3,0))+(VLOOKUP($A552,$A$4:$O$27,4,0)*(HLOOKUP(T$528,'2.2.Brecha Efectiva x UdM'!$H$64:$AK$70,3,0))))</f>
        <v>0</v>
      </c>
      <c r="U552" s="31">
        <f>(VLOOKUP($A552,$A$458:$O$482,4,0)*(HLOOKUP(U$528,'2.2.Brecha Efectiva x UdM'!$H$86:$AK$92,3,0))+(VLOOKUP($A552,$A$4:$O$27,4,0)*(HLOOKUP(U$528,'2.2.Brecha Efectiva x UdM'!$H$64:$AK$70,3,0))))</f>
        <v>0</v>
      </c>
      <c r="V552" s="31">
        <f>(VLOOKUP($A552,$A$458:$O$482,4,0)*(HLOOKUP(V$528,'2.2.Brecha Efectiva x UdM'!$H$86:$AK$92,3,0))+(VLOOKUP($A552,$A$4:$O$27,4,0)*(HLOOKUP(V$528,'2.2.Brecha Efectiva x UdM'!$H$64:$AK$70,3,0))))</f>
        <v>0</v>
      </c>
      <c r="W552" s="31">
        <f>(VLOOKUP($A552,$A$458:$O$482,4,0)*(HLOOKUP(W$528,'2.2.Brecha Efectiva x UdM'!$H$86:$AK$92,3,0))+(VLOOKUP($A552,$A$4:$O$27,4,0)*(HLOOKUP(W$528,'2.2.Brecha Efectiva x UdM'!$H$64:$AK$70,3,0))))</f>
        <v>0</v>
      </c>
      <c r="X552" s="31">
        <f>(VLOOKUP($A552,$A$458:$O$482,4,0)*(HLOOKUP(X$528,'2.2.Brecha Efectiva x UdM'!$H$86:$AK$92,3,0))+(VLOOKUP($A552,$A$4:$O$27,4,0)*(HLOOKUP(X$528,'2.2.Brecha Efectiva x UdM'!$H$64:$AK$70,3,0))))</f>
        <v>0</v>
      </c>
      <c r="Y552" s="31">
        <f>(VLOOKUP($A552,$A$458:$O$482,4,0)*(HLOOKUP(Y$528,'2.2.Brecha Efectiva x UdM'!$H$86:$AK$92,3,0))+(VLOOKUP($A552,$A$4:$O$27,4,0)*(HLOOKUP(Y$528,'2.2.Brecha Efectiva x UdM'!$H$64:$AK$70,3,0))))</f>
        <v>0</v>
      </c>
      <c r="Z552" s="31">
        <f>(VLOOKUP($A552,$A$458:$O$482,4,0)*(HLOOKUP(Z$528,'2.2.Brecha Efectiva x UdM'!$H$86:$AK$92,3,0))+(VLOOKUP($A552,$A$4:$O$27,4,0)*(HLOOKUP(Z$528,'2.2.Brecha Efectiva x UdM'!$H$64:$AK$70,3,0))))</f>
        <v>0</v>
      </c>
      <c r="AA552" s="31">
        <f>(VLOOKUP($A552,$A$458:$O$482,4,0)*(HLOOKUP(AA$528,'2.2.Brecha Efectiva x UdM'!$H$86:$AK$92,3,0))+(VLOOKUP($A552,$A$4:$O$27,4,0)*(HLOOKUP(AA$528,'2.2.Brecha Efectiva x UdM'!$H$64:$AK$70,3,0))))</f>
        <v>0</v>
      </c>
      <c r="AB552" s="31">
        <f>(VLOOKUP($A552,$A$458:$O$482,4,0)*(HLOOKUP(AB$528,'2.2.Brecha Efectiva x UdM'!$H$86:$AK$92,3,0))+(VLOOKUP($A552,$A$4:$O$27,4,0)*(HLOOKUP(AB$528,'2.2.Brecha Efectiva x UdM'!$H$64:$AK$70,3,0))))</f>
        <v>0</v>
      </c>
      <c r="AC552" s="31">
        <f>(VLOOKUP($A552,$A$458:$O$482,4,0)*(HLOOKUP(AC$528,'2.2.Brecha Efectiva x UdM'!$H$86:$AK$92,3,0))+(VLOOKUP($A552,$A$4:$O$27,4,0)*(HLOOKUP(AC$528,'2.2.Brecha Efectiva x UdM'!$H$64:$AK$70,3,0))))</f>
        <v>0</v>
      </c>
      <c r="AD552" s="31">
        <f>(VLOOKUP($A552,$A$458:$O$482,4,0)*(HLOOKUP(AD$528,'2.2.Brecha Efectiva x UdM'!$H$86:$AK$92,3,0))+(VLOOKUP($A552,$A$4:$O$27,4,0)*(HLOOKUP(AD$528,'2.2.Brecha Efectiva x UdM'!$H$64:$AK$70,3,0))))</f>
        <v>0</v>
      </c>
      <c r="AE552" s="31">
        <f>(VLOOKUP($A552,$A$458:$O$482,4,0)*(HLOOKUP(AE$528,'2.2.Brecha Efectiva x UdM'!$H$86:$AK$92,3,0))+(VLOOKUP($A552,$A$4:$O$27,4,0)*(HLOOKUP(AE$528,'2.2.Brecha Efectiva x UdM'!$H$64:$AK$70,3,0))))</f>
        <v>0</v>
      </c>
      <c r="AF552" s="31">
        <f>(VLOOKUP($A552,$A$458:$O$482,4,0)*(HLOOKUP(AF$528,'2.2.Brecha Efectiva x UdM'!$H$86:$AK$92,3,0))+(VLOOKUP($A552,$A$4:$O$27,4,0)*(HLOOKUP(AF$528,'2.2.Brecha Efectiva x UdM'!$H$64:$AK$70,3,0))))</f>
        <v>0</v>
      </c>
      <c r="AG552" s="31">
        <f>(VLOOKUP($A552,$A$458:$O$482,4,0)*(HLOOKUP(AG$528,'2.2.Brecha Efectiva x UdM'!$H$86:$AK$92,3,0))+(VLOOKUP($A552,$A$4:$O$27,4,0)*(HLOOKUP(AG$528,'2.2.Brecha Efectiva x UdM'!$H$64:$AK$70,3,0))))</f>
        <v>0</v>
      </c>
      <c r="AH552" s="63">
        <f t="shared" si="505"/>
        <v>43234604.164046422</v>
      </c>
    </row>
    <row r="553" spans="1:34" x14ac:dyDescent="0.2">
      <c r="A553" s="34" t="str">
        <f>CONCATENATE("Total"," ",B529)</f>
        <v>Total Nombre UdM 2</v>
      </c>
      <c r="B553" s="29"/>
      <c r="C553" s="13"/>
      <c r="D553" s="13">
        <f>SUM(D529:D552)</f>
        <v>3589355011.0560679</v>
      </c>
      <c r="E553" s="13">
        <f t="shared" ref="E553:AG553" si="506">SUM(E529:E552)</f>
        <v>3845336649.8276143</v>
      </c>
      <c r="F553" s="13">
        <f t="shared" si="506"/>
        <v>5805158749.1266384</v>
      </c>
      <c r="G553" s="13">
        <f t="shared" si="506"/>
        <v>0</v>
      </c>
      <c r="H553" s="13">
        <f t="shared" si="506"/>
        <v>0</v>
      </c>
      <c r="I553" s="13">
        <f t="shared" si="506"/>
        <v>0</v>
      </c>
      <c r="J553" s="13">
        <f t="shared" si="506"/>
        <v>0</v>
      </c>
      <c r="K553" s="13">
        <f t="shared" si="506"/>
        <v>0</v>
      </c>
      <c r="L553" s="13">
        <f t="shared" si="506"/>
        <v>0</v>
      </c>
      <c r="M553" s="13">
        <f t="shared" si="506"/>
        <v>0</v>
      </c>
      <c r="N553" s="13">
        <f t="shared" si="506"/>
        <v>0</v>
      </c>
      <c r="O553" s="13">
        <f t="shared" si="506"/>
        <v>0</v>
      </c>
      <c r="P553" s="13">
        <f t="shared" si="506"/>
        <v>0</v>
      </c>
      <c r="Q553" s="13">
        <f t="shared" si="506"/>
        <v>0</v>
      </c>
      <c r="R553" s="13">
        <f t="shared" si="506"/>
        <v>0</v>
      </c>
      <c r="S553" s="13">
        <f t="shared" si="506"/>
        <v>0</v>
      </c>
      <c r="T553" s="13">
        <f t="shared" si="506"/>
        <v>0</v>
      </c>
      <c r="U553" s="13">
        <f t="shared" si="506"/>
        <v>0</v>
      </c>
      <c r="V553" s="13">
        <f t="shared" si="506"/>
        <v>0</v>
      </c>
      <c r="W553" s="13">
        <f t="shared" si="506"/>
        <v>0</v>
      </c>
      <c r="X553" s="13">
        <f t="shared" si="506"/>
        <v>0</v>
      </c>
      <c r="Y553" s="13">
        <f t="shared" si="506"/>
        <v>0</v>
      </c>
      <c r="Z553" s="13">
        <f t="shared" si="506"/>
        <v>0</v>
      </c>
      <c r="AA553" s="13">
        <f t="shared" si="506"/>
        <v>0</v>
      </c>
      <c r="AB553" s="13">
        <f t="shared" si="506"/>
        <v>0</v>
      </c>
      <c r="AC553" s="13">
        <f t="shared" si="506"/>
        <v>0</v>
      </c>
      <c r="AD553" s="13">
        <f t="shared" si="506"/>
        <v>0</v>
      </c>
      <c r="AE553" s="13">
        <f t="shared" si="506"/>
        <v>0</v>
      </c>
      <c r="AF553" s="13">
        <f t="shared" si="506"/>
        <v>0</v>
      </c>
      <c r="AG553" s="13">
        <f t="shared" si="506"/>
        <v>0</v>
      </c>
      <c r="AH553" s="13">
        <f t="shared" si="505"/>
        <v>13239850410.010321</v>
      </c>
    </row>
    <row r="554" spans="1:34" x14ac:dyDescent="0.2">
      <c r="A554" s="34" t="str">
        <f>CONCATENATE("Total Acumulado"," ",B529)</f>
        <v>Total Acumulado Nombre UdM 2</v>
      </c>
      <c r="B554" s="29"/>
      <c r="C554" s="13"/>
      <c r="D554" s="13">
        <f>D553</f>
        <v>3589355011.0560679</v>
      </c>
      <c r="E554" s="13">
        <f>E553+D554</f>
        <v>7434691660.8836823</v>
      </c>
      <c r="F554" s="13">
        <f t="shared" ref="F554" si="507">F553+E554</f>
        <v>13239850410.010321</v>
      </c>
      <c r="G554" s="13">
        <f t="shared" ref="G554" si="508">G553+F554</f>
        <v>13239850410.010321</v>
      </c>
      <c r="H554" s="13">
        <f t="shared" ref="H554" si="509">H553+G554</f>
        <v>13239850410.010321</v>
      </c>
      <c r="I554" s="13">
        <f t="shared" ref="I554" si="510">I553+H554</f>
        <v>13239850410.010321</v>
      </c>
      <c r="J554" s="13">
        <f t="shared" ref="J554" si="511">J553+I554</f>
        <v>13239850410.010321</v>
      </c>
      <c r="K554" s="13">
        <f t="shared" ref="K554" si="512">K553+J554</f>
        <v>13239850410.010321</v>
      </c>
      <c r="L554" s="13">
        <f t="shared" ref="L554" si="513">L553+K554</f>
        <v>13239850410.010321</v>
      </c>
      <c r="M554" s="13">
        <f t="shared" ref="M554" si="514">M553+L554</f>
        <v>13239850410.010321</v>
      </c>
      <c r="N554" s="13">
        <f t="shared" ref="N554" si="515">N553+M554</f>
        <v>13239850410.010321</v>
      </c>
      <c r="O554" s="13">
        <f t="shared" ref="O554" si="516">O553+N554</f>
        <v>13239850410.010321</v>
      </c>
      <c r="P554" s="13">
        <f t="shared" ref="P554" si="517">P553+O554</f>
        <v>13239850410.010321</v>
      </c>
      <c r="Q554" s="13">
        <f t="shared" ref="Q554" si="518">Q553+P554</f>
        <v>13239850410.010321</v>
      </c>
      <c r="R554" s="13">
        <f t="shared" ref="R554" si="519">R553+Q554</f>
        <v>13239850410.010321</v>
      </c>
      <c r="S554" s="13">
        <f t="shared" ref="S554" si="520">S553+R554</f>
        <v>13239850410.010321</v>
      </c>
      <c r="T554" s="13">
        <f t="shared" ref="T554" si="521">T553+S554</f>
        <v>13239850410.010321</v>
      </c>
      <c r="U554" s="13">
        <f t="shared" ref="U554" si="522">U553+T554</f>
        <v>13239850410.010321</v>
      </c>
      <c r="V554" s="13">
        <f t="shared" ref="V554" si="523">V553+U554</f>
        <v>13239850410.010321</v>
      </c>
      <c r="W554" s="13">
        <f t="shared" ref="W554" si="524">W553+V554</f>
        <v>13239850410.010321</v>
      </c>
      <c r="X554" s="13">
        <f t="shared" ref="X554" si="525">X553+W554</f>
        <v>13239850410.010321</v>
      </c>
      <c r="Y554" s="13">
        <f t="shared" ref="Y554" si="526">Y553+X554</f>
        <v>13239850410.010321</v>
      </c>
      <c r="Z554" s="13">
        <f t="shared" ref="Z554" si="527">Z553+Y554</f>
        <v>13239850410.010321</v>
      </c>
      <c r="AA554" s="13">
        <f t="shared" ref="AA554" si="528">AA553+Z554</f>
        <v>13239850410.010321</v>
      </c>
      <c r="AB554" s="13">
        <f t="shared" ref="AB554" si="529">AB553+AA554</f>
        <v>13239850410.010321</v>
      </c>
      <c r="AC554" s="13">
        <f t="shared" ref="AC554" si="530">AC553+AB554</f>
        <v>13239850410.010321</v>
      </c>
      <c r="AD554" s="13">
        <f t="shared" ref="AD554" si="531">AD553+AC554</f>
        <v>13239850410.010321</v>
      </c>
      <c r="AE554" s="13">
        <f t="shared" ref="AE554" si="532">AE553+AD554</f>
        <v>13239850410.010321</v>
      </c>
      <c r="AF554" s="13">
        <f t="shared" ref="AF554" si="533">AF553+AE554</f>
        <v>13239850410.010321</v>
      </c>
      <c r="AG554" s="13">
        <f t="shared" ref="AG554" si="534">AG553+AF554</f>
        <v>13239850410.010321</v>
      </c>
    </row>
    <row r="556" spans="1:34" x14ac:dyDescent="0.2">
      <c r="A556" s="33" t="s">
        <v>41</v>
      </c>
      <c r="D556" t="b">
        <f>D553='2.2.Brecha Efectiva x UdM'!H104</f>
        <v>1</v>
      </c>
      <c r="E556" t="b">
        <f>E553='2.2.Brecha Efectiva x UdM'!I104</f>
        <v>1</v>
      </c>
      <c r="F556" t="b">
        <f>ROUND(F553,4)=ROUND('2.2.Brecha Efectiva x UdM'!J104,4)</f>
        <v>1</v>
      </c>
      <c r="G556" t="b">
        <f>G553='2.2.Brecha Efectiva x UdM'!K104</f>
        <v>1</v>
      </c>
      <c r="H556" t="b">
        <f>H553='2.2.Brecha Efectiva x UdM'!L104</f>
        <v>1</v>
      </c>
      <c r="I556" t="b">
        <f>I553='2.2.Brecha Efectiva x UdM'!M104</f>
        <v>1</v>
      </c>
      <c r="J556" t="b">
        <f>J553='2.2.Brecha Efectiva x UdM'!N104</f>
        <v>1</v>
      </c>
      <c r="L556" s="23"/>
      <c r="M556" s="33"/>
    </row>
    <row r="557" spans="1:34" x14ac:dyDescent="0.2">
      <c r="J557" t="b">
        <f>AG554=SUM('2.2.Brecha Efectiva x UdM'!H104:AK104)</f>
        <v>1</v>
      </c>
      <c r="L557" s="23"/>
    </row>
    <row r="559" spans="1:34" x14ac:dyDescent="0.2">
      <c r="A559" s="46" t="s">
        <v>85</v>
      </c>
    </row>
    <row r="561" spans="1:34" x14ac:dyDescent="0.2">
      <c r="A561" s="24" t="s">
        <v>18</v>
      </c>
      <c r="B561" s="24" t="s">
        <v>42</v>
      </c>
      <c r="C561" s="24" t="s">
        <v>43</v>
      </c>
      <c r="D561" s="6">
        <v>2024</v>
      </c>
      <c r="E561" s="6">
        <v>2025</v>
      </c>
      <c r="F561" s="6">
        <v>2026</v>
      </c>
      <c r="G561" s="6">
        <v>2027</v>
      </c>
      <c r="H561" s="6">
        <v>2028</v>
      </c>
      <c r="I561" s="6">
        <v>2029</v>
      </c>
      <c r="J561" s="6">
        <v>2030</v>
      </c>
      <c r="K561" s="6">
        <v>2031</v>
      </c>
      <c r="L561" s="6">
        <v>2032</v>
      </c>
      <c r="M561" s="6">
        <v>2033</v>
      </c>
      <c r="N561" s="50">
        <v>2034</v>
      </c>
      <c r="O561" s="50">
        <v>2035</v>
      </c>
      <c r="P561" s="50">
        <v>2036</v>
      </c>
      <c r="Q561" s="50">
        <v>2037</v>
      </c>
      <c r="R561" s="50">
        <v>2038</v>
      </c>
      <c r="S561" s="50">
        <v>2039</v>
      </c>
      <c r="T561" s="50">
        <v>2040</v>
      </c>
      <c r="U561" s="50">
        <v>2041</v>
      </c>
      <c r="V561" s="50">
        <v>2042</v>
      </c>
      <c r="W561" s="50">
        <v>2043</v>
      </c>
      <c r="X561" s="50">
        <v>2044</v>
      </c>
      <c r="Y561" s="50">
        <v>2045</v>
      </c>
      <c r="Z561" s="50">
        <v>2046</v>
      </c>
      <c r="AA561" s="50">
        <v>2047</v>
      </c>
      <c r="AB561" s="50">
        <v>2048</v>
      </c>
      <c r="AC561" s="50">
        <v>2049</v>
      </c>
      <c r="AD561" s="50">
        <v>2050</v>
      </c>
      <c r="AE561" s="50">
        <v>2051</v>
      </c>
      <c r="AF561" s="50">
        <v>2052</v>
      </c>
      <c r="AG561" s="50">
        <v>2053</v>
      </c>
      <c r="AH561" s="6" t="s">
        <v>1</v>
      </c>
    </row>
    <row r="562" spans="1:34" x14ac:dyDescent="0.2">
      <c r="A562" s="25" t="str">
        <f t="shared" ref="A562:A585" si="535">A48</f>
        <v>Buenos Aires</v>
      </c>
      <c r="B562" s="51" t="str">
        <f>$G$3</f>
        <v>Nombre UdM 3</v>
      </c>
      <c r="C562" s="25" t="str">
        <f>CONCATENATE(A562," ",B562)</f>
        <v>Buenos Aires Nombre UdM 3</v>
      </c>
      <c r="D562" s="32">
        <f>(VLOOKUP($A562,$A$458:$O$482,6,0)*(HLOOKUP(D$561,'2.2.Brecha Efectiva x UdM'!$H$86:$AK$92,4,0))+(VLOOKUP($A562,$A$4:$O$27,6,0)*(HLOOKUP(D$561,'2.2.Brecha Efectiva x UdM'!$H$64:$AK$70,4,0))))</f>
        <v>945101546.63879085</v>
      </c>
      <c r="E562" s="32">
        <f>(VLOOKUP($A562,$A$458:$O$482,6,0)*(HLOOKUP(E$561,'2.2.Brecha Efectiva x UdM'!$H$86:$AK$92,4,0))+(VLOOKUP($A562,$A$4:$O$27,6,0)*(HLOOKUP(E$561,'2.2.Brecha Efectiva x UdM'!$H$64:$AK$70,4,0))))</f>
        <v>6415545170.8412228</v>
      </c>
      <c r="F562" s="32">
        <f>(VLOOKUP($A562,$A$458:$O$482,6,0)*(HLOOKUP(F$561,'2.2.Brecha Efectiva x UdM'!$H$86:$AK$92,4,0))+(VLOOKUP($A562,$A$4:$O$27,6,0)*(HLOOKUP(F$561,'2.2.Brecha Efectiva x UdM'!$H$64:$AK$70,4,0))))</f>
        <v>325684064.31208086</v>
      </c>
      <c r="G562" s="32">
        <f>(VLOOKUP($A562,$A$458:$O$482,6,0)*(HLOOKUP(G$561,'2.2.Brecha Efectiva x UdM'!$H$86:$AK$92,4,0))+(VLOOKUP($A562,$A$4:$O$27,6,0)*(HLOOKUP(G$561,'2.2.Brecha Efectiva x UdM'!$H$64:$AK$70,4,0))))</f>
        <v>177968692.86653939</v>
      </c>
      <c r="H562" s="32">
        <f>(VLOOKUP($A562,$A$458:$O$482,6,0)*(HLOOKUP(H$561,'2.2.Brecha Efectiva x UdM'!$H$86:$AK$92,4,0))+(VLOOKUP($A562,$A$4:$O$27,6,0)*(HLOOKUP(H$561,'2.2.Brecha Efectiva x UdM'!$H$64:$AK$70,4,0))))</f>
        <v>0</v>
      </c>
      <c r="I562" s="32">
        <f>(VLOOKUP($A562,$A$458:$O$482,6,0)*(HLOOKUP(I$561,'2.2.Brecha Efectiva x UdM'!$H$86:$AK$92,4,0))+(VLOOKUP($A562,$A$4:$O$27,6,0)*(HLOOKUP(I$561,'2.2.Brecha Efectiva x UdM'!$H$64:$AK$70,4,0))))</f>
        <v>0</v>
      </c>
      <c r="J562" s="32">
        <f>(VLOOKUP($A562,$A$458:$O$482,6,0)*(HLOOKUP(J$561,'2.2.Brecha Efectiva x UdM'!$H$86:$AK$92,4,0))+(VLOOKUP($A562,$A$4:$O$27,6,0)*(HLOOKUP(J$561,'2.2.Brecha Efectiva x UdM'!$H$64:$AK$70,4,0))))</f>
        <v>0</v>
      </c>
      <c r="K562" s="32">
        <f>(VLOOKUP($A562,$A$458:$O$482,6,0)*(HLOOKUP(K$561,'2.2.Brecha Efectiva x UdM'!$H$86:$AK$92,4,0))+(VLOOKUP($A562,$A$4:$O$27,6,0)*(HLOOKUP(K$561,'2.2.Brecha Efectiva x UdM'!$H$64:$AK$70,4,0))))</f>
        <v>0</v>
      </c>
      <c r="L562" s="32">
        <f>(VLOOKUP($A562,$A$458:$O$482,6,0)*(HLOOKUP(L$561,'2.2.Brecha Efectiva x UdM'!$H$86:$AK$92,4,0))+(VLOOKUP($A562,$A$4:$O$27,6,0)*(HLOOKUP(L$561,'2.2.Brecha Efectiva x UdM'!$H$64:$AK$70,4,0))))</f>
        <v>0</v>
      </c>
      <c r="M562" s="32">
        <f>(VLOOKUP($A562,$A$458:$O$482,6,0)*(HLOOKUP(M$561,'2.2.Brecha Efectiva x UdM'!$H$86:$AK$92,4,0))+(VLOOKUP($A562,$A$4:$O$27,6,0)*(HLOOKUP(M$561,'2.2.Brecha Efectiva x UdM'!$H$64:$AK$70,4,0))))</f>
        <v>0</v>
      </c>
      <c r="N562" s="32">
        <f>(VLOOKUP($A562,$A$458:$O$482,6,0)*(HLOOKUP(N$561,'2.2.Brecha Efectiva x UdM'!$H$86:$AK$92,4,0))+(VLOOKUP($A562,$A$4:$O$27,6,0)*(HLOOKUP(N$561,'2.2.Brecha Efectiva x UdM'!$H$64:$AK$70,4,0))))</f>
        <v>0</v>
      </c>
      <c r="O562" s="32">
        <f>(VLOOKUP($A562,$A$458:$O$482,6,0)*(HLOOKUP(O$561,'2.2.Brecha Efectiva x UdM'!$H$86:$AK$92,4,0))+(VLOOKUP($A562,$A$4:$O$27,6,0)*(HLOOKUP(O$561,'2.2.Brecha Efectiva x UdM'!$H$64:$AK$70,4,0))))</f>
        <v>0</v>
      </c>
      <c r="P562" s="32">
        <f>(VLOOKUP($A562,$A$458:$O$482,6,0)*(HLOOKUP(P$561,'2.2.Brecha Efectiva x UdM'!$H$86:$AK$92,4,0))+(VLOOKUP($A562,$A$4:$O$27,6,0)*(HLOOKUP(P$561,'2.2.Brecha Efectiva x UdM'!$H$64:$AK$70,4,0))))</f>
        <v>0</v>
      </c>
      <c r="Q562" s="32">
        <f>(VLOOKUP($A562,$A$458:$O$482,6,0)*(HLOOKUP(Q$561,'2.2.Brecha Efectiva x UdM'!$H$86:$AK$92,4,0))+(VLOOKUP($A562,$A$4:$O$27,6,0)*(HLOOKUP(Q$561,'2.2.Brecha Efectiva x UdM'!$H$64:$AK$70,4,0))))</f>
        <v>0</v>
      </c>
      <c r="R562" s="32">
        <f>(VLOOKUP($A562,$A$458:$O$482,6,0)*(HLOOKUP(R$561,'2.2.Brecha Efectiva x UdM'!$H$86:$AK$92,4,0))+(VLOOKUP($A562,$A$4:$O$27,6,0)*(HLOOKUP(R$561,'2.2.Brecha Efectiva x UdM'!$H$64:$AK$70,4,0))))</f>
        <v>0</v>
      </c>
      <c r="S562" s="32">
        <f>(VLOOKUP($A562,$A$458:$O$482,6,0)*(HLOOKUP(S$561,'2.2.Brecha Efectiva x UdM'!$H$86:$AK$92,4,0))+(VLOOKUP($A562,$A$4:$O$27,6,0)*(HLOOKUP(S$561,'2.2.Brecha Efectiva x UdM'!$H$64:$AK$70,4,0))))</f>
        <v>0</v>
      </c>
      <c r="T562" s="32">
        <f>(VLOOKUP($A562,$A$458:$O$482,6,0)*(HLOOKUP(T$561,'2.2.Brecha Efectiva x UdM'!$H$86:$AK$92,4,0))+(VLOOKUP($A562,$A$4:$O$27,6,0)*(HLOOKUP(T$561,'2.2.Brecha Efectiva x UdM'!$H$64:$AK$70,4,0))))</f>
        <v>0</v>
      </c>
      <c r="U562" s="32">
        <f>(VLOOKUP($A562,$A$458:$O$482,6,0)*(HLOOKUP(U$561,'2.2.Brecha Efectiva x UdM'!$H$86:$AK$92,4,0))+(VLOOKUP($A562,$A$4:$O$27,6,0)*(HLOOKUP(U$561,'2.2.Brecha Efectiva x UdM'!$H$64:$AK$70,4,0))))</f>
        <v>0</v>
      </c>
      <c r="V562" s="32">
        <f>(VLOOKUP($A562,$A$458:$O$482,6,0)*(HLOOKUP(V$561,'2.2.Brecha Efectiva x UdM'!$H$86:$AK$92,4,0))+(VLOOKUP($A562,$A$4:$O$27,6,0)*(HLOOKUP(V$561,'2.2.Brecha Efectiva x UdM'!$H$64:$AK$70,4,0))))</f>
        <v>0</v>
      </c>
      <c r="W562" s="32">
        <f>(VLOOKUP($A562,$A$458:$O$482,6,0)*(HLOOKUP(W$561,'2.2.Brecha Efectiva x UdM'!$H$86:$AK$92,4,0))+(VLOOKUP($A562,$A$4:$O$27,6,0)*(HLOOKUP(W$561,'2.2.Brecha Efectiva x UdM'!$H$64:$AK$70,4,0))))</f>
        <v>0</v>
      </c>
      <c r="X562" s="32">
        <f>(VLOOKUP($A562,$A$458:$O$482,6,0)*(HLOOKUP(X$561,'2.2.Brecha Efectiva x UdM'!$H$86:$AK$92,4,0))+(VLOOKUP($A562,$A$4:$O$27,6,0)*(HLOOKUP(X$561,'2.2.Brecha Efectiva x UdM'!$H$64:$AK$70,4,0))))</f>
        <v>0</v>
      </c>
      <c r="Y562" s="32">
        <f>(VLOOKUP($A562,$A$458:$O$482,6,0)*(HLOOKUP(Y$561,'2.2.Brecha Efectiva x UdM'!$H$86:$AK$92,4,0))+(VLOOKUP($A562,$A$4:$O$27,6,0)*(HLOOKUP(Y$561,'2.2.Brecha Efectiva x UdM'!$H$64:$AK$70,4,0))))</f>
        <v>0</v>
      </c>
      <c r="Z562" s="32">
        <f>(VLOOKUP($A562,$A$458:$O$482,6,0)*(HLOOKUP(Z$561,'2.2.Brecha Efectiva x UdM'!$H$86:$AK$92,4,0))+(VLOOKUP($A562,$A$4:$O$27,6,0)*(HLOOKUP(Z$561,'2.2.Brecha Efectiva x UdM'!$H$64:$AK$70,4,0))))</f>
        <v>0</v>
      </c>
      <c r="AA562" s="32">
        <f>(VLOOKUP($A562,$A$458:$O$482,6,0)*(HLOOKUP(AA$561,'2.2.Brecha Efectiva x UdM'!$H$86:$AK$92,4,0))+(VLOOKUP($A562,$A$4:$O$27,6,0)*(HLOOKUP(AA$561,'2.2.Brecha Efectiva x UdM'!$H$64:$AK$70,4,0))))</f>
        <v>0</v>
      </c>
      <c r="AB562" s="32">
        <f>(VLOOKUP($A562,$A$458:$O$482,6,0)*(HLOOKUP(AB$561,'2.2.Brecha Efectiva x UdM'!$H$86:$AK$92,4,0))+(VLOOKUP($A562,$A$4:$O$27,6,0)*(HLOOKUP(AB$561,'2.2.Brecha Efectiva x UdM'!$H$64:$AK$70,4,0))))</f>
        <v>0</v>
      </c>
      <c r="AC562" s="32">
        <f>(VLOOKUP($A562,$A$458:$O$482,6,0)*(HLOOKUP(AC$561,'2.2.Brecha Efectiva x UdM'!$H$86:$AK$92,4,0))+(VLOOKUP($A562,$A$4:$O$27,6,0)*(HLOOKUP(AC$561,'2.2.Brecha Efectiva x UdM'!$H$64:$AK$70,4,0))))</f>
        <v>0</v>
      </c>
      <c r="AD562" s="32">
        <f>(VLOOKUP($A562,$A$458:$O$482,6,0)*(HLOOKUP(AD$561,'2.2.Brecha Efectiva x UdM'!$H$86:$AK$92,4,0))+(VLOOKUP($A562,$A$4:$O$27,6,0)*(HLOOKUP(AD$561,'2.2.Brecha Efectiva x UdM'!$H$64:$AK$70,4,0))))</f>
        <v>0</v>
      </c>
      <c r="AE562" s="32">
        <f>(VLOOKUP($A562,$A$458:$O$482,6,0)*(HLOOKUP(AE$561,'2.2.Brecha Efectiva x UdM'!$H$86:$AK$92,4,0))+(VLOOKUP($A562,$A$4:$O$27,6,0)*(HLOOKUP(AE$561,'2.2.Brecha Efectiva x UdM'!$H$64:$AK$70,4,0))))</f>
        <v>0</v>
      </c>
      <c r="AF562" s="32">
        <f>(VLOOKUP($A562,$A$458:$O$482,6,0)*(HLOOKUP(AF$561,'2.2.Brecha Efectiva x UdM'!$H$86:$AK$92,4,0))+(VLOOKUP($A562,$A$4:$O$27,6,0)*(HLOOKUP(AF$561,'2.2.Brecha Efectiva x UdM'!$H$64:$AK$70,4,0))))</f>
        <v>0</v>
      </c>
      <c r="AG562" s="32">
        <f>(VLOOKUP($A562,$A$458:$O$482,6,0)*(HLOOKUP(AG$561,'2.2.Brecha Efectiva x UdM'!$H$86:$AK$92,4,0))+(VLOOKUP($A562,$A$4:$O$27,6,0)*(HLOOKUP(AG$561,'2.2.Brecha Efectiva x UdM'!$H$64:$AK$70,4,0))))</f>
        <v>0</v>
      </c>
      <c r="AH562" s="62">
        <f>SUM(D562:AG562)</f>
        <v>7864299474.6586342</v>
      </c>
    </row>
    <row r="563" spans="1:34" x14ac:dyDescent="0.2">
      <c r="A563" s="26" t="str">
        <f t="shared" si="535"/>
        <v>CABA</v>
      </c>
      <c r="B563" s="52" t="str">
        <f t="shared" ref="B563:B585" si="536">$G$3</f>
        <v>Nombre UdM 3</v>
      </c>
      <c r="C563" s="26" t="str">
        <f t="shared" ref="C563:C585" si="537">CONCATENATE(A563," ",B563)</f>
        <v>CABA Nombre UdM 3</v>
      </c>
      <c r="D563" s="31">
        <f>(VLOOKUP($A563,$A$458:$O$482,6,0)*(HLOOKUP(D$561,'2.2.Brecha Efectiva x UdM'!$H$86:$AK$92,4,0))+(VLOOKUP($A563,$A$4:$O$27,6,0)*(HLOOKUP(D$561,'2.2.Brecha Efectiva x UdM'!$H$64:$AK$70,4,0))))</f>
        <v>29751894.850283574</v>
      </c>
      <c r="E563" s="31">
        <f>(VLOOKUP($A563,$A$458:$O$482,6,0)*(HLOOKUP(E$561,'2.2.Brecha Efectiva x UdM'!$H$86:$AK$92,4,0))+(VLOOKUP($A563,$A$4:$O$27,6,0)*(HLOOKUP(E$561,'2.2.Brecha Efectiva x UdM'!$H$64:$AK$70,4,0))))</f>
        <v>201962028.32272282</v>
      </c>
      <c r="F563" s="31">
        <f>(VLOOKUP($A563,$A$458:$O$482,6,0)*(HLOOKUP(F$561,'2.2.Brecha Efectiva x UdM'!$H$86:$AK$92,4,0))+(VLOOKUP($A563,$A$4:$O$27,6,0)*(HLOOKUP(F$561,'2.2.Brecha Efectiva x UdM'!$H$64:$AK$70,4,0))))</f>
        <v>10252568.171417186</v>
      </c>
      <c r="G563" s="31">
        <f>(VLOOKUP($A563,$A$458:$O$482,6,0)*(HLOOKUP(G$561,'2.2.Brecha Efectiva x UdM'!$H$86:$AK$92,4,0))+(VLOOKUP($A563,$A$4:$O$27,6,0)*(HLOOKUP(G$561,'2.2.Brecha Efectiva x UdM'!$H$64:$AK$70,4,0))))</f>
        <v>5602472.9359916672</v>
      </c>
      <c r="H563" s="31">
        <f>(VLOOKUP($A563,$A$458:$O$482,6,0)*(HLOOKUP(H$561,'2.2.Brecha Efectiva x UdM'!$H$86:$AK$92,4,0))+(VLOOKUP($A563,$A$4:$O$27,6,0)*(HLOOKUP(H$561,'2.2.Brecha Efectiva x UdM'!$H$64:$AK$70,4,0))))</f>
        <v>0</v>
      </c>
      <c r="I563" s="31">
        <f>(VLOOKUP($A563,$A$458:$O$482,6,0)*(HLOOKUP(I$561,'2.2.Brecha Efectiva x UdM'!$H$86:$AK$92,4,0))+(VLOOKUP($A563,$A$4:$O$27,6,0)*(HLOOKUP(I$561,'2.2.Brecha Efectiva x UdM'!$H$64:$AK$70,4,0))))</f>
        <v>0</v>
      </c>
      <c r="J563" s="31">
        <f>(VLOOKUP($A563,$A$458:$O$482,6,0)*(HLOOKUP(J$561,'2.2.Brecha Efectiva x UdM'!$H$86:$AK$92,4,0))+(VLOOKUP($A563,$A$4:$O$27,6,0)*(HLOOKUP(J$561,'2.2.Brecha Efectiva x UdM'!$H$64:$AK$70,4,0))))</f>
        <v>0</v>
      </c>
      <c r="K563" s="31">
        <f>(VLOOKUP($A563,$A$458:$O$482,6,0)*(HLOOKUP(K$561,'2.2.Brecha Efectiva x UdM'!$H$86:$AK$92,4,0))+(VLOOKUP($A563,$A$4:$O$27,6,0)*(HLOOKUP(K$561,'2.2.Brecha Efectiva x UdM'!$H$64:$AK$70,4,0))))</f>
        <v>0</v>
      </c>
      <c r="L563" s="31">
        <f>(VLOOKUP($A563,$A$458:$O$482,6,0)*(HLOOKUP(L$561,'2.2.Brecha Efectiva x UdM'!$H$86:$AK$92,4,0))+(VLOOKUP($A563,$A$4:$O$27,6,0)*(HLOOKUP(L$561,'2.2.Brecha Efectiva x UdM'!$H$64:$AK$70,4,0))))</f>
        <v>0</v>
      </c>
      <c r="M563" s="31">
        <f>(VLOOKUP($A563,$A$458:$O$482,6,0)*(HLOOKUP(M$561,'2.2.Brecha Efectiva x UdM'!$H$86:$AK$92,4,0))+(VLOOKUP($A563,$A$4:$O$27,6,0)*(HLOOKUP(M$561,'2.2.Brecha Efectiva x UdM'!$H$64:$AK$70,4,0))))</f>
        <v>0</v>
      </c>
      <c r="N563" s="31">
        <f>(VLOOKUP($A563,$A$458:$O$482,6,0)*(HLOOKUP(N$561,'2.2.Brecha Efectiva x UdM'!$H$86:$AK$92,4,0))+(VLOOKUP($A563,$A$4:$O$27,6,0)*(HLOOKUP(N$561,'2.2.Brecha Efectiva x UdM'!$H$64:$AK$70,4,0))))</f>
        <v>0</v>
      </c>
      <c r="O563" s="31">
        <f>(VLOOKUP($A563,$A$458:$O$482,6,0)*(HLOOKUP(O$561,'2.2.Brecha Efectiva x UdM'!$H$86:$AK$92,4,0))+(VLOOKUP($A563,$A$4:$O$27,6,0)*(HLOOKUP(O$561,'2.2.Brecha Efectiva x UdM'!$H$64:$AK$70,4,0))))</f>
        <v>0</v>
      </c>
      <c r="P563" s="31">
        <f>(VLOOKUP($A563,$A$458:$O$482,6,0)*(HLOOKUP(P$561,'2.2.Brecha Efectiva x UdM'!$H$86:$AK$92,4,0))+(VLOOKUP($A563,$A$4:$O$27,6,0)*(HLOOKUP(P$561,'2.2.Brecha Efectiva x UdM'!$H$64:$AK$70,4,0))))</f>
        <v>0</v>
      </c>
      <c r="Q563" s="31">
        <f>(VLOOKUP($A563,$A$458:$O$482,6,0)*(HLOOKUP(Q$561,'2.2.Brecha Efectiva x UdM'!$H$86:$AK$92,4,0))+(VLOOKUP($A563,$A$4:$O$27,6,0)*(HLOOKUP(Q$561,'2.2.Brecha Efectiva x UdM'!$H$64:$AK$70,4,0))))</f>
        <v>0</v>
      </c>
      <c r="R563" s="31">
        <f>(VLOOKUP($A563,$A$458:$O$482,6,0)*(HLOOKUP(R$561,'2.2.Brecha Efectiva x UdM'!$H$86:$AK$92,4,0))+(VLOOKUP($A563,$A$4:$O$27,6,0)*(HLOOKUP(R$561,'2.2.Brecha Efectiva x UdM'!$H$64:$AK$70,4,0))))</f>
        <v>0</v>
      </c>
      <c r="S563" s="31">
        <f>(VLOOKUP($A563,$A$458:$O$482,6,0)*(HLOOKUP(S$561,'2.2.Brecha Efectiva x UdM'!$H$86:$AK$92,4,0))+(VLOOKUP($A563,$A$4:$O$27,6,0)*(HLOOKUP(S$561,'2.2.Brecha Efectiva x UdM'!$H$64:$AK$70,4,0))))</f>
        <v>0</v>
      </c>
      <c r="T563" s="31">
        <f>(VLOOKUP($A563,$A$458:$O$482,6,0)*(HLOOKUP(T$561,'2.2.Brecha Efectiva x UdM'!$H$86:$AK$92,4,0))+(VLOOKUP($A563,$A$4:$O$27,6,0)*(HLOOKUP(T$561,'2.2.Brecha Efectiva x UdM'!$H$64:$AK$70,4,0))))</f>
        <v>0</v>
      </c>
      <c r="U563" s="31">
        <f>(VLOOKUP($A563,$A$458:$O$482,6,0)*(HLOOKUP(U$561,'2.2.Brecha Efectiva x UdM'!$H$86:$AK$92,4,0))+(VLOOKUP($A563,$A$4:$O$27,6,0)*(HLOOKUP(U$561,'2.2.Brecha Efectiva x UdM'!$H$64:$AK$70,4,0))))</f>
        <v>0</v>
      </c>
      <c r="V563" s="31">
        <f>(VLOOKUP($A563,$A$458:$O$482,6,0)*(HLOOKUP(V$561,'2.2.Brecha Efectiva x UdM'!$H$86:$AK$92,4,0))+(VLOOKUP($A563,$A$4:$O$27,6,0)*(HLOOKUP(V$561,'2.2.Brecha Efectiva x UdM'!$H$64:$AK$70,4,0))))</f>
        <v>0</v>
      </c>
      <c r="W563" s="31">
        <f>(VLOOKUP($A563,$A$458:$O$482,6,0)*(HLOOKUP(W$561,'2.2.Brecha Efectiva x UdM'!$H$86:$AK$92,4,0))+(VLOOKUP($A563,$A$4:$O$27,6,0)*(HLOOKUP(W$561,'2.2.Brecha Efectiva x UdM'!$H$64:$AK$70,4,0))))</f>
        <v>0</v>
      </c>
      <c r="X563" s="31">
        <f>(VLOOKUP($A563,$A$458:$O$482,6,0)*(HLOOKUP(X$561,'2.2.Brecha Efectiva x UdM'!$H$86:$AK$92,4,0))+(VLOOKUP($A563,$A$4:$O$27,6,0)*(HLOOKUP(X$561,'2.2.Brecha Efectiva x UdM'!$H$64:$AK$70,4,0))))</f>
        <v>0</v>
      </c>
      <c r="Y563" s="31">
        <f>(VLOOKUP($A563,$A$458:$O$482,6,0)*(HLOOKUP(Y$561,'2.2.Brecha Efectiva x UdM'!$H$86:$AK$92,4,0))+(VLOOKUP($A563,$A$4:$O$27,6,0)*(HLOOKUP(Y$561,'2.2.Brecha Efectiva x UdM'!$H$64:$AK$70,4,0))))</f>
        <v>0</v>
      </c>
      <c r="Z563" s="31">
        <f>(VLOOKUP($A563,$A$458:$O$482,6,0)*(HLOOKUP(Z$561,'2.2.Brecha Efectiva x UdM'!$H$86:$AK$92,4,0))+(VLOOKUP($A563,$A$4:$O$27,6,0)*(HLOOKUP(Z$561,'2.2.Brecha Efectiva x UdM'!$H$64:$AK$70,4,0))))</f>
        <v>0</v>
      </c>
      <c r="AA563" s="31">
        <f>(VLOOKUP($A563,$A$458:$O$482,6,0)*(HLOOKUP(AA$561,'2.2.Brecha Efectiva x UdM'!$H$86:$AK$92,4,0))+(VLOOKUP($A563,$A$4:$O$27,6,0)*(HLOOKUP(AA$561,'2.2.Brecha Efectiva x UdM'!$H$64:$AK$70,4,0))))</f>
        <v>0</v>
      </c>
      <c r="AB563" s="31">
        <f>(VLOOKUP($A563,$A$458:$O$482,6,0)*(HLOOKUP(AB$561,'2.2.Brecha Efectiva x UdM'!$H$86:$AK$92,4,0))+(VLOOKUP($A563,$A$4:$O$27,6,0)*(HLOOKUP(AB$561,'2.2.Brecha Efectiva x UdM'!$H$64:$AK$70,4,0))))</f>
        <v>0</v>
      </c>
      <c r="AC563" s="31">
        <f>(VLOOKUP($A563,$A$458:$O$482,6,0)*(HLOOKUP(AC$561,'2.2.Brecha Efectiva x UdM'!$H$86:$AK$92,4,0))+(VLOOKUP($A563,$A$4:$O$27,6,0)*(HLOOKUP(AC$561,'2.2.Brecha Efectiva x UdM'!$H$64:$AK$70,4,0))))</f>
        <v>0</v>
      </c>
      <c r="AD563" s="31">
        <f>(VLOOKUP($A563,$A$458:$O$482,6,0)*(HLOOKUP(AD$561,'2.2.Brecha Efectiva x UdM'!$H$86:$AK$92,4,0))+(VLOOKUP($A563,$A$4:$O$27,6,0)*(HLOOKUP(AD$561,'2.2.Brecha Efectiva x UdM'!$H$64:$AK$70,4,0))))</f>
        <v>0</v>
      </c>
      <c r="AE563" s="31">
        <f>(VLOOKUP($A563,$A$458:$O$482,6,0)*(HLOOKUP(AE$561,'2.2.Brecha Efectiva x UdM'!$H$86:$AK$92,4,0))+(VLOOKUP($A563,$A$4:$O$27,6,0)*(HLOOKUP(AE$561,'2.2.Brecha Efectiva x UdM'!$H$64:$AK$70,4,0))))</f>
        <v>0</v>
      </c>
      <c r="AF563" s="31">
        <f>(VLOOKUP($A563,$A$458:$O$482,6,0)*(HLOOKUP(AF$561,'2.2.Brecha Efectiva x UdM'!$H$86:$AK$92,4,0))+(VLOOKUP($A563,$A$4:$O$27,6,0)*(HLOOKUP(AF$561,'2.2.Brecha Efectiva x UdM'!$H$64:$AK$70,4,0))))</f>
        <v>0</v>
      </c>
      <c r="AG563" s="31">
        <f>(VLOOKUP($A563,$A$458:$O$482,6,0)*(HLOOKUP(AG$561,'2.2.Brecha Efectiva x UdM'!$H$86:$AK$92,4,0))+(VLOOKUP($A563,$A$4:$O$27,6,0)*(HLOOKUP(AG$561,'2.2.Brecha Efectiva x UdM'!$H$64:$AK$70,4,0))))</f>
        <v>0</v>
      </c>
      <c r="AH563" s="63">
        <f>SUM(D563:AG563)</f>
        <v>247568964.28041524</v>
      </c>
    </row>
    <row r="564" spans="1:34" x14ac:dyDescent="0.2">
      <c r="A564" s="25" t="str">
        <f t="shared" si="535"/>
        <v>Catamarca</v>
      </c>
      <c r="B564" s="51" t="str">
        <f t="shared" si="536"/>
        <v>Nombre UdM 3</v>
      </c>
      <c r="C564" s="25" t="str">
        <f t="shared" si="537"/>
        <v>Catamarca Nombre UdM 3</v>
      </c>
      <c r="D564" s="32">
        <f>(VLOOKUP($A564,$A$458:$O$482,6,0)*(HLOOKUP(D$561,'2.2.Brecha Efectiva x UdM'!$H$86:$AK$92,4,0))+(VLOOKUP($A564,$A$4:$O$27,6,0)*(HLOOKUP(D$561,'2.2.Brecha Efectiva x UdM'!$H$64:$AK$70,4,0))))</f>
        <v>0</v>
      </c>
      <c r="E564" s="32">
        <f>(VLOOKUP($A564,$A$458:$O$482,6,0)*(HLOOKUP(E$561,'2.2.Brecha Efectiva x UdM'!$H$86:$AK$92,4,0))+(VLOOKUP($A564,$A$4:$O$27,6,0)*(HLOOKUP(E$561,'2.2.Brecha Efectiva x UdM'!$H$64:$AK$70,4,0))))</f>
        <v>0</v>
      </c>
      <c r="F564" s="32">
        <f>(VLOOKUP($A564,$A$458:$O$482,6,0)*(HLOOKUP(F$561,'2.2.Brecha Efectiva x UdM'!$H$86:$AK$92,4,0))+(VLOOKUP($A564,$A$4:$O$27,6,0)*(HLOOKUP(F$561,'2.2.Brecha Efectiva x UdM'!$H$64:$AK$70,4,0))))</f>
        <v>0</v>
      </c>
      <c r="G564" s="32">
        <f>(VLOOKUP($A564,$A$458:$O$482,6,0)*(HLOOKUP(G$561,'2.2.Brecha Efectiva x UdM'!$H$86:$AK$92,4,0))+(VLOOKUP($A564,$A$4:$O$27,6,0)*(HLOOKUP(G$561,'2.2.Brecha Efectiva x UdM'!$H$64:$AK$70,4,0))))</f>
        <v>0</v>
      </c>
      <c r="H564" s="32">
        <f>(VLOOKUP($A564,$A$458:$O$482,6,0)*(HLOOKUP(H$561,'2.2.Brecha Efectiva x UdM'!$H$86:$AK$92,4,0))+(VLOOKUP($A564,$A$4:$O$27,6,0)*(HLOOKUP(H$561,'2.2.Brecha Efectiva x UdM'!$H$64:$AK$70,4,0))))</f>
        <v>0</v>
      </c>
      <c r="I564" s="32">
        <f>(VLOOKUP($A564,$A$458:$O$482,6,0)*(HLOOKUP(I$561,'2.2.Brecha Efectiva x UdM'!$H$86:$AK$92,4,0))+(VLOOKUP($A564,$A$4:$O$27,6,0)*(HLOOKUP(I$561,'2.2.Brecha Efectiva x UdM'!$H$64:$AK$70,4,0))))</f>
        <v>0</v>
      </c>
      <c r="J564" s="32">
        <f>(VLOOKUP($A564,$A$458:$O$482,6,0)*(HLOOKUP(J$561,'2.2.Brecha Efectiva x UdM'!$H$86:$AK$92,4,0))+(VLOOKUP($A564,$A$4:$O$27,6,0)*(HLOOKUP(J$561,'2.2.Brecha Efectiva x UdM'!$H$64:$AK$70,4,0))))</f>
        <v>0</v>
      </c>
      <c r="K564" s="32">
        <f>(VLOOKUP($A564,$A$458:$O$482,6,0)*(HLOOKUP(K$561,'2.2.Brecha Efectiva x UdM'!$H$86:$AK$92,4,0))+(VLOOKUP($A564,$A$4:$O$27,6,0)*(HLOOKUP(K$561,'2.2.Brecha Efectiva x UdM'!$H$64:$AK$70,4,0))))</f>
        <v>0</v>
      </c>
      <c r="L564" s="32">
        <f>(VLOOKUP($A564,$A$458:$O$482,6,0)*(HLOOKUP(L$561,'2.2.Brecha Efectiva x UdM'!$H$86:$AK$92,4,0))+(VLOOKUP($A564,$A$4:$O$27,6,0)*(HLOOKUP(L$561,'2.2.Brecha Efectiva x UdM'!$H$64:$AK$70,4,0))))</f>
        <v>0</v>
      </c>
      <c r="M564" s="32">
        <f>(VLOOKUP($A564,$A$458:$O$482,6,0)*(HLOOKUP(M$561,'2.2.Brecha Efectiva x UdM'!$H$86:$AK$92,4,0))+(VLOOKUP($A564,$A$4:$O$27,6,0)*(HLOOKUP(M$561,'2.2.Brecha Efectiva x UdM'!$H$64:$AK$70,4,0))))</f>
        <v>0</v>
      </c>
      <c r="N564" s="32">
        <f>(VLOOKUP($A564,$A$458:$O$482,6,0)*(HLOOKUP(N$561,'2.2.Brecha Efectiva x UdM'!$H$86:$AK$92,4,0))+(VLOOKUP($A564,$A$4:$O$27,6,0)*(HLOOKUP(N$561,'2.2.Brecha Efectiva x UdM'!$H$64:$AK$70,4,0))))</f>
        <v>0</v>
      </c>
      <c r="O564" s="32">
        <f>(VLOOKUP($A564,$A$458:$O$482,6,0)*(HLOOKUP(O$561,'2.2.Brecha Efectiva x UdM'!$H$86:$AK$92,4,0))+(VLOOKUP($A564,$A$4:$O$27,6,0)*(HLOOKUP(O$561,'2.2.Brecha Efectiva x UdM'!$H$64:$AK$70,4,0))))</f>
        <v>0</v>
      </c>
      <c r="P564" s="32">
        <f>(VLOOKUP($A564,$A$458:$O$482,6,0)*(HLOOKUP(P$561,'2.2.Brecha Efectiva x UdM'!$H$86:$AK$92,4,0))+(VLOOKUP($A564,$A$4:$O$27,6,0)*(HLOOKUP(P$561,'2.2.Brecha Efectiva x UdM'!$H$64:$AK$70,4,0))))</f>
        <v>0</v>
      </c>
      <c r="Q564" s="32">
        <f>(VLOOKUP($A564,$A$458:$O$482,6,0)*(HLOOKUP(Q$561,'2.2.Brecha Efectiva x UdM'!$H$86:$AK$92,4,0))+(VLOOKUP($A564,$A$4:$O$27,6,0)*(HLOOKUP(Q$561,'2.2.Brecha Efectiva x UdM'!$H$64:$AK$70,4,0))))</f>
        <v>0</v>
      </c>
      <c r="R564" s="32">
        <f>(VLOOKUP($A564,$A$458:$O$482,6,0)*(HLOOKUP(R$561,'2.2.Brecha Efectiva x UdM'!$H$86:$AK$92,4,0))+(VLOOKUP($A564,$A$4:$O$27,6,0)*(HLOOKUP(R$561,'2.2.Brecha Efectiva x UdM'!$H$64:$AK$70,4,0))))</f>
        <v>0</v>
      </c>
      <c r="S564" s="32">
        <f>(VLOOKUP($A564,$A$458:$O$482,6,0)*(HLOOKUP(S$561,'2.2.Brecha Efectiva x UdM'!$H$86:$AK$92,4,0))+(VLOOKUP($A564,$A$4:$O$27,6,0)*(HLOOKUP(S$561,'2.2.Brecha Efectiva x UdM'!$H$64:$AK$70,4,0))))</f>
        <v>0</v>
      </c>
      <c r="T564" s="32">
        <f>(VLOOKUP($A564,$A$458:$O$482,6,0)*(HLOOKUP(T$561,'2.2.Brecha Efectiva x UdM'!$H$86:$AK$92,4,0))+(VLOOKUP($A564,$A$4:$O$27,6,0)*(HLOOKUP(T$561,'2.2.Brecha Efectiva x UdM'!$H$64:$AK$70,4,0))))</f>
        <v>0</v>
      </c>
      <c r="U564" s="32">
        <f>(VLOOKUP($A564,$A$458:$O$482,6,0)*(HLOOKUP(U$561,'2.2.Brecha Efectiva x UdM'!$H$86:$AK$92,4,0))+(VLOOKUP($A564,$A$4:$O$27,6,0)*(HLOOKUP(U$561,'2.2.Brecha Efectiva x UdM'!$H$64:$AK$70,4,0))))</f>
        <v>0</v>
      </c>
      <c r="V564" s="32">
        <f>(VLOOKUP($A564,$A$458:$O$482,6,0)*(HLOOKUP(V$561,'2.2.Brecha Efectiva x UdM'!$H$86:$AK$92,4,0))+(VLOOKUP($A564,$A$4:$O$27,6,0)*(HLOOKUP(V$561,'2.2.Brecha Efectiva x UdM'!$H$64:$AK$70,4,0))))</f>
        <v>0</v>
      </c>
      <c r="W564" s="32">
        <f>(VLOOKUP($A564,$A$458:$O$482,6,0)*(HLOOKUP(W$561,'2.2.Brecha Efectiva x UdM'!$H$86:$AK$92,4,0))+(VLOOKUP($A564,$A$4:$O$27,6,0)*(HLOOKUP(W$561,'2.2.Brecha Efectiva x UdM'!$H$64:$AK$70,4,0))))</f>
        <v>0</v>
      </c>
      <c r="X564" s="32">
        <f>(VLOOKUP($A564,$A$458:$O$482,6,0)*(HLOOKUP(X$561,'2.2.Brecha Efectiva x UdM'!$H$86:$AK$92,4,0))+(VLOOKUP($A564,$A$4:$O$27,6,0)*(HLOOKUP(X$561,'2.2.Brecha Efectiva x UdM'!$H$64:$AK$70,4,0))))</f>
        <v>0</v>
      </c>
      <c r="Y564" s="32">
        <f>(VLOOKUP($A564,$A$458:$O$482,6,0)*(HLOOKUP(Y$561,'2.2.Brecha Efectiva x UdM'!$H$86:$AK$92,4,0))+(VLOOKUP($A564,$A$4:$O$27,6,0)*(HLOOKUP(Y$561,'2.2.Brecha Efectiva x UdM'!$H$64:$AK$70,4,0))))</f>
        <v>0</v>
      </c>
      <c r="Z564" s="32">
        <f>(VLOOKUP($A564,$A$458:$O$482,6,0)*(HLOOKUP(Z$561,'2.2.Brecha Efectiva x UdM'!$H$86:$AK$92,4,0))+(VLOOKUP($A564,$A$4:$O$27,6,0)*(HLOOKUP(Z$561,'2.2.Brecha Efectiva x UdM'!$H$64:$AK$70,4,0))))</f>
        <v>0</v>
      </c>
      <c r="AA564" s="32">
        <f>(VLOOKUP($A564,$A$458:$O$482,6,0)*(HLOOKUP(AA$561,'2.2.Brecha Efectiva x UdM'!$H$86:$AK$92,4,0))+(VLOOKUP($A564,$A$4:$O$27,6,0)*(HLOOKUP(AA$561,'2.2.Brecha Efectiva x UdM'!$H$64:$AK$70,4,0))))</f>
        <v>0</v>
      </c>
      <c r="AB564" s="32">
        <f>(VLOOKUP($A564,$A$458:$O$482,6,0)*(HLOOKUP(AB$561,'2.2.Brecha Efectiva x UdM'!$H$86:$AK$92,4,0))+(VLOOKUP($A564,$A$4:$O$27,6,0)*(HLOOKUP(AB$561,'2.2.Brecha Efectiva x UdM'!$H$64:$AK$70,4,0))))</f>
        <v>0</v>
      </c>
      <c r="AC564" s="32">
        <f>(VLOOKUP($A564,$A$458:$O$482,6,0)*(HLOOKUP(AC$561,'2.2.Brecha Efectiva x UdM'!$H$86:$AK$92,4,0))+(VLOOKUP($A564,$A$4:$O$27,6,0)*(HLOOKUP(AC$561,'2.2.Brecha Efectiva x UdM'!$H$64:$AK$70,4,0))))</f>
        <v>0</v>
      </c>
      <c r="AD564" s="32">
        <f>(VLOOKUP($A564,$A$458:$O$482,6,0)*(HLOOKUP(AD$561,'2.2.Brecha Efectiva x UdM'!$H$86:$AK$92,4,0))+(VLOOKUP($A564,$A$4:$O$27,6,0)*(HLOOKUP(AD$561,'2.2.Brecha Efectiva x UdM'!$H$64:$AK$70,4,0))))</f>
        <v>0</v>
      </c>
      <c r="AE564" s="32">
        <f>(VLOOKUP($A564,$A$458:$O$482,6,0)*(HLOOKUP(AE$561,'2.2.Brecha Efectiva x UdM'!$H$86:$AK$92,4,0))+(VLOOKUP($A564,$A$4:$O$27,6,0)*(HLOOKUP(AE$561,'2.2.Brecha Efectiva x UdM'!$H$64:$AK$70,4,0))))</f>
        <v>0</v>
      </c>
      <c r="AF564" s="32">
        <f>(VLOOKUP($A564,$A$458:$O$482,6,0)*(HLOOKUP(AF$561,'2.2.Brecha Efectiva x UdM'!$H$86:$AK$92,4,0))+(VLOOKUP($A564,$A$4:$O$27,6,0)*(HLOOKUP(AF$561,'2.2.Brecha Efectiva x UdM'!$H$64:$AK$70,4,0))))</f>
        <v>0</v>
      </c>
      <c r="AG564" s="32">
        <f>(VLOOKUP($A564,$A$458:$O$482,6,0)*(HLOOKUP(AG$561,'2.2.Brecha Efectiva x UdM'!$H$86:$AK$92,4,0))+(VLOOKUP($A564,$A$4:$O$27,6,0)*(HLOOKUP(AG$561,'2.2.Brecha Efectiva x UdM'!$H$64:$AK$70,4,0))))</f>
        <v>0</v>
      </c>
      <c r="AH564" s="62">
        <f t="shared" ref="AH564:AH586" si="538">SUM(D564:AG564)</f>
        <v>0</v>
      </c>
    </row>
    <row r="565" spans="1:34" x14ac:dyDescent="0.2">
      <c r="A565" s="26" t="str">
        <f t="shared" si="535"/>
        <v>Chaco</v>
      </c>
      <c r="B565" s="52" t="str">
        <f t="shared" si="536"/>
        <v>Nombre UdM 3</v>
      </c>
      <c r="C565" s="26" t="str">
        <f t="shared" si="537"/>
        <v>Chaco Nombre UdM 3</v>
      </c>
      <c r="D565" s="31">
        <f>(VLOOKUP($A565,$A$458:$O$482,6,0)*(HLOOKUP(D$561,'2.2.Brecha Efectiva x UdM'!$H$86:$AK$92,4,0))+(VLOOKUP($A565,$A$4:$O$27,6,0)*(HLOOKUP(D$561,'2.2.Brecha Efectiva x UdM'!$H$64:$AK$70,4,0))))</f>
        <v>0</v>
      </c>
      <c r="E565" s="31">
        <f>(VLOOKUP($A565,$A$458:$O$482,6,0)*(HLOOKUP(E$561,'2.2.Brecha Efectiva x UdM'!$H$86:$AK$92,4,0))+(VLOOKUP($A565,$A$4:$O$27,6,0)*(HLOOKUP(E$561,'2.2.Brecha Efectiva x UdM'!$H$64:$AK$70,4,0))))</f>
        <v>0</v>
      </c>
      <c r="F565" s="31">
        <f>(VLOOKUP($A565,$A$458:$O$482,6,0)*(HLOOKUP(F$561,'2.2.Brecha Efectiva x UdM'!$H$86:$AK$92,4,0))+(VLOOKUP($A565,$A$4:$O$27,6,0)*(HLOOKUP(F$561,'2.2.Brecha Efectiva x UdM'!$H$64:$AK$70,4,0))))</f>
        <v>0</v>
      </c>
      <c r="G565" s="31">
        <f>(VLOOKUP($A565,$A$458:$O$482,6,0)*(HLOOKUP(G$561,'2.2.Brecha Efectiva x UdM'!$H$86:$AK$92,4,0))+(VLOOKUP($A565,$A$4:$O$27,6,0)*(HLOOKUP(G$561,'2.2.Brecha Efectiva x UdM'!$H$64:$AK$70,4,0))))</f>
        <v>0</v>
      </c>
      <c r="H565" s="31">
        <f>(VLOOKUP($A565,$A$458:$O$482,6,0)*(HLOOKUP(H$561,'2.2.Brecha Efectiva x UdM'!$H$86:$AK$92,4,0))+(VLOOKUP($A565,$A$4:$O$27,6,0)*(HLOOKUP(H$561,'2.2.Brecha Efectiva x UdM'!$H$64:$AK$70,4,0))))</f>
        <v>0</v>
      </c>
      <c r="I565" s="31">
        <f>(VLOOKUP($A565,$A$458:$O$482,6,0)*(HLOOKUP(I$561,'2.2.Brecha Efectiva x UdM'!$H$86:$AK$92,4,0))+(VLOOKUP($A565,$A$4:$O$27,6,0)*(HLOOKUP(I$561,'2.2.Brecha Efectiva x UdM'!$H$64:$AK$70,4,0))))</f>
        <v>0</v>
      </c>
      <c r="J565" s="31">
        <f>(VLOOKUP($A565,$A$458:$O$482,6,0)*(HLOOKUP(J$561,'2.2.Brecha Efectiva x UdM'!$H$86:$AK$92,4,0))+(VLOOKUP($A565,$A$4:$O$27,6,0)*(HLOOKUP(J$561,'2.2.Brecha Efectiva x UdM'!$H$64:$AK$70,4,0))))</f>
        <v>0</v>
      </c>
      <c r="K565" s="31">
        <f>(VLOOKUP($A565,$A$458:$O$482,6,0)*(HLOOKUP(K$561,'2.2.Brecha Efectiva x UdM'!$H$86:$AK$92,4,0))+(VLOOKUP($A565,$A$4:$O$27,6,0)*(HLOOKUP(K$561,'2.2.Brecha Efectiva x UdM'!$H$64:$AK$70,4,0))))</f>
        <v>0</v>
      </c>
      <c r="L565" s="31">
        <f>(VLOOKUP($A565,$A$458:$O$482,6,0)*(HLOOKUP(L$561,'2.2.Brecha Efectiva x UdM'!$H$86:$AK$92,4,0))+(VLOOKUP($A565,$A$4:$O$27,6,0)*(HLOOKUP(L$561,'2.2.Brecha Efectiva x UdM'!$H$64:$AK$70,4,0))))</f>
        <v>0</v>
      </c>
      <c r="M565" s="31">
        <f>(VLOOKUP($A565,$A$458:$O$482,6,0)*(HLOOKUP(M$561,'2.2.Brecha Efectiva x UdM'!$H$86:$AK$92,4,0))+(VLOOKUP($A565,$A$4:$O$27,6,0)*(HLOOKUP(M$561,'2.2.Brecha Efectiva x UdM'!$H$64:$AK$70,4,0))))</f>
        <v>0</v>
      </c>
      <c r="N565" s="31">
        <f>(VLOOKUP($A565,$A$458:$O$482,6,0)*(HLOOKUP(N$561,'2.2.Brecha Efectiva x UdM'!$H$86:$AK$92,4,0))+(VLOOKUP($A565,$A$4:$O$27,6,0)*(HLOOKUP(N$561,'2.2.Brecha Efectiva x UdM'!$H$64:$AK$70,4,0))))</f>
        <v>0</v>
      </c>
      <c r="O565" s="31">
        <f>(VLOOKUP($A565,$A$458:$O$482,6,0)*(HLOOKUP(O$561,'2.2.Brecha Efectiva x UdM'!$H$86:$AK$92,4,0))+(VLOOKUP($A565,$A$4:$O$27,6,0)*(HLOOKUP(O$561,'2.2.Brecha Efectiva x UdM'!$H$64:$AK$70,4,0))))</f>
        <v>0</v>
      </c>
      <c r="P565" s="31">
        <f>(VLOOKUP($A565,$A$458:$O$482,6,0)*(HLOOKUP(P$561,'2.2.Brecha Efectiva x UdM'!$H$86:$AK$92,4,0))+(VLOOKUP($A565,$A$4:$O$27,6,0)*(HLOOKUP(P$561,'2.2.Brecha Efectiva x UdM'!$H$64:$AK$70,4,0))))</f>
        <v>0</v>
      </c>
      <c r="Q565" s="31">
        <f>(VLOOKUP($A565,$A$458:$O$482,6,0)*(HLOOKUP(Q$561,'2.2.Brecha Efectiva x UdM'!$H$86:$AK$92,4,0))+(VLOOKUP($A565,$A$4:$O$27,6,0)*(HLOOKUP(Q$561,'2.2.Brecha Efectiva x UdM'!$H$64:$AK$70,4,0))))</f>
        <v>0</v>
      </c>
      <c r="R565" s="31">
        <f>(VLOOKUP($A565,$A$458:$O$482,6,0)*(HLOOKUP(R$561,'2.2.Brecha Efectiva x UdM'!$H$86:$AK$92,4,0))+(VLOOKUP($A565,$A$4:$O$27,6,0)*(HLOOKUP(R$561,'2.2.Brecha Efectiva x UdM'!$H$64:$AK$70,4,0))))</f>
        <v>0</v>
      </c>
      <c r="S565" s="31">
        <f>(VLOOKUP($A565,$A$458:$O$482,6,0)*(HLOOKUP(S$561,'2.2.Brecha Efectiva x UdM'!$H$86:$AK$92,4,0))+(VLOOKUP($A565,$A$4:$O$27,6,0)*(HLOOKUP(S$561,'2.2.Brecha Efectiva x UdM'!$H$64:$AK$70,4,0))))</f>
        <v>0</v>
      </c>
      <c r="T565" s="31">
        <f>(VLOOKUP($A565,$A$458:$O$482,6,0)*(HLOOKUP(T$561,'2.2.Brecha Efectiva x UdM'!$H$86:$AK$92,4,0))+(VLOOKUP($A565,$A$4:$O$27,6,0)*(HLOOKUP(T$561,'2.2.Brecha Efectiva x UdM'!$H$64:$AK$70,4,0))))</f>
        <v>0</v>
      </c>
      <c r="U565" s="31">
        <f>(VLOOKUP($A565,$A$458:$O$482,6,0)*(HLOOKUP(U$561,'2.2.Brecha Efectiva x UdM'!$H$86:$AK$92,4,0))+(VLOOKUP($A565,$A$4:$O$27,6,0)*(HLOOKUP(U$561,'2.2.Brecha Efectiva x UdM'!$H$64:$AK$70,4,0))))</f>
        <v>0</v>
      </c>
      <c r="V565" s="31">
        <f>(VLOOKUP($A565,$A$458:$O$482,6,0)*(HLOOKUP(V$561,'2.2.Brecha Efectiva x UdM'!$H$86:$AK$92,4,0))+(VLOOKUP($A565,$A$4:$O$27,6,0)*(HLOOKUP(V$561,'2.2.Brecha Efectiva x UdM'!$H$64:$AK$70,4,0))))</f>
        <v>0</v>
      </c>
      <c r="W565" s="31">
        <f>(VLOOKUP($A565,$A$458:$O$482,6,0)*(HLOOKUP(W$561,'2.2.Brecha Efectiva x UdM'!$H$86:$AK$92,4,0))+(VLOOKUP($A565,$A$4:$O$27,6,0)*(HLOOKUP(W$561,'2.2.Brecha Efectiva x UdM'!$H$64:$AK$70,4,0))))</f>
        <v>0</v>
      </c>
      <c r="X565" s="31">
        <f>(VLOOKUP($A565,$A$458:$O$482,6,0)*(HLOOKUP(X$561,'2.2.Brecha Efectiva x UdM'!$H$86:$AK$92,4,0))+(VLOOKUP($A565,$A$4:$O$27,6,0)*(HLOOKUP(X$561,'2.2.Brecha Efectiva x UdM'!$H$64:$AK$70,4,0))))</f>
        <v>0</v>
      </c>
      <c r="Y565" s="31">
        <f>(VLOOKUP($A565,$A$458:$O$482,6,0)*(HLOOKUP(Y$561,'2.2.Brecha Efectiva x UdM'!$H$86:$AK$92,4,0))+(VLOOKUP($A565,$A$4:$O$27,6,0)*(HLOOKUP(Y$561,'2.2.Brecha Efectiva x UdM'!$H$64:$AK$70,4,0))))</f>
        <v>0</v>
      </c>
      <c r="Z565" s="31">
        <f>(VLOOKUP($A565,$A$458:$O$482,6,0)*(HLOOKUP(Z$561,'2.2.Brecha Efectiva x UdM'!$H$86:$AK$92,4,0))+(VLOOKUP($A565,$A$4:$O$27,6,0)*(HLOOKUP(Z$561,'2.2.Brecha Efectiva x UdM'!$H$64:$AK$70,4,0))))</f>
        <v>0</v>
      </c>
      <c r="AA565" s="31">
        <f>(VLOOKUP($A565,$A$458:$O$482,6,0)*(HLOOKUP(AA$561,'2.2.Brecha Efectiva x UdM'!$H$86:$AK$92,4,0))+(VLOOKUP($A565,$A$4:$O$27,6,0)*(HLOOKUP(AA$561,'2.2.Brecha Efectiva x UdM'!$H$64:$AK$70,4,0))))</f>
        <v>0</v>
      </c>
      <c r="AB565" s="31">
        <f>(VLOOKUP($A565,$A$458:$O$482,6,0)*(HLOOKUP(AB$561,'2.2.Brecha Efectiva x UdM'!$H$86:$AK$92,4,0))+(VLOOKUP($A565,$A$4:$O$27,6,0)*(HLOOKUP(AB$561,'2.2.Brecha Efectiva x UdM'!$H$64:$AK$70,4,0))))</f>
        <v>0</v>
      </c>
      <c r="AC565" s="31">
        <f>(VLOOKUP($A565,$A$458:$O$482,6,0)*(HLOOKUP(AC$561,'2.2.Brecha Efectiva x UdM'!$H$86:$AK$92,4,0))+(VLOOKUP($A565,$A$4:$O$27,6,0)*(HLOOKUP(AC$561,'2.2.Brecha Efectiva x UdM'!$H$64:$AK$70,4,0))))</f>
        <v>0</v>
      </c>
      <c r="AD565" s="31">
        <f>(VLOOKUP($A565,$A$458:$O$482,6,0)*(HLOOKUP(AD$561,'2.2.Brecha Efectiva x UdM'!$H$86:$AK$92,4,0))+(VLOOKUP($A565,$A$4:$O$27,6,0)*(HLOOKUP(AD$561,'2.2.Brecha Efectiva x UdM'!$H$64:$AK$70,4,0))))</f>
        <v>0</v>
      </c>
      <c r="AE565" s="31">
        <f>(VLOOKUP($A565,$A$458:$O$482,6,0)*(HLOOKUP(AE$561,'2.2.Brecha Efectiva x UdM'!$H$86:$AK$92,4,0))+(VLOOKUP($A565,$A$4:$O$27,6,0)*(HLOOKUP(AE$561,'2.2.Brecha Efectiva x UdM'!$H$64:$AK$70,4,0))))</f>
        <v>0</v>
      </c>
      <c r="AF565" s="31">
        <f>(VLOOKUP($A565,$A$458:$O$482,6,0)*(HLOOKUP(AF$561,'2.2.Brecha Efectiva x UdM'!$H$86:$AK$92,4,0))+(VLOOKUP($A565,$A$4:$O$27,6,0)*(HLOOKUP(AF$561,'2.2.Brecha Efectiva x UdM'!$H$64:$AK$70,4,0))))</f>
        <v>0</v>
      </c>
      <c r="AG565" s="31">
        <f>(VLOOKUP($A565,$A$458:$O$482,6,0)*(HLOOKUP(AG$561,'2.2.Brecha Efectiva x UdM'!$H$86:$AK$92,4,0))+(VLOOKUP($A565,$A$4:$O$27,6,0)*(HLOOKUP(AG$561,'2.2.Brecha Efectiva x UdM'!$H$64:$AK$70,4,0))))</f>
        <v>0</v>
      </c>
      <c r="AH565" s="63">
        <f t="shared" si="538"/>
        <v>0</v>
      </c>
    </row>
    <row r="566" spans="1:34" x14ac:dyDescent="0.2">
      <c r="A566" s="25" t="str">
        <f t="shared" si="535"/>
        <v>Chubut</v>
      </c>
      <c r="B566" s="51" t="str">
        <f t="shared" si="536"/>
        <v>Nombre UdM 3</v>
      </c>
      <c r="C566" s="25" t="str">
        <f t="shared" si="537"/>
        <v>Chubut Nombre UdM 3</v>
      </c>
      <c r="D566" s="32">
        <f>(VLOOKUP($A566,$A$458:$O$482,6,0)*(HLOOKUP(D$561,'2.2.Brecha Efectiva x UdM'!$H$86:$AK$92,4,0))+(VLOOKUP($A566,$A$4:$O$27,6,0)*(HLOOKUP(D$561,'2.2.Brecha Efectiva x UdM'!$H$64:$AK$70,4,0))))</f>
        <v>22921504.787718665</v>
      </c>
      <c r="E566" s="32">
        <f>(VLOOKUP($A566,$A$458:$O$482,6,0)*(HLOOKUP(E$561,'2.2.Brecha Efectiva x UdM'!$H$86:$AK$92,4,0))+(VLOOKUP($A566,$A$4:$O$27,6,0)*(HLOOKUP(E$561,'2.2.Brecha Efectiva x UdM'!$H$64:$AK$70,4,0))))</f>
        <v>155595924.97996947</v>
      </c>
      <c r="F566" s="32">
        <f>(VLOOKUP($A566,$A$458:$O$482,6,0)*(HLOOKUP(F$561,'2.2.Brecha Efectiva x UdM'!$H$86:$AK$92,4,0))+(VLOOKUP($A566,$A$4:$O$27,6,0)*(HLOOKUP(F$561,'2.2.Brecha Efectiva x UdM'!$H$64:$AK$70,4,0))))</f>
        <v>7898800.7859711535</v>
      </c>
      <c r="G566" s="32">
        <f>(VLOOKUP($A566,$A$458:$O$482,6,0)*(HLOOKUP(G$561,'2.2.Brecha Efectiva x UdM'!$H$86:$AK$92,4,0))+(VLOOKUP($A566,$A$4:$O$27,6,0)*(HLOOKUP(G$561,'2.2.Brecha Efectiva x UdM'!$H$64:$AK$70,4,0))))</f>
        <v>4316266.6066014711</v>
      </c>
      <c r="H566" s="32">
        <f>(VLOOKUP($A566,$A$458:$O$482,6,0)*(HLOOKUP(H$561,'2.2.Brecha Efectiva x UdM'!$H$86:$AK$92,4,0))+(VLOOKUP($A566,$A$4:$O$27,6,0)*(HLOOKUP(H$561,'2.2.Brecha Efectiva x UdM'!$H$64:$AK$70,4,0))))</f>
        <v>0</v>
      </c>
      <c r="I566" s="32">
        <f>(VLOOKUP($A566,$A$458:$O$482,6,0)*(HLOOKUP(I$561,'2.2.Brecha Efectiva x UdM'!$H$86:$AK$92,4,0))+(VLOOKUP($A566,$A$4:$O$27,6,0)*(HLOOKUP(I$561,'2.2.Brecha Efectiva x UdM'!$H$64:$AK$70,4,0))))</f>
        <v>0</v>
      </c>
      <c r="J566" s="32">
        <f>(VLOOKUP($A566,$A$458:$O$482,6,0)*(HLOOKUP(J$561,'2.2.Brecha Efectiva x UdM'!$H$86:$AK$92,4,0))+(VLOOKUP($A566,$A$4:$O$27,6,0)*(HLOOKUP(J$561,'2.2.Brecha Efectiva x UdM'!$H$64:$AK$70,4,0))))</f>
        <v>0</v>
      </c>
      <c r="K566" s="32">
        <f>(VLOOKUP($A566,$A$458:$O$482,6,0)*(HLOOKUP(K$561,'2.2.Brecha Efectiva x UdM'!$H$86:$AK$92,4,0))+(VLOOKUP($A566,$A$4:$O$27,6,0)*(HLOOKUP(K$561,'2.2.Brecha Efectiva x UdM'!$H$64:$AK$70,4,0))))</f>
        <v>0</v>
      </c>
      <c r="L566" s="32">
        <f>(VLOOKUP($A566,$A$458:$O$482,6,0)*(HLOOKUP(L$561,'2.2.Brecha Efectiva x UdM'!$H$86:$AK$92,4,0))+(VLOOKUP($A566,$A$4:$O$27,6,0)*(HLOOKUP(L$561,'2.2.Brecha Efectiva x UdM'!$H$64:$AK$70,4,0))))</f>
        <v>0</v>
      </c>
      <c r="M566" s="32">
        <f>(VLOOKUP($A566,$A$458:$O$482,6,0)*(HLOOKUP(M$561,'2.2.Brecha Efectiva x UdM'!$H$86:$AK$92,4,0))+(VLOOKUP($A566,$A$4:$O$27,6,0)*(HLOOKUP(M$561,'2.2.Brecha Efectiva x UdM'!$H$64:$AK$70,4,0))))</f>
        <v>0</v>
      </c>
      <c r="N566" s="32">
        <f>(VLOOKUP($A566,$A$458:$O$482,6,0)*(HLOOKUP(N$561,'2.2.Brecha Efectiva x UdM'!$H$86:$AK$92,4,0))+(VLOOKUP($A566,$A$4:$O$27,6,0)*(HLOOKUP(N$561,'2.2.Brecha Efectiva x UdM'!$H$64:$AK$70,4,0))))</f>
        <v>0</v>
      </c>
      <c r="O566" s="32">
        <f>(VLOOKUP($A566,$A$458:$O$482,6,0)*(HLOOKUP(O$561,'2.2.Brecha Efectiva x UdM'!$H$86:$AK$92,4,0))+(VLOOKUP($A566,$A$4:$O$27,6,0)*(HLOOKUP(O$561,'2.2.Brecha Efectiva x UdM'!$H$64:$AK$70,4,0))))</f>
        <v>0</v>
      </c>
      <c r="P566" s="32">
        <f>(VLOOKUP($A566,$A$458:$O$482,6,0)*(HLOOKUP(P$561,'2.2.Brecha Efectiva x UdM'!$H$86:$AK$92,4,0))+(VLOOKUP($A566,$A$4:$O$27,6,0)*(HLOOKUP(P$561,'2.2.Brecha Efectiva x UdM'!$H$64:$AK$70,4,0))))</f>
        <v>0</v>
      </c>
      <c r="Q566" s="32">
        <f>(VLOOKUP($A566,$A$458:$O$482,6,0)*(HLOOKUP(Q$561,'2.2.Brecha Efectiva x UdM'!$H$86:$AK$92,4,0))+(VLOOKUP($A566,$A$4:$O$27,6,0)*(HLOOKUP(Q$561,'2.2.Brecha Efectiva x UdM'!$H$64:$AK$70,4,0))))</f>
        <v>0</v>
      </c>
      <c r="R566" s="32">
        <f>(VLOOKUP($A566,$A$458:$O$482,6,0)*(HLOOKUP(R$561,'2.2.Brecha Efectiva x UdM'!$H$86:$AK$92,4,0))+(VLOOKUP($A566,$A$4:$O$27,6,0)*(HLOOKUP(R$561,'2.2.Brecha Efectiva x UdM'!$H$64:$AK$70,4,0))))</f>
        <v>0</v>
      </c>
      <c r="S566" s="32">
        <f>(VLOOKUP($A566,$A$458:$O$482,6,0)*(HLOOKUP(S$561,'2.2.Brecha Efectiva x UdM'!$H$86:$AK$92,4,0))+(VLOOKUP($A566,$A$4:$O$27,6,0)*(HLOOKUP(S$561,'2.2.Brecha Efectiva x UdM'!$H$64:$AK$70,4,0))))</f>
        <v>0</v>
      </c>
      <c r="T566" s="32">
        <f>(VLOOKUP($A566,$A$458:$O$482,6,0)*(HLOOKUP(T$561,'2.2.Brecha Efectiva x UdM'!$H$86:$AK$92,4,0))+(VLOOKUP($A566,$A$4:$O$27,6,0)*(HLOOKUP(T$561,'2.2.Brecha Efectiva x UdM'!$H$64:$AK$70,4,0))))</f>
        <v>0</v>
      </c>
      <c r="U566" s="32">
        <f>(VLOOKUP($A566,$A$458:$O$482,6,0)*(HLOOKUP(U$561,'2.2.Brecha Efectiva x UdM'!$H$86:$AK$92,4,0))+(VLOOKUP($A566,$A$4:$O$27,6,0)*(HLOOKUP(U$561,'2.2.Brecha Efectiva x UdM'!$H$64:$AK$70,4,0))))</f>
        <v>0</v>
      </c>
      <c r="V566" s="32">
        <f>(VLOOKUP($A566,$A$458:$O$482,6,0)*(HLOOKUP(V$561,'2.2.Brecha Efectiva x UdM'!$H$86:$AK$92,4,0))+(VLOOKUP($A566,$A$4:$O$27,6,0)*(HLOOKUP(V$561,'2.2.Brecha Efectiva x UdM'!$H$64:$AK$70,4,0))))</f>
        <v>0</v>
      </c>
      <c r="W566" s="32">
        <f>(VLOOKUP($A566,$A$458:$O$482,6,0)*(HLOOKUP(W$561,'2.2.Brecha Efectiva x UdM'!$H$86:$AK$92,4,0))+(VLOOKUP($A566,$A$4:$O$27,6,0)*(HLOOKUP(W$561,'2.2.Brecha Efectiva x UdM'!$H$64:$AK$70,4,0))))</f>
        <v>0</v>
      </c>
      <c r="X566" s="32">
        <f>(VLOOKUP($A566,$A$458:$O$482,6,0)*(HLOOKUP(X$561,'2.2.Brecha Efectiva x UdM'!$H$86:$AK$92,4,0))+(VLOOKUP($A566,$A$4:$O$27,6,0)*(HLOOKUP(X$561,'2.2.Brecha Efectiva x UdM'!$H$64:$AK$70,4,0))))</f>
        <v>0</v>
      </c>
      <c r="Y566" s="32">
        <f>(VLOOKUP($A566,$A$458:$O$482,6,0)*(HLOOKUP(Y$561,'2.2.Brecha Efectiva x UdM'!$H$86:$AK$92,4,0))+(VLOOKUP($A566,$A$4:$O$27,6,0)*(HLOOKUP(Y$561,'2.2.Brecha Efectiva x UdM'!$H$64:$AK$70,4,0))))</f>
        <v>0</v>
      </c>
      <c r="Z566" s="32">
        <f>(VLOOKUP($A566,$A$458:$O$482,6,0)*(HLOOKUP(Z$561,'2.2.Brecha Efectiva x UdM'!$H$86:$AK$92,4,0))+(VLOOKUP($A566,$A$4:$O$27,6,0)*(HLOOKUP(Z$561,'2.2.Brecha Efectiva x UdM'!$H$64:$AK$70,4,0))))</f>
        <v>0</v>
      </c>
      <c r="AA566" s="32">
        <f>(VLOOKUP($A566,$A$458:$O$482,6,0)*(HLOOKUP(AA$561,'2.2.Brecha Efectiva x UdM'!$H$86:$AK$92,4,0))+(VLOOKUP($A566,$A$4:$O$27,6,0)*(HLOOKUP(AA$561,'2.2.Brecha Efectiva x UdM'!$H$64:$AK$70,4,0))))</f>
        <v>0</v>
      </c>
      <c r="AB566" s="32">
        <f>(VLOOKUP($A566,$A$458:$O$482,6,0)*(HLOOKUP(AB$561,'2.2.Brecha Efectiva x UdM'!$H$86:$AK$92,4,0))+(VLOOKUP($A566,$A$4:$O$27,6,0)*(HLOOKUP(AB$561,'2.2.Brecha Efectiva x UdM'!$H$64:$AK$70,4,0))))</f>
        <v>0</v>
      </c>
      <c r="AC566" s="32">
        <f>(VLOOKUP($A566,$A$458:$O$482,6,0)*(HLOOKUP(AC$561,'2.2.Brecha Efectiva x UdM'!$H$86:$AK$92,4,0))+(VLOOKUP($A566,$A$4:$O$27,6,0)*(HLOOKUP(AC$561,'2.2.Brecha Efectiva x UdM'!$H$64:$AK$70,4,0))))</f>
        <v>0</v>
      </c>
      <c r="AD566" s="32">
        <f>(VLOOKUP($A566,$A$458:$O$482,6,0)*(HLOOKUP(AD$561,'2.2.Brecha Efectiva x UdM'!$H$86:$AK$92,4,0))+(VLOOKUP($A566,$A$4:$O$27,6,0)*(HLOOKUP(AD$561,'2.2.Brecha Efectiva x UdM'!$H$64:$AK$70,4,0))))</f>
        <v>0</v>
      </c>
      <c r="AE566" s="32">
        <f>(VLOOKUP($A566,$A$458:$O$482,6,0)*(HLOOKUP(AE$561,'2.2.Brecha Efectiva x UdM'!$H$86:$AK$92,4,0))+(VLOOKUP($A566,$A$4:$O$27,6,0)*(HLOOKUP(AE$561,'2.2.Brecha Efectiva x UdM'!$H$64:$AK$70,4,0))))</f>
        <v>0</v>
      </c>
      <c r="AF566" s="32">
        <f>(VLOOKUP($A566,$A$458:$O$482,6,0)*(HLOOKUP(AF$561,'2.2.Brecha Efectiva x UdM'!$H$86:$AK$92,4,0))+(VLOOKUP($A566,$A$4:$O$27,6,0)*(HLOOKUP(AF$561,'2.2.Brecha Efectiva x UdM'!$H$64:$AK$70,4,0))))</f>
        <v>0</v>
      </c>
      <c r="AG566" s="32">
        <f>(VLOOKUP($A566,$A$458:$O$482,6,0)*(HLOOKUP(AG$561,'2.2.Brecha Efectiva x UdM'!$H$86:$AK$92,4,0))+(VLOOKUP($A566,$A$4:$O$27,6,0)*(HLOOKUP(AG$561,'2.2.Brecha Efectiva x UdM'!$H$64:$AK$70,4,0))))</f>
        <v>0</v>
      </c>
      <c r="AH566" s="62">
        <f t="shared" si="538"/>
        <v>190732497.16026077</v>
      </c>
    </row>
    <row r="567" spans="1:34" x14ac:dyDescent="0.2">
      <c r="A567" s="26" t="str">
        <f t="shared" si="535"/>
        <v>Córdoba</v>
      </c>
      <c r="B567" s="52" t="str">
        <f t="shared" si="536"/>
        <v>Nombre UdM 3</v>
      </c>
      <c r="C567" s="26" t="str">
        <f t="shared" si="537"/>
        <v>Córdoba Nombre UdM 3</v>
      </c>
      <c r="D567" s="31">
        <f>(VLOOKUP($A567,$A$458:$O$482,6,0)*(HLOOKUP(D$561,'2.2.Brecha Efectiva x UdM'!$H$86:$AK$92,4,0))+(VLOOKUP($A567,$A$4:$O$27,6,0)*(HLOOKUP(D$561,'2.2.Brecha Efectiva x UdM'!$H$64:$AK$70,4,0))))</f>
        <v>11012919.873571871</v>
      </c>
      <c r="E567" s="31">
        <f>(VLOOKUP($A567,$A$458:$O$482,6,0)*(HLOOKUP(E$561,'2.2.Brecha Efectiva x UdM'!$H$86:$AK$92,4,0))+(VLOOKUP($A567,$A$4:$O$27,6,0)*(HLOOKUP(E$561,'2.2.Brecha Efectiva x UdM'!$H$64:$AK$70,4,0))))</f>
        <v>74757982.529001832</v>
      </c>
      <c r="F567" s="31">
        <f>(VLOOKUP($A567,$A$458:$O$482,6,0)*(HLOOKUP(F$561,'2.2.Brecha Efectiva x UdM'!$H$86:$AK$92,4,0))+(VLOOKUP($A567,$A$4:$O$27,6,0)*(HLOOKUP(F$561,'2.2.Brecha Efectiva x UdM'!$H$64:$AK$70,4,0))))</f>
        <v>3795076.3249983233</v>
      </c>
      <c r="G567" s="31">
        <f>(VLOOKUP($A567,$A$458:$O$482,6,0)*(HLOOKUP(G$561,'2.2.Brecha Efectiva x UdM'!$H$86:$AK$92,4,0))+(VLOOKUP($A567,$A$4:$O$27,6,0)*(HLOOKUP(G$561,'2.2.Brecha Efectiva x UdM'!$H$64:$AK$70,4,0))))</f>
        <v>2073803.5627113378</v>
      </c>
      <c r="H567" s="31">
        <f>(VLOOKUP($A567,$A$458:$O$482,6,0)*(HLOOKUP(H$561,'2.2.Brecha Efectiva x UdM'!$H$86:$AK$92,4,0))+(VLOOKUP($A567,$A$4:$O$27,6,0)*(HLOOKUP(H$561,'2.2.Brecha Efectiva x UdM'!$H$64:$AK$70,4,0))))</f>
        <v>0</v>
      </c>
      <c r="I567" s="31">
        <f>(VLOOKUP($A567,$A$458:$O$482,6,0)*(HLOOKUP(I$561,'2.2.Brecha Efectiva x UdM'!$H$86:$AK$92,4,0))+(VLOOKUP($A567,$A$4:$O$27,6,0)*(HLOOKUP(I$561,'2.2.Brecha Efectiva x UdM'!$H$64:$AK$70,4,0))))</f>
        <v>0</v>
      </c>
      <c r="J567" s="31">
        <f>(VLOOKUP($A567,$A$458:$O$482,6,0)*(HLOOKUP(J$561,'2.2.Brecha Efectiva x UdM'!$H$86:$AK$92,4,0))+(VLOOKUP($A567,$A$4:$O$27,6,0)*(HLOOKUP(J$561,'2.2.Brecha Efectiva x UdM'!$H$64:$AK$70,4,0))))</f>
        <v>0</v>
      </c>
      <c r="K567" s="31">
        <f>(VLOOKUP($A567,$A$458:$O$482,6,0)*(HLOOKUP(K$561,'2.2.Brecha Efectiva x UdM'!$H$86:$AK$92,4,0))+(VLOOKUP($A567,$A$4:$O$27,6,0)*(HLOOKUP(K$561,'2.2.Brecha Efectiva x UdM'!$H$64:$AK$70,4,0))))</f>
        <v>0</v>
      </c>
      <c r="L567" s="31">
        <f>(VLOOKUP($A567,$A$458:$O$482,6,0)*(HLOOKUP(L$561,'2.2.Brecha Efectiva x UdM'!$H$86:$AK$92,4,0))+(VLOOKUP($A567,$A$4:$O$27,6,0)*(HLOOKUP(L$561,'2.2.Brecha Efectiva x UdM'!$H$64:$AK$70,4,0))))</f>
        <v>0</v>
      </c>
      <c r="M567" s="31">
        <f>(VLOOKUP($A567,$A$458:$O$482,6,0)*(HLOOKUP(M$561,'2.2.Brecha Efectiva x UdM'!$H$86:$AK$92,4,0))+(VLOOKUP($A567,$A$4:$O$27,6,0)*(HLOOKUP(M$561,'2.2.Brecha Efectiva x UdM'!$H$64:$AK$70,4,0))))</f>
        <v>0</v>
      </c>
      <c r="N567" s="31">
        <f>(VLOOKUP($A567,$A$458:$O$482,6,0)*(HLOOKUP(N$561,'2.2.Brecha Efectiva x UdM'!$H$86:$AK$92,4,0))+(VLOOKUP($A567,$A$4:$O$27,6,0)*(HLOOKUP(N$561,'2.2.Brecha Efectiva x UdM'!$H$64:$AK$70,4,0))))</f>
        <v>0</v>
      </c>
      <c r="O567" s="31">
        <f>(VLOOKUP($A567,$A$458:$O$482,6,0)*(HLOOKUP(O$561,'2.2.Brecha Efectiva x UdM'!$H$86:$AK$92,4,0))+(VLOOKUP($A567,$A$4:$O$27,6,0)*(HLOOKUP(O$561,'2.2.Brecha Efectiva x UdM'!$H$64:$AK$70,4,0))))</f>
        <v>0</v>
      </c>
      <c r="P567" s="31">
        <f>(VLOOKUP($A567,$A$458:$O$482,6,0)*(HLOOKUP(P$561,'2.2.Brecha Efectiva x UdM'!$H$86:$AK$92,4,0))+(VLOOKUP($A567,$A$4:$O$27,6,0)*(HLOOKUP(P$561,'2.2.Brecha Efectiva x UdM'!$H$64:$AK$70,4,0))))</f>
        <v>0</v>
      </c>
      <c r="Q567" s="31">
        <f>(VLOOKUP($A567,$A$458:$O$482,6,0)*(HLOOKUP(Q$561,'2.2.Brecha Efectiva x UdM'!$H$86:$AK$92,4,0))+(VLOOKUP($A567,$A$4:$O$27,6,0)*(HLOOKUP(Q$561,'2.2.Brecha Efectiva x UdM'!$H$64:$AK$70,4,0))))</f>
        <v>0</v>
      </c>
      <c r="R567" s="31">
        <f>(VLOOKUP($A567,$A$458:$O$482,6,0)*(HLOOKUP(R$561,'2.2.Brecha Efectiva x UdM'!$H$86:$AK$92,4,0))+(VLOOKUP($A567,$A$4:$O$27,6,0)*(HLOOKUP(R$561,'2.2.Brecha Efectiva x UdM'!$H$64:$AK$70,4,0))))</f>
        <v>0</v>
      </c>
      <c r="S567" s="31">
        <f>(VLOOKUP($A567,$A$458:$O$482,6,0)*(HLOOKUP(S$561,'2.2.Brecha Efectiva x UdM'!$H$86:$AK$92,4,0))+(VLOOKUP($A567,$A$4:$O$27,6,0)*(HLOOKUP(S$561,'2.2.Brecha Efectiva x UdM'!$H$64:$AK$70,4,0))))</f>
        <v>0</v>
      </c>
      <c r="T567" s="31">
        <f>(VLOOKUP($A567,$A$458:$O$482,6,0)*(HLOOKUP(T$561,'2.2.Brecha Efectiva x UdM'!$H$86:$AK$92,4,0))+(VLOOKUP($A567,$A$4:$O$27,6,0)*(HLOOKUP(T$561,'2.2.Brecha Efectiva x UdM'!$H$64:$AK$70,4,0))))</f>
        <v>0</v>
      </c>
      <c r="U567" s="31">
        <f>(VLOOKUP($A567,$A$458:$O$482,6,0)*(HLOOKUP(U$561,'2.2.Brecha Efectiva x UdM'!$H$86:$AK$92,4,0))+(VLOOKUP($A567,$A$4:$O$27,6,0)*(HLOOKUP(U$561,'2.2.Brecha Efectiva x UdM'!$H$64:$AK$70,4,0))))</f>
        <v>0</v>
      </c>
      <c r="V567" s="31">
        <f>(VLOOKUP($A567,$A$458:$O$482,6,0)*(HLOOKUP(V$561,'2.2.Brecha Efectiva x UdM'!$H$86:$AK$92,4,0))+(VLOOKUP($A567,$A$4:$O$27,6,0)*(HLOOKUP(V$561,'2.2.Brecha Efectiva x UdM'!$H$64:$AK$70,4,0))))</f>
        <v>0</v>
      </c>
      <c r="W567" s="31">
        <f>(VLOOKUP($A567,$A$458:$O$482,6,0)*(HLOOKUP(W$561,'2.2.Brecha Efectiva x UdM'!$H$86:$AK$92,4,0))+(VLOOKUP($A567,$A$4:$O$27,6,0)*(HLOOKUP(W$561,'2.2.Brecha Efectiva x UdM'!$H$64:$AK$70,4,0))))</f>
        <v>0</v>
      </c>
      <c r="X567" s="31">
        <f>(VLOOKUP($A567,$A$458:$O$482,6,0)*(HLOOKUP(X$561,'2.2.Brecha Efectiva x UdM'!$H$86:$AK$92,4,0))+(VLOOKUP($A567,$A$4:$O$27,6,0)*(HLOOKUP(X$561,'2.2.Brecha Efectiva x UdM'!$H$64:$AK$70,4,0))))</f>
        <v>0</v>
      </c>
      <c r="Y567" s="31">
        <f>(VLOOKUP($A567,$A$458:$O$482,6,0)*(HLOOKUP(Y$561,'2.2.Brecha Efectiva x UdM'!$H$86:$AK$92,4,0))+(VLOOKUP($A567,$A$4:$O$27,6,0)*(HLOOKUP(Y$561,'2.2.Brecha Efectiva x UdM'!$H$64:$AK$70,4,0))))</f>
        <v>0</v>
      </c>
      <c r="Z567" s="31">
        <f>(VLOOKUP($A567,$A$458:$O$482,6,0)*(HLOOKUP(Z$561,'2.2.Brecha Efectiva x UdM'!$H$86:$AK$92,4,0))+(VLOOKUP($A567,$A$4:$O$27,6,0)*(HLOOKUP(Z$561,'2.2.Brecha Efectiva x UdM'!$H$64:$AK$70,4,0))))</f>
        <v>0</v>
      </c>
      <c r="AA567" s="31">
        <f>(VLOOKUP($A567,$A$458:$O$482,6,0)*(HLOOKUP(AA$561,'2.2.Brecha Efectiva x UdM'!$H$86:$AK$92,4,0))+(VLOOKUP($A567,$A$4:$O$27,6,0)*(HLOOKUP(AA$561,'2.2.Brecha Efectiva x UdM'!$H$64:$AK$70,4,0))))</f>
        <v>0</v>
      </c>
      <c r="AB567" s="31">
        <f>(VLOOKUP($A567,$A$458:$O$482,6,0)*(HLOOKUP(AB$561,'2.2.Brecha Efectiva x UdM'!$H$86:$AK$92,4,0))+(VLOOKUP($A567,$A$4:$O$27,6,0)*(HLOOKUP(AB$561,'2.2.Brecha Efectiva x UdM'!$H$64:$AK$70,4,0))))</f>
        <v>0</v>
      </c>
      <c r="AC567" s="31">
        <f>(VLOOKUP($A567,$A$458:$O$482,6,0)*(HLOOKUP(AC$561,'2.2.Brecha Efectiva x UdM'!$H$86:$AK$92,4,0))+(VLOOKUP($A567,$A$4:$O$27,6,0)*(HLOOKUP(AC$561,'2.2.Brecha Efectiva x UdM'!$H$64:$AK$70,4,0))))</f>
        <v>0</v>
      </c>
      <c r="AD567" s="31">
        <f>(VLOOKUP($A567,$A$458:$O$482,6,0)*(HLOOKUP(AD$561,'2.2.Brecha Efectiva x UdM'!$H$86:$AK$92,4,0))+(VLOOKUP($A567,$A$4:$O$27,6,0)*(HLOOKUP(AD$561,'2.2.Brecha Efectiva x UdM'!$H$64:$AK$70,4,0))))</f>
        <v>0</v>
      </c>
      <c r="AE567" s="31">
        <f>(VLOOKUP($A567,$A$458:$O$482,6,0)*(HLOOKUP(AE$561,'2.2.Brecha Efectiva x UdM'!$H$86:$AK$92,4,0))+(VLOOKUP($A567,$A$4:$O$27,6,0)*(HLOOKUP(AE$561,'2.2.Brecha Efectiva x UdM'!$H$64:$AK$70,4,0))))</f>
        <v>0</v>
      </c>
      <c r="AF567" s="31">
        <f>(VLOOKUP($A567,$A$458:$O$482,6,0)*(HLOOKUP(AF$561,'2.2.Brecha Efectiva x UdM'!$H$86:$AK$92,4,0))+(VLOOKUP($A567,$A$4:$O$27,6,0)*(HLOOKUP(AF$561,'2.2.Brecha Efectiva x UdM'!$H$64:$AK$70,4,0))))</f>
        <v>0</v>
      </c>
      <c r="AG567" s="31">
        <f>(VLOOKUP($A567,$A$458:$O$482,6,0)*(HLOOKUP(AG$561,'2.2.Brecha Efectiva x UdM'!$H$86:$AK$92,4,0))+(VLOOKUP($A567,$A$4:$O$27,6,0)*(HLOOKUP(AG$561,'2.2.Brecha Efectiva x UdM'!$H$64:$AK$70,4,0))))</f>
        <v>0</v>
      </c>
      <c r="AH567" s="63">
        <f t="shared" si="538"/>
        <v>91639782.290283367</v>
      </c>
    </row>
    <row r="568" spans="1:34" x14ac:dyDescent="0.2">
      <c r="A568" s="25" t="str">
        <f t="shared" si="535"/>
        <v>Corrientes</v>
      </c>
      <c r="B568" s="51" t="str">
        <f t="shared" si="536"/>
        <v>Nombre UdM 3</v>
      </c>
      <c r="C568" s="25" t="str">
        <f t="shared" si="537"/>
        <v>Corrientes Nombre UdM 3</v>
      </c>
      <c r="D568" s="32">
        <f>(VLOOKUP($A568,$A$458:$O$482,6,0)*(HLOOKUP(D$561,'2.2.Brecha Efectiva x UdM'!$H$86:$AK$92,4,0))+(VLOOKUP($A568,$A$4:$O$27,6,0)*(HLOOKUP(D$561,'2.2.Brecha Efectiva x UdM'!$H$64:$AK$70,4,0))))</f>
        <v>5450443.8006884335</v>
      </c>
      <c r="E568" s="32">
        <f>(VLOOKUP($A568,$A$458:$O$482,6,0)*(HLOOKUP(E$561,'2.2.Brecha Efectiva x UdM'!$H$86:$AK$92,4,0))+(VLOOKUP($A568,$A$4:$O$27,6,0)*(HLOOKUP(E$561,'2.2.Brecha Efectiva x UdM'!$H$64:$AK$70,4,0))))</f>
        <v>36998742.123329148</v>
      </c>
      <c r="F568" s="32">
        <f>(VLOOKUP($A568,$A$458:$O$482,6,0)*(HLOOKUP(F$561,'2.2.Brecha Efectiva x UdM'!$H$86:$AK$92,4,0))+(VLOOKUP($A568,$A$4:$O$27,6,0)*(HLOOKUP(F$561,'2.2.Brecha Efectiva x UdM'!$H$64:$AK$70,4,0))))</f>
        <v>1878234.8792316914</v>
      </c>
      <c r="G568" s="32">
        <f>(VLOOKUP($A568,$A$458:$O$482,6,0)*(HLOOKUP(G$561,'2.2.Brecha Efectiva x UdM'!$H$86:$AK$92,4,0))+(VLOOKUP($A568,$A$4:$O$27,6,0)*(HLOOKUP(G$561,'2.2.Brecha Efectiva x UdM'!$H$64:$AK$70,4,0))))</f>
        <v>1026353.5830629445</v>
      </c>
      <c r="H568" s="32">
        <f>(VLOOKUP($A568,$A$458:$O$482,6,0)*(HLOOKUP(H$561,'2.2.Brecha Efectiva x UdM'!$H$86:$AK$92,4,0))+(VLOOKUP($A568,$A$4:$O$27,6,0)*(HLOOKUP(H$561,'2.2.Brecha Efectiva x UdM'!$H$64:$AK$70,4,0))))</f>
        <v>0</v>
      </c>
      <c r="I568" s="32">
        <f>(VLOOKUP($A568,$A$458:$O$482,6,0)*(HLOOKUP(I$561,'2.2.Brecha Efectiva x UdM'!$H$86:$AK$92,4,0))+(VLOOKUP($A568,$A$4:$O$27,6,0)*(HLOOKUP(I$561,'2.2.Brecha Efectiva x UdM'!$H$64:$AK$70,4,0))))</f>
        <v>0</v>
      </c>
      <c r="J568" s="32">
        <f>(VLOOKUP($A568,$A$458:$O$482,6,0)*(HLOOKUP(J$561,'2.2.Brecha Efectiva x UdM'!$H$86:$AK$92,4,0))+(VLOOKUP($A568,$A$4:$O$27,6,0)*(HLOOKUP(J$561,'2.2.Brecha Efectiva x UdM'!$H$64:$AK$70,4,0))))</f>
        <v>0</v>
      </c>
      <c r="K568" s="32">
        <f>(VLOOKUP($A568,$A$458:$O$482,6,0)*(HLOOKUP(K$561,'2.2.Brecha Efectiva x UdM'!$H$86:$AK$92,4,0))+(VLOOKUP($A568,$A$4:$O$27,6,0)*(HLOOKUP(K$561,'2.2.Brecha Efectiva x UdM'!$H$64:$AK$70,4,0))))</f>
        <v>0</v>
      </c>
      <c r="L568" s="32">
        <f>(VLOOKUP($A568,$A$458:$O$482,6,0)*(HLOOKUP(L$561,'2.2.Brecha Efectiva x UdM'!$H$86:$AK$92,4,0))+(VLOOKUP($A568,$A$4:$O$27,6,0)*(HLOOKUP(L$561,'2.2.Brecha Efectiva x UdM'!$H$64:$AK$70,4,0))))</f>
        <v>0</v>
      </c>
      <c r="M568" s="32">
        <f>(VLOOKUP($A568,$A$458:$O$482,6,0)*(HLOOKUP(M$561,'2.2.Brecha Efectiva x UdM'!$H$86:$AK$92,4,0))+(VLOOKUP($A568,$A$4:$O$27,6,0)*(HLOOKUP(M$561,'2.2.Brecha Efectiva x UdM'!$H$64:$AK$70,4,0))))</f>
        <v>0</v>
      </c>
      <c r="N568" s="32">
        <f>(VLOOKUP($A568,$A$458:$O$482,6,0)*(HLOOKUP(N$561,'2.2.Brecha Efectiva x UdM'!$H$86:$AK$92,4,0))+(VLOOKUP($A568,$A$4:$O$27,6,0)*(HLOOKUP(N$561,'2.2.Brecha Efectiva x UdM'!$H$64:$AK$70,4,0))))</f>
        <v>0</v>
      </c>
      <c r="O568" s="32">
        <f>(VLOOKUP($A568,$A$458:$O$482,6,0)*(HLOOKUP(O$561,'2.2.Brecha Efectiva x UdM'!$H$86:$AK$92,4,0))+(VLOOKUP($A568,$A$4:$O$27,6,0)*(HLOOKUP(O$561,'2.2.Brecha Efectiva x UdM'!$H$64:$AK$70,4,0))))</f>
        <v>0</v>
      </c>
      <c r="P568" s="32">
        <f>(VLOOKUP($A568,$A$458:$O$482,6,0)*(HLOOKUP(P$561,'2.2.Brecha Efectiva x UdM'!$H$86:$AK$92,4,0))+(VLOOKUP($A568,$A$4:$O$27,6,0)*(HLOOKUP(P$561,'2.2.Brecha Efectiva x UdM'!$H$64:$AK$70,4,0))))</f>
        <v>0</v>
      </c>
      <c r="Q568" s="32">
        <f>(VLOOKUP($A568,$A$458:$O$482,6,0)*(HLOOKUP(Q$561,'2.2.Brecha Efectiva x UdM'!$H$86:$AK$92,4,0))+(VLOOKUP($A568,$A$4:$O$27,6,0)*(HLOOKUP(Q$561,'2.2.Brecha Efectiva x UdM'!$H$64:$AK$70,4,0))))</f>
        <v>0</v>
      </c>
      <c r="R568" s="32">
        <f>(VLOOKUP($A568,$A$458:$O$482,6,0)*(HLOOKUP(R$561,'2.2.Brecha Efectiva x UdM'!$H$86:$AK$92,4,0))+(VLOOKUP($A568,$A$4:$O$27,6,0)*(HLOOKUP(R$561,'2.2.Brecha Efectiva x UdM'!$H$64:$AK$70,4,0))))</f>
        <v>0</v>
      </c>
      <c r="S568" s="32">
        <f>(VLOOKUP($A568,$A$458:$O$482,6,0)*(HLOOKUP(S$561,'2.2.Brecha Efectiva x UdM'!$H$86:$AK$92,4,0))+(VLOOKUP($A568,$A$4:$O$27,6,0)*(HLOOKUP(S$561,'2.2.Brecha Efectiva x UdM'!$H$64:$AK$70,4,0))))</f>
        <v>0</v>
      </c>
      <c r="T568" s="32">
        <f>(VLOOKUP($A568,$A$458:$O$482,6,0)*(HLOOKUP(T$561,'2.2.Brecha Efectiva x UdM'!$H$86:$AK$92,4,0))+(VLOOKUP($A568,$A$4:$O$27,6,0)*(HLOOKUP(T$561,'2.2.Brecha Efectiva x UdM'!$H$64:$AK$70,4,0))))</f>
        <v>0</v>
      </c>
      <c r="U568" s="32">
        <f>(VLOOKUP($A568,$A$458:$O$482,6,0)*(HLOOKUP(U$561,'2.2.Brecha Efectiva x UdM'!$H$86:$AK$92,4,0))+(VLOOKUP($A568,$A$4:$O$27,6,0)*(HLOOKUP(U$561,'2.2.Brecha Efectiva x UdM'!$H$64:$AK$70,4,0))))</f>
        <v>0</v>
      </c>
      <c r="V568" s="32">
        <f>(VLOOKUP($A568,$A$458:$O$482,6,0)*(HLOOKUP(V$561,'2.2.Brecha Efectiva x UdM'!$H$86:$AK$92,4,0))+(VLOOKUP($A568,$A$4:$O$27,6,0)*(HLOOKUP(V$561,'2.2.Brecha Efectiva x UdM'!$H$64:$AK$70,4,0))))</f>
        <v>0</v>
      </c>
      <c r="W568" s="32">
        <f>(VLOOKUP($A568,$A$458:$O$482,6,0)*(HLOOKUP(W$561,'2.2.Brecha Efectiva x UdM'!$H$86:$AK$92,4,0))+(VLOOKUP($A568,$A$4:$O$27,6,0)*(HLOOKUP(W$561,'2.2.Brecha Efectiva x UdM'!$H$64:$AK$70,4,0))))</f>
        <v>0</v>
      </c>
      <c r="X568" s="32">
        <f>(VLOOKUP($A568,$A$458:$O$482,6,0)*(HLOOKUP(X$561,'2.2.Brecha Efectiva x UdM'!$H$86:$AK$92,4,0))+(VLOOKUP($A568,$A$4:$O$27,6,0)*(HLOOKUP(X$561,'2.2.Brecha Efectiva x UdM'!$H$64:$AK$70,4,0))))</f>
        <v>0</v>
      </c>
      <c r="Y568" s="32">
        <f>(VLOOKUP($A568,$A$458:$O$482,6,0)*(HLOOKUP(Y$561,'2.2.Brecha Efectiva x UdM'!$H$86:$AK$92,4,0))+(VLOOKUP($A568,$A$4:$O$27,6,0)*(HLOOKUP(Y$561,'2.2.Brecha Efectiva x UdM'!$H$64:$AK$70,4,0))))</f>
        <v>0</v>
      </c>
      <c r="Z568" s="32">
        <f>(VLOOKUP($A568,$A$458:$O$482,6,0)*(HLOOKUP(Z$561,'2.2.Brecha Efectiva x UdM'!$H$86:$AK$92,4,0))+(VLOOKUP($A568,$A$4:$O$27,6,0)*(HLOOKUP(Z$561,'2.2.Brecha Efectiva x UdM'!$H$64:$AK$70,4,0))))</f>
        <v>0</v>
      </c>
      <c r="AA568" s="32">
        <f>(VLOOKUP($A568,$A$458:$O$482,6,0)*(HLOOKUP(AA$561,'2.2.Brecha Efectiva x UdM'!$H$86:$AK$92,4,0))+(VLOOKUP($A568,$A$4:$O$27,6,0)*(HLOOKUP(AA$561,'2.2.Brecha Efectiva x UdM'!$H$64:$AK$70,4,0))))</f>
        <v>0</v>
      </c>
      <c r="AB568" s="32">
        <f>(VLOOKUP($A568,$A$458:$O$482,6,0)*(HLOOKUP(AB$561,'2.2.Brecha Efectiva x UdM'!$H$86:$AK$92,4,0))+(VLOOKUP($A568,$A$4:$O$27,6,0)*(HLOOKUP(AB$561,'2.2.Brecha Efectiva x UdM'!$H$64:$AK$70,4,0))))</f>
        <v>0</v>
      </c>
      <c r="AC568" s="32">
        <f>(VLOOKUP($A568,$A$458:$O$482,6,0)*(HLOOKUP(AC$561,'2.2.Brecha Efectiva x UdM'!$H$86:$AK$92,4,0))+(VLOOKUP($A568,$A$4:$O$27,6,0)*(HLOOKUP(AC$561,'2.2.Brecha Efectiva x UdM'!$H$64:$AK$70,4,0))))</f>
        <v>0</v>
      </c>
      <c r="AD568" s="32">
        <f>(VLOOKUP($A568,$A$458:$O$482,6,0)*(HLOOKUP(AD$561,'2.2.Brecha Efectiva x UdM'!$H$86:$AK$92,4,0))+(VLOOKUP($A568,$A$4:$O$27,6,0)*(HLOOKUP(AD$561,'2.2.Brecha Efectiva x UdM'!$H$64:$AK$70,4,0))))</f>
        <v>0</v>
      </c>
      <c r="AE568" s="32">
        <f>(VLOOKUP($A568,$A$458:$O$482,6,0)*(HLOOKUP(AE$561,'2.2.Brecha Efectiva x UdM'!$H$86:$AK$92,4,0))+(VLOOKUP($A568,$A$4:$O$27,6,0)*(HLOOKUP(AE$561,'2.2.Brecha Efectiva x UdM'!$H$64:$AK$70,4,0))))</f>
        <v>0</v>
      </c>
      <c r="AF568" s="32">
        <f>(VLOOKUP($A568,$A$458:$O$482,6,0)*(HLOOKUP(AF$561,'2.2.Brecha Efectiva x UdM'!$H$86:$AK$92,4,0))+(VLOOKUP($A568,$A$4:$O$27,6,0)*(HLOOKUP(AF$561,'2.2.Brecha Efectiva x UdM'!$H$64:$AK$70,4,0))))</f>
        <v>0</v>
      </c>
      <c r="AG568" s="32">
        <f>(VLOOKUP($A568,$A$458:$O$482,6,0)*(HLOOKUP(AG$561,'2.2.Brecha Efectiva x UdM'!$H$86:$AK$92,4,0))+(VLOOKUP($A568,$A$4:$O$27,6,0)*(HLOOKUP(AG$561,'2.2.Brecha Efectiva x UdM'!$H$64:$AK$70,4,0))))</f>
        <v>0</v>
      </c>
      <c r="AH568" s="62">
        <f t="shared" si="538"/>
        <v>45353774.386312217</v>
      </c>
    </row>
    <row r="569" spans="1:34" x14ac:dyDescent="0.2">
      <c r="A569" s="26" t="str">
        <f t="shared" si="535"/>
        <v>Entre Ríos</v>
      </c>
      <c r="B569" s="52" t="str">
        <f t="shared" si="536"/>
        <v>Nombre UdM 3</v>
      </c>
      <c r="C569" s="26" t="str">
        <f t="shared" si="537"/>
        <v>Entre Ríos Nombre UdM 3</v>
      </c>
      <c r="D569" s="31">
        <f>(VLOOKUP($A569,$A$458:$O$482,6,0)*(HLOOKUP(D$561,'2.2.Brecha Efectiva x UdM'!$H$86:$AK$92,4,0))+(VLOOKUP($A569,$A$4:$O$27,6,0)*(HLOOKUP(D$561,'2.2.Brecha Efectiva x UdM'!$H$64:$AK$70,4,0))))</f>
        <v>3800013.8266373128</v>
      </c>
      <c r="E569" s="31">
        <f>(VLOOKUP($A569,$A$458:$O$482,6,0)*(HLOOKUP(E$561,'2.2.Brecha Efectiva x UdM'!$H$86:$AK$92,4,0))+(VLOOKUP($A569,$A$4:$O$27,6,0)*(HLOOKUP(E$561,'2.2.Brecha Efectiva x UdM'!$H$64:$AK$70,4,0))))</f>
        <v>25795281.407925129</v>
      </c>
      <c r="F569" s="31">
        <f>(VLOOKUP($A569,$A$458:$O$482,6,0)*(HLOOKUP(F$561,'2.2.Brecha Efectiva x UdM'!$H$86:$AK$92,4,0))+(VLOOKUP($A569,$A$4:$O$27,6,0)*(HLOOKUP(F$561,'2.2.Brecha Efectiva x UdM'!$H$64:$AK$70,4,0))))</f>
        <v>1309493.0929938937</v>
      </c>
      <c r="G569" s="31">
        <f>(VLOOKUP($A569,$A$458:$O$482,6,0)*(HLOOKUP(G$561,'2.2.Brecha Efectiva x UdM'!$H$86:$AK$92,4,0))+(VLOOKUP($A569,$A$4:$O$27,6,0)*(HLOOKUP(G$561,'2.2.Brecha Efectiva x UdM'!$H$64:$AK$70,4,0))))</f>
        <v>715567.01605937409</v>
      </c>
      <c r="H569" s="31">
        <f>(VLOOKUP($A569,$A$458:$O$482,6,0)*(HLOOKUP(H$561,'2.2.Brecha Efectiva x UdM'!$H$86:$AK$92,4,0))+(VLOOKUP($A569,$A$4:$O$27,6,0)*(HLOOKUP(H$561,'2.2.Brecha Efectiva x UdM'!$H$64:$AK$70,4,0))))</f>
        <v>0</v>
      </c>
      <c r="I569" s="31">
        <f>(VLOOKUP($A569,$A$458:$O$482,6,0)*(HLOOKUP(I$561,'2.2.Brecha Efectiva x UdM'!$H$86:$AK$92,4,0))+(VLOOKUP($A569,$A$4:$O$27,6,0)*(HLOOKUP(I$561,'2.2.Brecha Efectiva x UdM'!$H$64:$AK$70,4,0))))</f>
        <v>0</v>
      </c>
      <c r="J569" s="31">
        <f>(VLOOKUP($A569,$A$458:$O$482,6,0)*(HLOOKUP(J$561,'2.2.Brecha Efectiva x UdM'!$H$86:$AK$92,4,0))+(VLOOKUP($A569,$A$4:$O$27,6,0)*(HLOOKUP(J$561,'2.2.Brecha Efectiva x UdM'!$H$64:$AK$70,4,0))))</f>
        <v>0</v>
      </c>
      <c r="K569" s="31">
        <f>(VLOOKUP($A569,$A$458:$O$482,6,0)*(HLOOKUP(K$561,'2.2.Brecha Efectiva x UdM'!$H$86:$AK$92,4,0))+(VLOOKUP($A569,$A$4:$O$27,6,0)*(HLOOKUP(K$561,'2.2.Brecha Efectiva x UdM'!$H$64:$AK$70,4,0))))</f>
        <v>0</v>
      </c>
      <c r="L569" s="31">
        <f>(VLOOKUP($A569,$A$458:$O$482,6,0)*(HLOOKUP(L$561,'2.2.Brecha Efectiva x UdM'!$H$86:$AK$92,4,0))+(VLOOKUP($A569,$A$4:$O$27,6,0)*(HLOOKUP(L$561,'2.2.Brecha Efectiva x UdM'!$H$64:$AK$70,4,0))))</f>
        <v>0</v>
      </c>
      <c r="M569" s="31">
        <f>(VLOOKUP($A569,$A$458:$O$482,6,0)*(HLOOKUP(M$561,'2.2.Brecha Efectiva x UdM'!$H$86:$AK$92,4,0))+(VLOOKUP($A569,$A$4:$O$27,6,0)*(HLOOKUP(M$561,'2.2.Brecha Efectiva x UdM'!$H$64:$AK$70,4,0))))</f>
        <v>0</v>
      </c>
      <c r="N569" s="31">
        <f>(VLOOKUP($A569,$A$458:$O$482,6,0)*(HLOOKUP(N$561,'2.2.Brecha Efectiva x UdM'!$H$86:$AK$92,4,0))+(VLOOKUP($A569,$A$4:$O$27,6,0)*(HLOOKUP(N$561,'2.2.Brecha Efectiva x UdM'!$H$64:$AK$70,4,0))))</f>
        <v>0</v>
      </c>
      <c r="O569" s="31">
        <f>(VLOOKUP($A569,$A$458:$O$482,6,0)*(HLOOKUP(O$561,'2.2.Brecha Efectiva x UdM'!$H$86:$AK$92,4,0))+(VLOOKUP($A569,$A$4:$O$27,6,0)*(HLOOKUP(O$561,'2.2.Brecha Efectiva x UdM'!$H$64:$AK$70,4,0))))</f>
        <v>0</v>
      </c>
      <c r="P569" s="31">
        <f>(VLOOKUP($A569,$A$458:$O$482,6,0)*(HLOOKUP(P$561,'2.2.Brecha Efectiva x UdM'!$H$86:$AK$92,4,0))+(VLOOKUP($A569,$A$4:$O$27,6,0)*(HLOOKUP(P$561,'2.2.Brecha Efectiva x UdM'!$H$64:$AK$70,4,0))))</f>
        <v>0</v>
      </c>
      <c r="Q569" s="31">
        <f>(VLOOKUP($A569,$A$458:$O$482,6,0)*(HLOOKUP(Q$561,'2.2.Brecha Efectiva x UdM'!$H$86:$AK$92,4,0))+(VLOOKUP($A569,$A$4:$O$27,6,0)*(HLOOKUP(Q$561,'2.2.Brecha Efectiva x UdM'!$H$64:$AK$70,4,0))))</f>
        <v>0</v>
      </c>
      <c r="R569" s="31">
        <f>(VLOOKUP($A569,$A$458:$O$482,6,0)*(HLOOKUP(R$561,'2.2.Brecha Efectiva x UdM'!$H$86:$AK$92,4,0))+(VLOOKUP($A569,$A$4:$O$27,6,0)*(HLOOKUP(R$561,'2.2.Brecha Efectiva x UdM'!$H$64:$AK$70,4,0))))</f>
        <v>0</v>
      </c>
      <c r="S569" s="31">
        <f>(VLOOKUP($A569,$A$458:$O$482,6,0)*(HLOOKUP(S$561,'2.2.Brecha Efectiva x UdM'!$H$86:$AK$92,4,0))+(VLOOKUP($A569,$A$4:$O$27,6,0)*(HLOOKUP(S$561,'2.2.Brecha Efectiva x UdM'!$H$64:$AK$70,4,0))))</f>
        <v>0</v>
      </c>
      <c r="T569" s="31">
        <f>(VLOOKUP($A569,$A$458:$O$482,6,0)*(HLOOKUP(T$561,'2.2.Brecha Efectiva x UdM'!$H$86:$AK$92,4,0))+(VLOOKUP($A569,$A$4:$O$27,6,0)*(HLOOKUP(T$561,'2.2.Brecha Efectiva x UdM'!$H$64:$AK$70,4,0))))</f>
        <v>0</v>
      </c>
      <c r="U569" s="31">
        <f>(VLOOKUP($A569,$A$458:$O$482,6,0)*(HLOOKUP(U$561,'2.2.Brecha Efectiva x UdM'!$H$86:$AK$92,4,0))+(VLOOKUP($A569,$A$4:$O$27,6,0)*(HLOOKUP(U$561,'2.2.Brecha Efectiva x UdM'!$H$64:$AK$70,4,0))))</f>
        <v>0</v>
      </c>
      <c r="V569" s="31">
        <f>(VLOOKUP($A569,$A$458:$O$482,6,0)*(HLOOKUP(V$561,'2.2.Brecha Efectiva x UdM'!$H$86:$AK$92,4,0))+(VLOOKUP($A569,$A$4:$O$27,6,0)*(HLOOKUP(V$561,'2.2.Brecha Efectiva x UdM'!$H$64:$AK$70,4,0))))</f>
        <v>0</v>
      </c>
      <c r="W569" s="31">
        <f>(VLOOKUP($A569,$A$458:$O$482,6,0)*(HLOOKUP(W$561,'2.2.Brecha Efectiva x UdM'!$H$86:$AK$92,4,0))+(VLOOKUP($A569,$A$4:$O$27,6,0)*(HLOOKUP(W$561,'2.2.Brecha Efectiva x UdM'!$H$64:$AK$70,4,0))))</f>
        <v>0</v>
      </c>
      <c r="X569" s="31">
        <f>(VLOOKUP($A569,$A$458:$O$482,6,0)*(HLOOKUP(X$561,'2.2.Brecha Efectiva x UdM'!$H$86:$AK$92,4,0))+(VLOOKUP($A569,$A$4:$O$27,6,0)*(HLOOKUP(X$561,'2.2.Brecha Efectiva x UdM'!$H$64:$AK$70,4,0))))</f>
        <v>0</v>
      </c>
      <c r="Y569" s="31">
        <f>(VLOOKUP($A569,$A$458:$O$482,6,0)*(HLOOKUP(Y$561,'2.2.Brecha Efectiva x UdM'!$H$86:$AK$92,4,0))+(VLOOKUP($A569,$A$4:$O$27,6,0)*(HLOOKUP(Y$561,'2.2.Brecha Efectiva x UdM'!$H$64:$AK$70,4,0))))</f>
        <v>0</v>
      </c>
      <c r="Z569" s="31">
        <f>(VLOOKUP($A569,$A$458:$O$482,6,0)*(HLOOKUP(Z$561,'2.2.Brecha Efectiva x UdM'!$H$86:$AK$92,4,0))+(VLOOKUP($A569,$A$4:$O$27,6,0)*(HLOOKUP(Z$561,'2.2.Brecha Efectiva x UdM'!$H$64:$AK$70,4,0))))</f>
        <v>0</v>
      </c>
      <c r="AA569" s="31">
        <f>(VLOOKUP($A569,$A$458:$O$482,6,0)*(HLOOKUP(AA$561,'2.2.Brecha Efectiva x UdM'!$H$86:$AK$92,4,0))+(VLOOKUP($A569,$A$4:$O$27,6,0)*(HLOOKUP(AA$561,'2.2.Brecha Efectiva x UdM'!$H$64:$AK$70,4,0))))</f>
        <v>0</v>
      </c>
      <c r="AB569" s="31">
        <f>(VLOOKUP($A569,$A$458:$O$482,6,0)*(HLOOKUP(AB$561,'2.2.Brecha Efectiva x UdM'!$H$86:$AK$92,4,0))+(VLOOKUP($A569,$A$4:$O$27,6,0)*(HLOOKUP(AB$561,'2.2.Brecha Efectiva x UdM'!$H$64:$AK$70,4,0))))</f>
        <v>0</v>
      </c>
      <c r="AC569" s="31">
        <f>(VLOOKUP($A569,$A$458:$O$482,6,0)*(HLOOKUP(AC$561,'2.2.Brecha Efectiva x UdM'!$H$86:$AK$92,4,0))+(VLOOKUP($A569,$A$4:$O$27,6,0)*(HLOOKUP(AC$561,'2.2.Brecha Efectiva x UdM'!$H$64:$AK$70,4,0))))</f>
        <v>0</v>
      </c>
      <c r="AD569" s="31">
        <f>(VLOOKUP($A569,$A$458:$O$482,6,0)*(HLOOKUP(AD$561,'2.2.Brecha Efectiva x UdM'!$H$86:$AK$92,4,0))+(VLOOKUP($A569,$A$4:$O$27,6,0)*(HLOOKUP(AD$561,'2.2.Brecha Efectiva x UdM'!$H$64:$AK$70,4,0))))</f>
        <v>0</v>
      </c>
      <c r="AE569" s="31">
        <f>(VLOOKUP($A569,$A$458:$O$482,6,0)*(HLOOKUP(AE$561,'2.2.Brecha Efectiva x UdM'!$H$86:$AK$92,4,0))+(VLOOKUP($A569,$A$4:$O$27,6,0)*(HLOOKUP(AE$561,'2.2.Brecha Efectiva x UdM'!$H$64:$AK$70,4,0))))</f>
        <v>0</v>
      </c>
      <c r="AF569" s="31">
        <f>(VLOOKUP($A569,$A$458:$O$482,6,0)*(HLOOKUP(AF$561,'2.2.Brecha Efectiva x UdM'!$H$86:$AK$92,4,0))+(VLOOKUP($A569,$A$4:$O$27,6,0)*(HLOOKUP(AF$561,'2.2.Brecha Efectiva x UdM'!$H$64:$AK$70,4,0))))</f>
        <v>0</v>
      </c>
      <c r="AG569" s="31">
        <f>(VLOOKUP($A569,$A$458:$O$482,6,0)*(HLOOKUP(AG$561,'2.2.Brecha Efectiva x UdM'!$H$86:$AK$92,4,0))+(VLOOKUP($A569,$A$4:$O$27,6,0)*(HLOOKUP(AG$561,'2.2.Brecha Efectiva x UdM'!$H$64:$AK$70,4,0))))</f>
        <v>0</v>
      </c>
      <c r="AH569" s="63">
        <f t="shared" si="538"/>
        <v>31620355.343615707</v>
      </c>
    </row>
    <row r="570" spans="1:34" x14ac:dyDescent="0.2">
      <c r="A570" s="25" t="str">
        <f t="shared" si="535"/>
        <v>Formosa</v>
      </c>
      <c r="B570" s="51" t="str">
        <f t="shared" si="536"/>
        <v>Nombre UdM 3</v>
      </c>
      <c r="C570" s="25" t="str">
        <f t="shared" si="537"/>
        <v>Formosa Nombre UdM 3</v>
      </c>
      <c r="D570" s="32">
        <f>(VLOOKUP($A570,$A$458:$O$482,6,0)*(HLOOKUP(D$561,'2.2.Brecha Efectiva x UdM'!$H$86:$AK$92,4,0))+(VLOOKUP($A570,$A$4:$O$27,6,0)*(HLOOKUP(D$561,'2.2.Brecha Efectiva x UdM'!$H$64:$AK$70,4,0))))</f>
        <v>0</v>
      </c>
      <c r="E570" s="32">
        <f>(VLOOKUP($A570,$A$458:$O$482,6,0)*(HLOOKUP(E$561,'2.2.Brecha Efectiva x UdM'!$H$86:$AK$92,4,0))+(VLOOKUP($A570,$A$4:$O$27,6,0)*(HLOOKUP(E$561,'2.2.Brecha Efectiva x UdM'!$H$64:$AK$70,4,0))))</f>
        <v>0</v>
      </c>
      <c r="F570" s="32">
        <f>(VLOOKUP($A570,$A$458:$O$482,6,0)*(HLOOKUP(F$561,'2.2.Brecha Efectiva x UdM'!$H$86:$AK$92,4,0))+(VLOOKUP($A570,$A$4:$O$27,6,0)*(HLOOKUP(F$561,'2.2.Brecha Efectiva x UdM'!$H$64:$AK$70,4,0))))</f>
        <v>0</v>
      </c>
      <c r="G570" s="32">
        <f>(VLOOKUP($A570,$A$458:$O$482,6,0)*(HLOOKUP(G$561,'2.2.Brecha Efectiva x UdM'!$H$86:$AK$92,4,0))+(VLOOKUP($A570,$A$4:$O$27,6,0)*(HLOOKUP(G$561,'2.2.Brecha Efectiva x UdM'!$H$64:$AK$70,4,0))))</f>
        <v>0</v>
      </c>
      <c r="H570" s="32">
        <f>(VLOOKUP($A570,$A$458:$O$482,6,0)*(HLOOKUP(H$561,'2.2.Brecha Efectiva x UdM'!$H$86:$AK$92,4,0))+(VLOOKUP($A570,$A$4:$O$27,6,0)*(HLOOKUP(H$561,'2.2.Brecha Efectiva x UdM'!$H$64:$AK$70,4,0))))</f>
        <v>0</v>
      </c>
      <c r="I570" s="32">
        <f>(VLOOKUP($A570,$A$458:$O$482,6,0)*(HLOOKUP(I$561,'2.2.Brecha Efectiva x UdM'!$H$86:$AK$92,4,0))+(VLOOKUP($A570,$A$4:$O$27,6,0)*(HLOOKUP(I$561,'2.2.Brecha Efectiva x UdM'!$H$64:$AK$70,4,0))))</f>
        <v>0</v>
      </c>
      <c r="J570" s="32">
        <f>(VLOOKUP($A570,$A$458:$O$482,6,0)*(HLOOKUP(J$561,'2.2.Brecha Efectiva x UdM'!$H$86:$AK$92,4,0))+(VLOOKUP($A570,$A$4:$O$27,6,0)*(HLOOKUP(J$561,'2.2.Brecha Efectiva x UdM'!$H$64:$AK$70,4,0))))</f>
        <v>0</v>
      </c>
      <c r="K570" s="32">
        <f>(VLOOKUP($A570,$A$458:$O$482,6,0)*(HLOOKUP(K$561,'2.2.Brecha Efectiva x UdM'!$H$86:$AK$92,4,0))+(VLOOKUP($A570,$A$4:$O$27,6,0)*(HLOOKUP(K$561,'2.2.Brecha Efectiva x UdM'!$H$64:$AK$70,4,0))))</f>
        <v>0</v>
      </c>
      <c r="L570" s="32">
        <f>(VLOOKUP($A570,$A$458:$O$482,6,0)*(HLOOKUP(L$561,'2.2.Brecha Efectiva x UdM'!$H$86:$AK$92,4,0))+(VLOOKUP($A570,$A$4:$O$27,6,0)*(HLOOKUP(L$561,'2.2.Brecha Efectiva x UdM'!$H$64:$AK$70,4,0))))</f>
        <v>0</v>
      </c>
      <c r="M570" s="32">
        <f>(VLOOKUP($A570,$A$458:$O$482,6,0)*(HLOOKUP(M$561,'2.2.Brecha Efectiva x UdM'!$H$86:$AK$92,4,0))+(VLOOKUP($A570,$A$4:$O$27,6,0)*(HLOOKUP(M$561,'2.2.Brecha Efectiva x UdM'!$H$64:$AK$70,4,0))))</f>
        <v>0</v>
      </c>
      <c r="N570" s="32">
        <f>(VLOOKUP($A570,$A$458:$O$482,6,0)*(HLOOKUP(N$561,'2.2.Brecha Efectiva x UdM'!$H$86:$AK$92,4,0))+(VLOOKUP($A570,$A$4:$O$27,6,0)*(HLOOKUP(N$561,'2.2.Brecha Efectiva x UdM'!$H$64:$AK$70,4,0))))</f>
        <v>0</v>
      </c>
      <c r="O570" s="32">
        <f>(VLOOKUP($A570,$A$458:$O$482,6,0)*(HLOOKUP(O$561,'2.2.Brecha Efectiva x UdM'!$H$86:$AK$92,4,0))+(VLOOKUP($A570,$A$4:$O$27,6,0)*(HLOOKUP(O$561,'2.2.Brecha Efectiva x UdM'!$H$64:$AK$70,4,0))))</f>
        <v>0</v>
      </c>
      <c r="P570" s="32">
        <f>(VLOOKUP($A570,$A$458:$O$482,6,0)*(HLOOKUP(P$561,'2.2.Brecha Efectiva x UdM'!$H$86:$AK$92,4,0))+(VLOOKUP($A570,$A$4:$O$27,6,0)*(HLOOKUP(P$561,'2.2.Brecha Efectiva x UdM'!$H$64:$AK$70,4,0))))</f>
        <v>0</v>
      </c>
      <c r="Q570" s="32">
        <f>(VLOOKUP($A570,$A$458:$O$482,6,0)*(HLOOKUP(Q$561,'2.2.Brecha Efectiva x UdM'!$H$86:$AK$92,4,0))+(VLOOKUP($A570,$A$4:$O$27,6,0)*(HLOOKUP(Q$561,'2.2.Brecha Efectiva x UdM'!$H$64:$AK$70,4,0))))</f>
        <v>0</v>
      </c>
      <c r="R570" s="32">
        <f>(VLOOKUP($A570,$A$458:$O$482,6,0)*(HLOOKUP(R$561,'2.2.Brecha Efectiva x UdM'!$H$86:$AK$92,4,0))+(VLOOKUP($A570,$A$4:$O$27,6,0)*(HLOOKUP(R$561,'2.2.Brecha Efectiva x UdM'!$H$64:$AK$70,4,0))))</f>
        <v>0</v>
      </c>
      <c r="S570" s="32">
        <f>(VLOOKUP($A570,$A$458:$O$482,6,0)*(HLOOKUP(S$561,'2.2.Brecha Efectiva x UdM'!$H$86:$AK$92,4,0))+(VLOOKUP($A570,$A$4:$O$27,6,0)*(HLOOKUP(S$561,'2.2.Brecha Efectiva x UdM'!$H$64:$AK$70,4,0))))</f>
        <v>0</v>
      </c>
      <c r="T570" s="32">
        <f>(VLOOKUP($A570,$A$458:$O$482,6,0)*(HLOOKUP(T$561,'2.2.Brecha Efectiva x UdM'!$H$86:$AK$92,4,0))+(VLOOKUP($A570,$A$4:$O$27,6,0)*(HLOOKUP(T$561,'2.2.Brecha Efectiva x UdM'!$H$64:$AK$70,4,0))))</f>
        <v>0</v>
      </c>
      <c r="U570" s="32">
        <f>(VLOOKUP($A570,$A$458:$O$482,6,0)*(HLOOKUP(U$561,'2.2.Brecha Efectiva x UdM'!$H$86:$AK$92,4,0))+(VLOOKUP($A570,$A$4:$O$27,6,0)*(HLOOKUP(U$561,'2.2.Brecha Efectiva x UdM'!$H$64:$AK$70,4,0))))</f>
        <v>0</v>
      </c>
      <c r="V570" s="32">
        <f>(VLOOKUP($A570,$A$458:$O$482,6,0)*(HLOOKUP(V$561,'2.2.Brecha Efectiva x UdM'!$H$86:$AK$92,4,0))+(VLOOKUP($A570,$A$4:$O$27,6,0)*(HLOOKUP(V$561,'2.2.Brecha Efectiva x UdM'!$H$64:$AK$70,4,0))))</f>
        <v>0</v>
      </c>
      <c r="W570" s="32">
        <f>(VLOOKUP($A570,$A$458:$O$482,6,0)*(HLOOKUP(W$561,'2.2.Brecha Efectiva x UdM'!$H$86:$AK$92,4,0))+(VLOOKUP($A570,$A$4:$O$27,6,0)*(HLOOKUP(W$561,'2.2.Brecha Efectiva x UdM'!$H$64:$AK$70,4,0))))</f>
        <v>0</v>
      </c>
      <c r="X570" s="32">
        <f>(VLOOKUP($A570,$A$458:$O$482,6,0)*(HLOOKUP(X$561,'2.2.Brecha Efectiva x UdM'!$H$86:$AK$92,4,0))+(VLOOKUP($A570,$A$4:$O$27,6,0)*(HLOOKUP(X$561,'2.2.Brecha Efectiva x UdM'!$H$64:$AK$70,4,0))))</f>
        <v>0</v>
      </c>
      <c r="Y570" s="32">
        <f>(VLOOKUP($A570,$A$458:$O$482,6,0)*(HLOOKUP(Y$561,'2.2.Brecha Efectiva x UdM'!$H$86:$AK$92,4,0))+(VLOOKUP($A570,$A$4:$O$27,6,0)*(HLOOKUP(Y$561,'2.2.Brecha Efectiva x UdM'!$H$64:$AK$70,4,0))))</f>
        <v>0</v>
      </c>
      <c r="Z570" s="32">
        <f>(VLOOKUP($A570,$A$458:$O$482,6,0)*(HLOOKUP(Z$561,'2.2.Brecha Efectiva x UdM'!$H$86:$AK$92,4,0))+(VLOOKUP($A570,$A$4:$O$27,6,0)*(HLOOKUP(Z$561,'2.2.Brecha Efectiva x UdM'!$H$64:$AK$70,4,0))))</f>
        <v>0</v>
      </c>
      <c r="AA570" s="32">
        <f>(VLOOKUP($A570,$A$458:$O$482,6,0)*(HLOOKUP(AA$561,'2.2.Brecha Efectiva x UdM'!$H$86:$AK$92,4,0))+(VLOOKUP($A570,$A$4:$O$27,6,0)*(HLOOKUP(AA$561,'2.2.Brecha Efectiva x UdM'!$H$64:$AK$70,4,0))))</f>
        <v>0</v>
      </c>
      <c r="AB570" s="32">
        <f>(VLOOKUP($A570,$A$458:$O$482,6,0)*(HLOOKUP(AB$561,'2.2.Brecha Efectiva x UdM'!$H$86:$AK$92,4,0))+(VLOOKUP($A570,$A$4:$O$27,6,0)*(HLOOKUP(AB$561,'2.2.Brecha Efectiva x UdM'!$H$64:$AK$70,4,0))))</f>
        <v>0</v>
      </c>
      <c r="AC570" s="32">
        <f>(VLOOKUP($A570,$A$458:$O$482,6,0)*(HLOOKUP(AC$561,'2.2.Brecha Efectiva x UdM'!$H$86:$AK$92,4,0))+(VLOOKUP($A570,$A$4:$O$27,6,0)*(HLOOKUP(AC$561,'2.2.Brecha Efectiva x UdM'!$H$64:$AK$70,4,0))))</f>
        <v>0</v>
      </c>
      <c r="AD570" s="32">
        <f>(VLOOKUP($A570,$A$458:$O$482,6,0)*(HLOOKUP(AD$561,'2.2.Brecha Efectiva x UdM'!$H$86:$AK$92,4,0))+(VLOOKUP($A570,$A$4:$O$27,6,0)*(HLOOKUP(AD$561,'2.2.Brecha Efectiva x UdM'!$H$64:$AK$70,4,0))))</f>
        <v>0</v>
      </c>
      <c r="AE570" s="32">
        <f>(VLOOKUP($A570,$A$458:$O$482,6,0)*(HLOOKUP(AE$561,'2.2.Brecha Efectiva x UdM'!$H$86:$AK$92,4,0))+(VLOOKUP($A570,$A$4:$O$27,6,0)*(HLOOKUP(AE$561,'2.2.Brecha Efectiva x UdM'!$H$64:$AK$70,4,0))))</f>
        <v>0</v>
      </c>
      <c r="AF570" s="32">
        <f>(VLOOKUP($A570,$A$458:$O$482,6,0)*(HLOOKUP(AF$561,'2.2.Brecha Efectiva x UdM'!$H$86:$AK$92,4,0))+(VLOOKUP($A570,$A$4:$O$27,6,0)*(HLOOKUP(AF$561,'2.2.Brecha Efectiva x UdM'!$H$64:$AK$70,4,0))))</f>
        <v>0</v>
      </c>
      <c r="AG570" s="32">
        <f>(VLOOKUP($A570,$A$458:$O$482,6,0)*(HLOOKUP(AG$561,'2.2.Brecha Efectiva x UdM'!$H$86:$AK$92,4,0))+(VLOOKUP($A570,$A$4:$O$27,6,0)*(HLOOKUP(AG$561,'2.2.Brecha Efectiva x UdM'!$H$64:$AK$70,4,0))))</f>
        <v>0</v>
      </c>
      <c r="AH570" s="62">
        <f t="shared" si="538"/>
        <v>0</v>
      </c>
    </row>
    <row r="571" spans="1:34" x14ac:dyDescent="0.2">
      <c r="A571" s="26" t="str">
        <f t="shared" si="535"/>
        <v>Jujuy</v>
      </c>
      <c r="B571" s="52" t="str">
        <f t="shared" si="536"/>
        <v>Nombre UdM 3</v>
      </c>
      <c r="C571" s="26" t="str">
        <f t="shared" si="537"/>
        <v>Jujuy Nombre UdM 3</v>
      </c>
      <c r="D571" s="31">
        <f>(VLOOKUP($A571,$A$458:$O$482,6,0)*(HLOOKUP(D$561,'2.2.Brecha Efectiva x UdM'!$H$86:$AK$92,4,0))+(VLOOKUP($A571,$A$4:$O$27,6,0)*(HLOOKUP(D$561,'2.2.Brecha Efectiva x UdM'!$H$64:$AK$70,4,0))))</f>
        <v>0</v>
      </c>
      <c r="E571" s="31">
        <f>(VLOOKUP($A571,$A$458:$O$482,6,0)*(HLOOKUP(E$561,'2.2.Brecha Efectiva x UdM'!$H$86:$AK$92,4,0))+(VLOOKUP($A571,$A$4:$O$27,6,0)*(HLOOKUP(E$561,'2.2.Brecha Efectiva x UdM'!$H$64:$AK$70,4,0))))</f>
        <v>0</v>
      </c>
      <c r="F571" s="31">
        <f>(VLOOKUP($A571,$A$458:$O$482,6,0)*(HLOOKUP(F$561,'2.2.Brecha Efectiva x UdM'!$H$86:$AK$92,4,0))+(VLOOKUP($A571,$A$4:$O$27,6,0)*(HLOOKUP(F$561,'2.2.Brecha Efectiva x UdM'!$H$64:$AK$70,4,0))))</f>
        <v>0</v>
      </c>
      <c r="G571" s="31">
        <f>(VLOOKUP($A571,$A$458:$O$482,6,0)*(HLOOKUP(G$561,'2.2.Brecha Efectiva x UdM'!$H$86:$AK$92,4,0))+(VLOOKUP($A571,$A$4:$O$27,6,0)*(HLOOKUP(G$561,'2.2.Brecha Efectiva x UdM'!$H$64:$AK$70,4,0))))</f>
        <v>0</v>
      </c>
      <c r="H571" s="31">
        <f>(VLOOKUP($A571,$A$458:$O$482,6,0)*(HLOOKUP(H$561,'2.2.Brecha Efectiva x UdM'!$H$86:$AK$92,4,0))+(VLOOKUP($A571,$A$4:$O$27,6,0)*(HLOOKUP(H$561,'2.2.Brecha Efectiva x UdM'!$H$64:$AK$70,4,0))))</f>
        <v>0</v>
      </c>
      <c r="I571" s="31">
        <f>(VLOOKUP($A571,$A$458:$O$482,6,0)*(HLOOKUP(I$561,'2.2.Brecha Efectiva x UdM'!$H$86:$AK$92,4,0))+(VLOOKUP($A571,$A$4:$O$27,6,0)*(HLOOKUP(I$561,'2.2.Brecha Efectiva x UdM'!$H$64:$AK$70,4,0))))</f>
        <v>0</v>
      </c>
      <c r="J571" s="31">
        <f>(VLOOKUP($A571,$A$458:$O$482,6,0)*(HLOOKUP(J$561,'2.2.Brecha Efectiva x UdM'!$H$86:$AK$92,4,0))+(VLOOKUP($A571,$A$4:$O$27,6,0)*(HLOOKUP(J$561,'2.2.Brecha Efectiva x UdM'!$H$64:$AK$70,4,0))))</f>
        <v>0</v>
      </c>
      <c r="K571" s="31">
        <f>(VLOOKUP($A571,$A$458:$O$482,6,0)*(HLOOKUP(K$561,'2.2.Brecha Efectiva x UdM'!$H$86:$AK$92,4,0))+(VLOOKUP($A571,$A$4:$O$27,6,0)*(HLOOKUP(K$561,'2.2.Brecha Efectiva x UdM'!$H$64:$AK$70,4,0))))</f>
        <v>0</v>
      </c>
      <c r="L571" s="31">
        <f>(VLOOKUP($A571,$A$458:$O$482,6,0)*(HLOOKUP(L$561,'2.2.Brecha Efectiva x UdM'!$H$86:$AK$92,4,0))+(VLOOKUP($A571,$A$4:$O$27,6,0)*(HLOOKUP(L$561,'2.2.Brecha Efectiva x UdM'!$H$64:$AK$70,4,0))))</f>
        <v>0</v>
      </c>
      <c r="M571" s="31">
        <f>(VLOOKUP($A571,$A$458:$O$482,6,0)*(HLOOKUP(M$561,'2.2.Brecha Efectiva x UdM'!$H$86:$AK$92,4,0))+(VLOOKUP($A571,$A$4:$O$27,6,0)*(HLOOKUP(M$561,'2.2.Brecha Efectiva x UdM'!$H$64:$AK$70,4,0))))</f>
        <v>0</v>
      </c>
      <c r="N571" s="31">
        <f>(VLOOKUP($A571,$A$458:$O$482,6,0)*(HLOOKUP(N$561,'2.2.Brecha Efectiva x UdM'!$H$86:$AK$92,4,0))+(VLOOKUP($A571,$A$4:$O$27,6,0)*(HLOOKUP(N$561,'2.2.Brecha Efectiva x UdM'!$H$64:$AK$70,4,0))))</f>
        <v>0</v>
      </c>
      <c r="O571" s="31">
        <f>(VLOOKUP($A571,$A$458:$O$482,6,0)*(HLOOKUP(O$561,'2.2.Brecha Efectiva x UdM'!$H$86:$AK$92,4,0))+(VLOOKUP($A571,$A$4:$O$27,6,0)*(HLOOKUP(O$561,'2.2.Brecha Efectiva x UdM'!$H$64:$AK$70,4,0))))</f>
        <v>0</v>
      </c>
      <c r="P571" s="31">
        <f>(VLOOKUP($A571,$A$458:$O$482,6,0)*(HLOOKUP(P$561,'2.2.Brecha Efectiva x UdM'!$H$86:$AK$92,4,0))+(VLOOKUP($A571,$A$4:$O$27,6,0)*(HLOOKUP(P$561,'2.2.Brecha Efectiva x UdM'!$H$64:$AK$70,4,0))))</f>
        <v>0</v>
      </c>
      <c r="Q571" s="31">
        <f>(VLOOKUP($A571,$A$458:$O$482,6,0)*(HLOOKUP(Q$561,'2.2.Brecha Efectiva x UdM'!$H$86:$AK$92,4,0))+(VLOOKUP($A571,$A$4:$O$27,6,0)*(HLOOKUP(Q$561,'2.2.Brecha Efectiva x UdM'!$H$64:$AK$70,4,0))))</f>
        <v>0</v>
      </c>
      <c r="R571" s="31">
        <f>(VLOOKUP($A571,$A$458:$O$482,6,0)*(HLOOKUP(R$561,'2.2.Brecha Efectiva x UdM'!$H$86:$AK$92,4,0))+(VLOOKUP($A571,$A$4:$O$27,6,0)*(HLOOKUP(R$561,'2.2.Brecha Efectiva x UdM'!$H$64:$AK$70,4,0))))</f>
        <v>0</v>
      </c>
      <c r="S571" s="31">
        <f>(VLOOKUP($A571,$A$458:$O$482,6,0)*(HLOOKUP(S$561,'2.2.Brecha Efectiva x UdM'!$H$86:$AK$92,4,0))+(VLOOKUP($A571,$A$4:$O$27,6,0)*(HLOOKUP(S$561,'2.2.Brecha Efectiva x UdM'!$H$64:$AK$70,4,0))))</f>
        <v>0</v>
      </c>
      <c r="T571" s="31">
        <f>(VLOOKUP($A571,$A$458:$O$482,6,0)*(HLOOKUP(T$561,'2.2.Brecha Efectiva x UdM'!$H$86:$AK$92,4,0))+(VLOOKUP($A571,$A$4:$O$27,6,0)*(HLOOKUP(T$561,'2.2.Brecha Efectiva x UdM'!$H$64:$AK$70,4,0))))</f>
        <v>0</v>
      </c>
      <c r="U571" s="31">
        <f>(VLOOKUP($A571,$A$458:$O$482,6,0)*(HLOOKUP(U$561,'2.2.Brecha Efectiva x UdM'!$H$86:$AK$92,4,0))+(VLOOKUP($A571,$A$4:$O$27,6,0)*(HLOOKUP(U$561,'2.2.Brecha Efectiva x UdM'!$H$64:$AK$70,4,0))))</f>
        <v>0</v>
      </c>
      <c r="V571" s="31">
        <f>(VLOOKUP($A571,$A$458:$O$482,6,0)*(HLOOKUP(V$561,'2.2.Brecha Efectiva x UdM'!$H$86:$AK$92,4,0))+(VLOOKUP($A571,$A$4:$O$27,6,0)*(HLOOKUP(V$561,'2.2.Brecha Efectiva x UdM'!$H$64:$AK$70,4,0))))</f>
        <v>0</v>
      </c>
      <c r="W571" s="31">
        <f>(VLOOKUP($A571,$A$458:$O$482,6,0)*(HLOOKUP(W$561,'2.2.Brecha Efectiva x UdM'!$H$86:$AK$92,4,0))+(VLOOKUP($A571,$A$4:$O$27,6,0)*(HLOOKUP(W$561,'2.2.Brecha Efectiva x UdM'!$H$64:$AK$70,4,0))))</f>
        <v>0</v>
      </c>
      <c r="X571" s="31">
        <f>(VLOOKUP($A571,$A$458:$O$482,6,0)*(HLOOKUP(X$561,'2.2.Brecha Efectiva x UdM'!$H$86:$AK$92,4,0))+(VLOOKUP($A571,$A$4:$O$27,6,0)*(HLOOKUP(X$561,'2.2.Brecha Efectiva x UdM'!$H$64:$AK$70,4,0))))</f>
        <v>0</v>
      </c>
      <c r="Y571" s="31">
        <f>(VLOOKUP($A571,$A$458:$O$482,6,0)*(HLOOKUP(Y$561,'2.2.Brecha Efectiva x UdM'!$H$86:$AK$92,4,0))+(VLOOKUP($A571,$A$4:$O$27,6,0)*(HLOOKUP(Y$561,'2.2.Brecha Efectiva x UdM'!$H$64:$AK$70,4,0))))</f>
        <v>0</v>
      </c>
      <c r="Z571" s="31">
        <f>(VLOOKUP($A571,$A$458:$O$482,6,0)*(HLOOKUP(Z$561,'2.2.Brecha Efectiva x UdM'!$H$86:$AK$92,4,0))+(VLOOKUP($A571,$A$4:$O$27,6,0)*(HLOOKUP(Z$561,'2.2.Brecha Efectiva x UdM'!$H$64:$AK$70,4,0))))</f>
        <v>0</v>
      </c>
      <c r="AA571" s="31">
        <f>(VLOOKUP($A571,$A$458:$O$482,6,0)*(HLOOKUP(AA$561,'2.2.Brecha Efectiva x UdM'!$H$86:$AK$92,4,0))+(VLOOKUP($A571,$A$4:$O$27,6,0)*(HLOOKUP(AA$561,'2.2.Brecha Efectiva x UdM'!$H$64:$AK$70,4,0))))</f>
        <v>0</v>
      </c>
      <c r="AB571" s="31">
        <f>(VLOOKUP($A571,$A$458:$O$482,6,0)*(HLOOKUP(AB$561,'2.2.Brecha Efectiva x UdM'!$H$86:$AK$92,4,0))+(VLOOKUP($A571,$A$4:$O$27,6,0)*(HLOOKUP(AB$561,'2.2.Brecha Efectiva x UdM'!$H$64:$AK$70,4,0))))</f>
        <v>0</v>
      </c>
      <c r="AC571" s="31">
        <f>(VLOOKUP($A571,$A$458:$O$482,6,0)*(HLOOKUP(AC$561,'2.2.Brecha Efectiva x UdM'!$H$86:$AK$92,4,0))+(VLOOKUP($A571,$A$4:$O$27,6,0)*(HLOOKUP(AC$561,'2.2.Brecha Efectiva x UdM'!$H$64:$AK$70,4,0))))</f>
        <v>0</v>
      </c>
      <c r="AD571" s="31">
        <f>(VLOOKUP($A571,$A$458:$O$482,6,0)*(HLOOKUP(AD$561,'2.2.Brecha Efectiva x UdM'!$H$86:$AK$92,4,0))+(VLOOKUP($A571,$A$4:$O$27,6,0)*(HLOOKUP(AD$561,'2.2.Brecha Efectiva x UdM'!$H$64:$AK$70,4,0))))</f>
        <v>0</v>
      </c>
      <c r="AE571" s="31">
        <f>(VLOOKUP($A571,$A$458:$O$482,6,0)*(HLOOKUP(AE$561,'2.2.Brecha Efectiva x UdM'!$H$86:$AK$92,4,0))+(VLOOKUP($A571,$A$4:$O$27,6,0)*(HLOOKUP(AE$561,'2.2.Brecha Efectiva x UdM'!$H$64:$AK$70,4,0))))</f>
        <v>0</v>
      </c>
      <c r="AF571" s="31">
        <f>(VLOOKUP($A571,$A$458:$O$482,6,0)*(HLOOKUP(AF$561,'2.2.Brecha Efectiva x UdM'!$H$86:$AK$92,4,0))+(VLOOKUP($A571,$A$4:$O$27,6,0)*(HLOOKUP(AF$561,'2.2.Brecha Efectiva x UdM'!$H$64:$AK$70,4,0))))</f>
        <v>0</v>
      </c>
      <c r="AG571" s="31">
        <f>(VLOOKUP($A571,$A$458:$O$482,6,0)*(HLOOKUP(AG$561,'2.2.Brecha Efectiva x UdM'!$H$86:$AK$92,4,0))+(VLOOKUP($A571,$A$4:$O$27,6,0)*(HLOOKUP(AG$561,'2.2.Brecha Efectiva x UdM'!$H$64:$AK$70,4,0))))</f>
        <v>0</v>
      </c>
      <c r="AH571" s="63">
        <f t="shared" si="538"/>
        <v>0</v>
      </c>
    </row>
    <row r="572" spans="1:34" x14ac:dyDescent="0.2">
      <c r="A572" s="25" t="str">
        <f t="shared" si="535"/>
        <v>La Pampa</v>
      </c>
      <c r="B572" s="51" t="str">
        <f t="shared" si="536"/>
        <v>Nombre UdM 3</v>
      </c>
      <c r="C572" s="25" t="str">
        <f t="shared" si="537"/>
        <v>La Pampa Nombre UdM 3</v>
      </c>
      <c r="D572" s="32">
        <f>(VLOOKUP($A572,$A$458:$O$482,6,0)*(HLOOKUP(D$561,'2.2.Brecha Efectiva x UdM'!$H$86:$AK$92,4,0))+(VLOOKUP($A572,$A$4:$O$27,6,0)*(HLOOKUP(D$561,'2.2.Brecha Efectiva x UdM'!$H$64:$AK$70,4,0))))</f>
        <v>0</v>
      </c>
      <c r="E572" s="32">
        <f>(VLOOKUP($A572,$A$458:$O$482,6,0)*(HLOOKUP(E$561,'2.2.Brecha Efectiva x UdM'!$H$86:$AK$92,4,0))+(VLOOKUP($A572,$A$4:$O$27,6,0)*(HLOOKUP(E$561,'2.2.Brecha Efectiva x UdM'!$H$64:$AK$70,4,0))))</f>
        <v>0</v>
      </c>
      <c r="F572" s="32">
        <f>(VLOOKUP($A572,$A$458:$O$482,6,0)*(HLOOKUP(F$561,'2.2.Brecha Efectiva x UdM'!$H$86:$AK$92,4,0))+(VLOOKUP($A572,$A$4:$O$27,6,0)*(HLOOKUP(F$561,'2.2.Brecha Efectiva x UdM'!$H$64:$AK$70,4,0))))</f>
        <v>0</v>
      </c>
      <c r="G572" s="32">
        <f>(VLOOKUP($A572,$A$458:$O$482,6,0)*(HLOOKUP(G$561,'2.2.Brecha Efectiva x UdM'!$H$86:$AK$92,4,0))+(VLOOKUP($A572,$A$4:$O$27,6,0)*(HLOOKUP(G$561,'2.2.Brecha Efectiva x UdM'!$H$64:$AK$70,4,0))))</f>
        <v>0</v>
      </c>
      <c r="H572" s="32">
        <f>(VLOOKUP($A572,$A$458:$O$482,6,0)*(HLOOKUP(H$561,'2.2.Brecha Efectiva x UdM'!$H$86:$AK$92,4,0))+(VLOOKUP($A572,$A$4:$O$27,6,0)*(HLOOKUP(H$561,'2.2.Brecha Efectiva x UdM'!$H$64:$AK$70,4,0))))</f>
        <v>0</v>
      </c>
      <c r="I572" s="32">
        <f>(VLOOKUP($A572,$A$458:$O$482,6,0)*(HLOOKUP(I$561,'2.2.Brecha Efectiva x UdM'!$H$86:$AK$92,4,0))+(VLOOKUP($A572,$A$4:$O$27,6,0)*(HLOOKUP(I$561,'2.2.Brecha Efectiva x UdM'!$H$64:$AK$70,4,0))))</f>
        <v>0</v>
      </c>
      <c r="J572" s="32">
        <f>(VLOOKUP($A572,$A$458:$O$482,6,0)*(HLOOKUP(J$561,'2.2.Brecha Efectiva x UdM'!$H$86:$AK$92,4,0))+(VLOOKUP($A572,$A$4:$O$27,6,0)*(HLOOKUP(J$561,'2.2.Brecha Efectiva x UdM'!$H$64:$AK$70,4,0))))</f>
        <v>0</v>
      </c>
      <c r="K572" s="32">
        <f>(VLOOKUP($A572,$A$458:$O$482,6,0)*(HLOOKUP(K$561,'2.2.Brecha Efectiva x UdM'!$H$86:$AK$92,4,0))+(VLOOKUP($A572,$A$4:$O$27,6,0)*(HLOOKUP(K$561,'2.2.Brecha Efectiva x UdM'!$H$64:$AK$70,4,0))))</f>
        <v>0</v>
      </c>
      <c r="L572" s="32">
        <f>(VLOOKUP($A572,$A$458:$O$482,6,0)*(HLOOKUP(L$561,'2.2.Brecha Efectiva x UdM'!$H$86:$AK$92,4,0))+(VLOOKUP($A572,$A$4:$O$27,6,0)*(HLOOKUP(L$561,'2.2.Brecha Efectiva x UdM'!$H$64:$AK$70,4,0))))</f>
        <v>0</v>
      </c>
      <c r="M572" s="32">
        <f>(VLOOKUP($A572,$A$458:$O$482,6,0)*(HLOOKUP(M$561,'2.2.Brecha Efectiva x UdM'!$H$86:$AK$92,4,0))+(VLOOKUP($A572,$A$4:$O$27,6,0)*(HLOOKUP(M$561,'2.2.Brecha Efectiva x UdM'!$H$64:$AK$70,4,0))))</f>
        <v>0</v>
      </c>
      <c r="N572" s="32">
        <f>(VLOOKUP($A572,$A$458:$O$482,6,0)*(HLOOKUP(N$561,'2.2.Brecha Efectiva x UdM'!$H$86:$AK$92,4,0))+(VLOOKUP($A572,$A$4:$O$27,6,0)*(HLOOKUP(N$561,'2.2.Brecha Efectiva x UdM'!$H$64:$AK$70,4,0))))</f>
        <v>0</v>
      </c>
      <c r="O572" s="32">
        <f>(VLOOKUP($A572,$A$458:$O$482,6,0)*(HLOOKUP(O$561,'2.2.Brecha Efectiva x UdM'!$H$86:$AK$92,4,0))+(VLOOKUP($A572,$A$4:$O$27,6,0)*(HLOOKUP(O$561,'2.2.Brecha Efectiva x UdM'!$H$64:$AK$70,4,0))))</f>
        <v>0</v>
      </c>
      <c r="P572" s="32">
        <f>(VLOOKUP($A572,$A$458:$O$482,6,0)*(HLOOKUP(P$561,'2.2.Brecha Efectiva x UdM'!$H$86:$AK$92,4,0))+(VLOOKUP($A572,$A$4:$O$27,6,0)*(HLOOKUP(P$561,'2.2.Brecha Efectiva x UdM'!$H$64:$AK$70,4,0))))</f>
        <v>0</v>
      </c>
      <c r="Q572" s="32">
        <f>(VLOOKUP($A572,$A$458:$O$482,6,0)*(HLOOKUP(Q$561,'2.2.Brecha Efectiva x UdM'!$H$86:$AK$92,4,0))+(VLOOKUP($A572,$A$4:$O$27,6,0)*(HLOOKUP(Q$561,'2.2.Brecha Efectiva x UdM'!$H$64:$AK$70,4,0))))</f>
        <v>0</v>
      </c>
      <c r="R572" s="32">
        <f>(VLOOKUP($A572,$A$458:$O$482,6,0)*(HLOOKUP(R$561,'2.2.Brecha Efectiva x UdM'!$H$86:$AK$92,4,0))+(VLOOKUP($A572,$A$4:$O$27,6,0)*(HLOOKUP(R$561,'2.2.Brecha Efectiva x UdM'!$H$64:$AK$70,4,0))))</f>
        <v>0</v>
      </c>
      <c r="S572" s="32">
        <f>(VLOOKUP($A572,$A$458:$O$482,6,0)*(HLOOKUP(S$561,'2.2.Brecha Efectiva x UdM'!$H$86:$AK$92,4,0))+(VLOOKUP($A572,$A$4:$O$27,6,0)*(HLOOKUP(S$561,'2.2.Brecha Efectiva x UdM'!$H$64:$AK$70,4,0))))</f>
        <v>0</v>
      </c>
      <c r="T572" s="32">
        <f>(VLOOKUP($A572,$A$458:$O$482,6,0)*(HLOOKUP(T$561,'2.2.Brecha Efectiva x UdM'!$H$86:$AK$92,4,0))+(VLOOKUP($A572,$A$4:$O$27,6,0)*(HLOOKUP(T$561,'2.2.Brecha Efectiva x UdM'!$H$64:$AK$70,4,0))))</f>
        <v>0</v>
      </c>
      <c r="U572" s="32">
        <f>(VLOOKUP($A572,$A$458:$O$482,6,0)*(HLOOKUP(U$561,'2.2.Brecha Efectiva x UdM'!$H$86:$AK$92,4,0))+(VLOOKUP($A572,$A$4:$O$27,6,0)*(HLOOKUP(U$561,'2.2.Brecha Efectiva x UdM'!$H$64:$AK$70,4,0))))</f>
        <v>0</v>
      </c>
      <c r="V572" s="32">
        <f>(VLOOKUP($A572,$A$458:$O$482,6,0)*(HLOOKUP(V$561,'2.2.Brecha Efectiva x UdM'!$H$86:$AK$92,4,0))+(VLOOKUP($A572,$A$4:$O$27,6,0)*(HLOOKUP(V$561,'2.2.Brecha Efectiva x UdM'!$H$64:$AK$70,4,0))))</f>
        <v>0</v>
      </c>
      <c r="W572" s="32">
        <f>(VLOOKUP($A572,$A$458:$O$482,6,0)*(HLOOKUP(W$561,'2.2.Brecha Efectiva x UdM'!$H$86:$AK$92,4,0))+(VLOOKUP($A572,$A$4:$O$27,6,0)*(HLOOKUP(W$561,'2.2.Brecha Efectiva x UdM'!$H$64:$AK$70,4,0))))</f>
        <v>0</v>
      </c>
      <c r="X572" s="32">
        <f>(VLOOKUP($A572,$A$458:$O$482,6,0)*(HLOOKUP(X$561,'2.2.Brecha Efectiva x UdM'!$H$86:$AK$92,4,0))+(VLOOKUP($A572,$A$4:$O$27,6,0)*(HLOOKUP(X$561,'2.2.Brecha Efectiva x UdM'!$H$64:$AK$70,4,0))))</f>
        <v>0</v>
      </c>
      <c r="Y572" s="32">
        <f>(VLOOKUP($A572,$A$458:$O$482,6,0)*(HLOOKUP(Y$561,'2.2.Brecha Efectiva x UdM'!$H$86:$AK$92,4,0))+(VLOOKUP($A572,$A$4:$O$27,6,0)*(HLOOKUP(Y$561,'2.2.Brecha Efectiva x UdM'!$H$64:$AK$70,4,0))))</f>
        <v>0</v>
      </c>
      <c r="Z572" s="32">
        <f>(VLOOKUP($A572,$A$458:$O$482,6,0)*(HLOOKUP(Z$561,'2.2.Brecha Efectiva x UdM'!$H$86:$AK$92,4,0))+(VLOOKUP($A572,$A$4:$O$27,6,0)*(HLOOKUP(Z$561,'2.2.Brecha Efectiva x UdM'!$H$64:$AK$70,4,0))))</f>
        <v>0</v>
      </c>
      <c r="AA572" s="32">
        <f>(VLOOKUP($A572,$A$458:$O$482,6,0)*(HLOOKUP(AA$561,'2.2.Brecha Efectiva x UdM'!$H$86:$AK$92,4,0))+(VLOOKUP($A572,$A$4:$O$27,6,0)*(HLOOKUP(AA$561,'2.2.Brecha Efectiva x UdM'!$H$64:$AK$70,4,0))))</f>
        <v>0</v>
      </c>
      <c r="AB572" s="32">
        <f>(VLOOKUP($A572,$A$458:$O$482,6,0)*(HLOOKUP(AB$561,'2.2.Brecha Efectiva x UdM'!$H$86:$AK$92,4,0))+(VLOOKUP($A572,$A$4:$O$27,6,0)*(HLOOKUP(AB$561,'2.2.Brecha Efectiva x UdM'!$H$64:$AK$70,4,0))))</f>
        <v>0</v>
      </c>
      <c r="AC572" s="32">
        <f>(VLOOKUP($A572,$A$458:$O$482,6,0)*(HLOOKUP(AC$561,'2.2.Brecha Efectiva x UdM'!$H$86:$AK$92,4,0))+(VLOOKUP($A572,$A$4:$O$27,6,0)*(HLOOKUP(AC$561,'2.2.Brecha Efectiva x UdM'!$H$64:$AK$70,4,0))))</f>
        <v>0</v>
      </c>
      <c r="AD572" s="32">
        <f>(VLOOKUP($A572,$A$458:$O$482,6,0)*(HLOOKUP(AD$561,'2.2.Brecha Efectiva x UdM'!$H$86:$AK$92,4,0))+(VLOOKUP($A572,$A$4:$O$27,6,0)*(HLOOKUP(AD$561,'2.2.Brecha Efectiva x UdM'!$H$64:$AK$70,4,0))))</f>
        <v>0</v>
      </c>
      <c r="AE572" s="32">
        <f>(VLOOKUP($A572,$A$458:$O$482,6,0)*(HLOOKUP(AE$561,'2.2.Brecha Efectiva x UdM'!$H$86:$AK$92,4,0))+(VLOOKUP($A572,$A$4:$O$27,6,0)*(HLOOKUP(AE$561,'2.2.Brecha Efectiva x UdM'!$H$64:$AK$70,4,0))))</f>
        <v>0</v>
      </c>
      <c r="AF572" s="32">
        <f>(VLOOKUP($A572,$A$458:$O$482,6,0)*(HLOOKUP(AF$561,'2.2.Brecha Efectiva x UdM'!$H$86:$AK$92,4,0))+(VLOOKUP($A572,$A$4:$O$27,6,0)*(HLOOKUP(AF$561,'2.2.Brecha Efectiva x UdM'!$H$64:$AK$70,4,0))))</f>
        <v>0</v>
      </c>
      <c r="AG572" s="32">
        <f>(VLOOKUP($A572,$A$458:$O$482,6,0)*(HLOOKUP(AG$561,'2.2.Brecha Efectiva x UdM'!$H$86:$AK$92,4,0))+(VLOOKUP($A572,$A$4:$O$27,6,0)*(HLOOKUP(AG$561,'2.2.Brecha Efectiva x UdM'!$H$64:$AK$70,4,0))))</f>
        <v>0</v>
      </c>
      <c r="AH572" s="62">
        <f t="shared" si="538"/>
        <v>0</v>
      </c>
    </row>
    <row r="573" spans="1:34" x14ac:dyDescent="0.2">
      <c r="A573" s="26" t="str">
        <f t="shared" si="535"/>
        <v>La Rioja</v>
      </c>
      <c r="B573" s="52" t="str">
        <f t="shared" si="536"/>
        <v>Nombre UdM 3</v>
      </c>
      <c r="C573" s="26" t="str">
        <f t="shared" si="537"/>
        <v>La Rioja Nombre UdM 3</v>
      </c>
      <c r="D573" s="31">
        <f>(VLOOKUP($A573,$A$458:$O$482,6,0)*(HLOOKUP(D$561,'2.2.Brecha Efectiva x UdM'!$H$86:$AK$92,4,0))+(VLOOKUP($A573,$A$4:$O$27,6,0)*(HLOOKUP(D$561,'2.2.Brecha Efectiva x UdM'!$H$64:$AK$70,4,0))))</f>
        <v>0</v>
      </c>
      <c r="E573" s="31">
        <f>(VLOOKUP($A573,$A$458:$O$482,6,0)*(HLOOKUP(E$561,'2.2.Brecha Efectiva x UdM'!$H$86:$AK$92,4,0))+(VLOOKUP($A573,$A$4:$O$27,6,0)*(HLOOKUP(E$561,'2.2.Brecha Efectiva x UdM'!$H$64:$AK$70,4,0))))</f>
        <v>0</v>
      </c>
      <c r="F573" s="31">
        <f>(VLOOKUP($A573,$A$458:$O$482,6,0)*(HLOOKUP(F$561,'2.2.Brecha Efectiva x UdM'!$H$86:$AK$92,4,0))+(VLOOKUP($A573,$A$4:$O$27,6,0)*(HLOOKUP(F$561,'2.2.Brecha Efectiva x UdM'!$H$64:$AK$70,4,0))))</f>
        <v>0</v>
      </c>
      <c r="G573" s="31">
        <f>(VLOOKUP($A573,$A$458:$O$482,6,0)*(HLOOKUP(G$561,'2.2.Brecha Efectiva x UdM'!$H$86:$AK$92,4,0))+(VLOOKUP($A573,$A$4:$O$27,6,0)*(HLOOKUP(G$561,'2.2.Brecha Efectiva x UdM'!$H$64:$AK$70,4,0))))</f>
        <v>0</v>
      </c>
      <c r="H573" s="31">
        <f>(VLOOKUP($A573,$A$458:$O$482,6,0)*(HLOOKUP(H$561,'2.2.Brecha Efectiva x UdM'!$H$86:$AK$92,4,0))+(VLOOKUP($A573,$A$4:$O$27,6,0)*(HLOOKUP(H$561,'2.2.Brecha Efectiva x UdM'!$H$64:$AK$70,4,0))))</f>
        <v>0</v>
      </c>
      <c r="I573" s="31">
        <f>(VLOOKUP($A573,$A$458:$O$482,6,0)*(HLOOKUP(I$561,'2.2.Brecha Efectiva x UdM'!$H$86:$AK$92,4,0))+(VLOOKUP($A573,$A$4:$O$27,6,0)*(HLOOKUP(I$561,'2.2.Brecha Efectiva x UdM'!$H$64:$AK$70,4,0))))</f>
        <v>0</v>
      </c>
      <c r="J573" s="31">
        <f>(VLOOKUP($A573,$A$458:$O$482,6,0)*(HLOOKUP(J$561,'2.2.Brecha Efectiva x UdM'!$H$86:$AK$92,4,0))+(VLOOKUP($A573,$A$4:$O$27,6,0)*(HLOOKUP(J$561,'2.2.Brecha Efectiva x UdM'!$H$64:$AK$70,4,0))))</f>
        <v>0</v>
      </c>
      <c r="K573" s="31">
        <f>(VLOOKUP($A573,$A$458:$O$482,6,0)*(HLOOKUP(K$561,'2.2.Brecha Efectiva x UdM'!$H$86:$AK$92,4,0))+(VLOOKUP($A573,$A$4:$O$27,6,0)*(HLOOKUP(K$561,'2.2.Brecha Efectiva x UdM'!$H$64:$AK$70,4,0))))</f>
        <v>0</v>
      </c>
      <c r="L573" s="31">
        <f>(VLOOKUP($A573,$A$458:$O$482,6,0)*(HLOOKUP(L$561,'2.2.Brecha Efectiva x UdM'!$H$86:$AK$92,4,0))+(VLOOKUP($A573,$A$4:$O$27,6,0)*(HLOOKUP(L$561,'2.2.Brecha Efectiva x UdM'!$H$64:$AK$70,4,0))))</f>
        <v>0</v>
      </c>
      <c r="M573" s="31">
        <f>(VLOOKUP($A573,$A$458:$O$482,6,0)*(HLOOKUP(M$561,'2.2.Brecha Efectiva x UdM'!$H$86:$AK$92,4,0))+(VLOOKUP($A573,$A$4:$O$27,6,0)*(HLOOKUP(M$561,'2.2.Brecha Efectiva x UdM'!$H$64:$AK$70,4,0))))</f>
        <v>0</v>
      </c>
      <c r="N573" s="31">
        <f>(VLOOKUP($A573,$A$458:$O$482,6,0)*(HLOOKUP(N$561,'2.2.Brecha Efectiva x UdM'!$H$86:$AK$92,4,0))+(VLOOKUP($A573,$A$4:$O$27,6,0)*(HLOOKUP(N$561,'2.2.Brecha Efectiva x UdM'!$H$64:$AK$70,4,0))))</f>
        <v>0</v>
      </c>
      <c r="O573" s="31">
        <f>(VLOOKUP($A573,$A$458:$O$482,6,0)*(HLOOKUP(O$561,'2.2.Brecha Efectiva x UdM'!$H$86:$AK$92,4,0))+(VLOOKUP($A573,$A$4:$O$27,6,0)*(HLOOKUP(O$561,'2.2.Brecha Efectiva x UdM'!$H$64:$AK$70,4,0))))</f>
        <v>0</v>
      </c>
      <c r="P573" s="31">
        <f>(VLOOKUP($A573,$A$458:$O$482,6,0)*(HLOOKUP(P$561,'2.2.Brecha Efectiva x UdM'!$H$86:$AK$92,4,0))+(VLOOKUP($A573,$A$4:$O$27,6,0)*(HLOOKUP(P$561,'2.2.Brecha Efectiva x UdM'!$H$64:$AK$70,4,0))))</f>
        <v>0</v>
      </c>
      <c r="Q573" s="31">
        <f>(VLOOKUP($A573,$A$458:$O$482,6,0)*(HLOOKUP(Q$561,'2.2.Brecha Efectiva x UdM'!$H$86:$AK$92,4,0))+(VLOOKUP($A573,$A$4:$O$27,6,0)*(HLOOKUP(Q$561,'2.2.Brecha Efectiva x UdM'!$H$64:$AK$70,4,0))))</f>
        <v>0</v>
      </c>
      <c r="R573" s="31">
        <f>(VLOOKUP($A573,$A$458:$O$482,6,0)*(HLOOKUP(R$561,'2.2.Brecha Efectiva x UdM'!$H$86:$AK$92,4,0))+(VLOOKUP($A573,$A$4:$O$27,6,0)*(HLOOKUP(R$561,'2.2.Brecha Efectiva x UdM'!$H$64:$AK$70,4,0))))</f>
        <v>0</v>
      </c>
      <c r="S573" s="31">
        <f>(VLOOKUP($A573,$A$458:$O$482,6,0)*(HLOOKUP(S$561,'2.2.Brecha Efectiva x UdM'!$H$86:$AK$92,4,0))+(VLOOKUP($A573,$A$4:$O$27,6,0)*(HLOOKUP(S$561,'2.2.Brecha Efectiva x UdM'!$H$64:$AK$70,4,0))))</f>
        <v>0</v>
      </c>
      <c r="T573" s="31">
        <f>(VLOOKUP($A573,$A$458:$O$482,6,0)*(HLOOKUP(T$561,'2.2.Brecha Efectiva x UdM'!$H$86:$AK$92,4,0))+(VLOOKUP($A573,$A$4:$O$27,6,0)*(HLOOKUP(T$561,'2.2.Brecha Efectiva x UdM'!$H$64:$AK$70,4,0))))</f>
        <v>0</v>
      </c>
      <c r="U573" s="31">
        <f>(VLOOKUP($A573,$A$458:$O$482,6,0)*(HLOOKUP(U$561,'2.2.Brecha Efectiva x UdM'!$H$86:$AK$92,4,0))+(VLOOKUP($A573,$A$4:$O$27,6,0)*(HLOOKUP(U$561,'2.2.Brecha Efectiva x UdM'!$H$64:$AK$70,4,0))))</f>
        <v>0</v>
      </c>
      <c r="V573" s="31">
        <f>(VLOOKUP($A573,$A$458:$O$482,6,0)*(HLOOKUP(V$561,'2.2.Brecha Efectiva x UdM'!$H$86:$AK$92,4,0))+(VLOOKUP($A573,$A$4:$O$27,6,0)*(HLOOKUP(V$561,'2.2.Brecha Efectiva x UdM'!$H$64:$AK$70,4,0))))</f>
        <v>0</v>
      </c>
      <c r="W573" s="31">
        <f>(VLOOKUP($A573,$A$458:$O$482,6,0)*(HLOOKUP(W$561,'2.2.Brecha Efectiva x UdM'!$H$86:$AK$92,4,0))+(VLOOKUP($A573,$A$4:$O$27,6,0)*(HLOOKUP(W$561,'2.2.Brecha Efectiva x UdM'!$H$64:$AK$70,4,0))))</f>
        <v>0</v>
      </c>
      <c r="X573" s="31">
        <f>(VLOOKUP($A573,$A$458:$O$482,6,0)*(HLOOKUP(X$561,'2.2.Brecha Efectiva x UdM'!$H$86:$AK$92,4,0))+(VLOOKUP($A573,$A$4:$O$27,6,0)*(HLOOKUP(X$561,'2.2.Brecha Efectiva x UdM'!$H$64:$AK$70,4,0))))</f>
        <v>0</v>
      </c>
      <c r="Y573" s="31">
        <f>(VLOOKUP($A573,$A$458:$O$482,6,0)*(HLOOKUP(Y$561,'2.2.Brecha Efectiva x UdM'!$H$86:$AK$92,4,0))+(VLOOKUP($A573,$A$4:$O$27,6,0)*(HLOOKUP(Y$561,'2.2.Brecha Efectiva x UdM'!$H$64:$AK$70,4,0))))</f>
        <v>0</v>
      </c>
      <c r="Z573" s="31">
        <f>(VLOOKUP($A573,$A$458:$O$482,6,0)*(HLOOKUP(Z$561,'2.2.Brecha Efectiva x UdM'!$H$86:$AK$92,4,0))+(VLOOKUP($A573,$A$4:$O$27,6,0)*(HLOOKUP(Z$561,'2.2.Brecha Efectiva x UdM'!$H$64:$AK$70,4,0))))</f>
        <v>0</v>
      </c>
      <c r="AA573" s="31">
        <f>(VLOOKUP($A573,$A$458:$O$482,6,0)*(HLOOKUP(AA$561,'2.2.Brecha Efectiva x UdM'!$H$86:$AK$92,4,0))+(VLOOKUP($A573,$A$4:$O$27,6,0)*(HLOOKUP(AA$561,'2.2.Brecha Efectiva x UdM'!$H$64:$AK$70,4,0))))</f>
        <v>0</v>
      </c>
      <c r="AB573" s="31">
        <f>(VLOOKUP($A573,$A$458:$O$482,6,0)*(HLOOKUP(AB$561,'2.2.Brecha Efectiva x UdM'!$H$86:$AK$92,4,0))+(VLOOKUP($A573,$A$4:$O$27,6,0)*(HLOOKUP(AB$561,'2.2.Brecha Efectiva x UdM'!$H$64:$AK$70,4,0))))</f>
        <v>0</v>
      </c>
      <c r="AC573" s="31">
        <f>(VLOOKUP($A573,$A$458:$O$482,6,0)*(HLOOKUP(AC$561,'2.2.Brecha Efectiva x UdM'!$H$86:$AK$92,4,0))+(VLOOKUP($A573,$A$4:$O$27,6,0)*(HLOOKUP(AC$561,'2.2.Brecha Efectiva x UdM'!$H$64:$AK$70,4,0))))</f>
        <v>0</v>
      </c>
      <c r="AD573" s="31">
        <f>(VLOOKUP($A573,$A$458:$O$482,6,0)*(HLOOKUP(AD$561,'2.2.Brecha Efectiva x UdM'!$H$86:$AK$92,4,0))+(VLOOKUP($A573,$A$4:$O$27,6,0)*(HLOOKUP(AD$561,'2.2.Brecha Efectiva x UdM'!$H$64:$AK$70,4,0))))</f>
        <v>0</v>
      </c>
      <c r="AE573" s="31">
        <f>(VLOOKUP($A573,$A$458:$O$482,6,0)*(HLOOKUP(AE$561,'2.2.Brecha Efectiva x UdM'!$H$86:$AK$92,4,0))+(VLOOKUP($A573,$A$4:$O$27,6,0)*(HLOOKUP(AE$561,'2.2.Brecha Efectiva x UdM'!$H$64:$AK$70,4,0))))</f>
        <v>0</v>
      </c>
      <c r="AF573" s="31">
        <f>(VLOOKUP($A573,$A$458:$O$482,6,0)*(HLOOKUP(AF$561,'2.2.Brecha Efectiva x UdM'!$H$86:$AK$92,4,0))+(VLOOKUP($A573,$A$4:$O$27,6,0)*(HLOOKUP(AF$561,'2.2.Brecha Efectiva x UdM'!$H$64:$AK$70,4,0))))</f>
        <v>0</v>
      </c>
      <c r="AG573" s="31">
        <f>(VLOOKUP($A573,$A$458:$O$482,6,0)*(HLOOKUP(AG$561,'2.2.Brecha Efectiva x UdM'!$H$86:$AK$92,4,0))+(VLOOKUP($A573,$A$4:$O$27,6,0)*(HLOOKUP(AG$561,'2.2.Brecha Efectiva x UdM'!$H$64:$AK$70,4,0))))</f>
        <v>0</v>
      </c>
      <c r="AH573" s="63">
        <f t="shared" si="538"/>
        <v>0</v>
      </c>
    </row>
    <row r="574" spans="1:34" x14ac:dyDescent="0.2">
      <c r="A574" s="25" t="str">
        <f t="shared" si="535"/>
        <v>Mendoza</v>
      </c>
      <c r="B574" s="51" t="str">
        <f t="shared" si="536"/>
        <v>Nombre UdM 3</v>
      </c>
      <c r="C574" s="25" t="str">
        <f t="shared" si="537"/>
        <v>Mendoza Nombre UdM 3</v>
      </c>
      <c r="D574" s="32">
        <f>(VLOOKUP($A574,$A$458:$O$482,6,0)*(HLOOKUP(D$561,'2.2.Brecha Efectiva x UdM'!$H$86:$AK$92,4,0))+(VLOOKUP($A574,$A$4:$O$27,6,0)*(HLOOKUP(D$561,'2.2.Brecha Efectiva x UdM'!$H$64:$AK$70,4,0))))</f>
        <v>0</v>
      </c>
      <c r="E574" s="32">
        <f>(VLOOKUP($A574,$A$458:$O$482,6,0)*(HLOOKUP(E$561,'2.2.Brecha Efectiva x UdM'!$H$86:$AK$92,4,0))+(VLOOKUP($A574,$A$4:$O$27,6,0)*(HLOOKUP(E$561,'2.2.Brecha Efectiva x UdM'!$H$64:$AK$70,4,0))))</f>
        <v>0</v>
      </c>
      <c r="F574" s="32">
        <f>(VLOOKUP($A574,$A$458:$O$482,6,0)*(HLOOKUP(F$561,'2.2.Brecha Efectiva x UdM'!$H$86:$AK$92,4,0))+(VLOOKUP($A574,$A$4:$O$27,6,0)*(HLOOKUP(F$561,'2.2.Brecha Efectiva x UdM'!$H$64:$AK$70,4,0))))</f>
        <v>0</v>
      </c>
      <c r="G574" s="32">
        <f>(VLOOKUP($A574,$A$458:$O$482,6,0)*(HLOOKUP(G$561,'2.2.Brecha Efectiva x UdM'!$H$86:$AK$92,4,0))+(VLOOKUP($A574,$A$4:$O$27,6,0)*(HLOOKUP(G$561,'2.2.Brecha Efectiva x UdM'!$H$64:$AK$70,4,0))))</f>
        <v>0</v>
      </c>
      <c r="H574" s="32">
        <f>(VLOOKUP($A574,$A$458:$O$482,6,0)*(HLOOKUP(H$561,'2.2.Brecha Efectiva x UdM'!$H$86:$AK$92,4,0))+(VLOOKUP($A574,$A$4:$O$27,6,0)*(HLOOKUP(H$561,'2.2.Brecha Efectiva x UdM'!$H$64:$AK$70,4,0))))</f>
        <v>0</v>
      </c>
      <c r="I574" s="32">
        <f>(VLOOKUP($A574,$A$458:$O$482,6,0)*(HLOOKUP(I$561,'2.2.Brecha Efectiva x UdM'!$H$86:$AK$92,4,0))+(VLOOKUP($A574,$A$4:$O$27,6,0)*(HLOOKUP(I$561,'2.2.Brecha Efectiva x UdM'!$H$64:$AK$70,4,0))))</f>
        <v>0</v>
      </c>
      <c r="J574" s="32">
        <f>(VLOOKUP($A574,$A$458:$O$482,6,0)*(HLOOKUP(J$561,'2.2.Brecha Efectiva x UdM'!$H$86:$AK$92,4,0))+(VLOOKUP($A574,$A$4:$O$27,6,0)*(HLOOKUP(J$561,'2.2.Brecha Efectiva x UdM'!$H$64:$AK$70,4,0))))</f>
        <v>0</v>
      </c>
      <c r="K574" s="32">
        <f>(VLOOKUP($A574,$A$458:$O$482,6,0)*(HLOOKUP(K$561,'2.2.Brecha Efectiva x UdM'!$H$86:$AK$92,4,0))+(VLOOKUP($A574,$A$4:$O$27,6,0)*(HLOOKUP(K$561,'2.2.Brecha Efectiva x UdM'!$H$64:$AK$70,4,0))))</f>
        <v>0</v>
      </c>
      <c r="L574" s="32">
        <f>(VLOOKUP($A574,$A$458:$O$482,6,0)*(HLOOKUP(L$561,'2.2.Brecha Efectiva x UdM'!$H$86:$AK$92,4,0))+(VLOOKUP($A574,$A$4:$O$27,6,0)*(HLOOKUP(L$561,'2.2.Brecha Efectiva x UdM'!$H$64:$AK$70,4,0))))</f>
        <v>0</v>
      </c>
      <c r="M574" s="32">
        <f>(VLOOKUP($A574,$A$458:$O$482,6,0)*(HLOOKUP(M$561,'2.2.Brecha Efectiva x UdM'!$H$86:$AK$92,4,0))+(VLOOKUP($A574,$A$4:$O$27,6,0)*(HLOOKUP(M$561,'2.2.Brecha Efectiva x UdM'!$H$64:$AK$70,4,0))))</f>
        <v>0</v>
      </c>
      <c r="N574" s="32">
        <f>(VLOOKUP($A574,$A$458:$O$482,6,0)*(HLOOKUP(N$561,'2.2.Brecha Efectiva x UdM'!$H$86:$AK$92,4,0))+(VLOOKUP($A574,$A$4:$O$27,6,0)*(HLOOKUP(N$561,'2.2.Brecha Efectiva x UdM'!$H$64:$AK$70,4,0))))</f>
        <v>0</v>
      </c>
      <c r="O574" s="32">
        <f>(VLOOKUP($A574,$A$458:$O$482,6,0)*(HLOOKUP(O$561,'2.2.Brecha Efectiva x UdM'!$H$86:$AK$92,4,0))+(VLOOKUP($A574,$A$4:$O$27,6,0)*(HLOOKUP(O$561,'2.2.Brecha Efectiva x UdM'!$H$64:$AK$70,4,0))))</f>
        <v>0</v>
      </c>
      <c r="P574" s="32">
        <f>(VLOOKUP($A574,$A$458:$O$482,6,0)*(HLOOKUP(P$561,'2.2.Brecha Efectiva x UdM'!$H$86:$AK$92,4,0))+(VLOOKUP($A574,$A$4:$O$27,6,0)*(HLOOKUP(P$561,'2.2.Brecha Efectiva x UdM'!$H$64:$AK$70,4,0))))</f>
        <v>0</v>
      </c>
      <c r="Q574" s="32">
        <f>(VLOOKUP($A574,$A$458:$O$482,6,0)*(HLOOKUP(Q$561,'2.2.Brecha Efectiva x UdM'!$H$86:$AK$92,4,0))+(VLOOKUP($A574,$A$4:$O$27,6,0)*(HLOOKUP(Q$561,'2.2.Brecha Efectiva x UdM'!$H$64:$AK$70,4,0))))</f>
        <v>0</v>
      </c>
      <c r="R574" s="32">
        <f>(VLOOKUP($A574,$A$458:$O$482,6,0)*(HLOOKUP(R$561,'2.2.Brecha Efectiva x UdM'!$H$86:$AK$92,4,0))+(VLOOKUP($A574,$A$4:$O$27,6,0)*(HLOOKUP(R$561,'2.2.Brecha Efectiva x UdM'!$H$64:$AK$70,4,0))))</f>
        <v>0</v>
      </c>
      <c r="S574" s="32">
        <f>(VLOOKUP($A574,$A$458:$O$482,6,0)*(HLOOKUP(S$561,'2.2.Brecha Efectiva x UdM'!$H$86:$AK$92,4,0))+(VLOOKUP($A574,$A$4:$O$27,6,0)*(HLOOKUP(S$561,'2.2.Brecha Efectiva x UdM'!$H$64:$AK$70,4,0))))</f>
        <v>0</v>
      </c>
      <c r="T574" s="32">
        <f>(VLOOKUP($A574,$A$458:$O$482,6,0)*(HLOOKUP(T$561,'2.2.Brecha Efectiva x UdM'!$H$86:$AK$92,4,0))+(VLOOKUP($A574,$A$4:$O$27,6,0)*(HLOOKUP(T$561,'2.2.Brecha Efectiva x UdM'!$H$64:$AK$70,4,0))))</f>
        <v>0</v>
      </c>
      <c r="U574" s="32">
        <f>(VLOOKUP($A574,$A$458:$O$482,6,0)*(HLOOKUP(U$561,'2.2.Brecha Efectiva x UdM'!$H$86:$AK$92,4,0))+(VLOOKUP($A574,$A$4:$O$27,6,0)*(HLOOKUP(U$561,'2.2.Brecha Efectiva x UdM'!$H$64:$AK$70,4,0))))</f>
        <v>0</v>
      </c>
      <c r="V574" s="32">
        <f>(VLOOKUP($A574,$A$458:$O$482,6,0)*(HLOOKUP(V$561,'2.2.Brecha Efectiva x UdM'!$H$86:$AK$92,4,0))+(VLOOKUP($A574,$A$4:$O$27,6,0)*(HLOOKUP(V$561,'2.2.Brecha Efectiva x UdM'!$H$64:$AK$70,4,0))))</f>
        <v>0</v>
      </c>
      <c r="W574" s="32">
        <f>(VLOOKUP($A574,$A$458:$O$482,6,0)*(HLOOKUP(W$561,'2.2.Brecha Efectiva x UdM'!$H$86:$AK$92,4,0))+(VLOOKUP($A574,$A$4:$O$27,6,0)*(HLOOKUP(W$561,'2.2.Brecha Efectiva x UdM'!$H$64:$AK$70,4,0))))</f>
        <v>0</v>
      </c>
      <c r="X574" s="32">
        <f>(VLOOKUP($A574,$A$458:$O$482,6,0)*(HLOOKUP(X$561,'2.2.Brecha Efectiva x UdM'!$H$86:$AK$92,4,0))+(VLOOKUP($A574,$A$4:$O$27,6,0)*(HLOOKUP(X$561,'2.2.Brecha Efectiva x UdM'!$H$64:$AK$70,4,0))))</f>
        <v>0</v>
      </c>
      <c r="Y574" s="32">
        <f>(VLOOKUP($A574,$A$458:$O$482,6,0)*(HLOOKUP(Y$561,'2.2.Brecha Efectiva x UdM'!$H$86:$AK$92,4,0))+(VLOOKUP($A574,$A$4:$O$27,6,0)*(HLOOKUP(Y$561,'2.2.Brecha Efectiva x UdM'!$H$64:$AK$70,4,0))))</f>
        <v>0</v>
      </c>
      <c r="Z574" s="32">
        <f>(VLOOKUP($A574,$A$458:$O$482,6,0)*(HLOOKUP(Z$561,'2.2.Brecha Efectiva x UdM'!$H$86:$AK$92,4,0))+(VLOOKUP($A574,$A$4:$O$27,6,0)*(HLOOKUP(Z$561,'2.2.Brecha Efectiva x UdM'!$H$64:$AK$70,4,0))))</f>
        <v>0</v>
      </c>
      <c r="AA574" s="32">
        <f>(VLOOKUP($A574,$A$458:$O$482,6,0)*(HLOOKUP(AA$561,'2.2.Brecha Efectiva x UdM'!$H$86:$AK$92,4,0))+(VLOOKUP($A574,$A$4:$O$27,6,0)*(HLOOKUP(AA$561,'2.2.Brecha Efectiva x UdM'!$H$64:$AK$70,4,0))))</f>
        <v>0</v>
      </c>
      <c r="AB574" s="32">
        <f>(VLOOKUP($A574,$A$458:$O$482,6,0)*(HLOOKUP(AB$561,'2.2.Brecha Efectiva x UdM'!$H$86:$AK$92,4,0))+(VLOOKUP($A574,$A$4:$O$27,6,0)*(HLOOKUP(AB$561,'2.2.Brecha Efectiva x UdM'!$H$64:$AK$70,4,0))))</f>
        <v>0</v>
      </c>
      <c r="AC574" s="32">
        <f>(VLOOKUP($A574,$A$458:$O$482,6,0)*(HLOOKUP(AC$561,'2.2.Brecha Efectiva x UdM'!$H$86:$AK$92,4,0))+(VLOOKUP($A574,$A$4:$O$27,6,0)*(HLOOKUP(AC$561,'2.2.Brecha Efectiva x UdM'!$H$64:$AK$70,4,0))))</f>
        <v>0</v>
      </c>
      <c r="AD574" s="32">
        <f>(VLOOKUP($A574,$A$458:$O$482,6,0)*(HLOOKUP(AD$561,'2.2.Brecha Efectiva x UdM'!$H$86:$AK$92,4,0))+(VLOOKUP($A574,$A$4:$O$27,6,0)*(HLOOKUP(AD$561,'2.2.Brecha Efectiva x UdM'!$H$64:$AK$70,4,0))))</f>
        <v>0</v>
      </c>
      <c r="AE574" s="32">
        <f>(VLOOKUP($A574,$A$458:$O$482,6,0)*(HLOOKUP(AE$561,'2.2.Brecha Efectiva x UdM'!$H$86:$AK$92,4,0))+(VLOOKUP($A574,$A$4:$O$27,6,0)*(HLOOKUP(AE$561,'2.2.Brecha Efectiva x UdM'!$H$64:$AK$70,4,0))))</f>
        <v>0</v>
      </c>
      <c r="AF574" s="32">
        <f>(VLOOKUP($A574,$A$458:$O$482,6,0)*(HLOOKUP(AF$561,'2.2.Brecha Efectiva x UdM'!$H$86:$AK$92,4,0))+(VLOOKUP($A574,$A$4:$O$27,6,0)*(HLOOKUP(AF$561,'2.2.Brecha Efectiva x UdM'!$H$64:$AK$70,4,0))))</f>
        <v>0</v>
      </c>
      <c r="AG574" s="32">
        <f>(VLOOKUP($A574,$A$458:$O$482,6,0)*(HLOOKUP(AG$561,'2.2.Brecha Efectiva x UdM'!$H$86:$AK$92,4,0))+(VLOOKUP($A574,$A$4:$O$27,6,0)*(HLOOKUP(AG$561,'2.2.Brecha Efectiva x UdM'!$H$64:$AK$70,4,0))))</f>
        <v>0</v>
      </c>
      <c r="AH574" s="62">
        <f t="shared" si="538"/>
        <v>0</v>
      </c>
    </row>
    <row r="575" spans="1:34" x14ac:dyDescent="0.2">
      <c r="A575" s="26" t="str">
        <f t="shared" si="535"/>
        <v>Misiones</v>
      </c>
      <c r="B575" s="52" t="str">
        <f t="shared" si="536"/>
        <v>Nombre UdM 3</v>
      </c>
      <c r="C575" s="26" t="str">
        <f t="shared" si="537"/>
        <v>Misiones Nombre UdM 3</v>
      </c>
      <c r="D575" s="31">
        <f>(VLOOKUP($A575,$A$458:$O$482,6,0)*(HLOOKUP(D$561,'2.2.Brecha Efectiva x UdM'!$H$86:$AK$92,4,0))+(VLOOKUP($A575,$A$4:$O$27,6,0)*(HLOOKUP(D$561,'2.2.Brecha Efectiva x UdM'!$H$64:$AK$70,4,0))))</f>
        <v>14159468.40887812</v>
      </c>
      <c r="E575" s="31">
        <f>(VLOOKUP($A575,$A$458:$O$482,6,0)*(HLOOKUP(E$561,'2.2.Brecha Efectiva x UdM'!$H$86:$AK$92,4,0))+(VLOOKUP($A575,$A$4:$O$27,6,0)*(HLOOKUP(E$561,'2.2.Brecha Efectiva x UdM'!$H$64:$AK$70,4,0))))</f>
        <v>96117406.108716637</v>
      </c>
      <c r="F575" s="31">
        <f>(VLOOKUP($A575,$A$458:$O$482,6,0)*(HLOOKUP(F$561,'2.2.Brecha Efectiva x UdM'!$H$86:$AK$92,4,0))+(VLOOKUP($A575,$A$4:$O$27,6,0)*(HLOOKUP(F$561,'2.2.Brecha Efectiva x UdM'!$H$64:$AK$70,4,0))))</f>
        <v>4879383.8464264162</v>
      </c>
      <c r="G575" s="31">
        <f>(VLOOKUP($A575,$A$458:$O$482,6,0)*(HLOOKUP(G$561,'2.2.Brecha Efectiva x UdM'!$H$86:$AK$92,4,0))+(VLOOKUP($A575,$A$4:$O$27,6,0)*(HLOOKUP(G$561,'2.2.Brecha Efectiva x UdM'!$H$64:$AK$70,4,0))))</f>
        <v>2666318.8663431485</v>
      </c>
      <c r="H575" s="31">
        <f>(VLOOKUP($A575,$A$458:$O$482,6,0)*(HLOOKUP(H$561,'2.2.Brecha Efectiva x UdM'!$H$86:$AK$92,4,0))+(VLOOKUP($A575,$A$4:$O$27,6,0)*(HLOOKUP(H$561,'2.2.Brecha Efectiva x UdM'!$H$64:$AK$70,4,0))))</f>
        <v>0</v>
      </c>
      <c r="I575" s="31">
        <f>(VLOOKUP($A575,$A$458:$O$482,6,0)*(HLOOKUP(I$561,'2.2.Brecha Efectiva x UdM'!$H$86:$AK$92,4,0))+(VLOOKUP($A575,$A$4:$O$27,6,0)*(HLOOKUP(I$561,'2.2.Brecha Efectiva x UdM'!$H$64:$AK$70,4,0))))</f>
        <v>0</v>
      </c>
      <c r="J575" s="31">
        <f>(VLOOKUP($A575,$A$458:$O$482,6,0)*(HLOOKUP(J$561,'2.2.Brecha Efectiva x UdM'!$H$86:$AK$92,4,0))+(VLOOKUP($A575,$A$4:$O$27,6,0)*(HLOOKUP(J$561,'2.2.Brecha Efectiva x UdM'!$H$64:$AK$70,4,0))))</f>
        <v>0</v>
      </c>
      <c r="K575" s="31">
        <f>(VLOOKUP($A575,$A$458:$O$482,6,0)*(HLOOKUP(K$561,'2.2.Brecha Efectiva x UdM'!$H$86:$AK$92,4,0))+(VLOOKUP($A575,$A$4:$O$27,6,0)*(HLOOKUP(K$561,'2.2.Brecha Efectiva x UdM'!$H$64:$AK$70,4,0))))</f>
        <v>0</v>
      </c>
      <c r="L575" s="31">
        <f>(VLOOKUP($A575,$A$458:$O$482,6,0)*(HLOOKUP(L$561,'2.2.Brecha Efectiva x UdM'!$H$86:$AK$92,4,0))+(VLOOKUP($A575,$A$4:$O$27,6,0)*(HLOOKUP(L$561,'2.2.Brecha Efectiva x UdM'!$H$64:$AK$70,4,0))))</f>
        <v>0</v>
      </c>
      <c r="M575" s="31">
        <f>(VLOOKUP($A575,$A$458:$O$482,6,0)*(HLOOKUP(M$561,'2.2.Brecha Efectiva x UdM'!$H$86:$AK$92,4,0))+(VLOOKUP($A575,$A$4:$O$27,6,0)*(HLOOKUP(M$561,'2.2.Brecha Efectiva x UdM'!$H$64:$AK$70,4,0))))</f>
        <v>0</v>
      </c>
      <c r="N575" s="31">
        <f>(VLOOKUP($A575,$A$458:$O$482,6,0)*(HLOOKUP(N$561,'2.2.Brecha Efectiva x UdM'!$H$86:$AK$92,4,0))+(VLOOKUP($A575,$A$4:$O$27,6,0)*(HLOOKUP(N$561,'2.2.Brecha Efectiva x UdM'!$H$64:$AK$70,4,0))))</f>
        <v>0</v>
      </c>
      <c r="O575" s="31">
        <f>(VLOOKUP($A575,$A$458:$O$482,6,0)*(HLOOKUP(O$561,'2.2.Brecha Efectiva x UdM'!$H$86:$AK$92,4,0))+(VLOOKUP($A575,$A$4:$O$27,6,0)*(HLOOKUP(O$561,'2.2.Brecha Efectiva x UdM'!$H$64:$AK$70,4,0))))</f>
        <v>0</v>
      </c>
      <c r="P575" s="31">
        <f>(VLOOKUP($A575,$A$458:$O$482,6,0)*(HLOOKUP(P$561,'2.2.Brecha Efectiva x UdM'!$H$86:$AK$92,4,0))+(VLOOKUP($A575,$A$4:$O$27,6,0)*(HLOOKUP(P$561,'2.2.Brecha Efectiva x UdM'!$H$64:$AK$70,4,0))))</f>
        <v>0</v>
      </c>
      <c r="Q575" s="31">
        <f>(VLOOKUP($A575,$A$458:$O$482,6,0)*(HLOOKUP(Q$561,'2.2.Brecha Efectiva x UdM'!$H$86:$AK$92,4,0))+(VLOOKUP($A575,$A$4:$O$27,6,0)*(HLOOKUP(Q$561,'2.2.Brecha Efectiva x UdM'!$H$64:$AK$70,4,0))))</f>
        <v>0</v>
      </c>
      <c r="R575" s="31">
        <f>(VLOOKUP($A575,$A$458:$O$482,6,0)*(HLOOKUP(R$561,'2.2.Brecha Efectiva x UdM'!$H$86:$AK$92,4,0))+(VLOOKUP($A575,$A$4:$O$27,6,0)*(HLOOKUP(R$561,'2.2.Brecha Efectiva x UdM'!$H$64:$AK$70,4,0))))</f>
        <v>0</v>
      </c>
      <c r="S575" s="31">
        <f>(VLOOKUP($A575,$A$458:$O$482,6,0)*(HLOOKUP(S$561,'2.2.Brecha Efectiva x UdM'!$H$86:$AK$92,4,0))+(VLOOKUP($A575,$A$4:$O$27,6,0)*(HLOOKUP(S$561,'2.2.Brecha Efectiva x UdM'!$H$64:$AK$70,4,0))))</f>
        <v>0</v>
      </c>
      <c r="T575" s="31">
        <f>(VLOOKUP($A575,$A$458:$O$482,6,0)*(HLOOKUP(T$561,'2.2.Brecha Efectiva x UdM'!$H$86:$AK$92,4,0))+(VLOOKUP($A575,$A$4:$O$27,6,0)*(HLOOKUP(T$561,'2.2.Brecha Efectiva x UdM'!$H$64:$AK$70,4,0))))</f>
        <v>0</v>
      </c>
      <c r="U575" s="31">
        <f>(VLOOKUP($A575,$A$458:$O$482,6,0)*(HLOOKUP(U$561,'2.2.Brecha Efectiva x UdM'!$H$86:$AK$92,4,0))+(VLOOKUP($A575,$A$4:$O$27,6,0)*(HLOOKUP(U$561,'2.2.Brecha Efectiva x UdM'!$H$64:$AK$70,4,0))))</f>
        <v>0</v>
      </c>
      <c r="V575" s="31">
        <f>(VLOOKUP($A575,$A$458:$O$482,6,0)*(HLOOKUP(V$561,'2.2.Brecha Efectiva x UdM'!$H$86:$AK$92,4,0))+(VLOOKUP($A575,$A$4:$O$27,6,0)*(HLOOKUP(V$561,'2.2.Brecha Efectiva x UdM'!$H$64:$AK$70,4,0))))</f>
        <v>0</v>
      </c>
      <c r="W575" s="31">
        <f>(VLOOKUP($A575,$A$458:$O$482,6,0)*(HLOOKUP(W$561,'2.2.Brecha Efectiva x UdM'!$H$86:$AK$92,4,0))+(VLOOKUP($A575,$A$4:$O$27,6,0)*(HLOOKUP(W$561,'2.2.Brecha Efectiva x UdM'!$H$64:$AK$70,4,0))))</f>
        <v>0</v>
      </c>
      <c r="X575" s="31">
        <f>(VLOOKUP($A575,$A$458:$O$482,6,0)*(HLOOKUP(X$561,'2.2.Brecha Efectiva x UdM'!$H$86:$AK$92,4,0))+(VLOOKUP($A575,$A$4:$O$27,6,0)*(HLOOKUP(X$561,'2.2.Brecha Efectiva x UdM'!$H$64:$AK$70,4,0))))</f>
        <v>0</v>
      </c>
      <c r="Y575" s="31">
        <f>(VLOOKUP($A575,$A$458:$O$482,6,0)*(HLOOKUP(Y$561,'2.2.Brecha Efectiva x UdM'!$H$86:$AK$92,4,0))+(VLOOKUP($A575,$A$4:$O$27,6,0)*(HLOOKUP(Y$561,'2.2.Brecha Efectiva x UdM'!$H$64:$AK$70,4,0))))</f>
        <v>0</v>
      </c>
      <c r="Z575" s="31">
        <f>(VLOOKUP($A575,$A$458:$O$482,6,0)*(HLOOKUP(Z$561,'2.2.Brecha Efectiva x UdM'!$H$86:$AK$92,4,0))+(VLOOKUP($A575,$A$4:$O$27,6,0)*(HLOOKUP(Z$561,'2.2.Brecha Efectiva x UdM'!$H$64:$AK$70,4,0))))</f>
        <v>0</v>
      </c>
      <c r="AA575" s="31">
        <f>(VLOOKUP($A575,$A$458:$O$482,6,0)*(HLOOKUP(AA$561,'2.2.Brecha Efectiva x UdM'!$H$86:$AK$92,4,0))+(VLOOKUP($A575,$A$4:$O$27,6,0)*(HLOOKUP(AA$561,'2.2.Brecha Efectiva x UdM'!$H$64:$AK$70,4,0))))</f>
        <v>0</v>
      </c>
      <c r="AB575" s="31">
        <f>(VLOOKUP($A575,$A$458:$O$482,6,0)*(HLOOKUP(AB$561,'2.2.Brecha Efectiva x UdM'!$H$86:$AK$92,4,0))+(VLOOKUP($A575,$A$4:$O$27,6,0)*(HLOOKUP(AB$561,'2.2.Brecha Efectiva x UdM'!$H$64:$AK$70,4,0))))</f>
        <v>0</v>
      </c>
      <c r="AC575" s="31">
        <f>(VLOOKUP($A575,$A$458:$O$482,6,0)*(HLOOKUP(AC$561,'2.2.Brecha Efectiva x UdM'!$H$86:$AK$92,4,0))+(VLOOKUP($A575,$A$4:$O$27,6,0)*(HLOOKUP(AC$561,'2.2.Brecha Efectiva x UdM'!$H$64:$AK$70,4,0))))</f>
        <v>0</v>
      </c>
      <c r="AD575" s="31">
        <f>(VLOOKUP($A575,$A$458:$O$482,6,0)*(HLOOKUP(AD$561,'2.2.Brecha Efectiva x UdM'!$H$86:$AK$92,4,0))+(VLOOKUP($A575,$A$4:$O$27,6,0)*(HLOOKUP(AD$561,'2.2.Brecha Efectiva x UdM'!$H$64:$AK$70,4,0))))</f>
        <v>0</v>
      </c>
      <c r="AE575" s="31">
        <f>(VLOOKUP($A575,$A$458:$O$482,6,0)*(HLOOKUP(AE$561,'2.2.Brecha Efectiva x UdM'!$H$86:$AK$92,4,0))+(VLOOKUP($A575,$A$4:$O$27,6,0)*(HLOOKUP(AE$561,'2.2.Brecha Efectiva x UdM'!$H$64:$AK$70,4,0))))</f>
        <v>0</v>
      </c>
      <c r="AF575" s="31">
        <f>(VLOOKUP($A575,$A$458:$O$482,6,0)*(HLOOKUP(AF$561,'2.2.Brecha Efectiva x UdM'!$H$86:$AK$92,4,0))+(VLOOKUP($A575,$A$4:$O$27,6,0)*(HLOOKUP(AF$561,'2.2.Brecha Efectiva x UdM'!$H$64:$AK$70,4,0))))</f>
        <v>0</v>
      </c>
      <c r="AG575" s="31">
        <f>(VLOOKUP($A575,$A$458:$O$482,6,0)*(HLOOKUP(AG$561,'2.2.Brecha Efectiva x UdM'!$H$86:$AK$92,4,0))+(VLOOKUP($A575,$A$4:$O$27,6,0)*(HLOOKUP(AG$561,'2.2.Brecha Efectiva x UdM'!$H$64:$AK$70,4,0))))</f>
        <v>0</v>
      </c>
      <c r="AH575" s="63">
        <f t="shared" si="538"/>
        <v>117822577.23036432</v>
      </c>
    </row>
    <row r="576" spans="1:34" x14ac:dyDescent="0.2">
      <c r="A576" s="25" t="str">
        <f t="shared" si="535"/>
        <v>Neuquén</v>
      </c>
      <c r="B576" s="51" t="str">
        <f t="shared" si="536"/>
        <v>Nombre UdM 3</v>
      </c>
      <c r="C576" s="25" t="str">
        <f t="shared" si="537"/>
        <v>Neuquén Nombre UdM 3</v>
      </c>
      <c r="D576" s="32">
        <f>(VLOOKUP($A576,$A$458:$O$482,6,0)*(HLOOKUP(D$561,'2.2.Brecha Efectiva x UdM'!$H$86:$AK$92,4,0))+(VLOOKUP($A576,$A$4:$O$27,6,0)*(HLOOKUP(D$561,'2.2.Brecha Efectiva x UdM'!$H$64:$AK$70,4,0))))</f>
        <v>26406510.735385705</v>
      </c>
      <c r="E576" s="32">
        <f>(VLOOKUP($A576,$A$458:$O$482,6,0)*(HLOOKUP(E$561,'2.2.Brecha Efectiva x UdM'!$H$86:$AK$92,4,0))+(VLOOKUP($A576,$A$4:$O$27,6,0)*(HLOOKUP(E$561,'2.2.Brecha Efectiva x UdM'!$H$64:$AK$70,4,0))))</f>
        <v>179252867.62007433</v>
      </c>
      <c r="F576" s="32">
        <f>(VLOOKUP($A576,$A$458:$O$482,6,0)*(HLOOKUP(F$561,'2.2.Brecha Efectiva x UdM'!$H$86:$AK$92,4,0))+(VLOOKUP($A576,$A$4:$O$27,6,0)*(HLOOKUP(F$561,'2.2.Brecha Efectiva x UdM'!$H$64:$AK$70,4,0))))</f>
        <v>9099741.4734820258</v>
      </c>
      <c r="G576" s="32">
        <f>(VLOOKUP($A576,$A$458:$O$482,6,0)*(HLOOKUP(G$561,'2.2.Brecha Efectiva x UdM'!$H$86:$AK$92,4,0))+(VLOOKUP($A576,$A$4:$O$27,6,0)*(HLOOKUP(G$561,'2.2.Brecha Efectiva x UdM'!$H$64:$AK$70,4,0))))</f>
        <v>4972515.61533943</v>
      </c>
      <c r="H576" s="32">
        <f>(VLOOKUP($A576,$A$458:$O$482,6,0)*(HLOOKUP(H$561,'2.2.Brecha Efectiva x UdM'!$H$86:$AK$92,4,0))+(VLOOKUP($A576,$A$4:$O$27,6,0)*(HLOOKUP(H$561,'2.2.Brecha Efectiva x UdM'!$H$64:$AK$70,4,0))))</f>
        <v>0</v>
      </c>
      <c r="I576" s="32">
        <f>(VLOOKUP($A576,$A$458:$O$482,6,0)*(HLOOKUP(I$561,'2.2.Brecha Efectiva x UdM'!$H$86:$AK$92,4,0))+(VLOOKUP($A576,$A$4:$O$27,6,0)*(HLOOKUP(I$561,'2.2.Brecha Efectiva x UdM'!$H$64:$AK$70,4,0))))</f>
        <v>0</v>
      </c>
      <c r="J576" s="32">
        <f>(VLOOKUP($A576,$A$458:$O$482,6,0)*(HLOOKUP(J$561,'2.2.Brecha Efectiva x UdM'!$H$86:$AK$92,4,0))+(VLOOKUP($A576,$A$4:$O$27,6,0)*(HLOOKUP(J$561,'2.2.Brecha Efectiva x UdM'!$H$64:$AK$70,4,0))))</f>
        <v>0</v>
      </c>
      <c r="K576" s="32">
        <f>(VLOOKUP($A576,$A$458:$O$482,6,0)*(HLOOKUP(K$561,'2.2.Brecha Efectiva x UdM'!$H$86:$AK$92,4,0))+(VLOOKUP($A576,$A$4:$O$27,6,0)*(HLOOKUP(K$561,'2.2.Brecha Efectiva x UdM'!$H$64:$AK$70,4,0))))</f>
        <v>0</v>
      </c>
      <c r="L576" s="32">
        <f>(VLOOKUP($A576,$A$458:$O$482,6,0)*(HLOOKUP(L$561,'2.2.Brecha Efectiva x UdM'!$H$86:$AK$92,4,0))+(VLOOKUP($A576,$A$4:$O$27,6,0)*(HLOOKUP(L$561,'2.2.Brecha Efectiva x UdM'!$H$64:$AK$70,4,0))))</f>
        <v>0</v>
      </c>
      <c r="M576" s="32">
        <f>(VLOOKUP($A576,$A$458:$O$482,6,0)*(HLOOKUP(M$561,'2.2.Brecha Efectiva x UdM'!$H$86:$AK$92,4,0))+(VLOOKUP($A576,$A$4:$O$27,6,0)*(HLOOKUP(M$561,'2.2.Brecha Efectiva x UdM'!$H$64:$AK$70,4,0))))</f>
        <v>0</v>
      </c>
      <c r="N576" s="32">
        <f>(VLOOKUP($A576,$A$458:$O$482,6,0)*(HLOOKUP(N$561,'2.2.Brecha Efectiva x UdM'!$H$86:$AK$92,4,0))+(VLOOKUP($A576,$A$4:$O$27,6,0)*(HLOOKUP(N$561,'2.2.Brecha Efectiva x UdM'!$H$64:$AK$70,4,0))))</f>
        <v>0</v>
      </c>
      <c r="O576" s="32">
        <f>(VLOOKUP($A576,$A$458:$O$482,6,0)*(HLOOKUP(O$561,'2.2.Brecha Efectiva x UdM'!$H$86:$AK$92,4,0))+(VLOOKUP($A576,$A$4:$O$27,6,0)*(HLOOKUP(O$561,'2.2.Brecha Efectiva x UdM'!$H$64:$AK$70,4,0))))</f>
        <v>0</v>
      </c>
      <c r="P576" s="32">
        <f>(VLOOKUP($A576,$A$458:$O$482,6,0)*(HLOOKUP(P$561,'2.2.Brecha Efectiva x UdM'!$H$86:$AK$92,4,0))+(VLOOKUP($A576,$A$4:$O$27,6,0)*(HLOOKUP(P$561,'2.2.Brecha Efectiva x UdM'!$H$64:$AK$70,4,0))))</f>
        <v>0</v>
      </c>
      <c r="Q576" s="32">
        <f>(VLOOKUP($A576,$A$458:$O$482,6,0)*(HLOOKUP(Q$561,'2.2.Brecha Efectiva x UdM'!$H$86:$AK$92,4,0))+(VLOOKUP($A576,$A$4:$O$27,6,0)*(HLOOKUP(Q$561,'2.2.Brecha Efectiva x UdM'!$H$64:$AK$70,4,0))))</f>
        <v>0</v>
      </c>
      <c r="R576" s="32">
        <f>(VLOOKUP($A576,$A$458:$O$482,6,0)*(HLOOKUP(R$561,'2.2.Brecha Efectiva x UdM'!$H$86:$AK$92,4,0))+(VLOOKUP($A576,$A$4:$O$27,6,0)*(HLOOKUP(R$561,'2.2.Brecha Efectiva x UdM'!$H$64:$AK$70,4,0))))</f>
        <v>0</v>
      </c>
      <c r="S576" s="32">
        <f>(VLOOKUP($A576,$A$458:$O$482,6,0)*(HLOOKUP(S$561,'2.2.Brecha Efectiva x UdM'!$H$86:$AK$92,4,0))+(VLOOKUP($A576,$A$4:$O$27,6,0)*(HLOOKUP(S$561,'2.2.Brecha Efectiva x UdM'!$H$64:$AK$70,4,0))))</f>
        <v>0</v>
      </c>
      <c r="T576" s="32">
        <f>(VLOOKUP($A576,$A$458:$O$482,6,0)*(HLOOKUP(T$561,'2.2.Brecha Efectiva x UdM'!$H$86:$AK$92,4,0))+(VLOOKUP($A576,$A$4:$O$27,6,0)*(HLOOKUP(T$561,'2.2.Brecha Efectiva x UdM'!$H$64:$AK$70,4,0))))</f>
        <v>0</v>
      </c>
      <c r="U576" s="32">
        <f>(VLOOKUP($A576,$A$458:$O$482,6,0)*(HLOOKUP(U$561,'2.2.Brecha Efectiva x UdM'!$H$86:$AK$92,4,0))+(VLOOKUP($A576,$A$4:$O$27,6,0)*(HLOOKUP(U$561,'2.2.Brecha Efectiva x UdM'!$H$64:$AK$70,4,0))))</f>
        <v>0</v>
      </c>
      <c r="V576" s="32">
        <f>(VLOOKUP($A576,$A$458:$O$482,6,0)*(HLOOKUP(V$561,'2.2.Brecha Efectiva x UdM'!$H$86:$AK$92,4,0))+(VLOOKUP($A576,$A$4:$O$27,6,0)*(HLOOKUP(V$561,'2.2.Brecha Efectiva x UdM'!$H$64:$AK$70,4,0))))</f>
        <v>0</v>
      </c>
      <c r="W576" s="32">
        <f>(VLOOKUP($A576,$A$458:$O$482,6,0)*(HLOOKUP(W$561,'2.2.Brecha Efectiva x UdM'!$H$86:$AK$92,4,0))+(VLOOKUP($A576,$A$4:$O$27,6,0)*(HLOOKUP(W$561,'2.2.Brecha Efectiva x UdM'!$H$64:$AK$70,4,0))))</f>
        <v>0</v>
      </c>
      <c r="X576" s="32">
        <f>(VLOOKUP($A576,$A$458:$O$482,6,0)*(HLOOKUP(X$561,'2.2.Brecha Efectiva x UdM'!$H$86:$AK$92,4,0))+(VLOOKUP($A576,$A$4:$O$27,6,0)*(HLOOKUP(X$561,'2.2.Brecha Efectiva x UdM'!$H$64:$AK$70,4,0))))</f>
        <v>0</v>
      </c>
      <c r="Y576" s="32">
        <f>(VLOOKUP($A576,$A$458:$O$482,6,0)*(HLOOKUP(Y$561,'2.2.Brecha Efectiva x UdM'!$H$86:$AK$92,4,0))+(VLOOKUP($A576,$A$4:$O$27,6,0)*(HLOOKUP(Y$561,'2.2.Brecha Efectiva x UdM'!$H$64:$AK$70,4,0))))</f>
        <v>0</v>
      </c>
      <c r="Z576" s="32">
        <f>(VLOOKUP($A576,$A$458:$O$482,6,0)*(HLOOKUP(Z$561,'2.2.Brecha Efectiva x UdM'!$H$86:$AK$92,4,0))+(VLOOKUP($A576,$A$4:$O$27,6,0)*(HLOOKUP(Z$561,'2.2.Brecha Efectiva x UdM'!$H$64:$AK$70,4,0))))</f>
        <v>0</v>
      </c>
      <c r="AA576" s="32">
        <f>(VLOOKUP($A576,$A$458:$O$482,6,0)*(HLOOKUP(AA$561,'2.2.Brecha Efectiva x UdM'!$H$86:$AK$92,4,0))+(VLOOKUP($A576,$A$4:$O$27,6,0)*(HLOOKUP(AA$561,'2.2.Brecha Efectiva x UdM'!$H$64:$AK$70,4,0))))</f>
        <v>0</v>
      </c>
      <c r="AB576" s="32">
        <f>(VLOOKUP($A576,$A$458:$O$482,6,0)*(HLOOKUP(AB$561,'2.2.Brecha Efectiva x UdM'!$H$86:$AK$92,4,0))+(VLOOKUP($A576,$A$4:$O$27,6,0)*(HLOOKUP(AB$561,'2.2.Brecha Efectiva x UdM'!$H$64:$AK$70,4,0))))</f>
        <v>0</v>
      </c>
      <c r="AC576" s="32">
        <f>(VLOOKUP($A576,$A$458:$O$482,6,0)*(HLOOKUP(AC$561,'2.2.Brecha Efectiva x UdM'!$H$86:$AK$92,4,0))+(VLOOKUP($A576,$A$4:$O$27,6,0)*(HLOOKUP(AC$561,'2.2.Brecha Efectiva x UdM'!$H$64:$AK$70,4,0))))</f>
        <v>0</v>
      </c>
      <c r="AD576" s="32">
        <f>(VLOOKUP($A576,$A$458:$O$482,6,0)*(HLOOKUP(AD$561,'2.2.Brecha Efectiva x UdM'!$H$86:$AK$92,4,0))+(VLOOKUP($A576,$A$4:$O$27,6,0)*(HLOOKUP(AD$561,'2.2.Brecha Efectiva x UdM'!$H$64:$AK$70,4,0))))</f>
        <v>0</v>
      </c>
      <c r="AE576" s="32">
        <f>(VLOOKUP($A576,$A$458:$O$482,6,0)*(HLOOKUP(AE$561,'2.2.Brecha Efectiva x UdM'!$H$86:$AK$92,4,0))+(VLOOKUP($A576,$A$4:$O$27,6,0)*(HLOOKUP(AE$561,'2.2.Brecha Efectiva x UdM'!$H$64:$AK$70,4,0))))</f>
        <v>0</v>
      </c>
      <c r="AF576" s="32">
        <f>(VLOOKUP($A576,$A$458:$O$482,6,0)*(HLOOKUP(AF$561,'2.2.Brecha Efectiva x UdM'!$H$86:$AK$92,4,0))+(VLOOKUP($A576,$A$4:$O$27,6,0)*(HLOOKUP(AF$561,'2.2.Brecha Efectiva x UdM'!$H$64:$AK$70,4,0))))</f>
        <v>0</v>
      </c>
      <c r="AG576" s="32">
        <f>(VLOOKUP($A576,$A$458:$O$482,6,0)*(HLOOKUP(AG$561,'2.2.Brecha Efectiva x UdM'!$H$86:$AK$92,4,0))+(VLOOKUP($A576,$A$4:$O$27,6,0)*(HLOOKUP(AG$561,'2.2.Brecha Efectiva x UdM'!$H$64:$AK$70,4,0))))</f>
        <v>0</v>
      </c>
      <c r="AH576" s="62">
        <f t="shared" si="538"/>
        <v>219731635.44428149</v>
      </c>
    </row>
    <row r="577" spans="1:34" x14ac:dyDescent="0.2">
      <c r="A577" s="26" t="str">
        <f t="shared" si="535"/>
        <v>Río Negro</v>
      </c>
      <c r="B577" s="52" t="str">
        <f t="shared" si="536"/>
        <v>Nombre UdM 3</v>
      </c>
      <c r="C577" s="26" t="str">
        <f t="shared" si="537"/>
        <v>Río Negro Nombre UdM 3</v>
      </c>
      <c r="D577" s="31">
        <f>(VLOOKUP($A577,$A$458:$O$482,6,0)*(HLOOKUP(D$561,'2.2.Brecha Efectiva x UdM'!$H$86:$AK$92,4,0))+(VLOOKUP($A577,$A$4:$O$27,6,0)*(HLOOKUP(D$561,'2.2.Brecha Efectiva x UdM'!$H$64:$AK$70,4,0))))</f>
        <v>5193606.7969466271</v>
      </c>
      <c r="E577" s="31">
        <f>(VLOOKUP($A577,$A$458:$O$482,6,0)*(HLOOKUP(E$561,'2.2.Brecha Efectiva x UdM'!$H$86:$AK$92,4,0))+(VLOOKUP($A577,$A$4:$O$27,6,0)*(HLOOKUP(E$561,'2.2.Brecha Efectiva x UdM'!$H$64:$AK$70,4,0))))</f>
        <v>35255279.312471181</v>
      </c>
      <c r="F577" s="31">
        <f>(VLOOKUP($A577,$A$458:$O$482,6,0)*(HLOOKUP(F$561,'2.2.Brecha Efectiva x UdM'!$H$86:$AK$92,4,0))+(VLOOKUP($A577,$A$4:$O$27,6,0)*(HLOOKUP(F$561,'2.2.Brecha Efectiva x UdM'!$H$64:$AK$70,4,0))))</f>
        <v>1789728.2848431221</v>
      </c>
      <c r="G577" s="31">
        <f>(VLOOKUP($A577,$A$458:$O$482,6,0)*(HLOOKUP(G$561,'2.2.Brecha Efectiva x UdM'!$H$86:$AK$92,4,0))+(VLOOKUP($A577,$A$4:$O$27,6,0)*(HLOOKUP(G$561,'2.2.Brecha Efectiva x UdM'!$H$64:$AK$70,4,0))))</f>
        <v>977989.52525534737</v>
      </c>
      <c r="H577" s="31">
        <f>(VLOOKUP($A577,$A$458:$O$482,6,0)*(HLOOKUP(H$561,'2.2.Brecha Efectiva x UdM'!$H$86:$AK$92,4,0))+(VLOOKUP($A577,$A$4:$O$27,6,0)*(HLOOKUP(H$561,'2.2.Brecha Efectiva x UdM'!$H$64:$AK$70,4,0))))</f>
        <v>0</v>
      </c>
      <c r="I577" s="31">
        <f>(VLOOKUP($A577,$A$458:$O$482,6,0)*(HLOOKUP(I$561,'2.2.Brecha Efectiva x UdM'!$H$86:$AK$92,4,0))+(VLOOKUP($A577,$A$4:$O$27,6,0)*(HLOOKUP(I$561,'2.2.Brecha Efectiva x UdM'!$H$64:$AK$70,4,0))))</f>
        <v>0</v>
      </c>
      <c r="J577" s="31">
        <f>(VLOOKUP($A577,$A$458:$O$482,6,0)*(HLOOKUP(J$561,'2.2.Brecha Efectiva x UdM'!$H$86:$AK$92,4,0))+(VLOOKUP($A577,$A$4:$O$27,6,0)*(HLOOKUP(J$561,'2.2.Brecha Efectiva x UdM'!$H$64:$AK$70,4,0))))</f>
        <v>0</v>
      </c>
      <c r="K577" s="31">
        <f>(VLOOKUP($A577,$A$458:$O$482,6,0)*(HLOOKUP(K$561,'2.2.Brecha Efectiva x UdM'!$H$86:$AK$92,4,0))+(VLOOKUP($A577,$A$4:$O$27,6,0)*(HLOOKUP(K$561,'2.2.Brecha Efectiva x UdM'!$H$64:$AK$70,4,0))))</f>
        <v>0</v>
      </c>
      <c r="L577" s="31">
        <f>(VLOOKUP($A577,$A$458:$O$482,6,0)*(HLOOKUP(L$561,'2.2.Brecha Efectiva x UdM'!$H$86:$AK$92,4,0))+(VLOOKUP($A577,$A$4:$O$27,6,0)*(HLOOKUP(L$561,'2.2.Brecha Efectiva x UdM'!$H$64:$AK$70,4,0))))</f>
        <v>0</v>
      </c>
      <c r="M577" s="31">
        <f>(VLOOKUP($A577,$A$458:$O$482,6,0)*(HLOOKUP(M$561,'2.2.Brecha Efectiva x UdM'!$H$86:$AK$92,4,0))+(VLOOKUP($A577,$A$4:$O$27,6,0)*(HLOOKUP(M$561,'2.2.Brecha Efectiva x UdM'!$H$64:$AK$70,4,0))))</f>
        <v>0</v>
      </c>
      <c r="N577" s="31">
        <f>(VLOOKUP($A577,$A$458:$O$482,6,0)*(HLOOKUP(N$561,'2.2.Brecha Efectiva x UdM'!$H$86:$AK$92,4,0))+(VLOOKUP($A577,$A$4:$O$27,6,0)*(HLOOKUP(N$561,'2.2.Brecha Efectiva x UdM'!$H$64:$AK$70,4,0))))</f>
        <v>0</v>
      </c>
      <c r="O577" s="31">
        <f>(VLOOKUP($A577,$A$458:$O$482,6,0)*(HLOOKUP(O$561,'2.2.Brecha Efectiva x UdM'!$H$86:$AK$92,4,0))+(VLOOKUP($A577,$A$4:$O$27,6,0)*(HLOOKUP(O$561,'2.2.Brecha Efectiva x UdM'!$H$64:$AK$70,4,0))))</f>
        <v>0</v>
      </c>
      <c r="P577" s="31">
        <f>(VLOOKUP($A577,$A$458:$O$482,6,0)*(HLOOKUP(P$561,'2.2.Brecha Efectiva x UdM'!$H$86:$AK$92,4,0))+(VLOOKUP($A577,$A$4:$O$27,6,0)*(HLOOKUP(P$561,'2.2.Brecha Efectiva x UdM'!$H$64:$AK$70,4,0))))</f>
        <v>0</v>
      </c>
      <c r="Q577" s="31">
        <f>(VLOOKUP($A577,$A$458:$O$482,6,0)*(HLOOKUP(Q$561,'2.2.Brecha Efectiva x UdM'!$H$86:$AK$92,4,0))+(VLOOKUP($A577,$A$4:$O$27,6,0)*(HLOOKUP(Q$561,'2.2.Brecha Efectiva x UdM'!$H$64:$AK$70,4,0))))</f>
        <v>0</v>
      </c>
      <c r="R577" s="31">
        <f>(VLOOKUP($A577,$A$458:$O$482,6,0)*(HLOOKUP(R$561,'2.2.Brecha Efectiva x UdM'!$H$86:$AK$92,4,0))+(VLOOKUP($A577,$A$4:$O$27,6,0)*(HLOOKUP(R$561,'2.2.Brecha Efectiva x UdM'!$H$64:$AK$70,4,0))))</f>
        <v>0</v>
      </c>
      <c r="S577" s="31">
        <f>(VLOOKUP($A577,$A$458:$O$482,6,0)*(HLOOKUP(S$561,'2.2.Brecha Efectiva x UdM'!$H$86:$AK$92,4,0))+(VLOOKUP($A577,$A$4:$O$27,6,0)*(HLOOKUP(S$561,'2.2.Brecha Efectiva x UdM'!$H$64:$AK$70,4,0))))</f>
        <v>0</v>
      </c>
      <c r="T577" s="31">
        <f>(VLOOKUP($A577,$A$458:$O$482,6,0)*(HLOOKUP(T$561,'2.2.Brecha Efectiva x UdM'!$H$86:$AK$92,4,0))+(VLOOKUP($A577,$A$4:$O$27,6,0)*(HLOOKUP(T$561,'2.2.Brecha Efectiva x UdM'!$H$64:$AK$70,4,0))))</f>
        <v>0</v>
      </c>
      <c r="U577" s="31">
        <f>(VLOOKUP($A577,$A$458:$O$482,6,0)*(HLOOKUP(U$561,'2.2.Brecha Efectiva x UdM'!$H$86:$AK$92,4,0))+(VLOOKUP($A577,$A$4:$O$27,6,0)*(HLOOKUP(U$561,'2.2.Brecha Efectiva x UdM'!$H$64:$AK$70,4,0))))</f>
        <v>0</v>
      </c>
      <c r="V577" s="31">
        <f>(VLOOKUP($A577,$A$458:$O$482,6,0)*(HLOOKUP(V$561,'2.2.Brecha Efectiva x UdM'!$H$86:$AK$92,4,0))+(VLOOKUP($A577,$A$4:$O$27,6,0)*(HLOOKUP(V$561,'2.2.Brecha Efectiva x UdM'!$H$64:$AK$70,4,0))))</f>
        <v>0</v>
      </c>
      <c r="W577" s="31">
        <f>(VLOOKUP($A577,$A$458:$O$482,6,0)*(HLOOKUP(W$561,'2.2.Brecha Efectiva x UdM'!$H$86:$AK$92,4,0))+(VLOOKUP($A577,$A$4:$O$27,6,0)*(HLOOKUP(W$561,'2.2.Brecha Efectiva x UdM'!$H$64:$AK$70,4,0))))</f>
        <v>0</v>
      </c>
      <c r="X577" s="31">
        <f>(VLOOKUP($A577,$A$458:$O$482,6,0)*(HLOOKUP(X$561,'2.2.Brecha Efectiva x UdM'!$H$86:$AK$92,4,0))+(VLOOKUP($A577,$A$4:$O$27,6,0)*(HLOOKUP(X$561,'2.2.Brecha Efectiva x UdM'!$H$64:$AK$70,4,0))))</f>
        <v>0</v>
      </c>
      <c r="Y577" s="31">
        <f>(VLOOKUP($A577,$A$458:$O$482,6,0)*(HLOOKUP(Y$561,'2.2.Brecha Efectiva x UdM'!$H$86:$AK$92,4,0))+(VLOOKUP($A577,$A$4:$O$27,6,0)*(HLOOKUP(Y$561,'2.2.Brecha Efectiva x UdM'!$H$64:$AK$70,4,0))))</f>
        <v>0</v>
      </c>
      <c r="Z577" s="31">
        <f>(VLOOKUP($A577,$A$458:$O$482,6,0)*(HLOOKUP(Z$561,'2.2.Brecha Efectiva x UdM'!$H$86:$AK$92,4,0))+(VLOOKUP($A577,$A$4:$O$27,6,0)*(HLOOKUP(Z$561,'2.2.Brecha Efectiva x UdM'!$H$64:$AK$70,4,0))))</f>
        <v>0</v>
      </c>
      <c r="AA577" s="31">
        <f>(VLOOKUP($A577,$A$458:$O$482,6,0)*(HLOOKUP(AA$561,'2.2.Brecha Efectiva x UdM'!$H$86:$AK$92,4,0))+(VLOOKUP($A577,$A$4:$O$27,6,0)*(HLOOKUP(AA$561,'2.2.Brecha Efectiva x UdM'!$H$64:$AK$70,4,0))))</f>
        <v>0</v>
      </c>
      <c r="AB577" s="31">
        <f>(VLOOKUP($A577,$A$458:$O$482,6,0)*(HLOOKUP(AB$561,'2.2.Brecha Efectiva x UdM'!$H$86:$AK$92,4,0))+(VLOOKUP($A577,$A$4:$O$27,6,0)*(HLOOKUP(AB$561,'2.2.Brecha Efectiva x UdM'!$H$64:$AK$70,4,0))))</f>
        <v>0</v>
      </c>
      <c r="AC577" s="31">
        <f>(VLOOKUP($A577,$A$458:$O$482,6,0)*(HLOOKUP(AC$561,'2.2.Brecha Efectiva x UdM'!$H$86:$AK$92,4,0))+(VLOOKUP($A577,$A$4:$O$27,6,0)*(HLOOKUP(AC$561,'2.2.Brecha Efectiva x UdM'!$H$64:$AK$70,4,0))))</f>
        <v>0</v>
      </c>
      <c r="AD577" s="31">
        <f>(VLOOKUP($A577,$A$458:$O$482,6,0)*(HLOOKUP(AD$561,'2.2.Brecha Efectiva x UdM'!$H$86:$AK$92,4,0))+(VLOOKUP($A577,$A$4:$O$27,6,0)*(HLOOKUP(AD$561,'2.2.Brecha Efectiva x UdM'!$H$64:$AK$70,4,0))))</f>
        <v>0</v>
      </c>
      <c r="AE577" s="31">
        <f>(VLOOKUP($A577,$A$458:$O$482,6,0)*(HLOOKUP(AE$561,'2.2.Brecha Efectiva x UdM'!$H$86:$AK$92,4,0))+(VLOOKUP($A577,$A$4:$O$27,6,0)*(HLOOKUP(AE$561,'2.2.Brecha Efectiva x UdM'!$H$64:$AK$70,4,0))))</f>
        <v>0</v>
      </c>
      <c r="AF577" s="31">
        <f>(VLOOKUP($A577,$A$458:$O$482,6,0)*(HLOOKUP(AF$561,'2.2.Brecha Efectiva x UdM'!$H$86:$AK$92,4,0))+(VLOOKUP($A577,$A$4:$O$27,6,0)*(HLOOKUP(AF$561,'2.2.Brecha Efectiva x UdM'!$H$64:$AK$70,4,0))))</f>
        <v>0</v>
      </c>
      <c r="AG577" s="31">
        <f>(VLOOKUP($A577,$A$458:$O$482,6,0)*(HLOOKUP(AG$561,'2.2.Brecha Efectiva x UdM'!$H$86:$AK$92,4,0))+(VLOOKUP($A577,$A$4:$O$27,6,0)*(HLOOKUP(AG$561,'2.2.Brecha Efectiva x UdM'!$H$64:$AK$70,4,0))))</f>
        <v>0</v>
      </c>
      <c r="AH577" s="63">
        <f t="shared" si="538"/>
        <v>43216603.91951628</v>
      </c>
    </row>
    <row r="578" spans="1:34" x14ac:dyDescent="0.2">
      <c r="A578" s="25" t="str">
        <f t="shared" si="535"/>
        <v>Salta</v>
      </c>
      <c r="B578" s="51" t="str">
        <f t="shared" si="536"/>
        <v>Nombre UdM 3</v>
      </c>
      <c r="C578" s="25" t="str">
        <f t="shared" si="537"/>
        <v>Salta Nombre UdM 3</v>
      </c>
      <c r="D578" s="32">
        <f>(VLOOKUP($A578,$A$458:$O$482,6,0)*(HLOOKUP(D$561,'2.2.Brecha Efectiva x UdM'!$H$86:$AK$92,4,0))+(VLOOKUP($A578,$A$4:$O$27,6,0)*(HLOOKUP(D$561,'2.2.Brecha Efectiva x UdM'!$H$64:$AK$70,4,0))))</f>
        <v>36875846.865686491</v>
      </c>
      <c r="E578" s="32">
        <f>(VLOOKUP($A578,$A$458:$O$482,6,0)*(HLOOKUP(E$561,'2.2.Brecha Efectiva x UdM'!$H$86:$AK$92,4,0))+(VLOOKUP($A578,$A$4:$O$27,6,0)*(HLOOKUP(E$561,'2.2.Brecha Efectiva x UdM'!$H$64:$AK$70,4,0))))</f>
        <v>250320891.0420433</v>
      </c>
      <c r="F578" s="32">
        <f>(VLOOKUP($A578,$A$458:$O$482,6,0)*(HLOOKUP(F$561,'2.2.Brecha Efectiva x UdM'!$H$86:$AK$92,4,0))+(VLOOKUP($A578,$A$4:$O$27,6,0)*(HLOOKUP(F$561,'2.2.Brecha Efectiva x UdM'!$H$64:$AK$70,4,0))))</f>
        <v>12707497.649198905</v>
      </c>
      <c r="G578" s="32">
        <f>(VLOOKUP($A578,$A$458:$O$482,6,0)*(HLOOKUP(G$561,'2.2.Brecha Efectiva x UdM'!$H$86:$AK$92,4,0))+(VLOOKUP($A578,$A$4:$O$27,6,0)*(HLOOKUP(G$561,'2.2.Brecha Efectiva x UdM'!$H$64:$AK$70,4,0))))</f>
        <v>6943958.8670370886</v>
      </c>
      <c r="H578" s="32">
        <f>(VLOOKUP($A578,$A$458:$O$482,6,0)*(HLOOKUP(H$561,'2.2.Brecha Efectiva x UdM'!$H$86:$AK$92,4,0))+(VLOOKUP($A578,$A$4:$O$27,6,0)*(HLOOKUP(H$561,'2.2.Brecha Efectiva x UdM'!$H$64:$AK$70,4,0))))</f>
        <v>0</v>
      </c>
      <c r="I578" s="32">
        <f>(VLOOKUP($A578,$A$458:$O$482,6,0)*(HLOOKUP(I$561,'2.2.Brecha Efectiva x UdM'!$H$86:$AK$92,4,0))+(VLOOKUP($A578,$A$4:$O$27,6,0)*(HLOOKUP(I$561,'2.2.Brecha Efectiva x UdM'!$H$64:$AK$70,4,0))))</f>
        <v>0</v>
      </c>
      <c r="J578" s="32">
        <f>(VLOOKUP($A578,$A$458:$O$482,6,0)*(HLOOKUP(J$561,'2.2.Brecha Efectiva x UdM'!$H$86:$AK$92,4,0))+(VLOOKUP($A578,$A$4:$O$27,6,0)*(HLOOKUP(J$561,'2.2.Brecha Efectiva x UdM'!$H$64:$AK$70,4,0))))</f>
        <v>0</v>
      </c>
      <c r="K578" s="32">
        <f>(VLOOKUP($A578,$A$458:$O$482,6,0)*(HLOOKUP(K$561,'2.2.Brecha Efectiva x UdM'!$H$86:$AK$92,4,0))+(VLOOKUP($A578,$A$4:$O$27,6,0)*(HLOOKUP(K$561,'2.2.Brecha Efectiva x UdM'!$H$64:$AK$70,4,0))))</f>
        <v>0</v>
      </c>
      <c r="L578" s="32">
        <f>(VLOOKUP($A578,$A$458:$O$482,6,0)*(HLOOKUP(L$561,'2.2.Brecha Efectiva x UdM'!$H$86:$AK$92,4,0))+(VLOOKUP($A578,$A$4:$O$27,6,0)*(HLOOKUP(L$561,'2.2.Brecha Efectiva x UdM'!$H$64:$AK$70,4,0))))</f>
        <v>0</v>
      </c>
      <c r="M578" s="32">
        <f>(VLOOKUP($A578,$A$458:$O$482,6,0)*(HLOOKUP(M$561,'2.2.Brecha Efectiva x UdM'!$H$86:$AK$92,4,0))+(VLOOKUP($A578,$A$4:$O$27,6,0)*(HLOOKUP(M$561,'2.2.Brecha Efectiva x UdM'!$H$64:$AK$70,4,0))))</f>
        <v>0</v>
      </c>
      <c r="N578" s="32">
        <f>(VLOOKUP($A578,$A$458:$O$482,6,0)*(HLOOKUP(N$561,'2.2.Brecha Efectiva x UdM'!$H$86:$AK$92,4,0))+(VLOOKUP($A578,$A$4:$O$27,6,0)*(HLOOKUP(N$561,'2.2.Brecha Efectiva x UdM'!$H$64:$AK$70,4,0))))</f>
        <v>0</v>
      </c>
      <c r="O578" s="32">
        <f>(VLOOKUP($A578,$A$458:$O$482,6,0)*(HLOOKUP(O$561,'2.2.Brecha Efectiva x UdM'!$H$86:$AK$92,4,0))+(VLOOKUP($A578,$A$4:$O$27,6,0)*(HLOOKUP(O$561,'2.2.Brecha Efectiva x UdM'!$H$64:$AK$70,4,0))))</f>
        <v>0</v>
      </c>
      <c r="P578" s="32">
        <f>(VLOOKUP($A578,$A$458:$O$482,6,0)*(HLOOKUP(P$561,'2.2.Brecha Efectiva x UdM'!$H$86:$AK$92,4,0))+(VLOOKUP($A578,$A$4:$O$27,6,0)*(HLOOKUP(P$561,'2.2.Brecha Efectiva x UdM'!$H$64:$AK$70,4,0))))</f>
        <v>0</v>
      </c>
      <c r="Q578" s="32">
        <f>(VLOOKUP($A578,$A$458:$O$482,6,0)*(HLOOKUP(Q$561,'2.2.Brecha Efectiva x UdM'!$H$86:$AK$92,4,0))+(VLOOKUP($A578,$A$4:$O$27,6,0)*(HLOOKUP(Q$561,'2.2.Brecha Efectiva x UdM'!$H$64:$AK$70,4,0))))</f>
        <v>0</v>
      </c>
      <c r="R578" s="32">
        <f>(VLOOKUP($A578,$A$458:$O$482,6,0)*(HLOOKUP(R$561,'2.2.Brecha Efectiva x UdM'!$H$86:$AK$92,4,0))+(VLOOKUP($A578,$A$4:$O$27,6,0)*(HLOOKUP(R$561,'2.2.Brecha Efectiva x UdM'!$H$64:$AK$70,4,0))))</f>
        <v>0</v>
      </c>
      <c r="S578" s="32">
        <f>(VLOOKUP($A578,$A$458:$O$482,6,0)*(HLOOKUP(S$561,'2.2.Brecha Efectiva x UdM'!$H$86:$AK$92,4,0))+(VLOOKUP($A578,$A$4:$O$27,6,0)*(HLOOKUP(S$561,'2.2.Brecha Efectiva x UdM'!$H$64:$AK$70,4,0))))</f>
        <v>0</v>
      </c>
      <c r="T578" s="32">
        <f>(VLOOKUP($A578,$A$458:$O$482,6,0)*(HLOOKUP(T$561,'2.2.Brecha Efectiva x UdM'!$H$86:$AK$92,4,0))+(VLOOKUP($A578,$A$4:$O$27,6,0)*(HLOOKUP(T$561,'2.2.Brecha Efectiva x UdM'!$H$64:$AK$70,4,0))))</f>
        <v>0</v>
      </c>
      <c r="U578" s="32">
        <f>(VLOOKUP($A578,$A$458:$O$482,6,0)*(HLOOKUP(U$561,'2.2.Brecha Efectiva x UdM'!$H$86:$AK$92,4,0))+(VLOOKUP($A578,$A$4:$O$27,6,0)*(HLOOKUP(U$561,'2.2.Brecha Efectiva x UdM'!$H$64:$AK$70,4,0))))</f>
        <v>0</v>
      </c>
      <c r="V578" s="32">
        <f>(VLOOKUP($A578,$A$458:$O$482,6,0)*(HLOOKUP(V$561,'2.2.Brecha Efectiva x UdM'!$H$86:$AK$92,4,0))+(VLOOKUP($A578,$A$4:$O$27,6,0)*(HLOOKUP(V$561,'2.2.Brecha Efectiva x UdM'!$H$64:$AK$70,4,0))))</f>
        <v>0</v>
      </c>
      <c r="W578" s="32">
        <f>(VLOOKUP($A578,$A$458:$O$482,6,0)*(HLOOKUP(W$561,'2.2.Brecha Efectiva x UdM'!$H$86:$AK$92,4,0))+(VLOOKUP($A578,$A$4:$O$27,6,0)*(HLOOKUP(W$561,'2.2.Brecha Efectiva x UdM'!$H$64:$AK$70,4,0))))</f>
        <v>0</v>
      </c>
      <c r="X578" s="32">
        <f>(VLOOKUP($A578,$A$458:$O$482,6,0)*(HLOOKUP(X$561,'2.2.Brecha Efectiva x UdM'!$H$86:$AK$92,4,0))+(VLOOKUP($A578,$A$4:$O$27,6,0)*(HLOOKUP(X$561,'2.2.Brecha Efectiva x UdM'!$H$64:$AK$70,4,0))))</f>
        <v>0</v>
      </c>
      <c r="Y578" s="32">
        <f>(VLOOKUP($A578,$A$458:$O$482,6,0)*(HLOOKUP(Y$561,'2.2.Brecha Efectiva x UdM'!$H$86:$AK$92,4,0))+(VLOOKUP($A578,$A$4:$O$27,6,0)*(HLOOKUP(Y$561,'2.2.Brecha Efectiva x UdM'!$H$64:$AK$70,4,0))))</f>
        <v>0</v>
      </c>
      <c r="Z578" s="32">
        <f>(VLOOKUP($A578,$A$458:$O$482,6,0)*(HLOOKUP(Z$561,'2.2.Brecha Efectiva x UdM'!$H$86:$AK$92,4,0))+(VLOOKUP($A578,$A$4:$O$27,6,0)*(HLOOKUP(Z$561,'2.2.Brecha Efectiva x UdM'!$H$64:$AK$70,4,0))))</f>
        <v>0</v>
      </c>
      <c r="AA578" s="32">
        <f>(VLOOKUP($A578,$A$458:$O$482,6,0)*(HLOOKUP(AA$561,'2.2.Brecha Efectiva x UdM'!$H$86:$AK$92,4,0))+(VLOOKUP($A578,$A$4:$O$27,6,0)*(HLOOKUP(AA$561,'2.2.Brecha Efectiva x UdM'!$H$64:$AK$70,4,0))))</f>
        <v>0</v>
      </c>
      <c r="AB578" s="32">
        <f>(VLOOKUP($A578,$A$458:$O$482,6,0)*(HLOOKUP(AB$561,'2.2.Brecha Efectiva x UdM'!$H$86:$AK$92,4,0))+(VLOOKUP($A578,$A$4:$O$27,6,0)*(HLOOKUP(AB$561,'2.2.Brecha Efectiva x UdM'!$H$64:$AK$70,4,0))))</f>
        <v>0</v>
      </c>
      <c r="AC578" s="32">
        <f>(VLOOKUP($A578,$A$458:$O$482,6,0)*(HLOOKUP(AC$561,'2.2.Brecha Efectiva x UdM'!$H$86:$AK$92,4,0))+(VLOOKUP($A578,$A$4:$O$27,6,0)*(HLOOKUP(AC$561,'2.2.Brecha Efectiva x UdM'!$H$64:$AK$70,4,0))))</f>
        <v>0</v>
      </c>
      <c r="AD578" s="32">
        <f>(VLOOKUP($A578,$A$458:$O$482,6,0)*(HLOOKUP(AD$561,'2.2.Brecha Efectiva x UdM'!$H$86:$AK$92,4,0))+(VLOOKUP($A578,$A$4:$O$27,6,0)*(HLOOKUP(AD$561,'2.2.Brecha Efectiva x UdM'!$H$64:$AK$70,4,0))))</f>
        <v>0</v>
      </c>
      <c r="AE578" s="32">
        <f>(VLOOKUP($A578,$A$458:$O$482,6,0)*(HLOOKUP(AE$561,'2.2.Brecha Efectiva x UdM'!$H$86:$AK$92,4,0))+(VLOOKUP($A578,$A$4:$O$27,6,0)*(HLOOKUP(AE$561,'2.2.Brecha Efectiva x UdM'!$H$64:$AK$70,4,0))))</f>
        <v>0</v>
      </c>
      <c r="AF578" s="32">
        <f>(VLOOKUP($A578,$A$458:$O$482,6,0)*(HLOOKUP(AF$561,'2.2.Brecha Efectiva x UdM'!$H$86:$AK$92,4,0))+(VLOOKUP($A578,$A$4:$O$27,6,0)*(HLOOKUP(AF$561,'2.2.Brecha Efectiva x UdM'!$H$64:$AK$70,4,0))))</f>
        <v>0</v>
      </c>
      <c r="AG578" s="32">
        <f>(VLOOKUP($A578,$A$458:$O$482,6,0)*(HLOOKUP(AG$561,'2.2.Brecha Efectiva x UdM'!$H$86:$AK$92,4,0))+(VLOOKUP($A578,$A$4:$O$27,6,0)*(HLOOKUP(AG$561,'2.2.Brecha Efectiva x UdM'!$H$64:$AK$70,4,0))))</f>
        <v>0</v>
      </c>
      <c r="AH578" s="62">
        <f t="shared" si="538"/>
        <v>306848194.42396581</v>
      </c>
    </row>
    <row r="579" spans="1:34" x14ac:dyDescent="0.2">
      <c r="A579" s="26" t="str">
        <f t="shared" si="535"/>
        <v>San Juan</v>
      </c>
      <c r="B579" s="52" t="str">
        <f t="shared" si="536"/>
        <v>Nombre UdM 3</v>
      </c>
      <c r="C579" s="26" t="str">
        <f t="shared" si="537"/>
        <v>San Juan Nombre UdM 3</v>
      </c>
      <c r="D579" s="31">
        <f>(VLOOKUP($A579,$A$458:$O$482,6,0)*(HLOOKUP(D$561,'2.2.Brecha Efectiva x UdM'!$H$86:$AK$92,4,0))+(VLOOKUP($A579,$A$4:$O$27,6,0)*(HLOOKUP(D$561,'2.2.Brecha Efectiva x UdM'!$H$64:$AK$70,4,0))))</f>
        <v>0</v>
      </c>
      <c r="E579" s="31">
        <f>(VLOOKUP($A579,$A$458:$O$482,6,0)*(HLOOKUP(E$561,'2.2.Brecha Efectiva x UdM'!$H$86:$AK$92,4,0))+(VLOOKUP($A579,$A$4:$O$27,6,0)*(HLOOKUP(E$561,'2.2.Brecha Efectiva x UdM'!$H$64:$AK$70,4,0))))</f>
        <v>0</v>
      </c>
      <c r="F579" s="31">
        <f>(VLOOKUP($A579,$A$458:$O$482,6,0)*(HLOOKUP(F$561,'2.2.Brecha Efectiva x UdM'!$H$86:$AK$92,4,0))+(VLOOKUP($A579,$A$4:$O$27,6,0)*(HLOOKUP(F$561,'2.2.Brecha Efectiva x UdM'!$H$64:$AK$70,4,0))))</f>
        <v>0</v>
      </c>
      <c r="G579" s="31">
        <f>(VLOOKUP($A579,$A$458:$O$482,6,0)*(HLOOKUP(G$561,'2.2.Brecha Efectiva x UdM'!$H$86:$AK$92,4,0))+(VLOOKUP($A579,$A$4:$O$27,6,0)*(HLOOKUP(G$561,'2.2.Brecha Efectiva x UdM'!$H$64:$AK$70,4,0))))</f>
        <v>0</v>
      </c>
      <c r="H579" s="31">
        <f>(VLOOKUP($A579,$A$458:$O$482,6,0)*(HLOOKUP(H$561,'2.2.Brecha Efectiva x UdM'!$H$86:$AK$92,4,0))+(VLOOKUP($A579,$A$4:$O$27,6,0)*(HLOOKUP(H$561,'2.2.Brecha Efectiva x UdM'!$H$64:$AK$70,4,0))))</f>
        <v>0</v>
      </c>
      <c r="I579" s="31">
        <f>(VLOOKUP($A579,$A$458:$O$482,6,0)*(HLOOKUP(I$561,'2.2.Brecha Efectiva x UdM'!$H$86:$AK$92,4,0))+(VLOOKUP($A579,$A$4:$O$27,6,0)*(HLOOKUP(I$561,'2.2.Brecha Efectiva x UdM'!$H$64:$AK$70,4,0))))</f>
        <v>0</v>
      </c>
      <c r="J579" s="31">
        <f>(VLOOKUP($A579,$A$458:$O$482,6,0)*(HLOOKUP(J$561,'2.2.Brecha Efectiva x UdM'!$H$86:$AK$92,4,0))+(VLOOKUP($A579,$A$4:$O$27,6,0)*(HLOOKUP(J$561,'2.2.Brecha Efectiva x UdM'!$H$64:$AK$70,4,0))))</f>
        <v>0</v>
      </c>
      <c r="K579" s="31">
        <f>(VLOOKUP($A579,$A$458:$O$482,6,0)*(HLOOKUP(K$561,'2.2.Brecha Efectiva x UdM'!$H$86:$AK$92,4,0))+(VLOOKUP($A579,$A$4:$O$27,6,0)*(HLOOKUP(K$561,'2.2.Brecha Efectiva x UdM'!$H$64:$AK$70,4,0))))</f>
        <v>0</v>
      </c>
      <c r="L579" s="31">
        <f>(VLOOKUP($A579,$A$458:$O$482,6,0)*(HLOOKUP(L$561,'2.2.Brecha Efectiva x UdM'!$H$86:$AK$92,4,0))+(VLOOKUP($A579,$A$4:$O$27,6,0)*(HLOOKUP(L$561,'2.2.Brecha Efectiva x UdM'!$H$64:$AK$70,4,0))))</f>
        <v>0</v>
      </c>
      <c r="M579" s="31">
        <f>(VLOOKUP($A579,$A$458:$O$482,6,0)*(HLOOKUP(M$561,'2.2.Brecha Efectiva x UdM'!$H$86:$AK$92,4,0))+(VLOOKUP($A579,$A$4:$O$27,6,0)*(HLOOKUP(M$561,'2.2.Brecha Efectiva x UdM'!$H$64:$AK$70,4,0))))</f>
        <v>0</v>
      </c>
      <c r="N579" s="31">
        <f>(VLOOKUP($A579,$A$458:$O$482,6,0)*(HLOOKUP(N$561,'2.2.Brecha Efectiva x UdM'!$H$86:$AK$92,4,0))+(VLOOKUP($A579,$A$4:$O$27,6,0)*(HLOOKUP(N$561,'2.2.Brecha Efectiva x UdM'!$H$64:$AK$70,4,0))))</f>
        <v>0</v>
      </c>
      <c r="O579" s="31">
        <f>(VLOOKUP($A579,$A$458:$O$482,6,0)*(HLOOKUP(O$561,'2.2.Brecha Efectiva x UdM'!$H$86:$AK$92,4,0))+(VLOOKUP($A579,$A$4:$O$27,6,0)*(HLOOKUP(O$561,'2.2.Brecha Efectiva x UdM'!$H$64:$AK$70,4,0))))</f>
        <v>0</v>
      </c>
      <c r="P579" s="31">
        <f>(VLOOKUP($A579,$A$458:$O$482,6,0)*(HLOOKUP(P$561,'2.2.Brecha Efectiva x UdM'!$H$86:$AK$92,4,0))+(VLOOKUP($A579,$A$4:$O$27,6,0)*(HLOOKUP(P$561,'2.2.Brecha Efectiva x UdM'!$H$64:$AK$70,4,0))))</f>
        <v>0</v>
      </c>
      <c r="Q579" s="31">
        <f>(VLOOKUP($A579,$A$458:$O$482,6,0)*(HLOOKUP(Q$561,'2.2.Brecha Efectiva x UdM'!$H$86:$AK$92,4,0))+(VLOOKUP($A579,$A$4:$O$27,6,0)*(HLOOKUP(Q$561,'2.2.Brecha Efectiva x UdM'!$H$64:$AK$70,4,0))))</f>
        <v>0</v>
      </c>
      <c r="R579" s="31">
        <f>(VLOOKUP($A579,$A$458:$O$482,6,0)*(HLOOKUP(R$561,'2.2.Brecha Efectiva x UdM'!$H$86:$AK$92,4,0))+(VLOOKUP($A579,$A$4:$O$27,6,0)*(HLOOKUP(R$561,'2.2.Brecha Efectiva x UdM'!$H$64:$AK$70,4,0))))</f>
        <v>0</v>
      </c>
      <c r="S579" s="31">
        <f>(VLOOKUP($A579,$A$458:$O$482,6,0)*(HLOOKUP(S$561,'2.2.Brecha Efectiva x UdM'!$H$86:$AK$92,4,0))+(VLOOKUP($A579,$A$4:$O$27,6,0)*(HLOOKUP(S$561,'2.2.Brecha Efectiva x UdM'!$H$64:$AK$70,4,0))))</f>
        <v>0</v>
      </c>
      <c r="T579" s="31">
        <f>(VLOOKUP($A579,$A$458:$O$482,6,0)*(HLOOKUP(T$561,'2.2.Brecha Efectiva x UdM'!$H$86:$AK$92,4,0))+(VLOOKUP($A579,$A$4:$O$27,6,0)*(HLOOKUP(T$561,'2.2.Brecha Efectiva x UdM'!$H$64:$AK$70,4,0))))</f>
        <v>0</v>
      </c>
      <c r="U579" s="31">
        <f>(VLOOKUP($A579,$A$458:$O$482,6,0)*(HLOOKUP(U$561,'2.2.Brecha Efectiva x UdM'!$H$86:$AK$92,4,0))+(VLOOKUP($A579,$A$4:$O$27,6,0)*(HLOOKUP(U$561,'2.2.Brecha Efectiva x UdM'!$H$64:$AK$70,4,0))))</f>
        <v>0</v>
      </c>
      <c r="V579" s="31">
        <f>(VLOOKUP($A579,$A$458:$O$482,6,0)*(HLOOKUP(V$561,'2.2.Brecha Efectiva x UdM'!$H$86:$AK$92,4,0))+(VLOOKUP($A579,$A$4:$O$27,6,0)*(HLOOKUP(V$561,'2.2.Brecha Efectiva x UdM'!$H$64:$AK$70,4,0))))</f>
        <v>0</v>
      </c>
      <c r="W579" s="31">
        <f>(VLOOKUP($A579,$A$458:$O$482,6,0)*(HLOOKUP(W$561,'2.2.Brecha Efectiva x UdM'!$H$86:$AK$92,4,0))+(VLOOKUP($A579,$A$4:$O$27,6,0)*(HLOOKUP(W$561,'2.2.Brecha Efectiva x UdM'!$H$64:$AK$70,4,0))))</f>
        <v>0</v>
      </c>
      <c r="X579" s="31">
        <f>(VLOOKUP($A579,$A$458:$O$482,6,0)*(HLOOKUP(X$561,'2.2.Brecha Efectiva x UdM'!$H$86:$AK$92,4,0))+(VLOOKUP($A579,$A$4:$O$27,6,0)*(HLOOKUP(X$561,'2.2.Brecha Efectiva x UdM'!$H$64:$AK$70,4,0))))</f>
        <v>0</v>
      </c>
      <c r="Y579" s="31">
        <f>(VLOOKUP($A579,$A$458:$O$482,6,0)*(HLOOKUP(Y$561,'2.2.Brecha Efectiva x UdM'!$H$86:$AK$92,4,0))+(VLOOKUP($A579,$A$4:$O$27,6,0)*(HLOOKUP(Y$561,'2.2.Brecha Efectiva x UdM'!$H$64:$AK$70,4,0))))</f>
        <v>0</v>
      </c>
      <c r="Z579" s="31">
        <f>(VLOOKUP($A579,$A$458:$O$482,6,0)*(HLOOKUP(Z$561,'2.2.Brecha Efectiva x UdM'!$H$86:$AK$92,4,0))+(VLOOKUP($A579,$A$4:$O$27,6,0)*(HLOOKUP(Z$561,'2.2.Brecha Efectiva x UdM'!$H$64:$AK$70,4,0))))</f>
        <v>0</v>
      </c>
      <c r="AA579" s="31">
        <f>(VLOOKUP($A579,$A$458:$O$482,6,0)*(HLOOKUP(AA$561,'2.2.Brecha Efectiva x UdM'!$H$86:$AK$92,4,0))+(VLOOKUP($A579,$A$4:$O$27,6,0)*(HLOOKUP(AA$561,'2.2.Brecha Efectiva x UdM'!$H$64:$AK$70,4,0))))</f>
        <v>0</v>
      </c>
      <c r="AB579" s="31">
        <f>(VLOOKUP($A579,$A$458:$O$482,6,0)*(HLOOKUP(AB$561,'2.2.Brecha Efectiva x UdM'!$H$86:$AK$92,4,0))+(VLOOKUP($A579,$A$4:$O$27,6,0)*(HLOOKUP(AB$561,'2.2.Brecha Efectiva x UdM'!$H$64:$AK$70,4,0))))</f>
        <v>0</v>
      </c>
      <c r="AC579" s="31">
        <f>(VLOOKUP($A579,$A$458:$O$482,6,0)*(HLOOKUP(AC$561,'2.2.Brecha Efectiva x UdM'!$H$86:$AK$92,4,0))+(VLOOKUP($A579,$A$4:$O$27,6,0)*(HLOOKUP(AC$561,'2.2.Brecha Efectiva x UdM'!$H$64:$AK$70,4,0))))</f>
        <v>0</v>
      </c>
      <c r="AD579" s="31">
        <f>(VLOOKUP($A579,$A$458:$O$482,6,0)*(HLOOKUP(AD$561,'2.2.Brecha Efectiva x UdM'!$H$86:$AK$92,4,0))+(VLOOKUP($A579,$A$4:$O$27,6,0)*(HLOOKUP(AD$561,'2.2.Brecha Efectiva x UdM'!$H$64:$AK$70,4,0))))</f>
        <v>0</v>
      </c>
      <c r="AE579" s="31">
        <f>(VLOOKUP($A579,$A$458:$O$482,6,0)*(HLOOKUP(AE$561,'2.2.Brecha Efectiva x UdM'!$H$86:$AK$92,4,0))+(VLOOKUP($A579,$A$4:$O$27,6,0)*(HLOOKUP(AE$561,'2.2.Brecha Efectiva x UdM'!$H$64:$AK$70,4,0))))</f>
        <v>0</v>
      </c>
      <c r="AF579" s="31">
        <f>(VLOOKUP($A579,$A$458:$O$482,6,0)*(HLOOKUP(AF$561,'2.2.Brecha Efectiva x UdM'!$H$86:$AK$92,4,0))+(VLOOKUP($A579,$A$4:$O$27,6,0)*(HLOOKUP(AF$561,'2.2.Brecha Efectiva x UdM'!$H$64:$AK$70,4,0))))</f>
        <v>0</v>
      </c>
      <c r="AG579" s="31">
        <f>(VLOOKUP($A579,$A$458:$O$482,6,0)*(HLOOKUP(AG$561,'2.2.Brecha Efectiva x UdM'!$H$86:$AK$92,4,0))+(VLOOKUP($A579,$A$4:$O$27,6,0)*(HLOOKUP(AG$561,'2.2.Brecha Efectiva x UdM'!$H$64:$AK$70,4,0))))</f>
        <v>0</v>
      </c>
      <c r="AH579" s="63">
        <f t="shared" si="538"/>
        <v>0</v>
      </c>
    </row>
    <row r="580" spans="1:34" x14ac:dyDescent="0.2">
      <c r="A580" s="25" t="str">
        <f t="shared" si="535"/>
        <v>San Luis</v>
      </c>
      <c r="B580" s="51" t="str">
        <f t="shared" si="536"/>
        <v>Nombre UdM 3</v>
      </c>
      <c r="C580" s="25" t="str">
        <f t="shared" si="537"/>
        <v>San Luis Nombre UdM 3</v>
      </c>
      <c r="D580" s="32">
        <f>(VLOOKUP($A580,$A$458:$O$482,6,0)*(HLOOKUP(D$561,'2.2.Brecha Efectiva x UdM'!$H$86:$AK$92,4,0))+(VLOOKUP($A580,$A$4:$O$27,6,0)*(HLOOKUP(D$561,'2.2.Brecha Efectiva x UdM'!$H$64:$AK$70,4,0))))</f>
        <v>0</v>
      </c>
      <c r="E580" s="32">
        <f>(VLOOKUP($A580,$A$458:$O$482,6,0)*(HLOOKUP(E$561,'2.2.Brecha Efectiva x UdM'!$H$86:$AK$92,4,0))+(VLOOKUP($A580,$A$4:$O$27,6,0)*(HLOOKUP(E$561,'2.2.Brecha Efectiva x UdM'!$H$64:$AK$70,4,0))))</f>
        <v>0</v>
      </c>
      <c r="F580" s="32">
        <f>(VLOOKUP($A580,$A$458:$O$482,6,0)*(HLOOKUP(F$561,'2.2.Brecha Efectiva x UdM'!$H$86:$AK$92,4,0))+(VLOOKUP($A580,$A$4:$O$27,6,0)*(HLOOKUP(F$561,'2.2.Brecha Efectiva x UdM'!$H$64:$AK$70,4,0))))</f>
        <v>0</v>
      </c>
      <c r="G580" s="32">
        <f>(VLOOKUP($A580,$A$458:$O$482,6,0)*(HLOOKUP(G$561,'2.2.Brecha Efectiva x UdM'!$H$86:$AK$92,4,0))+(VLOOKUP($A580,$A$4:$O$27,6,0)*(HLOOKUP(G$561,'2.2.Brecha Efectiva x UdM'!$H$64:$AK$70,4,0))))</f>
        <v>0</v>
      </c>
      <c r="H580" s="32">
        <f>(VLOOKUP($A580,$A$458:$O$482,6,0)*(HLOOKUP(H$561,'2.2.Brecha Efectiva x UdM'!$H$86:$AK$92,4,0))+(VLOOKUP($A580,$A$4:$O$27,6,0)*(HLOOKUP(H$561,'2.2.Brecha Efectiva x UdM'!$H$64:$AK$70,4,0))))</f>
        <v>0</v>
      </c>
      <c r="I580" s="32">
        <f>(VLOOKUP($A580,$A$458:$O$482,6,0)*(HLOOKUP(I$561,'2.2.Brecha Efectiva x UdM'!$H$86:$AK$92,4,0))+(VLOOKUP($A580,$A$4:$O$27,6,0)*(HLOOKUP(I$561,'2.2.Brecha Efectiva x UdM'!$H$64:$AK$70,4,0))))</f>
        <v>0</v>
      </c>
      <c r="J580" s="32">
        <f>(VLOOKUP($A580,$A$458:$O$482,6,0)*(HLOOKUP(J$561,'2.2.Brecha Efectiva x UdM'!$H$86:$AK$92,4,0))+(VLOOKUP($A580,$A$4:$O$27,6,0)*(HLOOKUP(J$561,'2.2.Brecha Efectiva x UdM'!$H$64:$AK$70,4,0))))</f>
        <v>0</v>
      </c>
      <c r="K580" s="32">
        <f>(VLOOKUP($A580,$A$458:$O$482,6,0)*(HLOOKUP(K$561,'2.2.Brecha Efectiva x UdM'!$H$86:$AK$92,4,0))+(VLOOKUP($A580,$A$4:$O$27,6,0)*(HLOOKUP(K$561,'2.2.Brecha Efectiva x UdM'!$H$64:$AK$70,4,0))))</f>
        <v>0</v>
      </c>
      <c r="L580" s="32">
        <f>(VLOOKUP($A580,$A$458:$O$482,6,0)*(HLOOKUP(L$561,'2.2.Brecha Efectiva x UdM'!$H$86:$AK$92,4,0))+(VLOOKUP($A580,$A$4:$O$27,6,0)*(HLOOKUP(L$561,'2.2.Brecha Efectiva x UdM'!$H$64:$AK$70,4,0))))</f>
        <v>0</v>
      </c>
      <c r="M580" s="32">
        <f>(VLOOKUP($A580,$A$458:$O$482,6,0)*(HLOOKUP(M$561,'2.2.Brecha Efectiva x UdM'!$H$86:$AK$92,4,0))+(VLOOKUP($A580,$A$4:$O$27,6,0)*(HLOOKUP(M$561,'2.2.Brecha Efectiva x UdM'!$H$64:$AK$70,4,0))))</f>
        <v>0</v>
      </c>
      <c r="N580" s="32">
        <f>(VLOOKUP($A580,$A$458:$O$482,6,0)*(HLOOKUP(N$561,'2.2.Brecha Efectiva x UdM'!$H$86:$AK$92,4,0))+(VLOOKUP($A580,$A$4:$O$27,6,0)*(HLOOKUP(N$561,'2.2.Brecha Efectiva x UdM'!$H$64:$AK$70,4,0))))</f>
        <v>0</v>
      </c>
      <c r="O580" s="32">
        <f>(VLOOKUP($A580,$A$458:$O$482,6,0)*(HLOOKUP(O$561,'2.2.Brecha Efectiva x UdM'!$H$86:$AK$92,4,0))+(VLOOKUP($A580,$A$4:$O$27,6,0)*(HLOOKUP(O$561,'2.2.Brecha Efectiva x UdM'!$H$64:$AK$70,4,0))))</f>
        <v>0</v>
      </c>
      <c r="P580" s="32">
        <f>(VLOOKUP($A580,$A$458:$O$482,6,0)*(HLOOKUP(P$561,'2.2.Brecha Efectiva x UdM'!$H$86:$AK$92,4,0))+(VLOOKUP($A580,$A$4:$O$27,6,0)*(HLOOKUP(P$561,'2.2.Brecha Efectiva x UdM'!$H$64:$AK$70,4,0))))</f>
        <v>0</v>
      </c>
      <c r="Q580" s="32">
        <f>(VLOOKUP($A580,$A$458:$O$482,6,0)*(HLOOKUP(Q$561,'2.2.Brecha Efectiva x UdM'!$H$86:$AK$92,4,0))+(VLOOKUP($A580,$A$4:$O$27,6,0)*(HLOOKUP(Q$561,'2.2.Brecha Efectiva x UdM'!$H$64:$AK$70,4,0))))</f>
        <v>0</v>
      </c>
      <c r="R580" s="32">
        <f>(VLOOKUP($A580,$A$458:$O$482,6,0)*(HLOOKUP(R$561,'2.2.Brecha Efectiva x UdM'!$H$86:$AK$92,4,0))+(VLOOKUP($A580,$A$4:$O$27,6,0)*(HLOOKUP(R$561,'2.2.Brecha Efectiva x UdM'!$H$64:$AK$70,4,0))))</f>
        <v>0</v>
      </c>
      <c r="S580" s="32">
        <f>(VLOOKUP($A580,$A$458:$O$482,6,0)*(HLOOKUP(S$561,'2.2.Brecha Efectiva x UdM'!$H$86:$AK$92,4,0))+(VLOOKUP($A580,$A$4:$O$27,6,0)*(HLOOKUP(S$561,'2.2.Brecha Efectiva x UdM'!$H$64:$AK$70,4,0))))</f>
        <v>0</v>
      </c>
      <c r="T580" s="32">
        <f>(VLOOKUP($A580,$A$458:$O$482,6,0)*(HLOOKUP(T$561,'2.2.Brecha Efectiva x UdM'!$H$86:$AK$92,4,0))+(VLOOKUP($A580,$A$4:$O$27,6,0)*(HLOOKUP(T$561,'2.2.Brecha Efectiva x UdM'!$H$64:$AK$70,4,0))))</f>
        <v>0</v>
      </c>
      <c r="U580" s="32">
        <f>(VLOOKUP($A580,$A$458:$O$482,6,0)*(HLOOKUP(U$561,'2.2.Brecha Efectiva x UdM'!$H$86:$AK$92,4,0))+(VLOOKUP($A580,$A$4:$O$27,6,0)*(HLOOKUP(U$561,'2.2.Brecha Efectiva x UdM'!$H$64:$AK$70,4,0))))</f>
        <v>0</v>
      </c>
      <c r="V580" s="32">
        <f>(VLOOKUP($A580,$A$458:$O$482,6,0)*(HLOOKUP(V$561,'2.2.Brecha Efectiva x UdM'!$H$86:$AK$92,4,0))+(VLOOKUP($A580,$A$4:$O$27,6,0)*(HLOOKUP(V$561,'2.2.Brecha Efectiva x UdM'!$H$64:$AK$70,4,0))))</f>
        <v>0</v>
      </c>
      <c r="W580" s="32">
        <f>(VLOOKUP($A580,$A$458:$O$482,6,0)*(HLOOKUP(W$561,'2.2.Brecha Efectiva x UdM'!$H$86:$AK$92,4,0))+(VLOOKUP($A580,$A$4:$O$27,6,0)*(HLOOKUP(W$561,'2.2.Brecha Efectiva x UdM'!$H$64:$AK$70,4,0))))</f>
        <v>0</v>
      </c>
      <c r="X580" s="32">
        <f>(VLOOKUP($A580,$A$458:$O$482,6,0)*(HLOOKUP(X$561,'2.2.Brecha Efectiva x UdM'!$H$86:$AK$92,4,0))+(VLOOKUP($A580,$A$4:$O$27,6,0)*(HLOOKUP(X$561,'2.2.Brecha Efectiva x UdM'!$H$64:$AK$70,4,0))))</f>
        <v>0</v>
      </c>
      <c r="Y580" s="32">
        <f>(VLOOKUP($A580,$A$458:$O$482,6,0)*(HLOOKUP(Y$561,'2.2.Brecha Efectiva x UdM'!$H$86:$AK$92,4,0))+(VLOOKUP($A580,$A$4:$O$27,6,0)*(HLOOKUP(Y$561,'2.2.Brecha Efectiva x UdM'!$H$64:$AK$70,4,0))))</f>
        <v>0</v>
      </c>
      <c r="Z580" s="32">
        <f>(VLOOKUP($A580,$A$458:$O$482,6,0)*(HLOOKUP(Z$561,'2.2.Brecha Efectiva x UdM'!$H$86:$AK$92,4,0))+(VLOOKUP($A580,$A$4:$O$27,6,0)*(HLOOKUP(Z$561,'2.2.Brecha Efectiva x UdM'!$H$64:$AK$70,4,0))))</f>
        <v>0</v>
      </c>
      <c r="AA580" s="32">
        <f>(VLOOKUP($A580,$A$458:$O$482,6,0)*(HLOOKUP(AA$561,'2.2.Brecha Efectiva x UdM'!$H$86:$AK$92,4,0))+(VLOOKUP($A580,$A$4:$O$27,6,0)*(HLOOKUP(AA$561,'2.2.Brecha Efectiva x UdM'!$H$64:$AK$70,4,0))))</f>
        <v>0</v>
      </c>
      <c r="AB580" s="32">
        <f>(VLOOKUP($A580,$A$458:$O$482,6,0)*(HLOOKUP(AB$561,'2.2.Brecha Efectiva x UdM'!$H$86:$AK$92,4,0))+(VLOOKUP($A580,$A$4:$O$27,6,0)*(HLOOKUP(AB$561,'2.2.Brecha Efectiva x UdM'!$H$64:$AK$70,4,0))))</f>
        <v>0</v>
      </c>
      <c r="AC580" s="32">
        <f>(VLOOKUP($A580,$A$458:$O$482,6,0)*(HLOOKUP(AC$561,'2.2.Brecha Efectiva x UdM'!$H$86:$AK$92,4,0))+(VLOOKUP($A580,$A$4:$O$27,6,0)*(HLOOKUP(AC$561,'2.2.Brecha Efectiva x UdM'!$H$64:$AK$70,4,0))))</f>
        <v>0</v>
      </c>
      <c r="AD580" s="32">
        <f>(VLOOKUP($A580,$A$458:$O$482,6,0)*(HLOOKUP(AD$561,'2.2.Brecha Efectiva x UdM'!$H$86:$AK$92,4,0))+(VLOOKUP($A580,$A$4:$O$27,6,0)*(HLOOKUP(AD$561,'2.2.Brecha Efectiva x UdM'!$H$64:$AK$70,4,0))))</f>
        <v>0</v>
      </c>
      <c r="AE580" s="32">
        <f>(VLOOKUP($A580,$A$458:$O$482,6,0)*(HLOOKUP(AE$561,'2.2.Brecha Efectiva x UdM'!$H$86:$AK$92,4,0))+(VLOOKUP($A580,$A$4:$O$27,6,0)*(HLOOKUP(AE$561,'2.2.Brecha Efectiva x UdM'!$H$64:$AK$70,4,0))))</f>
        <v>0</v>
      </c>
      <c r="AF580" s="32">
        <f>(VLOOKUP($A580,$A$458:$O$482,6,0)*(HLOOKUP(AF$561,'2.2.Brecha Efectiva x UdM'!$H$86:$AK$92,4,0))+(VLOOKUP($A580,$A$4:$O$27,6,0)*(HLOOKUP(AF$561,'2.2.Brecha Efectiva x UdM'!$H$64:$AK$70,4,0))))</f>
        <v>0</v>
      </c>
      <c r="AG580" s="32">
        <f>(VLOOKUP($A580,$A$458:$O$482,6,0)*(HLOOKUP(AG$561,'2.2.Brecha Efectiva x UdM'!$H$86:$AK$92,4,0))+(VLOOKUP($A580,$A$4:$O$27,6,0)*(HLOOKUP(AG$561,'2.2.Brecha Efectiva x UdM'!$H$64:$AK$70,4,0))))</f>
        <v>0</v>
      </c>
      <c r="AH580" s="62">
        <f t="shared" si="538"/>
        <v>0</v>
      </c>
    </row>
    <row r="581" spans="1:34" x14ac:dyDescent="0.2">
      <c r="A581" s="26" t="str">
        <f t="shared" si="535"/>
        <v>Santa Cruz</v>
      </c>
      <c r="B581" s="52" t="str">
        <f t="shared" si="536"/>
        <v>Nombre UdM 3</v>
      </c>
      <c r="C581" s="26" t="str">
        <f t="shared" si="537"/>
        <v>Santa Cruz Nombre UdM 3</v>
      </c>
      <c r="D581" s="31">
        <f>(VLOOKUP($A581,$A$458:$O$482,6,0)*(HLOOKUP(D$561,'2.2.Brecha Efectiva x UdM'!$H$86:$AK$92,4,0))+(VLOOKUP($A581,$A$4:$O$27,6,0)*(HLOOKUP(D$561,'2.2.Brecha Efectiva x UdM'!$H$64:$AK$70,4,0))))</f>
        <v>23284459.161266237</v>
      </c>
      <c r="E581" s="31">
        <f>(VLOOKUP($A581,$A$458:$O$482,6,0)*(HLOOKUP(E$561,'2.2.Brecha Efectiva x UdM'!$H$86:$AK$92,4,0))+(VLOOKUP($A581,$A$4:$O$27,6,0)*(HLOOKUP(E$561,'2.2.Brecha Efectiva x UdM'!$H$64:$AK$70,4,0))))</f>
        <v>158059734.48988959</v>
      </c>
      <c r="F581" s="31">
        <f>(VLOOKUP($A581,$A$458:$O$482,6,0)*(HLOOKUP(F$561,'2.2.Brecha Efectiva x UdM'!$H$86:$AK$92,4,0))+(VLOOKUP($A581,$A$4:$O$27,6,0)*(HLOOKUP(F$561,'2.2.Brecha Efectiva x UdM'!$H$64:$AK$70,4,0))))</f>
        <v>8023875.658567884</v>
      </c>
      <c r="G581" s="31">
        <f>(VLOOKUP($A581,$A$458:$O$482,6,0)*(HLOOKUP(G$561,'2.2.Brecha Efectiva x UdM'!$H$86:$AK$92,4,0))+(VLOOKUP($A581,$A$4:$O$27,6,0)*(HLOOKUP(G$561,'2.2.Brecha Efectiva x UdM'!$H$64:$AK$70,4,0))))</f>
        <v>4384613.2468753997</v>
      </c>
      <c r="H581" s="31">
        <f>(VLOOKUP($A581,$A$458:$O$482,6,0)*(HLOOKUP(H$561,'2.2.Brecha Efectiva x UdM'!$H$86:$AK$92,4,0))+(VLOOKUP($A581,$A$4:$O$27,6,0)*(HLOOKUP(H$561,'2.2.Brecha Efectiva x UdM'!$H$64:$AK$70,4,0))))</f>
        <v>0</v>
      </c>
      <c r="I581" s="31">
        <f>(VLOOKUP($A581,$A$458:$O$482,6,0)*(HLOOKUP(I$561,'2.2.Brecha Efectiva x UdM'!$H$86:$AK$92,4,0))+(VLOOKUP($A581,$A$4:$O$27,6,0)*(HLOOKUP(I$561,'2.2.Brecha Efectiva x UdM'!$H$64:$AK$70,4,0))))</f>
        <v>0</v>
      </c>
      <c r="J581" s="31">
        <f>(VLOOKUP($A581,$A$458:$O$482,6,0)*(HLOOKUP(J$561,'2.2.Brecha Efectiva x UdM'!$H$86:$AK$92,4,0))+(VLOOKUP($A581,$A$4:$O$27,6,0)*(HLOOKUP(J$561,'2.2.Brecha Efectiva x UdM'!$H$64:$AK$70,4,0))))</f>
        <v>0</v>
      </c>
      <c r="K581" s="31">
        <f>(VLOOKUP($A581,$A$458:$O$482,6,0)*(HLOOKUP(K$561,'2.2.Brecha Efectiva x UdM'!$H$86:$AK$92,4,0))+(VLOOKUP($A581,$A$4:$O$27,6,0)*(HLOOKUP(K$561,'2.2.Brecha Efectiva x UdM'!$H$64:$AK$70,4,0))))</f>
        <v>0</v>
      </c>
      <c r="L581" s="31">
        <f>(VLOOKUP($A581,$A$458:$O$482,6,0)*(HLOOKUP(L$561,'2.2.Brecha Efectiva x UdM'!$H$86:$AK$92,4,0))+(VLOOKUP($A581,$A$4:$O$27,6,0)*(HLOOKUP(L$561,'2.2.Brecha Efectiva x UdM'!$H$64:$AK$70,4,0))))</f>
        <v>0</v>
      </c>
      <c r="M581" s="31">
        <f>(VLOOKUP($A581,$A$458:$O$482,6,0)*(HLOOKUP(M$561,'2.2.Brecha Efectiva x UdM'!$H$86:$AK$92,4,0))+(VLOOKUP($A581,$A$4:$O$27,6,0)*(HLOOKUP(M$561,'2.2.Brecha Efectiva x UdM'!$H$64:$AK$70,4,0))))</f>
        <v>0</v>
      </c>
      <c r="N581" s="31">
        <f>(VLOOKUP($A581,$A$458:$O$482,6,0)*(HLOOKUP(N$561,'2.2.Brecha Efectiva x UdM'!$H$86:$AK$92,4,0))+(VLOOKUP($A581,$A$4:$O$27,6,0)*(HLOOKUP(N$561,'2.2.Brecha Efectiva x UdM'!$H$64:$AK$70,4,0))))</f>
        <v>0</v>
      </c>
      <c r="O581" s="31">
        <f>(VLOOKUP($A581,$A$458:$O$482,6,0)*(HLOOKUP(O$561,'2.2.Brecha Efectiva x UdM'!$H$86:$AK$92,4,0))+(VLOOKUP($A581,$A$4:$O$27,6,0)*(HLOOKUP(O$561,'2.2.Brecha Efectiva x UdM'!$H$64:$AK$70,4,0))))</f>
        <v>0</v>
      </c>
      <c r="P581" s="31">
        <f>(VLOOKUP($A581,$A$458:$O$482,6,0)*(HLOOKUP(P$561,'2.2.Brecha Efectiva x UdM'!$H$86:$AK$92,4,0))+(VLOOKUP($A581,$A$4:$O$27,6,0)*(HLOOKUP(P$561,'2.2.Brecha Efectiva x UdM'!$H$64:$AK$70,4,0))))</f>
        <v>0</v>
      </c>
      <c r="Q581" s="31">
        <f>(VLOOKUP($A581,$A$458:$O$482,6,0)*(HLOOKUP(Q$561,'2.2.Brecha Efectiva x UdM'!$H$86:$AK$92,4,0))+(VLOOKUP($A581,$A$4:$O$27,6,0)*(HLOOKUP(Q$561,'2.2.Brecha Efectiva x UdM'!$H$64:$AK$70,4,0))))</f>
        <v>0</v>
      </c>
      <c r="R581" s="31">
        <f>(VLOOKUP($A581,$A$458:$O$482,6,0)*(HLOOKUP(R$561,'2.2.Brecha Efectiva x UdM'!$H$86:$AK$92,4,0))+(VLOOKUP($A581,$A$4:$O$27,6,0)*(HLOOKUP(R$561,'2.2.Brecha Efectiva x UdM'!$H$64:$AK$70,4,0))))</f>
        <v>0</v>
      </c>
      <c r="S581" s="31">
        <f>(VLOOKUP($A581,$A$458:$O$482,6,0)*(HLOOKUP(S$561,'2.2.Brecha Efectiva x UdM'!$H$86:$AK$92,4,0))+(VLOOKUP($A581,$A$4:$O$27,6,0)*(HLOOKUP(S$561,'2.2.Brecha Efectiva x UdM'!$H$64:$AK$70,4,0))))</f>
        <v>0</v>
      </c>
      <c r="T581" s="31">
        <f>(VLOOKUP($A581,$A$458:$O$482,6,0)*(HLOOKUP(T$561,'2.2.Brecha Efectiva x UdM'!$H$86:$AK$92,4,0))+(VLOOKUP($A581,$A$4:$O$27,6,0)*(HLOOKUP(T$561,'2.2.Brecha Efectiva x UdM'!$H$64:$AK$70,4,0))))</f>
        <v>0</v>
      </c>
      <c r="U581" s="31">
        <f>(VLOOKUP($A581,$A$458:$O$482,6,0)*(HLOOKUP(U$561,'2.2.Brecha Efectiva x UdM'!$H$86:$AK$92,4,0))+(VLOOKUP($A581,$A$4:$O$27,6,0)*(HLOOKUP(U$561,'2.2.Brecha Efectiva x UdM'!$H$64:$AK$70,4,0))))</f>
        <v>0</v>
      </c>
      <c r="V581" s="31">
        <f>(VLOOKUP($A581,$A$458:$O$482,6,0)*(HLOOKUP(V$561,'2.2.Brecha Efectiva x UdM'!$H$86:$AK$92,4,0))+(VLOOKUP($A581,$A$4:$O$27,6,0)*(HLOOKUP(V$561,'2.2.Brecha Efectiva x UdM'!$H$64:$AK$70,4,0))))</f>
        <v>0</v>
      </c>
      <c r="W581" s="31">
        <f>(VLOOKUP($A581,$A$458:$O$482,6,0)*(HLOOKUP(W$561,'2.2.Brecha Efectiva x UdM'!$H$86:$AK$92,4,0))+(VLOOKUP($A581,$A$4:$O$27,6,0)*(HLOOKUP(W$561,'2.2.Brecha Efectiva x UdM'!$H$64:$AK$70,4,0))))</f>
        <v>0</v>
      </c>
      <c r="X581" s="31">
        <f>(VLOOKUP($A581,$A$458:$O$482,6,0)*(HLOOKUP(X$561,'2.2.Brecha Efectiva x UdM'!$H$86:$AK$92,4,0))+(VLOOKUP($A581,$A$4:$O$27,6,0)*(HLOOKUP(X$561,'2.2.Brecha Efectiva x UdM'!$H$64:$AK$70,4,0))))</f>
        <v>0</v>
      </c>
      <c r="Y581" s="31">
        <f>(VLOOKUP($A581,$A$458:$O$482,6,0)*(HLOOKUP(Y$561,'2.2.Brecha Efectiva x UdM'!$H$86:$AK$92,4,0))+(VLOOKUP($A581,$A$4:$O$27,6,0)*(HLOOKUP(Y$561,'2.2.Brecha Efectiva x UdM'!$H$64:$AK$70,4,0))))</f>
        <v>0</v>
      </c>
      <c r="Z581" s="31">
        <f>(VLOOKUP($A581,$A$458:$O$482,6,0)*(HLOOKUP(Z$561,'2.2.Brecha Efectiva x UdM'!$H$86:$AK$92,4,0))+(VLOOKUP($A581,$A$4:$O$27,6,0)*(HLOOKUP(Z$561,'2.2.Brecha Efectiva x UdM'!$H$64:$AK$70,4,0))))</f>
        <v>0</v>
      </c>
      <c r="AA581" s="31">
        <f>(VLOOKUP($A581,$A$458:$O$482,6,0)*(HLOOKUP(AA$561,'2.2.Brecha Efectiva x UdM'!$H$86:$AK$92,4,0))+(VLOOKUP($A581,$A$4:$O$27,6,0)*(HLOOKUP(AA$561,'2.2.Brecha Efectiva x UdM'!$H$64:$AK$70,4,0))))</f>
        <v>0</v>
      </c>
      <c r="AB581" s="31">
        <f>(VLOOKUP($A581,$A$458:$O$482,6,0)*(HLOOKUP(AB$561,'2.2.Brecha Efectiva x UdM'!$H$86:$AK$92,4,0))+(VLOOKUP($A581,$A$4:$O$27,6,0)*(HLOOKUP(AB$561,'2.2.Brecha Efectiva x UdM'!$H$64:$AK$70,4,0))))</f>
        <v>0</v>
      </c>
      <c r="AC581" s="31">
        <f>(VLOOKUP($A581,$A$458:$O$482,6,0)*(HLOOKUP(AC$561,'2.2.Brecha Efectiva x UdM'!$H$86:$AK$92,4,0))+(VLOOKUP($A581,$A$4:$O$27,6,0)*(HLOOKUP(AC$561,'2.2.Brecha Efectiva x UdM'!$H$64:$AK$70,4,0))))</f>
        <v>0</v>
      </c>
      <c r="AD581" s="31">
        <f>(VLOOKUP($A581,$A$458:$O$482,6,0)*(HLOOKUP(AD$561,'2.2.Brecha Efectiva x UdM'!$H$86:$AK$92,4,0))+(VLOOKUP($A581,$A$4:$O$27,6,0)*(HLOOKUP(AD$561,'2.2.Brecha Efectiva x UdM'!$H$64:$AK$70,4,0))))</f>
        <v>0</v>
      </c>
      <c r="AE581" s="31">
        <f>(VLOOKUP($A581,$A$458:$O$482,6,0)*(HLOOKUP(AE$561,'2.2.Brecha Efectiva x UdM'!$H$86:$AK$92,4,0))+(VLOOKUP($A581,$A$4:$O$27,6,0)*(HLOOKUP(AE$561,'2.2.Brecha Efectiva x UdM'!$H$64:$AK$70,4,0))))</f>
        <v>0</v>
      </c>
      <c r="AF581" s="31">
        <f>(VLOOKUP($A581,$A$458:$O$482,6,0)*(HLOOKUP(AF$561,'2.2.Brecha Efectiva x UdM'!$H$86:$AK$92,4,0))+(VLOOKUP($A581,$A$4:$O$27,6,0)*(HLOOKUP(AF$561,'2.2.Brecha Efectiva x UdM'!$H$64:$AK$70,4,0))))</f>
        <v>0</v>
      </c>
      <c r="AG581" s="31">
        <f>(VLOOKUP($A581,$A$458:$O$482,6,0)*(HLOOKUP(AG$561,'2.2.Brecha Efectiva x UdM'!$H$86:$AK$92,4,0))+(VLOOKUP($A581,$A$4:$O$27,6,0)*(HLOOKUP(AG$561,'2.2.Brecha Efectiva x UdM'!$H$64:$AK$70,4,0))))</f>
        <v>0</v>
      </c>
      <c r="AH581" s="63">
        <f t="shared" si="538"/>
        <v>193752682.55659911</v>
      </c>
    </row>
    <row r="582" spans="1:34" x14ac:dyDescent="0.2">
      <c r="A582" s="25" t="str">
        <f t="shared" si="535"/>
        <v>Santa Fe</v>
      </c>
      <c r="B582" s="51" t="str">
        <f t="shared" si="536"/>
        <v>Nombre UdM 3</v>
      </c>
      <c r="C582" s="25" t="str">
        <f t="shared" si="537"/>
        <v>Santa Fe Nombre UdM 3</v>
      </c>
      <c r="D582" s="32">
        <f>(VLOOKUP($A582,$A$458:$O$482,6,0)*(HLOOKUP(D$561,'2.2.Brecha Efectiva x UdM'!$H$86:$AK$92,4,0))+(VLOOKUP($A582,$A$4:$O$27,6,0)*(HLOOKUP(D$561,'2.2.Brecha Efectiva x UdM'!$H$64:$AK$70,4,0))))</f>
        <v>0</v>
      </c>
      <c r="E582" s="32">
        <f>(VLOOKUP($A582,$A$458:$O$482,6,0)*(HLOOKUP(E$561,'2.2.Brecha Efectiva x UdM'!$H$86:$AK$92,4,0))+(VLOOKUP($A582,$A$4:$O$27,6,0)*(HLOOKUP(E$561,'2.2.Brecha Efectiva x UdM'!$H$64:$AK$70,4,0))))</f>
        <v>0</v>
      </c>
      <c r="F582" s="32">
        <f>(VLOOKUP($A582,$A$458:$O$482,6,0)*(HLOOKUP(F$561,'2.2.Brecha Efectiva x UdM'!$H$86:$AK$92,4,0))+(VLOOKUP($A582,$A$4:$O$27,6,0)*(HLOOKUP(F$561,'2.2.Brecha Efectiva x UdM'!$H$64:$AK$70,4,0))))</f>
        <v>0</v>
      </c>
      <c r="G582" s="32">
        <f>(VLOOKUP($A582,$A$458:$O$482,6,0)*(HLOOKUP(G$561,'2.2.Brecha Efectiva x UdM'!$H$86:$AK$92,4,0))+(VLOOKUP($A582,$A$4:$O$27,6,0)*(HLOOKUP(G$561,'2.2.Brecha Efectiva x UdM'!$H$64:$AK$70,4,0))))</f>
        <v>0</v>
      </c>
      <c r="H582" s="32">
        <f>(VLOOKUP($A582,$A$458:$O$482,6,0)*(HLOOKUP(H$561,'2.2.Brecha Efectiva x UdM'!$H$86:$AK$92,4,0))+(VLOOKUP($A582,$A$4:$O$27,6,0)*(HLOOKUP(H$561,'2.2.Brecha Efectiva x UdM'!$H$64:$AK$70,4,0))))</f>
        <v>0</v>
      </c>
      <c r="I582" s="32">
        <f>(VLOOKUP($A582,$A$458:$O$482,6,0)*(HLOOKUP(I$561,'2.2.Brecha Efectiva x UdM'!$H$86:$AK$92,4,0))+(VLOOKUP($A582,$A$4:$O$27,6,0)*(HLOOKUP(I$561,'2.2.Brecha Efectiva x UdM'!$H$64:$AK$70,4,0))))</f>
        <v>0</v>
      </c>
      <c r="J582" s="32">
        <f>(VLOOKUP($A582,$A$458:$O$482,6,0)*(HLOOKUP(J$561,'2.2.Brecha Efectiva x UdM'!$H$86:$AK$92,4,0))+(VLOOKUP($A582,$A$4:$O$27,6,0)*(HLOOKUP(J$561,'2.2.Brecha Efectiva x UdM'!$H$64:$AK$70,4,0))))</f>
        <v>0</v>
      </c>
      <c r="K582" s="32">
        <f>(VLOOKUP($A582,$A$458:$O$482,6,0)*(HLOOKUP(K$561,'2.2.Brecha Efectiva x UdM'!$H$86:$AK$92,4,0))+(VLOOKUP($A582,$A$4:$O$27,6,0)*(HLOOKUP(K$561,'2.2.Brecha Efectiva x UdM'!$H$64:$AK$70,4,0))))</f>
        <v>0</v>
      </c>
      <c r="L582" s="32">
        <f>(VLOOKUP($A582,$A$458:$O$482,6,0)*(HLOOKUP(L$561,'2.2.Brecha Efectiva x UdM'!$H$86:$AK$92,4,0))+(VLOOKUP($A582,$A$4:$O$27,6,0)*(HLOOKUP(L$561,'2.2.Brecha Efectiva x UdM'!$H$64:$AK$70,4,0))))</f>
        <v>0</v>
      </c>
      <c r="M582" s="32">
        <f>(VLOOKUP($A582,$A$458:$O$482,6,0)*(HLOOKUP(M$561,'2.2.Brecha Efectiva x UdM'!$H$86:$AK$92,4,0))+(VLOOKUP($A582,$A$4:$O$27,6,0)*(HLOOKUP(M$561,'2.2.Brecha Efectiva x UdM'!$H$64:$AK$70,4,0))))</f>
        <v>0</v>
      </c>
      <c r="N582" s="32">
        <f>(VLOOKUP($A582,$A$458:$O$482,6,0)*(HLOOKUP(N$561,'2.2.Brecha Efectiva x UdM'!$H$86:$AK$92,4,0))+(VLOOKUP($A582,$A$4:$O$27,6,0)*(HLOOKUP(N$561,'2.2.Brecha Efectiva x UdM'!$H$64:$AK$70,4,0))))</f>
        <v>0</v>
      </c>
      <c r="O582" s="32">
        <f>(VLOOKUP($A582,$A$458:$O$482,6,0)*(HLOOKUP(O$561,'2.2.Brecha Efectiva x UdM'!$H$86:$AK$92,4,0))+(VLOOKUP($A582,$A$4:$O$27,6,0)*(HLOOKUP(O$561,'2.2.Brecha Efectiva x UdM'!$H$64:$AK$70,4,0))))</f>
        <v>0</v>
      </c>
      <c r="P582" s="32">
        <f>(VLOOKUP($A582,$A$458:$O$482,6,0)*(HLOOKUP(P$561,'2.2.Brecha Efectiva x UdM'!$H$86:$AK$92,4,0))+(VLOOKUP($A582,$A$4:$O$27,6,0)*(HLOOKUP(P$561,'2.2.Brecha Efectiva x UdM'!$H$64:$AK$70,4,0))))</f>
        <v>0</v>
      </c>
      <c r="Q582" s="32">
        <f>(VLOOKUP($A582,$A$458:$O$482,6,0)*(HLOOKUP(Q$561,'2.2.Brecha Efectiva x UdM'!$H$86:$AK$92,4,0))+(VLOOKUP($A582,$A$4:$O$27,6,0)*(HLOOKUP(Q$561,'2.2.Brecha Efectiva x UdM'!$H$64:$AK$70,4,0))))</f>
        <v>0</v>
      </c>
      <c r="R582" s="32">
        <f>(VLOOKUP($A582,$A$458:$O$482,6,0)*(HLOOKUP(R$561,'2.2.Brecha Efectiva x UdM'!$H$86:$AK$92,4,0))+(VLOOKUP($A582,$A$4:$O$27,6,0)*(HLOOKUP(R$561,'2.2.Brecha Efectiva x UdM'!$H$64:$AK$70,4,0))))</f>
        <v>0</v>
      </c>
      <c r="S582" s="32">
        <f>(VLOOKUP($A582,$A$458:$O$482,6,0)*(HLOOKUP(S$561,'2.2.Brecha Efectiva x UdM'!$H$86:$AK$92,4,0))+(VLOOKUP($A582,$A$4:$O$27,6,0)*(HLOOKUP(S$561,'2.2.Brecha Efectiva x UdM'!$H$64:$AK$70,4,0))))</f>
        <v>0</v>
      </c>
      <c r="T582" s="32">
        <f>(VLOOKUP($A582,$A$458:$O$482,6,0)*(HLOOKUP(T$561,'2.2.Brecha Efectiva x UdM'!$H$86:$AK$92,4,0))+(VLOOKUP($A582,$A$4:$O$27,6,0)*(HLOOKUP(T$561,'2.2.Brecha Efectiva x UdM'!$H$64:$AK$70,4,0))))</f>
        <v>0</v>
      </c>
      <c r="U582" s="32">
        <f>(VLOOKUP($A582,$A$458:$O$482,6,0)*(HLOOKUP(U$561,'2.2.Brecha Efectiva x UdM'!$H$86:$AK$92,4,0))+(VLOOKUP($A582,$A$4:$O$27,6,0)*(HLOOKUP(U$561,'2.2.Brecha Efectiva x UdM'!$H$64:$AK$70,4,0))))</f>
        <v>0</v>
      </c>
      <c r="V582" s="32">
        <f>(VLOOKUP($A582,$A$458:$O$482,6,0)*(HLOOKUP(V$561,'2.2.Brecha Efectiva x UdM'!$H$86:$AK$92,4,0))+(VLOOKUP($A582,$A$4:$O$27,6,0)*(HLOOKUP(V$561,'2.2.Brecha Efectiva x UdM'!$H$64:$AK$70,4,0))))</f>
        <v>0</v>
      </c>
      <c r="W582" s="32">
        <f>(VLOOKUP($A582,$A$458:$O$482,6,0)*(HLOOKUP(W$561,'2.2.Brecha Efectiva x UdM'!$H$86:$AK$92,4,0))+(VLOOKUP($A582,$A$4:$O$27,6,0)*(HLOOKUP(W$561,'2.2.Brecha Efectiva x UdM'!$H$64:$AK$70,4,0))))</f>
        <v>0</v>
      </c>
      <c r="X582" s="32">
        <f>(VLOOKUP($A582,$A$458:$O$482,6,0)*(HLOOKUP(X$561,'2.2.Brecha Efectiva x UdM'!$H$86:$AK$92,4,0))+(VLOOKUP($A582,$A$4:$O$27,6,0)*(HLOOKUP(X$561,'2.2.Brecha Efectiva x UdM'!$H$64:$AK$70,4,0))))</f>
        <v>0</v>
      </c>
      <c r="Y582" s="32">
        <f>(VLOOKUP($A582,$A$458:$O$482,6,0)*(HLOOKUP(Y$561,'2.2.Brecha Efectiva x UdM'!$H$86:$AK$92,4,0))+(VLOOKUP($A582,$A$4:$O$27,6,0)*(HLOOKUP(Y$561,'2.2.Brecha Efectiva x UdM'!$H$64:$AK$70,4,0))))</f>
        <v>0</v>
      </c>
      <c r="Z582" s="32">
        <f>(VLOOKUP($A582,$A$458:$O$482,6,0)*(HLOOKUP(Z$561,'2.2.Brecha Efectiva x UdM'!$H$86:$AK$92,4,0))+(VLOOKUP($A582,$A$4:$O$27,6,0)*(HLOOKUP(Z$561,'2.2.Brecha Efectiva x UdM'!$H$64:$AK$70,4,0))))</f>
        <v>0</v>
      </c>
      <c r="AA582" s="32">
        <f>(VLOOKUP($A582,$A$458:$O$482,6,0)*(HLOOKUP(AA$561,'2.2.Brecha Efectiva x UdM'!$H$86:$AK$92,4,0))+(VLOOKUP($A582,$A$4:$O$27,6,0)*(HLOOKUP(AA$561,'2.2.Brecha Efectiva x UdM'!$H$64:$AK$70,4,0))))</f>
        <v>0</v>
      </c>
      <c r="AB582" s="32">
        <f>(VLOOKUP($A582,$A$458:$O$482,6,0)*(HLOOKUP(AB$561,'2.2.Brecha Efectiva x UdM'!$H$86:$AK$92,4,0))+(VLOOKUP($A582,$A$4:$O$27,6,0)*(HLOOKUP(AB$561,'2.2.Brecha Efectiva x UdM'!$H$64:$AK$70,4,0))))</f>
        <v>0</v>
      </c>
      <c r="AC582" s="32">
        <f>(VLOOKUP($A582,$A$458:$O$482,6,0)*(HLOOKUP(AC$561,'2.2.Brecha Efectiva x UdM'!$H$86:$AK$92,4,0))+(VLOOKUP($A582,$A$4:$O$27,6,0)*(HLOOKUP(AC$561,'2.2.Brecha Efectiva x UdM'!$H$64:$AK$70,4,0))))</f>
        <v>0</v>
      </c>
      <c r="AD582" s="32">
        <f>(VLOOKUP($A582,$A$458:$O$482,6,0)*(HLOOKUP(AD$561,'2.2.Brecha Efectiva x UdM'!$H$86:$AK$92,4,0))+(VLOOKUP($A582,$A$4:$O$27,6,0)*(HLOOKUP(AD$561,'2.2.Brecha Efectiva x UdM'!$H$64:$AK$70,4,0))))</f>
        <v>0</v>
      </c>
      <c r="AE582" s="32">
        <f>(VLOOKUP($A582,$A$458:$O$482,6,0)*(HLOOKUP(AE$561,'2.2.Brecha Efectiva x UdM'!$H$86:$AK$92,4,0))+(VLOOKUP($A582,$A$4:$O$27,6,0)*(HLOOKUP(AE$561,'2.2.Brecha Efectiva x UdM'!$H$64:$AK$70,4,0))))</f>
        <v>0</v>
      </c>
      <c r="AF582" s="32">
        <f>(VLOOKUP($A582,$A$458:$O$482,6,0)*(HLOOKUP(AF$561,'2.2.Brecha Efectiva x UdM'!$H$86:$AK$92,4,0))+(VLOOKUP($A582,$A$4:$O$27,6,0)*(HLOOKUP(AF$561,'2.2.Brecha Efectiva x UdM'!$H$64:$AK$70,4,0))))</f>
        <v>0</v>
      </c>
      <c r="AG582" s="32">
        <f>(VLOOKUP($A582,$A$458:$O$482,6,0)*(HLOOKUP(AG$561,'2.2.Brecha Efectiva x UdM'!$H$86:$AK$92,4,0))+(VLOOKUP($A582,$A$4:$O$27,6,0)*(HLOOKUP(AG$561,'2.2.Brecha Efectiva x UdM'!$H$64:$AK$70,4,0))))</f>
        <v>0</v>
      </c>
      <c r="AH582" s="62">
        <f t="shared" si="538"/>
        <v>0</v>
      </c>
    </row>
    <row r="583" spans="1:34" x14ac:dyDescent="0.2">
      <c r="A583" s="26" t="str">
        <f t="shared" si="535"/>
        <v>Santiago del Estero</v>
      </c>
      <c r="B583" s="52" t="str">
        <f t="shared" si="536"/>
        <v>Nombre UdM 3</v>
      </c>
      <c r="C583" s="26" t="str">
        <f t="shared" si="537"/>
        <v>Santiago del Estero Nombre UdM 3</v>
      </c>
      <c r="D583" s="31">
        <f>(VLOOKUP($A583,$A$458:$O$482,6,0)*(HLOOKUP(D$561,'2.2.Brecha Efectiva x UdM'!$H$86:$AK$92,4,0))+(VLOOKUP($A583,$A$4:$O$27,6,0)*(HLOOKUP(D$561,'2.2.Brecha Efectiva x UdM'!$H$64:$AK$70,4,0))))</f>
        <v>22025839.747143742</v>
      </c>
      <c r="E583" s="31">
        <f>(VLOOKUP($A583,$A$458:$O$482,6,0)*(HLOOKUP(E$561,'2.2.Brecha Efectiva x UdM'!$H$86:$AK$92,4,0))+(VLOOKUP($A583,$A$4:$O$27,6,0)*(HLOOKUP(E$561,'2.2.Brecha Efectiva x UdM'!$H$64:$AK$70,4,0))))</f>
        <v>149515965.05800366</v>
      </c>
      <c r="F583" s="31">
        <f>(VLOOKUP($A583,$A$458:$O$482,6,0)*(HLOOKUP(F$561,'2.2.Brecha Efectiva x UdM'!$H$86:$AK$92,4,0))+(VLOOKUP($A583,$A$4:$O$27,6,0)*(HLOOKUP(F$561,'2.2.Brecha Efectiva x UdM'!$H$64:$AK$70,4,0))))</f>
        <v>7590152.6499966467</v>
      </c>
      <c r="G583" s="31">
        <f>(VLOOKUP($A583,$A$458:$O$482,6,0)*(HLOOKUP(G$561,'2.2.Brecha Efectiva x UdM'!$H$86:$AK$92,4,0))+(VLOOKUP($A583,$A$4:$O$27,6,0)*(HLOOKUP(G$561,'2.2.Brecha Efectiva x UdM'!$H$64:$AK$70,4,0))))</f>
        <v>4147607.1254226756</v>
      </c>
      <c r="H583" s="31">
        <f>(VLOOKUP($A583,$A$458:$O$482,6,0)*(HLOOKUP(H$561,'2.2.Brecha Efectiva x UdM'!$H$86:$AK$92,4,0))+(VLOOKUP($A583,$A$4:$O$27,6,0)*(HLOOKUP(H$561,'2.2.Brecha Efectiva x UdM'!$H$64:$AK$70,4,0))))</f>
        <v>0</v>
      </c>
      <c r="I583" s="31">
        <f>(VLOOKUP($A583,$A$458:$O$482,6,0)*(HLOOKUP(I$561,'2.2.Brecha Efectiva x UdM'!$H$86:$AK$92,4,0))+(VLOOKUP($A583,$A$4:$O$27,6,0)*(HLOOKUP(I$561,'2.2.Brecha Efectiva x UdM'!$H$64:$AK$70,4,0))))</f>
        <v>0</v>
      </c>
      <c r="J583" s="31">
        <f>(VLOOKUP($A583,$A$458:$O$482,6,0)*(HLOOKUP(J$561,'2.2.Brecha Efectiva x UdM'!$H$86:$AK$92,4,0))+(VLOOKUP($A583,$A$4:$O$27,6,0)*(HLOOKUP(J$561,'2.2.Brecha Efectiva x UdM'!$H$64:$AK$70,4,0))))</f>
        <v>0</v>
      </c>
      <c r="K583" s="31">
        <f>(VLOOKUP($A583,$A$458:$O$482,6,0)*(HLOOKUP(K$561,'2.2.Brecha Efectiva x UdM'!$H$86:$AK$92,4,0))+(VLOOKUP($A583,$A$4:$O$27,6,0)*(HLOOKUP(K$561,'2.2.Brecha Efectiva x UdM'!$H$64:$AK$70,4,0))))</f>
        <v>0</v>
      </c>
      <c r="L583" s="31">
        <f>(VLOOKUP($A583,$A$458:$O$482,6,0)*(HLOOKUP(L$561,'2.2.Brecha Efectiva x UdM'!$H$86:$AK$92,4,0))+(VLOOKUP($A583,$A$4:$O$27,6,0)*(HLOOKUP(L$561,'2.2.Brecha Efectiva x UdM'!$H$64:$AK$70,4,0))))</f>
        <v>0</v>
      </c>
      <c r="M583" s="31">
        <f>(VLOOKUP($A583,$A$458:$O$482,6,0)*(HLOOKUP(M$561,'2.2.Brecha Efectiva x UdM'!$H$86:$AK$92,4,0))+(VLOOKUP($A583,$A$4:$O$27,6,0)*(HLOOKUP(M$561,'2.2.Brecha Efectiva x UdM'!$H$64:$AK$70,4,0))))</f>
        <v>0</v>
      </c>
      <c r="N583" s="31">
        <f>(VLOOKUP($A583,$A$458:$O$482,6,0)*(HLOOKUP(N$561,'2.2.Brecha Efectiva x UdM'!$H$86:$AK$92,4,0))+(VLOOKUP($A583,$A$4:$O$27,6,0)*(HLOOKUP(N$561,'2.2.Brecha Efectiva x UdM'!$H$64:$AK$70,4,0))))</f>
        <v>0</v>
      </c>
      <c r="O583" s="31">
        <f>(VLOOKUP($A583,$A$458:$O$482,6,0)*(HLOOKUP(O$561,'2.2.Brecha Efectiva x UdM'!$H$86:$AK$92,4,0))+(VLOOKUP($A583,$A$4:$O$27,6,0)*(HLOOKUP(O$561,'2.2.Brecha Efectiva x UdM'!$H$64:$AK$70,4,0))))</f>
        <v>0</v>
      </c>
      <c r="P583" s="31">
        <f>(VLOOKUP($A583,$A$458:$O$482,6,0)*(HLOOKUP(P$561,'2.2.Brecha Efectiva x UdM'!$H$86:$AK$92,4,0))+(VLOOKUP($A583,$A$4:$O$27,6,0)*(HLOOKUP(P$561,'2.2.Brecha Efectiva x UdM'!$H$64:$AK$70,4,0))))</f>
        <v>0</v>
      </c>
      <c r="Q583" s="31">
        <f>(VLOOKUP($A583,$A$458:$O$482,6,0)*(HLOOKUP(Q$561,'2.2.Brecha Efectiva x UdM'!$H$86:$AK$92,4,0))+(VLOOKUP($A583,$A$4:$O$27,6,0)*(HLOOKUP(Q$561,'2.2.Brecha Efectiva x UdM'!$H$64:$AK$70,4,0))))</f>
        <v>0</v>
      </c>
      <c r="R583" s="31">
        <f>(VLOOKUP($A583,$A$458:$O$482,6,0)*(HLOOKUP(R$561,'2.2.Brecha Efectiva x UdM'!$H$86:$AK$92,4,0))+(VLOOKUP($A583,$A$4:$O$27,6,0)*(HLOOKUP(R$561,'2.2.Brecha Efectiva x UdM'!$H$64:$AK$70,4,0))))</f>
        <v>0</v>
      </c>
      <c r="S583" s="31">
        <f>(VLOOKUP($A583,$A$458:$O$482,6,0)*(HLOOKUP(S$561,'2.2.Brecha Efectiva x UdM'!$H$86:$AK$92,4,0))+(VLOOKUP($A583,$A$4:$O$27,6,0)*(HLOOKUP(S$561,'2.2.Brecha Efectiva x UdM'!$H$64:$AK$70,4,0))))</f>
        <v>0</v>
      </c>
      <c r="T583" s="31">
        <f>(VLOOKUP($A583,$A$458:$O$482,6,0)*(HLOOKUP(T$561,'2.2.Brecha Efectiva x UdM'!$H$86:$AK$92,4,0))+(VLOOKUP($A583,$A$4:$O$27,6,0)*(HLOOKUP(T$561,'2.2.Brecha Efectiva x UdM'!$H$64:$AK$70,4,0))))</f>
        <v>0</v>
      </c>
      <c r="U583" s="31">
        <f>(VLOOKUP($A583,$A$458:$O$482,6,0)*(HLOOKUP(U$561,'2.2.Brecha Efectiva x UdM'!$H$86:$AK$92,4,0))+(VLOOKUP($A583,$A$4:$O$27,6,0)*(HLOOKUP(U$561,'2.2.Brecha Efectiva x UdM'!$H$64:$AK$70,4,0))))</f>
        <v>0</v>
      </c>
      <c r="V583" s="31">
        <f>(VLOOKUP($A583,$A$458:$O$482,6,0)*(HLOOKUP(V$561,'2.2.Brecha Efectiva x UdM'!$H$86:$AK$92,4,0))+(VLOOKUP($A583,$A$4:$O$27,6,0)*(HLOOKUP(V$561,'2.2.Brecha Efectiva x UdM'!$H$64:$AK$70,4,0))))</f>
        <v>0</v>
      </c>
      <c r="W583" s="31">
        <f>(VLOOKUP($A583,$A$458:$O$482,6,0)*(HLOOKUP(W$561,'2.2.Brecha Efectiva x UdM'!$H$86:$AK$92,4,0))+(VLOOKUP($A583,$A$4:$O$27,6,0)*(HLOOKUP(W$561,'2.2.Brecha Efectiva x UdM'!$H$64:$AK$70,4,0))))</f>
        <v>0</v>
      </c>
      <c r="X583" s="31">
        <f>(VLOOKUP($A583,$A$458:$O$482,6,0)*(HLOOKUP(X$561,'2.2.Brecha Efectiva x UdM'!$H$86:$AK$92,4,0))+(VLOOKUP($A583,$A$4:$O$27,6,0)*(HLOOKUP(X$561,'2.2.Brecha Efectiva x UdM'!$H$64:$AK$70,4,0))))</f>
        <v>0</v>
      </c>
      <c r="Y583" s="31">
        <f>(VLOOKUP($A583,$A$458:$O$482,6,0)*(HLOOKUP(Y$561,'2.2.Brecha Efectiva x UdM'!$H$86:$AK$92,4,0))+(VLOOKUP($A583,$A$4:$O$27,6,0)*(HLOOKUP(Y$561,'2.2.Brecha Efectiva x UdM'!$H$64:$AK$70,4,0))))</f>
        <v>0</v>
      </c>
      <c r="Z583" s="31">
        <f>(VLOOKUP($A583,$A$458:$O$482,6,0)*(HLOOKUP(Z$561,'2.2.Brecha Efectiva x UdM'!$H$86:$AK$92,4,0))+(VLOOKUP($A583,$A$4:$O$27,6,0)*(HLOOKUP(Z$561,'2.2.Brecha Efectiva x UdM'!$H$64:$AK$70,4,0))))</f>
        <v>0</v>
      </c>
      <c r="AA583" s="31">
        <f>(VLOOKUP($A583,$A$458:$O$482,6,0)*(HLOOKUP(AA$561,'2.2.Brecha Efectiva x UdM'!$H$86:$AK$92,4,0))+(VLOOKUP($A583,$A$4:$O$27,6,0)*(HLOOKUP(AA$561,'2.2.Brecha Efectiva x UdM'!$H$64:$AK$70,4,0))))</f>
        <v>0</v>
      </c>
      <c r="AB583" s="31">
        <f>(VLOOKUP($A583,$A$458:$O$482,6,0)*(HLOOKUP(AB$561,'2.2.Brecha Efectiva x UdM'!$H$86:$AK$92,4,0))+(VLOOKUP($A583,$A$4:$O$27,6,0)*(HLOOKUP(AB$561,'2.2.Brecha Efectiva x UdM'!$H$64:$AK$70,4,0))))</f>
        <v>0</v>
      </c>
      <c r="AC583" s="31">
        <f>(VLOOKUP($A583,$A$458:$O$482,6,0)*(HLOOKUP(AC$561,'2.2.Brecha Efectiva x UdM'!$H$86:$AK$92,4,0))+(VLOOKUP($A583,$A$4:$O$27,6,0)*(HLOOKUP(AC$561,'2.2.Brecha Efectiva x UdM'!$H$64:$AK$70,4,0))))</f>
        <v>0</v>
      </c>
      <c r="AD583" s="31">
        <f>(VLOOKUP($A583,$A$458:$O$482,6,0)*(HLOOKUP(AD$561,'2.2.Brecha Efectiva x UdM'!$H$86:$AK$92,4,0))+(VLOOKUP($A583,$A$4:$O$27,6,0)*(HLOOKUP(AD$561,'2.2.Brecha Efectiva x UdM'!$H$64:$AK$70,4,0))))</f>
        <v>0</v>
      </c>
      <c r="AE583" s="31">
        <f>(VLOOKUP($A583,$A$458:$O$482,6,0)*(HLOOKUP(AE$561,'2.2.Brecha Efectiva x UdM'!$H$86:$AK$92,4,0))+(VLOOKUP($A583,$A$4:$O$27,6,0)*(HLOOKUP(AE$561,'2.2.Brecha Efectiva x UdM'!$H$64:$AK$70,4,0))))</f>
        <v>0</v>
      </c>
      <c r="AF583" s="31">
        <f>(VLOOKUP($A583,$A$458:$O$482,6,0)*(HLOOKUP(AF$561,'2.2.Brecha Efectiva x UdM'!$H$86:$AK$92,4,0))+(VLOOKUP($A583,$A$4:$O$27,6,0)*(HLOOKUP(AF$561,'2.2.Brecha Efectiva x UdM'!$H$64:$AK$70,4,0))))</f>
        <v>0</v>
      </c>
      <c r="AG583" s="31">
        <f>(VLOOKUP($A583,$A$458:$O$482,6,0)*(HLOOKUP(AG$561,'2.2.Brecha Efectiva x UdM'!$H$86:$AK$92,4,0))+(VLOOKUP($A583,$A$4:$O$27,6,0)*(HLOOKUP(AG$561,'2.2.Brecha Efectiva x UdM'!$H$64:$AK$70,4,0))))</f>
        <v>0</v>
      </c>
      <c r="AH583" s="63">
        <f t="shared" si="538"/>
        <v>183279564.58056673</v>
      </c>
    </row>
    <row r="584" spans="1:34" x14ac:dyDescent="0.2">
      <c r="A584" s="25" t="str">
        <f t="shared" si="535"/>
        <v>Tierra del Fuego</v>
      </c>
      <c r="B584" s="51" t="str">
        <f t="shared" si="536"/>
        <v>Nombre UdM 3</v>
      </c>
      <c r="C584" s="25" t="str">
        <f t="shared" si="537"/>
        <v>Tierra del Fuego Nombre UdM 3</v>
      </c>
      <c r="D584" s="32">
        <f>(VLOOKUP($A584,$A$458:$O$482,6,0)*(HLOOKUP(D$561,'2.2.Brecha Efectiva x UdM'!$H$86:$AK$92,4,0))+(VLOOKUP($A584,$A$4:$O$27,6,0)*(HLOOKUP(D$561,'2.2.Brecha Efectiva x UdM'!$H$64:$AK$70,4,0))))</f>
        <v>35398671.022195302</v>
      </c>
      <c r="E584" s="32">
        <f>(VLOOKUP($A584,$A$458:$O$482,6,0)*(HLOOKUP(E$561,'2.2.Brecha Efectiva x UdM'!$H$86:$AK$92,4,0))+(VLOOKUP($A584,$A$4:$O$27,6,0)*(HLOOKUP(E$561,'2.2.Brecha Efectiva x UdM'!$H$64:$AK$70,4,0))))</f>
        <v>240293515.27179164</v>
      </c>
      <c r="F584" s="32">
        <f>(VLOOKUP($A584,$A$458:$O$482,6,0)*(HLOOKUP(F$561,'2.2.Brecha Efectiva x UdM'!$H$86:$AK$92,4,0))+(VLOOKUP($A584,$A$4:$O$27,6,0)*(HLOOKUP(F$561,'2.2.Brecha Efectiva x UdM'!$H$64:$AK$70,4,0))))</f>
        <v>12198459.616066042</v>
      </c>
      <c r="G584" s="32">
        <f>(VLOOKUP($A584,$A$458:$O$482,6,0)*(HLOOKUP(G$561,'2.2.Brecha Efectiva x UdM'!$H$86:$AK$92,4,0))+(VLOOKUP($A584,$A$4:$O$27,6,0)*(HLOOKUP(G$561,'2.2.Brecha Efectiva x UdM'!$H$64:$AK$70,4,0))))</f>
        <v>6665797.165857872</v>
      </c>
      <c r="H584" s="32">
        <f>(VLOOKUP($A584,$A$458:$O$482,6,0)*(HLOOKUP(H$561,'2.2.Brecha Efectiva x UdM'!$H$86:$AK$92,4,0))+(VLOOKUP($A584,$A$4:$O$27,6,0)*(HLOOKUP(H$561,'2.2.Brecha Efectiva x UdM'!$H$64:$AK$70,4,0))))</f>
        <v>0</v>
      </c>
      <c r="I584" s="32">
        <f>(VLOOKUP($A584,$A$458:$O$482,6,0)*(HLOOKUP(I$561,'2.2.Brecha Efectiva x UdM'!$H$86:$AK$92,4,0))+(VLOOKUP($A584,$A$4:$O$27,6,0)*(HLOOKUP(I$561,'2.2.Brecha Efectiva x UdM'!$H$64:$AK$70,4,0))))</f>
        <v>0</v>
      </c>
      <c r="J584" s="32">
        <f>(VLOOKUP($A584,$A$458:$O$482,6,0)*(HLOOKUP(J$561,'2.2.Brecha Efectiva x UdM'!$H$86:$AK$92,4,0))+(VLOOKUP($A584,$A$4:$O$27,6,0)*(HLOOKUP(J$561,'2.2.Brecha Efectiva x UdM'!$H$64:$AK$70,4,0))))</f>
        <v>0</v>
      </c>
      <c r="K584" s="32">
        <f>(VLOOKUP($A584,$A$458:$O$482,6,0)*(HLOOKUP(K$561,'2.2.Brecha Efectiva x UdM'!$H$86:$AK$92,4,0))+(VLOOKUP($A584,$A$4:$O$27,6,0)*(HLOOKUP(K$561,'2.2.Brecha Efectiva x UdM'!$H$64:$AK$70,4,0))))</f>
        <v>0</v>
      </c>
      <c r="L584" s="32">
        <f>(VLOOKUP($A584,$A$458:$O$482,6,0)*(HLOOKUP(L$561,'2.2.Brecha Efectiva x UdM'!$H$86:$AK$92,4,0))+(VLOOKUP($A584,$A$4:$O$27,6,0)*(HLOOKUP(L$561,'2.2.Brecha Efectiva x UdM'!$H$64:$AK$70,4,0))))</f>
        <v>0</v>
      </c>
      <c r="M584" s="32">
        <f>(VLOOKUP($A584,$A$458:$O$482,6,0)*(HLOOKUP(M$561,'2.2.Brecha Efectiva x UdM'!$H$86:$AK$92,4,0))+(VLOOKUP($A584,$A$4:$O$27,6,0)*(HLOOKUP(M$561,'2.2.Brecha Efectiva x UdM'!$H$64:$AK$70,4,0))))</f>
        <v>0</v>
      </c>
      <c r="N584" s="32">
        <f>(VLOOKUP($A584,$A$458:$O$482,6,0)*(HLOOKUP(N$561,'2.2.Brecha Efectiva x UdM'!$H$86:$AK$92,4,0))+(VLOOKUP($A584,$A$4:$O$27,6,0)*(HLOOKUP(N$561,'2.2.Brecha Efectiva x UdM'!$H$64:$AK$70,4,0))))</f>
        <v>0</v>
      </c>
      <c r="O584" s="32">
        <f>(VLOOKUP($A584,$A$458:$O$482,6,0)*(HLOOKUP(O$561,'2.2.Brecha Efectiva x UdM'!$H$86:$AK$92,4,0))+(VLOOKUP($A584,$A$4:$O$27,6,0)*(HLOOKUP(O$561,'2.2.Brecha Efectiva x UdM'!$H$64:$AK$70,4,0))))</f>
        <v>0</v>
      </c>
      <c r="P584" s="32">
        <f>(VLOOKUP($A584,$A$458:$O$482,6,0)*(HLOOKUP(P$561,'2.2.Brecha Efectiva x UdM'!$H$86:$AK$92,4,0))+(VLOOKUP($A584,$A$4:$O$27,6,0)*(HLOOKUP(P$561,'2.2.Brecha Efectiva x UdM'!$H$64:$AK$70,4,0))))</f>
        <v>0</v>
      </c>
      <c r="Q584" s="32">
        <f>(VLOOKUP($A584,$A$458:$O$482,6,0)*(HLOOKUP(Q$561,'2.2.Brecha Efectiva x UdM'!$H$86:$AK$92,4,0))+(VLOOKUP($A584,$A$4:$O$27,6,0)*(HLOOKUP(Q$561,'2.2.Brecha Efectiva x UdM'!$H$64:$AK$70,4,0))))</f>
        <v>0</v>
      </c>
      <c r="R584" s="32">
        <f>(VLOOKUP($A584,$A$458:$O$482,6,0)*(HLOOKUP(R$561,'2.2.Brecha Efectiva x UdM'!$H$86:$AK$92,4,0))+(VLOOKUP($A584,$A$4:$O$27,6,0)*(HLOOKUP(R$561,'2.2.Brecha Efectiva x UdM'!$H$64:$AK$70,4,0))))</f>
        <v>0</v>
      </c>
      <c r="S584" s="32">
        <f>(VLOOKUP($A584,$A$458:$O$482,6,0)*(HLOOKUP(S$561,'2.2.Brecha Efectiva x UdM'!$H$86:$AK$92,4,0))+(VLOOKUP($A584,$A$4:$O$27,6,0)*(HLOOKUP(S$561,'2.2.Brecha Efectiva x UdM'!$H$64:$AK$70,4,0))))</f>
        <v>0</v>
      </c>
      <c r="T584" s="32">
        <f>(VLOOKUP($A584,$A$458:$O$482,6,0)*(HLOOKUP(T$561,'2.2.Brecha Efectiva x UdM'!$H$86:$AK$92,4,0))+(VLOOKUP($A584,$A$4:$O$27,6,0)*(HLOOKUP(T$561,'2.2.Brecha Efectiva x UdM'!$H$64:$AK$70,4,0))))</f>
        <v>0</v>
      </c>
      <c r="U584" s="32">
        <f>(VLOOKUP($A584,$A$458:$O$482,6,0)*(HLOOKUP(U$561,'2.2.Brecha Efectiva x UdM'!$H$86:$AK$92,4,0))+(VLOOKUP($A584,$A$4:$O$27,6,0)*(HLOOKUP(U$561,'2.2.Brecha Efectiva x UdM'!$H$64:$AK$70,4,0))))</f>
        <v>0</v>
      </c>
      <c r="V584" s="32">
        <f>(VLOOKUP($A584,$A$458:$O$482,6,0)*(HLOOKUP(V$561,'2.2.Brecha Efectiva x UdM'!$H$86:$AK$92,4,0))+(VLOOKUP($A584,$A$4:$O$27,6,0)*(HLOOKUP(V$561,'2.2.Brecha Efectiva x UdM'!$H$64:$AK$70,4,0))))</f>
        <v>0</v>
      </c>
      <c r="W584" s="32">
        <f>(VLOOKUP($A584,$A$458:$O$482,6,0)*(HLOOKUP(W$561,'2.2.Brecha Efectiva x UdM'!$H$86:$AK$92,4,0))+(VLOOKUP($A584,$A$4:$O$27,6,0)*(HLOOKUP(W$561,'2.2.Brecha Efectiva x UdM'!$H$64:$AK$70,4,0))))</f>
        <v>0</v>
      </c>
      <c r="X584" s="32">
        <f>(VLOOKUP($A584,$A$458:$O$482,6,0)*(HLOOKUP(X$561,'2.2.Brecha Efectiva x UdM'!$H$86:$AK$92,4,0))+(VLOOKUP($A584,$A$4:$O$27,6,0)*(HLOOKUP(X$561,'2.2.Brecha Efectiva x UdM'!$H$64:$AK$70,4,0))))</f>
        <v>0</v>
      </c>
      <c r="Y584" s="32">
        <f>(VLOOKUP($A584,$A$458:$O$482,6,0)*(HLOOKUP(Y$561,'2.2.Brecha Efectiva x UdM'!$H$86:$AK$92,4,0))+(VLOOKUP($A584,$A$4:$O$27,6,0)*(HLOOKUP(Y$561,'2.2.Brecha Efectiva x UdM'!$H$64:$AK$70,4,0))))</f>
        <v>0</v>
      </c>
      <c r="Z584" s="32">
        <f>(VLOOKUP($A584,$A$458:$O$482,6,0)*(HLOOKUP(Z$561,'2.2.Brecha Efectiva x UdM'!$H$86:$AK$92,4,0))+(VLOOKUP($A584,$A$4:$O$27,6,0)*(HLOOKUP(Z$561,'2.2.Brecha Efectiva x UdM'!$H$64:$AK$70,4,0))))</f>
        <v>0</v>
      </c>
      <c r="AA584" s="32">
        <f>(VLOOKUP($A584,$A$458:$O$482,6,0)*(HLOOKUP(AA$561,'2.2.Brecha Efectiva x UdM'!$H$86:$AK$92,4,0))+(VLOOKUP($A584,$A$4:$O$27,6,0)*(HLOOKUP(AA$561,'2.2.Brecha Efectiva x UdM'!$H$64:$AK$70,4,0))))</f>
        <v>0</v>
      </c>
      <c r="AB584" s="32">
        <f>(VLOOKUP($A584,$A$458:$O$482,6,0)*(HLOOKUP(AB$561,'2.2.Brecha Efectiva x UdM'!$H$86:$AK$92,4,0))+(VLOOKUP($A584,$A$4:$O$27,6,0)*(HLOOKUP(AB$561,'2.2.Brecha Efectiva x UdM'!$H$64:$AK$70,4,0))))</f>
        <v>0</v>
      </c>
      <c r="AC584" s="32">
        <f>(VLOOKUP($A584,$A$458:$O$482,6,0)*(HLOOKUP(AC$561,'2.2.Brecha Efectiva x UdM'!$H$86:$AK$92,4,0))+(VLOOKUP($A584,$A$4:$O$27,6,0)*(HLOOKUP(AC$561,'2.2.Brecha Efectiva x UdM'!$H$64:$AK$70,4,0))))</f>
        <v>0</v>
      </c>
      <c r="AD584" s="32">
        <f>(VLOOKUP($A584,$A$458:$O$482,6,0)*(HLOOKUP(AD$561,'2.2.Brecha Efectiva x UdM'!$H$86:$AK$92,4,0))+(VLOOKUP($A584,$A$4:$O$27,6,0)*(HLOOKUP(AD$561,'2.2.Brecha Efectiva x UdM'!$H$64:$AK$70,4,0))))</f>
        <v>0</v>
      </c>
      <c r="AE584" s="32">
        <f>(VLOOKUP($A584,$A$458:$O$482,6,0)*(HLOOKUP(AE$561,'2.2.Brecha Efectiva x UdM'!$H$86:$AK$92,4,0))+(VLOOKUP($A584,$A$4:$O$27,6,0)*(HLOOKUP(AE$561,'2.2.Brecha Efectiva x UdM'!$H$64:$AK$70,4,0))))</f>
        <v>0</v>
      </c>
      <c r="AF584" s="32">
        <f>(VLOOKUP($A584,$A$458:$O$482,6,0)*(HLOOKUP(AF$561,'2.2.Brecha Efectiva x UdM'!$H$86:$AK$92,4,0))+(VLOOKUP($A584,$A$4:$O$27,6,0)*(HLOOKUP(AF$561,'2.2.Brecha Efectiva x UdM'!$H$64:$AK$70,4,0))))</f>
        <v>0</v>
      </c>
      <c r="AG584" s="32">
        <f>(VLOOKUP($A584,$A$458:$O$482,6,0)*(HLOOKUP(AG$561,'2.2.Brecha Efectiva x UdM'!$H$86:$AK$92,4,0))+(VLOOKUP($A584,$A$4:$O$27,6,0)*(HLOOKUP(AG$561,'2.2.Brecha Efectiva x UdM'!$H$64:$AK$70,4,0))))</f>
        <v>0</v>
      </c>
      <c r="AH584" s="62">
        <f t="shared" si="538"/>
        <v>294556443.07591081</v>
      </c>
    </row>
    <row r="585" spans="1:34" x14ac:dyDescent="0.2">
      <c r="A585" s="26" t="str">
        <f t="shared" si="535"/>
        <v>Tucumán</v>
      </c>
      <c r="B585" s="52" t="str">
        <f t="shared" si="536"/>
        <v>Nombre UdM 3</v>
      </c>
      <c r="C585" s="26" t="str">
        <f t="shared" si="537"/>
        <v>Tucumán Nombre UdM 3</v>
      </c>
      <c r="D585" s="31">
        <f>(VLOOKUP($A585,$A$458:$O$482,6,0)*(HLOOKUP(D$561,'2.2.Brecha Efectiva x UdM'!$H$86:$AK$92,4,0))+(VLOOKUP($A585,$A$4:$O$27,6,0)*(HLOOKUP(D$561,'2.2.Brecha Efectiva x UdM'!$H$64:$AK$70,4,0))))</f>
        <v>0</v>
      </c>
      <c r="E585" s="31">
        <f>(VLOOKUP($A585,$A$458:$O$482,6,0)*(HLOOKUP(E$561,'2.2.Brecha Efectiva x UdM'!$H$86:$AK$92,4,0))+(VLOOKUP($A585,$A$4:$O$27,6,0)*(HLOOKUP(E$561,'2.2.Brecha Efectiva x UdM'!$H$64:$AK$70,4,0))))</f>
        <v>0</v>
      </c>
      <c r="F585" s="31">
        <f>(VLOOKUP($A585,$A$458:$O$482,6,0)*(HLOOKUP(F$561,'2.2.Brecha Efectiva x UdM'!$H$86:$AK$92,4,0))+(VLOOKUP($A585,$A$4:$O$27,6,0)*(HLOOKUP(F$561,'2.2.Brecha Efectiva x UdM'!$H$64:$AK$70,4,0))))</f>
        <v>0</v>
      </c>
      <c r="G585" s="31">
        <f>(VLOOKUP($A585,$A$458:$O$482,6,0)*(HLOOKUP(G$561,'2.2.Brecha Efectiva x UdM'!$H$86:$AK$92,4,0))+(VLOOKUP($A585,$A$4:$O$27,6,0)*(HLOOKUP(G$561,'2.2.Brecha Efectiva x UdM'!$H$64:$AK$70,4,0))))</f>
        <v>0</v>
      </c>
      <c r="H585" s="31">
        <f>(VLOOKUP($A585,$A$458:$O$482,6,0)*(HLOOKUP(H$561,'2.2.Brecha Efectiva x UdM'!$H$86:$AK$92,4,0))+(VLOOKUP($A585,$A$4:$O$27,6,0)*(HLOOKUP(H$561,'2.2.Brecha Efectiva x UdM'!$H$64:$AK$70,4,0))))</f>
        <v>0</v>
      </c>
      <c r="I585" s="31">
        <f>(VLOOKUP($A585,$A$458:$O$482,6,0)*(HLOOKUP(I$561,'2.2.Brecha Efectiva x UdM'!$H$86:$AK$92,4,0))+(VLOOKUP($A585,$A$4:$O$27,6,0)*(HLOOKUP(I$561,'2.2.Brecha Efectiva x UdM'!$H$64:$AK$70,4,0))))</f>
        <v>0</v>
      </c>
      <c r="J585" s="31">
        <f>(VLOOKUP($A585,$A$458:$O$482,6,0)*(HLOOKUP(J$561,'2.2.Brecha Efectiva x UdM'!$H$86:$AK$92,4,0))+(VLOOKUP($A585,$A$4:$O$27,6,0)*(HLOOKUP(J$561,'2.2.Brecha Efectiva x UdM'!$H$64:$AK$70,4,0))))</f>
        <v>0</v>
      </c>
      <c r="K585" s="31">
        <f>(VLOOKUP($A585,$A$458:$O$482,6,0)*(HLOOKUP(K$561,'2.2.Brecha Efectiva x UdM'!$H$86:$AK$92,4,0))+(VLOOKUP($A585,$A$4:$O$27,6,0)*(HLOOKUP(K$561,'2.2.Brecha Efectiva x UdM'!$H$64:$AK$70,4,0))))</f>
        <v>0</v>
      </c>
      <c r="L585" s="31">
        <f>(VLOOKUP($A585,$A$458:$O$482,6,0)*(HLOOKUP(L$561,'2.2.Brecha Efectiva x UdM'!$H$86:$AK$92,4,0))+(VLOOKUP($A585,$A$4:$O$27,6,0)*(HLOOKUP(L$561,'2.2.Brecha Efectiva x UdM'!$H$64:$AK$70,4,0))))</f>
        <v>0</v>
      </c>
      <c r="M585" s="31">
        <f>(VLOOKUP($A585,$A$458:$O$482,6,0)*(HLOOKUP(M$561,'2.2.Brecha Efectiva x UdM'!$H$86:$AK$92,4,0))+(VLOOKUP($A585,$A$4:$O$27,6,0)*(HLOOKUP(M$561,'2.2.Brecha Efectiva x UdM'!$H$64:$AK$70,4,0))))</f>
        <v>0</v>
      </c>
      <c r="N585" s="31">
        <f>(VLOOKUP($A585,$A$458:$O$482,6,0)*(HLOOKUP(N$561,'2.2.Brecha Efectiva x UdM'!$H$86:$AK$92,4,0))+(VLOOKUP($A585,$A$4:$O$27,6,0)*(HLOOKUP(N$561,'2.2.Brecha Efectiva x UdM'!$H$64:$AK$70,4,0))))</f>
        <v>0</v>
      </c>
      <c r="O585" s="31">
        <f>(VLOOKUP($A585,$A$458:$O$482,6,0)*(HLOOKUP(O$561,'2.2.Brecha Efectiva x UdM'!$H$86:$AK$92,4,0))+(VLOOKUP($A585,$A$4:$O$27,6,0)*(HLOOKUP(O$561,'2.2.Brecha Efectiva x UdM'!$H$64:$AK$70,4,0))))</f>
        <v>0</v>
      </c>
      <c r="P585" s="31">
        <f>(VLOOKUP($A585,$A$458:$O$482,6,0)*(HLOOKUP(P$561,'2.2.Brecha Efectiva x UdM'!$H$86:$AK$92,4,0))+(VLOOKUP($A585,$A$4:$O$27,6,0)*(HLOOKUP(P$561,'2.2.Brecha Efectiva x UdM'!$H$64:$AK$70,4,0))))</f>
        <v>0</v>
      </c>
      <c r="Q585" s="31">
        <f>(VLOOKUP($A585,$A$458:$O$482,6,0)*(HLOOKUP(Q$561,'2.2.Brecha Efectiva x UdM'!$H$86:$AK$92,4,0))+(VLOOKUP($A585,$A$4:$O$27,6,0)*(HLOOKUP(Q$561,'2.2.Brecha Efectiva x UdM'!$H$64:$AK$70,4,0))))</f>
        <v>0</v>
      </c>
      <c r="R585" s="31">
        <f>(VLOOKUP($A585,$A$458:$O$482,6,0)*(HLOOKUP(R$561,'2.2.Brecha Efectiva x UdM'!$H$86:$AK$92,4,0))+(VLOOKUP($A585,$A$4:$O$27,6,0)*(HLOOKUP(R$561,'2.2.Brecha Efectiva x UdM'!$H$64:$AK$70,4,0))))</f>
        <v>0</v>
      </c>
      <c r="S585" s="31">
        <f>(VLOOKUP($A585,$A$458:$O$482,6,0)*(HLOOKUP(S$561,'2.2.Brecha Efectiva x UdM'!$H$86:$AK$92,4,0))+(VLOOKUP($A585,$A$4:$O$27,6,0)*(HLOOKUP(S$561,'2.2.Brecha Efectiva x UdM'!$H$64:$AK$70,4,0))))</f>
        <v>0</v>
      </c>
      <c r="T585" s="31">
        <f>(VLOOKUP($A585,$A$458:$O$482,6,0)*(HLOOKUP(T$561,'2.2.Brecha Efectiva x UdM'!$H$86:$AK$92,4,0))+(VLOOKUP($A585,$A$4:$O$27,6,0)*(HLOOKUP(T$561,'2.2.Brecha Efectiva x UdM'!$H$64:$AK$70,4,0))))</f>
        <v>0</v>
      </c>
      <c r="U585" s="31">
        <f>(VLOOKUP($A585,$A$458:$O$482,6,0)*(HLOOKUP(U$561,'2.2.Brecha Efectiva x UdM'!$H$86:$AK$92,4,0))+(VLOOKUP($A585,$A$4:$O$27,6,0)*(HLOOKUP(U$561,'2.2.Brecha Efectiva x UdM'!$H$64:$AK$70,4,0))))</f>
        <v>0</v>
      </c>
      <c r="V585" s="31">
        <f>(VLOOKUP($A585,$A$458:$O$482,6,0)*(HLOOKUP(V$561,'2.2.Brecha Efectiva x UdM'!$H$86:$AK$92,4,0))+(VLOOKUP($A585,$A$4:$O$27,6,0)*(HLOOKUP(V$561,'2.2.Brecha Efectiva x UdM'!$H$64:$AK$70,4,0))))</f>
        <v>0</v>
      </c>
      <c r="W585" s="31">
        <f>(VLOOKUP($A585,$A$458:$O$482,6,0)*(HLOOKUP(W$561,'2.2.Brecha Efectiva x UdM'!$H$86:$AK$92,4,0))+(VLOOKUP($A585,$A$4:$O$27,6,0)*(HLOOKUP(W$561,'2.2.Brecha Efectiva x UdM'!$H$64:$AK$70,4,0))))</f>
        <v>0</v>
      </c>
      <c r="X585" s="31">
        <f>(VLOOKUP($A585,$A$458:$O$482,6,0)*(HLOOKUP(X$561,'2.2.Brecha Efectiva x UdM'!$H$86:$AK$92,4,0))+(VLOOKUP($A585,$A$4:$O$27,6,0)*(HLOOKUP(X$561,'2.2.Brecha Efectiva x UdM'!$H$64:$AK$70,4,0))))</f>
        <v>0</v>
      </c>
      <c r="Y585" s="31">
        <f>(VLOOKUP($A585,$A$458:$O$482,6,0)*(HLOOKUP(Y$561,'2.2.Brecha Efectiva x UdM'!$H$86:$AK$92,4,0))+(VLOOKUP($A585,$A$4:$O$27,6,0)*(HLOOKUP(Y$561,'2.2.Brecha Efectiva x UdM'!$H$64:$AK$70,4,0))))</f>
        <v>0</v>
      </c>
      <c r="Z585" s="31">
        <f>(VLOOKUP($A585,$A$458:$O$482,6,0)*(HLOOKUP(Z$561,'2.2.Brecha Efectiva x UdM'!$H$86:$AK$92,4,0))+(VLOOKUP($A585,$A$4:$O$27,6,0)*(HLOOKUP(Z$561,'2.2.Brecha Efectiva x UdM'!$H$64:$AK$70,4,0))))</f>
        <v>0</v>
      </c>
      <c r="AA585" s="31">
        <f>(VLOOKUP($A585,$A$458:$O$482,6,0)*(HLOOKUP(AA$561,'2.2.Brecha Efectiva x UdM'!$H$86:$AK$92,4,0))+(VLOOKUP($A585,$A$4:$O$27,6,0)*(HLOOKUP(AA$561,'2.2.Brecha Efectiva x UdM'!$H$64:$AK$70,4,0))))</f>
        <v>0</v>
      </c>
      <c r="AB585" s="31">
        <f>(VLOOKUP($A585,$A$458:$O$482,6,0)*(HLOOKUP(AB$561,'2.2.Brecha Efectiva x UdM'!$H$86:$AK$92,4,0))+(VLOOKUP($A585,$A$4:$O$27,6,0)*(HLOOKUP(AB$561,'2.2.Brecha Efectiva x UdM'!$H$64:$AK$70,4,0))))</f>
        <v>0</v>
      </c>
      <c r="AC585" s="31">
        <f>(VLOOKUP($A585,$A$458:$O$482,6,0)*(HLOOKUP(AC$561,'2.2.Brecha Efectiva x UdM'!$H$86:$AK$92,4,0))+(VLOOKUP($A585,$A$4:$O$27,6,0)*(HLOOKUP(AC$561,'2.2.Brecha Efectiva x UdM'!$H$64:$AK$70,4,0))))</f>
        <v>0</v>
      </c>
      <c r="AD585" s="31">
        <f>(VLOOKUP($A585,$A$458:$O$482,6,0)*(HLOOKUP(AD$561,'2.2.Brecha Efectiva x UdM'!$H$86:$AK$92,4,0))+(VLOOKUP($A585,$A$4:$O$27,6,0)*(HLOOKUP(AD$561,'2.2.Brecha Efectiva x UdM'!$H$64:$AK$70,4,0))))</f>
        <v>0</v>
      </c>
      <c r="AE585" s="31">
        <f>(VLOOKUP($A585,$A$458:$O$482,6,0)*(HLOOKUP(AE$561,'2.2.Brecha Efectiva x UdM'!$H$86:$AK$92,4,0))+(VLOOKUP($A585,$A$4:$O$27,6,0)*(HLOOKUP(AE$561,'2.2.Brecha Efectiva x UdM'!$H$64:$AK$70,4,0))))</f>
        <v>0</v>
      </c>
      <c r="AF585" s="31">
        <f>(VLOOKUP($A585,$A$458:$O$482,6,0)*(HLOOKUP(AF$561,'2.2.Brecha Efectiva x UdM'!$H$86:$AK$92,4,0))+(VLOOKUP($A585,$A$4:$O$27,6,0)*(HLOOKUP(AF$561,'2.2.Brecha Efectiva x UdM'!$H$64:$AK$70,4,0))))</f>
        <v>0</v>
      </c>
      <c r="AG585" s="31">
        <f>(VLOOKUP($A585,$A$458:$O$482,6,0)*(HLOOKUP(AG$561,'2.2.Brecha Efectiva x UdM'!$H$86:$AK$92,4,0))+(VLOOKUP($A585,$A$4:$O$27,6,0)*(HLOOKUP(AG$561,'2.2.Brecha Efectiva x UdM'!$H$64:$AK$70,4,0))))</f>
        <v>0</v>
      </c>
      <c r="AH585" s="63">
        <f t="shared" si="538"/>
        <v>0</v>
      </c>
    </row>
    <row r="586" spans="1:34" x14ac:dyDescent="0.2">
      <c r="A586" s="34" t="str">
        <f>CONCATENATE("Total"," ",B562)</f>
        <v>Total Nombre UdM 3</v>
      </c>
      <c r="B586" s="29"/>
      <c r="C586" s="13"/>
      <c r="D586" s="13">
        <f>SUM(D562:D585)</f>
        <v>1181382726.515193</v>
      </c>
      <c r="E586" s="13">
        <f t="shared" ref="E586:AG586" si="539">SUM(E562:E585)</f>
        <v>8019470789.1071606</v>
      </c>
      <c r="F586" s="13">
        <f t="shared" si="539"/>
        <v>407107076.74527419</v>
      </c>
      <c r="G586" s="13">
        <f t="shared" si="539"/>
        <v>222461956.98309717</v>
      </c>
      <c r="H586" s="13">
        <f t="shared" si="539"/>
        <v>0</v>
      </c>
      <c r="I586" s="13">
        <f t="shared" si="539"/>
        <v>0</v>
      </c>
      <c r="J586" s="13">
        <f t="shared" si="539"/>
        <v>0</v>
      </c>
      <c r="K586" s="13">
        <f t="shared" si="539"/>
        <v>0</v>
      </c>
      <c r="L586" s="13">
        <f t="shared" si="539"/>
        <v>0</v>
      </c>
      <c r="M586" s="13">
        <f t="shared" si="539"/>
        <v>0</v>
      </c>
      <c r="N586" s="13">
        <f t="shared" si="539"/>
        <v>0</v>
      </c>
      <c r="O586" s="13">
        <f t="shared" si="539"/>
        <v>0</v>
      </c>
      <c r="P586" s="13">
        <f t="shared" si="539"/>
        <v>0</v>
      </c>
      <c r="Q586" s="13">
        <f t="shared" si="539"/>
        <v>0</v>
      </c>
      <c r="R586" s="13">
        <f t="shared" si="539"/>
        <v>0</v>
      </c>
      <c r="S586" s="13">
        <f t="shared" si="539"/>
        <v>0</v>
      </c>
      <c r="T586" s="13">
        <f t="shared" si="539"/>
        <v>0</v>
      </c>
      <c r="U586" s="13">
        <f t="shared" si="539"/>
        <v>0</v>
      </c>
      <c r="V586" s="13">
        <f t="shared" si="539"/>
        <v>0</v>
      </c>
      <c r="W586" s="13">
        <f t="shared" si="539"/>
        <v>0</v>
      </c>
      <c r="X586" s="13">
        <f t="shared" si="539"/>
        <v>0</v>
      </c>
      <c r="Y586" s="13">
        <f t="shared" si="539"/>
        <v>0</v>
      </c>
      <c r="Z586" s="13">
        <f t="shared" si="539"/>
        <v>0</v>
      </c>
      <c r="AA586" s="13">
        <f t="shared" si="539"/>
        <v>0</v>
      </c>
      <c r="AB586" s="13">
        <f t="shared" si="539"/>
        <v>0</v>
      </c>
      <c r="AC586" s="13">
        <f t="shared" si="539"/>
        <v>0</v>
      </c>
      <c r="AD586" s="13">
        <f t="shared" si="539"/>
        <v>0</v>
      </c>
      <c r="AE586" s="13">
        <f t="shared" si="539"/>
        <v>0</v>
      </c>
      <c r="AF586" s="13">
        <f t="shared" si="539"/>
        <v>0</v>
      </c>
      <c r="AG586" s="13">
        <f t="shared" si="539"/>
        <v>0</v>
      </c>
      <c r="AH586" s="13">
        <f t="shared" si="538"/>
        <v>9830422549.3507233</v>
      </c>
    </row>
    <row r="587" spans="1:34" x14ac:dyDescent="0.2">
      <c r="A587" s="34" t="str">
        <f>CONCATENATE("Total Acumulado"," ",B562)</f>
        <v>Total Acumulado Nombre UdM 3</v>
      </c>
      <c r="B587" s="29"/>
      <c r="C587" s="13"/>
      <c r="D587" s="13">
        <f>D586</f>
        <v>1181382726.515193</v>
      </c>
      <c r="E587" s="13">
        <f>E586+D587</f>
        <v>9200853515.6223526</v>
      </c>
      <c r="F587" s="13">
        <f t="shared" ref="F587" si="540">F586+E587</f>
        <v>9607960592.3676262</v>
      </c>
      <c r="G587" s="13">
        <f t="shared" ref="G587" si="541">G586+F587</f>
        <v>9830422549.3507233</v>
      </c>
      <c r="H587" s="13">
        <f t="shared" ref="H587" si="542">H586+G587</f>
        <v>9830422549.3507233</v>
      </c>
      <c r="I587" s="13">
        <f t="shared" ref="I587" si="543">I586+H587</f>
        <v>9830422549.3507233</v>
      </c>
      <c r="J587" s="13">
        <f t="shared" ref="J587" si="544">J586+I587</f>
        <v>9830422549.3507233</v>
      </c>
      <c r="K587" s="13">
        <f t="shared" ref="K587" si="545">K586+J587</f>
        <v>9830422549.3507233</v>
      </c>
      <c r="L587" s="13">
        <f t="shared" ref="L587" si="546">L586+K587</f>
        <v>9830422549.3507233</v>
      </c>
      <c r="M587" s="13">
        <f t="shared" ref="M587" si="547">M586+L587</f>
        <v>9830422549.3507233</v>
      </c>
      <c r="N587" s="13">
        <f t="shared" ref="N587" si="548">N586+M587</f>
        <v>9830422549.3507233</v>
      </c>
      <c r="O587" s="13">
        <f t="shared" ref="O587" si="549">O586+N587</f>
        <v>9830422549.3507233</v>
      </c>
      <c r="P587" s="13">
        <f t="shared" ref="P587" si="550">P586+O587</f>
        <v>9830422549.3507233</v>
      </c>
      <c r="Q587" s="13">
        <f t="shared" ref="Q587" si="551">Q586+P587</f>
        <v>9830422549.3507233</v>
      </c>
      <c r="R587" s="13">
        <f t="shared" ref="R587" si="552">R586+Q587</f>
        <v>9830422549.3507233</v>
      </c>
      <c r="S587" s="13">
        <f t="shared" ref="S587" si="553">S586+R587</f>
        <v>9830422549.3507233</v>
      </c>
      <c r="T587" s="13">
        <f t="shared" ref="T587" si="554">T586+S587</f>
        <v>9830422549.3507233</v>
      </c>
      <c r="U587" s="13">
        <f t="shared" ref="U587" si="555">U586+T587</f>
        <v>9830422549.3507233</v>
      </c>
      <c r="V587" s="13">
        <f t="shared" ref="V587" si="556">V586+U587</f>
        <v>9830422549.3507233</v>
      </c>
      <c r="W587" s="13">
        <f t="shared" ref="W587" si="557">W586+V587</f>
        <v>9830422549.3507233</v>
      </c>
      <c r="X587" s="13">
        <f t="shared" ref="X587" si="558">X586+W587</f>
        <v>9830422549.3507233</v>
      </c>
      <c r="Y587" s="13">
        <f t="shared" ref="Y587" si="559">Y586+X587</f>
        <v>9830422549.3507233</v>
      </c>
      <c r="Z587" s="13">
        <f t="shared" ref="Z587" si="560">Z586+Y587</f>
        <v>9830422549.3507233</v>
      </c>
      <c r="AA587" s="13">
        <f t="shared" ref="AA587" si="561">AA586+Z587</f>
        <v>9830422549.3507233</v>
      </c>
      <c r="AB587" s="13">
        <f t="shared" ref="AB587" si="562">AB586+AA587</f>
        <v>9830422549.3507233</v>
      </c>
      <c r="AC587" s="13">
        <f t="shared" ref="AC587" si="563">AC586+AB587</f>
        <v>9830422549.3507233</v>
      </c>
      <c r="AD587" s="13">
        <f t="shared" ref="AD587" si="564">AD586+AC587</f>
        <v>9830422549.3507233</v>
      </c>
      <c r="AE587" s="13">
        <f t="shared" ref="AE587" si="565">AE586+AD587</f>
        <v>9830422549.3507233</v>
      </c>
      <c r="AF587" s="13">
        <f t="shared" ref="AF587" si="566">AF586+AE587</f>
        <v>9830422549.3507233</v>
      </c>
      <c r="AG587" s="13">
        <f t="shared" ref="AG587" si="567">AG586+AF587</f>
        <v>9830422549.3507233</v>
      </c>
    </row>
    <row r="589" spans="1:34" x14ac:dyDescent="0.2">
      <c r="A589" s="33" t="s">
        <v>41</v>
      </c>
      <c r="D589" t="b">
        <f>D586='2.2.Brecha Efectiva x UdM'!H105</f>
        <v>1</v>
      </c>
      <c r="E589" t="b">
        <f>E586='2.2.Brecha Efectiva x UdM'!I105</f>
        <v>1</v>
      </c>
      <c r="F589" t="b">
        <f>F586='2.2.Brecha Efectiva x UdM'!J105</f>
        <v>1</v>
      </c>
      <c r="G589" t="b">
        <f>G586='2.2.Brecha Efectiva x UdM'!K105</f>
        <v>1</v>
      </c>
      <c r="H589" t="b">
        <f>H586='2.2.Brecha Efectiva x UdM'!L105</f>
        <v>1</v>
      </c>
      <c r="I589" t="b">
        <f>I586='2.2.Brecha Efectiva x UdM'!M105</f>
        <v>1</v>
      </c>
      <c r="J589" t="b">
        <f>J586='2.2.Brecha Efectiva x UdM'!N105</f>
        <v>1</v>
      </c>
      <c r="L589" s="23"/>
      <c r="M589" s="33"/>
    </row>
    <row r="590" spans="1:34" x14ac:dyDescent="0.2">
      <c r="J590" t="b">
        <f>AG587=SUM('2.2.Brecha Efectiva x UdM'!H105:AK105)</f>
        <v>0</v>
      </c>
      <c r="L590" s="23"/>
    </row>
    <row r="591" spans="1:34" x14ac:dyDescent="0.2">
      <c r="A591" s="35" t="s">
        <v>89</v>
      </c>
    </row>
    <row r="592" spans="1:34" hidden="1" x14ac:dyDescent="0.2">
      <c r="A592" s="46" t="s">
        <v>86</v>
      </c>
    </row>
    <row r="593" spans="1:34" hidden="1" x14ac:dyDescent="0.2"/>
    <row r="594" spans="1:34" hidden="1" x14ac:dyDescent="0.2">
      <c r="A594" s="24" t="s">
        <v>18</v>
      </c>
      <c r="B594" s="24" t="s">
        <v>42</v>
      </c>
      <c r="C594" s="24" t="s">
        <v>43</v>
      </c>
      <c r="D594" s="6">
        <v>2024</v>
      </c>
      <c r="E594" s="6">
        <v>2025</v>
      </c>
      <c r="F594" s="6">
        <v>2026</v>
      </c>
      <c r="G594" s="6">
        <v>2027</v>
      </c>
      <c r="H594" s="6">
        <v>2028</v>
      </c>
      <c r="I594" s="6">
        <v>2029</v>
      </c>
      <c r="J594" s="6">
        <v>2030</v>
      </c>
      <c r="K594" s="6">
        <v>2031</v>
      </c>
      <c r="L594" s="6">
        <v>2032</v>
      </c>
      <c r="M594" s="6">
        <v>2033</v>
      </c>
      <c r="N594" s="50">
        <v>2034</v>
      </c>
      <c r="O594" s="50">
        <v>2035</v>
      </c>
      <c r="P594" s="50">
        <v>2036</v>
      </c>
      <c r="Q594" s="50">
        <v>2037</v>
      </c>
      <c r="R594" s="50">
        <v>2038</v>
      </c>
      <c r="S594" s="50">
        <v>2039</v>
      </c>
      <c r="T594" s="50">
        <v>2040</v>
      </c>
      <c r="U594" s="50">
        <v>2041</v>
      </c>
      <c r="V594" s="50">
        <v>2042</v>
      </c>
      <c r="W594" s="50">
        <v>2043</v>
      </c>
      <c r="X594" s="50">
        <v>2044</v>
      </c>
      <c r="Y594" s="50">
        <v>2045</v>
      </c>
      <c r="Z594" s="50">
        <v>2046</v>
      </c>
      <c r="AA594" s="50">
        <v>2047</v>
      </c>
      <c r="AB594" s="50">
        <v>2048</v>
      </c>
      <c r="AC594" s="50">
        <v>2049</v>
      </c>
      <c r="AD594" s="50">
        <v>2050</v>
      </c>
      <c r="AE594" s="50">
        <v>2051</v>
      </c>
      <c r="AF594" s="50">
        <v>2052</v>
      </c>
      <c r="AG594" s="50">
        <v>2053</v>
      </c>
      <c r="AH594" s="6" t="s">
        <v>1</v>
      </c>
    </row>
    <row r="595" spans="1:34" hidden="1" x14ac:dyDescent="0.2">
      <c r="A595" s="25" t="str">
        <f t="shared" ref="A595:A618" si="568">A48</f>
        <v>Buenos Aires</v>
      </c>
      <c r="B595" s="51">
        <f>$I$3</f>
        <v>0</v>
      </c>
      <c r="C595" s="25" t="str">
        <f>CONCATENATE(A595," ",B595)</f>
        <v>Buenos Aires 0</v>
      </c>
      <c r="D595" s="32">
        <f>(VLOOKUP($A595,$A$458:$O$482,8,0)*(HLOOKUP(D$594,'2.2.Brecha Efectiva x UdM'!$H$86:$AK$92,5,0))+(VLOOKUP($A595,$A$4:$O$27,8,0)*(HLOOKUP(D$594,'2.2.Brecha Efectiva x UdM'!$H$64:$AK$70,5,0))))</f>
        <v>0</v>
      </c>
      <c r="E595" s="32">
        <f>(VLOOKUP($A595,$A$458:$O$482,8,0)*(HLOOKUP(E$594,'2.2.Brecha Efectiva x UdM'!$H$86:$AK$92,5,0))+(VLOOKUP($A595,$A$4:$O$27,8,0)*(HLOOKUP(E$594,'2.2.Brecha Efectiva x UdM'!$H$64:$AK$70,5,0))))</f>
        <v>0</v>
      </c>
      <c r="F595" s="32">
        <f>(VLOOKUP($A595,$A$458:$O$482,8,0)*(HLOOKUP(F$594,'2.2.Brecha Efectiva x UdM'!$H$86:$AK$92,5,0))+(VLOOKUP($A595,$A$4:$O$27,8,0)*(HLOOKUP(F$594,'2.2.Brecha Efectiva x UdM'!$H$64:$AK$70,5,0))))</f>
        <v>0</v>
      </c>
      <c r="G595" s="32">
        <f>(VLOOKUP($A595,$A$458:$O$482,8,0)*(HLOOKUP(G$594,'2.2.Brecha Efectiva x UdM'!$H$86:$AK$92,5,0))+(VLOOKUP($A595,$A$4:$O$27,8,0)*(HLOOKUP(G$594,'2.2.Brecha Efectiva x UdM'!$H$64:$AK$70,5,0))))</f>
        <v>0</v>
      </c>
      <c r="H595" s="32">
        <f>(VLOOKUP($A595,$A$458:$O$482,8,0)*(HLOOKUP(H$594,'2.2.Brecha Efectiva x UdM'!$H$86:$AK$92,5,0))+(VLOOKUP($A595,$A$4:$O$27,8,0)*(HLOOKUP(H$594,'2.2.Brecha Efectiva x UdM'!$H$64:$AK$70,5,0))))</f>
        <v>0</v>
      </c>
      <c r="I595" s="32">
        <f>(VLOOKUP($A595,$A$458:$O$482,8,0)*(HLOOKUP(I$594,'2.2.Brecha Efectiva x UdM'!$H$86:$AK$92,5,0))+(VLOOKUP($A595,$A$4:$O$27,8,0)*(HLOOKUP(I$594,'2.2.Brecha Efectiva x UdM'!$H$64:$AK$70,5,0))))</f>
        <v>0</v>
      </c>
      <c r="J595" s="32">
        <f>(VLOOKUP($A595,$A$458:$O$482,8,0)*(HLOOKUP(J$594,'2.2.Brecha Efectiva x UdM'!$H$86:$AK$92,5,0))+(VLOOKUP($A595,$A$4:$O$27,8,0)*(HLOOKUP(J$594,'2.2.Brecha Efectiva x UdM'!$H$64:$AK$70,5,0))))</f>
        <v>0</v>
      </c>
      <c r="K595" s="32">
        <f>(VLOOKUP($A595,$A$458:$O$482,8,0)*(HLOOKUP(K$594,'2.2.Brecha Efectiva x UdM'!$H$86:$AK$92,5,0))+(VLOOKUP($A595,$A$4:$O$27,8,0)*(HLOOKUP(K$594,'2.2.Brecha Efectiva x UdM'!$H$64:$AK$70,5,0))))</f>
        <v>0</v>
      </c>
      <c r="L595" s="32">
        <f>(VLOOKUP($A595,$A$458:$O$482,8,0)*(HLOOKUP(L$594,'2.2.Brecha Efectiva x UdM'!$H$86:$AK$92,5,0))+(VLOOKUP($A595,$A$4:$O$27,8,0)*(HLOOKUP(L$594,'2.2.Brecha Efectiva x UdM'!$H$64:$AK$70,5,0))))</f>
        <v>0</v>
      </c>
      <c r="M595" s="32">
        <f>(VLOOKUP($A595,$A$458:$O$482,8,0)*(HLOOKUP(M$594,'2.2.Brecha Efectiva x UdM'!$H$86:$AK$92,5,0))+(VLOOKUP($A595,$A$4:$O$27,8,0)*(HLOOKUP(M$594,'2.2.Brecha Efectiva x UdM'!$H$64:$AK$70,5,0))))</f>
        <v>0</v>
      </c>
      <c r="N595" s="32">
        <f>(VLOOKUP($A595,$A$458:$O$482,8,0)*(HLOOKUP(N$594,'2.2.Brecha Efectiva x UdM'!$H$86:$AK$92,5,0))+(VLOOKUP($A595,$A$4:$O$27,8,0)*(HLOOKUP(N$594,'2.2.Brecha Efectiva x UdM'!$H$64:$AK$70,5,0))))</f>
        <v>0</v>
      </c>
      <c r="O595" s="32">
        <f>(VLOOKUP($A595,$A$458:$O$482,8,0)*(HLOOKUP(O$594,'2.2.Brecha Efectiva x UdM'!$H$86:$AK$92,5,0))+(VLOOKUP($A595,$A$4:$O$27,8,0)*(HLOOKUP(O$594,'2.2.Brecha Efectiva x UdM'!$H$64:$AK$70,5,0))))</f>
        <v>0</v>
      </c>
      <c r="P595" s="32">
        <f>(VLOOKUP($A595,$A$458:$O$482,8,0)*(HLOOKUP(P$594,'2.2.Brecha Efectiva x UdM'!$H$86:$AK$92,5,0))+(VLOOKUP($A595,$A$4:$O$27,8,0)*(HLOOKUP(P$594,'2.2.Brecha Efectiva x UdM'!$H$64:$AK$70,5,0))))</f>
        <v>0</v>
      </c>
      <c r="Q595" s="32">
        <f>(VLOOKUP($A595,$A$458:$O$482,8,0)*(HLOOKUP(Q$594,'2.2.Brecha Efectiva x UdM'!$H$86:$AK$92,5,0))+(VLOOKUP($A595,$A$4:$O$27,8,0)*(HLOOKUP(Q$594,'2.2.Brecha Efectiva x UdM'!$H$64:$AK$70,5,0))))</f>
        <v>0</v>
      </c>
      <c r="R595" s="32">
        <f>(VLOOKUP($A595,$A$458:$O$482,8,0)*(HLOOKUP(R$594,'2.2.Brecha Efectiva x UdM'!$H$86:$AK$92,5,0))+(VLOOKUP($A595,$A$4:$O$27,8,0)*(HLOOKUP(R$594,'2.2.Brecha Efectiva x UdM'!$H$64:$AK$70,5,0))))</f>
        <v>0</v>
      </c>
      <c r="S595" s="32">
        <f>(VLOOKUP($A595,$A$458:$O$482,8,0)*(HLOOKUP(S$594,'2.2.Brecha Efectiva x UdM'!$H$86:$AK$92,5,0))+(VLOOKUP($A595,$A$4:$O$27,8,0)*(HLOOKUP(S$594,'2.2.Brecha Efectiva x UdM'!$H$64:$AK$70,5,0))))</f>
        <v>0</v>
      </c>
      <c r="T595" s="32">
        <f>(VLOOKUP($A595,$A$458:$O$482,8,0)*(HLOOKUP(T$594,'2.2.Brecha Efectiva x UdM'!$H$86:$AK$92,5,0))+(VLOOKUP($A595,$A$4:$O$27,8,0)*(HLOOKUP(T$594,'2.2.Brecha Efectiva x UdM'!$H$64:$AK$70,5,0))))</f>
        <v>0</v>
      </c>
      <c r="U595" s="32">
        <f>(VLOOKUP($A595,$A$458:$O$482,8,0)*(HLOOKUP(U$594,'2.2.Brecha Efectiva x UdM'!$H$86:$AK$92,5,0))+(VLOOKUP($A595,$A$4:$O$27,8,0)*(HLOOKUP(U$594,'2.2.Brecha Efectiva x UdM'!$H$64:$AK$70,5,0))))</f>
        <v>0</v>
      </c>
      <c r="V595" s="32">
        <f>(VLOOKUP($A595,$A$458:$O$482,8,0)*(HLOOKUP(V$594,'2.2.Brecha Efectiva x UdM'!$H$86:$AK$92,5,0))+(VLOOKUP($A595,$A$4:$O$27,8,0)*(HLOOKUP(V$594,'2.2.Brecha Efectiva x UdM'!$H$64:$AK$70,5,0))))</f>
        <v>0</v>
      </c>
      <c r="W595" s="32">
        <f>(VLOOKUP($A595,$A$458:$O$482,8,0)*(HLOOKUP(W$594,'2.2.Brecha Efectiva x UdM'!$H$86:$AK$92,5,0))+(VLOOKUP($A595,$A$4:$O$27,8,0)*(HLOOKUP(W$594,'2.2.Brecha Efectiva x UdM'!$H$64:$AK$70,5,0))))</f>
        <v>0</v>
      </c>
      <c r="X595" s="32">
        <f>(VLOOKUP($A595,$A$458:$O$482,8,0)*(HLOOKUP(X$594,'2.2.Brecha Efectiva x UdM'!$H$86:$AK$92,5,0))+(VLOOKUP($A595,$A$4:$O$27,8,0)*(HLOOKUP(X$594,'2.2.Brecha Efectiva x UdM'!$H$64:$AK$70,5,0))))</f>
        <v>0</v>
      </c>
      <c r="Y595" s="32">
        <f>(VLOOKUP($A595,$A$458:$O$482,8,0)*(HLOOKUP(Y$594,'2.2.Brecha Efectiva x UdM'!$H$86:$AK$92,5,0))+(VLOOKUP($A595,$A$4:$O$27,8,0)*(HLOOKUP(Y$594,'2.2.Brecha Efectiva x UdM'!$H$64:$AK$70,5,0))))</f>
        <v>0</v>
      </c>
      <c r="Z595" s="32">
        <f>(VLOOKUP($A595,$A$458:$O$482,8,0)*(HLOOKUP(Z$594,'2.2.Brecha Efectiva x UdM'!$H$86:$AK$92,5,0))+(VLOOKUP($A595,$A$4:$O$27,8,0)*(HLOOKUP(Z$594,'2.2.Brecha Efectiva x UdM'!$H$64:$AK$70,5,0))))</f>
        <v>0</v>
      </c>
      <c r="AA595" s="32">
        <f>(VLOOKUP($A595,$A$458:$O$482,8,0)*(HLOOKUP(AA$594,'2.2.Brecha Efectiva x UdM'!$H$86:$AK$92,5,0))+(VLOOKUP($A595,$A$4:$O$27,8,0)*(HLOOKUP(AA$594,'2.2.Brecha Efectiva x UdM'!$H$64:$AK$70,5,0))))</f>
        <v>0</v>
      </c>
      <c r="AB595" s="32">
        <f>(VLOOKUP($A595,$A$458:$O$482,8,0)*(HLOOKUP(AB$594,'2.2.Brecha Efectiva x UdM'!$H$86:$AK$92,5,0))+(VLOOKUP($A595,$A$4:$O$27,8,0)*(HLOOKUP(AB$594,'2.2.Brecha Efectiva x UdM'!$H$64:$AK$70,5,0))))</f>
        <v>0</v>
      </c>
      <c r="AC595" s="32">
        <f>(VLOOKUP($A595,$A$458:$O$482,8,0)*(HLOOKUP(AC$594,'2.2.Brecha Efectiva x UdM'!$H$86:$AK$92,5,0))+(VLOOKUP($A595,$A$4:$O$27,8,0)*(HLOOKUP(AC$594,'2.2.Brecha Efectiva x UdM'!$H$64:$AK$70,5,0))))</f>
        <v>0</v>
      </c>
      <c r="AD595" s="32">
        <f>(VLOOKUP($A595,$A$458:$O$482,8,0)*(HLOOKUP(AD$594,'2.2.Brecha Efectiva x UdM'!$H$86:$AK$92,5,0))+(VLOOKUP($A595,$A$4:$O$27,8,0)*(HLOOKUP(AD$594,'2.2.Brecha Efectiva x UdM'!$H$64:$AK$70,5,0))))</f>
        <v>0</v>
      </c>
      <c r="AE595" s="32">
        <f>(VLOOKUP($A595,$A$458:$O$482,8,0)*(HLOOKUP(AE$594,'2.2.Brecha Efectiva x UdM'!$H$86:$AK$92,5,0))+(VLOOKUP($A595,$A$4:$O$27,8,0)*(HLOOKUP(AE$594,'2.2.Brecha Efectiva x UdM'!$H$64:$AK$70,5,0))))</f>
        <v>0</v>
      </c>
      <c r="AF595" s="32">
        <f>(VLOOKUP($A595,$A$458:$O$482,8,0)*(HLOOKUP(AF$594,'2.2.Brecha Efectiva x UdM'!$H$86:$AK$92,5,0))+(VLOOKUP($A595,$A$4:$O$27,8,0)*(HLOOKUP(AF$594,'2.2.Brecha Efectiva x UdM'!$H$64:$AK$70,5,0))))</f>
        <v>0</v>
      </c>
      <c r="AG595" s="32">
        <f>(VLOOKUP($A595,$A$458:$O$482,8,0)*(HLOOKUP(AG$594,'2.2.Brecha Efectiva x UdM'!$H$86:$AK$92,5,0))+(VLOOKUP($A595,$A$4:$O$27,8,0)*(HLOOKUP(AG$594,'2.2.Brecha Efectiva x UdM'!$H$64:$AK$70,5,0))))</f>
        <v>0</v>
      </c>
      <c r="AH595" s="62">
        <f>SUM(D595:AG595)</f>
        <v>0</v>
      </c>
    </row>
    <row r="596" spans="1:34" hidden="1" x14ac:dyDescent="0.2">
      <c r="A596" s="26" t="str">
        <f t="shared" si="568"/>
        <v>CABA</v>
      </c>
      <c r="B596" s="52">
        <f t="shared" ref="B596:B618" si="569">$I$3</f>
        <v>0</v>
      </c>
      <c r="C596" s="26" t="str">
        <f t="shared" ref="C596:C618" si="570">CONCATENATE(A596," ",B596)</f>
        <v>CABA 0</v>
      </c>
      <c r="D596" s="31">
        <f>(VLOOKUP($A596,$A$458:$O$482,8,0)*(HLOOKUP(D$594,'2.2.Brecha Efectiva x UdM'!$H$86:$AK$92,5,0))+(VLOOKUP($A596,$A$4:$O$27,8,0)*(HLOOKUP(D$594,'2.2.Brecha Efectiva x UdM'!$H$64:$AK$70,5,0))))</f>
        <v>0</v>
      </c>
      <c r="E596" s="31">
        <f>(VLOOKUP($A596,$A$458:$O$482,8,0)*(HLOOKUP(E$594,'2.2.Brecha Efectiva x UdM'!$H$86:$AK$92,5,0))+(VLOOKUP($A596,$A$4:$O$27,8,0)*(HLOOKUP(E$594,'2.2.Brecha Efectiva x UdM'!$H$64:$AK$70,5,0))))</f>
        <v>0</v>
      </c>
      <c r="F596" s="31">
        <f>(VLOOKUP($A596,$A$458:$O$482,8,0)*(HLOOKUP(F$594,'2.2.Brecha Efectiva x UdM'!$H$86:$AK$92,5,0))+(VLOOKUP($A596,$A$4:$O$27,8,0)*(HLOOKUP(F$594,'2.2.Brecha Efectiva x UdM'!$H$64:$AK$70,5,0))))</f>
        <v>0</v>
      </c>
      <c r="G596" s="31">
        <f>(VLOOKUP($A596,$A$458:$O$482,8,0)*(HLOOKUP(G$594,'2.2.Brecha Efectiva x UdM'!$H$86:$AK$92,5,0))+(VLOOKUP($A596,$A$4:$O$27,8,0)*(HLOOKUP(G$594,'2.2.Brecha Efectiva x UdM'!$H$64:$AK$70,5,0))))</f>
        <v>0</v>
      </c>
      <c r="H596" s="31">
        <f>(VLOOKUP($A596,$A$458:$O$482,8,0)*(HLOOKUP(H$594,'2.2.Brecha Efectiva x UdM'!$H$86:$AK$92,5,0))+(VLOOKUP($A596,$A$4:$O$27,8,0)*(HLOOKUP(H$594,'2.2.Brecha Efectiva x UdM'!$H$64:$AK$70,5,0))))</f>
        <v>0</v>
      </c>
      <c r="I596" s="31">
        <f>(VLOOKUP($A596,$A$458:$O$482,8,0)*(HLOOKUP(I$594,'2.2.Brecha Efectiva x UdM'!$H$86:$AK$92,5,0))+(VLOOKUP($A596,$A$4:$O$27,8,0)*(HLOOKUP(I$594,'2.2.Brecha Efectiva x UdM'!$H$64:$AK$70,5,0))))</f>
        <v>0</v>
      </c>
      <c r="J596" s="31">
        <f>(VLOOKUP($A596,$A$458:$O$482,8,0)*(HLOOKUP(J$594,'2.2.Brecha Efectiva x UdM'!$H$86:$AK$92,5,0))+(VLOOKUP($A596,$A$4:$O$27,8,0)*(HLOOKUP(J$594,'2.2.Brecha Efectiva x UdM'!$H$64:$AK$70,5,0))))</f>
        <v>0</v>
      </c>
      <c r="K596" s="31">
        <f>(VLOOKUP($A596,$A$458:$O$482,8,0)*(HLOOKUP(K$594,'2.2.Brecha Efectiva x UdM'!$H$86:$AK$92,5,0))+(VLOOKUP($A596,$A$4:$O$27,8,0)*(HLOOKUP(K$594,'2.2.Brecha Efectiva x UdM'!$H$64:$AK$70,5,0))))</f>
        <v>0</v>
      </c>
      <c r="L596" s="31">
        <f>(VLOOKUP($A596,$A$458:$O$482,8,0)*(HLOOKUP(L$594,'2.2.Brecha Efectiva x UdM'!$H$86:$AK$92,5,0))+(VLOOKUP($A596,$A$4:$O$27,8,0)*(HLOOKUP(L$594,'2.2.Brecha Efectiva x UdM'!$H$64:$AK$70,5,0))))</f>
        <v>0</v>
      </c>
      <c r="M596" s="31">
        <f>(VLOOKUP($A596,$A$458:$O$482,8,0)*(HLOOKUP(M$594,'2.2.Brecha Efectiva x UdM'!$H$86:$AK$92,5,0))+(VLOOKUP($A596,$A$4:$O$27,8,0)*(HLOOKUP(M$594,'2.2.Brecha Efectiva x UdM'!$H$64:$AK$70,5,0))))</f>
        <v>0</v>
      </c>
      <c r="N596" s="31">
        <f>(VLOOKUP($A596,$A$458:$O$482,8,0)*(HLOOKUP(N$594,'2.2.Brecha Efectiva x UdM'!$H$86:$AK$92,5,0))+(VLOOKUP($A596,$A$4:$O$27,8,0)*(HLOOKUP(N$594,'2.2.Brecha Efectiva x UdM'!$H$64:$AK$70,5,0))))</f>
        <v>0</v>
      </c>
      <c r="O596" s="31">
        <f>(VLOOKUP($A596,$A$458:$O$482,8,0)*(HLOOKUP(O$594,'2.2.Brecha Efectiva x UdM'!$H$86:$AK$92,5,0))+(VLOOKUP($A596,$A$4:$O$27,8,0)*(HLOOKUP(O$594,'2.2.Brecha Efectiva x UdM'!$H$64:$AK$70,5,0))))</f>
        <v>0</v>
      </c>
      <c r="P596" s="31">
        <f>(VLOOKUP($A596,$A$458:$O$482,8,0)*(HLOOKUP(P$594,'2.2.Brecha Efectiva x UdM'!$H$86:$AK$92,5,0))+(VLOOKUP($A596,$A$4:$O$27,8,0)*(HLOOKUP(P$594,'2.2.Brecha Efectiva x UdM'!$H$64:$AK$70,5,0))))</f>
        <v>0</v>
      </c>
      <c r="Q596" s="31">
        <f>(VLOOKUP($A596,$A$458:$O$482,8,0)*(HLOOKUP(Q$594,'2.2.Brecha Efectiva x UdM'!$H$86:$AK$92,5,0))+(VLOOKUP($A596,$A$4:$O$27,8,0)*(HLOOKUP(Q$594,'2.2.Brecha Efectiva x UdM'!$H$64:$AK$70,5,0))))</f>
        <v>0</v>
      </c>
      <c r="R596" s="31">
        <f>(VLOOKUP($A596,$A$458:$O$482,8,0)*(HLOOKUP(R$594,'2.2.Brecha Efectiva x UdM'!$H$86:$AK$92,5,0))+(VLOOKUP($A596,$A$4:$O$27,8,0)*(HLOOKUP(R$594,'2.2.Brecha Efectiva x UdM'!$H$64:$AK$70,5,0))))</f>
        <v>0</v>
      </c>
      <c r="S596" s="31">
        <f>(VLOOKUP($A596,$A$458:$O$482,8,0)*(HLOOKUP(S$594,'2.2.Brecha Efectiva x UdM'!$H$86:$AK$92,5,0))+(VLOOKUP($A596,$A$4:$O$27,8,0)*(HLOOKUP(S$594,'2.2.Brecha Efectiva x UdM'!$H$64:$AK$70,5,0))))</f>
        <v>0</v>
      </c>
      <c r="T596" s="31">
        <f>(VLOOKUP($A596,$A$458:$O$482,8,0)*(HLOOKUP(T$594,'2.2.Brecha Efectiva x UdM'!$H$86:$AK$92,5,0))+(VLOOKUP($A596,$A$4:$O$27,8,0)*(HLOOKUP(T$594,'2.2.Brecha Efectiva x UdM'!$H$64:$AK$70,5,0))))</f>
        <v>0</v>
      </c>
      <c r="U596" s="31">
        <f>(VLOOKUP($A596,$A$458:$O$482,8,0)*(HLOOKUP(U$594,'2.2.Brecha Efectiva x UdM'!$H$86:$AK$92,5,0))+(VLOOKUP($A596,$A$4:$O$27,8,0)*(HLOOKUP(U$594,'2.2.Brecha Efectiva x UdM'!$H$64:$AK$70,5,0))))</f>
        <v>0</v>
      </c>
      <c r="V596" s="31">
        <f>(VLOOKUP($A596,$A$458:$O$482,8,0)*(HLOOKUP(V$594,'2.2.Brecha Efectiva x UdM'!$H$86:$AK$92,5,0))+(VLOOKUP($A596,$A$4:$O$27,8,0)*(HLOOKUP(V$594,'2.2.Brecha Efectiva x UdM'!$H$64:$AK$70,5,0))))</f>
        <v>0</v>
      </c>
      <c r="W596" s="31">
        <f>(VLOOKUP($A596,$A$458:$O$482,8,0)*(HLOOKUP(W$594,'2.2.Brecha Efectiva x UdM'!$H$86:$AK$92,5,0))+(VLOOKUP($A596,$A$4:$O$27,8,0)*(HLOOKUP(W$594,'2.2.Brecha Efectiva x UdM'!$H$64:$AK$70,5,0))))</f>
        <v>0</v>
      </c>
      <c r="X596" s="31">
        <f>(VLOOKUP($A596,$A$458:$O$482,8,0)*(HLOOKUP(X$594,'2.2.Brecha Efectiva x UdM'!$H$86:$AK$92,5,0))+(VLOOKUP($A596,$A$4:$O$27,8,0)*(HLOOKUP(X$594,'2.2.Brecha Efectiva x UdM'!$H$64:$AK$70,5,0))))</f>
        <v>0</v>
      </c>
      <c r="Y596" s="31">
        <f>(VLOOKUP($A596,$A$458:$O$482,8,0)*(HLOOKUP(Y$594,'2.2.Brecha Efectiva x UdM'!$H$86:$AK$92,5,0))+(VLOOKUP($A596,$A$4:$O$27,8,0)*(HLOOKUP(Y$594,'2.2.Brecha Efectiva x UdM'!$H$64:$AK$70,5,0))))</f>
        <v>0</v>
      </c>
      <c r="Z596" s="31">
        <f>(VLOOKUP($A596,$A$458:$O$482,8,0)*(HLOOKUP(Z$594,'2.2.Brecha Efectiva x UdM'!$H$86:$AK$92,5,0))+(VLOOKUP($A596,$A$4:$O$27,8,0)*(HLOOKUP(Z$594,'2.2.Brecha Efectiva x UdM'!$H$64:$AK$70,5,0))))</f>
        <v>0</v>
      </c>
      <c r="AA596" s="31">
        <f>(VLOOKUP($A596,$A$458:$O$482,8,0)*(HLOOKUP(AA$594,'2.2.Brecha Efectiva x UdM'!$H$86:$AK$92,5,0))+(VLOOKUP($A596,$A$4:$O$27,8,0)*(HLOOKUP(AA$594,'2.2.Brecha Efectiva x UdM'!$H$64:$AK$70,5,0))))</f>
        <v>0</v>
      </c>
      <c r="AB596" s="31">
        <f>(VLOOKUP($A596,$A$458:$O$482,8,0)*(HLOOKUP(AB$594,'2.2.Brecha Efectiva x UdM'!$H$86:$AK$92,5,0))+(VLOOKUP($A596,$A$4:$O$27,8,0)*(HLOOKUP(AB$594,'2.2.Brecha Efectiva x UdM'!$H$64:$AK$70,5,0))))</f>
        <v>0</v>
      </c>
      <c r="AC596" s="31">
        <f>(VLOOKUP($A596,$A$458:$O$482,8,0)*(HLOOKUP(AC$594,'2.2.Brecha Efectiva x UdM'!$H$86:$AK$92,5,0))+(VLOOKUP($A596,$A$4:$O$27,8,0)*(HLOOKUP(AC$594,'2.2.Brecha Efectiva x UdM'!$H$64:$AK$70,5,0))))</f>
        <v>0</v>
      </c>
      <c r="AD596" s="31">
        <f>(VLOOKUP($A596,$A$458:$O$482,8,0)*(HLOOKUP(AD$594,'2.2.Brecha Efectiva x UdM'!$H$86:$AK$92,5,0))+(VLOOKUP($A596,$A$4:$O$27,8,0)*(HLOOKUP(AD$594,'2.2.Brecha Efectiva x UdM'!$H$64:$AK$70,5,0))))</f>
        <v>0</v>
      </c>
      <c r="AE596" s="31">
        <f>(VLOOKUP($A596,$A$458:$O$482,8,0)*(HLOOKUP(AE$594,'2.2.Brecha Efectiva x UdM'!$H$86:$AK$92,5,0))+(VLOOKUP($A596,$A$4:$O$27,8,0)*(HLOOKUP(AE$594,'2.2.Brecha Efectiva x UdM'!$H$64:$AK$70,5,0))))</f>
        <v>0</v>
      </c>
      <c r="AF596" s="31">
        <f>(VLOOKUP($A596,$A$458:$O$482,8,0)*(HLOOKUP(AF$594,'2.2.Brecha Efectiva x UdM'!$H$86:$AK$92,5,0))+(VLOOKUP($A596,$A$4:$O$27,8,0)*(HLOOKUP(AF$594,'2.2.Brecha Efectiva x UdM'!$H$64:$AK$70,5,0))))</f>
        <v>0</v>
      </c>
      <c r="AG596" s="31">
        <f>(VLOOKUP($A596,$A$458:$O$482,8,0)*(HLOOKUP(AG$594,'2.2.Brecha Efectiva x UdM'!$H$86:$AK$92,5,0))+(VLOOKUP($A596,$A$4:$O$27,8,0)*(HLOOKUP(AG$594,'2.2.Brecha Efectiva x UdM'!$H$64:$AK$70,5,0))))</f>
        <v>0</v>
      </c>
      <c r="AH596" s="63">
        <f>SUM(D596:AG596)</f>
        <v>0</v>
      </c>
    </row>
    <row r="597" spans="1:34" hidden="1" x14ac:dyDescent="0.2">
      <c r="A597" s="25" t="str">
        <f t="shared" si="568"/>
        <v>Catamarca</v>
      </c>
      <c r="B597" s="51">
        <f t="shared" si="569"/>
        <v>0</v>
      </c>
      <c r="C597" s="25" t="str">
        <f t="shared" si="570"/>
        <v>Catamarca 0</v>
      </c>
      <c r="D597" s="32">
        <f>(VLOOKUP($A597,$A$458:$O$482,8,0)*(HLOOKUP(D$594,'2.2.Brecha Efectiva x UdM'!$H$86:$AK$92,5,0))+(VLOOKUP($A597,$A$4:$O$27,8,0)*(HLOOKUP(D$594,'2.2.Brecha Efectiva x UdM'!$H$64:$AK$70,5,0))))</f>
        <v>0</v>
      </c>
      <c r="E597" s="32">
        <f>(VLOOKUP($A597,$A$458:$O$482,8,0)*(HLOOKUP(E$594,'2.2.Brecha Efectiva x UdM'!$H$86:$AK$92,5,0))+(VLOOKUP($A597,$A$4:$O$27,8,0)*(HLOOKUP(E$594,'2.2.Brecha Efectiva x UdM'!$H$64:$AK$70,5,0))))</f>
        <v>0</v>
      </c>
      <c r="F597" s="32">
        <f>(VLOOKUP($A597,$A$458:$O$482,8,0)*(HLOOKUP(F$594,'2.2.Brecha Efectiva x UdM'!$H$86:$AK$92,5,0))+(VLOOKUP($A597,$A$4:$O$27,8,0)*(HLOOKUP(F$594,'2.2.Brecha Efectiva x UdM'!$H$64:$AK$70,5,0))))</f>
        <v>0</v>
      </c>
      <c r="G597" s="32">
        <f>(VLOOKUP($A597,$A$458:$O$482,8,0)*(HLOOKUP(G$594,'2.2.Brecha Efectiva x UdM'!$H$86:$AK$92,5,0))+(VLOOKUP($A597,$A$4:$O$27,8,0)*(HLOOKUP(G$594,'2.2.Brecha Efectiva x UdM'!$H$64:$AK$70,5,0))))</f>
        <v>0</v>
      </c>
      <c r="H597" s="32">
        <f>(VLOOKUP($A597,$A$458:$O$482,8,0)*(HLOOKUP(H$594,'2.2.Brecha Efectiva x UdM'!$H$86:$AK$92,5,0))+(VLOOKUP($A597,$A$4:$O$27,8,0)*(HLOOKUP(H$594,'2.2.Brecha Efectiva x UdM'!$H$64:$AK$70,5,0))))</f>
        <v>0</v>
      </c>
      <c r="I597" s="32">
        <f>(VLOOKUP($A597,$A$458:$O$482,8,0)*(HLOOKUP(I$594,'2.2.Brecha Efectiva x UdM'!$H$86:$AK$92,5,0))+(VLOOKUP($A597,$A$4:$O$27,8,0)*(HLOOKUP(I$594,'2.2.Brecha Efectiva x UdM'!$H$64:$AK$70,5,0))))</f>
        <v>0</v>
      </c>
      <c r="J597" s="32">
        <f>(VLOOKUP($A597,$A$458:$O$482,8,0)*(HLOOKUP(J$594,'2.2.Brecha Efectiva x UdM'!$H$86:$AK$92,5,0))+(VLOOKUP($A597,$A$4:$O$27,8,0)*(HLOOKUP(J$594,'2.2.Brecha Efectiva x UdM'!$H$64:$AK$70,5,0))))</f>
        <v>0</v>
      </c>
      <c r="K597" s="32">
        <f>(VLOOKUP($A597,$A$458:$O$482,8,0)*(HLOOKUP(K$594,'2.2.Brecha Efectiva x UdM'!$H$86:$AK$92,5,0))+(VLOOKUP($A597,$A$4:$O$27,8,0)*(HLOOKUP(K$594,'2.2.Brecha Efectiva x UdM'!$H$64:$AK$70,5,0))))</f>
        <v>0</v>
      </c>
      <c r="L597" s="32">
        <f>(VLOOKUP($A597,$A$458:$O$482,8,0)*(HLOOKUP(L$594,'2.2.Brecha Efectiva x UdM'!$H$86:$AK$92,5,0))+(VLOOKUP($A597,$A$4:$O$27,8,0)*(HLOOKUP(L$594,'2.2.Brecha Efectiva x UdM'!$H$64:$AK$70,5,0))))</f>
        <v>0</v>
      </c>
      <c r="M597" s="32">
        <f>(VLOOKUP($A597,$A$458:$O$482,8,0)*(HLOOKUP(M$594,'2.2.Brecha Efectiva x UdM'!$H$86:$AK$92,5,0))+(VLOOKUP($A597,$A$4:$O$27,8,0)*(HLOOKUP(M$594,'2.2.Brecha Efectiva x UdM'!$H$64:$AK$70,5,0))))</f>
        <v>0</v>
      </c>
      <c r="N597" s="32">
        <f>(VLOOKUP($A597,$A$458:$O$482,8,0)*(HLOOKUP(N$594,'2.2.Brecha Efectiva x UdM'!$H$86:$AK$92,5,0))+(VLOOKUP($A597,$A$4:$O$27,8,0)*(HLOOKUP(N$594,'2.2.Brecha Efectiva x UdM'!$H$64:$AK$70,5,0))))</f>
        <v>0</v>
      </c>
      <c r="O597" s="32">
        <f>(VLOOKUP($A597,$A$458:$O$482,8,0)*(HLOOKUP(O$594,'2.2.Brecha Efectiva x UdM'!$H$86:$AK$92,5,0))+(VLOOKUP($A597,$A$4:$O$27,8,0)*(HLOOKUP(O$594,'2.2.Brecha Efectiva x UdM'!$H$64:$AK$70,5,0))))</f>
        <v>0</v>
      </c>
      <c r="P597" s="32">
        <f>(VLOOKUP($A597,$A$458:$O$482,8,0)*(HLOOKUP(P$594,'2.2.Brecha Efectiva x UdM'!$H$86:$AK$92,5,0))+(VLOOKUP($A597,$A$4:$O$27,8,0)*(HLOOKUP(P$594,'2.2.Brecha Efectiva x UdM'!$H$64:$AK$70,5,0))))</f>
        <v>0</v>
      </c>
      <c r="Q597" s="32">
        <f>(VLOOKUP($A597,$A$458:$O$482,8,0)*(HLOOKUP(Q$594,'2.2.Brecha Efectiva x UdM'!$H$86:$AK$92,5,0))+(VLOOKUP($A597,$A$4:$O$27,8,0)*(HLOOKUP(Q$594,'2.2.Brecha Efectiva x UdM'!$H$64:$AK$70,5,0))))</f>
        <v>0</v>
      </c>
      <c r="R597" s="32">
        <f>(VLOOKUP($A597,$A$458:$O$482,8,0)*(HLOOKUP(R$594,'2.2.Brecha Efectiva x UdM'!$H$86:$AK$92,5,0))+(VLOOKUP($A597,$A$4:$O$27,8,0)*(HLOOKUP(R$594,'2.2.Brecha Efectiva x UdM'!$H$64:$AK$70,5,0))))</f>
        <v>0</v>
      </c>
      <c r="S597" s="32">
        <f>(VLOOKUP($A597,$A$458:$O$482,8,0)*(HLOOKUP(S$594,'2.2.Brecha Efectiva x UdM'!$H$86:$AK$92,5,0))+(VLOOKUP($A597,$A$4:$O$27,8,0)*(HLOOKUP(S$594,'2.2.Brecha Efectiva x UdM'!$H$64:$AK$70,5,0))))</f>
        <v>0</v>
      </c>
      <c r="T597" s="32">
        <f>(VLOOKUP($A597,$A$458:$O$482,8,0)*(HLOOKUP(T$594,'2.2.Brecha Efectiva x UdM'!$H$86:$AK$92,5,0))+(VLOOKUP($A597,$A$4:$O$27,8,0)*(HLOOKUP(T$594,'2.2.Brecha Efectiva x UdM'!$H$64:$AK$70,5,0))))</f>
        <v>0</v>
      </c>
      <c r="U597" s="32">
        <f>(VLOOKUP($A597,$A$458:$O$482,8,0)*(HLOOKUP(U$594,'2.2.Brecha Efectiva x UdM'!$H$86:$AK$92,5,0))+(VLOOKUP($A597,$A$4:$O$27,8,0)*(HLOOKUP(U$594,'2.2.Brecha Efectiva x UdM'!$H$64:$AK$70,5,0))))</f>
        <v>0</v>
      </c>
      <c r="V597" s="32">
        <f>(VLOOKUP($A597,$A$458:$O$482,8,0)*(HLOOKUP(V$594,'2.2.Brecha Efectiva x UdM'!$H$86:$AK$92,5,0))+(VLOOKUP($A597,$A$4:$O$27,8,0)*(HLOOKUP(V$594,'2.2.Brecha Efectiva x UdM'!$H$64:$AK$70,5,0))))</f>
        <v>0</v>
      </c>
      <c r="W597" s="32">
        <f>(VLOOKUP($A597,$A$458:$O$482,8,0)*(HLOOKUP(W$594,'2.2.Brecha Efectiva x UdM'!$H$86:$AK$92,5,0))+(VLOOKUP($A597,$A$4:$O$27,8,0)*(HLOOKUP(W$594,'2.2.Brecha Efectiva x UdM'!$H$64:$AK$70,5,0))))</f>
        <v>0</v>
      </c>
      <c r="X597" s="32">
        <f>(VLOOKUP($A597,$A$458:$O$482,8,0)*(HLOOKUP(X$594,'2.2.Brecha Efectiva x UdM'!$H$86:$AK$92,5,0))+(VLOOKUP($A597,$A$4:$O$27,8,0)*(HLOOKUP(X$594,'2.2.Brecha Efectiva x UdM'!$H$64:$AK$70,5,0))))</f>
        <v>0</v>
      </c>
      <c r="Y597" s="32">
        <f>(VLOOKUP($A597,$A$458:$O$482,8,0)*(HLOOKUP(Y$594,'2.2.Brecha Efectiva x UdM'!$H$86:$AK$92,5,0))+(VLOOKUP($A597,$A$4:$O$27,8,0)*(HLOOKUP(Y$594,'2.2.Brecha Efectiva x UdM'!$H$64:$AK$70,5,0))))</f>
        <v>0</v>
      </c>
      <c r="Z597" s="32">
        <f>(VLOOKUP($A597,$A$458:$O$482,8,0)*(HLOOKUP(Z$594,'2.2.Brecha Efectiva x UdM'!$H$86:$AK$92,5,0))+(VLOOKUP($A597,$A$4:$O$27,8,0)*(HLOOKUP(Z$594,'2.2.Brecha Efectiva x UdM'!$H$64:$AK$70,5,0))))</f>
        <v>0</v>
      </c>
      <c r="AA597" s="32">
        <f>(VLOOKUP($A597,$A$458:$O$482,8,0)*(HLOOKUP(AA$594,'2.2.Brecha Efectiva x UdM'!$H$86:$AK$92,5,0))+(VLOOKUP($A597,$A$4:$O$27,8,0)*(HLOOKUP(AA$594,'2.2.Brecha Efectiva x UdM'!$H$64:$AK$70,5,0))))</f>
        <v>0</v>
      </c>
      <c r="AB597" s="32">
        <f>(VLOOKUP($A597,$A$458:$O$482,8,0)*(HLOOKUP(AB$594,'2.2.Brecha Efectiva x UdM'!$H$86:$AK$92,5,0))+(VLOOKUP($A597,$A$4:$O$27,8,0)*(HLOOKUP(AB$594,'2.2.Brecha Efectiva x UdM'!$H$64:$AK$70,5,0))))</f>
        <v>0</v>
      </c>
      <c r="AC597" s="32">
        <f>(VLOOKUP($A597,$A$458:$O$482,8,0)*(HLOOKUP(AC$594,'2.2.Brecha Efectiva x UdM'!$H$86:$AK$92,5,0))+(VLOOKUP($A597,$A$4:$O$27,8,0)*(HLOOKUP(AC$594,'2.2.Brecha Efectiva x UdM'!$H$64:$AK$70,5,0))))</f>
        <v>0</v>
      </c>
      <c r="AD597" s="32">
        <f>(VLOOKUP($A597,$A$458:$O$482,8,0)*(HLOOKUP(AD$594,'2.2.Brecha Efectiva x UdM'!$H$86:$AK$92,5,0))+(VLOOKUP($A597,$A$4:$O$27,8,0)*(HLOOKUP(AD$594,'2.2.Brecha Efectiva x UdM'!$H$64:$AK$70,5,0))))</f>
        <v>0</v>
      </c>
      <c r="AE597" s="32">
        <f>(VLOOKUP($A597,$A$458:$O$482,8,0)*(HLOOKUP(AE$594,'2.2.Brecha Efectiva x UdM'!$H$86:$AK$92,5,0))+(VLOOKUP($A597,$A$4:$O$27,8,0)*(HLOOKUP(AE$594,'2.2.Brecha Efectiva x UdM'!$H$64:$AK$70,5,0))))</f>
        <v>0</v>
      </c>
      <c r="AF597" s="32">
        <f>(VLOOKUP($A597,$A$458:$O$482,8,0)*(HLOOKUP(AF$594,'2.2.Brecha Efectiva x UdM'!$H$86:$AK$92,5,0))+(VLOOKUP($A597,$A$4:$O$27,8,0)*(HLOOKUP(AF$594,'2.2.Brecha Efectiva x UdM'!$H$64:$AK$70,5,0))))</f>
        <v>0</v>
      </c>
      <c r="AG597" s="32">
        <f>(VLOOKUP($A597,$A$458:$O$482,8,0)*(HLOOKUP(AG$594,'2.2.Brecha Efectiva x UdM'!$H$86:$AK$92,5,0))+(VLOOKUP($A597,$A$4:$O$27,8,0)*(HLOOKUP(AG$594,'2.2.Brecha Efectiva x UdM'!$H$64:$AK$70,5,0))))</f>
        <v>0</v>
      </c>
      <c r="AH597" s="62">
        <f t="shared" ref="AH597:AH619" si="571">SUM(D597:AG597)</f>
        <v>0</v>
      </c>
    </row>
    <row r="598" spans="1:34" hidden="1" x14ac:dyDescent="0.2">
      <c r="A598" s="26" t="str">
        <f t="shared" si="568"/>
        <v>Chaco</v>
      </c>
      <c r="B598" s="52">
        <f t="shared" si="569"/>
        <v>0</v>
      </c>
      <c r="C598" s="26" t="str">
        <f t="shared" si="570"/>
        <v>Chaco 0</v>
      </c>
      <c r="D598" s="31">
        <f>(VLOOKUP($A598,$A$458:$O$482,8,0)*(HLOOKUP(D$594,'2.2.Brecha Efectiva x UdM'!$H$86:$AK$92,5,0))+(VLOOKUP($A598,$A$4:$O$27,8,0)*(HLOOKUP(D$594,'2.2.Brecha Efectiva x UdM'!$H$64:$AK$70,5,0))))</f>
        <v>0</v>
      </c>
      <c r="E598" s="31">
        <f>(VLOOKUP($A598,$A$458:$O$482,8,0)*(HLOOKUP(E$594,'2.2.Brecha Efectiva x UdM'!$H$86:$AK$92,5,0))+(VLOOKUP($A598,$A$4:$O$27,8,0)*(HLOOKUP(E$594,'2.2.Brecha Efectiva x UdM'!$H$64:$AK$70,5,0))))</f>
        <v>0</v>
      </c>
      <c r="F598" s="31">
        <f>(VLOOKUP($A598,$A$458:$O$482,8,0)*(HLOOKUP(F$594,'2.2.Brecha Efectiva x UdM'!$H$86:$AK$92,5,0))+(VLOOKUP($A598,$A$4:$O$27,8,0)*(HLOOKUP(F$594,'2.2.Brecha Efectiva x UdM'!$H$64:$AK$70,5,0))))</f>
        <v>0</v>
      </c>
      <c r="G598" s="31">
        <f>(VLOOKUP($A598,$A$458:$O$482,8,0)*(HLOOKUP(G$594,'2.2.Brecha Efectiva x UdM'!$H$86:$AK$92,5,0))+(VLOOKUP($A598,$A$4:$O$27,8,0)*(HLOOKUP(G$594,'2.2.Brecha Efectiva x UdM'!$H$64:$AK$70,5,0))))</f>
        <v>0</v>
      </c>
      <c r="H598" s="31">
        <f>(VLOOKUP($A598,$A$458:$O$482,8,0)*(HLOOKUP(H$594,'2.2.Brecha Efectiva x UdM'!$H$86:$AK$92,5,0))+(VLOOKUP($A598,$A$4:$O$27,8,0)*(HLOOKUP(H$594,'2.2.Brecha Efectiva x UdM'!$H$64:$AK$70,5,0))))</f>
        <v>0</v>
      </c>
      <c r="I598" s="31">
        <f>(VLOOKUP($A598,$A$458:$O$482,8,0)*(HLOOKUP(I$594,'2.2.Brecha Efectiva x UdM'!$H$86:$AK$92,5,0))+(VLOOKUP($A598,$A$4:$O$27,8,0)*(HLOOKUP(I$594,'2.2.Brecha Efectiva x UdM'!$H$64:$AK$70,5,0))))</f>
        <v>0</v>
      </c>
      <c r="J598" s="31">
        <f>(VLOOKUP($A598,$A$458:$O$482,8,0)*(HLOOKUP(J$594,'2.2.Brecha Efectiva x UdM'!$H$86:$AK$92,5,0))+(VLOOKUP($A598,$A$4:$O$27,8,0)*(HLOOKUP(J$594,'2.2.Brecha Efectiva x UdM'!$H$64:$AK$70,5,0))))</f>
        <v>0</v>
      </c>
      <c r="K598" s="31">
        <f>(VLOOKUP($A598,$A$458:$O$482,8,0)*(HLOOKUP(K$594,'2.2.Brecha Efectiva x UdM'!$H$86:$AK$92,5,0))+(VLOOKUP($A598,$A$4:$O$27,8,0)*(HLOOKUP(K$594,'2.2.Brecha Efectiva x UdM'!$H$64:$AK$70,5,0))))</f>
        <v>0</v>
      </c>
      <c r="L598" s="31">
        <f>(VLOOKUP($A598,$A$458:$O$482,8,0)*(HLOOKUP(L$594,'2.2.Brecha Efectiva x UdM'!$H$86:$AK$92,5,0))+(VLOOKUP($A598,$A$4:$O$27,8,0)*(HLOOKUP(L$594,'2.2.Brecha Efectiva x UdM'!$H$64:$AK$70,5,0))))</f>
        <v>0</v>
      </c>
      <c r="M598" s="31">
        <f>(VLOOKUP($A598,$A$458:$O$482,8,0)*(HLOOKUP(M$594,'2.2.Brecha Efectiva x UdM'!$H$86:$AK$92,5,0))+(VLOOKUP($A598,$A$4:$O$27,8,0)*(HLOOKUP(M$594,'2.2.Brecha Efectiva x UdM'!$H$64:$AK$70,5,0))))</f>
        <v>0</v>
      </c>
      <c r="N598" s="31">
        <f>(VLOOKUP($A598,$A$458:$O$482,8,0)*(HLOOKUP(N$594,'2.2.Brecha Efectiva x UdM'!$H$86:$AK$92,5,0))+(VLOOKUP($A598,$A$4:$O$27,8,0)*(HLOOKUP(N$594,'2.2.Brecha Efectiva x UdM'!$H$64:$AK$70,5,0))))</f>
        <v>0</v>
      </c>
      <c r="O598" s="31">
        <f>(VLOOKUP($A598,$A$458:$O$482,8,0)*(HLOOKUP(O$594,'2.2.Brecha Efectiva x UdM'!$H$86:$AK$92,5,0))+(VLOOKUP($A598,$A$4:$O$27,8,0)*(HLOOKUP(O$594,'2.2.Brecha Efectiva x UdM'!$H$64:$AK$70,5,0))))</f>
        <v>0</v>
      </c>
      <c r="P598" s="31">
        <f>(VLOOKUP($A598,$A$458:$O$482,8,0)*(HLOOKUP(P$594,'2.2.Brecha Efectiva x UdM'!$H$86:$AK$92,5,0))+(VLOOKUP($A598,$A$4:$O$27,8,0)*(HLOOKUP(P$594,'2.2.Brecha Efectiva x UdM'!$H$64:$AK$70,5,0))))</f>
        <v>0</v>
      </c>
      <c r="Q598" s="31">
        <f>(VLOOKUP($A598,$A$458:$O$482,8,0)*(HLOOKUP(Q$594,'2.2.Brecha Efectiva x UdM'!$H$86:$AK$92,5,0))+(VLOOKUP($A598,$A$4:$O$27,8,0)*(HLOOKUP(Q$594,'2.2.Brecha Efectiva x UdM'!$H$64:$AK$70,5,0))))</f>
        <v>0</v>
      </c>
      <c r="R598" s="31">
        <f>(VLOOKUP($A598,$A$458:$O$482,8,0)*(HLOOKUP(R$594,'2.2.Brecha Efectiva x UdM'!$H$86:$AK$92,5,0))+(VLOOKUP($A598,$A$4:$O$27,8,0)*(HLOOKUP(R$594,'2.2.Brecha Efectiva x UdM'!$H$64:$AK$70,5,0))))</f>
        <v>0</v>
      </c>
      <c r="S598" s="31">
        <f>(VLOOKUP($A598,$A$458:$O$482,8,0)*(HLOOKUP(S$594,'2.2.Brecha Efectiva x UdM'!$H$86:$AK$92,5,0))+(VLOOKUP($A598,$A$4:$O$27,8,0)*(HLOOKUP(S$594,'2.2.Brecha Efectiva x UdM'!$H$64:$AK$70,5,0))))</f>
        <v>0</v>
      </c>
      <c r="T598" s="31">
        <f>(VLOOKUP($A598,$A$458:$O$482,8,0)*(HLOOKUP(T$594,'2.2.Brecha Efectiva x UdM'!$H$86:$AK$92,5,0))+(VLOOKUP($A598,$A$4:$O$27,8,0)*(HLOOKUP(T$594,'2.2.Brecha Efectiva x UdM'!$H$64:$AK$70,5,0))))</f>
        <v>0</v>
      </c>
      <c r="U598" s="31">
        <f>(VLOOKUP($A598,$A$458:$O$482,8,0)*(HLOOKUP(U$594,'2.2.Brecha Efectiva x UdM'!$H$86:$AK$92,5,0))+(VLOOKUP($A598,$A$4:$O$27,8,0)*(HLOOKUP(U$594,'2.2.Brecha Efectiva x UdM'!$H$64:$AK$70,5,0))))</f>
        <v>0</v>
      </c>
      <c r="V598" s="31">
        <f>(VLOOKUP($A598,$A$458:$O$482,8,0)*(HLOOKUP(V$594,'2.2.Brecha Efectiva x UdM'!$H$86:$AK$92,5,0))+(VLOOKUP($A598,$A$4:$O$27,8,0)*(HLOOKUP(V$594,'2.2.Brecha Efectiva x UdM'!$H$64:$AK$70,5,0))))</f>
        <v>0</v>
      </c>
      <c r="W598" s="31">
        <f>(VLOOKUP($A598,$A$458:$O$482,8,0)*(HLOOKUP(W$594,'2.2.Brecha Efectiva x UdM'!$H$86:$AK$92,5,0))+(VLOOKUP($A598,$A$4:$O$27,8,0)*(HLOOKUP(W$594,'2.2.Brecha Efectiva x UdM'!$H$64:$AK$70,5,0))))</f>
        <v>0</v>
      </c>
      <c r="X598" s="31">
        <f>(VLOOKUP($A598,$A$458:$O$482,8,0)*(HLOOKUP(X$594,'2.2.Brecha Efectiva x UdM'!$H$86:$AK$92,5,0))+(VLOOKUP($A598,$A$4:$O$27,8,0)*(HLOOKUP(X$594,'2.2.Brecha Efectiva x UdM'!$H$64:$AK$70,5,0))))</f>
        <v>0</v>
      </c>
      <c r="Y598" s="31">
        <f>(VLOOKUP($A598,$A$458:$O$482,8,0)*(HLOOKUP(Y$594,'2.2.Brecha Efectiva x UdM'!$H$86:$AK$92,5,0))+(VLOOKUP($A598,$A$4:$O$27,8,0)*(HLOOKUP(Y$594,'2.2.Brecha Efectiva x UdM'!$H$64:$AK$70,5,0))))</f>
        <v>0</v>
      </c>
      <c r="Z598" s="31">
        <f>(VLOOKUP($A598,$A$458:$O$482,8,0)*(HLOOKUP(Z$594,'2.2.Brecha Efectiva x UdM'!$H$86:$AK$92,5,0))+(VLOOKUP($A598,$A$4:$O$27,8,0)*(HLOOKUP(Z$594,'2.2.Brecha Efectiva x UdM'!$H$64:$AK$70,5,0))))</f>
        <v>0</v>
      </c>
      <c r="AA598" s="31">
        <f>(VLOOKUP($A598,$A$458:$O$482,8,0)*(HLOOKUP(AA$594,'2.2.Brecha Efectiva x UdM'!$H$86:$AK$92,5,0))+(VLOOKUP($A598,$A$4:$O$27,8,0)*(HLOOKUP(AA$594,'2.2.Brecha Efectiva x UdM'!$H$64:$AK$70,5,0))))</f>
        <v>0</v>
      </c>
      <c r="AB598" s="31">
        <f>(VLOOKUP($A598,$A$458:$O$482,8,0)*(HLOOKUP(AB$594,'2.2.Brecha Efectiva x UdM'!$H$86:$AK$92,5,0))+(VLOOKUP($A598,$A$4:$O$27,8,0)*(HLOOKUP(AB$594,'2.2.Brecha Efectiva x UdM'!$H$64:$AK$70,5,0))))</f>
        <v>0</v>
      </c>
      <c r="AC598" s="31">
        <f>(VLOOKUP($A598,$A$458:$O$482,8,0)*(HLOOKUP(AC$594,'2.2.Brecha Efectiva x UdM'!$H$86:$AK$92,5,0))+(VLOOKUP($A598,$A$4:$O$27,8,0)*(HLOOKUP(AC$594,'2.2.Brecha Efectiva x UdM'!$H$64:$AK$70,5,0))))</f>
        <v>0</v>
      </c>
      <c r="AD598" s="31">
        <f>(VLOOKUP($A598,$A$458:$O$482,8,0)*(HLOOKUP(AD$594,'2.2.Brecha Efectiva x UdM'!$H$86:$AK$92,5,0))+(VLOOKUP($A598,$A$4:$O$27,8,0)*(HLOOKUP(AD$594,'2.2.Brecha Efectiva x UdM'!$H$64:$AK$70,5,0))))</f>
        <v>0</v>
      </c>
      <c r="AE598" s="31">
        <f>(VLOOKUP($A598,$A$458:$O$482,8,0)*(HLOOKUP(AE$594,'2.2.Brecha Efectiva x UdM'!$H$86:$AK$92,5,0))+(VLOOKUP($A598,$A$4:$O$27,8,0)*(HLOOKUP(AE$594,'2.2.Brecha Efectiva x UdM'!$H$64:$AK$70,5,0))))</f>
        <v>0</v>
      </c>
      <c r="AF598" s="31">
        <f>(VLOOKUP($A598,$A$458:$O$482,8,0)*(HLOOKUP(AF$594,'2.2.Brecha Efectiva x UdM'!$H$86:$AK$92,5,0))+(VLOOKUP($A598,$A$4:$O$27,8,0)*(HLOOKUP(AF$594,'2.2.Brecha Efectiva x UdM'!$H$64:$AK$70,5,0))))</f>
        <v>0</v>
      </c>
      <c r="AG598" s="31">
        <f>(VLOOKUP($A598,$A$458:$O$482,8,0)*(HLOOKUP(AG$594,'2.2.Brecha Efectiva x UdM'!$H$86:$AK$92,5,0))+(VLOOKUP($A598,$A$4:$O$27,8,0)*(HLOOKUP(AG$594,'2.2.Brecha Efectiva x UdM'!$H$64:$AK$70,5,0))))</f>
        <v>0</v>
      </c>
      <c r="AH598" s="63">
        <f t="shared" si="571"/>
        <v>0</v>
      </c>
    </row>
    <row r="599" spans="1:34" hidden="1" x14ac:dyDescent="0.2">
      <c r="A599" s="25" t="str">
        <f t="shared" si="568"/>
        <v>Chubut</v>
      </c>
      <c r="B599" s="51">
        <f t="shared" si="569"/>
        <v>0</v>
      </c>
      <c r="C599" s="25" t="str">
        <f t="shared" si="570"/>
        <v>Chubut 0</v>
      </c>
      <c r="D599" s="32">
        <f>(VLOOKUP($A599,$A$458:$O$482,8,0)*(HLOOKUP(D$594,'2.2.Brecha Efectiva x UdM'!$H$86:$AK$92,5,0))+(VLOOKUP($A599,$A$4:$O$27,8,0)*(HLOOKUP(D$594,'2.2.Brecha Efectiva x UdM'!$H$64:$AK$70,5,0))))</f>
        <v>0</v>
      </c>
      <c r="E599" s="32">
        <f>(VLOOKUP($A599,$A$458:$O$482,8,0)*(HLOOKUP(E$594,'2.2.Brecha Efectiva x UdM'!$H$86:$AK$92,5,0))+(VLOOKUP($A599,$A$4:$O$27,8,0)*(HLOOKUP(E$594,'2.2.Brecha Efectiva x UdM'!$H$64:$AK$70,5,0))))</f>
        <v>0</v>
      </c>
      <c r="F599" s="32">
        <f>(VLOOKUP($A599,$A$458:$O$482,8,0)*(HLOOKUP(F$594,'2.2.Brecha Efectiva x UdM'!$H$86:$AK$92,5,0))+(VLOOKUP($A599,$A$4:$O$27,8,0)*(HLOOKUP(F$594,'2.2.Brecha Efectiva x UdM'!$H$64:$AK$70,5,0))))</f>
        <v>0</v>
      </c>
      <c r="G599" s="32">
        <f>(VLOOKUP($A599,$A$458:$O$482,8,0)*(HLOOKUP(G$594,'2.2.Brecha Efectiva x UdM'!$H$86:$AK$92,5,0))+(VLOOKUP($A599,$A$4:$O$27,8,0)*(HLOOKUP(G$594,'2.2.Brecha Efectiva x UdM'!$H$64:$AK$70,5,0))))</f>
        <v>0</v>
      </c>
      <c r="H599" s="32">
        <f>(VLOOKUP($A599,$A$458:$O$482,8,0)*(HLOOKUP(H$594,'2.2.Brecha Efectiva x UdM'!$H$86:$AK$92,5,0))+(VLOOKUP($A599,$A$4:$O$27,8,0)*(HLOOKUP(H$594,'2.2.Brecha Efectiva x UdM'!$H$64:$AK$70,5,0))))</f>
        <v>0</v>
      </c>
      <c r="I599" s="32">
        <f>(VLOOKUP($A599,$A$458:$O$482,8,0)*(HLOOKUP(I$594,'2.2.Brecha Efectiva x UdM'!$H$86:$AK$92,5,0))+(VLOOKUP($A599,$A$4:$O$27,8,0)*(HLOOKUP(I$594,'2.2.Brecha Efectiva x UdM'!$H$64:$AK$70,5,0))))</f>
        <v>0</v>
      </c>
      <c r="J599" s="32">
        <f>(VLOOKUP($A599,$A$458:$O$482,8,0)*(HLOOKUP(J$594,'2.2.Brecha Efectiva x UdM'!$H$86:$AK$92,5,0))+(VLOOKUP($A599,$A$4:$O$27,8,0)*(HLOOKUP(J$594,'2.2.Brecha Efectiva x UdM'!$H$64:$AK$70,5,0))))</f>
        <v>0</v>
      </c>
      <c r="K599" s="32">
        <f>(VLOOKUP($A599,$A$458:$O$482,8,0)*(HLOOKUP(K$594,'2.2.Brecha Efectiva x UdM'!$H$86:$AK$92,5,0))+(VLOOKUP($A599,$A$4:$O$27,8,0)*(HLOOKUP(K$594,'2.2.Brecha Efectiva x UdM'!$H$64:$AK$70,5,0))))</f>
        <v>0</v>
      </c>
      <c r="L599" s="32">
        <f>(VLOOKUP($A599,$A$458:$O$482,8,0)*(HLOOKUP(L$594,'2.2.Brecha Efectiva x UdM'!$H$86:$AK$92,5,0))+(VLOOKUP($A599,$A$4:$O$27,8,0)*(HLOOKUP(L$594,'2.2.Brecha Efectiva x UdM'!$H$64:$AK$70,5,0))))</f>
        <v>0</v>
      </c>
      <c r="M599" s="32">
        <f>(VLOOKUP($A599,$A$458:$O$482,8,0)*(HLOOKUP(M$594,'2.2.Brecha Efectiva x UdM'!$H$86:$AK$92,5,0))+(VLOOKUP($A599,$A$4:$O$27,8,0)*(HLOOKUP(M$594,'2.2.Brecha Efectiva x UdM'!$H$64:$AK$70,5,0))))</f>
        <v>0</v>
      </c>
      <c r="N599" s="32">
        <f>(VLOOKUP($A599,$A$458:$O$482,8,0)*(HLOOKUP(N$594,'2.2.Brecha Efectiva x UdM'!$H$86:$AK$92,5,0))+(VLOOKUP($A599,$A$4:$O$27,8,0)*(HLOOKUP(N$594,'2.2.Brecha Efectiva x UdM'!$H$64:$AK$70,5,0))))</f>
        <v>0</v>
      </c>
      <c r="O599" s="32">
        <f>(VLOOKUP($A599,$A$458:$O$482,8,0)*(HLOOKUP(O$594,'2.2.Brecha Efectiva x UdM'!$H$86:$AK$92,5,0))+(VLOOKUP($A599,$A$4:$O$27,8,0)*(HLOOKUP(O$594,'2.2.Brecha Efectiva x UdM'!$H$64:$AK$70,5,0))))</f>
        <v>0</v>
      </c>
      <c r="P599" s="32">
        <f>(VLOOKUP($A599,$A$458:$O$482,8,0)*(HLOOKUP(P$594,'2.2.Brecha Efectiva x UdM'!$H$86:$AK$92,5,0))+(VLOOKUP($A599,$A$4:$O$27,8,0)*(HLOOKUP(P$594,'2.2.Brecha Efectiva x UdM'!$H$64:$AK$70,5,0))))</f>
        <v>0</v>
      </c>
      <c r="Q599" s="32">
        <f>(VLOOKUP($A599,$A$458:$O$482,8,0)*(HLOOKUP(Q$594,'2.2.Brecha Efectiva x UdM'!$H$86:$AK$92,5,0))+(VLOOKUP($A599,$A$4:$O$27,8,0)*(HLOOKUP(Q$594,'2.2.Brecha Efectiva x UdM'!$H$64:$AK$70,5,0))))</f>
        <v>0</v>
      </c>
      <c r="R599" s="32">
        <f>(VLOOKUP($A599,$A$458:$O$482,8,0)*(HLOOKUP(R$594,'2.2.Brecha Efectiva x UdM'!$H$86:$AK$92,5,0))+(VLOOKUP($A599,$A$4:$O$27,8,0)*(HLOOKUP(R$594,'2.2.Brecha Efectiva x UdM'!$H$64:$AK$70,5,0))))</f>
        <v>0</v>
      </c>
      <c r="S599" s="32">
        <f>(VLOOKUP($A599,$A$458:$O$482,8,0)*(HLOOKUP(S$594,'2.2.Brecha Efectiva x UdM'!$H$86:$AK$92,5,0))+(VLOOKUP($A599,$A$4:$O$27,8,0)*(HLOOKUP(S$594,'2.2.Brecha Efectiva x UdM'!$H$64:$AK$70,5,0))))</f>
        <v>0</v>
      </c>
      <c r="T599" s="32">
        <f>(VLOOKUP($A599,$A$458:$O$482,8,0)*(HLOOKUP(T$594,'2.2.Brecha Efectiva x UdM'!$H$86:$AK$92,5,0))+(VLOOKUP($A599,$A$4:$O$27,8,0)*(HLOOKUP(T$594,'2.2.Brecha Efectiva x UdM'!$H$64:$AK$70,5,0))))</f>
        <v>0</v>
      </c>
      <c r="U599" s="32">
        <f>(VLOOKUP($A599,$A$458:$O$482,8,0)*(HLOOKUP(U$594,'2.2.Brecha Efectiva x UdM'!$H$86:$AK$92,5,0))+(VLOOKUP($A599,$A$4:$O$27,8,0)*(HLOOKUP(U$594,'2.2.Brecha Efectiva x UdM'!$H$64:$AK$70,5,0))))</f>
        <v>0</v>
      </c>
      <c r="V599" s="32">
        <f>(VLOOKUP($A599,$A$458:$O$482,8,0)*(HLOOKUP(V$594,'2.2.Brecha Efectiva x UdM'!$H$86:$AK$92,5,0))+(VLOOKUP($A599,$A$4:$O$27,8,0)*(HLOOKUP(V$594,'2.2.Brecha Efectiva x UdM'!$H$64:$AK$70,5,0))))</f>
        <v>0</v>
      </c>
      <c r="W599" s="32">
        <f>(VLOOKUP($A599,$A$458:$O$482,8,0)*(HLOOKUP(W$594,'2.2.Brecha Efectiva x UdM'!$H$86:$AK$92,5,0))+(VLOOKUP($A599,$A$4:$O$27,8,0)*(HLOOKUP(W$594,'2.2.Brecha Efectiva x UdM'!$H$64:$AK$70,5,0))))</f>
        <v>0</v>
      </c>
      <c r="X599" s="32">
        <f>(VLOOKUP($A599,$A$458:$O$482,8,0)*(HLOOKUP(X$594,'2.2.Brecha Efectiva x UdM'!$H$86:$AK$92,5,0))+(VLOOKUP($A599,$A$4:$O$27,8,0)*(HLOOKUP(X$594,'2.2.Brecha Efectiva x UdM'!$H$64:$AK$70,5,0))))</f>
        <v>0</v>
      </c>
      <c r="Y599" s="32">
        <f>(VLOOKUP($A599,$A$458:$O$482,8,0)*(HLOOKUP(Y$594,'2.2.Brecha Efectiva x UdM'!$H$86:$AK$92,5,0))+(VLOOKUP($A599,$A$4:$O$27,8,0)*(HLOOKUP(Y$594,'2.2.Brecha Efectiva x UdM'!$H$64:$AK$70,5,0))))</f>
        <v>0</v>
      </c>
      <c r="Z599" s="32">
        <f>(VLOOKUP($A599,$A$458:$O$482,8,0)*(HLOOKUP(Z$594,'2.2.Brecha Efectiva x UdM'!$H$86:$AK$92,5,0))+(VLOOKUP($A599,$A$4:$O$27,8,0)*(HLOOKUP(Z$594,'2.2.Brecha Efectiva x UdM'!$H$64:$AK$70,5,0))))</f>
        <v>0</v>
      </c>
      <c r="AA599" s="32">
        <f>(VLOOKUP($A599,$A$458:$O$482,8,0)*(HLOOKUP(AA$594,'2.2.Brecha Efectiva x UdM'!$H$86:$AK$92,5,0))+(VLOOKUP($A599,$A$4:$O$27,8,0)*(HLOOKUP(AA$594,'2.2.Brecha Efectiva x UdM'!$H$64:$AK$70,5,0))))</f>
        <v>0</v>
      </c>
      <c r="AB599" s="32">
        <f>(VLOOKUP($A599,$A$458:$O$482,8,0)*(HLOOKUP(AB$594,'2.2.Brecha Efectiva x UdM'!$H$86:$AK$92,5,0))+(VLOOKUP($A599,$A$4:$O$27,8,0)*(HLOOKUP(AB$594,'2.2.Brecha Efectiva x UdM'!$H$64:$AK$70,5,0))))</f>
        <v>0</v>
      </c>
      <c r="AC599" s="32">
        <f>(VLOOKUP($A599,$A$458:$O$482,8,0)*(HLOOKUP(AC$594,'2.2.Brecha Efectiva x UdM'!$H$86:$AK$92,5,0))+(VLOOKUP($A599,$A$4:$O$27,8,0)*(HLOOKUP(AC$594,'2.2.Brecha Efectiva x UdM'!$H$64:$AK$70,5,0))))</f>
        <v>0</v>
      </c>
      <c r="AD599" s="32">
        <f>(VLOOKUP($A599,$A$458:$O$482,8,0)*(HLOOKUP(AD$594,'2.2.Brecha Efectiva x UdM'!$H$86:$AK$92,5,0))+(VLOOKUP($A599,$A$4:$O$27,8,0)*(HLOOKUP(AD$594,'2.2.Brecha Efectiva x UdM'!$H$64:$AK$70,5,0))))</f>
        <v>0</v>
      </c>
      <c r="AE599" s="32">
        <f>(VLOOKUP($A599,$A$458:$O$482,8,0)*(HLOOKUP(AE$594,'2.2.Brecha Efectiva x UdM'!$H$86:$AK$92,5,0))+(VLOOKUP($A599,$A$4:$O$27,8,0)*(HLOOKUP(AE$594,'2.2.Brecha Efectiva x UdM'!$H$64:$AK$70,5,0))))</f>
        <v>0</v>
      </c>
      <c r="AF599" s="32">
        <f>(VLOOKUP($A599,$A$458:$O$482,8,0)*(HLOOKUP(AF$594,'2.2.Brecha Efectiva x UdM'!$H$86:$AK$92,5,0))+(VLOOKUP($A599,$A$4:$O$27,8,0)*(HLOOKUP(AF$594,'2.2.Brecha Efectiva x UdM'!$H$64:$AK$70,5,0))))</f>
        <v>0</v>
      </c>
      <c r="AG599" s="32">
        <f>(VLOOKUP($A599,$A$458:$O$482,8,0)*(HLOOKUP(AG$594,'2.2.Brecha Efectiva x UdM'!$H$86:$AK$92,5,0))+(VLOOKUP($A599,$A$4:$O$27,8,0)*(HLOOKUP(AG$594,'2.2.Brecha Efectiva x UdM'!$H$64:$AK$70,5,0))))</f>
        <v>0</v>
      </c>
      <c r="AH599" s="62">
        <f t="shared" si="571"/>
        <v>0</v>
      </c>
    </row>
    <row r="600" spans="1:34" hidden="1" x14ac:dyDescent="0.2">
      <c r="A600" s="26" t="str">
        <f t="shared" si="568"/>
        <v>Córdoba</v>
      </c>
      <c r="B600" s="52">
        <f t="shared" si="569"/>
        <v>0</v>
      </c>
      <c r="C600" s="26" t="str">
        <f t="shared" si="570"/>
        <v>Córdoba 0</v>
      </c>
      <c r="D600" s="31">
        <f>(VLOOKUP($A600,$A$458:$O$482,8,0)*(HLOOKUP(D$594,'2.2.Brecha Efectiva x UdM'!$H$86:$AK$92,5,0))+(VLOOKUP($A600,$A$4:$O$27,8,0)*(HLOOKUP(D$594,'2.2.Brecha Efectiva x UdM'!$H$64:$AK$70,5,0))))</f>
        <v>0</v>
      </c>
      <c r="E600" s="31">
        <f>(VLOOKUP($A600,$A$458:$O$482,8,0)*(HLOOKUP(E$594,'2.2.Brecha Efectiva x UdM'!$H$86:$AK$92,5,0))+(VLOOKUP($A600,$A$4:$O$27,8,0)*(HLOOKUP(E$594,'2.2.Brecha Efectiva x UdM'!$H$64:$AK$70,5,0))))</f>
        <v>0</v>
      </c>
      <c r="F600" s="31">
        <f>(VLOOKUP($A600,$A$458:$O$482,8,0)*(HLOOKUP(F$594,'2.2.Brecha Efectiva x UdM'!$H$86:$AK$92,5,0))+(VLOOKUP($A600,$A$4:$O$27,8,0)*(HLOOKUP(F$594,'2.2.Brecha Efectiva x UdM'!$H$64:$AK$70,5,0))))</f>
        <v>0</v>
      </c>
      <c r="G600" s="31">
        <f>(VLOOKUP($A600,$A$458:$O$482,8,0)*(HLOOKUP(G$594,'2.2.Brecha Efectiva x UdM'!$H$86:$AK$92,5,0))+(VLOOKUP($A600,$A$4:$O$27,8,0)*(HLOOKUP(G$594,'2.2.Brecha Efectiva x UdM'!$H$64:$AK$70,5,0))))</f>
        <v>0</v>
      </c>
      <c r="H600" s="31">
        <f>(VLOOKUP($A600,$A$458:$O$482,8,0)*(HLOOKUP(H$594,'2.2.Brecha Efectiva x UdM'!$H$86:$AK$92,5,0))+(VLOOKUP($A600,$A$4:$O$27,8,0)*(HLOOKUP(H$594,'2.2.Brecha Efectiva x UdM'!$H$64:$AK$70,5,0))))</f>
        <v>0</v>
      </c>
      <c r="I600" s="31">
        <f>(VLOOKUP($A600,$A$458:$O$482,8,0)*(HLOOKUP(I$594,'2.2.Brecha Efectiva x UdM'!$H$86:$AK$92,5,0))+(VLOOKUP($A600,$A$4:$O$27,8,0)*(HLOOKUP(I$594,'2.2.Brecha Efectiva x UdM'!$H$64:$AK$70,5,0))))</f>
        <v>0</v>
      </c>
      <c r="J600" s="31">
        <f>(VLOOKUP($A600,$A$458:$O$482,8,0)*(HLOOKUP(J$594,'2.2.Brecha Efectiva x UdM'!$H$86:$AK$92,5,0))+(VLOOKUP($A600,$A$4:$O$27,8,0)*(HLOOKUP(J$594,'2.2.Brecha Efectiva x UdM'!$H$64:$AK$70,5,0))))</f>
        <v>0</v>
      </c>
      <c r="K600" s="31">
        <f>(VLOOKUP($A600,$A$458:$O$482,8,0)*(HLOOKUP(K$594,'2.2.Brecha Efectiva x UdM'!$H$86:$AK$92,5,0))+(VLOOKUP($A600,$A$4:$O$27,8,0)*(HLOOKUP(K$594,'2.2.Brecha Efectiva x UdM'!$H$64:$AK$70,5,0))))</f>
        <v>0</v>
      </c>
      <c r="L600" s="31">
        <f>(VLOOKUP($A600,$A$458:$O$482,8,0)*(HLOOKUP(L$594,'2.2.Brecha Efectiva x UdM'!$H$86:$AK$92,5,0))+(VLOOKUP($A600,$A$4:$O$27,8,0)*(HLOOKUP(L$594,'2.2.Brecha Efectiva x UdM'!$H$64:$AK$70,5,0))))</f>
        <v>0</v>
      </c>
      <c r="M600" s="31">
        <f>(VLOOKUP($A600,$A$458:$O$482,8,0)*(HLOOKUP(M$594,'2.2.Brecha Efectiva x UdM'!$H$86:$AK$92,5,0))+(VLOOKUP($A600,$A$4:$O$27,8,0)*(HLOOKUP(M$594,'2.2.Brecha Efectiva x UdM'!$H$64:$AK$70,5,0))))</f>
        <v>0</v>
      </c>
      <c r="N600" s="31">
        <f>(VLOOKUP($A600,$A$458:$O$482,8,0)*(HLOOKUP(N$594,'2.2.Brecha Efectiva x UdM'!$H$86:$AK$92,5,0))+(VLOOKUP($A600,$A$4:$O$27,8,0)*(HLOOKUP(N$594,'2.2.Brecha Efectiva x UdM'!$H$64:$AK$70,5,0))))</f>
        <v>0</v>
      </c>
      <c r="O600" s="31">
        <f>(VLOOKUP($A600,$A$458:$O$482,8,0)*(HLOOKUP(O$594,'2.2.Brecha Efectiva x UdM'!$H$86:$AK$92,5,0))+(VLOOKUP($A600,$A$4:$O$27,8,0)*(HLOOKUP(O$594,'2.2.Brecha Efectiva x UdM'!$H$64:$AK$70,5,0))))</f>
        <v>0</v>
      </c>
      <c r="P600" s="31">
        <f>(VLOOKUP($A600,$A$458:$O$482,8,0)*(HLOOKUP(P$594,'2.2.Brecha Efectiva x UdM'!$H$86:$AK$92,5,0))+(VLOOKUP($A600,$A$4:$O$27,8,0)*(HLOOKUP(P$594,'2.2.Brecha Efectiva x UdM'!$H$64:$AK$70,5,0))))</f>
        <v>0</v>
      </c>
      <c r="Q600" s="31">
        <f>(VLOOKUP($A600,$A$458:$O$482,8,0)*(HLOOKUP(Q$594,'2.2.Brecha Efectiva x UdM'!$H$86:$AK$92,5,0))+(VLOOKUP($A600,$A$4:$O$27,8,0)*(HLOOKUP(Q$594,'2.2.Brecha Efectiva x UdM'!$H$64:$AK$70,5,0))))</f>
        <v>0</v>
      </c>
      <c r="R600" s="31">
        <f>(VLOOKUP($A600,$A$458:$O$482,8,0)*(HLOOKUP(R$594,'2.2.Brecha Efectiva x UdM'!$H$86:$AK$92,5,0))+(VLOOKUP($A600,$A$4:$O$27,8,0)*(HLOOKUP(R$594,'2.2.Brecha Efectiva x UdM'!$H$64:$AK$70,5,0))))</f>
        <v>0</v>
      </c>
      <c r="S600" s="31">
        <f>(VLOOKUP($A600,$A$458:$O$482,8,0)*(HLOOKUP(S$594,'2.2.Brecha Efectiva x UdM'!$H$86:$AK$92,5,0))+(VLOOKUP($A600,$A$4:$O$27,8,0)*(HLOOKUP(S$594,'2.2.Brecha Efectiva x UdM'!$H$64:$AK$70,5,0))))</f>
        <v>0</v>
      </c>
      <c r="T600" s="31">
        <f>(VLOOKUP($A600,$A$458:$O$482,8,0)*(HLOOKUP(T$594,'2.2.Brecha Efectiva x UdM'!$H$86:$AK$92,5,0))+(VLOOKUP($A600,$A$4:$O$27,8,0)*(HLOOKUP(T$594,'2.2.Brecha Efectiva x UdM'!$H$64:$AK$70,5,0))))</f>
        <v>0</v>
      </c>
      <c r="U600" s="31">
        <f>(VLOOKUP($A600,$A$458:$O$482,8,0)*(HLOOKUP(U$594,'2.2.Brecha Efectiva x UdM'!$H$86:$AK$92,5,0))+(VLOOKUP($A600,$A$4:$O$27,8,0)*(HLOOKUP(U$594,'2.2.Brecha Efectiva x UdM'!$H$64:$AK$70,5,0))))</f>
        <v>0</v>
      </c>
      <c r="V600" s="31">
        <f>(VLOOKUP($A600,$A$458:$O$482,8,0)*(HLOOKUP(V$594,'2.2.Brecha Efectiva x UdM'!$H$86:$AK$92,5,0))+(VLOOKUP($A600,$A$4:$O$27,8,0)*(HLOOKUP(V$594,'2.2.Brecha Efectiva x UdM'!$H$64:$AK$70,5,0))))</f>
        <v>0</v>
      </c>
      <c r="W600" s="31">
        <f>(VLOOKUP($A600,$A$458:$O$482,8,0)*(HLOOKUP(W$594,'2.2.Brecha Efectiva x UdM'!$H$86:$AK$92,5,0))+(VLOOKUP($A600,$A$4:$O$27,8,0)*(HLOOKUP(W$594,'2.2.Brecha Efectiva x UdM'!$H$64:$AK$70,5,0))))</f>
        <v>0</v>
      </c>
      <c r="X600" s="31">
        <f>(VLOOKUP($A600,$A$458:$O$482,8,0)*(HLOOKUP(X$594,'2.2.Brecha Efectiva x UdM'!$H$86:$AK$92,5,0))+(VLOOKUP($A600,$A$4:$O$27,8,0)*(HLOOKUP(X$594,'2.2.Brecha Efectiva x UdM'!$H$64:$AK$70,5,0))))</f>
        <v>0</v>
      </c>
      <c r="Y600" s="31">
        <f>(VLOOKUP($A600,$A$458:$O$482,8,0)*(HLOOKUP(Y$594,'2.2.Brecha Efectiva x UdM'!$H$86:$AK$92,5,0))+(VLOOKUP($A600,$A$4:$O$27,8,0)*(HLOOKUP(Y$594,'2.2.Brecha Efectiva x UdM'!$H$64:$AK$70,5,0))))</f>
        <v>0</v>
      </c>
      <c r="Z600" s="31">
        <f>(VLOOKUP($A600,$A$458:$O$482,8,0)*(HLOOKUP(Z$594,'2.2.Brecha Efectiva x UdM'!$H$86:$AK$92,5,0))+(VLOOKUP($A600,$A$4:$O$27,8,0)*(HLOOKUP(Z$594,'2.2.Brecha Efectiva x UdM'!$H$64:$AK$70,5,0))))</f>
        <v>0</v>
      </c>
      <c r="AA600" s="31">
        <f>(VLOOKUP($A600,$A$458:$O$482,8,0)*(HLOOKUP(AA$594,'2.2.Brecha Efectiva x UdM'!$H$86:$AK$92,5,0))+(VLOOKUP($A600,$A$4:$O$27,8,0)*(HLOOKUP(AA$594,'2.2.Brecha Efectiva x UdM'!$H$64:$AK$70,5,0))))</f>
        <v>0</v>
      </c>
      <c r="AB600" s="31">
        <f>(VLOOKUP($A600,$A$458:$O$482,8,0)*(HLOOKUP(AB$594,'2.2.Brecha Efectiva x UdM'!$H$86:$AK$92,5,0))+(VLOOKUP($A600,$A$4:$O$27,8,0)*(HLOOKUP(AB$594,'2.2.Brecha Efectiva x UdM'!$H$64:$AK$70,5,0))))</f>
        <v>0</v>
      </c>
      <c r="AC600" s="31">
        <f>(VLOOKUP($A600,$A$458:$O$482,8,0)*(HLOOKUP(AC$594,'2.2.Brecha Efectiva x UdM'!$H$86:$AK$92,5,0))+(VLOOKUP($A600,$A$4:$O$27,8,0)*(HLOOKUP(AC$594,'2.2.Brecha Efectiva x UdM'!$H$64:$AK$70,5,0))))</f>
        <v>0</v>
      </c>
      <c r="AD600" s="31">
        <f>(VLOOKUP($A600,$A$458:$O$482,8,0)*(HLOOKUP(AD$594,'2.2.Brecha Efectiva x UdM'!$H$86:$AK$92,5,0))+(VLOOKUP($A600,$A$4:$O$27,8,0)*(HLOOKUP(AD$594,'2.2.Brecha Efectiva x UdM'!$H$64:$AK$70,5,0))))</f>
        <v>0</v>
      </c>
      <c r="AE600" s="31">
        <f>(VLOOKUP($A600,$A$458:$O$482,8,0)*(HLOOKUP(AE$594,'2.2.Brecha Efectiva x UdM'!$H$86:$AK$92,5,0))+(VLOOKUP($A600,$A$4:$O$27,8,0)*(HLOOKUP(AE$594,'2.2.Brecha Efectiva x UdM'!$H$64:$AK$70,5,0))))</f>
        <v>0</v>
      </c>
      <c r="AF600" s="31">
        <f>(VLOOKUP($A600,$A$458:$O$482,8,0)*(HLOOKUP(AF$594,'2.2.Brecha Efectiva x UdM'!$H$86:$AK$92,5,0))+(VLOOKUP($A600,$A$4:$O$27,8,0)*(HLOOKUP(AF$594,'2.2.Brecha Efectiva x UdM'!$H$64:$AK$70,5,0))))</f>
        <v>0</v>
      </c>
      <c r="AG600" s="31">
        <f>(VLOOKUP($A600,$A$458:$O$482,8,0)*(HLOOKUP(AG$594,'2.2.Brecha Efectiva x UdM'!$H$86:$AK$92,5,0))+(VLOOKUP($A600,$A$4:$O$27,8,0)*(HLOOKUP(AG$594,'2.2.Brecha Efectiva x UdM'!$H$64:$AK$70,5,0))))</f>
        <v>0</v>
      </c>
      <c r="AH600" s="63">
        <f t="shared" si="571"/>
        <v>0</v>
      </c>
    </row>
    <row r="601" spans="1:34" hidden="1" x14ac:dyDescent="0.2">
      <c r="A601" s="25" t="str">
        <f t="shared" si="568"/>
        <v>Corrientes</v>
      </c>
      <c r="B601" s="51">
        <f t="shared" si="569"/>
        <v>0</v>
      </c>
      <c r="C601" s="25" t="str">
        <f t="shared" si="570"/>
        <v>Corrientes 0</v>
      </c>
      <c r="D601" s="32">
        <f>(VLOOKUP($A601,$A$458:$O$482,8,0)*(HLOOKUP(D$594,'2.2.Brecha Efectiva x UdM'!$H$86:$AK$92,5,0))+(VLOOKUP($A601,$A$4:$O$27,8,0)*(HLOOKUP(D$594,'2.2.Brecha Efectiva x UdM'!$H$64:$AK$70,5,0))))</f>
        <v>0</v>
      </c>
      <c r="E601" s="32">
        <f>(VLOOKUP($A601,$A$458:$O$482,8,0)*(HLOOKUP(E$594,'2.2.Brecha Efectiva x UdM'!$H$86:$AK$92,5,0))+(VLOOKUP($A601,$A$4:$O$27,8,0)*(HLOOKUP(E$594,'2.2.Brecha Efectiva x UdM'!$H$64:$AK$70,5,0))))</f>
        <v>0</v>
      </c>
      <c r="F601" s="32">
        <f>(VLOOKUP($A601,$A$458:$O$482,8,0)*(HLOOKUP(F$594,'2.2.Brecha Efectiva x UdM'!$H$86:$AK$92,5,0))+(VLOOKUP($A601,$A$4:$O$27,8,0)*(HLOOKUP(F$594,'2.2.Brecha Efectiva x UdM'!$H$64:$AK$70,5,0))))</f>
        <v>0</v>
      </c>
      <c r="G601" s="32">
        <f>(VLOOKUP($A601,$A$458:$O$482,8,0)*(HLOOKUP(G$594,'2.2.Brecha Efectiva x UdM'!$H$86:$AK$92,5,0))+(VLOOKUP($A601,$A$4:$O$27,8,0)*(HLOOKUP(G$594,'2.2.Brecha Efectiva x UdM'!$H$64:$AK$70,5,0))))</f>
        <v>0</v>
      </c>
      <c r="H601" s="32">
        <f>(VLOOKUP($A601,$A$458:$O$482,8,0)*(HLOOKUP(H$594,'2.2.Brecha Efectiva x UdM'!$H$86:$AK$92,5,0))+(VLOOKUP($A601,$A$4:$O$27,8,0)*(HLOOKUP(H$594,'2.2.Brecha Efectiva x UdM'!$H$64:$AK$70,5,0))))</f>
        <v>0</v>
      </c>
      <c r="I601" s="32">
        <f>(VLOOKUP($A601,$A$458:$O$482,8,0)*(HLOOKUP(I$594,'2.2.Brecha Efectiva x UdM'!$H$86:$AK$92,5,0))+(VLOOKUP($A601,$A$4:$O$27,8,0)*(HLOOKUP(I$594,'2.2.Brecha Efectiva x UdM'!$H$64:$AK$70,5,0))))</f>
        <v>0</v>
      </c>
      <c r="J601" s="32">
        <f>(VLOOKUP($A601,$A$458:$O$482,8,0)*(HLOOKUP(J$594,'2.2.Brecha Efectiva x UdM'!$H$86:$AK$92,5,0))+(VLOOKUP($A601,$A$4:$O$27,8,0)*(HLOOKUP(J$594,'2.2.Brecha Efectiva x UdM'!$H$64:$AK$70,5,0))))</f>
        <v>0</v>
      </c>
      <c r="K601" s="32">
        <f>(VLOOKUP($A601,$A$458:$O$482,8,0)*(HLOOKUP(K$594,'2.2.Brecha Efectiva x UdM'!$H$86:$AK$92,5,0))+(VLOOKUP($A601,$A$4:$O$27,8,0)*(HLOOKUP(K$594,'2.2.Brecha Efectiva x UdM'!$H$64:$AK$70,5,0))))</f>
        <v>0</v>
      </c>
      <c r="L601" s="32">
        <f>(VLOOKUP($A601,$A$458:$O$482,8,0)*(HLOOKUP(L$594,'2.2.Brecha Efectiva x UdM'!$H$86:$AK$92,5,0))+(VLOOKUP($A601,$A$4:$O$27,8,0)*(HLOOKUP(L$594,'2.2.Brecha Efectiva x UdM'!$H$64:$AK$70,5,0))))</f>
        <v>0</v>
      </c>
      <c r="M601" s="32">
        <f>(VLOOKUP($A601,$A$458:$O$482,8,0)*(HLOOKUP(M$594,'2.2.Brecha Efectiva x UdM'!$H$86:$AK$92,5,0))+(VLOOKUP($A601,$A$4:$O$27,8,0)*(HLOOKUP(M$594,'2.2.Brecha Efectiva x UdM'!$H$64:$AK$70,5,0))))</f>
        <v>0</v>
      </c>
      <c r="N601" s="32">
        <f>(VLOOKUP($A601,$A$458:$O$482,8,0)*(HLOOKUP(N$594,'2.2.Brecha Efectiva x UdM'!$H$86:$AK$92,5,0))+(VLOOKUP($A601,$A$4:$O$27,8,0)*(HLOOKUP(N$594,'2.2.Brecha Efectiva x UdM'!$H$64:$AK$70,5,0))))</f>
        <v>0</v>
      </c>
      <c r="O601" s="32">
        <f>(VLOOKUP($A601,$A$458:$O$482,8,0)*(HLOOKUP(O$594,'2.2.Brecha Efectiva x UdM'!$H$86:$AK$92,5,0))+(VLOOKUP($A601,$A$4:$O$27,8,0)*(HLOOKUP(O$594,'2.2.Brecha Efectiva x UdM'!$H$64:$AK$70,5,0))))</f>
        <v>0</v>
      </c>
      <c r="P601" s="32">
        <f>(VLOOKUP($A601,$A$458:$O$482,8,0)*(HLOOKUP(P$594,'2.2.Brecha Efectiva x UdM'!$H$86:$AK$92,5,0))+(VLOOKUP($A601,$A$4:$O$27,8,0)*(HLOOKUP(P$594,'2.2.Brecha Efectiva x UdM'!$H$64:$AK$70,5,0))))</f>
        <v>0</v>
      </c>
      <c r="Q601" s="32">
        <f>(VLOOKUP($A601,$A$458:$O$482,8,0)*(HLOOKUP(Q$594,'2.2.Brecha Efectiva x UdM'!$H$86:$AK$92,5,0))+(VLOOKUP($A601,$A$4:$O$27,8,0)*(HLOOKUP(Q$594,'2.2.Brecha Efectiva x UdM'!$H$64:$AK$70,5,0))))</f>
        <v>0</v>
      </c>
      <c r="R601" s="32">
        <f>(VLOOKUP($A601,$A$458:$O$482,8,0)*(HLOOKUP(R$594,'2.2.Brecha Efectiva x UdM'!$H$86:$AK$92,5,0))+(VLOOKUP($A601,$A$4:$O$27,8,0)*(HLOOKUP(R$594,'2.2.Brecha Efectiva x UdM'!$H$64:$AK$70,5,0))))</f>
        <v>0</v>
      </c>
      <c r="S601" s="32">
        <f>(VLOOKUP($A601,$A$458:$O$482,8,0)*(HLOOKUP(S$594,'2.2.Brecha Efectiva x UdM'!$H$86:$AK$92,5,0))+(VLOOKUP($A601,$A$4:$O$27,8,0)*(HLOOKUP(S$594,'2.2.Brecha Efectiva x UdM'!$H$64:$AK$70,5,0))))</f>
        <v>0</v>
      </c>
      <c r="T601" s="32">
        <f>(VLOOKUP($A601,$A$458:$O$482,8,0)*(HLOOKUP(T$594,'2.2.Brecha Efectiva x UdM'!$H$86:$AK$92,5,0))+(VLOOKUP($A601,$A$4:$O$27,8,0)*(HLOOKUP(T$594,'2.2.Brecha Efectiva x UdM'!$H$64:$AK$70,5,0))))</f>
        <v>0</v>
      </c>
      <c r="U601" s="32">
        <f>(VLOOKUP($A601,$A$458:$O$482,8,0)*(HLOOKUP(U$594,'2.2.Brecha Efectiva x UdM'!$H$86:$AK$92,5,0))+(VLOOKUP($A601,$A$4:$O$27,8,0)*(HLOOKUP(U$594,'2.2.Brecha Efectiva x UdM'!$H$64:$AK$70,5,0))))</f>
        <v>0</v>
      </c>
      <c r="V601" s="32">
        <f>(VLOOKUP($A601,$A$458:$O$482,8,0)*(HLOOKUP(V$594,'2.2.Brecha Efectiva x UdM'!$H$86:$AK$92,5,0))+(VLOOKUP($A601,$A$4:$O$27,8,0)*(HLOOKUP(V$594,'2.2.Brecha Efectiva x UdM'!$H$64:$AK$70,5,0))))</f>
        <v>0</v>
      </c>
      <c r="W601" s="32">
        <f>(VLOOKUP($A601,$A$458:$O$482,8,0)*(HLOOKUP(W$594,'2.2.Brecha Efectiva x UdM'!$H$86:$AK$92,5,0))+(VLOOKUP($A601,$A$4:$O$27,8,0)*(HLOOKUP(W$594,'2.2.Brecha Efectiva x UdM'!$H$64:$AK$70,5,0))))</f>
        <v>0</v>
      </c>
      <c r="X601" s="32">
        <f>(VLOOKUP($A601,$A$458:$O$482,8,0)*(HLOOKUP(X$594,'2.2.Brecha Efectiva x UdM'!$H$86:$AK$92,5,0))+(VLOOKUP($A601,$A$4:$O$27,8,0)*(HLOOKUP(X$594,'2.2.Brecha Efectiva x UdM'!$H$64:$AK$70,5,0))))</f>
        <v>0</v>
      </c>
      <c r="Y601" s="32">
        <f>(VLOOKUP($A601,$A$458:$O$482,8,0)*(HLOOKUP(Y$594,'2.2.Brecha Efectiva x UdM'!$H$86:$AK$92,5,0))+(VLOOKUP($A601,$A$4:$O$27,8,0)*(HLOOKUP(Y$594,'2.2.Brecha Efectiva x UdM'!$H$64:$AK$70,5,0))))</f>
        <v>0</v>
      </c>
      <c r="Z601" s="32">
        <f>(VLOOKUP($A601,$A$458:$O$482,8,0)*(HLOOKUP(Z$594,'2.2.Brecha Efectiva x UdM'!$H$86:$AK$92,5,0))+(VLOOKUP($A601,$A$4:$O$27,8,0)*(HLOOKUP(Z$594,'2.2.Brecha Efectiva x UdM'!$H$64:$AK$70,5,0))))</f>
        <v>0</v>
      </c>
      <c r="AA601" s="32">
        <f>(VLOOKUP($A601,$A$458:$O$482,8,0)*(HLOOKUP(AA$594,'2.2.Brecha Efectiva x UdM'!$H$86:$AK$92,5,0))+(VLOOKUP($A601,$A$4:$O$27,8,0)*(HLOOKUP(AA$594,'2.2.Brecha Efectiva x UdM'!$H$64:$AK$70,5,0))))</f>
        <v>0</v>
      </c>
      <c r="AB601" s="32">
        <f>(VLOOKUP($A601,$A$458:$O$482,8,0)*(HLOOKUP(AB$594,'2.2.Brecha Efectiva x UdM'!$H$86:$AK$92,5,0))+(VLOOKUP($A601,$A$4:$O$27,8,0)*(HLOOKUP(AB$594,'2.2.Brecha Efectiva x UdM'!$H$64:$AK$70,5,0))))</f>
        <v>0</v>
      </c>
      <c r="AC601" s="32">
        <f>(VLOOKUP($A601,$A$458:$O$482,8,0)*(HLOOKUP(AC$594,'2.2.Brecha Efectiva x UdM'!$H$86:$AK$92,5,0))+(VLOOKUP($A601,$A$4:$O$27,8,0)*(HLOOKUP(AC$594,'2.2.Brecha Efectiva x UdM'!$H$64:$AK$70,5,0))))</f>
        <v>0</v>
      </c>
      <c r="AD601" s="32">
        <f>(VLOOKUP($A601,$A$458:$O$482,8,0)*(HLOOKUP(AD$594,'2.2.Brecha Efectiva x UdM'!$H$86:$AK$92,5,0))+(VLOOKUP($A601,$A$4:$O$27,8,0)*(HLOOKUP(AD$594,'2.2.Brecha Efectiva x UdM'!$H$64:$AK$70,5,0))))</f>
        <v>0</v>
      </c>
      <c r="AE601" s="32">
        <f>(VLOOKUP($A601,$A$458:$O$482,8,0)*(HLOOKUP(AE$594,'2.2.Brecha Efectiva x UdM'!$H$86:$AK$92,5,0))+(VLOOKUP($A601,$A$4:$O$27,8,0)*(HLOOKUP(AE$594,'2.2.Brecha Efectiva x UdM'!$H$64:$AK$70,5,0))))</f>
        <v>0</v>
      </c>
      <c r="AF601" s="32">
        <f>(VLOOKUP($A601,$A$458:$O$482,8,0)*(HLOOKUP(AF$594,'2.2.Brecha Efectiva x UdM'!$H$86:$AK$92,5,0))+(VLOOKUP($A601,$A$4:$O$27,8,0)*(HLOOKUP(AF$594,'2.2.Brecha Efectiva x UdM'!$H$64:$AK$70,5,0))))</f>
        <v>0</v>
      </c>
      <c r="AG601" s="32">
        <f>(VLOOKUP($A601,$A$458:$O$482,8,0)*(HLOOKUP(AG$594,'2.2.Brecha Efectiva x UdM'!$H$86:$AK$92,5,0))+(VLOOKUP($A601,$A$4:$O$27,8,0)*(HLOOKUP(AG$594,'2.2.Brecha Efectiva x UdM'!$H$64:$AK$70,5,0))))</f>
        <v>0</v>
      </c>
      <c r="AH601" s="62">
        <f t="shared" si="571"/>
        <v>0</v>
      </c>
    </row>
    <row r="602" spans="1:34" hidden="1" x14ac:dyDescent="0.2">
      <c r="A602" s="26" t="str">
        <f t="shared" si="568"/>
        <v>Entre Ríos</v>
      </c>
      <c r="B602" s="52">
        <f t="shared" si="569"/>
        <v>0</v>
      </c>
      <c r="C602" s="26" t="str">
        <f t="shared" si="570"/>
        <v>Entre Ríos 0</v>
      </c>
      <c r="D602" s="31">
        <f>(VLOOKUP($A602,$A$458:$O$482,8,0)*(HLOOKUP(D$594,'2.2.Brecha Efectiva x UdM'!$H$86:$AK$92,5,0))+(VLOOKUP($A602,$A$4:$O$27,8,0)*(HLOOKUP(D$594,'2.2.Brecha Efectiva x UdM'!$H$64:$AK$70,5,0))))</f>
        <v>0</v>
      </c>
      <c r="E602" s="31">
        <f>(VLOOKUP($A602,$A$458:$O$482,8,0)*(HLOOKUP(E$594,'2.2.Brecha Efectiva x UdM'!$H$86:$AK$92,5,0))+(VLOOKUP($A602,$A$4:$O$27,8,0)*(HLOOKUP(E$594,'2.2.Brecha Efectiva x UdM'!$H$64:$AK$70,5,0))))</f>
        <v>0</v>
      </c>
      <c r="F602" s="31">
        <f>(VLOOKUP($A602,$A$458:$O$482,8,0)*(HLOOKUP(F$594,'2.2.Brecha Efectiva x UdM'!$H$86:$AK$92,5,0))+(VLOOKUP($A602,$A$4:$O$27,8,0)*(HLOOKUP(F$594,'2.2.Brecha Efectiva x UdM'!$H$64:$AK$70,5,0))))</f>
        <v>0</v>
      </c>
      <c r="G602" s="31">
        <f>(VLOOKUP($A602,$A$458:$O$482,8,0)*(HLOOKUP(G$594,'2.2.Brecha Efectiva x UdM'!$H$86:$AK$92,5,0))+(VLOOKUP($A602,$A$4:$O$27,8,0)*(HLOOKUP(G$594,'2.2.Brecha Efectiva x UdM'!$H$64:$AK$70,5,0))))</f>
        <v>0</v>
      </c>
      <c r="H602" s="31">
        <f>(VLOOKUP($A602,$A$458:$O$482,8,0)*(HLOOKUP(H$594,'2.2.Brecha Efectiva x UdM'!$H$86:$AK$92,5,0))+(VLOOKUP($A602,$A$4:$O$27,8,0)*(HLOOKUP(H$594,'2.2.Brecha Efectiva x UdM'!$H$64:$AK$70,5,0))))</f>
        <v>0</v>
      </c>
      <c r="I602" s="31">
        <f>(VLOOKUP($A602,$A$458:$O$482,8,0)*(HLOOKUP(I$594,'2.2.Brecha Efectiva x UdM'!$H$86:$AK$92,5,0))+(VLOOKUP($A602,$A$4:$O$27,8,0)*(HLOOKUP(I$594,'2.2.Brecha Efectiva x UdM'!$H$64:$AK$70,5,0))))</f>
        <v>0</v>
      </c>
      <c r="J602" s="31">
        <f>(VLOOKUP($A602,$A$458:$O$482,8,0)*(HLOOKUP(J$594,'2.2.Brecha Efectiva x UdM'!$H$86:$AK$92,5,0))+(VLOOKUP($A602,$A$4:$O$27,8,0)*(HLOOKUP(J$594,'2.2.Brecha Efectiva x UdM'!$H$64:$AK$70,5,0))))</f>
        <v>0</v>
      </c>
      <c r="K602" s="31">
        <f>(VLOOKUP($A602,$A$458:$O$482,8,0)*(HLOOKUP(K$594,'2.2.Brecha Efectiva x UdM'!$H$86:$AK$92,5,0))+(VLOOKUP($A602,$A$4:$O$27,8,0)*(HLOOKUP(K$594,'2.2.Brecha Efectiva x UdM'!$H$64:$AK$70,5,0))))</f>
        <v>0</v>
      </c>
      <c r="L602" s="31">
        <f>(VLOOKUP($A602,$A$458:$O$482,8,0)*(HLOOKUP(L$594,'2.2.Brecha Efectiva x UdM'!$H$86:$AK$92,5,0))+(VLOOKUP($A602,$A$4:$O$27,8,0)*(HLOOKUP(L$594,'2.2.Brecha Efectiva x UdM'!$H$64:$AK$70,5,0))))</f>
        <v>0</v>
      </c>
      <c r="M602" s="31">
        <f>(VLOOKUP($A602,$A$458:$O$482,8,0)*(HLOOKUP(M$594,'2.2.Brecha Efectiva x UdM'!$H$86:$AK$92,5,0))+(VLOOKUP($A602,$A$4:$O$27,8,0)*(HLOOKUP(M$594,'2.2.Brecha Efectiva x UdM'!$H$64:$AK$70,5,0))))</f>
        <v>0</v>
      </c>
      <c r="N602" s="31">
        <f>(VLOOKUP($A602,$A$458:$O$482,8,0)*(HLOOKUP(N$594,'2.2.Brecha Efectiva x UdM'!$H$86:$AK$92,5,0))+(VLOOKUP($A602,$A$4:$O$27,8,0)*(HLOOKUP(N$594,'2.2.Brecha Efectiva x UdM'!$H$64:$AK$70,5,0))))</f>
        <v>0</v>
      </c>
      <c r="O602" s="31">
        <f>(VLOOKUP($A602,$A$458:$O$482,8,0)*(HLOOKUP(O$594,'2.2.Brecha Efectiva x UdM'!$H$86:$AK$92,5,0))+(VLOOKUP($A602,$A$4:$O$27,8,0)*(HLOOKUP(O$594,'2.2.Brecha Efectiva x UdM'!$H$64:$AK$70,5,0))))</f>
        <v>0</v>
      </c>
      <c r="P602" s="31">
        <f>(VLOOKUP($A602,$A$458:$O$482,8,0)*(HLOOKUP(P$594,'2.2.Brecha Efectiva x UdM'!$H$86:$AK$92,5,0))+(VLOOKUP($A602,$A$4:$O$27,8,0)*(HLOOKUP(P$594,'2.2.Brecha Efectiva x UdM'!$H$64:$AK$70,5,0))))</f>
        <v>0</v>
      </c>
      <c r="Q602" s="31">
        <f>(VLOOKUP($A602,$A$458:$O$482,8,0)*(HLOOKUP(Q$594,'2.2.Brecha Efectiva x UdM'!$H$86:$AK$92,5,0))+(VLOOKUP($A602,$A$4:$O$27,8,0)*(HLOOKUP(Q$594,'2.2.Brecha Efectiva x UdM'!$H$64:$AK$70,5,0))))</f>
        <v>0</v>
      </c>
      <c r="R602" s="31">
        <f>(VLOOKUP($A602,$A$458:$O$482,8,0)*(HLOOKUP(R$594,'2.2.Brecha Efectiva x UdM'!$H$86:$AK$92,5,0))+(VLOOKUP($A602,$A$4:$O$27,8,0)*(HLOOKUP(R$594,'2.2.Brecha Efectiva x UdM'!$H$64:$AK$70,5,0))))</f>
        <v>0</v>
      </c>
      <c r="S602" s="31">
        <f>(VLOOKUP($A602,$A$458:$O$482,8,0)*(HLOOKUP(S$594,'2.2.Brecha Efectiva x UdM'!$H$86:$AK$92,5,0))+(VLOOKUP($A602,$A$4:$O$27,8,0)*(HLOOKUP(S$594,'2.2.Brecha Efectiva x UdM'!$H$64:$AK$70,5,0))))</f>
        <v>0</v>
      </c>
      <c r="T602" s="31">
        <f>(VLOOKUP($A602,$A$458:$O$482,8,0)*(HLOOKUP(T$594,'2.2.Brecha Efectiva x UdM'!$H$86:$AK$92,5,0))+(VLOOKUP($A602,$A$4:$O$27,8,0)*(HLOOKUP(T$594,'2.2.Brecha Efectiva x UdM'!$H$64:$AK$70,5,0))))</f>
        <v>0</v>
      </c>
      <c r="U602" s="31">
        <f>(VLOOKUP($A602,$A$458:$O$482,8,0)*(HLOOKUP(U$594,'2.2.Brecha Efectiva x UdM'!$H$86:$AK$92,5,0))+(VLOOKUP($A602,$A$4:$O$27,8,0)*(HLOOKUP(U$594,'2.2.Brecha Efectiva x UdM'!$H$64:$AK$70,5,0))))</f>
        <v>0</v>
      </c>
      <c r="V602" s="31">
        <f>(VLOOKUP($A602,$A$458:$O$482,8,0)*(HLOOKUP(V$594,'2.2.Brecha Efectiva x UdM'!$H$86:$AK$92,5,0))+(VLOOKUP($A602,$A$4:$O$27,8,0)*(HLOOKUP(V$594,'2.2.Brecha Efectiva x UdM'!$H$64:$AK$70,5,0))))</f>
        <v>0</v>
      </c>
      <c r="W602" s="31">
        <f>(VLOOKUP($A602,$A$458:$O$482,8,0)*(HLOOKUP(W$594,'2.2.Brecha Efectiva x UdM'!$H$86:$AK$92,5,0))+(VLOOKUP($A602,$A$4:$O$27,8,0)*(HLOOKUP(W$594,'2.2.Brecha Efectiva x UdM'!$H$64:$AK$70,5,0))))</f>
        <v>0</v>
      </c>
      <c r="X602" s="31">
        <f>(VLOOKUP($A602,$A$458:$O$482,8,0)*(HLOOKUP(X$594,'2.2.Brecha Efectiva x UdM'!$H$86:$AK$92,5,0))+(VLOOKUP($A602,$A$4:$O$27,8,0)*(HLOOKUP(X$594,'2.2.Brecha Efectiva x UdM'!$H$64:$AK$70,5,0))))</f>
        <v>0</v>
      </c>
      <c r="Y602" s="31">
        <f>(VLOOKUP($A602,$A$458:$O$482,8,0)*(HLOOKUP(Y$594,'2.2.Brecha Efectiva x UdM'!$H$86:$AK$92,5,0))+(VLOOKUP($A602,$A$4:$O$27,8,0)*(HLOOKUP(Y$594,'2.2.Brecha Efectiva x UdM'!$H$64:$AK$70,5,0))))</f>
        <v>0</v>
      </c>
      <c r="Z602" s="31">
        <f>(VLOOKUP($A602,$A$458:$O$482,8,0)*(HLOOKUP(Z$594,'2.2.Brecha Efectiva x UdM'!$H$86:$AK$92,5,0))+(VLOOKUP($A602,$A$4:$O$27,8,0)*(HLOOKUP(Z$594,'2.2.Brecha Efectiva x UdM'!$H$64:$AK$70,5,0))))</f>
        <v>0</v>
      </c>
      <c r="AA602" s="31">
        <f>(VLOOKUP($A602,$A$458:$O$482,8,0)*(HLOOKUP(AA$594,'2.2.Brecha Efectiva x UdM'!$H$86:$AK$92,5,0))+(VLOOKUP($A602,$A$4:$O$27,8,0)*(HLOOKUP(AA$594,'2.2.Brecha Efectiva x UdM'!$H$64:$AK$70,5,0))))</f>
        <v>0</v>
      </c>
      <c r="AB602" s="31">
        <f>(VLOOKUP($A602,$A$458:$O$482,8,0)*(HLOOKUP(AB$594,'2.2.Brecha Efectiva x UdM'!$H$86:$AK$92,5,0))+(VLOOKUP($A602,$A$4:$O$27,8,0)*(HLOOKUP(AB$594,'2.2.Brecha Efectiva x UdM'!$H$64:$AK$70,5,0))))</f>
        <v>0</v>
      </c>
      <c r="AC602" s="31">
        <f>(VLOOKUP($A602,$A$458:$O$482,8,0)*(HLOOKUP(AC$594,'2.2.Brecha Efectiva x UdM'!$H$86:$AK$92,5,0))+(VLOOKUP($A602,$A$4:$O$27,8,0)*(HLOOKUP(AC$594,'2.2.Brecha Efectiva x UdM'!$H$64:$AK$70,5,0))))</f>
        <v>0</v>
      </c>
      <c r="AD602" s="31">
        <f>(VLOOKUP($A602,$A$458:$O$482,8,0)*(HLOOKUP(AD$594,'2.2.Brecha Efectiva x UdM'!$H$86:$AK$92,5,0))+(VLOOKUP($A602,$A$4:$O$27,8,0)*(HLOOKUP(AD$594,'2.2.Brecha Efectiva x UdM'!$H$64:$AK$70,5,0))))</f>
        <v>0</v>
      </c>
      <c r="AE602" s="31">
        <f>(VLOOKUP($A602,$A$458:$O$482,8,0)*(HLOOKUP(AE$594,'2.2.Brecha Efectiva x UdM'!$H$86:$AK$92,5,0))+(VLOOKUP($A602,$A$4:$O$27,8,0)*(HLOOKUP(AE$594,'2.2.Brecha Efectiva x UdM'!$H$64:$AK$70,5,0))))</f>
        <v>0</v>
      </c>
      <c r="AF602" s="31">
        <f>(VLOOKUP($A602,$A$458:$O$482,8,0)*(HLOOKUP(AF$594,'2.2.Brecha Efectiva x UdM'!$H$86:$AK$92,5,0))+(VLOOKUP($A602,$A$4:$O$27,8,0)*(HLOOKUP(AF$594,'2.2.Brecha Efectiva x UdM'!$H$64:$AK$70,5,0))))</f>
        <v>0</v>
      </c>
      <c r="AG602" s="31">
        <f>(VLOOKUP($A602,$A$458:$O$482,8,0)*(HLOOKUP(AG$594,'2.2.Brecha Efectiva x UdM'!$H$86:$AK$92,5,0))+(VLOOKUP($A602,$A$4:$O$27,8,0)*(HLOOKUP(AG$594,'2.2.Brecha Efectiva x UdM'!$H$64:$AK$70,5,0))))</f>
        <v>0</v>
      </c>
      <c r="AH602" s="63">
        <f t="shared" si="571"/>
        <v>0</v>
      </c>
    </row>
    <row r="603" spans="1:34" hidden="1" x14ac:dyDescent="0.2">
      <c r="A603" s="25" t="str">
        <f t="shared" si="568"/>
        <v>Formosa</v>
      </c>
      <c r="B603" s="51">
        <f t="shared" si="569"/>
        <v>0</v>
      </c>
      <c r="C603" s="25" t="str">
        <f t="shared" si="570"/>
        <v>Formosa 0</v>
      </c>
      <c r="D603" s="32">
        <f>(VLOOKUP($A603,$A$458:$O$482,8,0)*(HLOOKUP(D$594,'2.2.Brecha Efectiva x UdM'!$H$86:$AK$92,5,0))+(VLOOKUP($A603,$A$4:$O$27,8,0)*(HLOOKUP(D$594,'2.2.Brecha Efectiva x UdM'!$H$64:$AK$70,5,0))))</f>
        <v>0</v>
      </c>
      <c r="E603" s="32">
        <f>(VLOOKUP($A603,$A$458:$O$482,8,0)*(HLOOKUP(E$594,'2.2.Brecha Efectiva x UdM'!$H$86:$AK$92,5,0))+(VLOOKUP($A603,$A$4:$O$27,8,0)*(HLOOKUP(E$594,'2.2.Brecha Efectiva x UdM'!$H$64:$AK$70,5,0))))</f>
        <v>0</v>
      </c>
      <c r="F603" s="32">
        <f>(VLOOKUP($A603,$A$458:$O$482,8,0)*(HLOOKUP(F$594,'2.2.Brecha Efectiva x UdM'!$H$86:$AK$92,5,0))+(VLOOKUP($A603,$A$4:$O$27,8,0)*(HLOOKUP(F$594,'2.2.Brecha Efectiva x UdM'!$H$64:$AK$70,5,0))))</f>
        <v>0</v>
      </c>
      <c r="G603" s="32">
        <f>(VLOOKUP($A603,$A$458:$O$482,8,0)*(HLOOKUP(G$594,'2.2.Brecha Efectiva x UdM'!$H$86:$AK$92,5,0))+(VLOOKUP($A603,$A$4:$O$27,8,0)*(HLOOKUP(G$594,'2.2.Brecha Efectiva x UdM'!$H$64:$AK$70,5,0))))</f>
        <v>0</v>
      </c>
      <c r="H603" s="32">
        <f>(VLOOKUP($A603,$A$458:$O$482,8,0)*(HLOOKUP(H$594,'2.2.Brecha Efectiva x UdM'!$H$86:$AK$92,5,0))+(VLOOKUP($A603,$A$4:$O$27,8,0)*(HLOOKUP(H$594,'2.2.Brecha Efectiva x UdM'!$H$64:$AK$70,5,0))))</f>
        <v>0</v>
      </c>
      <c r="I603" s="32">
        <f>(VLOOKUP($A603,$A$458:$O$482,8,0)*(HLOOKUP(I$594,'2.2.Brecha Efectiva x UdM'!$H$86:$AK$92,5,0))+(VLOOKUP($A603,$A$4:$O$27,8,0)*(HLOOKUP(I$594,'2.2.Brecha Efectiva x UdM'!$H$64:$AK$70,5,0))))</f>
        <v>0</v>
      </c>
      <c r="J603" s="32">
        <f>(VLOOKUP($A603,$A$458:$O$482,8,0)*(HLOOKUP(J$594,'2.2.Brecha Efectiva x UdM'!$H$86:$AK$92,5,0))+(VLOOKUP($A603,$A$4:$O$27,8,0)*(HLOOKUP(J$594,'2.2.Brecha Efectiva x UdM'!$H$64:$AK$70,5,0))))</f>
        <v>0</v>
      </c>
      <c r="K603" s="32">
        <f>(VLOOKUP($A603,$A$458:$O$482,8,0)*(HLOOKUP(K$594,'2.2.Brecha Efectiva x UdM'!$H$86:$AK$92,5,0))+(VLOOKUP($A603,$A$4:$O$27,8,0)*(HLOOKUP(K$594,'2.2.Brecha Efectiva x UdM'!$H$64:$AK$70,5,0))))</f>
        <v>0</v>
      </c>
      <c r="L603" s="32">
        <f>(VLOOKUP($A603,$A$458:$O$482,8,0)*(HLOOKUP(L$594,'2.2.Brecha Efectiva x UdM'!$H$86:$AK$92,5,0))+(VLOOKUP($A603,$A$4:$O$27,8,0)*(HLOOKUP(L$594,'2.2.Brecha Efectiva x UdM'!$H$64:$AK$70,5,0))))</f>
        <v>0</v>
      </c>
      <c r="M603" s="32">
        <f>(VLOOKUP($A603,$A$458:$O$482,8,0)*(HLOOKUP(M$594,'2.2.Brecha Efectiva x UdM'!$H$86:$AK$92,5,0))+(VLOOKUP($A603,$A$4:$O$27,8,0)*(HLOOKUP(M$594,'2.2.Brecha Efectiva x UdM'!$H$64:$AK$70,5,0))))</f>
        <v>0</v>
      </c>
      <c r="N603" s="32">
        <f>(VLOOKUP($A603,$A$458:$O$482,8,0)*(HLOOKUP(N$594,'2.2.Brecha Efectiva x UdM'!$H$86:$AK$92,5,0))+(VLOOKUP($A603,$A$4:$O$27,8,0)*(HLOOKUP(N$594,'2.2.Brecha Efectiva x UdM'!$H$64:$AK$70,5,0))))</f>
        <v>0</v>
      </c>
      <c r="O603" s="32">
        <f>(VLOOKUP($A603,$A$458:$O$482,8,0)*(HLOOKUP(O$594,'2.2.Brecha Efectiva x UdM'!$H$86:$AK$92,5,0))+(VLOOKUP($A603,$A$4:$O$27,8,0)*(HLOOKUP(O$594,'2.2.Brecha Efectiva x UdM'!$H$64:$AK$70,5,0))))</f>
        <v>0</v>
      </c>
      <c r="P603" s="32">
        <f>(VLOOKUP($A603,$A$458:$O$482,8,0)*(HLOOKUP(P$594,'2.2.Brecha Efectiva x UdM'!$H$86:$AK$92,5,0))+(VLOOKUP($A603,$A$4:$O$27,8,0)*(HLOOKUP(P$594,'2.2.Brecha Efectiva x UdM'!$H$64:$AK$70,5,0))))</f>
        <v>0</v>
      </c>
      <c r="Q603" s="32">
        <f>(VLOOKUP($A603,$A$458:$O$482,8,0)*(HLOOKUP(Q$594,'2.2.Brecha Efectiva x UdM'!$H$86:$AK$92,5,0))+(VLOOKUP($A603,$A$4:$O$27,8,0)*(HLOOKUP(Q$594,'2.2.Brecha Efectiva x UdM'!$H$64:$AK$70,5,0))))</f>
        <v>0</v>
      </c>
      <c r="R603" s="32">
        <f>(VLOOKUP($A603,$A$458:$O$482,8,0)*(HLOOKUP(R$594,'2.2.Brecha Efectiva x UdM'!$H$86:$AK$92,5,0))+(VLOOKUP($A603,$A$4:$O$27,8,0)*(HLOOKUP(R$594,'2.2.Brecha Efectiva x UdM'!$H$64:$AK$70,5,0))))</f>
        <v>0</v>
      </c>
      <c r="S603" s="32">
        <f>(VLOOKUP($A603,$A$458:$O$482,8,0)*(HLOOKUP(S$594,'2.2.Brecha Efectiva x UdM'!$H$86:$AK$92,5,0))+(VLOOKUP($A603,$A$4:$O$27,8,0)*(HLOOKUP(S$594,'2.2.Brecha Efectiva x UdM'!$H$64:$AK$70,5,0))))</f>
        <v>0</v>
      </c>
      <c r="T603" s="32">
        <f>(VLOOKUP($A603,$A$458:$O$482,8,0)*(HLOOKUP(T$594,'2.2.Brecha Efectiva x UdM'!$H$86:$AK$92,5,0))+(VLOOKUP($A603,$A$4:$O$27,8,0)*(HLOOKUP(T$594,'2.2.Brecha Efectiva x UdM'!$H$64:$AK$70,5,0))))</f>
        <v>0</v>
      </c>
      <c r="U603" s="32">
        <f>(VLOOKUP($A603,$A$458:$O$482,8,0)*(HLOOKUP(U$594,'2.2.Brecha Efectiva x UdM'!$H$86:$AK$92,5,0))+(VLOOKUP($A603,$A$4:$O$27,8,0)*(HLOOKUP(U$594,'2.2.Brecha Efectiva x UdM'!$H$64:$AK$70,5,0))))</f>
        <v>0</v>
      </c>
      <c r="V603" s="32">
        <f>(VLOOKUP($A603,$A$458:$O$482,8,0)*(HLOOKUP(V$594,'2.2.Brecha Efectiva x UdM'!$H$86:$AK$92,5,0))+(VLOOKUP($A603,$A$4:$O$27,8,0)*(HLOOKUP(V$594,'2.2.Brecha Efectiva x UdM'!$H$64:$AK$70,5,0))))</f>
        <v>0</v>
      </c>
      <c r="W603" s="32">
        <f>(VLOOKUP($A603,$A$458:$O$482,8,0)*(HLOOKUP(W$594,'2.2.Brecha Efectiva x UdM'!$H$86:$AK$92,5,0))+(VLOOKUP($A603,$A$4:$O$27,8,0)*(HLOOKUP(W$594,'2.2.Brecha Efectiva x UdM'!$H$64:$AK$70,5,0))))</f>
        <v>0</v>
      </c>
      <c r="X603" s="32">
        <f>(VLOOKUP($A603,$A$458:$O$482,8,0)*(HLOOKUP(X$594,'2.2.Brecha Efectiva x UdM'!$H$86:$AK$92,5,0))+(VLOOKUP($A603,$A$4:$O$27,8,0)*(HLOOKUP(X$594,'2.2.Brecha Efectiva x UdM'!$H$64:$AK$70,5,0))))</f>
        <v>0</v>
      </c>
      <c r="Y603" s="32">
        <f>(VLOOKUP($A603,$A$458:$O$482,8,0)*(HLOOKUP(Y$594,'2.2.Brecha Efectiva x UdM'!$H$86:$AK$92,5,0))+(VLOOKUP($A603,$A$4:$O$27,8,0)*(HLOOKUP(Y$594,'2.2.Brecha Efectiva x UdM'!$H$64:$AK$70,5,0))))</f>
        <v>0</v>
      </c>
      <c r="Z603" s="32">
        <f>(VLOOKUP($A603,$A$458:$O$482,8,0)*(HLOOKUP(Z$594,'2.2.Brecha Efectiva x UdM'!$H$86:$AK$92,5,0))+(VLOOKUP($A603,$A$4:$O$27,8,0)*(HLOOKUP(Z$594,'2.2.Brecha Efectiva x UdM'!$H$64:$AK$70,5,0))))</f>
        <v>0</v>
      </c>
      <c r="AA603" s="32">
        <f>(VLOOKUP($A603,$A$458:$O$482,8,0)*(HLOOKUP(AA$594,'2.2.Brecha Efectiva x UdM'!$H$86:$AK$92,5,0))+(VLOOKUP($A603,$A$4:$O$27,8,0)*(HLOOKUP(AA$594,'2.2.Brecha Efectiva x UdM'!$H$64:$AK$70,5,0))))</f>
        <v>0</v>
      </c>
      <c r="AB603" s="32">
        <f>(VLOOKUP($A603,$A$458:$O$482,8,0)*(HLOOKUP(AB$594,'2.2.Brecha Efectiva x UdM'!$H$86:$AK$92,5,0))+(VLOOKUP($A603,$A$4:$O$27,8,0)*(HLOOKUP(AB$594,'2.2.Brecha Efectiva x UdM'!$H$64:$AK$70,5,0))))</f>
        <v>0</v>
      </c>
      <c r="AC603" s="32">
        <f>(VLOOKUP($A603,$A$458:$O$482,8,0)*(HLOOKUP(AC$594,'2.2.Brecha Efectiva x UdM'!$H$86:$AK$92,5,0))+(VLOOKUP($A603,$A$4:$O$27,8,0)*(HLOOKUP(AC$594,'2.2.Brecha Efectiva x UdM'!$H$64:$AK$70,5,0))))</f>
        <v>0</v>
      </c>
      <c r="AD603" s="32">
        <f>(VLOOKUP($A603,$A$458:$O$482,8,0)*(HLOOKUP(AD$594,'2.2.Brecha Efectiva x UdM'!$H$86:$AK$92,5,0))+(VLOOKUP($A603,$A$4:$O$27,8,0)*(HLOOKUP(AD$594,'2.2.Brecha Efectiva x UdM'!$H$64:$AK$70,5,0))))</f>
        <v>0</v>
      </c>
      <c r="AE603" s="32">
        <f>(VLOOKUP($A603,$A$458:$O$482,8,0)*(HLOOKUP(AE$594,'2.2.Brecha Efectiva x UdM'!$H$86:$AK$92,5,0))+(VLOOKUP($A603,$A$4:$O$27,8,0)*(HLOOKUP(AE$594,'2.2.Brecha Efectiva x UdM'!$H$64:$AK$70,5,0))))</f>
        <v>0</v>
      </c>
      <c r="AF603" s="32">
        <f>(VLOOKUP($A603,$A$458:$O$482,8,0)*(HLOOKUP(AF$594,'2.2.Brecha Efectiva x UdM'!$H$86:$AK$92,5,0))+(VLOOKUP($A603,$A$4:$O$27,8,0)*(HLOOKUP(AF$594,'2.2.Brecha Efectiva x UdM'!$H$64:$AK$70,5,0))))</f>
        <v>0</v>
      </c>
      <c r="AG603" s="32">
        <f>(VLOOKUP($A603,$A$458:$O$482,8,0)*(HLOOKUP(AG$594,'2.2.Brecha Efectiva x UdM'!$H$86:$AK$92,5,0))+(VLOOKUP($A603,$A$4:$O$27,8,0)*(HLOOKUP(AG$594,'2.2.Brecha Efectiva x UdM'!$H$64:$AK$70,5,0))))</f>
        <v>0</v>
      </c>
      <c r="AH603" s="62">
        <f t="shared" si="571"/>
        <v>0</v>
      </c>
    </row>
    <row r="604" spans="1:34" hidden="1" x14ac:dyDescent="0.2">
      <c r="A604" s="26" t="str">
        <f t="shared" si="568"/>
        <v>Jujuy</v>
      </c>
      <c r="B604" s="52">
        <f t="shared" si="569"/>
        <v>0</v>
      </c>
      <c r="C604" s="26" t="str">
        <f t="shared" si="570"/>
        <v>Jujuy 0</v>
      </c>
      <c r="D604" s="31">
        <f>(VLOOKUP($A604,$A$458:$O$482,8,0)*(HLOOKUP(D$594,'2.2.Brecha Efectiva x UdM'!$H$86:$AK$92,5,0))+(VLOOKUP($A604,$A$4:$O$27,8,0)*(HLOOKUP(D$594,'2.2.Brecha Efectiva x UdM'!$H$64:$AK$70,5,0))))</f>
        <v>0</v>
      </c>
      <c r="E604" s="31">
        <f>(VLOOKUP($A604,$A$458:$O$482,8,0)*(HLOOKUP(E$594,'2.2.Brecha Efectiva x UdM'!$H$86:$AK$92,5,0))+(VLOOKUP($A604,$A$4:$O$27,8,0)*(HLOOKUP(E$594,'2.2.Brecha Efectiva x UdM'!$H$64:$AK$70,5,0))))</f>
        <v>0</v>
      </c>
      <c r="F604" s="31">
        <f>(VLOOKUP($A604,$A$458:$O$482,8,0)*(HLOOKUP(F$594,'2.2.Brecha Efectiva x UdM'!$H$86:$AK$92,5,0))+(VLOOKUP($A604,$A$4:$O$27,8,0)*(HLOOKUP(F$594,'2.2.Brecha Efectiva x UdM'!$H$64:$AK$70,5,0))))</f>
        <v>0</v>
      </c>
      <c r="G604" s="31">
        <f>(VLOOKUP($A604,$A$458:$O$482,8,0)*(HLOOKUP(G$594,'2.2.Brecha Efectiva x UdM'!$H$86:$AK$92,5,0))+(VLOOKUP($A604,$A$4:$O$27,8,0)*(HLOOKUP(G$594,'2.2.Brecha Efectiva x UdM'!$H$64:$AK$70,5,0))))</f>
        <v>0</v>
      </c>
      <c r="H604" s="31">
        <f>(VLOOKUP($A604,$A$458:$O$482,8,0)*(HLOOKUP(H$594,'2.2.Brecha Efectiva x UdM'!$H$86:$AK$92,5,0))+(VLOOKUP($A604,$A$4:$O$27,8,0)*(HLOOKUP(H$594,'2.2.Brecha Efectiva x UdM'!$H$64:$AK$70,5,0))))</f>
        <v>0</v>
      </c>
      <c r="I604" s="31">
        <f>(VLOOKUP($A604,$A$458:$O$482,8,0)*(HLOOKUP(I$594,'2.2.Brecha Efectiva x UdM'!$H$86:$AK$92,5,0))+(VLOOKUP($A604,$A$4:$O$27,8,0)*(HLOOKUP(I$594,'2.2.Brecha Efectiva x UdM'!$H$64:$AK$70,5,0))))</f>
        <v>0</v>
      </c>
      <c r="J604" s="31">
        <f>(VLOOKUP($A604,$A$458:$O$482,8,0)*(HLOOKUP(J$594,'2.2.Brecha Efectiva x UdM'!$H$86:$AK$92,5,0))+(VLOOKUP($A604,$A$4:$O$27,8,0)*(HLOOKUP(J$594,'2.2.Brecha Efectiva x UdM'!$H$64:$AK$70,5,0))))</f>
        <v>0</v>
      </c>
      <c r="K604" s="31">
        <f>(VLOOKUP($A604,$A$458:$O$482,8,0)*(HLOOKUP(K$594,'2.2.Brecha Efectiva x UdM'!$H$86:$AK$92,5,0))+(VLOOKUP($A604,$A$4:$O$27,8,0)*(HLOOKUP(K$594,'2.2.Brecha Efectiva x UdM'!$H$64:$AK$70,5,0))))</f>
        <v>0</v>
      </c>
      <c r="L604" s="31">
        <f>(VLOOKUP($A604,$A$458:$O$482,8,0)*(HLOOKUP(L$594,'2.2.Brecha Efectiva x UdM'!$H$86:$AK$92,5,0))+(VLOOKUP($A604,$A$4:$O$27,8,0)*(HLOOKUP(L$594,'2.2.Brecha Efectiva x UdM'!$H$64:$AK$70,5,0))))</f>
        <v>0</v>
      </c>
      <c r="M604" s="31">
        <f>(VLOOKUP($A604,$A$458:$O$482,8,0)*(HLOOKUP(M$594,'2.2.Brecha Efectiva x UdM'!$H$86:$AK$92,5,0))+(VLOOKUP($A604,$A$4:$O$27,8,0)*(HLOOKUP(M$594,'2.2.Brecha Efectiva x UdM'!$H$64:$AK$70,5,0))))</f>
        <v>0</v>
      </c>
      <c r="N604" s="31">
        <f>(VLOOKUP($A604,$A$458:$O$482,8,0)*(HLOOKUP(N$594,'2.2.Brecha Efectiva x UdM'!$H$86:$AK$92,5,0))+(VLOOKUP($A604,$A$4:$O$27,8,0)*(HLOOKUP(N$594,'2.2.Brecha Efectiva x UdM'!$H$64:$AK$70,5,0))))</f>
        <v>0</v>
      </c>
      <c r="O604" s="31">
        <f>(VLOOKUP($A604,$A$458:$O$482,8,0)*(HLOOKUP(O$594,'2.2.Brecha Efectiva x UdM'!$H$86:$AK$92,5,0))+(VLOOKUP($A604,$A$4:$O$27,8,0)*(HLOOKUP(O$594,'2.2.Brecha Efectiva x UdM'!$H$64:$AK$70,5,0))))</f>
        <v>0</v>
      </c>
      <c r="P604" s="31">
        <f>(VLOOKUP($A604,$A$458:$O$482,8,0)*(HLOOKUP(P$594,'2.2.Brecha Efectiva x UdM'!$H$86:$AK$92,5,0))+(VLOOKUP($A604,$A$4:$O$27,8,0)*(HLOOKUP(P$594,'2.2.Brecha Efectiva x UdM'!$H$64:$AK$70,5,0))))</f>
        <v>0</v>
      </c>
      <c r="Q604" s="31">
        <f>(VLOOKUP($A604,$A$458:$O$482,8,0)*(HLOOKUP(Q$594,'2.2.Brecha Efectiva x UdM'!$H$86:$AK$92,5,0))+(VLOOKUP($A604,$A$4:$O$27,8,0)*(HLOOKUP(Q$594,'2.2.Brecha Efectiva x UdM'!$H$64:$AK$70,5,0))))</f>
        <v>0</v>
      </c>
      <c r="R604" s="31">
        <f>(VLOOKUP($A604,$A$458:$O$482,8,0)*(HLOOKUP(R$594,'2.2.Brecha Efectiva x UdM'!$H$86:$AK$92,5,0))+(VLOOKUP($A604,$A$4:$O$27,8,0)*(HLOOKUP(R$594,'2.2.Brecha Efectiva x UdM'!$H$64:$AK$70,5,0))))</f>
        <v>0</v>
      </c>
      <c r="S604" s="31">
        <f>(VLOOKUP($A604,$A$458:$O$482,8,0)*(HLOOKUP(S$594,'2.2.Brecha Efectiva x UdM'!$H$86:$AK$92,5,0))+(VLOOKUP($A604,$A$4:$O$27,8,0)*(HLOOKUP(S$594,'2.2.Brecha Efectiva x UdM'!$H$64:$AK$70,5,0))))</f>
        <v>0</v>
      </c>
      <c r="T604" s="31">
        <f>(VLOOKUP($A604,$A$458:$O$482,8,0)*(HLOOKUP(T$594,'2.2.Brecha Efectiva x UdM'!$H$86:$AK$92,5,0))+(VLOOKUP($A604,$A$4:$O$27,8,0)*(HLOOKUP(T$594,'2.2.Brecha Efectiva x UdM'!$H$64:$AK$70,5,0))))</f>
        <v>0</v>
      </c>
      <c r="U604" s="31">
        <f>(VLOOKUP($A604,$A$458:$O$482,8,0)*(HLOOKUP(U$594,'2.2.Brecha Efectiva x UdM'!$H$86:$AK$92,5,0))+(VLOOKUP($A604,$A$4:$O$27,8,0)*(HLOOKUP(U$594,'2.2.Brecha Efectiva x UdM'!$H$64:$AK$70,5,0))))</f>
        <v>0</v>
      </c>
      <c r="V604" s="31">
        <f>(VLOOKUP($A604,$A$458:$O$482,8,0)*(HLOOKUP(V$594,'2.2.Brecha Efectiva x UdM'!$H$86:$AK$92,5,0))+(VLOOKUP($A604,$A$4:$O$27,8,0)*(HLOOKUP(V$594,'2.2.Brecha Efectiva x UdM'!$H$64:$AK$70,5,0))))</f>
        <v>0</v>
      </c>
      <c r="W604" s="31">
        <f>(VLOOKUP($A604,$A$458:$O$482,8,0)*(HLOOKUP(W$594,'2.2.Brecha Efectiva x UdM'!$H$86:$AK$92,5,0))+(VLOOKUP($A604,$A$4:$O$27,8,0)*(HLOOKUP(W$594,'2.2.Brecha Efectiva x UdM'!$H$64:$AK$70,5,0))))</f>
        <v>0</v>
      </c>
      <c r="X604" s="31">
        <f>(VLOOKUP($A604,$A$458:$O$482,8,0)*(HLOOKUP(X$594,'2.2.Brecha Efectiva x UdM'!$H$86:$AK$92,5,0))+(VLOOKUP($A604,$A$4:$O$27,8,0)*(HLOOKUP(X$594,'2.2.Brecha Efectiva x UdM'!$H$64:$AK$70,5,0))))</f>
        <v>0</v>
      </c>
      <c r="Y604" s="31">
        <f>(VLOOKUP($A604,$A$458:$O$482,8,0)*(HLOOKUP(Y$594,'2.2.Brecha Efectiva x UdM'!$H$86:$AK$92,5,0))+(VLOOKUP($A604,$A$4:$O$27,8,0)*(HLOOKUP(Y$594,'2.2.Brecha Efectiva x UdM'!$H$64:$AK$70,5,0))))</f>
        <v>0</v>
      </c>
      <c r="Z604" s="31">
        <f>(VLOOKUP($A604,$A$458:$O$482,8,0)*(HLOOKUP(Z$594,'2.2.Brecha Efectiva x UdM'!$H$86:$AK$92,5,0))+(VLOOKUP($A604,$A$4:$O$27,8,0)*(HLOOKUP(Z$594,'2.2.Brecha Efectiva x UdM'!$H$64:$AK$70,5,0))))</f>
        <v>0</v>
      </c>
      <c r="AA604" s="31">
        <f>(VLOOKUP($A604,$A$458:$O$482,8,0)*(HLOOKUP(AA$594,'2.2.Brecha Efectiva x UdM'!$H$86:$AK$92,5,0))+(VLOOKUP($A604,$A$4:$O$27,8,0)*(HLOOKUP(AA$594,'2.2.Brecha Efectiva x UdM'!$H$64:$AK$70,5,0))))</f>
        <v>0</v>
      </c>
      <c r="AB604" s="31">
        <f>(VLOOKUP($A604,$A$458:$O$482,8,0)*(HLOOKUP(AB$594,'2.2.Brecha Efectiva x UdM'!$H$86:$AK$92,5,0))+(VLOOKUP($A604,$A$4:$O$27,8,0)*(HLOOKUP(AB$594,'2.2.Brecha Efectiva x UdM'!$H$64:$AK$70,5,0))))</f>
        <v>0</v>
      </c>
      <c r="AC604" s="31">
        <f>(VLOOKUP($A604,$A$458:$O$482,8,0)*(HLOOKUP(AC$594,'2.2.Brecha Efectiva x UdM'!$H$86:$AK$92,5,0))+(VLOOKUP($A604,$A$4:$O$27,8,0)*(HLOOKUP(AC$594,'2.2.Brecha Efectiva x UdM'!$H$64:$AK$70,5,0))))</f>
        <v>0</v>
      </c>
      <c r="AD604" s="31">
        <f>(VLOOKUP($A604,$A$458:$O$482,8,0)*(HLOOKUP(AD$594,'2.2.Brecha Efectiva x UdM'!$H$86:$AK$92,5,0))+(VLOOKUP($A604,$A$4:$O$27,8,0)*(HLOOKUP(AD$594,'2.2.Brecha Efectiva x UdM'!$H$64:$AK$70,5,0))))</f>
        <v>0</v>
      </c>
      <c r="AE604" s="31">
        <f>(VLOOKUP($A604,$A$458:$O$482,8,0)*(HLOOKUP(AE$594,'2.2.Brecha Efectiva x UdM'!$H$86:$AK$92,5,0))+(VLOOKUP($A604,$A$4:$O$27,8,0)*(HLOOKUP(AE$594,'2.2.Brecha Efectiva x UdM'!$H$64:$AK$70,5,0))))</f>
        <v>0</v>
      </c>
      <c r="AF604" s="31">
        <f>(VLOOKUP($A604,$A$458:$O$482,8,0)*(HLOOKUP(AF$594,'2.2.Brecha Efectiva x UdM'!$H$86:$AK$92,5,0))+(VLOOKUP($A604,$A$4:$O$27,8,0)*(HLOOKUP(AF$594,'2.2.Brecha Efectiva x UdM'!$H$64:$AK$70,5,0))))</f>
        <v>0</v>
      </c>
      <c r="AG604" s="31">
        <f>(VLOOKUP($A604,$A$458:$O$482,8,0)*(HLOOKUP(AG$594,'2.2.Brecha Efectiva x UdM'!$H$86:$AK$92,5,0))+(VLOOKUP($A604,$A$4:$O$27,8,0)*(HLOOKUP(AG$594,'2.2.Brecha Efectiva x UdM'!$H$64:$AK$70,5,0))))</f>
        <v>0</v>
      </c>
      <c r="AH604" s="63">
        <f t="shared" si="571"/>
        <v>0</v>
      </c>
    </row>
    <row r="605" spans="1:34" hidden="1" x14ac:dyDescent="0.2">
      <c r="A605" s="25" t="str">
        <f t="shared" si="568"/>
        <v>La Pampa</v>
      </c>
      <c r="B605" s="51">
        <f t="shared" si="569"/>
        <v>0</v>
      </c>
      <c r="C605" s="25" t="str">
        <f t="shared" si="570"/>
        <v>La Pampa 0</v>
      </c>
      <c r="D605" s="32">
        <f>(VLOOKUP($A605,$A$458:$O$482,8,0)*(HLOOKUP(D$594,'2.2.Brecha Efectiva x UdM'!$H$86:$AK$92,5,0))+(VLOOKUP($A605,$A$4:$O$27,8,0)*(HLOOKUP(D$594,'2.2.Brecha Efectiva x UdM'!$H$64:$AK$70,5,0))))</f>
        <v>0</v>
      </c>
      <c r="E605" s="32">
        <f>(VLOOKUP($A605,$A$458:$O$482,8,0)*(HLOOKUP(E$594,'2.2.Brecha Efectiva x UdM'!$H$86:$AK$92,5,0))+(VLOOKUP($A605,$A$4:$O$27,8,0)*(HLOOKUP(E$594,'2.2.Brecha Efectiva x UdM'!$H$64:$AK$70,5,0))))</f>
        <v>0</v>
      </c>
      <c r="F605" s="32">
        <f>(VLOOKUP($A605,$A$458:$O$482,8,0)*(HLOOKUP(F$594,'2.2.Brecha Efectiva x UdM'!$H$86:$AK$92,5,0))+(VLOOKUP($A605,$A$4:$O$27,8,0)*(HLOOKUP(F$594,'2.2.Brecha Efectiva x UdM'!$H$64:$AK$70,5,0))))</f>
        <v>0</v>
      </c>
      <c r="G605" s="32">
        <f>(VLOOKUP($A605,$A$458:$O$482,8,0)*(HLOOKUP(G$594,'2.2.Brecha Efectiva x UdM'!$H$86:$AK$92,5,0))+(VLOOKUP($A605,$A$4:$O$27,8,0)*(HLOOKUP(G$594,'2.2.Brecha Efectiva x UdM'!$H$64:$AK$70,5,0))))</f>
        <v>0</v>
      </c>
      <c r="H605" s="32">
        <f>(VLOOKUP($A605,$A$458:$O$482,8,0)*(HLOOKUP(H$594,'2.2.Brecha Efectiva x UdM'!$H$86:$AK$92,5,0))+(VLOOKUP($A605,$A$4:$O$27,8,0)*(HLOOKUP(H$594,'2.2.Brecha Efectiva x UdM'!$H$64:$AK$70,5,0))))</f>
        <v>0</v>
      </c>
      <c r="I605" s="32">
        <f>(VLOOKUP($A605,$A$458:$O$482,8,0)*(HLOOKUP(I$594,'2.2.Brecha Efectiva x UdM'!$H$86:$AK$92,5,0))+(VLOOKUP($A605,$A$4:$O$27,8,0)*(HLOOKUP(I$594,'2.2.Brecha Efectiva x UdM'!$H$64:$AK$70,5,0))))</f>
        <v>0</v>
      </c>
      <c r="J605" s="32">
        <f>(VLOOKUP($A605,$A$458:$O$482,8,0)*(HLOOKUP(J$594,'2.2.Brecha Efectiva x UdM'!$H$86:$AK$92,5,0))+(VLOOKUP($A605,$A$4:$O$27,8,0)*(HLOOKUP(J$594,'2.2.Brecha Efectiva x UdM'!$H$64:$AK$70,5,0))))</f>
        <v>0</v>
      </c>
      <c r="K605" s="32">
        <f>(VLOOKUP($A605,$A$458:$O$482,8,0)*(HLOOKUP(K$594,'2.2.Brecha Efectiva x UdM'!$H$86:$AK$92,5,0))+(VLOOKUP($A605,$A$4:$O$27,8,0)*(HLOOKUP(K$594,'2.2.Brecha Efectiva x UdM'!$H$64:$AK$70,5,0))))</f>
        <v>0</v>
      </c>
      <c r="L605" s="32">
        <f>(VLOOKUP($A605,$A$458:$O$482,8,0)*(HLOOKUP(L$594,'2.2.Brecha Efectiva x UdM'!$H$86:$AK$92,5,0))+(VLOOKUP($A605,$A$4:$O$27,8,0)*(HLOOKUP(L$594,'2.2.Brecha Efectiva x UdM'!$H$64:$AK$70,5,0))))</f>
        <v>0</v>
      </c>
      <c r="M605" s="32">
        <f>(VLOOKUP($A605,$A$458:$O$482,8,0)*(HLOOKUP(M$594,'2.2.Brecha Efectiva x UdM'!$H$86:$AK$92,5,0))+(VLOOKUP($A605,$A$4:$O$27,8,0)*(HLOOKUP(M$594,'2.2.Brecha Efectiva x UdM'!$H$64:$AK$70,5,0))))</f>
        <v>0</v>
      </c>
      <c r="N605" s="32">
        <f>(VLOOKUP($A605,$A$458:$O$482,8,0)*(HLOOKUP(N$594,'2.2.Brecha Efectiva x UdM'!$H$86:$AK$92,5,0))+(VLOOKUP($A605,$A$4:$O$27,8,0)*(HLOOKUP(N$594,'2.2.Brecha Efectiva x UdM'!$H$64:$AK$70,5,0))))</f>
        <v>0</v>
      </c>
      <c r="O605" s="32">
        <f>(VLOOKUP($A605,$A$458:$O$482,8,0)*(HLOOKUP(O$594,'2.2.Brecha Efectiva x UdM'!$H$86:$AK$92,5,0))+(VLOOKUP($A605,$A$4:$O$27,8,0)*(HLOOKUP(O$594,'2.2.Brecha Efectiva x UdM'!$H$64:$AK$70,5,0))))</f>
        <v>0</v>
      </c>
      <c r="P605" s="32">
        <f>(VLOOKUP($A605,$A$458:$O$482,8,0)*(HLOOKUP(P$594,'2.2.Brecha Efectiva x UdM'!$H$86:$AK$92,5,0))+(VLOOKUP($A605,$A$4:$O$27,8,0)*(HLOOKUP(P$594,'2.2.Brecha Efectiva x UdM'!$H$64:$AK$70,5,0))))</f>
        <v>0</v>
      </c>
      <c r="Q605" s="32">
        <f>(VLOOKUP($A605,$A$458:$O$482,8,0)*(HLOOKUP(Q$594,'2.2.Brecha Efectiva x UdM'!$H$86:$AK$92,5,0))+(VLOOKUP($A605,$A$4:$O$27,8,0)*(HLOOKUP(Q$594,'2.2.Brecha Efectiva x UdM'!$H$64:$AK$70,5,0))))</f>
        <v>0</v>
      </c>
      <c r="R605" s="32">
        <f>(VLOOKUP($A605,$A$458:$O$482,8,0)*(HLOOKUP(R$594,'2.2.Brecha Efectiva x UdM'!$H$86:$AK$92,5,0))+(VLOOKUP($A605,$A$4:$O$27,8,0)*(HLOOKUP(R$594,'2.2.Brecha Efectiva x UdM'!$H$64:$AK$70,5,0))))</f>
        <v>0</v>
      </c>
      <c r="S605" s="32">
        <f>(VLOOKUP($A605,$A$458:$O$482,8,0)*(HLOOKUP(S$594,'2.2.Brecha Efectiva x UdM'!$H$86:$AK$92,5,0))+(VLOOKUP($A605,$A$4:$O$27,8,0)*(HLOOKUP(S$594,'2.2.Brecha Efectiva x UdM'!$H$64:$AK$70,5,0))))</f>
        <v>0</v>
      </c>
      <c r="T605" s="32">
        <f>(VLOOKUP($A605,$A$458:$O$482,8,0)*(HLOOKUP(T$594,'2.2.Brecha Efectiva x UdM'!$H$86:$AK$92,5,0))+(VLOOKUP($A605,$A$4:$O$27,8,0)*(HLOOKUP(T$594,'2.2.Brecha Efectiva x UdM'!$H$64:$AK$70,5,0))))</f>
        <v>0</v>
      </c>
      <c r="U605" s="32">
        <f>(VLOOKUP($A605,$A$458:$O$482,8,0)*(HLOOKUP(U$594,'2.2.Brecha Efectiva x UdM'!$H$86:$AK$92,5,0))+(VLOOKUP($A605,$A$4:$O$27,8,0)*(HLOOKUP(U$594,'2.2.Brecha Efectiva x UdM'!$H$64:$AK$70,5,0))))</f>
        <v>0</v>
      </c>
      <c r="V605" s="32">
        <f>(VLOOKUP($A605,$A$458:$O$482,8,0)*(HLOOKUP(V$594,'2.2.Brecha Efectiva x UdM'!$H$86:$AK$92,5,0))+(VLOOKUP($A605,$A$4:$O$27,8,0)*(HLOOKUP(V$594,'2.2.Brecha Efectiva x UdM'!$H$64:$AK$70,5,0))))</f>
        <v>0</v>
      </c>
      <c r="W605" s="32">
        <f>(VLOOKUP($A605,$A$458:$O$482,8,0)*(HLOOKUP(W$594,'2.2.Brecha Efectiva x UdM'!$H$86:$AK$92,5,0))+(VLOOKUP($A605,$A$4:$O$27,8,0)*(HLOOKUP(W$594,'2.2.Brecha Efectiva x UdM'!$H$64:$AK$70,5,0))))</f>
        <v>0</v>
      </c>
      <c r="X605" s="32">
        <f>(VLOOKUP($A605,$A$458:$O$482,8,0)*(HLOOKUP(X$594,'2.2.Brecha Efectiva x UdM'!$H$86:$AK$92,5,0))+(VLOOKUP($A605,$A$4:$O$27,8,0)*(HLOOKUP(X$594,'2.2.Brecha Efectiva x UdM'!$H$64:$AK$70,5,0))))</f>
        <v>0</v>
      </c>
      <c r="Y605" s="32">
        <f>(VLOOKUP($A605,$A$458:$O$482,8,0)*(HLOOKUP(Y$594,'2.2.Brecha Efectiva x UdM'!$H$86:$AK$92,5,0))+(VLOOKUP($A605,$A$4:$O$27,8,0)*(HLOOKUP(Y$594,'2.2.Brecha Efectiva x UdM'!$H$64:$AK$70,5,0))))</f>
        <v>0</v>
      </c>
      <c r="Z605" s="32">
        <f>(VLOOKUP($A605,$A$458:$O$482,8,0)*(HLOOKUP(Z$594,'2.2.Brecha Efectiva x UdM'!$H$86:$AK$92,5,0))+(VLOOKUP($A605,$A$4:$O$27,8,0)*(HLOOKUP(Z$594,'2.2.Brecha Efectiva x UdM'!$H$64:$AK$70,5,0))))</f>
        <v>0</v>
      </c>
      <c r="AA605" s="32">
        <f>(VLOOKUP($A605,$A$458:$O$482,8,0)*(HLOOKUP(AA$594,'2.2.Brecha Efectiva x UdM'!$H$86:$AK$92,5,0))+(VLOOKUP($A605,$A$4:$O$27,8,0)*(HLOOKUP(AA$594,'2.2.Brecha Efectiva x UdM'!$H$64:$AK$70,5,0))))</f>
        <v>0</v>
      </c>
      <c r="AB605" s="32">
        <f>(VLOOKUP($A605,$A$458:$O$482,8,0)*(HLOOKUP(AB$594,'2.2.Brecha Efectiva x UdM'!$H$86:$AK$92,5,0))+(VLOOKUP($A605,$A$4:$O$27,8,0)*(HLOOKUP(AB$594,'2.2.Brecha Efectiva x UdM'!$H$64:$AK$70,5,0))))</f>
        <v>0</v>
      </c>
      <c r="AC605" s="32">
        <f>(VLOOKUP($A605,$A$458:$O$482,8,0)*(HLOOKUP(AC$594,'2.2.Brecha Efectiva x UdM'!$H$86:$AK$92,5,0))+(VLOOKUP($A605,$A$4:$O$27,8,0)*(HLOOKUP(AC$594,'2.2.Brecha Efectiva x UdM'!$H$64:$AK$70,5,0))))</f>
        <v>0</v>
      </c>
      <c r="AD605" s="32">
        <f>(VLOOKUP($A605,$A$458:$O$482,8,0)*(HLOOKUP(AD$594,'2.2.Brecha Efectiva x UdM'!$H$86:$AK$92,5,0))+(VLOOKUP($A605,$A$4:$O$27,8,0)*(HLOOKUP(AD$594,'2.2.Brecha Efectiva x UdM'!$H$64:$AK$70,5,0))))</f>
        <v>0</v>
      </c>
      <c r="AE605" s="32">
        <f>(VLOOKUP($A605,$A$458:$O$482,8,0)*(HLOOKUP(AE$594,'2.2.Brecha Efectiva x UdM'!$H$86:$AK$92,5,0))+(VLOOKUP($A605,$A$4:$O$27,8,0)*(HLOOKUP(AE$594,'2.2.Brecha Efectiva x UdM'!$H$64:$AK$70,5,0))))</f>
        <v>0</v>
      </c>
      <c r="AF605" s="32">
        <f>(VLOOKUP($A605,$A$458:$O$482,8,0)*(HLOOKUP(AF$594,'2.2.Brecha Efectiva x UdM'!$H$86:$AK$92,5,0))+(VLOOKUP($A605,$A$4:$O$27,8,0)*(HLOOKUP(AF$594,'2.2.Brecha Efectiva x UdM'!$H$64:$AK$70,5,0))))</f>
        <v>0</v>
      </c>
      <c r="AG605" s="32">
        <f>(VLOOKUP($A605,$A$458:$O$482,8,0)*(HLOOKUP(AG$594,'2.2.Brecha Efectiva x UdM'!$H$86:$AK$92,5,0))+(VLOOKUP($A605,$A$4:$O$27,8,0)*(HLOOKUP(AG$594,'2.2.Brecha Efectiva x UdM'!$H$64:$AK$70,5,0))))</f>
        <v>0</v>
      </c>
      <c r="AH605" s="62">
        <f t="shared" si="571"/>
        <v>0</v>
      </c>
    </row>
    <row r="606" spans="1:34" hidden="1" x14ac:dyDescent="0.2">
      <c r="A606" s="26" t="str">
        <f t="shared" si="568"/>
        <v>La Rioja</v>
      </c>
      <c r="B606" s="52">
        <f t="shared" si="569"/>
        <v>0</v>
      </c>
      <c r="C606" s="26" t="str">
        <f t="shared" si="570"/>
        <v>La Rioja 0</v>
      </c>
      <c r="D606" s="31">
        <f>(VLOOKUP($A606,$A$458:$O$482,8,0)*(HLOOKUP(D$594,'2.2.Brecha Efectiva x UdM'!$H$86:$AK$92,5,0))+(VLOOKUP($A606,$A$4:$O$27,8,0)*(HLOOKUP(D$594,'2.2.Brecha Efectiva x UdM'!$H$64:$AK$70,5,0))))</f>
        <v>0</v>
      </c>
      <c r="E606" s="31">
        <f>(VLOOKUP($A606,$A$458:$O$482,8,0)*(HLOOKUP(E$594,'2.2.Brecha Efectiva x UdM'!$H$86:$AK$92,5,0))+(VLOOKUP($A606,$A$4:$O$27,8,0)*(HLOOKUP(E$594,'2.2.Brecha Efectiva x UdM'!$H$64:$AK$70,5,0))))</f>
        <v>0</v>
      </c>
      <c r="F606" s="31">
        <f>(VLOOKUP($A606,$A$458:$O$482,8,0)*(HLOOKUP(F$594,'2.2.Brecha Efectiva x UdM'!$H$86:$AK$92,5,0))+(VLOOKUP($A606,$A$4:$O$27,8,0)*(HLOOKUP(F$594,'2.2.Brecha Efectiva x UdM'!$H$64:$AK$70,5,0))))</f>
        <v>0</v>
      </c>
      <c r="G606" s="31">
        <f>(VLOOKUP($A606,$A$458:$O$482,8,0)*(HLOOKUP(G$594,'2.2.Brecha Efectiva x UdM'!$H$86:$AK$92,5,0))+(VLOOKUP($A606,$A$4:$O$27,8,0)*(HLOOKUP(G$594,'2.2.Brecha Efectiva x UdM'!$H$64:$AK$70,5,0))))</f>
        <v>0</v>
      </c>
      <c r="H606" s="31">
        <f>(VLOOKUP($A606,$A$458:$O$482,8,0)*(HLOOKUP(H$594,'2.2.Brecha Efectiva x UdM'!$H$86:$AK$92,5,0))+(VLOOKUP($A606,$A$4:$O$27,8,0)*(HLOOKUP(H$594,'2.2.Brecha Efectiva x UdM'!$H$64:$AK$70,5,0))))</f>
        <v>0</v>
      </c>
      <c r="I606" s="31">
        <f>(VLOOKUP($A606,$A$458:$O$482,8,0)*(HLOOKUP(I$594,'2.2.Brecha Efectiva x UdM'!$H$86:$AK$92,5,0))+(VLOOKUP($A606,$A$4:$O$27,8,0)*(HLOOKUP(I$594,'2.2.Brecha Efectiva x UdM'!$H$64:$AK$70,5,0))))</f>
        <v>0</v>
      </c>
      <c r="J606" s="31">
        <f>(VLOOKUP($A606,$A$458:$O$482,8,0)*(HLOOKUP(J$594,'2.2.Brecha Efectiva x UdM'!$H$86:$AK$92,5,0))+(VLOOKUP($A606,$A$4:$O$27,8,0)*(HLOOKUP(J$594,'2.2.Brecha Efectiva x UdM'!$H$64:$AK$70,5,0))))</f>
        <v>0</v>
      </c>
      <c r="K606" s="31">
        <f>(VLOOKUP($A606,$A$458:$O$482,8,0)*(HLOOKUP(K$594,'2.2.Brecha Efectiva x UdM'!$H$86:$AK$92,5,0))+(VLOOKUP($A606,$A$4:$O$27,8,0)*(HLOOKUP(K$594,'2.2.Brecha Efectiva x UdM'!$H$64:$AK$70,5,0))))</f>
        <v>0</v>
      </c>
      <c r="L606" s="31">
        <f>(VLOOKUP($A606,$A$458:$O$482,8,0)*(HLOOKUP(L$594,'2.2.Brecha Efectiva x UdM'!$H$86:$AK$92,5,0))+(VLOOKUP($A606,$A$4:$O$27,8,0)*(HLOOKUP(L$594,'2.2.Brecha Efectiva x UdM'!$H$64:$AK$70,5,0))))</f>
        <v>0</v>
      </c>
      <c r="M606" s="31">
        <f>(VLOOKUP($A606,$A$458:$O$482,8,0)*(HLOOKUP(M$594,'2.2.Brecha Efectiva x UdM'!$H$86:$AK$92,5,0))+(VLOOKUP($A606,$A$4:$O$27,8,0)*(HLOOKUP(M$594,'2.2.Brecha Efectiva x UdM'!$H$64:$AK$70,5,0))))</f>
        <v>0</v>
      </c>
      <c r="N606" s="31">
        <f>(VLOOKUP($A606,$A$458:$O$482,8,0)*(HLOOKUP(N$594,'2.2.Brecha Efectiva x UdM'!$H$86:$AK$92,5,0))+(VLOOKUP($A606,$A$4:$O$27,8,0)*(HLOOKUP(N$594,'2.2.Brecha Efectiva x UdM'!$H$64:$AK$70,5,0))))</f>
        <v>0</v>
      </c>
      <c r="O606" s="31">
        <f>(VLOOKUP($A606,$A$458:$O$482,8,0)*(HLOOKUP(O$594,'2.2.Brecha Efectiva x UdM'!$H$86:$AK$92,5,0))+(VLOOKUP($A606,$A$4:$O$27,8,0)*(HLOOKUP(O$594,'2.2.Brecha Efectiva x UdM'!$H$64:$AK$70,5,0))))</f>
        <v>0</v>
      </c>
      <c r="P606" s="31">
        <f>(VLOOKUP($A606,$A$458:$O$482,8,0)*(HLOOKUP(P$594,'2.2.Brecha Efectiva x UdM'!$H$86:$AK$92,5,0))+(VLOOKUP($A606,$A$4:$O$27,8,0)*(HLOOKUP(P$594,'2.2.Brecha Efectiva x UdM'!$H$64:$AK$70,5,0))))</f>
        <v>0</v>
      </c>
      <c r="Q606" s="31">
        <f>(VLOOKUP($A606,$A$458:$O$482,8,0)*(HLOOKUP(Q$594,'2.2.Brecha Efectiva x UdM'!$H$86:$AK$92,5,0))+(VLOOKUP($A606,$A$4:$O$27,8,0)*(HLOOKUP(Q$594,'2.2.Brecha Efectiva x UdM'!$H$64:$AK$70,5,0))))</f>
        <v>0</v>
      </c>
      <c r="R606" s="31">
        <f>(VLOOKUP($A606,$A$458:$O$482,8,0)*(HLOOKUP(R$594,'2.2.Brecha Efectiva x UdM'!$H$86:$AK$92,5,0))+(VLOOKUP($A606,$A$4:$O$27,8,0)*(HLOOKUP(R$594,'2.2.Brecha Efectiva x UdM'!$H$64:$AK$70,5,0))))</f>
        <v>0</v>
      </c>
      <c r="S606" s="31">
        <f>(VLOOKUP($A606,$A$458:$O$482,8,0)*(HLOOKUP(S$594,'2.2.Brecha Efectiva x UdM'!$H$86:$AK$92,5,0))+(VLOOKUP($A606,$A$4:$O$27,8,0)*(HLOOKUP(S$594,'2.2.Brecha Efectiva x UdM'!$H$64:$AK$70,5,0))))</f>
        <v>0</v>
      </c>
      <c r="T606" s="31">
        <f>(VLOOKUP($A606,$A$458:$O$482,8,0)*(HLOOKUP(T$594,'2.2.Brecha Efectiva x UdM'!$H$86:$AK$92,5,0))+(VLOOKUP($A606,$A$4:$O$27,8,0)*(HLOOKUP(T$594,'2.2.Brecha Efectiva x UdM'!$H$64:$AK$70,5,0))))</f>
        <v>0</v>
      </c>
      <c r="U606" s="31">
        <f>(VLOOKUP($A606,$A$458:$O$482,8,0)*(HLOOKUP(U$594,'2.2.Brecha Efectiva x UdM'!$H$86:$AK$92,5,0))+(VLOOKUP($A606,$A$4:$O$27,8,0)*(HLOOKUP(U$594,'2.2.Brecha Efectiva x UdM'!$H$64:$AK$70,5,0))))</f>
        <v>0</v>
      </c>
      <c r="V606" s="31">
        <f>(VLOOKUP($A606,$A$458:$O$482,8,0)*(HLOOKUP(V$594,'2.2.Brecha Efectiva x UdM'!$H$86:$AK$92,5,0))+(VLOOKUP($A606,$A$4:$O$27,8,0)*(HLOOKUP(V$594,'2.2.Brecha Efectiva x UdM'!$H$64:$AK$70,5,0))))</f>
        <v>0</v>
      </c>
      <c r="W606" s="31">
        <f>(VLOOKUP($A606,$A$458:$O$482,8,0)*(HLOOKUP(W$594,'2.2.Brecha Efectiva x UdM'!$H$86:$AK$92,5,0))+(VLOOKUP($A606,$A$4:$O$27,8,0)*(HLOOKUP(W$594,'2.2.Brecha Efectiva x UdM'!$H$64:$AK$70,5,0))))</f>
        <v>0</v>
      </c>
      <c r="X606" s="31">
        <f>(VLOOKUP($A606,$A$458:$O$482,8,0)*(HLOOKUP(X$594,'2.2.Brecha Efectiva x UdM'!$H$86:$AK$92,5,0))+(VLOOKUP($A606,$A$4:$O$27,8,0)*(HLOOKUP(X$594,'2.2.Brecha Efectiva x UdM'!$H$64:$AK$70,5,0))))</f>
        <v>0</v>
      </c>
      <c r="Y606" s="31">
        <f>(VLOOKUP($A606,$A$458:$O$482,8,0)*(HLOOKUP(Y$594,'2.2.Brecha Efectiva x UdM'!$H$86:$AK$92,5,0))+(VLOOKUP($A606,$A$4:$O$27,8,0)*(HLOOKUP(Y$594,'2.2.Brecha Efectiva x UdM'!$H$64:$AK$70,5,0))))</f>
        <v>0</v>
      </c>
      <c r="Z606" s="31">
        <f>(VLOOKUP($A606,$A$458:$O$482,8,0)*(HLOOKUP(Z$594,'2.2.Brecha Efectiva x UdM'!$H$86:$AK$92,5,0))+(VLOOKUP($A606,$A$4:$O$27,8,0)*(HLOOKUP(Z$594,'2.2.Brecha Efectiva x UdM'!$H$64:$AK$70,5,0))))</f>
        <v>0</v>
      </c>
      <c r="AA606" s="31">
        <f>(VLOOKUP($A606,$A$458:$O$482,8,0)*(HLOOKUP(AA$594,'2.2.Brecha Efectiva x UdM'!$H$86:$AK$92,5,0))+(VLOOKUP($A606,$A$4:$O$27,8,0)*(HLOOKUP(AA$594,'2.2.Brecha Efectiva x UdM'!$H$64:$AK$70,5,0))))</f>
        <v>0</v>
      </c>
      <c r="AB606" s="31">
        <f>(VLOOKUP($A606,$A$458:$O$482,8,0)*(HLOOKUP(AB$594,'2.2.Brecha Efectiva x UdM'!$H$86:$AK$92,5,0))+(VLOOKUP($A606,$A$4:$O$27,8,0)*(HLOOKUP(AB$594,'2.2.Brecha Efectiva x UdM'!$H$64:$AK$70,5,0))))</f>
        <v>0</v>
      </c>
      <c r="AC606" s="31">
        <f>(VLOOKUP($A606,$A$458:$O$482,8,0)*(HLOOKUP(AC$594,'2.2.Brecha Efectiva x UdM'!$H$86:$AK$92,5,0))+(VLOOKUP($A606,$A$4:$O$27,8,0)*(HLOOKUP(AC$594,'2.2.Brecha Efectiva x UdM'!$H$64:$AK$70,5,0))))</f>
        <v>0</v>
      </c>
      <c r="AD606" s="31">
        <f>(VLOOKUP($A606,$A$458:$O$482,8,0)*(HLOOKUP(AD$594,'2.2.Brecha Efectiva x UdM'!$H$86:$AK$92,5,0))+(VLOOKUP($A606,$A$4:$O$27,8,0)*(HLOOKUP(AD$594,'2.2.Brecha Efectiva x UdM'!$H$64:$AK$70,5,0))))</f>
        <v>0</v>
      </c>
      <c r="AE606" s="31">
        <f>(VLOOKUP($A606,$A$458:$O$482,8,0)*(HLOOKUP(AE$594,'2.2.Brecha Efectiva x UdM'!$H$86:$AK$92,5,0))+(VLOOKUP($A606,$A$4:$O$27,8,0)*(HLOOKUP(AE$594,'2.2.Brecha Efectiva x UdM'!$H$64:$AK$70,5,0))))</f>
        <v>0</v>
      </c>
      <c r="AF606" s="31">
        <f>(VLOOKUP($A606,$A$458:$O$482,8,0)*(HLOOKUP(AF$594,'2.2.Brecha Efectiva x UdM'!$H$86:$AK$92,5,0))+(VLOOKUP($A606,$A$4:$O$27,8,0)*(HLOOKUP(AF$594,'2.2.Brecha Efectiva x UdM'!$H$64:$AK$70,5,0))))</f>
        <v>0</v>
      </c>
      <c r="AG606" s="31">
        <f>(VLOOKUP($A606,$A$458:$O$482,8,0)*(HLOOKUP(AG$594,'2.2.Brecha Efectiva x UdM'!$H$86:$AK$92,5,0))+(VLOOKUP($A606,$A$4:$O$27,8,0)*(HLOOKUP(AG$594,'2.2.Brecha Efectiva x UdM'!$H$64:$AK$70,5,0))))</f>
        <v>0</v>
      </c>
      <c r="AH606" s="63">
        <f t="shared" si="571"/>
        <v>0</v>
      </c>
    </row>
    <row r="607" spans="1:34" hidden="1" x14ac:dyDescent="0.2">
      <c r="A607" s="25" t="str">
        <f t="shared" si="568"/>
        <v>Mendoza</v>
      </c>
      <c r="B607" s="51">
        <f t="shared" si="569"/>
        <v>0</v>
      </c>
      <c r="C607" s="25" t="str">
        <f t="shared" si="570"/>
        <v>Mendoza 0</v>
      </c>
      <c r="D607" s="32">
        <f>(VLOOKUP($A607,$A$458:$O$482,8,0)*(HLOOKUP(D$594,'2.2.Brecha Efectiva x UdM'!$H$86:$AK$92,5,0))+(VLOOKUP($A607,$A$4:$O$27,8,0)*(HLOOKUP(D$594,'2.2.Brecha Efectiva x UdM'!$H$64:$AK$70,5,0))))</f>
        <v>0</v>
      </c>
      <c r="E607" s="32">
        <f>(VLOOKUP($A607,$A$458:$O$482,8,0)*(HLOOKUP(E$594,'2.2.Brecha Efectiva x UdM'!$H$86:$AK$92,5,0))+(VLOOKUP($A607,$A$4:$O$27,8,0)*(HLOOKUP(E$594,'2.2.Brecha Efectiva x UdM'!$H$64:$AK$70,5,0))))</f>
        <v>0</v>
      </c>
      <c r="F607" s="32">
        <f>(VLOOKUP($A607,$A$458:$O$482,8,0)*(HLOOKUP(F$594,'2.2.Brecha Efectiva x UdM'!$H$86:$AK$92,5,0))+(VLOOKUP($A607,$A$4:$O$27,8,0)*(HLOOKUP(F$594,'2.2.Brecha Efectiva x UdM'!$H$64:$AK$70,5,0))))</f>
        <v>0</v>
      </c>
      <c r="G607" s="32">
        <f>(VLOOKUP($A607,$A$458:$O$482,8,0)*(HLOOKUP(G$594,'2.2.Brecha Efectiva x UdM'!$H$86:$AK$92,5,0))+(VLOOKUP($A607,$A$4:$O$27,8,0)*(HLOOKUP(G$594,'2.2.Brecha Efectiva x UdM'!$H$64:$AK$70,5,0))))</f>
        <v>0</v>
      </c>
      <c r="H607" s="32">
        <f>(VLOOKUP($A607,$A$458:$O$482,8,0)*(HLOOKUP(H$594,'2.2.Brecha Efectiva x UdM'!$H$86:$AK$92,5,0))+(VLOOKUP($A607,$A$4:$O$27,8,0)*(HLOOKUP(H$594,'2.2.Brecha Efectiva x UdM'!$H$64:$AK$70,5,0))))</f>
        <v>0</v>
      </c>
      <c r="I607" s="32">
        <f>(VLOOKUP($A607,$A$458:$O$482,8,0)*(HLOOKUP(I$594,'2.2.Brecha Efectiva x UdM'!$H$86:$AK$92,5,0))+(VLOOKUP($A607,$A$4:$O$27,8,0)*(HLOOKUP(I$594,'2.2.Brecha Efectiva x UdM'!$H$64:$AK$70,5,0))))</f>
        <v>0</v>
      </c>
      <c r="J607" s="32">
        <f>(VLOOKUP($A607,$A$458:$O$482,8,0)*(HLOOKUP(J$594,'2.2.Brecha Efectiva x UdM'!$H$86:$AK$92,5,0))+(VLOOKUP($A607,$A$4:$O$27,8,0)*(HLOOKUP(J$594,'2.2.Brecha Efectiva x UdM'!$H$64:$AK$70,5,0))))</f>
        <v>0</v>
      </c>
      <c r="K607" s="32">
        <f>(VLOOKUP($A607,$A$458:$O$482,8,0)*(HLOOKUP(K$594,'2.2.Brecha Efectiva x UdM'!$H$86:$AK$92,5,0))+(VLOOKUP($A607,$A$4:$O$27,8,0)*(HLOOKUP(K$594,'2.2.Brecha Efectiva x UdM'!$H$64:$AK$70,5,0))))</f>
        <v>0</v>
      </c>
      <c r="L607" s="32">
        <f>(VLOOKUP($A607,$A$458:$O$482,8,0)*(HLOOKUP(L$594,'2.2.Brecha Efectiva x UdM'!$H$86:$AK$92,5,0))+(VLOOKUP($A607,$A$4:$O$27,8,0)*(HLOOKUP(L$594,'2.2.Brecha Efectiva x UdM'!$H$64:$AK$70,5,0))))</f>
        <v>0</v>
      </c>
      <c r="M607" s="32">
        <f>(VLOOKUP($A607,$A$458:$O$482,8,0)*(HLOOKUP(M$594,'2.2.Brecha Efectiva x UdM'!$H$86:$AK$92,5,0))+(VLOOKUP($A607,$A$4:$O$27,8,0)*(HLOOKUP(M$594,'2.2.Brecha Efectiva x UdM'!$H$64:$AK$70,5,0))))</f>
        <v>0</v>
      </c>
      <c r="N607" s="32">
        <f>(VLOOKUP($A607,$A$458:$O$482,8,0)*(HLOOKUP(N$594,'2.2.Brecha Efectiva x UdM'!$H$86:$AK$92,5,0))+(VLOOKUP($A607,$A$4:$O$27,8,0)*(HLOOKUP(N$594,'2.2.Brecha Efectiva x UdM'!$H$64:$AK$70,5,0))))</f>
        <v>0</v>
      </c>
      <c r="O607" s="32">
        <f>(VLOOKUP($A607,$A$458:$O$482,8,0)*(HLOOKUP(O$594,'2.2.Brecha Efectiva x UdM'!$H$86:$AK$92,5,0))+(VLOOKUP($A607,$A$4:$O$27,8,0)*(HLOOKUP(O$594,'2.2.Brecha Efectiva x UdM'!$H$64:$AK$70,5,0))))</f>
        <v>0</v>
      </c>
      <c r="P607" s="32">
        <f>(VLOOKUP($A607,$A$458:$O$482,8,0)*(HLOOKUP(P$594,'2.2.Brecha Efectiva x UdM'!$H$86:$AK$92,5,0))+(VLOOKUP($A607,$A$4:$O$27,8,0)*(HLOOKUP(P$594,'2.2.Brecha Efectiva x UdM'!$H$64:$AK$70,5,0))))</f>
        <v>0</v>
      </c>
      <c r="Q607" s="32">
        <f>(VLOOKUP($A607,$A$458:$O$482,8,0)*(HLOOKUP(Q$594,'2.2.Brecha Efectiva x UdM'!$H$86:$AK$92,5,0))+(VLOOKUP($A607,$A$4:$O$27,8,0)*(HLOOKUP(Q$594,'2.2.Brecha Efectiva x UdM'!$H$64:$AK$70,5,0))))</f>
        <v>0</v>
      </c>
      <c r="R607" s="32">
        <f>(VLOOKUP($A607,$A$458:$O$482,8,0)*(HLOOKUP(R$594,'2.2.Brecha Efectiva x UdM'!$H$86:$AK$92,5,0))+(VLOOKUP($A607,$A$4:$O$27,8,0)*(HLOOKUP(R$594,'2.2.Brecha Efectiva x UdM'!$H$64:$AK$70,5,0))))</f>
        <v>0</v>
      </c>
      <c r="S607" s="32">
        <f>(VLOOKUP($A607,$A$458:$O$482,8,0)*(HLOOKUP(S$594,'2.2.Brecha Efectiva x UdM'!$H$86:$AK$92,5,0))+(VLOOKUP($A607,$A$4:$O$27,8,0)*(HLOOKUP(S$594,'2.2.Brecha Efectiva x UdM'!$H$64:$AK$70,5,0))))</f>
        <v>0</v>
      </c>
      <c r="T607" s="32">
        <f>(VLOOKUP($A607,$A$458:$O$482,8,0)*(HLOOKUP(T$594,'2.2.Brecha Efectiva x UdM'!$H$86:$AK$92,5,0))+(VLOOKUP($A607,$A$4:$O$27,8,0)*(HLOOKUP(T$594,'2.2.Brecha Efectiva x UdM'!$H$64:$AK$70,5,0))))</f>
        <v>0</v>
      </c>
      <c r="U607" s="32">
        <f>(VLOOKUP($A607,$A$458:$O$482,8,0)*(HLOOKUP(U$594,'2.2.Brecha Efectiva x UdM'!$H$86:$AK$92,5,0))+(VLOOKUP($A607,$A$4:$O$27,8,0)*(HLOOKUP(U$594,'2.2.Brecha Efectiva x UdM'!$H$64:$AK$70,5,0))))</f>
        <v>0</v>
      </c>
      <c r="V607" s="32">
        <f>(VLOOKUP($A607,$A$458:$O$482,8,0)*(HLOOKUP(V$594,'2.2.Brecha Efectiva x UdM'!$H$86:$AK$92,5,0))+(VLOOKUP($A607,$A$4:$O$27,8,0)*(HLOOKUP(V$594,'2.2.Brecha Efectiva x UdM'!$H$64:$AK$70,5,0))))</f>
        <v>0</v>
      </c>
      <c r="W607" s="32">
        <f>(VLOOKUP($A607,$A$458:$O$482,8,0)*(HLOOKUP(W$594,'2.2.Brecha Efectiva x UdM'!$H$86:$AK$92,5,0))+(VLOOKUP($A607,$A$4:$O$27,8,0)*(HLOOKUP(W$594,'2.2.Brecha Efectiva x UdM'!$H$64:$AK$70,5,0))))</f>
        <v>0</v>
      </c>
      <c r="X607" s="32">
        <f>(VLOOKUP($A607,$A$458:$O$482,8,0)*(HLOOKUP(X$594,'2.2.Brecha Efectiva x UdM'!$H$86:$AK$92,5,0))+(VLOOKUP($A607,$A$4:$O$27,8,0)*(HLOOKUP(X$594,'2.2.Brecha Efectiva x UdM'!$H$64:$AK$70,5,0))))</f>
        <v>0</v>
      </c>
      <c r="Y607" s="32">
        <f>(VLOOKUP($A607,$A$458:$O$482,8,0)*(HLOOKUP(Y$594,'2.2.Brecha Efectiva x UdM'!$H$86:$AK$92,5,0))+(VLOOKUP($A607,$A$4:$O$27,8,0)*(HLOOKUP(Y$594,'2.2.Brecha Efectiva x UdM'!$H$64:$AK$70,5,0))))</f>
        <v>0</v>
      </c>
      <c r="Z607" s="32">
        <f>(VLOOKUP($A607,$A$458:$O$482,8,0)*(HLOOKUP(Z$594,'2.2.Brecha Efectiva x UdM'!$H$86:$AK$92,5,0))+(VLOOKUP($A607,$A$4:$O$27,8,0)*(HLOOKUP(Z$594,'2.2.Brecha Efectiva x UdM'!$H$64:$AK$70,5,0))))</f>
        <v>0</v>
      </c>
      <c r="AA607" s="32">
        <f>(VLOOKUP($A607,$A$458:$O$482,8,0)*(HLOOKUP(AA$594,'2.2.Brecha Efectiva x UdM'!$H$86:$AK$92,5,0))+(VLOOKUP($A607,$A$4:$O$27,8,0)*(HLOOKUP(AA$594,'2.2.Brecha Efectiva x UdM'!$H$64:$AK$70,5,0))))</f>
        <v>0</v>
      </c>
      <c r="AB607" s="32">
        <f>(VLOOKUP($A607,$A$458:$O$482,8,0)*(HLOOKUP(AB$594,'2.2.Brecha Efectiva x UdM'!$H$86:$AK$92,5,0))+(VLOOKUP($A607,$A$4:$O$27,8,0)*(HLOOKUP(AB$594,'2.2.Brecha Efectiva x UdM'!$H$64:$AK$70,5,0))))</f>
        <v>0</v>
      </c>
      <c r="AC607" s="32">
        <f>(VLOOKUP($A607,$A$458:$O$482,8,0)*(HLOOKUP(AC$594,'2.2.Brecha Efectiva x UdM'!$H$86:$AK$92,5,0))+(VLOOKUP($A607,$A$4:$O$27,8,0)*(HLOOKUP(AC$594,'2.2.Brecha Efectiva x UdM'!$H$64:$AK$70,5,0))))</f>
        <v>0</v>
      </c>
      <c r="AD607" s="32">
        <f>(VLOOKUP($A607,$A$458:$O$482,8,0)*(HLOOKUP(AD$594,'2.2.Brecha Efectiva x UdM'!$H$86:$AK$92,5,0))+(VLOOKUP($A607,$A$4:$O$27,8,0)*(HLOOKUP(AD$594,'2.2.Brecha Efectiva x UdM'!$H$64:$AK$70,5,0))))</f>
        <v>0</v>
      </c>
      <c r="AE607" s="32">
        <f>(VLOOKUP($A607,$A$458:$O$482,8,0)*(HLOOKUP(AE$594,'2.2.Brecha Efectiva x UdM'!$H$86:$AK$92,5,0))+(VLOOKUP($A607,$A$4:$O$27,8,0)*(HLOOKUP(AE$594,'2.2.Brecha Efectiva x UdM'!$H$64:$AK$70,5,0))))</f>
        <v>0</v>
      </c>
      <c r="AF607" s="32">
        <f>(VLOOKUP($A607,$A$458:$O$482,8,0)*(HLOOKUP(AF$594,'2.2.Brecha Efectiva x UdM'!$H$86:$AK$92,5,0))+(VLOOKUP($A607,$A$4:$O$27,8,0)*(HLOOKUP(AF$594,'2.2.Brecha Efectiva x UdM'!$H$64:$AK$70,5,0))))</f>
        <v>0</v>
      </c>
      <c r="AG607" s="32">
        <f>(VLOOKUP($A607,$A$458:$O$482,8,0)*(HLOOKUP(AG$594,'2.2.Brecha Efectiva x UdM'!$H$86:$AK$92,5,0))+(VLOOKUP($A607,$A$4:$O$27,8,0)*(HLOOKUP(AG$594,'2.2.Brecha Efectiva x UdM'!$H$64:$AK$70,5,0))))</f>
        <v>0</v>
      </c>
      <c r="AH607" s="62">
        <f t="shared" si="571"/>
        <v>0</v>
      </c>
    </row>
    <row r="608" spans="1:34" hidden="1" x14ac:dyDescent="0.2">
      <c r="A608" s="26" t="str">
        <f t="shared" si="568"/>
        <v>Misiones</v>
      </c>
      <c r="B608" s="52">
        <f t="shared" si="569"/>
        <v>0</v>
      </c>
      <c r="C608" s="26" t="str">
        <f t="shared" si="570"/>
        <v>Misiones 0</v>
      </c>
      <c r="D608" s="31">
        <f>(VLOOKUP($A608,$A$458:$O$482,8,0)*(HLOOKUP(D$594,'2.2.Brecha Efectiva x UdM'!$H$86:$AK$92,5,0))+(VLOOKUP($A608,$A$4:$O$27,8,0)*(HLOOKUP(D$594,'2.2.Brecha Efectiva x UdM'!$H$64:$AK$70,5,0))))</f>
        <v>0</v>
      </c>
      <c r="E608" s="31">
        <f>(VLOOKUP($A608,$A$458:$O$482,8,0)*(HLOOKUP(E$594,'2.2.Brecha Efectiva x UdM'!$H$86:$AK$92,5,0))+(VLOOKUP($A608,$A$4:$O$27,8,0)*(HLOOKUP(E$594,'2.2.Brecha Efectiva x UdM'!$H$64:$AK$70,5,0))))</f>
        <v>0</v>
      </c>
      <c r="F608" s="31">
        <f>(VLOOKUP($A608,$A$458:$O$482,8,0)*(HLOOKUP(F$594,'2.2.Brecha Efectiva x UdM'!$H$86:$AK$92,5,0))+(VLOOKUP($A608,$A$4:$O$27,8,0)*(HLOOKUP(F$594,'2.2.Brecha Efectiva x UdM'!$H$64:$AK$70,5,0))))</f>
        <v>0</v>
      </c>
      <c r="G608" s="31">
        <f>(VLOOKUP($A608,$A$458:$O$482,8,0)*(HLOOKUP(G$594,'2.2.Brecha Efectiva x UdM'!$H$86:$AK$92,5,0))+(VLOOKUP($A608,$A$4:$O$27,8,0)*(HLOOKUP(G$594,'2.2.Brecha Efectiva x UdM'!$H$64:$AK$70,5,0))))</f>
        <v>0</v>
      </c>
      <c r="H608" s="31">
        <f>(VLOOKUP($A608,$A$458:$O$482,8,0)*(HLOOKUP(H$594,'2.2.Brecha Efectiva x UdM'!$H$86:$AK$92,5,0))+(VLOOKUP($A608,$A$4:$O$27,8,0)*(HLOOKUP(H$594,'2.2.Brecha Efectiva x UdM'!$H$64:$AK$70,5,0))))</f>
        <v>0</v>
      </c>
      <c r="I608" s="31">
        <f>(VLOOKUP($A608,$A$458:$O$482,8,0)*(HLOOKUP(I$594,'2.2.Brecha Efectiva x UdM'!$H$86:$AK$92,5,0))+(VLOOKUP($A608,$A$4:$O$27,8,0)*(HLOOKUP(I$594,'2.2.Brecha Efectiva x UdM'!$H$64:$AK$70,5,0))))</f>
        <v>0</v>
      </c>
      <c r="J608" s="31">
        <f>(VLOOKUP($A608,$A$458:$O$482,8,0)*(HLOOKUP(J$594,'2.2.Brecha Efectiva x UdM'!$H$86:$AK$92,5,0))+(VLOOKUP($A608,$A$4:$O$27,8,0)*(HLOOKUP(J$594,'2.2.Brecha Efectiva x UdM'!$H$64:$AK$70,5,0))))</f>
        <v>0</v>
      </c>
      <c r="K608" s="31">
        <f>(VLOOKUP($A608,$A$458:$O$482,8,0)*(HLOOKUP(K$594,'2.2.Brecha Efectiva x UdM'!$H$86:$AK$92,5,0))+(VLOOKUP($A608,$A$4:$O$27,8,0)*(HLOOKUP(K$594,'2.2.Brecha Efectiva x UdM'!$H$64:$AK$70,5,0))))</f>
        <v>0</v>
      </c>
      <c r="L608" s="31">
        <f>(VLOOKUP($A608,$A$458:$O$482,8,0)*(HLOOKUP(L$594,'2.2.Brecha Efectiva x UdM'!$H$86:$AK$92,5,0))+(VLOOKUP($A608,$A$4:$O$27,8,0)*(HLOOKUP(L$594,'2.2.Brecha Efectiva x UdM'!$H$64:$AK$70,5,0))))</f>
        <v>0</v>
      </c>
      <c r="M608" s="31">
        <f>(VLOOKUP($A608,$A$458:$O$482,8,0)*(HLOOKUP(M$594,'2.2.Brecha Efectiva x UdM'!$H$86:$AK$92,5,0))+(VLOOKUP($A608,$A$4:$O$27,8,0)*(HLOOKUP(M$594,'2.2.Brecha Efectiva x UdM'!$H$64:$AK$70,5,0))))</f>
        <v>0</v>
      </c>
      <c r="N608" s="31">
        <f>(VLOOKUP($A608,$A$458:$O$482,8,0)*(HLOOKUP(N$594,'2.2.Brecha Efectiva x UdM'!$H$86:$AK$92,5,0))+(VLOOKUP($A608,$A$4:$O$27,8,0)*(HLOOKUP(N$594,'2.2.Brecha Efectiva x UdM'!$H$64:$AK$70,5,0))))</f>
        <v>0</v>
      </c>
      <c r="O608" s="31">
        <f>(VLOOKUP($A608,$A$458:$O$482,8,0)*(HLOOKUP(O$594,'2.2.Brecha Efectiva x UdM'!$H$86:$AK$92,5,0))+(VLOOKUP($A608,$A$4:$O$27,8,0)*(HLOOKUP(O$594,'2.2.Brecha Efectiva x UdM'!$H$64:$AK$70,5,0))))</f>
        <v>0</v>
      </c>
      <c r="P608" s="31">
        <f>(VLOOKUP($A608,$A$458:$O$482,8,0)*(HLOOKUP(P$594,'2.2.Brecha Efectiva x UdM'!$H$86:$AK$92,5,0))+(VLOOKUP($A608,$A$4:$O$27,8,0)*(HLOOKUP(P$594,'2.2.Brecha Efectiva x UdM'!$H$64:$AK$70,5,0))))</f>
        <v>0</v>
      </c>
      <c r="Q608" s="31">
        <f>(VLOOKUP($A608,$A$458:$O$482,8,0)*(HLOOKUP(Q$594,'2.2.Brecha Efectiva x UdM'!$H$86:$AK$92,5,0))+(VLOOKUP($A608,$A$4:$O$27,8,0)*(HLOOKUP(Q$594,'2.2.Brecha Efectiva x UdM'!$H$64:$AK$70,5,0))))</f>
        <v>0</v>
      </c>
      <c r="R608" s="31">
        <f>(VLOOKUP($A608,$A$458:$O$482,8,0)*(HLOOKUP(R$594,'2.2.Brecha Efectiva x UdM'!$H$86:$AK$92,5,0))+(VLOOKUP($A608,$A$4:$O$27,8,0)*(HLOOKUP(R$594,'2.2.Brecha Efectiva x UdM'!$H$64:$AK$70,5,0))))</f>
        <v>0</v>
      </c>
      <c r="S608" s="31">
        <f>(VLOOKUP($A608,$A$458:$O$482,8,0)*(HLOOKUP(S$594,'2.2.Brecha Efectiva x UdM'!$H$86:$AK$92,5,0))+(VLOOKUP($A608,$A$4:$O$27,8,0)*(HLOOKUP(S$594,'2.2.Brecha Efectiva x UdM'!$H$64:$AK$70,5,0))))</f>
        <v>0</v>
      </c>
      <c r="T608" s="31">
        <f>(VLOOKUP($A608,$A$458:$O$482,8,0)*(HLOOKUP(T$594,'2.2.Brecha Efectiva x UdM'!$H$86:$AK$92,5,0))+(VLOOKUP($A608,$A$4:$O$27,8,0)*(HLOOKUP(T$594,'2.2.Brecha Efectiva x UdM'!$H$64:$AK$70,5,0))))</f>
        <v>0</v>
      </c>
      <c r="U608" s="31">
        <f>(VLOOKUP($A608,$A$458:$O$482,8,0)*(HLOOKUP(U$594,'2.2.Brecha Efectiva x UdM'!$H$86:$AK$92,5,0))+(VLOOKUP($A608,$A$4:$O$27,8,0)*(HLOOKUP(U$594,'2.2.Brecha Efectiva x UdM'!$H$64:$AK$70,5,0))))</f>
        <v>0</v>
      </c>
      <c r="V608" s="31">
        <f>(VLOOKUP($A608,$A$458:$O$482,8,0)*(HLOOKUP(V$594,'2.2.Brecha Efectiva x UdM'!$H$86:$AK$92,5,0))+(VLOOKUP($A608,$A$4:$O$27,8,0)*(HLOOKUP(V$594,'2.2.Brecha Efectiva x UdM'!$H$64:$AK$70,5,0))))</f>
        <v>0</v>
      </c>
      <c r="W608" s="31">
        <f>(VLOOKUP($A608,$A$458:$O$482,8,0)*(HLOOKUP(W$594,'2.2.Brecha Efectiva x UdM'!$H$86:$AK$92,5,0))+(VLOOKUP($A608,$A$4:$O$27,8,0)*(HLOOKUP(W$594,'2.2.Brecha Efectiva x UdM'!$H$64:$AK$70,5,0))))</f>
        <v>0</v>
      </c>
      <c r="X608" s="31">
        <f>(VLOOKUP($A608,$A$458:$O$482,8,0)*(HLOOKUP(X$594,'2.2.Brecha Efectiva x UdM'!$H$86:$AK$92,5,0))+(VLOOKUP($A608,$A$4:$O$27,8,0)*(HLOOKUP(X$594,'2.2.Brecha Efectiva x UdM'!$H$64:$AK$70,5,0))))</f>
        <v>0</v>
      </c>
      <c r="Y608" s="31">
        <f>(VLOOKUP($A608,$A$458:$O$482,8,0)*(HLOOKUP(Y$594,'2.2.Brecha Efectiva x UdM'!$H$86:$AK$92,5,0))+(VLOOKUP($A608,$A$4:$O$27,8,0)*(HLOOKUP(Y$594,'2.2.Brecha Efectiva x UdM'!$H$64:$AK$70,5,0))))</f>
        <v>0</v>
      </c>
      <c r="Z608" s="31">
        <f>(VLOOKUP($A608,$A$458:$O$482,8,0)*(HLOOKUP(Z$594,'2.2.Brecha Efectiva x UdM'!$H$86:$AK$92,5,0))+(VLOOKUP($A608,$A$4:$O$27,8,0)*(HLOOKUP(Z$594,'2.2.Brecha Efectiva x UdM'!$H$64:$AK$70,5,0))))</f>
        <v>0</v>
      </c>
      <c r="AA608" s="31">
        <f>(VLOOKUP($A608,$A$458:$O$482,8,0)*(HLOOKUP(AA$594,'2.2.Brecha Efectiva x UdM'!$H$86:$AK$92,5,0))+(VLOOKUP($A608,$A$4:$O$27,8,0)*(HLOOKUP(AA$594,'2.2.Brecha Efectiva x UdM'!$H$64:$AK$70,5,0))))</f>
        <v>0</v>
      </c>
      <c r="AB608" s="31">
        <f>(VLOOKUP($A608,$A$458:$O$482,8,0)*(HLOOKUP(AB$594,'2.2.Brecha Efectiva x UdM'!$H$86:$AK$92,5,0))+(VLOOKUP($A608,$A$4:$O$27,8,0)*(HLOOKUP(AB$594,'2.2.Brecha Efectiva x UdM'!$H$64:$AK$70,5,0))))</f>
        <v>0</v>
      </c>
      <c r="AC608" s="31">
        <f>(VLOOKUP($A608,$A$458:$O$482,8,0)*(HLOOKUP(AC$594,'2.2.Brecha Efectiva x UdM'!$H$86:$AK$92,5,0))+(VLOOKUP($A608,$A$4:$O$27,8,0)*(HLOOKUP(AC$594,'2.2.Brecha Efectiva x UdM'!$H$64:$AK$70,5,0))))</f>
        <v>0</v>
      </c>
      <c r="AD608" s="31">
        <f>(VLOOKUP($A608,$A$458:$O$482,8,0)*(HLOOKUP(AD$594,'2.2.Brecha Efectiva x UdM'!$H$86:$AK$92,5,0))+(VLOOKUP($A608,$A$4:$O$27,8,0)*(HLOOKUP(AD$594,'2.2.Brecha Efectiva x UdM'!$H$64:$AK$70,5,0))))</f>
        <v>0</v>
      </c>
      <c r="AE608" s="31">
        <f>(VLOOKUP($A608,$A$458:$O$482,8,0)*(HLOOKUP(AE$594,'2.2.Brecha Efectiva x UdM'!$H$86:$AK$92,5,0))+(VLOOKUP($A608,$A$4:$O$27,8,0)*(HLOOKUP(AE$594,'2.2.Brecha Efectiva x UdM'!$H$64:$AK$70,5,0))))</f>
        <v>0</v>
      </c>
      <c r="AF608" s="31">
        <f>(VLOOKUP($A608,$A$458:$O$482,8,0)*(HLOOKUP(AF$594,'2.2.Brecha Efectiva x UdM'!$H$86:$AK$92,5,0))+(VLOOKUP($A608,$A$4:$O$27,8,0)*(HLOOKUP(AF$594,'2.2.Brecha Efectiva x UdM'!$H$64:$AK$70,5,0))))</f>
        <v>0</v>
      </c>
      <c r="AG608" s="31">
        <f>(VLOOKUP($A608,$A$458:$O$482,8,0)*(HLOOKUP(AG$594,'2.2.Brecha Efectiva x UdM'!$H$86:$AK$92,5,0))+(VLOOKUP($A608,$A$4:$O$27,8,0)*(HLOOKUP(AG$594,'2.2.Brecha Efectiva x UdM'!$H$64:$AK$70,5,0))))</f>
        <v>0</v>
      </c>
      <c r="AH608" s="63">
        <f t="shared" si="571"/>
        <v>0</v>
      </c>
    </row>
    <row r="609" spans="1:34" hidden="1" x14ac:dyDescent="0.2">
      <c r="A609" s="25" t="str">
        <f t="shared" si="568"/>
        <v>Neuquén</v>
      </c>
      <c r="B609" s="51">
        <f t="shared" si="569"/>
        <v>0</v>
      </c>
      <c r="C609" s="25" t="str">
        <f t="shared" si="570"/>
        <v>Neuquén 0</v>
      </c>
      <c r="D609" s="32">
        <f>(VLOOKUP($A609,$A$458:$O$482,8,0)*(HLOOKUP(D$594,'2.2.Brecha Efectiva x UdM'!$H$86:$AK$92,5,0))+(VLOOKUP($A609,$A$4:$O$27,8,0)*(HLOOKUP(D$594,'2.2.Brecha Efectiva x UdM'!$H$64:$AK$70,5,0))))</f>
        <v>0</v>
      </c>
      <c r="E609" s="32">
        <f>(VLOOKUP($A609,$A$458:$O$482,8,0)*(HLOOKUP(E$594,'2.2.Brecha Efectiva x UdM'!$H$86:$AK$92,5,0))+(VLOOKUP($A609,$A$4:$O$27,8,0)*(HLOOKUP(E$594,'2.2.Brecha Efectiva x UdM'!$H$64:$AK$70,5,0))))</f>
        <v>0</v>
      </c>
      <c r="F609" s="32">
        <f>(VLOOKUP($A609,$A$458:$O$482,8,0)*(HLOOKUP(F$594,'2.2.Brecha Efectiva x UdM'!$H$86:$AK$92,5,0))+(VLOOKUP($A609,$A$4:$O$27,8,0)*(HLOOKUP(F$594,'2.2.Brecha Efectiva x UdM'!$H$64:$AK$70,5,0))))</f>
        <v>0</v>
      </c>
      <c r="G609" s="32">
        <f>(VLOOKUP($A609,$A$458:$O$482,8,0)*(HLOOKUP(G$594,'2.2.Brecha Efectiva x UdM'!$H$86:$AK$92,5,0))+(VLOOKUP($A609,$A$4:$O$27,8,0)*(HLOOKUP(G$594,'2.2.Brecha Efectiva x UdM'!$H$64:$AK$70,5,0))))</f>
        <v>0</v>
      </c>
      <c r="H609" s="32">
        <f>(VLOOKUP($A609,$A$458:$O$482,8,0)*(HLOOKUP(H$594,'2.2.Brecha Efectiva x UdM'!$H$86:$AK$92,5,0))+(VLOOKUP($A609,$A$4:$O$27,8,0)*(HLOOKUP(H$594,'2.2.Brecha Efectiva x UdM'!$H$64:$AK$70,5,0))))</f>
        <v>0</v>
      </c>
      <c r="I609" s="32">
        <f>(VLOOKUP($A609,$A$458:$O$482,8,0)*(HLOOKUP(I$594,'2.2.Brecha Efectiva x UdM'!$H$86:$AK$92,5,0))+(VLOOKUP($A609,$A$4:$O$27,8,0)*(HLOOKUP(I$594,'2.2.Brecha Efectiva x UdM'!$H$64:$AK$70,5,0))))</f>
        <v>0</v>
      </c>
      <c r="J609" s="32">
        <f>(VLOOKUP($A609,$A$458:$O$482,8,0)*(HLOOKUP(J$594,'2.2.Brecha Efectiva x UdM'!$H$86:$AK$92,5,0))+(VLOOKUP($A609,$A$4:$O$27,8,0)*(HLOOKUP(J$594,'2.2.Brecha Efectiva x UdM'!$H$64:$AK$70,5,0))))</f>
        <v>0</v>
      </c>
      <c r="K609" s="32">
        <f>(VLOOKUP($A609,$A$458:$O$482,8,0)*(HLOOKUP(K$594,'2.2.Brecha Efectiva x UdM'!$H$86:$AK$92,5,0))+(VLOOKUP($A609,$A$4:$O$27,8,0)*(HLOOKUP(K$594,'2.2.Brecha Efectiva x UdM'!$H$64:$AK$70,5,0))))</f>
        <v>0</v>
      </c>
      <c r="L609" s="32">
        <f>(VLOOKUP($A609,$A$458:$O$482,8,0)*(HLOOKUP(L$594,'2.2.Brecha Efectiva x UdM'!$H$86:$AK$92,5,0))+(VLOOKUP($A609,$A$4:$O$27,8,0)*(HLOOKUP(L$594,'2.2.Brecha Efectiva x UdM'!$H$64:$AK$70,5,0))))</f>
        <v>0</v>
      </c>
      <c r="M609" s="32">
        <f>(VLOOKUP($A609,$A$458:$O$482,8,0)*(HLOOKUP(M$594,'2.2.Brecha Efectiva x UdM'!$H$86:$AK$92,5,0))+(VLOOKUP($A609,$A$4:$O$27,8,0)*(HLOOKUP(M$594,'2.2.Brecha Efectiva x UdM'!$H$64:$AK$70,5,0))))</f>
        <v>0</v>
      </c>
      <c r="N609" s="32">
        <f>(VLOOKUP($A609,$A$458:$O$482,8,0)*(HLOOKUP(N$594,'2.2.Brecha Efectiva x UdM'!$H$86:$AK$92,5,0))+(VLOOKUP($A609,$A$4:$O$27,8,0)*(HLOOKUP(N$594,'2.2.Brecha Efectiva x UdM'!$H$64:$AK$70,5,0))))</f>
        <v>0</v>
      </c>
      <c r="O609" s="32">
        <f>(VLOOKUP($A609,$A$458:$O$482,8,0)*(HLOOKUP(O$594,'2.2.Brecha Efectiva x UdM'!$H$86:$AK$92,5,0))+(VLOOKUP($A609,$A$4:$O$27,8,0)*(HLOOKUP(O$594,'2.2.Brecha Efectiva x UdM'!$H$64:$AK$70,5,0))))</f>
        <v>0</v>
      </c>
      <c r="P609" s="32">
        <f>(VLOOKUP($A609,$A$458:$O$482,8,0)*(HLOOKUP(P$594,'2.2.Brecha Efectiva x UdM'!$H$86:$AK$92,5,0))+(VLOOKUP($A609,$A$4:$O$27,8,0)*(HLOOKUP(P$594,'2.2.Brecha Efectiva x UdM'!$H$64:$AK$70,5,0))))</f>
        <v>0</v>
      </c>
      <c r="Q609" s="32">
        <f>(VLOOKUP($A609,$A$458:$O$482,8,0)*(HLOOKUP(Q$594,'2.2.Brecha Efectiva x UdM'!$H$86:$AK$92,5,0))+(VLOOKUP($A609,$A$4:$O$27,8,0)*(HLOOKUP(Q$594,'2.2.Brecha Efectiva x UdM'!$H$64:$AK$70,5,0))))</f>
        <v>0</v>
      </c>
      <c r="R609" s="32">
        <f>(VLOOKUP($A609,$A$458:$O$482,8,0)*(HLOOKUP(R$594,'2.2.Brecha Efectiva x UdM'!$H$86:$AK$92,5,0))+(VLOOKUP($A609,$A$4:$O$27,8,0)*(HLOOKUP(R$594,'2.2.Brecha Efectiva x UdM'!$H$64:$AK$70,5,0))))</f>
        <v>0</v>
      </c>
      <c r="S609" s="32">
        <f>(VLOOKUP($A609,$A$458:$O$482,8,0)*(HLOOKUP(S$594,'2.2.Brecha Efectiva x UdM'!$H$86:$AK$92,5,0))+(VLOOKUP($A609,$A$4:$O$27,8,0)*(HLOOKUP(S$594,'2.2.Brecha Efectiva x UdM'!$H$64:$AK$70,5,0))))</f>
        <v>0</v>
      </c>
      <c r="T609" s="32">
        <f>(VLOOKUP($A609,$A$458:$O$482,8,0)*(HLOOKUP(T$594,'2.2.Brecha Efectiva x UdM'!$H$86:$AK$92,5,0))+(VLOOKUP($A609,$A$4:$O$27,8,0)*(HLOOKUP(T$594,'2.2.Brecha Efectiva x UdM'!$H$64:$AK$70,5,0))))</f>
        <v>0</v>
      </c>
      <c r="U609" s="32">
        <f>(VLOOKUP($A609,$A$458:$O$482,8,0)*(HLOOKUP(U$594,'2.2.Brecha Efectiva x UdM'!$H$86:$AK$92,5,0))+(VLOOKUP($A609,$A$4:$O$27,8,0)*(HLOOKUP(U$594,'2.2.Brecha Efectiva x UdM'!$H$64:$AK$70,5,0))))</f>
        <v>0</v>
      </c>
      <c r="V609" s="32">
        <f>(VLOOKUP($A609,$A$458:$O$482,8,0)*(HLOOKUP(V$594,'2.2.Brecha Efectiva x UdM'!$H$86:$AK$92,5,0))+(VLOOKUP($A609,$A$4:$O$27,8,0)*(HLOOKUP(V$594,'2.2.Brecha Efectiva x UdM'!$H$64:$AK$70,5,0))))</f>
        <v>0</v>
      </c>
      <c r="W609" s="32">
        <f>(VLOOKUP($A609,$A$458:$O$482,8,0)*(HLOOKUP(W$594,'2.2.Brecha Efectiva x UdM'!$H$86:$AK$92,5,0))+(VLOOKUP($A609,$A$4:$O$27,8,0)*(HLOOKUP(W$594,'2.2.Brecha Efectiva x UdM'!$H$64:$AK$70,5,0))))</f>
        <v>0</v>
      </c>
      <c r="X609" s="32">
        <f>(VLOOKUP($A609,$A$458:$O$482,8,0)*(HLOOKUP(X$594,'2.2.Brecha Efectiva x UdM'!$H$86:$AK$92,5,0))+(VLOOKUP($A609,$A$4:$O$27,8,0)*(HLOOKUP(X$594,'2.2.Brecha Efectiva x UdM'!$H$64:$AK$70,5,0))))</f>
        <v>0</v>
      </c>
      <c r="Y609" s="32">
        <f>(VLOOKUP($A609,$A$458:$O$482,8,0)*(HLOOKUP(Y$594,'2.2.Brecha Efectiva x UdM'!$H$86:$AK$92,5,0))+(VLOOKUP($A609,$A$4:$O$27,8,0)*(HLOOKUP(Y$594,'2.2.Brecha Efectiva x UdM'!$H$64:$AK$70,5,0))))</f>
        <v>0</v>
      </c>
      <c r="Z609" s="32">
        <f>(VLOOKUP($A609,$A$458:$O$482,8,0)*(HLOOKUP(Z$594,'2.2.Brecha Efectiva x UdM'!$H$86:$AK$92,5,0))+(VLOOKUP($A609,$A$4:$O$27,8,0)*(HLOOKUP(Z$594,'2.2.Brecha Efectiva x UdM'!$H$64:$AK$70,5,0))))</f>
        <v>0</v>
      </c>
      <c r="AA609" s="32">
        <f>(VLOOKUP($A609,$A$458:$O$482,8,0)*(HLOOKUP(AA$594,'2.2.Brecha Efectiva x UdM'!$H$86:$AK$92,5,0))+(VLOOKUP($A609,$A$4:$O$27,8,0)*(HLOOKUP(AA$594,'2.2.Brecha Efectiva x UdM'!$H$64:$AK$70,5,0))))</f>
        <v>0</v>
      </c>
      <c r="AB609" s="32">
        <f>(VLOOKUP($A609,$A$458:$O$482,8,0)*(HLOOKUP(AB$594,'2.2.Brecha Efectiva x UdM'!$H$86:$AK$92,5,0))+(VLOOKUP($A609,$A$4:$O$27,8,0)*(HLOOKUP(AB$594,'2.2.Brecha Efectiva x UdM'!$H$64:$AK$70,5,0))))</f>
        <v>0</v>
      </c>
      <c r="AC609" s="32">
        <f>(VLOOKUP($A609,$A$458:$O$482,8,0)*(HLOOKUP(AC$594,'2.2.Brecha Efectiva x UdM'!$H$86:$AK$92,5,0))+(VLOOKUP($A609,$A$4:$O$27,8,0)*(HLOOKUP(AC$594,'2.2.Brecha Efectiva x UdM'!$H$64:$AK$70,5,0))))</f>
        <v>0</v>
      </c>
      <c r="AD609" s="32">
        <f>(VLOOKUP($A609,$A$458:$O$482,8,0)*(HLOOKUP(AD$594,'2.2.Brecha Efectiva x UdM'!$H$86:$AK$92,5,0))+(VLOOKUP($A609,$A$4:$O$27,8,0)*(HLOOKUP(AD$594,'2.2.Brecha Efectiva x UdM'!$H$64:$AK$70,5,0))))</f>
        <v>0</v>
      </c>
      <c r="AE609" s="32">
        <f>(VLOOKUP($A609,$A$458:$O$482,8,0)*(HLOOKUP(AE$594,'2.2.Brecha Efectiva x UdM'!$H$86:$AK$92,5,0))+(VLOOKUP($A609,$A$4:$O$27,8,0)*(HLOOKUP(AE$594,'2.2.Brecha Efectiva x UdM'!$H$64:$AK$70,5,0))))</f>
        <v>0</v>
      </c>
      <c r="AF609" s="32">
        <f>(VLOOKUP($A609,$A$458:$O$482,8,0)*(HLOOKUP(AF$594,'2.2.Brecha Efectiva x UdM'!$H$86:$AK$92,5,0))+(VLOOKUP($A609,$A$4:$O$27,8,0)*(HLOOKUP(AF$594,'2.2.Brecha Efectiva x UdM'!$H$64:$AK$70,5,0))))</f>
        <v>0</v>
      </c>
      <c r="AG609" s="32">
        <f>(VLOOKUP($A609,$A$458:$O$482,8,0)*(HLOOKUP(AG$594,'2.2.Brecha Efectiva x UdM'!$H$86:$AK$92,5,0))+(VLOOKUP($A609,$A$4:$O$27,8,0)*(HLOOKUP(AG$594,'2.2.Brecha Efectiva x UdM'!$H$64:$AK$70,5,0))))</f>
        <v>0</v>
      </c>
      <c r="AH609" s="62">
        <f t="shared" si="571"/>
        <v>0</v>
      </c>
    </row>
    <row r="610" spans="1:34" hidden="1" x14ac:dyDescent="0.2">
      <c r="A610" s="26" t="str">
        <f t="shared" si="568"/>
        <v>Río Negro</v>
      </c>
      <c r="B610" s="52">
        <f t="shared" si="569"/>
        <v>0</v>
      </c>
      <c r="C610" s="26" t="str">
        <f t="shared" si="570"/>
        <v>Río Negro 0</v>
      </c>
      <c r="D610" s="31">
        <f>(VLOOKUP($A610,$A$458:$O$482,8,0)*(HLOOKUP(D$594,'2.2.Brecha Efectiva x UdM'!$H$86:$AK$92,5,0))+(VLOOKUP($A610,$A$4:$O$27,8,0)*(HLOOKUP(D$594,'2.2.Brecha Efectiva x UdM'!$H$64:$AK$70,5,0))))</f>
        <v>0</v>
      </c>
      <c r="E610" s="31">
        <f>(VLOOKUP($A610,$A$458:$O$482,8,0)*(HLOOKUP(E$594,'2.2.Brecha Efectiva x UdM'!$H$86:$AK$92,5,0))+(VLOOKUP($A610,$A$4:$O$27,8,0)*(HLOOKUP(E$594,'2.2.Brecha Efectiva x UdM'!$H$64:$AK$70,5,0))))</f>
        <v>0</v>
      </c>
      <c r="F610" s="31">
        <f>(VLOOKUP($A610,$A$458:$O$482,8,0)*(HLOOKUP(F$594,'2.2.Brecha Efectiva x UdM'!$H$86:$AK$92,5,0))+(VLOOKUP($A610,$A$4:$O$27,8,0)*(HLOOKUP(F$594,'2.2.Brecha Efectiva x UdM'!$H$64:$AK$70,5,0))))</f>
        <v>0</v>
      </c>
      <c r="G610" s="31">
        <f>(VLOOKUP($A610,$A$458:$O$482,8,0)*(HLOOKUP(G$594,'2.2.Brecha Efectiva x UdM'!$H$86:$AK$92,5,0))+(VLOOKUP($A610,$A$4:$O$27,8,0)*(HLOOKUP(G$594,'2.2.Brecha Efectiva x UdM'!$H$64:$AK$70,5,0))))</f>
        <v>0</v>
      </c>
      <c r="H610" s="31">
        <f>(VLOOKUP($A610,$A$458:$O$482,8,0)*(HLOOKUP(H$594,'2.2.Brecha Efectiva x UdM'!$H$86:$AK$92,5,0))+(VLOOKUP($A610,$A$4:$O$27,8,0)*(HLOOKUP(H$594,'2.2.Brecha Efectiva x UdM'!$H$64:$AK$70,5,0))))</f>
        <v>0</v>
      </c>
      <c r="I610" s="31">
        <f>(VLOOKUP($A610,$A$458:$O$482,8,0)*(HLOOKUP(I$594,'2.2.Brecha Efectiva x UdM'!$H$86:$AK$92,5,0))+(VLOOKUP($A610,$A$4:$O$27,8,0)*(HLOOKUP(I$594,'2.2.Brecha Efectiva x UdM'!$H$64:$AK$70,5,0))))</f>
        <v>0</v>
      </c>
      <c r="J610" s="31">
        <f>(VLOOKUP($A610,$A$458:$O$482,8,0)*(HLOOKUP(J$594,'2.2.Brecha Efectiva x UdM'!$H$86:$AK$92,5,0))+(VLOOKUP($A610,$A$4:$O$27,8,0)*(HLOOKUP(J$594,'2.2.Brecha Efectiva x UdM'!$H$64:$AK$70,5,0))))</f>
        <v>0</v>
      </c>
      <c r="K610" s="31">
        <f>(VLOOKUP($A610,$A$458:$O$482,8,0)*(HLOOKUP(K$594,'2.2.Brecha Efectiva x UdM'!$H$86:$AK$92,5,0))+(VLOOKUP($A610,$A$4:$O$27,8,0)*(HLOOKUP(K$594,'2.2.Brecha Efectiva x UdM'!$H$64:$AK$70,5,0))))</f>
        <v>0</v>
      </c>
      <c r="L610" s="31">
        <f>(VLOOKUP($A610,$A$458:$O$482,8,0)*(HLOOKUP(L$594,'2.2.Brecha Efectiva x UdM'!$H$86:$AK$92,5,0))+(VLOOKUP($A610,$A$4:$O$27,8,0)*(HLOOKUP(L$594,'2.2.Brecha Efectiva x UdM'!$H$64:$AK$70,5,0))))</f>
        <v>0</v>
      </c>
      <c r="M610" s="31">
        <f>(VLOOKUP($A610,$A$458:$O$482,8,0)*(HLOOKUP(M$594,'2.2.Brecha Efectiva x UdM'!$H$86:$AK$92,5,0))+(VLOOKUP($A610,$A$4:$O$27,8,0)*(HLOOKUP(M$594,'2.2.Brecha Efectiva x UdM'!$H$64:$AK$70,5,0))))</f>
        <v>0</v>
      </c>
      <c r="N610" s="31">
        <f>(VLOOKUP($A610,$A$458:$O$482,8,0)*(HLOOKUP(N$594,'2.2.Brecha Efectiva x UdM'!$H$86:$AK$92,5,0))+(VLOOKUP($A610,$A$4:$O$27,8,0)*(HLOOKUP(N$594,'2.2.Brecha Efectiva x UdM'!$H$64:$AK$70,5,0))))</f>
        <v>0</v>
      </c>
      <c r="O610" s="31">
        <f>(VLOOKUP($A610,$A$458:$O$482,8,0)*(HLOOKUP(O$594,'2.2.Brecha Efectiva x UdM'!$H$86:$AK$92,5,0))+(VLOOKUP($A610,$A$4:$O$27,8,0)*(HLOOKUP(O$594,'2.2.Brecha Efectiva x UdM'!$H$64:$AK$70,5,0))))</f>
        <v>0</v>
      </c>
      <c r="P610" s="31">
        <f>(VLOOKUP($A610,$A$458:$O$482,8,0)*(HLOOKUP(P$594,'2.2.Brecha Efectiva x UdM'!$H$86:$AK$92,5,0))+(VLOOKUP($A610,$A$4:$O$27,8,0)*(HLOOKUP(P$594,'2.2.Brecha Efectiva x UdM'!$H$64:$AK$70,5,0))))</f>
        <v>0</v>
      </c>
      <c r="Q610" s="31">
        <f>(VLOOKUP($A610,$A$458:$O$482,8,0)*(HLOOKUP(Q$594,'2.2.Brecha Efectiva x UdM'!$H$86:$AK$92,5,0))+(VLOOKUP($A610,$A$4:$O$27,8,0)*(HLOOKUP(Q$594,'2.2.Brecha Efectiva x UdM'!$H$64:$AK$70,5,0))))</f>
        <v>0</v>
      </c>
      <c r="R610" s="31">
        <f>(VLOOKUP($A610,$A$458:$O$482,8,0)*(HLOOKUP(R$594,'2.2.Brecha Efectiva x UdM'!$H$86:$AK$92,5,0))+(VLOOKUP($A610,$A$4:$O$27,8,0)*(HLOOKUP(R$594,'2.2.Brecha Efectiva x UdM'!$H$64:$AK$70,5,0))))</f>
        <v>0</v>
      </c>
      <c r="S610" s="31">
        <f>(VLOOKUP($A610,$A$458:$O$482,8,0)*(HLOOKUP(S$594,'2.2.Brecha Efectiva x UdM'!$H$86:$AK$92,5,0))+(VLOOKUP($A610,$A$4:$O$27,8,0)*(HLOOKUP(S$594,'2.2.Brecha Efectiva x UdM'!$H$64:$AK$70,5,0))))</f>
        <v>0</v>
      </c>
      <c r="T610" s="31">
        <f>(VLOOKUP($A610,$A$458:$O$482,8,0)*(HLOOKUP(T$594,'2.2.Brecha Efectiva x UdM'!$H$86:$AK$92,5,0))+(VLOOKUP($A610,$A$4:$O$27,8,0)*(HLOOKUP(T$594,'2.2.Brecha Efectiva x UdM'!$H$64:$AK$70,5,0))))</f>
        <v>0</v>
      </c>
      <c r="U610" s="31">
        <f>(VLOOKUP($A610,$A$458:$O$482,8,0)*(HLOOKUP(U$594,'2.2.Brecha Efectiva x UdM'!$H$86:$AK$92,5,0))+(VLOOKUP($A610,$A$4:$O$27,8,0)*(HLOOKUP(U$594,'2.2.Brecha Efectiva x UdM'!$H$64:$AK$70,5,0))))</f>
        <v>0</v>
      </c>
      <c r="V610" s="31">
        <f>(VLOOKUP($A610,$A$458:$O$482,8,0)*(HLOOKUP(V$594,'2.2.Brecha Efectiva x UdM'!$H$86:$AK$92,5,0))+(VLOOKUP($A610,$A$4:$O$27,8,0)*(HLOOKUP(V$594,'2.2.Brecha Efectiva x UdM'!$H$64:$AK$70,5,0))))</f>
        <v>0</v>
      </c>
      <c r="W610" s="31">
        <f>(VLOOKUP($A610,$A$458:$O$482,8,0)*(HLOOKUP(W$594,'2.2.Brecha Efectiva x UdM'!$H$86:$AK$92,5,0))+(VLOOKUP($A610,$A$4:$O$27,8,0)*(HLOOKUP(W$594,'2.2.Brecha Efectiva x UdM'!$H$64:$AK$70,5,0))))</f>
        <v>0</v>
      </c>
      <c r="X610" s="31">
        <f>(VLOOKUP($A610,$A$458:$O$482,8,0)*(HLOOKUP(X$594,'2.2.Brecha Efectiva x UdM'!$H$86:$AK$92,5,0))+(VLOOKUP($A610,$A$4:$O$27,8,0)*(HLOOKUP(X$594,'2.2.Brecha Efectiva x UdM'!$H$64:$AK$70,5,0))))</f>
        <v>0</v>
      </c>
      <c r="Y610" s="31">
        <f>(VLOOKUP($A610,$A$458:$O$482,8,0)*(HLOOKUP(Y$594,'2.2.Brecha Efectiva x UdM'!$H$86:$AK$92,5,0))+(VLOOKUP($A610,$A$4:$O$27,8,0)*(HLOOKUP(Y$594,'2.2.Brecha Efectiva x UdM'!$H$64:$AK$70,5,0))))</f>
        <v>0</v>
      </c>
      <c r="Z610" s="31">
        <f>(VLOOKUP($A610,$A$458:$O$482,8,0)*(HLOOKUP(Z$594,'2.2.Brecha Efectiva x UdM'!$H$86:$AK$92,5,0))+(VLOOKUP($A610,$A$4:$O$27,8,0)*(HLOOKUP(Z$594,'2.2.Brecha Efectiva x UdM'!$H$64:$AK$70,5,0))))</f>
        <v>0</v>
      </c>
      <c r="AA610" s="31">
        <f>(VLOOKUP($A610,$A$458:$O$482,8,0)*(HLOOKUP(AA$594,'2.2.Brecha Efectiva x UdM'!$H$86:$AK$92,5,0))+(VLOOKUP($A610,$A$4:$O$27,8,0)*(HLOOKUP(AA$594,'2.2.Brecha Efectiva x UdM'!$H$64:$AK$70,5,0))))</f>
        <v>0</v>
      </c>
      <c r="AB610" s="31">
        <f>(VLOOKUP($A610,$A$458:$O$482,8,0)*(HLOOKUP(AB$594,'2.2.Brecha Efectiva x UdM'!$H$86:$AK$92,5,0))+(VLOOKUP($A610,$A$4:$O$27,8,0)*(HLOOKUP(AB$594,'2.2.Brecha Efectiva x UdM'!$H$64:$AK$70,5,0))))</f>
        <v>0</v>
      </c>
      <c r="AC610" s="31">
        <f>(VLOOKUP($A610,$A$458:$O$482,8,0)*(HLOOKUP(AC$594,'2.2.Brecha Efectiva x UdM'!$H$86:$AK$92,5,0))+(VLOOKUP($A610,$A$4:$O$27,8,0)*(HLOOKUP(AC$594,'2.2.Brecha Efectiva x UdM'!$H$64:$AK$70,5,0))))</f>
        <v>0</v>
      </c>
      <c r="AD610" s="31">
        <f>(VLOOKUP($A610,$A$458:$O$482,8,0)*(HLOOKUP(AD$594,'2.2.Brecha Efectiva x UdM'!$H$86:$AK$92,5,0))+(VLOOKUP($A610,$A$4:$O$27,8,0)*(HLOOKUP(AD$594,'2.2.Brecha Efectiva x UdM'!$H$64:$AK$70,5,0))))</f>
        <v>0</v>
      </c>
      <c r="AE610" s="31">
        <f>(VLOOKUP($A610,$A$458:$O$482,8,0)*(HLOOKUP(AE$594,'2.2.Brecha Efectiva x UdM'!$H$86:$AK$92,5,0))+(VLOOKUP($A610,$A$4:$O$27,8,0)*(HLOOKUP(AE$594,'2.2.Brecha Efectiva x UdM'!$H$64:$AK$70,5,0))))</f>
        <v>0</v>
      </c>
      <c r="AF610" s="31">
        <f>(VLOOKUP($A610,$A$458:$O$482,8,0)*(HLOOKUP(AF$594,'2.2.Brecha Efectiva x UdM'!$H$86:$AK$92,5,0))+(VLOOKUP($A610,$A$4:$O$27,8,0)*(HLOOKUP(AF$594,'2.2.Brecha Efectiva x UdM'!$H$64:$AK$70,5,0))))</f>
        <v>0</v>
      </c>
      <c r="AG610" s="31">
        <f>(VLOOKUP($A610,$A$458:$O$482,8,0)*(HLOOKUP(AG$594,'2.2.Brecha Efectiva x UdM'!$H$86:$AK$92,5,0))+(VLOOKUP($A610,$A$4:$O$27,8,0)*(HLOOKUP(AG$594,'2.2.Brecha Efectiva x UdM'!$H$64:$AK$70,5,0))))</f>
        <v>0</v>
      </c>
      <c r="AH610" s="63">
        <f t="shared" si="571"/>
        <v>0</v>
      </c>
    </row>
    <row r="611" spans="1:34" hidden="1" x14ac:dyDescent="0.2">
      <c r="A611" s="25" t="str">
        <f t="shared" si="568"/>
        <v>Salta</v>
      </c>
      <c r="B611" s="51">
        <f t="shared" si="569"/>
        <v>0</v>
      </c>
      <c r="C611" s="25" t="str">
        <f t="shared" si="570"/>
        <v>Salta 0</v>
      </c>
      <c r="D611" s="32">
        <f>(VLOOKUP($A611,$A$458:$O$482,8,0)*(HLOOKUP(D$594,'2.2.Brecha Efectiva x UdM'!$H$86:$AK$92,5,0))+(VLOOKUP($A611,$A$4:$O$27,8,0)*(HLOOKUP(D$594,'2.2.Brecha Efectiva x UdM'!$H$64:$AK$70,5,0))))</f>
        <v>0</v>
      </c>
      <c r="E611" s="32">
        <f>(VLOOKUP($A611,$A$458:$O$482,8,0)*(HLOOKUP(E$594,'2.2.Brecha Efectiva x UdM'!$H$86:$AK$92,5,0))+(VLOOKUP($A611,$A$4:$O$27,8,0)*(HLOOKUP(E$594,'2.2.Brecha Efectiva x UdM'!$H$64:$AK$70,5,0))))</f>
        <v>0</v>
      </c>
      <c r="F611" s="32">
        <f>(VLOOKUP($A611,$A$458:$O$482,8,0)*(HLOOKUP(F$594,'2.2.Brecha Efectiva x UdM'!$H$86:$AK$92,5,0))+(VLOOKUP($A611,$A$4:$O$27,8,0)*(HLOOKUP(F$594,'2.2.Brecha Efectiva x UdM'!$H$64:$AK$70,5,0))))</f>
        <v>0</v>
      </c>
      <c r="G611" s="32">
        <f>(VLOOKUP($A611,$A$458:$O$482,8,0)*(HLOOKUP(G$594,'2.2.Brecha Efectiva x UdM'!$H$86:$AK$92,5,0))+(VLOOKUP($A611,$A$4:$O$27,8,0)*(HLOOKUP(G$594,'2.2.Brecha Efectiva x UdM'!$H$64:$AK$70,5,0))))</f>
        <v>0</v>
      </c>
      <c r="H611" s="32">
        <f>(VLOOKUP($A611,$A$458:$O$482,8,0)*(HLOOKUP(H$594,'2.2.Brecha Efectiva x UdM'!$H$86:$AK$92,5,0))+(VLOOKUP($A611,$A$4:$O$27,8,0)*(HLOOKUP(H$594,'2.2.Brecha Efectiva x UdM'!$H$64:$AK$70,5,0))))</f>
        <v>0</v>
      </c>
      <c r="I611" s="32">
        <f>(VLOOKUP($A611,$A$458:$O$482,8,0)*(HLOOKUP(I$594,'2.2.Brecha Efectiva x UdM'!$H$86:$AK$92,5,0))+(VLOOKUP($A611,$A$4:$O$27,8,0)*(HLOOKUP(I$594,'2.2.Brecha Efectiva x UdM'!$H$64:$AK$70,5,0))))</f>
        <v>0</v>
      </c>
      <c r="J611" s="32">
        <f>(VLOOKUP($A611,$A$458:$O$482,8,0)*(HLOOKUP(J$594,'2.2.Brecha Efectiva x UdM'!$H$86:$AK$92,5,0))+(VLOOKUP($A611,$A$4:$O$27,8,0)*(HLOOKUP(J$594,'2.2.Brecha Efectiva x UdM'!$H$64:$AK$70,5,0))))</f>
        <v>0</v>
      </c>
      <c r="K611" s="32">
        <f>(VLOOKUP($A611,$A$458:$O$482,8,0)*(HLOOKUP(K$594,'2.2.Brecha Efectiva x UdM'!$H$86:$AK$92,5,0))+(VLOOKUP($A611,$A$4:$O$27,8,0)*(HLOOKUP(K$594,'2.2.Brecha Efectiva x UdM'!$H$64:$AK$70,5,0))))</f>
        <v>0</v>
      </c>
      <c r="L611" s="32">
        <f>(VLOOKUP($A611,$A$458:$O$482,8,0)*(HLOOKUP(L$594,'2.2.Brecha Efectiva x UdM'!$H$86:$AK$92,5,0))+(VLOOKUP($A611,$A$4:$O$27,8,0)*(HLOOKUP(L$594,'2.2.Brecha Efectiva x UdM'!$H$64:$AK$70,5,0))))</f>
        <v>0</v>
      </c>
      <c r="M611" s="32">
        <f>(VLOOKUP($A611,$A$458:$O$482,8,0)*(HLOOKUP(M$594,'2.2.Brecha Efectiva x UdM'!$H$86:$AK$92,5,0))+(VLOOKUP($A611,$A$4:$O$27,8,0)*(HLOOKUP(M$594,'2.2.Brecha Efectiva x UdM'!$H$64:$AK$70,5,0))))</f>
        <v>0</v>
      </c>
      <c r="N611" s="32">
        <f>(VLOOKUP($A611,$A$458:$O$482,8,0)*(HLOOKUP(N$594,'2.2.Brecha Efectiva x UdM'!$H$86:$AK$92,5,0))+(VLOOKUP($A611,$A$4:$O$27,8,0)*(HLOOKUP(N$594,'2.2.Brecha Efectiva x UdM'!$H$64:$AK$70,5,0))))</f>
        <v>0</v>
      </c>
      <c r="O611" s="32">
        <f>(VLOOKUP($A611,$A$458:$O$482,8,0)*(HLOOKUP(O$594,'2.2.Brecha Efectiva x UdM'!$H$86:$AK$92,5,0))+(VLOOKUP($A611,$A$4:$O$27,8,0)*(HLOOKUP(O$594,'2.2.Brecha Efectiva x UdM'!$H$64:$AK$70,5,0))))</f>
        <v>0</v>
      </c>
      <c r="P611" s="32">
        <f>(VLOOKUP($A611,$A$458:$O$482,8,0)*(HLOOKUP(P$594,'2.2.Brecha Efectiva x UdM'!$H$86:$AK$92,5,0))+(VLOOKUP($A611,$A$4:$O$27,8,0)*(HLOOKUP(P$594,'2.2.Brecha Efectiva x UdM'!$H$64:$AK$70,5,0))))</f>
        <v>0</v>
      </c>
      <c r="Q611" s="32">
        <f>(VLOOKUP($A611,$A$458:$O$482,8,0)*(HLOOKUP(Q$594,'2.2.Brecha Efectiva x UdM'!$H$86:$AK$92,5,0))+(VLOOKUP($A611,$A$4:$O$27,8,0)*(HLOOKUP(Q$594,'2.2.Brecha Efectiva x UdM'!$H$64:$AK$70,5,0))))</f>
        <v>0</v>
      </c>
      <c r="R611" s="32">
        <f>(VLOOKUP($A611,$A$458:$O$482,8,0)*(HLOOKUP(R$594,'2.2.Brecha Efectiva x UdM'!$H$86:$AK$92,5,0))+(VLOOKUP($A611,$A$4:$O$27,8,0)*(HLOOKUP(R$594,'2.2.Brecha Efectiva x UdM'!$H$64:$AK$70,5,0))))</f>
        <v>0</v>
      </c>
      <c r="S611" s="32">
        <f>(VLOOKUP($A611,$A$458:$O$482,8,0)*(HLOOKUP(S$594,'2.2.Brecha Efectiva x UdM'!$H$86:$AK$92,5,0))+(VLOOKUP($A611,$A$4:$O$27,8,0)*(HLOOKUP(S$594,'2.2.Brecha Efectiva x UdM'!$H$64:$AK$70,5,0))))</f>
        <v>0</v>
      </c>
      <c r="T611" s="32">
        <f>(VLOOKUP($A611,$A$458:$O$482,8,0)*(HLOOKUP(T$594,'2.2.Brecha Efectiva x UdM'!$H$86:$AK$92,5,0))+(VLOOKUP($A611,$A$4:$O$27,8,0)*(HLOOKUP(T$594,'2.2.Brecha Efectiva x UdM'!$H$64:$AK$70,5,0))))</f>
        <v>0</v>
      </c>
      <c r="U611" s="32">
        <f>(VLOOKUP($A611,$A$458:$O$482,8,0)*(HLOOKUP(U$594,'2.2.Brecha Efectiva x UdM'!$H$86:$AK$92,5,0))+(VLOOKUP($A611,$A$4:$O$27,8,0)*(HLOOKUP(U$594,'2.2.Brecha Efectiva x UdM'!$H$64:$AK$70,5,0))))</f>
        <v>0</v>
      </c>
      <c r="V611" s="32">
        <f>(VLOOKUP($A611,$A$458:$O$482,8,0)*(HLOOKUP(V$594,'2.2.Brecha Efectiva x UdM'!$H$86:$AK$92,5,0))+(VLOOKUP($A611,$A$4:$O$27,8,0)*(HLOOKUP(V$594,'2.2.Brecha Efectiva x UdM'!$H$64:$AK$70,5,0))))</f>
        <v>0</v>
      </c>
      <c r="W611" s="32">
        <f>(VLOOKUP($A611,$A$458:$O$482,8,0)*(HLOOKUP(W$594,'2.2.Brecha Efectiva x UdM'!$H$86:$AK$92,5,0))+(VLOOKUP($A611,$A$4:$O$27,8,0)*(HLOOKUP(W$594,'2.2.Brecha Efectiva x UdM'!$H$64:$AK$70,5,0))))</f>
        <v>0</v>
      </c>
      <c r="X611" s="32">
        <f>(VLOOKUP($A611,$A$458:$O$482,8,0)*(HLOOKUP(X$594,'2.2.Brecha Efectiva x UdM'!$H$86:$AK$92,5,0))+(VLOOKUP($A611,$A$4:$O$27,8,0)*(HLOOKUP(X$594,'2.2.Brecha Efectiva x UdM'!$H$64:$AK$70,5,0))))</f>
        <v>0</v>
      </c>
      <c r="Y611" s="32">
        <f>(VLOOKUP($A611,$A$458:$O$482,8,0)*(HLOOKUP(Y$594,'2.2.Brecha Efectiva x UdM'!$H$86:$AK$92,5,0))+(VLOOKUP($A611,$A$4:$O$27,8,0)*(HLOOKUP(Y$594,'2.2.Brecha Efectiva x UdM'!$H$64:$AK$70,5,0))))</f>
        <v>0</v>
      </c>
      <c r="Z611" s="32">
        <f>(VLOOKUP($A611,$A$458:$O$482,8,0)*(HLOOKUP(Z$594,'2.2.Brecha Efectiva x UdM'!$H$86:$AK$92,5,0))+(VLOOKUP($A611,$A$4:$O$27,8,0)*(HLOOKUP(Z$594,'2.2.Brecha Efectiva x UdM'!$H$64:$AK$70,5,0))))</f>
        <v>0</v>
      </c>
      <c r="AA611" s="32">
        <f>(VLOOKUP($A611,$A$458:$O$482,8,0)*(HLOOKUP(AA$594,'2.2.Brecha Efectiva x UdM'!$H$86:$AK$92,5,0))+(VLOOKUP($A611,$A$4:$O$27,8,0)*(HLOOKUP(AA$594,'2.2.Brecha Efectiva x UdM'!$H$64:$AK$70,5,0))))</f>
        <v>0</v>
      </c>
      <c r="AB611" s="32">
        <f>(VLOOKUP($A611,$A$458:$O$482,8,0)*(HLOOKUP(AB$594,'2.2.Brecha Efectiva x UdM'!$H$86:$AK$92,5,0))+(VLOOKUP($A611,$A$4:$O$27,8,0)*(HLOOKUP(AB$594,'2.2.Brecha Efectiva x UdM'!$H$64:$AK$70,5,0))))</f>
        <v>0</v>
      </c>
      <c r="AC611" s="32">
        <f>(VLOOKUP($A611,$A$458:$O$482,8,0)*(HLOOKUP(AC$594,'2.2.Brecha Efectiva x UdM'!$H$86:$AK$92,5,0))+(VLOOKUP($A611,$A$4:$O$27,8,0)*(HLOOKUP(AC$594,'2.2.Brecha Efectiva x UdM'!$H$64:$AK$70,5,0))))</f>
        <v>0</v>
      </c>
      <c r="AD611" s="32">
        <f>(VLOOKUP($A611,$A$458:$O$482,8,0)*(HLOOKUP(AD$594,'2.2.Brecha Efectiva x UdM'!$H$86:$AK$92,5,0))+(VLOOKUP($A611,$A$4:$O$27,8,0)*(HLOOKUP(AD$594,'2.2.Brecha Efectiva x UdM'!$H$64:$AK$70,5,0))))</f>
        <v>0</v>
      </c>
      <c r="AE611" s="32">
        <f>(VLOOKUP($A611,$A$458:$O$482,8,0)*(HLOOKUP(AE$594,'2.2.Brecha Efectiva x UdM'!$H$86:$AK$92,5,0))+(VLOOKUP($A611,$A$4:$O$27,8,0)*(HLOOKUP(AE$594,'2.2.Brecha Efectiva x UdM'!$H$64:$AK$70,5,0))))</f>
        <v>0</v>
      </c>
      <c r="AF611" s="32">
        <f>(VLOOKUP($A611,$A$458:$O$482,8,0)*(HLOOKUP(AF$594,'2.2.Brecha Efectiva x UdM'!$H$86:$AK$92,5,0))+(VLOOKUP($A611,$A$4:$O$27,8,0)*(HLOOKUP(AF$594,'2.2.Brecha Efectiva x UdM'!$H$64:$AK$70,5,0))))</f>
        <v>0</v>
      </c>
      <c r="AG611" s="32">
        <f>(VLOOKUP($A611,$A$458:$O$482,8,0)*(HLOOKUP(AG$594,'2.2.Brecha Efectiva x UdM'!$H$86:$AK$92,5,0))+(VLOOKUP($A611,$A$4:$O$27,8,0)*(HLOOKUP(AG$594,'2.2.Brecha Efectiva x UdM'!$H$64:$AK$70,5,0))))</f>
        <v>0</v>
      </c>
      <c r="AH611" s="62">
        <f t="shared" si="571"/>
        <v>0</v>
      </c>
    </row>
    <row r="612" spans="1:34" hidden="1" x14ac:dyDescent="0.2">
      <c r="A612" s="26" t="str">
        <f t="shared" si="568"/>
        <v>San Juan</v>
      </c>
      <c r="B612" s="52">
        <f t="shared" si="569"/>
        <v>0</v>
      </c>
      <c r="C612" s="26" t="str">
        <f t="shared" si="570"/>
        <v>San Juan 0</v>
      </c>
      <c r="D612" s="31">
        <f>(VLOOKUP($A612,$A$458:$O$482,8,0)*(HLOOKUP(D$594,'2.2.Brecha Efectiva x UdM'!$H$86:$AK$92,5,0))+(VLOOKUP($A612,$A$4:$O$27,8,0)*(HLOOKUP(D$594,'2.2.Brecha Efectiva x UdM'!$H$64:$AK$70,5,0))))</f>
        <v>0</v>
      </c>
      <c r="E612" s="31">
        <f>(VLOOKUP($A612,$A$458:$O$482,8,0)*(HLOOKUP(E$594,'2.2.Brecha Efectiva x UdM'!$H$86:$AK$92,5,0))+(VLOOKUP($A612,$A$4:$O$27,8,0)*(HLOOKUP(E$594,'2.2.Brecha Efectiva x UdM'!$H$64:$AK$70,5,0))))</f>
        <v>0</v>
      </c>
      <c r="F612" s="31">
        <f>(VLOOKUP($A612,$A$458:$O$482,8,0)*(HLOOKUP(F$594,'2.2.Brecha Efectiva x UdM'!$H$86:$AK$92,5,0))+(VLOOKUP($A612,$A$4:$O$27,8,0)*(HLOOKUP(F$594,'2.2.Brecha Efectiva x UdM'!$H$64:$AK$70,5,0))))</f>
        <v>0</v>
      </c>
      <c r="G612" s="31">
        <f>(VLOOKUP($A612,$A$458:$O$482,8,0)*(HLOOKUP(G$594,'2.2.Brecha Efectiva x UdM'!$H$86:$AK$92,5,0))+(VLOOKUP($A612,$A$4:$O$27,8,0)*(HLOOKUP(G$594,'2.2.Brecha Efectiva x UdM'!$H$64:$AK$70,5,0))))</f>
        <v>0</v>
      </c>
      <c r="H612" s="31">
        <f>(VLOOKUP($A612,$A$458:$O$482,8,0)*(HLOOKUP(H$594,'2.2.Brecha Efectiva x UdM'!$H$86:$AK$92,5,0))+(VLOOKUP($A612,$A$4:$O$27,8,0)*(HLOOKUP(H$594,'2.2.Brecha Efectiva x UdM'!$H$64:$AK$70,5,0))))</f>
        <v>0</v>
      </c>
      <c r="I612" s="31">
        <f>(VLOOKUP($A612,$A$458:$O$482,8,0)*(HLOOKUP(I$594,'2.2.Brecha Efectiva x UdM'!$H$86:$AK$92,5,0))+(VLOOKUP($A612,$A$4:$O$27,8,0)*(HLOOKUP(I$594,'2.2.Brecha Efectiva x UdM'!$H$64:$AK$70,5,0))))</f>
        <v>0</v>
      </c>
      <c r="J612" s="31">
        <f>(VLOOKUP($A612,$A$458:$O$482,8,0)*(HLOOKUP(J$594,'2.2.Brecha Efectiva x UdM'!$H$86:$AK$92,5,0))+(VLOOKUP($A612,$A$4:$O$27,8,0)*(HLOOKUP(J$594,'2.2.Brecha Efectiva x UdM'!$H$64:$AK$70,5,0))))</f>
        <v>0</v>
      </c>
      <c r="K612" s="31">
        <f>(VLOOKUP($A612,$A$458:$O$482,8,0)*(HLOOKUP(K$594,'2.2.Brecha Efectiva x UdM'!$H$86:$AK$92,5,0))+(VLOOKUP($A612,$A$4:$O$27,8,0)*(HLOOKUP(K$594,'2.2.Brecha Efectiva x UdM'!$H$64:$AK$70,5,0))))</f>
        <v>0</v>
      </c>
      <c r="L612" s="31">
        <f>(VLOOKUP($A612,$A$458:$O$482,8,0)*(HLOOKUP(L$594,'2.2.Brecha Efectiva x UdM'!$H$86:$AK$92,5,0))+(VLOOKUP($A612,$A$4:$O$27,8,0)*(HLOOKUP(L$594,'2.2.Brecha Efectiva x UdM'!$H$64:$AK$70,5,0))))</f>
        <v>0</v>
      </c>
      <c r="M612" s="31">
        <f>(VLOOKUP($A612,$A$458:$O$482,8,0)*(HLOOKUP(M$594,'2.2.Brecha Efectiva x UdM'!$H$86:$AK$92,5,0))+(VLOOKUP($A612,$A$4:$O$27,8,0)*(HLOOKUP(M$594,'2.2.Brecha Efectiva x UdM'!$H$64:$AK$70,5,0))))</f>
        <v>0</v>
      </c>
      <c r="N612" s="31">
        <f>(VLOOKUP($A612,$A$458:$O$482,8,0)*(HLOOKUP(N$594,'2.2.Brecha Efectiva x UdM'!$H$86:$AK$92,5,0))+(VLOOKUP($A612,$A$4:$O$27,8,0)*(HLOOKUP(N$594,'2.2.Brecha Efectiva x UdM'!$H$64:$AK$70,5,0))))</f>
        <v>0</v>
      </c>
      <c r="O612" s="31">
        <f>(VLOOKUP($A612,$A$458:$O$482,8,0)*(HLOOKUP(O$594,'2.2.Brecha Efectiva x UdM'!$H$86:$AK$92,5,0))+(VLOOKUP($A612,$A$4:$O$27,8,0)*(HLOOKUP(O$594,'2.2.Brecha Efectiva x UdM'!$H$64:$AK$70,5,0))))</f>
        <v>0</v>
      </c>
      <c r="P612" s="31">
        <f>(VLOOKUP($A612,$A$458:$O$482,8,0)*(HLOOKUP(P$594,'2.2.Brecha Efectiva x UdM'!$H$86:$AK$92,5,0))+(VLOOKUP($A612,$A$4:$O$27,8,0)*(HLOOKUP(P$594,'2.2.Brecha Efectiva x UdM'!$H$64:$AK$70,5,0))))</f>
        <v>0</v>
      </c>
      <c r="Q612" s="31">
        <f>(VLOOKUP($A612,$A$458:$O$482,8,0)*(HLOOKUP(Q$594,'2.2.Brecha Efectiva x UdM'!$H$86:$AK$92,5,0))+(VLOOKUP($A612,$A$4:$O$27,8,0)*(HLOOKUP(Q$594,'2.2.Brecha Efectiva x UdM'!$H$64:$AK$70,5,0))))</f>
        <v>0</v>
      </c>
      <c r="R612" s="31">
        <f>(VLOOKUP($A612,$A$458:$O$482,8,0)*(HLOOKUP(R$594,'2.2.Brecha Efectiva x UdM'!$H$86:$AK$92,5,0))+(VLOOKUP($A612,$A$4:$O$27,8,0)*(HLOOKUP(R$594,'2.2.Brecha Efectiva x UdM'!$H$64:$AK$70,5,0))))</f>
        <v>0</v>
      </c>
      <c r="S612" s="31">
        <f>(VLOOKUP($A612,$A$458:$O$482,8,0)*(HLOOKUP(S$594,'2.2.Brecha Efectiva x UdM'!$H$86:$AK$92,5,0))+(VLOOKUP($A612,$A$4:$O$27,8,0)*(HLOOKUP(S$594,'2.2.Brecha Efectiva x UdM'!$H$64:$AK$70,5,0))))</f>
        <v>0</v>
      </c>
      <c r="T612" s="31">
        <f>(VLOOKUP($A612,$A$458:$O$482,8,0)*(HLOOKUP(T$594,'2.2.Brecha Efectiva x UdM'!$H$86:$AK$92,5,0))+(VLOOKUP($A612,$A$4:$O$27,8,0)*(HLOOKUP(T$594,'2.2.Brecha Efectiva x UdM'!$H$64:$AK$70,5,0))))</f>
        <v>0</v>
      </c>
      <c r="U612" s="31">
        <f>(VLOOKUP($A612,$A$458:$O$482,8,0)*(HLOOKUP(U$594,'2.2.Brecha Efectiva x UdM'!$H$86:$AK$92,5,0))+(VLOOKUP($A612,$A$4:$O$27,8,0)*(HLOOKUP(U$594,'2.2.Brecha Efectiva x UdM'!$H$64:$AK$70,5,0))))</f>
        <v>0</v>
      </c>
      <c r="V612" s="31">
        <f>(VLOOKUP($A612,$A$458:$O$482,8,0)*(HLOOKUP(V$594,'2.2.Brecha Efectiva x UdM'!$H$86:$AK$92,5,0))+(VLOOKUP($A612,$A$4:$O$27,8,0)*(HLOOKUP(V$594,'2.2.Brecha Efectiva x UdM'!$H$64:$AK$70,5,0))))</f>
        <v>0</v>
      </c>
      <c r="W612" s="31">
        <f>(VLOOKUP($A612,$A$458:$O$482,8,0)*(HLOOKUP(W$594,'2.2.Brecha Efectiva x UdM'!$H$86:$AK$92,5,0))+(VLOOKUP($A612,$A$4:$O$27,8,0)*(HLOOKUP(W$594,'2.2.Brecha Efectiva x UdM'!$H$64:$AK$70,5,0))))</f>
        <v>0</v>
      </c>
      <c r="X612" s="31">
        <f>(VLOOKUP($A612,$A$458:$O$482,8,0)*(HLOOKUP(X$594,'2.2.Brecha Efectiva x UdM'!$H$86:$AK$92,5,0))+(VLOOKUP($A612,$A$4:$O$27,8,0)*(HLOOKUP(X$594,'2.2.Brecha Efectiva x UdM'!$H$64:$AK$70,5,0))))</f>
        <v>0</v>
      </c>
      <c r="Y612" s="31">
        <f>(VLOOKUP($A612,$A$458:$O$482,8,0)*(HLOOKUP(Y$594,'2.2.Brecha Efectiva x UdM'!$H$86:$AK$92,5,0))+(VLOOKUP($A612,$A$4:$O$27,8,0)*(HLOOKUP(Y$594,'2.2.Brecha Efectiva x UdM'!$H$64:$AK$70,5,0))))</f>
        <v>0</v>
      </c>
      <c r="Z612" s="31">
        <f>(VLOOKUP($A612,$A$458:$O$482,8,0)*(HLOOKUP(Z$594,'2.2.Brecha Efectiva x UdM'!$H$86:$AK$92,5,0))+(VLOOKUP($A612,$A$4:$O$27,8,0)*(HLOOKUP(Z$594,'2.2.Brecha Efectiva x UdM'!$H$64:$AK$70,5,0))))</f>
        <v>0</v>
      </c>
      <c r="AA612" s="31">
        <f>(VLOOKUP($A612,$A$458:$O$482,8,0)*(HLOOKUP(AA$594,'2.2.Brecha Efectiva x UdM'!$H$86:$AK$92,5,0))+(VLOOKUP($A612,$A$4:$O$27,8,0)*(HLOOKUP(AA$594,'2.2.Brecha Efectiva x UdM'!$H$64:$AK$70,5,0))))</f>
        <v>0</v>
      </c>
      <c r="AB612" s="31">
        <f>(VLOOKUP($A612,$A$458:$O$482,8,0)*(HLOOKUP(AB$594,'2.2.Brecha Efectiva x UdM'!$H$86:$AK$92,5,0))+(VLOOKUP($A612,$A$4:$O$27,8,0)*(HLOOKUP(AB$594,'2.2.Brecha Efectiva x UdM'!$H$64:$AK$70,5,0))))</f>
        <v>0</v>
      </c>
      <c r="AC612" s="31">
        <f>(VLOOKUP($A612,$A$458:$O$482,8,0)*(HLOOKUP(AC$594,'2.2.Brecha Efectiva x UdM'!$H$86:$AK$92,5,0))+(VLOOKUP($A612,$A$4:$O$27,8,0)*(HLOOKUP(AC$594,'2.2.Brecha Efectiva x UdM'!$H$64:$AK$70,5,0))))</f>
        <v>0</v>
      </c>
      <c r="AD612" s="31">
        <f>(VLOOKUP($A612,$A$458:$O$482,8,0)*(HLOOKUP(AD$594,'2.2.Brecha Efectiva x UdM'!$H$86:$AK$92,5,0))+(VLOOKUP($A612,$A$4:$O$27,8,0)*(HLOOKUP(AD$594,'2.2.Brecha Efectiva x UdM'!$H$64:$AK$70,5,0))))</f>
        <v>0</v>
      </c>
      <c r="AE612" s="31">
        <f>(VLOOKUP($A612,$A$458:$O$482,8,0)*(HLOOKUP(AE$594,'2.2.Brecha Efectiva x UdM'!$H$86:$AK$92,5,0))+(VLOOKUP($A612,$A$4:$O$27,8,0)*(HLOOKUP(AE$594,'2.2.Brecha Efectiva x UdM'!$H$64:$AK$70,5,0))))</f>
        <v>0</v>
      </c>
      <c r="AF612" s="31">
        <f>(VLOOKUP($A612,$A$458:$O$482,8,0)*(HLOOKUP(AF$594,'2.2.Brecha Efectiva x UdM'!$H$86:$AK$92,5,0))+(VLOOKUP($A612,$A$4:$O$27,8,0)*(HLOOKUP(AF$594,'2.2.Brecha Efectiva x UdM'!$H$64:$AK$70,5,0))))</f>
        <v>0</v>
      </c>
      <c r="AG612" s="31">
        <f>(VLOOKUP($A612,$A$458:$O$482,8,0)*(HLOOKUP(AG$594,'2.2.Brecha Efectiva x UdM'!$H$86:$AK$92,5,0))+(VLOOKUP($A612,$A$4:$O$27,8,0)*(HLOOKUP(AG$594,'2.2.Brecha Efectiva x UdM'!$H$64:$AK$70,5,0))))</f>
        <v>0</v>
      </c>
      <c r="AH612" s="63">
        <f t="shared" si="571"/>
        <v>0</v>
      </c>
    </row>
    <row r="613" spans="1:34" hidden="1" x14ac:dyDescent="0.2">
      <c r="A613" s="25" t="str">
        <f t="shared" si="568"/>
        <v>San Luis</v>
      </c>
      <c r="B613" s="51">
        <f t="shared" si="569"/>
        <v>0</v>
      </c>
      <c r="C613" s="25" t="str">
        <f t="shared" si="570"/>
        <v>San Luis 0</v>
      </c>
      <c r="D613" s="32">
        <f>(VLOOKUP($A613,$A$458:$O$482,8,0)*(HLOOKUP(D$594,'2.2.Brecha Efectiva x UdM'!$H$86:$AK$92,5,0))+(VLOOKUP($A613,$A$4:$O$27,8,0)*(HLOOKUP(D$594,'2.2.Brecha Efectiva x UdM'!$H$64:$AK$70,5,0))))</f>
        <v>0</v>
      </c>
      <c r="E613" s="32">
        <f>(VLOOKUP($A613,$A$458:$O$482,8,0)*(HLOOKUP(E$594,'2.2.Brecha Efectiva x UdM'!$H$86:$AK$92,5,0))+(VLOOKUP($A613,$A$4:$O$27,8,0)*(HLOOKUP(E$594,'2.2.Brecha Efectiva x UdM'!$H$64:$AK$70,5,0))))</f>
        <v>0</v>
      </c>
      <c r="F613" s="32">
        <f>(VLOOKUP($A613,$A$458:$O$482,8,0)*(HLOOKUP(F$594,'2.2.Brecha Efectiva x UdM'!$H$86:$AK$92,5,0))+(VLOOKUP($A613,$A$4:$O$27,8,0)*(HLOOKUP(F$594,'2.2.Brecha Efectiva x UdM'!$H$64:$AK$70,5,0))))</f>
        <v>0</v>
      </c>
      <c r="G613" s="32">
        <f>(VLOOKUP($A613,$A$458:$O$482,8,0)*(HLOOKUP(G$594,'2.2.Brecha Efectiva x UdM'!$H$86:$AK$92,5,0))+(VLOOKUP($A613,$A$4:$O$27,8,0)*(HLOOKUP(G$594,'2.2.Brecha Efectiva x UdM'!$H$64:$AK$70,5,0))))</f>
        <v>0</v>
      </c>
      <c r="H613" s="32">
        <f>(VLOOKUP($A613,$A$458:$O$482,8,0)*(HLOOKUP(H$594,'2.2.Brecha Efectiva x UdM'!$H$86:$AK$92,5,0))+(VLOOKUP($A613,$A$4:$O$27,8,0)*(HLOOKUP(H$594,'2.2.Brecha Efectiva x UdM'!$H$64:$AK$70,5,0))))</f>
        <v>0</v>
      </c>
      <c r="I613" s="32">
        <f>(VLOOKUP($A613,$A$458:$O$482,8,0)*(HLOOKUP(I$594,'2.2.Brecha Efectiva x UdM'!$H$86:$AK$92,5,0))+(VLOOKUP($A613,$A$4:$O$27,8,0)*(HLOOKUP(I$594,'2.2.Brecha Efectiva x UdM'!$H$64:$AK$70,5,0))))</f>
        <v>0</v>
      </c>
      <c r="J613" s="32">
        <f>(VLOOKUP($A613,$A$458:$O$482,8,0)*(HLOOKUP(J$594,'2.2.Brecha Efectiva x UdM'!$H$86:$AK$92,5,0))+(VLOOKUP($A613,$A$4:$O$27,8,0)*(HLOOKUP(J$594,'2.2.Brecha Efectiva x UdM'!$H$64:$AK$70,5,0))))</f>
        <v>0</v>
      </c>
      <c r="K613" s="32">
        <f>(VLOOKUP($A613,$A$458:$O$482,8,0)*(HLOOKUP(K$594,'2.2.Brecha Efectiva x UdM'!$H$86:$AK$92,5,0))+(VLOOKUP($A613,$A$4:$O$27,8,0)*(HLOOKUP(K$594,'2.2.Brecha Efectiva x UdM'!$H$64:$AK$70,5,0))))</f>
        <v>0</v>
      </c>
      <c r="L613" s="32">
        <f>(VLOOKUP($A613,$A$458:$O$482,8,0)*(HLOOKUP(L$594,'2.2.Brecha Efectiva x UdM'!$H$86:$AK$92,5,0))+(VLOOKUP($A613,$A$4:$O$27,8,0)*(HLOOKUP(L$594,'2.2.Brecha Efectiva x UdM'!$H$64:$AK$70,5,0))))</f>
        <v>0</v>
      </c>
      <c r="M613" s="32">
        <f>(VLOOKUP($A613,$A$458:$O$482,8,0)*(HLOOKUP(M$594,'2.2.Brecha Efectiva x UdM'!$H$86:$AK$92,5,0))+(VLOOKUP($A613,$A$4:$O$27,8,0)*(HLOOKUP(M$594,'2.2.Brecha Efectiva x UdM'!$H$64:$AK$70,5,0))))</f>
        <v>0</v>
      </c>
      <c r="N613" s="32">
        <f>(VLOOKUP($A613,$A$458:$O$482,8,0)*(HLOOKUP(N$594,'2.2.Brecha Efectiva x UdM'!$H$86:$AK$92,5,0))+(VLOOKUP($A613,$A$4:$O$27,8,0)*(HLOOKUP(N$594,'2.2.Brecha Efectiva x UdM'!$H$64:$AK$70,5,0))))</f>
        <v>0</v>
      </c>
      <c r="O613" s="32">
        <f>(VLOOKUP($A613,$A$458:$O$482,8,0)*(HLOOKUP(O$594,'2.2.Brecha Efectiva x UdM'!$H$86:$AK$92,5,0))+(VLOOKUP($A613,$A$4:$O$27,8,0)*(HLOOKUP(O$594,'2.2.Brecha Efectiva x UdM'!$H$64:$AK$70,5,0))))</f>
        <v>0</v>
      </c>
      <c r="P613" s="32">
        <f>(VLOOKUP($A613,$A$458:$O$482,8,0)*(HLOOKUP(P$594,'2.2.Brecha Efectiva x UdM'!$H$86:$AK$92,5,0))+(VLOOKUP($A613,$A$4:$O$27,8,0)*(HLOOKUP(P$594,'2.2.Brecha Efectiva x UdM'!$H$64:$AK$70,5,0))))</f>
        <v>0</v>
      </c>
      <c r="Q613" s="32">
        <f>(VLOOKUP($A613,$A$458:$O$482,8,0)*(HLOOKUP(Q$594,'2.2.Brecha Efectiva x UdM'!$H$86:$AK$92,5,0))+(VLOOKUP($A613,$A$4:$O$27,8,0)*(HLOOKUP(Q$594,'2.2.Brecha Efectiva x UdM'!$H$64:$AK$70,5,0))))</f>
        <v>0</v>
      </c>
      <c r="R613" s="32">
        <f>(VLOOKUP($A613,$A$458:$O$482,8,0)*(HLOOKUP(R$594,'2.2.Brecha Efectiva x UdM'!$H$86:$AK$92,5,0))+(VLOOKUP($A613,$A$4:$O$27,8,0)*(HLOOKUP(R$594,'2.2.Brecha Efectiva x UdM'!$H$64:$AK$70,5,0))))</f>
        <v>0</v>
      </c>
      <c r="S613" s="32">
        <f>(VLOOKUP($A613,$A$458:$O$482,8,0)*(HLOOKUP(S$594,'2.2.Brecha Efectiva x UdM'!$H$86:$AK$92,5,0))+(VLOOKUP($A613,$A$4:$O$27,8,0)*(HLOOKUP(S$594,'2.2.Brecha Efectiva x UdM'!$H$64:$AK$70,5,0))))</f>
        <v>0</v>
      </c>
      <c r="T613" s="32">
        <f>(VLOOKUP($A613,$A$458:$O$482,8,0)*(HLOOKUP(T$594,'2.2.Brecha Efectiva x UdM'!$H$86:$AK$92,5,0))+(VLOOKUP($A613,$A$4:$O$27,8,0)*(HLOOKUP(T$594,'2.2.Brecha Efectiva x UdM'!$H$64:$AK$70,5,0))))</f>
        <v>0</v>
      </c>
      <c r="U613" s="32">
        <f>(VLOOKUP($A613,$A$458:$O$482,8,0)*(HLOOKUP(U$594,'2.2.Brecha Efectiva x UdM'!$H$86:$AK$92,5,0))+(VLOOKUP($A613,$A$4:$O$27,8,0)*(HLOOKUP(U$594,'2.2.Brecha Efectiva x UdM'!$H$64:$AK$70,5,0))))</f>
        <v>0</v>
      </c>
      <c r="V613" s="32">
        <f>(VLOOKUP($A613,$A$458:$O$482,8,0)*(HLOOKUP(V$594,'2.2.Brecha Efectiva x UdM'!$H$86:$AK$92,5,0))+(VLOOKUP($A613,$A$4:$O$27,8,0)*(HLOOKUP(V$594,'2.2.Brecha Efectiva x UdM'!$H$64:$AK$70,5,0))))</f>
        <v>0</v>
      </c>
      <c r="W613" s="32">
        <f>(VLOOKUP($A613,$A$458:$O$482,8,0)*(HLOOKUP(W$594,'2.2.Brecha Efectiva x UdM'!$H$86:$AK$92,5,0))+(VLOOKUP($A613,$A$4:$O$27,8,0)*(HLOOKUP(W$594,'2.2.Brecha Efectiva x UdM'!$H$64:$AK$70,5,0))))</f>
        <v>0</v>
      </c>
      <c r="X613" s="32">
        <f>(VLOOKUP($A613,$A$458:$O$482,8,0)*(HLOOKUP(X$594,'2.2.Brecha Efectiva x UdM'!$H$86:$AK$92,5,0))+(VLOOKUP($A613,$A$4:$O$27,8,0)*(HLOOKUP(X$594,'2.2.Brecha Efectiva x UdM'!$H$64:$AK$70,5,0))))</f>
        <v>0</v>
      </c>
      <c r="Y613" s="32">
        <f>(VLOOKUP($A613,$A$458:$O$482,8,0)*(HLOOKUP(Y$594,'2.2.Brecha Efectiva x UdM'!$H$86:$AK$92,5,0))+(VLOOKUP($A613,$A$4:$O$27,8,0)*(HLOOKUP(Y$594,'2.2.Brecha Efectiva x UdM'!$H$64:$AK$70,5,0))))</f>
        <v>0</v>
      </c>
      <c r="Z613" s="32">
        <f>(VLOOKUP($A613,$A$458:$O$482,8,0)*(HLOOKUP(Z$594,'2.2.Brecha Efectiva x UdM'!$H$86:$AK$92,5,0))+(VLOOKUP($A613,$A$4:$O$27,8,0)*(HLOOKUP(Z$594,'2.2.Brecha Efectiva x UdM'!$H$64:$AK$70,5,0))))</f>
        <v>0</v>
      </c>
      <c r="AA613" s="32">
        <f>(VLOOKUP($A613,$A$458:$O$482,8,0)*(HLOOKUP(AA$594,'2.2.Brecha Efectiva x UdM'!$H$86:$AK$92,5,0))+(VLOOKUP($A613,$A$4:$O$27,8,0)*(HLOOKUP(AA$594,'2.2.Brecha Efectiva x UdM'!$H$64:$AK$70,5,0))))</f>
        <v>0</v>
      </c>
      <c r="AB613" s="32">
        <f>(VLOOKUP($A613,$A$458:$O$482,8,0)*(HLOOKUP(AB$594,'2.2.Brecha Efectiva x UdM'!$H$86:$AK$92,5,0))+(VLOOKUP($A613,$A$4:$O$27,8,0)*(HLOOKUP(AB$594,'2.2.Brecha Efectiva x UdM'!$H$64:$AK$70,5,0))))</f>
        <v>0</v>
      </c>
      <c r="AC613" s="32">
        <f>(VLOOKUP($A613,$A$458:$O$482,8,0)*(HLOOKUP(AC$594,'2.2.Brecha Efectiva x UdM'!$H$86:$AK$92,5,0))+(VLOOKUP($A613,$A$4:$O$27,8,0)*(HLOOKUP(AC$594,'2.2.Brecha Efectiva x UdM'!$H$64:$AK$70,5,0))))</f>
        <v>0</v>
      </c>
      <c r="AD613" s="32">
        <f>(VLOOKUP($A613,$A$458:$O$482,8,0)*(HLOOKUP(AD$594,'2.2.Brecha Efectiva x UdM'!$H$86:$AK$92,5,0))+(VLOOKUP($A613,$A$4:$O$27,8,0)*(HLOOKUP(AD$594,'2.2.Brecha Efectiva x UdM'!$H$64:$AK$70,5,0))))</f>
        <v>0</v>
      </c>
      <c r="AE613" s="32">
        <f>(VLOOKUP($A613,$A$458:$O$482,8,0)*(HLOOKUP(AE$594,'2.2.Brecha Efectiva x UdM'!$H$86:$AK$92,5,0))+(VLOOKUP($A613,$A$4:$O$27,8,0)*(HLOOKUP(AE$594,'2.2.Brecha Efectiva x UdM'!$H$64:$AK$70,5,0))))</f>
        <v>0</v>
      </c>
      <c r="AF613" s="32">
        <f>(VLOOKUP($A613,$A$458:$O$482,8,0)*(HLOOKUP(AF$594,'2.2.Brecha Efectiva x UdM'!$H$86:$AK$92,5,0))+(VLOOKUP($A613,$A$4:$O$27,8,0)*(HLOOKUP(AF$594,'2.2.Brecha Efectiva x UdM'!$H$64:$AK$70,5,0))))</f>
        <v>0</v>
      </c>
      <c r="AG613" s="32">
        <f>(VLOOKUP($A613,$A$458:$O$482,8,0)*(HLOOKUP(AG$594,'2.2.Brecha Efectiva x UdM'!$H$86:$AK$92,5,0))+(VLOOKUP($A613,$A$4:$O$27,8,0)*(HLOOKUP(AG$594,'2.2.Brecha Efectiva x UdM'!$H$64:$AK$70,5,0))))</f>
        <v>0</v>
      </c>
      <c r="AH613" s="62">
        <f t="shared" si="571"/>
        <v>0</v>
      </c>
    </row>
    <row r="614" spans="1:34" hidden="1" x14ac:dyDescent="0.2">
      <c r="A614" s="26" t="str">
        <f t="shared" si="568"/>
        <v>Santa Cruz</v>
      </c>
      <c r="B614" s="52">
        <f t="shared" si="569"/>
        <v>0</v>
      </c>
      <c r="C614" s="26" t="str">
        <f t="shared" si="570"/>
        <v>Santa Cruz 0</v>
      </c>
      <c r="D614" s="31">
        <f>(VLOOKUP($A614,$A$458:$O$482,8,0)*(HLOOKUP(D$594,'2.2.Brecha Efectiva x UdM'!$H$86:$AK$92,5,0))+(VLOOKUP($A614,$A$4:$O$27,8,0)*(HLOOKUP(D$594,'2.2.Brecha Efectiva x UdM'!$H$64:$AK$70,5,0))))</f>
        <v>0</v>
      </c>
      <c r="E614" s="31">
        <f>(VLOOKUP($A614,$A$458:$O$482,8,0)*(HLOOKUP(E$594,'2.2.Brecha Efectiva x UdM'!$H$86:$AK$92,5,0))+(VLOOKUP($A614,$A$4:$O$27,8,0)*(HLOOKUP(E$594,'2.2.Brecha Efectiva x UdM'!$H$64:$AK$70,5,0))))</f>
        <v>0</v>
      </c>
      <c r="F614" s="31">
        <f>(VLOOKUP($A614,$A$458:$O$482,8,0)*(HLOOKUP(F$594,'2.2.Brecha Efectiva x UdM'!$H$86:$AK$92,5,0))+(VLOOKUP($A614,$A$4:$O$27,8,0)*(HLOOKUP(F$594,'2.2.Brecha Efectiva x UdM'!$H$64:$AK$70,5,0))))</f>
        <v>0</v>
      </c>
      <c r="G614" s="31">
        <f>(VLOOKUP($A614,$A$458:$O$482,8,0)*(HLOOKUP(G$594,'2.2.Brecha Efectiva x UdM'!$H$86:$AK$92,5,0))+(VLOOKUP($A614,$A$4:$O$27,8,0)*(HLOOKUP(G$594,'2.2.Brecha Efectiva x UdM'!$H$64:$AK$70,5,0))))</f>
        <v>0</v>
      </c>
      <c r="H614" s="31">
        <f>(VLOOKUP($A614,$A$458:$O$482,8,0)*(HLOOKUP(H$594,'2.2.Brecha Efectiva x UdM'!$H$86:$AK$92,5,0))+(VLOOKUP($A614,$A$4:$O$27,8,0)*(HLOOKUP(H$594,'2.2.Brecha Efectiva x UdM'!$H$64:$AK$70,5,0))))</f>
        <v>0</v>
      </c>
      <c r="I614" s="31">
        <f>(VLOOKUP($A614,$A$458:$O$482,8,0)*(HLOOKUP(I$594,'2.2.Brecha Efectiva x UdM'!$H$86:$AK$92,5,0))+(VLOOKUP($A614,$A$4:$O$27,8,0)*(HLOOKUP(I$594,'2.2.Brecha Efectiva x UdM'!$H$64:$AK$70,5,0))))</f>
        <v>0</v>
      </c>
      <c r="J614" s="31">
        <f>(VLOOKUP($A614,$A$458:$O$482,8,0)*(HLOOKUP(J$594,'2.2.Brecha Efectiva x UdM'!$H$86:$AK$92,5,0))+(VLOOKUP($A614,$A$4:$O$27,8,0)*(HLOOKUP(J$594,'2.2.Brecha Efectiva x UdM'!$H$64:$AK$70,5,0))))</f>
        <v>0</v>
      </c>
      <c r="K614" s="31">
        <f>(VLOOKUP($A614,$A$458:$O$482,8,0)*(HLOOKUP(K$594,'2.2.Brecha Efectiva x UdM'!$H$86:$AK$92,5,0))+(VLOOKUP($A614,$A$4:$O$27,8,0)*(HLOOKUP(K$594,'2.2.Brecha Efectiva x UdM'!$H$64:$AK$70,5,0))))</f>
        <v>0</v>
      </c>
      <c r="L614" s="31">
        <f>(VLOOKUP($A614,$A$458:$O$482,8,0)*(HLOOKUP(L$594,'2.2.Brecha Efectiva x UdM'!$H$86:$AK$92,5,0))+(VLOOKUP($A614,$A$4:$O$27,8,0)*(HLOOKUP(L$594,'2.2.Brecha Efectiva x UdM'!$H$64:$AK$70,5,0))))</f>
        <v>0</v>
      </c>
      <c r="M614" s="31">
        <f>(VLOOKUP($A614,$A$458:$O$482,8,0)*(HLOOKUP(M$594,'2.2.Brecha Efectiva x UdM'!$H$86:$AK$92,5,0))+(VLOOKUP($A614,$A$4:$O$27,8,0)*(HLOOKUP(M$594,'2.2.Brecha Efectiva x UdM'!$H$64:$AK$70,5,0))))</f>
        <v>0</v>
      </c>
      <c r="N614" s="31">
        <f>(VLOOKUP($A614,$A$458:$O$482,8,0)*(HLOOKUP(N$594,'2.2.Brecha Efectiva x UdM'!$H$86:$AK$92,5,0))+(VLOOKUP($A614,$A$4:$O$27,8,0)*(HLOOKUP(N$594,'2.2.Brecha Efectiva x UdM'!$H$64:$AK$70,5,0))))</f>
        <v>0</v>
      </c>
      <c r="O614" s="31">
        <f>(VLOOKUP($A614,$A$458:$O$482,8,0)*(HLOOKUP(O$594,'2.2.Brecha Efectiva x UdM'!$H$86:$AK$92,5,0))+(VLOOKUP($A614,$A$4:$O$27,8,0)*(HLOOKUP(O$594,'2.2.Brecha Efectiva x UdM'!$H$64:$AK$70,5,0))))</f>
        <v>0</v>
      </c>
      <c r="P614" s="31">
        <f>(VLOOKUP($A614,$A$458:$O$482,8,0)*(HLOOKUP(P$594,'2.2.Brecha Efectiva x UdM'!$H$86:$AK$92,5,0))+(VLOOKUP($A614,$A$4:$O$27,8,0)*(HLOOKUP(P$594,'2.2.Brecha Efectiva x UdM'!$H$64:$AK$70,5,0))))</f>
        <v>0</v>
      </c>
      <c r="Q614" s="31">
        <f>(VLOOKUP($A614,$A$458:$O$482,8,0)*(HLOOKUP(Q$594,'2.2.Brecha Efectiva x UdM'!$H$86:$AK$92,5,0))+(VLOOKUP($A614,$A$4:$O$27,8,0)*(HLOOKUP(Q$594,'2.2.Brecha Efectiva x UdM'!$H$64:$AK$70,5,0))))</f>
        <v>0</v>
      </c>
      <c r="R614" s="31">
        <f>(VLOOKUP($A614,$A$458:$O$482,8,0)*(HLOOKUP(R$594,'2.2.Brecha Efectiva x UdM'!$H$86:$AK$92,5,0))+(VLOOKUP($A614,$A$4:$O$27,8,0)*(HLOOKUP(R$594,'2.2.Brecha Efectiva x UdM'!$H$64:$AK$70,5,0))))</f>
        <v>0</v>
      </c>
      <c r="S614" s="31">
        <f>(VLOOKUP($A614,$A$458:$O$482,8,0)*(HLOOKUP(S$594,'2.2.Brecha Efectiva x UdM'!$H$86:$AK$92,5,0))+(VLOOKUP($A614,$A$4:$O$27,8,0)*(HLOOKUP(S$594,'2.2.Brecha Efectiva x UdM'!$H$64:$AK$70,5,0))))</f>
        <v>0</v>
      </c>
      <c r="T614" s="31">
        <f>(VLOOKUP($A614,$A$458:$O$482,8,0)*(HLOOKUP(T$594,'2.2.Brecha Efectiva x UdM'!$H$86:$AK$92,5,0))+(VLOOKUP($A614,$A$4:$O$27,8,0)*(HLOOKUP(T$594,'2.2.Brecha Efectiva x UdM'!$H$64:$AK$70,5,0))))</f>
        <v>0</v>
      </c>
      <c r="U614" s="31">
        <f>(VLOOKUP($A614,$A$458:$O$482,8,0)*(HLOOKUP(U$594,'2.2.Brecha Efectiva x UdM'!$H$86:$AK$92,5,0))+(VLOOKUP($A614,$A$4:$O$27,8,0)*(HLOOKUP(U$594,'2.2.Brecha Efectiva x UdM'!$H$64:$AK$70,5,0))))</f>
        <v>0</v>
      </c>
      <c r="V614" s="31">
        <f>(VLOOKUP($A614,$A$458:$O$482,8,0)*(HLOOKUP(V$594,'2.2.Brecha Efectiva x UdM'!$H$86:$AK$92,5,0))+(VLOOKUP($A614,$A$4:$O$27,8,0)*(HLOOKUP(V$594,'2.2.Brecha Efectiva x UdM'!$H$64:$AK$70,5,0))))</f>
        <v>0</v>
      </c>
      <c r="W614" s="31">
        <f>(VLOOKUP($A614,$A$458:$O$482,8,0)*(HLOOKUP(W$594,'2.2.Brecha Efectiva x UdM'!$H$86:$AK$92,5,0))+(VLOOKUP($A614,$A$4:$O$27,8,0)*(HLOOKUP(W$594,'2.2.Brecha Efectiva x UdM'!$H$64:$AK$70,5,0))))</f>
        <v>0</v>
      </c>
      <c r="X614" s="31">
        <f>(VLOOKUP($A614,$A$458:$O$482,8,0)*(HLOOKUP(X$594,'2.2.Brecha Efectiva x UdM'!$H$86:$AK$92,5,0))+(VLOOKUP($A614,$A$4:$O$27,8,0)*(HLOOKUP(X$594,'2.2.Brecha Efectiva x UdM'!$H$64:$AK$70,5,0))))</f>
        <v>0</v>
      </c>
      <c r="Y614" s="31">
        <f>(VLOOKUP($A614,$A$458:$O$482,8,0)*(HLOOKUP(Y$594,'2.2.Brecha Efectiva x UdM'!$H$86:$AK$92,5,0))+(VLOOKUP($A614,$A$4:$O$27,8,0)*(HLOOKUP(Y$594,'2.2.Brecha Efectiva x UdM'!$H$64:$AK$70,5,0))))</f>
        <v>0</v>
      </c>
      <c r="Z614" s="31">
        <f>(VLOOKUP($A614,$A$458:$O$482,8,0)*(HLOOKUP(Z$594,'2.2.Brecha Efectiva x UdM'!$H$86:$AK$92,5,0))+(VLOOKUP($A614,$A$4:$O$27,8,0)*(HLOOKUP(Z$594,'2.2.Brecha Efectiva x UdM'!$H$64:$AK$70,5,0))))</f>
        <v>0</v>
      </c>
      <c r="AA614" s="31">
        <f>(VLOOKUP($A614,$A$458:$O$482,8,0)*(HLOOKUP(AA$594,'2.2.Brecha Efectiva x UdM'!$H$86:$AK$92,5,0))+(VLOOKUP($A614,$A$4:$O$27,8,0)*(HLOOKUP(AA$594,'2.2.Brecha Efectiva x UdM'!$H$64:$AK$70,5,0))))</f>
        <v>0</v>
      </c>
      <c r="AB614" s="31">
        <f>(VLOOKUP($A614,$A$458:$O$482,8,0)*(HLOOKUP(AB$594,'2.2.Brecha Efectiva x UdM'!$H$86:$AK$92,5,0))+(VLOOKUP($A614,$A$4:$O$27,8,0)*(HLOOKUP(AB$594,'2.2.Brecha Efectiva x UdM'!$H$64:$AK$70,5,0))))</f>
        <v>0</v>
      </c>
      <c r="AC614" s="31">
        <f>(VLOOKUP($A614,$A$458:$O$482,8,0)*(HLOOKUP(AC$594,'2.2.Brecha Efectiva x UdM'!$H$86:$AK$92,5,0))+(VLOOKUP($A614,$A$4:$O$27,8,0)*(HLOOKUP(AC$594,'2.2.Brecha Efectiva x UdM'!$H$64:$AK$70,5,0))))</f>
        <v>0</v>
      </c>
      <c r="AD614" s="31">
        <f>(VLOOKUP($A614,$A$458:$O$482,8,0)*(HLOOKUP(AD$594,'2.2.Brecha Efectiva x UdM'!$H$86:$AK$92,5,0))+(VLOOKUP($A614,$A$4:$O$27,8,0)*(HLOOKUP(AD$594,'2.2.Brecha Efectiva x UdM'!$H$64:$AK$70,5,0))))</f>
        <v>0</v>
      </c>
      <c r="AE614" s="31">
        <f>(VLOOKUP($A614,$A$458:$O$482,8,0)*(HLOOKUP(AE$594,'2.2.Brecha Efectiva x UdM'!$H$86:$AK$92,5,0))+(VLOOKUP($A614,$A$4:$O$27,8,0)*(HLOOKUP(AE$594,'2.2.Brecha Efectiva x UdM'!$H$64:$AK$70,5,0))))</f>
        <v>0</v>
      </c>
      <c r="AF614" s="31">
        <f>(VLOOKUP($A614,$A$458:$O$482,8,0)*(HLOOKUP(AF$594,'2.2.Brecha Efectiva x UdM'!$H$86:$AK$92,5,0))+(VLOOKUP($A614,$A$4:$O$27,8,0)*(HLOOKUP(AF$594,'2.2.Brecha Efectiva x UdM'!$H$64:$AK$70,5,0))))</f>
        <v>0</v>
      </c>
      <c r="AG614" s="31">
        <f>(VLOOKUP($A614,$A$458:$O$482,8,0)*(HLOOKUP(AG$594,'2.2.Brecha Efectiva x UdM'!$H$86:$AK$92,5,0))+(VLOOKUP($A614,$A$4:$O$27,8,0)*(HLOOKUP(AG$594,'2.2.Brecha Efectiva x UdM'!$H$64:$AK$70,5,0))))</f>
        <v>0</v>
      </c>
      <c r="AH614" s="63">
        <f t="shared" si="571"/>
        <v>0</v>
      </c>
    </row>
    <row r="615" spans="1:34" hidden="1" x14ac:dyDescent="0.2">
      <c r="A615" s="25" t="str">
        <f t="shared" si="568"/>
        <v>Santa Fe</v>
      </c>
      <c r="B615" s="51">
        <f t="shared" si="569"/>
        <v>0</v>
      </c>
      <c r="C615" s="25" t="str">
        <f t="shared" si="570"/>
        <v>Santa Fe 0</v>
      </c>
      <c r="D615" s="32">
        <f>(VLOOKUP($A615,$A$458:$O$482,8,0)*(HLOOKUP(D$594,'2.2.Brecha Efectiva x UdM'!$H$86:$AK$92,5,0))+(VLOOKUP($A615,$A$4:$O$27,8,0)*(HLOOKUP(D$594,'2.2.Brecha Efectiva x UdM'!$H$64:$AK$70,5,0))))</f>
        <v>0</v>
      </c>
      <c r="E615" s="32">
        <f>(VLOOKUP($A615,$A$458:$O$482,8,0)*(HLOOKUP(E$594,'2.2.Brecha Efectiva x UdM'!$H$86:$AK$92,5,0))+(VLOOKUP($A615,$A$4:$O$27,8,0)*(HLOOKUP(E$594,'2.2.Brecha Efectiva x UdM'!$H$64:$AK$70,5,0))))</f>
        <v>0</v>
      </c>
      <c r="F615" s="32">
        <f>(VLOOKUP($A615,$A$458:$O$482,8,0)*(HLOOKUP(F$594,'2.2.Brecha Efectiva x UdM'!$H$86:$AK$92,5,0))+(VLOOKUP($A615,$A$4:$O$27,8,0)*(HLOOKUP(F$594,'2.2.Brecha Efectiva x UdM'!$H$64:$AK$70,5,0))))</f>
        <v>0</v>
      </c>
      <c r="G615" s="32">
        <f>(VLOOKUP($A615,$A$458:$O$482,8,0)*(HLOOKUP(G$594,'2.2.Brecha Efectiva x UdM'!$H$86:$AK$92,5,0))+(VLOOKUP($A615,$A$4:$O$27,8,0)*(HLOOKUP(G$594,'2.2.Brecha Efectiva x UdM'!$H$64:$AK$70,5,0))))</f>
        <v>0</v>
      </c>
      <c r="H615" s="32">
        <f>(VLOOKUP($A615,$A$458:$O$482,8,0)*(HLOOKUP(H$594,'2.2.Brecha Efectiva x UdM'!$H$86:$AK$92,5,0))+(VLOOKUP($A615,$A$4:$O$27,8,0)*(HLOOKUP(H$594,'2.2.Brecha Efectiva x UdM'!$H$64:$AK$70,5,0))))</f>
        <v>0</v>
      </c>
      <c r="I615" s="32">
        <f>(VLOOKUP($A615,$A$458:$O$482,8,0)*(HLOOKUP(I$594,'2.2.Brecha Efectiva x UdM'!$H$86:$AK$92,5,0))+(VLOOKUP($A615,$A$4:$O$27,8,0)*(HLOOKUP(I$594,'2.2.Brecha Efectiva x UdM'!$H$64:$AK$70,5,0))))</f>
        <v>0</v>
      </c>
      <c r="J615" s="32">
        <f>(VLOOKUP($A615,$A$458:$O$482,8,0)*(HLOOKUP(J$594,'2.2.Brecha Efectiva x UdM'!$H$86:$AK$92,5,0))+(VLOOKUP($A615,$A$4:$O$27,8,0)*(HLOOKUP(J$594,'2.2.Brecha Efectiva x UdM'!$H$64:$AK$70,5,0))))</f>
        <v>0</v>
      </c>
      <c r="K615" s="32">
        <f>(VLOOKUP($A615,$A$458:$O$482,8,0)*(HLOOKUP(K$594,'2.2.Brecha Efectiva x UdM'!$H$86:$AK$92,5,0))+(VLOOKUP($A615,$A$4:$O$27,8,0)*(HLOOKUP(K$594,'2.2.Brecha Efectiva x UdM'!$H$64:$AK$70,5,0))))</f>
        <v>0</v>
      </c>
      <c r="L615" s="32">
        <f>(VLOOKUP($A615,$A$458:$O$482,8,0)*(HLOOKUP(L$594,'2.2.Brecha Efectiva x UdM'!$H$86:$AK$92,5,0))+(VLOOKUP($A615,$A$4:$O$27,8,0)*(HLOOKUP(L$594,'2.2.Brecha Efectiva x UdM'!$H$64:$AK$70,5,0))))</f>
        <v>0</v>
      </c>
      <c r="M615" s="32">
        <f>(VLOOKUP($A615,$A$458:$O$482,8,0)*(HLOOKUP(M$594,'2.2.Brecha Efectiva x UdM'!$H$86:$AK$92,5,0))+(VLOOKUP($A615,$A$4:$O$27,8,0)*(HLOOKUP(M$594,'2.2.Brecha Efectiva x UdM'!$H$64:$AK$70,5,0))))</f>
        <v>0</v>
      </c>
      <c r="N615" s="32">
        <f>(VLOOKUP($A615,$A$458:$O$482,8,0)*(HLOOKUP(N$594,'2.2.Brecha Efectiva x UdM'!$H$86:$AK$92,5,0))+(VLOOKUP($A615,$A$4:$O$27,8,0)*(HLOOKUP(N$594,'2.2.Brecha Efectiva x UdM'!$H$64:$AK$70,5,0))))</f>
        <v>0</v>
      </c>
      <c r="O615" s="32">
        <f>(VLOOKUP($A615,$A$458:$O$482,8,0)*(HLOOKUP(O$594,'2.2.Brecha Efectiva x UdM'!$H$86:$AK$92,5,0))+(VLOOKUP($A615,$A$4:$O$27,8,0)*(HLOOKUP(O$594,'2.2.Brecha Efectiva x UdM'!$H$64:$AK$70,5,0))))</f>
        <v>0</v>
      </c>
      <c r="P615" s="32">
        <f>(VLOOKUP($A615,$A$458:$O$482,8,0)*(HLOOKUP(P$594,'2.2.Brecha Efectiva x UdM'!$H$86:$AK$92,5,0))+(VLOOKUP($A615,$A$4:$O$27,8,0)*(HLOOKUP(P$594,'2.2.Brecha Efectiva x UdM'!$H$64:$AK$70,5,0))))</f>
        <v>0</v>
      </c>
      <c r="Q615" s="32">
        <f>(VLOOKUP($A615,$A$458:$O$482,8,0)*(HLOOKUP(Q$594,'2.2.Brecha Efectiva x UdM'!$H$86:$AK$92,5,0))+(VLOOKUP($A615,$A$4:$O$27,8,0)*(HLOOKUP(Q$594,'2.2.Brecha Efectiva x UdM'!$H$64:$AK$70,5,0))))</f>
        <v>0</v>
      </c>
      <c r="R615" s="32">
        <f>(VLOOKUP($A615,$A$458:$O$482,8,0)*(HLOOKUP(R$594,'2.2.Brecha Efectiva x UdM'!$H$86:$AK$92,5,0))+(VLOOKUP($A615,$A$4:$O$27,8,0)*(HLOOKUP(R$594,'2.2.Brecha Efectiva x UdM'!$H$64:$AK$70,5,0))))</f>
        <v>0</v>
      </c>
      <c r="S615" s="32">
        <f>(VLOOKUP($A615,$A$458:$O$482,8,0)*(HLOOKUP(S$594,'2.2.Brecha Efectiva x UdM'!$H$86:$AK$92,5,0))+(VLOOKUP($A615,$A$4:$O$27,8,0)*(HLOOKUP(S$594,'2.2.Brecha Efectiva x UdM'!$H$64:$AK$70,5,0))))</f>
        <v>0</v>
      </c>
      <c r="T615" s="32">
        <f>(VLOOKUP($A615,$A$458:$O$482,8,0)*(HLOOKUP(T$594,'2.2.Brecha Efectiva x UdM'!$H$86:$AK$92,5,0))+(VLOOKUP($A615,$A$4:$O$27,8,0)*(HLOOKUP(T$594,'2.2.Brecha Efectiva x UdM'!$H$64:$AK$70,5,0))))</f>
        <v>0</v>
      </c>
      <c r="U615" s="32">
        <f>(VLOOKUP($A615,$A$458:$O$482,8,0)*(HLOOKUP(U$594,'2.2.Brecha Efectiva x UdM'!$H$86:$AK$92,5,0))+(VLOOKUP($A615,$A$4:$O$27,8,0)*(HLOOKUP(U$594,'2.2.Brecha Efectiva x UdM'!$H$64:$AK$70,5,0))))</f>
        <v>0</v>
      </c>
      <c r="V615" s="32">
        <f>(VLOOKUP($A615,$A$458:$O$482,8,0)*(HLOOKUP(V$594,'2.2.Brecha Efectiva x UdM'!$H$86:$AK$92,5,0))+(VLOOKUP($A615,$A$4:$O$27,8,0)*(HLOOKUP(V$594,'2.2.Brecha Efectiva x UdM'!$H$64:$AK$70,5,0))))</f>
        <v>0</v>
      </c>
      <c r="W615" s="32">
        <f>(VLOOKUP($A615,$A$458:$O$482,8,0)*(HLOOKUP(W$594,'2.2.Brecha Efectiva x UdM'!$H$86:$AK$92,5,0))+(VLOOKUP($A615,$A$4:$O$27,8,0)*(HLOOKUP(W$594,'2.2.Brecha Efectiva x UdM'!$H$64:$AK$70,5,0))))</f>
        <v>0</v>
      </c>
      <c r="X615" s="32">
        <f>(VLOOKUP($A615,$A$458:$O$482,8,0)*(HLOOKUP(X$594,'2.2.Brecha Efectiva x UdM'!$H$86:$AK$92,5,0))+(VLOOKUP($A615,$A$4:$O$27,8,0)*(HLOOKUP(X$594,'2.2.Brecha Efectiva x UdM'!$H$64:$AK$70,5,0))))</f>
        <v>0</v>
      </c>
      <c r="Y615" s="32">
        <f>(VLOOKUP($A615,$A$458:$O$482,8,0)*(HLOOKUP(Y$594,'2.2.Brecha Efectiva x UdM'!$H$86:$AK$92,5,0))+(VLOOKUP($A615,$A$4:$O$27,8,0)*(HLOOKUP(Y$594,'2.2.Brecha Efectiva x UdM'!$H$64:$AK$70,5,0))))</f>
        <v>0</v>
      </c>
      <c r="Z615" s="32">
        <f>(VLOOKUP($A615,$A$458:$O$482,8,0)*(HLOOKUP(Z$594,'2.2.Brecha Efectiva x UdM'!$H$86:$AK$92,5,0))+(VLOOKUP($A615,$A$4:$O$27,8,0)*(HLOOKUP(Z$594,'2.2.Brecha Efectiva x UdM'!$H$64:$AK$70,5,0))))</f>
        <v>0</v>
      </c>
      <c r="AA615" s="32">
        <f>(VLOOKUP($A615,$A$458:$O$482,8,0)*(HLOOKUP(AA$594,'2.2.Brecha Efectiva x UdM'!$H$86:$AK$92,5,0))+(VLOOKUP($A615,$A$4:$O$27,8,0)*(HLOOKUP(AA$594,'2.2.Brecha Efectiva x UdM'!$H$64:$AK$70,5,0))))</f>
        <v>0</v>
      </c>
      <c r="AB615" s="32">
        <f>(VLOOKUP($A615,$A$458:$O$482,8,0)*(HLOOKUP(AB$594,'2.2.Brecha Efectiva x UdM'!$H$86:$AK$92,5,0))+(VLOOKUP($A615,$A$4:$O$27,8,0)*(HLOOKUP(AB$594,'2.2.Brecha Efectiva x UdM'!$H$64:$AK$70,5,0))))</f>
        <v>0</v>
      </c>
      <c r="AC615" s="32">
        <f>(VLOOKUP($A615,$A$458:$O$482,8,0)*(HLOOKUP(AC$594,'2.2.Brecha Efectiva x UdM'!$H$86:$AK$92,5,0))+(VLOOKUP($A615,$A$4:$O$27,8,0)*(HLOOKUP(AC$594,'2.2.Brecha Efectiva x UdM'!$H$64:$AK$70,5,0))))</f>
        <v>0</v>
      </c>
      <c r="AD615" s="32">
        <f>(VLOOKUP($A615,$A$458:$O$482,8,0)*(HLOOKUP(AD$594,'2.2.Brecha Efectiva x UdM'!$H$86:$AK$92,5,0))+(VLOOKUP($A615,$A$4:$O$27,8,0)*(HLOOKUP(AD$594,'2.2.Brecha Efectiva x UdM'!$H$64:$AK$70,5,0))))</f>
        <v>0</v>
      </c>
      <c r="AE615" s="32">
        <f>(VLOOKUP($A615,$A$458:$O$482,8,0)*(HLOOKUP(AE$594,'2.2.Brecha Efectiva x UdM'!$H$86:$AK$92,5,0))+(VLOOKUP($A615,$A$4:$O$27,8,0)*(HLOOKUP(AE$594,'2.2.Brecha Efectiva x UdM'!$H$64:$AK$70,5,0))))</f>
        <v>0</v>
      </c>
      <c r="AF615" s="32">
        <f>(VLOOKUP($A615,$A$458:$O$482,8,0)*(HLOOKUP(AF$594,'2.2.Brecha Efectiva x UdM'!$H$86:$AK$92,5,0))+(VLOOKUP($A615,$A$4:$O$27,8,0)*(HLOOKUP(AF$594,'2.2.Brecha Efectiva x UdM'!$H$64:$AK$70,5,0))))</f>
        <v>0</v>
      </c>
      <c r="AG615" s="32">
        <f>(VLOOKUP($A615,$A$458:$O$482,8,0)*(HLOOKUP(AG$594,'2.2.Brecha Efectiva x UdM'!$H$86:$AK$92,5,0))+(VLOOKUP($A615,$A$4:$O$27,8,0)*(HLOOKUP(AG$594,'2.2.Brecha Efectiva x UdM'!$H$64:$AK$70,5,0))))</f>
        <v>0</v>
      </c>
      <c r="AH615" s="62">
        <f t="shared" si="571"/>
        <v>0</v>
      </c>
    </row>
    <row r="616" spans="1:34" hidden="1" x14ac:dyDescent="0.2">
      <c r="A616" s="26" t="str">
        <f t="shared" si="568"/>
        <v>Santiago del Estero</v>
      </c>
      <c r="B616" s="52">
        <f t="shared" si="569"/>
        <v>0</v>
      </c>
      <c r="C616" s="26" t="str">
        <f t="shared" si="570"/>
        <v>Santiago del Estero 0</v>
      </c>
      <c r="D616" s="31">
        <f>(VLOOKUP($A616,$A$458:$O$482,8,0)*(HLOOKUP(D$594,'2.2.Brecha Efectiva x UdM'!$H$86:$AK$92,5,0))+(VLOOKUP($A616,$A$4:$O$27,8,0)*(HLOOKUP(D$594,'2.2.Brecha Efectiva x UdM'!$H$64:$AK$70,5,0))))</f>
        <v>0</v>
      </c>
      <c r="E616" s="31">
        <f>(VLOOKUP($A616,$A$458:$O$482,8,0)*(HLOOKUP(E$594,'2.2.Brecha Efectiva x UdM'!$H$86:$AK$92,5,0))+(VLOOKUP($A616,$A$4:$O$27,8,0)*(HLOOKUP(E$594,'2.2.Brecha Efectiva x UdM'!$H$64:$AK$70,5,0))))</f>
        <v>0</v>
      </c>
      <c r="F616" s="31">
        <f>(VLOOKUP($A616,$A$458:$O$482,8,0)*(HLOOKUP(F$594,'2.2.Brecha Efectiva x UdM'!$H$86:$AK$92,5,0))+(VLOOKUP($A616,$A$4:$O$27,8,0)*(HLOOKUP(F$594,'2.2.Brecha Efectiva x UdM'!$H$64:$AK$70,5,0))))</f>
        <v>0</v>
      </c>
      <c r="G616" s="31">
        <f>(VLOOKUP($A616,$A$458:$O$482,8,0)*(HLOOKUP(G$594,'2.2.Brecha Efectiva x UdM'!$H$86:$AK$92,5,0))+(VLOOKUP($A616,$A$4:$O$27,8,0)*(HLOOKUP(G$594,'2.2.Brecha Efectiva x UdM'!$H$64:$AK$70,5,0))))</f>
        <v>0</v>
      </c>
      <c r="H616" s="31">
        <f>(VLOOKUP($A616,$A$458:$O$482,8,0)*(HLOOKUP(H$594,'2.2.Brecha Efectiva x UdM'!$H$86:$AK$92,5,0))+(VLOOKUP($A616,$A$4:$O$27,8,0)*(HLOOKUP(H$594,'2.2.Brecha Efectiva x UdM'!$H$64:$AK$70,5,0))))</f>
        <v>0</v>
      </c>
      <c r="I616" s="31">
        <f>(VLOOKUP($A616,$A$458:$O$482,8,0)*(HLOOKUP(I$594,'2.2.Brecha Efectiva x UdM'!$H$86:$AK$92,5,0))+(VLOOKUP($A616,$A$4:$O$27,8,0)*(HLOOKUP(I$594,'2.2.Brecha Efectiva x UdM'!$H$64:$AK$70,5,0))))</f>
        <v>0</v>
      </c>
      <c r="J616" s="31">
        <f>(VLOOKUP($A616,$A$458:$O$482,8,0)*(HLOOKUP(J$594,'2.2.Brecha Efectiva x UdM'!$H$86:$AK$92,5,0))+(VLOOKUP($A616,$A$4:$O$27,8,0)*(HLOOKUP(J$594,'2.2.Brecha Efectiva x UdM'!$H$64:$AK$70,5,0))))</f>
        <v>0</v>
      </c>
      <c r="K616" s="31">
        <f>(VLOOKUP($A616,$A$458:$O$482,8,0)*(HLOOKUP(K$594,'2.2.Brecha Efectiva x UdM'!$H$86:$AK$92,5,0))+(VLOOKUP($A616,$A$4:$O$27,8,0)*(HLOOKUP(K$594,'2.2.Brecha Efectiva x UdM'!$H$64:$AK$70,5,0))))</f>
        <v>0</v>
      </c>
      <c r="L616" s="31">
        <f>(VLOOKUP($A616,$A$458:$O$482,8,0)*(HLOOKUP(L$594,'2.2.Brecha Efectiva x UdM'!$H$86:$AK$92,5,0))+(VLOOKUP($A616,$A$4:$O$27,8,0)*(HLOOKUP(L$594,'2.2.Brecha Efectiva x UdM'!$H$64:$AK$70,5,0))))</f>
        <v>0</v>
      </c>
      <c r="M616" s="31">
        <f>(VLOOKUP($A616,$A$458:$O$482,8,0)*(HLOOKUP(M$594,'2.2.Brecha Efectiva x UdM'!$H$86:$AK$92,5,0))+(VLOOKUP($A616,$A$4:$O$27,8,0)*(HLOOKUP(M$594,'2.2.Brecha Efectiva x UdM'!$H$64:$AK$70,5,0))))</f>
        <v>0</v>
      </c>
      <c r="N616" s="31">
        <f>(VLOOKUP($A616,$A$458:$O$482,8,0)*(HLOOKUP(N$594,'2.2.Brecha Efectiva x UdM'!$H$86:$AK$92,5,0))+(VLOOKUP($A616,$A$4:$O$27,8,0)*(HLOOKUP(N$594,'2.2.Brecha Efectiva x UdM'!$H$64:$AK$70,5,0))))</f>
        <v>0</v>
      </c>
      <c r="O616" s="31">
        <f>(VLOOKUP($A616,$A$458:$O$482,8,0)*(HLOOKUP(O$594,'2.2.Brecha Efectiva x UdM'!$H$86:$AK$92,5,0))+(VLOOKUP($A616,$A$4:$O$27,8,0)*(HLOOKUP(O$594,'2.2.Brecha Efectiva x UdM'!$H$64:$AK$70,5,0))))</f>
        <v>0</v>
      </c>
      <c r="P616" s="31">
        <f>(VLOOKUP($A616,$A$458:$O$482,8,0)*(HLOOKUP(P$594,'2.2.Brecha Efectiva x UdM'!$H$86:$AK$92,5,0))+(VLOOKUP($A616,$A$4:$O$27,8,0)*(HLOOKUP(P$594,'2.2.Brecha Efectiva x UdM'!$H$64:$AK$70,5,0))))</f>
        <v>0</v>
      </c>
      <c r="Q616" s="31">
        <f>(VLOOKUP($A616,$A$458:$O$482,8,0)*(HLOOKUP(Q$594,'2.2.Brecha Efectiva x UdM'!$H$86:$AK$92,5,0))+(VLOOKUP($A616,$A$4:$O$27,8,0)*(HLOOKUP(Q$594,'2.2.Brecha Efectiva x UdM'!$H$64:$AK$70,5,0))))</f>
        <v>0</v>
      </c>
      <c r="R616" s="31">
        <f>(VLOOKUP($A616,$A$458:$O$482,8,0)*(HLOOKUP(R$594,'2.2.Brecha Efectiva x UdM'!$H$86:$AK$92,5,0))+(VLOOKUP($A616,$A$4:$O$27,8,0)*(HLOOKUP(R$594,'2.2.Brecha Efectiva x UdM'!$H$64:$AK$70,5,0))))</f>
        <v>0</v>
      </c>
      <c r="S616" s="31">
        <f>(VLOOKUP($A616,$A$458:$O$482,8,0)*(HLOOKUP(S$594,'2.2.Brecha Efectiva x UdM'!$H$86:$AK$92,5,0))+(VLOOKUP($A616,$A$4:$O$27,8,0)*(HLOOKUP(S$594,'2.2.Brecha Efectiva x UdM'!$H$64:$AK$70,5,0))))</f>
        <v>0</v>
      </c>
      <c r="T616" s="31">
        <f>(VLOOKUP($A616,$A$458:$O$482,8,0)*(HLOOKUP(T$594,'2.2.Brecha Efectiva x UdM'!$H$86:$AK$92,5,0))+(VLOOKUP($A616,$A$4:$O$27,8,0)*(HLOOKUP(T$594,'2.2.Brecha Efectiva x UdM'!$H$64:$AK$70,5,0))))</f>
        <v>0</v>
      </c>
      <c r="U616" s="31">
        <f>(VLOOKUP($A616,$A$458:$O$482,8,0)*(HLOOKUP(U$594,'2.2.Brecha Efectiva x UdM'!$H$86:$AK$92,5,0))+(VLOOKUP($A616,$A$4:$O$27,8,0)*(HLOOKUP(U$594,'2.2.Brecha Efectiva x UdM'!$H$64:$AK$70,5,0))))</f>
        <v>0</v>
      </c>
      <c r="V616" s="31">
        <f>(VLOOKUP($A616,$A$458:$O$482,8,0)*(HLOOKUP(V$594,'2.2.Brecha Efectiva x UdM'!$H$86:$AK$92,5,0))+(VLOOKUP($A616,$A$4:$O$27,8,0)*(HLOOKUP(V$594,'2.2.Brecha Efectiva x UdM'!$H$64:$AK$70,5,0))))</f>
        <v>0</v>
      </c>
      <c r="W616" s="31">
        <f>(VLOOKUP($A616,$A$458:$O$482,8,0)*(HLOOKUP(W$594,'2.2.Brecha Efectiva x UdM'!$H$86:$AK$92,5,0))+(VLOOKUP($A616,$A$4:$O$27,8,0)*(HLOOKUP(W$594,'2.2.Brecha Efectiva x UdM'!$H$64:$AK$70,5,0))))</f>
        <v>0</v>
      </c>
      <c r="X616" s="31">
        <f>(VLOOKUP($A616,$A$458:$O$482,8,0)*(HLOOKUP(X$594,'2.2.Brecha Efectiva x UdM'!$H$86:$AK$92,5,0))+(VLOOKUP($A616,$A$4:$O$27,8,0)*(HLOOKUP(X$594,'2.2.Brecha Efectiva x UdM'!$H$64:$AK$70,5,0))))</f>
        <v>0</v>
      </c>
      <c r="Y616" s="31">
        <f>(VLOOKUP($A616,$A$458:$O$482,8,0)*(HLOOKUP(Y$594,'2.2.Brecha Efectiva x UdM'!$H$86:$AK$92,5,0))+(VLOOKUP($A616,$A$4:$O$27,8,0)*(HLOOKUP(Y$594,'2.2.Brecha Efectiva x UdM'!$H$64:$AK$70,5,0))))</f>
        <v>0</v>
      </c>
      <c r="Z616" s="31">
        <f>(VLOOKUP($A616,$A$458:$O$482,8,0)*(HLOOKUP(Z$594,'2.2.Brecha Efectiva x UdM'!$H$86:$AK$92,5,0))+(VLOOKUP($A616,$A$4:$O$27,8,0)*(HLOOKUP(Z$594,'2.2.Brecha Efectiva x UdM'!$H$64:$AK$70,5,0))))</f>
        <v>0</v>
      </c>
      <c r="AA616" s="31">
        <f>(VLOOKUP($A616,$A$458:$O$482,8,0)*(HLOOKUP(AA$594,'2.2.Brecha Efectiva x UdM'!$H$86:$AK$92,5,0))+(VLOOKUP($A616,$A$4:$O$27,8,0)*(HLOOKUP(AA$594,'2.2.Brecha Efectiva x UdM'!$H$64:$AK$70,5,0))))</f>
        <v>0</v>
      </c>
      <c r="AB616" s="31">
        <f>(VLOOKUP($A616,$A$458:$O$482,8,0)*(HLOOKUP(AB$594,'2.2.Brecha Efectiva x UdM'!$H$86:$AK$92,5,0))+(VLOOKUP($A616,$A$4:$O$27,8,0)*(HLOOKUP(AB$594,'2.2.Brecha Efectiva x UdM'!$H$64:$AK$70,5,0))))</f>
        <v>0</v>
      </c>
      <c r="AC616" s="31">
        <f>(VLOOKUP($A616,$A$458:$O$482,8,0)*(HLOOKUP(AC$594,'2.2.Brecha Efectiva x UdM'!$H$86:$AK$92,5,0))+(VLOOKUP($A616,$A$4:$O$27,8,0)*(HLOOKUP(AC$594,'2.2.Brecha Efectiva x UdM'!$H$64:$AK$70,5,0))))</f>
        <v>0</v>
      </c>
      <c r="AD616" s="31">
        <f>(VLOOKUP($A616,$A$458:$O$482,8,0)*(HLOOKUP(AD$594,'2.2.Brecha Efectiva x UdM'!$H$86:$AK$92,5,0))+(VLOOKUP($A616,$A$4:$O$27,8,0)*(HLOOKUP(AD$594,'2.2.Brecha Efectiva x UdM'!$H$64:$AK$70,5,0))))</f>
        <v>0</v>
      </c>
      <c r="AE616" s="31">
        <f>(VLOOKUP($A616,$A$458:$O$482,8,0)*(HLOOKUP(AE$594,'2.2.Brecha Efectiva x UdM'!$H$86:$AK$92,5,0))+(VLOOKUP($A616,$A$4:$O$27,8,0)*(HLOOKUP(AE$594,'2.2.Brecha Efectiva x UdM'!$H$64:$AK$70,5,0))))</f>
        <v>0</v>
      </c>
      <c r="AF616" s="31">
        <f>(VLOOKUP($A616,$A$458:$O$482,8,0)*(HLOOKUP(AF$594,'2.2.Brecha Efectiva x UdM'!$H$86:$AK$92,5,0))+(VLOOKUP($A616,$A$4:$O$27,8,0)*(HLOOKUP(AF$594,'2.2.Brecha Efectiva x UdM'!$H$64:$AK$70,5,0))))</f>
        <v>0</v>
      </c>
      <c r="AG616" s="31">
        <f>(VLOOKUP($A616,$A$458:$O$482,8,0)*(HLOOKUP(AG$594,'2.2.Brecha Efectiva x UdM'!$H$86:$AK$92,5,0))+(VLOOKUP($A616,$A$4:$O$27,8,0)*(HLOOKUP(AG$594,'2.2.Brecha Efectiva x UdM'!$H$64:$AK$70,5,0))))</f>
        <v>0</v>
      </c>
      <c r="AH616" s="63">
        <f t="shared" si="571"/>
        <v>0</v>
      </c>
    </row>
    <row r="617" spans="1:34" hidden="1" x14ac:dyDescent="0.2">
      <c r="A617" s="25" t="str">
        <f t="shared" si="568"/>
        <v>Tierra del Fuego</v>
      </c>
      <c r="B617" s="51">
        <f t="shared" si="569"/>
        <v>0</v>
      </c>
      <c r="C617" s="25" t="str">
        <f t="shared" si="570"/>
        <v>Tierra del Fuego 0</v>
      </c>
      <c r="D617" s="32">
        <f>(VLOOKUP($A617,$A$458:$O$482,8,0)*(HLOOKUP(D$594,'2.2.Brecha Efectiva x UdM'!$H$86:$AK$92,5,0))+(VLOOKUP($A617,$A$4:$O$27,8,0)*(HLOOKUP(D$594,'2.2.Brecha Efectiva x UdM'!$H$64:$AK$70,5,0))))</f>
        <v>0</v>
      </c>
      <c r="E617" s="32">
        <f>(VLOOKUP($A617,$A$458:$O$482,8,0)*(HLOOKUP(E$594,'2.2.Brecha Efectiva x UdM'!$H$86:$AK$92,5,0))+(VLOOKUP($A617,$A$4:$O$27,8,0)*(HLOOKUP(E$594,'2.2.Brecha Efectiva x UdM'!$H$64:$AK$70,5,0))))</f>
        <v>0</v>
      </c>
      <c r="F617" s="32">
        <f>(VLOOKUP($A617,$A$458:$O$482,8,0)*(HLOOKUP(F$594,'2.2.Brecha Efectiva x UdM'!$H$86:$AK$92,5,0))+(VLOOKUP($A617,$A$4:$O$27,8,0)*(HLOOKUP(F$594,'2.2.Brecha Efectiva x UdM'!$H$64:$AK$70,5,0))))</f>
        <v>0</v>
      </c>
      <c r="G617" s="32">
        <f>(VLOOKUP($A617,$A$458:$O$482,8,0)*(HLOOKUP(G$594,'2.2.Brecha Efectiva x UdM'!$H$86:$AK$92,5,0))+(VLOOKUP($A617,$A$4:$O$27,8,0)*(HLOOKUP(G$594,'2.2.Brecha Efectiva x UdM'!$H$64:$AK$70,5,0))))</f>
        <v>0</v>
      </c>
      <c r="H617" s="32">
        <f>(VLOOKUP($A617,$A$458:$O$482,8,0)*(HLOOKUP(H$594,'2.2.Brecha Efectiva x UdM'!$H$86:$AK$92,5,0))+(VLOOKUP($A617,$A$4:$O$27,8,0)*(HLOOKUP(H$594,'2.2.Brecha Efectiva x UdM'!$H$64:$AK$70,5,0))))</f>
        <v>0</v>
      </c>
      <c r="I617" s="32">
        <f>(VLOOKUP($A617,$A$458:$O$482,8,0)*(HLOOKUP(I$594,'2.2.Brecha Efectiva x UdM'!$H$86:$AK$92,5,0))+(VLOOKUP($A617,$A$4:$O$27,8,0)*(HLOOKUP(I$594,'2.2.Brecha Efectiva x UdM'!$H$64:$AK$70,5,0))))</f>
        <v>0</v>
      </c>
      <c r="J617" s="32">
        <f>(VLOOKUP($A617,$A$458:$O$482,8,0)*(HLOOKUP(J$594,'2.2.Brecha Efectiva x UdM'!$H$86:$AK$92,5,0))+(VLOOKUP($A617,$A$4:$O$27,8,0)*(HLOOKUP(J$594,'2.2.Brecha Efectiva x UdM'!$H$64:$AK$70,5,0))))</f>
        <v>0</v>
      </c>
      <c r="K617" s="32">
        <f>(VLOOKUP($A617,$A$458:$O$482,8,0)*(HLOOKUP(K$594,'2.2.Brecha Efectiva x UdM'!$H$86:$AK$92,5,0))+(VLOOKUP($A617,$A$4:$O$27,8,0)*(HLOOKUP(K$594,'2.2.Brecha Efectiva x UdM'!$H$64:$AK$70,5,0))))</f>
        <v>0</v>
      </c>
      <c r="L617" s="32">
        <f>(VLOOKUP($A617,$A$458:$O$482,8,0)*(HLOOKUP(L$594,'2.2.Brecha Efectiva x UdM'!$H$86:$AK$92,5,0))+(VLOOKUP($A617,$A$4:$O$27,8,0)*(HLOOKUP(L$594,'2.2.Brecha Efectiva x UdM'!$H$64:$AK$70,5,0))))</f>
        <v>0</v>
      </c>
      <c r="M617" s="32">
        <f>(VLOOKUP($A617,$A$458:$O$482,8,0)*(HLOOKUP(M$594,'2.2.Brecha Efectiva x UdM'!$H$86:$AK$92,5,0))+(VLOOKUP($A617,$A$4:$O$27,8,0)*(HLOOKUP(M$594,'2.2.Brecha Efectiva x UdM'!$H$64:$AK$70,5,0))))</f>
        <v>0</v>
      </c>
      <c r="N617" s="32">
        <f>(VLOOKUP($A617,$A$458:$O$482,8,0)*(HLOOKUP(N$594,'2.2.Brecha Efectiva x UdM'!$H$86:$AK$92,5,0))+(VLOOKUP($A617,$A$4:$O$27,8,0)*(HLOOKUP(N$594,'2.2.Brecha Efectiva x UdM'!$H$64:$AK$70,5,0))))</f>
        <v>0</v>
      </c>
      <c r="O617" s="32">
        <f>(VLOOKUP($A617,$A$458:$O$482,8,0)*(HLOOKUP(O$594,'2.2.Brecha Efectiva x UdM'!$H$86:$AK$92,5,0))+(VLOOKUP($A617,$A$4:$O$27,8,0)*(HLOOKUP(O$594,'2.2.Brecha Efectiva x UdM'!$H$64:$AK$70,5,0))))</f>
        <v>0</v>
      </c>
      <c r="P617" s="32">
        <f>(VLOOKUP($A617,$A$458:$O$482,8,0)*(HLOOKUP(P$594,'2.2.Brecha Efectiva x UdM'!$H$86:$AK$92,5,0))+(VLOOKUP($A617,$A$4:$O$27,8,0)*(HLOOKUP(P$594,'2.2.Brecha Efectiva x UdM'!$H$64:$AK$70,5,0))))</f>
        <v>0</v>
      </c>
      <c r="Q617" s="32">
        <f>(VLOOKUP($A617,$A$458:$O$482,8,0)*(HLOOKUP(Q$594,'2.2.Brecha Efectiva x UdM'!$H$86:$AK$92,5,0))+(VLOOKUP($A617,$A$4:$O$27,8,0)*(HLOOKUP(Q$594,'2.2.Brecha Efectiva x UdM'!$H$64:$AK$70,5,0))))</f>
        <v>0</v>
      </c>
      <c r="R617" s="32">
        <f>(VLOOKUP($A617,$A$458:$O$482,8,0)*(HLOOKUP(R$594,'2.2.Brecha Efectiva x UdM'!$H$86:$AK$92,5,0))+(VLOOKUP($A617,$A$4:$O$27,8,0)*(HLOOKUP(R$594,'2.2.Brecha Efectiva x UdM'!$H$64:$AK$70,5,0))))</f>
        <v>0</v>
      </c>
      <c r="S617" s="32">
        <f>(VLOOKUP($A617,$A$458:$O$482,8,0)*(HLOOKUP(S$594,'2.2.Brecha Efectiva x UdM'!$H$86:$AK$92,5,0))+(VLOOKUP($A617,$A$4:$O$27,8,0)*(HLOOKUP(S$594,'2.2.Brecha Efectiva x UdM'!$H$64:$AK$70,5,0))))</f>
        <v>0</v>
      </c>
      <c r="T617" s="32">
        <f>(VLOOKUP($A617,$A$458:$O$482,8,0)*(HLOOKUP(T$594,'2.2.Brecha Efectiva x UdM'!$H$86:$AK$92,5,0))+(VLOOKUP($A617,$A$4:$O$27,8,0)*(HLOOKUP(T$594,'2.2.Brecha Efectiva x UdM'!$H$64:$AK$70,5,0))))</f>
        <v>0</v>
      </c>
      <c r="U617" s="32">
        <f>(VLOOKUP($A617,$A$458:$O$482,8,0)*(HLOOKUP(U$594,'2.2.Brecha Efectiva x UdM'!$H$86:$AK$92,5,0))+(VLOOKUP($A617,$A$4:$O$27,8,0)*(HLOOKUP(U$594,'2.2.Brecha Efectiva x UdM'!$H$64:$AK$70,5,0))))</f>
        <v>0</v>
      </c>
      <c r="V617" s="32">
        <f>(VLOOKUP($A617,$A$458:$O$482,8,0)*(HLOOKUP(V$594,'2.2.Brecha Efectiva x UdM'!$H$86:$AK$92,5,0))+(VLOOKUP($A617,$A$4:$O$27,8,0)*(HLOOKUP(V$594,'2.2.Brecha Efectiva x UdM'!$H$64:$AK$70,5,0))))</f>
        <v>0</v>
      </c>
      <c r="W617" s="32">
        <f>(VLOOKUP($A617,$A$458:$O$482,8,0)*(HLOOKUP(W$594,'2.2.Brecha Efectiva x UdM'!$H$86:$AK$92,5,0))+(VLOOKUP($A617,$A$4:$O$27,8,0)*(HLOOKUP(W$594,'2.2.Brecha Efectiva x UdM'!$H$64:$AK$70,5,0))))</f>
        <v>0</v>
      </c>
      <c r="X617" s="32">
        <f>(VLOOKUP($A617,$A$458:$O$482,8,0)*(HLOOKUP(X$594,'2.2.Brecha Efectiva x UdM'!$H$86:$AK$92,5,0))+(VLOOKUP($A617,$A$4:$O$27,8,0)*(HLOOKUP(X$594,'2.2.Brecha Efectiva x UdM'!$H$64:$AK$70,5,0))))</f>
        <v>0</v>
      </c>
      <c r="Y617" s="32">
        <f>(VLOOKUP($A617,$A$458:$O$482,8,0)*(HLOOKUP(Y$594,'2.2.Brecha Efectiva x UdM'!$H$86:$AK$92,5,0))+(VLOOKUP($A617,$A$4:$O$27,8,0)*(HLOOKUP(Y$594,'2.2.Brecha Efectiva x UdM'!$H$64:$AK$70,5,0))))</f>
        <v>0</v>
      </c>
      <c r="Z617" s="32">
        <f>(VLOOKUP($A617,$A$458:$O$482,8,0)*(HLOOKUP(Z$594,'2.2.Brecha Efectiva x UdM'!$H$86:$AK$92,5,0))+(VLOOKUP($A617,$A$4:$O$27,8,0)*(HLOOKUP(Z$594,'2.2.Brecha Efectiva x UdM'!$H$64:$AK$70,5,0))))</f>
        <v>0</v>
      </c>
      <c r="AA617" s="32">
        <f>(VLOOKUP($A617,$A$458:$O$482,8,0)*(HLOOKUP(AA$594,'2.2.Brecha Efectiva x UdM'!$H$86:$AK$92,5,0))+(VLOOKUP($A617,$A$4:$O$27,8,0)*(HLOOKUP(AA$594,'2.2.Brecha Efectiva x UdM'!$H$64:$AK$70,5,0))))</f>
        <v>0</v>
      </c>
      <c r="AB617" s="32">
        <f>(VLOOKUP($A617,$A$458:$O$482,8,0)*(HLOOKUP(AB$594,'2.2.Brecha Efectiva x UdM'!$H$86:$AK$92,5,0))+(VLOOKUP($A617,$A$4:$O$27,8,0)*(HLOOKUP(AB$594,'2.2.Brecha Efectiva x UdM'!$H$64:$AK$70,5,0))))</f>
        <v>0</v>
      </c>
      <c r="AC617" s="32">
        <f>(VLOOKUP($A617,$A$458:$O$482,8,0)*(HLOOKUP(AC$594,'2.2.Brecha Efectiva x UdM'!$H$86:$AK$92,5,0))+(VLOOKUP($A617,$A$4:$O$27,8,0)*(HLOOKUP(AC$594,'2.2.Brecha Efectiva x UdM'!$H$64:$AK$70,5,0))))</f>
        <v>0</v>
      </c>
      <c r="AD617" s="32">
        <f>(VLOOKUP($A617,$A$458:$O$482,8,0)*(HLOOKUP(AD$594,'2.2.Brecha Efectiva x UdM'!$H$86:$AK$92,5,0))+(VLOOKUP($A617,$A$4:$O$27,8,0)*(HLOOKUP(AD$594,'2.2.Brecha Efectiva x UdM'!$H$64:$AK$70,5,0))))</f>
        <v>0</v>
      </c>
      <c r="AE617" s="32">
        <f>(VLOOKUP($A617,$A$458:$O$482,8,0)*(HLOOKUP(AE$594,'2.2.Brecha Efectiva x UdM'!$H$86:$AK$92,5,0))+(VLOOKUP($A617,$A$4:$O$27,8,0)*(HLOOKUP(AE$594,'2.2.Brecha Efectiva x UdM'!$H$64:$AK$70,5,0))))</f>
        <v>0</v>
      </c>
      <c r="AF617" s="32">
        <f>(VLOOKUP($A617,$A$458:$O$482,8,0)*(HLOOKUP(AF$594,'2.2.Brecha Efectiva x UdM'!$H$86:$AK$92,5,0))+(VLOOKUP($A617,$A$4:$O$27,8,0)*(HLOOKUP(AF$594,'2.2.Brecha Efectiva x UdM'!$H$64:$AK$70,5,0))))</f>
        <v>0</v>
      </c>
      <c r="AG617" s="32">
        <f>(VLOOKUP($A617,$A$458:$O$482,8,0)*(HLOOKUP(AG$594,'2.2.Brecha Efectiva x UdM'!$H$86:$AK$92,5,0))+(VLOOKUP($A617,$A$4:$O$27,8,0)*(HLOOKUP(AG$594,'2.2.Brecha Efectiva x UdM'!$H$64:$AK$70,5,0))))</f>
        <v>0</v>
      </c>
      <c r="AH617" s="62">
        <f t="shared" si="571"/>
        <v>0</v>
      </c>
    </row>
    <row r="618" spans="1:34" hidden="1" x14ac:dyDescent="0.2">
      <c r="A618" s="26" t="str">
        <f t="shared" si="568"/>
        <v>Tucumán</v>
      </c>
      <c r="B618" s="52">
        <f t="shared" si="569"/>
        <v>0</v>
      </c>
      <c r="C618" s="26" t="str">
        <f t="shared" si="570"/>
        <v>Tucumán 0</v>
      </c>
      <c r="D618" s="31">
        <f>(VLOOKUP($A618,$A$458:$O$482,8,0)*(HLOOKUP(D$594,'2.2.Brecha Efectiva x UdM'!$H$86:$AK$92,5,0))+(VLOOKUP($A618,$A$4:$O$27,8,0)*(HLOOKUP(D$594,'2.2.Brecha Efectiva x UdM'!$H$64:$AK$70,5,0))))</f>
        <v>0</v>
      </c>
      <c r="E618" s="31">
        <f>(VLOOKUP($A618,$A$458:$O$482,8,0)*(HLOOKUP(E$594,'2.2.Brecha Efectiva x UdM'!$H$86:$AK$92,5,0))+(VLOOKUP($A618,$A$4:$O$27,8,0)*(HLOOKUP(E$594,'2.2.Brecha Efectiva x UdM'!$H$64:$AK$70,5,0))))</f>
        <v>0</v>
      </c>
      <c r="F618" s="31">
        <f>(VLOOKUP($A618,$A$458:$O$482,8,0)*(HLOOKUP(F$594,'2.2.Brecha Efectiva x UdM'!$H$86:$AK$92,5,0))+(VLOOKUP($A618,$A$4:$O$27,8,0)*(HLOOKUP(F$594,'2.2.Brecha Efectiva x UdM'!$H$64:$AK$70,5,0))))</f>
        <v>0</v>
      </c>
      <c r="G618" s="31">
        <f>(VLOOKUP($A618,$A$458:$O$482,8,0)*(HLOOKUP(G$594,'2.2.Brecha Efectiva x UdM'!$H$86:$AK$92,5,0))+(VLOOKUP($A618,$A$4:$O$27,8,0)*(HLOOKUP(G$594,'2.2.Brecha Efectiva x UdM'!$H$64:$AK$70,5,0))))</f>
        <v>0</v>
      </c>
      <c r="H618" s="31">
        <f>(VLOOKUP($A618,$A$458:$O$482,8,0)*(HLOOKUP(H$594,'2.2.Brecha Efectiva x UdM'!$H$86:$AK$92,5,0))+(VLOOKUP($A618,$A$4:$O$27,8,0)*(HLOOKUP(H$594,'2.2.Brecha Efectiva x UdM'!$H$64:$AK$70,5,0))))</f>
        <v>0</v>
      </c>
      <c r="I618" s="31">
        <f>(VLOOKUP($A618,$A$458:$O$482,8,0)*(HLOOKUP(I$594,'2.2.Brecha Efectiva x UdM'!$H$86:$AK$92,5,0))+(VLOOKUP($A618,$A$4:$O$27,8,0)*(HLOOKUP(I$594,'2.2.Brecha Efectiva x UdM'!$H$64:$AK$70,5,0))))</f>
        <v>0</v>
      </c>
      <c r="J618" s="31">
        <f>(VLOOKUP($A618,$A$458:$O$482,8,0)*(HLOOKUP(J$594,'2.2.Brecha Efectiva x UdM'!$H$86:$AK$92,5,0))+(VLOOKUP($A618,$A$4:$O$27,8,0)*(HLOOKUP(J$594,'2.2.Brecha Efectiva x UdM'!$H$64:$AK$70,5,0))))</f>
        <v>0</v>
      </c>
      <c r="K618" s="31">
        <f>(VLOOKUP($A618,$A$458:$O$482,8,0)*(HLOOKUP(K$594,'2.2.Brecha Efectiva x UdM'!$H$86:$AK$92,5,0))+(VLOOKUP($A618,$A$4:$O$27,8,0)*(HLOOKUP(K$594,'2.2.Brecha Efectiva x UdM'!$H$64:$AK$70,5,0))))</f>
        <v>0</v>
      </c>
      <c r="L618" s="31">
        <f>(VLOOKUP($A618,$A$458:$O$482,8,0)*(HLOOKUP(L$594,'2.2.Brecha Efectiva x UdM'!$H$86:$AK$92,5,0))+(VLOOKUP($A618,$A$4:$O$27,8,0)*(HLOOKUP(L$594,'2.2.Brecha Efectiva x UdM'!$H$64:$AK$70,5,0))))</f>
        <v>0</v>
      </c>
      <c r="M618" s="31">
        <f>(VLOOKUP($A618,$A$458:$O$482,8,0)*(HLOOKUP(M$594,'2.2.Brecha Efectiva x UdM'!$H$86:$AK$92,5,0))+(VLOOKUP($A618,$A$4:$O$27,8,0)*(HLOOKUP(M$594,'2.2.Brecha Efectiva x UdM'!$H$64:$AK$70,5,0))))</f>
        <v>0</v>
      </c>
      <c r="N618" s="31">
        <f>(VLOOKUP($A618,$A$458:$O$482,8,0)*(HLOOKUP(N$594,'2.2.Brecha Efectiva x UdM'!$H$86:$AK$92,5,0))+(VLOOKUP($A618,$A$4:$O$27,8,0)*(HLOOKUP(N$594,'2.2.Brecha Efectiva x UdM'!$H$64:$AK$70,5,0))))</f>
        <v>0</v>
      </c>
      <c r="O618" s="31">
        <f>(VLOOKUP($A618,$A$458:$O$482,8,0)*(HLOOKUP(O$594,'2.2.Brecha Efectiva x UdM'!$H$86:$AK$92,5,0))+(VLOOKUP($A618,$A$4:$O$27,8,0)*(HLOOKUP(O$594,'2.2.Brecha Efectiva x UdM'!$H$64:$AK$70,5,0))))</f>
        <v>0</v>
      </c>
      <c r="P618" s="31">
        <f>(VLOOKUP($A618,$A$458:$O$482,8,0)*(HLOOKUP(P$594,'2.2.Brecha Efectiva x UdM'!$H$86:$AK$92,5,0))+(VLOOKUP($A618,$A$4:$O$27,8,0)*(HLOOKUP(P$594,'2.2.Brecha Efectiva x UdM'!$H$64:$AK$70,5,0))))</f>
        <v>0</v>
      </c>
      <c r="Q618" s="31">
        <f>(VLOOKUP($A618,$A$458:$O$482,8,0)*(HLOOKUP(Q$594,'2.2.Brecha Efectiva x UdM'!$H$86:$AK$92,5,0))+(VLOOKUP($A618,$A$4:$O$27,8,0)*(HLOOKUP(Q$594,'2.2.Brecha Efectiva x UdM'!$H$64:$AK$70,5,0))))</f>
        <v>0</v>
      </c>
      <c r="R618" s="31">
        <f>(VLOOKUP($A618,$A$458:$O$482,8,0)*(HLOOKUP(R$594,'2.2.Brecha Efectiva x UdM'!$H$86:$AK$92,5,0))+(VLOOKUP($A618,$A$4:$O$27,8,0)*(HLOOKUP(R$594,'2.2.Brecha Efectiva x UdM'!$H$64:$AK$70,5,0))))</f>
        <v>0</v>
      </c>
      <c r="S618" s="31">
        <f>(VLOOKUP($A618,$A$458:$O$482,8,0)*(HLOOKUP(S$594,'2.2.Brecha Efectiva x UdM'!$H$86:$AK$92,5,0))+(VLOOKUP($A618,$A$4:$O$27,8,0)*(HLOOKUP(S$594,'2.2.Brecha Efectiva x UdM'!$H$64:$AK$70,5,0))))</f>
        <v>0</v>
      </c>
      <c r="T618" s="31">
        <f>(VLOOKUP($A618,$A$458:$O$482,8,0)*(HLOOKUP(T$594,'2.2.Brecha Efectiva x UdM'!$H$86:$AK$92,5,0))+(VLOOKUP($A618,$A$4:$O$27,8,0)*(HLOOKUP(T$594,'2.2.Brecha Efectiva x UdM'!$H$64:$AK$70,5,0))))</f>
        <v>0</v>
      </c>
      <c r="U618" s="31">
        <f>(VLOOKUP($A618,$A$458:$O$482,8,0)*(HLOOKUP(U$594,'2.2.Brecha Efectiva x UdM'!$H$86:$AK$92,5,0))+(VLOOKUP($A618,$A$4:$O$27,8,0)*(HLOOKUP(U$594,'2.2.Brecha Efectiva x UdM'!$H$64:$AK$70,5,0))))</f>
        <v>0</v>
      </c>
      <c r="V618" s="31">
        <f>(VLOOKUP($A618,$A$458:$O$482,8,0)*(HLOOKUP(V$594,'2.2.Brecha Efectiva x UdM'!$H$86:$AK$92,5,0))+(VLOOKUP($A618,$A$4:$O$27,8,0)*(HLOOKUP(V$594,'2.2.Brecha Efectiva x UdM'!$H$64:$AK$70,5,0))))</f>
        <v>0</v>
      </c>
      <c r="W618" s="31">
        <f>(VLOOKUP($A618,$A$458:$O$482,8,0)*(HLOOKUP(W$594,'2.2.Brecha Efectiva x UdM'!$H$86:$AK$92,5,0))+(VLOOKUP($A618,$A$4:$O$27,8,0)*(HLOOKUP(W$594,'2.2.Brecha Efectiva x UdM'!$H$64:$AK$70,5,0))))</f>
        <v>0</v>
      </c>
      <c r="X618" s="31">
        <f>(VLOOKUP($A618,$A$458:$O$482,8,0)*(HLOOKUP(X$594,'2.2.Brecha Efectiva x UdM'!$H$86:$AK$92,5,0))+(VLOOKUP($A618,$A$4:$O$27,8,0)*(HLOOKUP(X$594,'2.2.Brecha Efectiva x UdM'!$H$64:$AK$70,5,0))))</f>
        <v>0</v>
      </c>
      <c r="Y618" s="31">
        <f>(VLOOKUP($A618,$A$458:$O$482,8,0)*(HLOOKUP(Y$594,'2.2.Brecha Efectiva x UdM'!$H$86:$AK$92,5,0))+(VLOOKUP($A618,$A$4:$O$27,8,0)*(HLOOKUP(Y$594,'2.2.Brecha Efectiva x UdM'!$H$64:$AK$70,5,0))))</f>
        <v>0</v>
      </c>
      <c r="Z618" s="31">
        <f>(VLOOKUP($A618,$A$458:$O$482,8,0)*(HLOOKUP(Z$594,'2.2.Brecha Efectiva x UdM'!$H$86:$AK$92,5,0))+(VLOOKUP($A618,$A$4:$O$27,8,0)*(HLOOKUP(Z$594,'2.2.Brecha Efectiva x UdM'!$H$64:$AK$70,5,0))))</f>
        <v>0</v>
      </c>
      <c r="AA618" s="31">
        <f>(VLOOKUP($A618,$A$458:$O$482,8,0)*(HLOOKUP(AA$594,'2.2.Brecha Efectiva x UdM'!$H$86:$AK$92,5,0))+(VLOOKUP($A618,$A$4:$O$27,8,0)*(HLOOKUP(AA$594,'2.2.Brecha Efectiva x UdM'!$H$64:$AK$70,5,0))))</f>
        <v>0</v>
      </c>
      <c r="AB618" s="31">
        <f>(VLOOKUP($A618,$A$458:$O$482,8,0)*(HLOOKUP(AB$594,'2.2.Brecha Efectiva x UdM'!$H$86:$AK$92,5,0))+(VLOOKUP($A618,$A$4:$O$27,8,0)*(HLOOKUP(AB$594,'2.2.Brecha Efectiva x UdM'!$H$64:$AK$70,5,0))))</f>
        <v>0</v>
      </c>
      <c r="AC618" s="31">
        <f>(VLOOKUP($A618,$A$458:$O$482,8,0)*(HLOOKUP(AC$594,'2.2.Brecha Efectiva x UdM'!$H$86:$AK$92,5,0))+(VLOOKUP($A618,$A$4:$O$27,8,0)*(HLOOKUP(AC$594,'2.2.Brecha Efectiva x UdM'!$H$64:$AK$70,5,0))))</f>
        <v>0</v>
      </c>
      <c r="AD618" s="31">
        <f>(VLOOKUP($A618,$A$458:$O$482,8,0)*(HLOOKUP(AD$594,'2.2.Brecha Efectiva x UdM'!$H$86:$AK$92,5,0))+(VLOOKUP($A618,$A$4:$O$27,8,0)*(HLOOKUP(AD$594,'2.2.Brecha Efectiva x UdM'!$H$64:$AK$70,5,0))))</f>
        <v>0</v>
      </c>
      <c r="AE618" s="31">
        <f>(VLOOKUP($A618,$A$458:$O$482,8,0)*(HLOOKUP(AE$594,'2.2.Brecha Efectiva x UdM'!$H$86:$AK$92,5,0))+(VLOOKUP($A618,$A$4:$O$27,8,0)*(HLOOKUP(AE$594,'2.2.Brecha Efectiva x UdM'!$H$64:$AK$70,5,0))))</f>
        <v>0</v>
      </c>
      <c r="AF618" s="31">
        <f>(VLOOKUP($A618,$A$458:$O$482,8,0)*(HLOOKUP(AF$594,'2.2.Brecha Efectiva x UdM'!$H$86:$AK$92,5,0))+(VLOOKUP($A618,$A$4:$O$27,8,0)*(HLOOKUP(AF$594,'2.2.Brecha Efectiva x UdM'!$H$64:$AK$70,5,0))))</f>
        <v>0</v>
      </c>
      <c r="AG618" s="31">
        <f>(VLOOKUP($A618,$A$458:$O$482,8,0)*(HLOOKUP(AG$594,'2.2.Brecha Efectiva x UdM'!$H$86:$AK$92,5,0))+(VLOOKUP($A618,$A$4:$O$27,8,0)*(HLOOKUP(AG$594,'2.2.Brecha Efectiva x UdM'!$H$64:$AK$70,5,0))))</f>
        <v>0</v>
      </c>
      <c r="AH618" s="63">
        <f t="shared" si="571"/>
        <v>0</v>
      </c>
    </row>
    <row r="619" spans="1:34" hidden="1" x14ac:dyDescent="0.2">
      <c r="A619" s="34" t="str">
        <f>CONCATENATE("Total"," ",B595)</f>
        <v>Total 0</v>
      </c>
      <c r="B619" s="29"/>
      <c r="C619" s="13"/>
      <c r="D619" s="13">
        <f>SUM(D595:D618)</f>
        <v>0</v>
      </c>
      <c r="E619" s="13">
        <f t="shared" ref="E619:AG619" si="572">SUM(E595:E618)</f>
        <v>0</v>
      </c>
      <c r="F619" s="13">
        <f t="shared" si="572"/>
        <v>0</v>
      </c>
      <c r="G619" s="13">
        <f t="shared" si="572"/>
        <v>0</v>
      </c>
      <c r="H619" s="13">
        <f t="shared" si="572"/>
        <v>0</v>
      </c>
      <c r="I619" s="13">
        <f t="shared" si="572"/>
        <v>0</v>
      </c>
      <c r="J619" s="13">
        <f t="shared" si="572"/>
        <v>0</v>
      </c>
      <c r="K619" s="13">
        <f t="shared" si="572"/>
        <v>0</v>
      </c>
      <c r="L619" s="13">
        <f t="shared" si="572"/>
        <v>0</v>
      </c>
      <c r="M619" s="13">
        <f t="shared" si="572"/>
        <v>0</v>
      </c>
      <c r="N619" s="13">
        <f t="shared" si="572"/>
        <v>0</v>
      </c>
      <c r="O619" s="13">
        <f t="shared" si="572"/>
        <v>0</v>
      </c>
      <c r="P619" s="13">
        <f t="shared" si="572"/>
        <v>0</v>
      </c>
      <c r="Q619" s="13">
        <f t="shared" si="572"/>
        <v>0</v>
      </c>
      <c r="R619" s="13">
        <f t="shared" si="572"/>
        <v>0</v>
      </c>
      <c r="S619" s="13">
        <f t="shared" si="572"/>
        <v>0</v>
      </c>
      <c r="T619" s="13">
        <f t="shared" si="572"/>
        <v>0</v>
      </c>
      <c r="U619" s="13">
        <f t="shared" si="572"/>
        <v>0</v>
      </c>
      <c r="V619" s="13">
        <f t="shared" si="572"/>
        <v>0</v>
      </c>
      <c r="W619" s="13">
        <f t="shared" si="572"/>
        <v>0</v>
      </c>
      <c r="X619" s="13">
        <f t="shared" si="572"/>
        <v>0</v>
      </c>
      <c r="Y619" s="13">
        <f t="shared" si="572"/>
        <v>0</v>
      </c>
      <c r="Z619" s="13">
        <f t="shared" si="572"/>
        <v>0</v>
      </c>
      <c r="AA619" s="13">
        <f t="shared" si="572"/>
        <v>0</v>
      </c>
      <c r="AB619" s="13">
        <f t="shared" si="572"/>
        <v>0</v>
      </c>
      <c r="AC619" s="13">
        <f t="shared" si="572"/>
        <v>0</v>
      </c>
      <c r="AD619" s="13">
        <f t="shared" si="572"/>
        <v>0</v>
      </c>
      <c r="AE619" s="13">
        <f t="shared" si="572"/>
        <v>0</v>
      </c>
      <c r="AF619" s="13">
        <f t="shared" si="572"/>
        <v>0</v>
      </c>
      <c r="AG619" s="13">
        <f t="shared" si="572"/>
        <v>0</v>
      </c>
      <c r="AH619" s="13">
        <f t="shared" si="571"/>
        <v>0</v>
      </c>
    </row>
    <row r="620" spans="1:34" hidden="1" x14ac:dyDescent="0.2">
      <c r="A620" s="34" t="str">
        <f>CONCATENATE("Total Acumulado"," ",B595)</f>
        <v>Total Acumulado 0</v>
      </c>
      <c r="B620" s="29"/>
      <c r="C620" s="13"/>
      <c r="D620" s="13">
        <f>D619</f>
        <v>0</v>
      </c>
      <c r="E620" s="13">
        <f>E619+D620</f>
        <v>0</v>
      </c>
      <c r="F620" s="13">
        <f t="shared" ref="F620" si="573">F619+E620</f>
        <v>0</v>
      </c>
      <c r="G620" s="13">
        <f t="shared" ref="G620" si="574">G619+F620</f>
        <v>0</v>
      </c>
      <c r="H620" s="13">
        <f t="shared" ref="H620" si="575">H619+G620</f>
        <v>0</v>
      </c>
      <c r="I620" s="13">
        <f t="shared" ref="I620" si="576">I619+H620</f>
        <v>0</v>
      </c>
      <c r="J620" s="13">
        <f t="shared" ref="J620" si="577">J619+I620</f>
        <v>0</v>
      </c>
      <c r="K620" s="13">
        <f t="shared" ref="K620" si="578">K619+J620</f>
        <v>0</v>
      </c>
      <c r="L620" s="13">
        <f t="shared" ref="L620" si="579">L619+K620</f>
        <v>0</v>
      </c>
      <c r="M620" s="13">
        <f t="shared" ref="M620" si="580">M619+L620</f>
        <v>0</v>
      </c>
      <c r="N620" s="13">
        <f t="shared" ref="N620" si="581">N619+M620</f>
        <v>0</v>
      </c>
      <c r="O620" s="13">
        <f t="shared" ref="O620" si="582">O619+N620</f>
        <v>0</v>
      </c>
      <c r="P620" s="13">
        <f t="shared" ref="P620" si="583">P619+O620</f>
        <v>0</v>
      </c>
      <c r="Q620" s="13">
        <f t="shared" ref="Q620" si="584">Q619+P620</f>
        <v>0</v>
      </c>
      <c r="R620" s="13">
        <f t="shared" ref="R620" si="585">R619+Q620</f>
        <v>0</v>
      </c>
      <c r="S620" s="13">
        <f t="shared" ref="S620" si="586">S619+R620</f>
        <v>0</v>
      </c>
      <c r="T620" s="13">
        <f t="shared" ref="T620" si="587">T619+S620</f>
        <v>0</v>
      </c>
      <c r="U620" s="13">
        <f t="shared" ref="U620" si="588">U619+T620</f>
        <v>0</v>
      </c>
      <c r="V620" s="13">
        <f t="shared" ref="V620" si="589">V619+U620</f>
        <v>0</v>
      </c>
      <c r="W620" s="13">
        <f t="shared" ref="W620" si="590">W619+V620</f>
        <v>0</v>
      </c>
      <c r="X620" s="13">
        <f t="shared" ref="X620" si="591">X619+W620</f>
        <v>0</v>
      </c>
      <c r="Y620" s="13">
        <f t="shared" ref="Y620" si="592">Y619+X620</f>
        <v>0</v>
      </c>
      <c r="Z620" s="13">
        <f t="shared" ref="Z620" si="593">Z619+Y620</f>
        <v>0</v>
      </c>
      <c r="AA620" s="13">
        <f t="shared" ref="AA620" si="594">AA619+Z620</f>
        <v>0</v>
      </c>
      <c r="AB620" s="13">
        <f t="shared" ref="AB620" si="595">AB619+AA620</f>
        <v>0</v>
      </c>
      <c r="AC620" s="13">
        <f t="shared" ref="AC620" si="596">AC619+AB620</f>
        <v>0</v>
      </c>
      <c r="AD620" s="13">
        <f t="shared" ref="AD620" si="597">AD619+AC620</f>
        <v>0</v>
      </c>
      <c r="AE620" s="13">
        <f t="shared" ref="AE620" si="598">AE619+AD620</f>
        <v>0</v>
      </c>
      <c r="AF620" s="13">
        <f t="shared" ref="AF620" si="599">AF619+AE620</f>
        <v>0</v>
      </c>
      <c r="AG620" s="13">
        <f t="shared" ref="AG620" si="600">AG619+AF620</f>
        <v>0</v>
      </c>
    </row>
    <row r="621" spans="1:34" hidden="1" x14ac:dyDescent="0.2"/>
    <row r="622" spans="1:34" hidden="1" x14ac:dyDescent="0.2">
      <c r="A622" s="33" t="s">
        <v>41</v>
      </c>
      <c r="D622" t="b">
        <f>D619='2.2.Brecha Efectiva x UdM'!H106</f>
        <v>1</v>
      </c>
      <c r="E622" t="b">
        <f>E619='2.2.Brecha Efectiva x UdM'!I106</f>
        <v>1</v>
      </c>
      <c r="F622" t="b">
        <f>F619='2.2.Brecha Efectiva x UdM'!J106</f>
        <v>1</v>
      </c>
      <c r="G622" t="b">
        <f>G619='2.2.Brecha Efectiva x UdM'!K106</f>
        <v>1</v>
      </c>
      <c r="H622" t="b">
        <f>H619='2.2.Brecha Efectiva x UdM'!L106</f>
        <v>1</v>
      </c>
      <c r="I622" t="b">
        <f>I619='2.2.Brecha Efectiva x UdM'!M106</f>
        <v>1</v>
      </c>
      <c r="J622" t="b">
        <f>J619='2.2.Brecha Efectiva x UdM'!N106</f>
        <v>1</v>
      </c>
      <c r="L622" s="23"/>
      <c r="M622" s="33"/>
    </row>
    <row r="623" spans="1:34" hidden="1" x14ac:dyDescent="0.2">
      <c r="J623" t="b">
        <f>AG620=SUM('2.2.Brecha Efectiva x UdM'!H106:AK106)</f>
        <v>1</v>
      </c>
      <c r="L623" s="23"/>
    </row>
    <row r="624" spans="1:34" hidden="1" x14ac:dyDescent="0.2"/>
    <row r="625" spans="1:34" hidden="1" x14ac:dyDescent="0.2">
      <c r="A625" s="46" t="s">
        <v>87</v>
      </c>
    </row>
    <row r="626" spans="1:34" hidden="1" x14ac:dyDescent="0.2"/>
    <row r="627" spans="1:34" hidden="1" x14ac:dyDescent="0.2">
      <c r="A627" s="24" t="s">
        <v>18</v>
      </c>
      <c r="B627" s="24" t="s">
        <v>42</v>
      </c>
      <c r="C627" s="24" t="s">
        <v>43</v>
      </c>
      <c r="D627" s="6">
        <v>2024</v>
      </c>
      <c r="E627" s="6">
        <v>2025</v>
      </c>
      <c r="F627" s="6">
        <v>2026</v>
      </c>
      <c r="G627" s="6">
        <v>2027</v>
      </c>
      <c r="H627" s="6">
        <v>2028</v>
      </c>
      <c r="I627" s="6">
        <v>2029</v>
      </c>
      <c r="J627" s="6">
        <v>2030</v>
      </c>
      <c r="K627" s="6">
        <v>2031</v>
      </c>
      <c r="L627" s="6">
        <v>2032</v>
      </c>
      <c r="M627" s="6">
        <v>2033</v>
      </c>
      <c r="N627" s="50">
        <v>2034</v>
      </c>
      <c r="O627" s="50">
        <v>2035</v>
      </c>
      <c r="P627" s="50">
        <v>2036</v>
      </c>
      <c r="Q627" s="50">
        <v>2037</v>
      </c>
      <c r="R627" s="50">
        <v>2038</v>
      </c>
      <c r="S627" s="50">
        <v>2039</v>
      </c>
      <c r="T627" s="50">
        <v>2040</v>
      </c>
      <c r="U627" s="50">
        <v>2041</v>
      </c>
      <c r="V627" s="50">
        <v>2042</v>
      </c>
      <c r="W627" s="50">
        <v>2043</v>
      </c>
      <c r="X627" s="50">
        <v>2044</v>
      </c>
      <c r="Y627" s="50">
        <v>2045</v>
      </c>
      <c r="Z627" s="50">
        <v>2046</v>
      </c>
      <c r="AA627" s="50">
        <v>2047</v>
      </c>
      <c r="AB627" s="50">
        <v>2048</v>
      </c>
      <c r="AC627" s="50">
        <v>2049</v>
      </c>
      <c r="AD627" s="50">
        <v>2050</v>
      </c>
      <c r="AE627" s="50">
        <v>2051</v>
      </c>
      <c r="AF627" s="50">
        <v>2052</v>
      </c>
      <c r="AG627" s="50">
        <v>2053</v>
      </c>
      <c r="AH627" s="6" t="s">
        <v>1</v>
      </c>
    </row>
    <row r="628" spans="1:34" hidden="1" x14ac:dyDescent="0.2">
      <c r="A628" s="25" t="str">
        <f t="shared" ref="A628:A651" si="601">A48</f>
        <v>Buenos Aires</v>
      </c>
      <c r="B628" s="51">
        <f>$K$3</f>
        <v>0</v>
      </c>
      <c r="C628" s="25" t="str">
        <f>CONCATENATE(A628," ",B628)</f>
        <v>Buenos Aires 0</v>
      </c>
      <c r="D628" s="32">
        <f>(VLOOKUP($A628,$A$458:$O$482,10,0)*(HLOOKUP(D$627,'2.2.Brecha Efectiva x UdM'!$H$86:$AK$92,6,0))+(VLOOKUP($A628,$A$4:$O$27,10,0)*(HLOOKUP(D$627,'2.2.Brecha Efectiva x UdM'!$H$64:$AK$70,6,0))))</f>
        <v>0</v>
      </c>
      <c r="E628" s="32">
        <f>(VLOOKUP($A628,$A$458:$O$482,10,0)*(HLOOKUP(E$627,'2.2.Brecha Efectiva x UdM'!$H$86:$AK$92,6,0))+(VLOOKUP($A628,$A$4:$O$27,10,0)*(HLOOKUP(E$627,'2.2.Brecha Efectiva x UdM'!$H$64:$AK$70,6,0))))</f>
        <v>0</v>
      </c>
      <c r="F628" s="32">
        <f>(VLOOKUP($A628,$A$458:$O$482,10,0)*(HLOOKUP(F$627,'2.2.Brecha Efectiva x UdM'!$H$86:$AK$92,6,0))+(VLOOKUP($A628,$A$4:$O$27,10,0)*(HLOOKUP(F$627,'2.2.Brecha Efectiva x UdM'!$H$64:$AK$70,6,0))))</f>
        <v>0</v>
      </c>
      <c r="G628" s="32">
        <f>(VLOOKUP($A628,$A$458:$O$482,10,0)*(HLOOKUP(G$627,'2.2.Brecha Efectiva x UdM'!$H$86:$AK$92,6,0))+(VLOOKUP($A628,$A$4:$O$27,10,0)*(HLOOKUP(G$627,'2.2.Brecha Efectiva x UdM'!$H$64:$AK$70,6,0))))</f>
        <v>0</v>
      </c>
      <c r="H628" s="32">
        <f>(VLOOKUP($A628,$A$458:$O$482,10,0)*(HLOOKUP(H$627,'2.2.Brecha Efectiva x UdM'!$H$86:$AK$92,6,0))+(VLOOKUP($A628,$A$4:$O$27,10,0)*(HLOOKUP(H$627,'2.2.Brecha Efectiva x UdM'!$H$64:$AK$70,6,0))))</f>
        <v>0</v>
      </c>
      <c r="I628" s="32">
        <f>(VLOOKUP($A628,$A$458:$O$482,10,0)*(HLOOKUP(I$627,'2.2.Brecha Efectiva x UdM'!$H$86:$AK$92,6,0))+(VLOOKUP($A628,$A$4:$O$27,10,0)*(HLOOKUP(I$627,'2.2.Brecha Efectiva x UdM'!$H$64:$AK$70,6,0))))</f>
        <v>0</v>
      </c>
      <c r="J628" s="32">
        <f>(VLOOKUP($A628,$A$458:$O$482,10,0)*(HLOOKUP(J$627,'2.2.Brecha Efectiva x UdM'!$H$86:$AK$92,6,0))+(VLOOKUP($A628,$A$4:$O$27,10,0)*(HLOOKUP(J$627,'2.2.Brecha Efectiva x UdM'!$H$64:$AK$70,6,0))))</f>
        <v>0</v>
      </c>
      <c r="K628" s="32">
        <f>(VLOOKUP($A628,$A$458:$O$482,10,0)*(HLOOKUP(K$627,'2.2.Brecha Efectiva x UdM'!$H$86:$AK$92,6,0))+(VLOOKUP($A628,$A$4:$O$27,10,0)*(HLOOKUP(K$627,'2.2.Brecha Efectiva x UdM'!$H$64:$AK$70,6,0))))</f>
        <v>0</v>
      </c>
      <c r="L628" s="32">
        <f>(VLOOKUP($A628,$A$458:$O$482,10,0)*(HLOOKUP(L$627,'2.2.Brecha Efectiva x UdM'!$H$86:$AK$92,6,0))+(VLOOKUP($A628,$A$4:$O$27,10,0)*(HLOOKUP(L$627,'2.2.Brecha Efectiva x UdM'!$H$64:$AK$70,6,0))))</f>
        <v>0</v>
      </c>
      <c r="M628" s="32">
        <f>(VLOOKUP($A628,$A$458:$O$482,10,0)*(HLOOKUP(M$627,'2.2.Brecha Efectiva x UdM'!$H$86:$AK$92,6,0))+(VLOOKUP($A628,$A$4:$O$27,10,0)*(HLOOKUP(M$627,'2.2.Brecha Efectiva x UdM'!$H$64:$AK$70,6,0))))</f>
        <v>0</v>
      </c>
      <c r="N628" s="32">
        <f>(VLOOKUP($A628,$A$458:$O$482,10,0)*(HLOOKUP(N$627,'2.2.Brecha Efectiva x UdM'!$H$86:$AK$92,6,0))+(VLOOKUP($A628,$A$4:$O$27,10,0)*(HLOOKUP(N$627,'2.2.Brecha Efectiva x UdM'!$H$64:$AK$70,6,0))))</f>
        <v>0</v>
      </c>
      <c r="O628" s="32">
        <f>(VLOOKUP($A628,$A$458:$O$482,10,0)*(HLOOKUP(O$627,'2.2.Brecha Efectiva x UdM'!$H$86:$AK$92,6,0))+(VLOOKUP($A628,$A$4:$O$27,10,0)*(HLOOKUP(O$627,'2.2.Brecha Efectiva x UdM'!$H$64:$AK$70,6,0))))</f>
        <v>0</v>
      </c>
      <c r="P628" s="32">
        <f>(VLOOKUP($A628,$A$458:$O$482,10,0)*(HLOOKUP(P$627,'2.2.Brecha Efectiva x UdM'!$H$86:$AK$92,6,0))+(VLOOKUP($A628,$A$4:$O$27,10,0)*(HLOOKUP(P$627,'2.2.Brecha Efectiva x UdM'!$H$64:$AK$70,6,0))))</f>
        <v>0</v>
      </c>
      <c r="Q628" s="32">
        <f>(VLOOKUP($A628,$A$458:$O$482,10,0)*(HLOOKUP(Q$627,'2.2.Brecha Efectiva x UdM'!$H$86:$AK$92,6,0))+(VLOOKUP($A628,$A$4:$O$27,10,0)*(HLOOKUP(Q$627,'2.2.Brecha Efectiva x UdM'!$H$64:$AK$70,6,0))))</f>
        <v>0</v>
      </c>
      <c r="R628" s="32">
        <f>(VLOOKUP($A628,$A$458:$O$482,10,0)*(HLOOKUP(R$627,'2.2.Brecha Efectiva x UdM'!$H$86:$AK$92,6,0))+(VLOOKUP($A628,$A$4:$O$27,10,0)*(HLOOKUP(R$627,'2.2.Brecha Efectiva x UdM'!$H$64:$AK$70,6,0))))</f>
        <v>0</v>
      </c>
      <c r="S628" s="32">
        <f>(VLOOKUP($A628,$A$458:$O$482,10,0)*(HLOOKUP(S$627,'2.2.Brecha Efectiva x UdM'!$H$86:$AK$92,6,0))+(VLOOKUP($A628,$A$4:$O$27,10,0)*(HLOOKUP(S$627,'2.2.Brecha Efectiva x UdM'!$H$64:$AK$70,6,0))))</f>
        <v>0</v>
      </c>
      <c r="T628" s="32">
        <f>(VLOOKUP($A628,$A$458:$O$482,10,0)*(HLOOKUP(T$627,'2.2.Brecha Efectiva x UdM'!$H$86:$AK$92,6,0))+(VLOOKUP($A628,$A$4:$O$27,10,0)*(HLOOKUP(T$627,'2.2.Brecha Efectiva x UdM'!$H$64:$AK$70,6,0))))</f>
        <v>0</v>
      </c>
      <c r="U628" s="32">
        <f>(VLOOKUP($A628,$A$458:$O$482,10,0)*(HLOOKUP(U$627,'2.2.Brecha Efectiva x UdM'!$H$86:$AK$92,6,0))+(VLOOKUP($A628,$A$4:$O$27,10,0)*(HLOOKUP(U$627,'2.2.Brecha Efectiva x UdM'!$H$64:$AK$70,6,0))))</f>
        <v>0</v>
      </c>
      <c r="V628" s="32">
        <f>(VLOOKUP($A628,$A$458:$O$482,10,0)*(HLOOKUP(V$627,'2.2.Brecha Efectiva x UdM'!$H$86:$AK$92,6,0))+(VLOOKUP($A628,$A$4:$O$27,10,0)*(HLOOKUP(V$627,'2.2.Brecha Efectiva x UdM'!$H$64:$AK$70,6,0))))</f>
        <v>0</v>
      </c>
      <c r="W628" s="32">
        <f>(VLOOKUP($A628,$A$458:$O$482,10,0)*(HLOOKUP(W$627,'2.2.Brecha Efectiva x UdM'!$H$86:$AK$92,6,0))+(VLOOKUP($A628,$A$4:$O$27,10,0)*(HLOOKUP(W$627,'2.2.Brecha Efectiva x UdM'!$H$64:$AK$70,6,0))))</f>
        <v>0</v>
      </c>
      <c r="X628" s="32">
        <f>(VLOOKUP($A628,$A$458:$O$482,10,0)*(HLOOKUP(X$627,'2.2.Brecha Efectiva x UdM'!$H$86:$AK$92,6,0))+(VLOOKUP($A628,$A$4:$O$27,10,0)*(HLOOKUP(X$627,'2.2.Brecha Efectiva x UdM'!$H$64:$AK$70,6,0))))</f>
        <v>0</v>
      </c>
      <c r="Y628" s="32">
        <f>(VLOOKUP($A628,$A$458:$O$482,10,0)*(HLOOKUP(Y$627,'2.2.Brecha Efectiva x UdM'!$H$86:$AK$92,6,0))+(VLOOKUP($A628,$A$4:$O$27,10,0)*(HLOOKUP(Y$627,'2.2.Brecha Efectiva x UdM'!$H$64:$AK$70,6,0))))</f>
        <v>0</v>
      </c>
      <c r="Z628" s="32">
        <f>(VLOOKUP($A628,$A$458:$O$482,10,0)*(HLOOKUP(Z$627,'2.2.Brecha Efectiva x UdM'!$H$86:$AK$92,6,0))+(VLOOKUP($A628,$A$4:$O$27,10,0)*(HLOOKUP(Z$627,'2.2.Brecha Efectiva x UdM'!$H$64:$AK$70,6,0))))</f>
        <v>0</v>
      </c>
      <c r="AA628" s="32">
        <f>(VLOOKUP($A628,$A$458:$O$482,10,0)*(HLOOKUP(AA$627,'2.2.Brecha Efectiva x UdM'!$H$86:$AK$92,6,0))+(VLOOKUP($A628,$A$4:$O$27,10,0)*(HLOOKUP(AA$627,'2.2.Brecha Efectiva x UdM'!$H$64:$AK$70,6,0))))</f>
        <v>0</v>
      </c>
      <c r="AB628" s="32">
        <f>(VLOOKUP($A628,$A$458:$O$482,10,0)*(HLOOKUP(AB$627,'2.2.Brecha Efectiva x UdM'!$H$86:$AK$92,6,0))+(VLOOKUP($A628,$A$4:$O$27,10,0)*(HLOOKUP(AB$627,'2.2.Brecha Efectiva x UdM'!$H$64:$AK$70,6,0))))</f>
        <v>0</v>
      </c>
      <c r="AC628" s="32">
        <f>(VLOOKUP($A628,$A$458:$O$482,10,0)*(HLOOKUP(AC$627,'2.2.Brecha Efectiva x UdM'!$H$86:$AK$92,6,0))+(VLOOKUP($A628,$A$4:$O$27,10,0)*(HLOOKUP(AC$627,'2.2.Brecha Efectiva x UdM'!$H$64:$AK$70,6,0))))</f>
        <v>0</v>
      </c>
      <c r="AD628" s="32">
        <f>(VLOOKUP($A628,$A$458:$O$482,10,0)*(HLOOKUP(AD$627,'2.2.Brecha Efectiva x UdM'!$H$86:$AK$92,6,0))+(VLOOKUP($A628,$A$4:$O$27,10,0)*(HLOOKUP(AD$627,'2.2.Brecha Efectiva x UdM'!$H$64:$AK$70,6,0))))</f>
        <v>0</v>
      </c>
      <c r="AE628" s="32">
        <f>(VLOOKUP($A628,$A$458:$O$482,10,0)*(HLOOKUP(AE$627,'2.2.Brecha Efectiva x UdM'!$H$86:$AK$92,6,0))+(VLOOKUP($A628,$A$4:$O$27,10,0)*(HLOOKUP(AE$627,'2.2.Brecha Efectiva x UdM'!$H$64:$AK$70,6,0))))</f>
        <v>0</v>
      </c>
      <c r="AF628" s="32">
        <f>(VLOOKUP($A628,$A$458:$O$482,10,0)*(HLOOKUP(AF$627,'2.2.Brecha Efectiva x UdM'!$H$86:$AK$92,6,0))+(VLOOKUP($A628,$A$4:$O$27,10,0)*(HLOOKUP(AF$627,'2.2.Brecha Efectiva x UdM'!$H$64:$AK$70,6,0))))</f>
        <v>0</v>
      </c>
      <c r="AG628" s="32">
        <f>(VLOOKUP($A628,$A$458:$O$482,10,0)*(HLOOKUP(AG$627,'2.2.Brecha Efectiva x UdM'!$H$86:$AK$92,6,0))+(VLOOKUP($A628,$A$4:$O$27,10,0)*(HLOOKUP(AG$627,'2.2.Brecha Efectiva x UdM'!$H$64:$AK$70,6,0))))</f>
        <v>0</v>
      </c>
      <c r="AH628" s="62">
        <f>SUM(D628:AG628)</f>
        <v>0</v>
      </c>
    </row>
    <row r="629" spans="1:34" hidden="1" x14ac:dyDescent="0.2">
      <c r="A629" s="26" t="str">
        <f t="shared" si="601"/>
        <v>CABA</v>
      </c>
      <c r="B629" s="52">
        <f t="shared" ref="B629:B651" si="602">$K$3</f>
        <v>0</v>
      </c>
      <c r="C629" s="26" t="str">
        <f t="shared" ref="C629:C651" si="603">CONCATENATE(A629," ",B629)</f>
        <v>CABA 0</v>
      </c>
      <c r="D629" s="31">
        <f>(VLOOKUP($A629,$A$458:$O$482,10,0)*(HLOOKUP(D$627,'2.2.Brecha Efectiva x UdM'!$H$86:$AK$92,6,0))+(VLOOKUP($A629,$A$4:$O$27,10,0)*(HLOOKUP(D$627,'2.2.Brecha Efectiva x UdM'!$H$64:$AK$70,6,0))))</f>
        <v>0</v>
      </c>
      <c r="E629" s="31">
        <f>(VLOOKUP($A629,$A$458:$O$482,10,0)*(HLOOKUP(E$627,'2.2.Brecha Efectiva x UdM'!$H$86:$AK$92,6,0))+(VLOOKUP($A629,$A$4:$O$27,10,0)*(HLOOKUP(E$627,'2.2.Brecha Efectiva x UdM'!$H$64:$AK$70,6,0))))</f>
        <v>0</v>
      </c>
      <c r="F629" s="31">
        <f>(VLOOKUP($A629,$A$458:$O$482,10,0)*(HLOOKUP(F$627,'2.2.Brecha Efectiva x UdM'!$H$86:$AK$92,6,0))+(VLOOKUP($A629,$A$4:$O$27,10,0)*(HLOOKUP(F$627,'2.2.Brecha Efectiva x UdM'!$H$64:$AK$70,6,0))))</f>
        <v>0</v>
      </c>
      <c r="G629" s="31">
        <f>(VLOOKUP($A629,$A$458:$O$482,10,0)*(HLOOKUP(G$627,'2.2.Brecha Efectiva x UdM'!$H$86:$AK$92,6,0))+(VLOOKUP($A629,$A$4:$O$27,10,0)*(HLOOKUP(G$627,'2.2.Brecha Efectiva x UdM'!$H$64:$AK$70,6,0))))</f>
        <v>0</v>
      </c>
      <c r="H629" s="31">
        <f>(VLOOKUP($A629,$A$458:$O$482,10,0)*(HLOOKUP(H$627,'2.2.Brecha Efectiva x UdM'!$H$86:$AK$92,6,0))+(VLOOKUP($A629,$A$4:$O$27,10,0)*(HLOOKUP(H$627,'2.2.Brecha Efectiva x UdM'!$H$64:$AK$70,6,0))))</f>
        <v>0</v>
      </c>
      <c r="I629" s="31">
        <f>(VLOOKUP($A629,$A$458:$O$482,10,0)*(HLOOKUP(I$627,'2.2.Brecha Efectiva x UdM'!$H$86:$AK$92,6,0))+(VLOOKUP($A629,$A$4:$O$27,10,0)*(HLOOKUP(I$627,'2.2.Brecha Efectiva x UdM'!$H$64:$AK$70,6,0))))</f>
        <v>0</v>
      </c>
      <c r="J629" s="31">
        <f>(VLOOKUP($A629,$A$458:$O$482,10,0)*(HLOOKUP(J$627,'2.2.Brecha Efectiva x UdM'!$H$86:$AK$92,6,0))+(VLOOKUP($A629,$A$4:$O$27,10,0)*(HLOOKUP(J$627,'2.2.Brecha Efectiva x UdM'!$H$64:$AK$70,6,0))))</f>
        <v>0</v>
      </c>
      <c r="K629" s="31">
        <f>(VLOOKUP($A629,$A$458:$O$482,10,0)*(HLOOKUP(K$627,'2.2.Brecha Efectiva x UdM'!$H$86:$AK$92,6,0))+(VLOOKUP($A629,$A$4:$O$27,10,0)*(HLOOKUP(K$627,'2.2.Brecha Efectiva x UdM'!$H$64:$AK$70,6,0))))</f>
        <v>0</v>
      </c>
      <c r="L629" s="31">
        <f>(VLOOKUP($A629,$A$458:$O$482,10,0)*(HLOOKUP(L$627,'2.2.Brecha Efectiva x UdM'!$H$86:$AK$92,6,0))+(VLOOKUP($A629,$A$4:$O$27,10,0)*(HLOOKUP(L$627,'2.2.Brecha Efectiva x UdM'!$H$64:$AK$70,6,0))))</f>
        <v>0</v>
      </c>
      <c r="M629" s="31">
        <f>(VLOOKUP($A629,$A$458:$O$482,10,0)*(HLOOKUP(M$627,'2.2.Brecha Efectiva x UdM'!$H$86:$AK$92,6,0))+(VLOOKUP($A629,$A$4:$O$27,10,0)*(HLOOKUP(M$627,'2.2.Brecha Efectiva x UdM'!$H$64:$AK$70,6,0))))</f>
        <v>0</v>
      </c>
      <c r="N629" s="31">
        <f>(VLOOKUP($A629,$A$458:$O$482,10,0)*(HLOOKUP(N$627,'2.2.Brecha Efectiva x UdM'!$H$86:$AK$92,6,0))+(VLOOKUP($A629,$A$4:$O$27,10,0)*(HLOOKUP(N$627,'2.2.Brecha Efectiva x UdM'!$H$64:$AK$70,6,0))))</f>
        <v>0</v>
      </c>
      <c r="O629" s="31">
        <f>(VLOOKUP($A629,$A$458:$O$482,10,0)*(HLOOKUP(O$627,'2.2.Brecha Efectiva x UdM'!$H$86:$AK$92,6,0))+(VLOOKUP($A629,$A$4:$O$27,10,0)*(HLOOKUP(O$627,'2.2.Brecha Efectiva x UdM'!$H$64:$AK$70,6,0))))</f>
        <v>0</v>
      </c>
      <c r="P629" s="31">
        <f>(VLOOKUP($A629,$A$458:$O$482,10,0)*(HLOOKUP(P$627,'2.2.Brecha Efectiva x UdM'!$H$86:$AK$92,6,0))+(VLOOKUP($A629,$A$4:$O$27,10,0)*(HLOOKUP(P$627,'2.2.Brecha Efectiva x UdM'!$H$64:$AK$70,6,0))))</f>
        <v>0</v>
      </c>
      <c r="Q629" s="31">
        <f>(VLOOKUP($A629,$A$458:$O$482,10,0)*(HLOOKUP(Q$627,'2.2.Brecha Efectiva x UdM'!$H$86:$AK$92,6,0))+(VLOOKUP($A629,$A$4:$O$27,10,0)*(HLOOKUP(Q$627,'2.2.Brecha Efectiva x UdM'!$H$64:$AK$70,6,0))))</f>
        <v>0</v>
      </c>
      <c r="R629" s="31">
        <f>(VLOOKUP($A629,$A$458:$O$482,10,0)*(HLOOKUP(R$627,'2.2.Brecha Efectiva x UdM'!$H$86:$AK$92,6,0))+(VLOOKUP($A629,$A$4:$O$27,10,0)*(HLOOKUP(R$627,'2.2.Brecha Efectiva x UdM'!$H$64:$AK$70,6,0))))</f>
        <v>0</v>
      </c>
      <c r="S629" s="31">
        <f>(VLOOKUP($A629,$A$458:$O$482,10,0)*(HLOOKUP(S$627,'2.2.Brecha Efectiva x UdM'!$H$86:$AK$92,6,0))+(VLOOKUP($A629,$A$4:$O$27,10,0)*(HLOOKUP(S$627,'2.2.Brecha Efectiva x UdM'!$H$64:$AK$70,6,0))))</f>
        <v>0</v>
      </c>
      <c r="T629" s="31">
        <f>(VLOOKUP($A629,$A$458:$O$482,10,0)*(HLOOKUP(T$627,'2.2.Brecha Efectiva x UdM'!$H$86:$AK$92,6,0))+(VLOOKUP($A629,$A$4:$O$27,10,0)*(HLOOKUP(T$627,'2.2.Brecha Efectiva x UdM'!$H$64:$AK$70,6,0))))</f>
        <v>0</v>
      </c>
      <c r="U629" s="31">
        <f>(VLOOKUP($A629,$A$458:$O$482,10,0)*(HLOOKUP(U$627,'2.2.Brecha Efectiva x UdM'!$H$86:$AK$92,6,0))+(VLOOKUP($A629,$A$4:$O$27,10,0)*(HLOOKUP(U$627,'2.2.Brecha Efectiva x UdM'!$H$64:$AK$70,6,0))))</f>
        <v>0</v>
      </c>
      <c r="V629" s="31">
        <f>(VLOOKUP($A629,$A$458:$O$482,10,0)*(HLOOKUP(V$627,'2.2.Brecha Efectiva x UdM'!$H$86:$AK$92,6,0))+(VLOOKUP($A629,$A$4:$O$27,10,0)*(HLOOKUP(V$627,'2.2.Brecha Efectiva x UdM'!$H$64:$AK$70,6,0))))</f>
        <v>0</v>
      </c>
      <c r="W629" s="31">
        <f>(VLOOKUP($A629,$A$458:$O$482,10,0)*(HLOOKUP(W$627,'2.2.Brecha Efectiva x UdM'!$H$86:$AK$92,6,0))+(VLOOKUP($A629,$A$4:$O$27,10,0)*(HLOOKUP(W$627,'2.2.Brecha Efectiva x UdM'!$H$64:$AK$70,6,0))))</f>
        <v>0</v>
      </c>
      <c r="X629" s="31">
        <f>(VLOOKUP($A629,$A$458:$O$482,10,0)*(HLOOKUP(X$627,'2.2.Brecha Efectiva x UdM'!$H$86:$AK$92,6,0))+(VLOOKUP($A629,$A$4:$O$27,10,0)*(HLOOKUP(X$627,'2.2.Brecha Efectiva x UdM'!$H$64:$AK$70,6,0))))</f>
        <v>0</v>
      </c>
      <c r="Y629" s="31">
        <f>(VLOOKUP($A629,$A$458:$O$482,10,0)*(HLOOKUP(Y$627,'2.2.Brecha Efectiva x UdM'!$H$86:$AK$92,6,0))+(VLOOKUP($A629,$A$4:$O$27,10,0)*(HLOOKUP(Y$627,'2.2.Brecha Efectiva x UdM'!$H$64:$AK$70,6,0))))</f>
        <v>0</v>
      </c>
      <c r="Z629" s="31">
        <f>(VLOOKUP($A629,$A$458:$O$482,10,0)*(HLOOKUP(Z$627,'2.2.Brecha Efectiva x UdM'!$H$86:$AK$92,6,0))+(VLOOKUP($A629,$A$4:$O$27,10,0)*(HLOOKUP(Z$627,'2.2.Brecha Efectiva x UdM'!$H$64:$AK$70,6,0))))</f>
        <v>0</v>
      </c>
      <c r="AA629" s="31">
        <f>(VLOOKUP($A629,$A$458:$O$482,10,0)*(HLOOKUP(AA$627,'2.2.Brecha Efectiva x UdM'!$H$86:$AK$92,6,0))+(VLOOKUP($A629,$A$4:$O$27,10,0)*(HLOOKUP(AA$627,'2.2.Brecha Efectiva x UdM'!$H$64:$AK$70,6,0))))</f>
        <v>0</v>
      </c>
      <c r="AB629" s="31">
        <f>(VLOOKUP($A629,$A$458:$O$482,10,0)*(HLOOKUP(AB$627,'2.2.Brecha Efectiva x UdM'!$H$86:$AK$92,6,0))+(VLOOKUP($A629,$A$4:$O$27,10,0)*(HLOOKUP(AB$627,'2.2.Brecha Efectiva x UdM'!$H$64:$AK$70,6,0))))</f>
        <v>0</v>
      </c>
      <c r="AC629" s="31">
        <f>(VLOOKUP($A629,$A$458:$O$482,10,0)*(HLOOKUP(AC$627,'2.2.Brecha Efectiva x UdM'!$H$86:$AK$92,6,0))+(VLOOKUP($A629,$A$4:$O$27,10,0)*(HLOOKUP(AC$627,'2.2.Brecha Efectiva x UdM'!$H$64:$AK$70,6,0))))</f>
        <v>0</v>
      </c>
      <c r="AD629" s="31">
        <f>(VLOOKUP($A629,$A$458:$O$482,10,0)*(HLOOKUP(AD$627,'2.2.Brecha Efectiva x UdM'!$H$86:$AK$92,6,0))+(VLOOKUP($A629,$A$4:$O$27,10,0)*(HLOOKUP(AD$627,'2.2.Brecha Efectiva x UdM'!$H$64:$AK$70,6,0))))</f>
        <v>0</v>
      </c>
      <c r="AE629" s="31">
        <f>(VLOOKUP($A629,$A$458:$O$482,10,0)*(HLOOKUP(AE$627,'2.2.Brecha Efectiva x UdM'!$H$86:$AK$92,6,0))+(VLOOKUP($A629,$A$4:$O$27,10,0)*(HLOOKUP(AE$627,'2.2.Brecha Efectiva x UdM'!$H$64:$AK$70,6,0))))</f>
        <v>0</v>
      </c>
      <c r="AF629" s="31">
        <f>(VLOOKUP($A629,$A$458:$O$482,10,0)*(HLOOKUP(AF$627,'2.2.Brecha Efectiva x UdM'!$H$86:$AK$92,6,0))+(VLOOKUP($A629,$A$4:$O$27,10,0)*(HLOOKUP(AF$627,'2.2.Brecha Efectiva x UdM'!$H$64:$AK$70,6,0))))</f>
        <v>0</v>
      </c>
      <c r="AG629" s="31">
        <f>(VLOOKUP($A629,$A$458:$O$482,10,0)*(HLOOKUP(AG$627,'2.2.Brecha Efectiva x UdM'!$H$86:$AK$92,6,0))+(VLOOKUP($A629,$A$4:$O$27,10,0)*(HLOOKUP(AG$627,'2.2.Brecha Efectiva x UdM'!$H$64:$AK$70,6,0))))</f>
        <v>0</v>
      </c>
      <c r="AH629" s="63">
        <f>SUM(D629:AG629)</f>
        <v>0</v>
      </c>
    </row>
    <row r="630" spans="1:34" hidden="1" x14ac:dyDescent="0.2">
      <c r="A630" s="25" t="str">
        <f t="shared" si="601"/>
        <v>Catamarca</v>
      </c>
      <c r="B630" s="51">
        <f t="shared" si="602"/>
        <v>0</v>
      </c>
      <c r="C630" s="25" t="str">
        <f t="shared" si="603"/>
        <v>Catamarca 0</v>
      </c>
      <c r="D630" s="32">
        <f>(VLOOKUP($A630,$A$458:$O$482,10,0)*(HLOOKUP(D$627,'2.2.Brecha Efectiva x UdM'!$H$86:$AK$92,6,0))+(VLOOKUP($A630,$A$4:$O$27,10,0)*(HLOOKUP(D$627,'2.2.Brecha Efectiva x UdM'!$H$64:$AK$70,6,0))))</f>
        <v>0</v>
      </c>
      <c r="E630" s="32">
        <f>(VLOOKUP($A630,$A$458:$O$482,10,0)*(HLOOKUP(E$627,'2.2.Brecha Efectiva x UdM'!$H$86:$AK$92,6,0))+(VLOOKUP($A630,$A$4:$O$27,10,0)*(HLOOKUP(E$627,'2.2.Brecha Efectiva x UdM'!$H$64:$AK$70,6,0))))</f>
        <v>0</v>
      </c>
      <c r="F630" s="32">
        <f>(VLOOKUP($A630,$A$458:$O$482,10,0)*(HLOOKUP(F$627,'2.2.Brecha Efectiva x UdM'!$H$86:$AK$92,6,0))+(VLOOKUP($A630,$A$4:$O$27,10,0)*(HLOOKUP(F$627,'2.2.Brecha Efectiva x UdM'!$H$64:$AK$70,6,0))))</f>
        <v>0</v>
      </c>
      <c r="G630" s="32">
        <f>(VLOOKUP($A630,$A$458:$O$482,10,0)*(HLOOKUP(G$627,'2.2.Brecha Efectiva x UdM'!$H$86:$AK$92,6,0))+(VLOOKUP($A630,$A$4:$O$27,10,0)*(HLOOKUP(G$627,'2.2.Brecha Efectiva x UdM'!$H$64:$AK$70,6,0))))</f>
        <v>0</v>
      </c>
      <c r="H630" s="32">
        <f>(VLOOKUP($A630,$A$458:$O$482,10,0)*(HLOOKUP(H$627,'2.2.Brecha Efectiva x UdM'!$H$86:$AK$92,6,0))+(VLOOKUP($A630,$A$4:$O$27,10,0)*(HLOOKUP(H$627,'2.2.Brecha Efectiva x UdM'!$H$64:$AK$70,6,0))))</f>
        <v>0</v>
      </c>
      <c r="I630" s="32">
        <f>(VLOOKUP($A630,$A$458:$O$482,10,0)*(HLOOKUP(I$627,'2.2.Brecha Efectiva x UdM'!$H$86:$AK$92,6,0))+(VLOOKUP($A630,$A$4:$O$27,10,0)*(HLOOKUP(I$627,'2.2.Brecha Efectiva x UdM'!$H$64:$AK$70,6,0))))</f>
        <v>0</v>
      </c>
      <c r="J630" s="32">
        <f>(VLOOKUP($A630,$A$458:$O$482,10,0)*(HLOOKUP(J$627,'2.2.Brecha Efectiva x UdM'!$H$86:$AK$92,6,0))+(VLOOKUP($A630,$A$4:$O$27,10,0)*(HLOOKUP(J$627,'2.2.Brecha Efectiva x UdM'!$H$64:$AK$70,6,0))))</f>
        <v>0</v>
      </c>
      <c r="K630" s="32">
        <f>(VLOOKUP($A630,$A$458:$O$482,10,0)*(HLOOKUP(K$627,'2.2.Brecha Efectiva x UdM'!$H$86:$AK$92,6,0))+(VLOOKUP($A630,$A$4:$O$27,10,0)*(HLOOKUP(K$627,'2.2.Brecha Efectiva x UdM'!$H$64:$AK$70,6,0))))</f>
        <v>0</v>
      </c>
      <c r="L630" s="32">
        <f>(VLOOKUP($A630,$A$458:$O$482,10,0)*(HLOOKUP(L$627,'2.2.Brecha Efectiva x UdM'!$H$86:$AK$92,6,0))+(VLOOKUP($A630,$A$4:$O$27,10,0)*(HLOOKUP(L$627,'2.2.Brecha Efectiva x UdM'!$H$64:$AK$70,6,0))))</f>
        <v>0</v>
      </c>
      <c r="M630" s="32">
        <f>(VLOOKUP($A630,$A$458:$O$482,10,0)*(HLOOKUP(M$627,'2.2.Brecha Efectiva x UdM'!$H$86:$AK$92,6,0))+(VLOOKUP($A630,$A$4:$O$27,10,0)*(HLOOKUP(M$627,'2.2.Brecha Efectiva x UdM'!$H$64:$AK$70,6,0))))</f>
        <v>0</v>
      </c>
      <c r="N630" s="32">
        <f>(VLOOKUP($A630,$A$458:$O$482,10,0)*(HLOOKUP(N$627,'2.2.Brecha Efectiva x UdM'!$H$86:$AK$92,6,0))+(VLOOKUP($A630,$A$4:$O$27,10,0)*(HLOOKUP(N$627,'2.2.Brecha Efectiva x UdM'!$H$64:$AK$70,6,0))))</f>
        <v>0</v>
      </c>
      <c r="O630" s="32">
        <f>(VLOOKUP($A630,$A$458:$O$482,10,0)*(HLOOKUP(O$627,'2.2.Brecha Efectiva x UdM'!$H$86:$AK$92,6,0))+(VLOOKUP($A630,$A$4:$O$27,10,0)*(HLOOKUP(O$627,'2.2.Brecha Efectiva x UdM'!$H$64:$AK$70,6,0))))</f>
        <v>0</v>
      </c>
      <c r="P630" s="32">
        <f>(VLOOKUP($A630,$A$458:$O$482,10,0)*(HLOOKUP(P$627,'2.2.Brecha Efectiva x UdM'!$H$86:$AK$92,6,0))+(VLOOKUP($A630,$A$4:$O$27,10,0)*(HLOOKUP(P$627,'2.2.Brecha Efectiva x UdM'!$H$64:$AK$70,6,0))))</f>
        <v>0</v>
      </c>
      <c r="Q630" s="32">
        <f>(VLOOKUP($A630,$A$458:$O$482,10,0)*(HLOOKUP(Q$627,'2.2.Brecha Efectiva x UdM'!$H$86:$AK$92,6,0))+(VLOOKUP($A630,$A$4:$O$27,10,0)*(HLOOKUP(Q$627,'2.2.Brecha Efectiva x UdM'!$H$64:$AK$70,6,0))))</f>
        <v>0</v>
      </c>
      <c r="R630" s="32">
        <f>(VLOOKUP($A630,$A$458:$O$482,10,0)*(HLOOKUP(R$627,'2.2.Brecha Efectiva x UdM'!$H$86:$AK$92,6,0))+(VLOOKUP($A630,$A$4:$O$27,10,0)*(HLOOKUP(R$627,'2.2.Brecha Efectiva x UdM'!$H$64:$AK$70,6,0))))</f>
        <v>0</v>
      </c>
      <c r="S630" s="32">
        <f>(VLOOKUP($A630,$A$458:$O$482,10,0)*(HLOOKUP(S$627,'2.2.Brecha Efectiva x UdM'!$H$86:$AK$92,6,0))+(VLOOKUP($A630,$A$4:$O$27,10,0)*(HLOOKUP(S$627,'2.2.Brecha Efectiva x UdM'!$H$64:$AK$70,6,0))))</f>
        <v>0</v>
      </c>
      <c r="T630" s="32">
        <f>(VLOOKUP($A630,$A$458:$O$482,10,0)*(HLOOKUP(T$627,'2.2.Brecha Efectiva x UdM'!$H$86:$AK$92,6,0))+(VLOOKUP($A630,$A$4:$O$27,10,0)*(HLOOKUP(T$627,'2.2.Brecha Efectiva x UdM'!$H$64:$AK$70,6,0))))</f>
        <v>0</v>
      </c>
      <c r="U630" s="32">
        <f>(VLOOKUP($A630,$A$458:$O$482,10,0)*(HLOOKUP(U$627,'2.2.Brecha Efectiva x UdM'!$H$86:$AK$92,6,0))+(VLOOKUP($A630,$A$4:$O$27,10,0)*(HLOOKUP(U$627,'2.2.Brecha Efectiva x UdM'!$H$64:$AK$70,6,0))))</f>
        <v>0</v>
      </c>
      <c r="V630" s="32">
        <f>(VLOOKUP($A630,$A$458:$O$482,10,0)*(HLOOKUP(V$627,'2.2.Brecha Efectiva x UdM'!$H$86:$AK$92,6,0))+(VLOOKUP($A630,$A$4:$O$27,10,0)*(HLOOKUP(V$627,'2.2.Brecha Efectiva x UdM'!$H$64:$AK$70,6,0))))</f>
        <v>0</v>
      </c>
      <c r="W630" s="32">
        <f>(VLOOKUP($A630,$A$458:$O$482,10,0)*(HLOOKUP(W$627,'2.2.Brecha Efectiva x UdM'!$H$86:$AK$92,6,0))+(VLOOKUP($A630,$A$4:$O$27,10,0)*(HLOOKUP(W$627,'2.2.Brecha Efectiva x UdM'!$H$64:$AK$70,6,0))))</f>
        <v>0</v>
      </c>
      <c r="X630" s="32">
        <f>(VLOOKUP($A630,$A$458:$O$482,10,0)*(HLOOKUP(X$627,'2.2.Brecha Efectiva x UdM'!$H$86:$AK$92,6,0))+(VLOOKUP($A630,$A$4:$O$27,10,0)*(HLOOKUP(X$627,'2.2.Brecha Efectiva x UdM'!$H$64:$AK$70,6,0))))</f>
        <v>0</v>
      </c>
      <c r="Y630" s="32">
        <f>(VLOOKUP($A630,$A$458:$O$482,10,0)*(HLOOKUP(Y$627,'2.2.Brecha Efectiva x UdM'!$H$86:$AK$92,6,0))+(VLOOKUP($A630,$A$4:$O$27,10,0)*(HLOOKUP(Y$627,'2.2.Brecha Efectiva x UdM'!$H$64:$AK$70,6,0))))</f>
        <v>0</v>
      </c>
      <c r="Z630" s="32">
        <f>(VLOOKUP($A630,$A$458:$O$482,10,0)*(HLOOKUP(Z$627,'2.2.Brecha Efectiva x UdM'!$H$86:$AK$92,6,0))+(VLOOKUP($A630,$A$4:$O$27,10,0)*(HLOOKUP(Z$627,'2.2.Brecha Efectiva x UdM'!$H$64:$AK$70,6,0))))</f>
        <v>0</v>
      </c>
      <c r="AA630" s="32">
        <f>(VLOOKUP($A630,$A$458:$O$482,10,0)*(HLOOKUP(AA$627,'2.2.Brecha Efectiva x UdM'!$H$86:$AK$92,6,0))+(VLOOKUP($A630,$A$4:$O$27,10,0)*(HLOOKUP(AA$627,'2.2.Brecha Efectiva x UdM'!$H$64:$AK$70,6,0))))</f>
        <v>0</v>
      </c>
      <c r="AB630" s="32">
        <f>(VLOOKUP($A630,$A$458:$O$482,10,0)*(HLOOKUP(AB$627,'2.2.Brecha Efectiva x UdM'!$H$86:$AK$92,6,0))+(VLOOKUP($A630,$A$4:$O$27,10,0)*(HLOOKUP(AB$627,'2.2.Brecha Efectiva x UdM'!$H$64:$AK$70,6,0))))</f>
        <v>0</v>
      </c>
      <c r="AC630" s="32">
        <f>(VLOOKUP($A630,$A$458:$O$482,10,0)*(HLOOKUP(AC$627,'2.2.Brecha Efectiva x UdM'!$H$86:$AK$92,6,0))+(VLOOKUP($A630,$A$4:$O$27,10,0)*(HLOOKUP(AC$627,'2.2.Brecha Efectiva x UdM'!$H$64:$AK$70,6,0))))</f>
        <v>0</v>
      </c>
      <c r="AD630" s="32">
        <f>(VLOOKUP($A630,$A$458:$O$482,10,0)*(HLOOKUP(AD$627,'2.2.Brecha Efectiva x UdM'!$H$86:$AK$92,6,0))+(VLOOKUP($A630,$A$4:$O$27,10,0)*(HLOOKUP(AD$627,'2.2.Brecha Efectiva x UdM'!$H$64:$AK$70,6,0))))</f>
        <v>0</v>
      </c>
      <c r="AE630" s="32">
        <f>(VLOOKUP($A630,$A$458:$O$482,10,0)*(HLOOKUP(AE$627,'2.2.Brecha Efectiva x UdM'!$H$86:$AK$92,6,0))+(VLOOKUP($A630,$A$4:$O$27,10,0)*(HLOOKUP(AE$627,'2.2.Brecha Efectiva x UdM'!$H$64:$AK$70,6,0))))</f>
        <v>0</v>
      </c>
      <c r="AF630" s="32">
        <f>(VLOOKUP($A630,$A$458:$O$482,10,0)*(HLOOKUP(AF$627,'2.2.Brecha Efectiva x UdM'!$H$86:$AK$92,6,0))+(VLOOKUP($A630,$A$4:$O$27,10,0)*(HLOOKUP(AF$627,'2.2.Brecha Efectiva x UdM'!$H$64:$AK$70,6,0))))</f>
        <v>0</v>
      </c>
      <c r="AG630" s="32">
        <f>(VLOOKUP($A630,$A$458:$O$482,10,0)*(HLOOKUP(AG$627,'2.2.Brecha Efectiva x UdM'!$H$86:$AK$92,6,0))+(VLOOKUP($A630,$A$4:$O$27,10,0)*(HLOOKUP(AG$627,'2.2.Brecha Efectiva x UdM'!$H$64:$AK$70,6,0))))</f>
        <v>0</v>
      </c>
      <c r="AH630" s="62">
        <f t="shared" ref="AH630:AH652" si="604">SUM(D630:AG630)</f>
        <v>0</v>
      </c>
    </row>
    <row r="631" spans="1:34" hidden="1" x14ac:dyDescent="0.2">
      <c r="A631" s="26" t="str">
        <f t="shared" si="601"/>
        <v>Chaco</v>
      </c>
      <c r="B631" s="52">
        <f t="shared" si="602"/>
        <v>0</v>
      </c>
      <c r="C631" s="26" t="str">
        <f t="shared" si="603"/>
        <v>Chaco 0</v>
      </c>
      <c r="D631" s="31">
        <f>(VLOOKUP($A631,$A$458:$O$482,10,0)*(HLOOKUP(D$627,'2.2.Brecha Efectiva x UdM'!$H$86:$AK$92,6,0))+(VLOOKUP($A631,$A$4:$O$27,10,0)*(HLOOKUP(D$627,'2.2.Brecha Efectiva x UdM'!$H$64:$AK$70,6,0))))</f>
        <v>0</v>
      </c>
      <c r="E631" s="31">
        <f>(VLOOKUP($A631,$A$458:$O$482,10,0)*(HLOOKUP(E$627,'2.2.Brecha Efectiva x UdM'!$H$86:$AK$92,6,0))+(VLOOKUP($A631,$A$4:$O$27,10,0)*(HLOOKUP(E$627,'2.2.Brecha Efectiva x UdM'!$H$64:$AK$70,6,0))))</f>
        <v>0</v>
      </c>
      <c r="F631" s="31">
        <f>(VLOOKUP($A631,$A$458:$O$482,10,0)*(HLOOKUP(F$627,'2.2.Brecha Efectiva x UdM'!$H$86:$AK$92,6,0))+(VLOOKUP($A631,$A$4:$O$27,10,0)*(HLOOKUP(F$627,'2.2.Brecha Efectiva x UdM'!$H$64:$AK$70,6,0))))</f>
        <v>0</v>
      </c>
      <c r="G631" s="31">
        <f>(VLOOKUP($A631,$A$458:$O$482,10,0)*(HLOOKUP(G$627,'2.2.Brecha Efectiva x UdM'!$H$86:$AK$92,6,0))+(VLOOKUP($A631,$A$4:$O$27,10,0)*(HLOOKUP(G$627,'2.2.Brecha Efectiva x UdM'!$H$64:$AK$70,6,0))))</f>
        <v>0</v>
      </c>
      <c r="H631" s="31">
        <f>(VLOOKUP($A631,$A$458:$O$482,10,0)*(HLOOKUP(H$627,'2.2.Brecha Efectiva x UdM'!$H$86:$AK$92,6,0))+(VLOOKUP($A631,$A$4:$O$27,10,0)*(HLOOKUP(H$627,'2.2.Brecha Efectiva x UdM'!$H$64:$AK$70,6,0))))</f>
        <v>0</v>
      </c>
      <c r="I631" s="31">
        <f>(VLOOKUP($A631,$A$458:$O$482,10,0)*(HLOOKUP(I$627,'2.2.Brecha Efectiva x UdM'!$H$86:$AK$92,6,0))+(VLOOKUP($A631,$A$4:$O$27,10,0)*(HLOOKUP(I$627,'2.2.Brecha Efectiva x UdM'!$H$64:$AK$70,6,0))))</f>
        <v>0</v>
      </c>
      <c r="J631" s="31">
        <f>(VLOOKUP($A631,$A$458:$O$482,10,0)*(HLOOKUP(J$627,'2.2.Brecha Efectiva x UdM'!$H$86:$AK$92,6,0))+(VLOOKUP($A631,$A$4:$O$27,10,0)*(HLOOKUP(J$627,'2.2.Brecha Efectiva x UdM'!$H$64:$AK$70,6,0))))</f>
        <v>0</v>
      </c>
      <c r="K631" s="31">
        <f>(VLOOKUP($A631,$A$458:$O$482,10,0)*(HLOOKUP(K$627,'2.2.Brecha Efectiva x UdM'!$H$86:$AK$92,6,0))+(VLOOKUP($A631,$A$4:$O$27,10,0)*(HLOOKUP(K$627,'2.2.Brecha Efectiva x UdM'!$H$64:$AK$70,6,0))))</f>
        <v>0</v>
      </c>
      <c r="L631" s="31">
        <f>(VLOOKUP($A631,$A$458:$O$482,10,0)*(HLOOKUP(L$627,'2.2.Brecha Efectiva x UdM'!$H$86:$AK$92,6,0))+(VLOOKUP($A631,$A$4:$O$27,10,0)*(HLOOKUP(L$627,'2.2.Brecha Efectiva x UdM'!$H$64:$AK$70,6,0))))</f>
        <v>0</v>
      </c>
      <c r="M631" s="31">
        <f>(VLOOKUP($A631,$A$458:$O$482,10,0)*(HLOOKUP(M$627,'2.2.Brecha Efectiva x UdM'!$H$86:$AK$92,6,0))+(VLOOKUP($A631,$A$4:$O$27,10,0)*(HLOOKUP(M$627,'2.2.Brecha Efectiva x UdM'!$H$64:$AK$70,6,0))))</f>
        <v>0</v>
      </c>
      <c r="N631" s="31">
        <f>(VLOOKUP($A631,$A$458:$O$482,10,0)*(HLOOKUP(N$627,'2.2.Brecha Efectiva x UdM'!$H$86:$AK$92,6,0))+(VLOOKUP($A631,$A$4:$O$27,10,0)*(HLOOKUP(N$627,'2.2.Brecha Efectiva x UdM'!$H$64:$AK$70,6,0))))</f>
        <v>0</v>
      </c>
      <c r="O631" s="31">
        <f>(VLOOKUP($A631,$A$458:$O$482,10,0)*(HLOOKUP(O$627,'2.2.Brecha Efectiva x UdM'!$H$86:$AK$92,6,0))+(VLOOKUP($A631,$A$4:$O$27,10,0)*(HLOOKUP(O$627,'2.2.Brecha Efectiva x UdM'!$H$64:$AK$70,6,0))))</f>
        <v>0</v>
      </c>
      <c r="P631" s="31">
        <f>(VLOOKUP($A631,$A$458:$O$482,10,0)*(HLOOKUP(P$627,'2.2.Brecha Efectiva x UdM'!$H$86:$AK$92,6,0))+(VLOOKUP($A631,$A$4:$O$27,10,0)*(HLOOKUP(P$627,'2.2.Brecha Efectiva x UdM'!$H$64:$AK$70,6,0))))</f>
        <v>0</v>
      </c>
      <c r="Q631" s="31">
        <f>(VLOOKUP($A631,$A$458:$O$482,10,0)*(HLOOKUP(Q$627,'2.2.Brecha Efectiva x UdM'!$H$86:$AK$92,6,0))+(VLOOKUP($A631,$A$4:$O$27,10,0)*(HLOOKUP(Q$627,'2.2.Brecha Efectiva x UdM'!$H$64:$AK$70,6,0))))</f>
        <v>0</v>
      </c>
      <c r="R631" s="31">
        <f>(VLOOKUP($A631,$A$458:$O$482,10,0)*(HLOOKUP(R$627,'2.2.Brecha Efectiva x UdM'!$H$86:$AK$92,6,0))+(VLOOKUP($A631,$A$4:$O$27,10,0)*(HLOOKUP(R$627,'2.2.Brecha Efectiva x UdM'!$H$64:$AK$70,6,0))))</f>
        <v>0</v>
      </c>
      <c r="S631" s="31">
        <f>(VLOOKUP($A631,$A$458:$O$482,10,0)*(HLOOKUP(S$627,'2.2.Brecha Efectiva x UdM'!$H$86:$AK$92,6,0))+(VLOOKUP($A631,$A$4:$O$27,10,0)*(HLOOKUP(S$627,'2.2.Brecha Efectiva x UdM'!$H$64:$AK$70,6,0))))</f>
        <v>0</v>
      </c>
      <c r="T631" s="31">
        <f>(VLOOKUP($A631,$A$458:$O$482,10,0)*(HLOOKUP(T$627,'2.2.Brecha Efectiva x UdM'!$H$86:$AK$92,6,0))+(VLOOKUP($A631,$A$4:$O$27,10,0)*(HLOOKUP(T$627,'2.2.Brecha Efectiva x UdM'!$H$64:$AK$70,6,0))))</f>
        <v>0</v>
      </c>
      <c r="U631" s="31">
        <f>(VLOOKUP($A631,$A$458:$O$482,10,0)*(HLOOKUP(U$627,'2.2.Brecha Efectiva x UdM'!$H$86:$AK$92,6,0))+(VLOOKUP($A631,$A$4:$O$27,10,0)*(HLOOKUP(U$627,'2.2.Brecha Efectiva x UdM'!$H$64:$AK$70,6,0))))</f>
        <v>0</v>
      </c>
      <c r="V631" s="31">
        <f>(VLOOKUP($A631,$A$458:$O$482,10,0)*(HLOOKUP(V$627,'2.2.Brecha Efectiva x UdM'!$H$86:$AK$92,6,0))+(VLOOKUP($A631,$A$4:$O$27,10,0)*(HLOOKUP(V$627,'2.2.Brecha Efectiva x UdM'!$H$64:$AK$70,6,0))))</f>
        <v>0</v>
      </c>
      <c r="W631" s="31">
        <f>(VLOOKUP($A631,$A$458:$O$482,10,0)*(HLOOKUP(W$627,'2.2.Brecha Efectiva x UdM'!$H$86:$AK$92,6,0))+(VLOOKUP($A631,$A$4:$O$27,10,0)*(HLOOKUP(W$627,'2.2.Brecha Efectiva x UdM'!$H$64:$AK$70,6,0))))</f>
        <v>0</v>
      </c>
      <c r="X631" s="31">
        <f>(VLOOKUP($A631,$A$458:$O$482,10,0)*(HLOOKUP(X$627,'2.2.Brecha Efectiva x UdM'!$H$86:$AK$92,6,0))+(VLOOKUP($A631,$A$4:$O$27,10,0)*(HLOOKUP(X$627,'2.2.Brecha Efectiva x UdM'!$H$64:$AK$70,6,0))))</f>
        <v>0</v>
      </c>
      <c r="Y631" s="31">
        <f>(VLOOKUP($A631,$A$458:$O$482,10,0)*(HLOOKUP(Y$627,'2.2.Brecha Efectiva x UdM'!$H$86:$AK$92,6,0))+(VLOOKUP($A631,$A$4:$O$27,10,0)*(HLOOKUP(Y$627,'2.2.Brecha Efectiva x UdM'!$H$64:$AK$70,6,0))))</f>
        <v>0</v>
      </c>
      <c r="Z631" s="31">
        <f>(VLOOKUP($A631,$A$458:$O$482,10,0)*(HLOOKUP(Z$627,'2.2.Brecha Efectiva x UdM'!$H$86:$AK$92,6,0))+(VLOOKUP($A631,$A$4:$O$27,10,0)*(HLOOKUP(Z$627,'2.2.Brecha Efectiva x UdM'!$H$64:$AK$70,6,0))))</f>
        <v>0</v>
      </c>
      <c r="AA631" s="31">
        <f>(VLOOKUP($A631,$A$458:$O$482,10,0)*(HLOOKUP(AA$627,'2.2.Brecha Efectiva x UdM'!$H$86:$AK$92,6,0))+(VLOOKUP($A631,$A$4:$O$27,10,0)*(HLOOKUP(AA$627,'2.2.Brecha Efectiva x UdM'!$H$64:$AK$70,6,0))))</f>
        <v>0</v>
      </c>
      <c r="AB631" s="31">
        <f>(VLOOKUP($A631,$A$458:$O$482,10,0)*(HLOOKUP(AB$627,'2.2.Brecha Efectiva x UdM'!$H$86:$AK$92,6,0))+(VLOOKUP($A631,$A$4:$O$27,10,0)*(HLOOKUP(AB$627,'2.2.Brecha Efectiva x UdM'!$H$64:$AK$70,6,0))))</f>
        <v>0</v>
      </c>
      <c r="AC631" s="31">
        <f>(VLOOKUP($A631,$A$458:$O$482,10,0)*(HLOOKUP(AC$627,'2.2.Brecha Efectiva x UdM'!$H$86:$AK$92,6,0))+(VLOOKUP($A631,$A$4:$O$27,10,0)*(HLOOKUP(AC$627,'2.2.Brecha Efectiva x UdM'!$H$64:$AK$70,6,0))))</f>
        <v>0</v>
      </c>
      <c r="AD631" s="31">
        <f>(VLOOKUP($A631,$A$458:$O$482,10,0)*(HLOOKUP(AD$627,'2.2.Brecha Efectiva x UdM'!$H$86:$AK$92,6,0))+(VLOOKUP($A631,$A$4:$O$27,10,0)*(HLOOKUP(AD$627,'2.2.Brecha Efectiva x UdM'!$H$64:$AK$70,6,0))))</f>
        <v>0</v>
      </c>
      <c r="AE631" s="31">
        <f>(VLOOKUP($A631,$A$458:$O$482,10,0)*(HLOOKUP(AE$627,'2.2.Brecha Efectiva x UdM'!$H$86:$AK$92,6,0))+(VLOOKUP($A631,$A$4:$O$27,10,0)*(HLOOKUP(AE$627,'2.2.Brecha Efectiva x UdM'!$H$64:$AK$70,6,0))))</f>
        <v>0</v>
      </c>
      <c r="AF631" s="31">
        <f>(VLOOKUP($A631,$A$458:$O$482,10,0)*(HLOOKUP(AF$627,'2.2.Brecha Efectiva x UdM'!$H$86:$AK$92,6,0))+(VLOOKUP($A631,$A$4:$O$27,10,0)*(HLOOKUP(AF$627,'2.2.Brecha Efectiva x UdM'!$H$64:$AK$70,6,0))))</f>
        <v>0</v>
      </c>
      <c r="AG631" s="31">
        <f>(VLOOKUP($A631,$A$458:$O$482,10,0)*(HLOOKUP(AG$627,'2.2.Brecha Efectiva x UdM'!$H$86:$AK$92,6,0))+(VLOOKUP($A631,$A$4:$O$27,10,0)*(HLOOKUP(AG$627,'2.2.Brecha Efectiva x UdM'!$H$64:$AK$70,6,0))))</f>
        <v>0</v>
      </c>
      <c r="AH631" s="63">
        <f t="shared" si="604"/>
        <v>0</v>
      </c>
    </row>
    <row r="632" spans="1:34" hidden="1" x14ac:dyDescent="0.2">
      <c r="A632" s="25" t="str">
        <f t="shared" si="601"/>
        <v>Chubut</v>
      </c>
      <c r="B632" s="51">
        <f t="shared" si="602"/>
        <v>0</v>
      </c>
      <c r="C632" s="25" t="str">
        <f t="shared" si="603"/>
        <v>Chubut 0</v>
      </c>
      <c r="D632" s="32">
        <f>(VLOOKUP($A632,$A$458:$O$482,10,0)*(HLOOKUP(D$627,'2.2.Brecha Efectiva x UdM'!$H$86:$AK$92,6,0))+(VLOOKUP($A632,$A$4:$O$27,10,0)*(HLOOKUP(D$627,'2.2.Brecha Efectiva x UdM'!$H$64:$AK$70,6,0))))</f>
        <v>0</v>
      </c>
      <c r="E632" s="32">
        <f>(VLOOKUP($A632,$A$458:$O$482,10,0)*(HLOOKUP(E$627,'2.2.Brecha Efectiva x UdM'!$H$86:$AK$92,6,0))+(VLOOKUP($A632,$A$4:$O$27,10,0)*(HLOOKUP(E$627,'2.2.Brecha Efectiva x UdM'!$H$64:$AK$70,6,0))))</f>
        <v>0</v>
      </c>
      <c r="F632" s="32">
        <f>(VLOOKUP($A632,$A$458:$O$482,10,0)*(HLOOKUP(F$627,'2.2.Brecha Efectiva x UdM'!$H$86:$AK$92,6,0))+(VLOOKUP($A632,$A$4:$O$27,10,0)*(HLOOKUP(F$627,'2.2.Brecha Efectiva x UdM'!$H$64:$AK$70,6,0))))</f>
        <v>0</v>
      </c>
      <c r="G632" s="32">
        <f>(VLOOKUP($A632,$A$458:$O$482,10,0)*(HLOOKUP(G$627,'2.2.Brecha Efectiva x UdM'!$H$86:$AK$92,6,0))+(VLOOKUP($A632,$A$4:$O$27,10,0)*(HLOOKUP(G$627,'2.2.Brecha Efectiva x UdM'!$H$64:$AK$70,6,0))))</f>
        <v>0</v>
      </c>
      <c r="H632" s="32">
        <f>(VLOOKUP($A632,$A$458:$O$482,10,0)*(HLOOKUP(H$627,'2.2.Brecha Efectiva x UdM'!$H$86:$AK$92,6,0))+(VLOOKUP($A632,$A$4:$O$27,10,0)*(HLOOKUP(H$627,'2.2.Brecha Efectiva x UdM'!$H$64:$AK$70,6,0))))</f>
        <v>0</v>
      </c>
      <c r="I632" s="32">
        <f>(VLOOKUP($A632,$A$458:$O$482,10,0)*(HLOOKUP(I$627,'2.2.Brecha Efectiva x UdM'!$H$86:$AK$92,6,0))+(VLOOKUP($A632,$A$4:$O$27,10,0)*(HLOOKUP(I$627,'2.2.Brecha Efectiva x UdM'!$H$64:$AK$70,6,0))))</f>
        <v>0</v>
      </c>
      <c r="J632" s="32">
        <f>(VLOOKUP($A632,$A$458:$O$482,10,0)*(HLOOKUP(J$627,'2.2.Brecha Efectiva x UdM'!$H$86:$AK$92,6,0))+(VLOOKUP($A632,$A$4:$O$27,10,0)*(HLOOKUP(J$627,'2.2.Brecha Efectiva x UdM'!$H$64:$AK$70,6,0))))</f>
        <v>0</v>
      </c>
      <c r="K632" s="32">
        <f>(VLOOKUP($A632,$A$458:$O$482,10,0)*(HLOOKUP(K$627,'2.2.Brecha Efectiva x UdM'!$H$86:$AK$92,6,0))+(VLOOKUP($A632,$A$4:$O$27,10,0)*(HLOOKUP(K$627,'2.2.Brecha Efectiva x UdM'!$H$64:$AK$70,6,0))))</f>
        <v>0</v>
      </c>
      <c r="L632" s="32">
        <f>(VLOOKUP($A632,$A$458:$O$482,10,0)*(HLOOKUP(L$627,'2.2.Brecha Efectiva x UdM'!$H$86:$AK$92,6,0))+(VLOOKUP($A632,$A$4:$O$27,10,0)*(HLOOKUP(L$627,'2.2.Brecha Efectiva x UdM'!$H$64:$AK$70,6,0))))</f>
        <v>0</v>
      </c>
      <c r="M632" s="32">
        <f>(VLOOKUP($A632,$A$458:$O$482,10,0)*(HLOOKUP(M$627,'2.2.Brecha Efectiva x UdM'!$H$86:$AK$92,6,0))+(VLOOKUP($A632,$A$4:$O$27,10,0)*(HLOOKUP(M$627,'2.2.Brecha Efectiva x UdM'!$H$64:$AK$70,6,0))))</f>
        <v>0</v>
      </c>
      <c r="N632" s="32">
        <f>(VLOOKUP($A632,$A$458:$O$482,10,0)*(HLOOKUP(N$627,'2.2.Brecha Efectiva x UdM'!$H$86:$AK$92,6,0))+(VLOOKUP($A632,$A$4:$O$27,10,0)*(HLOOKUP(N$627,'2.2.Brecha Efectiva x UdM'!$H$64:$AK$70,6,0))))</f>
        <v>0</v>
      </c>
      <c r="O632" s="32">
        <f>(VLOOKUP($A632,$A$458:$O$482,10,0)*(HLOOKUP(O$627,'2.2.Brecha Efectiva x UdM'!$H$86:$AK$92,6,0))+(VLOOKUP($A632,$A$4:$O$27,10,0)*(HLOOKUP(O$627,'2.2.Brecha Efectiva x UdM'!$H$64:$AK$70,6,0))))</f>
        <v>0</v>
      </c>
      <c r="P632" s="32">
        <f>(VLOOKUP($A632,$A$458:$O$482,10,0)*(HLOOKUP(P$627,'2.2.Brecha Efectiva x UdM'!$H$86:$AK$92,6,0))+(VLOOKUP($A632,$A$4:$O$27,10,0)*(HLOOKUP(P$627,'2.2.Brecha Efectiva x UdM'!$H$64:$AK$70,6,0))))</f>
        <v>0</v>
      </c>
      <c r="Q632" s="32">
        <f>(VLOOKUP($A632,$A$458:$O$482,10,0)*(HLOOKUP(Q$627,'2.2.Brecha Efectiva x UdM'!$H$86:$AK$92,6,0))+(VLOOKUP($A632,$A$4:$O$27,10,0)*(HLOOKUP(Q$627,'2.2.Brecha Efectiva x UdM'!$H$64:$AK$70,6,0))))</f>
        <v>0</v>
      </c>
      <c r="R632" s="32">
        <f>(VLOOKUP($A632,$A$458:$O$482,10,0)*(HLOOKUP(R$627,'2.2.Brecha Efectiva x UdM'!$H$86:$AK$92,6,0))+(VLOOKUP($A632,$A$4:$O$27,10,0)*(HLOOKUP(R$627,'2.2.Brecha Efectiva x UdM'!$H$64:$AK$70,6,0))))</f>
        <v>0</v>
      </c>
      <c r="S632" s="32">
        <f>(VLOOKUP($A632,$A$458:$O$482,10,0)*(HLOOKUP(S$627,'2.2.Brecha Efectiva x UdM'!$H$86:$AK$92,6,0))+(VLOOKUP($A632,$A$4:$O$27,10,0)*(HLOOKUP(S$627,'2.2.Brecha Efectiva x UdM'!$H$64:$AK$70,6,0))))</f>
        <v>0</v>
      </c>
      <c r="T632" s="32">
        <f>(VLOOKUP($A632,$A$458:$O$482,10,0)*(HLOOKUP(T$627,'2.2.Brecha Efectiva x UdM'!$H$86:$AK$92,6,0))+(VLOOKUP($A632,$A$4:$O$27,10,0)*(HLOOKUP(T$627,'2.2.Brecha Efectiva x UdM'!$H$64:$AK$70,6,0))))</f>
        <v>0</v>
      </c>
      <c r="U632" s="32">
        <f>(VLOOKUP($A632,$A$458:$O$482,10,0)*(HLOOKUP(U$627,'2.2.Brecha Efectiva x UdM'!$H$86:$AK$92,6,0))+(VLOOKUP($A632,$A$4:$O$27,10,0)*(HLOOKUP(U$627,'2.2.Brecha Efectiva x UdM'!$H$64:$AK$70,6,0))))</f>
        <v>0</v>
      </c>
      <c r="V632" s="32">
        <f>(VLOOKUP($A632,$A$458:$O$482,10,0)*(HLOOKUP(V$627,'2.2.Brecha Efectiva x UdM'!$H$86:$AK$92,6,0))+(VLOOKUP($A632,$A$4:$O$27,10,0)*(HLOOKUP(V$627,'2.2.Brecha Efectiva x UdM'!$H$64:$AK$70,6,0))))</f>
        <v>0</v>
      </c>
      <c r="W632" s="32">
        <f>(VLOOKUP($A632,$A$458:$O$482,10,0)*(HLOOKUP(W$627,'2.2.Brecha Efectiva x UdM'!$H$86:$AK$92,6,0))+(VLOOKUP($A632,$A$4:$O$27,10,0)*(HLOOKUP(W$627,'2.2.Brecha Efectiva x UdM'!$H$64:$AK$70,6,0))))</f>
        <v>0</v>
      </c>
      <c r="X632" s="32">
        <f>(VLOOKUP($A632,$A$458:$O$482,10,0)*(HLOOKUP(X$627,'2.2.Brecha Efectiva x UdM'!$H$86:$AK$92,6,0))+(VLOOKUP($A632,$A$4:$O$27,10,0)*(HLOOKUP(X$627,'2.2.Brecha Efectiva x UdM'!$H$64:$AK$70,6,0))))</f>
        <v>0</v>
      </c>
      <c r="Y632" s="32">
        <f>(VLOOKUP($A632,$A$458:$O$482,10,0)*(HLOOKUP(Y$627,'2.2.Brecha Efectiva x UdM'!$H$86:$AK$92,6,0))+(VLOOKUP($A632,$A$4:$O$27,10,0)*(HLOOKUP(Y$627,'2.2.Brecha Efectiva x UdM'!$H$64:$AK$70,6,0))))</f>
        <v>0</v>
      </c>
      <c r="Z632" s="32">
        <f>(VLOOKUP($A632,$A$458:$O$482,10,0)*(HLOOKUP(Z$627,'2.2.Brecha Efectiva x UdM'!$H$86:$AK$92,6,0))+(VLOOKUP($A632,$A$4:$O$27,10,0)*(HLOOKUP(Z$627,'2.2.Brecha Efectiva x UdM'!$H$64:$AK$70,6,0))))</f>
        <v>0</v>
      </c>
      <c r="AA632" s="32">
        <f>(VLOOKUP($A632,$A$458:$O$482,10,0)*(HLOOKUP(AA$627,'2.2.Brecha Efectiva x UdM'!$H$86:$AK$92,6,0))+(VLOOKUP($A632,$A$4:$O$27,10,0)*(HLOOKUP(AA$627,'2.2.Brecha Efectiva x UdM'!$H$64:$AK$70,6,0))))</f>
        <v>0</v>
      </c>
      <c r="AB632" s="32">
        <f>(VLOOKUP($A632,$A$458:$O$482,10,0)*(HLOOKUP(AB$627,'2.2.Brecha Efectiva x UdM'!$H$86:$AK$92,6,0))+(VLOOKUP($A632,$A$4:$O$27,10,0)*(HLOOKUP(AB$627,'2.2.Brecha Efectiva x UdM'!$H$64:$AK$70,6,0))))</f>
        <v>0</v>
      </c>
      <c r="AC632" s="32">
        <f>(VLOOKUP($A632,$A$458:$O$482,10,0)*(HLOOKUP(AC$627,'2.2.Brecha Efectiva x UdM'!$H$86:$AK$92,6,0))+(VLOOKUP($A632,$A$4:$O$27,10,0)*(HLOOKUP(AC$627,'2.2.Brecha Efectiva x UdM'!$H$64:$AK$70,6,0))))</f>
        <v>0</v>
      </c>
      <c r="AD632" s="32">
        <f>(VLOOKUP($A632,$A$458:$O$482,10,0)*(HLOOKUP(AD$627,'2.2.Brecha Efectiva x UdM'!$H$86:$AK$92,6,0))+(VLOOKUP($A632,$A$4:$O$27,10,0)*(HLOOKUP(AD$627,'2.2.Brecha Efectiva x UdM'!$H$64:$AK$70,6,0))))</f>
        <v>0</v>
      </c>
      <c r="AE632" s="32">
        <f>(VLOOKUP($A632,$A$458:$O$482,10,0)*(HLOOKUP(AE$627,'2.2.Brecha Efectiva x UdM'!$H$86:$AK$92,6,0))+(VLOOKUP($A632,$A$4:$O$27,10,0)*(HLOOKUP(AE$627,'2.2.Brecha Efectiva x UdM'!$H$64:$AK$70,6,0))))</f>
        <v>0</v>
      </c>
      <c r="AF632" s="32">
        <f>(VLOOKUP($A632,$A$458:$O$482,10,0)*(HLOOKUP(AF$627,'2.2.Brecha Efectiva x UdM'!$H$86:$AK$92,6,0))+(VLOOKUP($A632,$A$4:$O$27,10,0)*(HLOOKUP(AF$627,'2.2.Brecha Efectiva x UdM'!$H$64:$AK$70,6,0))))</f>
        <v>0</v>
      </c>
      <c r="AG632" s="32">
        <f>(VLOOKUP($A632,$A$458:$O$482,10,0)*(HLOOKUP(AG$627,'2.2.Brecha Efectiva x UdM'!$H$86:$AK$92,6,0))+(VLOOKUP($A632,$A$4:$O$27,10,0)*(HLOOKUP(AG$627,'2.2.Brecha Efectiva x UdM'!$H$64:$AK$70,6,0))))</f>
        <v>0</v>
      </c>
      <c r="AH632" s="62">
        <f t="shared" si="604"/>
        <v>0</v>
      </c>
    </row>
    <row r="633" spans="1:34" hidden="1" x14ac:dyDescent="0.2">
      <c r="A633" s="26" t="str">
        <f t="shared" si="601"/>
        <v>Córdoba</v>
      </c>
      <c r="B633" s="52">
        <f t="shared" si="602"/>
        <v>0</v>
      </c>
      <c r="C633" s="26" t="str">
        <f t="shared" si="603"/>
        <v>Córdoba 0</v>
      </c>
      <c r="D633" s="31">
        <f>(VLOOKUP($A633,$A$458:$O$482,10,0)*(HLOOKUP(D$627,'2.2.Brecha Efectiva x UdM'!$H$86:$AK$92,6,0))+(VLOOKUP($A633,$A$4:$O$27,10,0)*(HLOOKUP(D$627,'2.2.Brecha Efectiva x UdM'!$H$64:$AK$70,6,0))))</f>
        <v>0</v>
      </c>
      <c r="E633" s="31">
        <f>(VLOOKUP($A633,$A$458:$O$482,10,0)*(HLOOKUP(E$627,'2.2.Brecha Efectiva x UdM'!$H$86:$AK$92,6,0))+(VLOOKUP($A633,$A$4:$O$27,10,0)*(HLOOKUP(E$627,'2.2.Brecha Efectiva x UdM'!$H$64:$AK$70,6,0))))</f>
        <v>0</v>
      </c>
      <c r="F633" s="31">
        <f>(VLOOKUP($A633,$A$458:$O$482,10,0)*(HLOOKUP(F$627,'2.2.Brecha Efectiva x UdM'!$H$86:$AK$92,6,0))+(VLOOKUP($A633,$A$4:$O$27,10,0)*(HLOOKUP(F$627,'2.2.Brecha Efectiva x UdM'!$H$64:$AK$70,6,0))))</f>
        <v>0</v>
      </c>
      <c r="G633" s="31">
        <f>(VLOOKUP($A633,$A$458:$O$482,10,0)*(HLOOKUP(G$627,'2.2.Brecha Efectiva x UdM'!$H$86:$AK$92,6,0))+(VLOOKUP($A633,$A$4:$O$27,10,0)*(HLOOKUP(G$627,'2.2.Brecha Efectiva x UdM'!$H$64:$AK$70,6,0))))</f>
        <v>0</v>
      </c>
      <c r="H633" s="31">
        <f>(VLOOKUP($A633,$A$458:$O$482,10,0)*(HLOOKUP(H$627,'2.2.Brecha Efectiva x UdM'!$H$86:$AK$92,6,0))+(VLOOKUP($A633,$A$4:$O$27,10,0)*(HLOOKUP(H$627,'2.2.Brecha Efectiva x UdM'!$H$64:$AK$70,6,0))))</f>
        <v>0</v>
      </c>
      <c r="I633" s="31">
        <f>(VLOOKUP($A633,$A$458:$O$482,10,0)*(HLOOKUP(I$627,'2.2.Brecha Efectiva x UdM'!$H$86:$AK$92,6,0))+(VLOOKUP($A633,$A$4:$O$27,10,0)*(HLOOKUP(I$627,'2.2.Brecha Efectiva x UdM'!$H$64:$AK$70,6,0))))</f>
        <v>0</v>
      </c>
      <c r="J633" s="31">
        <f>(VLOOKUP($A633,$A$458:$O$482,10,0)*(HLOOKUP(J$627,'2.2.Brecha Efectiva x UdM'!$H$86:$AK$92,6,0))+(VLOOKUP($A633,$A$4:$O$27,10,0)*(HLOOKUP(J$627,'2.2.Brecha Efectiva x UdM'!$H$64:$AK$70,6,0))))</f>
        <v>0</v>
      </c>
      <c r="K633" s="31">
        <f>(VLOOKUP($A633,$A$458:$O$482,10,0)*(HLOOKUP(K$627,'2.2.Brecha Efectiva x UdM'!$H$86:$AK$92,6,0))+(VLOOKUP($A633,$A$4:$O$27,10,0)*(HLOOKUP(K$627,'2.2.Brecha Efectiva x UdM'!$H$64:$AK$70,6,0))))</f>
        <v>0</v>
      </c>
      <c r="L633" s="31">
        <f>(VLOOKUP($A633,$A$458:$O$482,10,0)*(HLOOKUP(L$627,'2.2.Brecha Efectiva x UdM'!$H$86:$AK$92,6,0))+(VLOOKUP($A633,$A$4:$O$27,10,0)*(HLOOKUP(L$627,'2.2.Brecha Efectiva x UdM'!$H$64:$AK$70,6,0))))</f>
        <v>0</v>
      </c>
      <c r="M633" s="31">
        <f>(VLOOKUP($A633,$A$458:$O$482,10,0)*(HLOOKUP(M$627,'2.2.Brecha Efectiva x UdM'!$H$86:$AK$92,6,0))+(VLOOKUP($A633,$A$4:$O$27,10,0)*(HLOOKUP(M$627,'2.2.Brecha Efectiva x UdM'!$H$64:$AK$70,6,0))))</f>
        <v>0</v>
      </c>
      <c r="N633" s="31">
        <f>(VLOOKUP($A633,$A$458:$O$482,10,0)*(HLOOKUP(N$627,'2.2.Brecha Efectiva x UdM'!$H$86:$AK$92,6,0))+(VLOOKUP($A633,$A$4:$O$27,10,0)*(HLOOKUP(N$627,'2.2.Brecha Efectiva x UdM'!$H$64:$AK$70,6,0))))</f>
        <v>0</v>
      </c>
      <c r="O633" s="31">
        <f>(VLOOKUP($A633,$A$458:$O$482,10,0)*(HLOOKUP(O$627,'2.2.Brecha Efectiva x UdM'!$H$86:$AK$92,6,0))+(VLOOKUP($A633,$A$4:$O$27,10,0)*(HLOOKUP(O$627,'2.2.Brecha Efectiva x UdM'!$H$64:$AK$70,6,0))))</f>
        <v>0</v>
      </c>
      <c r="P633" s="31">
        <f>(VLOOKUP($A633,$A$458:$O$482,10,0)*(HLOOKUP(P$627,'2.2.Brecha Efectiva x UdM'!$H$86:$AK$92,6,0))+(VLOOKUP($A633,$A$4:$O$27,10,0)*(HLOOKUP(P$627,'2.2.Brecha Efectiva x UdM'!$H$64:$AK$70,6,0))))</f>
        <v>0</v>
      </c>
      <c r="Q633" s="31">
        <f>(VLOOKUP($A633,$A$458:$O$482,10,0)*(HLOOKUP(Q$627,'2.2.Brecha Efectiva x UdM'!$H$86:$AK$92,6,0))+(VLOOKUP($A633,$A$4:$O$27,10,0)*(HLOOKUP(Q$627,'2.2.Brecha Efectiva x UdM'!$H$64:$AK$70,6,0))))</f>
        <v>0</v>
      </c>
      <c r="R633" s="31">
        <f>(VLOOKUP($A633,$A$458:$O$482,10,0)*(HLOOKUP(R$627,'2.2.Brecha Efectiva x UdM'!$H$86:$AK$92,6,0))+(VLOOKUP($A633,$A$4:$O$27,10,0)*(HLOOKUP(R$627,'2.2.Brecha Efectiva x UdM'!$H$64:$AK$70,6,0))))</f>
        <v>0</v>
      </c>
      <c r="S633" s="31">
        <f>(VLOOKUP($A633,$A$458:$O$482,10,0)*(HLOOKUP(S$627,'2.2.Brecha Efectiva x UdM'!$H$86:$AK$92,6,0))+(VLOOKUP($A633,$A$4:$O$27,10,0)*(HLOOKUP(S$627,'2.2.Brecha Efectiva x UdM'!$H$64:$AK$70,6,0))))</f>
        <v>0</v>
      </c>
      <c r="T633" s="31">
        <f>(VLOOKUP($A633,$A$458:$O$482,10,0)*(HLOOKUP(T$627,'2.2.Brecha Efectiva x UdM'!$H$86:$AK$92,6,0))+(VLOOKUP($A633,$A$4:$O$27,10,0)*(HLOOKUP(T$627,'2.2.Brecha Efectiva x UdM'!$H$64:$AK$70,6,0))))</f>
        <v>0</v>
      </c>
      <c r="U633" s="31">
        <f>(VLOOKUP($A633,$A$458:$O$482,10,0)*(HLOOKUP(U$627,'2.2.Brecha Efectiva x UdM'!$H$86:$AK$92,6,0))+(VLOOKUP($A633,$A$4:$O$27,10,0)*(HLOOKUP(U$627,'2.2.Brecha Efectiva x UdM'!$H$64:$AK$70,6,0))))</f>
        <v>0</v>
      </c>
      <c r="V633" s="31">
        <f>(VLOOKUP($A633,$A$458:$O$482,10,0)*(HLOOKUP(V$627,'2.2.Brecha Efectiva x UdM'!$H$86:$AK$92,6,0))+(VLOOKUP($A633,$A$4:$O$27,10,0)*(HLOOKUP(V$627,'2.2.Brecha Efectiva x UdM'!$H$64:$AK$70,6,0))))</f>
        <v>0</v>
      </c>
      <c r="W633" s="31">
        <f>(VLOOKUP($A633,$A$458:$O$482,10,0)*(HLOOKUP(W$627,'2.2.Brecha Efectiva x UdM'!$H$86:$AK$92,6,0))+(VLOOKUP($A633,$A$4:$O$27,10,0)*(HLOOKUP(W$627,'2.2.Brecha Efectiva x UdM'!$H$64:$AK$70,6,0))))</f>
        <v>0</v>
      </c>
      <c r="X633" s="31">
        <f>(VLOOKUP($A633,$A$458:$O$482,10,0)*(HLOOKUP(X$627,'2.2.Brecha Efectiva x UdM'!$H$86:$AK$92,6,0))+(VLOOKUP($A633,$A$4:$O$27,10,0)*(HLOOKUP(X$627,'2.2.Brecha Efectiva x UdM'!$H$64:$AK$70,6,0))))</f>
        <v>0</v>
      </c>
      <c r="Y633" s="31">
        <f>(VLOOKUP($A633,$A$458:$O$482,10,0)*(HLOOKUP(Y$627,'2.2.Brecha Efectiva x UdM'!$H$86:$AK$92,6,0))+(VLOOKUP($A633,$A$4:$O$27,10,0)*(HLOOKUP(Y$627,'2.2.Brecha Efectiva x UdM'!$H$64:$AK$70,6,0))))</f>
        <v>0</v>
      </c>
      <c r="Z633" s="31">
        <f>(VLOOKUP($A633,$A$458:$O$482,10,0)*(HLOOKUP(Z$627,'2.2.Brecha Efectiva x UdM'!$H$86:$AK$92,6,0))+(VLOOKUP($A633,$A$4:$O$27,10,0)*(HLOOKUP(Z$627,'2.2.Brecha Efectiva x UdM'!$H$64:$AK$70,6,0))))</f>
        <v>0</v>
      </c>
      <c r="AA633" s="31">
        <f>(VLOOKUP($A633,$A$458:$O$482,10,0)*(HLOOKUP(AA$627,'2.2.Brecha Efectiva x UdM'!$H$86:$AK$92,6,0))+(VLOOKUP($A633,$A$4:$O$27,10,0)*(HLOOKUP(AA$627,'2.2.Brecha Efectiva x UdM'!$H$64:$AK$70,6,0))))</f>
        <v>0</v>
      </c>
      <c r="AB633" s="31">
        <f>(VLOOKUP($A633,$A$458:$O$482,10,0)*(HLOOKUP(AB$627,'2.2.Brecha Efectiva x UdM'!$H$86:$AK$92,6,0))+(VLOOKUP($A633,$A$4:$O$27,10,0)*(HLOOKUP(AB$627,'2.2.Brecha Efectiva x UdM'!$H$64:$AK$70,6,0))))</f>
        <v>0</v>
      </c>
      <c r="AC633" s="31">
        <f>(VLOOKUP($A633,$A$458:$O$482,10,0)*(HLOOKUP(AC$627,'2.2.Brecha Efectiva x UdM'!$H$86:$AK$92,6,0))+(VLOOKUP($A633,$A$4:$O$27,10,0)*(HLOOKUP(AC$627,'2.2.Brecha Efectiva x UdM'!$H$64:$AK$70,6,0))))</f>
        <v>0</v>
      </c>
      <c r="AD633" s="31">
        <f>(VLOOKUP($A633,$A$458:$O$482,10,0)*(HLOOKUP(AD$627,'2.2.Brecha Efectiva x UdM'!$H$86:$AK$92,6,0))+(VLOOKUP($A633,$A$4:$O$27,10,0)*(HLOOKUP(AD$627,'2.2.Brecha Efectiva x UdM'!$H$64:$AK$70,6,0))))</f>
        <v>0</v>
      </c>
      <c r="AE633" s="31">
        <f>(VLOOKUP($A633,$A$458:$O$482,10,0)*(HLOOKUP(AE$627,'2.2.Brecha Efectiva x UdM'!$H$86:$AK$92,6,0))+(VLOOKUP($A633,$A$4:$O$27,10,0)*(HLOOKUP(AE$627,'2.2.Brecha Efectiva x UdM'!$H$64:$AK$70,6,0))))</f>
        <v>0</v>
      </c>
      <c r="AF633" s="31">
        <f>(VLOOKUP($A633,$A$458:$O$482,10,0)*(HLOOKUP(AF$627,'2.2.Brecha Efectiva x UdM'!$H$86:$AK$92,6,0))+(VLOOKUP($A633,$A$4:$O$27,10,0)*(HLOOKUP(AF$627,'2.2.Brecha Efectiva x UdM'!$H$64:$AK$70,6,0))))</f>
        <v>0</v>
      </c>
      <c r="AG633" s="31">
        <f>(VLOOKUP($A633,$A$458:$O$482,10,0)*(HLOOKUP(AG$627,'2.2.Brecha Efectiva x UdM'!$H$86:$AK$92,6,0))+(VLOOKUP($A633,$A$4:$O$27,10,0)*(HLOOKUP(AG$627,'2.2.Brecha Efectiva x UdM'!$H$64:$AK$70,6,0))))</f>
        <v>0</v>
      </c>
      <c r="AH633" s="63">
        <f t="shared" si="604"/>
        <v>0</v>
      </c>
    </row>
    <row r="634" spans="1:34" hidden="1" x14ac:dyDescent="0.2">
      <c r="A634" s="25" t="str">
        <f t="shared" si="601"/>
        <v>Corrientes</v>
      </c>
      <c r="B634" s="51">
        <f t="shared" si="602"/>
        <v>0</v>
      </c>
      <c r="C634" s="25" t="str">
        <f t="shared" si="603"/>
        <v>Corrientes 0</v>
      </c>
      <c r="D634" s="32">
        <f>(VLOOKUP($A634,$A$458:$O$482,10,0)*(HLOOKUP(D$627,'2.2.Brecha Efectiva x UdM'!$H$86:$AK$92,6,0))+(VLOOKUP($A634,$A$4:$O$27,10,0)*(HLOOKUP(D$627,'2.2.Brecha Efectiva x UdM'!$H$64:$AK$70,6,0))))</f>
        <v>0</v>
      </c>
      <c r="E634" s="32">
        <f>(VLOOKUP($A634,$A$458:$O$482,10,0)*(HLOOKUP(E$627,'2.2.Brecha Efectiva x UdM'!$H$86:$AK$92,6,0))+(VLOOKUP($A634,$A$4:$O$27,10,0)*(HLOOKUP(E$627,'2.2.Brecha Efectiva x UdM'!$H$64:$AK$70,6,0))))</f>
        <v>0</v>
      </c>
      <c r="F634" s="32">
        <f>(VLOOKUP($A634,$A$458:$O$482,10,0)*(HLOOKUP(F$627,'2.2.Brecha Efectiva x UdM'!$H$86:$AK$92,6,0))+(VLOOKUP($A634,$A$4:$O$27,10,0)*(HLOOKUP(F$627,'2.2.Brecha Efectiva x UdM'!$H$64:$AK$70,6,0))))</f>
        <v>0</v>
      </c>
      <c r="G634" s="32">
        <f>(VLOOKUP($A634,$A$458:$O$482,10,0)*(HLOOKUP(G$627,'2.2.Brecha Efectiva x UdM'!$H$86:$AK$92,6,0))+(VLOOKUP($A634,$A$4:$O$27,10,0)*(HLOOKUP(G$627,'2.2.Brecha Efectiva x UdM'!$H$64:$AK$70,6,0))))</f>
        <v>0</v>
      </c>
      <c r="H634" s="32">
        <f>(VLOOKUP($A634,$A$458:$O$482,10,0)*(HLOOKUP(H$627,'2.2.Brecha Efectiva x UdM'!$H$86:$AK$92,6,0))+(VLOOKUP($A634,$A$4:$O$27,10,0)*(HLOOKUP(H$627,'2.2.Brecha Efectiva x UdM'!$H$64:$AK$70,6,0))))</f>
        <v>0</v>
      </c>
      <c r="I634" s="32">
        <f>(VLOOKUP($A634,$A$458:$O$482,10,0)*(HLOOKUP(I$627,'2.2.Brecha Efectiva x UdM'!$H$86:$AK$92,6,0))+(VLOOKUP($A634,$A$4:$O$27,10,0)*(HLOOKUP(I$627,'2.2.Brecha Efectiva x UdM'!$H$64:$AK$70,6,0))))</f>
        <v>0</v>
      </c>
      <c r="J634" s="32">
        <f>(VLOOKUP($A634,$A$458:$O$482,10,0)*(HLOOKUP(J$627,'2.2.Brecha Efectiva x UdM'!$H$86:$AK$92,6,0))+(VLOOKUP($A634,$A$4:$O$27,10,0)*(HLOOKUP(J$627,'2.2.Brecha Efectiva x UdM'!$H$64:$AK$70,6,0))))</f>
        <v>0</v>
      </c>
      <c r="K634" s="32">
        <f>(VLOOKUP($A634,$A$458:$O$482,10,0)*(HLOOKUP(K$627,'2.2.Brecha Efectiva x UdM'!$H$86:$AK$92,6,0))+(VLOOKUP($A634,$A$4:$O$27,10,0)*(HLOOKUP(K$627,'2.2.Brecha Efectiva x UdM'!$H$64:$AK$70,6,0))))</f>
        <v>0</v>
      </c>
      <c r="L634" s="32">
        <f>(VLOOKUP($A634,$A$458:$O$482,10,0)*(HLOOKUP(L$627,'2.2.Brecha Efectiva x UdM'!$H$86:$AK$92,6,0))+(VLOOKUP($A634,$A$4:$O$27,10,0)*(HLOOKUP(L$627,'2.2.Brecha Efectiva x UdM'!$H$64:$AK$70,6,0))))</f>
        <v>0</v>
      </c>
      <c r="M634" s="32">
        <f>(VLOOKUP($A634,$A$458:$O$482,10,0)*(HLOOKUP(M$627,'2.2.Brecha Efectiva x UdM'!$H$86:$AK$92,6,0))+(VLOOKUP($A634,$A$4:$O$27,10,0)*(HLOOKUP(M$627,'2.2.Brecha Efectiva x UdM'!$H$64:$AK$70,6,0))))</f>
        <v>0</v>
      </c>
      <c r="N634" s="32">
        <f>(VLOOKUP($A634,$A$458:$O$482,10,0)*(HLOOKUP(N$627,'2.2.Brecha Efectiva x UdM'!$H$86:$AK$92,6,0))+(VLOOKUP($A634,$A$4:$O$27,10,0)*(HLOOKUP(N$627,'2.2.Brecha Efectiva x UdM'!$H$64:$AK$70,6,0))))</f>
        <v>0</v>
      </c>
      <c r="O634" s="32">
        <f>(VLOOKUP($A634,$A$458:$O$482,10,0)*(HLOOKUP(O$627,'2.2.Brecha Efectiva x UdM'!$H$86:$AK$92,6,0))+(VLOOKUP($A634,$A$4:$O$27,10,0)*(HLOOKUP(O$627,'2.2.Brecha Efectiva x UdM'!$H$64:$AK$70,6,0))))</f>
        <v>0</v>
      </c>
      <c r="P634" s="32">
        <f>(VLOOKUP($A634,$A$458:$O$482,10,0)*(HLOOKUP(P$627,'2.2.Brecha Efectiva x UdM'!$H$86:$AK$92,6,0))+(VLOOKUP($A634,$A$4:$O$27,10,0)*(HLOOKUP(P$627,'2.2.Brecha Efectiva x UdM'!$H$64:$AK$70,6,0))))</f>
        <v>0</v>
      </c>
      <c r="Q634" s="32">
        <f>(VLOOKUP($A634,$A$458:$O$482,10,0)*(HLOOKUP(Q$627,'2.2.Brecha Efectiva x UdM'!$H$86:$AK$92,6,0))+(VLOOKUP($A634,$A$4:$O$27,10,0)*(HLOOKUP(Q$627,'2.2.Brecha Efectiva x UdM'!$H$64:$AK$70,6,0))))</f>
        <v>0</v>
      </c>
      <c r="R634" s="32">
        <f>(VLOOKUP($A634,$A$458:$O$482,10,0)*(HLOOKUP(R$627,'2.2.Brecha Efectiva x UdM'!$H$86:$AK$92,6,0))+(VLOOKUP($A634,$A$4:$O$27,10,0)*(HLOOKUP(R$627,'2.2.Brecha Efectiva x UdM'!$H$64:$AK$70,6,0))))</f>
        <v>0</v>
      </c>
      <c r="S634" s="32">
        <f>(VLOOKUP($A634,$A$458:$O$482,10,0)*(HLOOKUP(S$627,'2.2.Brecha Efectiva x UdM'!$H$86:$AK$92,6,0))+(VLOOKUP($A634,$A$4:$O$27,10,0)*(HLOOKUP(S$627,'2.2.Brecha Efectiva x UdM'!$H$64:$AK$70,6,0))))</f>
        <v>0</v>
      </c>
      <c r="T634" s="32">
        <f>(VLOOKUP($A634,$A$458:$O$482,10,0)*(HLOOKUP(T$627,'2.2.Brecha Efectiva x UdM'!$H$86:$AK$92,6,0))+(VLOOKUP($A634,$A$4:$O$27,10,0)*(HLOOKUP(T$627,'2.2.Brecha Efectiva x UdM'!$H$64:$AK$70,6,0))))</f>
        <v>0</v>
      </c>
      <c r="U634" s="32">
        <f>(VLOOKUP($A634,$A$458:$O$482,10,0)*(HLOOKUP(U$627,'2.2.Brecha Efectiva x UdM'!$H$86:$AK$92,6,0))+(VLOOKUP($A634,$A$4:$O$27,10,0)*(HLOOKUP(U$627,'2.2.Brecha Efectiva x UdM'!$H$64:$AK$70,6,0))))</f>
        <v>0</v>
      </c>
      <c r="V634" s="32">
        <f>(VLOOKUP($A634,$A$458:$O$482,10,0)*(HLOOKUP(V$627,'2.2.Brecha Efectiva x UdM'!$H$86:$AK$92,6,0))+(VLOOKUP($A634,$A$4:$O$27,10,0)*(HLOOKUP(V$627,'2.2.Brecha Efectiva x UdM'!$H$64:$AK$70,6,0))))</f>
        <v>0</v>
      </c>
      <c r="W634" s="32">
        <f>(VLOOKUP($A634,$A$458:$O$482,10,0)*(HLOOKUP(W$627,'2.2.Brecha Efectiva x UdM'!$H$86:$AK$92,6,0))+(VLOOKUP($A634,$A$4:$O$27,10,0)*(HLOOKUP(W$627,'2.2.Brecha Efectiva x UdM'!$H$64:$AK$70,6,0))))</f>
        <v>0</v>
      </c>
      <c r="X634" s="32">
        <f>(VLOOKUP($A634,$A$458:$O$482,10,0)*(HLOOKUP(X$627,'2.2.Brecha Efectiva x UdM'!$H$86:$AK$92,6,0))+(VLOOKUP($A634,$A$4:$O$27,10,0)*(HLOOKUP(X$627,'2.2.Brecha Efectiva x UdM'!$H$64:$AK$70,6,0))))</f>
        <v>0</v>
      </c>
      <c r="Y634" s="32">
        <f>(VLOOKUP($A634,$A$458:$O$482,10,0)*(HLOOKUP(Y$627,'2.2.Brecha Efectiva x UdM'!$H$86:$AK$92,6,0))+(VLOOKUP($A634,$A$4:$O$27,10,0)*(HLOOKUP(Y$627,'2.2.Brecha Efectiva x UdM'!$H$64:$AK$70,6,0))))</f>
        <v>0</v>
      </c>
      <c r="Z634" s="32">
        <f>(VLOOKUP($A634,$A$458:$O$482,10,0)*(HLOOKUP(Z$627,'2.2.Brecha Efectiva x UdM'!$H$86:$AK$92,6,0))+(VLOOKUP($A634,$A$4:$O$27,10,0)*(HLOOKUP(Z$627,'2.2.Brecha Efectiva x UdM'!$H$64:$AK$70,6,0))))</f>
        <v>0</v>
      </c>
      <c r="AA634" s="32">
        <f>(VLOOKUP($A634,$A$458:$O$482,10,0)*(HLOOKUP(AA$627,'2.2.Brecha Efectiva x UdM'!$H$86:$AK$92,6,0))+(VLOOKUP($A634,$A$4:$O$27,10,0)*(HLOOKUP(AA$627,'2.2.Brecha Efectiva x UdM'!$H$64:$AK$70,6,0))))</f>
        <v>0</v>
      </c>
      <c r="AB634" s="32">
        <f>(VLOOKUP($A634,$A$458:$O$482,10,0)*(HLOOKUP(AB$627,'2.2.Brecha Efectiva x UdM'!$H$86:$AK$92,6,0))+(VLOOKUP($A634,$A$4:$O$27,10,0)*(HLOOKUP(AB$627,'2.2.Brecha Efectiva x UdM'!$H$64:$AK$70,6,0))))</f>
        <v>0</v>
      </c>
      <c r="AC634" s="32">
        <f>(VLOOKUP($A634,$A$458:$O$482,10,0)*(HLOOKUP(AC$627,'2.2.Brecha Efectiva x UdM'!$H$86:$AK$92,6,0))+(VLOOKUP($A634,$A$4:$O$27,10,0)*(HLOOKUP(AC$627,'2.2.Brecha Efectiva x UdM'!$H$64:$AK$70,6,0))))</f>
        <v>0</v>
      </c>
      <c r="AD634" s="32">
        <f>(VLOOKUP($A634,$A$458:$O$482,10,0)*(HLOOKUP(AD$627,'2.2.Brecha Efectiva x UdM'!$H$86:$AK$92,6,0))+(VLOOKUP($A634,$A$4:$O$27,10,0)*(HLOOKUP(AD$627,'2.2.Brecha Efectiva x UdM'!$H$64:$AK$70,6,0))))</f>
        <v>0</v>
      </c>
      <c r="AE634" s="32">
        <f>(VLOOKUP($A634,$A$458:$O$482,10,0)*(HLOOKUP(AE$627,'2.2.Brecha Efectiva x UdM'!$H$86:$AK$92,6,0))+(VLOOKUP($A634,$A$4:$O$27,10,0)*(HLOOKUP(AE$627,'2.2.Brecha Efectiva x UdM'!$H$64:$AK$70,6,0))))</f>
        <v>0</v>
      </c>
      <c r="AF634" s="32">
        <f>(VLOOKUP($A634,$A$458:$O$482,10,0)*(HLOOKUP(AF$627,'2.2.Brecha Efectiva x UdM'!$H$86:$AK$92,6,0))+(VLOOKUP($A634,$A$4:$O$27,10,0)*(HLOOKUP(AF$627,'2.2.Brecha Efectiva x UdM'!$H$64:$AK$70,6,0))))</f>
        <v>0</v>
      </c>
      <c r="AG634" s="32">
        <f>(VLOOKUP($A634,$A$458:$O$482,10,0)*(HLOOKUP(AG$627,'2.2.Brecha Efectiva x UdM'!$H$86:$AK$92,6,0))+(VLOOKUP($A634,$A$4:$O$27,10,0)*(HLOOKUP(AG$627,'2.2.Brecha Efectiva x UdM'!$H$64:$AK$70,6,0))))</f>
        <v>0</v>
      </c>
      <c r="AH634" s="62">
        <f t="shared" si="604"/>
        <v>0</v>
      </c>
    </row>
    <row r="635" spans="1:34" hidden="1" x14ac:dyDescent="0.2">
      <c r="A635" s="26" t="str">
        <f t="shared" si="601"/>
        <v>Entre Ríos</v>
      </c>
      <c r="B635" s="52">
        <f t="shared" si="602"/>
        <v>0</v>
      </c>
      <c r="C635" s="26" t="str">
        <f t="shared" si="603"/>
        <v>Entre Ríos 0</v>
      </c>
      <c r="D635" s="31">
        <f>(VLOOKUP($A635,$A$458:$O$482,10,0)*(HLOOKUP(D$627,'2.2.Brecha Efectiva x UdM'!$H$86:$AK$92,6,0))+(VLOOKUP($A635,$A$4:$O$27,10,0)*(HLOOKUP(D$627,'2.2.Brecha Efectiva x UdM'!$H$64:$AK$70,6,0))))</f>
        <v>0</v>
      </c>
      <c r="E635" s="31">
        <f>(VLOOKUP($A635,$A$458:$O$482,10,0)*(HLOOKUP(E$627,'2.2.Brecha Efectiva x UdM'!$H$86:$AK$92,6,0))+(VLOOKUP($A635,$A$4:$O$27,10,0)*(HLOOKUP(E$627,'2.2.Brecha Efectiva x UdM'!$H$64:$AK$70,6,0))))</f>
        <v>0</v>
      </c>
      <c r="F635" s="31">
        <f>(VLOOKUP($A635,$A$458:$O$482,10,0)*(HLOOKUP(F$627,'2.2.Brecha Efectiva x UdM'!$H$86:$AK$92,6,0))+(VLOOKUP($A635,$A$4:$O$27,10,0)*(HLOOKUP(F$627,'2.2.Brecha Efectiva x UdM'!$H$64:$AK$70,6,0))))</f>
        <v>0</v>
      </c>
      <c r="G635" s="31">
        <f>(VLOOKUP($A635,$A$458:$O$482,10,0)*(HLOOKUP(G$627,'2.2.Brecha Efectiva x UdM'!$H$86:$AK$92,6,0))+(VLOOKUP($A635,$A$4:$O$27,10,0)*(HLOOKUP(G$627,'2.2.Brecha Efectiva x UdM'!$H$64:$AK$70,6,0))))</f>
        <v>0</v>
      </c>
      <c r="H635" s="31">
        <f>(VLOOKUP($A635,$A$458:$O$482,10,0)*(HLOOKUP(H$627,'2.2.Brecha Efectiva x UdM'!$H$86:$AK$92,6,0))+(VLOOKUP($A635,$A$4:$O$27,10,0)*(HLOOKUP(H$627,'2.2.Brecha Efectiva x UdM'!$H$64:$AK$70,6,0))))</f>
        <v>0</v>
      </c>
      <c r="I635" s="31">
        <f>(VLOOKUP($A635,$A$458:$O$482,10,0)*(HLOOKUP(I$627,'2.2.Brecha Efectiva x UdM'!$H$86:$AK$92,6,0))+(VLOOKUP($A635,$A$4:$O$27,10,0)*(HLOOKUP(I$627,'2.2.Brecha Efectiva x UdM'!$H$64:$AK$70,6,0))))</f>
        <v>0</v>
      </c>
      <c r="J635" s="31">
        <f>(VLOOKUP($A635,$A$458:$O$482,10,0)*(HLOOKUP(J$627,'2.2.Brecha Efectiva x UdM'!$H$86:$AK$92,6,0))+(VLOOKUP($A635,$A$4:$O$27,10,0)*(HLOOKUP(J$627,'2.2.Brecha Efectiva x UdM'!$H$64:$AK$70,6,0))))</f>
        <v>0</v>
      </c>
      <c r="K635" s="31">
        <f>(VLOOKUP($A635,$A$458:$O$482,10,0)*(HLOOKUP(K$627,'2.2.Brecha Efectiva x UdM'!$H$86:$AK$92,6,0))+(VLOOKUP($A635,$A$4:$O$27,10,0)*(HLOOKUP(K$627,'2.2.Brecha Efectiva x UdM'!$H$64:$AK$70,6,0))))</f>
        <v>0</v>
      </c>
      <c r="L635" s="31">
        <f>(VLOOKUP($A635,$A$458:$O$482,10,0)*(HLOOKUP(L$627,'2.2.Brecha Efectiva x UdM'!$H$86:$AK$92,6,0))+(VLOOKUP($A635,$A$4:$O$27,10,0)*(HLOOKUP(L$627,'2.2.Brecha Efectiva x UdM'!$H$64:$AK$70,6,0))))</f>
        <v>0</v>
      </c>
      <c r="M635" s="31">
        <f>(VLOOKUP($A635,$A$458:$O$482,10,0)*(HLOOKUP(M$627,'2.2.Brecha Efectiva x UdM'!$H$86:$AK$92,6,0))+(VLOOKUP($A635,$A$4:$O$27,10,0)*(HLOOKUP(M$627,'2.2.Brecha Efectiva x UdM'!$H$64:$AK$70,6,0))))</f>
        <v>0</v>
      </c>
      <c r="N635" s="31">
        <f>(VLOOKUP($A635,$A$458:$O$482,10,0)*(HLOOKUP(N$627,'2.2.Brecha Efectiva x UdM'!$H$86:$AK$92,6,0))+(VLOOKUP($A635,$A$4:$O$27,10,0)*(HLOOKUP(N$627,'2.2.Brecha Efectiva x UdM'!$H$64:$AK$70,6,0))))</f>
        <v>0</v>
      </c>
      <c r="O635" s="31">
        <f>(VLOOKUP($A635,$A$458:$O$482,10,0)*(HLOOKUP(O$627,'2.2.Brecha Efectiva x UdM'!$H$86:$AK$92,6,0))+(VLOOKUP($A635,$A$4:$O$27,10,0)*(HLOOKUP(O$627,'2.2.Brecha Efectiva x UdM'!$H$64:$AK$70,6,0))))</f>
        <v>0</v>
      </c>
      <c r="P635" s="31">
        <f>(VLOOKUP($A635,$A$458:$O$482,10,0)*(HLOOKUP(P$627,'2.2.Brecha Efectiva x UdM'!$H$86:$AK$92,6,0))+(VLOOKUP($A635,$A$4:$O$27,10,0)*(HLOOKUP(P$627,'2.2.Brecha Efectiva x UdM'!$H$64:$AK$70,6,0))))</f>
        <v>0</v>
      </c>
      <c r="Q635" s="31">
        <f>(VLOOKUP($A635,$A$458:$O$482,10,0)*(HLOOKUP(Q$627,'2.2.Brecha Efectiva x UdM'!$H$86:$AK$92,6,0))+(VLOOKUP($A635,$A$4:$O$27,10,0)*(HLOOKUP(Q$627,'2.2.Brecha Efectiva x UdM'!$H$64:$AK$70,6,0))))</f>
        <v>0</v>
      </c>
      <c r="R635" s="31">
        <f>(VLOOKUP($A635,$A$458:$O$482,10,0)*(HLOOKUP(R$627,'2.2.Brecha Efectiva x UdM'!$H$86:$AK$92,6,0))+(VLOOKUP($A635,$A$4:$O$27,10,0)*(HLOOKUP(R$627,'2.2.Brecha Efectiva x UdM'!$H$64:$AK$70,6,0))))</f>
        <v>0</v>
      </c>
      <c r="S635" s="31">
        <f>(VLOOKUP($A635,$A$458:$O$482,10,0)*(HLOOKUP(S$627,'2.2.Brecha Efectiva x UdM'!$H$86:$AK$92,6,0))+(VLOOKUP($A635,$A$4:$O$27,10,0)*(HLOOKUP(S$627,'2.2.Brecha Efectiva x UdM'!$H$64:$AK$70,6,0))))</f>
        <v>0</v>
      </c>
      <c r="T635" s="31">
        <f>(VLOOKUP($A635,$A$458:$O$482,10,0)*(HLOOKUP(T$627,'2.2.Brecha Efectiva x UdM'!$H$86:$AK$92,6,0))+(VLOOKUP($A635,$A$4:$O$27,10,0)*(HLOOKUP(T$627,'2.2.Brecha Efectiva x UdM'!$H$64:$AK$70,6,0))))</f>
        <v>0</v>
      </c>
      <c r="U635" s="31">
        <f>(VLOOKUP($A635,$A$458:$O$482,10,0)*(HLOOKUP(U$627,'2.2.Brecha Efectiva x UdM'!$H$86:$AK$92,6,0))+(VLOOKUP($A635,$A$4:$O$27,10,0)*(HLOOKUP(U$627,'2.2.Brecha Efectiva x UdM'!$H$64:$AK$70,6,0))))</f>
        <v>0</v>
      </c>
      <c r="V635" s="31">
        <f>(VLOOKUP($A635,$A$458:$O$482,10,0)*(HLOOKUP(V$627,'2.2.Brecha Efectiva x UdM'!$H$86:$AK$92,6,0))+(VLOOKUP($A635,$A$4:$O$27,10,0)*(HLOOKUP(V$627,'2.2.Brecha Efectiva x UdM'!$H$64:$AK$70,6,0))))</f>
        <v>0</v>
      </c>
      <c r="W635" s="31">
        <f>(VLOOKUP($A635,$A$458:$O$482,10,0)*(HLOOKUP(W$627,'2.2.Brecha Efectiva x UdM'!$H$86:$AK$92,6,0))+(VLOOKUP($A635,$A$4:$O$27,10,0)*(HLOOKUP(W$627,'2.2.Brecha Efectiva x UdM'!$H$64:$AK$70,6,0))))</f>
        <v>0</v>
      </c>
      <c r="X635" s="31">
        <f>(VLOOKUP($A635,$A$458:$O$482,10,0)*(HLOOKUP(X$627,'2.2.Brecha Efectiva x UdM'!$H$86:$AK$92,6,0))+(VLOOKUP($A635,$A$4:$O$27,10,0)*(HLOOKUP(X$627,'2.2.Brecha Efectiva x UdM'!$H$64:$AK$70,6,0))))</f>
        <v>0</v>
      </c>
      <c r="Y635" s="31">
        <f>(VLOOKUP($A635,$A$458:$O$482,10,0)*(HLOOKUP(Y$627,'2.2.Brecha Efectiva x UdM'!$H$86:$AK$92,6,0))+(VLOOKUP($A635,$A$4:$O$27,10,0)*(HLOOKUP(Y$627,'2.2.Brecha Efectiva x UdM'!$H$64:$AK$70,6,0))))</f>
        <v>0</v>
      </c>
      <c r="Z635" s="31">
        <f>(VLOOKUP($A635,$A$458:$O$482,10,0)*(HLOOKUP(Z$627,'2.2.Brecha Efectiva x UdM'!$H$86:$AK$92,6,0))+(VLOOKUP($A635,$A$4:$O$27,10,0)*(HLOOKUP(Z$627,'2.2.Brecha Efectiva x UdM'!$H$64:$AK$70,6,0))))</f>
        <v>0</v>
      </c>
      <c r="AA635" s="31">
        <f>(VLOOKUP($A635,$A$458:$O$482,10,0)*(HLOOKUP(AA$627,'2.2.Brecha Efectiva x UdM'!$H$86:$AK$92,6,0))+(VLOOKUP($A635,$A$4:$O$27,10,0)*(HLOOKUP(AA$627,'2.2.Brecha Efectiva x UdM'!$H$64:$AK$70,6,0))))</f>
        <v>0</v>
      </c>
      <c r="AB635" s="31">
        <f>(VLOOKUP($A635,$A$458:$O$482,10,0)*(HLOOKUP(AB$627,'2.2.Brecha Efectiva x UdM'!$H$86:$AK$92,6,0))+(VLOOKUP($A635,$A$4:$O$27,10,0)*(HLOOKUP(AB$627,'2.2.Brecha Efectiva x UdM'!$H$64:$AK$70,6,0))))</f>
        <v>0</v>
      </c>
      <c r="AC635" s="31">
        <f>(VLOOKUP($A635,$A$458:$O$482,10,0)*(HLOOKUP(AC$627,'2.2.Brecha Efectiva x UdM'!$H$86:$AK$92,6,0))+(VLOOKUP($A635,$A$4:$O$27,10,0)*(HLOOKUP(AC$627,'2.2.Brecha Efectiva x UdM'!$H$64:$AK$70,6,0))))</f>
        <v>0</v>
      </c>
      <c r="AD635" s="31">
        <f>(VLOOKUP($A635,$A$458:$O$482,10,0)*(HLOOKUP(AD$627,'2.2.Brecha Efectiva x UdM'!$H$86:$AK$92,6,0))+(VLOOKUP($A635,$A$4:$O$27,10,0)*(HLOOKUP(AD$627,'2.2.Brecha Efectiva x UdM'!$H$64:$AK$70,6,0))))</f>
        <v>0</v>
      </c>
      <c r="AE635" s="31">
        <f>(VLOOKUP($A635,$A$458:$O$482,10,0)*(HLOOKUP(AE$627,'2.2.Brecha Efectiva x UdM'!$H$86:$AK$92,6,0))+(VLOOKUP($A635,$A$4:$O$27,10,0)*(HLOOKUP(AE$627,'2.2.Brecha Efectiva x UdM'!$H$64:$AK$70,6,0))))</f>
        <v>0</v>
      </c>
      <c r="AF635" s="31">
        <f>(VLOOKUP($A635,$A$458:$O$482,10,0)*(HLOOKUP(AF$627,'2.2.Brecha Efectiva x UdM'!$H$86:$AK$92,6,0))+(VLOOKUP($A635,$A$4:$O$27,10,0)*(HLOOKUP(AF$627,'2.2.Brecha Efectiva x UdM'!$H$64:$AK$70,6,0))))</f>
        <v>0</v>
      </c>
      <c r="AG635" s="31">
        <f>(VLOOKUP($A635,$A$458:$O$482,10,0)*(HLOOKUP(AG$627,'2.2.Brecha Efectiva x UdM'!$H$86:$AK$92,6,0))+(VLOOKUP($A635,$A$4:$O$27,10,0)*(HLOOKUP(AG$627,'2.2.Brecha Efectiva x UdM'!$H$64:$AK$70,6,0))))</f>
        <v>0</v>
      </c>
      <c r="AH635" s="63">
        <f t="shared" si="604"/>
        <v>0</v>
      </c>
    </row>
    <row r="636" spans="1:34" hidden="1" x14ac:dyDescent="0.2">
      <c r="A636" s="25" t="str">
        <f t="shared" si="601"/>
        <v>Formosa</v>
      </c>
      <c r="B636" s="51">
        <f t="shared" si="602"/>
        <v>0</v>
      </c>
      <c r="C636" s="25" t="str">
        <f t="shared" si="603"/>
        <v>Formosa 0</v>
      </c>
      <c r="D636" s="32">
        <f>(VLOOKUP($A636,$A$458:$O$482,10,0)*(HLOOKUP(D$627,'2.2.Brecha Efectiva x UdM'!$H$86:$AK$92,6,0))+(VLOOKUP($A636,$A$4:$O$27,10,0)*(HLOOKUP(D$627,'2.2.Brecha Efectiva x UdM'!$H$64:$AK$70,6,0))))</f>
        <v>0</v>
      </c>
      <c r="E636" s="32">
        <f>(VLOOKUP($A636,$A$458:$O$482,10,0)*(HLOOKUP(E$627,'2.2.Brecha Efectiva x UdM'!$H$86:$AK$92,6,0))+(VLOOKUP($A636,$A$4:$O$27,10,0)*(HLOOKUP(E$627,'2.2.Brecha Efectiva x UdM'!$H$64:$AK$70,6,0))))</f>
        <v>0</v>
      </c>
      <c r="F636" s="32">
        <f>(VLOOKUP($A636,$A$458:$O$482,10,0)*(HLOOKUP(F$627,'2.2.Brecha Efectiva x UdM'!$H$86:$AK$92,6,0))+(VLOOKUP($A636,$A$4:$O$27,10,0)*(HLOOKUP(F$627,'2.2.Brecha Efectiva x UdM'!$H$64:$AK$70,6,0))))</f>
        <v>0</v>
      </c>
      <c r="G636" s="32">
        <f>(VLOOKUP($A636,$A$458:$O$482,10,0)*(HLOOKUP(G$627,'2.2.Brecha Efectiva x UdM'!$H$86:$AK$92,6,0))+(VLOOKUP($A636,$A$4:$O$27,10,0)*(HLOOKUP(G$627,'2.2.Brecha Efectiva x UdM'!$H$64:$AK$70,6,0))))</f>
        <v>0</v>
      </c>
      <c r="H636" s="32">
        <f>(VLOOKUP($A636,$A$458:$O$482,10,0)*(HLOOKUP(H$627,'2.2.Brecha Efectiva x UdM'!$H$86:$AK$92,6,0))+(VLOOKUP($A636,$A$4:$O$27,10,0)*(HLOOKUP(H$627,'2.2.Brecha Efectiva x UdM'!$H$64:$AK$70,6,0))))</f>
        <v>0</v>
      </c>
      <c r="I636" s="32">
        <f>(VLOOKUP($A636,$A$458:$O$482,10,0)*(HLOOKUP(I$627,'2.2.Brecha Efectiva x UdM'!$H$86:$AK$92,6,0))+(VLOOKUP($A636,$A$4:$O$27,10,0)*(HLOOKUP(I$627,'2.2.Brecha Efectiva x UdM'!$H$64:$AK$70,6,0))))</f>
        <v>0</v>
      </c>
      <c r="J636" s="32">
        <f>(VLOOKUP($A636,$A$458:$O$482,10,0)*(HLOOKUP(J$627,'2.2.Brecha Efectiva x UdM'!$H$86:$AK$92,6,0))+(VLOOKUP($A636,$A$4:$O$27,10,0)*(HLOOKUP(J$627,'2.2.Brecha Efectiva x UdM'!$H$64:$AK$70,6,0))))</f>
        <v>0</v>
      </c>
      <c r="K636" s="32">
        <f>(VLOOKUP($A636,$A$458:$O$482,10,0)*(HLOOKUP(K$627,'2.2.Brecha Efectiva x UdM'!$H$86:$AK$92,6,0))+(VLOOKUP($A636,$A$4:$O$27,10,0)*(HLOOKUP(K$627,'2.2.Brecha Efectiva x UdM'!$H$64:$AK$70,6,0))))</f>
        <v>0</v>
      </c>
      <c r="L636" s="32">
        <f>(VLOOKUP($A636,$A$458:$O$482,10,0)*(HLOOKUP(L$627,'2.2.Brecha Efectiva x UdM'!$H$86:$AK$92,6,0))+(VLOOKUP($A636,$A$4:$O$27,10,0)*(HLOOKUP(L$627,'2.2.Brecha Efectiva x UdM'!$H$64:$AK$70,6,0))))</f>
        <v>0</v>
      </c>
      <c r="M636" s="32">
        <f>(VLOOKUP($A636,$A$458:$O$482,10,0)*(HLOOKUP(M$627,'2.2.Brecha Efectiva x UdM'!$H$86:$AK$92,6,0))+(VLOOKUP($A636,$A$4:$O$27,10,0)*(HLOOKUP(M$627,'2.2.Brecha Efectiva x UdM'!$H$64:$AK$70,6,0))))</f>
        <v>0</v>
      </c>
      <c r="N636" s="32">
        <f>(VLOOKUP($A636,$A$458:$O$482,10,0)*(HLOOKUP(N$627,'2.2.Brecha Efectiva x UdM'!$H$86:$AK$92,6,0))+(VLOOKUP($A636,$A$4:$O$27,10,0)*(HLOOKUP(N$627,'2.2.Brecha Efectiva x UdM'!$H$64:$AK$70,6,0))))</f>
        <v>0</v>
      </c>
      <c r="O636" s="32">
        <f>(VLOOKUP($A636,$A$458:$O$482,10,0)*(HLOOKUP(O$627,'2.2.Brecha Efectiva x UdM'!$H$86:$AK$92,6,0))+(VLOOKUP($A636,$A$4:$O$27,10,0)*(HLOOKUP(O$627,'2.2.Brecha Efectiva x UdM'!$H$64:$AK$70,6,0))))</f>
        <v>0</v>
      </c>
      <c r="P636" s="32">
        <f>(VLOOKUP($A636,$A$458:$O$482,10,0)*(HLOOKUP(P$627,'2.2.Brecha Efectiva x UdM'!$H$86:$AK$92,6,0))+(VLOOKUP($A636,$A$4:$O$27,10,0)*(HLOOKUP(P$627,'2.2.Brecha Efectiva x UdM'!$H$64:$AK$70,6,0))))</f>
        <v>0</v>
      </c>
      <c r="Q636" s="32">
        <f>(VLOOKUP($A636,$A$458:$O$482,10,0)*(HLOOKUP(Q$627,'2.2.Brecha Efectiva x UdM'!$H$86:$AK$92,6,0))+(VLOOKUP($A636,$A$4:$O$27,10,0)*(HLOOKUP(Q$627,'2.2.Brecha Efectiva x UdM'!$H$64:$AK$70,6,0))))</f>
        <v>0</v>
      </c>
      <c r="R636" s="32">
        <f>(VLOOKUP($A636,$A$458:$O$482,10,0)*(HLOOKUP(R$627,'2.2.Brecha Efectiva x UdM'!$H$86:$AK$92,6,0))+(VLOOKUP($A636,$A$4:$O$27,10,0)*(HLOOKUP(R$627,'2.2.Brecha Efectiva x UdM'!$H$64:$AK$70,6,0))))</f>
        <v>0</v>
      </c>
      <c r="S636" s="32">
        <f>(VLOOKUP($A636,$A$458:$O$482,10,0)*(HLOOKUP(S$627,'2.2.Brecha Efectiva x UdM'!$H$86:$AK$92,6,0))+(VLOOKUP($A636,$A$4:$O$27,10,0)*(HLOOKUP(S$627,'2.2.Brecha Efectiva x UdM'!$H$64:$AK$70,6,0))))</f>
        <v>0</v>
      </c>
      <c r="T636" s="32">
        <f>(VLOOKUP($A636,$A$458:$O$482,10,0)*(HLOOKUP(T$627,'2.2.Brecha Efectiva x UdM'!$H$86:$AK$92,6,0))+(VLOOKUP($A636,$A$4:$O$27,10,0)*(HLOOKUP(T$627,'2.2.Brecha Efectiva x UdM'!$H$64:$AK$70,6,0))))</f>
        <v>0</v>
      </c>
      <c r="U636" s="32">
        <f>(VLOOKUP($A636,$A$458:$O$482,10,0)*(HLOOKUP(U$627,'2.2.Brecha Efectiva x UdM'!$H$86:$AK$92,6,0))+(VLOOKUP($A636,$A$4:$O$27,10,0)*(HLOOKUP(U$627,'2.2.Brecha Efectiva x UdM'!$H$64:$AK$70,6,0))))</f>
        <v>0</v>
      </c>
      <c r="V636" s="32">
        <f>(VLOOKUP($A636,$A$458:$O$482,10,0)*(HLOOKUP(V$627,'2.2.Brecha Efectiva x UdM'!$H$86:$AK$92,6,0))+(VLOOKUP($A636,$A$4:$O$27,10,0)*(HLOOKUP(V$627,'2.2.Brecha Efectiva x UdM'!$H$64:$AK$70,6,0))))</f>
        <v>0</v>
      </c>
      <c r="W636" s="32">
        <f>(VLOOKUP($A636,$A$458:$O$482,10,0)*(HLOOKUP(W$627,'2.2.Brecha Efectiva x UdM'!$H$86:$AK$92,6,0))+(VLOOKUP($A636,$A$4:$O$27,10,0)*(HLOOKUP(W$627,'2.2.Brecha Efectiva x UdM'!$H$64:$AK$70,6,0))))</f>
        <v>0</v>
      </c>
      <c r="X636" s="32">
        <f>(VLOOKUP($A636,$A$458:$O$482,10,0)*(HLOOKUP(X$627,'2.2.Brecha Efectiva x UdM'!$H$86:$AK$92,6,0))+(VLOOKUP($A636,$A$4:$O$27,10,0)*(HLOOKUP(X$627,'2.2.Brecha Efectiva x UdM'!$H$64:$AK$70,6,0))))</f>
        <v>0</v>
      </c>
      <c r="Y636" s="32">
        <f>(VLOOKUP($A636,$A$458:$O$482,10,0)*(HLOOKUP(Y$627,'2.2.Brecha Efectiva x UdM'!$H$86:$AK$92,6,0))+(VLOOKUP($A636,$A$4:$O$27,10,0)*(HLOOKUP(Y$627,'2.2.Brecha Efectiva x UdM'!$H$64:$AK$70,6,0))))</f>
        <v>0</v>
      </c>
      <c r="Z636" s="32">
        <f>(VLOOKUP($A636,$A$458:$O$482,10,0)*(HLOOKUP(Z$627,'2.2.Brecha Efectiva x UdM'!$H$86:$AK$92,6,0))+(VLOOKUP($A636,$A$4:$O$27,10,0)*(HLOOKUP(Z$627,'2.2.Brecha Efectiva x UdM'!$H$64:$AK$70,6,0))))</f>
        <v>0</v>
      </c>
      <c r="AA636" s="32">
        <f>(VLOOKUP($A636,$A$458:$O$482,10,0)*(HLOOKUP(AA$627,'2.2.Brecha Efectiva x UdM'!$H$86:$AK$92,6,0))+(VLOOKUP($A636,$A$4:$O$27,10,0)*(HLOOKUP(AA$627,'2.2.Brecha Efectiva x UdM'!$H$64:$AK$70,6,0))))</f>
        <v>0</v>
      </c>
      <c r="AB636" s="32">
        <f>(VLOOKUP($A636,$A$458:$O$482,10,0)*(HLOOKUP(AB$627,'2.2.Brecha Efectiva x UdM'!$H$86:$AK$92,6,0))+(VLOOKUP($A636,$A$4:$O$27,10,0)*(HLOOKUP(AB$627,'2.2.Brecha Efectiva x UdM'!$H$64:$AK$70,6,0))))</f>
        <v>0</v>
      </c>
      <c r="AC636" s="32">
        <f>(VLOOKUP($A636,$A$458:$O$482,10,0)*(HLOOKUP(AC$627,'2.2.Brecha Efectiva x UdM'!$H$86:$AK$92,6,0))+(VLOOKUP($A636,$A$4:$O$27,10,0)*(HLOOKUP(AC$627,'2.2.Brecha Efectiva x UdM'!$H$64:$AK$70,6,0))))</f>
        <v>0</v>
      </c>
      <c r="AD636" s="32">
        <f>(VLOOKUP($A636,$A$458:$O$482,10,0)*(HLOOKUP(AD$627,'2.2.Brecha Efectiva x UdM'!$H$86:$AK$92,6,0))+(VLOOKUP($A636,$A$4:$O$27,10,0)*(HLOOKUP(AD$627,'2.2.Brecha Efectiva x UdM'!$H$64:$AK$70,6,0))))</f>
        <v>0</v>
      </c>
      <c r="AE636" s="32">
        <f>(VLOOKUP($A636,$A$458:$O$482,10,0)*(HLOOKUP(AE$627,'2.2.Brecha Efectiva x UdM'!$H$86:$AK$92,6,0))+(VLOOKUP($A636,$A$4:$O$27,10,0)*(HLOOKUP(AE$627,'2.2.Brecha Efectiva x UdM'!$H$64:$AK$70,6,0))))</f>
        <v>0</v>
      </c>
      <c r="AF636" s="32">
        <f>(VLOOKUP($A636,$A$458:$O$482,10,0)*(HLOOKUP(AF$627,'2.2.Brecha Efectiva x UdM'!$H$86:$AK$92,6,0))+(VLOOKUP($A636,$A$4:$O$27,10,0)*(HLOOKUP(AF$627,'2.2.Brecha Efectiva x UdM'!$H$64:$AK$70,6,0))))</f>
        <v>0</v>
      </c>
      <c r="AG636" s="32">
        <f>(VLOOKUP($A636,$A$458:$O$482,10,0)*(HLOOKUP(AG$627,'2.2.Brecha Efectiva x UdM'!$H$86:$AK$92,6,0))+(VLOOKUP($A636,$A$4:$O$27,10,0)*(HLOOKUP(AG$627,'2.2.Brecha Efectiva x UdM'!$H$64:$AK$70,6,0))))</f>
        <v>0</v>
      </c>
      <c r="AH636" s="62">
        <f t="shared" si="604"/>
        <v>0</v>
      </c>
    </row>
    <row r="637" spans="1:34" hidden="1" x14ac:dyDescent="0.2">
      <c r="A637" s="26" t="str">
        <f t="shared" si="601"/>
        <v>Jujuy</v>
      </c>
      <c r="B637" s="52">
        <f t="shared" si="602"/>
        <v>0</v>
      </c>
      <c r="C637" s="26" t="str">
        <f t="shared" si="603"/>
        <v>Jujuy 0</v>
      </c>
      <c r="D637" s="31">
        <f>(VLOOKUP($A637,$A$458:$O$482,10,0)*(HLOOKUP(D$627,'2.2.Brecha Efectiva x UdM'!$H$86:$AK$92,6,0))+(VLOOKUP($A637,$A$4:$O$27,10,0)*(HLOOKUP(D$627,'2.2.Brecha Efectiva x UdM'!$H$64:$AK$70,6,0))))</f>
        <v>0</v>
      </c>
      <c r="E637" s="31">
        <f>(VLOOKUP($A637,$A$458:$O$482,10,0)*(HLOOKUP(E$627,'2.2.Brecha Efectiva x UdM'!$H$86:$AK$92,6,0))+(VLOOKUP($A637,$A$4:$O$27,10,0)*(HLOOKUP(E$627,'2.2.Brecha Efectiva x UdM'!$H$64:$AK$70,6,0))))</f>
        <v>0</v>
      </c>
      <c r="F637" s="31">
        <f>(VLOOKUP($A637,$A$458:$O$482,10,0)*(HLOOKUP(F$627,'2.2.Brecha Efectiva x UdM'!$H$86:$AK$92,6,0))+(VLOOKUP($A637,$A$4:$O$27,10,0)*(HLOOKUP(F$627,'2.2.Brecha Efectiva x UdM'!$H$64:$AK$70,6,0))))</f>
        <v>0</v>
      </c>
      <c r="G637" s="31">
        <f>(VLOOKUP($A637,$A$458:$O$482,10,0)*(HLOOKUP(G$627,'2.2.Brecha Efectiva x UdM'!$H$86:$AK$92,6,0))+(VLOOKUP($A637,$A$4:$O$27,10,0)*(HLOOKUP(G$627,'2.2.Brecha Efectiva x UdM'!$H$64:$AK$70,6,0))))</f>
        <v>0</v>
      </c>
      <c r="H637" s="31">
        <f>(VLOOKUP($A637,$A$458:$O$482,10,0)*(HLOOKUP(H$627,'2.2.Brecha Efectiva x UdM'!$H$86:$AK$92,6,0))+(VLOOKUP($A637,$A$4:$O$27,10,0)*(HLOOKUP(H$627,'2.2.Brecha Efectiva x UdM'!$H$64:$AK$70,6,0))))</f>
        <v>0</v>
      </c>
      <c r="I637" s="31">
        <f>(VLOOKUP($A637,$A$458:$O$482,10,0)*(HLOOKUP(I$627,'2.2.Brecha Efectiva x UdM'!$H$86:$AK$92,6,0))+(VLOOKUP($A637,$A$4:$O$27,10,0)*(HLOOKUP(I$627,'2.2.Brecha Efectiva x UdM'!$H$64:$AK$70,6,0))))</f>
        <v>0</v>
      </c>
      <c r="J637" s="31">
        <f>(VLOOKUP($A637,$A$458:$O$482,10,0)*(HLOOKUP(J$627,'2.2.Brecha Efectiva x UdM'!$H$86:$AK$92,6,0))+(VLOOKUP($A637,$A$4:$O$27,10,0)*(HLOOKUP(J$627,'2.2.Brecha Efectiva x UdM'!$H$64:$AK$70,6,0))))</f>
        <v>0</v>
      </c>
      <c r="K637" s="31">
        <f>(VLOOKUP($A637,$A$458:$O$482,10,0)*(HLOOKUP(K$627,'2.2.Brecha Efectiva x UdM'!$H$86:$AK$92,6,0))+(VLOOKUP($A637,$A$4:$O$27,10,0)*(HLOOKUP(K$627,'2.2.Brecha Efectiva x UdM'!$H$64:$AK$70,6,0))))</f>
        <v>0</v>
      </c>
      <c r="L637" s="31">
        <f>(VLOOKUP($A637,$A$458:$O$482,10,0)*(HLOOKUP(L$627,'2.2.Brecha Efectiva x UdM'!$H$86:$AK$92,6,0))+(VLOOKUP($A637,$A$4:$O$27,10,0)*(HLOOKUP(L$627,'2.2.Brecha Efectiva x UdM'!$H$64:$AK$70,6,0))))</f>
        <v>0</v>
      </c>
      <c r="M637" s="31">
        <f>(VLOOKUP($A637,$A$458:$O$482,10,0)*(HLOOKUP(M$627,'2.2.Brecha Efectiva x UdM'!$H$86:$AK$92,6,0))+(VLOOKUP($A637,$A$4:$O$27,10,0)*(HLOOKUP(M$627,'2.2.Brecha Efectiva x UdM'!$H$64:$AK$70,6,0))))</f>
        <v>0</v>
      </c>
      <c r="N637" s="31">
        <f>(VLOOKUP($A637,$A$458:$O$482,10,0)*(HLOOKUP(N$627,'2.2.Brecha Efectiva x UdM'!$H$86:$AK$92,6,0))+(VLOOKUP($A637,$A$4:$O$27,10,0)*(HLOOKUP(N$627,'2.2.Brecha Efectiva x UdM'!$H$64:$AK$70,6,0))))</f>
        <v>0</v>
      </c>
      <c r="O637" s="31">
        <f>(VLOOKUP($A637,$A$458:$O$482,10,0)*(HLOOKUP(O$627,'2.2.Brecha Efectiva x UdM'!$H$86:$AK$92,6,0))+(VLOOKUP($A637,$A$4:$O$27,10,0)*(HLOOKUP(O$627,'2.2.Brecha Efectiva x UdM'!$H$64:$AK$70,6,0))))</f>
        <v>0</v>
      </c>
      <c r="P637" s="31">
        <f>(VLOOKUP($A637,$A$458:$O$482,10,0)*(HLOOKUP(P$627,'2.2.Brecha Efectiva x UdM'!$H$86:$AK$92,6,0))+(VLOOKUP($A637,$A$4:$O$27,10,0)*(HLOOKUP(P$627,'2.2.Brecha Efectiva x UdM'!$H$64:$AK$70,6,0))))</f>
        <v>0</v>
      </c>
      <c r="Q637" s="31">
        <f>(VLOOKUP($A637,$A$458:$O$482,10,0)*(HLOOKUP(Q$627,'2.2.Brecha Efectiva x UdM'!$H$86:$AK$92,6,0))+(VLOOKUP($A637,$A$4:$O$27,10,0)*(HLOOKUP(Q$627,'2.2.Brecha Efectiva x UdM'!$H$64:$AK$70,6,0))))</f>
        <v>0</v>
      </c>
      <c r="R637" s="31">
        <f>(VLOOKUP($A637,$A$458:$O$482,10,0)*(HLOOKUP(R$627,'2.2.Brecha Efectiva x UdM'!$H$86:$AK$92,6,0))+(VLOOKUP($A637,$A$4:$O$27,10,0)*(HLOOKUP(R$627,'2.2.Brecha Efectiva x UdM'!$H$64:$AK$70,6,0))))</f>
        <v>0</v>
      </c>
      <c r="S637" s="31">
        <f>(VLOOKUP($A637,$A$458:$O$482,10,0)*(HLOOKUP(S$627,'2.2.Brecha Efectiva x UdM'!$H$86:$AK$92,6,0))+(VLOOKUP($A637,$A$4:$O$27,10,0)*(HLOOKUP(S$627,'2.2.Brecha Efectiva x UdM'!$H$64:$AK$70,6,0))))</f>
        <v>0</v>
      </c>
      <c r="T637" s="31">
        <f>(VLOOKUP($A637,$A$458:$O$482,10,0)*(HLOOKUP(T$627,'2.2.Brecha Efectiva x UdM'!$H$86:$AK$92,6,0))+(VLOOKUP($A637,$A$4:$O$27,10,0)*(HLOOKUP(T$627,'2.2.Brecha Efectiva x UdM'!$H$64:$AK$70,6,0))))</f>
        <v>0</v>
      </c>
      <c r="U637" s="31">
        <f>(VLOOKUP($A637,$A$458:$O$482,10,0)*(HLOOKUP(U$627,'2.2.Brecha Efectiva x UdM'!$H$86:$AK$92,6,0))+(VLOOKUP($A637,$A$4:$O$27,10,0)*(HLOOKUP(U$627,'2.2.Brecha Efectiva x UdM'!$H$64:$AK$70,6,0))))</f>
        <v>0</v>
      </c>
      <c r="V637" s="31">
        <f>(VLOOKUP($A637,$A$458:$O$482,10,0)*(HLOOKUP(V$627,'2.2.Brecha Efectiva x UdM'!$H$86:$AK$92,6,0))+(VLOOKUP($A637,$A$4:$O$27,10,0)*(HLOOKUP(V$627,'2.2.Brecha Efectiva x UdM'!$H$64:$AK$70,6,0))))</f>
        <v>0</v>
      </c>
      <c r="W637" s="31">
        <f>(VLOOKUP($A637,$A$458:$O$482,10,0)*(HLOOKUP(W$627,'2.2.Brecha Efectiva x UdM'!$H$86:$AK$92,6,0))+(VLOOKUP($A637,$A$4:$O$27,10,0)*(HLOOKUP(W$627,'2.2.Brecha Efectiva x UdM'!$H$64:$AK$70,6,0))))</f>
        <v>0</v>
      </c>
      <c r="X637" s="31">
        <f>(VLOOKUP($A637,$A$458:$O$482,10,0)*(HLOOKUP(X$627,'2.2.Brecha Efectiva x UdM'!$H$86:$AK$92,6,0))+(VLOOKUP($A637,$A$4:$O$27,10,0)*(HLOOKUP(X$627,'2.2.Brecha Efectiva x UdM'!$H$64:$AK$70,6,0))))</f>
        <v>0</v>
      </c>
      <c r="Y637" s="31">
        <f>(VLOOKUP($A637,$A$458:$O$482,10,0)*(HLOOKUP(Y$627,'2.2.Brecha Efectiva x UdM'!$H$86:$AK$92,6,0))+(VLOOKUP($A637,$A$4:$O$27,10,0)*(HLOOKUP(Y$627,'2.2.Brecha Efectiva x UdM'!$H$64:$AK$70,6,0))))</f>
        <v>0</v>
      </c>
      <c r="Z637" s="31">
        <f>(VLOOKUP($A637,$A$458:$O$482,10,0)*(HLOOKUP(Z$627,'2.2.Brecha Efectiva x UdM'!$H$86:$AK$92,6,0))+(VLOOKUP($A637,$A$4:$O$27,10,0)*(HLOOKUP(Z$627,'2.2.Brecha Efectiva x UdM'!$H$64:$AK$70,6,0))))</f>
        <v>0</v>
      </c>
      <c r="AA637" s="31">
        <f>(VLOOKUP($A637,$A$458:$O$482,10,0)*(HLOOKUP(AA$627,'2.2.Brecha Efectiva x UdM'!$H$86:$AK$92,6,0))+(VLOOKUP($A637,$A$4:$O$27,10,0)*(HLOOKUP(AA$627,'2.2.Brecha Efectiva x UdM'!$H$64:$AK$70,6,0))))</f>
        <v>0</v>
      </c>
      <c r="AB637" s="31">
        <f>(VLOOKUP($A637,$A$458:$O$482,10,0)*(HLOOKUP(AB$627,'2.2.Brecha Efectiva x UdM'!$H$86:$AK$92,6,0))+(VLOOKUP($A637,$A$4:$O$27,10,0)*(HLOOKUP(AB$627,'2.2.Brecha Efectiva x UdM'!$H$64:$AK$70,6,0))))</f>
        <v>0</v>
      </c>
      <c r="AC637" s="31">
        <f>(VLOOKUP($A637,$A$458:$O$482,10,0)*(HLOOKUP(AC$627,'2.2.Brecha Efectiva x UdM'!$H$86:$AK$92,6,0))+(VLOOKUP($A637,$A$4:$O$27,10,0)*(HLOOKUP(AC$627,'2.2.Brecha Efectiva x UdM'!$H$64:$AK$70,6,0))))</f>
        <v>0</v>
      </c>
      <c r="AD637" s="31">
        <f>(VLOOKUP($A637,$A$458:$O$482,10,0)*(HLOOKUP(AD$627,'2.2.Brecha Efectiva x UdM'!$H$86:$AK$92,6,0))+(VLOOKUP($A637,$A$4:$O$27,10,0)*(HLOOKUP(AD$627,'2.2.Brecha Efectiva x UdM'!$H$64:$AK$70,6,0))))</f>
        <v>0</v>
      </c>
      <c r="AE637" s="31">
        <f>(VLOOKUP($A637,$A$458:$O$482,10,0)*(HLOOKUP(AE$627,'2.2.Brecha Efectiva x UdM'!$H$86:$AK$92,6,0))+(VLOOKUP($A637,$A$4:$O$27,10,0)*(HLOOKUP(AE$627,'2.2.Brecha Efectiva x UdM'!$H$64:$AK$70,6,0))))</f>
        <v>0</v>
      </c>
      <c r="AF637" s="31">
        <f>(VLOOKUP($A637,$A$458:$O$482,10,0)*(HLOOKUP(AF$627,'2.2.Brecha Efectiva x UdM'!$H$86:$AK$92,6,0))+(VLOOKUP($A637,$A$4:$O$27,10,0)*(HLOOKUP(AF$627,'2.2.Brecha Efectiva x UdM'!$H$64:$AK$70,6,0))))</f>
        <v>0</v>
      </c>
      <c r="AG637" s="31">
        <f>(VLOOKUP($A637,$A$458:$O$482,10,0)*(HLOOKUP(AG$627,'2.2.Brecha Efectiva x UdM'!$H$86:$AK$92,6,0))+(VLOOKUP($A637,$A$4:$O$27,10,0)*(HLOOKUP(AG$627,'2.2.Brecha Efectiva x UdM'!$H$64:$AK$70,6,0))))</f>
        <v>0</v>
      </c>
      <c r="AH637" s="63">
        <f t="shared" si="604"/>
        <v>0</v>
      </c>
    </row>
    <row r="638" spans="1:34" hidden="1" x14ac:dyDescent="0.2">
      <c r="A638" s="25" t="str">
        <f t="shared" si="601"/>
        <v>La Pampa</v>
      </c>
      <c r="B638" s="51">
        <f t="shared" si="602"/>
        <v>0</v>
      </c>
      <c r="C638" s="25" t="str">
        <f t="shared" si="603"/>
        <v>La Pampa 0</v>
      </c>
      <c r="D638" s="32">
        <f>(VLOOKUP($A638,$A$458:$O$482,10,0)*(HLOOKUP(D$627,'2.2.Brecha Efectiva x UdM'!$H$86:$AK$92,6,0))+(VLOOKUP($A638,$A$4:$O$27,10,0)*(HLOOKUP(D$627,'2.2.Brecha Efectiva x UdM'!$H$64:$AK$70,6,0))))</f>
        <v>0</v>
      </c>
      <c r="E638" s="32">
        <f>(VLOOKUP($A638,$A$458:$O$482,10,0)*(HLOOKUP(E$627,'2.2.Brecha Efectiva x UdM'!$H$86:$AK$92,6,0))+(VLOOKUP($A638,$A$4:$O$27,10,0)*(HLOOKUP(E$627,'2.2.Brecha Efectiva x UdM'!$H$64:$AK$70,6,0))))</f>
        <v>0</v>
      </c>
      <c r="F638" s="32">
        <f>(VLOOKUP($A638,$A$458:$O$482,10,0)*(HLOOKUP(F$627,'2.2.Brecha Efectiva x UdM'!$H$86:$AK$92,6,0))+(VLOOKUP($A638,$A$4:$O$27,10,0)*(HLOOKUP(F$627,'2.2.Brecha Efectiva x UdM'!$H$64:$AK$70,6,0))))</f>
        <v>0</v>
      </c>
      <c r="G638" s="32">
        <f>(VLOOKUP($A638,$A$458:$O$482,10,0)*(HLOOKUP(G$627,'2.2.Brecha Efectiva x UdM'!$H$86:$AK$92,6,0))+(VLOOKUP($A638,$A$4:$O$27,10,0)*(HLOOKUP(G$627,'2.2.Brecha Efectiva x UdM'!$H$64:$AK$70,6,0))))</f>
        <v>0</v>
      </c>
      <c r="H638" s="32">
        <f>(VLOOKUP($A638,$A$458:$O$482,10,0)*(HLOOKUP(H$627,'2.2.Brecha Efectiva x UdM'!$H$86:$AK$92,6,0))+(VLOOKUP($A638,$A$4:$O$27,10,0)*(HLOOKUP(H$627,'2.2.Brecha Efectiva x UdM'!$H$64:$AK$70,6,0))))</f>
        <v>0</v>
      </c>
      <c r="I638" s="32">
        <f>(VLOOKUP($A638,$A$458:$O$482,10,0)*(HLOOKUP(I$627,'2.2.Brecha Efectiva x UdM'!$H$86:$AK$92,6,0))+(VLOOKUP($A638,$A$4:$O$27,10,0)*(HLOOKUP(I$627,'2.2.Brecha Efectiva x UdM'!$H$64:$AK$70,6,0))))</f>
        <v>0</v>
      </c>
      <c r="J638" s="32">
        <f>(VLOOKUP($A638,$A$458:$O$482,10,0)*(HLOOKUP(J$627,'2.2.Brecha Efectiva x UdM'!$H$86:$AK$92,6,0))+(VLOOKUP($A638,$A$4:$O$27,10,0)*(HLOOKUP(J$627,'2.2.Brecha Efectiva x UdM'!$H$64:$AK$70,6,0))))</f>
        <v>0</v>
      </c>
      <c r="K638" s="32">
        <f>(VLOOKUP($A638,$A$458:$O$482,10,0)*(HLOOKUP(K$627,'2.2.Brecha Efectiva x UdM'!$H$86:$AK$92,6,0))+(VLOOKUP($A638,$A$4:$O$27,10,0)*(HLOOKUP(K$627,'2.2.Brecha Efectiva x UdM'!$H$64:$AK$70,6,0))))</f>
        <v>0</v>
      </c>
      <c r="L638" s="32">
        <f>(VLOOKUP($A638,$A$458:$O$482,10,0)*(HLOOKUP(L$627,'2.2.Brecha Efectiva x UdM'!$H$86:$AK$92,6,0))+(VLOOKUP($A638,$A$4:$O$27,10,0)*(HLOOKUP(L$627,'2.2.Brecha Efectiva x UdM'!$H$64:$AK$70,6,0))))</f>
        <v>0</v>
      </c>
      <c r="M638" s="32">
        <f>(VLOOKUP($A638,$A$458:$O$482,10,0)*(HLOOKUP(M$627,'2.2.Brecha Efectiva x UdM'!$H$86:$AK$92,6,0))+(VLOOKUP($A638,$A$4:$O$27,10,0)*(HLOOKUP(M$627,'2.2.Brecha Efectiva x UdM'!$H$64:$AK$70,6,0))))</f>
        <v>0</v>
      </c>
      <c r="N638" s="32">
        <f>(VLOOKUP($A638,$A$458:$O$482,10,0)*(HLOOKUP(N$627,'2.2.Brecha Efectiva x UdM'!$H$86:$AK$92,6,0))+(VLOOKUP($A638,$A$4:$O$27,10,0)*(HLOOKUP(N$627,'2.2.Brecha Efectiva x UdM'!$H$64:$AK$70,6,0))))</f>
        <v>0</v>
      </c>
      <c r="O638" s="32">
        <f>(VLOOKUP($A638,$A$458:$O$482,10,0)*(HLOOKUP(O$627,'2.2.Brecha Efectiva x UdM'!$H$86:$AK$92,6,0))+(VLOOKUP($A638,$A$4:$O$27,10,0)*(HLOOKUP(O$627,'2.2.Brecha Efectiva x UdM'!$H$64:$AK$70,6,0))))</f>
        <v>0</v>
      </c>
      <c r="P638" s="32">
        <f>(VLOOKUP($A638,$A$458:$O$482,10,0)*(HLOOKUP(P$627,'2.2.Brecha Efectiva x UdM'!$H$86:$AK$92,6,0))+(VLOOKUP($A638,$A$4:$O$27,10,0)*(HLOOKUP(P$627,'2.2.Brecha Efectiva x UdM'!$H$64:$AK$70,6,0))))</f>
        <v>0</v>
      </c>
      <c r="Q638" s="32">
        <f>(VLOOKUP($A638,$A$458:$O$482,10,0)*(HLOOKUP(Q$627,'2.2.Brecha Efectiva x UdM'!$H$86:$AK$92,6,0))+(VLOOKUP($A638,$A$4:$O$27,10,0)*(HLOOKUP(Q$627,'2.2.Brecha Efectiva x UdM'!$H$64:$AK$70,6,0))))</f>
        <v>0</v>
      </c>
      <c r="R638" s="32">
        <f>(VLOOKUP($A638,$A$458:$O$482,10,0)*(HLOOKUP(R$627,'2.2.Brecha Efectiva x UdM'!$H$86:$AK$92,6,0))+(VLOOKUP($A638,$A$4:$O$27,10,0)*(HLOOKUP(R$627,'2.2.Brecha Efectiva x UdM'!$H$64:$AK$70,6,0))))</f>
        <v>0</v>
      </c>
      <c r="S638" s="32">
        <f>(VLOOKUP($A638,$A$458:$O$482,10,0)*(HLOOKUP(S$627,'2.2.Brecha Efectiva x UdM'!$H$86:$AK$92,6,0))+(VLOOKUP($A638,$A$4:$O$27,10,0)*(HLOOKUP(S$627,'2.2.Brecha Efectiva x UdM'!$H$64:$AK$70,6,0))))</f>
        <v>0</v>
      </c>
      <c r="T638" s="32">
        <f>(VLOOKUP($A638,$A$458:$O$482,10,0)*(HLOOKUP(T$627,'2.2.Brecha Efectiva x UdM'!$H$86:$AK$92,6,0))+(VLOOKUP($A638,$A$4:$O$27,10,0)*(HLOOKUP(T$627,'2.2.Brecha Efectiva x UdM'!$H$64:$AK$70,6,0))))</f>
        <v>0</v>
      </c>
      <c r="U638" s="32">
        <f>(VLOOKUP($A638,$A$458:$O$482,10,0)*(HLOOKUP(U$627,'2.2.Brecha Efectiva x UdM'!$H$86:$AK$92,6,0))+(VLOOKUP($A638,$A$4:$O$27,10,0)*(HLOOKUP(U$627,'2.2.Brecha Efectiva x UdM'!$H$64:$AK$70,6,0))))</f>
        <v>0</v>
      </c>
      <c r="V638" s="32">
        <f>(VLOOKUP($A638,$A$458:$O$482,10,0)*(HLOOKUP(V$627,'2.2.Brecha Efectiva x UdM'!$H$86:$AK$92,6,0))+(VLOOKUP($A638,$A$4:$O$27,10,0)*(HLOOKUP(V$627,'2.2.Brecha Efectiva x UdM'!$H$64:$AK$70,6,0))))</f>
        <v>0</v>
      </c>
      <c r="W638" s="32">
        <f>(VLOOKUP($A638,$A$458:$O$482,10,0)*(HLOOKUP(W$627,'2.2.Brecha Efectiva x UdM'!$H$86:$AK$92,6,0))+(VLOOKUP($A638,$A$4:$O$27,10,0)*(HLOOKUP(W$627,'2.2.Brecha Efectiva x UdM'!$H$64:$AK$70,6,0))))</f>
        <v>0</v>
      </c>
      <c r="X638" s="32">
        <f>(VLOOKUP($A638,$A$458:$O$482,10,0)*(HLOOKUP(X$627,'2.2.Brecha Efectiva x UdM'!$H$86:$AK$92,6,0))+(VLOOKUP($A638,$A$4:$O$27,10,0)*(HLOOKUP(X$627,'2.2.Brecha Efectiva x UdM'!$H$64:$AK$70,6,0))))</f>
        <v>0</v>
      </c>
      <c r="Y638" s="32">
        <f>(VLOOKUP($A638,$A$458:$O$482,10,0)*(HLOOKUP(Y$627,'2.2.Brecha Efectiva x UdM'!$H$86:$AK$92,6,0))+(VLOOKUP($A638,$A$4:$O$27,10,0)*(HLOOKUP(Y$627,'2.2.Brecha Efectiva x UdM'!$H$64:$AK$70,6,0))))</f>
        <v>0</v>
      </c>
      <c r="Z638" s="32">
        <f>(VLOOKUP($A638,$A$458:$O$482,10,0)*(HLOOKUP(Z$627,'2.2.Brecha Efectiva x UdM'!$H$86:$AK$92,6,0))+(VLOOKUP($A638,$A$4:$O$27,10,0)*(HLOOKUP(Z$627,'2.2.Brecha Efectiva x UdM'!$H$64:$AK$70,6,0))))</f>
        <v>0</v>
      </c>
      <c r="AA638" s="32">
        <f>(VLOOKUP($A638,$A$458:$O$482,10,0)*(HLOOKUP(AA$627,'2.2.Brecha Efectiva x UdM'!$H$86:$AK$92,6,0))+(VLOOKUP($A638,$A$4:$O$27,10,0)*(HLOOKUP(AA$627,'2.2.Brecha Efectiva x UdM'!$H$64:$AK$70,6,0))))</f>
        <v>0</v>
      </c>
      <c r="AB638" s="32">
        <f>(VLOOKUP($A638,$A$458:$O$482,10,0)*(HLOOKUP(AB$627,'2.2.Brecha Efectiva x UdM'!$H$86:$AK$92,6,0))+(VLOOKUP($A638,$A$4:$O$27,10,0)*(HLOOKUP(AB$627,'2.2.Brecha Efectiva x UdM'!$H$64:$AK$70,6,0))))</f>
        <v>0</v>
      </c>
      <c r="AC638" s="32">
        <f>(VLOOKUP($A638,$A$458:$O$482,10,0)*(HLOOKUP(AC$627,'2.2.Brecha Efectiva x UdM'!$H$86:$AK$92,6,0))+(VLOOKUP($A638,$A$4:$O$27,10,0)*(HLOOKUP(AC$627,'2.2.Brecha Efectiva x UdM'!$H$64:$AK$70,6,0))))</f>
        <v>0</v>
      </c>
      <c r="AD638" s="32">
        <f>(VLOOKUP($A638,$A$458:$O$482,10,0)*(HLOOKUP(AD$627,'2.2.Brecha Efectiva x UdM'!$H$86:$AK$92,6,0))+(VLOOKUP($A638,$A$4:$O$27,10,0)*(HLOOKUP(AD$627,'2.2.Brecha Efectiva x UdM'!$H$64:$AK$70,6,0))))</f>
        <v>0</v>
      </c>
      <c r="AE638" s="32">
        <f>(VLOOKUP($A638,$A$458:$O$482,10,0)*(HLOOKUP(AE$627,'2.2.Brecha Efectiva x UdM'!$H$86:$AK$92,6,0))+(VLOOKUP($A638,$A$4:$O$27,10,0)*(HLOOKUP(AE$627,'2.2.Brecha Efectiva x UdM'!$H$64:$AK$70,6,0))))</f>
        <v>0</v>
      </c>
      <c r="AF638" s="32">
        <f>(VLOOKUP($A638,$A$458:$O$482,10,0)*(HLOOKUP(AF$627,'2.2.Brecha Efectiva x UdM'!$H$86:$AK$92,6,0))+(VLOOKUP($A638,$A$4:$O$27,10,0)*(HLOOKUP(AF$627,'2.2.Brecha Efectiva x UdM'!$H$64:$AK$70,6,0))))</f>
        <v>0</v>
      </c>
      <c r="AG638" s="32">
        <f>(VLOOKUP($A638,$A$458:$O$482,10,0)*(HLOOKUP(AG$627,'2.2.Brecha Efectiva x UdM'!$H$86:$AK$92,6,0))+(VLOOKUP($A638,$A$4:$O$27,10,0)*(HLOOKUP(AG$627,'2.2.Brecha Efectiva x UdM'!$H$64:$AK$70,6,0))))</f>
        <v>0</v>
      </c>
      <c r="AH638" s="62">
        <f t="shared" si="604"/>
        <v>0</v>
      </c>
    </row>
    <row r="639" spans="1:34" hidden="1" x14ac:dyDescent="0.2">
      <c r="A639" s="26" t="str">
        <f t="shared" si="601"/>
        <v>La Rioja</v>
      </c>
      <c r="B639" s="52">
        <f t="shared" si="602"/>
        <v>0</v>
      </c>
      <c r="C639" s="26" t="str">
        <f t="shared" si="603"/>
        <v>La Rioja 0</v>
      </c>
      <c r="D639" s="31">
        <f>(VLOOKUP($A639,$A$458:$O$482,10,0)*(HLOOKUP(D$627,'2.2.Brecha Efectiva x UdM'!$H$86:$AK$92,6,0))+(VLOOKUP($A639,$A$4:$O$27,10,0)*(HLOOKUP(D$627,'2.2.Brecha Efectiva x UdM'!$H$64:$AK$70,6,0))))</f>
        <v>0</v>
      </c>
      <c r="E639" s="31">
        <f>(VLOOKUP($A639,$A$458:$O$482,10,0)*(HLOOKUP(E$627,'2.2.Brecha Efectiva x UdM'!$H$86:$AK$92,6,0))+(VLOOKUP($A639,$A$4:$O$27,10,0)*(HLOOKUP(E$627,'2.2.Brecha Efectiva x UdM'!$H$64:$AK$70,6,0))))</f>
        <v>0</v>
      </c>
      <c r="F639" s="31">
        <f>(VLOOKUP($A639,$A$458:$O$482,10,0)*(HLOOKUP(F$627,'2.2.Brecha Efectiva x UdM'!$H$86:$AK$92,6,0))+(VLOOKUP($A639,$A$4:$O$27,10,0)*(HLOOKUP(F$627,'2.2.Brecha Efectiva x UdM'!$H$64:$AK$70,6,0))))</f>
        <v>0</v>
      </c>
      <c r="G639" s="31">
        <f>(VLOOKUP($A639,$A$458:$O$482,10,0)*(HLOOKUP(G$627,'2.2.Brecha Efectiva x UdM'!$H$86:$AK$92,6,0))+(VLOOKUP($A639,$A$4:$O$27,10,0)*(HLOOKUP(G$627,'2.2.Brecha Efectiva x UdM'!$H$64:$AK$70,6,0))))</f>
        <v>0</v>
      </c>
      <c r="H639" s="31">
        <f>(VLOOKUP($A639,$A$458:$O$482,10,0)*(HLOOKUP(H$627,'2.2.Brecha Efectiva x UdM'!$H$86:$AK$92,6,0))+(VLOOKUP($A639,$A$4:$O$27,10,0)*(HLOOKUP(H$627,'2.2.Brecha Efectiva x UdM'!$H$64:$AK$70,6,0))))</f>
        <v>0</v>
      </c>
      <c r="I639" s="31">
        <f>(VLOOKUP($A639,$A$458:$O$482,10,0)*(HLOOKUP(I$627,'2.2.Brecha Efectiva x UdM'!$H$86:$AK$92,6,0))+(VLOOKUP($A639,$A$4:$O$27,10,0)*(HLOOKUP(I$627,'2.2.Brecha Efectiva x UdM'!$H$64:$AK$70,6,0))))</f>
        <v>0</v>
      </c>
      <c r="J639" s="31">
        <f>(VLOOKUP($A639,$A$458:$O$482,10,0)*(HLOOKUP(J$627,'2.2.Brecha Efectiva x UdM'!$H$86:$AK$92,6,0))+(VLOOKUP($A639,$A$4:$O$27,10,0)*(HLOOKUP(J$627,'2.2.Brecha Efectiva x UdM'!$H$64:$AK$70,6,0))))</f>
        <v>0</v>
      </c>
      <c r="K639" s="31">
        <f>(VLOOKUP($A639,$A$458:$O$482,10,0)*(HLOOKUP(K$627,'2.2.Brecha Efectiva x UdM'!$H$86:$AK$92,6,0))+(VLOOKUP($A639,$A$4:$O$27,10,0)*(HLOOKUP(K$627,'2.2.Brecha Efectiva x UdM'!$H$64:$AK$70,6,0))))</f>
        <v>0</v>
      </c>
      <c r="L639" s="31">
        <f>(VLOOKUP($A639,$A$458:$O$482,10,0)*(HLOOKUP(L$627,'2.2.Brecha Efectiva x UdM'!$H$86:$AK$92,6,0))+(VLOOKUP($A639,$A$4:$O$27,10,0)*(HLOOKUP(L$627,'2.2.Brecha Efectiva x UdM'!$H$64:$AK$70,6,0))))</f>
        <v>0</v>
      </c>
      <c r="M639" s="31">
        <f>(VLOOKUP($A639,$A$458:$O$482,10,0)*(HLOOKUP(M$627,'2.2.Brecha Efectiva x UdM'!$H$86:$AK$92,6,0))+(VLOOKUP($A639,$A$4:$O$27,10,0)*(HLOOKUP(M$627,'2.2.Brecha Efectiva x UdM'!$H$64:$AK$70,6,0))))</f>
        <v>0</v>
      </c>
      <c r="N639" s="31">
        <f>(VLOOKUP($A639,$A$458:$O$482,10,0)*(HLOOKUP(N$627,'2.2.Brecha Efectiva x UdM'!$H$86:$AK$92,6,0))+(VLOOKUP($A639,$A$4:$O$27,10,0)*(HLOOKUP(N$627,'2.2.Brecha Efectiva x UdM'!$H$64:$AK$70,6,0))))</f>
        <v>0</v>
      </c>
      <c r="O639" s="31">
        <f>(VLOOKUP($A639,$A$458:$O$482,10,0)*(HLOOKUP(O$627,'2.2.Brecha Efectiva x UdM'!$H$86:$AK$92,6,0))+(VLOOKUP($A639,$A$4:$O$27,10,0)*(HLOOKUP(O$627,'2.2.Brecha Efectiva x UdM'!$H$64:$AK$70,6,0))))</f>
        <v>0</v>
      </c>
      <c r="P639" s="31">
        <f>(VLOOKUP($A639,$A$458:$O$482,10,0)*(HLOOKUP(P$627,'2.2.Brecha Efectiva x UdM'!$H$86:$AK$92,6,0))+(VLOOKUP($A639,$A$4:$O$27,10,0)*(HLOOKUP(P$627,'2.2.Brecha Efectiva x UdM'!$H$64:$AK$70,6,0))))</f>
        <v>0</v>
      </c>
      <c r="Q639" s="31">
        <f>(VLOOKUP($A639,$A$458:$O$482,10,0)*(HLOOKUP(Q$627,'2.2.Brecha Efectiva x UdM'!$H$86:$AK$92,6,0))+(VLOOKUP($A639,$A$4:$O$27,10,0)*(HLOOKUP(Q$627,'2.2.Brecha Efectiva x UdM'!$H$64:$AK$70,6,0))))</f>
        <v>0</v>
      </c>
      <c r="R639" s="31">
        <f>(VLOOKUP($A639,$A$458:$O$482,10,0)*(HLOOKUP(R$627,'2.2.Brecha Efectiva x UdM'!$H$86:$AK$92,6,0))+(VLOOKUP($A639,$A$4:$O$27,10,0)*(HLOOKUP(R$627,'2.2.Brecha Efectiva x UdM'!$H$64:$AK$70,6,0))))</f>
        <v>0</v>
      </c>
      <c r="S639" s="31">
        <f>(VLOOKUP($A639,$A$458:$O$482,10,0)*(HLOOKUP(S$627,'2.2.Brecha Efectiva x UdM'!$H$86:$AK$92,6,0))+(VLOOKUP($A639,$A$4:$O$27,10,0)*(HLOOKUP(S$627,'2.2.Brecha Efectiva x UdM'!$H$64:$AK$70,6,0))))</f>
        <v>0</v>
      </c>
      <c r="T639" s="31">
        <f>(VLOOKUP($A639,$A$458:$O$482,10,0)*(HLOOKUP(T$627,'2.2.Brecha Efectiva x UdM'!$H$86:$AK$92,6,0))+(VLOOKUP($A639,$A$4:$O$27,10,0)*(HLOOKUP(T$627,'2.2.Brecha Efectiva x UdM'!$H$64:$AK$70,6,0))))</f>
        <v>0</v>
      </c>
      <c r="U639" s="31">
        <f>(VLOOKUP($A639,$A$458:$O$482,10,0)*(HLOOKUP(U$627,'2.2.Brecha Efectiva x UdM'!$H$86:$AK$92,6,0))+(VLOOKUP($A639,$A$4:$O$27,10,0)*(HLOOKUP(U$627,'2.2.Brecha Efectiva x UdM'!$H$64:$AK$70,6,0))))</f>
        <v>0</v>
      </c>
      <c r="V639" s="31">
        <f>(VLOOKUP($A639,$A$458:$O$482,10,0)*(HLOOKUP(V$627,'2.2.Brecha Efectiva x UdM'!$H$86:$AK$92,6,0))+(VLOOKUP($A639,$A$4:$O$27,10,0)*(HLOOKUP(V$627,'2.2.Brecha Efectiva x UdM'!$H$64:$AK$70,6,0))))</f>
        <v>0</v>
      </c>
      <c r="W639" s="31">
        <f>(VLOOKUP($A639,$A$458:$O$482,10,0)*(HLOOKUP(W$627,'2.2.Brecha Efectiva x UdM'!$H$86:$AK$92,6,0))+(VLOOKUP($A639,$A$4:$O$27,10,0)*(HLOOKUP(W$627,'2.2.Brecha Efectiva x UdM'!$H$64:$AK$70,6,0))))</f>
        <v>0</v>
      </c>
      <c r="X639" s="31">
        <f>(VLOOKUP($A639,$A$458:$O$482,10,0)*(HLOOKUP(X$627,'2.2.Brecha Efectiva x UdM'!$H$86:$AK$92,6,0))+(VLOOKUP($A639,$A$4:$O$27,10,0)*(HLOOKUP(X$627,'2.2.Brecha Efectiva x UdM'!$H$64:$AK$70,6,0))))</f>
        <v>0</v>
      </c>
      <c r="Y639" s="31">
        <f>(VLOOKUP($A639,$A$458:$O$482,10,0)*(HLOOKUP(Y$627,'2.2.Brecha Efectiva x UdM'!$H$86:$AK$92,6,0))+(VLOOKUP($A639,$A$4:$O$27,10,0)*(HLOOKUP(Y$627,'2.2.Brecha Efectiva x UdM'!$H$64:$AK$70,6,0))))</f>
        <v>0</v>
      </c>
      <c r="Z639" s="31">
        <f>(VLOOKUP($A639,$A$458:$O$482,10,0)*(HLOOKUP(Z$627,'2.2.Brecha Efectiva x UdM'!$H$86:$AK$92,6,0))+(VLOOKUP($A639,$A$4:$O$27,10,0)*(HLOOKUP(Z$627,'2.2.Brecha Efectiva x UdM'!$H$64:$AK$70,6,0))))</f>
        <v>0</v>
      </c>
      <c r="AA639" s="31">
        <f>(VLOOKUP($A639,$A$458:$O$482,10,0)*(HLOOKUP(AA$627,'2.2.Brecha Efectiva x UdM'!$H$86:$AK$92,6,0))+(VLOOKUP($A639,$A$4:$O$27,10,0)*(HLOOKUP(AA$627,'2.2.Brecha Efectiva x UdM'!$H$64:$AK$70,6,0))))</f>
        <v>0</v>
      </c>
      <c r="AB639" s="31">
        <f>(VLOOKUP($A639,$A$458:$O$482,10,0)*(HLOOKUP(AB$627,'2.2.Brecha Efectiva x UdM'!$H$86:$AK$92,6,0))+(VLOOKUP($A639,$A$4:$O$27,10,0)*(HLOOKUP(AB$627,'2.2.Brecha Efectiva x UdM'!$H$64:$AK$70,6,0))))</f>
        <v>0</v>
      </c>
      <c r="AC639" s="31">
        <f>(VLOOKUP($A639,$A$458:$O$482,10,0)*(HLOOKUP(AC$627,'2.2.Brecha Efectiva x UdM'!$H$86:$AK$92,6,0))+(VLOOKUP($A639,$A$4:$O$27,10,0)*(HLOOKUP(AC$627,'2.2.Brecha Efectiva x UdM'!$H$64:$AK$70,6,0))))</f>
        <v>0</v>
      </c>
      <c r="AD639" s="31">
        <f>(VLOOKUP($A639,$A$458:$O$482,10,0)*(HLOOKUP(AD$627,'2.2.Brecha Efectiva x UdM'!$H$86:$AK$92,6,0))+(VLOOKUP($A639,$A$4:$O$27,10,0)*(HLOOKUP(AD$627,'2.2.Brecha Efectiva x UdM'!$H$64:$AK$70,6,0))))</f>
        <v>0</v>
      </c>
      <c r="AE639" s="31">
        <f>(VLOOKUP($A639,$A$458:$O$482,10,0)*(HLOOKUP(AE$627,'2.2.Brecha Efectiva x UdM'!$H$86:$AK$92,6,0))+(VLOOKUP($A639,$A$4:$O$27,10,0)*(HLOOKUP(AE$627,'2.2.Brecha Efectiva x UdM'!$H$64:$AK$70,6,0))))</f>
        <v>0</v>
      </c>
      <c r="AF639" s="31">
        <f>(VLOOKUP($A639,$A$458:$O$482,10,0)*(HLOOKUP(AF$627,'2.2.Brecha Efectiva x UdM'!$H$86:$AK$92,6,0))+(VLOOKUP($A639,$A$4:$O$27,10,0)*(HLOOKUP(AF$627,'2.2.Brecha Efectiva x UdM'!$H$64:$AK$70,6,0))))</f>
        <v>0</v>
      </c>
      <c r="AG639" s="31">
        <f>(VLOOKUP($A639,$A$458:$O$482,10,0)*(HLOOKUP(AG$627,'2.2.Brecha Efectiva x UdM'!$H$86:$AK$92,6,0))+(VLOOKUP($A639,$A$4:$O$27,10,0)*(HLOOKUP(AG$627,'2.2.Brecha Efectiva x UdM'!$H$64:$AK$70,6,0))))</f>
        <v>0</v>
      </c>
      <c r="AH639" s="63">
        <f t="shared" si="604"/>
        <v>0</v>
      </c>
    </row>
    <row r="640" spans="1:34" hidden="1" x14ac:dyDescent="0.2">
      <c r="A640" s="25" t="str">
        <f t="shared" si="601"/>
        <v>Mendoza</v>
      </c>
      <c r="B640" s="51">
        <f t="shared" si="602"/>
        <v>0</v>
      </c>
      <c r="C640" s="25" t="str">
        <f t="shared" si="603"/>
        <v>Mendoza 0</v>
      </c>
      <c r="D640" s="32">
        <f>(VLOOKUP($A640,$A$458:$O$482,10,0)*(HLOOKUP(D$627,'2.2.Brecha Efectiva x UdM'!$H$86:$AK$92,6,0))+(VLOOKUP($A640,$A$4:$O$27,10,0)*(HLOOKUP(D$627,'2.2.Brecha Efectiva x UdM'!$H$64:$AK$70,6,0))))</f>
        <v>0</v>
      </c>
      <c r="E640" s="32">
        <f>(VLOOKUP($A640,$A$458:$O$482,10,0)*(HLOOKUP(E$627,'2.2.Brecha Efectiva x UdM'!$H$86:$AK$92,6,0))+(VLOOKUP($A640,$A$4:$O$27,10,0)*(HLOOKUP(E$627,'2.2.Brecha Efectiva x UdM'!$H$64:$AK$70,6,0))))</f>
        <v>0</v>
      </c>
      <c r="F640" s="32">
        <f>(VLOOKUP($A640,$A$458:$O$482,10,0)*(HLOOKUP(F$627,'2.2.Brecha Efectiva x UdM'!$H$86:$AK$92,6,0))+(VLOOKUP($A640,$A$4:$O$27,10,0)*(HLOOKUP(F$627,'2.2.Brecha Efectiva x UdM'!$H$64:$AK$70,6,0))))</f>
        <v>0</v>
      </c>
      <c r="G640" s="32">
        <f>(VLOOKUP($A640,$A$458:$O$482,10,0)*(HLOOKUP(G$627,'2.2.Brecha Efectiva x UdM'!$H$86:$AK$92,6,0))+(VLOOKUP($A640,$A$4:$O$27,10,0)*(HLOOKUP(G$627,'2.2.Brecha Efectiva x UdM'!$H$64:$AK$70,6,0))))</f>
        <v>0</v>
      </c>
      <c r="H640" s="32">
        <f>(VLOOKUP($A640,$A$458:$O$482,10,0)*(HLOOKUP(H$627,'2.2.Brecha Efectiva x UdM'!$H$86:$AK$92,6,0))+(VLOOKUP($A640,$A$4:$O$27,10,0)*(HLOOKUP(H$627,'2.2.Brecha Efectiva x UdM'!$H$64:$AK$70,6,0))))</f>
        <v>0</v>
      </c>
      <c r="I640" s="32">
        <f>(VLOOKUP($A640,$A$458:$O$482,10,0)*(HLOOKUP(I$627,'2.2.Brecha Efectiva x UdM'!$H$86:$AK$92,6,0))+(VLOOKUP($A640,$A$4:$O$27,10,0)*(HLOOKUP(I$627,'2.2.Brecha Efectiva x UdM'!$H$64:$AK$70,6,0))))</f>
        <v>0</v>
      </c>
      <c r="J640" s="32">
        <f>(VLOOKUP($A640,$A$458:$O$482,10,0)*(HLOOKUP(J$627,'2.2.Brecha Efectiva x UdM'!$H$86:$AK$92,6,0))+(VLOOKUP($A640,$A$4:$O$27,10,0)*(HLOOKUP(J$627,'2.2.Brecha Efectiva x UdM'!$H$64:$AK$70,6,0))))</f>
        <v>0</v>
      </c>
      <c r="K640" s="32">
        <f>(VLOOKUP($A640,$A$458:$O$482,10,0)*(HLOOKUP(K$627,'2.2.Brecha Efectiva x UdM'!$H$86:$AK$92,6,0))+(VLOOKUP($A640,$A$4:$O$27,10,0)*(HLOOKUP(K$627,'2.2.Brecha Efectiva x UdM'!$H$64:$AK$70,6,0))))</f>
        <v>0</v>
      </c>
      <c r="L640" s="32">
        <f>(VLOOKUP($A640,$A$458:$O$482,10,0)*(HLOOKUP(L$627,'2.2.Brecha Efectiva x UdM'!$H$86:$AK$92,6,0))+(VLOOKUP($A640,$A$4:$O$27,10,0)*(HLOOKUP(L$627,'2.2.Brecha Efectiva x UdM'!$H$64:$AK$70,6,0))))</f>
        <v>0</v>
      </c>
      <c r="M640" s="32">
        <f>(VLOOKUP($A640,$A$458:$O$482,10,0)*(HLOOKUP(M$627,'2.2.Brecha Efectiva x UdM'!$H$86:$AK$92,6,0))+(VLOOKUP($A640,$A$4:$O$27,10,0)*(HLOOKUP(M$627,'2.2.Brecha Efectiva x UdM'!$H$64:$AK$70,6,0))))</f>
        <v>0</v>
      </c>
      <c r="N640" s="32">
        <f>(VLOOKUP($A640,$A$458:$O$482,10,0)*(HLOOKUP(N$627,'2.2.Brecha Efectiva x UdM'!$H$86:$AK$92,6,0))+(VLOOKUP($A640,$A$4:$O$27,10,0)*(HLOOKUP(N$627,'2.2.Brecha Efectiva x UdM'!$H$64:$AK$70,6,0))))</f>
        <v>0</v>
      </c>
      <c r="O640" s="32">
        <f>(VLOOKUP($A640,$A$458:$O$482,10,0)*(HLOOKUP(O$627,'2.2.Brecha Efectiva x UdM'!$H$86:$AK$92,6,0))+(VLOOKUP($A640,$A$4:$O$27,10,0)*(HLOOKUP(O$627,'2.2.Brecha Efectiva x UdM'!$H$64:$AK$70,6,0))))</f>
        <v>0</v>
      </c>
      <c r="P640" s="32">
        <f>(VLOOKUP($A640,$A$458:$O$482,10,0)*(HLOOKUP(P$627,'2.2.Brecha Efectiva x UdM'!$H$86:$AK$92,6,0))+(VLOOKUP($A640,$A$4:$O$27,10,0)*(HLOOKUP(P$627,'2.2.Brecha Efectiva x UdM'!$H$64:$AK$70,6,0))))</f>
        <v>0</v>
      </c>
      <c r="Q640" s="32">
        <f>(VLOOKUP($A640,$A$458:$O$482,10,0)*(HLOOKUP(Q$627,'2.2.Brecha Efectiva x UdM'!$H$86:$AK$92,6,0))+(VLOOKUP($A640,$A$4:$O$27,10,0)*(HLOOKUP(Q$627,'2.2.Brecha Efectiva x UdM'!$H$64:$AK$70,6,0))))</f>
        <v>0</v>
      </c>
      <c r="R640" s="32">
        <f>(VLOOKUP($A640,$A$458:$O$482,10,0)*(HLOOKUP(R$627,'2.2.Brecha Efectiva x UdM'!$H$86:$AK$92,6,0))+(VLOOKUP($A640,$A$4:$O$27,10,0)*(HLOOKUP(R$627,'2.2.Brecha Efectiva x UdM'!$H$64:$AK$70,6,0))))</f>
        <v>0</v>
      </c>
      <c r="S640" s="32">
        <f>(VLOOKUP($A640,$A$458:$O$482,10,0)*(HLOOKUP(S$627,'2.2.Brecha Efectiva x UdM'!$H$86:$AK$92,6,0))+(VLOOKUP($A640,$A$4:$O$27,10,0)*(HLOOKUP(S$627,'2.2.Brecha Efectiva x UdM'!$H$64:$AK$70,6,0))))</f>
        <v>0</v>
      </c>
      <c r="T640" s="32">
        <f>(VLOOKUP($A640,$A$458:$O$482,10,0)*(HLOOKUP(T$627,'2.2.Brecha Efectiva x UdM'!$H$86:$AK$92,6,0))+(VLOOKUP($A640,$A$4:$O$27,10,0)*(HLOOKUP(T$627,'2.2.Brecha Efectiva x UdM'!$H$64:$AK$70,6,0))))</f>
        <v>0</v>
      </c>
      <c r="U640" s="32">
        <f>(VLOOKUP($A640,$A$458:$O$482,10,0)*(HLOOKUP(U$627,'2.2.Brecha Efectiva x UdM'!$H$86:$AK$92,6,0))+(VLOOKUP($A640,$A$4:$O$27,10,0)*(HLOOKUP(U$627,'2.2.Brecha Efectiva x UdM'!$H$64:$AK$70,6,0))))</f>
        <v>0</v>
      </c>
      <c r="V640" s="32">
        <f>(VLOOKUP($A640,$A$458:$O$482,10,0)*(HLOOKUP(V$627,'2.2.Brecha Efectiva x UdM'!$H$86:$AK$92,6,0))+(VLOOKUP($A640,$A$4:$O$27,10,0)*(HLOOKUP(V$627,'2.2.Brecha Efectiva x UdM'!$H$64:$AK$70,6,0))))</f>
        <v>0</v>
      </c>
      <c r="W640" s="32">
        <f>(VLOOKUP($A640,$A$458:$O$482,10,0)*(HLOOKUP(W$627,'2.2.Brecha Efectiva x UdM'!$H$86:$AK$92,6,0))+(VLOOKUP($A640,$A$4:$O$27,10,0)*(HLOOKUP(W$627,'2.2.Brecha Efectiva x UdM'!$H$64:$AK$70,6,0))))</f>
        <v>0</v>
      </c>
      <c r="X640" s="32">
        <f>(VLOOKUP($A640,$A$458:$O$482,10,0)*(HLOOKUP(X$627,'2.2.Brecha Efectiva x UdM'!$H$86:$AK$92,6,0))+(VLOOKUP($A640,$A$4:$O$27,10,0)*(HLOOKUP(X$627,'2.2.Brecha Efectiva x UdM'!$H$64:$AK$70,6,0))))</f>
        <v>0</v>
      </c>
      <c r="Y640" s="32">
        <f>(VLOOKUP($A640,$A$458:$O$482,10,0)*(HLOOKUP(Y$627,'2.2.Brecha Efectiva x UdM'!$H$86:$AK$92,6,0))+(VLOOKUP($A640,$A$4:$O$27,10,0)*(HLOOKUP(Y$627,'2.2.Brecha Efectiva x UdM'!$H$64:$AK$70,6,0))))</f>
        <v>0</v>
      </c>
      <c r="Z640" s="32">
        <f>(VLOOKUP($A640,$A$458:$O$482,10,0)*(HLOOKUP(Z$627,'2.2.Brecha Efectiva x UdM'!$H$86:$AK$92,6,0))+(VLOOKUP($A640,$A$4:$O$27,10,0)*(HLOOKUP(Z$627,'2.2.Brecha Efectiva x UdM'!$H$64:$AK$70,6,0))))</f>
        <v>0</v>
      </c>
      <c r="AA640" s="32">
        <f>(VLOOKUP($A640,$A$458:$O$482,10,0)*(HLOOKUP(AA$627,'2.2.Brecha Efectiva x UdM'!$H$86:$AK$92,6,0))+(VLOOKUP($A640,$A$4:$O$27,10,0)*(HLOOKUP(AA$627,'2.2.Brecha Efectiva x UdM'!$H$64:$AK$70,6,0))))</f>
        <v>0</v>
      </c>
      <c r="AB640" s="32">
        <f>(VLOOKUP($A640,$A$458:$O$482,10,0)*(HLOOKUP(AB$627,'2.2.Brecha Efectiva x UdM'!$H$86:$AK$92,6,0))+(VLOOKUP($A640,$A$4:$O$27,10,0)*(HLOOKUP(AB$627,'2.2.Brecha Efectiva x UdM'!$H$64:$AK$70,6,0))))</f>
        <v>0</v>
      </c>
      <c r="AC640" s="32">
        <f>(VLOOKUP($A640,$A$458:$O$482,10,0)*(HLOOKUP(AC$627,'2.2.Brecha Efectiva x UdM'!$H$86:$AK$92,6,0))+(VLOOKUP($A640,$A$4:$O$27,10,0)*(HLOOKUP(AC$627,'2.2.Brecha Efectiva x UdM'!$H$64:$AK$70,6,0))))</f>
        <v>0</v>
      </c>
      <c r="AD640" s="32">
        <f>(VLOOKUP($A640,$A$458:$O$482,10,0)*(HLOOKUP(AD$627,'2.2.Brecha Efectiva x UdM'!$H$86:$AK$92,6,0))+(VLOOKUP($A640,$A$4:$O$27,10,0)*(HLOOKUP(AD$627,'2.2.Brecha Efectiva x UdM'!$H$64:$AK$70,6,0))))</f>
        <v>0</v>
      </c>
      <c r="AE640" s="32">
        <f>(VLOOKUP($A640,$A$458:$O$482,10,0)*(HLOOKUP(AE$627,'2.2.Brecha Efectiva x UdM'!$H$86:$AK$92,6,0))+(VLOOKUP($A640,$A$4:$O$27,10,0)*(HLOOKUP(AE$627,'2.2.Brecha Efectiva x UdM'!$H$64:$AK$70,6,0))))</f>
        <v>0</v>
      </c>
      <c r="AF640" s="32">
        <f>(VLOOKUP($A640,$A$458:$O$482,10,0)*(HLOOKUP(AF$627,'2.2.Brecha Efectiva x UdM'!$H$86:$AK$92,6,0))+(VLOOKUP($A640,$A$4:$O$27,10,0)*(HLOOKUP(AF$627,'2.2.Brecha Efectiva x UdM'!$H$64:$AK$70,6,0))))</f>
        <v>0</v>
      </c>
      <c r="AG640" s="32">
        <f>(VLOOKUP($A640,$A$458:$O$482,10,0)*(HLOOKUP(AG$627,'2.2.Brecha Efectiva x UdM'!$H$86:$AK$92,6,0))+(VLOOKUP($A640,$A$4:$O$27,10,0)*(HLOOKUP(AG$627,'2.2.Brecha Efectiva x UdM'!$H$64:$AK$70,6,0))))</f>
        <v>0</v>
      </c>
      <c r="AH640" s="62">
        <f t="shared" si="604"/>
        <v>0</v>
      </c>
    </row>
    <row r="641" spans="1:34" hidden="1" x14ac:dyDescent="0.2">
      <c r="A641" s="26" t="str">
        <f t="shared" si="601"/>
        <v>Misiones</v>
      </c>
      <c r="B641" s="52">
        <f t="shared" si="602"/>
        <v>0</v>
      </c>
      <c r="C641" s="26" t="str">
        <f t="shared" si="603"/>
        <v>Misiones 0</v>
      </c>
      <c r="D641" s="31">
        <f>(VLOOKUP($A641,$A$458:$O$482,10,0)*(HLOOKUP(D$627,'2.2.Brecha Efectiva x UdM'!$H$86:$AK$92,6,0))+(VLOOKUP($A641,$A$4:$O$27,10,0)*(HLOOKUP(D$627,'2.2.Brecha Efectiva x UdM'!$H$64:$AK$70,6,0))))</f>
        <v>0</v>
      </c>
      <c r="E641" s="31">
        <f>(VLOOKUP($A641,$A$458:$O$482,10,0)*(HLOOKUP(E$627,'2.2.Brecha Efectiva x UdM'!$H$86:$AK$92,6,0))+(VLOOKUP($A641,$A$4:$O$27,10,0)*(HLOOKUP(E$627,'2.2.Brecha Efectiva x UdM'!$H$64:$AK$70,6,0))))</f>
        <v>0</v>
      </c>
      <c r="F641" s="31">
        <f>(VLOOKUP($A641,$A$458:$O$482,10,0)*(HLOOKUP(F$627,'2.2.Brecha Efectiva x UdM'!$H$86:$AK$92,6,0))+(VLOOKUP($A641,$A$4:$O$27,10,0)*(HLOOKUP(F$627,'2.2.Brecha Efectiva x UdM'!$H$64:$AK$70,6,0))))</f>
        <v>0</v>
      </c>
      <c r="G641" s="31">
        <f>(VLOOKUP($A641,$A$458:$O$482,10,0)*(HLOOKUP(G$627,'2.2.Brecha Efectiva x UdM'!$H$86:$AK$92,6,0))+(VLOOKUP($A641,$A$4:$O$27,10,0)*(HLOOKUP(G$627,'2.2.Brecha Efectiva x UdM'!$H$64:$AK$70,6,0))))</f>
        <v>0</v>
      </c>
      <c r="H641" s="31">
        <f>(VLOOKUP($A641,$A$458:$O$482,10,0)*(HLOOKUP(H$627,'2.2.Brecha Efectiva x UdM'!$H$86:$AK$92,6,0))+(VLOOKUP($A641,$A$4:$O$27,10,0)*(HLOOKUP(H$627,'2.2.Brecha Efectiva x UdM'!$H$64:$AK$70,6,0))))</f>
        <v>0</v>
      </c>
      <c r="I641" s="31">
        <f>(VLOOKUP($A641,$A$458:$O$482,10,0)*(HLOOKUP(I$627,'2.2.Brecha Efectiva x UdM'!$H$86:$AK$92,6,0))+(VLOOKUP($A641,$A$4:$O$27,10,0)*(HLOOKUP(I$627,'2.2.Brecha Efectiva x UdM'!$H$64:$AK$70,6,0))))</f>
        <v>0</v>
      </c>
      <c r="J641" s="31">
        <f>(VLOOKUP($A641,$A$458:$O$482,10,0)*(HLOOKUP(J$627,'2.2.Brecha Efectiva x UdM'!$H$86:$AK$92,6,0))+(VLOOKUP($A641,$A$4:$O$27,10,0)*(HLOOKUP(J$627,'2.2.Brecha Efectiva x UdM'!$H$64:$AK$70,6,0))))</f>
        <v>0</v>
      </c>
      <c r="K641" s="31">
        <f>(VLOOKUP($A641,$A$458:$O$482,10,0)*(HLOOKUP(K$627,'2.2.Brecha Efectiva x UdM'!$H$86:$AK$92,6,0))+(VLOOKUP($A641,$A$4:$O$27,10,0)*(HLOOKUP(K$627,'2.2.Brecha Efectiva x UdM'!$H$64:$AK$70,6,0))))</f>
        <v>0</v>
      </c>
      <c r="L641" s="31">
        <f>(VLOOKUP($A641,$A$458:$O$482,10,0)*(HLOOKUP(L$627,'2.2.Brecha Efectiva x UdM'!$H$86:$AK$92,6,0))+(VLOOKUP($A641,$A$4:$O$27,10,0)*(HLOOKUP(L$627,'2.2.Brecha Efectiva x UdM'!$H$64:$AK$70,6,0))))</f>
        <v>0</v>
      </c>
      <c r="M641" s="31">
        <f>(VLOOKUP($A641,$A$458:$O$482,10,0)*(HLOOKUP(M$627,'2.2.Brecha Efectiva x UdM'!$H$86:$AK$92,6,0))+(VLOOKUP($A641,$A$4:$O$27,10,0)*(HLOOKUP(M$627,'2.2.Brecha Efectiva x UdM'!$H$64:$AK$70,6,0))))</f>
        <v>0</v>
      </c>
      <c r="N641" s="31">
        <f>(VLOOKUP($A641,$A$458:$O$482,10,0)*(HLOOKUP(N$627,'2.2.Brecha Efectiva x UdM'!$H$86:$AK$92,6,0))+(VLOOKUP($A641,$A$4:$O$27,10,0)*(HLOOKUP(N$627,'2.2.Brecha Efectiva x UdM'!$H$64:$AK$70,6,0))))</f>
        <v>0</v>
      </c>
      <c r="O641" s="31">
        <f>(VLOOKUP($A641,$A$458:$O$482,10,0)*(HLOOKUP(O$627,'2.2.Brecha Efectiva x UdM'!$H$86:$AK$92,6,0))+(VLOOKUP($A641,$A$4:$O$27,10,0)*(HLOOKUP(O$627,'2.2.Brecha Efectiva x UdM'!$H$64:$AK$70,6,0))))</f>
        <v>0</v>
      </c>
      <c r="P641" s="31">
        <f>(VLOOKUP($A641,$A$458:$O$482,10,0)*(HLOOKUP(P$627,'2.2.Brecha Efectiva x UdM'!$H$86:$AK$92,6,0))+(VLOOKUP($A641,$A$4:$O$27,10,0)*(HLOOKUP(P$627,'2.2.Brecha Efectiva x UdM'!$H$64:$AK$70,6,0))))</f>
        <v>0</v>
      </c>
      <c r="Q641" s="31">
        <f>(VLOOKUP($A641,$A$458:$O$482,10,0)*(HLOOKUP(Q$627,'2.2.Brecha Efectiva x UdM'!$H$86:$AK$92,6,0))+(VLOOKUP($A641,$A$4:$O$27,10,0)*(HLOOKUP(Q$627,'2.2.Brecha Efectiva x UdM'!$H$64:$AK$70,6,0))))</f>
        <v>0</v>
      </c>
      <c r="R641" s="31">
        <f>(VLOOKUP($A641,$A$458:$O$482,10,0)*(HLOOKUP(R$627,'2.2.Brecha Efectiva x UdM'!$H$86:$AK$92,6,0))+(VLOOKUP($A641,$A$4:$O$27,10,0)*(HLOOKUP(R$627,'2.2.Brecha Efectiva x UdM'!$H$64:$AK$70,6,0))))</f>
        <v>0</v>
      </c>
      <c r="S641" s="31">
        <f>(VLOOKUP($A641,$A$458:$O$482,10,0)*(HLOOKUP(S$627,'2.2.Brecha Efectiva x UdM'!$H$86:$AK$92,6,0))+(VLOOKUP($A641,$A$4:$O$27,10,0)*(HLOOKUP(S$627,'2.2.Brecha Efectiva x UdM'!$H$64:$AK$70,6,0))))</f>
        <v>0</v>
      </c>
      <c r="T641" s="31">
        <f>(VLOOKUP($A641,$A$458:$O$482,10,0)*(HLOOKUP(T$627,'2.2.Brecha Efectiva x UdM'!$H$86:$AK$92,6,0))+(VLOOKUP($A641,$A$4:$O$27,10,0)*(HLOOKUP(T$627,'2.2.Brecha Efectiva x UdM'!$H$64:$AK$70,6,0))))</f>
        <v>0</v>
      </c>
      <c r="U641" s="31">
        <f>(VLOOKUP($A641,$A$458:$O$482,10,0)*(HLOOKUP(U$627,'2.2.Brecha Efectiva x UdM'!$H$86:$AK$92,6,0))+(VLOOKUP($A641,$A$4:$O$27,10,0)*(HLOOKUP(U$627,'2.2.Brecha Efectiva x UdM'!$H$64:$AK$70,6,0))))</f>
        <v>0</v>
      </c>
      <c r="V641" s="31">
        <f>(VLOOKUP($A641,$A$458:$O$482,10,0)*(HLOOKUP(V$627,'2.2.Brecha Efectiva x UdM'!$H$86:$AK$92,6,0))+(VLOOKUP($A641,$A$4:$O$27,10,0)*(HLOOKUP(V$627,'2.2.Brecha Efectiva x UdM'!$H$64:$AK$70,6,0))))</f>
        <v>0</v>
      </c>
      <c r="W641" s="31">
        <f>(VLOOKUP($A641,$A$458:$O$482,10,0)*(HLOOKUP(W$627,'2.2.Brecha Efectiva x UdM'!$H$86:$AK$92,6,0))+(VLOOKUP($A641,$A$4:$O$27,10,0)*(HLOOKUP(W$627,'2.2.Brecha Efectiva x UdM'!$H$64:$AK$70,6,0))))</f>
        <v>0</v>
      </c>
      <c r="X641" s="31">
        <f>(VLOOKUP($A641,$A$458:$O$482,10,0)*(HLOOKUP(X$627,'2.2.Brecha Efectiva x UdM'!$H$86:$AK$92,6,0))+(VLOOKUP($A641,$A$4:$O$27,10,0)*(HLOOKUP(X$627,'2.2.Brecha Efectiva x UdM'!$H$64:$AK$70,6,0))))</f>
        <v>0</v>
      </c>
      <c r="Y641" s="31">
        <f>(VLOOKUP($A641,$A$458:$O$482,10,0)*(HLOOKUP(Y$627,'2.2.Brecha Efectiva x UdM'!$H$86:$AK$92,6,0))+(VLOOKUP($A641,$A$4:$O$27,10,0)*(HLOOKUP(Y$627,'2.2.Brecha Efectiva x UdM'!$H$64:$AK$70,6,0))))</f>
        <v>0</v>
      </c>
      <c r="Z641" s="31">
        <f>(VLOOKUP($A641,$A$458:$O$482,10,0)*(HLOOKUP(Z$627,'2.2.Brecha Efectiva x UdM'!$H$86:$AK$92,6,0))+(VLOOKUP($A641,$A$4:$O$27,10,0)*(HLOOKUP(Z$627,'2.2.Brecha Efectiva x UdM'!$H$64:$AK$70,6,0))))</f>
        <v>0</v>
      </c>
      <c r="AA641" s="31">
        <f>(VLOOKUP($A641,$A$458:$O$482,10,0)*(HLOOKUP(AA$627,'2.2.Brecha Efectiva x UdM'!$H$86:$AK$92,6,0))+(VLOOKUP($A641,$A$4:$O$27,10,0)*(HLOOKUP(AA$627,'2.2.Brecha Efectiva x UdM'!$H$64:$AK$70,6,0))))</f>
        <v>0</v>
      </c>
      <c r="AB641" s="31">
        <f>(VLOOKUP($A641,$A$458:$O$482,10,0)*(HLOOKUP(AB$627,'2.2.Brecha Efectiva x UdM'!$H$86:$AK$92,6,0))+(VLOOKUP($A641,$A$4:$O$27,10,0)*(HLOOKUP(AB$627,'2.2.Brecha Efectiva x UdM'!$H$64:$AK$70,6,0))))</f>
        <v>0</v>
      </c>
      <c r="AC641" s="31">
        <f>(VLOOKUP($A641,$A$458:$O$482,10,0)*(HLOOKUP(AC$627,'2.2.Brecha Efectiva x UdM'!$H$86:$AK$92,6,0))+(VLOOKUP($A641,$A$4:$O$27,10,0)*(HLOOKUP(AC$627,'2.2.Brecha Efectiva x UdM'!$H$64:$AK$70,6,0))))</f>
        <v>0</v>
      </c>
      <c r="AD641" s="31">
        <f>(VLOOKUP($A641,$A$458:$O$482,10,0)*(HLOOKUP(AD$627,'2.2.Brecha Efectiva x UdM'!$H$86:$AK$92,6,0))+(VLOOKUP($A641,$A$4:$O$27,10,0)*(HLOOKUP(AD$627,'2.2.Brecha Efectiva x UdM'!$H$64:$AK$70,6,0))))</f>
        <v>0</v>
      </c>
      <c r="AE641" s="31">
        <f>(VLOOKUP($A641,$A$458:$O$482,10,0)*(HLOOKUP(AE$627,'2.2.Brecha Efectiva x UdM'!$H$86:$AK$92,6,0))+(VLOOKUP($A641,$A$4:$O$27,10,0)*(HLOOKUP(AE$627,'2.2.Brecha Efectiva x UdM'!$H$64:$AK$70,6,0))))</f>
        <v>0</v>
      </c>
      <c r="AF641" s="31">
        <f>(VLOOKUP($A641,$A$458:$O$482,10,0)*(HLOOKUP(AF$627,'2.2.Brecha Efectiva x UdM'!$H$86:$AK$92,6,0))+(VLOOKUP($A641,$A$4:$O$27,10,0)*(HLOOKUP(AF$627,'2.2.Brecha Efectiva x UdM'!$H$64:$AK$70,6,0))))</f>
        <v>0</v>
      </c>
      <c r="AG641" s="31">
        <f>(VLOOKUP($A641,$A$458:$O$482,10,0)*(HLOOKUP(AG$627,'2.2.Brecha Efectiva x UdM'!$H$86:$AK$92,6,0))+(VLOOKUP($A641,$A$4:$O$27,10,0)*(HLOOKUP(AG$627,'2.2.Brecha Efectiva x UdM'!$H$64:$AK$70,6,0))))</f>
        <v>0</v>
      </c>
      <c r="AH641" s="63">
        <f t="shared" si="604"/>
        <v>0</v>
      </c>
    </row>
    <row r="642" spans="1:34" hidden="1" x14ac:dyDescent="0.2">
      <c r="A642" s="25" t="str">
        <f t="shared" si="601"/>
        <v>Neuquén</v>
      </c>
      <c r="B642" s="51">
        <f t="shared" si="602"/>
        <v>0</v>
      </c>
      <c r="C642" s="25" t="str">
        <f t="shared" si="603"/>
        <v>Neuquén 0</v>
      </c>
      <c r="D642" s="32">
        <f>(VLOOKUP($A642,$A$458:$O$482,10,0)*(HLOOKUP(D$627,'2.2.Brecha Efectiva x UdM'!$H$86:$AK$92,6,0))+(VLOOKUP($A642,$A$4:$O$27,10,0)*(HLOOKUP(D$627,'2.2.Brecha Efectiva x UdM'!$H$64:$AK$70,6,0))))</f>
        <v>0</v>
      </c>
      <c r="E642" s="32">
        <f>(VLOOKUP($A642,$A$458:$O$482,10,0)*(HLOOKUP(E$627,'2.2.Brecha Efectiva x UdM'!$H$86:$AK$92,6,0))+(VLOOKUP($A642,$A$4:$O$27,10,0)*(HLOOKUP(E$627,'2.2.Brecha Efectiva x UdM'!$H$64:$AK$70,6,0))))</f>
        <v>0</v>
      </c>
      <c r="F642" s="32">
        <f>(VLOOKUP($A642,$A$458:$O$482,10,0)*(HLOOKUP(F$627,'2.2.Brecha Efectiva x UdM'!$H$86:$AK$92,6,0))+(VLOOKUP($A642,$A$4:$O$27,10,0)*(HLOOKUP(F$627,'2.2.Brecha Efectiva x UdM'!$H$64:$AK$70,6,0))))</f>
        <v>0</v>
      </c>
      <c r="G642" s="32">
        <f>(VLOOKUP($A642,$A$458:$O$482,10,0)*(HLOOKUP(G$627,'2.2.Brecha Efectiva x UdM'!$H$86:$AK$92,6,0))+(VLOOKUP($A642,$A$4:$O$27,10,0)*(HLOOKUP(G$627,'2.2.Brecha Efectiva x UdM'!$H$64:$AK$70,6,0))))</f>
        <v>0</v>
      </c>
      <c r="H642" s="32">
        <f>(VLOOKUP($A642,$A$458:$O$482,10,0)*(HLOOKUP(H$627,'2.2.Brecha Efectiva x UdM'!$H$86:$AK$92,6,0))+(VLOOKUP($A642,$A$4:$O$27,10,0)*(HLOOKUP(H$627,'2.2.Brecha Efectiva x UdM'!$H$64:$AK$70,6,0))))</f>
        <v>0</v>
      </c>
      <c r="I642" s="32">
        <f>(VLOOKUP($A642,$A$458:$O$482,10,0)*(HLOOKUP(I$627,'2.2.Brecha Efectiva x UdM'!$H$86:$AK$92,6,0))+(VLOOKUP($A642,$A$4:$O$27,10,0)*(HLOOKUP(I$627,'2.2.Brecha Efectiva x UdM'!$H$64:$AK$70,6,0))))</f>
        <v>0</v>
      </c>
      <c r="J642" s="32">
        <f>(VLOOKUP($A642,$A$458:$O$482,10,0)*(HLOOKUP(J$627,'2.2.Brecha Efectiva x UdM'!$H$86:$AK$92,6,0))+(VLOOKUP($A642,$A$4:$O$27,10,0)*(HLOOKUP(J$627,'2.2.Brecha Efectiva x UdM'!$H$64:$AK$70,6,0))))</f>
        <v>0</v>
      </c>
      <c r="K642" s="32">
        <f>(VLOOKUP($A642,$A$458:$O$482,10,0)*(HLOOKUP(K$627,'2.2.Brecha Efectiva x UdM'!$H$86:$AK$92,6,0))+(VLOOKUP($A642,$A$4:$O$27,10,0)*(HLOOKUP(K$627,'2.2.Brecha Efectiva x UdM'!$H$64:$AK$70,6,0))))</f>
        <v>0</v>
      </c>
      <c r="L642" s="32">
        <f>(VLOOKUP($A642,$A$458:$O$482,10,0)*(HLOOKUP(L$627,'2.2.Brecha Efectiva x UdM'!$H$86:$AK$92,6,0))+(VLOOKUP($A642,$A$4:$O$27,10,0)*(HLOOKUP(L$627,'2.2.Brecha Efectiva x UdM'!$H$64:$AK$70,6,0))))</f>
        <v>0</v>
      </c>
      <c r="M642" s="32">
        <f>(VLOOKUP($A642,$A$458:$O$482,10,0)*(HLOOKUP(M$627,'2.2.Brecha Efectiva x UdM'!$H$86:$AK$92,6,0))+(VLOOKUP($A642,$A$4:$O$27,10,0)*(HLOOKUP(M$627,'2.2.Brecha Efectiva x UdM'!$H$64:$AK$70,6,0))))</f>
        <v>0</v>
      </c>
      <c r="N642" s="32">
        <f>(VLOOKUP($A642,$A$458:$O$482,10,0)*(HLOOKUP(N$627,'2.2.Brecha Efectiva x UdM'!$H$86:$AK$92,6,0))+(VLOOKUP($A642,$A$4:$O$27,10,0)*(HLOOKUP(N$627,'2.2.Brecha Efectiva x UdM'!$H$64:$AK$70,6,0))))</f>
        <v>0</v>
      </c>
      <c r="O642" s="32">
        <f>(VLOOKUP($A642,$A$458:$O$482,10,0)*(HLOOKUP(O$627,'2.2.Brecha Efectiva x UdM'!$H$86:$AK$92,6,0))+(VLOOKUP($A642,$A$4:$O$27,10,0)*(HLOOKUP(O$627,'2.2.Brecha Efectiva x UdM'!$H$64:$AK$70,6,0))))</f>
        <v>0</v>
      </c>
      <c r="P642" s="32">
        <f>(VLOOKUP($A642,$A$458:$O$482,10,0)*(HLOOKUP(P$627,'2.2.Brecha Efectiva x UdM'!$H$86:$AK$92,6,0))+(VLOOKUP($A642,$A$4:$O$27,10,0)*(HLOOKUP(P$627,'2.2.Brecha Efectiva x UdM'!$H$64:$AK$70,6,0))))</f>
        <v>0</v>
      </c>
      <c r="Q642" s="32">
        <f>(VLOOKUP($A642,$A$458:$O$482,10,0)*(HLOOKUP(Q$627,'2.2.Brecha Efectiva x UdM'!$H$86:$AK$92,6,0))+(VLOOKUP($A642,$A$4:$O$27,10,0)*(HLOOKUP(Q$627,'2.2.Brecha Efectiva x UdM'!$H$64:$AK$70,6,0))))</f>
        <v>0</v>
      </c>
      <c r="R642" s="32">
        <f>(VLOOKUP($A642,$A$458:$O$482,10,0)*(HLOOKUP(R$627,'2.2.Brecha Efectiva x UdM'!$H$86:$AK$92,6,0))+(VLOOKUP($A642,$A$4:$O$27,10,0)*(HLOOKUP(R$627,'2.2.Brecha Efectiva x UdM'!$H$64:$AK$70,6,0))))</f>
        <v>0</v>
      </c>
      <c r="S642" s="32">
        <f>(VLOOKUP($A642,$A$458:$O$482,10,0)*(HLOOKUP(S$627,'2.2.Brecha Efectiva x UdM'!$H$86:$AK$92,6,0))+(VLOOKUP($A642,$A$4:$O$27,10,0)*(HLOOKUP(S$627,'2.2.Brecha Efectiva x UdM'!$H$64:$AK$70,6,0))))</f>
        <v>0</v>
      </c>
      <c r="T642" s="32">
        <f>(VLOOKUP($A642,$A$458:$O$482,10,0)*(HLOOKUP(T$627,'2.2.Brecha Efectiva x UdM'!$H$86:$AK$92,6,0))+(VLOOKUP($A642,$A$4:$O$27,10,0)*(HLOOKUP(T$627,'2.2.Brecha Efectiva x UdM'!$H$64:$AK$70,6,0))))</f>
        <v>0</v>
      </c>
      <c r="U642" s="32">
        <f>(VLOOKUP($A642,$A$458:$O$482,10,0)*(HLOOKUP(U$627,'2.2.Brecha Efectiva x UdM'!$H$86:$AK$92,6,0))+(VLOOKUP($A642,$A$4:$O$27,10,0)*(HLOOKUP(U$627,'2.2.Brecha Efectiva x UdM'!$H$64:$AK$70,6,0))))</f>
        <v>0</v>
      </c>
      <c r="V642" s="32">
        <f>(VLOOKUP($A642,$A$458:$O$482,10,0)*(HLOOKUP(V$627,'2.2.Brecha Efectiva x UdM'!$H$86:$AK$92,6,0))+(VLOOKUP($A642,$A$4:$O$27,10,0)*(HLOOKUP(V$627,'2.2.Brecha Efectiva x UdM'!$H$64:$AK$70,6,0))))</f>
        <v>0</v>
      </c>
      <c r="W642" s="32">
        <f>(VLOOKUP($A642,$A$458:$O$482,10,0)*(HLOOKUP(W$627,'2.2.Brecha Efectiva x UdM'!$H$86:$AK$92,6,0))+(VLOOKUP($A642,$A$4:$O$27,10,0)*(HLOOKUP(W$627,'2.2.Brecha Efectiva x UdM'!$H$64:$AK$70,6,0))))</f>
        <v>0</v>
      </c>
      <c r="X642" s="32">
        <f>(VLOOKUP($A642,$A$458:$O$482,10,0)*(HLOOKUP(X$627,'2.2.Brecha Efectiva x UdM'!$H$86:$AK$92,6,0))+(VLOOKUP($A642,$A$4:$O$27,10,0)*(HLOOKUP(X$627,'2.2.Brecha Efectiva x UdM'!$H$64:$AK$70,6,0))))</f>
        <v>0</v>
      </c>
      <c r="Y642" s="32">
        <f>(VLOOKUP($A642,$A$458:$O$482,10,0)*(HLOOKUP(Y$627,'2.2.Brecha Efectiva x UdM'!$H$86:$AK$92,6,0))+(VLOOKUP($A642,$A$4:$O$27,10,0)*(HLOOKUP(Y$627,'2.2.Brecha Efectiva x UdM'!$H$64:$AK$70,6,0))))</f>
        <v>0</v>
      </c>
      <c r="Z642" s="32">
        <f>(VLOOKUP($A642,$A$458:$O$482,10,0)*(HLOOKUP(Z$627,'2.2.Brecha Efectiva x UdM'!$H$86:$AK$92,6,0))+(VLOOKUP($A642,$A$4:$O$27,10,0)*(HLOOKUP(Z$627,'2.2.Brecha Efectiva x UdM'!$H$64:$AK$70,6,0))))</f>
        <v>0</v>
      </c>
      <c r="AA642" s="32">
        <f>(VLOOKUP($A642,$A$458:$O$482,10,0)*(HLOOKUP(AA$627,'2.2.Brecha Efectiva x UdM'!$H$86:$AK$92,6,0))+(VLOOKUP($A642,$A$4:$O$27,10,0)*(HLOOKUP(AA$627,'2.2.Brecha Efectiva x UdM'!$H$64:$AK$70,6,0))))</f>
        <v>0</v>
      </c>
      <c r="AB642" s="32">
        <f>(VLOOKUP($A642,$A$458:$O$482,10,0)*(HLOOKUP(AB$627,'2.2.Brecha Efectiva x UdM'!$H$86:$AK$92,6,0))+(VLOOKUP($A642,$A$4:$O$27,10,0)*(HLOOKUP(AB$627,'2.2.Brecha Efectiva x UdM'!$H$64:$AK$70,6,0))))</f>
        <v>0</v>
      </c>
      <c r="AC642" s="32">
        <f>(VLOOKUP($A642,$A$458:$O$482,10,0)*(HLOOKUP(AC$627,'2.2.Brecha Efectiva x UdM'!$H$86:$AK$92,6,0))+(VLOOKUP($A642,$A$4:$O$27,10,0)*(HLOOKUP(AC$627,'2.2.Brecha Efectiva x UdM'!$H$64:$AK$70,6,0))))</f>
        <v>0</v>
      </c>
      <c r="AD642" s="32">
        <f>(VLOOKUP($A642,$A$458:$O$482,10,0)*(HLOOKUP(AD$627,'2.2.Brecha Efectiva x UdM'!$H$86:$AK$92,6,0))+(VLOOKUP($A642,$A$4:$O$27,10,0)*(HLOOKUP(AD$627,'2.2.Brecha Efectiva x UdM'!$H$64:$AK$70,6,0))))</f>
        <v>0</v>
      </c>
      <c r="AE642" s="32">
        <f>(VLOOKUP($A642,$A$458:$O$482,10,0)*(HLOOKUP(AE$627,'2.2.Brecha Efectiva x UdM'!$H$86:$AK$92,6,0))+(VLOOKUP($A642,$A$4:$O$27,10,0)*(HLOOKUP(AE$627,'2.2.Brecha Efectiva x UdM'!$H$64:$AK$70,6,0))))</f>
        <v>0</v>
      </c>
      <c r="AF642" s="32">
        <f>(VLOOKUP($A642,$A$458:$O$482,10,0)*(HLOOKUP(AF$627,'2.2.Brecha Efectiva x UdM'!$H$86:$AK$92,6,0))+(VLOOKUP($A642,$A$4:$O$27,10,0)*(HLOOKUP(AF$627,'2.2.Brecha Efectiva x UdM'!$H$64:$AK$70,6,0))))</f>
        <v>0</v>
      </c>
      <c r="AG642" s="32">
        <f>(VLOOKUP($A642,$A$458:$O$482,10,0)*(HLOOKUP(AG$627,'2.2.Brecha Efectiva x UdM'!$H$86:$AK$92,6,0))+(VLOOKUP($A642,$A$4:$O$27,10,0)*(HLOOKUP(AG$627,'2.2.Brecha Efectiva x UdM'!$H$64:$AK$70,6,0))))</f>
        <v>0</v>
      </c>
      <c r="AH642" s="62">
        <f t="shared" si="604"/>
        <v>0</v>
      </c>
    </row>
    <row r="643" spans="1:34" hidden="1" x14ac:dyDescent="0.2">
      <c r="A643" s="26" t="str">
        <f t="shared" si="601"/>
        <v>Río Negro</v>
      </c>
      <c r="B643" s="52">
        <f t="shared" si="602"/>
        <v>0</v>
      </c>
      <c r="C643" s="26" t="str">
        <f t="shared" si="603"/>
        <v>Río Negro 0</v>
      </c>
      <c r="D643" s="31">
        <f>(VLOOKUP($A643,$A$458:$O$482,10,0)*(HLOOKUP(D$627,'2.2.Brecha Efectiva x UdM'!$H$86:$AK$92,6,0))+(VLOOKUP($A643,$A$4:$O$27,10,0)*(HLOOKUP(D$627,'2.2.Brecha Efectiva x UdM'!$H$64:$AK$70,6,0))))</f>
        <v>0</v>
      </c>
      <c r="E643" s="31">
        <f>(VLOOKUP($A643,$A$458:$O$482,10,0)*(HLOOKUP(E$627,'2.2.Brecha Efectiva x UdM'!$H$86:$AK$92,6,0))+(VLOOKUP($A643,$A$4:$O$27,10,0)*(HLOOKUP(E$627,'2.2.Brecha Efectiva x UdM'!$H$64:$AK$70,6,0))))</f>
        <v>0</v>
      </c>
      <c r="F643" s="31">
        <f>(VLOOKUP($A643,$A$458:$O$482,10,0)*(HLOOKUP(F$627,'2.2.Brecha Efectiva x UdM'!$H$86:$AK$92,6,0))+(VLOOKUP($A643,$A$4:$O$27,10,0)*(HLOOKUP(F$627,'2.2.Brecha Efectiva x UdM'!$H$64:$AK$70,6,0))))</f>
        <v>0</v>
      </c>
      <c r="G643" s="31">
        <f>(VLOOKUP($A643,$A$458:$O$482,10,0)*(HLOOKUP(G$627,'2.2.Brecha Efectiva x UdM'!$H$86:$AK$92,6,0))+(VLOOKUP($A643,$A$4:$O$27,10,0)*(HLOOKUP(G$627,'2.2.Brecha Efectiva x UdM'!$H$64:$AK$70,6,0))))</f>
        <v>0</v>
      </c>
      <c r="H643" s="31">
        <f>(VLOOKUP($A643,$A$458:$O$482,10,0)*(HLOOKUP(H$627,'2.2.Brecha Efectiva x UdM'!$H$86:$AK$92,6,0))+(VLOOKUP($A643,$A$4:$O$27,10,0)*(HLOOKUP(H$627,'2.2.Brecha Efectiva x UdM'!$H$64:$AK$70,6,0))))</f>
        <v>0</v>
      </c>
      <c r="I643" s="31">
        <f>(VLOOKUP($A643,$A$458:$O$482,10,0)*(HLOOKUP(I$627,'2.2.Brecha Efectiva x UdM'!$H$86:$AK$92,6,0))+(VLOOKUP($A643,$A$4:$O$27,10,0)*(HLOOKUP(I$627,'2.2.Brecha Efectiva x UdM'!$H$64:$AK$70,6,0))))</f>
        <v>0</v>
      </c>
      <c r="J643" s="31">
        <f>(VLOOKUP($A643,$A$458:$O$482,10,0)*(HLOOKUP(J$627,'2.2.Brecha Efectiva x UdM'!$H$86:$AK$92,6,0))+(VLOOKUP($A643,$A$4:$O$27,10,0)*(HLOOKUP(J$627,'2.2.Brecha Efectiva x UdM'!$H$64:$AK$70,6,0))))</f>
        <v>0</v>
      </c>
      <c r="K643" s="31">
        <f>(VLOOKUP($A643,$A$458:$O$482,10,0)*(HLOOKUP(K$627,'2.2.Brecha Efectiva x UdM'!$H$86:$AK$92,6,0))+(VLOOKUP($A643,$A$4:$O$27,10,0)*(HLOOKUP(K$627,'2.2.Brecha Efectiva x UdM'!$H$64:$AK$70,6,0))))</f>
        <v>0</v>
      </c>
      <c r="L643" s="31">
        <f>(VLOOKUP($A643,$A$458:$O$482,10,0)*(HLOOKUP(L$627,'2.2.Brecha Efectiva x UdM'!$H$86:$AK$92,6,0))+(VLOOKUP($A643,$A$4:$O$27,10,0)*(HLOOKUP(L$627,'2.2.Brecha Efectiva x UdM'!$H$64:$AK$70,6,0))))</f>
        <v>0</v>
      </c>
      <c r="M643" s="31">
        <f>(VLOOKUP($A643,$A$458:$O$482,10,0)*(HLOOKUP(M$627,'2.2.Brecha Efectiva x UdM'!$H$86:$AK$92,6,0))+(VLOOKUP($A643,$A$4:$O$27,10,0)*(HLOOKUP(M$627,'2.2.Brecha Efectiva x UdM'!$H$64:$AK$70,6,0))))</f>
        <v>0</v>
      </c>
      <c r="N643" s="31">
        <f>(VLOOKUP($A643,$A$458:$O$482,10,0)*(HLOOKUP(N$627,'2.2.Brecha Efectiva x UdM'!$H$86:$AK$92,6,0))+(VLOOKUP($A643,$A$4:$O$27,10,0)*(HLOOKUP(N$627,'2.2.Brecha Efectiva x UdM'!$H$64:$AK$70,6,0))))</f>
        <v>0</v>
      </c>
      <c r="O643" s="31">
        <f>(VLOOKUP($A643,$A$458:$O$482,10,0)*(HLOOKUP(O$627,'2.2.Brecha Efectiva x UdM'!$H$86:$AK$92,6,0))+(VLOOKUP($A643,$A$4:$O$27,10,0)*(HLOOKUP(O$627,'2.2.Brecha Efectiva x UdM'!$H$64:$AK$70,6,0))))</f>
        <v>0</v>
      </c>
      <c r="P643" s="31">
        <f>(VLOOKUP($A643,$A$458:$O$482,10,0)*(HLOOKUP(P$627,'2.2.Brecha Efectiva x UdM'!$H$86:$AK$92,6,0))+(VLOOKUP($A643,$A$4:$O$27,10,0)*(HLOOKUP(P$627,'2.2.Brecha Efectiva x UdM'!$H$64:$AK$70,6,0))))</f>
        <v>0</v>
      </c>
      <c r="Q643" s="31">
        <f>(VLOOKUP($A643,$A$458:$O$482,10,0)*(HLOOKUP(Q$627,'2.2.Brecha Efectiva x UdM'!$H$86:$AK$92,6,0))+(VLOOKUP($A643,$A$4:$O$27,10,0)*(HLOOKUP(Q$627,'2.2.Brecha Efectiva x UdM'!$H$64:$AK$70,6,0))))</f>
        <v>0</v>
      </c>
      <c r="R643" s="31">
        <f>(VLOOKUP($A643,$A$458:$O$482,10,0)*(HLOOKUP(R$627,'2.2.Brecha Efectiva x UdM'!$H$86:$AK$92,6,0))+(VLOOKUP($A643,$A$4:$O$27,10,0)*(HLOOKUP(R$627,'2.2.Brecha Efectiva x UdM'!$H$64:$AK$70,6,0))))</f>
        <v>0</v>
      </c>
      <c r="S643" s="31">
        <f>(VLOOKUP($A643,$A$458:$O$482,10,0)*(HLOOKUP(S$627,'2.2.Brecha Efectiva x UdM'!$H$86:$AK$92,6,0))+(VLOOKUP($A643,$A$4:$O$27,10,0)*(HLOOKUP(S$627,'2.2.Brecha Efectiva x UdM'!$H$64:$AK$70,6,0))))</f>
        <v>0</v>
      </c>
      <c r="T643" s="31">
        <f>(VLOOKUP($A643,$A$458:$O$482,10,0)*(HLOOKUP(T$627,'2.2.Brecha Efectiva x UdM'!$H$86:$AK$92,6,0))+(VLOOKUP($A643,$A$4:$O$27,10,0)*(HLOOKUP(T$627,'2.2.Brecha Efectiva x UdM'!$H$64:$AK$70,6,0))))</f>
        <v>0</v>
      </c>
      <c r="U643" s="31">
        <f>(VLOOKUP($A643,$A$458:$O$482,10,0)*(HLOOKUP(U$627,'2.2.Brecha Efectiva x UdM'!$H$86:$AK$92,6,0))+(VLOOKUP($A643,$A$4:$O$27,10,0)*(HLOOKUP(U$627,'2.2.Brecha Efectiva x UdM'!$H$64:$AK$70,6,0))))</f>
        <v>0</v>
      </c>
      <c r="V643" s="31">
        <f>(VLOOKUP($A643,$A$458:$O$482,10,0)*(HLOOKUP(V$627,'2.2.Brecha Efectiva x UdM'!$H$86:$AK$92,6,0))+(VLOOKUP($A643,$A$4:$O$27,10,0)*(HLOOKUP(V$627,'2.2.Brecha Efectiva x UdM'!$H$64:$AK$70,6,0))))</f>
        <v>0</v>
      </c>
      <c r="W643" s="31">
        <f>(VLOOKUP($A643,$A$458:$O$482,10,0)*(HLOOKUP(W$627,'2.2.Brecha Efectiva x UdM'!$H$86:$AK$92,6,0))+(VLOOKUP($A643,$A$4:$O$27,10,0)*(HLOOKUP(W$627,'2.2.Brecha Efectiva x UdM'!$H$64:$AK$70,6,0))))</f>
        <v>0</v>
      </c>
      <c r="X643" s="31">
        <f>(VLOOKUP($A643,$A$458:$O$482,10,0)*(HLOOKUP(X$627,'2.2.Brecha Efectiva x UdM'!$H$86:$AK$92,6,0))+(VLOOKUP($A643,$A$4:$O$27,10,0)*(HLOOKUP(X$627,'2.2.Brecha Efectiva x UdM'!$H$64:$AK$70,6,0))))</f>
        <v>0</v>
      </c>
      <c r="Y643" s="31">
        <f>(VLOOKUP($A643,$A$458:$O$482,10,0)*(HLOOKUP(Y$627,'2.2.Brecha Efectiva x UdM'!$H$86:$AK$92,6,0))+(VLOOKUP($A643,$A$4:$O$27,10,0)*(HLOOKUP(Y$627,'2.2.Brecha Efectiva x UdM'!$H$64:$AK$70,6,0))))</f>
        <v>0</v>
      </c>
      <c r="Z643" s="31">
        <f>(VLOOKUP($A643,$A$458:$O$482,10,0)*(HLOOKUP(Z$627,'2.2.Brecha Efectiva x UdM'!$H$86:$AK$92,6,0))+(VLOOKUP($A643,$A$4:$O$27,10,0)*(HLOOKUP(Z$627,'2.2.Brecha Efectiva x UdM'!$H$64:$AK$70,6,0))))</f>
        <v>0</v>
      </c>
      <c r="AA643" s="31">
        <f>(VLOOKUP($A643,$A$458:$O$482,10,0)*(HLOOKUP(AA$627,'2.2.Brecha Efectiva x UdM'!$H$86:$AK$92,6,0))+(VLOOKUP($A643,$A$4:$O$27,10,0)*(HLOOKUP(AA$627,'2.2.Brecha Efectiva x UdM'!$H$64:$AK$70,6,0))))</f>
        <v>0</v>
      </c>
      <c r="AB643" s="31">
        <f>(VLOOKUP($A643,$A$458:$O$482,10,0)*(HLOOKUP(AB$627,'2.2.Brecha Efectiva x UdM'!$H$86:$AK$92,6,0))+(VLOOKUP($A643,$A$4:$O$27,10,0)*(HLOOKUP(AB$627,'2.2.Brecha Efectiva x UdM'!$H$64:$AK$70,6,0))))</f>
        <v>0</v>
      </c>
      <c r="AC643" s="31">
        <f>(VLOOKUP($A643,$A$458:$O$482,10,0)*(HLOOKUP(AC$627,'2.2.Brecha Efectiva x UdM'!$H$86:$AK$92,6,0))+(VLOOKUP($A643,$A$4:$O$27,10,0)*(HLOOKUP(AC$627,'2.2.Brecha Efectiva x UdM'!$H$64:$AK$70,6,0))))</f>
        <v>0</v>
      </c>
      <c r="AD643" s="31">
        <f>(VLOOKUP($A643,$A$458:$O$482,10,0)*(HLOOKUP(AD$627,'2.2.Brecha Efectiva x UdM'!$H$86:$AK$92,6,0))+(VLOOKUP($A643,$A$4:$O$27,10,0)*(HLOOKUP(AD$627,'2.2.Brecha Efectiva x UdM'!$H$64:$AK$70,6,0))))</f>
        <v>0</v>
      </c>
      <c r="AE643" s="31">
        <f>(VLOOKUP($A643,$A$458:$O$482,10,0)*(HLOOKUP(AE$627,'2.2.Brecha Efectiva x UdM'!$H$86:$AK$92,6,0))+(VLOOKUP($A643,$A$4:$O$27,10,0)*(HLOOKUP(AE$627,'2.2.Brecha Efectiva x UdM'!$H$64:$AK$70,6,0))))</f>
        <v>0</v>
      </c>
      <c r="AF643" s="31">
        <f>(VLOOKUP($A643,$A$458:$O$482,10,0)*(HLOOKUP(AF$627,'2.2.Brecha Efectiva x UdM'!$H$86:$AK$92,6,0))+(VLOOKUP($A643,$A$4:$O$27,10,0)*(HLOOKUP(AF$627,'2.2.Brecha Efectiva x UdM'!$H$64:$AK$70,6,0))))</f>
        <v>0</v>
      </c>
      <c r="AG643" s="31">
        <f>(VLOOKUP($A643,$A$458:$O$482,10,0)*(HLOOKUP(AG$627,'2.2.Brecha Efectiva x UdM'!$H$86:$AK$92,6,0))+(VLOOKUP($A643,$A$4:$O$27,10,0)*(HLOOKUP(AG$627,'2.2.Brecha Efectiva x UdM'!$H$64:$AK$70,6,0))))</f>
        <v>0</v>
      </c>
      <c r="AH643" s="63">
        <f t="shared" si="604"/>
        <v>0</v>
      </c>
    </row>
    <row r="644" spans="1:34" hidden="1" x14ac:dyDescent="0.2">
      <c r="A644" s="25" t="str">
        <f t="shared" si="601"/>
        <v>Salta</v>
      </c>
      <c r="B644" s="51">
        <f t="shared" si="602"/>
        <v>0</v>
      </c>
      <c r="C644" s="25" t="str">
        <f t="shared" si="603"/>
        <v>Salta 0</v>
      </c>
      <c r="D644" s="32">
        <f>(VLOOKUP($A644,$A$458:$O$482,10,0)*(HLOOKUP(D$627,'2.2.Brecha Efectiva x UdM'!$H$86:$AK$92,6,0))+(VLOOKUP($A644,$A$4:$O$27,10,0)*(HLOOKUP(D$627,'2.2.Brecha Efectiva x UdM'!$H$64:$AK$70,6,0))))</f>
        <v>0</v>
      </c>
      <c r="E644" s="32">
        <f>(VLOOKUP($A644,$A$458:$O$482,10,0)*(HLOOKUP(E$627,'2.2.Brecha Efectiva x UdM'!$H$86:$AK$92,6,0))+(VLOOKUP($A644,$A$4:$O$27,10,0)*(HLOOKUP(E$627,'2.2.Brecha Efectiva x UdM'!$H$64:$AK$70,6,0))))</f>
        <v>0</v>
      </c>
      <c r="F644" s="32">
        <f>(VLOOKUP($A644,$A$458:$O$482,10,0)*(HLOOKUP(F$627,'2.2.Brecha Efectiva x UdM'!$H$86:$AK$92,6,0))+(VLOOKUP($A644,$A$4:$O$27,10,0)*(HLOOKUP(F$627,'2.2.Brecha Efectiva x UdM'!$H$64:$AK$70,6,0))))</f>
        <v>0</v>
      </c>
      <c r="G644" s="32">
        <f>(VLOOKUP($A644,$A$458:$O$482,10,0)*(HLOOKUP(G$627,'2.2.Brecha Efectiva x UdM'!$H$86:$AK$92,6,0))+(VLOOKUP($A644,$A$4:$O$27,10,0)*(HLOOKUP(G$627,'2.2.Brecha Efectiva x UdM'!$H$64:$AK$70,6,0))))</f>
        <v>0</v>
      </c>
      <c r="H644" s="32">
        <f>(VLOOKUP($A644,$A$458:$O$482,10,0)*(HLOOKUP(H$627,'2.2.Brecha Efectiva x UdM'!$H$86:$AK$92,6,0))+(VLOOKUP($A644,$A$4:$O$27,10,0)*(HLOOKUP(H$627,'2.2.Brecha Efectiva x UdM'!$H$64:$AK$70,6,0))))</f>
        <v>0</v>
      </c>
      <c r="I644" s="32">
        <f>(VLOOKUP($A644,$A$458:$O$482,10,0)*(HLOOKUP(I$627,'2.2.Brecha Efectiva x UdM'!$H$86:$AK$92,6,0))+(VLOOKUP($A644,$A$4:$O$27,10,0)*(HLOOKUP(I$627,'2.2.Brecha Efectiva x UdM'!$H$64:$AK$70,6,0))))</f>
        <v>0</v>
      </c>
      <c r="J644" s="32">
        <f>(VLOOKUP($A644,$A$458:$O$482,10,0)*(HLOOKUP(J$627,'2.2.Brecha Efectiva x UdM'!$H$86:$AK$92,6,0))+(VLOOKUP($A644,$A$4:$O$27,10,0)*(HLOOKUP(J$627,'2.2.Brecha Efectiva x UdM'!$H$64:$AK$70,6,0))))</f>
        <v>0</v>
      </c>
      <c r="K644" s="32">
        <f>(VLOOKUP($A644,$A$458:$O$482,10,0)*(HLOOKUP(K$627,'2.2.Brecha Efectiva x UdM'!$H$86:$AK$92,6,0))+(VLOOKUP($A644,$A$4:$O$27,10,0)*(HLOOKUP(K$627,'2.2.Brecha Efectiva x UdM'!$H$64:$AK$70,6,0))))</f>
        <v>0</v>
      </c>
      <c r="L644" s="32">
        <f>(VLOOKUP($A644,$A$458:$O$482,10,0)*(HLOOKUP(L$627,'2.2.Brecha Efectiva x UdM'!$H$86:$AK$92,6,0))+(VLOOKUP($A644,$A$4:$O$27,10,0)*(HLOOKUP(L$627,'2.2.Brecha Efectiva x UdM'!$H$64:$AK$70,6,0))))</f>
        <v>0</v>
      </c>
      <c r="M644" s="32">
        <f>(VLOOKUP($A644,$A$458:$O$482,10,0)*(HLOOKUP(M$627,'2.2.Brecha Efectiva x UdM'!$H$86:$AK$92,6,0))+(VLOOKUP($A644,$A$4:$O$27,10,0)*(HLOOKUP(M$627,'2.2.Brecha Efectiva x UdM'!$H$64:$AK$70,6,0))))</f>
        <v>0</v>
      </c>
      <c r="N644" s="32">
        <f>(VLOOKUP($A644,$A$458:$O$482,10,0)*(HLOOKUP(N$627,'2.2.Brecha Efectiva x UdM'!$H$86:$AK$92,6,0))+(VLOOKUP($A644,$A$4:$O$27,10,0)*(HLOOKUP(N$627,'2.2.Brecha Efectiva x UdM'!$H$64:$AK$70,6,0))))</f>
        <v>0</v>
      </c>
      <c r="O644" s="32">
        <f>(VLOOKUP($A644,$A$458:$O$482,10,0)*(HLOOKUP(O$627,'2.2.Brecha Efectiva x UdM'!$H$86:$AK$92,6,0))+(VLOOKUP($A644,$A$4:$O$27,10,0)*(HLOOKUP(O$627,'2.2.Brecha Efectiva x UdM'!$H$64:$AK$70,6,0))))</f>
        <v>0</v>
      </c>
      <c r="P644" s="32">
        <f>(VLOOKUP($A644,$A$458:$O$482,10,0)*(HLOOKUP(P$627,'2.2.Brecha Efectiva x UdM'!$H$86:$AK$92,6,0))+(VLOOKUP($A644,$A$4:$O$27,10,0)*(HLOOKUP(P$627,'2.2.Brecha Efectiva x UdM'!$H$64:$AK$70,6,0))))</f>
        <v>0</v>
      </c>
      <c r="Q644" s="32">
        <f>(VLOOKUP($A644,$A$458:$O$482,10,0)*(HLOOKUP(Q$627,'2.2.Brecha Efectiva x UdM'!$H$86:$AK$92,6,0))+(VLOOKUP($A644,$A$4:$O$27,10,0)*(HLOOKUP(Q$627,'2.2.Brecha Efectiva x UdM'!$H$64:$AK$70,6,0))))</f>
        <v>0</v>
      </c>
      <c r="R644" s="32">
        <f>(VLOOKUP($A644,$A$458:$O$482,10,0)*(HLOOKUP(R$627,'2.2.Brecha Efectiva x UdM'!$H$86:$AK$92,6,0))+(VLOOKUP($A644,$A$4:$O$27,10,0)*(HLOOKUP(R$627,'2.2.Brecha Efectiva x UdM'!$H$64:$AK$70,6,0))))</f>
        <v>0</v>
      </c>
      <c r="S644" s="32">
        <f>(VLOOKUP($A644,$A$458:$O$482,10,0)*(HLOOKUP(S$627,'2.2.Brecha Efectiva x UdM'!$H$86:$AK$92,6,0))+(VLOOKUP($A644,$A$4:$O$27,10,0)*(HLOOKUP(S$627,'2.2.Brecha Efectiva x UdM'!$H$64:$AK$70,6,0))))</f>
        <v>0</v>
      </c>
      <c r="T644" s="32">
        <f>(VLOOKUP($A644,$A$458:$O$482,10,0)*(HLOOKUP(T$627,'2.2.Brecha Efectiva x UdM'!$H$86:$AK$92,6,0))+(VLOOKUP($A644,$A$4:$O$27,10,0)*(HLOOKUP(T$627,'2.2.Brecha Efectiva x UdM'!$H$64:$AK$70,6,0))))</f>
        <v>0</v>
      </c>
      <c r="U644" s="32">
        <f>(VLOOKUP($A644,$A$458:$O$482,10,0)*(HLOOKUP(U$627,'2.2.Brecha Efectiva x UdM'!$H$86:$AK$92,6,0))+(VLOOKUP($A644,$A$4:$O$27,10,0)*(HLOOKUP(U$627,'2.2.Brecha Efectiva x UdM'!$H$64:$AK$70,6,0))))</f>
        <v>0</v>
      </c>
      <c r="V644" s="32">
        <f>(VLOOKUP($A644,$A$458:$O$482,10,0)*(HLOOKUP(V$627,'2.2.Brecha Efectiva x UdM'!$H$86:$AK$92,6,0))+(VLOOKUP($A644,$A$4:$O$27,10,0)*(HLOOKUP(V$627,'2.2.Brecha Efectiva x UdM'!$H$64:$AK$70,6,0))))</f>
        <v>0</v>
      </c>
      <c r="W644" s="32">
        <f>(VLOOKUP($A644,$A$458:$O$482,10,0)*(HLOOKUP(W$627,'2.2.Brecha Efectiva x UdM'!$H$86:$AK$92,6,0))+(VLOOKUP($A644,$A$4:$O$27,10,0)*(HLOOKUP(W$627,'2.2.Brecha Efectiva x UdM'!$H$64:$AK$70,6,0))))</f>
        <v>0</v>
      </c>
      <c r="X644" s="32">
        <f>(VLOOKUP($A644,$A$458:$O$482,10,0)*(HLOOKUP(X$627,'2.2.Brecha Efectiva x UdM'!$H$86:$AK$92,6,0))+(VLOOKUP($A644,$A$4:$O$27,10,0)*(HLOOKUP(X$627,'2.2.Brecha Efectiva x UdM'!$H$64:$AK$70,6,0))))</f>
        <v>0</v>
      </c>
      <c r="Y644" s="32">
        <f>(VLOOKUP($A644,$A$458:$O$482,10,0)*(HLOOKUP(Y$627,'2.2.Brecha Efectiva x UdM'!$H$86:$AK$92,6,0))+(VLOOKUP($A644,$A$4:$O$27,10,0)*(HLOOKUP(Y$627,'2.2.Brecha Efectiva x UdM'!$H$64:$AK$70,6,0))))</f>
        <v>0</v>
      </c>
      <c r="Z644" s="32">
        <f>(VLOOKUP($A644,$A$458:$O$482,10,0)*(HLOOKUP(Z$627,'2.2.Brecha Efectiva x UdM'!$H$86:$AK$92,6,0))+(VLOOKUP($A644,$A$4:$O$27,10,0)*(HLOOKUP(Z$627,'2.2.Brecha Efectiva x UdM'!$H$64:$AK$70,6,0))))</f>
        <v>0</v>
      </c>
      <c r="AA644" s="32">
        <f>(VLOOKUP($A644,$A$458:$O$482,10,0)*(HLOOKUP(AA$627,'2.2.Brecha Efectiva x UdM'!$H$86:$AK$92,6,0))+(VLOOKUP($A644,$A$4:$O$27,10,0)*(HLOOKUP(AA$627,'2.2.Brecha Efectiva x UdM'!$H$64:$AK$70,6,0))))</f>
        <v>0</v>
      </c>
      <c r="AB644" s="32">
        <f>(VLOOKUP($A644,$A$458:$O$482,10,0)*(HLOOKUP(AB$627,'2.2.Brecha Efectiva x UdM'!$H$86:$AK$92,6,0))+(VLOOKUP($A644,$A$4:$O$27,10,0)*(HLOOKUP(AB$627,'2.2.Brecha Efectiva x UdM'!$H$64:$AK$70,6,0))))</f>
        <v>0</v>
      </c>
      <c r="AC644" s="32">
        <f>(VLOOKUP($A644,$A$458:$O$482,10,0)*(HLOOKUP(AC$627,'2.2.Brecha Efectiva x UdM'!$H$86:$AK$92,6,0))+(VLOOKUP($A644,$A$4:$O$27,10,0)*(HLOOKUP(AC$627,'2.2.Brecha Efectiva x UdM'!$H$64:$AK$70,6,0))))</f>
        <v>0</v>
      </c>
      <c r="AD644" s="32">
        <f>(VLOOKUP($A644,$A$458:$O$482,10,0)*(HLOOKUP(AD$627,'2.2.Brecha Efectiva x UdM'!$H$86:$AK$92,6,0))+(VLOOKUP($A644,$A$4:$O$27,10,0)*(HLOOKUP(AD$627,'2.2.Brecha Efectiva x UdM'!$H$64:$AK$70,6,0))))</f>
        <v>0</v>
      </c>
      <c r="AE644" s="32">
        <f>(VLOOKUP($A644,$A$458:$O$482,10,0)*(HLOOKUP(AE$627,'2.2.Brecha Efectiva x UdM'!$H$86:$AK$92,6,0))+(VLOOKUP($A644,$A$4:$O$27,10,0)*(HLOOKUP(AE$627,'2.2.Brecha Efectiva x UdM'!$H$64:$AK$70,6,0))))</f>
        <v>0</v>
      </c>
      <c r="AF644" s="32">
        <f>(VLOOKUP($A644,$A$458:$O$482,10,0)*(HLOOKUP(AF$627,'2.2.Brecha Efectiva x UdM'!$H$86:$AK$92,6,0))+(VLOOKUP($A644,$A$4:$O$27,10,0)*(HLOOKUP(AF$627,'2.2.Brecha Efectiva x UdM'!$H$64:$AK$70,6,0))))</f>
        <v>0</v>
      </c>
      <c r="AG644" s="32">
        <f>(VLOOKUP($A644,$A$458:$O$482,10,0)*(HLOOKUP(AG$627,'2.2.Brecha Efectiva x UdM'!$H$86:$AK$92,6,0))+(VLOOKUP($A644,$A$4:$O$27,10,0)*(HLOOKUP(AG$627,'2.2.Brecha Efectiva x UdM'!$H$64:$AK$70,6,0))))</f>
        <v>0</v>
      </c>
      <c r="AH644" s="62">
        <f t="shared" si="604"/>
        <v>0</v>
      </c>
    </row>
    <row r="645" spans="1:34" hidden="1" x14ac:dyDescent="0.2">
      <c r="A645" s="26" t="str">
        <f t="shared" si="601"/>
        <v>San Juan</v>
      </c>
      <c r="B645" s="52">
        <f t="shared" si="602"/>
        <v>0</v>
      </c>
      <c r="C645" s="26" t="str">
        <f t="shared" si="603"/>
        <v>San Juan 0</v>
      </c>
      <c r="D645" s="31">
        <f>(VLOOKUP($A645,$A$458:$O$482,10,0)*(HLOOKUP(D$627,'2.2.Brecha Efectiva x UdM'!$H$86:$AK$92,6,0))+(VLOOKUP($A645,$A$4:$O$27,10,0)*(HLOOKUP(D$627,'2.2.Brecha Efectiva x UdM'!$H$64:$AK$70,6,0))))</f>
        <v>0</v>
      </c>
      <c r="E645" s="31">
        <f>(VLOOKUP($A645,$A$458:$O$482,10,0)*(HLOOKUP(E$627,'2.2.Brecha Efectiva x UdM'!$H$86:$AK$92,6,0))+(VLOOKUP($A645,$A$4:$O$27,10,0)*(HLOOKUP(E$627,'2.2.Brecha Efectiva x UdM'!$H$64:$AK$70,6,0))))</f>
        <v>0</v>
      </c>
      <c r="F645" s="31">
        <f>(VLOOKUP($A645,$A$458:$O$482,10,0)*(HLOOKUP(F$627,'2.2.Brecha Efectiva x UdM'!$H$86:$AK$92,6,0))+(VLOOKUP($A645,$A$4:$O$27,10,0)*(HLOOKUP(F$627,'2.2.Brecha Efectiva x UdM'!$H$64:$AK$70,6,0))))</f>
        <v>0</v>
      </c>
      <c r="G645" s="31">
        <f>(VLOOKUP($A645,$A$458:$O$482,10,0)*(HLOOKUP(G$627,'2.2.Brecha Efectiva x UdM'!$H$86:$AK$92,6,0))+(VLOOKUP($A645,$A$4:$O$27,10,0)*(HLOOKUP(G$627,'2.2.Brecha Efectiva x UdM'!$H$64:$AK$70,6,0))))</f>
        <v>0</v>
      </c>
      <c r="H645" s="31">
        <f>(VLOOKUP($A645,$A$458:$O$482,10,0)*(HLOOKUP(H$627,'2.2.Brecha Efectiva x UdM'!$H$86:$AK$92,6,0))+(VLOOKUP($A645,$A$4:$O$27,10,0)*(HLOOKUP(H$627,'2.2.Brecha Efectiva x UdM'!$H$64:$AK$70,6,0))))</f>
        <v>0</v>
      </c>
      <c r="I645" s="31">
        <f>(VLOOKUP($A645,$A$458:$O$482,10,0)*(HLOOKUP(I$627,'2.2.Brecha Efectiva x UdM'!$H$86:$AK$92,6,0))+(VLOOKUP($A645,$A$4:$O$27,10,0)*(HLOOKUP(I$627,'2.2.Brecha Efectiva x UdM'!$H$64:$AK$70,6,0))))</f>
        <v>0</v>
      </c>
      <c r="J645" s="31">
        <f>(VLOOKUP($A645,$A$458:$O$482,10,0)*(HLOOKUP(J$627,'2.2.Brecha Efectiva x UdM'!$H$86:$AK$92,6,0))+(VLOOKUP($A645,$A$4:$O$27,10,0)*(HLOOKUP(J$627,'2.2.Brecha Efectiva x UdM'!$H$64:$AK$70,6,0))))</f>
        <v>0</v>
      </c>
      <c r="K645" s="31">
        <f>(VLOOKUP($A645,$A$458:$O$482,10,0)*(HLOOKUP(K$627,'2.2.Brecha Efectiva x UdM'!$H$86:$AK$92,6,0))+(VLOOKUP($A645,$A$4:$O$27,10,0)*(HLOOKUP(K$627,'2.2.Brecha Efectiva x UdM'!$H$64:$AK$70,6,0))))</f>
        <v>0</v>
      </c>
      <c r="L645" s="31">
        <f>(VLOOKUP($A645,$A$458:$O$482,10,0)*(HLOOKUP(L$627,'2.2.Brecha Efectiva x UdM'!$H$86:$AK$92,6,0))+(VLOOKUP($A645,$A$4:$O$27,10,0)*(HLOOKUP(L$627,'2.2.Brecha Efectiva x UdM'!$H$64:$AK$70,6,0))))</f>
        <v>0</v>
      </c>
      <c r="M645" s="31">
        <f>(VLOOKUP($A645,$A$458:$O$482,10,0)*(HLOOKUP(M$627,'2.2.Brecha Efectiva x UdM'!$H$86:$AK$92,6,0))+(VLOOKUP($A645,$A$4:$O$27,10,0)*(HLOOKUP(M$627,'2.2.Brecha Efectiva x UdM'!$H$64:$AK$70,6,0))))</f>
        <v>0</v>
      </c>
      <c r="N645" s="31">
        <f>(VLOOKUP($A645,$A$458:$O$482,10,0)*(HLOOKUP(N$627,'2.2.Brecha Efectiva x UdM'!$H$86:$AK$92,6,0))+(VLOOKUP($A645,$A$4:$O$27,10,0)*(HLOOKUP(N$627,'2.2.Brecha Efectiva x UdM'!$H$64:$AK$70,6,0))))</f>
        <v>0</v>
      </c>
      <c r="O645" s="31">
        <f>(VLOOKUP($A645,$A$458:$O$482,10,0)*(HLOOKUP(O$627,'2.2.Brecha Efectiva x UdM'!$H$86:$AK$92,6,0))+(VLOOKUP($A645,$A$4:$O$27,10,0)*(HLOOKUP(O$627,'2.2.Brecha Efectiva x UdM'!$H$64:$AK$70,6,0))))</f>
        <v>0</v>
      </c>
      <c r="P645" s="31">
        <f>(VLOOKUP($A645,$A$458:$O$482,10,0)*(HLOOKUP(P$627,'2.2.Brecha Efectiva x UdM'!$H$86:$AK$92,6,0))+(VLOOKUP($A645,$A$4:$O$27,10,0)*(HLOOKUP(P$627,'2.2.Brecha Efectiva x UdM'!$H$64:$AK$70,6,0))))</f>
        <v>0</v>
      </c>
      <c r="Q645" s="31">
        <f>(VLOOKUP($A645,$A$458:$O$482,10,0)*(HLOOKUP(Q$627,'2.2.Brecha Efectiva x UdM'!$H$86:$AK$92,6,0))+(VLOOKUP($A645,$A$4:$O$27,10,0)*(HLOOKUP(Q$627,'2.2.Brecha Efectiva x UdM'!$H$64:$AK$70,6,0))))</f>
        <v>0</v>
      </c>
      <c r="R645" s="31">
        <f>(VLOOKUP($A645,$A$458:$O$482,10,0)*(HLOOKUP(R$627,'2.2.Brecha Efectiva x UdM'!$H$86:$AK$92,6,0))+(VLOOKUP($A645,$A$4:$O$27,10,0)*(HLOOKUP(R$627,'2.2.Brecha Efectiva x UdM'!$H$64:$AK$70,6,0))))</f>
        <v>0</v>
      </c>
      <c r="S645" s="31">
        <f>(VLOOKUP($A645,$A$458:$O$482,10,0)*(HLOOKUP(S$627,'2.2.Brecha Efectiva x UdM'!$H$86:$AK$92,6,0))+(VLOOKUP($A645,$A$4:$O$27,10,0)*(HLOOKUP(S$627,'2.2.Brecha Efectiva x UdM'!$H$64:$AK$70,6,0))))</f>
        <v>0</v>
      </c>
      <c r="T645" s="31">
        <f>(VLOOKUP($A645,$A$458:$O$482,10,0)*(HLOOKUP(T$627,'2.2.Brecha Efectiva x UdM'!$H$86:$AK$92,6,0))+(VLOOKUP($A645,$A$4:$O$27,10,0)*(HLOOKUP(T$627,'2.2.Brecha Efectiva x UdM'!$H$64:$AK$70,6,0))))</f>
        <v>0</v>
      </c>
      <c r="U645" s="31">
        <f>(VLOOKUP($A645,$A$458:$O$482,10,0)*(HLOOKUP(U$627,'2.2.Brecha Efectiva x UdM'!$H$86:$AK$92,6,0))+(VLOOKUP($A645,$A$4:$O$27,10,0)*(HLOOKUP(U$627,'2.2.Brecha Efectiva x UdM'!$H$64:$AK$70,6,0))))</f>
        <v>0</v>
      </c>
      <c r="V645" s="31">
        <f>(VLOOKUP($A645,$A$458:$O$482,10,0)*(HLOOKUP(V$627,'2.2.Brecha Efectiva x UdM'!$H$86:$AK$92,6,0))+(VLOOKUP($A645,$A$4:$O$27,10,0)*(HLOOKUP(V$627,'2.2.Brecha Efectiva x UdM'!$H$64:$AK$70,6,0))))</f>
        <v>0</v>
      </c>
      <c r="W645" s="31">
        <f>(VLOOKUP($A645,$A$458:$O$482,10,0)*(HLOOKUP(W$627,'2.2.Brecha Efectiva x UdM'!$H$86:$AK$92,6,0))+(VLOOKUP($A645,$A$4:$O$27,10,0)*(HLOOKUP(W$627,'2.2.Brecha Efectiva x UdM'!$H$64:$AK$70,6,0))))</f>
        <v>0</v>
      </c>
      <c r="X645" s="31">
        <f>(VLOOKUP($A645,$A$458:$O$482,10,0)*(HLOOKUP(X$627,'2.2.Brecha Efectiva x UdM'!$H$86:$AK$92,6,0))+(VLOOKUP($A645,$A$4:$O$27,10,0)*(HLOOKUP(X$627,'2.2.Brecha Efectiva x UdM'!$H$64:$AK$70,6,0))))</f>
        <v>0</v>
      </c>
      <c r="Y645" s="31">
        <f>(VLOOKUP($A645,$A$458:$O$482,10,0)*(HLOOKUP(Y$627,'2.2.Brecha Efectiva x UdM'!$H$86:$AK$92,6,0))+(VLOOKUP($A645,$A$4:$O$27,10,0)*(HLOOKUP(Y$627,'2.2.Brecha Efectiva x UdM'!$H$64:$AK$70,6,0))))</f>
        <v>0</v>
      </c>
      <c r="Z645" s="31">
        <f>(VLOOKUP($A645,$A$458:$O$482,10,0)*(HLOOKUP(Z$627,'2.2.Brecha Efectiva x UdM'!$H$86:$AK$92,6,0))+(VLOOKUP($A645,$A$4:$O$27,10,0)*(HLOOKUP(Z$627,'2.2.Brecha Efectiva x UdM'!$H$64:$AK$70,6,0))))</f>
        <v>0</v>
      </c>
      <c r="AA645" s="31">
        <f>(VLOOKUP($A645,$A$458:$O$482,10,0)*(HLOOKUP(AA$627,'2.2.Brecha Efectiva x UdM'!$H$86:$AK$92,6,0))+(VLOOKUP($A645,$A$4:$O$27,10,0)*(HLOOKUP(AA$627,'2.2.Brecha Efectiva x UdM'!$H$64:$AK$70,6,0))))</f>
        <v>0</v>
      </c>
      <c r="AB645" s="31">
        <f>(VLOOKUP($A645,$A$458:$O$482,10,0)*(HLOOKUP(AB$627,'2.2.Brecha Efectiva x UdM'!$H$86:$AK$92,6,0))+(VLOOKUP($A645,$A$4:$O$27,10,0)*(HLOOKUP(AB$627,'2.2.Brecha Efectiva x UdM'!$H$64:$AK$70,6,0))))</f>
        <v>0</v>
      </c>
      <c r="AC645" s="31">
        <f>(VLOOKUP($A645,$A$458:$O$482,10,0)*(HLOOKUP(AC$627,'2.2.Brecha Efectiva x UdM'!$H$86:$AK$92,6,0))+(VLOOKUP($A645,$A$4:$O$27,10,0)*(HLOOKUP(AC$627,'2.2.Brecha Efectiva x UdM'!$H$64:$AK$70,6,0))))</f>
        <v>0</v>
      </c>
      <c r="AD645" s="31">
        <f>(VLOOKUP($A645,$A$458:$O$482,10,0)*(HLOOKUP(AD$627,'2.2.Brecha Efectiva x UdM'!$H$86:$AK$92,6,0))+(VLOOKUP($A645,$A$4:$O$27,10,0)*(HLOOKUP(AD$627,'2.2.Brecha Efectiva x UdM'!$H$64:$AK$70,6,0))))</f>
        <v>0</v>
      </c>
      <c r="AE645" s="31">
        <f>(VLOOKUP($A645,$A$458:$O$482,10,0)*(HLOOKUP(AE$627,'2.2.Brecha Efectiva x UdM'!$H$86:$AK$92,6,0))+(VLOOKUP($A645,$A$4:$O$27,10,0)*(HLOOKUP(AE$627,'2.2.Brecha Efectiva x UdM'!$H$64:$AK$70,6,0))))</f>
        <v>0</v>
      </c>
      <c r="AF645" s="31">
        <f>(VLOOKUP($A645,$A$458:$O$482,10,0)*(HLOOKUP(AF$627,'2.2.Brecha Efectiva x UdM'!$H$86:$AK$92,6,0))+(VLOOKUP($A645,$A$4:$O$27,10,0)*(HLOOKUP(AF$627,'2.2.Brecha Efectiva x UdM'!$H$64:$AK$70,6,0))))</f>
        <v>0</v>
      </c>
      <c r="AG645" s="31">
        <f>(VLOOKUP($A645,$A$458:$O$482,10,0)*(HLOOKUP(AG$627,'2.2.Brecha Efectiva x UdM'!$H$86:$AK$92,6,0))+(VLOOKUP($A645,$A$4:$O$27,10,0)*(HLOOKUP(AG$627,'2.2.Brecha Efectiva x UdM'!$H$64:$AK$70,6,0))))</f>
        <v>0</v>
      </c>
      <c r="AH645" s="63">
        <f t="shared" si="604"/>
        <v>0</v>
      </c>
    </row>
    <row r="646" spans="1:34" hidden="1" x14ac:dyDescent="0.2">
      <c r="A646" s="25" t="str">
        <f t="shared" si="601"/>
        <v>San Luis</v>
      </c>
      <c r="B646" s="51">
        <f t="shared" si="602"/>
        <v>0</v>
      </c>
      <c r="C646" s="25" t="str">
        <f t="shared" si="603"/>
        <v>San Luis 0</v>
      </c>
      <c r="D646" s="32">
        <f>(VLOOKUP($A646,$A$458:$O$482,10,0)*(HLOOKUP(D$627,'2.2.Brecha Efectiva x UdM'!$H$86:$AK$92,6,0))+(VLOOKUP($A646,$A$4:$O$27,10,0)*(HLOOKUP(D$627,'2.2.Brecha Efectiva x UdM'!$H$64:$AK$70,6,0))))</f>
        <v>0</v>
      </c>
      <c r="E646" s="32">
        <f>(VLOOKUP($A646,$A$458:$O$482,10,0)*(HLOOKUP(E$627,'2.2.Brecha Efectiva x UdM'!$H$86:$AK$92,6,0))+(VLOOKUP($A646,$A$4:$O$27,10,0)*(HLOOKUP(E$627,'2.2.Brecha Efectiva x UdM'!$H$64:$AK$70,6,0))))</f>
        <v>0</v>
      </c>
      <c r="F646" s="32">
        <f>(VLOOKUP($A646,$A$458:$O$482,10,0)*(HLOOKUP(F$627,'2.2.Brecha Efectiva x UdM'!$H$86:$AK$92,6,0))+(VLOOKUP($A646,$A$4:$O$27,10,0)*(HLOOKUP(F$627,'2.2.Brecha Efectiva x UdM'!$H$64:$AK$70,6,0))))</f>
        <v>0</v>
      </c>
      <c r="G646" s="32">
        <f>(VLOOKUP($A646,$A$458:$O$482,10,0)*(HLOOKUP(G$627,'2.2.Brecha Efectiva x UdM'!$H$86:$AK$92,6,0))+(VLOOKUP($A646,$A$4:$O$27,10,0)*(HLOOKUP(G$627,'2.2.Brecha Efectiva x UdM'!$H$64:$AK$70,6,0))))</f>
        <v>0</v>
      </c>
      <c r="H646" s="32">
        <f>(VLOOKUP($A646,$A$458:$O$482,10,0)*(HLOOKUP(H$627,'2.2.Brecha Efectiva x UdM'!$H$86:$AK$92,6,0))+(VLOOKUP($A646,$A$4:$O$27,10,0)*(HLOOKUP(H$627,'2.2.Brecha Efectiva x UdM'!$H$64:$AK$70,6,0))))</f>
        <v>0</v>
      </c>
      <c r="I646" s="32">
        <f>(VLOOKUP($A646,$A$458:$O$482,10,0)*(HLOOKUP(I$627,'2.2.Brecha Efectiva x UdM'!$H$86:$AK$92,6,0))+(VLOOKUP($A646,$A$4:$O$27,10,0)*(HLOOKUP(I$627,'2.2.Brecha Efectiva x UdM'!$H$64:$AK$70,6,0))))</f>
        <v>0</v>
      </c>
      <c r="J646" s="32">
        <f>(VLOOKUP($A646,$A$458:$O$482,10,0)*(HLOOKUP(J$627,'2.2.Brecha Efectiva x UdM'!$H$86:$AK$92,6,0))+(VLOOKUP($A646,$A$4:$O$27,10,0)*(HLOOKUP(J$627,'2.2.Brecha Efectiva x UdM'!$H$64:$AK$70,6,0))))</f>
        <v>0</v>
      </c>
      <c r="K646" s="32">
        <f>(VLOOKUP($A646,$A$458:$O$482,10,0)*(HLOOKUP(K$627,'2.2.Brecha Efectiva x UdM'!$H$86:$AK$92,6,0))+(VLOOKUP($A646,$A$4:$O$27,10,0)*(HLOOKUP(K$627,'2.2.Brecha Efectiva x UdM'!$H$64:$AK$70,6,0))))</f>
        <v>0</v>
      </c>
      <c r="L646" s="32">
        <f>(VLOOKUP($A646,$A$458:$O$482,10,0)*(HLOOKUP(L$627,'2.2.Brecha Efectiva x UdM'!$H$86:$AK$92,6,0))+(VLOOKUP($A646,$A$4:$O$27,10,0)*(HLOOKUP(L$627,'2.2.Brecha Efectiva x UdM'!$H$64:$AK$70,6,0))))</f>
        <v>0</v>
      </c>
      <c r="M646" s="32">
        <f>(VLOOKUP($A646,$A$458:$O$482,10,0)*(HLOOKUP(M$627,'2.2.Brecha Efectiva x UdM'!$H$86:$AK$92,6,0))+(VLOOKUP($A646,$A$4:$O$27,10,0)*(HLOOKUP(M$627,'2.2.Brecha Efectiva x UdM'!$H$64:$AK$70,6,0))))</f>
        <v>0</v>
      </c>
      <c r="N646" s="32">
        <f>(VLOOKUP($A646,$A$458:$O$482,10,0)*(HLOOKUP(N$627,'2.2.Brecha Efectiva x UdM'!$H$86:$AK$92,6,0))+(VLOOKUP($A646,$A$4:$O$27,10,0)*(HLOOKUP(N$627,'2.2.Brecha Efectiva x UdM'!$H$64:$AK$70,6,0))))</f>
        <v>0</v>
      </c>
      <c r="O646" s="32">
        <f>(VLOOKUP($A646,$A$458:$O$482,10,0)*(HLOOKUP(O$627,'2.2.Brecha Efectiva x UdM'!$H$86:$AK$92,6,0))+(VLOOKUP($A646,$A$4:$O$27,10,0)*(HLOOKUP(O$627,'2.2.Brecha Efectiva x UdM'!$H$64:$AK$70,6,0))))</f>
        <v>0</v>
      </c>
      <c r="P646" s="32">
        <f>(VLOOKUP($A646,$A$458:$O$482,10,0)*(HLOOKUP(P$627,'2.2.Brecha Efectiva x UdM'!$H$86:$AK$92,6,0))+(VLOOKUP($A646,$A$4:$O$27,10,0)*(HLOOKUP(P$627,'2.2.Brecha Efectiva x UdM'!$H$64:$AK$70,6,0))))</f>
        <v>0</v>
      </c>
      <c r="Q646" s="32">
        <f>(VLOOKUP($A646,$A$458:$O$482,10,0)*(HLOOKUP(Q$627,'2.2.Brecha Efectiva x UdM'!$H$86:$AK$92,6,0))+(VLOOKUP($A646,$A$4:$O$27,10,0)*(HLOOKUP(Q$627,'2.2.Brecha Efectiva x UdM'!$H$64:$AK$70,6,0))))</f>
        <v>0</v>
      </c>
      <c r="R646" s="32">
        <f>(VLOOKUP($A646,$A$458:$O$482,10,0)*(HLOOKUP(R$627,'2.2.Brecha Efectiva x UdM'!$H$86:$AK$92,6,0))+(VLOOKUP($A646,$A$4:$O$27,10,0)*(HLOOKUP(R$627,'2.2.Brecha Efectiva x UdM'!$H$64:$AK$70,6,0))))</f>
        <v>0</v>
      </c>
      <c r="S646" s="32">
        <f>(VLOOKUP($A646,$A$458:$O$482,10,0)*(HLOOKUP(S$627,'2.2.Brecha Efectiva x UdM'!$H$86:$AK$92,6,0))+(VLOOKUP($A646,$A$4:$O$27,10,0)*(HLOOKUP(S$627,'2.2.Brecha Efectiva x UdM'!$H$64:$AK$70,6,0))))</f>
        <v>0</v>
      </c>
      <c r="T646" s="32">
        <f>(VLOOKUP($A646,$A$458:$O$482,10,0)*(HLOOKUP(T$627,'2.2.Brecha Efectiva x UdM'!$H$86:$AK$92,6,0))+(VLOOKUP($A646,$A$4:$O$27,10,0)*(HLOOKUP(T$627,'2.2.Brecha Efectiva x UdM'!$H$64:$AK$70,6,0))))</f>
        <v>0</v>
      </c>
      <c r="U646" s="32">
        <f>(VLOOKUP($A646,$A$458:$O$482,10,0)*(HLOOKUP(U$627,'2.2.Brecha Efectiva x UdM'!$H$86:$AK$92,6,0))+(VLOOKUP($A646,$A$4:$O$27,10,0)*(HLOOKUP(U$627,'2.2.Brecha Efectiva x UdM'!$H$64:$AK$70,6,0))))</f>
        <v>0</v>
      </c>
      <c r="V646" s="32">
        <f>(VLOOKUP($A646,$A$458:$O$482,10,0)*(HLOOKUP(V$627,'2.2.Brecha Efectiva x UdM'!$H$86:$AK$92,6,0))+(VLOOKUP($A646,$A$4:$O$27,10,0)*(HLOOKUP(V$627,'2.2.Brecha Efectiva x UdM'!$H$64:$AK$70,6,0))))</f>
        <v>0</v>
      </c>
      <c r="W646" s="32">
        <f>(VLOOKUP($A646,$A$458:$O$482,10,0)*(HLOOKUP(W$627,'2.2.Brecha Efectiva x UdM'!$H$86:$AK$92,6,0))+(VLOOKUP($A646,$A$4:$O$27,10,0)*(HLOOKUP(W$627,'2.2.Brecha Efectiva x UdM'!$H$64:$AK$70,6,0))))</f>
        <v>0</v>
      </c>
      <c r="X646" s="32">
        <f>(VLOOKUP($A646,$A$458:$O$482,10,0)*(HLOOKUP(X$627,'2.2.Brecha Efectiva x UdM'!$H$86:$AK$92,6,0))+(VLOOKUP($A646,$A$4:$O$27,10,0)*(HLOOKUP(X$627,'2.2.Brecha Efectiva x UdM'!$H$64:$AK$70,6,0))))</f>
        <v>0</v>
      </c>
      <c r="Y646" s="32">
        <f>(VLOOKUP($A646,$A$458:$O$482,10,0)*(HLOOKUP(Y$627,'2.2.Brecha Efectiva x UdM'!$H$86:$AK$92,6,0))+(VLOOKUP($A646,$A$4:$O$27,10,0)*(HLOOKUP(Y$627,'2.2.Brecha Efectiva x UdM'!$H$64:$AK$70,6,0))))</f>
        <v>0</v>
      </c>
      <c r="Z646" s="32">
        <f>(VLOOKUP($A646,$A$458:$O$482,10,0)*(HLOOKUP(Z$627,'2.2.Brecha Efectiva x UdM'!$H$86:$AK$92,6,0))+(VLOOKUP($A646,$A$4:$O$27,10,0)*(HLOOKUP(Z$627,'2.2.Brecha Efectiva x UdM'!$H$64:$AK$70,6,0))))</f>
        <v>0</v>
      </c>
      <c r="AA646" s="32">
        <f>(VLOOKUP($A646,$A$458:$O$482,10,0)*(HLOOKUP(AA$627,'2.2.Brecha Efectiva x UdM'!$H$86:$AK$92,6,0))+(VLOOKUP($A646,$A$4:$O$27,10,0)*(HLOOKUP(AA$627,'2.2.Brecha Efectiva x UdM'!$H$64:$AK$70,6,0))))</f>
        <v>0</v>
      </c>
      <c r="AB646" s="32">
        <f>(VLOOKUP($A646,$A$458:$O$482,10,0)*(HLOOKUP(AB$627,'2.2.Brecha Efectiva x UdM'!$H$86:$AK$92,6,0))+(VLOOKUP($A646,$A$4:$O$27,10,0)*(HLOOKUP(AB$627,'2.2.Brecha Efectiva x UdM'!$H$64:$AK$70,6,0))))</f>
        <v>0</v>
      </c>
      <c r="AC646" s="32">
        <f>(VLOOKUP($A646,$A$458:$O$482,10,0)*(HLOOKUP(AC$627,'2.2.Brecha Efectiva x UdM'!$H$86:$AK$92,6,0))+(VLOOKUP($A646,$A$4:$O$27,10,0)*(HLOOKUP(AC$627,'2.2.Brecha Efectiva x UdM'!$H$64:$AK$70,6,0))))</f>
        <v>0</v>
      </c>
      <c r="AD646" s="32">
        <f>(VLOOKUP($A646,$A$458:$O$482,10,0)*(HLOOKUP(AD$627,'2.2.Brecha Efectiva x UdM'!$H$86:$AK$92,6,0))+(VLOOKUP($A646,$A$4:$O$27,10,0)*(HLOOKUP(AD$627,'2.2.Brecha Efectiva x UdM'!$H$64:$AK$70,6,0))))</f>
        <v>0</v>
      </c>
      <c r="AE646" s="32">
        <f>(VLOOKUP($A646,$A$458:$O$482,10,0)*(HLOOKUP(AE$627,'2.2.Brecha Efectiva x UdM'!$H$86:$AK$92,6,0))+(VLOOKUP($A646,$A$4:$O$27,10,0)*(HLOOKUP(AE$627,'2.2.Brecha Efectiva x UdM'!$H$64:$AK$70,6,0))))</f>
        <v>0</v>
      </c>
      <c r="AF646" s="32">
        <f>(VLOOKUP($A646,$A$458:$O$482,10,0)*(HLOOKUP(AF$627,'2.2.Brecha Efectiva x UdM'!$H$86:$AK$92,6,0))+(VLOOKUP($A646,$A$4:$O$27,10,0)*(HLOOKUP(AF$627,'2.2.Brecha Efectiva x UdM'!$H$64:$AK$70,6,0))))</f>
        <v>0</v>
      </c>
      <c r="AG646" s="32">
        <f>(VLOOKUP($A646,$A$458:$O$482,10,0)*(HLOOKUP(AG$627,'2.2.Brecha Efectiva x UdM'!$H$86:$AK$92,6,0))+(VLOOKUP($A646,$A$4:$O$27,10,0)*(HLOOKUP(AG$627,'2.2.Brecha Efectiva x UdM'!$H$64:$AK$70,6,0))))</f>
        <v>0</v>
      </c>
      <c r="AH646" s="62">
        <f t="shared" si="604"/>
        <v>0</v>
      </c>
    </row>
    <row r="647" spans="1:34" hidden="1" x14ac:dyDescent="0.2">
      <c r="A647" s="26" t="str">
        <f t="shared" si="601"/>
        <v>Santa Cruz</v>
      </c>
      <c r="B647" s="52">
        <f t="shared" si="602"/>
        <v>0</v>
      </c>
      <c r="C647" s="26" t="str">
        <f t="shared" si="603"/>
        <v>Santa Cruz 0</v>
      </c>
      <c r="D647" s="31">
        <f>(VLOOKUP($A647,$A$458:$O$482,10,0)*(HLOOKUP(D$627,'2.2.Brecha Efectiva x UdM'!$H$86:$AK$92,6,0))+(VLOOKUP($A647,$A$4:$O$27,10,0)*(HLOOKUP(D$627,'2.2.Brecha Efectiva x UdM'!$H$64:$AK$70,6,0))))</f>
        <v>0</v>
      </c>
      <c r="E647" s="31">
        <f>(VLOOKUP($A647,$A$458:$O$482,10,0)*(HLOOKUP(E$627,'2.2.Brecha Efectiva x UdM'!$H$86:$AK$92,6,0))+(VLOOKUP($A647,$A$4:$O$27,10,0)*(HLOOKUP(E$627,'2.2.Brecha Efectiva x UdM'!$H$64:$AK$70,6,0))))</f>
        <v>0</v>
      </c>
      <c r="F647" s="31">
        <f>(VLOOKUP($A647,$A$458:$O$482,10,0)*(HLOOKUP(F$627,'2.2.Brecha Efectiva x UdM'!$H$86:$AK$92,6,0))+(VLOOKUP($A647,$A$4:$O$27,10,0)*(HLOOKUP(F$627,'2.2.Brecha Efectiva x UdM'!$H$64:$AK$70,6,0))))</f>
        <v>0</v>
      </c>
      <c r="G647" s="31">
        <f>(VLOOKUP($A647,$A$458:$O$482,10,0)*(HLOOKUP(G$627,'2.2.Brecha Efectiva x UdM'!$H$86:$AK$92,6,0))+(VLOOKUP($A647,$A$4:$O$27,10,0)*(HLOOKUP(G$627,'2.2.Brecha Efectiva x UdM'!$H$64:$AK$70,6,0))))</f>
        <v>0</v>
      </c>
      <c r="H647" s="31">
        <f>(VLOOKUP($A647,$A$458:$O$482,10,0)*(HLOOKUP(H$627,'2.2.Brecha Efectiva x UdM'!$H$86:$AK$92,6,0))+(VLOOKUP($A647,$A$4:$O$27,10,0)*(HLOOKUP(H$627,'2.2.Brecha Efectiva x UdM'!$H$64:$AK$70,6,0))))</f>
        <v>0</v>
      </c>
      <c r="I647" s="31">
        <f>(VLOOKUP($A647,$A$458:$O$482,10,0)*(HLOOKUP(I$627,'2.2.Brecha Efectiva x UdM'!$H$86:$AK$92,6,0))+(VLOOKUP($A647,$A$4:$O$27,10,0)*(HLOOKUP(I$627,'2.2.Brecha Efectiva x UdM'!$H$64:$AK$70,6,0))))</f>
        <v>0</v>
      </c>
      <c r="J647" s="31">
        <f>(VLOOKUP($A647,$A$458:$O$482,10,0)*(HLOOKUP(J$627,'2.2.Brecha Efectiva x UdM'!$H$86:$AK$92,6,0))+(VLOOKUP($A647,$A$4:$O$27,10,0)*(HLOOKUP(J$627,'2.2.Brecha Efectiva x UdM'!$H$64:$AK$70,6,0))))</f>
        <v>0</v>
      </c>
      <c r="K647" s="31">
        <f>(VLOOKUP($A647,$A$458:$O$482,10,0)*(HLOOKUP(K$627,'2.2.Brecha Efectiva x UdM'!$H$86:$AK$92,6,0))+(VLOOKUP($A647,$A$4:$O$27,10,0)*(HLOOKUP(K$627,'2.2.Brecha Efectiva x UdM'!$H$64:$AK$70,6,0))))</f>
        <v>0</v>
      </c>
      <c r="L647" s="31">
        <f>(VLOOKUP($A647,$A$458:$O$482,10,0)*(HLOOKUP(L$627,'2.2.Brecha Efectiva x UdM'!$H$86:$AK$92,6,0))+(VLOOKUP($A647,$A$4:$O$27,10,0)*(HLOOKUP(L$627,'2.2.Brecha Efectiva x UdM'!$H$64:$AK$70,6,0))))</f>
        <v>0</v>
      </c>
      <c r="M647" s="31">
        <f>(VLOOKUP($A647,$A$458:$O$482,10,0)*(HLOOKUP(M$627,'2.2.Brecha Efectiva x UdM'!$H$86:$AK$92,6,0))+(VLOOKUP($A647,$A$4:$O$27,10,0)*(HLOOKUP(M$627,'2.2.Brecha Efectiva x UdM'!$H$64:$AK$70,6,0))))</f>
        <v>0</v>
      </c>
      <c r="N647" s="31">
        <f>(VLOOKUP($A647,$A$458:$O$482,10,0)*(HLOOKUP(N$627,'2.2.Brecha Efectiva x UdM'!$H$86:$AK$92,6,0))+(VLOOKUP($A647,$A$4:$O$27,10,0)*(HLOOKUP(N$627,'2.2.Brecha Efectiva x UdM'!$H$64:$AK$70,6,0))))</f>
        <v>0</v>
      </c>
      <c r="O647" s="31">
        <f>(VLOOKUP($A647,$A$458:$O$482,10,0)*(HLOOKUP(O$627,'2.2.Brecha Efectiva x UdM'!$H$86:$AK$92,6,0))+(VLOOKUP($A647,$A$4:$O$27,10,0)*(HLOOKUP(O$627,'2.2.Brecha Efectiva x UdM'!$H$64:$AK$70,6,0))))</f>
        <v>0</v>
      </c>
      <c r="P647" s="31">
        <f>(VLOOKUP($A647,$A$458:$O$482,10,0)*(HLOOKUP(P$627,'2.2.Brecha Efectiva x UdM'!$H$86:$AK$92,6,0))+(VLOOKUP($A647,$A$4:$O$27,10,0)*(HLOOKUP(P$627,'2.2.Brecha Efectiva x UdM'!$H$64:$AK$70,6,0))))</f>
        <v>0</v>
      </c>
      <c r="Q647" s="31">
        <f>(VLOOKUP($A647,$A$458:$O$482,10,0)*(HLOOKUP(Q$627,'2.2.Brecha Efectiva x UdM'!$H$86:$AK$92,6,0))+(VLOOKUP($A647,$A$4:$O$27,10,0)*(HLOOKUP(Q$627,'2.2.Brecha Efectiva x UdM'!$H$64:$AK$70,6,0))))</f>
        <v>0</v>
      </c>
      <c r="R647" s="31">
        <f>(VLOOKUP($A647,$A$458:$O$482,10,0)*(HLOOKUP(R$627,'2.2.Brecha Efectiva x UdM'!$H$86:$AK$92,6,0))+(VLOOKUP($A647,$A$4:$O$27,10,0)*(HLOOKUP(R$627,'2.2.Brecha Efectiva x UdM'!$H$64:$AK$70,6,0))))</f>
        <v>0</v>
      </c>
      <c r="S647" s="31">
        <f>(VLOOKUP($A647,$A$458:$O$482,10,0)*(HLOOKUP(S$627,'2.2.Brecha Efectiva x UdM'!$H$86:$AK$92,6,0))+(VLOOKUP($A647,$A$4:$O$27,10,0)*(HLOOKUP(S$627,'2.2.Brecha Efectiva x UdM'!$H$64:$AK$70,6,0))))</f>
        <v>0</v>
      </c>
      <c r="T647" s="31">
        <f>(VLOOKUP($A647,$A$458:$O$482,10,0)*(HLOOKUP(T$627,'2.2.Brecha Efectiva x UdM'!$H$86:$AK$92,6,0))+(VLOOKUP($A647,$A$4:$O$27,10,0)*(HLOOKUP(T$627,'2.2.Brecha Efectiva x UdM'!$H$64:$AK$70,6,0))))</f>
        <v>0</v>
      </c>
      <c r="U647" s="31">
        <f>(VLOOKUP($A647,$A$458:$O$482,10,0)*(HLOOKUP(U$627,'2.2.Brecha Efectiva x UdM'!$H$86:$AK$92,6,0))+(VLOOKUP($A647,$A$4:$O$27,10,0)*(HLOOKUP(U$627,'2.2.Brecha Efectiva x UdM'!$H$64:$AK$70,6,0))))</f>
        <v>0</v>
      </c>
      <c r="V647" s="31">
        <f>(VLOOKUP($A647,$A$458:$O$482,10,0)*(HLOOKUP(V$627,'2.2.Brecha Efectiva x UdM'!$H$86:$AK$92,6,0))+(VLOOKUP($A647,$A$4:$O$27,10,0)*(HLOOKUP(V$627,'2.2.Brecha Efectiva x UdM'!$H$64:$AK$70,6,0))))</f>
        <v>0</v>
      </c>
      <c r="W647" s="31">
        <f>(VLOOKUP($A647,$A$458:$O$482,10,0)*(HLOOKUP(W$627,'2.2.Brecha Efectiva x UdM'!$H$86:$AK$92,6,0))+(VLOOKUP($A647,$A$4:$O$27,10,0)*(HLOOKUP(W$627,'2.2.Brecha Efectiva x UdM'!$H$64:$AK$70,6,0))))</f>
        <v>0</v>
      </c>
      <c r="X647" s="31">
        <f>(VLOOKUP($A647,$A$458:$O$482,10,0)*(HLOOKUP(X$627,'2.2.Brecha Efectiva x UdM'!$H$86:$AK$92,6,0))+(VLOOKUP($A647,$A$4:$O$27,10,0)*(HLOOKUP(X$627,'2.2.Brecha Efectiva x UdM'!$H$64:$AK$70,6,0))))</f>
        <v>0</v>
      </c>
      <c r="Y647" s="31">
        <f>(VLOOKUP($A647,$A$458:$O$482,10,0)*(HLOOKUP(Y$627,'2.2.Brecha Efectiva x UdM'!$H$86:$AK$92,6,0))+(VLOOKUP($A647,$A$4:$O$27,10,0)*(HLOOKUP(Y$627,'2.2.Brecha Efectiva x UdM'!$H$64:$AK$70,6,0))))</f>
        <v>0</v>
      </c>
      <c r="Z647" s="31">
        <f>(VLOOKUP($A647,$A$458:$O$482,10,0)*(HLOOKUP(Z$627,'2.2.Brecha Efectiva x UdM'!$H$86:$AK$92,6,0))+(VLOOKUP($A647,$A$4:$O$27,10,0)*(HLOOKUP(Z$627,'2.2.Brecha Efectiva x UdM'!$H$64:$AK$70,6,0))))</f>
        <v>0</v>
      </c>
      <c r="AA647" s="31">
        <f>(VLOOKUP($A647,$A$458:$O$482,10,0)*(HLOOKUP(AA$627,'2.2.Brecha Efectiva x UdM'!$H$86:$AK$92,6,0))+(VLOOKUP($A647,$A$4:$O$27,10,0)*(HLOOKUP(AA$627,'2.2.Brecha Efectiva x UdM'!$H$64:$AK$70,6,0))))</f>
        <v>0</v>
      </c>
      <c r="AB647" s="31">
        <f>(VLOOKUP($A647,$A$458:$O$482,10,0)*(HLOOKUP(AB$627,'2.2.Brecha Efectiva x UdM'!$H$86:$AK$92,6,0))+(VLOOKUP($A647,$A$4:$O$27,10,0)*(HLOOKUP(AB$627,'2.2.Brecha Efectiva x UdM'!$H$64:$AK$70,6,0))))</f>
        <v>0</v>
      </c>
      <c r="AC647" s="31">
        <f>(VLOOKUP($A647,$A$458:$O$482,10,0)*(HLOOKUP(AC$627,'2.2.Brecha Efectiva x UdM'!$H$86:$AK$92,6,0))+(VLOOKUP($A647,$A$4:$O$27,10,0)*(HLOOKUP(AC$627,'2.2.Brecha Efectiva x UdM'!$H$64:$AK$70,6,0))))</f>
        <v>0</v>
      </c>
      <c r="AD647" s="31">
        <f>(VLOOKUP($A647,$A$458:$O$482,10,0)*(HLOOKUP(AD$627,'2.2.Brecha Efectiva x UdM'!$H$86:$AK$92,6,0))+(VLOOKUP($A647,$A$4:$O$27,10,0)*(HLOOKUP(AD$627,'2.2.Brecha Efectiva x UdM'!$H$64:$AK$70,6,0))))</f>
        <v>0</v>
      </c>
      <c r="AE647" s="31">
        <f>(VLOOKUP($A647,$A$458:$O$482,10,0)*(HLOOKUP(AE$627,'2.2.Brecha Efectiva x UdM'!$H$86:$AK$92,6,0))+(VLOOKUP($A647,$A$4:$O$27,10,0)*(HLOOKUP(AE$627,'2.2.Brecha Efectiva x UdM'!$H$64:$AK$70,6,0))))</f>
        <v>0</v>
      </c>
      <c r="AF647" s="31">
        <f>(VLOOKUP($A647,$A$458:$O$482,10,0)*(HLOOKUP(AF$627,'2.2.Brecha Efectiva x UdM'!$H$86:$AK$92,6,0))+(VLOOKUP($A647,$A$4:$O$27,10,0)*(HLOOKUP(AF$627,'2.2.Brecha Efectiva x UdM'!$H$64:$AK$70,6,0))))</f>
        <v>0</v>
      </c>
      <c r="AG647" s="31">
        <f>(VLOOKUP($A647,$A$458:$O$482,10,0)*(HLOOKUP(AG$627,'2.2.Brecha Efectiva x UdM'!$H$86:$AK$92,6,0))+(VLOOKUP($A647,$A$4:$O$27,10,0)*(HLOOKUP(AG$627,'2.2.Brecha Efectiva x UdM'!$H$64:$AK$70,6,0))))</f>
        <v>0</v>
      </c>
      <c r="AH647" s="63">
        <f t="shared" si="604"/>
        <v>0</v>
      </c>
    </row>
    <row r="648" spans="1:34" hidden="1" x14ac:dyDescent="0.2">
      <c r="A648" s="25" t="str">
        <f t="shared" si="601"/>
        <v>Santa Fe</v>
      </c>
      <c r="B648" s="51">
        <f t="shared" si="602"/>
        <v>0</v>
      </c>
      <c r="C648" s="25" t="str">
        <f t="shared" si="603"/>
        <v>Santa Fe 0</v>
      </c>
      <c r="D648" s="32">
        <f>(VLOOKUP($A648,$A$458:$O$482,10,0)*(HLOOKUP(D$627,'2.2.Brecha Efectiva x UdM'!$H$86:$AK$92,6,0))+(VLOOKUP($A648,$A$4:$O$27,10,0)*(HLOOKUP(D$627,'2.2.Brecha Efectiva x UdM'!$H$64:$AK$70,6,0))))</f>
        <v>0</v>
      </c>
      <c r="E648" s="32">
        <f>(VLOOKUP($A648,$A$458:$O$482,10,0)*(HLOOKUP(E$627,'2.2.Brecha Efectiva x UdM'!$H$86:$AK$92,6,0))+(VLOOKUP($A648,$A$4:$O$27,10,0)*(HLOOKUP(E$627,'2.2.Brecha Efectiva x UdM'!$H$64:$AK$70,6,0))))</f>
        <v>0</v>
      </c>
      <c r="F648" s="32">
        <f>(VLOOKUP($A648,$A$458:$O$482,10,0)*(HLOOKUP(F$627,'2.2.Brecha Efectiva x UdM'!$H$86:$AK$92,6,0))+(VLOOKUP($A648,$A$4:$O$27,10,0)*(HLOOKUP(F$627,'2.2.Brecha Efectiva x UdM'!$H$64:$AK$70,6,0))))</f>
        <v>0</v>
      </c>
      <c r="G648" s="32">
        <f>(VLOOKUP($A648,$A$458:$O$482,10,0)*(HLOOKUP(G$627,'2.2.Brecha Efectiva x UdM'!$H$86:$AK$92,6,0))+(VLOOKUP($A648,$A$4:$O$27,10,0)*(HLOOKUP(G$627,'2.2.Brecha Efectiva x UdM'!$H$64:$AK$70,6,0))))</f>
        <v>0</v>
      </c>
      <c r="H648" s="32">
        <f>(VLOOKUP($A648,$A$458:$O$482,10,0)*(HLOOKUP(H$627,'2.2.Brecha Efectiva x UdM'!$H$86:$AK$92,6,0))+(VLOOKUP($A648,$A$4:$O$27,10,0)*(HLOOKUP(H$627,'2.2.Brecha Efectiva x UdM'!$H$64:$AK$70,6,0))))</f>
        <v>0</v>
      </c>
      <c r="I648" s="32">
        <f>(VLOOKUP($A648,$A$458:$O$482,10,0)*(HLOOKUP(I$627,'2.2.Brecha Efectiva x UdM'!$H$86:$AK$92,6,0))+(VLOOKUP($A648,$A$4:$O$27,10,0)*(HLOOKUP(I$627,'2.2.Brecha Efectiva x UdM'!$H$64:$AK$70,6,0))))</f>
        <v>0</v>
      </c>
      <c r="J648" s="32">
        <f>(VLOOKUP($A648,$A$458:$O$482,10,0)*(HLOOKUP(J$627,'2.2.Brecha Efectiva x UdM'!$H$86:$AK$92,6,0))+(VLOOKUP($A648,$A$4:$O$27,10,0)*(HLOOKUP(J$627,'2.2.Brecha Efectiva x UdM'!$H$64:$AK$70,6,0))))</f>
        <v>0</v>
      </c>
      <c r="K648" s="32">
        <f>(VLOOKUP($A648,$A$458:$O$482,10,0)*(HLOOKUP(K$627,'2.2.Brecha Efectiva x UdM'!$H$86:$AK$92,6,0))+(VLOOKUP($A648,$A$4:$O$27,10,0)*(HLOOKUP(K$627,'2.2.Brecha Efectiva x UdM'!$H$64:$AK$70,6,0))))</f>
        <v>0</v>
      </c>
      <c r="L648" s="32">
        <f>(VLOOKUP($A648,$A$458:$O$482,10,0)*(HLOOKUP(L$627,'2.2.Brecha Efectiva x UdM'!$H$86:$AK$92,6,0))+(VLOOKUP($A648,$A$4:$O$27,10,0)*(HLOOKUP(L$627,'2.2.Brecha Efectiva x UdM'!$H$64:$AK$70,6,0))))</f>
        <v>0</v>
      </c>
      <c r="M648" s="32">
        <f>(VLOOKUP($A648,$A$458:$O$482,10,0)*(HLOOKUP(M$627,'2.2.Brecha Efectiva x UdM'!$H$86:$AK$92,6,0))+(VLOOKUP($A648,$A$4:$O$27,10,0)*(HLOOKUP(M$627,'2.2.Brecha Efectiva x UdM'!$H$64:$AK$70,6,0))))</f>
        <v>0</v>
      </c>
      <c r="N648" s="32">
        <f>(VLOOKUP($A648,$A$458:$O$482,10,0)*(HLOOKUP(N$627,'2.2.Brecha Efectiva x UdM'!$H$86:$AK$92,6,0))+(VLOOKUP($A648,$A$4:$O$27,10,0)*(HLOOKUP(N$627,'2.2.Brecha Efectiva x UdM'!$H$64:$AK$70,6,0))))</f>
        <v>0</v>
      </c>
      <c r="O648" s="32">
        <f>(VLOOKUP($A648,$A$458:$O$482,10,0)*(HLOOKUP(O$627,'2.2.Brecha Efectiva x UdM'!$H$86:$AK$92,6,0))+(VLOOKUP($A648,$A$4:$O$27,10,0)*(HLOOKUP(O$627,'2.2.Brecha Efectiva x UdM'!$H$64:$AK$70,6,0))))</f>
        <v>0</v>
      </c>
      <c r="P648" s="32">
        <f>(VLOOKUP($A648,$A$458:$O$482,10,0)*(HLOOKUP(P$627,'2.2.Brecha Efectiva x UdM'!$H$86:$AK$92,6,0))+(VLOOKUP($A648,$A$4:$O$27,10,0)*(HLOOKUP(P$627,'2.2.Brecha Efectiva x UdM'!$H$64:$AK$70,6,0))))</f>
        <v>0</v>
      </c>
      <c r="Q648" s="32">
        <f>(VLOOKUP($A648,$A$458:$O$482,10,0)*(HLOOKUP(Q$627,'2.2.Brecha Efectiva x UdM'!$H$86:$AK$92,6,0))+(VLOOKUP($A648,$A$4:$O$27,10,0)*(HLOOKUP(Q$627,'2.2.Brecha Efectiva x UdM'!$H$64:$AK$70,6,0))))</f>
        <v>0</v>
      </c>
      <c r="R648" s="32">
        <f>(VLOOKUP($A648,$A$458:$O$482,10,0)*(HLOOKUP(R$627,'2.2.Brecha Efectiva x UdM'!$H$86:$AK$92,6,0))+(VLOOKUP($A648,$A$4:$O$27,10,0)*(HLOOKUP(R$627,'2.2.Brecha Efectiva x UdM'!$H$64:$AK$70,6,0))))</f>
        <v>0</v>
      </c>
      <c r="S648" s="32">
        <f>(VLOOKUP($A648,$A$458:$O$482,10,0)*(HLOOKUP(S$627,'2.2.Brecha Efectiva x UdM'!$H$86:$AK$92,6,0))+(VLOOKUP($A648,$A$4:$O$27,10,0)*(HLOOKUP(S$627,'2.2.Brecha Efectiva x UdM'!$H$64:$AK$70,6,0))))</f>
        <v>0</v>
      </c>
      <c r="T648" s="32">
        <f>(VLOOKUP($A648,$A$458:$O$482,10,0)*(HLOOKUP(T$627,'2.2.Brecha Efectiva x UdM'!$H$86:$AK$92,6,0))+(VLOOKUP($A648,$A$4:$O$27,10,0)*(HLOOKUP(T$627,'2.2.Brecha Efectiva x UdM'!$H$64:$AK$70,6,0))))</f>
        <v>0</v>
      </c>
      <c r="U648" s="32">
        <f>(VLOOKUP($A648,$A$458:$O$482,10,0)*(HLOOKUP(U$627,'2.2.Brecha Efectiva x UdM'!$H$86:$AK$92,6,0))+(VLOOKUP($A648,$A$4:$O$27,10,0)*(HLOOKUP(U$627,'2.2.Brecha Efectiva x UdM'!$H$64:$AK$70,6,0))))</f>
        <v>0</v>
      </c>
      <c r="V648" s="32">
        <f>(VLOOKUP($A648,$A$458:$O$482,10,0)*(HLOOKUP(V$627,'2.2.Brecha Efectiva x UdM'!$H$86:$AK$92,6,0))+(VLOOKUP($A648,$A$4:$O$27,10,0)*(HLOOKUP(V$627,'2.2.Brecha Efectiva x UdM'!$H$64:$AK$70,6,0))))</f>
        <v>0</v>
      </c>
      <c r="W648" s="32">
        <f>(VLOOKUP($A648,$A$458:$O$482,10,0)*(HLOOKUP(W$627,'2.2.Brecha Efectiva x UdM'!$H$86:$AK$92,6,0))+(VLOOKUP($A648,$A$4:$O$27,10,0)*(HLOOKUP(W$627,'2.2.Brecha Efectiva x UdM'!$H$64:$AK$70,6,0))))</f>
        <v>0</v>
      </c>
      <c r="X648" s="32">
        <f>(VLOOKUP($A648,$A$458:$O$482,10,0)*(HLOOKUP(X$627,'2.2.Brecha Efectiva x UdM'!$H$86:$AK$92,6,0))+(VLOOKUP($A648,$A$4:$O$27,10,0)*(HLOOKUP(X$627,'2.2.Brecha Efectiva x UdM'!$H$64:$AK$70,6,0))))</f>
        <v>0</v>
      </c>
      <c r="Y648" s="32">
        <f>(VLOOKUP($A648,$A$458:$O$482,10,0)*(HLOOKUP(Y$627,'2.2.Brecha Efectiva x UdM'!$H$86:$AK$92,6,0))+(VLOOKUP($A648,$A$4:$O$27,10,0)*(HLOOKUP(Y$627,'2.2.Brecha Efectiva x UdM'!$H$64:$AK$70,6,0))))</f>
        <v>0</v>
      </c>
      <c r="Z648" s="32">
        <f>(VLOOKUP($A648,$A$458:$O$482,10,0)*(HLOOKUP(Z$627,'2.2.Brecha Efectiva x UdM'!$H$86:$AK$92,6,0))+(VLOOKUP($A648,$A$4:$O$27,10,0)*(HLOOKUP(Z$627,'2.2.Brecha Efectiva x UdM'!$H$64:$AK$70,6,0))))</f>
        <v>0</v>
      </c>
      <c r="AA648" s="32">
        <f>(VLOOKUP($A648,$A$458:$O$482,10,0)*(HLOOKUP(AA$627,'2.2.Brecha Efectiva x UdM'!$H$86:$AK$92,6,0))+(VLOOKUP($A648,$A$4:$O$27,10,0)*(HLOOKUP(AA$627,'2.2.Brecha Efectiva x UdM'!$H$64:$AK$70,6,0))))</f>
        <v>0</v>
      </c>
      <c r="AB648" s="32">
        <f>(VLOOKUP($A648,$A$458:$O$482,10,0)*(HLOOKUP(AB$627,'2.2.Brecha Efectiva x UdM'!$H$86:$AK$92,6,0))+(VLOOKUP($A648,$A$4:$O$27,10,0)*(HLOOKUP(AB$627,'2.2.Brecha Efectiva x UdM'!$H$64:$AK$70,6,0))))</f>
        <v>0</v>
      </c>
      <c r="AC648" s="32">
        <f>(VLOOKUP($A648,$A$458:$O$482,10,0)*(HLOOKUP(AC$627,'2.2.Brecha Efectiva x UdM'!$H$86:$AK$92,6,0))+(VLOOKUP($A648,$A$4:$O$27,10,0)*(HLOOKUP(AC$627,'2.2.Brecha Efectiva x UdM'!$H$64:$AK$70,6,0))))</f>
        <v>0</v>
      </c>
      <c r="AD648" s="32">
        <f>(VLOOKUP($A648,$A$458:$O$482,10,0)*(HLOOKUP(AD$627,'2.2.Brecha Efectiva x UdM'!$H$86:$AK$92,6,0))+(VLOOKUP($A648,$A$4:$O$27,10,0)*(HLOOKUP(AD$627,'2.2.Brecha Efectiva x UdM'!$H$64:$AK$70,6,0))))</f>
        <v>0</v>
      </c>
      <c r="AE648" s="32">
        <f>(VLOOKUP($A648,$A$458:$O$482,10,0)*(HLOOKUP(AE$627,'2.2.Brecha Efectiva x UdM'!$H$86:$AK$92,6,0))+(VLOOKUP($A648,$A$4:$O$27,10,0)*(HLOOKUP(AE$627,'2.2.Brecha Efectiva x UdM'!$H$64:$AK$70,6,0))))</f>
        <v>0</v>
      </c>
      <c r="AF648" s="32">
        <f>(VLOOKUP($A648,$A$458:$O$482,10,0)*(HLOOKUP(AF$627,'2.2.Brecha Efectiva x UdM'!$H$86:$AK$92,6,0))+(VLOOKUP($A648,$A$4:$O$27,10,0)*(HLOOKUP(AF$627,'2.2.Brecha Efectiva x UdM'!$H$64:$AK$70,6,0))))</f>
        <v>0</v>
      </c>
      <c r="AG648" s="32">
        <f>(VLOOKUP($A648,$A$458:$O$482,10,0)*(HLOOKUP(AG$627,'2.2.Brecha Efectiva x UdM'!$H$86:$AK$92,6,0))+(VLOOKUP($A648,$A$4:$O$27,10,0)*(HLOOKUP(AG$627,'2.2.Brecha Efectiva x UdM'!$H$64:$AK$70,6,0))))</f>
        <v>0</v>
      </c>
      <c r="AH648" s="62">
        <f t="shared" si="604"/>
        <v>0</v>
      </c>
    </row>
    <row r="649" spans="1:34" hidden="1" x14ac:dyDescent="0.2">
      <c r="A649" s="26" t="str">
        <f t="shared" si="601"/>
        <v>Santiago del Estero</v>
      </c>
      <c r="B649" s="52">
        <f t="shared" si="602"/>
        <v>0</v>
      </c>
      <c r="C649" s="26" t="str">
        <f t="shared" si="603"/>
        <v>Santiago del Estero 0</v>
      </c>
      <c r="D649" s="31">
        <f>(VLOOKUP($A649,$A$458:$O$482,10,0)*(HLOOKUP(D$627,'2.2.Brecha Efectiva x UdM'!$H$86:$AK$92,6,0))+(VLOOKUP($A649,$A$4:$O$27,10,0)*(HLOOKUP(D$627,'2.2.Brecha Efectiva x UdM'!$H$64:$AK$70,6,0))))</f>
        <v>0</v>
      </c>
      <c r="E649" s="31">
        <f>(VLOOKUP($A649,$A$458:$O$482,10,0)*(HLOOKUP(E$627,'2.2.Brecha Efectiva x UdM'!$H$86:$AK$92,6,0))+(VLOOKUP($A649,$A$4:$O$27,10,0)*(HLOOKUP(E$627,'2.2.Brecha Efectiva x UdM'!$H$64:$AK$70,6,0))))</f>
        <v>0</v>
      </c>
      <c r="F649" s="31">
        <f>(VLOOKUP($A649,$A$458:$O$482,10,0)*(HLOOKUP(F$627,'2.2.Brecha Efectiva x UdM'!$H$86:$AK$92,6,0))+(VLOOKUP($A649,$A$4:$O$27,10,0)*(HLOOKUP(F$627,'2.2.Brecha Efectiva x UdM'!$H$64:$AK$70,6,0))))</f>
        <v>0</v>
      </c>
      <c r="G649" s="31">
        <f>(VLOOKUP($A649,$A$458:$O$482,10,0)*(HLOOKUP(G$627,'2.2.Brecha Efectiva x UdM'!$H$86:$AK$92,6,0))+(VLOOKUP($A649,$A$4:$O$27,10,0)*(HLOOKUP(G$627,'2.2.Brecha Efectiva x UdM'!$H$64:$AK$70,6,0))))</f>
        <v>0</v>
      </c>
      <c r="H649" s="31">
        <f>(VLOOKUP($A649,$A$458:$O$482,10,0)*(HLOOKUP(H$627,'2.2.Brecha Efectiva x UdM'!$H$86:$AK$92,6,0))+(VLOOKUP($A649,$A$4:$O$27,10,0)*(HLOOKUP(H$627,'2.2.Brecha Efectiva x UdM'!$H$64:$AK$70,6,0))))</f>
        <v>0</v>
      </c>
      <c r="I649" s="31">
        <f>(VLOOKUP($A649,$A$458:$O$482,10,0)*(HLOOKUP(I$627,'2.2.Brecha Efectiva x UdM'!$H$86:$AK$92,6,0))+(VLOOKUP($A649,$A$4:$O$27,10,0)*(HLOOKUP(I$627,'2.2.Brecha Efectiva x UdM'!$H$64:$AK$70,6,0))))</f>
        <v>0</v>
      </c>
      <c r="J649" s="31">
        <f>(VLOOKUP($A649,$A$458:$O$482,10,0)*(HLOOKUP(J$627,'2.2.Brecha Efectiva x UdM'!$H$86:$AK$92,6,0))+(VLOOKUP($A649,$A$4:$O$27,10,0)*(HLOOKUP(J$627,'2.2.Brecha Efectiva x UdM'!$H$64:$AK$70,6,0))))</f>
        <v>0</v>
      </c>
      <c r="K649" s="31">
        <f>(VLOOKUP($A649,$A$458:$O$482,10,0)*(HLOOKUP(K$627,'2.2.Brecha Efectiva x UdM'!$H$86:$AK$92,6,0))+(VLOOKUP($A649,$A$4:$O$27,10,0)*(HLOOKUP(K$627,'2.2.Brecha Efectiva x UdM'!$H$64:$AK$70,6,0))))</f>
        <v>0</v>
      </c>
      <c r="L649" s="31">
        <f>(VLOOKUP($A649,$A$458:$O$482,10,0)*(HLOOKUP(L$627,'2.2.Brecha Efectiva x UdM'!$H$86:$AK$92,6,0))+(VLOOKUP($A649,$A$4:$O$27,10,0)*(HLOOKUP(L$627,'2.2.Brecha Efectiva x UdM'!$H$64:$AK$70,6,0))))</f>
        <v>0</v>
      </c>
      <c r="M649" s="31">
        <f>(VLOOKUP($A649,$A$458:$O$482,10,0)*(HLOOKUP(M$627,'2.2.Brecha Efectiva x UdM'!$H$86:$AK$92,6,0))+(VLOOKUP($A649,$A$4:$O$27,10,0)*(HLOOKUP(M$627,'2.2.Brecha Efectiva x UdM'!$H$64:$AK$70,6,0))))</f>
        <v>0</v>
      </c>
      <c r="N649" s="31">
        <f>(VLOOKUP($A649,$A$458:$O$482,10,0)*(HLOOKUP(N$627,'2.2.Brecha Efectiva x UdM'!$H$86:$AK$92,6,0))+(VLOOKUP($A649,$A$4:$O$27,10,0)*(HLOOKUP(N$627,'2.2.Brecha Efectiva x UdM'!$H$64:$AK$70,6,0))))</f>
        <v>0</v>
      </c>
      <c r="O649" s="31">
        <f>(VLOOKUP($A649,$A$458:$O$482,10,0)*(HLOOKUP(O$627,'2.2.Brecha Efectiva x UdM'!$H$86:$AK$92,6,0))+(VLOOKUP($A649,$A$4:$O$27,10,0)*(HLOOKUP(O$627,'2.2.Brecha Efectiva x UdM'!$H$64:$AK$70,6,0))))</f>
        <v>0</v>
      </c>
      <c r="P649" s="31">
        <f>(VLOOKUP($A649,$A$458:$O$482,10,0)*(HLOOKUP(P$627,'2.2.Brecha Efectiva x UdM'!$H$86:$AK$92,6,0))+(VLOOKUP($A649,$A$4:$O$27,10,0)*(HLOOKUP(P$627,'2.2.Brecha Efectiva x UdM'!$H$64:$AK$70,6,0))))</f>
        <v>0</v>
      </c>
      <c r="Q649" s="31">
        <f>(VLOOKUP($A649,$A$458:$O$482,10,0)*(HLOOKUP(Q$627,'2.2.Brecha Efectiva x UdM'!$H$86:$AK$92,6,0))+(VLOOKUP($A649,$A$4:$O$27,10,0)*(HLOOKUP(Q$627,'2.2.Brecha Efectiva x UdM'!$H$64:$AK$70,6,0))))</f>
        <v>0</v>
      </c>
      <c r="R649" s="31">
        <f>(VLOOKUP($A649,$A$458:$O$482,10,0)*(HLOOKUP(R$627,'2.2.Brecha Efectiva x UdM'!$H$86:$AK$92,6,0))+(VLOOKUP($A649,$A$4:$O$27,10,0)*(HLOOKUP(R$627,'2.2.Brecha Efectiva x UdM'!$H$64:$AK$70,6,0))))</f>
        <v>0</v>
      </c>
      <c r="S649" s="31">
        <f>(VLOOKUP($A649,$A$458:$O$482,10,0)*(HLOOKUP(S$627,'2.2.Brecha Efectiva x UdM'!$H$86:$AK$92,6,0))+(VLOOKUP($A649,$A$4:$O$27,10,0)*(HLOOKUP(S$627,'2.2.Brecha Efectiva x UdM'!$H$64:$AK$70,6,0))))</f>
        <v>0</v>
      </c>
      <c r="T649" s="31">
        <f>(VLOOKUP($A649,$A$458:$O$482,10,0)*(HLOOKUP(T$627,'2.2.Brecha Efectiva x UdM'!$H$86:$AK$92,6,0))+(VLOOKUP($A649,$A$4:$O$27,10,0)*(HLOOKUP(T$627,'2.2.Brecha Efectiva x UdM'!$H$64:$AK$70,6,0))))</f>
        <v>0</v>
      </c>
      <c r="U649" s="31">
        <f>(VLOOKUP($A649,$A$458:$O$482,10,0)*(HLOOKUP(U$627,'2.2.Brecha Efectiva x UdM'!$H$86:$AK$92,6,0))+(VLOOKUP($A649,$A$4:$O$27,10,0)*(HLOOKUP(U$627,'2.2.Brecha Efectiva x UdM'!$H$64:$AK$70,6,0))))</f>
        <v>0</v>
      </c>
      <c r="V649" s="31">
        <f>(VLOOKUP($A649,$A$458:$O$482,10,0)*(HLOOKUP(V$627,'2.2.Brecha Efectiva x UdM'!$H$86:$AK$92,6,0))+(VLOOKUP($A649,$A$4:$O$27,10,0)*(HLOOKUP(V$627,'2.2.Brecha Efectiva x UdM'!$H$64:$AK$70,6,0))))</f>
        <v>0</v>
      </c>
      <c r="W649" s="31">
        <f>(VLOOKUP($A649,$A$458:$O$482,10,0)*(HLOOKUP(W$627,'2.2.Brecha Efectiva x UdM'!$H$86:$AK$92,6,0))+(VLOOKUP($A649,$A$4:$O$27,10,0)*(HLOOKUP(W$627,'2.2.Brecha Efectiva x UdM'!$H$64:$AK$70,6,0))))</f>
        <v>0</v>
      </c>
      <c r="X649" s="31">
        <f>(VLOOKUP($A649,$A$458:$O$482,10,0)*(HLOOKUP(X$627,'2.2.Brecha Efectiva x UdM'!$H$86:$AK$92,6,0))+(VLOOKUP($A649,$A$4:$O$27,10,0)*(HLOOKUP(X$627,'2.2.Brecha Efectiva x UdM'!$H$64:$AK$70,6,0))))</f>
        <v>0</v>
      </c>
      <c r="Y649" s="31">
        <f>(VLOOKUP($A649,$A$458:$O$482,10,0)*(HLOOKUP(Y$627,'2.2.Brecha Efectiva x UdM'!$H$86:$AK$92,6,0))+(VLOOKUP($A649,$A$4:$O$27,10,0)*(HLOOKUP(Y$627,'2.2.Brecha Efectiva x UdM'!$H$64:$AK$70,6,0))))</f>
        <v>0</v>
      </c>
      <c r="Z649" s="31">
        <f>(VLOOKUP($A649,$A$458:$O$482,10,0)*(HLOOKUP(Z$627,'2.2.Brecha Efectiva x UdM'!$H$86:$AK$92,6,0))+(VLOOKUP($A649,$A$4:$O$27,10,0)*(HLOOKUP(Z$627,'2.2.Brecha Efectiva x UdM'!$H$64:$AK$70,6,0))))</f>
        <v>0</v>
      </c>
      <c r="AA649" s="31">
        <f>(VLOOKUP($A649,$A$458:$O$482,10,0)*(HLOOKUP(AA$627,'2.2.Brecha Efectiva x UdM'!$H$86:$AK$92,6,0))+(VLOOKUP($A649,$A$4:$O$27,10,0)*(HLOOKUP(AA$627,'2.2.Brecha Efectiva x UdM'!$H$64:$AK$70,6,0))))</f>
        <v>0</v>
      </c>
      <c r="AB649" s="31">
        <f>(VLOOKUP($A649,$A$458:$O$482,10,0)*(HLOOKUP(AB$627,'2.2.Brecha Efectiva x UdM'!$H$86:$AK$92,6,0))+(VLOOKUP($A649,$A$4:$O$27,10,0)*(HLOOKUP(AB$627,'2.2.Brecha Efectiva x UdM'!$H$64:$AK$70,6,0))))</f>
        <v>0</v>
      </c>
      <c r="AC649" s="31">
        <f>(VLOOKUP($A649,$A$458:$O$482,10,0)*(HLOOKUP(AC$627,'2.2.Brecha Efectiva x UdM'!$H$86:$AK$92,6,0))+(VLOOKUP($A649,$A$4:$O$27,10,0)*(HLOOKUP(AC$627,'2.2.Brecha Efectiva x UdM'!$H$64:$AK$70,6,0))))</f>
        <v>0</v>
      </c>
      <c r="AD649" s="31">
        <f>(VLOOKUP($A649,$A$458:$O$482,10,0)*(HLOOKUP(AD$627,'2.2.Brecha Efectiva x UdM'!$H$86:$AK$92,6,0))+(VLOOKUP($A649,$A$4:$O$27,10,0)*(HLOOKUP(AD$627,'2.2.Brecha Efectiva x UdM'!$H$64:$AK$70,6,0))))</f>
        <v>0</v>
      </c>
      <c r="AE649" s="31">
        <f>(VLOOKUP($A649,$A$458:$O$482,10,0)*(HLOOKUP(AE$627,'2.2.Brecha Efectiva x UdM'!$H$86:$AK$92,6,0))+(VLOOKUP($A649,$A$4:$O$27,10,0)*(HLOOKUP(AE$627,'2.2.Brecha Efectiva x UdM'!$H$64:$AK$70,6,0))))</f>
        <v>0</v>
      </c>
      <c r="AF649" s="31">
        <f>(VLOOKUP($A649,$A$458:$O$482,10,0)*(HLOOKUP(AF$627,'2.2.Brecha Efectiva x UdM'!$H$86:$AK$92,6,0))+(VLOOKUP($A649,$A$4:$O$27,10,0)*(HLOOKUP(AF$627,'2.2.Brecha Efectiva x UdM'!$H$64:$AK$70,6,0))))</f>
        <v>0</v>
      </c>
      <c r="AG649" s="31">
        <f>(VLOOKUP($A649,$A$458:$O$482,10,0)*(HLOOKUP(AG$627,'2.2.Brecha Efectiva x UdM'!$H$86:$AK$92,6,0))+(VLOOKUP($A649,$A$4:$O$27,10,0)*(HLOOKUP(AG$627,'2.2.Brecha Efectiva x UdM'!$H$64:$AK$70,6,0))))</f>
        <v>0</v>
      </c>
      <c r="AH649" s="63">
        <f t="shared" si="604"/>
        <v>0</v>
      </c>
    </row>
    <row r="650" spans="1:34" hidden="1" x14ac:dyDescent="0.2">
      <c r="A650" s="25" t="str">
        <f t="shared" si="601"/>
        <v>Tierra del Fuego</v>
      </c>
      <c r="B650" s="51">
        <f t="shared" si="602"/>
        <v>0</v>
      </c>
      <c r="C650" s="25" t="str">
        <f t="shared" si="603"/>
        <v>Tierra del Fuego 0</v>
      </c>
      <c r="D650" s="32">
        <f>(VLOOKUP($A650,$A$458:$O$482,10,0)*(HLOOKUP(D$627,'2.2.Brecha Efectiva x UdM'!$H$86:$AK$92,6,0))+(VLOOKUP($A650,$A$4:$O$27,10,0)*(HLOOKUP(D$627,'2.2.Brecha Efectiva x UdM'!$H$64:$AK$70,6,0))))</f>
        <v>0</v>
      </c>
      <c r="E650" s="32">
        <f>(VLOOKUP($A650,$A$458:$O$482,10,0)*(HLOOKUP(E$627,'2.2.Brecha Efectiva x UdM'!$H$86:$AK$92,6,0))+(VLOOKUP($A650,$A$4:$O$27,10,0)*(HLOOKUP(E$627,'2.2.Brecha Efectiva x UdM'!$H$64:$AK$70,6,0))))</f>
        <v>0</v>
      </c>
      <c r="F650" s="32">
        <f>(VLOOKUP($A650,$A$458:$O$482,10,0)*(HLOOKUP(F$627,'2.2.Brecha Efectiva x UdM'!$H$86:$AK$92,6,0))+(VLOOKUP($A650,$A$4:$O$27,10,0)*(HLOOKUP(F$627,'2.2.Brecha Efectiva x UdM'!$H$64:$AK$70,6,0))))</f>
        <v>0</v>
      </c>
      <c r="G650" s="32">
        <f>(VLOOKUP($A650,$A$458:$O$482,10,0)*(HLOOKUP(G$627,'2.2.Brecha Efectiva x UdM'!$H$86:$AK$92,6,0))+(VLOOKUP($A650,$A$4:$O$27,10,0)*(HLOOKUP(G$627,'2.2.Brecha Efectiva x UdM'!$H$64:$AK$70,6,0))))</f>
        <v>0</v>
      </c>
      <c r="H650" s="32">
        <f>(VLOOKUP($A650,$A$458:$O$482,10,0)*(HLOOKUP(H$627,'2.2.Brecha Efectiva x UdM'!$H$86:$AK$92,6,0))+(VLOOKUP($A650,$A$4:$O$27,10,0)*(HLOOKUP(H$627,'2.2.Brecha Efectiva x UdM'!$H$64:$AK$70,6,0))))</f>
        <v>0</v>
      </c>
      <c r="I650" s="32">
        <f>(VLOOKUP($A650,$A$458:$O$482,10,0)*(HLOOKUP(I$627,'2.2.Brecha Efectiva x UdM'!$H$86:$AK$92,6,0))+(VLOOKUP($A650,$A$4:$O$27,10,0)*(HLOOKUP(I$627,'2.2.Brecha Efectiva x UdM'!$H$64:$AK$70,6,0))))</f>
        <v>0</v>
      </c>
      <c r="J650" s="32">
        <f>(VLOOKUP($A650,$A$458:$O$482,10,0)*(HLOOKUP(J$627,'2.2.Brecha Efectiva x UdM'!$H$86:$AK$92,6,0))+(VLOOKUP($A650,$A$4:$O$27,10,0)*(HLOOKUP(J$627,'2.2.Brecha Efectiva x UdM'!$H$64:$AK$70,6,0))))</f>
        <v>0</v>
      </c>
      <c r="K650" s="32">
        <f>(VLOOKUP($A650,$A$458:$O$482,10,0)*(HLOOKUP(K$627,'2.2.Brecha Efectiva x UdM'!$H$86:$AK$92,6,0))+(VLOOKUP($A650,$A$4:$O$27,10,0)*(HLOOKUP(K$627,'2.2.Brecha Efectiva x UdM'!$H$64:$AK$70,6,0))))</f>
        <v>0</v>
      </c>
      <c r="L650" s="32">
        <f>(VLOOKUP($A650,$A$458:$O$482,10,0)*(HLOOKUP(L$627,'2.2.Brecha Efectiva x UdM'!$H$86:$AK$92,6,0))+(VLOOKUP($A650,$A$4:$O$27,10,0)*(HLOOKUP(L$627,'2.2.Brecha Efectiva x UdM'!$H$64:$AK$70,6,0))))</f>
        <v>0</v>
      </c>
      <c r="M650" s="32">
        <f>(VLOOKUP($A650,$A$458:$O$482,10,0)*(HLOOKUP(M$627,'2.2.Brecha Efectiva x UdM'!$H$86:$AK$92,6,0))+(VLOOKUP($A650,$A$4:$O$27,10,0)*(HLOOKUP(M$627,'2.2.Brecha Efectiva x UdM'!$H$64:$AK$70,6,0))))</f>
        <v>0</v>
      </c>
      <c r="N650" s="32">
        <f>(VLOOKUP($A650,$A$458:$O$482,10,0)*(HLOOKUP(N$627,'2.2.Brecha Efectiva x UdM'!$H$86:$AK$92,6,0))+(VLOOKUP($A650,$A$4:$O$27,10,0)*(HLOOKUP(N$627,'2.2.Brecha Efectiva x UdM'!$H$64:$AK$70,6,0))))</f>
        <v>0</v>
      </c>
      <c r="O650" s="32">
        <f>(VLOOKUP($A650,$A$458:$O$482,10,0)*(HLOOKUP(O$627,'2.2.Brecha Efectiva x UdM'!$H$86:$AK$92,6,0))+(VLOOKUP($A650,$A$4:$O$27,10,0)*(HLOOKUP(O$627,'2.2.Brecha Efectiva x UdM'!$H$64:$AK$70,6,0))))</f>
        <v>0</v>
      </c>
      <c r="P650" s="32">
        <f>(VLOOKUP($A650,$A$458:$O$482,10,0)*(HLOOKUP(P$627,'2.2.Brecha Efectiva x UdM'!$H$86:$AK$92,6,0))+(VLOOKUP($A650,$A$4:$O$27,10,0)*(HLOOKUP(P$627,'2.2.Brecha Efectiva x UdM'!$H$64:$AK$70,6,0))))</f>
        <v>0</v>
      </c>
      <c r="Q650" s="32">
        <f>(VLOOKUP($A650,$A$458:$O$482,10,0)*(HLOOKUP(Q$627,'2.2.Brecha Efectiva x UdM'!$H$86:$AK$92,6,0))+(VLOOKUP($A650,$A$4:$O$27,10,0)*(HLOOKUP(Q$627,'2.2.Brecha Efectiva x UdM'!$H$64:$AK$70,6,0))))</f>
        <v>0</v>
      </c>
      <c r="R650" s="32">
        <f>(VLOOKUP($A650,$A$458:$O$482,10,0)*(HLOOKUP(R$627,'2.2.Brecha Efectiva x UdM'!$H$86:$AK$92,6,0))+(VLOOKUP($A650,$A$4:$O$27,10,0)*(HLOOKUP(R$627,'2.2.Brecha Efectiva x UdM'!$H$64:$AK$70,6,0))))</f>
        <v>0</v>
      </c>
      <c r="S650" s="32">
        <f>(VLOOKUP($A650,$A$458:$O$482,10,0)*(HLOOKUP(S$627,'2.2.Brecha Efectiva x UdM'!$H$86:$AK$92,6,0))+(VLOOKUP($A650,$A$4:$O$27,10,0)*(HLOOKUP(S$627,'2.2.Brecha Efectiva x UdM'!$H$64:$AK$70,6,0))))</f>
        <v>0</v>
      </c>
      <c r="T650" s="32">
        <f>(VLOOKUP($A650,$A$458:$O$482,10,0)*(HLOOKUP(T$627,'2.2.Brecha Efectiva x UdM'!$H$86:$AK$92,6,0))+(VLOOKUP($A650,$A$4:$O$27,10,0)*(HLOOKUP(T$627,'2.2.Brecha Efectiva x UdM'!$H$64:$AK$70,6,0))))</f>
        <v>0</v>
      </c>
      <c r="U650" s="32">
        <f>(VLOOKUP($A650,$A$458:$O$482,10,0)*(HLOOKUP(U$627,'2.2.Brecha Efectiva x UdM'!$H$86:$AK$92,6,0))+(VLOOKUP($A650,$A$4:$O$27,10,0)*(HLOOKUP(U$627,'2.2.Brecha Efectiva x UdM'!$H$64:$AK$70,6,0))))</f>
        <v>0</v>
      </c>
      <c r="V650" s="32">
        <f>(VLOOKUP($A650,$A$458:$O$482,10,0)*(HLOOKUP(V$627,'2.2.Brecha Efectiva x UdM'!$H$86:$AK$92,6,0))+(VLOOKUP($A650,$A$4:$O$27,10,0)*(HLOOKUP(V$627,'2.2.Brecha Efectiva x UdM'!$H$64:$AK$70,6,0))))</f>
        <v>0</v>
      </c>
      <c r="W650" s="32">
        <f>(VLOOKUP($A650,$A$458:$O$482,10,0)*(HLOOKUP(W$627,'2.2.Brecha Efectiva x UdM'!$H$86:$AK$92,6,0))+(VLOOKUP($A650,$A$4:$O$27,10,0)*(HLOOKUP(W$627,'2.2.Brecha Efectiva x UdM'!$H$64:$AK$70,6,0))))</f>
        <v>0</v>
      </c>
      <c r="X650" s="32">
        <f>(VLOOKUP($A650,$A$458:$O$482,10,0)*(HLOOKUP(X$627,'2.2.Brecha Efectiva x UdM'!$H$86:$AK$92,6,0))+(VLOOKUP($A650,$A$4:$O$27,10,0)*(HLOOKUP(X$627,'2.2.Brecha Efectiva x UdM'!$H$64:$AK$70,6,0))))</f>
        <v>0</v>
      </c>
      <c r="Y650" s="32">
        <f>(VLOOKUP($A650,$A$458:$O$482,10,0)*(HLOOKUP(Y$627,'2.2.Brecha Efectiva x UdM'!$H$86:$AK$92,6,0))+(VLOOKUP($A650,$A$4:$O$27,10,0)*(HLOOKUP(Y$627,'2.2.Brecha Efectiva x UdM'!$H$64:$AK$70,6,0))))</f>
        <v>0</v>
      </c>
      <c r="Z650" s="32">
        <f>(VLOOKUP($A650,$A$458:$O$482,10,0)*(HLOOKUP(Z$627,'2.2.Brecha Efectiva x UdM'!$H$86:$AK$92,6,0))+(VLOOKUP($A650,$A$4:$O$27,10,0)*(HLOOKUP(Z$627,'2.2.Brecha Efectiva x UdM'!$H$64:$AK$70,6,0))))</f>
        <v>0</v>
      </c>
      <c r="AA650" s="32">
        <f>(VLOOKUP($A650,$A$458:$O$482,10,0)*(HLOOKUP(AA$627,'2.2.Brecha Efectiva x UdM'!$H$86:$AK$92,6,0))+(VLOOKUP($A650,$A$4:$O$27,10,0)*(HLOOKUP(AA$627,'2.2.Brecha Efectiva x UdM'!$H$64:$AK$70,6,0))))</f>
        <v>0</v>
      </c>
      <c r="AB650" s="32">
        <f>(VLOOKUP($A650,$A$458:$O$482,10,0)*(HLOOKUP(AB$627,'2.2.Brecha Efectiva x UdM'!$H$86:$AK$92,6,0))+(VLOOKUP($A650,$A$4:$O$27,10,0)*(HLOOKUP(AB$627,'2.2.Brecha Efectiva x UdM'!$H$64:$AK$70,6,0))))</f>
        <v>0</v>
      </c>
      <c r="AC650" s="32">
        <f>(VLOOKUP($A650,$A$458:$O$482,10,0)*(HLOOKUP(AC$627,'2.2.Brecha Efectiva x UdM'!$H$86:$AK$92,6,0))+(VLOOKUP($A650,$A$4:$O$27,10,0)*(HLOOKUP(AC$627,'2.2.Brecha Efectiva x UdM'!$H$64:$AK$70,6,0))))</f>
        <v>0</v>
      </c>
      <c r="AD650" s="32">
        <f>(VLOOKUP($A650,$A$458:$O$482,10,0)*(HLOOKUP(AD$627,'2.2.Brecha Efectiva x UdM'!$H$86:$AK$92,6,0))+(VLOOKUP($A650,$A$4:$O$27,10,0)*(HLOOKUP(AD$627,'2.2.Brecha Efectiva x UdM'!$H$64:$AK$70,6,0))))</f>
        <v>0</v>
      </c>
      <c r="AE650" s="32">
        <f>(VLOOKUP($A650,$A$458:$O$482,10,0)*(HLOOKUP(AE$627,'2.2.Brecha Efectiva x UdM'!$H$86:$AK$92,6,0))+(VLOOKUP($A650,$A$4:$O$27,10,0)*(HLOOKUP(AE$627,'2.2.Brecha Efectiva x UdM'!$H$64:$AK$70,6,0))))</f>
        <v>0</v>
      </c>
      <c r="AF650" s="32">
        <f>(VLOOKUP($A650,$A$458:$O$482,10,0)*(HLOOKUP(AF$627,'2.2.Brecha Efectiva x UdM'!$H$86:$AK$92,6,0))+(VLOOKUP($A650,$A$4:$O$27,10,0)*(HLOOKUP(AF$627,'2.2.Brecha Efectiva x UdM'!$H$64:$AK$70,6,0))))</f>
        <v>0</v>
      </c>
      <c r="AG650" s="32">
        <f>(VLOOKUP($A650,$A$458:$O$482,10,0)*(HLOOKUP(AG$627,'2.2.Brecha Efectiva x UdM'!$H$86:$AK$92,6,0))+(VLOOKUP($A650,$A$4:$O$27,10,0)*(HLOOKUP(AG$627,'2.2.Brecha Efectiva x UdM'!$H$64:$AK$70,6,0))))</f>
        <v>0</v>
      </c>
      <c r="AH650" s="62">
        <f t="shared" si="604"/>
        <v>0</v>
      </c>
    </row>
    <row r="651" spans="1:34" hidden="1" x14ac:dyDescent="0.2">
      <c r="A651" s="26" t="str">
        <f t="shared" si="601"/>
        <v>Tucumán</v>
      </c>
      <c r="B651" s="52">
        <f t="shared" si="602"/>
        <v>0</v>
      </c>
      <c r="C651" s="26" t="str">
        <f t="shared" si="603"/>
        <v>Tucumán 0</v>
      </c>
      <c r="D651" s="31">
        <f>(VLOOKUP($A651,$A$458:$O$482,10,0)*(HLOOKUP(D$627,'2.2.Brecha Efectiva x UdM'!$H$86:$AK$92,6,0))+(VLOOKUP($A651,$A$4:$O$27,10,0)*(HLOOKUP(D$627,'2.2.Brecha Efectiva x UdM'!$H$64:$AK$70,6,0))))</f>
        <v>0</v>
      </c>
      <c r="E651" s="31">
        <f>(VLOOKUP($A651,$A$458:$O$482,10,0)*(HLOOKUP(E$627,'2.2.Brecha Efectiva x UdM'!$H$86:$AK$92,6,0))+(VLOOKUP($A651,$A$4:$O$27,10,0)*(HLOOKUP(E$627,'2.2.Brecha Efectiva x UdM'!$H$64:$AK$70,6,0))))</f>
        <v>0</v>
      </c>
      <c r="F651" s="31">
        <f>(VLOOKUP($A651,$A$458:$O$482,10,0)*(HLOOKUP(F$627,'2.2.Brecha Efectiva x UdM'!$H$86:$AK$92,6,0))+(VLOOKUP($A651,$A$4:$O$27,10,0)*(HLOOKUP(F$627,'2.2.Brecha Efectiva x UdM'!$H$64:$AK$70,6,0))))</f>
        <v>0</v>
      </c>
      <c r="G651" s="31">
        <f>(VLOOKUP($A651,$A$458:$O$482,10,0)*(HLOOKUP(G$627,'2.2.Brecha Efectiva x UdM'!$H$86:$AK$92,6,0))+(VLOOKUP($A651,$A$4:$O$27,10,0)*(HLOOKUP(G$627,'2.2.Brecha Efectiva x UdM'!$H$64:$AK$70,6,0))))</f>
        <v>0</v>
      </c>
      <c r="H651" s="31">
        <f>(VLOOKUP($A651,$A$458:$O$482,10,0)*(HLOOKUP(H$627,'2.2.Brecha Efectiva x UdM'!$H$86:$AK$92,6,0))+(VLOOKUP($A651,$A$4:$O$27,10,0)*(HLOOKUP(H$627,'2.2.Brecha Efectiva x UdM'!$H$64:$AK$70,6,0))))</f>
        <v>0</v>
      </c>
      <c r="I651" s="31">
        <f>(VLOOKUP($A651,$A$458:$O$482,10,0)*(HLOOKUP(I$627,'2.2.Brecha Efectiva x UdM'!$H$86:$AK$92,6,0))+(VLOOKUP($A651,$A$4:$O$27,10,0)*(HLOOKUP(I$627,'2.2.Brecha Efectiva x UdM'!$H$64:$AK$70,6,0))))</f>
        <v>0</v>
      </c>
      <c r="J651" s="31">
        <f>(VLOOKUP($A651,$A$458:$O$482,10,0)*(HLOOKUP(J$627,'2.2.Brecha Efectiva x UdM'!$H$86:$AK$92,6,0))+(VLOOKUP($A651,$A$4:$O$27,10,0)*(HLOOKUP(J$627,'2.2.Brecha Efectiva x UdM'!$H$64:$AK$70,6,0))))</f>
        <v>0</v>
      </c>
      <c r="K651" s="31">
        <f>(VLOOKUP($A651,$A$458:$O$482,10,0)*(HLOOKUP(K$627,'2.2.Brecha Efectiva x UdM'!$H$86:$AK$92,6,0))+(VLOOKUP($A651,$A$4:$O$27,10,0)*(HLOOKUP(K$627,'2.2.Brecha Efectiva x UdM'!$H$64:$AK$70,6,0))))</f>
        <v>0</v>
      </c>
      <c r="L651" s="31">
        <f>(VLOOKUP($A651,$A$458:$O$482,10,0)*(HLOOKUP(L$627,'2.2.Brecha Efectiva x UdM'!$H$86:$AK$92,6,0))+(VLOOKUP($A651,$A$4:$O$27,10,0)*(HLOOKUP(L$627,'2.2.Brecha Efectiva x UdM'!$H$64:$AK$70,6,0))))</f>
        <v>0</v>
      </c>
      <c r="M651" s="31">
        <f>(VLOOKUP($A651,$A$458:$O$482,10,0)*(HLOOKUP(M$627,'2.2.Brecha Efectiva x UdM'!$H$86:$AK$92,6,0))+(VLOOKUP($A651,$A$4:$O$27,10,0)*(HLOOKUP(M$627,'2.2.Brecha Efectiva x UdM'!$H$64:$AK$70,6,0))))</f>
        <v>0</v>
      </c>
      <c r="N651" s="31">
        <f>(VLOOKUP($A651,$A$458:$O$482,10,0)*(HLOOKUP(N$627,'2.2.Brecha Efectiva x UdM'!$H$86:$AK$92,6,0))+(VLOOKUP($A651,$A$4:$O$27,10,0)*(HLOOKUP(N$627,'2.2.Brecha Efectiva x UdM'!$H$64:$AK$70,6,0))))</f>
        <v>0</v>
      </c>
      <c r="O651" s="31">
        <f>(VLOOKUP($A651,$A$458:$O$482,10,0)*(HLOOKUP(O$627,'2.2.Brecha Efectiva x UdM'!$H$86:$AK$92,6,0))+(VLOOKUP($A651,$A$4:$O$27,10,0)*(HLOOKUP(O$627,'2.2.Brecha Efectiva x UdM'!$H$64:$AK$70,6,0))))</f>
        <v>0</v>
      </c>
      <c r="P651" s="31">
        <f>(VLOOKUP($A651,$A$458:$O$482,10,0)*(HLOOKUP(P$627,'2.2.Brecha Efectiva x UdM'!$H$86:$AK$92,6,0))+(VLOOKUP($A651,$A$4:$O$27,10,0)*(HLOOKUP(P$627,'2.2.Brecha Efectiva x UdM'!$H$64:$AK$70,6,0))))</f>
        <v>0</v>
      </c>
      <c r="Q651" s="31">
        <f>(VLOOKUP($A651,$A$458:$O$482,10,0)*(HLOOKUP(Q$627,'2.2.Brecha Efectiva x UdM'!$H$86:$AK$92,6,0))+(VLOOKUP($A651,$A$4:$O$27,10,0)*(HLOOKUP(Q$627,'2.2.Brecha Efectiva x UdM'!$H$64:$AK$70,6,0))))</f>
        <v>0</v>
      </c>
      <c r="R651" s="31">
        <f>(VLOOKUP($A651,$A$458:$O$482,10,0)*(HLOOKUP(R$627,'2.2.Brecha Efectiva x UdM'!$H$86:$AK$92,6,0))+(VLOOKUP($A651,$A$4:$O$27,10,0)*(HLOOKUP(R$627,'2.2.Brecha Efectiva x UdM'!$H$64:$AK$70,6,0))))</f>
        <v>0</v>
      </c>
      <c r="S651" s="31">
        <f>(VLOOKUP($A651,$A$458:$O$482,10,0)*(HLOOKUP(S$627,'2.2.Brecha Efectiva x UdM'!$H$86:$AK$92,6,0))+(VLOOKUP($A651,$A$4:$O$27,10,0)*(HLOOKUP(S$627,'2.2.Brecha Efectiva x UdM'!$H$64:$AK$70,6,0))))</f>
        <v>0</v>
      </c>
      <c r="T651" s="31">
        <f>(VLOOKUP($A651,$A$458:$O$482,10,0)*(HLOOKUP(T$627,'2.2.Brecha Efectiva x UdM'!$H$86:$AK$92,6,0))+(VLOOKUP($A651,$A$4:$O$27,10,0)*(HLOOKUP(T$627,'2.2.Brecha Efectiva x UdM'!$H$64:$AK$70,6,0))))</f>
        <v>0</v>
      </c>
      <c r="U651" s="31">
        <f>(VLOOKUP($A651,$A$458:$O$482,10,0)*(HLOOKUP(U$627,'2.2.Brecha Efectiva x UdM'!$H$86:$AK$92,6,0))+(VLOOKUP($A651,$A$4:$O$27,10,0)*(HLOOKUP(U$627,'2.2.Brecha Efectiva x UdM'!$H$64:$AK$70,6,0))))</f>
        <v>0</v>
      </c>
      <c r="V651" s="31">
        <f>(VLOOKUP($A651,$A$458:$O$482,10,0)*(HLOOKUP(V$627,'2.2.Brecha Efectiva x UdM'!$H$86:$AK$92,6,0))+(VLOOKUP($A651,$A$4:$O$27,10,0)*(HLOOKUP(V$627,'2.2.Brecha Efectiva x UdM'!$H$64:$AK$70,6,0))))</f>
        <v>0</v>
      </c>
      <c r="W651" s="31">
        <f>(VLOOKUP($A651,$A$458:$O$482,10,0)*(HLOOKUP(W$627,'2.2.Brecha Efectiva x UdM'!$H$86:$AK$92,6,0))+(VLOOKUP($A651,$A$4:$O$27,10,0)*(HLOOKUP(W$627,'2.2.Brecha Efectiva x UdM'!$H$64:$AK$70,6,0))))</f>
        <v>0</v>
      </c>
      <c r="X651" s="31">
        <f>(VLOOKUP($A651,$A$458:$O$482,10,0)*(HLOOKUP(X$627,'2.2.Brecha Efectiva x UdM'!$H$86:$AK$92,6,0))+(VLOOKUP($A651,$A$4:$O$27,10,0)*(HLOOKUP(X$627,'2.2.Brecha Efectiva x UdM'!$H$64:$AK$70,6,0))))</f>
        <v>0</v>
      </c>
      <c r="Y651" s="31">
        <f>(VLOOKUP($A651,$A$458:$O$482,10,0)*(HLOOKUP(Y$627,'2.2.Brecha Efectiva x UdM'!$H$86:$AK$92,6,0))+(VLOOKUP($A651,$A$4:$O$27,10,0)*(HLOOKUP(Y$627,'2.2.Brecha Efectiva x UdM'!$H$64:$AK$70,6,0))))</f>
        <v>0</v>
      </c>
      <c r="Z651" s="31">
        <f>(VLOOKUP($A651,$A$458:$O$482,10,0)*(HLOOKUP(Z$627,'2.2.Brecha Efectiva x UdM'!$H$86:$AK$92,6,0))+(VLOOKUP($A651,$A$4:$O$27,10,0)*(HLOOKUP(Z$627,'2.2.Brecha Efectiva x UdM'!$H$64:$AK$70,6,0))))</f>
        <v>0</v>
      </c>
      <c r="AA651" s="31">
        <f>(VLOOKUP($A651,$A$458:$O$482,10,0)*(HLOOKUP(AA$627,'2.2.Brecha Efectiva x UdM'!$H$86:$AK$92,6,0))+(VLOOKUP($A651,$A$4:$O$27,10,0)*(HLOOKUP(AA$627,'2.2.Brecha Efectiva x UdM'!$H$64:$AK$70,6,0))))</f>
        <v>0</v>
      </c>
      <c r="AB651" s="31">
        <f>(VLOOKUP($A651,$A$458:$O$482,10,0)*(HLOOKUP(AB$627,'2.2.Brecha Efectiva x UdM'!$H$86:$AK$92,6,0))+(VLOOKUP($A651,$A$4:$O$27,10,0)*(HLOOKUP(AB$627,'2.2.Brecha Efectiva x UdM'!$H$64:$AK$70,6,0))))</f>
        <v>0</v>
      </c>
      <c r="AC651" s="31">
        <f>(VLOOKUP($A651,$A$458:$O$482,10,0)*(HLOOKUP(AC$627,'2.2.Brecha Efectiva x UdM'!$H$86:$AK$92,6,0))+(VLOOKUP($A651,$A$4:$O$27,10,0)*(HLOOKUP(AC$627,'2.2.Brecha Efectiva x UdM'!$H$64:$AK$70,6,0))))</f>
        <v>0</v>
      </c>
      <c r="AD651" s="31">
        <f>(VLOOKUP($A651,$A$458:$O$482,10,0)*(HLOOKUP(AD$627,'2.2.Brecha Efectiva x UdM'!$H$86:$AK$92,6,0))+(VLOOKUP($A651,$A$4:$O$27,10,0)*(HLOOKUP(AD$627,'2.2.Brecha Efectiva x UdM'!$H$64:$AK$70,6,0))))</f>
        <v>0</v>
      </c>
      <c r="AE651" s="31">
        <f>(VLOOKUP($A651,$A$458:$O$482,10,0)*(HLOOKUP(AE$627,'2.2.Brecha Efectiva x UdM'!$H$86:$AK$92,6,0))+(VLOOKUP($A651,$A$4:$O$27,10,0)*(HLOOKUP(AE$627,'2.2.Brecha Efectiva x UdM'!$H$64:$AK$70,6,0))))</f>
        <v>0</v>
      </c>
      <c r="AF651" s="31">
        <f>(VLOOKUP($A651,$A$458:$O$482,10,0)*(HLOOKUP(AF$627,'2.2.Brecha Efectiva x UdM'!$H$86:$AK$92,6,0))+(VLOOKUP($A651,$A$4:$O$27,10,0)*(HLOOKUP(AF$627,'2.2.Brecha Efectiva x UdM'!$H$64:$AK$70,6,0))))</f>
        <v>0</v>
      </c>
      <c r="AG651" s="31">
        <f>(VLOOKUP($A651,$A$458:$O$482,10,0)*(HLOOKUP(AG$627,'2.2.Brecha Efectiva x UdM'!$H$86:$AK$92,6,0))+(VLOOKUP($A651,$A$4:$O$27,10,0)*(HLOOKUP(AG$627,'2.2.Brecha Efectiva x UdM'!$H$64:$AK$70,6,0))))</f>
        <v>0</v>
      </c>
      <c r="AH651" s="63">
        <f t="shared" si="604"/>
        <v>0</v>
      </c>
    </row>
    <row r="652" spans="1:34" hidden="1" x14ac:dyDescent="0.2">
      <c r="A652" s="34" t="str">
        <f>CONCATENATE("Total"," ",B628)</f>
        <v>Total 0</v>
      </c>
      <c r="B652" s="29"/>
      <c r="C652" s="13"/>
      <c r="D652" s="13">
        <f>SUM(D628:D651)</f>
        <v>0</v>
      </c>
      <c r="E652" s="13">
        <f t="shared" ref="E652:AG652" si="605">SUM(E628:E651)</f>
        <v>0</v>
      </c>
      <c r="F652" s="13">
        <f t="shared" si="605"/>
        <v>0</v>
      </c>
      <c r="G652" s="13">
        <f t="shared" si="605"/>
        <v>0</v>
      </c>
      <c r="H652" s="13">
        <f t="shared" si="605"/>
        <v>0</v>
      </c>
      <c r="I652" s="13">
        <f t="shared" si="605"/>
        <v>0</v>
      </c>
      <c r="J652" s="13">
        <f t="shared" si="605"/>
        <v>0</v>
      </c>
      <c r="K652" s="13">
        <f t="shared" si="605"/>
        <v>0</v>
      </c>
      <c r="L652" s="13">
        <f t="shared" si="605"/>
        <v>0</v>
      </c>
      <c r="M652" s="13">
        <f t="shared" si="605"/>
        <v>0</v>
      </c>
      <c r="N652" s="13">
        <f t="shared" si="605"/>
        <v>0</v>
      </c>
      <c r="O652" s="13">
        <f t="shared" si="605"/>
        <v>0</v>
      </c>
      <c r="P652" s="13">
        <f t="shared" si="605"/>
        <v>0</v>
      </c>
      <c r="Q652" s="13">
        <f t="shared" si="605"/>
        <v>0</v>
      </c>
      <c r="R652" s="13">
        <f t="shared" si="605"/>
        <v>0</v>
      </c>
      <c r="S652" s="13">
        <f t="shared" si="605"/>
        <v>0</v>
      </c>
      <c r="T652" s="13">
        <f t="shared" si="605"/>
        <v>0</v>
      </c>
      <c r="U652" s="13">
        <f t="shared" si="605"/>
        <v>0</v>
      </c>
      <c r="V652" s="13">
        <f t="shared" si="605"/>
        <v>0</v>
      </c>
      <c r="W652" s="13">
        <f t="shared" si="605"/>
        <v>0</v>
      </c>
      <c r="X652" s="13">
        <f t="shared" si="605"/>
        <v>0</v>
      </c>
      <c r="Y652" s="13">
        <f t="shared" si="605"/>
        <v>0</v>
      </c>
      <c r="Z652" s="13">
        <f t="shared" si="605"/>
        <v>0</v>
      </c>
      <c r="AA652" s="13">
        <f t="shared" si="605"/>
        <v>0</v>
      </c>
      <c r="AB652" s="13">
        <f t="shared" si="605"/>
        <v>0</v>
      </c>
      <c r="AC652" s="13">
        <f t="shared" si="605"/>
        <v>0</v>
      </c>
      <c r="AD652" s="13">
        <f t="shared" si="605"/>
        <v>0</v>
      </c>
      <c r="AE652" s="13">
        <f t="shared" si="605"/>
        <v>0</v>
      </c>
      <c r="AF652" s="13">
        <f t="shared" si="605"/>
        <v>0</v>
      </c>
      <c r="AG652" s="13">
        <f t="shared" si="605"/>
        <v>0</v>
      </c>
      <c r="AH652" s="13">
        <f t="shared" si="604"/>
        <v>0</v>
      </c>
    </row>
    <row r="653" spans="1:34" hidden="1" x14ac:dyDescent="0.2">
      <c r="A653" s="34" t="str">
        <f>CONCATENATE("Total Acumulado"," ",B628)</f>
        <v>Total Acumulado 0</v>
      </c>
      <c r="B653" s="29"/>
      <c r="C653" s="13"/>
      <c r="D653" s="13">
        <f>D652</f>
        <v>0</v>
      </c>
      <c r="E653" s="13">
        <f>E652+D653</f>
        <v>0</v>
      </c>
      <c r="F653" s="13">
        <f t="shared" ref="F653" si="606">F652+E653</f>
        <v>0</v>
      </c>
      <c r="G653" s="13">
        <f t="shared" ref="G653" si="607">G652+F653</f>
        <v>0</v>
      </c>
      <c r="H653" s="13">
        <f t="shared" ref="H653" si="608">H652+G653</f>
        <v>0</v>
      </c>
      <c r="I653" s="13">
        <f t="shared" ref="I653" si="609">I652+H653</f>
        <v>0</v>
      </c>
      <c r="J653" s="13">
        <f t="shared" ref="J653" si="610">J652+I653</f>
        <v>0</v>
      </c>
      <c r="K653" s="13">
        <f t="shared" ref="K653" si="611">K652+J653</f>
        <v>0</v>
      </c>
      <c r="L653" s="13">
        <f t="shared" ref="L653" si="612">L652+K653</f>
        <v>0</v>
      </c>
      <c r="M653" s="13">
        <f t="shared" ref="M653" si="613">M652+L653</f>
        <v>0</v>
      </c>
      <c r="N653" s="13">
        <f t="shared" ref="N653" si="614">N652+M653</f>
        <v>0</v>
      </c>
      <c r="O653" s="13">
        <f t="shared" ref="O653" si="615">O652+N653</f>
        <v>0</v>
      </c>
      <c r="P653" s="13">
        <f t="shared" ref="P653" si="616">P652+O653</f>
        <v>0</v>
      </c>
      <c r="Q653" s="13">
        <f t="shared" ref="Q653" si="617">Q652+P653</f>
        <v>0</v>
      </c>
      <c r="R653" s="13">
        <f t="shared" ref="R653" si="618">R652+Q653</f>
        <v>0</v>
      </c>
      <c r="S653" s="13">
        <f t="shared" ref="S653" si="619">S652+R653</f>
        <v>0</v>
      </c>
      <c r="T653" s="13">
        <f t="shared" ref="T653" si="620">T652+S653</f>
        <v>0</v>
      </c>
      <c r="U653" s="13">
        <f t="shared" ref="U653" si="621">U652+T653</f>
        <v>0</v>
      </c>
      <c r="V653" s="13">
        <f t="shared" ref="V653" si="622">V652+U653</f>
        <v>0</v>
      </c>
      <c r="W653" s="13">
        <f t="shared" ref="W653" si="623">W652+V653</f>
        <v>0</v>
      </c>
      <c r="X653" s="13">
        <f t="shared" ref="X653" si="624">X652+W653</f>
        <v>0</v>
      </c>
      <c r="Y653" s="13">
        <f t="shared" ref="Y653" si="625">Y652+X653</f>
        <v>0</v>
      </c>
      <c r="Z653" s="13">
        <f t="shared" ref="Z653" si="626">Z652+Y653</f>
        <v>0</v>
      </c>
      <c r="AA653" s="13">
        <f t="shared" ref="AA653" si="627">AA652+Z653</f>
        <v>0</v>
      </c>
      <c r="AB653" s="13">
        <f t="shared" ref="AB653" si="628">AB652+AA653</f>
        <v>0</v>
      </c>
      <c r="AC653" s="13">
        <f t="shared" ref="AC653" si="629">AC652+AB653</f>
        <v>0</v>
      </c>
      <c r="AD653" s="13">
        <f t="shared" ref="AD653" si="630">AD652+AC653</f>
        <v>0</v>
      </c>
      <c r="AE653" s="13">
        <f t="shared" ref="AE653" si="631">AE652+AD653</f>
        <v>0</v>
      </c>
      <c r="AF653" s="13">
        <f t="shared" ref="AF653" si="632">AF652+AE653</f>
        <v>0</v>
      </c>
      <c r="AG653" s="13">
        <f t="shared" ref="AG653" si="633">AG652+AF653</f>
        <v>0</v>
      </c>
    </row>
    <row r="654" spans="1:34" hidden="1" x14ac:dyDescent="0.2"/>
    <row r="655" spans="1:34" hidden="1" x14ac:dyDescent="0.2">
      <c r="A655" s="33" t="s">
        <v>41</v>
      </c>
      <c r="D655" t="b">
        <f>D652='2.2.Brecha Efectiva x UdM'!H107</f>
        <v>1</v>
      </c>
      <c r="E655" t="b">
        <f>E652='2.2.Brecha Efectiva x UdM'!I107</f>
        <v>1</v>
      </c>
      <c r="F655" t="b">
        <f>F652='2.2.Brecha Efectiva x UdM'!J107</f>
        <v>1</v>
      </c>
      <c r="G655" t="b">
        <f>G652='2.2.Brecha Efectiva x UdM'!K107</f>
        <v>1</v>
      </c>
      <c r="H655" t="b">
        <f>H652='2.2.Brecha Efectiva x UdM'!L107</f>
        <v>1</v>
      </c>
      <c r="I655" t="b">
        <f>I652='2.2.Brecha Efectiva x UdM'!M107</f>
        <v>1</v>
      </c>
      <c r="J655" t="b">
        <f>J652='2.2.Brecha Efectiva x UdM'!N107</f>
        <v>1</v>
      </c>
      <c r="L655" s="23"/>
      <c r="M655" s="33"/>
    </row>
    <row r="656" spans="1:34" hidden="1" x14ac:dyDescent="0.2">
      <c r="J656" t="b">
        <f>AG653=SUM('2.2.Brecha Efectiva x UdM'!H107:AK107)</f>
        <v>1</v>
      </c>
      <c r="L656" s="23"/>
    </row>
    <row r="657" spans="1:34" hidden="1" x14ac:dyDescent="0.2"/>
    <row r="658" spans="1:34" hidden="1" x14ac:dyDescent="0.2">
      <c r="A658" s="46" t="s">
        <v>88</v>
      </c>
    </row>
    <row r="659" spans="1:34" hidden="1" x14ac:dyDescent="0.2"/>
    <row r="660" spans="1:34" hidden="1" x14ac:dyDescent="0.2">
      <c r="A660" s="24" t="s">
        <v>18</v>
      </c>
      <c r="B660" s="24" t="s">
        <v>42</v>
      </c>
      <c r="C660" s="24" t="s">
        <v>43</v>
      </c>
      <c r="D660" s="6">
        <v>2024</v>
      </c>
      <c r="E660" s="6">
        <v>2025</v>
      </c>
      <c r="F660" s="6">
        <v>2026</v>
      </c>
      <c r="G660" s="6">
        <v>2027</v>
      </c>
      <c r="H660" s="6">
        <v>2028</v>
      </c>
      <c r="I660" s="6">
        <v>2029</v>
      </c>
      <c r="J660" s="6">
        <v>2030</v>
      </c>
      <c r="K660" s="6">
        <v>2031</v>
      </c>
      <c r="L660" s="6">
        <v>2032</v>
      </c>
      <c r="M660" s="6">
        <v>2033</v>
      </c>
      <c r="N660" s="50">
        <v>2034</v>
      </c>
      <c r="O660" s="50">
        <v>2035</v>
      </c>
      <c r="P660" s="50">
        <v>2036</v>
      </c>
      <c r="Q660" s="50">
        <v>2037</v>
      </c>
      <c r="R660" s="50">
        <v>2038</v>
      </c>
      <c r="S660" s="50">
        <v>2039</v>
      </c>
      <c r="T660" s="50">
        <v>2040</v>
      </c>
      <c r="U660" s="50">
        <v>2041</v>
      </c>
      <c r="V660" s="50">
        <v>2042</v>
      </c>
      <c r="W660" s="50">
        <v>2043</v>
      </c>
      <c r="X660" s="50">
        <v>2044</v>
      </c>
      <c r="Y660" s="50">
        <v>2045</v>
      </c>
      <c r="Z660" s="50">
        <v>2046</v>
      </c>
      <c r="AA660" s="50">
        <v>2047</v>
      </c>
      <c r="AB660" s="50">
        <v>2048</v>
      </c>
      <c r="AC660" s="50">
        <v>2049</v>
      </c>
      <c r="AD660" s="50">
        <v>2050</v>
      </c>
      <c r="AE660" s="50">
        <v>2051</v>
      </c>
      <c r="AF660" s="50">
        <v>2052</v>
      </c>
      <c r="AG660" s="50">
        <v>2053</v>
      </c>
      <c r="AH660" s="6" t="s">
        <v>1</v>
      </c>
    </row>
    <row r="661" spans="1:34" hidden="1" x14ac:dyDescent="0.2">
      <c r="A661" s="25" t="str">
        <f t="shared" ref="A661:A684" si="634">A48</f>
        <v>Buenos Aires</v>
      </c>
      <c r="B661" s="51">
        <f>$M$3</f>
        <v>0</v>
      </c>
      <c r="C661" s="25" t="str">
        <f>CONCATENATE(A661," ",B661)</f>
        <v>Buenos Aires 0</v>
      </c>
      <c r="D661" s="32">
        <f>(VLOOKUP($A661,$A$458:$O$482,12,0)*(HLOOKUP(D$660,'2.2.Brecha Efectiva x UdM'!$H$86:$AK$92,7,0))+(VLOOKUP($A661,$A$4:$O$27,12,0)*(HLOOKUP(D$660,'2.2.Brecha Efectiva x UdM'!$H$64:$AK$70,7,0))))</f>
        <v>0</v>
      </c>
      <c r="E661" s="32">
        <f>(VLOOKUP($A661,$A$458:$O$482,12,0)*(HLOOKUP(E$660,'2.2.Brecha Efectiva x UdM'!$H$86:$AK$92,7,0))+(VLOOKUP($A661,$A$4:$O$27,12,0)*(HLOOKUP(E$660,'2.2.Brecha Efectiva x UdM'!$H$64:$AK$70,7,0))))</f>
        <v>0</v>
      </c>
      <c r="F661" s="32">
        <f>(VLOOKUP($A661,$A$458:$O$482,12,0)*(HLOOKUP(F$660,'2.2.Brecha Efectiva x UdM'!$H$86:$AK$92,7,0))+(VLOOKUP($A661,$A$4:$O$27,12,0)*(HLOOKUP(F$660,'2.2.Brecha Efectiva x UdM'!$H$64:$AK$70,7,0))))</f>
        <v>0</v>
      </c>
      <c r="G661" s="32">
        <f>(VLOOKUP($A661,$A$458:$O$482,12,0)*(HLOOKUP(G$660,'2.2.Brecha Efectiva x UdM'!$H$86:$AK$92,7,0))+(VLOOKUP($A661,$A$4:$O$27,12,0)*(HLOOKUP(G$660,'2.2.Brecha Efectiva x UdM'!$H$64:$AK$70,7,0))))</f>
        <v>0</v>
      </c>
      <c r="H661" s="32">
        <f>(VLOOKUP($A661,$A$458:$O$482,12,0)*(HLOOKUP(H$660,'2.2.Brecha Efectiva x UdM'!$H$86:$AK$92,7,0))+(VLOOKUP($A661,$A$4:$O$27,12,0)*(HLOOKUP(H$660,'2.2.Brecha Efectiva x UdM'!$H$64:$AK$70,7,0))))</f>
        <v>0</v>
      </c>
      <c r="I661" s="32">
        <f>(VLOOKUP($A661,$A$458:$O$482,12,0)*(HLOOKUP(I$660,'2.2.Brecha Efectiva x UdM'!$H$86:$AK$92,7,0))+(VLOOKUP($A661,$A$4:$O$27,12,0)*(HLOOKUP(I$660,'2.2.Brecha Efectiva x UdM'!$H$64:$AK$70,7,0))))</f>
        <v>0</v>
      </c>
      <c r="J661" s="32">
        <f>(VLOOKUP($A661,$A$458:$O$482,12,0)*(HLOOKUP(J$660,'2.2.Brecha Efectiva x UdM'!$H$86:$AK$92,7,0))+(VLOOKUP($A661,$A$4:$O$27,12,0)*(HLOOKUP(J$660,'2.2.Brecha Efectiva x UdM'!$H$64:$AK$70,7,0))))</f>
        <v>0</v>
      </c>
      <c r="K661" s="32">
        <f>(VLOOKUP($A661,$A$458:$O$482,12,0)*(HLOOKUP(K$660,'2.2.Brecha Efectiva x UdM'!$H$86:$AK$92,7,0))+(VLOOKUP($A661,$A$4:$O$27,12,0)*(HLOOKUP(K$660,'2.2.Brecha Efectiva x UdM'!$H$64:$AK$70,7,0))))</f>
        <v>0</v>
      </c>
      <c r="L661" s="32">
        <f>(VLOOKUP($A661,$A$458:$O$482,12,0)*(HLOOKUP(L$660,'2.2.Brecha Efectiva x UdM'!$H$86:$AK$92,7,0))+(VLOOKUP($A661,$A$4:$O$27,12,0)*(HLOOKUP(L$660,'2.2.Brecha Efectiva x UdM'!$H$64:$AK$70,7,0))))</f>
        <v>0</v>
      </c>
      <c r="M661" s="32">
        <f>(VLOOKUP($A661,$A$458:$O$482,12,0)*(HLOOKUP(M$660,'2.2.Brecha Efectiva x UdM'!$H$86:$AK$92,7,0))+(VLOOKUP($A661,$A$4:$O$27,12,0)*(HLOOKUP(M$660,'2.2.Brecha Efectiva x UdM'!$H$64:$AK$70,7,0))))</f>
        <v>0</v>
      </c>
      <c r="N661" s="32">
        <f>(VLOOKUP($A661,$A$458:$O$482,12,0)*(HLOOKUP(N$660,'2.2.Brecha Efectiva x UdM'!$H$86:$AK$92,7,0))+(VLOOKUP($A661,$A$4:$O$27,12,0)*(HLOOKUP(N$660,'2.2.Brecha Efectiva x UdM'!$H$64:$AK$70,7,0))))</f>
        <v>0</v>
      </c>
      <c r="O661" s="32">
        <f>(VLOOKUP($A661,$A$458:$O$482,12,0)*(HLOOKUP(O$660,'2.2.Brecha Efectiva x UdM'!$H$86:$AK$92,7,0))+(VLOOKUP($A661,$A$4:$O$27,12,0)*(HLOOKUP(O$660,'2.2.Brecha Efectiva x UdM'!$H$64:$AK$70,7,0))))</f>
        <v>0</v>
      </c>
      <c r="P661" s="32">
        <f>(VLOOKUP($A661,$A$458:$O$482,12,0)*(HLOOKUP(P$660,'2.2.Brecha Efectiva x UdM'!$H$86:$AK$92,7,0))+(VLOOKUP($A661,$A$4:$O$27,12,0)*(HLOOKUP(P$660,'2.2.Brecha Efectiva x UdM'!$H$64:$AK$70,7,0))))</f>
        <v>0</v>
      </c>
      <c r="Q661" s="32">
        <f>(VLOOKUP($A661,$A$458:$O$482,12,0)*(HLOOKUP(Q$660,'2.2.Brecha Efectiva x UdM'!$H$86:$AK$92,7,0))+(VLOOKUP($A661,$A$4:$O$27,12,0)*(HLOOKUP(Q$660,'2.2.Brecha Efectiva x UdM'!$H$64:$AK$70,7,0))))</f>
        <v>0</v>
      </c>
      <c r="R661" s="32">
        <f>(VLOOKUP($A661,$A$458:$O$482,12,0)*(HLOOKUP(R$660,'2.2.Brecha Efectiva x UdM'!$H$86:$AK$92,7,0))+(VLOOKUP($A661,$A$4:$O$27,12,0)*(HLOOKUP(R$660,'2.2.Brecha Efectiva x UdM'!$H$64:$AK$70,7,0))))</f>
        <v>0</v>
      </c>
      <c r="S661" s="32">
        <f>(VLOOKUP($A661,$A$458:$O$482,12,0)*(HLOOKUP(S$660,'2.2.Brecha Efectiva x UdM'!$H$86:$AK$92,7,0))+(VLOOKUP($A661,$A$4:$O$27,12,0)*(HLOOKUP(S$660,'2.2.Brecha Efectiva x UdM'!$H$64:$AK$70,7,0))))</f>
        <v>0</v>
      </c>
      <c r="T661" s="32">
        <f>(VLOOKUP($A661,$A$458:$O$482,12,0)*(HLOOKUP(T$660,'2.2.Brecha Efectiva x UdM'!$H$86:$AK$92,7,0))+(VLOOKUP($A661,$A$4:$O$27,12,0)*(HLOOKUP(T$660,'2.2.Brecha Efectiva x UdM'!$H$64:$AK$70,7,0))))</f>
        <v>0</v>
      </c>
      <c r="U661" s="32">
        <f>(VLOOKUP($A661,$A$458:$O$482,12,0)*(HLOOKUP(U$660,'2.2.Brecha Efectiva x UdM'!$H$86:$AK$92,7,0))+(VLOOKUP($A661,$A$4:$O$27,12,0)*(HLOOKUP(U$660,'2.2.Brecha Efectiva x UdM'!$H$64:$AK$70,7,0))))</f>
        <v>0</v>
      </c>
      <c r="V661" s="32">
        <f>(VLOOKUP($A661,$A$458:$O$482,12,0)*(HLOOKUP(V$660,'2.2.Brecha Efectiva x UdM'!$H$86:$AK$92,7,0))+(VLOOKUP($A661,$A$4:$O$27,12,0)*(HLOOKUP(V$660,'2.2.Brecha Efectiva x UdM'!$H$64:$AK$70,7,0))))</f>
        <v>0</v>
      </c>
      <c r="W661" s="32">
        <f>(VLOOKUP($A661,$A$458:$O$482,12,0)*(HLOOKUP(W$660,'2.2.Brecha Efectiva x UdM'!$H$86:$AK$92,7,0))+(VLOOKUP($A661,$A$4:$O$27,12,0)*(HLOOKUP(W$660,'2.2.Brecha Efectiva x UdM'!$H$64:$AK$70,7,0))))</f>
        <v>0</v>
      </c>
      <c r="X661" s="32">
        <f>(VLOOKUP($A661,$A$458:$O$482,12,0)*(HLOOKUP(X$660,'2.2.Brecha Efectiva x UdM'!$H$86:$AK$92,7,0))+(VLOOKUP($A661,$A$4:$O$27,12,0)*(HLOOKUP(X$660,'2.2.Brecha Efectiva x UdM'!$H$64:$AK$70,7,0))))</f>
        <v>0</v>
      </c>
      <c r="Y661" s="32">
        <f>(VLOOKUP($A661,$A$458:$O$482,12,0)*(HLOOKUP(Y$660,'2.2.Brecha Efectiva x UdM'!$H$86:$AK$92,7,0))+(VLOOKUP($A661,$A$4:$O$27,12,0)*(HLOOKUP(Y$660,'2.2.Brecha Efectiva x UdM'!$H$64:$AK$70,7,0))))</f>
        <v>0</v>
      </c>
      <c r="Z661" s="32">
        <f>(VLOOKUP($A661,$A$458:$O$482,12,0)*(HLOOKUP(Z$660,'2.2.Brecha Efectiva x UdM'!$H$86:$AK$92,7,0))+(VLOOKUP($A661,$A$4:$O$27,12,0)*(HLOOKUP(Z$660,'2.2.Brecha Efectiva x UdM'!$H$64:$AK$70,7,0))))</f>
        <v>0</v>
      </c>
      <c r="AA661" s="32">
        <f>(VLOOKUP($A661,$A$458:$O$482,12,0)*(HLOOKUP(AA$660,'2.2.Brecha Efectiva x UdM'!$H$86:$AK$92,7,0))+(VLOOKUP($A661,$A$4:$O$27,12,0)*(HLOOKUP(AA$660,'2.2.Brecha Efectiva x UdM'!$H$64:$AK$70,7,0))))</f>
        <v>0</v>
      </c>
      <c r="AB661" s="32">
        <f>(VLOOKUP($A661,$A$458:$O$482,12,0)*(HLOOKUP(AB$660,'2.2.Brecha Efectiva x UdM'!$H$86:$AK$92,7,0))+(VLOOKUP($A661,$A$4:$O$27,12,0)*(HLOOKUP(AB$660,'2.2.Brecha Efectiva x UdM'!$H$64:$AK$70,7,0))))</f>
        <v>0</v>
      </c>
      <c r="AC661" s="32">
        <f>(VLOOKUP($A661,$A$458:$O$482,12,0)*(HLOOKUP(AC$660,'2.2.Brecha Efectiva x UdM'!$H$86:$AK$92,7,0))+(VLOOKUP($A661,$A$4:$O$27,12,0)*(HLOOKUP(AC$660,'2.2.Brecha Efectiva x UdM'!$H$64:$AK$70,7,0))))</f>
        <v>0</v>
      </c>
      <c r="AD661" s="32">
        <f>(VLOOKUP($A661,$A$458:$O$482,12,0)*(HLOOKUP(AD$660,'2.2.Brecha Efectiva x UdM'!$H$86:$AK$92,7,0))+(VLOOKUP($A661,$A$4:$O$27,12,0)*(HLOOKUP(AD$660,'2.2.Brecha Efectiva x UdM'!$H$64:$AK$70,7,0))))</f>
        <v>0</v>
      </c>
      <c r="AE661" s="32">
        <f>(VLOOKUP($A661,$A$458:$O$482,12,0)*(HLOOKUP(AE$660,'2.2.Brecha Efectiva x UdM'!$H$86:$AK$92,7,0))+(VLOOKUP($A661,$A$4:$O$27,12,0)*(HLOOKUP(AE$660,'2.2.Brecha Efectiva x UdM'!$H$64:$AK$70,7,0))))</f>
        <v>0</v>
      </c>
      <c r="AF661" s="32">
        <f>(VLOOKUP($A661,$A$458:$O$482,12,0)*(HLOOKUP(AF$660,'2.2.Brecha Efectiva x UdM'!$H$86:$AK$92,7,0))+(VLOOKUP($A661,$A$4:$O$27,12,0)*(HLOOKUP(AF$660,'2.2.Brecha Efectiva x UdM'!$H$64:$AK$70,7,0))))</f>
        <v>0</v>
      </c>
      <c r="AG661" s="32">
        <f>(VLOOKUP($A661,$A$458:$O$482,12,0)*(HLOOKUP(AG$660,'2.2.Brecha Efectiva x UdM'!$H$86:$AK$92,7,0))+(VLOOKUP($A661,$A$4:$O$27,12,0)*(HLOOKUP(AG$660,'2.2.Brecha Efectiva x UdM'!$H$64:$AK$70,7,0))))</f>
        <v>0</v>
      </c>
      <c r="AH661" s="62">
        <f>SUM(D661:AG661)</f>
        <v>0</v>
      </c>
    </row>
    <row r="662" spans="1:34" hidden="1" x14ac:dyDescent="0.2">
      <c r="A662" s="26" t="str">
        <f t="shared" si="634"/>
        <v>CABA</v>
      </c>
      <c r="B662" s="52">
        <f t="shared" ref="B662:B684" si="635">$M$3</f>
        <v>0</v>
      </c>
      <c r="C662" s="26" t="str">
        <f t="shared" ref="C662:C684" si="636">CONCATENATE(A662," ",B662)</f>
        <v>CABA 0</v>
      </c>
      <c r="D662" s="31">
        <f>(VLOOKUP($A662,$A$458:$O$482,12,0)*(HLOOKUP(D$660,'2.2.Brecha Efectiva x UdM'!$H$86:$AK$92,7,0))+(VLOOKUP($A662,$A$4:$O$27,12,0)*(HLOOKUP(D$660,'2.2.Brecha Efectiva x UdM'!$H$64:$AK$70,7,0))))</f>
        <v>0</v>
      </c>
      <c r="E662" s="31">
        <f>(VLOOKUP($A662,$A$458:$O$482,12,0)*(HLOOKUP(E$660,'2.2.Brecha Efectiva x UdM'!$H$86:$AK$92,7,0))+(VLOOKUP($A662,$A$4:$O$27,12,0)*(HLOOKUP(E$660,'2.2.Brecha Efectiva x UdM'!$H$64:$AK$70,7,0))))</f>
        <v>0</v>
      </c>
      <c r="F662" s="31">
        <f>(VLOOKUP($A662,$A$458:$O$482,12,0)*(HLOOKUP(F$660,'2.2.Brecha Efectiva x UdM'!$H$86:$AK$92,7,0))+(VLOOKUP($A662,$A$4:$O$27,12,0)*(HLOOKUP(F$660,'2.2.Brecha Efectiva x UdM'!$H$64:$AK$70,7,0))))</f>
        <v>0</v>
      </c>
      <c r="G662" s="31">
        <f>(VLOOKUP($A662,$A$458:$O$482,12,0)*(HLOOKUP(G$660,'2.2.Brecha Efectiva x UdM'!$H$86:$AK$92,7,0))+(VLOOKUP($A662,$A$4:$O$27,12,0)*(HLOOKUP(G$660,'2.2.Brecha Efectiva x UdM'!$H$64:$AK$70,7,0))))</f>
        <v>0</v>
      </c>
      <c r="H662" s="31">
        <f>(VLOOKUP($A662,$A$458:$O$482,12,0)*(HLOOKUP(H$660,'2.2.Brecha Efectiva x UdM'!$H$86:$AK$92,7,0))+(VLOOKUP($A662,$A$4:$O$27,12,0)*(HLOOKUP(H$660,'2.2.Brecha Efectiva x UdM'!$H$64:$AK$70,7,0))))</f>
        <v>0</v>
      </c>
      <c r="I662" s="31">
        <f>(VLOOKUP($A662,$A$458:$O$482,12,0)*(HLOOKUP(I$660,'2.2.Brecha Efectiva x UdM'!$H$86:$AK$92,7,0))+(VLOOKUP($A662,$A$4:$O$27,12,0)*(HLOOKUP(I$660,'2.2.Brecha Efectiva x UdM'!$H$64:$AK$70,7,0))))</f>
        <v>0</v>
      </c>
      <c r="J662" s="31">
        <f>(VLOOKUP($A662,$A$458:$O$482,12,0)*(HLOOKUP(J$660,'2.2.Brecha Efectiva x UdM'!$H$86:$AK$92,7,0))+(VLOOKUP($A662,$A$4:$O$27,12,0)*(HLOOKUP(J$660,'2.2.Brecha Efectiva x UdM'!$H$64:$AK$70,7,0))))</f>
        <v>0</v>
      </c>
      <c r="K662" s="31">
        <f>(VLOOKUP($A662,$A$458:$O$482,12,0)*(HLOOKUP(K$660,'2.2.Brecha Efectiva x UdM'!$H$86:$AK$92,7,0))+(VLOOKUP($A662,$A$4:$O$27,12,0)*(HLOOKUP(K$660,'2.2.Brecha Efectiva x UdM'!$H$64:$AK$70,7,0))))</f>
        <v>0</v>
      </c>
      <c r="L662" s="31">
        <f>(VLOOKUP($A662,$A$458:$O$482,12,0)*(HLOOKUP(L$660,'2.2.Brecha Efectiva x UdM'!$H$86:$AK$92,7,0))+(VLOOKUP($A662,$A$4:$O$27,12,0)*(HLOOKUP(L$660,'2.2.Brecha Efectiva x UdM'!$H$64:$AK$70,7,0))))</f>
        <v>0</v>
      </c>
      <c r="M662" s="31">
        <f>(VLOOKUP($A662,$A$458:$O$482,12,0)*(HLOOKUP(M$660,'2.2.Brecha Efectiva x UdM'!$H$86:$AK$92,7,0))+(VLOOKUP($A662,$A$4:$O$27,12,0)*(HLOOKUP(M$660,'2.2.Brecha Efectiva x UdM'!$H$64:$AK$70,7,0))))</f>
        <v>0</v>
      </c>
      <c r="N662" s="31">
        <f>(VLOOKUP($A662,$A$458:$O$482,12,0)*(HLOOKUP(N$660,'2.2.Brecha Efectiva x UdM'!$H$86:$AK$92,7,0))+(VLOOKUP($A662,$A$4:$O$27,12,0)*(HLOOKUP(N$660,'2.2.Brecha Efectiva x UdM'!$H$64:$AK$70,7,0))))</f>
        <v>0</v>
      </c>
      <c r="O662" s="31">
        <f>(VLOOKUP($A662,$A$458:$O$482,12,0)*(HLOOKUP(O$660,'2.2.Brecha Efectiva x UdM'!$H$86:$AK$92,7,0))+(VLOOKUP($A662,$A$4:$O$27,12,0)*(HLOOKUP(O$660,'2.2.Brecha Efectiva x UdM'!$H$64:$AK$70,7,0))))</f>
        <v>0</v>
      </c>
      <c r="P662" s="31">
        <f>(VLOOKUP($A662,$A$458:$O$482,12,0)*(HLOOKUP(P$660,'2.2.Brecha Efectiva x UdM'!$H$86:$AK$92,7,0))+(VLOOKUP($A662,$A$4:$O$27,12,0)*(HLOOKUP(P$660,'2.2.Brecha Efectiva x UdM'!$H$64:$AK$70,7,0))))</f>
        <v>0</v>
      </c>
      <c r="Q662" s="31">
        <f>(VLOOKUP($A662,$A$458:$O$482,12,0)*(HLOOKUP(Q$660,'2.2.Brecha Efectiva x UdM'!$H$86:$AK$92,7,0))+(VLOOKUP($A662,$A$4:$O$27,12,0)*(HLOOKUP(Q$660,'2.2.Brecha Efectiva x UdM'!$H$64:$AK$70,7,0))))</f>
        <v>0</v>
      </c>
      <c r="R662" s="31">
        <f>(VLOOKUP($A662,$A$458:$O$482,12,0)*(HLOOKUP(R$660,'2.2.Brecha Efectiva x UdM'!$H$86:$AK$92,7,0))+(VLOOKUP($A662,$A$4:$O$27,12,0)*(HLOOKUP(R$660,'2.2.Brecha Efectiva x UdM'!$H$64:$AK$70,7,0))))</f>
        <v>0</v>
      </c>
      <c r="S662" s="31">
        <f>(VLOOKUP($A662,$A$458:$O$482,12,0)*(HLOOKUP(S$660,'2.2.Brecha Efectiva x UdM'!$H$86:$AK$92,7,0))+(VLOOKUP($A662,$A$4:$O$27,12,0)*(HLOOKUP(S$660,'2.2.Brecha Efectiva x UdM'!$H$64:$AK$70,7,0))))</f>
        <v>0</v>
      </c>
      <c r="T662" s="31">
        <f>(VLOOKUP($A662,$A$458:$O$482,12,0)*(HLOOKUP(T$660,'2.2.Brecha Efectiva x UdM'!$H$86:$AK$92,7,0))+(VLOOKUP($A662,$A$4:$O$27,12,0)*(HLOOKUP(T$660,'2.2.Brecha Efectiva x UdM'!$H$64:$AK$70,7,0))))</f>
        <v>0</v>
      </c>
      <c r="U662" s="31">
        <f>(VLOOKUP($A662,$A$458:$O$482,12,0)*(HLOOKUP(U$660,'2.2.Brecha Efectiva x UdM'!$H$86:$AK$92,7,0))+(VLOOKUP($A662,$A$4:$O$27,12,0)*(HLOOKUP(U$660,'2.2.Brecha Efectiva x UdM'!$H$64:$AK$70,7,0))))</f>
        <v>0</v>
      </c>
      <c r="V662" s="31">
        <f>(VLOOKUP($A662,$A$458:$O$482,12,0)*(HLOOKUP(V$660,'2.2.Brecha Efectiva x UdM'!$H$86:$AK$92,7,0))+(VLOOKUP($A662,$A$4:$O$27,12,0)*(HLOOKUP(V$660,'2.2.Brecha Efectiva x UdM'!$H$64:$AK$70,7,0))))</f>
        <v>0</v>
      </c>
      <c r="W662" s="31">
        <f>(VLOOKUP($A662,$A$458:$O$482,12,0)*(HLOOKUP(W$660,'2.2.Brecha Efectiva x UdM'!$H$86:$AK$92,7,0))+(VLOOKUP($A662,$A$4:$O$27,12,0)*(HLOOKUP(W$660,'2.2.Brecha Efectiva x UdM'!$H$64:$AK$70,7,0))))</f>
        <v>0</v>
      </c>
      <c r="X662" s="31">
        <f>(VLOOKUP($A662,$A$458:$O$482,12,0)*(HLOOKUP(X$660,'2.2.Brecha Efectiva x UdM'!$H$86:$AK$92,7,0))+(VLOOKUP($A662,$A$4:$O$27,12,0)*(HLOOKUP(X$660,'2.2.Brecha Efectiva x UdM'!$H$64:$AK$70,7,0))))</f>
        <v>0</v>
      </c>
      <c r="Y662" s="31">
        <f>(VLOOKUP($A662,$A$458:$O$482,12,0)*(HLOOKUP(Y$660,'2.2.Brecha Efectiva x UdM'!$H$86:$AK$92,7,0))+(VLOOKUP($A662,$A$4:$O$27,12,0)*(HLOOKUP(Y$660,'2.2.Brecha Efectiva x UdM'!$H$64:$AK$70,7,0))))</f>
        <v>0</v>
      </c>
      <c r="Z662" s="31">
        <f>(VLOOKUP($A662,$A$458:$O$482,12,0)*(HLOOKUP(Z$660,'2.2.Brecha Efectiva x UdM'!$H$86:$AK$92,7,0))+(VLOOKUP($A662,$A$4:$O$27,12,0)*(HLOOKUP(Z$660,'2.2.Brecha Efectiva x UdM'!$H$64:$AK$70,7,0))))</f>
        <v>0</v>
      </c>
      <c r="AA662" s="31">
        <f>(VLOOKUP($A662,$A$458:$O$482,12,0)*(HLOOKUP(AA$660,'2.2.Brecha Efectiva x UdM'!$H$86:$AK$92,7,0))+(VLOOKUP($A662,$A$4:$O$27,12,0)*(HLOOKUP(AA$660,'2.2.Brecha Efectiva x UdM'!$H$64:$AK$70,7,0))))</f>
        <v>0</v>
      </c>
      <c r="AB662" s="31">
        <f>(VLOOKUP($A662,$A$458:$O$482,12,0)*(HLOOKUP(AB$660,'2.2.Brecha Efectiva x UdM'!$H$86:$AK$92,7,0))+(VLOOKUP($A662,$A$4:$O$27,12,0)*(HLOOKUP(AB$660,'2.2.Brecha Efectiva x UdM'!$H$64:$AK$70,7,0))))</f>
        <v>0</v>
      </c>
      <c r="AC662" s="31">
        <f>(VLOOKUP($A662,$A$458:$O$482,12,0)*(HLOOKUP(AC$660,'2.2.Brecha Efectiva x UdM'!$H$86:$AK$92,7,0))+(VLOOKUP($A662,$A$4:$O$27,12,0)*(HLOOKUP(AC$660,'2.2.Brecha Efectiva x UdM'!$H$64:$AK$70,7,0))))</f>
        <v>0</v>
      </c>
      <c r="AD662" s="31">
        <f>(VLOOKUP($A662,$A$458:$O$482,12,0)*(HLOOKUP(AD$660,'2.2.Brecha Efectiva x UdM'!$H$86:$AK$92,7,0))+(VLOOKUP($A662,$A$4:$O$27,12,0)*(HLOOKUP(AD$660,'2.2.Brecha Efectiva x UdM'!$H$64:$AK$70,7,0))))</f>
        <v>0</v>
      </c>
      <c r="AE662" s="31">
        <f>(VLOOKUP($A662,$A$458:$O$482,12,0)*(HLOOKUP(AE$660,'2.2.Brecha Efectiva x UdM'!$H$86:$AK$92,7,0))+(VLOOKUP($A662,$A$4:$O$27,12,0)*(HLOOKUP(AE$660,'2.2.Brecha Efectiva x UdM'!$H$64:$AK$70,7,0))))</f>
        <v>0</v>
      </c>
      <c r="AF662" s="31">
        <f>(VLOOKUP($A662,$A$458:$O$482,12,0)*(HLOOKUP(AF$660,'2.2.Brecha Efectiva x UdM'!$H$86:$AK$92,7,0))+(VLOOKUP($A662,$A$4:$O$27,12,0)*(HLOOKUP(AF$660,'2.2.Brecha Efectiva x UdM'!$H$64:$AK$70,7,0))))</f>
        <v>0</v>
      </c>
      <c r="AG662" s="31">
        <f>(VLOOKUP($A662,$A$458:$O$482,12,0)*(HLOOKUP(AG$660,'2.2.Brecha Efectiva x UdM'!$H$86:$AK$92,7,0))+(VLOOKUP($A662,$A$4:$O$27,12,0)*(HLOOKUP(AG$660,'2.2.Brecha Efectiva x UdM'!$H$64:$AK$70,7,0))))</f>
        <v>0</v>
      </c>
      <c r="AH662" s="63">
        <f>SUM(D662:AG662)</f>
        <v>0</v>
      </c>
    </row>
    <row r="663" spans="1:34" hidden="1" x14ac:dyDescent="0.2">
      <c r="A663" s="25" t="str">
        <f t="shared" si="634"/>
        <v>Catamarca</v>
      </c>
      <c r="B663" s="51">
        <f t="shared" si="635"/>
        <v>0</v>
      </c>
      <c r="C663" s="25" t="str">
        <f t="shared" si="636"/>
        <v>Catamarca 0</v>
      </c>
      <c r="D663" s="32">
        <f>(VLOOKUP($A663,$A$458:$O$482,12,0)*(HLOOKUP(D$660,'2.2.Brecha Efectiva x UdM'!$H$86:$AK$92,7,0))+(VLOOKUP($A663,$A$4:$O$27,12,0)*(HLOOKUP(D$660,'2.2.Brecha Efectiva x UdM'!$H$64:$AK$70,7,0))))</f>
        <v>0</v>
      </c>
      <c r="E663" s="32">
        <f>(VLOOKUP($A663,$A$458:$O$482,12,0)*(HLOOKUP(E$660,'2.2.Brecha Efectiva x UdM'!$H$86:$AK$92,7,0))+(VLOOKUP($A663,$A$4:$O$27,12,0)*(HLOOKUP(E$660,'2.2.Brecha Efectiva x UdM'!$H$64:$AK$70,7,0))))</f>
        <v>0</v>
      </c>
      <c r="F663" s="32">
        <f>(VLOOKUP($A663,$A$458:$O$482,12,0)*(HLOOKUP(F$660,'2.2.Brecha Efectiva x UdM'!$H$86:$AK$92,7,0))+(VLOOKUP($A663,$A$4:$O$27,12,0)*(HLOOKUP(F$660,'2.2.Brecha Efectiva x UdM'!$H$64:$AK$70,7,0))))</f>
        <v>0</v>
      </c>
      <c r="G663" s="32">
        <f>(VLOOKUP($A663,$A$458:$O$482,12,0)*(HLOOKUP(G$660,'2.2.Brecha Efectiva x UdM'!$H$86:$AK$92,7,0))+(VLOOKUP($A663,$A$4:$O$27,12,0)*(HLOOKUP(G$660,'2.2.Brecha Efectiva x UdM'!$H$64:$AK$70,7,0))))</f>
        <v>0</v>
      </c>
      <c r="H663" s="32">
        <f>(VLOOKUP($A663,$A$458:$O$482,12,0)*(HLOOKUP(H$660,'2.2.Brecha Efectiva x UdM'!$H$86:$AK$92,7,0))+(VLOOKUP($A663,$A$4:$O$27,12,0)*(HLOOKUP(H$660,'2.2.Brecha Efectiva x UdM'!$H$64:$AK$70,7,0))))</f>
        <v>0</v>
      </c>
      <c r="I663" s="32">
        <f>(VLOOKUP($A663,$A$458:$O$482,12,0)*(HLOOKUP(I$660,'2.2.Brecha Efectiva x UdM'!$H$86:$AK$92,7,0))+(VLOOKUP($A663,$A$4:$O$27,12,0)*(HLOOKUP(I$660,'2.2.Brecha Efectiva x UdM'!$H$64:$AK$70,7,0))))</f>
        <v>0</v>
      </c>
      <c r="J663" s="32">
        <f>(VLOOKUP($A663,$A$458:$O$482,12,0)*(HLOOKUP(J$660,'2.2.Brecha Efectiva x UdM'!$H$86:$AK$92,7,0))+(VLOOKUP($A663,$A$4:$O$27,12,0)*(HLOOKUP(J$660,'2.2.Brecha Efectiva x UdM'!$H$64:$AK$70,7,0))))</f>
        <v>0</v>
      </c>
      <c r="K663" s="32">
        <f>(VLOOKUP($A663,$A$458:$O$482,12,0)*(HLOOKUP(K$660,'2.2.Brecha Efectiva x UdM'!$H$86:$AK$92,7,0))+(VLOOKUP($A663,$A$4:$O$27,12,0)*(HLOOKUP(K$660,'2.2.Brecha Efectiva x UdM'!$H$64:$AK$70,7,0))))</f>
        <v>0</v>
      </c>
      <c r="L663" s="32">
        <f>(VLOOKUP($A663,$A$458:$O$482,12,0)*(HLOOKUP(L$660,'2.2.Brecha Efectiva x UdM'!$H$86:$AK$92,7,0))+(VLOOKUP($A663,$A$4:$O$27,12,0)*(HLOOKUP(L$660,'2.2.Brecha Efectiva x UdM'!$H$64:$AK$70,7,0))))</f>
        <v>0</v>
      </c>
      <c r="M663" s="32">
        <f>(VLOOKUP($A663,$A$458:$O$482,12,0)*(HLOOKUP(M$660,'2.2.Brecha Efectiva x UdM'!$H$86:$AK$92,7,0))+(VLOOKUP($A663,$A$4:$O$27,12,0)*(HLOOKUP(M$660,'2.2.Brecha Efectiva x UdM'!$H$64:$AK$70,7,0))))</f>
        <v>0</v>
      </c>
      <c r="N663" s="32">
        <f>(VLOOKUP($A663,$A$458:$O$482,12,0)*(HLOOKUP(N$660,'2.2.Brecha Efectiva x UdM'!$H$86:$AK$92,7,0))+(VLOOKUP($A663,$A$4:$O$27,12,0)*(HLOOKUP(N$660,'2.2.Brecha Efectiva x UdM'!$H$64:$AK$70,7,0))))</f>
        <v>0</v>
      </c>
      <c r="O663" s="32">
        <f>(VLOOKUP($A663,$A$458:$O$482,12,0)*(HLOOKUP(O$660,'2.2.Brecha Efectiva x UdM'!$H$86:$AK$92,7,0))+(VLOOKUP($A663,$A$4:$O$27,12,0)*(HLOOKUP(O$660,'2.2.Brecha Efectiva x UdM'!$H$64:$AK$70,7,0))))</f>
        <v>0</v>
      </c>
      <c r="P663" s="32">
        <f>(VLOOKUP($A663,$A$458:$O$482,12,0)*(HLOOKUP(P$660,'2.2.Brecha Efectiva x UdM'!$H$86:$AK$92,7,0))+(VLOOKUP($A663,$A$4:$O$27,12,0)*(HLOOKUP(P$660,'2.2.Brecha Efectiva x UdM'!$H$64:$AK$70,7,0))))</f>
        <v>0</v>
      </c>
      <c r="Q663" s="32">
        <f>(VLOOKUP($A663,$A$458:$O$482,12,0)*(HLOOKUP(Q$660,'2.2.Brecha Efectiva x UdM'!$H$86:$AK$92,7,0))+(VLOOKUP($A663,$A$4:$O$27,12,0)*(HLOOKUP(Q$660,'2.2.Brecha Efectiva x UdM'!$H$64:$AK$70,7,0))))</f>
        <v>0</v>
      </c>
      <c r="R663" s="32">
        <f>(VLOOKUP($A663,$A$458:$O$482,12,0)*(HLOOKUP(R$660,'2.2.Brecha Efectiva x UdM'!$H$86:$AK$92,7,0))+(VLOOKUP($A663,$A$4:$O$27,12,0)*(HLOOKUP(R$660,'2.2.Brecha Efectiva x UdM'!$H$64:$AK$70,7,0))))</f>
        <v>0</v>
      </c>
      <c r="S663" s="32">
        <f>(VLOOKUP($A663,$A$458:$O$482,12,0)*(HLOOKUP(S$660,'2.2.Brecha Efectiva x UdM'!$H$86:$AK$92,7,0))+(VLOOKUP($A663,$A$4:$O$27,12,0)*(HLOOKUP(S$660,'2.2.Brecha Efectiva x UdM'!$H$64:$AK$70,7,0))))</f>
        <v>0</v>
      </c>
      <c r="T663" s="32">
        <f>(VLOOKUP($A663,$A$458:$O$482,12,0)*(HLOOKUP(T$660,'2.2.Brecha Efectiva x UdM'!$H$86:$AK$92,7,0))+(VLOOKUP($A663,$A$4:$O$27,12,0)*(HLOOKUP(T$660,'2.2.Brecha Efectiva x UdM'!$H$64:$AK$70,7,0))))</f>
        <v>0</v>
      </c>
      <c r="U663" s="32">
        <f>(VLOOKUP($A663,$A$458:$O$482,12,0)*(HLOOKUP(U$660,'2.2.Brecha Efectiva x UdM'!$H$86:$AK$92,7,0))+(VLOOKUP($A663,$A$4:$O$27,12,0)*(HLOOKUP(U$660,'2.2.Brecha Efectiva x UdM'!$H$64:$AK$70,7,0))))</f>
        <v>0</v>
      </c>
      <c r="V663" s="32">
        <f>(VLOOKUP($A663,$A$458:$O$482,12,0)*(HLOOKUP(V$660,'2.2.Brecha Efectiva x UdM'!$H$86:$AK$92,7,0))+(VLOOKUP($A663,$A$4:$O$27,12,0)*(HLOOKUP(V$660,'2.2.Brecha Efectiva x UdM'!$H$64:$AK$70,7,0))))</f>
        <v>0</v>
      </c>
      <c r="W663" s="32">
        <f>(VLOOKUP($A663,$A$458:$O$482,12,0)*(HLOOKUP(W$660,'2.2.Brecha Efectiva x UdM'!$H$86:$AK$92,7,0))+(VLOOKUP($A663,$A$4:$O$27,12,0)*(HLOOKUP(W$660,'2.2.Brecha Efectiva x UdM'!$H$64:$AK$70,7,0))))</f>
        <v>0</v>
      </c>
      <c r="X663" s="32">
        <f>(VLOOKUP($A663,$A$458:$O$482,12,0)*(HLOOKUP(X$660,'2.2.Brecha Efectiva x UdM'!$H$86:$AK$92,7,0))+(VLOOKUP($A663,$A$4:$O$27,12,0)*(HLOOKUP(X$660,'2.2.Brecha Efectiva x UdM'!$H$64:$AK$70,7,0))))</f>
        <v>0</v>
      </c>
      <c r="Y663" s="32">
        <f>(VLOOKUP($A663,$A$458:$O$482,12,0)*(HLOOKUP(Y$660,'2.2.Brecha Efectiva x UdM'!$H$86:$AK$92,7,0))+(VLOOKUP($A663,$A$4:$O$27,12,0)*(HLOOKUP(Y$660,'2.2.Brecha Efectiva x UdM'!$H$64:$AK$70,7,0))))</f>
        <v>0</v>
      </c>
      <c r="Z663" s="32">
        <f>(VLOOKUP($A663,$A$458:$O$482,12,0)*(HLOOKUP(Z$660,'2.2.Brecha Efectiva x UdM'!$H$86:$AK$92,7,0))+(VLOOKUP($A663,$A$4:$O$27,12,0)*(HLOOKUP(Z$660,'2.2.Brecha Efectiva x UdM'!$H$64:$AK$70,7,0))))</f>
        <v>0</v>
      </c>
      <c r="AA663" s="32">
        <f>(VLOOKUP($A663,$A$458:$O$482,12,0)*(HLOOKUP(AA$660,'2.2.Brecha Efectiva x UdM'!$H$86:$AK$92,7,0))+(VLOOKUP($A663,$A$4:$O$27,12,0)*(HLOOKUP(AA$660,'2.2.Brecha Efectiva x UdM'!$H$64:$AK$70,7,0))))</f>
        <v>0</v>
      </c>
      <c r="AB663" s="32">
        <f>(VLOOKUP($A663,$A$458:$O$482,12,0)*(HLOOKUP(AB$660,'2.2.Brecha Efectiva x UdM'!$H$86:$AK$92,7,0))+(VLOOKUP($A663,$A$4:$O$27,12,0)*(HLOOKUP(AB$660,'2.2.Brecha Efectiva x UdM'!$H$64:$AK$70,7,0))))</f>
        <v>0</v>
      </c>
      <c r="AC663" s="32">
        <f>(VLOOKUP($A663,$A$458:$O$482,12,0)*(HLOOKUP(AC$660,'2.2.Brecha Efectiva x UdM'!$H$86:$AK$92,7,0))+(VLOOKUP($A663,$A$4:$O$27,12,0)*(HLOOKUP(AC$660,'2.2.Brecha Efectiva x UdM'!$H$64:$AK$70,7,0))))</f>
        <v>0</v>
      </c>
      <c r="AD663" s="32">
        <f>(VLOOKUP($A663,$A$458:$O$482,12,0)*(HLOOKUP(AD$660,'2.2.Brecha Efectiva x UdM'!$H$86:$AK$92,7,0))+(VLOOKUP($A663,$A$4:$O$27,12,0)*(HLOOKUP(AD$660,'2.2.Brecha Efectiva x UdM'!$H$64:$AK$70,7,0))))</f>
        <v>0</v>
      </c>
      <c r="AE663" s="32">
        <f>(VLOOKUP($A663,$A$458:$O$482,12,0)*(HLOOKUP(AE$660,'2.2.Brecha Efectiva x UdM'!$H$86:$AK$92,7,0))+(VLOOKUP($A663,$A$4:$O$27,12,0)*(HLOOKUP(AE$660,'2.2.Brecha Efectiva x UdM'!$H$64:$AK$70,7,0))))</f>
        <v>0</v>
      </c>
      <c r="AF663" s="32">
        <f>(VLOOKUP($A663,$A$458:$O$482,12,0)*(HLOOKUP(AF$660,'2.2.Brecha Efectiva x UdM'!$H$86:$AK$92,7,0))+(VLOOKUP($A663,$A$4:$O$27,12,0)*(HLOOKUP(AF$660,'2.2.Brecha Efectiva x UdM'!$H$64:$AK$70,7,0))))</f>
        <v>0</v>
      </c>
      <c r="AG663" s="32">
        <f>(VLOOKUP($A663,$A$458:$O$482,12,0)*(HLOOKUP(AG$660,'2.2.Brecha Efectiva x UdM'!$H$86:$AK$92,7,0))+(VLOOKUP($A663,$A$4:$O$27,12,0)*(HLOOKUP(AG$660,'2.2.Brecha Efectiva x UdM'!$H$64:$AK$70,7,0))))</f>
        <v>0</v>
      </c>
      <c r="AH663" s="62">
        <f t="shared" ref="AH663:AH685" si="637">SUM(D663:AG663)</f>
        <v>0</v>
      </c>
    </row>
    <row r="664" spans="1:34" hidden="1" x14ac:dyDescent="0.2">
      <c r="A664" s="26" t="str">
        <f t="shared" si="634"/>
        <v>Chaco</v>
      </c>
      <c r="B664" s="52">
        <f t="shared" si="635"/>
        <v>0</v>
      </c>
      <c r="C664" s="26" t="str">
        <f t="shared" si="636"/>
        <v>Chaco 0</v>
      </c>
      <c r="D664" s="31">
        <f>(VLOOKUP($A664,$A$458:$O$482,12,0)*(HLOOKUP(D$660,'2.2.Brecha Efectiva x UdM'!$H$86:$AK$92,7,0))+(VLOOKUP($A664,$A$4:$O$27,12,0)*(HLOOKUP(D$660,'2.2.Brecha Efectiva x UdM'!$H$64:$AK$70,7,0))))</f>
        <v>0</v>
      </c>
      <c r="E664" s="31">
        <f>(VLOOKUP($A664,$A$458:$O$482,12,0)*(HLOOKUP(E$660,'2.2.Brecha Efectiva x UdM'!$H$86:$AK$92,7,0))+(VLOOKUP($A664,$A$4:$O$27,12,0)*(HLOOKUP(E$660,'2.2.Brecha Efectiva x UdM'!$H$64:$AK$70,7,0))))</f>
        <v>0</v>
      </c>
      <c r="F664" s="31">
        <f>(VLOOKUP($A664,$A$458:$O$482,12,0)*(HLOOKUP(F$660,'2.2.Brecha Efectiva x UdM'!$H$86:$AK$92,7,0))+(VLOOKUP($A664,$A$4:$O$27,12,0)*(HLOOKUP(F$660,'2.2.Brecha Efectiva x UdM'!$H$64:$AK$70,7,0))))</f>
        <v>0</v>
      </c>
      <c r="G664" s="31">
        <f>(VLOOKUP($A664,$A$458:$O$482,12,0)*(HLOOKUP(G$660,'2.2.Brecha Efectiva x UdM'!$H$86:$AK$92,7,0))+(VLOOKUP($A664,$A$4:$O$27,12,0)*(HLOOKUP(G$660,'2.2.Brecha Efectiva x UdM'!$H$64:$AK$70,7,0))))</f>
        <v>0</v>
      </c>
      <c r="H664" s="31">
        <f>(VLOOKUP($A664,$A$458:$O$482,12,0)*(HLOOKUP(H$660,'2.2.Brecha Efectiva x UdM'!$H$86:$AK$92,7,0))+(VLOOKUP($A664,$A$4:$O$27,12,0)*(HLOOKUP(H$660,'2.2.Brecha Efectiva x UdM'!$H$64:$AK$70,7,0))))</f>
        <v>0</v>
      </c>
      <c r="I664" s="31">
        <f>(VLOOKUP($A664,$A$458:$O$482,12,0)*(HLOOKUP(I$660,'2.2.Brecha Efectiva x UdM'!$H$86:$AK$92,7,0))+(VLOOKUP($A664,$A$4:$O$27,12,0)*(HLOOKUP(I$660,'2.2.Brecha Efectiva x UdM'!$H$64:$AK$70,7,0))))</f>
        <v>0</v>
      </c>
      <c r="J664" s="31">
        <f>(VLOOKUP($A664,$A$458:$O$482,12,0)*(HLOOKUP(J$660,'2.2.Brecha Efectiva x UdM'!$H$86:$AK$92,7,0))+(VLOOKUP($A664,$A$4:$O$27,12,0)*(HLOOKUP(J$660,'2.2.Brecha Efectiva x UdM'!$H$64:$AK$70,7,0))))</f>
        <v>0</v>
      </c>
      <c r="K664" s="31">
        <f>(VLOOKUP($A664,$A$458:$O$482,12,0)*(HLOOKUP(K$660,'2.2.Brecha Efectiva x UdM'!$H$86:$AK$92,7,0))+(VLOOKUP($A664,$A$4:$O$27,12,0)*(HLOOKUP(K$660,'2.2.Brecha Efectiva x UdM'!$H$64:$AK$70,7,0))))</f>
        <v>0</v>
      </c>
      <c r="L664" s="31">
        <f>(VLOOKUP($A664,$A$458:$O$482,12,0)*(HLOOKUP(L$660,'2.2.Brecha Efectiva x UdM'!$H$86:$AK$92,7,0))+(VLOOKUP($A664,$A$4:$O$27,12,0)*(HLOOKUP(L$660,'2.2.Brecha Efectiva x UdM'!$H$64:$AK$70,7,0))))</f>
        <v>0</v>
      </c>
      <c r="M664" s="31">
        <f>(VLOOKUP($A664,$A$458:$O$482,12,0)*(HLOOKUP(M$660,'2.2.Brecha Efectiva x UdM'!$H$86:$AK$92,7,0))+(VLOOKUP($A664,$A$4:$O$27,12,0)*(HLOOKUP(M$660,'2.2.Brecha Efectiva x UdM'!$H$64:$AK$70,7,0))))</f>
        <v>0</v>
      </c>
      <c r="N664" s="31">
        <f>(VLOOKUP($A664,$A$458:$O$482,12,0)*(HLOOKUP(N$660,'2.2.Brecha Efectiva x UdM'!$H$86:$AK$92,7,0))+(VLOOKUP($A664,$A$4:$O$27,12,0)*(HLOOKUP(N$660,'2.2.Brecha Efectiva x UdM'!$H$64:$AK$70,7,0))))</f>
        <v>0</v>
      </c>
      <c r="O664" s="31">
        <f>(VLOOKUP($A664,$A$458:$O$482,12,0)*(HLOOKUP(O$660,'2.2.Brecha Efectiva x UdM'!$H$86:$AK$92,7,0))+(VLOOKUP($A664,$A$4:$O$27,12,0)*(HLOOKUP(O$660,'2.2.Brecha Efectiva x UdM'!$H$64:$AK$70,7,0))))</f>
        <v>0</v>
      </c>
      <c r="P664" s="31">
        <f>(VLOOKUP($A664,$A$458:$O$482,12,0)*(HLOOKUP(P$660,'2.2.Brecha Efectiva x UdM'!$H$86:$AK$92,7,0))+(VLOOKUP($A664,$A$4:$O$27,12,0)*(HLOOKUP(P$660,'2.2.Brecha Efectiva x UdM'!$H$64:$AK$70,7,0))))</f>
        <v>0</v>
      </c>
      <c r="Q664" s="31">
        <f>(VLOOKUP($A664,$A$458:$O$482,12,0)*(HLOOKUP(Q$660,'2.2.Brecha Efectiva x UdM'!$H$86:$AK$92,7,0))+(VLOOKUP($A664,$A$4:$O$27,12,0)*(HLOOKUP(Q$660,'2.2.Brecha Efectiva x UdM'!$H$64:$AK$70,7,0))))</f>
        <v>0</v>
      </c>
      <c r="R664" s="31">
        <f>(VLOOKUP($A664,$A$458:$O$482,12,0)*(HLOOKUP(R$660,'2.2.Brecha Efectiva x UdM'!$H$86:$AK$92,7,0))+(VLOOKUP($A664,$A$4:$O$27,12,0)*(HLOOKUP(R$660,'2.2.Brecha Efectiva x UdM'!$H$64:$AK$70,7,0))))</f>
        <v>0</v>
      </c>
      <c r="S664" s="31">
        <f>(VLOOKUP($A664,$A$458:$O$482,12,0)*(HLOOKUP(S$660,'2.2.Brecha Efectiva x UdM'!$H$86:$AK$92,7,0))+(VLOOKUP($A664,$A$4:$O$27,12,0)*(HLOOKUP(S$660,'2.2.Brecha Efectiva x UdM'!$H$64:$AK$70,7,0))))</f>
        <v>0</v>
      </c>
      <c r="T664" s="31">
        <f>(VLOOKUP($A664,$A$458:$O$482,12,0)*(HLOOKUP(T$660,'2.2.Brecha Efectiva x UdM'!$H$86:$AK$92,7,0))+(VLOOKUP($A664,$A$4:$O$27,12,0)*(HLOOKUP(T$660,'2.2.Brecha Efectiva x UdM'!$H$64:$AK$70,7,0))))</f>
        <v>0</v>
      </c>
      <c r="U664" s="31">
        <f>(VLOOKUP($A664,$A$458:$O$482,12,0)*(HLOOKUP(U$660,'2.2.Brecha Efectiva x UdM'!$H$86:$AK$92,7,0))+(VLOOKUP($A664,$A$4:$O$27,12,0)*(HLOOKUP(U$660,'2.2.Brecha Efectiva x UdM'!$H$64:$AK$70,7,0))))</f>
        <v>0</v>
      </c>
      <c r="V664" s="31">
        <f>(VLOOKUP($A664,$A$458:$O$482,12,0)*(HLOOKUP(V$660,'2.2.Brecha Efectiva x UdM'!$H$86:$AK$92,7,0))+(VLOOKUP($A664,$A$4:$O$27,12,0)*(HLOOKUP(V$660,'2.2.Brecha Efectiva x UdM'!$H$64:$AK$70,7,0))))</f>
        <v>0</v>
      </c>
      <c r="W664" s="31">
        <f>(VLOOKUP($A664,$A$458:$O$482,12,0)*(HLOOKUP(W$660,'2.2.Brecha Efectiva x UdM'!$H$86:$AK$92,7,0))+(VLOOKUP($A664,$A$4:$O$27,12,0)*(HLOOKUP(W$660,'2.2.Brecha Efectiva x UdM'!$H$64:$AK$70,7,0))))</f>
        <v>0</v>
      </c>
      <c r="X664" s="31">
        <f>(VLOOKUP($A664,$A$458:$O$482,12,0)*(HLOOKUP(X$660,'2.2.Brecha Efectiva x UdM'!$H$86:$AK$92,7,0))+(VLOOKUP($A664,$A$4:$O$27,12,0)*(HLOOKUP(X$660,'2.2.Brecha Efectiva x UdM'!$H$64:$AK$70,7,0))))</f>
        <v>0</v>
      </c>
      <c r="Y664" s="31">
        <f>(VLOOKUP($A664,$A$458:$O$482,12,0)*(HLOOKUP(Y$660,'2.2.Brecha Efectiva x UdM'!$H$86:$AK$92,7,0))+(VLOOKUP($A664,$A$4:$O$27,12,0)*(HLOOKUP(Y$660,'2.2.Brecha Efectiva x UdM'!$H$64:$AK$70,7,0))))</f>
        <v>0</v>
      </c>
      <c r="Z664" s="31">
        <f>(VLOOKUP($A664,$A$458:$O$482,12,0)*(HLOOKUP(Z$660,'2.2.Brecha Efectiva x UdM'!$H$86:$AK$92,7,0))+(VLOOKUP($A664,$A$4:$O$27,12,0)*(HLOOKUP(Z$660,'2.2.Brecha Efectiva x UdM'!$H$64:$AK$70,7,0))))</f>
        <v>0</v>
      </c>
      <c r="AA664" s="31">
        <f>(VLOOKUP($A664,$A$458:$O$482,12,0)*(HLOOKUP(AA$660,'2.2.Brecha Efectiva x UdM'!$H$86:$AK$92,7,0))+(VLOOKUP($A664,$A$4:$O$27,12,0)*(HLOOKUP(AA$660,'2.2.Brecha Efectiva x UdM'!$H$64:$AK$70,7,0))))</f>
        <v>0</v>
      </c>
      <c r="AB664" s="31">
        <f>(VLOOKUP($A664,$A$458:$O$482,12,0)*(HLOOKUP(AB$660,'2.2.Brecha Efectiva x UdM'!$H$86:$AK$92,7,0))+(VLOOKUP($A664,$A$4:$O$27,12,0)*(HLOOKUP(AB$660,'2.2.Brecha Efectiva x UdM'!$H$64:$AK$70,7,0))))</f>
        <v>0</v>
      </c>
      <c r="AC664" s="31">
        <f>(VLOOKUP($A664,$A$458:$O$482,12,0)*(HLOOKUP(AC$660,'2.2.Brecha Efectiva x UdM'!$H$86:$AK$92,7,0))+(VLOOKUP($A664,$A$4:$O$27,12,0)*(HLOOKUP(AC$660,'2.2.Brecha Efectiva x UdM'!$H$64:$AK$70,7,0))))</f>
        <v>0</v>
      </c>
      <c r="AD664" s="31">
        <f>(VLOOKUP($A664,$A$458:$O$482,12,0)*(HLOOKUP(AD$660,'2.2.Brecha Efectiva x UdM'!$H$86:$AK$92,7,0))+(VLOOKUP($A664,$A$4:$O$27,12,0)*(HLOOKUP(AD$660,'2.2.Brecha Efectiva x UdM'!$H$64:$AK$70,7,0))))</f>
        <v>0</v>
      </c>
      <c r="AE664" s="31">
        <f>(VLOOKUP($A664,$A$458:$O$482,12,0)*(HLOOKUP(AE$660,'2.2.Brecha Efectiva x UdM'!$H$86:$AK$92,7,0))+(VLOOKUP($A664,$A$4:$O$27,12,0)*(HLOOKUP(AE$660,'2.2.Brecha Efectiva x UdM'!$H$64:$AK$70,7,0))))</f>
        <v>0</v>
      </c>
      <c r="AF664" s="31">
        <f>(VLOOKUP($A664,$A$458:$O$482,12,0)*(HLOOKUP(AF$660,'2.2.Brecha Efectiva x UdM'!$H$86:$AK$92,7,0))+(VLOOKUP($A664,$A$4:$O$27,12,0)*(HLOOKUP(AF$660,'2.2.Brecha Efectiva x UdM'!$H$64:$AK$70,7,0))))</f>
        <v>0</v>
      </c>
      <c r="AG664" s="31">
        <f>(VLOOKUP($A664,$A$458:$O$482,12,0)*(HLOOKUP(AG$660,'2.2.Brecha Efectiva x UdM'!$H$86:$AK$92,7,0))+(VLOOKUP($A664,$A$4:$O$27,12,0)*(HLOOKUP(AG$660,'2.2.Brecha Efectiva x UdM'!$H$64:$AK$70,7,0))))</f>
        <v>0</v>
      </c>
      <c r="AH664" s="63">
        <f t="shared" si="637"/>
        <v>0</v>
      </c>
    </row>
    <row r="665" spans="1:34" hidden="1" x14ac:dyDescent="0.2">
      <c r="A665" s="25" t="str">
        <f t="shared" si="634"/>
        <v>Chubut</v>
      </c>
      <c r="B665" s="51">
        <f t="shared" si="635"/>
        <v>0</v>
      </c>
      <c r="C665" s="25" t="str">
        <f t="shared" si="636"/>
        <v>Chubut 0</v>
      </c>
      <c r="D665" s="32">
        <f>(VLOOKUP($A665,$A$458:$O$482,12,0)*(HLOOKUP(D$660,'2.2.Brecha Efectiva x UdM'!$H$86:$AK$92,7,0))+(VLOOKUP($A665,$A$4:$O$27,12,0)*(HLOOKUP(D$660,'2.2.Brecha Efectiva x UdM'!$H$64:$AK$70,7,0))))</f>
        <v>0</v>
      </c>
      <c r="E665" s="32">
        <f>(VLOOKUP($A665,$A$458:$O$482,12,0)*(HLOOKUP(E$660,'2.2.Brecha Efectiva x UdM'!$H$86:$AK$92,7,0))+(VLOOKUP($A665,$A$4:$O$27,12,0)*(HLOOKUP(E$660,'2.2.Brecha Efectiva x UdM'!$H$64:$AK$70,7,0))))</f>
        <v>0</v>
      </c>
      <c r="F665" s="32">
        <f>(VLOOKUP($A665,$A$458:$O$482,12,0)*(HLOOKUP(F$660,'2.2.Brecha Efectiva x UdM'!$H$86:$AK$92,7,0))+(VLOOKUP($A665,$A$4:$O$27,12,0)*(HLOOKUP(F$660,'2.2.Brecha Efectiva x UdM'!$H$64:$AK$70,7,0))))</f>
        <v>0</v>
      </c>
      <c r="G665" s="32">
        <f>(VLOOKUP($A665,$A$458:$O$482,12,0)*(HLOOKUP(G$660,'2.2.Brecha Efectiva x UdM'!$H$86:$AK$92,7,0))+(VLOOKUP($A665,$A$4:$O$27,12,0)*(HLOOKUP(G$660,'2.2.Brecha Efectiva x UdM'!$H$64:$AK$70,7,0))))</f>
        <v>0</v>
      </c>
      <c r="H665" s="32">
        <f>(VLOOKUP($A665,$A$458:$O$482,12,0)*(HLOOKUP(H$660,'2.2.Brecha Efectiva x UdM'!$H$86:$AK$92,7,0))+(VLOOKUP($A665,$A$4:$O$27,12,0)*(HLOOKUP(H$660,'2.2.Brecha Efectiva x UdM'!$H$64:$AK$70,7,0))))</f>
        <v>0</v>
      </c>
      <c r="I665" s="32">
        <f>(VLOOKUP($A665,$A$458:$O$482,12,0)*(HLOOKUP(I$660,'2.2.Brecha Efectiva x UdM'!$H$86:$AK$92,7,0))+(VLOOKUP($A665,$A$4:$O$27,12,0)*(HLOOKUP(I$660,'2.2.Brecha Efectiva x UdM'!$H$64:$AK$70,7,0))))</f>
        <v>0</v>
      </c>
      <c r="J665" s="32">
        <f>(VLOOKUP($A665,$A$458:$O$482,12,0)*(HLOOKUP(J$660,'2.2.Brecha Efectiva x UdM'!$H$86:$AK$92,7,0))+(VLOOKUP($A665,$A$4:$O$27,12,0)*(HLOOKUP(J$660,'2.2.Brecha Efectiva x UdM'!$H$64:$AK$70,7,0))))</f>
        <v>0</v>
      </c>
      <c r="K665" s="32">
        <f>(VLOOKUP($A665,$A$458:$O$482,12,0)*(HLOOKUP(K$660,'2.2.Brecha Efectiva x UdM'!$H$86:$AK$92,7,0))+(VLOOKUP($A665,$A$4:$O$27,12,0)*(HLOOKUP(K$660,'2.2.Brecha Efectiva x UdM'!$H$64:$AK$70,7,0))))</f>
        <v>0</v>
      </c>
      <c r="L665" s="32">
        <f>(VLOOKUP($A665,$A$458:$O$482,12,0)*(HLOOKUP(L$660,'2.2.Brecha Efectiva x UdM'!$H$86:$AK$92,7,0))+(VLOOKUP($A665,$A$4:$O$27,12,0)*(HLOOKUP(L$660,'2.2.Brecha Efectiva x UdM'!$H$64:$AK$70,7,0))))</f>
        <v>0</v>
      </c>
      <c r="M665" s="32">
        <f>(VLOOKUP($A665,$A$458:$O$482,12,0)*(HLOOKUP(M$660,'2.2.Brecha Efectiva x UdM'!$H$86:$AK$92,7,0))+(VLOOKUP($A665,$A$4:$O$27,12,0)*(HLOOKUP(M$660,'2.2.Brecha Efectiva x UdM'!$H$64:$AK$70,7,0))))</f>
        <v>0</v>
      </c>
      <c r="N665" s="32">
        <f>(VLOOKUP($A665,$A$458:$O$482,12,0)*(HLOOKUP(N$660,'2.2.Brecha Efectiva x UdM'!$H$86:$AK$92,7,0))+(VLOOKUP($A665,$A$4:$O$27,12,0)*(HLOOKUP(N$660,'2.2.Brecha Efectiva x UdM'!$H$64:$AK$70,7,0))))</f>
        <v>0</v>
      </c>
      <c r="O665" s="32">
        <f>(VLOOKUP($A665,$A$458:$O$482,12,0)*(HLOOKUP(O$660,'2.2.Brecha Efectiva x UdM'!$H$86:$AK$92,7,0))+(VLOOKUP($A665,$A$4:$O$27,12,0)*(HLOOKUP(O$660,'2.2.Brecha Efectiva x UdM'!$H$64:$AK$70,7,0))))</f>
        <v>0</v>
      </c>
      <c r="P665" s="32">
        <f>(VLOOKUP($A665,$A$458:$O$482,12,0)*(HLOOKUP(P$660,'2.2.Brecha Efectiva x UdM'!$H$86:$AK$92,7,0))+(VLOOKUP($A665,$A$4:$O$27,12,0)*(HLOOKUP(P$660,'2.2.Brecha Efectiva x UdM'!$H$64:$AK$70,7,0))))</f>
        <v>0</v>
      </c>
      <c r="Q665" s="32">
        <f>(VLOOKUP($A665,$A$458:$O$482,12,0)*(HLOOKUP(Q$660,'2.2.Brecha Efectiva x UdM'!$H$86:$AK$92,7,0))+(VLOOKUP($A665,$A$4:$O$27,12,0)*(HLOOKUP(Q$660,'2.2.Brecha Efectiva x UdM'!$H$64:$AK$70,7,0))))</f>
        <v>0</v>
      </c>
      <c r="R665" s="32">
        <f>(VLOOKUP($A665,$A$458:$O$482,12,0)*(HLOOKUP(R$660,'2.2.Brecha Efectiva x UdM'!$H$86:$AK$92,7,0))+(VLOOKUP($A665,$A$4:$O$27,12,0)*(HLOOKUP(R$660,'2.2.Brecha Efectiva x UdM'!$H$64:$AK$70,7,0))))</f>
        <v>0</v>
      </c>
      <c r="S665" s="32">
        <f>(VLOOKUP($A665,$A$458:$O$482,12,0)*(HLOOKUP(S$660,'2.2.Brecha Efectiva x UdM'!$H$86:$AK$92,7,0))+(VLOOKUP($A665,$A$4:$O$27,12,0)*(HLOOKUP(S$660,'2.2.Brecha Efectiva x UdM'!$H$64:$AK$70,7,0))))</f>
        <v>0</v>
      </c>
      <c r="T665" s="32">
        <f>(VLOOKUP($A665,$A$458:$O$482,12,0)*(HLOOKUP(T$660,'2.2.Brecha Efectiva x UdM'!$H$86:$AK$92,7,0))+(VLOOKUP($A665,$A$4:$O$27,12,0)*(HLOOKUP(T$660,'2.2.Brecha Efectiva x UdM'!$H$64:$AK$70,7,0))))</f>
        <v>0</v>
      </c>
      <c r="U665" s="32">
        <f>(VLOOKUP($A665,$A$458:$O$482,12,0)*(HLOOKUP(U$660,'2.2.Brecha Efectiva x UdM'!$H$86:$AK$92,7,0))+(VLOOKUP($A665,$A$4:$O$27,12,0)*(HLOOKUP(U$660,'2.2.Brecha Efectiva x UdM'!$H$64:$AK$70,7,0))))</f>
        <v>0</v>
      </c>
      <c r="V665" s="32">
        <f>(VLOOKUP($A665,$A$458:$O$482,12,0)*(HLOOKUP(V$660,'2.2.Brecha Efectiva x UdM'!$H$86:$AK$92,7,0))+(VLOOKUP($A665,$A$4:$O$27,12,0)*(HLOOKUP(V$660,'2.2.Brecha Efectiva x UdM'!$H$64:$AK$70,7,0))))</f>
        <v>0</v>
      </c>
      <c r="W665" s="32">
        <f>(VLOOKUP($A665,$A$458:$O$482,12,0)*(HLOOKUP(W$660,'2.2.Brecha Efectiva x UdM'!$H$86:$AK$92,7,0))+(VLOOKUP($A665,$A$4:$O$27,12,0)*(HLOOKUP(W$660,'2.2.Brecha Efectiva x UdM'!$H$64:$AK$70,7,0))))</f>
        <v>0</v>
      </c>
      <c r="X665" s="32">
        <f>(VLOOKUP($A665,$A$458:$O$482,12,0)*(HLOOKUP(X$660,'2.2.Brecha Efectiva x UdM'!$H$86:$AK$92,7,0))+(VLOOKUP($A665,$A$4:$O$27,12,0)*(HLOOKUP(X$660,'2.2.Brecha Efectiva x UdM'!$H$64:$AK$70,7,0))))</f>
        <v>0</v>
      </c>
      <c r="Y665" s="32">
        <f>(VLOOKUP($A665,$A$458:$O$482,12,0)*(HLOOKUP(Y$660,'2.2.Brecha Efectiva x UdM'!$H$86:$AK$92,7,0))+(VLOOKUP($A665,$A$4:$O$27,12,0)*(HLOOKUP(Y$660,'2.2.Brecha Efectiva x UdM'!$H$64:$AK$70,7,0))))</f>
        <v>0</v>
      </c>
      <c r="Z665" s="32">
        <f>(VLOOKUP($A665,$A$458:$O$482,12,0)*(HLOOKUP(Z$660,'2.2.Brecha Efectiva x UdM'!$H$86:$AK$92,7,0))+(VLOOKUP($A665,$A$4:$O$27,12,0)*(HLOOKUP(Z$660,'2.2.Brecha Efectiva x UdM'!$H$64:$AK$70,7,0))))</f>
        <v>0</v>
      </c>
      <c r="AA665" s="32">
        <f>(VLOOKUP($A665,$A$458:$O$482,12,0)*(HLOOKUP(AA$660,'2.2.Brecha Efectiva x UdM'!$H$86:$AK$92,7,0))+(VLOOKUP($A665,$A$4:$O$27,12,0)*(HLOOKUP(AA$660,'2.2.Brecha Efectiva x UdM'!$H$64:$AK$70,7,0))))</f>
        <v>0</v>
      </c>
      <c r="AB665" s="32">
        <f>(VLOOKUP($A665,$A$458:$O$482,12,0)*(HLOOKUP(AB$660,'2.2.Brecha Efectiva x UdM'!$H$86:$AK$92,7,0))+(VLOOKUP($A665,$A$4:$O$27,12,0)*(HLOOKUP(AB$660,'2.2.Brecha Efectiva x UdM'!$H$64:$AK$70,7,0))))</f>
        <v>0</v>
      </c>
      <c r="AC665" s="32">
        <f>(VLOOKUP($A665,$A$458:$O$482,12,0)*(HLOOKUP(AC$660,'2.2.Brecha Efectiva x UdM'!$H$86:$AK$92,7,0))+(VLOOKUP($A665,$A$4:$O$27,12,0)*(HLOOKUP(AC$660,'2.2.Brecha Efectiva x UdM'!$H$64:$AK$70,7,0))))</f>
        <v>0</v>
      </c>
      <c r="AD665" s="32">
        <f>(VLOOKUP($A665,$A$458:$O$482,12,0)*(HLOOKUP(AD$660,'2.2.Brecha Efectiva x UdM'!$H$86:$AK$92,7,0))+(VLOOKUP($A665,$A$4:$O$27,12,0)*(HLOOKUP(AD$660,'2.2.Brecha Efectiva x UdM'!$H$64:$AK$70,7,0))))</f>
        <v>0</v>
      </c>
      <c r="AE665" s="32">
        <f>(VLOOKUP($A665,$A$458:$O$482,12,0)*(HLOOKUP(AE$660,'2.2.Brecha Efectiva x UdM'!$H$86:$AK$92,7,0))+(VLOOKUP($A665,$A$4:$O$27,12,0)*(HLOOKUP(AE$660,'2.2.Brecha Efectiva x UdM'!$H$64:$AK$70,7,0))))</f>
        <v>0</v>
      </c>
      <c r="AF665" s="32">
        <f>(VLOOKUP($A665,$A$458:$O$482,12,0)*(HLOOKUP(AF$660,'2.2.Brecha Efectiva x UdM'!$H$86:$AK$92,7,0))+(VLOOKUP($A665,$A$4:$O$27,12,0)*(HLOOKUP(AF$660,'2.2.Brecha Efectiva x UdM'!$H$64:$AK$70,7,0))))</f>
        <v>0</v>
      </c>
      <c r="AG665" s="32">
        <f>(VLOOKUP($A665,$A$458:$O$482,12,0)*(HLOOKUP(AG$660,'2.2.Brecha Efectiva x UdM'!$H$86:$AK$92,7,0))+(VLOOKUP($A665,$A$4:$O$27,12,0)*(HLOOKUP(AG$660,'2.2.Brecha Efectiva x UdM'!$H$64:$AK$70,7,0))))</f>
        <v>0</v>
      </c>
      <c r="AH665" s="62">
        <f t="shared" si="637"/>
        <v>0</v>
      </c>
    </row>
    <row r="666" spans="1:34" hidden="1" x14ac:dyDescent="0.2">
      <c r="A666" s="26" t="str">
        <f t="shared" si="634"/>
        <v>Córdoba</v>
      </c>
      <c r="B666" s="52">
        <f t="shared" si="635"/>
        <v>0</v>
      </c>
      <c r="C666" s="26" t="str">
        <f t="shared" si="636"/>
        <v>Córdoba 0</v>
      </c>
      <c r="D666" s="31">
        <f>(VLOOKUP($A666,$A$458:$O$482,12,0)*(HLOOKUP(D$660,'2.2.Brecha Efectiva x UdM'!$H$86:$AK$92,7,0))+(VLOOKUP($A666,$A$4:$O$27,12,0)*(HLOOKUP(D$660,'2.2.Brecha Efectiva x UdM'!$H$64:$AK$70,7,0))))</f>
        <v>0</v>
      </c>
      <c r="E666" s="31">
        <f>(VLOOKUP($A666,$A$458:$O$482,12,0)*(HLOOKUP(E$660,'2.2.Brecha Efectiva x UdM'!$H$86:$AK$92,7,0))+(VLOOKUP($A666,$A$4:$O$27,12,0)*(HLOOKUP(E$660,'2.2.Brecha Efectiva x UdM'!$H$64:$AK$70,7,0))))</f>
        <v>0</v>
      </c>
      <c r="F666" s="31">
        <f>(VLOOKUP($A666,$A$458:$O$482,12,0)*(HLOOKUP(F$660,'2.2.Brecha Efectiva x UdM'!$H$86:$AK$92,7,0))+(VLOOKUP($A666,$A$4:$O$27,12,0)*(HLOOKUP(F$660,'2.2.Brecha Efectiva x UdM'!$H$64:$AK$70,7,0))))</f>
        <v>0</v>
      </c>
      <c r="G666" s="31">
        <f>(VLOOKUP($A666,$A$458:$O$482,12,0)*(HLOOKUP(G$660,'2.2.Brecha Efectiva x UdM'!$H$86:$AK$92,7,0))+(VLOOKUP($A666,$A$4:$O$27,12,0)*(HLOOKUP(G$660,'2.2.Brecha Efectiva x UdM'!$H$64:$AK$70,7,0))))</f>
        <v>0</v>
      </c>
      <c r="H666" s="31">
        <f>(VLOOKUP($A666,$A$458:$O$482,12,0)*(HLOOKUP(H$660,'2.2.Brecha Efectiva x UdM'!$H$86:$AK$92,7,0))+(VLOOKUP($A666,$A$4:$O$27,12,0)*(HLOOKUP(H$660,'2.2.Brecha Efectiva x UdM'!$H$64:$AK$70,7,0))))</f>
        <v>0</v>
      </c>
      <c r="I666" s="31">
        <f>(VLOOKUP($A666,$A$458:$O$482,12,0)*(HLOOKUP(I$660,'2.2.Brecha Efectiva x UdM'!$H$86:$AK$92,7,0))+(VLOOKUP($A666,$A$4:$O$27,12,0)*(HLOOKUP(I$660,'2.2.Brecha Efectiva x UdM'!$H$64:$AK$70,7,0))))</f>
        <v>0</v>
      </c>
      <c r="J666" s="31">
        <f>(VLOOKUP($A666,$A$458:$O$482,12,0)*(HLOOKUP(J$660,'2.2.Brecha Efectiva x UdM'!$H$86:$AK$92,7,0))+(VLOOKUP($A666,$A$4:$O$27,12,0)*(HLOOKUP(J$660,'2.2.Brecha Efectiva x UdM'!$H$64:$AK$70,7,0))))</f>
        <v>0</v>
      </c>
      <c r="K666" s="31">
        <f>(VLOOKUP($A666,$A$458:$O$482,12,0)*(HLOOKUP(K$660,'2.2.Brecha Efectiva x UdM'!$H$86:$AK$92,7,0))+(VLOOKUP($A666,$A$4:$O$27,12,0)*(HLOOKUP(K$660,'2.2.Brecha Efectiva x UdM'!$H$64:$AK$70,7,0))))</f>
        <v>0</v>
      </c>
      <c r="L666" s="31">
        <f>(VLOOKUP($A666,$A$458:$O$482,12,0)*(HLOOKUP(L$660,'2.2.Brecha Efectiva x UdM'!$H$86:$AK$92,7,0))+(VLOOKUP($A666,$A$4:$O$27,12,0)*(HLOOKUP(L$660,'2.2.Brecha Efectiva x UdM'!$H$64:$AK$70,7,0))))</f>
        <v>0</v>
      </c>
      <c r="M666" s="31">
        <f>(VLOOKUP($A666,$A$458:$O$482,12,0)*(HLOOKUP(M$660,'2.2.Brecha Efectiva x UdM'!$H$86:$AK$92,7,0))+(VLOOKUP($A666,$A$4:$O$27,12,0)*(HLOOKUP(M$660,'2.2.Brecha Efectiva x UdM'!$H$64:$AK$70,7,0))))</f>
        <v>0</v>
      </c>
      <c r="N666" s="31">
        <f>(VLOOKUP($A666,$A$458:$O$482,12,0)*(HLOOKUP(N$660,'2.2.Brecha Efectiva x UdM'!$H$86:$AK$92,7,0))+(VLOOKUP($A666,$A$4:$O$27,12,0)*(HLOOKUP(N$660,'2.2.Brecha Efectiva x UdM'!$H$64:$AK$70,7,0))))</f>
        <v>0</v>
      </c>
      <c r="O666" s="31">
        <f>(VLOOKUP($A666,$A$458:$O$482,12,0)*(HLOOKUP(O$660,'2.2.Brecha Efectiva x UdM'!$H$86:$AK$92,7,0))+(VLOOKUP($A666,$A$4:$O$27,12,0)*(HLOOKUP(O$660,'2.2.Brecha Efectiva x UdM'!$H$64:$AK$70,7,0))))</f>
        <v>0</v>
      </c>
      <c r="P666" s="31">
        <f>(VLOOKUP($A666,$A$458:$O$482,12,0)*(HLOOKUP(P$660,'2.2.Brecha Efectiva x UdM'!$H$86:$AK$92,7,0))+(VLOOKUP($A666,$A$4:$O$27,12,0)*(HLOOKUP(P$660,'2.2.Brecha Efectiva x UdM'!$H$64:$AK$70,7,0))))</f>
        <v>0</v>
      </c>
      <c r="Q666" s="31">
        <f>(VLOOKUP($A666,$A$458:$O$482,12,0)*(HLOOKUP(Q$660,'2.2.Brecha Efectiva x UdM'!$H$86:$AK$92,7,0))+(VLOOKUP($A666,$A$4:$O$27,12,0)*(HLOOKUP(Q$660,'2.2.Brecha Efectiva x UdM'!$H$64:$AK$70,7,0))))</f>
        <v>0</v>
      </c>
      <c r="R666" s="31">
        <f>(VLOOKUP($A666,$A$458:$O$482,12,0)*(HLOOKUP(R$660,'2.2.Brecha Efectiva x UdM'!$H$86:$AK$92,7,0))+(VLOOKUP($A666,$A$4:$O$27,12,0)*(HLOOKUP(R$660,'2.2.Brecha Efectiva x UdM'!$H$64:$AK$70,7,0))))</f>
        <v>0</v>
      </c>
      <c r="S666" s="31">
        <f>(VLOOKUP($A666,$A$458:$O$482,12,0)*(HLOOKUP(S$660,'2.2.Brecha Efectiva x UdM'!$H$86:$AK$92,7,0))+(VLOOKUP($A666,$A$4:$O$27,12,0)*(HLOOKUP(S$660,'2.2.Brecha Efectiva x UdM'!$H$64:$AK$70,7,0))))</f>
        <v>0</v>
      </c>
      <c r="T666" s="31">
        <f>(VLOOKUP($A666,$A$458:$O$482,12,0)*(HLOOKUP(T$660,'2.2.Brecha Efectiva x UdM'!$H$86:$AK$92,7,0))+(VLOOKUP($A666,$A$4:$O$27,12,0)*(HLOOKUP(T$660,'2.2.Brecha Efectiva x UdM'!$H$64:$AK$70,7,0))))</f>
        <v>0</v>
      </c>
      <c r="U666" s="31">
        <f>(VLOOKUP($A666,$A$458:$O$482,12,0)*(HLOOKUP(U$660,'2.2.Brecha Efectiva x UdM'!$H$86:$AK$92,7,0))+(VLOOKUP($A666,$A$4:$O$27,12,0)*(HLOOKUP(U$660,'2.2.Brecha Efectiva x UdM'!$H$64:$AK$70,7,0))))</f>
        <v>0</v>
      </c>
      <c r="V666" s="31">
        <f>(VLOOKUP($A666,$A$458:$O$482,12,0)*(HLOOKUP(V$660,'2.2.Brecha Efectiva x UdM'!$H$86:$AK$92,7,0))+(VLOOKUP($A666,$A$4:$O$27,12,0)*(HLOOKUP(V$660,'2.2.Brecha Efectiva x UdM'!$H$64:$AK$70,7,0))))</f>
        <v>0</v>
      </c>
      <c r="W666" s="31">
        <f>(VLOOKUP($A666,$A$458:$O$482,12,0)*(HLOOKUP(W$660,'2.2.Brecha Efectiva x UdM'!$H$86:$AK$92,7,0))+(VLOOKUP($A666,$A$4:$O$27,12,0)*(HLOOKUP(W$660,'2.2.Brecha Efectiva x UdM'!$H$64:$AK$70,7,0))))</f>
        <v>0</v>
      </c>
      <c r="X666" s="31">
        <f>(VLOOKUP($A666,$A$458:$O$482,12,0)*(HLOOKUP(X$660,'2.2.Brecha Efectiva x UdM'!$H$86:$AK$92,7,0))+(VLOOKUP($A666,$A$4:$O$27,12,0)*(HLOOKUP(X$660,'2.2.Brecha Efectiva x UdM'!$H$64:$AK$70,7,0))))</f>
        <v>0</v>
      </c>
      <c r="Y666" s="31">
        <f>(VLOOKUP($A666,$A$458:$O$482,12,0)*(HLOOKUP(Y$660,'2.2.Brecha Efectiva x UdM'!$H$86:$AK$92,7,0))+(VLOOKUP($A666,$A$4:$O$27,12,0)*(HLOOKUP(Y$660,'2.2.Brecha Efectiva x UdM'!$H$64:$AK$70,7,0))))</f>
        <v>0</v>
      </c>
      <c r="Z666" s="31">
        <f>(VLOOKUP($A666,$A$458:$O$482,12,0)*(HLOOKUP(Z$660,'2.2.Brecha Efectiva x UdM'!$H$86:$AK$92,7,0))+(VLOOKUP($A666,$A$4:$O$27,12,0)*(HLOOKUP(Z$660,'2.2.Brecha Efectiva x UdM'!$H$64:$AK$70,7,0))))</f>
        <v>0</v>
      </c>
      <c r="AA666" s="31">
        <f>(VLOOKUP($A666,$A$458:$O$482,12,0)*(HLOOKUP(AA$660,'2.2.Brecha Efectiva x UdM'!$H$86:$AK$92,7,0))+(VLOOKUP($A666,$A$4:$O$27,12,0)*(HLOOKUP(AA$660,'2.2.Brecha Efectiva x UdM'!$H$64:$AK$70,7,0))))</f>
        <v>0</v>
      </c>
      <c r="AB666" s="31">
        <f>(VLOOKUP($A666,$A$458:$O$482,12,0)*(HLOOKUP(AB$660,'2.2.Brecha Efectiva x UdM'!$H$86:$AK$92,7,0))+(VLOOKUP($A666,$A$4:$O$27,12,0)*(HLOOKUP(AB$660,'2.2.Brecha Efectiva x UdM'!$H$64:$AK$70,7,0))))</f>
        <v>0</v>
      </c>
      <c r="AC666" s="31">
        <f>(VLOOKUP($A666,$A$458:$O$482,12,0)*(HLOOKUP(AC$660,'2.2.Brecha Efectiva x UdM'!$H$86:$AK$92,7,0))+(VLOOKUP($A666,$A$4:$O$27,12,0)*(HLOOKUP(AC$660,'2.2.Brecha Efectiva x UdM'!$H$64:$AK$70,7,0))))</f>
        <v>0</v>
      </c>
      <c r="AD666" s="31">
        <f>(VLOOKUP($A666,$A$458:$O$482,12,0)*(HLOOKUP(AD$660,'2.2.Brecha Efectiva x UdM'!$H$86:$AK$92,7,0))+(VLOOKUP($A666,$A$4:$O$27,12,0)*(HLOOKUP(AD$660,'2.2.Brecha Efectiva x UdM'!$H$64:$AK$70,7,0))))</f>
        <v>0</v>
      </c>
      <c r="AE666" s="31">
        <f>(VLOOKUP($A666,$A$458:$O$482,12,0)*(HLOOKUP(AE$660,'2.2.Brecha Efectiva x UdM'!$H$86:$AK$92,7,0))+(VLOOKUP($A666,$A$4:$O$27,12,0)*(HLOOKUP(AE$660,'2.2.Brecha Efectiva x UdM'!$H$64:$AK$70,7,0))))</f>
        <v>0</v>
      </c>
      <c r="AF666" s="31">
        <f>(VLOOKUP($A666,$A$458:$O$482,12,0)*(HLOOKUP(AF$660,'2.2.Brecha Efectiva x UdM'!$H$86:$AK$92,7,0))+(VLOOKUP($A666,$A$4:$O$27,12,0)*(HLOOKUP(AF$660,'2.2.Brecha Efectiva x UdM'!$H$64:$AK$70,7,0))))</f>
        <v>0</v>
      </c>
      <c r="AG666" s="31">
        <f>(VLOOKUP($A666,$A$458:$O$482,12,0)*(HLOOKUP(AG$660,'2.2.Brecha Efectiva x UdM'!$H$86:$AK$92,7,0))+(VLOOKUP($A666,$A$4:$O$27,12,0)*(HLOOKUP(AG$660,'2.2.Brecha Efectiva x UdM'!$H$64:$AK$70,7,0))))</f>
        <v>0</v>
      </c>
      <c r="AH666" s="63">
        <f t="shared" si="637"/>
        <v>0</v>
      </c>
    </row>
    <row r="667" spans="1:34" hidden="1" x14ac:dyDescent="0.2">
      <c r="A667" s="25" t="str">
        <f t="shared" si="634"/>
        <v>Corrientes</v>
      </c>
      <c r="B667" s="51">
        <f t="shared" si="635"/>
        <v>0</v>
      </c>
      <c r="C667" s="25" t="str">
        <f t="shared" si="636"/>
        <v>Corrientes 0</v>
      </c>
      <c r="D667" s="32">
        <f>(VLOOKUP($A667,$A$458:$O$482,12,0)*(HLOOKUP(D$660,'2.2.Brecha Efectiva x UdM'!$H$86:$AK$92,7,0))+(VLOOKUP($A667,$A$4:$O$27,12,0)*(HLOOKUP(D$660,'2.2.Brecha Efectiva x UdM'!$H$64:$AK$70,7,0))))</f>
        <v>0</v>
      </c>
      <c r="E667" s="32">
        <f>(VLOOKUP($A667,$A$458:$O$482,12,0)*(HLOOKUP(E$660,'2.2.Brecha Efectiva x UdM'!$H$86:$AK$92,7,0))+(VLOOKUP($A667,$A$4:$O$27,12,0)*(HLOOKUP(E$660,'2.2.Brecha Efectiva x UdM'!$H$64:$AK$70,7,0))))</f>
        <v>0</v>
      </c>
      <c r="F667" s="32">
        <f>(VLOOKUP($A667,$A$458:$O$482,12,0)*(HLOOKUP(F$660,'2.2.Brecha Efectiva x UdM'!$H$86:$AK$92,7,0))+(VLOOKUP($A667,$A$4:$O$27,12,0)*(HLOOKUP(F$660,'2.2.Brecha Efectiva x UdM'!$H$64:$AK$70,7,0))))</f>
        <v>0</v>
      </c>
      <c r="G667" s="32">
        <f>(VLOOKUP($A667,$A$458:$O$482,12,0)*(HLOOKUP(G$660,'2.2.Brecha Efectiva x UdM'!$H$86:$AK$92,7,0))+(VLOOKUP($A667,$A$4:$O$27,12,0)*(HLOOKUP(G$660,'2.2.Brecha Efectiva x UdM'!$H$64:$AK$70,7,0))))</f>
        <v>0</v>
      </c>
      <c r="H667" s="32">
        <f>(VLOOKUP($A667,$A$458:$O$482,12,0)*(HLOOKUP(H$660,'2.2.Brecha Efectiva x UdM'!$H$86:$AK$92,7,0))+(VLOOKUP($A667,$A$4:$O$27,12,0)*(HLOOKUP(H$660,'2.2.Brecha Efectiva x UdM'!$H$64:$AK$70,7,0))))</f>
        <v>0</v>
      </c>
      <c r="I667" s="32">
        <f>(VLOOKUP($A667,$A$458:$O$482,12,0)*(HLOOKUP(I$660,'2.2.Brecha Efectiva x UdM'!$H$86:$AK$92,7,0))+(VLOOKUP($A667,$A$4:$O$27,12,0)*(HLOOKUP(I$660,'2.2.Brecha Efectiva x UdM'!$H$64:$AK$70,7,0))))</f>
        <v>0</v>
      </c>
      <c r="J667" s="32">
        <f>(VLOOKUP($A667,$A$458:$O$482,12,0)*(HLOOKUP(J$660,'2.2.Brecha Efectiva x UdM'!$H$86:$AK$92,7,0))+(VLOOKUP($A667,$A$4:$O$27,12,0)*(HLOOKUP(J$660,'2.2.Brecha Efectiva x UdM'!$H$64:$AK$70,7,0))))</f>
        <v>0</v>
      </c>
      <c r="K667" s="32">
        <f>(VLOOKUP($A667,$A$458:$O$482,12,0)*(HLOOKUP(K$660,'2.2.Brecha Efectiva x UdM'!$H$86:$AK$92,7,0))+(VLOOKUP($A667,$A$4:$O$27,12,0)*(HLOOKUP(K$660,'2.2.Brecha Efectiva x UdM'!$H$64:$AK$70,7,0))))</f>
        <v>0</v>
      </c>
      <c r="L667" s="32">
        <f>(VLOOKUP($A667,$A$458:$O$482,12,0)*(HLOOKUP(L$660,'2.2.Brecha Efectiva x UdM'!$H$86:$AK$92,7,0))+(VLOOKUP($A667,$A$4:$O$27,12,0)*(HLOOKUP(L$660,'2.2.Brecha Efectiva x UdM'!$H$64:$AK$70,7,0))))</f>
        <v>0</v>
      </c>
      <c r="M667" s="32">
        <f>(VLOOKUP($A667,$A$458:$O$482,12,0)*(HLOOKUP(M$660,'2.2.Brecha Efectiva x UdM'!$H$86:$AK$92,7,0))+(VLOOKUP($A667,$A$4:$O$27,12,0)*(HLOOKUP(M$660,'2.2.Brecha Efectiva x UdM'!$H$64:$AK$70,7,0))))</f>
        <v>0</v>
      </c>
      <c r="N667" s="32">
        <f>(VLOOKUP($A667,$A$458:$O$482,12,0)*(HLOOKUP(N$660,'2.2.Brecha Efectiva x UdM'!$H$86:$AK$92,7,0))+(VLOOKUP($A667,$A$4:$O$27,12,0)*(HLOOKUP(N$660,'2.2.Brecha Efectiva x UdM'!$H$64:$AK$70,7,0))))</f>
        <v>0</v>
      </c>
      <c r="O667" s="32">
        <f>(VLOOKUP($A667,$A$458:$O$482,12,0)*(HLOOKUP(O$660,'2.2.Brecha Efectiva x UdM'!$H$86:$AK$92,7,0))+(VLOOKUP($A667,$A$4:$O$27,12,0)*(HLOOKUP(O$660,'2.2.Brecha Efectiva x UdM'!$H$64:$AK$70,7,0))))</f>
        <v>0</v>
      </c>
      <c r="P667" s="32">
        <f>(VLOOKUP($A667,$A$458:$O$482,12,0)*(HLOOKUP(P$660,'2.2.Brecha Efectiva x UdM'!$H$86:$AK$92,7,0))+(VLOOKUP($A667,$A$4:$O$27,12,0)*(HLOOKUP(P$660,'2.2.Brecha Efectiva x UdM'!$H$64:$AK$70,7,0))))</f>
        <v>0</v>
      </c>
      <c r="Q667" s="32">
        <f>(VLOOKUP($A667,$A$458:$O$482,12,0)*(HLOOKUP(Q$660,'2.2.Brecha Efectiva x UdM'!$H$86:$AK$92,7,0))+(VLOOKUP($A667,$A$4:$O$27,12,0)*(HLOOKUP(Q$660,'2.2.Brecha Efectiva x UdM'!$H$64:$AK$70,7,0))))</f>
        <v>0</v>
      </c>
      <c r="R667" s="32">
        <f>(VLOOKUP($A667,$A$458:$O$482,12,0)*(HLOOKUP(R$660,'2.2.Brecha Efectiva x UdM'!$H$86:$AK$92,7,0))+(VLOOKUP($A667,$A$4:$O$27,12,0)*(HLOOKUP(R$660,'2.2.Brecha Efectiva x UdM'!$H$64:$AK$70,7,0))))</f>
        <v>0</v>
      </c>
      <c r="S667" s="32">
        <f>(VLOOKUP($A667,$A$458:$O$482,12,0)*(HLOOKUP(S$660,'2.2.Brecha Efectiva x UdM'!$H$86:$AK$92,7,0))+(VLOOKUP($A667,$A$4:$O$27,12,0)*(HLOOKUP(S$660,'2.2.Brecha Efectiva x UdM'!$H$64:$AK$70,7,0))))</f>
        <v>0</v>
      </c>
      <c r="T667" s="32">
        <f>(VLOOKUP($A667,$A$458:$O$482,12,0)*(HLOOKUP(T$660,'2.2.Brecha Efectiva x UdM'!$H$86:$AK$92,7,0))+(VLOOKUP($A667,$A$4:$O$27,12,0)*(HLOOKUP(T$660,'2.2.Brecha Efectiva x UdM'!$H$64:$AK$70,7,0))))</f>
        <v>0</v>
      </c>
      <c r="U667" s="32">
        <f>(VLOOKUP($A667,$A$458:$O$482,12,0)*(HLOOKUP(U$660,'2.2.Brecha Efectiva x UdM'!$H$86:$AK$92,7,0))+(VLOOKUP($A667,$A$4:$O$27,12,0)*(HLOOKUP(U$660,'2.2.Brecha Efectiva x UdM'!$H$64:$AK$70,7,0))))</f>
        <v>0</v>
      </c>
      <c r="V667" s="32">
        <f>(VLOOKUP($A667,$A$458:$O$482,12,0)*(HLOOKUP(V$660,'2.2.Brecha Efectiva x UdM'!$H$86:$AK$92,7,0))+(VLOOKUP($A667,$A$4:$O$27,12,0)*(HLOOKUP(V$660,'2.2.Brecha Efectiva x UdM'!$H$64:$AK$70,7,0))))</f>
        <v>0</v>
      </c>
      <c r="W667" s="32">
        <f>(VLOOKUP($A667,$A$458:$O$482,12,0)*(HLOOKUP(W$660,'2.2.Brecha Efectiva x UdM'!$H$86:$AK$92,7,0))+(VLOOKUP($A667,$A$4:$O$27,12,0)*(HLOOKUP(W$660,'2.2.Brecha Efectiva x UdM'!$H$64:$AK$70,7,0))))</f>
        <v>0</v>
      </c>
      <c r="X667" s="32">
        <f>(VLOOKUP($A667,$A$458:$O$482,12,0)*(HLOOKUP(X$660,'2.2.Brecha Efectiva x UdM'!$H$86:$AK$92,7,0))+(VLOOKUP($A667,$A$4:$O$27,12,0)*(HLOOKUP(X$660,'2.2.Brecha Efectiva x UdM'!$H$64:$AK$70,7,0))))</f>
        <v>0</v>
      </c>
      <c r="Y667" s="32">
        <f>(VLOOKUP($A667,$A$458:$O$482,12,0)*(HLOOKUP(Y$660,'2.2.Brecha Efectiva x UdM'!$H$86:$AK$92,7,0))+(VLOOKUP($A667,$A$4:$O$27,12,0)*(HLOOKUP(Y$660,'2.2.Brecha Efectiva x UdM'!$H$64:$AK$70,7,0))))</f>
        <v>0</v>
      </c>
      <c r="Z667" s="32">
        <f>(VLOOKUP($A667,$A$458:$O$482,12,0)*(HLOOKUP(Z$660,'2.2.Brecha Efectiva x UdM'!$H$86:$AK$92,7,0))+(VLOOKUP($A667,$A$4:$O$27,12,0)*(HLOOKUP(Z$660,'2.2.Brecha Efectiva x UdM'!$H$64:$AK$70,7,0))))</f>
        <v>0</v>
      </c>
      <c r="AA667" s="32">
        <f>(VLOOKUP($A667,$A$458:$O$482,12,0)*(HLOOKUP(AA$660,'2.2.Brecha Efectiva x UdM'!$H$86:$AK$92,7,0))+(VLOOKUP($A667,$A$4:$O$27,12,0)*(HLOOKUP(AA$660,'2.2.Brecha Efectiva x UdM'!$H$64:$AK$70,7,0))))</f>
        <v>0</v>
      </c>
      <c r="AB667" s="32">
        <f>(VLOOKUP($A667,$A$458:$O$482,12,0)*(HLOOKUP(AB$660,'2.2.Brecha Efectiva x UdM'!$H$86:$AK$92,7,0))+(VLOOKUP($A667,$A$4:$O$27,12,0)*(HLOOKUP(AB$660,'2.2.Brecha Efectiva x UdM'!$H$64:$AK$70,7,0))))</f>
        <v>0</v>
      </c>
      <c r="AC667" s="32">
        <f>(VLOOKUP($A667,$A$458:$O$482,12,0)*(HLOOKUP(AC$660,'2.2.Brecha Efectiva x UdM'!$H$86:$AK$92,7,0))+(VLOOKUP($A667,$A$4:$O$27,12,0)*(HLOOKUP(AC$660,'2.2.Brecha Efectiva x UdM'!$H$64:$AK$70,7,0))))</f>
        <v>0</v>
      </c>
      <c r="AD667" s="32">
        <f>(VLOOKUP($A667,$A$458:$O$482,12,0)*(HLOOKUP(AD$660,'2.2.Brecha Efectiva x UdM'!$H$86:$AK$92,7,0))+(VLOOKUP($A667,$A$4:$O$27,12,0)*(HLOOKUP(AD$660,'2.2.Brecha Efectiva x UdM'!$H$64:$AK$70,7,0))))</f>
        <v>0</v>
      </c>
      <c r="AE667" s="32">
        <f>(VLOOKUP($A667,$A$458:$O$482,12,0)*(HLOOKUP(AE$660,'2.2.Brecha Efectiva x UdM'!$H$86:$AK$92,7,0))+(VLOOKUP($A667,$A$4:$O$27,12,0)*(HLOOKUP(AE$660,'2.2.Brecha Efectiva x UdM'!$H$64:$AK$70,7,0))))</f>
        <v>0</v>
      </c>
      <c r="AF667" s="32">
        <f>(VLOOKUP($A667,$A$458:$O$482,12,0)*(HLOOKUP(AF$660,'2.2.Brecha Efectiva x UdM'!$H$86:$AK$92,7,0))+(VLOOKUP($A667,$A$4:$O$27,12,0)*(HLOOKUP(AF$660,'2.2.Brecha Efectiva x UdM'!$H$64:$AK$70,7,0))))</f>
        <v>0</v>
      </c>
      <c r="AG667" s="32">
        <f>(VLOOKUP($A667,$A$458:$O$482,12,0)*(HLOOKUP(AG$660,'2.2.Brecha Efectiva x UdM'!$H$86:$AK$92,7,0))+(VLOOKUP($A667,$A$4:$O$27,12,0)*(HLOOKUP(AG$660,'2.2.Brecha Efectiva x UdM'!$H$64:$AK$70,7,0))))</f>
        <v>0</v>
      </c>
      <c r="AH667" s="62">
        <f t="shared" si="637"/>
        <v>0</v>
      </c>
    </row>
    <row r="668" spans="1:34" hidden="1" x14ac:dyDescent="0.2">
      <c r="A668" s="26" t="str">
        <f t="shared" si="634"/>
        <v>Entre Ríos</v>
      </c>
      <c r="B668" s="52">
        <f t="shared" si="635"/>
        <v>0</v>
      </c>
      <c r="C668" s="26" t="str">
        <f t="shared" si="636"/>
        <v>Entre Ríos 0</v>
      </c>
      <c r="D668" s="31">
        <f>(VLOOKUP($A668,$A$458:$O$482,12,0)*(HLOOKUP(D$660,'2.2.Brecha Efectiva x UdM'!$H$86:$AK$92,7,0))+(VLOOKUP($A668,$A$4:$O$27,12,0)*(HLOOKUP(D$660,'2.2.Brecha Efectiva x UdM'!$H$64:$AK$70,7,0))))</f>
        <v>0</v>
      </c>
      <c r="E668" s="31">
        <f>(VLOOKUP($A668,$A$458:$O$482,12,0)*(HLOOKUP(E$660,'2.2.Brecha Efectiva x UdM'!$H$86:$AK$92,7,0))+(VLOOKUP($A668,$A$4:$O$27,12,0)*(HLOOKUP(E$660,'2.2.Brecha Efectiva x UdM'!$H$64:$AK$70,7,0))))</f>
        <v>0</v>
      </c>
      <c r="F668" s="31">
        <f>(VLOOKUP($A668,$A$458:$O$482,12,0)*(HLOOKUP(F$660,'2.2.Brecha Efectiva x UdM'!$H$86:$AK$92,7,0))+(VLOOKUP($A668,$A$4:$O$27,12,0)*(HLOOKUP(F$660,'2.2.Brecha Efectiva x UdM'!$H$64:$AK$70,7,0))))</f>
        <v>0</v>
      </c>
      <c r="G668" s="31">
        <f>(VLOOKUP($A668,$A$458:$O$482,12,0)*(HLOOKUP(G$660,'2.2.Brecha Efectiva x UdM'!$H$86:$AK$92,7,0))+(VLOOKUP($A668,$A$4:$O$27,12,0)*(HLOOKUP(G$660,'2.2.Brecha Efectiva x UdM'!$H$64:$AK$70,7,0))))</f>
        <v>0</v>
      </c>
      <c r="H668" s="31">
        <f>(VLOOKUP($A668,$A$458:$O$482,12,0)*(HLOOKUP(H$660,'2.2.Brecha Efectiva x UdM'!$H$86:$AK$92,7,0))+(VLOOKUP($A668,$A$4:$O$27,12,0)*(HLOOKUP(H$660,'2.2.Brecha Efectiva x UdM'!$H$64:$AK$70,7,0))))</f>
        <v>0</v>
      </c>
      <c r="I668" s="31">
        <f>(VLOOKUP($A668,$A$458:$O$482,12,0)*(HLOOKUP(I$660,'2.2.Brecha Efectiva x UdM'!$H$86:$AK$92,7,0))+(VLOOKUP($A668,$A$4:$O$27,12,0)*(HLOOKUP(I$660,'2.2.Brecha Efectiva x UdM'!$H$64:$AK$70,7,0))))</f>
        <v>0</v>
      </c>
      <c r="J668" s="31">
        <f>(VLOOKUP($A668,$A$458:$O$482,12,0)*(HLOOKUP(J$660,'2.2.Brecha Efectiva x UdM'!$H$86:$AK$92,7,0))+(VLOOKUP($A668,$A$4:$O$27,12,0)*(HLOOKUP(J$660,'2.2.Brecha Efectiva x UdM'!$H$64:$AK$70,7,0))))</f>
        <v>0</v>
      </c>
      <c r="K668" s="31">
        <f>(VLOOKUP($A668,$A$458:$O$482,12,0)*(HLOOKUP(K$660,'2.2.Brecha Efectiva x UdM'!$H$86:$AK$92,7,0))+(VLOOKUP($A668,$A$4:$O$27,12,0)*(HLOOKUP(K$660,'2.2.Brecha Efectiva x UdM'!$H$64:$AK$70,7,0))))</f>
        <v>0</v>
      </c>
      <c r="L668" s="31">
        <f>(VLOOKUP($A668,$A$458:$O$482,12,0)*(HLOOKUP(L$660,'2.2.Brecha Efectiva x UdM'!$H$86:$AK$92,7,0))+(VLOOKUP($A668,$A$4:$O$27,12,0)*(HLOOKUP(L$660,'2.2.Brecha Efectiva x UdM'!$H$64:$AK$70,7,0))))</f>
        <v>0</v>
      </c>
      <c r="M668" s="31">
        <f>(VLOOKUP($A668,$A$458:$O$482,12,0)*(HLOOKUP(M$660,'2.2.Brecha Efectiva x UdM'!$H$86:$AK$92,7,0))+(VLOOKUP($A668,$A$4:$O$27,12,0)*(HLOOKUP(M$660,'2.2.Brecha Efectiva x UdM'!$H$64:$AK$70,7,0))))</f>
        <v>0</v>
      </c>
      <c r="N668" s="31">
        <f>(VLOOKUP($A668,$A$458:$O$482,12,0)*(HLOOKUP(N$660,'2.2.Brecha Efectiva x UdM'!$H$86:$AK$92,7,0))+(VLOOKUP($A668,$A$4:$O$27,12,0)*(HLOOKUP(N$660,'2.2.Brecha Efectiva x UdM'!$H$64:$AK$70,7,0))))</f>
        <v>0</v>
      </c>
      <c r="O668" s="31">
        <f>(VLOOKUP($A668,$A$458:$O$482,12,0)*(HLOOKUP(O$660,'2.2.Brecha Efectiva x UdM'!$H$86:$AK$92,7,0))+(VLOOKUP($A668,$A$4:$O$27,12,0)*(HLOOKUP(O$660,'2.2.Brecha Efectiva x UdM'!$H$64:$AK$70,7,0))))</f>
        <v>0</v>
      </c>
      <c r="P668" s="31">
        <f>(VLOOKUP($A668,$A$458:$O$482,12,0)*(HLOOKUP(P$660,'2.2.Brecha Efectiva x UdM'!$H$86:$AK$92,7,0))+(VLOOKUP($A668,$A$4:$O$27,12,0)*(HLOOKUP(P$660,'2.2.Brecha Efectiva x UdM'!$H$64:$AK$70,7,0))))</f>
        <v>0</v>
      </c>
      <c r="Q668" s="31">
        <f>(VLOOKUP($A668,$A$458:$O$482,12,0)*(HLOOKUP(Q$660,'2.2.Brecha Efectiva x UdM'!$H$86:$AK$92,7,0))+(VLOOKUP($A668,$A$4:$O$27,12,0)*(HLOOKUP(Q$660,'2.2.Brecha Efectiva x UdM'!$H$64:$AK$70,7,0))))</f>
        <v>0</v>
      </c>
      <c r="R668" s="31">
        <f>(VLOOKUP($A668,$A$458:$O$482,12,0)*(HLOOKUP(R$660,'2.2.Brecha Efectiva x UdM'!$H$86:$AK$92,7,0))+(VLOOKUP($A668,$A$4:$O$27,12,0)*(HLOOKUP(R$660,'2.2.Brecha Efectiva x UdM'!$H$64:$AK$70,7,0))))</f>
        <v>0</v>
      </c>
      <c r="S668" s="31">
        <f>(VLOOKUP($A668,$A$458:$O$482,12,0)*(HLOOKUP(S$660,'2.2.Brecha Efectiva x UdM'!$H$86:$AK$92,7,0))+(VLOOKUP($A668,$A$4:$O$27,12,0)*(HLOOKUP(S$660,'2.2.Brecha Efectiva x UdM'!$H$64:$AK$70,7,0))))</f>
        <v>0</v>
      </c>
      <c r="T668" s="31">
        <f>(VLOOKUP($A668,$A$458:$O$482,12,0)*(HLOOKUP(T$660,'2.2.Brecha Efectiva x UdM'!$H$86:$AK$92,7,0))+(VLOOKUP($A668,$A$4:$O$27,12,0)*(HLOOKUP(T$660,'2.2.Brecha Efectiva x UdM'!$H$64:$AK$70,7,0))))</f>
        <v>0</v>
      </c>
      <c r="U668" s="31">
        <f>(VLOOKUP($A668,$A$458:$O$482,12,0)*(HLOOKUP(U$660,'2.2.Brecha Efectiva x UdM'!$H$86:$AK$92,7,0))+(VLOOKUP($A668,$A$4:$O$27,12,0)*(HLOOKUP(U$660,'2.2.Brecha Efectiva x UdM'!$H$64:$AK$70,7,0))))</f>
        <v>0</v>
      </c>
      <c r="V668" s="31">
        <f>(VLOOKUP($A668,$A$458:$O$482,12,0)*(HLOOKUP(V$660,'2.2.Brecha Efectiva x UdM'!$H$86:$AK$92,7,0))+(VLOOKUP($A668,$A$4:$O$27,12,0)*(HLOOKUP(V$660,'2.2.Brecha Efectiva x UdM'!$H$64:$AK$70,7,0))))</f>
        <v>0</v>
      </c>
      <c r="W668" s="31">
        <f>(VLOOKUP($A668,$A$458:$O$482,12,0)*(HLOOKUP(W$660,'2.2.Brecha Efectiva x UdM'!$H$86:$AK$92,7,0))+(VLOOKUP($A668,$A$4:$O$27,12,0)*(HLOOKUP(W$660,'2.2.Brecha Efectiva x UdM'!$H$64:$AK$70,7,0))))</f>
        <v>0</v>
      </c>
      <c r="X668" s="31">
        <f>(VLOOKUP($A668,$A$458:$O$482,12,0)*(HLOOKUP(X$660,'2.2.Brecha Efectiva x UdM'!$H$86:$AK$92,7,0))+(VLOOKUP($A668,$A$4:$O$27,12,0)*(HLOOKUP(X$660,'2.2.Brecha Efectiva x UdM'!$H$64:$AK$70,7,0))))</f>
        <v>0</v>
      </c>
      <c r="Y668" s="31">
        <f>(VLOOKUP($A668,$A$458:$O$482,12,0)*(HLOOKUP(Y$660,'2.2.Brecha Efectiva x UdM'!$H$86:$AK$92,7,0))+(VLOOKUP($A668,$A$4:$O$27,12,0)*(HLOOKUP(Y$660,'2.2.Brecha Efectiva x UdM'!$H$64:$AK$70,7,0))))</f>
        <v>0</v>
      </c>
      <c r="Z668" s="31">
        <f>(VLOOKUP($A668,$A$458:$O$482,12,0)*(HLOOKUP(Z$660,'2.2.Brecha Efectiva x UdM'!$H$86:$AK$92,7,0))+(VLOOKUP($A668,$A$4:$O$27,12,0)*(HLOOKUP(Z$660,'2.2.Brecha Efectiva x UdM'!$H$64:$AK$70,7,0))))</f>
        <v>0</v>
      </c>
      <c r="AA668" s="31">
        <f>(VLOOKUP($A668,$A$458:$O$482,12,0)*(HLOOKUP(AA$660,'2.2.Brecha Efectiva x UdM'!$H$86:$AK$92,7,0))+(VLOOKUP($A668,$A$4:$O$27,12,0)*(HLOOKUP(AA$660,'2.2.Brecha Efectiva x UdM'!$H$64:$AK$70,7,0))))</f>
        <v>0</v>
      </c>
      <c r="AB668" s="31">
        <f>(VLOOKUP($A668,$A$458:$O$482,12,0)*(HLOOKUP(AB$660,'2.2.Brecha Efectiva x UdM'!$H$86:$AK$92,7,0))+(VLOOKUP($A668,$A$4:$O$27,12,0)*(HLOOKUP(AB$660,'2.2.Brecha Efectiva x UdM'!$H$64:$AK$70,7,0))))</f>
        <v>0</v>
      </c>
      <c r="AC668" s="31">
        <f>(VLOOKUP($A668,$A$458:$O$482,12,0)*(HLOOKUP(AC$660,'2.2.Brecha Efectiva x UdM'!$H$86:$AK$92,7,0))+(VLOOKUP($A668,$A$4:$O$27,12,0)*(HLOOKUP(AC$660,'2.2.Brecha Efectiva x UdM'!$H$64:$AK$70,7,0))))</f>
        <v>0</v>
      </c>
      <c r="AD668" s="31">
        <f>(VLOOKUP($A668,$A$458:$O$482,12,0)*(HLOOKUP(AD$660,'2.2.Brecha Efectiva x UdM'!$H$86:$AK$92,7,0))+(VLOOKUP($A668,$A$4:$O$27,12,0)*(HLOOKUP(AD$660,'2.2.Brecha Efectiva x UdM'!$H$64:$AK$70,7,0))))</f>
        <v>0</v>
      </c>
      <c r="AE668" s="31">
        <f>(VLOOKUP($A668,$A$458:$O$482,12,0)*(HLOOKUP(AE$660,'2.2.Brecha Efectiva x UdM'!$H$86:$AK$92,7,0))+(VLOOKUP($A668,$A$4:$O$27,12,0)*(HLOOKUP(AE$660,'2.2.Brecha Efectiva x UdM'!$H$64:$AK$70,7,0))))</f>
        <v>0</v>
      </c>
      <c r="AF668" s="31">
        <f>(VLOOKUP($A668,$A$458:$O$482,12,0)*(HLOOKUP(AF$660,'2.2.Brecha Efectiva x UdM'!$H$86:$AK$92,7,0))+(VLOOKUP($A668,$A$4:$O$27,12,0)*(HLOOKUP(AF$660,'2.2.Brecha Efectiva x UdM'!$H$64:$AK$70,7,0))))</f>
        <v>0</v>
      </c>
      <c r="AG668" s="31">
        <f>(VLOOKUP($A668,$A$458:$O$482,12,0)*(HLOOKUP(AG$660,'2.2.Brecha Efectiva x UdM'!$H$86:$AK$92,7,0))+(VLOOKUP($A668,$A$4:$O$27,12,0)*(HLOOKUP(AG$660,'2.2.Brecha Efectiva x UdM'!$H$64:$AK$70,7,0))))</f>
        <v>0</v>
      </c>
      <c r="AH668" s="63">
        <f t="shared" si="637"/>
        <v>0</v>
      </c>
    </row>
    <row r="669" spans="1:34" hidden="1" x14ac:dyDescent="0.2">
      <c r="A669" s="25" t="str">
        <f t="shared" si="634"/>
        <v>Formosa</v>
      </c>
      <c r="B669" s="51">
        <f t="shared" si="635"/>
        <v>0</v>
      </c>
      <c r="C669" s="25" t="str">
        <f t="shared" si="636"/>
        <v>Formosa 0</v>
      </c>
      <c r="D669" s="32">
        <f>(VLOOKUP($A669,$A$458:$O$482,12,0)*(HLOOKUP(D$660,'2.2.Brecha Efectiva x UdM'!$H$86:$AK$92,7,0))+(VLOOKUP($A669,$A$4:$O$27,12,0)*(HLOOKUP(D$660,'2.2.Brecha Efectiva x UdM'!$H$64:$AK$70,7,0))))</f>
        <v>0</v>
      </c>
      <c r="E669" s="32">
        <f>(VLOOKUP($A669,$A$458:$O$482,12,0)*(HLOOKUP(E$660,'2.2.Brecha Efectiva x UdM'!$H$86:$AK$92,7,0))+(VLOOKUP($A669,$A$4:$O$27,12,0)*(HLOOKUP(E$660,'2.2.Brecha Efectiva x UdM'!$H$64:$AK$70,7,0))))</f>
        <v>0</v>
      </c>
      <c r="F669" s="32">
        <f>(VLOOKUP($A669,$A$458:$O$482,12,0)*(HLOOKUP(F$660,'2.2.Brecha Efectiva x UdM'!$H$86:$AK$92,7,0))+(VLOOKUP($A669,$A$4:$O$27,12,0)*(HLOOKUP(F$660,'2.2.Brecha Efectiva x UdM'!$H$64:$AK$70,7,0))))</f>
        <v>0</v>
      </c>
      <c r="G669" s="32">
        <f>(VLOOKUP($A669,$A$458:$O$482,12,0)*(HLOOKUP(G$660,'2.2.Brecha Efectiva x UdM'!$H$86:$AK$92,7,0))+(VLOOKUP($A669,$A$4:$O$27,12,0)*(HLOOKUP(G$660,'2.2.Brecha Efectiva x UdM'!$H$64:$AK$70,7,0))))</f>
        <v>0</v>
      </c>
      <c r="H669" s="32">
        <f>(VLOOKUP($A669,$A$458:$O$482,12,0)*(HLOOKUP(H$660,'2.2.Brecha Efectiva x UdM'!$H$86:$AK$92,7,0))+(VLOOKUP($A669,$A$4:$O$27,12,0)*(HLOOKUP(H$660,'2.2.Brecha Efectiva x UdM'!$H$64:$AK$70,7,0))))</f>
        <v>0</v>
      </c>
      <c r="I669" s="32">
        <f>(VLOOKUP($A669,$A$458:$O$482,12,0)*(HLOOKUP(I$660,'2.2.Brecha Efectiva x UdM'!$H$86:$AK$92,7,0))+(VLOOKUP($A669,$A$4:$O$27,12,0)*(HLOOKUP(I$660,'2.2.Brecha Efectiva x UdM'!$H$64:$AK$70,7,0))))</f>
        <v>0</v>
      </c>
      <c r="J669" s="32">
        <f>(VLOOKUP($A669,$A$458:$O$482,12,0)*(HLOOKUP(J$660,'2.2.Brecha Efectiva x UdM'!$H$86:$AK$92,7,0))+(VLOOKUP($A669,$A$4:$O$27,12,0)*(HLOOKUP(J$660,'2.2.Brecha Efectiva x UdM'!$H$64:$AK$70,7,0))))</f>
        <v>0</v>
      </c>
      <c r="K669" s="32">
        <f>(VLOOKUP($A669,$A$458:$O$482,12,0)*(HLOOKUP(K$660,'2.2.Brecha Efectiva x UdM'!$H$86:$AK$92,7,0))+(VLOOKUP($A669,$A$4:$O$27,12,0)*(HLOOKUP(K$660,'2.2.Brecha Efectiva x UdM'!$H$64:$AK$70,7,0))))</f>
        <v>0</v>
      </c>
      <c r="L669" s="32">
        <f>(VLOOKUP($A669,$A$458:$O$482,12,0)*(HLOOKUP(L$660,'2.2.Brecha Efectiva x UdM'!$H$86:$AK$92,7,0))+(VLOOKUP($A669,$A$4:$O$27,12,0)*(HLOOKUP(L$660,'2.2.Brecha Efectiva x UdM'!$H$64:$AK$70,7,0))))</f>
        <v>0</v>
      </c>
      <c r="M669" s="32">
        <f>(VLOOKUP($A669,$A$458:$O$482,12,0)*(HLOOKUP(M$660,'2.2.Brecha Efectiva x UdM'!$H$86:$AK$92,7,0))+(VLOOKUP($A669,$A$4:$O$27,12,0)*(HLOOKUP(M$660,'2.2.Brecha Efectiva x UdM'!$H$64:$AK$70,7,0))))</f>
        <v>0</v>
      </c>
      <c r="N669" s="32">
        <f>(VLOOKUP($A669,$A$458:$O$482,12,0)*(HLOOKUP(N$660,'2.2.Brecha Efectiva x UdM'!$H$86:$AK$92,7,0))+(VLOOKUP($A669,$A$4:$O$27,12,0)*(HLOOKUP(N$660,'2.2.Brecha Efectiva x UdM'!$H$64:$AK$70,7,0))))</f>
        <v>0</v>
      </c>
      <c r="O669" s="32">
        <f>(VLOOKUP($A669,$A$458:$O$482,12,0)*(HLOOKUP(O$660,'2.2.Brecha Efectiva x UdM'!$H$86:$AK$92,7,0))+(VLOOKUP($A669,$A$4:$O$27,12,0)*(HLOOKUP(O$660,'2.2.Brecha Efectiva x UdM'!$H$64:$AK$70,7,0))))</f>
        <v>0</v>
      </c>
      <c r="P669" s="32">
        <f>(VLOOKUP($A669,$A$458:$O$482,12,0)*(HLOOKUP(P$660,'2.2.Brecha Efectiva x UdM'!$H$86:$AK$92,7,0))+(VLOOKUP($A669,$A$4:$O$27,12,0)*(HLOOKUP(P$660,'2.2.Brecha Efectiva x UdM'!$H$64:$AK$70,7,0))))</f>
        <v>0</v>
      </c>
      <c r="Q669" s="32">
        <f>(VLOOKUP($A669,$A$458:$O$482,12,0)*(HLOOKUP(Q$660,'2.2.Brecha Efectiva x UdM'!$H$86:$AK$92,7,0))+(VLOOKUP($A669,$A$4:$O$27,12,0)*(HLOOKUP(Q$660,'2.2.Brecha Efectiva x UdM'!$H$64:$AK$70,7,0))))</f>
        <v>0</v>
      </c>
      <c r="R669" s="32">
        <f>(VLOOKUP($A669,$A$458:$O$482,12,0)*(HLOOKUP(R$660,'2.2.Brecha Efectiva x UdM'!$H$86:$AK$92,7,0))+(VLOOKUP($A669,$A$4:$O$27,12,0)*(HLOOKUP(R$660,'2.2.Brecha Efectiva x UdM'!$H$64:$AK$70,7,0))))</f>
        <v>0</v>
      </c>
      <c r="S669" s="32">
        <f>(VLOOKUP($A669,$A$458:$O$482,12,0)*(HLOOKUP(S$660,'2.2.Brecha Efectiva x UdM'!$H$86:$AK$92,7,0))+(VLOOKUP($A669,$A$4:$O$27,12,0)*(HLOOKUP(S$660,'2.2.Brecha Efectiva x UdM'!$H$64:$AK$70,7,0))))</f>
        <v>0</v>
      </c>
      <c r="T669" s="32">
        <f>(VLOOKUP($A669,$A$458:$O$482,12,0)*(HLOOKUP(T$660,'2.2.Brecha Efectiva x UdM'!$H$86:$AK$92,7,0))+(VLOOKUP($A669,$A$4:$O$27,12,0)*(HLOOKUP(T$660,'2.2.Brecha Efectiva x UdM'!$H$64:$AK$70,7,0))))</f>
        <v>0</v>
      </c>
      <c r="U669" s="32">
        <f>(VLOOKUP($A669,$A$458:$O$482,12,0)*(HLOOKUP(U$660,'2.2.Brecha Efectiva x UdM'!$H$86:$AK$92,7,0))+(VLOOKUP($A669,$A$4:$O$27,12,0)*(HLOOKUP(U$660,'2.2.Brecha Efectiva x UdM'!$H$64:$AK$70,7,0))))</f>
        <v>0</v>
      </c>
      <c r="V669" s="32">
        <f>(VLOOKUP($A669,$A$458:$O$482,12,0)*(HLOOKUP(V$660,'2.2.Brecha Efectiva x UdM'!$H$86:$AK$92,7,0))+(VLOOKUP($A669,$A$4:$O$27,12,0)*(HLOOKUP(V$660,'2.2.Brecha Efectiva x UdM'!$H$64:$AK$70,7,0))))</f>
        <v>0</v>
      </c>
      <c r="W669" s="32">
        <f>(VLOOKUP($A669,$A$458:$O$482,12,0)*(HLOOKUP(W$660,'2.2.Brecha Efectiva x UdM'!$H$86:$AK$92,7,0))+(VLOOKUP($A669,$A$4:$O$27,12,0)*(HLOOKUP(W$660,'2.2.Brecha Efectiva x UdM'!$H$64:$AK$70,7,0))))</f>
        <v>0</v>
      </c>
      <c r="X669" s="32">
        <f>(VLOOKUP($A669,$A$458:$O$482,12,0)*(HLOOKUP(X$660,'2.2.Brecha Efectiva x UdM'!$H$86:$AK$92,7,0))+(VLOOKUP($A669,$A$4:$O$27,12,0)*(HLOOKUP(X$660,'2.2.Brecha Efectiva x UdM'!$H$64:$AK$70,7,0))))</f>
        <v>0</v>
      </c>
      <c r="Y669" s="32">
        <f>(VLOOKUP($A669,$A$458:$O$482,12,0)*(HLOOKUP(Y$660,'2.2.Brecha Efectiva x UdM'!$H$86:$AK$92,7,0))+(VLOOKUP($A669,$A$4:$O$27,12,0)*(HLOOKUP(Y$660,'2.2.Brecha Efectiva x UdM'!$H$64:$AK$70,7,0))))</f>
        <v>0</v>
      </c>
      <c r="Z669" s="32">
        <f>(VLOOKUP($A669,$A$458:$O$482,12,0)*(HLOOKUP(Z$660,'2.2.Brecha Efectiva x UdM'!$H$86:$AK$92,7,0))+(VLOOKUP($A669,$A$4:$O$27,12,0)*(HLOOKUP(Z$660,'2.2.Brecha Efectiva x UdM'!$H$64:$AK$70,7,0))))</f>
        <v>0</v>
      </c>
      <c r="AA669" s="32">
        <f>(VLOOKUP($A669,$A$458:$O$482,12,0)*(HLOOKUP(AA$660,'2.2.Brecha Efectiva x UdM'!$H$86:$AK$92,7,0))+(VLOOKUP($A669,$A$4:$O$27,12,0)*(HLOOKUP(AA$660,'2.2.Brecha Efectiva x UdM'!$H$64:$AK$70,7,0))))</f>
        <v>0</v>
      </c>
      <c r="AB669" s="32">
        <f>(VLOOKUP($A669,$A$458:$O$482,12,0)*(HLOOKUP(AB$660,'2.2.Brecha Efectiva x UdM'!$H$86:$AK$92,7,0))+(VLOOKUP($A669,$A$4:$O$27,12,0)*(HLOOKUP(AB$660,'2.2.Brecha Efectiva x UdM'!$H$64:$AK$70,7,0))))</f>
        <v>0</v>
      </c>
      <c r="AC669" s="32">
        <f>(VLOOKUP($A669,$A$458:$O$482,12,0)*(HLOOKUP(AC$660,'2.2.Brecha Efectiva x UdM'!$H$86:$AK$92,7,0))+(VLOOKUP($A669,$A$4:$O$27,12,0)*(HLOOKUP(AC$660,'2.2.Brecha Efectiva x UdM'!$H$64:$AK$70,7,0))))</f>
        <v>0</v>
      </c>
      <c r="AD669" s="32">
        <f>(VLOOKUP($A669,$A$458:$O$482,12,0)*(HLOOKUP(AD$660,'2.2.Brecha Efectiva x UdM'!$H$86:$AK$92,7,0))+(VLOOKUP($A669,$A$4:$O$27,12,0)*(HLOOKUP(AD$660,'2.2.Brecha Efectiva x UdM'!$H$64:$AK$70,7,0))))</f>
        <v>0</v>
      </c>
      <c r="AE669" s="32">
        <f>(VLOOKUP($A669,$A$458:$O$482,12,0)*(HLOOKUP(AE$660,'2.2.Brecha Efectiva x UdM'!$H$86:$AK$92,7,0))+(VLOOKUP($A669,$A$4:$O$27,12,0)*(HLOOKUP(AE$660,'2.2.Brecha Efectiva x UdM'!$H$64:$AK$70,7,0))))</f>
        <v>0</v>
      </c>
      <c r="AF669" s="32">
        <f>(VLOOKUP($A669,$A$458:$O$482,12,0)*(HLOOKUP(AF$660,'2.2.Brecha Efectiva x UdM'!$H$86:$AK$92,7,0))+(VLOOKUP($A669,$A$4:$O$27,12,0)*(HLOOKUP(AF$660,'2.2.Brecha Efectiva x UdM'!$H$64:$AK$70,7,0))))</f>
        <v>0</v>
      </c>
      <c r="AG669" s="32">
        <f>(VLOOKUP($A669,$A$458:$O$482,12,0)*(HLOOKUP(AG$660,'2.2.Brecha Efectiva x UdM'!$H$86:$AK$92,7,0))+(VLOOKUP($A669,$A$4:$O$27,12,0)*(HLOOKUP(AG$660,'2.2.Brecha Efectiva x UdM'!$H$64:$AK$70,7,0))))</f>
        <v>0</v>
      </c>
      <c r="AH669" s="62">
        <f t="shared" si="637"/>
        <v>0</v>
      </c>
    </row>
    <row r="670" spans="1:34" hidden="1" x14ac:dyDescent="0.2">
      <c r="A670" s="26" t="str">
        <f t="shared" si="634"/>
        <v>Jujuy</v>
      </c>
      <c r="B670" s="52">
        <f t="shared" si="635"/>
        <v>0</v>
      </c>
      <c r="C670" s="26" t="str">
        <f t="shared" si="636"/>
        <v>Jujuy 0</v>
      </c>
      <c r="D670" s="31">
        <f>(VLOOKUP($A670,$A$458:$O$482,12,0)*(HLOOKUP(D$660,'2.2.Brecha Efectiva x UdM'!$H$86:$AK$92,7,0))+(VLOOKUP($A670,$A$4:$O$27,12,0)*(HLOOKUP(D$660,'2.2.Brecha Efectiva x UdM'!$H$64:$AK$70,7,0))))</f>
        <v>0</v>
      </c>
      <c r="E670" s="31">
        <f>(VLOOKUP($A670,$A$458:$O$482,12,0)*(HLOOKUP(E$660,'2.2.Brecha Efectiva x UdM'!$H$86:$AK$92,7,0))+(VLOOKUP($A670,$A$4:$O$27,12,0)*(HLOOKUP(E$660,'2.2.Brecha Efectiva x UdM'!$H$64:$AK$70,7,0))))</f>
        <v>0</v>
      </c>
      <c r="F670" s="31">
        <f>(VLOOKUP($A670,$A$458:$O$482,12,0)*(HLOOKUP(F$660,'2.2.Brecha Efectiva x UdM'!$H$86:$AK$92,7,0))+(VLOOKUP($A670,$A$4:$O$27,12,0)*(HLOOKUP(F$660,'2.2.Brecha Efectiva x UdM'!$H$64:$AK$70,7,0))))</f>
        <v>0</v>
      </c>
      <c r="G670" s="31">
        <f>(VLOOKUP($A670,$A$458:$O$482,12,0)*(HLOOKUP(G$660,'2.2.Brecha Efectiva x UdM'!$H$86:$AK$92,7,0))+(VLOOKUP($A670,$A$4:$O$27,12,0)*(HLOOKUP(G$660,'2.2.Brecha Efectiva x UdM'!$H$64:$AK$70,7,0))))</f>
        <v>0</v>
      </c>
      <c r="H670" s="31">
        <f>(VLOOKUP($A670,$A$458:$O$482,12,0)*(HLOOKUP(H$660,'2.2.Brecha Efectiva x UdM'!$H$86:$AK$92,7,0))+(VLOOKUP($A670,$A$4:$O$27,12,0)*(HLOOKUP(H$660,'2.2.Brecha Efectiva x UdM'!$H$64:$AK$70,7,0))))</f>
        <v>0</v>
      </c>
      <c r="I670" s="31">
        <f>(VLOOKUP($A670,$A$458:$O$482,12,0)*(HLOOKUP(I$660,'2.2.Brecha Efectiva x UdM'!$H$86:$AK$92,7,0))+(VLOOKUP($A670,$A$4:$O$27,12,0)*(HLOOKUP(I$660,'2.2.Brecha Efectiva x UdM'!$H$64:$AK$70,7,0))))</f>
        <v>0</v>
      </c>
      <c r="J670" s="31">
        <f>(VLOOKUP($A670,$A$458:$O$482,12,0)*(HLOOKUP(J$660,'2.2.Brecha Efectiva x UdM'!$H$86:$AK$92,7,0))+(VLOOKUP($A670,$A$4:$O$27,12,0)*(HLOOKUP(J$660,'2.2.Brecha Efectiva x UdM'!$H$64:$AK$70,7,0))))</f>
        <v>0</v>
      </c>
      <c r="K670" s="31">
        <f>(VLOOKUP($A670,$A$458:$O$482,12,0)*(HLOOKUP(K$660,'2.2.Brecha Efectiva x UdM'!$H$86:$AK$92,7,0))+(VLOOKUP($A670,$A$4:$O$27,12,0)*(HLOOKUP(K$660,'2.2.Brecha Efectiva x UdM'!$H$64:$AK$70,7,0))))</f>
        <v>0</v>
      </c>
      <c r="L670" s="31">
        <f>(VLOOKUP($A670,$A$458:$O$482,12,0)*(HLOOKUP(L$660,'2.2.Brecha Efectiva x UdM'!$H$86:$AK$92,7,0))+(VLOOKUP($A670,$A$4:$O$27,12,0)*(HLOOKUP(L$660,'2.2.Brecha Efectiva x UdM'!$H$64:$AK$70,7,0))))</f>
        <v>0</v>
      </c>
      <c r="M670" s="31">
        <f>(VLOOKUP($A670,$A$458:$O$482,12,0)*(HLOOKUP(M$660,'2.2.Brecha Efectiva x UdM'!$H$86:$AK$92,7,0))+(VLOOKUP($A670,$A$4:$O$27,12,0)*(HLOOKUP(M$660,'2.2.Brecha Efectiva x UdM'!$H$64:$AK$70,7,0))))</f>
        <v>0</v>
      </c>
      <c r="N670" s="31">
        <f>(VLOOKUP($A670,$A$458:$O$482,12,0)*(HLOOKUP(N$660,'2.2.Brecha Efectiva x UdM'!$H$86:$AK$92,7,0))+(VLOOKUP($A670,$A$4:$O$27,12,0)*(HLOOKUP(N$660,'2.2.Brecha Efectiva x UdM'!$H$64:$AK$70,7,0))))</f>
        <v>0</v>
      </c>
      <c r="O670" s="31">
        <f>(VLOOKUP($A670,$A$458:$O$482,12,0)*(HLOOKUP(O$660,'2.2.Brecha Efectiva x UdM'!$H$86:$AK$92,7,0))+(VLOOKUP($A670,$A$4:$O$27,12,0)*(HLOOKUP(O$660,'2.2.Brecha Efectiva x UdM'!$H$64:$AK$70,7,0))))</f>
        <v>0</v>
      </c>
      <c r="P670" s="31">
        <f>(VLOOKUP($A670,$A$458:$O$482,12,0)*(HLOOKUP(P$660,'2.2.Brecha Efectiva x UdM'!$H$86:$AK$92,7,0))+(VLOOKUP($A670,$A$4:$O$27,12,0)*(HLOOKUP(P$660,'2.2.Brecha Efectiva x UdM'!$H$64:$AK$70,7,0))))</f>
        <v>0</v>
      </c>
      <c r="Q670" s="31">
        <f>(VLOOKUP($A670,$A$458:$O$482,12,0)*(HLOOKUP(Q$660,'2.2.Brecha Efectiva x UdM'!$H$86:$AK$92,7,0))+(VLOOKUP($A670,$A$4:$O$27,12,0)*(HLOOKUP(Q$660,'2.2.Brecha Efectiva x UdM'!$H$64:$AK$70,7,0))))</f>
        <v>0</v>
      </c>
      <c r="R670" s="31">
        <f>(VLOOKUP($A670,$A$458:$O$482,12,0)*(HLOOKUP(R$660,'2.2.Brecha Efectiva x UdM'!$H$86:$AK$92,7,0))+(VLOOKUP($A670,$A$4:$O$27,12,0)*(HLOOKUP(R$660,'2.2.Brecha Efectiva x UdM'!$H$64:$AK$70,7,0))))</f>
        <v>0</v>
      </c>
      <c r="S670" s="31">
        <f>(VLOOKUP($A670,$A$458:$O$482,12,0)*(HLOOKUP(S$660,'2.2.Brecha Efectiva x UdM'!$H$86:$AK$92,7,0))+(VLOOKUP($A670,$A$4:$O$27,12,0)*(HLOOKUP(S$660,'2.2.Brecha Efectiva x UdM'!$H$64:$AK$70,7,0))))</f>
        <v>0</v>
      </c>
      <c r="T670" s="31">
        <f>(VLOOKUP($A670,$A$458:$O$482,12,0)*(HLOOKUP(T$660,'2.2.Brecha Efectiva x UdM'!$H$86:$AK$92,7,0))+(VLOOKUP($A670,$A$4:$O$27,12,0)*(HLOOKUP(T$660,'2.2.Brecha Efectiva x UdM'!$H$64:$AK$70,7,0))))</f>
        <v>0</v>
      </c>
      <c r="U670" s="31">
        <f>(VLOOKUP($A670,$A$458:$O$482,12,0)*(HLOOKUP(U$660,'2.2.Brecha Efectiva x UdM'!$H$86:$AK$92,7,0))+(VLOOKUP($A670,$A$4:$O$27,12,0)*(HLOOKUP(U$660,'2.2.Brecha Efectiva x UdM'!$H$64:$AK$70,7,0))))</f>
        <v>0</v>
      </c>
      <c r="V670" s="31">
        <f>(VLOOKUP($A670,$A$458:$O$482,12,0)*(HLOOKUP(V$660,'2.2.Brecha Efectiva x UdM'!$H$86:$AK$92,7,0))+(VLOOKUP($A670,$A$4:$O$27,12,0)*(HLOOKUP(V$660,'2.2.Brecha Efectiva x UdM'!$H$64:$AK$70,7,0))))</f>
        <v>0</v>
      </c>
      <c r="W670" s="31">
        <f>(VLOOKUP($A670,$A$458:$O$482,12,0)*(HLOOKUP(W$660,'2.2.Brecha Efectiva x UdM'!$H$86:$AK$92,7,0))+(VLOOKUP($A670,$A$4:$O$27,12,0)*(HLOOKUP(W$660,'2.2.Brecha Efectiva x UdM'!$H$64:$AK$70,7,0))))</f>
        <v>0</v>
      </c>
      <c r="X670" s="31">
        <f>(VLOOKUP($A670,$A$458:$O$482,12,0)*(HLOOKUP(X$660,'2.2.Brecha Efectiva x UdM'!$H$86:$AK$92,7,0))+(VLOOKUP($A670,$A$4:$O$27,12,0)*(HLOOKUP(X$660,'2.2.Brecha Efectiva x UdM'!$H$64:$AK$70,7,0))))</f>
        <v>0</v>
      </c>
      <c r="Y670" s="31">
        <f>(VLOOKUP($A670,$A$458:$O$482,12,0)*(HLOOKUP(Y$660,'2.2.Brecha Efectiva x UdM'!$H$86:$AK$92,7,0))+(VLOOKUP($A670,$A$4:$O$27,12,0)*(HLOOKUP(Y$660,'2.2.Brecha Efectiva x UdM'!$H$64:$AK$70,7,0))))</f>
        <v>0</v>
      </c>
      <c r="Z670" s="31">
        <f>(VLOOKUP($A670,$A$458:$O$482,12,0)*(HLOOKUP(Z$660,'2.2.Brecha Efectiva x UdM'!$H$86:$AK$92,7,0))+(VLOOKUP($A670,$A$4:$O$27,12,0)*(HLOOKUP(Z$660,'2.2.Brecha Efectiva x UdM'!$H$64:$AK$70,7,0))))</f>
        <v>0</v>
      </c>
      <c r="AA670" s="31">
        <f>(VLOOKUP($A670,$A$458:$O$482,12,0)*(HLOOKUP(AA$660,'2.2.Brecha Efectiva x UdM'!$H$86:$AK$92,7,0))+(VLOOKUP($A670,$A$4:$O$27,12,0)*(HLOOKUP(AA$660,'2.2.Brecha Efectiva x UdM'!$H$64:$AK$70,7,0))))</f>
        <v>0</v>
      </c>
      <c r="AB670" s="31">
        <f>(VLOOKUP($A670,$A$458:$O$482,12,0)*(HLOOKUP(AB$660,'2.2.Brecha Efectiva x UdM'!$H$86:$AK$92,7,0))+(VLOOKUP($A670,$A$4:$O$27,12,0)*(HLOOKUP(AB$660,'2.2.Brecha Efectiva x UdM'!$H$64:$AK$70,7,0))))</f>
        <v>0</v>
      </c>
      <c r="AC670" s="31">
        <f>(VLOOKUP($A670,$A$458:$O$482,12,0)*(HLOOKUP(AC$660,'2.2.Brecha Efectiva x UdM'!$H$86:$AK$92,7,0))+(VLOOKUP($A670,$A$4:$O$27,12,0)*(HLOOKUP(AC$660,'2.2.Brecha Efectiva x UdM'!$H$64:$AK$70,7,0))))</f>
        <v>0</v>
      </c>
      <c r="AD670" s="31">
        <f>(VLOOKUP($A670,$A$458:$O$482,12,0)*(HLOOKUP(AD$660,'2.2.Brecha Efectiva x UdM'!$H$86:$AK$92,7,0))+(VLOOKUP($A670,$A$4:$O$27,12,0)*(HLOOKUP(AD$660,'2.2.Brecha Efectiva x UdM'!$H$64:$AK$70,7,0))))</f>
        <v>0</v>
      </c>
      <c r="AE670" s="31">
        <f>(VLOOKUP($A670,$A$458:$O$482,12,0)*(HLOOKUP(AE$660,'2.2.Brecha Efectiva x UdM'!$H$86:$AK$92,7,0))+(VLOOKUP($A670,$A$4:$O$27,12,0)*(HLOOKUP(AE$660,'2.2.Brecha Efectiva x UdM'!$H$64:$AK$70,7,0))))</f>
        <v>0</v>
      </c>
      <c r="AF670" s="31">
        <f>(VLOOKUP($A670,$A$458:$O$482,12,0)*(HLOOKUP(AF$660,'2.2.Brecha Efectiva x UdM'!$H$86:$AK$92,7,0))+(VLOOKUP($A670,$A$4:$O$27,12,0)*(HLOOKUP(AF$660,'2.2.Brecha Efectiva x UdM'!$H$64:$AK$70,7,0))))</f>
        <v>0</v>
      </c>
      <c r="AG670" s="31">
        <f>(VLOOKUP($A670,$A$458:$O$482,12,0)*(HLOOKUP(AG$660,'2.2.Brecha Efectiva x UdM'!$H$86:$AK$92,7,0))+(VLOOKUP($A670,$A$4:$O$27,12,0)*(HLOOKUP(AG$660,'2.2.Brecha Efectiva x UdM'!$H$64:$AK$70,7,0))))</f>
        <v>0</v>
      </c>
      <c r="AH670" s="63">
        <f t="shared" si="637"/>
        <v>0</v>
      </c>
    </row>
    <row r="671" spans="1:34" hidden="1" x14ac:dyDescent="0.2">
      <c r="A671" s="25" t="str">
        <f t="shared" si="634"/>
        <v>La Pampa</v>
      </c>
      <c r="B671" s="51">
        <f t="shared" si="635"/>
        <v>0</v>
      </c>
      <c r="C671" s="25" t="str">
        <f t="shared" si="636"/>
        <v>La Pampa 0</v>
      </c>
      <c r="D671" s="32">
        <f>(VLOOKUP($A671,$A$458:$O$482,12,0)*(HLOOKUP(D$660,'2.2.Brecha Efectiva x UdM'!$H$86:$AK$92,7,0))+(VLOOKUP($A671,$A$4:$O$27,12,0)*(HLOOKUP(D$660,'2.2.Brecha Efectiva x UdM'!$H$64:$AK$70,7,0))))</f>
        <v>0</v>
      </c>
      <c r="E671" s="32">
        <f>(VLOOKUP($A671,$A$458:$O$482,12,0)*(HLOOKUP(E$660,'2.2.Brecha Efectiva x UdM'!$H$86:$AK$92,7,0))+(VLOOKUP($A671,$A$4:$O$27,12,0)*(HLOOKUP(E$660,'2.2.Brecha Efectiva x UdM'!$H$64:$AK$70,7,0))))</f>
        <v>0</v>
      </c>
      <c r="F671" s="32">
        <f>(VLOOKUP($A671,$A$458:$O$482,12,0)*(HLOOKUP(F$660,'2.2.Brecha Efectiva x UdM'!$H$86:$AK$92,7,0))+(VLOOKUP($A671,$A$4:$O$27,12,0)*(HLOOKUP(F$660,'2.2.Brecha Efectiva x UdM'!$H$64:$AK$70,7,0))))</f>
        <v>0</v>
      </c>
      <c r="G671" s="32">
        <f>(VLOOKUP($A671,$A$458:$O$482,12,0)*(HLOOKUP(G$660,'2.2.Brecha Efectiva x UdM'!$H$86:$AK$92,7,0))+(VLOOKUP($A671,$A$4:$O$27,12,0)*(HLOOKUP(G$660,'2.2.Brecha Efectiva x UdM'!$H$64:$AK$70,7,0))))</f>
        <v>0</v>
      </c>
      <c r="H671" s="32">
        <f>(VLOOKUP($A671,$A$458:$O$482,12,0)*(HLOOKUP(H$660,'2.2.Brecha Efectiva x UdM'!$H$86:$AK$92,7,0))+(VLOOKUP($A671,$A$4:$O$27,12,0)*(HLOOKUP(H$660,'2.2.Brecha Efectiva x UdM'!$H$64:$AK$70,7,0))))</f>
        <v>0</v>
      </c>
      <c r="I671" s="32">
        <f>(VLOOKUP($A671,$A$458:$O$482,12,0)*(HLOOKUP(I$660,'2.2.Brecha Efectiva x UdM'!$H$86:$AK$92,7,0))+(VLOOKUP($A671,$A$4:$O$27,12,0)*(HLOOKUP(I$660,'2.2.Brecha Efectiva x UdM'!$H$64:$AK$70,7,0))))</f>
        <v>0</v>
      </c>
      <c r="J671" s="32">
        <f>(VLOOKUP($A671,$A$458:$O$482,12,0)*(HLOOKUP(J$660,'2.2.Brecha Efectiva x UdM'!$H$86:$AK$92,7,0))+(VLOOKUP($A671,$A$4:$O$27,12,0)*(HLOOKUP(J$660,'2.2.Brecha Efectiva x UdM'!$H$64:$AK$70,7,0))))</f>
        <v>0</v>
      </c>
      <c r="K671" s="32">
        <f>(VLOOKUP($A671,$A$458:$O$482,12,0)*(HLOOKUP(K$660,'2.2.Brecha Efectiva x UdM'!$H$86:$AK$92,7,0))+(VLOOKUP($A671,$A$4:$O$27,12,0)*(HLOOKUP(K$660,'2.2.Brecha Efectiva x UdM'!$H$64:$AK$70,7,0))))</f>
        <v>0</v>
      </c>
      <c r="L671" s="32">
        <f>(VLOOKUP($A671,$A$458:$O$482,12,0)*(HLOOKUP(L$660,'2.2.Brecha Efectiva x UdM'!$H$86:$AK$92,7,0))+(VLOOKUP($A671,$A$4:$O$27,12,0)*(HLOOKUP(L$660,'2.2.Brecha Efectiva x UdM'!$H$64:$AK$70,7,0))))</f>
        <v>0</v>
      </c>
      <c r="M671" s="32">
        <f>(VLOOKUP($A671,$A$458:$O$482,12,0)*(HLOOKUP(M$660,'2.2.Brecha Efectiva x UdM'!$H$86:$AK$92,7,0))+(VLOOKUP($A671,$A$4:$O$27,12,0)*(HLOOKUP(M$660,'2.2.Brecha Efectiva x UdM'!$H$64:$AK$70,7,0))))</f>
        <v>0</v>
      </c>
      <c r="N671" s="32">
        <f>(VLOOKUP($A671,$A$458:$O$482,12,0)*(HLOOKUP(N$660,'2.2.Brecha Efectiva x UdM'!$H$86:$AK$92,7,0))+(VLOOKUP($A671,$A$4:$O$27,12,0)*(HLOOKUP(N$660,'2.2.Brecha Efectiva x UdM'!$H$64:$AK$70,7,0))))</f>
        <v>0</v>
      </c>
      <c r="O671" s="32">
        <f>(VLOOKUP($A671,$A$458:$O$482,12,0)*(HLOOKUP(O$660,'2.2.Brecha Efectiva x UdM'!$H$86:$AK$92,7,0))+(VLOOKUP($A671,$A$4:$O$27,12,0)*(HLOOKUP(O$660,'2.2.Brecha Efectiva x UdM'!$H$64:$AK$70,7,0))))</f>
        <v>0</v>
      </c>
      <c r="P671" s="32">
        <f>(VLOOKUP($A671,$A$458:$O$482,12,0)*(HLOOKUP(P$660,'2.2.Brecha Efectiva x UdM'!$H$86:$AK$92,7,0))+(VLOOKUP($A671,$A$4:$O$27,12,0)*(HLOOKUP(P$660,'2.2.Brecha Efectiva x UdM'!$H$64:$AK$70,7,0))))</f>
        <v>0</v>
      </c>
      <c r="Q671" s="32">
        <f>(VLOOKUP($A671,$A$458:$O$482,12,0)*(HLOOKUP(Q$660,'2.2.Brecha Efectiva x UdM'!$H$86:$AK$92,7,0))+(VLOOKUP($A671,$A$4:$O$27,12,0)*(HLOOKUP(Q$660,'2.2.Brecha Efectiva x UdM'!$H$64:$AK$70,7,0))))</f>
        <v>0</v>
      </c>
      <c r="R671" s="32">
        <f>(VLOOKUP($A671,$A$458:$O$482,12,0)*(HLOOKUP(R$660,'2.2.Brecha Efectiva x UdM'!$H$86:$AK$92,7,0))+(VLOOKUP($A671,$A$4:$O$27,12,0)*(HLOOKUP(R$660,'2.2.Brecha Efectiva x UdM'!$H$64:$AK$70,7,0))))</f>
        <v>0</v>
      </c>
      <c r="S671" s="32">
        <f>(VLOOKUP($A671,$A$458:$O$482,12,0)*(HLOOKUP(S$660,'2.2.Brecha Efectiva x UdM'!$H$86:$AK$92,7,0))+(VLOOKUP($A671,$A$4:$O$27,12,0)*(HLOOKUP(S$660,'2.2.Brecha Efectiva x UdM'!$H$64:$AK$70,7,0))))</f>
        <v>0</v>
      </c>
      <c r="T671" s="32">
        <f>(VLOOKUP($A671,$A$458:$O$482,12,0)*(HLOOKUP(T$660,'2.2.Brecha Efectiva x UdM'!$H$86:$AK$92,7,0))+(VLOOKUP($A671,$A$4:$O$27,12,0)*(HLOOKUP(T$660,'2.2.Brecha Efectiva x UdM'!$H$64:$AK$70,7,0))))</f>
        <v>0</v>
      </c>
      <c r="U671" s="32">
        <f>(VLOOKUP($A671,$A$458:$O$482,12,0)*(HLOOKUP(U$660,'2.2.Brecha Efectiva x UdM'!$H$86:$AK$92,7,0))+(VLOOKUP($A671,$A$4:$O$27,12,0)*(HLOOKUP(U$660,'2.2.Brecha Efectiva x UdM'!$H$64:$AK$70,7,0))))</f>
        <v>0</v>
      </c>
      <c r="V671" s="32">
        <f>(VLOOKUP($A671,$A$458:$O$482,12,0)*(HLOOKUP(V$660,'2.2.Brecha Efectiva x UdM'!$H$86:$AK$92,7,0))+(VLOOKUP($A671,$A$4:$O$27,12,0)*(HLOOKUP(V$660,'2.2.Brecha Efectiva x UdM'!$H$64:$AK$70,7,0))))</f>
        <v>0</v>
      </c>
      <c r="W671" s="32">
        <f>(VLOOKUP($A671,$A$458:$O$482,12,0)*(HLOOKUP(W$660,'2.2.Brecha Efectiva x UdM'!$H$86:$AK$92,7,0))+(VLOOKUP($A671,$A$4:$O$27,12,0)*(HLOOKUP(W$660,'2.2.Brecha Efectiva x UdM'!$H$64:$AK$70,7,0))))</f>
        <v>0</v>
      </c>
      <c r="X671" s="32">
        <f>(VLOOKUP($A671,$A$458:$O$482,12,0)*(HLOOKUP(X$660,'2.2.Brecha Efectiva x UdM'!$H$86:$AK$92,7,0))+(VLOOKUP($A671,$A$4:$O$27,12,0)*(HLOOKUP(X$660,'2.2.Brecha Efectiva x UdM'!$H$64:$AK$70,7,0))))</f>
        <v>0</v>
      </c>
      <c r="Y671" s="32">
        <f>(VLOOKUP($A671,$A$458:$O$482,12,0)*(HLOOKUP(Y$660,'2.2.Brecha Efectiva x UdM'!$H$86:$AK$92,7,0))+(VLOOKUP($A671,$A$4:$O$27,12,0)*(HLOOKUP(Y$660,'2.2.Brecha Efectiva x UdM'!$H$64:$AK$70,7,0))))</f>
        <v>0</v>
      </c>
      <c r="Z671" s="32">
        <f>(VLOOKUP($A671,$A$458:$O$482,12,0)*(HLOOKUP(Z$660,'2.2.Brecha Efectiva x UdM'!$H$86:$AK$92,7,0))+(VLOOKUP($A671,$A$4:$O$27,12,0)*(HLOOKUP(Z$660,'2.2.Brecha Efectiva x UdM'!$H$64:$AK$70,7,0))))</f>
        <v>0</v>
      </c>
      <c r="AA671" s="32">
        <f>(VLOOKUP($A671,$A$458:$O$482,12,0)*(HLOOKUP(AA$660,'2.2.Brecha Efectiva x UdM'!$H$86:$AK$92,7,0))+(VLOOKUP($A671,$A$4:$O$27,12,0)*(HLOOKUP(AA$660,'2.2.Brecha Efectiva x UdM'!$H$64:$AK$70,7,0))))</f>
        <v>0</v>
      </c>
      <c r="AB671" s="32">
        <f>(VLOOKUP($A671,$A$458:$O$482,12,0)*(HLOOKUP(AB$660,'2.2.Brecha Efectiva x UdM'!$H$86:$AK$92,7,0))+(VLOOKUP($A671,$A$4:$O$27,12,0)*(HLOOKUP(AB$660,'2.2.Brecha Efectiva x UdM'!$H$64:$AK$70,7,0))))</f>
        <v>0</v>
      </c>
      <c r="AC671" s="32">
        <f>(VLOOKUP($A671,$A$458:$O$482,12,0)*(HLOOKUP(AC$660,'2.2.Brecha Efectiva x UdM'!$H$86:$AK$92,7,0))+(VLOOKUP($A671,$A$4:$O$27,12,0)*(HLOOKUP(AC$660,'2.2.Brecha Efectiva x UdM'!$H$64:$AK$70,7,0))))</f>
        <v>0</v>
      </c>
      <c r="AD671" s="32">
        <f>(VLOOKUP($A671,$A$458:$O$482,12,0)*(HLOOKUP(AD$660,'2.2.Brecha Efectiva x UdM'!$H$86:$AK$92,7,0))+(VLOOKUP($A671,$A$4:$O$27,12,0)*(HLOOKUP(AD$660,'2.2.Brecha Efectiva x UdM'!$H$64:$AK$70,7,0))))</f>
        <v>0</v>
      </c>
      <c r="AE671" s="32">
        <f>(VLOOKUP($A671,$A$458:$O$482,12,0)*(HLOOKUP(AE$660,'2.2.Brecha Efectiva x UdM'!$H$86:$AK$92,7,0))+(VLOOKUP($A671,$A$4:$O$27,12,0)*(HLOOKUP(AE$660,'2.2.Brecha Efectiva x UdM'!$H$64:$AK$70,7,0))))</f>
        <v>0</v>
      </c>
      <c r="AF671" s="32">
        <f>(VLOOKUP($A671,$A$458:$O$482,12,0)*(HLOOKUP(AF$660,'2.2.Brecha Efectiva x UdM'!$H$86:$AK$92,7,0))+(VLOOKUP($A671,$A$4:$O$27,12,0)*(HLOOKUP(AF$660,'2.2.Brecha Efectiva x UdM'!$H$64:$AK$70,7,0))))</f>
        <v>0</v>
      </c>
      <c r="AG671" s="32">
        <f>(VLOOKUP($A671,$A$458:$O$482,12,0)*(HLOOKUP(AG$660,'2.2.Brecha Efectiva x UdM'!$H$86:$AK$92,7,0))+(VLOOKUP($A671,$A$4:$O$27,12,0)*(HLOOKUP(AG$660,'2.2.Brecha Efectiva x UdM'!$H$64:$AK$70,7,0))))</f>
        <v>0</v>
      </c>
      <c r="AH671" s="62">
        <f t="shared" si="637"/>
        <v>0</v>
      </c>
    </row>
    <row r="672" spans="1:34" hidden="1" x14ac:dyDescent="0.2">
      <c r="A672" s="26" t="str">
        <f t="shared" si="634"/>
        <v>La Rioja</v>
      </c>
      <c r="B672" s="52">
        <f t="shared" si="635"/>
        <v>0</v>
      </c>
      <c r="C672" s="26" t="str">
        <f t="shared" si="636"/>
        <v>La Rioja 0</v>
      </c>
      <c r="D672" s="31">
        <f>(VLOOKUP($A672,$A$458:$O$482,12,0)*(HLOOKUP(D$660,'2.2.Brecha Efectiva x UdM'!$H$86:$AK$92,7,0))+(VLOOKUP($A672,$A$4:$O$27,12,0)*(HLOOKUP(D$660,'2.2.Brecha Efectiva x UdM'!$H$64:$AK$70,7,0))))</f>
        <v>0</v>
      </c>
      <c r="E672" s="31">
        <f>(VLOOKUP($A672,$A$458:$O$482,12,0)*(HLOOKUP(E$660,'2.2.Brecha Efectiva x UdM'!$H$86:$AK$92,7,0))+(VLOOKUP($A672,$A$4:$O$27,12,0)*(HLOOKUP(E$660,'2.2.Brecha Efectiva x UdM'!$H$64:$AK$70,7,0))))</f>
        <v>0</v>
      </c>
      <c r="F672" s="31">
        <f>(VLOOKUP($A672,$A$458:$O$482,12,0)*(HLOOKUP(F$660,'2.2.Brecha Efectiva x UdM'!$H$86:$AK$92,7,0))+(VLOOKUP($A672,$A$4:$O$27,12,0)*(HLOOKUP(F$660,'2.2.Brecha Efectiva x UdM'!$H$64:$AK$70,7,0))))</f>
        <v>0</v>
      </c>
      <c r="G672" s="31">
        <f>(VLOOKUP($A672,$A$458:$O$482,12,0)*(HLOOKUP(G$660,'2.2.Brecha Efectiva x UdM'!$H$86:$AK$92,7,0))+(VLOOKUP($A672,$A$4:$O$27,12,0)*(HLOOKUP(G$660,'2.2.Brecha Efectiva x UdM'!$H$64:$AK$70,7,0))))</f>
        <v>0</v>
      </c>
      <c r="H672" s="31">
        <f>(VLOOKUP($A672,$A$458:$O$482,12,0)*(HLOOKUP(H$660,'2.2.Brecha Efectiva x UdM'!$H$86:$AK$92,7,0))+(VLOOKUP($A672,$A$4:$O$27,12,0)*(HLOOKUP(H$660,'2.2.Brecha Efectiva x UdM'!$H$64:$AK$70,7,0))))</f>
        <v>0</v>
      </c>
      <c r="I672" s="31">
        <f>(VLOOKUP($A672,$A$458:$O$482,12,0)*(HLOOKUP(I$660,'2.2.Brecha Efectiva x UdM'!$H$86:$AK$92,7,0))+(VLOOKUP($A672,$A$4:$O$27,12,0)*(HLOOKUP(I$660,'2.2.Brecha Efectiva x UdM'!$H$64:$AK$70,7,0))))</f>
        <v>0</v>
      </c>
      <c r="J672" s="31">
        <f>(VLOOKUP($A672,$A$458:$O$482,12,0)*(HLOOKUP(J$660,'2.2.Brecha Efectiva x UdM'!$H$86:$AK$92,7,0))+(VLOOKUP($A672,$A$4:$O$27,12,0)*(HLOOKUP(J$660,'2.2.Brecha Efectiva x UdM'!$H$64:$AK$70,7,0))))</f>
        <v>0</v>
      </c>
      <c r="K672" s="31">
        <f>(VLOOKUP($A672,$A$458:$O$482,12,0)*(HLOOKUP(K$660,'2.2.Brecha Efectiva x UdM'!$H$86:$AK$92,7,0))+(VLOOKUP($A672,$A$4:$O$27,12,0)*(HLOOKUP(K$660,'2.2.Brecha Efectiva x UdM'!$H$64:$AK$70,7,0))))</f>
        <v>0</v>
      </c>
      <c r="L672" s="31">
        <f>(VLOOKUP($A672,$A$458:$O$482,12,0)*(HLOOKUP(L$660,'2.2.Brecha Efectiva x UdM'!$H$86:$AK$92,7,0))+(VLOOKUP($A672,$A$4:$O$27,12,0)*(HLOOKUP(L$660,'2.2.Brecha Efectiva x UdM'!$H$64:$AK$70,7,0))))</f>
        <v>0</v>
      </c>
      <c r="M672" s="31">
        <f>(VLOOKUP($A672,$A$458:$O$482,12,0)*(HLOOKUP(M$660,'2.2.Brecha Efectiva x UdM'!$H$86:$AK$92,7,0))+(VLOOKUP($A672,$A$4:$O$27,12,0)*(HLOOKUP(M$660,'2.2.Brecha Efectiva x UdM'!$H$64:$AK$70,7,0))))</f>
        <v>0</v>
      </c>
      <c r="N672" s="31">
        <f>(VLOOKUP($A672,$A$458:$O$482,12,0)*(HLOOKUP(N$660,'2.2.Brecha Efectiva x UdM'!$H$86:$AK$92,7,0))+(VLOOKUP($A672,$A$4:$O$27,12,0)*(HLOOKUP(N$660,'2.2.Brecha Efectiva x UdM'!$H$64:$AK$70,7,0))))</f>
        <v>0</v>
      </c>
      <c r="O672" s="31">
        <f>(VLOOKUP($A672,$A$458:$O$482,12,0)*(HLOOKUP(O$660,'2.2.Brecha Efectiva x UdM'!$H$86:$AK$92,7,0))+(VLOOKUP($A672,$A$4:$O$27,12,0)*(HLOOKUP(O$660,'2.2.Brecha Efectiva x UdM'!$H$64:$AK$70,7,0))))</f>
        <v>0</v>
      </c>
      <c r="P672" s="31">
        <f>(VLOOKUP($A672,$A$458:$O$482,12,0)*(HLOOKUP(P$660,'2.2.Brecha Efectiva x UdM'!$H$86:$AK$92,7,0))+(VLOOKUP($A672,$A$4:$O$27,12,0)*(HLOOKUP(P$660,'2.2.Brecha Efectiva x UdM'!$H$64:$AK$70,7,0))))</f>
        <v>0</v>
      </c>
      <c r="Q672" s="31">
        <f>(VLOOKUP($A672,$A$458:$O$482,12,0)*(HLOOKUP(Q$660,'2.2.Brecha Efectiva x UdM'!$H$86:$AK$92,7,0))+(VLOOKUP($A672,$A$4:$O$27,12,0)*(HLOOKUP(Q$660,'2.2.Brecha Efectiva x UdM'!$H$64:$AK$70,7,0))))</f>
        <v>0</v>
      </c>
      <c r="R672" s="31">
        <f>(VLOOKUP($A672,$A$458:$O$482,12,0)*(HLOOKUP(R$660,'2.2.Brecha Efectiva x UdM'!$H$86:$AK$92,7,0))+(VLOOKUP($A672,$A$4:$O$27,12,0)*(HLOOKUP(R$660,'2.2.Brecha Efectiva x UdM'!$H$64:$AK$70,7,0))))</f>
        <v>0</v>
      </c>
      <c r="S672" s="31">
        <f>(VLOOKUP($A672,$A$458:$O$482,12,0)*(HLOOKUP(S$660,'2.2.Brecha Efectiva x UdM'!$H$86:$AK$92,7,0))+(VLOOKUP($A672,$A$4:$O$27,12,0)*(HLOOKUP(S$660,'2.2.Brecha Efectiva x UdM'!$H$64:$AK$70,7,0))))</f>
        <v>0</v>
      </c>
      <c r="T672" s="31">
        <f>(VLOOKUP($A672,$A$458:$O$482,12,0)*(HLOOKUP(T$660,'2.2.Brecha Efectiva x UdM'!$H$86:$AK$92,7,0))+(VLOOKUP($A672,$A$4:$O$27,12,0)*(HLOOKUP(T$660,'2.2.Brecha Efectiva x UdM'!$H$64:$AK$70,7,0))))</f>
        <v>0</v>
      </c>
      <c r="U672" s="31">
        <f>(VLOOKUP($A672,$A$458:$O$482,12,0)*(HLOOKUP(U$660,'2.2.Brecha Efectiva x UdM'!$H$86:$AK$92,7,0))+(VLOOKUP($A672,$A$4:$O$27,12,0)*(HLOOKUP(U$660,'2.2.Brecha Efectiva x UdM'!$H$64:$AK$70,7,0))))</f>
        <v>0</v>
      </c>
      <c r="V672" s="31">
        <f>(VLOOKUP($A672,$A$458:$O$482,12,0)*(HLOOKUP(V$660,'2.2.Brecha Efectiva x UdM'!$H$86:$AK$92,7,0))+(VLOOKUP($A672,$A$4:$O$27,12,0)*(HLOOKUP(V$660,'2.2.Brecha Efectiva x UdM'!$H$64:$AK$70,7,0))))</f>
        <v>0</v>
      </c>
      <c r="W672" s="31">
        <f>(VLOOKUP($A672,$A$458:$O$482,12,0)*(HLOOKUP(W$660,'2.2.Brecha Efectiva x UdM'!$H$86:$AK$92,7,0))+(VLOOKUP($A672,$A$4:$O$27,12,0)*(HLOOKUP(W$660,'2.2.Brecha Efectiva x UdM'!$H$64:$AK$70,7,0))))</f>
        <v>0</v>
      </c>
      <c r="X672" s="31">
        <f>(VLOOKUP($A672,$A$458:$O$482,12,0)*(HLOOKUP(X$660,'2.2.Brecha Efectiva x UdM'!$H$86:$AK$92,7,0))+(VLOOKUP($A672,$A$4:$O$27,12,0)*(HLOOKUP(X$660,'2.2.Brecha Efectiva x UdM'!$H$64:$AK$70,7,0))))</f>
        <v>0</v>
      </c>
      <c r="Y672" s="31">
        <f>(VLOOKUP($A672,$A$458:$O$482,12,0)*(HLOOKUP(Y$660,'2.2.Brecha Efectiva x UdM'!$H$86:$AK$92,7,0))+(VLOOKUP($A672,$A$4:$O$27,12,0)*(HLOOKUP(Y$660,'2.2.Brecha Efectiva x UdM'!$H$64:$AK$70,7,0))))</f>
        <v>0</v>
      </c>
      <c r="Z672" s="31">
        <f>(VLOOKUP($A672,$A$458:$O$482,12,0)*(HLOOKUP(Z$660,'2.2.Brecha Efectiva x UdM'!$H$86:$AK$92,7,0))+(VLOOKUP($A672,$A$4:$O$27,12,0)*(HLOOKUP(Z$660,'2.2.Brecha Efectiva x UdM'!$H$64:$AK$70,7,0))))</f>
        <v>0</v>
      </c>
      <c r="AA672" s="31">
        <f>(VLOOKUP($A672,$A$458:$O$482,12,0)*(HLOOKUP(AA$660,'2.2.Brecha Efectiva x UdM'!$H$86:$AK$92,7,0))+(VLOOKUP($A672,$A$4:$O$27,12,0)*(HLOOKUP(AA$660,'2.2.Brecha Efectiva x UdM'!$H$64:$AK$70,7,0))))</f>
        <v>0</v>
      </c>
      <c r="AB672" s="31">
        <f>(VLOOKUP($A672,$A$458:$O$482,12,0)*(HLOOKUP(AB$660,'2.2.Brecha Efectiva x UdM'!$H$86:$AK$92,7,0))+(VLOOKUP($A672,$A$4:$O$27,12,0)*(HLOOKUP(AB$660,'2.2.Brecha Efectiva x UdM'!$H$64:$AK$70,7,0))))</f>
        <v>0</v>
      </c>
      <c r="AC672" s="31">
        <f>(VLOOKUP($A672,$A$458:$O$482,12,0)*(HLOOKUP(AC$660,'2.2.Brecha Efectiva x UdM'!$H$86:$AK$92,7,0))+(VLOOKUP($A672,$A$4:$O$27,12,0)*(HLOOKUP(AC$660,'2.2.Brecha Efectiva x UdM'!$H$64:$AK$70,7,0))))</f>
        <v>0</v>
      </c>
      <c r="AD672" s="31">
        <f>(VLOOKUP($A672,$A$458:$O$482,12,0)*(HLOOKUP(AD$660,'2.2.Brecha Efectiva x UdM'!$H$86:$AK$92,7,0))+(VLOOKUP($A672,$A$4:$O$27,12,0)*(HLOOKUP(AD$660,'2.2.Brecha Efectiva x UdM'!$H$64:$AK$70,7,0))))</f>
        <v>0</v>
      </c>
      <c r="AE672" s="31">
        <f>(VLOOKUP($A672,$A$458:$O$482,12,0)*(HLOOKUP(AE$660,'2.2.Brecha Efectiva x UdM'!$H$86:$AK$92,7,0))+(VLOOKUP($A672,$A$4:$O$27,12,0)*(HLOOKUP(AE$660,'2.2.Brecha Efectiva x UdM'!$H$64:$AK$70,7,0))))</f>
        <v>0</v>
      </c>
      <c r="AF672" s="31">
        <f>(VLOOKUP($A672,$A$458:$O$482,12,0)*(HLOOKUP(AF$660,'2.2.Brecha Efectiva x UdM'!$H$86:$AK$92,7,0))+(VLOOKUP($A672,$A$4:$O$27,12,0)*(HLOOKUP(AF$660,'2.2.Brecha Efectiva x UdM'!$H$64:$AK$70,7,0))))</f>
        <v>0</v>
      </c>
      <c r="AG672" s="31">
        <f>(VLOOKUP($A672,$A$458:$O$482,12,0)*(HLOOKUP(AG$660,'2.2.Brecha Efectiva x UdM'!$H$86:$AK$92,7,0))+(VLOOKUP($A672,$A$4:$O$27,12,0)*(HLOOKUP(AG$660,'2.2.Brecha Efectiva x UdM'!$H$64:$AK$70,7,0))))</f>
        <v>0</v>
      </c>
      <c r="AH672" s="63">
        <f t="shared" si="637"/>
        <v>0</v>
      </c>
    </row>
    <row r="673" spans="1:34" hidden="1" x14ac:dyDescent="0.2">
      <c r="A673" s="25" t="str">
        <f t="shared" si="634"/>
        <v>Mendoza</v>
      </c>
      <c r="B673" s="51">
        <f t="shared" si="635"/>
        <v>0</v>
      </c>
      <c r="C673" s="25" t="str">
        <f t="shared" si="636"/>
        <v>Mendoza 0</v>
      </c>
      <c r="D673" s="32">
        <f>(VLOOKUP($A673,$A$458:$O$482,12,0)*(HLOOKUP(D$660,'2.2.Brecha Efectiva x UdM'!$H$86:$AK$92,7,0))+(VLOOKUP($A673,$A$4:$O$27,12,0)*(HLOOKUP(D$660,'2.2.Brecha Efectiva x UdM'!$H$64:$AK$70,7,0))))</f>
        <v>0</v>
      </c>
      <c r="E673" s="32">
        <f>(VLOOKUP($A673,$A$458:$O$482,12,0)*(HLOOKUP(E$660,'2.2.Brecha Efectiva x UdM'!$H$86:$AK$92,7,0))+(VLOOKUP($A673,$A$4:$O$27,12,0)*(HLOOKUP(E$660,'2.2.Brecha Efectiva x UdM'!$H$64:$AK$70,7,0))))</f>
        <v>0</v>
      </c>
      <c r="F673" s="32">
        <f>(VLOOKUP($A673,$A$458:$O$482,12,0)*(HLOOKUP(F$660,'2.2.Brecha Efectiva x UdM'!$H$86:$AK$92,7,0))+(VLOOKUP($A673,$A$4:$O$27,12,0)*(HLOOKUP(F$660,'2.2.Brecha Efectiva x UdM'!$H$64:$AK$70,7,0))))</f>
        <v>0</v>
      </c>
      <c r="G673" s="32">
        <f>(VLOOKUP($A673,$A$458:$O$482,12,0)*(HLOOKUP(G$660,'2.2.Brecha Efectiva x UdM'!$H$86:$AK$92,7,0))+(VLOOKUP($A673,$A$4:$O$27,12,0)*(HLOOKUP(G$660,'2.2.Brecha Efectiva x UdM'!$H$64:$AK$70,7,0))))</f>
        <v>0</v>
      </c>
      <c r="H673" s="32">
        <f>(VLOOKUP($A673,$A$458:$O$482,12,0)*(HLOOKUP(H$660,'2.2.Brecha Efectiva x UdM'!$H$86:$AK$92,7,0))+(VLOOKUP($A673,$A$4:$O$27,12,0)*(HLOOKUP(H$660,'2.2.Brecha Efectiva x UdM'!$H$64:$AK$70,7,0))))</f>
        <v>0</v>
      </c>
      <c r="I673" s="32">
        <f>(VLOOKUP($A673,$A$458:$O$482,12,0)*(HLOOKUP(I$660,'2.2.Brecha Efectiva x UdM'!$H$86:$AK$92,7,0))+(VLOOKUP($A673,$A$4:$O$27,12,0)*(HLOOKUP(I$660,'2.2.Brecha Efectiva x UdM'!$H$64:$AK$70,7,0))))</f>
        <v>0</v>
      </c>
      <c r="J673" s="32">
        <f>(VLOOKUP($A673,$A$458:$O$482,12,0)*(HLOOKUP(J$660,'2.2.Brecha Efectiva x UdM'!$H$86:$AK$92,7,0))+(VLOOKUP($A673,$A$4:$O$27,12,0)*(HLOOKUP(J$660,'2.2.Brecha Efectiva x UdM'!$H$64:$AK$70,7,0))))</f>
        <v>0</v>
      </c>
      <c r="K673" s="32">
        <f>(VLOOKUP($A673,$A$458:$O$482,12,0)*(HLOOKUP(K$660,'2.2.Brecha Efectiva x UdM'!$H$86:$AK$92,7,0))+(VLOOKUP($A673,$A$4:$O$27,12,0)*(HLOOKUP(K$660,'2.2.Brecha Efectiva x UdM'!$H$64:$AK$70,7,0))))</f>
        <v>0</v>
      </c>
      <c r="L673" s="32">
        <f>(VLOOKUP($A673,$A$458:$O$482,12,0)*(HLOOKUP(L$660,'2.2.Brecha Efectiva x UdM'!$H$86:$AK$92,7,0))+(VLOOKUP($A673,$A$4:$O$27,12,0)*(HLOOKUP(L$660,'2.2.Brecha Efectiva x UdM'!$H$64:$AK$70,7,0))))</f>
        <v>0</v>
      </c>
      <c r="M673" s="32">
        <f>(VLOOKUP($A673,$A$458:$O$482,12,0)*(HLOOKUP(M$660,'2.2.Brecha Efectiva x UdM'!$H$86:$AK$92,7,0))+(VLOOKUP($A673,$A$4:$O$27,12,0)*(HLOOKUP(M$660,'2.2.Brecha Efectiva x UdM'!$H$64:$AK$70,7,0))))</f>
        <v>0</v>
      </c>
      <c r="N673" s="32">
        <f>(VLOOKUP($A673,$A$458:$O$482,12,0)*(HLOOKUP(N$660,'2.2.Brecha Efectiva x UdM'!$H$86:$AK$92,7,0))+(VLOOKUP($A673,$A$4:$O$27,12,0)*(HLOOKUP(N$660,'2.2.Brecha Efectiva x UdM'!$H$64:$AK$70,7,0))))</f>
        <v>0</v>
      </c>
      <c r="O673" s="32">
        <f>(VLOOKUP($A673,$A$458:$O$482,12,0)*(HLOOKUP(O$660,'2.2.Brecha Efectiva x UdM'!$H$86:$AK$92,7,0))+(VLOOKUP($A673,$A$4:$O$27,12,0)*(HLOOKUP(O$660,'2.2.Brecha Efectiva x UdM'!$H$64:$AK$70,7,0))))</f>
        <v>0</v>
      </c>
      <c r="P673" s="32">
        <f>(VLOOKUP($A673,$A$458:$O$482,12,0)*(HLOOKUP(P$660,'2.2.Brecha Efectiva x UdM'!$H$86:$AK$92,7,0))+(VLOOKUP($A673,$A$4:$O$27,12,0)*(HLOOKUP(P$660,'2.2.Brecha Efectiva x UdM'!$H$64:$AK$70,7,0))))</f>
        <v>0</v>
      </c>
      <c r="Q673" s="32">
        <f>(VLOOKUP($A673,$A$458:$O$482,12,0)*(HLOOKUP(Q$660,'2.2.Brecha Efectiva x UdM'!$H$86:$AK$92,7,0))+(VLOOKUP($A673,$A$4:$O$27,12,0)*(HLOOKUP(Q$660,'2.2.Brecha Efectiva x UdM'!$H$64:$AK$70,7,0))))</f>
        <v>0</v>
      </c>
      <c r="R673" s="32">
        <f>(VLOOKUP($A673,$A$458:$O$482,12,0)*(HLOOKUP(R$660,'2.2.Brecha Efectiva x UdM'!$H$86:$AK$92,7,0))+(VLOOKUP($A673,$A$4:$O$27,12,0)*(HLOOKUP(R$660,'2.2.Brecha Efectiva x UdM'!$H$64:$AK$70,7,0))))</f>
        <v>0</v>
      </c>
      <c r="S673" s="32">
        <f>(VLOOKUP($A673,$A$458:$O$482,12,0)*(HLOOKUP(S$660,'2.2.Brecha Efectiva x UdM'!$H$86:$AK$92,7,0))+(VLOOKUP($A673,$A$4:$O$27,12,0)*(HLOOKUP(S$660,'2.2.Brecha Efectiva x UdM'!$H$64:$AK$70,7,0))))</f>
        <v>0</v>
      </c>
      <c r="T673" s="32">
        <f>(VLOOKUP($A673,$A$458:$O$482,12,0)*(HLOOKUP(T$660,'2.2.Brecha Efectiva x UdM'!$H$86:$AK$92,7,0))+(VLOOKUP($A673,$A$4:$O$27,12,0)*(HLOOKUP(T$660,'2.2.Brecha Efectiva x UdM'!$H$64:$AK$70,7,0))))</f>
        <v>0</v>
      </c>
      <c r="U673" s="32">
        <f>(VLOOKUP($A673,$A$458:$O$482,12,0)*(HLOOKUP(U$660,'2.2.Brecha Efectiva x UdM'!$H$86:$AK$92,7,0))+(VLOOKUP($A673,$A$4:$O$27,12,0)*(HLOOKUP(U$660,'2.2.Brecha Efectiva x UdM'!$H$64:$AK$70,7,0))))</f>
        <v>0</v>
      </c>
      <c r="V673" s="32">
        <f>(VLOOKUP($A673,$A$458:$O$482,12,0)*(HLOOKUP(V$660,'2.2.Brecha Efectiva x UdM'!$H$86:$AK$92,7,0))+(VLOOKUP($A673,$A$4:$O$27,12,0)*(HLOOKUP(V$660,'2.2.Brecha Efectiva x UdM'!$H$64:$AK$70,7,0))))</f>
        <v>0</v>
      </c>
      <c r="W673" s="32">
        <f>(VLOOKUP($A673,$A$458:$O$482,12,0)*(HLOOKUP(W$660,'2.2.Brecha Efectiva x UdM'!$H$86:$AK$92,7,0))+(VLOOKUP($A673,$A$4:$O$27,12,0)*(HLOOKUP(W$660,'2.2.Brecha Efectiva x UdM'!$H$64:$AK$70,7,0))))</f>
        <v>0</v>
      </c>
      <c r="X673" s="32">
        <f>(VLOOKUP($A673,$A$458:$O$482,12,0)*(HLOOKUP(X$660,'2.2.Brecha Efectiva x UdM'!$H$86:$AK$92,7,0))+(VLOOKUP($A673,$A$4:$O$27,12,0)*(HLOOKUP(X$660,'2.2.Brecha Efectiva x UdM'!$H$64:$AK$70,7,0))))</f>
        <v>0</v>
      </c>
      <c r="Y673" s="32">
        <f>(VLOOKUP($A673,$A$458:$O$482,12,0)*(HLOOKUP(Y$660,'2.2.Brecha Efectiva x UdM'!$H$86:$AK$92,7,0))+(VLOOKUP($A673,$A$4:$O$27,12,0)*(HLOOKUP(Y$660,'2.2.Brecha Efectiva x UdM'!$H$64:$AK$70,7,0))))</f>
        <v>0</v>
      </c>
      <c r="Z673" s="32">
        <f>(VLOOKUP($A673,$A$458:$O$482,12,0)*(HLOOKUP(Z$660,'2.2.Brecha Efectiva x UdM'!$H$86:$AK$92,7,0))+(VLOOKUP($A673,$A$4:$O$27,12,0)*(HLOOKUP(Z$660,'2.2.Brecha Efectiva x UdM'!$H$64:$AK$70,7,0))))</f>
        <v>0</v>
      </c>
      <c r="AA673" s="32">
        <f>(VLOOKUP($A673,$A$458:$O$482,12,0)*(HLOOKUP(AA$660,'2.2.Brecha Efectiva x UdM'!$H$86:$AK$92,7,0))+(VLOOKUP($A673,$A$4:$O$27,12,0)*(HLOOKUP(AA$660,'2.2.Brecha Efectiva x UdM'!$H$64:$AK$70,7,0))))</f>
        <v>0</v>
      </c>
      <c r="AB673" s="32">
        <f>(VLOOKUP($A673,$A$458:$O$482,12,0)*(HLOOKUP(AB$660,'2.2.Brecha Efectiva x UdM'!$H$86:$AK$92,7,0))+(VLOOKUP($A673,$A$4:$O$27,12,0)*(HLOOKUP(AB$660,'2.2.Brecha Efectiva x UdM'!$H$64:$AK$70,7,0))))</f>
        <v>0</v>
      </c>
      <c r="AC673" s="32">
        <f>(VLOOKUP($A673,$A$458:$O$482,12,0)*(HLOOKUP(AC$660,'2.2.Brecha Efectiva x UdM'!$H$86:$AK$92,7,0))+(VLOOKUP($A673,$A$4:$O$27,12,0)*(HLOOKUP(AC$660,'2.2.Brecha Efectiva x UdM'!$H$64:$AK$70,7,0))))</f>
        <v>0</v>
      </c>
      <c r="AD673" s="32">
        <f>(VLOOKUP($A673,$A$458:$O$482,12,0)*(HLOOKUP(AD$660,'2.2.Brecha Efectiva x UdM'!$H$86:$AK$92,7,0))+(VLOOKUP($A673,$A$4:$O$27,12,0)*(HLOOKUP(AD$660,'2.2.Brecha Efectiva x UdM'!$H$64:$AK$70,7,0))))</f>
        <v>0</v>
      </c>
      <c r="AE673" s="32">
        <f>(VLOOKUP($A673,$A$458:$O$482,12,0)*(HLOOKUP(AE$660,'2.2.Brecha Efectiva x UdM'!$H$86:$AK$92,7,0))+(VLOOKUP($A673,$A$4:$O$27,12,0)*(HLOOKUP(AE$660,'2.2.Brecha Efectiva x UdM'!$H$64:$AK$70,7,0))))</f>
        <v>0</v>
      </c>
      <c r="AF673" s="32">
        <f>(VLOOKUP($A673,$A$458:$O$482,12,0)*(HLOOKUP(AF$660,'2.2.Brecha Efectiva x UdM'!$H$86:$AK$92,7,0))+(VLOOKUP($A673,$A$4:$O$27,12,0)*(HLOOKUP(AF$660,'2.2.Brecha Efectiva x UdM'!$H$64:$AK$70,7,0))))</f>
        <v>0</v>
      </c>
      <c r="AG673" s="32">
        <f>(VLOOKUP($A673,$A$458:$O$482,12,0)*(HLOOKUP(AG$660,'2.2.Brecha Efectiva x UdM'!$H$86:$AK$92,7,0))+(VLOOKUP($A673,$A$4:$O$27,12,0)*(HLOOKUP(AG$660,'2.2.Brecha Efectiva x UdM'!$H$64:$AK$70,7,0))))</f>
        <v>0</v>
      </c>
      <c r="AH673" s="62">
        <f t="shared" si="637"/>
        <v>0</v>
      </c>
    </row>
    <row r="674" spans="1:34" hidden="1" x14ac:dyDescent="0.2">
      <c r="A674" s="26" t="str">
        <f t="shared" si="634"/>
        <v>Misiones</v>
      </c>
      <c r="B674" s="52">
        <f t="shared" si="635"/>
        <v>0</v>
      </c>
      <c r="C674" s="26" t="str">
        <f t="shared" si="636"/>
        <v>Misiones 0</v>
      </c>
      <c r="D674" s="31">
        <f>(VLOOKUP($A674,$A$458:$O$482,12,0)*(HLOOKUP(D$660,'2.2.Brecha Efectiva x UdM'!$H$86:$AK$92,7,0))+(VLOOKUP($A674,$A$4:$O$27,12,0)*(HLOOKUP(D$660,'2.2.Brecha Efectiva x UdM'!$H$64:$AK$70,7,0))))</f>
        <v>0</v>
      </c>
      <c r="E674" s="31">
        <f>(VLOOKUP($A674,$A$458:$O$482,12,0)*(HLOOKUP(E$660,'2.2.Brecha Efectiva x UdM'!$H$86:$AK$92,7,0))+(VLOOKUP($A674,$A$4:$O$27,12,0)*(HLOOKUP(E$660,'2.2.Brecha Efectiva x UdM'!$H$64:$AK$70,7,0))))</f>
        <v>0</v>
      </c>
      <c r="F674" s="31">
        <f>(VLOOKUP($A674,$A$458:$O$482,12,0)*(HLOOKUP(F$660,'2.2.Brecha Efectiva x UdM'!$H$86:$AK$92,7,0))+(VLOOKUP($A674,$A$4:$O$27,12,0)*(HLOOKUP(F$660,'2.2.Brecha Efectiva x UdM'!$H$64:$AK$70,7,0))))</f>
        <v>0</v>
      </c>
      <c r="G674" s="31">
        <f>(VLOOKUP($A674,$A$458:$O$482,12,0)*(HLOOKUP(G$660,'2.2.Brecha Efectiva x UdM'!$H$86:$AK$92,7,0))+(VLOOKUP($A674,$A$4:$O$27,12,0)*(HLOOKUP(G$660,'2.2.Brecha Efectiva x UdM'!$H$64:$AK$70,7,0))))</f>
        <v>0</v>
      </c>
      <c r="H674" s="31">
        <f>(VLOOKUP($A674,$A$458:$O$482,12,0)*(HLOOKUP(H$660,'2.2.Brecha Efectiva x UdM'!$H$86:$AK$92,7,0))+(VLOOKUP($A674,$A$4:$O$27,12,0)*(HLOOKUP(H$660,'2.2.Brecha Efectiva x UdM'!$H$64:$AK$70,7,0))))</f>
        <v>0</v>
      </c>
      <c r="I674" s="31">
        <f>(VLOOKUP($A674,$A$458:$O$482,12,0)*(HLOOKUP(I$660,'2.2.Brecha Efectiva x UdM'!$H$86:$AK$92,7,0))+(VLOOKUP($A674,$A$4:$O$27,12,0)*(HLOOKUP(I$660,'2.2.Brecha Efectiva x UdM'!$H$64:$AK$70,7,0))))</f>
        <v>0</v>
      </c>
      <c r="J674" s="31">
        <f>(VLOOKUP($A674,$A$458:$O$482,12,0)*(HLOOKUP(J$660,'2.2.Brecha Efectiva x UdM'!$H$86:$AK$92,7,0))+(VLOOKUP($A674,$A$4:$O$27,12,0)*(HLOOKUP(J$660,'2.2.Brecha Efectiva x UdM'!$H$64:$AK$70,7,0))))</f>
        <v>0</v>
      </c>
      <c r="K674" s="31">
        <f>(VLOOKUP($A674,$A$458:$O$482,12,0)*(HLOOKUP(K$660,'2.2.Brecha Efectiva x UdM'!$H$86:$AK$92,7,0))+(VLOOKUP($A674,$A$4:$O$27,12,0)*(HLOOKUP(K$660,'2.2.Brecha Efectiva x UdM'!$H$64:$AK$70,7,0))))</f>
        <v>0</v>
      </c>
      <c r="L674" s="31">
        <f>(VLOOKUP($A674,$A$458:$O$482,12,0)*(HLOOKUP(L$660,'2.2.Brecha Efectiva x UdM'!$H$86:$AK$92,7,0))+(VLOOKUP($A674,$A$4:$O$27,12,0)*(HLOOKUP(L$660,'2.2.Brecha Efectiva x UdM'!$H$64:$AK$70,7,0))))</f>
        <v>0</v>
      </c>
      <c r="M674" s="31">
        <f>(VLOOKUP($A674,$A$458:$O$482,12,0)*(HLOOKUP(M$660,'2.2.Brecha Efectiva x UdM'!$H$86:$AK$92,7,0))+(VLOOKUP($A674,$A$4:$O$27,12,0)*(HLOOKUP(M$660,'2.2.Brecha Efectiva x UdM'!$H$64:$AK$70,7,0))))</f>
        <v>0</v>
      </c>
      <c r="N674" s="31">
        <f>(VLOOKUP($A674,$A$458:$O$482,12,0)*(HLOOKUP(N$660,'2.2.Brecha Efectiva x UdM'!$H$86:$AK$92,7,0))+(VLOOKUP($A674,$A$4:$O$27,12,0)*(HLOOKUP(N$660,'2.2.Brecha Efectiva x UdM'!$H$64:$AK$70,7,0))))</f>
        <v>0</v>
      </c>
      <c r="O674" s="31">
        <f>(VLOOKUP($A674,$A$458:$O$482,12,0)*(HLOOKUP(O$660,'2.2.Brecha Efectiva x UdM'!$H$86:$AK$92,7,0))+(VLOOKUP($A674,$A$4:$O$27,12,0)*(HLOOKUP(O$660,'2.2.Brecha Efectiva x UdM'!$H$64:$AK$70,7,0))))</f>
        <v>0</v>
      </c>
      <c r="P674" s="31">
        <f>(VLOOKUP($A674,$A$458:$O$482,12,0)*(HLOOKUP(P$660,'2.2.Brecha Efectiva x UdM'!$H$86:$AK$92,7,0))+(VLOOKUP($A674,$A$4:$O$27,12,0)*(HLOOKUP(P$660,'2.2.Brecha Efectiva x UdM'!$H$64:$AK$70,7,0))))</f>
        <v>0</v>
      </c>
      <c r="Q674" s="31">
        <f>(VLOOKUP($A674,$A$458:$O$482,12,0)*(HLOOKUP(Q$660,'2.2.Brecha Efectiva x UdM'!$H$86:$AK$92,7,0))+(VLOOKUP($A674,$A$4:$O$27,12,0)*(HLOOKUP(Q$660,'2.2.Brecha Efectiva x UdM'!$H$64:$AK$70,7,0))))</f>
        <v>0</v>
      </c>
      <c r="R674" s="31">
        <f>(VLOOKUP($A674,$A$458:$O$482,12,0)*(HLOOKUP(R$660,'2.2.Brecha Efectiva x UdM'!$H$86:$AK$92,7,0))+(VLOOKUP($A674,$A$4:$O$27,12,0)*(HLOOKUP(R$660,'2.2.Brecha Efectiva x UdM'!$H$64:$AK$70,7,0))))</f>
        <v>0</v>
      </c>
      <c r="S674" s="31">
        <f>(VLOOKUP($A674,$A$458:$O$482,12,0)*(HLOOKUP(S$660,'2.2.Brecha Efectiva x UdM'!$H$86:$AK$92,7,0))+(VLOOKUP($A674,$A$4:$O$27,12,0)*(HLOOKUP(S$660,'2.2.Brecha Efectiva x UdM'!$H$64:$AK$70,7,0))))</f>
        <v>0</v>
      </c>
      <c r="T674" s="31">
        <f>(VLOOKUP($A674,$A$458:$O$482,12,0)*(HLOOKUP(T$660,'2.2.Brecha Efectiva x UdM'!$H$86:$AK$92,7,0))+(VLOOKUP($A674,$A$4:$O$27,12,0)*(HLOOKUP(T$660,'2.2.Brecha Efectiva x UdM'!$H$64:$AK$70,7,0))))</f>
        <v>0</v>
      </c>
      <c r="U674" s="31">
        <f>(VLOOKUP($A674,$A$458:$O$482,12,0)*(HLOOKUP(U$660,'2.2.Brecha Efectiva x UdM'!$H$86:$AK$92,7,0))+(VLOOKUP($A674,$A$4:$O$27,12,0)*(HLOOKUP(U$660,'2.2.Brecha Efectiva x UdM'!$H$64:$AK$70,7,0))))</f>
        <v>0</v>
      </c>
      <c r="V674" s="31">
        <f>(VLOOKUP($A674,$A$458:$O$482,12,0)*(HLOOKUP(V$660,'2.2.Brecha Efectiva x UdM'!$H$86:$AK$92,7,0))+(VLOOKUP($A674,$A$4:$O$27,12,0)*(HLOOKUP(V$660,'2.2.Brecha Efectiva x UdM'!$H$64:$AK$70,7,0))))</f>
        <v>0</v>
      </c>
      <c r="W674" s="31">
        <f>(VLOOKUP($A674,$A$458:$O$482,12,0)*(HLOOKUP(W$660,'2.2.Brecha Efectiva x UdM'!$H$86:$AK$92,7,0))+(VLOOKUP($A674,$A$4:$O$27,12,0)*(HLOOKUP(W$660,'2.2.Brecha Efectiva x UdM'!$H$64:$AK$70,7,0))))</f>
        <v>0</v>
      </c>
      <c r="X674" s="31">
        <f>(VLOOKUP($A674,$A$458:$O$482,12,0)*(HLOOKUP(X$660,'2.2.Brecha Efectiva x UdM'!$H$86:$AK$92,7,0))+(VLOOKUP($A674,$A$4:$O$27,12,0)*(HLOOKUP(X$660,'2.2.Brecha Efectiva x UdM'!$H$64:$AK$70,7,0))))</f>
        <v>0</v>
      </c>
      <c r="Y674" s="31">
        <f>(VLOOKUP($A674,$A$458:$O$482,12,0)*(HLOOKUP(Y$660,'2.2.Brecha Efectiva x UdM'!$H$86:$AK$92,7,0))+(VLOOKUP($A674,$A$4:$O$27,12,0)*(HLOOKUP(Y$660,'2.2.Brecha Efectiva x UdM'!$H$64:$AK$70,7,0))))</f>
        <v>0</v>
      </c>
      <c r="Z674" s="31">
        <f>(VLOOKUP($A674,$A$458:$O$482,12,0)*(HLOOKUP(Z$660,'2.2.Brecha Efectiva x UdM'!$H$86:$AK$92,7,0))+(VLOOKUP($A674,$A$4:$O$27,12,0)*(HLOOKUP(Z$660,'2.2.Brecha Efectiva x UdM'!$H$64:$AK$70,7,0))))</f>
        <v>0</v>
      </c>
      <c r="AA674" s="31">
        <f>(VLOOKUP($A674,$A$458:$O$482,12,0)*(HLOOKUP(AA$660,'2.2.Brecha Efectiva x UdM'!$H$86:$AK$92,7,0))+(VLOOKUP($A674,$A$4:$O$27,12,0)*(HLOOKUP(AA$660,'2.2.Brecha Efectiva x UdM'!$H$64:$AK$70,7,0))))</f>
        <v>0</v>
      </c>
      <c r="AB674" s="31">
        <f>(VLOOKUP($A674,$A$458:$O$482,12,0)*(HLOOKUP(AB$660,'2.2.Brecha Efectiva x UdM'!$H$86:$AK$92,7,0))+(VLOOKUP($A674,$A$4:$O$27,12,0)*(HLOOKUP(AB$660,'2.2.Brecha Efectiva x UdM'!$H$64:$AK$70,7,0))))</f>
        <v>0</v>
      </c>
      <c r="AC674" s="31">
        <f>(VLOOKUP($A674,$A$458:$O$482,12,0)*(HLOOKUP(AC$660,'2.2.Brecha Efectiva x UdM'!$H$86:$AK$92,7,0))+(VLOOKUP($A674,$A$4:$O$27,12,0)*(HLOOKUP(AC$660,'2.2.Brecha Efectiva x UdM'!$H$64:$AK$70,7,0))))</f>
        <v>0</v>
      </c>
      <c r="AD674" s="31">
        <f>(VLOOKUP($A674,$A$458:$O$482,12,0)*(HLOOKUP(AD$660,'2.2.Brecha Efectiva x UdM'!$H$86:$AK$92,7,0))+(VLOOKUP($A674,$A$4:$O$27,12,0)*(HLOOKUP(AD$660,'2.2.Brecha Efectiva x UdM'!$H$64:$AK$70,7,0))))</f>
        <v>0</v>
      </c>
      <c r="AE674" s="31">
        <f>(VLOOKUP($A674,$A$458:$O$482,12,0)*(HLOOKUP(AE$660,'2.2.Brecha Efectiva x UdM'!$H$86:$AK$92,7,0))+(VLOOKUP($A674,$A$4:$O$27,12,0)*(HLOOKUP(AE$660,'2.2.Brecha Efectiva x UdM'!$H$64:$AK$70,7,0))))</f>
        <v>0</v>
      </c>
      <c r="AF674" s="31">
        <f>(VLOOKUP($A674,$A$458:$O$482,12,0)*(HLOOKUP(AF$660,'2.2.Brecha Efectiva x UdM'!$H$86:$AK$92,7,0))+(VLOOKUP($A674,$A$4:$O$27,12,0)*(HLOOKUP(AF$660,'2.2.Brecha Efectiva x UdM'!$H$64:$AK$70,7,0))))</f>
        <v>0</v>
      </c>
      <c r="AG674" s="31">
        <f>(VLOOKUP($A674,$A$458:$O$482,12,0)*(HLOOKUP(AG$660,'2.2.Brecha Efectiva x UdM'!$H$86:$AK$92,7,0))+(VLOOKUP($A674,$A$4:$O$27,12,0)*(HLOOKUP(AG$660,'2.2.Brecha Efectiva x UdM'!$H$64:$AK$70,7,0))))</f>
        <v>0</v>
      </c>
      <c r="AH674" s="63">
        <f t="shared" si="637"/>
        <v>0</v>
      </c>
    </row>
    <row r="675" spans="1:34" hidden="1" x14ac:dyDescent="0.2">
      <c r="A675" s="25" t="str">
        <f t="shared" si="634"/>
        <v>Neuquén</v>
      </c>
      <c r="B675" s="51">
        <f t="shared" si="635"/>
        <v>0</v>
      </c>
      <c r="C675" s="25" t="str">
        <f t="shared" si="636"/>
        <v>Neuquén 0</v>
      </c>
      <c r="D675" s="32">
        <f>(VLOOKUP($A675,$A$458:$O$482,12,0)*(HLOOKUP(D$660,'2.2.Brecha Efectiva x UdM'!$H$86:$AK$92,7,0))+(VLOOKUP($A675,$A$4:$O$27,12,0)*(HLOOKUP(D$660,'2.2.Brecha Efectiva x UdM'!$H$64:$AK$70,7,0))))</f>
        <v>0</v>
      </c>
      <c r="E675" s="32">
        <f>(VLOOKUP($A675,$A$458:$O$482,12,0)*(HLOOKUP(E$660,'2.2.Brecha Efectiva x UdM'!$H$86:$AK$92,7,0))+(VLOOKUP($A675,$A$4:$O$27,12,0)*(HLOOKUP(E$660,'2.2.Brecha Efectiva x UdM'!$H$64:$AK$70,7,0))))</f>
        <v>0</v>
      </c>
      <c r="F675" s="32">
        <f>(VLOOKUP($A675,$A$458:$O$482,12,0)*(HLOOKUP(F$660,'2.2.Brecha Efectiva x UdM'!$H$86:$AK$92,7,0))+(VLOOKUP($A675,$A$4:$O$27,12,0)*(HLOOKUP(F$660,'2.2.Brecha Efectiva x UdM'!$H$64:$AK$70,7,0))))</f>
        <v>0</v>
      </c>
      <c r="G675" s="32">
        <f>(VLOOKUP($A675,$A$458:$O$482,12,0)*(HLOOKUP(G$660,'2.2.Brecha Efectiva x UdM'!$H$86:$AK$92,7,0))+(VLOOKUP($A675,$A$4:$O$27,12,0)*(HLOOKUP(G$660,'2.2.Brecha Efectiva x UdM'!$H$64:$AK$70,7,0))))</f>
        <v>0</v>
      </c>
      <c r="H675" s="32">
        <f>(VLOOKUP($A675,$A$458:$O$482,12,0)*(HLOOKUP(H$660,'2.2.Brecha Efectiva x UdM'!$H$86:$AK$92,7,0))+(VLOOKUP($A675,$A$4:$O$27,12,0)*(HLOOKUP(H$660,'2.2.Brecha Efectiva x UdM'!$H$64:$AK$70,7,0))))</f>
        <v>0</v>
      </c>
      <c r="I675" s="32">
        <f>(VLOOKUP($A675,$A$458:$O$482,12,0)*(HLOOKUP(I$660,'2.2.Brecha Efectiva x UdM'!$H$86:$AK$92,7,0))+(VLOOKUP($A675,$A$4:$O$27,12,0)*(HLOOKUP(I$660,'2.2.Brecha Efectiva x UdM'!$H$64:$AK$70,7,0))))</f>
        <v>0</v>
      </c>
      <c r="J675" s="32">
        <f>(VLOOKUP($A675,$A$458:$O$482,12,0)*(HLOOKUP(J$660,'2.2.Brecha Efectiva x UdM'!$H$86:$AK$92,7,0))+(VLOOKUP($A675,$A$4:$O$27,12,0)*(HLOOKUP(J$660,'2.2.Brecha Efectiva x UdM'!$H$64:$AK$70,7,0))))</f>
        <v>0</v>
      </c>
      <c r="K675" s="32">
        <f>(VLOOKUP($A675,$A$458:$O$482,12,0)*(HLOOKUP(K$660,'2.2.Brecha Efectiva x UdM'!$H$86:$AK$92,7,0))+(VLOOKUP($A675,$A$4:$O$27,12,0)*(HLOOKUP(K$660,'2.2.Brecha Efectiva x UdM'!$H$64:$AK$70,7,0))))</f>
        <v>0</v>
      </c>
      <c r="L675" s="32">
        <f>(VLOOKUP($A675,$A$458:$O$482,12,0)*(HLOOKUP(L$660,'2.2.Brecha Efectiva x UdM'!$H$86:$AK$92,7,0))+(VLOOKUP($A675,$A$4:$O$27,12,0)*(HLOOKUP(L$660,'2.2.Brecha Efectiva x UdM'!$H$64:$AK$70,7,0))))</f>
        <v>0</v>
      </c>
      <c r="M675" s="32">
        <f>(VLOOKUP($A675,$A$458:$O$482,12,0)*(HLOOKUP(M$660,'2.2.Brecha Efectiva x UdM'!$H$86:$AK$92,7,0))+(VLOOKUP($A675,$A$4:$O$27,12,0)*(HLOOKUP(M$660,'2.2.Brecha Efectiva x UdM'!$H$64:$AK$70,7,0))))</f>
        <v>0</v>
      </c>
      <c r="N675" s="32">
        <f>(VLOOKUP($A675,$A$458:$O$482,12,0)*(HLOOKUP(N$660,'2.2.Brecha Efectiva x UdM'!$H$86:$AK$92,7,0))+(VLOOKUP($A675,$A$4:$O$27,12,0)*(HLOOKUP(N$660,'2.2.Brecha Efectiva x UdM'!$H$64:$AK$70,7,0))))</f>
        <v>0</v>
      </c>
      <c r="O675" s="32">
        <f>(VLOOKUP($A675,$A$458:$O$482,12,0)*(HLOOKUP(O$660,'2.2.Brecha Efectiva x UdM'!$H$86:$AK$92,7,0))+(VLOOKUP($A675,$A$4:$O$27,12,0)*(HLOOKUP(O$660,'2.2.Brecha Efectiva x UdM'!$H$64:$AK$70,7,0))))</f>
        <v>0</v>
      </c>
      <c r="P675" s="32">
        <f>(VLOOKUP($A675,$A$458:$O$482,12,0)*(HLOOKUP(P$660,'2.2.Brecha Efectiva x UdM'!$H$86:$AK$92,7,0))+(VLOOKUP($A675,$A$4:$O$27,12,0)*(HLOOKUP(P$660,'2.2.Brecha Efectiva x UdM'!$H$64:$AK$70,7,0))))</f>
        <v>0</v>
      </c>
      <c r="Q675" s="32">
        <f>(VLOOKUP($A675,$A$458:$O$482,12,0)*(HLOOKUP(Q$660,'2.2.Brecha Efectiva x UdM'!$H$86:$AK$92,7,0))+(VLOOKUP($A675,$A$4:$O$27,12,0)*(HLOOKUP(Q$660,'2.2.Brecha Efectiva x UdM'!$H$64:$AK$70,7,0))))</f>
        <v>0</v>
      </c>
      <c r="R675" s="32">
        <f>(VLOOKUP($A675,$A$458:$O$482,12,0)*(HLOOKUP(R$660,'2.2.Brecha Efectiva x UdM'!$H$86:$AK$92,7,0))+(VLOOKUP($A675,$A$4:$O$27,12,0)*(HLOOKUP(R$660,'2.2.Brecha Efectiva x UdM'!$H$64:$AK$70,7,0))))</f>
        <v>0</v>
      </c>
      <c r="S675" s="32">
        <f>(VLOOKUP($A675,$A$458:$O$482,12,0)*(HLOOKUP(S$660,'2.2.Brecha Efectiva x UdM'!$H$86:$AK$92,7,0))+(VLOOKUP($A675,$A$4:$O$27,12,0)*(HLOOKUP(S$660,'2.2.Brecha Efectiva x UdM'!$H$64:$AK$70,7,0))))</f>
        <v>0</v>
      </c>
      <c r="T675" s="32">
        <f>(VLOOKUP($A675,$A$458:$O$482,12,0)*(HLOOKUP(T$660,'2.2.Brecha Efectiva x UdM'!$H$86:$AK$92,7,0))+(VLOOKUP($A675,$A$4:$O$27,12,0)*(HLOOKUP(T$660,'2.2.Brecha Efectiva x UdM'!$H$64:$AK$70,7,0))))</f>
        <v>0</v>
      </c>
      <c r="U675" s="32">
        <f>(VLOOKUP($A675,$A$458:$O$482,12,0)*(HLOOKUP(U$660,'2.2.Brecha Efectiva x UdM'!$H$86:$AK$92,7,0))+(VLOOKUP($A675,$A$4:$O$27,12,0)*(HLOOKUP(U$660,'2.2.Brecha Efectiva x UdM'!$H$64:$AK$70,7,0))))</f>
        <v>0</v>
      </c>
      <c r="V675" s="32">
        <f>(VLOOKUP($A675,$A$458:$O$482,12,0)*(HLOOKUP(V$660,'2.2.Brecha Efectiva x UdM'!$H$86:$AK$92,7,0))+(VLOOKUP($A675,$A$4:$O$27,12,0)*(HLOOKUP(V$660,'2.2.Brecha Efectiva x UdM'!$H$64:$AK$70,7,0))))</f>
        <v>0</v>
      </c>
      <c r="W675" s="32">
        <f>(VLOOKUP($A675,$A$458:$O$482,12,0)*(HLOOKUP(W$660,'2.2.Brecha Efectiva x UdM'!$H$86:$AK$92,7,0))+(VLOOKUP($A675,$A$4:$O$27,12,0)*(HLOOKUP(W$660,'2.2.Brecha Efectiva x UdM'!$H$64:$AK$70,7,0))))</f>
        <v>0</v>
      </c>
      <c r="X675" s="32">
        <f>(VLOOKUP($A675,$A$458:$O$482,12,0)*(HLOOKUP(X$660,'2.2.Brecha Efectiva x UdM'!$H$86:$AK$92,7,0))+(VLOOKUP($A675,$A$4:$O$27,12,0)*(HLOOKUP(X$660,'2.2.Brecha Efectiva x UdM'!$H$64:$AK$70,7,0))))</f>
        <v>0</v>
      </c>
      <c r="Y675" s="32">
        <f>(VLOOKUP($A675,$A$458:$O$482,12,0)*(HLOOKUP(Y$660,'2.2.Brecha Efectiva x UdM'!$H$86:$AK$92,7,0))+(VLOOKUP($A675,$A$4:$O$27,12,0)*(HLOOKUP(Y$660,'2.2.Brecha Efectiva x UdM'!$H$64:$AK$70,7,0))))</f>
        <v>0</v>
      </c>
      <c r="Z675" s="32">
        <f>(VLOOKUP($A675,$A$458:$O$482,12,0)*(HLOOKUP(Z$660,'2.2.Brecha Efectiva x UdM'!$H$86:$AK$92,7,0))+(VLOOKUP($A675,$A$4:$O$27,12,0)*(HLOOKUP(Z$660,'2.2.Brecha Efectiva x UdM'!$H$64:$AK$70,7,0))))</f>
        <v>0</v>
      </c>
      <c r="AA675" s="32">
        <f>(VLOOKUP($A675,$A$458:$O$482,12,0)*(HLOOKUP(AA$660,'2.2.Brecha Efectiva x UdM'!$H$86:$AK$92,7,0))+(VLOOKUP($A675,$A$4:$O$27,12,0)*(HLOOKUP(AA$660,'2.2.Brecha Efectiva x UdM'!$H$64:$AK$70,7,0))))</f>
        <v>0</v>
      </c>
      <c r="AB675" s="32">
        <f>(VLOOKUP($A675,$A$458:$O$482,12,0)*(HLOOKUP(AB$660,'2.2.Brecha Efectiva x UdM'!$H$86:$AK$92,7,0))+(VLOOKUP($A675,$A$4:$O$27,12,0)*(HLOOKUP(AB$660,'2.2.Brecha Efectiva x UdM'!$H$64:$AK$70,7,0))))</f>
        <v>0</v>
      </c>
      <c r="AC675" s="32">
        <f>(VLOOKUP($A675,$A$458:$O$482,12,0)*(HLOOKUP(AC$660,'2.2.Brecha Efectiva x UdM'!$H$86:$AK$92,7,0))+(VLOOKUP($A675,$A$4:$O$27,12,0)*(HLOOKUP(AC$660,'2.2.Brecha Efectiva x UdM'!$H$64:$AK$70,7,0))))</f>
        <v>0</v>
      </c>
      <c r="AD675" s="32">
        <f>(VLOOKUP($A675,$A$458:$O$482,12,0)*(HLOOKUP(AD$660,'2.2.Brecha Efectiva x UdM'!$H$86:$AK$92,7,0))+(VLOOKUP($A675,$A$4:$O$27,12,0)*(HLOOKUP(AD$660,'2.2.Brecha Efectiva x UdM'!$H$64:$AK$70,7,0))))</f>
        <v>0</v>
      </c>
      <c r="AE675" s="32">
        <f>(VLOOKUP($A675,$A$458:$O$482,12,0)*(HLOOKUP(AE$660,'2.2.Brecha Efectiva x UdM'!$H$86:$AK$92,7,0))+(VLOOKUP($A675,$A$4:$O$27,12,0)*(HLOOKUP(AE$660,'2.2.Brecha Efectiva x UdM'!$H$64:$AK$70,7,0))))</f>
        <v>0</v>
      </c>
      <c r="AF675" s="32">
        <f>(VLOOKUP($A675,$A$458:$O$482,12,0)*(HLOOKUP(AF$660,'2.2.Brecha Efectiva x UdM'!$H$86:$AK$92,7,0))+(VLOOKUP($A675,$A$4:$O$27,12,0)*(HLOOKUP(AF$660,'2.2.Brecha Efectiva x UdM'!$H$64:$AK$70,7,0))))</f>
        <v>0</v>
      </c>
      <c r="AG675" s="32">
        <f>(VLOOKUP($A675,$A$458:$O$482,12,0)*(HLOOKUP(AG$660,'2.2.Brecha Efectiva x UdM'!$H$86:$AK$92,7,0))+(VLOOKUP($A675,$A$4:$O$27,12,0)*(HLOOKUP(AG$660,'2.2.Brecha Efectiva x UdM'!$H$64:$AK$70,7,0))))</f>
        <v>0</v>
      </c>
      <c r="AH675" s="62">
        <f t="shared" si="637"/>
        <v>0</v>
      </c>
    </row>
    <row r="676" spans="1:34" hidden="1" x14ac:dyDescent="0.2">
      <c r="A676" s="26" t="str">
        <f t="shared" si="634"/>
        <v>Río Negro</v>
      </c>
      <c r="B676" s="52">
        <f t="shared" si="635"/>
        <v>0</v>
      </c>
      <c r="C676" s="26" t="str">
        <f t="shared" si="636"/>
        <v>Río Negro 0</v>
      </c>
      <c r="D676" s="31">
        <f>(VLOOKUP($A676,$A$458:$O$482,12,0)*(HLOOKUP(D$660,'2.2.Brecha Efectiva x UdM'!$H$86:$AK$92,7,0))+(VLOOKUP($A676,$A$4:$O$27,12,0)*(HLOOKUP(D$660,'2.2.Brecha Efectiva x UdM'!$H$64:$AK$70,7,0))))</f>
        <v>0</v>
      </c>
      <c r="E676" s="31">
        <f>(VLOOKUP($A676,$A$458:$O$482,12,0)*(HLOOKUP(E$660,'2.2.Brecha Efectiva x UdM'!$H$86:$AK$92,7,0))+(VLOOKUP($A676,$A$4:$O$27,12,0)*(HLOOKUP(E$660,'2.2.Brecha Efectiva x UdM'!$H$64:$AK$70,7,0))))</f>
        <v>0</v>
      </c>
      <c r="F676" s="31">
        <f>(VLOOKUP($A676,$A$458:$O$482,12,0)*(HLOOKUP(F$660,'2.2.Brecha Efectiva x UdM'!$H$86:$AK$92,7,0))+(VLOOKUP($A676,$A$4:$O$27,12,0)*(HLOOKUP(F$660,'2.2.Brecha Efectiva x UdM'!$H$64:$AK$70,7,0))))</f>
        <v>0</v>
      </c>
      <c r="G676" s="31">
        <f>(VLOOKUP($A676,$A$458:$O$482,12,0)*(HLOOKUP(G$660,'2.2.Brecha Efectiva x UdM'!$H$86:$AK$92,7,0))+(VLOOKUP($A676,$A$4:$O$27,12,0)*(HLOOKUP(G$660,'2.2.Brecha Efectiva x UdM'!$H$64:$AK$70,7,0))))</f>
        <v>0</v>
      </c>
      <c r="H676" s="31">
        <f>(VLOOKUP($A676,$A$458:$O$482,12,0)*(HLOOKUP(H$660,'2.2.Brecha Efectiva x UdM'!$H$86:$AK$92,7,0))+(VLOOKUP($A676,$A$4:$O$27,12,0)*(HLOOKUP(H$660,'2.2.Brecha Efectiva x UdM'!$H$64:$AK$70,7,0))))</f>
        <v>0</v>
      </c>
      <c r="I676" s="31">
        <f>(VLOOKUP($A676,$A$458:$O$482,12,0)*(HLOOKUP(I$660,'2.2.Brecha Efectiva x UdM'!$H$86:$AK$92,7,0))+(VLOOKUP($A676,$A$4:$O$27,12,0)*(HLOOKUP(I$660,'2.2.Brecha Efectiva x UdM'!$H$64:$AK$70,7,0))))</f>
        <v>0</v>
      </c>
      <c r="J676" s="31">
        <f>(VLOOKUP($A676,$A$458:$O$482,12,0)*(HLOOKUP(J$660,'2.2.Brecha Efectiva x UdM'!$H$86:$AK$92,7,0))+(VLOOKUP($A676,$A$4:$O$27,12,0)*(HLOOKUP(J$660,'2.2.Brecha Efectiva x UdM'!$H$64:$AK$70,7,0))))</f>
        <v>0</v>
      </c>
      <c r="K676" s="31">
        <f>(VLOOKUP($A676,$A$458:$O$482,12,0)*(HLOOKUP(K$660,'2.2.Brecha Efectiva x UdM'!$H$86:$AK$92,7,0))+(VLOOKUP($A676,$A$4:$O$27,12,0)*(HLOOKUP(K$660,'2.2.Brecha Efectiva x UdM'!$H$64:$AK$70,7,0))))</f>
        <v>0</v>
      </c>
      <c r="L676" s="31">
        <f>(VLOOKUP($A676,$A$458:$O$482,12,0)*(HLOOKUP(L$660,'2.2.Brecha Efectiva x UdM'!$H$86:$AK$92,7,0))+(VLOOKUP($A676,$A$4:$O$27,12,0)*(HLOOKUP(L$660,'2.2.Brecha Efectiva x UdM'!$H$64:$AK$70,7,0))))</f>
        <v>0</v>
      </c>
      <c r="M676" s="31">
        <f>(VLOOKUP($A676,$A$458:$O$482,12,0)*(HLOOKUP(M$660,'2.2.Brecha Efectiva x UdM'!$H$86:$AK$92,7,0))+(VLOOKUP($A676,$A$4:$O$27,12,0)*(HLOOKUP(M$660,'2.2.Brecha Efectiva x UdM'!$H$64:$AK$70,7,0))))</f>
        <v>0</v>
      </c>
      <c r="N676" s="31">
        <f>(VLOOKUP($A676,$A$458:$O$482,12,0)*(HLOOKUP(N$660,'2.2.Brecha Efectiva x UdM'!$H$86:$AK$92,7,0))+(VLOOKUP($A676,$A$4:$O$27,12,0)*(HLOOKUP(N$660,'2.2.Brecha Efectiva x UdM'!$H$64:$AK$70,7,0))))</f>
        <v>0</v>
      </c>
      <c r="O676" s="31">
        <f>(VLOOKUP($A676,$A$458:$O$482,12,0)*(HLOOKUP(O$660,'2.2.Brecha Efectiva x UdM'!$H$86:$AK$92,7,0))+(VLOOKUP($A676,$A$4:$O$27,12,0)*(HLOOKUP(O$660,'2.2.Brecha Efectiva x UdM'!$H$64:$AK$70,7,0))))</f>
        <v>0</v>
      </c>
      <c r="P676" s="31">
        <f>(VLOOKUP($A676,$A$458:$O$482,12,0)*(HLOOKUP(P$660,'2.2.Brecha Efectiva x UdM'!$H$86:$AK$92,7,0))+(VLOOKUP($A676,$A$4:$O$27,12,0)*(HLOOKUP(P$660,'2.2.Brecha Efectiva x UdM'!$H$64:$AK$70,7,0))))</f>
        <v>0</v>
      </c>
      <c r="Q676" s="31">
        <f>(VLOOKUP($A676,$A$458:$O$482,12,0)*(HLOOKUP(Q$660,'2.2.Brecha Efectiva x UdM'!$H$86:$AK$92,7,0))+(VLOOKUP($A676,$A$4:$O$27,12,0)*(HLOOKUP(Q$660,'2.2.Brecha Efectiva x UdM'!$H$64:$AK$70,7,0))))</f>
        <v>0</v>
      </c>
      <c r="R676" s="31">
        <f>(VLOOKUP($A676,$A$458:$O$482,12,0)*(HLOOKUP(R$660,'2.2.Brecha Efectiva x UdM'!$H$86:$AK$92,7,0))+(VLOOKUP($A676,$A$4:$O$27,12,0)*(HLOOKUP(R$660,'2.2.Brecha Efectiva x UdM'!$H$64:$AK$70,7,0))))</f>
        <v>0</v>
      </c>
      <c r="S676" s="31">
        <f>(VLOOKUP($A676,$A$458:$O$482,12,0)*(HLOOKUP(S$660,'2.2.Brecha Efectiva x UdM'!$H$86:$AK$92,7,0))+(VLOOKUP($A676,$A$4:$O$27,12,0)*(HLOOKUP(S$660,'2.2.Brecha Efectiva x UdM'!$H$64:$AK$70,7,0))))</f>
        <v>0</v>
      </c>
      <c r="T676" s="31">
        <f>(VLOOKUP($A676,$A$458:$O$482,12,0)*(HLOOKUP(T$660,'2.2.Brecha Efectiva x UdM'!$H$86:$AK$92,7,0))+(VLOOKUP($A676,$A$4:$O$27,12,0)*(HLOOKUP(T$660,'2.2.Brecha Efectiva x UdM'!$H$64:$AK$70,7,0))))</f>
        <v>0</v>
      </c>
      <c r="U676" s="31">
        <f>(VLOOKUP($A676,$A$458:$O$482,12,0)*(HLOOKUP(U$660,'2.2.Brecha Efectiva x UdM'!$H$86:$AK$92,7,0))+(VLOOKUP($A676,$A$4:$O$27,12,0)*(HLOOKUP(U$660,'2.2.Brecha Efectiva x UdM'!$H$64:$AK$70,7,0))))</f>
        <v>0</v>
      </c>
      <c r="V676" s="31">
        <f>(VLOOKUP($A676,$A$458:$O$482,12,0)*(HLOOKUP(V$660,'2.2.Brecha Efectiva x UdM'!$H$86:$AK$92,7,0))+(VLOOKUP($A676,$A$4:$O$27,12,0)*(HLOOKUP(V$660,'2.2.Brecha Efectiva x UdM'!$H$64:$AK$70,7,0))))</f>
        <v>0</v>
      </c>
      <c r="W676" s="31">
        <f>(VLOOKUP($A676,$A$458:$O$482,12,0)*(HLOOKUP(W$660,'2.2.Brecha Efectiva x UdM'!$H$86:$AK$92,7,0))+(VLOOKUP($A676,$A$4:$O$27,12,0)*(HLOOKUP(W$660,'2.2.Brecha Efectiva x UdM'!$H$64:$AK$70,7,0))))</f>
        <v>0</v>
      </c>
      <c r="X676" s="31">
        <f>(VLOOKUP($A676,$A$458:$O$482,12,0)*(HLOOKUP(X$660,'2.2.Brecha Efectiva x UdM'!$H$86:$AK$92,7,0))+(VLOOKUP($A676,$A$4:$O$27,12,0)*(HLOOKUP(X$660,'2.2.Brecha Efectiva x UdM'!$H$64:$AK$70,7,0))))</f>
        <v>0</v>
      </c>
      <c r="Y676" s="31">
        <f>(VLOOKUP($A676,$A$458:$O$482,12,0)*(HLOOKUP(Y$660,'2.2.Brecha Efectiva x UdM'!$H$86:$AK$92,7,0))+(VLOOKUP($A676,$A$4:$O$27,12,0)*(HLOOKUP(Y$660,'2.2.Brecha Efectiva x UdM'!$H$64:$AK$70,7,0))))</f>
        <v>0</v>
      </c>
      <c r="Z676" s="31">
        <f>(VLOOKUP($A676,$A$458:$O$482,12,0)*(HLOOKUP(Z$660,'2.2.Brecha Efectiva x UdM'!$H$86:$AK$92,7,0))+(VLOOKUP($A676,$A$4:$O$27,12,0)*(HLOOKUP(Z$660,'2.2.Brecha Efectiva x UdM'!$H$64:$AK$70,7,0))))</f>
        <v>0</v>
      </c>
      <c r="AA676" s="31">
        <f>(VLOOKUP($A676,$A$458:$O$482,12,0)*(HLOOKUP(AA$660,'2.2.Brecha Efectiva x UdM'!$H$86:$AK$92,7,0))+(VLOOKUP($A676,$A$4:$O$27,12,0)*(HLOOKUP(AA$660,'2.2.Brecha Efectiva x UdM'!$H$64:$AK$70,7,0))))</f>
        <v>0</v>
      </c>
      <c r="AB676" s="31">
        <f>(VLOOKUP($A676,$A$458:$O$482,12,0)*(HLOOKUP(AB$660,'2.2.Brecha Efectiva x UdM'!$H$86:$AK$92,7,0))+(VLOOKUP($A676,$A$4:$O$27,12,0)*(HLOOKUP(AB$660,'2.2.Brecha Efectiva x UdM'!$H$64:$AK$70,7,0))))</f>
        <v>0</v>
      </c>
      <c r="AC676" s="31">
        <f>(VLOOKUP($A676,$A$458:$O$482,12,0)*(HLOOKUP(AC$660,'2.2.Brecha Efectiva x UdM'!$H$86:$AK$92,7,0))+(VLOOKUP($A676,$A$4:$O$27,12,0)*(HLOOKUP(AC$660,'2.2.Brecha Efectiva x UdM'!$H$64:$AK$70,7,0))))</f>
        <v>0</v>
      </c>
      <c r="AD676" s="31">
        <f>(VLOOKUP($A676,$A$458:$O$482,12,0)*(HLOOKUP(AD$660,'2.2.Brecha Efectiva x UdM'!$H$86:$AK$92,7,0))+(VLOOKUP($A676,$A$4:$O$27,12,0)*(HLOOKUP(AD$660,'2.2.Brecha Efectiva x UdM'!$H$64:$AK$70,7,0))))</f>
        <v>0</v>
      </c>
      <c r="AE676" s="31">
        <f>(VLOOKUP($A676,$A$458:$O$482,12,0)*(HLOOKUP(AE$660,'2.2.Brecha Efectiva x UdM'!$H$86:$AK$92,7,0))+(VLOOKUP($A676,$A$4:$O$27,12,0)*(HLOOKUP(AE$660,'2.2.Brecha Efectiva x UdM'!$H$64:$AK$70,7,0))))</f>
        <v>0</v>
      </c>
      <c r="AF676" s="31">
        <f>(VLOOKUP($A676,$A$458:$O$482,12,0)*(HLOOKUP(AF$660,'2.2.Brecha Efectiva x UdM'!$H$86:$AK$92,7,0))+(VLOOKUP($A676,$A$4:$O$27,12,0)*(HLOOKUP(AF$660,'2.2.Brecha Efectiva x UdM'!$H$64:$AK$70,7,0))))</f>
        <v>0</v>
      </c>
      <c r="AG676" s="31">
        <f>(VLOOKUP($A676,$A$458:$O$482,12,0)*(HLOOKUP(AG$660,'2.2.Brecha Efectiva x UdM'!$H$86:$AK$92,7,0))+(VLOOKUP($A676,$A$4:$O$27,12,0)*(HLOOKUP(AG$660,'2.2.Brecha Efectiva x UdM'!$H$64:$AK$70,7,0))))</f>
        <v>0</v>
      </c>
      <c r="AH676" s="63">
        <f t="shared" si="637"/>
        <v>0</v>
      </c>
    </row>
    <row r="677" spans="1:34" hidden="1" x14ac:dyDescent="0.2">
      <c r="A677" s="25" t="str">
        <f t="shared" si="634"/>
        <v>Salta</v>
      </c>
      <c r="B677" s="51">
        <f t="shared" si="635"/>
        <v>0</v>
      </c>
      <c r="C677" s="25" t="str">
        <f t="shared" si="636"/>
        <v>Salta 0</v>
      </c>
      <c r="D677" s="32">
        <f>(VLOOKUP($A677,$A$458:$O$482,12,0)*(HLOOKUP(D$660,'2.2.Brecha Efectiva x UdM'!$H$86:$AK$92,7,0))+(VLOOKUP($A677,$A$4:$O$27,12,0)*(HLOOKUP(D$660,'2.2.Brecha Efectiva x UdM'!$H$64:$AK$70,7,0))))</f>
        <v>0</v>
      </c>
      <c r="E677" s="32">
        <f>(VLOOKUP($A677,$A$458:$O$482,12,0)*(HLOOKUP(E$660,'2.2.Brecha Efectiva x UdM'!$H$86:$AK$92,7,0))+(VLOOKUP($A677,$A$4:$O$27,12,0)*(HLOOKUP(E$660,'2.2.Brecha Efectiva x UdM'!$H$64:$AK$70,7,0))))</f>
        <v>0</v>
      </c>
      <c r="F677" s="32">
        <f>(VLOOKUP($A677,$A$458:$O$482,12,0)*(HLOOKUP(F$660,'2.2.Brecha Efectiva x UdM'!$H$86:$AK$92,7,0))+(VLOOKUP($A677,$A$4:$O$27,12,0)*(HLOOKUP(F$660,'2.2.Brecha Efectiva x UdM'!$H$64:$AK$70,7,0))))</f>
        <v>0</v>
      </c>
      <c r="G677" s="32">
        <f>(VLOOKUP($A677,$A$458:$O$482,12,0)*(HLOOKUP(G$660,'2.2.Brecha Efectiva x UdM'!$H$86:$AK$92,7,0))+(VLOOKUP($A677,$A$4:$O$27,12,0)*(HLOOKUP(G$660,'2.2.Brecha Efectiva x UdM'!$H$64:$AK$70,7,0))))</f>
        <v>0</v>
      </c>
      <c r="H677" s="32">
        <f>(VLOOKUP($A677,$A$458:$O$482,12,0)*(HLOOKUP(H$660,'2.2.Brecha Efectiva x UdM'!$H$86:$AK$92,7,0))+(VLOOKUP($A677,$A$4:$O$27,12,0)*(HLOOKUP(H$660,'2.2.Brecha Efectiva x UdM'!$H$64:$AK$70,7,0))))</f>
        <v>0</v>
      </c>
      <c r="I677" s="32">
        <f>(VLOOKUP($A677,$A$458:$O$482,12,0)*(HLOOKUP(I$660,'2.2.Brecha Efectiva x UdM'!$H$86:$AK$92,7,0))+(VLOOKUP($A677,$A$4:$O$27,12,0)*(HLOOKUP(I$660,'2.2.Brecha Efectiva x UdM'!$H$64:$AK$70,7,0))))</f>
        <v>0</v>
      </c>
      <c r="J677" s="32">
        <f>(VLOOKUP($A677,$A$458:$O$482,12,0)*(HLOOKUP(J$660,'2.2.Brecha Efectiva x UdM'!$H$86:$AK$92,7,0))+(VLOOKUP($A677,$A$4:$O$27,12,0)*(HLOOKUP(J$660,'2.2.Brecha Efectiva x UdM'!$H$64:$AK$70,7,0))))</f>
        <v>0</v>
      </c>
      <c r="K677" s="32">
        <f>(VLOOKUP($A677,$A$458:$O$482,12,0)*(HLOOKUP(K$660,'2.2.Brecha Efectiva x UdM'!$H$86:$AK$92,7,0))+(VLOOKUP($A677,$A$4:$O$27,12,0)*(HLOOKUP(K$660,'2.2.Brecha Efectiva x UdM'!$H$64:$AK$70,7,0))))</f>
        <v>0</v>
      </c>
      <c r="L677" s="32">
        <f>(VLOOKUP($A677,$A$458:$O$482,12,0)*(HLOOKUP(L$660,'2.2.Brecha Efectiva x UdM'!$H$86:$AK$92,7,0))+(VLOOKUP($A677,$A$4:$O$27,12,0)*(HLOOKUP(L$660,'2.2.Brecha Efectiva x UdM'!$H$64:$AK$70,7,0))))</f>
        <v>0</v>
      </c>
      <c r="M677" s="32">
        <f>(VLOOKUP($A677,$A$458:$O$482,12,0)*(HLOOKUP(M$660,'2.2.Brecha Efectiva x UdM'!$H$86:$AK$92,7,0))+(VLOOKUP($A677,$A$4:$O$27,12,0)*(HLOOKUP(M$660,'2.2.Brecha Efectiva x UdM'!$H$64:$AK$70,7,0))))</f>
        <v>0</v>
      </c>
      <c r="N677" s="32">
        <f>(VLOOKUP($A677,$A$458:$O$482,12,0)*(HLOOKUP(N$660,'2.2.Brecha Efectiva x UdM'!$H$86:$AK$92,7,0))+(VLOOKUP($A677,$A$4:$O$27,12,0)*(HLOOKUP(N$660,'2.2.Brecha Efectiva x UdM'!$H$64:$AK$70,7,0))))</f>
        <v>0</v>
      </c>
      <c r="O677" s="32">
        <f>(VLOOKUP($A677,$A$458:$O$482,12,0)*(HLOOKUP(O$660,'2.2.Brecha Efectiva x UdM'!$H$86:$AK$92,7,0))+(VLOOKUP($A677,$A$4:$O$27,12,0)*(HLOOKUP(O$660,'2.2.Brecha Efectiva x UdM'!$H$64:$AK$70,7,0))))</f>
        <v>0</v>
      </c>
      <c r="P677" s="32">
        <f>(VLOOKUP($A677,$A$458:$O$482,12,0)*(HLOOKUP(P$660,'2.2.Brecha Efectiva x UdM'!$H$86:$AK$92,7,0))+(VLOOKUP($A677,$A$4:$O$27,12,0)*(HLOOKUP(P$660,'2.2.Brecha Efectiva x UdM'!$H$64:$AK$70,7,0))))</f>
        <v>0</v>
      </c>
      <c r="Q677" s="32">
        <f>(VLOOKUP($A677,$A$458:$O$482,12,0)*(HLOOKUP(Q$660,'2.2.Brecha Efectiva x UdM'!$H$86:$AK$92,7,0))+(VLOOKUP($A677,$A$4:$O$27,12,0)*(HLOOKUP(Q$660,'2.2.Brecha Efectiva x UdM'!$H$64:$AK$70,7,0))))</f>
        <v>0</v>
      </c>
      <c r="R677" s="32">
        <f>(VLOOKUP($A677,$A$458:$O$482,12,0)*(HLOOKUP(R$660,'2.2.Brecha Efectiva x UdM'!$H$86:$AK$92,7,0))+(VLOOKUP($A677,$A$4:$O$27,12,0)*(HLOOKUP(R$660,'2.2.Brecha Efectiva x UdM'!$H$64:$AK$70,7,0))))</f>
        <v>0</v>
      </c>
      <c r="S677" s="32">
        <f>(VLOOKUP($A677,$A$458:$O$482,12,0)*(HLOOKUP(S$660,'2.2.Brecha Efectiva x UdM'!$H$86:$AK$92,7,0))+(VLOOKUP($A677,$A$4:$O$27,12,0)*(HLOOKUP(S$660,'2.2.Brecha Efectiva x UdM'!$H$64:$AK$70,7,0))))</f>
        <v>0</v>
      </c>
      <c r="T677" s="32">
        <f>(VLOOKUP($A677,$A$458:$O$482,12,0)*(HLOOKUP(T$660,'2.2.Brecha Efectiva x UdM'!$H$86:$AK$92,7,0))+(VLOOKUP($A677,$A$4:$O$27,12,0)*(HLOOKUP(T$660,'2.2.Brecha Efectiva x UdM'!$H$64:$AK$70,7,0))))</f>
        <v>0</v>
      </c>
      <c r="U677" s="32">
        <f>(VLOOKUP($A677,$A$458:$O$482,12,0)*(HLOOKUP(U$660,'2.2.Brecha Efectiva x UdM'!$H$86:$AK$92,7,0))+(VLOOKUP($A677,$A$4:$O$27,12,0)*(HLOOKUP(U$660,'2.2.Brecha Efectiva x UdM'!$H$64:$AK$70,7,0))))</f>
        <v>0</v>
      </c>
      <c r="V677" s="32">
        <f>(VLOOKUP($A677,$A$458:$O$482,12,0)*(HLOOKUP(V$660,'2.2.Brecha Efectiva x UdM'!$H$86:$AK$92,7,0))+(VLOOKUP($A677,$A$4:$O$27,12,0)*(HLOOKUP(V$660,'2.2.Brecha Efectiva x UdM'!$H$64:$AK$70,7,0))))</f>
        <v>0</v>
      </c>
      <c r="W677" s="32">
        <f>(VLOOKUP($A677,$A$458:$O$482,12,0)*(HLOOKUP(W$660,'2.2.Brecha Efectiva x UdM'!$H$86:$AK$92,7,0))+(VLOOKUP($A677,$A$4:$O$27,12,0)*(HLOOKUP(W$660,'2.2.Brecha Efectiva x UdM'!$H$64:$AK$70,7,0))))</f>
        <v>0</v>
      </c>
      <c r="X677" s="32">
        <f>(VLOOKUP($A677,$A$458:$O$482,12,0)*(HLOOKUP(X$660,'2.2.Brecha Efectiva x UdM'!$H$86:$AK$92,7,0))+(VLOOKUP($A677,$A$4:$O$27,12,0)*(HLOOKUP(X$660,'2.2.Brecha Efectiva x UdM'!$H$64:$AK$70,7,0))))</f>
        <v>0</v>
      </c>
      <c r="Y677" s="32">
        <f>(VLOOKUP($A677,$A$458:$O$482,12,0)*(HLOOKUP(Y$660,'2.2.Brecha Efectiva x UdM'!$H$86:$AK$92,7,0))+(VLOOKUP($A677,$A$4:$O$27,12,0)*(HLOOKUP(Y$660,'2.2.Brecha Efectiva x UdM'!$H$64:$AK$70,7,0))))</f>
        <v>0</v>
      </c>
      <c r="Z677" s="32">
        <f>(VLOOKUP($A677,$A$458:$O$482,12,0)*(HLOOKUP(Z$660,'2.2.Brecha Efectiva x UdM'!$H$86:$AK$92,7,0))+(VLOOKUP($A677,$A$4:$O$27,12,0)*(HLOOKUP(Z$660,'2.2.Brecha Efectiva x UdM'!$H$64:$AK$70,7,0))))</f>
        <v>0</v>
      </c>
      <c r="AA677" s="32">
        <f>(VLOOKUP($A677,$A$458:$O$482,12,0)*(HLOOKUP(AA$660,'2.2.Brecha Efectiva x UdM'!$H$86:$AK$92,7,0))+(VLOOKUP($A677,$A$4:$O$27,12,0)*(HLOOKUP(AA$660,'2.2.Brecha Efectiva x UdM'!$H$64:$AK$70,7,0))))</f>
        <v>0</v>
      </c>
      <c r="AB677" s="32">
        <f>(VLOOKUP($A677,$A$458:$O$482,12,0)*(HLOOKUP(AB$660,'2.2.Brecha Efectiva x UdM'!$H$86:$AK$92,7,0))+(VLOOKUP($A677,$A$4:$O$27,12,0)*(HLOOKUP(AB$660,'2.2.Brecha Efectiva x UdM'!$H$64:$AK$70,7,0))))</f>
        <v>0</v>
      </c>
      <c r="AC677" s="32">
        <f>(VLOOKUP($A677,$A$458:$O$482,12,0)*(HLOOKUP(AC$660,'2.2.Brecha Efectiva x UdM'!$H$86:$AK$92,7,0))+(VLOOKUP($A677,$A$4:$O$27,12,0)*(HLOOKUP(AC$660,'2.2.Brecha Efectiva x UdM'!$H$64:$AK$70,7,0))))</f>
        <v>0</v>
      </c>
      <c r="AD677" s="32">
        <f>(VLOOKUP($A677,$A$458:$O$482,12,0)*(HLOOKUP(AD$660,'2.2.Brecha Efectiva x UdM'!$H$86:$AK$92,7,0))+(VLOOKUP($A677,$A$4:$O$27,12,0)*(HLOOKUP(AD$660,'2.2.Brecha Efectiva x UdM'!$H$64:$AK$70,7,0))))</f>
        <v>0</v>
      </c>
      <c r="AE677" s="32">
        <f>(VLOOKUP($A677,$A$458:$O$482,12,0)*(HLOOKUP(AE$660,'2.2.Brecha Efectiva x UdM'!$H$86:$AK$92,7,0))+(VLOOKUP($A677,$A$4:$O$27,12,0)*(HLOOKUP(AE$660,'2.2.Brecha Efectiva x UdM'!$H$64:$AK$70,7,0))))</f>
        <v>0</v>
      </c>
      <c r="AF677" s="32">
        <f>(VLOOKUP($A677,$A$458:$O$482,12,0)*(HLOOKUP(AF$660,'2.2.Brecha Efectiva x UdM'!$H$86:$AK$92,7,0))+(VLOOKUP($A677,$A$4:$O$27,12,0)*(HLOOKUP(AF$660,'2.2.Brecha Efectiva x UdM'!$H$64:$AK$70,7,0))))</f>
        <v>0</v>
      </c>
      <c r="AG677" s="32">
        <f>(VLOOKUP($A677,$A$458:$O$482,12,0)*(HLOOKUP(AG$660,'2.2.Brecha Efectiva x UdM'!$H$86:$AK$92,7,0))+(VLOOKUP($A677,$A$4:$O$27,12,0)*(HLOOKUP(AG$660,'2.2.Brecha Efectiva x UdM'!$H$64:$AK$70,7,0))))</f>
        <v>0</v>
      </c>
      <c r="AH677" s="62">
        <f t="shared" si="637"/>
        <v>0</v>
      </c>
    </row>
    <row r="678" spans="1:34" hidden="1" x14ac:dyDescent="0.2">
      <c r="A678" s="26" t="str">
        <f t="shared" si="634"/>
        <v>San Juan</v>
      </c>
      <c r="B678" s="52">
        <f t="shared" si="635"/>
        <v>0</v>
      </c>
      <c r="C678" s="26" t="str">
        <f t="shared" si="636"/>
        <v>San Juan 0</v>
      </c>
      <c r="D678" s="31">
        <f>(VLOOKUP($A678,$A$458:$O$482,12,0)*(HLOOKUP(D$660,'2.2.Brecha Efectiva x UdM'!$H$86:$AK$92,7,0))+(VLOOKUP($A678,$A$4:$O$27,12,0)*(HLOOKUP(D$660,'2.2.Brecha Efectiva x UdM'!$H$64:$AK$70,7,0))))</f>
        <v>0</v>
      </c>
      <c r="E678" s="31">
        <f>(VLOOKUP($A678,$A$458:$O$482,12,0)*(HLOOKUP(E$660,'2.2.Brecha Efectiva x UdM'!$H$86:$AK$92,7,0))+(VLOOKUP($A678,$A$4:$O$27,12,0)*(HLOOKUP(E$660,'2.2.Brecha Efectiva x UdM'!$H$64:$AK$70,7,0))))</f>
        <v>0</v>
      </c>
      <c r="F678" s="31">
        <f>(VLOOKUP($A678,$A$458:$O$482,12,0)*(HLOOKUP(F$660,'2.2.Brecha Efectiva x UdM'!$H$86:$AK$92,7,0))+(VLOOKUP($A678,$A$4:$O$27,12,0)*(HLOOKUP(F$660,'2.2.Brecha Efectiva x UdM'!$H$64:$AK$70,7,0))))</f>
        <v>0</v>
      </c>
      <c r="G678" s="31">
        <f>(VLOOKUP($A678,$A$458:$O$482,12,0)*(HLOOKUP(G$660,'2.2.Brecha Efectiva x UdM'!$H$86:$AK$92,7,0))+(VLOOKUP($A678,$A$4:$O$27,12,0)*(HLOOKUP(G$660,'2.2.Brecha Efectiva x UdM'!$H$64:$AK$70,7,0))))</f>
        <v>0</v>
      </c>
      <c r="H678" s="31">
        <f>(VLOOKUP($A678,$A$458:$O$482,12,0)*(HLOOKUP(H$660,'2.2.Brecha Efectiva x UdM'!$H$86:$AK$92,7,0))+(VLOOKUP($A678,$A$4:$O$27,12,0)*(HLOOKUP(H$660,'2.2.Brecha Efectiva x UdM'!$H$64:$AK$70,7,0))))</f>
        <v>0</v>
      </c>
      <c r="I678" s="31">
        <f>(VLOOKUP($A678,$A$458:$O$482,12,0)*(HLOOKUP(I$660,'2.2.Brecha Efectiva x UdM'!$H$86:$AK$92,7,0))+(VLOOKUP($A678,$A$4:$O$27,12,0)*(HLOOKUP(I$660,'2.2.Brecha Efectiva x UdM'!$H$64:$AK$70,7,0))))</f>
        <v>0</v>
      </c>
      <c r="J678" s="31">
        <f>(VLOOKUP($A678,$A$458:$O$482,12,0)*(HLOOKUP(J$660,'2.2.Brecha Efectiva x UdM'!$H$86:$AK$92,7,0))+(VLOOKUP($A678,$A$4:$O$27,12,0)*(HLOOKUP(J$660,'2.2.Brecha Efectiva x UdM'!$H$64:$AK$70,7,0))))</f>
        <v>0</v>
      </c>
      <c r="K678" s="31">
        <f>(VLOOKUP($A678,$A$458:$O$482,12,0)*(HLOOKUP(K$660,'2.2.Brecha Efectiva x UdM'!$H$86:$AK$92,7,0))+(VLOOKUP($A678,$A$4:$O$27,12,0)*(HLOOKUP(K$660,'2.2.Brecha Efectiva x UdM'!$H$64:$AK$70,7,0))))</f>
        <v>0</v>
      </c>
      <c r="L678" s="31">
        <f>(VLOOKUP($A678,$A$458:$O$482,12,0)*(HLOOKUP(L$660,'2.2.Brecha Efectiva x UdM'!$H$86:$AK$92,7,0))+(VLOOKUP($A678,$A$4:$O$27,12,0)*(HLOOKUP(L$660,'2.2.Brecha Efectiva x UdM'!$H$64:$AK$70,7,0))))</f>
        <v>0</v>
      </c>
      <c r="M678" s="31">
        <f>(VLOOKUP($A678,$A$458:$O$482,12,0)*(HLOOKUP(M$660,'2.2.Brecha Efectiva x UdM'!$H$86:$AK$92,7,0))+(VLOOKUP($A678,$A$4:$O$27,12,0)*(HLOOKUP(M$660,'2.2.Brecha Efectiva x UdM'!$H$64:$AK$70,7,0))))</f>
        <v>0</v>
      </c>
      <c r="N678" s="31">
        <f>(VLOOKUP($A678,$A$458:$O$482,12,0)*(HLOOKUP(N$660,'2.2.Brecha Efectiva x UdM'!$H$86:$AK$92,7,0))+(VLOOKUP($A678,$A$4:$O$27,12,0)*(HLOOKUP(N$660,'2.2.Brecha Efectiva x UdM'!$H$64:$AK$70,7,0))))</f>
        <v>0</v>
      </c>
      <c r="O678" s="31">
        <f>(VLOOKUP($A678,$A$458:$O$482,12,0)*(HLOOKUP(O$660,'2.2.Brecha Efectiva x UdM'!$H$86:$AK$92,7,0))+(VLOOKUP($A678,$A$4:$O$27,12,0)*(HLOOKUP(O$660,'2.2.Brecha Efectiva x UdM'!$H$64:$AK$70,7,0))))</f>
        <v>0</v>
      </c>
      <c r="P678" s="31">
        <f>(VLOOKUP($A678,$A$458:$O$482,12,0)*(HLOOKUP(P$660,'2.2.Brecha Efectiva x UdM'!$H$86:$AK$92,7,0))+(VLOOKUP($A678,$A$4:$O$27,12,0)*(HLOOKUP(P$660,'2.2.Brecha Efectiva x UdM'!$H$64:$AK$70,7,0))))</f>
        <v>0</v>
      </c>
      <c r="Q678" s="31">
        <f>(VLOOKUP($A678,$A$458:$O$482,12,0)*(HLOOKUP(Q$660,'2.2.Brecha Efectiva x UdM'!$H$86:$AK$92,7,0))+(VLOOKUP($A678,$A$4:$O$27,12,0)*(HLOOKUP(Q$660,'2.2.Brecha Efectiva x UdM'!$H$64:$AK$70,7,0))))</f>
        <v>0</v>
      </c>
      <c r="R678" s="31">
        <f>(VLOOKUP($A678,$A$458:$O$482,12,0)*(HLOOKUP(R$660,'2.2.Brecha Efectiva x UdM'!$H$86:$AK$92,7,0))+(VLOOKUP($A678,$A$4:$O$27,12,0)*(HLOOKUP(R$660,'2.2.Brecha Efectiva x UdM'!$H$64:$AK$70,7,0))))</f>
        <v>0</v>
      </c>
      <c r="S678" s="31">
        <f>(VLOOKUP($A678,$A$458:$O$482,12,0)*(HLOOKUP(S$660,'2.2.Brecha Efectiva x UdM'!$H$86:$AK$92,7,0))+(VLOOKUP($A678,$A$4:$O$27,12,0)*(HLOOKUP(S$660,'2.2.Brecha Efectiva x UdM'!$H$64:$AK$70,7,0))))</f>
        <v>0</v>
      </c>
      <c r="T678" s="31">
        <f>(VLOOKUP($A678,$A$458:$O$482,12,0)*(HLOOKUP(T$660,'2.2.Brecha Efectiva x UdM'!$H$86:$AK$92,7,0))+(VLOOKUP($A678,$A$4:$O$27,12,0)*(HLOOKUP(T$660,'2.2.Brecha Efectiva x UdM'!$H$64:$AK$70,7,0))))</f>
        <v>0</v>
      </c>
      <c r="U678" s="31">
        <f>(VLOOKUP($A678,$A$458:$O$482,12,0)*(HLOOKUP(U$660,'2.2.Brecha Efectiva x UdM'!$H$86:$AK$92,7,0))+(VLOOKUP($A678,$A$4:$O$27,12,0)*(HLOOKUP(U$660,'2.2.Brecha Efectiva x UdM'!$H$64:$AK$70,7,0))))</f>
        <v>0</v>
      </c>
      <c r="V678" s="31">
        <f>(VLOOKUP($A678,$A$458:$O$482,12,0)*(HLOOKUP(V$660,'2.2.Brecha Efectiva x UdM'!$H$86:$AK$92,7,0))+(VLOOKUP($A678,$A$4:$O$27,12,0)*(HLOOKUP(V$660,'2.2.Brecha Efectiva x UdM'!$H$64:$AK$70,7,0))))</f>
        <v>0</v>
      </c>
      <c r="W678" s="31">
        <f>(VLOOKUP($A678,$A$458:$O$482,12,0)*(HLOOKUP(W$660,'2.2.Brecha Efectiva x UdM'!$H$86:$AK$92,7,0))+(VLOOKUP($A678,$A$4:$O$27,12,0)*(HLOOKUP(W$660,'2.2.Brecha Efectiva x UdM'!$H$64:$AK$70,7,0))))</f>
        <v>0</v>
      </c>
      <c r="X678" s="31">
        <f>(VLOOKUP($A678,$A$458:$O$482,12,0)*(HLOOKUP(X$660,'2.2.Brecha Efectiva x UdM'!$H$86:$AK$92,7,0))+(VLOOKUP($A678,$A$4:$O$27,12,0)*(HLOOKUP(X$660,'2.2.Brecha Efectiva x UdM'!$H$64:$AK$70,7,0))))</f>
        <v>0</v>
      </c>
      <c r="Y678" s="31">
        <f>(VLOOKUP($A678,$A$458:$O$482,12,0)*(HLOOKUP(Y$660,'2.2.Brecha Efectiva x UdM'!$H$86:$AK$92,7,0))+(VLOOKUP($A678,$A$4:$O$27,12,0)*(HLOOKUP(Y$660,'2.2.Brecha Efectiva x UdM'!$H$64:$AK$70,7,0))))</f>
        <v>0</v>
      </c>
      <c r="Z678" s="31">
        <f>(VLOOKUP($A678,$A$458:$O$482,12,0)*(HLOOKUP(Z$660,'2.2.Brecha Efectiva x UdM'!$H$86:$AK$92,7,0))+(VLOOKUP($A678,$A$4:$O$27,12,0)*(HLOOKUP(Z$660,'2.2.Brecha Efectiva x UdM'!$H$64:$AK$70,7,0))))</f>
        <v>0</v>
      </c>
      <c r="AA678" s="31">
        <f>(VLOOKUP($A678,$A$458:$O$482,12,0)*(HLOOKUP(AA$660,'2.2.Brecha Efectiva x UdM'!$H$86:$AK$92,7,0))+(VLOOKUP($A678,$A$4:$O$27,12,0)*(HLOOKUP(AA$660,'2.2.Brecha Efectiva x UdM'!$H$64:$AK$70,7,0))))</f>
        <v>0</v>
      </c>
      <c r="AB678" s="31">
        <f>(VLOOKUP($A678,$A$458:$O$482,12,0)*(HLOOKUP(AB$660,'2.2.Brecha Efectiva x UdM'!$H$86:$AK$92,7,0))+(VLOOKUP($A678,$A$4:$O$27,12,0)*(HLOOKUP(AB$660,'2.2.Brecha Efectiva x UdM'!$H$64:$AK$70,7,0))))</f>
        <v>0</v>
      </c>
      <c r="AC678" s="31">
        <f>(VLOOKUP($A678,$A$458:$O$482,12,0)*(HLOOKUP(AC$660,'2.2.Brecha Efectiva x UdM'!$H$86:$AK$92,7,0))+(VLOOKUP($A678,$A$4:$O$27,12,0)*(HLOOKUP(AC$660,'2.2.Brecha Efectiva x UdM'!$H$64:$AK$70,7,0))))</f>
        <v>0</v>
      </c>
      <c r="AD678" s="31">
        <f>(VLOOKUP($A678,$A$458:$O$482,12,0)*(HLOOKUP(AD$660,'2.2.Brecha Efectiva x UdM'!$H$86:$AK$92,7,0))+(VLOOKUP($A678,$A$4:$O$27,12,0)*(HLOOKUP(AD$660,'2.2.Brecha Efectiva x UdM'!$H$64:$AK$70,7,0))))</f>
        <v>0</v>
      </c>
      <c r="AE678" s="31">
        <f>(VLOOKUP($A678,$A$458:$O$482,12,0)*(HLOOKUP(AE$660,'2.2.Brecha Efectiva x UdM'!$H$86:$AK$92,7,0))+(VLOOKUP($A678,$A$4:$O$27,12,0)*(HLOOKUP(AE$660,'2.2.Brecha Efectiva x UdM'!$H$64:$AK$70,7,0))))</f>
        <v>0</v>
      </c>
      <c r="AF678" s="31">
        <f>(VLOOKUP($A678,$A$458:$O$482,12,0)*(HLOOKUP(AF$660,'2.2.Brecha Efectiva x UdM'!$H$86:$AK$92,7,0))+(VLOOKUP($A678,$A$4:$O$27,12,0)*(HLOOKUP(AF$660,'2.2.Brecha Efectiva x UdM'!$H$64:$AK$70,7,0))))</f>
        <v>0</v>
      </c>
      <c r="AG678" s="31">
        <f>(VLOOKUP($A678,$A$458:$O$482,12,0)*(HLOOKUP(AG$660,'2.2.Brecha Efectiva x UdM'!$H$86:$AK$92,7,0))+(VLOOKUP($A678,$A$4:$O$27,12,0)*(HLOOKUP(AG$660,'2.2.Brecha Efectiva x UdM'!$H$64:$AK$70,7,0))))</f>
        <v>0</v>
      </c>
      <c r="AH678" s="63">
        <f t="shared" si="637"/>
        <v>0</v>
      </c>
    </row>
    <row r="679" spans="1:34" hidden="1" x14ac:dyDescent="0.2">
      <c r="A679" s="25" t="str">
        <f t="shared" si="634"/>
        <v>San Luis</v>
      </c>
      <c r="B679" s="51">
        <f t="shared" si="635"/>
        <v>0</v>
      </c>
      <c r="C679" s="25" t="str">
        <f t="shared" si="636"/>
        <v>San Luis 0</v>
      </c>
      <c r="D679" s="32">
        <f>(VLOOKUP($A679,$A$458:$O$482,12,0)*(HLOOKUP(D$660,'2.2.Brecha Efectiva x UdM'!$H$86:$AK$92,7,0))+(VLOOKUP($A679,$A$4:$O$27,12,0)*(HLOOKUP(D$660,'2.2.Brecha Efectiva x UdM'!$H$64:$AK$70,7,0))))</f>
        <v>0</v>
      </c>
      <c r="E679" s="32">
        <f>(VLOOKUP($A679,$A$458:$O$482,12,0)*(HLOOKUP(E$660,'2.2.Brecha Efectiva x UdM'!$H$86:$AK$92,7,0))+(VLOOKUP($A679,$A$4:$O$27,12,0)*(HLOOKUP(E$660,'2.2.Brecha Efectiva x UdM'!$H$64:$AK$70,7,0))))</f>
        <v>0</v>
      </c>
      <c r="F679" s="32">
        <f>(VLOOKUP($A679,$A$458:$O$482,12,0)*(HLOOKUP(F$660,'2.2.Brecha Efectiva x UdM'!$H$86:$AK$92,7,0))+(VLOOKUP($A679,$A$4:$O$27,12,0)*(HLOOKUP(F$660,'2.2.Brecha Efectiva x UdM'!$H$64:$AK$70,7,0))))</f>
        <v>0</v>
      </c>
      <c r="G679" s="32">
        <f>(VLOOKUP($A679,$A$458:$O$482,12,0)*(HLOOKUP(G$660,'2.2.Brecha Efectiva x UdM'!$H$86:$AK$92,7,0))+(VLOOKUP($A679,$A$4:$O$27,12,0)*(HLOOKUP(G$660,'2.2.Brecha Efectiva x UdM'!$H$64:$AK$70,7,0))))</f>
        <v>0</v>
      </c>
      <c r="H679" s="32">
        <f>(VLOOKUP($A679,$A$458:$O$482,12,0)*(HLOOKUP(H$660,'2.2.Brecha Efectiva x UdM'!$H$86:$AK$92,7,0))+(VLOOKUP($A679,$A$4:$O$27,12,0)*(HLOOKUP(H$660,'2.2.Brecha Efectiva x UdM'!$H$64:$AK$70,7,0))))</f>
        <v>0</v>
      </c>
      <c r="I679" s="32">
        <f>(VLOOKUP($A679,$A$458:$O$482,12,0)*(HLOOKUP(I$660,'2.2.Brecha Efectiva x UdM'!$H$86:$AK$92,7,0))+(VLOOKUP($A679,$A$4:$O$27,12,0)*(HLOOKUP(I$660,'2.2.Brecha Efectiva x UdM'!$H$64:$AK$70,7,0))))</f>
        <v>0</v>
      </c>
      <c r="J679" s="32">
        <f>(VLOOKUP($A679,$A$458:$O$482,12,0)*(HLOOKUP(J$660,'2.2.Brecha Efectiva x UdM'!$H$86:$AK$92,7,0))+(VLOOKUP($A679,$A$4:$O$27,12,0)*(HLOOKUP(J$660,'2.2.Brecha Efectiva x UdM'!$H$64:$AK$70,7,0))))</f>
        <v>0</v>
      </c>
      <c r="K679" s="32">
        <f>(VLOOKUP($A679,$A$458:$O$482,12,0)*(HLOOKUP(K$660,'2.2.Brecha Efectiva x UdM'!$H$86:$AK$92,7,0))+(VLOOKUP($A679,$A$4:$O$27,12,0)*(HLOOKUP(K$660,'2.2.Brecha Efectiva x UdM'!$H$64:$AK$70,7,0))))</f>
        <v>0</v>
      </c>
      <c r="L679" s="32">
        <f>(VLOOKUP($A679,$A$458:$O$482,12,0)*(HLOOKUP(L$660,'2.2.Brecha Efectiva x UdM'!$H$86:$AK$92,7,0))+(VLOOKUP($A679,$A$4:$O$27,12,0)*(HLOOKUP(L$660,'2.2.Brecha Efectiva x UdM'!$H$64:$AK$70,7,0))))</f>
        <v>0</v>
      </c>
      <c r="M679" s="32">
        <f>(VLOOKUP($A679,$A$458:$O$482,12,0)*(HLOOKUP(M$660,'2.2.Brecha Efectiva x UdM'!$H$86:$AK$92,7,0))+(VLOOKUP($A679,$A$4:$O$27,12,0)*(HLOOKUP(M$660,'2.2.Brecha Efectiva x UdM'!$H$64:$AK$70,7,0))))</f>
        <v>0</v>
      </c>
      <c r="N679" s="32">
        <f>(VLOOKUP($A679,$A$458:$O$482,12,0)*(HLOOKUP(N$660,'2.2.Brecha Efectiva x UdM'!$H$86:$AK$92,7,0))+(VLOOKUP($A679,$A$4:$O$27,12,0)*(HLOOKUP(N$660,'2.2.Brecha Efectiva x UdM'!$H$64:$AK$70,7,0))))</f>
        <v>0</v>
      </c>
      <c r="O679" s="32">
        <f>(VLOOKUP($A679,$A$458:$O$482,12,0)*(HLOOKUP(O$660,'2.2.Brecha Efectiva x UdM'!$H$86:$AK$92,7,0))+(VLOOKUP($A679,$A$4:$O$27,12,0)*(HLOOKUP(O$660,'2.2.Brecha Efectiva x UdM'!$H$64:$AK$70,7,0))))</f>
        <v>0</v>
      </c>
      <c r="P679" s="32">
        <f>(VLOOKUP($A679,$A$458:$O$482,12,0)*(HLOOKUP(P$660,'2.2.Brecha Efectiva x UdM'!$H$86:$AK$92,7,0))+(VLOOKUP($A679,$A$4:$O$27,12,0)*(HLOOKUP(P$660,'2.2.Brecha Efectiva x UdM'!$H$64:$AK$70,7,0))))</f>
        <v>0</v>
      </c>
      <c r="Q679" s="32">
        <f>(VLOOKUP($A679,$A$458:$O$482,12,0)*(HLOOKUP(Q$660,'2.2.Brecha Efectiva x UdM'!$H$86:$AK$92,7,0))+(VLOOKUP($A679,$A$4:$O$27,12,0)*(HLOOKUP(Q$660,'2.2.Brecha Efectiva x UdM'!$H$64:$AK$70,7,0))))</f>
        <v>0</v>
      </c>
      <c r="R679" s="32">
        <f>(VLOOKUP($A679,$A$458:$O$482,12,0)*(HLOOKUP(R$660,'2.2.Brecha Efectiva x UdM'!$H$86:$AK$92,7,0))+(VLOOKUP($A679,$A$4:$O$27,12,0)*(HLOOKUP(R$660,'2.2.Brecha Efectiva x UdM'!$H$64:$AK$70,7,0))))</f>
        <v>0</v>
      </c>
      <c r="S679" s="32">
        <f>(VLOOKUP($A679,$A$458:$O$482,12,0)*(HLOOKUP(S$660,'2.2.Brecha Efectiva x UdM'!$H$86:$AK$92,7,0))+(VLOOKUP($A679,$A$4:$O$27,12,0)*(HLOOKUP(S$660,'2.2.Brecha Efectiva x UdM'!$H$64:$AK$70,7,0))))</f>
        <v>0</v>
      </c>
      <c r="T679" s="32">
        <f>(VLOOKUP($A679,$A$458:$O$482,12,0)*(HLOOKUP(T$660,'2.2.Brecha Efectiva x UdM'!$H$86:$AK$92,7,0))+(VLOOKUP($A679,$A$4:$O$27,12,0)*(HLOOKUP(T$660,'2.2.Brecha Efectiva x UdM'!$H$64:$AK$70,7,0))))</f>
        <v>0</v>
      </c>
      <c r="U679" s="32">
        <f>(VLOOKUP($A679,$A$458:$O$482,12,0)*(HLOOKUP(U$660,'2.2.Brecha Efectiva x UdM'!$H$86:$AK$92,7,0))+(VLOOKUP($A679,$A$4:$O$27,12,0)*(HLOOKUP(U$660,'2.2.Brecha Efectiva x UdM'!$H$64:$AK$70,7,0))))</f>
        <v>0</v>
      </c>
      <c r="V679" s="32">
        <f>(VLOOKUP($A679,$A$458:$O$482,12,0)*(HLOOKUP(V$660,'2.2.Brecha Efectiva x UdM'!$H$86:$AK$92,7,0))+(VLOOKUP($A679,$A$4:$O$27,12,0)*(HLOOKUP(V$660,'2.2.Brecha Efectiva x UdM'!$H$64:$AK$70,7,0))))</f>
        <v>0</v>
      </c>
      <c r="W679" s="32">
        <f>(VLOOKUP($A679,$A$458:$O$482,12,0)*(HLOOKUP(W$660,'2.2.Brecha Efectiva x UdM'!$H$86:$AK$92,7,0))+(VLOOKUP($A679,$A$4:$O$27,12,0)*(HLOOKUP(W$660,'2.2.Brecha Efectiva x UdM'!$H$64:$AK$70,7,0))))</f>
        <v>0</v>
      </c>
      <c r="X679" s="32">
        <f>(VLOOKUP($A679,$A$458:$O$482,12,0)*(HLOOKUP(X$660,'2.2.Brecha Efectiva x UdM'!$H$86:$AK$92,7,0))+(VLOOKUP($A679,$A$4:$O$27,12,0)*(HLOOKUP(X$660,'2.2.Brecha Efectiva x UdM'!$H$64:$AK$70,7,0))))</f>
        <v>0</v>
      </c>
      <c r="Y679" s="32">
        <f>(VLOOKUP($A679,$A$458:$O$482,12,0)*(HLOOKUP(Y$660,'2.2.Brecha Efectiva x UdM'!$H$86:$AK$92,7,0))+(VLOOKUP($A679,$A$4:$O$27,12,0)*(HLOOKUP(Y$660,'2.2.Brecha Efectiva x UdM'!$H$64:$AK$70,7,0))))</f>
        <v>0</v>
      </c>
      <c r="Z679" s="32">
        <f>(VLOOKUP($A679,$A$458:$O$482,12,0)*(HLOOKUP(Z$660,'2.2.Brecha Efectiva x UdM'!$H$86:$AK$92,7,0))+(VLOOKUP($A679,$A$4:$O$27,12,0)*(HLOOKUP(Z$660,'2.2.Brecha Efectiva x UdM'!$H$64:$AK$70,7,0))))</f>
        <v>0</v>
      </c>
      <c r="AA679" s="32">
        <f>(VLOOKUP($A679,$A$458:$O$482,12,0)*(HLOOKUP(AA$660,'2.2.Brecha Efectiva x UdM'!$H$86:$AK$92,7,0))+(VLOOKUP($A679,$A$4:$O$27,12,0)*(HLOOKUP(AA$660,'2.2.Brecha Efectiva x UdM'!$H$64:$AK$70,7,0))))</f>
        <v>0</v>
      </c>
      <c r="AB679" s="32">
        <f>(VLOOKUP($A679,$A$458:$O$482,12,0)*(HLOOKUP(AB$660,'2.2.Brecha Efectiva x UdM'!$H$86:$AK$92,7,0))+(VLOOKUP($A679,$A$4:$O$27,12,0)*(HLOOKUP(AB$660,'2.2.Brecha Efectiva x UdM'!$H$64:$AK$70,7,0))))</f>
        <v>0</v>
      </c>
      <c r="AC679" s="32">
        <f>(VLOOKUP($A679,$A$458:$O$482,12,0)*(HLOOKUP(AC$660,'2.2.Brecha Efectiva x UdM'!$H$86:$AK$92,7,0))+(VLOOKUP($A679,$A$4:$O$27,12,0)*(HLOOKUP(AC$660,'2.2.Brecha Efectiva x UdM'!$H$64:$AK$70,7,0))))</f>
        <v>0</v>
      </c>
      <c r="AD679" s="32">
        <f>(VLOOKUP($A679,$A$458:$O$482,12,0)*(HLOOKUP(AD$660,'2.2.Brecha Efectiva x UdM'!$H$86:$AK$92,7,0))+(VLOOKUP($A679,$A$4:$O$27,12,0)*(HLOOKUP(AD$660,'2.2.Brecha Efectiva x UdM'!$H$64:$AK$70,7,0))))</f>
        <v>0</v>
      </c>
      <c r="AE679" s="32">
        <f>(VLOOKUP($A679,$A$458:$O$482,12,0)*(HLOOKUP(AE$660,'2.2.Brecha Efectiva x UdM'!$H$86:$AK$92,7,0))+(VLOOKUP($A679,$A$4:$O$27,12,0)*(HLOOKUP(AE$660,'2.2.Brecha Efectiva x UdM'!$H$64:$AK$70,7,0))))</f>
        <v>0</v>
      </c>
      <c r="AF679" s="32">
        <f>(VLOOKUP($A679,$A$458:$O$482,12,0)*(HLOOKUP(AF$660,'2.2.Brecha Efectiva x UdM'!$H$86:$AK$92,7,0))+(VLOOKUP($A679,$A$4:$O$27,12,0)*(HLOOKUP(AF$660,'2.2.Brecha Efectiva x UdM'!$H$64:$AK$70,7,0))))</f>
        <v>0</v>
      </c>
      <c r="AG679" s="32">
        <f>(VLOOKUP($A679,$A$458:$O$482,12,0)*(HLOOKUP(AG$660,'2.2.Brecha Efectiva x UdM'!$H$86:$AK$92,7,0))+(VLOOKUP($A679,$A$4:$O$27,12,0)*(HLOOKUP(AG$660,'2.2.Brecha Efectiva x UdM'!$H$64:$AK$70,7,0))))</f>
        <v>0</v>
      </c>
      <c r="AH679" s="62">
        <f t="shared" si="637"/>
        <v>0</v>
      </c>
    </row>
    <row r="680" spans="1:34" hidden="1" x14ac:dyDescent="0.2">
      <c r="A680" s="26" t="str">
        <f t="shared" si="634"/>
        <v>Santa Cruz</v>
      </c>
      <c r="B680" s="52">
        <f t="shared" si="635"/>
        <v>0</v>
      </c>
      <c r="C680" s="26" t="str">
        <f t="shared" si="636"/>
        <v>Santa Cruz 0</v>
      </c>
      <c r="D680" s="31">
        <f>(VLOOKUP($A680,$A$458:$O$482,12,0)*(HLOOKUP(D$660,'2.2.Brecha Efectiva x UdM'!$H$86:$AK$92,7,0))+(VLOOKUP($A680,$A$4:$O$27,12,0)*(HLOOKUP(D$660,'2.2.Brecha Efectiva x UdM'!$H$64:$AK$70,7,0))))</f>
        <v>0</v>
      </c>
      <c r="E680" s="31">
        <f>(VLOOKUP($A680,$A$458:$O$482,12,0)*(HLOOKUP(E$660,'2.2.Brecha Efectiva x UdM'!$H$86:$AK$92,7,0))+(VLOOKUP($A680,$A$4:$O$27,12,0)*(HLOOKUP(E$660,'2.2.Brecha Efectiva x UdM'!$H$64:$AK$70,7,0))))</f>
        <v>0</v>
      </c>
      <c r="F680" s="31">
        <f>(VLOOKUP($A680,$A$458:$O$482,12,0)*(HLOOKUP(F$660,'2.2.Brecha Efectiva x UdM'!$H$86:$AK$92,7,0))+(VLOOKUP($A680,$A$4:$O$27,12,0)*(HLOOKUP(F$660,'2.2.Brecha Efectiva x UdM'!$H$64:$AK$70,7,0))))</f>
        <v>0</v>
      </c>
      <c r="G680" s="31">
        <f>(VLOOKUP($A680,$A$458:$O$482,12,0)*(HLOOKUP(G$660,'2.2.Brecha Efectiva x UdM'!$H$86:$AK$92,7,0))+(VLOOKUP($A680,$A$4:$O$27,12,0)*(HLOOKUP(G$660,'2.2.Brecha Efectiva x UdM'!$H$64:$AK$70,7,0))))</f>
        <v>0</v>
      </c>
      <c r="H680" s="31">
        <f>(VLOOKUP($A680,$A$458:$O$482,12,0)*(HLOOKUP(H$660,'2.2.Brecha Efectiva x UdM'!$H$86:$AK$92,7,0))+(VLOOKUP($A680,$A$4:$O$27,12,0)*(HLOOKUP(H$660,'2.2.Brecha Efectiva x UdM'!$H$64:$AK$70,7,0))))</f>
        <v>0</v>
      </c>
      <c r="I680" s="31">
        <f>(VLOOKUP($A680,$A$458:$O$482,12,0)*(HLOOKUP(I$660,'2.2.Brecha Efectiva x UdM'!$H$86:$AK$92,7,0))+(VLOOKUP($A680,$A$4:$O$27,12,0)*(HLOOKUP(I$660,'2.2.Brecha Efectiva x UdM'!$H$64:$AK$70,7,0))))</f>
        <v>0</v>
      </c>
      <c r="J680" s="31">
        <f>(VLOOKUP($A680,$A$458:$O$482,12,0)*(HLOOKUP(J$660,'2.2.Brecha Efectiva x UdM'!$H$86:$AK$92,7,0))+(VLOOKUP($A680,$A$4:$O$27,12,0)*(HLOOKUP(J$660,'2.2.Brecha Efectiva x UdM'!$H$64:$AK$70,7,0))))</f>
        <v>0</v>
      </c>
      <c r="K680" s="31">
        <f>(VLOOKUP($A680,$A$458:$O$482,12,0)*(HLOOKUP(K$660,'2.2.Brecha Efectiva x UdM'!$H$86:$AK$92,7,0))+(VLOOKUP($A680,$A$4:$O$27,12,0)*(HLOOKUP(K$660,'2.2.Brecha Efectiva x UdM'!$H$64:$AK$70,7,0))))</f>
        <v>0</v>
      </c>
      <c r="L680" s="31">
        <f>(VLOOKUP($A680,$A$458:$O$482,12,0)*(HLOOKUP(L$660,'2.2.Brecha Efectiva x UdM'!$H$86:$AK$92,7,0))+(VLOOKUP($A680,$A$4:$O$27,12,0)*(HLOOKUP(L$660,'2.2.Brecha Efectiva x UdM'!$H$64:$AK$70,7,0))))</f>
        <v>0</v>
      </c>
      <c r="M680" s="31">
        <f>(VLOOKUP($A680,$A$458:$O$482,12,0)*(HLOOKUP(M$660,'2.2.Brecha Efectiva x UdM'!$H$86:$AK$92,7,0))+(VLOOKUP($A680,$A$4:$O$27,12,0)*(HLOOKUP(M$660,'2.2.Brecha Efectiva x UdM'!$H$64:$AK$70,7,0))))</f>
        <v>0</v>
      </c>
      <c r="N680" s="31">
        <f>(VLOOKUP($A680,$A$458:$O$482,12,0)*(HLOOKUP(N$660,'2.2.Brecha Efectiva x UdM'!$H$86:$AK$92,7,0))+(VLOOKUP($A680,$A$4:$O$27,12,0)*(HLOOKUP(N$660,'2.2.Brecha Efectiva x UdM'!$H$64:$AK$70,7,0))))</f>
        <v>0</v>
      </c>
      <c r="O680" s="31">
        <f>(VLOOKUP($A680,$A$458:$O$482,12,0)*(HLOOKUP(O$660,'2.2.Brecha Efectiva x UdM'!$H$86:$AK$92,7,0))+(VLOOKUP($A680,$A$4:$O$27,12,0)*(HLOOKUP(O$660,'2.2.Brecha Efectiva x UdM'!$H$64:$AK$70,7,0))))</f>
        <v>0</v>
      </c>
      <c r="P680" s="31">
        <f>(VLOOKUP($A680,$A$458:$O$482,12,0)*(HLOOKUP(P$660,'2.2.Brecha Efectiva x UdM'!$H$86:$AK$92,7,0))+(VLOOKUP($A680,$A$4:$O$27,12,0)*(HLOOKUP(P$660,'2.2.Brecha Efectiva x UdM'!$H$64:$AK$70,7,0))))</f>
        <v>0</v>
      </c>
      <c r="Q680" s="31">
        <f>(VLOOKUP($A680,$A$458:$O$482,12,0)*(HLOOKUP(Q$660,'2.2.Brecha Efectiva x UdM'!$H$86:$AK$92,7,0))+(VLOOKUP($A680,$A$4:$O$27,12,0)*(HLOOKUP(Q$660,'2.2.Brecha Efectiva x UdM'!$H$64:$AK$70,7,0))))</f>
        <v>0</v>
      </c>
      <c r="R680" s="31">
        <f>(VLOOKUP($A680,$A$458:$O$482,12,0)*(HLOOKUP(R$660,'2.2.Brecha Efectiva x UdM'!$H$86:$AK$92,7,0))+(VLOOKUP($A680,$A$4:$O$27,12,0)*(HLOOKUP(R$660,'2.2.Brecha Efectiva x UdM'!$H$64:$AK$70,7,0))))</f>
        <v>0</v>
      </c>
      <c r="S680" s="31">
        <f>(VLOOKUP($A680,$A$458:$O$482,12,0)*(HLOOKUP(S$660,'2.2.Brecha Efectiva x UdM'!$H$86:$AK$92,7,0))+(VLOOKUP($A680,$A$4:$O$27,12,0)*(HLOOKUP(S$660,'2.2.Brecha Efectiva x UdM'!$H$64:$AK$70,7,0))))</f>
        <v>0</v>
      </c>
      <c r="T680" s="31">
        <f>(VLOOKUP($A680,$A$458:$O$482,12,0)*(HLOOKUP(T$660,'2.2.Brecha Efectiva x UdM'!$H$86:$AK$92,7,0))+(VLOOKUP($A680,$A$4:$O$27,12,0)*(HLOOKUP(T$660,'2.2.Brecha Efectiva x UdM'!$H$64:$AK$70,7,0))))</f>
        <v>0</v>
      </c>
      <c r="U680" s="31">
        <f>(VLOOKUP($A680,$A$458:$O$482,12,0)*(HLOOKUP(U$660,'2.2.Brecha Efectiva x UdM'!$H$86:$AK$92,7,0))+(VLOOKUP($A680,$A$4:$O$27,12,0)*(HLOOKUP(U$660,'2.2.Brecha Efectiva x UdM'!$H$64:$AK$70,7,0))))</f>
        <v>0</v>
      </c>
      <c r="V680" s="31">
        <f>(VLOOKUP($A680,$A$458:$O$482,12,0)*(HLOOKUP(V$660,'2.2.Brecha Efectiva x UdM'!$H$86:$AK$92,7,0))+(VLOOKUP($A680,$A$4:$O$27,12,0)*(HLOOKUP(V$660,'2.2.Brecha Efectiva x UdM'!$H$64:$AK$70,7,0))))</f>
        <v>0</v>
      </c>
      <c r="W680" s="31">
        <f>(VLOOKUP($A680,$A$458:$O$482,12,0)*(HLOOKUP(W$660,'2.2.Brecha Efectiva x UdM'!$H$86:$AK$92,7,0))+(VLOOKUP($A680,$A$4:$O$27,12,0)*(HLOOKUP(W$660,'2.2.Brecha Efectiva x UdM'!$H$64:$AK$70,7,0))))</f>
        <v>0</v>
      </c>
      <c r="X680" s="31">
        <f>(VLOOKUP($A680,$A$458:$O$482,12,0)*(HLOOKUP(X$660,'2.2.Brecha Efectiva x UdM'!$H$86:$AK$92,7,0))+(VLOOKUP($A680,$A$4:$O$27,12,0)*(HLOOKUP(X$660,'2.2.Brecha Efectiva x UdM'!$H$64:$AK$70,7,0))))</f>
        <v>0</v>
      </c>
      <c r="Y680" s="31">
        <f>(VLOOKUP($A680,$A$458:$O$482,12,0)*(HLOOKUP(Y$660,'2.2.Brecha Efectiva x UdM'!$H$86:$AK$92,7,0))+(VLOOKUP($A680,$A$4:$O$27,12,0)*(HLOOKUP(Y$660,'2.2.Brecha Efectiva x UdM'!$H$64:$AK$70,7,0))))</f>
        <v>0</v>
      </c>
      <c r="Z680" s="31">
        <f>(VLOOKUP($A680,$A$458:$O$482,12,0)*(HLOOKUP(Z$660,'2.2.Brecha Efectiva x UdM'!$H$86:$AK$92,7,0))+(VLOOKUP($A680,$A$4:$O$27,12,0)*(HLOOKUP(Z$660,'2.2.Brecha Efectiva x UdM'!$H$64:$AK$70,7,0))))</f>
        <v>0</v>
      </c>
      <c r="AA680" s="31">
        <f>(VLOOKUP($A680,$A$458:$O$482,12,0)*(HLOOKUP(AA$660,'2.2.Brecha Efectiva x UdM'!$H$86:$AK$92,7,0))+(VLOOKUP($A680,$A$4:$O$27,12,0)*(HLOOKUP(AA$660,'2.2.Brecha Efectiva x UdM'!$H$64:$AK$70,7,0))))</f>
        <v>0</v>
      </c>
      <c r="AB680" s="31">
        <f>(VLOOKUP($A680,$A$458:$O$482,12,0)*(HLOOKUP(AB$660,'2.2.Brecha Efectiva x UdM'!$H$86:$AK$92,7,0))+(VLOOKUP($A680,$A$4:$O$27,12,0)*(HLOOKUP(AB$660,'2.2.Brecha Efectiva x UdM'!$H$64:$AK$70,7,0))))</f>
        <v>0</v>
      </c>
      <c r="AC680" s="31">
        <f>(VLOOKUP($A680,$A$458:$O$482,12,0)*(HLOOKUP(AC$660,'2.2.Brecha Efectiva x UdM'!$H$86:$AK$92,7,0))+(VLOOKUP($A680,$A$4:$O$27,12,0)*(HLOOKUP(AC$660,'2.2.Brecha Efectiva x UdM'!$H$64:$AK$70,7,0))))</f>
        <v>0</v>
      </c>
      <c r="AD680" s="31">
        <f>(VLOOKUP($A680,$A$458:$O$482,12,0)*(HLOOKUP(AD$660,'2.2.Brecha Efectiva x UdM'!$H$86:$AK$92,7,0))+(VLOOKUP($A680,$A$4:$O$27,12,0)*(HLOOKUP(AD$660,'2.2.Brecha Efectiva x UdM'!$H$64:$AK$70,7,0))))</f>
        <v>0</v>
      </c>
      <c r="AE680" s="31">
        <f>(VLOOKUP($A680,$A$458:$O$482,12,0)*(HLOOKUP(AE$660,'2.2.Brecha Efectiva x UdM'!$H$86:$AK$92,7,0))+(VLOOKUP($A680,$A$4:$O$27,12,0)*(HLOOKUP(AE$660,'2.2.Brecha Efectiva x UdM'!$H$64:$AK$70,7,0))))</f>
        <v>0</v>
      </c>
      <c r="AF680" s="31">
        <f>(VLOOKUP($A680,$A$458:$O$482,12,0)*(HLOOKUP(AF$660,'2.2.Brecha Efectiva x UdM'!$H$86:$AK$92,7,0))+(VLOOKUP($A680,$A$4:$O$27,12,0)*(HLOOKUP(AF$660,'2.2.Brecha Efectiva x UdM'!$H$64:$AK$70,7,0))))</f>
        <v>0</v>
      </c>
      <c r="AG680" s="31">
        <f>(VLOOKUP($A680,$A$458:$O$482,12,0)*(HLOOKUP(AG$660,'2.2.Brecha Efectiva x UdM'!$H$86:$AK$92,7,0))+(VLOOKUP($A680,$A$4:$O$27,12,0)*(HLOOKUP(AG$660,'2.2.Brecha Efectiva x UdM'!$H$64:$AK$70,7,0))))</f>
        <v>0</v>
      </c>
      <c r="AH680" s="63">
        <f t="shared" si="637"/>
        <v>0</v>
      </c>
    </row>
    <row r="681" spans="1:34" hidden="1" x14ac:dyDescent="0.2">
      <c r="A681" s="25" t="str">
        <f t="shared" si="634"/>
        <v>Santa Fe</v>
      </c>
      <c r="B681" s="51">
        <f t="shared" si="635"/>
        <v>0</v>
      </c>
      <c r="C681" s="25" t="str">
        <f t="shared" si="636"/>
        <v>Santa Fe 0</v>
      </c>
      <c r="D681" s="32">
        <f>(VLOOKUP($A681,$A$458:$O$482,12,0)*(HLOOKUP(D$660,'2.2.Brecha Efectiva x UdM'!$H$86:$AK$92,7,0))+(VLOOKUP($A681,$A$4:$O$27,12,0)*(HLOOKUP(D$660,'2.2.Brecha Efectiva x UdM'!$H$64:$AK$70,7,0))))</f>
        <v>0</v>
      </c>
      <c r="E681" s="32">
        <f>(VLOOKUP($A681,$A$458:$O$482,12,0)*(HLOOKUP(E$660,'2.2.Brecha Efectiva x UdM'!$H$86:$AK$92,7,0))+(VLOOKUP($A681,$A$4:$O$27,12,0)*(HLOOKUP(E$660,'2.2.Brecha Efectiva x UdM'!$H$64:$AK$70,7,0))))</f>
        <v>0</v>
      </c>
      <c r="F681" s="32">
        <f>(VLOOKUP($A681,$A$458:$O$482,12,0)*(HLOOKUP(F$660,'2.2.Brecha Efectiva x UdM'!$H$86:$AK$92,7,0))+(VLOOKUP($A681,$A$4:$O$27,12,0)*(HLOOKUP(F$660,'2.2.Brecha Efectiva x UdM'!$H$64:$AK$70,7,0))))</f>
        <v>0</v>
      </c>
      <c r="G681" s="32">
        <f>(VLOOKUP($A681,$A$458:$O$482,12,0)*(HLOOKUP(G$660,'2.2.Brecha Efectiva x UdM'!$H$86:$AK$92,7,0))+(VLOOKUP($A681,$A$4:$O$27,12,0)*(HLOOKUP(G$660,'2.2.Brecha Efectiva x UdM'!$H$64:$AK$70,7,0))))</f>
        <v>0</v>
      </c>
      <c r="H681" s="32">
        <f>(VLOOKUP($A681,$A$458:$O$482,12,0)*(HLOOKUP(H$660,'2.2.Brecha Efectiva x UdM'!$H$86:$AK$92,7,0))+(VLOOKUP($A681,$A$4:$O$27,12,0)*(HLOOKUP(H$660,'2.2.Brecha Efectiva x UdM'!$H$64:$AK$70,7,0))))</f>
        <v>0</v>
      </c>
      <c r="I681" s="32">
        <f>(VLOOKUP($A681,$A$458:$O$482,12,0)*(HLOOKUP(I$660,'2.2.Brecha Efectiva x UdM'!$H$86:$AK$92,7,0))+(VLOOKUP($A681,$A$4:$O$27,12,0)*(HLOOKUP(I$660,'2.2.Brecha Efectiva x UdM'!$H$64:$AK$70,7,0))))</f>
        <v>0</v>
      </c>
      <c r="J681" s="32">
        <f>(VLOOKUP($A681,$A$458:$O$482,12,0)*(HLOOKUP(J$660,'2.2.Brecha Efectiva x UdM'!$H$86:$AK$92,7,0))+(VLOOKUP($A681,$A$4:$O$27,12,0)*(HLOOKUP(J$660,'2.2.Brecha Efectiva x UdM'!$H$64:$AK$70,7,0))))</f>
        <v>0</v>
      </c>
      <c r="K681" s="32">
        <f>(VLOOKUP($A681,$A$458:$O$482,12,0)*(HLOOKUP(K$660,'2.2.Brecha Efectiva x UdM'!$H$86:$AK$92,7,0))+(VLOOKUP($A681,$A$4:$O$27,12,0)*(HLOOKUP(K$660,'2.2.Brecha Efectiva x UdM'!$H$64:$AK$70,7,0))))</f>
        <v>0</v>
      </c>
      <c r="L681" s="32">
        <f>(VLOOKUP($A681,$A$458:$O$482,12,0)*(HLOOKUP(L$660,'2.2.Brecha Efectiva x UdM'!$H$86:$AK$92,7,0))+(VLOOKUP($A681,$A$4:$O$27,12,0)*(HLOOKUP(L$660,'2.2.Brecha Efectiva x UdM'!$H$64:$AK$70,7,0))))</f>
        <v>0</v>
      </c>
      <c r="M681" s="32">
        <f>(VLOOKUP($A681,$A$458:$O$482,12,0)*(HLOOKUP(M$660,'2.2.Brecha Efectiva x UdM'!$H$86:$AK$92,7,0))+(VLOOKUP($A681,$A$4:$O$27,12,0)*(HLOOKUP(M$660,'2.2.Brecha Efectiva x UdM'!$H$64:$AK$70,7,0))))</f>
        <v>0</v>
      </c>
      <c r="N681" s="32">
        <f>(VLOOKUP($A681,$A$458:$O$482,12,0)*(HLOOKUP(N$660,'2.2.Brecha Efectiva x UdM'!$H$86:$AK$92,7,0))+(VLOOKUP($A681,$A$4:$O$27,12,0)*(HLOOKUP(N$660,'2.2.Brecha Efectiva x UdM'!$H$64:$AK$70,7,0))))</f>
        <v>0</v>
      </c>
      <c r="O681" s="32">
        <f>(VLOOKUP($A681,$A$458:$O$482,12,0)*(HLOOKUP(O$660,'2.2.Brecha Efectiva x UdM'!$H$86:$AK$92,7,0))+(VLOOKUP($A681,$A$4:$O$27,12,0)*(HLOOKUP(O$660,'2.2.Brecha Efectiva x UdM'!$H$64:$AK$70,7,0))))</f>
        <v>0</v>
      </c>
      <c r="P681" s="32">
        <f>(VLOOKUP($A681,$A$458:$O$482,12,0)*(HLOOKUP(P$660,'2.2.Brecha Efectiva x UdM'!$H$86:$AK$92,7,0))+(VLOOKUP($A681,$A$4:$O$27,12,0)*(HLOOKUP(P$660,'2.2.Brecha Efectiva x UdM'!$H$64:$AK$70,7,0))))</f>
        <v>0</v>
      </c>
      <c r="Q681" s="32">
        <f>(VLOOKUP($A681,$A$458:$O$482,12,0)*(HLOOKUP(Q$660,'2.2.Brecha Efectiva x UdM'!$H$86:$AK$92,7,0))+(VLOOKUP($A681,$A$4:$O$27,12,0)*(HLOOKUP(Q$660,'2.2.Brecha Efectiva x UdM'!$H$64:$AK$70,7,0))))</f>
        <v>0</v>
      </c>
      <c r="R681" s="32">
        <f>(VLOOKUP($A681,$A$458:$O$482,12,0)*(HLOOKUP(R$660,'2.2.Brecha Efectiva x UdM'!$H$86:$AK$92,7,0))+(VLOOKUP($A681,$A$4:$O$27,12,0)*(HLOOKUP(R$660,'2.2.Brecha Efectiva x UdM'!$H$64:$AK$70,7,0))))</f>
        <v>0</v>
      </c>
      <c r="S681" s="32">
        <f>(VLOOKUP($A681,$A$458:$O$482,12,0)*(HLOOKUP(S$660,'2.2.Brecha Efectiva x UdM'!$H$86:$AK$92,7,0))+(VLOOKUP($A681,$A$4:$O$27,12,0)*(HLOOKUP(S$660,'2.2.Brecha Efectiva x UdM'!$H$64:$AK$70,7,0))))</f>
        <v>0</v>
      </c>
      <c r="T681" s="32">
        <f>(VLOOKUP($A681,$A$458:$O$482,12,0)*(HLOOKUP(T$660,'2.2.Brecha Efectiva x UdM'!$H$86:$AK$92,7,0))+(VLOOKUP($A681,$A$4:$O$27,12,0)*(HLOOKUP(T$660,'2.2.Brecha Efectiva x UdM'!$H$64:$AK$70,7,0))))</f>
        <v>0</v>
      </c>
      <c r="U681" s="32">
        <f>(VLOOKUP($A681,$A$458:$O$482,12,0)*(HLOOKUP(U$660,'2.2.Brecha Efectiva x UdM'!$H$86:$AK$92,7,0))+(VLOOKUP($A681,$A$4:$O$27,12,0)*(HLOOKUP(U$660,'2.2.Brecha Efectiva x UdM'!$H$64:$AK$70,7,0))))</f>
        <v>0</v>
      </c>
      <c r="V681" s="32">
        <f>(VLOOKUP($A681,$A$458:$O$482,12,0)*(HLOOKUP(V$660,'2.2.Brecha Efectiva x UdM'!$H$86:$AK$92,7,0))+(VLOOKUP($A681,$A$4:$O$27,12,0)*(HLOOKUP(V$660,'2.2.Brecha Efectiva x UdM'!$H$64:$AK$70,7,0))))</f>
        <v>0</v>
      </c>
      <c r="W681" s="32">
        <f>(VLOOKUP($A681,$A$458:$O$482,12,0)*(HLOOKUP(W$660,'2.2.Brecha Efectiva x UdM'!$H$86:$AK$92,7,0))+(VLOOKUP($A681,$A$4:$O$27,12,0)*(HLOOKUP(W$660,'2.2.Brecha Efectiva x UdM'!$H$64:$AK$70,7,0))))</f>
        <v>0</v>
      </c>
      <c r="X681" s="32">
        <f>(VLOOKUP($A681,$A$458:$O$482,12,0)*(HLOOKUP(X$660,'2.2.Brecha Efectiva x UdM'!$H$86:$AK$92,7,0))+(VLOOKUP($A681,$A$4:$O$27,12,0)*(HLOOKUP(X$660,'2.2.Brecha Efectiva x UdM'!$H$64:$AK$70,7,0))))</f>
        <v>0</v>
      </c>
      <c r="Y681" s="32">
        <f>(VLOOKUP($A681,$A$458:$O$482,12,0)*(HLOOKUP(Y$660,'2.2.Brecha Efectiva x UdM'!$H$86:$AK$92,7,0))+(VLOOKUP($A681,$A$4:$O$27,12,0)*(HLOOKUP(Y$660,'2.2.Brecha Efectiva x UdM'!$H$64:$AK$70,7,0))))</f>
        <v>0</v>
      </c>
      <c r="Z681" s="32">
        <f>(VLOOKUP($A681,$A$458:$O$482,12,0)*(HLOOKUP(Z$660,'2.2.Brecha Efectiva x UdM'!$H$86:$AK$92,7,0))+(VLOOKUP($A681,$A$4:$O$27,12,0)*(HLOOKUP(Z$660,'2.2.Brecha Efectiva x UdM'!$H$64:$AK$70,7,0))))</f>
        <v>0</v>
      </c>
      <c r="AA681" s="32">
        <f>(VLOOKUP($A681,$A$458:$O$482,12,0)*(HLOOKUP(AA$660,'2.2.Brecha Efectiva x UdM'!$H$86:$AK$92,7,0))+(VLOOKUP($A681,$A$4:$O$27,12,0)*(HLOOKUP(AA$660,'2.2.Brecha Efectiva x UdM'!$H$64:$AK$70,7,0))))</f>
        <v>0</v>
      </c>
      <c r="AB681" s="32">
        <f>(VLOOKUP($A681,$A$458:$O$482,12,0)*(HLOOKUP(AB$660,'2.2.Brecha Efectiva x UdM'!$H$86:$AK$92,7,0))+(VLOOKUP($A681,$A$4:$O$27,12,0)*(HLOOKUP(AB$660,'2.2.Brecha Efectiva x UdM'!$H$64:$AK$70,7,0))))</f>
        <v>0</v>
      </c>
      <c r="AC681" s="32">
        <f>(VLOOKUP($A681,$A$458:$O$482,12,0)*(HLOOKUP(AC$660,'2.2.Brecha Efectiva x UdM'!$H$86:$AK$92,7,0))+(VLOOKUP($A681,$A$4:$O$27,12,0)*(HLOOKUP(AC$660,'2.2.Brecha Efectiva x UdM'!$H$64:$AK$70,7,0))))</f>
        <v>0</v>
      </c>
      <c r="AD681" s="32">
        <f>(VLOOKUP($A681,$A$458:$O$482,12,0)*(HLOOKUP(AD$660,'2.2.Brecha Efectiva x UdM'!$H$86:$AK$92,7,0))+(VLOOKUP($A681,$A$4:$O$27,12,0)*(HLOOKUP(AD$660,'2.2.Brecha Efectiva x UdM'!$H$64:$AK$70,7,0))))</f>
        <v>0</v>
      </c>
      <c r="AE681" s="32">
        <f>(VLOOKUP($A681,$A$458:$O$482,12,0)*(HLOOKUP(AE$660,'2.2.Brecha Efectiva x UdM'!$H$86:$AK$92,7,0))+(VLOOKUP($A681,$A$4:$O$27,12,0)*(HLOOKUP(AE$660,'2.2.Brecha Efectiva x UdM'!$H$64:$AK$70,7,0))))</f>
        <v>0</v>
      </c>
      <c r="AF681" s="32">
        <f>(VLOOKUP($A681,$A$458:$O$482,12,0)*(HLOOKUP(AF$660,'2.2.Brecha Efectiva x UdM'!$H$86:$AK$92,7,0))+(VLOOKUP($A681,$A$4:$O$27,12,0)*(HLOOKUP(AF$660,'2.2.Brecha Efectiva x UdM'!$H$64:$AK$70,7,0))))</f>
        <v>0</v>
      </c>
      <c r="AG681" s="32">
        <f>(VLOOKUP($A681,$A$458:$O$482,12,0)*(HLOOKUP(AG$660,'2.2.Brecha Efectiva x UdM'!$H$86:$AK$92,7,0))+(VLOOKUP($A681,$A$4:$O$27,12,0)*(HLOOKUP(AG$660,'2.2.Brecha Efectiva x UdM'!$H$64:$AK$70,7,0))))</f>
        <v>0</v>
      </c>
      <c r="AH681" s="62">
        <f t="shared" si="637"/>
        <v>0</v>
      </c>
    </row>
    <row r="682" spans="1:34" hidden="1" x14ac:dyDescent="0.2">
      <c r="A682" s="26" t="str">
        <f t="shared" si="634"/>
        <v>Santiago del Estero</v>
      </c>
      <c r="B682" s="52">
        <f t="shared" si="635"/>
        <v>0</v>
      </c>
      <c r="C682" s="26" t="str">
        <f t="shared" si="636"/>
        <v>Santiago del Estero 0</v>
      </c>
      <c r="D682" s="31">
        <f>(VLOOKUP($A682,$A$458:$O$482,12,0)*(HLOOKUP(D$660,'2.2.Brecha Efectiva x UdM'!$H$86:$AK$92,7,0))+(VLOOKUP($A682,$A$4:$O$27,12,0)*(HLOOKUP(D$660,'2.2.Brecha Efectiva x UdM'!$H$64:$AK$70,7,0))))</f>
        <v>0</v>
      </c>
      <c r="E682" s="31">
        <f>(VLOOKUP($A682,$A$458:$O$482,12,0)*(HLOOKUP(E$660,'2.2.Brecha Efectiva x UdM'!$H$86:$AK$92,7,0))+(VLOOKUP($A682,$A$4:$O$27,12,0)*(HLOOKUP(E$660,'2.2.Brecha Efectiva x UdM'!$H$64:$AK$70,7,0))))</f>
        <v>0</v>
      </c>
      <c r="F682" s="31">
        <f>(VLOOKUP($A682,$A$458:$O$482,12,0)*(HLOOKUP(F$660,'2.2.Brecha Efectiva x UdM'!$H$86:$AK$92,7,0))+(VLOOKUP($A682,$A$4:$O$27,12,0)*(HLOOKUP(F$660,'2.2.Brecha Efectiva x UdM'!$H$64:$AK$70,7,0))))</f>
        <v>0</v>
      </c>
      <c r="G682" s="31">
        <f>(VLOOKUP($A682,$A$458:$O$482,12,0)*(HLOOKUP(G$660,'2.2.Brecha Efectiva x UdM'!$H$86:$AK$92,7,0))+(VLOOKUP($A682,$A$4:$O$27,12,0)*(HLOOKUP(G$660,'2.2.Brecha Efectiva x UdM'!$H$64:$AK$70,7,0))))</f>
        <v>0</v>
      </c>
      <c r="H682" s="31">
        <f>(VLOOKUP($A682,$A$458:$O$482,12,0)*(HLOOKUP(H$660,'2.2.Brecha Efectiva x UdM'!$H$86:$AK$92,7,0))+(VLOOKUP($A682,$A$4:$O$27,12,0)*(HLOOKUP(H$660,'2.2.Brecha Efectiva x UdM'!$H$64:$AK$70,7,0))))</f>
        <v>0</v>
      </c>
      <c r="I682" s="31">
        <f>(VLOOKUP($A682,$A$458:$O$482,12,0)*(HLOOKUP(I$660,'2.2.Brecha Efectiva x UdM'!$H$86:$AK$92,7,0))+(VLOOKUP($A682,$A$4:$O$27,12,0)*(HLOOKUP(I$660,'2.2.Brecha Efectiva x UdM'!$H$64:$AK$70,7,0))))</f>
        <v>0</v>
      </c>
      <c r="J682" s="31">
        <f>(VLOOKUP($A682,$A$458:$O$482,12,0)*(HLOOKUP(J$660,'2.2.Brecha Efectiva x UdM'!$H$86:$AK$92,7,0))+(VLOOKUP($A682,$A$4:$O$27,12,0)*(HLOOKUP(J$660,'2.2.Brecha Efectiva x UdM'!$H$64:$AK$70,7,0))))</f>
        <v>0</v>
      </c>
      <c r="K682" s="31">
        <f>(VLOOKUP($A682,$A$458:$O$482,12,0)*(HLOOKUP(K$660,'2.2.Brecha Efectiva x UdM'!$H$86:$AK$92,7,0))+(VLOOKUP($A682,$A$4:$O$27,12,0)*(HLOOKUP(K$660,'2.2.Brecha Efectiva x UdM'!$H$64:$AK$70,7,0))))</f>
        <v>0</v>
      </c>
      <c r="L682" s="31">
        <f>(VLOOKUP($A682,$A$458:$O$482,12,0)*(HLOOKUP(L$660,'2.2.Brecha Efectiva x UdM'!$H$86:$AK$92,7,0))+(VLOOKUP($A682,$A$4:$O$27,12,0)*(HLOOKUP(L$660,'2.2.Brecha Efectiva x UdM'!$H$64:$AK$70,7,0))))</f>
        <v>0</v>
      </c>
      <c r="M682" s="31">
        <f>(VLOOKUP($A682,$A$458:$O$482,12,0)*(HLOOKUP(M$660,'2.2.Brecha Efectiva x UdM'!$H$86:$AK$92,7,0))+(VLOOKUP($A682,$A$4:$O$27,12,0)*(HLOOKUP(M$660,'2.2.Brecha Efectiva x UdM'!$H$64:$AK$70,7,0))))</f>
        <v>0</v>
      </c>
      <c r="N682" s="31">
        <f>(VLOOKUP($A682,$A$458:$O$482,12,0)*(HLOOKUP(N$660,'2.2.Brecha Efectiva x UdM'!$H$86:$AK$92,7,0))+(VLOOKUP($A682,$A$4:$O$27,12,0)*(HLOOKUP(N$660,'2.2.Brecha Efectiva x UdM'!$H$64:$AK$70,7,0))))</f>
        <v>0</v>
      </c>
      <c r="O682" s="31">
        <f>(VLOOKUP($A682,$A$458:$O$482,12,0)*(HLOOKUP(O$660,'2.2.Brecha Efectiva x UdM'!$H$86:$AK$92,7,0))+(VLOOKUP($A682,$A$4:$O$27,12,0)*(HLOOKUP(O$660,'2.2.Brecha Efectiva x UdM'!$H$64:$AK$70,7,0))))</f>
        <v>0</v>
      </c>
      <c r="P682" s="31">
        <f>(VLOOKUP($A682,$A$458:$O$482,12,0)*(HLOOKUP(P$660,'2.2.Brecha Efectiva x UdM'!$H$86:$AK$92,7,0))+(VLOOKUP($A682,$A$4:$O$27,12,0)*(HLOOKUP(P$660,'2.2.Brecha Efectiva x UdM'!$H$64:$AK$70,7,0))))</f>
        <v>0</v>
      </c>
      <c r="Q682" s="31">
        <f>(VLOOKUP($A682,$A$458:$O$482,12,0)*(HLOOKUP(Q$660,'2.2.Brecha Efectiva x UdM'!$H$86:$AK$92,7,0))+(VLOOKUP($A682,$A$4:$O$27,12,0)*(HLOOKUP(Q$660,'2.2.Brecha Efectiva x UdM'!$H$64:$AK$70,7,0))))</f>
        <v>0</v>
      </c>
      <c r="R682" s="31">
        <f>(VLOOKUP($A682,$A$458:$O$482,12,0)*(HLOOKUP(R$660,'2.2.Brecha Efectiva x UdM'!$H$86:$AK$92,7,0))+(VLOOKUP($A682,$A$4:$O$27,12,0)*(HLOOKUP(R$660,'2.2.Brecha Efectiva x UdM'!$H$64:$AK$70,7,0))))</f>
        <v>0</v>
      </c>
      <c r="S682" s="31">
        <f>(VLOOKUP($A682,$A$458:$O$482,12,0)*(HLOOKUP(S$660,'2.2.Brecha Efectiva x UdM'!$H$86:$AK$92,7,0))+(VLOOKUP($A682,$A$4:$O$27,12,0)*(HLOOKUP(S$660,'2.2.Brecha Efectiva x UdM'!$H$64:$AK$70,7,0))))</f>
        <v>0</v>
      </c>
      <c r="T682" s="31">
        <f>(VLOOKUP($A682,$A$458:$O$482,12,0)*(HLOOKUP(T$660,'2.2.Brecha Efectiva x UdM'!$H$86:$AK$92,7,0))+(VLOOKUP($A682,$A$4:$O$27,12,0)*(HLOOKUP(T$660,'2.2.Brecha Efectiva x UdM'!$H$64:$AK$70,7,0))))</f>
        <v>0</v>
      </c>
      <c r="U682" s="31">
        <f>(VLOOKUP($A682,$A$458:$O$482,12,0)*(HLOOKUP(U$660,'2.2.Brecha Efectiva x UdM'!$H$86:$AK$92,7,0))+(VLOOKUP($A682,$A$4:$O$27,12,0)*(HLOOKUP(U$660,'2.2.Brecha Efectiva x UdM'!$H$64:$AK$70,7,0))))</f>
        <v>0</v>
      </c>
      <c r="V682" s="31">
        <f>(VLOOKUP($A682,$A$458:$O$482,12,0)*(HLOOKUP(V$660,'2.2.Brecha Efectiva x UdM'!$H$86:$AK$92,7,0))+(VLOOKUP($A682,$A$4:$O$27,12,0)*(HLOOKUP(V$660,'2.2.Brecha Efectiva x UdM'!$H$64:$AK$70,7,0))))</f>
        <v>0</v>
      </c>
      <c r="W682" s="31">
        <f>(VLOOKUP($A682,$A$458:$O$482,12,0)*(HLOOKUP(W$660,'2.2.Brecha Efectiva x UdM'!$H$86:$AK$92,7,0))+(VLOOKUP($A682,$A$4:$O$27,12,0)*(HLOOKUP(W$660,'2.2.Brecha Efectiva x UdM'!$H$64:$AK$70,7,0))))</f>
        <v>0</v>
      </c>
      <c r="X682" s="31">
        <f>(VLOOKUP($A682,$A$458:$O$482,12,0)*(HLOOKUP(X$660,'2.2.Brecha Efectiva x UdM'!$H$86:$AK$92,7,0))+(VLOOKUP($A682,$A$4:$O$27,12,0)*(HLOOKUP(X$660,'2.2.Brecha Efectiva x UdM'!$H$64:$AK$70,7,0))))</f>
        <v>0</v>
      </c>
      <c r="Y682" s="31">
        <f>(VLOOKUP($A682,$A$458:$O$482,12,0)*(HLOOKUP(Y$660,'2.2.Brecha Efectiva x UdM'!$H$86:$AK$92,7,0))+(VLOOKUP($A682,$A$4:$O$27,12,0)*(HLOOKUP(Y$660,'2.2.Brecha Efectiva x UdM'!$H$64:$AK$70,7,0))))</f>
        <v>0</v>
      </c>
      <c r="Z682" s="31">
        <f>(VLOOKUP($A682,$A$458:$O$482,12,0)*(HLOOKUP(Z$660,'2.2.Brecha Efectiva x UdM'!$H$86:$AK$92,7,0))+(VLOOKUP($A682,$A$4:$O$27,12,0)*(HLOOKUP(Z$660,'2.2.Brecha Efectiva x UdM'!$H$64:$AK$70,7,0))))</f>
        <v>0</v>
      </c>
      <c r="AA682" s="31">
        <f>(VLOOKUP($A682,$A$458:$O$482,12,0)*(HLOOKUP(AA$660,'2.2.Brecha Efectiva x UdM'!$H$86:$AK$92,7,0))+(VLOOKUP($A682,$A$4:$O$27,12,0)*(HLOOKUP(AA$660,'2.2.Brecha Efectiva x UdM'!$H$64:$AK$70,7,0))))</f>
        <v>0</v>
      </c>
      <c r="AB682" s="31">
        <f>(VLOOKUP($A682,$A$458:$O$482,12,0)*(HLOOKUP(AB$660,'2.2.Brecha Efectiva x UdM'!$H$86:$AK$92,7,0))+(VLOOKUP($A682,$A$4:$O$27,12,0)*(HLOOKUP(AB$660,'2.2.Brecha Efectiva x UdM'!$H$64:$AK$70,7,0))))</f>
        <v>0</v>
      </c>
      <c r="AC682" s="31">
        <f>(VLOOKUP($A682,$A$458:$O$482,12,0)*(HLOOKUP(AC$660,'2.2.Brecha Efectiva x UdM'!$H$86:$AK$92,7,0))+(VLOOKUP($A682,$A$4:$O$27,12,0)*(HLOOKUP(AC$660,'2.2.Brecha Efectiva x UdM'!$H$64:$AK$70,7,0))))</f>
        <v>0</v>
      </c>
      <c r="AD682" s="31">
        <f>(VLOOKUP($A682,$A$458:$O$482,12,0)*(HLOOKUP(AD$660,'2.2.Brecha Efectiva x UdM'!$H$86:$AK$92,7,0))+(VLOOKUP($A682,$A$4:$O$27,12,0)*(HLOOKUP(AD$660,'2.2.Brecha Efectiva x UdM'!$H$64:$AK$70,7,0))))</f>
        <v>0</v>
      </c>
      <c r="AE682" s="31">
        <f>(VLOOKUP($A682,$A$458:$O$482,12,0)*(HLOOKUP(AE$660,'2.2.Brecha Efectiva x UdM'!$H$86:$AK$92,7,0))+(VLOOKUP($A682,$A$4:$O$27,12,0)*(HLOOKUP(AE$660,'2.2.Brecha Efectiva x UdM'!$H$64:$AK$70,7,0))))</f>
        <v>0</v>
      </c>
      <c r="AF682" s="31">
        <f>(VLOOKUP($A682,$A$458:$O$482,12,0)*(HLOOKUP(AF$660,'2.2.Brecha Efectiva x UdM'!$H$86:$AK$92,7,0))+(VLOOKUP($A682,$A$4:$O$27,12,0)*(HLOOKUP(AF$660,'2.2.Brecha Efectiva x UdM'!$H$64:$AK$70,7,0))))</f>
        <v>0</v>
      </c>
      <c r="AG682" s="31">
        <f>(VLOOKUP($A682,$A$458:$O$482,12,0)*(HLOOKUP(AG$660,'2.2.Brecha Efectiva x UdM'!$H$86:$AK$92,7,0))+(VLOOKUP($A682,$A$4:$O$27,12,0)*(HLOOKUP(AG$660,'2.2.Brecha Efectiva x UdM'!$H$64:$AK$70,7,0))))</f>
        <v>0</v>
      </c>
      <c r="AH682" s="63">
        <f t="shared" si="637"/>
        <v>0</v>
      </c>
    </row>
    <row r="683" spans="1:34" hidden="1" x14ac:dyDescent="0.2">
      <c r="A683" s="25" t="str">
        <f t="shared" si="634"/>
        <v>Tierra del Fuego</v>
      </c>
      <c r="B683" s="51">
        <f t="shared" si="635"/>
        <v>0</v>
      </c>
      <c r="C683" s="25" t="str">
        <f t="shared" si="636"/>
        <v>Tierra del Fuego 0</v>
      </c>
      <c r="D683" s="32">
        <f>(VLOOKUP($A683,$A$458:$O$482,12,0)*(HLOOKUP(D$660,'2.2.Brecha Efectiva x UdM'!$H$86:$AK$92,7,0))+(VLOOKUP($A683,$A$4:$O$27,12,0)*(HLOOKUP(D$660,'2.2.Brecha Efectiva x UdM'!$H$64:$AK$70,7,0))))</f>
        <v>0</v>
      </c>
      <c r="E683" s="32">
        <f>(VLOOKUP($A683,$A$458:$O$482,12,0)*(HLOOKUP(E$660,'2.2.Brecha Efectiva x UdM'!$H$86:$AK$92,7,0))+(VLOOKUP($A683,$A$4:$O$27,12,0)*(HLOOKUP(E$660,'2.2.Brecha Efectiva x UdM'!$H$64:$AK$70,7,0))))</f>
        <v>0</v>
      </c>
      <c r="F683" s="32">
        <f>(VLOOKUP($A683,$A$458:$O$482,12,0)*(HLOOKUP(F$660,'2.2.Brecha Efectiva x UdM'!$H$86:$AK$92,7,0))+(VLOOKUP($A683,$A$4:$O$27,12,0)*(HLOOKUP(F$660,'2.2.Brecha Efectiva x UdM'!$H$64:$AK$70,7,0))))</f>
        <v>0</v>
      </c>
      <c r="G683" s="32">
        <f>(VLOOKUP($A683,$A$458:$O$482,12,0)*(HLOOKUP(G$660,'2.2.Brecha Efectiva x UdM'!$H$86:$AK$92,7,0))+(VLOOKUP($A683,$A$4:$O$27,12,0)*(HLOOKUP(G$660,'2.2.Brecha Efectiva x UdM'!$H$64:$AK$70,7,0))))</f>
        <v>0</v>
      </c>
      <c r="H683" s="32">
        <f>(VLOOKUP($A683,$A$458:$O$482,12,0)*(HLOOKUP(H$660,'2.2.Brecha Efectiva x UdM'!$H$86:$AK$92,7,0))+(VLOOKUP($A683,$A$4:$O$27,12,0)*(HLOOKUP(H$660,'2.2.Brecha Efectiva x UdM'!$H$64:$AK$70,7,0))))</f>
        <v>0</v>
      </c>
      <c r="I683" s="32">
        <f>(VLOOKUP($A683,$A$458:$O$482,12,0)*(HLOOKUP(I$660,'2.2.Brecha Efectiva x UdM'!$H$86:$AK$92,7,0))+(VLOOKUP($A683,$A$4:$O$27,12,0)*(HLOOKUP(I$660,'2.2.Brecha Efectiva x UdM'!$H$64:$AK$70,7,0))))</f>
        <v>0</v>
      </c>
      <c r="J683" s="32">
        <f>(VLOOKUP($A683,$A$458:$O$482,12,0)*(HLOOKUP(J$660,'2.2.Brecha Efectiva x UdM'!$H$86:$AK$92,7,0))+(VLOOKUP($A683,$A$4:$O$27,12,0)*(HLOOKUP(J$660,'2.2.Brecha Efectiva x UdM'!$H$64:$AK$70,7,0))))</f>
        <v>0</v>
      </c>
      <c r="K683" s="32">
        <f>(VLOOKUP($A683,$A$458:$O$482,12,0)*(HLOOKUP(K$660,'2.2.Brecha Efectiva x UdM'!$H$86:$AK$92,7,0))+(VLOOKUP($A683,$A$4:$O$27,12,0)*(HLOOKUP(K$660,'2.2.Brecha Efectiva x UdM'!$H$64:$AK$70,7,0))))</f>
        <v>0</v>
      </c>
      <c r="L683" s="32">
        <f>(VLOOKUP($A683,$A$458:$O$482,12,0)*(HLOOKUP(L$660,'2.2.Brecha Efectiva x UdM'!$H$86:$AK$92,7,0))+(VLOOKUP($A683,$A$4:$O$27,12,0)*(HLOOKUP(L$660,'2.2.Brecha Efectiva x UdM'!$H$64:$AK$70,7,0))))</f>
        <v>0</v>
      </c>
      <c r="M683" s="32">
        <f>(VLOOKUP($A683,$A$458:$O$482,12,0)*(HLOOKUP(M$660,'2.2.Brecha Efectiva x UdM'!$H$86:$AK$92,7,0))+(VLOOKUP($A683,$A$4:$O$27,12,0)*(HLOOKUP(M$660,'2.2.Brecha Efectiva x UdM'!$H$64:$AK$70,7,0))))</f>
        <v>0</v>
      </c>
      <c r="N683" s="32">
        <f>(VLOOKUP($A683,$A$458:$O$482,12,0)*(HLOOKUP(N$660,'2.2.Brecha Efectiva x UdM'!$H$86:$AK$92,7,0))+(VLOOKUP($A683,$A$4:$O$27,12,0)*(HLOOKUP(N$660,'2.2.Brecha Efectiva x UdM'!$H$64:$AK$70,7,0))))</f>
        <v>0</v>
      </c>
      <c r="O683" s="32">
        <f>(VLOOKUP($A683,$A$458:$O$482,12,0)*(HLOOKUP(O$660,'2.2.Brecha Efectiva x UdM'!$H$86:$AK$92,7,0))+(VLOOKUP($A683,$A$4:$O$27,12,0)*(HLOOKUP(O$660,'2.2.Brecha Efectiva x UdM'!$H$64:$AK$70,7,0))))</f>
        <v>0</v>
      </c>
      <c r="P683" s="32">
        <f>(VLOOKUP($A683,$A$458:$O$482,12,0)*(HLOOKUP(P$660,'2.2.Brecha Efectiva x UdM'!$H$86:$AK$92,7,0))+(VLOOKUP($A683,$A$4:$O$27,12,0)*(HLOOKUP(P$660,'2.2.Brecha Efectiva x UdM'!$H$64:$AK$70,7,0))))</f>
        <v>0</v>
      </c>
      <c r="Q683" s="32">
        <f>(VLOOKUP($A683,$A$458:$O$482,12,0)*(HLOOKUP(Q$660,'2.2.Brecha Efectiva x UdM'!$H$86:$AK$92,7,0))+(VLOOKUP($A683,$A$4:$O$27,12,0)*(HLOOKUP(Q$660,'2.2.Brecha Efectiva x UdM'!$H$64:$AK$70,7,0))))</f>
        <v>0</v>
      </c>
      <c r="R683" s="32">
        <f>(VLOOKUP($A683,$A$458:$O$482,12,0)*(HLOOKUP(R$660,'2.2.Brecha Efectiva x UdM'!$H$86:$AK$92,7,0))+(VLOOKUP($A683,$A$4:$O$27,12,0)*(HLOOKUP(R$660,'2.2.Brecha Efectiva x UdM'!$H$64:$AK$70,7,0))))</f>
        <v>0</v>
      </c>
      <c r="S683" s="32">
        <f>(VLOOKUP($A683,$A$458:$O$482,12,0)*(HLOOKUP(S$660,'2.2.Brecha Efectiva x UdM'!$H$86:$AK$92,7,0))+(VLOOKUP($A683,$A$4:$O$27,12,0)*(HLOOKUP(S$660,'2.2.Brecha Efectiva x UdM'!$H$64:$AK$70,7,0))))</f>
        <v>0</v>
      </c>
      <c r="T683" s="32">
        <f>(VLOOKUP($A683,$A$458:$O$482,12,0)*(HLOOKUP(T$660,'2.2.Brecha Efectiva x UdM'!$H$86:$AK$92,7,0))+(VLOOKUP($A683,$A$4:$O$27,12,0)*(HLOOKUP(T$660,'2.2.Brecha Efectiva x UdM'!$H$64:$AK$70,7,0))))</f>
        <v>0</v>
      </c>
      <c r="U683" s="32">
        <f>(VLOOKUP($A683,$A$458:$O$482,12,0)*(HLOOKUP(U$660,'2.2.Brecha Efectiva x UdM'!$H$86:$AK$92,7,0))+(VLOOKUP($A683,$A$4:$O$27,12,0)*(HLOOKUP(U$660,'2.2.Brecha Efectiva x UdM'!$H$64:$AK$70,7,0))))</f>
        <v>0</v>
      </c>
      <c r="V683" s="32">
        <f>(VLOOKUP($A683,$A$458:$O$482,12,0)*(HLOOKUP(V$660,'2.2.Brecha Efectiva x UdM'!$H$86:$AK$92,7,0))+(VLOOKUP($A683,$A$4:$O$27,12,0)*(HLOOKUP(V$660,'2.2.Brecha Efectiva x UdM'!$H$64:$AK$70,7,0))))</f>
        <v>0</v>
      </c>
      <c r="W683" s="32">
        <f>(VLOOKUP($A683,$A$458:$O$482,12,0)*(HLOOKUP(W$660,'2.2.Brecha Efectiva x UdM'!$H$86:$AK$92,7,0))+(VLOOKUP($A683,$A$4:$O$27,12,0)*(HLOOKUP(W$660,'2.2.Brecha Efectiva x UdM'!$H$64:$AK$70,7,0))))</f>
        <v>0</v>
      </c>
      <c r="X683" s="32">
        <f>(VLOOKUP($A683,$A$458:$O$482,12,0)*(HLOOKUP(X$660,'2.2.Brecha Efectiva x UdM'!$H$86:$AK$92,7,0))+(VLOOKUP($A683,$A$4:$O$27,12,0)*(HLOOKUP(X$660,'2.2.Brecha Efectiva x UdM'!$H$64:$AK$70,7,0))))</f>
        <v>0</v>
      </c>
      <c r="Y683" s="32">
        <f>(VLOOKUP($A683,$A$458:$O$482,12,0)*(HLOOKUP(Y$660,'2.2.Brecha Efectiva x UdM'!$H$86:$AK$92,7,0))+(VLOOKUP($A683,$A$4:$O$27,12,0)*(HLOOKUP(Y$660,'2.2.Brecha Efectiva x UdM'!$H$64:$AK$70,7,0))))</f>
        <v>0</v>
      </c>
      <c r="Z683" s="32">
        <f>(VLOOKUP($A683,$A$458:$O$482,12,0)*(HLOOKUP(Z$660,'2.2.Brecha Efectiva x UdM'!$H$86:$AK$92,7,0))+(VLOOKUP($A683,$A$4:$O$27,12,0)*(HLOOKUP(Z$660,'2.2.Brecha Efectiva x UdM'!$H$64:$AK$70,7,0))))</f>
        <v>0</v>
      </c>
      <c r="AA683" s="32">
        <f>(VLOOKUP($A683,$A$458:$O$482,12,0)*(HLOOKUP(AA$660,'2.2.Brecha Efectiva x UdM'!$H$86:$AK$92,7,0))+(VLOOKUP($A683,$A$4:$O$27,12,0)*(HLOOKUP(AA$660,'2.2.Brecha Efectiva x UdM'!$H$64:$AK$70,7,0))))</f>
        <v>0</v>
      </c>
      <c r="AB683" s="32">
        <f>(VLOOKUP($A683,$A$458:$O$482,12,0)*(HLOOKUP(AB$660,'2.2.Brecha Efectiva x UdM'!$H$86:$AK$92,7,0))+(VLOOKUP($A683,$A$4:$O$27,12,0)*(HLOOKUP(AB$660,'2.2.Brecha Efectiva x UdM'!$H$64:$AK$70,7,0))))</f>
        <v>0</v>
      </c>
      <c r="AC683" s="32">
        <f>(VLOOKUP($A683,$A$458:$O$482,12,0)*(HLOOKUP(AC$660,'2.2.Brecha Efectiva x UdM'!$H$86:$AK$92,7,0))+(VLOOKUP($A683,$A$4:$O$27,12,0)*(HLOOKUP(AC$660,'2.2.Brecha Efectiva x UdM'!$H$64:$AK$70,7,0))))</f>
        <v>0</v>
      </c>
      <c r="AD683" s="32">
        <f>(VLOOKUP($A683,$A$458:$O$482,12,0)*(HLOOKUP(AD$660,'2.2.Brecha Efectiva x UdM'!$H$86:$AK$92,7,0))+(VLOOKUP($A683,$A$4:$O$27,12,0)*(HLOOKUP(AD$660,'2.2.Brecha Efectiva x UdM'!$H$64:$AK$70,7,0))))</f>
        <v>0</v>
      </c>
      <c r="AE683" s="32">
        <f>(VLOOKUP($A683,$A$458:$O$482,12,0)*(HLOOKUP(AE$660,'2.2.Brecha Efectiva x UdM'!$H$86:$AK$92,7,0))+(VLOOKUP($A683,$A$4:$O$27,12,0)*(HLOOKUP(AE$660,'2.2.Brecha Efectiva x UdM'!$H$64:$AK$70,7,0))))</f>
        <v>0</v>
      </c>
      <c r="AF683" s="32">
        <f>(VLOOKUP($A683,$A$458:$O$482,12,0)*(HLOOKUP(AF$660,'2.2.Brecha Efectiva x UdM'!$H$86:$AK$92,7,0))+(VLOOKUP($A683,$A$4:$O$27,12,0)*(HLOOKUP(AF$660,'2.2.Brecha Efectiva x UdM'!$H$64:$AK$70,7,0))))</f>
        <v>0</v>
      </c>
      <c r="AG683" s="32">
        <f>(VLOOKUP($A683,$A$458:$O$482,12,0)*(HLOOKUP(AG$660,'2.2.Brecha Efectiva x UdM'!$H$86:$AK$92,7,0))+(VLOOKUP($A683,$A$4:$O$27,12,0)*(HLOOKUP(AG$660,'2.2.Brecha Efectiva x UdM'!$H$64:$AK$70,7,0))))</f>
        <v>0</v>
      </c>
      <c r="AH683" s="62">
        <f t="shared" si="637"/>
        <v>0</v>
      </c>
    </row>
    <row r="684" spans="1:34" hidden="1" x14ac:dyDescent="0.2">
      <c r="A684" s="26" t="str">
        <f t="shared" si="634"/>
        <v>Tucumán</v>
      </c>
      <c r="B684" s="52">
        <f t="shared" si="635"/>
        <v>0</v>
      </c>
      <c r="C684" s="26" t="str">
        <f t="shared" si="636"/>
        <v>Tucumán 0</v>
      </c>
      <c r="D684" s="31">
        <f>(VLOOKUP($A684,$A$458:$O$482,12,0)*(HLOOKUP(D$660,'2.2.Brecha Efectiva x UdM'!$H$86:$AK$92,7,0))+(VLOOKUP($A684,$A$4:$O$27,12,0)*(HLOOKUP(D$660,'2.2.Brecha Efectiva x UdM'!$H$64:$AK$70,7,0))))</f>
        <v>0</v>
      </c>
      <c r="E684" s="31">
        <f>(VLOOKUP($A684,$A$458:$O$482,12,0)*(HLOOKUP(E$660,'2.2.Brecha Efectiva x UdM'!$H$86:$AK$92,7,0))+(VLOOKUP($A684,$A$4:$O$27,12,0)*(HLOOKUP(E$660,'2.2.Brecha Efectiva x UdM'!$H$64:$AK$70,7,0))))</f>
        <v>0</v>
      </c>
      <c r="F684" s="31">
        <f>(VLOOKUP($A684,$A$458:$O$482,12,0)*(HLOOKUP(F$660,'2.2.Brecha Efectiva x UdM'!$H$86:$AK$92,7,0))+(VLOOKUP($A684,$A$4:$O$27,12,0)*(HLOOKUP(F$660,'2.2.Brecha Efectiva x UdM'!$H$64:$AK$70,7,0))))</f>
        <v>0</v>
      </c>
      <c r="G684" s="31">
        <f>(VLOOKUP($A684,$A$458:$O$482,12,0)*(HLOOKUP(G$660,'2.2.Brecha Efectiva x UdM'!$H$86:$AK$92,7,0))+(VLOOKUP($A684,$A$4:$O$27,12,0)*(HLOOKUP(G$660,'2.2.Brecha Efectiva x UdM'!$H$64:$AK$70,7,0))))</f>
        <v>0</v>
      </c>
      <c r="H684" s="31">
        <f>(VLOOKUP($A684,$A$458:$O$482,12,0)*(HLOOKUP(H$660,'2.2.Brecha Efectiva x UdM'!$H$86:$AK$92,7,0))+(VLOOKUP($A684,$A$4:$O$27,12,0)*(HLOOKUP(H$660,'2.2.Brecha Efectiva x UdM'!$H$64:$AK$70,7,0))))</f>
        <v>0</v>
      </c>
      <c r="I684" s="31">
        <f>(VLOOKUP($A684,$A$458:$O$482,12,0)*(HLOOKUP(I$660,'2.2.Brecha Efectiva x UdM'!$H$86:$AK$92,7,0))+(VLOOKUP($A684,$A$4:$O$27,12,0)*(HLOOKUP(I$660,'2.2.Brecha Efectiva x UdM'!$H$64:$AK$70,7,0))))</f>
        <v>0</v>
      </c>
      <c r="J684" s="31">
        <f>(VLOOKUP($A684,$A$458:$O$482,12,0)*(HLOOKUP(J$660,'2.2.Brecha Efectiva x UdM'!$H$86:$AK$92,7,0))+(VLOOKUP($A684,$A$4:$O$27,12,0)*(HLOOKUP(J$660,'2.2.Brecha Efectiva x UdM'!$H$64:$AK$70,7,0))))</f>
        <v>0</v>
      </c>
      <c r="K684" s="31">
        <f>(VLOOKUP($A684,$A$458:$O$482,12,0)*(HLOOKUP(K$660,'2.2.Brecha Efectiva x UdM'!$H$86:$AK$92,7,0))+(VLOOKUP($A684,$A$4:$O$27,12,0)*(HLOOKUP(K$660,'2.2.Brecha Efectiva x UdM'!$H$64:$AK$70,7,0))))</f>
        <v>0</v>
      </c>
      <c r="L684" s="31">
        <f>(VLOOKUP($A684,$A$458:$O$482,12,0)*(HLOOKUP(L$660,'2.2.Brecha Efectiva x UdM'!$H$86:$AK$92,7,0))+(VLOOKUP($A684,$A$4:$O$27,12,0)*(HLOOKUP(L$660,'2.2.Brecha Efectiva x UdM'!$H$64:$AK$70,7,0))))</f>
        <v>0</v>
      </c>
      <c r="M684" s="31">
        <f>(VLOOKUP($A684,$A$458:$O$482,12,0)*(HLOOKUP(M$660,'2.2.Brecha Efectiva x UdM'!$H$86:$AK$92,7,0))+(VLOOKUP($A684,$A$4:$O$27,12,0)*(HLOOKUP(M$660,'2.2.Brecha Efectiva x UdM'!$H$64:$AK$70,7,0))))</f>
        <v>0</v>
      </c>
      <c r="N684" s="31">
        <f>(VLOOKUP($A684,$A$458:$O$482,12,0)*(HLOOKUP(N$660,'2.2.Brecha Efectiva x UdM'!$H$86:$AK$92,7,0))+(VLOOKUP($A684,$A$4:$O$27,12,0)*(HLOOKUP(N$660,'2.2.Brecha Efectiva x UdM'!$H$64:$AK$70,7,0))))</f>
        <v>0</v>
      </c>
      <c r="O684" s="31">
        <f>(VLOOKUP($A684,$A$458:$O$482,12,0)*(HLOOKUP(O$660,'2.2.Brecha Efectiva x UdM'!$H$86:$AK$92,7,0))+(VLOOKUP($A684,$A$4:$O$27,12,0)*(HLOOKUP(O$660,'2.2.Brecha Efectiva x UdM'!$H$64:$AK$70,7,0))))</f>
        <v>0</v>
      </c>
      <c r="P684" s="31">
        <f>(VLOOKUP($A684,$A$458:$O$482,12,0)*(HLOOKUP(P$660,'2.2.Brecha Efectiva x UdM'!$H$86:$AK$92,7,0))+(VLOOKUP($A684,$A$4:$O$27,12,0)*(HLOOKUP(P$660,'2.2.Brecha Efectiva x UdM'!$H$64:$AK$70,7,0))))</f>
        <v>0</v>
      </c>
      <c r="Q684" s="31">
        <f>(VLOOKUP($A684,$A$458:$O$482,12,0)*(HLOOKUP(Q$660,'2.2.Brecha Efectiva x UdM'!$H$86:$AK$92,7,0))+(VLOOKUP($A684,$A$4:$O$27,12,0)*(HLOOKUP(Q$660,'2.2.Brecha Efectiva x UdM'!$H$64:$AK$70,7,0))))</f>
        <v>0</v>
      </c>
      <c r="R684" s="31">
        <f>(VLOOKUP($A684,$A$458:$O$482,12,0)*(HLOOKUP(R$660,'2.2.Brecha Efectiva x UdM'!$H$86:$AK$92,7,0))+(VLOOKUP($A684,$A$4:$O$27,12,0)*(HLOOKUP(R$660,'2.2.Brecha Efectiva x UdM'!$H$64:$AK$70,7,0))))</f>
        <v>0</v>
      </c>
      <c r="S684" s="31">
        <f>(VLOOKUP($A684,$A$458:$O$482,12,0)*(HLOOKUP(S$660,'2.2.Brecha Efectiva x UdM'!$H$86:$AK$92,7,0))+(VLOOKUP($A684,$A$4:$O$27,12,0)*(HLOOKUP(S$660,'2.2.Brecha Efectiva x UdM'!$H$64:$AK$70,7,0))))</f>
        <v>0</v>
      </c>
      <c r="T684" s="31">
        <f>(VLOOKUP($A684,$A$458:$O$482,12,0)*(HLOOKUP(T$660,'2.2.Brecha Efectiva x UdM'!$H$86:$AK$92,7,0))+(VLOOKUP($A684,$A$4:$O$27,12,0)*(HLOOKUP(T$660,'2.2.Brecha Efectiva x UdM'!$H$64:$AK$70,7,0))))</f>
        <v>0</v>
      </c>
      <c r="U684" s="31">
        <f>(VLOOKUP($A684,$A$458:$O$482,12,0)*(HLOOKUP(U$660,'2.2.Brecha Efectiva x UdM'!$H$86:$AK$92,7,0))+(VLOOKUP($A684,$A$4:$O$27,12,0)*(HLOOKUP(U$660,'2.2.Brecha Efectiva x UdM'!$H$64:$AK$70,7,0))))</f>
        <v>0</v>
      </c>
      <c r="V684" s="31">
        <f>(VLOOKUP($A684,$A$458:$O$482,12,0)*(HLOOKUP(V$660,'2.2.Brecha Efectiva x UdM'!$H$86:$AK$92,7,0))+(VLOOKUP($A684,$A$4:$O$27,12,0)*(HLOOKUP(V$660,'2.2.Brecha Efectiva x UdM'!$H$64:$AK$70,7,0))))</f>
        <v>0</v>
      </c>
      <c r="W684" s="31">
        <f>(VLOOKUP($A684,$A$458:$O$482,12,0)*(HLOOKUP(W$660,'2.2.Brecha Efectiva x UdM'!$H$86:$AK$92,7,0))+(VLOOKUP($A684,$A$4:$O$27,12,0)*(HLOOKUP(W$660,'2.2.Brecha Efectiva x UdM'!$H$64:$AK$70,7,0))))</f>
        <v>0</v>
      </c>
      <c r="X684" s="31">
        <f>(VLOOKUP($A684,$A$458:$O$482,12,0)*(HLOOKUP(X$660,'2.2.Brecha Efectiva x UdM'!$H$86:$AK$92,7,0))+(VLOOKUP($A684,$A$4:$O$27,12,0)*(HLOOKUP(X$660,'2.2.Brecha Efectiva x UdM'!$H$64:$AK$70,7,0))))</f>
        <v>0</v>
      </c>
      <c r="Y684" s="31">
        <f>(VLOOKUP($A684,$A$458:$O$482,12,0)*(HLOOKUP(Y$660,'2.2.Brecha Efectiva x UdM'!$H$86:$AK$92,7,0))+(VLOOKUP($A684,$A$4:$O$27,12,0)*(HLOOKUP(Y$660,'2.2.Brecha Efectiva x UdM'!$H$64:$AK$70,7,0))))</f>
        <v>0</v>
      </c>
      <c r="Z684" s="31">
        <f>(VLOOKUP($A684,$A$458:$O$482,12,0)*(HLOOKUP(Z$660,'2.2.Brecha Efectiva x UdM'!$H$86:$AK$92,7,0))+(VLOOKUP($A684,$A$4:$O$27,12,0)*(HLOOKUP(Z$660,'2.2.Brecha Efectiva x UdM'!$H$64:$AK$70,7,0))))</f>
        <v>0</v>
      </c>
      <c r="AA684" s="31">
        <f>(VLOOKUP($A684,$A$458:$O$482,12,0)*(HLOOKUP(AA$660,'2.2.Brecha Efectiva x UdM'!$H$86:$AK$92,7,0))+(VLOOKUP($A684,$A$4:$O$27,12,0)*(HLOOKUP(AA$660,'2.2.Brecha Efectiva x UdM'!$H$64:$AK$70,7,0))))</f>
        <v>0</v>
      </c>
      <c r="AB684" s="31">
        <f>(VLOOKUP($A684,$A$458:$O$482,12,0)*(HLOOKUP(AB$660,'2.2.Brecha Efectiva x UdM'!$H$86:$AK$92,7,0))+(VLOOKUP($A684,$A$4:$O$27,12,0)*(HLOOKUP(AB$660,'2.2.Brecha Efectiva x UdM'!$H$64:$AK$70,7,0))))</f>
        <v>0</v>
      </c>
      <c r="AC684" s="31">
        <f>(VLOOKUP($A684,$A$458:$O$482,12,0)*(HLOOKUP(AC$660,'2.2.Brecha Efectiva x UdM'!$H$86:$AK$92,7,0))+(VLOOKUP($A684,$A$4:$O$27,12,0)*(HLOOKUP(AC$660,'2.2.Brecha Efectiva x UdM'!$H$64:$AK$70,7,0))))</f>
        <v>0</v>
      </c>
      <c r="AD684" s="31">
        <f>(VLOOKUP($A684,$A$458:$O$482,12,0)*(HLOOKUP(AD$660,'2.2.Brecha Efectiva x UdM'!$H$86:$AK$92,7,0))+(VLOOKUP($A684,$A$4:$O$27,12,0)*(HLOOKUP(AD$660,'2.2.Brecha Efectiva x UdM'!$H$64:$AK$70,7,0))))</f>
        <v>0</v>
      </c>
      <c r="AE684" s="31">
        <f>(VLOOKUP($A684,$A$458:$O$482,12,0)*(HLOOKUP(AE$660,'2.2.Brecha Efectiva x UdM'!$H$86:$AK$92,7,0))+(VLOOKUP($A684,$A$4:$O$27,12,0)*(HLOOKUP(AE$660,'2.2.Brecha Efectiva x UdM'!$H$64:$AK$70,7,0))))</f>
        <v>0</v>
      </c>
      <c r="AF684" s="31">
        <f>(VLOOKUP($A684,$A$458:$O$482,12,0)*(HLOOKUP(AF$660,'2.2.Brecha Efectiva x UdM'!$H$86:$AK$92,7,0))+(VLOOKUP($A684,$A$4:$O$27,12,0)*(HLOOKUP(AF$660,'2.2.Brecha Efectiva x UdM'!$H$64:$AK$70,7,0))))</f>
        <v>0</v>
      </c>
      <c r="AG684" s="31">
        <f>(VLOOKUP($A684,$A$458:$O$482,12,0)*(HLOOKUP(AG$660,'2.2.Brecha Efectiva x UdM'!$H$86:$AK$92,7,0))+(VLOOKUP($A684,$A$4:$O$27,12,0)*(HLOOKUP(AG$660,'2.2.Brecha Efectiva x UdM'!$H$64:$AK$70,7,0))))</f>
        <v>0</v>
      </c>
      <c r="AH684" s="63">
        <f t="shared" si="637"/>
        <v>0</v>
      </c>
    </row>
    <row r="685" spans="1:34" hidden="1" x14ac:dyDescent="0.2">
      <c r="A685" s="34" t="str">
        <f>CONCATENATE("Total"," ",B661)</f>
        <v>Total 0</v>
      </c>
      <c r="B685" s="29"/>
      <c r="C685" s="13"/>
      <c r="D685" s="13">
        <f>SUM(D661:D684)</f>
        <v>0</v>
      </c>
      <c r="E685" s="13">
        <f t="shared" ref="E685:AG685" si="638">SUM(E661:E684)</f>
        <v>0</v>
      </c>
      <c r="F685" s="13">
        <f t="shared" si="638"/>
        <v>0</v>
      </c>
      <c r="G685" s="13">
        <f t="shared" si="638"/>
        <v>0</v>
      </c>
      <c r="H685" s="13">
        <f t="shared" si="638"/>
        <v>0</v>
      </c>
      <c r="I685" s="13">
        <f t="shared" si="638"/>
        <v>0</v>
      </c>
      <c r="J685" s="13">
        <f t="shared" si="638"/>
        <v>0</v>
      </c>
      <c r="K685" s="13">
        <f t="shared" si="638"/>
        <v>0</v>
      </c>
      <c r="L685" s="13">
        <f t="shared" si="638"/>
        <v>0</v>
      </c>
      <c r="M685" s="13">
        <f t="shared" si="638"/>
        <v>0</v>
      </c>
      <c r="N685" s="13">
        <f t="shared" si="638"/>
        <v>0</v>
      </c>
      <c r="O685" s="13">
        <f t="shared" si="638"/>
        <v>0</v>
      </c>
      <c r="P685" s="13">
        <f t="shared" si="638"/>
        <v>0</v>
      </c>
      <c r="Q685" s="13">
        <f t="shared" si="638"/>
        <v>0</v>
      </c>
      <c r="R685" s="13">
        <f t="shared" si="638"/>
        <v>0</v>
      </c>
      <c r="S685" s="13">
        <f t="shared" si="638"/>
        <v>0</v>
      </c>
      <c r="T685" s="13">
        <f t="shared" si="638"/>
        <v>0</v>
      </c>
      <c r="U685" s="13">
        <f t="shared" si="638"/>
        <v>0</v>
      </c>
      <c r="V685" s="13">
        <f t="shared" si="638"/>
        <v>0</v>
      </c>
      <c r="W685" s="13">
        <f t="shared" si="638"/>
        <v>0</v>
      </c>
      <c r="X685" s="13">
        <f t="shared" si="638"/>
        <v>0</v>
      </c>
      <c r="Y685" s="13">
        <f t="shared" si="638"/>
        <v>0</v>
      </c>
      <c r="Z685" s="13">
        <f t="shared" si="638"/>
        <v>0</v>
      </c>
      <c r="AA685" s="13">
        <f t="shared" si="638"/>
        <v>0</v>
      </c>
      <c r="AB685" s="13">
        <f t="shared" si="638"/>
        <v>0</v>
      </c>
      <c r="AC685" s="13">
        <f t="shared" si="638"/>
        <v>0</v>
      </c>
      <c r="AD685" s="13">
        <f t="shared" si="638"/>
        <v>0</v>
      </c>
      <c r="AE685" s="13">
        <f t="shared" si="638"/>
        <v>0</v>
      </c>
      <c r="AF685" s="13">
        <f t="shared" si="638"/>
        <v>0</v>
      </c>
      <c r="AG685" s="13">
        <f t="shared" si="638"/>
        <v>0</v>
      </c>
      <c r="AH685" s="13">
        <f t="shared" si="637"/>
        <v>0</v>
      </c>
    </row>
    <row r="686" spans="1:34" hidden="1" x14ac:dyDescent="0.2">
      <c r="A686" s="34" t="str">
        <f>CONCATENATE("Total Acumulado"," ",B661)</f>
        <v>Total Acumulado 0</v>
      </c>
      <c r="B686" s="29"/>
      <c r="C686" s="13"/>
      <c r="D686" s="13">
        <f>D685</f>
        <v>0</v>
      </c>
      <c r="E686" s="13">
        <f>E685+D686</f>
        <v>0</v>
      </c>
      <c r="F686" s="13">
        <f t="shared" ref="F686" si="639">F685+E686</f>
        <v>0</v>
      </c>
      <c r="G686" s="13">
        <f t="shared" ref="G686" si="640">G685+F686</f>
        <v>0</v>
      </c>
      <c r="H686" s="13">
        <f t="shared" ref="H686" si="641">H685+G686</f>
        <v>0</v>
      </c>
      <c r="I686" s="13">
        <f t="shared" ref="I686" si="642">I685+H686</f>
        <v>0</v>
      </c>
      <c r="J686" s="13">
        <f t="shared" ref="J686" si="643">J685+I686</f>
        <v>0</v>
      </c>
      <c r="K686" s="13">
        <f t="shared" ref="K686" si="644">K685+J686</f>
        <v>0</v>
      </c>
      <c r="L686" s="13">
        <f t="shared" ref="L686" si="645">L685+K686</f>
        <v>0</v>
      </c>
      <c r="M686" s="13">
        <f t="shared" ref="M686" si="646">M685+L686</f>
        <v>0</v>
      </c>
      <c r="N686" s="13">
        <f t="shared" ref="N686" si="647">N685+M686</f>
        <v>0</v>
      </c>
      <c r="O686" s="13">
        <f t="shared" ref="O686" si="648">O685+N686</f>
        <v>0</v>
      </c>
      <c r="P686" s="13">
        <f t="shared" ref="P686" si="649">P685+O686</f>
        <v>0</v>
      </c>
      <c r="Q686" s="13">
        <f t="shared" ref="Q686" si="650">Q685+P686</f>
        <v>0</v>
      </c>
      <c r="R686" s="13">
        <f t="shared" ref="R686" si="651">R685+Q686</f>
        <v>0</v>
      </c>
      <c r="S686" s="13">
        <f t="shared" ref="S686" si="652">S685+R686</f>
        <v>0</v>
      </c>
      <c r="T686" s="13">
        <f t="shared" ref="T686" si="653">T685+S686</f>
        <v>0</v>
      </c>
      <c r="U686" s="13">
        <f t="shared" ref="U686" si="654">U685+T686</f>
        <v>0</v>
      </c>
      <c r="V686" s="13">
        <f t="shared" ref="V686" si="655">V685+U686</f>
        <v>0</v>
      </c>
      <c r="W686" s="13">
        <f t="shared" ref="W686" si="656">W685+V686</f>
        <v>0</v>
      </c>
      <c r="X686" s="13">
        <f t="shared" ref="X686" si="657">X685+W686</f>
        <v>0</v>
      </c>
      <c r="Y686" s="13">
        <f t="shared" ref="Y686" si="658">Y685+X686</f>
        <v>0</v>
      </c>
      <c r="Z686" s="13">
        <f t="shared" ref="Z686" si="659">Z685+Y686</f>
        <v>0</v>
      </c>
      <c r="AA686" s="13">
        <f t="shared" ref="AA686" si="660">AA685+Z686</f>
        <v>0</v>
      </c>
      <c r="AB686" s="13">
        <f t="shared" ref="AB686" si="661">AB685+AA686</f>
        <v>0</v>
      </c>
      <c r="AC686" s="13">
        <f t="shared" ref="AC686" si="662">AC685+AB686</f>
        <v>0</v>
      </c>
      <c r="AD686" s="13">
        <f t="shared" ref="AD686" si="663">AD685+AC686</f>
        <v>0</v>
      </c>
      <c r="AE686" s="13">
        <f t="shared" ref="AE686" si="664">AE685+AD686</f>
        <v>0</v>
      </c>
      <c r="AF686" s="13">
        <f t="shared" ref="AF686" si="665">AF685+AE686</f>
        <v>0</v>
      </c>
      <c r="AG686" s="13">
        <f t="shared" ref="AG686" si="666">AG685+AF686</f>
        <v>0</v>
      </c>
    </row>
    <row r="687" spans="1:34" hidden="1" x14ac:dyDescent="0.2"/>
    <row r="688" spans="1:34" hidden="1" x14ac:dyDescent="0.2">
      <c r="A688" s="33" t="s">
        <v>41</v>
      </c>
      <c r="D688" t="b">
        <f>D685='2.2.Brecha Efectiva x UdM'!H108</f>
        <v>1</v>
      </c>
      <c r="E688" t="b">
        <f>E685='2.2.Brecha Efectiva x UdM'!I108</f>
        <v>1</v>
      </c>
      <c r="F688" t="b">
        <f>F685='2.2.Brecha Efectiva x UdM'!J108</f>
        <v>1</v>
      </c>
      <c r="G688" t="b">
        <f>G685='2.2.Brecha Efectiva x UdM'!K108</f>
        <v>1</v>
      </c>
      <c r="H688" t="b">
        <f>H685='2.2.Brecha Efectiva x UdM'!L108</f>
        <v>1</v>
      </c>
      <c r="I688" t="b">
        <f>I685='2.2.Brecha Efectiva x UdM'!M108</f>
        <v>1</v>
      </c>
      <c r="J688" t="b">
        <f>J685='2.2.Brecha Efectiva x UdM'!N108</f>
        <v>1</v>
      </c>
      <c r="L688" s="23"/>
      <c r="M688" s="33"/>
    </row>
    <row r="689" spans="1:12" hidden="1" x14ac:dyDescent="0.2">
      <c r="J689" t="b">
        <f>AG686=SUM('2.2.Brecha Efectiva x UdM'!H108:AK108)</f>
        <v>1</v>
      </c>
      <c r="L689" s="23"/>
    </row>
    <row r="690" spans="1:12" x14ac:dyDescent="0.2">
      <c r="A690" s="46" t="s">
        <v>138</v>
      </c>
    </row>
    <row r="692" spans="1:12" x14ac:dyDescent="0.2">
      <c r="A692" s="24" t="s">
        <v>18</v>
      </c>
      <c r="B692" s="7" t="str">
        <f>C458</f>
        <v>Nombre UdM 1</v>
      </c>
      <c r="C692" s="7" t="str">
        <f>E458</f>
        <v>Nombre UdM 2</v>
      </c>
      <c r="D692" s="7" t="str">
        <f>G458</f>
        <v>Nombre UdM 3</v>
      </c>
      <c r="E692" s="7">
        <f>I458</f>
        <v>0</v>
      </c>
      <c r="F692" s="7">
        <f>K458</f>
        <v>0</v>
      </c>
      <c r="G692" s="7">
        <f>M458</f>
        <v>0</v>
      </c>
      <c r="H692" s="7" t="str">
        <f>O458</f>
        <v>TOTAL</v>
      </c>
    </row>
    <row r="693" spans="1:12" x14ac:dyDescent="0.2">
      <c r="A693" s="25" t="s">
        <v>14</v>
      </c>
      <c r="B693" s="32">
        <f>VLOOKUP(A693,$A$495:$AH$521,34,0)</f>
        <v>1952164273.3873296</v>
      </c>
      <c r="C693" s="32">
        <f>VLOOKUP(A693,$A$528:$AH$554,34,0)</f>
        <v>462741058.47438401</v>
      </c>
      <c r="D693" s="32">
        <f>VLOOKUP(A693,$A$561:$AH$587,34,0)</f>
        <v>7864299474.6586342</v>
      </c>
      <c r="E693" s="32">
        <f>VLOOKUP(A693,$A$594:$AH$620,34,0)</f>
        <v>0</v>
      </c>
      <c r="F693" s="32">
        <f>VLOOKUP(A693,$A$627:$AH$653,34,0)</f>
        <v>0</v>
      </c>
      <c r="G693" s="32">
        <f>VLOOKUP(A693,$A$660:$AH$686,34,0)</f>
        <v>0</v>
      </c>
      <c r="H693" s="62">
        <f>SUM(B693:G693)</f>
        <v>10279204806.520348</v>
      </c>
    </row>
    <row r="694" spans="1:12" x14ac:dyDescent="0.2">
      <c r="A694" s="26" t="s">
        <v>26</v>
      </c>
      <c r="B694" s="31">
        <f t="shared" ref="B694:B716" si="667">VLOOKUP(A694,$A$495:$AH$521,34,0)</f>
        <v>1269407.2415067281</v>
      </c>
      <c r="C694" s="31">
        <f t="shared" ref="C694:C716" si="668">VLOOKUP(A694,$A$528:$AH$554,34,0)</f>
        <v>43234604.164046422</v>
      </c>
      <c r="D694" s="31">
        <f t="shared" ref="D694:D716" si="669">VLOOKUP(A694,$A$561:$AH$587,34,0)</f>
        <v>247568964.28041524</v>
      </c>
      <c r="E694" s="31">
        <f t="shared" ref="E694:E716" si="670">VLOOKUP(A694,$A$594:$AH$620,34,0)</f>
        <v>0</v>
      </c>
      <c r="F694" s="31">
        <f t="shared" ref="F694:F716" si="671">VLOOKUP(A694,$A$627:$AH$653,34,0)</f>
        <v>0</v>
      </c>
      <c r="G694" s="31">
        <f t="shared" ref="G694:G716" si="672">VLOOKUP(A694,$A$660:$AH$686,34,0)</f>
        <v>0</v>
      </c>
      <c r="H694" s="63">
        <f t="shared" ref="H694:H716" si="673">SUM(B694:G694)</f>
        <v>292072975.6859684</v>
      </c>
    </row>
    <row r="695" spans="1:12" x14ac:dyDescent="0.2">
      <c r="A695" s="25" t="s">
        <v>10</v>
      </c>
      <c r="B695" s="32">
        <f t="shared" si="667"/>
        <v>493338494.14734691</v>
      </c>
      <c r="C695" s="32">
        <f t="shared" si="668"/>
        <v>73629620.997966275</v>
      </c>
      <c r="D695" s="32">
        <f t="shared" si="669"/>
        <v>0</v>
      </c>
      <c r="E695" s="32">
        <f t="shared" si="670"/>
        <v>0</v>
      </c>
      <c r="F695" s="32">
        <f t="shared" si="671"/>
        <v>0</v>
      </c>
      <c r="G695" s="32">
        <f t="shared" si="672"/>
        <v>0</v>
      </c>
      <c r="H695" s="62">
        <f t="shared" si="673"/>
        <v>566968115.14531314</v>
      </c>
    </row>
    <row r="696" spans="1:12" x14ac:dyDescent="0.2">
      <c r="A696" s="26" t="s">
        <v>3</v>
      </c>
      <c r="B696" s="31">
        <f t="shared" si="667"/>
        <v>283184319.25966716</v>
      </c>
      <c r="C696" s="31">
        <f t="shared" si="668"/>
        <v>107431330.63359229</v>
      </c>
      <c r="D696" s="31">
        <f t="shared" si="669"/>
        <v>0</v>
      </c>
      <c r="E696" s="31">
        <f t="shared" si="670"/>
        <v>0</v>
      </c>
      <c r="F696" s="31">
        <f t="shared" si="671"/>
        <v>0</v>
      </c>
      <c r="G696" s="31">
        <f t="shared" si="672"/>
        <v>0</v>
      </c>
      <c r="H696" s="63">
        <f t="shared" si="673"/>
        <v>390615649.89325947</v>
      </c>
    </row>
    <row r="697" spans="1:12" x14ac:dyDescent="0.2">
      <c r="A697" s="25" t="s">
        <v>15</v>
      </c>
      <c r="B697" s="32">
        <f t="shared" si="667"/>
        <v>3930476014.2206531</v>
      </c>
      <c r="C697" s="32">
        <f t="shared" si="668"/>
        <v>1806086473.3681169</v>
      </c>
      <c r="D697" s="32">
        <f t="shared" si="669"/>
        <v>190732497.16026077</v>
      </c>
      <c r="E697" s="32">
        <f t="shared" si="670"/>
        <v>0</v>
      </c>
      <c r="F697" s="32">
        <f t="shared" si="671"/>
        <v>0</v>
      </c>
      <c r="G697" s="32">
        <f t="shared" si="672"/>
        <v>0</v>
      </c>
      <c r="H697" s="62">
        <f t="shared" si="673"/>
        <v>5927294984.7490311</v>
      </c>
    </row>
    <row r="698" spans="1:12" x14ac:dyDescent="0.2">
      <c r="A698" s="26" t="s">
        <v>11</v>
      </c>
      <c r="B698" s="31">
        <f t="shared" si="667"/>
        <v>844150754.7839098</v>
      </c>
      <c r="C698" s="31">
        <f t="shared" si="668"/>
        <v>86469208.328092843</v>
      </c>
      <c r="D698" s="31">
        <f t="shared" si="669"/>
        <v>91639782.290283367</v>
      </c>
      <c r="E698" s="31">
        <f t="shared" si="670"/>
        <v>0</v>
      </c>
      <c r="F698" s="31">
        <f t="shared" si="671"/>
        <v>0</v>
      </c>
      <c r="G698" s="31">
        <f t="shared" si="672"/>
        <v>0</v>
      </c>
      <c r="H698" s="63">
        <f t="shared" si="673"/>
        <v>1022259745.4022859</v>
      </c>
    </row>
    <row r="699" spans="1:12" x14ac:dyDescent="0.2">
      <c r="A699" s="25" t="s">
        <v>4</v>
      </c>
      <c r="B699" s="32">
        <f t="shared" si="667"/>
        <v>252843142.19613138</v>
      </c>
      <c r="C699" s="32">
        <f t="shared" si="668"/>
        <v>460443048.76684153</v>
      </c>
      <c r="D699" s="32">
        <f t="shared" si="669"/>
        <v>45353774.386312217</v>
      </c>
      <c r="E699" s="32">
        <f t="shared" si="670"/>
        <v>0</v>
      </c>
      <c r="F699" s="32">
        <f t="shared" si="671"/>
        <v>0</v>
      </c>
      <c r="G699" s="32">
        <f t="shared" si="672"/>
        <v>0</v>
      </c>
      <c r="H699" s="62">
        <f t="shared" si="673"/>
        <v>758639965.34928513</v>
      </c>
    </row>
    <row r="700" spans="1:12" x14ac:dyDescent="0.2">
      <c r="A700" s="26" t="s">
        <v>19</v>
      </c>
      <c r="B700" s="31">
        <f t="shared" si="667"/>
        <v>500025859.46570772</v>
      </c>
      <c r="C700" s="31">
        <f t="shared" si="668"/>
        <v>721555897.50535285</v>
      </c>
      <c r="D700" s="31">
        <f t="shared" si="669"/>
        <v>31620355.343615707</v>
      </c>
      <c r="E700" s="31">
        <f t="shared" si="670"/>
        <v>0</v>
      </c>
      <c r="F700" s="31">
        <f t="shared" si="671"/>
        <v>0</v>
      </c>
      <c r="G700" s="31">
        <f t="shared" si="672"/>
        <v>0</v>
      </c>
      <c r="H700" s="63">
        <f t="shared" si="673"/>
        <v>1253202112.3146763</v>
      </c>
    </row>
    <row r="701" spans="1:12" x14ac:dyDescent="0.2">
      <c r="A701" s="25" t="s">
        <v>2</v>
      </c>
      <c r="B701" s="32">
        <f t="shared" si="667"/>
        <v>202274513.75690511</v>
      </c>
      <c r="C701" s="32">
        <f t="shared" si="668"/>
        <v>449590593.70747709</v>
      </c>
      <c r="D701" s="32">
        <f t="shared" si="669"/>
        <v>0</v>
      </c>
      <c r="E701" s="32">
        <f t="shared" si="670"/>
        <v>0</v>
      </c>
      <c r="F701" s="32">
        <f t="shared" si="671"/>
        <v>0</v>
      </c>
      <c r="G701" s="32">
        <f t="shared" si="672"/>
        <v>0</v>
      </c>
      <c r="H701" s="62">
        <f t="shared" si="673"/>
        <v>651865107.46438217</v>
      </c>
    </row>
    <row r="702" spans="1:12" x14ac:dyDescent="0.2">
      <c r="A702" s="26" t="s">
        <v>6</v>
      </c>
      <c r="B702" s="31">
        <f t="shared" si="667"/>
        <v>246669247.07367346</v>
      </c>
      <c r="C702" s="31">
        <f t="shared" si="668"/>
        <v>316477617.75698036</v>
      </c>
      <c r="D702" s="31">
        <f t="shared" si="669"/>
        <v>0</v>
      </c>
      <c r="E702" s="31">
        <f t="shared" si="670"/>
        <v>0</v>
      </c>
      <c r="F702" s="31">
        <f t="shared" si="671"/>
        <v>0</v>
      </c>
      <c r="G702" s="31">
        <f t="shared" si="672"/>
        <v>0</v>
      </c>
      <c r="H702" s="63">
        <f t="shared" si="673"/>
        <v>563146864.83065379</v>
      </c>
    </row>
    <row r="703" spans="1:12" x14ac:dyDescent="0.2">
      <c r="A703" s="25" t="s">
        <v>20</v>
      </c>
      <c r="B703" s="32">
        <f t="shared" si="667"/>
        <v>1228826980.5694487</v>
      </c>
      <c r="C703" s="32">
        <f t="shared" si="668"/>
        <v>43234604.164046422</v>
      </c>
      <c r="D703" s="32">
        <f t="shared" si="669"/>
        <v>0</v>
      </c>
      <c r="E703" s="32">
        <f t="shared" si="670"/>
        <v>0</v>
      </c>
      <c r="F703" s="32">
        <f t="shared" si="671"/>
        <v>0</v>
      </c>
      <c r="G703" s="32">
        <f t="shared" si="672"/>
        <v>0</v>
      </c>
      <c r="H703" s="62">
        <f t="shared" si="673"/>
        <v>1272061584.7334952</v>
      </c>
    </row>
    <row r="704" spans="1:12" x14ac:dyDescent="0.2">
      <c r="A704" s="26" t="s">
        <v>9</v>
      </c>
      <c r="B704" s="31">
        <f t="shared" si="667"/>
        <v>422861566.4120115</v>
      </c>
      <c r="C704" s="31">
        <f t="shared" si="668"/>
        <v>80049414.663029552</v>
      </c>
      <c r="D704" s="31">
        <f t="shared" si="669"/>
        <v>0</v>
      </c>
      <c r="E704" s="31">
        <f t="shared" si="670"/>
        <v>0</v>
      </c>
      <c r="F704" s="31">
        <f t="shared" si="671"/>
        <v>0</v>
      </c>
      <c r="G704" s="31">
        <f t="shared" si="672"/>
        <v>0</v>
      </c>
      <c r="H704" s="63">
        <f t="shared" si="673"/>
        <v>502910981.07504106</v>
      </c>
    </row>
    <row r="705" spans="1:8" x14ac:dyDescent="0.2">
      <c r="A705" s="25" t="s">
        <v>12</v>
      </c>
      <c r="B705" s="32">
        <f t="shared" si="667"/>
        <v>1868693823.9899371</v>
      </c>
      <c r="C705" s="32">
        <f t="shared" si="668"/>
        <v>672602044.91926098</v>
      </c>
      <c r="D705" s="32">
        <f t="shared" si="669"/>
        <v>0</v>
      </c>
      <c r="E705" s="32">
        <f t="shared" si="670"/>
        <v>0</v>
      </c>
      <c r="F705" s="32">
        <f t="shared" si="671"/>
        <v>0</v>
      </c>
      <c r="G705" s="32">
        <f t="shared" si="672"/>
        <v>0</v>
      </c>
      <c r="H705" s="62">
        <f t="shared" si="673"/>
        <v>2541295868.9091978</v>
      </c>
    </row>
    <row r="706" spans="1:8" x14ac:dyDescent="0.2">
      <c r="A706" s="26" t="s">
        <v>5</v>
      </c>
      <c r="B706" s="31">
        <f t="shared" si="667"/>
        <v>80909805.502762035</v>
      </c>
      <c r="C706" s="31">
        <f t="shared" si="668"/>
        <v>1241401475.2347302</v>
      </c>
      <c r="D706" s="31">
        <f t="shared" si="669"/>
        <v>117822577.23036432</v>
      </c>
      <c r="E706" s="31">
        <f t="shared" si="670"/>
        <v>0</v>
      </c>
      <c r="F706" s="31">
        <f t="shared" si="671"/>
        <v>0</v>
      </c>
      <c r="G706" s="31">
        <f t="shared" si="672"/>
        <v>0</v>
      </c>
      <c r="H706" s="63">
        <f t="shared" si="673"/>
        <v>1440133857.9678566</v>
      </c>
    </row>
    <row r="707" spans="1:8" x14ac:dyDescent="0.2">
      <c r="A707" s="25" t="s">
        <v>21</v>
      </c>
      <c r="B707" s="32">
        <f t="shared" si="667"/>
        <v>690042209.95934427</v>
      </c>
      <c r="C707" s="32">
        <f t="shared" si="668"/>
        <v>1716096102.8836861</v>
      </c>
      <c r="D707" s="32">
        <f t="shared" si="669"/>
        <v>219731635.44428149</v>
      </c>
      <c r="E707" s="32">
        <f t="shared" si="670"/>
        <v>0</v>
      </c>
      <c r="F707" s="32">
        <f t="shared" si="671"/>
        <v>0</v>
      </c>
      <c r="G707" s="32">
        <f t="shared" si="672"/>
        <v>0</v>
      </c>
      <c r="H707" s="62">
        <f t="shared" si="673"/>
        <v>2625869948.287312</v>
      </c>
    </row>
    <row r="708" spans="1:8" x14ac:dyDescent="0.2">
      <c r="A708" s="26" t="s">
        <v>22</v>
      </c>
      <c r="B708" s="31">
        <f t="shared" si="667"/>
        <v>2184053547.0000029</v>
      </c>
      <c r="C708" s="31">
        <f t="shared" si="668"/>
        <v>358480265.47948849</v>
      </c>
      <c r="D708" s="31">
        <f t="shared" si="669"/>
        <v>43216603.91951628</v>
      </c>
      <c r="E708" s="31">
        <f t="shared" si="670"/>
        <v>0</v>
      </c>
      <c r="F708" s="31">
        <f t="shared" si="671"/>
        <v>0</v>
      </c>
      <c r="G708" s="31">
        <f t="shared" si="672"/>
        <v>0</v>
      </c>
      <c r="H708" s="63">
        <f t="shared" si="673"/>
        <v>2585750416.3990073</v>
      </c>
    </row>
    <row r="709" spans="1:8" x14ac:dyDescent="0.2">
      <c r="A709" s="25" t="s">
        <v>7</v>
      </c>
      <c r="B709" s="32">
        <f t="shared" si="667"/>
        <v>740007741.2210201</v>
      </c>
      <c r="C709" s="32">
        <f t="shared" si="668"/>
        <v>594899191.66645551</v>
      </c>
      <c r="D709" s="32">
        <f t="shared" si="669"/>
        <v>306848194.42396581</v>
      </c>
      <c r="E709" s="32">
        <f t="shared" si="670"/>
        <v>0</v>
      </c>
      <c r="F709" s="32">
        <f t="shared" si="671"/>
        <v>0</v>
      </c>
      <c r="G709" s="32">
        <f t="shared" si="672"/>
        <v>0</v>
      </c>
      <c r="H709" s="62">
        <f t="shared" si="673"/>
        <v>1641755127.3114414</v>
      </c>
    </row>
    <row r="710" spans="1:8" x14ac:dyDescent="0.2">
      <c r="A710" s="26" t="s">
        <v>13</v>
      </c>
      <c r="B710" s="31">
        <f t="shared" si="667"/>
        <v>1146698482.902916</v>
      </c>
      <c r="C710" s="31">
        <f t="shared" si="668"/>
        <v>804683300.45707083</v>
      </c>
      <c r="D710" s="31">
        <f t="shared" si="669"/>
        <v>0</v>
      </c>
      <c r="E710" s="31">
        <f t="shared" si="670"/>
        <v>0</v>
      </c>
      <c r="F710" s="31">
        <f t="shared" si="671"/>
        <v>0</v>
      </c>
      <c r="G710" s="31">
        <f t="shared" si="672"/>
        <v>0</v>
      </c>
      <c r="H710" s="63">
        <f t="shared" si="673"/>
        <v>1951381783.3599868</v>
      </c>
    </row>
    <row r="711" spans="1:8" x14ac:dyDescent="0.2">
      <c r="A711" s="25" t="s">
        <v>23</v>
      </c>
      <c r="B711" s="32">
        <f t="shared" si="667"/>
        <v>644967266.81892359</v>
      </c>
      <c r="C711" s="32">
        <f t="shared" si="668"/>
        <v>43234604.164046422</v>
      </c>
      <c r="D711" s="32">
        <f t="shared" si="669"/>
        <v>0</v>
      </c>
      <c r="E711" s="32">
        <f t="shared" si="670"/>
        <v>0</v>
      </c>
      <c r="F711" s="32">
        <f t="shared" si="671"/>
        <v>0</v>
      </c>
      <c r="G711" s="32">
        <f t="shared" si="672"/>
        <v>0</v>
      </c>
      <c r="H711" s="62">
        <f t="shared" si="673"/>
        <v>688201870.98297</v>
      </c>
    </row>
    <row r="712" spans="1:8" x14ac:dyDescent="0.2">
      <c r="A712" s="26" t="s">
        <v>16</v>
      </c>
      <c r="B712" s="31">
        <f t="shared" si="667"/>
        <v>4333601759.2689257</v>
      </c>
      <c r="C712" s="31">
        <f t="shared" si="668"/>
        <v>2709790412.028923</v>
      </c>
      <c r="D712" s="31">
        <f t="shared" si="669"/>
        <v>193752682.55659911</v>
      </c>
      <c r="E712" s="31">
        <f t="shared" si="670"/>
        <v>0</v>
      </c>
      <c r="F712" s="31">
        <f t="shared" si="671"/>
        <v>0</v>
      </c>
      <c r="G712" s="31">
        <f t="shared" si="672"/>
        <v>0</v>
      </c>
      <c r="H712" s="63">
        <f t="shared" si="673"/>
        <v>7237144853.8544474</v>
      </c>
    </row>
    <row r="713" spans="1:8" x14ac:dyDescent="0.2">
      <c r="A713" s="25" t="s">
        <v>24</v>
      </c>
      <c r="B713" s="32">
        <f t="shared" si="667"/>
        <v>667332460.03414702</v>
      </c>
      <c r="C713" s="32">
        <f t="shared" si="668"/>
        <v>80049414.663029552</v>
      </c>
      <c r="D713" s="32">
        <f t="shared" si="669"/>
        <v>0</v>
      </c>
      <c r="E713" s="32">
        <f t="shared" si="670"/>
        <v>0</v>
      </c>
      <c r="F713" s="32">
        <f t="shared" si="671"/>
        <v>0</v>
      </c>
      <c r="G713" s="32">
        <f t="shared" si="672"/>
        <v>0</v>
      </c>
      <c r="H713" s="62">
        <f t="shared" si="673"/>
        <v>747381874.69717658</v>
      </c>
    </row>
    <row r="714" spans="1:8" x14ac:dyDescent="0.2">
      <c r="A714" s="26" t="s">
        <v>25</v>
      </c>
      <c r="B714" s="31">
        <f t="shared" si="667"/>
        <v>609486763.51777649</v>
      </c>
      <c r="C714" s="31">
        <f t="shared" si="668"/>
        <v>73629620.997966275</v>
      </c>
      <c r="D714" s="31">
        <f t="shared" si="669"/>
        <v>183279564.58056673</v>
      </c>
      <c r="E714" s="31">
        <f t="shared" si="670"/>
        <v>0</v>
      </c>
      <c r="F714" s="31">
        <f t="shared" si="671"/>
        <v>0</v>
      </c>
      <c r="G714" s="31">
        <f t="shared" si="672"/>
        <v>0</v>
      </c>
      <c r="H714" s="63">
        <f t="shared" si="673"/>
        <v>866395949.09630954</v>
      </c>
    </row>
    <row r="715" spans="1:8" x14ac:dyDescent="0.2">
      <c r="A715" s="25" t="s">
        <v>17</v>
      </c>
      <c r="B715" s="32">
        <f t="shared" si="667"/>
        <v>403125745.04827213</v>
      </c>
      <c r="C715" s="32">
        <f t="shared" si="668"/>
        <v>250805900.82168907</v>
      </c>
      <c r="D715" s="32">
        <f t="shared" si="669"/>
        <v>294556443.07591081</v>
      </c>
      <c r="E715" s="32">
        <f t="shared" si="670"/>
        <v>0</v>
      </c>
      <c r="F715" s="32">
        <f t="shared" si="671"/>
        <v>0</v>
      </c>
      <c r="G715" s="32">
        <f t="shared" si="672"/>
        <v>0</v>
      </c>
      <c r="H715" s="62">
        <f t="shared" si="673"/>
        <v>948488088.94587207</v>
      </c>
    </row>
    <row r="716" spans="1:8" x14ac:dyDescent="0.2">
      <c r="A716" s="26" t="s">
        <v>8</v>
      </c>
      <c r="B716" s="31">
        <f t="shared" si="667"/>
        <v>140953855.47067052</v>
      </c>
      <c r="C716" s="31">
        <f t="shared" si="668"/>
        <v>43234604.164046422</v>
      </c>
      <c r="D716" s="31">
        <f t="shared" si="669"/>
        <v>0</v>
      </c>
      <c r="E716" s="31">
        <f t="shared" si="670"/>
        <v>0</v>
      </c>
      <c r="F716" s="31">
        <f t="shared" si="671"/>
        <v>0</v>
      </c>
      <c r="G716" s="31">
        <f t="shared" si="672"/>
        <v>0</v>
      </c>
      <c r="H716" s="63">
        <f t="shared" si="673"/>
        <v>184188459.63471693</v>
      </c>
    </row>
    <row r="717" spans="1:8" x14ac:dyDescent="0.2">
      <c r="A717" s="34" t="s">
        <v>131</v>
      </c>
      <c r="B717" s="13">
        <f>SUM(B693:B716)</f>
        <v>23867958033.248985</v>
      </c>
      <c r="C717" s="13">
        <f t="shared" ref="C717:G717" si="674">SUM(C693:C716)</f>
        <v>13239850410.010323</v>
      </c>
      <c r="D717" s="13">
        <f t="shared" si="674"/>
        <v>9830422549.3507233</v>
      </c>
      <c r="E717" s="13">
        <f t="shared" si="674"/>
        <v>0</v>
      </c>
      <c r="F717" s="13">
        <f t="shared" si="674"/>
        <v>0</v>
      </c>
      <c r="G717" s="13">
        <f t="shared" si="674"/>
        <v>0</v>
      </c>
      <c r="H717" s="13">
        <f>SUM(H693:H716)</f>
        <v>46938230992.610023</v>
      </c>
    </row>
  </sheetData>
  <mergeCells count="2">
    <mergeCell ref="B2:O2"/>
    <mergeCell ref="B457:O457"/>
  </mergeCells>
  <conditionalFormatting sqref="B48:B71">
    <cfRule type="cellIs" dxfId="22" priority="19" operator="equal">
      <formula>0</formula>
    </cfRule>
  </conditionalFormatting>
  <conditionalFormatting sqref="B81:B104">
    <cfRule type="cellIs" dxfId="21" priority="18" operator="equal">
      <formula>0</formula>
    </cfRule>
  </conditionalFormatting>
  <conditionalFormatting sqref="B114:B137">
    <cfRule type="cellIs" dxfId="20" priority="17" operator="equal">
      <formula>0</formula>
    </cfRule>
  </conditionalFormatting>
  <conditionalFormatting sqref="B147:B170">
    <cfRule type="cellIs" dxfId="19" priority="16" operator="equal">
      <formula>0</formula>
    </cfRule>
  </conditionalFormatting>
  <conditionalFormatting sqref="B180:B203">
    <cfRule type="cellIs" dxfId="18" priority="15" operator="equal">
      <formula>0</formula>
    </cfRule>
  </conditionalFormatting>
  <conditionalFormatting sqref="B213:B236">
    <cfRule type="cellIs" dxfId="17" priority="14" operator="equal">
      <formula>0</formula>
    </cfRule>
  </conditionalFormatting>
  <conditionalFormatting sqref="B253:B276">
    <cfRule type="cellIs" dxfId="16" priority="13" operator="equal">
      <formula>0</formula>
    </cfRule>
  </conditionalFormatting>
  <conditionalFormatting sqref="B286:B309">
    <cfRule type="cellIs" dxfId="15" priority="12" operator="equal">
      <formula>0</formula>
    </cfRule>
  </conditionalFormatting>
  <conditionalFormatting sqref="B319:B342">
    <cfRule type="cellIs" dxfId="14" priority="11" operator="equal">
      <formula>0</formula>
    </cfRule>
  </conditionalFormatting>
  <conditionalFormatting sqref="B352:B375">
    <cfRule type="cellIs" dxfId="13" priority="10" operator="equal">
      <formula>0</formula>
    </cfRule>
  </conditionalFormatting>
  <conditionalFormatting sqref="B385:B408">
    <cfRule type="cellIs" dxfId="12" priority="9" operator="equal">
      <formula>0</formula>
    </cfRule>
  </conditionalFormatting>
  <conditionalFormatting sqref="B418:B441">
    <cfRule type="cellIs" dxfId="11" priority="8" operator="equal">
      <formula>0</formula>
    </cfRule>
  </conditionalFormatting>
  <conditionalFormatting sqref="B496:B519">
    <cfRule type="cellIs" dxfId="10" priority="7" operator="equal">
      <formula>0</formula>
    </cfRule>
  </conditionalFormatting>
  <conditionalFormatting sqref="B529:B552">
    <cfRule type="cellIs" dxfId="9" priority="6" operator="equal">
      <formula>0</formula>
    </cfRule>
  </conditionalFormatting>
  <conditionalFormatting sqref="B562:B585">
    <cfRule type="cellIs" dxfId="8" priority="5" operator="equal">
      <formula>0</formula>
    </cfRule>
  </conditionalFormatting>
  <conditionalFormatting sqref="B595:B618">
    <cfRule type="cellIs" dxfId="7" priority="4" operator="equal">
      <formula>0</formula>
    </cfRule>
  </conditionalFormatting>
  <conditionalFormatting sqref="B628:B651">
    <cfRule type="cellIs" dxfId="6" priority="3" operator="equal">
      <formula>0</formula>
    </cfRule>
  </conditionalFormatting>
  <conditionalFormatting sqref="B661:B684">
    <cfRule type="cellIs" dxfId="5" priority="2" operator="equal">
      <formula>0</formula>
    </cfRule>
  </conditionalFormatting>
  <conditionalFormatting sqref="C3 E3 G3 I3 K3 M3">
    <cfRule type="cellIs" dxfId="4" priority="22" operator="equal">
      <formula>0</formula>
    </cfRule>
  </conditionalFormatting>
  <conditionalFormatting sqref="C458 E458 G458 I458 K458 M458">
    <cfRule type="cellIs" dxfId="3" priority="1" operator="equal">
      <formula>0</formula>
    </cfRule>
  </conditionalFormatting>
  <pageMargins left="0.7" right="0.7" top="0.75" bottom="0.75" header="0.3" footer="0.3"/>
  <pageSetup orientation="portrait" horizontalDpi="4294967295" verticalDpi="4294967295" r:id="rId1"/>
  <ignoredErrors>
    <ignoredError sqref="C483 H483 J483 L483"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7"/>
  <sheetViews>
    <sheetView topLeftCell="A16" workbookViewId="0">
      <selection activeCell="A21" sqref="A21:I28"/>
    </sheetView>
  </sheetViews>
  <sheetFormatPr defaultColWidth="10.76171875" defaultRowHeight="15" x14ac:dyDescent="0.2"/>
  <cols>
    <col min="1" max="1" width="21.65625" customWidth="1"/>
    <col min="2" max="2" width="19.1015625" customWidth="1"/>
    <col min="3" max="3" width="40.48828125" customWidth="1"/>
    <col min="4" max="5" width="0" hidden="1" customWidth="1"/>
    <col min="8" max="9" width="80.7109375" customWidth="1"/>
  </cols>
  <sheetData>
    <row r="1" spans="1:9" x14ac:dyDescent="0.2">
      <c r="A1" s="17" t="s">
        <v>109</v>
      </c>
    </row>
    <row r="2" spans="1:9" ht="49.5" x14ac:dyDescent="0.2">
      <c r="A2" s="6" t="s">
        <v>28</v>
      </c>
      <c r="B2" s="6" t="s">
        <v>29</v>
      </c>
      <c r="C2" s="6" t="s">
        <v>30</v>
      </c>
      <c r="D2" s="53" t="s">
        <v>31</v>
      </c>
      <c r="E2" s="53" t="s">
        <v>32</v>
      </c>
      <c r="F2" s="7" t="s">
        <v>121</v>
      </c>
      <c r="G2" s="7" t="s">
        <v>122</v>
      </c>
      <c r="H2" s="6" t="s">
        <v>110</v>
      </c>
      <c r="I2" s="6" t="s">
        <v>45</v>
      </c>
    </row>
    <row r="3" spans="1:9" ht="50.1" customHeight="1" x14ac:dyDescent="0.2">
      <c r="A3" s="38" t="str">
        <f>'2.2.Brecha Efectiva x UdM'!A3</f>
        <v>Nombre Jurisdicción</v>
      </c>
      <c r="B3" s="38" t="str">
        <f>'2.2.Brecha Efectiva x UdM'!B3</f>
        <v>Nombre Sector</v>
      </c>
      <c r="C3" s="38" t="str">
        <f>'2.2.Brecha Efectiva x UdM'!C3</f>
        <v>Nombre UdM 1</v>
      </c>
      <c r="D3" s="39">
        <f>'2.2.Brecha Efectiva x UdM'!D65</f>
        <v>20268679953.248985</v>
      </c>
      <c r="E3" s="38">
        <f>'2.2.Brecha Efectiva x UdM'!E65</f>
        <v>10</v>
      </c>
      <c r="F3" s="39">
        <f>'2.2.Brecha Efectiva x UdM'!F65</f>
        <v>20268679953.248985</v>
      </c>
      <c r="G3" s="40">
        <f>IFERROR(F3/D3,0)</f>
        <v>1</v>
      </c>
      <c r="H3" s="44" t="s">
        <v>75</v>
      </c>
      <c r="I3" s="44" t="s">
        <v>77</v>
      </c>
    </row>
    <row r="4" spans="1:9" ht="60" customHeight="1" x14ac:dyDescent="0.2">
      <c r="A4" s="41" t="str">
        <f>'2.2.Brecha Efectiva x UdM'!A4</f>
        <v>Nombre Jurisdicción</v>
      </c>
      <c r="B4" s="41" t="str">
        <f>'2.2.Brecha Efectiva x UdM'!B4</f>
        <v>Nombre Sector</v>
      </c>
      <c r="C4" s="41" t="str">
        <f>'2.2.Brecha Efectiva x UdM'!C4</f>
        <v>Nombre UdM 2</v>
      </c>
      <c r="D4" s="42">
        <f>'2.2.Brecha Efectiva x UdM'!D66</f>
        <v>11219988416.147614</v>
      </c>
      <c r="E4" s="41">
        <f>'2.2.Brecha Efectiva x UdM'!E66</f>
        <v>3</v>
      </c>
      <c r="F4" s="42">
        <f>'2.2.Brecha Efectiva x UdM'!F66</f>
        <v>11219988416.147614</v>
      </c>
      <c r="G4" s="43">
        <f t="shared" ref="G4:G9" si="0">IFERROR(F4/D4,0)</f>
        <v>1</v>
      </c>
      <c r="H4" s="45" t="s">
        <v>76</v>
      </c>
      <c r="I4" s="45" t="s">
        <v>72</v>
      </c>
    </row>
    <row r="5" spans="1:9" ht="60.75" customHeight="1" x14ac:dyDescent="0.2">
      <c r="A5" s="38" t="str">
        <f>'2.2.Brecha Efectiva x UdM'!A5</f>
        <v>Nombre Jurisdicción</v>
      </c>
      <c r="B5" s="38" t="str">
        <f>'2.2.Brecha Efectiva x UdM'!B5</f>
        <v>Nombre Sector</v>
      </c>
      <c r="C5" s="38" t="str">
        <f>'2.2.Brecha Efectiva x UdM'!C5</f>
        <v>Nombre UdM 3</v>
      </c>
      <c r="D5" s="39">
        <f>'2.2.Brecha Efectiva x UdM'!D67</f>
        <v>8328608465.4307251</v>
      </c>
      <c r="E5" s="38">
        <f>'2.2.Brecha Efectiva x UdM'!E67</f>
        <v>4</v>
      </c>
      <c r="F5" s="39">
        <f>'2.2.Brecha Efectiva x UdM'!F67</f>
        <v>8328608465.4307251</v>
      </c>
      <c r="G5" s="40">
        <f t="shared" si="0"/>
        <v>1</v>
      </c>
      <c r="H5" s="44" t="s">
        <v>74</v>
      </c>
      <c r="I5" s="44" t="s">
        <v>73</v>
      </c>
    </row>
    <row r="6" spans="1:9" ht="33.75" customHeight="1" x14ac:dyDescent="0.2">
      <c r="A6" s="41" t="str">
        <f>'2.2.Brecha Efectiva x UdM'!A6</f>
        <v>Nombre Jurisdicción</v>
      </c>
      <c r="B6" s="41" t="str">
        <f>'2.2.Brecha Efectiva x UdM'!B6</f>
        <v>Nombre Sector</v>
      </c>
      <c r="C6" s="41">
        <f>'2.2.Brecha Efectiva x UdM'!C6</f>
        <v>0</v>
      </c>
      <c r="D6" s="42">
        <f>'2.2.Brecha Efectiva x UdM'!D68</f>
        <v>0</v>
      </c>
      <c r="E6" s="41">
        <f>'2.2.Brecha Efectiva x UdM'!E68</f>
        <v>0</v>
      </c>
      <c r="F6" s="42">
        <f>'2.2.Brecha Efectiva x UdM'!F68</f>
        <v>0</v>
      </c>
      <c r="G6" s="43">
        <f t="shared" si="0"/>
        <v>0</v>
      </c>
      <c r="H6" s="45"/>
      <c r="I6" s="45"/>
    </row>
    <row r="7" spans="1:9" ht="33.75" customHeight="1" x14ac:dyDescent="0.2">
      <c r="A7" s="57" t="str">
        <f>'2.2.Brecha Efectiva x UdM'!A7</f>
        <v>Nombre Jurisdicción</v>
      </c>
      <c r="B7" s="57" t="str">
        <f>'2.2.Brecha Efectiva x UdM'!B7</f>
        <v>Nombre Sector</v>
      </c>
      <c r="C7" s="57">
        <f>'2.2.Brecha Efectiva x UdM'!C7</f>
        <v>0</v>
      </c>
      <c r="D7" s="58">
        <f>'2.2.Brecha Efectiva x UdM'!D69</f>
        <v>0</v>
      </c>
      <c r="E7" s="57">
        <f>'2.2.Brecha Efectiva x UdM'!E69</f>
        <v>0</v>
      </c>
      <c r="F7" s="58">
        <f>'2.2.Brecha Efectiva x UdM'!F69</f>
        <v>0</v>
      </c>
      <c r="G7" s="59">
        <f t="shared" si="0"/>
        <v>0</v>
      </c>
      <c r="H7" s="60"/>
      <c r="I7" s="60"/>
    </row>
    <row r="8" spans="1:9" ht="33.75" customHeight="1" x14ac:dyDescent="0.2">
      <c r="A8" s="41" t="str">
        <f>'2.2.Brecha Efectiva x UdM'!A8</f>
        <v>Nombre Jurisdicción</v>
      </c>
      <c r="B8" s="41" t="str">
        <f>'2.2.Brecha Efectiva x UdM'!B8</f>
        <v>Nombre Sector</v>
      </c>
      <c r="C8" s="41">
        <f>'2.2.Brecha Efectiva x UdM'!C8</f>
        <v>0</v>
      </c>
      <c r="D8" s="42">
        <f>'2.2.Brecha Efectiva x UdM'!D70</f>
        <v>0</v>
      </c>
      <c r="E8" s="41">
        <f>'2.2.Brecha Efectiva x UdM'!E70</f>
        <v>0</v>
      </c>
      <c r="F8" s="42">
        <f>'2.2.Brecha Efectiva x UdM'!F70</f>
        <v>0</v>
      </c>
      <c r="G8" s="43">
        <f t="shared" si="0"/>
        <v>0</v>
      </c>
      <c r="H8" s="45"/>
      <c r="I8" s="45"/>
    </row>
    <row r="9" spans="1:9" x14ac:dyDescent="0.2">
      <c r="A9" s="12" t="s">
        <v>1</v>
      </c>
      <c r="B9" s="12"/>
      <c r="C9" s="12"/>
      <c r="D9" s="54">
        <f>'2.2.Brecha Efectiva x UdM'!D71</f>
        <v>39817276834.827324</v>
      </c>
      <c r="E9" s="55">
        <f>'2.2.Brecha Efectiva x UdM'!E71</f>
        <v>0</v>
      </c>
      <c r="F9" s="13">
        <f>'2.2.Brecha Efectiva x UdM'!F71</f>
        <v>39817276834.827324</v>
      </c>
      <c r="G9" s="16">
        <f t="shared" si="0"/>
        <v>1</v>
      </c>
      <c r="H9" s="12"/>
      <c r="I9" s="12"/>
    </row>
    <row r="11" spans="1:9" x14ac:dyDescent="0.2">
      <c r="A11" s="17" t="s">
        <v>33</v>
      </c>
    </row>
    <row r="13" spans="1:9" x14ac:dyDescent="0.2">
      <c r="A13" t="s">
        <v>111</v>
      </c>
    </row>
    <row r="14" spans="1:9" x14ac:dyDescent="0.2">
      <c r="A14" t="s">
        <v>46</v>
      </c>
    </row>
    <row r="16" spans="1:9" x14ac:dyDescent="0.2">
      <c r="A16" t="s">
        <v>112</v>
      </c>
    </row>
    <row r="18" spans="1:9" x14ac:dyDescent="0.2">
      <c r="A18" t="s">
        <v>113</v>
      </c>
    </row>
    <row r="20" spans="1:9" x14ac:dyDescent="0.2">
      <c r="A20" s="17" t="s">
        <v>114</v>
      </c>
    </row>
    <row r="21" spans="1:9" ht="86.25" x14ac:dyDescent="0.2">
      <c r="A21" s="6" t="s">
        <v>28</v>
      </c>
      <c r="B21" s="6" t="s">
        <v>29</v>
      </c>
      <c r="C21" s="6" t="s">
        <v>30</v>
      </c>
      <c r="D21" s="53" t="s">
        <v>90</v>
      </c>
      <c r="E21" s="53" t="s">
        <v>32</v>
      </c>
      <c r="F21" s="7" t="s">
        <v>130</v>
      </c>
      <c r="G21" s="7" t="s">
        <v>122</v>
      </c>
      <c r="H21" s="6" t="s">
        <v>91</v>
      </c>
      <c r="I21" s="6" t="s">
        <v>45</v>
      </c>
    </row>
    <row r="22" spans="1:9" ht="33.75" customHeight="1" x14ac:dyDescent="0.2">
      <c r="A22" s="38" t="str">
        <f>'2.2.Brecha Efectiva x UdM'!A3</f>
        <v>Nombre Jurisdicción</v>
      </c>
      <c r="B22" s="38" t="str">
        <f>'2.2.Brecha Efectiva x UdM'!B3</f>
        <v>Nombre Sector</v>
      </c>
      <c r="C22" s="38" t="str">
        <f>'2.2.Brecha Efectiva x UdM'!C3</f>
        <v>Nombre UdM 1</v>
      </c>
      <c r="D22" s="39">
        <f>'2.2.Brecha Efectiva x UdM'!D87</f>
        <v>3599278080</v>
      </c>
      <c r="E22" s="38">
        <f>'2.2.Brecha Efectiva x UdM'!E84</f>
        <v>0</v>
      </c>
      <c r="F22" s="39">
        <f>'2.2.Brecha Efectiva x UdM'!F87</f>
        <v>3599278080</v>
      </c>
      <c r="G22" s="40">
        <f>IFERROR(F22/D22,0)</f>
        <v>1</v>
      </c>
      <c r="H22" s="44"/>
      <c r="I22" s="44"/>
    </row>
    <row r="23" spans="1:9" ht="33.75" customHeight="1" x14ac:dyDescent="0.2">
      <c r="A23" s="41" t="str">
        <f>'2.2.Brecha Efectiva x UdM'!A4</f>
        <v>Nombre Jurisdicción</v>
      </c>
      <c r="B23" s="41" t="str">
        <f>'2.2.Brecha Efectiva x UdM'!B4</f>
        <v>Nombre Sector</v>
      </c>
      <c r="C23" s="41" t="str">
        <f>'2.2.Brecha Efectiva x UdM'!C4</f>
        <v>Nombre UdM 2</v>
      </c>
      <c r="D23" s="42">
        <f>'2.2.Brecha Efectiva x UdM'!D88</f>
        <v>2019861993.8627043</v>
      </c>
      <c r="E23" s="41">
        <f>'2.2.Brecha Efectiva x UdM'!E85</f>
        <v>0</v>
      </c>
      <c r="F23" s="42">
        <f>'2.2.Brecha Efectiva x UdM'!F88</f>
        <v>2019861993.8627043</v>
      </c>
      <c r="G23" s="43">
        <f t="shared" ref="G23:G28" si="1">IFERROR(F23/D23,0)</f>
        <v>1</v>
      </c>
      <c r="H23" s="45"/>
      <c r="I23" s="45"/>
    </row>
    <row r="24" spans="1:9" ht="33.75" customHeight="1" x14ac:dyDescent="0.2">
      <c r="A24" s="38" t="str">
        <f>'2.2.Brecha Efectiva x UdM'!A5</f>
        <v>Nombre Jurisdicción</v>
      </c>
      <c r="B24" s="38" t="str">
        <f>'2.2.Brecha Efectiva x UdM'!B5</f>
        <v>Nombre Sector</v>
      </c>
      <c r="C24" s="38" t="str">
        <f>'2.2.Brecha Efectiva x UdM'!C5</f>
        <v>Nombre UdM 3</v>
      </c>
      <c r="D24" s="39">
        <f>'2.2.Brecha Efectiva x UdM'!D89</f>
        <v>1501814083.920001</v>
      </c>
      <c r="E24" s="38">
        <f>'2.2.Brecha Efectiva x UdM'!E86</f>
        <v>0</v>
      </c>
      <c r="F24" s="39">
        <f>'2.2.Brecha Efectiva x UdM'!F89</f>
        <v>1501814083.920001</v>
      </c>
      <c r="G24" s="40">
        <f t="shared" si="1"/>
        <v>1</v>
      </c>
      <c r="H24" s="44"/>
      <c r="I24" s="44"/>
    </row>
    <row r="25" spans="1:9" ht="33.75" hidden="1" customHeight="1" x14ac:dyDescent="0.2">
      <c r="A25" s="41" t="str">
        <f>'2.2.Brecha Efectiva x UdM'!A6</f>
        <v>Nombre Jurisdicción</v>
      </c>
      <c r="B25" s="41" t="str">
        <f>'2.2.Brecha Efectiva x UdM'!B6</f>
        <v>Nombre Sector</v>
      </c>
      <c r="C25" s="41">
        <f>'2.2.Brecha Efectiva x UdM'!C6</f>
        <v>0</v>
      </c>
      <c r="D25" s="42">
        <f>'2.2.Brecha Efectiva x UdM'!D90</f>
        <v>0</v>
      </c>
      <c r="E25" s="41">
        <f>'2.2.Brecha Efectiva x UdM'!E87</f>
        <v>0</v>
      </c>
      <c r="F25" s="42">
        <f>'2.2.Brecha Efectiva x UdM'!F90</f>
        <v>0</v>
      </c>
      <c r="G25" s="43">
        <f t="shared" si="1"/>
        <v>0</v>
      </c>
      <c r="H25" s="45"/>
      <c r="I25" s="45"/>
    </row>
    <row r="26" spans="1:9" ht="33.75" hidden="1" customHeight="1" x14ac:dyDescent="0.2">
      <c r="A26" s="57" t="str">
        <f>'2.2.Brecha Efectiva x UdM'!A7</f>
        <v>Nombre Jurisdicción</v>
      </c>
      <c r="B26" s="57" t="str">
        <f>'2.2.Brecha Efectiva x UdM'!B7</f>
        <v>Nombre Sector</v>
      </c>
      <c r="C26" s="57">
        <f>'2.2.Brecha Efectiva x UdM'!C7</f>
        <v>0</v>
      </c>
      <c r="D26" s="58">
        <f>'2.2.Brecha Efectiva x UdM'!D91</f>
        <v>0</v>
      </c>
      <c r="E26" s="57">
        <f>'2.2.Brecha Efectiva x UdM'!E88</f>
        <v>0</v>
      </c>
      <c r="F26" s="58">
        <f>'2.2.Brecha Efectiva x UdM'!F91</f>
        <v>0</v>
      </c>
      <c r="G26" s="59">
        <f t="shared" si="1"/>
        <v>0</v>
      </c>
      <c r="H26" s="60"/>
      <c r="I26" s="60"/>
    </row>
    <row r="27" spans="1:9" ht="33.75" hidden="1" customHeight="1" x14ac:dyDescent="0.2">
      <c r="A27" s="41" t="str">
        <f>'2.2.Brecha Efectiva x UdM'!A8</f>
        <v>Nombre Jurisdicción</v>
      </c>
      <c r="B27" s="41" t="str">
        <f>'2.2.Brecha Efectiva x UdM'!B8</f>
        <v>Nombre Sector</v>
      </c>
      <c r="C27" s="41">
        <f>'2.2.Brecha Efectiva x UdM'!C8</f>
        <v>0</v>
      </c>
      <c r="D27" s="42">
        <f>'2.2.Brecha Efectiva x UdM'!D92</f>
        <v>0</v>
      </c>
      <c r="E27" s="41">
        <f>'2.2.Brecha Efectiva x UdM'!E89</f>
        <v>0</v>
      </c>
      <c r="F27" s="42">
        <f>'2.2.Brecha Efectiva x UdM'!F92</f>
        <v>0</v>
      </c>
      <c r="G27" s="43">
        <f t="shared" si="1"/>
        <v>0</v>
      </c>
      <c r="H27" s="45"/>
      <c r="I27" s="45"/>
    </row>
    <row r="28" spans="1:9" x14ac:dyDescent="0.2">
      <c r="A28" s="12" t="s">
        <v>1</v>
      </c>
      <c r="B28" s="12"/>
      <c r="C28" s="12"/>
      <c r="D28" s="54">
        <f>SUM(D22:D27)</f>
        <v>7120954157.7827053</v>
      </c>
      <c r="E28" s="55">
        <f>'2.2.Brecha Efectiva x UdM'!E90</f>
        <v>0</v>
      </c>
      <c r="F28" s="13">
        <f>SUM(F22:F27)</f>
        <v>7120954157.7827053</v>
      </c>
      <c r="G28" s="16">
        <f t="shared" si="1"/>
        <v>1</v>
      </c>
      <c r="H28" s="12"/>
      <c r="I28" s="12"/>
    </row>
    <row r="30" spans="1:9" x14ac:dyDescent="0.2">
      <c r="A30" s="17" t="s">
        <v>33</v>
      </c>
    </row>
    <row r="32" spans="1:9" x14ac:dyDescent="0.2">
      <c r="A32" t="s">
        <v>92</v>
      </c>
    </row>
    <row r="33" spans="1:1" x14ac:dyDescent="0.2">
      <c r="A33" t="s">
        <v>93</v>
      </c>
    </row>
    <row r="35" spans="1:1" x14ac:dyDescent="0.2">
      <c r="A35" t="s">
        <v>94</v>
      </c>
    </row>
    <row r="37" spans="1:1" x14ac:dyDescent="0.2">
      <c r="A37" t="s">
        <v>95</v>
      </c>
    </row>
  </sheetData>
  <conditionalFormatting sqref="C3:G9">
    <cfRule type="cellIs" dxfId="2" priority="3" operator="equal">
      <formula>0</formula>
    </cfRule>
  </conditionalFormatting>
  <conditionalFormatting sqref="C23:G28">
    <cfRule type="cellIs" dxfId="1" priority="1" operator="equal">
      <formula>0</formula>
    </cfRule>
  </conditionalFormatting>
  <conditionalFormatting sqref="D22:G22">
    <cfRule type="cellIs" dxfId="0" priority="2" operator="equal">
      <formula>0</formula>
    </cfRule>
  </conditionalFormatting>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Hojas de cálculo</vt:lpstr>
      </vt:variant>
      <vt:variant>
        <vt:i4>3</vt:i4>
      </vt:variant>
    </vt:vector>
  </HeadingPairs>
  <TitlesOfParts>
    <vt:vector size="3" baseType="lpstr">
      <vt:lpstr>2.2.Brecha Efectiva x UdM</vt:lpstr>
      <vt:lpstr>2.3.Brecha x Provincia</vt:lpstr>
      <vt:lpstr>2.4.Dimension Fisica e Indicad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2021-04-16T20:31:23Z</dcterms:created>
  <dcterms:modified xsi:type="dcterms:W3CDTF">2022-11-24T14:50:13Z</dcterms:modified>
</cp:coreProperties>
</file>