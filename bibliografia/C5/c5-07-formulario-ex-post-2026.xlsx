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612"/>
  <workbookPr defaultThemeVersion="124226"/>
  <mc:AlternateContent xmlns:mc="http://schemas.openxmlformats.org/markup-compatibility/2006">
    <mc:Choice Requires="x15">
      <x15ac:absPath xmlns:x15ac="http://schemas.microsoft.com/office/spreadsheetml/2010/11/ac" url="C:\Users\barrionuevoi\Desktop\"/>
    </mc:Choice>
  </mc:AlternateContent>
  <xr:revisionPtr revIDLastSave="0" documentId="8_{165C9C18-8610-9148-933F-4FDD0A438C50}" xr6:coauthVersionLast="47" xr6:coauthVersionMax="47" xr10:uidLastSave="{00000000-0000-0000-0000-000000000000}"/>
  <bookViews>
    <workbookView xWindow="0" yWindow="461" windowWidth="23996" windowHeight="14100" xr2:uid="{00000000-000D-0000-FFFF-FFFF00000000}"/>
  </bookViews>
  <sheets>
    <sheet name="Formulario" sheetId="1" r:id="rId1"/>
    <sheet name="Formulario redet" sheetId="4" state="hidden" r:id="rId2"/>
    <sheet name="Calendarios" sheetId="2" state="hidden" r:id="rId3"/>
    <sheet name="IPIM y USD" sheetId="3" state="hidden" r:id="rId4"/>
  </sheets>
  <externalReferences>
    <externalReference r:id="rId5"/>
  </externalReferenc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 i="3" l="1"/>
  <c r="F8" i="3"/>
  <c r="G8" i="3"/>
  <c r="H8" i="3"/>
  <c r="I8" i="3"/>
  <c r="J8" i="3"/>
  <c r="K8" i="3"/>
  <c r="L8" i="3"/>
  <c r="M8" i="3"/>
  <c r="N8" i="3"/>
  <c r="O8" i="3"/>
  <c r="P8" i="3"/>
  <c r="Q8" i="3"/>
  <c r="R8" i="3"/>
  <c r="S8" i="3"/>
  <c r="T8" i="3"/>
  <c r="U8" i="3"/>
  <c r="V8" i="3"/>
  <c r="W8" i="3"/>
  <c r="X8" i="3"/>
  <c r="Y8" i="3"/>
  <c r="Z8" i="3"/>
  <c r="AA8" i="3"/>
  <c r="AB8" i="3"/>
  <c r="AC8" i="3"/>
  <c r="AD8" i="3"/>
  <c r="AE8" i="3"/>
  <c r="AF8" i="3"/>
  <c r="AG8" i="3"/>
  <c r="AH8" i="3"/>
  <c r="AI8" i="3"/>
  <c r="AJ8" i="3"/>
  <c r="AK8" i="3"/>
  <c r="AL8" i="3"/>
  <c r="AM8" i="3"/>
  <c r="AN8" i="3"/>
  <c r="AO8" i="3"/>
  <c r="AP8" i="3"/>
  <c r="AQ8" i="3"/>
  <c r="AR8" i="3"/>
  <c r="AS8" i="3"/>
  <c r="AT8" i="3"/>
  <c r="AU8" i="3"/>
  <c r="AV8" i="3"/>
  <c r="AW8" i="3"/>
  <c r="AX8" i="3"/>
  <c r="AY8" i="3"/>
  <c r="AZ8" i="3"/>
  <c r="BA8" i="3"/>
  <c r="BB8" i="3"/>
  <c r="BC8" i="3"/>
  <c r="BD8" i="3"/>
  <c r="BE8" i="3"/>
  <c r="BF8" i="3"/>
  <c r="BG8" i="3"/>
  <c r="BH8" i="3"/>
  <c r="BI8" i="3"/>
  <c r="BJ8" i="3"/>
  <c r="BK8" i="3"/>
  <c r="BL8" i="3"/>
  <c r="BM8" i="3"/>
  <c r="BN8" i="3"/>
  <c r="BO8" i="3"/>
  <c r="BP8" i="3"/>
  <c r="BQ8" i="3"/>
  <c r="BR8" i="3"/>
  <c r="BS8" i="3"/>
  <c r="BT8" i="3"/>
  <c r="BU8" i="3"/>
  <c r="BV8" i="3"/>
  <c r="BW8" i="3"/>
  <c r="BX8" i="3"/>
  <c r="BY8" i="3"/>
  <c r="BZ8" i="3"/>
  <c r="CA8" i="3"/>
  <c r="CB8" i="3"/>
  <c r="CC8" i="3"/>
  <c r="CD8" i="3"/>
  <c r="CE8" i="3"/>
  <c r="CF8" i="3"/>
  <c r="CG8" i="3"/>
  <c r="CH8" i="3"/>
  <c r="CI8" i="3"/>
  <c r="CJ8" i="3"/>
  <c r="CK8" i="3"/>
  <c r="CL8" i="3"/>
  <c r="CM8" i="3"/>
  <c r="CN8" i="3"/>
  <c r="CO8" i="3"/>
  <c r="CP8" i="3"/>
  <c r="CQ8" i="3"/>
  <c r="CR8" i="3"/>
  <c r="CS8" i="3"/>
  <c r="CT8" i="3"/>
  <c r="CU8" i="3"/>
  <c r="CV8" i="3"/>
  <c r="CW8" i="3"/>
  <c r="CX8" i="3"/>
  <c r="CY8" i="3"/>
  <c r="CZ8" i="3"/>
  <c r="DA8" i="3"/>
  <c r="DB8" i="3"/>
  <c r="DC8" i="3"/>
  <c r="DD8" i="3"/>
  <c r="DE8" i="3"/>
  <c r="DF8" i="3"/>
  <c r="DG8" i="3"/>
  <c r="DH8" i="3"/>
  <c r="DI8" i="3"/>
  <c r="DJ8" i="3"/>
  <c r="DK8" i="3"/>
  <c r="DL8" i="3"/>
  <c r="DM8" i="3"/>
  <c r="DN8" i="3"/>
  <c r="DO8" i="3"/>
  <c r="DP8" i="3"/>
  <c r="DQ8" i="3"/>
  <c r="DR8" i="3"/>
  <c r="DS8" i="3"/>
  <c r="DT8" i="3"/>
  <c r="DU8" i="3"/>
  <c r="DV8" i="3"/>
  <c r="DW8" i="3"/>
  <c r="DX8" i="3"/>
  <c r="DY8" i="3"/>
  <c r="DZ8" i="3"/>
  <c r="EA8" i="3"/>
  <c r="EB8" i="3"/>
  <c r="EC8" i="3"/>
  <c r="ED8" i="3"/>
  <c r="EE8" i="3"/>
  <c r="EF8" i="3"/>
  <c r="EG8" i="3"/>
  <c r="EH8" i="3"/>
  <c r="EI8" i="3"/>
  <c r="EJ8" i="3"/>
  <c r="EK8" i="3"/>
  <c r="EL8" i="3"/>
  <c r="EM8" i="3"/>
  <c r="EN8" i="3"/>
  <c r="EO8" i="3"/>
  <c r="EP8" i="3"/>
  <c r="EQ8" i="3"/>
  <c r="ER8" i="3"/>
  <c r="ES8" i="3"/>
  <c r="ET8" i="3"/>
  <c r="EU8" i="3"/>
  <c r="EV8" i="3"/>
  <c r="EW8" i="3"/>
  <c r="EX8" i="3"/>
  <c r="EY8" i="3"/>
  <c r="EZ8" i="3"/>
  <c r="FA8" i="3"/>
  <c r="FB8" i="3"/>
  <c r="FC8" i="3"/>
  <c r="FD8" i="3"/>
  <c r="FE8" i="3"/>
  <c r="FF8" i="3"/>
  <c r="FG8" i="3"/>
  <c r="FH8" i="3"/>
  <c r="FI8" i="3"/>
  <c r="FJ8" i="3"/>
  <c r="FK8" i="3"/>
  <c r="FL8" i="3"/>
  <c r="FM8" i="3"/>
  <c r="FN8" i="3"/>
  <c r="FO8" i="3"/>
  <c r="FP8" i="3"/>
  <c r="FQ8" i="3"/>
  <c r="FR8" i="3"/>
  <c r="FS8" i="3"/>
  <c r="FT8" i="3"/>
  <c r="FU8" i="3"/>
  <c r="FV8" i="3"/>
  <c r="FW8" i="3"/>
  <c r="FX8" i="3"/>
  <c r="FY8" i="3"/>
  <c r="FZ8" i="3"/>
  <c r="GA8" i="3"/>
  <c r="GB8" i="3"/>
  <c r="GC8" i="3"/>
  <c r="GD8" i="3"/>
  <c r="GE8" i="3"/>
  <c r="GF8" i="3"/>
  <c r="GG8" i="3"/>
  <c r="GH8" i="3"/>
  <c r="GI8" i="3"/>
  <c r="GJ8" i="3"/>
  <c r="GK8" i="3"/>
  <c r="GL8" i="3"/>
  <c r="GM8" i="3"/>
  <c r="GN8" i="3"/>
  <c r="GO8" i="3"/>
  <c r="GP8" i="3"/>
  <c r="GQ8" i="3"/>
  <c r="GR8" i="3"/>
  <c r="GS8" i="3"/>
  <c r="GT8" i="3"/>
  <c r="GU8" i="3"/>
  <c r="GV8" i="3"/>
  <c r="GW8" i="3"/>
  <c r="GX8" i="3"/>
  <c r="GY8" i="3"/>
  <c r="GZ8" i="3"/>
  <c r="HA8" i="3"/>
  <c r="HB8" i="3"/>
  <c r="HC8" i="3"/>
  <c r="HD8" i="3"/>
  <c r="HE8" i="3"/>
  <c r="HF8" i="3"/>
  <c r="HG8" i="3"/>
  <c r="HH8" i="3"/>
  <c r="HI8" i="3"/>
  <c r="HJ8" i="3"/>
  <c r="HK8" i="3"/>
  <c r="HL8" i="3"/>
  <c r="HM8" i="3"/>
  <c r="HN8" i="3"/>
  <c r="HO8" i="3"/>
  <c r="HP8" i="3"/>
  <c r="HQ8" i="3"/>
  <c r="HR8" i="3"/>
  <c r="HS8" i="3"/>
  <c r="HT8" i="3"/>
  <c r="HU8" i="3"/>
  <c r="HV8" i="3"/>
  <c r="HW8" i="3"/>
  <c r="HX8" i="3"/>
  <c r="HY8" i="3"/>
  <c r="HZ8" i="3"/>
  <c r="IA8" i="3"/>
  <c r="IB8" i="3"/>
  <c r="IC8" i="3"/>
  <c r="ID8" i="3"/>
  <c r="IE8" i="3"/>
  <c r="IF8" i="3"/>
  <c r="IG8" i="3"/>
  <c r="IH8" i="3"/>
  <c r="II8" i="3"/>
  <c r="IJ8" i="3"/>
  <c r="IK8" i="3"/>
  <c r="IL8" i="3"/>
  <c r="IM8" i="3"/>
  <c r="IN8" i="3"/>
  <c r="IO8" i="3"/>
  <c r="IP8" i="3"/>
  <c r="IQ8" i="3"/>
  <c r="IR8" i="3"/>
  <c r="IS8" i="3"/>
  <c r="IT8" i="3"/>
  <c r="IU8" i="3"/>
  <c r="IV8" i="3"/>
  <c r="IW8" i="3"/>
  <c r="IX8" i="3"/>
  <c r="IY8" i="3"/>
  <c r="IZ8" i="3"/>
  <c r="JA8" i="3"/>
  <c r="JB8" i="3"/>
  <c r="JC8" i="3"/>
  <c r="JD8" i="3"/>
  <c r="JE8" i="3"/>
  <c r="JF8" i="3"/>
  <c r="JG8" i="3"/>
  <c r="JH8" i="3"/>
  <c r="JI8" i="3"/>
  <c r="JJ8" i="3"/>
  <c r="JK8" i="3"/>
  <c r="JL8" i="3"/>
  <c r="JM8" i="3"/>
  <c r="JN8" i="3"/>
  <c r="JO8" i="3"/>
  <c r="JP8" i="3"/>
  <c r="JQ8" i="3"/>
  <c r="JR8" i="3"/>
  <c r="JS8" i="3"/>
  <c r="JT8" i="3"/>
  <c r="JU8" i="3"/>
  <c r="JV8" i="3"/>
  <c r="JW8" i="3"/>
  <c r="JX8" i="3"/>
  <c r="JY8" i="3"/>
  <c r="JZ8" i="3"/>
  <c r="KA8" i="3"/>
  <c r="KB8" i="3"/>
  <c r="KC8" i="3"/>
  <c r="KD8" i="3"/>
  <c r="KE8" i="3"/>
  <c r="KF8" i="3"/>
  <c r="KG8" i="3"/>
  <c r="KH8" i="3"/>
  <c r="KI8" i="3"/>
  <c r="KJ8" i="3"/>
  <c r="KK8" i="3"/>
  <c r="KL8" i="3"/>
  <c r="KM8" i="3"/>
  <c r="KN8" i="3"/>
  <c r="KO8" i="3"/>
  <c r="KP8" i="3"/>
  <c r="KQ8" i="3"/>
  <c r="KR8" i="3"/>
  <c r="F589" i="1"/>
  <c r="H202" i="1"/>
  <c r="F202" i="1"/>
  <c r="H204" i="1"/>
  <c r="F204" i="1"/>
  <c r="F432" i="1"/>
  <c r="F433" i="1"/>
  <c r="F434" i="1"/>
  <c r="F435" i="1"/>
  <c r="F436" i="1"/>
  <c r="F437" i="1"/>
  <c r="F438" i="1"/>
  <c r="F439" i="1"/>
  <c r="F440" i="1"/>
  <c r="F441" i="1"/>
  <c r="F442" i="1"/>
  <c r="F443" i="1"/>
  <c r="F444" i="1"/>
  <c r="F445" i="1"/>
  <c r="F446" i="1"/>
  <c r="F447" i="1"/>
  <c r="F448" i="1"/>
  <c r="F449" i="1"/>
  <c r="F450" i="1"/>
  <c r="F451" i="1"/>
  <c r="F453" i="1"/>
  <c r="F454" i="1"/>
  <c r="F455" i="1"/>
  <c r="F456" i="1"/>
  <c r="F457" i="1"/>
  <c r="F391" i="1"/>
  <c r="F392" i="1"/>
  <c r="F393" i="1"/>
  <c r="F394" i="1"/>
  <c r="F395" i="1"/>
  <c r="F396" i="1"/>
  <c r="F397" i="1"/>
  <c r="F398" i="1"/>
  <c r="F399" i="1"/>
  <c r="F400" i="1"/>
  <c r="F401" i="1"/>
  <c r="F402" i="1"/>
  <c r="F403" i="1"/>
  <c r="F404" i="1"/>
  <c r="F405" i="1"/>
  <c r="F406" i="1"/>
  <c r="F407" i="1"/>
  <c r="F408" i="1"/>
  <c r="F409" i="1"/>
  <c r="F410" i="1"/>
  <c r="F413" i="1"/>
  <c r="F414" i="1"/>
  <c r="F415" i="1"/>
  <c r="F416" i="1"/>
  <c r="F417" i="1"/>
  <c r="F333" i="1"/>
  <c r="H333" i="1"/>
  <c r="F334" i="1"/>
  <c r="H334" i="1"/>
  <c r="F335" i="1"/>
  <c r="H335" i="1"/>
  <c r="F336" i="1"/>
  <c r="H336" i="1"/>
  <c r="F337" i="1"/>
  <c r="H337" i="1"/>
  <c r="F338" i="1"/>
  <c r="H338" i="1"/>
  <c r="F339" i="1"/>
  <c r="H339" i="1"/>
  <c r="F340" i="1"/>
  <c r="H340" i="1"/>
  <c r="F341" i="1"/>
  <c r="H341" i="1"/>
  <c r="F342" i="1"/>
  <c r="H342" i="1"/>
  <c r="F343" i="1"/>
  <c r="H343" i="1"/>
  <c r="F344" i="1"/>
  <c r="H344" i="1"/>
  <c r="F345" i="1"/>
  <c r="H345" i="1"/>
  <c r="F346" i="1"/>
  <c r="H346" i="1"/>
  <c r="F347" i="1"/>
  <c r="H347" i="1"/>
  <c r="F348" i="1"/>
  <c r="H348" i="1"/>
  <c r="F349" i="1"/>
  <c r="H349" i="1"/>
  <c r="F350" i="1"/>
  <c r="H350" i="1"/>
  <c r="F351" i="1"/>
  <c r="H351" i="1"/>
  <c r="F353" i="1"/>
  <c r="H353" i="1"/>
  <c r="F354" i="1"/>
  <c r="H354" i="1"/>
  <c r="F355" i="1"/>
  <c r="H355" i="1"/>
  <c r="F356" i="1"/>
  <c r="H356" i="1"/>
  <c r="F357" i="1"/>
  <c r="H357" i="1"/>
  <c r="K243" i="1"/>
  <c r="L243" i="1"/>
  <c r="M243" i="1"/>
  <c r="N243" i="1"/>
  <c r="O243" i="1"/>
  <c r="P243" i="1"/>
  <c r="Q243" i="1"/>
  <c r="R243" i="1"/>
  <c r="S243" i="1"/>
  <c r="T243" i="1"/>
  <c r="U243" i="1"/>
  <c r="V243" i="1"/>
  <c r="W243" i="1"/>
  <c r="X243" i="1"/>
  <c r="Y243" i="1"/>
  <c r="Z243" i="1"/>
  <c r="AA243" i="1"/>
  <c r="AB243" i="1"/>
  <c r="AC243" i="1"/>
  <c r="AD243" i="1"/>
  <c r="AE243" i="1"/>
  <c r="AF243" i="1"/>
  <c r="AG243" i="1"/>
  <c r="AH243" i="1"/>
  <c r="AI243" i="1"/>
  <c r="AJ243" i="1"/>
  <c r="AK243" i="1"/>
  <c r="AL243" i="1"/>
  <c r="AM243" i="1"/>
  <c r="AN243" i="1"/>
  <c r="AO243" i="1"/>
  <c r="AP243" i="1"/>
  <c r="AQ243" i="1"/>
  <c r="AR243" i="1"/>
  <c r="AS243" i="1"/>
  <c r="AT243" i="1"/>
  <c r="AU243" i="1"/>
  <c r="AV243" i="1"/>
  <c r="AW243" i="1"/>
  <c r="AX243" i="1"/>
  <c r="AY243" i="1"/>
  <c r="AZ243" i="1"/>
  <c r="BA243" i="1"/>
  <c r="BB243" i="1"/>
  <c r="BC243" i="1"/>
  <c r="BD243" i="1"/>
  <c r="BE243" i="1"/>
  <c r="BF243" i="1"/>
  <c r="BG243" i="1"/>
  <c r="BH243" i="1"/>
  <c r="BI243" i="1"/>
  <c r="BJ243" i="1"/>
  <c r="BK243" i="1"/>
  <c r="BL243" i="1"/>
  <c r="BM243" i="1"/>
  <c r="BN243" i="1"/>
  <c r="BO243" i="1"/>
  <c r="BP243" i="1"/>
  <c r="BQ243" i="1"/>
  <c r="BR243" i="1"/>
  <c r="BS243" i="1"/>
  <c r="BT243" i="1"/>
  <c r="BU243" i="1"/>
  <c r="BV243" i="1"/>
  <c r="BW243" i="1"/>
  <c r="BX243" i="1"/>
  <c r="BY243" i="1"/>
  <c r="BZ243" i="1"/>
  <c r="CA243" i="1"/>
  <c r="CB243" i="1"/>
  <c r="CC243" i="1"/>
  <c r="J243" i="1"/>
  <c r="F223" i="1"/>
  <c r="F224" i="1"/>
  <c r="F225" i="1"/>
  <c r="F226" i="1"/>
  <c r="F227" i="1"/>
  <c r="F228" i="1"/>
  <c r="F229" i="1"/>
  <c r="F230" i="1"/>
  <c r="F231" i="1"/>
  <c r="F232" i="1"/>
  <c r="F233" i="1"/>
  <c r="F234" i="1"/>
  <c r="F235" i="1"/>
  <c r="F236" i="1"/>
  <c r="F237" i="1"/>
  <c r="F238" i="1"/>
  <c r="F239" i="1"/>
  <c r="F240" i="1"/>
  <c r="F241" i="1"/>
  <c r="F222" i="1"/>
  <c r="F172" i="1"/>
  <c r="H172" i="1"/>
  <c r="F173" i="1"/>
  <c r="H173" i="1"/>
  <c r="F174" i="1"/>
  <c r="H174" i="1"/>
  <c r="F176" i="1"/>
  <c r="H176" i="1"/>
  <c r="F175" i="1"/>
  <c r="H175" i="1"/>
  <c r="B400" i="1"/>
  <c r="B432" i="1"/>
  <c r="B414" i="1"/>
  <c r="B227" i="1"/>
  <c r="B222" i="1"/>
  <c r="B236" i="1"/>
  <c r="B195" i="1"/>
  <c r="B449" i="1"/>
  <c r="B442" i="1"/>
  <c r="B441" i="1"/>
  <c r="B401" i="1"/>
  <c r="B395" i="1"/>
  <c r="B408" i="1"/>
  <c r="B234" i="1"/>
  <c r="B224" i="1"/>
  <c r="B230" i="1"/>
  <c r="B439" i="1"/>
  <c r="B437" i="1"/>
  <c r="B415" i="1"/>
  <c r="B197" i="1"/>
  <c r="B334" i="1"/>
  <c r="B341" i="1"/>
  <c r="B445" i="1"/>
  <c r="B435" i="1"/>
  <c r="B240" i="1"/>
  <c r="B196" i="1"/>
  <c r="B198" i="1"/>
  <c r="B225" i="1"/>
  <c r="B436" i="1"/>
  <c r="B238" i="1"/>
  <c r="B349" i="1"/>
  <c r="B406" i="1"/>
  <c r="B342" i="1"/>
  <c r="B235" i="1"/>
  <c r="B344" i="1"/>
  <c r="B443" i="1"/>
  <c r="B351" i="1"/>
  <c r="B450" i="1"/>
  <c r="B226" i="1"/>
  <c r="B202" i="1"/>
  <c r="B446" i="1"/>
  <c r="B340" i="1"/>
  <c r="B413" i="1"/>
  <c r="B405" i="1"/>
  <c r="B200" i="1"/>
  <c r="B402" i="1"/>
  <c r="B190" i="1"/>
  <c r="B239" i="1"/>
  <c r="B201" i="1"/>
  <c r="B456" i="1"/>
  <c r="B203" i="1"/>
  <c r="B191" i="1"/>
  <c r="B335" i="1"/>
  <c r="B455" i="1"/>
  <c r="B393" i="1"/>
  <c r="B444" i="1"/>
  <c r="B399" i="1"/>
  <c r="B343" i="1"/>
  <c r="B228" i="1"/>
  <c r="B350" i="1"/>
  <c r="B193" i="1"/>
  <c r="B407" i="1"/>
  <c r="B187" i="1"/>
  <c r="B338" i="1"/>
  <c r="B457" i="1"/>
  <c r="B403" i="1"/>
  <c r="B232" i="1"/>
  <c r="B339" i="1"/>
  <c r="B409" i="1"/>
  <c r="B194" i="1"/>
  <c r="B231" i="1"/>
  <c r="B348" i="1"/>
  <c r="B333" i="1"/>
  <c r="B394" i="1"/>
  <c r="B440" i="1"/>
  <c r="B417" i="1"/>
  <c r="B233" i="1"/>
  <c r="B188" i="1"/>
  <c r="B390" i="1"/>
  <c r="B206" i="1"/>
  <c r="B223" i="1"/>
  <c r="B447" i="1"/>
  <c r="B431" i="1"/>
  <c r="B391" i="1"/>
  <c r="B345" i="1"/>
  <c r="B192" i="1"/>
  <c r="B398" i="1"/>
  <c r="B434" i="1"/>
  <c r="B205" i="1"/>
  <c r="B189" i="1"/>
  <c r="B404" i="1"/>
  <c r="B204" i="1"/>
  <c r="B337" i="1"/>
  <c r="B347" i="1"/>
  <c r="B433" i="1"/>
  <c r="B438" i="1"/>
  <c r="B448" i="1"/>
  <c r="B397" i="1"/>
  <c r="B336" i="1"/>
  <c r="B453" i="1"/>
  <c r="B241" i="1"/>
  <c r="B332" i="1"/>
  <c r="B396" i="1"/>
  <c r="B416" i="1"/>
  <c r="B392" i="1"/>
  <c r="B199" i="1"/>
  <c r="B237" i="1"/>
  <c r="B454" i="1"/>
  <c r="B346" i="1"/>
  <c r="B229" i="1"/>
  <c r="H201" i="1"/>
  <c r="F201" i="1"/>
  <c r="H203" i="1"/>
  <c r="F203" i="1"/>
  <c r="F243" i="1"/>
  <c r="H205" i="1"/>
  <c r="F205" i="1"/>
  <c r="F390" i="1"/>
  <c r="F152" i="1"/>
  <c r="F150" i="1"/>
  <c r="J150" i="1"/>
  <c r="H200" i="1"/>
  <c r="F200" i="1"/>
  <c r="H198" i="1"/>
  <c r="F198" i="1"/>
  <c r="H196" i="1"/>
  <c r="F196" i="1"/>
  <c r="H194" i="1"/>
  <c r="F194" i="1"/>
  <c r="H192" i="1"/>
  <c r="F192" i="1"/>
  <c r="H190" i="1"/>
  <c r="F190" i="1"/>
  <c r="H188" i="1"/>
  <c r="F188" i="1"/>
  <c r="H206" i="1"/>
  <c r="F206" i="1"/>
  <c r="H199" i="1"/>
  <c r="F199" i="1"/>
  <c r="H197" i="1"/>
  <c r="F197" i="1"/>
  <c r="H195" i="1"/>
  <c r="F195" i="1"/>
  <c r="H193" i="1"/>
  <c r="F193" i="1"/>
  <c r="H191" i="1"/>
  <c r="F191" i="1"/>
  <c r="H189" i="1"/>
  <c r="F189" i="1"/>
  <c r="F419" i="1"/>
  <c r="K150" i="1"/>
  <c r="CC460" i="1"/>
  <c r="CB460" i="1"/>
  <c r="CA460" i="1"/>
  <c r="BZ460" i="1"/>
  <c r="BY460" i="1"/>
  <c r="BX460" i="1"/>
  <c r="BW460" i="1"/>
  <c r="BV460" i="1"/>
  <c r="BU460" i="1"/>
  <c r="BT460" i="1"/>
  <c r="BS460" i="1"/>
  <c r="BR460" i="1"/>
  <c r="BQ460" i="1"/>
  <c r="BP460" i="1"/>
  <c r="BO460" i="1"/>
  <c r="BN460" i="1"/>
  <c r="BM460" i="1"/>
  <c r="BL460" i="1"/>
  <c r="BK460" i="1"/>
  <c r="BJ460" i="1"/>
  <c r="BI460" i="1"/>
  <c r="BH460" i="1"/>
  <c r="BG460" i="1"/>
  <c r="BF460" i="1"/>
  <c r="BE460" i="1"/>
  <c r="BD460" i="1"/>
  <c r="BC460" i="1"/>
  <c r="BB460" i="1"/>
  <c r="BA460" i="1"/>
  <c r="AZ460" i="1"/>
  <c r="AY460" i="1"/>
  <c r="AX460" i="1"/>
  <c r="AW460" i="1"/>
  <c r="AV460" i="1"/>
  <c r="AU460" i="1"/>
  <c r="AT460" i="1"/>
  <c r="AS460" i="1"/>
  <c r="AR460" i="1"/>
  <c r="AQ460" i="1"/>
  <c r="AP460" i="1"/>
  <c r="AO460" i="1"/>
  <c r="AN460" i="1"/>
  <c r="AM460" i="1"/>
  <c r="AL460" i="1"/>
  <c r="AK460" i="1"/>
  <c r="AJ460" i="1"/>
  <c r="AI460" i="1"/>
  <c r="AH460" i="1"/>
  <c r="AG460" i="1"/>
  <c r="AF460" i="1"/>
  <c r="AE460" i="1"/>
  <c r="AD460" i="1"/>
  <c r="AC460" i="1"/>
  <c r="AB460" i="1"/>
  <c r="AA460" i="1"/>
  <c r="Z460" i="1"/>
  <c r="Y460" i="1"/>
  <c r="X460" i="1"/>
  <c r="W460" i="1"/>
  <c r="V460" i="1"/>
  <c r="U460" i="1"/>
  <c r="T460" i="1"/>
  <c r="S460" i="1"/>
  <c r="R460" i="1"/>
  <c r="Q460" i="1"/>
  <c r="P460" i="1"/>
  <c r="O460" i="1"/>
  <c r="N460" i="1"/>
  <c r="M460" i="1"/>
  <c r="L460" i="1"/>
  <c r="K460" i="1"/>
  <c r="J460" i="1"/>
  <c r="L419" i="1"/>
  <c r="K419" i="1"/>
  <c r="CC419" i="1"/>
  <c r="CB419" i="1"/>
  <c r="CA419" i="1"/>
  <c r="BZ419" i="1"/>
  <c r="BY419" i="1"/>
  <c r="BX419" i="1"/>
  <c r="BW419" i="1"/>
  <c r="BV419" i="1"/>
  <c r="BU419" i="1"/>
  <c r="BT419" i="1"/>
  <c r="BS419" i="1"/>
  <c r="BR419" i="1"/>
  <c r="BQ419" i="1"/>
  <c r="BP419" i="1"/>
  <c r="BO419" i="1"/>
  <c r="BN419" i="1"/>
  <c r="BM419" i="1"/>
  <c r="BL419" i="1"/>
  <c r="BK419" i="1"/>
  <c r="BJ419" i="1"/>
  <c r="BI419" i="1"/>
  <c r="BH419" i="1"/>
  <c r="BG419" i="1"/>
  <c r="BF419" i="1"/>
  <c r="BE419" i="1"/>
  <c r="BD419" i="1"/>
  <c r="BC419" i="1"/>
  <c r="BB419" i="1"/>
  <c r="BA419" i="1"/>
  <c r="AZ419" i="1"/>
  <c r="AY419" i="1"/>
  <c r="AX419" i="1"/>
  <c r="AW419" i="1"/>
  <c r="AV419" i="1"/>
  <c r="AU419" i="1"/>
  <c r="AT419" i="1"/>
  <c r="AS419" i="1"/>
  <c r="AR419" i="1"/>
  <c r="AQ419" i="1"/>
  <c r="AP419" i="1"/>
  <c r="AO419" i="1"/>
  <c r="AN419" i="1"/>
  <c r="AM419" i="1"/>
  <c r="AL419" i="1"/>
  <c r="AK419" i="1"/>
  <c r="AJ419" i="1"/>
  <c r="AI419" i="1"/>
  <c r="AH419" i="1"/>
  <c r="AG419" i="1"/>
  <c r="AF419" i="1"/>
  <c r="AE419" i="1"/>
  <c r="AD419" i="1"/>
  <c r="AC419" i="1"/>
  <c r="AB419" i="1"/>
  <c r="AA419" i="1"/>
  <c r="Z419" i="1"/>
  <c r="Y419" i="1"/>
  <c r="X419" i="1"/>
  <c r="W419" i="1"/>
  <c r="V419" i="1"/>
  <c r="U419" i="1"/>
  <c r="T419" i="1"/>
  <c r="S419" i="1"/>
  <c r="R419" i="1"/>
  <c r="Q419" i="1"/>
  <c r="P419" i="1"/>
  <c r="O419" i="1"/>
  <c r="N419" i="1"/>
  <c r="M419" i="1"/>
  <c r="J419" i="1"/>
  <c r="F431" i="1"/>
  <c r="F164" i="1"/>
  <c r="H164" i="1"/>
  <c r="F165" i="1"/>
  <c r="H165" i="1"/>
  <c r="F166" i="1"/>
  <c r="H166" i="1"/>
  <c r="F162" i="1"/>
  <c r="H162" i="1"/>
  <c r="F163" i="1"/>
  <c r="H163" i="1"/>
  <c r="F167" i="1"/>
  <c r="H167" i="1"/>
  <c r="F168" i="1"/>
  <c r="H168" i="1"/>
  <c r="F169" i="1"/>
  <c r="H169" i="1"/>
  <c r="F170" i="1"/>
  <c r="H170" i="1"/>
  <c r="F171" i="1"/>
  <c r="H171" i="1"/>
  <c r="F161" i="1"/>
  <c r="H161" i="1"/>
  <c r="F332" i="1"/>
  <c r="H332" i="1"/>
  <c r="K208" i="1"/>
  <c r="K259" i="1"/>
  <c r="J208" i="1"/>
  <c r="J259" i="1"/>
  <c r="H187" i="1"/>
  <c r="D179" i="1"/>
  <c r="F177" i="1"/>
  <c r="F160" i="1"/>
  <c r="F159" i="1"/>
  <c r="F158" i="1"/>
  <c r="H208" i="1"/>
  <c r="J421" i="1"/>
  <c r="K359" i="1"/>
  <c r="L359" i="1"/>
  <c r="M359" i="1"/>
  <c r="N359" i="1"/>
  <c r="O359" i="1"/>
  <c r="P359" i="1"/>
  <c r="Q359" i="1"/>
  <c r="R359" i="1"/>
  <c r="S359" i="1"/>
  <c r="T359" i="1"/>
  <c r="U359" i="1"/>
  <c r="V359" i="1"/>
  <c r="W359" i="1"/>
  <c r="X359" i="1"/>
  <c r="Y359" i="1"/>
  <c r="Z359" i="1"/>
  <c r="AA359" i="1"/>
  <c r="AB359" i="1"/>
  <c r="AC359" i="1"/>
  <c r="AD359" i="1"/>
  <c r="AE359" i="1"/>
  <c r="AF359" i="1"/>
  <c r="AG359" i="1"/>
  <c r="AH359" i="1"/>
  <c r="AI359" i="1"/>
  <c r="AJ359" i="1"/>
  <c r="AK359" i="1"/>
  <c r="AL359" i="1"/>
  <c r="AM359" i="1"/>
  <c r="AN359" i="1"/>
  <c r="AO359" i="1"/>
  <c r="AP359" i="1"/>
  <c r="AQ359" i="1"/>
  <c r="AR359" i="1"/>
  <c r="AS359" i="1"/>
  <c r="AT359" i="1"/>
  <c r="AU359" i="1"/>
  <c r="AV359" i="1"/>
  <c r="AW359" i="1"/>
  <c r="AX359" i="1"/>
  <c r="AY359" i="1"/>
  <c r="AZ359" i="1"/>
  <c r="BA359" i="1"/>
  <c r="BB359" i="1"/>
  <c r="BC359" i="1"/>
  <c r="BD359" i="1"/>
  <c r="BE359" i="1"/>
  <c r="BF359" i="1"/>
  <c r="BG359" i="1"/>
  <c r="BH359" i="1"/>
  <c r="BI359" i="1"/>
  <c r="BJ359" i="1"/>
  <c r="BK359" i="1"/>
  <c r="BL359" i="1"/>
  <c r="BM359" i="1"/>
  <c r="BN359" i="1"/>
  <c r="BO359" i="1"/>
  <c r="BP359" i="1"/>
  <c r="BQ359" i="1"/>
  <c r="BR359" i="1"/>
  <c r="BS359" i="1"/>
  <c r="BT359" i="1"/>
  <c r="BU359" i="1"/>
  <c r="BV359" i="1"/>
  <c r="BW359" i="1"/>
  <c r="BX359" i="1"/>
  <c r="BY359" i="1"/>
  <c r="BZ359" i="1"/>
  <c r="CA359" i="1"/>
  <c r="CB359" i="1"/>
  <c r="CC359" i="1"/>
  <c r="J359" i="1"/>
  <c r="H159" i="1"/>
  <c r="Y208" i="1"/>
  <c r="Y259" i="1"/>
  <c r="F187" i="1"/>
  <c r="M208" i="1"/>
  <c r="M259" i="1"/>
  <c r="L208" i="1"/>
  <c r="L259" i="1"/>
  <c r="N208" i="1"/>
  <c r="N259" i="1"/>
  <c r="O208" i="1"/>
  <c r="O259" i="1"/>
  <c r="P208" i="1"/>
  <c r="P259" i="1"/>
  <c r="Q208" i="1"/>
  <c r="Q259" i="1"/>
  <c r="R208" i="1"/>
  <c r="R259" i="1"/>
  <c r="S208" i="1"/>
  <c r="S259" i="1"/>
  <c r="T208" i="1"/>
  <c r="T259" i="1"/>
  <c r="U208" i="1"/>
  <c r="U259" i="1"/>
  <c r="V208" i="1"/>
  <c r="V259" i="1"/>
  <c r="W208" i="1"/>
  <c r="W259" i="1"/>
  <c r="X208" i="1"/>
  <c r="X259" i="1"/>
  <c r="Z208" i="1"/>
  <c r="Z259" i="1"/>
  <c r="AA208" i="1"/>
  <c r="AA259" i="1"/>
  <c r="AB208" i="1"/>
  <c r="AB259" i="1"/>
  <c r="AC208" i="1"/>
  <c r="AC259" i="1"/>
  <c r="AD208" i="1"/>
  <c r="AD259" i="1"/>
  <c r="AE208" i="1"/>
  <c r="AE259" i="1"/>
  <c r="AF208" i="1"/>
  <c r="AF259" i="1"/>
  <c r="AG208" i="1"/>
  <c r="AG259" i="1"/>
  <c r="AH208" i="1"/>
  <c r="AH259" i="1"/>
  <c r="AI208" i="1"/>
  <c r="AI259" i="1"/>
  <c r="AJ208" i="1"/>
  <c r="AJ259" i="1"/>
  <c r="AK208" i="1"/>
  <c r="AK259" i="1"/>
  <c r="AL208" i="1"/>
  <c r="AL259" i="1"/>
  <c r="AM208" i="1"/>
  <c r="AM259" i="1"/>
  <c r="AN208" i="1"/>
  <c r="AN259" i="1"/>
  <c r="AO208" i="1"/>
  <c r="AO259" i="1"/>
  <c r="AP208" i="1"/>
  <c r="AP259" i="1"/>
  <c r="AQ208" i="1"/>
  <c r="AQ259" i="1"/>
  <c r="AR208" i="1"/>
  <c r="AR259" i="1"/>
  <c r="AS208" i="1"/>
  <c r="AS259" i="1"/>
  <c r="AT208" i="1"/>
  <c r="AT259" i="1"/>
  <c r="AU208" i="1"/>
  <c r="AU259" i="1"/>
  <c r="AV208" i="1"/>
  <c r="AV259" i="1"/>
  <c r="AW208" i="1"/>
  <c r="AW259" i="1"/>
  <c r="AX208" i="1"/>
  <c r="AX259" i="1"/>
  <c r="AY208" i="1"/>
  <c r="AY259" i="1"/>
  <c r="AZ208" i="1"/>
  <c r="AZ259" i="1"/>
  <c r="BA208" i="1"/>
  <c r="BA259" i="1"/>
  <c r="BB208" i="1"/>
  <c r="BB259" i="1"/>
  <c r="BC208" i="1"/>
  <c r="BC259" i="1"/>
  <c r="BD208" i="1"/>
  <c r="BD259" i="1"/>
  <c r="BE208" i="1"/>
  <c r="BE259" i="1"/>
  <c r="BF208" i="1"/>
  <c r="BF259" i="1"/>
  <c r="BG208" i="1"/>
  <c r="BG259" i="1"/>
  <c r="BH208" i="1"/>
  <c r="BH259" i="1"/>
  <c r="BI208" i="1"/>
  <c r="BI259" i="1"/>
  <c r="BJ208" i="1"/>
  <c r="BJ259" i="1"/>
  <c r="BK208" i="1"/>
  <c r="BK259" i="1"/>
  <c r="BL208" i="1"/>
  <c r="BL259" i="1"/>
  <c r="BM208" i="1"/>
  <c r="BM259" i="1"/>
  <c r="BN208" i="1"/>
  <c r="BN259" i="1"/>
  <c r="BO208" i="1"/>
  <c r="BO259" i="1"/>
  <c r="BP208" i="1"/>
  <c r="BP259" i="1"/>
  <c r="BQ208" i="1"/>
  <c r="BQ259" i="1"/>
  <c r="BR208" i="1"/>
  <c r="BR259" i="1"/>
  <c r="BS208" i="1"/>
  <c r="BS259" i="1"/>
  <c r="BT208" i="1"/>
  <c r="BT259" i="1"/>
  <c r="BU208" i="1"/>
  <c r="BU259" i="1"/>
  <c r="BV208" i="1"/>
  <c r="BV259" i="1"/>
  <c r="BW208" i="1"/>
  <c r="BW259" i="1"/>
  <c r="BX208" i="1"/>
  <c r="BX259" i="1"/>
  <c r="BY208" i="1"/>
  <c r="BY259" i="1"/>
  <c r="BZ208" i="1"/>
  <c r="BZ259" i="1"/>
  <c r="CA208" i="1"/>
  <c r="CA259" i="1"/>
  <c r="CB208" i="1"/>
  <c r="CB259" i="1"/>
  <c r="CC208" i="1"/>
  <c r="CC259" i="1"/>
  <c r="J210" i="1"/>
  <c r="H359" i="1"/>
  <c r="H259" i="1"/>
  <c r="F460" i="1"/>
  <c r="K421" i="1"/>
  <c r="L421" i="1"/>
  <c r="M421" i="1"/>
  <c r="N421" i="1"/>
  <c r="O421" i="1"/>
  <c r="P421" i="1"/>
  <c r="Q421" i="1"/>
  <c r="R421" i="1"/>
  <c r="S421" i="1"/>
  <c r="T421" i="1"/>
  <c r="U421" i="1"/>
  <c r="V421" i="1"/>
  <c r="W421" i="1"/>
  <c r="X421" i="1"/>
  <c r="Y421" i="1"/>
  <c r="Z421" i="1"/>
  <c r="AA421" i="1"/>
  <c r="AB421" i="1"/>
  <c r="AC421" i="1"/>
  <c r="AD421" i="1"/>
  <c r="AE421" i="1"/>
  <c r="AF421" i="1"/>
  <c r="AG421" i="1"/>
  <c r="AH421" i="1"/>
  <c r="AI421" i="1"/>
  <c r="AJ421" i="1"/>
  <c r="AK421" i="1"/>
  <c r="AL421" i="1"/>
  <c r="AM421" i="1"/>
  <c r="AN421" i="1"/>
  <c r="AO421" i="1"/>
  <c r="AP421" i="1"/>
  <c r="AQ421" i="1"/>
  <c r="AR421" i="1"/>
  <c r="AS421" i="1"/>
  <c r="AT421" i="1"/>
  <c r="AU421" i="1"/>
  <c r="AV421" i="1"/>
  <c r="AW421" i="1"/>
  <c r="AX421" i="1"/>
  <c r="AY421" i="1"/>
  <c r="AZ421" i="1"/>
  <c r="BA421" i="1"/>
  <c r="BB421" i="1"/>
  <c r="BC421" i="1"/>
  <c r="BD421" i="1"/>
  <c r="BE421" i="1"/>
  <c r="BF421" i="1"/>
  <c r="BG421" i="1"/>
  <c r="BH421" i="1"/>
  <c r="BI421" i="1"/>
  <c r="BJ421" i="1"/>
  <c r="BK421" i="1"/>
  <c r="BL421" i="1"/>
  <c r="BM421" i="1"/>
  <c r="BN421" i="1"/>
  <c r="BO421" i="1"/>
  <c r="BP421" i="1"/>
  <c r="BQ421" i="1"/>
  <c r="BR421" i="1"/>
  <c r="BS421" i="1"/>
  <c r="BT421" i="1"/>
  <c r="BU421" i="1"/>
  <c r="BV421" i="1"/>
  <c r="BW421" i="1"/>
  <c r="BX421" i="1"/>
  <c r="BY421" i="1"/>
  <c r="BZ421" i="1"/>
  <c r="CA421" i="1"/>
  <c r="CB421" i="1"/>
  <c r="CC421" i="1"/>
  <c r="D359" i="1"/>
  <c r="J361" i="1"/>
  <c r="B13" i="2"/>
  <c r="C12" i="2"/>
  <c r="D12" i="2"/>
  <c r="E12" i="2"/>
  <c r="F12" i="2"/>
  <c r="G12" i="2"/>
  <c r="H12" i="2"/>
  <c r="I12" i="2"/>
  <c r="J12" i="2"/>
  <c r="K12" i="2"/>
  <c r="L12" i="2"/>
  <c r="M12" i="2"/>
  <c r="N12" i="2"/>
  <c r="O12" i="2"/>
  <c r="P12" i="2"/>
  <c r="Q12" i="2"/>
  <c r="R12" i="2"/>
  <c r="S12" i="2"/>
  <c r="T12" i="2"/>
  <c r="U12" i="2"/>
  <c r="V12" i="2"/>
  <c r="W12" i="2"/>
  <c r="X12" i="2"/>
  <c r="Y12" i="2"/>
  <c r="Z12" i="2"/>
  <c r="AA12" i="2"/>
  <c r="AB12" i="2"/>
  <c r="AC12" i="2"/>
  <c r="AD12" i="2"/>
  <c r="AE12" i="2"/>
  <c r="AF12" i="2"/>
  <c r="AG12" i="2"/>
  <c r="AH12" i="2"/>
  <c r="AI12" i="2"/>
  <c r="AJ12" i="2"/>
  <c r="AK12" i="2"/>
  <c r="AL12" i="2"/>
  <c r="AM12" i="2"/>
  <c r="AN12" i="2"/>
  <c r="AO12" i="2"/>
  <c r="AP12" i="2"/>
  <c r="AQ12" i="2"/>
  <c r="AR12" i="2"/>
  <c r="AS12" i="2"/>
  <c r="AT12" i="2"/>
  <c r="AU12" i="2"/>
  <c r="AV12" i="2"/>
  <c r="AW12" i="2"/>
  <c r="AX12" i="2"/>
  <c r="AY12" i="2"/>
  <c r="AZ12" i="2"/>
  <c r="BA12" i="2"/>
  <c r="BB12" i="2"/>
  <c r="BC12" i="2"/>
  <c r="BD12" i="2"/>
  <c r="BE12" i="2"/>
  <c r="BF12" i="2"/>
  <c r="BG12" i="2"/>
  <c r="BH12" i="2"/>
  <c r="BI12" i="2"/>
  <c r="BJ12" i="2"/>
  <c r="BK12" i="2"/>
  <c r="BL12" i="2"/>
  <c r="BM12" i="2"/>
  <c r="BN12" i="2"/>
  <c r="BO12" i="2"/>
  <c r="BP12" i="2"/>
  <c r="BQ12" i="2"/>
  <c r="BR12" i="2"/>
  <c r="BS12" i="2"/>
  <c r="BT12" i="2"/>
  <c r="BU12" i="2"/>
  <c r="BV12" i="2"/>
  <c r="BW12" i="2"/>
  <c r="BX12" i="2"/>
  <c r="BY12" i="2"/>
  <c r="BZ12" i="2"/>
  <c r="CA12" i="2"/>
  <c r="CB12" i="2"/>
  <c r="CC12" i="2"/>
  <c r="CD12" i="2"/>
  <c r="CE12" i="2"/>
  <c r="CF12" i="2"/>
  <c r="CG12" i="2"/>
  <c r="CH12" i="2"/>
  <c r="CI12" i="2"/>
  <c r="CJ12" i="2"/>
  <c r="CK12" i="2"/>
  <c r="CL12" i="2"/>
  <c r="CM12" i="2"/>
  <c r="CN12" i="2"/>
  <c r="CO12" i="2"/>
  <c r="CP12" i="2"/>
  <c r="CQ12" i="2"/>
  <c r="CR12" i="2"/>
  <c r="CS12" i="2"/>
  <c r="CT12" i="2"/>
  <c r="CU12" i="2"/>
  <c r="CV12" i="2"/>
  <c r="CW12" i="2"/>
  <c r="CX12" i="2"/>
  <c r="CY12" i="2"/>
  <c r="CZ12" i="2"/>
  <c r="DA12" i="2"/>
  <c r="DB12" i="2"/>
  <c r="DC12" i="2"/>
  <c r="DD12" i="2"/>
  <c r="DE12" i="2"/>
  <c r="DF12" i="2"/>
  <c r="DG12" i="2"/>
  <c r="DH12" i="2"/>
  <c r="DI12" i="2"/>
  <c r="DJ12" i="2"/>
  <c r="DK12" i="2"/>
  <c r="DL12" i="2"/>
  <c r="DM12" i="2"/>
  <c r="DN12" i="2"/>
  <c r="DO12" i="2"/>
  <c r="DP12" i="2"/>
  <c r="DQ12" i="2"/>
  <c r="DR12" i="2"/>
  <c r="DS12" i="2"/>
  <c r="DT12" i="2"/>
  <c r="DU12" i="2"/>
  <c r="DV12" i="2"/>
  <c r="DW12" i="2"/>
  <c r="DX12" i="2"/>
  <c r="DY12" i="2"/>
  <c r="DZ12" i="2"/>
  <c r="EA12" i="2"/>
  <c r="EB12" i="2"/>
  <c r="EC12" i="2"/>
  <c r="ED12" i="2"/>
  <c r="EE12" i="2"/>
  <c r="EF12" i="2"/>
  <c r="EG12" i="2"/>
  <c r="EH12" i="2"/>
  <c r="EI12" i="2"/>
  <c r="EJ12" i="2"/>
  <c r="EK12" i="2"/>
  <c r="EL12" i="2"/>
  <c r="EM12" i="2"/>
  <c r="EN12" i="2"/>
  <c r="EO12" i="2"/>
  <c r="EP12" i="2"/>
  <c r="EQ12" i="2"/>
  <c r="ER12" i="2"/>
  <c r="ES12" i="2"/>
  <c r="ET12" i="2"/>
  <c r="EU12" i="2"/>
  <c r="EV12" i="2"/>
  <c r="EW12" i="2"/>
  <c r="EX12" i="2"/>
  <c r="EY12" i="2"/>
  <c r="EZ12" i="2"/>
  <c r="FA12" i="2"/>
  <c r="FB12" i="2"/>
  <c r="FC12" i="2"/>
  <c r="FD12" i="2"/>
  <c r="FE12" i="2"/>
  <c r="FF12" i="2"/>
  <c r="FG12" i="2"/>
  <c r="FH12" i="2"/>
  <c r="FI12" i="2"/>
  <c r="FJ12" i="2"/>
  <c r="FK12" i="2"/>
  <c r="FL12" i="2"/>
  <c r="FM12" i="2"/>
  <c r="FN12" i="2"/>
  <c r="FO12" i="2"/>
  <c r="FP12" i="2"/>
  <c r="FQ12" i="2"/>
  <c r="FR12" i="2"/>
  <c r="FS12" i="2"/>
  <c r="FT12" i="2"/>
  <c r="FU12" i="2"/>
  <c r="FV12" i="2"/>
  <c r="FW12" i="2"/>
  <c r="FX12" i="2"/>
  <c r="FY12" i="2"/>
  <c r="FZ12" i="2"/>
  <c r="GA12" i="2"/>
  <c r="GB12" i="2"/>
  <c r="GC12" i="2"/>
  <c r="GD12" i="2"/>
  <c r="GE12" i="2"/>
  <c r="GF12" i="2"/>
  <c r="GG12" i="2"/>
  <c r="GH12" i="2"/>
  <c r="GI12" i="2"/>
  <c r="GJ12" i="2"/>
  <c r="GK12" i="2"/>
  <c r="GL12" i="2"/>
  <c r="GM12" i="2"/>
  <c r="GN12" i="2"/>
  <c r="GO12" i="2"/>
  <c r="GP12" i="2"/>
  <c r="GQ12" i="2"/>
  <c r="GR12" i="2"/>
  <c r="GS12" i="2"/>
  <c r="GT12" i="2"/>
  <c r="GU12" i="2"/>
  <c r="GV12" i="2"/>
  <c r="GW12" i="2"/>
  <c r="GX12" i="2"/>
  <c r="GY12" i="2"/>
  <c r="GZ12" i="2"/>
  <c r="HA12" i="2"/>
  <c r="HB12" i="2"/>
  <c r="HC12" i="2"/>
  <c r="HD12" i="2"/>
  <c r="HE12" i="2"/>
  <c r="HF12" i="2"/>
  <c r="HG12" i="2"/>
  <c r="HH12" i="2"/>
  <c r="HI12" i="2"/>
  <c r="HJ12" i="2"/>
  <c r="HK12" i="2"/>
  <c r="HL12" i="2"/>
  <c r="HM12" i="2"/>
  <c r="HN12" i="2"/>
  <c r="HO12" i="2"/>
  <c r="HP12" i="2"/>
  <c r="HQ12" i="2"/>
  <c r="HR12" i="2"/>
  <c r="HS12" i="2"/>
  <c r="HT12" i="2"/>
  <c r="HU12" i="2"/>
  <c r="HV12" i="2"/>
  <c r="HW12" i="2"/>
  <c r="HX12" i="2"/>
  <c r="HY12" i="2"/>
  <c r="HZ12" i="2"/>
  <c r="IA12" i="2"/>
  <c r="IB12" i="2"/>
  <c r="IC12" i="2"/>
  <c r="ID12" i="2"/>
  <c r="IE12" i="2"/>
  <c r="IF12" i="2"/>
  <c r="IG12" i="2"/>
  <c r="IH12" i="2"/>
  <c r="II12" i="2"/>
  <c r="IJ12" i="2"/>
  <c r="IK12" i="2"/>
  <c r="IL12" i="2"/>
  <c r="IM12" i="2"/>
  <c r="IN12" i="2"/>
  <c r="IO12" i="2"/>
  <c r="IP12" i="2"/>
  <c r="IQ12" i="2"/>
  <c r="IR12" i="2"/>
  <c r="IS12" i="2"/>
  <c r="IT12" i="2"/>
  <c r="IU12" i="2"/>
  <c r="IV12" i="2"/>
  <c r="IW12" i="2"/>
  <c r="IX12" i="2"/>
  <c r="IY12" i="2"/>
  <c r="IZ12" i="2"/>
  <c r="JA12" i="2"/>
  <c r="JB12" i="2"/>
  <c r="JC12" i="2"/>
  <c r="JD12" i="2"/>
  <c r="JE12" i="2"/>
  <c r="JF12" i="2"/>
  <c r="JG12" i="2"/>
  <c r="JH12" i="2"/>
  <c r="JI12" i="2"/>
  <c r="JJ12" i="2"/>
  <c r="JK12" i="2"/>
  <c r="JL12" i="2"/>
  <c r="JM12" i="2"/>
  <c r="JN12" i="2"/>
  <c r="JO12" i="2"/>
  <c r="JP12" i="2"/>
  <c r="JQ12" i="2"/>
  <c r="JR12" i="2"/>
  <c r="JS12" i="2"/>
  <c r="JT12" i="2"/>
  <c r="JU12" i="2"/>
  <c r="JV12" i="2"/>
  <c r="JW12" i="2"/>
  <c r="JX12" i="2"/>
  <c r="JY12" i="2"/>
  <c r="JZ12" i="2"/>
  <c r="KA12" i="2"/>
  <c r="KB12" i="2"/>
  <c r="KC12" i="2"/>
  <c r="KD12" i="2"/>
  <c r="KE12" i="2"/>
  <c r="KF12" i="2"/>
  <c r="KG12" i="2"/>
  <c r="KH12" i="2"/>
  <c r="KI12" i="2"/>
  <c r="KJ12" i="2"/>
  <c r="KK12" i="2"/>
  <c r="KL12" i="2"/>
  <c r="KM12" i="2"/>
  <c r="KN12" i="2"/>
  <c r="KO12" i="2"/>
  <c r="KP12" i="2"/>
  <c r="KQ12" i="2"/>
  <c r="KR12" i="2"/>
  <c r="KS12" i="2"/>
  <c r="KT12" i="2"/>
  <c r="KU12" i="2"/>
  <c r="KV12" i="2"/>
  <c r="KW12" i="2"/>
  <c r="KX12" i="2"/>
  <c r="KY12" i="2"/>
  <c r="KZ12" i="2"/>
  <c r="LA12" i="2"/>
  <c r="LB12" i="2"/>
  <c r="LC12" i="2"/>
  <c r="LD12" i="2"/>
  <c r="LE12" i="2"/>
  <c r="LF12" i="2"/>
  <c r="LG12" i="2"/>
  <c r="LH12" i="2"/>
  <c r="LI12" i="2"/>
  <c r="LJ12" i="2"/>
  <c r="LK12" i="2"/>
  <c r="LL12" i="2"/>
  <c r="LM12" i="2"/>
  <c r="LN12" i="2"/>
  <c r="LO12" i="2"/>
  <c r="LP12" i="2"/>
  <c r="LQ12" i="2"/>
  <c r="LR12" i="2"/>
  <c r="LS12" i="2"/>
  <c r="LT12" i="2"/>
  <c r="LU12" i="2"/>
  <c r="LV12" i="2"/>
  <c r="LW12" i="2"/>
  <c r="LX12" i="2"/>
  <c r="LY12" i="2"/>
  <c r="LZ12" i="2"/>
  <c r="MA12" i="2"/>
  <c r="MB12" i="2"/>
  <c r="MC12" i="2"/>
  <c r="MD12" i="2"/>
  <c r="ME12" i="2"/>
  <c r="MF12" i="2"/>
  <c r="MG12" i="2"/>
  <c r="MH12" i="2"/>
  <c r="MI12" i="2"/>
  <c r="MJ12" i="2"/>
  <c r="MK12" i="2"/>
  <c r="ML12" i="2"/>
  <c r="MM12" i="2"/>
  <c r="MN12" i="2"/>
  <c r="MO12" i="2"/>
  <c r="MP12" i="2"/>
  <c r="MQ12" i="2"/>
  <c r="MR12" i="2"/>
  <c r="MS12" i="2"/>
  <c r="MT12" i="2"/>
  <c r="MU12" i="2"/>
  <c r="MV12" i="2"/>
  <c r="MW12" i="2"/>
  <c r="MX12" i="2"/>
  <c r="MY12" i="2"/>
  <c r="MZ12" i="2"/>
  <c r="NA12" i="2"/>
  <c r="NB12" i="2"/>
  <c r="NC12" i="2"/>
  <c r="ND12" i="2"/>
  <c r="NE12" i="2"/>
  <c r="NF12" i="2"/>
  <c r="NG12" i="2"/>
  <c r="NH12" i="2"/>
  <c r="NI12" i="2"/>
  <c r="NJ12" i="2"/>
  <c r="NK12" i="2"/>
  <c r="NL12" i="2"/>
  <c r="NM12" i="2"/>
  <c r="NN12" i="2"/>
  <c r="NO12" i="2"/>
  <c r="NP12" i="2"/>
  <c r="NQ12" i="2"/>
  <c r="NR12" i="2"/>
  <c r="NS12" i="2"/>
  <c r="NT12" i="2"/>
  <c r="NU12" i="2"/>
  <c r="NV12" i="2"/>
  <c r="NW12" i="2"/>
  <c r="NX12" i="2"/>
  <c r="NY12" i="2"/>
  <c r="NZ12" i="2"/>
  <c r="OA12" i="2"/>
  <c r="OB12" i="2"/>
  <c r="OC12" i="2"/>
  <c r="OD12" i="2"/>
  <c r="OE12" i="2"/>
  <c r="OF12" i="2"/>
  <c r="OG12" i="2"/>
  <c r="OH12" i="2"/>
  <c r="OI12" i="2"/>
  <c r="OJ12" i="2"/>
  <c r="OK12" i="2"/>
  <c r="OL12" i="2"/>
  <c r="OM12" i="2"/>
  <c r="ON12" i="2"/>
  <c r="OO12" i="2"/>
  <c r="OP12" i="2"/>
  <c r="OQ12" i="2"/>
  <c r="OR12" i="2"/>
  <c r="OS12" i="2"/>
  <c r="OT12" i="2"/>
  <c r="OU12" i="2"/>
  <c r="OV12" i="2"/>
  <c r="OW12" i="2"/>
  <c r="OX12" i="2"/>
  <c r="OY12" i="2"/>
  <c r="OZ12" i="2"/>
  <c r="PA12" i="2"/>
  <c r="PB12" i="2"/>
  <c r="PC12" i="2"/>
  <c r="PD12" i="2"/>
  <c r="PE12" i="2"/>
  <c r="PF12" i="2"/>
  <c r="PG12" i="2"/>
  <c r="PH12" i="2"/>
  <c r="PI12" i="2"/>
  <c r="PJ12" i="2"/>
  <c r="PK12" i="2"/>
  <c r="PL12" i="2"/>
  <c r="PM12" i="2"/>
  <c r="PN12" i="2"/>
  <c r="PO12" i="2"/>
  <c r="PP12" i="2"/>
  <c r="PQ12" i="2"/>
  <c r="PR12" i="2"/>
  <c r="PS12" i="2"/>
  <c r="PT12" i="2"/>
  <c r="PU12" i="2"/>
  <c r="PV12" i="2"/>
  <c r="PW12" i="2"/>
  <c r="PX12" i="2"/>
  <c r="PY12" i="2"/>
  <c r="PZ12" i="2"/>
  <c r="QA12" i="2"/>
  <c r="QB12" i="2"/>
  <c r="QC12" i="2"/>
  <c r="QD12" i="2"/>
  <c r="QE12" i="2"/>
  <c r="QF12" i="2"/>
  <c r="QG12" i="2"/>
  <c r="QH12" i="2"/>
  <c r="QI12" i="2"/>
  <c r="QJ12" i="2"/>
  <c r="QK12" i="2"/>
  <c r="QL12" i="2"/>
  <c r="QM12" i="2"/>
  <c r="QN12" i="2"/>
  <c r="QO12" i="2"/>
  <c r="QP12" i="2"/>
  <c r="QQ12" i="2"/>
  <c r="QR12" i="2"/>
  <c r="QS12" i="2"/>
  <c r="QT12" i="2"/>
  <c r="QU12" i="2"/>
  <c r="QV12" i="2"/>
  <c r="QW12" i="2"/>
  <c r="QX12" i="2"/>
  <c r="QY12" i="2"/>
  <c r="QZ12" i="2"/>
  <c r="RA12" i="2"/>
  <c r="RB12" i="2"/>
  <c r="RC12" i="2"/>
  <c r="RD12" i="2"/>
  <c r="RE12" i="2"/>
  <c r="RF12" i="2"/>
  <c r="RG12" i="2"/>
  <c r="RH12" i="2"/>
  <c r="RI12" i="2"/>
  <c r="RJ12" i="2"/>
  <c r="RK12" i="2"/>
  <c r="RL12" i="2"/>
  <c r="RM12" i="2"/>
  <c r="RN12" i="2"/>
  <c r="RO12" i="2"/>
  <c r="RP12" i="2"/>
  <c r="RQ12" i="2"/>
  <c r="RR12" i="2"/>
  <c r="RS12" i="2"/>
  <c r="RT12" i="2"/>
  <c r="RU12" i="2"/>
  <c r="RV12" i="2"/>
  <c r="RW12" i="2"/>
  <c r="RX12" i="2"/>
  <c r="RY12" i="2"/>
  <c r="RZ12" i="2"/>
  <c r="SA12" i="2"/>
  <c r="SB12" i="2"/>
  <c r="SC12" i="2"/>
  <c r="SD12" i="2"/>
  <c r="SE12" i="2"/>
  <c r="SF12" i="2"/>
  <c r="SG12" i="2"/>
  <c r="SH12" i="2"/>
  <c r="SI12" i="2"/>
  <c r="SJ12" i="2"/>
  <c r="SK12" i="2"/>
  <c r="SL12" i="2"/>
  <c r="SM12" i="2"/>
  <c r="SN12" i="2"/>
  <c r="SO12" i="2"/>
  <c r="SP12" i="2"/>
  <c r="SQ12" i="2"/>
  <c r="SR12" i="2"/>
  <c r="SS12" i="2"/>
  <c r="ST12" i="2"/>
  <c r="SU12" i="2"/>
  <c r="SV12" i="2"/>
  <c r="SW12" i="2"/>
  <c r="SX12" i="2"/>
  <c r="SY12" i="2"/>
  <c r="SZ12" i="2"/>
  <c r="TA12" i="2"/>
  <c r="TB12" i="2"/>
  <c r="TC12" i="2"/>
  <c r="TD12" i="2"/>
  <c r="TE12" i="2"/>
  <c r="TF12" i="2"/>
  <c r="TG12" i="2"/>
  <c r="TH12" i="2"/>
  <c r="TI12" i="2"/>
  <c r="TJ12" i="2"/>
  <c r="TK12" i="2"/>
  <c r="TL12" i="2"/>
  <c r="TM12" i="2"/>
  <c r="TN12" i="2"/>
  <c r="TO12" i="2"/>
  <c r="TP12" i="2"/>
  <c r="TQ12" i="2"/>
  <c r="TR12" i="2"/>
  <c r="TS12" i="2"/>
  <c r="TT12" i="2"/>
  <c r="TU12" i="2"/>
  <c r="TV12" i="2"/>
  <c r="TW12" i="2"/>
  <c r="TX12" i="2"/>
  <c r="TY12" i="2"/>
  <c r="TZ12" i="2"/>
  <c r="UA12" i="2"/>
  <c r="UB12" i="2"/>
  <c r="UC12" i="2"/>
  <c r="UD12" i="2"/>
  <c r="UE12" i="2"/>
  <c r="UF12" i="2"/>
  <c r="UG12" i="2"/>
  <c r="UH12" i="2"/>
  <c r="UI12" i="2"/>
  <c r="UJ12" i="2"/>
  <c r="UK12" i="2"/>
  <c r="UL12" i="2"/>
  <c r="UM12" i="2"/>
  <c r="UN12" i="2"/>
  <c r="UO12" i="2"/>
  <c r="UP12" i="2"/>
  <c r="UQ12" i="2"/>
  <c r="UR12" i="2"/>
  <c r="US12" i="2"/>
  <c r="UT12" i="2"/>
  <c r="UU12" i="2"/>
  <c r="UV12" i="2"/>
  <c r="UW12" i="2"/>
  <c r="UX12" i="2"/>
  <c r="UY12" i="2"/>
  <c r="UZ12" i="2"/>
  <c r="VA12" i="2"/>
  <c r="VB12" i="2"/>
  <c r="VC12" i="2"/>
  <c r="VD12" i="2"/>
  <c r="VE12" i="2"/>
  <c r="VF12" i="2"/>
  <c r="VG12" i="2"/>
  <c r="VH12" i="2"/>
  <c r="VI12" i="2"/>
  <c r="VJ12" i="2"/>
  <c r="VK12" i="2"/>
  <c r="VL12" i="2"/>
  <c r="VM12" i="2"/>
  <c r="VN12" i="2"/>
  <c r="VO12" i="2"/>
  <c r="VP12" i="2"/>
  <c r="VQ12" i="2"/>
  <c r="VR12" i="2"/>
  <c r="VS12" i="2"/>
  <c r="VT12" i="2"/>
  <c r="VU12" i="2"/>
  <c r="VV12" i="2"/>
  <c r="VW12" i="2"/>
  <c r="VX12" i="2"/>
  <c r="VY12" i="2"/>
  <c r="VZ12" i="2"/>
  <c r="WA12" i="2"/>
  <c r="WB12" i="2"/>
  <c r="WC12" i="2"/>
  <c r="WD12" i="2"/>
  <c r="WE12" i="2"/>
  <c r="WF12" i="2"/>
  <c r="WG12" i="2"/>
  <c r="WH12" i="2"/>
  <c r="WI12" i="2"/>
  <c r="WJ12" i="2"/>
  <c r="WK12" i="2"/>
  <c r="WL12" i="2"/>
  <c r="WM12" i="2"/>
  <c r="WN12" i="2"/>
  <c r="B11" i="2"/>
  <c r="C10" i="2"/>
  <c r="B7" i="2"/>
  <c r="B5" i="2"/>
  <c r="C4" i="2"/>
  <c r="D4" i="2"/>
  <c r="K471" i="4"/>
  <c r="J471" i="4"/>
  <c r="F471" i="4"/>
  <c r="K469" i="4"/>
  <c r="J469" i="4"/>
  <c r="F469" i="4"/>
  <c r="K467" i="4"/>
  <c r="J467" i="4"/>
  <c r="F467" i="4"/>
  <c r="K465" i="4"/>
  <c r="J465" i="4"/>
  <c r="F465" i="4"/>
  <c r="J407" i="4"/>
  <c r="K407" i="4"/>
  <c r="J417" i="4"/>
  <c r="CC336" i="4"/>
  <c r="CB336" i="4"/>
  <c r="CA336" i="4"/>
  <c r="BZ336" i="4"/>
  <c r="BY336" i="4"/>
  <c r="BX336" i="4"/>
  <c r="BW336" i="4"/>
  <c r="BV336" i="4"/>
  <c r="BU336" i="4"/>
  <c r="BT336" i="4"/>
  <c r="BS336" i="4"/>
  <c r="BR336" i="4"/>
  <c r="BQ336" i="4"/>
  <c r="BP336" i="4"/>
  <c r="BO336" i="4"/>
  <c r="BN336" i="4"/>
  <c r="BM336" i="4"/>
  <c r="BL336" i="4"/>
  <c r="BK336" i="4"/>
  <c r="BJ336" i="4"/>
  <c r="BI336" i="4"/>
  <c r="BH336" i="4"/>
  <c r="BG336" i="4"/>
  <c r="BF336" i="4"/>
  <c r="BE336" i="4"/>
  <c r="BD336" i="4"/>
  <c r="BC336" i="4"/>
  <c r="BB336" i="4"/>
  <c r="BA336" i="4"/>
  <c r="AZ336" i="4"/>
  <c r="AY336" i="4"/>
  <c r="AX336" i="4"/>
  <c r="AW336" i="4"/>
  <c r="AV336" i="4"/>
  <c r="AU336" i="4"/>
  <c r="AT336" i="4"/>
  <c r="AS336" i="4"/>
  <c r="AR336" i="4"/>
  <c r="AQ336" i="4"/>
  <c r="AP336" i="4"/>
  <c r="AO336" i="4"/>
  <c r="AN336" i="4"/>
  <c r="AM336" i="4"/>
  <c r="AL336" i="4"/>
  <c r="AK336" i="4"/>
  <c r="AJ336" i="4"/>
  <c r="AI336" i="4"/>
  <c r="AH336" i="4"/>
  <c r="AG336" i="4"/>
  <c r="AF336" i="4"/>
  <c r="AE336" i="4"/>
  <c r="AD336" i="4"/>
  <c r="AC336" i="4"/>
  <c r="AB336" i="4"/>
  <c r="AA336" i="4"/>
  <c r="Z336" i="4"/>
  <c r="Y336" i="4"/>
  <c r="X336" i="4"/>
  <c r="W336" i="4"/>
  <c r="V336" i="4"/>
  <c r="U336" i="4"/>
  <c r="T336" i="4"/>
  <c r="S336" i="4"/>
  <c r="R336" i="4"/>
  <c r="Q336" i="4"/>
  <c r="P336" i="4"/>
  <c r="O336" i="4"/>
  <c r="N336" i="4"/>
  <c r="M336" i="4"/>
  <c r="L336" i="4"/>
  <c r="K336" i="4"/>
  <c r="J336" i="4"/>
  <c r="F334" i="4"/>
  <c r="D334" i="4"/>
  <c r="F333" i="4"/>
  <c r="D333" i="4"/>
  <c r="B333" i="4"/>
  <c r="F332" i="4"/>
  <c r="D332" i="4"/>
  <c r="B332" i="4"/>
  <c r="F331" i="4"/>
  <c r="D331" i="4"/>
  <c r="B331" i="4"/>
  <c r="F330" i="4"/>
  <c r="B330" i="4"/>
  <c r="CC318" i="4"/>
  <c r="CB318" i="4"/>
  <c r="CA318" i="4"/>
  <c r="BZ318" i="4"/>
  <c r="BY318" i="4"/>
  <c r="BX318" i="4"/>
  <c r="BW318" i="4"/>
  <c r="BV318" i="4"/>
  <c r="BU318" i="4"/>
  <c r="BT318" i="4"/>
  <c r="BS318" i="4"/>
  <c r="BR318" i="4"/>
  <c r="BQ318" i="4"/>
  <c r="BP318" i="4"/>
  <c r="BO318" i="4"/>
  <c r="BN318" i="4"/>
  <c r="BM318" i="4"/>
  <c r="BL318" i="4"/>
  <c r="BK318" i="4"/>
  <c r="BJ318" i="4"/>
  <c r="BI318" i="4"/>
  <c r="BH318" i="4"/>
  <c r="BG318" i="4"/>
  <c r="BF318" i="4"/>
  <c r="BE318" i="4"/>
  <c r="BD318" i="4"/>
  <c r="BC318" i="4"/>
  <c r="BB318" i="4"/>
  <c r="BA318" i="4"/>
  <c r="AZ318" i="4"/>
  <c r="AY318" i="4"/>
  <c r="AX318" i="4"/>
  <c r="AW318" i="4"/>
  <c r="AV318" i="4"/>
  <c r="AU318" i="4"/>
  <c r="AT318" i="4"/>
  <c r="AS318" i="4"/>
  <c r="AR318" i="4"/>
  <c r="AQ318" i="4"/>
  <c r="AP318" i="4"/>
  <c r="AO318" i="4"/>
  <c r="AN318" i="4"/>
  <c r="AM318" i="4"/>
  <c r="AL318" i="4"/>
  <c r="AK318" i="4"/>
  <c r="AJ318" i="4"/>
  <c r="AI318" i="4"/>
  <c r="AH318" i="4"/>
  <c r="AG318" i="4"/>
  <c r="AF318" i="4"/>
  <c r="AE318" i="4"/>
  <c r="AD318" i="4"/>
  <c r="AC318" i="4"/>
  <c r="AB318" i="4"/>
  <c r="AA318" i="4"/>
  <c r="Z318" i="4"/>
  <c r="Y318" i="4"/>
  <c r="X318" i="4"/>
  <c r="W318" i="4"/>
  <c r="V318" i="4"/>
  <c r="U318" i="4"/>
  <c r="T318" i="4"/>
  <c r="S318" i="4"/>
  <c r="R318" i="4"/>
  <c r="Q318" i="4"/>
  <c r="P318" i="4"/>
  <c r="O318" i="4"/>
  <c r="N318" i="4"/>
  <c r="M318" i="4"/>
  <c r="L318" i="4"/>
  <c r="K318" i="4"/>
  <c r="J318" i="4"/>
  <c r="J320" i="4"/>
  <c r="F316" i="4"/>
  <c r="D316" i="4"/>
  <c r="F315" i="4"/>
  <c r="D315" i="4"/>
  <c r="B315" i="4"/>
  <c r="F314" i="4"/>
  <c r="D314" i="4"/>
  <c r="B314" i="4"/>
  <c r="F313" i="4"/>
  <c r="D313" i="4"/>
  <c r="B313" i="4"/>
  <c r="F312" i="4"/>
  <c r="D312" i="4"/>
  <c r="B312" i="4"/>
  <c r="CC291" i="4"/>
  <c r="CB291" i="4"/>
  <c r="CA291" i="4"/>
  <c r="BZ291" i="4"/>
  <c r="BY291" i="4"/>
  <c r="BX291" i="4"/>
  <c r="BW291" i="4"/>
  <c r="BV291" i="4"/>
  <c r="BU291" i="4"/>
  <c r="BT291" i="4"/>
  <c r="BS291" i="4"/>
  <c r="BR291" i="4"/>
  <c r="BQ291" i="4"/>
  <c r="BP291" i="4"/>
  <c r="BO291" i="4"/>
  <c r="BN291" i="4"/>
  <c r="BM291" i="4"/>
  <c r="BL291" i="4"/>
  <c r="BK291" i="4"/>
  <c r="BJ291" i="4"/>
  <c r="BI291" i="4"/>
  <c r="BH291" i="4"/>
  <c r="BG291" i="4"/>
  <c r="BF291" i="4"/>
  <c r="BE291" i="4"/>
  <c r="BD291" i="4"/>
  <c r="BC291" i="4"/>
  <c r="BB291" i="4"/>
  <c r="BA291" i="4"/>
  <c r="AZ291" i="4"/>
  <c r="AY291" i="4"/>
  <c r="AX291" i="4"/>
  <c r="AW291" i="4"/>
  <c r="AV291" i="4"/>
  <c r="AU291" i="4"/>
  <c r="AT291" i="4"/>
  <c r="AS291" i="4"/>
  <c r="AR291" i="4"/>
  <c r="AQ291" i="4"/>
  <c r="AP291" i="4"/>
  <c r="AO291" i="4"/>
  <c r="AN291" i="4"/>
  <c r="AM291" i="4"/>
  <c r="AL291" i="4"/>
  <c r="AK291" i="4"/>
  <c r="AJ291" i="4"/>
  <c r="AI291" i="4"/>
  <c r="AH291" i="4"/>
  <c r="CC281" i="4"/>
  <c r="CC289" i="4"/>
  <c r="CB281" i="4"/>
  <c r="CB289" i="4"/>
  <c r="CA281" i="4"/>
  <c r="CA289" i="4"/>
  <c r="BZ281" i="4"/>
  <c r="BZ289" i="4"/>
  <c r="BY281" i="4"/>
  <c r="BY289" i="4"/>
  <c r="BX281" i="4"/>
  <c r="BX289" i="4"/>
  <c r="BW281" i="4"/>
  <c r="BW289" i="4"/>
  <c r="BV281" i="4"/>
  <c r="BV289" i="4"/>
  <c r="BU281" i="4"/>
  <c r="BU289" i="4"/>
  <c r="BT281" i="4"/>
  <c r="BT289" i="4"/>
  <c r="BS281" i="4"/>
  <c r="BS289" i="4"/>
  <c r="BR281" i="4"/>
  <c r="BR289" i="4"/>
  <c r="BQ281" i="4"/>
  <c r="BQ289" i="4"/>
  <c r="BP281" i="4"/>
  <c r="BP289" i="4"/>
  <c r="BO281" i="4"/>
  <c r="BO289" i="4"/>
  <c r="BN281" i="4"/>
  <c r="BN289" i="4"/>
  <c r="BM281" i="4"/>
  <c r="BM289" i="4"/>
  <c r="BL281" i="4"/>
  <c r="BL289" i="4"/>
  <c r="BK281" i="4"/>
  <c r="BK289" i="4"/>
  <c r="BJ281" i="4"/>
  <c r="BJ289" i="4"/>
  <c r="BI281" i="4"/>
  <c r="BI289" i="4"/>
  <c r="BH281" i="4"/>
  <c r="BH289" i="4"/>
  <c r="BG281" i="4"/>
  <c r="BG289" i="4"/>
  <c r="BF281" i="4"/>
  <c r="BF289" i="4"/>
  <c r="BE281" i="4"/>
  <c r="BE289" i="4"/>
  <c r="BD281" i="4"/>
  <c r="BD289" i="4"/>
  <c r="BC281" i="4"/>
  <c r="BC289" i="4"/>
  <c r="BB281" i="4"/>
  <c r="BB289" i="4"/>
  <c r="BA281" i="4"/>
  <c r="BA289" i="4"/>
  <c r="AZ281" i="4"/>
  <c r="AZ289" i="4"/>
  <c r="AY281" i="4"/>
  <c r="AY289" i="4"/>
  <c r="AX281" i="4"/>
  <c r="AX289" i="4"/>
  <c r="AW281" i="4"/>
  <c r="AW289" i="4"/>
  <c r="AV281" i="4"/>
  <c r="AV289" i="4"/>
  <c r="AU281" i="4"/>
  <c r="AU289" i="4"/>
  <c r="AT281" i="4"/>
  <c r="AT289" i="4"/>
  <c r="AS281" i="4"/>
  <c r="AS289" i="4"/>
  <c r="AR281" i="4"/>
  <c r="AR289" i="4"/>
  <c r="AQ281" i="4"/>
  <c r="AQ289" i="4"/>
  <c r="AP281" i="4"/>
  <c r="AP289" i="4"/>
  <c r="AO281" i="4"/>
  <c r="AO289" i="4"/>
  <c r="AN281" i="4"/>
  <c r="AN289" i="4"/>
  <c r="AM281" i="4"/>
  <c r="AM289" i="4"/>
  <c r="AL281" i="4"/>
  <c r="AL289" i="4"/>
  <c r="AK281" i="4"/>
  <c r="AK289" i="4"/>
  <c r="AJ281" i="4"/>
  <c r="AJ289" i="4"/>
  <c r="AI281" i="4"/>
  <c r="AI289" i="4"/>
  <c r="AH281" i="4"/>
  <c r="AH289" i="4"/>
  <c r="AG281" i="4"/>
  <c r="AF281" i="4"/>
  <c r="AE281" i="4"/>
  <c r="AD281" i="4"/>
  <c r="AC281" i="4"/>
  <c r="AB281" i="4"/>
  <c r="AA281" i="4"/>
  <c r="Z281" i="4"/>
  <c r="Y281" i="4"/>
  <c r="X281" i="4"/>
  <c r="W281" i="4"/>
  <c r="V281" i="4"/>
  <c r="U281" i="4"/>
  <c r="T281" i="4"/>
  <c r="S281" i="4"/>
  <c r="R281" i="4"/>
  <c r="Q281" i="4"/>
  <c r="P281" i="4"/>
  <c r="O281" i="4"/>
  <c r="N281" i="4"/>
  <c r="M281" i="4"/>
  <c r="L281" i="4"/>
  <c r="K281" i="4"/>
  <c r="D279" i="4"/>
  <c r="B279" i="4"/>
  <c r="D278" i="4"/>
  <c r="B278" i="4"/>
  <c r="D277" i="4"/>
  <c r="B277" i="4"/>
  <c r="D276" i="4"/>
  <c r="B276" i="4"/>
  <c r="CC270" i="4"/>
  <c r="CB270" i="4"/>
  <c r="CB364" i="4"/>
  <c r="CA270" i="4"/>
  <c r="CA364" i="4"/>
  <c r="CC268" i="4"/>
  <c r="CC362" i="4"/>
  <c r="CB268" i="4"/>
  <c r="CB362" i="4"/>
  <c r="CA268" i="4"/>
  <c r="CA362" i="4"/>
  <c r="H256" i="4"/>
  <c r="F254" i="4"/>
  <c r="J254" i="4"/>
  <c r="F252" i="4"/>
  <c r="J252" i="4"/>
  <c r="CC199" i="4"/>
  <c r="CB199" i="4"/>
  <c r="CA199" i="4"/>
  <c r="BZ199" i="4"/>
  <c r="BY199" i="4"/>
  <c r="BX199" i="4"/>
  <c r="BW199" i="4"/>
  <c r="BV199" i="4"/>
  <c r="BU199" i="4"/>
  <c r="BT199" i="4"/>
  <c r="BS199" i="4"/>
  <c r="BR199" i="4"/>
  <c r="BQ199" i="4"/>
  <c r="BP199" i="4"/>
  <c r="BO199" i="4"/>
  <c r="BN199" i="4"/>
  <c r="BM199" i="4"/>
  <c r="BL199" i="4"/>
  <c r="BK199" i="4"/>
  <c r="BJ199" i="4"/>
  <c r="BI199" i="4"/>
  <c r="BH199" i="4"/>
  <c r="BG199" i="4"/>
  <c r="BF199" i="4"/>
  <c r="BE199" i="4"/>
  <c r="BD199" i="4"/>
  <c r="BC199" i="4"/>
  <c r="BB199" i="4"/>
  <c r="BA199" i="4"/>
  <c r="AZ199" i="4"/>
  <c r="AY199" i="4"/>
  <c r="AX199" i="4"/>
  <c r="AW199" i="4"/>
  <c r="AV199" i="4"/>
  <c r="AU199" i="4"/>
  <c r="AT199" i="4"/>
  <c r="AS199" i="4"/>
  <c r="AR199" i="4"/>
  <c r="AQ199" i="4"/>
  <c r="AP199" i="4"/>
  <c r="AO199" i="4"/>
  <c r="AN199" i="4"/>
  <c r="AM199" i="4"/>
  <c r="AL199" i="4"/>
  <c r="AK199" i="4"/>
  <c r="AJ199" i="4"/>
  <c r="AI199" i="4"/>
  <c r="AH199" i="4"/>
  <c r="AG199" i="4"/>
  <c r="AF199" i="4"/>
  <c r="AE199" i="4"/>
  <c r="AD199" i="4"/>
  <c r="AC199" i="4"/>
  <c r="AB199" i="4"/>
  <c r="AA199" i="4"/>
  <c r="Z199" i="4"/>
  <c r="Y199" i="4"/>
  <c r="X199" i="4"/>
  <c r="W199" i="4"/>
  <c r="V199" i="4"/>
  <c r="U199" i="4"/>
  <c r="T199" i="4"/>
  <c r="S199" i="4"/>
  <c r="R199" i="4"/>
  <c r="Q199" i="4"/>
  <c r="P199" i="4"/>
  <c r="O199" i="4"/>
  <c r="N199" i="4"/>
  <c r="M199" i="4"/>
  <c r="L199" i="4"/>
  <c r="K199" i="4"/>
  <c r="J199" i="4"/>
  <c r="J201" i="4"/>
  <c r="K201" i="4"/>
  <c r="CC193" i="4"/>
  <c r="CB193" i="4"/>
  <c r="CA193" i="4"/>
  <c r="BZ193" i="4"/>
  <c r="BY193" i="4"/>
  <c r="BX193" i="4"/>
  <c r="BW193" i="4"/>
  <c r="BV193" i="4"/>
  <c r="BU193" i="4"/>
  <c r="BT193" i="4"/>
  <c r="BS193" i="4"/>
  <c r="BR193" i="4"/>
  <c r="BQ193" i="4"/>
  <c r="BP193" i="4"/>
  <c r="BO193" i="4"/>
  <c r="BN193" i="4"/>
  <c r="BM193" i="4"/>
  <c r="BL193" i="4"/>
  <c r="BK193" i="4"/>
  <c r="BJ193" i="4"/>
  <c r="BI193" i="4"/>
  <c r="BH193" i="4"/>
  <c r="BG193" i="4"/>
  <c r="BF193" i="4"/>
  <c r="BE193" i="4"/>
  <c r="BD193" i="4"/>
  <c r="BC193" i="4"/>
  <c r="BB193" i="4"/>
  <c r="BA193" i="4"/>
  <c r="AZ193" i="4"/>
  <c r="AY193" i="4"/>
  <c r="AX193" i="4"/>
  <c r="AW193" i="4"/>
  <c r="AV193" i="4"/>
  <c r="AU193" i="4"/>
  <c r="AT193" i="4"/>
  <c r="AS193" i="4"/>
  <c r="AR193" i="4"/>
  <c r="AQ193" i="4"/>
  <c r="AP193" i="4"/>
  <c r="AO193" i="4"/>
  <c r="AN193" i="4"/>
  <c r="AM193" i="4"/>
  <c r="AL193" i="4"/>
  <c r="AK193" i="4"/>
  <c r="AJ193" i="4"/>
  <c r="AI193" i="4"/>
  <c r="AH193" i="4"/>
  <c r="AG193" i="4"/>
  <c r="AF193" i="4"/>
  <c r="AE193" i="4"/>
  <c r="AD193" i="4"/>
  <c r="AC193" i="4"/>
  <c r="AB193" i="4"/>
  <c r="AA193" i="4"/>
  <c r="Z193" i="4"/>
  <c r="Y193" i="4"/>
  <c r="X193" i="4"/>
  <c r="W193" i="4"/>
  <c r="V193" i="4"/>
  <c r="U193" i="4"/>
  <c r="T193" i="4"/>
  <c r="S193" i="4"/>
  <c r="R193" i="4"/>
  <c r="Q193" i="4"/>
  <c r="P193" i="4"/>
  <c r="O193" i="4"/>
  <c r="N193" i="4"/>
  <c r="M193" i="4"/>
  <c r="L193" i="4"/>
  <c r="K193" i="4"/>
  <c r="J193" i="4"/>
  <c r="F191" i="4"/>
  <c r="D191" i="4"/>
  <c r="B191" i="4"/>
  <c r="F190" i="4"/>
  <c r="D190" i="4"/>
  <c r="B190" i="4"/>
  <c r="F189" i="4"/>
  <c r="D189" i="4"/>
  <c r="B189" i="4"/>
  <c r="F188" i="4"/>
  <c r="D188" i="4"/>
  <c r="B188" i="4"/>
  <c r="CC178" i="4"/>
  <c r="CC180" i="4"/>
  <c r="CB178" i="4"/>
  <c r="CB180" i="4"/>
  <c r="CA178" i="4"/>
  <c r="CA180" i="4"/>
  <c r="BZ178" i="4"/>
  <c r="BZ180" i="4"/>
  <c r="BY178" i="4"/>
  <c r="BY180" i="4"/>
  <c r="BX178" i="4"/>
  <c r="BX180" i="4"/>
  <c r="BW178" i="4"/>
  <c r="BW180" i="4"/>
  <c r="BV178" i="4"/>
  <c r="BV180" i="4"/>
  <c r="BU178" i="4"/>
  <c r="BU180" i="4"/>
  <c r="BT178" i="4"/>
  <c r="BT180" i="4"/>
  <c r="BS178" i="4"/>
  <c r="BS180" i="4"/>
  <c r="BR178" i="4"/>
  <c r="BR180" i="4"/>
  <c r="BQ178" i="4"/>
  <c r="BQ180" i="4"/>
  <c r="BP178" i="4"/>
  <c r="BP180" i="4"/>
  <c r="BO178" i="4"/>
  <c r="BO180" i="4"/>
  <c r="BN178" i="4"/>
  <c r="BN180" i="4"/>
  <c r="BM178" i="4"/>
  <c r="BM180" i="4"/>
  <c r="BL178" i="4"/>
  <c r="BL180" i="4"/>
  <c r="BK178" i="4"/>
  <c r="BK180" i="4"/>
  <c r="BJ178" i="4"/>
  <c r="BJ180" i="4"/>
  <c r="BI178" i="4"/>
  <c r="BI180" i="4"/>
  <c r="BH178" i="4"/>
  <c r="BH180" i="4"/>
  <c r="BG178" i="4"/>
  <c r="BG180" i="4"/>
  <c r="BF178" i="4"/>
  <c r="BF180" i="4"/>
  <c r="BE178" i="4"/>
  <c r="BE180" i="4"/>
  <c r="BD178" i="4"/>
  <c r="BD180" i="4"/>
  <c r="BC178" i="4"/>
  <c r="BC180" i="4"/>
  <c r="BB178" i="4"/>
  <c r="BB180" i="4"/>
  <c r="BA178" i="4"/>
  <c r="BA180" i="4"/>
  <c r="AZ178" i="4"/>
  <c r="AZ180" i="4"/>
  <c r="AY178" i="4"/>
  <c r="AY180" i="4"/>
  <c r="AX178" i="4"/>
  <c r="AX180" i="4"/>
  <c r="AW178" i="4"/>
  <c r="AW180" i="4"/>
  <c r="AV178" i="4"/>
  <c r="AV180" i="4"/>
  <c r="AU178" i="4"/>
  <c r="AU180" i="4"/>
  <c r="AT178" i="4"/>
  <c r="AT180" i="4"/>
  <c r="AS178" i="4"/>
  <c r="AS180" i="4"/>
  <c r="AR178" i="4"/>
  <c r="AR180" i="4"/>
  <c r="AQ178" i="4"/>
  <c r="AQ180" i="4"/>
  <c r="AP178" i="4"/>
  <c r="AP180" i="4"/>
  <c r="AO178" i="4"/>
  <c r="AO180" i="4"/>
  <c r="AN178" i="4"/>
  <c r="AN180" i="4"/>
  <c r="AM178" i="4"/>
  <c r="AM180" i="4"/>
  <c r="AL178" i="4"/>
  <c r="AL180" i="4"/>
  <c r="AK178" i="4"/>
  <c r="AK180" i="4"/>
  <c r="AJ178" i="4"/>
  <c r="AJ180" i="4"/>
  <c r="AI178" i="4"/>
  <c r="AI180" i="4"/>
  <c r="AH178" i="4"/>
  <c r="AH180" i="4"/>
  <c r="AG178" i="4"/>
  <c r="AG180" i="4"/>
  <c r="AF178" i="4"/>
  <c r="AF180" i="4"/>
  <c r="AE178" i="4"/>
  <c r="AE180" i="4"/>
  <c r="AD178" i="4"/>
  <c r="AD180" i="4"/>
  <c r="AC178" i="4"/>
  <c r="AC180" i="4"/>
  <c r="AB178" i="4"/>
  <c r="AB180" i="4"/>
  <c r="AA178" i="4"/>
  <c r="AA180" i="4"/>
  <c r="Z178" i="4"/>
  <c r="Z180" i="4"/>
  <c r="Y178" i="4"/>
  <c r="Y180" i="4"/>
  <c r="X178" i="4"/>
  <c r="X180" i="4"/>
  <c r="W178" i="4"/>
  <c r="W180" i="4"/>
  <c r="V178" i="4"/>
  <c r="V180" i="4"/>
  <c r="U178" i="4"/>
  <c r="U180" i="4"/>
  <c r="T178" i="4"/>
  <c r="T180" i="4"/>
  <c r="S178" i="4"/>
  <c r="S180" i="4"/>
  <c r="R178" i="4"/>
  <c r="R180" i="4"/>
  <c r="Q178" i="4"/>
  <c r="Q180" i="4"/>
  <c r="P178" i="4"/>
  <c r="P180" i="4"/>
  <c r="O178" i="4"/>
  <c r="O180" i="4"/>
  <c r="N178" i="4"/>
  <c r="N180" i="4"/>
  <c r="M178" i="4"/>
  <c r="M180" i="4"/>
  <c r="L178" i="4"/>
  <c r="L180" i="4"/>
  <c r="K178" i="4"/>
  <c r="K180" i="4"/>
  <c r="J178" i="4"/>
  <c r="J180" i="4"/>
  <c r="BR174" i="4"/>
  <c r="BR176" i="4"/>
  <c r="CC174" i="4"/>
  <c r="CB174" i="4"/>
  <c r="CB176" i="4"/>
  <c r="CA174" i="4"/>
  <c r="CA176" i="4"/>
  <c r="BZ174" i="4"/>
  <c r="BZ209" i="4"/>
  <c r="BY174" i="4"/>
  <c r="BX174" i="4"/>
  <c r="BX176" i="4"/>
  <c r="BW174" i="4"/>
  <c r="BW176" i="4"/>
  <c r="BV174" i="4"/>
  <c r="BV209" i="4"/>
  <c r="BU174" i="4"/>
  <c r="BT174" i="4"/>
  <c r="BT176" i="4"/>
  <c r="BS174" i="4"/>
  <c r="BS176" i="4"/>
  <c r="BR209" i="4"/>
  <c r="BQ174" i="4"/>
  <c r="BP174" i="4"/>
  <c r="BP176" i="4"/>
  <c r="BO174" i="4"/>
  <c r="BO176" i="4"/>
  <c r="BN174" i="4"/>
  <c r="BN209" i="4"/>
  <c r="BM174" i="4"/>
  <c r="BL174" i="4"/>
  <c r="BL176" i="4"/>
  <c r="BK174" i="4"/>
  <c r="BK176" i="4"/>
  <c r="BJ174" i="4"/>
  <c r="BJ209" i="4"/>
  <c r="BI174" i="4"/>
  <c r="BH174" i="4"/>
  <c r="BH176" i="4"/>
  <c r="BG174" i="4"/>
  <c r="BG176" i="4"/>
  <c r="BF174" i="4"/>
  <c r="BF209" i="4"/>
  <c r="BE174" i="4"/>
  <c r="BD174" i="4"/>
  <c r="BD176" i="4"/>
  <c r="BC174" i="4"/>
  <c r="BC176" i="4"/>
  <c r="BB174" i="4"/>
  <c r="BB209" i="4"/>
  <c r="BA174" i="4"/>
  <c r="AZ174" i="4"/>
  <c r="AZ176" i="4"/>
  <c r="AY174" i="4"/>
  <c r="AY176" i="4"/>
  <c r="AX174" i="4"/>
  <c r="AX209" i="4"/>
  <c r="AW174" i="4"/>
  <c r="AW209" i="4"/>
  <c r="AV174" i="4"/>
  <c r="AV176" i="4"/>
  <c r="AU174" i="4"/>
  <c r="AU176" i="4"/>
  <c r="AT174" i="4"/>
  <c r="AT209" i="4"/>
  <c r="AS174" i="4"/>
  <c r="AS209" i="4"/>
  <c r="AR174" i="4"/>
  <c r="AR176" i="4"/>
  <c r="AQ174" i="4"/>
  <c r="AQ176" i="4"/>
  <c r="AP174" i="4"/>
  <c r="AP209" i="4"/>
  <c r="AO174" i="4"/>
  <c r="AO209" i="4"/>
  <c r="AN174" i="4"/>
  <c r="AN176" i="4"/>
  <c r="AM174" i="4"/>
  <c r="AM176" i="4"/>
  <c r="AL174" i="4"/>
  <c r="AL209" i="4"/>
  <c r="AK174" i="4"/>
  <c r="AK209" i="4"/>
  <c r="AJ174" i="4"/>
  <c r="AJ176" i="4"/>
  <c r="AI174" i="4"/>
  <c r="AI176" i="4"/>
  <c r="AH174" i="4"/>
  <c r="AH209" i="4"/>
  <c r="AG174" i="4"/>
  <c r="AG209" i="4"/>
  <c r="AF174" i="4"/>
  <c r="AF176" i="4"/>
  <c r="AE174" i="4"/>
  <c r="AE176" i="4"/>
  <c r="AD174" i="4"/>
  <c r="AD209" i="4"/>
  <c r="AC174" i="4"/>
  <c r="AC209" i="4"/>
  <c r="AB174" i="4"/>
  <c r="AB176" i="4"/>
  <c r="AA174" i="4"/>
  <c r="AA176" i="4"/>
  <c r="Z174" i="4"/>
  <c r="Z209" i="4"/>
  <c r="Y174" i="4"/>
  <c r="Y209" i="4"/>
  <c r="X174" i="4"/>
  <c r="X176" i="4"/>
  <c r="W174" i="4"/>
  <c r="W176" i="4"/>
  <c r="V174" i="4"/>
  <c r="V209" i="4"/>
  <c r="U174" i="4"/>
  <c r="U209" i="4"/>
  <c r="T174" i="4"/>
  <c r="T176" i="4"/>
  <c r="S174" i="4"/>
  <c r="S176" i="4"/>
  <c r="R174" i="4"/>
  <c r="R209" i="4"/>
  <c r="Q174" i="4"/>
  <c r="Q209" i="4"/>
  <c r="P174" i="4"/>
  <c r="P176" i="4"/>
  <c r="O174" i="4"/>
  <c r="O176" i="4"/>
  <c r="N174" i="4"/>
  <c r="N209" i="4"/>
  <c r="M174" i="4"/>
  <c r="M209" i="4"/>
  <c r="L174" i="4"/>
  <c r="L176" i="4"/>
  <c r="K174" i="4"/>
  <c r="K176" i="4"/>
  <c r="J174" i="4"/>
  <c r="J209" i="4"/>
  <c r="F174" i="4"/>
  <c r="H172" i="4"/>
  <c r="D172" i="4"/>
  <c r="B172" i="4"/>
  <c r="H171" i="4"/>
  <c r="D171" i="4"/>
  <c r="B171" i="4"/>
  <c r="H170" i="4"/>
  <c r="D170" i="4"/>
  <c r="B170" i="4"/>
  <c r="H169" i="4"/>
  <c r="D169" i="4"/>
  <c r="B169" i="4"/>
  <c r="D159" i="4"/>
  <c r="D158" i="4"/>
  <c r="D157" i="4"/>
  <c r="D156" i="4"/>
  <c r="X161" i="4"/>
  <c r="F150" i="4"/>
  <c r="BN150" i="4"/>
  <c r="F148" i="4"/>
  <c r="F409" i="4"/>
  <c r="H142" i="4"/>
  <c r="M109" i="4"/>
  <c r="M107" i="4"/>
  <c r="K595" i="1"/>
  <c r="J595" i="1"/>
  <c r="F595" i="1"/>
  <c r="K593" i="1"/>
  <c r="J593" i="1"/>
  <c r="F593" i="1"/>
  <c r="K591" i="1"/>
  <c r="J591" i="1"/>
  <c r="F591" i="1"/>
  <c r="K589" i="1"/>
  <c r="J589" i="1"/>
  <c r="H312" i="1"/>
  <c r="F310" i="1"/>
  <c r="J310" i="1"/>
  <c r="F308" i="1"/>
  <c r="J308" i="1"/>
  <c r="CC179" i="1"/>
  <c r="CC367" i="1"/>
  <c r="CB179" i="1"/>
  <c r="CB367" i="1"/>
  <c r="CA179" i="1"/>
  <c r="CA367" i="1"/>
  <c r="BZ179" i="1"/>
  <c r="BZ367" i="1"/>
  <c r="BY179" i="1"/>
  <c r="BY367" i="1"/>
  <c r="BX179" i="1"/>
  <c r="BX367" i="1"/>
  <c r="BW179" i="1"/>
  <c r="BW367" i="1"/>
  <c r="BV179" i="1"/>
  <c r="BV367" i="1"/>
  <c r="BU179" i="1"/>
  <c r="BU367" i="1"/>
  <c r="BT179" i="1"/>
  <c r="BT367" i="1"/>
  <c r="BS179" i="1"/>
  <c r="BS367" i="1"/>
  <c r="BR179" i="1"/>
  <c r="BR367" i="1"/>
  <c r="BQ179" i="1"/>
  <c r="BQ367" i="1"/>
  <c r="BP179" i="1"/>
  <c r="BP367" i="1"/>
  <c r="BO179" i="1"/>
  <c r="BO367" i="1"/>
  <c r="BN179" i="1"/>
  <c r="BN367" i="1"/>
  <c r="BM179" i="1"/>
  <c r="BM367" i="1"/>
  <c r="BL179" i="1"/>
  <c r="BL367" i="1"/>
  <c r="BK179" i="1"/>
  <c r="BK367" i="1"/>
  <c r="BJ179" i="1"/>
  <c r="BJ367" i="1"/>
  <c r="BI179" i="1"/>
  <c r="BI367" i="1"/>
  <c r="BH179" i="1"/>
  <c r="BH367" i="1"/>
  <c r="BG179" i="1"/>
  <c r="BG367" i="1"/>
  <c r="BF179" i="1"/>
  <c r="BF367" i="1"/>
  <c r="BE179" i="1"/>
  <c r="BE367" i="1"/>
  <c r="BD179" i="1"/>
  <c r="BD367" i="1"/>
  <c r="BC179" i="1"/>
  <c r="BC367" i="1"/>
  <c r="BB179" i="1"/>
  <c r="BB367" i="1"/>
  <c r="BA179" i="1"/>
  <c r="BA367" i="1"/>
  <c r="AZ179" i="1"/>
  <c r="AZ367" i="1"/>
  <c r="AY179" i="1"/>
  <c r="AY367" i="1"/>
  <c r="AX179" i="1"/>
  <c r="AX367" i="1"/>
  <c r="AW179" i="1"/>
  <c r="AW367" i="1"/>
  <c r="AV179" i="1"/>
  <c r="AV367" i="1"/>
  <c r="AU179" i="1"/>
  <c r="AU367" i="1"/>
  <c r="AT179" i="1"/>
  <c r="AT367" i="1"/>
  <c r="AS179" i="1"/>
  <c r="AS367" i="1"/>
  <c r="AR179" i="1"/>
  <c r="AR367" i="1"/>
  <c r="AQ179" i="1"/>
  <c r="AQ367" i="1"/>
  <c r="AP179" i="1"/>
  <c r="AP367" i="1"/>
  <c r="AO179" i="1"/>
  <c r="AO367" i="1"/>
  <c r="AN179" i="1"/>
  <c r="AN367" i="1"/>
  <c r="AM179" i="1"/>
  <c r="AM367" i="1"/>
  <c r="AL179" i="1"/>
  <c r="AL367" i="1"/>
  <c r="AK179" i="1"/>
  <c r="AK367" i="1"/>
  <c r="AJ179" i="1"/>
  <c r="AJ367" i="1"/>
  <c r="AI179" i="1"/>
  <c r="AI367" i="1"/>
  <c r="AH179" i="1"/>
  <c r="AH367" i="1"/>
  <c r="AG179" i="1"/>
  <c r="AG367" i="1"/>
  <c r="AF179" i="1"/>
  <c r="AF367" i="1"/>
  <c r="AE179" i="1"/>
  <c r="AE367" i="1"/>
  <c r="AD179" i="1"/>
  <c r="AD367" i="1"/>
  <c r="AC179" i="1"/>
  <c r="AC367" i="1"/>
  <c r="AB179" i="1"/>
  <c r="AB367" i="1"/>
  <c r="AA179" i="1"/>
  <c r="AA367" i="1"/>
  <c r="Z179" i="1"/>
  <c r="Z367" i="1"/>
  <c r="Y179" i="1"/>
  <c r="Y367" i="1"/>
  <c r="X179" i="1"/>
  <c r="X367" i="1"/>
  <c r="W179" i="1"/>
  <c r="W367" i="1"/>
  <c r="V179" i="1"/>
  <c r="V367" i="1"/>
  <c r="U179" i="1"/>
  <c r="U367" i="1"/>
  <c r="T179" i="1"/>
  <c r="T367" i="1"/>
  <c r="S179" i="1"/>
  <c r="S367" i="1"/>
  <c r="R179" i="1"/>
  <c r="R367" i="1"/>
  <c r="Q179" i="1"/>
  <c r="Q367" i="1"/>
  <c r="P179" i="1"/>
  <c r="P367" i="1"/>
  <c r="O179" i="1"/>
  <c r="O367" i="1"/>
  <c r="N179" i="1"/>
  <c r="N367" i="1"/>
  <c r="M179" i="1"/>
  <c r="M367" i="1"/>
  <c r="L179" i="1"/>
  <c r="L367" i="1"/>
  <c r="K179" i="1"/>
  <c r="K367" i="1"/>
  <c r="J179" i="1"/>
  <c r="H177" i="1"/>
  <c r="H160" i="1"/>
  <c r="H158" i="1"/>
  <c r="H144" i="1"/>
  <c r="M111" i="1"/>
  <c r="M109" i="1"/>
  <c r="BB176" i="4"/>
  <c r="K320" i="4"/>
  <c r="L320" i="4"/>
  <c r="M320" i="4"/>
  <c r="N320" i="4"/>
  <c r="O320" i="4"/>
  <c r="P320" i="4"/>
  <c r="Q320" i="4"/>
  <c r="R320" i="4"/>
  <c r="S320" i="4"/>
  <c r="T320" i="4"/>
  <c r="U320" i="4"/>
  <c r="V320" i="4"/>
  <c r="W320" i="4"/>
  <c r="X320" i="4"/>
  <c r="Y320" i="4"/>
  <c r="Z320" i="4"/>
  <c r="AA320" i="4"/>
  <c r="AB320" i="4"/>
  <c r="AC320" i="4"/>
  <c r="AD320" i="4"/>
  <c r="AE320" i="4"/>
  <c r="AF320" i="4"/>
  <c r="AG320" i="4"/>
  <c r="AH320" i="4"/>
  <c r="AI320" i="4"/>
  <c r="AJ320" i="4"/>
  <c r="AK320" i="4"/>
  <c r="AL320" i="4"/>
  <c r="AM320" i="4"/>
  <c r="AN320" i="4"/>
  <c r="AO320" i="4"/>
  <c r="AP320" i="4"/>
  <c r="AQ320" i="4"/>
  <c r="AR320" i="4"/>
  <c r="AS320" i="4"/>
  <c r="AT320" i="4"/>
  <c r="AU320" i="4"/>
  <c r="AV320" i="4"/>
  <c r="AW320" i="4"/>
  <c r="AX320" i="4"/>
  <c r="AY320" i="4"/>
  <c r="AZ320" i="4"/>
  <c r="BA320" i="4"/>
  <c r="BB320" i="4"/>
  <c r="BC320" i="4"/>
  <c r="BD320" i="4"/>
  <c r="BE320" i="4"/>
  <c r="BF320" i="4"/>
  <c r="BG320" i="4"/>
  <c r="BH320" i="4"/>
  <c r="BI320" i="4"/>
  <c r="BJ320" i="4"/>
  <c r="BK320" i="4"/>
  <c r="BL320" i="4"/>
  <c r="BM320" i="4"/>
  <c r="BN320" i="4"/>
  <c r="BO320" i="4"/>
  <c r="BP320" i="4"/>
  <c r="BQ320" i="4"/>
  <c r="BR320" i="4"/>
  <c r="BS320" i="4"/>
  <c r="BT320" i="4"/>
  <c r="BU320" i="4"/>
  <c r="BV320" i="4"/>
  <c r="BW320" i="4"/>
  <c r="BX320" i="4"/>
  <c r="BY320" i="4"/>
  <c r="BZ320" i="4"/>
  <c r="CA320" i="4"/>
  <c r="CB320" i="4"/>
  <c r="CC320" i="4"/>
  <c r="F336" i="4"/>
  <c r="U176" i="4"/>
  <c r="F318" i="4"/>
  <c r="H174" i="4"/>
  <c r="AC176" i="4"/>
  <c r="S148" i="4"/>
  <c r="AI148" i="4"/>
  <c r="BO148" i="4"/>
  <c r="K148" i="4"/>
  <c r="AA148" i="4"/>
  <c r="AQ148" i="4"/>
  <c r="BG148" i="4"/>
  <c r="BW148" i="4"/>
  <c r="R150" i="4"/>
  <c r="BF150" i="4"/>
  <c r="AK176" i="4"/>
  <c r="O209" i="4"/>
  <c r="W209" i="4"/>
  <c r="AE209" i="4"/>
  <c r="AM209" i="4"/>
  <c r="AU209" i="4"/>
  <c r="BC209" i="4"/>
  <c r="BK209" i="4"/>
  <c r="BS209" i="4"/>
  <c r="CA209" i="4"/>
  <c r="AY148" i="4"/>
  <c r="N148" i="4"/>
  <c r="AD148" i="4"/>
  <c r="AT148" i="4"/>
  <c r="BJ148" i="4"/>
  <c r="BZ148" i="4"/>
  <c r="Z150" i="4"/>
  <c r="BV150" i="4"/>
  <c r="M176" i="4"/>
  <c r="AS176" i="4"/>
  <c r="P209" i="4"/>
  <c r="X209" i="4"/>
  <c r="AF209" i="4"/>
  <c r="AN209" i="4"/>
  <c r="AV209" i="4"/>
  <c r="BD209" i="4"/>
  <c r="BL209" i="4"/>
  <c r="BT209" i="4"/>
  <c r="CB209" i="4"/>
  <c r="D330" i="4"/>
  <c r="AP150" i="4"/>
  <c r="P161" i="4"/>
  <c r="K209" i="4"/>
  <c r="S209" i="4"/>
  <c r="AA209" i="4"/>
  <c r="AI209" i="4"/>
  <c r="AQ209" i="4"/>
  <c r="AY209" i="4"/>
  <c r="BG209" i="4"/>
  <c r="BO209" i="4"/>
  <c r="BW209" i="4"/>
  <c r="V148" i="4"/>
  <c r="AL148" i="4"/>
  <c r="BB148" i="4"/>
  <c r="BR148" i="4"/>
  <c r="J150" i="4"/>
  <c r="AX150" i="4"/>
  <c r="L209" i="4"/>
  <c r="T209" i="4"/>
  <c r="AB209" i="4"/>
  <c r="AJ209" i="4"/>
  <c r="AR209" i="4"/>
  <c r="AZ209" i="4"/>
  <c r="BH209" i="4"/>
  <c r="BP209" i="4"/>
  <c r="BX209" i="4"/>
  <c r="H179" i="1"/>
  <c r="D10" i="2"/>
  <c r="E10" i="2"/>
  <c r="F10" i="2"/>
  <c r="G10" i="2"/>
  <c r="F320" i="1"/>
  <c r="L152" i="1"/>
  <c r="N152" i="1"/>
  <c r="P152" i="1"/>
  <c r="R152" i="1"/>
  <c r="T152" i="1"/>
  <c r="V152" i="1"/>
  <c r="X152" i="1"/>
  <c r="Z152" i="1"/>
  <c r="AB152" i="1"/>
  <c r="AD152" i="1"/>
  <c r="AF152" i="1"/>
  <c r="AH152" i="1"/>
  <c r="AJ152" i="1"/>
  <c r="AL152" i="1"/>
  <c r="AN152" i="1"/>
  <c r="AP152" i="1"/>
  <c r="AR152" i="1"/>
  <c r="AT152" i="1"/>
  <c r="AV152" i="1"/>
  <c r="AX152" i="1"/>
  <c r="AZ152" i="1"/>
  <c r="BB152" i="1"/>
  <c r="BD152" i="1"/>
  <c r="BF152" i="1"/>
  <c r="BH152" i="1"/>
  <c r="BJ152" i="1"/>
  <c r="BL152" i="1"/>
  <c r="BN152" i="1"/>
  <c r="BP152" i="1"/>
  <c r="BR152" i="1"/>
  <c r="BT152" i="1"/>
  <c r="BV152" i="1"/>
  <c r="BX152" i="1"/>
  <c r="BZ152" i="1"/>
  <c r="CB152" i="1"/>
  <c r="J152" i="1"/>
  <c r="M152" i="1"/>
  <c r="Q152" i="1"/>
  <c r="U152" i="1"/>
  <c r="Y152" i="1"/>
  <c r="AC152" i="1"/>
  <c r="AG152" i="1"/>
  <c r="AK152" i="1"/>
  <c r="AO152" i="1"/>
  <c r="AS152" i="1"/>
  <c r="AW152" i="1"/>
  <c r="BA152" i="1"/>
  <c r="BE152" i="1"/>
  <c r="BI152" i="1"/>
  <c r="BM152" i="1"/>
  <c r="BQ152" i="1"/>
  <c r="BU152" i="1"/>
  <c r="BY152" i="1"/>
  <c r="CC152" i="1"/>
  <c r="K152" i="1"/>
  <c r="O152" i="1"/>
  <c r="S152" i="1"/>
  <c r="W152" i="1"/>
  <c r="AA152" i="1"/>
  <c r="AE152" i="1"/>
  <c r="AI152" i="1"/>
  <c r="AM152" i="1"/>
  <c r="AQ152" i="1"/>
  <c r="AU152" i="1"/>
  <c r="AY152" i="1"/>
  <c r="BC152" i="1"/>
  <c r="BG152" i="1"/>
  <c r="BK152" i="1"/>
  <c r="BO152" i="1"/>
  <c r="BS152" i="1"/>
  <c r="BW152" i="1"/>
  <c r="CA152" i="1"/>
  <c r="F245" i="1"/>
  <c r="N150" i="1"/>
  <c r="P150" i="1"/>
  <c r="R150" i="1"/>
  <c r="T150" i="1"/>
  <c r="V150" i="1"/>
  <c r="X150" i="1"/>
  <c r="Z150" i="1"/>
  <c r="AB150" i="1"/>
  <c r="AD150" i="1"/>
  <c r="AF150" i="1"/>
  <c r="AH150" i="1"/>
  <c r="AJ150" i="1"/>
  <c r="AL150" i="1"/>
  <c r="AN150" i="1"/>
  <c r="AP150" i="1"/>
  <c r="AR150" i="1"/>
  <c r="AT150" i="1"/>
  <c r="AV150" i="1"/>
  <c r="AX150" i="1"/>
  <c r="AZ150" i="1"/>
  <c r="BB150" i="1"/>
  <c r="BD150" i="1"/>
  <c r="BF150" i="1"/>
  <c r="BH150" i="1"/>
  <c r="BJ150" i="1"/>
  <c r="BL150" i="1"/>
  <c r="BN150" i="1"/>
  <c r="BP150" i="1"/>
  <c r="BR150" i="1"/>
  <c r="BT150" i="1"/>
  <c r="BV150" i="1"/>
  <c r="BX150" i="1"/>
  <c r="BZ150" i="1"/>
  <c r="CB150" i="1"/>
  <c r="L150" i="1"/>
  <c r="O150" i="1"/>
  <c r="S150" i="1"/>
  <c r="W150" i="1"/>
  <c r="AA150" i="1"/>
  <c r="AE150" i="1"/>
  <c r="AI150" i="1"/>
  <c r="AM150" i="1"/>
  <c r="AQ150" i="1"/>
  <c r="AU150" i="1"/>
  <c r="AY150" i="1"/>
  <c r="BC150" i="1"/>
  <c r="BG150" i="1"/>
  <c r="BK150" i="1"/>
  <c r="BO150" i="1"/>
  <c r="BS150" i="1"/>
  <c r="BW150" i="1"/>
  <c r="CA150" i="1"/>
  <c r="K216" i="1"/>
  <c r="K474" i="1"/>
  <c r="M150" i="1"/>
  <c r="Q150" i="1"/>
  <c r="U150" i="1"/>
  <c r="Y150" i="1"/>
  <c r="AC150" i="1"/>
  <c r="AG150" i="1"/>
  <c r="AK150" i="1"/>
  <c r="AO150" i="1"/>
  <c r="AS150" i="1"/>
  <c r="AW150" i="1"/>
  <c r="BA150" i="1"/>
  <c r="BE150" i="1"/>
  <c r="BI150" i="1"/>
  <c r="BM150" i="1"/>
  <c r="BQ150" i="1"/>
  <c r="BU150" i="1"/>
  <c r="BY150" i="1"/>
  <c r="CC150" i="1"/>
  <c r="J181" i="1"/>
  <c r="K181" i="1"/>
  <c r="L181" i="1"/>
  <c r="M181" i="1"/>
  <c r="N181" i="1"/>
  <c r="O181" i="1"/>
  <c r="P181" i="1"/>
  <c r="Q181" i="1"/>
  <c r="R181" i="1"/>
  <c r="S181" i="1"/>
  <c r="T181" i="1"/>
  <c r="U181" i="1"/>
  <c r="V181" i="1"/>
  <c r="W181" i="1"/>
  <c r="X181" i="1"/>
  <c r="Y181" i="1"/>
  <c r="Z181" i="1"/>
  <c r="AA181" i="1"/>
  <c r="AB181" i="1"/>
  <c r="AC181" i="1"/>
  <c r="AD181" i="1"/>
  <c r="AE181" i="1"/>
  <c r="AF181" i="1"/>
  <c r="AG181" i="1"/>
  <c r="AH181" i="1"/>
  <c r="AI181" i="1"/>
  <c r="AJ181" i="1"/>
  <c r="AK181" i="1"/>
  <c r="AL181" i="1"/>
  <c r="AM181" i="1"/>
  <c r="AN181" i="1"/>
  <c r="AO181" i="1"/>
  <c r="AP181" i="1"/>
  <c r="AQ181" i="1"/>
  <c r="AR181" i="1"/>
  <c r="AS181" i="1"/>
  <c r="AT181" i="1"/>
  <c r="AU181" i="1"/>
  <c r="AV181" i="1"/>
  <c r="AW181" i="1"/>
  <c r="AX181" i="1"/>
  <c r="AY181" i="1"/>
  <c r="AZ181" i="1"/>
  <c r="BA181" i="1"/>
  <c r="BB181" i="1"/>
  <c r="BC181" i="1"/>
  <c r="BD181" i="1"/>
  <c r="BE181" i="1"/>
  <c r="BF181" i="1"/>
  <c r="BG181" i="1"/>
  <c r="BH181" i="1"/>
  <c r="BI181" i="1"/>
  <c r="BJ181" i="1"/>
  <c r="BK181" i="1"/>
  <c r="BL181" i="1"/>
  <c r="BM181" i="1"/>
  <c r="BN181" i="1"/>
  <c r="BO181" i="1"/>
  <c r="BP181" i="1"/>
  <c r="BQ181" i="1"/>
  <c r="BR181" i="1"/>
  <c r="BS181" i="1"/>
  <c r="BT181" i="1"/>
  <c r="BU181" i="1"/>
  <c r="BV181" i="1"/>
  <c r="BW181" i="1"/>
  <c r="BX181" i="1"/>
  <c r="BY181" i="1"/>
  <c r="BZ181" i="1"/>
  <c r="CA181" i="1"/>
  <c r="CB181" i="1"/>
  <c r="CC181" i="1"/>
  <c r="C6" i="2"/>
  <c r="J367" i="1"/>
  <c r="F318" i="1"/>
  <c r="F533" i="1"/>
  <c r="D6" i="2"/>
  <c r="E6" i="2"/>
  <c r="F6" i="2"/>
  <c r="G6" i="2"/>
  <c r="H6" i="2"/>
  <c r="I6" i="2"/>
  <c r="J6" i="2"/>
  <c r="K6" i="2"/>
  <c r="L6" i="2"/>
  <c r="M6" i="2"/>
  <c r="N6" i="2"/>
  <c r="O6" i="2"/>
  <c r="P6" i="2"/>
  <c r="Q6" i="2"/>
  <c r="R6" i="2"/>
  <c r="S6" i="2"/>
  <c r="T6" i="2"/>
  <c r="U6" i="2"/>
  <c r="V6" i="2"/>
  <c r="W6" i="2"/>
  <c r="X6" i="2"/>
  <c r="Y6" i="2"/>
  <c r="Z6" i="2"/>
  <c r="AA6" i="2"/>
  <c r="AB6" i="2"/>
  <c r="AC6" i="2"/>
  <c r="AD6" i="2"/>
  <c r="AE6" i="2"/>
  <c r="AF6" i="2"/>
  <c r="AG6" i="2"/>
  <c r="AH6" i="2"/>
  <c r="AI6" i="2"/>
  <c r="AJ6" i="2"/>
  <c r="AK6" i="2"/>
  <c r="AL6" i="2"/>
  <c r="AM6" i="2"/>
  <c r="AN6" i="2"/>
  <c r="AO6" i="2"/>
  <c r="AP6" i="2"/>
  <c r="AQ6" i="2"/>
  <c r="AR6" i="2"/>
  <c r="AS6" i="2"/>
  <c r="AT6" i="2"/>
  <c r="AU6" i="2"/>
  <c r="AV6" i="2"/>
  <c r="AW6" i="2"/>
  <c r="AX6" i="2"/>
  <c r="AY6" i="2"/>
  <c r="AZ6" i="2"/>
  <c r="BA6" i="2"/>
  <c r="BB6" i="2"/>
  <c r="BC6" i="2"/>
  <c r="BD6" i="2"/>
  <c r="BE6" i="2"/>
  <c r="BF6" i="2"/>
  <c r="BG6" i="2"/>
  <c r="BH6" i="2"/>
  <c r="BI6" i="2"/>
  <c r="BJ6" i="2"/>
  <c r="BK6" i="2"/>
  <c r="BL6" i="2"/>
  <c r="BM6" i="2"/>
  <c r="BN6" i="2"/>
  <c r="BO6" i="2"/>
  <c r="BP6" i="2"/>
  <c r="BQ6" i="2"/>
  <c r="BR6" i="2"/>
  <c r="BS6" i="2"/>
  <c r="BT6" i="2"/>
  <c r="BU6" i="2"/>
  <c r="BV6" i="2"/>
  <c r="BW6" i="2"/>
  <c r="BX6" i="2"/>
  <c r="BY6" i="2"/>
  <c r="BZ6" i="2"/>
  <c r="CA6" i="2"/>
  <c r="CB6" i="2"/>
  <c r="CC6" i="2"/>
  <c r="CD6" i="2"/>
  <c r="CE6" i="2"/>
  <c r="CF6" i="2"/>
  <c r="CG6" i="2"/>
  <c r="CH6" i="2"/>
  <c r="CI6" i="2"/>
  <c r="CJ6" i="2"/>
  <c r="CK6" i="2"/>
  <c r="CL6" i="2"/>
  <c r="CM6" i="2"/>
  <c r="CN6" i="2"/>
  <c r="CO6" i="2"/>
  <c r="CP6" i="2"/>
  <c r="CQ6" i="2"/>
  <c r="CR6" i="2"/>
  <c r="CS6" i="2"/>
  <c r="CT6" i="2"/>
  <c r="CU6" i="2"/>
  <c r="CV6" i="2"/>
  <c r="CW6" i="2"/>
  <c r="CX6" i="2"/>
  <c r="CY6" i="2"/>
  <c r="CZ6" i="2"/>
  <c r="DA6" i="2"/>
  <c r="DB6" i="2"/>
  <c r="DC6" i="2"/>
  <c r="DD6" i="2"/>
  <c r="DE6" i="2"/>
  <c r="DF6" i="2"/>
  <c r="DG6" i="2"/>
  <c r="DH6" i="2"/>
  <c r="DI6" i="2"/>
  <c r="DJ6" i="2"/>
  <c r="DK6" i="2"/>
  <c r="DL6" i="2"/>
  <c r="DM6" i="2"/>
  <c r="DN6" i="2"/>
  <c r="DO6" i="2"/>
  <c r="DP6" i="2"/>
  <c r="DQ6" i="2"/>
  <c r="DR6" i="2"/>
  <c r="DS6" i="2"/>
  <c r="DT6" i="2"/>
  <c r="DU6" i="2"/>
  <c r="DV6" i="2"/>
  <c r="DW6" i="2"/>
  <c r="DX6" i="2"/>
  <c r="DY6" i="2"/>
  <c r="DZ6" i="2"/>
  <c r="EA6" i="2"/>
  <c r="EB6" i="2"/>
  <c r="EC6" i="2"/>
  <c r="ED6" i="2"/>
  <c r="EE6" i="2"/>
  <c r="EF6" i="2"/>
  <c r="EG6" i="2"/>
  <c r="EH6" i="2"/>
  <c r="EI6" i="2"/>
  <c r="EJ6" i="2"/>
  <c r="EK6" i="2"/>
  <c r="EL6" i="2"/>
  <c r="EM6" i="2"/>
  <c r="EN6" i="2"/>
  <c r="EO6" i="2"/>
  <c r="EP6" i="2"/>
  <c r="EQ6" i="2"/>
  <c r="ER6" i="2"/>
  <c r="ES6" i="2"/>
  <c r="ET6" i="2"/>
  <c r="EU6" i="2"/>
  <c r="EV6" i="2"/>
  <c r="EW6" i="2"/>
  <c r="EX6" i="2"/>
  <c r="EY6" i="2"/>
  <c r="EZ6" i="2"/>
  <c r="FA6" i="2"/>
  <c r="FB6" i="2"/>
  <c r="FC6" i="2"/>
  <c r="FD6" i="2"/>
  <c r="FE6" i="2"/>
  <c r="FF6" i="2"/>
  <c r="FG6" i="2"/>
  <c r="FH6" i="2"/>
  <c r="FI6" i="2"/>
  <c r="FJ6" i="2"/>
  <c r="FK6" i="2"/>
  <c r="FL6" i="2"/>
  <c r="FM6" i="2"/>
  <c r="FN6" i="2"/>
  <c r="FO6" i="2"/>
  <c r="FP6" i="2"/>
  <c r="FQ6" i="2"/>
  <c r="FR6" i="2"/>
  <c r="FS6" i="2"/>
  <c r="FT6" i="2"/>
  <c r="FU6" i="2"/>
  <c r="FV6" i="2"/>
  <c r="FW6" i="2"/>
  <c r="FX6" i="2"/>
  <c r="FY6" i="2"/>
  <c r="FZ6" i="2"/>
  <c r="GA6" i="2"/>
  <c r="GB6" i="2"/>
  <c r="GC6" i="2"/>
  <c r="GD6" i="2"/>
  <c r="GE6" i="2"/>
  <c r="GF6" i="2"/>
  <c r="GG6" i="2"/>
  <c r="GH6" i="2"/>
  <c r="GI6" i="2"/>
  <c r="GJ6" i="2"/>
  <c r="GK6" i="2"/>
  <c r="GL6" i="2"/>
  <c r="GM6" i="2"/>
  <c r="GN6" i="2"/>
  <c r="GO6" i="2"/>
  <c r="GP6" i="2"/>
  <c r="GQ6" i="2"/>
  <c r="GR6" i="2"/>
  <c r="GS6" i="2"/>
  <c r="GT6" i="2"/>
  <c r="GU6" i="2"/>
  <c r="GV6" i="2"/>
  <c r="GW6" i="2"/>
  <c r="GX6" i="2"/>
  <c r="GY6" i="2"/>
  <c r="GZ6" i="2"/>
  <c r="HA6" i="2"/>
  <c r="HB6" i="2"/>
  <c r="HC6" i="2"/>
  <c r="HD6" i="2"/>
  <c r="HE6" i="2"/>
  <c r="HF6" i="2"/>
  <c r="HG6" i="2"/>
  <c r="HH6" i="2"/>
  <c r="HI6" i="2"/>
  <c r="HJ6" i="2"/>
  <c r="HK6" i="2"/>
  <c r="HL6" i="2"/>
  <c r="HM6" i="2"/>
  <c r="HN6" i="2"/>
  <c r="HO6" i="2"/>
  <c r="HP6" i="2"/>
  <c r="HQ6" i="2"/>
  <c r="HR6" i="2"/>
  <c r="HS6" i="2"/>
  <c r="HT6" i="2"/>
  <c r="HU6" i="2"/>
  <c r="HV6" i="2"/>
  <c r="HW6" i="2"/>
  <c r="HX6" i="2"/>
  <c r="HY6" i="2"/>
  <c r="HZ6" i="2"/>
  <c r="IA6" i="2"/>
  <c r="IB6" i="2"/>
  <c r="IC6" i="2"/>
  <c r="ID6" i="2"/>
  <c r="IE6" i="2"/>
  <c r="IF6" i="2"/>
  <c r="IG6" i="2"/>
  <c r="IH6" i="2"/>
  <c r="II6" i="2"/>
  <c r="IJ6" i="2"/>
  <c r="IK6" i="2"/>
  <c r="IL6" i="2"/>
  <c r="IM6" i="2"/>
  <c r="IN6" i="2"/>
  <c r="IO6" i="2"/>
  <c r="IP6" i="2"/>
  <c r="IQ6" i="2"/>
  <c r="IR6" i="2"/>
  <c r="IS6" i="2"/>
  <c r="IT6" i="2"/>
  <c r="IU6" i="2"/>
  <c r="IV6" i="2"/>
  <c r="IW6" i="2"/>
  <c r="IX6" i="2"/>
  <c r="IY6" i="2"/>
  <c r="IZ6" i="2"/>
  <c r="JA6" i="2"/>
  <c r="JB6" i="2"/>
  <c r="JC6" i="2"/>
  <c r="JD6" i="2"/>
  <c r="JE6" i="2"/>
  <c r="JF6" i="2"/>
  <c r="JG6" i="2"/>
  <c r="JH6" i="2"/>
  <c r="JI6" i="2"/>
  <c r="JJ6" i="2"/>
  <c r="JK6" i="2"/>
  <c r="JL6" i="2"/>
  <c r="JM6" i="2"/>
  <c r="JN6" i="2"/>
  <c r="JO6" i="2"/>
  <c r="JP6" i="2"/>
  <c r="JQ6" i="2"/>
  <c r="JR6" i="2"/>
  <c r="JS6" i="2"/>
  <c r="JT6" i="2"/>
  <c r="JU6" i="2"/>
  <c r="JV6" i="2"/>
  <c r="JW6" i="2"/>
  <c r="JX6" i="2"/>
  <c r="JY6" i="2"/>
  <c r="JZ6" i="2"/>
  <c r="KA6" i="2"/>
  <c r="KB6" i="2"/>
  <c r="KC6" i="2"/>
  <c r="KD6" i="2"/>
  <c r="KE6" i="2"/>
  <c r="KF6" i="2"/>
  <c r="KG6" i="2"/>
  <c r="KH6" i="2"/>
  <c r="KI6" i="2"/>
  <c r="KJ6" i="2"/>
  <c r="KK6" i="2"/>
  <c r="KL6" i="2"/>
  <c r="KM6" i="2"/>
  <c r="KN6" i="2"/>
  <c r="KO6" i="2"/>
  <c r="KP6" i="2"/>
  <c r="KQ6" i="2"/>
  <c r="KR6" i="2"/>
  <c r="KS6" i="2"/>
  <c r="KT6" i="2"/>
  <c r="KU6" i="2"/>
  <c r="KV6" i="2"/>
  <c r="KW6" i="2"/>
  <c r="KX6" i="2"/>
  <c r="KY6" i="2"/>
  <c r="KZ6" i="2"/>
  <c r="LA6" i="2"/>
  <c r="LB6" i="2"/>
  <c r="LC6" i="2"/>
  <c r="LD6" i="2"/>
  <c r="LE6" i="2"/>
  <c r="LF6" i="2"/>
  <c r="LG6" i="2"/>
  <c r="LH6" i="2"/>
  <c r="LI6" i="2"/>
  <c r="LJ6" i="2"/>
  <c r="LK6" i="2"/>
  <c r="LL6" i="2"/>
  <c r="LM6" i="2"/>
  <c r="LN6" i="2"/>
  <c r="LO6" i="2"/>
  <c r="LP6" i="2"/>
  <c r="LQ6" i="2"/>
  <c r="LR6" i="2"/>
  <c r="LS6" i="2"/>
  <c r="LT6" i="2"/>
  <c r="LU6" i="2"/>
  <c r="LV6" i="2"/>
  <c r="LW6" i="2"/>
  <c r="LX6" i="2"/>
  <c r="LY6" i="2"/>
  <c r="LZ6" i="2"/>
  <c r="MA6" i="2"/>
  <c r="MB6" i="2"/>
  <c r="MC6" i="2"/>
  <c r="MD6" i="2"/>
  <c r="ME6" i="2"/>
  <c r="MF6" i="2"/>
  <c r="MG6" i="2"/>
  <c r="MH6" i="2"/>
  <c r="MI6" i="2"/>
  <c r="MJ6" i="2"/>
  <c r="MK6" i="2"/>
  <c r="ML6" i="2"/>
  <c r="MM6" i="2"/>
  <c r="MN6" i="2"/>
  <c r="MO6" i="2"/>
  <c r="MP6" i="2"/>
  <c r="MQ6" i="2"/>
  <c r="MR6" i="2"/>
  <c r="MS6" i="2"/>
  <c r="MT6" i="2"/>
  <c r="MU6" i="2"/>
  <c r="MV6" i="2"/>
  <c r="MW6" i="2"/>
  <c r="MX6" i="2"/>
  <c r="MY6" i="2"/>
  <c r="MZ6" i="2"/>
  <c r="NA6" i="2"/>
  <c r="NB6" i="2"/>
  <c r="NC6" i="2"/>
  <c r="ND6" i="2"/>
  <c r="NE6" i="2"/>
  <c r="NF6" i="2"/>
  <c r="NG6" i="2"/>
  <c r="NH6" i="2"/>
  <c r="NI6" i="2"/>
  <c r="NJ6" i="2"/>
  <c r="NK6" i="2"/>
  <c r="NL6" i="2"/>
  <c r="NM6" i="2"/>
  <c r="NN6" i="2"/>
  <c r="NO6" i="2"/>
  <c r="NP6" i="2"/>
  <c r="NQ6" i="2"/>
  <c r="NR6" i="2"/>
  <c r="NS6" i="2"/>
  <c r="NT6" i="2"/>
  <c r="NU6" i="2"/>
  <c r="NV6" i="2"/>
  <c r="NW6" i="2"/>
  <c r="NX6" i="2"/>
  <c r="NY6" i="2"/>
  <c r="NZ6" i="2"/>
  <c r="OA6" i="2"/>
  <c r="OB6" i="2"/>
  <c r="OC6" i="2"/>
  <c r="OD6" i="2"/>
  <c r="OE6" i="2"/>
  <c r="OF6" i="2"/>
  <c r="OG6" i="2"/>
  <c r="OH6" i="2"/>
  <c r="OI6" i="2"/>
  <c r="OJ6" i="2"/>
  <c r="OK6" i="2"/>
  <c r="OL6" i="2"/>
  <c r="OM6" i="2"/>
  <c r="ON6" i="2"/>
  <c r="OO6" i="2"/>
  <c r="OP6" i="2"/>
  <c r="OQ6" i="2"/>
  <c r="OR6" i="2"/>
  <c r="OS6" i="2"/>
  <c r="OT6" i="2"/>
  <c r="OU6" i="2"/>
  <c r="OV6" i="2"/>
  <c r="OW6" i="2"/>
  <c r="OX6" i="2"/>
  <c r="OY6" i="2"/>
  <c r="OZ6" i="2"/>
  <c r="PA6" i="2"/>
  <c r="PB6" i="2"/>
  <c r="PC6" i="2"/>
  <c r="PD6" i="2"/>
  <c r="PE6" i="2"/>
  <c r="PF6" i="2"/>
  <c r="PG6" i="2"/>
  <c r="PH6" i="2"/>
  <c r="PI6" i="2"/>
  <c r="PJ6" i="2"/>
  <c r="PK6" i="2"/>
  <c r="PL6" i="2"/>
  <c r="PM6" i="2"/>
  <c r="PN6" i="2"/>
  <c r="PO6" i="2"/>
  <c r="PP6" i="2"/>
  <c r="PQ6" i="2"/>
  <c r="PR6" i="2"/>
  <c r="PS6" i="2"/>
  <c r="PT6" i="2"/>
  <c r="PU6" i="2"/>
  <c r="PV6" i="2"/>
  <c r="PW6" i="2"/>
  <c r="PX6" i="2"/>
  <c r="PY6" i="2"/>
  <c r="PZ6" i="2"/>
  <c r="QA6" i="2"/>
  <c r="QB6" i="2"/>
  <c r="QC6" i="2"/>
  <c r="QD6" i="2"/>
  <c r="QE6" i="2"/>
  <c r="QF6" i="2"/>
  <c r="QG6" i="2"/>
  <c r="QH6" i="2"/>
  <c r="QI6" i="2"/>
  <c r="QJ6" i="2"/>
  <c r="QK6" i="2"/>
  <c r="QL6" i="2"/>
  <c r="QM6" i="2"/>
  <c r="QN6" i="2"/>
  <c r="QO6" i="2"/>
  <c r="QP6" i="2"/>
  <c r="QQ6" i="2"/>
  <c r="QR6" i="2"/>
  <c r="QS6" i="2"/>
  <c r="QT6" i="2"/>
  <c r="QU6" i="2"/>
  <c r="QV6" i="2"/>
  <c r="QW6" i="2"/>
  <c r="QX6" i="2"/>
  <c r="QY6" i="2"/>
  <c r="QZ6" i="2"/>
  <c r="RA6" i="2"/>
  <c r="RB6" i="2"/>
  <c r="RC6" i="2"/>
  <c r="RD6" i="2"/>
  <c r="RE6" i="2"/>
  <c r="RF6" i="2"/>
  <c r="RG6" i="2"/>
  <c r="RH6" i="2"/>
  <c r="RI6" i="2"/>
  <c r="RJ6" i="2"/>
  <c r="RK6" i="2"/>
  <c r="RL6" i="2"/>
  <c r="RM6" i="2"/>
  <c r="RN6" i="2"/>
  <c r="RO6" i="2"/>
  <c r="RP6" i="2"/>
  <c r="RQ6" i="2"/>
  <c r="RR6" i="2"/>
  <c r="RS6" i="2"/>
  <c r="RT6" i="2"/>
  <c r="RU6" i="2"/>
  <c r="RV6" i="2"/>
  <c r="RW6" i="2"/>
  <c r="RX6" i="2"/>
  <c r="RY6" i="2"/>
  <c r="RZ6" i="2"/>
  <c r="SA6" i="2"/>
  <c r="SB6" i="2"/>
  <c r="SC6" i="2"/>
  <c r="SD6" i="2"/>
  <c r="SE6" i="2"/>
  <c r="SF6" i="2"/>
  <c r="SG6" i="2"/>
  <c r="SH6" i="2"/>
  <c r="SI6" i="2"/>
  <c r="SJ6" i="2"/>
  <c r="SK6" i="2"/>
  <c r="SL6" i="2"/>
  <c r="SM6" i="2"/>
  <c r="SN6" i="2"/>
  <c r="SO6" i="2"/>
  <c r="SP6" i="2"/>
  <c r="SQ6" i="2"/>
  <c r="SR6" i="2"/>
  <c r="SS6" i="2"/>
  <c r="ST6" i="2"/>
  <c r="SU6" i="2"/>
  <c r="SV6" i="2"/>
  <c r="SW6" i="2"/>
  <c r="SX6" i="2"/>
  <c r="SY6" i="2"/>
  <c r="SZ6" i="2"/>
  <c r="TA6" i="2"/>
  <c r="TB6" i="2"/>
  <c r="TC6" i="2"/>
  <c r="TD6" i="2"/>
  <c r="TE6" i="2"/>
  <c r="TF6" i="2"/>
  <c r="TG6" i="2"/>
  <c r="TH6" i="2"/>
  <c r="TI6" i="2"/>
  <c r="TJ6" i="2"/>
  <c r="TK6" i="2"/>
  <c r="TL6" i="2"/>
  <c r="TM6" i="2"/>
  <c r="TN6" i="2"/>
  <c r="TO6" i="2"/>
  <c r="TP6" i="2"/>
  <c r="TQ6" i="2"/>
  <c r="TR6" i="2"/>
  <c r="TS6" i="2"/>
  <c r="TT6" i="2"/>
  <c r="TU6" i="2"/>
  <c r="TV6" i="2"/>
  <c r="TW6" i="2"/>
  <c r="TX6" i="2"/>
  <c r="TY6" i="2"/>
  <c r="TZ6" i="2"/>
  <c r="UA6" i="2"/>
  <c r="UB6" i="2"/>
  <c r="UC6" i="2"/>
  <c r="UD6" i="2"/>
  <c r="UE6" i="2"/>
  <c r="UF6" i="2"/>
  <c r="UG6" i="2"/>
  <c r="UH6" i="2"/>
  <c r="UI6" i="2"/>
  <c r="UJ6" i="2"/>
  <c r="UK6" i="2"/>
  <c r="UL6" i="2"/>
  <c r="UM6" i="2"/>
  <c r="UN6" i="2"/>
  <c r="UO6" i="2"/>
  <c r="UP6" i="2"/>
  <c r="UQ6" i="2"/>
  <c r="UR6" i="2"/>
  <c r="US6" i="2"/>
  <c r="UT6" i="2"/>
  <c r="UU6" i="2"/>
  <c r="UV6" i="2"/>
  <c r="UW6" i="2"/>
  <c r="UX6" i="2"/>
  <c r="UY6" i="2"/>
  <c r="UZ6" i="2"/>
  <c r="VA6" i="2"/>
  <c r="VB6" i="2"/>
  <c r="VC6" i="2"/>
  <c r="VD6" i="2"/>
  <c r="VE6" i="2"/>
  <c r="VF6" i="2"/>
  <c r="VG6" i="2"/>
  <c r="VH6" i="2"/>
  <c r="VI6" i="2"/>
  <c r="VJ6" i="2"/>
  <c r="VK6" i="2"/>
  <c r="VL6" i="2"/>
  <c r="VM6" i="2"/>
  <c r="VN6" i="2"/>
  <c r="VO6" i="2"/>
  <c r="VP6" i="2"/>
  <c r="VQ6" i="2"/>
  <c r="VR6" i="2"/>
  <c r="VS6" i="2"/>
  <c r="VT6" i="2"/>
  <c r="VU6" i="2"/>
  <c r="VV6" i="2"/>
  <c r="VW6" i="2"/>
  <c r="VX6" i="2"/>
  <c r="VY6" i="2"/>
  <c r="VZ6" i="2"/>
  <c r="WA6" i="2"/>
  <c r="WB6" i="2"/>
  <c r="WC6" i="2"/>
  <c r="WD6" i="2"/>
  <c r="WE6" i="2"/>
  <c r="WF6" i="2"/>
  <c r="WG6" i="2"/>
  <c r="WH6" i="2"/>
  <c r="WI6" i="2"/>
  <c r="WJ6" i="2"/>
  <c r="WK6" i="2"/>
  <c r="WL6" i="2"/>
  <c r="WM6" i="2"/>
  <c r="WN6" i="2"/>
  <c r="WO6" i="2"/>
  <c r="WP6" i="2"/>
  <c r="WQ6" i="2"/>
  <c r="WR6" i="2"/>
  <c r="WS6" i="2"/>
  <c r="WT6" i="2"/>
  <c r="WU6" i="2"/>
  <c r="WV6" i="2"/>
  <c r="WW6" i="2"/>
  <c r="WX6" i="2"/>
  <c r="WY6" i="2"/>
  <c r="WZ6" i="2"/>
  <c r="XA6" i="2"/>
  <c r="XB6" i="2"/>
  <c r="XC6" i="2"/>
  <c r="XD6" i="2"/>
  <c r="XE6" i="2"/>
  <c r="XF6" i="2"/>
  <c r="XG6" i="2"/>
  <c r="XH6" i="2"/>
  <c r="XI6" i="2"/>
  <c r="XJ6" i="2"/>
  <c r="XK6" i="2"/>
  <c r="XL6" i="2"/>
  <c r="XM6" i="2"/>
  <c r="XN6" i="2"/>
  <c r="XO6" i="2"/>
  <c r="XP6" i="2"/>
  <c r="XQ6" i="2"/>
  <c r="XR6" i="2"/>
  <c r="XS6" i="2"/>
  <c r="XT6" i="2"/>
  <c r="XU6" i="2"/>
  <c r="XV6" i="2"/>
  <c r="XW6" i="2"/>
  <c r="XX6" i="2"/>
  <c r="XY6" i="2"/>
  <c r="XZ6" i="2"/>
  <c r="YA6" i="2"/>
  <c r="YB6" i="2"/>
  <c r="YC6" i="2"/>
  <c r="YD6" i="2"/>
  <c r="YE6" i="2"/>
  <c r="YF6" i="2"/>
  <c r="YG6" i="2"/>
  <c r="YH6" i="2"/>
  <c r="YI6" i="2"/>
  <c r="YJ6" i="2"/>
  <c r="YK6" i="2"/>
  <c r="YL6" i="2"/>
  <c r="YM6" i="2"/>
  <c r="K361" i="1"/>
  <c r="J371" i="1"/>
  <c r="F208" i="1"/>
  <c r="E4" i="2"/>
  <c r="O148" i="4"/>
  <c r="O182" i="4"/>
  <c r="O350" i="4"/>
  <c r="W148" i="4"/>
  <c r="W182" i="4"/>
  <c r="W350" i="4"/>
  <c r="AE148" i="4"/>
  <c r="AE182" i="4"/>
  <c r="AE350" i="4"/>
  <c r="AM148" i="4"/>
  <c r="AM182" i="4"/>
  <c r="AM350" i="4"/>
  <c r="AU148" i="4"/>
  <c r="AU182" i="4"/>
  <c r="AU350" i="4"/>
  <c r="BC148" i="4"/>
  <c r="BC182" i="4"/>
  <c r="BC350" i="4"/>
  <c r="BK148" i="4"/>
  <c r="BK182" i="4"/>
  <c r="BK350" i="4"/>
  <c r="BS148" i="4"/>
  <c r="BS182" i="4"/>
  <c r="BS350" i="4"/>
  <c r="CA148" i="4"/>
  <c r="CA182" i="4"/>
  <c r="CA350" i="4"/>
  <c r="CA376" i="4"/>
  <c r="L201" i="4"/>
  <c r="M201" i="4"/>
  <c r="N201" i="4"/>
  <c r="O201" i="4"/>
  <c r="P201" i="4"/>
  <c r="Q201" i="4"/>
  <c r="R201" i="4"/>
  <c r="S201" i="4"/>
  <c r="T201" i="4"/>
  <c r="U201" i="4"/>
  <c r="V201" i="4"/>
  <c r="W201" i="4"/>
  <c r="X201" i="4"/>
  <c r="Y201" i="4"/>
  <c r="Z201" i="4"/>
  <c r="AA201" i="4"/>
  <c r="AB201" i="4"/>
  <c r="AC201" i="4"/>
  <c r="AD201" i="4"/>
  <c r="AE201" i="4"/>
  <c r="AF201" i="4"/>
  <c r="AG201" i="4"/>
  <c r="AH201" i="4"/>
  <c r="AI201" i="4"/>
  <c r="AJ201" i="4"/>
  <c r="AK201" i="4"/>
  <c r="AL201" i="4"/>
  <c r="AM201" i="4"/>
  <c r="AN201" i="4"/>
  <c r="AO201" i="4"/>
  <c r="AP201" i="4"/>
  <c r="AQ201" i="4"/>
  <c r="AR201" i="4"/>
  <c r="AS201" i="4"/>
  <c r="AT201" i="4"/>
  <c r="AU201" i="4"/>
  <c r="AV201" i="4"/>
  <c r="AW201" i="4"/>
  <c r="AX201" i="4"/>
  <c r="AY201" i="4"/>
  <c r="AZ201" i="4"/>
  <c r="BA201" i="4"/>
  <c r="BB201" i="4"/>
  <c r="BC201" i="4"/>
  <c r="BD201" i="4"/>
  <c r="BE201" i="4"/>
  <c r="BF201" i="4"/>
  <c r="BG201" i="4"/>
  <c r="BH201" i="4"/>
  <c r="BI201" i="4"/>
  <c r="BJ201" i="4"/>
  <c r="BK201" i="4"/>
  <c r="BL201" i="4"/>
  <c r="BM201" i="4"/>
  <c r="BN201" i="4"/>
  <c r="BO201" i="4"/>
  <c r="BP201" i="4"/>
  <c r="BQ201" i="4"/>
  <c r="BR201" i="4"/>
  <c r="BS201" i="4"/>
  <c r="BT201" i="4"/>
  <c r="BU201" i="4"/>
  <c r="BV201" i="4"/>
  <c r="BW201" i="4"/>
  <c r="BX201" i="4"/>
  <c r="BY201" i="4"/>
  <c r="BZ201" i="4"/>
  <c r="CA201" i="4"/>
  <c r="CB201" i="4"/>
  <c r="CC201" i="4"/>
  <c r="J148" i="4"/>
  <c r="K182" i="4"/>
  <c r="K350" i="4"/>
  <c r="R148" i="4"/>
  <c r="S182" i="4"/>
  <c r="S350" i="4"/>
  <c r="Z148" i="4"/>
  <c r="AA182" i="4"/>
  <c r="AA350" i="4"/>
  <c r="AH148" i="4"/>
  <c r="AI182" i="4"/>
  <c r="AI350" i="4"/>
  <c r="AP148" i="4"/>
  <c r="AQ182" i="4"/>
  <c r="AQ350" i="4"/>
  <c r="AX148" i="4"/>
  <c r="AY182" i="4"/>
  <c r="AY350" i="4"/>
  <c r="BF148" i="4"/>
  <c r="BG182" i="4"/>
  <c r="BG350" i="4"/>
  <c r="BN148" i="4"/>
  <c r="BO182" i="4"/>
  <c r="BO350" i="4"/>
  <c r="BV148" i="4"/>
  <c r="BW182" i="4"/>
  <c r="BW350" i="4"/>
  <c r="AH150" i="4"/>
  <c r="F312" i="1"/>
  <c r="J312" i="1"/>
  <c r="K210" i="1"/>
  <c r="L210" i="1"/>
  <c r="M210" i="1"/>
  <c r="N210" i="1"/>
  <c r="O210" i="1"/>
  <c r="P210" i="1"/>
  <c r="Q210" i="1"/>
  <c r="R210" i="1"/>
  <c r="S210" i="1"/>
  <c r="T210" i="1"/>
  <c r="U210" i="1"/>
  <c r="V210" i="1"/>
  <c r="W210" i="1"/>
  <c r="X210" i="1"/>
  <c r="Y210" i="1"/>
  <c r="Z210" i="1"/>
  <c r="AA210" i="1"/>
  <c r="AB210" i="1"/>
  <c r="AC210" i="1"/>
  <c r="AD210" i="1"/>
  <c r="AE210" i="1"/>
  <c r="AF210" i="1"/>
  <c r="AG210" i="1"/>
  <c r="AH210" i="1"/>
  <c r="AI210" i="1"/>
  <c r="AJ210" i="1"/>
  <c r="AK210" i="1"/>
  <c r="AL210" i="1"/>
  <c r="AM210" i="1"/>
  <c r="AN210" i="1"/>
  <c r="AO210" i="1"/>
  <c r="AP210" i="1"/>
  <c r="AQ210" i="1"/>
  <c r="AR210" i="1"/>
  <c r="AS210" i="1"/>
  <c r="AT210" i="1"/>
  <c r="AU210" i="1"/>
  <c r="AV210" i="1"/>
  <c r="AW210" i="1"/>
  <c r="AX210" i="1"/>
  <c r="AY210" i="1"/>
  <c r="AZ210" i="1"/>
  <c r="BA210" i="1"/>
  <c r="BB210" i="1"/>
  <c r="BC210" i="1"/>
  <c r="BD210" i="1"/>
  <c r="BE210" i="1"/>
  <c r="BF210" i="1"/>
  <c r="BG210" i="1"/>
  <c r="BH210" i="1"/>
  <c r="BI210" i="1"/>
  <c r="BJ210" i="1"/>
  <c r="BK210" i="1"/>
  <c r="BL210" i="1"/>
  <c r="BM210" i="1"/>
  <c r="BN210" i="1"/>
  <c r="BO210" i="1"/>
  <c r="BP210" i="1"/>
  <c r="BQ210" i="1"/>
  <c r="BR210" i="1"/>
  <c r="BS210" i="1"/>
  <c r="BT210" i="1"/>
  <c r="BU210" i="1"/>
  <c r="BV210" i="1"/>
  <c r="BW210" i="1"/>
  <c r="BX210" i="1"/>
  <c r="BY210" i="1"/>
  <c r="BZ210" i="1"/>
  <c r="CA210" i="1"/>
  <c r="CB210" i="1"/>
  <c r="CC210" i="1"/>
  <c r="J195" i="4"/>
  <c r="J203" i="4"/>
  <c r="AP195" i="4"/>
  <c r="BV195" i="4"/>
  <c r="R195" i="4"/>
  <c r="AX195" i="4"/>
  <c r="Z195" i="4"/>
  <c r="BF195" i="4"/>
  <c r="AD161" i="4"/>
  <c r="AD289" i="4"/>
  <c r="Z161" i="4"/>
  <c r="V161" i="4"/>
  <c r="R161" i="4"/>
  <c r="N161" i="4"/>
  <c r="N289" i="4"/>
  <c r="J161" i="4"/>
  <c r="AG161" i="4"/>
  <c r="AC161" i="4"/>
  <c r="Y161" i="4"/>
  <c r="Y289" i="4"/>
  <c r="U161" i="4"/>
  <c r="U289" i="4"/>
  <c r="Q161" i="4"/>
  <c r="M161" i="4"/>
  <c r="M289" i="4"/>
  <c r="AB161" i="4"/>
  <c r="AB289" i="4"/>
  <c r="T161" i="4"/>
  <c r="T289" i="4"/>
  <c r="L161" i="4"/>
  <c r="AA161" i="4"/>
  <c r="AA289" i="4"/>
  <c r="S161" i="4"/>
  <c r="S289" i="4"/>
  <c r="K161" i="4"/>
  <c r="K289" i="4"/>
  <c r="AF161" i="4"/>
  <c r="AE161" i="4"/>
  <c r="AE289" i="4"/>
  <c r="W161" i="4"/>
  <c r="W289" i="4"/>
  <c r="O161" i="4"/>
  <c r="D161" i="4"/>
  <c r="AH195" i="4"/>
  <c r="BN195" i="4"/>
  <c r="CB150" i="4"/>
  <c r="CB195" i="4"/>
  <c r="BX150" i="4"/>
  <c r="BT150" i="4"/>
  <c r="BP150" i="4"/>
  <c r="BP195" i="4"/>
  <c r="BL150" i="4"/>
  <c r="BL195" i="4"/>
  <c r="BH150" i="4"/>
  <c r="BD150" i="4"/>
  <c r="BD195" i="4"/>
  <c r="AZ150" i="4"/>
  <c r="AZ195" i="4"/>
  <c r="AV150" i="4"/>
  <c r="AV195" i="4"/>
  <c r="AR150" i="4"/>
  <c r="AN150" i="4"/>
  <c r="AN195" i="4"/>
  <c r="AJ150" i="4"/>
  <c r="AJ195" i="4"/>
  <c r="AF150" i="4"/>
  <c r="AF195" i="4"/>
  <c r="AB150" i="4"/>
  <c r="X150" i="4"/>
  <c r="T150" i="4"/>
  <c r="T195" i="4"/>
  <c r="P150" i="4"/>
  <c r="P195" i="4"/>
  <c r="L150" i="4"/>
  <c r="CA150" i="4"/>
  <c r="CA195" i="4"/>
  <c r="BW150" i="4"/>
  <c r="BW195" i="4"/>
  <c r="BS150" i="4"/>
  <c r="BS195" i="4"/>
  <c r="BO150" i="4"/>
  <c r="BK150" i="4"/>
  <c r="BK195" i="4"/>
  <c r="BG150" i="4"/>
  <c r="BG195" i="4"/>
  <c r="BC150" i="4"/>
  <c r="BC195" i="4"/>
  <c r="AY150" i="4"/>
  <c r="AU150" i="4"/>
  <c r="AU195" i="4"/>
  <c r="AQ150" i="4"/>
  <c r="AQ195" i="4"/>
  <c r="AM150" i="4"/>
  <c r="AM195" i="4"/>
  <c r="AI150" i="4"/>
  <c r="AE150" i="4"/>
  <c r="AE195" i="4"/>
  <c r="AA150" i="4"/>
  <c r="AA195" i="4"/>
  <c r="W150" i="4"/>
  <c r="W195" i="4"/>
  <c r="S150" i="4"/>
  <c r="O150" i="4"/>
  <c r="O195" i="4"/>
  <c r="K150" i="4"/>
  <c r="K195" i="4"/>
  <c r="Q150" i="4"/>
  <c r="Y150" i="4"/>
  <c r="AG150" i="4"/>
  <c r="AO150" i="4"/>
  <c r="AW150" i="4"/>
  <c r="AX203" i="4"/>
  <c r="AX352" i="4"/>
  <c r="BE150" i="4"/>
  <c r="BF203" i="4"/>
  <c r="BF352" i="4"/>
  <c r="BM150" i="4"/>
  <c r="BU150" i="4"/>
  <c r="CC150" i="4"/>
  <c r="J176" i="4"/>
  <c r="R176" i="4"/>
  <c r="Z176" i="4"/>
  <c r="AH176" i="4"/>
  <c r="AP176" i="4"/>
  <c r="AX176" i="4"/>
  <c r="BN176" i="4"/>
  <c r="F256" i="4"/>
  <c r="J256" i="4"/>
  <c r="S195" i="4"/>
  <c r="AI195" i="4"/>
  <c r="AY195" i="4"/>
  <c r="BO195" i="4"/>
  <c r="N409" i="4"/>
  <c r="K409" i="4"/>
  <c r="M150" i="4"/>
  <c r="U150" i="4"/>
  <c r="AC150" i="4"/>
  <c r="AK150" i="4"/>
  <c r="AS150" i="4"/>
  <c r="BA150" i="4"/>
  <c r="BI150" i="4"/>
  <c r="BQ150" i="4"/>
  <c r="BY150" i="4"/>
  <c r="N176" i="4"/>
  <c r="V176" i="4"/>
  <c r="AD176" i="4"/>
  <c r="AL176" i="4"/>
  <c r="AT176" i="4"/>
  <c r="BF176" i="4"/>
  <c r="BV176" i="4"/>
  <c r="L195" i="4"/>
  <c r="X195" i="4"/>
  <c r="AB195" i="4"/>
  <c r="AR195" i="4"/>
  <c r="BH195" i="4"/>
  <c r="BT195" i="4"/>
  <c r="BX195" i="4"/>
  <c r="F264" i="4"/>
  <c r="N150" i="4"/>
  <c r="V150" i="4"/>
  <c r="AD150" i="4"/>
  <c r="AL150" i="4"/>
  <c r="AT150" i="4"/>
  <c r="BB150" i="4"/>
  <c r="BJ150" i="4"/>
  <c r="BR150" i="4"/>
  <c r="BZ150" i="4"/>
  <c r="BA209" i="4"/>
  <c r="BA176" i="4"/>
  <c r="BE209" i="4"/>
  <c r="BE176" i="4"/>
  <c r="BI209" i="4"/>
  <c r="BI176" i="4"/>
  <c r="BM209" i="4"/>
  <c r="BM176" i="4"/>
  <c r="BQ209" i="4"/>
  <c r="BQ176" i="4"/>
  <c r="BU209" i="4"/>
  <c r="BU176" i="4"/>
  <c r="BY209" i="4"/>
  <c r="BY176" i="4"/>
  <c r="CC209" i="4"/>
  <c r="CC176" i="4"/>
  <c r="Q176" i="4"/>
  <c r="Y176" i="4"/>
  <c r="AG176" i="4"/>
  <c r="AO176" i="4"/>
  <c r="AW176" i="4"/>
  <c r="BJ176" i="4"/>
  <c r="BZ176" i="4"/>
  <c r="J281" i="4"/>
  <c r="D281" i="4"/>
  <c r="L289" i="4"/>
  <c r="P289" i="4"/>
  <c r="X289" i="4"/>
  <c r="AF289" i="4"/>
  <c r="F262" i="4"/>
  <c r="CA366" i="4"/>
  <c r="O289" i="4"/>
  <c r="L148" i="4"/>
  <c r="P148" i="4"/>
  <c r="T148" i="4"/>
  <c r="T182" i="4"/>
  <c r="T350" i="4"/>
  <c r="X148" i="4"/>
  <c r="AB148" i="4"/>
  <c r="AB182" i="4"/>
  <c r="AB350" i="4"/>
  <c r="AF148" i="4"/>
  <c r="AJ148" i="4"/>
  <c r="AJ182" i="4"/>
  <c r="AJ350" i="4"/>
  <c r="AN148" i="4"/>
  <c r="AN182" i="4"/>
  <c r="AN350" i="4"/>
  <c r="AR148" i="4"/>
  <c r="AR182" i="4"/>
  <c r="AR350" i="4"/>
  <c r="AV148" i="4"/>
  <c r="AZ148" i="4"/>
  <c r="AZ182" i="4"/>
  <c r="AZ350" i="4"/>
  <c r="BD148" i="4"/>
  <c r="BH148" i="4"/>
  <c r="BH182" i="4"/>
  <c r="BH350" i="4"/>
  <c r="BL148" i="4"/>
  <c r="BP148" i="4"/>
  <c r="BP182" i="4"/>
  <c r="BP350" i="4"/>
  <c r="BT148" i="4"/>
  <c r="BT182" i="4"/>
  <c r="BT350" i="4"/>
  <c r="BX148" i="4"/>
  <c r="BX182" i="4"/>
  <c r="BX350" i="4"/>
  <c r="CB148" i="4"/>
  <c r="F193" i="4"/>
  <c r="F195" i="4"/>
  <c r="Q289" i="4"/>
  <c r="AC289" i="4"/>
  <c r="AG289" i="4"/>
  <c r="M148" i="4"/>
  <c r="N182" i="4"/>
  <c r="N350" i="4"/>
  <c r="Q148" i="4"/>
  <c r="U148" i="4"/>
  <c r="Y148" i="4"/>
  <c r="AC148" i="4"/>
  <c r="AG148" i="4"/>
  <c r="AK148" i="4"/>
  <c r="AO148" i="4"/>
  <c r="AS148" i="4"/>
  <c r="AW148" i="4"/>
  <c r="BA148" i="4"/>
  <c r="BE148" i="4"/>
  <c r="BI148" i="4"/>
  <c r="BM148" i="4"/>
  <c r="BQ148" i="4"/>
  <c r="BU148" i="4"/>
  <c r="BY148" i="4"/>
  <c r="CC148" i="4"/>
  <c r="CC364" i="4"/>
  <c r="CC366" i="4"/>
  <c r="CC338" i="4"/>
  <c r="R289" i="4"/>
  <c r="V289" i="4"/>
  <c r="Z289" i="4"/>
  <c r="CB366" i="4"/>
  <c r="CB338" i="4"/>
  <c r="K417" i="4"/>
  <c r="L407" i="4"/>
  <c r="CA338" i="4"/>
  <c r="C20" i="2"/>
  <c r="F20" i="2"/>
  <c r="E20" i="2"/>
  <c r="D20" i="2"/>
  <c r="B20" i="2"/>
  <c r="WO12" i="2"/>
  <c r="WP12" i="2"/>
  <c r="WQ12" i="2"/>
  <c r="WR12" i="2"/>
  <c r="WS12" i="2"/>
  <c r="WT12" i="2"/>
  <c r="WU12" i="2"/>
  <c r="WV12" i="2"/>
  <c r="WW12" i="2"/>
  <c r="WX12" i="2"/>
  <c r="WY12" i="2"/>
  <c r="WZ12" i="2"/>
  <c r="XA12" i="2"/>
  <c r="XB12" i="2"/>
  <c r="XC12" i="2"/>
  <c r="XD12" i="2"/>
  <c r="XE12" i="2"/>
  <c r="XF12" i="2"/>
  <c r="XG12" i="2"/>
  <c r="XH12" i="2"/>
  <c r="XI12" i="2"/>
  <c r="XJ12" i="2"/>
  <c r="XK12" i="2"/>
  <c r="XL12" i="2"/>
  <c r="XM12" i="2"/>
  <c r="XN12" i="2"/>
  <c r="XO12" i="2"/>
  <c r="XP12" i="2"/>
  <c r="XQ12" i="2"/>
  <c r="XR12" i="2"/>
  <c r="XS12" i="2"/>
  <c r="XT12" i="2"/>
  <c r="XU12" i="2"/>
  <c r="XV12" i="2"/>
  <c r="XW12" i="2"/>
  <c r="XX12" i="2"/>
  <c r="XY12" i="2"/>
  <c r="XZ12" i="2"/>
  <c r="YA12" i="2"/>
  <c r="YB12" i="2"/>
  <c r="YC12" i="2"/>
  <c r="YD12" i="2"/>
  <c r="YE12" i="2"/>
  <c r="YF12" i="2"/>
  <c r="YG12" i="2"/>
  <c r="YH12" i="2"/>
  <c r="YI12" i="2"/>
  <c r="YJ12" i="2"/>
  <c r="YK12" i="2"/>
  <c r="YL12" i="2"/>
  <c r="YM12" i="2"/>
  <c r="H209" i="4"/>
  <c r="BL182" i="4"/>
  <c r="BL350" i="4"/>
  <c r="AF182" i="4"/>
  <c r="AF350" i="4"/>
  <c r="BN203" i="4"/>
  <c r="BN352" i="4"/>
  <c r="BQ182" i="4"/>
  <c r="BQ350" i="4"/>
  <c r="BA182" i="4"/>
  <c r="BA350" i="4"/>
  <c r="AK182" i="4"/>
  <c r="AK350" i="4"/>
  <c r="U182" i="4"/>
  <c r="U350" i="4"/>
  <c r="BD182" i="4"/>
  <c r="BD350" i="4"/>
  <c r="X182" i="4"/>
  <c r="X350" i="4"/>
  <c r="CC182" i="4"/>
  <c r="CC350" i="4"/>
  <c r="CC376" i="4"/>
  <c r="BM182" i="4"/>
  <c r="BM350" i="4"/>
  <c r="AW182" i="4"/>
  <c r="AW350" i="4"/>
  <c r="AG182" i="4"/>
  <c r="AG350" i="4"/>
  <c r="Q182" i="4"/>
  <c r="Q350" i="4"/>
  <c r="R203" i="4"/>
  <c r="R352" i="4"/>
  <c r="BJ216" i="1"/>
  <c r="BJ474" i="1"/>
  <c r="O216" i="1"/>
  <c r="O474" i="1"/>
  <c r="CA245" i="1"/>
  <c r="BS245" i="1"/>
  <c r="BS253" i="1"/>
  <c r="BK245" i="1"/>
  <c r="BC245" i="1"/>
  <c r="BC253" i="1"/>
  <c r="AU245" i="1"/>
  <c r="AU253" i="1"/>
  <c r="AM245" i="1"/>
  <c r="AM253" i="1"/>
  <c r="AE245" i="1"/>
  <c r="AE253" i="1"/>
  <c r="W245" i="1"/>
  <c r="W253" i="1"/>
  <c r="O245" i="1"/>
  <c r="O253" i="1"/>
  <c r="CC245" i="1"/>
  <c r="BU245" i="1"/>
  <c r="BM245" i="1"/>
  <c r="BM253" i="1"/>
  <c r="BM476" i="1"/>
  <c r="BE245" i="1"/>
  <c r="BE253" i="1"/>
  <c r="AW245" i="1"/>
  <c r="AO245" i="1"/>
  <c r="AG245" i="1"/>
  <c r="AG253" i="1"/>
  <c r="AG476" i="1"/>
  <c r="Y245" i="1"/>
  <c r="Y253" i="1"/>
  <c r="Q245" i="1"/>
  <c r="J245" i="1"/>
  <c r="J261" i="1"/>
  <c r="J263" i="1"/>
  <c r="J265" i="1"/>
  <c r="BZ245" i="1"/>
  <c r="BZ253" i="1"/>
  <c r="BV245" i="1"/>
  <c r="BR245" i="1"/>
  <c r="BR253" i="1"/>
  <c r="BR476" i="1"/>
  <c r="BN245" i="1"/>
  <c r="BJ245" i="1"/>
  <c r="BJ253" i="1"/>
  <c r="BF245" i="1"/>
  <c r="BB245" i="1"/>
  <c r="BB253" i="1"/>
  <c r="BB476" i="1"/>
  <c r="AX245" i="1"/>
  <c r="AT245" i="1"/>
  <c r="AT253" i="1"/>
  <c r="AP245" i="1"/>
  <c r="AL245" i="1"/>
  <c r="AL253" i="1"/>
  <c r="AL476" i="1"/>
  <c r="AH245" i="1"/>
  <c r="AD245" i="1"/>
  <c r="AD253" i="1"/>
  <c r="Z245" i="1"/>
  <c r="V245" i="1"/>
  <c r="V253" i="1"/>
  <c r="V476" i="1"/>
  <c r="R245" i="1"/>
  <c r="N245" i="1"/>
  <c r="N253" i="1"/>
  <c r="BW245" i="1"/>
  <c r="BW253" i="1"/>
  <c r="BO245" i="1"/>
  <c r="BO253" i="1"/>
  <c r="BG245" i="1"/>
  <c r="BG253" i="1"/>
  <c r="AY245" i="1"/>
  <c r="AY253" i="1"/>
  <c r="AQ245" i="1"/>
  <c r="AQ253" i="1"/>
  <c r="AI245" i="1"/>
  <c r="AI253" i="1"/>
  <c r="AA245" i="1"/>
  <c r="AA253" i="1"/>
  <c r="S245" i="1"/>
  <c r="S253" i="1"/>
  <c r="BY245" i="1"/>
  <c r="BY253" i="1"/>
  <c r="BQ245" i="1"/>
  <c r="BQ253" i="1"/>
  <c r="BI245" i="1"/>
  <c r="BA245" i="1"/>
  <c r="BA253" i="1"/>
  <c r="AS245" i="1"/>
  <c r="AS253" i="1"/>
  <c r="AK245" i="1"/>
  <c r="AK253" i="1"/>
  <c r="AC245" i="1"/>
  <c r="U245" i="1"/>
  <c r="U253" i="1"/>
  <c r="CB245" i="1"/>
  <c r="CB253" i="1"/>
  <c r="CB476" i="1"/>
  <c r="BX245" i="1"/>
  <c r="BT245" i="1"/>
  <c r="BT253" i="1"/>
  <c r="BT476" i="1"/>
  <c r="BP245" i="1"/>
  <c r="BL245" i="1"/>
  <c r="BL253" i="1"/>
  <c r="BL476" i="1"/>
  <c r="BH245" i="1"/>
  <c r="BD245" i="1"/>
  <c r="BD253" i="1"/>
  <c r="BD476" i="1"/>
  <c r="AZ245" i="1"/>
  <c r="AV245" i="1"/>
  <c r="AV253" i="1"/>
  <c r="AV476" i="1"/>
  <c r="AR245" i="1"/>
  <c r="AN245" i="1"/>
  <c r="AN253" i="1"/>
  <c r="AN476" i="1"/>
  <c r="AJ245" i="1"/>
  <c r="AF245" i="1"/>
  <c r="AF253" i="1"/>
  <c r="AF476" i="1"/>
  <c r="AB245" i="1"/>
  <c r="X245" i="1"/>
  <c r="X253" i="1"/>
  <c r="X476" i="1"/>
  <c r="T245" i="1"/>
  <c r="P245" i="1"/>
  <c r="P253" i="1"/>
  <c r="P476" i="1"/>
  <c r="CA216" i="1"/>
  <c r="CA474" i="1"/>
  <c r="BS216" i="1"/>
  <c r="BS474" i="1"/>
  <c r="BK216" i="1"/>
  <c r="BK474" i="1"/>
  <c r="BC216" i="1"/>
  <c r="BC474" i="1"/>
  <c r="AU216" i="1"/>
  <c r="AU474" i="1"/>
  <c r="AM216" i="1"/>
  <c r="AM474" i="1"/>
  <c r="AE216" i="1"/>
  <c r="AE474" i="1"/>
  <c r="W216" i="1"/>
  <c r="W474" i="1"/>
  <c r="L245" i="1"/>
  <c r="L261" i="1"/>
  <c r="F17" i="2"/>
  <c r="N531" i="1"/>
  <c r="N541" i="1"/>
  <c r="AQ216" i="1"/>
  <c r="AQ474" i="1"/>
  <c r="M245" i="1"/>
  <c r="M261" i="1"/>
  <c r="M263" i="1"/>
  <c r="AS216" i="1"/>
  <c r="AS474" i="1"/>
  <c r="BN216" i="1"/>
  <c r="BN474" i="1"/>
  <c r="AX216" i="1"/>
  <c r="AX474" i="1"/>
  <c r="B17" i="2"/>
  <c r="J531" i="1"/>
  <c r="J541" i="1"/>
  <c r="E17" i="2"/>
  <c r="M531" i="1"/>
  <c r="M541" i="1"/>
  <c r="BW216" i="1"/>
  <c r="BW474" i="1"/>
  <c r="BG216" i="1"/>
  <c r="BG474" i="1"/>
  <c r="AA216" i="1"/>
  <c r="AA474" i="1"/>
  <c r="BY216" i="1"/>
  <c r="BY474" i="1"/>
  <c r="AC216" i="1"/>
  <c r="AC474" i="1"/>
  <c r="C17" i="2"/>
  <c r="K531" i="1"/>
  <c r="K541" i="1"/>
  <c r="K245" i="1"/>
  <c r="K261" i="1"/>
  <c r="K263" i="1"/>
  <c r="K369" i="1"/>
  <c r="J369" i="1"/>
  <c r="Y216" i="1"/>
  <c r="Y474" i="1"/>
  <c r="AP216" i="1"/>
  <c r="AP474" i="1"/>
  <c r="R216" i="1"/>
  <c r="R474" i="1"/>
  <c r="AW216" i="1"/>
  <c r="AW474" i="1"/>
  <c r="D17" i="2"/>
  <c r="L531" i="1"/>
  <c r="L541" i="1"/>
  <c r="BE216" i="1"/>
  <c r="BE474" i="1"/>
  <c r="AG216" i="1"/>
  <c r="AG474" i="1"/>
  <c r="AD216" i="1"/>
  <c r="AD474" i="1"/>
  <c r="CC216" i="1"/>
  <c r="CC474" i="1"/>
  <c r="K371" i="1"/>
  <c r="L361" i="1"/>
  <c r="M361" i="1"/>
  <c r="H10" i="2"/>
  <c r="I10" i="2"/>
  <c r="J10" i="2"/>
  <c r="K10" i="2"/>
  <c r="L10" i="2"/>
  <c r="M10" i="2"/>
  <c r="N10" i="2"/>
  <c r="O10" i="2"/>
  <c r="P10" i="2"/>
  <c r="Q10" i="2"/>
  <c r="R10" i="2"/>
  <c r="S10" i="2"/>
  <c r="T10" i="2"/>
  <c r="U10" i="2"/>
  <c r="V10" i="2"/>
  <c r="W10" i="2"/>
  <c r="X10" i="2"/>
  <c r="Y10" i="2"/>
  <c r="Z10" i="2"/>
  <c r="AA10" i="2"/>
  <c r="AB10" i="2"/>
  <c r="AC10" i="2"/>
  <c r="AD10" i="2"/>
  <c r="AE10" i="2"/>
  <c r="AF10" i="2"/>
  <c r="AG10" i="2"/>
  <c r="AH10" i="2"/>
  <c r="AI10" i="2"/>
  <c r="AJ10" i="2"/>
  <c r="AK10" i="2"/>
  <c r="AL10" i="2"/>
  <c r="AM10" i="2"/>
  <c r="AN10" i="2"/>
  <c r="AO10" i="2"/>
  <c r="AP10" i="2"/>
  <c r="AQ10" i="2"/>
  <c r="AR10" i="2"/>
  <c r="AS10" i="2"/>
  <c r="AT10" i="2"/>
  <c r="AU10" i="2"/>
  <c r="AV10" i="2"/>
  <c r="AW10" i="2"/>
  <c r="AX10" i="2"/>
  <c r="AY10" i="2"/>
  <c r="AZ10" i="2"/>
  <c r="BA10" i="2"/>
  <c r="BB10" i="2"/>
  <c r="BC10" i="2"/>
  <c r="BD10" i="2"/>
  <c r="BE10" i="2"/>
  <c r="BF10" i="2"/>
  <c r="BG10" i="2"/>
  <c r="BH10" i="2"/>
  <c r="BI10" i="2"/>
  <c r="BJ10" i="2"/>
  <c r="BK10" i="2"/>
  <c r="BL10" i="2"/>
  <c r="BM10" i="2"/>
  <c r="BN10" i="2"/>
  <c r="BO10" i="2"/>
  <c r="BP10" i="2"/>
  <c r="BQ10" i="2"/>
  <c r="BR10" i="2"/>
  <c r="BS10" i="2"/>
  <c r="BT10" i="2"/>
  <c r="BU10" i="2"/>
  <c r="BV10" i="2"/>
  <c r="BW10" i="2"/>
  <c r="BX10" i="2"/>
  <c r="BY10" i="2"/>
  <c r="BZ10" i="2"/>
  <c r="CA10" i="2"/>
  <c r="CB10" i="2"/>
  <c r="CC10" i="2"/>
  <c r="CD10" i="2"/>
  <c r="CE10" i="2"/>
  <c r="CF10" i="2"/>
  <c r="CG10" i="2"/>
  <c r="CH10" i="2"/>
  <c r="CI10" i="2"/>
  <c r="CJ10" i="2"/>
  <c r="CK10" i="2"/>
  <c r="CL10" i="2"/>
  <c r="CM10" i="2"/>
  <c r="CN10" i="2"/>
  <c r="CO10" i="2"/>
  <c r="CP10" i="2"/>
  <c r="CQ10" i="2"/>
  <c r="CR10" i="2"/>
  <c r="CS10" i="2"/>
  <c r="CT10" i="2"/>
  <c r="CU10" i="2"/>
  <c r="CV10" i="2"/>
  <c r="CW10" i="2"/>
  <c r="CX10" i="2"/>
  <c r="CY10" i="2"/>
  <c r="CZ10" i="2"/>
  <c r="DA10" i="2"/>
  <c r="DB10" i="2"/>
  <c r="DC10" i="2"/>
  <c r="DD10" i="2"/>
  <c r="DE10" i="2"/>
  <c r="DF10" i="2"/>
  <c r="DG10" i="2"/>
  <c r="DH10" i="2"/>
  <c r="DI10" i="2"/>
  <c r="DJ10" i="2"/>
  <c r="DK10" i="2"/>
  <c r="DL10" i="2"/>
  <c r="DM10" i="2"/>
  <c r="DN10" i="2"/>
  <c r="DO10" i="2"/>
  <c r="DP10" i="2"/>
  <c r="DQ10" i="2"/>
  <c r="DR10" i="2"/>
  <c r="DS10" i="2"/>
  <c r="DT10" i="2"/>
  <c r="DU10" i="2"/>
  <c r="DV10" i="2"/>
  <c r="DW10" i="2"/>
  <c r="DX10" i="2"/>
  <c r="DY10" i="2"/>
  <c r="DZ10" i="2"/>
  <c r="EA10" i="2"/>
  <c r="EB10" i="2"/>
  <c r="EC10" i="2"/>
  <c r="ED10" i="2"/>
  <c r="EE10" i="2"/>
  <c r="EF10" i="2"/>
  <c r="EG10" i="2"/>
  <c r="EH10" i="2"/>
  <c r="EI10" i="2"/>
  <c r="EJ10" i="2"/>
  <c r="EK10" i="2"/>
  <c r="EL10" i="2"/>
  <c r="EM10" i="2"/>
  <c r="EN10" i="2"/>
  <c r="EO10" i="2"/>
  <c r="EP10" i="2"/>
  <c r="EQ10" i="2"/>
  <c r="ER10" i="2"/>
  <c r="ES10" i="2"/>
  <c r="ET10" i="2"/>
  <c r="EU10" i="2"/>
  <c r="EV10" i="2"/>
  <c r="EW10" i="2"/>
  <c r="EX10" i="2"/>
  <c r="EY10" i="2"/>
  <c r="EZ10" i="2"/>
  <c r="FA10" i="2"/>
  <c r="FB10" i="2"/>
  <c r="FC10" i="2"/>
  <c r="FD10" i="2"/>
  <c r="FE10" i="2"/>
  <c r="FF10" i="2"/>
  <c r="FG10" i="2"/>
  <c r="FH10" i="2"/>
  <c r="FI10" i="2"/>
  <c r="FJ10" i="2"/>
  <c r="FK10" i="2"/>
  <c r="FL10" i="2"/>
  <c r="FM10" i="2"/>
  <c r="FN10" i="2"/>
  <c r="FO10" i="2"/>
  <c r="FP10" i="2"/>
  <c r="FQ10" i="2"/>
  <c r="FR10" i="2"/>
  <c r="FS10" i="2"/>
  <c r="FT10" i="2"/>
  <c r="FU10" i="2"/>
  <c r="FV10" i="2"/>
  <c r="FW10" i="2"/>
  <c r="FX10" i="2"/>
  <c r="FY10" i="2"/>
  <c r="FZ10" i="2"/>
  <c r="GA10" i="2"/>
  <c r="GB10" i="2"/>
  <c r="GC10" i="2"/>
  <c r="GD10" i="2"/>
  <c r="GE10" i="2"/>
  <c r="GF10" i="2"/>
  <c r="GG10" i="2"/>
  <c r="GH10" i="2"/>
  <c r="GI10" i="2"/>
  <c r="GJ10" i="2"/>
  <c r="GK10" i="2"/>
  <c r="GL10" i="2"/>
  <c r="GM10" i="2"/>
  <c r="GN10" i="2"/>
  <c r="GO10" i="2"/>
  <c r="GP10" i="2"/>
  <c r="GQ10" i="2"/>
  <c r="GR10" i="2"/>
  <c r="GS10" i="2"/>
  <c r="GT10" i="2"/>
  <c r="GU10" i="2"/>
  <c r="GV10" i="2"/>
  <c r="GW10" i="2"/>
  <c r="GX10" i="2"/>
  <c r="GY10" i="2"/>
  <c r="GZ10" i="2"/>
  <c r="HA10" i="2"/>
  <c r="HB10" i="2"/>
  <c r="HC10" i="2"/>
  <c r="HD10" i="2"/>
  <c r="HE10" i="2"/>
  <c r="HF10" i="2"/>
  <c r="HG10" i="2"/>
  <c r="HH10" i="2"/>
  <c r="HI10" i="2"/>
  <c r="HJ10" i="2"/>
  <c r="HK10" i="2"/>
  <c r="HL10" i="2"/>
  <c r="HM10" i="2"/>
  <c r="HN10" i="2"/>
  <c r="HO10" i="2"/>
  <c r="HP10" i="2"/>
  <c r="HQ10" i="2"/>
  <c r="HR10" i="2"/>
  <c r="HS10" i="2"/>
  <c r="HT10" i="2"/>
  <c r="HU10" i="2"/>
  <c r="HV10" i="2"/>
  <c r="HW10" i="2"/>
  <c r="HX10" i="2"/>
  <c r="HY10" i="2"/>
  <c r="HZ10" i="2"/>
  <c r="IA10" i="2"/>
  <c r="IB10" i="2"/>
  <c r="IC10" i="2"/>
  <c r="ID10" i="2"/>
  <c r="IE10" i="2"/>
  <c r="IF10" i="2"/>
  <c r="IG10" i="2"/>
  <c r="IH10" i="2"/>
  <c r="II10" i="2"/>
  <c r="IJ10" i="2"/>
  <c r="IK10" i="2"/>
  <c r="IL10" i="2"/>
  <c r="IM10" i="2"/>
  <c r="IN10" i="2"/>
  <c r="IO10" i="2"/>
  <c r="IP10" i="2"/>
  <c r="IQ10" i="2"/>
  <c r="IR10" i="2"/>
  <c r="IS10" i="2"/>
  <c r="IT10" i="2"/>
  <c r="IU10" i="2"/>
  <c r="IV10" i="2"/>
  <c r="IW10" i="2"/>
  <c r="IX10" i="2"/>
  <c r="IY10" i="2"/>
  <c r="IZ10" i="2"/>
  <c r="JA10" i="2"/>
  <c r="JB10" i="2"/>
  <c r="JC10" i="2"/>
  <c r="JD10" i="2"/>
  <c r="JE10" i="2"/>
  <c r="JF10" i="2"/>
  <c r="JG10" i="2"/>
  <c r="JH10" i="2"/>
  <c r="JI10" i="2"/>
  <c r="JJ10" i="2"/>
  <c r="JK10" i="2"/>
  <c r="JL10" i="2"/>
  <c r="JM10" i="2"/>
  <c r="JN10" i="2"/>
  <c r="JO10" i="2"/>
  <c r="JP10" i="2"/>
  <c r="JQ10" i="2"/>
  <c r="JR10" i="2"/>
  <c r="JS10" i="2"/>
  <c r="JT10" i="2"/>
  <c r="JU10" i="2"/>
  <c r="JV10" i="2"/>
  <c r="JW10" i="2"/>
  <c r="JX10" i="2"/>
  <c r="JY10" i="2"/>
  <c r="JZ10" i="2"/>
  <c r="KA10" i="2"/>
  <c r="KB10" i="2"/>
  <c r="KC10" i="2"/>
  <c r="KD10" i="2"/>
  <c r="KE10" i="2"/>
  <c r="KF10" i="2"/>
  <c r="KG10" i="2"/>
  <c r="KH10" i="2"/>
  <c r="KI10" i="2"/>
  <c r="KJ10" i="2"/>
  <c r="KK10" i="2"/>
  <c r="KL10" i="2"/>
  <c r="KM10" i="2"/>
  <c r="KN10" i="2"/>
  <c r="KO10" i="2"/>
  <c r="KP10" i="2"/>
  <c r="KQ10" i="2"/>
  <c r="KR10" i="2"/>
  <c r="KS10" i="2"/>
  <c r="KT10" i="2"/>
  <c r="KU10" i="2"/>
  <c r="KV10" i="2"/>
  <c r="KW10" i="2"/>
  <c r="KX10" i="2"/>
  <c r="KY10" i="2"/>
  <c r="KZ10" i="2"/>
  <c r="LA10" i="2"/>
  <c r="LB10" i="2"/>
  <c r="LC10" i="2"/>
  <c r="LD10" i="2"/>
  <c r="LE10" i="2"/>
  <c r="LF10" i="2"/>
  <c r="LG10" i="2"/>
  <c r="LH10" i="2"/>
  <c r="LI10" i="2"/>
  <c r="LJ10" i="2"/>
  <c r="LK10" i="2"/>
  <c r="LL10" i="2"/>
  <c r="LM10" i="2"/>
  <c r="LN10" i="2"/>
  <c r="LO10" i="2"/>
  <c r="LP10" i="2"/>
  <c r="LQ10" i="2"/>
  <c r="LR10" i="2"/>
  <c r="LS10" i="2"/>
  <c r="LT10" i="2"/>
  <c r="LU10" i="2"/>
  <c r="LV10" i="2"/>
  <c r="LW10" i="2"/>
  <c r="LX10" i="2"/>
  <c r="LY10" i="2"/>
  <c r="LZ10" i="2"/>
  <c r="MA10" i="2"/>
  <c r="MB10" i="2"/>
  <c r="MC10" i="2"/>
  <c r="MD10" i="2"/>
  <c r="ME10" i="2"/>
  <c r="MF10" i="2"/>
  <c r="MG10" i="2"/>
  <c r="MH10" i="2"/>
  <c r="MI10" i="2"/>
  <c r="MJ10" i="2"/>
  <c r="MK10" i="2"/>
  <c r="ML10" i="2"/>
  <c r="MM10" i="2"/>
  <c r="MN10" i="2"/>
  <c r="MO10" i="2"/>
  <c r="MP10" i="2"/>
  <c r="MQ10" i="2"/>
  <c r="MR10" i="2"/>
  <c r="MS10" i="2"/>
  <c r="MT10" i="2"/>
  <c r="MU10" i="2"/>
  <c r="MV10" i="2"/>
  <c r="MW10" i="2"/>
  <c r="MX10" i="2"/>
  <c r="MY10" i="2"/>
  <c r="MZ10" i="2"/>
  <c r="NA10" i="2"/>
  <c r="NB10" i="2"/>
  <c r="NC10" i="2"/>
  <c r="ND10" i="2"/>
  <c r="NE10" i="2"/>
  <c r="NF10" i="2"/>
  <c r="NG10" i="2"/>
  <c r="NH10" i="2"/>
  <c r="NI10" i="2"/>
  <c r="NJ10" i="2"/>
  <c r="NK10" i="2"/>
  <c r="NL10" i="2"/>
  <c r="NM10" i="2"/>
  <c r="NN10" i="2"/>
  <c r="NO10" i="2"/>
  <c r="NP10" i="2"/>
  <c r="NQ10" i="2"/>
  <c r="NR10" i="2"/>
  <c r="NS10" i="2"/>
  <c r="NT10" i="2"/>
  <c r="NU10" i="2"/>
  <c r="NV10" i="2"/>
  <c r="NW10" i="2"/>
  <c r="NX10" i="2"/>
  <c r="NY10" i="2"/>
  <c r="NZ10" i="2"/>
  <c r="OA10" i="2"/>
  <c r="OB10" i="2"/>
  <c r="OC10" i="2"/>
  <c r="OD10" i="2"/>
  <c r="OE10" i="2"/>
  <c r="OF10" i="2"/>
  <c r="OG10" i="2"/>
  <c r="OH10" i="2"/>
  <c r="OI10" i="2"/>
  <c r="OJ10" i="2"/>
  <c r="OK10" i="2"/>
  <c r="OL10" i="2"/>
  <c r="OM10" i="2"/>
  <c r="ON10" i="2"/>
  <c r="OO10" i="2"/>
  <c r="OP10" i="2"/>
  <c r="OQ10" i="2"/>
  <c r="OR10" i="2"/>
  <c r="OS10" i="2"/>
  <c r="OT10" i="2"/>
  <c r="OU10" i="2"/>
  <c r="OV10" i="2"/>
  <c r="OW10" i="2"/>
  <c r="OX10" i="2"/>
  <c r="OY10" i="2"/>
  <c r="OZ10" i="2"/>
  <c r="PA10" i="2"/>
  <c r="PB10" i="2"/>
  <c r="PC10" i="2"/>
  <c r="PD10" i="2"/>
  <c r="PE10" i="2"/>
  <c r="PF10" i="2"/>
  <c r="PG10" i="2"/>
  <c r="PH10" i="2"/>
  <c r="PI10" i="2"/>
  <c r="PJ10" i="2"/>
  <c r="PK10" i="2"/>
  <c r="PL10" i="2"/>
  <c r="PM10" i="2"/>
  <c r="PN10" i="2"/>
  <c r="PO10" i="2"/>
  <c r="PP10" i="2"/>
  <c r="PQ10" i="2"/>
  <c r="PR10" i="2"/>
  <c r="PS10" i="2"/>
  <c r="PT10" i="2"/>
  <c r="PU10" i="2"/>
  <c r="PV10" i="2"/>
  <c r="PW10" i="2"/>
  <c r="PX10" i="2"/>
  <c r="PY10" i="2"/>
  <c r="PZ10" i="2"/>
  <c r="QA10" i="2"/>
  <c r="QB10" i="2"/>
  <c r="QC10" i="2"/>
  <c r="QD10" i="2"/>
  <c r="QE10" i="2"/>
  <c r="QF10" i="2"/>
  <c r="QG10" i="2"/>
  <c r="QH10" i="2"/>
  <c r="QI10" i="2"/>
  <c r="QJ10" i="2"/>
  <c r="QK10" i="2"/>
  <c r="QL10" i="2"/>
  <c r="QM10" i="2"/>
  <c r="QN10" i="2"/>
  <c r="QO10" i="2"/>
  <c r="QP10" i="2"/>
  <c r="QQ10" i="2"/>
  <c r="QR10" i="2"/>
  <c r="QS10" i="2"/>
  <c r="QT10" i="2"/>
  <c r="QU10" i="2"/>
  <c r="QV10" i="2"/>
  <c r="QW10" i="2"/>
  <c r="QX10" i="2"/>
  <c r="QY10" i="2"/>
  <c r="QZ10" i="2"/>
  <c r="RA10" i="2"/>
  <c r="RB10" i="2"/>
  <c r="RC10" i="2"/>
  <c r="RD10" i="2"/>
  <c r="RE10" i="2"/>
  <c r="RF10" i="2"/>
  <c r="RG10" i="2"/>
  <c r="RH10" i="2"/>
  <c r="RI10" i="2"/>
  <c r="RJ10" i="2"/>
  <c r="RK10" i="2"/>
  <c r="RL10" i="2"/>
  <c r="RM10" i="2"/>
  <c r="RN10" i="2"/>
  <c r="RO10" i="2"/>
  <c r="RP10" i="2"/>
  <c r="RQ10" i="2"/>
  <c r="RR10" i="2"/>
  <c r="RS10" i="2"/>
  <c r="RT10" i="2"/>
  <c r="RU10" i="2"/>
  <c r="RV10" i="2"/>
  <c r="RW10" i="2"/>
  <c r="RX10" i="2"/>
  <c r="RY10" i="2"/>
  <c r="RZ10" i="2"/>
  <c r="SA10" i="2"/>
  <c r="SB10" i="2"/>
  <c r="SC10" i="2"/>
  <c r="SD10" i="2"/>
  <c r="SE10" i="2"/>
  <c r="SF10" i="2"/>
  <c r="SG10" i="2"/>
  <c r="SH10" i="2"/>
  <c r="SI10" i="2"/>
  <c r="SJ10" i="2"/>
  <c r="SK10" i="2"/>
  <c r="SL10" i="2"/>
  <c r="SM10" i="2"/>
  <c r="SN10" i="2"/>
  <c r="SO10" i="2"/>
  <c r="SP10" i="2"/>
  <c r="SQ10" i="2"/>
  <c r="SR10" i="2"/>
  <c r="SS10" i="2"/>
  <c r="ST10" i="2"/>
  <c r="SU10" i="2"/>
  <c r="SV10" i="2"/>
  <c r="SW10" i="2"/>
  <c r="SX10" i="2"/>
  <c r="SY10" i="2"/>
  <c r="SZ10" i="2"/>
  <c r="TA10" i="2"/>
  <c r="TB10" i="2"/>
  <c r="TC10" i="2"/>
  <c r="TD10" i="2"/>
  <c r="TE10" i="2"/>
  <c r="TF10" i="2"/>
  <c r="TG10" i="2"/>
  <c r="TH10" i="2"/>
  <c r="TI10" i="2"/>
  <c r="TJ10" i="2"/>
  <c r="TK10" i="2"/>
  <c r="TL10" i="2"/>
  <c r="TM10" i="2"/>
  <c r="TN10" i="2"/>
  <c r="TO10" i="2"/>
  <c r="TP10" i="2"/>
  <c r="TQ10" i="2"/>
  <c r="TR10" i="2"/>
  <c r="TS10" i="2"/>
  <c r="TT10" i="2"/>
  <c r="TU10" i="2"/>
  <c r="TV10" i="2"/>
  <c r="TW10" i="2"/>
  <c r="TX10" i="2"/>
  <c r="TY10" i="2"/>
  <c r="TZ10" i="2"/>
  <c r="UA10" i="2"/>
  <c r="UB10" i="2"/>
  <c r="UC10" i="2"/>
  <c r="UD10" i="2"/>
  <c r="UE10" i="2"/>
  <c r="UF10" i="2"/>
  <c r="UG10" i="2"/>
  <c r="UH10" i="2"/>
  <c r="UI10" i="2"/>
  <c r="UJ10" i="2"/>
  <c r="UK10" i="2"/>
  <c r="UL10" i="2"/>
  <c r="UM10" i="2"/>
  <c r="UN10" i="2"/>
  <c r="UO10" i="2"/>
  <c r="UP10" i="2"/>
  <c r="UQ10" i="2"/>
  <c r="UR10" i="2"/>
  <c r="US10" i="2"/>
  <c r="UT10" i="2"/>
  <c r="UU10" i="2"/>
  <c r="UV10" i="2"/>
  <c r="UW10" i="2"/>
  <c r="UX10" i="2"/>
  <c r="UY10" i="2"/>
  <c r="UZ10" i="2"/>
  <c r="VA10" i="2"/>
  <c r="VB10" i="2"/>
  <c r="VC10" i="2"/>
  <c r="VD10" i="2"/>
  <c r="VE10" i="2"/>
  <c r="VF10" i="2"/>
  <c r="VG10" i="2"/>
  <c r="VH10" i="2"/>
  <c r="VI10" i="2"/>
  <c r="VJ10" i="2"/>
  <c r="VK10" i="2"/>
  <c r="VL10" i="2"/>
  <c r="VM10" i="2"/>
  <c r="VN10" i="2"/>
  <c r="VO10" i="2"/>
  <c r="VP10" i="2"/>
  <c r="VQ10" i="2"/>
  <c r="VR10" i="2"/>
  <c r="VS10" i="2"/>
  <c r="VT10" i="2"/>
  <c r="VU10" i="2"/>
  <c r="VV10" i="2"/>
  <c r="VW10" i="2"/>
  <c r="VX10" i="2"/>
  <c r="VY10" i="2"/>
  <c r="VZ10" i="2"/>
  <c r="WA10" i="2"/>
  <c r="WB10" i="2"/>
  <c r="WC10" i="2"/>
  <c r="WD10" i="2"/>
  <c r="WE10" i="2"/>
  <c r="WF10" i="2"/>
  <c r="WG10" i="2"/>
  <c r="WH10" i="2"/>
  <c r="WI10" i="2"/>
  <c r="WJ10" i="2"/>
  <c r="WK10" i="2"/>
  <c r="WL10" i="2"/>
  <c r="WM10" i="2"/>
  <c r="WN10" i="2"/>
  <c r="WO10" i="2"/>
  <c r="WP10" i="2"/>
  <c r="WQ10" i="2"/>
  <c r="WR10" i="2"/>
  <c r="WS10" i="2"/>
  <c r="WT10" i="2"/>
  <c r="WU10" i="2"/>
  <c r="WV10" i="2"/>
  <c r="WW10" i="2"/>
  <c r="WX10" i="2"/>
  <c r="WY10" i="2"/>
  <c r="WZ10" i="2"/>
  <c r="XA10" i="2"/>
  <c r="XB10" i="2"/>
  <c r="XC10" i="2"/>
  <c r="XD10" i="2"/>
  <c r="XE10" i="2"/>
  <c r="XF10" i="2"/>
  <c r="XG10" i="2"/>
  <c r="XH10" i="2"/>
  <c r="XI10" i="2"/>
  <c r="XJ10" i="2"/>
  <c r="XK10" i="2"/>
  <c r="XL10" i="2"/>
  <c r="XM10" i="2"/>
  <c r="XN10" i="2"/>
  <c r="XO10" i="2"/>
  <c r="XP10" i="2"/>
  <c r="XQ10" i="2"/>
  <c r="XR10" i="2"/>
  <c r="XS10" i="2"/>
  <c r="XT10" i="2"/>
  <c r="XU10" i="2"/>
  <c r="XV10" i="2"/>
  <c r="XW10" i="2"/>
  <c r="XX10" i="2"/>
  <c r="XY10" i="2"/>
  <c r="XZ10" i="2"/>
  <c r="YA10" i="2"/>
  <c r="YB10" i="2"/>
  <c r="YC10" i="2"/>
  <c r="YD10" i="2"/>
  <c r="YE10" i="2"/>
  <c r="YF10" i="2"/>
  <c r="YG10" i="2"/>
  <c r="YH10" i="2"/>
  <c r="YI10" i="2"/>
  <c r="YJ10" i="2"/>
  <c r="YK10" i="2"/>
  <c r="YL10" i="2"/>
  <c r="YM10" i="2"/>
  <c r="F4" i="2"/>
  <c r="G4" i="2"/>
  <c r="H4" i="2"/>
  <c r="I4" i="2"/>
  <c r="J4" i="2"/>
  <c r="K4" i="2"/>
  <c r="L4" i="2"/>
  <c r="M4" i="2"/>
  <c r="N4" i="2"/>
  <c r="O4" i="2"/>
  <c r="P4" i="2"/>
  <c r="Q4" i="2"/>
  <c r="R4" i="2"/>
  <c r="S4" i="2"/>
  <c r="T4" i="2"/>
  <c r="U4" i="2"/>
  <c r="V4" i="2"/>
  <c r="W4" i="2"/>
  <c r="X4" i="2"/>
  <c r="Y4" i="2"/>
  <c r="Z4" i="2"/>
  <c r="AA4" i="2"/>
  <c r="AB4" i="2"/>
  <c r="AC4" i="2"/>
  <c r="AD4" i="2"/>
  <c r="AE4" i="2"/>
  <c r="AF4" i="2"/>
  <c r="AG4" i="2"/>
  <c r="AH4" i="2"/>
  <c r="AI4" i="2"/>
  <c r="AJ4" i="2"/>
  <c r="AK4" i="2"/>
  <c r="AL4" i="2"/>
  <c r="AM4" i="2"/>
  <c r="AN4" i="2"/>
  <c r="AO4" i="2"/>
  <c r="AP4" i="2"/>
  <c r="AQ4" i="2"/>
  <c r="AR4" i="2"/>
  <c r="AS4" i="2"/>
  <c r="AT4" i="2"/>
  <c r="AU4" i="2"/>
  <c r="AV4" i="2"/>
  <c r="AW4" i="2"/>
  <c r="AX4" i="2"/>
  <c r="AY4" i="2"/>
  <c r="AZ4" i="2"/>
  <c r="BA4" i="2"/>
  <c r="BB4" i="2"/>
  <c r="BC4" i="2"/>
  <c r="BD4" i="2"/>
  <c r="BE4" i="2"/>
  <c r="BF4" i="2"/>
  <c r="BG4" i="2"/>
  <c r="BH4" i="2"/>
  <c r="BI4" i="2"/>
  <c r="BJ4" i="2"/>
  <c r="BK4" i="2"/>
  <c r="BL4" i="2"/>
  <c r="BM4" i="2"/>
  <c r="BN4" i="2"/>
  <c r="BO4" i="2"/>
  <c r="BP4" i="2"/>
  <c r="BQ4" i="2"/>
  <c r="BR4" i="2"/>
  <c r="BS4" i="2"/>
  <c r="BT4" i="2"/>
  <c r="BU4" i="2"/>
  <c r="BV4" i="2"/>
  <c r="BW4" i="2"/>
  <c r="BX4" i="2"/>
  <c r="BY4" i="2"/>
  <c r="BZ4" i="2"/>
  <c r="CA4" i="2"/>
  <c r="CB4" i="2"/>
  <c r="CC4" i="2"/>
  <c r="CD4" i="2"/>
  <c r="CE4" i="2"/>
  <c r="CF4" i="2"/>
  <c r="CG4" i="2"/>
  <c r="CH4" i="2"/>
  <c r="CI4" i="2"/>
  <c r="CJ4" i="2"/>
  <c r="CK4" i="2"/>
  <c r="CL4" i="2"/>
  <c r="CM4" i="2"/>
  <c r="CN4" i="2"/>
  <c r="CO4" i="2"/>
  <c r="CP4" i="2"/>
  <c r="CQ4" i="2"/>
  <c r="CR4" i="2"/>
  <c r="CS4" i="2"/>
  <c r="CT4" i="2"/>
  <c r="CU4" i="2"/>
  <c r="CV4" i="2"/>
  <c r="CW4" i="2"/>
  <c r="CX4" i="2"/>
  <c r="CY4" i="2"/>
  <c r="CZ4" i="2"/>
  <c r="DA4" i="2"/>
  <c r="DB4" i="2"/>
  <c r="DC4" i="2"/>
  <c r="DD4" i="2"/>
  <c r="DE4" i="2"/>
  <c r="DF4" i="2"/>
  <c r="DG4" i="2"/>
  <c r="DH4" i="2"/>
  <c r="DI4" i="2"/>
  <c r="DJ4" i="2"/>
  <c r="DK4" i="2"/>
  <c r="DL4" i="2"/>
  <c r="DM4" i="2"/>
  <c r="DN4" i="2"/>
  <c r="DO4" i="2"/>
  <c r="DP4" i="2"/>
  <c r="DQ4" i="2"/>
  <c r="DR4" i="2"/>
  <c r="DS4" i="2"/>
  <c r="DT4" i="2"/>
  <c r="DU4" i="2"/>
  <c r="DV4" i="2"/>
  <c r="DW4" i="2"/>
  <c r="DX4" i="2"/>
  <c r="DY4" i="2"/>
  <c r="DZ4" i="2"/>
  <c r="EA4" i="2"/>
  <c r="EB4" i="2"/>
  <c r="EC4" i="2"/>
  <c r="ED4" i="2"/>
  <c r="EE4" i="2"/>
  <c r="EF4" i="2"/>
  <c r="EG4" i="2"/>
  <c r="EH4" i="2"/>
  <c r="EI4" i="2"/>
  <c r="EJ4" i="2"/>
  <c r="EK4" i="2"/>
  <c r="EL4" i="2"/>
  <c r="EM4" i="2"/>
  <c r="EN4" i="2"/>
  <c r="EO4" i="2"/>
  <c r="EP4" i="2"/>
  <c r="EQ4" i="2"/>
  <c r="ER4" i="2"/>
  <c r="ES4" i="2"/>
  <c r="ET4" i="2"/>
  <c r="EU4" i="2"/>
  <c r="EV4" i="2"/>
  <c r="EW4" i="2"/>
  <c r="EX4" i="2"/>
  <c r="EY4" i="2"/>
  <c r="EZ4" i="2"/>
  <c r="FA4" i="2"/>
  <c r="FB4" i="2"/>
  <c r="FC4" i="2"/>
  <c r="FD4" i="2"/>
  <c r="FE4" i="2"/>
  <c r="FF4" i="2"/>
  <c r="FG4" i="2"/>
  <c r="FH4" i="2"/>
  <c r="FI4" i="2"/>
  <c r="FJ4" i="2"/>
  <c r="FK4" i="2"/>
  <c r="FL4" i="2"/>
  <c r="FM4" i="2"/>
  <c r="FN4" i="2"/>
  <c r="FO4" i="2"/>
  <c r="FP4" i="2"/>
  <c r="FQ4" i="2"/>
  <c r="FR4" i="2"/>
  <c r="FS4" i="2"/>
  <c r="FT4" i="2"/>
  <c r="FU4" i="2"/>
  <c r="FV4" i="2"/>
  <c r="FW4" i="2"/>
  <c r="FX4" i="2"/>
  <c r="FY4" i="2"/>
  <c r="FZ4" i="2"/>
  <c r="GA4" i="2"/>
  <c r="GB4" i="2"/>
  <c r="GC4" i="2"/>
  <c r="GD4" i="2"/>
  <c r="GE4" i="2"/>
  <c r="GF4" i="2"/>
  <c r="GG4" i="2"/>
  <c r="GH4" i="2"/>
  <c r="GI4" i="2"/>
  <c r="GJ4" i="2"/>
  <c r="GK4" i="2"/>
  <c r="GL4" i="2"/>
  <c r="GM4" i="2"/>
  <c r="GN4" i="2"/>
  <c r="GO4" i="2"/>
  <c r="GP4" i="2"/>
  <c r="GQ4" i="2"/>
  <c r="GR4" i="2"/>
  <c r="GS4" i="2"/>
  <c r="GT4" i="2"/>
  <c r="GU4" i="2"/>
  <c r="GV4" i="2"/>
  <c r="GW4" i="2"/>
  <c r="GX4" i="2"/>
  <c r="GY4" i="2"/>
  <c r="GZ4" i="2"/>
  <c r="HA4" i="2"/>
  <c r="HB4" i="2"/>
  <c r="HC4" i="2"/>
  <c r="HD4" i="2"/>
  <c r="HE4" i="2"/>
  <c r="HF4" i="2"/>
  <c r="HG4" i="2"/>
  <c r="HH4" i="2"/>
  <c r="HI4" i="2"/>
  <c r="HJ4" i="2"/>
  <c r="HK4" i="2"/>
  <c r="HL4" i="2"/>
  <c r="HM4" i="2"/>
  <c r="HN4" i="2"/>
  <c r="HO4" i="2"/>
  <c r="HP4" i="2"/>
  <c r="HQ4" i="2"/>
  <c r="HR4" i="2"/>
  <c r="HS4" i="2"/>
  <c r="HT4" i="2"/>
  <c r="HU4" i="2"/>
  <c r="HV4" i="2"/>
  <c r="HW4" i="2"/>
  <c r="HX4" i="2"/>
  <c r="HY4" i="2"/>
  <c r="HZ4" i="2"/>
  <c r="IA4" i="2"/>
  <c r="IB4" i="2"/>
  <c r="IC4" i="2"/>
  <c r="ID4" i="2"/>
  <c r="IE4" i="2"/>
  <c r="IF4" i="2"/>
  <c r="IG4" i="2"/>
  <c r="IH4" i="2"/>
  <c r="II4" i="2"/>
  <c r="IJ4" i="2"/>
  <c r="IK4" i="2"/>
  <c r="IL4" i="2"/>
  <c r="IM4" i="2"/>
  <c r="IN4" i="2"/>
  <c r="IO4" i="2"/>
  <c r="IP4" i="2"/>
  <c r="IQ4" i="2"/>
  <c r="IR4" i="2"/>
  <c r="IS4" i="2"/>
  <c r="IT4" i="2"/>
  <c r="IU4" i="2"/>
  <c r="IV4" i="2"/>
  <c r="IW4" i="2"/>
  <c r="IX4" i="2"/>
  <c r="IY4" i="2"/>
  <c r="IZ4" i="2"/>
  <c r="JA4" i="2"/>
  <c r="JB4" i="2"/>
  <c r="JC4" i="2"/>
  <c r="JD4" i="2"/>
  <c r="JE4" i="2"/>
  <c r="JF4" i="2"/>
  <c r="JG4" i="2"/>
  <c r="JH4" i="2"/>
  <c r="JI4" i="2"/>
  <c r="JJ4" i="2"/>
  <c r="JK4" i="2"/>
  <c r="JL4" i="2"/>
  <c r="JM4" i="2"/>
  <c r="JN4" i="2"/>
  <c r="JO4" i="2"/>
  <c r="JP4" i="2"/>
  <c r="JQ4" i="2"/>
  <c r="JR4" i="2"/>
  <c r="JS4" i="2"/>
  <c r="JT4" i="2"/>
  <c r="JU4" i="2"/>
  <c r="JV4" i="2"/>
  <c r="JW4" i="2"/>
  <c r="JX4" i="2"/>
  <c r="JY4" i="2"/>
  <c r="JZ4" i="2"/>
  <c r="KA4" i="2"/>
  <c r="KB4" i="2"/>
  <c r="KC4" i="2"/>
  <c r="KD4" i="2"/>
  <c r="KE4" i="2"/>
  <c r="KF4" i="2"/>
  <c r="KG4" i="2"/>
  <c r="KH4" i="2"/>
  <c r="KI4" i="2"/>
  <c r="KJ4" i="2"/>
  <c r="KK4" i="2"/>
  <c r="KL4" i="2"/>
  <c r="KM4" i="2"/>
  <c r="KN4" i="2"/>
  <c r="KO4" i="2"/>
  <c r="KP4" i="2"/>
  <c r="KQ4" i="2"/>
  <c r="KR4" i="2"/>
  <c r="KS4" i="2"/>
  <c r="KT4" i="2"/>
  <c r="KU4" i="2"/>
  <c r="KV4" i="2"/>
  <c r="KW4" i="2"/>
  <c r="KX4" i="2"/>
  <c r="KY4" i="2"/>
  <c r="KZ4" i="2"/>
  <c r="LA4" i="2"/>
  <c r="LB4" i="2"/>
  <c r="LC4" i="2"/>
  <c r="LD4" i="2"/>
  <c r="LE4" i="2"/>
  <c r="LF4" i="2"/>
  <c r="LG4" i="2"/>
  <c r="LH4" i="2"/>
  <c r="LI4" i="2"/>
  <c r="LJ4" i="2"/>
  <c r="LK4" i="2"/>
  <c r="LL4" i="2"/>
  <c r="LM4" i="2"/>
  <c r="LN4" i="2"/>
  <c r="LO4" i="2"/>
  <c r="LP4" i="2"/>
  <c r="LQ4" i="2"/>
  <c r="LR4" i="2"/>
  <c r="LS4" i="2"/>
  <c r="LT4" i="2"/>
  <c r="LU4" i="2"/>
  <c r="LV4" i="2"/>
  <c r="LW4" i="2"/>
  <c r="LX4" i="2"/>
  <c r="LY4" i="2"/>
  <c r="LZ4" i="2"/>
  <c r="MA4" i="2"/>
  <c r="MB4" i="2"/>
  <c r="MC4" i="2"/>
  <c r="MD4" i="2"/>
  <c r="ME4" i="2"/>
  <c r="MF4" i="2"/>
  <c r="MG4" i="2"/>
  <c r="MH4" i="2"/>
  <c r="MI4" i="2"/>
  <c r="MJ4" i="2"/>
  <c r="MK4" i="2"/>
  <c r="ML4" i="2"/>
  <c r="MM4" i="2"/>
  <c r="MN4" i="2"/>
  <c r="MO4" i="2"/>
  <c r="MP4" i="2"/>
  <c r="MQ4" i="2"/>
  <c r="MR4" i="2"/>
  <c r="MS4" i="2"/>
  <c r="MT4" i="2"/>
  <c r="MU4" i="2"/>
  <c r="MV4" i="2"/>
  <c r="MW4" i="2"/>
  <c r="MX4" i="2"/>
  <c r="MY4" i="2"/>
  <c r="MZ4" i="2"/>
  <c r="NA4" i="2"/>
  <c r="NB4" i="2"/>
  <c r="NC4" i="2"/>
  <c r="ND4" i="2"/>
  <c r="NE4" i="2"/>
  <c r="NF4" i="2"/>
  <c r="NG4" i="2"/>
  <c r="NH4" i="2"/>
  <c r="NI4" i="2"/>
  <c r="NJ4" i="2"/>
  <c r="NK4" i="2"/>
  <c r="NL4" i="2"/>
  <c r="NM4" i="2"/>
  <c r="NN4" i="2"/>
  <c r="NO4" i="2"/>
  <c r="NP4" i="2"/>
  <c r="NQ4" i="2"/>
  <c r="NR4" i="2"/>
  <c r="NS4" i="2"/>
  <c r="NT4" i="2"/>
  <c r="NU4" i="2"/>
  <c r="NV4" i="2"/>
  <c r="NW4" i="2"/>
  <c r="NX4" i="2"/>
  <c r="NY4" i="2"/>
  <c r="NZ4" i="2"/>
  <c r="OA4" i="2"/>
  <c r="OB4" i="2"/>
  <c r="OC4" i="2"/>
  <c r="OD4" i="2"/>
  <c r="OE4" i="2"/>
  <c r="OF4" i="2"/>
  <c r="OG4" i="2"/>
  <c r="OH4" i="2"/>
  <c r="OI4" i="2"/>
  <c r="OJ4" i="2"/>
  <c r="OK4" i="2"/>
  <c r="OL4" i="2"/>
  <c r="OM4" i="2"/>
  <c r="ON4" i="2"/>
  <c r="OO4" i="2"/>
  <c r="OP4" i="2"/>
  <c r="OQ4" i="2"/>
  <c r="OR4" i="2"/>
  <c r="OS4" i="2"/>
  <c r="OT4" i="2"/>
  <c r="OU4" i="2"/>
  <c r="OV4" i="2"/>
  <c r="OW4" i="2"/>
  <c r="OX4" i="2"/>
  <c r="OY4" i="2"/>
  <c r="OZ4" i="2"/>
  <c r="PA4" i="2"/>
  <c r="PB4" i="2"/>
  <c r="PC4" i="2"/>
  <c r="PD4" i="2"/>
  <c r="PE4" i="2"/>
  <c r="PF4" i="2"/>
  <c r="PG4" i="2"/>
  <c r="PH4" i="2"/>
  <c r="PI4" i="2"/>
  <c r="PJ4" i="2"/>
  <c r="PK4" i="2"/>
  <c r="PL4" i="2"/>
  <c r="PM4" i="2"/>
  <c r="PN4" i="2"/>
  <c r="PO4" i="2"/>
  <c r="PP4" i="2"/>
  <c r="PQ4" i="2"/>
  <c r="PR4" i="2"/>
  <c r="PS4" i="2"/>
  <c r="PT4" i="2"/>
  <c r="PU4" i="2"/>
  <c r="PV4" i="2"/>
  <c r="PW4" i="2"/>
  <c r="PX4" i="2"/>
  <c r="PY4" i="2"/>
  <c r="PZ4" i="2"/>
  <c r="QA4" i="2"/>
  <c r="QB4" i="2"/>
  <c r="QC4" i="2"/>
  <c r="QD4" i="2"/>
  <c r="QE4" i="2"/>
  <c r="QF4" i="2"/>
  <c r="QG4" i="2"/>
  <c r="QH4" i="2"/>
  <c r="QI4" i="2"/>
  <c r="QJ4" i="2"/>
  <c r="QK4" i="2"/>
  <c r="QL4" i="2"/>
  <c r="QM4" i="2"/>
  <c r="QN4" i="2"/>
  <c r="QO4" i="2"/>
  <c r="QP4" i="2"/>
  <c r="QQ4" i="2"/>
  <c r="QR4" i="2"/>
  <c r="QS4" i="2"/>
  <c r="QT4" i="2"/>
  <c r="QU4" i="2"/>
  <c r="QV4" i="2"/>
  <c r="QW4" i="2"/>
  <c r="QX4" i="2"/>
  <c r="QY4" i="2"/>
  <c r="QZ4" i="2"/>
  <c r="RA4" i="2"/>
  <c r="RB4" i="2"/>
  <c r="RC4" i="2"/>
  <c r="RD4" i="2"/>
  <c r="RE4" i="2"/>
  <c r="RF4" i="2"/>
  <c r="RG4" i="2"/>
  <c r="RH4" i="2"/>
  <c r="RI4" i="2"/>
  <c r="RJ4" i="2"/>
  <c r="RK4" i="2"/>
  <c r="RL4" i="2"/>
  <c r="RM4" i="2"/>
  <c r="RN4" i="2"/>
  <c r="RO4" i="2"/>
  <c r="RP4" i="2"/>
  <c r="RQ4" i="2"/>
  <c r="RR4" i="2"/>
  <c r="RS4" i="2"/>
  <c r="RT4" i="2"/>
  <c r="RU4" i="2"/>
  <c r="RV4" i="2"/>
  <c r="RW4" i="2"/>
  <c r="RX4" i="2"/>
  <c r="RY4" i="2"/>
  <c r="RZ4" i="2"/>
  <c r="SA4" i="2"/>
  <c r="SB4" i="2"/>
  <c r="SC4" i="2"/>
  <c r="SD4" i="2"/>
  <c r="SE4" i="2"/>
  <c r="SF4" i="2"/>
  <c r="SG4" i="2"/>
  <c r="SH4" i="2"/>
  <c r="SI4" i="2"/>
  <c r="SJ4" i="2"/>
  <c r="SK4" i="2"/>
  <c r="SL4" i="2"/>
  <c r="SM4" i="2"/>
  <c r="SN4" i="2"/>
  <c r="SO4" i="2"/>
  <c r="SP4" i="2"/>
  <c r="SQ4" i="2"/>
  <c r="SR4" i="2"/>
  <c r="SS4" i="2"/>
  <c r="ST4" i="2"/>
  <c r="SU4" i="2"/>
  <c r="SV4" i="2"/>
  <c r="SW4" i="2"/>
  <c r="SX4" i="2"/>
  <c r="SY4" i="2"/>
  <c r="SZ4" i="2"/>
  <c r="TA4" i="2"/>
  <c r="TB4" i="2"/>
  <c r="TC4" i="2"/>
  <c r="TD4" i="2"/>
  <c r="TE4" i="2"/>
  <c r="TF4" i="2"/>
  <c r="TG4" i="2"/>
  <c r="TH4" i="2"/>
  <c r="TI4" i="2"/>
  <c r="TJ4" i="2"/>
  <c r="TK4" i="2"/>
  <c r="TL4" i="2"/>
  <c r="TM4" i="2"/>
  <c r="TN4" i="2"/>
  <c r="TO4" i="2"/>
  <c r="TP4" i="2"/>
  <c r="TQ4" i="2"/>
  <c r="TR4" i="2"/>
  <c r="TS4" i="2"/>
  <c r="TT4" i="2"/>
  <c r="TU4" i="2"/>
  <c r="TV4" i="2"/>
  <c r="TW4" i="2"/>
  <c r="TX4" i="2"/>
  <c r="TY4" i="2"/>
  <c r="TZ4" i="2"/>
  <c r="UA4" i="2"/>
  <c r="UB4" i="2"/>
  <c r="UC4" i="2"/>
  <c r="UD4" i="2"/>
  <c r="UE4" i="2"/>
  <c r="UF4" i="2"/>
  <c r="UG4" i="2"/>
  <c r="UH4" i="2"/>
  <c r="UI4" i="2"/>
  <c r="UJ4" i="2"/>
  <c r="UK4" i="2"/>
  <c r="UL4" i="2"/>
  <c r="UM4" i="2"/>
  <c r="UN4" i="2"/>
  <c r="UO4" i="2"/>
  <c r="UP4" i="2"/>
  <c r="UQ4" i="2"/>
  <c r="UR4" i="2"/>
  <c r="US4" i="2"/>
  <c r="UT4" i="2"/>
  <c r="UU4" i="2"/>
  <c r="UV4" i="2"/>
  <c r="UW4" i="2"/>
  <c r="UX4" i="2"/>
  <c r="UY4" i="2"/>
  <c r="UZ4" i="2"/>
  <c r="VA4" i="2"/>
  <c r="VB4" i="2"/>
  <c r="VC4" i="2"/>
  <c r="VD4" i="2"/>
  <c r="VE4" i="2"/>
  <c r="VF4" i="2"/>
  <c r="VG4" i="2"/>
  <c r="VH4" i="2"/>
  <c r="VI4" i="2"/>
  <c r="VJ4" i="2"/>
  <c r="VK4" i="2"/>
  <c r="VL4" i="2"/>
  <c r="VM4" i="2"/>
  <c r="VN4" i="2"/>
  <c r="VO4" i="2"/>
  <c r="VP4" i="2"/>
  <c r="VQ4" i="2"/>
  <c r="VR4" i="2"/>
  <c r="VS4" i="2"/>
  <c r="VT4" i="2"/>
  <c r="VU4" i="2"/>
  <c r="VV4" i="2"/>
  <c r="VW4" i="2"/>
  <c r="VX4" i="2"/>
  <c r="VY4" i="2"/>
  <c r="VZ4" i="2"/>
  <c r="WA4" i="2"/>
  <c r="WB4" i="2"/>
  <c r="WC4" i="2"/>
  <c r="WD4" i="2"/>
  <c r="WE4" i="2"/>
  <c r="WF4" i="2"/>
  <c r="WG4" i="2"/>
  <c r="WH4" i="2"/>
  <c r="WI4" i="2"/>
  <c r="WJ4" i="2"/>
  <c r="WK4" i="2"/>
  <c r="WL4" i="2"/>
  <c r="WM4" i="2"/>
  <c r="WN4" i="2"/>
  <c r="WO4" i="2"/>
  <c r="WP4" i="2"/>
  <c r="WQ4" i="2"/>
  <c r="WR4" i="2"/>
  <c r="WS4" i="2"/>
  <c r="WT4" i="2"/>
  <c r="WU4" i="2"/>
  <c r="WV4" i="2"/>
  <c r="WW4" i="2"/>
  <c r="WX4" i="2"/>
  <c r="WY4" i="2"/>
  <c r="WZ4" i="2"/>
  <c r="XA4" i="2"/>
  <c r="XB4" i="2"/>
  <c r="XC4" i="2"/>
  <c r="XD4" i="2"/>
  <c r="XE4" i="2"/>
  <c r="XF4" i="2"/>
  <c r="XG4" i="2"/>
  <c r="XH4" i="2"/>
  <c r="XI4" i="2"/>
  <c r="XJ4" i="2"/>
  <c r="XK4" i="2"/>
  <c r="XL4" i="2"/>
  <c r="XM4" i="2"/>
  <c r="XN4" i="2"/>
  <c r="XO4" i="2"/>
  <c r="XP4" i="2"/>
  <c r="XQ4" i="2"/>
  <c r="XR4" i="2"/>
  <c r="XS4" i="2"/>
  <c r="XT4" i="2"/>
  <c r="XU4" i="2"/>
  <c r="XV4" i="2"/>
  <c r="XW4" i="2"/>
  <c r="XX4" i="2"/>
  <c r="XY4" i="2"/>
  <c r="XZ4" i="2"/>
  <c r="YA4" i="2"/>
  <c r="YB4" i="2"/>
  <c r="YC4" i="2"/>
  <c r="YD4" i="2"/>
  <c r="YE4" i="2"/>
  <c r="YF4" i="2"/>
  <c r="YG4" i="2"/>
  <c r="YH4" i="2"/>
  <c r="YI4" i="2"/>
  <c r="YJ4" i="2"/>
  <c r="YK4" i="2"/>
  <c r="YL4" i="2"/>
  <c r="YM4" i="2"/>
  <c r="AK216" i="1"/>
  <c r="AK474" i="1"/>
  <c r="BI182" i="4"/>
  <c r="BI350" i="4"/>
  <c r="AC182" i="4"/>
  <c r="AC350" i="4"/>
  <c r="BM216" i="1"/>
  <c r="BM474" i="1"/>
  <c r="J182" i="4"/>
  <c r="J350" i="4"/>
  <c r="BY182" i="4"/>
  <c r="BY350" i="4"/>
  <c r="AS182" i="4"/>
  <c r="AS350" i="4"/>
  <c r="J409" i="4"/>
  <c r="J421" i="4"/>
  <c r="BQ216" i="1"/>
  <c r="BQ474" i="1"/>
  <c r="BV216" i="1"/>
  <c r="BV474" i="1"/>
  <c r="BU182" i="4"/>
  <c r="BU350" i="4"/>
  <c r="BE182" i="4"/>
  <c r="BE350" i="4"/>
  <c r="AO182" i="4"/>
  <c r="AO350" i="4"/>
  <c r="Y182" i="4"/>
  <c r="Y350" i="4"/>
  <c r="CB182" i="4"/>
  <c r="CB350" i="4"/>
  <c r="CB376" i="4"/>
  <c r="AV182" i="4"/>
  <c r="AV350" i="4"/>
  <c r="P182" i="4"/>
  <c r="P350" i="4"/>
  <c r="BO216" i="1"/>
  <c r="BO474" i="1"/>
  <c r="AY216" i="1"/>
  <c r="AY474" i="1"/>
  <c r="AI216" i="1"/>
  <c r="AI474" i="1"/>
  <c r="S216" i="1"/>
  <c r="S474" i="1"/>
  <c r="BB216" i="1"/>
  <c r="BB474" i="1"/>
  <c r="AL216" i="1"/>
  <c r="AL474" i="1"/>
  <c r="BI216" i="1"/>
  <c r="BI474" i="1"/>
  <c r="Q216" i="1"/>
  <c r="Q474" i="1"/>
  <c r="N411" i="4"/>
  <c r="N537" i="1"/>
  <c r="BJ195" i="4"/>
  <c r="AD195" i="4"/>
  <c r="AD203" i="4"/>
  <c r="AD352" i="4"/>
  <c r="CB197" i="4"/>
  <c r="CB211" i="4"/>
  <c r="CB213" i="4"/>
  <c r="BL197" i="4"/>
  <c r="BL211" i="4"/>
  <c r="BL213" i="4"/>
  <c r="AV197" i="4"/>
  <c r="AV211" i="4"/>
  <c r="AV213" i="4"/>
  <c r="AF197" i="4"/>
  <c r="AF211" i="4"/>
  <c r="AF213" i="4"/>
  <c r="P197" i="4"/>
  <c r="P211" i="4"/>
  <c r="P213" i="4"/>
  <c r="BI195" i="4"/>
  <c r="AC195" i="4"/>
  <c r="AC203" i="4"/>
  <c r="AC352" i="4"/>
  <c r="BR182" i="4"/>
  <c r="BR350" i="4"/>
  <c r="AL182" i="4"/>
  <c r="AL350" i="4"/>
  <c r="BW197" i="4"/>
  <c r="BW211" i="4"/>
  <c r="BW213" i="4"/>
  <c r="BG197" i="4"/>
  <c r="BG211" i="4"/>
  <c r="BG213" i="4"/>
  <c r="AQ197" i="4"/>
  <c r="AQ211" i="4"/>
  <c r="AQ213" i="4"/>
  <c r="AA197" i="4"/>
  <c r="AA211" i="4"/>
  <c r="AA213" i="4"/>
  <c r="K197" i="4"/>
  <c r="K211" i="4"/>
  <c r="K213" i="4"/>
  <c r="BU195" i="4"/>
  <c r="AO195" i="4"/>
  <c r="AO203" i="4"/>
  <c r="AO352" i="4"/>
  <c r="K203" i="4"/>
  <c r="K352" i="4"/>
  <c r="K354" i="4"/>
  <c r="AA203" i="4"/>
  <c r="AA352" i="4"/>
  <c r="AA354" i="4"/>
  <c r="AQ203" i="4"/>
  <c r="AQ352" i="4"/>
  <c r="AQ354" i="4"/>
  <c r="BG203" i="4"/>
  <c r="BG352" i="4"/>
  <c r="BG354" i="4"/>
  <c r="BW203" i="4"/>
  <c r="BW352" i="4"/>
  <c r="BW354" i="4"/>
  <c r="T203" i="4"/>
  <c r="T352" i="4"/>
  <c r="T354" i="4"/>
  <c r="AJ203" i="4"/>
  <c r="AJ352" i="4"/>
  <c r="AJ354" i="4"/>
  <c r="AZ203" i="4"/>
  <c r="AZ352" i="4"/>
  <c r="AZ354" i="4"/>
  <c r="BP203" i="4"/>
  <c r="BP352" i="4"/>
  <c r="BP354" i="4"/>
  <c r="BV182" i="4"/>
  <c r="BV350" i="4"/>
  <c r="AP182" i="4"/>
  <c r="AP350" i="4"/>
  <c r="BF211" i="4"/>
  <c r="BF213" i="4"/>
  <c r="BF197" i="4"/>
  <c r="AP211" i="4"/>
  <c r="AP213" i="4"/>
  <c r="AP197" i="4"/>
  <c r="AH216" i="1"/>
  <c r="AH474" i="1"/>
  <c r="CB216" i="1"/>
  <c r="CB474" i="1"/>
  <c r="BL216" i="1"/>
  <c r="BL474" i="1"/>
  <c r="AV216" i="1"/>
  <c r="AV474" i="1"/>
  <c r="AF216" i="1"/>
  <c r="AF474" i="1"/>
  <c r="P216" i="1"/>
  <c r="P474" i="1"/>
  <c r="BU216" i="1"/>
  <c r="BU474" i="1"/>
  <c r="J411" i="4"/>
  <c r="K411" i="4"/>
  <c r="K537" i="1"/>
  <c r="K545" i="1"/>
  <c r="L409" i="4"/>
  <c r="L182" i="4"/>
  <c r="L350" i="4"/>
  <c r="BB195" i="4"/>
  <c r="V195" i="4"/>
  <c r="V203" i="4"/>
  <c r="V352" i="4"/>
  <c r="BX197" i="4"/>
  <c r="BX211" i="4"/>
  <c r="BX213" i="4"/>
  <c r="BH197" i="4"/>
  <c r="BH211" i="4"/>
  <c r="BH213" i="4"/>
  <c r="AR197" i="4"/>
  <c r="AR211" i="4"/>
  <c r="AR213" i="4"/>
  <c r="AB197" i="4"/>
  <c r="AB211" i="4"/>
  <c r="AB213" i="4"/>
  <c r="L197" i="4"/>
  <c r="L211" i="4"/>
  <c r="L213" i="4"/>
  <c r="BA195" i="4"/>
  <c r="BA203" i="4"/>
  <c r="BA352" i="4"/>
  <c r="U195" i="4"/>
  <c r="U203" i="4"/>
  <c r="U352" i="4"/>
  <c r="BJ182" i="4"/>
  <c r="BJ350" i="4"/>
  <c r="AD182" i="4"/>
  <c r="AD350" i="4"/>
  <c r="N421" i="4"/>
  <c r="N449" i="4"/>
  <c r="BS197" i="4"/>
  <c r="BS211" i="4"/>
  <c r="BS213" i="4"/>
  <c r="BC197" i="4"/>
  <c r="BC211" i="4"/>
  <c r="BC213" i="4"/>
  <c r="AM197" i="4"/>
  <c r="AM211" i="4"/>
  <c r="AM213" i="4"/>
  <c r="W197" i="4"/>
  <c r="W211" i="4"/>
  <c r="W213" i="4"/>
  <c r="BM195" i="4"/>
  <c r="BM203" i="4"/>
  <c r="BM352" i="4"/>
  <c r="BM354" i="4"/>
  <c r="AG195" i="4"/>
  <c r="AG203" i="4"/>
  <c r="AG352" i="4"/>
  <c r="O203" i="4"/>
  <c r="O352" i="4"/>
  <c r="O354" i="4"/>
  <c r="AE203" i="4"/>
  <c r="AE352" i="4"/>
  <c r="AE354" i="4"/>
  <c r="AU203" i="4"/>
  <c r="AU352" i="4"/>
  <c r="AU354" i="4"/>
  <c r="BK203" i="4"/>
  <c r="BK352" i="4"/>
  <c r="BK354" i="4"/>
  <c r="CA203" i="4"/>
  <c r="CA352" i="4"/>
  <c r="X203" i="4"/>
  <c r="X352" i="4"/>
  <c r="AN203" i="4"/>
  <c r="AN352" i="4"/>
  <c r="AN354" i="4"/>
  <c r="BD203" i="4"/>
  <c r="BD352" i="4"/>
  <c r="BD354" i="4"/>
  <c r="BT203" i="4"/>
  <c r="BT352" i="4"/>
  <c r="BT354" i="4"/>
  <c r="BN182" i="4"/>
  <c r="BN350" i="4"/>
  <c r="AH182" i="4"/>
  <c r="AH350" i="4"/>
  <c r="AH211" i="4"/>
  <c r="AH213" i="4"/>
  <c r="AH197" i="4"/>
  <c r="AX211" i="4"/>
  <c r="AX213" i="4"/>
  <c r="AX197" i="4"/>
  <c r="AP203" i="4"/>
  <c r="AP352" i="4"/>
  <c r="BZ216" i="1"/>
  <c r="BZ474" i="1"/>
  <c r="AT216" i="1"/>
  <c r="AT474" i="1"/>
  <c r="N533" i="1"/>
  <c r="N573" i="1"/>
  <c r="N216" i="1"/>
  <c r="N474" i="1"/>
  <c r="BX216" i="1"/>
  <c r="BX474" i="1"/>
  <c r="BH216" i="1"/>
  <c r="BH474" i="1"/>
  <c r="AR216" i="1"/>
  <c r="AR474" i="1"/>
  <c r="AB216" i="1"/>
  <c r="AB474" i="1"/>
  <c r="L533" i="1"/>
  <c r="L573" i="1"/>
  <c r="L216" i="1"/>
  <c r="L474" i="1"/>
  <c r="BA216" i="1"/>
  <c r="BA474" i="1"/>
  <c r="L411" i="4"/>
  <c r="L537" i="1"/>
  <c r="L545" i="1"/>
  <c r="M409" i="4"/>
  <c r="M182" i="4"/>
  <c r="M350" i="4"/>
  <c r="J289" i="4"/>
  <c r="J283" i="4"/>
  <c r="BZ195" i="4"/>
  <c r="BZ203" i="4"/>
  <c r="BZ352" i="4"/>
  <c r="AT195" i="4"/>
  <c r="AT203" i="4"/>
  <c r="AT352" i="4"/>
  <c r="N195" i="4"/>
  <c r="N203" i="4"/>
  <c r="N352" i="4"/>
  <c r="N354" i="4"/>
  <c r="BT197" i="4"/>
  <c r="BT211" i="4"/>
  <c r="BT213" i="4"/>
  <c r="BD197" i="4"/>
  <c r="BD211" i="4"/>
  <c r="BD213" i="4"/>
  <c r="AN197" i="4"/>
  <c r="AN211" i="4"/>
  <c r="AN213" i="4"/>
  <c r="X197" i="4"/>
  <c r="X211" i="4"/>
  <c r="X213" i="4"/>
  <c r="BY195" i="4"/>
  <c r="AS195" i="4"/>
  <c r="AS203" i="4"/>
  <c r="AS352" i="4"/>
  <c r="M195" i="4"/>
  <c r="BB182" i="4"/>
  <c r="BB350" i="4"/>
  <c r="V182" i="4"/>
  <c r="V350" i="4"/>
  <c r="BO197" i="4"/>
  <c r="BO211" i="4"/>
  <c r="BO213" i="4"/>
  <c r="AY197" i="4"/>
  <c r="AY211" i="4"/>
  <c r="AY213" i="4"/>
  <c r="AI197" i="4"/>
  <c r="AI211" i="4"/>
  <c r="AI213" i="4"/>
  <c r="S197" i="4"/>
  <c r="S211" i="4"/>
  <c r="S213" i="4"/>
  <c r="BE195" i="4"/>
  <c r="BE203" i="4"/>
  <c r="BE352" i="4"/>
  <c r="Y195" i="4"/>
  <c r="S203" i="4"/>
  <c r="S352" i="4"/>
  <c r="S354" i="4"/>
  <c r="AI203" i="4"/>
  <c r="AI352" i="4"/>
  <c r="AI354" i="4"/>
  <c r="AY203" i="4"/>
  <c r="AY352" i="4"/>
  <c r="AY354" i="4"/>
  <c r="BO203" i="4"/>
  <c r="BO352" i="4"/>
  <c r="BO354" i="4"/>
  <c r="L203" i="4"/>
  <c r="L352" i="4"/>
  <c r="AB203" i="4"/>
  <c r="AB352" i="4"/>
  <c r="AB354" i="4"/>
  <c r="AR203" i="4"/>
  <c r="AR352" i="4"/>
  <c r="AR354" i="4"/>
  <c r="BH203" i="4"/>
  <c r="BH352" i="4"/>
  <c r="BH354" i="4"/>
  <c r="BX203" i="4"/>
  <c r="BX352" i="4"/>
  <c r="BX354" i="4"/>
  <c r="BF182" i="4"/>
  <c r="BF350" i="4"/>
  <c r="BF354" i="4"/>
  <c r="Z182" i="4"/>
  <c r="Z350" i="4"/>
  <c r="AH203" i="4"/>
  <c r="AH352" i="4"/>
  <c r="J163" i="4"/>
  <c r="H161" i="4"/>
  <c r="Z211" i="4"/>
  <c r="Z213" i="4"/>
  <c r="Z197" i="4"/>
  <c r="BV211" i="4"/>
  <c r="BV213" i="4"/>
  <c r="BV197" i="4"/>
  <c r="J211" i="4"/>
  <c r="J197" i="4"/>
  <c r="M533" i="1"/>
  <c r="M573" i="1"/>
  <c r="M216" i="1"/>
  <c r="M474" i="1"/>
  <c r="BF216" i="1"/>
  <c r="BF474" i="1"/>
  <c r="Z216" i="1"/>
  <c r="Z474" i="1"/>
  <c r="J533" i="1"/>
  <c r="J573" i="1"/>
  <c r="J216" i="1"/>
  <c r="BT216" i="1"/>
  <c r="BT474" i="1"/>
  <c r="BD216" i="1"/>
  <c r="BD474" i="1"/>
  <c r="AN216" i="1"/>
  <c r="AN474" i="1"/>
  <c r="X216" i="1"/>
  <c r="X474" i="1"/>
  <c r="AO216" i="1"/>
  <c r="AO474" i="1"/>
  <c r="M411" i="4"/>
  <c r="M537" i="1"/>
  <c r="M545" i="1"/>
  <c r="M407" i="4"/>
  <c r="L417" i="4"/>
  <c r="BR195" i="4"/>
  <c r="AL195" i="4"/>
  <c r="BP197" i="4"/>
  <c r="BP211" i="4"/>
  <c r="BP213" i="4"/>
  <c r="AZ197" i="4"/>
  <c r="AZ211" i="4"/>
  <c r="AZ213" i="4"/>
  <c r="AJ197" i="4"/>
  <c r="AJ211" i="4"/>
  <c r="AJ213" i="4"/>
  <c r="T197" i="4"/>
  <c r="T211" i="4"/>
  <c r="T213" i="4"/>
  <c r="BQ195" i="4"/>
  <c r="BQ203" i="4"/>
  <c r="BQ352" i="4"/>
  <c r="AK195" i="4"/>
  <c r="AK203" i="4"/>
  <c r="AK352" i="4"/>
  <c r="BZ182" i="4"/>
  <c r="BZ350" i="4"/>
  <c r="AT182" i="4"/>
  <c r="AT350" i="4"/>
  <c r="K421" i="4"/>
  <c r="K449" i="4"/>
  <c r="CA197" i="4"/>
  <c r="CA211" i="4"/>
  <c r="CA213" i="4"/>
  <c r="BK197" i="4"/>
  <c r="BK211" i="4"/>
  <c r="BK213" i="4"/>
  <c r="AU197" i="4"/>
  <c r="AU211" i="4"/>
  <c r="AU213" i="4"/>
  <c r="AE197" i="4"/>
  <c r="AE211" i="4"/>
  <c r="AE213" i="4"/>
  <c r="O197" i="4"/>
  <c r="O211" i="4"/>
  <c r="O213" i="4"/>
  <c r="CC195" i="4"/>
  <c r="CC203" i="4"/>
  <c r="CC352" i="4"/>
  <c r="AW195" i="4"/>
  <c r="AW203" i="4"/>
  <c r="AW352" i="4"/>
  <c r="AW354" i="4"/>
  <c r="Q195" i="4"/>
  <c r="Q203" i="4"/>
  <c r="Q352" i="4"/>
  <c r="W203" i="4"/>
  <c r="W352" i="4"/>
  <c r="W354" i="4"/>
  <c r="AM203" i="4"/>
  <c r="AM352" i="4"/>
  <c r="AM354" i="4"/>
  <c r="BC203" i="4"/>
  <c r="BC352" i="4"/>
  <c r="BC354" i="4"/>
  <c r="BS203" i="4"/>
  <c r="BS352" i="4"/>
  <c r="BS354" i="4"/>
  <c r="P203" i="4"/>
  <c r="P352" i="4"/>
  <c r="AF203" i="4"/>
  <c r="AF352" i="4"/>
  <c r="AV203" i="4"/>
  <c r="AV352" i="4"/>
  <c r="BL203" i="4"/>
  <c r="BL352" i="4"/>
  <c r="BL354" i="4"/>
  <c r="CB203" i="4"/>
  <c r="CB352" i="4"/>
  <c r="CB378" i="4"/>
  <c r="AX182" i="4"/>
  <c r="AX350" i="4"/>
  <c r="AX354" i="4"/>
  <c r="R182" i="4"/>
  <c r="R350" i="4"/>
  <c r="BN211" i="4"/>
  <c r="BN213" i="4"/>
  <c r="BN197" i="4"/>
  <c r="Z203" i="4"/>
  <c r="Z352" i="4"/>
  <c r="R211" i="4"/>
  <c r="R213" i="4"/>
  <c r="R197" i="4"/>
  <c r="BV203" i="4"/>
  <c r="BV352" i="4"/>
  <c r="J352" i="4"/>
  <c r="BR216" i="1"/>
  <c r="BR474" i="1"/>
  <c r="K533" i="1"/>
  <c r="K573" i="1"/>
  <c r="V216" i="1"/>
  <c r="V474" i="1"/>
  <c r="BP216" i="1"/>
  <c r="BP474" i="1"/>
  <c r="AZ216" i="1"/>
  <c r="AZ474" i="1"/>
  <c r="AJ216" i="1"/>
  <c r="AJ474" i="1"/>
  <c r="T216" i="1"/>
  <c r="T474" i="1"/>
  <c r="U216" i="1"/>
  <c r="U474" i="1"/>
  <c r="R354" i="4"/>
  <c r="AF354" i="4"/>
  <c r="BQ354" i="4"/>
  <c r="BA354" i="4"/>
  <c r="J449" i="4"/>
  <c r="BN354" i="4"/>
  <c r="X354" i="4"/>
  <c r="AG354" i="4"/>
  <c r="U354" i="4"/>
  <c r="Q354" i="4"/>
  <c r="CC354" i="4"/>
  <c r="AK354" i="4"/>
  <c r="BW261" i="1"/>
  <c r="BW263" i="1"/>
  <c r="X261" i="1"/>
  <c r="X263" i="1"/>
  <c r="AU261" i="1"/>
  <c r="AU263" i="1"/>
  <c r="BE261" i="1"/>
  <c r="BE263" i="1"/>
  <c r="BD261" i="1"/>
  <c r="BD263" i="1"/>
  <c r="AE261" i="1"/>
  <c r="AE263" i="1"/>
  <c r="BG261" i="1"/>
  <c r="BG263" i="1"/>
  <c r="Y261" i="1"/>
  <c r="Y263" i="1"/>
  <c r="BY261" i="1"/>
  <c r="BY263" i="1"/>
  <c r="AN261" i="1"/>
  <c r="AN263" i="1"/>
  <c r="BT261" i="1"/>
  <c r="BT263" i="1"/>
  <c r="S261" i="1"/>
  <c r="S263" i="1"/>
  <c r="BR261" i="1"/>
  <c r="BR263" i="1"/>
  <c r="AY261" i="1"/>
  <c r="AY263" i="1"/>
  <c r="BS261" i="1"/>
  <c r="BS263" i="1"/>
  <c r="AL261" i="1"/>
  <c r="AL263" i="1"/>
  <c r="BM261" i="1"/>
  <c r="BM263" i="1"/>
  <c r="O261" i="1"/>
  <c r="O263" i="1"/>
  <c r="AA261" i="1"/>
  <c r="AA263" i="1"/>
  <c r="AQ261" i="1"/>
  <c r="AQ263" i="1"/>
  <c r="AS261" i="1"/>
  <c r="AS263" i="1"/>
  <c r="P261" i="1"/>
  <c r="P263" i="1"/>
  <c r="AF261" i="1"/>
  <c r="AF263" i="1"/>
  <c r="AV261" i="1"/>
  <c r="AV263" i="1"/>
  <c r="BL261" i="1"/>
  <c r="BL263" i="1"/>
  <c r="CB261" i="1"/>
  <c r="CB263" i="1"/>
  <c r="AI261" i="1"/>
  <c r="AI263" i="1"/>
  <c r="V261" i="1"/>
  <c r="V263" i="1"/>
  <c r="BB261" i="1"/>
  <c r="BB263" i="1"/>
  <c r="T253" i="1"/>
  <c r="T476" i="1"/>
  <c r="T478" i="1"/>
  <c r="T261" i="1"/>
  <c r="T263" i="1"/>
  <c r="AB253" i="1"/>
  <c r="AB476" i="1"/>
  <c r="AB478" i="1"/>
  <c r="AB261" i="1"/>
  <c r="AB263" i="1"/>
  <c r="AJ253" i="1"/>
  <c r="AJ476" i="1"/>
  <c r="AJ478" i="1"/>
  <c r="AJ261" i="1"/>
  <c r="AJ263" i="1"/>
  <c r="AR253" i="1"/>
  <c r="AR476" i="1"/>
  <c r="AR478" i="1"/>
  <c r="AR261" i="1"/>
  <c r="AR263" i="1"/>
  <c r="AZ253" i="1"/>
  <c r="AZ476" i="1"/>
  <c r="AZ478" i="1"/>
  <c r="AZ261" i="1"/>
  <c r="AZ263" i="1"/>
  <c r="BH253" i="1"/>
  <c r="BH476" i="1"/>
  <c r="BH478" i="1"/>
  <c r="BH261" i="1"/>
  <c r="BH263" i="1"/>
  <c r="BP253" i="1"/>
  <c r="BP476" i="1"/>
  <c r="BP478" i="1"/>
  <c r="BP261" i="1"/>
  <c r="BP263" i="1"/>
  <c r="BX253" i="1"/>
  <c r="BX476" i="1"/>
  <c r="BX478" i="1"/>
  <c r="BX261" i="1"/>
  <c r="BX263" i="1"/>
  <c r="Q253" i="1"/>
  <c r="Q476" i="1"/>
  <c r="Q478" i="1"/>
  <c r="Q261" i="1"/>
  <c r="Q263" i="1"/>
  <c r="AW253" i="1"/>
  <c r="AW476" i="1"/>
  <c r="AW478" i="1"/>
  <c r="AW261" i="1"/>
  <c r="AW263" i="1"/>
  <c r="CC253" i="1"/>
  <c r="CC476" i="1"/>
  <c r="CC478" i="1"/>
  <c r="CC261" i="1"/>
  <c r="CC263" i="1"/>
  <c r="W261" i="1"/>
  <c r="W263" i="1"/>
  <c r="AM261" i="1"/>
  <c r="AM263" i="1"/>
  <c r="BC261" i="1"/>
  <c r="BC263" i="1"/>
  <c r="BO261" i="1"/>
  <c r="BO263" i="1"/>
  <c r="N261" i="1"/>
  <c r="N263" i="1"/>
  <c r="AD261" i="1"/>
  <c r="AD263" i="1"/>
  <c r="AT261" i="1"/>
  <c r="AT263" i="1"/>
  <c r="BJ261" i="1"/>
  <c r="BJ263" i="1"/>
  <c r="BZ261" i="1"/>
  <c r="BZ263" i="1"/>
  <c r="AG261" i="1"/>
  <c r="AG263" i="1"/>
  <c r="AC253" i="1"/>
  <c r="AC476" i="1"/>
  <c r="AC478" i="1"/>
  <c r="AC261" i="1"/>
  <c r="AC263" i="1"/>
  <c r="BI253" i="1"/>
  <c r="BI476" i="1"/>
  <c r="BI478" i="1"/>
  <c r="BI261" i="1"/>
  <c r="BI263" i="1"/>
  <c r="R253" i="1"/>
  <c r="R476" i="1"/>
  <c r="R478" i="1"/>
  <c r="R261" i="1"/>
  <c r="R263" i="1"/>
  <c r="Z253" i="1"/>
  <c r="Z476" i="1"/>
  <c r="Z478" i="1"/>
  <c r="Z261" i="1"/>
  <c r="Z263" i="1"/>
  <c r="AH253" i="1"/>
  <c r="AH476" i="1"/>
  <c r="AH478" i="1"/>
  <c r="AH261" i="1"/>
  <c r="AH263" i="1"/>
  <c r="AP253" i="1"/>
  <c r="AP476" i="1"/>
  <c r="AP478" i="1"/>
  <c r="AP261" i="1"/>
  <c r="AP263" i="1"/>
  <c r="AX253" i="1"/>
  <c r="AX476" i="1"/>
  <c r="AX478" i="1"/>
  <c r="AX261" i="1"/>
  <c r="AX263" i="1"/>
  <c r="BF253" i="1"/>
  <c r="BF476" i="1"/>
  <c r="BF478" i="1"/>
  <c r="BF261" i="1"/>
  <c r="BF263" i="1"/>
  <c r="BN253" i="1"/>
  <c r="BN476" i="1"/>
  <c r="BN478" i="1"/>
  <c r="BN261" i="1"/>
  <c r="BN263" i="1"/>
  <c r="BV253" i="1"/>
  <c r="BV476" i="1"/>
  <c r="BV478" i="1"/>
  <c r="BV261" i="1"/>
  <c r="BV263" i="1"/>
  <c r="J253" i="1"/>
  <c r="J247" i="1"/>
  <c r="K247" i="1"/>
  <c r="L247" i="1"/>
  <c r="M247" i="1"/>
  <c r="N247" i="1"/>
  <c r="O247" i="1"/>
  <c r="P247" i="1"/>
  <c r="Q247" i="1"/>
  <c r="R247" i="1"/>
  <c r="S247" i="1"/>
  <c r="T247" i="1"/>
  <c r="U247" i="1"/>
  <c r="V247" i="1"/>
  <c r="W247" i="1"/>
  <c r="X247" i="1"/>
  <c r="Y247" i="1"/>
  <c r="Z247" i="1"/>
  <c r="AA247" i="1"/>
  <c r="AB247" i="1"/>
  <c r="AC247" i="1"/>
  <c r="AD247" i="1"/>
  <c r="AE247" i="1"/>
  <c r="AF247" i="1"/>
  <c r="AG247" i="1"/>
  <c r="AH247" i="1"/>
  <c r="AI247" i="1"/>
  <c r="AJ247" i="1"/>
  <c r="AK247" i="1"/>
  <c r="AL247" i="1"/>
  <c r="AM247" i="1"/>
  <c r="AN247" i="1"/>
  <c r="AO247" i="1"/>
  <c r="AP247" i="1"/>
  <c r="AQ247" i="1"/>
  <c r="AR247" i="1"/>
  <c r="AS247" i="1"/>
  <c r="AT247" i="1"/>
  <c r="AU247" i="1"/>
  <c r="AV247" i="1"/>
  <c r="AW247" i="1"/>
  <c r="AX247" i="1"/>
  <c r="AY247" i="1"/>
  <c r="AZ247" i="1"/>
  <c r="BA247" i="1"/>
  <c r="BB247" i="1"/>
  <c r="BC247" i="1"/>
  <c r="BD247" i="1"/>
  <c r="BE247" i="1"/>
  <c r="BF247" i="1"/>
  <c r="BG247" i="1"/>
  <c r="BH247" i="1"/>
  <c r="BI247" i="1"/>
  <c r="BJ247" i="1"/>
  <c r="BK247" i="1"/>
  <c r="BL247" i="1"/>
  <c r="BM247" i="1"/>
  <c r="BN247" i="1"/>
  <c r="BO247" i="1"/>
  <c r="BP247" i="1"/>
  <c r="BQ247" i="1"/>
  <c r="BR247" i="1"/>
  <c r="BS247" i="1"/>
  <c r="BT247" i="1"/>
  <c r="BU247" i="1"/>
  <c r="BV247" i="1"/>
  <c r="BW247" i="1"/>
  <c r="BX247" i="1"/>
  <c r="BY247" i="1"/>
  <c r="BZ247" i="1"/>
  <c r="CA247" i="1"/>
  <c r="CB247" i="1"/>
  <c r="CC247" i="1"/>
  <c r="AO253" i="1"/>
  <c r="AO476" i="1"/>
  <c r="AO478" i="1"/>
  <c r="AO261" i="1"/>
  <c r="AO263" i="1"/>
  <c r="BU253" i="1"/>
  <c r="BU476" i="1"/>
  <c r="BU261" i="1"/>
  <c r="BU263" i="1"/>
  <c r="BK253" i="1"/>
  <c r="BK476" i="1"/>
  <c r="BK478" i="1"/>
  <c r="BK261" i="1"/>
  <c r="BK263" i="1"/>
  <c r="CA253" i="1"/>
  <c r="CA476" i="1"/>
  <c r="CA261" i="1"/>
  <c r="CA263" i="1"/>
  <c r="U261" i="1"/>
  <c r="U263" i="1"/>
  <c r="AK261" i="1"/>
  <c r="AK263" i="1"/>
  <c r="BA261" i="1"/>
  <c r="BA263" i="1"/>
  <c r="BQ261" i="1"/>
  <c r="BQ263" i="1"/>
  <c r="M253" i="1"/>
  <c r="M476" i="1"/>
  <c r="M478" i="1"/>
  <c r="L253" i="1"/>
  <c r="L476" i="1"/>
  <c r="L478" i="1"/>
  <c r="K253" i="1"/>
  <c r="K476" i="1"/>
  <c r="K478" i="1"/>
  <c r="H245" i="1"/>
  <c r="CF138" i="1"/>
  <c r="H216" i="1"/>
  <c r="J322" i="1"/>
  <c r="AN478" i="1"/>
  <c r="BE354" i="4"/>
  <c r="AC354" i="4"/>
  <c r="AV354" i="4"/>
  <c r="K265" i="1"/>
  <c r="L263" i="1"/>
  <c r="J474" i="1"/>
  <c r="H474" i="1"/>
  <c r="BD478" i="1"/>
  <c r="X478" i="1"/>
  <c r="BT478" i="1"/>
  <c r="BL478" i="1"/>
  <c r="P478" i="1"/>
  <c r="AG478" i="1"/>
  <c r="AF478" i="1"/>
  <c r="BT322" i="1"/>
  <c r="BT326" i="1"/>
  <c r="X322" i="1"/>
  <c r="X326" i="1"/>
  <c r="Q266" i="4"/>
  <c r="Q274" i="4"/>
  <c r="Q287" i="4"/>
  <c r="Q310" i="4"/>
  <c r="Q360" i="4"/>
  <c r="Q374" i="4"/>
  <c r="K322" i="1"/>
  <c r="K326" i="1"/>
  <c r="K462" i="1"/>
  <c r="AN322" i="1"/>
  <c r="AN326" i="1"/>
  <c r="AG266" i="4"/>
  <c r="AG274" i="4"/>
  <c r="AG287" i="4"/>
  <c r="AG310" i="4"/>
  <c r="AG360" i="4"/>
  <c r="AG374" i="4"/>
  <c r="BD322" i="1"/>
  <c r="BD326" i="1"/>
  <c r="AW266" i="4"/>
  <c r="AW274" i="4"/>
  <c r="AW287" i="4"/>
  <c r="AW310" i="4"/>
  <c r="AW360" i="4"/>
  <c r="AW374" i="4"/>
  <c r="BM266" i="4"/>
  <c r="BM274" i="4"/>
  <c r="BM287" i="4"/>
  <c r="BM310" i="4"/>
  <c r="BM328" i="4"/>
  <c r="AO322" i="1"/>
  <c r="AO326" i="1"/>
  <c r="N266" i="4"/>
  <c r="N274" i="4"/>
  <c r="N287" i="4"/>
  <c r="N310" i="4"/>
  <c r="BJ266" i="4"/>
  <c r="BJ274" i="4"/>
  <c r="BJ287" i="4"/>
  <c r="BJ310" i="4"/>
  <c r="AL322" i="1"/>
  <c r="AL326" i="1"/>
  <c r="O266" i="4"/>
  <c r="O274" i="4"/>
  <c r="O287" i="4"/>
  <c r="O310" i="4"/>
  <c r="BK266" i="4"/>
  <c r="BK274" i="4"/>
  <c r="BK287" i="4"/>
  <c r="BK310" i="4"/>
  <c r="AQ322" i="1"/>
  <c r="AQ326" i="1"/>
  <c r="T266" i="4"/>
  <c r="T274" i="4"/>
  <c r="T287" i="4"/>
  <c r="T310" i="4"/>
  <c r="AJ266" i="4"/>
  <c r="AJ274" i="4"/>
  <c r="AJ287" i="4"/>
  <c r="AJ310" i="4"/>
  <c r="L322" i="1"/>
  <c r="L326" i="1"/>
  <c r="AB322" i="1"/>
  <c r="AB326" i="1"/>
  <c r="AR322" i="1"/>
  <c r="AR326" i="1"/>
  <c r="BH322" i="1"/>
  <c r="BH326" i="1"/>
  <c r="BX322" i="1"/>
  <c r="BX326" i="1"/>
  <c r="U266" i="4"/>
  <c r="U274" i="4"/>
  <c r="U287" i="4"/>
  <c r="U310" i="4"/>
  <c r="AK266" i="4"/>
  <c r="AK274" i="4"/>
  <c r="AK287" i="4"/>
  <c r="AK310" i="4"/>
  <c r="BA266" i="4"/>
  <c r="BA274" i="4"/>
  <c r="BA287" i="4"/>
  <c r="BA310" i="4"/>
  <c r="BQ266" i="4"/>
  <c r="BQ274" i="4"/>
  <c r="BQ287" i="4"/>
  <c r="BQ310" i="4"/>
  <c r="M322" i="1"/>
  <c r="M326" i="1"/>
  <c r="AC322" i="1"/>
  <c r="AC326" i="1"/>
  <c r="AS322" i="1"/>
  <c r="AS326" i="1"/>
  <c r="BI322" i="1"/>
  <c r="BI326" i="1"/>
  <c r="BY322" i="1"/>
  <c r="BY326" i="1"/>
  <c r="R266" i="4"/>
  <c r="R274" i="4"/>
  <c r="R287" i="4"/>
  <c r="R310" i="4"/>
  <c r="AH266" i="4"/>
  <c r="AH274" i="4"/>
  <c r="AH287" i="4"/>
  <c r="AH310" i="4"/>
  <c r="AX266" i="4"/>
  <c r="AX274" i="4"/>
  <c r="AX287" i="4"/>
  <c r="AX310" i="4"/>
  <c r="BN266" i="4"/>
  <c r="BN274" i="4"/>
  <c r="BN287" i="4"/>
  <c r="BN310" i="4"/>
  <c r="Z322" i="1"/>
  <c r="Z326" i="1"/>
  <c r="AP322" i="1"/>
  <c r="AP326" i="1"/>
  <c r="BF322" i="1"/>
  <c r="BF326" i="1"/>
  <c r="BV322" i="1"/>
  <c r="BV326" i="1"/>
  <c r="S266" i="4"/>
  <c r="S274" i="4"/>
  <c r="S287" i="4"/>
  <c r="S310" i="4"/>
  <c r="AI266" i="4"/>
  <c r="AI274" i="4"/>
  <c r="AI287" i="4"/>
  <c r="AI310" i="4"/>
  <c r="AY266" i="4"/>
  <c r="AY274" i="4"/>
  <c r="AY287" i="4"/>
  <c r="AY310" i="4"/>
  <c r="BO266" i="4"/>
  <c r="BO274" i="4"/>
  <c r="BO287" i="4"/>
  <c r="BO310" i="4"/>
  <c r="O322" i="1"/>
  <c r="O326" i="1"/>
  <c r="AE322" i="1"/>
  <c r="AE326" i="1"/>
  <c r="AU322" i="1"/>
  <c r="AU326" i="1"/>
  <c r="BK322" i="1"/>
  <c r="BK326" i="1"/>
  <c r="CA322" i="1"/>
  <c r="CA326" i="1"/>
  <c r="X266" i="4"/>
  <c r="X274" i="4"/>
  <c r="X287" i="4"/>
  <c r="X310" i="4"/>
  <c r="AN266" i="4"/>
  <c r="AN274" i="4"/>
  <c r="AN287" i="4"/>
  <c r="AN310" i="4"/>
  <c r="BD266" i="4"/>
  <c r="BD274" i="4"/>
  <c r="BD287" i="4"/>
  <c r="BD310" i="4"/>
  <c r="BT266" i="4"/>
  <c r="BT274" i="4"/>
  <c r="BT287" i="4"/>
  <c r="BT310" i="4"/>
  <c r="CC266" i="4"/>
  <c r="CC274" i="4"/>
  <c r="CC287" i="4"/>
  <c r="CC310" i="4"/>
  <c r="BU322" i="1"/>
  <c r="BU326" i="1"/>
  <c r="AD266" i="4"/>
  <c r="AD274" i="4"/>
  <c r="AD287" i="4"/>
  <c r="AD310" i="4"/>
  <c r="BZ266" i="4"/>
  <c r="BZ274" i="4"/>
  <c r="BZ287" i="4"/>
  <c r="BZ310" i="4"/>
  <c r="BB322" i="1"/>
  <c r="BB326" i="1"/>
  <c r="AE266" i="4"/>
  <c r="AE274" i="4"/>
  <c r="AE287" i="4"/>
  <c r="AE310" i="4"/>
  <c r="CA266" i="4"/>
  <c r="CA274" i="4"/>
  <c r="CA287" i="4"/>
  <c r="CA310" i="4"/>
  <c r="BW322" i="1"/>
  <c r="BW326" i="1"/>
  <c r="BP266" i="4"/>
  <c r="BP274" i="4"/>
  <c r="BP287" i="4"/>
  <c r="BP310" i="4"/>
  <c r="P322" i="1"/>
  <c r="P326" i="1"/>
  <c r="AF322" i="1"/>
  <c r="AF326" i="1"/>
  <c r="AV322" i="1"/>
  <c r="AV326" i="1"/>
  <c r="BL322" i="1"/>
  <c r="BL326" i="1"/>
  <c r="CB322" i="1"/>
  <c r="CB326" i="1"/>
  <c r="Y266" i="4"/>
  <c r="Y274" i="4"/>
  <c r="Y287" i="4"/>
  <c r="Y310" i="4"/>
  <c r="AO266" i="4"/>
  <c r="AO274" i="4"/>
  <c r="AO287" i="4"/>
  <c r="AO310" i="4"/>
  <c r="BE266" i="4"/>
  <c r="BE274" i="4"/>
  <c r="BE287" i="4"/>
  <c r="BE310" i="4"/>
  <c r="BU266" i="4"/>
  <c r="BU274" i="4"/>
  <c r="BU287" i="4"/>
  <c r="BU310" i="4"/>
  <c r="Q322" i="1"/>
  <c r="Q326" i="1"/>
  <c r="AG322" i="1"/>
  <c r="AG326" i="1"/>
  <c r="AW322" i="1"/>
  <c r="AW326" i="1"/>
  <c r="BM322" i="1"/>
  <c r="BM326" i="1"/>
  <c r="CC322" i="1"/>
  <c r="CC326" i="1"/>
  <c r="V266" i="4"/>
  <c r="V274" i="4"/>
  <c r="V287" i="4"/>
  <c r="V310" i="4"/>
  <c r="AL266" i="4"/>
  <c r="AL274" i="4"/>
  <c r="AL287" i="4"/>
  <c r="AL310" i="4"/>
  <c r="BB266" i="4"/>
  <c r="BB274" i="4"/>
  <c r="BB287" i="4"/>
  <c r="BB310" i="4"/>
  <c r="BR266" i="4"/>
  <c r="BR274" i="4"/>
  <c r="BR287" i="4"/>
  <c r="BR310" i="4"/>
  <c r="N322" i="1"/>
  <c r="N326" i="1"/>
  <c r="AD322" i="1"/>
  <c r="AD326" i="1"/>
  <c r="AT322" i="1"/>
  <c r="AT326" i="1"/>
  <c r="BJ322" i="1"/>
  <c r="BJ326" i="1"/>
  <c r="BZ322" i="1"/>
  <c r="BZ326" i="1"/>
  <c r="W266" i="4"/>
  <c r="W274" i="4"/>
  <c r="W287" i="4"/>
  <c r="W310" i="4"/>
  <c r="AM266" i="4"/>
  <c r="AM274" i="4"/>
  <c r="AM287" i="4"/>
  <c r="AM310" i="4"/>
  <c r="BC266" i="4"/>
  <c r="BC274" i="4"/>
  <c r="BC287" i="4"/>
  <c r="BC310" i="4"/>
  <c r="BS266" i="4"/>
  <c r="BS274" i="4"/>
  <c r="BS287" i="4"/>
  <c r="BS310" i="4"/>
  <c r="S322" i="1"/>
  <c r="S326" i="1"/>
  <c r="AI322" i="1"/>
  <c r="AI326" i="1"/>
  <c r="AY322" i="1"/>
  <c r="AY326" i="1"/>
  <c r="BO322" i="1"/>
  <c r="BO326" i="1"/>
  <c r="L266" i="4"/>
  <c r="L274" i="4"/>
  <c r="L287" i="4"/>
  <c r="L310" i="4"/>
  <c r="AB266" i="4"/>
  <c r="AB274" i="4"/>
  <c r="AB287" i="4"/>
  <c r="AB310" i="4"/>
  <c r="AR266" i="4"/>
  <c r="AR274" i="4"/>
  <c r="AR287" i="4"/>
  <c r="AR310" i="4"/>
  <c r="BH266" i="4"/>
  <c r="BH274" i="4"/>
  <c r="BH287" i="4"/>
  <c r="BH310" i="4"/>
  <c r="BX266" i="4"/>
  <c r="BX274" i="4"/>
  <c r="BX287" i="4"/>
  <c r="BX310" i="4"/>
  <c r="Y322" i="1"/>
  <c r="Y326" i="1"/>
  <c r="BE322" i="1"/>
  <c r="BE326" i="1"/>
  <c r="AT266" i="4"/>
  <c r="AT274" i="4"/>
  <c r="AT287" i="4"/>
  <c r="AT310" i="4"/>
  <c r="V322" i="1"/>
  <c r="V326" i="1"/>
  <c r="BR322" i="1"/>
  <c r="BR326" i="1"/>
  <c r="AU266" i="4"/>
  <c r="AU274" i="4"/>
  <c r="AU287" i="4"/>
  <c r="AU310" i="4"/>
  <c r="AA322" i="1"/>
  <c r="AA326" i="1"/>
  <c r="BG322" i="1"/>
  <c r="BG326" i="1"/>
  <c r="AZ266" i="4"/>
  <c r="AZ274" i="4"/>
  <c r="AZ287" i="4"/>
  <c r="AZ310" i="4"/>
  <c r="T322" i="1"/>
  <c r="T326" i="1"/>
  <c r="AJ322" i="1"/>
  <c r="AJ326" i="1"/>
  <c r="AZ322" i="1"/>
  <c r="AZ326" i="1"/>
  <c r="BP322" i="1"/>
  <c r="BP326" i="1"/>
  <c r="M266" i="4"/>
  <c r="M274" i="4"/>
  <c r="M287" i="4"/>
  <c r="M310" i="4"/>
  <c r="AC266" i="4"/>
  <c r="AC274" i="4"/>
  <c r="AC287" i="4"/>
  <c r="AC310" i="4"/>
  <c r="AS266" i="4"/>
  <c r="AS274" i="4"/>
  <c r="AS287" i="4"/>
  <c r="AS310" i="4"/>
  <c r="BI266" i="4"/>
  <c r="BI274" i="4"/>
  <c r="BI287" i="4"/>
  <c r="BI310" i="4"/>
  <c r="BY266" i="4"/>
  <c r="BY274" i="4"/>
  <c r="BY287" i="4"/>
  <c r="BY310" i="4"/>
  <c r="U322" i="1"/>
  <c r="U326" i="1"/>
  <c r="AK322" i="1"/>
  <c r="AK326" i="1"/>
  <c r="BA322" i="1"/>
  <c r="BA326" i="1"/>
  <c r="BQ322" i="1"/>
  <c r="BQ326" i="1"/>
  <c r="J266" i="4"/>
  <c r="J274" i="4"/>
  <c r="J287" i="4"/>
  <c r="J310" i="4"/>
  <c r="Z266" i="4"/>
  <c r="Z274" i="4"/>
  <c r="Z287" i="4"/>
  <c r="Z310" i="4"/>
  <c r="AP266" i="4"/>
  <c r="AP274" i="4"/>
  <c r="AP287" i="4"/>
  <c r="AP310" i="4"/>
  <c r="BF266" i="4"/>
  <c r="BF274" i="4"/>
  <c r="BF287" i="4"/>
  <c r="BF310" i="4"/>
  <c r="BV266" i="4"/>
  <c r="BV274" i="4"/>
  <c r="BV287" i="4"/>
  <c r="BV310" i="4"/>
  <c r="R322" i="1"/>
  <c r="R326" i="1"/>
  <c r="AH322" i="1"/>
  <c r="AH326" i="1"/>
  <c r="AX322" i="1"/>
  <c r="AX326" i="1"/>
  <c r="BN322" i="1"/>
  <c r="BN326" i="1"/>
  <c r="K266" i="4"/>
  <c r="K274" i="4"/>
  <c r="K287" i="4"/>
  <c r="K310" i="4"/>
  <c r="AA266" i="4"/>
  <c r="AA274" i="4"/>
  <c r="AA287" i="4"/>
  <c r="AA310" i="4"/>
  <c r="AQ266" i="4"/>
  <c r="AQ274" i="4"/>
  <c r="AQ287" i="4"/>
  <c r="AQ310" i="4"/>
  <c r="BG266" i="4"/>
  <c r="BG274" i="4"/>
  <c r="BG287" i="4"/>
  <c r="BG310" i="4"/>
  <c r="BW266" i="4"/>
  <c r="BW274" i="4"/>
  <c r="BW287" i="4"/>
  <c r="BW310" i="4"/>
  <c r="W322" i="1"/>
  <c r="W326" i="1"/>
  <c r="AM322" i="1"/>
  <c r="AM326" i="1"/>
  <c r="BC322" i="1"/>
  <c r="BC326" i="1"/>
  <c r="BS322" i="1"/>
  <c r="BS326" i="1"/>
  <c r="P266" i="4"/>
  <c r="P274" i="4"/>
  <c r="P287" i="4"/>
  <c r="P310" i="4"/>
  <c r="AF266" i="4"/>
  <c r="AF274" i="4"/>
  <c r="AF287" i="4"/>
  <c r="AF310" i="4"/>
  <c r="AV266" i="4"/>
  <c r="AV274" i="4"/>
  <c r="AV287" i="4"/>
  <c r="AV310" i="4"/>
  <c r="BL266" i="4"/>
  <c r="BL274" i="4"/>
  <c r="BL287" i="4"/>
  <c r="BL310" i="4"/>
  <c r="CB266" i="4"/>
  <c r="CB274" i="4"/>
  <c r="CB287" i="4"/>
  <c r="CB310" i="4"/>
  <c r="AL478" i="1"/>
  <c r="W476" i="1"/>
  <c r="W478" i="1"/>
  <c r="AA146" i="4"/>
  <c r="AA154" i="4"/>
  <c r="AA167" i="4"/>
  <c r="AA186" i="4"/>
  <c r="AA207" i="4"/>
  <c r="AA260" i="4"/>
  <c r="BG148" i="1"/>
  <c r="BG472" i="1"/>
  <c r="AS476" i="1"/>
  <c r="AS478" i="1"/>
  <c r="AY476" i="1"/>
  <c r="AY478" i="1"/>
  <c r="S146" i="4"/>
  <c r="S348" i="4"/>
  <c r="BG146" i="4"/>
  <c r="BG348" i="4"/>
  <c r="AX148" i="1"/>
  <c r="AX156" i="1"/>
  <c r="AX185" i="1"/>
  <c r="AX220" i="1"/>
  <c r="AX257" i="1"/>
  <c r="AX316" i="1"/>
  <c r="AQ148" i="1"/>
  <c r="AQ156" i="1"/>
  <c r="AQ185" i="1"/>
  <c r="AQ220" i="1"/>
  <c r="AQ257" i="1"/>
  <c r="AQ316" i="1"/>
  <c r="AZ148" i="1"/>
  <c r="AZ156" i="1"/>
  <c r="AZ185" i="1"/>
  <c r="AZ220" i="1"/>
  <c r="AZ257" i="1"/>
  <c r="AZ316" i="1"/>
  <c r="U148" i="1"/>
  <c r="U472" i="1"/>
  <c r="R146" i="4"/>
  <c r="R348" i="4"/>
  <c r="N476" i="1"/>
  <c r="N478" i="1"/>
  <c r="BN148" i="1"/>
  <c r="BN156" i="1"/>
  <c r="BN185" i="1"/>
  <c r="BN220" i="1"/>
  <c r="BN257" i="1"/>
  <c r="BN316" i="1"/>
  <c r="AK148" i="1"/>
  <c r="AK472" i="1"/>
  <c r="BY476" i="1"/>
  <c r="BY478" i="1"/>
  <c r="S476" i="1"/>
  <c r="S478" i="1"/>
  <c r="K146" i="4"/>
  <c r="K348" i="4"/>
  <c r="AE146" i="4"/>
  <c r="AE154" i="4"/>
  <c r="AE167" i="4"/>
  <c r="AE186" i="4"/>
  <c r="AE207" i="4"/>
  <c r="AE260" i="4"/>
  <c r="R148" i="1"/>
  <c r="R156" i="1"/>
  <c r="K148" i="1"/>
  <c r="K472" i="1"/>
  <c r="T148" i="1"/>
  <c r="T472" i="1"/>
  <c r="AB146" i="4"/>
  <c r="AB348" i="4"/>
  <c r="M146" i="4"/>
  <c r="M348" i="4"/>
  <c r="BZ476" i="1"/>
  <c r="BZ478" i="1"/>
  <c r="BW146" i="4"/>
  <c r="BW154" i="4"/>
  <c r="BW167" i="4"/>
  <c r="BW186" i="4"/>
  <c r="BW207" i="4"/>
  <c r="BW260" i="4"/>
  <c r="L146" i="4"/>
  <c r="L348" i="4"/>
  <c r="BA476" i="1"/>
  <c r="BA478" i="1"/>
  <c r="BC476" i="1"/>
  <c r="BC478" i="1"/>
  <c r="O146" i="4"/>
  <c r="O348" i="4"/>
  <c r="AQ146" i="4"/>
  <c r="AQ154" i="4"/>
  <c r="AQ167" i="4"/>
  <c r="AQ186" i="4"/>
  <c r="AQ207" i="4"/>
  <c r="AQ260" i="4"/>
  <c r="AH148" i="1"/>
  <c r="AH472" i="1"/>
  <c r="AA148" i="1"/>
  <c r="AA472" i="1"/>
  <c r="AJ148" i="1"/>
  <c r="AJ472" i="1"/>
  <c r="AR146" i="4"/>
  <c r="AR154" i="4"/>
  <c r="AR167" i="4"/>
  <c r="AR186" i="4"/>
  <c r="AR207" i="4"/>
  <c r="AR260" i="4"/>
  <c r="AC146" i="4"/>
  <c r="AC348" i="4"/>
  <c r="CB380" i="4"/>
  <c r="BW148" i="1"/>
  <c r="BW472" i="1"/>
  <c r="BP148" i="1"/>
  <c r="BP472" i="1"/>
  <c r="BH146" i="4"/>
  <c r="BH154" i="4"/>
  <c r="BH167" i="4"/>
  <c r="BH186" i="4"/>
  <c r="BH207" i="4"/>
  <c r="BH260" i="4"/>
  <c r="BA148" i="1"/>
  <c r="BA156" i="1"/>
  <c r="BA185" i="1"/>
  <c r="BA220" i="1"/>
  <c r="BA257" i="1"/>
  <c r="BA316" i="1"/>
  <c r="AS146" i="4"/>
  <c r="AS348" i="4"/>
  <c r="AH146" i="4"/>
  <c r="AH348" i="4"/>
  <c r="BX146" i="4"/>
  <c r="BX348" i="4"/>
  <c r="BQ148" i="1"/>
  <c r="BQ156" i="1"/>
  <c r="BQ185" i="1"/>
  <c r="BQ220" i="1"/>
  <c r="BQ257" i="1"/>
  <c r="BQ316" i="1"/>
  <c r="BI146" i="4"/>
  <c r="BI348" i="4"/>
  <c r="AX146" i="4"/>
  <c r="AX154" i="4"/>
  <c r="AX167" i="4"/>
  <c r="AX186" i="4"/>
  <c r="AX207" i="4"/>
  <c r="AX260" i="4"/>
  <c r="BY146" i="4"/>
  <c r="BY348" i="4"/>
  <c r="BN146" i="4"/>
  <c r="BN348" i="4"/>
  <c r="AU146" i="4"/>
  <c r="BK146" i="4"/>
  <c r="CA146" i="4"/>
  <c r="V148" i="1"/>
  <c r="AL148" i="1"/>
  <c r="BB148" i="1"/>
  <c r="BR148" i="1"/>
  <c r="O148" i="1"/>
  <c r="AE148" i="1"/>
  <c r="AU148" i="1"/>
  <c r="BK148" i="1"/>
  <c r="CA148" i="1"/>
  <c r="X148" i="1"/>
  <c r="AN148" i="1"/>
  <c r="BD148" i="1"/>
  <c r="BT148" i="1"/>
  <c r="P146" i="4"/>
  <c r="AF146" i="4"/>
  <c r="AV146" i="4"/>
  <c r="BL146" i="4"/>
  <c r="CB146" i="4"/>
  <c r="Y148" i="1"/>
  <c r="AO148" i="1"/>
  <c r="BE148" i="1"/>
  <c r="BU148" i="1"/>
  <c r="Q146" i="4"/>
  <c r="AG146" i="4"/>
  <c r="AW146" i="4"/>
  <c r="BM146" i="4"/>
  <c r="CC146" i="4"/>
  <c r="V146" i="4"/>
  <c r="AL146" i="4"/>
  <c r="BB146" i="4"/>
  <c r="BR146" i="4"/>
  <c r="AI146" i="4"/>
  <c r="AY146" i="4"/>
  <c r="BO146" i="4"/>
  <c r="J148" i="1"/>
  <c r="Z148" i="1"/>
  <c r="AP148" i="1"/>
  <c r="BF148" i="1"/>
  <c r="BV148" i="1"/>
  <c r="S148" i="1"/>
  <c r="AI148" i="1"/>
  <c r="AY148" i="1"/>
  <c r="BO148" i="1"/>
  <c r="L148" i="1"/>
  <c r="AB148" i="1"/>
  <c r="AR148" i="1"/>
  <c r="BH148" i="1"/>
  <c r="BX148" i="1"/>
  <c r="T146" i="4"/>
  <c r="AJ146" i="4"/>
  <c r="AZ146" i="4"/>
  <c r="BP146" i="4"/>
  <c r="M148" i="1"/>
  <c r="AC148" i="1"/>
  <c r="AS148" i="1"/>
  <c r="BI148" i="1"/>
  <c r="BY148" i="1"/>
  <c r="U146" i="4"/>
  <c r="AK146" i="4"/>
  <c r="BA146" i="4"/>
  <c r="BQ146" i="4"/>
  <c r="J146" i="4"/>
  <c r="Z146" i="4"/>
  <c r="AP146" i="4"/>
  <c r="BF146" i="4"/>
  <c r="BV146" i="4"/>
  <c r="W146" i="4"/>
  <c r="AM146" i="4"/>
  <c r="BC146" i="4"/>
  <c r="BS146" i="4"/>
  <c r="N148" i="1"/>
  <c r="AD148" i="1"/>
  <c r="AT148" i="1"/>
  <c r="BJ148" i="1"/>
  <c r="BZ148" i="1"/>
  <c r="W148" i="1"/>
  <c r="AM148" i="1"/>
  <c r="BC148" i="1"/>
  <c r="BS148" i="1"/>
  <c r="P148" i="1"/>
  <c r="AF148" i="1"/>
  <c r="AV148" i="1"/>
  <c r="BL148" i="1"/>
  <c r="CB148" i="1"/>
  <c r="X146" i="4"/>
  <c r="AN146" i="4"/>
  <c r="BD146" i="4"/>
  <c r="BT146" i="4"/>
  <c r="Q148" i="1"/>
  <c r="AG148" i="1"/>
  <c r="AW148" i="1"/>
  <c r="BM148" i="1"/>
  <c r="CC148" i="1"/>
  <c r="Y146" i="4"/>
  <c r="AO146" i="4"/>
  <c r="BE146" i="4"/>
  <c r="BU146" i="4"/>
  <c r="N146" i="4"/>
  <c r="AD146" i="4"/>
  <c r="AT146" i="4"/>
  <c r="BJ146" i="4"/>
  <c r="BZ146" i="4"/>
  <c r="BB478" i="1"/>
  <c r="AO354" i="4"/>
  <c r="H195" i="4"/>
  <c r="F304" i="4"/>
  <c r="AV478" i="1"/>
  <c r="V478" i="1"/>
  <c r="BR478" i="1"/>
  <c r="BM478" i="1"/>
  <c r="AT354" i="4"/>
  <c r="V354" i="4"/>
  <c r="AD354" i="4"/>
  <c r="AS354" i="4"/>
  <c r="P354" i="4"/>
  <c r="BZ354" i="4"/>
  <c r="CF136" i="4"/>
  <c r="BR211" i="4"/>
  <c r="BR213" i="4"/>
  <c r="BR197" i="4"/>
  <c r="M561" i="1"/>
  <c r="M569" i="1"/>
  <c r="Z354" i="4"/>
  <c r="Y211" i="4"/>
  <c r="Y213" i="4"/>
  <c r="Y197" i="4"/>
  <c r="M211" i="4"/>
  <c r="M213" i="4"/>
  <c r="M197" i="4"/>
  <c r="BY211" i="4"/>
  <c r="BY213" i="4"/>
  <c r="BY197" i="4"/>
  <c r="L413" i="4"/>
  <c r="L423" i="4"/>
  <c r="L437" i="4"/>
  <c r="L445" i="4"/>
  <c r="Y476" i="1"/>
  <c r="Y478" i="1"/>
  <c r="BB211" i="4"/>
  <c r="BB213" i="4"/>
  <c r="BB197" i="4"/>
  <c r="L354" i="4"/>
  <c r="K561" i="1"/>
  <c r="K569" i="1"/>
  <c r="H182" i="4"/>
  <c r="BU211" i="4"/>
  <c r="BU213" i="4"/>
  <c r="BU197" i="4"/>
  <c r="BI211" i="4"/>
  <c r="BI213" i="4"/>
  <c r="BI197" i="4"/>
  <c r="CB354" i="4"/>
  <c r="N423" i="4"/>
  <c r="N437" i="4"/>
  <c r="N445" i="4"/>
  <c r="N413" i="4"/>
  <c r="AQ476" i="1"/>
  <c r="AQ478" i="1"/>
  <c r="BW476" i="1"/>
  <c r="BW478" i="1"/>
  <c r="AW211" i="4"/>
  <c r="AW213" i="4"/>
  <c r="AW197" i="4"/>
  <c r="BQ211" i="4"/>
  <c r="BQ213" i="4"/>
  <c r="BQ197" i="4"/>
  <c r="BR203" i="4"/>
  <c r="BR352" i="4"/>
  <c r="BR354" i="4"/>
  <c r="M423" i="4"/>
  <c r="M437" i="4"/>
  <c r="M445" i="4"/>
  <c r="M413" i="4"/>
  <c r="O476" i="1"/>
  <c r="O478" i="1"/>
  <c r="AU476" i="1"/>
  <c r="AU478" i="1"/>
  <c r="BQ476" i="1"/>
  <c r="BQ478" i="1"/>
  <c r="N211" i="4"/>
  <c r="N213" i="4"/>
  <c r="N197" i="4"/>
  <c r="BZ211" i="4"/>
  <c r="BZ213" i="4"/>
  <c r="BZ197" i="4"/>
  <c r="AI476" i="1"/>
  <c r="AI478" i="1"/>
  <c r="BO476" i="1"/>
  <c r="BO478" i="1"/>
  <c r="AD476" i="1"/>
  <c r="AD478" i="1"/>
  <c r="CA354" i="4"/>
  <c r="CA378" i="4"/>
  <c r="CA380" i="4"/>
  <c r="BM211" i="4"/>
  <c r="BM213" i="4"/>
  <c r="BM197" i="4"/>
  <c r="BA211" i="4"/>
  <c r="BA213" i="4"/>
  <c r="BA197" i="4"/>
  <c r="BB203" i="4"/>
  <c r="BB352" i="4"/>
  <c r="BB354" i="4"/>
  <c r="L449" i="4"/>
  <c r="L421" i="4"/>
  <c r="K423" i="4"/>
  <c r="K437" i="4"/>
  <c r="K445" i="4"/>
  <c r="K413" i="4"/>
  <c r="J354" i="4"/>
  <c r="H350" i="4"/>
  <c r="BJ211" i="4"/>
  <c r="BJ213" i="4"/>
  <c r="BJ197" i="4"/>
  <c r="CC378" i="4"/>
  <c r="CC380" i="4"/>
  <c r="AL211" i="4"/>
  <c r="AL213" i="4"/>
  <c r="AL197" i="4"/>
  <c r="U476" i="1"/>
  <c r="J213" i="4"/>
  <c r="J215" i="4"/>
  <c r="K215" i="4"/>
  <c r="L215" i="4"/>
  <c r="BE211" i="4"/>
  <c r="BE213" i="4"/>
  <c r="BE197" i="4"/>
  <c r="AS211" i="4"/>
  <c r="AS213" i="4"/>
  <c r="AS197" i="4"/>
  <c r="M421" i="4"/>
  <c r="M449" i="4"/>
  <c r="BE476" i="1"/>
  <c r="BE478" i="1"/>
  <c r="AT476" i="1"/>
  <c r="AT478" i="1"/>
  <c r="V211" i="4"/>
  <c r="V213" i="4"/>
  <c r="V197" i="4"/>
  <c r="J561" i="1"/>
  <c r="J569" i="1"/>
  <c r="J537" i="1"/>
  <c r="J545" i="1"/>
  <c r="L369" i="1"/>
  <c r="CB478" i="1"/>
  <c r="AM476" i="1"/>
  <c r="AM478" i="1"/>
  <c r="BS476" i="1"/>
  <c r="BS478" i="1"/>
  <c r="AP354" i="4"/>
  <c r="AO211" i="4"/>
  <c r="AO213" i="4"/>
  <c r="AO197" i="4"/>
  <c r="AC211" i="4"/>
  <c r="AC213" i="4"/>
  <c r="AC197" i="4"/>
  <c r="BJ203" i="4"/>
  <c r="BJ352" i="4"/>
  <c r="BJ354" i="4"/>
  <c r="AA476" i="1"/>
  <c r="AA478" i="1"/>
  <c r="BG476" i="1"/>
  <c r="BG478" i="1"/>
  <c r="Q211" i="4"/>
  <c r="Q213" i="4"/>
  <c r="Q197" i="4"/>
  <c r="CC211" i="4"/>
  <c r="CC213" i="4"/>
  <c r="CC197" i="4"/>
  <c r="AK211" i="4"/>
  <c r="AK213" i="4"/>
  <c r="AK197" i="4"/>
  <c r="AL203" i="4"/>
  <c r="AL352" i="4"/>
  <c r="AL354" i="4"/>
  <c r="M417" i="4"/>
  <c r="N407" i="4"/>
  <c r="N417" i="4"/>
  <c r="AE476" i="1"/>
  <c r="AE478" i="1"/>
  <c r="AK476" i="1"/>
  <c r="AK478" i="1"/>
  <c r="J291" i="4"/>
  <c r="K163" i="4"/>
  <c r="Y203" i="4"/>
  <c r="Y352" i="4"/>
  <c r="Y354" i="4"/>
  <c r="M203" i="4"/>
  <c r="BY203" i="4"/>
  <c r="BY352" i="4"/>
  <c r="BY354" i="4"/>
  <c r="AT211" i="4"/>
  <c r="AT213" i="4"/>
  <c r="AT197" i="4"/>
  <c r="J293" i="4"/>
  <c r="K283" i="4"/>
  <c r="L561" i="1"/>
  <c r="L569" i="1"/>
  <c r="BJ476" i="1"/>
  <c r="BJ478" i="1"/>
  <c r="AH354" i="4"/>
  <c r="AG211" i="4"/>
  <c r="AG213" i="4"/>
  <c r="AG197" i="4"/>
  <c r="U211" i="4"/>
  <c r="U213" i="4"/>
  <c r="U197" i="4"/>
  <c r="J413" i="4"/>
  <c r="J423" i="4"/>
  <c r="J437" i="4"/>
  <c r="J445" i="4"/>
  <c r="BV354" i="4"/>
  <c r="BU203" i="4"/>
  <c r="BU352" i="4"/>
  <c r="BU354" i="4"/>
  <c r="BI203" i="4"/>
  <c r="BI352" i="4"/>
  <c r="BI354" i="4"/>
  <c r="AD211" i="4"/>
  <c r="AD213" i="4"/>
  <c r="AD197" i="4"/>
  <c r="N561" i="1"/>
  <c r="N569" i="1"/>
  <c r="F382" i="1"/>
  <c r="D189" i="1"/>
  <c r="D191" i="1"/>
  <c r="D193" i="1"/>
  <c r="D195" i="1"/>
  <c r="D197" i="1"/>
  <c r="D199" i="1"/>
  <c r="D201" i="1"/>
  <c r="D203" i="1"/>
  <c r="D205" i="1"/>
  <c r="D187" i="1"/>
  <c r="D188" i="1"/>
  <c r="D190" i="1"/>
  <c r="D192" i="1"/>
  <c r="D194" i="1"/>
  <c r="D196" i="1"/>
  <c r="D198" i="1"/>
  <c r="D200" i="1"/>
  <c r="D202" i="1"/>
  <c r="D204" i="1"/>
  <c r="D206" i="1"/>
  <c r="D223" i="1"/>
  <c r="D225" i="1"/>
  <c r="D227" i="1"/>
  <c r="D229" i="1"/>
  <c r="D231" i="1"/>
  <c r="D233" i="1"/>
  <c r="D235" i="1"/>
  <c r="D237" i="1"/>
  <c r="D239" i="1"/>
  <c r="D241" i="1"/>
  <c r="D224" i="1"/>
  <c r="D226" i="1"/>
  <c r="D228" i="1"/>
  <c r="D230" i="1"/>
  <c r="D232" i="1"/>
  <c r="D234" i="1"/>
  <c r="D236" i="1"/>
  <c r="D238" i="1"/>
  <c r="D240" i="1"/>
  <c r="D222" i="1"/>
  <c r="R185" i="1"/>
  <c r="R220" i="1"/>
  <c r="R257" i="1"/>
  <c r="R316" i="1"/>
  <c r="R320" i="1"/>
  <c r="O462" i="1"/>
  <c r="O488" i="1"/>
  <c r="O502" i="1"/>
  <c r="R472" i="1"/>
  <c r="K156" i="1"/>
  <c r="BN472" i="1"/>
  <c r="H261" i="1"/>
  <c r="H263" i="1"/>
  <c r="O267" i="1"/>
  <c r="H253" i="1"/>
  <c r="F384" i="1"/>
  <c r="CB488" i="1"/>
  <c r="CB502" i="1"/>
  <c r="CB462" i="1"/>
  <c r="CA488" i="1"/>
  <c r="CA502" i="1"/>
  <c r="CA462" i="1"/>
  <c r="L462" i="1"/>
  <c r="J324" i="1"/>
  <c r="J326" i="1"/>
  <c r="CC488" i="1"/>
  <c r="CC502" i="1"/>
  <c r="CC462" i="1"/>
  <c r="AX472" i="1"/>
  <c r="AE348" i="4"/>
  <c r="R154" i="4"/>
  <c r="R167" i="4"/>
  <c r="R186" i="4"/>
  <c r="R207" i="4"/>
  <c r="R260" i="4"/>
  <c r="R262" i="4"/>
  <c r="O268" i="4"/>
  <c r="O362" i="4"/>
  <c r="S154" i="4"/>
  <c r="S167" i="4"/>
  <c r="S186" i="4"/>
  <c r="S207" i="4"/>
  <c r="S260" i="4"/>
  <c r="S262" i="4"/>
  <c r="P268" i="4"/>
  <c r="P362" i="4"/>
  <c r="AB154" i="4"/>
  <c r="AB167" i="4"/>
  <c r="AB186" i="4"/>
  <c r="AB207" i="4"/>
  <c r="AB260" i="4"/>
  <c r="AB262" i="4"/>
  <c r="Y268" i="4"/>
  <c r="Y362" i="4"/>
  <c r="Y376" i="4"/>
  <c r="AZ472" i="1"/>
  <c r="BG156" i="1"/>
  <c r="BG185" i="1"/>
  <c r="BG220" i="1"/>
  <c r="BG257" i="1"/>
  <c r="BG316" i="1"/>
  <c r="BG318" i="1"/>
  <c r="AX348" i="4"/>
  <c r="AA156" i="1"/>
  <c r="AA185" i="1"/>
  <c r="AA220" i="1"/>
  <c r="AA257" i="1"/>
  <c r="AA316" i="1"/>
  <c r="AA318" i="1"/>
  <c r="BQ472" i="1"/>
  <c r="AS154" i="4"/>
  <c r="AS167" i="4"/>
  <c r="AS186" i="4"/>
  <c r="AS207" i="4"/>
  <c r="AS260" i="4"/>
  <c r="AS262" i="4"/>
  <c r="AP268" i="4"/>
  <c r="AP362" i="4"/>
  <c r="AP376" i="4"/>
  <c r="BC330" i="1"/>
  <c r="BC365" i="1"/>
  <c r="BC388" i="1"/>
  <c r="BC429" i="1"/>
  <c r="BC324" i="1"/>
  <c r="W330" i="1"/>
  <c r="W365" i="1"/>
  <c r="W388" i="1"/>
  <c r="W429" i="1"/>
  <c r="W324" i="1"/>
  <c r="BN330" i="1"/>
  <c r="BN365" i="1"/>
  <c r="BN388" i="1"/>
  <c r="BN429" i="1"/>
  <c r="BN324" i="1"/>
  <c r="AH330" i="1"/>
  <c r="AH365" i="1"/>
  <c r="AH388" i="1"/>
  <c r="AH429" i="1"/>
  <c r="AH324" i="1"/>
  <c r="BA330" i="1"/>
  <c r="BA365" i="1"/>
  <c r="BA388" i="1"/>
  <c r="BA484" i="1"/>
  <c r="BA498" i="1"/>
  <c r="BA324" i="1"/>
  <c r="U330" i="1"/>
  <c r="U365" i="1"/>
  <c r="U388" i="1"/>
  <c r="U429" i="1"/>
  <c r="U324" i="1"/>
  <c r="BP330" i="1"/>
  <c r="BP365" i="1"/>
  <c r="BP388" i="1"/>
  <c r="BP484" i="1"/>
  <c r="BP498" i="1"/>
  <c r="BP324" i="1"/>
  <c r="AJ330" i="1"/>
  <c r="AJ365" i="1"/>
  <c r="AJ388" i="1"/>
  <c r="AJ484" i="1"/>
  <c r="AJ498" i="1"/>
  <c r="AJ324" i="1"/>
  <c r="AA330" i="1"/>
  <c r="AA365" i="1"/>
  <c r="AA388" i="1"/>
  <c r="AA429" i="1"/>
  <c r="AA324" i="1"/>
  <c r="BR330" i="1"/>
  <c r="BR365" i="1"/>
  <c r="BR388" i="1"/>
  <c r="BR429" i="1"/>
  <c r="BR324" i="1"/>
  <c r="Y330" i="1"/>
  <c r="Y365" i="1"/>
  <c r="Y388" i="1"/>
  <c r="Y484" i="1"/>
  <c r="Y498" i="1"/>
  <c r="Y324" i="1"/>
  <c r="BO330" i="1"/>
  <c r="BO365" i="1"/>
  <c r="BO388" i="1"/>
  <c r="BO429" i="1"/>
  <c r="BO324" i="1"/>
  <c r="AI330" i="1"/>
  <c r="AI365" i="1"/>
  <c r="AI388" i="1"/>
  <c r="AI429" i="1"/>
  <c r="AI324" i="1"/>
  <c r="BZ330" i="1"/>
  <c r="BZ365" i="1"/>
  <c r="BZ388" i="1"/>
  <c r="BZ429" i="1"/>
  <c r="BZ324" i="1"/>
  <c r="AT330" i="1"/>
  <c r="AT365" i="1"/>
  <c r="AT388" i="1"/>
  <c r="AT429" i="1"/>
  <c r="AT324" i="1"/>
  <c r="N330" i="1"/>
  <c r="N365" i="1"/>
  <c r="N388" i="1"/>
  <c r="N429" i="1"/>
  <c r="N324" i="1"/>
  <c r="BM330" i="1"/>
  <c r="BM365" i="1"/>
  <c r="BM388" i="1"/>
  <c r="BM429" i="1"/>
  <c r="BM324" i="1"/>
  <c r="AG330" i="1"/>
  <c r="AG365" i="1"/>
  <c r="AG388" i="1"/>
  <c r="AG484" i="1"/>
  <c r="AG498" i="1"/>
  <c r="AG324" i="1"/>
  <c r="CB330" i="1"/>
  <c r="CB365" i="1"/>
  <c r="CB388" i="1"/>
  <c r="CB484" i="1"/>
  <c r="CB498" i="1"/>
  <c r="CB324" i="1"/>
  <c r="CB486" i="1"/>
  <c r="AV330" i="1"/>
  <c r="AV365" i="1"/>
  <c r="AV388" i="1"/>
  <c r="AV484" i="1"/>
  <c r="AV498" i="1"/>
  <c r="AV324" i="1"/>
  <c r="P330" i="1"/>
  <c r="P365" i="1"/>
  <c r="P388" i="1"/>
  <c r="P484" i="1"/>
  <c r="P498" i="1"/>
  <c r="P324" i="1"/>
  <c r="BW330" i="1"/>
  <c r="BW365" i="1"/>
  <c r="BW388" i="1"/>
  <c r="BW429" i="1"/>
  <c r="BW324" i="1"/>
  <c r="BU330" i="1"/>
  <c r="BU365" i="1"/>
  <c r="BU388" i="1"/>
  <c r="BU484" i="1"/>
  <c r="BU498" i="1"/>
  <c r="BU324" i="1"/>
  <c r="CA330" i="1"/>
  <c r="CA365" i="1"/>
  <c r="CA388" i="1"/>
  <c r="CA429" i="1"/>
  <c r="CA324" i="1"/>
  <c r="CA486" i="1"/>
  <c r="AU330" i="1"/>
  <c r="AU365" i="1"/>
  <c r="AU388" i="1"/>
  <c r="AU429" i="1"/>
  <c r="AU324" i="1"/>
  <c r="O330" i="1"/>
  <c r="O365" i="1"/>
  <c r="O388" i="1"/>
  <c r="O429" i="1"/>
  <c r="O324" i="1"/>
  <c r="BF330" i="1"/>
  <c r="BF365" i="1"/>
  <c r="BF388" i="1"/>
  <c r="BF429" i="1"/>
  <c r="BF324" i="1"/>
  <c r="Z330" i="1"/>
  <c r="Z365" i="1"/>
  <c r="Z388" i="1"/>
  <c r="Z429" i="1"/>
  <c r="Z324" i="1"/>
  <c r="BI330" i="1"/>
  <c r="BI365" i="1"/>
  <c r="BI388" i="1"/>
  <c r="BI484" i="1"/>
  <c r="BI498" i="1"/>
  <c r="BI324" i="1"/>
  <c r="AC330" i="1"/>
  <c r="AC365" i="1"/>
  <c r="AC388" i="1"/>
  <c r="AC484" i="1"/>
  <c r="AC498" i="1"/>
  <c r="AC324" i="1"/>
  <c r="BX330" i="1"/>
  <c r="BX365" i="1"/>
  <c r="BX388" i="1"/>
  <c r="BX484" i="1"/>
  <c r="BX498" i="1"/>
  <c r="BX324" i="1"/>
  <c r="AR330" i="1"/>
  <c r="AR365" i="1"/>
  <c r="AR388" i="1"/>
  <c r="AR484" i="1"/>
  <c r="AR498" i="1"/>
  <c r="AR324" i="1"/>
  <c r="L330" i="1"/>
  <c r="L365" i="1"/>
  <c r="L388" i="1"/>
  <c r="L484" i="1"/>
  <c r="L498" i="1"/>
  <c r="L324" i="1"/>
  <c r="AL330" i="1"/>
  <c r="AL365" i="1"/>
  <c r="AL388" i="1"/>
  <c r="AL429" i="1"/>
  <c r="AL324" i="1"/>
  <c r="BD330" i="1"/>
  <c r="BD365" i="1"/>
  <c r="BD388" i="1"/>
  <c r="BD429" i="1"/>
  <c r="BD324" i="1"/>
  <c r="AN330" i="1"/>
  <c r="AN365" i="1"/>
  <c r="AN388" i="1"/>
  <c r="AN484" i="1"/>
  <c r="AN498" i="1"/>
  <c r="AN324" i="1"/>
  <c r="BT330" i="1"/>
  <c r="BT365" i="1"/>
  <c r="BT388" i="1"/>
  <c r="BT324" i="1"/>
  <c r="BS330" i="1"/>
  <c r="BS365" i="1"/>
  <c r="BS388" i="1"/>
  <c r="BS429" i="1"/>
  <c r="BS324" i="1"/>
  <c r="AM330" i="1"/>
  <c r="AM365" i="1"/>
  <c r="AM388" i="1"/>
  <c r="AM429" i="1"/>
  <c r="AM324" i="1"/>
  <c r="AX330" i="1"/>
  <c r="AX365" i="1"/>
  <c r="AX388" i="1"/>
  <c r="AX429" i="1"/>
  <c r="AX324" i="1"/>
  <c r="R330" i="1"/>
  <c r="R365" i="1"/>
  <c r="R388" i="1"/>
  <c r="R429" i="1"/>
  <c r="R324" i="1"/>
  <c r="BQ330" i="1"/>
  <c r="BQ365" i="1"/>
  <c r="BQ388" i="1"/>
  <c r="BQ429" i="1"/>
  <c r="BQ324" i="1"/>
  <c r="AK330" i="1"/>
  <c r="AK365" i="1"/>
  <c r="AK388" i="1"/>
  <c r="AK484" i="1"/>
  <c r="AK498" i="1"/>
  <c r="AK324" i="1"/>
  <c r="AZ330" i="1"/>
  <c r="AZ365" i="1"/>
  <c r="AZ388" i="1"/>
  <c r="AZ484" i="1"/>
  <c r="AZ498" i="1"/>
  <c r="AZ324" i="1"/>
  <c r="T330" i="1"/>
  <c r="T365" i="1"/>
  <c r="T388" i="1"/>
  <c r="T484" i="1"/>
  <c r="T498" i="1"/>
  <c r="T324" i="1"/>
  <c r="BG330" i="1"/>
  <c r="BG365" i="1"/>
  <c r="BG388" i="1"/>
  <c r="BG429" i="1"/>
  <c r="BG324" i="1"/>
  <c r="V330" i="1"/>
  <c r="V365" i="1"/>
  <c r="V388" i="1"/>
  <c r="V429" i="1"/>
  <c r="V324" i="1"/>
  <c r="BE330" i="1"/>
  <c r="BE365" i="1"/>
  <c r="BE388" i="1"/>
  <c r="BE484" i="1"/>
  <c r="BE498" i="1"/>
  <c r="BE324" i="1"/>
  <c r="AY330" i="1"/>
  <c r="AY365" i="1"/>
  <c r="AY388" i="1"/>
  <c r="AY429" i="1"/>
  <c r="AY324" i="1"/>
  <c r="S330" i="1"/>
  <c r="S365" i="1"/>
  <c r="S388" i="1"/>
  <c r="S429" i="1"/>
  <c r="S324" i="1"/>
  <c r="BJ330" i="1"/>
  <c r="BJ365" i="1"/>
  <c r="BJ388" i="1"/>
  <c r="BJ429" i="1"/>
  <c r="BJ324" i="1"/>
  <c r="AD330" i="1"/>
  <c r="AD365" i="1"/>
  <c r="AD388" i="1"/>
  <c r="AD429" i="1"/>
  <c r="AD324" i="1"/>
  <c r="CC330" i="1"/>
  <c r="CC365" i="1"/>
  <c r="CC388" i="1"/>
  <c r="CC484" i="1"/>
  <c r="CC498" i="1"/>
  <c r="CC324" i="1"/>
  <c r="CC486" i="1"/>
  <c r="AW330" i="1"/>
  <c r="AW365" i="1"/>
  <c r="AW388" i="1"/>
  <c r="AW484" i="1"/>
  <c r="AW498" i="1"/>
  <c r="AW324" i="1"/>
  <c r="Q330" i="1"/>
  <c r="Q365" i="1"/>
  <c r="Q388" i="1"/>
  <c r="Q429" i="1"/>
  <c r="Q324" i="1"/>
  <c r="BL330" i="1"/>
  <c r="BL365" i="1"/>
  <c r="BL388" i="1"/>
  <c r="BL484" i="1"/>
  <c r="BL498" i="1"/>
  <c r="BL324" i="1"/>
  <c r="AF330" i="1"/>
  <c r="AF365" i="1"/>
  <c r="AF388" i="1"/>
  <c r="AF484" i="1"/>
  <c r="AF498" i="1"/>
  <c r="AF324" i="1"/>
  <c r="BB330" i="1"/>
  <c r="BB365" i="1"/>
  <c r="BB388" i="1"/>
  <c r="BB429" i="1"/>
  <c r="BB324" i="1"/>
  <c r="BK330" i="1"/>
  <c r="BK365" i="1"/>
  <c r="BK388" i="1"/>
  <c r="BK429" i="1"/>
  <c r="BK324" i="1"/>
  <c r="AE330" i="1"/>
  <c r="AE365" i="1"/>
  <c r="AE388" i="1"/>
  <c r="AE429" i="1"/>
  <c r="AE324" i="1"/>
  <c r="BV330" i="1"/>
  <c r="BV365" i="1"/>
  <c r="BV388" i="1"/>
  <c r="BV429" i="1"/>
  <c r="BV324" i="1"/>
  <c r="AP330" i="1"/>
  <c r="AP365" i="1"/>
  <c r="AP388" i="1"/>
  <c r="AP429" i="1"/>
  <c r="AP324" i="1"/>
  <c r="BY330" i="1"/>
  <c r="BY365" i="1"/>
  <c r="BY388" i="1"/>
  <c r="BY484" i="1"/>
  <c r="BY498" i="1"/>
  <c r="BY324" i="1"/>
  <c r="AS330" i="1"/>
  <c r="AS365" i="1"/>
  <c r="AS388" i="1"/>
  <c r="AS429" i="1"/>
  <c r="AS324" i="1"/>
  <c r="M330" i="1"/>
  <c r="M365" i="1"/>
  <c r="M388" i="1"/>
  <c r="M484" i="1"/>
  <c r="M498" i="1"/>
  <c r="M324" i="1"/>
  <c r="BH330" i="1"/>
  <c r="BH365" i="1"/>
  <c r="BH388" i="1"/>
  <c r="BH484" i="1"/>
  <c r="BH498" i="1"/>
  <c r="BH324" i="1"/>
  <c r="AB330" i="1"/>
  <c r="AB365" i="1"/>
  <c r="AB388" i="1"/>
  <c r="AB484" i="1"/>
  <c r="AB498" i="1"/>
  <c r="AB324" i="1"/>
  <c r="AQ330" i="1"/>
  <c r="AQ365" i="1"/>
  <c r="AQ388" i="1"/>
  <c r="AQ429" i="1"/>
  <c r="AQ324" i="1"/>
  <c r="AO330" i="1"/>
  <c r="AO365" i="1"/>
  <c r="AO388" i="1"/>
  <c r="AO429" i="1"/>
  <c r="AO324" i="1"/>
  <c r="K330" i="1"/>
  <c r="K365" i="1"/>
  <c r="K388" i="1"/>
  <c r="K324" i="1"/>
  <c r="X330" i="1"/>
  <c r="X365" i="1"/>
  <c r="X388" i="1"/>
  <c r="X429" i="1"/>
  <c r="X324" i="1"/>
  <c r="J330" i="1"/>
  <c r="J365" i="1"/>
  <c r="J388" i="1"/>
  <c r="J429" i="1"/>
  <c r="BN154" i="4"/>
  <c r="BN167" i="4"/>
  <c r="BN186" i="4"/>
  <c r="BN207" i="4"/>
  <c r="BN260" i="4"/>
  <c r="BN264" i="4"/>
  <c r="BK270" i="4"/>
  <c r="AJ156" i="1"/>
  <c r="AJ185" i="1"/>
  <c r="AJ220" i="1"/>
  <c r="AJ257" i="1"/>
  <c r="AJ316" i="1"/>
  <c r="AJ320" i="1"/>
  <c r="AG462" i="1"/>
  <c r="AG488" i="1"/>
  <c r="AG502" i="1"/>
  <c r="BI154" i="4"/>
  <c r="BI167" i="4"/>
  <c r="BI186" i="4"/>
  <c r="BI207" i="4"/>
  <c r="BI260" i="4"/>
  <c r="BI264" i="4"/>
  <c r="BF270" i="4"/>
  <c r="BF338" i="4"/>
  <c r="BF364" i="4"/>
  <c r="BF378" i="4"/>
  <c r="BX154" i="4"/>
  <c r="BX167" i="4"/>
  <c r="BX186" i="4"/>
  <c r="BX207" i="4"/>
  <c r="BX260" i="4"/>
  <c r="BX264" i="4"/>
  <c r="BU270" i="4"/>
  <c r="BU338" i="4"/>
  <c r="BU364" i="4"/>
  <c r="AA348" i="4"/>
  <c r="Q328" i="4"/>
  <c r="BW348" i="4"/>
  <c r="AQ348" i="4"/>
  <c r="BH348" i="4"/>
  <c r="AR348" i="4"/>
  <c r="M154" i="4"/>
  <c r="M167" i="4"/>
  <c r="M186" i="4"/>
  <c r="M207" i="4"/>
  <c r="M260" i="4"/>
  <c r="M262" i="4"/>
  <c r="J268" i="4"/>
  <c r="J362" i="4"/>
  <c r="BG154" i="4"/>
  <c r="BG167" i="4"/>
  <c r="BG186" i="4"/>
  <c r="BG207" i="4"/>
  <c r="BG260" i="4"/>
  <c r="BG262" i="4"/>
  <c r="BD268" i="4"/>
  <c r="BD362" i="4"/>
  <c r="BD376" i="4"/>
  <c r="T156" i="1"/>
  <c r="AH156" i="1"/>
  <c r="AH185" i="1"/>
  <c r="AH220" i="1"/>
  <c r="AH257" i="1"/>
  <c r="AH316" i="1"/>
  <c r="AH318" i="1"/>
  <c r="AH154" i="4"/>
  <c r="AH167" i="4"/>
  <c r="AH186" i="4"/>
  <c r="AH207" i="4"/>
  <c r="AH260" i="4"/>
  <c r="AH262" i="4"/>
  <c r="AE268" i="4"/>
  <c r="AE362" i="4"/>
  <c r="BA472" i="1"/>
  <c r="BP156" i="1"/>
  <c r="BP185" i="1"/>
  <c r="BP220" i="1"/>
  <c r="BP257" i="1"/>
  <c r="BP316" i="1"/>
  <c r="BP320" i="1"/>
  <c r="BM462" i="1"/>
  <c r="BM488" i="1"/>
  <c r="BM502" i="1"/>
  <c r="AK156" i="1"/>
  <c r="AK185" i="1"/>
  <c r="AK220" i="1"/>
  <c r="AK257" i="1"/>
  <c r="AK316" i="1"/>
  <c r="AK318" i="1"/>
  <c r="L265" i="1"/>
  <c r="M265" i="1"/>
  <c r="N265" i="1"/>
  <c r="O265" i="1"/>
  <c r="P265" i="1"/>
  <c r="Q265" i="1"/>
  <c r="R265" i="1"/>
  <c r="S265" i="1"/>
  <c r="T265" i="1"/>
  <c r="U265" i="1"/>
  <c r="V265" i="1"/>
  <c r="W265" i="1"/>
  <c r="X265" i="1"/>
  <c r="Y265" i="1"/>
  <c r="Z265" i="1"/>
  <c r="AA265" i="1"/>
  <c r="AB265" i="1"/>
  <c r="AC265" i="1"/>
  <c r="AD265" i="1"/>
  <c r="AE265" i="1"/>
  <c r="AF265" i="1"/>
  <c r="AG265" i="1"/>
  <c r="AH265" i="1"/>
  <c r="AI265" i="1"/>
  <c r="AJ265" i="1"/>
  <c r="AK265" i="1"/>
  <c r="AL265" i="1"/>
  <c r="AM265" i="1"/>
  <c r="AN265" i="1"/>
  <c r="AO265" i="1"/>
  <c r="AP265" i="1"/>
  <c r="AQ265" i="1"/>
  <c r="AR265" i="1"/>
  <c r="AS265" i="1"/>
  <c r="AT265" i="1"/>
  <c r="AU265" i="1"/>
  <c r="AV265" i="1"/>
  <c r="AW265" i="1"/>
  <c r="AX265" i="1"/>
  <c r="AY265" i="1"/>
  <c r="AZ265" i="1"/>
  <c r="BA265" i="1"/>
  <c r="BB265" i="1"/>
  <c r="BC265" i="1"/>
  <c r="BD265" i="1"/>
  <c r="BE265" i="1"/>
  <c r="BF265" i="1"/>
  <c r="BG265" i="1"/>
  <c r="BH265" i="1"/>
  <c r="BI265" i="1"/>
  <c r="BJ265" i="1"/>
  <c r="BK265" i="1"/>
  <c r="BL265" i="1"/>
  <c r="BM265" i="1"/>
  <c r="BN265" i="1"/>
  <c r="BO265" i="1"/>
  <c r="BP265" i="1"/>
  <c r="BQ265" i="1"/>
  <c r="BR265" i="1"/>
  <c r="BS265" i="1"/>
  <c r="BT265" i="1"/>
  <c r="BU265" i="1"/>
  <c r="BV265" i="1"/>
  <c r="BW265" i="1"/>
  <c r="BX265" i="1"/>
  <c r="BY265" i="1"/>
  <c r="BZ265" i="1"/>
  <c r="CA265" i="1"/>
  <c r="CB265" i="1"/>
  <c r="CC265" i="1"/>
  <c r="M267" i="1"/>
  <c r="O154" i="4"/>
  <c r="O167" i="4"/>
  <c r="O186" i="4"/>
  <c r="O207" i="4"/>
  <c r="O260" i="4"/>
  <c r="O264" i="4"/>
  <c r="L270" i="4"/>
  <c r="L338" i="4"/>
  <c r="L364" i="4"/>
  <c r="L378" i="4"/>
  <c r="U156" i="1"/>
  <c r="AQ472" i="1"/>
  <c r="AC154" i="4"/>
  <c r="AC167" i="4"/>
  <c r="AC186" i="4"/>
  <c r="AC207" i="4"/>
  <c r="AC260" i="4"/>
  <c r="AC264" i="4"/>
  <c r="Z270" i="4"/>
  <c r="L154" i="4"/>
  <c r="L167" i="4"/>
  <c r="L186" i="4"/>
  <c r="L207" i="4"/>
  <c r="L260" i="4"/>
  <c r="L264" i="4"/>
  <c r="K154" i="4"/>
  <c r="K167" i="4"/>
  <c r="K186" i="4"/>
  <c r="K207" i="4"/>
  <c r="K260" i="4"/>
  <c r="K264" i="4"/>
  <c r="AW328" i="4"/>
  <c r="BY154" i="4"/>
  <c r="BY167" i="4"/>
  <c r="BY186" i="4"/>
  <c r="BY207" i="4"/>
  <c r="BY260" i="4"/>
  <c r="BY264" i="4"/>
  <c r="BV270" i="4"/>
  <c r="BV338" i="4"/>
  <c r="BV364" i="4"/>
  <c r="AG328" i="4"/>
  <c r="BM360" i="4"/>
  <c r="BM374" i="4"/>
  <c r="AQ328" i="4"/>
  <c r="AQ360" i="4"/>
  <c r="AQ374" i="4"/>
  <c r="BL360" i="4"/>
  <c r="BL374" i="4"/>
  <c r="BL328" i="4"/>
  <c r="BW360" i="4"/>
  <c r="BW374" i="4"/>
  <c r="BW328" i="4"/>
  <c r="K328" i="4"/>
  <c r="K360" i="4"/>
  <c r="K374" i="4"/>
  <c r="Z360" i="4"/>
  <c r="Z374" i="4"/>
  <c r="Z328" i="4"/>
  <c r="AS360" i="4"/>
  <c r="AS374" i="4"/>
  <c r="AS328" i="4"/>
  <c r="BX360" i="4"/>
  <c r="BX374" i="4"/>
  <c r="BX328" i="4"/>
  <c r="L360" i="4"/>
  <c r="L374" i="4"/>
  <c r="L328" i="4"/>
  <c r="W328" i="4"/>
  <c r="W360" i="4"/>
  <c r="W374" i="4"/>
  <c r="AL360" i="4"/>
  <c r="AL374" i="4"/>
  <c r="AL328" i="4"/>
  <c r="BE360" i="4"/>
  <c r="BE374" i="4"/>
  <c r="BE328" i="4"/>
  <c r="BP360" i="4"/>
  <c r="BP374" i="4"/>
  <c r="BP328" i="4"/>
  <c r="CC360" i="4"/>
  <c r="CC374" i="4"/>
  <c r="CC328" i="4"/>
  <c r="X360" i="4"/>
  <c r="X374" i="4"/>
  <c r="X328" i="4"/>
  <c r="AI328" i="4"/>
  <c r="AI360" i="4"/>
  <c r="AI374" i="4"/>
  <c r="AX360" i="4"/>
  <c r="AX374" i="4"/>
  <c r="AX328" i="4"/>
  <c r="BQ360" i="4"/>
  <c r="BQ374" i="4"/>
  <c r="BQ328" i="4"/>
  <c r="BK328" i="4"/>
  <c r="BK360" i="4"/>
  <c r="BK374" i="4"/>
  <c r="N360" i="4"/>
  <c r="N374" i="4"/>
  <c r="N328" i="4"/>
  <c r="BG328" i="4"/>
  <c r="BG360" i="4"/>
  <c r="BG374" i="4"/>
  <c r="BV360" i="4"/>
  <c r="BV374" i="4"/>
  <c r="BV328" i="4"/>
  <c r="J360" i="4"/>
  <c r="J374" i="4"/>
  <c r="J328" i="4"/>
  <c r="AC328" i="4"/>
  <c r="AC360" i="4"/>
  <c r="AC374" i="4"/>
  <c r="AT360" i="4"/>
  <c r="AT374" i="4"/>
  <c r="AT328" i="4"/>
  <c r="BH360" i="4"/>
  <c r="BH374" i="4"/>
  <c r="BH328" i="4"/>
  <c r="BS360" i="4"/>
  <c r="BS374" i="4"/>
  <c r="BS328" i="4"/>
  <c r="V360" i="4"/>
  <c r="V374" i="4"/>
  <c r="V328" i="4"/>
  <c r="AO360" i="4"/>
  <c r="AO374" i="4"/>
  <c r="AO328" i="4"/>
  <c r="BZ360" i="4"/>
  <c r="BZ374" i="4"/>
  <c r="BZ328" i="4"/>
  <c r="BT360" i="4"/>
  <c r="BT374" i="4"/>
  <c r="BT328" i="4"/>
  <c r="S328" i="4"/>
  <c r="S360" i="4"/>
  <c r="S374" i="4"/>
  <c r="AH360" i="4"/>
  <c r="AH374" i="4"/>
  <c r="AH328" i="4"/>
  <c r="BA360" i="4"/>
  <c r="BA374" i="4"/>
  <c r="BA328" i="4"/>
  <c r="AJ360" i="4"/>
  <c r="AJ374" i="4"/>
  <c r="AJ328" i="4"/>
  <c r="O328" i="4"/>
  <c r="O360" i="4"/>
  <c r="O374" i="4"/>
  <c r="AF328" i="4"/>
  <c r="AF360" i="4"/>
  <c r="AF374" i="4"/>
  <c r="BF360" i="4"/>
  <c r="BF374" i="4"/>
  <c r="BF328" i="4"/>
  <c r="BY328" i="4"/>
  <c r="BY360" i="4"/>
  <c r="BY374" i="4"/>
  <c r="M360" i="4"/>
  <c r="M374" i="4"/>
  <c r="M328" i="4"/>
  <c r="AU328" i="4"/>
  <c r="AU360" i="4"/>
  <c r="AU374" i="4"/>
  <c r="AR360" i="4"/>
  <c r="AR374" i="4"/>
  <c r="AR328" i="4"/>
  <c r="BC328" i="4"/>
  <c r="BC360" i="4"/>
  <c r="BC374" i="4"/>
  <c r="BR360" i="4"/>
  <c r="BR374" i="4"/>
  <c r="BR328" i="4"/>
  <c r="Y360" i="4"/>
  <c r="Y374" i="4"/>
  <c r="Y328" i="4"/>
  <c r="CA328" i="4"/>
  <c r="CA360" i="4"/>
  <c r="CA374" i="4"/>
  <c r="AD360" i="4"/>
  <c r="AD374" i="4"/>
  <c r="AD328" i="4"/>
  <c r="BD360" i="4"/>
  <c r="BD374" i="4"/>
  <c r="BD328" i="4"/>
  <c r="BO328" i="4"/>
  <c r="BO360" i="4"/>
  <c r="BO374" i="4"/>
  <c r="R360" i="4"/>
  <c r="R374" i="4"/>
  <c r="R328" i="4"/>
  <c r="AK360" i="4"/>
  <c r="AK374" i="4"/>
  <c r="AK328" i="4"/>
  <c r="T328" i="4"/>
  <c r="T360" i="4"/>
  <c r="T374" i="4"/>
  <c r="AV360" i="4"/>
  <c r="AV374" i="4"/>
  <c r="AV328" i="4"/>
  <c r="CB360" i="4"/>
  <c r="CB374" i="4"/>
  <c r="CB328" i="4"/>
  <c r="P360" i="4"/>
  <c r="P374" i="4"/>
  <c r="P328" i="4"/>
  <c r="AA328" i="4"/>
  <c r="AA360" i="4"/>
  <c r="AA374" i="4"/>
  <c r="AP360" i="4"/>
  <c r="AP374" i="4"/>
  <c r="AP328" i="4"/>
  <c r="BI360" i="4"/>
  <c r="BI374" i="4"/>
  <c r="BI328" i="4"/>
  <c r="AZ360" i="4"/>
  <c r="AZ374" i="4"/>
  <c r="AZ328" i="4"/>
  <c r="AB328" i="4"/>
  <c r="AB360" i="4"/>
  <c r="AB374" i="4"/>
  <c r="AM328" i="4"/>
  <c r="AM360" i="4"/>
  <c r="AM374" i="4"/>
  <c r="BB360" i="4"/>
  <c r="BB374" i="4"/>
  <c r="BB328" i="4"/>
  <c r="BU360" i="4"/>
  <c r="BU374" i="4"/>
  <c r="BU328" i="4"/>
  <c r="AE328" i="4"/>
  <c r="AE360" i="4"/>
  <c r="AE374" i="4"/>
  <c r="AN360" i="4"/>
  <c r="AN374" i="4"/>
  <c r="AN328" i="4"/>
  <c r="AY328" i="4"/>
  <c r="AY360" i="4"/>
  <c r="AY374" i="4"/>
  <c r="BN360" i="4"/>
  <c r="BN374" i="4"/>
  <c r="BN328" i="4"/>
  <c r="U360" i="4"/>
  <c r="U374" i="4"/>
  <c r="U328" i="4"/>
  <c r="BJ360" i="4"/>
  <c r="BJ374" i="4"/>
  <c r="BJ328" i="4"/>
  <c r="BW156" i="1"/>
  <c r="BW185" i="1"/>
  <c r="BW220" i="1"/>
  <c r="BW257" i="1"/>
  <c r="BW316" i="1"/>
  <c r="BW320" i="1"/>
  <c r="BT462" i="1"/>
  <c r="BT488" i="1"/>
  <c r="BT502" i="1"/>
  <c r="AD348" i="4"/>
  <c r="AD154" i="4"/>
  <c r="AD167" i="4"/>
  <c r="AD186" i="4"/>
  <c r="AD207" i="4"/>
  <c r="AD260" i="4"/>
  <c r="AO348" i="4"/>
  <c r="AO154" i="4"/>
  <c r="AO167" i="4"/>
  <c r="AO186" i="4"/>
  <c r="AO207" i="4"/>
  <c r="AO260" i="4"/>
  <c r="AW472" i="1"/>
  <c r="AW156" i="1"/>
  <c r="AW185" i="1"/>
  <c r="AW220" i="1"/>
  <c r="AW257" i="1"/>
  <c r="AW316" i="1"/>
  <c r="BD348" i="4"/>
  <c r="BD154" i="4"/>
  <c r="BD167" i="4"/>
  <c r="BD186" i="4"/>
  <c r="BD207" i="4"/>
  <c r="BD260" i="4"/>
  <c r="BL472" i="1"/>
  <c r="BL156" i="1"/>
  <c r="BL185" i="1"/>
  <c r="BL220" i="1"/>
  <c r="BL257" i="1"/>
  <c r="BL316" i="1"/>
  <c r="BS472" i="1"/>
  <c r="BS156" i="1"/>
  <c r="BS185" i="1"/>
  <c r="BS220" i="1"/>
  <c r="BS257" i="1"/>
  <c r="BS316" i="1"/>
  <c r="BZ472" i="1"/>
  <c r="BZ156" i="1"/>
  <c r="BZ185" i="1"/>
  <c r="BZ220" i="1"/>
  <c r="BZ257" i="1"/>
  <c r="BZ316" i="1"/>
  <c r="N472" i="1"/>
  <c r="N156" i="1"/>
  <c r="W348" i="4"/>
  <c r="W154" i="4"/>
  <c r="W167" i="4"/>
  <c r="W186" i="4"/>
  <c r="W207" i="4"/>
  <c r="W260" i="4"/>
  <c r="Z348" i="4"/>
  <c r="Z154" i="4"/>
  <c r="Z167" i="4"/>
  <c r="Z186" i="4"/>
  <c r="Z207" i="4"/>
  <c r="Z260" i="4"/>
  <c r="AK348" i="4"/>
  <c r="AK154" i="4"/>
  <c r="AK167" i="4"/>
  <c r="AK186" i="4"/>
  <c r="AK207" i="4"/>
  <c r="AK260" i="4"/>
  <c r="AS472" i="1"/>
  <c r="AS156" i="1"/>
  <c r="AS185" i="1"/>
  <c r="AS220" i="1"/>
  <c r="AS257" i="1"/>
  <c r="AS316" i="1"/>
  <c r="AZ348" i="4"/>
  <c r="AZ154" i="4"/>
  <c r="AZ167" i="4"/>
  <c r="AZ186" i="4"/>
  <c r="AZ207" i="4"/>
  <c r="AZ260" i="4"/>
  <c r="BH472" i="1"/>
  <c r="BH156" i="1"/>
  <c r="BH185" i="1"/>
  <c r="BH220" i="1"/>
  <c r="BH257" i="1"/>
  <c r="BH316" i="1"/>
  <c r="BO472" i="1"/>
  <c r="BO156" i="1"/>
  <c r="BO185" i="1"/>
  <c r="BO220" i="1"/>
  <c r="BO257" i="1"/>
  <c r="BO316" i="1"/>
  <c r="BV472" i="1"/>
  <c r="BV156" i="1"/>
  <c r="BV185" i="1"/>
  <c r="BV220" i="1"/>
  <c r="BV257" i="1"/>
  <c r="BV316" i="1"/>
  <c r="J472" i="1"/>
  <c r="J156" i="1"/>
  <c r="AL348" i="4"/>
  <c r="AL154" i="4"/>
  <c r="AL167" i="4"/>
  <c r="AL186" i="4"/>
  <c r="AL207" i="4"/>
  <c r="AL260" i="4"/>
  <c r="AW348" i="4"/>
  <c r="AW154" i="4"/>
  <c r="AW167" i="4"/>
  <c r="AW186" i="4"/>
  <c r="AW207" i="4"/>
  <c r="AW260" i="4"/>
  <c r="BE472" i="1"/>
  <c r="BE156" i="1"/>
  <c r="BE185" i="1"/>
  <c r="BE220" i="1"/>
  <c r="BE257" i="1"/>
  <c r="BE316" i="1"/>
  <c r="BL348" i="4"/>
  <c r="BL154" i="4"/>
  <c r="BL167" i="4"/>
  <c r="BL186" i="4"/>
  <c r="BL207" i="4"/>
  <c r="BL260" i="4"/>
  <c r="BT472" i="1"/>
  <c r="BT156" i="1"/>
  <c r="BT185" i="1"/>
  <c r="BT220" i="1"/>
  <c r="BT257" i="1"/>
  <c r="BT316" i="1"/>
  <c r="CA472" i="1"/>
  <c r="CA156" i="1"/>
  <c r="CA185" i="1"/>
  <c r="CA220" i="1"/>
  <c r="CA257" i="1"/>
  <c r="CA316" i="1"/>
  <c r="O472" i="1"/>
  <c r="O156" i="1"/>
  <c r="V472" i="1"/>
  <c r="V156" i="1"/>
  <c r="AE262" i="4"/>
  <c r="AB268" i="4"/>
  <c r="AB362" i="4"/>
  <c r="AB376" i="4"/>
  <c r="AE264" i="4"/>
  <c r="AB270" i="4"/>
  <c r="AB338" i="4"/>
  <c r="AB364" i="4"/>
  <c r="AQ320" i="1"/>
  <c r="AN462" i="1"/>
  <c r="AN488" i="1"/>
  <c r="AN502" i="1"/>
  <c r="AQ318" i="1"/>
  <c r="AZ320" i="1"/>
  <c r="AW462" i="1"/>
  <c r="AW488" i="1"/>
  <c r="AW502" i="1"/>
  <c r="AZ318" i="1"/>
  <c r="AX264" i="4"/>
  <c r="AU270" i="4"/>
  <c r="AX262" i="4"/>
  <c r="AU268" i="4"/>
  <c r="AU362" i="4"/>
  <c r="BQ320" i="1"/>
  <c r="BQ318" i="1"/>
  <c r="BA320" i="1"/>
  <c r="AX462" i="1"/>
  <c r="AX488" i="1"/>
  <c r="AX502" i="1"/>
  <c r="BA318" i="1"/>
  <c r="AR262" i="4"/>
  <c r="AO268" i="4"/>
  <c r="AO362" i="4"/>
  <c r="AO376" i="4"/>
  <c r="AR264" i="4"/>
  <c r="AO270" i="4"/>
  <c r="AO338" i="4"/>
  <c r="AO364" i="4"/>
  <c r="AO378" i="4"/>
  <c r="BZ348" i="4"/>
  <c r="BZ154" i="4"/>
  <c r="BZ167" i="4"/>
  <c r="BZ186" i="4"/>
  <c r="BZ207" i="4"/>
  <c r="BZ260" i="4"/>
  <c r="N348" i="4"/>
  <c r="N154" i="4"/>
  <c r="N167" i="4"/>
  <c r="N186" i="4"/>
  <c r="N207" i="4"/>
  <c r="N260" i="4"/>
  <c r="Y348" i="4"/>
  <c r="Y154" i="4"/>
  <c r="Y167" i="4"/>
  <c r="Y186" i="4"/>
  <c r="Y207" i="4"/>
  <c r="Y260" i="4"/>
  <c r="AG472" i="1"/>
  <c r="AG156" i="1"/>
  <c r="AG185" i="1"/>
  <c r="AG220" i="1"/>
  <c r="AG257" i="1"/>
  <c r="AG316" i="1"/>
  <c r="AN348" i="4"/>
  <c r="AN154" i="4"/>
  <c r="AN167" i="4"/>
  <c r="AN186" i="4"/>
  <c r="AN207" i="4"/>
  <c r="AN260" i="4"/>
  <c r="AV472" i="1"/>
  <c r="AV156" i="1"/>
  <c r="AV185" i="1"/>
  <c r="AV220" i="1"/>
  <c r="AV257" i="1"/>
  <c r="AV316" i="1"/>
  <c r="BC472" i="1"/>
  <c r="BC156" i="1"/>
  <c r="BC185" i="1"/>
  <c r="BC220" i="1"/>
  <c r="BC257" i="1"/>
  <c r="BC316" i="1"/>
  <c r="BJ472" i="1"/>
  <c r="BJ156" i="1"/>
  <c r="BJ185" i="1"/>
  <c r="BJ220" i="1"/>
  <c r="BJ257" i="1"/>
  <c r="BJ316" i="1"/>
  <c r="BS348" i="4"/>
  <c r="BS154" i="4"/>
  <c r="BS167" i="4"/>
  <c r="BS186" i="4"/>
  <c r="BS207" i="4"/>
  <c r="BS260" i="4"/>
  <c r="BV348" i="4"/>
  <c r="BV154" i="4"/>
  <c r="BV167" i="4"/>
  <c r="BV186" i="4"/>
  <c r="BV207" i="4"/>
  <c r="BV260" i="4"/>
  <c r="J348" i="4"/>
  <c r="J154" i="4"/>
  <c r="J167" i="4"/>
  <c r="J186" i="4"/>
  <c r="J207" i="4"/>
  <c r="J260" i="4"/>
  <c r="U348" i="4"/>
  <c r="U154" i="4"/>
  <c r="U167" i="4"/>
  <c r="U186" i="4"/>
  <c r="U207" i="4"/>
  <c r="U260" i="4"/>
  <c r="AC472" i="1"/>
  <c r="AC156" i="1"/>
  <c r="AC185" i="1"/>
  <c r="AC220" i="1"/>
  <c r="AC257" i="1"/>
  <c r="AC316" i="1"/>
  <c r="AJ348" i="4"/>
  <c r="AJ154" i="4"/>
  <c r="AJ167" i="4"/>
  <c r="AJ186" i="4"/>
  <c r="AJ207" i="4"/>
  <c r="AJ260" i="4"/>
  <c r="AR472" i="1"/>
  <c r="AR156" i="1"/>
  <c r="AR185" i="1"/>
  <c r="AR220" i="1"/>
  <c r="AR257" i="1"/>
  <c r="AR316" i="1"/>
  <c r="AY472" i="1"/>
  <c r="AY156" i="1"/>
  <c r="AY185" i="1"/>
  <c r="AY220" i="1"/>
  <c r="AY257" i="1"/>
  <c r="AY316" i="1"/>
  <c r="BF472" i="1"/>
  <c r="BF156" i="1"/>
  <c r="BF185" i="1"/>
  <c r="BF220" i="1"/>
  <c r="BF257" i="1"/>
  <c r="BF316" i="1"/>
  <c r="BO154" i="4"/>
  <c r="BO167" i="4"/>
  <c r="BO186" i="4"/>
  <c r="BO207" i="4"/>
  <c r="BO260" i="4"/>
  <c r="BO348" i="4"/>
  <c r="V348" i="4"/>
  <c r="V154" i="4"/>
  <c r="V167" i="4"/>
  <c r="V186" i="4"/>
  <c r="V207" i="4"/>
  <c r="V260" i="4"/>
  <c r="AG348" i="4"/>
  <c r="AG154" i="4"/>
  <c r="AG167" i="4"/>
  <c r="AG186" i="4"/>
  <c r="AG207" i="4"/>
  <c r="AG260" i="4"/>
  <c r="AO472" i="1"/>
  <c r="AO156" i="1"/>
  <c r="AO185" i="1"/>
  <c r="AO220" i="1"/>
  <c r="AO257" i="1"/>
  <c r="AO316" i="1"/>
  <c r="AV348" i="4"/>
  <c r="AV154" i="4"/>
  <c r="AV167" i="4"/>
  <c r="AV186" i="4"/>
  <c r="AV207" i="4"/>
  <c r="AV260" i="4"/>
  <c r="BD472" i="1"/>
  <c r="BD156" i="1"/>
  <c r="BD185" i="1"/>
  <c r="BD220" i="1"/>
  <c r="BD257" i="1"/>
  <c r="BD316" i="1"/>
  <c r="BK472" i="1"/>
  <c r="BK156" i="1"/>
  <c r="BK185" i="1"/>
  <c r="BK220" i="1"/>
  <c r="BK257" i="1"/>
  <c r="BK316" i="1"/>
  <c r="BR472" i="1"/>
  <c r="BR156" i="1"/>
  <c r="BR185" i="1"/>
  <c r="BR220" i="1"/>
  <c r="BR257" i="1"/>
  <c r="BR316" i="1"/>
  <c r="CA348" i="4"/>
  <c r="CA154" i="4"/>
  <c r="CA167" i="4"/>
  <c r="CA186" i="4"/>
  <c r="CA207" i="4"/>
  <c r="CA260" i="4"/>
  <c r="AQ264" i="4"/>
  <c r="AN270" i="4"/>
  <c r="AN338" i="4"/>
  <c r="AN364" i="4"/>
  <c r="AN378" i="4"/>
  <c r="AQ262" i="4"/>
  <c r="AN268" i="4"/>
  <c r="AN362" i="4"/>
  <c r="BJ348" i="4"/>
  <c r="BJ154" i="4"/>
  <c r="BJ167" i="4"/>
  <c r="BJ186" i="4"/>
  <c r="BJ207" i="4"/>
  <c r="BJ260" i="4"/>
  <c r="BU348" i="4"/>
  <c r="BU154" i="4"/>
  <c r="BU167" i="4"/>
  <c r="BU186" i="4"/>
  <c r="BU207" i="4"/>
  <c r="BU260" i="4"/>
  <c r="CC472" i="1"/>
  <c r="CC156" i="1"/>
  <c r="CC185" i="1"/>
  <c r="CC220" i="1"/>
  <c r="CC257" i="1"/>
  <c r="CC316" i="1"/>
  <c r="Q472" i="1"/>
  <c r="Q156" i="1"/>
  <c r="X348" i="4"/>
  <c r="X154" i="4"/>
  <c r="X167" i="4"/>
  <c r="X186" i="4"/>
  <c r="X207" i="4"/>
  <c r="X260" i="4"/>
  <c r="AF472" i="1"/>
  <c r="AF156" i="1"/>
  <c r="AF185" i="1"/>
  <c r="AF220" i="1"/>
  <c r="AF257" i="1"/>
  <c r="AF316" i="1"/>
  <c r="AM472" i="1"/>
  <c r="AM156" i="1"/>
  <c r="AM185" i="1"/>
  <c r="AM220" i="1"/>
  <c r="AM257" i="1"/>
  <c r="AM316" i="1"/>
  <c r="AT472" i="1"/>
  <c r="AT156" i="1"/>
  <c r="AT185" i="1"/>
  <c r="AT220" i="1"/>
  <c r="AT257" i="1"/>
  <c r="AT316" i="1"/>
  <c r="BC348" i="4"/>
  <c r="BC154" i="4"/>
  <c r="BC167" i="4"/>
  <c r="BC186" i="4"/>
  <c r="BC207" i="4"/>
  <c r="BC260" i="4"/>
  <c r="BF348" i="4"/>
  <c r="BF154" i="4"/>
  <c r="BF167" i="4"/>
  <c r="BF186" i="4"/>
  <c r="BF207" i="4"/>
  <c r="BF260" i="4"/>
  <c r="BQ348" i="4"/>
  <c r="BQ154" i="4"/>
  <c r="BQ167" i="4"/>
  <c r="BQ186" i="4"/>
  <c r="BQ207" i="4"/>
  <c r="BQ260" i="4"/>
  <c r="BY472" i="1"/>
  <c r="BY156" i="1"/>
  <c r="BY185" i="1"/>
  <c r="BY220" i="1"/>
  <c r="BY257" i="1"/>
  <c r="BY316" i="1"/>
  <c r="M472" i="1"/>
  <c r="M156" i="1"/>
  <c r="T348" i="4"/>
  <c r="T154" i="4"/>
  <c r="T167" i="4"/>
  <c r="T186" i="4"/>
  <c r="T207" i="4"/>
  <c r="T260" i="4"/>
  <c r="AB472" i="1"/>
  <c r="AB156" i="1"/>
  <c r="AB185" i="1"/>
  <c r="AB220" i="1"/>
  <c r="AB257" i="1"/>
  <c r="AB316" i="1"/>
  <c r="AI472" i="1"/>
  <c r="AI156" i="1"/>
  <c r="AI185" i="1"/>
  <c r="AI220" i="1"/>
  <c r="AI257" i="1"/>
  <c r="AI316" i="1"/>
  <c r="AP472" i="1"/>
  <c r="AP156" i="1"/>
  <c r="AP185" i="1"/>
  <c r="AP220" i="1"/>
  <c r="AP257" i="1"/>
  <c r="AP316" i="1"/>
  <c r="AY154" i="4"/>
  <c r="AY167" i="4"/>
  <c r="AY186" i="4"/>
  <c r="AY207" i="4"/>
  <c r="AY260" i="4"/>
  <c r="AY348" i="4"/>
  <c r="BR348" i="4"/>
  <c r="BR154" i="4"/>
  <c r="BR167" i="4"/>
  <c r="BR186" i="4"/>
  <c r="BR207" i="4"/>
  <c r="BR260" i="4"/>
  <c r="CC348" i="4"/>
  <c r="CC154" i="4"/>
  <c r="CC167" i="4"/>
  <c r="CC186" i="4"/>
  <c r="CC207" i="4"/>
  <c r="CC260" i="4"/>
  <c r="Q348" i="4"/>
  <c r="Q154" i="4"/>
  <c r="Q167" i="4"/>
  <c r="Q186" i="4"/>
  <c r="Q207" i="4"/>
  <c r="Q260" i="4"/>
  <c r="Y472" i="1"/>
  <c r="Y156" i="1"/>
  <c r="Y185" i="1"/>
  <c r="Y220" i="1"/>
  <c r="Y257" i="1"/>
  <c r="Y316" i="1"/>
  <c r="AF348" i="4"/>
  <c r="AF154" i="4"/>
  <c r="AF167" i="4"/>
  <c r="AF186" i="4"/>
  <c r="AF207" i="4"/>
  <c r="AF260" i="4"/>
  <c r="AN472" i="1"/>
  <c r="AN156" i="1"/>
  <c r="AN185" i="1"/>
  <c r="AN220" i="1"/>
  <c r="AN257" i="1"/>
  <c r="AN316" i="1"/>
  <c r="AU472" i="1"/>
  <c r="AU156" i="1"/>
  <c r="AU185" i="1"/>
  <c r="AU220" i="1"/>
  <c r="AU257" i="1"/>
  <c r="AU316" i="1"/>
  <c r="BB472" i="1"/>
  <c r="BB156" i="1"/>
  <c r="BB185" i="1"/>
  <c r="BB220" i="1"/>
  <c r="BB257" i="1"/>
  <c r="BB316" i="1"/>
  <c r="BK348" i="4"/>
  <c r="BK154" i="4"/>
  <c r="BK167" i="4"/>
  <c r="BK186" i="4"/>
  <c r="BK207" i="4"/>
  <c r="BK260" i="4"/>
  <c r="AX318" i="1"/>
  <c r="AX320" i="1"/>
  <c r="AU462" i="1"/>
  <c r="AU488" i="1"/>
  <c r="BH262" i="4"/>
  <c r="BE268" i="4"/>
  <c r="BE362" i="4"/>
  <c r="BE376" i="4"/>
  <c r="BH264" i="4"/>
  <c r="BE270" i="4"/>
  <c r="BE338" i="4"/>
  <c r="BE364" i="4"/>
  <c r="BE378" i="4"/>
  <c r="R318" i="1"/>
  <c r="BN320" i="1"/>
  <c r="BK462" i="1"/>
  <c r="BK488" i="1"/>
  <c r="BK502" i="1"/>
  <c r="BN318" i="1"/>
  <c r="AT348" i="4"/>
  <c r="AT154" i="4"/>
  <c r="AT167" i="4"/>
  <c r="AT186" i="4"/>
  <c r="AT207" i="4"/>
  <c r="AT260" i="4"/>
  <c r="BE348" i="4"/>
  <c r="BE154" i="4"/>
  <c r="BE167" i="4"/>
  <c r="BE186" i="4"/>
  <c r="BE207" i="4"/>
  <c r="BE260" i="4"/>
  <c r="BM472" i="1"/>
  <c r="BM156" i="1"/>
  <c r="BM185" i="1"/>
  <c r="BM220" i="1"/>
  <c r="BM257" i="1"/>
  <c r="BM316" i="1"/>
  <c r="BT348" i="4"/>
  <c r="BT154" i="4"/>
  <c r="BT167" i="4"/>
  <c r="BT186" i="4"/>
  <c r="BT207" i="4"/>
  <c r="BT260" i="4"/>
  <c r="CB472" i="1"/>
  <c r="CB156" i="1"/>
  <c r="CB185" i="1"/>
  <c r="CB220" i="1"/>
  <c r="CB257" i="1"/>
  <c r="CB316" i="1"/>
  <c r="P472" i="1"/>
  <c r="P156" i="1"/>
  <c r="W472" i="1"/>
  <c r="W156" i="1"/>
  <c r="W185" i="1"/>
  <c r="W220" i="1"/>
  <c r="W257" i="1"/>
  <c r="W316" i="1"/>
  <c r="AD472" i="1"/>
  <c r="AD156" i="1"/>
  <c r="AD185" i="1"/>
  <c r="AD220" i="1"/>
  <c r="AD257" i="1"/>
  <c r="AD316" i="1"/>
  <c r="AM348" i="4"/>
  <c r="AM154" i="4"/>
  <c r="AM167" i="4"/>
  <c r="AM186" i="4"/>
  <c r="AM207" i="4"/>
  <c r="AM260" i="4"/>
  <c r="AP348" i="4"/>
  <c r="AP154" i="4"/>
  <c r="AP167" i="4"/>
  <c r="AP186" i="4"/>
  <c r="AP207" i="4"/>
  <c r="AP260" i="4"/>
  <c r="BA348" i="4"/>
  <c r="BA154" i="4"/>
  <c r="BA167" i="4"/>
  <c r="BA186" i="4"/>
  <c r="BA207" i="4"/>
  <c r="BA260" i="4"/>
  <c r="BI472" i="1"/>
  <c r="BI156" i="1"/>
  <c r="BI185" i="1"/>
  <c r="BI220" i="1"/>
  <c r="BI257" i="1"/>
  <c r="BI316" i="1"/>
  <c r="BP348" i="4"/>
  <c r="BP154" i="4"/>
  <c r="BP167" i="4"/>
  <c r="BP186" i="4"/>
  <c r="BP207" i="4"/>
  <c r="BP260" i="4"/>
  <c r="BX472" i="1"/>
  <c r="BX156" i="1"/>
  <c r="BX185" i="1"/>
  <c r="BX220" i="1"/>
  <c r="BX257" i="1"/>
  <c r="BX316" i="1"/>
  <c r="L472" i="1"/>
  <c r="L156" i="1"/>
  <c r="S472" i="1"/>
  <c r="S156" i="1"/>
  <c r="Z472" i="1"/>
  <c r="Z156" i="1"/>
  <c r="Z185" i="1"/>
  <c r="Z220" i="1"/>
  <c r="Z257" i="1"/>
  <c r="Z316" i="1"/>
  <c r="AI154" i="4"/>
  <c r="AI167" i="4"/>
  <c r="AI186" i="4"/>
  <c r="AI207" i="4"/>
  <c r="AI260" i="4"/>
  <c r="AI348" i="4"/>
  <c r="BB348" i="4"/>
  <c r="BB154" i="4"/>
  <c r="BB167" i="4"/>
  <c r="BB186" i="4"/>
  <c r="BB207" i="4"/>
  <c r="BB260" i="4"/>
  <c r="BM348" i="4"/>
  <c r="BM154" i="4"/>
  <c r="BM167" i="4"/>
  <c r="BM186" i="4"/>
  <c r="BM207" i="4"/>
  <c r="BM260" i="4"/>
  <c r="BU472" i="1"/>
  <c r="BU156" i="1"/>
  <c r="BU185" i="1"/>
  <c r="BU220" i="1"/>
  <c r="BU257" i="1"/>
  <c r="BU316" i="1"/>
  <c r="CB348" i="4"/>
  <c r="CB154" i="4"/>
  <c r="CB167" i="4"/>
  <c r="CB186" i="4"/>
  <c r="CB207" i="4"/>
  <c r="CB260" i="4"/>
  <c r="P348" i="4"/>
  <c r="P154" i="4"/>
  <c r="P167" i="4"/>
  <c r="P186" i="4"/>
  <c r="P207" i="4"/>
  <c r="P260" i="4"/>
  <c r="X472" i="1"/>
  <c r="X156" i="1"/>
  <c r="X185" i="1"/>
  <c r="X220" i="1"/>
  <c r="X257" i="1"/>
  <c r="X316" i="1"/>
  <c r="AE472" i="1"/>
  <c r="AE156" i="1"/>
  <c r="AE185" i="1"/>
  <c r="AE220" i="1"/>
  <c r="AE257" i="1"/>
  <c r="AE316" i="1"/>
  <c r="AL472" i="1"/>
  <c r="AL156" i="1"/>
  <c r="AL185" i="1"/>
  <c r="AL220" i="1"/>
  <c r="AL257" i="1"/>
  <c r="AL316" i="1"/>
  <c r="AU348" i="4"/>
  <c r="AU154" i="4"/>
  <c r="AU167" i="4"/>
  <c r="AU186" i="4"/>
  <c r="AU207" i="4"/>
  <c r="AU260" i="4"/>
  <c r="BW264" i="4"/>
  <c r="BT270" i="4"/>
  <c r="BT338" i="4"/>
  <c r="BT364" i="4"/>
  <c r="BT378" i="4"/>
  <c r="BW262" i="4"/>
  <c r="BT268" i="4"/>
  <c r="BT362" i="4"/>
  <c r="BT376" i="4"/>
  <c r="AA264" i="4"/>
  <c r="X270" i="4"/>
  <c r="X338" i="4"/>
  <c r="X364" i="4"/>
  <c r="X378" i="4"/>
  <c r="AA262" i="4"/>
  <c r="X268" i="4"/>
  <c r="X362" i="4"/>
  <c r="X376" i="4"/>
  <c r="BU478" i="1"/>
  <c r="U478" i="1"/>
  <c r="M215" i="4"/>
  <c r="N215" i="4"/>
  <c r="O215" i="4"/>
  <c r="P215" i="4"/>
  <c r="Q215" i="4"/>
  <c r="R215" i="4"/>
  <c r="S215" i="4"/>
  <c r="T215" i="4"/>
  <c r="U215" i="4"/>
  <c r="V215" i="4"/>
  <c r="W215" i="4"/>
  <c r="X215" i="4"/>
  <c r="Y215" i="4"/>
  <c r="Z215" i="4"/>
  <c r="AA215" i="4"/>
  <c r="AB215" i="4"/>
  <c r="AC215" i="4"/>
  <c r="AD215" i="4"/>
  <c r="AE215" i="4"/>
  <c r="AF215" i="4"/>
  <c r="AG215" i="4"/>
  <c r="AH215" i="4"/>
  <c r="AI215" i="4"/>
  <c r="AJ215" i="4"/>
  <c r="AK215" i="4"/>
  <c r="AL215" i="4"/>
  <c r="AM215" i="4"/>
  <c r="AN215" i="4"/>
  <c r="AO215" i="4"/>
  <c r="AP215" i="4"/>
  <c r="AQ215" i="4"/>
  <c r="AR215" i="4"/>
  <c r="AS215" i="4"/>
  <c r="AT215" i="4"/>
  <c r="AU215" i="4"/>
  <c r="AV215" i="4"/>
  <c r="AW215" i="4"/>
  <c r="AX215" i="4"/>
  <c r="AY215" i="4"/>
  <c r="AZ215" i="4"/>
  <c r="BA215" i="4"/>
  <c r="BB215" i="4"/>
  <c r="BC215" i="4"/>
  <c r="BD215" i="4"/>
  <c r="BE215" i="4"/>
  <c r="BF215" i="4"/>
  <c r="BG215" i="4"/>
  <c r="BH215" i="4"/>
  <c r="BI215" i="4"/>
  <c r="BJ215" i="4"/>
  <c r="BK215" i="4"/>
  <c r="BL215" i="4"/>
  <c r="BM215" i="4"/>
  <c r="BN215" i="4"/>
  <c r="BO215" i="4"/>
  <c r="BP215" i="4"/>
  <c r="BQ215" i="4"/>
  <c r="BR215" i="4"/>
  <c r="BS215" i="4"/>
  <c r="BT215" i="4"/>
  <c r="BU215" i="4"/>
  <c r="BV215" i="4"/>
  <c r="BW215" i="4"/>
  <c r="BX215" i="4"/>
  <c r="BY215" i="4"/>
  <c r="BZ215" i="4"/>
  <c r="CA215" i="4"/>
  <c r="CB215" i="4"/>
  <c r="CC215" i="4"/>
  <c r="L577" i="1"/>
  <c r="L579" i="1"/>
  <c r="L551" i="1"/>
  <c r="N577" i="1"/>
  <c r="N579" i="1"/>
  <c r="N545" i="1"/>
  <c r="N551" i="1"/>
  <c r="K293" i="4"/>
  <c r="L283" i="4"/>
  <c r="M369" i="1"/>
  <c r="J577" i="1"/>
  <c r="J579" i="1"/>
  <c r="J551" i="1"/>
  <c r="CA478" i="1"/>
  <c r="K577" i="1"/>
  <c r="K579" i="1"/>
  <c r="K551" i="1"/>
  <c r="H211" i="4"/>
  <c r="H213" i="4"/>
  <c r="N427" i="4"/>
  <c r="N429" i="4"/>
  <c r="N453" i="4"/>
  <c r="N455" i="4"/>
  <c r="K453" i="4"/>
  <c r="K455" i="4"/>
  <c r="K427" i="4"/>
  <c r="K429" i="4"/>
  <c r="L427" i="4"/>
  <c r="L429" i="4"/>
  <c r="L453" i="4"/>
  <c r="L455" i="4"/>
  <c r="L371" i="1"/>
  <c r="J476" i="1"/>
  <c r="J453" i="4"/>
  <c r="J455" i="4"/>
  <c r="J427" i="4"/>
  <c r="J429" i="4"/>
  <c r="M352" i="4"/>
  <c r="H203" i="4"/>
  <c r="F306" i="4"/>
  <c r="K291" i="4"/>
  <c r="L163" i="4"/>
  <c r="M453" i="4"/>
  <c r="M455" i="4"/>
  <c r="M427" i="4"/>
  <c r="M429" i="4"/>
  <c r="M577" i="1"/>
  <c r="M579" i="1"/>
  <c r="M551" i="1"/>
  <c r="H433" i="1"/>
  <c r="H435" i="1"/>
  <c r="H437" i="1"/>
  <c r="H439" i="1"/>
  <c r="H441" i="1"/>
  <c r="H443" i="1"/>
  <c r="H445" i="1"/>
  <c r="H447" i="1"/>
  <c r="H449" i="1"/>
  <c r="H451" i="1"/>
  <c r="H454" i="1"/>
  <c r="H456" i="1"/>
  <c r="H434" i="1"/>
  <c r="H436" i="1"/>
  <c r="H438" i="1"/>
  <c r="H440" i="1"/>
  <c r="H442" i="1"/>
  <c r="H444" i="1"/>
  <c r="H446" i="1"/>
  <c r="H448" i="1"/>
  <c r="H450" i="1"/>
  <c r="H453" i="1"/>
  <c r="H455" i="1"/>
  <c r="H457" i="1"/>
  <c r="H432" i="1"/>
  <c r="V267" i="1"/>
  <c r="BY267" i="1"/>
  <c r="BH267" i="1"/>
  <c r="AS267" i="1"/>
  <c r="AH267" i="1"/>
  <c r="AB267" i="1"/>
  <c r="BI267" i="1"/>
  <c r="AC267" i="1"/>
  <c r="BG320" i="1"/>
  <c r="BD462" i="1"/>
  <c r="BD488" i="1"/>
  <c r="BD502" i="1"/>
  <c r="R264" i="4"/>
  <c r="O270" i="4"/>
  <c r="O338" i="4"/>
  <c r="O364" i="4"/>
  <c r="BN486" i="1"/>
  <c r="BN500" i="1"/>
  <c r="AB264" i="4"/>
  <c r="Y270" i="4"/>
  <c r="Y338" i="4"/>
  <c r="Y364" i="4"/>
  <c r="Y378" i="4"/>
  <c r="Y380" i="4"/>
  <c r="BB267" i="1"/>
  <c r="BN267" i="1"/>
  <c r="BX267" i="1"/>
  <c r="AR267" i="1"/>
  <c r="L267" i="1"/>
  <c r="BQ267" i="1"/>
  <c r="BA267" i="1"/>
  <c r="AK267" i="1"/>
  <c r="U267" i="1"/>
  <c r="S185" i="1"/>
  <c r="S220" i="1"/>
  <c r="S257" i="1"/>
  <c r="S316" i="1"/>
  <c r="S320" i="1"/>
  <c r="P462" i="1"/>
  <c r="P488" i="1"/>
  <c r="P502" i="1"/>
  <c r="L185" i="1"/>
  <c r="L220" i="1"/>
  <c r="L257" i="1"/>
  <c r="L316" i="1"/>
  <c r="L318" i="1"/>
  <c r="P185" i="1"/>
  <c r="P220" i="1"/>
  <c r="P257" i="1"/>
  <c r="P316" i="1"/>
  <c r="P318" i="1"/>
  <c r="M486" i="1"/>
  <c r="U185" i="1"/>
  <c r="U220" i="1"/>
  <c r="U257" i="1"/>
  <c r="U316" i="1"/>
  <c r="U320" i="1"/>
  <c r="R462" i="1"/>
  <c r="R488" i="1"/>
  <c r="R502" i="1"/>
  <c r="T185" i="1"/>
  <c r="T220" i="1"/>
  <c r="T257" i="1"/>
  <c r="T316" i="1"/>
  <c r="T320" i="1"/>
  <c r="Q462" i="1"/>
  <c r="Q488" i="1"/>
  <c r="Q502" i="1"/>
  <c r="M185" i="1"/>
  <c r="M220" i="1"/>
  <c r="M257" i="1"/>
  <c r="M316" i="1"/>
  <c r="M320" i="1"/>
  <c r="Q185" i="1"/>
  <c r="Q220" i="1"/>
  <c r="Q257" i="1"/>
  <c r="Q316" i="1"/>
  <c r="Q320" i="1"/>
  <c r="N462" i="1"/>
  <c r="N488" i="1"/>
  <c r="N502" i="1"/>
  <c r="V185" i="1"/>
  <c r="V220" i="1"/>
  <c r="V257" i="1"/>
  <c r="V316" i="1"/>
  <c r="V318" i="1"/>
  <c r="S486" i="1"/>
  <c r="O185" i="1"/>
  <c r="O220" i="1"/>
  <c r="O257" i="1"/>
  <c r="O316" i="1"/>
  <c r="O320" i="1"/>
  <c r="J185" i="1"/>
  <c r="J220" i="1"/>
  <c r="J257" i="1"/>
  <c r="J316" i="1"/>
  <c r="J318" i="1"/>
  <c r="N185" i="1"/>
  <c r="N220" i="1"/>
  <c r="N257" i="1"/>
  <c r="N316" i="1"/>
  <c r="N320" i="1"/>
  <c r="K185" i="1"/>
  <c r="K220" i="1"/>
  <c r="K257" i="1"/>
  <c r="K316" i="1"/>
  <c r="K320" i="1"/>
  <c r="BR267" i="1"/>
  <c r="AL267" i="1"/>
  <c r="K267" i="1"/>
  <c r="AX267" i="1"/>
  <c r="R267" i="1"/>
  <c r="BP267" i="1"/>
  <c r="AZ267" i="1"/>
  <c r="AJ267" i="1"/>
  <c r="T267" i="1"/>
  <c r="CC267" i="1"/>
  <c r="BU267" i="1"/>
  <c r="BM267" i="1"/>
  <c r="BE267" i="1"/>
  <c r="AW267" i="1"/>
  <c r="AO267" i="1"/>
  <c r="AG267" i="1"/>
  <c r="Y267" i="1"/>
  <c r="Q267" i="1"/>
  <c r="BZ267" i="1"/>
  <c r="BJ267" i="1"/>
  <c r="AT267" i="1"/>
  <c r="AD267" i="1"/>
  <c r="N267" i="1"/>
  <c r="BV267" i="1"/>
  <c r="BF267" i="1"/>
  <c r="AP267" i="1"/>
  <c r="Z267" i="1"/>
  <c r="CB267" i="1"/>
  <c r="BT267" i="1"/>
  <c r="BL267" i="1"/>
  <c r="BD267" i="1"/>
  <c r="AV267" i="1"/>
  <c r="AN267" i="1"/>
  <c r="AF267" i="1"/>
  <c r="X267" i="1"/>
  <c r="P267" i="1"/>
  <c r="J267" i="1"/>
  <c r="J269" i="1"/>
  <c r="K269" i="1"/>
  <c r="CA267" i="1"/>
  <c r="BW267" i="1"/>
  <c r="BS267" i="1"/>
  <c r="BO267" i="1"/>
  <c r="BK267" i="1"/>
  <c r="BG267" i="1"/>
  <c r="BC267" i="1"/>
  <c r="AY267" i="1"/>
  <c r="AU267" i="1"/>
  <c r="AQ267" i="1"/>
  <c r="AM267" i="1"/>
  <c r="AI267" i="1"/>
  <c r="AE267" i="1"/>
  <c r="AA267" i="1"/>
  <c r="W267" i="1"/>
  <c r="S267" i="1"/>
  <c r="BI262" i="4"/>
  <c r="BF268" i="4"/>
  <c r="BF362" i="4"/>
  <c r="BF376" i="4"/>
  <c r="BF380" i="4"/>
  <c r="AA320" i="1"/>
  <c r="X462" i="1"/>
  <c r="X488" i="1"/>
  <c r="X502" i="1"/>
  <c r="AX486" i="1"/>
  <c r="AX500" i="1"/>
  <c r="AX504" i="1"/>
  <c r="AW486" i="1"/>
  <c r="AW500" i="1"/>
  <c r="AW504" i="1"/>
  <c r="AN486" i="1"/>
  <c r="AN500" i="1"/>
  <c r="AN504" i="1"/>
  <c r="AS264" i="4"/>
  <c r="AP270" i="4"/>
  <c r="AP338" i="4"/>
  <c r="AP364" i="4"/>
  <c r="AP366" i="4"/>
  <c r="BN262" i="4"/>
  <c r="BK268" i="4"/>
  <c r="BK362" i="4"/>
  <c r="BK376" i="4"/>
  <c r="H431" i="1"/>
  <c r="J462" i="1"/>
  <c r="BK486" i="1"/>
  <c r="BK500" i="1"/>
  <c r="BK504" i="1"/>
  <c r="X486" i="1"/>
  <c r="X500" i="1"/>
  <c r="BD486" i="1"/>
  <c r="BD500" i="1"/>
  <c r="O486" i="1"/>
  <c r="O500" i="1"/>
  <c r="O504" i="1"/>
  <c r="AC262" i="4"/>
  <c r="Z268" i="4"/>
  <c r="Z362" i="4"/>
  <c r="Z376" i="4"/>
  <c r="BP318" i="1"/>
  <c r="O484" i="1"/>
  <c r="O498" i="1"/>
  <c r="AT484" i="1"/>
  <c r="AT498" i="1"/>
  <c r="AA484" i="1"/>
  <c r="AA498" i="1"/>
  <c r="M429" i="1"/>
  <c r="AM484" i="1"/>
  <c r="AM498" i="1"/>
  <c r="BY262" i="4"/>
  <c r="BV268" i="4"/>
  <c r="BV362" i="4"/>
  <c r="BV376" i="4"/>
  <c r="BU429" i="1"/>
  <c r="BP429" i="1"/>
  <c r="BE429" i="1"/>
  <c r="AG429" i="1"/>
  <c r="BC484" i="1"/>
  <c r="BC498" i="1"/>
  <c r="J484" i="1"/>
  <c r="J498" i="1"/>
  <c r="AW429" i="1"/>
  <c r="S264" i="4"/>
  <c r="P270" i="4"/>
  <c r="P338" i="4"/>
  <c r="P364" i="4"/>
  <c r="P378" i="4"/>
  <c r="BF484" i="1"/>
  <c r="BF498" i="1"/>
  <c r="CB429" i="1"/>
  <c r="Y429" i="1"/>
  <c r="AH484" i="1"/>
  <c r="AH498" i="1"/>
  <c r="AR429" i="1"/>
  <c r="Q484" i="1"/>
  <c r="Q498" i="1"/>
  <c r="AO484" i="1"/>
  <c r="AO498" i="1"/>
  <c r="BW484" i="1"/>
  <c r="BW498" i="1"/>
  <c r="BZ484" i="1"/>
  <c r="BZ498" i="1"/>
  <c r="U484" i="1"/>
  <c r="U498" i="1"/>
  <c r="AP484" i="1"/>
  <c r="AP498" i="1"/>
  <c r="BG484" i="1"/>
  <c r="BG498" i="1"/>
  <c r="L262" i="4"/>
  <c r="AQ484" i="1"/>
  <c r="AQ498" i="1"/>
  <c r="BK484" i="1"/>
  <c r="BK498" i="1"/>
  <c r="BJ484" i="1"/>
  <c r="BJ498" i="1"/>
  <c r="BQ484" i="1"/>
  <c r="BQ498" i="1"/>
  <c r="AS484" i="1"/>
  <c r="AS498" i="1"/>
  <c r="BX429" i="1"/>
  <c r="BB484" i="1"/>
  <c r="BB498" i="1"/>
  <c r="S484" i="1"/>
  <c r="S498" i="1"/>
  <c r="AK429" i="1"/>
  <c r="AK320" i="1"/>
  <c r="AH462" i="1"/>
  <c r="AH488" i="1"/>
  <c r="AH502" i="1"/>
  <c r="AB429" i="1"/>
  <c r="BY429" i="1"/>
  <c r="AU484" i="1"/>
  <c r="AU498" i="1"/>
  <c r="P429" i="1"/>
  <c r="BM484" i="1"/>
  <c r="BM498" i="1"/>
  <c r="AI484" i="1"/>
  <c r="AI498" i="1"/>
  <c r="BR484" i="1"/>
  <c r="BR498" i="1"/>
  <c r="BA429" i="1"/>
  <c r="W484" i="1"/>
  <c r="W498" i="1"/>
  <c r="AL484" i="1"/>
  <c r="AL498" i="1"/>
  <c r="AC429" i="1"/>
  <c r="BV484" i="1"/>
  <c r="BV498" i="1"/>
  <c r="AF429" i="1"/>
  <c r="CC429" i="1"/>
  <c r="AY484" i="1"/>
  <c r="AY498" i="1"/>
  <c r="T429" i="1"/>
  <c r="AX484" i="1"/>
  <c r="AX498" i="1"/>
  <c r="BH429" i="1"/>
  <c r="Z484" i="1"/>
  <c r="Z498" i="1"/>
  <c r="CA484" i="1"/>
  <c r="CA498" i="1"/>
  <c r="AV429" i="1"/>
  <c r="N484" i="1"/>
  <c r="N498" i="1"/>
  <c r="BO484" i="1"/>
  <c r="BO498" i="1"/>
  <c r="AJ429" i="1"/>
  <c r="BN484" i="1"/>
  <c r="BN498" i="1"/>
  <c r="L429" i="1"/>
  <c r="BI429" i="1"/>
  <c r="AE484" i="1"/>
  <c r="AE498" i="1"/>
  <c r="BL429" i="1"/>
  <c r="AD484" i="1"/>
  <c r="AD498" i="1"/>
  <c r="V484" i="1"/>
  <c r="V498" i="1"/>
  <c r="AZ429" i="1"/>
  <c r="BS484" i="1"/>
  <c r="BS498" i="1"/>
  <c r="BX262" i="4"/>
  <c r="BU268" i="4"/>
  <c r="BU362" i="4"/>
  <c r="BU376" i="4"/>
  <c r="AJ318" i="1"/>
  <c r="AG486" i="1"/>
  <c r="AG500" i="1"/>
  <c r="AG504" i="1"/>
  <c r="K262" i="4"/>
  <c r="AH264" i="4"/>
  <c r="AE270" i="4"/>
  <c r="AE338" i="4"/>
  <c r="AE364" i="4"/>
  <c r="M264" i="4"/>
  <c r="J270" i="4"/>
  <c r="J338" i="4"/>
  <c r="J364" i="4"/>
  <c r="J366" i="4"/>
  <c r="R484" i="1"/>
  <c r="R498" i="1"/>
  <c r="BD484" i="1"/>
  <c r="BD498" i="1"/>
  <c r="X484" i="1"/>
  <c r="X498" i="1"/>
  <c r="AN429" i="1"/>
  <c r="CC490" i="1"/>
  <c r="CC500" i="1"/>
  <c r="CC504" i="1"/>
  <c r="CA490" i="1"/>
  <c r="CA500" i="1"/>
  <c r="CA504" i="1"/>
  <c r="CB490" i="1"/>
  <c r="CB500" i="1"/>
  <c r="CB504" i="1"/>
  <c r="Q486" i="1"/>
  <c r="Q500" i="1"/>
  <c r="AU486" i="1"/>
  <c r="AU500" i="1"/>
  <c r="R486" i="1"/>
  <c r="R500" i="1"/>
  <c r="BM486" i="1"/>
  <c r="BM500" i="1"/>
  <c r="BM504" i="1"/>
  <c r="AH486" i="1"/>
  <c r="AH500" i="1"/>
  <c r="AE486" i="1"/>
  <c r="AE500" i="1"/>
  <c r="K429" i="1"/>
  <c r="K484" i="1"/>
  <c r="K498" i="1"/>
  <c r="BT484" i="1"/>
  <c r="BT498" i="1"/>
  <c r="BT429" i="1"/>
  <c r="AH320" i="1"/>
  <c r="AE462" i="1"/>
  <c r="AE488" i="1"/>
  <c r="AE502" i="1"/>
  <c r="O262" i="4"/>
  <c r="L268" i="4"/>
  <c r="L362" i="4"/>
  <c r="L376" i="4"/>
  <c r="L380" i="4"/>
  <c r="BG264" i="4"/>
  <c r="BD270" i="4"/>
  <c r="BD338" i="4"/>
  <c r="BD364" i="4"/>
  <c r="BD378" i="4"/>
  <c r="BD380" i="4"/>
  <c r="Y249" i="1"/>
  <c r="U249" i="1"/>
  <c r="Q249" i="1"/>
  <c r="M249" i="1"/>
  <c r="BZ249" i="1"/>
  <c r="BV249" i="1"/>
  <c r="BR249" i="1"/>
  <c r="BN249" i="1"/>
  <c r="BJ249" i="1"/>
  <c r="BF249" i="1"/>
  <c r="BB249" i="1"/>
  <c r="AX249" i="1"/>
  <c r="AT249" i="1"/>
  <c r="AP249" i="1"/>
  <c r="AL249" i="1"/>
  <c r="AH249" i="1"/>
  <c r="AD249" i="1"/>
  <c r="Z249" i="1"/>
  <c r="V249" i="1"/>
  <c r="R249" i="1"/>
  <c r="N249" i="1"/>
  <c r="CA249" i="1"/>
  <c r="BW249" i="1"/>
  <c r="BS249" i="1"/>
  <c r="BO249" i="1"/>
  <c r="BK249" i="1"/>
  <c r="BG249" i="1"/>
  <c r="BC249" i="1"/>
  <c r="AY249" i="1"/>
  <c r="AU249" i="1"/>
  <c r="AQ249" i="1"/>
  <c r="AM249" i="1"/>
  <c r="AI249" i="1"/>
  <c r="AE249" i="1"/>
  <c r="AA249" i="1"/>
  <c r="W249" i="1"/>
  <c r="S249" i="1"/>
  <c r="O249" i="1"/>
  <c r="K249" i="1"/>
  <c r="CB249" i="1"/>
  <c r="BX249" i="1"/>
  <c r="BT249" i="1"/>
  <c r="BP249" i="1"/>
  <c r="BL249" i="1"/>
  <c r="BH249" i="1"/>
  <c r="BD249" i="1"/>
  <c r="AZ249" i="1"/>
  <c r="AV249" i="1"/>
  <c r="AR249" i="1"/>
  <c r="AN249" i="1"/>
  <c r="AJ249" i="1"/>
  <c r="AF249" i="1"/>
  <c r="AB249" i="1"/>
  <c r="X249" i="1"/>
  <c r="T249" i="1"/>
  <c r="P249" i="1"/>
  <c r="L249" i="1"/>
  <c r="CC249" i="1"/>
  <c r="BY249" i="1"/>
  <c r="BU249" i="1"/>
  <c r="BQ249" i="1"/>
  <c r="BM249" i="1"/>
  <c r="BI249" i="1"/>
  <c r="BE249" i="1"/>
  <c r="BA249" i="1"/>
  <c r="AW249" i="1"/>
  <c r="AS249" i="1"/>
  <c r="AO249" i="1"/>
  <c r="AK249" i="1"/>
  <c r="AG249" i="1"/>
  <c r="AC249" i="1"/>
  <c r="J249" i="1"/>
  <c r="J251" i="1"/>
  <c r="BW318" i="1"/>
  <c r="BT486" i="1"/>
  <c r="BT490" i="1"/>
  <c r="H476" i="1"/>
  <c r="H478" i="1"/>
  <c r="J478" i="1"/>
  <c r="AO380" i="4"/>
  <c r="X380" i="4"/>
  <c r="BT380" i="4"/>
  <c r="BE380" i="4"/>
  <c r="AO366" i="4"/>
  <c r="K553" i="1"/>
  <c r="BE366" i="4"/>
  <c r="X366" i="4"/>
  <c r="BT366" i="4"/>
  <c r="AG212" i="1"/>
  <c r="J212" i="1"/>
  <c r="BK264" i="4"/>
  <c r="BH270" i="4"/>
  <c r="BH338" i="4"/>
  <c r="BH364" i="4"/>
  <c r="BH378" i="4"/>
  <c r="BK262" i="4"/>
  <c r="BH268" i="4"/>
  <c r="BH362" i="4"/>
  <c r="AU318" i="1"/>
  <c r="AR486" i="1"/>
  <c r="AU320" i="1"/>
  <c r="AR462" i="1"/>
  <c r="AR488" i="1"/>
  <c r="AR502" i="1"/>
  <c r="AF262" i="4"/>
  <c r="AC268" i="4"/>
  <c r="AC362" i="4"/>
  <c r="AF264" i="4"/>
  <c r="AC270" i="4"/>
  <c r="AC338" i="4"/>
  <c r="AC364" i="4"/>
  <c r="AC378" i="4"/>
  <c r="Q264" i="4"/>
  <c r="N270" i="4"/>
  <c r="N338" i="4"/>
  <c r="N364" i="4"/>
  <c r="N378" i="4"/>
  <c r="Q262" i="4"/>
  <c r="N268" i="4"/>
  <c r="N362" i="4"/>
  <c r="BR264" i="4"/>
  <c r="BO270" i="4"/>
  <c r="BO338" i="4"/>
  <c r="BO364" i="4"/>
  <c r="BO378" i="4"/>
  <c r="BR262" i="4"/>
  <c r="BO268" i="4"/>
  <c r="BO362" i="4"/>
  <c r="AP320" i="1"/>
  <c r="AP318" i="1"/>
  <c r="AM486" i="1"/>
  <c r="AB318" i="1"/>
  <c r="Y486" i="1"/>
  <c r="AB320" i="1"/>
  <c r="Y462" i="1"/>
  <c r="Y488" i="1"/>
  <c r="Y502" i="1"/>
  <c r="BQ262" i="4"/>
  <c r="BN268" i="4"/>
  <c r="BN362" i="4"/>
  <c r="BQ264" i="4"/>
  <c r="BN270" i="4"/>
  <c r="BN338" i="4"/>
  <c r="BN364" i="4"/>
  <c r="BN378" i="4"/>
  <c r="BC264" i="4"/>
  <c r="AZ270" i="4"/>
  <c r="AZ338" i="4"/>
  <c r="AZ364" i="4"/>
  <c r="AZ378" i="4"/>
  <c r="BC262" i="4"/>
  <c r="AZ268" i="4"/>
  <c r="AZ362" i="4"/>
  <c r="AM320" i="1"/>
  <c r="AJ462" i="1"/>
  <c r="AJ488" i="1"/>
  <c r="AJ502" i="1"/>
  <c r="AM318" i="1"/>
  <c r="AJ486" i="1"/>
  <c r="X264" i="4"/>
  <c r="U270" i="4"/>
  <c r="U338" i="4"/>
  <c r="U364" i="4"/>
  <c r="U378" i="4"/>
  <c r="X262" i="4"/>
  <c r="U268" i="4"/>
  <c r="U362" i="4"/>
  <c r="CC320" i="1"/>
  <c r="CC318" i="1"/>
  <c r="BZ486" i="1"/>
  <c r="BJ264" i="4"/>
  <c r="BG270" i="4"/>
  <c r="BG338" i="4"/>
  <c r="BG364" i="4"/>
  <c r="BG378" i="4"/>
  <c r="BJ262" i="4"/>
  <c r="BG268" i="4"/>
  <c r="BG362" i="4"/>
  <c r="AN376" i="4"/>
  <c r="AN380" i="4"/>
  <c r="AN366" i="4"/>
  <c r="CA264" i="4"/>
  <c r="BX270" i="4"/>
  <c r="BX338" i="4"/>
  <c r="BX364" i="4"/>
  <c r="BX378" i="4"/>
  <c r="CA262" i="4"/>
  <c r="BX268" i="4"/>
  <c r="BX362" i="4"/>
  <c r="BK320" i="1"/>
  <c r="BH462" i="1"/>
  <c r="BH488" i="1"/>
  <c r="BH502" i="1"/>
  <c r="BK318" i="1"/>
  <c r="BH486" i="1"/>
  <c r="AV262" i="4"/>
  <c r="AS268" i="4"/>
  <c r="AS362" i="4"/>
  <c r="AV264" i="4"/>
  <c r="AS270" i="4"/>
  <c r="AS338" i="4"/>
  <c r="AS364" i="4"/>
  <c r="AS378" i="4"/>
  <c r="AG262" i="4"/>
  <c r="AD268" i="4"/>
  <c r="AD362" i="4"/>
  <c r="AG264" i="4"/>
  <c r="AD270" i="4"/>
  <c r="AD338" i="4"/>
  <c r="AD364" i="4"/>
  <c r="AD378" i="4"/>
  <c r="P376" i="4"/>
  <c r="BF320" i="1"/>
  <c r="BC462" i="1"/>
  <c r="BC488" i="1"/>
  <c r="BC502" i="1"/>
  <c r="BF318" i="1"/>
  <c r="BC486" i="1"/>
  <c r="AR320" i="1"/>
  <c r="AO462" i="1"/>
  <c r="AO488" i="1"/>
  <c r="AO502" i="1"/>
  <c r="AR318" i="1"/>
  <c r="AO486" i="1"/>
  <c r="AC320" i="1"/>
  <c r="Z462" i="1"/>
  <c r="Z488" i="1"/>
  <c r="Z502" i="1"/>
  <c r="AC318" i="1"/>
  <c r="Z486" i="1"/>
  <c r="J264" i="4"/>
  <c r="J262" i="4"/>
  <c r="BS264" i="4"/>
  <c r="BP270" i="4"/>
  <c r="BP338" i="4"/>
  <c r="BP364" i="4"/>
  <c r="BP378" i="4"/>
  <c r="BS262" i="4"/>
  <c r="BP268" i="4"/>
  <c r="BP362" i="4"/>
  <c r="AB378" i="4"/>
  <c r="AB380" i="4"/>
  <c r="AB366" i="4"/>
  <c r="BV378" i="4"/>
  <c r="BR318" i="1"/>
  <c r="BO486" i="1"/>
  <c r="BO500" i="1"/>
  <c r="BR320" i="1"/>
  <c r="BO462" i="1"/>
  <c r="BO488" i="1"/>
  <c r="BU378" i="4"/>
  <c r="AU502" i="1"/>
  <c r="AI264" i="4"/>
  <c r="AF270" i="4"/>
  <c r="AF338" i="4"/>
  <c r="AF364" i="4"/>
  <c r="AF378" i="4"/>
  <c r="AI262" i="4"/>
  <c r="AF268" i="4"/>
  <c r="AF362" i="4"/>
  <c r="AO320" i="1"/>
  <c r="AL462" i="1"/>
  <c r="AL488" i="1"/>
  <c r="AL502" i="1"/>
  <c r="AO318" i="1"/>
  <c r="AL486" i="1"/>
  <c r="AY318" i="1"/>
  <c r="AV486" i="1"/>
  <c r="AY320" i="1"/>
  <c r="U262" i="4"/>
  <c r="R268" i="4"/>
  <c r="R362" i="4"/>
  <c r="U264" i="4"/>
  <c r="R270" i="4"/>
  <c r="R338" i="4"/>
  <c r="R364" i="4"/>
  <c r="R378" i="4"/>
  <c r="AW262" i="4"/>
  <c r="AT268" i="4"/>
  <c r="AT362" i="4"/>
  <c r="AW264" i="4"/>
  <c r="AT270" i="4"/>
  <c r="AT338" i="4"/>
  <c r="AT364" i="4"/>
  <c r="AT378" i="4"/>
  <c r="BO318" i="1"/>
  <c r="BL486" i="1"/>
  <c r="BO320" i="1"/>
  <c r="BL462" i="1"/>
  <c r="BL488" i="1"/>
  <c r="BL502" i="1"/>
  <c r="AZ262" i="4"/>
  <c r="AW268" i="4"/>
  <c r="AW362" i="4"/>
  <c r="AZ264" i="4"/>
  <c r="AW270" i="4"/>
  <c r="AW338" i="4"/>
  <c r="AW364" i="4"/>
  <c r="AW378" i="4"/>
  <c r="AK262" i="4"/>
  <c r="AH268" i="4"/>
  <c r="AH362" i="4"/>
  <c r="AK264" i="4"/>
  <c r="AH270" i="4"/>
  <c r="W264" i="4"/>
  <c r="T270" i="4"/>
  <c r="T338" i="4"/>
  <c r="T364" i="4"/>
  <c r="T378" i="4"/>
  <c r="W262" i="4"/>
  <c r="T268" i="4"/>
  <c r="T362" i="4"/>
  <c r="BZ318" i="1"/>
  <c r="BW486" i="1"/>
  <c r="BZ320" i="1"/>
  <c r="BL320" i="1"/>
  <c r="BL318" i="1"/>
  <c r="BI486" i="1"/>
  <c r="AW318" i="1"/>
  <c r="AT486" i="1"/>
  <c r="AW320" i="1"/>
  <c r="AT462" i="1"/>
  <c r="AT488" i="1"/>
  <c r="AT502" i="1"/>
  <c r="AD264" i="4"/>
  <c r="AA270" i="4"/>
  <c r="AA338" i="4"/>
  <c r="AA364" i="4"/>
  <c r="AA378" i="4"/>
  <c r="AD262" i="4"/>
  <c r="AA268" i="4"/>
  <c r="AA362" i="4"/>
  <c r="BB320" i="1"/>
  <c r="AY462" i="1"/>
  <c r="AY488" i="1"/>
  <c r="AY502" i="1"/>
  <c r="BB318" i="1"/>
  <c r="AY486" i="1"/>
  <c r="AN320" i="1"/>
  <c r="AK462" i="1"/>
  <c r="AK488" i="1"/>
  <c r="AK502" i="1"/>
  <c r="AN318" i="1"/>
  <c r="AK486" i="1"/>
  <c r="Y320" i="1"/>
  <c r="V462" i="1"/>
  <c r="V488" i="1"/>
  <c r="V502" i="1"/>
  <c r="Y318" i="1"/>
  <c r="V486" i="1"/>
  <c r="CC264" i="4"/>
  <c r="BZ270" i="4"/>
  <c r="BZ338" i="4"/>
  <c r="BZ364" i="4"/>
  <c r="BZ378" i="4"/>
  <c r="CC262" i="4"/>
  <c r="BZ268" i="4"/>
  <c r="BZ362" i="4"/>
  <c r="AI318" i="1"/>
  <c r="AF486" i="1"/>
  <c r="AI320" i="1"/>
  <c r="AF462" i="1"/>
  <c r="AF488" i="1"/>
  <c r="AF502" i="1"/>
  <c r="T262" i="4"/>
  <c r="Q268" i="4"/>
  <c r="Q362" i="4"/>
  <c r="T264" i="4"/>
  <c r="Q270" i="4"/>
  <c r="Q338" i="4"/>
  <c r="Q364" i="4"/>
  <c r="Q378" i="4"/>
  <c r="BY320" i="1"/>
  <c r="BY318" i="1"/>
  <c r="BV486" i="1"/>
  <c r="BF264" i="4"/>
  <c r="BC270" i="4"/>
  <c r="BF262" i="4"/>
  <c r="BC268" i="4"/>
  <c r="BC362" i="4"/>
  <c r="AT318" i="1"/>
  <c r="AQ486" i="1"/>
  <c r="AT320" i="1"/>
  <c r="AQ462" i="1"/>
  <c r="AQ488" i="1"/>
  <c r="AQ502" i="1"/>
  <c r="AF318" i="1"/>
  <c r="AC486" i="1"/>
  <c r="AF320" i="1"/>
  <c r="AC462" i="1"/>
  <c r="AC488" i="1"/>
  <c r="AC502" i="1"/>
  <c r="BU262" i="4"/>
  <c r="BR268" i="4"/>
  <c r="BR362" i="4"/>
  <c r="BU264" i="4"/>
  <c r="BR270" i="4"/>
  <c r="BR338" i="4"/>
  <c r="BR364" i="4"/>
  <c r="BR378" i="4"/>
  <c r="BD320" i="1"/>
  <c r="BA462" i="1"/>
  <c r="BA488" i="1"/>
  <c r="BA502" i="1"/>
  <c r="BD318" i="1"/>
  <c r="BA486" i="1"/>
  <c r="V264" i="4"/>
  <c r="S270" i="4"/>
  <c r="S338" i="4"/>
  <c r="S364" i="4"/>
  <c r="S378" i="4"/>
  <c r="V262" i="4"/>
  <c r="S268" i="4"/>
  <c r="S362" i="4"/>
  <c r="AJ262" i="4"/>
  <c r="AG268" i="4"/>
  <c r="AG362" i="4"/>
  <c r="AJ264" i="4"/>
  <c r="AG270" i="4"/>
  <c r="BV264" i="4"/>
  <c r="BS270" i="4"/>
  <c r="BV262" i="4"/>
  <c r="BS268" i="4"/>
  <c r="BS362" i="4"/>
  <c r="BJ318" i="1"/>
  <c r="BG486" i="1"/>
  <c r="BJ320" i="1"/>
  <c r="BG462" i="1"/>
  <c r="BG488" i="1"/>
  <c r="BG502" i="1"/>
  <c r="AV320" i="1"/>
  <c r="AS462" i="1"/>
  <c r="AS488" i="1"/>
  <c r="AS502" i="1"/>
  <c r="AV318" i="1"/>
  <c r="AS486" i="1"/>
  <c r="AG320" i="1"/>
  <c r="AD462" i="1"/>
  <c r="AD488" i="1"/>
  <c r="AD502" i="1"/>
  <c r="AG318" i="1"/>
  <c r="AD486" i="1"/>
  <c r="N264" i="4"/>
  <c r="K270" i="4"/>
  <c r="K338" i="4"/>
  <c r="K364" i="4"/>
  <c r="N262" i="4"/>
  <c r="K268" i="4"/>
  <c r="K362" i="4"/>
  <c r="CA318" i="1"/>
  <c r="BX486" i="1"/>
  <c r="CA320" i="1"/>
  <c r="BX462" i="1"/>
  <c r="BX488" i="1"/>
  <c r="BX502" i="1"/>
  <c r="BL262" i="4"/>
  <c r="BI268" i="4"/>
  <c r="BI362" i="4"/>
  <c r="BL264" i="4"/>
  <c r="BI270" i="4"/>
  <c r="BI338" i="4"/>
  <c r="BI364" i="4"/>
  <c r="BI378" i="4"/>
  <c r="AU264" i="4"/>
  <c r="AR270" i="4"/>
  <c r="AR338" i="4"/>
  <c r="AR364" i="4"/>
  <c r="AR378" i="4"/>
  <c r="AU262" i="4"/>
  <c r="AR268" i="4"/>
  <c r="AR362" i="4"/>
  <c r="AE320" i="1"/>
  <c r="AB462" i="1"/>
  <c r="AB488" i="1"/>
  <c r="AB502" i="1"/>
  <c r="AE318" i="1"/>
  <c r="AB486" i="1"/>
  <c r="P262" i="4"/>
  <c r="M268" i="4"/>
  <c r="M362" i="4"/>
  <c r="M376" i="4"/>
  <c r="P264" i="4"/>
  <c r="M270" i="4"/>
  <c r="BU318" i="1"/>
  <c r="BR486" i="1"/>
  <c r="BU320" i="1"/>
  <c r="BB264" i="4"/>
  <c r="AY270" i="4"/>
  <c r="AY338" i="4"/>
  <c r="AY364" i="4"/>
  <c r="AY378" i="4"/>
  <c r="BB262" i="4"/>
  <c r="AY268" i="4"/>
  <c r="AY362" i="4"/>
  <c r="Z320" i="1"/>
  <c r="W462" i="1"/>
  <c r="W488" i="1"/>
  <c r="W502" i="1"/>
  <c r="Z318" i="1"/>
  <c r="W486" i="1"/>
  <c r="BP262" i="4"/>
  <c r="BM268" i="4"/>
  <c r="BM362" i="4"/>
  <c r="BP264" i="4"/>
  <c r="BM270" i="4"/>
  <c r="BM338" i="4"/>
  <c r="BM364" i="4"/>
  <c r="BM378" i="4"/>
  <c r="BA264" i="4"/>
  <c r="AX270" i="4"/>
  <c r="AX338" i="4"/>
  <c r="AX364" i="4"/>
  <c r="AX378" i="4"/>
  <c r="BA262" i="4"/>
  <c r="AX268" i="4"/>
  <c r="AX362" i="4"/>
  <c r="AM264" i="4"/>
  <c r="AJ270" i="4"/>
  <c r="AJ338" i="4"/>
  <c r="AJ364" i="4"/>
  <c r="AJ378" i="4"/>
  <c r="AM262" i="4"/>
  <c r="AJ268" i="4"/>
  <c r="AJ362" i="4"/>
  <c r="W318" i="1"/>
  <c r="T486" i="1"/>
  <c r="W320" i="1"/>
  <c r="T462" i="1"/>
  <c r="T488" i="1"/>
  <c r="T502" i="1"/>
  <c r="CB320" i="1"/>
  <c r="BY462" i="1"/>
  <c r="BY488" i="1"/>
  <c r="BY502" i="1"/>
  <c r="CB318" i="1"/>
  <c r="BY486" i="1"/>
  <c r="BM320" i="1"/>
  <c r="BM318" i="1"/>
  <c r="BJ486" i="1"/>
  <c r="AT262" i="4"/>
  <c r="AQ268" i="4"/>
  <c r="AQ362" i="4"/>
  <c r="AT264" i="4"/>
  <c r="AQ270" i="4"/>
  <c r="AQ338" i="4"/>
  <c r="AQ364" i="4"/>
  <c r="AQ378" i="4"/>
  <c r="O376" i="4"/>
  <c r="AY264" i="4"/>
  <c r="AV270" i="4"/>
  <c r="AV338" i="4"/>
  <c r="AV364" i="4"/>
  <c r="AV378" i="4"/>
  <c r="AY262" i="4"/>
  <c r="AV268" i="4"/>
  <c r="AV362" i="4"/>
  <c r="BO264" i="4"/>
  <c r="BL270" i="4"/>
  <c r="BL338" i="4"/>
  <c r="BL364" i="4"/>
  <c r="BL378" i="4"/>
  <c r="BO262" i="4"/>
  <c r="BL268" i="4"/>
  <c r="BL362" i="4"/>
  <c r="AE376" i="4"/>
  <c r="BN462" i="1"/>
  <c r="BN488" i="1"/>
  <c r="BN502" i="1"/>
  <c r="BK338" i="4"/>
  <c r="BK364" i="4"/>
  <c r="BK378" i="4"/>
  <c r="BT320" i="1"/>
  <c r="BQ462" i="1"/>
  <c r="BQ488" i="1"/>
  <c r="BQ502" i="1"/>
  <c r="BT318" i="1"/>
  <c r="BQ486" i="1"/>
  <c r="BE318" i="1"/>
  <c r="BB486" i="1"/>
  <c r="BE320" i="1"/>
  <c r="AL262" i="4"/>
  <c r="AI268" i="4"/>
  <c r="AI362" i="4"/>
  <c r="AL264" i="4"/>
  <c r="AI270" i="4"/>
  <c r="AI338" i="4"/>
  <c r="AI364" i="4"/>
  <c r="AI378" i="4"/>
  <c r="BV320" i="1"/>
  <c r="BS462" i="1"/>
  <c r="BS488" i="1"/>
  <c r="BS502" i="1"/>
  <c r="BV318" i="1"/>
  <c r="BS486" i="1"/>
  <c r="BH318" i="1"/>
  <c r="BE486" i="1"/>
  <c r="BH320" i="1"/>
  <c r="BE462" i="1"/>
  <c r="BE488" i="1"/>
  <c r="BE502" i="1"/>
  <c r="AS318" i="1"/>
  <c r="AP486" i="1"/>
  <c r="AS320" i="1"/>
  <c r="AP462" i="1"/>
  <c r="AP488" i="1"/>
  <c r="AP502" i="1"/>
  <c r="Z262" i="4"/>
  <c r="W268" i="4"/>
  <c r="W362" i="4"/>
  <c r="Z264" i="4"/>
  <c r="W270" i="4"/>
  <c r="BS320" i="1"/>
  <c r="BP462" i="1"/>
  <c r="BP488" i="1"/>
  <c r="BP502" i="1"/>
  <c r="BS318" i="1"/>
  <c r="BP486" i="1"/>
  <c r="BD264" i="4"/>
  <c r="BA270" i="4"/>
  <c r="BA338" i="4"/>
  <c r="BA364" i="4"/>
  <c r="BA378" i="4"/>
  <c r="BD262" i="4"/>
  <c r="BA268" i="4"/>
  <c r="BA362" i="4"/>
  <c r="AO264" i="4"/>
  <c r="AL270" i="4"/>
  <c r="AL338" i="4"/>
  <c r="AL364" i="4"/>
  <c r="AL378" i="4"/>
  <c r="AO262" i="4"/>
  <c r="AL268" i="4"/>
  <c r="AL362" i="4"/>
  <c r="BC318" i="1"/>
  <c r="AZ486" i="1"/>
  <c r="BC320" i="1"/>
  <c r="AZ462" i="1"/>
  <c r="AZ488" i="1"/>
  <c r="AZ502" i="1"/>
  <c r="AN264" i="4"/>
  <c r="AK270" i="4"/>
  <c r="AK338" i="4"/>
  <c r="AK364" i="4"/>
  <c r="AK378" i="4"/>
  <c r="AN262" i="4"/>
  <c r="AK268" i="4"/>
  <c r="AK362" i="4"/>
  <c r="Y264" i="4"/>
  <c r="V270" i="4"/>
  <c r="V338" i="4"/>
  <c r="V364" i="4"/>
  <c r="V378" i="4"/>
  <c r="Y262" i="4"/>
  <c r="V268" i="4"/>
  <c r="V362" i="4"/>
  <c r="BZ264" i="4"/>
  <c r="BW270" i="4"/>
  <c r="BW338" i="4"/>
  <c r="BW364" i="4"/>
  <c r="BW378" i="4"/>
  <c r="BZ262" i="4"/>
  <c r="BW268" i="4"/>
  <c r="BW362" i="4"/>
  <c r="AU376" i="4"/>
  <c r="AL318" i="1"/>
  <c r="AI486" i="1"/>
  <c r="AL320" i="1"/>
  <c r="AI462" i="1"/>
  <c r="AI488" i="1"/>
  <c r="AI502" i="1"/>
  <c r="X320" i="1"/>
  <c r="U462" i="1"/>
  <c r="U488" i="1"/>
  <c r="U502" i="1"/>
  <c r="X318" i="1"/>
  <c r="U486" i="1"/>
  <c r="CB262" i="4"/>
  <c r="BY268" i="4"/>
  <c r="BY362" i="4"/>
  <c r="CB264" i="4"/>
  <c r="BY270" i="4"/>
  <c r="BY338" i="4"/>
  <c r="BY364" i="4"/>
  <c r="BY378" i="4"/>
  <c r="BM262" i="4"/>
  <c r="BJ268" i="4"/>
  <c r="BJ362" i="4"/>
  <c r="BM264" i="4"/>
  <c r="BJ270" i="4"/>
  <c r="BJ338" i="4"/>
  <c r="BJ364" i="4"/>
  <c r="BJ378" i="4"/>
  <c r="BX318" i="1"/>
  <c r="BU486" i="1"/>
  <c r="BX320" i="1"/>
  <c r="BU462" i="1"/>
  <c r="BU488" i="1"/>
  <c r="BU502" i="1"/>
  <c r="BI320" i="1"/>
  <c r="BI318" i="1"/>
  <c r="BF486" i="1"/>
  <c r="AP262" i="4"/>
  <c r="AM268" i="4"/>
  <c r="AM362" i="4"/>
  <c r="AP264" i="4"/>
  <c r="AM270" i="4"/>
  <c r="AD318" i="1"/>
  <c r="AA486" i="1"/>
  <c r="AD320" i="1"/>
  <c r="BT264" i="4"/>
  <c r="BQ270" i="4"/>
  <c r="BQ338" i="4"/>
  <c r="BQ364" i="4"/>
  <c r="BQ378" i="4"/>
  <c r="BT262" i="4"/>
  <c r="BQ268" i="4"/>
  <c r="BQ362" i="4"/>
  <c r="BE262" i="4"/>
  <c r="BB268" i="4"/>
  <c r="BB362" i="4"/>
  <c r="BE264" i="4"/>
  <c r="BB270" i="4"/>
  <c r="BB338" i="4"/>
  <c r="BB364" i="4"/>
  <c r="BB378" i="4"/>
  <c r="Z338" i="4"/>
  <c r="Z364" i="4"/>
  <c r="AU338" i="4"/>
  <c r="AU364" i="4"/>
  <c r="J376" i="4"/>
  <c r="J553" i="1"/>
  <c r="L553" i="1"/>
  <c r="L291" i="4"/>
  <c r="M163" i="4"/>
  <c r="CB217" i="4"/>
  <c r="BX217" i="4"/>
  <c r="BT217" i="4"/>
  <c r="BP217" i="4"/>
  <c r="BL217" i="4"/>
  <c r="BH217" i="4"/>
  <c r="BD217" i="4"/>
  <c r="AZ217" i="4"/>
  <c r="AV217" i="4"/>
  <c r="AR217" i="4"/>
  <c r="AN217" i="4"/>
  <c r="AJ217" i="4"/>
  <c r="AF217" i="4"/>
  <c r="AB217" i="4"/>
  <c r="X217" i="4"/>
  <c r="T217" i="4"/>
  <c r="P217" i="4"/>
  <c r="L217" i="4"/>
  <c r="CA217" i="4"/>
  <c r="BW217" i="4"/>
  <c r="BS217" i="4"/>
  <c r="BO217" i="4"/>
  <c r="BK217" i="4"/>
  <c r="BG217" i="4"/>
  <c r="BC217" i="4"/>
  <c r="AY217" i="4"/>
  <c r="AU217" i="4"/>
  <c r="AQ217" i="4"/>
  <c r="AM217" i="4"/>
  <c r="AI217" i="4"/>
  <c r="AE217" i="4"/>
  <c r="AA217" i="4"/>
  <c r="W217" i="4"/>
  <c r="S217" i="4"/>
  <c r="O217" i="4"/>
  <c r="K217" i="4"/>
  <c r="CC217" i="4"/>
  <c r="BY217" i="4"/>
  <c r="BU217" i="4"/>
  <c r="BQ217" i="4"/>
  <c r="BM217" i="4"/>
  <c r="BI217" i="4"/>
  <c r="BE217" i="4"/>
  <c r="BA217" i="4"/>
  <c r="AW217" i="4"/>
  <c r="AS217" i="4"/>
  <c r="AO217" i="4"/>
  <c r="AK217" i="4"/>
  <c r="AG217" i="4"/>
  <c r="AC217" i="4"/>
  <c r="Y217" i="4"/>
  <c r="U217" i="4"/>
  <c r="Q217" i="4"/>
  <c r="M217" i="4"/>
  <c r="BN217" i="4"/>
  <c r="AX217" i="4"/>
  <c r="AH217" i="4"/>
  <c r="R217" i="4"/>
  <c r="BZ217" i="4"/>
  <c r="BJ217" i="4"/>
  <c r="AT217" i="4"/>
  <c r="AD217" i="4"/>
  <c r="N217" i="4"/>
  <c r="BV217" i="4"/>
  <c r="BF217" i="4"/>
  <c r="AP217" i="4"/>
  <c r="Z217" i="4"/>
  <c r="J217" i="4"/>
  <c r="J219" i="4"/>
  <c r="K219" i="4"/>
  <c r="BR217" i="4"/>
  <c r="BB217" i="4"/>
  <c r="AL217" i="4"/>
  <c r="V217" i="4"/>
  <c r="M553" i="1"/>
  <c r="N361" i="1"/>
  <c r="M371" i="1"/>
  <c r="M354" i="4"/>
  <c r="H352" i="4"/>
  <c r="H354" i="4"/>
  <c r="CC212" i="1"/>
  <c r="BY212" i="1"/>
  <c r="BU212" i="1"/>
  <c r="BQ212" i="1"/>
  <c r="BM212" i="1"/>
  <c r="BI212" i="1"/>
  <c r="BE212" i="1"/>
  <c r="BA212" i="1"/>
  <c r="AW212" i="1"/>
  <c r="AS212" i="1"/>
  <c r="AO212" i="1"/>
  <c r="AK212" i="1"/>
  <c r="AC212" i="1"/>
  <c r="Y212" i="1"/>
  <c r="U212" i="1"/>
  <c r="Q212" i="1"/>
  <c r="M212" i="1"/>
  <c r="CA212" i="1"/>
  <c r="BO212" i="1"/>
  <c r="BC212" i="1"/>
  <c r="AQ212" i="1"/>
  <c r="AE212" i="1"/>
  <c r="O212" i="1"/>
  <c r="CB212" i="1"/>
  <c r="BX212" i="1"/>
  <c r="BT212" i="1"/>
  <c r="BP212" i="1"/>
  <c r="BL212" i="1"/>
  <c r="BH212" i="1"/>
  <c r="BD212" i="1"/>
  <c r="AZ212" i="1"/>
  <c r="AV212" i="1"/>
  <c r="AR212" i="1"/>
  <c r="AN212" i="1"/>
  <c r="AJ212" i="1"/>
  <c r="AF212" i="1"/>
  <c r="AB212" i="1"/>
  <c r="X212" i="1"/>
  <c r="T212" i="1"/>
  <c r="P212" i="1"/>
  <c r="L212" i="1"/>
  <c r="BS212" i="1"/>
  <c r="BK212" i="1"/>
  <c r="AY212" i="1"/>
  <c r="AM212" i="1"/>
  <c r="AA212" i="1"/>
  <c r="S212" i="1"/>
  <c r="K212" i="1"/>
  <c r="BZ212" i="1"/>
  <c r="BV212" i="1"/>
  <c r="BR212" i="1"/>
  <c r="BN212" i="1"/>
  <c r="BJ212" i="1"/>
  <c r="BF212" i="1"/>
  <c r="BB212" i="1"/>
  <c r="AX212" i="1"/>
  <c r="AT212" i="1"/>
  <c r="AP212" i="1"/>
  <c r="AL212" i="1"/>
  <c r="AH212" i="1"/>
  <c r="AD212" i="1"/>
  <c r="Z212" i="1"/>
  <c r="V212" i="1"/>
  <c r="R212" i="1"/>
  <c r="N212" i="1"/>
  <c r="BW212" i="1"/>
  <c r="BG212" i="1"/>
  <c r="AU212" i="1"/>
  <c r="AI212" i="1"/>
  <c r="W212" i="1"/>
  <c r="N369" i="1"/>
  <c r="M283" i="4"/>
  <c r="L293" i="4"/>
  <c r="N553" i="1"/>
  <c r="D212" i="1"/>
  <c r="Y366" i="4"/>
  <c r="AW490" i="1"/>
  <c r="AN490" i="1"/>
  <c r="P320" i="1"/>
  <c r="M462" i="1"/>
  <c r="M488" i="1"/>
  <c r="M502" i="1"/>
  <c r="J340" i="4"/>
  <c r="K340" i="4"/>
  <c r="L340" i="4"/>
  <c r="N318" i="1"/>
  <c r="K486" i="1"/>
  <c r="K500" i="1"/>
  <c r="BD504" i="1"/>
  <c r="S318" i="1"/>
  <c r="P486" i="1"/>
  <c r="P490" i="1"/>
  <c r="O318" i="1"/>
  <c r="L486" i="1"/>
  <c r="Q318" i="1"/>
  <c r="N486" i="1"/>
  <c r="N500" i="1"/>
  <c r="N504" i="1"/>
  <c r="Q504" i="1"/>
  <c r="L269" i="1"/>
  <c r="M269" i="1"/>
  <c r="N269" i="1"/>
  <c r="O269" i="1"/>
  <c r="T318" i="1"/>
  <c r="L320" i="1"/>
  <c r="V320" i="1"/>
  <c r="S462" i="1"/>
  <c r="S488" i="1"/>
  <c r="S502" i="1"/>
  <c r="M318" i="1"/>
  <c r="J486" i="1"/>
  <c r="J500" i="1"/>
  <c r="R504" i="1"/>
  <c r="J320" i="1"/>
  <c r="U318" i="1"/>
  <c r="K318" i="1"/>
  <c r="BK490" i="1"/>
  <c r="AX490" i="1"/>
  <c r="BF366" i="4"/>
  <c r="P269" i="1"/>
  <c r="Q269" i="1"/>
  <c r="R269" i="1"/>
  <c r="S269" i="1"/>
  <c r="T269" i="1"/>
  <c r="U269" i="1"/>
  <c r="V269" i="1"/>
  <c r="W269" i="1"/>
  <c r="X269" i="1"/>
  <c r="Y269" i="1"/>
  <c r="Z269" i="1"/>
  <c r="AA269" i="1"/>
  <c r="AB269" i="1"/>
  <c r="AC269" i="1"/>
  <c r="AD269" i="1"/>
  <c r="AE269" i="1"/>
  <c r="AF269" i="1"/>
  <c r="AG269" i="1"/>
  <c r="AH269" i="1"/>
  <c r="AI269" i="1"/>
  <c r="AJ269" i="1"/>
  <c r="AK269" i="1"/>
  <c r="AL269" i="1"/>
  <c r="AM269" i="1"/>
  <c r="AN269" i="1"/>
  <c r="AO269" i="1"/>
  <c r="AP269" i="1"/>
  <c r="AQ269" i="1"/>
  <c r="AR269" i="1"/>
  <c r="AS269" i="1"/>
  <c r="AT269" i="1"/>
  <c r="AU269" i="1"/>
  <c r="AV269" i="1"/>
  <c r="AW269" i="1"/>
  <c r="AX269" i="1"/>
  <c r="AY269" i="1"/>
  <c r="AZ269" i="1"/>
  <c r="BA269" i="1"/>
  <c r="BB269" i="1"/>
  <c r="BC269" i="1"/>
  <c r="BD269" i="1"/>
  <c r="BE269" i="1"/>
  <c r="BF269" i="1"/>
  <c r="BG269" i="1"/>
  <c r="BH269" i="1"/>
  <c r="BI269" i="1"/>
  <c r="BJ269" i="1"/>
  <c r="BK269" i="1"/>
  <c r="BL269" i="1"/>
  <c r="BM269" i="1"/>
  <c r="BN269" i="1"/>
  <c r="BO269" i="1"/>
  <c r="BP269" i="1"/>
  <c r="BQ269" i="1"/>
  <c r="BR269" i="1"/>
  <c r="BS269" i="1"/>
  <c r="BT269" i="1"/>
  <c r="BU269" i="1"/>
  <c r="BV269" i="1"/>
  <c r="BW269" i="1"/>
  <c r="BX269" i="1"/>
  <c r="BY269" i="1"/>
  <c r="BZ269" i="1"/>
  <c r="CA269" i="1"/>
  <c r="CB269" i="1"/>
  <c r="CC269" i="1"/>
  <c r="X504" i="1"/>
  <c r="AP378" i="4"/>
  <c r="AP380" i="4"/>
  <c r="J480" i="1"/>
  <c r="J482" i="1"/>
  <c r="H462" i="1"/>
  <c r="X490" i="1"/>
  <c r="BD490" i="1"/>
  <c r="O490" i="1"/>
  <c r="BM490" i="1"/>
  <c r="BV380" i="4"/>
  <c r="P380" i="4"/>
  <c r="BV366" i="4"/>
  <c r="P366" i="4"/>
  <c r="AG490" i="1"/>
  <c r="J378" i="4"/>
  <c r="J380" i="4"/>
  <c r="AU504" i="1"/>
  <c r="BU380" i="4"/>
  <c r="AE490" i="1"/>
  <c r="BU366" i="4"/>
  <c r="AH504" i="1"/>
  <c r="R490" i="1"/>
  <c r="BD366" i="4"/>
  <c r="BT500" i="1"/>
  <c r="BT504" i="1"/>
  <c r="AE504" i="1"/>
  <c r="L366" i="4"/>
  <c r="AU490" i="1"/>
  <c r="Q490" i="1"/>
  <c r="AH490" i="1"/>
  <c r="K251" i="1"/>
  <c r="L251" i="1"/>
  <c r="M251" i="1"/>
  <c r="N251" i="1"/>
  <c r="O251" i="1"/>
  <c r="P251" i="1"/>
  <c r="Q251" i="1"/>
  <c r="R251" i="1"/>
  <c r="S251" i="1"/>
  <c r="T251" i="1"/>
  <c r="U251" i="1"/>
  <c r="V251" i="1"/>
  <c r="W251" i="1"/>
  <c r="X251" i="1"/>
  <c r="Y251" i="1"/>
  <c r="Z251" i="1"/>
  <c r="AA251" i="1"/>
  <c r="AB251" i="1"/>
  <c r="AC251" i="1"/>
  <c r="AD251" i="1"/>
  <c r="AE251" i="1"/>
  <c r="AF251" i="1"/>
  <c r="AG251" i="1"/>
  <c r="AH251" i="1"/>
  <c r="AI251" i="1"/>
  <c r="AJ251" i="1"/>
  <c r="AK251" i="1"/>
  <c r="AL251" i="1"/>
  <c r="AM251" i="1"/>
  <c r="AN251" i="1"/>
  <c r="AO251" i="1"/>
  <c r="AP251" i="1"/>
  <c r="AQ251" i="1"/>
  <c r="AR251" i="1"/>
  <c r="AS251" i="1"/>
  <c r="AT251" i="1"/>
  <c r="AU251" i="1"/>
  <c r="AV251" i="1"/>
  <c r="AW251" i="1"/>
  <c r="AX251" i="1"/>
  <c r="AY251" i="1"/>
  <c r="AZ251" i="1"/>
  <c r="BA251" i="1"/>
  <c r="BB251" i="1"/>
  <c r="BC251" i="1"/>
  <c r="BD251" i="1"/>
  <c r="BE251" i="1"/>
  <c r="BF251" i="1"/>
  <c r="BG251" i="1"/>
  <c r="BH251" i="1"/>
  <c r="BI251" i="1"/>
  <c r="BJ251" i="1"/>
  <c r="BK251" i="1"/>
  <c r="BL251" i="1"/>
  <c r="BM251" i="1"/>
  <c r="BN251" i="1"/>
  <c r="BO251" i="1"/>
  <c r="BP251" i="1"/>
  <c r="BQ251" i="1"/>
  <c r="BR251" i="1"/>
  <c r="BS251" i="1"/>
  <c r="BT251" i="1"/>
  <c r="BU251" i="1"/>
  <c r="BV251" i="1"/>
  <c r="BW251" i="1"/>
  <c r="BX251" i="1"/>
  <c r="BY251" i="1"/>
  <c r="BZ251" i="1"/>
  <c r="CA251" i="1"/>
  <c r="CB251" i="1"/>
  <c r="CC251" i="1"/>
  <c r="H267" i="1"/>
  <c r="BA480" i="1"/>
  <c r="Z480" i="1"/>
  <c r="AF480" i="1"/>
  <c r="S480" i="1"/>
  <c r="AS480" i="1"/>
  <c r="BL480" i="1"/>
  <c r="BF480" i="1"/>
  <c r="AY480" i="1"/>
  <c r="BM480" i="1"/>
  <c r="BE480" i="1"/>
  <c r="P480" i="1"/>
  <c r="AV480" i="1"/>
  <c r="CB480" i="1"/>
  <c r="AP480" i="1"/>
  <c r="BV480" i="1"/>
  <c r="AI480" i="1"/>
  <c r="BO480" i="1"/>
  <c r="AG480" i="1"/>
  <c r="U480" i="1"/>
  <c r="Y480" i="1"/>
  <c r="M480" i="1"/>
  <c r="BY480" i="1"/>
  <c r="X480" i="1"/>
  <c r="AN480" i="1"/>
  <c r="BD480" i="1"/>
  <c r="BT480" i="1"/>
  <c r="R480" i="1"/>
  <c r="AH480" i="1"/>
  <c r="AX480" i="1"/>
  <c r="BN480" i="1"/>
  <c r="K480" i="1"/>
  <c r="AA480" i="1"/>
  <c r="AQ480" i="1"/>
  <c r="BG480" i="1"/>
  <c r="BW480" i="1"/>
  <c r="Q480" i="1"/>
  <c r="AW480" i="1"/>
  <c r="CC480" i="1"/>
  <c r="AK480" i="1"/>
  <c r="BQ480" i="1"/>
  <c r="AO480" i="1"/>
  <c r="BU480" i="1"/>
  <c r="AC480" i="1"/>
  <c r="BI480" i="1"/>
  <c r="L480" i="1"/>
  <c r="T480" i="1"/>
  <c r="AB480" i="1"/>
  <c r="AJ480" i="1"/>
  <c r="AR480" i="1"/>
  <c r="AZ480" i="1"/>
  <c r="BH480" i="1"/>
  <c r="BP480" i="1"/>
  <c r="BX480" i="1"/>
  <c r="N480" i="1"/>
  <c r="V480" i="1"/>
  <c r="AD480" i="1"/>
  <c r="AL480" i="1"/>
  <c r="AT480" i="1"/>
  <c r="BB480" i="1"/>
  <c r="BJ480" i="1"/>
  <c r="BR480" i="1"/>
  <c r="BZ480" i="1"/>
  <c r="O480" i="1"/>
  <c r="W480" i="1"/>
  <c r="AE480" i="1"/>
  <c r="AM480" i="1"/>
  <c r="AU480" i="1"/>
  <c r="BC480" i="1"/>
  <c r="BK480" i="1"/>
  <c r="BS480" i="1"/>
  <c r="CA480" i="1"/>
  <c r="K488" i="1"/>
  <c r="L488" i="1"/>
  <c r="D249" i="1"/>
  <c r="H362" i="4"/>
  <c r="O378" i="4"/>
  <c r="O380" i="4"/>
  <c r="O366" i="4"/>
  <c r="Z378" i="4"/>
  <c r="Z380" i="4"/>
  <c r="Z366" i="4"/>
  <c r="AU378" i="4"/>
  <c r="AU380" i="4"/>
  <c r="AU366" i="4"/>
  <c r="AE378" i="4"/>
  <c r="AE380" i="4"/>
  <c r="AE366" i="4"/>
  <c r="M500" i="1"/>
  <c r="AM338" i="4"/>
  <c r="AM364" i="4"/>
  <c r="U500" i="1"/>
  <c r="U504" i="1"/>
  <c r="U490" i="1"/>
  <c r="AZ500" i="1"/>
  <c r="AZ504" i="1"/>
  <c r="AZ490" i="1"/>
  <c r="AP500" i="1"/>
  <c r="AP504" i="1"/>
  <c r="AP490" i="1"/>
  <c r="BB500" i="1"/>
  <c r="BJ462" i="1"/>
  <c r="BJ488" i="1"/>
  <c r="BJ502" i="1"/>
  <c r="T500" i="1"/>
  <c r="T504" i="1"/>
  <c r="T490" i="1"/>
  <c r="BI376" i="4"/>
  <c r="BI380" i="4"/>
  <c r="BI366" i="4"/>
  <c r="K378" i="4"/>
  <c r="BS338" i="4"/>
  <c r="BS364" i="4"/>
  <c r="BR376" i="4"/>
  <c r="BR380" i="4"/>
  <c r="BR366" i="4"/>
  <c r="AC490" i="1"/>
  <c r="AC500" i="1"/>
  <c r="AC504" i="1"/>
  <c r="BC338" i="4"/>
  <c r="BC364" i="4"/>
  <c r="Q376" i="4"/>
  <c r="Q380" i="4"/>
  <c r="Q366" i="4"/>
  <c r="BI462" i="1"/>
  <c r="BI488" i="1"/>
  <c r="AW376" i="4"/>
  <c r="AW380" i="4"/>
  <c r="AW366" i="4"/>
  <c r="R376" i="4"/>
  <c r="R380" i="4"/>
  <c r="R366" i="4"/>
  <c r="BP376" i="4"/>
  <c r="BP380" i="4"/>
  <c r="BP366" i="4"/>
  <c r="Z500" i="1"/>
  <c r="Z504" i="1"/>
  <c r="Z490" i="1"/>
  <c r="BC500" i="1"/>
  <c r="BC504" i="1"/>
  <c r="BC490" i="1"/>
  <c r="BH500" i="1"/>
  <c r="BH504" i="1"/>
  <c r="BH490" i="1"/>
  <c r="BZ500" i="1"/>
  <c r="AJ500" i="1"/>
  <c r="AJ504" i="1"/>
  <c r="AJ490" i="1"/>
  <c r="BO376" i="4"/>
  <c r="BO380" i="4"/>
  <c r="BO366" i="4"/>
  <c r="BH376" i="4"/>
  <c r="BH380" i="4"/>
  <c r="BH366" i="4"/>
  <c r="BB376" i="4"/>
  <c r="BB380" i="4"/>
  <c r="BB366" i="4"/>
  <c r="AM376" i="4"/>
  <c r="BU490" i="1"/>
  <c r="BU500" i="1"/>
  <c r="BU504" i="1"/>
  <c r="BJ376" i="4"/>
  <c r="BJ380" i="4"/>
  <c r="BJ366" i="4"/>
  <c r="BW376" i="4"/>
  <c r="BW380" i="4"/>
  <c r="BW366" i="4"/>
  <c r="AK376" i="4"/>
  <c r="AK380" i="4"/>
  <c r="AK366" i="4"/>
  <c r="AL376" i="4"/>
  <c r="AL380" i="4"/>
  <c r="AL366" i="4"/>
  <c r="BP500" i="1"/>
  <c r="BP504" i="1"/>
  <c r="BP490" i="1"/>
  <c r="W338" i="4"/>
  <c r="W364" i="4"/>
  <c r="BQ490" i="1"/>
  <c r="BQ500" i="1"/>
  <c r="BQ504" i="1"/>
  <c r="AV376" i="4"/>
  <c r="AV380" i="4"/>
  <c r="AV366" i="4"/>
  <c r="BY490" i="1"/>
  <c r="BY500" i="1"/>
  <c r="BY504" i="1"/>
  <c r="AJ376" i="4"/>
  <c r="AJ380" i="4"/>
  <c r="AJ366" i="4"/>
  <c r="W500" i="1"/>
  <c r="W504" i="1"/>
  <c r="W490" i="1"/>
  <c r="BR462" i="1"/>
  <c r="BR488" i="1"/>
  <c r="AB500" i="1"/>
  <c r="AB504" i="1"/>
  <c r="AB490" i="1"/>
  <c r="BK380" i="4"/>
  <c r="BN490" i="1"/>
  <c r="AD500" i="1"/>
  <c r="AD504" i="1"/>
  <c r="AD490" i="1"/>
  <c r="AG338" i="4"/>
  <c r="AG364" i="4"/>
  <c r="BA490" i="1"/>
  <c r="BA500" i="1"/>
  <c r="BA504" i="1"/>
  <c r="BV500" i="1"/>
  <c r="V500" i="1"/>
  <c r="V504" i="1"/>
  <c r="V490" i="1"/>
  <c r="AY500" i="1"/>
  <c r="AY504" i="1"/>
  <c r="AY490" i="1"/>
  <c r="BW462" i="1"/>
  <c r="BW488" i="1"/>
  <c r="AH338" i="4"/>
  <c r="AH364" i="4"/>
  <c r="AV462" i="1"/>
  <c r="AV488" i="1"/>
  <c r="AF376" i="4"/>
  <c r="AF380" i="4"/>
  <c r="AF366" i="4"/>
  <c r="AD376" i="4"/>
  <c r="AD380" i="4"/>
  <c r="AD366" i="4"/>
  <c r="BZ462" i="1"/>
  <c r="BZ488" i="1"/>
  <c r="BZ502" i="1"/>
  <c r="BN376" i="4"/>
  <c r="BN380" i="4"/>
  <c r="BN366" i="4"/>
  <c r="Y500" i="1"/>
  <c r="Y504" i="1"/>
  <c r="Y490" i="1"/>
  <c r="AC376" i="4"/>
  <c r="AC380" i="4"/>
  <c r="AC366" i="4"/>
  <c r="BQ376" i="4"/>
  <c r="BQ380" i="4"/>
  <c r="BQ366" i="4"/>
  <c r="AA462" i="1"/>
  <c r="AA488" i="1"/>
  <c r="BF500" i="1"/>
  <c r="W376" i="4"/>
  <c r="BE500" i="1"/>
  <c r="BE504" i="1"/>
  <c r="BE490" i="1"/>
  <c r="AI376" i="4"/>
  <c r="AI380" i="4"/>
  <c r="AI366" i="4"/>
  <c r="AQ376" i="4"/>
  <c r="AQ380" i="4"/>
  <c r="AQ366" i="4"/>
  <c r="BM376" i="4"/>
  <c r="BM380" i="4"/>
  <c r="BM366" i="4"/>
  <c r="BR500" i="1"/>
  <c r="BX500" i="1"/>
  <c r="BX504" i="1"/>
  <c r="BX490" i="1"/>
  <c r="BK366" i="4"/>
  <c r="BN504" i="1"/>
  <c r="BG500" i="1"/>
  <c r="BG504" i="1"/>
  <c r="BG490" i="1"/>
  <c r="AG376" i="4"/>
  <c r="AQ500" i="1"/>
  <c r="AQ504" i="1"/>
  <c r="AQ490" i="1"/>
  <c r="BV462" i="1"/>
  <c r="BV488" i="1"/>
  <c r="BV502" i="1"/>
  <c r="AF500" i="1"/>
  <c r="AF504" i="1"/>
  <c r="AF490" i="1"/>
  <c r="AT500" i="1"/>
  <c r="AT504" i="1"/>
  <c r="AT490" i="1"/>
  <c r="BW500" i="1"/>
  <c r="AH376" i="4"/>
  <c r="BL500" i="1"/>
  <c r="BL504" i="1"/>
  <c r="BL490" i="1"/>
  <c r="AT376" i="4"/>
  <c r="AT380" i="4"/>
  <c r="AT366" i="4"/>
  <c r="AV500" i="1"/>
  <c r="AO490" i="1"/>
  <c r="AO500" i="1"/>
  <c r="AO504" i="1"/>
  <c r="BX376" i="4"/>
  <c r="BX380" i="4"/>
  <c r="BX366" i="4"/>
  <c r="BG376" i="4"/>
  <c r="BG380" i="4"/>
  <c r="BG366" i="4"/>
  <c r="U376" i="4"/>
  <c r="U380" i="4"/>
  <c r="U366" i="4"/>
  <c r="AZ376" i="4"/>
  <c r="AZ380" i="4"/>
  <c r="AZ366" i="4"/>
  <c r="AM500" i="1"/>
  <c r="N376" i="4"/>
  <c r="N380" i="4"/>
  <c r="N366" i="4"/>
  <c r="AA500" i="1"/>
  <c r="BF462" i="1"/>
  <c r="BF488" i="1"/>
  <c r="BY376" i="4"/>
  <c r="BY380" i="4"/>
  <c r="BY366" i="4"/>
  <c r="AI500" i="1"/>
  <c r="AI504" i="1"/>
  <c r="AI490" i="1"/>
  <c r="V376" i="4"/>
  <c r="V380" i="4"/>
  <c r="V366" i="4"/>
  <c r="BA376" i="4"/>
  <c r="BA380" i="4"/>
  <c r="BA366" i="4"/>
  <c r="BS500" i="1"/>
  <c r="BS504" i="1"/>
  <c r="BS490" i="1"/>
  <c r="BB462" i="1"/>
  <c r="BB488" i="1"/>
  <c r="BL376" i="4"/>
  <c r="BL380" i="4"/>
  <c r="BL366" i="4"/>
  <c r="BJ500" i="1"/>
  <c r="AX376" i="4"/>
  <c r="AX380" i="4"/>
  <c r="AX366" i="4"/>
  <c r="AY376" i="4"/>
  <c r="AY380" i="4"/>
  <c r="AY366" i="4"/>
  <c r="M338" i="4"/>
  <c r="AR376" i="4"/>
  <c r="AR380" i="4"/>
  <c r="AR366" i="4"/>
  <c r="S500" i="1"/>
  <c r="K376" i="4"/>
  <c r="K366" i="4"/>
  <c r="AS500" i="1"/>
  <c r="AS504" i="1"/>
  <c r="AS490" i="1"/>
  <c r="BS376" i="4"/>
  <c r="S376" i="4"/>
  <c r="S380" i="4"/>
  <c r="S366" i="4"/>
  <c r="BC376" i="4"/>
  <c r="BZ376" i="4"/>
  <c r="BZ380" i="4"/>
  <c r="BZ366" i="4"/>
  <c r="AK490" i="1"/>
  <c r="AK500" i="1"/>
  <c r="AK504" i="1"/>
  <c r="AA376" i="4"/>
  <c r="AA380" i="4"/>
  <c r="AA366" i="4"/>
  <c r="BI500" i="1"/>
  <c r="T376" i="4"/>
  <c r="T380" i="4"/>
  <c r="T366" i="4"/>
  <c r="AL500" i="1"/>
  <c r="AL504" i="1"/>
  <c r="AL490" i="1"/>
  <c r="BO490" i="1"/>
  <c r="BO502" i="1"/>
  <c r="BO504" i="1"/>
  <c r="AS376" i="4"/>
  <c r="AS380" i="4"/>
  <c r="AS366" i="4"/>
  <c r="AM462" i="1"/>
  <c r="AM488" i="1"/>
  <c r="AM502" i="1"/>
  <c r="AR500" i="1"/>
  <c r="AR504" i="1"/>
  <c r="AR490" i="1"/>
  <c r="L219" i="4"/>
  <c r="M219" i="4"/>
  <c r="N219" i="4"/>
  <c r="O219" i="4"/>
  <c r="P219" i="4"/>
  <c r="Q219" i="4"/>
  <c r="R219" i="4"/>
  <c r="S219" i="4"/>
  <c r="T219" i="4"/>
  <c r="U219" i="4"/>
  <c r="V219" i="4"/>
  <c r="W219" i="4"/>
  <c r="X219" i="4"/>
  <c r="Y219" i="4"/>
  <c r="Z219" i="4"/>
  <c r="AA219" i="4"/>
  <c r="AB219" i="4"/>
  <c r="AC219" i="4"/>
  <c r="AD219" i="4"/>
  <c r="AE219" i="4"/>
  <c r="AF219" i="4"/>
  <c r="AG219" i="4"/>
  <c r="AH219" i="4"/>
  <c r="AI219" i="4"/>
  <c r="AJ219" i="4"/>
  <c r="AK219" i="4"/>
  <c r="AL219" i="4"/>
  <c r="AM219" i="4"/>
  <c r="AN219" i="4"/>
  <c r="AO219" i="4"/>
  <c r="AP219" i="4"/>
  <c r="AQ219" i="4"/>
  <c r="AR219" i="4"/>
  <c r="AS219" i="4"/>
  <c r="AT219" i="4"/>
  <c r="AU219" i="4"/>
  <c r="AV219" i="4"/>
  <c r="AW219" i="4"/>
  <c r="AX219" i="4"/>
  <c r="AY219" i="4"/>
  <c r="AZ219" i="4"/>
  <c r="BA219" i="4"/>
  <c r="BB219" i="4"/>
  <c r="BC219" i="4"/>
  <c r="BD219" i="4"/>
  <c r="BE219" i="4"/>
  <c r="BF219" i="4"/>
  <c r="BG219" i="4"/>
  <c r="BH219" i="4"/>
  <c r="BI219" i="4"/>
  <c r="BJ219" i="4"/>
  <c r="BK219" i="4"/>
  <c r="BL219" i="4"/>
  <c r="BM219" i="4"/>
  <c r="BN219" i="4"/>
  <c r="BO219" i="4"/>
  <c r="BP219" i="4"/>
  <c r="BQ219" i="4"/>
  <c r="BR219" i="4"/>
  <c r="BS219" i="4"/>
  <c r="BT219" i="4"/>
  <c r="BU219" i="4"/>
  <c r="BV219" i="4"/>
  <c r="BW219" i="4"/>
  <c r="BX219" i="4"/>
  <c r="BY219" i="4"/>
  <c r="BZ219" i="4"/>
  <c r="CA219" i="4"/>
  <c r="CB219" i="4"/>
  <c r="CC219" i="4"/>
  <c r="O369" i="1"/>
  <c r="M291" i="4"/>
  <c r="N163" i="4"/>
  <c r="BZ356" i="4"/>
  <c r="BV356" i="4"/>
  <c r="BR356" i="4"/>
  <c r="BN356" i="4"/>
  <c r="BJ356" i="4"/>
  <c r="BF356" i="4"/>
  <c r="BB356" i="4"/>
  <c r="AX356" i="4"/>
  <c r="AT356" i="4"/>
  <c r="AP356" i="4"/>
  <c r="AL356" i="4"/>
  <c r="AH356" i="4"/>
  <c r="AD356" i="4"/>
  <c r="Z356" i="4"/>
  <c r="V356" i="4"/>
  <c r="R356" i="4"/>
  <c r="N356" i="4"/>
  <c r="J356" i="4"/>
  <c r="J358" i="4"/>
  <c r="CB356" i="4"/>
  <c r="BX356" i="4"/>
  <c r="BT356" i="4"/>
  <c r="BP356" i="4"/>
  <c r="BL356" i="4"/>
  <c r="BH356" i="4"/>
  <c r="BD356" i="4"/>
  <c r="AZ356" i="4"/>
  <c r="AV356" i="4"/>
  <c r="AR356" i="4"/>
  <c r="AN356" i="4"/>
  <c r="AJ356" i="4"/>
  <c r="AF356" i="4"/>
  <c r="AB356" i="4"/>
  <c r="X356" i="4"/>
  <c r="T356" i="4"/>
  <c r="P356" i="4"/>
  <c r="L356" i="4"/>
  <c r="BW356" i="4"/>
  <c r="BO356" i="4"/>
  <c r="BG356" i="4"/>
  <c r="AY356" i="4"/>
  <c r="AQ356" i="4"/>
  <c r="AI356" i="4"/>
  <c r="AA356" i="4"/>
  <c r="S356" i="4"/>
  <c r="K356" i="4"/>
  <c r="CC356" i="4"/>
  <c r="BU356" i="4"/>
  <c r="BM356" i="4"/>
  <c r="BE356" i="4"/>
  <c r="AW356" i="4"/>
  <c r="AO356" i="4"/>
  <c r="AG356" i="4"/>
  <c r="Y356" i="4"/>
  <c r="Q356" i="4"/>
  <c r="BY356" i="4"/>
  <c r="BQ356" i="4"/>
  <c r="BI356" i="4"/>
  <c r="BA356" i="4"/>
  <c r="AS356" i="4"/>
  <c r="AK356" i="4"/>
  <c r="AC356" i="4"/>
  <c r="U356" i="4"/>
  <c r="M356" i="4"/>
  <c r="BK356" i="4"/>
  <c r="AE356" i="4"/>
  <c r="BC356" i="4"/>
  <c r="W356" i="4"/>
  <c r="CA356" i="4"/>
  <c r="AU356" i="4"/>
  <c r="O356" i="4"/>
  <c r="BS356" i="4"/>
  <c r="AM356" i="4"/>
  <c r="N283" i="4"/>
  <c r="M293" i="4"/>
  <c r="J214" i="1"/>
  <c r="K214" i="1"/>
  <c r="L214" i="1"/>
  <c r="M214" i="1"/>
  <c r="N214" i="1"/>
  <c r="O214" i="1"/>
  <c r="P214" i="1"/>
  <c r="Q214" i="1"/>
  <c r="R214" i="1"/>
  <c r="S214" i="1"/>
  <c r="T214" i="1"/>
  <c r="U214" i="1"/>
  <c r="V214" i="1"/>
  <c r="W214" i="1"/>
  <c r="X214" i="1"/>
  <c r="Y214" i="1"/>
  <c r="Z214" i="1"/>
  <c r="AA214" i="1"/>
  <c r="AB214" i="1"/>
  <c r="AC214" i="1"/>
  <c r="AD214" i="1"/>
  <c r="AE214" i="1"/>
  <c r="AF214" i="1"/>
  <c r="AG214" i="1"/>
  <c r="AH214" i="1"/>
  <c r="AI214" i="1"/>
  <c r="AJ214" i="1"/>
  <c r="AK214" i="1"/>
  <c r="AL214" i="1"/>
  <c r="AM214" i="1"/>
  <c r="AN214" i="1"/>
  <c r="AO214" i="1"/>
  <c r="AP214" i="1"/>
  <c r="AQ214" i="1"/>
  <c r="AR214" i="1"/>
  <c r="AS214" i="1"/>
  <c r="AT214" i="1"/>
  <c r="AU214" i="1"/>
  <c r="AV214" i="1"/>
  <c r="AW214" i="1"/>
  <c r="AX214" i="1"/>
  <c r="AY214" i="1"/>
  <c r="AZ214" i="1"/>
  <c r="BA214" i="1"/>
  <c r="BB214" i="1"/>
  <c r="BC214" i="1"/>
  <c r="BD214" i="1"/>
  <c r="BE214" i="1"/>
  <c r="BF214" i="1"/>
  <c r="BG214" i="1"/>
  <c r="BH214" i="1"/>
  <c r="BI214" i="1"/>
  <c r="BJ214" i="1"/>
  <c r="BK214" i="1"/>
  <c r="BL214" i="1"/>
  <c r="BM214" i="1"/>
  <c r="BN214" i="1"/>
  <c r="BO214" i="1"/>
  <c r="BP214" i="1"/>
  <c r="BQ214" i="1"/>
  <c r="BR214" i="1"/>
  <c r="BS214" i="1"/>
  <c r="BT214" i="1"/>
  <c r="BU214" i="1"/>
  <c r="BV214" i="1"/>
  <c r="BW214" i="1"/>
  <c r="BX214" i="1"/>
  <c r="BY214" i="1"/>
  <c r="BZ214" i="1"/>
  <c r="CA214" i="1"/>
  <c r="CB214" i="1"/>
  <c r="CC214" i="1"/>
  <c r="O361" i="1"/>
  <c r="N371" i="1"/>
  <c r="P500" i="1"/>
  <c r="P504" i="1"/>
  <c r="N490" i="1"/>
  <c r="K482" i="1"/>
  <c r="S490" i="1"/>
  <c r="M490" i="1"/>
  <c r="H486" i="1"/>
  <c r="L500" i="1"/>
  <c r="S504" i="1"/>
  <c r="M504" i="1"/>
  <c r="F462" i="1"/>
  <c r="L482" i="1"/>
  <c r="M482" i="1"/>
  <c r="N482" i="1"/>
  <c r="O482" i="1"/>
  <c r="P482" i="1"/>
  <c r="Q482" i="1"/>
  <c r="R482" i="1"/>
  <c r="S482" i="1"/>
  <c r="T482" i="1"/>
  <c r="U482" i="1"/>
  <c r="V482" i="1"/>
  <c r="W482" i="1"/>
  <c r="X482" i="1"/>
  <c r="Y482" i="1"/>
  <c r="Z482" i="1"/>
  <c r="AA482" i="1"/>
  <c r="AB482" i="1"/>
  <c r="AC482" i="1"/>
  <c r="AD482" i="1"/>
  <c r="AE482" i="1"/>
  <c r="AF482" i="1"/>
  <c r="AG482" i="1"/>
  <c r="AH482" i="1"/>
  <c r="AI482" i="1"/>
  <c r="AJ482" i="1"/>
  <c r="AK482" i="1"/>
  <c r="AL482" i="1"/>
  <c r="AM482" i="1"/>
  <c r="AN482" i="1"/>
  <c r="AO482" i="1"/>
  <c r="AP482" i="1"/>
  <c r="AQ482" i="1"/>
  <c r="AR482" i="1"/>
  <c r="AS482" i="1"/>
  <c r="AT482" i="1"/>
  <c r="AU482" i="1"/>
  <c r="AV482" i="1"/>
  <c r="AW482" i="1"/>
  <c r="AX482" i="1"/>
  <c r="AY482" i="1"/>
  <c r="AZ482" i="1"/>
  <c r="BA482" i="1"/>
  <c r="BB482" i="1"/>
  <c r="BC482" i="1"/>
  <c r="BD482" i="1"/>
  <c r="BE482" i="1"/>
  <c r="BF482" i="1"/>
  <c r="BG482" i="1"/>
  <c r="BH482" i="1"/>
  <c r="BI482" i="1"/>
  <c r="BJ482" i="1"/>
  <c r="BK482" i="1"/>
  <c r="BL482" i="1"/>
  <c r="BM482" i="1"/>
  <c r="BN482" i="1"/>
  <c r="BO482" i="1"/>
  <c r="BP482" i="1"/>
  <c r="BQ482" i="1"/>
  <c r="BR482" i="1"/>
  <c r="BS482" i="1"/>
  <c r="BT482" i="1"/>
  <c r="BU482" i="1"/>
  <c r="BV482" i="1"/>
  <c r="BW482" i="1"/>
  <c r="BX482" i="1"/>
  <c r="BY482" i="1"/>
  <c r="BZ482" i="1"/>
  <c r="CA482" i="1"/>
  <c r="CB482" i="1"/>
  <c r="CC482" i="1"/>
  <c r="F338" i="4"/>
  <c r="AK342" i="4"/>
  <c r="L502" i="1"/>
  <c r="L490" i="1"/>
  <c r="H500" i="1"/>
  <c r="BJ490" i="1"/>
  <c r="W378" i="4"/>
  <c r="W380" i="4"/>
  <c r="W366" i="4"/>
  <c r="K502" i="1"/>
  <c r="K504" i="1"/>
  <c r="K490" i="1"/>
  <c r="M364" i="4"/>
  <c r="M378" i="4"/>
  <c r="M380" i="4"/>
  <c r="BR502" i="1"/>
  <c r="BR504" i="1"/>
  <c r="BR490" i="1"/>
  <c r="BW502" i="1"/>
  <c r="BW504" i="1"/>
  <c r="BW490" i="1"/>
  <c r="BI502" i="1"/>
  <c r="BI504" i="1"/>
  <c r="BI490" i="1"/>
  <c r="BS378" i="4"/>
  <c r="BS380" i="4"/>
  <c r="BS366" i="4"/>
  <c r="H376" i="4"/>
  <c r="BF502" i="1"/>
  <c r="BF490" i="1"/>
  <c r="AH378" i="4"/>
  <c r="AH380" i="4"/>
  <c r="AH366" i="4"/>
  <c r="BB502" i="1"/>
  <c r="BB504" i="1"/>
  <c r="BB490" i="1"/>
  <c r="AA502" i="1"/>
  <c r="AA504" i="1"/>
  <c r="AA490" i="1"/>
  <c r="AG378" i="4"/>
  <c r="AG380" i="4"/>
  <c r="AG366" i="4"/>
  <c r="BC378" i="4"/>
  <c r="BC380" i="4"/>
  <c r="BC366" i="4"/>
  <c r="AV502" i="1"/>
  <c r="AV504" i="1"/>
  <c r="AV490" i="1"/>
  <c r="AM378" i="4"/>
  <c r="AM366" i="4"/>
  <c r="BF504" i="1"/>
  <c r="BV490" i="1"/>
  <c r="AM380" i="4"/>
  <c r="BZ490" i="1"/>
  <c r="K380" i="4"/>
  <c r="M340" i="4"/>
  <c r="N340" i="4"/>
  <c r="O340" i="4"/>
  <c r="P340" i="4"/>
  <c r="Q340" i="4"/>
  <c r="R340" i="4"/>
  <c r="S340" i="4"/>
  <c r="T340" i="4"/>
  <c r="U340" i="4"/>
  <c r="V340" i="4"/>
  <c r="W340" i="4"/>
  <c r="X340" i="4"/>
  <c r="Y340" i="4"/>
  <c r="Z340" i="4"/>
  <c r="AA340" i="4"/>
  <c r="AB340" i="4"/>
  <c r="AC340" i="4"/>
  <c r="AD340" i="4"/>
  <c r="AE340" i="4"/>
  <c r="AF340" i="4"/>
  <c r="AG340" i="4"/>
  <c r="AH340" i="4"/>
  <c r="AI340" i="4"/>
  <c r="AJ340" i="4"/>
  <c r="AK340" i="4"/>
  <c r="AL340" i="4"/>
  <c r="AM340" i="4"/>
  <c r="AN340" i="4"/>
  <c r="AO340" i="4"/>
  <c r="AP340" i="4"/>
  <c r="AQ340" i="4"/>
  <c r="AR340" i="4"/>
  <c r="AS340" i="4"/>
  <c r="AT340" i="4"/>
  <c r="AU340" i="4"/>
  <c r="AV340" i="4"/>
  <c r="AW340" i="4"/>
  <c r="AX340" i="4"/>
  <c r="AY340" i="4"/>
  <c r="AZ340" i="4"/>
  <c r="BA340" i="4"/>
  <c r="BB340" i="4"/>
  <c r="BC340" i="4"/>
  <c r="BD340" i="4"/>
  <c r="BE340" i="4"/>
  <c r="BF340" i="4"/>
  <c r="BG340" i="4"/>
  <c r="BH340" i="4"/>
  <c r="BI340" i="4"/>
  <c r="BJ340" i="4"/>
  <c r="BK340" i="4"/>
  <c r="BL340" i="4"/>
  <c r="BM340" i="4"/>
  <c r="BN340" i="4"/>
  <c r="BO340" i="4"/>
  <c r="BP340" i="4"/>
  <c r="BQ340" i="4"/>
  <c r="BR340" i="4"/>
  <c r="BS340" i="4"/>
  <c r="BT340" i="4"/>
  <c r="BU340" i="4"/>
  <c r="BV340" i="4"/>
  <c r="BW340" i="4"/>
  <c r="BX340" i="4"/>
  <c r="BY340" i="4"/>
  <c r="BZ340" i="4"/>
  <c r="CA340" i="4"/>
  <c r="CB340" i="4"/>
  <c r="CC340" i="4"/>
  <c r="BV504" i="1"/>
  <c r="BZ504" i="1"/>
  <c r="BJ504" i="1"/>
  <c r="AM490" i="1"/>
  <c r="J488" i="1"/>
  <c r="J464" i="1"/>
  <c r="K464" i="1"/>
  <c r="L464" i="1"/>
  <c r="M464" i="1"/>
  <c r="N464" i="1"/>
  <c r="O464" i="1"/>
  <c r="P464" i="1"/>
  <c r="Q464" i="1"/>
  <c r="R464" i="1"/>
  <c r="S464" i="1"/>
  <c r="T464" i="1"/>
  <c r="U464" i="1"/>
  <c r="V464" i="1"/>
  <c r="W464" i="1"/>
  <c r="X464" i="1"/>
  <c r="Y464" i="1"/>
  <c r="Z464" i="1"/>
  <c r="AA464" i="1"/>
  <c r="AB464" i="1"/>
  <c r="AC464" i="1"/>
  <c r="AD464" i="1"/>
  <c r="AE464" i="1"/>
  <c r="AF464" i="1"/>
  <c r="AG464" i="1"/>
  <c r="AH464" i="1"/>
  <c r="AI464" i="1"/>
  <c r="AJ464" i="1"/>
  <c r="AK464" i="1"/>
  <c r="AL464" i="1"/>
  <c r="AM464" i="1"/>
  <c r="AN464" i="1"/>
  <c r="AO464" i="1"/>
  <c r="AP464" i="1"/>
  <c r="AQ464" i="1"/>
  <c r="AR464" i="1"/>
  <c r="AS464" i="1"/>
  <c r="AT464" i="1"/>
  <c r="AU464" i="1"/>
  <c r="AV464" i="1"/>
  <c r="AW464" i="1"/>
  <c r="AX464" i="1"/>
  <c r="AY464" i="1"/>
  <c r="AZ464" i="1"/>
  <c r="BA464" i="1"/>
  <c r="BB464" i="1"/>
  <c r="BC464" i="1"/>
  <c r="BD464" i="1"/>
  <c r="BE464" i="1"/>
  <c r="BF464" i="1"/>
  <c r="BG464" i="1"/>
  <c r="BH464" i="1"/>
  <c r="BI464" i="1"/>
  <c r="BJ464" i="1"/>
  <c r="BK464" i="1"/>
  <c r="BL464" i="1"/>
  <c r="BM464" i="1"/>
  <c r="BN464" i="1"/>
  <c r="BO464" i="1"/>
  <c r="BP464" i="1"/>
  <c r="BQ464" i="1"/>
  <c r="BR464" i="1"/>
  <c r="BS464" i="1"/>
  <c r="BT464" i="1"/>
  <c r="BU464" i="1"/>
  <c r="BV464" i="1"/>
  <c r="BW464" i="1"/>
  <c r="BX464" i="1"/>
  <c r="BY464" i="1"/>
  <c r="BZ464" i="1"/>
  <c r="CA464" i="1"/>
  <c r="CB464" i="1"/>
  <c r="CC464" i="1"/>
  <c r="AM504" i="1"/>
  <c r="P361" i="1"/>
  <c r="O371" i="1"/>
  <c r="N293" i="4"/>
  <c r="O283" i="4"/>
  <c r="K358" i="4"/>
  <c r="L358" i="4"/>
  <c r="M358" i="4"/>
  <c r="N358" i="4"/>
  <c r="O358" i="4"/>
  <c r="P358" i="4"/>
  <c r="Q358" i="4"/>
  <c r="R358" i="4"/>
  <c r="S358" i="4"/>
  <c r="T358" i="4"/>
  <c r="U358" i="4"/>
  <c r="V358" i="4"/>
  <c r="W358" i="4"/>
  <c r="X358" i="4"/>
  <c r="Y358" i="4"/>
  <c r="Z358" i="4"/>
  <c r="AA358" i="4"/>
  <c r="AB358" i="4"/>
  <c r="AC358" i="4"/>
  <c r="AD358" i="4"/>
  <c r="AE358" i="4"/>
  <c r="AF358" i="4"/>
  <c r="AG358" i="4"/>
  <c r="AH358" i="4"/>
  <c r="AI358" i="4"/>
  <c r="AJ358" i="4"/>
  <c r="AK358" i="4"/>
  <c r="AL358" i="4"/>
  <c r="AM358" i="4"/>
  <c r="AN358" i="4"/>
  <c r="AO358" i="4"/>
  <c r="AP358" i="4"/>
  <c r="AQ358" i="4"/>
  <c r="AR358" i="4"/>
  <c r="AS358" i="4"/>
  <c r="AT358" i="4"/>
  <c r="AU358" i="4"/>
  <c r="AV358" i="4"/>
  <c r="AW358" i="4"/>
  <c r="AX358" i="4"/>
  <c r="AY358" i="4"/>
  <c r="AZ358" i="4"/>
  <c r="BA358" i="4"/>
  <c r="BB358" i="4"/>
  <c r="BC358" i="4"/>
  <c r="BD358" i="4"/>
  <c r="BE358" i="4"/>
  <c r="BF358" i="4"/>
  <c r="BG358" i="4"/>
  <c r="BH358" i="4"/>
  <c r="BI358" i="4"/>
  <c r="BJ358" i="4"/>
  <c r="BK358" i="4"/>
  <c r="BL358" i="4"/>
  <c r="BM358" i="4"/>
  <c r="BN358" i="4"/>
  <c r="BO358" i="4"/>
  <c r="BP358" i="4"/>
  <c r="BQ358" i="4"/>
  <c r="BR358" i="4"/>
  <c r="BS358" i="4"/>
  <c r="BT358" i="4"/>
  <c r="BU358" i="4"/>
  <c r="BV358" i="4"/>
  <c r="BW358" i="4"/>
  <c r="BX358" i="4"/>
  <c r="BY358" i="4"/>
  <c r="BZ358" i="4"/>
  <c r="CA358" i="4"/>
  <c r="CB358" i="4"/>
  <c r="CC358" i="4"/>
  <c r="P369" i="1"/>
  <c r="N291" i="4"/>
  <c r="O163" i="4"/>
  <c r="L504" i="1"/>
  <c r="D443" i="1"/>
  <c r="D447" i="1"/>
  <c r="D451" i="1"/>
  <c r="D454" i="1"/>
  <c r="D456" i="1"/>
  <c r="D441" i="1"/>
  <c r="D445" i="1"/>
  <c r="D449" i="1"/>
  <c r="D453" i="1"/>
  <c r="D455" i="1"/>
  <c r="D457" i="1"/>
  <c r="D450" i="1"/>
  <c r="D446" i="1"/>
  <c r="D442" i="1"/>
  <c r="D448" i="1"/>
  <c r="D444" i="1"/>
  <c r="D440" i="1"/>
  <c r="D433" i="1"/>
  <c r="D435" i="1"/>
  <c r="D438" i="1"/>
  <c r="D432" i="1"/>
  <c r="D434" i="1"/>
  <c r="D436" i="1"/>
  <c r="D439" i="1"/>
  <c r="D437" i="1"/>
  <c r="D396" i="1"/>
  <c r="D400" i="1"/>
  <c r="D404" i="1"/>
  <c r="D408" i="1"/>
  <c r="D414" i="1"/>
  <c r="D395" i="1"/>
  <c r="D399" i="1"/>
  <c r="D403" i="1"/>
  <c r="D407" i="1"/>
  <c r="D413" i="1"/>
  <c r="D417" i="1"/>
  <c r="D394" i="1"/>
  <c r="D398" i="1"/>
  <c r="D402" i="1"/>
  <c r="D406" i="1"/>
  <c r="D410" i="1"/>
  <c r="D416" i="1"/>
  <c r="D397" i="1"/>
  <c r="D401" i="1"/>
  <c r="D405" i="1"/>
  <c r="D409" i="1"/>
  <c r="D415" i="1"/>
  <c r="D390" i="1"/>
  <c r="J423" i="1"/>
  <c r="D431" i="1"/>
  <c r="D393" i="1"/>
  <c r="D391" i="1"/>
  <c r="D392" i="1"/>
  <c r="H382" i="1"/>
  <c r="Z342" i="4"/>
  <c r="AV322" i="4"/>
  <c r="AU342" i="4"/>
  <c r="AQ342" i="4"/>
  <c r="BS322" i="4"/>
  <c r="V342" i="4"/>
  <c r="BK322" i="4"/>
  <c r="AW322" i="4"/>
  <c r="BG322" i="4"/>
  <c r="X342" i="4"/>
  <c r="BQ342" i="4"/>
  <c r="BG342" i="4"/>
  <c r="BW322" i="4"/>
  <c r="BH322" i="4"/>
  <c r="Y322" i="4"/>
  <c r="BB322" i="4"/>
  <c r="AE342" i="4"/>
  <c r="AU322" i="4"/>
  <c r="O322" i="4"/>
  <c r="AN322" i="4"/>
  <c r="AR342" i="4"/>
  <c r="BZ342" i="4"/>
  <c r="T342" i="4"/>
  <c r="CB322" i="4"/>
  <c r="AJ322" i="4"/>
  <c r="X322" i="4"/>
  <c r="BR322" i="4"/>
  <c r="AA342" i="4"/>
  <c r="O342" i="4"/>
  <c r="AQ322" i="4"/>
  <c r="AE322" i="4"/>
  <c r="BX322" i="4"/>
  <c r="BL322" i="4"/>
  <c r="T322" i="4"/>
  <c r="Q322" i="4"/>
  <c r="BJ322" i="4"/>
  <c r="K342" i="4"/>
  <c r="AA322" i="4"/>
  <c r="AJ342" i="4"/>
  <c r="AZ322" i="4"/>
  <c r="BZ322" i="4"/>
  <c r="N342" i="4"/>
  <c r="AF342" i="4"/>
  <c r="S322" i="4"/>
  <c r="AH342" i="4"/>
  <c r="Y342" i="4"/>
  <c r="BV342" i="4"/>
  <c r="R322" i="4"/>
  <c r="BJ342" i="4"/>
  <c r="AC342" i="4"/>
  <c r="R342" i="4"/>
  <c r="BY342" i="4"/>
  <c r="CB342" i="4"/>
  <c r="U322" i="4"/>
  <c r="BF322" i="4"/>
  <c r="AP342" i="4"/>
  <c r="AS342" i="4"/>
  <c r="AD342" i="4"/>
  <c r="H304" i="4"/>
  <c r="BH342" i="4"/>
  <c r="BI322" i="4"/>
  <c r="AV342" i="4"/>
  <c r="AW342" i="4"/>
  <c r="Z322" i="4"/>
  <c r="BF342" i="4"/>
  <c r="AX322" i="4"/>
  <c r="AT342" i="4"/>
  <c r="CC342" i="4"/>
  <c r="BX342" i="4"/>
  <c r="AC322" i="4"/>
  <c r="BL342" i="4"/>
  <c r="BA322" i="4"/>
  <c r="AR322" i="4"/>
  <c r="AF322" i="4"/>
  <c r="BE322" i="4"/>
  <c r="CC322" i="4"/>
  <c r="AT322" i="4"/>
  <c r="BW342" i="4"/>
  <c r="BK342" i="4"/>
  <c r="S342" i="4"/>
  <c r="CA322" i="4"/>
  <c r="BI342" i="4"/>
  <c r="M322" i="4"/>
  <c r="AK322" i="4"/>
  <c r="BM342" i="4"/>
  <c r="BS342" i="4"/>
  <c r="BU322" i="4"/>
  <c r="BU342" i="4"/>
  <c r="BV322" i="4"/>
  <c r="M342" i="4"/>
  <c r="N322" i="4"/>
  <c r="AB322" i="4"/>
  <c r="J342" i="4"/>
  <c r="J344" i="4"/>
  <c r="BO322" i="4"/>
  <c r="AS322" i="4"/>
  <c r="P322" i="4"/>
  <c r="BT342" i="4"/>
  <c r="BC322" i="4"/>
  <c r="BQ322" i="4"/>
  <c r="BE342" i="4"/>
  <c r="AB342" i="4"/>
  <c r="K322" i="4"/>
  <c r="BO342" i="4"/>
  <c r="AO342" i="4"/>
  <c r="P342" i="4"/>
  <c r="BR342" i="4"/>
  <c r="BC342" i="4"/>
  <c r="AL322" i="4"/>
  <c r="BA342" i="4"/>
  <c r="AO322" i="4"/>
  <c r="AZ342" i="4"/>
  <c r="AI322" i="4"/>
  <c r="AG342" i="4"/>
  <c r="BM322" i="4"/>
  <c r="AN342" i="4"/>
  <c r="W322" i="4"/>
  <c r="CA342" i="4"/>
  <c r="AP322" i="4"/>
  <c r="BP322" i="4"/>
  <c r="AX342" i="4"/>
  <c r="AI342" i="4"/>
  <c r="BN322" i="4"/>
  <c r="BD322" i="4"/>
  <c r="AL342" i="4"/>
  <c r="W342" i="4"/>
  <c r="V322" i="4"/>
  <c r="U342" i="4"/>
  <c r="L322" i="4"/>
  <c r="BP342" i="4"/>
  <c r="AY322" i="4"/>
  <c r="BY322" i="4"/>
  <c r="AG322" i="4"/>
  <c r="BD342" i="4"/>
  <c r="AM322" i="4"/>
  <c r="Q342" i="4"/>
  <c r="J322" i="4"/>
  <c r="J324" i="4"/>
  <c r="L342" i="4"/>
  <c r="BN342" i="4"/>
  <c r="AY342" i="4"/>
  <c r="AH322" i="4"/>
  <c r="BT322" i="4"/>
  <c r="BB342" i="4"/>
  <c r="AM342" i="4"/>
  <c r="AD322" i="4"/>
  <c r="M366" i="4"/>
  <c r="H364" i="4"/>
  <c r="H366" i="4"/>
  <c r="BO368" i="4"/>
  <c r="BO382" i="4"/>
  <c r="H488" i="1"/>
  <c r="H490" i="1"/>
  <c r="H384" i="1"/>
  <c r="J490" i="1"/>
  <c r="K344" i="4"/>
  <c r="L344" i="4"/>
  <c r="H378" i="4"/>
  <c r="H380" i="4"/>
  <c r="J502" i="1"/>
  <c r="H502" i="1"/>
  <c r="H504" i="1"/>
  <c r="BN466" i="1"/>
  <c r="BY466" i="1"/>
  <c r="M466" i="1"/>
  <c r="T423" i="1"/>
  <c r="AA466" i="1"/>
  <c r="AL423" i="1"/>
  <c r="CA423" i="1"/>
  <c r="BQ423" i="1"/>
  <c r="AY423" i="1"/>
  <c r="BE423" i="1"/>
  <c r="AT466" i="1"/>
  <c r="BE466" i="1"/>
  <c r="BL423" i="1"/>
  <c r="BS466" i="1"/>
  <c r="R423" i="1"/>
  <c r="AM423" i="1"/>
  <c r="AC423" i="1"/>
  <c r="K423" i="1"/>
  <c r="Q423" i="1"/>
  <c r="Z466" i="1"/>
  <c r="AK466" i="1"/>
  <c r="AR423" i="1"/>
  <c r="AY466" i="1"/>
  <c r="BJ423" i="1"/>
  <c r="CB466" i="1"/>
  <c r="BH466" i="1"/>
  <c r="AN466" i="1"/>
  <c r="AJ466" i="1"/>
  <c r="BR466" i="1"/>
  <c r="CC466" i="1"/>
  <c r="Q466" i="1"/>
  <c r="X423" i="1"/>
  <c r="AE466" i="1"/>
  <c r="AP423" i="1"/>
  <c r="BY423" i="1"/>
  <c r="AX466" i="1"/>
  <c r="BI466" i="1"/>
  <c r="BP423" i="1"/>
  <c r="BW466" i="1"/>
  <c r="K466" i="1"/>
  <c r="V423" i="1"/>
  <c r="AU423" i="1"/>
  <c r="AK423" i="1"/>
  <c r="S423" i="1"/>
  <c r="Y423" i="1"/>
  <c r="AD466" i="1"/>
  <c r="AO466" i="1"/>
  <c r="AV423" i="1"/>
  <c r="BC466" i="1"/>
  <c r="BN423" i="1"/>
  <c r="BX466" i="1"/>
  <c r="BD466" i="1"/>
  <c r="AZ466" i="1"/>
  <c r="BV466" i="1"/>
  <c r="J466" i="1"/>
  <c r="U466" i="1"/>
  <c r="AB423" i="1"/>
  <c r="AI466" i="1"/>
  <c r="AT423" i="1"/>
  <c r="P466" i="1"/>
  <c r="BO423" i="1"/>
  <c r="BU423" i="1"/>
  <c r="BB466" i="1"/>
  <c r="BM466" i="1"/>
  <c r="BT423" i="1"/>
  <c r="CA466" i="1"/>
  <c r="O466" i="1"/>
  <c r="Z423" i="1"/>
  <c r="BC423" i="1"/>
  <c r="AS423" i="1"/>
  <c r="R466" i="1"/>
  <c r="AC466" i="1"/>
  <c r="AJ423" i="1"/>
  <c r="AQ466" i="1"/>
  <c r="BB423" i="1"/>
  <c r="AV466" i="1"/>
  <c r="AB466" i="1"/>
  <c r="BJ466" i="1"/>
  <c r="BU466" i="1"/>
  <c r="CB423" i="1"/>
  <c r="P423" i="1"/>
  <c r="W466" i="1"/>
  <c r="AH466" i="1"/>
  <c r="BR423" i="1"/>
  <c r="BP466" i="1"/>
  <c r="AF423" i="1"/>
  <c r="AF466" i="1"/>
  <c r="BW423" i="1"/>
  <c r="BF466" i="1"/>
  <c r="BX423" i="1"/>
  <c r="S466" i="1"/>
  <c r="BK423" i="1"/>
  <c r="AI423" i="1"/>
  <c r="AL466" i="1"/>
  <c r="BD423" i="1"/>
  <c r="BV423" i="1"/>
  <c r="W423" i="1"/>
  <c r="BG423" i="1"/>
  <c r="BM423" i="1"/>
  <c r="AS466" i="1"/>
  <c r="BZ466" i="1"/>
  <c r="AM466" i="1"/>
  <c r="BS423" i="1"/>
  <c r="AQ423" i="1"/>
  <c r="AP466" i="1"/>
  <c r="BH423" i="1"/>
  <c r="BZ423" i="1"/>
  <c r="AE423" i="1"/>
  <c r="V466" i="1"/>
  <c r="AN423" i="1"/>
  <c r="BF423" i="1"/>
  <c r="AR466" i="1"/>
  <c r="AA423" i="1"/>
  <c r="AG423" i="1"/>
  <c r="AZ423" i="1"/>
  <c r="O423" i="1"/>
  <c r="N466" i="1"/>
  <c r="AX423" i="1"/>
  <c r="L466" i="1"/>
  <c r="CC423" i="1"/>
  <c r="BQ466" i="1"/>
  <c r="L423" i="1"/>
  <c r="AD423" i="1"/>
  <c r="BA423" i="1"/>
  <c r="AO423" i="1"/>
  <c r="AW466" i="1"/>
  <c r="BK466" i="1"/>
  <c r="M423" i="1"/>
  <c r="BG466" i="1"/>
  <c r="BT466" i="1"/>
  <c r="Y466" i="1"/>
  <c r="AH423" i="1"/>
  <c r="BI423" i="1"/>
  <c r="AW423" i="1"/>
  <c r="BA466" i="1"/>
  <c r="BO466" i="1"/>
  <c r="N423" i="1"/>
  <c r="U423" i="1"/>
  <c r="AG466" i="1"/>
  <c r="AU466" i="1"/>
  <c r="BL466" i="1"/>
  <c r="X466" i="1"/>
  <c r="T466" i="1"/>
  <c r="O291" i="4"/>
  <c r="P163" i="4"/>
  <c r="Q369" i="1"/>
  <c r="O293" i="4"/>
  <c r="P283" i="4"/>
  <c r="P371" i="1"/>
  <c r="Q361" i="1"/>
  <c r="K324" i="4"/>
  <c r="L324" i="4"/>
  <c r="M324" i="4"/>
  <c r="N324" i="4"/>
  <c r="O324" i="4"/>
  <c r="P324" i="4"/>
  <c r="Q324" i="4"/>
  <c r="R324" i="4"/>
  <c r="S324" i="4"/>
  <c r="T324" i="4"/>
  <c r="U324" i="4"/>
  <c r="V324" i="4"/>
  <c r="W324" i="4"/>
  <c r="X324" i="4"/>
  <c r="Y324" i="4"/>
  <c r="Z324" i="4"/>
  <c r="AA324" i="4"/>
  <c r="AB324" i="4"/>
  <c r="AC324" i="4"/>
  <c r="AD324" i="4"/>
  <c r="AE324" i="4"/>
  <c r="AF324" i="4"/>
  <c r="AG324" i="4"/>
  <c r="AH324" i="4"/>
  <c r="AI324" i="4"/>
  <c r="AJ324" i="4"/>
  <c r="AK324" i="4"/>
  <c r="AL324" i="4"/>
  <c r="AM324" i="4"/>
  <c r="AN324" i="4"/>
  <c r="AO324" i="4"/>
  <c r="AP324" i="4"/>
  <c r="AQ324" i="4"/>
  <c r="AR324" i="4"/>
  <c r="AS324" i="4"/>
  <c r="AT324" i="4"/>
  <c r="AU324" i="4"/>
  <c r="AV324" i="4"/>
  <c r="AW324" i="4"/>
  <c r="AX324" i="4"/>
  <c r="AY324" i="4"/>
  <c r="AZ324" i="4"/>
  <c r="BA324" i="4"/>
  <c r="BB324" i="4"/>
  <c r="BC324" i="4"/>
  <c r="BD324" i="4"/>
  <c r="BE324" i="4"/>
  <c r="BF324" i="4"/>
  <c r="BG324" i="4"/>
  <c r="BH324" i="4"/>
  <c r="BI324" i="4"/>
  <c r="BJ324" i="4"/>
  <c r="BK324" i="4"/>
  <c r="BL324" i="4"/>
  <c r="BM324" i="4"/>
  <c r="BN324" i="4"/>
  <c r="BO324" i="4"/>
  <c r="BP324" i="4"/>
  <c r="BQ324" i="4"/>
  <c r="BR324" i="4"/>
  <c r="BS324" i="4"/>
  <c r="BT324" i="4"/>
  <c r="BU324" i="4"/>
  <c r="BV324" i="4"/>
  <c r="BW324" i="4"/>
  <c r="BX324" i="4"/>
  <c r="BY324" i="4"/>
  <c r="BZ324" i="4"/>
  <c r="CA324" i="4"/>
  <c r="CB324" i="4"/>
  <c r="CC324" i="4"/>
  <c r="N368" i="4"/>
  <c r="N382" i="4"/>
  <c r="V368" i="4"/>
  <c r="V382" i="4"/>
  <c r="AF368" i="4"/>
  <c r="AF382" i="4"/>
  <c r="BX368" i="4"/>
  <c r="BX382" i="4"/>
  <c r="BZ368" i="4"/>
  <c r="BZ382" i="4"/>
  <c r="BW368" i="4"/>
  <c r="BW382" i="4"/>
  <c r="AM368" i="4"/>
  <c r="AM382" i="4"/>
  <c r="BU368" i="4"/>
  <c r="BU382" i="4"/>
  <c r="AC368" i="4"/>
  <c r="AC382" i="4"/>
  <c r="AN368" i="4"/>
  <c r="AN382" i="4"/>
  <c r="L368" i="4"/>
  <c r="L382" i="4"/>
  <c r="AP368" i="4"/>
  <c r="AP382" i="4"/>
  <c r="AW368" i="4"/>
  <c r="AW382" i="4"/>
  <c r="H306" i="4"/>
  <c r="J306" i="4"/>
  <c r="CB368" i="4"/>
  <c r="CB382" i="4"/>
  <c r="BK368" i="4"/>
  <c r="BK382" i="4"/>
  <c r="BJ368" i="4"/>
  <c r="BJ382" i="4"/>
  <c r="S368" i="4"/>
  <c r="S382" i="4"/>
  <c r="M344" i="4"/>
  <c r="N344" i="4"/>
  <c r="O344" i="4"/>
  <c r="P344" i="4"/>
  <c r="Q344" i="4"/>
  <c r="R344" i="4"/>
  <c r="S344" i="4"/>
  <c r="T344" i="4"/>
  <c r="U344" i="4"/>
  <c r="V344" i="4"/>
  <c r="W344" i="4"/>
  <c r="X344" i="4"/>
  <c r="Y344" i="4"/>
  <c r="Z344" i="4"/>
  <c r="AA344" i="4"/>
  <c r="AB344" i="4"/>
  <c r="AC344" i="4"/>
  <c r="AD344" i="4"/>
  <c r="AE344" i="4"/>
  <c r="AF344" i="4"/>
  <c r="AG344" i="4"/>
  <c r="AH344" i="4"/>
  <c r="AI344" i="4"/>
  <c r="AJ344" i="4"/>
  <c r="AK344" i="4"/>
  <c r="AL344" i="4"/>
  <c r="AM344" i="4"/>
  <c r="AN344" i="4"/>
  <c r="AO344" i="4"/>
  <c r="AP344" i="4"/>
  <c r="AQ344" i="4"/>
  <c r="AR344" i="4"/>
  <c r="AS344" i="4"/>
  <c r="AT344" i="4"/>
  <c r="AU344" i="4"/>
  <c r="AV344" i="4"/>
  <c r="AW344" i="4"/>
  <c r="AX344" i="4"/>
  <c r="AY344" i="4"/>
  <c r="AZ344" i="4"/>
  <c r="BA344" i="4"/>
  <c r="BB344" i="4"/>
  <c r="BC344" i="4"/>
  <c r="BD344" i="4"/>
  <c r="BE344" i="4"/>
  <c r="BF344" i="4"/>
  <c r="BG344" i="4"/>
  <c r="BH344" i="4"/>
  <c r="BI344" i="4"/>
  <c r="BJ344" i="4"/>
  <c r="BK344" i="4"/>
  <c r="BL344" i="4"/>
  <c r="BM344" i="4"/>
  <c r="BN344" i="4"/>
  <c r="BO344" i="4"/>
  <c r="BP344" i="4"/>
  <c r="BQ344" i="4"/>
  <c r="BR344" i="4"/>
  <c r="BS344" i="4"/>
  <c r="BT344" i="4"/>
  <c r="BU344" i="4"/>
  <c r="BV344" i="4"/>
  <c r="BW344" i="4"/>
  <c r="BX344" i="4"/>
  <c r="BY344" i="4"/>
  <c r="BZ344" i="4"/>
  <c r="CA344" i="4"/>
  <c r="CB344" i="4"/>
  <c r="CC344" i="4"/>
  <c r="AA368" i="4"/>
  <c r="AA382" i="4"/>
  <c r="AQ368" i="4"/>
  <c r="AQ382" i="4"/>
  <c r="BQ368" i="4"/>
  <c r="BQ382" i="4"/>
  <c r="U368" i="4"/>
  <c r="U382" i="4"/>
  <c r="BP368" i="4"/>
  <c r="BP382" i="4"/>
  <c r="AL368" i="4"/>
  <c r="AL382" i="4"/>
  <c r="Q368" i="4"/>
  <c r="Q382" i="4"/>
  <c r="CC368" i="4"/>
  <c r="CC382" i="4"/>
  <c r="BS368" i="4"/>
  <c r="BS382" i="4"/>
  <c r="Z368" i="4"/>
  <c r="Z382" i="4"/>
  <c r="P368" i="4"/>
  <c r="P382" i="4"/>
  <c r="AO368" i="4"/>
  <c r="AO382" i="4"/>
  <c r="AE368" i="4"/>
  <c r="AE382" i="4"/>
  <c r="AZ368" i="4"/>
  <c r="AZ382" i="4"/>
  <c r="BN368" i="4"/>
  <c r="BN382" i="4"/>
  <c r="BD368" i="4"/>
  <c r="BD382" i="4"/>
  <c r="BI368" i="4"/>
  <c r="BI382" i="4"/>
  <c r="AY368" i="4"/>
  <c r="AY382" i="4"/>
  <c r="R368" i="4"/>
  <c r="R382" i="4"/>
  <c r="AK368" i="4"/>
  <c r="AK382" i="4"/>
  <c r="AX368" i="4"/>
  <c r="AX382" i="4"/>
  <c r="BA368" i="4"/>
  <c r="BA382" i="4"/>
  <c r="BH368" i="4"/>
  <c r="BH382" i="4"/>
  <c r="BT368" i="4"/>
  <c r="BT382" i="4"/>
  <c r="BG368" i="4"/>
  <c r="BG382" i="4"/>
  <c r="AT368" i="4"/>
  <c r="AT382" i="4"/>
  <c r="K368" i="4"/>
  <c r="K382" i="4"/>
  <c r="AB368" i="4"/>
  <c r="AB382" i="4"/>
  <c r="J368" i="4"/>
  <c r="J382" i="4"/>
  <c r="J384" i="4"/>
  <c r="BV368" i="4"/>
  <c r="BV382" i="4"/>
  <c r="BR368" i="4"/>
  <c r="BR382" i="4"/>
  <c r="BL368" i="4"/>
  <c r="BL382" i="4"/>
  <c r="AG368" i="4"/>
  <c r="AG382" i="4"/>
  <c r="BM368" i="4"/>
  <c r="BM382" i="4"/>
  <c r="W368" i="4"/>
  <c r="W382" i="4"/>
  <c r="BC368" i="4"/>
  <c r="BC382" i="4"/>
  <c r="T368" i="4"/>
  <c r="T382" i="4"/>
  <c r="AR368" i="4"/>
  <c r="AR382" i="4"/>
  <c r="BF368" i="4"/>
  <c r="BF382" i="4"/>
  <c r="BB368" i="4"/>
  <c r="BB382" i="4"/>
  <c r="AV368" i="4"/>
  <c r="AV382" i="4"/>
  <c r="Y368" i="4"/>
  <c r="Y382" i="4"/>
  <c r="BE368" i="4"/>
  <c r="BE382" i="4"/>
  <c r="O368" i="4"/>
  <c r="O382" i="4"/>
  <c r="AU368" i="4"/>
  <c r="AU382" i="4"/>
  <c r="CA368" i="4"/>
  <c r="CA382" i="4"/>
  <c r="AJ368" i="4"/>
  <c r="AJ382" i="4"/>
  <c r="AH368" i="4"/>
  <c r="AH382" i="4"/>
  <c r="AD368" i="4"/>
  <c r="AD382" i="4"/>
  <c r="X368" i="4"/>
  <c r="X382" i="4"/>
  <c r="M368" i="4"/>
  <c r="M382" i="4"/>
  <c r="AS368" i="4"/>
  <c r="AS382" i="4"/>
  <c r="BY368" i="4"/>
  <c r="BY382" i="4"/>
  <c r="AI368" i="4"/>
  <c r="AI382" i="4"/>
  <c r="J425" i="1"/>
  <c r="K425" i="1"/>
  <c r="L425" i="1"/>
  <c r="M425" i="1"/>
  <c r="N425" i="1"/>
  <c r="O425" i="1"/>
  <c r="P425" i="1"/>
  <c r="Q425" i="1"/>
  <c r="R425" i="1"/>
  <c r="S425" i="1"/>
  <c r="T425" i="1"/>
  <c r="U425" i="1"/>
  <c r="V425" i="1"/>
  <c r="W425" i="1"/>
  <c r="X425" i="1"/>
  <c r="Y425" i="1"/>
  <c r="Z425" i="1"/>
  <c r="AA425" i="1"/>
  <c r="AB425" i="1"/>
  <c r="AC425" i="1"/>
  <c r="AD425" i="1"/>
  <c r="AE425" i="1"/>
  <c r="AF425" i="1"/>
  <c r="AG425" i="1"/>
  <c r="AH425" i="1"/>
  <c r="AI425" i="1"/>
  <c r="AJ425" i="1"/>
  <c r="AK425" i="1"/>
  <c r="AL425" i="1"/>
  <c r="AM425" i="1"/>
  <c r="AN425" i="1"/>
  <c r="AO425" i="1"/>
  <c r="AP425" i="1"/>
  <c r="AQ425" i="1"/>
  <c r="AR425" i="1"/>
  <c r="AS425" i="1"/>
  <c r="AT425" i="1"/>
  <c r="AU425" i="1"/>
  <c r="AV425" i="1"/>
  <c r="AW425" i="1"/>
  <c r="AX425" i="1"/>
  <c r="AY425" i="1"/>
  <c r="AZ425" i="1"/>
  <c r="BA425" i="1"/>
  <c r="BB425" i="1"/>
  <c r="BC425" i="1"/>
  <c r="BD425" i="1"/>
  <c r="BE425" i="1"/>
  <c r="BF425" i="1"/>
  <c r="BG425" i="1"/>
  <c r="BH425" i="1"/>
  <c r="BI425" i="1"/>
  <c r="BJ425" i="1"/>
  <c r="BK425" i="1"/>
  <c r="BL425" i="1"/>
  <c r="BM425" i="1"/>
  <c r="BN425" i="1"/>
  <c r="BO425" i="1"/>
  <c r="BP425" i="1"/>
  <c r="BQ425" i="1"/>
  <c r="BR425" i="1"/>
  <c r="BS425" i="1"/>
  <c r="BT425" i="1"/>
  <c r="BU425" i="1"/>
  <c r="BV425" i="1"/>
  <c r="BW425" i="1"/>
  <c r="BX425" i="1"/>
  <c r="BY425" i="1"/>
  <c r="BZ425" i="1"/>
  <c r="CA425" i="1"/>
  <c r="CB425" i="1"/>
  <c r="CC425" i="1"/>
  <c r="D423" i="1"/>
  <c r="J468" i="1"/>
  <c r="K468" i="1"/>
  <c r="L468" i="1"/>
  <c r="M468" i="1"/>
  <c r="N468" i="1"/>
  <c r="O468" i="1"/>
  <c r="P468" i="1"/>
  <c r="Q468" i="1"/>
  <c r="R468" i="1"/>
  <c r="S468" i="1"/>
  <c r="T468" i="1"/>
  <c r="U468" i="1"/>
  <c r="V468" i="1"/>
  <c r="W468" i="1"/>
  <c r="X468" i="1"/>
  <c r="Y468" i="1"/>
  <c r="Z468" i="1"/>
  <c r="AA468" i="1"/>
  <c r="AB468" i="1"/>
  <c r="AC468" i="1"/>
  <c r="AD468" i="1"/>
  <c r="AE468" i="1"/>
  <c r="AF468" i="1"/>
  <c r="AG468" i="1"/>
  <c r="AH468" i="1"/>
  <c r="AI468" i="1"/>
  <c r="AJ468" i="1"/>
  <c r="AK468" i="1"/>
  <c r="AL468" i="1"/>
  <c r="AM468" i="1"/>
  <c r="AN468" i="1"/>
  <c r="AO468" i="1"/>
  <c r="AP468" i="1"/>
  <c r="AQ468" i="1"/>
  <c r="AR468" i="1"/>
  <c r="AS468" i="1"/>
  <c r="AT468" i="1"/>
  <c r="AU468" i="1"/>
  <c r="AV468" i="1"/>
  <c r="AW468" i="1"/>
  <c r="AX468" i="1"/>
  <c r="AY468" i="1"/>
  <c r="AZ468" i="1"/>
  <c r="BA468" i="1"/>
  <c r="BB468" i="1"/>
  <c r="BC468" i="1"/>
  <c r="BD468" i="1"/>
  <c r="BE468" i="1"/>
  <c r="BF468" i="1"/>
  <c r="BG468" i="1"/>
  <c r="BH468" i="1"/>
  <c r="BI468" i="1"/>
  <c r="BJ468" i="1"/>
  <c r="BK468" i="1"/>
  <c r="BL468" i="1"/>
  <c r="BM468" i="1"/>
  <c r="BN468" i="1"/>
  <c r="BO468" i="1"/>
  <c r="BP468" i="1"/>
  <c r="BQ468" i="1"/>
  <c r="BR468" i="1"/>
  <c r="BS468" i="1"/>
  <c r="BT468" i="1"/>
  <c r="BU468" i="1"/>
  <c r="BV468" i="1"/>
  <c r="BW468" i="1"/>
  <c r="BX468" i="1"/>
  <c r="BY468" i="1"/>
  <c r="BZ468" i="1"/>
  <c r="CA468" i="1"/>
  <c r="CB468" i="1"/>
  <c r="CC468" i="1"/>
  <c r="D466" i="1"/>
  <c r="J504" i="1"/>
  <c r="BX492" i="1"/>
  <c r="BX506" i="1"/>
  <c r="BH492" i="1"/>
  <c r="BH506" i="1"/>
  <c r="AR492" i="1"/>
  <c r="AR506" i="1"/>
  <c r="AB492" i="1"/>
  <c r="AB506" i="1"/>
  <c r="L492" i="1"/>
  <c r="L506" i="1"/>
  <c r="BO492" i="1"/>
  <c r="BO506" i="1"/>
  <c r="AY492" i="1"/>
  <c r="AY506" i="1"/>
  <c r="AI492" i="1"/>
  <c r="AI506" i="1"/>
  <c r="S492" i="1"/>
  <c r="S506" i="1"/>
  <c r="BY492" i="1"/>
  <c r="BY506" i="1"/>
  <c r="BI492" i="1"/>
  <c r="BI506" i="1"/>
  <c r="AS492" i="1"/>
  <c r="AS506" i="1"/>
  <c r="AC492" i="1"/>
  <c r="AC506" i="1"/>
  <c r="M492" i="1"/>
  <c r="M506" i="1"/>
  <c r="Z492" i="1"/>
  <c r="Z506" i="1"/>
  <c r="AL492" i="1"/>
  <c r="AL506" i="1"/>
  <c r="AX492" i="1"/>
  <c r="AX506" i="1"/>
  <c r="BJ492" i="1"/>
  <c r="BJ506" i="1"/>
  <c r="BT492" i="1"/>
  <c r="BT506" i="1"/>
  <c r="BD492" i="1"/>
  <c r="BD506" i="1"/>
  <c r="AN492" i="1"/>
  <c r="AN506" i="1"/>
  <c r="X492" i="1"/>
  <c r="X506" i="1"/>
  <c r="CA492" i="1"/>
  <c r="CA506" i="1"/>
  <c r="BK492" i="1"/>
  <c r="BK506" i="1"/>
  <c r="AU492" i="1"/>
  <c r="AU506" i="1"/>
  <c r="AE492" i="1"/>
  <c r="AE506" i="1"/>
  <c r="O492" i="1"/>
  <c r="O506" i="1"/>
  <c r="BU492" i="1"/>
  <c r="BU506" i="1"/>
  <c r="BE492" i="1"/>
  <c r="BE506" i="1"/>
  <c r="AO492" i="1"/>
  <c r="AO506" i="1"/>
  <c r="Y492" i="1"/>
  <c r="Y506" i="1"/>
  <c r="BV492" i="1"/>
  <c r="BV506" i="1"/>
  <c r="J492" i="1"/>
  <c r="V492" i="1"/>
  <c r="V506" i="1"/>
  <c r="AH492" i="1"/>
  <c r="AH506" i="1"/>
  <c r="AT492" i="1"/>
  <c r="AT506" i="1"/>
  <c r="BP492" i="1"/>
  <c r="BP506" i="1"/>
  <c r="AZ492" i="1"/>
  <c r="AZ506" i="1"/>
  <c r="AJ492" i="1"/>
  <c r="AJ506" i="1"/>
  <c r="T492" i="1"/>
  <c r="T506" i="1"/>
  <c r="BW492" i="1"/>
  <c r="BW506" i="1"/>
  <c r="BG492" i="1"/>
  <c r="BG506" i="1"/>
  <c r="AQ492" i="1"/>
  <c r="AQ506" i="1"/>
  <c r="AA492" i="1"/>
  <c r="AA506" i="1"/>
  <c r="K492" i="1"/>
  <c r="K506" i="1"/>
  <c r="BQ492" i="1"/>
  <c r="BQ506" i="1"/>
  <c r="BA492" i="1"/>
  <c r="BA506" i="1"/>
  <c r="AK492" i="1"/>
  <c r="AK506" i="1"/>
  <c r="U492" i="1"/>
  <c r="U506" i="1"/>
  <c r="BF492" i="1"/>
  <c r="BF506" i="1"/>
  <c r="BR492" i="1"/>
  <c r="BR506" i="1"/>
  <c r="R492" i="1"/>
  <c r="R506" i="1"/>
  <c r="AD492" i="1"/>
  <c r="AD506" i="1"/>
  <c r="CB492" i="1"/>
  <c r="CB506" i="1"/>
  <c r="BL492" i="1"/>
  <c r="BL506" i="1"/>
  <c r="AV492" i="1"/>
  <c r="AV506" i="1"/>
  <c r="AF492" i="1"/>
  <c r="AF506" i="1"/>
  <c r="P492" i="1"/>
  <c r="P506" i="1"/>
  <c r="BS492" i="1"/>
  <c r="BS506" i="1"/>
  <c r="BC492" i="1"/>
  <c r="BC506" i="1"/>
  <c r="AM492" i="1"/>
  <c r="AM506" i="1"/>
  <c r="W492" i="1"/>
  <c r="W506" i="1"/>
  <c r="CC492" i="1"/>
  <c r="CC506" i="1"/>
  <c r="BM492" i="1"/>
  <c r="BM506" i="1"/>
  <c r="AW492" i="1"/>
  <c r="AW506" i="1"/>
  <c r="AG492" i="1"/>
  <c r="AG506" i="1"/>
  <c r="Q492" i="1"/>
  <c r="Q506" i="1"/>
  <c r="AP492" i="1"/>
  <c r="AP506" i="1"/>
  <c r="BB492" i="1"/>
  <c r="BB506" i="1"/>
  <c r="BN492" i="1"/>
  <c r="BN506" i="1"/>
  <c r="BZ492" i="1"/>
  <c r="BZ506" i="1"/>
  <c r="N492" i="1"/>
  <c r="N506" i="1"/>
  <c r="P291" i="4"/>
  <c r="Q163" i="4"/>
  <c r="Q371" i="1"/>
  <c r="R361" i="1"/>
  <c r="R369" i="1"/>
  <c r="Q283" i="4"/>
  <c r="P293" i="4"/>
  <c r="K384" i="4"/>
  <c r="L384" i="4"/>
  <c r="M384" i="4"/>
  <c r="N384" i="4"/>
  <c r="O384" i="4"/>
  <c r="P384" i="4"/>
  <c r="Q384" i="4"/>
  <c r="R384" i="4"/>
  <c r="S384" i="4"/>
  <c r="T384" i="4"/>
  <c r="U384" i="4"/>
  <c r="V384" i="4"/>
  <c r="W384" i="4"/>
  <c r="X384" i="4"/>
  <c r="Y384" i="4"/>
  <c r="Z384" i="4"/>
  <c r="AA384" i="4"/>
  <c r="AB384" i="4"/>
  <c r="AC384" i="4"/>
  <c r="AD384" i="4"/>
  <c r="AE384" i="4"/>
  <c r="AF384" i="4"/>
  <c r="AG384" i="4"/>
  <c r="AH384" i="4"/>
  <c r="AI384" i="4"/>
  <c r="AJ384" i="4"/>
  <c r="AK384" i="4"/>
  <c r="AL384" i="4"/>
  <c r="AM384" i="4"/>
  <c r="AN384" i="4"/>
  <c r="AO384" i="4"/>
  <c r="AP384" i="4"/>
  <c r="AQ384" i="4"/>
  <c r="AR384" i="4"/>
  <c r="AS384" i="4"/>
  <c r="AT384" i="4"/>
  <c r="AU384" i="4"/>
  <c r="AV384" i="4"/>
  <c r="AW384" i="4"/>
  <c r="AX384" i="4"/>
  <c r="AY384" i="4"/>
  <c r="AZ384" i="4"/>
  <c r="BA384" i="4"/>
  <c r="BB384" i="4"/>
  <c r="BC384" i="4"/>
  <c r="BD384" i="4"/>
  <c r="BE384" i="4"/>
  <c r="BF384" i="4"/>
  <c r="BG384" i="4"/>
  <c r="BH384" i="4"/>
  <c r="BI384" i="4"/>
  <c r="BJ384" i="4"/>
  <c r="BK384" i="4"/>
  <c r="BL384" i="4"/>
  <c r="BM384" i="4"/>
  <c r="BN384" i="4"/>
  <c r="BO384" i="4"/>
  <c r="BP384" i="4"/>
  <c r="BQ384" i="4"/>
  <c r="BR384" i="4"/>
  <c r="BS384" i="4"/>
  <c r="BT384" i="4"/>
  <c r="BU384" i="4"/>
  <c r="BV384" i="4"/>
  <c r="BW384" i="4"/>
  <c r="BX384" i="4"/>
  <c r="BY384" i="4"/>
  <c r="BZ384" i="4"/>
  <c r="CA384" i="4"/>
  <c r="CB384" i="4"/>
  <c r="CC384" i="4"/>
  <c r="J370" i="4"/>
  <c r="K370" i="4"/>
  <c r="L370" i="4"/>
  <c r="M370" i="4"/>
  <c r="N370" i="4"/>
  <c r="O370" i="4"/>
  <c r="P370" i="4"/>
  <c r="Q370" i="4"/>
  <c r="R370" i="4"/>
  <c r="S370" i="4"/>
  <c r="T370" i="4"/>
  <c r="U370" i="4"/>
  <c r="V370" i="4"/>
  <c r="W370" i="4"/>
  <c r="X370" i="4"/>
  <c r="Y370" i="4"/>
  <c r="Z370" i="4"/>
  <c r="AA370" i="4"/>
  <c r="AB370" i="4"/>
  <c r="AC370" i="4"/>
  <c r="AD370" i="4"/>
  <c r="AE370" i="4"/>
  <c r="AF370" i="4"/>
  <c r="AG370" i="4"/>
  <c r="AH370" i="4"/>
  <c r="AI370" i="4"/>
  <c r="AJ370" i="4"/>
  <c r="AK370" i="4"/>
  <c r="AL370" i="4"/>
  <c r="AM370" i="4"/>
  <c r="AN370" i="4"/>
  <c r="AO370" i="4"/>
  <c r="AP370" i="4"/>
  <c r="AQ370" i="4"/>
  <c r="AR370" i="4"/>
  <c r="AS370" i="4"/>
  <c r="AT370" i="4"/>
  <c r="AU370" i="4"/>
  <c r="AV370" i="4"/>
  <c r="AW370" i="4"/>
  <c r="AX370" i="4"/>
  <c r="AY370" i="4"/>
  <c r="AZ370" i="4"/>
  <c r="BA370" i="4"/>
  <c r="BB370" i="4"/>
  <c r="BC370" i="4"/>
  <c r="BD370" i="4"/>
  <c r="BE370" i="4"/>
  <c r="BF370" i="4"/>
  <c r="BG370" i="4"/>
  <c r="BH370" i="4"/>
  <c r="BI370" i="4"/>
  <c r="BJ370" i="4"/>
  <c r="BK370" i="4"/>
  <c r="BL370" i="4"/>
  <c r="BM370" i="4"/>
  <c r="BN370" i="4"/>
  <c r="BO370" i="4"/>
  <c r="BP370" i="4"/>
  <c r="BQ370" i="4"/>
  <c r="BR370" i="4"/>
  <c r="BS370" i="4"/>
  <c r="BT370" i="4"/>
  <c r="BU370" i="4"/>
  <c r="BV370" i="4"/>
  <c r="BW370" i="4"/>
  <c r="BX370" i="4"/>
  <c r="BY370" i="4"/>
  <c r="BZ370" i="4"/>
  <c r="CA370" i="4"/>
  <c r="CB370" i="4"/>
  <c r="CC370" i="4"/>
  <c r="K384" i="1"/>
  <c r="J384" i="1"/>
  <c r="J506" i="1"/>
  <c r="J508" i="1"/>
  <c r="K508" i="1"/>
  <c r="L508" i="1"/>
  <c r="M508" i="1"/>
  <c r="N508" i="1"/>
  <c r="O508" i="1"/>
  <c r="P508" i="1"/>
  <c r="Q508" i="1"/>
  <c r="R508" i="1"/>
  <c r="S508" i="1"/>
  <c r="T508" i="1"/>
  <c r="U508" i="1"/>
  <c r="V508" i="1"/>
  <c r="W508" i="1"/>
  <c r="X508" i="1"/>
  <c r="Y508" i="1"/>
  <c r="Z508" i="1"/>
  <c r="AA508" i="1"/>
  <c r="AB508" i="1"/>
  <c r="AC508" i="1"/>
  <c r="AD508" i="1"/>
  <c r="AE508" i="1"/>
  <c r="AF508" i="1"/>
  <c r="AG508" i="1"/>
  <c r="AH508" i="1"/>
  <c r="AI508" i="1"/>
  <c r="AJ508" i="1"/>
  <c r="AK508" i="1"/>
  <c r="AL508" i="1"/>
  <c r="AM508" i="1"/>
  <c r="AN508" i="1"/>
  <c r="AO508" i="1"/>
  <c r="AP508" i="1"/>
  <c r="AQ508" i="1"/>
  <c r="AR508" i="1"/>
  <c r="AS508" i="1"/>
  <c r="AT508" i="1"/>
  <c r="AU508" i="1"/>
  <c r="AV508" i="1"/>
  <c r="AW508" i="1"/>
  <c r="AX508" i="1"/>
  <c r="AY508" i="1"/>
  <c r="AZ508" i="1"/>
  <c r="BA508" i="1"/>
  <c r="BB508" i="1"/>
  <c r="BC508" i="1"/>
  <c r="BD508" i="1"/>
  <c r="BE508" i="1"/>
  <c r="BF508" i="1"/>
  <c r="BG508" i="1"/>
  <c r="BH508" i="1"/>
  <c r="BI508" i="1"/>
  <c r="BJ508" i="1"/>
  <c r="BK508" i="1"/>
  <c r="BL508" i="1"/>
  <c r="BM508" i="1"/>
  <c r="BN508" i="1"/>
  <c r="BO508" i="1"/>
  <c r="BP508" i="1"/>
  <c r="BQ508" i="1"/>
  <c r="BR508" i="1"/>
  <c r="BS508" i="1"/>
  <c r="BT508" i="1"/>
  <c r="BU508" i="1"/>
  <c r="BV508" i="1"/>
  <c r="BW508" i="1"/>
  <c r="BX508" i="1"/>
  <c r="BY508" i="1"/>
  <c r="BZ508" i="1"/>
  <c r="CA508" i="1"/>
  <c r="CB508" i="1"/>
  <c r="CC508" i="1"/>
  <c r="J494" i="1"/>
  <c r="K494" i="1"/>
  <c r="L494" i="1"/>
  <c r="M494" i="1"/>
  <c r="N494" i="1"/>
  <c r="O494" i="1"/>
  <c r="P494" i="1"/>
  <c r="Q494" i="1"/>
  <c r="R494" i="1"/>
  <c r="S494" i="1"/>
  <c r="T494" i="1"/>
  <c r="U494" i="1"/>
  <c r="V494" i="1"/>
  <c r="W494" i="1"/>
  <c r="X494" i="1"/>
  <c r="Y494" i="1"/>
  <c r="Z494" i="1"/>
  <c r="AA494" i="1"/>
  <c r="AB494" i="1"/>
  <c r="AC494" i="1"/>
  <c r="AD494" i="1"/>
  <c r="AE494" i="1"/>
  <c r="AF494" i="1"/>
  <c r="AG494" i="1"/>
  <c r="AH494" i="1"/>
  <c r="AI494" i="1"/>
  <c r="AJ494" i="1"/>
  <c r="AK494" i="1"/>
  <c r="AL494" i="1"/>
  <c r="AM494" i="1"/>
  <c r="AN494" i="1"/>
  <c r="AO494" i="1"/>
  <c r="AP494" i="1"/>
  <c r="AQ494" i="1"/>
  <c r="AR494" i="1"/>
  <c r="AS494" i="1"/>
  <c r="AT494" i="1"/>
  <c r="AU494" i="1"/>
  <c r="AV494" i="1"/>
  <c r="AW494" i="1"/>
  <c r="AX494" i="1"/>
  <c r="AY494" i="1"/>
  <c r="AZ494" i="1"/>
  <c r="BA494" i="1"/>
  <c r="BB494" i="1"/>
  <c r="BC494" i="1"/>
  <c r="BD494" i="1"/>
  <c r="BE494" i="1"/>
  <c r="BF494" i="1"/>
  <c r="BG494" i="1"/>
  <c r="BH494" i="1"/>
  <c r="BI494" i="1"/>
  <c r="BJ494" i="1"/>
  <c r="BK494" i="1"/>
  <c r="BL494" i="1"/>
  <c r="BM494" i="1"/>
  <c r="BN494" i="1"/>
  <c r="BO494" i="1"/>
  <c r="BP494" i="1"/>
  <c r="BQ494" i="1"/>
  <c r="BR494" i="1"/>
  <c r="BS494" i="1"/>
  <c r="BT494" i="1"/>
  <c r="BU494" i="1"/>
  <c r="BV494" i="1"/>
  <c r="BW494" i="1"/>
  <c r="BX494" i="1"/>
  <c r="BY494" i="1"/>
  <c r="BZ494" i="1"/>
  <c r="CA494" i="1"/>
  <c r="CB494" i="1"/>
  <c r="CC494" i="1"/>
  <c r="R283" i="4"/>
  <c r="Q293" i="4"/>
  <c r="Q291" i="4"/>
  <c r="R163" i="4"/>
  <c r="S361" i="1"/>
  <c r="R371" i="1"/>
  <c r="S369" i="1"/>
  <c r="T369" i="1"/>
  <c r="R291" i="4"/>
  <c r="S163" i="4"/>
  <c r="T361" i="1"/>
  <c r="S371" i="1"/>
  <c r="R293" i="4"/>
  <c r="S283" i="4"/>
  <c r="S293" i="4"/>
  <c r="T283" i="4"/>
  <c r="U369" i="1"/>
  <c r="S291" i="4"/>
  <c r="T163" i="4"/>
  <c r="T371" i="1"/>
  <c r="U361" i="1"/>
  <c r="U371" i="1"/>
  <c r="V361" i="1"/>
  <c r="V369" i="1"/>
  <c r="T291" i="4"/>
  <c r="U163" i="4"/>
  <c r="U283" i="4"/>
  <c r="T293" i="4"/>
  <c r="V283" i="4"/>
  <c r="U293" i="4"/>
  <c r="V371" i="1"/>
  <c r="W361" i="1"/>
  <c r="W369" i="1"/>
  <c r="U291" i="4"/>
  <c r="V163" i="4"/>
  <c r="V291" i="4"/>
  <c r="W163" i="4"/>
  <c r="X361" i="1"/>
  <c r="W371" i="1"/>
  <c r="X369" i="1"/>
  <c r="V293" i="4"/>
  <c r="W283" i="4"/>
  <c r="Y369" i="1"/>
  <c r="W293" i="4"/>
  <c r="X283" i="4"/>
  <c r="X371" i="1"/>
  <c r="Y361" i="1"/>
  <c r="W291" i="4"/>
  <c r="X163" i="4"/>
  <c r="X291" i="4"/>
  <c r="Y163" i="4"/>
  <c r="Z369" i="1"/>
  <c r="Y283" i="4"/>
  <c r="X293" i="4"/>
  <c r="Y371" i="1"/>
  <c r="Z361" i="1"/>
  <c r="Z371" i="1"/>
  <c r="AA361" i="1"/>
  <c r="AA369" i="1"/>
  <c r="Y291" i="4"/>
  <c r="Z163" i="4"/>
  <c r="Z283" i="4"/>
  <c r="Y293" i="4"/>
  <c r="AB369" i="1"/>
  <c r="AA371" i="1"/>
  <c r="AB361" i="1"/>
  <c r="Z293" i="4"/>
  <c r="AA283" i="4"/>
  <c r="Z291" i="4"/>
  <c r="AA163" i="4"/>
  <c r="AA291" i="4"/>
  <c r="AB163" i="4"/>
  <c r="AB371" i="1"/>
  <c r="AC361" i="1"/>
  <c r="AA293" i="4"/>
  <c r="AB283" i="4"/>
  <c r="AC369" i="1"/>
  <c r="AD369" i="1"/>
  <c r="AB291" i="4"/>
  <c r="AC163" i="4"/>
  <c r="AD361" i="1"/>
  <c r="AC371" i="1"/>
  <c r="AC283" i="4"/>
  <c r="AB293" i="4"/>
  <c r="AC291" i="4"/>
  <c r="AD163" i="4"/>
  <c r="AE369" i="1"/>
  <c r="AD283" i="4"/>
  <c r="AC293" i="4"/>
  <c r="AE361" i="1"/>
  <c r="AD371" i="1"/>
  <c r="AF369" i="1"/>
  <c r="AF361" i="1"/>
  <c r="AE371" i="1"/>
  <c r="AD291" i="4"/>
  <c r="AE163" i="4"/>
  <c r="AD293" i="4"/>
  <c r="AE283" i="4"/>
  <c r="AG369" i="1"/>
  <c r="AE293" i="4"/>
  <c r="AF283" i="4"/>
  <c r="AF371" i="1"/>
  <c r="AG361" i="1"/>
  <c r="AE291" i="4"/>
  <c r="AF163" i="4"/>
  <c r="AG283" i="4"/>
  <c r="AF293" i="4"/>
  <c r="AH369" i="1"/>
  <c r="AF291" i="4"/>
  <c r="AG163" i="4"/>
  <c r="AG291" i="4"/>
  <c r="AG371" i="1"/>
  <c r="AH361" i="1"/>
  <c r="AI369" i="1"/>
  <c r="AI361" i="1"/>
  <c r="AH371" i="1"/>
  <c r="AH283" i="4"/>
  <c r="AG293" i="4"/>
  <c r="AJ369" i="1"/>
  <c r="AJ361" i="1"/>
  <c r="AI371" i="1"/>
  <c r="AH293" i="4"/>
  <c r="AI283" i="4"/>
  <c r="AJ371" i="1"/>
  <c r="AK361" i="1"/>
  <c r="AK369" i="1"/>
  <c r="AI293" i="4"/>
  <c r="AJ283" i="4"/>
  <c r="AK371" i="1"/>
  <c r="AL361" i="1"/>
  <c r="AL369" i="1"/>
  <c r="AK283" i="4"/>
  <c r="AJ293" i="4"/>
  <c r="AL371" i="1"/>
  <c r="AM361" i="1"/>
  <c r="AM369" i="1"/>
  <c r="AL283" i="4"/>
  <c r="AK293" i="4"/>
  <c r="AN361" i="1"/>
  <c r="AM371" i="1"/>
  <c r="AN369" i="1"/>
  <c r="AL293" i="4"/>
  <c r="AM283" i="4"/>
  <c r="AO369" i="1"/>
  <c r="AM293" i="4"/>
  <c r="AN283" i="4"/>
  <c r="AN371" i="1"/>
  <c r="AO361" i="1"/>
  <c r="AO283" i="4"/>
  <c r="AN293" i="4"/>
  <c r="AO371" i="1"/>
  <c r="AP361" i="1"/>
  <c r="AP369" i="1"/>
  <c r="AP371" i="1"/>
  <c r="AQ361" i="1"/>
  <c r="AQ369" i="1"/>
  <c r="AP283" i="4"/>
  <c r="AO293" i="4"/>
  <c r="AQ371" i="1"/>
  <c r="AR361" i="1"/>
  <c r="AR369" i="1"/>
  <c r="AP293" i="4"/>
  <c r="AQ283" i="4"/>
  <c r="AS369" i="1"/>
  <c r="AR371" i="1"/>
  <c r="AS361" i="1"/>
  <c r="AQ293" i="4"/>
  <c r="AR283" i="4"/>
  <c r="AT369" i="1"/>
  <c r="AT361" i="1"/>
  <c r="AS371" i="1"/>
  <c r="AS283" i="4"/>
  <c r="AR293" i="4"/>
  <c r="AU369" i="1"/>
  <c r="AU361" i="1"/>
  <c r="AT371" i="1"/>
  <c r="AT283" i="4"/>
  <c r="AS293" i="4"/>
  <c r="AV369" i="1"/>
  <c r="AV361" i="1"/>
  <c r="AU371" i="1"/>
  <c r="AT293" i="4"/>
  <c r="AU283" i="4"/>
  <c r="AW369" i="1"/>
  <c r="AV371" i="1"/>
  <c r="AW361" i="1"/>
  <c r="AU293" i="4"/>
  <c r="AV283" i="4"/>
  <c r="AX369" i="1"/>
  <c r="AW371" i="1"/>
  <c r="AX361" i="1"/>
  <c r="AW283" i="4"/>
  <c r="AV293" i="4"/>
  <c r="AY369" i="1"/>
  <c r="AY361" i="1"/>
  <c r="AX371" i="1"/>
  <c r="AX283" i="4"/>
  <c r="AW293" i="4"/>
  <c r="AZ369" i="1"/>
  <c r="AZ361" i="1"/>
  <c r="AY371" i="1"/>
  <c r="AX293" i="4"/>
  <c r="AY283" i="4"/>
  <c r="AZ371" i="1"/>
  <c r="BA361" i="1"/>
  <c r="AY293" i="4"/>
  <c r="AZ283" i="4"/>
  <c r="BA369" i="1"/>
  <c r="BB369" i="1"/>
  <c r="BA283" i="4"/>
  <c r="AZ293" i="4"/>
  <c r="BA371" i="1"/>
  <c r="BB361" i="1"/>
  <c r="BC369" i="1"/>
  <c r="BB283" i="4"/>
  <c r="BA293" i="4"/>
  <c r="BB371" i="1"/>
  <c r="BC361" i="1"/>
  <c r="BB293" i="4"/>
  <c r="BC283" i="4"/>
  <c r="BD361" i="1"/>
  <c r="BC371" i="1"/>
  <c r="BD369" i="1"/>
  <c r="BE369" i="1"/>
  <c r="BC293" i="4"/>
  <c r="BD283" i="4"/>
  <c r="BD371" i="1"/>
  <c r="BE361" i="1"/>
  <c r="BF369" i="1"/>
  <c r="BE283" i="4"/>
  <c r="BD293" i="4"/>
  <c r="BE371" i="1"/>
  <c r="BF361" i="1"/>
  <c r="BG369" i="1"/>
  <c r="BF283" i="4"/>
  <c r="BE293" i="4"/>
  <c r="BF371" i="1"/>
  <c r="BG361" i="1"/>
  <c r="BH369" i="1"/>
  <c r="BF293" i="4"/>
  <c r="BG283" i="4"/>
  <c r="BG371" i="1"/>
  <c r="BH361" i="1"/>
  <c r="BG293" i="4"/>
  <c r="BH283" i="4"/>
  <c r="BH371" i="1"/>
  <c r="BI361" i="1"/>
  <c r="BI369" i="1"/>
  <c r="BI283" i="4"/>
  <c r="BH293" i="4"/>
  <c r="BJ361" i="1"/>
  <c r="BI371" i="1"/>
  <c r="BJ369" i="1"/>
  <c r="BK361" i="1"/>
  <c r="BJ371" i="1"/>
  <c r="BK369" i="1"/>
  <c r="BJ283" i="4"/>
  <c r="BI293" i="4"/>
  <c r="BL369" i="1"/>
  <c r="BJ293" i="4"/>
  <c r="BK283" i="4"/>
  <c r="BL361" i="1"/>
  <c r="BK371" i="1"/>
  <c r="BM369" i="1"/>
  <c r="BK293" i="4"/>
  <c r="BL283" i="4"/>
  <c r="BL371" i="1"/>
  <c r="BM361" i="1"/>
  <c r="BN369" i="1"/>
  <c r="BM283" i="4"/>
  <c r="BL293" i="4"/>
  <c r="BM371" i="1"/>
  <c r="BN361" i="1"/>
  <c r="BO369" i="1"/>
  <c r="BN283" i="4"/>
  <c r="BM293" i="4"/>
  <c r="BO361" i="1"/>
  <c r="BN371" i="1"/>
  <c r="BP369" i="1"/>
  <c r="BN293" i="4"/>
  <c r="BO283" i="4"/>
  <c r="BP361" i="1"/>
  <c r="BO371" i="1"/>
  <c r="BQ369" i="1"/>
  <c r="BO293" i="4"/>
  <c r="BP283" i="4"/>
  <c r="BP371" i="1"/>
  <c r="BQ361" i="1"/>
  <c r="BR369" i="1"/>
  <c r="BQ283" i="4"/>
  <c r="BP293" i="4"/>
  <c r="BQ371" i="1"/>
  <c r="BR361" i="1"/>
  <c r="BS369" i="1"/>
  <c r="BR283" i="4"/>
  <c r="BQ293" i="4"/>
  <c r="BR371" i="1"/>
  <c r="BS361" i="1"/>
  <c r="BT369" i="1"/>
  <c r="BR293" i="4"/>
  <c r="BS283" i="4"/>
  <c r="BT361" i="1"/>
  <c r="BS371" i="1"/>
  <c r="BS293" i="4"/>
  <c r="BT283" i="4"/>
  <c r="BU369" i="1"/>
  <c r="BT371" i="1"/>
  <c r="BU361" i="1"/>
  <c r="BV369" i="1"/>
  <c r="BU283" i="4"/>
  <c r="BT293" i="4"/>
  <c r="BU371" i="1"/>
  <c r="BV361" i="1"/>
  <c r="BW369" i="1"/>
  <c r="BV283" i="4"/>
  <c r="BU293" i="4"/>
  <c r="BV371" i="1"/>
  <c r="BW361" i="1"/>
  <c r="BX369" i="1"/>
  <c r="BV293" i="4"/>
  <c r="BW283" i="4"/>
  <c r="BW371" i="1"/>
  <c r="BX361" i="1"/>
  <c r="BY369" i="1"/>
  <c r="BW293" i="4"/>
  <c r="BX283" i="4"/>
  <c r="BX371" i="1"/>
  <c r="BY361" i="1"/>
  <c r="BZ369" i="1"/>
  <c r="BY283" i="4"/>
  <c r="BX293" i="4"/>
  <c r="BZ361" i="1"/>
  <c r="BY371" i="1"/>
  <c r="CA369" i="1"/>
  <c r="BZ283" i="4"/>
  <c r="BY293" i="4"/>
  <c r="CA361" i="1"/>
  <c r="BZ371" i="1"/>
  <c r="BZ293" i="4"/>
  <c r="CA283" i="4"/>
  <c r="CB369" i="1"/>
  <c r="CC369" i="1"/>
  <c r="CB361" i="1"/>
  <c r="CA371" i="1"/>
  <c r="CA293" i="4"/>
  <c r="CB283" i="4"/>
  <c r="CB371" i="1"/>
  <c r="CC361" i="1"/>
  <c r="CC371" i="1"/>
  <c r="CC283" i="4"/>
  <c r="CC293" i="4"/>
  <c r="CB293"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Horacio</author>
  </authors>
  <commentList>
    <comment ref="D220" authorId="0" shapeId="0" xr:uid="{00000000-0006-0000-0000-000001000000}">
      <text>
        <r>
          <rPr>
            <sz val="9"/>
            <rFont val="Tahoma"/>
            <family val="2"/>
          </rPr>
          <t>El porcentaje se calcula transformando en pesos el costo total de cada tarea, y comparándolo con la inversión total en pesos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tc={3E3CDBE4-CD5B-EF45-B2A2-E9C2AED4EE4D}</author>
  </authors>
  <commentList>
    <comment ref="KS6" authorId="0" shapeId="0" xr:uid="{00000000-0006-0000-0300-000001000000}">
      <text>
        <t>[Threaded comment]
Your version of Excel allows you to read this threaded comment; however, any edits to it will get removed if the file is opened in a newer version of Excel. Learn more: https://go.microsoft.com/fwlink/?linkid=870924
Comment:
    La última actualización del IPIM fue el 3/3/2026, con los últimos datos disponibles del INDEC. 
Para continuar con la actualización del deflactor, debe tomarse la variación mensual del Nivel General de Feb-’26 contra Ene-’26 (en %) y pegarla como valor en celda KS9. 
Luego, arrastrar fórmula de la fila 8, que tomará como dato el valor porcentual de la celda indicada y generará el número índice. (Por las dudas, siempre conviene cotejar que la variación mensual del mes anterior en la serie histórica del INDEC coincida con el que venimos utilizando, para evitar errores de arrastre en la fórmula)</t>
      </text>
    </comment>
  </commentList>
</comments>
</file>

<file path=xl/sharedStrings.xml><?xml version="1.0" encoding="utf-8"?>
<sst xmlns="http://schemas.openxmlformats.org/spreadsheetml/2006/main" count="700" uniqueCount="351">
  <si>
    <t>FORMULARIO - EVALUACIÓN EX POST</t>
  </si>
  <si>
    <t>ACLARACIÓN METODOLÓGICA:</t>
  </si>
  <si>
    <r>
      <rPr>
        <b/>
        <i/>
        <sz val="11"/>
        <color theme="1"/>
        <rFont val="Calibri"/>
        <family val="2"/>
        <scheme val="minor"/>
      </rPr>
      <t xml:space="preserve">Los datos a ingresar corresponden </t>
    </r>
    <r>
      <rPr>
        <b/>
        <i/>
        <u/>
        <sz val="11"/>
        <color theme="1"/>
        <rFont val="Calibri"/>
        <family val="2"/>
        <scheme val="minor"/>
      </rPr>
      <t>únicamente</t>
    </r>
    <r>
      <rPr>
        <b/>
        <i/>
        <sz val="11"/>
        <color theme="1"/>
        <rFont val="Calibri"/>
        <family val="2"/>
        <scheme val="minor"/>
      </rPr>
      <t xml:space="preserve"> a aquellas celdas identificadas con color amarillo  y/o que contengan </t>
    </r>
    <r>
      <rPr>
        <b/>
        <i/>
        <sz val="11"/>
        <color rgb="FF0000FF"/>
        <rFont val="Calibri"/>
        <family val="2"/>
        <scheme val="minor"/>
      </rPr>
      <t xml:space="preserve">texto en azul. </t>
    </r>
    <r>
      <rPr>
        <b/>
        <i/>
        <sz val="11"/>
        <rFont val="Calibri"/>
        <family val="2"/>
        <scheme val="minor"/>
      </rPr>
      <t>Los valores y fechas que allí figuran son arbitrarios, al sólo efecto de que las celdas dependientes no den señal de error.</t>
    </r>
  </si>
  <si>
    <r>
      <rPr>
        <b/>
        <i/>
        <sz val="11"/>
        <color theme="1"/>
        <rFont val="Calibri"/>
        <family val="2"/>
        <scheme val="minor"/>
      </rPr>
      <t xml:space="preserve">Las celdas con </t>
    </r>
    <r>
      <rPr>
        <b/>
        <i/>
        <sz val="11"/>
        <color rgb="FFFF0000"/>
        <rFont val="Calibri"/>
        <family val="2"/>
        <scheme val="minor"/>
      </rPr>
      <t xml:space="preserve">texto en rojo </t>
    </r>
    <r>
      <rPr>
        <b/>
        <i/>
        <sz val="11"/>
        <color theme="1"/>
        <rFont val="Calibri"/>
        <family val="2"/>
        <scheme val="minor"/>
      </rPr>
      <t>se calculan automáticamente (contienen fórmulas).</t>
    </r>
  </si>
  <si>
    <t>BAPIN Nro.</t>
  </si>
  <si>
    <t>999999 - Puesta en valor del Aeropuerto XX - Operación de cargas</t>
  </si>
  <si>
    <t>Información registrada en el BAPIN al xx/xx/xx hh:mm</t>
  </si>
  <si>
    <t>2.1. Datos Generales</t>
  </si>
  <si>
    <t>Jurisdicción</t>
  </si>
  <si>
    <t>Ministerio de Transporte</t>
  </si>
  <si>
    <t>SAF</t>
  </si>
  <si>
    <t>Organismo Rector del Sistema Nacional de Aeropuertos (ORSNA)</t>
  </si>
  <si>
    <t>Programa</t>
  </si>
  <si>
    <t>Control del Sistema de Aeropuertos</t>
  </si>
  <si>
    <t>Subprograma</t>
  </si>
  <si>
    <t>2.2. Denominación del Proyecto de Inversión</t>
  </si>
  <si>
    <t>Puesta en valor del Aeropuerto X - Operación de cargas</t>
  </si>
  <si>
    <t>2.3. Contribución</t>
  </si>
  <si>
    <t>2.4. Modalidad de Contratación</t>
  </si>
  <si>
    <t>2.5. Finalidad Función Subfunción</t>
  </si>
  <si>
    <t>2.6. Localización Geográfica</t>
  </si>
  <si>
    <t>2.7. Origen del Financiamiento Externo</t>
  </si>
  <si>
    <t>Préstamo</t>
  </si>
  <si>
    <t>Denominación</t>
  </si>
  <si>
    <t>2.8. Proyectos Relacionados</t>
  </si>
  <si>
    <t>Tipo</t>
  </si>
  <si>
    <t>Código BAPIN</t>
  </si>
  <si>
    <t>2.9. Principios Conceptuales de Formulación</t>
  </si>
  <si>
    <t>1. ¿Cuál es la necesidad a satisfacer o la problemática a solucionar con el presente proyecto de inversión?</t>
  </si>
  <si>
    <t>El aeropuerto de XX recibe solo vuelos ocasionales, debido a que en su condición actual no cumple con las regulaciones ni tiene las condiciones mínimas para que operen aviones de mayor porte. En consecuencia, está perdiendo la oportunidad de transformarse en un hub de salida de la producción de las economías regionales cercanas. Esa producción recorre hoy z kilómetros para exportarse por el aeropuerto internacional más cercano.</t>
  </si>
  <si>
    <t>2. ¿Cuál es el objetivo del proyecto?</t>
  </si>
  <si>
    <t>Que el aeropuerto XX alcance los estándares de seguridad y operación necesarios como para operar con vuelos de cargan nacional e internacional.</t>
  </si>
  <si>
    <t>3. ¿Cuál es el producto o servicio que brindará el proyecto una vez finalizado?</t>
  </si>
  <si>
    <t>Operación de aviones de carga, para vuelos nacionales e internacionales.</t>
  </si>
  <si>
    <t>4. ¿Qué alternativas han sido consideradas para satisfacer la necesidad o resolver la problemática planteada?</t>
  </si>
  <si>
    <t>Se evaluó establecer un circuito de bi-trenes hasta el aeropuerto internacional más cercano.</t>
  </si>
  <si>
    <t>4B. Ordene las respuestas anteriores en una secuencia Efecto - Problema - Causa, y ubique al proyecto</t>
  </si>
  <si>
    <t>Secuencia Lógica</t>
  </si>
  <si>
    <t>Secuencia para el Proyecto</t>
  </si>
  <si>
    <t>¿Dónde se ubica el proyecto?</t>
  </si>
  <si>
    <t>Efecto Problemático Observado</t>
  </si>
  <si>
    <t>Altos costos de salida de la producción exportable regional</t>
  </si>
  <si>
    <t>Situación Problemática causante del Efecto</t>
  </si>
  <si>
    <t>Aeropuerto no apto para aviones de carga "grandes"</t>
  </si>
  <si>
    <t>Causa Principal de la Situación Problemática</t>
  </si>
  <si>
    <t>Deficiencias en la infraestructura de pista y de ilumnicación del aeropuerto</t>
  </si>
  <si>
    <t>Puesta en valor del aeropuerto por repavimentación de pista e instalación de ILS</t>
  </si>
  <si>
    <r>
      <rPr>
        <sz val="11"/>
        <color theme="1"/>
        <rFont val="Calibri"/>
        <family val="2"/>
        <scheme val="minor"/>
      </rPr>
      <t xml:space="preserve">5. ¿Por qué han seleccionado </t>
    </r>
    <r>
      <rPr>
        <sz val="11"/>
        <color rgb="FFFF0000"/>
        <rFont val="Calibri"/>
        <family val="2"/>
        <scheme val="minor"/>
      </rPr>
      <t xml:space="preserve">al proyecto como </t>
    </r>
    <r>
      <rPr>
        <sz val="11"/>
        <color theme="1"/>
        <rFont val="Calibri"/>
        <family val="2"/>
        <scheme val="minor"/>
      </rPr>
      <t>la alternativa elegida?</t>
    </r>
  </si>
  <si>
    <t>La comparación con la mejora alternativa (sistema de bi-trenes) muestra que el proyecto presenta mejores indicadores de rentabilidad.</t>
  </si>
  <si>
    <t>5B. ¿Cuál es la mejor alternativa que se dejó de lado por el proyecto?</t>
  </si>
  <si>
    <t>Aprovechar la autopista entre A y B para agregar un doble carril (de dos sentidos de circulación) e implementar un sistema de bi-trenes.</t>
  </si>
  <si>
    <t>6. ¿Cuál será la capacidad prestacional del proyecto una vez finalizado?</t>
  </si>
  <si>
    <t>El proyecto podrá operar 5 vuelos por día, con una capacidad promedio de 100 toneladas de carga por vuelo.</t>
  </si>
  <si>
    <t>7. ¿Cuáles son las características de la inversión física que dan cuenta de la capacidad prestacional del proyecto?</t>
  </si>
  <si>
    <t>Se requiere a) repavimenter la pista (2.850 metros) y b) colocar un sistema de iluminación y balizas (ILS) que permita llevar la seguridad de los vuelos a estándares internacionales y habilitar vuelos nocturnos.</t>
  </si>
  <si>
    <t>8. ¿Cuál es la vida útil del principal bien de capital a incorporar en el marco del proyecto?</t>
  </si>
  <si>
    <t>La vida útil se estima en 20 años</t>
  </si>
  <si>
    <t>9. ¿Cuál será la cobertura territorial del proyecto? ¿Quiénes y cuántos serán los beneficiarios directos e indirectos?</t>
  </si>
  <si>
    <t>Cobertura territorial</t>
  </si>
  <si>
    <t>El proyecto permitirá la salida de la producción regional en un radio de 500 km.</t>
  </si>
  <si>
    <t>Beneficiarios directos</t>
  </si>
  <si>
    <t>Se estima que alrededor de 1.000 PyMEs podrán vender al mercado nacional y exportar.</t>
  </si>
  <si>
    <t>Beneficiarios indirectos</t>
  </si>
  <si>
    <t>La cadena de valor de las PyMEs beneficiadas, y el resto de la provincia</t>
  </si>
  <si>
    <t xml:space="preserve">10. ¿El proyecto presenta dificultades o riesgos significativos (sociales, institucionales, legales ambientales, etc.) </t>
  </si>
  <si>
    <t xml:space="preserve"> pasibles de suceder durante su ejecución, puesta en funcionamiento o cierre/desmantelamiento?</t>
  </si>
  <si>
    <t>S/N</t>
  </si>
  <si>
    <t>No</t>
  </si>
  <si>
    <t>Enumeración de Riesgos</t>
  </si>
  <si>
    <t>11. ¿Han sido dimensionados los costos de operación y mantenimiento que tendrá el proyecto</t>
  </si>
  <si>
    <t>Sí</t>
  </si>
  <si>
    <t>cuando esté en funcionamiento?</t>
  </si>
  <si>
    <t>Monto total de costos de operación y mantenimiento del primer año de operación del proyecto ($ millones)</t>
  </si>
  <si>
    <t>Costo anual equivalente de los costos de operación y mantenimiento ($ millones)</t>
  </si>
  <si>
    <t xml:space="preserve">¿Los costos fueron validados con la institución, autoridad o nivel de gobierno nacional, </t>
  </si>
  <si>
    <t>provincial, municipal) que deberá afrontarlos?</t>
  </si>
  <si>
    <t>Nombre de la institución, autoridad o nivel de gobierno que ha realizado la autorización</t>
  </si>
  <si>
    <t>ORSNA</t>
  </si>
  <si>
    <t>12.0 ¿El proyecto requiere intervención de una autoridad ambiental competente?</t>
  </si>
  <si>
    <t>Indique cuál es la Autoridad Ambiental Competente</t>
  </si>
  <si>
    <t>Observaciones de la DNIP</t>
  </si>
  <si>
    <t>Fecha</t>
  </si>
  <si>
    <t>Observación</t>
  </si>
  <si>
    <t>2.10. Cronograma de Gastos y Ejecución Prevista del Proyecto</t>
  </si>
  <si>
    <t>Celdas auxiliares</t>
  </si>
  <si>
    <t>2.10.00. Datos Generales</t>
  </si>
  <si>
    <t>NO BORRAR</t>
  </si>
  <si>
    <t>Inversión Estimada</t>
  </si>
  <si>
    <t>Inversión en millones de pesos, si se realizara toda en el Año 0</t>
  </si>
  <si>
    <t>Inversión con Inflación Estimada</t>
  </si>
  <si>
    <t>Costo Total del Proyecto</t>
  </si>
  <si>
    <t>Valor de contratación</t>
  </si>
  <si>
    <t>Mes/Año PREVISTO de inicio</t>
  </si>
  <si>
    <t>Fecha de inicio, no del estudio</t>
  </si>
  <si>
    <t>Denominación 
del Proyecto</t>
  </si>
  <si>
    <t>Mes/Año PREVISTO de terminación</t>
  </si>
  <si>
    <t>Duración Total (en meses)</t>
  </si>
  <si>
    <t>Jurisdicción/SAF</t>
  </si>
  <si>
    <r>
      <rPr>
        <b/>
        <sz val="11"/>
        <rFont val="Calibri"/>
        <family val="2"/>
        <scheme val="minor"/>
      </rPr>
      <t>2.10.01.</t>
    </r>
    <r>
      <rPr>
        <sz val="11"/>
        <rFont val="Calibri"/>
        <family val="2"/>
        <scheme val="minor"/>
      </rPr>
      <t xml:space="preserve"> Índices de Ajuste PROYECTADOS EX ANTE</t>
    </r>
  </si>
  <si>
    <t>Mes de inicio</t>
  </si>
  <si>
    <t>Año 0
Eval. Ex Ante</t>
  </si>
  <si>
    <t>Índice de Precios del Proyecto</t>
  </si>
  <si>
    <t>Tipo de cambio</t>
  </si>
  <si>
    <r>
      <rPr>
        <b/>
        <sz val="11"/>
        <rFont val="Calibri"/>
        <family val="2"/>
        <scheme val="minor"/>
      </rPr>
      <t>2.10.02</t>
    </r>
    <r>
      <rPr>
        <sz val="11"/>
        <rFont val="Calibri"/>
        <family val="2"/>
        <scheme val="minor"/>
      </rPr>
      <t xml:space="preserve">. Cronograma de ejecución de la </t>
    </r>
    <r>
      <rPr>
        <b/>
        <sz val="11"/>
        <rFont val="Calibri"/>
        <family val="2"/>
        <scheme val="minor"/>
      </rPr>
      <t>OBRA FÍSICA - PREVISTO EX ANTE</t>
    </r>
  </si>
  <si>
    <t>El porcentaje de ejecución mensual de cada tarea se calcula:</t>
  </si>
  <si>
    <t>Sobre la obra</t>
  </si>
  <si>
    <t>Tarea</t>
  </si>
  <si>
    <t>% s/Total Obra</t>
  </si>
  <si>
    <t>% s/Total de Cada Tarea</t>
  </si>
  <si>
    <t>Comprobación</t>
  </si>
  <si>
    <t>Tarea 1</t>
  </si>
  <si>
    <t>Tarea 2</t>
  </si>
  <si>
    <t>Tarea 3</t>
  </si>
  <si>
    <t>Tarea 4</t>
  </si>
  <si>
    <t>Total (%)</t>
  </si>
  <si>
    <t>% Acumulado</t>
  </si>
  <si>
    <r>
      <rPr>
        <b/>
        <sz val="11"/>
        <rFont val="Calibri"/>
        <family val="2"/>
        <scheme val="minor"/>
      </rPr>
      <t>2.10.03A</t>
    </r>
    <r>
      <rPr>
        <sz val="11"/>
        <rFont val="Calibri"/>
        <family val="2"/>
        <scheme val="minor"/>
      </rPr>
      <t>. Cronograma de la ejecución</t>
    </r>
    <r>
      <rPr>
        <b/>
        <sz val="11"/>
        <rFont val="Calibri"/>
        <family val="2"/>
        <scheme val="minor"/>
      </rPr>
      <t xml:space="preserve"> FINANCIERA EN PESOS - PREVISTO EX ANTE (Millones de pesos)</t>
    </r>
  </si>
  <si>
    <t>%Costo Tarea s/Costo Total</t>
  </si>
  <si>
    <t>Costo por Tarea</t>
  </si>
  <si>
    <t xml:space="preserve">Costo por Tarea (Suma del Gantt) </t>
  </si>
  <si>
    <t>Total ($ millones)</t>
  </si>
  <si>
    <t>Acumulado ($ millones)</t>
  </si>
  <si>
    <t>Deflactada por inflación real ex post</t>
  </si>
  <si>
    <r>
      <rPr>
        <b/>
        <sz val="11"/>
        <rFont val="Calibri"/>
        <family val="2"/>
        <scheme val="minor"/>
      </rPr>
      <t xml:space="preserve">2.10.03B. </t>
    </r>
    <r>
      <rPr>
        <sz val="11"/>
        <rFont val="Calibri"/>
        <family val="2"/>
        <scheme val="minor"/>
      </rPr>
      <t>Cronograma de la ejecución</t>
    </r>
    <r>
      <rPr>
        <b/>
        <sz val="11"/>
        <rFont val="Calibri"/>
        <family val="2"/>
        <scheme val="minor"/>
      </rPr>
      <t xml:space="preserve"> FINANCIERA EN DÓLARES y PESIFICADO - PREVISTO EX ANTE (</t>
    </r>
    <r>
      <rPr>
        <b/>
        <u/>
        <sz val="11"/>
        <rFont val="Calibri"/>
        <family val="2"/>
        <scheme val="minor"/>
      </rPr>
      <t>Millones de dólares</t>
    </r>
    <r>
      <rPr>
        <b/>
        <sz val="11"/>
        <rFont val="Calibri"/>
        <family val="2"/>
        <scheme val="minor"/>
      </rPr>
      <t>)</t>
    </r>
  </si>
  <si>
    <t>%Costo Tarea s/Costo Total en Pesos</t>
  </si>
  <si>
    <t>Total (USD millones)</t>
  </si>
  <si>
    <t>Deflactada por tipo de cambio original</t>
  </si>
  <si>
    <r>
      <rPr>
        <b/>
        <sz val="11"/>
        <rFont val="Calibri"/>
        <family val="2"/>
        <scheme val="minor"/>
      </rPr>
      <t>2.10.03C</t>
    </r>
    <r>
      <rPr>
        <sz val="11"/>
        <rFont val="Calibri"/>
        <family val="2"/>
        <scheme val="minor"/>
      </rPr>
      <t>. Cronograma de la ejecución</t>
    </r>
    <r>
      <rPr>
        <b/>
        <sz val="11"/>
        <rFont val="Calibri"/>
        <family val="2"/>
        <scheme val="minor"/>
      </rPr>
      <t xml:space="preserve"> FINANCIERA TOTAL EN PESOS - PREVISTO EX ANTE (</t>
    </r>
    <r>
      <rPr>
        <b/>
        <u/>
        <sz val="11"/>
        <rFont val="Calibri"/>
        <family val="2"/>
        <scheme val="minor"/>
      </rPr>
      <t>Millones de pesos</t>
    </r>
    <r>
      <rPr>
        <b/>
        <sz val="11"/>
        <rFont val="Calibri"/>
        <family val="2"/>
        <scheme val="minor"/>
      </rPr>
      <t>)</t>
    </r>
  </si>
  <si>
    <t>RESUMEN EJECUCIÓN FINANCIERA 
EX ANTE</t>
  </si>
  <si>
    <t>Total en PESOS ($ millones)</t>
  </si>
  <si>
    <t>Total en DÓLARES PESIFICADOS ($ millones)</t>
  </si>
  <si>
    <t>2.11. Indicadores de Evaluación EX ANTE</t>
  </si>
  <si>
    <t>Evaluación</t>
  </si>
  <si>
    <t>Tipo Método</t>
  </si>
  <si>
    <t>Descripción</t>
  </si>
  <si>
    <t>Fuente de  información</t>
  </si>
  <si>
    <t>Indicador</t>
  </si>
  <si>
    <t>Valor Con Proyecto</t>
  </si>
  <si>
    <t>2.12. - Evaluación EX POST - TERMINACIÓN</t>
  </si>
  <si>
    <r>
      <rPr>
        <b/>
        <sz val="11"/>
        <rFont val="Calibri"/>
        <family val="2"/>
        <scheme val="minor"/>
      </rPr>
      <t>2.12.000</t>
    </r>
    <r>
      <rPr>
        <sz val="11"/>
        <rFont val="Calibri"/>
        <family val="2"/>
        <scheme val="minor"/>
      </rPr>
      <t>. - Cumplimiento de las Condiciones para la Evaluación de Terminación</t>
    </r>
  </si>
  <si>
    <t>¿Se completó toda la inversión física?</t>
  </si>
  <si>
    <t>¿El proyecto está en condiciones de comenzar a operar?</t>
  </si>
  <si>
    <t>¿Están asignados y con autorización de pago todas las erogaciones de inversión?</t>
  </si>
  <si>
    <t>Lista</t>
  </si>
  <si>
    <r>
      <rPr>
        <b/>
        <sz val="11"/>
        <rFont val="Calibri"/>
        <family val="2"/>
        <scheme val="minor"/>
      </rPr>
      <t xml:space="preserve">EX ANTE </t>
    </r>
    <r>
      <rPr>
        <sz val="11"/>
        <rFont val="Calibri"/>
        <family val="2"/>
        <scheme val="minor"/>
      </rPr>
      <t>- Meta física principal</t>
    </r>
  </si>
  <si>
    <t>Definición meta física</t>
  </si>
  <si>
    <t>Cantidad o valor de la meta física</t>
  </si>
  <si>
    <r>
      <rPr>
        <b/>
        <sz val="11"/>
        <rFont val="Calibri"/>
        <family val="2"/>
        <scheme val="minor"/>
      </rPr>
      <t>EX ANTE</t>
    </r>
    <r>
      <rPr>
        <sz val="11"/>
        <rFont val="Calibri"/>
        <family val="2"/>
        <scheme val="minor"/>
      </rPr>
      <t xml:space="preserve"> - Capacidad de operación</t>
    </r>
  </si>
  <si>
    <t>Observaciones</t>
  </si>
  <si>
    <t>Detalle de las observaciones</t>
  </si>
  <si>
    <r>
      <rPr>
        <b/>
        <sz val="11"/>
        <rFont val="Calibri"/>
        <family val="2"/>
        <scheme val="minor"/>
      </rPr>
      <t>EX POST</t>
    </r>
    <r>
      <rPr>
        <sz val="11"/>
        <rFont val="Calibri"/>
        <family val="2"/>
        <scheme val="minor"/>
      </rPr>
      <t xml:space="preserve"> - Meta física principal</t>
    </r>
  </si>
  <si>
    <r>
      <rPr>
        <b/>
        <sz val="11"/>
        <rFont val="Calibri"/>
        <family val="2"/>
        <scheme val="minor"/>
      </rPr>
      <t xml:space="preserve">EX POST </t>
    </r>
    <r>
      <rPr>
        <sz val="11"/>
        <rFont val="Calibri"/>
        <family val="2"/>
        <scheme val="minor"/>
      </rPr>
      <t>- Capacidad de operación</t>
    </r>
  </si>
  <si>
    <r>
      <rPr>
        <b/>
        <sz val="11"/>
        <rFont val="Calibri"/>
        <family val="2"/>
        <scheme val="minor"/>
      </rPr>
      <t>2.12.01.</t>
    </r>
    <r>
      <rPr>
        <sz val="11"/>
        <rFont val="Calibri"/>
        <family val="2"/>
        <scheme val="minor"/>
      </rPr>
      <t xml:space="preserve"> Comparación de la Duración Total</t>
    </r>
  </si>
  <si>
    <t>Ex Ante</t>
  </si>
  <si>
    <t>Ex Post</t>
  </si>
  <si>
    <t>Diferencia (meses)</t>
  </si>
  <si>
    <t>Explicación de las diferencias</t>
  </si>
  <si>
    <t>Mes/Año de inicio</t>
  </si>
  <si>
    <t>Breve explicación de las diferencias</t>
  </si>
  <si>
    <t>Mes/Año de terminación</t>
  </si>
  <si>
    <t>Duración total (meses)</t>
  </si>
  <si>
    <r>
      <rPr>
        <b/>
        <sz val="11"/>
        <rFont val="Calibri"/>
        <family val="2"/>
        <scheme val="minor"/>
      </rPr>
      <t>2.12.02</t>
    </r>
    <r>
      <rPr>
        <sz val="11"/>
        <rFont val="Calibri"/>
        <family val="2"/>
        <scheme val="minor"/>
      </rPr>
      <t>. Índices de ajuste</t>
    </r>
  </si>
  <si>
    <t>Año 0         Eval. EX ANTE</t>
  </si>
  <si>
    <t>IPIM Real según Crono Ex Ante</t>
  </si>
  <si>
    <t>Tipo de cambio s/Crono Ex Ante</t>
  </si>
  <si>
    <t>Año 0         Eval. EX POST</t>
  </si>
  <si>
    <t>IPIM Real según Crono Ex Post</t>
  </si>
  <si>
    <t>Tipo de cambio s/Crono Ex Post</t>
  </si>
  <si>
    <r>
      <rPr>
        <b/>
        <sz val="11"/>
        <rFont val="Calibri"/>
        <family val="2"/>
        <scheme val="minor"/>
      </rPr>
      <t>2.12.03</t>
    </r>
    <r>
      <rPr>
        <sz val="11"/>
        <rFont val="Calibri"/>
        <family val="2"/>
        <scheme val="minor"/>
      </rPr>
      <t xml:space="preserve">. Cronograma de ejecución de la </t>
    </r>
    <r>
      <rPr>
        <b/>
        <sz val="11"/>
        <rFont val="Calibri"/>
        <family val="2"/>
        <scheme val="minor"/>
      </rPr>
      <t>OBRA FÍSICA - REAL EX POST</t>
    </r>
  </si>
  <si>
    <t>% s/Total de la Obra</t>
  </si>
  <si>
    <t>MM/AA Inicio</t>
  </si>
  <si>
    <t>MM/AA Final</t>
  </si>
  <si>
    <t>% Total</t>
  </si>
  <si>
    <r>
      <rPr>
        <b/>
        <sz val="11"/>
        <rFont val="Calibri"/>
        <family val="2"/>
        <scheme val="minor"/>
      </rPr>
      <t>2.12.04</t>
    </r>
    <r>
      <rPr>
        <sz val="11"/>
        <rFont val="Calibri"/>
        <family val="2"/>
        <scheme val="minor"/>
      </rPr>
      <t>. Análisis de las Diferencias de la EJECUCIÓN FÍSICA</t>
    </r>
  </si>
  <si>
    <t>% Total EX POST -  % Total EX ANTE</t>
  </si>
  <si>
    <t>Avance Acumulado Estimado Ex Ante</t>
  </si>
  <si>
    <t>Avance Acumulado Real Ex Post</t>
  </si>
  <si>
    <t>Breve explicación de las diferencias entre la ejecución física prevista y la real.</t>
  </si>
  <si>
    <r>
      <rPr>
        <b/>
        <sz val="11"/>
        <rFont val="Calibri"/>
        <family val="2"/>
        <scheme val="minor"/>
      </rPr>
      <t>2.12.05.</t>
    </r>
    <r>
      <rPr>
        <sz val="11"/>
        <rFont val="Calibri"/>
        <family val="2"/>
        <scheme val="minor"/>
      </rPr>
      <t xml:space="preserve"> Comparación de la Inversión Total</t>
    </r>
  </si>
  <si>
    <t>Inversión Total</t>
  </si>
  <si>
    <t>Ex Ante (Proyectada)</t>
  </si>
  <si>
    <t>Ex Post 
(Real)</t>
  </si>
  <si>
    <t>Diferencia financiera
Ex Post - Ex Ante</t>
  </si>
  <si>
    <t>En millones de pesos corrientes</t>
  </si>
  <si>
    <t>Breve explicación de las diferencias entre 
la ejecución financiera prevista y la real.</t>
  </si>
  <si>
    <t>En millones de pesos del Año 0 (deflacionado por inflación real)</t>
  </si>
  <si>
    <r>
      <rPr>
        <b/>
        <sz val="11"/>
        <rFont val="Calibri"/>
        <family val="2"/>
        <scheme val="minor"/>
      </rPr>
      <t>2.12.06A</t>
    </r>
    <r>
      <rPr>
        <sz val="11"/>
        <rFont val="Calibri"/>
        <family val="2"/>
        <scheme val="minor"/>
      </rPr>
      <t xml:space="preserve">. Cronograma de la ejecución </t>
    </r>
    <r>
      <rPr>
        <b/>
        <sz val="11"/>
        <rFont val="Calibri"/>
        <family val="2"/>
        <scheme val="minor"/>
      </rPr>
      <t>FINANCIERA EN PESOS - REAL EX POST (En millones de pesos de cada período)</t>
    </r>
  </si>
  <si>
    <t>% Valor s/Costo Total</t>
  </si>
  <si>
    <t>Costo por Tarea ($ Millones</t>
  </si>
  <si>
    <t>Redeterminaciones</t>
  </si>
  <si>
    <t>Acumulado (%)</t>
  </si>
  <si>
    <r>
      <rPr>
        <b/>
        <sz val="11"/>
        <rFont val="Calibri"/>
        <family val="2"/>
        <scheme val="minor"/>
      </rPr>
      <t xml:space="preserve">2.12.06B. </t>
    </r>
    <r>
      <rPr>
        <sz val="11"/>
        <rFont val="Calibri"/>
        <family val="2"/>
        <scheme val="minor"/>
      </rPr>
      <t>Cronograma de la ejecución FINANCIERA EN DÓLARES y PESIFICADO - REAL EX POST (En moneda de cada período)</t>
    </r>
  </si>
  <si>
    <t>% Valor s/Costo Total en Pesos</t>
  </si>
  <si>
    <t>Costo por Tarea (USD miles)</t>
  </si>
  <si>
    <t>Costo por Tarea ($ millones)</t>
  </si>
  <si>
    <r>
      <rPr>
        <b/>
        <sz val="11"/>
        <rFont val="Calibri"/>
        <family val="2"/>
        <scheme val="minor"/>
      </rPr>
      <t>2.12.06C.</t>
    </r>
    <r>
      <rPr>
        <sz val="11"/>
        <rFont val="Calibri"/>
        <family val="2"/>
        <scheme val="minor"/>
      </rPr>
      <t xml:space="preserve"> Resumen de la </t>
    </r>
    <r>
      <rPr>
        <b/>
        <sz val="11"/>
        <rFont val="Calibri"/>
        <family val="2"/>
        <scheme val="minor"/>
      </rPr>
      <t xml:space="preserve">EJECUCIÓN FINANCIERA EX ANTE Y EX POST </t>
    </r>
    <r>
      <rPr>
        <sz val="11"/>
        <rFont val="Calibri"/>
        <family val="2"/>
        <scheme val="minor"/>
      </rPr>
      <t>(En moneda CONSTANTE, NETA DE INFLACIÓN REAL)</t>
    </r>
  </si>
  <si>
    <t>RESUMEN EJECUCIÓN FINANCIERA EX ANTE</t>
  </si>
  <si>
    <t>Total Ex Ante        ($ millones)</t>
  </si>
  <si>
    <t>En Pesos, neta de inflación real</t>
  </si>
  <si>
    <t>En Dólares, pesificada al tipo de cambio original</t>
  </si>
  <si>
    <t>TOTAL EJEC.FINANCIERA EX ANTE CON AJUSTES</t>
  </si>
  <si>
    <t>Ejecución Financiera % Ex Ante</t>
  </si>
  <si>
    <t>Ejecución Financiera % Acumulada Ex Ante</t>
  </si>
  <si>
    <t>RESUMEN EJECUCIÓN FINANCIERA EX POST</t>
  </si>
  <si>
    <t>Total Ex Post          ($ millones)</t>
  </si>
  <si>
    <t>En Pesos, incluye Inflación Real</t>
  </si>
  <si>
    <t>En Dólares, pesificada al Tipo de Cambio Real</t>
  </si>
  <si>
    <t>TOTAL EJEC.FINANCIERA EX POST CON AJUSTES</t>
  </si>
  <si>
    <t>Ejecución Financiera % Ex Post</t>
  </si>
  <si>
    <t>Ejecución Financiera % Acumulada Ex Post</t>
  </si>
  <si>
    <r>
      <rPr>
        <b/>
        <sz val="11"/>
        <rFont val="Calibri"/>
        <family val="2"/>
        <scheme val="minor"/>
      </rPr>
      <t>2.12.07</t>
    </r>
    <r>
      <rPr>
        <sz val="11"/>
        <rFont val="Calibri"/>
        <family val="2"/>
        <scheme val="minor"/>
      </rPr>
      <t>. Análisis de las Diferencias de la EJECUCIÓN FINANCIERA</t>
    </r>
  </si>
  <si>
    <t>DIFERENCIA EJECUCIÓN FINANCIERA 
EX POST - EX ANTE</t>
  </si>
  <si>
    <t>Total Ex Post 
($ millones)</t>
  </si>
  <si>
    <t>Ejecución Financiera en PESOS</t>
  </si>
  <si>
    <t>Ejec. Fciera. en DÓLARES PESIFICADA</t>
  </si>
  <si>
    <t>TOTAL en PESOS</t>
  </si>
  <si>
    <t>Ejecución Financiera %</t>
  </si>
  <si>
    <t>Ejecución Financiera % Acumulada</t>
  </si>
  <si>
    <r>
      <rPr>
        <b/>
        <sz val="11"/>
        <rFont val="Calibri"/>
        <family val="2"/>
        <scheme val="minor"/>
      </rPr>
      <t>2.12.10.</t>
    </r>
    <r>
      <rPr>
        <sz val="11"/>
        <rFont val="Calibri"/>
        <family val="2"/>
        <scheme val="minor"/>
      </rPr>
      <t xml:space="preserve"> Nueva Estimación de Indicadores de Evaluación</t>
    </r>
  </si>
  <si>
    <t>Resultado Ex Ante</t>
  </si>
  <si>
    <t>Resultado        Ex Post</t>
  </si>
  <si>
    <t>Comentarios</t>
  </si>
  <si>
    <t>No Económica (Indicador Cuali/Cuantitativo)</t>
  </si>
  <si>
    <t>Cantidad o valor del indicador</t>
  </si>
  <si>
    <t>Indicador Económico</t>
  </si>
  <si>
    <t>Económica - Técnica</t>
  </si>
  <si>
    <t>Económica - Método</t>
  </si>
  <si>
    <t>2.13. Evaluación EX POST - RESULTADO</t>
  </si>
  <si>
    <r>
      <rPr>
        <b/>
        <sz val="11"/>
        <rFont val="Calibri"/>
        <family val="2"/>
        <scheme val="minor"/>
      </rPr>
      <t>2.13.00</t>
    </r>
    <r>
      <rPr>
        <sz val="11"/>
        <rFont val="Calibri"/>
        <family val="2"/>
        <scheme val="minor"/>
      </rPr>
      <t>. Índices de ajuste (ANUAL)</t>
    </r>
  </si>
  <si>
    <t>Año Carga    EX ANTE</t>
  </si>
  <si>
    <t>IPIM PREVISTO Ex Ante</t>
  </si>
  <si>
    <t>Año Carga    EX POST</t>
  </si>
  <si>
    <t>IPIM REAL Ex Post</t>
  </si>
  <si>
    <r>
      <rPr>
        <b/>
        <sz val="11"/>
        <rFont val="Calibri"/>
        <family val="2"/>
        <scheme val="minor"/>
      </rPr>
      <t>2.13.01</t>
    </r>
    <r>
      <rPr>
        <sz val="11"/>
        <rFont val="Calibri"/>
        <family val="2"/>
        <scheme val="minor"/>
      </rPr>
      <t>. Total Anual de Costos de Operación y Mantenimiento</t>
    </r>
  </si>
  <si>
    <t>Escenarios</t>
  </si>
  <si>
    <t>Nota metodológica:</t>
  </si>
  <si>
    <r>
      <rPr>
        <b/>
        <sz val="11"/>
        <rFont val="Calibri"/>
        <family val="2"/>
        <scheme val="minor"/>
      </rPr>
      <t>EX ANTE</t>
    </r>
    <r>
      <rPr>
        <sz val="11"/>
        <rFont val="Calibri"/>
        <family val="2"/>
        <scheme val="minor"/>
      </rPr>
      <t>: $ Millones corrientes (calculado en moneda constante o con inflación proyectada)</t>
    </r>
  </si>
  <si>
    <t>Descripción de los costos</t>
  </si>
  <si>
    <t xml:space="preserve">La descripción de los costos debe ser solo un título, para </t>
  </si>
  <si>
    <r>
      <rPr>
        <b/>
        <sz val="11"/>
        <rFont val="Calibri"/>
        <family val="2"/>
        <scheme val="minor"/>
      </rPr>
      <t>EX ANTE:</t>
    </r>
    <r>
      <rPr>
        <sz val="11"/>
        <rFont val="Calibri"/>
        <family val="2"/>
        <scheme val="minor"/>
      </rPr>
      <t xml:space="preserve"> $ Millones, deflactado al Año 0, inflación real hasta Año 5 de operación</t>
    </r>
  </si>
  <si>
    <t>facilita su interpretación</t>
  </si>
  <si>
    <r>
      <rPr>
        <b/>
        <sz val="11"/>
        <rFont val="Calibri"/>
        <family val="2"/>
        <scheme val="minor"/>
      </rPr>
      <t>EX POST:</t>
    </r>
    <r>
      <rPr>
        <sz val="11"/>
        <rFont val="Calibri"/>
        <family val="2"/>
        <scheme val="minor"/>
      </rPr>
      <t xml:space="preserve"> $ Millones, ejecutados y devengados al Año 5 de operación, inflación real</t>
    </r>
  </si>
  <si>
    <r>
      <rPr>
        <b/>
        <sz val="11"/>
        <rFont val="Calibri"/>
        <family val="2"/>
        <scheme val="minor"/>
      </rPr>
      <t>EX POST:</t>
    </r>
    <r>
      <rPr>
        <sz val="11"/>
        <rFont val="Calibri"/>
        <family val="2"/>
        <scheme val="minor"/>
      </rPr>
      <t xml:space="preserve"> $ Millones, ejecutados y devengados al Año 5 de operación, deflactados al Año 0</t>
    </r>
  </si>
  <si>
    <t>EX POST - EX  ANTE, deflactados al Año 0</t>
  </si>
  <si>
    <r>
      <rPr>
        <b/>
        <sz val="11"/>
        <rFont val="Calibri"/>
        <family val="2"/>
        <scheme val="minor"/>
      </rPr>
      <t>2.13.02.</t>
    </r>
    <r>
      <rPr>
        <sz val="11"/>
        <rFont val="Calibri"/>
        <family val="2"/>
        <scheme val="minor"/>
      </rPr>
      <t xml:space="preserve"> Total Anual de Beneficiarios u Otros Indicadores Físicos de Beneficios</t>
    </r>
  </si>
  <si>
    <t>Indicador Físico</t>
  </si>
  <si>
    <t>EX ANTE: Beneficiarios u otros indicadores físicos proyectados</t>
  </si>
  <si>
    <t>Detalle del indicador</t>
  </si>
  <si>
    <t>Valor que toma el indicador</t>
  </si>
  <si>
    <t>EX POST: Beneficiarios u otros indicadores físicos efectivamente incurridos</t>
  </si>
  <si>
    <r>
      <rPr>
        <b/>
        <sz val="11"/>
        <rFont val="Calibri"/>
        <family val="2"/>
        <scheme val="minor"/>
      </rPr>
      <t>2.13.03</t>
    </r>
    <r>
      <rPr>
        <sz val="11"/>
        <rFont val="Calibri"/>
        <family val="2"/>
        <scheme val="minor"/>
      </rPr>
      <t>. Total Anual de Ingresos</t>
    </r>
  </si>
  <si>
    <r>
      <rPr>
        <b/>
        <sz val="11"/>
        <rFont val="Calibri"/>
        <family val="2"/>
        <scheme val="minor"/>
      </rPr>
      <t>EX ANTE:</t>
    </r>
    <r>
      <rPr>
        <sz val="11"/>
        <rFont val="Calibri"/>
        <family val="2"/>
        <scheme val="minor"/>
      </rPr>
      <t xml:space="preserve"> Ingresos en $ millones corrientes o constantes (según método de proyección)</t>
    </r>
  </si>
  <si>
    <r>
      <rPr>
        <b/>
        <sz val="11"/>
        <rFont val="Calibri"/>
        <family val="2"/>
        <scheme val="minor"/>
      </rPr>
      <t>EX ANTE:</t>
    </r>
    <r>
      <rPr>
        <sz val="11"/>
        <rFont val="Calibri"/>
        <family val="2"/>
        <scheme val="minor"/>
      </rPr>
      <t xml:space="preserve"> Ingresos en $ Millones, deflactado al Año 0, inflación real hasta Año 5 de operación</t>
    </r>
  </si>
  <si>
    <r>
      <rPr>
        <b/>
        <sz val="11"/>
        <rFont val="Calibri"/>
        <family val="2"/>
        <scheme val="minor"/>
      </rPr>
      <t>EX POST</t>
    </r>
    <r>
      <rPr>
        <sz val="11"/>
        <rFont val="Calibri"/>
        <family val="2"/>
        <scheme val="minor"/>
      </rPr>
      <t>: Ingresos en $ Millones, ejecutados y devengados al Año 5 de operación, inflación real</t>
    </r>
  </si>
  <si>
    <r>
      <rPr>
        <b/>
        <sz val="11"/>
        <rFont val="Calibri"/>
        <family val="2"/>
        <scheme val="minor"/>
      </rPr>
      <t>EX POST</t>
    </r>
    <r>
      <rPr>
        <sz val="11"/>
        <rFont val="Calibri"/>
        <family val="2"/>
        <scheme val="minor"/>
      </rPr>
      <t>: Ingresos en $ Millones, ejecutados y devengados al Año 5 de operación, deflactados al Año 0</t>
    </r>
  </si>
  <si>
    <r>
      <rPr>
        <b/>
        <sz val="11"/>
        <rFont val="Calibri"/>
        <family val="2"/>
        <scheme val="minor"/>
      </rPr>
      <t>2.13.04</t>
    </r>
    <r>
      <rPr>
        <sz val="11"/>
        <rFont val="Calibri"/>
        <family val="2"/>
        <scheme val="minor"/>
      </rPr>
      <t>. Nueva Estimación de Indicadores - Evaluación Ex Post de Resultado</t>
    </r>
  </si>
  <si>
    <t>Los montos en pesos están expresados en moneda del Año 0</t>
  </si>
  <si>
    <t>Valor Ex Ante</t>
  </si>
  <si>
    <t>Valor Ex Post Terminación</t>
  </si>
  <si>
    <t>Valor Ex Post Resultado</t>
  </si>
  <si>
    <t>x</t>
  </si>
  <si>
    <t>DATOS AUXILIARES - NO BORRAR</t>
  </si>
  <si>
    <t>Listado para cálculo pantalla 2.10.02</t>
  </si>
  <si>
    <t>Sobre cada tarea</t>
  </si>
  <si>
    <t>EVALUACIÓN DE TERMINACIÓN</t>
  </si>
  <si>
    <t>ACLARACIÓN:</t>
  </si>
  <si>
    <t>FORMULARIOS</t>
  </si>
  <si>
    <t>Los datos que deben cargarse son únicamente los</t>
  </si>
  <si>
    <t>El Paramillo, Mendoza, Colector Boedo – Ponce</t>
  </si>
  <si>
    <r>
      <rPr>
        <i/>
        <sz val="11"/>
        <color theme="1"/>
        <rFont val="Calibri"/>
        <family val="2"/>
        <scheme val="minor"/>
      </rPr>
      <t xml:space="preserve">que están en celdas con </t>
    </r>
    <r>
      <rPr>
        <b/>
        <i/>
        <sz val="11"/>
        <color rgb="FF0000FF"/>
        <rFont val="Calibri"/>
        <family val="2"/>
        <scheme val="minor"/>
      </rPr>
      <t>letras azules</t>
    </r>
    <r>
      <rPr>
        <i/>
        <sz val="11"/>
        <color theme="1"/>
        <rFont val="Calibri"/>
        <family val="2"/>
        <scheme val="minor"/>
      </rPr>
      <t>.</t>
    </r>
  </si>
  <si>
    <r>
      <rPr>
        <b/>
        <sz val="11"/>
        <color theme="1"/>
        <rFont val="Calibri"/>
        <family val="2"/>
        <scheme val="minor"/>
      </rPr>
      <t xml:space="preserve">2.10. Cronograma de Gastos </t>
    </r>
    <r>
      <rPr>
        <b/>
        <sz val="11"/>
        <color rgb="FFFF0000"/>
        <rFont val="Calibri"/>
        <family val="2"/>
        <scheme val="minor"/>
      </rPr>
      <t>y Ejecución Prevista del Proyecto</t>
    </r>
  </si>
  <si>
    <t>En millones de pesos, si se hiciera toda en el Año 0</t>
  </si>
  <si>
    <t>Valor de contratación, no del estudio o del pliego de licitación</t>
  </si>
  <si>
    <t>Fecha prevista de inicio de la inversión luego de la licitación, no la fecha estimada en el estudio de preinversión</t>
  </si>
  <si>
    <r>
      <rPr>
        <b/>
        <sz val="11"/>
        <color rgb="FFFF0000"/>
        <rFont val="Calibri"/>
        <family val="2"/>
        <scheme val="minor"/>
      </rPr>
      <t>2.10.01.</t>
    </r>
    <r>
      <rPr>
        <sz val="11"/>
        <color rgb="FFFF0000"/>
        <rFont val="Calibri"/>
        <family val="2"/>
        <scheme val="minor"/>
      </rPr>
      <t xml:space="preserve"> Índices de Ajuste PROYECTADOS EX ANTE</t>
    </r>
  </si>
  <si>
    <t>Año 0 Eval. Ex Ante</t>
  </si>
  <si>
    <r>
      <rPr>
        <b/>
        <sz val="11"/>
        <color rgb="FFFF0000"/>
        <rFont val="Calibri"/>
        <family val="2"/>
        <scheme val="minor"/>
      </rPr>
      <t>2.10.02</t>
    </r>
    <r>
      <rPr>
        <sz val="11"/>
        <color rgb="FFFF0000"/>
        <rFont val="Calibri"/>
        <family val="2"/>
        <scheme val="minor"/>
      </rPr>
      <t xml:space="preserve">. Cronograma de ejecución de la </t>
    </r>
    <r>
      <rPr>
        <b/>
        <sz val="11"/>
        <color rgb="FFFF0000"/>
        <rFont val="Calibri"/>
        <family val="2"/>
        <scheme val="minor"/>
      </rPr>
      <t>OBRA FÍSICA - PREVISTO EX ANTE</t>
    </r>
  </si>
  <si>
    <t>jun.-20</t>
  </si>
  <si>
    <r>
      <rPr>
        <b/>
        <sz val="11"/>
        <color rgb="FFFF0000"/>
        <rFont val="Calibri"/>
        <family val="2"/>
        <scheme val="minor"/>
      </rPr>
      <t>2.10.03A</t>
    </r>
    <r>
      <rPr>
        <sz val="11"/>
        <color rgb="FFFF0000"/>
        <rFont val="Calibri"/>
        <family val="2"/>
        <scheme val="minor"/>
      </rPr>
      <t>. Cronograma de la ejecución</t>
    </r>
    <r>
      <rPr>
        <b/>
        <sz val="11"/>
        <color rgb="FFFF0000"/>
        <rFont val="Calibri"/>
        <family val="2"/>
        <scheme val="minor"/>
      </rPr>
      <t xml:space="preserve"> FINANCIERA EN PESOS - PREVISTO EX ANTE (</t>
    </r>
    <r>
      <rPr>
        <b/>
        <u/>
        <sz val="11"/>
        <color rgb="FFFF0000"/>
        <rFont val="Calibri"/>
        <family val="2"/>
        <scheme val="minor"/>
      </rPr>
      <t>Millones de pesos</t>
    </r>
    <r>
      <rPr>
        <b/>
        <sz val="11"/>
        <color rgb="FFFF0000"/>
        <rFont val="Calibri"/>
        <family val="2"/>
        <scheme val="minor"/>
      </rPr>
      <t>)</t>
    </r>
  </si>
  <si>
    <r>
      <rPr>
        <b/>
        <sz val="11"/>
        <color rgb="FFFF0000"/>
        <rFont val="Calibri"/>
        <family val="2"/>
        <scheme val="minor"/>
      </rPr>
      <t xml:space="preserve">2.10.03B. </t>
    </r>
    <r>
      <rPr>
        <sz val="11"/>
        <color rgb="FFFF0000"/>
        <rFont val="Calibri"/>
        <family val="2"/>
        <scheme val="minor"/>
      </rPr>
      <t>Cronograma de la ejecución</t>
    </r>
    <r>
      <rPr>
        <b/>
        <sz val="11"/>
        <color rgb="FFFF0000"/>
        <rFont val="Calibri"/>
        <family val="2"/>
        <scheme val="minor"/>
      </rPr>
      <t xml:space="preserve"> FINANCIERA EN DÓLARES y PESIFICADO - PREVISTO EX ANTE (</t>
    </r>
    <r>
      <rPr>
        <b/>
        <u/>
        <sz val="11"/>
        <color rgb="FFFF0000"/>
        <rFont val="Calibri"/>
        <family val="2"/>
        <scheme val="minor"/>
      </rPr>
      <t>Millones de dólares</t>
    </r>
    <r>
      <rPr>
        <b/>
        <sz val="11"/>
        <color rgb="FFFF0000"/>
        <rFont val="Calibri"/>
        <family val="2"/>
        <scheme val="minor"/>
      </rPr>
      <t>)</t>
    </r>
  </si>
  <si>
    <r>
      <rPr>
        <b/>
        <sz val="11"/>
        <color rgb="FFFF0000"/>
        <rFont val="Calibri"/>
        <family val="2"/>
        <scheme val="minor"/>
      </rPr>
      <t>2.10.03C</t>
    </r>
    <r>
      <rPr>
        <sz val="11"/>
        <color rgb="FFFF0000"/>
        <rFont val="Calibri"/>
        <family val="2"/>
        <scheme val="minor"/>
      </rPr>
      <t>. Cronograma de la ejecución</t>
    </r>
    <r>
      <rPr>
        <b/>
        <sz val="11"/>
        <color rgb="FFFF0000"/>
        <rFont val="Calibri"/>
        <family val="2"/>
        <scheme val="minor"/>
      </rPr>
      <t xml:space="preserve"> FINANCIERA TOTAL EN PESOS - PREVISTO EX ANTE (</t>
    </r>
    <r>
      <rPr>
        <b/>
        <u/>
        <sz val="11"/>
        <color rgb="FFFF0000"/>
        <rFont val="Calibri"/>
        <family val="2"/>
        <scheme val="minor"/>
      </rPr>
      <t>Millones de pesos</t>
    </r>
    <r>
      <rPr>
        <b/>
        <sz val="11"/>
        <color rgb="FFFF0000"/>
        <rFont val="Calibri"/>
        <family val="2"/>
        <scheme val="minor"/>
      </rPr>
      <t>)</t>
    </r>
  </si>
  <si>
    <t>Total ($ millones corrientes)</t>
  </si>
  <si>
    <t>2.11. Evaluación EX ANTE</t>
  </si>
  <si>
    <t>2.12.0 - Evaluación EX POST - TERMINACIÓN</t>
  </si>
  <si>
    <r>
      <rPr>
        <b/>
        <sz val="11"/>
        <color rgb="FFFF0000"/>
        <rFont val="Calibri"/>
        <family val="2"/>
        <scheme val="minor"/>
      </rPr>
      <t>2.12.00</t>
    </r>
    <r>
      <rPr>
        <sz val="11"/>
        <color rgb="FFFF0000"/>
        <rFont val="Calibri"/>
        <family val="2"/>
        <scheme val="minor"/>
      </rPr>
      <t>. - Cumplimiento de las Condiciones para la Evaluación de Terminación</t>
    </r>
  </si>
  <si>
    <t>¿Están asignados y con autorización de pago todos las erogaciones de inversión?</t>
  </si>
  <si>
    <t>EX ANTE - Meta física principal</t>
  </si>
  <si>
    <t>EX ANTE - Capacidad de operación</t>
  </si>
  <si>
    <t>Los objetivos físicos y tecnológicos de la inversión se lograron de acuerdo a lo planeado</t>
  </si>
  <si>
    <t>EX POST - Meta física principal</t>
  </si>
  <si>
    <t>EX POST - Capacidad de operación</t>
  </si>
  <si>
    <r>
      <rPr>
        <b/>
        <sz val="11"/>
        <color rgb="FFFF0000"/>
        <rFont val="Calibri"/>
        <family val="2"/>
        <scheme val="minor"/>
      </rPr>
      <t>2.12.01.</t>
    </r>
    <r>
      <rPr>
        <sz val="11"/>
        <color rgb="FFFF0000"/>
        <rFont val="Calibri"/>
        <family val="2"/>
        <scheme val="minor"/>
      </rPr>
      <t xml:space="preserve"> Comparación de la Duración Total</t>
    </r>
  </si>
  <si>
    <r>
      <rPr>
        <b/>
        <sz val="11"/>
        <color rgb="FFFF0000"/>
        <rFont val="Calibri"/>
        <family val="2"/>
        <scheme val="minor"/>
      </rPr>
      <t>2.12.02</t>
    </r>
    <r>
      <rPr>
        <sz val="11"/>
        <color rgb="FFFF0000"/>
        <rFont val="Calibri"/>
        <family val="2"/>
        <scheme val="minor"/>
      </rPr>
      <t>. Índices de ajuste</t>
    </r>
  </si>
  <si>
    <r>
      <rPr>
        <b/>
        <sz val="11"/>
        <color rgb="FFFF0000"/>
        <rFont val="Calibri"/>
        <family val="2"/>
        <scheme val="minor"/>
      </rPr>
      <t>2.12.03</t>
    </r>
    <r>
      <rPr>
        <sz val="11"/>
        <color rgb="FFFF0000"/>
        <rFont val="Calibri"/>
        <family val="2"/>
        <scheme val="minor"/>
      </rPr>
      <t xml:space="preserve">. Cronograma de ejecución de la </t>
    </r>
    <r>
      <rPr>
        <b/>
        <sz val="11"/>
        <color rgb="FFFF0000"/>
        <rFont val="Calibri"/>
        <family val="2"/>
        <scheme val="minor"/>
      </rPr>
      <t>OBRA FÍSICA - REAL EX POST</t>
    </r>
  </si>
  <si>
    <r>
      <rPr>
        <b/>
        <sz val="11"/>
        <color rgb="FFFF0000"/>
        <rFont val="Calibri"/>
        <family val="2"/>
        <scheme val="minor"/>
      </rPr>
      <t>2.12.04</t>
    </r>
    <r>
      <rPr>
        <sz val="11"/>
        <color rgb="FFFF0000"/>
        <rFont val="Calibri"/>
        <family val="2"/>
        <scheme val="minor"/>
      </rPr>
      <t>. Análisis de las Diferencias de la EJECUCIÓN FÍSICA</t>
    </r>
  </si>
  <si>
    <r>
      <rPr>
        <b/>
        <sz val="11"/>
        <color rgb="FFFF0000"/>
        <rFont val="Calibri"/>
        <family val="2"/>
        <scheme val="minor"/>
      </rPr>
      <t>2.12.05.</t>
    </r>
    <r>
      <rPr>
        <sz val="11"/>
        <color rgb="FFFF0000"/>
        <rFont val="Calibri"/>
        <family val="2"/>
        <scheme val="minor"/>
      </rPr>
      <t xml:space="preserve"> Comparación de la Inversión Total</t>
    </r>
  </si>
  <si>
    <t>Inversión</t>
  </si>
  <si>
    <t>Ex Post (Real)</t>
  </si>
  <si>
    <t>Ex Post -
 Ex Ante</t>
  </si>
  <si>
    <r>
      <rPr>
        <b/>
        <sz val="11"/>
        <color rgb="FFFF0000"/>
        <rFont val="Calibri"/>
        <family val="2"/>
        <scheme val="minor"/>
      </rPr>
      <t>2.12.06A</t>
    </r>
    <r>
      <rPr>
        <sz val="11"/>
        <color rgb="FFFF0000"/>
        <rFont val="Calibri"/>
        <family val="2"/>
        <scheme val="minor"/>
      </rPr>
      <t xml:space="preserve">. Cronograma de la ejecución </t>
    </r>
    <r>
      <rPr>
        <b/>
        <sz val="11"/>
        <color rgb="FFFF0000"/>
        <rFont val="Calibri"/>
        <family val="2"/>
        <scheme val="minor"/>
      </rPr>
      <t>FINANCIERA EN PESOS - REAL EX POST (En millones de pesos de cada período)</t>
    </r>
  </si>
  <si>
    <r>
      <rPr>
        <b/>
        <sz val="11"/>
        <color rgb="FFFF0000"/>
        <rFont val="Calibri"/>
        <family val="2"/>
        <scheme val="minor"/>
      </rPr>
      <t xml:space="preserve">2.12.06B. </t>
    </r>
    <r>
      <rPr>
        <sz val="11"/>
        <color rgb="FFFF0000"/>
        <rFont val="Calibri"/>
        <family val="2"/>
        <scheme val="minor"/>
      </rPr>
      <t>Cronograma de la ejecución FINANCIERA EN DÓLARES y PESIFICADO - REAL EX POST (En moneda de cada período)</t>
    </r>
  </si>
  <si>
    <r>
      <rPr>
        <b/>
        <sz val="11"/>
        <color rgb="FFFF0000"/>
        <rFont val="Calibri"/>
        <family val="2"/>
        <scheme val="minor"/>
      </rPr>
      <t>2.12.06C.</t>
    </r>
    <r>
      <rPr>
        <sz val="11"/>
        <color rgb="FFFF0000"/>
        <rFont val="Calibri"/>
        <family val="2"/>
        <scheme val="minor"/>
      </rPr>
      <t xml:space="preserve"> Resumen de la </t>
    </r>
    <r>
      <rPr>
        <b/>
        <sz val="11"/>
        <color rgb="FFFF0000"/>
        <rFont val="Calibri"/>
        <family val="2"/>
        <scheme val="minor"/>
      </rPr>
      <t xml:space="preserve">EJECUCIÓN FINANCIERA EX ANTE Y EX POST </t>
    </r>
    <r>
      <rPr>
        <sz val="11"/>
        <color rgb="FFFF0000"/>
        <rFont val="Calibri"/>
        <family val="2"/>
        <scheme val="minor"/>
      </rPr>
      <t>(En moneda CONSTANTE, NETA DE INFLACIÓN REAL)</t>
    </r>
  </si>
  <si>
    <t>Total Ex Ante ($ millones)</t>
  </si>
  <si>
    <t>Total Ex Post ($ millones)</t>
  </si>
  <si>
    <r>
      <rPr>
        <b/>
        <sz val="11"/>
        <color rgb="FFFF0000"/>
        <rFont val="Calibri"/>
        <family val="2"/>
        <scheme val="minor"/>
      </rPr>
      <t>2.12.07</t>
    </r>
    <r>
      <rPr>
        <sz val="11"/>
        <color rgb="FFFF0000"/>
        <rFont val="Calibri"/>
        <family val="2"/>
        <scheme val="minor"/>
      </rPr>
      <t>. Análisis de las Diferencias de la EJECUCIÓN FINANCIERA</t>
    </r>
  </si>
  <si>
    <t>EJECUCIÓN FINANCIERA EX POST - EX ANTE</t>
  </si>
  <si>
    <r>
      <rPr>
        <b/>
        <sz val="11"/>
        <color rgb="FFFF0000"/>
        <rFont val="Calibri"/>
        <family val="2"/>
        <scheme val="minor"/>
      </rPr>
      <t>2.12.10.</t>
    </r>
    <r>
      <rPr>
        <sz val="11"/>
        <color rgb="FFFF0000"/>
        <rFont val="Calibri"/>
        <family val="2"/>
        <scheme val="minor"/>
      </rPr>
      <t xml:space="preserve"> Nueva Estimación de Indicadores Económicos (Evaluación Económica)</t>
    </r>
  </si>
  <si>
    <t>Resultado Ex Post</t>
  </si>
  <si>
    <t>no corresponde</t>
  </si>
  <si>
    <t>2.13.00. Índices de ajuste (ANUAL)</t>
  </si>
  <si>
    <r>
      <rPr>
        <b/>
        <sz val="11"/>
        <color rgb="FFFF0000"/>
        <rFont val="Calibri"/>
        <family val="2"/>
        <scheme val="minor"/>
      </rPr>
      <t>2.13.01</t>
    </r>
    <r>
      <rPr>
        <sz val="11"/>
        <color rgb="FFFF0000"/>
        <rFont val="Calibri"/>
        <family val="2"/>
        <scheme val="minor"/>
      </rPr>
      <t>. Total Anual de Costos de Operación y Mantenimiento</t>
    </r>
  </si>
  <si>
    <t>EX ANTE: $ Millones corrientes (calculado en moneda constante o con inflación proyectada)</t>
  </si>
  <si>
    <t>EX ANTE: $ Millones, deflactado al Año 0, inflación real hasta Año 5 de operación</t>
  </si>
  <si>
    <t>EX POST: $ Millones, ejecutados y devengados al Año 5 de operación, inflación real</t>
  </si>
  <si>
    <t>EX POST:$ Millones, ejecutados y devengados al Año 5 de operación, deflactados al Año 0</t>
  </si>
  <si>
    <r>
      <rPr>
        <b/>
        <sz val="11"/>
        <color rgb="FFFF0000"/>
        <rFont val="Calibri"/>
        <family val="2"/>
        <scheme val="minor"/>
      </rPr>
      <t>2.13.02.</t>
    </r>
    <r>
      <rPr>
        <sz val="11"/>
        <color rgb="FFFF0000"/>
        <rFont val="Calibri"/>
        <family val="2"/>
        <scheme val="minor"/>
      </rPr>
      <t xml:space="preserve"> Total Anual de Beneficiarios u Otros Indicadores Físicos de Beneficios</t>
    </r>
  </si>
  <si>
    <t>Toneladas operadas</t>
  </si>
  <si>
    <r>
      <rPr>
        <b/>
        <sz val="11"/>
        <color rgb="FFFF0000"/>
        <rFont val="Calibri"/>
        <family val="2"/>
        <scheme val="minor"/>
      </rPr>
      <t>2.13.03</t>
    </r>
    <r>
      <rPr>
        <sz val="11"/>
        <color rgb="FFFF0000"/>
        <rFont val="Calibri"/>
        <family val="2"/>
        <scheme val="minor"/>
      </rPr>
      <t>. Total Anual de Ingresos</t>
    </r>
  </si>
  <si>
    <t>EX ANTE: Ingresos en $ millones corrientes o constantes (según método de proyección)</t>
  </si>
  <si>
    <t>EX ANTE: Ingresos en $ Millones, deflactado al Año 0, inflación real hasta Año 5 de operación</t>
  </si>
  <si>
    <t>EX POST: Ingresos en $ Millones, ejecutados y devengados al Año 5 de operación, inflación real</t>
  </si>
  <si>
    <t>EX POST:Ingresos en $ Millones, ejecutados y devengados al Año 5 de operación, deflactados al Año 0</t>
  </si>
  <si>
    <r>
      <rPr>
        <b/>
        <sz val="11"/>
        <color rgb="FFFF0000"/>
        <rFont val="Calibri"/>
        <family val="2"/>
        <scheme val="minor"/>
      </rPr>
      <t>2.13.04</t>
    </r>
    <r>
      <rPr>
        <sz val="11"/>
        <color rgb="FFFF0000"/>
        <rFont val="Calibri"/>
        <family val="2"/>
        <scheme val="minor"/>
      </rPr>
      <t>. Nueva Estimación de Indicadores - Evaluación Ex Post de Resultado</t>
    </r>
  </si>
  <si>
    <t>CALENDARIOs</t>
  </si>
  <si>
    <t>EX ANTE</t>
  </si>
  <si>
    <t>Fecha inicio</t>
  </si>
  <si>
    <t>Fecha de cierre</t>
  </si>
  <si>
    <t>EX POST</t>
  </si>
  <si>
    <t>Cálculo Años</t>
  </si>
  <si>
    <t>Años Ex Ante</t>
  </si>
  <si>
    <t>Años Ex Post</t>
  </si>
  <si>
    <t>INDEC - Índice de Precios Internos al Por Mayor</t>
  </si>
  <si>
    <t>Fuente de los datos</t>
  </si>
  <si>
    <t>Hasta dic 2015: https://www.indec.gob.ar/indec/web/Nivel4-Tema-3-5-32. En vínculo "Serie mensual desde 1996 en adelante".</t>
  </si>
  <si>
    <t>Desde dic 2015: https://www.indec.gob.ar/ftp/cuadros/economia/series_sipm_dic2015.xls</t>
  </si>
  <si>
    <t>Calendario ex ante</t>
  </si>
  <si>
    <t>Calendario ex post</t>
  </si>
  <si>
    <t>IPIM</t>
  </si>
  <si>
    <t>Nivel general</t>
  </si>
  <si>
    <t>Variación del índice base 1993</t>
  </si>
  <si>
    <t>Hasta feb 2002: Serie  de tipo de cambio nominal BCRA</t>
  </si>
  <si>
    <t>Tipo de cambio $/USD promedio mensual</t>
  </si>
  <si>
    <t>NO MODIFICAR NI MANIPULAR DATOS DE ESTA SOLAPA</t>
  </si>
  <si>
    <t>Desde mar 2002: Serie de tipo de cambio Com. A 3500 BCRA (promedio mensual)</t>
  </si>
  <si>
    <t>Resultado</t>
  </si>
  <si>
    <t>Comentarios / Aclaraciones</t>
  </si>
  <si>
    <t>Fuente de información</t>
  </si>
  <si>
    <t>Comprobación (s/ Total Obra)</t>
  </si>
  <si>
    <r>
      <rPr>
        <b/>
        <sz val="11"/>
        <rFont val="Calibri"/>
        <family val="2"/>
        <scheme val="minor"/>
      </rPr>
      <t xml:space="preserve">2.12.06B Bis. </t>
    </r>
    <r>
      <rPr>
        <sz val="11"/>
        <rFont val="Calibri"/>
        <family val="2"/>
        <scheme val="minor"/>
      </rPr>
      <t>Cronograma de la ejecución FINANCIERA EN DÓLARES y PESIFICADO - REAL EX POST (En moneda de cada período)</t>
    </r>
  </si>
  <si>
    <r>
      <rPr>
        <b/>
        <sz val="11"/>
        <rFont val="Calibri"/>
        <family val="2"/>
        <scheme val="minor"/>
      </rPr>
      <t>2.12.03 Bis</t>
    </r>
    <r>
      <rPr>
        <sz val="11"/>
        <rFont val="Calibri"/>
        <family val="2"/>
        <scheme val="minor"/>
      </rPr>
      <t xml:space="preserve">. Cronograma de ejecución de la </t>
    </r>
    <r>
      <rPr>
        <b/>
        <sz val="11"/>
        <rFont val="Calibri"/>
        <family val="2"/>
        <scheme val="minor"/>
      </rPr>
      <t>OBRA FÍSICA - REAL EX POST</t>
    </r>
  </si>
  <si>
    <r>
      <rPr>
        <b/>
        <sz val="11"/>
        <rFont val="Calibri"/>
        <family val="2"/>
        <scheme val="minor"/>
      </rPr>
      <t>2.12.06A</t>
    </r>
    <r>
      <rPr>
        <sz val="11"/>
        <rFont val="Calibri"/>
        <family val="2"/>
        <scheme val="minor"/>
      </rPr>
      <t xml:space="preserve"> </t>
    </r>
    <r>
      <rPr>
        <b/>
        <sz val="11"/>
        <rFont val="Calibri"/>
        <family val="2"/>
        <scheme val="minor"/>
      </rPr>
      <t>Bis.</t>
    </r>
    <r>
      <rPr>
        <sz val="11"/>
        <rFont val="Calibri"/>
        <family val="2"/>
        <scheme val="minor"/>
      </rPr>
      <t xml:space="preserve"> Cronograma de la ejecución </t>
    </r>
    <r>
      <rPr>
        <b/>
        <sz val="11"/>
        <rFont val="Calibri"/>
        <family val="2"/>
        <scheme val="minor"/>
      </rPr>
      <t>FINANCIERA EN PESOS - REAL EX POST (En millones de pesos de cada período)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</si>
</sst>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3">
    <numFmt numFmtId="44" formatCode="_(&quot;$&quot;\ * #,##0.00_);_(&quot;$&quot;\ * \(#,##0.00\);_(&quot;$&quot;\ * &quot;-&quot;??_);_(@_)"/>
    <numFmt numFmtId="164" formatCode="&quot;$&quot;\ #,##0.00;[Red]\-&quot;$&quot;\ #,##0.00"/>
    <numFmt numFmtId="165" formatCode="_-* #,##0.00_-;\-* #,##0.00_-;_-* &quot;-&quot;??_-;_-@_-"/>
    <numFmt numFmtId="166" formatCode="[$-C0A]d\-mmm\-yy;@"/>
    <numFmt numFmtId="167" formatCode="0.0"/>
    <numFmt numFmtId="168" formatCode="#,##0.0"/>
    <numFmt numFmtId="169" formatCode="dd/mm/yyyy;@"/>
    <numFmt numFmtId="170" formatCode="[$$-2C0A]\ #,##0.0"/>
    <numFmt numFmtId="171" formatCode="[$$-2C0A]\ #,##0"/>
    <numFmt numFmtId="172" formatCode="[$-C0A]mmm\-yy;@"/>
    <numFmt numFmtId="173" formatCode="&quot;$/USD&quot;\ #,##0"/>
    <numFmt numFmtId="174" formatCode="[$$-2C0A]\ #,##0.00"/>
    <numFmt numFmtId="175" formatCode="&quot;USD&quot;\ #,##0.0"/>
    <numFmt numFmtId="176" formatCode="#,##0.00\ &quot;€&quot;;[Red]\-#,##0.00\ &quot;€&quot;"/>
    <numFmt numFmtId="177" formatCode="0.0%"/>
    <numFmt numFmtId="178" formatCode="&quot;USD&quot;\ #,##0"/>
    <numFmt numFmtId="179" formatCode="&quot;$/USD&quot;\ #,##0.0"/>
    <numFmt numFmtId="180" formatCode="&quot;Trimestre&quot;\ #,##0"/>
    <numFmt numFmtId="181" formatCode="&quot;Año &quot;#,##0"/>
    <numFmt numFmtId="182" formatCode="_-* #,##0_-;\-* #,##0_-;_-* &quot;-&quot;??_-;_-@_-"/>
    <numFmt numFmtId="183" formatCode="d\-m\-yy;@"/>
    <numFmt numFmtId="184" formatCode="_(&quot;$&quot;\ * #,##0.0_);_(&quot;$&quot;\ * \(#,##0.0\);_(&quot;$&quot;\ * &quot;-&quot;??_);_(@_)"/>
    <numFmt numFmtId="185" formatCode="_-* #,##0.00\ _p_t_a_-;\-* #,##0.00\ _p_t_a_-;_-* &quot;-&quot;??\ _p_t_a_-;_-@_-"/>
  </numFmts>
  <fonts count="44" x14ac:knownFonts="1">
    <font>
      <sz val="11"/>
      <color theme="1"/>
      <name val="Calibri"/>
      <charset val="134"/>
      <scheme val="minor"/>
    </font>
    <font>
      <sz val="11"/>
      <color theme="1"/>
      <name val="Calibri"/>
      <family val="2"/>
      <scheme val="minor"/>
    </font>
    <font>
      <sz val="11"/>
      <color theme="1"/>
      <name val="Calibri"/>
      <family val="2"/>
      <scheme val="minor"/>
    </font>
    <font>
      <i/>
      <sz val="10"/>
      <color theme="1"/>
      <name val="Calibri"/>
      <family val="2"/>
      <scheme val="minor"/>
    </font>
    <font>
      <b/>
      <sz val="11"/>
      <color theme="1"/>
      <name val="Calibri"/>
      <family val="2"/>
      <scheme val="minor"/>
    </font>
    <font>
      <u/>
      <sz val="10"/>
      <color theme="1"/>
      <name val="Calibri"/>
      <family val="2"/>
      <scheme val="minor"/>
    </font>
    <font>
      <sz val="10"/>
      <color theme="1"/>
      <name val="Calibri"/>
      <family val="2"/>
      <scheme val="minor"/>
    </font>
    <font>
      <sz val="10"/>
      <color theme="1"/>
      <name val="Arial"/>
      <family val="2"/>
    </font>
    <font>
      <b/>
      <sz val="9"/>
      <color theme="1"/>
      <name val="Arial"/>
      <family val="2"/>
    </font>
    <font>
      <i/>
      <sz val="11"/>
      <color theme="1"/>
      <name val="Calibri"/>
      <family val="2"/>
      <scheme val="minor"/>
    </font>
    <font>
      <sz val="11"/>
      <name val="Calibri"/>
      <family val="2"/>
    </font>
    <font>
      <sz val="11"/>
      <name val="Calibri"/>
      <family val="2"/>
      <scheme val="minor"/>
    </font>
    <font>
      <b/>
      <i/>
      <sz val="10"/>
      <color rgb="FF0000FF"/>
      <name val="Calibri"/>
      <family val="2"/>
      <scheme val="minor"/>
    </font>
    <font>
      <u/>
      <sz val="11"/>
      <color theme="1"/>
      <name val="Calibri"/>
      <family val="2"/>
      <scheme val="minor"/>
    </font>
    <font>
      <sz val="11"/>
      <color rgb="FFFF0000"/>
      <name val="Calibri"/>
      <family val="2"/>
      <scheme val="minor"/>
    </font>
    <font>
      <b/>
      <sz val="11"/>
      <color rgb="FFFF0000"/>
      <name val="Calibri"/>
      <family val="2"/>
      <scheme val="minor"/>
    </font>
    <font>
      <sz val="8"/>
      <color rgb="FFFF0000"/>
      <name val="Calibri"/>
      <family val="2"/>
      <scheme val="minor"/>
    </font>
    <font>
      <b/>
      <sz val="11"/>
      <color rgb="FF0000FF"/>
      <name val="Calibri"/>
      <family val="2"/>
      <scheme val="minor"/>
    </font>
    <font>
      <sz val="10"/>
      <color rgb="FFFF0000"/>
      <name val="Calibri"/>
      <family val="2"/>
      <scheme val="minor"/>
    </font>
    <font>
      <sz val="11"/>
      <color rgb="FF0000FF"/>
      <name val="Calibri"/>
      <family val="2"/>
      <scheme val="minor"/>
    </font>
    <font>
      <sz val="9"/>
      <color rgb="FFFF0000"/>
      <name val="Calibri"/>
      <family val="2"/>
      <scheme val="minor"/>
    </font>
    <font>
      <i/>
      <sz val="11"/>
      <color rgb="FFFF0000"/>
      <name val="Calibri"/>
      <family val="2"/>
      <scheme val="minor"/>
    </font>
    <font>
      <b/>
      <i/>
      <sz val="11"/>
      <color rgb="FF0000FF"/>
      <name val="Calibri"/>
      <family val="2"/>
      <scheme val="minor"/>
    </font>
    <font>
      <b/>
      <i/>
      <sz val="11"/>
      <color rgb="FFFF0000"/>
      <name val="Calibri"/>
      <family val="2"/>
      <scheme val="minor"/>
    </font>
    <font>
      <b/>
      <sz val="9"/>
      <color rgb="FF0000FF"/>
      <name val="Calibri"/>
      <family val="2"/>
      <scheme val="minor"/>
    </font>
    <font>
      <b/>
      <sz val="11"/>
      <color rgb="FF00B050"/>
      <name val="Calibri"/>
      <family val="2"/>
      <scheme val="minor"/>
    </font>
    <font>
      <b/>
      <i/>
      <sz val="11"/>
      <color rgb="FF00B050"/>
      <name val="Calibri"/>
      <family val="2"/>
      <scheme val="minor"/>
    </font>
    <font>
      <b/>
      <sz val="11"/>
      <name val="Calibri"/>
      <family val="2"/>
      <scheme val="minor"/>
    </font>
    <font>
      <i/>
      <sz val="11"/>
      <color rgb="FF0000FF"/>
      <name val="Calibri"/>
      <family val="2"/>
      <scheme val="minor"/>
    </font>
    <font>
      <b/>
      <i/>
      <sz val="11"/>
      <color theme="1"/>
      <name val="Calibri"/>
      <family val="2"/>
      <scheme val="minor"/>
    </font>
    <font>
      <b/>
      <i/>
      <u/>
      <sz val="11"/>
      <color theme="1"/>
      <name val="Calibri"/>
      <family val="2"/>
      <scheme val="minor"/>
    </font>
    <font>
      <b/>
      <sz val="11"/>
      <color theme="0"/>
      <name val="Calibri"/>
      <family val="2"/>
      <scheme val="minor"/>
    </font>
    <font>
      <i/>
      <sz val="11"/>
      <name val="Calibri"/>
      <family val="2"/>
      <scheme val="minor"/>
    </font>
    <font>
      <i/>
      <u/>
      <sz val="11"/>
      <name val="Calibri"/>
      <family val="2"/>
      <scheme val="minor"/>
    </font>
    <font>
      <b/>
      <i/>
      <u/>
      <sz val="11"/>
      <name val="Calibri"/>
      <family val="2"/>
      <scheme val="minor"/>
    </font>
    <font>
      <u/>
      <sz val="11"/>
      <name val="Calibri"/>
      <family val="2"/>
      <scheme val="minor"/>
    </font>
    <font>
      <b/>
      <i/>
      <sz val="11"/>
      <name val="Calibri"/>
      <family val="2"/>
      <scheme val="minor"/>
    </font>
    <font>
      <sz val="11"/>
      <color theme="1"/>
      <name val="Calibri"/>
      <family val="2"/>
      <scheme val="minor"/>
    </font>
    <font>
      <sz val="10"/>
      <name val="Arial"/>
      <family val="2"/>
    </font>
    <font>
      <b/>
      <u/>
      <sz val="11"/>
      <name val="Calibri"/>
      <family val="2"/>
      <scheme val="minor"/>
    </font>
    <font>
      <b/>
      <u/>
      <sz val="11"/>
      <color rgb="FFFF0000"/>
      <name val="Calibri"/>
      <family val="2"/>
      <scheme val="minor"/>
    </font>
    <font>
      <sz val="9"/>
      <name val="Tahoma"/>
      <family val="2"/>
    </font>
    <font>
      <sz val="11"/>
      <color theme="1"/>
      <name val="Calibri"/>
      <family val="2"/>
      <scheme val="minor"/>
    </font>
    <font>
      <b/>
      <i/>
      <sz val="10"/>
      <color theme="1"/>
      <name val="Calibri"/>
      <family val="2"/>
      <scheme val="minor"/>
    </font>
  </fonts>
  <fills count="17">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theme="0" tint="-0.14996795556505021"/>
        <bgColor indexed="64"/>
      </patternFill>
    </fill>
    <fill>
      <patternFill patternType="solid">
        <fgColor theme="6" tint="0.79995117038483843"/>
        <bgColor indexed="64"/>
      </patternFill>
    </fill>
    <fill>
      <patternFill patternType="solid">
        <fgColor theme="9" tint="0.59999389629810485"/>
        <bgColor indexed="64"/>
      </patternFill>
    </fill>
    <fill>
      <patternFill patternType="solid">
        <fgColor theme="5" tint="0.79995117038483843"/>
        <bgColor indexed="64"/>
      </patternFill>
    </fill>
    <fill>
      <patternFill patternType="solid">
        <fgColor theme="0"/>
        <bgColor indexed="64"/>
      </patternFill>
    </fill>
    <fill>
      <patternFill patternType="solid">
        <fgColor theme="3" tint="0.79995117038483843"/>
        <bgColor indexed="64"/>
      </patternFill>
    </fill>
    <fill>
      <patternFill patternType="solid">
        <fgColor theme="2" tint="-9.9978637043366805E-2"/>
        <bgColor indexed="64"/>
      </patternFill>
    </fill>
    <fill>
      <patternFill patternType="solid">
        <fgColor theme="7" tint="0.79995117038483843"/>
        <bgColor indexed="64"/>
      </patternFill>
    </fill>
    <fill>
      <patternFill patternType="solid">
        <fgColor theme="9" tint="0.39994506668294322"/>
        <bgColor indexed="64"/>
      </patternFill>
    </fill>
    <fill>
      <patternFill patternType="solid">
        <fgColor theme="8" tint="0.59999389629810485"/>
        <bgColor indexed="64"/>
      </patternFill>
    </fill>
    <fill>
      <patternFill patternType="solid">
        <fgColor theme="9" tint="-0.249977111117893"/>
        <bgColor indexed="64"/>
      </patternFill>
    </fill>
    <fill>
      <patternFill patternType="solid">
        <fgColor rgb="FFB7E7B7"/>
        <bgColor indexed="64"/>
      </patternFill>
    </fill>
    <fill>
      <patternFill patternType="solid">
        <fgColor theme="0" tint="-0.14999847407452621"/>
        <bgColor indexed="64"/>
      </patternFill>
    </fill>
  </fills>
  <borders count="42">
    <border>
      <left/>
      <right/>
      <top/>
      <bottom/>
      <diagonal/>
    </border>
    <border>
      <left style="medium">
        <color theme="0" tint="-0.34998626667073579"/>
      </left>
      <right/>
      <top style="medium">
        <color theme="0" tint="-0.34998626667073579"/>
      </top>
      <bottom style="medium">
        <color theme="0" tint="-0.34998626667073579"/>
      </bottom>
      <diagonal/>
    </border>
    <border>
      <left/>
      <right/>
      <top style="medium">
        <color theme="0" tint="-0.34998626667073579"/>
      </top>
      <bottom style="medium">
        <color theme="0" tint="-0.34998626667073579"/>
      </bottom>
      <diagonal/>
    </border>
    <border>
      <left style="medium">
        <color theme="0" tint="-0.34998626667073579"/>
      </left>
      <right style="medium">
        <color theme="0" tint="-0.34998626667073579"/>
      </right>
      <top style="medium">
        <color theme="0" tint="-0.34998626667073579"/>
      </top>
      <bottom style="medium">
        <color theme="0" tint="-0.34998626667073579"/>
      </bottom>
      <diagonal/>
    </border>
    <border>
      <left/>
      <right style="medium">
        <color theme="0" tint="-0.34998626667073579"/>
      </right>
      <top style="medium">
        <color theme="0" tint="-0.34998626667073579"/>
      </top>
      <bottom style="medium">
        <color theme="0" tint="-0.34998626667073579"/>
      </bottom>
      <diagonal/>
    </border>
    <border>
      <left style="medium">
        <color theme="0" tint="-0.34998626667073579"/>
      </left>
      <right/>
      <top style="medium">
        <color theme="0" tint="-0.34998626667073579"/>
      </top>
      <bottom/>
      <diagonal/>
    </border>
    <border>
      <left/>
      <right/>
      <top style="medium">
        <color theme="0" tint="-0.34998626667073579"/>
      </top>
      <bottom/>
      <diagonal/>
    </border>
    <border>
      <left style="medium">
        <color theme="0" tint="-0.34998626667073579"/>
      </left>
      <right/>
      <top/>
      <bottom/>
      <diagonal/>
    </border>
    <border>
      <left style="medium">
        <color theme="0" tint="-0.34998626667073579"/>
      </left>
      <right/>
      <top/>
      <bottom style="medium">
        <color theme="0" tint="-0.34998626667073579"/>
      </bottom>
      <diagonal/>
    </border>
    <border>
      <left/>
      <right/>
      <top/>
      <bottom style="medium">
        <color theme="0" tint="-0.34998626667073579"/>
      </bottom>
      <diagonal/>
    </border>
    <border>
      <left/>
      <right style="medium">
        <color theme="0" tint="-0.34998626667073579"/>
      </right>
      <top style="medium">
        <color theme="0" tint="-0.34998626667073579"/>
      </top>
      <bottom/>
      <diagonal/>
    </border>
    <border>
      <left/>
      <right style="medium">
        <color theme="0" tint="-0.34998626667073579"/>
      </right>
      <top/>
      <bottom/>
      <diagonal/>
    </border>
    <border>
      <left/>
      <right style="medium">
        <color theme="0" tint="-0.34998626667073579"/>
      </right>
      <top/>
      <bottom style="medium">
        <color theme="0" tint="-0.34998626667073579"/>
      </bottom>
      <diagonal/>
    </border>
    <border>
      <left style="dotted">
        <color rgb="FFFF0000"/>
      </left>
      <right/>
      <top style="dotted">
        <color rgb="FFFF0000"/>
      </top>
      <bottom/>
      <diagonal/>
    </border>
    <border>
      <left/>
      <right/>
      <top style="dotted">
        <color rgb="FFFF0000"/>
      </top>
      <bottom/>
      <diagonal/>
    </border>
    <border>
      <left/>
      <right style="dotted">
        <color rgb="FFFF0000"/>
      </right>
      <top style="dotted">
        <color rgb="FFFF0000"/>
      </top>
      <bottom/>
      <diagonal/>
    </border>
    <border>
      <left style="dotted">
        <color rgb="FFFF0000"/>
      </left>
      <right/>
      <top/>
      <bottom/>
      <diagonal/>
    </border>
    <border>
      <left/>
      <right style="dotted">
        <color rgb="FFFF0000"/>
      </right>
      <top/>
      <bottom/>
      <diagonal/>
    </border>
    <border>
      <left style="dotted">
        <color rgb="FFFF0000"/>
      </left>
      <right/>
      <top/>
      <bottom style="dotted">
        <color rgb="FFFF0000"/>
      </bottom>
      <diagonal/>
    </border>
    <border>
      <left/>
      <right/>
      <top/>
      <bottom style="dotted">
        <color rgb="FFFF0000"/>
      </bottom>
      <diagonal/>
    </border>
    <border>
      <left/>
      <right style="dotted">
        <color rgb="FFFF0000"/>
      </right>
      <top/>
      <bottom style="dotted">
        <color rgb="FFFF0000"/>
      </bottom>
      <diagonal/>
    </border>
    <border>
      <left style="medium">
        <color theme="0" tint="-0.24994659260841701"/>
      </left>
      <right/>
      <top style="medium">
        <color theme="0" tint="-0.24994659260841701"/>
      </top>
      <bottom style="medium">
        <color theme="0" tint="-0.24994659260841701"/>
      </bottom>
      <diagonal/>
    </border>
    <border>
      <left/>
      <right/>
      <top style="medium">
        <color theme="0" tint="-0.24994659260841701"/>
      </top>
      <bottom style="medium">
        <color theme="0" tint="-0.24994659260841701"/>
      </bottom>
      <diagonal/>
    </border>
    <border>
      <left/>
      <right style="medium">
        <color theme="0" tint="-0.24994659260841701"/>
      </right>
      <top style="medium">
        <color theme="0" tint="-0.24994659260841701"/>
      </top>
      <bottom style="medium">
        <color theme="0" tint="-0.24994659260841701"/>
      </bottom>
      <diagonal/>
    </border>
    <border>
      <left style="dashed">
        <color theme="0" tint="-0.34998626667073579"/>
      </left>
      <right/>
      <top style="dashed">
        <color theme="0" tint="-0.34998626667073579"/>
      </top>
      <bottom style="dashed">
        <color theme="0" tint="-0.34998626667073579"/>
      </bottom>
      <diagonal/>
    </border>
    <border>
      <left/>
      <right/>
      <top style="dashed">
        <color theme="0" tint="-0.34998626667073579"/>
      </top>
      <bottom style="dashed">
        <color theme="0" tint="-0.34998626667073579"/>
      </bottom>
      <diagonal/>
    </border>
    <border>
      <left/>
      <right style="dashed">
        <color theme="0" tint="-0.34998626667073579"/>
      </right>
      <top style="dashed">
        <color theme="0" tint="-0.34998626667073579"/>
      </top>
      <bottom style="dashed">
        <color theme="0" tint="-0.34998626667073579"/>
      </bottom>
      <diagonal/>
    </border>
    <border>
      <left style="dashed">
        <color theme="0" tint="-0.34998626667073579"/>
      </left>
      <right style="dashed">
        <color theme="0" tint="-0.34998626667073579"/>
      </right>
      <top style="dashed">
        <color theme="0" tint="-0.34998626667073579"/>
      </top>
      <bottom style="dashed">
        <color theme="0" tint="-0.34998626667073579"/>
      </bottom>
      <diagonal/>
    </border>
    <border>
      <left style="dashed">
        <color auto="1"/>
      </left>
      <right/>
      <top style="dashed">
        <color auto="1"/>
      </top>
      <bottom/>
      <diagonal/>
    </border>
    <border>
      <left/>
      <right/>
      <top style="dashed">
        <color auto="1"/>
      </top>
      <bottom/>
      <diagonal/>
    </border>
    <border>
      <left style="dashed">
        <color auto="1"/>
      </left>
      <right/>
      <top/>
      <bottom/>
      <diagonal/>
    </border>
    <border>
      <left style="dashed">
        <color auto="1"/>
      </left>
      <right/>
      <top/>
      <bottom style="dashed">
        <color auto="1"/>
      </bottom>
      <diagonal/>
    </border>
    <border>
      <left/>
      <right/>
      <top/>
      <bottom style="dashed">
        <color auto="1"/>
      </bottom>
      <diagonal/>
    </border>
    <border>
      <left/>
      <right style="dashed">
        <color auto="1"/>
      </right>
      <top style="dashed">
        <color auto="1"/>
      </top>
      <bottom/>
      <diagonal/>
    </border>
    <border>
      <left/>
      <right style="dashed">
        <color auto="1"/>
      </right>
      <top/>
      <bottom/>
      <diagonal/>
    </border>
    <border>
      <left/>
      <right style="dashed">
        <color auto="1"/>
      </right>
      <top/>
      <bottom style="dashed">
        <color auto="1"/>
      </bottom>
      <diagonal/>
    </border>
    <border>
      <left/>
      <right style="dotted">
        <color auto="1"/>
      </right>
      <top/>
      <bottom/>
      <diagonal/>
    </border>
    <border>
      <left style="dotted">
        <color auto="1"/>
      </left>
      <right/>
      <top style="dotted">
        <color auto="1"/>
      </top>
      <bottom style="dotted">
        <color auto="1"/>
      </bottom>
      <diagonal/>
    </border>
    <border>
      <left/>
      <right style="dotted">
        <color auto="1"/>
      </right>
      <top style="dotted">
        <color auto="1"/>
      </top>
      <bottom style="dotted">
        <color auto="1"/>
      </bottom>
      <diagonal/>
    </border>
    <border>
      <left style="medium">
        <color theme="0" tint="-0.34998626667073579"/>
      </left>
      <right style="medium">
        <color theme="0" tint="-0.34998626667073579"/>
      </right>
      <top style="medium">
        <color theme="0" tint="-0.34998626667073579"/>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11">
    <xf numFmtId="0" fontId="0" fillId="0" borderId="0"/>
    <xf numFmtId="165" fontId="37" fillId="0" borderId="0" applyFont="0" applyFill="0" applyBorder="0" applyAlignment="0" applyProtection="0"/>
    <xf numFmtId="9" fontId="37" fillId="0" borderId="0" applyFont="0" applyFill="0" applyBorder="0" applyAlignment="0" applyProtection="0"/>
    <xf numFmtId="0" fontId="38" fillId="0" borderId="0"/>
    <xf numFmtId="44" fontId="42" fillId="0" borderId="0" applyFont="0" applyFill="0" applyBorder="0" applyAlignment="0" applyProtection="0"/>
    <xf numFmtId="185" fontId="38" fillId="0" borderId="0" applyFont="0" applyFill="0" applyBorder="0" applyAlignment="0" applyProtection="0"/>
    <xf numFmtId="185" fontId="38" fillId="0" borderId="0" applyFont="0" applyFill="0" applyBorder="0" applyAlignment="0" applyProtection="0"/>
    <xf numFmtId="185" fontId="38" fillId="0" borderId="0" applyFont="0" applyFill="0" applyBorder="0" applyAlignment="0" applyProtection="0"/>
    <xf numFmtId="0" fontId="2" fillId="0" borderId="0"/>
    <xf numFmtId="9" fontId="38" fillId="0" borderId="0" applyFont="0" applyFill="0" applyBorder="0" applyAlignment="0" applyProtection="0"/>
    <xf numFmtId="9" fontId="38" fillId="0" borderId="0" applyFont="0" applyFill="0" applyBorder="0" applyAlignment="0" applyProtection="0"/>
  </cellStyleXfs>
  <cellXfs count="723">
    <xf numFmtId="0" fontId="0" fillId="0" borderId="0" xfId="0"/>
    <xf numFmtId="0" fontId="3" fillId="0" borderId="0" xfId="0" applyFont="1"/>
    <xf numFmtId="0" fontId="4" fillId="0" borderId="0" xfId="0" applyFont="1"/>
    <xf numFmtId="10" fontId="3" fillId="0" borderId="0" xfId="0" applyNumberFormat="1" applyFont="1"/>
    <xf numFmtId="0" fontId="5" fillId="0" borderId="0" xfId="0" applyFont="1"/>
    <xf numFmtId="0" fontId="6" fillId="0" borderId="0" xfId="0" applyFont="1"/>
    <xf numFmtId="0" fontId="7" fillId="0" borderId="0" xfId="0" applyFont="1"/>
    <xf numFmtId="0" fontId="8" fillId="0" borderId="0" xfId="0" applyFont="1"/>
    <xf numFmtId="166" fontId="3" fillId="0" borderId="0" xfId="0" applyNumberFormat="1" applyFont="1"/>
    <xf numFmtId="0" fontId="3" fillId="0" borderId="0" xfId="0" applyFont="1" applyAlignment="1">
      <alignment horizontal="left"/>
    </xf>
    <xf numFmtId="0" fontId="4" fillId="0" borderId="0" xfId="0" applyFont="1" applyAlignment="1">
      <alignment horizontal="left"/>
    </xf>
    <xf numFmtId="167" fontId="4" fillId="0" borderId="0" xfId="0" applyNumberFormat="1" applyFont="1"/>
    <xf numFmtId="168" fontId="4" fillId="0" borderId="0" xfId="0" applyNumberFormat="1" applyFont="1"/>
    <xf numFmtId="10" fontId="3" fillId="0" borderId="0" xfId="2" applyNumberFormat="1" applyFont="1"/>
    <xf numFmtId="10" fontId="9" fillId="0" borderId="0" xfId="2" applyNumberFormat="1" applyFont="1"/>
    <xf numFmtId="167" fontId="0" fillId="0" borderId="0" xfId="0" applyNumberFormat="1"/>
    <xf numFmtId="4" fontId="4" fillId="0" borderId="0" xfId="0" applyNumberFormat="1" applyFont="1"/>
    <xf numFmtId="0" fontId="9" fillId="0" borderId="0" xfId="0" applyFont="1"/>
    <xf numFmtId="14" fontId="0" fillId="0" borderId="0" xfId="0" applyNumberFormat="1"/>
    <xf numFmtId="0" fontId="10" fillId="0" borderId="0" xfId="0" applyFont="1"/>
    <xf numFmtId="0" fontId="11" fillId="0" borderId="0" xfId="0" applyFont="1"/>
    <xf numFmtId="10" fontId="12" fillId="0" borderId="0" xfId="2" applyNumberFormat="1" applyFont="1"/>
    <xf numFmtId="17" fontId="0" fillId="0" borderId="0" xfId="0" applyNumberFormat="1"/>
    <xf numFmtId="3" fontId="0" fillId="0" borderId="0" xfId="0" applyNumberFormat="1"/>
    <xf numFmtId="9" fontId="0" fillId="0" borderId="0" xfId="2" applyFont="1"/>
    <xf numFmtId="17" fontId="0" fillId="2" borderId="0" xfId="0" applyNumberFormat="1" applyFill="1"/>
    <xf numFmtId="169" fontId="0" fillId="0" borderId="0" xfId="0" applyNumberFormat="1"/>
    <xf numFmtId="15" fontId="0" fillId="3" borderId="0" xfId="0" applyNumberFormat="1" applyFill="1"/>
    <xf numFmtId="0" fontId="13" fillId="0" borderId="0" xfId="0" applyFont="1"/>
    <xf numFmtId="15" fontId="0" fillId="0" borderId="0" xfId="0" applyNumberFormat="1"/>
    <xf numFmtId="16" fontId="0" fillId="0" borderId="0" xfId="0" applyNumberFormat="1"/>
    <xf numFmtId="0" fontId="0" fillId="0" borderId="0" xfId="0" applyAlignment="1">
      <alignment horizontal="left"/>
    </xf>
    <xf numFmtId="0" fontId="14" fillId="0" borderId="0" xfId="0" applyFont="1"/>
    <xf numFmtId="0" fontId="0" fillId="0" borderId="0" xfId="0" applyAlignment="1">
      <alignment wrapText="1"/>
    </xf>
    <xf numFmtId="0" fontId="0" fillId="0" borderId="0" xfId="0" applyAlignment="1">
      <alignment vertical="center"/>
    </xf>
    <xf numFmtId="0" fontId="0" fillId="4" borderId="0" xfId="0" applyFill="1"/>
    <xf numFmtId="0" fontId="0" fillId="0" borderId="0" xfId="0" applyAlignment="1">
      <alignment horizontal="center"/>
    </xf>
    <xf numFmtId="0" fontId="4" fillId="4" borderId="0" xfId="0" applyFont="1" applyFill="1"/>
    <xf numFmtId="0" fontId="9" fillId="0" borderId="3" xfId="0" applyFont="1" applyBorder="1" applyAlignment="1">
      <alignment horizontal="center" vertical="center"/>
    </xf>
    <xf numFmtId="0" fontId="9" fillId="0" borderId="0" xfId="0" applyFont="1" applyAlignment="1">
      <alignment horizontal="center" vertical="center"/>
    </xf>
    <xf numFmtId="0" fontId="0" fillId="0" borderId="3" xfId="0" applyBorder="1" applyAlignment="1">
      <alignment horizontal="center" vertical="center"/>
    </xf>
    <xf numFmtId="0" fontId="0" fillId="0" borderId="1" xfId="0" applyBorder="1"/>
    <xf numFmtId="0" fontId="0" fillId="0" borderId="2" xfId="0" applyBorder="1"/>
    <xf numFmtId="0" fontId="0" fillId="5" borderId="1" xfId="0" applyFill="1" applyBorder="1" applyAlignment="1">
      <alignment horizontal="center" vertical="center"/>
    </xf>
    <xf numFmtId="0" fontId="0" fillId="5" borderId="4" xfId="0" applyFill="1" applyBorder="1" applyAlignment="1">
      <alignment horizontal="center" vertical="center"/>
    </xf>
    <xf numFmtId="0" fontId="0" fillId="5" borderId="1" xfId="0" applyFill="1" applyBorder="1"/>
    <xf numFmtId="0" fontId="0" fillId="5" borderId="2" xfId="0" applyFill="1" applyBorder="1"/>
    <xf numFmtId="0" fontId="0" fillId="0" borderId="1" xfId="0" applyBorder="1" applyAlignment="1">
      <alignment horizontal="center" vertical="center"/>
    </xf>
    <xf numFmtId="0" fontId="0" fillId="0" borderId="4" xfId="0" applyBorder="1" applyAlignment="1">
      <alignment horizontal="center" vertical="center"/>
    </xf>
    <xf numFmtId="0" fontId="0" fillId="0" borderId="0" xfId="0" applyAlignment="1">
      <alignment horizontal="center" vertical="center"/>
    </xf>
    <xf numFmtId="0" fontId="14" fillId="0" borderId="0" xfId="0" applyFont="1" applyAlignment="1">
      <alignment horizontal="left" vertical="center"/>
    </xf>
    <xf numFmtId="0" fontId="14" fillId="0" borderId="0" xfId="0" applyFont="1" applyAlignment="1">
      <alignment horizontal="center" vertical="center"/>
    </xf>
    <xf numFmtId="0" fontId="9" fillId="6" borderId="0" xfId="0" applyFont="1" applyFill="1"/>
    <xf numFmtId="0" fontId="0" fillId="0" borderId="4" xfId="0" applyBorder="1"/>
    <xf numFmtId="0" fontId="0" fillId="5" borderId="4" xfId="0" applyFill="1"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2" xfId="0" applyBorder="1" applyAlignment="1">
      <alignment horizontal="center" vertical="center"/>
    </xf>
    <xf numFmtId="0" fontId="9" fillId="0" borderId="0" xfId="0" applyFont="1" applyAlignment="1">
      <alignment wrapText="1"/>
    </xf>
    <xf numFmtId="0" fontId="0" fillId="0" borderId="10" xfId="0" applyBorder="1"/>
    <xf numFmtId="0" fontId="0" fillId="0" borderId="11" xfId="0" applyBorder="1"/>
    <xf numFmtId="0" fontId="0" fillId="0" borderId="12" xfId="0" applyBorder="1"/>
    <xf numFmtId="170" fontId="0" fillId="0" borderId="3" xfId="0" applyNumberFormat="1" applyBorder="1" applyAlignment="1">
      <alignment horizontal="center" vertical="center"/>
    </xf>
    <xf numFmtId="0" fontId="15" fillId="7" borderId="0" xfId="0" applyFont="1" applyFill="1" applyAlignment="1">
      <alignment vertical="center"/>
    </xf>
    <xf numFmtId="0" fontId="0" fillId="7" borderId="0" xfId="0" applyFill="1"/>
    <xf numFmtId="0" fontId="15" fillId="0" borderId="0" xfId="0" applyFont="1" applyAlignment="1">
      <alignment vertical="center"/>
    </xf>
    <xf numFmtId="0" fontId="14" fillId="0" borderId="0" xfId="0" applyFont="1" applyAlignment="1">
      <alignment horizontal="center" vertical="center" wrapText="1"/>
    </xf>
    <xf numFmtId="0" fontId="16" fillId="0" borderId="0" xfId="0" applyFont="1" applyAlignment="1">
      <alignment horizontal="center" vertical="center" wrapText="1"/>
    </xf>
    <xf numFmtId="171" fontId="17" fillId="0" borderId="3" xfId="0" applyNumberFormat="1" applyFont="1" applyBorder="1" applyAlignment="1">
      <alignment horizontal="center" vertical="center"/>
    </xf>
    <xf numFmtId="172" fontId="17" fillId="0" borderId="3" xfId="0" applyNumberFormat="1" applyFont="1" applyBorder="1" applyAlignment="1">
      <alignment horizontal="center" vertical="center"/>
    </xf>
    <xf numFmtId="0" fontId="9" fillId="0" borderId="0" xfId="0" applyFont="1" applyAlignment="1">
      <alignment horizontal="right"/>
    </xf>
    <xf numFmtId="3" fontId="15" fillId="0" borderId="3" xfId="0" applyNumberFormat="1" applyFont="1" applyBorder="1" applyAlignment="1">
      <alignment horizontal="center" vertical="center"/>
    </xf>
    <xf numFmtId="0" fontId="14" fillId="7" borderId="0" xfId="0" applyFont="1" applyFill="1"/>
    <xf numFmtId="0" fontId="18" fillId="0" borderId="3" xfId="0" applyFont="1" applyBorder="1" applyAlignment="1">
      <alignment horizontal="center" vertical="center" wrapText="1"/>
    </xf>
    <xf numFmtId="0" fontId="14" fillId="0" borderId="1" xfId="0" applyFont="1" applyBorder="1"/>
    <xf numFmtId="0" fontId="14" fillId="0" borderId="2" xfId="0" applyFont="1" applyBorder="1"/>
    <xf numFmtId="0" fontId="14" fillId="0" borderId="4" xfId="0" applyFont="1" applyBorder="1"/>
    <xf numFmtId="0" fontId="17" fillId="0" borderId="0" xfId="0" applyFont="1"/>
    <xf numFmtId="173" fontId="15" fillId="8" borderId="3" xfId="0" applyNumberFormat="1" applyFont="1" applyFill="1" applyBorder="1" applyAlignment="1">
      <alignment horizontal="center" vertical="center"/>
    </xf>
    <xf numFmtId="0" fontId="14" fillId="0" borderId="3" xfId="0" applyFont="1" applyBorder="1" applyAlignment="1">
      <alignment horizontal="center" vertical="center"/>
    </xf>
    <xf numFmtId="0" fontId="14" fillId="0" borderId="3" xfId="0" applyFont="1" applyBorder="1" applyAlignment="1">
      <alignment horizontal="center" vertical="center" wrapText="1"/>
    </xf>
    <xf numFmtId="0" fontId="19" fillId="0" borderId="3" xfId="0" applyFont="1" applyBorder="1" applyAlignment="1">
      <alignment horizontal="center" vertical="center" wrapText="1"/>
    </xf>
    <xf numFmtId="9" fontId="15" fillId="0" borderId="3" xfId="2" applyFont="1" applyBorder="1" applyAlignment="1">
      <alignment horizontal="center" vertical="center" wrapText="1"/>
    </xf>
    <xf numFmtId="172" fontId="17" fillId="0" borderId="3" xfId="0" applyNumberFormat="1" applyFont="1" applyBorder="1" applyAlignment="1">
      <alignment horizontal="center" vertical="center" wrapText="1"/>
    </xf>
    <xf numFmtId="172" fontId="17" fillId="0" borderId="0" xfId="0" applyNumberFormat="1" applyFont="1"/>
    <xf numFmtId="0" fontId="20" fillId="0" borderId="0" xfId="0" applyFont="1" applyAlignment="1">
      <alignment horizontal="center"/>
    </xf>
    <xf numFmtId="9" fontId="14" fillId="2" borderId="3" xfId="0" applyNumberFormat="1" applyFont="1" applyFill="1" applyBorder="1" applyAlignment="1">
      <alignment horizontal="center" vertical="center"/>
    </xf>
    <xf numFmtId="0" fontId="20" fillId="0" borderId="3" xfId="0" applyFont="1" applyBorder="1" applyAlignment="1">
      <alignment horizontal="center" vertical="center"/>
    </xf>
    <xf numFmtId="0" fontId="20" fillId="0" borderId="0" xfId="0" applyFont="1"/>
    <xf numFmtId="0" fontId="20" fillId="0" borderId="3" xfId="0" applyFont="1" applyBorder="1" applyAlignment="1">
      <alignment horizontal="center" vertical="center" wrapText="1"/>
    </xf>
    <xf numFmtId="171" fontId="17" fillId="0" borderId="3" xfId="0" applyNumberFormat="1" applyFont="1" applyBorder="1" applyAlignment="1">
      <alignment horizontal="center" vertical="center" wrapText="1"/>
    </xf>
    <xf numFmtId="171" fontId="14" fillId="9" borderId="3" xfId="0" applyNumberFormat="1" applyFont="1" applyFill="1" applyBorder="1" applyAlignment="1">
      <alignment horizontal="center" vertical="center" wrapText="1"/>
    </xf>
    <xf numFmtId="174" fontId="14" fillId="0" borderId="3" xfId="0" applyNumberFormat="1" applyFont="1" applyBorder="1" applyAlignment="1">
      <alignment horizontal="center" vertical="center" wrapText="1"/>
    </xf>
    <xf numFmtId="174" fontId="14" fillId="10" borderId="3" xfId="0" applyNumberFormat="1" applyFont="1" applyFill="1" applyBorder="1" applyAlignment="1">
      <alignment horizontal="center" vertical="center" wrapText="1"/>
    </xf>
    <xf numFmtId="170" fontId="14" fillId="0" borderId="0" xfId="0" applyNumberFormat="1" applyFont="1"/>
    <xf numFmtId="10" fontId="0" fillId="0" borderId="0" xfId="2" applyNumberFormat="1" applyFont="1"/>
    <xf numFmtId="171" fontId="9" fillId="0" borderId="3" xfId="0" applyNumberFormat="1" applyFont="1" applyBorder="1" applyAlignment="1">
      <alignment horizontal="center" vertical="center" wrapText="1"/>
    </xf>
    <xf numFmtId="9" fontId="14" fillId="0" borderId="3" xfId="2" applyFont="1" applyBorder="1" applyAlignment="1">
      <alignment horizontal="center" vertical="center" wrapText="1"/>
    </xf>
    <xf numFmtId="175" fontId="14" fillId="0" borderId="3" xfId="0" applyNumberFormat="1" applyFont="1" applyBorder="1" applyAlignment="1">
      <alignment horizontal="center" vertical="center" wrapText="1"/>
    </xf>
    <xf numFmtId="175" fontId="14" fillId="0" borderId="0" xfId="0" applyNumberFormat="1" applyFont="1"/>
    <xf numFmtId="0" fontId="21" fillId="7" borderId="0" xfId="0" applyFont="1" applyFill="1"/>
    <xf numFmtId="0" fontId="21" fillId="0" borderId="0" xfId="0" applyFont="1"/>
    <xf numFmtId="176" fontId="0" fillId="0" borderId="0" xfId="0" applyNumberFormat="1"/>
    <xf numFmtId="172" fontId="15" fillId="11" borderId="3" xfId="0" applyNumberFormat="1" applyFont="1" applyFill="1" applyBorder="1" applyAlignment="1">
      <alignment horizontal="center" vertical="center"/>
    </xf>
    <xf numFmtId="3" fontId="15" fillId="0" borderId="3" xfId="0" applyNumberFormat="1" applyFont="1" applyBorder="1" applyAlignment="1">
      <alignment horizontal="center" vertical="center" wrapText="1"/>
    </xf>
    <xf numFmtId="173" fontId="15" fillId="0" borderId="3" xfId="0" applyNumberFormat="1" applyFont="1" applyBorder="1" applyAlignment="1">
      <alignment horizontal="center" vertical="center"/>
    </xf>
    <xf numFmtId="0" fontId="21" fillId="2" borderId="0" xfId="0" applyFont="1" applyFill="1"/>
    <xf numFmtId="9" fontId="17" fillId="0" borderId="3" xfId="2" applyFont="1" applyFill="1" applyBorder="1" applyAlignment="1">
      <alignment horizontal="center" vertical="center" wrapText="1"/>
    </xf>
    <xf numFmtId="9" fontId="0" fillId="2" borderId="3" xfId="2" applyFont="1" applyFill="1" applyBorder="1" applyAlignment="1">
      <alignment horizontal="center" vertical="center" wrapText="1"/>
    </xf>
    <xf numFmtId="9" fontId="0" fillId="0" borderId="3" xfId="2" applyFont="1" applyBorder="1" applyAlignment="1">
      <alignment horizontal="center" vertical="center" wrapText="1"/>
    </xf>
    <xf numFmtId="171" fontId="14" fillId="0" borderId="0" xfId="0" applyNumberFormat="1" applyFont="1"/>
    <xf numFmtId="171" fontId="14" fillId="10" borderId="3" xfId="0" applyNumberFormat="1" applyFont="1" applyFill="1" applyBorder="1" applyAlignment="1">
      <alignment horizontal="center" vertical="center" wrapText="1"/>
    </xf>
    <xf numFmtId="171" fontId="14" fillId="0" borderId="3" xfId="0" applyNumberFormat="1" applyFont="1" applyBorder="1" applyAlignment="1">
      <alignment horizontal="center" vertical="center" wrapText="1"/>
    </xf>
    <xf numFmtId="9" fontId="14" fillId="0" borderId="0" xfId="2" applyFont="1"/>
    <xf numFmtId="9" fontId="14" fillId="0" borderId="0" xfId="0" applyNumberFormat="1" applyFont="1"/>
    <xf numFmtId="175" fontId="17" fillId="0" borderId="3" xfId="0" applyNumberFormat="1" applyFont="1" applyBorder="1" applyAlignment="1">
      <alignment horizontal="center" vertical="center" wrapText="1"/>
    </xf>
    <xf numFmtId="0" fontId="21" fillId="7" borderId="0" xfId="0" applyFont="1" applyFill="1" applyAlignment="1">
      <alignment horizontal="right"/>
    </xf>
    <xf numFmtId="0" fontId="21" fillId="0" borderId="0" xfId="0" applyFont="1" applyAlignment="1">
      <alignment horizontal="right"/>
    </xf>
    <xf numFmtId="0" fontId="23" fillId="7" borderId="0" xfId="0" applyFont="1" applyFill="1" applyAlignment="1">
      <alignment horizontal="center" vertical="center"/>
    </xf>
    <xf numFmtId="10" fontId="0" fillId="0" borderId="3" xfId="2" applyNumberFormat="1" applyFont="1" applyBorder="1" applyAlignment="1">
      <alignment horizontal="center" vertical="center" wrapText="1"/>
    </xf>
    <xf numFmtId="0" fontId="0" fillId="0" borderId="13" xfId="0" applyBorder="1"/>
    <xf numFmtId="0" fontId="0" fillId="0" borderId="14" xfId="0" applyBorder="1"/>
    <xf numFmtId="0" fontId="0" fillId="0" borderId="15" xfId="0" applyBorder="1"/>
    <xf numFmtId="0" fontId="15" fillId="0" borderId="14" xfId="0" applyFont="1" applyBorder="1" applyAlignment="1">
      <alignment horizontal="center" vertical="center"/>
    </xf>
    <xf numFmtId="0" fontId="0" fillId="0" borderId="16" xfId="0" applyBorder="1"/>
    <xf numFmtId="0" fontId="0" fillId="0" borderId="17" xfId="0" applyBorder="1"/>
    <xf numFmtId="171" fontId="0" fillId="0" borderId="3" xfId="0" applyNumberFormat="1" applyBorder="1" applyAlignment="1">
      <alignment horizontal="center" vertical="center"/>
    </xf>
    <xf numFmtId="0" fontId="0" fillId="0" borderId="18" xfId="0" applyBorder="1"/>
    <xf numFmtId="0" fontId="0" fillId="0" borderId="19" xfId="0" applyBorder="1"/>
    <xf numFmtId="0" fontId="0" fillId="0" borderId="20" xfId="0" applyBorder="1"/>
    <xf numFmtId="177" fontId="14" fillId="0" borderId="0" xfId="2" applyNumberFormat="1" applyFont="1"/>
    <xf numFmtId="3" fontId="14" fillId="0" borderId="0" xfId="0" applyNumberFormat="1" applyFont="1"/>
    <xf numFmtId="3" fontId="9" fillId="0" borderId="0" xfId="0" applyNumberFormat="1" applyFont="1"/>
    <xf numFmtId="178" fontId="14" fillId="0" borderId="0" xfId="0" applyNumberFormat="1" applyFont="1"/>
    <xf numFmtId="171" fontId="0" fillId="10" borderId="3" xfId="0" applyNumberFormat="1" applyFill="1" applyBorder="1" applyAlignment="1">
      <alignment horizontal="center" vertical="center" wrapText="1"/>
    </xf>
    <xf numFmtId="170" fontId="9" fillId="0" borderId="3" xfId="0" applyNumberFormat="1" applyFont="1" applyBorder="1" applyAlignment="1">
      <alignment horizontal="center" vertical="center" wrapText="1"/>
    </xf>
    <xf numFmtId="170" fontId="14" fillId="0" borderId="3" xfId="0" applyNumberFormat="1" applyFont="1" applyBorder="1" applyAlignment="1">
      <alignment horizontal="center" vertical="center" wrapText="1"/>
    </xf>
    <xf numFmtId="170" fontId="14" fillId="10" borderId="3" xfId="0" applyNumberFormat="1" applyFont="1" applyFill="1" applyBorder="1" applyAlignment="1">
      <alignment horizontal="center" vertical="center" wrapText="1"/>
    </xf>
    <xf numFmtId="0" fontId="0" fillId="5" borderId="4" xfId="0" applyFill="1" applyBorder="1" applyAlignment="1">
      <alignment vertical="center"/>
    </xf>
    <xf numFmtId="0" fontId="15" fillId="4" borderId="0" xfId="0" applyFont="1" applyFill="1"/>
    <xf numFmtId="0" fontId="14" fillId="7" borderId="0" xfId="0" applyFont="1" applyFill="1" applyAlignment="1">
      <alignment vertical="center"/>
    </xf>
    <xf numFmtId="0" fontId="0" fillId="7" borderId="0" xfId="0" applyFill="1" applyAlignment="1">
      <alignment vertical="center"/>
    </xf>
    <xf numFmtId="0" fontId="17" fillId="0" borderId="3" xfId="0" applyFont="1" applyBorder="1" applyAlignment="1">
      <alignment horizontal="center" vertical="center"/>
    </xf>
    <xf numFmtId="0" fontId="14" fillId="0" borderId="24" xfId="0" applyFont="1" applyBorder="1" applyAlignment="1">
      <alignment vertical="center"/>
    </xf>
    <xf numFmtId="0" fontId="0" fillId="0" borderId="25" xfId="0" applyBorder="1" applyAlignment="1">
      <alignment vertical="center"/>
    </xf>
    <xf numFmtId="0" fontId="0" fillId="0" borderId="26" xfId="0" applyBorder="1" applyAlignment="1">
      <alignment vertical="center"/>
    </xf>
    <xf numFmtId="0" fontId="24" fillId="0" borderId="27" xfId="0" applyFont="1" applyBorder="1" applyAlignment="1">
      <alignment horizontal="center" vertical="center" wrapText="1"/>
    </xf>
    <xf numFmtId="0" fontId="17" fillId="0" borderId="0" xfId="0" applyFont="1" applyAlignment="1">
      <alignment vertical="center"/>
    </xf>
    <xf numFmtId="0" fontId="17" fillId="0" borderId="27" xfId="0" applyFont="1" applyBorder="1" applyAlignment="1">
      <alignment horizontal="center" vertical="center"/>
    </xf>
    <xf numFmtId="17" fontId="0" fillId="0" borderId="3" xfId="0" applyNumberFormat="1" applyBorder="1" applyAlignment="1">
      <alignment horizontal="center" vertical="center"/>
    </xf>
    <xf numFmtId="17" fontId="25" fillId="0" borderId="3" xfId="0" applyNumberFormat="1" applyFont="1" applyBorder="1" applyAlignment="1">
      <alignment horizontal="center" vertical="center"/>
    </xf>
    <xf numFmtId="3" fontId="0" fillId="0" borderId="3" xfId="0" applyNumberFormat="1" applyBorder="1" applyAlignment="1">
      <alignment horizontal="center" vertical="center"/>
    </xf>
    <xf numFmtId="3" fontId="11" fillId="0" borderId="3" xfId="0" applyNumberFormat="1" applyFont="1" applyBorder="1" applyAlignment="1">
      <alignment horizontal="center" vertical="center"/>
    </xf>
    <xf numFmtId="174" fontId="14" fillId="0" borderId="0" xfId="0" applyNumberFormat="1" applyFont="1"/>
    <xf numFmtId="177" fontId="14" fillId="0" borderId="0" xfId="0" applyNumberFormat="1" applyFont="1"/>
    <xf numFmtId="177" fontId="14" fillId="0" borderId="3" xfId="0" applyNumberFormat="1" applyFont="1" applyBorder="1" applyAlignment="1">
      <alignment horizontal="center" vertical="center" wrapText="1"/>
    </xf>
    <xf numFmtId="174" fontId="9" fillId="0" borderId="3" xfId="0" applyNumberFormat="1" applyFont="1" applyBorder="1" applyAlignment="1">
      <alignment horizontal="center" vertical="center" wrapText="1"/>
    </xf>
    <xf numFmtId="174" fontId="0" fillId="0" borderId="0" xfId="0" applyNumberFormat="1"/>
    <xf numFmtId="171" fontId="0" fillId="0" borderId="3" xfId="0" applyNumberFormat="1" applyBorder="1" applyAlignment="1">
      <alignment horizontal="center" vertical="center" wrapText="1"/>
    </xf>
    <xf numFmtId="177" fontId="14" fillId="0" borderId="3" xfId="2" applyNumberFormat="1" applyFont="1" applyBorder="1" applyAlignment="1">
      <alignment horizontal="center" vertical="center" wrapText="1"/>
    </xf>
    <xf numFmtId="177" fontId="0" fillId="0" borderId="0" xfId="0" applyNumberFormat="1"/>
    <xf numFmtId="177" fontId="0" fillId="0" borderId="3" xfId="2" applyNumberFormat="1" applyFont="1" applyBorder="1" applyAlignment="1">
      <alignment horizontal="center" vertical="center" wrapText="1"/>
    </xf>
    <xf numFmtId="0" fontId="0" fillId="5" borderId="1" xfId="0" applyFill="1" applyBorder="1" applyAlignment="1">
      <alignment vertical="center"/>
    </xf>
    <xf numFmtId="0" fontId="14" fillId="5" borderId="1" xfId="0" applyFont="1" applyFill="1" applyBorder="1" applyAlignment="1">
      <alignment horizontal="center" vertical="center" wrapText="1"/>
    </xf>
    <xf numFmtId="0" fontId="14" fillId="4" borderId="3" xfId="0" applyFont="1" applyFill="1" applyBorder="1" applyAlignment="1">
      <alignment horizontal="center" vertical="center" wrapText="1"/>
    </xf>
    <xf numFmtId="0" fontId="0" fillId="0" borderId="3" xfId="0" applyBorder="1" applyAlignment="1">
      <alignment horizontal="center" vertical="center" wrapText="1"/>
    </xf>
    <xf numFmtId="0" fontId="0" fillId="0" borderId="1" xfId="0" applyBorder="1" applyAlignment="1">
      <alignment vertical="center" wrapText="1"/>
    </xf>
    <xf numFmtId="0" fontId="0" fillId="0" borderId="4" xfId="0" applyBorder="1" applyAlignment="1">
      <alignment vertical="center" wrapText="1"/>
    </xf>
    <xf numFmtId="9" fontId="17" fillId="0" borderId="3" xfId="0" applyNumberFormat="1" applyFont="1" applyBorder="1" applyAlignment="1">
      <alignment horizontal="center" vertical="center" wrapText="1"/>
    </xf>
    <xf numFmtId="0" fontId="0" fillId="0" borderId="3" xfId="0" applyBorder="1" applyAlignment="1">
      <alignment vertical="center" wrapText="1"/>
    </xf>
    <xf numFmtId="3" fontId="17" fillId="0" borderId="27" xfId="0" applyNumberFormat="1" applyFont="1" applyBorder="1" applyAlignment="1">
      <alignment horizontal="center" vertical="center"/>
    </xf>
    <xf numFmtId="0" fontId="18" fillId="0" borderId="0" xfId="0" applyFont="1" applyAlignment="1">
      <alignment horizontal="center" vertical="center" wrapText="1"/>
    </xf>
    <xf numFmtId="3" fontId="17" fillId="0" borderId="0" xfId="0" applyNumberFormat="1" applyFont="1"/>
    <xf numFmtId="0" fontId="15" fillId="0" borderId="0" xfId="0" applyFont="1" applyAlignment="1">
      <alignment horizontal="center" vertical="center"/>
    </xf>
    <xf numFmtId="0" fontId="0" fillId="0" borderId="17" xfId="0" applyBorder="1" applyAlignment="1">
      <alignment vertical="center"/>
    </xf>
    <xf numFmtId="0" fontId="0" fillId="0" borderId="16" xfId="0" applyBorder="1" applyAlignment="1">
      <alignment vertical="center"/>
    </xf>
    <xf numFmtId="0" fontId="0" fillId="6" borderId="0" xfId="0" applyFill="1" applyAlignment="1">
      <alignment horizontal="center" vertical="center"/>
    </xf>
    <xf numFmtId="3" fontId="27" fillId="0" borderId="3" xfId="0" applyNumberFormat="1" applyFont="1" applyBorder="1" applyAlignment="1">
      <alignment horizontal="center" vertical="center"/>
    </xf>
    <xf numFmtId="173" fontId="27" fillId="0" borderId="3" xfId="0" applyNumberFormat="1" applyFont="1" applyBorder="1" applyAlignment="1">
      <alignment horizontal="center" vertical="center"/>
    </xf>
    <xf numFmtId="0" fontId="14" fillId="10" borderId="3" xfId="0" applyFont="1" applyFill="1" applyBorder="1" applyAlignment="1">
      <alignment horizontal="center" vertical="center" wrapText="1"/>
    </xf>
    <xf numFmtId="9" fontId="15" fillId="10" borderId="3" xfId="2" applyFont="1" applyFill="1" applyBorder="1" applyAlignment="1">
      <alignment horizontal="center" vertical="center" wrapText="1"/>
    </xf>
    <xf numFmtId="0" fontId="14" fillId="8" borderId="3" xfId="0" applyFont="1" applyFill="1" applyBorder="1" applyAlignment="1">
      <alignment horizontal="center" vertical="center" wrapText="1"/>
    </xf>
    <xf numFmtId="0" fontId="14" fillId="8" borderId="0" xfId="0" applyFont="1" applyFill="1"/>
    <xf numFmtId="0" fontId="15" fillId="0" borderId="0" xfId="0" applyFont="1"/>
    <xf numFmtId="174" fontId="15" fillId="0" borderId="3" xfId="0" applyNumberFormat="1" applyFont="1" applyBorder="1" applyAlignment="1">
      <alignment horizontal="center" vertical="center" wrapText="1"/>
    </xf>
    <xf numFmtId="0" fontId="14" fillId="7" borderId="0" xfId="0" applyFont="1" applyFill="1" applyAlignment="1">
      <alignment horizontal="center" vertical="center" wrapText="1"/>
    </xf>
    <xf numFmtId="173" fontId="0" fillId="0" borderId="0" xfId="0" applyNumberFormat="1"/>
    <xf numFmtId="172" fontId="15" fillId="12" borderId="3" xfId="0" applyNumberFormat="1" applyFont="1" applyFill="1" applyBorder="1" applyAlignment="1">
      <alignment horizontal="center" vertical="center"/>
    </xf>
    <xf numFmtId="177" fontId="15" fillId="10" borderId="3" xfId="2" applyNumberFormat="1" applyFont="1" applyFill="1" applyBorder="1" applyAlignment="1">
      <alignment horizontal="center" vertical="center" wrapText="1"/>
    </xf>
    <xf numFmtId="9" fontId="15" fillId="0" borderId="0" xfId="2" applyFont="1"/>
    <xf numFmtId="171" fontId="0" fillId="0" borderId="0" xfId="2" applyNumberFormat="1" applyFont="1" applyAlignment="1">
      <alignment horizontal="center" vertical="center"/>
    </xf>
    <xf numFmtId="174" fontId="17" fillId="0" borderId="3" xfId="0" applyNumberFormat="1" applyFont="1" applyBorder="1" applyAlignment="1">
      <alignment horizontal="center" vertical="center" wrapText="1"/>
    </xf>
    <xf numFmtId="174" fontId="0" fillId="10" borderId="3" xfId="0" applyNumberFormat="1" applyFill="1" applyBorder="1" applyAlignment="1">
      <alignment horizontal="center" vertical="center" wrapText="1"/>
    </xf>
    <xf numFmtId="171" fontId="0" fillId="0" borderId="0" xfId="0" applyNumberFormat="1"/>
    <xf numFmtId="174" fontId="0" fillId="0" borderId="3" xfId="0" applyNumberFormat="1" applyBorder="1" applyAlignment="1">
      <alignment horizontal="center" vertical="center" wrapText="1"/>
    </xf>
    <xf numFmtId="179" fontId="15" fillId="0" borderId="3" xfId="0" applyNumberFormat="1" applyFont="1" applyBorder="1" applyAlignment="1">
      <alignment horizontal="center" vertical="center"/>
    </xf>
    <xf numFmtId="0" fontId="0" fillId="0" borderId="19" xfId="0" applyBorder="1" applyAlignment="1">
      <alignment vertical="center"/>
    </xf>
    <xf numFmtId="0" fontId="0" fillId="0" borderId="20" xfId="0" applyBorder="1" applyAlignment="1">
      <alignment vertical="center"/>
    </xf>
    <xf numFmtId="180" fontId="0" fillId="0" borderId="0" xfId="0" applyNumberFormat="1"/>
    <xf numFmtId="0" fontId="21" fillId="0" borderId="0" xfId="0" applyFont="1" applyAlignment="1">
      <alignment horizontal="center" vertical="center"/>
    </xf>
    <xf numFmtId="178" fontId="14" fillId="0" borderId="3" xfId="0" applyNumberFormat="1" applyFont="1" applyBorder="1" applyAlignment="1">
      <alignment horizontal="center" vertical="center" wrapText="1"/>
    </xf>
    <xf numFmtId="178" fontId="14" fillId="10" borderId="3" xfId="0" applyNumberFormat="1" applyFont="1" applyFill="1" applyBorder="1" applyAlignment="1">
      <alignment horizontal="center" vertical="center" wrapText="1"/>
    </xf>
    <xf numFmtId="171" fontId="14" fillId="0" borderId="3" xfId="2" applyNumberFormat="1" applyFont="1" applyBorder="1" applyAlignment="1">
      <alignment horizontal="center" vertical="center" wrapText="1"/>
    </xf>
    <xf numFmtId="170" fontId="14" fillId="0" borderId="3" xfId="2" applyNumberFormat="1" applyFont="1" applyBorder="1" applyAlignment="1">
      <alignment horizontal="center" vertical="center" wrapText="1"/>
    </xf>
    <xf numFmtId="171" fontId="14" fillId="10" borderId="3" xfId="2" applyNumberFormat="1" applyFont="1" applyFill="1" applyBorder="1" applyAlignment="1">
      <alignment horizontal="center" vertical="center" wrapText="1"/>
    </xf>
    <xf numFmtId="178" fontId="17" fillId="0" borderId="3" xfId="0" applyNumberFormat="1" applyFont="1" applyBorder="1" applyAlignment="1">
      <alignment horizontal="center" vertical="center" wrapText="1"/>
    </xf>
    <xf numFmtId="178" fontId="0" fillId="10" borderId="3" xfId="0" applyNumberFormat="1" applyFill="1" applyBorder="1" applyAlignment="1">
      <alignment horizontal="center" vertical="center" wrapText="1"/>
    </xf>
    <xf numFmtId="178" fontId="0" fillId="0" borderId="0" xfId="0" applyNumberFormat="1"/>
    <xf numFmtId="9" fontId="0" fillId="0" borderId="3" xfId="0" applyNumberFormat="1" applyBorder="1" applyAlignment="1">
      <alignment horizontal="center" vertical="center" wrapText="1"/>
    </xf>
    <xf numFmtId="174" fontId="14" fillId="10" borderId="3" xfId="2" applyNumberFormat="1" applyFont="1" applyFill="1" applyBorder="1" applyAlignment="1">
      <alignment horizontal="center" vertical="center" wrapText="1"/>
    </xf>
    <xf numFmtId="177" fontId="0" fillId="8" borderId="0" xfId="0" applyNumberFormat="1" applyFill="1"/>
    <xf numFmtId="9" fontId="0" fillId="8" borderId="3" xfId="2" applyFont="1" applyFill="1" applyBorder="1" applyAlignment="1">
      <alignment horizontal="center" vertical="center" wrapText="1"/>
    </xf>
    <xf numFmtId="0" fontId="14" fillId="0" borderId="0" xfId="0" applyFont="1" applyAlignment="1">
      <alignment vertical="center"/>
    </xf>
    <xf numFmtId="171" fontId="0" fillId="0" borderId="0" xfId="0" applyNumberFormat="1" applyAlignment="1">
      <alignment horizontal="center" vertical="center" wrapText="1"/>
    </xf>
    <xf numFmtId="0" fontId="0" fillId="0" borderId="0" xfId="0" applyAlignment="1">
      <alignment horizontal="center" wrapText="1"/>
    </xf>
    <xf numFmtId="0" fontId="15" fillId="7" borderId="0" xfId="0" applyFont="1" applyFill="1"/>
    <xf numFmtId="3" fontId="11" fillId="0" borderId="0" xfId="0" applyNumberFormat="1" applyFont="1"/>
    <xf numFmtId="3" fontId="14" fillId="0" borderId="3" xfId="0" applyNumberFormat="1" applyFont="1" applyBorder="1" applyAlignment="1">
      <alignment horizontal="center" vertical="center"/>
    </xf>
    <xf numFmtId="181" fontId="14" fillId="0" borderId="3" xfId="0" applyNumberFormat="1" applyFont="1" applyBorder="1" applyAlignment="1">
      <alignment horizontal="center" vertical="center" wrapText="1"/>
    </xf>
    <xf numFmtId="0" fontId="14" fillId="0" borderId="0" xfId="0" applyFont="1" applyAlignment="1">
      <alignment vertical="center" wrapText="1"/>
    </xf>
    <xf numFmtId="0" fontId="19" fillId="0" borderId="0" xfId="0" applyFont="1" applyAlignment="1">
      <alignment vertical="center"/>
    </xf>
    <xf numFmtId="168" fontId="17" fillId="0" borderId="3" xfId="0" applyNumberFormat="1" applyFont="1" applyBorder="1" applyAlignment="1">
      <alignment horizontal="center" vertical="center"/>
    </xf>
    <xf numFmtId="0" fontId="19" fillId="0" borderId="0" xfId="0" applyFont="1" applyAlignment="1">
      <alignment horizontal="left"/>
    </xf>
    <xf numFmtId="0" fontId="17" fillId="8" borderId="0" xfId="0" applyFont="1" applyFill="1" applyAlignment="1">
      <alignment vertical="center"/>
    </xf>
    <xf numFmtId="171" fontId="17" fillId="8" borderId="3" xfId="0" applyNumberFormat="1" applyFont="1" applyFill="1" applyBorder="1" applyAlignment="1">
      <alignment horizontal="center" vertical="center"/>
    </xf>
    <xf numFmtId="171" fontId="17" fillId="0" borderId="0" xfId="0" applyNumberFormat="1" applyFont="1"/>
    <xf numFmtId="172" fontId="15" fillId="11" borderId="3" xfId="0" applyNumberFormat="1" applyFont="1" applyFill="1" applyBorder="1" applyAlignment="1">
      <alignment horizontal="center" vertical="center" wrapText="1"/>
    </xf>
    <xf numFmtId="17" fontId="15" fillId="12" borderId="3" xfId="0" applyNumberFormat="1" applyFont="1" applyFill="1" applyBorder="1" applyAlignment="1">
      <alignment horizontal="center" vertical="center" wrapText="1"/>
    </xf>
    <xf numFmtId="168" fontId="15" fillId="0" borderId="3" xfId="0" applyNumberFormat="1" applyFont="1" applyBorder="1" applyAlignment="1">
      <alignment horizontal="center" vertical="center" wrapText="1"/>
    </xf>
    <xf numFmtId="0" fontId="23" fillId="7" borderId="0" xfId="0" applyFont="1" applyFill="1" applyAlignment="1">
      <alignment horizontal="right" vertical="center"/>
    </xf>
    <xf numFmtId="17" fontId="15" fillId="11" borderId="3" xfId="0" applyNumberFormat="1" applyFont="1" applyFill="1" applyBorder="1" applyAlignment="1">
      <alignment horizontal="center" vertical="center" wrapText="1"/>
    </xf>
    <xf numFmtId="171" fontId="17" fillId="0" borderId="3" xfId="2" applyNumberFormat="1" applyFont="1" applyBorder="1" applyAlignment="1">
      <alignment horizontal="center" vertical="center" wrapText="1"/>
    </xf>
    <xf numFmtId="164" fontId="0" fillId="0" borderId="0" xfId="0" applyNumberFormat="1"/>
    <xf numFmtId="9" fontId="0" fillId="0" borderId="0" xfId="0" applyNumberFormat="1"/>
    <xf numFmtId="170" fontId="17" fillId="0" borderId="0" xfId="0" applyNumberFormat="1" applyFont="1"/>
    <xf numFmtId="171" fontId="0" fillId="0" borderId="3" xfId="2" applyNumberFormat="1" applyFont="1" applyBorder="1" applyAlignment="1">
      <alignment horizontal="center" vertical="center" wrapText="1"/>
    </xf>
    <xf numFmtId="170" fontId="0" fillId="0" borderId="0" xfId="0" applyNumberFormat="1"/>
    <xf numFmtId="171" fontId="0" fillId="10" borderId="3" xfId="2" applyNumberFormat="1" applyFont="1" applyFill="1" applyBorder="1" applyAlignment="1">
      <alignment horizontal="center" vertical="center" wrapText="1"/>
    </xf>
    <xf numFmtId="3" fontId="17" fillId="0" borderId="3" xfId="2" applyNumberFormat="1" applyFont="1" applyBorder="1" applyAlignment="1">
      <alignment horizontal="center" vertical="center" wrapText="1"/>
    </xf>
    <xf numFmtId="3" fontId="17" fillId="0" borderId="1" xfId="2" applyNumberFormat="1" applyFont="1" applyBorder="1" applyAlignment="1">
      <alignment horizontal="center" vertical="center" wrapText="1"/>
    </xf>
    <xf numFmtId="0" fontId="21" fillId="7" borderId="0" xfId="0" applyFont="1" applyFill="1" applyAlignment="1">
      <alignment horizontal="right" vertical="center"/>
    </xf>
    <xf numFmtId="17" fontId="14" fillId="0" borderId="0" xfId="0" applyNumberFormat="1" applyFont="1"/>
    <xf numFmtId="0" fontId="21" fillId="0" borderId="0" xfId="0" applyFont="1" applyAlignment="1">
      <alignment horizontal="right" vertical="center"/>
    </xf>
    <xf numFmtId="0" fontId="19" fillId="0" borderId="0" xfId="0" applyFont="1"/>
    <xf numFmtId="0" fontId="4" fillId="0" borderId="0" xfId="0" applyFont="1" applyAlignment="1">
      <alignment vertical="center"/>
    </xf>
    <xf numFmtId="0" fontId="13" fillId="0" borderId="0" xfId="0" applyFont="1" applyAlignment="1">
      <alignment vertical="center"/>
    </xf>
    <xf numFmtId="171" fontId="0" fillId="9" borderId="3" xfId="2" applyNumberFormat="1" applyFont="1" applyFill="1" applyBorder="1" applyAlignment="1">
      <alignment horizontal="center" vertical="center" wrapText="1"/>
    </xf>
    <xf numFmtId="168" fontId="27" fillId="0" borderId="3" xfId="0" applyNumberFormat="1" applyFont="1" applyBorder="1" applyAlignment="1">
      <alignment horizontal="center" vertical="center"/>
    </xf>
    <xf numFmtId="168" fontId="17" fillId="8" borderId="3" xfId="0" applyNumberFormat="1" applyFont="1" applyFill="1" applyBorder="1" applyAlignment="1">
      <alignment horizontal="center" vertical="center"/>
    </xf>
    <xf numFmtId="0" fontId="17" fillId="8" borderId="0" xfId="0" applyFont="1" applyFill="1"/>
    <xf numFmtId="168" fontId="0" fillId="0" borderId="3" xfId="0" applyNumberFormat="1" applyBorder="1" applyAlignment="1">
      <alignment horizontal="center" vertical="center"/>
    </xf>
    <xf numFmtId="0" fontId="19" fillId="8" borderId="0" xfId="0" applyFont="1" applyFill="1" applyAlignment="1">
      <alignment vertical="center"/>
    </xf>
    <xf numFmtId="171" fontId="0" fillId="8" borderId="3" xfId="0" applyNumberFormat="1" applyFill="1" applyBorder="1" applyAlignment="1">
      <alignment horizontal="center" vertical="center"/>
    </xf>
    <xf numFmtId="171" fontId="17" fillId="8" borderId="0" xfId="0" applyNumberFormat="1" applyFont="1" applyFill="1"/>
    <xf numFmtId="0" fontId="9" fillId="0" borderId="0" xfId="0" applyFont="1" applyAlignment="1">
      <alignment vertical="center"/>
    </xf>
    <xf numFmtId="0" fontId="29" fillId="0" borderId="0" xfId="0" applyFont="1" applyAlignment="1">
      <alignment vertical="center"/>
    </xf>
    <xf numFmtId="0" fontId="30" fillId="13" borderId="28" xfId="0" applyFont="1" applyFill="1" applyBorder="1"/>
    <xf numFmtId="0" fontId="4" fillId="13" borderId="29" xfId="0" applyFont="1" applyFill="1" applyBorder="1"/>
    <xf numFmtId="0" fontId="29" fillId="13" borderId="31" xfId="0" applyFont="1" applyFill="1" applyBorder="1" applyAlignment="1">
      <alignment vertical="center"/>
    </xf>
    <xf numFmtId="0" fontId="4" fillId="13" borderId="32" xfId="0" applyFont="1" applyFill="1" applyBorder="1" applyAlignment="1">
      <alignment vertical="center"/>
    </xf>
    <xf numFmtId="0" fontId="29" fillId="13" borderId="29" xfId="0" applyFont="1" applyFill="1" applyBorder="1"/>
    <xf numFmtId="0" fontId="29" fillId="13" borderId="33" xfId="0" applyFont="1" applyFill="1" applyBorder="1"/>
    <xf numFmtId="0" fontId="29" fillId="13" borderId="32" xfId="0" applyFont="1" applyFill="1" applyBorder="1" applyAlignment="1">
      <alignment vertical="center"/>
    </xf>
    <xf numFmtId="0" fontId="29" fillId="13" borderId="35" xfId="0" applyFont="1" applyFill="1" applyBorder="1" applyAlignment="1">
      <alignment vertical="center"/>
    </xf>
    <xf numFmtId="0" fontId="31" fillId="14" borderId="0" xfId="0" applyFont="1" applyFill="1"/>
    <xf numFmtId="0" fontId="27" fillId="6" borderId="0" xfId="0" applyFont="1" applyFill="1" applyAlignment="1">
      <alignment vertical="center"/>
    </xf>
    <xf numFmtId="0" fontId="11" fillId="6" borderId="0" xfId="0" applyFont="1" applyFill="1"/>
    <xf numFmtId="0" fontId="27" fillId="0" borderId="0" xfId="0" applyFont="1" applyAlignment="1">
      <alignment vertical="center"/>
    </xf>
    <xf numFmtId="0" fontId="27" fillId="0" borderId="0" xfId="0" applyFont="1" applyAlignment="1">
      <alignment horizontal="center" vertical="center" wrapText="1"/>
    </xf>
    <xf numFmtId="0" fontId="27" fillId="0" borderId="0" xfId="0" applyFont="1"/>
    <xf numFmtId="0" fontId="27" fillId="0" borderId="3" xfId="0" applyFont="1" applyBorder="1" applyAlignment="1">
      <alignment horizontal="center" vertical="center" wrapText="1"/>
    </xf>
    <xf numFmtId="0" fontId="11" fillId="0" borderId="1" xfId="0" applyFont="1" applyBorder="1"/>
    <xf numFmtId="0" fontId="11" fillId="0" borderId="2" xfId="0" applyFont="1" applyBorder="1"/>
    <xf numFmtId="0" fontId="11" fillId="0" borderId="4" xfId="0" applyFont="1" applyBorder="1"/>
    <xf numFmtId="0" fontId="11" fillId="6" borderId="0" xfId="0" applyFont="1" applyFill="1" applyAlignment="1">
      <alignment vertical="center"/>
    </xf>
    <xf numFmtId="0" fontId="27" fillId="0" borderId="3" xfId="0" applyFont="1" applyBorder="1" applyAlignment="1">
      <alignment horizontal="center" vertical="center"/>
    </xf>
    <xf numFmtId="0" fontId="14" fillId="0" borderId="0" xfId="0" applyFont="1" applyAlignment="1">
      <alignment wrapText="1"/>
    </xf>
    <xf numFmtId="0" fontId="27" fillId="10" borderId="3" xfId="0" applyFont="1" applyFill="1" applyBorder="1" applyAlignment="1">
      <alignment horizontal="center" vertical="center" wrapText="1"/>
    </xf>
    <xf numFmtId="171" fontId="15" fillId="0" borderId="3" xfId="0" applyNumberFormat="1" applyFont="1" applyBorder="1" applyAlignment="1">
      <alignment horizontal="center" vertical="center" wrapText="1"/>
    </xf>
    <xf numFmtId="171" fontId="14" fillId="13" borderId="3" xfId="0" applyNumberFormat="1" applyFont="1" applyFill="1" applyBorder="1" applyAlignment="1">
      <alignment horizontal="center" vertical="center" wrapText="1"/>
    </xf>
    <xf numFmtId="170" fontId="15" fillId="0" borderId="3" xfId="0" applyNumberFormat="1" applyFont="1" applyBorder="1" applyAlignment="1">
      <alignment horizontal="center" vertical="center" wrapText="1"/>
    </xf>
    <xf numFmtId="170" fontId="15" fillId="0" borderId="0" xfId="0" applyNumberFormat="1" applyFont="1"/>
    <xf numFmtId="170" fontId="15" fillId="10" borderId="3" xfId="0" applyNumberFormat="1" applyFont="1" applyFill="1" applyBorder="1" applyAlignment="1">
      <alignment horizontal="center" vertical="center" wrapText="1"/>
    </xf>
    <xf numFmtId="0" fontId="11" fillId="0" borderId="3" xfId="0" applyFont="1" applyBorder="1" applyAlignment="1">
      <alignment horizontal="center" vertical="center" wrapText="1"/>
    </xf>
    <xf numFmtId="0" fontId="32" fillId="6" borderId="0" xfId="0" applyFont="1" applyFill="1"/>
    <xf numFmtId="0" fontId="27" fillId="0" borderId="1" xfId="0" applyFont="1" applyBorder="1"/>
    <xf numFmtId="0" fontId="27" fillId="0" borderId="4" xfId="0" applyFont="1" applyBorder="1"/>
    <xf numFmtId="171" fontId="15" fillId="10" borderId="3" xfId="0" applyNumberFormat="1" applyFont="1" applyFill="1" applyBorder="1" applyAlignment="1">
      <alignment horizontal="center" vertical="center" wrapText="1"/>
    </xf>
    <xf numFmtId="0" fontId="32" fillId="6" borderId="0" xfId="0" applyFont="1" applyFill="1" applyAlignment="1">
      <alignment horizontal="right"/>
    </xf>
    <xf numFmtId="0" fontId="0" fillId="6" borderId="0" xfId="0" applyFill="1"/>
    <xf numFmtId="0" fontId="35" fillId="6" borderId="0" xfId="0" applyFont="1" applyFill="1"/>
    <xf numFmtId="0" fontId="36" fillId="11" borderId="1" xfId="0" applyFont="1" applyFill="1" applyBorder="1" applyAlignment="1">
      <alignment horizontal="center" vertical="center" wrapText="1"/>
    </xf>
    <xf numFmtId="0" fontId="36" fillId="11" borderId="4" xfId="0" applyFont="1" applyFill="1" applyBorder="1" applyAlignment="1">
      <alignment horizontal="center" vertical="center" wrapText="1"/>
    </xf>
    <xf numFmtId="0" fontId="36" fillId="11" borderId="4" xfId="0" applyFont="1" applyFill="1" applyBorder="1" applyAlignment="1">
      <alignment vertical="center" wrapText="1"/>
    </xf>
    <xf numFmtId="0" fontId="29" fillId="0" borderId="0" xfId="0" applyFont="1"/>
    <xf numFmtId="0" fontId="4" fillId="13" borderId="1" xfId="0" applyFont="1" applyFill="1" applyBorder="1" applyAlignment="1">
      <alignment horizontal="center" vertical="center"/>
    </xf>
    <xf numFmtId="0" fontId="4" fillId="13" borderId="4" xfId="0" applyFont="1" applyFill="1" applyBorder="1" applyAlignment="1">
      <alignment horizontal="center" vertical="center"/>
    </xf>
    <xf numFmtId="17" fontId="14" fillId="0" borderId="3" xfId="0" applyNumberFormat="1" applyFont="1" applyBorder="1" applyAlignment="1">
      <alignment horizontal="center" vertical="center"/>
    </xf>
    <xf numFmtId="178" fontId="15" fillId="10" borderId="3" xfId="0" applyNumberFormat="1" applyFont="1" applyFill="1" applyBorder="1" applyAlignment="1">
      <alignment horizontal="center" vertical="center" wrapText="1"/>
    </xf>
    <xf numFmtId="178" fontId="14" fillId="0" borderId="0" xfId="2" applyNumberFormat="1" applyFont="1"/>
    <xf numFmtId="171" fontId="14" fillId="0" borderId="0" xfId="2" applyNumberFormat="1" applyFont="1"/>
    <xf numFmtId="0" fontId="11" fillId="0" borderId="0" xfId="0" applyFont="1" applyAlignment="1">
      <alignment vertical="center"/>
    </xf>
    <xf numFmtId="173" fontId="14" fillId="0" borderId="3" xfId="0" applyNumberFormat="1" applyFont="1" applyBorder="1" applyAlignment="1">
      <alignment horizontal="center" vertical="center"/>
    </xf>
    <xf numFmtId="171" fontId="14" fillId="0" borderId="3" xfId="0" applyNumberFormat="1" applyFont="1" applyBorder="1" applyAlignment="1">
      <alignment horizontal="center" vertical="center"/>
    </xf>
    <xf numFmtId="0" fontId="32" fillId="0" borderId="0" xfId="0" applyFont="1"/>
    <xf numFmtId="0" fontId="11" fillId="0" borderId="3" xfId="0" applyFont="1" applyBorder="1" applyAlignment="1">
      <alignment horizontal="center" vertical="center"/>
    </xf>
    <xf numFmtId="0" fontId="11" fillId="8" borderId="3" xfId="0" applyFont="1" applyFill="1" applyBorder="1" applyAlignment="1">
      <alignment horizontal="center" vertical="center" wrapText="1"/>
    </xf>
    <xf numFmtId="9" fontId="14" fillId="8" borderId="3" xfId="2" applyFont="1" applyFill="1" applyBorder="1" applyAlignment="1">
      <alignment horizontal="center" vertical="center" wrapText="1"/>
    </xf>
    <xf numFmtId="0" fontId="36" fillId="8" borderId="3" xfId="0" applyFont="1" applyFill="1" applyBorder="1" applyAlignment="1">
      <alignment horizontal="center" vertical="center" wrapText="1"/>
    </xf>
    <xf numFmtId="172" fontId="15" fillId="15" borderId="3" xfId="0" applyNumberFormat="1" applyFont="1" applyFill="1" applyBorder="1" applyAlignment="1">
      <alignment horizontal="center" vertical="center"/>
    </xf>
    <xf numFmtId="171" fontId="14" fillId="0" borderId="0" xfId="2" applyNumberFormat="1" applyFont="1" applyAlignment="1">
      <alignment horizontal="center" vertical="center"/>
    </xf>
    <xf numFmtId="0" fontId="11" fillId="0" borderId="0" xfId="0" applyFont="1" applyAlignment="1">
      <alignment horizontal="center"/>
    </xf>
    <xf numFmtId="9" fontId="14" fillId="0" borderId="3" xfId="0" applyNumberFormat="1" applyFont="1" applyBorder="1" applyAlignment="1">
      <alignment horizontal="center" vertical="center" wrapText="1"/>
    </xf>
    <xf numFmtId="171" fontId="4" fillId="0" borderId="0" xfId="0" applyNumberFormat="1" applyFont="1"/>
    <xf numFmtId="171" fontId="15" fillId="10" borderId="3" xfId="2" applyNumberFormat="1" applyFont="1" applyFill="1" applyBorder="1" applyAlignment="1">
      <alignment horizontal="center" vertical="center" wrapText="1"/>
    </xf>
    <xf numFmtId="178" fontId="4" fillId="0" borderId="0" xfId="0" applyNumberFormat="1" applyFont="1"/>
    <xf numFmtId="172" fontId="15" fillId="13" borderId="3" xfId="0" applyNumberFormat="1" applyFont="1" applyFill="1" applyBorder="1" applyAlignment="1">
      <alignment horizontal="center" vertical="center"/>
    </xf>
    <xf numFmtId="171" fontId="15" fillId="0" borderId="0" xfId="0" applyNumberFormat="1" applyFont="1"/>
    <xf numFmtId="0" fontId="36" fillId="0" borderId="0" xfId="0" applyFont="1" applyAlignment="1">
      <alignment horizontal="center" vertical="center" wrapText="1"/>
    </xf>
    <xf numFmtId="0" fontId="36" fillId="0" borderId="0" xfId="0" applyFont="1" applyAlignment="1">
      <alignment horizontal="center" wrapText="1"/>
    </xf>
    <xf numFmtId="0" fontId="27" fillId="0" borderId="0" xfId="0" applyFont="1" applyAlignment="1">
      <alignment vertical="center" wrapText="1"/>
    </xf>
    <xf numFmtId="0" fontId="36" fillId="0" borderId="0" xfId="0" applyFont="1" applyAlignment="1">
      <alignment vertical="center" wrapText="1"/>
    </xf>
    <xf numFmtId="0" fontId="36" fillId="0" borderId="0" xfId="0" applyFont="1"/>
    <xf numFmtId="17" fontId="15" fillId="15" borderId="3" xfId="0" applyNumberFormat="1" applyFont="1" applyFill="1" applyBorder="1" applyAlignment="1">
      <alignment horizontal="center" vertical="center" wrapText="1"/>
    </xf>
    <xf numFmtId="0" fontId="34" fillId="13" borderId="28" xfId="0" applyFont="1" applyFill="1" applyBorder="1"/>
    <xf numFmtId="0" fontId="36" fillId="13" borderId="30" xfId="0" applyFont="1" applyFill="1" applyBorder="1"/>
    <xf numFmtId="182" fontId="36" fillId="13" borderId="30" xfId="1" applyNumberFormat="1" applyFont="1" applyFill="1" applyBorder="1"/>
    <xf numFmtId="0" fontId="36" fillId="13" borderId="31" xfId="0" applyFont="1" applyFill="1" applyBorder="1" applyAlignment="1">
      <alignment vertical="top"/>
    </xf>
    <xf numFmtId="17" fontId="15" fillId="13" borderId="3" xfId="0" applyNumberFormat="1" applyFont="1" applyFill="1" applyBorder="1" applyAlignment="1">
      <alignment horizontal="center" vertical="center" wrapText="1"/>
    </xf>
    <xf numFmtId="0" fontId="0" fillId="2" borderId="0" xfId="0" applyFill="1"/>
    <xf numFmtId="183" fontId="0" fillId="0" borderId="0" xfId="0" applyNumberFormat="1"/>
    <xf numFmtId="0" fontId="27" fillId="13" borderId="29" xfId="0" applyFont="1" applyFill="1" applyBorder="1"/>
    <xf numFmtId="0" fontId="27" fillId="13" borderId="33" xfId="0" applyFont="1" applyFill="1" applyBorder="1"/>
    <xf numFmtId="0" fontId="27" fillId="13" borderId="0" xfId="0" applyFont="1" applyFill="1"/>
    <xf numFmtId="0" fontId="27" fillId="13" borderId="34" xfId="0" applyFont="1" applyFill="1" applyBorder="1"/>
    <xf numFmtId="0" fontId="27" fillId="13" borderId="32" xfId="0" applyFont="1" applyFill="1" applyBorder="1"/>
    <xf numFmtId="0" fontId="27" fillId="13" borderId="35" xfId="0" applyFont="1" applyFill="1" applyBorder="1"/>
    <xf numFmtId="168" fontId="23" fillId="0" borderId="3" xfId="0" applyNumberFormat="1" applyFont="1" applyBorder="1" applyAlignment="1">
      <alignment horizontal="center" vertical="center" wrapText="1"/>
    </xf>
    <xf numFmtId="0" fontId="21" fillId="0" borderId="0" xfId="0" applyFont="1" applyAlignment="1">
      <alignment wrapText="1"/>
    </xf>
    <xf numFmtId="168" fontId="21" fillId="0" borderId="3" xfId="0" applyNumberFormat="1" applyFont="1" applyBorder="1" applyAlignment="1">
      <alignment horizontal="center" vertical="center" wrapText="1"/>
    </xf>
    <xf numFmtId="171" fontId="21" fillId="8" borderId="3" xfId="0" applyNumberFormat="1" applyFont="1" applyFill="1" applyBorder="1" applyAlignment="1">
      <alignment horizontal="center" vertical="center" wrapText="1"/>
    </xf>
    <xf numFmtId="171" fontId="21" fillId="0" borderId="3" xfId="0" applyNumberFormat="1" applyFont="1" applyBorder="1" applyAlignment="1">
      <alignment horizontal="center" vertical="center" wrapText="1"/>
    </xf>
    <xf numFmtId="0" fontId="15" fillId="2" borderId="0" xfId="0" applyFont="1" applyFill="1"/>
    <xf numFmtId="3" fontId="4" fillId="0" borderId="0" xfId="0" applyNumberFormat="1" applyFont="1"/>
    <xf numFmtId="184" fontId="0" fillId="0" borderId="0" xfId="4" applyNumberFormat="1" applyFont="1"/>
    <xf numFmtId="44" fontId="15" fillId="10" borderId="3" xfId="4" applyFont="1" applyFill="1" applyBorder="1" applyAlignment="1">
      <alignment horizontal="center" vertical="center" wrapText="1"/>
    </xf>
    <xf numFmtId="44" fontId="14" fillId="0" borderId="0" xfId="4" applyFont="1"/>
    <xf numFmtId="44" fontId="14" fillId="0" borderId="3" xfId="4" applyFont="1" applyBorder="1" applyAlignment="1">
      <alignment horizontal="center" vertical="center" wrapText="1"/>
    </xf>
    <xf numFmtId="2" fontId="4" fillId="0" borderId="0" xfId="0" applyNumberFormat="1" applyFont="1"/>
    <xf numFmtId="0" fontId="14" fillId="0" borderId="3" xfId="2" applyNumberFormat="1" applyFont="1" applyBorder="1" applyAlignment="1">
      <alignment horizontal="center" vertical="center" wrapText="1"/>
    </xf>
    <xf numFmtId="9" fontId="14" fillId="0" borderId="3" xfId="2" applyFont="1" applyBorder="1" applyAlignment="1">
      <alignment horizontal="center" vertical="center"/>
    </xf>
    <xf numFmtId="0" fontId="32" fillId="6" borderId="0" xfId="0" applyFont="1" applyFill="1" applyAlignment="1">
      <alignment vertical="center"/>
    </xf>
    <xf numFmtId="44" fontId="14" fillId="0" borderId="3" xfId="4" applyFont="1" applyBorder="1" applyAlignment="1">
      <alignment horizontal="center" vertical="center"/>
    </xf>
    <xf numFmtId="0" fontId="19" fillId="2" borderId="3" xfId="0" applyFont="1" applyFill="1" applyBorder="1" applyAlignment="1" applyProtection="1">
      <alignment horizontal="center" vertical="center" wrapText="1"/>
      <protection locked="0"/>
    </xf>
    <xf numFmtId="171" fontId="17" fillId="2" borderId="3" xfId="0" applyNumberFormat="1" applyFont="1" applyFill="1" applyBorder="1" applyAlignment="1" applyProtection="1">
      <alignment horizontal="center" vertical="center"/>
      <protection locked="0"/>
    </xf>
    <xf numFmtId="0" fontId="9" fillId="0" borderId="0" xfId="0" applyFont="1" applyAlignment="1" applyProtection="1">
      <alignment horizontal="right"/>
      <protection locked="0"/>
    </xf>
    <xf numFmtId="172" fontId="17" fillId="2" borderId="3" xfId="0" applyNumberFormat="1" applyFont="1" applyFill="1" applyBorder="1" applyAlignment="1" applyProtection="1">
      <alignment horizontal="center" vertical="center"/>
      <protection locked="0"/>
    </xf>
    <xf numFmtId="0" fontId="0" fillId="0" borderId="0" xfId="0" applyProtection="1">
      <protection locked="0"/>
    </xf>
    <xf numFmtId="0" fontId="27" fillId="0" borderId="0" xfId="0" applyFont="1" applyProtection="1">
      <protection locked="0"/>
    </xf>
    <xf numFmtId="0" fontId="14" fillId="0" borderId="0" xfId="0" applyFont="1" applyProtection="1">
      <protection locked="0"/>
    </xf>
    <xf numFmtId="9" fontId="17" fillId="2" borderId="3" xfId="2" applyFont="1" applyFill="1" applyBorder="1" applyAlignment="1" applyProtection="1">
      <alignment horizontal="center" vertical="center" wrapText="1"/>
      <protection locked="0"/>
    </xf>
    <xf numFmtId="171" fontId="17" fillId="2" borderId="3" xfId="0" applyNumberFormat="1" applyFont="1" applyFill="1" applyBorder="1" applyAlignment="1" applyProtection="1">
      <alignment horizontal="center" vertical="center" wrapText="1"/>
      <protection locked="0"/>
    </xf>
    <xf numFmtId="178" fontId="17" fillId="2" borderId="3" xfId="0" applyNumberFormat="1" applyFont="1" applyFill="1" applyBorder="1" applyAlignment="1" applyProtection="1">
      <alignment horizontal="center" vertical="center" wrapText="1"/>
      <protection locked="0"/>
    </xf>
    <xf numFmtId="0" fontId="17" fillId="2" borderId="1" xfId="0" applyFont="1" applyFill="1" applyBorder="1" applyAlignment="1" applyProtection="1">
      <alignment vertical="center" wrapText="1"/>
      <protection locked="0"/>
    </xf>
    <xf numFmtId="0" fontId="17" fillId="2" borderId="4" xfId="0" applyFont="1" applyFill="1" applyBorder="1" applyAlignment="1" applyProtection="1">
      <alignment vertical="center" wrapText="1"/>
      <protection locked="0"/>
    </xf>
    <xf numFmtId="0" fontId="0" fillId="2" borderId="1" xfId="0" applyFill="1" applyBorder="1" applyAlignment="1" applyProtection="1">
      <alignment vertical="center" wrapText="1"/>
      <protection locked="0"/>
    </xf>
    <xf numFmtId="0" fontId="0" fillId="2" borderId="4" xfId="0" applyFill="1" applyBorder="1" applyAlignment="1" applyProtection="1">
      <alignment vertical="center" wrapText="1"/>
      <protection locked="0"/>
    </xf>
    <xf numFmtId="0" fontId="0" fillId="0" borderId="1" xfId="0" applyBorder="1" applyAlignment="1" applyProtection="1">
      <alignment horizontal="center" vertical="center"/>
      <protection locked="0"/>
    </xf>
    <xf numFmtId="0" fontId="0" fillId="0" borderId="4" xfId="0" applyBorder="1" applyAlignment="1" applyProtection="1">
      <alignment horizontal="center" vertical="center"/>
      <protection locked="0"/>
    </xf>
    <xf numFmtId="0" fontId="0" fillId="0" borderId="1" xfId="0" applyBorder="1" applyProtection="1">
      <protection locked="0"/>
    </xf>
    <xf numFmtId="0" fontId="0" fillId="0" borderId="2" xfId="0" applyBorder="1" applyAlignment="1" applyProtection="1">
      <alignment horizontal="center" vertical="center"/>
      <protection locked="0"/>
    </xf>
    <xf numFmtId="0" fontId="0" fillId="0" borderId="2" xfId="0" applyBorder="1" applyProtection="1">
      <protection locked="0"/>
    </xf>
    <xf numFmtId="0" fontId="0" fillId="0" borderId="4" xfId="0" applyBorder="1" applyProtection="1">
      <protection locked="0"/>
    </xf>
    <xf numFmtId="0" fontId="17" fillId="2" borderId="3" xfId="0" applyFont="1" applyFill="1" applyBorder="1" applyAlignment="1" applyProtection="1">
      <alignment horizontal="center" vertical="center"/>
      <protection locked="0"/>
    </xf>
    <xf numFmtId="0" fontId="17" fillId="0" borderId="0" xfId="0" applyFont="1" applyProtection="1">
      <protection locked="0"/>
    </xf>
    <xf numFmtId="0" fontId="22" fillId="2" borderId="27" xfId="0" applyFont="1" applyFill="1" applyBorder="1" applyAlignment="1" applyProtection="1">
      <alignment horizontal="center" vertical="center" wrapText="1"/>
      <protection locked="0"/>
    </xf>
    <xf numFmtId="17" fontId="17" fillId="2" borderId="3" xfId="0" applyNumberFormat="1" applyFont="1" applyFill="1" applyBorder="1" applyAlignment="1" applyProtection="1">
      <alignment horizontal="center" vertical="center"/>
      <protection locked="0"/>
    </xf>
    <xf numFmtId="17" fontId="17" fillId="0" borderId="0" xfId="0" applyNumberFormat="1" applyFont="1" applyProtection="1">
      <protection locked="0"/>
    </xf>
    <xf numFmtId="0" fontId="28" fillId="0" borderId="0" xfId="0" applyFont="1" applyAlignment="1" applyProtection="1">
      <alignment vertical="center"/>
      <protection locked="0"/>
    </xf>
    <xf numFmtId="168" fontId="22" fillId="2" borderId="3" xfId="0" applyNumberFormat="1" applyFont="1" applyFill="1" applyBorder="1" applyAlignment="1" applyProtection="1">
      <alignment horizontal="center" vertical="center" wrapText="1"/>
      <protection locked="0"/>
    </xf>
    <xf numFmtId="0" fontId="14" fillId="0" borderId="0" xfId="0" applyFont="1" applyAlignment="1" applyProtection="1">
      <alignment vertical="center" wrapText="1"/>
      <protection locked="0"/>
    </xf>
    <xf numFmtId="0" fontId="19" fillId="0" borderId="0" xfId="0" applyFont="1" applyAlignment="1" applyProtection="1">
      <alignment horizontal="left"/>
      <protection locked="0"/>
    </xf>
    <xf numFmtId="0" fontId="0" fillId="0" borderId="0" xfId="0" applyAlignment="1" applyProtection="1">
      <alignment horizontal="left"/>
      <protection locked="0"/>
    </xf>
    <xf numFmtId="171" fontId="17" fillId="0" borderId="0" xfId="0" applyNumberFormat="1" applyFont="1" applyProtection="1">
      <protection locked="0"/>
    </xf>
    <xf numFmtId="0" fontId="22" fillId="0" borderId="0" xfId="0" applyFont="1" applyAlignment="1" applyProtection="1">
      <alignment vertical="center"/>
      <protection locked="0"/>
    </xf>
    <xf numFmtId="0" fontId="28" fillId="2" borderId="3" xfId="0" applyFont="1" applyFill="1" applyBorder="1" applyAlignment="1" applyProtection="1">
      <alignment horizontal="center" vertical="center" wrapText="1"/>
      <protection locked="0"/>
    </xf>
    <xf numFmtId="171" fontId="17" fillId="2" borderId="3" xfId="2" applyNumberFormat="1" applyFont="1" applyFill="1" applyBorder="1" applyAlignment="1" applyProtection="1">
      <alignment horizontal="center" vertical="center" wrapText="1"/>
      <protection locked="0"/>
    </xf>
    <xf numFmtId="0" fontId="22" fillId="2" borderId="3" xfId="0" applyFont="1" applyFill="1" applyBorder="1" applyAlignment="1" applyProtection="1">
      <alignment horizontal="center" vertical="center" wrapText="1"/>
      <protection locked="0"/>
    </xf>
    <xf numFmtId="181" fontId="22" fillId="2" borderId="3" xfId="0" applyNumberFormat="1" applyFont="1" applyFill="1" applyBorder="1" applyAlignment="1" applyProtection="1">
      <alignment horizontal="center" vertical="center" wrapText="1"/>
      <protection locked="0"/>
    </xf>
    <xf numFmtId="3" fontId="17" fillId="2" borderId="3" xfId="2" applyNumberFormat="1" applyFont="1" applyFill="1" applyBorder="1" applyAlignment="1" applyProtection="1">
      <alignment horizontal="center" vertical="center" wrapText="1"/>
      <protection locked="0"/>
    </xf>
    <xf numFmtId="0" fontId="0" fillId="2" borderId="0" xfId="0" applyFill="1" applyProtection="1">
      <protection locked="0"/>
    </xf>
    <xf numFmtId="0" fontId="19" fillId="0" borderId="0" xfId="0" applyFont="1" applyProtection="1">
      <protection locked="0"/>
    </xf>
    <xf numFmtId="0" fontId="23" fillId="8" borderId="0" xfId="0" applyFont="1" applyFill="1" applyAlignment="1" applyProtection="1">
      <alignment wrapText="1"/>
      <protection locked="0"/>
    </xf>
    <xf numFmtId="171" fontId="23" fillId="8" borderId="0" xfId="0" applyNumberFormat="1" applyFont="1" applyFill="1" applyAlignment="1" applyProtection="1">
      <alignment wrapText="1"/>
      <protection locked="0"/>
    </xf>
    <xf numFmtId="3" fontId="17" fillId="0" borderId="0" xfId="0" applyNumberFormat="1" applyFont="1" applyProtection="1">
      <protection locked="0"/>
    </xf>
    <xf numFmtId="4" fontId="15" fillId="0" borderId="3" xfId="0" applyNumberFormat="1" applyFont="1" applyBorder="1" applyAlignment="1">
      <alignment horizontal="center" vertical="center" wrapText="1"/>
    </xf>
    <xf numFmtId="0" fontId="0" fillId="8" borderId="0" xfId="0" applyFill="1"/>
    <xf numFmtId="9" fontId="17" fillId="8" borderId="3" xfId="2" applyFont="1" applyFill="1" applyBorder="1" applyAlignment="1" applyProtection="1">
      <alignment horizontal="center" vertical="center" wrapText="1"/>
      <protection locked="0"/>
    </xf>
    <xf numFmtId="0" fontId="14" fillId="8" borderId="39" xfId="0" applyFont="1" applyFill="1" applyBorder="1" applyAlignment="1">
      <alignment horizontal="center" vertical="center" wrapText="1"/>
    </xf>
    <xf numFmtId="0" fontId="11" fillId="6" borderId="40" xfId="0" applyFont="1" applyFill="1" applyBorder="1" applyAlignment="1">
      <alignment vertical="center"/>
    </xf>
    <xf numFmtId="0" fontId="14" fillId="6" borderId="0" xfId="0" applyFont="1" applyFill="1"/>
    <xf numFmtId="9" fontId="14" fillId="6" borderId="3" xfId="2" applyFont="1" applyFill="1" applyBorder="1" applyAlignment="1">
      <alignment horizontal="center" vertical="center" wrapText="1"/>
    </xf>
    <xf numFmtId="0" fontId="15" fillId="6" borderId="0" xfId="0" applyFont="1" applyFill="1" applyAlignment="1">
      <alignment horizontal="center" vertical="center" wrapText="1"/>
    </xf>
    <xf numFmtId="0" fontId="36" fillId="8" borderId="0" xfId="0" applyFont="1" applyFill="1" applyAlignment="1">
      <alignment horizontal="center" vertical="center" wrapText="1"/>
    </xf>
    <xf numFmtId="9" fontId="14" fillId="8" borderId="39" xfId="2" applyFont="1" applyFill="1" applyBorder="1" applyAlignment="1">
      <alignment horizontal="center" vertical="center" wrapText="1"/>
    </xf>
    <xf numFmtId="171" fontId="14" fillId="0" borderId="39" xfId="0" applyNumberFormat="1" applyFont="1" applyBorder="1" applyAlignment="1">
      <alignment horizontal="center" vertical="center" wrapText="1"/>
    </xf>
    <xf numFmtId="9" fontId="14" fillId="0" borderId="0" xfId="2" applyFont="1" applyFill="1" applyBorder="1" applyAlignment="1">
      <alignment horizontal="center" vertical="center" wrapText="1"/>
    </xf>
    <xf numFmtId="171" fontId="14" fillId="0" borderId="0" xfId="0" applyNumberFormat="1" applyFont="1" applyAlignment="1">
      <alignment horizontal="center" vertical="center" wrapText="1"/>
    </xf>
    <xf numFmtId="9" fontId="14" fillId="8" borderId="41" xfId="2" applyFont="1" applyFill="1" applyBorder="1" applyAlignment="1">
      <alignment horizontal="center" vertical="center" wrapText="1"/>
    </xf>
    <xf numFmtId="0" fontId="15" fillId="0" borderId="41" xfId="0" applyFont="1" applyBorder="1"/>
    <xf numFmtId="171" fontId="14" fillId="0" borderId="41" xfId="0" applyNumberFormat="1" applyFont="1" applyBorder="1" applyAlignment="1">
      <alignment horizontal="center" vertical="center" wrapText="1"/>
    </xf>
    <xf numFmtId="0" fontId="36" fillId="8" borderId="39" xfId="0" applyFont="1" applyFill="1" applyBorder="1" applyAlignment="1">
      <alignment horizontal="center" vertical="center" wrapText="1"/>
    </xf>
    <xf numFmtId="0" fontId="15" fillId="6" borderId="0" xfId="0" applyFont="1" applyFill="1"/>
    <xf numFmtId="178" fontId="17" fillId="6" borderId="0" xfId="0" applyNumberFormat="1" applyFont="1" applyFill="1" applyAlignment="1" applyProtection="1">
      <alignment horizontal="center" vertical="center" wrapText="1"/>
      <protection locked="0"/>
    </xf>
    <xf numFmtId="178" fontId="14" fillId="6" borderId="3" xfId="0" applyNumberFormat="1" applyFont="1" applyFill="1" applyBorder="1" applyAlignment="1">
      <alignment horizontal="center" vertical="center" wrapText="1"/>
    </xf>
    <xf numFmtId="171" fontId="14" fillId="6" borderId="3" xfId="0" applyNumberFormat="1" applyFont="1" applyFill="1" applyBorder="1" applyAlignment="1">
      <alignment horizontal="center" vertical="center"/>
    </xf>
    <xf numFmtId="17" fontId="15" fillId="15" borderId="3" xfId="0" applyNumberFormat="1" applyFont="1" applyFill="1" applyBorder="1" applyAlignment="1" applyProtection="1">
      <alignment horizontal="center" vertical="center" wrapText="1"/>
      <protection locked="0"/>
    </xf>
    <xf numFmtId="0" fontId="4" fillId="16" borderId="0" xfId="0" applyFont="1" applyFill="1"/>
    <xf numFmtId="10" fontId="3" fillId="16" borderId="0" xfId="2" applyNumberFormat="1" applyFont="1" applyFill="1"/>
    <xf numFmtId="10" fontId="3" fillId="16" borderId="0" xfId="0" applyNumberFormat="1" applyFont="1" applyFill="1"/>
    <xf numFmtId="166" fontId="43" fillId="0" borderId="0" xfId="0" applyNumberFormat="1" applyFont="1"/>
    <xf numFmtId="0" fontId="0" fillId="8" borderId="0" xfId="0" applyFill="1" applyAlignment="1">
      <alignment vertical="center"/>
    </xf>
    <xf numFmtId="0" fontId="29" fillId="8" borderId="0" xfId="0" applyFont="1" applyFill="1" applyAlignment="1">
      <alignment vertical="center"/>
    </xf>
    <xf numFmtId="0" fontId="0" fillId="8" borderId="0" xfId="0" applyFill="1" applyAlignment="1">
      <alignment horizontal="left"/>
    </xf>
    <xf numFmtId="0" fontId="11" fillId="8" borderId="0" xfId="0" applyFont="1" applyFill="1"/>
    <xf numFmtId="0" fontId="9" fillId="8" borderId="0" xfId="0" applyFont="1" applyFill="1"/>
    <xf numFmtId="0" fontId="0" fillId="8" borderId="0" xfId="0" applyFill="1" applyAlignment="1">
      <alignment wrapText="1"/>
    </xf>
    <xf numFmtId="0" fontId="11" fillId="8" borderId="0" xfId="0" applyFont="1" applyFill="1" applyAlignment="1">
      <alignment vertical="center"/>
    </xf>
    <xf numFmtId="0" fontId="36" fillId="11" borderId="1" xfId="0" applyFont="1" applyFill="1" applyBorder="1" applyAlignment="1">
      <alignment horizontal="center" vertical="center" wrapText="1"/>
    </xf>
    <xf numFmtId="0" fontId="36" fillId="11" borderId="4" xfId="0" applyFont="1" applyFill="1" applyBorder="1" applyAlignment="1">
      <alignment horizontal="center" vertical="center" wrapText="1"/>
    </xf>
    <xf numFmtId="0" fontId="17" fillId="2" borderId="1" xfId="0" applyFont="1" applyFill="1" applyBorder="1" applyAlignment="1" applyProtection="1">
      <alignment horizontal="center" vertical="center" wrapText="1"/>
      <protection locked="0"/>
    </xf>
    <xf numFmtId="0" fontId="17" fillId="2" borderId="4" xfId="0" applyFont="1" applyFill="1" applyBorder="1" applyAlignment="1" applyProtection="1">
      <alignment horizontal="center" vertical="center" wrapText="1"/>
      <protection locked="0"/>
    </xf>
    <xf numFmtId="0" fontId="11" fillId="0" borderId="1" xfId="0" applyFont="1" applyBorder="1" applyAlignment="1">
      <alignment horizontal="center" vertical="center"/>
    </xf>
    <xf numFmtId="0" fontId="11" fillId="0" borderId="2" xfId="0" applyFont="1" applyBorder="1" applyAlignment="1">
      <alignment horizontal="center" vertical="center"/>
    </xf>
    <xf numFmtId="0" fontId="11" fillId="0" borderId="4" xfId="0" applyFont="1" applyBorder="1" applyAlignment="1">
      <alignment horizontal="center" vertical="center"/>
    </xf>
    <xf numFmtId="0" fontId="22" fillId="2" borderId="1" xfId="0" applyFont="1" applyFill="1" applyBorder="1" applyAlignment="1" applyProtection="1">
      <alignment horizontal="center" vertical="center" wrapText="1"/>
      <protection locked="0"/>
    </xf>
    <xf numFmtId="0" fontId="22" fillId="2" borderId="2" xfId="0" applyFont="1" applyFill="1" applyBorder="1" applyAlignment="1" applyProtection="1">
      <alignment horizontal="center" vertical="center" wrapText="1"/>
      <protection locked="0"/>
    </xf>
    <xf numFmtId="0" fontId="22" fillId="2" borderId="4" xfId="0" applyFont="1" applyFill="1" applyBorder="1" applyAlignment="1" applyProtection="1">
      <alignment horizontal="center" vertical="center" wrapText="1"/>
      <protection locked="0"/>
    </xf>
    <xf numFmtId="0" fontId="22" fillId="2" borderId="1" xfId="0" applyFont="1" applyFill="1" applyBorder="1" applyAlignment="1" applyProtection="1">
      <alignment horizontal="left" vertical="center" wrapText="1"/>
      <protection locked="0"/>
    </xf>
    <xf numFmtId="0" fontId="22" fillId="2" borderId="2" xfId="0" applyFont="1" applyFill="1" applyBorder="1" applyAlignment="1" applyProtection="1">
      <alignment horizontal="left" vertical="center" wrapText="1"/>
      <protection locked="0"/>
    </xf>
    <xf numFmtId="0" fontId="22" fillId="2" borderId="4" xfId="0" applyFont="1" applyFill="1" applyBorder="1" applyAlignment="1" applyProtection="1">
      <alignment horizontal="left" vertical="center" wrapText="1"/>
      <protection locked="0"/>
    </xf>
    <xf numFmtId="0" fontId="11" fillId="0" borderId="11" xfId="0" applyFont="1" applyBorder="1" applyAlignment="1">
      <alignment horizontal="center" vertical="center" textRotation="90" wrapText="1"/>
    </xf>
    <xf numFmtId="170" fontId="22" fillId="2" borderId="5" xfId="2" applyNumberFormat="1" applyFont="1" applyFill="1" applyBorder="1" applyAlignment="1" applyProtection="1">
      <alignment horizontal="center" vertical="center" wrapText="1"/>
      <protection locked="0"/>
    </xf>
    <xf numFmtId="170" fontId="22" fillId="2" borderId="6" xfId="2" applyNumberFormat="1" applyFont="1" applyFill="1" applyBorder="1" applyAlignment="1" applyProtection="1">
      <alignment horizontal="center" vertical="center" wrapText="1"/>
      <protection locked="0"/>
    </xf>
    <xf numFmtId="170" fontId="22" fillId="2" borderId="10" xfId="2" applyNumberFormat="1" applyFont="1" applyFill="1" applyBorder="1" applyAlignment="1" applyProtection="1">
      <alignment horizontal="center" vertical="center" wrapText="1"/>
      <protection locked="0"/>
    </xf>
    <xf numFmtId="170" fontId="22" fillId="2" borderId="7" xfId="2" applyNumberFormat="1" applyFont="1" applyFill="1" applyBorder="1" applyAlignment="1" applyProtection="1">
      <alignment horizontal="center" vertical="center" wrapText="1"/>
      <protection locked="0"/>
    </xf>
    <xf numFmtId="170" fontId="22" fillId="2" borderId="0" xfId="2" applyNumberFormat="1" applyFont="1" applyFill="1" applyBorder="1" applyAlignment="1" applyProtection="1">
      <alignment horizontal="center" vertical="center" wrapText="1"/>
      <protection locked="0"/>
    </xf>
    <xf numFmtId="170" fontId="22" fillId="2" borderId="11" xfId="2" applyNumberFormat="1" applyFont="1" applyFill="1" applyBorder="1" applyAlignment="1" applyProtection="1">
      <alignment horizontal="center" vertical="center" wrapText="1"/>
      <protection locked="0"/>
    </xf>
    <xf numFmtId="170" fontId="22" fillId="2" borderId="8" xfId="2" applyNumberFormat="1" applyFont="1" applyFill="1" applyBorder="1" applyAlignment="1" applyProtection="1">
      <alignment horizontal="center" vertical="center" wrapText="1"/>
      <protection locked="0"/>
    </xf>
    <xf numFmtId="170" fontId="22" fillId="2" borderId="9" xfId="2" applyNumberFormat="1" applyFont="1" applyFill="1" applyBorder="1" applyAlignment="1" applyProtection="1">
      <alignment horizontal="center" vertical="center" wrapText="1"/>
      <protection locked="0"/>
    </xf>
    <xf numFmtId="170" fontId="22" fillId="2" borderId="12" xfId="2" applyNumberFormat="1" applyFont="1" applyFill="1" applyBorder="1" applyAlignment="1" applyProtection="1">
      <alignment horizontal="center" vertical="center" wrapText="1"/>
      <protection locked="0"/>
    </xf>
    <xf numFmtId="0" fontId="22" fillId="2" borderId="5" xfId="0" applyFont="1" applyFill="1" applyBorder="1" applyAlignment="1" applyProtection="1">
      <alignment horizontal="center" vertical="center" wrapText="1"/>
      <protection locked="0"/>
    </xf>
    <xf numFmtId="0" fontId="22" fillId="2" borderId="6" xfId="0" applyFont="1" applyFill="1" applyBorder="1" applyAlignment="1" applyProtection="1">
      <alignment horizontal="center" vertical="center" wrapText="1"/>
      <protection locked="0"/>
    </xf>
    <xf numFmtId="0" fontId="22" fillId="2" borderId="10" xfId="0" applyFont="1" applyFill="1" applyBorder="1" applyAlignment="1" applyProtection="1">
      <alignment horizontal="center" vertical="center" wrapText="1"/>
      <protection locked="0"/>
    </xf>
    <xf numFmtId="0" fontId="22" fillId="2" borderId="7" xfId="0" applyFont="1" applyFill="1" applyBorder="1" applyAlignment="1" applyProtection="1">
      <alignment horizontal="center" vertical="center" wrapText="1"/>
      <protection locked="0"/>
    </xf>
    <xf numFmtId="0" fontId="22" fillId="2" borderId="0" xfId="0" applyFont="1" applyFill="1" applyAlignment="1" applyProtection="1">
      <alignment horizontal="center" vertical="center" wrapText="1"/>
      <protection locked="0"/>
    </xf>
    <xf numFmtId="0" fontId="22" fillId="2" borderId="11" xfId="0" applyFont="1" applyFill="1" applyBorder="1" applyAlignment="1" applyProtection="1">
      <alignment horizontal="center" vertical="center" wrapText="1"/>
      <protection locked="0"/>
    </xf>
    <xf numFmtId="0" fontId="22" fillId="2" borderId="8" xfId="0" applyFont="1" applyFill="1" applyBorder="1" applyAlignment="1" applyProtection="1">
      <alignment horizontal="center" vertical="center" wrapText="1"/>
      <protection locked="0"/>
    </xf>
    <xf numFmtId="0" fontId="22" fillId="2" borderId="9" xfId="0" applyFont="1" applyFill="1" applyBorder="1" applyAlignment="1" applyProtection="1">
      <alignment horizontal="center" vertical="center" wrapText="1"/>
      <protection locked="0"/>
    </xf>
    <xf numFmtId="0" fontId="22" fillId="2" borderId="12" xfId="0" applyFont="1" applyFill="1" applyBorder="1" applyAlignment="1" applyProtection="1">
      <alignment horizontal="center" vertical="center" wrapText="1"/>
      <protection locked="0"/>
    </xf>
    <xf numFmtId="0" fontId="26" fillId="2" borderId="6" xfId="0" applyFont="1" applyFill="1" applyBorder="1" applyAlignment="1" applyProtection="1">
      <alignment horizontal="center" vertical="center" wrapText="1"/>
      <protection locked="0"/>
    </xf>
    <xf numFmtId="0" fontId="26" fillId="2" borderId="10" xfId="0" applyFont="1" applyFill="1" applyBorder="1" applyAlignment="1" applyProtection="1">
      <alignment horizontal="center" vertical="center" wrapText="1"/>
      <protection locked="0"/>
    </xf>
    <xf numFmtId="0" fontId="26" fillId="2" borderId="7" xfId="0" applyFont="1" applyFill="1" applyBorder="1" applyAlignment="1" applyProtection="1">
      <alignment horizontal="center" vertical="center" wrapText="1"/>
      <protection locked="0"/>
    </xf>
    <xf numFmtId="0" fontId="26" fillId="2" borderId="0" xfId="0" applyFont="1" applyFill="1" applyAlignment="1" applyProtection="1">
      <alignment horizontal="center" vertical="center" wrapText="1"/>
      <protection locked="0"/>
    </xf>
    <xf numFmtId="0" fontId="26" fillId="2" borderId="11" xfId="0" applyFont="1" applyFill="1" applyBorder="1" applyAlignment="1" applyProtection="1">
      <alignment horizontal="center" vertical="center" wrapText="1"/>
      <protection locked="0"/>
    </xf>
    <xf numFmtId="0" fontId="26" fillId="2" borderId="8" xfId="0" applyFont="1" applyFill="1" applyBorder="1" applyAlignment="1" applyProtection="1">
      <alignment horizontal="center" vertical="center" wrapText="1"/>
      <protection locked="0"/>
    </xf>
    <xf numFmtId="0" fontId="26" fillId="2" borderId="9" xfId="0" applyFont="1" applyFill="1" applyBorder="1" applyAlignment="1" applyProtection="1">
      <alignment horizontal="center" vertical="center" wrapText="1"/>
      <protection locked="0"/>
    </xf>
    <xf numFmtId="0" fontId="26" fillId="2" borderId="12" xfId="0" applyFont="1" applyFill="1" applyBorder="1" applyAlignment="1" applyProtection="1">
      <alignment horizontal="center" vertical="center" wrapText="1"/>
      <protection locked="0"/>
    </xf>
    <xf numFmtId="3" fontId="22" fillId="2" borderId="5" xfId="0" applyNumberFormat="1" applyFont="1" applyFill="1" applyBorder="1" applyAlignment="1" applyProtection="1">
      <alignment horizontal="center" vertical="center" wrapText="1"/>
      <protection locked="0"/>
    </xf>
    <xf numFmtId="3" fontId="26" fillId="2" borderId="6" xfId="0" applyNumberFormat="1" applyFont="1" applyFill="1" applyBorder="1" applyAlignment="1" applyProtection="1">
      <alignment horizontal="center" vertical="center" wrapText="1"/>
      <protection locked="0"/>
    </xf>
    <xf numFmtId="3" fontId="26" fillId="2" borderId="10" xfId="0" applyNumberFormat="1" applyFont="1" applyFill="1" applyBorder="1" applyAlignment="1" applyProtection="1">
      <alignment horizontal="center" vertical="center" wrapText="1"/>
      <protection locked="0"/>
    </xf>
    <xf numFmtId="3" fontId="26" fillId="2" borderId="7" xfId="0" applyNumberFormat="1" applyFont="1" applyFill="1" applyBorder="1" applyAlignment="1" applyProtection="1">
      <alignment horizontal="center" vertical="center" wrapText="1"/>
      <protection locked="0"/>
    </xf>
    <xf numFmtId="3" fontId="26" fillId="2" borderId="0" xfId="0" applyNumberFormat="1" applyFont="1" applyFill="1" applyAlignment="1" applyProtection="1">
      <alignment horizontal="center" vertical="center" wrapText="1"/>
      <protection locked="0"/>
    </xf>
    <xf numFmtId="3" fontId="26" fillId="2" borderId="11" xfId="0" applyNumberFormat="1" applyFont="1" applyFill="1" applyBorder="1" applyAlignment="1" applyProtection="1">
      <alignment horizontal="center" vertical="center" wrapText="1"/>
      <protection locked="0"/>
    </xf>
    <xf numFmtId="3" fontId="26" fillId="2" borderId="8" xfId="0" applyNumberFormat="1" applyFont="1" applyFill="1" applyBorder="1" applyAlignment="1" applyProtection="1">
      <alignment horizontal="center" vertical="center" wrapText="1"/>
      <protection locked="0"/>
    </xf>
    <xf numFmtId="3" fontId="26" fillId="2" borderId="9" xfId="0" applyNumberFormat="1" applyFont="1" applyFill="1" applyBorder="1" applyAlignment="1" applyProtection="1">
      <alignment horizontal="center" vertical="center" wrapText="1"/>
      <protection locked="0"/>
    </xf>
    <xf numFmtId="3" fontId="26" fillId="2" borderId="12" xfId="0" applyNumberFormat="1" applyFont="1" applyFill="1" applyBorder="1" applyAlignment="1" applyProtection="1">
      <alignment horizontal="center" vertical="center" wrapText="1"/>
      <protection locked="0"/>
    </xf>
    <xf numFmtId="0" fontId="36" fillId="0" borderId="0" xfId="0" applyFont="1" applyAlignment="1">
      <alignment horizontal="center" vertical="center" wrapText="1"/>
    </xf>
    <xf numFmtId="0" fontId="11" fillId="0" borderId="1" xfId="0" applyFont="1" applyBorder="1" applyAlignment="1">
      <alignment horizontal="center" vertical="center" wrapText="1"/>
    </xf>
    <xf numFmtId="0" fontId="11" fillId="0" borderId="2" xfId="0" applyFont="1" applyBorder="1" applyAlignment="1">
      <alignment horizontal="center" vertical="center" wrapText="1"/>
    </xf>
    <xf numFmtId="0" fontId="11" fillId="0" borderId="4" xfId="0" applyFont="1" applyBorder="1" applyAlignment="1">
      <alignment horizontal="center" vertical="center" wrapText="1"/>
    </xf>
    <xf numFmtId="0" fontId="11" fillId="0" borderId="0" xfId="0" applyFont="1" applyAlignment="1">
      <alignment horizontal="center" vertical="center" wrapText="1"/>
    </xf>
    <xf numFmtId="0" fontId="11" fillId="0" borderId="1" xfId="0" applyFont="1" applyBorder="1" applyAlignment="1">
      <alignment horizontal="left" vertical="center" wrapText="1"/>
    </xf>
    <xf numFmtId="0" fontId="11" fillId="0" borderId="2" xfId="0" applyFont="1" applyBorder="1" applyAlignment="1">
      <alignment horizontal="left" vertical="center" wrapText="1"/>
    </xf>
    <xf numFmtId="0" fontId="11" fillId="0" borderId="4" xfId="0" applyFont="1" applyBorder="1" applyAlignment="1">
      <alignment horizontal="left" vertical="center" wrapText="1"/>
    </xf>
    <xf numFmtId="0" fontId="15" fillId="10" borderId="1" xfId="0" applyFont="1" applyFill="1" applyBorder="1" applyAlignment="1">
      <alignment horizontal="center" vertical="center" wrapText="1"/>
    </xf>
    <xf numFmtId="0" fontId="15" fillId="10" borderId="2" xfId="0" applyFont="1" applyFill="1" applyBorder="1" applyAlignment="1">
      <alignment horizontal="center" vertical="center" wrapText="1"/>
    </xf>
    <xf numFmtId="0" fontId="15" fillId="10" borderId="4" xfId="0" applyFont="1" applyFill="1" applyBorder="1" applyAlignment="1">
      <alignment horizontal="center" vertical="center" wrapText="1"/>
    </xf>
    <xf numFmtId="0" fontId="14" fillId="0" borderId="0" xfId="0" applyFont="1" applyAlignment="1">
      <alignment horizontal="center" vertical="center" wrapText="1"/>
    </xf>
    <xf numFmtId="0" fontId="27" fillId="10" borderId="1" xfId="0" applyFont="1" applyFill="1" applyBorder="1" applyAlignment="1">
      <alignment horizontal="center" vertical="center" wrapText="1"/>
    </xf>
    <xf numFmtId="0" fontId="27" fillId="10" borderId="2" xfId="0" applyFont="1" applyFill="1" applyBorder="1" applyAlignment="1">
      <alignment horizontal="center" vertical="center" wrapText="1"/>
    </xf>
    <xf numFmtId="0" fontId="27" fillId="10" borderId="4" xfId="0" applyFont="1" applyFill="1" applyBorder="1" applyAlignment="1">
      <alignment horizontal="center" vertical="center" wrapText="1"/>
    </xf>
    <xf numFmtId="0" fontId="32" fillId="0" borderId="1" xfId="0" applyFont="1" applyBorder="1" applyAlignment="1">
      <alignment horizontal="center" vertical="center" wrapText="1"/>
    </xf>
    <xf numFmtId="0" fontId="32" fillId="0" borderId="2" xfId="0" applyFont="1" applyBorder="1" applyAlignment="1">
      <alignment horizontal="center" vertical="center" wrapText="1"/>
    </xf>
    <xf numFmtId="0" fontId="32" fillId="0" borderId="4" xfId="0" applyFont="1" applyBorder="1" applyAlignment="1">
      <alignment horizontal="center" vertical="center" wrapText="1"/>
    </xf>
    <xf numFmtId="0" fontId="27" fillId="0" borderId="0" xfId="0" applyFont="1" applyAlignment="1">
      <alignment horizontal="center" vertical="center" wrapText="1"/>
    </xf>
    <xf numFmtId="181" fontId="27" fillId="0" borderId="1" xfId="0" applyNumberFormat="1" applyFont="1" applyBorder="1" applyAlignment="1">
      <alignment horizontal="center" vertical="center" wrapText="1"/>
    </xf>
    <xf numFmtId="181" fontId="27" fillId="0" borderId="2" xfId="0" applyNumberFormat="1" applyFont="1" applyBorder="1" applyAlignment="1">
      <alignment horizontal="center" vertical="center" wrapText="1"/>
    </xf>
    <xf numFmtId="181" fontId="27" fillId="0" borderId="4" xfId="0" applyNumberFormat="1" applyFont="1" applyBorder="1" applyAlignment="1">
      <alignment horizontal="center" vertical="center" wrapText="1"/>
    </xf>
    <xf numFmtId="0" fontId="36" fillId="0" borderId="7" xfId="0" applyFont="1" applyBorder="1" applyAlignment="1">
      <alignment horizontal="center" vertical="center"/>
    </xf>
    <xf numFmtId="0" fontId="36" fillId="0" borderId="0" xfId="0" applyFont="1" applyAlignment="1">
      <alignment horizontal="center" vertical="center"/>
    </xf>
    <xf numFmtId="0" fontId="27" fillId="0" borderId="1" xfId="0" applyFont="1" applyBorder="1" applyAlignment="1">
      <alignment horizontal="center" vertical="center"/>
    </xf>
    <xf numFmtId="0" fontId="27" fillId="0" borderId="2" xfId="0" applyFont="1" applyBorder="1" applyAlignment="1">
      <alignment horizontal="center" vertical="center"/>
    </xf>
    <xf numFmtId="0" fontId="27" fillId="0" borderId="4" xfId="0" applyFont="1" applyBorder="1" applyAlignment="1">
      <alignment horizontal="center" vertical="center"/>
    </xf>
    <xf numFmtId="0" fontId="27" fillId="0" borderId="1" xfId="0" applyFont="1" applyBorder="1" applyAlignment="1">
      <alignment horizontal="center" vertical="center" wrapText="1"/>
    </xf>
    <xf numFmtId="0" fontId="27" fillId="0" borderId="2" xfId="0" applyFont="1" applyBorder="1" applyAlignment="1">
      <alignment horizontal="center" vertical="center" wrapText="1"/>
    </xf>
    <xf numFmtId="0" fontId="27" fillId="0" borderId="4" xfId="0" applyFont="1" applyBorder="1" applyAlignment="1">
      <alignment horizontal="center" vertical="center" wrapText="1"/>
    </xf>
    <xf numFmtId="0" fontId="11" fillId="10" borderId="1" xfId="0" applyFont="1" applyFill="1" applyBorder="1" applyAlignment="1">
      <alignment horizontal="center" vertical="center" wrapText="1"/>
    </xf>
    <xf numFmtId="0" fontId="11" fillId="10" borderId="2" xfId="0" applyFont="1" applyFill="1" applyBorder="1" applyAlignment="1">
      <alignment horizontal="center" vertical="center" wrapText="1"/>
    </xf>
    <xf numFmtId="0" fontId="11" fillId="10" borderId="4" xfId="0" applyFont="1" applyFill="1" applyBorder="1" applyAlignment="1">
      <alignment horizontal="center" vertical="center" wrapText="1"/>
    </xf>
    <xf numFmtId="3" fontId="36" fillId="0" borderId="1" xfId="0" applyNumberFormat="1" applyFont="1" applyBorder="1" applyAlignment="1">
      <alignment horizontal="center" vertical="center"/>
    </xf>
    <xf numFmtId="3" fontId="36" fillId="0" borderId="2" xfId="0" applyNumberFormat="1" applyFont="1" applyBorder="1" applyAlignment="1">
      <alignment horizontal="center" vertical="center"/>
    </xf>
    <xf numFmtId="3" fontId="36" fillId="0" borderId="4" xfId="0" applyNumberFormat="1" applyFont="1" applyBorder="1" applyAlignment="1">
      <alignment horizontal="center" vertical="center"/>
    </xf>
    <xf numFmtId="0" fontId="27" fillId="10" borderId="1" xfId="0" applyFont="1" applyFill="1" applyBorder="1" applyAlignment="1">
      <alignment horizontal="center" vertical="center"/>
    </xf>
    <xf numFmtId="0" fontId="27" fillId="10" borderId="2" xfId="0" applyFont="1" applyFill="1" applyBorder="1" applyAlignment="1">
      <alignment horizontal="center" vertical="center"/>
    </xf>
    <xf numFmtId="0" fontId="27" fillId="10" borderId="4" xfId="0" applyFont="1" applyFill="1" applyBorder="1" applyAlignment="1">
      <alignment horizontal="center" vertical="center"/>
    </xf>
    <xf numFmtId="0" fontId="14" fillId="0" borderId="1" xfId="0" applyFont="1" applyBorder="1" applyAlignment="1">
      <alignment horizontal="center" vertical="center"/>
    </xf>
    <xf numFmtId="0" fontId="14" fillId="0" borderId="2" xfId="0" applyFont="1" applyBorder="1" applyAlignment="1">
      <alignment horizontal="center" vertical="center"/>
    </xf>
    <xf numFmtId="0" fontId="14" fillId="0" borderId="4" xfId="0" applyFont="1" applyBorder="1" applyAlignment="1">
      <alignment horizontal="center" vertical="center"/>
    </xf>
    <xf numFmtId="0" fontId="11" fillId="0" borderId="24" xfId="0" applyFont="1" applyBorder="1" applyAlignment="1">
      <alignment horizontal="center" vertical="center" wrapText="1"/>
    </xf>
    <xf numFmtId="0" fontId="11" fillId="0" borderId="25" xfId="0" applyFont="1" applyBorder="1" applyAlignment="1">
      <alignment horizontal="center" vertical="center" wrapText="1"/>
    </xf>
    <xf numFmtId="0" fontId="11" fillId="0" borderId="26" xfId="0" applyFont="1" applyBorder="1" applyAlignment="1">
      <alignment horizontal="center" vertical="center" wrapText="1"/>
    </xf>
    <xf numFmtId="3" fontId="32" fillId="0" borderId="1" xfId="0" applyNumberFormat="1" applyFont="1" applyBorder="1" applyAlignment="1">
      <alignment horizontal="center" vertical="center"/>
    </xf>
    <xf numFmtId="3" fontId="32" fillId="0" borderId="2" xfId="0" applyNumberFormat="1" applyFont="1" applyBorder="1" applyAlignment="1">
      <alignment horizontal="center" vertical="center"/>
    </xf>
    <xf numFmtId="3" fontId="32" fillId="0" borderId="4" xfId="0" applyNumberFormat="1" applyFont="1" applyBorder="1" applyAlignment="1">
      <alignment horizontal="center" vertical="center"/>
    </xf>
    <xf numFmtId="0" fontId="0" fillId="2" borderId="1" xfId="0" applyFill="1" applyBorder="1" applyAlignment="1" applyProtection="1">
      <alignment horizontal="center" vertical="center" wrapText="1"/>
      <protection locked="0"/>
    </xf>
    <xf numFmtId="0" fontId="0" fillId="2" borderId="4" xfId="0" applyFill="1" applyBorder="1" applyAlignment="1" applyProtection="1">
      <alignment horizontal="center" vertical="center" wrapText="1"/>
      <protection locked="0"/>
    </xf>
    <xf numFmtId="0" fontId="0" fillId="2" borderId="2" xfId="0" applyFill="1" applyBorder="1" applyAlignment="1" applyProtection="1">
      <alignment horizontal="center" vertical="center" wrapText="1"/>
      <protection locked="0"/>
    </xf>
    <xf numFmtId="0" fontId="4" fillId="13" borderId="1" xfId="0" applyFont="1" applyFill="1" applyBorder="1" applyAlignment="1">
      <alignment horizontal="center"/>
    </xf>
    <xf numFmtId="0" fontId="4" fillId="13" borderId="2" xfId="0" applyFont="1" applyFill="1" applyBorder="1" applyAlignment="1">
      <alignment horizontal="center"/>
    </xf>
    <xf numFmtId="0" fontId="4" fillId="13" borderId="4" xfId="0" applyFont="1" applyFill="1" applyBorder="1" applyAlignment="1">
      <alignment horizontal="center"/>
    </xf>
    <xf numFmtId="0" fontId="36" fillId="11" borderId="2" xfId="0" applyFont="1" applyFill="1" applyBorder="1" applyAlignment="1">
      <alignment horizontal="center" vertical="center" wrapText="1"/>
    </xf>
    <xf numFmtId="0" fontId="17" fillId="2" borderId="2" xfId="0" applyFont="1" applyFill="1" applyBorder="1" applyAlignment="1" applyProtection="1">
      <alignment horizontal="center" vertical="center" wrapText="1"/>
      <protection locked="0"/>
    </xf>
    <xf numFmtId="0" fontId="11" fillId="0" borderId="21"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23" xfId="0" applyFont="1" applyBorder="1" applyAlignment="1">
      <alignment horizontal="center" vertical="center" wrapText="1"/>
    </xf>
    <xf numFmtId="0" fontId="33" fillId="6" borderId="0" xfId="0" applyFont="1" applyFill="1" applyAlignment="1">
      <alignment horizontal="left" vertical="center" wrapText="1"/>
    </xf>
    <xf numFmtId="0" fontId="33" fillId="6" borderId="36" xfId="0" applyFont="1" applyFill="1" applyBorder="1" applyAlignment="1">
      <alignment horizontal="left" vertical="center" wrapText="1"/>
    </xf>
    <xf numFmtId="0" fontId="34" fillId="2" borderId="37" xfId="0" applyFont="1" applyFill="1" applyBorder="1" applyAlignment="1" applyProtection="1">
      <alignment horizontal="center" vertical="center" wrapText="1"/>
      <protection locked="0"/>
    </xf>
    <xf numFmtId="0" fontId="34" fillId="2" borderId="38" xfId="0" applyFont="1" applyFill="1" applyBorder="1" applyAlignment="1" applyProtection="1">
      <alignment horizontal="center" vertical="center" wrapText="1"/>
      <protection locked="0"/>
    </xf>
    <xf numFmtId="0" fontId="11" fillId="8" borderId="1" xfId="0" applyFont="1" applyFill="1" applyBorder="1" applyAlignment="1">
      <alignment horizontal="center" vertical="center" wrapText="1"/>
    </xf>
    <xf numFmtId="0" fontId="11" fillId="8" borderId="2" xfId="0" applyFont="1" applyFill="1" applyBorder="1" applyAlignment="1">
      <alignment horizontal="center" vertical="center" wrapText="1"/>
    </xf>
    <xf numFmtId="0" fontId="11" fillId="8" borderId="4" xfId="0" applyFont="1" applyFill="1" applyBorder="1" applyAlignment="1">
      <alignment horizontal="center" vertical="center" wrapText="1"/>
    </xf>
    <xf numFmtId="0" fontId="9" fillId="0" borderId="1" xfId="0" applyFont="1" applyBorder="1" applyAlignment="1">
      <alignment horizontal="left" vertical="center" wrapText="1"/>
    </xf>
    <xf numFmtId="0" fontId="9" fillId="0" borderId="2" xfId="0" applyFont="1" applyBorder="1" applyAlignment="1">
      <alignment horizontal="left" vertical="center" wrapText="1"/>
    </xf>
    <xf numFmtId="0" fontId="9" fillId="0" borderId="4" xfId="0" applyFont="1" applyBorder="1" applyAlignment="1">
      <alignment horizontal="left" vertical="center" wrapText="1"/>
    </xf>
    <xf numFmtId="0" fontId="0" fillId="0" borderId="1" xfId="0" applyBorder="1" applyAlignment="1">
      <alignment horizontal="center" vertical="center"/>
    </xf>
    <xf numFmtId="0" fontId="0" fillId="0" borderId="4" xfId="0" applyBorder="1" applyAlignment="1">
      <alignment horizontal="center" vertical="center"/>
    </xf>
    <xf numFmtId="0" fontId="14" fillId="0" borderId="0" xfId="0" applyFont="1" applyAlignment="1">
      <alignment horizontal="left" vertical="center" wrapText="1"/>
    </xf>
    <xf numFmtId="0" fontId="27" fillId="0" borderId="1" xfId="0" applyFont="1" applyBorder="1" applyAlignment="1">
      <alignment horizontal="left"/>
    </xf>
    <xf numFmtId="0" fontId="27" fillId="0" borderId="2" xfId="0" applyFont="1" applyBorder="1" applyAlignment="1">
      <alignment horizontal="left"/>
    </xf>
    <xf numFmtId="0" fontId="27" fillId="0" borderId="4" xfId="0" applyFont="1" applyBorder="1" applyAlignment="1">
      <alignment horizontal="left"/>
    </xf>
    <xf numFmtId="0" fontId="17" fillId="2" borderId="1" xfId="0" applyFont="1" applyFill="1" applyBorder="1" applyAlignment="1" applyProtection="1">
      <alignment horizontal="center" vertical="center"/>
      <protection locked="0"/>
    </xf>
    <xf numFmtId="0" fontId="17" fillId="2" borderId="2" xfId="0" applyFont="1" applyFill="1" applyBorder="1" applyAlignment="1" applyProtection="1">
      <alignment horizontal="center" vertical="center"/>
      <protection locked="0"/>
    </xf>
    <xf numFmtId="0" fontId="17" fillId="2" borderId="4" xfId="0" applyFont="1" applyFill="1" applyBorder="1" applyAlignment="1" applyProtection="1">
      <alignment horizontal="center" vertical="center"/>
      <protection locked="0"/>
    </xf>
    <xf numFmtId="0" fontId="27" fillId="0" borderId="5" xfId="0" applyFont="1" applyBorder="1" applyAlignment="1">
      <alignment horizontal="left" vertical="center" wrapText="1"/>
    </xf>
    <xf numFmtId="0" fontId="27" fillId="0" borderId="10" xfId="0" applyFont="1" applyBorder="1" applyAlignment="1">
      <alignment horizontal="left" vertical="center" wrapText="1"/>
    </xf>
    <xf numFmtId="0" fontId="27" fillId="0" borderId="7" xfId="0" applyFont="1" applyBorder="1" applyAlignment="1">
      <alignment horizontal="left" vertical="center" wrapText="1"/>
    </xf>
    <xf numFmtId="0" fontId="27" fillId="0" borderId="11" xfId="0" applyFont="1" applyBorder="1" applyAlignment="1">
      <alignment horizontal="left" vertical="center" wrapText="1"/>
    </xf>
    <xf numFmtId="0" fontId="27" fillId="0" borderId="8" xfId="0" applyFont="1" applyBorder="1" applyAlignment="1">
      <alignment horizontal="left" vertical="center" wrapText="1"/>
    </xf>
    <xf numFmtId="0" fontId="27" fillId="0" borderId="12" xfId="0" applyFont="1" applyBorder="1" applyAlignment="1">
      <alignment horizontal="left" vertical="center" wrapText="1"/>
    </xf>
    <xf numFmtId="171" fontId="17" fillId="2" borderId="5" xfId="0" applyNumberFormat="1" applyFont="1" applyFill="1" applyBorder="1" applyAlignment="1" applyProtection="1">
      <alignment horizontal="center" vertical="center" wrapText="1"/>
      <protection locked="0"/>
    </xf>
    <xf numFmtId="171" fontId="17" fillId="2" borderId="6" xfId="0" applyNumberFormat="1" applyFont="1" applyFill="1" applyBorder="1" applyAlignment="1" applyProtection="1">
      <alignment horizontal="center" vertical="center" wrapText="1"/>
      <protection locked="0"/>
    </xf>
    <xf numFmtId="171" fontId="17" fillId="2" borderId="10" xfId="0" applyNumberFormat="1" applyFont="1" applyFill="1" applyBorder="1" applyAlignment="1" applyProtection="1">
      <alignment horizontal="center" vertical="center" wrapText="1"/>
      <protection locked="0"/>
    </xf>
    <xf numFmtId="171" fontId="17" fillId="2" borderId="7" xfId="0" applyNumberFormat="1" applyFont="1" applyFill="1" applyBorder="1" applyAlignment="1" applyProtection="1">
      <alignment horizontal="center" vertical="center" wrapText="1"/>
      <protection locked="0"/>
    </xf>
    <xf numFmtId="171" fontId="17" fillId="2" borderId="0" xfId="0" applyNumberFormat="1" applyFont="1" applyFill="1" applyAlignment="1" applyProtection="1">
      <alignment horizontal="center" vertical="center" wrapText="1"/>
      <protection locked="0"/>
    </xf>
    <xf numFmtId="171" fontId="17" fillId="2" borderId="11" xfId="0" applyNumberFormat="1" applyFont="1" applyFill="1" applyBorder="1" applyAlignment="1" applyProtection="1">
      <alignment horizontal="center" vertical="center" wrapText="1"/>
      <protection locked="0"/>
    </xf>
    <xf numFmtId="171" fontId="17" fillId="2" borderId="8" xfId="0" applyNumberFormat="1" applyFont="1" applyFill="1" applyBorder="1" applyAlignment="1" applyProtection="1">
      <alignment horizontal="center" vertical="center" wrapText="1"/>
      <protection locked="0"/>
    </xf>
    <xf numFmtId="171" fontId="17" fillId="2" borderId="9" xfId="0" applyNumberFormat="1" applyFont="1" applyFill="1" applyBorder="1" applyAlignment="1" applyProtection="1">
      <alignment horizontal="center" vertical="center" wrapText="1"/>
      <protection locked="0"/>
    </xf>
    <xf numFmtId="171" fontId="17" fillId="2" borderId="12" xfId="0" applyNumberFormat="1" applyFont="1" applyFill="1" applyBorder="1" applyAlignment="1" applyProtection="1">
      <alignment horizontal="center" vertical="center" wrapText="1"/>
      <protection locked="0"/>
    </xf>
    <xf numFmtId="0" fontId="14" fillId="0" borderId="1" xfId="0" applyFont="1" applyBorder="1" applyAlignment="1">
      <alignment horizontal="left" vertical="center"/>
    </xf>
    <xf numFmtId="0" fontId="14" fillId="0" borderId="2" xfId="0" applyFont="1" applyBorder="1" applyAlignment="1">
      <alignment horizontal="left" vertical="center"/>
    </xf>
    <xf numFmtId="0" fontId="14" fillId="0" borderId="4" xfId="0" applyFont="1" applyBorder="1" applyAlignment="1">
      <alignment horizontal="left" vertical="center"/>
    </xf>
    <xf numFmtId="0" fontId="9" fillId="0" borderId="1" xfId="0" applyFont="1" applyBorder="1" applyAlignment="1">
      <alignment horizontal="center" vertical="center" wrapText="1"/>
    </xf>
    <xf numFmtId="0" fontId="9" fillId="0" borderId="2" xfId="0" applyFont="1" applyBorder="1" applyAlignment="1">
      <alignment horizontal="center" vertical="center" wrapText="1"/>
    </xf>
    <xf numFmtId="0" fontId="9" fillId="0" borderId="4" xfId="0" applyFont="1" applyBorder="1" applyAlignment="1">
      <alignment horizontal="center" vertical="center" wrapText="1"/>
    </xf>
    <xf numFmtId="0" fontId="0" fillId="0" borderId="1" xfId="0" applyBorder="1" applyAlignment="1">
      <alignment horizontal="left" vertical="center"/>
    </xf>
    <xf numFmtId="0" fontId="0" fillId="0" borderId="2" xfId="0" applyBorder="1" applyAlignment="1">
      <alignment horizontal="left" vertical="center"/>
    </xf>
    <xf numFmtId="0" fontId="0" fillId="0" borderId="4" xfId="0" applyBorder="1" applyAlignment="1">
      <alignment horizontal="left" vertical="center"/>
    </xf>
    <xf numFmtId="0" fontId="14" fillId="5" borderId="3" xfId="0" applyFont="1" applyFill="1" applyBorder="1" applyAlignment="1">
      <alignment horizontal="center" vertical="center"/>
    </xf>
    <xf numFmtId="0" fontId="14" fillId="5" borderId="1" xfId="0" applyFont="1" applyFill="1" applyBorder="1" applyAlignment="1">
      <alignment horizontal="center" vertical="center"/>
    </xf>
    <xf numFmtId="0" fontId="14" fillId="5" borderId="2" xfId="0" applyFont="1" applyFill="1" applyBorder="1" applyAlignment="1">
      <alignment horizontal="center" vertical="center"/>
    </xf>
    <xf numFmtId="0" fontId="14" fillId="5" borderId="4" xfId="0" applyFont="1" applyFill="1" applyBorder="1" applyAlignment="1">
      <alignment horizontal="center" vertical="center"/>
    </xf>
    <xf numFmtId="0" fontId="29" fillId="13" borderId="30" xfId="0" applyFont="1" applyFill="1" applyBorder="1" applyAlignment="1">
      <alignment horizontal="left" vertical="center" wrapText="1"/>
    </xf>
    <xf numFmtId="0" fontId="29" fillId="13" borderId="0" xfId="0" applyFont="1" applyFill="1" applyAlignment="1">
      <alignment horizontal="left" vertical="center" wrapText="1"/>
    </xf>
    <xf numFmtId="0" fontId="29" fillId="13" borderId="34" xfId="0" applyFont="1" applyFill="1" applyBorder="1" applyAlignment="1">
      <alignment horizontal="left" vertical="center" wrapText="1"/>
    </xf>
    <xf numFmtId="0" fontId="9" fillId="0" borderId="1" xfId="0" applyFont="1" applyBorder="1" applyAlignment="1">
      <alignment horizontal="center" vertical="center"/>
    </xf>
    <xf numFmtId="0" fontId="9" fillId="0" borderId="2" xfId="0" applyFont="1" applyBorder="1" applyAlignment="1">
      <alignment horizontal="center" vertical="center"/>
    </xf>
    <xf numFmtId="0" fontId="9" fillId="0" borderId="4" xfId="0" applyFont="1" applyBorder="1" applyAlignment="1">
      <alignment horizontal="center" vertical="center"/>
    </xf>
    <xf numFmtId="0" fontId="9" fillId="0" borderId="1" xfId="0" applyFont="1" applyBorder="1" applyAlignment="1">
      <alignment horizontal="center"/>
    </xf>
    <xf numFmtId="0" fontId="9" fillId="0" borderId="2" xfId="0" applyFont="1" applyBorder="1" applyAlignment="1">
      <alignment horizontal="center"/>
    </xf>
    <xf numFmtId="0" fontId="9" fillId="0" borderId="4" xfId="0" applyFont="1" applyBorder="1" applyAlignment="1">
      <alignment horizontal="center"/>
    </xf>
    <xf numFmtId="0" fontId="28" fillId="8" borderId="1" xfId="0" applyFont="1" applyFill="1" applyBorder="1" applyAlignment="1">
      <alignment horizontal="left" vertical="center" wrapText="1"/>
    </xf>
    <xf numFmtId="0" fontId="28" fillId="8" borderId="2" xfId="0" applyFont="1" applyFill="1" applyBorder="1" applyAlignment="1">
      <alignment horizontal="left" vertical="center" wrapText="1"/>
    </xf>
    <xf numFmtId="0" fontId="28" fillId="8" borderId="4" xfId="0" applyFont="1" applyFill="1" applyBorder="1" applyAlignment="1">
      <alignment horizontal="left" vertical="center" wrapText="1"/>
    </xf>
    <xf numFmtId="0" fontId="28" fillId="0" borderId="1" xfId="0" applyFont="1" applyBorder="1" applyAlignment="1">
      <alignment horizontal="left" vertical="center" wrapText="1"/>
    </xf>
    <xf numFmtId="0" fontId="28" fillId="0" borderId="2" xfId="0" applyFont="1" applyBorder="1" applyAlignment="1">
      <alignment horizontal="left" vertical="center" wrapText="1"/>
    </xf>
    <xf numFmtId="0" fontId="28" fillId="0" borderId="4" xfId="0" applyFont="1" applyBorder="1" applyAlignment="1">
      <alignment horizontal="left" vertical="center" wrapText="1"/>
    </xf>
    <xf numFmtId="170" fontId="28" fillId="8" borderId="5" xfId="2" applyNumberFormat="1" applyFont="1" applyFill="1" applyBorder="1" applyAlignment="1">
      <alignment horizontal="center" vertical="top" wrapText="1"/>
    </xf>
    <xf numFmtId="170" fontId="28" fillId="8" borderId="6" xfId="2" applyNumberFormat="1" applyFont="1" applyFill="1" applyBorder="1" applyAlignment="1">
      <alignment horizontal="center" vertical="top" wrapText="1"/>
    </xf>
    <xf numFmtId="170" fontId="28" fillId="8" borderId="10" xfId="2" applyNumberFormat="1" applyFont="1" applyFill="1" applyBorder="1" applyAlignment="1">
      <alignment horizontal="center" vertical="top" wrapText="1"/>
    </xf>
    <xf numFmtId="170" fontId="28" fillId="8" borderId="7" xfId="2" applyNumberFormat="1" applyFont="1" applyFill="1" applyBorder="1" applyAlignment="1">
      <alignment horizontal="center" vertical="top" wrapText="1"/>
    </xf>
    <xf numFmtId="170" fontId="28" fillId="8" borderId="0" xfId="2" applyNumberFormat="1" applyFont="1" applyFill="1" applyBorder="1" applyAlignment="1">
      <alignment horizontal="center" vertical="top" wrapText="1"/>
    </xf>
    <xf numFmtId="170" fontId="28" fillId="8" borderId="11" xfId="2" applyNumberFormat="1" applyFont="1" applyFill="1" applyBorder="1" applyAlignment="1">
      <alignment horizontal="center" vertical="top" wrapText="1"/>
    </xf>
    <xf numFmtId="170" fontId="28" fillId="8" borderId="8" xfId="2" applyNumberFormat="1" applyFont="1" applyFill="1" applyBorder="1" applyAlignment="1">
      <alignment horizontal="center" vertical="top" wrapText="1"/>
    </xf>
    <xf numFmtId="170" fontId="28" fillId="8" borderId="9" xfId="2" applyNumberFormat="1" applyFont="1" applyFill="1" applyBorder="1" applyAlignment="1">
      <alignment horizontal="center" vertical="top" wrapText="1"/>
    </xf>
    <xf numFmtId="170" fontId="28" fillId="8" borderId="12" xfId="2" applyNumberFormat="1" applyFont="1" applyFill="1" applyBorder="1" applyAlignment="1">
      <alignment horizontal="center" vertical="top" wrapText="1"/>
    </xf>
    <xf numFmtId="0" fontId="28" fillId="8" borderId="5" xfId="0" applyFont="1" applyFill="1" applyBorder="1" applyAlignment="1">
      <alignment horizontal="center" vertical="center" wrapText="1"/>
    </xf>
    <xf numFmtId="0" fontId="28" fillId="8" borderId="6" xfId="0" applyFont="1" applyFill="1" applyBorder="1" applyAlignment="1">
      <alignment horizontal="center" vertical="center" wrapText="1"/>
    </xf>
    <xf numFmtId="0" fontId="28" fillId="8" borderId="10" xfId="0" applyFont="1" applyFill="1" applyBorder="1" applyAlignment="1">
      <alignment horizontal="center" vertical="center" wrapText="1"/>
    </xf>
    <xf numFmtId="0" fontId="28" fillId="8" borderId="7" xfId="0" applyFont="1" applyFill="1" applyBorder="1" applyAlignment="1">
      <alignment horizontal="center" vertical="center" wrapText="1"/>
    </xf>
    <xf numFmtId="0" fontId="28" fillId="8" borderId="0" xfId="0" applyFont="1" applyFill="1" applyAlignment="1">
      <alignment horizontal="center" vertical="center" wrapText="1"/>
    </xf>
    <xf numFmtId="0" fontId="28" fillId="8" borderId="11" xfId="0" applyFont="1" applyFill="1" applyBorder="1" applyAlignment="1">
      <alignment horizontal="center" vertical="center" wrapText="1"/>
    </xf>
    <xf numFmtId="0" fontId="28" fillId="8" borderId="8" xfId="0" applyFont="1" applyFill="1" applyBorder="1" applyAlignment="1">
      <alignment horizontal="center" vertical="center" wrapText="1"/>
    </xf>
    <xf numFmtId="0" fontId="28" fillId="8" borderId="9" xfId="0" applyFont="1" applyFill="1" applyBorder="1" applyAlignment="1">
      <alignment horizontal="center" vertical="center" wrapText="1"/>
    </xf>
    <xf numFmtId="0" fontId="28" fillId="8" borderId="12" xfId="0" applyFont="1" applyFill="1" applyBorder="1" applyAlignment="1">
      <alignment horizontal="center" vertical="center" wrapText="1"/>
    </xf>
    <xf numFmtId="170" fontId="28" fillId="0" borderId="5" xfId="2" applyNumberFormat="1" applyFont="1" applyBorder="1" applyAlignment="1">
      <alignment horizontal="left" vertical="top" wrapText="1"/>
    </xf>
    <xf numFmtId="170" fontId="28" fillId="0" borderId="6" xfId="2" applyNumberFormat="1" applyFont="1" applyBorder="1" applyAlignment="1">
      <alignment horizontal="left" vertical="top" wrapText="1"/>
    </xf>
    <xf numFmtId="170" fontId="28" fillId="0" borderId="10" xfId="2" applyNumberFormat="1" applyFont="1" applyBorder="1" applyAlignment="1">
      <alignment horizontal="left" vertical="top" wrapText="1"/>
    </xf>
    <xf numFmtId="170" fontId="28" fillId="0" borderId="7" xfId="2" applyNumberFormat="1" applyFont="1" applyBorder="1" applyAlignment="1">
      <alignment horizontal="left" vertical="top" wrapText="1"/>
    </xf>
    <xf numFmtId="170" fontId="28" fillId="0" borderId="0" xfId="2" applyNumberFormat="1" applyFont="1" applyBorder="1" applyAlignment="1">
      <alignment horizontal="left" vertical="top" wrapText="1"/>
    </xf>
    <xf numFmtId="170" fontId="28" fillId="0" borderId="11" xfId="2" applyNumberFormat="1" applyFont="1" applyBorder="1" applyAlignment="1">
      <alignment horizontal="left" vertical="top" wrapText="1"/>
    </xf>
    <xf numFmtId="170" fontId="28" fillId="0" borderId="8" xfId="2" applyNumberFormat="1" applyFont="1" applyBorder="1" applyAlignment="1">
      <alignment horizontal="left" vertical="top" wrapText="1"/>
    </xf>
    <xf numFmtId="170" fontId="28" fillId="0" borderId="9" xfId="2" applyNumberFormat="1" applyFont="1" applyBorder="1" applyAlignment="1">
      <alignment horizontal="left" vertical="top" wrapText="1"/>
    </xf>
    <xf numFmtId="170" fontId="28" fillId="0" borderId="12" xfId="2" applyNumberFormat="1" applyFont="1" applyBorder="1" applyAlignment="1">
      <alignment horizontal="left" vertical="top" wrapText="1"/>
    </xf>
    <xf numFmtId="0" fontId="14" fillId="0" borderId="1" xfId="0" applyFont="1" applyBorder="1" applyAlignment="1">
      <alignment horizontal="center" vertical="center" wrapText="1"/>
    </xf>
    <xf numFmtId="0" fontId="14" fillId="0" borderId="2" xfId="0" applyFont="1" applyBorder="1" applyAlignment="1">
      <alignment horizontal="center" vertical="center" wrapText="1"/>
    </xf>
    <xf numFmtId="0" fontId="14" fillId="0" borderId="4" xfId="0" applyFont="1" applyBorder="1" applyAlignment="1">
      <alignment horizontal="center" vertical="center" wrapText="1"/>
    </xf>
    <xf numFmtId="0" fontId="23" fillId="0" borderId="7" xfId="0" applyFont="1" applyBorder="1" applyAlignment="1">
      <alignment horizontal="center" vertical="center"/>
    </xf>
    <xf numFmtId="0" fontId="23" fillId="0" borderId="0" xfId="0" applyFont="1" applyAlignment="1">
      <alignment horizontal="center" vertical="center"/>
    </xf>
    <xf numFmtId="0" fontId="14" fillId="0" borderId="1" xfId="0" applyFont="1" applyBorder="1" applyAlignment="1">
      <alignment horizontal="left" vertical="center" wrapText="1"/>
    </xf>
    <xf numFmtId="0" fontId="14" fillId="0" borderId="2" xfId="0" applyFont="1" applyBorder="1" applyAlignment="1">
      <alignment horizontal="left" vertical="center" wrapText="1"/>
    </xf>
    <xf numFmtId="0" fontId="14" fillId="0" borderId="4" xfId="0" applyFont="1" applyBorder="1" applyAlignment="1">
      <alignment horizontal="left" vertical="center" wrapText="1"/>
    </xf>
    <xf numFmtId="0" fontId="14" fillId="9" borderId="7" xfId="0" applyFont="1" applyFill="1" applyBorder="1" applyAlignment="1">
      <alignment horizontal="left" vertical="center" wrapText="1"/>
    </xf>
    <xf numFmtId="0" fontId="14" fillId="9" borderId="0" xfId="0" applyFont="1" applyFill="1" applyAlignment="1">
      <alignment horizontal="left" vertical="center" wrapText="1"/>
    </xf>
    <xf numFmtId="0" fontId="14" fillId="10" borderId="1" xfId="0" applyFont="1" applyFill="1" applyBorder="1" applyAlignment="1">
      <alignment horizontal="center" vertical="center" wrapText="1"/>
    </xf>
    <xf numFmtId="0" fontId="14" fillId="10" borderId="2" xfId="0" applyFont="1" applyFill="1" applyBorder="1" applyAlignment="1">
      <alignment horizontal="center" vertical="center" wrapText="1"/>
    </xf>
    <xf numFmtId="0" fontId="14" fillId="10" borderId="4" xfId="0" applyFont="1" applyFill="1" applyBorder="1" applyAlignment="1">
      <alignment horizontal="center" vertical="center" wrapText="1"/>
    </xf>
    <xf numFmtId="0" fontId="19" fillId="0" borderId="1" xfId="0" applyFont="1" applyBorder="1" applyAlignment="1">
      <alignment horizontal="center" vertical="center" wrapText="1"/>
    </xf>
    <xf numFmtId="0" fontId="19" fillId="0" borderId="2" xfId="0" applyFont="1" applyBorder="1" applyAlignment="1">
      <alignment horizontal="center" vertical="center" wrapText="1"/>
    </xf>
    <xf numFmtId="0" fontId="19" fillId="0" borderId="4" xfId="0" applyFont="1" applyBorder="1" applyAlignment="1">
      <alignment horizontal="center" vertical="center" wrapText="1"/>
    </xf>
    <xf numFmtId="0" fontId="17" fillId="8" borderId="1" xfId="0" applyFont="1" applyFill="1" applyBorder="1" applyAlignment="1">
      <alignment horizontal="center" vertical="center"/>
    </xf>
    <xf numFmtId="0" fontId="17" fillId="8" borderId="2" xfId="0" applyFont="1" applyFill="1" applyBorder="1" applyAlignment="1">
      <alignment horizontal="center" vertical="center"/>
    </xf>
    <xf numFmtId="0" fontId="17" fillId="8" borderId="4" xfId="0" applyFont="1" applyFill="1" applyBorder="1" applyAlignment="1">
      <alignment horizontal="center" vertical="center"/>
    </xf>
    <xf numFmtId="0" fontId="17" fillId="0" borderId="1" xfId="0" applyFont="1" applyBorder="1" applyAlignment="1">
      <alignment horizontal="center" vertical="center"/>
    </xf>
    <xf numFmtId="0" fontId="17" fillId="0" borderId="2" xfId="0" applyFont="1" applyBorder="1" applyAlignment="1">
      <alignment horizontal="center" vertical="center"/>
    </xf>
    <xf numFmtId="0" fontId="17" fillId="0" borderId="4" xfId="0" applyFont="1" applyBorder="1" applyAlignment="1">
      <alignment horizontal="center" vertical="center"/>
    </xf>
    <xf numFmtId="0" fontId="28" fillId="0" borderId="5" xfId="0" applyFont="1" applyBorder="1" applyAlignment="1">
      <alignment horizontal="left" vertical="center" wrapText="1"/>
    </xf>
    <xf numFmtId="0" fontId="28" fillId="0" borderId="6" xfId="0" applyFont="1" applyBorder="1" applyAlignment="1">
      <alignment horizontal="left" vertical="center" wrapText="1"/>
    </xf>
    <xf numFmtId="0" fontId="28" fillId="0" borderId="10" xfId="0" applyFont="1" applyBorder="1" applyAlignment="1">
      <alignment horizontal="left" vertical="center" wrapText="1"/>
    </xf>
    <xf numFmtId="0" fontId="28" fillId="0" borderId="7" xfId="0" applyFont="1" applyBorder="1" applyAlignment="1">
      <alignment horizontal="left" vertical="center" wrapText="1"/>
    </xf>
    <xf numFmtId="0" fontId="28" fillId="0" borderId="0" xfId="0" applyFont="1" applyAlignment="1">
      <alignment horizontal="left" vertical="center" wrapText="1"/>
    </xf>
    <xf numFmtId="0" fontId="28" fillId="0" borderId="11" xfId="0" applyFont="1" applyBorder="1" applyAlignment="1">
      <alignment horizontal="left" vertical="center" wrapText="1"/>
    </xf>
    <xf numFmtId="0" fontId="28" fillId="0" borderId="8" xfId="0" applyFont="1" applyBorder="1" applyAlignment="1">
      <alignment horizontal="left" vertical="center" wrapText="1"/>
    </xf>
    <xf numFmtId="0" fontId="28" fillId="0" borderId="9" xfId="0" applyFont="1" applyBorder="1" applyAlignment="1">
      <alignment horizontal="left" vertical="center" wrapText="1"/>
    </xf>
    <xf numFmtId="0" fontId="28" fillId="0" borderId="12" xfId="0" applyFont="1" applyBorder="1" applyAlignment="1">
      <alignment horizontal="left" vertical="center" wrapText="1"/>
    </xf>
    <xf numFmtId="0" fontId="14" fillId="0" borderId="0" xfId="0" applyFont="1" applyAlignment="1">
      <alignment horizontal="center" vertical="center"/>
    </xf>
    <xf numFmtId="3" fontId="14" fillId="0" borderId="1" xfId="0" applyNumberFormat="1" applyFont="1" applyBorder="1" applyAlignment="1">
      <alignment horizontal="center" vertical="center"/>
    </xf>
    <xf numFmtId="3" fontId="14" fillId="0" borderId="2" xfId="0" applyNumberFormat="1" applyFont="1" applyBorder="1" applyAlignment="1">
      <alignment horizontal="center" vertical="center"/>
    </xf>
    <xf numFmtId="3" fontId="14" fillId="0" borderId="4" xfId="0" applyNumberFormat="1" applyFont="1" applyBorder="1" applyAlignment="1">
      <alignment horizontal="center" vertical="center"/>
    </xf>
    <xf numFmtId="0" fontId="14" fillId="10" borderId="1" xfId="0" applyFont="1" applyFill="1" applyBorder="1" applyAlignment="1">
      <alignment horizontal="left" vertical="center"/>
    </xf>
    <xf numFmtId="0" fontId="14" fillId="10" borderId="2" xfId="0" applyFont="1" applyFill="1" applyBorder="1" applyAlignment="1">
      <alignment horizontal="left" vertical="center"/>
    </xf>
    <xf numFmtId="0" fontId="14" fillId="10" borderId="4" xfId="0" applyFont="1" applyFill="1" applyBorder="1" applyAlignment="1">
      <alignment horizontal="left" vertical="center"/>
    </xf>
    <xf numFmtId="0" fontId="22" fillId="0" borderId="5" xfId="0" applyFont="1" applyBorder="1" applyAlignment="1">
      <alignment horizontal="left" vertical="top" wrapText="1"/>
    </xf>
    <xf numFmtId="0" fontId="26" fillId="0" borderId="6" xfId="0" applyFont="1" applyBorder="1" applyAlignment="1">
      <alignment horizontal="left" vertical="top" wrapText="1"/>
    </xf>
    <xf numFmtId="0" fontId="26" fillId="0" borderId="10" xfId="0" applyFont="1" applyBorder="1" applyAlignment="1">
      <alignment horizontal="left" vertical="top" wrapText="1"/>
    </xf>
    <xf numFmtId="0" fontId="26" fillId="0" borderId="7" xfId="0" applyFont="1" applyBorder="1" applyAlignment="1">
      <alignment horizontal="left" vertical="top" wrapText="1"/>
    </xf>
    <xf numFmtId="0" fontId="26" fillId="0" borderId="0" xfId="0" applyFont="1" applyAlignment="1">
      <alignment horizontal="left" vertical="top" wrapText="1"/>
    </xf>
    <xf numFmtId="0" fontId="26" fillId="0" borderId="11" xfId="0" applyFont="1" applyBorder="1" applyAlignment="1">
      <alignment horizontal="left" vertical="top" wrapText="1"/>
    </xf>
    <xf numFmtId="0" fontId="26" fillId="0" borderId="8" xfId="0" applyFont="1" applyBorder="1" applyAlignment="1">
      <alignment horizontal="left" vertical="top" wrapText="1"/>
    </xf>
    <xf numFmtId="0" fontId="26" fillId="0" borderId="9" xfId="0" applyFont="1" applyBorder="1" applyAlignment="1">
      <alignment horizontal="left" vertical="top" wrapText="1"/>
    </xf>
    <xf numFmtId="0" fontId="26" fillId="0" borderId="12" xfId="0" applyFont="1" applyBorder="1" applyAlignment="1">
      <alignment horizontal="left" vertical="top" wrapText="1"/>
    </xf>
    <xf numFmtId="3" fontId="22" fillId="0" borderId="5" xfId="0" applyNumberFormat="1" applyFont="1" applyBorder="1" applyAlignment="1">
      <alignment horizontal="left" vertical="top" wrapText="1"/>
    </xf>
    <xf numFmtId="3" fontId="26" fillId="0" borderId="6" xfId="0" applyNumberFormat="1" applyFont="1" applyBorder="1" applyAlignment="1">
      <alignment horizontal="left" vertical="top" wrapText="1"/>
    </xf>
    <xf numFmtId="3" fontId="26" fillId="0" borderId="10" xfId="0" applyNumberFormat="1" applyFont="1" applyBorder="1" applyAlignment="1">
      <alignment horizontal="left" vertical="top" wrapText="1"/>
    </xf>
    <xf numFmtId="3" fontId="26" fillId="0" borderId="7" xfId="0" applyNumberFormat="1" applyFont="1" applyBorder="1" applyAlignment="1">
      <alignment horizontal="left" vertical="top" wrapText="1"/>
    </xf>
    <xf numFmtId="3" fontId="26" fillId="0" borderId="0" xfId="0" applyNumberFormat="1" applyFont="1" applyAlignment="1">
      <alignment horizontal="left" vertical="top" wrapText="1"/>
    </xf>
    <xf numFmtId="3" fontId="26" fillId="0" borderId="11" xfId="0" applyNumberFormat="1" applyFont="1" applyBorder="1" applyAlignment="1">
      <alignment horizontal="left" vertical="top" wrapText="1"/>
    </xf>
    <xf numFmtId="3" fontId="26" fillId="0" borderId="8" xfId="0" applyNumberFormat="1" applyFont="1" applyBorder="1" applyAlignment="1">
      <alignment horizontal="left" vertical="top" wrapText="1"/>
    </xf>
    <xf numFmtId="3" fontId="26" fillId="0" borderId="9" xfId="0" applyNumberFormat="1" applyFont="1" applyBorder="1" applyAlignment="1">
      <alignment horizontal="left" vertical="top" wrapText="1"/>
    </xf>
    <xf numFmtId="3" fontId="26" fillId="0" borderId="12" xfId="0" applyNumberFormat="1" applyFont="1" applyBorder="1" applyAlignment="1">
      <alignment horizontal="left" vertical="top" wrapText="1"/>
    </xf>
    <xf numFmtId="0" fontId="14" fillId="0" borderId="24" xfId="0" applyFont="1" applyBorder="1" applyAlignment="1">
      <alignment horizontal="center" vertical="center" wrapText="1"/>
    </xf>
    <xf numFmtId="0" fontId="14" fillId="0" borderId="26" xfId="0" applyFont="1" applyBorder="1" applyAlignment="1">
      <alignment horizontal="center" vertical="center" wrapText="1"/>
    </xf>
    <xf numFmtId="3" fontId="22" fillId="0" borderId="5" xfId="0" applyNumberFormat="1" applyFont="1" applyBorder="1" applyAlignment="1">
      <alignment horizontal="center" vertical="center" wrapText="1"/>
    </xf>
    <xf numFmtId="3" fontId="26" fillId="0" borderId="6" xfId="0" applyNumberFormat="1" applyFont="1" applyBorder="1" applyAlignment="1">
      <alignment horizontal="center" vertical="center" wrapText="1"/>
    </xf>
    <xf numFmtId="3" fontId="26" fillId="0" borderId="10" xfId="0" applyNumberFormat="1" applyFont="1" applyBorder="1" applyAlignment="1">
      <alignment horizontal="center" vertical="center" wrapText="1"/>
    </xf>
    <xf numFmtId="3" fontId="26" fillId="0" borderId="7" xfId="0" applyNumberFormat="1" applyFont="1" applyBorder="1" applyAlignment="1">
      <alignment horizontal="center" vertical="center" wrapText="1"/>
    </xf>
    <xf numFmtId="3" fontId="26" fillId="0" borderId="0" xfId="0" applyNumberFormat="1" applyFont="1" applyAlignment="1">
      <alignment horizontal="center" vertical="center" wrapText="1"/>
    </xf>
    <xf numFmtId="3" fontId="26" fillId="0" borderId="11" xfId="0" applyNumberFormat="1" applyFont="1" applyBorder="1" applyAlignment="1">
      <alignment horizontal="center" vertical="center" wrapText="1"/>
    </xf>
    <xf numFmtId="3" fontId="26" fillId="0" borderId="8" xfId="0" applyNumberFormat="1" applyFont="1" applyBorder="1" applyAlignment="1">
      <alignment horizontal="center" vertical="center" wrapText="1"/>
    </xf>
    <xf numFmtId="3" fontId="26" fillId="0" borderId="9" xfId="0" applyNumberFormat="1" applyFont="1" applyBorder="1" applyAlignment="1">
      <alignment horizontal="center" vertical="center" wrapText="1"/>
    </xf>
    <xf numFmtId="3" fontId="26" fillId="0" borderId="12" xfId="0" applyNumberFormat="1" applyFont="1" applyBorder="1" applyAlignment="1">
      <alignment horizontal="center" vertical="center" wrapText="1"/>
    </xf>
    <xf numFmtId="0" fontId="22" fillId="0" borderId="5" xfId="0" applyFont="1" applyBorder="1" applyAlignment="1">
      <alignment horizontal="center" vertical="center" wrapText="1"/>
    </xf>
    <xf numFmtId="0" fontId="26" fillId="0" borderId="6" xfId="0" applyFont="1" applyBorder="1" applyAlignment="1">
      <alignment horizontal="center" vertical="center" wrapText="1"/>
    </xf>
    <xf numFmtId="0" fontId="26" fillId="0" borderId="10" xfId="0" applyFont="1" applyBorder="1" applyAlignment="1">
      <alignment horizontal="center" vertical="center" wrapText="1"/>
    </xf>
    <xf numFmtId="0" fontId="26" fillId="0" borderId="7" xfId="0" applyFont="1" applyBorder="1" applyAlignment="1">
      <alignment horizontal="center" vertical="center" wrapText="1"/>
    </xf>
    <xf numFmtId="0" fontId="26" fillId="0" borderId="0" xfId="0" applyFont="1" applyAlignment="1">
      <alignment horizontal="center" vertical="center" wrapText="1"/>
    </xf>
    <xf numFmtId="0" fontId="26" fillId="0" borderId="11" xfId="0" applyFont="1" applyBorder="1" applyAlignment="1">
      <alignment horizontal="center" vertical="center" wrapText="1"/>
    </xf>
    <xf numFmtId="0" fontId="26" fillId="0" borderId="8" xfId="0" applyFont="1" applyBorder="1" applyAlignment="1">
      <alignment horizontal="center" vertical="center" wrapText="1"/>
    </xf>
    <xf numFmtId="0" fontId="26" fillId="0" borderId="9" xfId="0" applyFont="1" applyBorder="1" applyAlignment="1">
      <alignment horizontal="center" vertical="center" wrapText="1"/>
    </xf>
    <xf numFmtId="0" fontId="26" fillId="0" borderId="12" xfId="0" applyFont="1" applyBorder="1" applyAlignment="1">
      <alignment horizontal="center" vertical="center" wrapText="1"/>
    </xf>
    <xf numFmtId="0" fontId="0" fillId="0" borderId="1" xfId="0" applyBorder="1" applyAlignment="1">
      <alignment horizontal="center" vertical="center" wrapText="1"/>
    </xf>
    <xf numFmtId="0" fontId="0" fillId="0" borderId="4" xfId="0" applyBorder="1" applyAlignment="1">
      <alignment horizontal="center" vertical="center" wrapText="1"/>
    </xf>
    <xf numFmtId="0" fontId="0" fillId="0" borderId="2" xfId="0" applyBorder="1" applyAlignment="1">
      <alignment horizontal="center" vertical="center" wrapText="1"/>
    </xf>
    <xf numFmtId="0" fontId="0" fillId="5" borderId="1" xfId="0" applyFill="1" applyBorder="1" applyAlignment="1">
      <alignment horizontal="center" vertical="center"/>
    </xf>
    <xf numFmtId="0" fontId="0" fillId="5" borderId="2" xfId="0" applyFill="1" applyBorder="1" applyAlignment="1">
      <alignment horizontal="center" vertical="center"/>
    </xf>
    <xf numFmtId="0" fontId="0" fillId="5" borderId="4" xfId="0" applyFill="1" applyBorder="1" applyAlignment="1">
      <alignment horizontal="center" vertical="center"/>
    </xf>
    <xf numFmtId="0" fontId="14" fillId="8" borderId="1" xfId="0" applyFont="1" applyFill="1" applyBorder="1" applyAlignment="1">
      <alignment horizontal="center" vertical="center" wrapText="1"/>
    </xf>
    <xf numFmtId="0" fontId="14" fillId="8" borderId="2" xfId="0" applyFont="1" applyFill="1" applyBorder="1" applyAlignment="1">
      <alignment horizontal="center" vertical="center" wrapText="1"/>
    </xf>
    <xf numFmtId="0" fontId="14" fillId="8" borderId="4" xfId="0" applyFont="1" applyFill="1" applyBorder="1" applyAlignment="1">
      <alignment horizontal="center" vertical="center" wrapText="1"/>
    </xf>
    <xf numFmtId="0" fontId="14" fillId="0" borderId="21" xfId="0" applyFont="1" applyBorder="1" applyAlignment="1">
      <alignment horizontal="center" vertical="center" wrapText="1"/>
    </xf>
    <xf numFmtId="0" fontId="14" fillId="0" borderId="22" xfId="0" applyFont="1" applyBorder="1" applyAlignment="1">
      <alignment horizontal="center" vertical="center" wrapText="1"/>
    </xf>
    <xf numFmtId="0" fontId="14" fillId="0" borderId="23" xfId="0" applyFont="1" applyBorder="1" applyAlignment="1">
      <alignment horizontal="center" vertical="center" wrapText="1"/>
    </xf>
    <xf numFmtId="0" fontId="18" fillId="0" borderId="1" xfId="0" applyFont="1" applyBorder="1" applyAlignment="1">
      <alignment horizontal="center" vertical="center" wrapText="1"/>
    </xf>
    <xf numFmtId="0" fontId="18" fillId="0" borderId="2" xfId="0" applyFont="1" applyBorder="1" applyAlignment="1">
      <alignment horizontal="center" vertical="center" wrapText="1"/>
    </xf>
    <xf numFmtId="0" fontId="18" fillId="0" borderId="4" xfId="0" applyFont="1" applyBorder="1" applyAlignment="1">
      <alignment horizontal="center" vertical="center" wrapText="1"/>
    </xf>
    <xf numFmtId="0" fontId="14" fillId="0" borderId="1" xfId="0" applyFont="1" applyBorder="1" applyAlignment="1">
      <alignment horizontal="left"/>
    </xf>
    <xf numFmtId="0" fontId="14" fillId="0" borderId="2" xfId="0" applyFont="1" applyBorder="1" applyAlignment="1">
      <alignment horizontal="left"/>
    </xf>
    <xf numFmtId="0" fontId="14" fillId="0" borderId="4" xfId="0" applyFont="1" applyBorder="1" applyAlignment="1">
      <alignment horizontal="left"/>
    </xf>
    <xf numFmtId="0" fontId="22" fillId="2" borderId="0" xfId="0" applyFont="1" applyFill="1" applyAlignment="1">
      <alignment horizontal="center"/>
    </xf>
  </cellXfs>
  <cellStyles count="11">
    <cellStyle name="Millares" xfId="1" builtinId="3"/>
    <cellStyle name="Millares 2" xfId="6" xr:uid="{00000000-0005-0000-0000-000001000000}"/>
    <cellStyle name="Millares 3" xfId="7" xr:uid="{00000000-0005-0000-0000-000002000000}"/>
    <cellStyle name="Millares 4" xfId="5" xr:uid="{00000000-0005-0000-0000-000003000000}"/>
    <cellStyle name="Moneda" xfId="4" builtinId="4"/>
    <cellStyle name="Normal" xfId="0" builtinId="0"/>
    <cellStyle name="Normal 2" xfId="3" xr:uid="{00000000-0005-0000-0000-000006000000}"/>
    <cellStyle name="Normal 3" xfId="8" xr:uid="{00000000-0005-0000-0000-000007000000}"/>
    <cellStyle name="Porcentaje" xfId="2" builtinId="5"/>
    <cellStyle name="Porcentaje 2" xfId="10" xr:uid="{00000000-0005-0000-0000-000009000000}"/>
    <cellStyle name="Porcentaje 3" xfId="9" xr:uid="{00000000-0005-0000-0000-00000A000000}"/>
  </cellStyles>
  <dxfs count="45">
    <dxf>
      <fill>
        <patternFill patternType="solid">
          <bgColor theme="8" tint="0.59996337778862885"/>
        </patternFill>
      </fill>
    </dxf>
    <dxf>
      <fill>
        <patternFill patternType="solid">
          <bgColor theme="3" tint="0.79995117038483843"/>
        </patternFill>
      </fill>
    </dxf>
    <dxf>
      <fill>
        <patternFill patternType="solid">
          <bgColor theme="2"/>
        </patternFill>
      </fill>
    </dxf>
    <dxf>
      <fill>
        <patternFill patternType="solid">
          <bgColor theme="4" tint="0.59996337778862885"/>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s>
  <tableStyles count="1" defaultTableStyle="TableStyleMedium9" defaultPivotStyle="PivotStyleLight16">
    <tableStyle name="Invisible" pivot="0" table="0" count="0" xr9:uid="{00000000-0011-0000-FFFF-FFFF00000000}"/>
  </tableStyles>
  <colors>
    <mruColors>
      <color rgb="FFEEA8A8"/>
      <color rgb="FFB7E7B7"/>
      <color rgb="FF91DB91"/>
      <color rgb="FF0000FF"/>
      <color rgb="FF9DEF1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0C780BE/EX%20POST%20-%20Caso%20Aeropuert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ujos y VAN"/>
    </sheetNames>
    <sheetDataSet>
      <sheetData sheetId="0" refreshError="1"/>
    </sheetDataSet>
  </externalBook>
</externalLink>
</file>

<file path=xl/persons/person.xml><?xml version="1.0" encoding="utf-8"?>
<personList xmlns="http://schemas.microsoft.com/office/spreadsheetml/2018/threadedcomments" xmlns:x="http://schemas.openxmlformats.org/spreadsheetml/2006/main">
  <person displayName="Samantha Denise Horwitz" id="{5F6B4DBC-3B3C-8C49-84CD-E4EFB30E1DAF}" userId="Samantha Denise Horwitz" providerId="None"/>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KS6" dT="2026-03-03T14:35:45.45" personId="{5F6B4DBC-3B3C-8C49-84CD-E4EFB30E1DAF}" id="{3E3CDBE4-CD5B-EF45-B2A2-E9C2AED4EE4D}">
    <text>La última actualización del IPIM fue el 3/3/2026, con los últimos datos disponibles del INDEC. 
Para continuar con la actualización del deflactor, debe tomarse la variación mensual del Nivel General de Feb-’26 contra Ene-’26 (en %) y pegarla como valor en celda KS9. 
Luego, arrastrar fórmula de la fila 8, que tomará como dato el valor porcentual de la celda indicada y generará el número índice. (Por las dudas, siempre conviene cotejar que la variación mensual del mes anterior en la serie histórica del INDEC coincida con el que venimos utilizando, para evitar errores de arrastre en la fórmula)</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Q635"/>
  <sheetViews>
    <sheetView showGridLines="0" tabSelected="1" zoomScale="85" zoomScaleNormal="85" workbookViewId="0">
      <selection activeCell="H138" sqref="H138"/>
    </sheetView>
  </sheetViews>
  <sheetFormatPr defaultColWidth="10.89453125" defaultRowHeight="15" x14ac:dyDescent="0.2"/>
  <cols>
    <col min="1" max="1" width="1.74609375" style="399" customWidth="1"/>
    <col min="2" max="2" width="36.453125" customWidth="1"/>
    <col min="3" max="3" width="0.671875" customWidth="1"/>
    <col min="4" max="4" width="13.98828125" customWidth="1"/>
    <col min="5" max="5" width="2.15234375" customWidth="1"/>
    <col min="6" max="6" width="16.41015625" customWidth="1"/>
    <col min="7" max="7" width="4.4375" customWidth="1"/>
    <col min="8" max="8" width="16.54296875" customWidth="1"/>
    <col min="9" max="9" width="4.4375" customWidth="1"/>
    <col min="10" max="12" width="13.98828125" customWidth="1"/>
    <col min="13" max="81" width="10.35546875" customWidth="1"/>
    <col min="82" max="82" width="1.74609375" customWidth="1"/>
    <col min="86" max="86" width="11.43359375" customWidth="1"/>
  </cols>
  <sheetData>
    <row r="1" spans="1:15" ht="28.5" customHeight="1" x14ac:dyDescent="0.2">
      <c r="B1" s="258" t="s">
        <v>0</v>
      </c>
      <c r="C1" s="2"/>
    </row>
    <row r="2" spans="1:15" x14ac:dyDescent="0.2">
      <c r="B2" s="259" t="s">
        <v>1</v>
      </c>
      <c r="C2" s="260"/>
      <c r="D2" s="260"/>
      <c r="E2" s="260"/>
      <c r="F2" s="260"/>
      <c r="G2" s="260"/>
      <c r="H2" s="260"/>
      <c r="I2" s="260"/>
      <c r="J2" s="260"/>
      <c r="K2" s="260"/>
      <c r="L2" s="260"/>
      <c r="M2" s="263"/>
      <c r="N2" s="263"/>
      <c r="O2" s="264"/>
    </row>
    <row r="3" spans="1:15" s="34" customFormat="1" ht="50.25" customHeight="1" x14ac:dyDescent="0.2">
      <c r="A3" s="424"/>
      <c r="B3" s="586" t="s">
        <v>2</v>
      </c>
      <c r="C3" s="587"/>
      <c r="D3" s="587"/>
      <c r="E3" s="587"/>
      <c r="F3" s="587"/>
      <c r="G3" s="587"/>
      <c r="H3" s="587"/>
      <c r="I3" s="587"/>
      <c r="J3" s="587"/>
      <c r="K3" s="587"/>
      <c r="L3" s="587"/>
      <c r="M3" s="587"/>
      <c r="N3" s="587"/>
      <c r="O3" s="588"/>
    </row>
    <row r="4" spans="1:15" s="34" customFormat="1" ht="26.25" customHeight="1" x14ac:dyDescent="0.2">
      <c r="A4" s="424"/>
      <c r="B4" s="261" t="s">
        <v>3</v>
      </c>
      <c r="C4" s="262"/>
      <c r="D4" s="262"/>
      <c r="E4" s="262"/>
      <c r="F4" s="262"/>
      <c r="G4" s="262"/>
      <c r="H4" s="262"/>
      <c r="I4" s="262"/>
      <c r="J4" s="262"/>
      <c r="K4" s="262"/>
      <c r="L4" s="262"/>
      <c r="M4" s="265"/>
      <c r="N4" s="265"/>
      <c r="O4" s="266"/>
    </row>
    <row r="5" spans="1:15" s="257" customFormat="1" ht="13.5" customHeight="1" x14ac:dyDescent="0.2">
      <c r="A5" s="425"/>
    </row>
    <row r="6" spans="1:15" ht="15.75" hidden="1" thickBot="1" x14ac:dyDescent="0.25"/>
    <row r="7" spans="1:15" ht="15.75" hidden="1" thickBot="1" x14ac:dyDescent="0.25">
      <c r="B7" s="35" t="s">
        <v>4</v>
      </c>
      <c r="D7" s="589" t="s">
        <v>5</v>
      </c>
      <c r="E7" s="590"/>
      <c r="F7" s="590"/>
      <c r="G7" s="590"/>
      <c r="H7" s="590"/>
      <c r="I7" s="590"/>
      <c r="J7" s="590"/>
      <c r="K7" s="590"/>
      <c r="L7" s="590"/>
      <c r="M7" s="591"/>
    </row>
    <row r="8" spans="1:15" ht="5.0999999999999996" hidden="1" customHeight="1" x14ac:dyDescent="0.2"/>
    <row r="9" spans="1:15" hidden="1" x14ac:dyDescent="0.2">
      <c r="B9" t="s">
        <v>6</v>
      </c>
      <c r="H9" s="36"/>
      <c r="I9" s="36"/>
    </row>
    <row r="10" spans="1:15" hidden="1" x14ac:dyDescent="0.2"/>
    <row r="11" spans="1:15" hidden="1" x14ac:dyDescent="0.2">
      <c r="B11" s="37" t="s">
        <v>7</v>
      </c>
      <c r="C11" s="37"/>
      <c r="D11" s="37"/>
      <c r="E11" s="37"/>
      <c r="F11" s="37"/>
      <c r="G11" s="37"/>
      <c r="H11" s="37"/>
      <c r="I11" s="37"/>
      <c r="J11" s="37"/>
      <c r="K11" s="37"/>
      <c r="L11" s="37"/>
      <c r="M11" s="37"/>
    </row>
    <row r="12" spans="1:15" ht="5.0999999999999996" hidden="1" customHeight="1" thickBot="1" x14ac:dyDescent="0.25"/>
    <row r="13" spans="1:15" ht="15.75" hidden="1" thickBot="1" x14ac:dyDescent="0.25">
      <c r="B13" s="35" t="s">
        <v>8</v>
      </c>
      <c r="C13" s="35"/>
      <c r="D13" s="35"/>
      <c r="F13" s="38">
        <v>57</v>
      </c>
      <c r="G13" s="17"/>
      <c r="H13" s="592" t="s">
        <v>9</v>
      </c>
      <c r="I13" s="593"/>
      <c r="J13" s="593"/>
      <c r="K13" s="593"/>
      <c r="L13" s="593"/>
      <c r="M13" s="594"/>
    </row>
    <row r="14" spans="1:15" ht="5.0999999999999996" hidden="1" customHeight="1" thickBot="1" x14ac:dyDescent="0.25">
      <c r="F14" s="39"/>
      <c r="G14" s="17"/>
      <c r="H14" s="17"/>
      <c r="I14" s="17"/>
      <c r="J14" s="17"/>
      <c r="K14" s="17"/>
      <c r="L14" s="17"/>
      <c r="M14" s="17"/>
    </row>
    <row r="15" spans="1:15" ht="15.75" hidden="1" thickBot="1" x14ac:dyDescent="0.25">
      <c r="B15" s="35" t="s">
        <v>10</v>
      </c>
      <c r="C15" s="35"/>
      <c r="D15" s="35"/>
      <c r="F15" s="38">
        <v>664</v>
      </c>
      <c r="G15" s="17"/>
      <c r="H15" s="592" t="s">
        <v>11</v>
      </c>
      <c r="I15" s="593"/>
      <c r="J15" s="593"/>
      <c r="K15" s="593"/>
      <c r="L15" s="593"/>
      <c r="M15" s="594"/>
    </row>
    <row r="16" spans="1:15" ht="5.0999999999999996" hidden="1" customHeight="1" thickBot="1" x14ac:dyDescent="0.25">
      <c r="F16" s="39"/>
      <c r="G16" s="17"/>
      <c r="H16" s="17"/>
      <c r="I16" s="17"/>
      <c r="J16" s="17"/>
      <c r="K16" s="17"/>
      <c r="L16" s="17"/>
      <c r="M16" s="17"/>
    </row>
    <row r="17" spans="2:13" ht="15.75" hidden="1" thickBot="1" x14ac:dyDescent="0.25">
      <c r="B17" s="35" t="s">
        <v>12</v>
      </c>
      <c r="C17" s="35"/>
      <c r="D17" s="35"/>
      <c r="F17" s="38">
        <v>16</v>
      </c>
      <c r="G17" s="17"/>
      <c r="H17" s="592" t="s">
        <v>13</v>
      </c>
      <c r="I17" s="593"/>
      <c r="J17" s="593"/>
      <c r="K17" s="593"/>
      <c r="L17" s="593"/>
      <c r="M17" s="594"/>
    </row>
    <row r="18" spans="2:13" ht="5.0999999999999996" hidden="1" customHeight="1" thickBot="1" x14ac:dyDescent="0.25">
      <c r="F18" s="39"/>
      <c r="G18" s="17"/>
      <c r="H18" s="17"/>
      <c r="I18" s="17"/>
      <c r="J18" s="17"/>
      <c r="K18" s="17"/>
      <c r="L18" s="17"/>
      <c r="M18" s="17"/>
    </row>
    <row r="19" spans="2:13" ht="15.75" hidden="1" thickBot="1" x14ac:dyDescent="0.25">
      <c r="B19" s="35" t="s">
        <v>14</v>
      </c>
      <c r="C19" s="35"/>
      <c r="D19" s="35"/>
      <c r="F19" s="38"/>
      <c r="G19" s="17"/>
      <c r="H19" s="592"/>
      <c r="I19" s="593"/>
      <c r="J19" s="593"/>
      <c r="K19" s="593"/>
      <c r="L19" s="593"/>
      <c r="M19" s="594"/>
    </row>
    <row r="20" spans="2:13" ht="9.9499999999999993" hidden="1" customHeight="1" x14ac:dyDescent="0.2"/>
    <row r="21" spans="2:13" hidden="1" x14ac:dyDescent="0.2">
      <c r="B21" s="37" t="s">
        <v>15</v>
      </c>
      <c r="C21" s="37"/>
      <c r="D21" s="37"/>
      <c r="E21" s="37"/>
      <c r="F21" s="37"/>
      <c r="G21" s="37"/>
      <c r="H21" s="37"/>
      <c r="I21" s="37"/>
      <c r="J21" s="37"/>
      <c r="K21" s="37"/>
      <c r="L21" s="37"/>
      <c r="M21" s="37"/>
    </row>
    <row r="22" spans="2:13" ht="5.0999999999999996" hidden="1" customHeight="1" thickBot="1" x14ac:dyDescent="0.25"/>
    <row r="23" spans="2:13" ht="15.75" hidden="1" thickBot="1" x14ac:dyDescent="0.25">
      <c r="B23" s="40">
        <v>999999</v>
      </c>
      <c r="D23" s="41" t="s">
        <v>16</v>
      </c>
      <c r="E23" s="42"/>
      <c r="F23" s="42"/>
      <c r="G23" s="42"/>
      <c r="H23" s="42"/>
      <c r="I23" s="42"/>
      <c r="J23" s="42"/>
      <c r="K23" s="42"/>
      <c r="L23" s="42"/>
      <c r="M23" s="53"/>
    </row>
    <row r="24" spans="2:13" ht="5.0999999999999996" hidden="1" customHeight="1" thickBot="1" x14ac:dyDescent="0.25"/>
    <row r="25" spans="2:13" ht="15.75" hidden="1" thickBot="1" x14ac:dyDescent="0.25">
      <c r="B25" s="37" t="s">
        <v>17</v>
      </c>
      <c r="C25" s="35"/>
      <c r="D25" s="35"/>
      <c r="E25" s="35"/>
      <c r="F25" s="35"/>
      <c r="H25" s="41"/>
      <c r="I25" s="41"/>
      <c r="J25" s="42"/>
      <c r="K25" s="42"/>
      <c r="L25" s="42"/>
      <c r="M25" s="53"/>
    </row>
    <row r="26" spans="2:13" ht="5.0999999999999996" hidden="1" customHeight="1" thickBot="1" x14ac:dyDescent="0.25"/>
    <row r="27" spans="2:13" ht="15.75" hidden="1" thickBot="1" x14ac:dyDescent="0.25">
      <c r="B27" s="37" t="s">
        <v>18</v>
      </c>
      <c r="C27" s="35"/>
      <c r="D27" s="35"/>
      <c r="E27" s="35"/>
      <c r="F27" s="35"/>
      <c r="H27" s="41"/>
      <c r="I27" s="41"/>
      <c r="J27" s="42"/>
      <c r="K27" s="42"/>
      <c r="L27" s="42"/>
      <c r="M27" s="53"/>
    </row>
    <row r="28" spans="2:13" ht="5.0999999999999996" hidden="1" customHeight="1" thickBot="1" x14ac:dyDescent="0.25"/>
    <row r="29" spans="2:13" ht="15.75" hidden="1" thickBot="1" x14ac:dyDescent="0.25">
      <c r="B29" s="37" t="s">
        <v>19</v>
      </c>
      <c r="C29" s="35"/>
      <c r="D29" s="35"/>
      <c r="E29" s="35"/>
      <c r="F29" s="35"/>
      <c r="H29" s="41"/>
      <c r="I29" s="41"/>
      <c r="J29" s="42"/>
      <c r="K29" s="42"/>
      <c r="L29" s="42"/>
      <c r="M29" s="53"/>
    </row>
    <row r="30" spans="2:13" ht="5.0999999999999996" hidden="1" customHeight="1" thickBot="1" x14ac:dyDescent="0.25"/>
    <row r="31" spans="2:13" ht="15.75" hidden="1" thickBot="1" x14ac:dyDescent="0.25">
      <c r="B31" s="37" t="s">
        <v>20</v>
      </c>
      <c r="C31" s="35"/>
      <c r="D31" s="35"/>
      <c r="E31" s="35"/>
      <c r="F31" s="35"/>
      <c r="H31" s="41"/>
      <c r="I31" s="41"/>
      <c r="J31" s="42"/>
      <c r="K31" s="42"/>
      <c r="L31" s="42"/>
      <c r="M31" s="53"/>
    </row>
    <row r="32" spans="2:13" ht="5.0999999999999996" hidden="1" customHeight="1" thickBot="1" x14ac:dyDescent="0.25"/>
    <row r="33" spans="2:13" ht="15.75" hidden="1" thickBot="1" x14ac:dyDescent="0.25">
      <c r="B33" s="37" t="s">
        <v>21</v>
      </c>
      <c r="C33" s="35"/>
      <c r="D33" s="35"/>
      <c r="E33" s="35"/>
      <c r="F33" s="35"/>
      <c r="H33" s="41"/>
      <c r="I33" s="41"/>
      <c r="J33" s="42"/>
      <c r="K33" s="42"/>
      <c r="L33" s="42"/>
      <c r="M33" s="53"/>
    </row>
    <row r="34" spans="2:13" ht="5.0999999999999996" hidden="1" customHeight="1" thickBot="1" x14ac:dyDescent="0.25"/>
    <row r="35" spans="2:13" ht="15.75" hidden="1" thickBot="1" x14ac:dyDescent="0.25">
      <c r="B35" s="43" t="s">
        <v>22</v>
      </c>
      <c r="C35" s="44"/>
      <c r="D35" s="45" t="s">
        <v>23</v>
      </c>
      <c r="E35" s="46"/>
      <c r="F35" s="46"/>
      <c r="G35" s="46"/>
      <c r="H35" s="46"/>
      <c r="I35" s="46"/>
      <c r="J35" s="46"/>
      <c r="K35" s="46"/>
      <c r="L35" s="46"/>
      <c r="M35" s="54"/>
    </row>
    <row r="36" spans="2:13" ht="15.75" hidden="1" thickBot="1" x14ac:dyDescent="0.25">
      <c r="B36" s="47"/>
      <c r="C36" s="48"/>
      <c r="D36" s="41"/>
      <c r="E36" s="42"/>
      <c r="F36" s="42"/>
      <c r="G36" s="42"/>
      <c r="H36" s="42"/>
      <c r="I36" s="42"/>
      <c r="J36" s="42"/>
      <c r="K36" s="42"/>
      <c r="L36" s="42"/>
      <c r="M36" s="53"/>
    </row>
    <row r="37" spans="2:13" ht="9.9499999999999993" hidden="1" customHeight="1" x14ac:dyDescent="0.2"/>
    <row r="38" spans="2:13" hidden="1" x14ac:dyDescent="0.2">
      <c r="B38" s="37" t="s">
        <v>24</v>
      </c>
      <c r="C38" s="37"/>
      <c r="D38" s="37"/>
      <c r="E38" s="37"/>
      <c r="F38" s="37"/>
      <c r="G38" s="37"/>
      <c r="H38" s="37"/>
      <c r="I38" s="37"/>
      <c r="J38" s="37"/>
      <c r="K38" s="37"/>
      <c r="L38" s="37"/>
      <c r="M38" s="37"/>
    </row>
    <row r="39" spans="2:13" ht="5.0999999999999996" hidden="1" customHeight="1" thickBot="1" x14ac:dyDescent="0.25"/>
    <row r="40" spans="2:13" ht="15.75" hidden="1" thickBot="1" x14ac:dyDescent="0.25">
      <c r="B40" s="43" t="s">
        <v>25</v>
      </c>
      <c r="C40" s="44"/>
      <c r="D40" s="45" t="s">
        <v>26</v>
      </c>
      <c r="E40" s="46"/>
      <c r="F40" s="45" t="s">
        <v>23</v>
      </c>
      <c r="G40" s="46"/>
      <c r="H40" s="46"/>
      <c r="I40" s="46"/>
      <c r="J40" s="46"/>
      <c r="K40" s="46"/>
      <c r="L40" s="46"/>
      <c r="M40" s="54"/>
    </row>
    <row r="41" spans="2:13" ht="15.75" hidden="1" thickBot="1" x14ac:dyDescent="0.25">
      <c r="B41" s="47"/>
      <c r="C41" s="48"/>
      <c r="D41" s="41"/>
      <c r="E41" s="48"/>
      <c r="F41" s="42"/>
      <c r="G41" s="42"/>
      <c r="H41" s="42"/>
      <c r="I41" s="42"/>
      <c r="J41" s="42"/>
      <c r="K41" s="42"/>
      <c r="L41" s="42"/>
      <c r="M41" s="53"/>
    </row>
    <row r="42" spans="2:13" ht="15.75" hidden="1" thickBot="1" x14ac:dyDescent="0.25">
      <c r="B42" s="47"/>
      <c r="C42" s="48"/>
      <c r="D42" s="41"/>
      <c r="E42" s="48"/>
      <c r="F42" s="42"/>
      <c r="G42" s="42"/>
      <c r="H42" s="42"/>
      <c r="I42" s="42"/>
      <c r="J42" s="42"/>
      <c r="K42" s="42"/>
      <c r="L42" s="42"/>
      <c r="M42" s="53"/>
    </row>
    <row r="43" spans="2:13" ht="15.75" hidden="1" thickBot="1" x14ac:dyDescent="0.25">
      <c r="B43" s="47"/>
      <c r="C43" s="48"/>
      <c r="D43" s="41"/>
      <c r="E43" s="48"/>
      <c r="F43" s="42"/>
      <c r="G43" s="42"/>
      <c r="H43" s="42"/>
      <c r="I43" s="42"/>
      <c r="J43" s="42"/>
      <c r="K43" s="42"/>
      <c r="L43" s="42"/>
      <c r="M43" s="53"/>
    </row>
    <row r="44" spans="2:13" ht="15.75" hidden="1" thickBot="1" x14ac:dyDescent="0.25">
      <c r="B44" s="47"/>
      <c r="C44" s="48"/>
      <c r="D44" s="41"/>
      <c r="E44" s="48"/>
      <c r="F44" s="42"/>
      <c r="G44" s="42"/>
      <c r="H44" s="42"/>
      <c r="I44" s="42"/>
      <c r="J44" s="42"/>
      <c r="K44" s="42"/>
      <c r="L44" s="42"/>
      <c r="M44" s="53"/>
    </row>
    <row r="45" spans="2:13" ht="9.9499999999999993" hidden="1" customHeight="1" x14ac:dyDescent="0.2"/>
    <row r="46" spans="2:13" hidden="1" x14ac:dyDescent="0.2">
      <c r="B46" s="37" t="s">
        <v>27</v>
      </c>
      <c r="C46" s="37"/>
      <c r="D46" s="37"/>
      <c r="E46" s="37"/>
      <c r="F46" s="37"/>
      <c r="G46" s="37"/>
      <c r="H46" s="37"/>
      <c r="I46" s="37"/>
      <c r="J46" s="37"/>
      <c r="K46" s="37"/>
      <c r="L46" s="37"/>
      <c r="M46" s="37"/>
    </row>
    <row r="47" spans="2:13" ht="5.0999999999999996" hidden="1" customHeight="1" x14ac:dyDescent="0.2"/>
    <row r="48" spans="2:13" hidden="1" x14ac:dyDescent="0.2">
      <c r="B48" t="s">
        <v>28</v>
      </c>
    </row>
    <row r="49" spans="1:82" ht="5.0999999999999996" hidden="1" customHeight="1" thickBot="1" x14ac:dyDescent="0.25"/>
    <row r="50" spans="1:82" s="31" customFormat="1" ht="59.25" hidden="1" customHeight="1" thickBot="1" x14ac:dyDescent="0.25">
      <c r="A50" s="426"/>
      <c r="B50" s="546" t="s">
        <v>29</v>
      </c>
      <c r="C50" s="547"/>
      <c r="D50" s="547"/>
      <c r="E50" s="547"/>
      <c r="F50" s="547"/>
      <c r="G50" s="547"/>
      <c r="H50" s="547"/>
      <c r="I50" s="547"/>
      <c r="J50" s="547"/>
      <c r="K50" s="547"/>
      <c r="L50" s="547"/>
      <c r="M50" s="548"/>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row>
    <row r="51" spans="1:82" ht="5.0999999999999996" hidden="1" customHeight="1" x14ac:dyDescent="0.2"/>
    <row r="52" spans="1:82" hidden="1" x14ac:dyDescent="0.2">
      <c r="B52" t="s">
        <v>30</v>
      </c>
    </row>
    <row r="53" spans="1:82" ht="5.0999999999999996" hidden="1" customHeight="1" thickBot="1" x14ac:dyDescent="0.25"/>
    <row r="54" spans="1:82" ht="37.5" hidden="1" customHeight="1" thickBot="1" x14ac:dyDescent="0.25">
      <c r="B54" s="546" t="s">
        <v>31</v>
      </c>
      <c r="C54" s="547"/>
      <c r="D54" s="547"/>
      <c r="E54" s="547"/>
      <c r="F54" s="547"/>
      <c r="G54" s="547"/>
      <c r="H54" s="547"/>
      <c r="I54" s="547"/>
      <c r="J54" s="547"/>
      <c r="K54" s="547"/>
      <c r="L54" s="547"/>
      <c r="M54" s="548"/>
    </row>
    <row r="55" spans="1:82" ht="5.0999999999999996" hidden="1" customHeight="1" x14ac:dyDescent="0.2"/>
    <row r="56" spans="1:82" hidden="1" x14ac:dyDescent="0.2">
      <c r="B56" t="s">
        <v>32</v>
      </c>
    </row>
    <row r="57" spans="1:82" ht="5.0999999999999996" hidden="1" customHeight="1" thickBot="1" x14ac:dyDescent="0.25"/>
    <row r="58" spans="1:82" ht="15.75" hidden="1" thickBot="1" x14ac:dyDescent="0.25">
      <c r="B58" s="546" t="s">
        <v>33</v>
      </c>
      <c r="C58" s="547"/>
      <c r="D58" s="547"/>
      <c r="E58" s="547"/>
      <c r="F58" s="547"/>
      <c r="G58" s="547"/>
      <c r="H58" s="547"/>
      <c r="I58" s="547"/>
      <c r="J58" s="547"/>
      <c r="K58" s="547"/>
      <c r="L58" s="547"/>
      <c r="M58" s="548"/>
    </row>
    <row r="59" spans="1:82" ht="5.0999999999999996" hidden="1" customHeight="1" x14ac:dyDescent="0.2"/>
    <row r="60" spans="1:82" hidden="1" x14ac:dyDescent="0.2">
      <c r="B60" t="s">
        <v>34</v>
      </c>
    </row>
    <row r="61" spans="1:82" ht="5.0999999999999996" hidden="1" customHeight="1" thickBot="1" x14ac:dyDescent="0.25"/>
    <row r="62" spans="1:82" ht="15.75" hidden="1" thickBot="1" x14ac:dyDescent="0.25">
      <c r="B62" s="546" t="s">
        <v>35</v>
      </c>
      <c r="C62" s="547"/>
      <c r="D62" s="547"/>
      <c r="E62" s="547"/>
      <c r="F62" s="547"/>
      <c r="G62" s="547"/>
      <c r="H62" s="547"/>
      <c r="I62" s="547"/>
      <c r="J62" s="547"/>
      <c r="K62" s="547"/>
      <c r="L62" s="547"/>
      <c r="M62" s="548"/>
    </row>
    <row r="63" spans="1:82" ht="5.0999999999999996" hidden="1" customHeight="1" x14ac:dyDescent="0.2">
      <c r="B63" s="49"/>
      <c r="C63" s="49"/>
      <c r="E63" s="49"/>
    </row>
    <row r="64" spans="1:82" s="32" customFormat="1" hidden="1" x14ac:dyDescent="0.2">
      <c r="A64" s="185"/>
      <c r="B64" s="50" t="s">
        <v>36</v>
      </c>
      <c r="C64" s="51"/>
      <c r="E64" s="51"/>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row>
    <row r="65" spans="1:82" s="32" customFormat="1" ht="5.0999999999999996" hidden="1" customHeight="1" thickBot="1" x14ac:dyDescent="0.25">
      <c r="A65" s="185"/>
      <c r="B65" s="51"/>
      <c r="C65" s="51"/>
      <c r="E65" s="51"/>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row>
    <row r="66" spans="1:82" s="32" customFormat="1" ht="15" hidden="1" customHeight="1" thickBot="1" x14ac:dyDescent="0.25">
      <c r="A66" s="185"/>
      <c r="B66" s="582" t="s">
        <v>37</v>
      </c>
      <c r="C66" s="582"/>
      <c r="D66" s="582"/>
      <c r="E66" s="582"/>
      <c r="F66" s="582"/>
      <c r="H66" s="583" t="s">
        <v>38</v>
      </c>
      <c r="I66" s="584"/>
      <c r="J66" s="585"/>
      <c r="L66" s="583" t="s">
        <v>39</v>
      </c>
      <c r="M66" s="585"/>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row>
    <row r="67" spans="1:82" s="32" customFormat="1" ht="45.2" hidden="1" customHeight="1" thickBot="1" x14ac:dyDescent="0.25">
      <c r="A67" s="185"/>
      <c r="B67" s="573" t="s">
        <v>40</v>
      </c>
      <c r="C67" s="574"/>
      <c r="D67" s="574"/>
      <c r="E67" s="574"/>
      <c r="F67" s="575"/>
      <c r="H67" s="576" t="s">
        <v>41</v>
      </c>
      <c r="I67" s="577"/>
      <c r="J67" s="578"/>
      <c r="K67" s="61"/>
      <c r="L67" s="576"/>
      <c r="M67" s="578"/>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row>
    <row r="68" spans="1:82" s="32" customFormat="1" ht="45.2" hidden="1" customHeight="1" thickBot="1" x14ac:dyDescent="0.25">
      <c r="A68" s="185"/>
      <c r="B68" s="573" t="s">
        <v>42</v>
      </c>
      <c r="C68" s="574"/>
      <c r="D68" s="574"/>
      <c r="E68" s="574"/>
      <c r="F68" s="575"/>
      <c r="H68" s="576" t="s">
        <v>43</v>
      </c>
      <c r="I68" s="577"/>
      <c r="J68" s="578"/>
      <c r="K68" s="61"/>
      <c r="L68" s="576"/>
      <c r="M68" s="578"/>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row>
    <row r="69" spans="1:82" s="32" customFormat="1" ht="50.25" hidden="1" customHeight="1" thickBot="1" x14ac:dyDescent="0.25">
      <c r="A69" s="185"/>
      <c r="B69" s="573" t="s">
        <v>44</v>
      </c>
      <c r="C69" s="574"/>
      <c r="D69" s="574"/>
      <c r="E69" s="574"/>
      <c r="F69" s="575"/>
      <c r="H69" s="576" t="s">
        <v>45</v>
      </c>
      <c r="I69" s="577"/>
      <c r="J69" s="578"/>
      <c r="K69" s="61"/>
      <c r="L69" s="576" t="s">
        <v>46</v>
      </c>
      <c r="M69" s="578"/>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c r="CC69"/>
      <c r="CD69"/>
    </row>
    <row r="70" spans="1:82" ht="5.0999999999999996" hidden="1" customHeight="1" x14ac:dyDescent="0.2"/>
    <row r="71" spans="1:82" hidden="1" x14ac:dyDescent="0.2">
      <c r="B71" t="s">
        <v>47</v>
      </c>
    </row>
    <row r="72" spans="1:82" ht="5.0999999999999996" hidden="1" customHeight="1" thickBot="1" x14ac:dyDescent="0.25"/>
    <row r="73" spans="1:82" s="31" customFormat="1" ht="30" hidden="1" customHeight="1" thickBot="1" x14ac:dyDescent="0.25">
      <c r="A73" s="426"/>
      <c r="B73" s="546" t="s">
        <v>48</v>
      </c>
      <c r="C73" s="547"/>
      <c r="D73" s="547"/>
      <c r="E73" s="547"/>
      <c r="F73" s="547"/>
      <c r="G73" s="547"/>
      <c r="H73" s="547"/>
      <c r="I73" s="547"/>
      <c r="J73" s="547"/>
      <c r="K73" s="547"/>
      <c r="L73" s="547"/>
      <c r="M73" s="548"/>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c r="CC73"/>
      <c r="CD73"/>
    </row>
    <row r="74" spans="1:82" ht="5.0999999999999996" hidden="1" customHeight="1" x14ac:dyDescent="0.2"/>
    <row r="75" spans="1:82" ht="5.0999999999999996" hidden="1" customHeight="1" x14ac:dyDescent="0.2"/>
    <row r="76" spans="1:82" ht="15" hidden="1" customHeight="1" x14ac:dyDescent="0.2">
      <c r="B76" s="32" t="s">
        <v>49</v>
      </c>
    </row>
    <row r="77" spans="1:82" ht="5.0999999999999996" hidden="1" customHeight="1" thickBot="1" x14ac:dyDescent="0.25"/>
    <row r="78" spans="1:82" s="31" customFormat="1" ht="30" hidden="1" customHeight="1" thickBot="1" x14ac:dyDescent="0.25">
      <c r="A78" s="426"/>
      <c r="B78" s="546" t="s">
        <v>50</v>
      </c>
      <c r="C78" s="547"/>
      <c r="D78" s="547"/>
      <c r="E78" s="547"/>
      <c r="F78" s="547"/>
      <c r="G78" s="547"/>
      <c r="H78" s="547"/>
      <c r="I78" s="547"/>
      <c r="J78" s="547"/>
      <c r="K78" s="547"/>
      <c r="L78" s="547"/>
      <c r="M78" s="548"/>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row>
    <row r="79" spans="1:82" ht="5.0999999999999996" hidden="1" customHeight="1" x14ac:dyDescent="0.2"/>
    <row r="80" spans="1:82" ht="15.75" hidden="1" thickBot="1" x14ac:dyDescent="0.25">
      <c r="B80" t="s">
        <v>51</v>
      </c>
    </row>
    <row r="81" spans="2:13" ht="27.2" hidden="1" customHeight="1" thickBot="1" x14ac:dyDescent="0.25">
      <c r="B81" s="546" t="s">
        <v>52</v>
      </c>
      <c r="C81" s="547"/>
      <c r="D81" s="547"/>
      <c r="E81" s="547"/>
      <c r="F81" s="547"/>
      <c r="G81" s="547"/>
      <c r="H81" s="547"/>
      <c r="I81" s="547"/>
      <c r="J81" s="547"/>
      <c r="K81" s="547"/>
      <c r="L81" s="547"/>
      <c r="M81" s="548"/>
    </row>
    <row r="82" spans="2:13" ht="5.0999999999999996" hidden="1" customHeight="1" x14ac:dyDescent="0.2"/>
    <row r="83" spans="2:13" hidden="1" x14ac:dyDescent="0.2">
      <c r="B83" t="s">
        <v>53</v>
      </c>
    </row>
    <row r="84" spans="2:13" ht="5.0999999999999996" hidden="1" customHeight="1" thickBot="1" x14ac:dyDescent="0.25"/>
    <row r="85" spans="2:13" ht="27.2" hidden="1" customHeight="1" thickBot="1" x14ac:dyDescent="0.25">
      <c r="B85" s="546" t="s">
        <v>54</v>
      </c>
      <c r="C85" s="547"/>
      <c r="D85" s="547"/>
      <c r="E85" s="547"/>
      <c r="F85" s="547"/>
      <c r="G85" s="547"/>
      <c r="H85" s="547"/>
      <c r="I85" s="547"/>
      <c r="J85" s="547"/>
      <c r="K85" s="547"/>
      <c r="L85" s="547"/>
      <c r="M85" s="548"/>
    </row>
    <row r="86" spans="2:13" ht="5.0999999999999996" hidden="1" customHeight="1" x14ac:dyDescent="0.2"/>
    <row r="87" spans="2:13" hidden="1" x14ac:dyDescent="0.2">
      <c r="B87" t="s">
        <v>55</v>
      </c>
    </row>
    <row r="88" spans="2:13" ht="5.0999999999999996" hidden="1" customHeight="1" thickBot="1" x14ac:dyDescent="0.25"/>
    <row r="89" spans="2:13" ht="15.75" hidden="1" thickBot="1" x14ac:dyDescent="0.25">
      <c r="B89" s="579" t="s">
        <v>56</v>
      </c>
      <c r="C89" s="580"/>
      <c r="D89" s="580"/>
      <c r="E89" s="580"/>
      <c r="F89" s="580"/>
      <c r="G89" s="580"/>
      <c r="H89" s="580"/>
      <c r="I89" s="580"/>
      <c r="J89" s="580"/>
      <c r="K89" s="580"/>
      <c r="L89" s="580"/>
      <c r="M89" s="581"/>
    </row>
    <row r="90" spans="2:13" ht="5.0999999999999996" hidden="1" customHeight="1" x14ac:dyDescent="0.2"/>
    <row r="91" spans="2:13" hidden="1" x14ac:dyDescent="0.2">
      <c r="B91" t="s">
        <v>57</v>
      </c>
    </row>
    <row r="92" spans="2:13" ht="5.0999999999999996" hidden="1" customHeight="1" thickBot="1" x14ac:dyDescent="0.25"/>
    <row r="93" spans="2:13" ht="15.75" hidden="1" thickBot="1" x14ac:dyDescent="0.25">
      <c r="B93" s="34" t="s">
        <v>58</v>
      </c>
      <c r="F93" s="546" t="s">
        <v>59</v>
      </c>
      <c r="G93" s="547"/>
      <c r="H93" s="547"/>
      <c r="I93" s="547"/>
      <c r="J93" s="547"/>
      <c r="K93" s="547"/>
      <c r="L93" s="547"/>
      <c r="M93" s="548"/>
    </row>
    <row r="94" spans="2:13" ht="5.0999999999999996" hidden="1" customHeight="1" thickBot="1" x14ac:dyDescent="0.25">
      <c r="B94" s="34"/>
    </row>
    <row r="95" spans="2:13" ht="27.2" hidden="1" customHeight="1" thickBot="1" x14ac:dyDescent="0.25">
      <c r="B95" s="34" t="s">
        <v>60</v>
      </c>
      <c r="F95" s="546" t="s">
        <v>61</v>
      </c>
      <c r="G95" s="547"/>
      <c r="H95" s="547"/>
      <c r="I95" s="547"/>
      <c r="J95" s="547"/>
      <c r="K95" s="547"/>
      <c r="L95" s="547"/>
      <c r="M95" s="548"/>
    </row>
    <row r="96" spans="2:13" ht="5.0999999999999996" hidden="1" customHeight="1" thickBot="1" x14ac:dyDescent="0.25">
      <c r="B96" s="34"/>
    </row>
    <row r="97" spans="2:13" ht="15.75" hidden="1" thickBot="1" x14ac:dyDescent="0.25">
      <c r="B97" s="34" t="s">
        <v>62</v>
      </c>
      <c r="F97" s="546" t="s">
        <v>63</v>
      </c>
      <c r="G97" s="547"/>
      <c r="H97" s="547"/>
      <c r="I97" s="547"/>
      <c r="J97" s="547"/>
      <c r="K97" s="547"/>
      <c r="L97" s="547"/>
      <c r="M97" s="548"/>
    </row>
    <row r="98" spans="2:13" ht="5.0999999999999996" hidden="1" customHeight="1" x14ac:dyDescent="0.2"/>
    <row r="99" spans="2:13" hidden="1" x14ac:dyDescent="0.2">
      <c r="B99" t="s">
        <v>64</v>
      </c>
    </row>
    <row r="100" spans="2:13" hidden="1" x14ac:dyDescent="0.2">
      <c r="B100" t="s">
        <v>65</v>
      </c>
    </row>
    <row r="101" spans="2:13" ht="5.0999999999999996" hidden="1" customHeight="1" thickBot="1" x14ac:dyDescent="0.25"/>
    <row r="102" spans="2:13" ht="15.75" hidden="1" thickBot="1" x14ac:dyDescent="0.25">
      <c r="B102" t="s">
        <v>66</v>
      </c>
      <c r="C102" s="549" t="s">
        <v>67</v>
      </c>
      <c r="D102" s="550"/>
      <c r="F102" s="55"/>
      <c r="G102" s="56"/>
      <c r="H102" s="56"/>
      <c r="I102" s="56"/>
      <c r="J102" s="56"/>
      <c r="K102" s="56"/>
      <c r="L102" s="56"/>
      <c r="M102" s="62"/>
    </row>
    <row r="103" spans="2:13" ht="5.0999999999999996" hidden="1" customHeight="1" x14ac:dyDescent="0.2">
      <c r="F103" s="57"/>
      <c r="M103" s="63"/>
    </row>
    <row r="104" spans="2:13" ht="15.75" hidden="1" thickBot="1" x14ac:dyDescent="0.25">
      <c r="B104" t="s">
        <v>68</v>
      </c>
      <c r="F104" s="58"/>
      <c r="G104" s="59"/>
      <c r="H104" s="59"/>
      <c r="I104" s="59"/>
      <c r="J104" s="59"/>
      <c r="K104" s="59"/>
      <c r="L104" s="59"/>
      <c r="M104" s="64"/>
    </row>
    <row r="105" spans="2:13" ht="5.0999999999999996" hidden="1" customHeight="1" thickBot="1" x14ac:dyDescent="0.25"/>
    <row r="106" spans="2:13" ht="15.75" hidden="1" thickBot="1" x14ac:dyDescent="0.25">
      <c r="B106" t="s">
        <v>69</v>
      </c>
      <c r="M106" s="40" t="s">
        <v>70</v>
      </c>
    </row>
    <row r="107" spans="2:13" hidden="1" x14ac:dyDescent="0.2">
      <c r="B107" t="s">
        <v>71</v>
      </c>
    </row>
    <row r="108" spans="2:13" ht="5.0999999999999996" hidden="1" customHeight="1" thickBot="1" x14ac:dyDescent="0.25"/>
    <row r="109" spans="2:13" ht="27.75" hidden="1" customHeight="1" thickBot="1" x14ac:dyDescent="0.25">
      <c r="B109" s="551" t="s">
        <v>72</v>
      </c>
      <c r="C109" s="551"/>
      <c r="D109" s="551"/>
      <c r="E109" s="551"/>
      <c r="F109" s="551"/>
      <c r="G109" s="551"/>
      <c r="H109" s="551"/>
      <c r="I109" s="551"/>
      <c r="J109" s="551"/>
      <c r="K109" s="551"/>
      <c r="L109" s="551"/>
      <c r="M109" s="65" t="e">
        <f>-+'[1]Flujos y VAN'!$M$34</f>
        <v>#REF!</v>
      </c>
    </row>
    <row r="110" spans="2:13" ht="5.0999999999999996" hidden="1" customHeight="1" thickBot="1" x14ac:dyDescent="0.25"/>
    <row r="111" spans="2:13" ht="15" hidden="1" customHeight="1" thickBot="1" x14ac:dyDescent="0.25">
      <c r="B111" s="32" t="s">
        <v>73</v>
      </c>
      <c r="M111" s="65" t="e">
        <f>+'[1]Flujos y VAN'!$W$3</f>
        <v>#REF!</v>
      </c>
    </row>
    <row r="112" spans="2:13" ht="5.0999999999999996" hidden="1" customHeight="1" x14ac:dyDescent="0.2"/>
    <row r="113" spans="2:13" ht="15.75" hidden="1" thickBot="1" x14ac:dyDescent="0.25">
      <c r="B113" t="s">
        <v>74</v>
      </c>
    </row>
    <row r="114" spans="2:13" ht="15.75" hidden="1" thickBot="1" x14ac:dyDescent="0.25">
      <c r="B114" t="s">
        <v>75</v>
      </c>
      <c r="M114" s="40" t="s">
        <v>70</v>
      </c>
    </row>
    <row r="115" spans="2:13" ht="5.0999999999999996" hidden="1" customHeight="1" x14ac:dyDescent="0.2"/>
    <row r="116" spans="2:13" ht="15.75" hidden="1" thickBot="1" x14ac:dyDescent="0.25">
      <c r="B116" t="s">
        <v>76</v>
      </c>
    </row>
    <row r="117" spans="2:13" ht="15.75" hidden="1" thickBot="1" x14ac:dyDescent="0.25">
      <c r="B117" s="41" t="s">
        <v>77</v>
      </c>
      <c r="C117" s="42"/>
      <c r="D117" s="42"/>
      <c r="E117" s="42"/>
      <c r="F117" s="42"/>
      <c r="G117" s="42"/>
      <c r="H117" s="42"/>
      <c r="I117" s="42"/>
      <c r="J117" s="42"/>
      <c r="K117" s="42"/>
      <c r="L117" s="42"/>
      <c r="M117" s="53"/>
    </row>
    <row r="118" spans="2:13" ht="5.0999999999999996" hidden="1" customHeight="1" thickBot="1" x14ac:dyDescent="0.25"/>
    <row r="119" spans="2:13" ht="15.75" hidden="1" thickBot="1" x14ac:dyDescent="0.25">
      <c r="B119" t="s">
        <v>78</v>
      </c>
      <c r="L119" s="40" t="s">
        <v>67</v>
      </c>
    </row>
    <row r="120" spans="2:13" ht="5.0999999999999996" hidden="1" customHeight="1" thickBot="1" x14ac:dyDescent="0.25"/>
    <row r="121" spans="2:13" hidden="1" x14ac:dyDescent="0.2">
      <c r="B121" t="s">
        <v>79</v>
      </c>
      <c r="J121" s="55"/>
      <c r="K121" s="56"/>
      <c r="L121" s="56"/>
      <c r="M121" s="62"/>
    </row>
    <row r="122" spans="2:13" ht="15.75" hidden="1" thickBot="1" x14ac:dyDescent="0.25">
      <c r="J122" s="58"/>
      <c r="K122" s="59"/>
      <c r="L122" s="59"/>
      <c r="M122" s="64"/>
    </row>
    <row r="123" spans="2:13" ht="5.0999999999999996" hidden="1" customHeight="1" x14ac:dyDescent="0.2"/>
    <row r="124" spans="2:13" hidden="1" x14ac:dyDescent="0.2">
      <c r="B124" t="s">
        <v>80</v>
      </c>
    </row>
    <row r="125" spans="2:13" ht="5.0999999999999996" hidden="1" customHeight="1" thickBot="1" x14ac:dyDescent="0.25"/>
    <row r="126" spans="2:13" ht="15.75" hidden="1" thickBot="1" x14ac:dyDescent="0.25">
      <c r="B126" s="43" t="s">
        <v>81</v>
      </c>
      <c r="C126" s="44"/>
      <c r="D126" s="45" t="s">
        <v>82</v>
      </c>
      <c r="E126" s="46"/>
      <c r="F126" s="46"/>
      <c r="G126" s="46"/>
      <c r="H126" s="46"/>
      <c r="I126" s="46"/>
      <c r="J126" s="46"/>
      <c r="K126" s="46"/>
      <c r="L126" s="46"/>
      <c r="M126" s="54"/>
    </row>
    <row r="127" spans="2:13" ht="15.75" hidden="1" thickBot="1" x14ac:dyDescent="0.25">
      <c r="B127" s="47"/>
      <c r="C127" s="48"/>
      <c r="D127" s="41"/>
      <c r="E127" s="60"/>
      <c r="F127" s="42"/>
      <c r="G127" s="42"/>
      <c r="H127" s="42"/>
      <c r="I127" s="42"/>
      <c r="J127" s="42"/>
      <c r="K127" s="42"/>
      <c r="L127" s="42"/>
      <c r="M127" s="53"/>
    </row>
    <row r="128" spans="2:13" ht="15.75" hidden="1" thickBot="1" x14ac:dyDescent="0.25">
      <c r="B128" s="47"/>
      <c r="C128" s="48"/>
      <c r="D128" s="41"/>
      <c r="E128" s="60"/>
      <c r="F128" s="42"/>
      <c r="G128" s="42"/>
      <c r="H128" s="42"/>
      <c r="I128" s="42"/>
      <c r="J128" s="42"/>
      <c r="K128" s="42"/>
      <c r="L128" s="42"/>
      <c r="M128" s="53"/>
    </row>
    <row r="129" spans="2:85" ht="15.75" hidden="1" thickBot="1" x14ac:dyDescent="0.25">
      <c r="B129" s="47"/>
      <c r="C129" s="48"/>
      <c r="D129" s="41"/>
      <c r="E129" s="60"/>
      <c r="F129" s="42"/>
      <c r="G129" s="42"/>
      <c r="H129" s="42"/>
      <c r="I129" s="42"/>
      <c r="J129" s="42"/>
      <c r="K129" s="42"/>
      <c r="L129" s="42"/>
      <c r="M129" s="53"/>
    </row>
    <row r="130" spans="2:85" ht="15.75" hidden="1" thickBot="1" x14ac:dyDescent="0.25">
      <c r="B130" s="47"/>
      <c r="C130" s="48"/>
      <c r="D130" s="41"/>
      <c r="E130" s="60"/>
      <c r="F130" s="42"/>
      <c r="G130" s="42"/>
      <c r="H130" s="42"/>
      <c r="I130" s="42"/>
      <c r="J130" s="42"/>
      <c r="K130" s="42"/>
      <c r="L130" s="42"/>
      <c r="M130" s="53"/>
    </row>
    <row r="131" spans="2:85" ht="9.9499999999999993" customHeight="1" x14ac:dyDescent="0.2">
      <c r="CE131" s="123"/>
      <c r="CF131" s="124"/>
      <c r="CG131" s="125"/>
    </row>
    <row r="132" spans="2:85" x14ac:dyDescent="0.2">
      <c r="B132" s="267" t="s">
        <v>83</v>
      </c>
      <c r="C132" s="267"/>
      <c r="D132" s="267"/>
      <c r="E132" s="267"/>
      <c r="F132" s="267"/>
      <c r="G132" s="267"/>
      <c r="H132" s="267"/>
      <c r="I132" s="267"/>
      <c r="J132" s="267"/>
      <c r="K132" s="267"/>
      <c r="L132" s="267"/>
      <c r="M132" s="267"/>
      <c r="N132" s="267"/>
      <c r="O132" s="267"/>
      <c r="P132" s="267"/>
      <c r="Q132" s="267"/>
      <c r="R132" s="267"/>
      <c r="S132" s="267"/>
      <c r="T132" s="267"/>
      <c r="U132" s="267"/>
      <c r="V132" s="267"/>
      <c r="W132" s="267"/>
      <c r="X132" s="267"/>
      <c r="Y132" s="267"/>
      <c r="Z132" s="267"/>
      <c r="AA132" s="267"/>
      <c r="AB132" s="267"/>
      <c r="AC132" s="267"/>
      <c r="AD132" s="267"/>
      <c r="AE132" s="267"/>
      <c r="AF132" s="267"/>
      <c r="AG132" s="267"/>
      <c r="AH132" s="267"/>
      <c r="AI132" s="267"/>
      <c r="AJ132" s="267"/>
      <c r="AK132" s="267"/>
      <c r="AL132" s="267"/>
      <c r="AM132" s="267"/>
      <c r="AN132" s="267"/>
      <c r="AO132" s="267"/>
      <c r="AP132" s="267"/>
      <c r="AQ132" s="267"/>
      <c r="AR132" s="267"/>
      <c r="AS132" s="267"/>
      <c r="AT132" s="267"/>
      <c r="AU132" s="267"/>
      <c r="AV132" s="267"/>
      <c r="AW132" s="267"/>
      <c r="AX132" s="267"/>
      <c r="AY132" s="267"/>
      <c r="AZ132" s="267"/>
      <c r="BA132" s="267"/>
      <c r="BB132" s="267"/>
      <c r="BC132" s="267"/>
      <c r="BD132" s="267"/>
      <c r="BE132" s="267"/>
      <c r="BF132" s="267"/>
      <c r="BG132" s="267"/>
      <c r="BH132" s="267"/>
      <c r="BI132" s="267"/>
      <c r="BJ132" s="267"/>
      <c r="BK132" s="267"/>
      <c r="BL132" s="267"/>
      <c r="BM132" s="267"/>
      <c r="BN132" s="267"/>
      <c r="BO132" s="267"/>
      <c r="BP132" s="267"/>
      <c r="BQ132" s="267"/>
      <c r="BR132" s="267"/>
      <c r="BS132" s="267"/>
      <c r="BT132" s="267"/>
      <c r="BU132" s="267"/>
      <c r="BV132" s="267"/>
      <c r="BW132" s="267"/>
      <c r="BX132" s="267"/>
      <c r="BY132" s="267"/>
      <c r="BZ132" s="267"/>
      <c r="CA132" s="267"/>
      <c r="CB132" s="267"/>
      <c r="CC132" s="267"/>
      <c r="CE132" s="123"/>
      <c r="CF132" s="126" t="s">
        <v>84</v>
      </c>
      <c r="CG132" s="125"/>
    </row>
    <row r="133" spans="2:85" ht="5.0999999999999996" customHeight="1" x14ac:dyDescent="0.2">
      <c r="CE133" s="127"/>
      <c r="CG133" s="128"/>
    </row>
    <row r="134" spans="2:85" ht="15" customHeight="1" x14ac:dyDescent="0.2">
      <c r="B134" s="268" t="s">
        <v>85</v>
      </c>
      <c r="C134" s="269"/>
      <c r="D134" s="269"/>
      <c r="E134" s="269"/>
      <c r="F134" s="269"/>
      <c r="G134" s="269"/>
      <c r="H134" s="269"/>
      <c r="I134" s="269"/>
      <c r="J134" s="269"/>
      <c r="K134" s="269"/>
      <c r="L134" s="287"/>
      <c r="M134" s="269"/>
      <c r="N134" s="269"/>
      <c r="O134" s="269"/>
      <c r="P134" s="269"/>
      <c r="Q134" s="291"/>
      <c r="R134" s="292"/>
      <c r="S134" s="292"/>
      <c r="T134" s="292"/>
      <c r="U134" s="292"/>
      <c r="V134" s="292"/>
      <c r="W134" s="292"/>
      <c r="X134" s="292"/>
      <c r="Y134" s="292"/>
      <c r="Z134" s="292"/>
      <c r="AA134" s="292"/>
      <c r="AB134" s="292"/>
      <c r="AC134" s="292"/>
      <c r="AD134" s="292"/>
      <c r="AE134" s="292"/>
      <c r="AF134" s="292"/>
      <c r="AG134" s="292"/>
      <c r="AH134" s="292"/>
      <c r="AI134" s="292"/>
      <c r="AJ134" s="292"/>
      <c r="AK134" s="292"/>
      <c r="AL134" s="292"/>
      <c r="AM134" s="292"/>
      <c r="AN134" s="292"/>
      <c r="AO134" s="292"/>
      <c r="AP134" s="292"/>
      <c r="AQ134" s="292"/>
      <c r="AR134" s="292"/>
      <c r="AS134" s="292"/>
      <c r="AT134" s="292"/>
      <c r="AU134" s="292"/>
      <c r="AV134" s="292"/>
      <c r="AW134" s="292"/>
      <c r="AX134" s="292"/>
      <c r="AY134" s="292"/>
      <c r="AZ134" s="292"/>
      <c r="BA134" s="292"/>
      <c r="BB134" s="292"/>
      <c r="BC134" s="292"/>
      <c r="BD134" s="292"/>
      <c r="BE134" s="292"/>
      <c r="BF134" s="292"/>
      <c r="BG134" s="292"/>
      <c r="BH134" s="292"/>
      <c r="BI134" s="292"/>
      <c r="BJ134" s="292"/>
      <c r="BK134" s="292"/>
      <c r="BL134" s="292"/>
      <c r="BM134" s="292"/>
      <c r="BN134" s="292"/>
      <c r="BO134" s="292"/>
      <c r="BP134" s="292"/>
      <c r="BQ134" s="292"/>
      <c r="BR134" s="292"/>
      <c r="BS134" s="292"/>
      <c r="BT134" s="292"/>
      <c r="BU134" s="292"/>
      <c r="BV134" s="292"/>
      <c r="BW134" s="292"/>
      <c r="BX134" s="292"/>
      <c r="BY134" s="292"/>
      <c r="BZ134" s="292"/>
      <c r="CA134" s="292"/>
      <c r="CB134" s="292"/>
      <c r="CC134" s="292"/>
      <c r="CE134" s="127"/>
      <c r="CF134" s="68" t="s">
        <v>86</v>
      </c>
      <c r="CG134" s="128"/>
    </row>
    <row r="135" spans="2:85" ht="5.0999999999999996" customHeight="1" x14ac:dyDescent="0.2">
      <c r="B135" s="68"/>
      <c r="H135" s="69"/>
      <c r="I135" s="69"/>
      <c r="J135" s="69"/>
      <c r="L135" s="104"/>
      <c r="Q135" s="120"/>
      <c r="CE135" s="127"/>
      <c r="CG135" s="128"/>
    </row>
    <row r="136" spans="2:85" ht="82.5" customHeight="1" x14ac:dyDescent="0.2">
      <c r="B136" s="270" t="s">
        <v>87</v>
      </c>
      <c r="H136" s="271" t="s">
        <v>88</v>
      </c>
      <c r="I136" s="69"/>
      <c r="K136" s="69"/>
      <c r="L136" s="69"/>
      <c r="T136" s="347"/>
      <c r="CE136" s="127"/>
      <c r="CF136" s="69" t="s">
        <v>89</v>
      </c>
      <c r="CG136" s="128"/>
    </row>
    <row r="137" spans="2:85" ht="5.0999999999999996" customHeight="1" x14ac:dyDescent="0.2">
      <c r="CE137" s="127"/>
      <c r="CG137" s="128"/>
    </row>
    <row r="138" spans="2:85" x14ac:dyDescent="0.2">
      <c r="B138" s="552" t="s">
        <v>90</v>
      </c>
      <c r="C138" s="553"/>
      <c r="D138" s="553"/>
      <c r="E138" s="553"/>
      <c r="F138" s="554"/>
      <c r="H138" s="357"/>
      <c r="J138" s="17" t="s">
        <v>91</v>
      </c>
      <c r="M138" s="288" t="s">
        <v>26</v>
      </c>
      <c r="N138" s="289"/>
      <c r="O138" s="555"/>
      <c r="P138" s="556"/>
      <c r="Q138" s="557"/>
      <c r="CE138" s="127"/>
      <c r="CF138" s="129" t="e">
        <f>+H208+H245</f>
        <v>#N/A</v>
      </c>
      <c r="CG138" s="128"/>
    </row>
    <row r="139" spans="2:85" ht="5.0999999999999996" customHeight="1" x14ac:dyDescent="0.2">
      <c r="B139" s="272"/>
      <c r="C139" s="272"/>
      <c r="D139" s="272"/>
      <c r="E139" s="272"/>
      <c r="F139" s="272"/>
      <c r="J139" s="17"/>
      <c r="M139" s="272"/>
      <c r="N139" s="272"/>
      <c r="O139" s="360"/>
      <c r="P139" s="361"/>
      <c r="Q139" s="360"/>
      <c r="CE139" s="130"/>
      <c r="CF139" s="131"/>
      <c r="CG139" s="132"/>
    </row>
    <row r="140" spans="2:85" x14ac:dyDescent="0.2">
      <c r="B140" s="552" t="s">
        <v>92</v>
      </c>
      <c r="C140" s="553"/>
      <c r="D140" s="553"/>
      <c r="E140" s="553"/>
      <c r="F140" s="554"/>
      <c r="H140" s="359"/>
      <c r="J140" s="17" t="s">
        <v>93</v>
      </c>
      <c r="M140" s="558" t="s">
        <v>94</v>
      </c>
      <c r="N140" s="559"/>
      <c r="O140" s="564"/>
      <c r="P140" s="565"/>
      <c r="Q140" s="566"/>
    </row>
    <row r="141" spans="2:85" ht="5.0999999999999996" customHeight="1" x14ac:dyDescent="0.2">
      <c r="B141" s="272"/>
      <c r="C141" s="272"/>
      <c r="D141" s="272"/>
      <c r="E141" s="272"/>
      <c r="F141" s="272"/>
      <c r="H141" s="358"/>
      <c r="M141" s="560"/>
      <c r="N141" s="561"/>
      <c r="O141" s="567"/>
      <c r="P141" s="568"/>
      <c r="Q141" s="569"/>
    </row>
    <row r="142" spans="2:85" x14ac:dyDescent="0.2">
      <c r="B142" s="552" t="s">
        <v>95</v>
      </c>
      <c r="C142" s="553"/>
      <c r="D142" s="553"/>
      <c r="E142" s="553"/>
      <c r="F142" s="554"/>
      <c r="H142" s="359"/>
      <c r="M142" s="562"/>
      <c r="N142" s="563"/>
      <c r="O142" s="570"/>
      <c r="P142" s="571"/>
      <c r="Q142" s="572"/>
    </row>
    <row r="143" spans="2:85" ht="5.0999999999999996" customHeight="1" thickBot="1" x14ac:dyDescent="0.25">
      <c r="B143" s="272"/>
      <c r="C143" s="272"/>
      <c r="D143" s="272"/>
      <c r="E143" s="272"/>
      <c r="F143" s="272"/>
      <c r="L143" s="104"/>
      <c r="M143" s="31"/>
      <c r="N143" s="31"/>
      <c r="O143" s="360"/>
      <c r="P143" s="360"/>
      <c r="Q143" s="360"/>
    </row>
    <row r="144" spans="2:85" ht="15.75" thickBot="1" x14ac:dyDescent="0.25">
      <c r="B144" s="552" t="s">
        <v>96</v>
      </c>
      <c r="C144" s="553"/>
      <c r="D144" s="553"/>
      <c r="E144" s="553"/>
      <c r="F144" s="554"/>
      <c r="H144" s="74">
        <f>(+H142-H140)/30</f>
        <v>0</v>
      </c>
      <c r="K144" s="105"/>
      <c r="L144" s="104"/>
      <c r="M144" s="552" t="s">
        <v>97</v>
      </c>
      <c r="N144" s="554"/>
      <c r="O144" s="555"/>
      <c r="P144" s="556"/>
      <c r="Q144" s="557"/>
    </row>
    <row r="145" spans="1:89" ht="5.0999999999999996" customHeight="1" x14ac:dyDescent="0.2">
      <c r="L145" s="104"/>
    </row>
    <row r="146" spans="1:89" ht="15" customHeight="1" x14ac:dyDescent="0.2">
      <c r="B146" s="269" t="s">
        <v>98</v>
      </c>
      <c r="C146" s="269"/>
      <c r="D146" s="269"/>
      <c r="E146" s="269"/>
      <c r="F146" s="269"/>
      <c r="G146" s="269"/>
      <c r="H146" s="269"/>
      <c r="I146" s="269"/>
      <c r="J146" s="287" t="s">
        <v>99</v>
      </c>
      <c r="K146" s="269"/>
      <c r="L146" s="287"/>
      <c r="M146" s="269"/>
      <c r="N146" s="269"/>
      <c r="O146" s="269"/>
      <c r="P146" s="269"/>
      <c r="Q146" s="269"/>
      <c r="R146" s="269"/>
      <c r="S146" s="269"/>
      <c r="T146" s="269"/>
      <c r="U146" s="269"/>
      <c r="V146" s="269"/>
      <c r="W146" s="269"/>
      <c r="X146" s="269"/>
      <c r="Y146" s="269"/>
      <c r="Z146" s="269"/>
      <c r="AA146" s="269"/>
      <c r="AB146" s="269"/>
      <c r="AC146" s="269"/>
      <c r="AD146" s="269"/>
      <c r="AE146" s="269"/>
      <c r="AF146" s="269"/>
      <c r="AG146" s="269"/>
      <c r="AH146" s="269"/>
      <c r="AI146" s="269"/>
      <c r="AJ146" s="269"/>
      <c r="AK146" s="269"/>
      <c r="AL146" s="269"/>
      <c r="AM146" s="269"/>
      <c r="AN146" s="269"/>
      <c r="AO146" s="269"/>
      <c r="AP146" s="269"/>
      <c r="AQ146" s="269"/>
      <c r="AR146" s="269"/>
      <c r="AS146" s="269"/>
      <c r="AT146" s="269"/>
      <c r="AU146" s="269"/>
      <c r="AV146" s="269"/>
      <c r="AW146" s="269"/>
      <c r="AX146" s="269"/>
      <c r="AY146" s="269"/>
      <c r="AZ146" s="269"/>
      <c r="BA146" s="269"/>
      <c r="BB146" s="269"/>
      <c r="BC146" s="269"/>
      <c r="BD146" s="269"/>
      <c r="BE146" s="269"/>
      <c r="BF146" s="269"/>
      <c r="BG146" s="269"/>
      <c r="BH146" s="269"/>
      <c r="BI146" s="269"/>
      <c r="BJ146" s="269"/>
      <c r="BK146" s="269"/>
      <c r="BL146" s="269"/>
      <c r="BM146" s="269"/>
      <c r="BN146" s="269"/>
      <c r="BO146" s="269"/>
      <c r="BP146" s="269"/>
      <c r="BQ146" s="269"/>
      <c r="BR146" s="269"/>
      <c r="BS146" s="269"/>
      <c r="BT146" s="269"/>
      <c r="BU146" s="269"/>
      <c r="BV146" s="269"/>
      <c r="BW146" s="269"/>
      <c r="BX146" s="269"/>
      <c r="BY146" s="269"/>
      <c r="BZ146" s="269"/>
      <c r="CA146" s="269"/>
      <c r="CB146" s="269"/>
      <c r="CC146" s="269"/>
    </row>
    <row r="147" spans="1:89" ht="5.0999999999999996" customHeight="1" x14ac:dyDescent="0.2">
      <c r="J147">
        <v>1</v>
      </c>
      <c r="K147">
        <v>2</v>
      </c>
      <c r="L147">
        <v>3</v>
      </c>
      <c r="M147">
        <v>4</v>
      </c>
      <c r="N147">
        <v>5</v>
      </c>
      <c r="O147">
        <v>6</v>
      </c>
      <c r="P147">
        <v>7</v>
      </c>
      <c r="Q147">
        <v>8</v>
      </c>
      <c r="R147">
        <v>9</v>
      </c>
      <c r="S147">
        <v>10</v>
      </c>
      <c r="T147">
        <v>11</v>
      </c>
      <c r="U147">
        <v>12</v>
      </c>
      <c r="V147">
        <v>13</v>
      </c>
      <c r="W147">
        <v>14</v>
      </c>
      <c r="X147">
        <v>15</v>
      </c>
      <c r="Y147">
        <v>16</v>
      </c>
      <c r="Z147">
        <v>17</v>
      </c>
      <c r="AA147">
        <v>18</v>
      </c>
      <c r="AB147">
        <v>19</v>
      </c>
      <c r="AC147">
        <v>20</v>
      </c>
      <c r="AD147">
        <v>21</v>
      </c>
      <c r="AE147">
        <v>22</v>
      </c>
      <c r="AF147">
        <v>23</v>
      </c>
      <c r="AG147">
        <v>24</v>
      </c>
      <c r="AH147">
        <v>25</v>
      </c>
      <c r="AI147">
        <v>26</v>
      </c>
      <c r="AJ147">
        <v>27</v>
      </c>
      <c r="AK147">
        <v>28</v>
      </c>
      <c r="AL147">
        <v>29</v>
      </c>
      <c r="AM147">
        <v>30</v>
      </c>
      <c r="AN147">
        <v>31</v>
      </c>
      <c r="AO147">
        <v>32</v>
      </c>
      <c r="AP147">
        <v>33</v>
      </c>
      <c r="AQ147">
        <v>34</v>
      </c>
      <c r="AR147">
        <v>35</v>
      </c>
      <c r="AS147">
        <v>36</v>
      </c>
      <c r="AT147">
        <v>37</v>
      </c>
      <c r="AU147">
        <v>38</v>
      </c>
      <c r="AV147">
        <v>39</v>
      </c>
      <c r="AW147">
        <v>40</v>
      </c>
      <c r="AX147">
        <v>41</v>
      </c>
      <c r="AY147">
        <v>42</v>
      </c>
      <c r="AZ147">
        <v>43</v>
      </c>
      <c r="BA147">
        <v>44</v>
      </c>
      <c r="BB147">
        <v>45</v>
      </c>
      <c r="BC147">
        <v>46</v>
      </c>
      <c r="BD147">
        <v>47</v>
      </c>
      <c r="BE147">
        <v>48</v>
      </c>
      <c r="BF147">
        <v>49</v>
      </c>
      <c r="BG147">
        <v>50</v>
      </c>
      <c r="BH147">
        <v>51</v>
      </c>
      <c r="BI147">
        <v>52</v>
      </c>
      <c r="BJ147">
        <v>53</v>
      </c>
      <c r="BK147">
        <v>54</v>
      </c>
      <c r="BL147">
        <v>55</v>
      </c>
      <c r="BM147">
        <v>56</v>
      </c>
      <c r="BN147">
        <v>57</v>
      </c>
      <c r="BO147">
        <v>58</v>
      </c>
      <c r="BP147">
        <v>59</v>
      </c>
      <c r="BQ147">
        <v>60</v>
      </c>
      <c r="BR147">
        <v>61</v>
      </c>
      <c r="BS147">
        <v>62</v>
      </c>
      <c r="BT147">
        <v>63</v>
      </c>
      <c r="BU147">
        <v>64</v>
      </c>
      <c r="BV147">
        <v>65</v>
      </c>
      <c r="BW147">
        <v>66</v>
      </c>
      <c r="BX147">
        <v>67</v>
      </c>
      <c r="BY147">
        <v>68</v>
      </c>
      <c r="BZ147">
        <v>69</v>
      </c>
      <c r="CA147">
        <v>70</v>
      </c>
      <c r="CB147">
        <v>71</v>
      </c>
      <c r="CC147">
        <v>72</v>
      </c>
    </row>
    <row r="148" spans="1:89" ht="30" customHeight="1" x14ac:dyDescent="0.2">
      <c r="F148" s="273" t="s">
        <v>100</v>
      </c>
      <c r="G148" s="69"/>
      <c r="J148" s="106" t="e">
        <f>HLOOKUP(J147,Calendarios!$C$4:$YM$5,2,FALSE)</f>
        <v>#N/A</v>
      </c>
      <c r="K148" s="106" t="e">
        <f>HLOOKUP(K147,Calendarios!$C$4:$YM$5,2,FALSE)</f>
        <v>#N/A</v>
      </c>
      <c r="L148" s="106" t="e">
        <f>HLOOKUP(L147,Calendarios!$C$4:$YM$5,2,FALSE)</f>
        <v>#N/A</v>
      </c>
      <c r="M148" s="106" t="e">
        <f>HLOOKUP(M147,Calendarios!$C$4:$YM$5,2,FALSE)</f>
        <v>#N/A</v>
      </c>
      <c r="N148" s="106" t="e">
        <f>HLOOKUP(N147,Calendarios!$C$4:$YM$5,2,FALSE)</f>
        <v>#N/A</v>
      </c>
      <c r="O148" s="106" t="e">
        <f>HLOOKUP(O147,Calendarios!$C$4:$YM$5,2,FALSE)</f>
        <v>#N/A</v>
      </c>
      <c r="P148" s="106" t="e">
        <f>HLOOKUP(P147,Calendarios!$C$4:$YM$5,2,FALSE)</f>
        <v>#N/A</v>
      </c>
      <c r="Q148" s="106" t="e">
        <f>HLOOKUP(Q147,Calendarios!$C$4:$YM$5,2,FALSE)</f>
        <v>#N/A</v>
      </c>
      <c r="R148" s="106" t="e">
        <f>HLOOKUP(R147,Calendarios!$C$4:$YM$5,2,FALSE)</f>
        <v>#N/A</v>
      </c>
      <c r="S148" s="106" t="e">
        <f>HLOOKUP(S147,Calendarios!$C$4:$YM$5,2,FALSE)</f>
        <v>#N/A</v>
      </c>
      <c r="T148" s="106" t="e">
        <f>HLOOKUP(T147,Calendarios!$C$4:$YM$5,2,FALSE)</f>
        <v>#N/A</v>
      </c>
      <c r="U148" s="106" t="e">
        <f>HLOOKUP(U147,Calendarios!$C$4:$YM$5,2,FALSE)</f>
        <v>#N/A</v>
      </c>
      <c r="V148" s="106" t="e">
        <f>HLOOKUP(V147,Calendarios!$C$4:$YM$5,2,FALSE)</f>
        <v>#N/A</v>
      </c>
      <c r="W148" s="106" t="e">
        <f>HLOOKUP(W147,Calendarios!$C$4:$YM$5,2,FALSE)</f>
        <v>#N/A</v>
      </c>
      <c r="X148" s="106" t="e">
        <f>HLOOKUP(X147,Calendarios!$C$4:$YM$5,2,FALSE)</f>
        <v>#N/A</v>
      </c>
      <c r="Y148" s="106" t="e">
        <f>HLOOKUP(Y147,Calendarios!$C$4:$YM$5,2,FALSE)</f>
        <v>#N/A</v>
      </c>
      <c r="Z148" s="106" t="e">
        <f>HLOOKUP(Z147,Calendarios!$C$4:$YM$5,2,FALSE)</f>
        <v>#N/A</v>
      </c>
      <c r="AA148" s="106" t="e">
        <f>HLOOKUP(AA147,Calendarios!$C$4:$YM$5,2,FALSE)</f>
        <v>#N/A</v>
      </c>
      <c r="AB148" s="106" t="e">
        <f>HLOOKUP(AB147,Calendarios!$C$4:$YM$5,2,FALSE)</f>
        <v>#N/A</v>
      </c>
      <c r="AC148" s="106" t="e">
        <f>HLOOKUP(AC147,Calendarios!$C$4:$YM$5,2,FALSE)</f>
        <v>#N/A</v>
      </c>
      <c r="AD148" s="106" t="e">
        <f>HLOOKUP(AD147,Calendarios!$C$4:$YM$5,2,FALSE)</f>
        <v>#N/A</v>
      </c>
      <c r="AE148" s="106" t="e">
        <f>HLOOKUP(AE147,Calendarios!$C$4:$YM$5,2,FALSE)</f>
        <v>#N/A</v>
      </c>
      <c r="AF148" s="106" t="e">
        <f>HLOOKUP(AF147,Calendarios!$C$4:$YM$5,2,FALSE)</f>
        <v>#N/A</v>
      </c>
      <c r="AG148" s="106" t="e">
        <f>HLOOKUP(AG147,Calendarios!$C$4:$YM$5,2,FALSE)</f>
        <v>#N/A</v>
      </c>
      <c r="AH148" s="106" t="e">
        <f>HLOOKUP(AH147,Calendarios!$C$4:$YM$5,2,FALSE)</f>
        <v>#N/A</v>
      </c>
      <c r="AI148" s="106" t="e">
        <f>HLOOKUP(AI147,Calendarios!$C$4:$YM$5,2,FALSE)</f>
        <v>#N/A</v>
      </c>
      <c r="AJ148" s="106" t="e">
        <f>HLOOKUP(AJ147,Calendarios!$C$4:$YM$5,2,FALSE)</f>
        <v>#N/A</v>
      </c>
      <c r="AK148" s="106" t="e">
        <f>HLOOKUP(AK147,Calendarios!$C$4:$YM$5,2,FALSE)</f>
        <v>#N/A</v>
      </c>
      <c r="AL148" s="106" t="e">
        <f>HLOOKUP(AL147,Calendarios!$C$4:$YM$5,2,FALSE)</f>
        <v>#N/A</v>
      </c>
      <c r="AM148" s="106" t="e">
        <f>HLOOKUP(AM147,Calendarios!$C$4:$YM$5,2,FALSE)</f>
        <v>#N/A</v>
      </c>
      <c r="AN148" s="106" t="e">
        <f>HLOOKUP(AN147,Calendarios!$C$4:$YM$5,2,FALSE)</f>
        <v>#N/A</v>
      </c>
      <c r="AO148" s="106" t="e">
        <f>HLOOKUP(AO147,Calendarios!$C$4:$YM$5,2,FALSE)</f>
        <v>#N/A</v>
      </c>
      <c r="AP148" s="106" t="e">
        <f>HLOOKUP(AP147,Calendarios!$C$4:$YM$5,2,FALSE)</f>
        <v>#N/A</v>
      </c>
      <c r="AQ148" s="106" t="e">
        <f>HLOOKUP(AQ147,Calendarios!$C$4:$YM$5,2,FALSE)</f>
        <v>#N/A</v>
      </c>
      <c r="AR148" s="106" t="e">
        <f>HLOOKUP(AR147,Calendarios!$C$4:$YM$5,2,FALSE)</f>
        <v>#N/A</v>
      </c>
      <c r="AS148" s="106" t="e">
        <f>HLOOKUP(AS147,Calendarios!$C$4:$YM$5,2,FALSE)</f>
        <v>#N/A</v>
      </c>
      <c r="AT148" s="106" t="e">
        <f>HLOOKUP(AT147,Calendarios!$C$4:$YM$5,2,FALSE)</f>
        <v>#N/A</v>
      </c>
      <c r="AU148" s="106" t="e">
        <f>HLOOKUP(AU147,Calendarios!$C$4:$YM$5,2,FALSE)</f>
        <v>#N/A</v>
      </c>
      <c r="AV148" s="106" t="e">
        <f>HLOOKUP(AV147,Calendarios!$C$4:$YM$5,2,FALSE)</f>
        <v>#N/A</v>
      </c>
      <c r="AW148" s="106" t="e">
        <f>HLOOKUP(AW147,Calendarios!$C$4:$YM$5,2,FALSE)</f>
        <v>#N/A</v>
      </c>
      <c r="AX148" s="106" t="e">
        <f>HLOOKUP(AX147,Calendarios!$C$4:$YM$5,2,FALSE)</f>
        <v>#N/A</v>
      </c>
      <c r="AY148" s="106" t="e">
        <f>HLOOKUP(AY147,Calendarios!$C$4:$YM$5,2,FALSE)</f>
        <v>#N/A</v>
      </c>
      <c r="AZ148" s="106" t="e">
        <f>HLOOKUP(AZ147,Calendarios!$C$4:$YM$5,2,FALSE)</f>
        <v>#N/A</v>
      </c>
      <c r="BA148" s="106" t="e">
        <f>HLOOKUP(BA147,Calendarios!$C$4:$YM$5,2,FALSE)</f>
        <v>#N/A</v>
      </c>
      <c r="BB148" s="106" t="e">
        <f>HLOOKUP(BB147,Calendarios!$C$4:$YM$5,2,FALSE)</f>
        <v>#N/A</v>
      </c>
      <c r="BC148" s="106" t="e">
        <f>HLOOKUP(BC147,Calendarios!$C$4:$YM$5,2,FALSE)</f>
        <v>#N/A</v>
      </c>
      <c r="BD148" s="106" t="e">
        <f>HLOOKUP(BD147,Calendarios!$C$4:$YM$5,2,FALSE)</f>
        <v>#N/A</v>
      </c>
      <c r="BE148" s="106" t="e">
        <f>HLOOKUP(BE147,Calendarios!$C$4:$YM$5,2,FALSE)</f>
        <v>#N/A</v>
      </c>
      <c r="BF148" s="106" t="e">
        <f>HLOOKUP(BF147,Calendarios!$C$4:$YM$5,2,FALSE)</f>
        <v>#N/A</v>
      </c>
      <c r="BG148" s="106" t="e">
        <f>HLOOKUP(BG147,Calendarios!$C$4:$YM$5,2,FALSE)</f>
        <v>#N/A</v>
      </c>
      <c r="BH148" s="106" t="e">
        <f>HLOOKUP(BH147,Calendarios!$C$4:$YM$5,2,FALSE)</f>
        <v>#N/A</v>
      </c>
      <c r="BI148" s="106" t="e">
        <f>HLOOKUP(BI147,Calendarios!$C$4:$YM$5,2,FALSE)</f>
        <v>#N/A</v>
      </c>
      <c r="BJ148" s="106" t="e">
        <f>HLOOKUP(BJ147,Calendarios!$C$4:$YM$5,2,FALSE)</f>
        <v>#N/A</v>
      </c>
      <c r="BK148" s="106" t="e">
        <f>HLOOKUP(BK147,Calendarios!$C$4:$YM$5,2,FALSE)</f>
        <v>#N/A</v>
      </c>
      <c r="BL148" s="106" t="e">
        <f>HLOOKUP(BL147,Calendarios!$C$4:$YM$5,2,FALSE)</f>
        <v>#N/A</v>
      </c>
      <c r="BM148" s="106" t="e">
        <f>HLOOKUP(BM147,Calendarios!$C$4:$YM$5,2,FALSE)</f>
        <v>#N/A</v>
      </c>
      <c r="BN148" s="106" t="e">
        <f>HLOOKUP(BN147,Calendarios!$C$4:$YM$5,2,FALSE)</f>
        <v>#N/A</v>
      </c>
      <c r="BO148" s="106" t="e">
        <f>HLOOKUP(BO147,Calendarios!$C$4:$YM$5,2,FALSE)</f>
        <v>#N/A</v>
      </c>
      <c r="BP148" s="106" t="e">
        <f>HLOOKUP(BP147,Calendarios!$C$4:$YM$5,2,FALSE)</f>
        <v>#N/A</v>
      </c>
      <c r="BQ148" s="106" t="e">
        <f>HLOOKUP(BQ147,Calendarios!$C$4:$YM$5,2,FALSE)</f>
        <v>#N/A</v>
      </c>
      <c r="BR148" s="106" t="e">
        <f>HLOOKUP(BR147,Calendarios!$C$4:$YM$5,2,FALSE)</f>
        <v>#N/A</v>
      </c>
      <c r="BS148" s="106" t="e">
        <f>HLOOKUP(BS147,Calendarios!$C$4:$YM$5,2,FALSE)</f>
        <v>#N/A</v>
      </c>
      <c r="BT148" s="106" t="e">
        <f>HLOOKUP(BT147,Calendarios!$C$4:$YM$5,2,FALSE)</f>
        <v>#N/A</v>
      </c>
      <c r="BU148" s="106" t="e">
        <f>HLOOKUP(BU147,Calendarios!$C$4:$YM$5,2,FALSE)</f>
        <v>#N/A</v>
      </c>
      <c r="BV148" s="106" t="e">
        <f>HLOOKUP(BV147,Calendarios!$C$4:$YM$5,2,FALSE)</f>
        <v>#N/A</v>
      </c>
      <c r="BW148" s="106" t="e">
        <f>HLOOKUP(BW147,Calendarios!$C$4:$YM$5,2,FALSE)</f>
        <v>#N/A</v>
      </c>
      <c r="BX148" s="106" t="e">
        <f>HLOOKUP(BX147,Calendarios!$C$4:$YM$5,2,FALSE)</f>
        <v>#N/A</v>
      </c>
      <c r="BY148" s="106" t="e">
        <f>HLOOKUP(BY147,Calendarios!$C$4:$YM$5,2,FALSE)</f>
        <v>#N/A</v>
      </c>
      <c r="BZ148" s="106" t="e">
        <f>HLOOKUP(BZ147,Calendarios!$C$4:$YM$5,2,FALSE)</f>
        <v>#N/A</v>
      </c>
      <c r="CA148" s="106" t="e">
        <f>HLOOKUP(CA147,Calendarios!$C$4:$YM$5,2,FALSE)</f>
        <v>#N/A</v>
      </c>
      <c r="CB148" s="106" t="e">
        <f>HLOOKUP(CB147,Calendarios!$C$4:$YM$5,2,FALSE)</f>
        <v>#N/A</v>
      </c>
      <c r="CC148" s="106" t="e">
        <f>HLOOKUP(CC147,Calendarios!$C$4:$YM$5,2,FALSE)</f>
        <v>#N/A</v>
      </c>
    </row>
    <row r="149" spans="1:89" ht="5.0999999999999996" customHeight="1" x14ac:dyDescent="0.2">
      <c r="J149" s="32"/>
      <c r="K149" s="32"/>
      <c r="L149" s="32"/>
      <c r="M149" s="32"/>
      <c r="N149" s="32"/>
      <c r="O149" s="32"/>
      <c r="P149" s="32"/>
      <c r="Q149" s="32"/>
      <c r="R149" s="32"/>
      <c r="S149" s="32"/>
      <c r="T149" s="32"/>
      <c r="U149" s="32"/>
      <c r="V149" s="32"/>
      <c r="W149" s="32"/>
      <c r="X149" s="32"/>
      <c r="Y149" s="32"/>
      <c r="Z149" s="32"/>
      <c r="AA149" s="32"/>
      <c r="AB149" s="32"/>
      <c r="AC149" s="32"/>
      <c r="AD149" s="32"/>
      <c r="AE149" s="32"/>
      <c r="AF149" s="32"/>
      <c r="AG149" s="32"/>
      <c r="AH149" s="32"/>
      <c r="AI149" s="32"/>
      <c r="AJ149" s="32"/>
      <c r="AK149" s="32"/>
      <c r="AL149" s="32"/>
      <c r="AM149" s="32"/>
      <c r="AN149" s="32"/>
      <c r="AO149" s="32"/>
      <c r="AP149" s="32"/>
      <c r="AQ149" s="32"/>
      <c r="AR149" s="32"/>
      <c r="AS149" s="32"/>
      <c r="AT149" s="32"/>
      <c r="AU149" s="32"/>
      <c r="AV149" s="32"/>
      <c r="AW149" s="32"/>
      <c r="AX149" s="32"/>
      <c r="AY149" s="32"/>
      <c r="AZ149" s="32"/>
      <c r="BA149" s="32"/>
      <c r="BB149" s="32"/>
      <c r="BC149" s="32"/>
      <c r="BD149" s="32"/>
      <c r="BE149" s="32"/>
      <c r="BF149" s="32"/>
      <c r="BG149" s="32"/>
      <c r="BH149" s="32"/>
      <c r="BI149" s="32"/>
      <c r="BJ149" s="32"/>
      <c r="BK149" s="32"/>
      <c r="BL149" s="32"/>
      <c r="BM149" s="32"/>
      <c r="BN149" s="32"/>
      <c r="BO149" s="32"/>
      <c r="BP149" s="32"/>
      <c r="BQ149" s="32"/>
      <c r="BR149" s="32"/>
      <c r="BS149" s="32"/>
      <c r="BT149" s="32"/>
      <c r="BU149" s="32"/>
      <c r="BV149" s="32"/>
      <c r="BW149" s="32"/>
      <c r="BX149" s="32"/>
      <c r="BY149" s="32"/>
      <c r="BZ149" s="32"/>
      <c r="CA149" s="32"/>
      <c r="CB149" s="32"/>
      <c r="CC149" s="32"/>
    </row>
    <row r="150" spans="1:89" x14ac:dyDescent="0.2">
      <c r="B150" s="274" t="s">
        <v>101</v>
      </c>
      <c r="C150" s="275"/>
      <c r="D150" s="276"/>
      <c r="F150" s="74" t="e">
        <f>HLOOKUP(H140,'IPIM y USD'!$C$6:$NN$9,3,FALSE)</f>
        <v>#N/A</v>
      </c>
      <c r="J150" s="107" t="e">
        <f>+$F$150</f>
        <v>#N/A</v>
      </c>
      <c r="K150" s="107" t="e">
        <f>+$F$150</f>
        <v>#N/A</v>
      </c>
      <c r="L150" s="107" t="e">
        <f>+$F$150</f>
        <v>#N/A</v>
      </c>
      <c r="M150" s="107" t="e">
        <f t="shared" ref="M150:BX150" si="0">+$F$150</f>
        <v>#N/A</v>
      </c>
      <c r="N150" s="107" t="e">
        <f t="shared" si="0"/>
        <v>#N/A</v>
      </c>
      <c r="O150" s="107" t="e">
        <f t="shared" si="0"/>
        <v>#N/A</v>
      </c>
      <c r="P150" s="107" t="e">
        <f t="shared" si="0"/>
        <v>#N/A</v>
      </c>
      <c r="Q150" s="107" t="e">
        <f t="shared" si="0"/>
        <v>#N/A</v>
      </c>
      <c r="R150" s="107" t="e">
        <f t="shared" si="0"/>
        <v>#N/A</v>
      </c>
      <c r="S150" s="107" t="e">
        <f t="shared" si="0"/>
        <v>#N/A</v>
      </c>
      <c r="T150" s="107" t="e">
        <f t="shared" si="0"/>
        <v>#N/A</v>
      </c>
      <c r="U150" s="107" t="e">
        <f t="shared" si="0"/>
        <v>#N/A</v>
      </c>
      <c r="V150" s="107" t="e">
        <f t="shared" si="0"/>
        <v>#N/A</v>
      </c>
      <c r="W150" s="107" t="e">
        <f t="shared" si="0"/>
        <v>#N/A</v>
      </c>
      <c r="X150" s="107" t="e">
        <f t="shared" si="0"/>
        <v>#N/A</v>
      </c>
      <c r="Y150" s="107" t="e">
        <f t="shared" si="0"/>
        <v>#N/A</v>
      </c>
      <c r="Z150" s="107" t="e">
        <f t="shared" si="0"/>
        <v>#N/A</v>
      </c>
      <c r="AA150" s="107" t="e">
        <f t="shared" si="0"/>
        <v>#N/A</v>
      </c>
      <c r="AB150" s="107" t="e">
        <f t="shared" si="0"/>
        <v>#N/A</v>
      </c>
      <c r="AC150" s="107" t="e">
        <f t="shared" si="0"/>
        <v>#N/A</v>
      </c>
      <c r="AD150" s="107" t="e">
        <f t="shared" si="0"/>
        <v>#N/A</v>
      </c>
      <c r="AE150" s="107" t="e">
        <f t="shared" si="0"/>
        <v>#N/A</v>
      </c>
      <c r="AF150" s="107" t="e">
        <f t="shared" si="0"/>
        <v>#N/A</v>
      </c>
      <c r="AG150" s="107" t="e">
        <f t="shared" si="0"/>
        <v>#N/A</v>
      </c>
      <c r="AH150" s="107" t="e">
        <f t="shared" si="0"/>
        <v>#N/A</v>
      </c>
      <c r="AI150" s="107" t="e">
        <f t="shared" si="0"/>
        <v>#N/A</v>
      </c>
      <c r="AJ150" s="107" t="e">
        <f t="shared" si="0"/>
        <v>#N/A</v>
      </c>
      <c r="AK150" s="107" t="e">
        <f t="shared" si="0"/>
        <v>#N/A</v>
      </c>
      <c r="AL150" s="107" t="e">
        <f t="shared" si="0"/>
        <v>#N/A</v>
      </c>
      <c r="AM150" s="107" t="e">
        <f t="shared" si="0"/>
        <v>#N/A</v>
      </c>
      <c r="AN150" s="107" t="e">
        <f t="shared" si="0"/>
        <v>#N/A</v>
      </c>
      <c r="AO150" s="107" t="e">
        <f t="shared" si="0"/>
        <v>#N/A</v>
      </c>
      <c r="AP150" s="107" t="e">
        <f t="shared" si="0"/>
        <v>#N/A</v>
      </c>
      <c r="AQ150" s="107" t="e">
        <f t="shared" si="0"/>
        <v>#N/A</v>
      </c>
      <c r="AR150" s="107" t="e">
        <f t="shared" si="0"/>
        <v>#N/A</v>
      </c>
      <c r="AS150" s="107" t="e">
        <f t="shared" si="0"/>
        <v>#N/A</v>
      </c>
      <c r="AT150" s="107" t="e">
        <f t="shared" si="0"/>
        <v>#N/A</v>
      </c>
      <c r="AU150" s="107" t="e">
        <f t="shared" si="0"/>
        <v>#N/A</v>
      </c>
      <c r="AV150" s="107" t="e">
        <f t="shared" si="0"/>
        <v>#N/A</v>
      </c>
      <c r="AW150" s="107" t="e">
        <f t="shared" si="0"/>
        <v>#N/A</v>
      </c>
      <c r="AX150" s="107" t="e">
        <f t="shared" si="0"/>
        <v>#N/A</v>
      </c>
      <c r="AY150" s="107" t="e">
        <f t="shared" si="0"/>
        <v>#N/A</v>
      </c>
      <c r="AZ150" s="107" t="e">
        <f t="shared" si="0"/>
        <v>#N/A</v>
      </c>
      <c r="BA150" s="107" t="e">
        <f t="shared" si="0"/>
        <v>#N/A</v>
      </c>
      <c r="BB150" s="107" t="e">
        <f t="shared" si="0"/>
        <v>#N/A</v>
      </c>
      <c r="BC150" s="107" t="e">
        <f t="shared" si="0"/>
        <v>#N/A</v>
      </c>
      <c r="BD150" s="107" t="e">
        <f t="shared" si="0"/>
        <v>#N/A</v>
      </c>
      <c r="BE150" s="107" t="e">
        <f t="shared" si="0"/>
        <v>#N/A</v>
      </c>
      <c r="BF150" s="107" t="e">
        <f t="shared" si="0"/>
        <v>#N/A</v>
      </c>
      <c r="BG150" s="107" t="e">
        <f t="shared" si="0"/>
        <v>#N/A</v>
      </c>
      <c r="BH150" s="107" t="e">
        <f t="shared" si="0"/>
        <v>#N/A</v>
      </c>
      <c r="BI150" s="107" t="e">
        <f t="shared" si="0"/>
        <v>#N/A</v>
      </c>
      <c r="BJ150" s="107" t="e">
        <f t="shared" si="0"/>
        <v>#N/A</v>
      </c>
      <c r="BK150" s="107" t="e">
        <f t="shared" si="0"/>
        <v>#N/A</v>
      </c>
      <c r="BL150" s="107" t="e">
        <f t="shared" si="0"/>
        <v>#N/A</v>
      </c>
      <c r="BM150" s="107" t="e">
        <f t="shared" si="0"/>
        <v>#N/A</v>
      </c>
      <c r="BN150" s="107" t="e">
        <f t="shared" si="0"/>
        <v>#N/A</v>
      </c>
      <c r="BO150" s="107" t="e">
        <f t="shared" si="0"/>
        <v>#N/A</v>
      </c>
      <c r="BP150" s="107" t="e">
        <f t="shared" si="0"/>
        <v>#N/A</v>
      </c>
      <c r="BQ150" s="107" t="e">
        <f t="shared" si="0"/>
        <v>#N/A</v>
      </c>
      <c r="BR150" s="107" t="e">
        <f t="shared" si="0"/>
        <v>#N/A</v>
      </c>
      <c r="BS150" s="107" t="e">
        <f t="shared" si="0"/>
        <v>#N/A</v>
      </c>
      <c r="BT150" s="107" t="e">
        <f t="shared" si="0"/>
        <v>#N/A</v>
      </c>
      <c r="BU150" s="107" t="e">
        <f t="shared" si="0"/>
        <v>#N/A</v>
      </c>
      <c r="BV150" s="107" t="e">
        <f t="shared" si="0"/>
        <v>#N/A</v>
      </c>
      <c r="BW150" s="107" t="e">
        <f t="shared" si="0"/>
        <v>#N/A</v>
      </c>
      <c r="BX150" s="107" t="e">
        <f t="shared" si="0"/>
        <v>#N/A</v>
      </c>
      <c r="BY150" s="107" t="e">
        <f t="shared" ref="BY150:CC150" si="1">+$F$150</f>
        <v>#N/A</v>
      </c>
      <c r="BZ150" s="107" t="e">
        <f t="shared" si="1"/>
        <v>#N/A</v>
      </c>
      <c r="CA150" s="107" t="e">
        <f t="shared" si="1"/>
        <v>#N/A</v>
      </c>
      <c r="CB150" s="107" t="e">
        <f t="shared" si="1"/>
        <v>#N/A</v>
      </c>
      <c r="CC150" s="107" t="e">
        <f t="shared" si="1"/>
        <v>#N/A</v>
      </c>
    </row>
    <row r="151" spans="1:89" ht="5.0999999999999996" customHeight="1" x14ac:dyDescent="0.2">
      <c r="B151" s="20"/>
      <c r="C151" s="20"/>
      <c r="D151" s="20"/>
      <c r="F151" s="80"/>
    </row>
    <row r="152" spans="1:89" x14ac:dyDescent="0.2">
      <c r="B152" s="274" t="s">
        <v>102</v>
      </c>
      <c r="C152" s="275"/>
      <c r="D152" s="276"/>
      <c r="F152" s="81" t="e">
        <f>HLOOKUP(H140,'IPIM y USD'!$C$15:$NN$17,3,FALSE)</f>
        <v>#N/A</v>
      </c>
      <c r="J152" s="108" t="e">
        <f>+$F$152</f>
        <v>#N/A</v>
      </c>
      <c r="K152" s="108" t="e">
        <f t="shared" ref="K152:BV152" si="2">+$F$152</f>
        <v>#N/A</v>
      </c>
      <c r="L152" s="108" t="e">
        <f t="shared" si="2"/>
        <v>#N/A</v>
      </c>
      <c r="M152" s="108" t="e">
        <f t="shared" si="2"/>
        <v>#N/A</v>
      </c>
      <c r="N152" s="108" t="e">
        <f t="shared" si="2"/>
        <v>#N/A</v>
      </c>
      <c r="O152" s="108" t="e">
        <f t="shared" si="2"/>
        <v>#N/A</v>
      </c>
      <c r="P152" s="108" t="e">
        <f t="shared" si="2"/>
        <v>#N/A</v>
      </c>
      <c r="Q152" s="108" t="e">
        <f t="shared" si="2"/>
        <v>#N/A</v>
      </c>
      <c r="R152" s="108" t="e">
        <f t="shared" si="2"/>
        <v>#N/A</v>
      </c>
      <c r="S152" s="108" t="e">
        <f t="shared" si="2"/>
        <v>#N/A</v>
      </c>
      <c r="T152" s="108" t="e">
        <f t="shared" si="2"/>
        <v>#N/A</v>
      </c>
      <c r="U152" s="108" t="e">
        <f t="shared" si="2"/>
        <v>#N/A</v>
      </c>
      <c r="V152" s="108" t="e">
        <f t="shared" si="2"/>
        <v>#N/A</v>
      </c>
      <c r="W152" s="108" t="e">
        <f t="shared" si="2"/>
        <v>#N/A</v>
      </c>
      <c r="X152" s="108" t="e">
        <f t="shared" si="2"/>
        <v>#N/A</v>
      </c>
      <c r="Y152" s="108" t="e">
        <f t="shared" si="2"/>
        <v>#N/A</v>
      </c>
      <c r="Z152" s="108" t="e">
        <f t="shared" si="2"/>
        <v>#N/A</v>
      </c>
      <c r="AA152" s="108" t="e">
        <f t="shared" si="2"/>
        <v>#N/A</v>
      </c>
      <c r="AB152" s="108" t="e">
        <f t="shared" si="2"/>
        <v>#N/A</v>
      </c>
      <c r="AC152" s="108" t="e">
        <f t="shared" si="2"/>
        <v>#N/A</v>
      </c>
      <c r="AD152" s="108" t="e">
        <f t="shared" si="2"/>
        <v>#N/A</v>
      </c>
      <c r="AE152" s="108" t="e">
        <f t="shared" si="2"/>
        <v>#N/A</v>
      </c>
      <c r="AF152" s="108" t="e">
        <f t="shared" si="2"/>
        <v>#N/A</v>
      </c>
      <c r="AG152" s="108" t="e">
        <f t="shared" si="2"/>
        <v>#N/A</v>
      </c>
      <c r="AH152" s="108" t="e">
        <f t="shared" si="2"/>
        <v>#N/A</v>
      </c>
      <c r="AI152" s="108" t="e">
        <f t="shared" si="2"/>
        <v>#N/A</v>
      </c>
      <c r="AJ152" s="108" t="e">
        <f t="shared" si="2"/>
        <v>#N/A</v>
      </c>
      <c r="AK152" s="108" t="e">
        <f t="shared" si="2"/>
        <v>#N/A</v>
      </c>
      <c r="AL152" s="108" t="e">
        <f t="shared" si="2"/>
        <v>#N/A</v>
      </c>
      <c r="AM152" s="108" t="e">
        <f t="shared" si="2"/>
        <v>#N/A</v>
      </c>
      <c r="AN152" s="108" t="e">
        <f t="shared" si="2"/>
        <v>#N/A</v>
      </c>
      <c r="AO152" s="108" t="e">
        <f t="shared" si="2"/>
        <v>#N/A</v>
      </c>
      <c r="AP152" s="108" t="e">
        <f t="shared" si="2"/>
        <v>#N/A</v>
      </c>
      <c r="AQ152" s="108" t="e">
        <f t="shared" si="2"/>
        <v>#N/A</v>
      </c>
      <c r="AR152" s="108" t="e">
        <f t="shared" si="2"/>
        <v>#N/A</v>
      </c>
      <c r="AS152" s="108" t="e">
        <f t="shared" si="2"/>
        <v>#N/A</v>
      </c>
      <c r="AT152" s="108" t="e">
        <f t="shared" si="2"/>
        <v>#N/A</v>
      </c>
      <c r="AU152" s="108" t="e">
        <f t="shared" si="2"/>
        <v>#N/A</v>
      </c>
      <c r="AV152" s="108" t="e">
        <f t="shared" si="2"/>
        <v>#N/A</v>
      </c>
      <c r="AW152" s="108" t="e">
        <f t="shared" si="2"/>
        <v>#N/A</v>
      </c>
      <c r="AX152" s="108" t="e">
        <f t="shared" si="2"/>
        <v>#N/A</v>
      </c>
      <c r="AY152" s="108" t="e">
        <f t="shared" si="2"/>
        <v>#N/A</v>
      </c>
      <c r="AZ152" s="108" t="e">
        <f t="shared" si="2"/>
        <v>#N/A</v>
      </c>
      <c r="BA152" s="108" t="e">
        <f t="shared" si="2"/>
        <v>#N/A</v>
      </c>
      <c r="BB152" s="108" t="e">
        <f t="shared" si="2"/>
        <v>#N/A</v>
      </c>
      <c r="BC152" s="108" t="e">
        <f t="shared" si="2"/>
        <v>#N/A</v>
      </c>
      <c r="BD152" s="108" t="e">
        <f t="shared" si="2"/>
        <v>#N/A</v>
      </c>
      <c r="BE152" s="108" t="e">
        <f t="shared" si="2"/>
        <v>#N/A</v>
      </c>
      <c r="BF152" s="108" t="e">
        <f t="shared" si="2"/>
        <v>#N/A</v>
      </c>
      <c r="BG152" s="108" t="e">
        <f t="shared" si="2"/>
        <v>#N/A</v>
      </c>
      <c r="BH152" s="108" t="e">
        <f t="shared" si="2"/>
        <v>#N/A</v>
      </c>
      <c r="BI152" s="108" t="e">
        <f t="shared" si="2"/>
        <v>#N/A</v>
      </c>
      <c r="BJ152" s="108" t="e">
        <f t="shared" si="2"/>
        <v>#N/A</v>
      </c>
      <c r="BK152" s="108" t="e">
        <f t="shared" si="2"/>
        <v>#N/A</v>
      </c>
      <c r="BL152" s="108" t="e">
        <f t="shared" si="2"/>
        <v>#N/A</v>
      </c>
      <c r="BM152" s="108" t="e">
        <f t="shared" si="2"/>
        <v>#N/A</v>
      </c>
      <c r="BN152" s="108" t="e">
        <f t="shared" si="2"/>
        <v>#N/A</v>
      </c>
      <c r="BO152" s="108" t="e">
        <f t="shared" si="2"/>
        <v>#N/A</v>
      </c>
      <c r="BP152" s="108" t="e">
        <f t="shared" si="2"/>
        <v>#N/A</v>
      </c>
      <c r="BQ152" s="108" t="e">
        <f t="shared" si="2"/>
        <v>#N/A</v>
      </c>
      <c r="BR152" s="108" t="e">
        <f t="shared" si="2"/>
        <v>#N/A</v>
      </c>
      <c r="BS152" s="108" t="e">
        <f t="shared" si="2"/>
        <v>#N/A</v>
      </c>
      <c r="BT152" s="108" t="e">
        <f t="shared" si="2"/>
        <v>#N/A</v>
      </c>
      <c r="BU152" s="108" t="e">
        <f t="shared" si="2"/>
        <v>#N/A</v>
      </c>
      <c r="BV152" s="108" t="e">
        <f t="shared" si="2"/>
        <v>#N/A</v>
      </c>
      <c r="BW152" s="108" t="e">
        <f t="shared" ref="BW152:CC152" si="3">+$F$152</f>
        <v>#N/A</v>
      </c>
      <c r="BX152" s="108" t="e">
        <f t="shared" si="3"/>
        <v>#N/A</v>
      </c>
      <c r="BY152" s="108" t="e">
        <f t="shared" si="3"/>
        <v>#N/A</v>
      </c>
      <c r="BZ152" s="108" t="e">
        <f t="shared" si="3"/>
        <v>#N/A</v>
      </c>
      <c r="CA152" s="108" t="e">
        <f t="shared" si="3"/>
        <v>#N/A</v>
      </c>
      <c r="CB152" s="108" t="e">
        <f t="shared" si="3"/>
        <v>#N/A</v>
      </c>
      <c r="CC152" s="108" t="e">
        <f t="shared" si="3"/>
        <v>#N/A</v>
      </c>
    </row>
    <row r="153" spans="1:89" s="32" customFormat="1" ht="5.0999999999999996" customHeight="1" x14ac:dyDescent="0.2">
      <c r="A153" s="185"/>
      <c r="CE153"/>
      <c r="CF153"/>
      <c r="CG153"/>
    </row>
    <row r="154" spans="1:89" s="20" customFormat="1" ht="30" customHeight="1" x14ac:dyDescent="0.2">
      <c r="A154" s="427"/>
      <c r="B154" s="277" t="s">
        <v>103</v>
      </c>
      <c r="C154" s="269"/>
      <c r="D154" s="269"/>
      <c r="E154" s="269"/>
      <c r="F154" s="269"/>
      <c r="G154" s="269"/>
      <c r="H154" s="269"/>
      <c r="I154" s="269"/>
      <c r="J154" s="287"/>
      <c r="K154" s="269"/>
      <c r="L154" s="539" t="s">
        <v>104</v>
      </c>
      <c r="M154" s="539"/>
      <c r="N154" s="539"/>
      <c r="O154" s="539"/>
      <c r="P154" s="540"/>
      <c r="Q154" s="541" t="s">
        <v>105</v>
      </c>
      <c r="R154" s="542"/>
      <c r="S154" s="293"/>
      <c r="T154" s="269"/>
      <c r="U154" s="269"/>
      <c r="V154" s="269"/>
      <c r="W154" s="269"/>
      <c r="X154" s="269"/>
      <c r="Y154" s="269"/>
      <c r="Z154" s="269"/>
      <c r="AA154" s="269"/>
      <c r="AB154" s="269"/>
      <c r="AC154" s="269"/>
      <c r="AD154" s="269"/>
      <c r="AE154" s="269"/>
      <c r="AF154" s="269"/>
      <c r="AG154" s="269"/>
      <c r="AH154" s="269"/>
      <c r="AI154" s="269"/>
      <c r="AJ154" s="269"/>
      <c r="AK154" s="269"/>
      <c r="AL154" s="269"/>
      <c r="AM154" s="269"/>
      <c r="AN154" s="269"/>
      <c r="AO154" s="269"/>
      <c r="AP154" s="269"/>
      <c r="AQ154" s="269"/>
      <c r="AR154" s="269"/>
      <c r="AS154" s="269"/>
      <c r="AT154" s="269"/>
      <c r="AU154" s="269"/>
      <c r="AV154" s="269"/>
      <c r="AW154" s="269"/>
      <c r="AX154" s="269"/>
      <c r="AY154" s="269"/>
      <c r="AZ154" s="269"/>
      <c r="BA154" s="269"/>
      <c r="BB154" s="269"/>
      <c r="BC154" s="269"/>
      <c r="BD154" s="269"/>
      <c r="BE154" s="269"/>
      <c r="BF154" s="269"/>
      <c r="BG154" s="269"/>
      <c r="BH154" s="269"/>
      <c r="BI154" s="269"/>
      <c r="BJ154" s="269"/>
      <c r="BK154" s="269"/>
      <c r="BL154" s="269"/>
      <c r="BM154" s="269"/>
      <c r="BN154" s="269"/>
      <c r="BO154" s="269"/>
      <c r="BP154" s="269"/>
      <c r="BQ154" s="269"/>
      <c r="BR154" s="269"/>
      <c r="BS154" s="269"/>
      <c r="BT154" s="269"/>
      <c r="BU154" s="269"/>
      <c r="BV154" s="269"/>
      <c r="BW154" s="269"/>
      <c r="BX154" s="269"/>
      <c r="BY154" s="269"/>
      <c r="BZ154" s="269"/>
      <c r="CA154" s="269"/>
      <c r="CB154" s="269"/>
      <c r="CC154" s="269"/>
    </row>
    <row r="155" spans="1:89" ht="5.0999999999999996" customHeight="1" thickBot="1" x14ac:dyDescent="0.25"/>
    <row r="156" spans="1:89" s="32" customFormat="1" ht="33.950000000000003" customHeight="1" thickBot="1" x14ac:dyDescent="0.25">
      <c r="A156" s="185"/>
      <c r="B156" s="278" t="s">
        <v>106</v>
      </c>
      <c r="C156" s="272"/>
      <c r="D156" s="273" t="s">
        <v>107</v>
      </c>
      <c r="E156" s="272"/>
      <c r="F156" s="273" t="s">
        <v>108</v>
      </c>
      <c r="G156" s="2"/>
      <c r="H156" s="273" t="s">
        <v>109</v>
      </c>
      <c r="J156" s="106" t="e">
        <f>+J148</f>
        <v>#N/A</v>
      </c>
      <c r="K156" s="106" t="e">
        <f t="shared" ref="K156:BV156" si="4">+K148</f>
        <v>#N/A</v>
      </c>
      <c r="L156" s="106" t="e">
        <f t="shared" si="4"/>
        <v>#N/A</v>
      </c>
      <c r="M156" s="106" t="e">
        <f t="shared" si="4"/>
        <v>#N/A</v>
      </c>
      <c r="N156" s="106" t="e">
        <f t="shared" si="4"/>
        <v>#N/A</v>
      </c>
      <c r="O156" s="106" t="e">
        <f t="shared" si="4"/>
        <v>#N/A</v>
      </c>
      <c r="P156" s="106" t="e">
        <f t="shared" si="4"/>
        <v>#N/A</v>
      </c>
      <c r="Q156" s="106" t="e">
        <f t="shared" si="4"/>
        <v>#N/A</v>
      </c>
      <c r="R156" s="106" t="e">
        <f t="shared" si="4"/>
        <v>#N/A</v>
      </c>
      <c r="S156" s="106" t="e">
        <f t="shared" si="4"/>
        <v>#N/A</v>
      </c>
      <c r="T156" s="106" t="e">
        <f t="shared" si="4"/>
        <v>#N/A</v>
      </c>
      <c r="U156" s="106" t="e">
        <f t="shared" si="4"/>
        <v>#N/A</v>
      </c>
      <c r="V156" s="106" t="e">
        <f t="shared" si="4"/>
        <v>#N/A</v>
      </c>
      <c r="W156" s="106" t="e">
        <f t="shared" si="4"/>
        <v>#N/A</v>
      </c>
      <c r="X156" s="106" t="e">
        <f t="shared" si="4"/>
        <v>#N/A</v>
      </c>
      <c r="Y156" s="106" t="e">
        <f t="shared" si="4"/>
        <v>#N/A</v>
      </c>
      <c r="Z156" s="106" t="e">
        <f t="shared" si="4"/>
        <v>#N/A</v>
      </c>
      <c r="AA156" s="106" t="e">
        <f t="shared" si="4"/>
        <v>#N/A</v>
      </c>
      <c r="AB156" s="106" t="e">
        <f t="shared" si="4"/>
        <v>#N/A</v>
      </c>
      <c r="AC156" s="106" t="e">
        <f t="shared" si="4"/>
        <v>#N/A</v>
      </c>
      <c r="AD156" s="106" t="e">
        <f t="shared" si="4"/>
        <v>#N/A</v>
      </c>
      <c r="AE156" s="106" t="e">
        <f t="shared" si="4"/>
        <v>#N/A</v>
      </c>
      <c r="AF156" s="106" t="e">
        <f t="shared" si="4"/>
        <v>#N/A</v>
      </c>
      <c r="AG156" s="106" t="e">
        <f t="shared" si="4"/>
        <v>#N/A</v>
      </c>
      <c r="AH156" s="106" t="e">
        <f t="shared" si="4"/>
        <v>#N/A</v>
      </c>
      <c r="AI156" s="106" t="e">
        <f t="shared" si="4"/>
        <v>#N/A</v>
      </c>
      <c r="AJ156" s="106" t="e">
        <f t="shared" si="4"/>
        <v>#N/A</v>
      </c>
      <c r="AK156" s="106" t="e">
        <f t="shared" si="4"/>
        <v>#N/A</v>
      </c>
      <c r="AL156" s="106" t="e">
        <f t="shared" si="4"/>
        <v>#N/A</v>
      </c>
      <c r="AM156" s="106" t="e">
        <f t="shared" si="4"/>
        <v>#N/A</v>
      </c>
      <c r="AN156" s="106" t="e">
        <f t="shared" si="4"/>
        <v>#N/A</v>
      </c>
      <c r="AO156" s="106" t="e">
        <f t="shared" si="4"/>
        <v>#N/A</v>
      </c>
      <c r="AP156" s="106" t="e">
        <f t="shared" si="4"/>
        <v>#N/A</v>
      </c>
      <c r="AQ156" s="106" t="e">
        <f t="shared" si="4"/>
        <v>#N/A</v>
      </c>
      <c r="AR156" s="106" t="e">
        <f t="shared" si="4"/>
        <v>#N/A</v>
      </c>
      <c r="AS156" s="106" t="e">
        <f t="shared" si="4"/>
        <v>#N/A</v>
      </c>
      <c r="AT156" s="106" t="e">
        <f t="shared" si="4"/>
        <v>#N/A</v>
      </c>
      <c r="AU156" s="106" t="e">
        <f t="shared" si="4"/>
        <v>#N/A</v>
      </c>
      <c r="AV156" s="106" t="e">
        <f t="shared" si="4"/>
        <v>#N/A</v>
      </c>
      <c r="AW156" s="106" t="e">
        <f t="shared" si="4"/>
        <v>#N/A</v>
      </c>
      <c r="AX156" s="106" t="e">
        <f t="shared" si="4"/>
        <v>#N/A</v>
      </c>
      <c r="AY156" s="106" t="e">
        <f t="shared" si="4"/>
        <v>#N/A</v>
      </c>
      <c r="AZ156" s="106" t="e">
        <f t="shared" si="4"/>
        <v>#N/A</v>
      </c>
      <c r="BA156" s="106" t="e">
        <f t="shared" si="4"/>
        <v>#N/A</v>
      </c>
      <c r="BB156" s="106" t="e">
        <f t="shared" si="4"/>
        <v>#N/A</v>
      </c>
      <c r="BC156" s="106" t="e">
        <f t="shared" si="4"/>
        <v>#N/A</v>
      </c>
      <c r="BD156" s="106" t="e">
        <f t="shared" si="4"/>
        <v>#N/A</v>
      </c>
      <c r="BE156" s="106" t="e">
        <f t="shared" si="4"/>
        <v>#N/A</v>
      </c>
      <c r="BF156" s="106" t="e">
        <f t="shared" si="4"/>
        <v>#N/A</v>
      </c>
      <c r="BG156" s="106" t="e">
        <f t="shared" si="4"/>
        <v>#N/A</v>
      </c>
      <c r="BH156" s="106" t="e">
        <f t="shared" si="4"/>
        <v>#N/A</v>
      </c>
      <c r="BI156" s="106" t="e">
        <f t="shared" si="4"/>
        <v>#N/A</v>
      </c>
      <c r="BJ156" s="106" t="e">
        <f t="shared" si="4"/>
        <v>#N/A</v>
      </c>
      <c r="BK156" s="106" t="e">
        <f t="shared" si="4"/>
        <v>#N/A</v>
      </c>
      <c r="BL156" s="106" t="e">
        <f t="shared" si="4"/>
        <v>#N/A</v>
      </c>
      <c r="BM156" s="106" t="e">
        <f t="shared" si="4"/>
        <v>#N/A</v>
      </c>
      <c r="BN156" s="106" t="e">
        <f t="shared" si="4"/>
        <v>#N/A</v>
      </c>
      <c r="BO156" s="106" t="e">
        <f t="shared" si="4"/>
        <v>#N/A</v>
      </c>
      <c r="BP156" s="106" t="e">
        <f t="shared" si="4"/>
        <v>#N/A</v>
      </c>
      <c r="BQ156" s="106" t="e">
        <f t="shared" si="4"/>
        <v>#N/A</v>
      </c>
      <c r="BR156" s="106" t="e">
        <f t="shared" si="4"/>
        <v>#N/A</v>
      </c>
      <c r="BS156" s="106" t="e">
        <f t="shared" si="4"/>
        <v>#N/A</v>
      </c>
      <c r="BT156" s="106" t="e">
        <f t="shared" si="4"/>
        <v>#N/A</v>
      </c>
      <c r="BU156" s="106" t="e">
        <f t="shared" si="4"/>
        <v>#N/A</v>
      </c>
      <c r="BV156" s="106" t="e">
        <f t="shared" si="4"/>
        <v>#N/A</v>
      </c>
      <c r="BW156" s="106" t="e">
        <f t="shared" ref="BW156:CC156" si="5">+BW148</f>
        <v>#N/A</v>
      </c>
      <c r="BX156" s="106" t="e">
        <f t="shared" si="5"/>
        <v>#N/A</v>
      </c>
      <c r="BY156" s="106" t="e">
        <f t="shared" si="5"/>
        <v>#N/A</v>
      </c>
      <c r="BZ156" s="106" t="e">
        <f t="shared" si="5"/>
        <v>#N/A</v>
      </c>
      <c r="CA156" s="106" t="e">
        <f t="shared" si="5"/>
        <v>#N/A</v>
      </c>
      <c r="CB156" s="106" t="e">
        <f t="shared" si="5"/>
        <v>#N/A</v>
      </c>
      <c r="CC156" s="106" t="e">
        <f t="shared" si="5"/>
        <v>#N/A</v>
      </c>
      <c r="CE156"/>
      <c r="CF156"/>
      <c r="CG156"/>
      <c r="CH156"/>
      <c r="CI156"/>
      <c r="CJ156"/>
      <c r="CK156"/>
    </row>
    <row r="157" spans="1:89" s="32" customFormat="1" ht="5.0999999999999996" customHeight="1" thickBot="1" x14ac:dyDescent="0.25">
      <c r="A157" s="185"/>
      <c r="F157"/>
      <c r="G157"/>
      <c r="H157" s="279"/>
      <c r="CE157"/>
      <c r="CF157"/>
      <c r="CG157"/>
      <c r="CH157"/>
      <c r="CI157"/>
      <c r="CJ157"/>
      <c r="CK157"/>
    </row>
    <row r="158" spans="1:89" s="32" customFormat="1" ht="15.75" customHeight="1" thickBot="1" x14ac:dyDescent="0.25">
      <c r="A158" s="185"/>
      <c r="B158" s="356"/>
      <c r="C158" s="362"/>
      <c r="D158" s="363"/>
      <c r="F158" s="85">
        <f t="shared" ref="F158:F177" si="6">SUM(J158:CC158)</f>
        <v>0</v>
      </c>
      <c r="G158"/>
      <c r="H158" s="85" t="str">
        <f t="shared" ref="H158:H177" si="7">IF($Q$154="Sobre la obra",IF(D158=F158,"Completo","Incompleto"),IF(F158&lt;1,"Incompleto","Completo"))</f>
        <v>Completo</v>
      </c>
      <c r="J158" s="363">
        <v>0</v>
      </c>
      <c r="K158" s="363">
        <v>0</v>
      </c>
      <c r="L158" s="363">
        <v>0</v>
      </c>
      <c r="M158" s="363">
        <v>0</v>
      </c>
      <c r="N158" s="363">
        <v>0</v>
      </c>
      <c r="O158" s="363">
        <v>0</v>
      </c>
      <c r="P158" s="363">
        <v>0</v>
      </c>
      <c r="Q158" s="363">
        <v>0</v>
      </c>
      <c r="R158" s="363">
        <v>0</v>
      </c>
      <c r="S158" s="363">
        <v>0</v>
      </c>
      <c r="T158" s="363">
        <v>0</v>
      </c>
      <c r="U158" s="363">
        <v>0</v>
      </c>
      <c r="V158" s="363">
        <v>0</v>
      </c>
      <c r="W158" s="363">
        <v>0</v>
      </c>
      <c r="X158" s="363">
        <v>0</v>
      </c>
      <c r="Y158" s="363">
        <v>0</v>
      </c>
      <c r="Z158" s="363">
        <v>0</v>
      </c>
      <c r="AA158" s="363">
        <v>0</v>
      </c>
      <c r="AB158" s="363">
        <v>0</v>
      </c>
      <c r="AC158" s="363">
        <v>0</v>
      </c>
      <c r="AD158" s="363">
        <v>0</v>
      </c>
      <c r="AE158" s="363">
        <v>0</v>
      </c>
      <c r="AF158" s="363">
        <v>0</v>
      </c>
      <c r="AG158" s="363">
        <v>0</v>
      </c>
      <c r="AH158" s="363">
        <v>0</v>
      </c>
      <c r="AI158" s="363">
        <v>0</v>
      </c>
      <c r="AJ158" s="363">
        <v>0</v>
      </c>
      <c r="AK158" s="363">
        <v>0</v>
      </c>
      <c r="AL158" s="363">
        <v>0</v>
      </c>
      <c r="AM158" s="363">
        <v>0</v>
      </c>
      <c r="AN158" s="363">
        <v>0</v>
      </c>
      <c r="AO158" s="363">
        <v>0</v>
      </c>
      <c r="AP158" s="363">
        <v>0</v>
      </c>
      <c r="AQ158" s="363">
        <v>0</v>
      </c>
      <c r="AR158" s="363">
        <v>0</v>
      </c>
      <c r="AS158" s="363">
        <v>0</v>
      </c>
      <c r="AT158" s="363">
        <v>0</v>
      </c>
      <c r="AU158" s="363">
        <v>0</v>
      </c>
      <c r="AV158" s="363">
        <v>0</v>
      </c>
      <c r="AW158" s="363">
        <v>0</v>
      </c>
      <c r="AX158" s="363">
        <v>0</v>
      </c>
      <c r="AY158" s="363">
        <v>0</v>
      </c>
      <c r="AZ158" s="363">
        <v>0</v>
      </c>
      <c r="BA158" s="363">
        <v>0</v>
      </c>
      <c r="BB158" s="363">
        <v>0</v>
      </c>
      <c r="BC158" s="363">
        <v>0</v>
      </c>
      <c r="BD158" s="363">
        <v>0</v>
      </c>
      <c r="BE158" s="363">
        <v>0</v>
      </c>
      <c r="BF158" s="363">
        <v>0</v>
      </c>
      <c r="BG158" s="363">
        <v>0</v>
      </c>
      <c r="BH158" s="363">
        <v>0</v>
      </c>
      <c r="BI158" s="363">
        <v>0</v>
      </c>
      <c r="BJ158" s="363">
        <v>0</v>
      </c>
      <c r="BK158" s="363">
        <v>0</v>
      </c>
      <c r="BL158" s="363">
        <v>0</v>
      </c>
      <c r="BM158" s="363">
        <v>0</v>
      </c>
      <c r="BN158" s="363">
        <v>0</v>
      </c>
      <c r="BO158" s="363">
        <v>0</v>
      </c>
      <c r="BP158" s="363">
        <v>0</v>
      </c>
      <c r="BQ158" s="363">
        <v>0</v>
      </c>
      <c r="BR158" s="363">
        <v>0</v>
      </c>
      <c r="BS158" s="363">
        <v>0</v>
      </c>
      <c r="BT158" s="363">
        <v>0</v>
      </c>
      <c r="BU158" s="363">
        <v>0</v>
      </c>
      <c r="BV158" s="363">
        <v>0</v>
      </c>
      <c r="BW158" s="363">
        <v>0</v>
      </c>
      <c r="BX158" s="363">
        <v>0</v>
      </c>
      <c r="BY158" s="363">
        <v>0</v>
      </c>
      <c r="BZ158" s="363">
        <v>0</v>
      </c>
      <c r="CA158" s="363">
        <v>0</v>
      </c>
      <c r="CB158" s="363">
        <v>0</v>
      </c>
      <c r="CC158" s="363">
        <v>0</v>
      </c>
      <c r="CE158"/>
      <c r="CF158"/>
      <c r="CG158"/>
      <c r="CH158"/>
      <c r="CI158"/>
      <c r="CJ158"/>
      <c r="CK158"/>
    </row>
    <row r="159" spans="1:89" s="32" customFormat="1" ht="15.75" thickBot="1" x14ac:dyDescent="0.25">
      <c r="A159" s="185"/>
      <c r="B159" s="356"/>
      <c r="C159" s="362"/>
      <c r="D159" s="363"/>
      <c r="F159" s="85">
        <f t="shared" si="6"/>
        <v>0</v>
      </c>
      <c r="G159"/>
      <c r="H159" s="85" t="str">
        <f t="shared" si="7"/>
        <v>Completo</v>
      </c>
      <c r="J159" s="363">
        <v>0</v>
      </c>
      <c r="K159" s="363">
        <v>0</v>
      </c>
      <c r="L159" s="363">
        <v>0</v>
      </c>
      <c r="M159" s="363">
        <v>0</v>
      </c>
      <c r="N159" s="363">
        <v>0</v>
      </c>
      <c r="O159" s="363">
        <v>0</v>
      </c>
      <c r="P159" s="363">
        <v>0</v>
      </c>
      <c r="Q159" s="363">
        <v>0</v>
      </c>
      <c r="R159" s="363">
        <v>0</v>
      </c>
      <c r="S159" s="363">
        <v>0</v>
      </c>
      <c r="T159" s="363">
        <v>0</v>
      </c>
      <c r="U159" s="363">
        <v>0</v>
      </c>
      <c r="V159" s="363">
        <v>0</v>
      </c>
      <c r="W159" s="363">
        <v>0</v>
      </c>
      <c r="X159" s="363">
        <v>0</v>
      </c>
      <c r="Y159" s="363">
        <v>0</v>
      </c>
      <c r="Z159" s="363">
        <v>0</v>
      </c>
      <c r="AA159" s="363">
        <v>0</v>
      </c>
      <c r="AB159" s="363">
        <v>0</v>
      </c>
      <c r="AC159" s="363">
        <v>0</v>
      </c>
      <c r="AD159" s="363">
        <v>0</v>
      </c>
      <c r="AE159" s="363">
        <v>0</v>
      </c>
      <c r="AF159" s="363">
        <v>0</v>
      </c>
      <c r="AG159" s="363">
        <v>0</v>
      </c>
      <c r="AH159" s="363">
        <v>0</v>
      </c>
      <c r="AI159" s="363">
        <v>0</v>
      </c>
      <c r="AJ159" s="363">
        <v>0</v>
      </c>
      <c r="AK159" s="363">
        <v>0</v>
      </c>
      <c r="AL159" s="363">
        <v>0</v>
      </c>
      <c r="AM159" s="363">
        <v>0</v>
      </c>
      <c r="AN159" s="363">
        <v>0</v>
      </c>
      <c r="AO159" s="363">
        <v>0</v>
      </c>
      <c r="AP159" s="363">
        <v>0</v>
      </c>
      <c r="AQ159" s="363">
        <v>0</v>
      </c>
      <c r="AR159" s="363">
        <v>0</v>
      </c>
      <c r="AS159" s="363">
        <v>0</v>
      </c>
      <c r="AT159" s="363">
        <v>0</v>
      </c>
      <c r="AU159" s="363">
        <v>0</v>
      </c>
      <c r="AV159" s="363">
        <v>0</v>
      </c>
      <c r="AW159" s="363">
        <v>0</v>
      </c>
      <c r="AX159" s="363">
        <v>0</v>
      </c>
      <c r="AY159" s="363">
        <v>0</v>
      </c>
      <c r="AZ159" s="363">
        <v>0</v>
      </c>
      <c r="BA159" s="363">
        <v>0</v>
      </c>
      <c r="BB159" s="363">
        <v>0</v>
      </c>
      <c r="BC159" s="363">
        <v>0</v>
      </c>
      <c r="BD159" s="363">
        <v>0</v>
      </c>
      <c r="BE159" s="363">
        <v>0</v>
      </c>
      <c r="BF159" s="363">
        <v>0</v>
      </c>
      <c r="BG159" s="363">
        <v>0</v>
      </c>
      <c r="BH159" s="363">
        <v>0</v>
      </c>
      <c r="BI159" s="363">
        <v>0</v>
      </c>
      <c r="BJ159" s="363">
        <v>0</v>
      </c>
      <c r="BK159" s="363">
        <v>0</v>
      </c>
      <c r="BL159" s="363">
        <v>0</v>
      </c>
      <c r="BM159" s="363">
        <v>0</v>
      </c>
      <c r="BN159" s="363">
        <v>0</v>
      </c>
      <c r="BO159" s="363">
        <v>0</v>
      </c>
      <c r="BP159" s="363">
        <v>0</v>
      </c>
      <c r="BQ159" s="363">
        <v>0</v>
      </c>
      <c r="BR159" s="363">
        <v>0</v>
      </c>
      <c r="BS159" s="363">
        <v>0</v>
      </c>
      <c r="BT159" s="363">
        <v>0</v>
      </c>
      <c r="BU159" s="363">
        <v>0</v>
      </c>
      <c r="BV159" s="363">
        <v>0</v>
      </c>
      <c r="BW159" s="363">
        <v>0</v>
      </c>
      <c r="BX159" s="363">
        <v>0</v>
      </c>
      <c r="BY159" s="363">
        <v>0</v>
      </c>
      <c r="BZ159" s="363">
        <v>0</v>
      </c>
      <c r="CA159" s="363">
        <v>0</v>
      </c>
      <c r="CB159" s="363">
        <v>0</v>
      </c>
      <c r="CC159" s="363">
        <v>0</v>
      </c>
      <c r="CE159"/>
      <c r="CF159"/>
      <c r="CG159"/>
      <c r="CH159"/>
      <c r="CI159"/>
      <c r="CJ159"/>
      <c r="CK159"/>
    </row>
    <row r="160" spans="1:89" s="32" customFormat="1" ht="15.75" thickBot="1" x14ac:dyDescent="0.25">
      <c r="A160" s="185"/>
      <c r="B160" s="356"/>
      <c r="C160" s="362"/>
      <c r="D160" s="363"/>
      <c r="F160" s="85">
        <f t="shared" si="6"/>
        <v>0</v>
      </c>
      <c r="G160"/>
      <c r="H160" s="85" t="str">
        <f t="shared" si="7"/>
        <v>Completo</v>
      </c>
      <c r="J160" s="363">
        <v>0</v>
      </c>
      <c r="K160" s="363">
        <v>0</v>
      </c>
      <c r="L160" s="363">
        <v>0</v>
      </c>
      <c r="M160" s="363">
        <v>0</v>
      </c>
      <c r="N160" s="363">
        <v>0</v>
      </c>
      <c r="O160" s="363">
        <v>0</v>
      </c>
      <c r="P160" s="363">
        <v>0</v>
      </c>
      <c r="Q160" s="363">
        <v>0</v>
      </c>
      <c r="R160" s="363">
        <v>0</v>
      </c>
      <c r="S160" s="363">
        <v>0</v>
      </c>
      <c r="T160" s="363">
        <v>0</v>
      </c>
      <c r="U160" s="363">
        <v>0</v>
      </c>
      <c r="V160" s="363">
        <v>0</v>
      </c>
      <c r="W160" s="363">
        <v>0</v>
      </c>
      <c r="X160" s="363">
        <v>0</v>
      </c>
      <c r="Y160" s="363">
        <v>0</v>
      </c>
      <c r="Z160" s="363">
        <v>0</v>
      </c>
      <c r="AA160" s="363">
        <v>0</v>
      </c>
      <c r="AB160" s="363">
        <v>0</v>
      </c>
      <c r="AC160" s="363">
        <v>0</v>
      </c>
      <c r="AD160" s="363">
        <v>0</v>
      </c>
      <c r="AE160" s="363">
        <v>0</v>
      </c>
      <c r="AF160" s="363">
        <v>0</v>
      </c>
      <c r="AG160" s="363">
        <v>0</v>
      </c>
      <c r="AH160" s="363">
        <v>0</v>
      </c>
      <c r="AI160" s="363">
        <v>0</v>
      </c>
      <c r="AJ160" s="363">
        <v>0</v>
      </c>
      <c r="AK160" s="363">
        <v>0</v>
      </c>
      <c r="AL160" s="363">
        <v>0</v>
      </c>
      <c r="AM160" s="363">
        <v>0</v>
      </c>
      <c r="AN160" s="363">
        <v>0</v>
      </c>
      <c r="AO160" s="363">
        <v>0</v>
      </c>
      <c r="AP160" s="363">
        <v>0</v>
      </c>
      <c r="AQ160" s="363">
        <v>0</v>
      </c>
      <c r="AR160" s="363">
        <v>0</v>
      </c>
      <c r="AS160" s="363">
        <v>0</v>
      </c>
      <c r="AT160" s="363">
        <v>0</v>
      </c>
      <c r="AU160" s="363">
        <v>0</v>
      </c>
      <c r="AV160" s="363">
        <v>0</v>
      </c>
      <c r="AW160" s="363">
        <v>0</v>
      </c>
      <c r="AX160" s="363">
        <v>0</v>
      </c>
      <c r="AY160" s="363">
        <v>0</v>
      </c>
      <c r="AZ160" s="363">
        <v>0</v>
      </c>
      <c r="BA160" s="363">
        <v>0</v>
      </c>
      <c r="BB160" s="363">
        <v>0</v>
      </c>
      <c r="BC160" s="363">
        <v>0</v>
      </c>
      <c r="BD160" s="363">
        <v>0</v>
      </c>
      <c r="BE160" s="363">
        <v>0</v>
      </c>
      <c r="BF160" s="363">
        <v>0</v>
      </c>
      <c r="BG160" s="363">
        <v>0</v>
      </c>
      <c r="BH160" s="363">
        <v>0</v>
      </c>
      <c r="BI160" s="363">
        <v>0</v>
      </c>
      <c r="BJ160" s="363">
        <v>0</v>
      </c>
      <c r="BK160" s="363">
        <v>0</v>
      </c>
      <c r="BL160" s="363">
        <v>0</v>
      </c>
      <c r="BM160" s="363">
        <v>0</v>
      </c>
      <c r="BN160" s="363">
        <v>0</v>
      </c>
      <c r="BO160" s="363">
        <v>0</v>
      </c>
      <c r="BP160" s="363">
        <v>0</v>
      </c>
      <c r="BQ160" s="363">
        <v>0</v>
      </c>
      <c r="BR160" s="363">
        <v>0</v>
      </c>
      <c r="BS160" s="363">
        <v>0</v>
      </c>
      <c r="BT160" s="363">
        <v>0</v>
      </c>
      <c r="BU160" s="363">
        <v>0</v>
      </c>
      <c r="BV160" s="363">
        <v>0</v>
      </c>
      <c r="BW160" s="363">
        <v>0</v>
      </c>
      <c r="BX160" s="363">
        <v>0</v>
      </c>
      <c r="BY160" s="363">
        <v>0</v>
      </c>
      <c r="BZ160" s="363">
        <v>0</v>
      </c>
      <c r="CA160" s="363">
        <v>0</v>
      </c>
      <c r="CB160" s="363">
        <v>0</v>
      </c>
      <c r="CC160" s="363">
        <v>0</v>
      </c>
      <c r="CE160"/>
      <c r="CF160"/>
      <c r="CG160"/>
      <c r="CH160"/>
      <c r="CI160"/>
      <c r="CJ160"/>
      <c r="CK160"/>
    </row>
    <row r="161" spans="1:89" s="32" customFormat="1" ht="19.5" customHeight="1" thickBot="1" x14ac:dyDescent="0.25">
      <c r="A161" s="185"/>
      <c r="B161" s="356"/>
      <c r="C161" s="362"/>
      <c r="D161" s="363"/>
      <c r="F161" s="85">
        <f t="shared" si="6"/>
        <v>0</v>
      </c>
      <c r="G161"/>
      <c r="H161" s="85" t="str">
        <f t="shared" si="7"/>
        <v>Completo</v>
      </c>
      <c r="J161" s="363">
        <v>0</v>
      </c>
      <c r="K161" s="363">
        <v>0</v>
      </c>
      <c r="L161" s="363">
        <v>0</v>
      </c>
      <c r="M161" s="363">
        <v>0</v>
      </c>
      <c r="N161" s="363">
        <v>0</v>
      </c>
      <c r="O161" s="363">
        <v>0</v>
      </c>
      <c r="P161" s="363">
        <v>0</v>
      </c>
      <c r="Q161" s="363">
        <v>0</v>
      </c>
      <c r="R161" s="363">
        <v>0</v>
      </c>
      <c r="S161" s="363">
        <v>0</v>
      </c>
      <c r="T161" s="363">
        <v>0</v>
      </c>
      <c r="U161" s="363">
        <v>0</v>
      </c>
      <c r="V161" s="363">
        <v>0</v>
      </c>
      <c r="W161" s="363">
        <v>0</v>
      </c>
      <c r="X161" s="363">
        <v>0</v>
      </c>
      <c r="Y161" s="363">
        <v>0</v>
      </c>
      <c r="Z161" s="363">
        <v>0</v>
      </c>
      <c r="AA161" s="363">
        <v>0</v>
      </c>
      <c r="AB161" s="363">
        <v>0</v>
      </c>
      <c r="AC161" s="363">
        <v>0</v>
      </c>
      <c r="AD161" s="363">
        <v>0</v>
      </c>
      <c r="AE161" s="363">
        <v>0</v>
      </c>
      <c r="AF161" s="363">
        <v>0</v>
      </c>
      <c r="AG161" s="363">
        <v>0</v>
      </c>
      <c r="AH161" s="363">
        <v>0</v>
      </c>
      <c r="AI161" s="363">
        <v>0</v>
      </c>
      <c r="AJ161" s="363">
        <v>0</v>
      </c>
      <c r="AK161" s="363">
        <v>0</v>
      </c>
      <c r="AL161" s="363">
        <v>0</v>
      </c>
      <c r="AM161" s="363">
        <v>0</v>
      </c>
      <c r="AN161" s="363">
        <v>0</v>
      </c>
      <c r="AO161" s="363">
        <v>0</v>
      </c>
      <c r="AP161" s="363">
        <v>0</v>
      </c>
      <c r="AQ161" s="363">
        <v>0</v>
      </c>
      <c r="AR161" s="363">
        <v>0</v>
      </c>
      <c r="AS161" s="363">
        <v>0</v>
      </c>
      <c r="AT161" s="363">
        <v>0</v>
      </c>
      <c r="AU161" s="363">
        <v>0</v>
      </c>
      <c r="AV161" s="363">
        <v>0</v>
      </c>
      <c r="AW161" s="363">
        <v>0</v>
      </c>
      <c r="AX161" s="363">
        <v>0</v>
      </c>
      <c r="AY161" s="363">
        <v>0</v>
      </c>
      <c r="AZ161" s="363">
        <v>0</v>
      </c>
      <c r="BA161" s="363">
        <v>0</v>
      </c>
      <c r="BB161" s="363">
        <v>0</v>
      </c>
      <c r="BC161" s="363">
        <v>0</v>
      </c>
      <c r="BD161" s="363">
        <v>0</v>
      </c>
      <c r="BE161" s="363">
        <v>0</v>
      </c>
      <c r="BF161" s="363">
        <v>0</v>
      </c>
      <c r="BG161" s="363">
        <v>0</v>
      </c>
      <c r="BH161" s="363">
        <v>0</v>
      </c>
      <c r="BI161" s="363">
        <v>0</v>
      </c>
      <c r="BJ161" s="363">
        <v>0</v>
      </c>
      <c r="BK161" s="363">
        <v>0</v>
      </c>
      <c r="BL161" s="363">
        <v>0</v>
      </c>
      <c r="BM161" s="363">
        <v>0</v>
      </c>
      <c r="BN161" s="363">
        <v>0</v>
      </c>
      <c r="BO161" s="363">
        <v>0</v>
      </c>
      <c r="BP161" s="363">
        <v>0</v>
      </c>
      <c r="BQ161" s="363">
        <v>0</v>
      </c>
      <c r="BR161" s="363">
        <v>0</v>
      </c>
      <c r="BS161" s="363">
        <v>0</v>
      </c>
      <c r="BT161" s="363">
        <v>0</v>
      </c>
      <c r="BU161" s="363">
        <v>0</v>
      </c>
      <c r="BV161" s="363">
        <v>0</v>
      </c>
      <c r="BW161" s="363">
        <v>0</v>
      </c>
      <c r="BX161" s="363">
        <v>0</v>
      </c>
      <c r="BY161" s="363">
        <v>0</v>
      </c>
      <c r="BZ161" s="363">
        <v>0</v>
      </c>
      <c r="CA161" s="363">
        <v>0</v>
      </c>
      <c r="CB161" s="363">
        <v>0</v>
      </c>
      <c r="CC161" s="363">
        <v>0</v>
      </c>
      <c r="CE161"/>
      <c r="CF161"/>
      <c r="CG161"/>
      <c r="CH161"/>
      <c r="CI161"/>
      <c r="CJ161"/>
      <c r="CK161"/>
    </row>
    <row r="162" spans="1:89" s="32" customFormat="1" ht="19.5" customHeight="1" thickBot="1" x14ac:dyDescent="0.25">
      <c r="A162" s="185"/>
      <c r="B162" s="356"/>
      <c r="C162" s="362"/>
      <c r="D162" s="363"/>
      <c r="F162" s="85">
        <f t="shared" si="6"/>
        <v>0</v>
      </c>
      <c r="G162"/>
      <c r="H162" s="85" t="str">
        <f t="shared" si="7"/>
        <v>Completo</v>
      </c>
      <c r="J162" s="363">
        <v>0</v>
      </c>
      <c r="K162" s="363">
        <v>0</v>
      </c>
      <c r="L162" s="363">
        <v>0</v>
      </c>
      <c r="M162" s="363">
        <v>0</v>
      </c>
      <c r="N162" s="363">
        <v>0</v>
      </c>
      <c r="O162" s="363">
        <v>0</v>
      </c>
      <c r="P162" s="363">
        <v>0</v>
      </c>
      <c r="Q162" s="363">
        <v>0</v>
      </c>
      <c r="R162" s="363">
        <v>0</v>
      </c>
      <c r="S162" s="363">
        <v>0</v>
      </c>
      <c r="T162" s="363">
        <v>0</v>
      </c>
      <c r="U162" s="363">
        <v>0</v>
      </c>
      <c r="V162" s="363">
        <v>0</v>
      </c>
      <c r="W162" s="363">
        <v>0</v>
      </c>
      <c r="X162" s="363">
        <v>0</v>
      </c>
      <c r="Y162" s="363">
        <v>0</v>
      </c>
      <c r="Z162" s="363">
        <v>0</v>
      </c>
      <c r="AA162" s="363">
        <v>0</v>
      </c>
      <c r="AB162" s="363">
        <v>0</v>
      </c>
      <c r="AC162" s="363">
        <v>0</v>
      </c>
      <c r="AD162" s="363">
        <v>0</v>
      </c>
      <c r="AE162" s="363">
        <v>0</v>
      </c>
      <c r="AF162" s="363">
        <v>0</v>
      </c>
      <c r="AG162" s="363">
        <v>0</v>
      </c>
      <c r="AH162" s="363">
        <v>0</v>
      </c>
      <c r="AI162" s="363">
        <v>0</v>
      </c>
      <c r="AJ162" s="363">
        <v>0</v>
      </c>
      <c r="AK162" s="363">
        <v>0</v>
      </c>
      <c r="AL162" s="363">
        <v>0</v>
      </c>
      <c r="AM162" s="363">
        <v>0</v>
      </c>
      <c r="AN162" s="363">
        <v>0</v>
      </c>
      <c r="AO162" s="363">
        <v>0</v>
      </c>
      <c r="AP162" s="363">
        <v>0</v>
      </c>
      <c r="AQ162" s="363">
        <v>0</v>
      </c>
      <c r="AR162" s="363">
        <v>0</v>
      </c>
      <c r="AS162" s="363">
        <v>0</v>
      </c>
      <c r="AT162" s="363">
        <v>0</v>
      </c>
      <c r="AU162" s="363">
        <v>0</v>
      </c>
      <c r="AV162" s="363">
        <v>0</v>
      </c>
      <c r="AW162" s="363">
        <v>0</v>
      </c>
      <c r="AX162" s="363">
        <v>0</v>
      </c>
      <c r="AY162" s="363">
        <v>0</v>
      </c>
      <c r="AZ162" s="363">
        <v>0</v>
      </c>
      <c r="BA162" s="363">
        <v>0</v>
      </c>
      <c r="BB162" s="363">
        <v>0</v>
      </c>
      <c r="BC162" s="363">
        <v>0</v>
      </c>
      <c r="BD162" s="363">
        <v>0</v>
      </c>
      <c r="BE162" s="363">
        <v>0</v>
      </c>
      <c r="BF162" s="363">
        <v>0</v>
      </c>
      <c r="BG162" s="363">
        <v>0</v>
      </c>
      <c r="BH162" s="363">
        <v>0</v>
      </c>
      <c r="BI162" s="363">
        <v>0</v>
      </c>
      <c r="BJ162" s="363">
        <v>0</v>
      </c>
      <c r="BK162" s="363">
        <v>0</v>
      </c>
      <c r="BL162" s="363">
        <v>0</v>
      </c>
      <c r="BM162" s="363">
        <v>0</v>
      </c>
      <c r="BN162" s="363">
        <v>0</v>
      </c>
      <c r="BO162" s="363">
        <v>0</v>
      </c>
      <c r="BP162" s="363">
        <v>0</v>
      </c>
      <c r="BQ162" s="363">
        <v>0</v>
      </c>
      <c r="BR162" s="363">
        <v>0</v>
      </c>
      <c r="BS162" s="363">
        <v>0</v>
      </c>
      <c r="BT162" s="363">
        <v>0</v>
      </c>
      <c r="BU162" s="363">
        <v>0</v>
      </c>
      <c r="BV162" s="363">
        <v>0</v>
      </c>
      <c r="BW162" s="363">
        <v>0</v>
      </c>
      <c r="BX162" s="363">
        <v>0</v>
      </c>
      <c r="BY162" s="363">
        <v>0</v>
      </c>
      <c r="BZ162" s="363">
        <v>0</v>
      </c>
      <c r="CA162" s="363">
        <v>0</v>
      </c>
      <c r="CB162" s="363">
        <v>0</v>
      </c>
      <c r="CC162" s="363">
        <v>0</v>
      </c>
      <c r="CE162"/>
      <c r="CF162"/>
      <c r="CG162"/>
      <c r="CH162"/>
      <c r="CI162"/>
      <c r="CJ162"/>
      <c r="CK162"/>
    </row>
    <row r="163" spans="1:89" s="32" customFormat="1" ht="19.5" customHeight="1" thickBot="1" x14ac:dyDescent="0.25">
      <c r="A163" s="185"/>
      <c r="B163" s="356"/>
      <c r="C163" s="362"/>
      <c r="D163" s="363"/>
      <c r="F163" s="85">
        <f t="shared" si="6"/>
        <v>0</v>
      </c>
      <c r="G163"/>
      <c r="H163" s="85" t="str">
        <f t="shared" si="7"/>
        <v>Completo</v>
      </c>
      <c r="J163" s="363">
        <v>0</v>
      </c>
      <c r="K163" s="363">
        <v>0</v>
      </c>
      <c r="L163" s="363">
        <v>0</v>
      </c>
      <c r="M163" s="363">
        <v>0</v>
      </c>
      <c r="N163" s="363">
        <v>0</v>
      </c>
      <c r="O163" s="363">
        <v>0</v>
      </c>
      <c r="P163" s="363">
        <v>0</v>
      </c>
      <c r="Q163" s="363">
        <v>0</v>
      </c>
      <c r="R163" s="363">
        <v>0</v>
      </c>
      <c r="S163" s="363">
        <v>0</v>
      </c>
      <c r="T163" s="363">
        <v>0</v>
      </c>
      <c r="U163" s="363">
        <v>0</v>
      </c>
      <c r="V163" s="363">
        <v>0</v>
      </c>
      <c r="W163" s="363">
        <v>0</v>
      </c>
      <c r="X163" s="363">
        <v>0</v>
      </c>
      <c r="Y163" s="363">
        <v>0</v>
      </c>
      <c r="Z163" s="363">
        <v>0</v>
      </c>
      <c r="AA163" s="363">
        <v>0</v>
      </c>
      <c r="AB163" s="363">
        <v>0</v>
      </c>
      <c r="AC163" s="363">
        <v>0</v>
      </c>
      <c r="AD163" s="363">
        <v>0</v>
      </c>
      <c r="AE163" s="363">
        <v>0</v>
      </c>
      <c r="AF163" s="363">
        <v>0</v>
      </c>
      <c r="AG163" s="363">
        <v>0</v>
      </c>
      <c r="AH163" s="363">
        <v>0</v>
      </c>
      <c r="AI163" s="363">
        <v>0</v>
      </c>
      <c r="AJ163" s="363">
        <v>0</v>
      </c>
      <c r="AK163" s="363">
        <v>0</v>
      </c>
      <c r="AL163" s="363">
        <v>0</v>
      </c>
      <c r="AM163" s="363">
        <v>0</v>
      </c>
      <c r="AN163" s="363">
        <v>0</v>
      </c>
      <c r="AO163" s="363">
        <v>0</v>
      </c>
      <c r="AP163" s="363">
        <v>0</v>
      </c>
      <c r="AQ163" s="363">
        <v>0</v>
      </c>
      <c r="AR163" s="363">
        <v>0</v>
      </c>
      <c r="AS163" s="363">
        <v>0</v>
      </c>
      <c r="AT163" s="363">
        <v>0</v>
      </c>
      <c r="AU163" s="363">
        <v>0</v>
      </c>
      <c r="AV163" s="363">
        <v>0</v>
      </c>
      <c r="AW163" s="363">
        <v>0</v>
      </c>
      <c r="AX163" s="363">
        <v>0</v>
      </c>
      <c r="AY163" s="363">
        <v>0</v>
      </c>
      <c r="AZ163" s="363">
        <v>0</v>
      </c>
      <c r="BA163" s="363">
        <v>0</v>
      </c>
      <c r="BB163" s="363">
        <v>0</v>
      </c>
      <c r="BC163" s="363">
        <v>0</v>
      </c>
      <c r="BD163" s="363">
        <v>0</v>
      </c>
      <c r="BE163" s="363">
        <v>0</v>
      </c>
      <c r="BF163" s="363">
        <v>0</v>
      </c>
      <c r="BG163" s="363">
        <v>0</v>
      </c>
      <c r="BH163" s="363">
        <v>0</v>
      </c>
      <c r="BI163" s="363">
        <v>0</v>
      </c>
      <c r="BJ163" s="363">
        <v>0</v>
      </c>
      <c r="BK163" s="363">
        <v>0</v>
      </c>
      <c r="BL163" s="363">
        <v>0</v>
      </c>
      <c r="BM163" s="363">
        <v>0</v>
      </c>
      <c r="BN163" s="363">
        <v>0</v>
      </c>
      <c r="BO163" s="363">
        <v>0</v>
      </c>
      <c r="BP163" s="363">
        <v>0</v>
      </c>
      <c r="BQ163" s="363">
        <v>0</v>
      </c>
      <c r="BR163" s="363">
        <v>0</v>
      </c>
      <c r="BS163" s="363">
        <v>0</v>
      </c>
      <c r="BT163" s="363">
        <v>0</v>
      </c>
      <c r="BU163" s="363">
        <v>0</v>
      </c>
      <c r="BV163" s="363">
        <v>0</v>
      </c>
      <c r="BW163" s="363">
        <v>0</v>
      </c>
      <c r="BX163" s="363">
        <v>0</v>
      </c>
      <c r="BY163" s="363">
        <v>0</v>
      </c>
      <c r="BZ163" s="363">
        <v>0</v>
      </c>
      <c r="CA163" s="363">
        <v>0</v>
      </c>
      <c r="CB163" s="363">
        <v>0</v>
      </c>
      <c r="CC163" s="363">
        <v>0</v>
      </c>
      <c r="CE163"/>
      <c r="CF163"/>
      <c r="CG163"/>
      <c r="CH163"/>
      <c r="CI163"/>
      <c r="CJ163"/>
      <c r="CK163"/>
    </row>
    <row r="164" spans="1:89" s="32" customFormat="1" ht="19.5" customHeight="1" thickBot="1" x14ac:dyDescent="0.25">
      <c r="A164" s="185"/>
      <c r="B164" s="356"/>
      <c r="C164" s="362"/>
      <c r="D164" s="363"/>
      <c r="F164" s="85">
        <f t="shared" si="6"/>
        <v>0</v>
      </c>
      <c r="G164"/>
      <c r="H164" s="85" t="str">
        <f t="shared" si="7"/>
        <v>Completo</v>
      </c>
      <c r="J164" s="363">
        <v>0</v>
      </c>
      <c r="K164" s="363">
        <v>0</v>
      </c>
      <c r="L164" s="363">
        <v>0</v>
      </c>
      <c r="M164" s="363">
        <v>0</v>
      </c>
      <c r="N164" s="363">
        <v>0</v>
      </c>
      <c r="O164" s="363">
        <v>0</v>
      </c>
      <c r="P164" s="363">
        <v>0</v>
      </c>
      <c r="Q164" s="363">
        <v>0</v>
      </c>
      <c r="R164" s="363">
        <v>0</v>
      </c>
      <c r="S164" s="363">
        <v>0</v>
      </c>
      <c r="T164" s="363">
        <v>0</v>
      </c>
      <c r="U164" s="363">
        <v>0</v>
      </c>
      <c r="V164" s="363">
        <v>0</v>
      </c>
      <c r="W164" s="363">
        <v>0</v>
      </c>
      <c r="X164" s="363">
        <v>0</v>
      </c>
      <c r="Y164" s="363">
        <v>0</v>
      </c>
      <c r="Z164" s="363">
        <v>0</v>
      </c>
      <c r="AA164" s="363">
        <v>0</v>
      </c>
      <c r="AB164" s="363">
        <v>0</v>
      </c>
      <c r="AC164" s="363">
        <v>0</v>
      </c>
      <c r="AD164" s="363">
        <v>0</v>
      </c>
      <c r="AE164" s="363">
        <v>0</v>
      </c>
      <c r="AF164" s="363">
        <v>0</v>
      </c>
      <c r="AG164" s="363">
        <v>0</v>
      </c>
      <c r="AH164" s="363">
        <v>0</v>
      </c>
      <c r="AI164" s="363">
        <v>0</v>
      </c>
      <c r="AJ164" s="363">
        <v>0</v>
      </c>
      <c r="AK164" s="363">
        <v>0</v>
      </c>
      <c r="AL164" s="363">
        <v>0</v>
      </c>
      <c r="AM164" s="363">
        <v>0</v>
      </c>
      <c r="AN164" s="363">
        <v>0</v>
      </c>
      <c r="AO164" s="363">
        <v>0</v>
      </c>
      <c r="AP164" s="363">
        <v>0</v>
      </c>
      <c r="AQ164" s="363">
        <v>0</v>
      </c>
      <c r="AR164" s="363">
        <v>0</v>
      </c>
      <c r="AS164" s="363">
        <v>0</v>
      </c>
      <c r="AT164" s="363">
        <v>0</v>
      </c>
      <c r="AU164" s="363">
        <v>0</v>
      </c>
      <c r="AV164" s="363">
        <v>0</v>
      </c>
      <c r="AW164" s="363">
        <v>0</v>
      </c>
      <c r="AX164" s="363">
        <v>0</v>
      </c>
      <c r="AY164" s="363">
        <v>0</v>
      </c>
      <c r="AZ164" s="363">
        <v>0</v>
      </c>
      <c r="BA164" s="363">
        <v>0</v>
      </c>
      <c r="BB164" s="363">
        <v>0</v>
      </c>
      <c r="BC164" s="363">
        <v>0</v>
      </c>
      <c r="BD164" s="363">
        <v>0</v>
      </c>
      <c r="BE164" s="363">
        <v>0</v>
      </c>
      <c r="BF164" s="363">
        <v>0</v>
      </c>
      <c r="BG164" s="363">
        <v>0</v>
      </c>
      <c r="BH164" s="363">
        <v>0</v>
      </c>
      <c r="BI164" s="363">
        <v>0</v>
      </c>
      <c r="BJ164" s="363">
        <v>0</v>
      </c>
      <c r="BK164" s="363">
        <v>0</v>
      </c>
      <c r="BL164" s="363">
        <v>0</v>
      </c>
      <c r="BM164" s="363">
        <v>0</v>
      </c>
      <c r="BN164" s="363">
        <v>0</v>
      </c>
      <c r="BO164" s="363">
        <v>0</v>
      </c>
      <c r="BP164" s="363">
        <v>0</v>
      </c>
      <c r="BQ164" s="363">
        <v>0</v>
      </c>
      <c r="BR164" s="363">
        <v>0</v>
      </c>
      <c r="BS164" s="363">
        <v>0</v>
      </c>
      <c r="BT164" s="363">
        <v>0</v>
      </c>
      <c r="BU164" s="363">
        <v>0</v>
      </c>
      <c r="BV164" s="363">
        <v>0</v>
      </c>
      <c r="BW164" s="363">
        <v>0</v>
      </c>
      <c r="BX164" s="363">
        <v>0</v>
      </c>
      <c r="BY164" s="363">
        <v>0</v>
      </c>
      <c r="BZ164" s="363">
        <v>0</v>
      </c>
      <c r="CA164" s="363">
        <v>0</v>
      </c>
      <c r="CB164" s="363">
        <v>0</v>
      </c>
      <c r="CC164" s="363">
        <v>0</v>
      </c>
      <c r="CE164"/>
      <c r="CF164"/>
      <c r="CG164"/>
      <c r="CH164"/>
      <c r="CI164"/>
      <c r="CJ164"/>
      <c r="CK164"/>
    </row>
    <row r="165" spans="1:89" s="32" customFormat="1" ht="19.5" customHeight="1" thickBot="1" x14ac:dyDescent="0.25">
      <c r="A165" s="185"/>
      <c r="B165" s="356"/>
      <c r="C165" s="362"/>
      <c r="D165" s="363"/>
      <c r="F165" s="85">
        <f t="shared" si="6"/>
        <v>0</v>
      </c>
      <c r="G165"/>
      <c r="H165" s="85" t="str">
        <f t="shared" si="7"/>
        <v>Completo</v>
      </c>
      <c r="J165" s="363">
        <v>0</v>
      </c>
      <c r="K165" s="363">
        <v>0</v>
      </c>
      <c r="L165" s="363">
        <v>0</v>
      </c>
      <c r="M165" s="363">
        <v>0</v>
      </c>
      <c r="N165" s="363">
        <v>0</v>
      </c>
      <c r="O165" s="363">
        <v>0</v>
      </c>
      <c r="P165" s="363">
        <v>0</v>
      </c>
      <c r="Q165" s="363">
        <v>0</v>
      </c>
      <c r="R165" s="363">
        <v>0</v>
      </c>
      <c r="S165" s="363">
        <v>0</v>
      </c>
      <c r="T165" s="363">
        <v>0</v>
      </c>
      <c r="U165" s="363">
        <v>0</v>
      </c>
      <c r="V165" s="363">
        <v>0</v>
      </c>
      <c r="W165" s="363">
        <v>0</v>
      </c>
      <c r="X165" s="363">
        <v>0</v>
      </c>
      <c r="Y165" s="363">
        <v>0</v>
      </c>
      <c r="Z165" s="363">
        <v>0</v>
      </c>
      <c r="AA165" s="363">
        <v>0</v>
      </c>
      <c r="AB165" s="363">
        <v>0</v>
      </c>
      <c r="AC165" s="363">
        <v>0</v>
      </c>
      <c r="AD165" s="363">
        <v>0</v>
      </c>
      <c r="AE165" s="363">
        <v>0</v>
      </c>
      <c r="AF165" s="363">
        <v>0</v>
      </c>
      <c r="AG165" s="363">
        <v>0</v>
      </c>
      <c r="AH165" s="363">
        <v>0</v>
      </c>
      <c r="AI165" s="363">
        <v>0</v>
      </c>
      <c r="AJ165" s="363">
        <v>0</v>
      </c>
      <c r="AK165" s="363">
        <v>0</v>
      </c>
      <c r="AL165" s="363">
        <v>0</v>
      </c>
      <c r="AM165" s="363">
        <v>0</v>
      </c>
      <c r="AN165" s="363">
        <v>0</v>
      </c>
      <c r="AO165" s="363">
        <v>0</v>
      </c>
      <c r="AP165" s="363">
        <v>0</v>
      </c>
      <c r="AQ165" s="363">
        <v>0</v>
      </c>
      <c r="AR165" s="363">
        <v>0</v>
      </c>
      <c r="AS165" s="363">
        <v>0</v>
      </c>
      <c r="AT165" s="363">
        <v>0</v>
      </c>
      <c r="AU165" s="363">
        <v>0</v>
      </c>
      <c r="AV165" s="363">
        <v>0</v>
      </c>
      <c r="AW165" s="363">
        <v>0</v>
      </c>
      <c r="AX165" s="363">
        <v>0</v>
      </c>
      <c r="AY165" s="363">
        <v>0</v>
      </c>
      <c r="AZ165" s="363">
        <v>0</v>
      </c>
      <c r="BA165" s="363">
        <v>0</v>
      </c>
      <c r="BB165" s="363">
        <v>0</v>
      </c>
      <c r="BC165" s="363">
        <v>0</v>
      </c>
      <c r="BD165" s="363">
        <v>0</v>
      </c>
      <c r="BE165" s="363">
        <v>0</v>
      </c>
      <c r="BF165" s="363">
        <v>0</v>
      </c>
      <c r="BG165" s="363">
        <v>0</v>
      </c>
      <c r="BH165" s="363">
        <v>0</v>
      </c>
      <c r="BI165" s="363">
        <v>0</v>
      </c>
      <c r="BJ165" s="363">
        <v>0</v>
      </c>
      <c r="BK165" s="363">
        <v>0</v>
      </c>
      <c r="BL165" s="363">
        <v>0</v>
      </c>
      <c r="BM165" s="363">
        <v>0</v>
      </c>
      <c r="BN165" s="363">
        <v>0</v>
      </c>
      <c r="BO165" s="363">
        <v>0</v>
      </c>
      <c r="BP165" s="363">
        <v>0</v>
      </c>
      <c r="BQ165" s="363">
        <v>0</v>
      </c>
      <c r="BR165" s="363">
        <v>0</v>
      </c>
      <c r="BS165" s="363">
        <v>0</v>
      </c>
      <c r="BT165" s="363">
        <v>0</v>
      </c>
      <c r="BU165" s="363">
        <v>0</v>
      </c>
      <c r="BV165" s="363">
        <v>0</v>
      </c>
      <c r="BW165" s="363">
        <v>0</v>
      </c>
      <c r="BX165" s="363">
        <v>0</v>
      </c>
      <c r="BY165" s="363">
        <v>0</v>
      </c>
      <c r="BZ165" s="363">
        <v>0</v>
      </c>
      <c r="CA165" s="363">
        <v>0</v>
      </c>
      <c r="CB165" s="363">
        <v>0</v>
      </c>
      <c r="CC165" s="363">
        <v>0</v>
      </c>
      <c r="CE165"/>
      <c r="CF165"/>
      <c r="CG165"/>
      <c r="CH165"/>
      <c r="CI165"/>
      <c r="CJ165"/>
      <c r="CK165"/>
    </row>
    <row r="166" spans="1:89" s="32" customFormat="1" ht="19.5" customHeight="1" thickBot="1" x14ac:dyDescent="0.25">
      <c r="A166" s="185"/>
      <c r="B166" s="356"/>
      <c r="C166" s="362"/>
      <c r="D166" s="363"/>
      <c r="F166" s="85">
        <f t="shared" si="6"/>
        <v>0</v>
      </c>
      <c r="G166"/>
      <c r="H166" s="85" t="str">
        <f t="shared" si="7"/>
        <v>Completo</v>
      </c>
      <c r="J166" s="363">
        <v>0</v>
      </c>
      <c r="K166" s="363">
        <v>0</v>
      </c>
      <c r="L166" s="363">
        <v>0</v>
      </c>
      <c r="M166" s="363">
        <v>0</v>
      </c>
      <c r="N166" s="363">
        <v>0</v>
      </c>
      <c r="O166" s="363">
        <v>0</v>
      </c>
      <c r="P166" s="363">
        <v>0</v>
      </c>
      <c r="Q166" s="363">
        <v>0</v>
      </c>
      <c r="R166" s="363">
        <v>0</v>
      </c>
      <c r="S166" s="363">
        <v>0</v>
      </c>
      <c r="T166" s="363">
        <v>0</v>
      </c>
      <c r="U166" s="363">
        <v>0</v>
      </c>
      <c r="V166" s="363">
        <v>0</v>
      </c>
      <c r="W166" s="363">
        <v>0</v>
      </c>
      <c r="X166" s="363">
        <v>0</v>
      </c>
      <c r="Y166" s="363">
        <v>0</v>
      </c>
      <c r="Z166" s="363">
        <v>0</v>
      </c>
      <c r="AA166" s="363">
        <v>0</v>
      </c>
      <c r="AB166" s="363">
        <v>0</v>
      </c>
      <c r="AC166" s="363">
        <v>0</v>
      </c>
      <c r="AD166" s="363">
        <v>0</v>
      </c>
      <c r="AE166" s="363">
        <v>0</v>
      </c>
      <c r="AF166" s="363">
        <v>0</v>
      </c>
      <c r="AG166" s="363">
        <v>0</v>
      </c>
      <c r="AH166" s="363">
        <v>0</v>
      </c>
      <c r="AI166" s="363">
        <v>0</v>
      </c>
      <c r="AJ166" s="363">
        <v>0</v>
      </c>
      <c r="AK166" s="363">
        <v>0</v>
      </c>
      <c r="AL166" s="363">
        <v>0</v>
      </c>
      <c r="AM166" s="363">
        <v>0</v>
      </c>
      <c r="AN166" s="363">
        <v>0</v>
      </c>
      <c r="AO166" s="363">
        <v>0</v>
      </c>
      <c r="AP166" s="363">
        <v>0</v>
      </c>
      <c r="AQ166" s="363">
        <v>0</v>
      </c>
      <c r="AR166" s="363">
        <v>0</v>
      </c>
      <c r="AS166" s="363">
        <v>0</v>
      </c>
      <c r="AT166" s="363">
        <v>0</v>
      </c>
      <c r="AU166" s="363">
        <v>0</v>
      </c>
      <c r="AV166" s="363">
        <v>0</v>
      </c>
      <c r="AW166" s="363">
        <v>0</v>
      </c>
      <c r="AX166" s="363">
        <v>0</v>
      </c>
      <c r="AY166" s="363">
        <v>0</v>
      </c>
      <c r="AZ166" s="363">
        <v>0</v>
      </c>
      <c r="BA166" s="363">
        <v>0</v>
      </c>
      <c r="BB166" s="363">
        <v>0</v>
      </c>
      <c r="BC166" s="363">
        <v>0</v>
      </c>
      <c r="BD166" s="363">
        <v>0</v>
      </c>
      <c r="BE166" s="363">
        <v>0</v>
      </c>
      <c r="BF166" s="363">
        <v>0</v>
      </c>
      <c r="BG166" s="363">
        <v>0</v>
      </c>
      <c r="BH166" s="363">
        <v>0</v>
      </c>
      <c r="BI166" s="363">
        <v>0</v>
      </c>
      <c r="BJ166" s="363">
        <v>0</v>
      </c>
      <c r="BK166" s="363">
        <v>0</v>
      </c>
      <c r="BL166" s="363">
        <v>0</v>
      </c>
      <c r="BM166" s="363">
        <v>0</v>
      </c>
      <c r="BN166" s="363">
        <v>0</v>
      </c>
      <c r="BO166" s="363">
        <v>0</v>
      </c>
      <c r="BP166" s="363">
        <v>0</v>
      </c>
      <c r="BQ166" s="363">
        <v>0</v>
      </c>
      <c r="BR166" s="363">
        <v>0</v>
      </c>
      <c r="BS166" s="363">
        <v>0</v>
      </c>
      <c r="BT166" s="363">
        <v>0</v>
      </c>
      <c r="BU166" s="363">
        <v>0</v>
      </c>
      <c r="BV166" s="363">
        <v>0</v>
      </c>
      <c r="BW166" s="363">
        <v>0</v>
      </c>
      <c r="BX166" s="363">
        <v>0</v>
      </c>
      <c r="BY166" s="363">
        <v>0</v>
      </c>
      <c r="BZ166" s="363">
        <v>0</v>
      </c>
      <c r="CA166" s="363">
        <v>0</v>
      </c>
      <c r="CB166" s="363">
        <v>0</v>
      </c>
      <c r="CC166" s="363">
        <v>0</v>
      </c>
      <c r="CE166"/>
      <c r="CF166"/>
      <c r="CG166"/>
      <c r="CH166"/>
      <c r="CI166"/>
      <c r="CJ166"/>
      <c r="CK166"/>
    </row>
    <row r="167" spans="1:89" s="32" customFormat="1" ht="19.5" customHeight="1" thickBot="1" x14ac:dyDescent="0.25">
      <c r="A167" s="185"/>
      <c r="B167" s="356"/>
      <c r="C167" s="362"/>
      <c r="D167" s="363"/>
      <c r="F167" s="85">
        <f t="shared" si="6"/>
        <v>0</v>
      </c>
      <c r="G167"/>
      <c r="H167" s="85" t="str">
        <f t="shared" si="7"/>
        <v>Completo</v>
      </c>
      <c r="J167" s="363">
        <v>0</v>
      </c>
      <c r="K167" s="363">
        <v>0</v>
      </c>
      <c r="L167" s="363">
        <v>0</v>
      </c>
      <c r="M167" s="363">
        <v>0</v>
      </c>
      <c r="N167" s="363">
        <v>0</v>
      </c>
      <c r="O167" s="363">
        <v>0</v>
      </c>
      <c r="P167" s="363">
        <v>0</v>
      </c>
      <c r="Q167" s="363">
        <v>0</v>
      </c>
      <c r="R167" s="363">
        <v>0</v>
      </c>
      <c r="S167" s="363">
        <v>0</v>
      </c>
      <c r="T167" s="363">
        <v>0</v>
      </c>
      <c r="U167" s="363">
        <v>0</v>
      </c>
      <c r="V167" s="363">
        <v>0</v>
      </c>
      <c r="W167" s="363">
        <v>0</v>
      </c>
      <c r="X167" s="363">
        <v>0</v>
      </c>
      <c r="Y167" s="363">
        <v>0</v>
      </c>
      <c r="Z167" s="363">
        <v>0</v>
      </c>
      <c r="AA167" s="363">
        <v>0</v>
      </c>
      <c r="AB167" s="363">
        <v>0</v>
      </c>
      <c r="AC167" s="363">
        <v>0</v>
      </c>
      <c r="AD167" s="363">
        <v>0</v>
      </c>
      <c r="AE167" s="363">
        <v>0</v>
      </c>
      <c r="AF167" s="363">
        <v>0</v>
      </c>
      <c r="AG167" s="363">
        <v>0</v>
      </c>
      <c r="AH167" s="363">
        <v>0</v>
      </c>
      <c r="AI167" s="363">
        <v>0</v>
      </c>
      <c r="AJ167" s="363">
        <v>0</v>
      </c>
      <c r="AK167" s="363">
        <v>0</v>
      </c>
      <c r="AL167" s="363">
        <v>0</v>
      </c>
      <c r="AM167" s="363">
        <v>0</v>
      </c>
      <c r="AN167" s="363">
        <v>0</v>
      </c>
      <c r="AO167" s="363">
        <v>0</v>
      </c>
      <c r="AP167" s="363">
        <v>0</v>
      </c>
      <c r="AQ167" s="363">
        <v>0</v>
      </c>
      <c r="AR167" s="363">
        <v>0</v>
      </c>
      <c r="AS167" s="363">
        <v>0</v>
      </c>
      <c r="AT167" s="363">
        <v>0</v>
      </c>
      <c r="AU167" s="363">
        <v>0</v>
      </c>
      <c r="AV167" s="363">
        <v>0</v>
      </c>
      <c r="AW167" s="363">
        <v>0</v>
      </c>
      <c r="AX167" s="363">
        <v>0</v>
      </c>
      <c r="AY167" s="363">
        <v>0</v>
      </c>
      <c r="AZ167" s="363">
        <v>0</v>
      </c>
      <c r="BA167" s="363">
        <v>0</v>
      </c>
      <c r="BB167" s="363">
        <v>0</v>
      </c>
      <c r="BC167" s="363">
        <v>0</v>
      </c>
      <c r="BD167" s="363">
        <v>0</v>
      </c>
      <c r="BE167" s="363">
        <v>0</v>
      </c>
      <c r="BF167" s="363">
        <v>0</v>
      </c>
      <c r="BG167" s="363">
        <v>0</v>
      </c>
      <c r="BH167" s="363">
        <v>0</v>
      </c>
      <c r="BI167" s="363">
        <v>0</v>
      </c>
      <c r="BJ167" s="363">
        <v>0</v>
      </c>
      <c r="BK167" s="363">
        <v>0</v>
      </c>
      <c r="BL167" s="363">
        <v>0</v>
      </c>
      <c r="BM167" s="363">
        <v>0</v>
      </c>
      <c r="BN167" s="363">
        <v>0</v>
      </c>
      <c r="BO167" s="363">
        <v>0</v>
      </c>
      <c r="BP167" s="363">
        <v>0</v>
      </c>
      <c r="BQ167" s="363">
        <v>0</v>
      </c>
      <c r="BR167" s="363">
        <v>0</v>
      </c>
      <c r="BS167" s="363">
        <v>0</v>
      </c>
      <c r="BT167" s="363">
        <v>0</v>
      </c>
      <c r="BU167" s="363">
        <v>0</v>
      </c>
      <c r="BV167" s="363">
        <v>0</v>
      </c>
      <c r="BW167" s="363">
        <v>0</v>
      </c>
      <c r="BX167" s="363">
        <v>0</v>
      </c>
      <c r="BY167" s="363">
        <v>0</v>
      </c>
      <c r="BZ167" s="363">
        <v>0</v>
      </c>
      <c r="CA167" s="363">
        <v>0</v>
      </c>
      <c r="CB167" s="363">
        <v>0</v>
      </c>
      <c r="CC167" s="363">
        <v>0</v>
      </c>
      <c r="CE167"/>
      <c r="CF167"/>
      <c r="CG167"/>
      <c r="CH167"/>
      <c r="CI167"/>
      <c r="CJ167"/>
      <c r="CK167"/>
    </row>
    <row r="168" spans="1:89" s="32" customFormat="1" ht="19.5" customHeight="1" thickBot="1" x14ac:dyDescent="0.25">
      <c r="A168" s="185"/>
      <c r="B168" s="356"/>
      <c r="C168" s="362"/>
      <c r="D168" s="363"/>
      <c r="F168" s="85">
        <f t="shared" si="6"/>
        <v>0</v>
      </c>
      <c r="G168"/>
      <c r="H168" s="85" t="str">
        <f t="shared" si="7"/>
        <v>Completo</v>
      </c>
      <c r="J168" s="363">
        <v>0</v>
      </c>
      <c r="K168" s="363">
        <v>0</v>
      </c>
      <c r="L168" s="363">
        <v>0</v>
      </c>
      <c r="M168" s="363">
        <v>0</v>
      </c>
      <c r="N168" s="363">
        <v>0</v>
      </c>
      <c r="O168" s="363">
        <v>0</v>
      </c>
      <c r="P168" s="363">
        <v>0</v>
      </c>
      <c r="Q168" s="363">
        <v>0</v>
      </c>
      <c r="R168" s="363">
        <v>0</v>
      </c>
      <c r="S168" s="363">
        <v>0</v>
      </c>
      <c r="T168" s="363">
        <v>0</v>
      </c>
      <c r="U168" s="363">
        <v>0</v>
      </c>
      <c r="V168" s="363">
        <v>0</v>
      </c>
      <c r="W168" s="363">
        <v>0</v>
      </c>
      <c r="X168" s="363">
        <v>0</v>
      </c>
      <c r="Y168" s="363">
        <v>0</v>
      </c>
      <c r="Z168" s="363">
        <v>0</v>
      </c>
      <c r="AA168" s="363">
        <v>0</v>
      </c>
      <c r="AB168" s="363">
        <v>0</v>
      </c>
      <c r="AC168" s="363">
        <v>0</v>
      </c>
      <c r="AD168" s="363">
        <v>0</v>
      </c>
      <c r="AE168" s="363">
        <v>0</v>
      </c>
      <c r="AF168" s="363">
        <v>0</v>
      </c>
      <c r="AG168" s="363">
        <v>0</v>
      </c>
      <c r="AH168" s="363">
        <v>0</v>
      </c>
      <c r="AI168" s="363">
        <v>0</v>
      </c>
      <c r="AJ168" s="363">
        <v>0</v>
      </c>
      <c r="AK168" s="363">
        <v>0</v>
      </c>
      <c r="AL168" s="363">
        <v>0</v>
      </c>
      <c r="AM168" s="363">
        <v>0</v>
      </c>
      <c r="AN168" s="363">
        <v>0</v>
      </c>
      <c r="AO168" s="363">
        <v>0</v>
      </c>
      <c r="AP168" s="363">
        <v>0</v>
      </c>
      <c r="AQ168" s="363">
        <v>0</v>
      </c>
      <c r="AR168" s="363">
        <v>0</v>
      </c>
      <c r="AS168" s="363">
        <v>0</v>
      </c>
      <c r="AT168" s="363">
        <v>0</v>
      </c>
      <c r="AU168" s="363">
        <v>0</v>
      </c>
      <c r="AV168" s="363">
        <v>0</v>
      </c>
      <c r="AW168" s="363">
        <v>0</v>
      </c>
      <c r="AX168" s="363">
        <v>0</v>
      </c>
      <c r="AY168" s="363">
        <v>0</v>
      </c>
      <c r="AZ168" s="363">
        <v>0</v>
      </c>
      <c r="BA168" s="363">
        <v>0</v>
      </c>
      <c r="BB168" s="363">
        <v>0</v>
      </c>
      <c r="BC168" s="363">
        <v>0</v>
      </c>
      <c r="BD168" s="363">
        <v>0</v>
      </c>
      <c r="BE168" s="363">
        <v>0</v>
      </c>
      <c r="BF168" s="363">
        <v>0</v>
      </c>
      <c r="BG168" s="363">
        <v>0</v>
      </c>
      <c r="BH168" s="363">
        <v>0</v>
      </c>
      <c r="BI168" s="363">
        <v>0</v>
      </c>
      <c r="BJ168" s="363">
        <v>0</v>
      </c>
      <c r="BK168" s="363">
        <v>0</v>
      </c>
      <c r="BL168" s="363">
        <v>0</v>
      </c>
      <c r="BM168" s="363">
        <v>0</v>
      </c>
      <c r="BN168" s="363">
        <v>0</v>
      </c>
      <c r="BO168" s="363">
        <v>0</v>
      </c>
      <c r="BP168" s="363">
        <v>0</v>
      </c>
      <c r="BQ168" s="363">
        <v>0</v>
      </c>
      <c r="BR168" s="363">
        <v>0</v>
      </c>
      <c r="BS168" s="363">
        <v>0</v>
      </c>
      <c r="BT168" s="363">
        <v>0</v>
      </c>
      <c r="BU168" s="363">
        <v>0</v>
      </c>
      <c r="BV168" s="363">
        <v>0</v>
      </c>
      <c r="BW168" s="363">
        <v>0</v>
      </c>
      <c r="BX168" s="363">
        <v>0</v>
      </c>
      <c r="BY168" s="363">
        <v>0</v>
      </c>
      <c r="BZ168" s="363">
        <v>0</v>
      </c>
      <c r="CA168" s="363">
        <v>0</v>
      </c>
      <c r="CB168" s="363">
        <v>0</v>
      </c>
      <c r="CC168" s="363">
        <v>0</v>
      </c>
      <c r="CE168"/>
      <c r="CF168"/>
      <c r="CG168"/>
      <c r="CH168"/>
      <c r="CI168"/>
      <c r="CJ168"/>
      <c r="CK168"/>
    </row>
    <row r="169" spans="1:89" s="32" customFormat="1" ht="19.5" customHeight="1" thickBot="1" x14ac:dyDescent="0.25">
      <c r="A169" s="185"/>
      <c r="B169" s="356"/>
      <c r="C169" s="362"/>
      <c r="D169" s="363"/>
      <c r="F169" s="85">
        <f t="shared" si="6"/>
        <v>0</v>
      </c>
      <c r="G169"/>
      <c r="H169" s="85" t="str">
        <f t="shared" si="7"/>
        <v>Completo</v>
      </c>
      <c r="J169" s="363">
        <v>0</v>
      </c>
      <c r="K169" s="363">
        <v>0</v>
      </c>
      <c r="L169" s="363">
        <v>0</v>
      </c>
      <c r="M169" s="363">
        <v>0</v>
      </c>
      <c r="N169" s="363">
        <v>0</v>
      </c>
      <c r="O169" s="363">
        <v>0</v>
      </c>
      <c r="P169" s="363">
        <v>0</v>
      </c>
      <c r="Q169" s="363">
        <v>0</v>
      </c>
      <c r="R169" s="363">
        <v>0</v>
      </c>
      <c r="S169" s="363">
        <v>0</v>
      </c>
      <c r="T169" s="363">
        <v>0</v>
      </c>
      <c r="U169" s="363">
        <v>0</v>
      </c>
      <c r="V169" s="363">
        <v>0</v>
      </c>
      <c r="W169" s="363">
        <v>0</v>
      </c>
      <c r="X169" s="363">
        <v>0</v>
      </c>
      <c r="Y169" s="363">
        <v>0</v>
      </c>
      <c r="Z169" s="363">
        <v>0</v>
      </c>
      <c r="AA169" s="363">
        <v>0</v>
      </c>
      <c r="AB169" s="363">
        <v>0</v>
      </c>
      <c r="AC169" s="363">
        <v>0</v>
      </c>
      <c r="AD169" s="363">
        <v>0</v>
      </c>
      <c r="AE169" s="363">
        <v>0</v>
      </c>
      <c r="AF169" s="363">
        <v>0</v>
      </c>
      <c r="AG169" s="363">
        <v>0</v>
      </c>
      <c r="AH169" s="363">
        <v>0</v>
      </c>
      <c r="AI169" s="363">
        <v>0</v>
      </c>
      <c r="AJ169" s="363">
        <v>0</v>
      </c>
      <c r="AK169" s="363">
        <v>0</v>
      </c>
      <c r="AL169" s="363">
        <v>0</v>
      </c>
      <c r="AM169" s="363">
        <v>0</v>
      </c>
      <c r="AN169" s="363">
        <v>0</v>
      </c>
      <c r="AO169" s="363">
        <v>0</v>
      </c>
      <c r="AP169" s="363">
        <v>0</v>
      </c>
      <c r="AQ169" s="363">
        <v>0</v>
      </c>
      <c r="AR169" s="363">
        <v>0</v>
      </c>
      <c r="AS169" s="363">
        <v>0</v>
      </c>
      <c r="AT169" s="363">
        <v>0</v>
      </c>
      <c r="AU169" s="363">
        <v>0</v>
      </c>
      <c r="AV169" s="363">
        <v>0</v>
      </c>
      <c r="AW169" s="363">
        <v>0</v>
      </c>
      <c r="AX169" s="363">
        <v>0</v>
      </c>
      <c r="AY169" s="363">
        <v>0</v>
      </c>
      <c r="AZ169" s="363">
        <v>0</v>
      </c>
      <c r="BA169" s="363">
        <v>0</v>
      </c>
      <c r="BB169" s="363">
        <v>0</v>
      </c>
      <c r="BC169" s="363">
        <v>0</v>
      </c>
      <c r="BD169" s="363">
        <v>0</v>
      </c>
      <c r="BE169" s="363">
        <v>0</v>
      </c>
      <c r="BF169" s="363">
        <v>0</v>
      </c>
      <c r="BG169" s="363">
        <v>0</v>
      </c>
      <c r="BH169" s="363">
        <v>0</v>
      </c>
      <c r="BI169" s="363">
        <v>0</v>
      </c>
      <c r="BJ169" s="363">
        <v>0</v>
      </c>
      <c r="BK169" s="363">
        <v>0</v>
      </c>
      <c r="BL169" s="363">
        <v>0</v>
      </c>
      <c r="BM169" s="363">
        <v>0</v>
      </c>
      <c r="BN169" s="363">
        <v>0</v>
      </c>
      <c r="BO169" s="363">
        <v>0</v>
      </c>
      <c r="BP169" s="363">
        <v>0</v>
      </c>
      <c r="BQ169" s="363">
        <v>0</v>
      </c>
      <c r="BR169" s="363">
        <v>0</v>
      </c>
      <c r="BS169" s="363">
        <v>0</v>
      </c>
      <c r="BT169" s="363">
        <v>0</v>
      </c>
      <c r="BU169" s="363">
        <v>0</v>
      </c>
      <c r="BV169" s="363">
        <v>0</v>
      </c>
      <c r="BW169" s="363">
        <v>0</v>
      </c>
      <c r="BX169" s="363">
        <v>0</v>
      </c>
      <c r="BY169" s="363">
        <v>0</v>
      </c>
      <c r="BZ169" s="363">
        <v>0</v>
      </c>
      <c r="CA169" s="363">
        <v>0</v>
      </c>
      <c r="CB169" s="363">
        <v>0</v>
      </c>
      <c r="CC169" s="363">
        <v>0</v>
      </c>
      <c r="CE169"/>
      <c r="CF169"/>
      <c r="CG169"/>
      <c r="CH169"/>
      <c r="CI169"/>
      <c r="CJ169"/>
      <c r="CK169"/>
    </row>
    <row r="170" spans="1:89" s="32" customFormat="1" ht="19.5" customHeight="1" thickBot="1" x14ac:dyDescent="0.25">
      <c r="A170" s="185"/>
      <c r="B170" s="356"/>
      <c r="C170" s="362"/>
      <c r="D170" s="363"/>
      <c r="F170" s="85">
        <f t="shared" si="6"/>
        <v>0</v>
      </c>
      <c r="G170"/>
      <c r="H170" s="85" t="str">
        <f t="shared" si="7"/>
        <v>Completo</v>
      </c>
      <c r="J170" s="363">
        <v>0</v>
      </c>
      <c r="K170" s="363">
        <v>0</v>
      </c>
      <c r="L170" s="363">
        <v>0</v>
      </c>
      <c r="M170" s="363">
        <v>0</v>
      </c>
      <c r="N170" s="363">
        <v>0</v>
      </c>
      <c r="O170" s="363">
        <v>0</v>
      </c>
      <c r="P170" s="363">
        <v>0</v>
      </c>
      <c r="Q170" s="363">
        <v>0</v>
      </c>
      <c r="R170" s="363">
        <v>0</v>
      </c>
      <c r="S170" s="363">
        <v>0</v>
      </c>
      <c r="T170" s="363">
        <v>0</v>
      </c>
      <c r="U170" s="363">
        <v>0</v>
      </c>
      <c r="V170" s="363">
        <v>0</v>
      </c>
      <c r="W170" s="363">
        <v>0</v>
      </c>
      <c r="X170" s="363">
        <v>0</v>
      </c>
      <c r="Y170" s="363">
        <v>0</v>
      </c>
      <c r="Z170" s="363">
        <v>0</v>
      </c>
      <c r="AA170" s="363">
        <v>0</v>
      </c>
      <c r="AB170" s="363">
        <v>0</v>
      </c>
      <c r="AC170" s="363">
        <v>0</v>
      </c>
      <c r="AD170" s="363">
        <v>0</v>
      </c>
      <c r="AE170" s="363">
        <v>0</v>
      </c>
      <c r="AF170" s="363">
        <v>0</v>
      </c>
      <c r="AG170" s="363">
        <v>0</v>
      </c>
      <c r="AH170" s="363">
        <v>0</v>
      </c>
      <c r="AI170" s="363">
        <v>0</v>
      </c>
      <c r="AJ170" s="363">
        <v>0</v>
      </c>
      <c r="AK170" s="363">
        <v>0</v>
      </c>
      <c r="AL170" s="363">
        <v>0</v>
      </c>
      <c r="AM170" s="363">
        <v>0</v>
      </c>
      <c r="AN170" s="363">
        <v>0</v>
      </c>
      <c r="AO170" s="363">
        <v>0</v>
      </c>
      <c r="AP170" s="363">
        <v>0</v>
      </c>
      <c r="AQ170" s="363">
        <v>0</v>
      </c>
      <c r="AR170" s="363">
        <v>0</v>
      </c>
      <c r="AS170" s="363">
        <v>0</v>
      </c>
      <c r="AT170" s="363">
        <v>0</v>
      </c>
      <c r="AU170" s="363">
        <v>0</v>
      </c>
      <c r="AV170" s="363">
        <v>0</v>
      </c>
      <c r="AW170" s="363">
        <v>0</v>
      </c>
      <c r="AX170" s="363">
        <v>0</v>
      </c>
      <c r="AY170" s="363">
        <v>0</v>
      </c>
      <c r="AZ170" s="363">
        <v>0</v>
      </c>
      <c r="BA170" s="363">
        <v>0</v>
      </c>
      <c r="BB170" s="363">
        <v>0</v>
      </c>
      <c r="BC170" s="363">
        <v>0</v>
      </c>
      <c r="BD170" s="363">
        <v>0</v>
      </c>
      <c r="BE170" s="363">
        <v>0</v>
      </c>
      <c r="BF170" s="363">
        <v>0</v>
      </c>
      <c r="BG170" s="363">
        <v>0</v>
      </c>
      <c r="BH170" s="363">
        <v>0</v>
      </c>
      <c r="BI170" s="363">
        <v>0</v>
      </c>
      <c r="BJ170" s="363">
        <v>0</v>
      </c>
      <c r="BK170" s="363">
        <v>0</v>
      </c>
      <c r="BL170" s="363">
        <v>0</v>
      </c>
      <c r="BM170" s="363">
        <v>0</v>
      </c>
      <c r="BN170" s="363">
        <v>0</v>
      </c>
      <c r="BO170" s="363">
        <v>0</v>
      </c>
      <c r="BP170" s="363">
        <v>0</v>
      </c>
      <c r="BQ170" s="363">
        <v>0</v>
      </c>
      <c r="BR170" s="363">
        <v>0</v>
      </c>
      <c r="BS170" s="363">
        <v>0</v>
      </c>
      <c r="BT170" s="363">
        <v>0</v>
      </c>
      <c r="BU170" s="363">
        <v>0</v>
      </c>
      <c r="BV170" s="363">
        <v>0</v>
      </c>
      <c r="BW170" s="363">
        <v>0</v>
      </c>
      <c r="BX170" s="363">
        <v>0</v>
      </c>
      <c r="BY170" s="363">
        <v>0</v>
      </c>
      <c r="BZ170" s="363">
        <v>0</v>
      </c>
      <c r="CA170" s="363">
        <v>0</v>
      </c>
      <c r="CB170" s="363">
        <v>0</v>
      </c>
      <c r="CC170" s="363">
        <v>0</v>
      </c>
      <c r="CE170"/>
      <c r="CF170"/>
      <c r="CG170"/>
      <c r="CH170"/>
      <c r="CI170"/>
      <c r="CJ170"/>
      <c r="CK170"/>
    </row>
    <row r="171" spans="1:89" s="32" customFormat="1" ht="19.5" customHeight="1" thickBot="1" x14ac:dyDescent="0.25">
      <c r="A171" s="185"/>
      <c r="B171" s="356"/>
      <c r="C171" s="362"/>
      <c r="D171" s="363"/>
      <c r="F171" s="85">
        <f t="shared" si="6"/>
        <v>0</v>
      </c>
      <c r="G171"/>
      <c r="H171" s="85" t="str">
        <f t="shared" si="7"/>
        <v>Completo</v>
      </c>
      <c r="J171" s="363">
        <v>0</v>
      </c>
      <c r="K171" s="363">
        <v>0</v>
      </c>
      <c r="L171" s="363">
        <v>0</v>
      </c>
      <c r="M171" s="363">
        <v>0</v>
      </c>
      <c r="N171" s="363">
        <v>0</v>
      </c>
      <c r="O171" s="363">
        <v>0</v>
      </c>
      <c r="P171" s="363">
        <v>0</v>
      </c>
      <c r="Q171" s="363">
        <v>0</v>
      </c>
      <c r="R171" s="363">
        <v>0</v>
      </c>
      <c r="S171" s="363">
        <v>0</v>
      </c>
      <c r="T171" s="363">
        <v>0</v>
      </c>
      <c r="U171" s="363">
        <v>0</v>
      </c>
      <c r="V171" s="363">
        <v>0</v>
      </c>
      <c r="W171" s="363">
        <v>0</v>
      </c>
      <c r="X171" s="363">
        <v>0</v>
      </c>
      <c r="Y171" s="363">
        <v>0</v>
      </c>
      <c r="Z171" s="363">
        <v>0</v>
      </c>
      <c r="AA171" s="363">
        <v>0</v>
      </c>
      <c r="AB171" s="363">
        <v>0</v>
      </c>
      <c r="AC171" s="363">
        <v>0</v>
      </c>
      <c r="AD171" s="363">
        <v>0</v>
      </c>
      <c r="AE171" s="363">
        <v>0</v>
      </c>
      <c r="AF171" s="363">
        <v>0</v>
      </c>
      <c r="AG171" s="363">
        <v>0</v>
      </c>
      <c r="AH171" s="363">
        <v>0</v>
      </c>
      <c r="AI171" s="363">
        <v>0</v>
      </c>
      <c r="AJ171" s="363">
        <v>0</v>
      </c>
      <c r="AK171" s="363">
        <v>0</v>
      </c>
      <c r="AL171" s="363">
        <v>0</v>
      </c>
      <c r="AM171" s="363">
        <v>0</v>
      </c>
      <c r="AN171" s="363">
        <v>0</v>
      </c>
      <c r="AO171" s="363">
        <v>0</v>
      </c>
      <c r="AP171" s="363">
        <v>0</v>
      </c>
      <c r="AQ171" s="363">
        <v>0</v>
      </c>
      <c r="AR171" s="363">
        <v>0</v>
      </c>
      <c r="AS171" s="363">
        <v>0</v>
      </c>
      <c r="AT171" s="363">
        <v>0</v>
      </c>
      <c r="AU171" s="363">
        <v>0</v>
      </c>
      <c r="AV171" s="363">
        <v>0</v>
      </c>
      <c r="AW171" s="363">
        <v>0</v>
      </c>
      <c r="AX171" s="363">
        <v>0</v>
      </c>
      <c r="AY171" s="363">
        <v>0</v>
      </c>
      <c r="AZ171" s="363">
        <v>0</v>
      </c>
      <c r="BA171" s="363">
        <v>0</v>
      </c>
      <c r="BB171" s="363">
        <v>0</v>
      </c>
      <c r="BC171" s="363">
        <v>0</v>
      </c>
      <c r="BD171" s="363">
        <v>0</v>
      </c>
      <c r="BE171" s="363">
        <v>0</v>
      </c>
      <c r="BF171" s="363">
        <v>0</v>
      </c>
      <c r="BG171" s="363">
        <v>0</v>
      </c>
      <c r="BH171" s="363">
        <v>0</v>
      </c>
      <c r="BI171" s="363">
        <v>0</v>
      </c>
      <c r="BJ171" s="363">
        <v>0</v>
      </c>
      <c r="BK171" s="363">
        <v>0</v>
      </c>
      <c r="BL171" s="363">
        <v>0</v>
      </c>
      <c r="BM171" s="363">
        <v>0</v>
      </c>
      <c r="BN171" s="363">
        <v>0</v>
      </c>
      <c r="BO171" s="363">
        <v>0</v>
      </c>
      <c r="BP171" s="363">
        <v>0</v>
      </c>
      <c r="BQ171" s="363">
        <v>0</v>
      </c>
      <c r="BR171" s="363">
        <v>0</v>
      </c>
      <c r="BS171" s="363">
        <v>0</v>
      </c>
      <c r="BT171" s="363">
        <v>0</v>
      </c>
      <c r="BU171" s="363">
        <v>0</v>
      </c>
      <c r="BV171" s="363">
        <v>0</v>
      </c>
      <c r="BW171" s="363">
        <v>0</v>
      </c>
      <c r="BX171" s="363">
        <v>0</v>
      </c>
      <c r="BY171" s="363">
        <v>0</v>
      </c>
      <c r="BZ171" s="363">
        <v>0</v>
      </c>
      <c r="CA171" s="363">
        <v>0</v>
      </c>
      <c r="CB171" s="363">
        <v>0</v>
      </c>
      <c r="CC171" s="363">
        <v>0</v>
      </c>
      <c r="CE171"/>
      <c r="CF171"/>
      <c r="CG171"/>
      <c r="CH171"/>
      <c r="CI171"/>
      <c r="CJ171"/>
      <c r="CK171"/>
    </row>
    <row r="172" spans="1:89" s="32" customFormat="1" ht="19.5" customHeight="1" thickBot="1" x14ac:dyDescent="0.25">
      <c r="A172" s="185"/>
      <c r="B172" s="356"/>
      <c r="C172" s="362"/>
      <c r="D172" s="363"/>
      <c r="F172" s="85">
        <f t="shared" si="6"/>
        <v>0</v>
      </c>
      <c r="G172"/>
      <c r="H172" s="85" t="str">
        <f t="shared" si="7"/>
        <v>Completo</v>
      </c>
      <c r="J172" s="363">
        <v>0</v>
      </c>
      <c r="K172" s="363">
        <v>0</v>
      </c>
      <c r="L172" s="363">
        <v>0</v>
      </c>
      <c r="M172" s="363">
        <v>0</v>
      </c>
      <c r="N172" s="363">
        <v>0</v>
      </c>
      <c r="O172" s="363">
        <v>0</v>
      </c>
      <c r="P172" s="363">
        <v>0</v>
      </c>
      <c r="Q172" s="363">
        <v>0</v>
      </c>
      <c r="R172" s="363">
        <v>0</v>
      </c>
      <c r="S172" s="363">
        <v>0</v>
      </c>
      <c r="T172" s="363">
        <v>0</v>
      </c>
      <c r="U172" s="363">
        <v>0</v>
      </c>
      <c r="V172" s="363">
        <v>0</v>
      </c>
      <c r="W172" s="363">
        <v>0</v>
      </c>
      <c r="X172" s="363">
        <v>0</v>
      </c>
      <c r="Y172" s="363">
        <v>0</v>
      </c>
      <c r="Z172" s="363">
        <v>0</v>
      </c>
      <c r="AA172" s="363">
        <v>0</v>
      </c>
      <c r="AB172" s="363">
        <v>0</v>
      </c>
      <c r="AC172" s="363">
        <v>0</v>
      </c>
      <c r="AD172" s="363">
        <v>0</v>
      </c>
      <c r="AE172" s="363">
        <v>0</v>
      </c>
      <c r="AF172" s="363">
        <v>0</v>
      </c>
      <c r="AG172" s="363">
        <v>0</v>
      </c>
      <c r="AH172" s="363">
        <v>0</v>
      </c>
      <c r="AI172" s="363">
        <v>0</v>
      </c>
      <c r="AJ172" s="363">
        <v>0</v>
      </c>
      <c r="AK172" s="363">
        <v>0</v>
      </c>
      <c r="AL172" s="363">
        <v>0</v>
      </c>
      <c r="AM172" s="363">
        <v>0</v>
      </c>
      <c r="AN172" s="363">
        <v>0</v>
      </c>
      <c r="AO172" s="363">
        <v>0</v>
      </c>
      <c r="AP172" s="363">
        <v>0</v>
      </c>
      <c r="AQ172" s="363">
        <v>0</v>
      </c>
      <c r="AR172" s="363">
        <v>0</v>
      </c>
      <c r="AS172" s="363">
        <v>0</v>
      </c>
      <c r="AT172" s="363">
        <v>0</v>
      </c>
      <c r="AU172" s="363">
        <v>0</v>
      </c>
      <c r="AV172" s="363">
        <v>0</v>
      </c>
      <c r="AW172" s="363">
        <v>0</v>
      </c>
      <c r="AX172" s="363">
        <v>0</v>
      </c>
      <c r="AY172" s="363">
        <v>0</v>
      </c>
      <c r="AZ172" s="363">
        <v>0</v>
      </c>
      <c r="BA172" s="363">
        <v>0</v>
      </c>
      <c r="BB172" s="363">
        <v>0</v>
      </c>
      <c r="BC172" s="363">
        <v>0</v>
      </c>
      <c r="BD172" s="363">
        <v>0</v>
      </c>
      <c r="BE172" s="363">
        <v>0</v>
      </c>
      <c r="BF172" s="363">
        <v>0</v>
      </c>
      <c r="BG172" s="363">
        <v>0</v>
      </c>
      <c r="BH172" s="363">
        <v>0</v>
      </c>
      <c r="BI172" s="363">
        <v>0</v>
      </c>
      <c r="BJ172" s="363">
        <v>0</v>
      </c>
      <c r="BK172" s="363">
        <v>0</v>
      </c>
      <c r="BL172" s="363">
        <v>0</v>
      </c>
      <c r="BM172" s="363">
        <v>0</v>
      </c>
      <c r="BN172" s="363">
        <v>0</v>
      </c>
      <c r="BO172" s="363">
        <v>0</v>
      </c>
      <c r="BP172" s="363">
        <v>0</v>
      </c>
      <c r="BQ172" s="363">
        <v>0</v>
      </c>
      <c r="BR172" s="363">
        <v>0</v>
      </c>
      <c r="BS172" s="363">
        <v>0</v>
      </c>
      <c r="BT172" s="363">
        <v>0</v>
      </c>
      <c r="BU172" s="363">
        <v>0</v>
      </c>
      <c r="BV172" s="363">
        <v>0</v>
      </c>
      <c r="BW172" s="363">
        <v>0</v>
      </c>
      <c r="BX172" s="363">
        <v>0</v>
      </c>
      <c r="BY172" s="363">
        <v>0</v>
      </c>
      <c r="BZ172" s="363">
        <v>0</v>
      </c>
      <c r="CA172" s="363">
        <v>0</v>
      </c>
      <c r="CB172" s="363">
        <v>0</v>
      </c>
      <c r="CC172" s="363">
        <v>0</v>
      </c>
      <c r="CE172"/>
      <c r="CF172"/>
      <c r="CG172"/>
      <c r="CH172"/>
      <c r="CI172"/>
      <c r="CJ172"/>
      <c r="CK172"/>
    </row>
    <row r="173" spans="1:89" s="32" customFormat="1" ht="19.5" customHeight="1" thickBot="1" x14ac:dyDescent="0.25">
      <c r="A173" s="185"/>
      <c r="B173" s="356"/>
      <c r="C173" s="362"/>
      <c r="D173" s="363"/>
      <c r="F173" s="85">
        <f t="shared" si="6"/>
        <v>0</v>
      </c>
      <c r="G173"/>
      <c r="H173" s="85" t="str">
        <f t="shared" si="7"/>
        <v>Completo</v>
      </c>
      <c r="J173" s="363">
        <v>0</v>
      </c>
      <c r="K173" s="363">
        <v>0</v>
      </c>
      <c r="L173" s="363">
        <v>0</v>
      </c>
      <c r="M173" s="363">
        <v>0</v>
      </c>
      <c r="N173" s="363">
        <v>0</v>
      </c>
      <c r="O173" s="363">
        <v>0</v>
      </c>
      <c r="P173" s="363">
        <v>0</v>
      </c>
      <c r="Q173" s="363">
        <v>0</v>
      </c>
      <c r="R173" s="363">
        <v>0</v>
      </c>
      <c r="S173" s="363">
        <v>0</v>
      </c>
      <c r="T173" s="363">
        <v>0</v>
      </c>
      <c r="U173" s="363">
        <v>0</v>
      </c>
      <c r="V173" s="363">
        <v>0</v>
      </c>
      <c r="W173" s="363">
        <v>0</v>
      </c>
      <c r="X173" s="363">
        <v>0</v>
      </c>
      <c r="Y173" s="363">
        <v>0</v>
      </c>
      <c r="Z173" s="363">
        <v>0</v>
      </c>
      <c r="AA173" s="363">
        <v>0</v>
      </c>
      <c r="AB173" s="363">
        <v>0</v>
      </c>
      <c r="AC173" s="363">
        <v>0</v>
      </c>
      <c r="AD173" s="363">
        <v>0</v>
      </c>
      <c r="AE173" s="363">
        <v>0</v>
      </c>
      <c r="AF173" s="363">
        <v>0</v>
      </c>
      <c r="AG173" s="363">
        <v>0</v>
      </c>
      <c r="AH173" s="363">
        <v>0</v>
      </c>
      <c r="AI173" s="363">
        <v>0</v>
      </c>
      <c r="AJ173" s="363">
        <v>0</v>
      </c>
      <c r="AK173" s="363">
        <v>0</v>
      </c>
      <c r="AL173" s="363">
        <v>0</v>
      </c>
      <c r="AM173" s="363">
        <v>0</v>
      </c>
      <c r="AN173" s="363">
        <v>0</v>
      </c>
      <c r="AO173" s="363">
        <v>0</v>
      </c>
      <c r="AP173" s="363">
        <v>0</v>
      </c>
      <c r="AQ173" s="363">
        <v>0</v>
      </c>
      <c r="AR173" s="363">
        <v>0</v>
      </c>
      <c r="AS173" s="363">
        <v>0</v>
      </c>
      <c r="AT173" s="363">
        <v>0</v>
      </c>
      <c r="AU173" s="363">
        <v>0</v>
      </c>
      <c r="AV173" s="363">
        <v>0</v>
      </c>
      <c r="AW173" s="363">
        <v>0</v>
      </c>
      <c r="AX173" s="363">
        <v>0</v>
      </c>
      <c r="AY173" s="363">
        <v>0</v>
      </c>
      <c r="AZ173" s="363">
        <v>0</v>
      </c>
      <c r="BA173" s="363">
        <v>0</v>
      </c>
      <c r="BB173" s="363">
        <v>0</v>
      </c>
      <c r="BC173" s="363">
        <v>0</v>
      </c>
      <c r="BD173" s="363">
        <v>0</v>
      </c>
      <c r="BE173" s="363">
        <v>0</v>
      </c>
      <c r="BF173" s="363">
        <v>0</v>
      </c>
      <c r="BG173" s="363">
        <v>0</v>
      </c>
      <c r="BH173" s="363">
        <v>0</v>
      </c>
      <c r="BI173" s="363">
        <v>0</v>
      </c>
      <c r="BJ173" s="363">
        <v>0</v>
      </c>
      <c r="BK173" s="363">
        <v>0</v>
      </c>
      <c r="BL173" s="363">
        <v>0</v>
      </c>
      <c r="BM173" s="363">
        <v>0</v>
      </c>
      <c r="BN173" s="363">
        <v>0</v>
      </c>
      <c r="BO173" s="363">
        <v>0</v>
      </c>
      <c r="BP173" s="363">
        <v>0</v>
      </c>
      <c r="BQ173" s="363">
        <v>0</v>
      </c>
      <c r="BR173" s="363">
        <v>0</v>
      </c>
      <c r="BS173" s="363">
        <v>0</v>
      </c>
      <c r="BT173" s="363">
        <v>0</v>
      </c>
      <c r="BU173" s="363">
        <v>0</v>
      </c>
      <c r="BV173" s="363">
        <v>0</v>
      </c>
      <c r="BW173" s="363">
        <v>0</v>
      </c>
      <c r="BX173" s="363">
        <v>0</v>
      </c>
      <c r="BY173" s="363">
        <v>0</v>
      </c>
      <c r="BZ173" s="363">
        <v>0</v>
      </c>
      <c r="CA173" s="363">
        <v>0</v>
      </c>
      <c r="CB173" s="363">
        <v>0</v>
      </c>
      <c r="CC173" s="363">
        <v>0</v>
      </c>
      <c r="CE173"/>
      <c r="CF173"/>
      <c r="CG173"/>
      <c r="CH173"/>
      <c r="CI173"/>
      <c r="CJ173"/>
      <c r="CK173"/>
    </row>
    <row r="174" spans="1:89" s="32" customFormat="1" ht="19.5" customHeight="1" thickBot="1" x14ac:dyDescent="0.25">
      <c r="A174" s="185"/>
      <c r="B174" s="356"/>
      <c r="C174" s="362"/>
      <c r="D174" s="363"/>
      <c r="F174" s="85">
        <f t="shared" si="6"/>
        <v>0</v>
      </c>
      <c r="G174"/>
      <c r="H174" s="85" t="str">
        <f t="shared" si="7"/>
        <v>Completo</v>
      </c>
      <c r="J174" s="363">
        <v>0</v>
      </c>
      <c r="K174" s="363">
        <v>0</v>
      </c>
      <c r="L174" s="363">
        <v>0</v>
      </c>
      <c r="M174" s="363">
        <v>0</v>
      </c>
      <c r="N174" s="363">
        <v>0</v>
      </c>
      <c r="O174" s="363">
        <v>0</v>
      </c>
      <c r="P174" s="363">
        <v>0</v>
      </c>
      <c r="Q174" s="363">
        <v>0</v>
      </c>
      <c r="R174" s="363">
        <v>0</v>
      </c>
      <c r="S174" s="363">
        <v>0</v>
      </c>
      <c r="T174" s="363">
        <v>0</v>
      </c>
      <c r="U174" s="363">
        <v>0</v>
      </c>
      <c r="V174" s="363">
        <v>0</v>
      </c>
      <c r="W174" s="363">
        <v>0</v>
      </c>
      <c r="X174" s="363">
        <v>0</v>
      </c>
      <c r="Y174" s="363">
        <v>0</v>
      </c>
      <c r="Z174" s="363">
        <v>0</v>
      </c>
      <c r="AA174" s="363">
        <v>0</v>
      </c>
      <c r="AB174" s="363">
        <v>0</v>
      </c>
      <c r="AC174" s="363">
        <v>0</v>
      </c>
      <c r="AD174" s="363">
        <v>0</v>
      </c>
      <c r="AE174" s="363">
        <v>0</v>
      </c>
      <c r="AF174" s="363">
        <v>0</v>
      </c>
      <c r="AG174" s="363">
        <v>0</v>
      </c>
      <c r="AH174" s="363">
        <v>0</v>
      </c>
      <c r="AI174" s="363">
        <v>0</v>
      </c>
      <c r="AJ174" s="363">
        <v>0</v>
      </c>
      <c r="AK174" s="363">
        <v>0</v>
      </c>
      <c r="AL174" s="363">
        <v>0</v>
      </c>
      <c r="AM174" s="363">
        <v>0</v>
      </c>
      <c r="AN174" s="363">
        <v>0</v>
      </c>
      <c r="AO174" s="363">
        <v>0</v>
      </c>
      <c r="AP174" s="363">
        <v>0</v>
      </c>
      <c r="AQ174" s="363">
        <v>0</v>
      </c>
      <c r="AR174" s="363">
        <v>0</v>
      </c>
      <c r="AS174" s="363">
        <v>0</v>
      </c>
      <c r="AT174" s="363">
        <v>0</v>
      </c>
      <c r="AU174" s="363">
        <v>0</v>
      </c>
      <c r="AV174" s="363">
        <v>0</v>
      </c>
      <c r="AW174" s="363">
        <v>0</v>
      </c>
      <c r="AX174" s="363">
        <v>0</v>
      </c>
      <c r="AY174" s="363">
        <v>0</v>
      </c>
      <c r="AZ174" s="363">
        <v>0</v>
      </c>
      <c r="BA174" s="363">
        <v>0</v>
      </c>
      <c r="BB174" s="363">
        <v>0</v>
      </c>
      <c r="BC174" s="363">
        <v>0</v>
      </c>
      <c r="BD174" s="363">
        <v>0</v>
      </c>
      <c r="BE174" s="363">
        <v>0</v>
      </c>
      <c r="BF174" s="363">
        <v>0</v>
      </c>
      <c r="BG174" s="363">
        <v>0</v>
      </c>
      <c r="BH174" s="363">
        <v>0</v>
      </c>
      <c r="BI174" s="363">
        <v>0</v>
      </c>
      <c r="BJ174" s="363">
        <v>0</v>
      </c>
      <c r="BK174" s="363">
        <v>0</v>
      </c>
      <c r="BL174" s="363">
        <v>0</v>
      </c>
      <c r="BM174" s="363">
        <v>0</v>
      </c>
      <c r="BN174" s="363">
        <v>0</v>
      </c>
      <c r="BO174" s="363">
        <v>0</v>
      </c>
      <c r="BP174" s="363">
        <v>0</v>
      </c>
      <c r="BQ174" s="363">
        <v>0</v>
      </c>
      <c r="BR174" s="363">
        <v>0</v>
      </c>
      <c r="BS174" s="363">
        <v>0</v>
      </c>
      <c r="BT174" s="363">
        <v>0</v>
      </c>
      <c r="BU174" s="363">
        <v>0</v>
      </c>
      <c r="BV174" s="363">
        <v>0</v>
      </c>
      <c r="BW174" s="363">
        <v>0</v>
      </c>
      <c r="BX174" s="363">
        <v>0</v>
      </c>
      <c r="BY174" s="363">
        <v>0</v>
      </c>
      <c r="BZ174" s="363">
        <v>0</v>
      </c>
      <c r="CA174" s="363">
        <v>0</v>
      </c>
      <c r="CB174" s="363">
        <v>0</v>
      </c>
      <c r="CC174" s="363">
        <v>0</v>
      </c>
      <c r="CE174"/>
      <c r="CF174"/>
      <c r="CG174"/>
      <c r="CH174"/>
      <c r="CI174"/>
      <c r="CJ174"/>
      <c r="CK174"/>
    </row>
    <row r="175" spans="1:89" s="32" customFormat="1" ht="19.5" customHeight="1" thickBot="1" x14ac:dyDescent="0.25">
      <c r="A175" s="185"/>
      <c r="B175" s="356"/>
      <c r="C175" s="362"/>
      <c r="D175" s="363"/>
      <c r="F175" s="85">
        <f t="shared" ref="F175:F176" si="8">SUM(J175:CC175)</f>
        <v>0</v>
      </c>
      <c r="G175"/>
      <c r="H175" s="85" t="str">
        <f t="shared" ref="H175:H176" si="9">IF($Q$154="Sobre la obra",IF(D175=F175,"Completo","Incompleto"),IF(F175&lt;1,"Incompleto","Completo"))</f>
        <v>Completo</v>
      </c>
      <c r="J175" s="363">
        <v>0</v>
      </c>
      <c r="K175" s="363">
        <v>0</v>
      </c>
      <c r="L175" s="363">
        <v>0</v>
      </c>
      <c r="M175" s="363">
        <v>0</v>
      </c>
      <c r="N175" s="363">
        <v>0</v>
      </c>
      <c r="O175" s="363">
        <v>0</v>
      </c>
      <c r="P175" s="363">
        <v>0</v>
      </c>
      <c r="Q175" s="363">
        <v>0</v>
      </c>
      <c r="R175" s="363">
        <v>0</v>
      </c>
      <c r="S175" s="363">
        <v>0</v>
      </c>
      <c r="T175" s="363">
        <v>0</v>
      </c>
      <c r="U175" s="363">
        <v>0</v>
      </c>
      <c r="V175" s="363">
        <v>0</v>
      </c>
      <c r="W175" s="363">
        <v>0</v>
      </c>
      <c r="X175" s="363">
        <v>0</v>
      </c>
      <c r="Y175" s="363">
        <v>0</v>
      </c>
      <c r="Z175" s="363">
        <v>0</v>
      </c>
      <c r="AA175" s="363">
        <v>0</v>
      </c>
      <c r="AB175" s="363">
        <v>0</v>
      </c>
      <c r="AC175" s="363">
        <v>0</v>
      </c>
      <c r="AD175" s="363">
        <v>0</v>
      </c>
      <c r="AE175" s="363">
        <v>0</v>
      </c>
      <c r="AF175" s="363">
        <v>0</v>
      </c>
      <c r="AG175" s="363">
        <v>0</v>
      </c>
      <c r="AH175" s="363">
        <v>0</v>
      </c>
      <c r="AI175" s="363">
        <v>0</v>
      </c>
      <c r="AJ175" s="363">
        <v>0</v>
      </c>
      <c r="AK175" s="363">
        <v>0</v>
      </c>
      <c r="AL175" s="363">
        <v>0</v>
      </c>
      <c r="AM175" s="363">
        <v>0</v>
      </c>
      <c r="AN175" s="363">
        <v>0</v>
      </c>
      <c r="AO175" s="363">
        <v>0</v>
      </c>
      <c r="AP175" s="363">
        <v>0</v>
      </c>
      <c r="AQ175" s="363">
        <v>0</v>
      </c>
      <c r="AR175" s="363">
        <v>0</v>
      </c>
      <c r="AS175" s="363">
        <v>0</v>
      </c>
      <c r="AT175" s="363">
        <v>0</v>
      </c>
      <c r="AU175" s="363">
        <v>0</v>
      </c>
      <c r="AV175" s="363">
        <v>0</v>
      </c>
      <c r="AW175" s="363">
        <v>0</v>
      </c>
      <c r="AX175" s="363">
        <v>0</v>
      </c>
      <c r="AY175" s="363">
        <v>0</v>
      </c>
      <c r="AZ175" s="363">
        <v>0</v>
      </c>
      <c r="BA175" s="363">
        <v>0</v>
      </c>
      <c r="BB175" s="363">
        <v>0</v>
      </c>
      <c r="BC175" s="363">
        <v>0</v>
      </c>
      <c r="BD175" s="363">
        <v>0</v>
      </c>
      <c r="BE175" s="363">
        <v>0</v>
      </c>
      <c r="BF175" s="363">
        <v>0</v>
      </c>
      <c r="BG175" s="363">
        <v>0</v>
      </c>
      <c r="BH175" s="363">
        <v>0</v>
      </c>
      <c r="BI175" s="363">
        <v>0</v>
      </c>
      <c r="BJ175" s="363">
        <v>0</v>
      </c>
      <c r="BK175" s="363">
        <v>0</v>
      </c>
      <c r="BL175" s="363">
        <v>0</v>
      </c>
      <c r="BM175" s="363">
        <v>0</v>
      </c>
      <c r="BN175" s="363">
        <v>0</v>
      </c>
      <c r="BO175" s="363">
        <v>0</v>
      </c>
      <c r="BP175" s="363">
        <v>0</v>
      </c>
      <c r="BQ175" s="363">
        <v>0</v>
      </c>
      <c r="BR175" s="363">
        <v>0</v>
      </c>
      <c r="BS175" s="363">
        <v>0</v>
      </c>
      <c r="BT175" s="363">
        <v>0</v>
      </c>
      <c r="BU175" s="363">
        <v>0</v>
      </c>
      <c r="BV175" s="363">
        <v>0</v>
      </c>
      <c r="BW175" s="363">
        <v>0</v>
      </c>
      <c r="BX175" s="363">
        <v>0</v>
      </c>
      <c r="BY175" s="363">
        <v>0</v>
      </c>
      <c r="BZ175" s="363">
        <v>0</v>
      </c>
      <c r="CA175" s="363">
        <v>0</v>
      </c>
      <c r="CB175" s="363">
        <v>0</v>
      </c>
      <c r="CC175" s="363">
        <v>0</v>
      </c>
      <c r="CE175"/>
      <c r="CF175"/>
      <c r="CG175"/>
      <c r="CH175"/>
      <c r="CI175"/>
      <c r="CJ175"/>
      <c r="CK175"/>
    </row>
    <row r="176" spans="1:89" s="32" customFormat="1" ht="19.5" customHeight="1" thickBot="1" x14ac:dyDescent="0.25">
      <c r="A176" s="185"/>
      <c r="B176" s="356"/>
      <c r="C176" s="362"/>
      <c r="D176" s="363"/>
      <c r="F176" s="85">
        <f t="shared" si="8"/>
        <v>0</v>
      </c>
      <c r="G176"/>
      <c r="H176" s="85" t="str">
        <f t="shared" si="9"/>
        <v>Completo</v>
      </c>
      <c r="J176" s="363">
        <v>0</v>
      </c>
      <c r="K176" s="363">
        <v>0</v>
      </c>
      <c r="L176" s="363">
        <v>0</v>
      </c>
      <c r="M176" s="363">
        <v>0</v>
      </c>
      <c r="N176" s="363">
        <v>0</v>
      </c>
      <c r="O176" s="363">
        <v>0</v>
      </c>
      <c r="P176" s="363">
        <v>0</v>
      </c>
      <c r="Q176" s="363">
        <v>0</v>
      </c>
      <c r="R176" s="363">
        <v>0</v>
      </c>
      <c r="S176" s="363">
        <v>0</v>
      </c>
      <c r="T176" s="363">
        <v>0</v>
      </c>
      <c r="U176" s="363">
        <v>0</v>
      </c>
      <c r="V176" s="363">
        <v>0</v>
      </c>
      <c r="W176" s="363">
        <v>0</v>
      </c>
      <c r="X176" s="363">
        <v>0</v>
      </c>
      <c r="Y176" s="363">
        <v>0</v>
      </c>
      <c r="Z176" s="363">
        <v>0</v>
      </c>
      <c r="AA176" s="363">
        <v>0</v>
      </c>
      <c r="AB176" s="363">
        <v>0</v>
      </c>
      <c r="AC176" s="363">
        <v>0</v>
      </c>
      <c r="AD176" s="363">
        <v>0</v>
      </c>
      <c r="AE176" s="363">
        <v>0</v>
      </c>
      <c r="AF176" s="363">
        <v>0</v>
      </c>
      <c r="AG176" s="363">
        <v>0</v>
      </c>
      <c r="AH176" s="363">
        <v>0</v>
      </c>
      <c r="AI176" s="363">
        <v>0</v>
      </c>
      <c r="AJ176" s="363">
        <v>0</v>
      </c>
      <c r="AK176" s="363">
        <v>0</v>
      </c>
      <c r="AL176" s="363">
        <v>0</v>
      </c>
      <c r="AM176" s="363">
        <v>0</v>
      </c>
      <c r="AN176" s="363">
        <v>0</v>
      </c>
      <c r="AO176" s="363">
        <v>0</v>
      </c>
      <c r="AP176" s="363">
        <v>0</v>
      </c>
      <c r="AQ176" s="363">
        <v>0</v>
      </c>
      <c r="AR176" s="363">
        <v>0</v>
      </c>
      <c r="AS176" s="363">
        <v>0</v>
      </c>
      <c r="AT176" s="363">
        <v>0</v>
      </c>
      <c r="AU176" s="363">
        <v>0</v>
      </c>
      <c r="AV176" s="363">
        <v>0</v>
      </c>
      <c r="AW176" s="363">
        <v>0</v>
      </c>
      <c r="AX176" s="363">
        <v>0</v>
      </c>
      <c r="AY176" s="363">
        <v>0</v>
      </c>
      <c r="AZ176" s="363">
        <v>0</v>
      </c>
      <c r="BA176" s="363">
        <v>0</v>
      </c>
      <c r="BB176" s="363">
        <v>0</v>
      </c>
      <c r="BC176" s="363">
        <v>0</v>
      </c>
      <c r="BD176" s="363">
        <v>0</v>
      </c>
      <c r="BE176" s="363">
        <v>0</v>
      </c>
      <c r="BF176" s="363">
        <v>0</v>
      </c>
      <c r="BG176" s="363">
        <v>0</v>
      </c>
      <c r="BH176" s="363">
        <v>0</v>
      </c>
      <c r="BI176" s="363">
        <v>0</v>
      </c>
      <c r="BJ176" s="363">
        <v>0</v>
      </c>
      <c r="BK176" s="363">
        <v>0</v>
      </c>
      <c r="BL176" s="363">
        <v>0</v>
      </c>
      <c r="BM176" s="363">
        <v>0</v>
      </c>
      <c r="BN176" s="363">
        <v>0</v>
      </c>
      <c r="BO176" s="363">
        <v>0</v>
      </c>
      <c r="BP176" s="363">
        <v>0</v>
      </c>
      <c r="BQ176" s="363">
        <v>0</v>
      </c>
      <c r="BR176" s="363">
        <v>0</v>
      </c>
      <c r="BS176" s="363">
        <v>0</v>
      </c>
      <c r="BT176" s="363">
        <v>0</v>
      </c>
      <c r="BU176" s="363">
        <v>0</v>
      </c>
      <c r="BV176" s="363">
        <v>0</v>
      </c>
      <c r="BW176" s="363">
        <v>0</v>
      </c>
      <c r="BX176" s="363">
        <v>0</v>
      </c>
      <c r="BY176" s="363">
        <v>0</v>
      </c>
      <c r="BZ176" s="363">
        <v>0</v>
      </c>
      <c r="CA176" s="363">
        <v>0</v>
      </c>
      <c r="CB176" s="363">
        <v>0</v>
      </c>
      <c r="CC176" s="363">
        <v>0</v>
      </c>
      <c r="CE176"/>
      <c r="CF176"/>
      <c r="CG176"/>
      <c r="CH176"/>
      <c r="CI176"/>
      <c r="CJ176"/>
      <c r="CK176"/>
    </row>
    <row r="177" spans="1:94" s="32" customFormat="1" ht="19.5" customHeight="1" thickBot="1" x14ac:dyDescent="0.25">
      <c r="A177" s="185"/>
      <c r="B177" s="356"/>
      <c r="C177" s="362"/>
      <c r="D177" s="363"/>
      <c r="F177" s="85">
        <f t="shared" si="6"/>
        <v>0</v>
      </c>
      <c r="G177"/>
      <c r="H177" s="85" t="str">
        <f t="shared" si="7"/>
        <v>Completo</v>
      </c>
      <c r="J177" s="363">
        <v>0</v>
      </c>
      <c r="K177" s="363">
        <v>0</v>
      </c>
      <c r="L177" s="363">
        <v>0</v>
      </c>
      <c r="M177" s="363">
        <v>0</v>
      </c>
      <c r="N177" s="363">
        <v>0</v>
      </c>
      <c r="O177" s="363">
        <v>0</v>
      </c>
      <c r="P177" s="363">
        <v>0</v>
      </c>
      <c r="Q177" s="363">
        <v>0</v>
      </c>
      <c r="R177" s="363">
        <v>0</v>
      </c>
      <c r="S177" s="363">
        <v>0</v>
      </c>
      <c r="T177" s="363">
        <v>0</v>
      </c>
      <c r="U177" s="363">
        <v>0</v>
      </c>
      <c r="V177" s="363">
        <v>0</v>
      </c>
      <c r="W177" s="363">
        <v>0</v>
      </c>
      <c r="X177" s="363">
        <v>0</v>
      </c>
      <c r="Y177" s="363">
        <v>0</v>
      </c>
      <c r="Z177" s="363">
        <v>0</v>
      </c>
      <c r="AA177" s="363">
        <v>0</v>
      </c>
      <c r="AB177" s="363">
        <v>0</v>
      </c>
      <c r="AC177" s="363">
        <v>0</v>
      </c>
      <c r="AD177" s="363">
        <v>0</v>
      </c>
      <c r="AE177" s="363">
        <v>0</v>
      </c>
      <c r="AF177" s="363">
        <v>0</v>
      </c>
      <c r="AG177" s="363">
        <v>0</v>
      </c>
      <c r="AH177" s="363">
        <v>0</v>
      </c>
      <c r="AI177" s="363">
        <v>0</v>
      </c>
      <c r="AJ177" s="363">
        <v>0</v>
      </c>
      <c r="AK177" s="363">
        <v>0</v>
      </c>
      <c r="AL177" s="363">
        <v>0</v>
      </c>
      <c r="AM177" s="363">
        <v>0</v>
      </c>
      <c r="AN177" s="363">
        <v>0</v>
      </c>
      <c r="AO177" s="363">
        <v>0</v>
      </c>
      <c r="AP177" s="363">
        <v>0</v>
      </c>
      <c r="AQ177" s="363">
        <v>0</v>
      </c>
      <c r="AR177" s="363">
        <v>0</v>
      </c>
      <c r="AS177" s="363">
        <v>0</v>
      </c>
      <c r="AT177" s="363">
        <v>0</v>
      </c>
      <c r="AU177" s="363">
        <v>0</v>
      </c>
      <c r="AV177" s="363">
        <v>0</v>
      </c>
      <c r="AW177" s="363">
        <v>0</v>
      </c>
      <c r="AX177" s="363">
        <v>0</v>
      </c>
      <c r="AY177" s="363">
        <v>0</v>
      </c>
      <c r="AZ177" s="363">
        <v>0</v>
      </c>
      <c r="BA177" s="363">
        <v>0</v>
      </c>
      <c r="BB177" s="363">
        <v>0</v>
      </c>
      <c r="BC177" s="363">
        <v>0</v>
      </c>
      <c r="BD177" s="363">
        <v>0</v>
      </c>
      <c r="BE177" s="363">
        <v>0</v>
      </c>
      <c r="BF177" s="363">
        <v>0</v>
      </c>
      <c r="BG177" s="363">
        <v>0</v>
      </c>
      <c r="BH177" s="363">
        <v>0</v>
      </c>
      <c r="BI177" s="363">
        <v>0</v>
      </c>
      <c r="BJ177" s="363">
        <v>0</v>
      </c>
      <c r="BK177" s="363">
        <v>0</v>
      </c>
      <c r="BL177" s="363">
        <v>0</v>
      </c>
      <c r="BM177" s="363">
        <v>0</v>
      </c>
      <c r="BN177" s="363">
        <v>0</v>
      </c>
      <c r="BO177" s="363">
        <v>0</v>
      </c>
      <c r="BP177" s="363">
        <v>0</v>
      </c>
      <c r="BQ177" s="363">
        <v>0</v>
      </c>
      <c r="BR177" s="363">
        <v>0</v>
      </c>
      <c r="BS177" s="363">
        <v>0</v>
      </c>
      <c r="BT177" s="363">
        <v>0</v>
      </c>
      <c r="BU177" s="363">
        <v>0</v>
      </c>
      <c r="BV177" s="363">
        <v>0</v>
      </c>
      <c r="BW177" s="363">
        <v>0</v>
      </c>
      <c r="BX177" s="363">
        <v>0</v>
      </c>
      <c r="BY177" s="363">
        <v>0</v>
      </c>
      <c r="BZ177" s="363">
        <v>0</v>
      </c>
      <c r="CA177" s="363">
        <v>0</v>
      </c>
      <c r="CB177" s="363">
        <v>0</v>
      </c>
      <c r="CC177" s="363">
        <v>0</v>
      </c>
      <c r="CE177"/>
      <c r="CF177"/>
      <c r="CG177"/>
      <c r="CH177"/>
      <c r="CI177"/>
      <c r="CJ177"/>
      <c r="CK177"/>
    </row>
    <row r="178" spans="1:94" s="32" customFormat="1" ht="19.5" customHeight="1" thickBot="1" x14ac:dyDescent="0.25">
      <c r="A178" s="185"/>
      <c r="D178" s="80"/>
      <c r="CE178"/>
      <c r="CF178"/>
      <c r="CG178"/>
      <c r="CH178"/>
      <c r="CI178"/>
      <c r="CJ178"/>
      <c r="CK178"/>
    </row>
    <row r="179" spans="1:94" s="32" customFormat="1" ht="30" customHeight="1" thickBot="1" x14ac:dyDescent="0.25">
      <c r="A179" s="185"/>
      <c r="B179" s="280" t="s">
        <v>114</v>
      </c>
      <c r="C179" s="186"/>
      <c r="D179" s="183">
        <f>SUM(D158:D178)</f>
        <v>0</v>
      </c>
      <c r="E179" s="186"/>
      <c r="F179" s="271" t="s">
        <v>347</v>
      </c>
      <c r="H179" s="183">
        <f>SUM(J179:CC179)</f>
        <v>0</v>
      </c>
      <c r="I179" s="186"/>
      <c r="J179" s="183">
        <f t="shared" ref="J179:AO179" si="10">IF($Q$154="Sobre la obra",SUM(J158:J177),IF($Q$154="Sobre cada tarea",SUMPRODUCT($D$158:$D$177,J158:J177),""))</f>
        <v>0</v>
      </c>
      <c r="K179" s="183">
        <f t="shared" si="10"/>
        <v>0</v>
      </c>
      <c r="L179" s="183">
        <f t="shared" si="10"/>
        <v>0</v>
      </c>
      <c r="M179" s="183">
        <f t="shared" si="10"/>
        <v>0</v>
      </c>
      <c r="N179" s="183">
        <f t="shared" si="10"/>
        <v>0</v>
      </c>
      <c r="O179" s="183">
        <f t="shared" si="10"/>
        <v>0</v>
      </c>
      <c r="P179" s="183">
        <f t="shared" si="10"/>
        <v>0</v>
      </c>
      <c r="Q179" s="183">
        <f t="shared" si="10"/>
        <v>0</v>
      </c>
      <c r="R179" s="183">
        <f t="shared" si="10"/>
        <v>0</v>
      </c>
      <c r="S179" s="183">
        <f t="shared" si="10"/>
        <v>0</v>
      </c>
      <c r="T179" s="183">
        <f t="shared" si="10"/>
        <v>0</v>
      </c>
      <c r="U179" s="183">
        <f t="shared" si="10"/>
        <v>0</v>
      </c>
      <c r="V179" s="183">
        <f t="shared" si="10"/>
        <v>0</v>
      </c>
      <c r="W179" s="183">
        <f t="shared" si="10"/>
        <v>0</v>
      </c>
      <c r="X179" s="183">
        <f t="shared" si="10"/>
        <v>0</v>
      </c>
      <c r="Y179" s="183">
        <f t="shared" si="10"/>
        <v>0</v>
      </c>
      <c r="Z179" s="183">
        <f t="shared" si="10"/>
        <v>0</v>
      </c>
      <c r="AA179" s="183">
        <f t="shared" si="10"/>
        <v>0</v>
      </c>
      <c r="AB179" s="183">
        <f t="shared" si="10"/>
        <v>0</v>
      </c>
      <c r="AC179" s="183">
        <f t="shared" si="10"/>
        <v>0</v>
      </c>
      <c r="AD179" s="183">
        <f t="shared" si="10"/>
        <v>0</v>
      </c>
      <c r="AE179" s="183">
        <f t="shared" si="10"/>
        <v>0</v>
      </c>
      <c r="AF179" s="183">
        <f t="shared" si="10"/>
        <v>0</v>
      </c>
      <c r="AG179" s="183">
        <f t="shared" si="10"/>
        <v>0</v>
      </c>
      <c r="AH179" s="183">
        <f t="shared" si="10"/>
        <v>0</v>
      </c>
      <c r="AI179" s="183">
        <f t="shared" si="10"/>
        <v>0</v>
      </c>
      <c r="AJ179" s="183">
        <f t="shared" si="10"/>
        <v>0</v>
      </c>
      <c r="AK179" s="183">
        <f t="shared" si="10"/>
        <v>0</v>
      </c>
      <c r="AL179" s="183">
        <f t="shared" si="10"/>
        <v>0</v>
      </c>
      <c r="AM179" s="183">
        <f t="shared" si="10"/>
        <v>0</v>
      </c>
      <c r="AN179" s="183">
        <f t="shared" si="10"/>
        <v>0</v>
      </c>
      <c r="AO179" s="183">
        <f t="shared" si="10"/>
        <v>0</v>
      </c>
      <c r="AP179" s="183">
        <f t="shared" ref="AP179:BU179" si="11">IF($Q$154="Sobre la obra",SUM(AP158:AP177),IF($Q$154="Sobre cada tarea",SUMPRODUCT($D$158:$D$177,AP158:AP177),""))</f>
        <v>0</v>
      </c>
      <c r="AQ179" s="183">
        <f t="shared" si="11"/>
        <v>0</v>
      </c>
      <c r="AR179" s="183">
        <f t="shared" si="11"/>
        <v>0</v>
      </c>
      <c r="AS179" s="183">
        <f t="shared" si="11"/>
        <v>0</v>
      </c>
      <c r="AT179" s="183">
        <f t="shared" si="11"/>
        <v>0</v>
      </c>
      <c r="AU179" s="183">
        <f t="shared" si="11"/>
        <v>0</v>
      </c>
      <c r="AV179" s="183">
        <f t="shared" si="11"/>
        <v>0</v>
      </c>
      <c r="AW179" s="183">
        <f t="shared" si="11"/>
        <v>0</v>
      </c>
      <c r="AX179" s="183">
        <f t="shared" si="11"/>
        <v>0</v>
      </c>
      <c r="AY179" s="183">
        <f t="shared" si="11"/>
        <v>0</v>
      </c>
      <c r="AZ179" s="183">
        <f t="shared" si="11"/>
        <v>0</v>
      </c>
      <c r="BA179" s="183">
        <f t="shared" si="11"/>
        <v>0</v>
      </c>
      <c r="BB179" s="183">
        <f t="shared" si="11"/>
        <v>0</v>
      </c>
      <c r="BC179" s="183">
        <f t="shared" si="11"/>
        <v>0</v>
      </c>
      <c r="BD179" s="183">
        <f t="shared" si="11"/>
        <v>0</v>
      </c>
      <c r="BE179" s="183">
        <f t="shared" si="11"/>
        <v>0</v>
      </c>
      <c r="BF179" s="183">
        <f t="shared" si="11"/>
        <v>0</v>
      </c>
      <c r="BG179" s="183">
        <f t="shared" si="11"/>
        <v>0</v>
      </c>
      <c r="BH179" s="183">
        <f t="shared" si="11"/>
        <v>0</v>
      </c>
      <c r="BI179" s="183">
        <f t="shared" si="11"/>
        <v>0</v>
      </c>
      <c r="BJ179" s="183">
        <f t="shared" si="11"/>
        <v>0</v>
      </c>
      <c r="BK179" s="183">
        <f t="shared" si="11"/>
        <v>0</v>
      </c>
      <c r="BL179" s="183">
        <f t="shared" si="11"/>
        <v>0</v>
      </c>
      <c r="BM179" s="183">
        <f t="shared" si="11"/>
        <v>0</v>
      </c>
      <c r="BN179" s="183">
        <f t="shared" si="11"/>
        <v>0</v>
      </c>
      <c r="BO179" s="183">
        <f t="shared" si="11"/>
        <v>0</v>
      </c>
      <c r="BP179" s="183">
        <f t="shared" si="11"/>
        <v>0</v>
      </c>
      <c r="BQ179" s="183">
        <f t="shared" si="11"/>
        <v>0</v>
      </c>
      <c r="BR179" s="183">
        <f t="shared" si="11"/>
        <v>0</v>
      </c>
      <c r="BS179" s="183">
        <f t="shared" si="11"/>
        <v>0</v>
      </c>
      <c r="BT179" s="183">
        <f t="shared" si="11"/>
        <v>0</v>
      </c>
      <c r="BU179" s="183">
        <f t="shared" si="11"/>
        <v>0</v>
      </c>
      <c r="BV179" s="183">
        <f t="shared" ref="BV179:CC179" si="12">IF($Q$154="Sobre la obra",SUM(BV158:BV177),IF($Q$154="Sobre cada tarea",SUMPRODUCT($D$158:$D$177,BV158:BV177),""))</f>
        <v>0</v>
      </c>
      <c r="BW179" s="183">
        <f t="shared" si="12"/>
        <v>0</v>
      </c>
      <c r="BX179" s="183">
        <f t="shared" si="12"/>
        <v>0</v>
      </c>
      <c r="BY179" s="183">
        <f t="shared" si="12"/>
        <v>0</v>
      </c>
      <c r="BZ179" s="183">
        <f t="shared" si="12"/>
        <v>0</v>
      </c>
      <c r="CA179" s="183">
        <f t="shared" si="12"/>
        <v>0</v>
      </c>
      <c r="CB179" s="183">
        <f t="shared" si="12"/>
        <v>0</v>
      </c>
      <c r="CC179" s="183">
        <f t="shared" si="12"/>
        <v>0</v>
      </c>
    </row>
    <row r="180" spans="1:94" ht="19.5" customHeight="1" thickBot="1" x14ac:dyDescent="0.25">
      <c r="B180" s="20"/>
      <c r="F180" s="32"/>
      <c r="G180" s="32"/>
      <c r="H180" s="32"/>
      <c r="J180" s="116"/>
      <c r="K180" s="116"/>
      <c r="L180" s="116"/>
      <c r="M180" s="116"/>
      <c r="N180" s="116"/>
      <c r="O180" s="116"/>
      <c r="P180" s="116"/>
      <c r="Q180" s="116"/>
      <c r="R180" s="116"/>
      <c r="S180" s="116"/>
      <c r="T180" s="116"/>
      <c r="U180" s="116"/>
      <c r="V180" s="116"/>
      <c r="W180" s="116"/>
      <c r="X180" s="116"/>
      <c r="Y180" s="116"/>
      <c r="Z180" s="116"/>
      <c r="AA180" s="116"/>
      <c r="AB180" s="116"/>
      <c r="AC180" s="116"/>
      <c r="AD180" s="116"/>
      <c r="AE180" s="116"/>
      <c r="AF180" s="116"/>
      <c r="AG180" s="116"/>
      <c r="AH180" s="116"/>
      <c r="AI180" s="116"/>
      <c r="AJ180" s="116"/>
      <c r="AK180" s="116"/>
      <c r="AL180" s="116"/>
      <c r="AM180" s="116"/>
      <c r="AN180" s="116"/>
      <c r="AO180" s="116"/>
      <c r="AP180" s="116"/>
      <c r="AQ180" s="116"/>
      <c r="AR180" s="116"/>
      <c r="AS180" s="116"/>
      <c r="AT180" s="116"/>
      <c r="AU180" s="116"/>
      <c r="AV180" s="116"/>
      <c r="AW180" s="116"/>
      <c r="AX180" s="116"/>
      <c r="AY180" s="116"/>
      <c r="AZ180" s="116"/>
      <c r="BA180" s="116"/>
      <c r="BB180" s="116"/>
      <c r="BC180" s="116"/>
      <c r="BD180" s="116"/>
      <c r="BE180" s="116"/>
      <c r="BF180" s="116"/>
      <c r="BG180" s="116"/>
      <c r="BH180" s="116"/>
      <c r="BI180" s="116"/>
      <c r="BJ180" s="116"/>
      <c r="BK180" s="116"/>
      <c r="BL180" s="116"/>
      <c r="BM180" s="116"/>
      <c r="BN180" s="116"/>
      <c r="BO180" s="116"/>
      <c r="BP180" s="116"/>
      <c r="BQ180" s="116"/>
      <c r="BR180" s="116"/>
      <c r="BS180" s="116"/>
      <c r="BT180" s="116"/>
      <c r="BU180" s="116"/>
      <c r="BV180" s="116"/>
      <c r="BW180" s="116"/>
      <c r="BX180" s="116"/>
      <c r="BY180" s="116"/>
      <c r="BZ180" s="116"/>
      <c r="CA180" s="116"/>
      <c r="CB180" s="116"/>
      <c r="CC180" s="116"/>
    </row>
    <row r="181" spans="1:94" s="32" customFormat="1" ht="19.5" customHeight="1" thickBot="1" x14ac:dyDescent="0.25">
      <c r="A181" s="185"/>
      <c r="B181" s="481" t="s">
        <v>115</v>
      </c>
      <c r="C181" s="482"/>
      <c r="D181" s="483"/>
      <c r="J181" s="100">
        <f>+J179</f>
        <v>0</v>
      </c>
      <c r="K181" s="100">
        <f>+J181+K179</f>
        <v>0</v>
      </c>
      <c r="L181" s="100">
        <f>+K181+L179</f>
        <v>0</v>
      </c>
      <c r="M181" s="100">
        <f t="shared" ref="M181:BX181" si="13">+L181+M179</f>
        <v>0</v>
      </c>
      <c r="N181" s="100">
        <f t="shared" si="13"/>
        <v>0</v>
      </c>
      <c r="O181" s="100">
        <f t="shared" si="13"/>
        <v>0</v>
      </c>
      <c r="P181" s="100">
        <f t="shared" si="13"/>
        <v>0</v>
      </c>
      <c r="Q181" s="100">
        <f t="shared" si="13"/>
        <v>0</v>
      </c>
      <c r="R181" s="100">
        <f t="shared" si="13"/>
        <v>0</v>
      </c>
      <c r="S181" s="100">
        <f t="shared" si="13"/>
        <v>0</v>
      </c>
      <c r="T181" s="100">
        <f t="shared" si="13"/>
        <v>0</v>
      </c>
      <c r="U181" s="100">
        <f t="shared" si="13"/>
        <v>0</v>
      </c>
      <c r="V181" s="100">
        <f t="shared" si="13"/>
        <v>0</v>
      </c>
      <c r="W181" s="100">
        <f t="shared" si="13"/>
        <v>0</v>
      </c>
      <c r="X181" s="100">
        <f t="shared" si="13"/>
        <v>0</v>
      </c>
      <c r="Y181" s="100">
        <f t="shared" si="13"/>
        <v>0</v>
      </c>
      <c r="Z181" s="100">
        <f t="shared" si="13"/>
        <v>0</v>
      </c>
      <c r="AA181" s="100">
        <f t="shared" si="13"/>
        <v>0</v>
      </c>
      <c r="AB181" s="100">
        <f t="shared" si="13"/>
        <v>0</v>
      </c>
      <c r="AC181" s="100">
        <f t="shared" si="13"/>
        <v>0</v>
      </c>
      <c r="AD181" s="100">
        <f t="shared" si="13"/>
        <v>0</v>
      </c>
      <c r="AE181" s="100">
        <f t="shared" si="13"/>
        <v>0</v>
      </c>
      <c r="AF181" s="100">
        <f t="shared" si="13"/>
        <v>0</v>
      </c>
      <c r="AG181" s="100">
        <f t="shared" si="13"/>
        <v>0</v>
      </c>
      <c r="AH181" s="100">
        <f t="shared" si="13"/>
        <v>0</v>
      </c>
      <c r="AI181" s="100">
        <f t="shared" si="13"/>
        <v>0</v>
      </c>
      <c r="AJ181" s="100">
        <f t="shared" si="13"/>
        <v>0</v>
      </c>
      <c r="AK181" s="100">
        <f t="shared" si="13"/>
        <v>0</v>
      </c>
      <c r="AL181" s="100">
        <f t="shared" si="13"/>
        <v>0</v>
      </c>
      <c r="AM181" s="100">
        <f t="shared" si="13"/>
        <v>0</v>
      </c>
      <c r="AN181" s="100">
        <f t="shared" si="13"/>
        <v>0</v>
      </c>
      <c r="AO181" s="100">
        <f t="shared" si="13"/>
        <v>0</v>
      </c>
      <c r="AP181" s="100">
        <f t="shared" si="13"/>
        <v>0</v>
      </c>
      <c r="AQ181" s="100">
        <f t="shared" si="13"/>
        <v>0</v>
      </c>
      <c r="AR181" s="100">
        <f t="shared" si="13"/>
        <v>0</v>
      </c>
      <c r="AS181" s="100">
        <f t="shared" si="13"/>
        <v>0</v>
      </c>
      <c r="AT181" s="100">
        <f t="shared" si="13"/>
        <v>0</v>
      </c>
      <c r="AU181" s="100">
        <f t="shared" si="13"/>
        <v>0</v>
      </c>
      <c r="AV181" s="100">
        <f t="shared" si="13"/>
        <v>0</v>
      </c>
      <c r="AW181" s="100">
        <f t="shared" si="13"/>
        <v>0</v>
      </c>
      <c r="AX181" s="100">
        <f t="shared" si="13"/>
        <v>0</v>
      </c>
      <c r="AY181" s="100">
        <f t="shared" si="13"/>
        <v>0</v>
      </c>
      <c r="AZ181" s="100">
        <f t="shared" si="13"/>
        <v>0</v>
      </c>
      <c r="BA181" s="100">
        <f t="shared" si="13"/>
        <v>0</v>
      </c>
      <c r="BB181" s="100">
        <f t="shared" si="13"/>
        <v>0</v>
      </c>
      <c r="BC181" s="100">
        <f t="shared" si="13"/>
        <v>0</v>
      </c>
      <c r="BD181" s="100">
        <f t="shared" si="13"/>
        <v>0</v>
      </c>
      <c r="BE181" s="100">
        <f t="shared" si="13"/>
        <v>0</v>
      </c>
      <c r="BF181" s="100">
        <f t="shared" si="13"/>
        <v>0</v>
      </c>
      <c r="BG181" s="100">
        <f t="shared" si="13"/>
        <v>0</v>
      </c>
      <c r="BH181" s="100">
        <f t="shared" si="13"/>
        <v>0</v>
      </c>
      <c r="BI181" s="100">
        <f t="shared" si="13"/>
        <v>0</v>
      </c>
      <c r="BJ181" s="100">
        <f t="shared" si="13"/>
        <v>0</v>
      </c>
      <c r="BK181" s="100">
        <f t="shared" si="13"/>
        <v>0</v>
      </c>
      <c r="BL181" s="100">
        <f t="shared" si="13"/>
        <v>0</v>
      </c>
      <c r="BM181" s="100">
        <f t="shared" si="13"/>
        <v>0</v>
      </c>
      <c r="BN181" s="100">
        <f t="shared" si="13"/>
        <v>0</v>
      </c>
      <c r="BO181" s="100">
        <f t="shared" si="13"/>
        <v>0</v>
      </c>
      <c r="BP181" s="100">
        <f t="shared" si="13"/>
        <v>0</v>
      </c>
      <c r="BQ181" s="100">
        <f t="shared" si="13"/>
        <v>0</v>
      </c>
      <c r="BR181" s="100">
        <f t="shared" si="13"/>
        <v>0</v>
      </c>
      <c r="BS181" s="100">
        <f t="shared" si="13"/>
        <v>0</v>
      </c>
      <c r="BT181" s="100">
        <f t="shared" si="13"/>
        <v>0</v>
      </c>
      <c r="BU181" s="100">
        <f t="shared" si="13"/>
        <v>0</v>
      </c>
      <c r="BV181" s="100">
        <f t="shared" si="13"/>
        <v>0</v>
      </c>
      <c r="BW181" s="100">
        <f t="shared" si="13"/>
        <v>0</v>
      </c>
      <c r="BX181" s="100">
        <f t="shared" si="13"/>
        <v>0</v>
      </c>
      <c r="BY181" s="100">
        <f t="shared" ref="BY181:CC181" si="14">+BX181+BY179</f>
        <v>0</v>
      </c>
      <c r="BZ181" s="100">
        <f t="shared" si="14"/>
        <v>0</v>
      </c>
      <c r="CA181" s="100">
        <f t="shared" si="14"/>
        <v>0</v>
      </c>
      <c r="CB181" s="100">
        <f t="shared" si="14"/>
        <v>0</v>
      </c>
      <c r="CC181" s="100">
        <f t="shared" si="14"/>
        <v>0</v>
      </c>
    </row>
    <row r="182" spans="1:94" ht="5.0999999999999996" customHeight="1" x14ac:dyDescent="0.2"/>
    <row r="183" spans="1:94" s="20" customFormat="1" ht="15" customHeight="1" x14ac:dyDescent="0.2">
      <c r="A183" s="427"/>
      <c r="B183" s="269" t="s">
        <v>116</v>
      </c>
      <c r="C183" s="269"/>
      <c r="D183" s="269"/>
      <c r="E183" s="269"/>
      <c r="F183" s="269"/>
      <c r="G183" s="269"/>
      <c r="H183" s="269"/>
      <c r="I183" s="269"/>
      <c r="J183" s="287"/>
      <c r="K183" s="269"/>
      <c r="L183" s="287"/>
      <c r="M183" s="269"/>
      <c r="N183" s="269"/>
      <c r="O183" s="269"/>
      <c r="P183" s="269"/>
      <c r="Q183" s="269"/>
      <c r="R183" s="269"/>
      <c r="S183" s="269"/>
      <c r="T183" s="269"/>
      <c r="U183" s="269"/>
      <c r="V183" s="269"/>
      <c r="W183" s="269"/>
      <c r="X183" s="269"/>
      <c r="Y183" s="269"/>
      <c r="Z183" s="269"/>
      <c r="AA183" s="269"/>
      <c r="AB183" s="269"/>
      <c r="AC183" s="269"/>
      <c r="AD183" s="269"/>
      <c r="AE183" s="269"/>
      <c r="AF183" s="269"/>
      <c r="AG183" s="269"/>
      <c r="AH183" s="269"/>
      <c r="AI183" s="269"/>
      <c r="AJ183" s="269"/>
      <c r="AK183" s="269"/>
      <c r="AL183" s="269"/>
      <c r="AM183" s="269"/>
      <c r="AN183" s="269"/>
      <c r="AO183" s="269"/>
      <c r="AP183" s="269"/>
      <c r="AQ183" s="269"/>
      <c r="AR183" s="269"/>
      <c r="AS183" s="269"/>
      <c r="AT183" s="269"/>
      <c r="AU183" s="269"/>
      <c r="AV183" s="269"/>
      <c r="AW183" s="269"/>
      <c r="AX183" s="269"/>
      <c r="AY183" s="269"/>
      <c r="AZ183" s="269"/>
      <c r="BA183" s="269"/>
      <c r="BB183" s="269"/>
      <c r="BC183" s="269"/>
      <c r="BD183" s="269"/>
      <c r="BE183" s="269"/>
      <c r="BF183" s="269"/>
      <c r="BG183" s="269"/>
      <c r="BH183" s="269"/>
      <c r="BI183" s="269"/>
      <c r="BJ183" s="269"/>
      <c r="BK183" s="269"/>
      <c r="BL183" s="269"/>
      <c r="BM183" s="269"/>
      <c r="BN183" s="269"/>
      <c r="BO183" s="269"/>
      <c r="BP183" s="269"/>
      <c r="BQ183" s="269"/>
      <c r="BR183" s="269"/>
      <c r="BS183" s="269"/>
      <c r="BT183" s="269"/>
      <c r="BU183" s="269"/>
      <c r="BV183" s="269"/>
      <c r="BW183" s="269"/>
      <c r="BX183" s="269"/>
      <c r="BY183" s="269"/>
      <c r="BZ183" s="269"/>
      <c r="CA183" s="269"/>
      <c r="CB183" s="269"/>
      <c r="CC183" s="269"/>
    </row>
    <row r="184" spans="1:94" ht="5.0999999999999996" customHeight="1" thickBot="1" x14ac:dyDescent="0.25"/>
    <row r="185" spans="1:94" s="32" customFormat="1" ht="66" customHeight="1" thickBot="1" x14ac:dyDescent="0.25">
      <c r="A185" s="185"/>
      <c r="B185" s="278" t="s">
        <v>106</v>
      </c>
      <c r="C185" s="272"/>
      <c r="D185" s="273" t="s">
        <v>117</v>
      </c>
      <c r="E185" s="272"/>
      <c r="F185" s="273" t="s">
        <v>118</v>
      </c>
      <c r="G185" s="272"/>
      <c r="H185" s="273" t="s">
        <v>119</v>
      </c>
      <c r="J185" s="106" t="e">
        <f t="shared" ref="J185:AO185" si="15">+J156</f>
        <v>#N/A</v>
      </c>
      <c r="K185" s="106" t="e">
        <f t="shared" si="15"/>
        <v>#N/A</v>
      </c>
      <c r="L185" s="106" t="e">
        <f t="shared" si="15"/>
        <v>#N/A</v>
      </c>
      <c r="M185" s="106" t="e">
        <f t="shared" si="15"/>
        <v>#N/A</v>
      </c>
      <c r="N185" s="106" t="e">
        <f t="shared" si="15"/>
        <v>#N/A</v>
      </c>
      <c r="O185" s="106" t="e">
        <f t="shared" si="15"/>
        <v>#N/A</v>
      </c>
      <c r="P185" s="106" t="e">
        <f t="shared" si="15"/>
        <v>#N/A</v>
      </c>
      <c r="Q185" s="106" t="e">
        <f t="shared" si="15"/>
        <v>#N/A</v>
      </c>
      <c r="R185" s="106" t="e">
        <f t="shared" si="15"/>
        <v>#N/A</v>
      </c>
      <c r="S185" s="106" t="e">
        <f t="shared" si="15"/>
        <v>#N/A</v>
      </c>
      <c r="T185" s="106" t="e">
        <f t="shared" si="15"/>
        <v>#N/A</v>
      </c>
      <c r="U185" s="106" t="e">
        <f t="shared" si="15"/>
        <v>#N/A</v>
      </c>
      <c r="V185" s="106" t="e">
        <f t="shared" si="15"/>
        <v>#N/A</v>
      </c>
      <c r="W185" s="106" t="e">
        <f t="shared" si="15"/>
        <v>#N/A</v>
      </c>
      <c r="X185" s="106" t="e">
        <f t="shared" si="15"/>
        <v>#N/A</v>
      </c>
      <c r="Y185" s="106" t="e">
        <f t="shared" si="15"/>
        <v>#N/A</v>
      </c>
      <c r="Z185" s="106" t="e">
        <f t="shared" si="15"/>
        <v>#N/A</v>
      </c>
      <c r="AA185" s="106" t="e">
        <f t="shared" si="15"/>
        <v>#N/A</v>
      </c>
      <c r="AB185" s="106" t="e">
        <f t="shared" si="15"/>
        <v>#N/A</v>
      </c>
      <c r="AC185" s="106" t="e">
        <f t="shared" si="15"/>
        <v>#N/A</v>
      </c>
      <c r="AD185" s="106" t="e">
        <f t="shared" si="15"/>
        <v>#N/A</v>
      </c>
      <c r="AE185" s="106" t="e">
        <f t="shared" si="15"/>
        <v>#N/A</v>
      </c>
      <c r="AF185" s="106" t="e">
        <f t="shared" si="15"/>
        <v>#N/A</v>
      </c>
      <c r="AG185" s="106" t="e">
        <f t="shared" si="15"/>
        <v>#N/A</v>
      </c>
      <c r="AH185" s="106" t="e">
        <f t="shared" si="15"/>
        <v>#N/A</v>
      </c>
      <c r="AI185" s="106" t="e">
        <f t="shared" si="15"/>
        <v>#N/A</v>
      </c>
      <c r="AJ185" s="106" t="e">
        <f t="shared" si="15"/>
        <v>#N/A</v>
      </c>
      <c r="AK185" s="106" t="e">
        <f t="shared" si="15"/>
        <v>#N/A</v>
      </c>
      <c r="AL185" s="106" t="e">
        <f t="shared" si="15"/>
        <v>#N/A</v>
      </c>
      <c r="AM185" s="106" t="e">
        <f t="shared" si="15"/>
        <v>#N/A</v>
      </c>
      <c r="AN185" s="106" t="e">
        <f t="shared" si="15"/>
        <v>#N/A</v>
      </c>
      <c r="AO185" s="106" t="e">
        <f t="shared" si="15"/>
        <v>#N/A</v>
      </c>
      <c r="AP185" s="106" t="e">
        <f t="shared" ref="AP185:BU185" si="16">+AP156</f>
        <v>#N/A</v>
      </c>
      <c r="AQ185" s="106" t="e">
        <f t="shared" si="16"/>
        <v>#N/A</v>
      </c>
      <c r="AR185" s="106" t="e">
        <f t="shared" si="16"/>
        <v>#N/A</v>
      </c>
      <c r="AS185" s="106" t="e">
        <f t="shared" si="16"/>
        <v>#N/A</v>
      </c>
      <c r="AT185" s="106" t="e">
        <f t="shared" si="16"/>
        <v>#N/A</v>
      </c>
      <c r="AU185" s="106" t="e">
        <f t="shared" si="16"/>
        <v>#N/A</v>
      </c>
      <c r="AV185" s="106" t="e">
        <f t="shared" si="16"/>
        <v>#N/A</v>
      </c>
      <c r="AW185" s="106" t="e">
        <f t="shared" si="16"/>
        <v>#N/A</v>
      </c>
      <c r="AX185" s="106" t="e">
        <f t="shared" si="16"/>
        <v>#N/A</v>
      </c>
      <c r="AY185" s="106" t="e">
        <f t="shared" si="16"/>
        <v>#N/A</v>
      </c>
      <c r="AZ185" s="106" t="e">
        <f t="shared" si="16"/>
        <v>#N/A</v>
      </c>
      <c r="BA185" s="106" t="e">
        <f t="shared" si="16"/>
        <v>#N/A</v>
      </c>
      <c r="BB185" s="106" t="e">
        <f t="shared" si="16"/>
        <v>#N/A</v>
      </c>
      <c r="BC185" s="106" t="e">
        <f t="shared" si="16"/>
        <v>#N/A</v>
      </c>
      <c r="BD185" s="106" t="e">
        <f t="shared" si="16"/>
        <v>#N/A</v>
      </c>
      <c r="BE185" s="106" t="e">
        <f t="shared" si="16"/>
        <v>#N/A</v>
      </c>
      <c r="BF185" s="106" t="e">
        <f t="shared" si="16"/>
        <v>#N/A</v>
      </c>
      <c r="BG185" s="106" t="e">
        <f t="shared" si="16"/>
        <v>#N/A</v>
      </c>
      <c r="BH185" s="106" t="e">
        <f t="shared" si="16"/>
        <v>#N/A</v>
      </c>
      <c r="BI185" s="106" t="e">
        <f t="shared" si="16"/>
        <v>#N/A</v>
      </c>
      <c r="BJ185" s="106" t="e">
        <f t="shared" si="16"/>
        <v>#N/A</v>
      </c>
      <c r="BK185" s="106" t="e">
        <f t="shared" si="16"/>
        <v>#N/A</v>
      </c>
      <c r="BL185" s="106" t="e">
        <f t="shared" si="16"/>
        <v>#N/A</v>
      </c>
      <c r="BM185" s="106" t="e">
        <f t="shared" si="16"/>
        <v>#N/A</v>
      </c>
      <c r="BN185" s="106" t="e">
        <f t="shared" si="16"/>
        <v>#N/A</v>
      </c>
      <c r="BO185" s="106" t="e">
        <f t="shared" si="16"/>
        <v>#N/A</v>
      </c>
      <c r="BP185" s="106" t="e">
        <f t="shared" si="16"/>
        <v>#N/A</v>
      </c>
      <c r="BQ185" s="106" t="e">
        <f t="shared" si="16"/>
        <v>#N/A</v>
      </c>
      <c r="BR185" s="106" t="e">
        <f t="shared" si="16"/>
        <v>#N/A</v>
      </c>
      <c r="BS185" s="106" t="e">
        <f t="shared" si="16"/>
        <v>#N/A</v>
      </c>
      <c r="BT185" s="106" t="e">
        <f t="shared" si="16"/>
        <v>#N/A</v>
      </c>
      <c r="BU185" s="106" t="e">
        <f t="shared" si="16"/>
        <v>#N/A</v>
      </c>
      <c r="BV185" s="106" t="e">
        <f t="shared" ref="BV185:CC185" si="17">+BV156</f>
        <v>#N/A</v>
      </c>
      <c r="BW185" s="106" t="e">
        <f t="shared" si="17"/>
        <v>#N/A</v>
      </c>
      <c r="BX185" s="106" t="e">
        <f t="shared" si="17"/>
        <v>#N/A</v>
      </c>
      <c r="BY185" s="106" t="e">
        <f t="shared" si="17"/>
        <v>#N/A</v>
      </c>
      <c r="BZ185" s="106" t="e">
        <f t="shared" si="17"/>
        <v>#N/A</v>
      </c>
      <c r="CA185" s="106" t="e">
        <f t="shared" si="17"/>
        <v>#N/A</v>
      </c>
      <c r="CB185" s="106" t="e">
        <f t="shared" si="17"/>
        <v>#N/A</v>
      </c>
      <c r="CC185" s="106" t="e">
        <f t="shared" si="17"/>
        <v>#N/A</v>
      </c>
    </row>
    <row r="186" spans="1:94" s="32" customFormat="1" ht="5.0999999999999996" customHeight="1" thickBot="1" x14ac:dyDescent="0.25">
      <c r="A186" s="185"/>
      <c r="H186"/>
    </row>
    <row r="187" spans="1:94" s="32" customFormat="1" ht="15.75" thickBot="1" x14ac:dyDescent="0.25">
      <c r="A187" s="185"/>
      <c r="B187" s="352">
        <f ca="1">INDIRECT("B" &amp; (157 + ROWS($A$1:A1)))</f>
        <v>0</v>
      </c>
      <c r="D187" s="100" t="str">
        <f>IFERROR(IF($CF$138=0,0,F187/$CF$138), "Ver fechas")</f>
        <v>Ver fechas</v>
      </c>
      <c r="F187" s="281">
        <f t="shared" ref="F187:F206" si="18">H187</f>
        <v>0</v>
      </c>
      <c r="H187" s="282">
        <f t="shared" ref="H187:H206" si="19">SUM(J187:CC187)</f>
        <v>0</v>
      </c>
      <c r="J187" s="364">
        <v>0</v>
      </c>
      <c r="K187" s="364">
        <v>0</v>
      </c>
      <c r="L187" s="364">
        <v>0</v>
      </c>
      <c r="M187" s="364">
        <v>0</v>
      </c>
      <c r="N187" s="364">
        <v>0</v>
      </c>
      <c r="O187" s="364">
        <v>0</v>
      </c>
      <c r="P187" s="364">
        <v>0</v>
      </c>
      <c r="Q187" s="364">
        <v>0</v>
      </c>
      <c r="R187" s="364">
        <v>0</v>
      </c>
      <c r="S187" s="364">
        <v>0</v>
      </c>
      <c r="T187" s="364">
        <v>0</v>
      </c>
      <c r="U187" s="364">
        <v>0</v>
      </c>
      <c r="V187" s="364">
        <v>0</v>
      </c>
      <c r="W187" s="364">
        <v>0</v>
      </c>
      <c r="X187" s="364">
        <v>0</v>
      </c>
      <c r="Y187" s="364">
        <v>0</v>
      </c>
      <c r="Z187" s="364">
        <v>0</v>
      </c>
      <c r="AA187" s="364">
        <v>0</v>
      </c>
      <c r="AB187" s="364">
        <v>0</v>
      </c>
      <c r="AC187" s="364">
        <v>0</v>
      </c>
      <c r="AD187" s="364">
        <v>0</v>
      </c>
      <c r="AE187" s="364">
        <v>0</v>
      </c>
      <c r="AF187" s="364">
        <v>0</v>
      </c>
      <c r="AG187" s="364">
        <v>0</v>
      </c>
      <c r="AH187" s="364">
        <v>0</v>
      </c>
      <c r="AI187" s="364">
        <v>0</v>
      </c>
      <c r="AJ187" s="364">
        <v>0</v>
      </c>
      <c r="AK187" s="364">
        <v>0</v>
      </c>
      <c r="AL187" s="364">
        <v>0</v>
      </c>
      <c r="AM187" s="364">
        <v>0</v>
      </c>
      <c r="AN187" s="364">
        <v>0</v>
      </c>
      <c r="AO187" s="364">
        <v>0</v>
      </c>
      <c r="AP187" s="364">
        <v>0</v>
      </c>
      <c r="AQ187" s="364">
        <v>0</v>
      </c>
      <c r="AR187" s="364">
        <v>0</v>
      </c>
      <c r="AS187" s="364">
        <v>0</v>
      </c>
      <c r="AT187" s="364">
        <v>0</v>
      </c>
      <c r="AU187" s="364">
        <v>0</v>
      </c>
      <c r="AV187" s="364">
        <v>0</v>
      </c>
      <c r="AW187" s="364">
        <v>0</v>
      </c>
      <c r="AX187" s="364">
        <v>0</v>
      </c>
      <c r="AY187" s="364">
        <v>0</v>
      </c>
      <c r="AZ187" s="364">
        <v>0</v>
      </c>
      <c r="BA187" s="364">
        <v>0</v>
      </c>
      <c r="BB187" s="364">
        <v>0</v>
      </c>
      <c r="BC187" s="364">
        <v>0</v>
      </c>
      <c r="BD187" s="364">
        <v>0</v>
      </c>
      <c r="BE187" s="364">
        <v>0</v>
      </c>
      <c r="BF187" s="364">
        <v>0</v>
      </c>
      <c r="BG187" s="364">
        <v>0</v>
      </c>
      <c r="BH187" s="364">
        <v>0</v>
      </c>
      <c r="BI187" s="364">
        <v>0</v>
      </c>
      <c r="BJ187" s="364">
        <v>0</v>
      </c>
      <c r="BK187" s="364">
        <v>0</v>
      </c>
      <c r="BL187" s="364">
        <v>0</v>
      </c>
      <c r="BM187" s="364">
        <v>0</v>
      </c>
      <c r="BN187" s="364">
        <v>0</v>
      </c>
      <c r="BO187" s="364">
        <v>0</v>
      </c>
      <c r="BP187" s="364">
        <v>0</v>
      </c>
      <c r="BQ187" s="364">
        <v>0</v>
      </c>
      <c r="BR187" s="364">
        <v>0</v>
      </c>
      <c r="BS187" s="364">
        <v>0</v>
      </c>
      <c r="BT187" s="364">
        <v>0</v>
      </c>
      <c r="BU187" s="364">
        <v>0</v>
      </c>
      <c r="BV187" s="364">
        <v>0</v>
      </c>
      <c r="BW187" s="364">
        <v>0</v>
      </c>
      <c r="BX187" s="364">
        <v>0</v>
      </c>
      <c r="BY187" s="364">
        <v>0</v>
      </c>
      <c r="BZ187" s="364">
        <v>0</v>
      </c>
      <c r="CA187" s="364">
        <v>0</v>
      </c>
      <c r="CB187" s="364">
        <v>0</v>
      </c>
      <c r="CC187" s="364">
        <v>0</v>
      </c>
    </row>
    <row r="188" spans="1:94" s="32" customFormat="1" ht="15.75" thickBot="1" x14ac:dyDescent="0.25">
      <c r="A188" s="185"/>
      <c r="B188" s="352">
        <f ca="1">INDIRECT("B" &amp; (157 + ROWS($A$1:A2)))</f>
        <v>0</v>
      </c>
      <c r="D188" s="100" t="str">
        <f t="shared" ref="D188:D206" si="20">IFERROR(IF($CF$138=0,0,F188/$CF$138), "Ver fechas")</f>
        <v>Ver fechas</v>
      </c>
      <c r="F188" s="281">
        <f t="shared" si="18"/>
        <v>0</v>
      </c>
      <c r="H188" s="282">
        <f t="shared" si="19"/>
        <v>0</v>
      </c>
      <c r="J188" s="364">
        <v>0</v>
      </c>
      <c r="K188" s="364">
        <v>0</v>
      </c>
      <c r="L188" s="364">
        <v>0</v>
      </c>
      <c r="M188" s="364">
        <v>0</v>
      </c>
      <c r="N188" s="364">
        <v>0</v>
      </c>
      <c r="O188" s="364">
        <v>0</v>
      </c>
      <c r="P188" s="364">
        <v>0</v>
      </c>
      <c r="Q188" s="364">
        <v>0</v>
      </c>
      <c r="R188" s="364">
        <v>0</v>
      </c>
      <c r="S188" s="364">
        <v>0</v>
      </c>
      <c r="T188" s="364">
        <v>0</v>
      </c>
      <c r="U188" s="364">
        <v>0</v>
      </c>
      <c r="V188" s="364">
        <v>0</v>
      </c>
      <c r="W188" s="364">
        <v>0</v>
      </c>
      <c r="X188" s="364">
        <v>0</v>
      </c>
      <c r="Y188" s="364">
        <v>0</v>
      </c>
      <c r="Z188" s="364">
        <v>0</v>
      </c>
      <c r="AA188" s="364">
        <v>0</v>
      </c>
      <c r="AB188" s="364">
        <v>0</v>
      </c>
      <c r="AC188" s="364">
        <v>0</v>
      </c>
      <c r="AD188" s="364">
        <v>0</v>
      </c>
      <c r="AE188" s="364">
        <v>0</v>
      </c>
      <c r="AF188" s="364">
        <v>0</v>
      </c>
      <c r="AG188" s="364">
        <v>0</v>
      </c>
      <c r="AH188" s="364">
        <v>0</v>
      </c>
      <c r="AI188" s="364">
        <v>0</v>
      </c>
      <c r="AJ188" s="364">
        <v>0</v>
      </c>
      <c r="AK188" s="364">
        <v>0</v>
      </c>
      <c r="AL188" s="364">
        <v>0</v>
      </c>
      <c r="AM188" s="364">
        <v>0</v>
      </c>
      <c r="AN188" s="364">
        <v>0</v>
      </c>
      <c r="AO188" s="364">
        <v>0</v>
      </c>
      <c r="AP188" s="364">
        <v>0</v>
      </c>
      <c r="AQ188" s="364">
        <v>0</v>
      </c>
      <c r="AR188" s="364">
        <v>0</v>
      </c>
      <c r="AS188" s="364">
        <v>0</v>
      </c>
      <c r="AT188" s="364">
        <v>0</v>
      </c>
      <c r="AU188" s="364">
        <v>0</v>
      </c>
      <c r="AV188" s="364">
        <v>0</v>
      </c>
      <c r="AW188" s="364">
        <v>0</v>
      </c>
      <c r="AX188" s="364">
        <v>0</v>
      </c>
      <c r="AY188" s="364">
        <v>0</v>
      </c>
      <c r="AZ188" s="364">
        <v>0</v>
      </c>
      <c r="BA188" s="364">
        <v>0</v>
      </c>
      <c r="BB188" s="364">
        <v>0</v>
      </c>
      <c r="BC188" s="364">
        <v>0</v>
      </c>
      <c r="BD188" s="364">
        <v>0</v>
      </c>
      <c r="BE188" s="364">
        <v>0</v>
      </c>
      <c r="BF188" s="364">
        <v>0</v>
      </c>
      <c r="BG188" s="364">
        <v>0</v>
      </c>
      <c r="BH188" s="364">
        <v>0</v>
      </c>
      <c r="BI188" s="364">
        <v>0</v>
      </c>
      <c r="BJ188" s="364">
        <v>0</v>
      </c>
      <c r="BK188" s="364">
        <v>0</v>
      </c>
      <c r="BL188" s="364">
        <v>0</v>
      </c>
      <c r="BM188" s="364">
        <v>0</v>
      </c>
      <c r="BN188" s="364">
        <v>0</v>
      </c>
      <c r="BO188" s="364">
        <v>0</v>
      </c>
      <c r="BP188" s="364">
        <v>0</v>
      </c>
      <c r="BQ188" s="364">
        <v>0</v>
      </c>
      <c r="BR188" s="364">
        <v>0</v>
      </c>
      <c r="BS188" s="364">
        <v>0</v>
      </c>
      <c r="BT188" s="364">
        <v>0</v>
      </c>
      <c r="BU188" s="364">
        <v>0</v>
      </c>
      <c r="BV188" s="364">
        <v>0</v>
      </c>
      <c r="BW188" s="364">
        <v>0</v>
      </c>
      <c r="BX188" s="364">
        <v>0</v>
      </c>
      <c r="BY188" s="364">
        <v>0</v>
      </c>
      <c r="BZ188" s="364">
        <v>0</v>
      </c>
      <c r="CA188" s="364">
        <v>0</v>
      </c>
      <c r="CB188" s="364">
        <v>0</v>
      </c>
      <c r="CC188" s="364">
        <v>0</v>
      </c>
    </row>
    <row r="189" spans="1:94" s="32" customFormat="1" ht="15.75" thickBot="1" x14ac:dyDescent="0.25">
      <c r="A189" s="185"/>
      <c r="B189" s="352">
        <f ca="1">INDIRECT("B" &amp; (157 + ROWS($A$1:A3)))</f>
        <v>0</v>
      </c>
      <c r="D189" s="100" t="str">
        <f t="shared" si="20"/>
        <v>Ver fechas</v>
      </c>
      <c r="F189" s="281">
        <f t="shared" si="18"/>
        <v>0</v>
      </c>
      <c r="H189" s="282">
        <f t="shared" si="19"/>
        <v>0</v>
      </c>
      <c r="J189" s="364">
        <v>0</v>
      </c>
      <c r="K189" s="364">
        <v>0</v>
      </c>
      <c r="L189" s="364">
        <v>0</v>
      </c>
      <c r="M189" s="364">
        <v>0</v>
      </c>
      <c r="N189" s="364">
        <v>0</v>
      </c>
      <c r="O189" s="364">
        <v>0</v>
      </c>
      <c r="P189" s="364">
        <v>0</v>
      </c>
      <c r="Q189" s="364">
        <v>0</v>
      </c>
      <c r="R189" s="364">
        <v>0</v>
      </c>
      <c r="S189" s="364">
        <v>0</v>
      </c>
      <c r="T189" s="364">
        <v>0</v>
      </c>
      <c r="U189" s="364">
        <v>0</v>
      </c>
      <c r="V189" s="364">
        <v>0</v>
      </c>
      <c r="W189" s="364">
        <v>0</v>
      </c>
      <c r="X189" s="364">
        <v>0</v>
      </c>
      <c r="Y189" s="364">
        <v>0</v>
      </c>
      <c r="Z189" s="364">
        <v>0</v>
      </c>
      <c r="AA189" s="364">
        <v>0</v>
      </c>
      <c r="AB189" s="364">
        <v>0</v>
      </c>
      <c r="AC189" s="364">
        <v>0</v>
      </c>
      <c r="AD189" s="364">
        <v>0</v>
      </c>
      <c r="AE189" s="364">
        <v>0</v>
      </c>
      <c r="AF189" s="364">
        <v>0</v>
      </c>
      <c r="AG189" s="364">
        <v>0</v>
      </c>
      <c r="AH189" s="364">
        <v>0</v>
      </c>
      <c r="AI189" s="364">
        <v>0</v>
      </c>
      <c r="AJ189" s="364">
        <v>0</v>
      </c>
      <c r="AK189" s="364">
        <v>0</v>
      </c>
      <c r="AL189" s="364">
        <v>0</v>
      </c>
      <c r="AM189" s="364">
        <v>0</v>
      </c>
      <c r="AN189" s="364">
        <v>0</v>
      </c>
      <c r="AO189" s="364">
        <v>0</v>
      </c>
      <c r="AP189" s="364">
        <v>0</v>
      </c>
      <c r="AQ189" s="364">
        <v>0</v>
      </c>
      <c r="AR189" s="364">
        <v>0</v>
      </c>
      <c r="AS189" s="364">
        <v>0</v>
      </c>
      <c r="AT189" s="364">
        <v>0</v>
      </c>
      <c r="AU189" s="364">
        <v>0</v>
      </c>
      <c r="AV189" s="364">
        <v>0</v>
      </c>
      <c r="AW189" s="364">
        <v>0</v>
      </c>
      <c r="AX189" s="364">
        <v>0</v>
      </c>
      <c r="AY189" s="364">
        <v>0</v>
      </c>
      <c r="AZ189" s="364">
        <v>0</v>
      </c>
      <c r="BA189" s="364">
        <v>0</v>
      </c>
      <c r="BB189" s="364">
        <v>0</v>
      </c>
      <c r="BC189" s="364">
        <v>0</v>
      </c>
      <c r="BD189" s="364">
        <v>0</v>
      </c>
      <c r="BE189" s="364">
        <v>0</v>
      </c>
      <c r="BF189" s="364">
        <v>0</v>
      </c>
      <c r="BG189" s="364">
        <v>0</v>
      </c>
      <c r="BH189" s="364">
        <v>0</v>
      </c>
      <c r="BI189" s="364">
        <v>0</v>
      </c>
      <c r="BJ189" s="364">
        <v>0</v>
      </c>
      <c r="BK189" s="364">
        <v>0</v>
      </c>
      <c r="BL189" s="364">
        <v>0</v>
      </c>
      <c r="BM189" s="364">
        <v>0</v>
      </c>
      <c r="BN189" s="364">
        <v>0</v>
      </c>
      <c r="BO189" s="364">
        <v>0</v>
      </c>
      <c r="BP189" s="364">
        <v>0</v>
      </c>
      <c r="BQ189" s="364">
        <v>0</v>
      </c>
      <c r="BR189" s="364">
        <v>0</v>
      </c>
      <c r="BS189" s="364">
        <v>0</v>
      </c>
      <c r="BT189" s="364">
        <v>0</v>
      </c>
      <c r="BU189" s="364">
        <v>0</v>
      </c>
      <c r="BV189" s="364">
        <v>0</v>
      </c>
      <c r="BW189" s="364">
        <v>0</v>
      </c>
      <c r="BX189" s="364">
        <v>0</v>
      </c>
      <c r="BY189" s="364">
        <v>0</v>
      </c>
      <c r="BZ189" s="364">
        <v>0</v>
      </c>
      <c r="CA189" s="364">
        <v>0</v>
      </c>
      <c r="CB189" s="364">
        <v>0</v>
      </c>
      <c r="CC189" s="364">
        <v>0</v>
      </c>
    </row>
    <row r="190" spans="1:94" s="32" customFormat="1" ht="15.75" thickBot="1" x14ac:dyDescent="0.25">
      <c r="A190" s="185"/>
      <c r="B190" s="352">
        <f ca="1">INDIRECT("B" &amp; (157 + ROWS($A$1:A4)))</f>
        <v>0</v>
      </c>
      <c r="D190" s="100" t="str">
        <f t="shared" si="20"/>
        <v>Ver fechas</v>
      </c>
      <c r="F190" s="281">
        <f t="shared" si="18"/>
        <v>0</v>
      </c>
      <c r="H190" s="282">
        <f t="shared" si="19"/>
        <v>0</v>
      </c>
      <c r="J190" s="364">
        <v>0</v>
      </c>
      <c r="K190" s="364">
        <v>0</v>
      </c>
      <c r="L190" s="364">
        <v>0</v>
      </c>
      <c r="M190" s="364">
        <v>0</v>
      </c>
      <c r="N190" s="364">
        <v>0</v>
      </c>
      <c r="O190" s="364">
        <v>0</v>
      </c>
      <c r="P190" s="364">
        <v>0</v>
      </c>
      <c r="Q190" s="364">
        <v>0</v>
      </c>
      <c r="R190" s="364">
        <v>0</v>
      </c>
      <c r="S190" s="364">
        <v>0</v>
      </c>
      <c r="T190" s="364">
        <v>0</v>
      </c>
      <c r="U190" s="364">
        <v>0</v>
      </c>
      <c r="V190" s="364">
        <v>0</v>
      </c>
      <c r="W190" s="364">
        <v>0</v>
      </c>
      <c r="X190" s="364">
        <v>0</v>
      </c>
      <c r="Y190" s="364">
        <v>0</v>
      </c>
      <c r="Z190" s="364">
        <v>0</v>
      </c>
      <c r="AA190" s="364">
        <v>0</v>
      </c>
      <c r="AB190" s="364">
        <v>0</v>
      </c>
      <c r="AC190" s="364">
        <v>0</v>
      </c>
      <c r="AD190" s="364">
        <v>0</v>
      </c>
      <c r="AE190" s="364">
        <v>0</v>
      </c>
      <c r="AF190" s="364">
        <v>0</v>
      </c>
      <c r="AG190" s="364">
        <v>0</v>
      </c>
      <c r="AH190" s="364">
        <v>0</v>
      </c>
      <c r="AI190" s="364">
        <v>0</v>
      </c>
      <c r="AJ190" s="364">
        <v>0</v>
      </c>
      <c r="AK190" s="364">
        <v>0</v>
      </c>
      <c r="AL190" s="364">
        <v>0</v>
      </c>
      <c r="AM190" s="364">
        <v>0</v>
      </c>
      <c r="AN190" s="364">
        <v>0</v>
      </c>
      <c r="AO190" s="364">
        <v>0</v>
      </c>
      <c r="AP190" s="364">
        <v>0</v>
      </c>
      <c r="AQ190" s="364">
        <v>0</v>
      </c>
      <c r="AR190" s="364">
        <v>0</v>
      </c>
      <c r="AS190" s="364">
        <v>0</v>
      </c>
      <c r="AT190" s="364">
        <v>0</v>
      </c>
      <c r="AU190" s="364">
        <v>0</v>
      </c>
      <c r="AV190" s="364">
        <v>0</v>
      </c>
      <c r="AW190" s="364">
        <v>0</v>
      </c>
      <c r="AX190" s="364">
        <v>0</v>
      </c>
      <c r="AY190" s="364">
        <v>0</v>
      </c>
      <c r="AZ190" s="364">
        <v>0</v>
      </c>
      <c r="BA190" s="364">
        <v>0</v>
      </c>
      <c r="BB190" s="364">
        <v>0</v>
      </c>
      <c r="BC190" s="364">
        <v>0</v>
      </c>
      <c r="BD190" s="364">
        <v>0</v>
      </c>
      <c r="BE190" s="364">
        <v>0</v>
      </c>
      <c r="BF190" s="364">
        <v>0</v>
      </c>
      <c r="BG190" s="364">
        <v>0</v>
      </c>
      <c r="BH190" s="364">
        <v>0</v>
      </c>
      <c r="BI190" s="364">
        <v>0</v>
      </c>
      <c r="BJ190" s="364">
        <v>0</v>
      </c>
      <c r="BK190" s="364">
        <v>0</v>
      </c>
      <c r="BL190" s="364">
        <v>0</v>
      </c>
      <c r="BM190" s="364">
        <v>0</v>
      </c>
      <c r="BN190" s="364">
        <v>0</v>
      </c>
      <c r="BO190" s="364">
        <v>0</v>
      </c>
      <c r="BP190" s="364">
        <v>0</v>
      </c>
      <c r="BQ190" s="364">
        <v>0</v>
      </c>
      <c r="BR190" s="364">
        <v>0</v>
      </c>
      <c r="BS190" s="364">
        <v>0</v>
      </c>
      <c r="BT190" s="364">
        <v>0</v>
      </c>
      <c r="BU190" s="364">
        <v>0</v>
      </c>
      <c r="BV190" s="364">
        <v>0</v>
      </c>
      <c r="BW190" s="364">
        <v>0</v>
      </c>
      <c r="BX190" s="364">
        <v>0</v>
      </c>
      <c r="BY190" s="364">
        <v>0</v>
      </c>
      <c r="BZ190" s="364">
        <v>0</v>
      </c>
      <c r="CA190" s="364">
        <v>0</v>
      </c>
      <c r="CB190" s="364">
        <v>0</v>
      </c>
      <c r="CC190" s="364">
        <v>0</v>
      </c>
      <c r="CD190" s="113"/>
      <c r="CP190" s="113"/>
    </row>
    <row r="191" spans="1:94" s="32" customFormat="1" ht="15.75" thickBot="1" x14ac:dyDescent="0.25">
      <c r="A191" s="185"/>
      <c r="B191" s="352">
        <f ca="1">INDIRECT("B" &amp; (157 + ROWS($A$1:A5)))</f>
        <v>0</v>
      </c>
      <c r="D191" s="100" t="str">
        <f t="shared" si="20"/>
        <v>Ver fechas</v>
      </c>
      <c r="F191" s="281">
        <f t="shared" si="18"/>
        <v>0</v>
      </c>
      <c r="H191" s="282">
        <f t="shared" si="19"/>
        <v>0</v>
      </c>
      <c r="J191" s="364">
        <v>0</v>
      </c>
      <c r="K191" s="364">
        <v>0</v>
      </c>
      <c r="L191" s="364">
        <v>0</v>
      </c>
      <c r="M191" s="364">
        <v>0</v>
      </c>
      <c r="N191" s="364">
        <v>0</v>
      </c>
      <c r="O191" s="364">
        <v>0</v>
      </c>
      <c r="P191" s="364">
        <v>0</v>
      </c>
      <c r="Q191" s="364">
        <v>0</v>
      </c>
      <c r="R191" s="364">
        <v>0</v>
      </c>
      <c r="S191" s="364">
        <v>0</v>
      </c>
      <c r="T191" s="364">
        <v>0</v>
      </c>
      <c r="U191" s="364">
        <v>0</v>
      </c>
      <c r="V191" s="364">
        <v>0</v>
      </c>
      <c r="W191" s="364">
        <v>0</v>
      </c>
      <c r="X191" s="364">
        <v>0</v>
      </c>
      <c r="Y191" s="364">
        <v>0</v>
      </c>
      <c r="Z191" s="364">
        <v>0</v>
      </c>
      <c r="AA191" s="364">
        <v>0</v>
      </c>
      <c r="AB191" s="364">
        <v>0</v>
      </c>
      <c r="AC191" s="364">
        <v>0</v>
      </c>
      <c r="AD191" s="364">
        <v>0</v>
      </c>
      <c r="AE191" s="364">
        <v>0</v>
      </c>
      <c r="AF191" s="364">
        <v>0</v>
      </c>
      <c r="AG191" s="364">
        <v>0</v>
      </c>
      <c r="AH191" s="364">
        <v>0</v>
      </c>
      <c r="AI191" s="364">
        <v>0</v>
      </c>
      <c r="AJ191" s="364">
        <v>0</v>
      </c>
      <c r="AK191" s="364">
        <v>0</v>
      </c>
      <c r="AL191" s="364">
        <v>0</v>
      </c>
      <c r="AM191" s="364">
        <v>0</v>
      </c>
      <c r="AN191" s="364">
        <v>0</v>
      </c>
      <c r="AO191" s="364">
        <v>0</v>
      </c>
      <c r="AP191" s="364">
        <v>0</v>
      </c>
      <c r="AQ191" s="364">
        <v>0</v>
      </c>
      <c r="AR191" s="364">
        <v>0</v>
      </c>
      <c r="AS191" s="364">
        <v>0</v>
      </c>
      <c r="AT191" s="364">
        <v>0</v>
      </c>
      <c r="AU191" s="364">
        <v>0</v>
      </c>
      <c r="AV191" s="364">
        <v>0</v>
      </c>
      <c r="AW191" s="364">
        <v>0</v>
      </c>
      <c r="AX191" s="364">
        <v>0</v>
      </c>
      <c r="AY191" s="364">
        <v>0</v>
      </c>
      <c r="AZ191" s="364">
        <v>0</v>
      </c>
      <c r="BA191" s="364">
        <v>0</v>
      </c>
      <c r="BB191" s="364">
        <v>0</v>
      </c>
      <c r="BC191" s="364">
        <v>0</v>
      </c>
      <c r="BD191" s="364">
        <v>0</v>
      </c>
      <c r="BE191" s="364">
        <v>0</v>
      </c>
      <c r="BF191" s="364">
        <v>0</v>
      </c>
      <c r="BG191" s="364">
        <v>0</v>
      </c>
      <c r="BH191" s="364">
        <v>0</v>
      </c>
      <c r="BI191" s="364">
        <v>0</v>
      </c>
      <c r="BJ191" s="364">
        <v>0</v>
      </c>
      <c r="BK191" s="364">
        <v>0</v>
      </c>
      <c r="BL191" s="364">
        <v>0</v>
      </c>
      <c r="BM191" s="364">
        <v>0</v>
      </c>
      <c r="BN191" s="364">
        <v>0</v>
      </c>
      <c r="BO191" s="364">
        <v>0</v>
      </c>
      <c r="BP191" s="364">
        <v>0</v>
      </c>
      <c r="BQ191" s="364">
        <v>0</v>
      </c>
      <c r="BR191" s="364">
        <v>0</v>
      </c>
      <c r="BS191" s="364">
        <v>0</v>
      </c>
      <c r="BT191" s="364">
        <v>0</v>
      </c>
      <c r="BU191" s="364">
        <v>0</v>
      </c>
      <c r="BV191" s="364">
        <v>0</v>
      </c>
      <c r="BW191" s="364">
        <v>0</v>
      </c>
      <c r="BX191" s="364">
        <v>0</v>
      </c>
      <c r="BY191" s="364">
        <v>0</v>
      </c>
      <c r="BZ191" s="364">
        <v>0</v>
      </c>
      <c r="CA191" s="364">
        <v>0</v>
      </c>
      <c r="CB191" s="364">
        <v>0</v>
      </c>
      <c r="CC191" s="364">
        <v>0</v>
      </c>
      <c r="CD191" s="113"/>
      <c r="CP191" s="113"/>
    </row>
    <row r="192" spans="1:94" s="32" customFormat="1" ht="15.75" thickBot="1" x14ac:dyDescent="0.25">
      <c r="A192" s="185"/>
      <c r="B192" s="352">
        <f ca="1">INDIRECT("B" &amp; (157 + ROWS($A$1:A6)))</f>
        <v>0</v>
      </c>
      <c r="D192" s="100" t="str">
        <f t="shared" si="20"/>
        <v>Ver fechas</v>
      </c>
      <c r="F192" s="281">
        <f t="shared" si="18"/>
        <v>0</v>
      </c>
      <c r="H192" s="282">
        <f t="shared" si="19"/>
        <v>0</v>
      </c>
      <c r="J192" s="364">
        <v>0</v>
      </c>
      <c r="K192" s="364">
        <v>0</v>
      </c>
      <c r="L192" s="364">
        <v>0</v>
      </c>
      <c r="M192" s="364">
        <v>0</v>
      </c>
      <c r="N192" s="364">
        <v>0</v>
      </c>
      <c r="O192" s="364">
        <v>0</v>
      </c>
      <c r="P192" s="364">
        <v>0</v>
      </c>
      <c r="Q192" s="364">
        <v>0</v>
      </c>
      <c r="R192" s="364">
        <v>0</v>
      </c>
      <c r="S192" s="364">
        <v>0</v>
      </c>
      <c r="T192" s="364">
        <v>0</v>
      </c>
      <c r="U192" s="364">
        <v>0</v>
      </c>
      <c r="V192" s="364">
        <v>0</v>
      </c>
      <c r="W192" s="364">
        <v>0</v>
      </c>
      <c r="X192" s="364">
        <v>0</v>
      </c>
      <c r="Y192" s="364">
        <v>0</v>
      </c>
      <c r="Z192" s="364">
        <v>0</v>
      </c>
      <c r="AA192" s="364">
        <v>0</v>
      </c>
      <c r="AB192" s="364">
        <v>0</v>
      </c>
      <c r="AC192" s="364">
        <v>0</v>
      </c>
      <c r="AD192" s="364">
        <v>0</v>
      </c>
      <c r="AE192" s="364">
        <v>0</v>
      </c>
      <c r="AF192" s="364">
        <v>0</v>
      </c>
      <c r="AG192" s="364">
        <v>0</v>
      </c>
      <c r="AH192" s="364">
        <v>0</v>
      </c>
      <c r="AI192" s="364">
        <v>0</v>
      </c>
      <c r="AJ192" s="364">
        <v>0</v>
      </c>
      <c r="AK192" s="364">
        <v>0</v>
      </c>
      <c r="AL192" s="364">
        <v>0</v>
      </c>
      <c r="AM192" s="364">
        <v>0</v>
      </c>
      <c r="AN192" s="364">
        <v>0</v>
      </c>
      <c r="AO192" s="364">
        <v>0</v>
      </c>
      <c r="AP192" s="364">
        <v>0</v>
      </c>
      <c r="AQ192" s="364">
        <v>0</v>
      </c>
      <c r="AR192" s="364">
        <v>0</v>
      </c>
      <c r="AS192" s="364">
        <v>0</v>
      </c>
      <c r="AT192" s="364">
        <v>0</v>
      </c>
      <c r="AU192" s="364">
        <v>0</v>
      </c>
      <c r="AV192" s="364">
        <v>0</v>
      </c>
      <c r="AW192" s="364">
        <v>0</v>
      </c>
      <c r="AX192" s="364">
        <v>0</v>
      </c>
      <c r="AY192" s="364">
        <v>0</v>
      </c>
      <c r="AZ192" s="364">
        <v>0</v>
      </c>
      <c r="BA192" s="364">
        <v>0</v>
      </c>
      <c r="BB192" s="364">
        <v>0</v>
      </c>
      <c r="BC192" s="364">
        <v>0</v>
      </c>
      <c r="BD192" s="364">
        <v>0</v>
      </c>
      <c r="BE192" s="364">
        <v>0</v>
      </c>
      <c r="BF192" s="364">
        <v>0</v>
      </c>
      <c r="BG192" s="364">
        <v>0</v>
      </c>
      <c r="BH192" s="364">
        <v>0</v>
      </c>
      <c r="BI192" s="364">
        <v>0</v>
      </c>
      <c r="BJ192" s="364">
        <v>0</v>
      </c>
      <c r="BK192" s="364">
        <v>0</v>
      </c>
      <c r="BL192" s="364">
        <v>0</v>
      </c>
      <c r="BM192" s="364">
        <v>0</v>
      </c>
      <c r="BN192" s="364">
        <v>0</v>
      </c>
      <c r="BO192" s="364">
        <v>0</v>
      </c>
      <c r="BP192" s="364">
        <v>0</v>
      </c>
      <c r="BQ192" s="364">
        <v>0</v>
      </c>
      <c r="BR192" s="364">
        <v>0</v>
      </c>
      <c r="BS192" s="364">
        <v>0</v>
      </c>
      <c r="BT192" s="364">
        <v>0</v>
      </c>
      <c r="BU192" s="364">
        <v>0</v>
      </c>
      <c r="BV192" s="364">
        <v>0</v>
      </c>
      <c r="BW192" s="364">
        <v>0</v>
      </c>
      <c r="BX192" s="364">
        <v>0</v>
      </c>
      <c r="BY192" s="364">
        <v>0</v>
      </c>
      <c r="BZ192" s="364">
        <v>0</v>
      </c>
      <c r="CA192" s="364">
        <v>0</v>
      </c>
      <c r="CB192" s="364">
        <v>0</v>
      </c>
      <c r="CC192" s="364">
        <v>0</v>
      </c>
      <c r="CD192" s="113"/>
      <c r="CP192" s="113"/>
    </row>
    <row r="193" spans="1:94" s="32" customFormat="1" ht="15.75" thickBot="1" x14ac:dyDescent="0.25">
      <c r="A193" s="185"/>
      <c r="B193" s="352">
        <f ca="1">INDIRECT("B" &amp; (157 + ROWS($A$1:A7)))</f>
        <v>0</v>
      </c>
      <c r="D193" s="100" t="str">
        <f t="shared" si="20"/>
        <v>Ver fechas</v>
      </c>
      <c r="F193" s="281">
        <f t="shared" si="18"/>
        <v>0</v>
      </c>
      <c r="H193" s="282">
        <f t="shared" si="19"/>
        <v>0</v>
      </c>
      <c r="J193" s="364">
        <v>0</v>
      </c>
      <c r="K193" s="364">
        <v>0</v>
      </c>
      <c r="L193" s="364">
        <v>0</v>
      </c>
      <c r="M193" s="364">
        <v>0</v>
      </c>
      <c r="N193" s="364">
        <v>0</v>
      </c>
      <c r="O193" s="364">
        <v>0</v>
      </c>
      <c r="P193" s="364">
        <v>0</v>
      </c>
      <c r="Q193" s="364">
        <v>0</v>
      </c>
      <c r="R193" s="364">
        <v>0</v>
      </c>
      <c r="S193" s="364">
        <v>0</v>
      </c>
      <c r="T193" s="364">
        <v>0</v>
      </c>
      <c r="U193" s="364">
        <v>0</v>
      </c>
      <c r="V193" s="364">
        <v>0</v>
      </c>
      <c r="W193" s="364">
        <v>0</v>
      </c>
      <c r="X193" s="364">
        <v>0</v>
      </c>
      <c r="Y193" s="364">
        <v>0</v>
      </c>
      <c r="Z193" s="364">
        <v>0</v>
      </c>
      <c r="AA193" s="364">
        <v>0</v>
      </c>
      <c r="AB193" s="364">
        <v>0</v>
      </c>
      <c r="AC193" s="364">
        <v>0</v>
      </c>
      <c r="AD193" s="364">
        <v>0</v>
      </c>
      <c r="AE193" s="364">
        <v>0</v>
      </c>
      <c r="AF193" s="364">
        <v>0</v>
      </c>
      <c r="AG193" s="364">
        <v>0</v>
      </c>
      <c r="AH193" s="364">
        <v>0</v>
      </c>
      <c r="AI193" s="364">
        <v>0</v>
      </c>
      <c r="AJ193" s="364">
        <v>0</v>
      </c>
      <c r="AK193" s="364">
        <v>0</v>
      </c>
      <c r="AL193" s="364">
        <v>0</v>
      </c>
      <c r="AM193" s="364">
        <v>0</v>
      </c>
      <c r="AN193" s="364">
        <v>0</v>
      </c>
      <c r="AO193" s="364">
        <v>0</v>
      </c>
      <c r="AP193" s="364">
        <v>0</v>
      </c>
      <c r="AQ193" s="364">
        <v>0</v>
      </c>
      <c r="AR193" s="364">
        <v>0</v>
      </c>
      <c r="AS193" s="364">
        <v>0</v>
      </c>
      <c r="AT193" s="364">
        <v>0</v>
      </c>
      <c r="AU193" s="364">
        <v>0</v>
      </c>
      <c r="AV193" s="364">
        <v>0</v>
      </c>
      <c r="AW193" s="364">
        <v>0</v>
      </c>
      <c r="AX193" s="364">
        <v>0</v>
      </c>
      <c r="AY193" s="364">
        <v>0</v>
      </c>
      <c r="AZ193" s="364">
        <v>0</v>
      </c>
      <c r="BA193" s="364">
        <v>0</v>
      </c>
      <c r="BB193" s="364">
        <v>0</v>
      </c>
      <c r="BC193" s="364">
        <v>0</v>
      </c>
      <c r="BD193" s="364">
        <v>0</v>
      </c>
      <c r="BE193" s="364">
        <v>0</v>
      </c>
      <c r="BF193" s="364">
        <v>0</v>
      </c>
      <c r="BG193" s="364">
        <v>0</v>
      </c>
      <c r="BH193" s="364">
        <v>0</v>
      </c>
      <c r="BI193" s="364">
        <v>0</v>
      </c>
      <c r="BJ193" s="364">
        <v>0</v>
      </c>
      <c r="BK193" s="364">
        <v>0</v>
      </c>
      <c r="BL193" s="364">
        <v>0</v>
      </c>
      <c r="BM193" s="364">
        <v>0</v>
      </c>
      <c r="BN193" s="364">
        <v>0</v>
      </c>
      <c r="BO193" s="364">
        <v>0</v>
      </c>
      <c r="BP193" s="364">
        <v>0</v>
      </c>
      <c r="BQ193" s="364">
        <v>0</v>
      </c>
      <c r="BR193" s="364">
        <v>0</v>
      </c>
      <c r="BS193" s="364">
        <v>0</v>
      </c>
      <c r="BT193" s="364">
        <v>0</v>
      </c>
      <c r="BU193" s="364">
        <v>0</v>
      </c>
      <c r="BV193" s="364">
        <v>0</v>
      </c>
      <c r="BW193" s="364">
        <v>0</v>
      </c>
      <c r="BX193" s="364">
        <v>0</v>
      </c>
      <c r="BY193" s="364">
        <v>0</v>
      </c>
      <c r="BZ193" s="364">
        <v>0</v>
      </c>
      <c r="CA193" s="364">
        <v>0</v>
      </c>
      <c r="CB193" s="364">
        <v>0</v>
      </c>
      <c r="CC193" s="364">
        <v>0</v>
      </c>
      <c r="CD193" s="113"/>
      <c r="CP193" s="113"/>
    </row>
    <row r="194" spans="1:94" s="32" customFormat="1" ht="15.75" thickBot="1" x14ac:dyDescent="0.25">
      <c r="A194" s="185"/>
      <c r="B194" s="352">
        <f ca="1">INDIRECT("B" &amp; (157 + ROWS($A$1:A8)))</f>
        <v>0</v>
      </c>
      <c r="D194" s="100" t="str">
        <f t="shared" si="20"/>
        <v>Ver fechas</v>
      </c>
      <c r="F194" s="281">
        <f t="shared" si="18"/>
        <v>0</v>
      </c>
      <c r="H194" s="282">
        <f t="shared" si="19"/>
        <v>0</v>
      </c>
      <c r="J194" s="364">
        <v>0</v>
      </c>
      <c r="K194" s="364">
        <v>0</v>
      </c>
      <c r="L194" s="364">
        <v>0</v>
      </c>
      <c r="M194" s="364">
        <v>0</v>
      </c>
      <c r="N194" s="364">
        <v>0</v>
      </c>
      <c r="O194" s="364">
        <v>0</v>
      </c>
      <c r="P194" s="364">
        <v>0</v>
      </c>
      <c r="Q194" s="364">
        <v>0</v>
      </c>
      <c r="R194" s="364">
        <v>0</v>
      </c>
      <c r="S194" s="364">
        <v>0</v>
      </c>
      <c r="T194" s="364">
        <v>0</v>
      </c>
      <c r="U194" s="364">
        <v>0</v>
      </c>
      <c r="V194" s="364">
        <v>0</v>
      </c>
      <c r="W194" s="364">
        <v>0</v>
      </c>
      <c r="X194" s="364">
        <v>0</v>
      </c>
      <c r="Y194" s="364">
        <v>0</v>
      </c>
      <c r="Z194" s="364">
        <v>0</v>
      </c>
      <c r="AA194" s="364">
        <v>0</v>
      </c>
      <c r="AB194" s="364">
        <v>0</v>
      </c>
      <c r="AC194" s="364">
        <v>0</v>
      </c>
      <c r="AD194" s="364">
        <v>0</v>
      </c>
      <c r="AE194" s="364">
        <v>0</v>
      </c>
      <c r="AF194" s="364">
        <v>0</v>
      </c>
      <c r="AG194" s="364">
        <v>0</v>
      </c>
      <c r="AH194" s="364">
        <v>0</v>
      </c>
      <c r="AI194" s="364">
        <v>0</v>
      </c>
      <c r="AJ194" s="364">
        <v>0</v>
      </c>
      <c r="AK194" s="364">
        <v>0</v>
      </c>
      <c r="AL194" s="364">
        <v>0</v>
      </c>
      <c r="AM194" s="364">
        <v>0</v>
      </c>
      <c r="AN194" s="364">
        <v>0</v>
      </c>
      <c r="AO194" s="364">
        <v>0</v>
      </c>
      <c r="AP194" s="364">
        <v>0</v>
      </c>
      <c r="AQ194" s="364">
        <v>0</v>
      </c>
      <c r="AR194" s="364">
        <v>0</v>
      </c>
      <c r="AS194" s="364">
        <v>0</v>
      </c>
      <c r="AT194" s="364">
        <v>0</v>
      </c>
      <c r="AU194" s="364">
        <v>0</v>
      </c>
      <c r="AV194" s="364">
        <v>0</v>
      </c>
      <c r="AW194" s="364">
        <v>0</v>
      </c>
      <c r="AX194" s="364">
        <v>0</v>
      </c>
      <c r="AY194" s="364">
        <v>0</v>
      </c>
      <c r="AZ194" s="364">
        <v>0</v>
      </c>
      <c r="BA194" s="364">
        <v>0</v>
      </c>
      <c r="BB194" s="364">
        <v>0</v>
      </c>
      <c r="BC194" s="364">
        <v>0</v>
      </c>
      <c r="BD194" s="364">
        <v>0</v>
      </c>
      <c r="BE194" s="364">
        <v>0</v>
      </c>
      <c r="BF194" s="364">
        <v>0</v>
      </c>
      <c r="BG194" s="364">
        <v>0</v>
      </c>
      <c r="BH194" s="364">
        <v>0</v>
      </c>
      <c r="BI194" s="364">
        <v>0</v>
      </c>
      <c r="BJ194" s="364">
        <v>0</v>
      </c>
      <c r="BK194" s="364">
        <v>0</v>
      </c>
      <c r="BL194" s="364">
        <v>0</v>
      </c>
      <c r="BM194" s="364">
        <v>0</v>
      </c>
      <c r="BN194" s="364">
        <v>0</v>
      </c>
      <c r="BO194" s="364">
        <v>0</v>
      </c>
      <c r="BP194" s="364">
        <v>0</v>
      </c>
      <c r="BQ194" s="364">
        <v>0</v>
      </c>
      <c r="BR194" s="364">
        <v>0</v>
      </c>
      <c r="BS194" s="364">
        <v>0</v>
      </c>
      <c r="BT194" s="364">
        <v>0</v>
      </c>
      <c r="BU194" s="364">
        <v>0</v>
      </c>
      <c r="BV194" s="364">
        <v>0</v>
      </c>
      <c r="BW194" s="364">
        <v>0</v>
      </c>
      <c r="BX194" s="364">
        <v>0</v>
      </c>
      <c r="BY194" s="364">
        <v>0</v>
      </c>
      <c r="BZ194" s="364">
        <v>0</v>
      </c>
      <c r="CA194" s="364">
        <v>0</v>
      </c>
      <c r="CB194" s="364">
        <v>0</v>
      </c>
      <c r="CC194" s="364">
        <v>0</v>
      </c>
      <c r="CD194" s="113"/>
      <c r="CP194" s="113"/>
    </row>
    <row r="195" spans="1:94" s="32" customFormat="1" ht="15.75" thickBot="1" x14ac:dyDescent="0.25">
      <c r="A195" s="185"/>
      <c r="B195" s="352">
        <f ca="1">INDIRECT("B" &amp; (157 + ROWS($A$1:A9)))</f>
        <v>0</v>
      </c>
      <c r="D195" s="100" t="str">
        <f t="shared" si="20"/>
        <v>Ver fechas</v>
      </c>
      <c r="F195" s="281">
        <f t="shared" si="18"/>
        <v>0</v>
      </c>
      <c r="H195" s="282">
        <f t="shared" si="19"/>
        <v>0</v>
      </c>
      <c r="J195" s="364">
        <v>0</v>
      </c>
      <c r="K195" s="364">
        <v>0</v>
      </c>
      <c r="L195" s="364">
        <v>0</v>
      </c>
      <c r="M195" s="364">
        <v>0</v>
      </c>
      <c r="N195" s="364">
        <v>0</v>
      </c>
      <c r="O195" s="364">
        <v>0</v>
      </c>
      <c r="P195" s="364">
        <v>0</v>
      </c>
      <c r="Q195" s="364">
        <v>0</v>
      </c>
      <c r="R195" s="364">
        <v>0</v>
      </c>
      <c r="S195" s="364">
        <v>0</v>
      </c>
      <c r="T195" s="364">
        <v>0</v>
      </c>
      <c r="U195" s="364">
        <v>0</v>
      </c>
      <c r="V195" s="364">
        <v>0</v>
      </c>
      <c r="W195" s="364">
        <v>0</v>
      </c>
      <c r="X195" s="364">
        <v>0</v>
      </c>
      <c r="Y195" s="364">
        <v>0</v>
      </c>
      <c r="Z195" s="364">
        <v>0</v>
      </c>
      <c r="AA195" s="364">
        <v>0</v>
      </c>
      <c r="AB195" s="364">
        <v>0</v>
      </c>
      <c r="AC195" s="364">
        <v>0</v>
      </c>
      <c r="AD195" s="364">
        <v>0</v>
      </c>
      <c r="AE195" s="364">
        <v>0</v>
      </c>
      <c r="AF195" s="364">
        <v>0</v>
      </c>
      <c r="AG195" s="364">
        <v>0</v>
      </c>
      <c r="AH195" s="364">
        <v>0</v>
      </c>
      <c r="AI195" s="364">
        <v>0</v>
      </c>
      <c r="AJ195" s="364">
        <v>0</v>
      </c>
      <c r="AK195" s="364">
        <v>0</v>
      </c>
      <c r="AL195" s="364">
        <v>0</v>
      </c>
      <c r="AM195" s="364">
        <v>0</v>
      </c>
      <c r="AN195" s="364">
        <v>0</v>
      </c>
      <c r="AO195" s="364">
        <v>0</v>
      </c>
      <c r="AP195" s="364">
        <v>0</v>
      </c>
      <c r="AQ195" s="364">
        <v>0</v>
      </c>
      <c r="AR195" s="364">
        <v>0</v>
      </c>
      <c r="AS195" s="364">
        <v>0</v>
      </c>
      <c r="AT195" s="364">
        <v>0</v>
      </c>
      <c r="AU195" s="364">
        <v>0</v>
      </c>
      <c r="AV195" s="364">
        <v>0</v>
      </c>
      <c r="AW195" s="364">
        <v>0</v>
      </c>
      <c r="AX195" s="364">
        <v>0</v>
      </c>
      <c r="AY195" s="364">
        <v>0</v>
      </c>
      <c r="AZ195" s="364">
        <v>0</v>
      </c>
      <c r="BA195" s="364">
        <v>0</v>
      </c>
      <c r="BB195" s="364">
        <v>0</v>
      </c>
      <c r="BC195" s="364">
        <v>0</v>
      </c>
      <c r="BD195" s="364">
        <v>0</v>
      </c>
      <c r="BE195" s="364">
        <v>0</v>
      </c>
      <c r="BF195" s="364">
        <v>0</v>
      </c>
      <c r="BG195" s="364">
        <v>0</v>
      </c>
      <c r="BH195" s="364">
        <v>0</v>
      </c>
      <c r="BI195" s="364">
        <v>0</v>
      </c>
      <c r="BJ195" s="364">
        <v>0</v>
      </c>
      <c r="BK195" s="364">
        <v>0</v>
      </c>
      <c r="BL195" s="364">
        <v>0</v>
      </c>
      <c r="BM195" s="364">
        <v>0</v>
      </c>
      <c r="BN195" s="364">
        <v>0</v>
      </c>
      <c r="BO195" s="364">
        <v>0</v>
      </c>
      <c r="BP195" s="364">
        <v>0</v>
      </c>
      <c r="BQ195" s="364">
        <v>0</v>
      </c>
      <c r="BR195" s="364">
        <v>0</v>
      </c>
      <c r="BS195" s="364">
        <v>0</v>
      </c>
      <c r="BT195" s="364">
        <v>0</v>
      </c>
      <c r="BU195" s="364">
        <v>0</v>
      </c>
      <c r="BV195" s="364">
        <v>0</v>
      </c>
      <c r="BW195" s="364">
        <v>0</v>
      </c>
      <c r="BX195" s="364">
        <v>0</v>
      </c>
      <c r="BY195" s="364">
        <v>0</v>
      </c>
      <c r="BZ195" s="364">
        <v>0</v>
      </c>
      <c r="CA195" s="364">
        <v>0</v>
      </c>
      <c r="CB195" s="364">
        <v>0</v>
      </c>
      <c r="CC195" s="364">
        <v>0</v>
      </c>
      <c r="CD195" s="113"/>
      <c r="CP195" s="113"/>
    </row>
    <row r="196" spans="1:94" s="32" customFormat="1" ht="15.75" thickBot="1" x14ac:dyDescent="0.25">
      <c r="A196" s="185"/>
      <c r="B196" s="352">
        <f ca="1">INDIRECT("B" &amp; (157 + ROWS($A$1:A10)))</f>
        <v>0</v>
      </c>
      <c r="D196" s="100" t="str">
        <f t="shared" si="20"/>
        <v>Ver fechas</v>
      </c>
      <c r="F196" s="281">
        <f t="shared" si="18"/>
        <v>0</v>
      </c>
      <c r="H196" s="282">
        <f t="shared" si="19"/>
        <v>0</v>
      </c>
      <c r="J196" s="364">
        <v>0</v>
      </c>
      <c r="K196" s="364">
        <v>0</v>
      </c>
      <c r="L196" s="364">
        <v>0</v>
      </c>
      <c r="M196" s="364">
        <v>0</v>
      </c>
      <c r="N196" s="364">
        <v>0</v>
      </c>
      <c r="O196" s="364">
        <v>0</v>
      </c>
      <c r="P196" s="364">
        <v>0</v>
      </c>
      <c r="Q196" s="364">
        <v>0</v>
      </c>
      <c r="R196" s="364">
        <v>0</v>
      </c>
      <c r="S196" s="364">
        <v>0</v>
      </c>
      <c r="T196" s="364">
        <v>0</v>
      </c>
      <c r="U196" s="364">
        <v>0</v>
      </c>
      <c r="V196" s="364">
        <v>0</v>
      </c>
      <c r="W196" s="364">
        <v>0</v>
      </c>
      <c r="X196" s="364">
        <v>0</v>
      </c>
      <c r="Y196" s="364">
        <v>0</v>
      </c>
      <c r="Z196" s="364">
        <v>0</v>
      </c>
      <c r="AA196" s="364">
        <v>0</v>
      </c>
      <c r="AB196" s="364">
        <v>0</v>
      </c>
      <c r="AC196" s="364">
        <v>0</v>
      </c>
      <c r="AD196" s="364">
        <v>0</v>
      </c>
      <c r="AE196" s="364">
        <v>0</v>
      </c>
      <c r="AF196" s="364">
        <v>0</v>
      </c>
      <c r="AG196" s="364">
        <v>0</v>
      </c>
      <c r="AH196" s="364">
        <v>0</v>
      </c>
      <c r="AI196" s="364">
        <v>0</v>
      </c>
      <c r="AJ196" s="364">
        <v>0</v>
      </c>
      <c r="AK196" s="364">
        <v>0</v>
      </c>
      <c r="AL196" s="364">
        <v>0</v>
      </c>
      <c r="AM196" s="364">
        <v>0</v>
      </c>
      <c r="AN196" s="364">
        <v>0</v>
      </c>
      <c r="AO196" s="364">
        <v>0</v>
      </c>
      <c r="AP196" s="364">
        <v>0</v>
      </c>
      <c r="AQ196" s="364">
        <v>0</v>
      </c>
      <c r="AR196" s="364">
        <v>0</v>
      </c>
      <c r="AS196" s="364">
        <v>0</v>
      </c>
      <c r="AT196" s="364">
        <v>0</v>
      </c>
      <c r="AU196" s="364">
        <v>0</v>
      </c>
      <c r="AV196" s="364">
        <v>0</v>
      </c>
      <c r="AW196" s="364">
        <v>0</v>
      </c>
      <c r="AX196" s="364">
        <v>0</v>
      </c>
      <c r="AY196" s="364">
        <v>0</v>
      </c>
      <c r="AZ196" s="364">
        <v>0</v>
      </c>
      <c r="BA196" s="364">
        <v>0</v>
      </c>
      <c r="BB196" s="364">
        <v>0</v>
      </c>
      <c r="BC196" s="364">
        <v>0</v>
      </c>
      <c r="BD196" s="364">
        <v>0</v>
      </c>
      <c r="BE196" s="364">
        <v>0</v>
      </c>
      <c r="BF196" s="364">
        <v>0</v>
      </c>
      <c r="BG196" s="364">
        <v>0</v>
      </c>
      <c r="BH196" s="364">
        <v>0</v>
      </c>
      <c r="BI196" s="364">
        <v>0</v>
      </c>
      <c r="BJ196" s="364">
        <v>0</v>
      </c>
      <c r="BK196" s="364">
        <v>0</v>
      </c>
      <c r="BL196" s="364">
        <v>0</v>
      </c>
      <c r="BM196" s="364">
        <v>0</v>
      </c>
      <c r="BN196" s="364">
        <v>0</v>
      </c>
      <c r="BO196" s="364">
        <v>0</v>
      </c>
      <c r="BP196" s="364">
        <v>0</v>
      </c>
      <c r="BQ196" s="364">
        <v>0</v>
      </c>
      <c r="BR196" s="364">
        <v>0</v>
      </c>
      <c r="BS196" s="364">
        <v>0</v>
      </c>
      <c r="BT196" s="364">
        <v>0</v>
      </c>
      <c r="BU196" s="364">
        <v>0</v>
      </c>
      <c r="BV196" s="364">
        <v>0</v>
      </c>
      <c r="BW196" s="364">
        <v>0</v>
      </c>
      <c r="BX196" s="364">
        <v>0</v>
      </c>
      <c r="BY196" s="364">
        <v>0</v>
      </c>
      <c r="BZ196" s="364">
        <v>0</v>
      </c>
      <c r="CA196" s="364">
        <v>0</v>
      </c>
      <c r="CB196" s="364">
        <v>0</v>
      </c>
      <c r="CC196" s="364">
        <v>0</v>
      </c>
      <c r="CD196" s="113"/>
      <c r="CP196" s="113"/>
    </row>
    <row r="197" spans="1:94" s="32" customFormat="1" ht="15.75" thickBot="1" x14ac:dyDescent="0.25">
      <c r="A197" s="185"/>
      <c r="B197" s="352">
        <f ca="1">INDIRECT("B" &amp; (157 + ROWS($A$1:A11)))</f>
        <v>0</v>
      </c>
      <c r="D197" s="100" t="str">
        <f t="shared" si="20"/>
        <v>Ver fechas</v>
      </c>
      <c r="F197" s="281">
        <f t="shared" si="18"/>
        <v>0</v>
      </c>
      <c r="H197" s="282">
        <f t="shared" si="19"/>
        <v>0</v>
      </c>
      <c r="J197" s="364">
        <v>0</v>
      </c>
      <c r="K197" s="364">
        <v>0</v>
      </c>
      <c r="L197" s="364">
        <v>0</v>
      </c>
      <c r="M197" s="364">
        <v>0</v>
      </c>
      <c r="N197" s="364">
        <v>0</v>
      </c>
      <c r="O197" s="364">
        <v>0</v>
      </c>
      <c r="P197" s="364">
        <v>0</v>
      </c>
      <c r="Q197" s="364">
        <v>0</v>
      </c>
      <c r="R197" s="364">
        <v>0</v>
      </c>
      <c r="S197" s="364">
        <v>0</v>
      </c>
      <c r="T197" s="364">
        <v>0</v>
      </c>
      <c r="U197" s="364">
        <v>0</v>
      </c>
      <c r="V197" s="364">
        <v>0</v>
      </c>
      <c r="W197" s="364">
        <v>0</v>
      </c>
      <c r="X197" s="364">
        <v>0</v>
      </c>
      <c r="Y197" s="364">
        <v>0</v>
      </c>
      <c r="Z197" s="364">
        <v>0</v>
      </c>
      <c r="AA197" s="364">
        <v>0</v>
      </c>
      <c r="AB197" s="364">
        <v>0</v>
      </c>
      <c r="AC197" s="364">
        <v>0</v>
      </c>
      <c r="AD197" s="364">
        <v>0</v>
      </c>
      <c r="AE197" s="364">
        <v>0</v>
      </c>
      <c r="AF197" s="364">
        <v>0</v>
      </c>
      <c r="AG197" s="364">
        <v>0</v>
      </c>
      <c r="AH197" s="364">
        <v>0</v>
      </c>
      <c r="AI197" s="364">
        <v>0</v>
      </c>
      <c r="AJ197" s="364">
        <v>0</v>
      </c>
      <c r="AK197" s="364">
        <v>0</v>
      </c>
      <c r="AL197" s="364">
        <v>0</v>
      </c>
      <c r="AM197" s="364">
        <v>0</v>
      </c>
      <c r="AN197" s="364">
        <v>0</v>
      </c>
      <c r="AO197" s="364">
        <v>0</v>
      </c>
      <c r="AP197" s="364">
        <v>0</v>
      </c>
      <c r="AQ197" s="364">
        <v>0</v>
      </c>
      <c r="AR197" s="364">
        <v>0</v>
      </c>
      <c r="AS197" s="364">
        <v>0</v>
      </c>
      <c r="AT197" s="364">
        <v>0</v>
      </c>
      <c r="AU197" s="364">
        <v>0</v>
      </c>
      <c r="AV197" s="364">
        <v>0</v>
      </c>
      <c r="AW197" s="364">
        <v>0</v>
      </c>
      <c r="AX197" s="364">
        <v>0</v>
      </c>
      <c r="AY197" s="364">
        <v>0</v>
      </c>
      <c r="AZ197" s="364">
        <v>0</v>
      </c>
      <c r="BA197" s="364">
        <v>0</v>
      </c>
      <c r="BB197" s="364">
        <v>0</v>
      </c>
      <c r="BC197" s="364">
        <v>0</v>
      </c>
      <c r="BD197" s="364">
        <v>0</v>
      </c>
      <c r="BE197" s="364">
        <v>0</v>
      </c>
      <c r="BF197" s="364">
        <v>0</v>
      </c>
      <c r="BG197" s="364">
        <v>0</v>
      </c>
      <c r="BH197" s="364">
        <v>0</v>
      </c>
      <c r="BI197" s="364">
        <v>0</v>
      </c>
      <c r="BJ197" s="364">
        <v>0</v>
      </c>
      <c r="BK197" s="364">
        <v>0</v>
      </c>
      <c r="BL197" s="364">
        <v>0</v>
      </c>
      <c r="BM197" s="364">
        <v>0</v>
      </c>
      <c r="BN197" s="364">
        <v>0</v>
      </c>
      <c r="BO197" s="364">
        <v>0</v>
      </c>
      <c r="BP197" s="364">
        <v>0</v>
      </c>
      <c r="BQ197" s="364">
        <v>0</v>
      </c>
      <c r="BR197" s="364">
        <v>0</v>
      </c>
      <c r="BS197" s="364">
        <v>0</v>
      </c>
      <c r="BT197" s="364">
        <v>0</v>
      </c>
      <c r="BU197" s="364">
        <v>0</v>
      </c>
      <c r="BV197" s="364">
        <v>0</v>
      </c>
      <c r="BW197" s="364">
        <v>0</v>
      </c>
      <c r="BX197" s="364">
        <v>0</v>
      </c>
      <c r="BY197" s="364">
        <v>0</v>
      </c>
      <c r="BZ197" s="364">
        <v>0</v>
      </c>
      <c r="CA197" s="364">
        <v>0</v>
      </c>
      <c r="CB197" s="364">
        <v>0</v>
      </c>
      <c r="CC197" s="364">
        <v>0</v>
      </c>
      <c r="CD197" s="113"/>
      <c r="CP197" s="113"/>
    </row>
    <row r="198" spans="1:94" s="32" customFormat="1" ht="15.75" thickBot="1" x14ac:dyDescent="0.25">
      <c r="A198" s="185"/>
      <c r="B198" s="352">
        <f ca="1">INDIRECT("B" &amp; (157 + ROWS($A$1:A12)))</f>
        <v>0</v>
      </c>
      <c r="D198" s="100" t="str">
        <f t="shared" si="20"/>
        <v>Ver fechas</v>
      </c>
      <c r="F198" s="281">
        <f t="shared" si="18"/>
        <v>0</v>
      </c>
      <c r="H198" s="282">
        <f t="shared" si="19"/>
        <v>0</v>
      </c>
      <c r="J198" s="364">
        <v>0</v>
      </c>
      <c r="K198" s="364">
        <v>0</v>
      </c>
      <c r="L198" s="364">
        <v>0</v>
      </c>
      <c r="M198" s="364">
        <v>0</v>
      </c>
      <c r="N198" s="364">
        <v>0</v>
      </c>
      <c r="O198" s="364">
        <v>0</v>
      </c>
      <c r="P198" s="364">
        <v>0</v>
      </c>
      <c r="Q198" s="364">
        <v>0</v>
      </c>
      <c r="R198" s="364">
        <v>0</v>
      </c>
      <c r="S198" s="364">
        <v>0</v>
      </c>
      <c r="T198" s="364">
        <v>0</v>
      </c>
      <c r="U198" s="364">
        <v>0</v>
      </c>
      <c r="V198" s="364">
        <v>0</v>
      </c>
      <c r="W198" s="364">
        <v>0</v>
      </c>
      <c r="X198" s="364">
        <v>0</v>
      </c>
      <c r="Y198" s="364">
        <v>0</v>
      </c>
      <c r="Z198" s="364">
        <v>0</v>
      </c>
      <c r="AA198" s="364">
        <v>0</v>
      </c>
      <c r="AB198" s="364">
        <v>0</v>
      </c>
      <c r="AC198" s="364">
        <v>0</v>
      </c>
      <c r="AD198" s="364">
        <v>0</v>
      </c>
      <c r="AE198" s="364">
        <v>0</v>
      </c>
      <c r="AF198" s="364">
        <v>0</v>
      </c>
      <c r="AG198" s="364">
        <v>0</v>
      </c>
      <c r="AH198" s="364">
        <v>0</v>
      </c>
      <c r="AI198" s="364">
        <v>0</v>
      </c>
      <c r="AJ198" s="364">
        <v>0</v>
      </c>
      <c r="AK198" s="364">
        <v>0</v>
      </c>
      <c r="AL198" s="364">
        <v>0</v>
      </c>
      <c r="AM198" s="364">
        <v>0</v>
      </c>
      <c r="AN198" s="364">
        <v>0</v>
      </c>
      <c r="AO198" s="364">
        <v>0</v>
      </c>
      <c r="AP198" s="364">
        <v>0</v>
      </c>
      <c r="AQ198" s="364">
        <v>0</v>
      </c>
      <c r="AR198" s="364">
        <v>0</v>
      </c>
      <c r="AS198" s="364">
        <v>0</v>
      </c>
      <c r="AT198" s="364">
        <v>0</v>
      </c>
      <c r="AU198" s="364">
        <v>0</v>
      </c>
      <c r="AV198" s="364">
        <v>0</v>
      </c>
      <c r="AW198" s="364">
        <v>0</v>
      </c>
      <c r="AX198" s="364">
        <v>0</v>
      </c>
      <c r="AY198" s="364">
        <v>0</v>
      </c>
      <c r="AZ198" s="364">
        <v>0</v>
      </c>
      <c r="BA198" s="364">
        <v>0</v>
      </c>
      <c r="BB198" s="364">
        <v>0</v>
      </c>
      <c r="BC198" s="364">
        <v>0</v>
      </c>
      <c r="BD198" s="364">
        <v>0</v>
      </c>
      <c r="BE198" s="364">
        <v>0</v>
      </c>
      <c r="BF198" s="364">
        <v>0</v>
      </c>
      <c r="BG198" s="364">
        <v>0</v>
      </c>
      <c r="BH198" s="364">
        <v>0</v>
      </c>
      <c r="BI198" s="364">
        <v>0</v>
      </c>
      <c r="BJ198" s="364">
        <v>0</v>
      </c>
      <c r="BK198" s="364">
        <v>0</v>
      </c>
      <c r="BL198" s="364">
        <v>0</v>
      </c>
      <c r="BM198" s="364">
        <v>0</v>
      </c>
      <c r="BN198" s="364">
        <v>0</v>
      </c>
      <c r="BO198" s="364">
        <v>0</v>
      </c>
      <c r="BP198" s="364">
        <v>0</v>
      </c>
      <c r="BQ198" s="364">
        <v>0</v>
      </c>
      <c r="BR198" s="364">
        <v>0</v>
      </c>
      <c r="BS198" s="364">
        <v>0</v>
      </c>
      <c r="BT198" s="364">
        <v>0</v>
      </c>
      <c r="BU198" s="364">
        <v>0</v>
      </c>
      <c r="BV198" s="364">
        <v>0</v>
      </c>
      <c r="BW198" s="364">
        <v>0</v>
      </c>
      <c r="BX198" s="364">
        <v>0</v>
      </c>
      <c r="BY198" s="364">
        <v>0</v>
      </c>
      <c r="BZ198" s="364">
        <v>0</v>
      </c>
      <c r="CA198" s="364">
        <v>0</v>
      </c>
      <c r="CB198" s="364">
        <v>0</v>
      </c>
      <c r="CC198" s="364">
        <v>0</v>
      </c>
      <c r="CD198" s="113"/>
      <c r="CP198" s="113"/>
    </row>
    <row r="199" spans="1:94" s="32" customFormat="1" ht="15.75" thickBot="1" x14ac:dyDescent="0.25">
      <c r="A199" s="185"/>
      <c r="B199" s="352">
        <f ca="1">INDIRECT("B" &amp; (157 + ROWS($A$1:A13)))</f>
        <v>0</v>
      </c>
      <c r="D199" s="100" t="str">
        <f t="shared" si="20"/>
        <v>Ver fechas</v>
      </c>
      <c r="F199" s="281">
        <f t="shared" si="18"/>
        <v>0</v>
      </c>
      <c r="H199" s="282">
        <f t="shared" si="19"/>
        <v>0</v>
      </c>
      <c r="J199" s="364">
        <v>0</v>
      </c>
      <c r="K199" s="364">
        <v>0</v>
      </c>
      <c r="L199" s="364">
        <v>0</v>
      </c>
      <c r="M199" s="364">
        <v>0</v>
      </c>
      <c r="N199" s="364">
        <v>0</v>
      </c>
      <c r="O199" s="364">
        <v>0</v>
      </c>
      <c r="P199" s="364">
        <v>0</v>
      </c>
      <c r="Q199" s="364">
        <v>0</v>
      </c>
      <c r="R199" s="364">
        <v>0</v>
      </c>
      <c r="S199" s="364">
        <v>0</v>
      </c>
      <c r="T199" s="364">
        <v>0</v>
      </c>
      <c r="U199" s="364">
        <v>0</v>
      </c>
      <c r="V199" s="364">
        <v>0</v>
      </c>
      <c r="W199" s="364">
        <v>0</v>
      </c>
      <c r="X199" s="364">
        <v>0</v>
      </c>
      <c r="Y199" s="364">
        <v>0</v>
      </c>
      <c r="Z199" s="364">
        <v>0</v>
      </c>
      <c r="AA199" s="364">
        <v>0</v>
      </c>
      <c r="AB199" s="364">
        <v>0</v>
      </c>
      <c r="AC199" s="364">
        <v>0</v>
      </c>
      <c r="AD199" s="364">
        <v>0</v>
      </c>
      <c r="AE199" s="364">
        <v>0</v>
      </c>
      <c r="AF199" s="364">
        <v>0</v>
      </c>
      <c r="AG199" s="364">
        <v>0</v>
      </c>
      <c r="AH199" s="364">
        <v>0</v>
      </c>
      <c r="AI199" s="364">
        <v>0</v>
      </c>
      <c r="AJ199" s="364">
        <v>0</v>
      </c>
      <c r="AK199" s="364">
        <v>0</v>
      </c>
      <c r="AL199" s="364">
        <v>0</v>
      </c>
      <c r="AM199" s="364">
        <v>0</v>
      </c>
      <c r="AN199" s="364">
        <v>0</v>
      </c>
      <c r="AO199" s="364">
        <v>0</v>
      </c>
      <c r="AP199" s="364">
        <v>0</v>
      </c>
      <c r="AQ199" s="364">
        <v>0</v>
      </c>
      <c r="AR199" s="364">
        <v>0</v>
      </c>
      <c r="AS199" s="364">
        <v>0</v>
      </c>
      <c r="AT199" s="364">
        <v>0</v>
      </c>
      <c r="AU199" s="364">
        <v>0</v>
      </c>
      <c r="AV199" s="364">
        <v>0</v>
      </c>
      <c r="AW199" s="364">
        <v>0</v>
      </c>
      <c r="AX199" s="364">
        <v>0</v>
      </c>
      <c r="AY199" s="364">
        <v>0</v>
      </c>
      <c r="AZ199" s="364">
        <v>0</v>
      </c>
      <c r="BA199" s="364">
        <v>0</v>
      </c>
      <c r="BB199" s="364">
        <v>0</v>
      </c>
      <c r="BC199" s="364">
        <v>0</v>
      </c>
      <c r="BD199" s="364">
        <v>0</v>
      </c>
      <c r="BE199" s="364">
        <v>0</v>
      </c>
      <c r="BF199" s="364">
        <v>0</v>
      </c>
      <c r="BG199" s="364">
        <v>0</v>
      </c>
      <c r="BH199" s="364">
        <v>0</v>
      </c>
      <c r="BI199" s="364">
        <v>0</v>
      </c>
      <c r="BJ199" s="364">
        <v>0</v>
      </c>
      <c r="BK199" s="364">
        <v>0</v>
      </c>
      <c r="BL199" s="364">
        <v>0</v>
      </c>
      <c r="BM199" s="364">
        <v>0</v>
      </c>
      <c r="BN199" s="364">
        <v>0</v>
      </c>
      <c r="BO199" s="364">
        <v>0</v>
      </c>
      <c r="BP199" s="364">
        <v>0</v>
      </c>
      <c r="BQ199" s="364">
        <v>0</v>
      </c>
      <c r="BR199" s="364">
        <v>0</v>
      </c>
      <c r="BS199" s="364">
        <v>0</v>
      </c>
      <c r="BT199" s="364">
        <v>0</v>
      </c>
      <c r="BU199" s="364">
        <v>0</v>
      </c>
      <c r="BV199" s="364">
        <v>0</v>
      </c>
      <c r="BW199" s="364">
        <v>0</v>
      </c>
      <c r="BX199" s="364">
        <v>0</v>
      </c>
      <c r="BY199" s="364">
        <v>0</v>
      </c>
      <c r="BZ199" s="364">
        <v>0</v>
      </c>
      <c r="CA199" s="364">
        <v>0</v>
      </c>
      <c r="CB199" s="364">
        <v>0</v>
      </c>
      <c r="CC199" s="364">
        <v>0</v>
      </c>
      <c r="CD199" s="113"/>
      <c r="CP199" s="113"/>
    </row>
    <row r="200" spans="1:94" s="32" customFormat="1" ht="15.75" thickBot="1" x14ac:dyDescent="0.25">
      <c r="A200" s="185"/>
      <c r="B200" s="352">
        <f ca="1">INDIRECT("B" &amp; (157 + ROWS($A$1:A14)))</f>
        <v>0</v>
      </c>
      <c r="D200" s="100" t="str">
        <f t="shared" si="20"/>
        <v>Ver fechas</v>
      </c>
      <c r="F200" s="281">
        <f t="shared" si="18"/>
        <v>0</v>
      </c>
      <c r="H200" s="282">
        <f t="shared" si="19"/>
        <v>0</v>
      </c>
      <c r="J200" s="364">
        <v>0</v>
      </c>
      <c r="K200" s="364">
        <v>0</v>
      </c>
      <c r="L200" s="364">
        <v>0</v>
      </c>
      <c r="M200" s="364">
        <v>0</v>
      </c>
      <c r="N200" s="364">
        <v>0</v>
      </c>
      <c r="O200" s="364">
        <v>0</v>
      </c>
      <c r="P200" s="364">
        <v>0</v>
      </c>
      <c r="Q200" s="364">
        <v>0</v>
      </c>
      <c r="R200" s="364">
        <v>0</v>
      </c>
      <c r="S200" s="364">
        <v>0</v>
      </c>
      <c r="T200" s="364">
        <v>0</v>
      </c>
      <c r="U200" s="364">
        <v>0</v>
      </c>
      <c r="V200" s="364">
        <v>0</v>
      </c>
      <c r="W200" s="364">
        <v>0</v>
      </c>
      <c r="X200" s="364">
        <v>0</v>
      </c>
      <c r="Y200" s="364">
        <v>0</v>
      </c>
      <c r="Z200" s="364">
        <v>0</v>
      </c>
      <c r="AA200" s="364">
        <v>0</v>
      </c>
      <c r="AB200" s="364">
        <v>0</v>
      </c>
      <c r="AC200" s="364">
        <v>0</v>
      </c>
      <c r="AD200" s="364">
        <v>0</v>
      </c>
      <c r="AE200" s="364">
        <v>0</v>
      </c>
      <c r="AF200" s="364">
        <v>0</v>
      </c>
      <c r="AG200" s="364">
        <v>0</v>
      </c>
      <c r="AH200" s="364">
        <v>0</v>
      </c>
      <c r="AI200" s="364">
        <v>0</v>
      </c>
      <c r="AJ200" s="364">
        <v>0</v>
      </c>
      <c r="AK200" s="364">
        <v>0</v>
      </c>
      <c r="AL200" s="364">
        <v>0</v>
      </c>
      <c r="AM200" s="364">
        <v>0</v>
      </c>
      <c r="AN200" s="364">
        <v>0</v>
      </c>
      <c r="AO200" s="364">
        <v>0</v>
      </c>
      <c r="AP200" s="364">
        <v>0</v>
      </c>
      <c r="AQ200" s="364">
        <v>0</v>
      </c>
      <c r="AR200" s="364">
        <v>0</v>
      </c>
      <c r="AS200" s="364">
        <v>0</v>
      </c>
      <c r="AT200" s="364">
        <v>0</v>
      </c>
      <c r="AU200" s="364">
        <v>0</v>
      </c>
      <c r="AV200" s="364">
        <v>0</v>
      </c>
      <c r="AW200" s="364">
        <v>0</v>
      </c>
      <c r="AX200" s="364">
        <v>0</v>
      </c>
      <c r="AY200" s="364">
        <v>0</v>
      </c>
      <c r="AZ200" s="364">
        <v>0</v>
      </c>
      <c r="BA200" s="364">
        <v>0</v>
      </c>
      <c r="BB200" s="364">
        <v>0</v>
      </c>
      <c r="BC200" s="364">
        <v>0</v>
      </c>
      <c r="BD200" s="364">
        <v>0</v>
      </c>
      <c r="BE200" s="364">
        <v>0</v>
      </c>
      <c r="BF200" s="364">
        <v>0</v>
      </c>
      <c r="BG200" s="364">
        <v>0</v>
      </c>
      <c r="BH200" s="364">
        <v>0</v>
      </c>
      <c r="BI200" s="364">
        <v>0</v>
      </c>
      <c r="BJ200" s="364">
        <v>0</v>
      </c>
      <c r="BK200" s="364">
        <v>0</v>
      </c>
      <c r="BL200" s="364">
        <v>0</v>
      </c>
      <c r="BM200" s="364">
        <v>0</v>
      </c>
      <c r="BN200" s="364">
        <v>0</v>
      </c>
      <c r="BO200" s="364">
        <v>0</v>
      </c>
      <c r="BP200" s="364">
        <v>0</v>
      </c>
      <c r="BQ200" s="364">
        <v>0</v>
      </c>
      <c r="BR200" s="364">
        <v>0</v>
      </c>
      <c r="BS200" s="364">
        <v>0</v>
      </c>
      <c r="BT200" s="364">
        <v>0</v>
      </c>
      <c r="BU200" s="364">
        <v>0</v>
      </c>
      <c r="BV200" s="364">
        <v>0</v>
      </c>
      <c r="BW200" s="364">
        <v>0</v>
      </c>
      <c r="BX200" s="364">
        <v>0</v>
      </c>
      <c r="BY200" s="364">
        <v>0</v>
      </c>
      <c r="BZ200" s="364">
        <v>0</v>
      </c>
      <c r="CA200" s="364">
        <v>0</v>
      </c>
      <c r="CB200" s="364">
        <v>0</v>
      </c>
      <c r="CC200" s="364">
        <v>0</v>
      </c>
      <c r="CD200" s="113"/>
      <c r="CP200" s="113"/>
    </row>
    <row r="201" spans="1:94" s="32" customFormat="1" ht="15.75" thickBot="1" x14ac:dyDescent="0.25">
      <c r="A201" s="185"/>
      <c r="B201" s="352">
        <f ca="1">INDIRECT("B" &amp; (157 + ROWS($A$1:A15)))</f>
        <v>0</v>
      </c>
      <c r="D201" s="100" t="str">
        <f t="shared" si="20"/>
        <v>Ver fechas</v>
      </c>
      <c r="F201" s="281">
        <f t="shared" si="18"/>
        <v>0</v>
      </c>
      <c r="H201" s="282">
        <f t="shared" si="19"/>
        <v>0</v>
      </c>
      <c r="J201" s="364">
        <v>0</v>
      </c>
      <c r="K201" s="364">
        <v>0</v>
      </c>
      <c r="L201" s="364">
        <v>0</v>
      </c>
      <c r="M201" s="364">
        <v>0</v>
      </c>
      <c r="N201" s="364">
        <v>0</v>
      </c>
      <c r="O201" s="364">
        <v>0</v>
      </c>
      <c r="P201" s="364">
        <v>0</v>
      </c>
      <c r="Q201" s="364">
        <v>0</v>
      </c>
      <c r="R201" s="364">
        <v>0</v>
      </c>
      <c r="S201" s="364">
        <v>0</v>
      </c>
      <c r="T201" s="364">
        <v>0</v>
      </c>
      <c r="U201" s="364">
        <v>0</v>
      </c>
      <c r="V201" s="364">
        <v>0</v>
      </c>
      <c r="W201" s="364">
        <v>0</v>
      </c>
      <c r="X201" s="364">
        <v>0</v>
      </c>
      <c r="Y201" s="364">
        <v>0</v>
      </c>
      <c r="Z201" s="364">
        <v>0</v>
      </c>
      <c r="AA201" s="364">
        <v>0</v>
      </c>
      <c r="AB201" s="364">
        <v>0</v>
      </c>
      <c r="AC201" s="364">
        <v>0</v>
      </c>
      <c r="AD201" s="364">
        <v>0</v>
      </c>
      <c r="AE201" s="364">
        <v>0</v>
      </c>
      <c r="AF201" s="364">
        <v>0</v>
      </c>
      <c r="AG201" s="364">
        <v>0</v>
      </c>
      <c r="AH201" s="364">
        <v>0</v>
      </c>
      <c r="AI201" s="364">
        <v>0</v>
      </c>
      <c r="AJ201" s="364">
        <v>0</v>
      </c>
      <c r="AK201" s="364">
        <v>0</v>
      </c>
      <c r="AL201" s="364">
        <v>0</v>
      </c>
      <c r="AM201" s="364">
        <v>0</v>
      </c>
      <c r="AN201" s="364">
        <v>0</v>
      </c>
      <c r="AO201" s="364">
        <v>0</v>
      </c>
      <c r="AP201" s="364">
        <v>0</v>
      </c>
      <c r="AQ201" s="364">
        <v>0</v>
      </c>
      <c r="AR201" s="364">
        <v>0</v>
      </c>
      <c r="AS201" s="364">
        <v>0</v>
      </c>
      <c r="AT201" s="364">
        <v>0</v>
      </c>
      <c r="AU201" s="364">
        <v>0</v>
      </c>
      <c r="AV201" s="364">
        <v>0</v>
      </c>
      <c r="AW201" s="364">
        <v>0</v>
      </c>
      <c r="AX201" s="364">
        <v>0</v>
      </c>
      <c r="AY201" s="364">
        <v>0</v>
      </c>
      <c r="AZ201" s="364">
        <v>0</v>
      </c>
      <c r="BA201" s="364">
        <v>0</v>
      </c>
      <c r="BB201" s="364">
        <v>0</v>
      </c>
      <c r="BC201" s="364">
        <v>0</v>
      </c>
      <c r="BD201" s="364">
        <v>0</v>
      </c>
      <c r="BE201" s="364">
        <v>0</v>
      </c>
      <c r="BF201" s="364">
        <v>0</v>
      </c>
      <c r="BG201" s="364">
        <v>0</v>
      </c>
      <c r="BH201" s="364">
        <v>0</v>
      </c>
      <c r="BI201" s="364">
        <v>0</v>
      </c>
      <c r="BJ201" s="364">
        <v>0</v>
      </c>
      <c r="BK201" s="364">
        <v>0</v>
      </c>
      <c r="BL201" s="364">
        <v>0</v>
      </c>
      <c r="BM201" s="364">
        <v>0</v>
      </c>
      <c r="BN201" s="364">
        <v>0</v>
      </c>
      <c r="BO201" s="364">
        <v>0</v>
      </c>
      <c r="BP201" s="364">
        <v>0</v>
      </c>
      <c r="BQ201" s="364">
        <v>0</v>
      </c>
      <c r="BR201" s="364">
        <v>0</v>
      </c>
      <c r="BS201" s="364">
        <v>0</v>
      </c>
      <c r="BT201" s="364">
        <v>0</v>
      </c>
      <c r="BU201" s="364">
        <v>0</v>
      </c>
      <c r="BV201" s="364">
        <v>0</v>
      </c>
      <c r="BW201" s="364">
        <v>0</v>
      </c>
      <c r="BX201" s="364">
        <v>0</v>
      </c>
      <c r="BY201" s="364">
        <v>0</v>
      </c>
      <c r="BZ201" s="364">
        <v>0</v>
      </c>
      <c r="CA201" s="364">
        <v>0</v>
      </c>
      <c r="CB201" s="364">
        <v>0</v>
      </c>
      <c r="CC201" s="364">
        <v>0</v>
      </c>
      <c r="CD201" s="113"/>
      <c r="CP201" s="113"/>
    </row>
    <row r="202" spans="1:94" s="32" customFormat="1" ht="15.75" thickBot="1" x14ac:dyDescent="0.25">
      <c r="A202" s="185"/>
      <c r="B202" s="352">
        <f ca="1">INDIRECT("B" &amp; (157 + ROWS($A$1:A16)))</f>
        <v>0</v>
      </c>
      <c r="D202" s="100" t="str">
        <f t="shared" si="20"/>
        <v>Ver fechas</v>
      </c>
      <c r="F202" s="281">
        <f t="shared" si="18"/>
        <v>0</v>
      </c>
      <c r="H202" s="282">
        <f t="shared" si="19"/>
        <v>0</v>
      </c>
      <c r="J202" s="364">
        <v>0</v>
      </c>
      <c r="K202" s="364">
        <v>0</v>
      </c>
      <c r="L202" s="364">
        <v>0</v>
      </c>
      <c r="M202" s="364">
        <v>0</v>
      </c>
      <c r="N202" s="364">
        <v>0</v>
      </c>
      <c r="O202" s="364">
        <v>0</v>
      </c>
      <c r="P202" s="364">
        <v>0</v>
      </c>
      <c r="Q202" s="364">
        <v>0</v>
      </c>
      <c r="R202" s="364">
        <v>0</v>
      </c>
      <c r="S202" s="364">
        <v>0</v>
      </c>
      <c r="T202" s="364">
        <v>0</v>
      </c>
      <c r="U202" s="364">
        <v>0</v>
      </c>
      <c r="V202" s="364">
        <v>0</v>
      </c>
      <c r="W202" s="364">
        <v>0</v>
      </c>
      <c r="X202" s="364">
        <v>0</v>
      </c>
      <c r="Y202" s="364">
        <v>0</v>
      </c>
      <c r="Z202" s="364">
        <v>0</v>
      </c>
      <c r="AA202" s="364">
        <v>0</v>
      </c>
      <c r="AB202" s="364">
        <v>0</v>
      </c>
      <c r="AC202" s="364">
        <v>0</v>
      </c>
      <c r="AD202" s="364">
        <v>0</v>
      </c>
      <c r="AE202" s="364">
        <v>0</v>
      </c>
      <c r="AF202" s="364">
        <v>0</v>
      </c>
      <c r="AG202" s="364">
        <v>0</v>
      </c>
      <c r="AH202" s="364">
        <v>0</v>
      </c>
      <c r="AI202" s="364">
        <v>0</v>
      </c>
      <c r="AJ202" s="364">
        <v>0</v>
      </c>
      <c r="AK202" s="364">
        <v>0</v>
      </c>
      <c r="AL202" s="364">
        <v>0</v>
      </c>
      <c r="AM202" s="364">
        <v>0</v>
      </c>
      <c r="AN202" s="364">
        <v>0</v>
      </c>
      <c r="AO202" s="364">
        <v>0</v>
      </c>
      <c r="AP202" s="364">
        <v>0</v>
      </c>
      <c r="AQ202" s="364">
        <v>0</v>
      </c>
      <c r="AR202" s="364">
        <v>0</v>
      </c>
      <c r="AS202" s="364">
        <v>0</v>
      </c>
      <c r="AT202" s="364">
        <v>0</v>
      </c>
      <c r="AU202" s="364">
        <v>0</v>
      </c>
      <c r="AV202" s="364">
        <v>0</v>
      </c>
      <c r="AW202" s="364">
        <v>0</v>
      </c>
      <c r="AX202" s="364">
        <v>0</v>
      </c>
      <c r="AY202" s="364">
        <v>0</v>
      </c>
      <c r="AZ202" s="364">
        <v>0</v>
      </c>
      <c r="BA202" s="364">
        <v>0</v>
      </c>
      <c r="BB202" s="364">
        <v>0</v>
      </c>
      <c r="BC202" s="364">
        <v>0</v>
      </c>
      <c r="BD202" s="364">
        <v>0</v>
      </c>
      <c r="BE202" s="364">
        <v>0</v>
      </c>
      <c r="BF202" s="364">
        <v>0</v>
      </c>
      <c r="BG202" s="364">
        <v>0</v>
      </c>
      <c r="BH202" s="364">
        <v>0</v>
      </c>
      <c r="BI202" s="364">
        <v>0</v>
      </c>
      <c r="BJ202" s="364">
        <v>0</v>
      </c>
      <c r="BK202" s="364">
        <v>0</v>
      </c>
      <c r="BL202" s="364">
        <v>0</v>
      </c>
      <c r="BM202" s="364">
        <v>0</v>
      </c>
      <c r="BN202" s="364">
        <v>0</v>
      </c>
      <c r="BO202" s="364">
        <v>0</v>
      </c>
      <c r="BP202" s="364">
        <v>0</v>
      </c>
      <c r="BQ202" s="364">
        <v>0</v>
      </c>
      <c r="BR202" s="364">
        <v>0</v>
      </c>
      <c r="BS202" s="364">
        <v>0</v>
      </c>
      <c r="BT202" s="364">
        <v>0</v>
      </c>
      <c r="BU202" s="364">
        <v>0</v>
      </c>
      <c r="BV202" s="364">
        <v>0</v>
      </c>
      <c r="BW202" s="364">
        <v>0</v>
      </c>
      <c r="BX202" s="364">
        <v>0</v>
      </c>
      <c r="BY202" s="364">
        <v>0</v>
      </c>
      <c r="BZ202" s="364">
        <v>0</v>
      </c>
      <c r="CA202" s="364">
        <v>0</v>
      </c>
      <c r="CB202" s="364">
        <v>0</v>
      </c>
      <c r="CC202" s="364">
        <v>0</v>
      </c>
      <c r="CD202" s="113"/>
      <c r="CP202" s="113"/>
    </row>
    <row r="203" spans="1:94" s="32" customFormat="1" ht="15.75" thickBot="1" x14ac:dyDescent="0.25">
      <c r="A203" s="185"/>
      <c r="B203" s="352">
        <f ca="1">INDIRECT("B" &amp; (157 + ROWS($A$1:A17)))</f>
        <v>0</v>
      </c>
      <c r="D203" s="100" t="str">
        <f t="shared" si="20"/>
        <v>Ver fechas</v>
      </c>
      <c r="F203" s="281">
        <f t="shared" si="18"/>
        <v>0</v>
      </c>
      <c r="H203" s="282">
        <f t="shared" si="19"/>
        <v>0</v>
      </c>
      <c r="J203" s="364">
        <v>0</v>
      </c>
      <c r="K203" s="364">
        <v>0</v>
      </c>
      <c r="L203" s="364">
        <v>0</v>
      </c>
      <c r="M203" s="364">
        <v>0</v>
      </c>
      <c r="N203" s="364">
        <v>0</v>
      </c>
      <c r="O203" s="364">
        <v>0</v>
      </c>
      <c r="P203" s="364">
        <v>0</v>
      </c>
      <c r="Q203" s="364">
        <v>0</v>
      </c>
      <c r="R203" s="364">
        <v>0</v>
      </c>
      <c r="S203" s="364">
        <v>0</v>
      </c>
      <c r="T203" s="364">
        <v>0</v>
      </c>
      <c r="U203" s="364">
        <v>0</v>
      </c>
      <c r="V203" s="364">
        <v>0</v>
      </c>
      <c r="W203" s="364">
        <v>0</v>
      </c>
      <c r="X203" s="364">
        <v>0</v>
      </c>
      <c r="Y203" s="364">
        <v>0</v>
      </c>
      <c r="Z203" s="364">
        <v>0</v>
      </c>
      <c r="AA203" s="364">
        <v>0</v>
      </c>
      <c r="AB203" s="364">
        <v>0</v>
      </c>
      <c r="AC203" s="364">
        <v>0</v>
      </c>
      <c r="AD203" s="364">
        <v>0</v>
      </c>
      <c r="AE203" s="364">
        <v>0</v>
      </c>
      <c r="AF203" s="364">
        <v>0</v>
      </c>
      <c r="AG203" s="364">
        <v>0</v>
      </c>
      <c r="AH203" s="364">
        <v>0</v>
      </c>
      <c r="AI203" s="364">
        <v>0</v>
      </c>
      <c r="AJ203" s="364">
        <v>0</v>
      </c>
      <c r="AK203" s="364">
        <v>0</v>
      </c>
      <c r="AL203" s="364">
        <v>0</v>
      </c>
      <c r="AM203" s="364">
        <v>0</v>
      </c>
      <c r="AN203" s="364">
        <v>0</v>
      </c>
      <c r="AO203" s="364">
        <v>0</v>
      </c>
      <c r="AP203" s="364">
        <v>0</v>
      </c>
      <c r="AQ203" s="364">
        <v>0</v>
      </c>
      <c r="AR203" s="364">
        <v>0</v>
      </c>
      <c r="AS203" s="364">
        <v>0</v>
      </c>
      <c r="AT203" s="364">
        <v>0</v>
      </c>
      <c r="AU203" s="364">
        <v>0</v>
      </c>
      <c r="AV203" s="364">
        <v>0</v>
      </c>
      <c r="AW203" s="364">
        <v>0</v>
      </c>
      <c r="AX203" s="364">
        <v>0</v>
      </c>
      <c r="AY203" s="364">
        <v>0</v>
      </c>
      <c r="AZ203" s="364">
        <v>0</v>
      </c>
      <c r="BA203" s="364">
        <v>0</v>
      </c>
      <c r="BB203" s="364">
        <v>0</v>
      </c>
      <c r="BC203" s="364">
        <v>0</v>
      </c>
      <c r="BD203" s="364">
        <v>0</v>
      </c>
      <c r="BE203" s="364">
        <v>0</v>
      </c>
      <c r="BF203" s="364">
        <v>0</v>
      </c>
      <c r="BG203" s="364">
        <v>0</v>
      </c>
      <c r="BH203" s="364">
        <v>0</v>
      </c>
      <c r="BI203" s="364">
        <v>0</v>
      </c>
      <c r="BJ203" s="364">
        <v>0</v>
      </c>
      <c r="BK203" s="364">
        <v>0</v>
      </c>
      <c r="BL203" s="364">
        <v>0</v>
      </c>
      <c r="BM203" s="364">
        <v>0</v>
      </c>
      <c r="BN203" s="364">
        <v>0</v>
      </c>
      <c r="BO203" s="364">
        <v>0</v>
      </c>
      <c r="BP203" s="364">
        <v>0</v>
      </c>
      <c r="BQ203" s="364">
        <v>0</v>
      </c>
      <c r="BR203" s="364">
        <v>0</v>
      </c>
      <c r="BS203" s="364">
        <v>0</v>
      </c>
      <c r="BT203" s="364">
        <v>0</v>
      </c>
      <c r="BU203" s="364">
        <v>0</v>
      </c>
      <c r="BV203" s="364">
        <v>0</v>
      </c>
      <c r="BW203" s="364">
        <v>0</v>
      </c>
      <c r="BX203" s="364">
        <v>0</v>
      </c>
      <c r="BY203" s="364">
        <v>0</v>
      </c>
      <c r="BZ203" s="364">
        <v>0</v>
      </c>
      <c r="CA203" s="364">
        <v>0</v>
      </c>
      <c r="CB203" s="364">
        <v>0</v>
      </c>
      <c r="CC203" s="364">
        <v>0</v>
      </c>
      <c r="CD203" s="113"/>
      <c r="CP203" s="113"/>
    </row>
    <row r="204" spans="1:94" s="32" customFormat="1" ht="15.75" thickBot="1" x14ac:dyDescent="0.25">
      <c r="A204" s="185"/>
      <c r="B204" s="352">
        <f ca="1">INDIRECT("B" &amp; (157 + ROWS($A$1:A18)))</f>
        <v>0</v>
      </c>
      <c r="D204" s="100" t="str">
        <f t="shared" si="20"/>
        <v>Ver fechas</v>
      </c>
      <c r="F204" s="281">
        <f t="shared" si="18"/>
        <v>0</v>
      </c>
      <c r="H204" s="282">
        <f t="shared" si="19"/>
        <v>0</v>
      </c>
      <c r="J204" s="364">
        <v>0</v>
      </c>
      <c r="K204" s="364">
        <v>0</v>
      </c>
      <c r="L204" s="364">
        <v>0</v>
      </c>
      <c r="M204" s="364">
        <v>0</v>
      </c>
      <c r="N204" s="364">
        <v>0</v>
      </c>
      <c r="O204" s="364">
        <v>0</v>
      </c>
      <c r="P204" s="364">
        <v>0</v>
      </c>
      <c r="Q204" s="364">
        <v>0</v>
      </c>
      <c r="R204" s="364">
        <v>0</v>
      </c>
      <c r="S204" s="364">
        <v>0</v>
      </c>
      <c r="T204" s="364">
        <v>0</v>
      </c>
      <c r="U204" s="364">
        <v>0</v>
      </c>
      <c r="V204" s="364">
        <v>0</v>
      </c>
      <c r="W204" s="364">
        <v>0</v>
      </c>
      <c r="X204" s="364">
        <v>0</v>
      </c>
      <c r="Y204" s="364">
        <v>0</v>
      </c>
      <c r="Z204" s="364">
        <v>0</v>
      </c>
      <c r="AA204" s="364">
        <v>0</v>
      </c>
      <c r="AB204" s="364">
        <v>0</v>
      </c>
      <c r="AC204" s="364">
        <v>0</v>
      </c>
      <c r="AD204" s="364">
        <v>0</v>
      </c>
      <c r="AE204" s="364">
        <v>0</v>
      </c>
      <c r="AF204" s="364">
        <v>0</v>
      </c>
      <c r="AG204" s="364">
        <v>0</v>
      </c>
      <c r="AH204" s="364">
        <v>0</v>
      </c>
      <c r="AI204" s="364">
        <v>0</v>
      </c>
      <c r="AJ204" s="364">
        <v>0</v>
      </c>
      <c r="AK204" s="364">
        <v>0</v>
      </c>
      <c r="AL204" s="364">
        <v>0</v>
      </c>
      <c r="AM204" s="364">
        <v>0</v>
      </c>
      <c r="AN204" s="364">
        <v>0</v>
      </c>
      <c r="AO204" s="364">
        <v>0</v>
      </c>
      <c r="AP204" s="364">
        <v>0</v>
      </c>
      <c r="AQ204" s="364">
        <v>0</v>
      </c>
      <c r="AR204" s="364">
        <v>0</v>
      </c>
      <c r="AS204" s="364">
        <v>0</v>
      </c>
      <c r="AT204" s="364">
        <v>0</v>
      </c>
      <c r="AU204" s="364">
        <v>0</v>
      </c>
      <c r="AV204" s="364">
        <v>0</v>
      </c>
      <c r="AW204" s="364">
        <v>0</v>
      </c>
      <c r="AX204" s="364">
        <v>0</v>
      </c>
      <c r="AY204" s="364">
        <v>0</v>
      </c>
      <c r="AZ204" s="364">
        <v>0</v>
      </c>
      <c r="BA204" s="364">
        <v>0</v>
      </c>
      <c r="BB204" s="364">
        <v>0</v>
      </c>
      <c r="BC204" s="364">
        <v>0</v>
      </c>
      <c r="BD204" s="364">
        <v>0</v>
      </c>
      <c r="BE204" s="364">
        <v>0</v>
      </c>
      <c r="BF204" s="364">
        <v>0</v>
      </c>
      <c r="BG204" s="364">
        <v>0</v>
      </c>
      <c r="BH204" s="364">
        <v>0</v>
      </c>
      <c r="BI204" s="364">
        <v>0</v>
      </c>
      <c r="BJ204" s="364">
        <v>0</v>
      </c>
      <c r="BK204" s="364">
        <v>0</v>
      </c>
      <c r="BL204" s="364">
        <v>0</v>
      </c>
      <c r="BM204" s="364">
        <v>0</v>
      </c>
      <c r="BN204" s="364">
        <v>0</v>
      </c>
      <c r="BO204" s="364">
        <v>0</v>
      </c>
      <c r="BP204" s="364">
        <v>0</v>
      </c>
      <c r="BQ204" s="364">
        <v>0</v>
      </c>
      <c r="BR204" s="364">
        <v>0</v>
      </c>
      <c r="BS204" s="364">
        <v>0</v>
      </c>
      <c r="BT204" s="364">
        <v>0</v>
      </c>
      <c r="BU204" s="364">
        <v>0</v>
      </c>
      <c r="BV204" s="364">
        <v>0</v>
      </c>
      <c r="BW204" s="364">
        <v>0</v>
      </c>
      <c r="BX204" s="364">
        <v>0</v>
      </c>
      <c r="BY204" s="364">
        <v>0</v>
      </c>
      <c r="BZ204" s="364">
        <v>0</v>
      </c>
      <c r="CA204" s="364">
        <v>0</v>
      </c>
      <c r="CB204" s="364">
        <v>0</v>
      </c>
      <c r="CC204" s="364">
        <v>0</v>
      </c>
      <c r="CD204" s="113"/>
      <c r="CP204" s="113"/>
    </row>
    <row r="205" spans="1:94" s="32" customFormat="1" ht="15.75" thickBot="1" x14ac:dyDescent="0.25">
      <c r="A205" s="185"/>
      <c r="B205" s="352">
        <f ca="1">INDIRECT("B" &amp; (157 + ROWS($A$1:A19)))</f>
        <v>0</v>
      </c>
      <c r="D205" s="100" t="str">
        <f t="shared" si="20"/>
        <v>Ver fechas</v>
      </c>
      <c r="F205" s="281">
        <f t="shared" si="18"/>
        <v>0</v>
      </c>
      <c r="H205" s="282">
        <f t="shared" si="19"/>
        <v>0</v>
      </c>
      <c r="J205" s="364">
        <v>0</v>
      </c>
      <c r="K205" s="364">
        <v>0</v>
      </c>
      <c r="L205" s="364">
        <v>0</v>
      </c>
      <c r="M205" s="364">
        <v>0</v>
      </c>
      <c r="N205" s="364">
        <v>0</v>
      </c>
      <c r="O205" s="364">
        <v>0</v>
      </c>
      <c r="P205" s="364">
        <v>0</v>
      </c>
      <c r="Q205" s="364">
        <v>0</v>
      </c>
      <c r="R205" s="364">
        <v>0</v>
      </c>
      <c r="S205" s="364">
        <v>0</v>
      </c>
      <c r="T205" s="364">
        <v>0</v>
      </c>
      <c r="U205" s="364">
        <v>0</v>
      </c>
      <c r="V205" s="364">
        <v>0</v>
      </c>
      <c r="W205" s="364">
        <v>0</v>
      </c>
      <c r="X205" s="364">
        <v>0</v>
      </c>
      <c r="Y205" s="364">
        <v>0</v>
      </c>
      <c r="Z205" s="364">
        <v>0</v>
      </c>
      <c r="AA205" s="364">
        <v>0</v>
      </c>
      <c r="AB205" s="364">
        <v>0</v>
      </c>
      <c r="AC205" s="364">
        <v>0</v>
      </c>
      <c r="AD205" s="364">
        <v>0</v>
      </c>
      <c r="AE205" s="364">
        <v>0</v>
      </c>
      <c r="AF205" s="364">
        <v>0</v>
      </c>
      <c r="AG205" s="364">
        <v>0</v>
      </c>
      <c r="AH205" s="364">
        <v>0</v>
      </c>
      <c r="AI205" s="364">
        <v>0</v>
      </c>
      <c r="AJ205" s="364">
        <v>0</v>
      </c>
      <c r="AK205" s="364">
        <v>0</v>
      </c>
      <c r="AL205" s="364">
        <v>0</v>
      </c>
      <c r="AM205" s="364">
        <v>0</v>
      </c>
      <c r="AN205" s="364">
        <v>0</v>
      </c>
      <c r="AO205" s="364">
        <v>0</v>
      </c>
      <c r="AP205" s="364">
        <v>0</v>
      </c>
      <c r="AQ205" s="364">
        <v>0</v>
      </c>
      <c r="AR205" s="364">
        <v>0</v>
      </c>
      <c r="AS205" s="364">
        <v>0</v>
      </c>
      <c r="AT205" s="364">
        <v>0</v>
      </c>
      <c r="AU205" s="364">
        <v>0</v>
      </c>
      <c r="AV205" s="364">
        <v>0</v>
      </c>
      <c r="AW205" s="364">
        <v>0</v>
      </c>
      <c r="AX205" s="364">
        <v>0</v>
      </c>
      <c r="AY205" s="364">
        <v>0</v>
      </c>
      <c r="AZ205" s="364">
        <v>0</v>
      </c>
      <c r="BA205" s="364">
        <v>0</v>
      </c>
      <c r="BB205" s="364">
        <v>0</v>
      </c>
      <c r="BC205" s="364">
        <v>0</v>
      </c>
      <c r="BD205" s="364">
        <v>0</v>
      </c>
      <c r="BE205" s="364">
        <v>0</v>
      </c>
      <c r="BF205" s="364">
        <v>0</v>
      </c>
      <c r="BG205" s="364">
        <v>0</v>
      </c>
      <c r="BH205" s="364">
        <v>0</v>
      </c>
      <c r="BI205" s="364">
        <v>0</v>
      </c>
      <c r="BJ205" s="364">
        <v>0</v>
      </c>
      <c r="BK205" s="364">
        <v>0</v>
      </c>
      <c r="BL205" s="364">
        <v>0</v>
      </c>
      <c r="BM205" s="364">
        <v>0</v>
      </c>
      <c r="BN205" s="364">
        <v>0</v>
      </c>
      <c r="BO205" s="364">
        <v>0</v>
      </c>
      <c r="BP205" s="364">
        <v>0</v>
      </c>
      <c r="BQ205" s="364">
        <v>0</v>
      </c>
      <c r="BR205" s="364">
        <v>0</v>
      </c>
      <c r="BS205" s="364">
        <v>0</v>
      </c>
      <c r="BT205" s="364">
        <v>0</v>
      </c>
      <c r="BU205" s="364">
        <v>0</v>
      </c>
      <c r="BV205" s="364">
        <v>0</v>
      </c>
      <c r="BW205" s="364">
        <v>0</v>
      </c>
      <c r="BX205" s="364">
        <v>0</v>
      </c>
      <c r="BY205" s="364">
        <v>0</v>
      </c>
      <c r="BZ205" s="364">
        <v>0</v>
      </c>
      <c r="CA205" s="364">
        <v>0</v>
      </c>
      <c r="CB205" s="364">
        <v>0</v>
      </c>
      <c r="CC205" s="364">
        <v>0</v>
      </c>
      <c r="CD205" s="113"/>
      <c r="CP205" s="113"/>
    </row>
    <row r="206" spans="1:94" s="32" customFormat="1" ht="15.75" thickBot="1" x14ac:dyDescent="0.25">
      <c r="A206" s="185"/>
      <c r="B206" s="352">
        <f ca="1">INDIRECT("B" &amp; (157 + ROWS($A$1:A20)))</f>
        <v>0</v>
      </c>
      <c r="D206" s="100" t="str">
        <f t="shared" si="20"/>
        <v>Ver fechas</v>
      </c>
      <c r="F206" s="281">
        <f t="shared" si="18"/>
        <v>0</v>
      </c>
      <c r="H206" s="282">
        <f t="shared" si="19"/>
        <v>0</v>
      </c>
      <c r="J206" s="364">
        <v>0</v>
      </c>
      <c r="K206" s="364">
        <v>0</v>
      </c>
      <c r="L206" s="364">
        <v>0</v>
      </c>
      <c r="M206" s="364">
        <v>0</v>
      </c>
      <c r="N206" s="364">
        <v>0</v>
      </c>
      <c r="O206" s="364">
        <v>0</v>
      </c>
      <c r="P206" s="364">
        <v>0</v>
      </c>
      <c r="Q206" s="364">
        <v>0</v>
      </c>
      <c r="R206" s="364">
        <v>0</v>
      </c>
      <c r="S206" s="364">
        <v>0</v>
      </c>
      <c r="T206" s="364">
        <v>0</v>
      </c>
      <c r="U206" s="364">
        <v>0</v>
      </c>
      <c r="V206" s="364">
        <v>0</v>
      </c>
      <c r="W206" s="364">
        <v>0</v>
      </c>
      <c r="X206" s="364">
        <v>0</v>
      </c>
      <c r="Y206" s="364">
        <v>0</v>
      </c>
      <c r="Z206" s="364">
        <v>0</v>
      </c>
      <c r="AA206" s="364">
        <v>0</v>
      </c>
      <c r="AB206" s="364">
        <v>0</v>
      </c>
      <c r="AC206" s="364">
        <v>0</v>
      </c>
      <c r="AD206" s="364">
        <v>0</v>
      </c>
      <c r="AE206" s="364">
        <v>0</v>
      </c>
      <c r="AF206" s="364">
        <v>0</v>
      </c>
      <c r="AG206" s="364">
        <v>0</v>
      </c>
      <c r="AH206" s="364">
        <v>0</v>
      </c>
      <c r="AI206" s="364">
        <v>0</v>
      </c>
      <c r="AJ206" s="364">
        <v>0</v>
      </c>
      <c r="AK206" s="364">
        <v>0</v>
      </c>
      <c r="AL206" s="364">
        <v>0</v>
      </c>
      <c r="AM206" s="364">
        <v>0</v>
      </c>
      <c r="AN206" s="364">
        <v>0</v>
      </c>
      <c r="AO206" s="364">
        <v>0</v>
      </c>
      <c r="AP206" s="364">
        <v>0</v>
      </c>
      <c r="AQ206" s="364">
        <v>0</v>
      </c>
      <c r="AR206" s="364">
        <v>0</v>
      </c>
      <c r="AS206" s="364">
        <v>0</v>
      </c>
      <c r="AT206" s="364">
        <v>0</v>
      </c>
      <c r="AU206" s="364">
        <v>0</v>
      </c>
      <c r="AV206" s="364">
        <v>0</v>
      </c>
      <c r="AW206" s="364">
        <v>0</v>
      </c>
      <c r="AX206" s="364">
        <v>0</v>
      </c>
      <c r="AY206" s="364">
        <v>0</v>
      </c>
      <c r="AZ206" s="364">
        <v>0</v>
      </c>
      <c r="BA206" s="364">
        <v>0</v>
      </c>
      <c r="BB206" s="364">
        <v>0</v>
      </c>
      <c r="BC206" s="364">
        <v>0</v>
      </c>
      <c r="BD206" s="364">
        <v>0</v>
      </c>
      <c r="BE206" s="364">
        <v>0</v>
      </c>
      <c r="BF206" s="364">
        <v>0</v>
      </c>
      <c r="BG206" s="364">
        <v>0</v>
      </c>
      <c r="BH206" s="364">
        <v>0</v>
      </c>
      <c r="BI206" s="364">
        <v>0</v>
      </c>
      <c r="BJ206" s="364">
        <v>0</v>
      </c>
      <c r="BK206" s="364">
        <v>0</v>
      </c>
      <c r="BL206" s="364">
        <v>0</v>
      </c>
      <c r="BM206" s="364">
        <v>0</v>
      </c>
      <c r="BN206" s="364">
        <v>0</v>
      </c>
      <c r="BO206" s="364">
        <v>0</v>
      </c>
      <c r="BP206" s="364">
        <v>0</v>
      </c>
      <c r="BQ206" s="364">
        <v>0</v>
      </c>
      <c r="BR206" s="364">
        <v>0</v>
      </c>
      <c r="BS206" s="364">
        <v>0</v>
      </c>
      <c r="BT206" s="364">
        <v>0</v>
      </c>
      <c r="BU206" s="364">
        <v>0</v>
      </c>
      <c r="BV206" s="364">
        <v>0</v>
      </c>
      <c r="BW206" s="364">
        <v>0</v>
      </c>
      <c r="BX206" s="364">
        <v>0</v>
      </c>
      <c r="BY206" s="364">
        <v>0</v>
      </c>
      <c r="BZ206" s="364">
        <v>0</v>
      </c>
      <c r="CA206" s="364">
        <v>0</v>
      </c>
      <c r="CB206" s="364">
        <v>0</v>
      </c>
      <c r="CC206" s="364">
        <v>0</v>
      </c>
      <c r="CD206" s="113"/>
      <c r="CP206" s="113"/>
    </row>
    <row r="207" spans="1:94" s="32" customFormat="1" ht="5.0999999999999996" customHeight="1" thickBot="1" x14ac:dyDescent="0.25">
      <c r="A207" s="185"/>
      <c r="B207" s="100"/>
      <c r="F207" s="281"/>
      <c r="J207" s="113"/>
      <c r="K207" s="113"/>
      <c r="L207" s="113"/>
      <c r="M207" s="113"/>
      <c r="N207" s="113"/>
      <c r="O207" s="113"/>
      <c r="P207" s="113"/>
      <c r="Q207" s="113"/>
      <c r="R207" s="113"/>
      <c r="S207" s="113"/>
      <c r="T207" s="113"/>
      <c r="U207" s="113"/>
      <c r="V207" s="113"/>
      <c r="W207" s="113"/>
      <c r="X207" s="113"/>
      <c r="Y207" s="113"/>
      <c r="Z207" s="113"/>
      <c r="AA207" s="113"/>
      <c r="AB207" s="113"/>
      <c r="AC207" s="113"/>
      <c r="AD207" s="113"/>
      <c r="AE207" s="113"/>
      <c r="AF207" s="113"/>
      <c r="AG207" s="113"/>
      <c r="AH207" s="113"/>
      <c r="AI207" s="113"/>
      <c r="AJ207" s="113"/>
      <c r="AK207" s="113"/>
      <c r="AL207" s="113"/>
      <c r="AM207" s="113"/>
      <c r="AN207" s="113"/>
      <c r="AO207" s="113"/>
      <c r="AP207" s="113"/>
      <c r="AQ207" s="113"/>
      <c r="AR207" s="113"/>
      <c r="AS207" s="113"/>
      <c r="AT207" s="113"/>
      <c r="AU207" s="113"/>
      <c r="AV207" s="113"/>
      <c r="AW207" s="113"/>
      <c r="AX207" s="113"/>
      <c r="AY207" s="113"/>
      <c r="AZ207" s="113"/>
      <c r="BA207" s="113"/>
      <c r="BB207" s="113"/>
      <c r="BC207" s="113"/>
      <c r="BD207" s="113"/>
      <c r="BE207" s="113"/>
      <c r="BF207" s="113"/>
      <c r="BG207" s="113"/>
      <c r="BH207" s="113"/>
      <c r="BI207" s="113"/>
      <c r="BJ207" s="113"/>
      <c r="BK207" s="113"/>
      <c r="BL207" s="113"/>
      <c r="BM207" s="113"/>
      <c r="BN207" s="113"/>
      <c r="BO207" s="113"/>
      <c r="BP207" s="113"/>
      <c r="BQ207" s="113"/>
      <c r="BR207" s="113"/>
      <c r="BS207" s="113"/>
      <c r="BT207" s="113"/>
      <c r="BU207" s="113"/>
      <c r="BV207" s="113"/>
      <c r="BW207" s="113"/>
      <c r="BX207" s="113"/>
      <c r="BY207" s="113"/>
      <c r="BZ207" s="113"/>
      <c r="CA207" s="113"/>
      <c r="CB207" s="113"/>
      <c r="CC207" s="113"/>
    </row>
    <row r="208" spans="1:94" s="32" customFormat="1" ht="15" customHeight="1" thickBot="1" x14ac:dyDescent="0.25">
      <c r="A208" s="185"/>
      <c r="B208" s="492" t="s">
        <v>120</v>
      </c>
      <c r="C208" s="493"/>
      <c r="D208" s="494"/>
      <c r="E208" s="186"/>
      <c r="F208" s="283">
        <f>SUM(F187:F207)</f>
        <v>0</v>
      </c>
      <c r="G208" s="284"/>
      <c r="H208" s="285">
        <f>SUM(H187:H207)</f>
        <v>0</v>
      </c>
      <c r="I208" s="186"/>
      <c r="J208" s="290">
        <f t="shared" ref="J208:AO208" si="21">SUM(J187:J207)</f>
        <v>0</v>
      </c>
      <c r="K208" s="290">
        <f t="shared" si="21"/>
        <v>0</v>
      </c>
      <c r="L208" s="290">
        <f t="shared" si="21"/>
        <v>0</v>
      </c>
      <c r="M208" s="290">
        <f t="shared" si="21"/>
        <v>0</v>
      </c>
      <c r="N208" s="290">
        <f t="shared" si="21"/>
        <v>0</v>
      </c>
      <c r="O208" s="290">
        <f t="shared" si="21"/>
        <v>0</v>
      </c>
      <c r="P208" s="290">
        <f t="shared" si="21"/>
        <v>0</v>
      </c>
      <c r="Q208" s="290">
        <f t="shared" si="21"/>
        <v>0</v>
      </c>
      <c r="R208" s="290">
        <f t="shared" si="21"/>
        <v>0</v>
      </c>
      <c r="S208" s="290">
        <f t="shared" si="21"/>
        <v>0</v>
      </c>
      <c r="T208" s="290">
        <f t="shared" si="21"/>
        <v>0</v>
      </c>
      <c r="U208" s="290">
        <f t="shared" si="21"/>
        <v>0</v>
      </c>
      <c r="V208" s="290">
        <f t="shared" si="21"/>
        <v>0</v>
      </c>
      <c r="W208" s="290">
        <f t="shared" si="21"/>
        <v>0</v>
      </c>
      <c r="X208" s="290">
        <f t="shared" si="21"/>
        <v>0</v>
      </c>
      <c r="Y208" s="290">
        <f t="shared" si="21"/>
        <v>0</v>
      </c>
      <c r="Z208" s="290">
        <f t="shared" si="21"/>
        <v>0</v>
      </c>
      <c r="AA208" s="290">
        <f t="shared" si="21"/>
        <v>0</v>
      </c>
      <c r="AB208" s="290">
        <f t="shared" si="21"/>
        <v>0</v>
      </c>
      <c r="AC208" s="290">
        <f t="shared" si="21"/>
        <v>0</v>
      </c>
      <c r="AD208" s="290">
        <f t="shared" si="21"/>
        <v>0</v>
      </c>
      <c r="AE208" s="290">
        <f t="shared" si="21"/>
        <v>0</v>
      </c>
      <c r="AF208" s="290">
        <f t="shared" si="21"/>
        <v>0</v>
      </c>
      <c r="AG208" s="290">
        <f t="shared" si="21"/>
        <v>0</v>
      </c>
      <c r="AH208" s="290">
        <f t="shared" si="21"/>
        <v>0</v>
      </c>
      <c r="AI208" s="290">
        <f t="shared" si="21"/>
        <v>0</v>
      </c>
      <c r="AJ208" s="290">
        <f t="shared" si="21"/>
        <v>0</v>
      </c>
      <c r="AK208" s="290">
        <f t="shared" si="21"/>
        <v>0</v>
      </c>
      <c r="AL208" s="290">
        <f t="shared" si="21"/>
        <v>0</v>
      </c>
      <c r="AM208" s="290">
        <f t="shared" si="21"/>
        <v>0</v>
      </c>
      <c r="AN208" s="290">
        <f t="shared" si="21"/>
        <v>0</v>
      </c>
      <c r="AO208" s="290">
        <f t="shared" si="21"/>
        <v>0</v>
      </c>
      <c r="AP208" s="290">
        <f t="shared" ref="AP208:BU208" si="22">SUM(AP187:AP207)</f>
        <v>0</v>
      </c>
      <c r="AQ208" s="290">
        <f t="shared" si="22"/>
        <v>0</v>
      </c>
      <c r="AR208" s="290">
        <f t="shared" si="22"/>
        <v>0</v>
      </c>
      <c r="AS208" s="290">
        <f t="shared" si="22"/>
        <v>0</v>
      </c>
      <c r="AT208" s="290">
        <f t="shared" si="22"/>
        <v>0</v>
      </c>
      <c r="AU208" s="290">
        <f t="shared" si="22"/>
        <v>0</v>
      </c>
      <c r="AV208" s="290">
        <f t="shared" si="22"/>
        <v>0</v>
      </c>
      <c r="AW208" s="290">
        <f t="shared" si="22"/>
        <v>0</v>
      </c>
      <c r="AX208" s="290">
        <f t="shared" si="22"/>
        <v>0</v>
      </c>
      <c r="AY208" s="290">
        <f t="shared" si="22"/>
        <v>0</v>
      </c>
      <c r="AZ208" s="290">
        <f t="shared" si="22"/>
        <v>0</v>
      </c>
      <c r="BA208" s="290">
        <f t="shared" si="22"/>
        <v>0</v>
      </c>
      <c r="BB208" s="290">
        <f t="shared" si="22"/>
        <v>0</v>
      </c>
      <c r="BC208" s="290">
        <f t="shared" si="22"/>
        <v>0</v>
      </c>
      <c r="BD208" s="290">
        <f t="shared" si="22"/>
        <v>0</v>
      </c>
      <c r="BE208" s="290">
        <f t="shared" si="22"/>
        <v>0</v>
      </c>
      <c r="BF208" s="290">
        <f t="shared" si="22"/>
        <v>0</v>
      </c>
      <c r="BG208" s="290">
        <f t="shared" si="22"/>
        <v>0</v>
      </c>
      <c r="BH208" s="290">
        <f t="shared" si="22"/>
        <v>0</v>
      </c>
      <c r="BI208" s="290">
        <f t="shared" si="22"/>
        <v>0</v>
      </c>
      <c r="BJ208" s="290">
        <f t="shared" si="22"/>
        <v>0</v>
      </c>
      <c r="BK208" s="290">
        <f t="shared" si="22"/>
        <v>0</v>
      </c>
      <c r="BL208" s="290">
        <f t="shared" si="22"/>
        <v>0</v>
      </c>
      <c r="BM208" s="290">
        <f t="shared" si="22"/>
        <v>0</v>
      </c>
      <c r="BN208" s="290">
        <f t="shared" si="22"/>
        <v>0</v>
      </c>
      <c r="BO208" s="290">
        <f t="shared" si="22"/>
        <v>0</v>
      </c>
      <c r="BP208" s="290">
        <f t="shared" si="22"/>
        <v>0</v>
      </c>
      <c r="BQ208" s="290">
        <f t="shared" si="22"/>
        <v>0</v>
      </c>
      <c r="BR208" s="290">
        <f t="shared" si="22"/>
        <v>0</v>
      </c>
      <c r="BS208" s="290">
        <f t="shared" si="22"/>
        <v>0</v>
      </c>
      <c r="BT208" s="290">
        <f t="shared" si="22"/>
        <v>0</v>
      </c>
      <c r="BU208" s="290">
        <f t="shared" si="22"/>
        <v>0</v>
      </c>
      <c r="BV208" s="290">
        <f t="shared" ref="BV208:CC208" si="23">SUM(BV187:BV207)</f>
        <v>0</v>
      </c>
      <c r="BW208" s="290">
        <f t="shared" si="23"/>
        <v>0</v>
      </c>
      <c r="BX208" s="290">
        <f t="shared" si="23"/>
        <v>0</v>
      </c>
      <c r="BY208" s="290">
        <f t="shared" si="23"/>
        <v>0</v>
      </c>
      <c r="BZ208" s="290">
        <f t="shared" si="23"/>
        <v>0</v>
      </c>
      <c r="CA208" s="290">
        <f t="shared" si="23"/>
        <v>0</v>
      </c>
      <c r="CB208" s="290">
        <f t="shared" si="23"/>
        <v>0</v>
      </c>
      <c r="CC208" s="290">
        <f t="shared" si="23"/>
        <v>0</v>
      </c>
      <c r="CI208" s="113"/>
      <c r="CJ208" s="113"/>
      <c r="CK208" s="113"/>
      <c r="CL208" s="113"/>
      <c r="CM208" s="113"/>
      <c r="CN208" s="113"/>
      <c r="CO208" s="113"/>
      <c r="CP208" s="113"/>
    </row>
    <row r="209" spans="1:89" ht="5.0999999999999996" customHeight="1" thickBot="1" x14ac:dyDescent="0.25">
      <c r="B209" s="20"/>
      <c r="C209" s="20"/>
      <c r="D209" s="20"/>
      <c r="F209" s="32"/>
      <c r="G209" s="32"/>
      <c r="J209" s="113"/>
      <c r="K209" s="113"/>
      <c r="L209" s="113"/>
      <c r="M209" s="113"/>
      <c r="N209" s="113"/>
      <c r="O209" s="113"/>
      <c r="P209" s="113"/>
      <c r="Q209" s="113"/>
      <c r="R209" s="113"/>
      <c r="S209" s="113"/>
      <c r="T209" s="113"/>
      <c r="U209" s="113"/>
      <c r="V209" s="113"/>
      <c r="W209" s="113"/>
      <c r="X209" s="113"/>
      <c r="Y209" s="113"/>
      <c r="Z209" s="113"/>
      <c r="AA209" s="113"/>
      <c r="AB209" s="113"/>
      <c r="AC209" s="113"/>
      <c r="AD209" s="113"/>
      <c r="AE209" s="113"/>
      <c r="AF209" s="113"/>
      <c r="AG209" s="113"/>
      <c r="AH209" s="113"/>
      <c r="AI209" s="113"/>
      <c r="AJ209" s="113"/>
      <c r="AK209" s="113"/>
      <c r="AL209" s="113"/>
      <c r="AM209" s="113"/>
      <c r="AN209" s="113"/>
      <c r="AO209" s="113"/>
      <c r="AP209" s="113"/>
      <c r="AQ209" s="113"/>
      <c r="AR209" s="113"/>
      <c r="AS209" s="113"/>
      <c r="AT209" s="113"/>
      <c r="AU209" s="113"/>
      <c r="AV209" s="113"/>
      <c r="AW209" s="113"/>
      <c r="AX209" s="113"/>
      <c r="AY209" s="113"/>
      <c r="AZ209" s="113"/>
      <c r="BA209" s="113"/>
      <c r="BB209" s="113"/>
      <c r="BC209" s="113"/>
      <c r="BD209" s="113"/>
      <c r="BE209" s="113"/>
      <c r="BF209" s="113"/>
      <c r="BG209" s="113"/>
      <c r="BH209" s="113"/>
      <c r="BI209" s="113"/>
      <c r="BJ209" s="113"/>
      <c r="BK209" s="113"/>
      <c r="BL209" s="113"/>
      <c r="BM209" s="113"/>
      <c r="BN209" s="113"/>
      <c r="BO209" s="113"/>
      <c r="BP209" s="113"/>
      <c r="BQ209" s="113"/>
      <c r="BR209" s="113"/>
      <c r="BS209" s="113"/>
      <c r="BT209" s="113"/>
      <c r="BU209" s="113"/>
      <c r="BV209" s="113"/>
      <c r="BW209" s="113"/>
      <c r="BX209" s="113"/>
      <c r="BY209" s="113"/>
      <c r="BZ209" s="113"/>
      <c r="CA209" s="113"/>
      <c r="CB209" s="113"/>
      <c r="CC209" s="113"/>
      <c r="CF209" s="32"/>
      <c r="CG209" s="32"/>
      <c r="CH209" s="32"/>
    </row>
    <row r="210" spans="1:89" s="32" customFormat="1" ht="15.75" thickBot="1" x14ac:dyDescent="0.25">
      <c r="A210" s="185"/>
      <c r="B210" s="481" t="s">
        <v>121</v>
      </c>
      <c r="C210" s="482"/>
      <c r="D210" s="483"/>
      <c r="J210" s="115">
        <f>+J208</f>
        <v>0</v>
      </c>
      <c r="K210" s="115">
        <f>+J210+K208</f>
        <v>0</v>
      </c>
      <c r="L210" s="115">
        <f t="shared" ref="L210:BW210" si="24">+K210+L208</f>
        <v>0</v>
      </c>
      <c r="M210" s="115">
        <f t="shared" si="24"/>
        <v>0</v>
      </c>
      <c r="N210" s="115">
        <f t="shared" si="24"/>
        <v>0</v>
      </c>
      <c r="O210" s="115">
        <f t="shared" si="24"/>
        <v>0</v>
      </c>
      <c r="P210" s="115">
        <f t="shared" si="24"/>
        <v>0</v>
      </c>
      <c r="Q210" s="115">
        <f t="shared" si="24"/>
        <v>0</v>
      </c>
      <c r="R210" s="115">
        <f t="shared" si="24"/>
        <v>0</v>
      </c>
      <c r="S210" s="115">
        <f t="shared" si="24"/>
        <v>0</v>
      </c>
      <c r="T210" s="115">
        <f t="shared" si="24"/>
        <v>0</v>
      </c>
      <c r="U210" s="115">
        <f t="shared" si="24"/>
        <v>0</v>
      </c>
      <c r="V210" s="115">
        <f t="shared" si="24"/>
        <v>0</v>
      </c>
      <c r="W210" s="115">
        <f t="shared" si="24"/>
        <v>0</v>
      </c>
      <c r="X210" s="115">
        <f t="shared" si="24"/>
        <v>0</v>
      </c>
      <c r="Y210" s="115">
        <f t="shared" si="24"/>
        <v>0</v>
      </c>
      <c r="Z210" s="115">
        <f t="shared" si="24"/>
        <v>0</v>
      </c>
      <c r="AA210" s="115">
        <f t="shared" si="24"/>
        <v>0</v>
      </c>
      <c r="AB210" s="115">
        <f t="shared" si="24"/>
        <v>0</v>
      </c>
      <c r="AC210" s="115">
        <f t="shared" si="24"/>
        <v>0</v>
      </c>
      <c r="AD210" s="115">
        <f t="shared" si="24"/>
        <v>0</v>
      </c>
      <c r="AE210" s="115">
        <f t="shared" si="24"/>
        <v>0</v>
      </c>
      <c r="AF210" s="115">
        <f t="shared" si="24"/>
        <v>0</v>
      </c>
      <c r="AG210" s="115">
        <f t="shared" si="24"/>
        <v>0</v>
      </c>
      <c r="AH210" s="115">
        <f t="shared" si="24"/>
        <v>0</v>
      </c>
      <c r="AI210" s="115">
        <f t="shared" si="24"/>
        <v>0</v>
      </c>
      <c r="AJ210" s="115">
        <f t="shared" si="24"/>
        <v>0</v>
      </c>
      <c r="AK210" s="115">
        <f t="shared" si="24"/>
        <v>0</v>
      </c>
      <c r="AL210" s="115">
        <f t="shared" si="24"/>
        <v>0</v>
      </c>
      <c r="AM210" s="115">
        <f t="shared" si="24"/>
        <v>0</v>
      </c>
      <c r="AN210" s="115">
        <f t="shared" si="24"/>
        <v>0</v>
      </c>
      <c r="AO210" s="115">
        <f t="shared" si="24"/>
        <v>0</v>
      </c>
      <c r="AP210" s="115">
        <f t="shared" si="24"/>
        <v>0</v>
      </c>
      <c r="AQ210" s="115">
        <f t="shared" si="24"/>
        <v>0</v>
      </c>
      <c r="AR210" s="115">
        <f t="shared" si="24"/>
        <v>0</v>
      </c>
      <c r="AS210" s="115">
        <f t="shared" si="24"/>
        <v>0</v>
      </c>
      <c r="AT210" s="115">
        <f t="shared" si="24"/>
        <v>0</v>
      </c>
      <c r="AU210" s="115">
        <f t="shared" si="24"/>
        <v>0</v>
      </c>
      <c r="AV210" s="115">
        <f t="shared" si="24"/>
        <v>0</v>
      </c>
      <c r="AW210" s="115">
        <f t="shared" si="24"/>
        <v>0</v>
      </c>
      <c r="AX210" s="115">
        <f t="shared" si="24"/>
        <v>0</v>
      </c>
      <c r="AY210" s="115">
        <f t="shared" si="24"/>
        <v>0</v>
      </c>
      <c r="AZ210" s="115">
        <f t="shared" si="24"/>
        <v>0</v>
      </c>
      <c r="BA210" s="115">
        <f t="shared" si="24"/>
        <v>0</v>
      </c>
      <c r="BB210" s="115">
        <f t="shared" si="24"/>
        <v>0</v>
      </c>
      <c r="BC210" s="115">
        <f t="shared" si="24"/>
        <v>0</v>
      </c>
      <c r="BD210" s="115">
        <f t="shared" si="24"/>
        <v>0</v>
      </c>
      <c r="BE210" s="115">
        <f t="shared" si="24"/>
        <v>0</v>
      </c>
      <c r="BF210" s="115">
        <f t="shared" si="24"/>
        <v>0</v>
      </c>
      <c r="BG210" s="115">
        <f t="shared" si="24"/>
        <v>0</v>
      </c>
      <c r="BH210" s="115">
        <f t="shared" si="24"/>
        <v>0</v>
      </c>
      <c r="BI210" s="115">
        <f t="shared" si="24"/>
        <v>0</v>
      </c>
      <c r="BJ210" s="115">
        <f t="shared" si="24"/>
        <v>0</v>
      </c>
      <c r="BK210" s="115">
        <f t="shared" si="24"/>
        <v>0</v>
      </c>
      <c r="BL210" s="115">
        <f t="shared" si="24"/>
        <v>0</v>
      </c>
      <c r="BM210" s="115">
        <f t="shared" si="24"/>
        <v>0</v>
      </c>
      <c r="BN210" s="115">
        <f t="shared" si="24"/>
        <v>0</v>
      </c>
      <c r="BO210" s="115">
        <f t="shared" si="24"/>
        <v>0</v>
      </c>
      <c r="BP210" s="115">
        <f t="shared" si="24"/>
        <v>0</v>
      </c>
      <c r="BQ210" s="115">
        <f t="shared" si="24"/>
        <v>0</v>
      </c>
      <c r="BR210" s="115">
        <f t="shared" si="24"/>
        <v>0</v>
      </c>
      <c r="BS210" s="115">
        <f t="shared" si="24"/>
        <v>0</v>
      </c>
      <c r="BT210" s="115">
        <f t="shared" si="24"/>
        <v>0</v>
      </c>
      <c r="BU210" s="115">
        <f t="shared" si="24"/>
        <v>0</v>
      </c>
      <c r="BV210" s="115">
        <f t="shared" si="24"/>
        <v>0</v>
      </c>
      <c r="BW210" s="115">
        <f t="shared" si="24"/>
        <v>0</v>
      </c>
      <c r="BX210" s="115">
        <f t="shared" ref="BX210:CC210" si="25">+BW210+BX208</f>
        <v>0</v>
      </c>
      <c r="BY210" s="115">
        <f t="shared" si="25"/>
        <v>0</v>
      </c>
      <c r="BZ210" s="115">
        <f t="shared" si="25"/>
        <v>0</v>
      </c>
      <c r="CA210" s="115">
        <f t="shared" si="25"/>
        <v>0</v>
      </c>
      <c r="CB210" s="115">
        <f t="shared" si="25"/>
        <v>0</v>
      </c>
      <c r="CC210" s="115">
        <f t="shared" si="25"/>
        <v>0</v>
      </c>
      <c r="CE210" s="133"/>
      <c r="CI210" s="134"/>
      <c r="CJ210" s="134"/>
    </row>
    <row r="211" spans="1:89" ht="5.0999999999999996" customHeight="1" thickBot="1" x14ac:dyDescent="0.25">
      <c r="B211" s="20"/>
      <c r="C211" s="20"/>
      <c r="D211" s="20"/>
      <c r="J211" s="116"/>
      <c r="K211" s="32"/>
      <c r="L211" s="32"/>
      <c r="M211" s="32"/>
      <c r="N211" s="32"/>
      <c r="O211" s="32"/>
      <c r="P211" s="32"/>
      <c r="Q211" s="32"/>
      <c r="R211" s="32"/>
      <c r="S211" s="32"/>
      <c r="T211" s="32"/>
      <c r="U211" s="32"/>
      <c r="V211" s="32"/>
      <c r="W211" s="32"/>
      <c r="X211" s="32"/>
      <c r="Y211" s="32"/>
      <c r="Z211" s="32"/>
      <c r="AA211" s="32"/>
      <c r="AB211" s="32"/>
      <c r="AC211" s="32"/>
      <c r="AD211" s="32"/>
      <c r="AE211" s="32"/>
      <c r="AF211" s="32"/>
      <c r="AG211" s="32"/>
      <c r="AH211" s="32"/>
      <c r="AI211" s="32"/>
      <c r="AJ211" s="32"/>
      <c r="AK211" s="32"/>
      <c r="AL211" s="32"/>
      <c r="AM211" s="32"/>
      <c r="AN211" s="32"/>
      <c r="AO211" s="32"/>
      <c r="AP211" s="32"/>
      <c r="AQ211" s="32"/>
      <c r="AR211" s="32"/>
      <c r="AS211" s="32"/>
      <c r="AT211" s="32"/>
      <c r="AU211" s="32"/>
      <c r="AV211" s="32"/>
      <c r="AW211" s="32"/>
      <c r="AX211" s="32"/>
      <c r="AY211" s="32"/>
      <c r="AZ211" s="32"/>
      <c r="BA211" s="32"/>
      <c r="BB211" s="32"/>
      <c r="BC211" s="32"/>
      <c r="BD211" s="32"/>
      <c r="BE211" s="32"/>
      <c r="BF211" s="32"/>
      <c r="BG211" s="32"/>
      <c r="BH211" s="32"/>
      <c r="BI211" s="32"/>
      <c r="BJ211" s="32"/>
      <c r="BK211" s="32"/>
      <c r="BL211" s="32"/>
      <c r="BM211" s="32"/>
      <c r="BN211" s="32"/>
      <c r="BO211" s="32"/>
      <c r="BP211" s="32"/>
      <c r="BQ211" s="32"/>
      <c r="BR211" s="32"/>
      <c r="BS211" s="32"/>
      <c r="BT211" s="32"/>
      <c r="BU211" s="32"/>
      <c r="BV211" s="32"/>
      <c r="BW211" s="32"/>
      <c r="BX211" s="32"/>
      <c r="BY211" s="32"/>
      <c r="BZ211" s="32"/>
      <c r="CA211" s="32"/>
      <c r="CB211" s="32"/>
      <c r="CC211" s="32"/>
      <c r="CI211" s="23"/>
      <c r="CJ211" s="23"/>
    </row>
    <row r="212" spans="1:89" s="32" customFormat="1" ht="15.75" thickBot="1" x14ac:dyDescent="0.25">
      <c r="A212" s="185"/>
      <c r="B212" s="286" t="s">
        <v>114</v>
      </c>
      <c r="C212" s="20"/>
      <c r="D212" s="85" t="e">
        <f>+SUM(J212:CC212)</f>
        <v>#N/A</v>
      </c>
      <c r="F212" s="97"/>
      <c r="H212" s="98"/>
      <c r="J212" s="100" t="e">
        <f>IF($CF$138=0,0,+J208/$CF$138)</f>
        <v>#N/A</v>
      </c>
      <c r="K212" s="100" t="e">
        <f t="shared" ref="K212:BV212" si="26">IF($CF$138=0,0,+K208/$CF$138)</f>
        <v>#N/A</v>
      </c>
      <c r="L212" s="100" t="e">
        <f t="shared" si="26"/>
        <v>#N/A</v>
      </c>
      <c r="M212" s="100" t="e">
        <f t="shared" si="26"/>
        <v>#N/A</v>
      </c>
      <c r="N212" s="100" t="e">
        <f t="shared" si="26"/>
        <v>#N/A</v>
      </c>
      <c r="O212" s="100" t="e">
        <f t="shared" si="26"/>
        <v>#N/A</v>
      </c>
      <c r="P212" s="100" t="e">
        <f t="shared" si="26"/>
        <v>#N/A</v>
      </c>
      <c r="Q212" s="100" t="e">
        <f t="shared" si="26"/>
        <v>#N/A</v>
      </c>
      <c r="R212" s="100" t="e">
        <f t="shared" si="26"/>
        <v>#N/A</v>
      </c>
      <c r="S212" s="100" t="e">
        <f t="shared" si="26"/>
        <v>#N/A</v>
      </c>
      <c r="T212" s="100" t="e">
        <f t="shared" si="26"/>
        <v>#N/A</v>
      </c>
      <c r="U212" s="100" t="e">
        <f t="shared" si="26"/>
        <v>#N/A</v>
      </c>
      <c r="V212" s="100" t="e">
        <f t="shared" si="26"/>
        <v>#N/A</v>
      </c>
      <c r="W212" s="100" t="e">
        <f t="shared" si="26"/>
        <v>#N/A</v>
      </c>
      <c r="X212" s="100" t="e">
        <f t="shared" si="26"/>
        <v>#N/A</v>
      </c>
      <c r="Y212" s="100" t="e">
        <f t="shared" si="26"/>
        <v>#N/A</v>
      </c>
      <c r="Z212" s="100" t="e">
        <f t="shared" si="26"/>
        <v>#N/A</v>
      </c>
      <c r="AA212" s="100" t="e">
        <f t="shared" si="26"/>
        <v>#N/A</v>
      </c>
      <c r="AB212" s="100" t="e">
        <f t="shared" si="26"/>
        <v>#N/A</v>
      </c>
      <c r="AC212" s="100" t="e">
        <f t="shared" si="26"/>
        <v>#N/A</v>
      </c>
      <c r="AD212" s="100" t="e">
        <f t="shared" si="26"/>
        <v>#N/A</v>
      </c>
      <c r="AE212" s="100" t="e">
        <f t="shared" si="26"/>
        <v>#N/A</v>
      </c>
      <c r="AF212" s="100" t="e">
        <f t="shared" si="26"/>
        <v>#N/A</v>
      </c>
      <c r="AG212" s="100" t="e">
        <f>IF($CF$138=0,0,+AG208/$CF$138)</f>
        <v>#N/A</v>
      </c>
      <c r="AH212" s="100" t="e">
        <f t="shared" si="26"/>
        <v>#N/A</v>
      </c>
      <c r="AI212" s="100" t="e">
        <f t="shared" si="26"/>
        <v>#N/A</v>
      </c>
      <c r="AJ212" s="100" t="e">
        <f t="shared" si="26"/>
        <v>#N/A</v>
      </c>
      <c r="AK212" s="100" t="e">
        <f t="shared" si="26"/>
        <v>#N/A</v>
      </c>
      <c r="AL212" s="100" t="e">
        <f t="shared" si="26"/>
        <v>#N/A</v>
      </c>
      <c r="AM212" s="100" t="e">
        <f t="shared" si="26"/>
        <v>#N/A</v>
      </c>
      <c r="AN212" s="100" t="e">
        <f t="shared" si="26"/>
        <v>#N/A</v>
      </c>
      <c r="AO212" s="100" t="e">
        <f t="shared" si="26"/>
        <v>#N/A</v>
      </c>
      <c r="AP212" s="100" t="e">
        <f t="shared" si="26"/>
        <v>#N/A</v>
      </c>
      <c r="AQ212" s="100" t="e">
        <f t="shared" si="26"/>
        <v>#N/A</v>
      </c>
      <c r="AR212" s="100" t="e">
        <f t="shared" si="26"/>
        <v>#N/A</v>
      </c>
      <c r="AS212" s="100" t="e">
        <f t="shared" si="26"/>
        <v>#N/A</v>
      </c>
      <c r="AT212" s="100" t="e">
        <f t="shared" si="26"/>
        <v>#N/A</v>
      </c>
      <c r="AU212" s="100" t="e">
        <f t="shared" si="26"/>
        <v>#N/A</v>
      </c>
      <c r="AV212" s="100" t="e">
        <f t="shared" si="26"/>
        <v>#N/A</v>
      </c>
      <c r="AW212" s="100" t="e">
        <f t="shared" si="26"/>
        <v>#N/A</v>
      </c>
      <c r="AX212" s="100" t="e">
        <f t="shared" si="26"/>
        <v>#N/A</v>
      </c>
      <c r="AY212" s="100" t="e">
        <f t="shared" si="26"/>
        <v>#N/A</v>
      </c>
      <c r="AZ212" s="100" t="e">
        <f t="shared" si="26"/>
        <v>#N/A</v>
      </c>
      <c r="BA212" s="100" t="e">
        <f t="shared" si="26"/>
        <v>#N/A</v>
      </c>
      <c r="BB212" s="100" t="e">
        <f t="shared" si="26"/>
        <v>#N/A</v>
      </c>
      <c r="BC212" s="100" t="e">
        <f t="shared" si="26"/>
        <v>#N/A</v>
      </c>
      <c r="BD212" s="100" t="e">
        <f t="shared" si="26"/>
        <v>#N/A</v>
      </c>
      <c r="BE212" s="100" t="e">
        <f t="shared" si="26"/>
        <v>#N/A</v>
      </c>
      <c r="BF212" s="100" t="e">
        <f t="shared" si="26"/>
        <v>#N/A</v>
      </c>
      <c r="BG212" s="100" t="e">
        <f t="shared" si="26"/>
        <v>#N/A</v>
      </c>
      <c r="BH212" s="100" t="e">
        <f t="shared" si="26"/>
        <v>#N/A</v>
      </c>
      <c r="BI212" s="100" t="e">
        <f t="shared" si="26"/>
        <v>#N/A</v>
      </c>
      <c r="BJ212" s="100" t="e">
        <f t="shared" si="26"/>
        <v>#N/A</v>
      </c>
      <c r="BK212" s="100" t="e">
        <f t="shared" si="26"/>
        <v>#N/A</v>
      </c>
      <c r="BL212" s="100" t="e">
        <f t="shared" si="26"/>
        <v>#N/A</v>
      </c>
      <c r="BM212" s="100" t="e">
        <f t="shared" si="26"/>
        <v>#N/A</v>
      </c>
      <c r="BN212" s="100" t="e">
        <f t="shared" si="26"/>
        <v>#N/A</v>
      </c>
      <c r="BO212" s="100" t="e">
        <f t="shared" si="26"/>
        <v>#N/A</v>
      </c>
      <c r="BP212" s="100" t="e">
        <f t="shared" si="26"/>
        <v>#N/A</v>
      </c>
      <c r="BQ212" s="100" t="e">
        <f t="shared" si="26"/>
        <v>#N/A</v>
      </c>
      <c r="BR212" s="100" t="e">
        <f t="shared" si="26"/>
        <v>#N/A</v>
      </c>
      <c r="BS212" s="100" t="e">
        <f t="shared" si="26"/>
        <v>#N/A</v>
      </c>
      <c r="BT212" s="100" t="e">
        <f t="shared" si="26"/>
        <v>#N/A</v>
      </c>
      <c r="BU212" s="100" t="e">
        <f t="shared" si="26"/>
        <v>#N/A</v>
      </c>
      <c r="BV212" s="100" t="e">
        <f t="shared" si="26"/>
        <v>#N/A</v>
      </c>
      <c r="BW212" s="100" t="e">
        <f t="shared" ref="BW212:CC212" si="27">IF($CF$138=0,0,+BW208/$CF$138)</f>
        <v>#N/A</v>
      </c>
      <c r="BX212" s="100" t="e">
        <f t="shared" si="27"/>
        <v>#N/A</v>
      </c>
      <c r="BY212" s="100" t="e">
        <f t="shared" si="27"/>
        <v>#N/A</v>
      </c>
      <c r="BZ212" s="100" t="e">
        <f t="shared" si="27"/>
        <v>#N/A</v>
      </c>
      <c r="CA212" s="100" t="e">
        <f t="shared" si="27"/>
        <v>#N/A</v>
      </c>
      <c r="CB212" s="100" t="e">
        <f t="shared" si="27"/>
        <v>#N/A</v>
      </c>
      <c r="CC212" s="100" t="e">
        <f t="shared" si="27"/>
        <v>#N/A</v>
      </c>
      <c r="CI212" s="134"/>
      <c r="CJ212" s="134"/>
      <c r="CK212" s="134"/>
    </row>
    <row r="213" spans="1:89" ht="5.0999999999999996" customHeight="1" thickBot="1" x14ac:dyDescent="0.25">
      <c r="B213" s="20"/>
      <c r="C213" s="20"/>
      <c r="D213" s="20"/>
      <c r="F213" s="32"/>
      <c r="G213" s="32"/>
      <c r="J213" s="117"/>
      <c r="K213" s="117"/>
      <c r="L213" s="117"/>
      <c r="M213" s="117"/>
      <c r="N213" s="117"/>
      <c r="O213" s="117"/>
      <c r="P213" s="117"/>
      <c r="Q213" s="117"/>
      <c r="R213" s="117"/>
      <c r="S213" s="117"/>
      <c r="T213" s="117"/>
      <c r="U213" s="117"/>
      <c r="V213" s="117"/>
      <c r="W213" s="117"/>
      <c r="X213" s="117"/>
      <c r="Y213" s="117"/>
      <c r="Z213" s="117"/>
      <c r="AA213" s="117"/>
      <c r="AB213" s="117"/>
      <c r="AC213" s="117"/>
      <c r="AD213" s="117"/>
      <c r="AE213" s="117"/>
      <c r="AF213" s="117"/>
      <c r="AG213" s="117"/>
      <c r="AH213" s="117"/>
      <c r="AI213" s="117"/>
      <c r="AJ213" s="117"/>
      <c r="AK213" s="117"/>
      <c r="AL213" s="117"/>
      <c r="AM213" s="117"/>
      <c r="AN213" s="117"/>
      <c r="AO213" s="117"/>
      <c r="AP213" s="117"/>
      <c r="AQ213" s="117"/>
      <c r="AR213" s="117"/>
      <c r="AS213" s="117"/>
      <c r="AT213" s="117"/>
      <c r="AU213" s="117"/>
      <c r="AV213" s="117"/>
      <c r="AW213" s="117"/>
      <c r="AX213" s="117"/>
      <c r="AY213" s="117"/>
      <c r="AZ213" s="117"/>
      <c r="BA213" s="117"/>
      <c r="BB213" s="117"/>
      <c r="BC213" s="117"/>
      <c r="BD213" s="117"/>
      <c r="BE213" s="117"/>
      <c r="BF213" s="117"/>
      <c r="BG213" s="117"/>
      <c r="BH213" s="117"/>
      <c r="BI213" s="117"/>
      <c r="BJ213" s="117"/>
      <c r="BK213" s="117"/>
      <c r="BL213" s="117"/>
      <c r="BM213" s="117"/>
      <c r="BN213" s="117"/>
      <c r="BO213" s="117"/>
      <c r="BP213" s="117"/>
      <c r="BQ213" s="117"/>
      <c r="BR213" s="117"/>
      <c r="BS213" s="117"/>
      <c r="BT213" s="117"/>
      <c r="BU213" s="117"/>
      <c r="BV213" s="117"/>
      <c r="BW213" s="117"/>
      <c r="BX213" s="117"/>
      <c r="BY213" s="117"/>
      <c r="BZ213" s="117"/>
      <c r="CA213" s="117"/>
      <c r="CB213" s="117"/>
      <c r="CC213" s="117"/>
      <c r="CI213" s="23"/>
      <c r="CJ213" s="23"/>
    </row>
    <row r="214" spans="1:89" s="32" customFormat="1" ht="15.75" thickBot="1" x14ac:dyDescent="0.25">
      <c r="A214" s="185"/>
      <c r="B214" s="481" t="s">
        <v>115</v>
      </c>
      <c r="C214" s="482"/>
      <c r="D214" s="483"/>
      <c r="H214" s="98"/>
      <c r="J214" s="100" t="e">
        <f>+J212</f>
        <v>#N/A</v>
      </c>
      <c r="K214" s="100" t="e">
        <f>+J214+K212</f>
        <v>#N/A</v>
      </c>
      <c r="L214" s="100" t="e">
        <f>+K214+L212</f>
        <v>#N/A</v>
      </c>
      <c r="M214" s="100" t="e">
        <f>+L214+M212</f>
        <v>#N/A</v>
      </c>
      <c r="N214" s="100" t="e">
        <f t="shared" ref="N214:U214" si="28">+M214+N212</f>
        <v>#N/A</v>
      </c>
      <c r="O214" s="100" t="e">
        <f t="shared" si="28"/>
        <v>#N/A</v>
      </c>
      <c r="P214" s="100" t="e">
        <f t="shared" si="28"/>
        <v>#N/A</v>
      </c>
      <c r="Q214" s="100" t="e">
        <f t="shared" si="28"/>
        <v>#N/A</v>
      </c>
      <c r="R214" s="100" t="e">
        <f t="shared" si="28"/>
        <v>#N/A</v>
      </c>
      <c r="S214" s="100" t="e">
        <f t="shared" si="28"/>
        <v>#N/A</v>
      </c>
      <c r="T214" s="100" t="e">
        <f t="shared" si="28"/>
        <v>#N/A</v>
      </c>
      <c r="U214" s="100" t="e">
        <f t="shared" si="28"/>
        <v>#N/A</v>
      </c>
      <c r="V214" s="100" t="e">
        <f t="shared" ref="V214:AF214" si="29">+U214+V212</f>
        <v>#N/A</v>
      </c>
      <c r="W214" s="100" t="e">
        <f t="shared" si="29"/>
        <v>#N/A</v>
      </c>
      <c r="X214" s="100" t="e">
        <f t="shared" si="29"/>
        <v>#N/A</v>
      </c>
      <c r="Y214" s="100" t="e">
        <f t="shared" si="29"/>
        <v>#N/A</v>
      </c>
      <c r="Z214" s="100" t="e">
        <f t="shared" si="29"/>
        <v>#N/A</v>
      </c>
      <c r="AA214" s="100" t="e">
        <f t="shared" si="29"/>
        <v>#N/A</v>
      </c>
      <c r="AB214" s="100" t="e">
        <f t="shared" si="29"/>
        <v>#N/A</v>
      </c>
      <c r="AC214" s="100" t="e">
        <f t="shared" si="29"/>
        <v>#N/A</v>
      </c>
      <c r="AD214" s="100" t="e">
        <f t="shared" si="29"/>
        <v>#N/A</v>
      </c>
      <c r="AE214" s="100" t="e">
        <f t="shared" si="29"/>
        <v>#N/A</v>
      </c>
      <c r="AF214" s="100" t="e">
        <f t="shared" si="29"/>
        <v>#N/A</v>
      </c>
      <c r="AG214" s="100" t="e">
        <f>+AF214+AG212</f>
        <v>#N/A</v>
      </c>
      <c r="AH214" s="100" t="e">
        <f t="shared" ref="AH214:CC214" si="30">+AG214+AH212</f>
        <v>#N/A</v>
      </c>
      <c r="AI214" s="100" t="e">
        <f t="shared" si="30"/>
        <v>#N/A</v>
      </c>
      <c r="AJ214" s="100" t="e">
        <f t="shared" si="30"/>
        <v>#N/A</v>
      </c>
      <c r="AK214" s="100" t="e">
        <f t="shared" si="30"/>
        <v>#N/A</v>
      </c>
      <c r="AL214" s="100" t="e">
        <f t="shared" si="30"/>
        <v>#N/A</v>
      </c>
      <c r="AM214" s="100" t="e">
        <f t="shared" si="30"/>
        <v>#N/A</v>
      </c>
      <c r="AN214" s="100" t="e">
        <f t="shared" si="30"/>
        <v>#N/A</v>
      </c>
      <c r="AO214" s="100" t="e">
        <f t="shared" si="30"/>
        <v>#N/A</v>
      </c>
      <c r="AP214" s="100" t="e">
        <f t="shared" si="30"/>
        <v>#N/A</v>
      </c>
      <c r="AQ214" s="100" t="e">
        <f t="shared" si="30"/>
        <v>#N/A</v>
      </c>
      <c r="AR214" s="100" t="e">
        <f t="shared" si="30"/>
        <v>#N/A</v>
      </c>
      <c r="AS214" s="100" t="e">
        <f t="shared" si="30"/>
        <v>#N/A</v>
      </c>
      <c r="AT214" s="100" t="e">
        <f t="shared" si="30"/>
        <v>#N/A</v>
      </c>
      <c r="AU214" s="100" t="e">
        <f t="shared" si="30"/>
        <v>#N/A</v>
      </c>
      <c r="AV214" s="100" t="e">
        <f t="shared" si="30"/>
        <v>#N/A</v>
      </c>
      <c r="AW214" s="100" t="e">
        <f t="shared" si="30"/>
        <v>#N/A</v>
      </c>
      <c r="AX214" s="100" t="e">
        <f t="shared" si="30"/>
        <v>#N/A</v>
      </c>
      <c r="AY214" s="100" t="e">
        <f t="shared" si="30"/>
        <v>#N/A</v>
      </c>
      <c r="AZ214" s="100" t="e">
        <f t="shared" si="30"/>
        <v>#N/A</v>
      </c>
      <c r="BA214" s="100" t="e">
        <f t="shared" si="30"/>
        <v>#N/A</v>
      </c>
      <c r="BB214" s="100" t="e">
        <f t="shared" si="30"/>
        <v>#N/A</v>
      </c>
      <c r="BC214" s="100" t="e">
        <f t="shared" si="30"/>
        <v>#N/A</v>
      </c>
      <c r="BD214" s="100" t="e">
        <f t="shared" si="30"/>
        <v>#N/A</v>
      </c>
      <c r="BE214" s="100" t="e">
        <f t="shared" si="30"/>
        <v>#N/A</v>
      </c>
      <c r="BF214" s="100" t="e">
        <f t="shared" si="30"/>
        <v>#N/A</v>
      </c>
      <c r="BG214" s="100" t="e">
        <f t="shared" si="30"/>
        <v>#N/A</v>
      </c>
      <c r="BH214" s="100" t="e">
        <f t="shared" si="30"/>
        <v>#N/A</v>
      </c>
      <c r="BI214" s="100" t="e">
        <f t="shared" si="30"/>
        <v>#N/A</v>
      </c>
      <c r="BJ214" s="100" t="e">
        <f t="shared" si="30"/>
        <v>#N/A</v>
      </c>
      <c r="BK214" s="100" t="e">
        <f t="shared" si="30"/>
        <v>#N/A</v>
      </c>
      <c r="BL214" s="100" t="e">
        <f t="shared" si="30"/>
        <v>#N/A</v>
      </c>
      <c r="BM214" s="100" t="e">
        <f t="shared" si="30"/>
        <v>#N/A</v>
      </c>
      <c r="BN214" s="100" t="e">
        <f t="shared" si="30"/>
        <v>#N/A</v>
      </c>
      <c r="BO214" s="100" t="e">
        <f t="shared" si="30"/>
        <v>#N/A</v>
      </c>
      <c r="BP214" s="100" t="e">
        <f t="shared" si="30"/>
        <v>#N/A</v>
      </c>
      <c r="BQ214" s="100" t="e">
        <f t="shared" si="30"/>
        <v>#N/A</v>
      </c>
      <c r="BR214" s="100" t="e">
        <f t="shared" si="30"/>
        <v>#N/A</v>
      </c>
      <c r="BS214" s="100" t="e">
        <f t="shared" si="30"/>
        <v>#N/A</v>
      </c>
      <c r="BT214" s="100" t="e">
        <f t="shared" si="30"/>
        <v>#N/A</v>
      </c>
      <c r="BU214" s="100" t="e">
        <f t="shared" si="30"/>
        <v>#N/A</v>
      </c>
      <c r="BV214" s="100" t="e">
        <f t="shared" si="30"/>
        <v>#N/A</v>
      </c>
      <c r="BW214" s="100" t="e">
        <f t="shared" si="30"/>
        <v>#N/A</v>
      </c>
      <c r="BX214" s="100" t="e">
        <f t="shared" si="30"/>
        <v>#N/A</v>
      </c>
      <c r="BY214" s="100" t="e">
        <f t="shared" si="30"/>
        <v>#N/A</v>
      </c>
      <c r="BZ214" s="100" t="e">
        <f t="shared" si="30"/>
        <v>#N/A</v>
      </c>
      <c r="CA214" s="100" t="e">
        <f t="shared" si="30"/>
        <v>#N/A</v>
      </c>
      <c r="CB214" s="100" t="e">
        <f t="shared" si="30"/>
        <v>#N/A</v>
      </c>
      <c r="CC214" s="100" t="e">
        <f t="shared" si="30"/>
        <v>#N/A</v>
      </c>
      <c r="CI214" s="134"/>
      <c r="CJ214" s="134"/>
      <c r="CK214" s="134"/>
    </row>
    <row r="215" spans="1:89" ht="5.0999999999999996" customHeight="1" thickBot="1" x14ac:dyDescent="0.25">
      <c r="CI215" s="23"/>
      <c r="CJ215" s="23"/>
    </row>
    <row r="216" spans="1:89" s="17" customFormat="1" ht="15" customHeight="1" thickBot="1" x14ac:dyDescent="0.25">
      <c r="A216" s="428"/>
      <c r="B216" s="17" t="s">
        <v>122</v>
      </c>
      <c r="H216" s="99" t="e">
        <f>SUM(J216:CC216)</f>
        <v>#N/A</v>
      </c>
      <c r="J216" s="99" t="e">
        <f>IF(J150/F150&lt;=1,+J208,+J208*$F$318/J318)</f>
        <v>#N/A</v>
      </c>
      <c r="K216" s="99" t="e">
        <f t="shared" ref="K216:AP216" si="31">IF(K150/J150&lt;=1,+K208,+K208*$F$318/K318)</f>
        <v>#N/A</v>
      </c>
      <c r="L216" s="99" t="e">
        <f t="shared" si="31"/>
        <v>#N/A</v>
      </c>
      <c r="M216" s="99" t="e">
        <f t="shared" si="31"/>
        <v>#N/A</v>
      </c>
      <c r="N216" s="99" t="e">
        <f t="shared" si="31"/>
        <v>#N/A</v>
      </c>
      <c r="O216" s="99" t="e">
        <f t="shared" si="31"/>
        <v>#N/A</v>
      </c>
      <c r="P216" s="99" t="e">
        <f t="shared" si="31"/>
        <v>#N/A</v>
      </c>
      <c r="Q216" s="99" t="e">
        <f t="shared" si="31"/>
        <v>#N/A</v>
      </c>
      <c r="R216" s="99" t="e">
        <f t="shared" si="31"/>
        <v>#N/A</v>
      </c>
      <c r="S216" s="99" t="e">
        <f t="shared" si="31"/>
        <v>#N/A</v>
      </c>
      <c r="T216" s="99" t="e">
        <f t="shared" si="31"/>
        <v>#N/A</v>
      </c>
      <c r="U216" s="99" t="e">
        <f t="shared" si="31"/>
        <v>#N/A</v>
      </c>
      <c r="V216" s="99" t="e">
        <f t="shared" si="31"/>
        <v>#N/A</v>
      </c>
      <c r="W216" s="99" t="e">
        <f t="shared" si="31"/>
        <v>#N/A</v>
      </c>
      <c r="X216" s="99" t="e">
        <f t="shared" si="31"/>
        <v>#N/A</v>
      </c>
      <c r="Y216" s="99" t="e">
        <f t="shared" si="31"/>
        <v>#N/A</v>
      </c>
      <c r="Z216" s="99" t="e">
        <f t="shared" si="31"/>
        <v>#N/A</v>
      </c>
      <c r="AA216" s="99" t="e">
        <f t="shared" si="31"/>
        <v>#N/A</v>
      </c>
      <c r="AB216" s="99" t="e">
        <f t="shared" si="31"/>
        <v>#N/A</v>
      </c>
      <c r="AC216" s="99" t="e">
        <f t="shared" si="31"/>
        <v>#N/A</v>
      </c>
      <c r="AD216" s="99" t="e">
        <f t="shared" si="31"/>
        <v>#N/A</v>
      </c>
      <c r="AE216" s="99" t="e">
        <f t="shared" si="31"/>
        <v>#N/A</v>
      </c>
      <c r="AF216" s="99" t="e">
        <f t="shared" si="31"/>
        <v>#N/A</v>
      </c>
      <c r="AG216" s="99" t="e">
        <f t="shared" si="31"/>
        <v>#N/A</v>
      </c>
      <c r="AH216" s="99" t="e">
        <f t="shared" si="31"/>
        <v>#N/A</v>
      </c>
      <c r="AI216" s="99" t="e">
        <f t="shared" si="31"/>
        <v>#N/A</v>
      </c>
      <c r="AJ216" s="99" t="e">
        <f t="shared" si="31"/>
        <v>#N/A</v>
      </c>
      <c r="AK216" s="99" t="e">
        <f t="shared" si="31"/>
        <v>#N/A</v>
      </c>
      <c r="AL216" s="99" t="e">
        <f t="shared" si="31"/>
        <v>#N/A</v>
      </c>
      <c r="AM216" s="99" t="e">
        <f t="shared" si="31"/>
        <v>#N/A</v>
      </c>
      <c r="AN216" s="99" t="e">
        <f t="shared" si="31"/>
        <v>#N/A</v>
      </c>
      <c r="AO216" s="99" t="e">
        <f t="shared" si="31"/>
        <v>#N/A</v>
      </c>
      <c r="AP216" s="99" t="e">
        <f t="shared" si="31"/>
        <v>#N/A</v>
      </c>
      <c r="AQ216" s="99" t="e">
        <f t="shared" ref="AQ216:BV216" si="32">IF(AQ150/AP150&lt;=1,+AQ208,+AQ208*$F$318/AQ318)</f>
        <v>#N/A</v>
      </c>
      <c r="AR216" s="99" t="e">
        <f t="shared" si="32"/>
        <v>#N/A</v>
      </c>
      <c r="AS216" s="99" t="e">
        <f t="shared" si="32"/>
        <v>#N/A</v>
      </c>
      <c r="AT216" s="99" t="e">
        <f t="shared" si="32"/>
        <v>#N/A</v>
      </c>
      <c r="AU216" s="99" t="e">
        <f t="shared" si="32"/>
        <v>#N/A</v>
      </c>
      <c r="AV216" s="99" t="e">
        <f t="shared" si="32"/>
        <v>#N/A</v>
      </c>
      <c r="AW216" s="99" t="e">
        <f t="shared" si="32"/>
        <v>#N/A</v>
      </c>
      <c r="AX216" s="99" t="e">
        <f t="shared" si="32"/>
        <v>#N/A</v>
      </c>
      <c r="AY216" s="99" t="e">
        <f t="shared" si="32"/>
        <v>#N/A</v>
      </c>
      <c r="AZ216" s="99" t="e">
        <f t="shared" si="32"/>
        <v>#N/A</v>
      </c>
      <c r="BA216" s="99" t="e">
        <f t="shared" si="32"/>
        <v>#N/A</v>
      </c>
      <c r="BB216" s="99" t="e">
        <f t="shared" si="32"/>
        <v>#N/A</v>
      </c>
      <c r="BC216" s="99" t="e">
        <f t="shared" si="32"/>
        <v>#N/A</v>
      </c>
      <c r="BD216" s="99" t="e">
        <f t="shared" si="32"/>
        <v>#N/A</v>
      </c>
      <c r="BE216" s="99" t="e">
        <f t="shared" si="32"/>
        <v>#N/A</v>
      </c>
      <c r="BF216" s="99" t="e">
        <f t="shared" si="32"/>
        <v>#N/A</v>
      </c>
      <c r="BG216" s="99" t="e">
        <f t="shared" si="32"/>
        <v>#N/A</v>
      </c>
      <c r="BH216" s="99" t="e">
        <f t="shared" si="32"/>
        <v>#N/A</v>
      </c>
      <c r="BI216" s="99" t="e">
        <f t="shared" si="32"/>
        <v>#N/A</v>
      </c>
      <c r="BJ216" s="99" t="e">
        <f t="shared" si="32"/>
        <v>#N/A</v>
      </c>
      <c r="BK216" s="99" t="e">
        <f t="shared" si="32"/>
        <v>#N/A</v>
      </c>
      <c r="BL216" s="99" t="e">
        <f t="shared" si="32"/>
        <v>#N/A</v>
      </c>
      <c r="BM216" s="99" t="e">
        <f t="shared" si="32"/>
        <v>#N/A</v>
      </c>
      <c r="BN216" s="99" t="e">
        <f t="shared" si="32"/>
        <v>#N/A</v>
      </c>
      <c r="BO216" s="99" t="e">
        <f t="shared" si="32"/>
        <v>#N/A</v>
      </c>
      <c r="BP216" s="99" t="e">
        <f t="shared" si="32"/>
        <v>#N/A</v>
      </c>
      <c r="BQ216" s="99" t="e">
        <f t="shared" si="32"/>
        <v>#N/A</v>
      </c>
      <c r="BR216" s="99" t="e">
        <f t="shared" si="32"/>
        <v>#N/A</v>
      </c>
      <c r="BS216" s="99" t="e">
        <f t="shared" si="32"/>
        <v>#N/A</v>
      </c>
      <c r="BT216" s="99" t="e">
        <f t="shared" si="32"/>
        <v>#N/A</v>
      </c>
      <c r="BU216" s="99" t="e">
        <f t="shared" si="32"/>
        <v>#N/A</v>
      </c>
      <c r="BV216" s="99" t="e">
        <f t="shared" si="32"/>
        <v>#N/A</v>
      </c>
      <c r="BW216" s="99" t="e">
        <f t="shared" ref="BW216:CC216" si="33">IF(BW150/BV150&lt;=1,+BW208,+BW208*$F$318/BW318)</f>
        <v>#N/A</v>
      </c>
      <c r="BX216" s="99" t="e">
        <f t="shared" si="33"/>
        <v>#N/A</v>
      </c>
      <c r="BY216" s="99" t="e">
        <f t="shared" si="33"/>
        <v>#N/A</v>
      </c>
      <c r="BZ216" s="99" t="e">
        <f t="shared" si="33"/>
        <v>#N/A</v>
      </c>
      <c r="CA216" s="99" t="e">
        <f t="shared" si="33"/>
        <v>#N/A</v>
      </c>
      <c r="CB216" s="99" t="e">
        <f t="shared" si="33"/>
        <v>#N/A</v>
      </c>
      <c r="CC216" s="99" t="e">
        <f t="shared" si="33"/>
        <v>#N/A</v>
      </c>
      <c r="CI216" s="135"/>
      <c r="CJ216" s="135"/>
    </row>
    <row r="217" spans="1:89" ht="5.0999999999999996" customHeight="1" x14ac:dyDescent="0.2">
      <c r="CI217" s="23"/>
      <c r="CJ217" s="23"/>
    </row>
    <row r="218" spans="1:89" s="20" customFormat="1" ht="15" customHeight="1" x14ac:dyDescent="0.2">
      <c r="A218" s="427"/>
      <c r="B218" s="269" t="s">
        <v>123</v>
      </c>
      <c r="C218" s="269"/>
      <c r="D218" s="269"/>
      <c r="E218" s="269"/>
      <c r="F218" s="269"/>
      <c r="G218" s="269"/>
      <c r="H218" s="269"/>
      <c r="I218" s="269"/>
      <c r="J218" s="287"/>
      <c r="K218" s="269"/>
      <c r="L218" s="287"/>
      <c r="M218" s="269"/>
      <c r="N218" s="269"/>
      <c r="O218" s="269"/>
      <c r="P218" s="269"/>
      <c r="Q218" s="269"/>
      <c r="R218" s="269"/>
      <c r="S218" s="269"/>
      <c r="T218" s="269"/>
      <c r="U218" s="269"/>
      <c r="V218" s="269"/>
      <c r="W218" s="269"/>
      <c r="X218" s="269"/>
      <c r="Y218" s="269"/>
      <c r="Z218" s="269"/>
      <c r="AA218" s="269"/>
      <c r="AB218" s="269"/>
      <c r="AC218" s="269"/>
      <c r="AD218" s="269"/>
      <c r="AE218" s="269"/>
      <c r="AF218" s="269"/>
      <c r="AG218" s="269"/>
      <c r="AH218" s="269"/>
      <c r="AI218" s="269"/>
      <c r="AJ218" s="269"/>
      <c r="AK218" s="269"/>
      <c r="AL218" s="269"/>
      <c r="AM218" s="269"/>
      <c r="AN218" s="269"/>
      <c r="AO218" s="269"/>
      <c r="AP218" s="269"/>
      <c r="AQ218" s="269"/>
      <c r="AR218" s="269"/>
      <c r="AS218" s="269"/>
      <c r="AT218" s="269"/>
      <c r="AU218" s="269"/>
      <c r="AV218" s="269"/>
      <c r="AW218" s="269"/>
      <c r="AX218" s="269"/>
      <c r="AY218" s="269"/>
      <c r="AZ218" s="269"/>
      <c r="BA218" s="269"/>
      <c r="BB218" s="269"/>
      <c r="BC218" s="269"/>
      <c r="BD218" s="269"/>
      <c r="BE218" s="269"/>
      <c r="BF218" s="269"/>
      <c r="BG218" s="269"/>
      <c r="BH218" s="269"/>
      <c r="BI218" s="269"/>
      <c r="BJ218" s="269"/>
      <c r="BK218" s="269"/>
      <c r="BL218" s="269"/>
      <c r="BM218" s="269"/>
      <c r="BN218" s="269"/>
      <c r="BO218" s="269"/>
      <c r="BP218" s="269"/>
      <c r="BQ218" s="269"/>
      <c r="BR218" s="269"/>
      <c r="BS218" s="269"/>
      <c r="BT218" s="269"/>
      <c r="BU218" s="269"/>
      <c r="BV218" s="269"/>
      <c r="BW218" s="269"/>
      <c r="BX218" s="269"/>
      <c r="BY218" s="269"/>
      <c r="BZ218" s="269"/>
      <c r="CA218" s="269"/>
      <c r="CB218" s="269"/>
      <c r="CC218" s="269"/>
    </row>
    <row r="219" spans="1:89" ht="5.0999999999999996" customHeight="1" thickBot="1" x14ac:dyDescent="0.25"/>
    <row r="220" spans="1:89" s="32" customFormat="1" ht="69" customHeight="1" thickBot="1" x14ac:dyDescent="0.25">
      <c r="A220" s="185"/>
      <c r="B220" s="278" t="s">
        <v>106</v>
      </c>
      <c r="C220" s="272"/>
      <c r="D220" s="273" t="s">
        <v>124</v>
      </c>
      <c r="E220" s="272"/>
      <c r="F220" s="273" t="s">
        <v>118</v>
      </c>
      <c r="J220" s="106" t="e">
        <f t="shared" ref="J220:AO220" si="34">+J185</f>
        <v>#N/A</v>
      </c>
      <c r="K220" s="106" t="e">
        <f t="shared" si="34"/>
        <v>#N/A</v>
      </c>
      <c r="L220" s="106" t="e">
        <f t="shared" si="34"/>
        <v>#N/A</v>
      </c>
      <c r="M220" s="106" t="e">
        <f t="shared" si="34"/>
        <v>#N/A</v>
      </c>
      <c r="N220" s="106" t="e">
        <f t="shared" si="34"/>
        <v>#N/A</v>
      </c>
      <c r="O220" s="106" t="e">
        <f t="shared" si="34"/>
        <v>#N/A</v>
      </c>
      <c r="P220" s="106" t="e">
        <f t="shared" si="34"/>
        <v>#N/A</v>
      </c>
      <c r="Q220" s="106" t="e">
        <f t="shared" si="34"/>
        <v>#N/A</v>
      </c>
      <c r="R220" s="106" t="e">
        <f t="shared" si="34"/>
        <v>#N/A</v>
      </c>
      <c r="S220" s="106" t="e">
        <f t="shared" si="34"/>
        <v>#N/A</v>
      </c>
      <c r="T220" s="106" t="e">
        <f t="shared" si="34"/>
        <v>#N/A</v>
      </c>
      <c r="U220" s="106" t="e">
        <f t="shared" si="34"/>
        <v>#N/A</v>
      </c>
      <c r="V220" s="106" t="e">
        <f t="shared" si="34"/>
        <v>#N/A</v>
      </c>
      <c r="W220" s="106" t="e">
        <f t="shared" si="34"/>
        <v>#N/A</v>
      </c>
      <c r="X220" s="106" t="e">
        <f t="shared" si="34"/>
        <v>#N/A</v>
      </c>
      <c r="Y220" s="106" t="e">
        <f t="shared" si="34"/>
        <v>#N/A</v>
      </c>
      <c r="Z220" s="106" t="e">
        <f t="shared" si="34"/>
        <v>#N/A</v>
      </c>
      <c r="AA220" s="106" t="e">
        <f t="shared" si="34"/>
        <v>#N/A</v>
      </c>
      <c r="AB220" s="106" t="e">
        <f t="shared" si="34"/>
        <v>#N/A</v>
      </c>
      <c r="AC220" s="106" t="e">
        <f t="shared" si="34"/>
        <v>#N/A</v>
      </c>
      <c r="AD220" s="106" t="e">
        <f t="shared" si="34"/>
        <v>#N/A</v>
      </c>
      <c r="AE220" s="106" t="e">
        <f t="shared" si="34"/>
        <v>#N/A</v>
      </c>
      <c r="AF220" s="106" t="e">
        <f t="shared" si="34"/>
        <v>#N/A</v>
      </c>
      <c r="AG220" s="106" t="e">
        <f t="shared" si="34"/>
        <v>#N/A</v>
      </c>
      <c r="AH220" s="106" t="e">
        <f t="shared" si="34"/>
        <v>#N/A</v>
      </c>
      <c r="AI220" s="106" t="e">
        <f t="shared" si="34"/>
        <v>#N/A</v>
      </c>
      <c r="AJ220" s="106" t="e">
        <f t="shared" si="34"/>
        <v>#N/A</v>
      </c>
      <c r="AK220" s="106" t="e">
        <f t="shared" si="34"/>
        <v>#N/A</v>
      </c>
      <c r="AL220" s="106" t="e">
        <f t="shared" si="34"/>
        <v>#N/A</v>
      </c>
      <c r="AM220" s="106" t="e">
        <f t="shared" si="34"/>
        <v>#N/A</v>
      </c>
      <c r="AN220" s="106" t="e">
        <f t="shared" si="34"/>
        <v>#N/A</v>
      </c>
      <c r="AO220" s="106" t="e">
        <f t="shared" si="34"/>
        <v>#N/A</v>
      </c>
      <c r="AP220" s="106" t="e">
        <f t="shared" ref="AP220:BU220" si="35">+AP185</f>
        <v>#N/A</v>
      </c>
      <c r="AQ220" s="106" t="e">
        <f t="shared" si="35"/>
        <v>#N/A</v>
      </c>
      <c r="AR220" s="106" t="e">
        <f t="shared" si="35"/>
        <v>#N/A</v>
      </c>
      <c r="AS220" s="106" t="e">
        <f t="shared" si="35"/>
        <v>#N/A</v>
      </c>
      <c r="AT220" s="106" t="e">
        <f t="shared" si="35"/>
        <v>#N/A</v>
      </c>
      <c r="AU220" s="106" t="e">
        <f t="shared" si="35"/>
        <v>#N/A</v>
      </c>
      <c r="AV220" s="106" t="e">
        <f t="shared" si="35"/>
        <v>#N/A</v>
      </c>
      <c r="AW220" s="106" t="e">
        <f t="shared" si="35"/>
        <v>#N/A</v>
      </c>
      <c r="AX220" s="106" t="e">
        <f t="shared" si="35"/>
        <v>#N/A</v>
      </c>
      <c r="AY220" s="106" t="e">
        <f t="shared" si="35"/>
        <v>#N/A</v>
      </c>
      <c r="AZ220" s="106" t="e">
        <f t="shared" si="35"/>
        <v>#N/A</v>
      </c>
      <c r="BA220" s="106" t="e">
        <f t="shared" si="35"/>
        <v>#N/A</v>
      </c>
      <c r="BB220" s="106" t="e">
        <f t="shared" si="35"/>
        <v>#N/A</v>
      </c>
      <c r="BC220" s="106" t="e">
        <f t="shared" si="35"/>
        <v>#N/A</v>
      </c>
      <c r="BD220" s="106" t="e">
        <f t="shared" si="35"/>
        <v>#N/A</v>
      </c>
      <c r="BE220" s="106" t="e">
        <f t="shared" si="35"/>
        <v>#N/A</v>
      </c>
      <c r="BF220" s="106" t="e">
        <f t="shared" si="35"/>
        <v>#N/A</v>
      </c>
      <c r="BG220" s="106" t="e">
        <f t="shared" si="35"/>
        <v>#N/A</v>
      </c>
      <c r="BH220" s="106" t="e">
        <f t="shared" si="35"/>
        <v>#N/A</v>
      </c>
      <c r="BI220" s="106" t="e">
        <f t="shared" si="35"/>
        <v>#N/A</v>
      </c>
      <c r="BJ220" s="106" t="e">
        <f t="shared" si="35"/>
        <v>#N/A</v>
      </c>
      <c r="BK220" s="106" t="e">
        <f t="shared" si="35"/>
        <v>#N/A</v>
      </c>
      <c r="BL220" s="106" t="e">
        <f t="shared" si="35"/>
        <v>#N/A</v>
      </c>
      <c r="BM220" s="106" t="e">
        <f t="shared" si="35"/>
        <v>#N/A</v>
      </c>
      <c r="BN220" s="106" t="e">
        <f t="shared" si="35"/>
        <v>#N/A</v>
      </c>
      <c r="BO220" s="106" t="e">
        <f t="shared" si="35"/>
        <v>#N/A</v>
      </c>
      <c r="BP220" s="106" t="e">
        <f t="shared" si="35"/>
        <v>#N/A</v>
      </c>
      <c r="BQ220" s="106" t="e">
        <f t="shared" si="35"/>
        <v>#N/A</v>
      </c>
      <c r="BR220" s="106" t="e">
        <f t="shared" si="35"/>
        <v>#N/A</v>
      </c>
      <c r="BS220" s="106" t="e">
        <f t="shared" si="35"/>
        <v>#N/A</v>
      </c>
      <c r="BT220" s="106" t="e">
        <f t="shared" si="35"/>
        <v>#N/A</v>
      </c>
      <c r="BU220" s="106" t="e">
        <f t="shared" si="35"/>
        <v>#N/A</v>
      </c>
      <c r="BV220" s="106" t="e">
        <f t="shared" ref="BV220:CC220" si="36">+BV185</f>
        <v>#N/A</v>
      </c>
      <c r="BW220" s="106" t="e">
        <f t="shared" si="36"/>
        <v>#N/A</v>
      </c>
      <c r="BX220" s="106" t="e">
        <f t="shared" si="36"/>
        <v>#N/A</v>
      </c>
      <c r="BY220" s="106" t="e">
        <f t="shared" si="36"/>
        <v>#N/A</v>
      </c>
      <c r="BZ220" s="106" t="e">
        <f t="shared" si="36"/>
        <v>#N/A</v>
      </c>
      <c r="CA220" s="106" t="e">
        <f t="shared" si="36"/>
        <v>#N/A</v>
      </c>
      <c r="CB220" s="106" t="e">
        <f t="shared" si="36"/>
        <v>#N/A</v>
      </c>
      <c r="CC220" s="106" t="e">
        <f t="shared" si="36"/>
        <v>#N/A</v>
      </c>
    </row>
    <row r="221" spans="1:89" s="32" customFormat="1" ht="5.0999999999999996" customHeight="1" thickBot="1" x14ac:dyDescent="0.25">
      <c r="A221" s="185"/>
    </row>
    <row r="222" spans="1:89" s="32" customFormat="1" ht="15.75" thickBot="1" x14ac:dyDescent="0.25">
      <c r="A222" s="185"/>
      <c r="B222" s="184">
        <f ca="1">INDIRECT("B" &amp; (157 + ROWS($A$1:A1)))</f>
        <v>0</v>
      </c>
      <c r="D222" s="100" t="e">
        <f t="shared" ref="D222:D241" si="37">IF($CF$138=0,0,F222/$CF$138)</f>
        <v>#N/A</v>
      </c>
      <c r="F222" s="203">
        <f t="shared" ref="F222:F241" si="38">SUM(J222:CC222)</f>
        <v>0</v>
      </c>
      <c r="J222" s="365">
        <v>0</v>
      </c>
      <c r="K222" s="365">
        <v>0</v>
      </c>
      <c r="L222" s="365">
        <v>0</v>
      </c>
      <c r="M222" s="365">
        <v>0</v>
      </c>
      <c r="N222" s="365">
        <v>0</v>
      </c>
      <c r="O222" s="365">
        <v>0</v>
      </c>
      <c r="P222" s="365">
        <v>0</v>
      </c>
      <c r="Q222" s="365">
        <v>0</v>
      </c>
      <c r="R222" s="365">
        <v>0</v>
      </c>
      <c r="S222" s="365">
        <v>0</v>
      </c>
      <c r="T222" s="365">
        <v>0</v>
      </c>
      <c r="U222" s="365">
        <v>0</v>
      </c>
      <c r="V222" s="365">
        <v>0</v>
      </c>
      <c r="W222" s="365">
        <v>0</v>
      </c>
      <c r="X222" s="365">
        <v>0</v>
      </c>
      <c r="Y222" s="365">
        <v>0</v>
      </c>
      <c r="Z222" s="365">
        <v>0</v>
      </c>
      <c r="AA222" s="365">
        <v>0</v>
      </c>
      <c r="AB222" s="365">
        <v>0</v>
      </c>
      <c r="AC222" s="365">
        <v>0</v>
      </c>
      <c r="AD222" s="365">
        <v>0</v>
      </c>
      <c r="AE222" s="365">
        <v>0</v>
      </c>
      <c r="AF222" s="365">
        <v>0</v>
      </c>
      <c r="AG222" s="365">
        <v>0</v>
      </c>
      <c r="AH222" s="365">
        <v>0</v>
      </c>
      <c r="AI222" s="365">
        <v>0</v>
      </c>
      <c r="AJ222" s="365">
        <v>0</v>
      </c>
      <c r="AK222" s="365">
        <v>0</v>
      </c>
      <c r="AL222" s="365">
        <v>0</v>
      </c>
      <c r="AM222" s="365">
        <v>0</v>
      </c>
      <c r="AN222" s="365">
        <v>0</v>
      </c>
      <c r="AO222" s="365">
        <v>0</v>
      </c>
      <c r="AP222" s="365">
        <v>0</v>
      </c>
      <c r="AQ222" s="365">
        <v>0</v>
      </c>
      <c r="AR222" s="365">
        <v>0</v>
      </c>
      <c r="AS222" s="365">
        <v>0</v>
      </c>
      <c r="AT222" s="365">
        <v>0</v>
      </c>
      <c r="AU222" s="365">
        <v>0</v>
      </c>
      <c r="AV222" s="365">
        <v>0</v>
      </c>
      <c r="AW222" s="365">
        <v>0</v>
      </c>
      <c r="AX222" s="365">
        <v>0</v>
      </c>
      <c r="AY222" s="365">
        <v>0</v>
      </c>
      <c r="AZ222" s="365">
        <v>0</v>
      </c>
      <c r="BA222" s="365">
        <v>0</v>
      </c>
      <c r="BB222" s="365">
        <v>0</v>
      </c>
      <c r="BC222" s="365">
        <v>0</v>
      </c>
      <c r="BD222" s="365">
        <v>0</v>
      </c>
      <c r="BE222" s="365">
        <v>0</v>
      </c>
      <c r="BF222" s="365">
        <v>0</v>
      </c>
      <c r="BG222" s="365">
        <v>0</v>
      </c>
      <c r="BH222" s="365">
        <v>0</v>
      </c>
      <c r="BI222" s="365">
        <v>0</v>
      </c>
      <c r="BJ222" s="365">
        <v>0</v>
      </c>
      <c r="BK222" s="365">
        <v>0</v>
      </c>
      <c r="BL222" s="365">
        <v>0</v>
      </c>
      <c r="BM222" s="365">
        <v>0</v>
      </c>
      <c r="BN222" s="365">
        <v>0</v>
      </c>
      <c r="BO222" s="365">
        <v>0</v>
      </c>
      <c r="BP222" s="365">
        <v>0</v>
      </c>
      <c r="BQ222" s="365">
        <v>0</v>
      </c>
      <c r="BR222" s="365">
        <v>0</v>
      </c>
      <c r="BS222" s="365">
        <v>0</v>
      </c>
      <c r="BT222" s="365">
        <v>0</v>
      </c>
      <c r="BU222" s="365">
        <v>0</v>
      </c>
      <c r="BV222" s="365">
        <v>0</v>
      </c>
      <c r="BW222" s="365">
        <v>0</v>
      </c>
      <c r="BX222" s="365">
        <v>0</v>
      </c>
      <c r="BY222" s="365">
        <v>0</v>
      </c>
      <c r="BZ222" s="365">
        <v>0</v>
      </c>
      <c r="CA222" s="365">
        <v>0</v>
      </c>
      <c r="CB222" s="365">
        <v>0</v>
      </c>
      <c r="CC222" s="365">
        <v>0</v>
      </c>
    </row>
    <row r="223" spans="1:89" s="32" customFormat="1" ht="15.75" thickBot="1" x14ac:dyDescent="0.25">
      <c r="A223" s="185"/>
      <c r="B223" s="184">
        <f ca="1">INDIRECT("B" &amp; (157 + ROWS($A$1:A2)))</f>
        <v>0</v>
      </c>
      <c r="D223" s="100" t="e">
        <f t="shared" si="37"/>
        <v>#N/A</v>
      </c>
      <c r="F223" s="203">
        <f t="shared" si="38"/>
        <v>0</v>
      </c>
      <c r="J223" s="365">
        <v>0</v>
      </c>
      <c r="K223" s="365">
        <v>0</v>
      </c>
      <c r="L223" s="365">
        <v>0</v>
      </c>
      <c r="M223" s="365">
        <v>0</v>
      </c>
      <c r="N223" s="365">
        <v>0</v>
      </c>
      <c r="O223" s="365">
        <v>0</v>
      </c>
      <c r="P223" s="365">
        <v>0</v>
      </c>
      <c r="Q223" s="365">
        <v>0</v>
      </c>
      <c r="R223" s="365">
        <v>0</v>
      </c>
      <c r="S223" s="365">
        <v>0</v>
      </c>
      <c r="T223" s="365">
        <v>0</v>
      </c>
      <c r="U223" s="365">
        <v>0</v>
      </c>
      <c r="V223" s="365">
        <v>0</v>
      </c>
      <c r="W223" s="365">
        <v>0</v>
      </c>
      <c r="X223" s="365">
        <v>0</v>
      </c>
      <c r="Y223" s="365">
        <v>0</v>
      </c>
      <c r="Z223" s="365">
        <v>0</v>
      </c>
      <c r="AA223" s="365">
        <v>0</v>
      </c>
      <c r="AB223" s="365">
        <v>0</v>
      </c>
      <c r="AC223" s="365">
        <v>0</v>
      </c>
      <c r="AD223" s="365">
        <v>0</v>
      </c>
      <c r="AE223" s="365">
        <v>0</v>
      </c>
      <c r="AF223" s="365">
        <v>0</v>
      </c>
      <c r="AG223" s="365">
        <v>0</v>
      </c>
      <c r="AH223" s="365">
        <v>0</v>
      </c>
      <c r="AI223" s="365">
        <v>0</v>
      </c>
      <c r="AJ223" s="365">
        <v>0</v>
      </c>
      <c r="AK223" s="365">
        <v>0</v>
      </c>
      <c r="AL223" s="365">
        <v>0</v>
      </c>
      <c r="AM223" s="365">
        <v>0</v>
      </c>
      <c r="AN223" s="365">
        <v>0</v>
      </c>
      <c r="AO223" s="365">
        <v>0</v>
      </c>
      <c r="AP223" s="365">
        <v>0</v>
      </c>
      <c r="AQ223" s="365">
        <v>0</v>
      </c>
      <c r="AR223" s="365">
        <v>0</v>
      </c>
      <c r="AS223" s="365">
        <v>0</v>
      </c>
      <c r="AT223" s="365">
        <v>0</v>
      </c>
      <c r="AU223" s="365">
        <v>0</v>
      </c>
      <c r="AV223" s="365">
        <v>0</v>
      </c>
      <c r="AW223" s="365">
        <v>0</v>
      </c>
      <c r="AX223" s="365">
        <v>0</v>
      </c>
      <c r="AY223" s="365">
        <v>0</v>
      </c>
      <c r="AZ223" s="365">
        <v>0</v>
      </c>
      <c r="BA223" s="365">
        <v>0</v>
      </c>
      <c r="BB223" s="365">
        <v>0</v>
      </c>
      <c r="BC223" s="365">
        <v>0</v>
      </c>
      <c r="BD223" s="365">
        <v>0</v>
      </c>
      <c r="BE223" s="365">
        <v>0</v>
      </c>
      <c r="BF223" s="365">
        <v>0</v>
      </c>
      <c r="BG223" s="365">
        <v>0</v>
      </c>
      <c r="BH223" s="365">
        <v>0</v>
      </c>
      <c r="BI223" s="365">
        <v>0</v>
      </c>
      <c r="BJ223" s="365">
        <v>0</v>
      </c>
      <c r="BK223" s="365">
        <v>0</v>
      </c>
      <c r="BL223" s="365">
        <v>0</v>
      </c>
      <c r="BM223" s="365">
        <v>0</v>
      </c>
      <c r="BN223" s="365">
        <v>0</v>
      </c>
      <c r="BO223" s="365">
        <v>0</v>
      </c>
      <c r="BP223" s="365">
        <v>0</v>
      </c>
      <c r="BQ223" s="365">
        <v>0</v>
      </c>
      <c r="BR223" s="365">
        <v>0</v>
      </c>
      <c r="BS223" s="365">
        <v>0</v>
      </c>
      <c r="BT223" s="365">
        <v>0</v>
      </c>
      <c r="BU223" s="365">
        <v>0</v>
      </c>
      <c r="BV223" s="365">
        <v>0</v>
      </c>
      <c r="BW223" s="365">
        <v>0</v>
      </c>
      <c r="BX223" s="365">
        <v>0</v>
      </c>
      <c r="BY223" s="365">
        <v>0</v>
      </c>
      <c r="BZ223" s="365">
        <v>0</v>
      </c>
      <c r="CA223" s="365">
        <v>0</v>
      </c>
      <c r="CB223" s="365">
        <v>0</v>
      </c>
      <c r="CC223" s="365">
        <v>0</v>
      </c>
    </row>
    <row r="224" spans="1:89" s="32" customFormat="1" ht="15.75" thickBot="1" x14ac:dyDescent="0.25">
      <c r="A224" s="185"/>
      <c r="B224" s="184">
        <f ca="1">INDIRECT("B" &amp; (157 + ROWS($A$1:A3)))</f>
        <v>0</v>
      </c>
      <c r="D224" s="100" t="e">
        <f t="shared" si="37"/>
        <v>#N/A</v>
      </c>
      <c r="F224" s="203">
        <f t="shared" si="38"/>
        <v>0</v>
      </c>
      <c r="J224" s="365">
        <v>0</v>
      </c>
      <c r="K224" s="365">
        <v>0</v>
      </c>
      <c r="L224" s="365">
        <v>0</v>
      </c>
      <c r="M224" s="365">
        <v>0</v>
      </c>
      <c r="N224" s="365">
        <v>0</v>
      </c>
      <c r="O224" s="365">
        <v>0</v>
      </c>
      <c r="P224" s="365">
        <v>0</v>
      </c>
      <c r="Q224" s="365">
        <v>0</v>
      </c>
      <c r="R224" s="365">
        <v>0</v>
      </c>
      <c r="S224" s="365">
        <v>0</v>
      </c>
      <c r="T224" s="365">
        <v>0</v>
      </c>
      <c r="U224" s="365">
        <v>0</v>
      </c>
      <c r="V224" s="365">
        <v>0</v>
      </c>
      <c r="W224" s="365">
        <v>0</v>
      </c>
      <c r="X224" s="365">
        <v>0</v>
      </c>
      <c r="Y224" s="365">
        <v>0</v>
      </c>
      <c r="Z224" s="365">
        <v>0</v>
      </c>
      <c r="AA224" s="365">
        <v>0</v>
      </c>
      <c r="AB224" s="365">
        <v>0</v>
      </c>
      <c r="AC224" s="365">
        <v>0</v>
      </c>
      <c r="AD224" s="365">
        <v>0</v>
      </c>
      <c r="AE224" s="365">
        <v>0</v>
      </c>
      <c r="AF224" s="365">
        <v>0</v>
      </c>
      <c r="AG224" s="365">
        <v>0</v>
      </c>
      <c r="AH224" s="365">
        <v>0</v>
      </c>
      <c r="AI224" s="365">
        <v>0</v>
      </c>
      <c r="AJ224" s="365">
        <v>0</v>
      </c>
      <c r="AK224" s="365">
        <v>0</v>
      </c>
      <c r="AL224" s="365">
        <v>0</v>
      </c>
      <c r="AM224" s="365">
        <v>0</v>
      </c>
      <c r="AN224" s="365">
        <v>0</v>
      </c>
      <c r="AO224" s="365">
        <v>0</v>
      </c>
      <c r="AP224" s="365">
        <v>0</v>
      </c>
      <c r="AQ224" s="365">
        <v>0</v>
      </c>
      <c r="AR224" s="365">
        <v>0</v>
      </c>
      <c r="AS224" s="365">
        <v>0</v>
      </c>
      <c r="AT224" s="365">
        <v>0</v>
      </c>
      <c r="AU224" s="365">
        <v>0</v>
      </c>
      <c r="AV224" s="365">
        <v>0</v>
      </c>
      <c r="AW224" s="365">
        <v>0</v>
      </c>
      <c r="AX224" s="365">
        <v>0</v>
      </c>
      <c r="AY224" s="365">
        <v>0</v>
      </c>
      <c r="AZ224" s="365">
        <v>0</v>
      </c>
      <c r="BA224" s="365">
        <v>0</v>
      </c>
      <c r="BB224" s="365">
        <v>0</v>
      </c>
      <c r="BC224" s="365">
        <v>0</v>
      </c>
      <c r="BD224" s="365">
        <v>0</v>
      </c>
      <c r="BE224" s="365">
        <v>0</v>
      </c>
      <c r="BF224" s="365">
        <v>0</v>
      </c>
      <c r="BG224" s="365">
        <v>0</v>
      </c>
      <c r="BH224" s="365">
        <v>0</v>
      </c>
      <c r="BI224" s="365">
        <v>0</v>
      </c>
      <c r="BJ224" s="365">
        <v>0</v>
      </c>
      <c r="BK224" s="365">
        <v>0</v>
      </c>
      <c r="BL224" s="365">
        <v>0</v>
      </c>
      <c r="BM224" s="365">
        <v>0</v>
      </c>
      <c r="BN224" s="365">
        <v>0</v>
      </c>
      <c r="BO224" s="365">
        <v>0</v>
      </c>
      <c r="BP224" s="365">
        <v>0</v>
      </c>
      <c r="BQ224" s="365">
        <v>0</v>
      </c>
      <c r="BR224" s="365">
        <v>0</v>
      </c>
      <c r="BS224" s="365">
        <v>0</v>
      </c>
      <c r="BT224" s="365">
        <v>0</v>
      </c>
      <c r="BU224" s="365">
        <v>0</v>
      </c>
      <c r="BV224" s="365">
        <v>0</v>
      </c>
      <c r="BW224" s="365">
        <v>0</v>
      </c>
      <c r="BX224" s="365">
        <v>0</v>
      </c>
      <c r="BY224" s="365">
        <v>0</v>
      </c>
      <c r="BZ224" s="365">
        <v>0</v>
      </c>
      <c r="CA224" s="365">
        <v>0</v>
      </c>
      <c r="CB224" s="365">
        <v>0</v>
      </c>
      <c r="CC224" s="365">
        <v>0</v>
      </c>
    </row>
    <row r="225" spans="1:81" s="32" customFormat="1" ht="15.75" thickBot="1" x14ac:dyDescent="0.25">
      <c r="A225" s="185"/>
      <c r="B225" s="184">
        <f ca="1">INDIRECT("B" &amp; (157 + ROWS($A$1:A4)))</f>
        <v>0</v>
      </c>
      <c r="D225" s="100" t="e">
        <f t="shared" si="37"/>
        <v>#N/A</v>
      </c>
      <c r="F225" s="203">
        <f t="shared" si="38"/>
        <v>0</v>
      </c>
      <c r="J225" s="365">
        <v>0</v>
      </c>
      <c r="K225" s="365">
        <v>0</v>
      </c>
      <c r="L225" s="365">
        <v>0</v>
      </c>
      <c r="M225" s="365">
        <v>0</v>
      </c>
      <c r="N225" s="365">
        <v>0</v>
      </c>
      <c r="O225" s="365">
        <v>0</v>
      </c>
      <c r="P225" s="365">
        <v>0</v>
      </c>
      <c r="Q225" s="365">
        <v>0</v>
      </c>
      <c r="R225" s="365">
        <v>0</v>
      </c>
      <c r="S225" s="365">
        <v>0</v>
      </c>
      <c r="T225" s="365">
        <v>0</v>
      </c>
      <c r="U225" s="365">
        <v>0</v>
      </c>
      <c r="V225" s="365">
        <v>0</v>
      </c>
      <c r="W225" s="365">
        <v>0</v>
      </c>
      <c r="X225" s="365">
        <v>0</v>
      </c>
      <c r="Y225" s="365">
        <v>0</v>
      </c>
      <c r="Z225" s="365">
        <v>0</v>
      </c>
      <c r="AA225" s="365">
        <v>0</v>
      </c>
      <c r="AB225" s="365">
        <v>0</v>
      </c>
      <c r="AC225" s="365">
        <v>0</v>
      </c>
      <c r="AD225" s="365">
        <v>0</v>
      </c>
      <c r="AE225" s="365">
        <v>0</v>
      </c>
      <c r="AF225" s="365">
        <v>0</v>
      </c>
      <c r="AG225" s="365">
        <v>0</v>
      </c>
      <c r="AH225" s="365">
        <v>0</v>
      </c>
      <c r="AI225" s="365">
        <v>0</v>
      </c>
      <c r="AJ225" s="365">
        <v>0</v>
      </c>
      <c r="AK225" s="365">
        <v>0</v>
      </c>
      <c r="AL225" s="365">
        <v>0</v>
      </c>
      <c r="AM225" s="365">
        <v>0</v>
      </c>
      <c r="AN225" s="365">
        <v>0</v>
      </c>
      <c r="AO225" s="365">
        <v>0</v>
      </c>
      <c r="AP225" s="365">
        <v>0</v>
      </c>
      <c r="AQ225" s="365">
        <v>0</v>
      </c>
      <c r="AR225" s="365">
        <v>0</v>
      </c>
      <c r="AS225" s="365">
        <v>0</v>
      </c>
      <c r="AT225" s="365">
        <v>0</v>
      </c>
      <c r="AU225" s="365">
        <v>0</v>
      </c>
      <c r="AV225" s="365">
        <v>0</v>
      </c>
      <c r="AW225" s="365">
        <v>0</v>
      </c>
      <c r="AX225" s="365">
        <v>0</v>
      </c>
      <c r="AY225" s="365">
        <v>0</v>
      </c>
      <c r="AZ225" s="365">
        <v>0</v>
      </c>
      <c r="BA225" s="365">
        <v>0</v>
      </c>
      <c r="BB225" s="365">
        <v>0</v>
      </c>
      <c r="BC225" s="365">
        <v>0</v>
      </c>
      <c r="BD225" s="365">
        <v>0</v>
      </c>
      <c r="BE225" s="365">
        <v>0</v>
      </c>
      <c r="BF225" s="365">
        <v>0</v>
      </c>
      <c r="BG225" s="365">
        <v>0</v>
      </c>
      <c r="BH225" s="365">
        <v>0</v>
      </c>
      <c r="BI225" s="365">
        <v>0</v>
      </c>
      <c r="BJ225" s="365">
        <v>0</v>
      </c>
      <c r="BK225" s="365">
        <v>0</v>
      </c>
      <c r="BL225" s="365">
        <v>0</v>
      </c>
      <c r="BM225" s="365">
        <v>0</v>
      </c>
      <c r="BN225" s="365">
        <v>0</v>
      </c>
      <c r="BO225" s="365">
        <v>0</v>
      </c>
      <c r="BP225" s="365">
        <v>0</v>
      </c>
      <c r="BQ225" s="365">
        <v>0</v>
      </c>
      <c r="BR225" s="365">
        <v>0</v>
      </c>
      <c r="BS225" s="365">
        <v>0</v>
      </c>
      <c r="BT225" s="365">
        <v>0</v>
      </c>
      <c r="BU225" s="365">
        <v>0</v>
      </c>
      <c r="BV225" s="365">
        <v>0</v>
      </c>
      <c r="BW225" s="365">
        <v>0</v>
      </c>
      <c r="BX225" s="365">
        <v>0</v>
      </c>
      <c r="BY225" s="365">
        <v>0</v>
      </c>
      <c r="BZ225" s="365">
        <v>0</v>
      </c>
      <c r="CA225" s="365">
        <v>0</v>
      </c>
      <c r="CB225" s="365">
        <v>0</v>
      </c>
      <c r="CC225" s="365">
        <v>0</v>
      </c>
    </row>
    <row r="226" spans="1:81" s="32" customFormat="1" ht="15.75" thickBot="1" x14ac:dyDescent="0.25">
      <c r="A226" s="185"/>
      <c r="B226" s="184">
        <f ca="1">INDIRECT("B" &amp; (157 + ROWS($A$1:A5)))</f>
        <v>0</v>
      </c>
      <c r="D226" s="100" t="e">
        <f t="shared" si="37"/>
        <v>#N/A</v>
      </c>
      <c r="F226" s="203">
        <f t="shared" si="38"/>
        <v>0</v>
      </c>
      <c r="J226" s="365">
        <v>0</v>
      </c>
      <c r="K226" s="365">
        <v>0</v>
      </c>
      <c r="L226" s="365">
        <v>0</v>
      </c>
      <c r="M226" s="365">
        <v>0</v>
      </c>
      <c r="N226" s="365">
        <v>0</v>
      </c>
      <c r="O226" s="365">
        <v>0</v>
      </c>
      <c r="P226" s="365">
        <v>0</v>
      </c>
      <c r="Q226" s="365">
        <v>0</v>
      </c>
      <c r="R226" s="365">
        <v>0</v>
      </c>
      <c r="S226" s="365">
        <v>0</v>
      </c>
      <c r="T226" s="365">
        <v>0</v>
      </c>
      <c r="U226" s="365">
        <v>0</v>
      </c>
      <c r="V226" s="365">
        <v>0</v>
      </c>
      <c r="W226" s="365">
        <v>0</v>
      </c>
      <c r="X226" s="365">
        <v>0</v>
      </c>
      <c r="Y226" s="365">
        <v>0</v>
      </c>
      <c r="Z226" s="365">
        <v>0</v>
      </c>
      <c r="AA226" s="365">
        <v>0</v>
      </c>
      <c r="AB226" s="365">
        <v>0</v>
      </c>
      <c r="AC226" s="365">
        <v>0</v>
      </c>
      <c r="AD226" s="365">
        <v>0</v>
      </c>
      <c r="AE226" s="365">
        <v>0</v>
      </c>
      <c r="AF226" s="365">
        <v>0</v>
      </c>
      <c r="AG226" s="365">
        <v>0</v>
      </c>
      <c r="AH226" s="365">
        <v>0</v>
      </c>
      <c r="AI226" s="365">
        <v>0</v>
      </c>
      <c r="AJ226" s="365">
        <v>0</v>
      </c>
      <c r="AK226" s="365">
        <v>0</v>
      </c>
      <c r="AL226" s="365">
        <v>0</v>
      </c>
      <c r="AM226" s="365">
        <v>0</v>
      </c>
      <c r="AN226" s="365">
        <v>0</v>
      </c>
      <c r="AO226" s="365">
        <v>0</v>
      </c>
      <c r="AP226" s="365">
        <v>0</v>
      </c>
      <c r="AQ226" s="365">
        <v>0</v>
      </c>
      <c r="AR226" s="365">
        <v>0</v>
      </c>
      <c r="AS226" s="365">
        <v>0</v>
      </c>
      <c r="AT226" s="365">
        <v>0</v>
      </c>
      <c r="AU226" s="365">
        <v>0</v>
      </c>
      <c r="AV226" s="365">
        <v>0</v>
      </c>
      <c r="AW226" s="365">
        <v>0</v>
      </c>
      <c r="AX226" s="365">
        <v>0</v>
      </c>
      <c r="AY226" s="365">
        <v>0</v>
      </c>
      <c r="AZ226" s="365">
        <v>0</v>
      </c>
      <c r="BA226" s="365">
        <v>0</v>
      </c>
      <c r="BB226" s="365">
        <v>0</v>
      </c>
      <c r="BC226" s="365">
        <v>0</v>
      </c>
      <c r="BD226" s="365">
        <v>0</v>
      </c>
      <c r="BE226" s="365">
        <v>0</v>
      </c>
      <c r="BF226" s="365">
        <v>0</v>
      </c>
      <c r="BG226" s="365">
        <v>0</v>
      </c>
      <c r="BH226" s="365">
        <v>0</v>
      </c>
      <c r="BI226" s="365">
        <v>0</v>
      </c>
      <c r="BJ226" s="365">
        <v>0</v>
      </c>
      <c r="BK226" s="365">
        <v>0</v>
      </c>
      <c r="BL226" s="365">
        <v>0</v>
      </c>
      <c r="BM226" s="365">
        <v>0</v>
      </c>
      <c r="BN226" s="365">
        <v>0</v>
      </c>
      <c r="BO226" s="365">
        <v>0</v>
      </c>
      <c r="BP226" s="365">
        <v>0</v>
      </c>
      <c r="BQ226" s="365">
        <v>0</v>
      </c>
      <c r="BR226" s="365">
        <v>0</v>
      </c>
      <c r="BS226" s="365">
        <v>0</v>
      </c>
      <c r="BT226" s="365">
        <v>0</v>
      </c>
      <c r="BU226" s="365">
        <v>0</v>
      </c>
      <c r="BV226" s="365">
        <v>0</v>
      </c>
      <c r="BW226" s="365">
        <v>0</v>
      </c>
      <c r="BX226" s="365">
        <v>0</v>
      </c>
      <c r="BY226" s="365">
        <v>0</v>
      </c>
      <c r="BZ226" s="365">
        <v>0</v>
      </c>
      <c r="CA226" s="365">
        <v>0</v>
      </c>
      <c r="CB226" s="365">
        <v>0</v>
      </c>
      <c r="CC226" s="365">
        <v>0</v>
      </c>
    </row>
    <row r="227" spans="1:81" s="32" customFormat="1" ht="15.75" thickBot="1" x14ac:dyDescent="0.25">
      <c r="A227" s="185"/>
      <c r="B227" s="184">
        <f ca="1">INDIRECT("B" &amp; (157 + ROWS($A$1:A6)))</f>
        <v>0</v>
      </c>
      <c r="D227" s="100" t="e">
        <f t="shared" si="37"/>
        <v>#N/A</v>
      </c>
      <c r="F227" s="203">
        <f t="shared" si="38"/>
        <v>0</v>
      </c>
      <c r="J227" s="365">
        <v>0</v>
      </c>
      <c r="K227" s="365">
        <v>0</v>
      </c>
      <c r="L227" s="365">
        <v>0</v>
      </c>
      <c r="M227" s="365">
        <v>0</v>
      </c>
      <c r="N227" s="365">
        <v>0</v>
      </c>
      <c r="O227" s="365">
        <v>0</v>
      </c>
      <c r="P227" s="365">
        <v>0</v>
      </c>
      <c r="Q227" s="365">
        <v>0</v>
      </c>
      <c r="R227" s="365">
        <v>0</v>
      </c>
      <c r="S227" s="365">
        <v>0</v>
      </c>
      <c r="T227" s="365">
        <v>0</v>
      </c>
      <c r="U227" s="365">
        <v>0</v>
      </c>
      <c r="V227" s="365">
        <v>0</v>
      </c>
      <c r="W227" s="365">
        <v>0</v>
      </c>
      <c r="X227" s="365">
        <v>0</v>
      </c>
      <c r="Y227" s="365">
        <v>0</v>
      </c>
      <c r="Z227" s="365">
        <v>0</v>
      </c>
      <c r="AA227" s="365">
        <v>0</v>
      </c>
      <c r="AB227" s="365">
        <v>0</v>
      </c>
      <c r="AC227" s="365">
        <v>0</v>
      </c>
      <c r="AD227" s="365">
        <v>0</v>
      </c>
      <c r="AE227" s="365">
        <v>0</v>
      </c>
      <c r="AF227" s="365">
        <v>0</v>
      </c>
      <c r="AG227" s="365">
        <v>0</v>
      </c>
      <c r="AH227" s="365">
        <v>0</v>
      </c>
      <c r="AI227" s="365">
        <v>0</v>
      </c>
      <c r="AJ227" s="365">
        <v>0</v>
      </c>
      <c r="AK227" s="365">
        <v>0</v>
      </c>
      <c r="AL227" s="365">
        <v>0</v>
      </c>
      <c r="AM227" s="365">
        <v>0</v>
      </c>
      <c r="AN227" s="365">
        <v>0</v>
      </c>
      <c r="AO227" s="365">
        <v>0</v>
      </c>
      <c r="AP227" s="365">
        <v>0</v>
      </c>
      <c r="AQ227" s="365">
        <v>0</v>
      </c>
      <c r="AR227" s="365">
        <v>0</v>
      </c>
      <c r="AS227" s="365">
        <v>0</v>
      </c>
      <c r="AT227" s="365">
        <v>0</v>
      </c>
      <c r="AU227" s="365">
        <v>0</v>
      </c>
      <c r="AV227" s="365">
        <v>0</v>
      </c>
      <c r="AW227" s="365">
        <v>0</v>
      </c>
      <c r="AX227" s="365">
        <v>0</v>
      </c>
      <c r="AY227" s="365">
        <v>0</v>
      </c>
      <c r="AZ227" s="365">
        <v>0</v>
      </c>
      <c r="BA227" s="365">
        <v>0</v>
      </c>
      <c r="BB227" s="365">
        <v>0</v>
      </c>
      <c r="BC227" s="365">
        <v>0</v>
      </c>
      <c r="BD227" s="365">
        <v>0</v>
      </c>
      <c r="BE227" s="365">
        <v>0</v>
      </c>
      <c r="BF227" s="365">
        <v>0</v>
      </c>
      <c r="BG227" s="365">
        <v>0</v>
      </c>
      <c r="BH227" s="365">
        <v>0</v>
      </c>
      <c r="BI227" s="365">
        <v>0</v>
      </c>
      <c r="BJ227" s="365">
        <v>0</v>
      </c>
      <c r="BK227" s="365">
        <v>0</v>
      </c>
      <c r="BL227" s="365">
        <v>0</v>
      </c>
      <c r="BM227" s="365">
        <v>0</v>
      </c>
      <c r="BN227" s="365">
        <v>0</v>
      </c>
      <c r="BO227" s="365">
        <v>0</v>
      </c>
      <c r="BP227" s="365">
        <v>0</v>
      </c>
      <c r="BQ227" s="365">
        <v>0</v>
      </c>
      <c r="BR227" s="365">
        <v>0</v>
      </c>
      <c r="BS227" s="365">
        <v>0</v>
      </c>
      <c r="BT227" s="365">
        <v>0</v>
      </c>
      <c r="BU227" s="365">
        <v>0</v>
      </c>
      <c r="BV227" s="365">
        <v>0</v>
      </c>
      <c r="BW227" s="365">
        <v>0</v>
      </c>
      <c r="BX227" s="365">
        <v>0</v>
      </c>
      <c r="BY227" s="365">
        <v>0</v>
      </c>
      <c r="BZ227" s="365">
        <v>0</v>
      </c>
      <c r="CA227" s="365">
        <v>0</v>
      </c>
      <c r="CB227" s="365">
        <v>0</v>
      </c>
      <c r="CC227" s="365">
        <v>0</v>
      </c>
    </row>
    <row r="228" spans="1:81" s="32" customFormat="1" ht="15.75" thickBot="1" x14ac:dyDescent="0.25">
      <c r="A228" s="185"/>
      <c r="B228" s="184">
        <f ca="1">INDIRECT("B" &amp; (157 + ROWS($A$1:A7)))</f>
        <v>0</v>
      </c>
      <c r="D228" s="100" t="e">
        <f t="shared" si="37"/>
        <v>#N/A</v>
      </c>
      <c r="F228" s="203">
        <f t="shared" si="38"/>
        <v>0</v>
      </c>
      <c r="J228" s="365">
        <v>0</v>
      </c>
      <c r="K228" s="365">
        <v>0</v>
      </c>
      <c r="L228" s="365">
        <v>0</v>
      </c>
      <c r="M228" s="365">
        <v>0</v>
      </c>
      <c r="N228" s="365">
        <v>0</v>
      </c>
      <c r="O228" s="365">
        <v>0</v>
      </c>
      <c r="P228" s="365">
        <v>0</v>
      </c>
      <c r="Q228" s="365">
        <v>0</v>
      </c>
      <c r="R228" s="365">
        <v>0</v>
      </c>
      <c r="S228" s="365">
        <v>0</v>
      </c>
      <c r="T228" s="365">
        <v>0</v>
      </c>
      <c r="U228" s="365">
        <v>0</v>
      </c>
      <c r="V228" s="365">
        <v>0</v>
      </c>
      <c r="W228" s="365">
        <v>0</v>
      </c>
      <c r="X228" s="365">
        <v>0</v>
      </c>
      <c r="Y228" s="365">
        <v>0</v>
      </c>
      <c r="Z228" s="365">
        <v>0</v>
      </c>
      <c r="AA228" s="365">
        <v>0</v>
      </c>
      <c r="AB228" s="365">
        <v>0</v>
      </c>
      <c r="AC228" s="365">
        <v>0</v>
      </c>
      <c r="AD228" s="365">
        <v>0</v>
      </c>
      <c r="AE228" s="365">
        <v>0</v>
      </c>
      <c r="AF228" s="365">
        <v>0</v>
      </c>
      <c r="AG228" s="365">
        <v>0</v>
      </c>
      <c r="AH228" s="365">
        <v>0</v>
      </c>
      <c r="AI228" s="365">
        <v>0</v>
      </c>
      <c r="AJ228" s="365">
        <v>0</v>
      </c>
      <c r="AK228" s="365">
        <v>0</v>
      </c>
      <c r="AL228" s="365">
        <v>0</v>
      </c>
      <c r="AM228" s="365">
        <v>0</v>
      </c>
      <c r="AN228" s="365">
        <v>0</v>
      </c>
      <c r="AO228" s="365">
        <v>0</v>
      </c>
      <c r="AP228" s="365">
        <v>0</v>
      </c>
      <c r="AQ228" s="365">
        <v>0</v>
      </c>
      <c r="AR228" s="365">
        <v>0</v>
      </c>
      <c r="AS228" s="365">
        <v>0</v>
      </c>
      <c r="AT228" s="365">
        <v>0</v>
      </c>
      <c r="AU228" s="365">
        <v>0</v>
      </c>
      <c r="AV228" s="365">
        <v>0</v>
      </c>
      <c r="AW228" s="365">
        <v>0</v>
      </c>
      <c r="AX228" s="365">
        <v>0</v>
      </c>
      <c r="AY228" s="365">
        <v>0</v>
      </c>
      <c r="AZ228" s="365">
        <v>0</v>
      </c>
      <c r="BA228" s="365">
        <v>0</v>
      </c>
      <c r="BB228" s="365">
        <v>0</v>
      </c>
      <c r="BC228" s="365">
        <v>0</v>
      </c>
      <c r="BD228" s="365">
        <v>0</v>
      </c>
      <c r="BE228" s="365">
        <v>0</v>
      </c>
      <c r="BF228" s="365">
        <v>0</v>
      </c>
      <c r="BG228" s="365">
        <v>0</v>
      </c>
      <c r="BH228" s="365">
        <v>0</v>
      </c>
      <c r="BI228" s="365">
        <v>0</v>
      </c>
      <c r="BJ228" s="365">
        <v>0</v>
      </c>
      <c r="BK228" s="365">
        <v>0</v>
      </c>
      <c r="BL228" s="365">
        <v>0</v>
      </c>
      <c r="BM228" s="365">
        <v>0</v>
      </c>
      <c r="BN228" s="365">
        <v>0</v>
      </c>
      <c r="BO228" s="365">
        <v>0</v>
      </c>
      <c r="BP228" s="365">
        <v>0</v>
      </c>
      <c r="BQ228" s="365">
        <v>0</v>
      </c>
      <c r="BR228" s="365">
        <v>0</v>
      </c>
      <c r="BS228" s="365">
        <v>0</v>
      </c>
      <c r="BT228" s="365">
        <v>0</v>
      </c>
      <c r="BU228" s="365">
        <v>0</v>
      </c>
      <c r="BV228" s="365">
        <v>0</v>
      </c>
      <c r="BW228" s="365">
        <v>0</v>
      </c>
      <c r="BX228" s="365">
        <v>0</v>
      </c>
      <c r="BY228" s="365">
        <v>0</v>
      </c>
      <c r="BZ228" s="365">
        <v>0</v>
      </c>
      <c r="CA228" s="365">
        <v>0</v>
      </c>
      <c r="CB228" s="365">
        <v>0</v>
      </c>
      <c r="CC228" s="365">
        <v>0</v>
      </c>
    </row>
    <row r="229" spans="1:81" s="32" customFormat="1" ht="15.75" thickBot="1" x14ac:dyDescent="0.25">
      <c r="A229" s="185"/>
      <c r="B229" s="184">
        <f ca="1">INDIRECT("B" &amp; (157 + ROWS($A$1:A8)))</f>
        <v>0</v>
      </c>
      <c r="D229" s="100" t="e">
        <f t="shared" si="37"/>
        <v>#N/A</v>
      </c>
      <c r="F229" s="203">
        <f t="shared" si="38"/>
        <v>0</v>
      </c>
      <c r="J229" s="365">
        <v>0</v>
      </c>
      <c r="K229" s="365">
        <v>0</v>
      </c>
      <c r="L229" s="365">
        <v>0</v>
      </c>
      <c r="M229" s="365">
        <v>0</v>
      </c>
      <c r="N229" s="365">
        <v>0</v>
      </c>
      <c r="O229" s="365">
        <v>0</v>
      </c>
      <c r="P229" s="365">
        <v>0</v>
      </c>
      <c r="Q229" s="365">
        <v>0</v>
      </c>
      <c r="R229" s="365">
        <v>0</v>
      </c>
      <c r="S229" s="365">
        <v>0</v>
      </c>
      <c r="T229" s="365">
        <v>0</v>
      </c>
      <c r="U229" s="365">
        <v>0</v>
      </c>
      <c r="V229" s="365">
        <v>0</v>
      </c>
      <c r="W229" s="365">
        <v>0</v>
      </c>
      <c r="X229" s="365">
        <v>0</v>
      </c>
      <c r="Y229" s="365">
        <v>0</v>
      </c>
      <c r="Z229" s="365">
        <v>0</v>
      </c>
      <c r="AA229" s="365">
        <v>0</v>
      </c>
      <c r="AB229" s="365">
        <v>0</v>
      </c>
      <c r="AC229" s="365">
        <v>0</v>
      </c>
      <c r="AD229" s="365">
        <v>0</v>
      </c>
      <c r="AE229" s="365">
        <v>0</v>
      </c>
      <c r="AF229" s="365">
        <v>0</v>
      </c>
      <c r="AG229" s="365">
        <v>0</v>
      </c>
      <c r="AH229" s="365">
        <v>0</v>
      </c>
      <c r="AI229" s="365">
        <v>0</v>
      </c>
      <c r="AJ229" s="365">
        <v>0</v>
      </c>
      <c r="AK229" s="365">
        <v>0</v>
      </c>
      <c r="AL229" s="365">
        <v>0</v>
      </c>
      <c r="AM229" s="365">
        <v>0</v>
      </c>
      <c r="AN229" s="365">
        <v>0</v>
      </c>
      <c r="AO229" s="365">
        <v>0</v>
      </c>
      <c r="AP229" s="365">
        <v>0</v>
      </c>
      <c r="AQ229" s="365">
        <v>0</v>
      </c>
      <c r="AR229" s="365">
        <v>0</v>
      </c>
      <c r="AS229" s="365">
        <v>0</v>
      </c>
      <c r="AT229" s="365">
        <v>0</v>
      </c>
      <c r="AU229" s="365">
        <v>0</v>
      </c>
      <c r="AV229" s="365">
        <v>0</v>
      </c>
      <c r="AW229" s="365">
        <v>0</v>
      </c>
      <c r="AX229" s="365">
        <v>0</v>
      </c>
      <c r="AY229" s="365">
        <v>0</v>
      </c>
      <c r="AZ229" s="365">
        <v>0</v>
      </c>
      <c r="BA229" s="365">
        <v>0</v>
      </c>
      <c r="BB229" s="365">
        <v>0</v>
      </c>
      <c r="BC229" s="365">
        <v>0</v>
      </c>
      <c r="BD229" s="365">
        <v>0</v>
      </c>
      <c r="BE229" s="365">
        <v>0</v>
      </c>
      <c r="BF229" s="365">
        <v>0</v>
      </c>
      <c r="BG229" s="365">
        <v>0</v>
      </c>
      <c r="BH229" s="365">
        <v>0</v>
      </c>
      <c r="BI229" s="365">
        <v>0</v>
      </c>
      <c r="BJ229" s="365">
        <v>0</v>
      </c>
      <c r="BK229" s="365">
        <v>0</v>
      </c>
      <c r="BL229" s="365">
        <v>0</v>
      </c>
      <c r="BM229" s="365">
        <v>0</v>
      </c>
      <c r="BN229" s="365">
        <v>0</v>
      </c>
      <c r="BO229" s="365">
        <v>0</v>
      </c>
      <c r="BP229" s="365">
        <v>0</v>
      </c>
      <c r="BQ229" s="365">
        <v>0</v>
      </c>
      <c r="BR229" s="365">
        <v>0</v>
      </c>
      <c r="BS229" s="365">
        <v>0</v>
      </c>
      <c r="BT229" s="365">
        <v>0</v>
      </c>
      <c r="BU229" s="365">
        <v>0</v>
      </c>
      <c r="BV229" s="365">
        <v>0</v>
      </c>
      <c r="BW229" s="365">
        <v>0</v>
      </c>
      <c r="BX229" s="365">
        <v>0</v>
      </c>
      <c r="BY229" s="365">
        <v>0</v>
      </c>
      <c r="BZ229" s="365">
        <v>0</v>
      </c>
      <c r="CA229" s="365">
        <v>0</v>
      </c>
      <c r="CB229" s="365">
        <v>0</v>
      </c>
      <c r="CC229" s="365">
        <v>0</v>
      </c>
    </row>
    <row r="230" spans="1:81" s="32" customFormat="1" ht="15.75" thickBot="1" x14ac:dyDescent="0.25">
      <c r="A230" s="185"/>
      <c r="B230" s="184">
        <f ca="1">INDIRECT("B" &amp; (157 + ROWS($A$1:A9)))</f>
        <v>0</v>
      </c>
      <c r="D230" s="100" t="e">
        <f t="shared" si="37"/>
        <v>#N/A</v>
      </c>
      <c r="F230" s="203">
        <f t="shared" si="38"/>
        <v>0</v>
      </c>
      <c r="J230" s="365">
        <v>0</v>
      </c>
      <c r="K230" s="365">
        <v>0</v>
      </c>
      <c r="L230" s="365">
        <v>0</v>
      </c>
      <c r="M230" s="365">
        <v>0</v>
      </c>
      <c r="N230" s="365">
        <v>0</v>
      </c>
      <c r="O230" s="365">
        <v>0</v>
      </c>
      <c r="P230" s="365">
        <v>0</v>
      </c>
      <c r="Q230" s="365">
        <v>0</v>
      </c>
      <c r="R230" s="365">
        <v>0</v>
      </c>
      <c r="S230" s="365">
        <v>0</v>
      </c>
      <c r="T230" s="365">
        <v>0</v>
      </c>
      <c r="U230" s="365">
        <v>0</v>
      </c>
      <c r="V230" s="365">
        <v>0</v>
      </c>
      <c r="W230" s="365">
        <v>0</v>
      </c>
      <c r="X230" s="365">
        <v>0</v>
      </c>
      <c r="Y230" s="365">
        <v>0</v>
      </c>
      <c r="Z230" s="365">
        <v>0</v>
      </c>
      <c r="AA230" s="365">
        <v>0</v>
      </c>
      <c r="AB230" s="365">
        <v>0</v>
      </c>
      <c r="AC230" s="365">
        <v>0</v>
      </c>
      <c r="AD230" s="365">
        <v>0</v>
      </c>
      <c r="AE230" s="365">
        <v>0</v>
      </c>
      <c r="AF230" s="365">
        <v>0</v>
      </c>
      <c r="AG230" s="365">
        <v>0</v>
      </c>
      <c r="AH230" s="365">
        <v>0</v>
      </c>
      <c r="AI230" s="365">
        <v>0</v>
      </c>
      <c r="AJ230" s="365">
        <v>0</v>
      </c>
      <c r="AK230" s="365">
        <v>0</v>
      </c>
      <c r="AL230" s="365">
        <v>0</v>
      </c>
      <c r="AM230" s="365">
        <v>0</v>
      </c>
      <c r="AN230" s="365">
        <v>0</v>
      </c>
      <c r="AO230" s="365">
        <v>0</v>
      </c>
      <c r="AP230" s="365">
        <v>0</v>
      </c>
      <c r="AQ230" s="365">
        <v>0</v>
      </c>
      <c r="AR230" s="365">
        <v>0</v>
      </c>
      <c r="AS230" s="365">
        <v>0</v>
      </c>
      <c r="AT230" s="365">
        <v>0</v>
      </c>
      <c r="AU230" s="365">
        <v>0</v>
      </c>
      <c r="AV230" s="365">
        <v>0</v>
      </c>
      <c r="AW230" s="365">
        <v>0</v>
      </c>
      <c r="AX230" s="365">
        <v>0</v>
      </c>
      <c r="AY230" s="365">
        <v>0</v>
      </c>
      <c r="AZ230" s="365">
        <v>0</v>
      </c>
      <c r="BA230" s="365">
        <v>0</v>
      </c>
      <c r="BB230" s="365">
        <v>0</v>
      </c>
      <c r="BC230" s="365">
        <v>0</v>
      </c>
      <c r="BD230" s="365">
        <v>0</v>
      </c>
      <c r="BE230" s="365">
        <v>0</v>
      </c>
      <c r="BF230" s="365">
        <v>0</v>
      </c>
      <c r="BG230" s="365">
        <v>0</v>
      </c>
      <c r="BH230" s="365">
        <v>0</v>
      </c>
      <c r="BI230" s="365">
        <v>0</v>
      </c>
      <c r="BJ230" s="365">
        <v>0</v>
      </c>
      <c r="BK230" s="365">
        <v>0</v>
      </c>
      <c r="BL230" s="365">
        <v>0</v>
      </c>
      <c r="BM230" s="365">
        <v>0</v>
      </c>
      <c r="BN230" s="365">
        <v>0</v>
      </c>
      <c r="BO230" s="365">
        <v>0</v>
      </c>
      <c r="BP230" s="365">
        <v>0</v>
      </c>
      <c r="BQ230" s="365">
        <v>0</v>
      </c>
      <c r="BR230" s="365">
        <v>0</v>
      </c>
      <c r="BS230" s="365">
        <v>0</v>
      </c>
      <c r="BT230" s="365">
        <v>0</v>
      </c>
      <c r="BU230" s="365">
        <v>0</v>
      </c>
      <c r="BV230" s="365">
        <v>0</v>
      </c>
      <c r="BW230" s="365">
        <v>0</v>
      </c>
      <c r="BX230" s="365">
        <v>0</v>
      </c>
      <c r="BY230" s="365">
        <v>0</v>
      </c>
      <c r="BZ230" s="365">
        <v>0</v>
      </c>
      <c r="CA230" s="365">
        <v>0</v>
      </c>
      <c r="CB230" s="365">
        <v>0</v>
      </c>
      <c r="CC230" s="365">
        <v>0</v>
      </c>
    </row>
    <row r="231" spans="1:81" s="32" customFormat="1" ht="15.75" thickBot="1" x14ac:dyDescent="0.25">
      <c r="A231" s="185"/>
      <c r="B231" s="184">
        <f ca="1">INDIRECT("B" &amp; (157 + ROWS($A$1:A10)))</f>
        <v>0</v>
      </c>
      <c r="D231" s="100" t="e">
        <f t="shared" si="37"/>
        <v>#N/A</v>
      </c>
      <c r="F231" s="203">
        <f t="shared" si="38"/>
        <v>0</v>
      </c>
      <c r="J231" s="365">
        <v>0</v>
      </c>
      <c r="K231" s="365">
        <v>0</v>
      </c>
      <c r="L231" s="365">
        <v>0</v>
      </c>
      <c r="M231" s="365">
        <v>0</v>
      </c>
      <c r="N231" s="365">
        <v>0</v>
      </c>
      <c r="O231" s="365">
        <v>0</v>
      </c>
      <c r="P231" s="365">
        <v>0</v>
      </c>
      <c r="Q231" s="365">
        <v>0</v>
      </c>
      <c r="R231" s="365">
        <v>0</v>
      </c>
      <c r="S231" s="365">
        <v>0</v>
      </c>
      <c r="T231" s="365">
        <v>0</v>
      </c>
      <c r="U231" s="365">
        <v>0</v>
      </c>
      <c r="V231" s="365">
        <v>0</v>
      </c>
      <c r="W231" s="365">
        <v>0</v>
      </c>
      <c r="X231" s="365">
        <v>0</v>
      </c>
      <c r="Y231" s="365">
        <v>0</v>
      </c>
      <c r="Z231" s="365">
        <v>0</v>
      </c>
      <c r="AA231" s="365">
        <v>0</v>
      </c>
      <c r="AB231" s="365">
        <v>0</v>
      </c>
      <c r="AC231" s="365">
        <v>0</v>
      </c>
      <c r="AD231" s="365">
        <v>0</v>
      </c>
      <c r="AE231" s="365">
        <v>0</v>
      </c>
      <c r="AF231" s="365">
        <v>0</v>
      </c>
      <c r="AG231" s="365">
        <v>0</v>
      </c>
      <c r="AH231" s="365">
        <v>0</v>
      </c>
      <c r="AI231" s="365">
        <v>0</v>
      </c>
      <c r="AJ231" s="365">
        <v>0</v>
      </c>
      <c r="AK231" s="365">
        <v>0</v>
      </c>
      <c r="AL231" s="365">
        <v>0</v>
      </c>
      <c r="AM231" s="365">
        <v>0</v>
      </c>
      <c r="AN231" s="365">
        <v>0</v>
      </c>
      <c r="AO231" s="365">
        <v>0</v>
      </c>
      <c r="AP231" s="365">
        <v>0</v>
      </c>
      <c r="AQ231" s="365">
        <v>0</v>
      </c>
      <c r="AR231" s="365">
        <v>0</v>
      </c>
      <c r="AS231" s="365">
        <v>0</v>
      </c>
      <c r="AT231" s="365">
        <v>0</v>
      </c>
      <c r="AU231" s="365">
        <v>0</v>
      </c>
      <c r="AV231" s="365">
        <v>0</v>
      </c>
      <c r="AW231" s="365">
        <v>0</v>
      </c>
      <c r="AX231" s="365">
        <v>0</v>
      </c>
      <c r="AY231" s="365">
        <v>0</v>
      </c>
      <c r="AZ231" s="365">
        <v>0</v>
      </c>
      <c r="BA231" s="365">
        <v>0</v>
      </c>
      <c r="BB231" s="365">
        <v>0</v>
      </c>
      <c r="BC231" s="365">
        <v>0</v>
      </c>
      <c r="BD231" s="365">
        <v>0</v>
      </c>
      <c r="BE231" s="365">
        <v>0</v>
      </c>
      <c r="BF231" s="365">
        <v>0</v>
      </c>
      <c r="BG231" s="365">
        <v>0</v>
      </c>
      <c r="BH231" s="365">
        <v>0</v>
      </c>
      <c r="BI231" s="365">
        <v>0</v>
      </c>
      <c r="BJ231" s="365">
        <v>0</v>
      </c>
      <c r="BK231" s="365">
        <v>0</v>
      </c>
      <c r="BL231" s="365">
        <v>0</v>
      </c>
      <c r="BM231" s="365">
        <v>0</v>
      </c>
      <c r="BN231" s="365">
        <v>0</v>
      </c>
      <c r="BO231" s="365">
        <v>0</v>
      </c>
      <c r="BP231" s="365">
        <v>0</v>
      </c>
      <c r="BQ231" s="365">
        <v>0</v>
      </c>
      <c r="BR231" s="365">
        <v>0</v>
      </c>
      <c r="BS231" s="365">
        <v>0</v>
      </c>
      <c r="BT231" s="365">
        <v>0</v>
      </c>
      <c r="BU231" s="365">
        <v>0</v>
      </c>
      <c r="BV231" s="365">
        <v>0</v>
      </c>
      <c r="BW231" s="365">
        <v>0</v>
      </c>
      <c r="BX231" s="365">
        <v>0</v>
      </c>
      <c r="BY231" s="365">
        <v>0</v>
      </c>
      <c r="BZ231" s="365">
        <v>0</v>
      </c>
      <c r="CA231" s="365">
        <v>0</v>
      </c>
      <c r="CB231" s="365">
        <v>0</v>
      </c>
      <c r="CC231" s="365">
        <v>0</v>
      </c>
    </row>
    <row r="232" spans="1:81" s="32" customFormat="1" ht="15.75" thickBot="1" x14ac:dyDescent="0.25">
      <c r="A232" s="185"/>
      <c r="B232" s="184">
        <f ca="1">INDIRECT("B" &amp; (157 + ROWS($A$1:A11)))</f>
        <v>0</v>
      </c>
      <c r="D232" s="100" t="e">
        <f t="shared" si="37"/>
        <v>#N/A</v>
      </c>
      <c r="F232" s="203">
        <f t="shared" si="38"/>
        <v>0</v>
      </c>
      <c r="J232" s="365">
        <v>0</v>
      </c>
      <c r="K232" s="365">
        <v>0</v>
      </c>
      <c r="L232" s="365">
        <v>0</v>
      </c>
      <c r="M232" s="365">
        <v>0</v>
      </c>
      <c r="N232" s="365">
        <v>0</v>
      </c>
      <c r="O232" s="365">
        <v>0</v>
      </c>
      <c r="P232" s="365">
        <v>0</v>
      </c>
      <c r="Q232" s="365">
        <v>0</v>
      </c>
      <c r="R232" s="365">
        <v>0</v>
      </c>
      <c r="S232" s="365">
        <v>0</v>
      </c>
      <c r="T232" s="365">
        <v>0</v>
      </c>
      <c r="U232" s="365">
        <v>0</v>
      </c>
      <c r="V232" s="365">
        <v>0</v>
      </c>
      <c r="W232" s="365">
        <v>0</v>
      </c>
      <c r="X232" s="365">
        <v>0</v>
      </c>
      <c r="Y232" s="365">
        <v>0</v>
      </c>
      <c r="Z232" s="365">
        <v>0</v>
      </c>
      <c r="AA232" s="365">
        <v>0</v>
      </c>
      <c r="AB232" s="365">
        <v>0</v>
      </c>
      <c r="AC232" s="365">
        <v>0</v>
      </c>
      <c r="AD232" s="365">
        <v>0</v>
      </c>
      <c r="AE232" s="365">
        <v>0</v>
      </c>
      <c r="AF232" s="365">
        <v>0</v>
      </c>
      <c r="AG232" s="365">
        <v>0</v>
      </c>
      <c r="AH232" s="365">
        <v>0</v>
      </c>
      <c r="AI232" s="365">
        <v>0</v>
      </c>
      <c r="AJ232" s="365">
        <v>0</v>
      </c>
      <c r="AK232" s="365">
        <v>0</v>
      </c>
      <c r="AL232" s="365">
        <v>0</v>
      </c>
      <c r="AM232" s="365">
        <v>0</v>
      </c>
      <c r="AN232" s="365">
        <v>0</v>
      </c>
      <c r="AO232" s="365">
        <v>0</v>
      </c>
      <c r="AP232" s="365">
        <v>0</v>
      </c>
      <c r="AQ232" s="365">
        <v>0</v>
      </c>
      <c r="AR232" s="365">
        <v>0</v>
      </c>
      <c r="AS232" s="365">
        <v>0</v>
      </c>
      <c r="AT232" s="365">
        <v>0</v>
      </c>
      <c r="AU232" s="365">
        <v>0</v>
      </c>
      <c r="AV232" s="365">
        <v>0</v>
      </c>
      <c r="AW232" s="365">
        <v>0</v>
      </c>
      <c r="AX232" s="365">
        <v>0</v>
      </c>
      <c r="AY232" s="365">
        <v>0</v>
      </c>
      <c r="AZ232" s="365">
        <v>0</v>
      </c>
      <c r="BA232" s="365">
        <v>0</v>
      </c>
      <c r="BB232" s="365">
        <v>0</v>
      </c>
      <c r="BC232" s="365">
        <v>0</v>
      </c>
      <c r="BD232" s="365">
        <v>0</v>
      </c>
      <c r="BE232" s="365">
        <v>0</v>
      </c>
      <c r="BF232" s="365">
        <v>0</v>
      </c>
      <c r="BG232" s="365">
        <v>0</v>
      </c>
      <c r="BH232" s="365">
        <v>0</v>
      </c>
      <c r="BI232" s="365">
        <v>0</v>
      </c>
      <c r="BJ232" s="365">
        <v>0</v>
      </c>
      <c r="BK232" s="365">
        <v>0</v>
      </c>
      <c r="BL232" s="365">
        <v>0</v>
      </c>
      <c r="BM232" s="365">
        <v>0</v>
      </c>
      <c r="BN232" s="365">
        <v>0</v>
      </c>
      <c r="BO232" s="365">
        <v>0</v>
      </c>
      <c r="BP232" s="365">
        <v>0</v>
      </c>
      <c r="BQ232" s="365">
        <v>0</v>
      </c>
      <c r="BR232" s="365">
        <v>0</v>
      </c>
      <c r="BS232" s="365">
        <v>0</v>
      </c>
      <c r="BT232" s="365">
        <v>0</v>
      </c>
      <c r="BU232" s="365">
        <v>0</v>
      </c>
      <c r="BV232" s="365">
        <v>0</v>
      </c>
      <c r="BW232" s="365">
        <v>0</v>
      </c>
      <c r="BX232" s="365">
        <v>0</v>
      </c>
      <c r="BY232" s="365">
        <v>0</v>
      </c>
      <c r="BZ232" s="365">
        <v>0</v>
      </c>
      <c r="CA232" s="365">
        <v>0</v>
      </c>
      <c r="CB232" s="365">
        <v>0</v>
      </c>
      <c r="CC232" s="365">
        <v>0</v>
      </c>
    </row>
    <row r="233" spans="1:81" s="32" customFormat="1" ht="15.75" thickBot="1" x14ac:dyDescent="0.25">
      <c r="A233" s="185"/>
      <c r="B233" s="184">
        <f ca="1">INDIRECT("B" &amp; (157 + ROWS($A$1:A12)))</f>
        <v>0</v>
      </c>
      <c r="D233" s="100" t="e">
        <f t="shared" si="37"/>
        <v>#N/A</v>
      </c>
      <c r="F233" s="203">
        <f t="shared" si="38"/>
        <v>0</v>
      </c>
      <c r="J233" s="365">
        <v>0</v>
      </c>
      <c r="K233" s="365">
        <v>0</v>
      </c>
      <c r="L233" s="365">
        <v>0</v>
      </c>
      <c r="M233" s="365">
        <v>0</v>
      </c>
      <c r="N233" s="365">
        <v>0</v>
      </c>
      <c r="O233" s="365">
        <v>0</v>
      </c>
      <c r="P233" s="365">
        <v>0</v>
      </c>
      <c r="Q233" s="365">
        <v>0</v>
      </c>
      <c r="R233" s="365">
        <v>0</v>
      </c>
      <c r="S233" s="365">
        <v>0</v>
      </c>
      <c r="T233" s="365">
        <v>0</v>
      </c>
      <c r="U233" s="365">
        <v>0</v>
      </c>
      <c r="V233" s="365">
        <v>0</v>
      </c>
      <c r="W233" s="365">
        <v>0</v>
      </c>
      <c r="X233" s="365">
        <v>0</v>
      </c>
      <c r="Y233" s="365">
        <v>0</v>
      </c>
      <c r="Z233" s="365">
        <v>0</v>
      </c>
      <c r="AA233" s="365">
        <v>0</v>
      </c>
      <c r="AB233" s="365">
        <v>0</v>
      </c>
      <c r="AC233" s="365">
        <v>0</v>
      </c>
      <c r="AD233" s="365">
        <v>0</v>
      </c>
      <c r="AE233" s="365">
        <v>0</v>
      </c>
      <c r="AF233" s="365">
        <v>0</v>
      </c>
      <c r="AG233" s="365">
        <v>0</v>
      </c>
      <c r="AH233" s="365">
        <v>0</v>
      </c>
      <c r="AI233" s="365">
        <v>0</v>
      </c>
      <c r="AJ233" s="365">
        <v>0</v>
      </c>
      <c r="AK233" s="365">
        <v>0</v>
      </c>
      <c r="AL233" s="365">
        <v>0</v>
      </c>
      <c r="AM233" s="365">
        <v>0</v>
      </c>
      <c r="AN233" s="365">
        <v>0</v>
      </c>
      <c r="AO233" s="365">
        <v>0</v>
      </c>
      <c r="AP233" s="365">
        <v>0</v>
      </c>
      <c r="AQ233" s="365">
        <v>0</v>
      </c>
      <c r="AR233" s="365">
        <v>0</v>
      </c>
      <c r="AS233" s="365">
        <v>0</v>
      </c>
      <c r="AT233" s="365">
        <v>0</v>
      </c>
      <c r="AU233" s="365">
        <v>0</v>
      </c>
      <c r="AV233" s="365">
        <v>0</v>
      </c>
      <c r="AW233" s="365">
        <v>0</v>
      </c>
      <c r="AX233" s="365">
        <v>0</v>
      </c>
      <c r="AY233" s="365">
        <v>0</v>
      </c>
      <c r="AZ233" s="365">
        <v>0</v>
      </c>
      <c r="BA233" s="365">
        <v>0</v>
      </c>
      <c r="BB233" s="365">
        <v>0</v>
      </c>
      <c r="BC233" s="365">
        <v>0</v>
      </c>
      <c r="BD233" s="365">
        <v>0</v>
      </c>
      <c r="BE233" s="365">
        <v>0</v>
      </c>
      <c r="BF233" s="365">
        <v>0</v>
      </c>
      <c r="BG233" s="365">
        <v>0</v>
      </c>
      <c r="BH233" s="365">
        <v>0</v>
      </c>
      <c r="BI233" s="365">
        <v>0</v>
      </c>
      <c r="BJ233" s="365">
        <v>0</v>
      </c>
      <c r="BK233" s="365">
        <v>0</v>
      </c>
      <c r="BL233" s="365">
        <v>0</v>
      </c>
      <c r="BM233" s="365">
        <v>0</v>
      </c>
      <c r="BN233" s="365">
        <v>0</v>
      </c>
      <c r="BO233" s="365">
        <v>0</v>
      </c>
      <c r="BP233" s="365">
        <v>0</v>
      </c>
      <c r="BQ233" s="365">
        <v>0</v>
      </c>
      <c r="BR233" s="365">
        <v>0</v>
      </c>
      <c r="BS233" s="365">
        <v>0</v>
      </c>
      <c r="BT233" s="365">
        <v>0</v>
      </c>
      <c r="BU233" s="365">
        <v>0</v>
      </c>
      <c r="BV233" s="365">
        <v>0</v>
      </c>
      <c r="BW233" s="365">
        <v>0</v>
      </c>
      <c r="BX233" s="365">
        <v>0</v>
      </c>
      <c r="BY233" s="365">
        <v>0</v>
      </c>
      <c r="BZ233" s="365">
        <v>0</v>
      </c>
      <c r="CA233" s="365">
        <v>0</v>
      </c>
      <c r="CB233" s="365">
        <v>0</v>
      </c>
      <c r="CC233" s="365">
        <v>0</v>
      </c>
    </row>
    <row r="234" spans="1:81" s="32" customFormat="1" ht="15.75" thickBot="1" x14ac:dyDescent="0.25">
      <c r="A234" s="185"/>
      <c r="B234" s="184">
        <f ca="1">INDIRECT("B" &amp; (157 + ROWS($A$1:A13)))</f>
        <v>0</v>
      </c>
      <c r="D234" s="100" t="e">
        <f t="shared" si="37"/>
        <v>#N/A</v>
      </c>
      <c r="F234" s="203">
        <f t="shared" si="38"/>
        <v>0</v>
      </c>
      <c r="J234" s="365">
        <v>0</v>
      </c>
      <c r="K234" s="365">
        <v>0</v>
      </c>
      <c r="L234" s="365">
        <v>0</v>
      </c>
      <c r="M234" s="365">
        <v>0</v>
      </c>
      <c r="N234" s="365">
        <v>0</v>
      </c>
      <c r="O234" s="365">
        <v>0</v>
      </c>
      <c r="P234" s="365">
        <v>0</v>
      </c>
      <c r="Q234" s="365">
        <v>0</v>
      </c>
      <c r="R234" s="365">
        <v>0</v>
      </c>
      <c r="S234" s="365">
        <v>0</v>
      </c>
      <c r="T234" s="365">
        <v>0</v>
      </c>
      <c r="U234" s="365">
        <v>0</v>
      </c>
      <c r="V234" s="365">
        <v>0</v>
      </c>
      <c r="W234" s="365">
        <v>0</v>
      </c>
      <c r="X234" s="365">
        <v>0</v>
      </c>
      <c r="Y234" s="365">
        <v>0</v>
      </c>
      <c r="Z234" s="365">
        <v>0</v>
      </c>
      <c r="AA234" s="365">
        <v>0</v>
      </c>
      <c r="AB234" s="365">
        <v>0</v>
      </c>
      <c r="AC234" s="365">
        <v>0</v>
      </c>
      <c r="AD234" s="365">
        <v>0</v>
      </c>
      <c r="AE234" s="365">
        <v>0</v>
      </c>
      <c r="AF234" s="365">
        <v>0</v>
      </c>
      <c r="AG234" s="365">
        <v>0</v>
      </c>
      <c r="AH234" s="365">
        <v>0</v>
      </c>
      <c r="AI234" s="365">
        <v>0</v>
      </c>
      <c r="AJ234" s="365">
        <v>0</v>
      </c>
      <c r="AK234" s="365">
        <v>0</v>
      </c>
      <c r="AL234" s="365">
        <v>0</v>
      </c>
      <c r="AM234" s="365">
        <v>0</v>
      </c>
      <c r="AN234" s="365">
        <v>0</v>
      </c>
      <c r="AO234" s="365">
        <v>0</v>
      </c>
      <c r="AP234" s="365">
        <v>0</v>
      </c>
      <c r="AQ234" s="365">
        <v>0</v>
      </c>
      <c r="AR234" s="365">
        <v>0</v>
      </c>
      <c r="AS234" s="365">
        <v>0</v>
      </c>
      <c r="AT234" s="365">
        <v>0</v>
      </c>
      <c r="AU234" s="365">
        <v>0</v>
      </c>
      <c r="AV234" s="365">
        <v>0</v>
      </c>
      <c r="AW234" s="365">
        <v>0</v>
      </c>
      <c r="AX234" s="365">
        <v>0</v>
      </c>
      <c r="AY234" s="365">
        <v>0</v>
      </c>
      <c r="AZ234" s="365">
        <v>0</v>
      </c>
      <c r="BA234" s="365">
        <v>0</v>
      </c>
      <c r="BB234" s="365">
        <v>0</v>
      </c>
      <c r="BC234" s="365">
        <v>0</v>
      </c>
      <c r="BD234" s="365">
        <v>0</v>
      </c>
      <c r="BE234" s="365">
        <v>0</v>
      </c>
      <c r="BF234" s="365">
        <v>0</v>
      </c>
      <c r="BG234" s="365">
        <v>0</v>
      </c>
      <c r="BH234" s="365">
        <v>0</v>
      </c>
      <c r="BI234" s="365">
        <v>0</v>
      </c>
      <c r="BJ234" s="365">
        <v>0</v>
      </c>
      <c r="BK234" s="365">
        <v>0</v>
      </c>
      <c r="BL234" s="365">
        <v>0</v>
      </c>
      <c r="BM234" s="365">
        <v>0</v>
      </c>
      <c r="BN234" s="365">
        <v>0</v>
      </c>
      <c r="BO234" s="365">
        <v>0</v>
      </c>
      <c r="BP234" s="365">
        <v>0</v>
      </c>
      <c r="BQ234" s="365">
        <v>0</v>
      </c>
      <c r="BR234" s="365">
        <v>0</v>
      </c>
      <c r="BS234" s="365">
        <v>0</v>
      </c>
      <c r="BT234" s="365">
        <v>0</v>
      </c>
      <c r="BU234" s="365">
        <v>0</v>
      </c>
      <c r="BV234" s="365">
        <v>0</v>
      </c>
      <c r="BW234" s="365">
        <v>0</v>
      </c>
      <c r="BX234" s="365">
        <v>0</v>
      </c>
      <c r="BY234" s="365">
        <v>0</v>
      </c>
      <c r="BZ234" s="365">
        <v>0</v>
      </c>
      <c r="CA234" s="365">
        <v>0</v>
      </c>
      <c r="CB234" s="365">
        <v>0</v>
      </c>
      <c r="CC234" s="365">
        <v>0</v>
      </c>
    </row>
    <row r="235" spans="1:81" s="32" customFormat="1" ht="15.75" thickBot="1" x14ac:dyDescent="0.25">
      <c r="A235" s="185"/>
      <c r="B235" s="184">
        <f ca="1">INDIRECT("B" &amp; (157 + ROWS($A$1:A14)))</f>
        <v>0</v>
      </c>
      <c r="D235" s="100" t="e">
        <f t="shared" si="37"/>
        <v>#N/A</v>
      </c>
      <c r="F235" s="203">
        <f t="shared" si="38"/>
        <v>0</v>
      </c>
      <c r="J235" s="365">
        <v>0</v>
      </c>
      <c r="K235" s="365">
        <v>0</v>
      </c>
      <c r="L235" s="365">
        <v>0</v>
      </c>
      <c r="M235" s="365">
        <v>0</v>
      </c>
      <c r="N235" s="365">
        <v>0</v>
      </c>
      <c r="O235" s="365">
        <v>0</v>
      </c>
      <c r="P235" s="365">
        <v>0</v>
      </c>
      <c r="Q235" s="365">
        <v>0</v>
      </c>
      <c r="R235" s="365">
        <v>0</v>
      </c>
      <c r="S235" s="365">
        <v>0</v>
      </c>
      <c r="T235" s="365">
        <v>0</v>
      </c>
      <c r="U235" s="365">
        <v>0</v>
      </c>
      <c r="V235" s="365">
        <v>0</v>
      </c>
      <c r="W235" s="365">
        <v>0</v>
      </c>
      <c r="X235" s="365">
        <v>0</v>
      </c>
      <c r="Y235" s="365">
        <v>0</v>
      </c>
      <c r="Z235" s="365">
        <v>0</v>
      </c>
      <c r="AA235" s="365">
        <v>0</v>
      </c>
      <c r="AB235" s="365">
        <v>0</v>
      </c>
      <c r="AC235" s="365">
        <v>0</v>
      </c>
      <c r="AD235" s="365">
        <v>0</v>
      </c>
      <c r="AE235" s="365">
        <v>0</v>
      </c>
      <c r="AF235" s="365">
        <v>0</v>
      </c>
      <c r="AG235" s="365">
        <v>0</v>
      </c>
      <c r="AH235" s="365">
        <v>0</v>
      </c>
      <c r="AI235" s="365">
        <v>0</v>
      </c>
      <c r="AJ235" s="365">
        <v>0</v>
      </c>
      <c r="AK235" s="365">
        <v>0</v>
      </c>
      <c r="AL235" s="365">
        <v>0</v>
      </c>
      <c r="AM235" s="365">
        <v>0</v>
      </c>
      <c r="AN235" s="365">
        <v>0</v>
      </c>
      <c r="AO235" s="365">
        <v>0</v>
      </c>
      <c r="AP235" s="365">
        <v>0</v>
      </c>
      <c r="AQ235" s="365">
        <v>0</v>
      </c>
      <c r="AR235" s="365">
        <v>0</v>
      </c>
      <c r="AS235" s="365">
        <v>0</v>
      </c>
      <c r="AT235" s="365">
        <v>0</v>
      </c>
      <c r="AU235" s="365">
        <v>0</v>
      </c>
      <c r="AV235" s="365">
        <v>0</v>
      </c>
      <c r="AW235" s="365">
        <v>0</v>
      </c>
      <c r="AX235" s="365">
        <v>0</v>
      </c>
      <c r="AY235" s="365">
        <v>0</v>
      </c>
      <c r="AZ235" s="365">
        <v>0</v>
      </c>
      <c r="BA235" s="365">
        <v>0</v>
      </c>
      <c r="BB235" s="365">
        <v>0</v>
      </c>
      <c r="BC235" s="365">
        <v>0</v>
      </c>
      <c r="BD235" s="365">
        <v>0</v>
      </c>
      <c r="BE235" s="365">
        <v>0</v>
      </c>
      <c r="BF235" s="365">
        <v>0</v>
      </c>
      <c r="BG235" s="365">
        <v>0</v>
      </c>
      <c r="BH235" s="365">
        <v>0</v>
      </c>
      <c r="BI235" s="365">
        <v>0</v>
      </c>
      <c r="BJ235" s="365">
        <v>0</v>
      </c>
      <c r="BK235" s="365">
        <v>0</v>
      </c>
      <c r="BL235" s="365">
        <v>0</v>
      </c>
      <c r="BM235" s="365">
        <v>0</v>
      </c>
      <c r="BN235" s="365">
        <v>0</v>
      </c>
      <c r="BO235" s="365">
        <v>0</v>
      </c>
      <c r="BP235" s="365">
        <v>0</v>
      </c>
      <c r="BQ235" s="365">
        <v>0</v>
      </c>
      <c r="BR235" s="365">
        <v>0</v>
      </c>
      <c r="BS235" s="365">
        <v>0</v>
      </c>
      <c r="BT235" s="365">
        <v>0</v>
      </c>
      <c r="BU235" s="365">
        <v>0</v>
      </c>
      <c r="BV235" s="365">
        <v>0</v>
      </c>
      <c r="BW235" s="365">
        <v>0</v>
      </c>
      <c r="BX235" s="365">
        <v>0</v>
      </c>
      <c r="BY235" s="365">
        <v>0</v>
      </c>
      <c r="BZ235" s="365">
        <v>0</v>
      </c>
      <c r="CA235" s="365">
        <v>0</v>
      </c>
      <c r="CB235" s="365">
        <v>0</v>
      </c>
      <c r="CC235" s="365">
        <v>0</v>
      </c>
    </row>
    <row r="236" spans="1:81" s="32" customFormat="1" ht="15.75" thickBot="1" x14ac:dyDescent="0.25">
      <c r="A236" s="185"/>
      <c r="B236" s="184">
        <f ca="1">INDIRECT("B" &amp; (157 + ROWS($A$1:A15)))</f>
        <v>0</v>
      </c>
      <c r="D236" s="100" t="e">
        <f t="shared" si="37"/>
        <v>#N/A</v>
      </c>
      <c r="F236" s="203">
        <f t="shared" si="38"/>
        <v>0</v>
      </c>
      <c r="J236" s="365">
        <v>0</v>
      </c>
      <c r="K236" s="365">
        <v>0</v>
      </c>
      <c r="L236" s="365">
        <v>0</v>
      </c>
      <c r="M236" s="365">
        <v>0</v>
      </c>
      <c r="N236" s="365">
        <v>0</v>
      </c>
      <c r="O236" s="365">
        <v>0</v>
      </c>
      <c r="P236" s="365">
        <v>0</v>
      </c>
      <c r="Q236" s="365">
        <v>0</v>
      </c>
      <c r="R236" s="365">
        <v>0</v>
      </c>
      <c r="S236" s="365">
        <v>0</v>
      </c>
      <c r="T236" s="365">
        <v>0</v>
      </c>
      <c r="U236" s="365">
        <v>0</v>
      </c>
      <c r="V236" s="365">
        <v>0</v>
      </c>
      <c r="W236" s="365">
        <v>0</v>
      </c>
      <c r="X236" s="365">
        <v>0</v>
      </c>
      <c r="Y236" s="365">
        <v>0</v>
      </c>
      <c r="Z236" s="365">
        <v>0</v>
      </c>
      <c r="AA236" s="365">
        <v>0</v>
      </c>
      <c r="AB236" s="365">
        <v>0</v>
      </c>
      <c r="AC236" s="365">
        <v>0</v>
      </c>
      <c r="AD236" s="365">
        <v>0</v>
      </c>
      <c r="AE236" s="365">
        <v>0</v>
      </c>
      <c r="AF236" s="365">
        <v>0</v>
      </c>
      <c r="AG236" s="365">
        <v>0</v>
      </c>
      <c r="AH236" s="365">
        <v>0</v>
      </c>
      <c r="AI236" s="365">
        <v>0</v>
      </c>
      <c r="AJ236" s="365">
        <v>0</v>
      </c>
      <c r="AK236" s="365">
        <v>0</v>
      </c>
      <c r="AL236" s="365">
        <v>0</v>
      </c>
      <c r="AM236" s="365">
        <v>0</v>
      </c>
      <c r="AN236" s="365">
        <v>0</v>
      </c>
      <c r="AO236" s="365">
        <v>0</v>
      </c>
      <c r="AP236" s="365">
        <v>0</v>
      </c>
      <c r="AQ236" s="365">
        <v>0</v>
      </c>
      <c r="AR236" s="365">
        <v>0</v>
      </c>
      <c r="AS236" s="365">
        <v>0</v>
      </c>
      <c r="AT236" s="365">
        <v>0</v>
      </c>
      <c r="AU236" s="365">
        <v>0</v>
      </c>
      <c r="AV236" s="365">
        <v>0</v>
      </c>
      <c r="AW236" s="365">
        <v>0</v>
      </c>
      <c r="AX236" s="365">
        <v>0</v>
      </c>
      <c r="AY236" s="365">
        <v>0</v>
      </c>
      <c r="AZ236" s="365">
        <v>0</v>
      </c>
      <c r="BA236" s="365">
        <v>0</v>
      </c>
      <c r="BB236" s="365">
        <v>0</v>
      </c>
      <c r="BC236" s="365">
        <v>0</v>
      </c>
      <c r="BD236" s="365">
        <v>0</v>
      </c>
      <c r="BE236" s="365">
        <v>0</v>
      </c>
      <c r="BF236" s="365">
        <v>0</v>
      </c>
      <c r="BG236" s="365">
        <v>0</v>
      </c>
      <c r="BH236" s="365">
        <v>0</v>
      </c>
      <c r="BI236" s="365">
        <v>0</v>
      </c>
      <c r="BJ236" s="365">
        <v>0</v>
      </c>
      <c r="BK236" s="365">
        <v>0</v>
      </c>
      <c r="BL236" s="365">
        <v>0</v>
      </c>
      <c r="BM236" s="365">
        <v>0</v>
      </c>
      <c r="BN236" s="365">
        <v>0</v>
      </c>
      <c r="BO236" s="365">
        <v>0</v>
      </c>
      <c r="BP236" s="365">
        <v>0</v>
      </c>
      <c r="BQ236" s="365">
        <v>0</v>
      </c>
      <c r="BR236" s="365">
        <v>0</v>
      </c>
      <c r="BS236" s="365">
        <v>0</v>
      </c>
      <c r="BT236" s="365">
        <v>0</v>
      </c>
      <c r="BU236" s="365">
        <v>0</v>
      </c>
      <c r="BV236" s="365">
        <v>0</v>
      </c>
      <c r="BW236" s="365">
        <v>0</v>
      </c>
      <c r="BX236" s="365">
        <v>0</v>
      </c>
      <c r="BY236" s="365">
        <v>0</v>
      </c>
      <c r="BZ236" s="365">
        <v>0</v>
      </c>
      <c r="CA236" s="365">
        <v>0</v>
      </c>
      <c r="CB236" s="365">
        <v>0</v>
      </c>
      <c r="CC236" s="365">
        <v>0</v>
      </c>
    </row>
    <row r="237" spans="1:81" s="32" customFormat="1" ht="15.75" thickBot="1" x14ac:dyDescent="0.25">
      <c r="A237" s="185"/>
      <c r="B237" s="184">
        <f ca="1">INDIRECT("B" &amp; (157 + ROWS($A$1:A16)))</f>
        <v>0</v>
      </c>
      <c r="D237" s="100" t="e">
        <f t="shared" si="37"/>
        <v>#N/A</v>
      </c>
      <c r="F237" s="203">
        <f t="shared" si="38"/>
        <v>0</v>
      </c>
      <c r="J237" s="365">
        <v>0</v>
      </c>
      <c r="K237" s="365">
        <v>0</v>
      </c>
      <c r="L237" s="365">
        <v>0</v>
      </c>
      <c r="M237" s="365">
        <v>0</v>
      </c>
      <c r="N237" s="365">
        <v>0</v>
      </c>
      <c r="O237" s="365">
        <v>0</v>
      </c>
      <c r="P237" s="365">
        <v>0</v>
      </c>
      <c r="Q237" s="365">
        <v>0</v>
      </c>
      <c r="R237" s="365">
        <v>0</v>
      </c>
      <c r="S237" s="365">
        <v>0</v>
      </c>
      <c r="T237" s="365">
        <v>0</v>
      </c>
      <c r="U237" s="365">
        <v>0</v>
      </c>
      <c r="V237" s="365">
        <v>0</v>
      </c>
      <c r="W237" s="365">
        <v>0</v>
      </c>
      <c r="X237" s="365">
        <v>0</v>
      </c>
      <c r="Y237" s="365">
        <v>0</v>
      </c>
      <c r="Z237" s="365">
        <v>0</v>
      </c>
      <c r="AA237" s="365">
        <v>0</v>
      </c>
      <c r="AB237" s="365">
        <v>0</v>
      </c>
      <c r="AC237" s="365">
        <v>0</v>
      </c>
      <c r="AD237" s="365">
        <v>0</v>
      </c>
      <c r="AE237" s="365">
        <v>0</v>
      </c>
      <c r="AF237" s="365">
        <v>0</v>
      </c>
      <c r="AG237" s="365">
        <v>0</v>
      </c>
      <c r="AH237" s="365">
        <v>0</v>
      </c>
      <c r="AI237" s="365">
        <v>0</v>
      </c>
      <c r="AJ237" s="365">
        <v>0</v>
      </c>
      <c r="AK237" s="365">
        <v>0</v>
      </c>
      <c r="AL237" s="365">
        <v>0</v>
      </c>
      <c r="AM237" s="365">
        <v>0</v>
      </c>
      <c r="AN237" s="365">
        <v>0</v>
      </c>
      <c r="AO237" s="365">
        <v>0</v>
      </c>
      <c r="AP237" s="365">
        <v>0</v>
      </c>
      <c r="AQ237" s="365">
        <v>0</v>
      </c>
      <c r="AR237" s="365">
        <v>0</v>
      </c>
      <c r="AS237" s="365">
        <v>0</v>
      </c>
      <c r="AT237" s="365">
        <v>0</v>
      </c>
      <c r="AU237" s="365">
        <v>0</v>
      </c>
      <c r="AV237" s="365">
        <v>0</v>
      </c>
      <c r="AW237" s="365">
        <v>0</v>
      </c>
      <c r="AX237" s="365">
        <v>0</v>
      </c>
      <c r="AY237" s="365">
        <v>0</v>
      </c>
      <c r="AZ237" s="365">
        <v>0</v>
      </c>
      <c r="BA237" s="365">
        <v>0</v>
      </c>
      <c r="BB237" s="365">
        <v>0</v>
      </c>
      <c r="BC237" s="365">
        <v>0</v>
      </c>
      <c r="BD237" s="365">
        <v>0</v>
      </c>
      <c r="BE237" s="365">
        <v>0</v>
      </c>
      <c r="BF237" s="365">
        <v>0</v>
      </c>
      <c r="BG237" s="365">
        <v>0</v>
      </c>
      <c r="BH237" s="365">
        <v>0</v>
      </c>
      <c r="BI237" s="365">
        <v>0</v>
      </c>
      <c r="BJ237" s="365">
        <v>0</v>
      </c>
      <c r="BK237" s="365">
        <v>0</v>
      </c>
      <c r="BL237" s="365">
        <v>0</v>
      </c>
      <c r="BM237" s="365">
        <v>0</v>
      </c>
      <c r="BN237" s="365">
        <v>0</v>
      </c>
      <c r="BO237" s="365">
        <v>0</v>
      </c>
      <c r="BP237" s="365">
        <v>0</v>
      </c>
      <c r="BQ237" s="365">
        <v>0</v>
      </c>
      <c r="BR237" s="365">
        <v>0</v>
      </c>
      <c r="BS237" s="365">
        <v>0</v>
      </c>
      <c r="BT237" s="365">
        <v>0</v>
      </c>
      <c r="BU237" s="365">
        <v>0</v>
      </c>
      <c r="BV237" s="365">
        <v>0</v>
      </c>
      <c r="BW237" s="365">
        <v>0</v>
      </c>
      <c r="BX237" s="365">
        <v>0</v>
      </c>
      <c r="BY237" s="365">
        <v>0</v>
      </c>
      <c r="BZ237" s="365">
        <v>0</v>
      </c>
      <c r="CA237" s="365">
        <v>0</v>
      </c>
      <c r="CB237" s="365">
        <v>0</v>
      </c>
      <c r="CC237" s="365">
        <v>0</v>
      </c>
    </row>
    <row r="238" spans="1:81" s="32" customFormat="1" ht="15.75" thickBot="1" x14ac:dyDescent="0.25">
      <c r="A238" s="185"/>
      <c r="B238" s="184">
        <f ca="1">INDIRECT("B" &amp; (157 + ROWS($A$1:A17)))</f>
        <v>0</v>
      </c>
      <c r="D238" s="100" t="e">
        <f t="shared" si="37"/>
        <v>#N/A</v>
      </c>
      <c r="F238" s="203">
        <f t="shared" si="38"/>
        <v>0</v>
      </c>
      <c r="J238" s="365">
        <v>0</v>
      </c>
      <c r="K238" s="365">
        <v>0</v>
      </c>
      <c r="L238" s="365">
        <v>0</v>
      </c>
      <c r="M238" s="365">
        <v>0</v>
      </c>
      <c r="N238" s="365">
        <v>0</v>
      </c>
      <c r="O238" s="365">
        <v>0</v>
      </c>
      <c r="P238" s="365">
        <v>0</v>
      </c>
      <c r="Q238" s="365">
        <v>0</v>
      </c>
      <c r="R238" s="365">
        <v>0</v>
      </c>
      <c r="S238" s="365">
        <v>0</v>
      </c>
      <c r="T238" s="365">
        <v>0</v>
      </c>
      <c r="U238" s="365">
        <v>0</v>
      </c>
      <c r="V238" s="365">
        <v>0</v>
      </c>
      <c r="W238" s="365">
        <v>0</v>
      </c>
      <c r="X238" s="365">
        <v>0</v>
      </c>
      <c r="Y238" s="365">
        <v>0</v>
      </c>
      <c r="Z238" s="365">
        <v>0</v>
      </c>
      <c r="AA238" s="365">
        <v>0</v>
      </c>
      <c r="AB238" s="365">
        <v>0</v>
      </c>
      <c r="AC238" s="365">
        <v>0</v>
      </c>
      <c r="AD238" s="365">
        <v>0</v>
      </c>
      <c r="AE238" s="365">
        <v>0</v>
      </c>
      <c r="AF238" s="365">
        <v>0</v>
      </c>
      <c r="AG238" s="365">
        <v>0</v>
      </c>
      <c r="AH238" s="365">
        <v>0</v>
      </c>
      <c r="AI238" s="365">
        <v>0</v>
      </c>
      <c r="AJ238" s="365">
        <v>0</v>
      </c>
      <c r="AK238" s="365">
        <v>0</v>
      </c>
      <c r="AL238" s="365">
        <v>0</v>
      </c>
      <c r="AM238" s="365">
        <v>0</v>
      </c>
      <c r="AN238" s="365">
        <v>0</v>
      </c>
      <c r="AO238" s="365">
        <v>0</v>
      </c>
      <c r="AP238" s="365">
        <v>0</v>
      </c>
      <c r="AQ238" s="365">
        <v>0</v>
      </c>
      <c r="AR238" s="365">
        <v>0</v>
      </c>
      <c r="AS238" s="365">
        <v>0</v>
      </c>
      <c r="AT238" s="365">
        <v>0</v>
      </c>
      <c r="AU238" s="365">
        <v>0</v>
      </c>
      <c r="AV238" s="365">
        <v>0</v>
      </c>
      <c r="AW238" s="365">
        <v>0</v>
      </c>
      <c r="AX238" s="365">
        <v>0</v>
      </c>
      <c r="AY238" s="365">
        <v>0</v>
      </c>
      <c r="AZ238" s="365">
        <v>0</v>
      </c>
      <c r="BA238" s="365">
        <v>0</v>
      </c>
      <c r="BB238" s="365">
        <v>0</v>
      </c>
      <c r="BC238" s="365">
        <v>0</v>
      </c>
      <c r="BD238" s="365">
        <v>0</v>
      </c>
      <c r="BE238" s="365">
        <v>0</v>
      </c>
      <c r="BF238" s="365">
        <v>0</v>
      </c>
      <c r="BG238" s="365">
        <v>0</v>
      </c>
      <c r="BH238" s="365">
        <v>0</v>
      </c>
      <c r="BI238" s="365">
        <v>0</v>
      </c>
      <c r="BJ238" s="365">
        <v>0</v>
      </c>
      <c r="BK238" s="365">
        <v>0</v>
      </c>
      <c r="BL238" s="365">
        <v>0</v>
      </c>
      <c r="BM238" s="365">
        <v>0</v>
      </c>
      <c r="BN238" s="365">
        <v>0</v>
      </c>
      <c r="BO238" s="365">
        <v>0</v>
      </c>
      <c r="BP238" s="365">
        <v>0</v>
      </c>
      <c r="BQ238" s="365">
        <v>0</v>
      </c>
      <c r="BR238" s="365">
        <v>0</v>
      </c>
      <c r="BS238" s="365">
        <v>0</v>
      </c>
      <c r="BT238" s="365">
        <v>0</v>
      </c>
      <c r="BU238" s="365">
        <v>0</v>
      </c>
      <c r="BV238" s="365">
        <v>0</v>
      </c>
      <c r="BW238" s="365">
        <v>0</v>
      </c>
      <c r="BX238" s="365">
        <v>0</v>
      </c>
      <c r="BY238" s="365">
        <v>0</v>
      </c>
      <c r="BZ238" s="365">
        <v>0</v>
      </c>
      <c r="CA238" s="365">
        <v>0</v>
      </c>
      <c r="CB238" s="365">
        <v>0</v>
      </c>
      <c r="CC238" s="365">
        <v>0</v>
      </c>
    </row>
    <row r="239" spans="1:81" s="32" customFormat="1" ht="15.75" thickBot="1" x14ac:dyDescent="0.25">
      <c r="A239" s="185"/>
      <c r="B239" s="184">
        <f ca="1">INDIRECT("B" &amp; (157 + ROWS($A$1:A18)))</f>
        <v>0</v>
      </c>
      <c r="D239" s="100" t="e">
        <f t="shared" si="37"/>
        <v>#N/A</v>
      </c>
      <c r="F239" s="203">
        <f t="shared" si="38"/>
        <v>0</v>
      </c>
      <c r="J239" s="365">
        <v>0</v>
      </c>
      <c r="K239" s="365">
        <v>0</v>
      </c>
      <c r="L239" s="365">
        <v>0</v>
      </c>
      <c r="M239" s="365">
        <v>0</v>
      </c>
      <c r="N239" s="365">
        <v>0</v>
      </c>
      <c r="O239" s="365">
        <v>0</v>
      </c>
      <c r="P239" s="365">
        <v>0</v>
      </c>
      <c r="Q239" s="365">
        <v>0</v>
      </c>
      <c r="R239" s="365">
        <v>0</v>
      </c>
      <c r="S239" s="365">
        <v>0</v>
      </c>
      <c r="T239" s="365">
        <v>0</v>
      </c>
      <c r="U239" s="365">
        <v>0</v>
      </c>
      <c r="V239" s="365">
        <v>0</v>
      </c>
      <c r="W239" s="365">
        <v>0</v>
      </c>
      <c r="X239" s="365">
        <v>0</v>
      </c>
      <c r="Y239" s="365">
        <v>0</v>
      </c>
      <c r="Z239" s="365">
        <v>0</v>
      </c>
      <c r="AA239" s="365">
        <v>0</v>
      </c>
      <c r="AB239" s="365">
        <v>0</v>
      </c>
      <c r="AC239" s="365">
        <v>0</v>
      </c>
      <c r="AD239" s="365">
        <v>0</v>
      </c>
      <c r="AE239" s="365">
        <v>0</v>
      </c>
      <c r="AF239" s="365">
        <v>0</v>
      </c>
      <c r="AG239" s="365">
        <v>0</v>
      </c>
      <c r="AH239" s="365">
        <v>0</v>
      </c>
      <c r="AI239" s="365">
        <v>0</v>
      </c>
      <c r="AJ239" s="365">
        <v>0</v>
      </c>
      <c r="AK239" s="365">
        <v>0</v>
      </c>
      <c r="AL239" s="365">
        <v>0</v>
      </c>
      <c r="AM239" s="365">
        <v>0</v>
      </c>
      <c r="AN239" s="365">
        <v>0</v>
      </c>
      <c r="AO239" s="365">
        <v>0</v>
      </c>
      <c r="AP239" s="365">
        <v>0</v>
      </c>
      <c r="AQ239" s="365">
        <v>0</v>
      </c>
      <c r="AR239" s="365">
        <v>0</v>
      </c>
      <c r="AS239" s="365">
        <v>0</v>
      </c>
      <c r="AT239" s="365">
        <v>0</v>
      </c>
      <c r="AU239" s="365">
        <v>0</v>
      </c>
      <c r="AV239" s="365">
        <v>0</v>
      </c>
      <c r="AW239" s="365">
        <v>0</v>
      </c>
      <c r="AX239" s="365">
        <v>0</v>
      </c>
      <c r="AY239" s="365">
        <v>0</v>
      </c>
      <c r="AZ239" s="365">
        <v>0</v>
      </c>
      <c r="BA239" s="365">
        <v>0</v>
      </c>
      <c r="BB239" s="365">
        <v>0</v>
      </c>
      <c r="BC239" s="365">
        <v>0</v>
      </c>
      <c r="BD239" s="365">
        <v>0</v>
      </c>
      <c r="BE239" s="365">
        <v>0</v>
      </c>
      <c r="BF239" s="365">
        <v>0</v>
      </c>
      <c r="BG239" s="365">
        <v>0</v>
      </c>
      <c r="BH239" s="365">
        <v>0</v>
      </c>
      <c r="BI239" s="365">
        <v>0</v>
      </c>
      <c r="BJ239" s="365">
        <v>0</v>
      </c>
      <c r="BK239" s="365">
        <v>0</v>
      </c>
      <c r="BL239" s="365">
        <v>0</v>
      </c>
      <c r="BM239" s="365">
        <v>0</v>
      </c>
      <c r="BN239" s="365">
        <v>0</v>
      </c>
      <c r="BO239" s="365">
        <v>0</v>
      </c>
      <c r="BP239" s="365">
        <v>0</v>
      </c>
      <c r="BQ239" s="365">
        <v>0</v>
      </c>
      <c r="BR239" s="365">
        <v>0</v>
      </c>
      <c r="BS239" s="365">
        <v>0</v>
      </c>
      <c r="BT239" s="365">
        <v>0</v>
      </c>
      <c r="BU239" s="365">
        <v>0</v>
      </c>
      <c r="BV239" s="365">
        <v>0</v>
      </c>
      <c r="BW239" s="365">
        <v>0</v>
      </c>
      <c r="BX239" s="365">
        <v>0</v>
      </c>
      <c r="BY239" s="365">
        <v>0</v>
      </c>
      <c r="BZ239" s="365">
        <v>0</v>
      </c>
      <c r="CA239" s="365">
        <v>0</v>
      </c>
      <c r="CB239" s="365">
        <v>0</v>
      </c>
      <c r="CC239" s="365">
        <v>0</v>
      </c>
    </row>
    <row r="240" spans="1:81" s="32" customFormat="1" ht="15.75" thickBot="1" x14ac:dyDescent="0.25">
      <c r="A240" s="185"/>
      <c r="B240" s="184">
        <f ca="1">INDIRECT("B" &amp; (157 + ROWS($A$1:A19)))</f>
        <v>0</v>
      </c>
      <c r="D240" s="100" t="e">
        <f t="shared" si="37"/>
        <v>#N/A</v>
      </c>
      <c r="F240" s="203">
        <f t="shared" si="38"/>
        <v>0</v>
      </c>
      <c r="J240" s="365">
        <v>0</v>
      </c>
      <c r="K240" s="365">
        <v>0</v>
      </c>
      <c r="L240" s="365">
        <v>0</v>
      </c>
      <c r="M240" s="365">
        <v>0</v>
      </c>
      <c r="N240" s="365">
        <v>0</v>
      </c>
      <c r="O240" s="365">
        <v>0</v>
      </c>
      <c r="P240" s="365">
        <v>0</v>
      </c>
      <c r="Q240" s="365">
        <v>0</v>
      </c>
      <c r="R240" s="365">
        <v>0</v>
      </c>
      <c r="S240" s="365">
        <v>0</v>
      </c>
      <c r="T240" s="365">
        <v>0</v>
      </c>
      <c r="U240" s="365">
        <v>0</v>
      </c>
      <c r="V240" s="365">
        <v>0</v>
      </c>
      <c r="W240" s="365">
        <v>0</v>
      </c>
      <c r="X240" s="365">
        <v>0</v>
      </c>
      <c r="Y240" s="365">
        <v>0</v>
      </c>
      <c r="Z240" s="365">
        <v>0</v>
      </c>
      <c r="AA240" s="365">
        <v>0</v>
      </c>
      <c r="AB240" s="365">
        <v>0</v>
      </c>
      <c r="AC240" s="365">
        <v>0</v>
      </c>
      <c r="AD240" s="365">
        <v>0</v>
      </c>
      <c r="AE240" s="365">
        <v>0</v>
      </c>
      <c r="AF240" s="365">
        <v>0</v>
      </c>
      <c r="AG240" s="365">
        <v>0</v>
      </c>
      <c r="AH240" s="365">
        <v>0</v>
      </c>
      <c r="AI240" s="365">
        <v>0</v>
      </c>
      <c r="AJ240" s="365">
        <v>0</v>
      </c>
      <c r="AK240" s="365">
        <v>0</v>
      </c>
      <c r="AL240" s="365">
        <v>0</v>
      </c>
      <c r="AM240" s="365">
        <v>0</v>
      </c>
      <c r="AN240" s="365">
        <v>0</v>
      </c>
      <c r="AO240" s="365">
        <v>0</v>
      </c>
      <c r="AP240" s="365">
        <v>0</v>
      </c>
      <c r="AQ240" s="365">
        <v>0</v>
      </c>
      <c r="AR240" s="365">
        <v>0</v>
      </c>
      <c r="AS240" s="365">
        <v>0</v>
      </c>
      <c r="AT240" s="365">
        <v>0</v>
      </c>
      <c r="AU240" s="365">
        <v>0</v>
      </c>
      <c r="AV240" s="365">
        <v>0</v>
      </c>
      <c r="AW240" s="365">
        <v>0</v>
      </c>
      <c r="AX240" s="365">
        <v>0</v>
      </c>
      <c r="AY240" s="365">
        <v>0</v>
      </c>
      <c r="AZ240" s="365">
        <v>0</v>
      </c>
      <c r="BA240" s="365">
        <v>0</v>
      </c>
      <c r="BB240" s="365">
        <v>0</v>
      </c>
      <c r="BC240" s="365">
        <v>0</v>
      </c>
      <c r="BD240" s="365">
        <v>0</v>
      </c>
      <c r="BE240" s="365">
        <v>0</v>
      </c>
      <c r="BF240" s="365">
        <v>0</v>
      </c>
      <c r="BG240" s="365">
        <v>0</v>
      </c>
      <c r="BH240" s="365">
        <v>0</v>
      </c>
      <c r="BI240" s="365">
        <v>0</v>
      </c>
      <c r="BJ240" s="365">
        <v>0</v>
      </c>
      <c r="BK240" s="365">
        <v>0</v>
      </c>
      <c r="BL240" s="365">
        <v>0</v>
      </c>
      <c r="BM240" s="365">
        <v>0</v>
      </c>
      <c r="BN240" s="365">
        <v>0</v>
      </c>
      <c r="BO240" s="365">
        <v>0</v>
      </c>
      <c r="BP240" s="365">
        <v>0</v>
      </c>
      <c r="BQ240" s="365">
        <v>0</v>
      </c>
      <c r="BR240" s="365">
        <v>0</v>
      </c>
      <c r="BS240" s="365">
        <v>0</v>
      </c>
      <c r="BT240" s="365">
        <v>0</v>
      </c>
      <c r="BU240" s="365">
        <v>0</v>
      </c>
      <c r="BV240" s="365">
        <v>0</v>
      </c>
      <c r="BW240" s="365">
        <v>0</v>
      </c>
      <c r="BX240" s="365">
        <v>0</v>
      </c>
      <c r="BY240" s="365">
        <v>0</v>
      </c>
      <c r="BZ240" s="365">
        <v>0</v>
      </c>
      <c r="CA240" s="365">
        <v>0</v>
      </c>
      <c r="CB240" s="365">
        <v>0</v>
      </c>
      <c r="CC240" s="365">
        <v>0</v>
      </c>
    </row>
    <row r="241" spans="1:88" s="32" customFormat="1" ht="15.75" thickBot="1" x14ac:dyDescent="0.25">
      <c r="A241" s="185"/>
      <c r="B241" s="184">
        <f ca="1">INDIRECT("B" &amp; (157 + ROWS($A$1:A20)))</f>
        <v>0</v>
      </c>
      <c r="D241" s="100" t="e">
        <f t="shared" si="37"/>
        <v>#N/A</v>
      </c>
      <c r="F241" s="203">
        <f t="shared" si="38"/>
        <v>0</v>
      </c>
      <c r="J241" s="365">
        <v>0</v>
      </c>
      <c r="K241" s="365">
        <v>0</v>
      </c>
      <c r="L241" s="365">
        <v>0</v>
      </c>
      <c r="M241" s="365">
        <v>0</v>
      </c>
      <c r="N241" s="365">
        <v>0</v>
      </c>
      <c r="O241" s="365">
        <v>0</v>
      </c>
      <c r="P241" s="365">
        <v>0</v>
      </c>
      <c r="Q241" s="365">
        <v>0</v>
      </c>
      <c r="R241" s="365">
        <v>0</v>
      </c>
      <c r="S241" s="365">
        <v>0</v>
      </c>
      <c r="T241" s="365">
        <v>0</v>
      </c>
      <c r="U241" s="365">
        <v>0</v>
      </c>
      <c r="V241" s="365">
        <v>0</v>
      </c>
      <c r="W241" s="365">
        <v>0</v>
      </c>
      <c r="X241" s="365">
        <v>0</v>
      </c>
      <c r="Y241" s="365">
        <v>0</v>
      </c>
      <c r="Z241" s="365">
        <v>0</v>
      </c>
      <c r="AA241" s="365">
        <v>0</v>
      </c>
      <c r="AB241" s="365">
        <v>0</v>
      </c>
      <c r="AC241" s="365">
        <v>0</v>
      </c>
      <c r="AD241" s="365">
        <v>0</v>
      </c>
      <c r="AE241" s="365">
        <v>0</v>
      </c>
      <c r="AF241" s="365">
        <v>0</v>
      </c>
      <c r="AG241" s="365">
        <v>0</v>
      </c>
      <c r="AH241" s="365">
        <v>0</v>
      </c>
      <c r="AI241" s="365">
        <v>0</v>
      </c>
      <c r="AJ241" s="365">
        <v>0</v>
      </c>
      <c r="AK241" s="365">
        <v>0</v>
      </c>
      <c r="AL241" s="365">
        <v>0</v>
      </c>
      <c r="AM241" s="365">
        <v>0</v>
      </c>
      <c r="AN241" s="365">
        <v>0</v>
      </c>
      <c r="AO241" s="365">
        <v>0</v>
      </c>
      <c r="AP241" s="365">
        <v>0</v>
      </c>
      <c r="AQ241" s="365">
        <v>0</v>
      </c>
      <c r="AR241" s="365">
        <v>0</v>
      </c>
      <c r="AS241" s="365">
        <v>0</v>
      </c>
      <c r="AT241" s="365">
        <v>0</v>
      </c>
      <c r="AU241" s="365">
        <v>0</v>
      </c>
      <c r="AV241" s="365">
        <v>0</v>
      </c>
      <c r="AW241" s="365">
        <v>0</v>
      </c>
      <c r="AX241" s="365">
        <v>0</v>
      </c>
      <c r="AY241" s="365">
        <v>0</v>
      </c>
      <c r="AZ241" s="365">
        <v>0</v>
      </c>
      <c r="BA241" s="365">
        <v>0</v>
      </c>
      <c r="BB241" s="365">
        <v>0</v>
      </c>
      <c r="BC241" s="365">
        <v>0</v>
      </c>
      <c r="BD241" s="365">
        <v>0</v>
      </c>
      <c r="BE241" s="365">
        <v>0</v>
      </c>
      <c r="BF241" s="365">
        <v>0</v>
      </c>
      <c r="BG241" s="365">
        <v>0</v>
      </c>
      <c r="BH241" s="365">
        <v>0</v>
      </c>
      <c r="BI241" s="365">
        <v>0</v>
      </c>
      <c r="BJ241" s="365">
        <v>0</v>
      </c>
      <c r="BK241" s="365">
        <v>0</v>
      </c>
      <c r="BL241" s="365">
        <v>0</v>
      </c>
      <c r="BM241" s="365">
        <v>0</v>
      </c>
      <c r="BN241" s="365">
        <v>0</v>
      </c>
      <c r="BO241" s="365">
        <v>0</v>
      </c>
      <c r="BP241" s="365">
        <v>0</v>
      </c>
      <c r="BQ241" s="365">
        <v>0</v>
      </c>
      <c r="BR241" s="365">
        <v>0</v>
      </c>
      <c r="BS241" s="365">
        <v>0</v>
      </c>
      <c r="BT241" s="365">
        <v>0</v>
      </c>
      <c r="BU241" s="365">
        <v>0</v>
      </c>
      <c r="BV241" s="365">
        <v>0</v>
      </c>
      <c r="BW241" s="365">
        <v>0</v>
      </c>
      <c r="BX241" s="365">
        <v>0</v>
      </c>
      <c r="BY241" s="365">
        <v>0</v>
      </c>
      <c r="BZ241" s="365">
        <v>0</v>
      </c>
      <c r="CA241" s="365">
        <v>0</v>
      </c>
      <c r="CB241" s="365">
        <v>0</v>
      </c>
      <c r="CC241" s="365">
        <v>0</v>
      </c>
    </row>
    <row r="242" spans="1:88" s="32" customFormat="1" ht="5.0999999999999996" customHeight="1" thickBot="1" x14ac:dyDescent="0.25">
      <c r="A242" s="185"/>
      <c r="F242" s="102"/>
      <c r="J242" s="136"/>
      <c r="K242" s="136"/>
      <c r="L242" s="136"/>
      <c r="M242" s="136"/>
      <c r="N242" s="136"/>
      <c r="O242" s="136"/>
      <c r="P242" s="136"/>
      <c r="Q242" s="136"/>
      <c r="R242" s="136"/>
      <c r="S242" s="136"/>
      <c r="T242" s="136"/>
      <c r="U242" s="136"/>
      <c r="V242" s="136"/>
      <c r="W242" s="136"/>
      <c r="X242" s="136"/>
      <c r="Y242" s="136"/>
      <c r="Z242" s="136"/>
      <c r="AA242" s="136"/>
      <c r="AB242" s="136"/>
      <c r="AC242" s="136"/>
      <c r="AD242" s="136"/>
      <c r="AE242" s="136"/>
      <c r="AF242" s="136"/>
      <c r="AG242" s="136"/>
      <c r="AH242" s="136"/>
      <c r="AI242" s="136"/>
      <c r="AJ242" s="136"/>
      <c r="AK242" s="136"/>
      <c r="AL242" s="136"/>
      <c r="AM242" s="136"/>
      <c r="AN242" s="136"/>
      <c r="AO242" s="136"/>
      <c r="AP242" s="136"/>
      <c r="AQ242" s="136"/>
      <c r="AR242" s="136"/>
      <c r="AS242" s="136"/>
      <c r="AT242" s="136"/>
      <c r="AU242" s="136"/>
      <c r="AV242" s="136"/>
      <c r="AW242" s="136"/>
      <c r="AX242" s="136"/>
      <c r="AY242" s="136"/>
      <c r="AZ242" s="136"/>
      <c r="BA242" s="136"/>
      <c r="BB242" s="136"/>
      <c r="BC242" s="136"/>
      <c r="BD242" s="136"/>
      <c r="BE242" s="136"/>
      <c r="BF242" s="136"/>
      <c r="BG242" s="136"/>
      <c r="BH242" s="136"/>
      <c r="BI242" s="136"/>
      <c r="BJ242" s="136"/>
      <c r="BK242" s="136"/>
      <c r="BL242" s="136"/>
      <c r="BM242" s="136"/>
      <c r="BN242" s="136"/>
      <c r="BO242" s="136"/>
      <c r="BP242" s="136"/>
      <c r="BQ242" s="136"/>
      <c r="BR242" s="136"/>
      <c r="BS242" s="136"/>
      <c r="BT242" s="136"/>
      <c r="BU242" s="136"/>
      <c r="BV242" s="136"/>
      <c r="BW242" s="136"/>
      <c r="BX242" s="136"/>
      <c r="BY242" s="136"/>
      <c r="BZ242" s="136"/>
      <c r="CA242" s="136"/>
      <c r="CB242" s="136"/>
      <c r="CC242" s="136"/>
    </row>
    <row r="243" spans="1:88" s="32" customFormat="1" ht="15" customHeight="1" thickBot="1" x14ac:dyDescent="0.25">
      <c r="A243" s="185"/>
      <c r="B243" s="543" t="s">
        <v>125</v>
      </c>
      <c r="C243" s="544"/>
      <c r="D243" s="545"/>
      <c r="F243" s="203">
        <f>SUM(F222:F242)</f>
        <v>0</v>
      </c>
      <c r="G243" s="136"/>
      <c r="H243" s="136"/>
      <c r="I243" s="136"/>
      <c r="J243" s="203">
        <f>SUM(J222:J242)</f>
        <v>0</v>
      </c>
      <c r="K243" s="203">
        <f t="shared" ref="K243:BV243" si="39">SUM(K222:K242)</f>
        <v>0</v>
      </c>
      <c r="L243" s="203">
        <f t="shared" si="39"/>
        <v>0</v>
      </c>
      <c r="M243" s="203">
        <f t="shared" si="39"/>
        <v>0</v>
      </c>
      <c r="N243" s="203">
        <f t="shared" si="39"/>
        <v>0</v>
      </c>
      <c r="O243" s="203">
        <f t="shared" si="39"/>
        <v>0</v>
      </c>
      <c r="P243" s="203">
        <f t="shared" si="39"/>
        <v>0</v>
      </c>
      <c r="Q243" s="203">
        <f t="shared" si="39"/>
        <v>0</v>
      </c>
      <c r="R243" s="203">
        <f t="shared" si="39"/>
        <v>0</v>
      </c>
      <c r="S243" s="203">
        <f t="shared" si="39"/>
        <v>0</v>
      </c>
      <c r="T243" s="203">
        <f t="shared" si="39"/>
        <v>0</v>
      </c>
      <c r="U243" s="203">
        <f t="shared" si="39"/>
        <v>0</v>
      </c>
      <c r="V243" s="203">
        <f t="shared" si="39"/>
        <v>0</v>
      </c>
      <c r="W243" s="203">
        <f t="shared" si="39"/>
        <v>0</v>
      </c>
      <c r="X243" s="203">
        <f t="shared" si="39"/>
        <v>0</v>
      </c>
      <c r="Y243" s="203">
        <f t="shared" si="39"/>
        <v>0</v>
      </c>
      <c r="Z243" s="203">
        <f t="shared" si="39"/>
        <v>0</v>
      </c>
      <c r="AA243" s="203">
        <f t="shared" si="39"/>
        <v>0</v>
      </c>
      <c r="AB243" s="203">
        <f t="shared" si="39"/>
        <v>0</v>
      </c>
      <c r="AC243" s="203">
        <f t="shared" si="39"/>
        <v>0</v>
      </c>
      <c r="AD243" s="203">
        <f t="shared" si="39"/>
        <v>0</v>
      </c>
      <c r="AE243" s="203">
        <f t="shared" si="39"/>
        <v>0</v>
      </c>
      <c r="AF243" s="203">
        <f t="shared" si="39"/>
        <v>0</v>
      </c>
      <c r="AG243" s="203">
        <f t="shared" si="39"/>
        <v>0</v>
      </c>
      <c r="AH243" s="203">
        <f t="shared" si="39"/>
        <v>0</v>
      </c>
      <c r="AI243" s="203">
        <f t="shared" si="39"/>
        <v>0</v>
      </c>
      <c r="AJ243" s="203">
        <f t="shared" si="39"/>
        <v>0</v>
      </c>
      <c r="AK243" s="203">
        <f t="shared" si="39"/>
        <v>0</v>
      </c>
      <c r="AL243" s="203">
        <f t="shared" si="39"/>
        <v>0</v>
      </c>
      <c r="AM243" s="203">
        <f t="shared" si="39"/>
        <v>0</v>
      </c>
      <c r="AN243" s="203">
        <f t="shared" si="39"/>
        <v>0</v>
      </c>
      <c r="AO243" s="203">
        <f t="shared" si="39"/>
        <v>0</v>
      </c>
      <c r="AP243" s="203">
        <f t="shared" si="39"/>
        <v>0</v>
      </c>
      <c r="AQ243" s="203">
        <f t="shared" si="39"/>
        <v>0</v>
      </c>
      <c r="AR243" s="203">
        <f t="shared" si="39"/>
        <v>0</v>
      </c>
      <c r="AS243" s="203">
        <f t="shared" si="39"/>
        <v>0</v>
      </c>
      <c r="AT243" s="203">
        <f t="shared" si="39"/>
        <v>0</v>
      </c>
      <c r="AU243" s="203">
        <f t="shared" si="39"/>
        <v>0</v>
      </c>
      <c r="AV243" s="203">
        <f t="shared" si="39"/>
        <v>0</v>
      </c>
      <c r="AW243" s="203">
        <f t="shared" si="39"/>
        <v>0</v>
      </c>
      <c r="AX243" s="203">
        <f t="shared" si="39"/>
        <v>0</v>
      </c>
      <c r="AY243" s="203">
        <f t="shared" si="39"/>
        <v>0</v>
      </c>
      <c r="AZ243" s="203">
        <f t="shared" si="39"/>
        <v>0</v>
      </c>
      <c r="BA243" s="203">
        <f t="shared" si="39"/>
        <v>0</v>
      </c>
      <c r="BB243" s="203">
        <f t="shared" si="39"/>
        <v>0</v>
      </c>
      <c r="BC243" s="203">
        <f t="shared" si="39"/>
        <v>0</v>
      </c>
      <c r="BD243" s="203">
        <f t="shared" si="39"/>
        <v>0</v>
      </c>
      <c r="BE243" s="203">
        <f t="shared" si="39"/>
        <v>0</v>
      </c>
      <c r="BF243" s="203">
        <f t="shared" si="39"/>
        <v>0</v>
      </c>
      <c r="BG243" s="203">
        <f t="shared" si="39"/>
        <v>0</v>
      </c>
      <c r="BH243" s="203">
        <f t="shared" si="39"/>
        <v>0</v>
      </c>
      <c r="BI243" s="203">
        <f t="shared" si="39"/>
        <v>0</v>
      </c>
      <c r="BJ243" s="203">
        <f t="shared" si="39"/>
        <v>0</v>
      </c>
      <c r="BK243" s="203">
        <f t="shared" si="39"/>
        <v>0</v>
      </c>
      <c r="BL243" s="203">
        <f t="shared" si="39"/>
        <v>0</v>
      </c>
      <c r="BM243" s="203">
        <f t="shared" si="39"/>
        <v>0</v>
      </c>
      <c r="BN243" s="203">
        <f t="shared" si="39"/>
        <v>0</v>
      </c>
      <c r="BO243" s="203">
        <f t="shared" si="39"/>
        <v>0</v>
      </c>
      <c r="BP243" s="203">
        <f t="shared" si="39"/>
        <v>0</v>
      </c>
      <c r="BQ243" s="203">
        <f t="shared" si="39"/>
        <v>0</v>
      </c>
      <c r="BR243" s="203">
        <f t="shared" si="39"/>
        <v>0</v>
      </c>
      <c r="BS243" s="203">
        <f t="shared" si="39"/>
        <v>0</v>
      </c>
      <c r="BT243" s="203">
        <f t="shared" si="39"/>
        <v>0</v>
      </c>
      <c r="BU243" s="203">
        <f t="shared" si="39"/>
        <v>0</v>
      </c>
      <c r="BV243" s="203">
        <f t="shared" si="39"/>
        <v>0</v>
      </c>
      <c r="BW243" s="203">
        <f t="shared" ref="BW243:CC243" si="40">SUM(BW222:BW242)</f>
        <v>0</v>
      </c>
      <c r="BX243" s="203">
        <f t="shared" si="40"/>
        <v>0</v>
      </c>
      <c r="BY243" s="203">
        <f t="shared" si="40"/>
        <v>0</v>
      </c>
      <c r="BZ243" s="203">
        <f t="shared" si="40"/>
        <v>0</v>
      </c>
      <c r="CA243" s="203">
        <f t="shared" si="40"/>
        <v>0</v>
      </c>
      <c r="CB243" s="203">
        <f t="shared" si="40"/>
        <v>0</v>
      </c>
      <c r="CC243" s="203">
        <f t="shared" si="40"/>
        <v>0</v>
      </c>
    </row>
    <row r="244" spans="1:88" ht="5.0999999999999996" customHeight="1" thickBot="1" x14ac:dyDescent="0.25">
      <c r="B244" s="20"/>
      <c r="C244" s="20"/>
      <c r="D244" s="20"/>
      <c r="F244" s="102"/>
      <c r="G244" s="32"/>
      <c r="H244" s="32"/>
      <c r="J244" s="210"/>
      <c r="K244" s="210"/>
      <c r="L244" s="210"/>
      <c r="M244" s="210"/>
      <c r="N244" s="210"/>
      <c r="O244" s="210"/>
      <c r="P244" s="210"/>
      <c r="Q244" s="210"/>
      <c r="R244" s="210"/>
      <c r="S244" s="210"/>
      <c r="T244" s="210"/>
      <c r="U244" s="210"/>
      <c r="V244" s="210"/>
      <c r="W244" s="210"/>
      <c r="X244" s="210"/>
      <c r="Y244" s="210"/>
      <c r="Z244" s="210"/>
      <c r="AA244" s="210"/>
      <c r="AB244" s="210"/>
      <c r="AC244" s="210"/>
      <c r="AD244" s="210"/>
      <c r="AE244" s="210"/>
      <c r="AF244" s="210"/>
      <c r="AG244" s="210"/>
      <c r="AH244" s="210"/>
      <c r="AI244" s="210"/>
      <c r="AJ244" s="210"/>
      <c r="AK244" s="210"/>
      <c r="AL244" s="210"/>
      <c r="AM244" s="210"/>
      <c r="AN244" s="210"/>
      <c r="AO244" s="210"/>
      <c r="AP244" s="210"/>
      <c r="AQ244" s="210"/>
      <c r="AR244" s="210"/>
      <c r="AS244" s="210"/>
      <c r="AT244" s="210"/>
      <c r="AU244" s="210"/>
      <c r="AV244" s="210"/>
      <c r="AW244" s="210"/>
      <c r="AX244" s="210"/>
      <c r="AY244" s="210"/>
      <c r="AZ244" s="210"/>
      <c r="BA244" s="210"/>
      <c r="BB244" s="210"/>
      <c r="BC244" s="210"/>
      <c r="BD244" s="210"/>
      <c r="BE244" s="210"/>
      <c r="BF244" s="210"/>
      <c r="BG244" s="210"/>
      <c r="BH244" s="210"/>
      <c r="BI244" s="210"/>
      <c r="BJ244" s="210"/>
      <c r="BK244" s="210"/>
      <c r="BL244" s="210"/>
      <c r="BM244" s="210"/>
      <c r="BN244" s="210"/>
      <c r="BO244" s="210"/>
      <c r="BP244" s="210"/>
      <c r="BQ244" s="210"/>
      <c r="BR244" s="210"/>
      <c r="BS244" s="210"/>
      <c r="BT244" s="210"/>
      <c r="BU244" s="210"/>
      <c r="BV244" s="210"/>
      <c r="BW244" s="210"/>
      <c r="BX244" s="210"/>
      <c r="BY244" s="210"/>
      <c r="BZ244" s="210"/>
      <c r="CA244" s="210"/>
      <c r="CB244" s="210"/>
      <c r="CC244" s="210"/>
    </row>
    <row r="245" spans="1:88" s="349" customFormat="1" ht="15" customHeight="1" thickBot="1" x14ac:dyDescent="0.25">
      <c r="A245" s="185"/>
      <c r="B245" s="492" t="s">
        <v>120</v>
      </c>
      <c r="C245" s="493"/>
      <c r="D245" s="494"/>
      <c r="E245" s="186"/>
      <c r="F245" s="281" t="e">
        <f>+F243*F152</f>
        <v>#N/A</v>
      </c>
      <c r="G245" s="186"/>
      <c r="H245" s="290" t="e">
        <f>SUM(J245:CC245)</f>
        <v>#N/A</v>
      </c>
      <c r="I245" s="186"/>
      <c r="J245" s="348" t="e">
        <f t="shared" ref="J245:AO245" si="41">+J243*J152</f>
        <v>#N/A</v>
      </c>
      <c r="K245" s="348" t="e">
        <f t="shared" si="41"/>
        <v>#N/A</v>
      </c>
      <c r="L245" s="348" t="e">
        <f t="shared" si="41"/>
        <v>#N/A</v>
      </c>
      <c r="M245" s="348" t="e">
        <f t="shared" si="41"/>
        <v>#N/A</v>
      </c>
      <c r="N245" s="348" t="e">
        <f t="shared" si="41"/>
        <v>#N/A</v>
      </c>
      <c r="O245" s="348" t="e">
        <f t="shared" si="41"/>
        <v>#N/A</v>
      </c>
      <c r="P245" s="348" t="e">
        <f t="shared" si="41"/>
        <v>#N/A</v>
      </c>
      <c r="Q245" s="348" t="e">
        <f t="shared" si="41"/>
        <v>#N/A</v>
      </c>
      <c r="R245" s="348" t="e">
        <f t="shared" si="41"/>
        <v>#N/A</v>
      </c>
      <c r="S245" s="348" t="e">
        <f t="shared" si="41"/>
        <v>#N/A</v>
      </c>
      <c r="T245" s="348" t="e">
        <f t="shared" si="41"/>
        <v>#N/A</v>
      </c>
      <c r="U245" s="348" t="e">
        <f t="shared" si="41"/>
        <v>#N/A</v>
      </c>
      <c r="V245" s="348" t="e">
        <f t="shared" si="41"/>
        <v>#N/A</v>
      </c>
      <c r="W245" s="348" t="e">
        <f t="shared" si="41"/>
        <v>#N/A</v>
      </c>
      <c r="X245" s="348" t="e">
        <f t="shared" si="41"/>
        <v>#N/A</v>
      </c>
      <c r="Y245" s="348" t="e">
        <f t="shared" si="41"/>
        <v>#N/A</v>
      </c>
      <c r="Z245" s="348" t="e">
        <f t="shared" si="41"/>
        <v>#N/A</v>
      </c>
      <c r="AA245" s="348" t="e">
        <f t="shared" si="41"/>
        <v>#N/A</v>
      </c>
      <c r="AB245" s="348" t="e">
        <f t="shared" si="41"/>
        <v>#N/A</v>
      </c>
      <c r="AC245" s="348" t="e">
        <f t="shared" si="41"/>
        <v>#N/A</v>
      </c>
      <c r="AD245" s="348" t="e">
        <f t="shared" si="41"/>
        <v>#N/A</v>
      </c>
      <c r="AE245" s="348" t="e">
        <f t="shared" si="41"/>
        <v>#N/A</v>
      </c>
      <c r="AF245" s="348" t="e">
        <f t="shared" si="41"/>
        <v>#N/A</v>
      </c>
      <c r="AG245" s="348" t="e">
        <f t="shared" si="41"/>
        <v>#N/A</v>
      </c>
      <c r="AH245" s="348" t="e">
        <f t="shared" si="41"/>
        <v>#N/A</v>
      </c>
      <c r="AI245" s="348" t="e">
        <f t="shared" si="41"/>
        <v>#N/A</v>
      </c>
      <c r="AJ245" s="348" t="e">
        <f t="shared" si="41"/>
        <v>#N/A</v>
      </c>
      <c r="AK245" s="348" t="e">
        <f t="shared" si="41"/>
        <v>#N/A</v>
      </c>
      <c r="AL245" s="348" t="e">
        <f t="shared" si="41"/>
        <v>#N/A</v>
      </c>
      <c r="AM245" s="348" t="e">
        <f t="shared" si="41"/>
        <v>#N/A</v>
      </c>
      <c r="AN245" s="348" t="e">
        <f t="shared" si="41"/>
        <v>#N/A</v>
      </c>
      <c r="AO245" s="348" t="e">
        <f t="shared" si="41"/>
        <v>#N/A</v>
      </c>
      <c r="AP245" s="348" t="e">
        <f t="shared" ref="AP245:BU245" si="42">+AP243*AP152</f>
        <v>#N/A</v>
      </c>
      <c r="AQ245" s="348" t="e">
        <f t="shared" si="42"/>
        <v>#N/A</v>
      </c>
      <c r="AR245" s="348" t="e">
        <f t="shared" si="42"/>
        <v>#N/A</v>
      </c>
      <c r="AS245" s="348" t="e">
        <f t="shared" si="42"/>
        <v>#N/A</v>
      </c>
      <c r="AT245" s="348" t="e">
        <f t="shared" si="42"/>
        <v>#N/A</v>
      </c>
      <c r="AU245" s="348" t="e">
        <f t="shared" si="42"/>
        <v>#N/A</v>
      </c>
      <c r="AV245" s="348" t="e">
        <f t="shared" si="42"/>
        <v>#N/A</v>
      </c>
      <c r="AW245" s="348" t="e">
        <f t="shared" si="42"/>
        <v>#N/A</v>
      </c>
      <c r="AX245" s="348" t="e">
        <f t="shared" si="42"/>
        <v>#N/A</v>
      </c>
      <c r="AY245" s="348" t="e">
        <f t="shared" si="42"/>
        <v>#N/A</v>
      </c>
      <c r="AZ245" s="348" t="e">
        <f t="shared" si="42"/>
        <v>#N/A</v>
      </c>
      <c r="BA245" s="348" t="e">
        <f t="shared" si="42"/>
        <v>#N/A</v>
      </c>
      <c r="BB245" s="348" t="e">
        <f t="shared" si="42"/>
        <v>#N/A</v>
      </c>
      <c r="BC245" s="348" t="e">
        <f t="shared" si="42"/>
        <v>#N/A</v>
      </c>
      <c r="BD245" s="348" t="e">
        <f t="shared" si="42"/>
        <v>#N/A</v>
      </c>
      <c r="BE245" s="348" t="e">
        <f t="shared" si="42"/>
        <v>#N/A</v>
      </c>
      <c r="BF245" s="348" t="e">
        <f t="shared" si="42"/>
        <v>#N/A</v>
      </c>
      <c r="BG245" s="348" t="e">
        <f t="shared" si="42"/>
        <v>#N/A</v>
      </c>
      <c r="BH245" s="348" t="e">
        <f t="shared" si="42"/>
        <v>#N/A</v>
      </c>
      <c r="BI245" s="348" t="e">
        <f t="shared" si="42"/>
        <v>#N/A</v>
      </c>
      <c r="BJ245" s="348" t="e">
        <f t="shared" si="42"/>
        <v>#N/A</v>
      </c>
      <c r="BK245" s="348" t="e">
        <f t="shared" si="42"/>
        <v>#N/A</v>
      </c>
      <c r="BL245" s="348" t="e">
        <f t="shared" si="42"/>
        <v>#N/A</v>
      </c>
      <c r="BM245" s="348" t="e">
        <f t="shared" si="42"/>
        <v>#N/A</v>
      </c>
      <c r="BN245" s="348" t="e">
        <f t="shared" si="42"/>
        <v>#N/A</v>
      </c>
      <c r="BO245" s="348" t="e">
        <f t="shared" si="42"/>
        <v>#N/A</v>
      </c>
      <c r="BP245" s="348" t="e">
        <f t="shared" si="42"/>
        <v>#N/A</v>
      </c>
      <c r="BQ245" s="348" t="e">
        <f t="shared" si="42"/>
        <v>#N/A</v>
      </c>
      <c r="BR245" s="348" t="e">
        <f t="shared" si="42"/>
        <v>#N/A</v>
      </c>
      <c r="BS245" s="348" t="e">
        <f t="shared" si="42"/>
        <v>#N/A</v>
      </c>
      <c r="BT245" s="348" t="e">
        <f t="shared" si="42"/>
        <v>#N/A</v>
      </c>
      <c r="BU245" s="348" t="e">
        <f t="shared" si="42"/>
        <v>#N/A</v>
      </c>
      <c r="BV245" s="348" t="e">
        <f t="shared" ref="BV245:CC245" si="43">+BV243*BV152</f>
        <v>#N/A</v>
      </c>
      <c r="BW245" s="348" t="e">
        <f t="shared" si="43"/>
        <v>#N/A</v>
      </c>
      <c r="BX245" s="348" t="e">
        <f t="shared" si="43"/>
        <v>#N/A</v>
      </c>
      <c r="BY245" s="348" t="e">
        <f t="shared" si="43"/>
        <v>#N/A</v>
      </c>
      <c r="BZ245" s="348" t="e">
        <f t="shared" si="43"/>
        <v>#N/A</v>
      </c>
      <c r="CA245" s="348" t="e">
        <f t="shared" si="43"/>
        <v>#N/A</v>
      </c>
      <c r="CB245" s="348" t="e">
        <f t="shared" si="43"/>
        <v>#N/A</v>
      </c>
      <c r="CC245" s="348" t="e">
        <f t="shared" si="43"/>
        <v>#N/A</v>
      </c>
    </row>
    <row r="246" spans="1:88" ht="5.0999999999999996" customHeight="1" thickBot="1" x14ac:dyDescent="0.25">
      <c r="B246" s="20"/>
      <c r="C246" s="20"/>
      <c r="D246" s="20"/>
      <c r="F246" s="32"/>
      <c r="G246" s="32"/>
      <c r="H246" s="32"/>
      <c r="J246" s="210"/>
      <c r="K246" s="210"/>
      <c r="L246" s="210"/>
      <c r="M246" s="210"/>
      <c r="N246" s="210"/>
      <c r="O246" s="210"/>
      <c r="P246" s="210"/>
      <c r="Q246" s="210"/>
      <c r="R246" s="210"/>
      <c r="S246" s="210"/>
      <c r="T246" s="210"/>
      <c r="U246" s="210"/>
      <c r="V246" s="210"/>
      <c r="W246" s="210"/>
      <c r="X246" s="210"/>
      <c r="Y246" s="210"/>
      <c r="Z246" s="210"/>
      <c r="AA246" s="210"/>
      <c r="AB246" s="210"/>
      <c r="AC246" s="210"/>
      <c r="AD246" s="210"/>
      <c r="AE246" s="210"/>
      <c r="AF246" s="210"/>
      <c r="AG246" s="210"/>
      <c r="AH246" s="210"/>
      <c r="AI246" s="210"/>
      <c r="AJ246" s="210"/>
      <c r="AK246" s="210"/>
      <c r="AL246" s="210"/>
      <c r="AM246" s="210"/>
      <c r="AN246" s="210"/>
      <c r="AO246" s="210"/>
      <c r="AP246" s="210"/>
      <c r="AQ246" s="210"/>
      <c r="AR246" s="210"/>
      <c r="AS246" s="210"/>
      <c r="AT246" s="210"/>
      <c r="AU246" s="210"/>
      <c r="AV246" s="210"/>
      <c r="AW246" s="210"/>
      <c r="AX246" s="210"/>
      <c r="AY246" s="210"/>
      <c r="AZ246" s="210"/>
      <c r="BA246" s="210"/>
      <c r="BB246" s="210"/>
      <c r="BC246" s="210"/>
      <c r="BD246" s="210"/>
      <c r="BE246" s="210"/>
      <c r="BF246" s="210"/>
      <c r="BG246" s="210"/>
      <c r="BH246" s="210"/>
      <c r="BI246" s="210"/>
      <c r="BJ246" s="210"/>
      <c r="BK246" s="210"/>
      <c r="BL246" s="210"/>
      <c r="BM246" s="210"/>
      <c r="BN246" s="210"/>
      <c r="BO246" s="210"/>
      <c r="BP246" s="210"/>
      <c r="BQ246" s="210"/>
      <c r="BR246" s="210"/>
      <c r="BS246" s="210"/>
      <c r="BT246" s="210"/>
      <c r="BU246" s="210"/>
      <c r="BV246" s="210"/>
      <c r="BW246" s="210"/>
      <c r="BX246" s="210"/>
      <c r="BY246" s="210"/>
      <c r="BZ246" s="210"/>
      <c r="CA246" s="210"/>
      <c r="CB246" s="210"/>
      <c r="CC246" s="210"/>
    </row>
    <row r="247" spans="1:88" s="349" customFormat="1" ht="15.75" thickBot="1" x14ac:dyDescent="0.25">
      <c r="A247" s="185"/>
      <c r="B247" s="481" t="s">
        <v>121</v>
      </c>
      <c r="C247" s="482"/>
      <c r="D247" s="483"/>
      <c r="E247" s="32"/>
      <c r="F247" s="113"/>
      <c r="G247" s="32"/>
      <c r="H247" s="32"/>
      <c r="I247" s="32"/>
      <c r="J247" s="350" t="e">
        <f>+J245</f>
        <v>#N/A</v>
      </c>
      <c r="K247" s="350" t="e">
        <f>+J247+K245</f>
        <v>#N/A</v>
      </c>
      <c r="L247" s="350" t="e">
        <f>+K247+L245</f>
        <v>#N/A</v>
      </c>
      <c r="M247" s="350" t="e">
        <f t="shared" ref="M247:BX247" si="44">+L247+M245</f>
        <v>#N/A</v>
      </c>
      <c r="N247" s="350" t="e">
        <f t="shared" si="44"/>
        <v>#N/A</v>
      </c>
      <c r="O247" s="350" t="e">
        <f t="shared" si="44"/>
        <v>#N/A</v>
      </c>
      <c r="P247" s="350" t="e">
        <f t="shared" si="44"/>
        <v>#N/A</v>
      </c>
      <c r="Q247" s="350" t="e">
        <f t="shared" si="44"/>
        <v>#N/A</v>
      </c>
      <c r="R247" s="350" t="e">
        <f t="shared" si="44"/>
        <v>#N/A</v>
      </c>
      <c r="S247" s="350" t="e">
        <f t="shared" si="44"/>
        <v>#N/A</v>
      </c>
      <c r="T247" s="350" t="e">
        <f t="shared" si="44"/>
        <v>#N/A</v>
      </c>
      <c r="U247" s="350" t="e">
        <f t="shared" si="44"/>
        <v>#N/A</v>
      </c>
      <c r="V247" s="350" t="e">
        <f t="shared" si="44"/>
        <v>#N/A</v>
      </c>
      <c r="W247" s="350" t="e">
        <f t="shared" si="44"/>
        <v>#N/A</v>
      </c>
      <c r="X247" s="350" t="e">
        <f t="shared" si="44"/>
        <v>#N/A</v>
      </c>
      <c r="Y247" s="350" t="e">
        <f t="shared" si="44"/>
        <v>#N/A</v>
      </c>
      <c r="Z247" s="350" t="e">
        <f t="shared" si="44"/>
        <v>#N/A</v>
      </c>
      <c r="AA247" s="350" t="e">
        <f t="shared" si="44"/>
        <v>#N/A</v>
      </c>
      <c r="AB247" s="350" t="e">
        <f t="shared" si="44"/>
        <v>#N/A</v>
      </c>
      <c r="AC247" s="350" t="e">
        <f t="shared" si="44"/>
        <v>#N/A</v>
      </c>
      <c r="AD247" s="350" t="e">
        <f t="shared" si="44"/>
        <v>#N/A</v>
      </c>
      <c r="AE247" s="350" t="e">
        <f t="shared" si="44"/>
        <v>#N/A</v>
      </c>
      <c r="AF247" s="350" t="e">
        <f t="shared" si="44"/>
        <v>#N/A</v>
      </c>
      <c r="AG247" s="350" t="e">
        <f t="shared" si="44"/>
        <v>#N/A</v>
      </c>
      <c r="AH247" s="350" t="e">
        <f t="shared" si="44"/>
        <v>#N/A</v>
      </c>
      <c r="AI247" s="350" t="e">
        <f t="shared" si="44"/>
        <v>#N/A</v>
      </c>
      <c r="AJ247" s="350" t="e">
        <f t="shared" si="44"/>
        <v>#N/A</v>
      </c>
      <c r="AK247" s="350" t="e">
        <f t="shared" si="44"/>
        <v>#N/A</v>
      </c>
      <c r="AL247" s="350" t="e">
        <f t="shared" si="44"/>
        <v>#N/A</v>
      </c>
      <c r="AM247" s="350" t="e">
        <f t="shared" si="44"/>
        <v>#N/A</v>
      </c>
      <c r="AN247" s="350" t="e">
        <f t="shared" si="44"/>
        <v>#N/A</v>
      </c>
      <c r="AO247" s="350" t="e">
        <f t="shared" si="44"/>
        <v>#N/A</v>
      </c>
      <c r="AP247" s="350" t="e">
        <f t="shared" si="44"/>
        <v>#N/A</v>
      </c>
      <c r="AQ247" s="350" t="e">
        <f t="shared" si="44"/>
        <v>#N/A</v>
      </c>
      <c r="AR247" s="350" t="e">
        <f t="shared" si="44"/>
        <v>#N/A</v>
      </c>
      <c r="AS247" s="350" t="e">
        <f t="shared" si="44"/>
        <v>#N/A</v>
      </c>
      <c r="AT247" s="350" t="e">
        <f t="shared" si="44"/>
        <v>#N/A</v>
      </c>
      <c r="AU247" s="350" t="e">
        <f t="shared" si="44"/>
        <v>#N/A</v>
      </c>
      <c r="AV247" s="350" t="e">
        <f t="shared" si="44"/>
        <v>#N/A</v>
      </c>
      <c r="AW247" s="350" t="e">
        <f t="shared" si="44"/>
        <v>#N/A</v>
      </c>
      <c r="AX247" s="350" t="e">
        <f t="shared" si="44"/>
        <v>#N/A</v>
      </c>
      <c r="AY247" s="350" t="e">
        <f t="shared" si="44"/>
        <v>#N/A</v>
      </c>
      <c r="AZ247" s="350" t="e">
        <f t="shared" si="44"/>
        <v>#N/A</v>
      </c>
      <c r="BA247" s="350" t="e">
        <f t="shared" si="44"/>
        <v>#N/A</v>
      </c>
      <c r="BB247" s="350" t="e">
        <f t="shared" si="44"/>
        <v>#N/A</v>
      </c>
      <c r="BC247" s="350" t="e">
        <f t="shared" si="44"/>
        <v>#N/A</v>
      </c>
      <c r="BD247" s="350" t="e">
        <f t="shared" si="44"/>
        <v>#N/A</v>
      </c>
      <c r="BE247" s="350" t="e">
        <f t="shared" si="44"/>
        <v>#N/A</v>
      </c>
      <c r="BF247" s="350" t="e">
        <f t="shared" si="44"/>
        <v>#N/A</v>
      </c>
      <c r="BG247" s="350" t="e">
        <f t="shared" si="44"/>
        <v>#N/A</v>
      </c>
      <c r="BH247" s="350" t="e">
        <f t="shared" si="44"/>
        <v>#N/A</v>
      </c>
      <c r="BI247" s="350" t="e">
        <f t="shared" si="44"/>
        <v>#N/A</v>
      </c>
      <c r="BJ247" s="350" t="e">
        <f t="shared" si="44"/>
        <v>#N/A</v>
      </c>
      <c r="BK247" s="350" t="e">
        <f t="shared" si="44"/>
        <v>#N/A</v>
      </c>
      <c r="BL247" s="350" t="e">
        <f t="shared" si="44"/>
        <v>#N/A</v>
      </c>
      <c r="BM247" s="350" t="e">
        <f t="shared" si="44"/>
        <v>#N/A</v>
      </c>
      <c r="BN247" s="350" t="e">
        <f t="shared" si="44"/>
        <v>#N/A</v>
      </c>
      <c r="BO247" s="350" t="e">
        <f t="shared" si="44"/>
        <v>#N/A</v>
      </c>
      <c r="BP247" s="350" t="e">
        <f t="shared" si="44"/>
        <v>#N/A</v>
      </c>
      <c r="BQ247" s="350" t="e">
        <f t="shared" si="44"/>
        <v>#N/A</v>
      </c>
      <c r="BR247" s="350" t="e">
        <f t="shared" si="44"/>
        <v>#N/A</v>
      </c>
      <c r="BS247" s="350" t="e">
        <f t="shared" si="44"/>
        <v>#N/A</v>
      </c>
      <c r="BT247" s="350" t="e">
        <f t="shared" si="44"/>
        <v>#N/A</v>
      </c>
      <c r="BU247" s="350" t="e">
        <f t="shared" si="44"/>
        <v>#N/A</v>
      </c>
      <c r="BV247" s="350" t="e">
        <f t="shared" si="44"/>
        <v>#N/A</v>
      </c>
      <c r="BW247" s="350" t="e">
        <f t="shared" si="44"/>
        <v>#N/A</v>
      </c>
      <c r="BX247" s="350" t="e">
        <f t="shared" si="44"/>
        <v>#N/A</v>
      </c>
      <c r="BY247" s="350" t="e">
        <f t="shared" ref="BY247:CC247" si="45">+BX247+BY245</f>
        <v>#N/A</v>
      </c>
      <c r="BZ247" s="350" t="e">
        <f t="shared" si="45"/>
        <v>#N/A</v>
      </c>
      <c r="CA247" s="350" t="e">
        <f t="shared" si="45"/>
        <v>#N/A</v>
      </c>
      <c r="CB247" s="350" t="e">
        <f t="shared" si="45"/>
        <v>#N/A</v>
      </c>
      <c r="CC247" s="350" t="e">
        <f t="shared" si="45"/>
        <v>#N/A</v>
      </c>
    </row>
    <row r="248" spans="1:88" ht="5.0999999999999996" customHeight="1" thickBot="1" x14ac:dyDescent="0.25">
      <c r="B248" s="20"/>
      <c r="C248" s="20"/>
      <c r="D248" s="20"/>
      <c r="J248" s="302"/>
      <c r="K248" s="302"/>
      <c r="L248" s="302"/>
      <c r="M248" s="302"/>
      <c r="N248" s="302"/>
      <c r="O248" s="302"/>
      <c r="P248" s="302"/>
      <c r="Q248" s="302"/>
      <c r="R248" s="302"/>
      <c r="S248" s="302"/>
      <c r="T248" s="302"/>
      <c r="U248" s="302"/>
      <c r="V248" s="302"/>
      <c r="W248" s="302"/>
      <c r="X248" s="302"/>
      <c r="Y248" s="302"/>
      <c r="Z248" s="302"/>
      <c r="AA248" s="302"/>
      <c r="AB248" s="302"/>
      <c r="AC248" s="302"/>
      <c r="AD248" s="302"/>
      <c r="AE248" s="302"/>
      <c r="AF248" s="302"/>
      <c r="AG248" s="302"/>
      <c r="AH248" s="302"/>
      <c r="AI248" s="302"/>
      <c r="AJ248" s="302"/>
      <c r="AK248" s="302"/>
      <c r="AL248" s="302"/>
      <c r="AM248" s="302"/>
      <c r="AN248" s="302"/>
      <c r="AO248" s="302"/>
      <c r="AP248" s="302"/>
      <c r="AQ248" s="302"/>
      <c r="AR248" s="302"/>
      <c r="AS248" s="302"/>
      <c r="AT248" s="302"/>
      <c r="AU248" s="302"/>
      <c r="AV248" s="302"/>
      <c r="AW248" s="302"/>
      <c r="AX248" s="302"/>
      <c r="AY248" s="302"/>
      <c r="AZ248" s="302"/>
      <c r="BA248" s="302"/>
      <c r="BB248" s="302"/>
      <c r="BC248" s="302"/>
      <c r="BD248" s="302"/>
      <c r="BE248" s="302"/>
      <c r="BF248" s="302"/>
      <c r="BG248" s="302"/>
      <c r="BH248" s="302"/>
      <c r="BI248" s="302"/>
      <c r="BJ248" s="302"/>
      <c r="BK248" s="302"/>
      <c r="BL248" s="302"/>
      <c r="BM248" s="302"/>
      <c r="BN248" s="302"/>
      <c r="BO248" s="302"/>
      <c r="BP248" s="302"/>
      <c r="BQ248" s="302"/>
      <c r="BR248" s="302"/>
      <c r="BS248" s="302"/>
      <c r="BT248" s="302"/>
      <c r="BU248" s="302"/>
      <c r="BV248" s="302"/>
      <c r="BW248" s="302"/>
      <c r="BX248" s="302"/>
      <c r="BY248" s="302"/>
      <c r="BZ248" s="302"/>
      <c r="CA248" s="302"/>
      <c r="CB248" s="302"/>
      <c r="CC248" s="302"/>
    </row>
    <row r="249" spans="1:88" s="32" customFormat="1" ht="15.75" thickBot="1" x14ac:dyDescent="0.25">
      <c r="A249" s="185"/>
      <c r="B249" s="286" t="s">
        <v>114</v>
      </c>
      <c r="C249" s="20"/>
      <c r="D249" s="85" t="e">
        <f>+SUM(J249:CC249)</f>
        <v>#N/A</v>
      </c>
      <c r="F249" s="113"/>
      <c r="J249" s="352" t="e">
        <f>+J245/$CF$138</f>
        <v>#N/A</v>
      </c>
      <c r="K249" s="352" t="e">
        <f>+K245/$CF$138</f>
        <v>#N/A</v>
      </c>
      <c r="L249" s="352" t="e">
        <f>+L245/$CF$138</f>
        <v>#N/A</v>
      </c>
      <c r="M249" s="352" t="e">
        <f t="shared" ref="M249:BX249" si="46">+M245/$CF$138</f>
        <v>#N/A</v>
      </c>
      <c r="N249" s="352" t="e">
        <f t="shared" si="46"/>
        <v>#N/A</v>
      </c>
      <c r="O249" s="352" t="e">
        <f t="shared" si="46"/>
        <v>#N/A</v>
      </c>
      <c r="P249" s="352" t="e">
        <f t="shared" si="46"/>
        <v>#N/A</v>
      </c>
      <c r="Q249" s="352" t="e">
        <f t="shared" si="46"/>
        <v>#N/A</v>
      </c>
      <c r="R249" s="352" t="e">
        <f t="shared" si="46"/>
        <v>#N/A</v>
      </c>
      <c r="S249" s="352" t="e">
        <f t="shared" si="46"/>
        <v>#N/A</v>
      </c>
      <c r="T249" s="352" t="e">
        <f t="shared" si="46"/>
        <v>#N/A</v>
      </c>
      <c r="U249" s="352" t="e">
        <f t="shared" si="46"/>
        <v>#N/A</v>
      </c>
      <c r="V249" s="352" t="e">
        <f t="shared" si="46"/>
        <v>#N/A</v>
      </c>
      <c r="W249" s="352" t="e">
        <f t="shared" si="46"/>
        <v>#N/A</v>
      </c>
      <c r="X249" s="352" t="e">
        <f t="shared" si="46"/>
        <v>#N/A</v>
      </c>
      <c r="Y249" s="352" t="e">
        <f t="shared" si="46"/>
        <v>#N/A</v>
      </c>
      <c r="Z249" s="352" t="e">
        <f t="shared" si="46"/>
        <v>#N/A</v>
      </c>
      <c r="AA249" s="352" t="e">
        <f t="shared" si="46"/>
        <v>#N/A</v>
      </c>
      <c r="AB249" s="352" t="e">
        <f t="shared" si="46"/>
        <v>#N/A</v>
      </c>
      <c r="AC249" s="352" t="e">
        <f t="shared" si="46"/>
        <v>#N/A</v>
      </c>
      <c r="AD249" s="352" t="e">
        <f t="shared" si="46"/>
        <v>#N/A</v>
      </c>
      <c r="AE249" s="352" t="e">
        <f t="shared" si="46"/>
        <v>#N/A</v>
      </c>
      <c r="AF249" s="352" t="e">
        <f t="shared" si="46"/>
        <v>#N/A</v>
      </c>
      <c r="AG249" s="352" t="e">
        <f t="shared" si="46"/>
        <v>#N/A</v>
      </c>
      <c r="AH249" s="352" t="e">
        <f t="shared" si="46"/>
        <v>#N/A</v>
      </c>
      <c r="AI249" s="352" t="e">
        <f t="shared" si="46"/>
        <v>#N/A</v>
      </c>
      <c r="AJ249" s="352" t="e">
        <f t="shared" si="46"/>
        <v>#N/A</v>
      </c>
      <c r="AK249" s="352" t="e">
        <f t="shared" si="46"/>
        <v>#N/A</v>
      </c>
      <c r="AL249" s="352" t="e">
        <f t="shared" si="46"/>
        <v>#N/A</v>
      </c>
      <c r="AM249" s="352" t="e">
        <f t="shared" si="46"/>
        <v>#N/A</v>
      </c>
      <c r="AN249" s="352" t="e">
        <f t="shared" si="46"/>
        <v>#N/A</v>
      </c>
      <c r="AO249" s="352" t="e">
        <f t="shared" si="46"/>
        <v>#N/A</v>
      </c>
      <c r="AP249" s="352" t="e">
        <f t="shared" si="46"/>
        <v>#N/A</v>
      </c>
      <c r="AQ249" s="352" t="e">
        <f t="shared" si="46"/>
        <v>#N/A</v>
      </c>
      <c r="AR249" s="352" t="e">
        <f t="shared" si="46"/>
        <v>#N/A</v>
      </c>
      <c r="AS249" s="352" t="e">
        <f t="shared" si="46"/>
        <v>#N/A</v>
      </c>
      <c r="AT249" s="352" t="e">
        <f t="shared" si="46"/>
        <v>#N/A</v>
      </c>
      <c r="AU249" s="352" t="e">
        <f t="shared" si="46"/>
        <v>#N/A</v>
      </c>
      <c r="AV249" s="352" t="e">
        <f t="shared" si="46"/>
        <v>#N/A</v>
      </c>
      <c r="AW249" s="352" t="e">
        <f t="shared" si="46"/>
        <v>#N/A</v>
      </c>
      <c r="AX249" s="352" t="e">
        <f t="shared" si="46"/>
        <v>#N/A</v>
      </c>
      <c r="AY249" s="352" t="e">
        <f t="shared" si="46"/>
        <v>#N/A</v>
      </c>
      <c r="AZ249" s="352" t="e">
        <f t="shared" si="46"/>
        <v>#N/A</v>
      </c>
      <c r="BA249" s="352" t="e">
        <f t="shared" si="46"/>
        <v>#N/A</v>
      </c>
      <c r="BB249" s="352" t="e">
        <f t="shared" si="46"/>
        <v>#N/A</v>
      </c>
      <c r="BC249" s="352" t="e">
        <f t="shared" si="46"/>
        <v>#N/A</v>
      </c>
      <c r="BD249" s="352" t="e">
        <f t="shared" si="46"/>
        <v>#N/A</v>
      </c>
      <c r="BE249" s="352" t="e">
        <f t="shared" si="46"/>
        <v>#N/A</v>
      </c>
      <c r="BF249" s="352" t="e">
        <f t="shared" si="46"/>
        <v>#N/A</v>
      </c>
      <c r="BG249" s="352" t="e">
        <f t="shared" si="46"/>
        <v>#N/A</v>
      </c>
      <c r="BH249" s="352" t="e">
        <f t="shared" si="46"/>
        <v>#N/A</v>
      </c>
      <c r="BI249" s="352" t="e">
        <f t="shared" si="46"/>
        <v>#N/A</v>
      </c>
      <c r="BJ249" s="352" t="e">
        <f t="shared" si="46"/>
        <v>#N/A</v>
      </c>
      <c r="BK249" s="352" t="e">
        <f t="shared" si="46"/>
        <v>#N/A</v>
      </c>
      <c r="BL249" s="352" t="e">
        <f t="shared" si="46"/>
        <v>#N/A</v>
      </c>
      <c r="BM249" s="352" t="e">
        <f t="shared" si="46"/>
        <v>#N/A</v>
      </c>
      <c r="BN249" s="352" t="e">
        <f t="shared" si="46"/>
        <v>#N/A</v>
      </c>
      <c r="BO249" s="352" t="e">
        <f t="shared" si="46"/>
        <v>#N/A</v>
      </c>
      <c r="BP249" s="352" t="e">
        <f t="shared" si="46"/>
        <v>#N/A</v>
      </c>
      <c r="BQ249" s="352" t="e">
        <f t="shared" si="46"/>
        <v>#N/A</v>
      </c>
      <c r="BR249" s="352" t="e">
        <f t="shared" si="46"/>
        <v>#N/A</v>
      </c>
      <c r="BS249" s="352" t="e">
        <f t="shared" si="46"/>
        <v>#N/A</v>
      </c>
      <c r="BT249" s="352" t="e">
        <f t="shared" si="46"/>
        <v>#N/A</v>
      </c>
      <c r="BU249" s="352" t="e">
        <f t="shared" si="46"/>
        <v>#N/A</v>
      </c>
      <c r="BV249" s="352" t="e">
        <f t="shared" si="46"/>
        <v>#N/A</v>
      </c>
      <c r="BW249" s="352" t="e">
        <f t="shared" si="46"/>
        <v>#N/A</v>
      </c>
      <c r="BX249" s="352" t="e">
        <f t="shared" si="46"/>
        <v>#N/A</v>
      </c>
      <c r="BY249" s="352" t="e">
        <f t="shared" ref="BY249:CC249" si="47">+BY245/$CF$138</f>
        <v>#N/A</v>
      </c>
      <c r="BZ249" s="352" t="e">
        <f t="shared" si="47"/>
        <v>#N/A</v>
      </c>
      <c r="CA249" s="352" t="e">
        <f t="shared" si="47"/>
        <v>#N/A</v>
      </c>
      <c r="CB249" s="352" t="e">
        <f t="shared" si="47"/>
        <v>#N/A</v>
      </c>
      <c r="CC249" s="352" t="e">
        <f t="shared" si="47"/>
        <v>#N/A</v>
      </c>
    </row>
    <row r="250" spans="1:88" ht="5.0999999999999996" customHeight="1" thickBot="1" x14ac:dyDescent="0.25">
      <c r="B250" s="20"/>
      <c r="C250" s="20"/>
      <c r="D250" s="20"/>
      <c r="F250" s="32"/>
      <c r="G250" s="32"/>
      <c r="H250" s="32"/>
      <c r="J250" s="116"/>
      <c r="K250" s="116"/>
      <c r="L250" s="116"/>
      <c r="M250" s="116"/>
      <c r="N250" s="116"/>
      <c r="O250" s="116"/>
      <c r="P250" s="116"/>
      <c r="Q250" s="116"/>
      <c r="R250" s="116"/>
      <c r="S250" s="116"/>
      <c r="T250" s="116"/>
      <c r="U250" s="116"/>
      <c r="V250" s="116"/>
      <c r="W250" s="116"/>
      <c r="X250" s="116"/>
      <c r="Y250" s="116"/>
      <c r="Z250" s="116"/>
      <c r="AA250" s="116"/>
      <c r="AB250" s="116"/>
      <c r="AC250" s="116"/>
      <c r="AD250" s="116"/>
      <c r="AE250" s="116"/>
      <c r="AF250" s="116"/>
      <c r="AG250" s="116"/>
      <c r="AH250" s="116"/>
      <c r="AI250" s="116"/>
      <c r="AJ250" s="116"/>
      <c r="AK250" s="116"/>
      <c r="AL250" s="116"/>
      <c r="AM250" s="116"/>
      <c r="AN250" s="116"/>
      <c r="AO250" s="116"/>
      <c r="AP250" s="116"/>
      <c r="AQ250" s="116"/>
      <c r="AR250" s="116"/>
      <c r="AS250" s="116"/>
      <c r="AT250" s="116"/>
      <c r="AU250" s="116"/>
      <c r="AV250" s="116"/>
      <c r="AW250" s="116"/>
      <c r="AX250" s="116"/>
      <c r="AY250" s="116"/>
      <c r="AZ250" s="116"/>
      <c r="BA250" s="116"/>
      <c r="BB250" s="116"/>
      <c r="BC250" s="116"/>
      <c r="BD250" s="116"/>
      <c r="BE250" s="116"/>
      <c r="BF250" s="116"/>
      <c r="BG250" s="116"/>
      <c r="BH250" s="116"/>
      <c r="BI250" s="116"/>
      <c r="BJ250" s="116"/>
      <c r="BK250" s="116"/>
      <c r="BL250" s="116"/>
      <c r="BM250" s="116"/>
      <c r="BN250" s="116"/>
      <c r="BO250" s="116"/>
      <c r="BP250" s="116"/>
      <c r="BQ250" s="116"/>
      <c r="BR250" s="116"/>
      <c r="BS250" s="116"/>
      <c r="BT250" s="116"/>
      <c r="BU250" s="116"/>
      <c r="BV250" s="116"/>
      <c r="BW250" s="116"/>
      <c r="BX250" s="116"/>
      <c r="BY250" s="116"/>
      <c r="BZ250" s="116"/>
      <c r="CA250" s="116"/>
      <c r="CB250" s="116"/>
      <c r="CC250" s="116"/>
    </row>
    <row r="251" spans="1:88" s="32" customFormat="1" ht="15.75" thickBot="1" x14ac:dyDescent="0.25">
      <c r="A251" s="185"/>
      <c r="B251" s="481" t="s">
        <v>115</v>
      </c>
      <c r="C251" s="482"/>
      <c r="D251" s="483"/>
      <c r="J251" s="100" t="e">
        <f>+J249</f>
        <v>#N/A</v>
      </c>
      <c r="K251" s="100" t="e">
        <f>+J251+K249</f>
        <v>#N/A</v>
      </c>
      <c r="L251" s="100" t="e">
        <f>+K251+L249</f>
        <v>#N/A</v>
      </c>
      <c r="M251" s="100" t="e">
        <f t="shared" ref="M251:BX251" si="48">+L251+M249</f>
        <v>#N/A</v>
      </c>
      <c r="N251" s="100" t="e">
        <f t="shared" si="48"/>
        <v>#N/A</v>
      </c>
      <c r="O251" s="100" t="e">
        <f t="shared" si="48"/>
        <v>#N/A</v>
      </c>
      <c r="P251" s="100" t="e">
        <f t="shared" si="48"/>
        <v>#N/A</v>
      </c>
      <c r="Q251" s="100" t="e">
        <f t="shared" si="48"/>
        <v>#N/A</v>
      </c>
      <c r="R251" s="100" t="e">
        <f t="shared" si="48"/>
        <v>#N/A</v>
      </c>
      <c r="S251" s="100" t="e">
        <f t="shared" si="48"/>
        <v>#N/A</v>
      </c>
      <c r="T251" s="100" t="e">
        <f t="shared" si="48"/>
        <v>#N/A</v>
      </c>
      <c r="U251" s="100" t="e">
        <f t="shared" si="48"/>
        <v>#N/A</v>
      </c>
      <c r="V251" s="100" t="e">
        <f t="shared" si="48"/>
        <v>#N/A</v>
      </c>
      <c r="W251" s="100" t="e">
        <f t="shared" si="48"/>
        <v>#N/A</v>
      </c>
      <c r="X251" s="100" t="e">
        <f t="shared" si="48"/>
        <v>#N/A</v>
      </c>
      <c r="Y251" s="100" t="e">
        <f t="shared" si="48"/>
        <v>#N/A</v>
      </c>
      <c r="Z251" s="100" t="e">
        <f t="shared" si="48"/>
        <v>#N/A</v>
      </c>
      <c r="AA251" s="100" t="e">
        <f t="shared" si="48"/>
        <v>#N/A</v>
      </c>
      <c r="AB251" s="100" t="e">
        <f t="shared" si="48"/>
        <v>#N/A</v>
      </c>
      <c r="AC251" s="100" t="e">
        <f t="shared" si="48"/>
        <v>#N/A</v>
      </c>
      <c r="AD251" s="100" t="e">
        <f t="shared" si="48"/>
        <v>#N/A</v>
      </c>
      <c r="AE251" s="100" t="e">
        <f t="shared" si="48"/>
        <v>#N/A</v>
      </c>
      <c r="AF251" s="100" t="e">
        <f t="shared" si="48"/>
        <v>#N/A</v>
      </c>
      <c r="AG251" s="100" t="e">
        <f t="shared" si="48"/>
        <v>#N/A</v>
      </c>
      <c r="AH251" s="100" t="e">
        <f t="shared" si="48"/>
        <v>#N/A</v>
      </c>
      <c r="AI251" s="100" t="e">
        <f t="shared" si="48"/>
        <v>#N/A</v>
      </c>
      <c r="AJ251" s="100" t="e">
        <f t="shared" si="48"/>
        <v>#N/A</v>
      </c>
      <c r="AK251" s="100" t="e">
        <f t="shared" si="48"/>
        <v>#N/A</v>
      </c>
      <c r="AL251" s="100" t="e">
        <f t="shared" si="48"/>
        <v>#N/A</v>
      </c>
      <c r="AM251" s="100" t="e">
        <f t="shared" si="48"/>
        <v>#N/A</v>
      </c>
      <c r="AN251" s="100" t="e">
        <f t="shared" si="48"/>
        <v>#N/A</v>
      </c>
      <c r="AO251" s="100" t="e">
        <f t="shared" si="48"/>
        <v>#N/A</v>
      </c>
      <c r="AP251" s="100" t="e">
        <f t="shared" si="48"/>
        <v>#N/A</v>
      </c>
      <c r="AQ251" s="100" t="e">
        <f t="shared" si="48"/>
        <v>#N/A</v>
      </c>
      <c r="AR251" s="100" t="e">
        <f t="shared" si="48"/>
        <v>#N/A</v>
      </c>
      <c r="AS251" s="100" t="e">
        <f t="shared" si="48"/>
        <v>#N/A</v>
      </c>
      <c r="AT251" s="100" t="e">
        <f t="shared" si="48"/>
        <v>#N/A</v>
      </c>
      <c r="AU251" s="100" t="e">
        <f t="shared" si="48"/>
        <v>#N/A</v>
      </c>
      <c r="AV251" s="100" t="e">
        <f t="shared" si="48"/>
        <v>#N/A</v>
      </c>
      <c r="AW251" s="100" t="e">
        <f t="shared" si="48"/>
        <v>#N/A</v>
      </c>
      <c r="AX251" s="100" t="e">
        <f t="shared" si="48"/>
        <v>#N/A</v>
      </c>
      <c r="AY251" s="100" t="e">
        <f t="shared" si="48"/>
        <v>#N/A</v>
      </c>
      <c r="AZ251" s="100" t="e">
        <f t="shared" si="48"/>
        <v>#N/A</v>
      </c>
      <c r="BA251" s="100" t="e">
        <f t="shared" si="48"/>
        <v>#N/A</v>
      </c>
      <c r="BB251" s="100" t="e">
        <f t="shared" si="48"/>
        <v>#N/A</v>
      </c>
      <c r="BC251" s="100" t="e">
        <f t="shared" si="48"/>
        <v>#N/A</v>
      </c>
      <c r="BD251" s="100" t="e">
        <f t="shared" si="48"/>
        <v>#N/A</v>
      </c>
      <c r="BE251" s="100" t="e">
        <f t="shared" si="48"/>
        <v>#N/A</v>
      </c>
      <c r="BF251" s="100" t="e">
        <f t="shared" si="48"/>
        <v>#N/A</v>
      </c>
      <c r="BG251" s="100" t="e">
        <f t="shared" si="48"/>
        <v>#N/A</v>
      </c>
      <c r="BH251" s="100" t="e">
        <f t="shared" si="48"/>
        <v>#N/A</v>
      </c>
      <c r="BI251" s="100" t="e">
        <f t="shared" si="48"/>
        <v>#N/A</v>
      </c>
      <c r="BJ251" s="100" t="e">
        <f t="shared" si="48"/>
        <v>#N/A</v>
      </c>
      <c r="BK251" s="100" t="e">
        <f t="shared" si="48"/>
        <v>#N/A</v>
      </c>
      <c r="BL251" s="100" t="e">
        <f t="shared" si="48"/>
        <v>#N/A</v>
      </c>
      <c r="BM251" s="100" t="e">
        <f t="shared" si="48"/>
        <v>#N/A</v>
      </c>
      <c r="BN251" s="100" t="e">
        <f t="shared" si="48"/>
        <v>#N/A</v>
      </c>
      <c r="BO251" s="100" t="e">
        <f t="shared" si="48"/>
        <v>#N/A</v>
      </c>
      <c r="BP251" s="100" t="e">
        <f t="shared" si="48"/>
        <v>#N/A</v>
      </c>
      <c r="BQ251" s="100" t="e">
        <f t="shared" si="48"/>
        <v>#N/A</v>
      </c>
      <c r="BR251" s="100" t="e">
        <f t="shared" si="48"/>
        <v>#N/A</v>
      </c>
      <c r="BS251" s="100" t="e">
        <f t="shared" si="48"/>
        <v>#N/A</v>
      </c>
      <c r="BT251" s="100" t="e">
        <f t="shared" si="48"/>
        <v>#N/A</v>
      </c>
      <c r="BU251" s="100" t="e">
        <f t="shared" si="48"/>
        <v>#N/A</v>
      </c>
      <c r="BV251" s="100" t="e">
        <f t="shared" si="48"/>
        <v>#N/A</v>
      </c>
      <c r="BW251" s="100" t="e">
        <f t="shared" si="48"/>
        <v>#N/A</v>
      </c>
      <c r="BX251" s="100" t="e">
        <f t="shared" si="48"/>
        <v>#N/A</v>
      </c>
      <c r="BY251" s="100" t="e">
        <f t="shared" ref="BY251:CC251" si="49">+BX251+BY249</f>
        <v>#N/A</v>
      </c>
      <c r="BZ251" s="100" t="e">
        <f t="shared" si="49"/>
        <v>#N/A</v>
      </c>
      <c r="CA251" s="100" t="e">
        <f t="shared" si="49"/>
        <v>#N/A</v>
      </c>
      <c r="CB251" s="100" t="e">
        <f t="shared" si="49"/>
        <v>#N/A</v>
      </c>
      <c r="CC251" s="100" t="e">
        <f t="shared" si="49"/>
        <v>#N/A</v>
      </c>
    </row>
    <row r="252" spans="1:88" ht="5.0999999999999996" customHeight="1" thickBot="1" x14ac:dyDescent="0.25"/>
    <row r="253" spans="1:88" s="17" customFormat="1" ht="15" customHeight="1" thickBot="1" x14ac:dyDescent="0.25">
      <c r="A253" s="428"/>
      <c r="B253" s="17" t="s">
        <v>126</v>
      </c>
      <c r="H253" s="138" t="e">
        <f>SUM(J253:CC253)</f>
        <v>#N/A</v>
      </c>
      <c r="J253" s="159" t="e">
        <f>IF(J152/$F$152&lt;=1,+J245,+J245/J320*$F$320)</f>
        <v>#N/A</v>
      </c>
      <c r="K253" s="159" t="e">
        <f t="shared" ref="K253:AP253" si="50">IF(K152/J152&lt;=1,+K245,+K245/K320*$F$320)</f>
        <v>#N/A</v>
      </c>
      <c r="L253" s="159" t="e">
        <f t="shared" si="50"/>
        <v>#N/A</v>
      </c>
      <c r="M253" s="159" t="e">
        <f t="shared" si="50"/>
        <v>#N/A</v>
      </c>
      <c r="N253" s="159" t="e">
        <f t="shared" si="50"/>
        <v>#N/A</v>
      </c>
      <c r="O253" s="159" t="e">
        <f t="shared" si="50"/>
        <v>#N/A</v>
      </c>
      <c r="P253" s="159" t="e">
        <f t="shared" si="50"/>
        <v>#N/A</v>
      </c>
      <c r="Q253" s="159" t="e">
        <f t="shared" si="50"/>
        <v>#N/A</v>
      </c>
      <c r="R253" s="159" t="e">
        <f t="shared" si="50"/>
        <v>#N/A</v>
      </c>
      <c r="S253" s="159" t="e">
        <f t="shared" si="50"/>
        <v>#N/A</v>
      </c>
      <c r="T253" s="159" t="e">
        <f t="shared" si="50"/>
        <v>#N/A</v>
      </c>
      <c r="U253" s="159" t="e">
        <f t="shared" si="50"/>
        <v>#N/A</v>
      </c>
      <c r="V253" s="159" t="e">
        <f t="shared" si="50"/>
        <v>#N/A</v>
      </c>
      <c r="W253" s="159" t="e">
        <f t="shared" si="50"/>
        <v>#N/A</v>
      </c>
      <c r="X253" s="159" t="e">
        <f t="shared" si="50"/>
        <v>#N/A</v>
      </c>
      <c r="Y253" s="159" t="e">
        <f t="shared" si="50"/>
        <v>#N/A</v>
      </c>
      <c r="Z253" s="159" t="e">
        <f t="shared" si="50"/>
        <v>#N/A</v>
      </c>
      <c r="AA253" s="159" t="e">
        <f t="shared" si="50"/>
        <v>#N/A</v>
      </c>
      <c r="AB253" s="159" t="e">
        <f t="shared" si="50"/>
        <v>#N/A</v>
      </c>
      <c r="AC253" s="159" t="e">
        <f t="shared" si="50"/>
        <v>#N/A</v>
      </c>
      <c r="AD253" s="159" t="e">
        <f t="shared" si="50"/>
        <v>#N/A</v>
      </c>
      <c r="AE253" s="159" t="e">
        <f t="shared" si="50"/>
        <v>#N/A</v>
      </c>
      <c r="AF253" s="159" t="e">
        <f t="shared" si="50"/>
        <v>#N/A</v>
      </c>
      <c r="AG253" s="159" t="e">
        <f t="shared" si="50"/>
        <v>#N/A</v>
      </c>
      <c r="AH253" s="159" t="e">
        <f t="shared" si="50"/>
        <v>#N/A</v>
      </c>
      <c r="AI253" s="159" t="e">
        <f t="shared" si="50"/>
        <v>#N/A</v>
      </c>
      <c r="AJ253" s="159" t="e">
        <f t="shared" si="50"/>
        <v>#N/A</v>
      </c>
      <c r="AK253" s="159" t="e">
        <f t="shared" si="50"/>
        <v>#N/A</v>
      </c>
      <c r="AL253" s="159" t="e">
        <f t="shared" si="50"/>
        <v>#N/A</v>
      </c>
      <c r="AM253" s="159" t="e">
        <f t="shared" si="50"/>
        <v>#N/A</v>
      </c>
      <c r="AN253" s="159" t="e">
        <f t="shared" si="50"/>
        <v>#N/A</v>
      </c>
      <c r="AO253" s="159" t="e">
        <f t="shared" si="50"/>
        <v>#N/A</v>
      </c>
      <c r="AP253" s="159" t="e">
        <f t="shared" si="50"/>
        <v>#N/A</v>
      </c>
      <c r="AQ253" s="159" t="e">
        <f t="shared" ref="AQ253:BV253" si="51">IF(AQ152/AP152&lt;=1,+AQ245,+AQ245/AQ320*$F$320)</f>
        <v>#N/A</v>
      </c>
      <c r="AR253" s="159" t="e">
        <f t="shared" si="51"/>
        <v>#N/A</v>
      </c>
      <c r="AS253" s="159" t="e">
        <f t="shared" si="51"/>
        <v>#N/A</v>
      </c>
      <c r="AT253" s="159" t="e">
        <f t="shared" si="51"/>
        <v>#N/A</v>
      </c>
      <c r="AU253" s="159" t="e">
        <f t="shared" si="51"/>
        <v>#N/A</v>
      </c>
      <c r="AV253" s="159" t="e">
        <f t="shared" si="51"/>
        <v>#N/A</v>
      </c>
      <c r="AW253" s="159" t="e">
        <f t="shared" si="51"/>
        <v>#N/A</v>
      </c>
      <c r="AX253" s="159" t="e">
        <f t="shared" si="51"/>
        <v>#N/A</v>
      </c>
      <c r="AY253" s="159" t="e">
        <f t="shared" si="51"/>
        <v>#N/A</v>
      </c>
      <c r="AZ253" s="159" t="e">
        <f t="shared" si="51"/>
        <v>#N/A</v>
      </c>
      <c r="BA253" s="159" t="e">
        <f t="shared" si="51"/>
        <v>#N/A</v>
      </c>
      <c r="BB253" s="159" t="e">
        <f t="shared" si="51"/>
        <v>#N/A</v>
      </c>
      <c r="BC253" s="159" t="e">
        <f t="shared" si="51"/>
        <v>#N/A</v>
      </c>
      <c r="BD253" s="159" t="e">
        <f t="shared" si="51"/>
        <v>#N/A</v>
      </c>
      <c r="BE253" s="159" t="e">
        <f t="shared" si="51"/>
        <v>#N/A</v>
      </c>
      <c r="BF253" s="159" t="e">
        <f t="shared" si="51"/>
        <v>#N/A</v>
      </c>
      <c r="BG253" s="159" t="e">
        <f t="shared" si="51"/>
        <v>#N/A</v>
      </c>
      <c r="BH253" s="159" t="e">
        <f t="shared" si="51"/>
        <v>#N/A</v>
      </c>
      <c r="BI253" s="159" t="e">
        <f t="shared" si="51"/>
        <v>#N/A</v>
      </c>
      <c r="BJ253" s="159" t="e">
        <f t="shared" si="51"/>
        <v>#N/A</v>
      </c>
      <c r="BK253" s="159" t="e">
        <f t="shared" si="51"/>
        <v>#N/A</v>
      </c>
      <c r="BL253" s="159" t="e">
        <f t="shared" si="51"/>
        <v>#N/A</v>
      </c>
      <c r="BM253" s="159" t="e">
        <f t="shared" si="51"/>
        <v>#N/A</v>
      </c>
      <c r="BN253" s="159" t="e">
        <f t="shared" si="51"/>
        <v>#N/A</v>
      </c>
      <c r="BO253" s="159" t="e">
        <f t="shared" si="51"/>
        <v>#N/A</v>
      </c>
      <c r="BP253" s="159" t="e">
        <f t="shared" si="51"/>
        <v>#N/A</v>
      </c>
      <c r="BQ253" s="159" t="e">
        <f t="shared" si="51"/>
        <v>#N/A</v>
      </c>
      <c r="BR253" s="159" t="e">
        <f t="shared" si="51"/>
        <v>#N/A</v>
      </c>
      <c r="BS253" s="159" t="e">
        <f t="shared" si="51"/>
        <v>#N/A</v>
      </c>
      <c r="BT253" s="159" t="e">
        <f t="shared" si="51"/>
        <v>#N/A</v>
      </c>
      <c r="BU253" s="159" t="e">
        <f t="shared" si="51"/>
        <v>#N/A</v>
      </c>
      <c r="BV253" s="159" t="e">
        <f t="shared" si="51"/>
        <v>#N/A</v>
      </c>
      <c r="BW253" s="159" t="e">
        <f t="shared" ref="BW253:CC253" si="52">IF(BW152/BV152&lt;=1,+BW245,+BW245/BW320*$F$320)</f>
        <v>#N/A</v>
      </c>
      <c r="BX253" s="159" t="e">
        <f t="shared" si="52"/>
        <v>#N/A</v>
      </c>
      <c r="BY253" s="159" t="e">
        <f t="shared" si="52"/>
        <v>#N/A</v>
      </c>
      <c r="BZ253" s="159" t="e">
        <f t="shared" si="52"/>
        <v>#N/A</v>
      </c>
      <c r="CA253" s="159" t="e">
        <f t="shared" si="52"/>
        <v>#N/A</v>
      </c>
      <c r="CB253" s="159" t="e">
        <f t="shared" si="52"/>
        <v>#N/A</v>
      </c>
      <c r="CC253" s="159" t="e">
        <f t="shared" si="52"/>
        <v>#N/A</v>
      </c>
      <c r="CI253" s="135"/>
      <c r="CJ253" s="135"/>
    </row>
    <row r="254" spans="1:88" ht="5.0999999999999996" customHeight="1" x14ac:dyDescent="0.2">
      <c r="CI254" s="23"/>
      <c r="CJ254" s="23"/>
    </row>
    <row r="255" spans="1:88" s="20" customFormat="1" ht="15" customHeight="1" x14ac:dyDescent="0.2">
      <c r="A255" s="427"/>
      <c r="B255" s="269" t="s">
        <v>127</v>
      </c>
      <c r="C255" s="269"/>
      <c r="D255" s="269"/>
      <c r="E255" s="269"/>
      <c r="F255" s="269"/>
      <c r="G255" s="269"/>
      <c r="H255" s="269"/>
      <c r="I255" s="269"/>
      <c r="J255" s="287"/>
      <c r="K255" s="269"/>
      <c r="L255" s="287"/>
      <c r="M255" s="269"/>
      <c r="N255" s="269"/>
      <c r="O255" s="269"/>
      <c r="P255" s="269"/>
      <c r="Q255" s="269"/>
      <c r="R255" s="269"/>
      <c r="S255" s="269"/>
      <c r="T255" s="269"/>
      <c r="U255" s="269"/>
      <c r="V255" s="269"/>
      <c r="W255" s="269"/>
      <c r="X255" s="269"/>
      <c r="Y255" s="269"/>
      <c r="Z255" s="269"/>
      <c r="AA255" s="269"/>
      <c r="AB255" s="269"/>
      <c r="AC255" s="269"/>
      <c r="AD255" s="269"/>
      <c r="AE255" s="269"/>
      <c r="AF255" s="269"/>
      <c r="AG255" s="269"/>
      <c r="AH255" s="269"/>
      <c r="AI255" s="269"/>
      <c r="AJ255" s="269"/>
      <c r="AK255" s="269"/>
      <c r="AL255" s="269"/>
      <c r="AM255" s="269"/>
      <c r="AN255" s="269"/>
      <c r="AO255" s="269"/>
      <c r="AP255" s="269"/>
      <c r="AQ255" s="269"/>
      <c r="AR255" s="269"/>
      <c r="AS255" s="269"/>
      <c r="AT255" s="269"/>
      <c r="AU255" s="269"/>
      <c r="AV255" s="269"/>
      <c r="AW255" s="269"/>
      <c r="AX255" s="269"/>
      <c r="AY255" s="269"/>
      <c r="AZ255" s="269"/>
      <c r="BA255" s="269"/>
      <c r="BB255" s="269"/>
      <c r="BC255" s="269"/>
      <c r="BD255" s="269"/>
      <c r="BE255" s="269"/>
      <c r="BF255" s="269"/>
      <c r="BG255" s="269"/>
      <c r="BH255" s="269"/>
      <c r="BI255" s="269"/>
      <c r="BJ255" s="269"/>
      <c r="BK255" s="269"/>
      <c r="BL255" s="269"/>
      <c r="BM255" s="269"/>
      <c r="BN255" s="269"/>
      <c r="BO255" s="269"/>
      <c r="BP255" s="269"/>
      <c r="BQ255" s="269"/>
      <c r="BR255" s="269"/>
      <c r="BS255" s="269"/>
      <c r="BT255" s="269"/>
      <c r="BU255" s="269"/>
      <c r="BV255" s="269"/>
      <c r="BW255" s="269"/>
      <c r="BX255" s="269"/>
      <c r="BY255" s="269"/>
      <c r="BZ255" s="269"/>
      <c r="CA255" s="269"/>
      <c r="CB255" s="269"/>
      <c r="CC255" s="269"/>
    </row>
    <row r="256" spans="1:88" ht="5.0999999999999996" customHeight="1" thickBot="1" x14ac:dyDescent="0.25">
      <c r="H256" s="32"/>
    </row>
    <row r="257" spans="1:89" s="32" customFormat="1" ht="53.1" customHeight="1" thickBot="1" x14ac:dyDescent="0.25">
      <c r="A257" s="185"/>
      <c r="B257" s="536" t="s">
        <v>128</v>
      </c>
      <c r="C257" s="537"/>
      <c r="D257" s="537"/>
      <c r="E257" s="537"/>
      <c r="F257" s="538"/>
      <c r="H257" s="286" t="s">
        <v>281</v>
      </c>
      <c r="J257" s="106" t="e">
        <f t="shared" ref="J257:AO257" si="53">+J220</f>
        <v>#N/A</v>
      </c>
      <c r="K257" s="106" t="e">
        <f t="shared" si="53"/>
        <v>#N/A</v>
      </c>
      <c r="L257" s="106" t="e">
        <f t="shared" si="53"/>
        <v>#N/A</v>
      </c>
      <c r="M257" s="106" t="e">
        <f t="shared" si="53"/>
        <v>#N/A</v>
      </c>
      <c r="N257" s="106" t="e">
        <f t="shared" si="53"/>
        <v>#N/A</v>
      </c>
      <c r="O257" s="106" t="e">
        <f t="shared" si="53"/>
        <v>#N/A</v>
      </c>
      <c r="P257" s="106" t="e">
        <f t="shared" si="53"/>
        <v>#N/A</v>
      </c>
      <c r="Q257" s="106" t="e">
        <f t="shared" si="53"/>
        <v>#N/A</v>
      </c>
      <c r="R257" s="106" t="e">
        <f t="shared" si="53"/>
        <v>#N/A</v>
      </c>
      <c r="S257" s="106" t="e">
        <f t="shared" si="53"/>
        <v>#N/A</v>
      </c>
      <c r="T257" s="106" t="e">
        <f t="shared" si="53"/>
        <v>#N/A</v>
      </c>
      <c r="U257" s="106" t="e">
        <f t="shared" si="53"/>
        <v>#N/A</v>
      </c>
      <c r="V257" s="106" t="e">
        <f t="shared" si="53"/>
        <v>#N/A</v>
      </c>
      <c r="W257" s="106" t="e">
        <f t="shared" si="53"/>
        <v>#N/A</v>
      </c>
      <c r="X257" s="106" t="e">
        <f t="shared" si="53"/>
        <v>#N/A</v>
      </c>
      <c r="Y257" s="106" t="e">
        <f t="shared" si="53"/>
        <v>#N/A</v>
      </c>
      <c r="Z257" s="106" t="e">
        <f t="shared" si="53"/>
        <v>#N/A</v>
      </c>
      <c r="AA257" s="106" t="e">
        <f t="shared" si="53"/>
        <v>#N/A</v>
      </c>
      <c r="AB257" s="106" t="e">
        <f t="shared" si="53"/>
        <v>#N/A</v>
      </c>
      <c r="AC257" s="106" t="e">
        <f t="shared" si="53"/>
        <v>#N/A</v>
      </c>
      <c r="AD257" s="106" t="e">
        <f t="shared" si="53"/>
        <v>#N/A</v>
      </c>
      <c r="AE257" s="106" t="e">
        <f t="shared" si="53"/>
        <v>#N/A</v>
      </c>
      <c r="AF257" s="106" t="e">
        <f t="shared" si="53"/>
        <v>#N/A</v>
      </c>
      <c r="AG257" s="106" t="e">
        <f t="shared" si="53"/>
        <v>#N/A</v>
      </c>
      <c r="AH257" s="106" t="e">
        <f t="shared" si="53"/>
        <v>#N/A</v>
      </c>
      <c r="AI257" s="106" t="e">
        <f t="shared" si="53"/>
        <v>#N/A</v>
      </c>
      <c r="AJ257" s="106" t="e">
        <f t="shared" si="53"/>
        <v>#N/A</v>
      </c>
      <c r="AK257" s="106" t="e">
        <f t="shared" si="53"/>
        <v>#N/A</v>
      </c>
      <c r="AL257" s="106" t="e">
        <f t="shared" si="53"/>
        <v>#N/A</v>
      </c>
      <c r="AM257" s="106" t="e">
        <f t="shared" si="53"/>
        <v>#N/A</v>
      </c>
      <c r="AN257" s="106" t="e">
        <f t="shared" si="53"/>
        <v>#N/A</v>
      </c>
      <c r="AO257" s="106" t="e">
        <f t="shared" si="53"/>
        <v>#N/A</v>
      </c>
      <c r="AP257" s="106" t="e">
        <f t="shared" ref="AP257:BU257" si="54">+AP220</f>
        <v>#N/A</v>
      </c>
      <c r="AQ257" s="106" t="e">
        <f t="shared" si="54"/>
        <v>#N/A</v>
      </c>
      <c r="AR257" s="106" t="e">
        <f t="shared" si="54"/>
        <v>#N/A</v>
      </c>
      <c r="AS257" s="106" t="e">
        <f t="shared" si="54"/>
        <v>#N/A</v>
      </c>
      <c r="AT257" s="106" t="e">
        <f t="shared" si="54"/>
        <v>#N/A</v>
      </c>
      <c r="AU257" s="106" t="e">
        <f t="shared" si="54"/>
        <v>#N/A</v>
      </c>
      <c r="AV257" s="106" t="e">
        <f t="shared" si="54"/>
        <v>#N/A</v>
      </c>
      <c r="AW257" s="106" t="e">
        <f t="shared" si="54"/>
        <v>#N/A</v>
      </c>
      <c r="AX257" s="106" t="e">
        <f t="shared" si="54"/>
        <v>#N/A</v>
      </c>
      <c r="AY257" s="106" t="e">
        <f t="shared" si="54"/>
        <v>#N/A</v>
      </c>
      <c r="AZ257" s="106" t="e">
        <f t="shared" si="54"/>
        <v>#N/A</v>
      </c>
      <c r="BA257" s="106" t="e">
        <f t="shared" si="54"/>
        <v>#N/A</v>
      </c>
      <c r="BB257" s="106" t="e">
        <f t="shared" si="54"/>
        <v>#N/A</v>
      </c>
      <c r="BC257" s="106" t="e">
        <f t="shared" si="54"/>
        <v>#N/A</v>
      </c>
      <c r="BD257" s="106" t="e">
        <f t="shared" si="54"/>
        <v>#N/A</v>
      </c>
      <c r="BE257" s="106" t="e">
        <f t="shared" si="54"/>
        <v>#N/A</v>
      </c>
      <c r="BF257" s="106" t="e">
        <f t="shared" si="54"/>
        <v>#N/A</v>
      </c>
      <c r="BG257" s="106" t="e">
        <f t="shared" si="54"/>
        <v>#N/A</v>
      </c>
      <c r="BH257" s="106" t="e">
        <f t="shared" si="54"/>
        <v>#N/A</v>
      </c>
      <c r="BI257" s="106" t="e">
        <f t="shared" si="54"/>
        <v>#N/A</v>
      </c>
      <c r="BJ257" s="106" t="e">
        <f t="shared" si="54"/>
        <v>#N/A</v>
      </c>
      <c r="BK257" s="106" t="e">
        <f t="shared" si="54"/>
        <v>#N/A</v>
      </c>
      <c r="BL257" s="106" t="e">
        <f t="shared" si="54"/>
        <v>#N/A</v>
      </c>
      <c r="BM257" s="106" t="e">
        <f t="shared" si="54"/>
        <v>#N/A</v>
      </c>
      <c r="BN257" s="106" t="e">
        <f t="shared" si="54"/>
        <v>#N/A</v>
      </c>
      <c r="BO257" s="106" t="e">
        <f t="shared" si="54"/>
        <v>#N/A</v>
      </c>
      <c r="BP257" s="106" t="e">
        <f t="shared" si="54"/>
        <v>#N/A</v>
      </c>
      <c r="BQ257" s="106" t="e">
        <f t="shared" si="54"/>
        <v>#N/A</v>
      </c>
      <c r="BR257" s="106" t="e">
        <f t="shared" si="54"/>
        <v>#N/A</v>
      </c>
      <c r="BS257" s="106" t="e">
        <f t="shared" si="54"/>
        <v>#N/A</v>
      </c>
      <c r="BT257" s="106" t="e">
        <f t="shared" si="54"/>
        <v>#N/A</v>
      </c>
      <c r="BU257" s="106" t="e">
        <f t="shared" si="54"/>
        <v>#N/A</v>
      </c>
      <c r="BV257" s="106" t="e">
        <f t="shared" ref="BV257:CC257" si="55">+BV220</f>
        <v>#N/A</v>
      </c>
      <c r="BW257" s="106" t="e">
        <f t="shared" si="55"/>
        <v>#N/A</v>
      </c>
      <c r="BX257" s="106" t="e">
        <f t="shared" si="55"/>
        <v>#N/A</v>
      </c>
      <c r="BY257" s="106" t="e">
        <f t="shared" si="55"/>
        <v>#N/A</v>
      </c>
      <c r="BZ257" s="106" t="e">
        <f t="shared" si="55"/>
        <v>#N/A</v>
      </c>
      <c r="CA257" s="106" t="e">
        <f t="shared" si="55"/>
        <v>#N/A</v>
      </c>
      <c r="CB257" s="106" t="e">
        <f t="shared" si="55"/>
        <v>#N/A</v>
      </c>
      <c r="CC257" s="106" t="e">
        <f t="shared" si="55"/>
        <v>#N/A</v>
      </c>
    </row>
    <row r="258" spans="1:89" s="32" customFormat="1" ht="5.0999999999999996" customHeight="1" thickBot="1" x14ac:dyDescent="0.25">
      <c r="A258" s="185"/>
      <c r="B258" s="20"/>
      <c r="C258" s="20"/>
      <c r="D258" s="20"/>
      <c r="E258" s="20"/>
      <c r="F258" s="20"/>
    </row>
    <row r="259" spans="1:89" s="32" customFormat="1" ht="24.95" customHeight="1" thickBot="1" x14ac:dyDescent="0.25">
      <c r="A259" s="185"/>
      <c r="B259" s="481" t="s">
        <v>129</v>
      </c>
      <c r="C259" s="482"/>
      <c r="D259" s="482"/>
      <c r="E259" s="482"/>
      <c r="F259" s="483"/>
      <c r="H259" s="115">
        <f>SUM(J259:CC259)</f>
        <v>0</v>
      </c>
      <c r="J259" s="115">
        <f t="shared" ref="J259:AO259" si="56">+J208</f>
        <v>0</v>
      </c>
      <c r="K259" s="115">
        <f t="shared" si="56"/>
        <v>0</v>
      </c>
      <c r="L259" s="115">
        <f t="shared" si="56"/>
        <v>0</v>
      </c>
      <c r="M259" s="115">
        <f t="shared" si="56"/>
        <v>0</v>
      </c>
      <c r="N259" s="115">
        <f t="shared" si="56"/>
        <v>0</v>
      </c>
      <c r="O259" s="115">
        <f t="shared" si="56"/>
        <v>0</v>
      </c>
      <c r="P259" s="115">
        <f t="shared" si="56"/>
        <v>0</v>
      </c>
      <c r="Q259" s="115">
        <f t="shared" si="56"/>
        <v>0</v>
      </c>
      <c r="R259" s="115">
        <f t="shared" si="56"/>
        <v>0</v>
      </c>
      <c r="S259" s="115">
        <f t="shared" si="56"/>
        <v>0</v>
      </c>
      <c r="T259" s="115">
        <f t="shared" si="56"/>
        <v>0</v>
      </c>
      <c r="U259" s="115">
        <f t="shared" si="56"/>
        <v>0</v>
      </c>
      <c r="V259" s="115">
        <f t="shared" si="56"/>
        <v>0</v>
      </c>
      <c r="W259" s="115">
        <f t="shared" si="56"/>
        <v>0</v>
      </c>
      <c r="X259" s="115">
        <f t="shared" si="56"/>
        <v>0</v>
      </c>
      <c r="Y259" s="115">
        <f t="shared" si="56"/>
        <v>0</v>
      </c>
      <c r="Z259" s="115">
        <f t="shared" si="56"/>
        <v>0</v>
      </c>
      <c r="AA259" s="115">
        <f t="shared" si="56"/>
        <v>0</v>
      </c>
      <c r="AB259" s="115">
        <f t="shared" si="56"/>
        <v>0</v>
      </c>
      <c r="AC259" s="115">
        <f t="shared" si="56"/>
        <v>0</v>
      </c>
      <c r="AD259" s="115">
        <f t="shared" si="56"/>
        <v>0</v>
      </c>
      <c r="AE259" s="115">
        <f t="shared" si="56"/>
        <v>0</v>
      </c>
      <c r="AF259" s="115">
        <f t="shared" si="56"/>
        <v>0</v>
      </c>
      <c r="AG259" s="115">
        <f t="shared" si="56"/>
        <v>0</v>
      </c>
      <c r="AH259" s="115">
        <f t="shared" si="56"/>
        <v>0</v>
      </c>
      <c r="AI259" s="115">
        <f t="shared" si="56"/>
        <v>0</v>
      </c>
      <c r="AJ259" s="115">
        <f t="shared" si="56"/>
        <v>0</v>
      </c>
      <c r="AK259" s="115">
        <f t="shared" si="56"/>
        <v>0</v>
      </c>
      <c r="AL259" s="115">
        <f t="shared" si="56"/>
        <v>0</v>
      </c>
      <c r="AM259" s="115">
        <f t="shared" si="56"/>
        <v>0</v>
      </c>
      <c r="AN259" s="115">
        <f t="shared" si="56"/>
        <v>0</v>
      </c>
      <c r="AO259" s="115">
        <f t="shared" si="56"/>
        <v>0</v>
      </c>
      <c r="AP259" s="115">
        <f t="shared" ref="AP259:BU259" si="57">+AP208</f>
        <v>0</v>
      </c>
      <c r="AQ259" s="115">
        <f t="shared" si="57"/>
        <v>0</v>
      </c>
      <c r="AR259" s="115">
        <f t="shared" si="57"/>
        <v>0</v>
      </c>
      <c r="AS259" s="115">
        <f t="shared" si="57"/>
        <v>0</v>
      </c>
      <c r="AT259" s="115">
        <f t="shared" si="57"/>
        <v>0</v>
      </c>
      <c r="AU259" s="115">
        <f t="shared" si="57"/>
        <v>0</v>
      </c>
      <c r="AV259" s="115">
        <f t="shared" si="57"/>
        <v>0</v>
      </c>
      <c r="AW259" s="115">
        <f t="shared" si="57"/>
        <v>0</v>
      </c>
      <c r="AX259" s="115">
        <f t="shared" si="57"/>
        <v>0</v>
      </c>
      <c r="AY259" s="115">
        <f t="shared" si="57"/>
        <v>0</v>
      </c>
      <c r="AZ259" s="115">
        <f t="shared" si="57"/>
        <v>0</v>
      </c>
      <c r="BA259" s="115">
        <f t="shared" si="57"/>
        <v>0</v>
      </c>
      <c r="BB259" s="115">
        <f t="shared" si="57"/>
        <v>0</v>
      </c>
      <c r="BC259" s="115">
        <f t="shared" si="57"/>
        <v>0</v>
      </c>
      <c r="BD259" s="115">
        <f t="shared" si="57"/>
        <v>0</v>
      </c>
      <c r="BE259" s="115">
        <f t="shared" si="57"/>
        <v>0</v>
      </c>
      <c r="BF259" s="115">
        <f t="shared" si="57"/>
        <v>0</v>
      </c>
      <c r="BG259" s="115">
        <f t="shared" si="57"/>
        <v>0</v>
      </c>
      <c r="BH259" s="115">
        <f t="shared" si="57"/>
        <v>0</v>
      </c>
      <c r="BI259" s="115">
        <f t="shared" si="57"/>
        <v>0</v>
      </c>
      <c r="BJ259" s="115">
        <f t="shared" si="57"/>
        <v>0</v>
      </c>
      <c r="BK259" s="115">
        <f t="shared" si="57"/>
        <v>0</v>
      </c>
      <c r="BL259" s="115">
        <f t="shared" si="57"/>
        <v>0</v>
      </c>
      <c r="BM259" s="115">
        <f t="shared" si="57"/>
        <v>0</v>
      </c>
      <c r="BN259" s="115">
        <f t="shared" si="57"/>
        <v>0</v>
      </c>
      <c r="BO259" s="115">
        <f t="shared" si="57"/>
        <v>0</v>
      </c>
      <c r="BP259" s="115">
        <f t="shared" si="57"/>
        <v>0</v>
      </c>
      <c r="BQ259" s="115">
        <f t="shared" si="57"/>
        <v>0</v>
      </c>
      <c r="BR259" s="115">
        <f t="shared" si="57"/>
        <v>0</v>
      </c>
      <c r="BS259" s="115">
        <f t="shared" si="57"/>
        <v>0</v>
      </c>
      <c r="BT259" s="115">
        <f t="shared" si="57"/>
        <v>0</v>
      </c>
      <c r="BU259" s="115">
        <f t="shared" si="57"/>
        <v>0</v>
      </c>
      <c r="BV259" s="115">
        <f t="shared" ref="BV259:CC259" si="58">+BV208</f>
        <v>0</v>
      </c>
      <c r="BW259" s="115">
        <f t="shared" si="58"/>
        <v>0</v>
      </c>
      <c r="BX259" s="115">
        <f t="shared" si="58"/>
        <v>0</v>
      </c>
      <c r="BY259" s="115">
        <f t="shared" si="58"/>
        <v>0</v>
      </c>
      <c r="BZ259" s="115">
        <f t="shared" si="58"/>
        <v>0</v>
      </c>
      <c r="CA259" s="115">
        <f t="shared" si="58"/>
        <v>0</v>
      </c>
      <c r="CB259" s="115">
        <f t="shared" si="58"/>
        <v>0</v>
      </c>
      <c r="CC259" s="115">
        <f t="shared" si="58"/>
        <v>0</v>
      </c>
    </row>
    <row r="260" spans="1:89" ht="5.0999999999999996" customHeight="1" thickBot="1" x14ac:dyDescent="0.25">
      <c r="B260" s="20"/>
      <c r="C260" s="20"/>
      <c r="D260" s="20"/>
      <c r="E260" s="20"/>
      <c r="F260" s="20"/>
      <c r="G260" s="32"/>
      <c r="H260" s="113"/>
      <c r="J260" s="113"/>
      <c r="K260" s="113"/>
      <c r="L260" s="113"/>
      <c r="M260" s="113"/>
      <c r="N260" s="113"/>
      <c r="O260" s="113"/>
      <c r="P260" s="113"/>
      <c r="Q260" s="113"/>
      <c r="R260" s="113"/>
      <c r="S260" s="113"/>
      <c r="T260" s="113"/>
      <c r="U260" s="113"/>
      <c r="V260" s="113"/>
      <c r="W260" s="113"/>
      <c r="X260" s="113"/>
      <c r="Y260" s="113"/>
      <c r="Z260" s="113"/>
      <c r="AA260" s="113"/>
      <c r="AB260" s="113"/>
      <c r="AC260" s="113"/>
      <c r="AD260" s="113"/>
      <c r="AE260" s="113"/>
      <c r="AF260" s="113"/>
      <c r="AG260" s="113"/>
      <c r="AH260" s="113"/>
      <c r="AI260" s="113"/>
      <c r="AJ260" s="113"/>
      <c r="AK260" s="113"/>
      <c r="AL260" s="113"/>
      <c r="AM260" s="113"/>
      <c r="AN260" s="113"/>
      <c r="AO260" s="113"/>
      <c r="AP260" s="113"/>
      <c r="AQ260" s="113"/>
      <c r="AR260" s="113"/>
      <c r="AS260" s="113"/>
      <c r="AT260" s="113"/>
      <c r="AU260" s="113"/>
      <c r="AV260" s="113"/>
      <c r="AW260" s="113"/>
      <c r="AX260" s="113"/>
      <c r="AY260" s="113"/>
      <c r="AZ260" s="113"/>
      <c r="BA260" s="113"/>
      <c r="BB260" s="113"/>
      <c r="BC260" s="113"/>
      <c r="BD260" s="113"/>
      <c r="BE260" s="113"/>
      <c r="BF260" s="113"/>
      <c r="BG260" s="113"/>
      <c r="BH260" s="113"/>
      <c r="BI260" s="113"/>
      <c r="BJ260" s="113"/>
      <c r="BK260" s="113"/>
      <c r="BL260" s="113"/>
      <c r="BM260" s="113"/>
      <c r="BN260" s="113"/>
      <c r="BO260" s="113"/>
      <c r="BP260" s="113"/>
      <c r="BQ260" s="113"/>
      <c r="BR260" s="113"/>
      <c r="BS260" s="113"/>
      <c r="BT260" s="113"/>
      <c r="BU260" s="113"/>
      <c r="BV260" s="113"/>
      <c r="BW260" s="113"/>
      <c r="BX260" s="113"/>
      <c r="BY260" s="113"/>
      <c r="BZ260" s="113"/>
      <c r="CA260" s="113"/>
      <c r="CB260" s="113"/>
      <c r="CC260" s="113"/>
    </row>
    <row r="261" spans="1:89" s="32" customFormat="1" ht="24.95" customHeight="1" thickBot="1" x14ac:dyDescent="0.25">
      <c r="A261" s="185"/>
      <c r="B261" s="481" t="s">
        <v>130</v>
      </c>
      <c r="C261" s="482"/>
      <c r="D261" s="482"/>
      <c r="E261" s="482"/>
      <c r="F261" s="483"/>
      <c r="H261" s="115" t="e">
        <f>SUM(J261:CC261)</f>
        <v>#N/A</v>
      </c>
      <c r="I261" s="156"/>
      <c r="J261" s="115" t="e">
        <f>+J245</f>
        <v>#N/A</v>
      </c>
      <c r="K261" s="115" t="e">
        <f t="shared" ref="K261:BV261" si="59">+K245</f>
        <v>#N/A</v>
      </c>
      <c r="L261" s="115" t="e">
        <f t="shared" si="59"/>
        <v>#N/A</v>
      </c>
      <c r="M261" s="115" t="e">
        <f t="shared" si="59"/>
        <v>#N/A</v>
      </c>
      <c r="N261" s="115" t="e">
        <f t="shared" si="59"/>
        <v>#N/A</v>
      </c>
      <c r="O261" s="115" t="e">
        <f t="shared" si="59"/>
        <v>#N/A</v>
      </c>
      <c r="P261" s="115" t="e">
        <f t="shared" si="59"/>
        <v>#N/A</v>
      </c>
      <c r="Q261" s="115" t="e">
        <f t="shared" si="59"/>
        <v>#N/A</v>
      </c>
      <c r="R261" s="115" t="e">
        <f t="shared" si="59"/>
        <v>#N/A</v>
      </c>
      <c r="S261" s="115" t="e">
        <f t="shared" si="59"/>
        <v>#N/A</v>
      </c>
      <c r="T261" s="115" t="e">
        <f t="shared" si="59"/>
        <v>#N/A</v>
      </c>
      <c r="U261" s="115" t="e">
        <f t="shared" si="59"/>
        <v>#N/A</v>
      </c>
      <c r="V261" s="115" t="e">
        <f t="shared" si="59"/>
        <v>#N/A</v>
      </c>
      <c r="W261" s="115" t="e">
        <f t="shared" si="59"/>
        <v>#N/A</v>
      </c>
      <c r="X261" s="115" t="e">
        <f t="shared" si="59"/>
        <v>#N/A</v>
      </c>
      <c r="Y261" s="115" t="e">
        <f t="shared" si="59"/>
        <v>#N/A</v>
      </c>
      <c r="Z261" s="115" t="e">
        <f t="shared" si="59"/>
        <v>#N/A</v>
      </c>
      <c r="AA261" s="115" t="e">
        <f t="shared" si="59"/>
        <v>#N/A</v>
      </c>
      <c r="AB261" s="115" t="e">
        <f t="shared" si="59"/>
        <v>#N/A</v>
      </c>
      <c r="AC261" s="115" t="e">
        <f t="shared" si="59"/>
        <v>#N/A</v>
      </c>
      <c r="AD261" s="115" t="e">
        <f t="shared" si="59"/>
        <v>#N/A</v>
      </c>
      <c r="AE261" s="115" t="e">
        <f t="shared" si="59"/>
        <v>#N/A</v>
      </c>
      <c r="AF261" s="115" t="e">
        <f t="shared" si="59"/>
        <v>#N/A</v>
      </c>
      <c r="AG261" s="115" t="e">
        <f t="shared" si="59"/>
        <v>#N/A</v>
      </c>
      <c r="AH261" s="115" t="e">
        <f t="shared" si="59"/>
        <v>#N/A</v>
      </c>
      <c r="AI261" s="115" t="e">
        <f t="shared" si="59"/>
        <v>#N/A</v>
      </c>
      <c r="AJ261" s="115" t="e">
        <f t="shared" si="59"/>
        <v>#N/A</v>
      </c>
      <c r="AK261" s="115" t="e">
        <f t="shared" si="59"/>
        <v>#N/A</v>
      </c>
      <c r="AL261" s="115" t="e">
        <f t="shared" si="59"/>
        <v>#N/A</v>
      </c>
      <c r="AM261" s="115" t="e">
        <f t="shared" si="59"/>
        <v>#N/A</v>
      </c>
      <c r="AN261" s="115" t="e">
        <f t="shared" si="59"/>
        <v>#N/A</v>
      </c>
      <c r="AO261" s="115" t="e">
        <f t="shared" si="59"/>
        <v>#N/A</v>
      </c>
      <c r="AP261" s="115" t="e">
        <f t="shared" si="59"/>
        <v>#N/A</v>
      </c>
      <c r="AQ261" s="115" t="e">
        <f t="shared" si="59"/>
        <v>#N/A</v>
      </c>
      <c r="AR261" s="115" t="e">
        <f t="shared" si="59"/>
        <v>#N/A</v>
      </c>
      <c r="AS261" s="115" t="e">
        <f t="shared" si="59"/>
        <v>#N/A</v>
      </c>
      <c r="AT261" s="115" t="e">
        <f t="shared" si="59"/>
        <v>#N/A</v>
      </c>
      <c r="AU261" s="115" t="e">
        <f t="shared" si="59"/>
        <v>#N/A</v>
      </c>
      <c r="AV261" s="115" t="e">
        <f t="shared" si="59"/>
        <v>#N/A</v>
      </c>
      <c r="AW261" s="115" t="e">
        <f t="shared" si="59"/>
        <v>#N/A</v>
      </c>
      <c r="AX261" s="115" t="e">
        <f t="shared" si="59"/>
        <v>#N/A</v>
      </c>
      <c r="AY261" s="115" t="e">
        <f t="shared" si="59"/>
        <v>#N/A</v>
      </c>
      <c r="AZ261" s="115" t="e">
        <f t="shared" si="59"/>
        <v>#N/A</v>
      </c>
      <c r="BA261" s="115" t="e">
        <f t="shared" si="59"/>
        <v>#N/A</v>
      </c>
      <c r="BB261" s="115" t="e">
        <f t="shared" si="59"/>
        <v>#N/A</v>
      </c>
      <c r="BC261" s="115" t="e">
        <f t="shared" si="59"/>
        <v>#N/A</v>
      </c>
      <c r="BD261" s="115" t="e">
        <f t="shared" si="59"/>
        <v>#N/A</v>
      </c>
      <c r="BE261" s="115" t="e">
        <f t="shared" si="59"/>
        <v>#N/A</v>
      </c>
      <c r="BF261" s="115" t="e">
        <f t="shared" si="59"/>
        <v>#N/A</v>
      </c>
      <c r="BG261" s="115" t="e">
        <f t="shared" si="59"/>
        <v>#N/A</v>
      </c>
      <c r="BH261" s="115" t="e">
        <f t="shared" si="59"/>
        <v>#N/A</v>
      </c>
      <c r="BI261" s="115" t="e">
        <f t="shared" si="59"/>
        <v>#N/A</v>
      </c>
      <c r="BJ261" s="115" t="e">
        <f t="shared" si="59"/>
        <v>#N/A</v>
      </c>
      <c r="BK261" s="115" t="e">
        <f t="shared" si="59"/>
        <v>#N/A</v>
      </c>
      <c r="BL261" s="115" t="e">
        <f t="shared" si="59"/>
        <v>#N/A</v>
      </c>
      <c r="BM261" s="115" t="e">
        <f t="shared" si="59"/>
        <v>#N/A</v>
      </c>
      <c r="BN261" s="115" t="e">
        <f t="shared" si="59"/>
        <v>#N/A</v>
      </c>
      <c r="BO261" s="115" t="e">
        <f t="shared" si="59"/>
        <v>#N/A</v>
      </c>
      <c r="BP261" s="115" t="e">
        <f t="shared" si="59"/>
        <v>#N/A</v>
      </c>
      <c r="BQ261" s="115" t="e">
        <f t="shared" si="59"/>
        <v>#N/A</v>
      </c>
      <c r="BR261" s="115" t="e">
        <f t="shared" si="59"/>
        <v>#N/A</v>
      </c>
      <c r="BS261" s="115" t="e">
        <f t="shared" si="59"/>
        <v>#N/A</v>
      </c>
      <c r="BT261" s="115" t="e">
        <f t="shared" si="59"/>
        <v>#N/A</v>
      </c>
      <c r="BU261" s="115" t="e">
        <f t="shared" si="59"/>
        <v>#N/A</v>
      </c>
      <c r="BV261" s="115" t="e">
        <f t="shared" si="59"/>
        <v>#N/A</v>
      </c>
      <c r="BW261" s="115" t="e">
        <f t="shared" ref="BW261:CC261" si="60">+BW245</f>
        <v>#N/A</v>
      </c>
      <c r="BX261" s="115" t="e">
        <f t="shared" si="60"/>
        <v>#N/A</v>
      </c>
      <c r="BY261" s="115" t="e">
        <f t="shared" si="60"/>
        <v>#N/A</v>
      </c>
      <c r="BZ261" s="115" t="e">
        <f t="shared" si="60"/>
        <v>#N/A</v>
      </c>
      <c r="CA261" s="115" t="e">
        <f t="shared" si="60"/>
        <v>#N/A</v>
      </c>
      <c r="CB261" s="115" t="e">
        <f t="shared" si="60"/>
        <v>#N/A</v>
      </c>
      <c r="CC261" s="115" t="e">
        <f t="shared" si="60"/>
        <v>#N/A</v>
      </c>
    </row>
    <row r="262" spans="1:89" ht="5.0999999999999996" customHeight="1" thickBot="1" x14ac:dyDescent="0.25">
      <c r="B262" s="20"/>
      <c r="C262" s="20"/>
      <c r="D262" s="20"/>
      <c r="E262" s="20"/>
      <c r="F262" s="20"/>
      <c r="G262" s="32"/>
      <c r="H262" s="113"/>
      <c r="J262" s="113"/>
      <c r="K262" s="113"/>
      <c r="L262" s="113"/>
      <c r="M262" s="113"/>
      <c r="N262" s="113"/>
      <c r="O262" s="113"/>
      <c r="P262" s="113"/>
      <c r="Q262" s="113"/>
      <c r="R262" s="113"/>
      <c r="S262" s="113"/>
      <c r="T262" s="113"/>
      <c r="U262" s="113"/>
      <c r="V262" s="113"/>
      <c r="W262" s="113"/>
      <c r="X262" s="113"/>
      <c r="Y262" s="113"/>
      <c r="Z262" s="113"/>
      <c r="AA262" s="113"/>
      <c r="AB262" s="113"/>
      <c r="AC262" s="113"/>
      <c r="AD262" s="113"/>
      <c r="AE262" s="113"/>
      <c r="AF262" s="113"/>
      <c r="AG262" s="113"/>
      <c r="AH262" s="113"/>
      <c r="AI262" s="113"/>
      <c r="AJ262" s="113"/>
      <c r="AK262" s="113"/>
      <c r="AL262" s="113"/>
      <c r="AM262" s="113"/>
      <c r="AN262" s="113"/>
      <c r="AO262" s="113"/>
      <c r="AP262" s="113"/>
      <c r="AQ262" s="113"/>
      <c r="AR262" s="113"/>
      <c r="AS262" s="113"/>
      <c r="AT262" s="113"/>
      <c r="AU262" s="113"/>
      <c r="AV262" s="113"/>
      <c r="AW262" s="113"/>
      <c r="AX262" s="113"/>
      <c r="AY262" s="113"/>
      <c r="AZ262" s="113"/>
      <c r="BA262" s="113"/>
      <c r="BB262" s="113"/>
      <c r="BC262" s="113"/>
      <c r="BD262" s="113"/>
      <c r="BE262" s="113"/>
      <c r="BF262" s="113"/>
      <c r="BG262" s="113"/>
      <c r="BH262" s="113"/>
      <c r="BI262" s="113"/>
      <c r="BJ262" s="113"/>
      <c r="BK262" s="113"/>
      <c r="BL262" s="113"/>
      <c r="BM262" s="113"/>
      <c r="BN262" s="113"/>
      <c r="BO262" s="113"/>
      <c r="BP262" s="113"/>
      <c r="BQ262" s="113"/>
      <c r="BR262" s="113"/>
      <c r="BS262" s="113"/>
      <c r="BT262" s="113"/>
      <c r="BU262" s="113"/>
      <c r="BV262" s="113"/>
      <c r="BW262" s="113"/>
      <c r="BX262" s="113"/>
      <c r="BY262" s="113"/>
      <c r="BZ262" s="113"/>
      <c r="CA262" s="113"/>
      <c r="CB262" s="113"/>
      <c r="CC262" s="113"/>
    </row>
    <row r="263" spans="1:89" s="32" customFormat="1" ht="15" customHeight="1" thickBot="1" x14ac:dyDescent="0.25">
      <c r="A263" s="185"/>
      <c r="B263" s="492" t="s">
        <v>120</v>
      </c>
      <c r="C263" s="493"/>
      <c r="D263" s="493"/>
      <c r="E263" s="493"/>
      <c r="F263" s="493"/>
      <c r="G263" s="186"/>
      <c r="H263" s="290" t="e">
        <f>+H259+H261</f>
        <v>#N/A</v>
      </c>
      <c r="I263" s="186"/>
      <c r="J263" s="290" t="e">
        <f>+J259+J261</f>
        <v>#N/A</v>
      </c>
      <c r="K263" s="290" t="e">
        <f t="shared" ref="K263:BV263" si="61">+K259+K261</f>
        <v>#N/A</v>
      </c>
      <c r="L263" s="290" t="e">
        <f t="shared" si="61"/>
        <v>#N/A</v>
      </c>
      <c r="M263" s="290" t="e">
        <f t="shared" si="61"/>
        <v>#N/A</v>
      </c>
      <c r="N263" s="290" t="e">
        <f t="shared" si="61"/>
        <v>#N/A</v>
      </c>
      <c r="O263" s="290" t="e">
        <f t="shared" si="61"/>
        <v>#N/A</v>
      </c>
      <c r="P263" s="290" t="e">
        <f t="shared" si="61"/>
        <v>#N/A</v>
      </c>
      <c r="Q263" s="290" t="e">
        <f t="shared" si="61"/>
        <v>#N/A</v>
      </c>
      <c r="R263" s="290" t="e">
        <f t="shared" si="61"/>
        <v>#N/A</v>
      </c>
      <c r="S263" s="290" t="e">
        <f t="shared" si="61"/>
        <v>#N/A</v>
      </c>
      <c r="T263" s="290" t="e">
        <f t="shared" si="61"/>
        <v>#N/A</v>
      </c>
      <c r="U263" s="290" t="e">
        <f t="shared" si="61"/>
        <v>#N/A</v>
      </c>
      <c r="V263" s="290" t="e">
        <f t="shared" si="61"/>
        <v>#N/A</v>
      </c>
      <c r="W263" s="290" t="e">
        <f t="shared" si="61"/>
        <v>#N/A</v>
      </c>
      <c r="X263" s="290" t="e">
        <f t="shared" si="61"/>
        <v>#N/A</v>
      </c>
      <c r="Y263" s="290" t="e">
        <f t="shared" si="61"/>
        <v>#N/A</v>
      </c>
      <c r="Z263" s="290" t="e">
        <f t="shared" si="61"/>
        <v>#N/A</v>
      </c>
      <c r="AA263" s="290" t="e">
        <f t="shared" si="61"/>
        <v>#N/A</v>
      </c>
      <c r="AB263" s="290" t="e">
        <f t="shared" si="61"/>
        <v>#N/A</v>
      </c>
      <c r="AC263" s="290" t="e">
        <f t="shared" si="61"/>
        <v>#N/A</v>
      </c>
      <c r="AD263" s="290" t="e">
        <f t="shared" si="61"/>
        <v>#N/A</v>
      </c>
      <c r="AE263" s="290" t="e">
        <f t="shared" si="61"/>
        <v>#N/A</v>
      </c>
      <c r="AF263" s="290" t="e">
        <f t="shared" si="61"/>
        <v>#N/A</v>
      </c>
      <c r="AG263" s="290" t="e">
        <f t="shared" si="61"/>
        <v>#N/A</v>
      </c>
      <c r="AH263" s="290" t="e">
        <f t="shared" si="61"/>
        <v>#N/A</v>
      </c>
      <c r="AI263" s="290" t="e">
        <f t="shared" si="61"/>
        <v>#N/A</v>
      </c>
      <c r="AJ263" s="290" t="e">
        <f t="shared" si="61"/>
        <v>#N/A</v>
      </c>
      <c r="AK263" s="290" t="e">
        <f t="shared" si="61"/>
        <v>#N/A</v>
      </c>
      <c r="AL263" s="290" t="e">
        <f t="shared" si="61"/>
        <v>#N/A</v>
      </c>
      <c r="AM263" s="290" t="e">
        <f t="shared" si="61"/>
        <v>#N/A</v>
      </c>
      <c r="AN263" s="290" t="e">
        <f t="shared" si="61"/>
        <v>#N/A</v>
      </c>
      <c r="AO263" s="290" t="e">
        <f t="shared" si="61"/>
        <v>#N/A</v>
      </c>
      <c r="AP263" s="290" t="e">
        <f t="shared" si="61"/>
        <v>#N/A</v>
      </c>
      <c r="AQ263" s="290" t="e">
        <f t="shared" si="61"/>
        <v>#N/A</v>
      </c>
      <c r="AR263" s="290" t="e">
        <f t="shared" si="61"/>
        <v>#N/A</v>
      </c>
      <c r="AS263" s="290" t="e">
        <f t="shared" si="61"/>
        <v>#N/A</v>
      </c>
      <c r="AT263" s="290" t="e">
        <f t="shared" si="61"/>
        <v>#N/A</v>
      </c>
      <c r="AU263" s="290" t="e">
        <f t="shared" si="61"/>
        <v>#N/A</v>
      </c>
      <c r="AV263" s="290" t="e">
        <f t="shared" si="61"/>
        <v>#N/A</v>
      </c>
      <c r="AW263" s="290" t="e">
        <f t="shared" si="61"/>
        <v>#N/A</v>
      </c>
      <c r="AX263" s="290" t="e">
        <f t="shared" si="61"/>
        <v>#N/A</v>
      </c>
      <c r="AY263" s="290" t="e">
        <f t="shared" si="61"/>
        <v>#N/A</v>
      </c>
      <c r="AZ263" s="290" t="e">
        <f t="shared" si="61"/>
        <v>#N/A</v>
      </c>
      <c r="BA263" s="290" t="e">
        <f t="shared" si="61"/>
        <v>#N/A</v>
      </c>
      <c r="BB263" s="290" t="e">
        <f t="shared" si="61"/>
        <v>#N/A</v>
      </c>
      <c r="BC263" s="290" t="e">
        <f t="shared" si="61"/>
        <v>#N/A</v>
      </c>
      <c r="BD263" s="290" t="e">
        <f t="shared" si="61"/>
        <v>#N/A</v>
      </c>
      <c r="BE263" s="290" t="e">
        <f t="shared" si="61"/>
        <v>#N/A</v>
      </c>
      <c r="BF263" s="290" t="e">
        <f t="shared" si="61"/>
        <v>#N/A</v>
      </c>
      <c r="BG263" s="290" t="e">
        <f t="shared" si="61"/>
        <v>#N/A</v>
      </c>
      <c r="BH263" s="290" t="e">
        <f t="shared" si="61"/>
        <v>#N/A</v>
      </c>
      <c r="BI263" s="290" t="e">
        <f t="shared" si="61"/>
        <v>#N/A</v>
      </c>
      <c r="BJ263" s="290" t="e">
        <f t="shared" si="61"/>
        <v>#N/A</v>
      </c>
      <c r="BK263" s="290" t="e">
        <f t="shared" si="61"/>
        <v>#N/A</v>
      </c>
      <c r="BL263" s="290" t="e">
        <f t="shared" si="61"/>
        <v>#N/A</v>
      </c>
      <c r="BM263" s="290" t="e">
        <f t="shared" si="61"/>
        <v>#N/A</v>
      </c>
      <c r="BN263" s="290" t="e">
        <f t="shared" si="61"/>
        <v>#N/A</v>
      </c>
      <c r="BO263" s="290" t="e">
        <f t="shared" si="61"/>
        <v>#N/A</v>
      </c>
      <c r="BP263" s="290" t="e">
        <f t="shared" si="61"/>
        <v>#N/A</v>
      </c>
      <c r="BQ263" s="290" t="e">
        <f t="shared" si="61"/>
        <v>#N/A</v>
      </c>
      <c r="BR263" s="290" t="e">
        <f t="shared" si="61"/>
        <v>#N/A</v>
      </c>
      <c r="BS263" s="290" t="e">
        <f t="shared" si="61"/>
        <v>#N/A</v>
      </c>
      <c r="BT263" s="290" t="e">
        <f t="shared" si="61"/>
        <v>#N/A</v>
      </c>
      <c r="BU263" s="290" t="e">
        <f t="shared" si="61"/>
        <v>#N/A</v>
      </c>
      <c r="BV263" s="290" t="e">
        <f t="shared" si="61"/>
        <v>#N/A</v>
      </c>
      <c r="BW263" s="290" t="e">
        <f t="shared" ref="BW263:CC263" si="62">+BW259+BW261</f>
        <v>#N/A</v>
      </c>
      <c r="BX263" s="290" t="e">
        <f t="shared" si="62"/>
        <v>#N/A</v>
      </c>
      <c r="BY263" s="290" t="e">
        <f t="shared" si="62"/>
        <v>#N/A</v>
      </c>
      <c r="BZ263" s="290" t="e">
        <f t="shared" si="62"/>
        <v>#N/A</v>
      </c>
      <c r="CA263" s="290" t="e">
        <f t="shared" si="62"/>
        <v>#N/A</v>
      </c>
      <c r="CB263" s="290" t="e">
        <f t="shared" si="62"/>
        <v>#N/A</v>
      </c>
      <c r="CC263" s="290" t="e">
        <f t="shared" si="62"/>
        <v>#N/A</v>
      </c>
    </row>
    <row r="264" spans="1:89" ht="5.0999999999999996" customHeight="1" thickBot="1" x14ac:dyDescent="0.25">
      <c r="B264" s="20"/>
      <c r="C264" s="20"/>
      <c r="D264" s="20"/>
      <c r="E264" s="20"/>
      <c r="F264" s="20"/>
      <c r="G264" s="32"/>
      <c r="H264" s="32"/>
      <c r="J264" s="113"/>
      <c r="K264" s="113"/>
      <c r="L264" s="113"/>
      <c r="M264" s="113"/>
      <c r="N264" s="113"/>
      <c r="O264" s="113"/>
      <c r="P264" s="113"/>
      <c r="Q264" s="113"/>
      <c r="R264" s="113"/>
      <c r="S264" s="113"/>
      <c r="T264" s="113"/>
      <c r="U264" s="113"/>
      <c r="V264" s="113"/>
      <c r="W264" s="113"/>
      <c r="X264" s="113"/>
      <c r="Y264" s="113"/>
      <c r="Z264" s="113"/>
      <c r="AA264" s="113"/>
      <c r="AB264" s="113"/>
      <c r="AC264" s="113"/>
      <c r="AD264" s="113"/>
      <c r="AE264" s="113"/>
      <c r="AF264" s="113"/>
      <c r="AG264" s="113"/>
      <c r="AH264" s="113"/>
      <c r="AI264" s="113"/>
      <c r="AJ264" s="113"/>
      <c r="AK264" s="113"/>
      <c r="AL264" s="113"/>
      <c r="AM264" s="113"/>
      <c r="AN264" s="113"/>
      <c r="AO264" s="113"/>
      <c r="AP264" s="113"/>
      <c r="AQ264" s="113"/>
      <c r="AR264" s="113"/>
      <c r="AS264" s="113"/>
      <c r="AT264" s="113"/>
      <c r="AU264" s="113"/>
      <c r="AV264" s="113"/>
      <c r="AW264" s="113"/>
      <c r="AX264" s="113"/>
      <c r="AY264" s="113"/>
      <c r="AZ264" s="113"/>
      <c r="BA264" s="113"/>
      <c r="BB264" s="113"/>
      <c r="BC264" s="113"/>
      <c r="BD264" s="113"/>
      <c r="BE264" s="113"/>
      <c r="BF264" s="113"/>
      <c r="BG264" s="113"/>
      <c r="BH264" s="113"/>
      <c r="BI264" s="113"/>
      <c r="BJ264" s="113"/>
      <c r="BK264" s="113"/>
      <c r="BL264" s="113"/>
      <c r="BM264" s="113"/>
      <c r="BN264" s="113"/>
      <c r="BO264" s="113"/>
      <c r="BP264" s="113"/>
      <c r="BQ264" s="113"/>
      <c r="BR264" s="113"/>
      <c r="BS264" s="113"/>
      <c r="BT264" s="113"/>
      <c r="BU264" s="113"/>
      <c r="BV264" s="113"/>
      <c r="BW264" s="113"/>
      <c r="BX264" s="113"/>
      <c r="BY264" s="113"/>
      <c r="BZ264" s="113"/>
      <c r="CA264" s="113"/>
      <c r="CB264" s="113"/>
      <c r="CC264" s="113"/>
    </row>
    <row r="265" spans="1:89" s="32" customFormat="1" ht="15.75" customHeight="1" thickBot="1" x14ac:dyDescent="0.25">
      <c r="A265" s="185"/>
      <c r="B265" s="481" t="s">
        <v>121</v>
      </c>
      <c r="C265" s="482"/>
      <c r="D265" s="482"/>
      <c r="E265" s="482"/>
      <c r="F265" s="483"/>
      <c r="H265"/>
      <c r="J265" s="115" t="e">
        <f>+J263</f>
        <v>#N/A</v>
      </c>
      <c r="K265" s="115" t="e">
        <f>+J265+K263</f>
        <v>#N/A</v>
      </c>
      <c r="L265" s="115" t="e">
        <f t="shared" ref="L265:BW265" si="63">+K265+L263</f>
        <v>#N/A</v>
      </c>
      <c r="M265" s="115" t="e">
        <f t="shared" si="63"/>
        <v>#N/A</v>
      </c>
      <c r="N265" s="115" t="e">
        <f t="shared" si="63"/>
        <v>#N/A</v>
      </c>
      <c r="O265" s="115" t="e">
        <f t="shared" si="63"/>
        <v>#N/A</v>
      </c>
      <c r="P265" s="115" t="e">
        <f t="shared" si="63"/>
        <v>#N/A</v>
      </c>
      <c r="Q265" s="115" t="e">
        <f t="shared" si="63"/>
        <v>#N/A</v>
      </c>
      <c r="R265" s="115" t="e">
        <f t="shared" si="63"/>
        <v>#N/A</v>
      </c>
      <c r="S265" s="115" t="e">
        <f t="shared" si="63"/>
        <v>#N/A</v>
      </c>
      <c r="T265" s="115" t="e">
        <f t="shared" si="63"/>
        <v>#N/A</v>
      </c>
      <c r="U265" s="115" t="e">
        <f t="shared" si="63"/>
        <v>#N/A</v>
      </c>
      <c r="V265" s="115" t="e">
        <f t="shared" si="63"/>
        <v>#N/A</v>
      </c>
      <c r="W265" s="115" t="e">
        <f t="shared" si="63"/>
        <v>#N/A</v>
      </c>
      <c r="X265" s="115" t="e">
        <f t="shared" si="63"/>
        <v>#N/A</v>
      </c>
      <c r="Y265" s="115" t="e">
        <f t="shared" si="63"/>
        <v>#N/A</v>
      </c>
      <c r="Z265" s="115" t="e">
        <f t="shared" si="63"/>
        <v>#N/A</v>
      </c>
      <c r="AA265" s="115" t="e">
        <f t="shared" si="63"/>
        <v>#N/A</v>
      </c>
      <c r="AB265" s="115" t="e">
        <f t="shared" si="63"/>
        <v>#N/A</v>
      </c>
      <c r="AC265" s="115" t="e">
        <f t="shared" si="63"/>
        <v>#N/A</v>
      </c>
      <c r="AD265" s="115" t="e">
        <f t="shared" si="63"/>
        <v>#N/A</v>
      </c>
      <c r="AE265" s="115" t="e">
        <f t="shared" si="63"/>
        <v>#N/A</v>
      </c>
      <c r="AF265" s="115" t="e">
        <f t="shared" si="63"/>
        <v>#N/A</v>
      </c>
      <c r="AG265" s="115" t="e">
        <f t="shared" si="63"/>
        <v>#N/A</v>
      </c>
      <c r="AH265" s="115" t="e">
        <f t="shared" si="63"/>
        <v>#N/A</v>
      </c>
      <c r="AI265" s="115" t="e">
        <f t="shared" si="63"/>
        <v>#N/A</v>
      </c>
      <c r="AJ265" s="115" t="e">
        <f t="shared" si="63"/>
        <v>#N/A</v>
      </c>
      <c r="AK265" s="115" t="e">
        <f t="shared" si="63"/>
        <v>#N/A</v>
      </c>
      <c r="AL265" s="115" t="e">
        <f t="shared" si="63"/>
        <v>#N/A</v>
      </c>
      <c r="AM265" s="115" t="e">
        <f t="shared" si="63"/>
        <v>#N/A</v>
      </c>
      <c r="AN265" s="115" t="e">
        <f t="shared" si="63"/>
        <v>#N/A</v>
      </c>
      <c r="AO265" s="115" t="e">
        <f t="shared" si="63"/>
        <v>#N/A</v>
      </c>
      <c r="AP265" s="115" t="e">
        <f t="shared" si="63"/>
        <v>#N/A</v>
      </c>
      <c r="AQ265" s="115" t="e">
        <f t="shared" si="63"/>
        <v>#N/A</v>
      </c>
      <c r="AR265" s="115" t="e">
        <f t="shared" si="63"/>
        <v>#N/A</v>
      </c>
      <c r="AS265" s="115" t="e">
        <f t="shared" si="63"/>
        <v>#N/A</v>
      </c>
      <c r="AT265" s="115" t="e">
        <f t="shared" si="63"/>
        <v>#N/A</v>
      </c>
      <c r="AU265" s="115" t="e">
        <f t="shared" si="63"/>
        <v>#N/A</v>
      </c>
      <c r="AV265" s="115" t="e">
        <f t="shared" si="63"/>
        <v>#N/A</v>
      </c>
      <c r="AW265" s="115" t="e">
        <f t="shared" si="63"/>
        <v>#N/A</v>
      </c>
      <c r="AX265" s="115" t="e">
        <f t="shared" si="63"/>
        <v>#N/A</v>
      </c>
      <c r="AY265" s="115" t="e">
        <f t="shared" si="63"/>
        <v>#N/A</v>
      </c>
      <c r="AZ265" s="115" t="e">
        <f t="shared" si="63"/>
        <v>#N/A</v>
      </c>
      <c r="BA265" s="115" t="e">
        <f t="shared" si="63"/>
        <v>#N/A</v>
      </c>
      <c r="BB265" s="115" t="e">
        <f t="shared" si="63"/>
        <v>#N/A</v>
      </c>
      <c r="BC265" s="115" t="e">
        <f t="shared" si="63"/>
        <v>#N/A</v>
      </c>
      <c r="BD265" s="115" t="e">
        <f t="shared" si="63"/>
        <v>#N/A</v>
      </c>
      <c r="BE265" s="115" t="e">
        <f t="shared" si="63"/>
        <v>#N/A</v>
      </c>
      <c r="BF265" s="115" t="e">
        <f t="shared" si="63"/>
        <v>#N/A</v>
      </c>
      <c r="BG265" s="115" t="e">
        <f t="shared" si="63"/>
        <v>#N/A</v>
      </c>
      <c r="BH265" s="115" t="e">
        <f t="shared" si="63"/>
        <v>#N/A</v>
      </c>
      <c r="BI265" s="115" t="e">
        <f t="shared" si="63"/>
        <v>#N/A</v>
      </c>
      <c r="BJ265" s="115" t="e">
        <f t="shared" si="63"/>
        <v>#N/A</v>
      </c>
      <c r="BK265" s="115" t="e">
        <f t="shared" si="63"/>
        <v>#N/A</v>
      </c>
      <c r="BL265" s="115" t="e">
        <f t="shared" si="63"/>
        <v>#N/A</v>
      </c>
      <c r="BM265" s="115" t="e">
        <f t="shared" si="63"/>
        <v>#N/A</v>
      </c>
      <c r="BN265" s="115" t="e">
        <f t="shared" si="63"/>
        <v>#N/A</v>
      </c>
      <c r="BO265" s="115" t="e">
        <f t="shared" si="63"/>
        <v>#N/A</v>
      </c>
      <c r="BP265" s="115" t="e">
        <f t="shared" si="63"/>
        <v>#N/A</v>
      </c>
      <c r="BQ265" s="115" t="e">
        <f t="shared" si="63"/>
        <v>#N/A</v>
      </c>
      <c r="BR265" s="115" t="e">
        <f t="shared" si="63"/>
        <v>#N/A</v>
      </c>
      <c r="BS265" s="115" t="e">
        <f t="shared" si="63"/>
        <v>#N/A</v>
      </c>
      <c r="BT265" s="115" t="e">
        <f t="shared" si="63"/>
        <v>#N/A</v>
      </c>
      <c r="BU265" s="115" t="e">
        <f t="shared" si="63"/>
        <v>#N/A</v>
      </c>
      <c r="BV265" s="115" t="e">
        <f t="shared" si="63"/>
        <v>#N/A</v>
      </c>
      <c r="BW265" s="115" t="e">
        <f t="shared" si="63"/>
        <v>#N/A</v>
      </c>
      <c r="BX265" s="115" t="e">
        <f t="shared" ref="BX265:CC265" si="64">+BW265+BX263</f>
        <v>#N/A</v>
      </c>
      <c r="BY265" s="115" t="e">
        <f t="shared" si="64"/>
        <v>#N/A</v>
      </c>
      <c r="BZ265" s="115" t="e">
        <f t="shared" si="64"/>
        <v>#N/A</v>
      </c>
      <c r="CA265" s="115" t="e">
        <f t="shared" si="64"/>
        <v>#N/A</v>
      </c>
      <c r="CB265" s="115" t="e">
        <f t="shared" si="64"/>
        <v>#N/A</v>
      </c>
      <c r="CC265" s="115" t="e">
        <f t="shared" si="64"/>
        <v>#N/A</v>
      </c>
      <c r="CI265" s="134"/>
      <c r="CJ265" s="134"/>
    </row>
    <row r="266" spans="1:89" ht="5.0999999999999996" customHeight="1" thickBot="1" x14ac:dyDescent="0.25">
      <c r="B266" s="20"/>
      <c r="C266" s="20"/>
      <c r="D266" s="20"/>
      <c r="E266" s="20"/>
      <c r="F266" s="20"/>
      <c r="J266" s="303"/>
      <c r="K266" s="303"/>
      <c r="L266" s="303"/>
      <c r="M266" s="303"/>
      <c r="N266" s="303"/>
      <c r="O266" s="303"/>
      <c r="P266" s="303"/>
      <c r="Q266" s="303"/>
      <c r="R266" s="303"/>
      <c r="S266" s="303"/>
      <c r="T266" s="303"/>
      <c r="U266" s="303"/>
      <c r="V266" s="303"/>
      <c r="W266" s="303"/>
      <c r="X266" s="303"/>
      <c r="Y266" s="303"/>
      <c r="Z266" s="303"/>
      <c r="AA266" s="303"/>
      <c r="AB266" s="303"/>
      <c r="AC266" s="303"/>
      <c r="AD266" s="303"/>
      <c r="AE266" s="303"/>
      <c r="AF266" s="303"/>
      <c r="AG266" s="303"/>
      <c r="AH266" s="303"/>
      <c r="AI266" s="303"/>
      <c r="AJ266" s="303"/>
      <c r="AK266" s="303"/>
      <c r="AL266" s="303"/>
      <c r="AM266" s="303"/>
      <c r="AN266" s="303"/>
      <c r="AO266" s="303"/>
      <c r="AP266" s="303"/>
      <c r="AQ266" s="303"/>
      <c r="AR266" s="303"/>
      <c r="AS266" s="303"/>
      <c r="AT266" s="303"/>
      <c r="AU266" s="303"/>
      <c r="AV266" s="303"/>
      <c r="AW266" s="303"/>
      <c r="AX266" s="303"/>
      <c r="AY266" s="303"/>
      <c r="AZ266" s="303"/>
      <c r="BA266" s="303"/>
      <c r="BB266" s="303"/>
      <c r="BC266" s="303"/>
      <c r="BD266" s="303"/>
      <c r="BE266" s="303"/>
      <c r="BF266" s="303"/>
      <c r="BG266" s="303"/>
      <c r="BH266" s="303"/>
      <c r="BI266" s="303"/>
      <c r="BJ266" s="303"/>
      <c r="BK266" s="303"/>
      <c r="BL266" s="303"/>
      <c r="BM266" s="303"/>
      <c r="BN266" s="303"/>
      <c r="BO266" s="303"/>
      <c r="BP266" s="303"/>
      <c r="BQ266" s="303"/>
      <c r="BR266" s="303"/>
      <c r="BS266" s="303"/>
      <c r="BT266" s="303"/>
      <c r="BU266" s="303"/>
      <c r="BV266" s="303"/>
      <c r="BW266" s="303"/>
      <c r="BX266" s="303"/>
      <c r="BY266" s="303"/>
      <c r="BZ266" s="303"/>
      <c r="CA266" s="303"/>
      <c r="CB266" s="303"/>
      <c r="CC266" s="303"/>
      <c r="CI266" s="23"/>
      <c r="CJ266" s="23"/>
    </row>
    <row r="267" spans="1:89" s="32" customFormat="1" ht="15.75" thickBot="1" x14ac:dyDescent="0.25">
      <c r="A267" s="185"/>
      <c r="B267" s="481" t="s">
        <v>114</v>
      </c>
      <c r="C267" s="482"/>
      <c r="D267" s="482"/>
      <c r="E267" s="482"/>
      <c r="F267" s="483"/>
      <c r="H267" s="85" t="e">
        <f>+SUM(J267:CC267)</f>
        <v>#N/A</v>
      </c>
      <c r="J267" s="100" t="e">
        <f>IF($H$263=0,0,+J263/$H$263)</f>
        <v>#N/A</v>
      </c>
      <c r="K267" s="100" t="e">
        <f>IF($H$263=0,0,+K263/$H$263)</f>
        <v>#N/A</v>
      </c>
      <c r="L267" s="100" t="e">
        <f t="shared" ref="L267:BW267" si="65">IF($H$263=0,0,+L263/$H$263)</f>
        <v>#N/A</v>
      </c>
      <c r="M267" s="100" t="e">
        <f t="shared" si="65"/>
        <v>#N/A</v>
      </c>
      <c r="N267" s="100" t="e">
        <f t="shared" si="65"/>
        <v>#N/A</v>
      </c>
      <c r="O267" s="100" t="e">
        <f t="shared" si="65"/>
        <v>#N/A</v>
      </c>
      <c r="P267" s="100" t="e">
        <f t="shared" si="65"/>
        <v>#N/A</v>
      </c>
      <c r="Q267" s="100" t="e">
        <f t="shared" si="65"/>
        <v>#N/A</v>
      </c>
      <c r="R267" s="100" t="e">
        <f t="shared" si="65"/>
        <v>#N/A</v>
      </c>
      <c r="S267" s="100" t="e">
        <f t="shared" si="65"/>
        <v>#N/A</v>
      </c>
      <c r="T267" s="100" t="e">
        <f t="shared" si="65"/>
        <v>#N/A</v>
      </c>
      <c r="U267" s="100" t="e">
        <f t="shared" si="65"/>
        <v>#N/A</v>
      </c>
      <c r="V267" s="100" t="e">
        <f t="shared" si="65"/>
        <v>#N/A</v>
      </c>
      <c r="W267" s="100" t="e">
        <f t="shared" si="65"/>
        <v>#N/A</v>
      </c>
      <c r="X267" s="100" t="e">
        <f t="shared" si="65"/>
        <v>#N/A</v>
      </c>
      <c r="Y267" s="100" t="e">
        <f t="shared" si="65"/>
        <v>#N/A</v>
      </c>
      <c r="Z267" s="100" t="e">
        <f t="shared" si="65"/>
        <v>#N/A</v>
      </c>
      <c r="AA267" s="100" t="e">
        <f t="shared" si="65"/>
        <v>#N/A</v>
      </c>
      <c r="AB267" s="100" t="e">
        <f t="shared" si="65"/>
        <v>#N/A</v>
      </c>
      <c r="AC267" s="100" t="e">
        <f t="shared" si="65"/>
        <v>#N/A</v>
      </c>
      <c r="AD267" s="100" t="e">
        <f t="shared" si="65"/>
        <v>#N/A</v>
      </c>
      <c r="AE267" s="100" t="e">
        <f t="shared" si="65"/>
        <v>#N/A</v>
      </c>
      <c r="AF267" s="100" t="e">
        <f t="shared" si="65"/>
        <v>#N/A</v>
      </c>
      <c r="AG267" s="100" t="e">
        <f t="shared" si="65"/>
        <v>#N/A</v>
      </c>
      <c r="AH267" s="100" t="e">
        <f t="shared" si="65"/>
        <v>#N/A</v>
      </c>
      <c r="AI267" s="100" t="e">
        <f t="shared" si="65"/>
        <v>#N/A</v>
      </c>
      <c r="AJ267" s="100" t="e">
        <f t="shared" si="65"/>
        <v>#N/A</v>
      </c>
      <c r="AK267" s="100" t="e">
        <f t="shared" si="65"/>
        <v>#N/A</v>
      </c>
      <c r="AL267" s="100" t="e">
        <f t="shared" si="65"/>
        <v>#N/A</v>
      </c>
      <c r="AM267" s="100" t="e">
        <f t="shared" si="65"/>
        <v>#N/A</v>
      </c>
      <c r="AN267" s="100" t="e">
        <f t="shared" si="65"/>
        <v>#N/A</v>
      </c>
      <c r="AO267" s="100" t="e">
        <f t="shared" si="65"/>
        <v>#N/A</v>
      </c>
      <c r="AP267" s="100" t="e">
        <f t="shared" si="65"/>
        <v>#N/A</v>
      </c>
      <c r="AQ267" s="100" t="e">
        <f t="shared" si="65"/>
        <v>#N/A</v>
      </c>
      <c r="AR267" s="100" t="e">
        <f t="shared" si="65"/>
        <v>#N/A</v>
      </c>
      <c r="AS267" s="100" t="e">
        <f t="shared" si="65"/>
        <v>#N/A</v>
      </c>
      <c r="AT267" s="100" t="e">
        <f t="shared" si="65"/>
        <v>#N/A</v>
      </c>
      <c r="AU267" s="100" t="e">
        <f t="shared" si="65"/>
        <v>#N/A</v>
      </c>
      <c r="AV267" s="100" t="e">
        <f t="shared" si="65"/>
        <v>#N/A</v>
      </c>
      <c r="AW267" s="100" t="e">
        <f t="shared" si="65"/>
        <v>#N/A</v>
      </c>
      <c r="AX267" s="100" t="e">
        <f t="shared" si="65"/>
        <v>#N/A</v>
      </c>
      <c r="AY267" s="100" t="e">
        <f t="shared" si="65"/>
        <v>#N/A</v>
      </c>
      <c r="AZ267" s="100" t="e">
        <f t="shared" si="65"/>
        <v>#N/A</v>
      </c>
      <c r="BA267" s="100" t="e">
        <f t="shared" si="65"/>
        <v>#N/A</v>
      </c>
      <c r="BB267" s="100" t="e">
        <f t="shared" si="65"/>
        <v>#N/A</v>
      </c>
      <c r="BC267" s="100" t="e">
        <f t="shared" si="65"/>
        <v>#N/A</v>
      </c>
      <c r="BD267" s="100" t="e">
        <f t="shared" si="65"/>
        <v>#N/A</v>
      </c>
      <c r="BE267" s="100" t="e">
        <f t="shared" si="65"/>
        <v>#N/A</v>
      </c>
      <c r="BF267" s="100" t="e">
        <f t="shared" si="65"/>
        <v>#N/A</v>
      </c>
      <c r="BG267" s="100" t="e">
        <f t="shared" si="65"/>
        <v>#N/A</v>
      </c>
      <c r="BH267" s="100" t="e">
        <f t="shared" si="65"/>
        <v>#N/A</v>
      </c>
      <c r="BI267" s="100" t="e">
        <f t="shared" si="65"/>
        <v>#N/A</v>
      </c>
      <c r="BJ267" s="100" t="e">
        <f t="shared" si="65"/>
        <v>#N/A</v>
      </c>
      <c r="BK267" s="100" t="e">
        <f t="shared" si="65"/>
        <v>#N/A</v>
      </c>
      <c r="BL267" s="100" t="e">
        <f t="shared" si="65"/>
        <v>#N/A</v>
      </c>
      <c r="BM267" s="100" t="e">
        <f t="shared" si="65"/>
        <v>#N/A</v>
      </c>
      <c r="BN267" s="100" t="e">
        <f t="shared" si="65"/>
        <v>#N/A</v>
      </c>
      <c r="BO267" s="100" t="e">
        <f t="shared" si="65"/>
        <v>#N/A</v>
      </c>
      <c r="BP267" s="100" t="e">
        <f t="shared" si="65"/>
        <v>#N/A</v>
      </c>
      <c r="BQ267" s="100" t="e">
        <f t="shared" si="65"/>
        <v>#N/A</v>
      </c>
      <c r="BR267" s="100" t="e">
        <f t="shared" si="65"/>
        <v>#N/A</v>
      </c>
      <c r="BS267" s="100" t="e">
        <f t="shared" si="65"/>
        <v>#N/A</v>
      </c>
      <c r="BT267" s="100" t="e">
        <f t="shared" si="65"/>
        <v>#N/A</v>
      </c>
      <c r="BU267" s="100" t="e">
        <f t="shared" si="65"/>
        <v>#N/A</v>
      </c>
      <c r="BV267" s="100" t="e">
        <f t="shared" si="65"/>
        <v>#N/A</v>
      </c>
      <c r="BW267" s="100" t="e">
        <f t="shared" si="65"/>
        <v>#N/A</v>
      </c>
      <c r="BX267" s="100" t="e">
        <f t="shared" ref="BX267:CC267" si="66">IF($H$263=0,0,+BX263/$H$263)</f>
        <v>#N/A</v>
      </c>
      <c r="BY267" s="100" t="e">
        <f t="shared" si="66"/>
        <v>#N/A</v>
      </c>
      <c r="BZ267" s="100" t="e">
        <f t="shared" si="66"/>
        <v>#N/A</v>
      </c>
      <c r="CA267" s="100" t="e">
        <f t="shared" si="66"/>
        <v>#N/A</v>
      </c>
      <c r="CB267" s="100" t="e">
        <f t="shared" si="66"/>
        <v>#N/A</v>
      </c>
      <c r="CC267" s="100" t="e">
        <f t="shared" si="66"/>
        <v>#N/A</v>
      </c>
      <c r="CI267" s="134"/>
      <c r="CJ267" s="134"/>
      <c r="CK267" s="134"/>
    </row>
    <row r="268" spans="1:89" ht="5.0999999999999996" customHeight="1" thickBot="1" x14ac:dyDescent="0.25">
      <c r="B268" s="20"/>
      <c r="C268" s="20"/>
      <c r="D268" s="20"/>
      <c r="E268" s="20"/>
      <c r="F268" s="20"/>
      <c r="G268" s="32"/>
      <c r="J268" s="116"/>
      <c r="K268" s="116"/>
      <c r="L268" s="116"/>
      <c r="M268" s="116"/>
      <c r="N268" s="116"/>
      <c r="O268" s="116"/>
      <c r="P268" s="116"/>
      <c r="Q268" s="116"/>
      <c r="R268" s="116"/>
      <c r="S268" s="116"/>
      <c r="T268" s="116"/>
      <c r="U268" s="116"/>
      <c r="V268" s="116"/>
      <c r="W268" s="116"/>
      <c r="X268" s="116"/>
      <c r="Y268" s="116"/>
      <c r="Z268" s="116"/>
      <c r="AA268" s="116"/>
      <c r="AB268" s="116"/>
      <c r="AC268" s="116"/>
      <c r="AD268" s="116"/>
      <c r="AE268" s="116"/>
      <c r="AF268" s="116"/>
      <c r="AG268" s="116"/>
      <c r="AH268" s="116"/>
      <c r="AI268" s="116"/>
      <c r="AJ268" s="116"/>
      <c r="AK268" s="116"/>
      <c r="AL268" s="116"/>
      <c r="AM268" s="116"/>
      <c r="AN268" s="116"/>
      <c r="AO268" s="116"/>
      <c r="AP268" s="116"/>
      <c r="AQ268" s="116"/>
      <c r="AR268" s="116"/>
      <c r="AS268" s="116"/>
      <c r="AT268" s="116"/>
      <c r="AU268" s="116"/>
      <c r="AV268" s="116"/>
      <c r="AW268" s="116"/>
      <c r="AX268" s="116"/>
      <c r="AY268" s="116"/>
      <c r="AZ268" s="116"/>
      <c r="BA268" s="116"/>
      <c r="BB268" s="116"/>
      <c r="BC268" s="116"/>
      <c r="BD268" s="116"/>
      <c r="BE268" s="116"/>
      <c r="BF268" s="116"/>
      <c r="BG268" s="116"/>
      <c r="BH268" s="116"/>
      <c r="BI268" s="116"/>
      <c r="BJ268" s="116"/>
      <c r="BK268" s="116"/>
      <c r="BL268" s="116"/>
      <c r="BM268" s="116"/>
      <c r="BN268" s="116"/>
      <c r="BO268" s="116"/>
      <c r="BP268" s="116"/>
      <c r="BQ268" s="116"/>
      <c r="BR268" s="116"/>
      <c r="BS268" s="116"/>
      <c r="BT268" s="116"/>
      <c r="BU268" s="116"/>
      <c r="BV268" s="116"/>
      <c r="BW268" s="116"/>
      <c r="BX268" s="116"/>
      <c r="BY268" s="116"/>
      <c r="BZ268" s="116"/>
      <c r="CA268" s="116"/>
      <c r="CB268" s="116"/>
      <c r="CC268" s="116"/>
      <c r="CI268" s="23"/>
      <c r="CJ268" s="23"/>
    </row>
    <row r="269" spans="1:89" s="32" customFormat="1" ht="15.75" thickBot="1" x14ac:dyDescent="0.25">
      <c r="A269" s="185"/>
      <c r="B269" s="481" t="s">
        <v>115</v>
      </c>
      <c r="C269" s="482"/>
      <c r="D269" s="482"/>
      <c r="E269" s="482"/>
      <c r="F269" s="483"/>
      <c r="H269"/>
      <c r="J269" s="100" t="e">
        <f>+J267</f>
        <v>#N/A</v>
      </c>
      <c r="K269" s="100" t="e">
        <f>+J269+K267</f>
        <v>#N/A</v>
      </c>
      <c r="L269" s="100" t="e">
        <f>+K269+L267</f>
        <v>#N/A</v>
      </c>
      <c r="M269" s="100" t="e">
        <f t="shared" ref="M269:BX269" si="67">+L269+M267</f>
        <v>#N/A</v>
      </c>
      <c r="N269" s="100" t="e">
        <f t="shared" si="67"/>
        <v>#N/A</v>
      </c>
      <c r="O269" s="100" t="e">
        <f t="shared" si="67"/>
        <v>#N/A</v>
      </c>
      <c r="P269" s="100" t="e">
        <f t="shared" si="67"/>
        <v>#N/A</v>
      </c>
      <c r="Q269" s="100" t="e">
        <f t="shared" si="67"/>
        <v>#N/A</v>
      </c>
      <c r="R269" s="100" t="e">
        <f t="shared" si="67"/>
        <v>#N/A</v>
      </c>
      <c r="S269" s="100" t="e">
        <f t="shared" si="67"/>
        <v>#N/A</v>
      </c>
      <c r="T269" s="100" t="e">
        <f t="shared" si="67"/>
        <v>#N/A</v>
      </c>
      <c r="U269" s="100" t="e">
        <f t="shared" si="67"/>
        <v>#N/A</v>
      </c>
      <c r="V269" s="100" t="e">
        <f t="shared" si="67"/>
        <v>#N/A</v>
      </c>
      <c r="W269" s="100" t="e">
        <f t="shared" si="67"/>
        <v>#N/A</v>
      </c>
      <c r="X269" s="100" t="e">
        <f t="shared" si="67"/>
        <v>#N/A</v>
      </c>
      <c r="Y269" s="100" t="e">
        <f t="shared" si="67"/>
        <v>#N/A</v>
      </c>
      <c r="Z269" s="100" t="e">
        <f t="shared" si="67"/>
        <v>#N/A</v>
      </c>
      <c r="AA269" s="100" t="e">
        <f t="shared" si="67"/>
        <v>#N/A</v>
      </c>
      <c r="AB269" s="100" t="e">
        <f t="shared" si="67"/>
        <v>#N/A</v>
      </c>
      <c r="AC269" s="100" t="e">
        <f t="shared" si="67"/>
        <v>#N/A</v>
      </c>
      <c r="AD269" s="100" t="e">
        <f t="shared" si="67"/>
        <v>#N/A</v>
      </c>
      <c r="AE269" s="100" t="e">
        <f t="shared" si="67"/>
        <v>#N/A</v>
      </c>
      <c r="AF269" s="100" t="e">
        <f t="shared" si="67"/>
        <v>#N/A</v>
      </c>
      <c r="AG269" s="100" t="e">
        <f t="shared" si="67"/>
        <v>#N/A</v>
      </c>
      <c r="AH269" s="100" t="e">
        <f t="shared" si="67"/>
        <v>#N/A</v>
      </c>
      <c r="AI269" s="100" t="e">
        <f t="shared" si="67"/>
        <v>#N/A</v>
      </c>
      <c r="AJ269" s="100" t="e">
        <f t="shared" si="67"/>
        <v>#N/A</v>
      </c>
      <c r="AK269" s="100" t="e">
        <f t="shared" si="67"/>
        <v>#N/A</v>
      </c>
      <c r="AL269" s="100" t="e">
        <f t="shared" si="67"/>
        <v>#N/A</v>
      </c>
      <c r="AM269" s="100" t="e">
        <f t="shared" si="67"/>
        <v>#N/A</v>
      </c>
      <c r="AN269" s="100" t="e">
        <f t="shared" si="67"/>
        <v>#N/A</v>
      </c>
      <c r="AO269" s="100" t="e">
        <f t="shared" si="67"/>
        <v>#N/A</v>
      </c>
      <c r="AP269" s="100" t="e">
        <f t="shared" si="67"/>
        <v>#N/A</v>
      </c>
      <c r="AQ269" s="100" t="e">
        <f t="shared" si="67"/>
        <v>#N/A</v>
      </c>
      <c r="AR269" s="100" t="e">
        <f t="shared" si="67"/>
        <v>#N/A</v>
      </c>
      <c r="AS269" s="100" t="e">
        <f t="shared" si="67"/>
        <v>#N/A</v>
      </c>
      <c r="AT269" s="100" t="e">
        <f t="shared" si="67"/>
        <v>#N/A</v>
      </c>
      <c r="AU269" s="100" t="e">
        <f t="shared" si="67"/>
        <v>#N/A</v>
      </c>
      <c r="AV269" s="100" t="e">
        <f t="shared" si="67"/>
        <v>#N/A</v>
      </c>
      <c r="AW269" s="100" t="e">
        <f t="shared" si="67"/>
        <v>#N/A</v>
      </c>
      <c r="AX269" s="100" t="e">
        <f t="shared" si="67"/>
        <v>#N/A</v>
      </c>
      <c r="AY269" s="100" t="e">
        <f t="shared" si="67"/>
        <v>#N/A</v>
      </c>
      <c r="AZ269" s="100" t="e">
        <f t="shared" si="67"/>
        <v>#N/A</v>
      </c>
      <c r="BA269" s="100" t="e">
        <f t="shared" si="67"/>
        <v>#N/A</v>
      </c>
      <c r="BB269" s="100" t="e">
        <f t="shared" si="67"/>
        <v>#N/A</v>
      </c>
      <c r="BC269" s="100" t="e">
        <f t="shared" si="67"/>
        <v>#N/A</v>
      </c>
      <c r="BD269" s="100" t="e">
        <f t="shared" si="67"/>
        <v>#N/A</v>
      </c>
      <c r="BE269" s="100" t="e">
        <f t="shared" si="67"/>
        <v>#N/A</v>
      </c>
      <c r="BF269" s="100" t="e">
        <f t="shared" si="67"/>
        <v>#N/A</v>
      </c>
      <c r="BG269" s="100" t="e">
        <f t="shared" si="67"/>
        <v>#N/A</v>
      </c>
      <c r="BH269" s="100" t="e">
        <f t="shared" si="67"/>
        <v>#N/A</v>
      </c>
      <c r="BI269" s="100" t="e">
        <f t="shared" si="67"/>
        <v>#N/A</v>
      </c>
      <c r="BJ269" s="100" t="e">
        <f t="shared" si="67"/>
        <v>#N/A</v>
      </c>
      <c r="BK269" s="100" t="e">
        <f t="shared" si="67"/>
        <v>#N/A</v>
      </c>
      <c r="BL269" s="100" t="e">
        <f t="shared" si="67"/>
        <v>#N/A</v>
      </c>
      <c r="BM269" s="100" t="e">
        <f t="shared" si="67"/>
        <v>#N/A</v>
      </c>
      <c r="BN269" s="100" t="e">
        <f t="shared" si="67"/>
        <v>#N/A</v>
      </c>
      <c r="BO269" s="100" t="e">
        <f t="shared" si="67"/>
        <v>#N/A</v>
      </c>
      <c r="BP269" s="100" t="e">
        <f t="shared" si="67"/>
        <v>#N/A</v>
      </c>
      <c r="BQ269" s="100" t="e">
        <f t="shared" si="67"/>
        <v>#N/A</v>
      </c>
      <c r="BR269" s="100" t="e">
        <f t="shared" si="67"/>
        <v>#N/A</v>
      </c>
      <c r="BS269" s="100" t="e">
        <f t="shared" si="67"/>
        <v>#N/A</v>
      </c>
      <c r="BT269" s="100" t="e">
        <f t="shared" si="67"/>
        <v>#N/A</v>
      </c>
      <c r="BU269" s="100" t="e">
        <f t="shared" si="67"/>
        <v>#N/A</v>
      </c>
      <c r="BV269" s="100" t="e">
        <f t="shared" si="67"/>
        <v>#N/A</v>
      </c>
      <c r="BW269" s="100" t="e">
        <f t="shared" si="67"/>
        <v>#N/A</v>
      </c>
      <c r="BX269" s="100" t="e">
        <f t="shared" si="67"/>
        <v>#N/A</v>
      </c>
      <c r="BY269" s="100" t="e">
        <f t="shared" ref="BY269:CC269" si="68">+BX269+BY267</f>
        <v>#N/A</v>
      </c>
      <c r="BZ269" s="100" t="e">
        <f t="shared" si="68"/>
        <v>#N/A</v>
      </c>
      <c r="CA269" s="100" t="e">
        <f t="shared" si="68"/>
        <v>#N/A</v>
      </c>
      <c r="CB269" s="100" t="e">
        <f t="shared" si="68"/>
        <v>#N/A</v>
      </c>
      <c r="CC269" s="100" t="e">
        <f t="shared" si="68"/>
        <v>#N/A</v>
      </c>
      <c r="CI269" s="134"/>
      <c r="CJ269" s="134"/>
      <c r="CK269" s="134"/>
    </row>
    <row r="270" spans="1:89" ht="5.0999999999999996" customHeight="1" x14ac:dyDescent="0.2">
      <c r="CI270" s="23"/>
      <c r="CJ270" s="23"/>
    </row>
    <row r="271" spans="1:89" x14ac:dyDescent="0.2">
      <c r="B271" s="267" t="s">
        <v>131</v>
      </c>
      <c r="C271" s="267"/>
      <c r="D271" s="267"/>
      <c r="E271" s="267"/>
      <c r="F271" s="267"/>
      <c r="G271" s="267"/>
      <c r="H271" s="267"/>
      <c r="I271" s="267"/>
      <c r="J271" s="267"/>
      <c r="K271" s="267"/>
      <c r="L271" s="267"/>
      <c r="M271" s="267"/>
      <c r="N271" s="267"/>
      <c r="O271" s="267"/>
      <c r="P271" s="267"/>
      <c r="Q271" s="267"/>
      <c r="R271" s="267"/>
      <c r="S271" s="267"/>
      <c r="T271" s="267"/>
      <c r="U271" s="267"/>
      <c r="V271" s="267"/>
      <c r="W271" s="267"/>
      <c r="X271" s="267"/>
      <c r="Y271" s="267"/>
      <c r="Z271" s="267"/>
      <c r="AA271" s="267"/>
      <c r="AB271" s="267"/>
      <c r="AC271" s="267"/>
      <c r="AD271" s="267"/>
      <c r="AE271" s="267"/>
      <c r="AF271" s="267"/>
      <c r="AG271" s="267"/>
      <c r="AH271" s="267"/>
      <c r="AI271" s="267"/>
      <c r="AJ271" s="267"/>
      <c r="AK271" s="267"/>
      <c r="AL271" s="267"/>
      <c r="AM271" s="267"/>
      <c r="AN271" s="267"/>
      <c r="AO271" s="267"/>
      <c r="AP271" s="267"/>
      <c r="AQ271" s="267"/>
      <c r="AR271" s="267"/>
      <c r="AS271" s="267"/>
      <c r="AT271" s="267"/>
      <c r="AU271" s="267"/>
      <c r="AV271" s="267"/>
      <c r="AW271" s="267"/>
      <c r="AX271" s="267"/>
      <c r="AY271" s="267"/>
      <c r="AZ271" s="267"/>
      <c r="BA271" s="267"/>
      <c r="BB271" s="267"/>
      <c r="BC271" s="267"/>
      <c r="BD271" s="267"/>
      <c r="BE271" s="267"/>
      <c r="BF271" s="267"/>
      <c r="BG271" s="267"/>
      <c r="BH271" s="267"/>
      <c r="BI271" s="267"/>
      <c r="BJ271" s="267"/>
      <c r="BK271" s="267"/>
      <c r="BL271" s="267"/>
      <c r="BM271" s="267"/>
      <c r="BN271" s="267"/>
      <c r="BO271" s="267"/>
      <c r="BP271" s="267"/>
      <c r="BQ271" s="267"/>
      <c r="BR271" s="267"/>
      <c r="BS271" s="267"/>
      <c r="BT271" s="267"/>
      <c r="BU271" s="267"/>
      <c r="BV271" s="267"/>
      <c r="BW271" s="267"/>
      <c r="BX271" s="267"/>
      <c r="BY271" s="267"/>
      <c r="BZ271" s="267"/>
      <c r="CA271" s="267"/>
      <c r="CB271" s="267"/>
      <c r="CC271" s="267"/>
    </row>
    <row r="272" spans="1:89" ht="5.0999999999999996" customHeight="1" thickBot="1" x14ac:dyDescent="0.25"/>
    <row r="273" spans="1:15" ht="60.75" customHeight="1" thickBot="1" x14ac:dyDescent="0.25">
      <c r="B273" s="294" t="s">
        <v>132</v>
      </c>
      <c r="C273" s="295"/>
      <c r="D273" s="431" t="s">
        <v>133</v>
      </c>
      <c r="E273" s="534"/>
      <c r="F273" s="534"/>
      <c r="G273" s="296"/>
      <c r="H273" s="431" t="s">
        <v>23</v>
      </c>
      <c r="I273" s="534"/>
      <c r="J273" s="431" t="s">
        <v>346</v>
      </c>
      <c r="K273" s="432"/>
      <c r="L273" s="431" t="s">
        <v>344</v>
      </c>
      <c r="M273" s="432"/>
      <c r="N273" s="431" t="s">
        <v>345</v>
      </c>
      <c r="O273" s="432"/>
    </row>
    <row r="274" spans="1:15" s="33" customFormat="1" ht="27.75" customHeight="1" thickBot="1" x14ac:dyDescent="0.25">
      <c r="A274" s="429"/>
      <c r="B274" s="433"/>
      <c r="C274" s="434"/>
      <c r="D274" s="433"/>
      <c r="E274" s="535"/>
      <c r="F274" s="535"/>
      <c r="G274" s="434"/>
      <c r="H274" s="433"/>
      <c r="I274" s="434"/>
      <c r="J274" s="433"/>
      <c r="K274" s="434"/>
      <c r="L274" s="433"/>
      <c r="M274" s="434"/>
      <c r="N274" s="433"/>
      <c r="O274" s="434"/>
    </row>
    <row r="275" spans="1:15" s="33" customFormat="1" ht="27.75" customHeight="1" thickBot="1" x14ac:dyDescent="0.25">
      <c r="A275" s="429"/>
      <c r="B275" s="433"/>
      <c r="C275" s="434"/>
      <c r="D275" s="433"/>
      <c r="E275" s="535"/>
      <c r="F275" s="535"/>
      <c r="G275" s="434"/>
      <c r="H275" s="433"/>
      <c r="I275" s="434"/>
      <c r="J275" s="433"/>
      <c r="K275" s="434"/>
      <c r="L275" s="433"/>
      <c r="M275" s="434"/>
      <c r="N275" s="433"/>
      <c r="O275" s="434"/>
    </row>
    <row r="276" spans="1:15" s="33" customFormat="1" ht="27.75" customHeight="1" thickBot="1" x14ac:dyDescent="0.25">
      <c r="A276" s="429"/>
      <c r="B276" s="528"/>
      <c r="C276" s="529"/>
      <c r="D276" s="528"/>
      <c r="E276" s="530"/>
      <c r="F276" s="530"/>
      <c r="G276" s="529"/>
      <c r="H276" s="528"/>
      <c r="I276" s="529"/>
      <c r="J276" s="368"/>
      <c r="K276" s="369"/>
      <c r="L276" s="433"/>
      <c r="M276" s="434"/>
      <c r="N276" s="433"/>
      <c r="O276" s="434"/>
    </row>
    <row r="277" spans="1:15" s="33" customFormat="1" ht="27.75" customHeight="1" thickBot="1" x14ac:dyDescent="0.25">
      <c r="A277" s="429"/>
      <c r="B277" s="528"/>
      <c r="C277" s="529"/>
      <c r="D277" s="528"/>
      <c r="E277" s="530"/>
      <c r="F277" s="530"/>
      <c r="G277" s="529"/>
      <c r="H277" s="528"/>
      <c r="I277" s="529"/>
      <c r="J277" s="368"/>
      <c r="K277" s="369"/>
      <c r="L277" s="433"/>
      <c r="M277" s="434"/>
      <c r="N277" s="433"/>
      <c r="O277" s="434"/>
    </row>
    <row r="278" spans="1:15" s="33" customFormat="1" ht="27.75" customHeight="1" thickBot="1" x14ac:dyDescent="0.25">
      <c r="A278" s="429"/>
      <c r="B278" s="433"/>
      <c r="C278" s="434"/>
      <c r="D278" s="433"/>
      <c r="E278" s="535"/>
      <c r="F278" s="535"/>
      <c r="G278" s="434"/>
      <c r="H278" s="433"/>
      <c r="I278" s="434"/>
      <c r="J278" s="433"/>
      <c r="K278" s="434"/>
      <c r="L278" s="433"/>
      <c r="M278" s="434"/>
      <c r="N278" s="433"/>
      <c r="O278" s="434"/>
    </row>
    <row r="279" spans="1:15" s="33" customFormat="1" ht="27.75" customHeight="1" thickBot="1" x14ac:dyDescent="0.25">
      <c r="A279" s="429"/>
      <c r="B279" s="433"/>
      <c r="C279" s="434"/>
      <c r="D279" s="433"/>
      <c r="E279" s="535"/>
      <c r="F279" s="535"/>
      <c r="G279" s="434"/>
      <c r="H279" s="433"/>
      <c r="I279" s="434"/>
      <c r="J279" s="366"/>
      <c r="K279" s="367"/>
      <c r="L279" s="433"/>
      <c r="M279" s="434"/>
      <c r="N279" s="433"/>
      <c r="O279" s="434"/>
    </row>
    <row r="280" spans="1:15" s="33" customFormat="1" ht="27.75" customHeight="1" thickBot="1" x14ac:dyDescent="0.25">
      <c r="A280" s="429"/>
      <c r="B280" s="528"/>
      <c r="C280" s="529"/>
      <c r="D280" s="528"/>
      <c r="E280" s="530"/>
      <c r="F280" s="530"/>
      <c r="G280" s="529"/>
      <c r="H280" s="528"/>
      <c r="I280" s="529"/>
      <c r="J280" s="368"/>
      <c r="K280" s="369"/>
      <c r="L280" s="433"/>
      <c r="M280" s="434"/>
      <c r="N280" s="433"/>
      <c r="O280" s="434"/>
    </row>
    <row r="281" spans="1:15" s="33" customFormat="1" ht="27.75" customHeight="1" thickBot="1" x14ac:dyDescent="0.25">
      <c r="A281" s="429"/>
      <c r="B281" s="528"/>
      <c r="C281" s="529"/>
      <c r="D281" s="528"/>
      <c r="E281" s="530"/>
      <c r="F281" s="530"/>
      <c r="G281" s="529"/>
      <c r="H281" s="528"/>
      <c r="I281" s="529"/>
      <c r="J281" s="368"/>
      <c r="K281" s="369"/>
      <c r="L281" s="433"/>
      <c r="M281" s="434"/>
      <c r="N281" s="433"/>
      <c r="O281" s="434"/>
    </row>
    <row r="282" spans="1:15" ht="5.0999999999999996" customHeight="1" x14ac:dyDescent="0.2"/>
    <row r="283" spans="1:15" ht="5.0999999999999996" customHeight="1" x14ac:dyDescent="0.2"/>
    <row r="284" spans="1:15" hidden="1" x14ac:dyDescent="0.2">
      <c r="B284" s="297" t="s">
        <v>80</v>
      </c>
    </row>
    <row r="285" spans="1:15" ht="5.0999999999999996" hidden="1" customHeight="1" thickBot="1" x14ac:dyDescent="0.25"/>
    <row r="286" spans="1:15" ht="15.75" hidden="1" thickBot="1" x14ac:dyDescent="0.25">
      <c r="B286" s="298" t="s">
        <v>81</v>
      </c>
      <c r="C286" s="299"/>
      <c r="D286" s="531" t="s">
        <v>82</v>
      </c>
      <c r="E286" s="532"/>
      <c r="F286" s="532"/>
      <c r="G286" s="532"/>
      <c r="H286" s="532"/>
      <c r="I286" s="532"/>
      <c r="J286" s="532"/>
      <c r="K286" s="532"/>
      <c r="L286" s="532"/>
      <c r="M286" s="533"/>
    </row>
    <row r="287" spans="1:15" ht="15.75" hidden="1" thickBot="1" x14ac:dyDescent="0.25">
      <c r="B287" s="370"/>
      <c r="C287" s="371"/>
      <c r="D287" s="372"/>
      <c r="E287" s="373"/>
      <c r="F287" s="374"/>
      <c r="G287" s="374"/>
      <c r="H287" s="374"/>
      <c r="I287" s="374"/>
      <c r="J287" s="374"/>
      <c r="K287" s="374"/>
      <c r="L287" s="374"/>
      <c r="M287" s="375"/>
    </row>
    <row r="288" spans="1:15" ht="15.75" hidden="1" thickBot="1" x14ac:dyDescent="0.25">
      <c r="B288" s="370"/>
      <c r="C288" s="371"/>
      <c r="D288" s="372"/>
      <c r="E288" s="373"/>
      <c r="F288" s="374"/>
      <c r="G288" s="374"/>
      <c r="H288" s="374"/>
      <c r="I288" s="374"/>
      <c r="J288" s="374"/>
      <c r="K288" s="374"/>
      <c r="L288" s="374"/>
      <c r="M288" s="375"/>
    </row>
    <row r="289" spans="1:86" ht="15.75" hidden="1" thickBot="1" x14ac:dyDescent="0.25">
      <c r="B289" s="370"/>
      <c r="C289" s="371"/>
      <c r="D289" s="372"/>
      <c r="E289" s="373"/>
      <c r="F289" s="374"/>
      <c r="G289" s="374"/>
      <c r="H289" s="374"/>
      <c r="I289" s="374"/>
      <c r="J289" s="374"/>
      <c r="K289" s="374"/>
      <c r="L289" s="374"/>
      <c r="M289" s="375"/>
    </row>
    <row r="290" spans="1:86" ht="15.75" hidden="1" thickBot="1" x14ac:dyDescent="0.25">
      <c r="B290" s="370"/>
      <c r="C290" s="371"/>
      <c r="D290" s="372"/>
      <c r="E290" s="373"/>
      <c r="F290" s="374"/>
      <c r="G290" s="374"/>
      <c r="H290" s="374"/>
      <c r="I290" s="374"/>
      <c r="J290" s="374"/>
      <c r="K290" s="374"/>
      <c r="L290" s="374"/>
      <c r="M290" s="375"/>
    </row>
    <row r="291" spans="1:86" ht="15.75" hidden="1" thickBot="1" x14ac:dyDescent="0.25">
      <c r="B291" s="370"/>
      <c r="C291" s="371"/>
      <c r="D291" s="372"/>
      <c r="E291" s="373"/>
      <c r="F291" s="374"/>
      <c r="G291" s="374"/>
      <c r="H291" s="374"/>
      <c r="I291" s="374"/>
      <c r="J291" s="374"/>
      <c r="K291" s="374"/>
      <c r="L291" s="374"/>
      <c r="M291" s="375"/>
    </row>
    <row r="292" spans="1:86" ht="15.75" hidden="1" thickBot="1" x14ac:dyDescent="0.25">
      <c r="B292" s="370"/>
      <c r="C292" s="371"/>
      <c r="D292" s="372"/>
      <c r="E292" s="373"/>
      <c r="F292" s="374"/>
      <c r="G292" s="374"/>
      <c r="H292" s="374"/>
      <c r="I292" s="374"/>
      <c r="J292" s="374"/>
      <c r="K292" s="374"/>
      <c r="L292" s="374"/>
      <c r="M292" s="375"/>
      <c r="CE292" s="123"/>
      <c r="CF292" s="124"/>
      <c r="CG292" s="125"/>
    </row>
    <row r="293" spans="1:86" ht="5.0999999999999996" customHeight="1" x14ac:dyDescent="0.2">
      <c r="CE293" s="127"/>
      <c r="CG293" s="128"/>
    </row>
    <row r="294" spans="1:86" x14ac:dyDescent="0.2">
      <c r="B294" s="267" t="s">
        <v>138</v>
      </c>
      <c r="C294" s="267"/>
      <c r="D294" s="267"/>
      <c r="E294" s="267"/>
      <c r="F294" s="267"/>
      <c r="G294" s="267"/>
      <c r="H294" s="267"/>
      <c r="I294" s="267"/>
      <c r="J294" s="267"/>
      <c r="K294" s="267"/>
      <c r="L294" s="267"/>
      <c r="M294" s="267"/>
      <c r="N294" s="267"/>
      <c r="O294" s="267"/>
      <c r="P294" s="267"/>
      <c r="Q294" s="267"/>
      <c r="R294" s="267"/>
      <c r="S294" s="267"/>
      <c r="T294" s="267"/>
      <c r="U294" s="267"/>
      <c r="V294" s="267"/>
      <c r="W294" s="267"/>
      <c r="X294" s="267"/>
      <c r="Y294" s="267"/>
      <c r="Z294" s="267"/>
      <c r="AA294" s="267"/>
      <c r="AB294" s="267"/>
      <c r="AC294" s="267"/>
      <c r="AD294" s="267"/>
      <c r="AE294" s="267"/>
      <c r="AF294" s="267"/>
      <c r="AG294" s="267"/>
      <c r="AH294" s="267"/>
      <c r="AI294" s="267"/>
      <c r="AJ294" s="267"/>
      <c r="AK294" s="267"/>
      <c r="AL294" s="267"/>
      <c r="AM294" s="267"/>
      <c r="AN294" s="267"/>
      <c r="AO294" s="267"/>
      <c r="AP294" s="267"/>
      <c r="AQ294" s="267"/>
      <c r="AR294" s="267"/>
      <c r="AS294" s="267"/>
      <c r="AT294" s="267"/>
      <c r="AU294" s="267"/>
      <c r="AV294" s="267"/>
      <c r="AW294" s="267"/>
      <c r="AX294" s="267"/>
      <c r="AY294" s="267"/>
      <c r="AZ294" s="267"/>
      <c r="BA294" s="267"/>
      <c r="BB294" s="267"/>
      <c r="BC294" s="267"/>
      <c r="BD294" s="267"/>
      <c r="BE294" s="267"/>
      <c r="BF294" s="267"/>
      <c r="BG294" s="267"/>
      <c r="BH294" s="267"/>
      <c r="BI294" s="267"/>
      <c r="BJ294" s="267"/>
      <c r="BK294" s="267"/>
      <c r="BL294" s="267"/>
      <c r="BM294" s="267"/>
      <c r="BN294" s="267"/>
      <c r="BO294" s="267"/>
      <c r="BP294" s="267"/>
      <c r="BQ294" s="267"/>
      <c r="BR294" s="267"/>
      <c r="BS294" s="267"/>
      <c r="BT294" s="267"/>
      <c r="BU294" s="267"/>
      <c r="BV294" s="267"/>
      <c r="BW294" s="267"/>
      <c r="BX294" s="267"/>
      <c r="BY294" s="267"/>
      <c r="BZ294" s="267"/>
      <c r="CA294" s="267"/>
      <c r="CB294" s="267"/>
      <c r="CC294" s="267"/>
      <c r="CF294" t="s">
        <v>84</v>
      </c>
    </row>
    <row r="295" spans="1:86" ht="5.0999999999999996" customHeight="1" x14ac:dyDescent="0.2">
      <c r="CE295" s="127"/>
      <c r="CG295" s="128"/>
    </row>
    <row r="296" spans="1:86" s="20" customFormat="1" ht="15" customHeight="1" x14ac:dyDescent="0.2">
      <c r="A296" s="427"/>
      <c r="B296" s="269" t="s">
        <v>139</v>
      </c>
      <c r="C296" s="269"/>
      <c r="D296" s="269"/>
      <c r="E296" s="269"/>
      <c r="F296" s="269"/>
      <c r="G296" s="269"/>
      <c r="H296" s="269"/>
      <c r="I296" s="269"/>
      <c r="J296" s="287"/>
      <c r="K296" s="269"/>
      <c r="L296" s="287"/>
      <c r="M296" s="269"/>
      <c r="N296" s="269"/>
      <c r="O296" s="269"/>
      <c r="P296" s="269"/>
      <c r="Q296" s="269"/>
      <c r="R296" s="269"/>
      <c r="S296" s="269"/>
      <c r="T296" s="269"/>
      <c r="U296" s="269"/>
      <c r="V296" s="269"/>
      <c r="W296" s="269"/>
      <c r="X296" s="269"/>
      <c r="Y296" s="269"/>
      <c r="Z296" s="269"/>
      <c r="AA296" s="269"/>
      <c r="AB296" s="269"/>
      <c r="AC296" s="269"/>
      <c r="AD296" s="269"/>
      <c r="AE296" s="269"/>
      <c r="AF296" s="269"/>
      <c r="AG296" s="269"/>
      <c r="AH296" s="269"/>
      <c r="AI296" s="269"/>
      <c r="AJ296" s="269"/>
      <c r="AK296" s="269"/>
      <c r="AL296" s="269"/>
      <c r="AM296" s="269"/>
      <c r="AN296" s="269"/>
      <c r="AO296" s="269"/>
      <c r="AP296" s="269"/>
      <c r="AQ296" s="269"/>
      <c r="AR296" s="269"/>
      <c r="AS296" s="269"/>
      <c r="AT296" s="269"/>
      <c r="AU296" s="269"/>
      <c r="AV296" s="269"/>
      <c r="AW296" s="269"/>
      <c r="AX296" s="269"/>
      <c r="AY296" s="269"/>
      <c r="AZ296" s="269"/>
      <c r="BA296" s="269"/>
      <c r="BB296" s="269"/>
      <c r="BC296" s="269"/>
      <c r="BD296" s="269"/>
      <c r="BE296" s="269"/>
      <c r="BF296" s="269"/>
      <c r="BG296" s="269"/>
      <c r="BH296" s="269"/>
      <c r="BI296" s="269"/>
      <c r="BJ296" s="269"/>
      <c r="BK296" s="269"/>
      <c r="BL296" s="269"/>
      <c r="BM296" s="269"/>
      <c r="BN296" s="269"/>
      <c r="BO296" s="269"/>
      <c r="BP296" s="269"/>
      <c r="BQ296" s="269"/>
      <c r="BR296" s="269"/>
      <c r="BS296" s="269"/>
      <c r="BT296" s="269"/>
      <c r="BU296" s="269"/>
      <c r="BV296" s="269"/>
      <c r="BW296" s="269"/>
      <c r="BX296" s="269"/>
      <c r="BY296" s="269"/>
      <c r="BZ296" s="269"/>
      <c r="CA296" s="269"/>
      <c r="CB296" s="269"/>
      <c r="CC296" s="269"/>
      <c r="CF296" s="20" t="s">
        <v>86</v>
      </c>
    </row>
    <row r="297" spans="1:86" ht="5.0999999999999996" customHeight="1" thickBot="1" x14ac:dyDescent="0.25">
      <c r="CE297" s="127"/>
      <c r="CG297" s="128"/>
    </row>
    <row r="298" spans="1:86" s="34" customFormat="1" ht="45.2" customHeight="1" thickBot="1" x14ac:dyDescent="0.25">
      <c r="A298" s="424"/>
      <c r="B298" s="481" t="s">
        <v>140</v>
      </c>
      <c r="C298" s="482"/>
      <c r="D298" s="482"/>
      <c r="E298" s="482"/>
      <c r="F298" s="483"/>
      <c r="G298"/>
      <c r="H298" s="376"/>
      <c r="J298" s="481" t="s">
        <v>141</v>
      </c>
      <c r="K298" s="482"/>
      <c r="L298" s="483"/>
      <c r="M298" s="376"/>
      <c r="N298" s="481" t="s">
        <v>142</v>
      </c>
      <c r="O298" s="482"/>
      <c r="P298" s="483"/>
      <c r="Q298" s="376"/>
      <c r="CE298" s="178"/>
      <c r="CF298" s="49" t="s">
        <v>143</v>
      </c>
      <c r="CG298" s="177"/>
    </row>
    <row r="299" spans="1:86" ht="5.0999999999999996" customHeight="1" thickBot="1" x14ac:dyDescent="0.25">
      <c r="H299" s="377"/>
      <c r="CE299" s="127"/>
      <c r="CF299" s="36"/>
      <c r="CG299" s="128"/>
    </row>
    <row r="300" spans="1:86" s="34" customFormat="1" ht="45.95" customHeight="1" x14ac:dyDescent="0.2">
      <c r="A300" s="424"/>
      <c r="B300" s="522" t="s">
        <v>144</v>
      </c>
      <c r="C300" s="523"/>
      <c r="D300" s="524"/>
      <c r="F300" s="378" t="s">
        <v>145</v>
      </c>
      <c r="G300" s="150"/>
      <c r="H300" s="378" t="s">
        <v>146</v>
      </c>
      <c r="J300" s="522" t="s">
        <v>147</v>
      </c>
      <c r="K300" s="524"/>
      <c r="L300" s="378" t="s">
        <v>145</v>
      </c>
      <c r="M300" s="378" t="s">
        <v>146</v>
      </c>
      <c r="N300" s="444" t="s">
        <v>148</v>
      </c>
      <c r="O300" s="454" t="s">
        <v>149</v>
      </c>
      <c r="P300" s="463"/>
      <c r="Q300" s="464"/>
      <c r="CE300" s="178"/>
      <c r="CF300" s="179" t="s">
        <v>70</v>
      </c>
      <c r="CG300" s="177"/>
      <c r="CH300"/>
    </row>
    <row r="301" spans="1:86" ht="5.0999999999999996" customHeight="1" x14ac:dyDescent="0.2">
      <c r="F301" s="377"/>
      <c r="G301" s="80"/>
      <c r="H301" s="377"/>
      <c r="J301" s="36"/>
      <c r="K301" s="36"/>
      <c r="L301" s="377"/>
      <c r="M301" s="397"/>
      <c r="N301" s="444"/>
      <c r="O301" s="465"/>
      <c r="P301" s="466"/>
      <c r="Q301" s="467"/>
      <c r="CE301" s="127"/>
      <c r="CF301" s="36"/>
      <c r="CG301" s="128"/>
    </row>
    <row r="302" spans="1:86" s="34" customFormat="1" ht="47.1" customHeight="1" thickBot="1" x14ac:dyDescent="0.25">
      <c r="A302" s="424"/>
      <c r="B302" s="522" t="s">
        <v>150</v>
      </c>
      <c r="C302" s="523"/>
      <c r="D302" s="524"/>
      <c r="F302" s="378" t="s">
        <v>145</v>
      </c>
      <c r="G302" s="150"/>
      <c r="H302" s="378" t="s">
        <v>146</v>
      </c>
      <c r="J302" s="522" t="s">
        <v>151</v>
      </c>
      <c r="K302" s="524"/>
      <c r="L302" s="378" t="s">
        <v>145</v>
      </c>
      <c r="M302" s="378" t="s">
        <v>146</v>
      </c>
      <c r="N302" s="444"/>
      <c r="O302" s="468"/>
      <c r="P302" s="469"/>
      <c r="Q302" s="470"/>
      <c r="CE302" s="178"/>
      <c r="CF302" s="179" t="s">
        <v>67</v>
      </c>
      <c r="CG302" s="177"/>
      <c r="CH302"/>
    </row>
    <row r="303" spans="1:86" s="34" customFormat="1" ht="5.0999999999999996" customHeight="1" x14ac:dyDescent="0.2">
      <c r="A303" s="424"/>
      <c r="CE303" s="178"/>
      <c r="CG303" s="177"/>
      <c r="CH303"/>
    </row>
    <row r="304" spans="1:86" s="20" customFormat="1" ht="15" customHeight="1" x14ac:dyDescent="0.2">
      <c r="A304" s="427"/>
      <c r="B304" s="269" t="s">
        <v>152</v>
      </c>
      <c r="C304" s="269"/>
      <c r="D304" s="269"/>
      <c r="E304" s="269"/>
      <c r="F304" s="269"/>
      <c r="G304" s="269"/>
      <c r="H304" s="269"/>
      <c r="I304" s="269"/>
      <c r="J304" s="287"/>
      <c r="K304" s="269"/>
      <c r="L304" s="287"/>
      <c r="M304" s="269"/>
      <c r="N304" s="269"/>
      <c r="O304" s="269"/>
      <c r="P304" s="269"/>
      <c r="Q304" s="269"/>
      <c r="R304" s="269"/>
      <c r="S304" s="269"/>
      <c r="T304" s="269"/>
      <c r="U304" s="269"/>
      <c r="V304" s="269"/>
      <c r="W304" s="269"/>
      <c r="X304" s="269"/>
      <c r="Y304" s="269"/>
      <c r="Z304" s="269"/>
      <c r="AA304" s="269"/>
      <c r="AB304" s="269"/>
      <c r="AC304" s="269"/>
      <c r="AD304" s="269"/>
      <c r="AE304" s="269"/>
      <c r="AF304" s="269"/>
      <c r="AG304" s="269"/>
      <c r="AH304" s="269"/>
      <c r="AI304" s="269"/>
      <c r="AJ304" s="269"/>
      <c r="AK304" s="269"/>
      <c r="AL304" s="269"/>
      <c r="AM304" s="269"/>
      <c r="AN304" s="269"/>
      <c r="AO304" s="269"/>
      <c r="AP304" s="269"/>
      <c r="AQ304" s="269"/>
      <c r="AR304" s="269"/>
      <c r="AS304" s="269"/>
      <c r="AT304" s="269"/>
      <c r="AU304" s="269"/>
      <c r="AV304" s="269"/>
      <c r="AW304" s="269"/>
      <c r="AX304" s="269"/>
      <c r="AY304" s="269"/>
      <c r="AZ304" s="269"/>
      <c r="BA304" s="269"/>
      <c r="BB304" s="269"/>
      <c r="BC304" s="269"/>
      <c r="BD304" s="269"/>
      <c r="BE304" s="269"/>
      <c r="BF304" s="269"/>
      <c r="BG304" s="269"/>
      <c r="BH304" s="269"/>
      <c r="BI304" s="269"/>
      <c r="BJ304" s="269"/>
      <c r="BK304" s="269"/>
      <c r="BL304" s="269"/>
      <c r="BM304" s="269"/>
      <c r="BN304" s="269"/>
      <c r="BO304" s="269"/>
      <c r="BP304" s="269"/>
      <c r="BQ304" s="269"/>
      <c r="BR304" s="269"/>
      <c r="BS304" s="269"/>
      <c r="BT304" s="269"/>
      <c r="BU304" s="269"/>
      <c r="BV304" s="269"/>
      <c r="BW304" s="269"/>
      <c r="BX304" s="269"/>
      <c r="BY304" s="269"/>
      <c r="BZ304" s="269"/>
      <c r="CA304" s="269"/>
      <c r="CB304" s="269"/>
      <c r="CC304" s="269"/>
    </row>
    <row r="305" spans="1:88" ht="5.0999999999999996" customHeight="1" thickBot="1" x14ac:dyDescent="0.25">
      <c r="CF305" s="34"/>
      <c r="CG305" s="34"/>
      <c r="CI305" s="34"/>
      <c r="CJ305" s="34"/>
    </row>
    <row r="306" spans="1:88" s="20" customFormat="1" ht="35.25" customHeight="1" thickBot="1" x14ac:dyDescent="0.25">
      <c r="A306" s="427"/>
      <c r="F306" s="278" t="s">
        <v>153</v>
      </c>
      <c r="G306" s="271"/>
      <c r="H306" s="278" t="s">
        <v>154</v>
      </c>
      <c r="I306" s="272"/>
      <c r="J306" s="273" t="s">
        <v>155</v>
      </c>
      <c r="L306" s="525" t="s">
        <v>156</v>
      </c>
      <c r="M306" s="526"/>
      <c r="N306" s="526"/>
      <c r="O306" s="526"/>
      <c r="P306" s="526"/>
      <c r="Q306" s="527"/>
      <c r="CF306" s="304"/>
      <c r="CG306" s="304"/>
      <c r="CI306" s="304"/>
      <c r="CJ306" s="304"/>
    </row>
    <row r="307" spans="1:88" ht="5.0999999999999996" customHeight="1" thickBot="1" x14ac:dyDescent="0.25">
      <c r="B307" s="20"/>
      <c r="C307" s="20"/>
      <c r="D307" s="20"/>
    </row>
    <row r="308" spans="1:88" ht="15.75" thickBot="1" x14ac:dyDescent="0.25">
      <c r="B308" s="274" t="s">
        <v>157</v>
      </c>
      <c r="C308" s="275"/>
      <c r="D308" s="276"/>
      <c r="F308" s="300">
        <f>+H140</f>
        <v>0</v>
      </c>
      <c r="H308" s="379"/>
      <c r="J308" s="220">
        <f>(+H308-F308)/30</f>
        <v>0</v>
      </c>
      <c r="L308" s="471" t="s">
        <v>158</v>
      </c>
      <c r="M308" s="472"/>
      <c r="N308" s="472"/>
      <c r="O308" s="472"/>
      <c r="P308" s="472"/>
      <c r="Q308" s="473"/>
    </row>
    <row r="309" spans="1:88" ht="5.0999999999999996" customHeight="1" thickBot="1" x14ac:dyDescent="0.25">
      <c r="B309" s="20"/>
      <c r="C309" s="20"/>
      <c r="D309" s="20"/>
      <c r="F309" s="32"/>
      <c r="H309" s="380"/>
      <c r="J309" s="23"/>
      <c r="L309" s="474"/>
      <c r="M309" s="475"/>
      <c r="N309" s="475"/>
      <c r="O309" s="475"/>
      <c r="P309" s="475"/>
      <c r="Q309" s="476"/>
    </row>
    <row r="310" spans="1:88" ht="15.75" thickBot="1" x14ac:dyDescent="0.25">
      <c r="B310" s="274" t="s">
        <v>159</v>
      </c>
      <c r="C310" s="275"/>
      <c r="D310" s="276"/>
      <c r="F310" s="300">
        <f>+H142</f>
        <v>0</v>
      </c>
      <c r="H310" s="379"/>
      <c r="J310" s="220">
        <f>(+H310-F310)/30</f>
        <v>0</v>
      </c>
      <c r="L310" s="474"/>
      <c r="M310" s="475"/>
      <c r="N310" s="475"/>
      <c r="O310" s="475"/>
      <c r="P310" s="475"/>
      <c r="Q310" s="476"/>
    </row>
    <row r="311" spans="1:88" s="32" customFormat="1" ht="5.0999999999999996" customHeight="1" thickBot="1" x14ac:dyDescent="0.25">
      <c r="A311" s="185"/>
      <c r="B311" s="20"/>
      <c r="C311" s="20"/>
      <c r="D311" s="20"/>
      <c r="G311"/>
      <c r="H311" s="80"/>
      <c r="I311"/>
      <c r="J311"/>
      <c r="L311" s="474"/>
      <c r="M311" s="475"/>
      <c r="N311" s="475"/>
      <c r="O311" s="475"/>
      <c r="P311" s="475"/>
      <c r="Q311" s="476"/>
      <c r="S311"/>
      <c r="T311"/>
      <c r="U311"/>
      <c r="V311"/>
      <c r="W311"/>
      <c r="X311"/>
    </row>
    <row r="312" spans="1:88" ht="15.75" thickBot="1" x14ac:dyDescent="0.25">
      <c r="B312" s="274" t="s">
        <v>160</v>
      </c>
      <c r="C312" s="275"/>
      <c r="D312" s="276"/>
      <c r="F312" s="220">
        <f>(F310-F308)/30</f>
        <v>0</v>
      </c>
      <c r="H312" s="220">
        <f>(H310-H308)/30</f>
        <v>0</v>
      </c>
      <c r="J312" s="220">
        <f>+H312-F312</f>
        <v>0</v>
      </c>
      <c r="L312" s="477"/>
      <c r="M312" s="478"/>
      <c r="N312" s="478"/>
      <c r="O312" s="478"/>
      <c r="P312" s="478"/>
      <c r="Q312" s="479"/>
    </row>
    <row r="313" spans="1:88" s="32" customFormat="1" ht="5.0999999999999996" customHeight="1" x14ac:dyDescent="0.2">
      <c r="A313" s="185"/>
    </row>
    <row r="314" spans="1:88" s="20" customFormat="1" x14ac:dyDescent="0.2">
      <c r="A314" s="427"/>
      <c r="B314" s="269" t="s">
        <v>161</v>
      </c>
      <c r="C314" s="269"/>
      <c r="D314" s="269"/>
      <c r="E314" s="269"/>
      <c r="F314" s="269"/>
      <c r="G314" s="269"/>
      <c r="H314" s="269"/>
      <c r="I314" s="269"/>
      <c r="J314" s="287"/>
      <c r="K314" s="269"/>
      <c r="L314" s="287"/>
      <c r="M314" s="269"/>
      <c r="N314" s="269"/>
      <c r="O314" s="269"/>
      <c r="P314" s="269"/>
      <c r="Q314" s="269"/>
      <c r="R314" s="269"/>
      <c r="S314" s="269"/>
      <c r="T314" s="269"/>
      <c r="U314" s="269"/>
      <c r="V314" s="269"/>
      <c r="W314" s="269"/>
      <c r="X314" s="269"/>
      <c r="Y314" s="269"/>
      <c r="Z314" s="269"/>
      <c r="AA314" s="269"/>
      <c r="AB314" s="269"/>
      <c r="AC314" s="269"/>
      <c r="AD314" s="269"/>
      <c r="AE314" s="269"/>
      <c r="AF314" s="269"/>
      <c r="AG314" s="269"/>
      <c r="AH314" s="269"/>
      <c r="AI314" s="269"/>
      <c r="AJ314" s="269"/>
      <c r="AK314" s="269"/>
      <c r="AL314" s="269"/>
      <c r="AM314" s="269"/>
      <c r="AN314" s="269"/>
      <c r="AO314" s="269"/>
      <c r="AP314" s="269"/>
      <c r="AQ314" s="269"/>
      <c r="AR314" s="269"/>
      <c r="AS314" s="269"/>
      <c r="AT314" s="269"/>
      <c r="AU314" s="269"/>
      <c r="AV314" s="269"/>
      <c r="AW314" s="269"/>
      <c r="AX314" s="269"/>
      <c r="AY314" s="269"/>
      <c r="AZ314" s="269"/>
      <c r="BA314" s="269"/>
      <c r="BB314" s="269"/>
      <c r="BC314" s="269"/>
      <c r="BD314" s="269"/>
      <c r="BE314" s="269"/>
      <c r="BF314" s="269"/>
      <c r="BG314" s="269"/>
      <c r="BH314" s="269"/>
      <c r="BI314" s="269"/>
      <c r="BJ314" s="269"/>
      <c r="BK314" s="269"/>
      <c r="BL314" s="269"/>
      <c r="BM314" s="269"/>
      <c r="BN314" s="269"/>
      <c r="BO314" s="269"/>
      <c r="BP314" s="269"/>
      <c r="BQ314" s="269"/>
      <c r="BR314" s="269"/>
      <c r="BS314" s="269"/>
      <c r="BT314" s="269"/>
      <c r="BU314" s="269"/>
      <c r="BV314" s="269"/>
      <c r="BW314" s="269"/>
      <c r="BX314" s="269"/>
      <c r="BY314" s="269"/>
      <c r="BZ314" s="269"/>
      <c r="CA314" s="269"/>
      <c r="CB314" s="269"/>
      <c r="CC314" s="269"/>
    </row>
    <row r="315" spans="1:88" ht="5.0999999999999996" customHeight="1" thickBot="1" x14ac:dyDescent="0.25">
      <c r="CF315" s="34"/>
      <c r="CG315" s="34"/>
      <c r="CI315" s="34"/>
      <c r="CJ315" s="34"/>
    </row>
    <row r="316" spans="1:88" ht="41.1" customHeight="1" thickBot="1" x14ac:dyDescent="0.25">
      <c r="F316" s="273" t="s">
        <v>162</v>
      </c>
      <c r="G316" s="69"/>
      <c r="J316" s="106" t="e">
        <f>+J257</f>
        <v>#N/A</v>
      </c>
      <c r="K316" s="106" t="e">
        <f t="shared" ref="K316:BV316" si="69">+K257</f>
        <v>#N/A</v>
      </c>
      <c r="L316" s="106" t="e">
        <f t="shared" si="69"/>
        <v>#N/A</v>
      </c>
      <c r="M316" s="106" t="e">
        <f t="shared" si="69"/>
        <v>#N/A</v>
      </c>
      <c r="N316" s="106" t="e">
        <f t="shared" si="69"/>
        <v>#N/A</v>
      </c>
      <c r="O316" s="106" t="e">
        <f t="shared" si="69"/>
        <v>#N/A</v>
      </c>
      <c r="P316" s="106" t="e">
        <f t="shared" si="69"/>
        <v>#N/A</v>
      </c>
      <c r="Q316" s="106" t="e">
        <f t="shared" si="69"/>
        <v>#N/A</v>
      </c>
      <c r="R316" s="106" t="e">
        <f t="shared" si="69"/>
        <v>#N/A</v>
      </c>
      <c r="S316" s="106" t="e">
        <f t="shared" si="69"/>
        <v>#N/A</v>
      </c>
      <c r="T316" s="106" t="e">
        <f t="shared" si="69"/>
        <v>#N/A</v>
      </c>
      <c r="U316" s="106" t="e">
        <f t="shared" si="69"/>
        <v>#N/A</v>
      </c>
      <c r="V316" s="106" t="e">
        <f t="shared" si="69"/>
        <v>#N/A</v>
      </c>
      <c r="W316" s="106" t="e">
        <f t="shared" si="69"/>
        <v>#N/A</v>
      </c>
      <c r="X316" s="106" t="e">
        <f t="shared" si="69"/>
        <v>#N/A</v>
      </c>
      <c r="Y316" s="106" t="e">
        <f t="shared" si="69"/>
        <v>#N/A</v>
      </c>
      <c r="Z316" s="106" t="e">
        <f t="shared" si="69"/>
        <v>#N/A</v>
      </c>
      <c r="AA316" s="106" t="e">
        <f t="shared" si="69"/>
        <v>#N/A</v>
      </c>
      <c r="AB316" s="106" t="e">
        <f t="shared" si="69"/>
        <v>#N/A</v>
      </c>
      <c r="AC316" s="106" t="e">
        <f t="shared" si="69"/>
        <v>#N/A</v>
      </c>
      <c r="AD316" s="106" t="e">
        <f t="shared" si="69"/>
        <v>#N/A</v>
      </c>
      <c r="AE316" s="106" t="e">
        <f t="shared" si="69"/>
        <v>#N/A</v>
      </c>
      <c r="AF316" s="106" t="e">
        <f t="shared" si="69"/>
        <v>#N/A</v>
      </c>
      <c r="AG316" s="106" t="e">
        <f t="shared" si="69"/>
        <v>#N/A</v>
      </c>
      <c r="AH316" s="106" t="e">
        <f t="shared" si="69"/>
        <v>#N/A</v>
      </c>
      <c r="AI316" s="106" t="e">
        <f t="shared" si="69"/>
        <v>#N/A</v>
      </c>
      <c r="AJ316" s="106" t="e">
        <f t="shared" si="69"/>
        <v>#N/A</v>
      </c>
      <c r="AK316" s="106" t="e">
        <f t="shared" si="69"/>
        <v>#N/A</v>
      </c>
      <c r="AL316" s="106" t="e">
        <f t="shared" si="69"/>
        <v>#N/A</v>
      </c>
      <c r="AM316" s="106" t="e">
        <f t="shared" si="69"/>
        <v>#N/A</v>
      </c>
      <c r="AN316" s="106" t="e">
        <f t="shared" si="69"/>
        <v>#N/A</v>
      </c>
      <c r="AO316" s="106" t="e">
        <f t="shared" si="69"/>
        <v>#N/A</v>
      </c>
      <c r="AP316" s="106" t="e">
        <f t="shared" si="69"/>
        <v>#N/A</v>
      </c>
      <c r="AQ316" s="106" t="e">
        <f t="shared" si="69"/>
        <v>#N/A</v>
      </c>
      <c r="AR316" s="106" t="e">
        <f t="shared" si="69"/>
        <v>#N/A</v>
      </c>
      <c r="AS316" s="106" t="e">
        <f t="shared" si="69"/>
        <v>#N/A</v>
      </c>
      <c r="AT316" s="106" t="e">
        <f t="shared" si="69"/>
        <v>#N/A</v>
      </c>
      <c r="AU316" s="106" t="e">
        <f t="shared" si="69"/>
        <v>#N/A</v>
      </c>
      <c r="AV316" s="106" t="e">
        <f t="shared" si="69"/>
        <v>#N/A</v>
      </c>
      <c r="AW316" s="106" t="e">
        <f t="shared" si="69"/>
        <v>#N/A</v>
      </c>
      <c r="AX316" s="106" t="e">
        <f t="shared" si="69"/>
        <v>#N/A</v>
      </c>
      <c r="AY316" s="106" t="e">
        <f t="shared" si="69"/>
        <v>#N/A</v>
      </c>
      <c r="AZ316" s="106" t="e">
        <f t="shared" si="69"/>
        <v>#N/A</v>
      </c>
      <c r="BA316" s="106" t="e">
        <f t="shared" si="69"/>
        <v>#N/A</v>
      </c>
      <c r="BB316" s="106" t="e">
        <f t="shared" si="69"/>
        <v>#N/A</v>
      </c>
      <c r="BC316" s="106" t="e">
        <f t="shared" si="69"/>
        <v>#N/A</v>
      </c>
      <c r="BD316" s="106" t="e">
        <f t="shared" si="69"/>
        <v>#N/A</v>
      </c>
      <c r="BE316" s="106" t="e">
        <f t="shared" si="69"/>
        <v>#N/A</v>
      </c>
      <c r="BF316" s="106" t="e">
        <f t="shared" si="69"/>
        <v>#N/A</v>
      </c>
      <c r="BG316" s="106" t="e">
        <f t="shared" si="69"/>
        <v>#N/A</v>
      </c>
      <c r="BH316" s="106" t="e">
        <f t="shared" si="69"/>
        <v>#N/A</v>
      </c>
      <c r="BI316" s="106" t="e">
        <f t="shared" si="69"/>
        <v>#N/A</v>
      </c>
      <c r="BJ316" s="106" t="e">
        <f t="shared" si="69"/>
        <v>#N/A</v>
      </c>
      <c r="BK316" s="106" t="e">
        <f t="shared" si="69"/>
        <v>#N/A</v>
      </c>
      <c r="BL316" s="106" t="e">
        <f t="shared" si="69"/>
        <v>#N/A</v>
      </c>
      <c r="BM316" s="106" t="e">
        <f t="shared" si="69"/>
        <v>#N/A</v>
      </c>
      <c r="BN316" s="106" t="e">
        <f t="shared" si="69"/>
        <v>#N/A</v>
      </c>
      <c r="BO316" s="106" t="e">
        <f t="shared" si="69"/>
        <v>#N/A</v>
      </c>
      <c r="BP316" s="106" t="e">
        <f t="shared" si="69"/>
        <v>#N/A</v>
      </c>
      <c r="BQ316" s="106" t="e">
        <f t="shared" si="69"/>
        <v>#N/A</v>
      </c>
      <c r="BR316" s="106" t="e">
        <f t="shared" si="69"/>
        <v>#N/A</v>
      </c>
      <c r="BS316" s="106" t="e">
        <f t="shared" si="69"/>
        <v>#N/A</v>
      </c>
      <c r="BT316" s="106" t="e">
        <f t="shared" si="69"/>
        <v>#N/A</v>
      </c>
      <c r="BU316" s="106" t="e">
        <f t="shared" si="69"/>
        <v>#N/A</v>
      </c>
      <c r="BV316" s="106" t="e">
        <f t="shared" si="69"/>
        <v>#N/A</v>
      </c>
      <c r="BW316" s="106" t="e">
        <f t="shared" ref="BW316:CC316" si="70">+BW257</f>
        <v>#N/A</v>
      </c>
      <c r="BX316" s="106" t="e">
        <f t="shared" si="70"/>
        <v>#N/A</v>
      </c>
      <c r="BY316" s="106" t="e">
        <f t="shared" si="70"/>
        <v>#N/A</v>
      </c>
      <c r="BZ316" s="106" t="e">
        <f t="shared" si="70"/>
        <v>#N/A</v>
      </c>
      <c r="CA316" s="106" t="e">
        <f t="shared" si="70"/>
        <v>#N/A</v>
      </c>
      <c r="CB316" s="106" t="e">
        <f t="shared" si="70"/>
        <v>#N/A</v>
      </c>
      <c r="CC316" s="106" t="e">
        <f t="shared" si="70"/>
        <v>#N/A</v>
      </c>
      <c r="CF316" s="34"/>
      <c r="CG316" s="34"/>
      <c r="CI316" s="34"/>
      <c r="CJ316" s="34"/>
    </row>
    <row r="317" spans="1:88" ht="5.0999999999999996" customHeight="1" thickBot="1" x14ac:dyDescent="0.25">
      <c r="J317" s="32"/>
      <c r="K317" s="32"/>
      <c r="L317" s="32"/>
      <c r="M317" s="32"/>
      <c r="N317" s="32"/>
      <c r="O317" s="32"/>
      <c r="P317" s="32"/>
      <c r="Q317" s="32"/>
      <c r="CF317" s="34"/>
      <c r="CG317" s="34"/>
      <c r="CI317" s="34"/>
      <c r="CJ317" s="34"/>
    </row>
    <row r="318" spans="1:88" ht="24.95" customHeight="1" thickBot="1" x14ac:dyDescent="0.25">
      <c r="B318" s="481" t="s">
        <v>163</v>
      </c>
      <c r="C318" s="482"/>
      <c r="D318" s="483"/>
      <c r="F318" s="220" t="e">
        <f>+F150</f>
        <v>#N/A</v>
      </c>
      <c r="G318" s="175"/>
      <c r="I318" s="80"/>
      <c r="J318" s="107" t="e">
        <f>HLOOKUP(J316,'IPIM y USD'!$D$6:$KV$8,3,FALSE)</f>
        <v>#N/A</v>
      </c>
      <c r="K318" s="107" t="e">
        <f>HLOOKUP(K316,'IPIM y USD'!$D$6:$KV$8,3,FALSE)</f>
        <v>#N/A</v>
      </c>
      <c r="L318" s="107" t="e">
        <f>HLOOKUP(L316,'IPIM y USD'!$D$6:$KV$8,3,FALSE)</f>
        <v>#N/A</v>
      </c>
      <c r="M318" s="107" t="e">
        <f>HLOOKUP(M316,'IPIM y USD'!$D$6:$KV$8,3,FALSE)</f>
        <v>#N/A</v>
      </c>
      <c r="N318" s="107" t="e">
        <f>HLOOKUP(N316,'IPIM y USD'!$D$6:$KV$8,3,FALSE)</f>
        <v>#N/A</v>
      </c>
      <c r="O318" s="107" t="e">
        <f>HLOOKUP(O316,'IPIM y USD'!$D$6:$KV$8,3,FALSE)</f>
        <v>#N/A</v>
      </c>
      <c r="P318" s="107" t="e">
        <f>HLOOKUP(P316,'IPIM y USD'!$D$6:$KV$8,3,FALSE)</f>
        <v>#N/A</v>
      </c>
      <c r="Q318" s="107" t="e">
        <f>HLOOKUP(Q316,'IPIM y USD'!$D$6:$KV$8,3,FALSE)</f>
        <v>#N/A</v>
      </c>
      <c r="R318" s="107" t="e">
        <f>HLOOKUP(R316,'IPIM y USD'!$D$6:$KV$8,3,FALSE)</f>
        <v>#N/A</v>
      </c>
      <c r="S318" s="107" t="e">
        <f>HLOOKUP(S316,'IPIM y USD'!$D$6:$KV$8,3,FALSE)</f>
        <v>#N/A</v>
      </c>
      <c r="T318" s="107" t="e">
        <f>HLOOKUP(T316,'IPIM y USD'!$D$6:$KV$8,3,FALSE)</f>
        <v>#N/A</v>
      </c>
      <c r="U318" s="107" t="e">
        <f>HLOOKUP(U316,'IPIM y USD'!$D$6:$KV$8,3,FALSE)</f>
        <v>#N/A</v>
      </c>
      <c r="V318" s="107" t="e">
        <f>HLOOKUP(V316,'IPIM y USD'!$D$6:$KV$8,3,FALSE)</f>
        <v>#N/A</v>
      </c>
      <c r="W318" s="107" t="e">
        <f>HLOOKUP(W316,'IPIM y USD'!$D$6:$KV$8,3,FALSE)</f>
        <v>#N/A</v>
      </c>
      <c r="X318" s="107" t="e">
        <f>HLOOKUP(X316,'IPIM y USD'!$D$6:$KV$8,3,FALSE)</f>
        <v>#N/A</v>
      </c>
      <c r="Y318" s="107" t="e">
        <f>HLOOKUP(Y316,'IPIM y USD'!$D$6:$KV$8,3,FALSE)</f>
        <v>#N/A</v>
      </c>
      <c r="Z318" s="107" t="e">
        <f>HLOOKUP(Z316,'IPIM y USD'!$D$6:$KV$8,3,FALSE)</f>
        <v>#N/A</v>
      </c>
      <c r="AA318" s="107" t="e">
        <f>HLOOKUP(AA316,'IPIM y USD'!$D$6:$KV$8,3,FALSE)</f>
        <v>#N/A</v>
      </c>
      <c r="AB318" s="107" t="e">
        <f>HLOOKUP(AB316,'IPIM y USD'!$D$6:$KV$8,3,FALSE)</f>
        <v>#N/A</v>
      </c>
      <c r="AC318" s="107" t="e">
        <f>HLOOKUP(AC316,'IPIM y USD'!$D$6:$KV$8,3,FALSE)</f>
        <v>#N/A</v>
      </c>
      <c r="AD318" s="107" t="e">
        <f>HLOOKUP(AD316,'IPIM y USD'!$D$6:$KV$8,3,FALSE)</f>
        <v>#N/A</v>
      </c>
      <c r="AE318" s="107" t="e">
        <f>HLOOKUP(AE316,'IPIM y USD'!$D$6:$KV$8,3,FALSE)</f>
        <v>#N/A</v>
      </c>
      <c r="AF318" s="107" t="e">
        <f>HLOOKUP(AF316,'IPIM y USD'!$D$6:$KV$8,3,FALSE)</f>
        <v>#N/A</v>
      </c>
      <c r="AG318" s="107" t="e">
        <f>HLOOKUP(AG316,'IPIM y USD'!$D$6:$KV$8,3,FALSE)</f>
        <v>#N/A</v>
      </c>
      <c r="AH318" s="107" t="e">
        <f>HLOOKUP(AH316,'IPIM y USD'!$D$6:$KV$8,3,FALSE)</f>
        <v>#N/A</v>
      </c>
      <c r="AI318" s="107" t="e">
        <f>HLOOKUP(AI316,'IPIM y USD'!$D$6:$KV$8,3,FALSE)</f>
        <v>#N/A</v>
      </c>
      <c r="AJ318" s="107" t="e">
        <f>HLOOKUP(AJ316,'IPIM y USD'!$D$6:$KV$8,3,FALSE)</f>
        <v>#N/A</v>
      </c>
      <c r="AK318" s="107" t="e">
        <f>HLOOKUP(AK316,'IPIM y USD'!$D$6:$KV$8,3,FALSE)</f>
        <v>#N/A</v>
      </c>
      <c r="AL318" s="107" t="e">
        <f>HLOOKUP(AL316,'IPIM y USD'!$D$6:$KV$8,3,FALSE)</f>
        <v>#N/A</v>
      </c>
      <c r="AM318" s="107" t="e">
        <f>HLOOKUP(AM316,'IPIM y USD'!$D$6:$KV$8,3,FALSE)</f>
        <v>#N/A</v>
      </c>
      <c r="AN318" s="107" t="e">
        <f>HLOOKUP(AN316,'IPIM y USD'!$D$6:$KV$8,3,FALSE)</f>
        <v>#N/A</v>
      </c>
      <c r="AO318" s="107" t="e">
        <f>HLOOKUP(AO316,'IPIM y USD'!$D$6:$KV$8,3,FALSE)</f>
        <v>#N/A</v>
      </c>
      <c r="AP318" s="107" t="e">
        <f>HLOOKUP(AP316,'IPIM y USD'!$D$6:$KV$8,3,FALSE)</f>
        <v>#N/A</v>
      </c>
      <c r="AQ318" s="107" t="e">
        <f>HLOOKUP(AQ316,'IPIM y USD'!$D$6:$KV$8,3,FALSE)</f>
        <v>#N/A</v>
      </c>
      <c r="AR318" s="107" t="e">
        <f>HLOOKUP(AR316,'IPIM y USD'!$D$6:$KV$8,3,FALSE)</f>
        <v>#N/A</v>
      </c>
      <c r="AS318" s="107" t="e">
        <f>HLOOKUP(AS316,'IPIM y USD'!$D$6:$KV$8,3,FALSE)</f>
        <v>#N/A</v>
      </c>
      <c r="AT318" s="107" t="e">
        <f>HLOOKUP(AT316,'IPIM y USD'!$D$6:$KV$8,3,FALSE)</f>
        <v>#N/A</v>
      </c>
      <c r="AU318" s="107" t="e">
        <f>HLOOKUP(AU316,'IPIM y USD'!$D$6:$KV$8,3,FALSE)</f>
        <v>#N/A</v>
      </c>
      <c r="AV318" s="107" t="e">
        <f>HLOOKUP(AV316,'IPIM y USD'!$D$6:$KV$8,3,FALSE)</f>
        <v>#N/A</v>
      </c>
      <c r="AW318" s="107" t="e">
        <f>HLOOKUP(AW316,'IPIM y USD'!$D$6:$KV$8,3,FALSE)</f>
        <v>#N/A</v>
      </c>
      <c r="AX318" s="107" t="e">
        <f>HLOOKUP(AX316,'IPIM y USD'!$D$6:$KV$8,3,FALSE)</f>
        <v>#N/A</v>
      </c>
      <c r="AY318" s="107" t="e">
        <f>HLOOKUP(AY316,'IPIM y USD'!$D$6:$KV$8,3,FALSE)</f>
        <v>#N/A</v>
      </c>
      <c r="AZ318" s="107" t="e">
        <f>HLOOKUP(AZ316,'IPIM y USD'!$D$6:$KV$8,3,FALSE)</f>
        <v>#N/A</v>
      </c>
      <c r="BA318" s="107" t="e">
        <f>HLOOKUP(BA316,'IPIM y USD'!$D$6:$KV$8,3,FALSE)</f>
        <v>#N/A</v>
      </c>
      <c r="BB318" s="107" t="e">
        <f>HLOOKUP(BB316,'IPIM y USD'!$D$6:$KV$8,3,FALSE)</f>
        <v>#N/A</v>
      </c>
      <c r="BC318" s="107" t="e">
        <f>HLOOKUP(BC316,'IPIM y USD'!$D$6:$KV$8,3,FALSE)</f>
        <v>#N/A</v>
      </c>
      <c r="BD318" s="107" t="e">
        <f>HLOOKUP(BD316,'IPIM y USD'!$D$6:$KV$8,3,FALSE)</f>
        <v>#N/A</v>
      </c>
      <c r="BE318" s="107" t="e">
        <f>HLOOKUP(BE316,'IPIM y USD'!$D$6:$KV$8,3,FALSE)</f>
        <v>#N/A</v>
      </c>
      <c r="BF318" s="107" t="e">
        <f>HLOOKUP(BF316,'IPIM y USD'!$D$6:$KV$8,3,FALSE)</f>
        <v>#N/A</v>
      </c>
      <c r="BG318" s="107" t="e">
        <f>HLOOKUP(BG316,'IPIM y USD'!$D$6:$KV$8,3,FALSE)</f>
        <v>#N/A</v>
      </c>
      <c r="BH318" s="107" t="e">
        <f>HLOOKUP(BH316,'IPIM y USD'!$D$6:$KV$8,3,FALSE)</f>
        <v>#N/A</v>
      </c>
      <c r="BI318" s="107" t="e">
        <f>HLOOKUP(BI316,'IPIM y USD'!$D$6:$KV$8,3,FALSE)</f>
        <v>#N/A</v>
      </c>
      <c r="BJ318" s="107" t="e">
        <f>HLOOKUP(BJ316,'IPIM y USD'!$D$6:$KV$8,3,FALSE)</f>
        <v>#N/A</v>
      </c>
      <c r="BK318" s="107" t="e">
        <f>HLOOKUP(BK316,'IPIM y USD'!$D$6:$KV$8,3,FALSE)</f>
        <v>#N/A</v>
      </c>
      <c r="BL318" s="107" t="e">
        <f>HLOOKUP(BL316,'IPIM y USD'!$D$6:$KV$8,3,FALSE)</f>
        <v>#N/A</v>
      </c>
      <c r="BM318" s="107" t="e">
        <f>HLOOKUP(BM316,'IPIM y USD'!$D$6:$KV$8,3,FALSE)</f>
        <v>#N/A</v>
      </c>
      <c r="BN318" s="107" t="e">
        <f>HLOOKUP(BN316,'IPIM y USD'!$D$6:$KV$8,3,FALSE)</f>
        <v>#N/A</v>
      </c>
      <c r="BO318" s="107" t="e">
        <f>HLOOKUP(BO316,'IPIM y USD'!$D$6:$KV$8,3,FALSE)</f>
        <v>#N/A</v>
      </c>
      <c r="BP318" s="107" t="e">
        <f>HLOOKUP(BP316,'IPIM y USD'!$D$6:$KV$8,3,FALSE)</f>
        <v>#N/A</v>
      </c>
      <c r="BQ318" s="107" t="e">
        <f>HLOOKUP(BQ316,'IPIM y USD'!$D$6:$KV$8,3,FALSE)</f>
        <v>#N/A</v>
      </c>
      <c r="BR318" s="107" t="e">
        <f>HLOOKUP(BR316,'IPIM y USD'!$D$6:$KV$8,3,FALSE)</f>
        <v>#N/A</v>
      </c>
      <c r="BS318" s="107" t="e">
        <f>HLOOKUP(BS316,'IPIM y USD'!$D$6:$KV$8,3,FALSE)</f>
        <v>#N/A</v>
      </c>
      <c r="BT318" s="107" t="e">
        <f>HLOOKUP(BT316,'IPIM y USD'!$D$6:$KV$8,3,FALSE)</f>
        <v>#N/A</v>
      </c>
      <c r="BU318" s="107" t="e">
        <f>HLOOKUP(BU316,'IPIM y USD'!$D$6:$KV$8,3,FALSE)</f>
        <v>#N/A</v>
      </c>
      <c r="BV318" s="107" t="e">
        <f>HLOOKUP(BV316,'IPIM y USD'!$D$6:$KV$8,3,FALSE)</f>
        <v>#N/A</v>
      </c>
      <c r="BW318" s="107" t="e">
        <f>HLOOKUP(BW316,'IPIM y USD'!$D$6:$KV$8,3,FALSE)</f>
        <v>#N/A</v>
      </c>
      <c r="BX318" s="107" t="e">
        <f>HLOOKUP(BX316,'IPIM y USD'!$D$6:$KV$8,3,FALSE)</f>
        <v>#N/A</v>
      </c>
      <c r="BY318" s="107" t="e">
        <f>HLOOKUP(BY316,'IPIM y USD'!$D$6:$KV$8,3,FALSE)</f>
        <v>#N/A</v>
      </c>
      <c r="BZ318" s="107" t="e">
        <f>HLOOKUP(BZ316,'IPIM y USD'!$D$6:$KV$8,3,FALSE)</f>
        <v>#N/A</v>
      </c>
      <c r="CA318" s="107" t="e">
        <f>HLOOKUP(CA316,'IPIM y USD'!$D$6:$KV$8,3,FALSE)</f>
        <v>#N/A</v>
      </c>
      <c r="CB318" s="107" t="e">
        <f>HLOOKUP(CB316,'IPIM y USD'!$D$6:$KV$8,3,FALSE)</f>
        <v>#N/A</v>
      </c>
      <c r="CC318" s="107" t="e">
        <f>HLOOKUP(CC316,'IPIM y USD'!$D$6:$KV$8,3,FALSE)</f>
        <v>#N/A</v>
      </c>
      <c r="CF318" s="34"/>
      <c r="CG318" s="34"/>
      <c r="CI318" s="34"/>
      <c r="CJ318" s="34"/>
    </row>
    <row r="319" spans="1:88" ht="5.0999999999999996" customHeight="1" thickBot="1" x14ac:dyDescent="0.25">
      <c r="B319" s="304"/>
      <c r="C319" s="304"/>
      <c r="D319" s="304"/>
      <c r="J319" s="32"/>
      <c r="K319" s="32"/>
      <c r="L319" s="32"/>
      <c r="M319" s="32"/>
      <c r="N319" s="32"/>
      <c r="O319" s="32"/>
      <c r="P319" s="32"/>
      <c r="Q319" s="32"/>
      <c r="R319" s="32"/>
      <c r="S319" s="32"/>
      <c r="T319" s="32"/>
      <c r="U319" s="32"/>
      <c r="V319" s="32"/>
      <c r="W319" s="32"/>
      <c r="X319" s="32"/>
      <c r="Y319" s="32"/>
      <c r="Z319" s="32"/>
      <c r="AA319" s="32"/>
      <c r="AB319" s="32"/>
      <c r="AC319" s="32"/>
      <c r="AD319" s="32"/>
      <c r="AE319" s="32"/>
      <c r="AF319" s="32"/>
      <c r="AG319" s="32"/>
      <c r="AH319" s="32"/>
      <c r="AI319" s="32"/>
      <c r="AJ319" s="32"/>
      <c r="AK319" s="32"/>
      <c r="AL319" s="32"/>
      <c r="AM319" s="32"/>
      <c r="AN319" s="32"/>
      <c r="AO319" s="32"/>
      <c r="AP319" s="32"/>
      <c r="AQ319" s="32"/>
      <c r="AR319" s="32"/>
      <c r="AS319" s="32"/>
      <c r="AT319" s="32"/>
      <c r="AU319" s="32"/>
      <c r="AV319" s="32"/>
      <c r="AW319" s="32"/>
      <c r="AX319" s="32"/>
      <c r="AY319" s="32"/>
      <c r="AZ319" s="32"/>
      <c r="BA319" s="32"/>
      <c r="BB319" s="32"/>
      <c r="BC319" s="32"/>
      <c r="BD319" s="32"/>
      <c r="BE319" s="32"/>
      <c r="BF319" s="32"/>
      <c r="BG319" s="32"/>
      <c r="BH319" s="32"/>
      <c r="BI319" s="32"/>
      <c r="BJ319" s="32"/>
      <c r="BK319" s="32"/>
      <c r="BL319" s="32"/>
      <c r="BM319" s="32"/>
      <c r="BN319" s="32"/>
      <c r="BO319" s="32"/>
      <c r="BP319" s="32"/>
      <c r="BQ319" s="32"/>
      <c r="BR319" s="32"/>
      <c r="BS319" s="32"/>
      <c r="BT319" s="32"/>
      <c r="BU319" s="32"/>
      <c r="BV319" s="32"/>
      <c r="BW319" s="32"/>
      <c r="BX319" s="32"/>
      <c r="BY319" s="32"/>
      <c r="BZ319" s="32"/>
      <c r="CA319" s="32"/>
      <c r="CB319" s="32"/>
      <c r="CC319" s="32"/>
      <c r="CF319" s="34"/>
      <c r="CG319" s="34"/>
      <c r="CI319" s="34"/>
      <c r="CJ319" s="34"/>
    </row>
    <row r="320" spans="1:88" ht="24.95" customHeight="1" thickBot="1" x14ac:dyDescent="0.25">
      <c r="B320" s="481" t="s">
        <v>164</v>
      </c>
      <c r="C320" s="482"/>
      <c r="D320" s="483"/>
      <c r="F320" s="305" t="e">
        <f>+F152</f>
        <v>#N/A</v>
      </c>
      <c r="G320" s="80"/>
      <c r="I320" s="80"/>
      <c r="J320" s="108" t="e">
        <f>HLOOKUP(J316,'IPIM y USD'!$D$15:$KV$17,3,FALSE)</f>
        <v>#N/A</v>
      </c>
      <c r="K320" s="108" t="e">
        <f>HLOOKUP(K316,'IPIM y USD'!$D$15:$KV$17,3,FALSE)</f>
        <v>#N/A</v>
      </c>
      <c r="L320" s="108" t="e">
        <f>HLOOKUP(L316,'IPIM y USD'!$D$15:$KV$17,3,FALSE)</f>
        <v>#N/A</v>
      </c>
      <c r="M320" s="108" t="e">
        <f>HLOOKUP(M316,'IPIM y USD'!$D$15:$KV$17,3,FALSE)</f>
        <v>#N/A</v>
      </c>
      <c r="N320" s="108" t="e">
        <f>HLOOKUP(N316,'IPIM y USD'!$D$15:$KV$17,3,FALSE)</f>
        <v>#N/A</v>
      </c>
      <c r="O320" s="108" t="e">
        <f>HLOOKUP(O316,'IPIM y USD'!$D$15:$KV$17,3,FALSE)</f>
        <v>#N/A</v>
      </c>
      <c r="P320" s="108" t="e">
        <f>HLOOKUP(P316,'IPIM y USD'!$D$15:$KV$17,3,FALSE)</f>
        <v>#N/A</v>
      </c>
      <c r="Q320" s="108" t="e">
        <f>HLOOKUP(Q316,'IPIM y USD'!$D$15:$KV$17,3,FALSE)</f>
        <v>#N/A</v>
      </c>
      <c r="R320" s="108" t="e">
        <f>HLOOKUP(R316,'IPIM y USD'!$D$15:$KV$17,3,FALSE)</f>
        <v>#N/A</v>
      </c>
      <c r="S320" s="108" t="e">
        <f>HLOOKUP(S316,'IPIM y USD'!$D$15:$KV$17,3,FALSE)</f>
        <v>#N/A</v>
      </c>
      <c r="T320" s="108" t="e">
        <f>HLOOKUP(T316,'IPIM y USD'!$D$15:$KV$17,3,FALSE)</f>
        <v>#N/A</v>
      </c>
      <c r="U320" s="108" t="e">
        <f>HLOOKUP(U316,'IPIM y USD'!$D$15:$KV$17,3,FALSE)</f>
        <v>#N/A</v>
      </c>
      <c r="V320" s="108" t="e">
        <f>HLOOKUP(V316,'IPIM y USD'!$D$15:$KV$17,3,FALSE)</f>
        <v>#N/A</v>
      </c>
      <c r="W320" s="108" t="e">
        <f>HLOOKUP(W316,'IPIM y USD'!$D$15:$KV$17,3,FALSE)</f>
        <v>#N/A</v>
      </c>
      <c r="X320" s="108" t="e">
        <f>HLOOKUP(X316,'IPIM y USD'!$D$15:$KV$17,3,FALSE)</f>
        <v>#N/A</v>
      </c>
      <c r="Y320" s="108" t="e">
        <f>HLOOKUP(Y316,'IPIM y USD'!$D$15:$KV$17,3,FALSE)</f>
        <v>#N/A</v>
      </c>
      <c r="Z320" s="108" t="e">
        <f>HLOOKUP(Z316,'IPIM y USD'!$D$15:$KV$17,3,FALSE)</f>
        <v>#N/A</v>
      </c>
      <c r="AA320" s="108" t="e">
        <f>HLOOKUP(AA316,'IPIM y USD'!$D$15:$KV$17,3,FALSE)</f>
        <v>#N/A</v>
      </c>
      <c r="AB320" s="108" t="e">
        <f>HLOOKUP(AB316,'IPIM y USD'!$D$15:$KV$17,3,FALSE)</f>
        <v>#N/A</v>
      </c>
      <c r="AC320" s="108" t="e">
        <f>HLOOKUP(AC316,'IPIM y USD'!$D$15:$KV$17,3,FALSE)</f>
        <v>#N/A</v>
      </c>
      <c r="AD320" s="108" t="e">
        <f>HLOOKUP(AD316,'IPIM y USD'!$D$15:$KV$17,3,FALSE)</f>
        <v>#N/A</v>
      </c>
      <c r="AE320" s="108" t="e">
        <f>HLOOKUP(AE316,'IPIM y USD'!$D$15:$KV$17,3,FALSE)</f>
        <v>#N/A</v>
      </c>
      <c r="AF320" s="108" t="e">
        <f>HLOOKUP(AF316,'IPIM y USD'!$D$15:$KV$17,3,FALSE)</f>
        <v>#N/A</v>
      </c>
      <c r="AG320" s="108" t="e">
        <f>HLOOKUP(AG316,'IPIM y USD'!$D$15:$KV$17,3,FALSE)</f>
        <v>#N/A</v>
      </c>
      <c r="AH320" s="108" t="e">
        <f>HLOOKUP(AH316,'IPIM y USD'!$D$15:$KV$17,3,FALSE)</f>
        <v>#N/A</v>
      </c>
      <c r="AI320" s="108" t="e">
        <f>HLOOKUP(AI316,'IPIM y USD'!$D$15:$KV$17,3,FALSE)</f>
        <v>#N/A</v>
      </c>
      <c r="AJ320" s="108" t="e">
        <f>HLOOKUP(AJ316,'IPIM y USD'!$D$15:$KV$17,3,FALSE)</f>
        <v>#N/A</v>
      </c>
      <c r="AK320" s="108" t="e">
        <f>HLOOKUP(AK316,'IPIM y USD'!$D$15:$KV$17,3,FALSE)</f>
        <v>#N/A</v>
      </c>
      <c r="AL320" s="108" t="e">
        <f>HLOOKUP(AL316,'IPIM y USD'!$D$15:$KV$17,3,FALSE)</f>
        <v>#N/A</v>
      </c>
      <c r="AM320" s="108" t="e">
        <f>HLOOKUP(AM316,'IPIM y USD'!$D$15:$KV$17,3,FALSE)</f>
        <v>#N/A</v>
      </c>
      <c r="AN320" s="108" t="e">
        <f>HLOOKUP(AN316,'IPIM y USD'!$D$15:$KV$17,3,FALSE)</f>
        <v>#N/A</v>
      </c>
      <c r="AO320" s="108" t="e">
        <f>HLOOKUP(AO316,'IPIM y USD'!$D$15:$KV$17,3,FALSE)</f>
        <v>#N/A</v>
      </c>
      <c r="AP320" s="108" t="e">
        <f>HLOOKUP(AP316,'IPIM y USD'!$D$15:$KV$17,3,FALSE)</f>
        <v>#N/A</v>
      </c>
      <c r="AQ320" s="108" t="e">
        <f>HLOOKUP(AQ316,'IPIM y USD'!$D$15:$KV$17,3,FALSE)</f>
        <v>#N/A</v>
      </c>
      <c r="AR320" s="108" t="e">
        <f>HLOOKUP(AR316,'IPIM y USD'!$D$15:$KV$17,3,FALSE)</f>
        <v>#N/A</v>
      </c>
      <c r="AS320" s="108" t="e">
        <f>HLOOKUP(AS316,'IPIM y USD'!$D$15:$KV$17,3,FALSE)</f>
        <v>#N/A</v>
      </c>
      <c r="AT320" s="108" t="e">
        <f>HLOOKUP(AT316,'IPIM y USD'!$D$15:$KV$17,3,FALSE)</f>
        <v>#N/A</v>
      </c>
      <c r="AU320" s="108" t="e">
        <f>HLOOKUP(AU316,'IPIM y USD'!$D$15:$KV$17,3,FALSE)</f>
        <v>#N/A</v>
      </c>
      <c r="AV320" s="108" t="e">
        <f>HLOOKUP(AV316,'IPIM y USD'!$D$15:$KV$17,3,FALSE)</f>
        <v>#N/A</v>
      </c>
      <c r="AW320" s="108" t="e">
        <f>HLOOKUP(AW316,'IPIM y USD'!$D$15:$KV$17,3,FALSE)</f>
        <v>#N/A</v>
      </c>
      <c r="AX320" s="108" t="e">
        <f>HLOOKUP(AX316,'IPIM y USD'!$D$15:$KV$17,3,FALSE)</f>
        <v>#N/A</v>
      </c>
      <c r="AY320" s="108" t="e">
        <f>HLOOKUP(AY316,'IPIM y USD'!$D$15:$KV$17,3,FALSE)</f>
        <v>#N/A</v>
      </c>
      <c r="AZ320" s="108" t="e">
        <f>HLOOKUP(AZ316,'IPIM y USD'!$D$15:$KV$17,3,FALSE)</f>
        <v>#N/A</v>
      </c>
      <c r="BA320" s="108" t="e">
        <f>HLOOKUP(BA316,'IPIM y USD'!$D$15:$KV$17,3,FALSE)</f>
        <v>#N/A</v>
      </c>
      <c r="BB320" s="108" t="e">
        <f>HLOOKUP(BB316,'IPIM y USD'!$D$15:$KV$17,3,FALSE)</f>
        <v>#N/A</v>
      </c>
      <c r="BC320" s="108" t="e">
        <f>HLOOKUP(BC316,'IPIM y USD'!$D$15:$KV$17,3,FALSE)</f>
        <v>#N/A</v>
      </c>
      <c r="BD320" s="108" t="e">
        <f>HLOOKUP(BD316,'IPIM y USD'!$D$15:$KV$17,3,FALSE)</f>
        <v>#N/A</v>
      </c>
      <c r="BE320" s="108" t="e">
        <f>HLOOKUP(BE316,'IPIM y USD'!$D$15:$KV$17,3,FALSE)</f>
        <v>#N/A</v>
      </c>
      <c r="BF320" s="108" t="e">
        <f>HLOOKUP(BF316,'IPIM y USD'!$D$15:$KV$17,3,FALSE)</f>
        <v>#N/A</v>
      </c>
      <c r="BG320" s="108" t="e">
        <f>HLOOKUP(BG316,'IPIM y USD'!$D$15:$KV$17,3,FALSE)</f>
        <v>#N/A</v>
      </c>
      <c r="BH320" s="108" t="e">
        <f>HLOOKUP(BH316,'IPIM y USD'!$D$15:$KV$17,3,FALSE)</f>
        <v>#N/A</v>
      </c>
      <c r="BI320" s="108" t="e">
        <f>HLOOKUP(BI316,'IPIM y USD'!$D$15:$KV$17,3,FALSE)</f>
        <v>#N/A</v>
      </c>
      <c r="BJ320" s="108" t="e">
        <f>HLOOKUP(BJ316,'IPIM y USD'!$D$15:$KV$17,3,FALSE)</f>
        <v>#N/A</v>
      </c>
      <c r="BK320" s="108" t="e">
        <f>HLOOKUP(BK316,'IPIM y USD'!$D$15:$KV$17,3,FALSE)</f>
        <v>#N/A</v>
      </c>
      <c r="BL320" s="108" t="e">
        <f>HLOOKUP(BL316,'IPIM y USD'!$D$15:$KV$17,3,FALSE)</f>
        <v>#N/A</v>
      </c>
      <c r="BM320" s="108" t="e">
        <f>HLOOKUP(BM316,'IPIM y USD'!$D$15:$KV$17,3,FALSE)</f>
        <v>#N/A</v>
      </c>
      <c r="BN320" s="108" t="e">
        <f>HLOOKUP(BN316,'IPIM y USD'!$D$15:$KV$17,3,FALSE)</f>
        <v>#N/A</v>
      </c>
      <c r="BO320" s="108" t="e">
        <f>HLOOKUP(BO316,'IPIM y USD'!$D$15:$KV$17,3,FALSE)</f>
        <v>#N/A</v>
      </c>
      <c r="BP320" s="108" t="e">
        <f>HLOOKUP(BP316,'IPIM y USD'!$D$15:$KV$17,3,FALSE)</f>
        <v>#N/A</v>
      </c>
      <c r="BQ320" s="108" t="e">
        <f>HLOOKUP(BQ316,'IPIM y USD'!$D$15:$KV$17,3,FALSE)</f>
        <v>#N/A</v>
      </c>
      <c r="BR320" s="108" t="e">
        <f>HLOOKUP(BR316,'IPIM y USD'!$D$15:$KV$17,3,FALSE)</f>
        <v>#N/A</v>
      </c>
      <c r="BS320" s="108" t="e">
        <f>HLOOKUP(BS316,'IPIM y USD'!$D$15:$KV$17,3,FALSE)</f>
        <v>#N/A</v>
      </c>
      <c r="BT320" s="108" t="e">
        <f>HLOOKUP(BT316,'IPIM y USD'!$D$15:$KV$17,3,FALSE)</f>
        <v>#N/A</v>
      </c>
      <c r="BU320" s="108" t="e">
        <f>HLOOKUP(BU316,'IPIM y USD'!$D$15:$KV$17,3,FALSE)</f>
        <v>#N/A</v>
      </c>
      <c r="BV320" s="108" t="e">
        <f>HLOOKUP(BV316,'IPIM y USD'!$D$15:$KV$17,3,FALSE)</f>
        <v>#N/A</v>
      </c>
      <c r="BW320" s="108" t="e">
        <f>HLOOKUP(BW316,'IPIM y USD'!$D$15:$KV$17,3,FALSE)</f>
        <v>#N/A</v>
      </c>
      <c r="BX320" s="108" t="e">
        <f>HLOOKUP(BX316,'IPIM y USD'!$D$15:$KV$17,3,FALSE)</f>
        <v>#N/A</v>
      </c>
      <c r="BY320" s="108" t="e">
        <f>HLOOKUP(BY316,'IPIM y USD'!$D$15:$KV$17,3,FALSE)</f>
        <v>#N/A</v>
      </c>
      <c r="BZ320" s="108" t="e">
        <f>HLOOKUP(BZ316,'IPIM y USD'!$D$15:$KV$17,3,FALSE)</f>
        <v>#N/A</v>
      </c>
      <c r="CA320" s="108" t="e">
        <f>HLOOKUP(CA316,'IPIM y USD'!$D$15:$KV$17,3,FALSE)</f>
        <v>#N/A</v>
      </c>
      <c r="CB320" s="108" t="e">
        <f>HLOOKUP(CB316,'IPIM y USD'!$D$15:$KV$17,3,FALSE)</f>
        <v>#N/A</v>
      </c>
      <c r="CC320" s="108" t="e">
        <f>HLOOKUP(CC316,'IPIM y USD'!$D$15:$KV$17,3,FALSE)</f>
        <v>#N/A</v>
      </c>
      <c r="CF320" s="34"/>
      <c r="CG320" s="34"/>
      <c r="CI320" s="34"/>
      <c r="CJ320" s="34"/>
    </row>
    <row r="321" spans="1:88" ht="12.95" customHeight="1" thickBot="1" x14ac:dyDescent="0.25">
      <c r="B321" s="304"/>
      <c r="C321" s="304"/>
      <c r="D321" s="304"/>
      <c r="J321" s="189">
        <v>1</v>
      </c>
      <c r="K321" s="189">
        <v>2</v>
      </c>
      <c r="L321" s="189">
        <v>3</v>
      </c>
      <c r="M321" s="189">
        <v>4</v>
      </c>
      <c r="N321" s="189">
        <v>5</v>
      </c>
      <c r="O321" s="189">
        <v>6</v>
      </c>
      <c r="P321" s="189">
        <v>7</v>
      </c>
      <c r="Q321" s="189">
        <v>8</v>
      </c>
      <c r="R321" s="189">
        <v>9</v>
      </c>
      <c r="S321" s="189">
        <v>10</v>
      </c>
      <c r="T321" s="189">
        <v>11</v>
      </c>
      <c r="U321" s="189">
        <v>12</v>
      </c>
      <c r="V321" s="189">
        <v>13</v>
      </c>
      <c r="W321" s="189">
        <v>14</v>
      </c>
      <c r="X321" s="189">
        <v>15</v>
      </c>
      <c r="Y321" s="189">
        <v>16</v>
      </c>
      <c r="Z321" s="189">
        <v>17</v>
      </c>
      <c r="AA321" s="189">
        <v>18</v>
      </c>
      <c r="AB321" s="189">
        <v>19</v>
      </c>
      <c r="AC321" s="189">
        <v>20</v>
      </c>
      <c r="AD321" s="189">
        <v>21</v>
      </c>
      <c r="AE321" s="189">
        <v>22</v>
      </c>
      <c r="AF321" s="189">
        <v>23</v>
      </c>
      <c r="AG321" s="189">
        <v>24</v>
      </c>
      <c r="AH321">
        <v>25</v>
      </c>
      <c r="AI321">
        <v>26</v>
      </c>
      <c r="AJ321">
        <v>27</v>
      </c>
      <c r="AK321">
        <v>28</v>
      </c>
      <c r="AL321">
        <v>29</v>
      </c>
      <c r="AM321">
        <v>30</v>
      </c>
      <c r="AN321">
        <v>31</v>
      </c>
      <c r="AO321">
        <v>32</v>
      </c>
      <c r="AP321">
        <v>33</v>
      </c>
      <c r="AQ321">
        <v>34</v>
      </c>
      <c r="AR321">
        <v>35</v>
      </c>
      <c r="AS321">
        <v>36</v>
      </c>
      <c r="AT321">
        <v>37</v>
      </c>
      <c r="AU321">
        <v>38</v>
      </c>
      <c r="AV321">
        <v>39</v>
      </c>
      <c r="AW321">
        <v>40</v>
      </c>
      <c r="AX321">
        <v>41</v>
      </c>
      <c r="AY321">
        <v>42</v>
      </c>
      <c r="AZ321">
        <v>43</v>
      </c>
      <c r="BA321">
        <v>44</v>
      </c>
      <c r="BB321">
        <v>45</v>
      </c>
      <c r="BC321">
        <v>46</v>
      </c>
      <c r="BD321">
        <v>47</v>
      </c>
      <c r="BE321">
        <v>48</v>
      </c>
      <c r="BF321">
        <v>49</v>
      </c>
      <c r="BG321">
        <v>50</v>
      </c>
      <c r="BH321">
        <v>51</v>
      </c>
      <c r="BI321">
        <v>52</v>
      </c>
      <c r="BJ321">
        <v>53</v>
      </c>
      <c r="BK321">
        <v>54</v>
      </c>
      <c r="BL321">
        <v>55</v>
      </c>
      <c r="BM321">
        <v>56</v>
      </c>
      <c r="BN321">
        <v>57</v>
      </c>
      <c r="BO321">
        <v>58</v>
      </c>
      <c r="BP321">
        <v>59</v>
      </c>
      <c r="BQ321">
        <v>60</v>
      </c>
      <c r="BR321">
        <v>61</v>
      </c>
      <c r="BS321">
        <v>62</v>
      </c>
      <c r="BT321">
        <v>63</v>
      </c>
      <c r="BU321">
        <v>64</v>
      </c>
      <c r="BV321">
        <v>65</v>
      </c>
      <c r="BW321">
        <v>66</v>
      </c>
      <c r="BX321">
        <v>67</v>
      </c>
      <c r="BY321">
        <v>68</v>
      </c>
      <c r="BZ321">
        <v>69</v>
      </c>
      <c r="CA321">
        <v>70</v>
      </c>
      <c r="CB321">
        <v>71</v>
      </c>
      <c r="CC321">
        <v>72</v>
      </c>
      <c r="CF321" s="34"/>
      <c r="CG321" s="34"/>
      <c r="CI321" s="34"/>
      <c r="CJ321" s="34"/>
    </row>
    <row r="322" spans="1:88" ht="41.1" customHeight="1" thickBot="1" x14ac:dyDescent="0.25">
      <c r="B322" s="304"/>
      <c r="C322" s="304"/>
      <c r="D322" s="304"/>
      <c r="F322" s="273" t="s">
        <v>165</v>
      </c>
      <c r="G322" s="69"/>
      <c r="J322" s="312" t="e">
        <f>HLOOKUP(J321,Calendarios!$C$10:$YM$13,4,FALSE)</f>
        <v>#N/A</v>
      </c>
      <c r="K322" s="312" t="e">
        <f>HLOOKUP(K321,Calendarios!$C$10:$YM$13,4,FALSE)</f>
        <v>#N/A</v>
      </c>
      <c r="L322" s="312" t="e">
        <f>HLOOKUP(L321,Calendarios!$C$10:$YM$13,4,FALSE)</f>
        <v>#N/A</v>
      </c>
      <c r="M322" s="312" t="e">
        <f>HLOOKUP(M321,Calendarios!$C$10:$YM$13,4,FALSE)</f>
        <v>#N/A</v>
      </c>
      <c r="N322" s="312" t="e">
        <f>HLOOKUP(N321,Calendarios!$C$10:$YM$13,4,FALSE)</f>
        <v>#N/A</v>
      </c>
      <c r="O322" s="312" t="e">
        <f>HLOOKUP(O321,Calendarios!$C$10:$YM$13,4,FALSE)</f>
        <v>#N/A</v>
      </c>
      <c r="P322" s="312" t="e">
        <f>HLOOKUP(P321,Calendarios!$C$10:$YM$13,4,FALSE)</f>
        <v>#N/A</v>
      </c>
      <c r="Q322" s="312" t="e">
        <f>HLOOKUP(Q321,Calendarios!$C$10:$YM$13,4,FALSE)</f>
        <v>#N/A</v>
      </c>
      <c r="R322" s="312" t="e">
        <f>HLOOKUP(R321,Calendarios!$C$10:$YM$13,4,FALSE)</f>
        <v>#N/A</v>
      </c>
      <c r="S322" s="312" t="e">
        <f>HLOOKUP(S321,Calendarios!$C$10:$YM$13,4,FALSE)</f>
        <v>#N/A</v>
      </c>
      <c r="T322" s="312" t="e">
        <f>HLOOKUP(T321,Calendarios!$C$10:$YM$13,4,FALSE)</f>
        <v>#N/A</v>
      </c>
      <c r="U322" s="312" t="e">
        <f>HLOOKUP(U321,Calendarios!$C$10:$YM$13,4,FALSE)</f>
        <v>#N/A</v>
      </c>
      <c r="V322" s="312" t="e">
        <f>HLOOKUP(V321,Calendarios!$C$10:$YM$13,4,FALSE)</f>
        <v>#N/A</v>
      </c>
      <c r="W322" s="312" t="e">
        <f>HLOOKUP(W321,Calendarios!$C$10:$YM$13,4,FALSE)</f>
        <v>#N/A</v>
      </c>
      <c r="X322" s="312" t="e">
        <f>HLOOKUP(X321,Calendarios!$C$10:$YM$13,4,FALSE)</f>
        <v>#N/A</v>
      </c>
      <c r="Y322" s="312" t="e">
        <f>HLOOKUP(Y321,Calendarios!$C$10:$YM$13,4,FALSE)</f>
        <v>#N/A</v>
      </c>
      <c r="Z322" s="312" t="e">
        <f>HLOOKUP(Z321,Calendarios!$C$10:$YM$13,4,FALSE)</f>
        <v>#N/A</v>
      </c>
      <c r="AA322" s="312" t="e">
        <f>HLOOKUP(AA321,Calendarios!$C$10:$YM$13,4,FALSE)</f>
        <v>#N/A</v>
      </c>
      <c r="AB322" s="312" t="e">
        <f>HLOOKUP(AB321,Calendarios!$C$10:$YM$13,4,FALSE)</f>
        <v>#N/A</v>
      </c>
      <c r="AC322" s="312" t="e">
        <f>HLOOKUP(AC321,Calendarios!$C$10:$YM$13,4,FALSE)</f>
        <v>#N/A</v>
      </c>
      <c r="AD322" s="312" t="e">
        <f>HLOOKUP(AD321,Calendarios!$C$10:$YM$13,4,FALSE)</f>
        <v>#N/A</v>
      </c>
      <c r="AE322" s="312" t="e">
        <f>HLOOKUP(AE321,Calendarios!$C$10:$YM$13,4,FALSE)</f>
        <v>#N/A</v>
      </c>
      <c r="AF322" s="312" t="e">
        <f>HLOOKUP(AF321,Calendarios!$C$10:$YM$13,4,FALSE)</f>
        <v>#N/A</v>
      </c>
      <c r="AG322" s="312" t="e">
        <f>HLOOKUP(AG321,Calendarios!$C$10:$YM$13,4,FALSE)</f>
        <v>#N/A</v>
      </c>
      <c r="AH322" s="312" t="e">
        <f>HLOOKUP(AH321,Calendarios!$C$10:$YM$13,4,FALSE)</f>
        <v>#N/A</v>
      </c>
      <c r="AI322" s="312" t="e">
        <f>HLOOKUP(AI321,Calendarios!$C$10:$YM$13,4,FALSE)</f>
        <v>#N/A</v>
      </c>
      <c r="AJ322" s="312" t="e">
        <f>HLOOKUP(AJ321,Calendarios!$C$10:$YM$13,4,FALSE)</f>
        <v>#N/A</v>
      </c>
      <c r="AK322" s="312" t="e">
        <f>HLOOKUP(AK321,Calendarios!$C$10:$YM$13,4,FALSE)</f>
        <v>#N/A</v>
      </c>
      <c r="AL322" s="312" t="e">
        <f>HLOOKUP(AL321,Calendarios!$C$10:$YM$13,4,FALSE)</f>
        <v>#N/A</v>
      </c>
      <c r="AM322" s="312" t="e">
        <f>HLOOKUP(AM321,Calendarios!$C$10:$YM$13,4,FALSE)</f>
        <v>#N/A</v>
      </c>
      <c r="AN322" s="312" t="e">
        <f>HLOOKUP(AN321,Calendarios!$C$10:$YM$13,4,FALSE)</f>
        <v>#N/A</v>
      </c>
      <c r="AO322" s="312" t="e">
        <f>HLOOKUP(AO321,Calendarios!$C$10:$YM$13,4,FALSE)</f>
        <v>#N/A</v>
      </c>
      <c r="AP322" s="312" t="e">
        <f>HLOOKUP(AP321,Calendarios!$C$10:$YM$13,4,FALSE)</f>
        <v>#N/A</v>
      </c>
      <c r="AQ322" s="312" t="e">
        <f>HLOOKUP(AQ321,Calendarios!$C$10:$YM$13,4,FALSE)</f>
        <v>#N/A</v>
      </c>
      <c r="AR322" s="312" t="e">
        <f>HLOOKUP(AR321,Calendarios!$C$10:$YM$13,4,FALSE)</f>
        <v>#N/A</v>
      </c>
      <c r="AS322" s="312" t="e">
        <f>HLOOKUP(AS321,Calendarios!$C$10:$YM$13,4,FALSE)</f>
        <v>#N/A</v>
      </c>
      <c r="AT322" s="312" t="e">
        <f>HLOOKUP(AT321,Calendarios!$C$10:$YM$13,4,FALSE)</f>
        <v>#N/A</v>
      </c>
      <c r="AU322" s="312" t="e">
        <f>HLOOKUP(AU321,Calendarios!$C$10:$YM$13,4,FALSE)</f>
        <v>#N/A</v>
      </c>
      <c r="AV322" s="312" t="e">
        <f>HLOOKUP(AV321,Calendarios!$C$10:$YM$13,4,FALSE)</f>
        <v>#N/A</v>
      </c>
      <c r="AW322" s="312" t="e">
        <f>HLOOKUP(AW321,Calendarios!$C$10:$YM$13,4,FALSE)</f>
        <v>#N/A</v>
      </c>
      <c r="AX322" s="312" t="e">
        <f>HLOOKUP(AX321,Calendarios!$C$10:$YM$13,4,FALSE)</f>
        <v>#N/A</v>
      </c>
      <c r="AY322" s="312" t="e">
        <f>HLOOKUP(AY321,Calendarios!$C$10:$YM$13,4,FALSE)</f>
        <v>#N/A</v>
      </c>
      <c r="AZ322" s="312" t="e">
        <f>HLOOKUP(AZ321,Calendarios!$C$10:$YM$13,4,FALSE)</f>
        <v>#N/A</v>
      </c>
      <c r="BA322" s="312" t="e">
        <f>HLOOKUP(BA321,Calendarios!$C$10:$YM$13,4,FALSE)</f>
        <v>#N/A</v>
      </c>
      <c r="BB322" s="312" t="e">
        <f>HLOOKUP(BB321,Calendarios!$C$10:$YM$13,4,FALSE)</f>
        <v>#N/A</v>
      </c>
      <c r="BC322" s="312" t="e">
        <f>HLOOKUP(BC321,Calendarios!$C$10:$YM$13,4,FALSE)</f>
        <v>#N/A</v>
      </c>
      <c r="BD322" s="312" t="e">
        <f>HLOOKUP(BD321,Calendarios!$C$10:$YM$13,4,FALSE)</f>
        <v>#N/A</v>
      </c>
      <c r="BE322" s="312" t="e">
        <f>HLOOKUP(BE321,Calendarios!$C$10:$YM$13,4,FALSE)</f>
        <v>#N/A</v>
      </c>
      <c r="BF322" s="312" t="e">
        <f>HLOOKUP(BF321,Calendarios!$C$10:$YM$13,4,FALSE)</f>
        <v>#N/A</v>
      </c>
      <c r="BG322" s="312" t="e">
        <f>HLOOKUP(BG321,Calendarios!$C$10:$YM$13,4,FALSE)</f>
        <v>#N/A</v>
      </c>
      <c r="BH322" s="312" t="e">
        <f>HLOOKUP(BH321,Calendarios!$C$10:$YM$13,4,FALSE)</f>
        <v>#N/A</v>
      </c>
      <c r="BI322" s="312" t="e">
        <f>HLOOKUP(BI321,Calendarios!$C$10:$YM$13,4,FALSE)</f>
        <v>#N/A</v>
      </c>
      <c r="BJ322" s="312" t="e">
        <f>HLOOKUP(BJ321,Calendarios!$C$10:$YM$13,4,FALSE)</f>
        <v>#N/A</v>
      </c>
      <c r="BK322" s="312" t="e">
        <f>HLOOKUP(BK321,Calendarios!$C$10:$YM$13,4,FALSE)</f>
        <v>#N/A</v>
      </c>
      <c r="BL322" s="312" t="e">
        <f>HLOOKUP(BL321,Calendarios!$C$10:$YM$13,4,FALSE)</f>
        <v>#N/A</v>
      </c>
      <c r="BM322" s="312" t="e">
        <f>HLOOKUP(BM321,Calendarios!$C$10:$YM$13,4,FALSE)</f>
        <v>#N/A</v>
      </c>
      <c r="BN322" s="312" t="e">
        <f>HLOOKUP(BN321,Calendarios!$C$10:$YM$13,4,FALSE)</f>
        <v>#N/A</v>
      </c>
      <c r="BO322" s="312" t="e">
        <f>HLOOKUP(BO321,Calendarios!$C$10:$YM$13,4,FALSE)</f>
        <v>#N/A</v>
      </c>
      <c r="BP322" s="312" t="e">
        <f>HLOOKUP(BP321,Calendarios!$C$10:$YM$13,4,FALSE)</f>
        <v>#N/A</v>
      </c>
      <c r="BQ322" s="312" t="e">
        <f>HLOOKUP(BQ321,Calendarios!$C$10:$YM$13,4,FALSE)</f>
        <v>#N/A</v>
      </c>
      <c r="BR322" s="312" t="e">
        <f>HLOOKUP(BR321,Calendarios!$C$10:$YM$13,4,FALSE)</f>
        <v>#N/A</v>
      </c>
      <c r="BS322" s="312" t="e">
        <f>HLOOKUP(BS321,Calendarios!$C$10:$YM$13,4,FALSE)</f>
        <v>#N/A</v>
      </c>
      <c r="BT322" s="312" t="e">
        <f>HLOOKUP(BT321,Calendarios!$C$10:$YM$13,4,FALSE)</f>
        <v>#N/A</v>
      </c>
      <c r="BU322" s="312" t="e">
        <f>HLOOKUP(BU321,Calendarios!$C$10:$YM$13,4,FALSE)</f>
        <v>#N/A</v>
      </c>
      <c r="BV322" s="312" t="e">
        <f>HLOOKUP(BV321,Calendarios!$C$10:$YM$13,4,FALSE)</f>
        <v>#N/A</v>
      </c>
      <c r="BW322" s="312" t="e">
        <f>HLOOKUP(BW321,Calendarios!$C$10:$YM$13,4,FALSE)</f>
        <v>#N/A</v>
      </c>
      <c r="BX322" s="312" t="e">
        <f>HLOOKUP(BX321,Calendarios!$C$10:$YM$13,4,FALSE)</f>
        <v>#N/A</v>
      </c>
      <c r="BY322" s="312" t="e">
        <f>HLOOKUP(BY321,Calendarios!$C$10:$YM$13,4,FALSE)</f>
        <v>#N/A</v>
      </c>
      <c r="BZ322" s="312" t="e">
        <f>HLOOKUP(BZ321,Calendarios!$C$10:$YM$13,4,FALSE)</f>
        <v>#N/A</v>
      </c>
      <c r="CA322" s="312" t="e">
        <f>HLOOKUP(CA321,Calendarios!$C$10:$YM$13,4,FALSE)</f>
        <v>#N/A</v>
      </c>
      <c r="CB322" s="312" t="e">
        <f>HLOOKUP(CB321,Calendarios!$C$10:$YM$13,4,FALSE)</f>
        <v>#N/A</v>
      </c>
      <c r="CC322" s="312" t="e">
        <f>HLOOKUP(CC321,Calendarios!$C$10:$YM$13,4,FALSE)</f>
        <v>#N/A</v>
      </c>
      <c r="CF322" s="34"/>
      <c r="CG322" s="34"/>
      <c r="CI322" s="34"/>
      <c r="CJ322" s="34"/>
    </row>
    <row r="323" spans="1:88" ht="5.0999999999999996" customHeight="1" thickBot="1" x14ac:dyDescent="0.25">
      <c r="B323" s="304"/>
      <c r="C323" s="304"/>
      <c r="D323" s="304"/>
      <c r="J323" s="32"/>
      <c r="K323" s="32"/>
      <c r="L323" s="32"/>
      <c r="M323" s="32"/>
      <c r="N323" s="32"/>
      <c r="O323" s="32"/>
      <c r="P323" s="32"/>
      <c r="Q323" s="32"/>
      <c r="CF323" s="34"/>
      <c r="CG323" s="34"/>
      <c r="CI323" s="34"/>
      <c r="CJ323" s="34"/>
    </row>
    <row r="324" spans="1:88" ht="24.95" customHeight="1" thickBot="1" x14ac:dyDescent="0.25">
      <c r="B324" s="481" t="s">
        <v>166</v>
      </c>
      <c r="C324" s="482"/>
      <c r="D324" s="483"/>
      <c r="I324" s="80"/>
      <c r="J324" s="107" t="e">
        <f>HLOOKUP(J322,'IPIM y USD'!$D$6:$KV$8,3,TRUE)</f>
        <v>#N/A</v>
      </c>
      <c r="K324" s="107" t="e">
        <f>HLOOKUP(K322,'IPIM y USD'!$D$6:$KV$8,3,TRUE)</f>
        <v>#N/A</v>
      </c>
      <c r="L324" s="107" t="e">
        <f>HLOOKUP(L322,'IPIM y USD'!$D$6:$KV$8,3,TRUE)</f>
        <v>#N/A</v>
      </c>
      <c r="M324" s="107" t="e">
        <f>HLOOKUP(M322,'IPIM y USD'!$D$6:$KV$8,3,TRUE)</f>
        <v>#N/A</v>
      </c>
      <c r="N324" s="107" t="e">
        <f>HLOOKUP(N322,'IPIM y USD'!$D$6:$KV$8,3,TRUE)</f>
        <v>#N/A</v>
      </c>
      <c r="O324" s="107" t="e">
        <f>HLOOKUP(O322,'IPIM y USD'!$D$6:$KV$8,3,TRUE)</f>
        <v>#N/A</v>
      </c>
      <c r="P324" s="107" t="e">
        <f>HLOOKUP(P322,'IPIM y USD'!$D$6:$KV$8,3,TRUE)</f>
        <v>#N/A</v>
      </c>
      <c r="Q324" s="107" t="e">
        <f>HLOOKUP(Q322,'IPIM y USD'!$D$6:$KV$8,3,TRUE)</f>
        <v>#N/A</v>
      </c>
      <c r="R324" s="107" t="e">
        <f>HLOOKUP(R322,'IPIM y USD'!$D$6:$KV$8,3,TRUE)</f>
        <v>#N/A</v>
      </c>
      <c r="S324" s="107" t="e">
        <f>HLOOKUP(S322,'IPIM y USD'!$D$6:$KV$8,3,TRUE)</f>
        <v>#N/A</v>
      </c>
      <c r="T324" s="107" t="e">
        <f>HLOOKUP(T322,'IPIM y USD'!$D$6:$KV$8,3,TRUE)</f>
        <v>#N/A</v>
      </c>
      <c r="U324" s="107" t="e">
        <f>HLOOKUP(U322,'IPIM y USD'!$D$6:$KV$8,3,TRUE)</f>
        <v>#N/A</v>
      </c>
      <c r="V324" s="107" t="e">
        <f>HLOOKUP(V322,'IPIM y USD'!$D$6:$KV$8,3,TRUE)</f>
        <v>#N/A</v>
      </c>
      <c r="W324" s="107" t="e">
        <f>HLOOKUP(W322,'IPIM y USD'!$D$6:$KV$8,3,TRUE)</f>
        <v>#N/A</v>
      </c>
      <c r="X324" s="107" t="e">
        <f>HLOOKUP(X322,'IPIM y USD'!$D$6:$KV$8,3,TRUE)</f>
        <v>#N/A</v>
      </c>
      <c r="Y324" s="107" t="e">
        <f>HLOOKUP(Y322,'IPIM y USD'!$D$6:$KV$8,3,TRUE)</f>
        <v>#N/A</v>
      </c>
      <c r="Z324" s="107" t="e">
        <f>HLOOKUP(Z322,'IPIM y USD'!$D$6:$KV$8,3,TRUE)</f>
        <v>#N/A</v>
      </c>
      <c r="AA324" s="107" t="e">
        <f>HLOOKUP(AA322,'IPIM y USD'!$D$6:$KV$8,3,TRUE)</f>
        <v>#N/A</v>
      </c>
      <c r="AB324" s="107" t="e">
        <f>HLOOKUP(AB322,'IPIM y USD'!$D$6:$KV$8,3,TRUE)</f>
        <v>#N/A</v>
      </c>
      <c r="AC324" s="107" t="e">
        <f>HLOOKUP(AC322,'IPIM y USD'!$D$6:$KV$8,3,TRUE)</f>
        <v>#N/A</v>
      </c>
      <c r="AD324" s="107" t="e">
        <f>HLOOKUP(AD322,'IPIM y USD'!$D$6:$KV$8,3,TRUE)</f>
        <v>#N/A</v>
      </c>
      <c r="AE324" s="107" t="e">
        <f>HLOOKUP(AE322,'IPIM y USD'!$D$6:$KV$8,3,TRUE)</f>
        <v>#N/A</v>
      </c>
      <c r="AF324" s="107" t="e">
        <f>HLOOKUP(AF322,'IPIM y USD'!$D$6:$KV$8,3,TRUE)</f>
        <v>#N/A</v>
      </c>
      <c r="AG324" s="107" t="e">
        <f>HLOOKUP(AG322,'IPIM y USD'!$D$6:$KV$8,3,TRUE)</f>
        <v>#N/A</v>
      </c>
      <c r="AH324" s="107" t="e">
        <f>HLOOKUP(AH322,'IPIM y USD'!$D$6:$KV$8,3,TRUE)</f>
        <v>#N/A</v>
      </c>
      <c r="AI324" s="107" t="e">
        <f>HLOOKUP(AI322,'IPIM y USD'!$D$6:$KV$8,3,TRUE)</f>
        <v>#N/A</v>
      </c>
      <c r="AJ324" s="107" t="e">
        <f>HLOOKUP(AJ322,'IPIM y USD'!$D$6:$KV$8,3,TRUE)</f>
        <v>#N/A</v>
      </c>
      <c r="AK324" s="107" t="e">
        <f>HLOOKUP(AK322,'IPIM y USD'!$D$6:$KV$8,3,TRUE)</f>
        <v>#N/A</v>
      </c>
      <c r="AL324" s="107" t="e">
        <f>HLOOKUP(AL322,'IPIM y USD'!$D$6:$KV$8,3,TRUE)</f>
        <v>#N/A</v>
      </c>
      <c r="AM324" s="107" t="e">
        <f>HLOOKUP(AM322,'IPIM y USD'!$D$6:$KV$8,3,TRUE)</f>
        <v>#N/A</v>
      </c>
      <c r="AN324" s="107" t="e">
        <f>HLOOKUP(AN322,'IPIM y USD'!$D$6:$KV$8,3,TRUE)</f>
        <v>#N/A</v>
      </c>
      <c r="AO324" s="107" t="e">
        <f>HLOOKUP(AO322,'IPIM y USD'!$D$6:$KV$8,3,TRUE)</f>
        <v>#N/A</v>
      </c>
      <c r="AP324" s="107" t="e">
        <f>HLOOKUP(AP322,'IPIM y USD'!$D$6:$KV$8,3,TRUE)</f>
        <v>#N/A</v>
      </c>
      <c r="AQ324" s="107" t="e">
        <f>HLOOKUP(AQ322,'IPIM y USD'!$D$6:$KV$8,3,TRUE)</f>
        <v>#N/A</v>
      </c>
      <c r="AR324" s="107" t="e">
        <f>HLOOKUP(AR322,'IPIM y USD'!$D$6:$KV$8,3,TRUE)</f>
        <v>#N/A</v>
      </c>
      <c r="AS324" s="107" t="e">
        <f>HLOOKUP(AS322,'IPIM y USD'!$D$6:$KV$8,3,TRUE)</f>
        <v>#N/A</v>
      </c>
      <c r="AT324" s="107" t="e">
        <f>HLOOKUP(AT322,'IPIM y USD'!$D$6:$KV$8,3,TRUE)</f>
        <v>#N/A</v>
      </c>
      <c r="AU324" s="107" t="e">
        <f>HLOOKUP(AU322,'IPIM y USD'!$D$6:$KV$8,3,TRUE)</f>
        <v>#N/A</v>
      </c>
      <c r="AV324" s="107" t="e">
        <f>HLOOKUP(AV322,'IPIM y USD'!$D$6:$KV$8,3,TRUE)</f>
        <v>#N/A</v>
      </c>
      <c r="AW324" s="107" t="e">
        <f>HLOOKUP(AW322,'IPIM y USD'!$D$6:$KV$8,3,TRUE)</f>
        <v>#N/A</v>
      </c>
      <c r="AX324" s="107" t="e">
        <f>HLOOKUP(AX322,'IPIM y USD'!$D$6:$KV$8,3,TRUE)</f>
        <v>#N/A</v>
      </c>
      <c r="AY324" s="107" t="e">
        <f>HLOOKUP(AY322,'IPIM y USD'!$D$6:$KV$8,3,TRUE)</f>
        <v>#N/A</v>
      </c>
      <c r="AZ324" s="107" t="e">
        <f>HLOOKUP(AZ322,'IPIM y USD'!$D$6:$KV$8,3,TRUE)</f>
        <v>#N/A</v>
      </c>
      <c r="BA324" s="107" t="e">
        <f>HLOOKUP(BA322,'IPIM y USD'!$D$6:$KV$8,3,TRUE)</f>
        <v>#N/A</v>
      </c>
      <c r="BB324" s="107" t="e">
        <f>HLOOKUP(BB322,'IPIM y USD'!$D$6:$KV$8,3,TRUE)</f>
        <v>#N/A</v>
      </c>
      <c r="BC324" s="107" t="e">
        <f>HLOOKUP(BC322,'IPIM y USD'!$D$6:$KV$8,3,TRUE)</f>
        <v>#N/A</v>
      </c>
      <c r="BD324" s="107" t="e">
        <f>HLOOKUP(BD322,'IPIM y USD'!$D$6:$KV$8,3,TRUE)</f>
        <v>#N/A</v>
      </c>
      <c r="BE324" s="107" t="e">
        <f>HLOOKUP(BE322,'IPIM y USD'!$D$6:$KV$8,3,TRUE)</f>
        <v>#N/A</v>
      </c>
      <c r="BF324" s="107" t="e">
        <f>HLOOKUP(BF322,'IPIM y USD'!$D$6:$KV$8,3,TRUE)</f>
        <v>#N/A</v>
      </c>
      <c r="BG324" s="107" t="e">
        <f>HLOOKUP(BG322,'IPIM y USD'!$D$6:$KV$8,3,TRUE)</f>
        <v>#N/A</v>
      </c>
      <c r="BH324" s="107" t="e">
        <f>HLOOKUP(BH322,'IPIM y USD'!$D$6:$KV$8,3,TRUE)</f>
        <v>#N/A</v>
      </c>
      <c r="BI324" s="107" t="e">
        <f>HLOOKUP(BI322,'IPIM y USD'!$D$6:$KV$8,3,TRUE)</f>
        <v>#N/A</v>
      </c>
      <c r="BJ324" s="107" t="e">
        <f>HLOOKUP(BJ322,'IPIM y USD'!$D$6:$KV$8,3,TRUE)</f>
        <v>#N/A</v>
      </c>
      <c r="BK324" s="107" t="e">
        <f>HLOOKUP(BK322,'IPIM y USD'!$D$6:$KV$8,3,TRUE)</f>
        <v>#N/A</v>
      </c>
      <c r="BL324" s="107" t="e">
        <f>HLOOKUP(BL322,'IPIM y USD'!$D$6:$KV$8,3,TRUE)</f>
        <v>#N/A</v>
      </c>
      <c r="BM324" s="107" t="e">
        <f>HLOOKUP(BM322,'IPIM y USD'!$D$6:$KV$8,3,TRUE)</f>
        <v>#N/A</v>
      </c>
      <c r="BN324" s="107" t="e">
        <f>HLOOKUP(BN322,'IPIM y USD'!$D$6:$KV$8,3,TRUE)</f>
        <v>#N/A</v>
      </c>
      <c r="BO324" s="107" t="e">
        <f>HLOOKUP(BO322,'IPIM y USD'!$D$6:$KV$8,3,TRUE)</f>
        <v>#N/A</v>
      </c>
      <c r="BP324" s="107" t="e">
        <f>HLOOKUP(BP322,'IPIM y USD'!$D$6:$KV$8,3,TRUE)</f>
        <v>#N/A</v>
      </c>
      <c r="BQ324" s="107" t="e">
        <f>HLOOKUP(BQ322,'IPIM y USD'!$D$6:$KV$8,3,TRUE)</f>
        <v>#N/A</v>
      </c>
      <c r="BR324" s="107" t="e">
        <f>HLOOKUP(BR322,'IPIM y USD'!$D$6:$KV$8,3,TRUE)</f>
        <v>#N/A</v>
      </c>
      <c r="BS324" s="107" t="e">
        <f>HLOOKUP(BS322,'IPIM y USD'!$D$6:$KV$8,3,TRUE)</f>
        <v>#N/A</v>
      </c>
      <c r="BT324" s="107" t="e">
        <f>HLOOKUP(BT322,'IPIM y USD'!$D$6:$KV$8,3,TRUE)</f>
        <v>#N/A</v>
      </c>
      <c r="BU324" s="107" t="e">
        <f>HLOOKUP(BU322,'IPIM y USD'!$D$6:$KV$8,3,TRUE)</f>
        <v>#N/A</v>
      </c>
      <c r="BV324" s="107" t="e">
        <f>HLOOKUP(BV322,'IPIM y USD'!$D$6:$KV$8,3,TRUE)</f>
        <v>#N/A</v>
      </c>
      <c r="BW324" s="107" t="e">
        <f>HLOOKUP(BW322,'IPIM y USD'!$D$6:$KV$8,3,TRUE)</f>
        <v>#N/A</v>
      </c>
      <c r="BX324" s="107" t="e">
        <f>HLOOKUP(BX322,'IPIM y USD'!$D$6:$KV$8,3,TRUE)</f>
        <v>#N/A</v>
      </c>
      <c r="BY324" s="107" t="e">
        <f>HLOOKUP(BY322,'IPIM y USD'!$D$6:$KV$8,3,TRUE)</f>
        <v>#N/A</v>
      </c>
      <c r="BZ324" s="107" t="e">
        <f>HLOOKUP(BZ322,'IPIM y USD'!$D$6:$KV$8,3,TRUE)</f>
        <v>#N/A</v>
      </c>
      <c r="CA324" s="107" t="e">
        <f>HLOOKUP(CA322,'IPIM y USD'!$D$6:$KV$8,3,TRUE)</f>
        <v>#N/A</v>
      </c>
      <c r="CB324" s="107" t="e">
        <f>HLOOKUP(CB322,'IPIM y USD'!$D$6:$KV$8,3,TRUE)</f>
        <v>#N/A</v>
      </c>
      <c r="CC324" s="107" t="e">
        <f>HLOOKUP(CC322,'IPIM y USD'!$D$6:$KV$8,3,TRUE)</f>
        <v>#N/A</v>
      </c>
      <c r="CF324" s="34"/>
      <c r="CG324" s="34"/>
      <c r="CI324" s="34"/>
      <c r="CJ324" s="34"/>
    </row>
    <row r="325" spans="1:88" ht="5.0999999999999996" customHeight="1" thickBot="1" x14ac:dyDescent="0.25">
      <c r="B325" s="304"/>
      <c r="C325" s="304"/>
      <c r="D325" s="304"/>
      <c r="I325" s="80"/>
      <c r="J325" s="80"/>
      <c r="K325" s="80"/>
      <c r="L325" s="80"/>
      <c r="M325" s="80"/>
      <c r="N325" s="80"/>
      <c r="O325" s="80"/>
      <c r="P325" s="80"/>
      <c r="Q325" s="80"/>
      <c r="R325" s="80"/>
      <c r="S325" s="80"/>
      <c r="T325" s="80"/>
      <c r="U325" s="80"/>
      <c r="V325" s="80"/>
      <c r="W325" s="80"/>
      <c r="X325" s="80"/>
      <c r="Y325" s="80"/>
      <c r="Z325" s="80"/>
      <c r="AA325" s="80"/>
      <c r="AB325" s="80"/>
      <c r="AC325" s="80"/>
      <c r="AD325" s="80"/>
      <c r="AE325" s="80"/>
      <c r="AF325" s="80"/>
      <c r="AG325" s="80"/>
      <c r="AH325" s="80"/>
      <c r="AI325" s="80"/>
      <c r="AJ325" s="80"/>
      <c r="AK325" s="80"/>
      <c r="AL325" s="80"/>
      <c r="AM325" s="80"/>
      <c r="AN325" s="80"/>
      <c r="AO325" s="80"/>
      <c r="AP325" s="80"/>
      <c r="AQ325" s="80"/>
      <c r="AR325" s="80"/>
      <c r="AS325" s="80"/>
      <c r="AT325" s="80"/>
      <c r="AU325" s="80"/>
      <c r="AV325" s="80"/>
      <c r="AW325" s="80"/>
      <c r="AX325" s="80"/>
      <c r="AY325" s="80"/>
      <c r="AZ325" s="80"/>
      <c r="BA325" s="80"/>
      <c r="BB325" s="80"/>
      <c r="BC325" s="80"/>
      <c r="BD325" s="80"/>
      <c r="BE325" s="80"/>
      <c r="BF325" s="80"/>
      <c r="BG325" s="80"/>
      <c r="BH325" s="80"/>
      <c r="BI325" s="80"/>
      <c r="BJ325" s="80"/>
      <c r="BK325" s="80"/>
      <c r="BL325" s="80"/>
      <c r="BM325" s="80"/>
      <c r="BN325" s="80"/>
      <c r="BO325" s="80"/>
      <c r="BP325" s="80"/>
      <c r="BQ325" s="80"/>
      <c r="BR325" s="80"/>
      <c r="BS325" s="80"/>
      <c r="BT325" s="80"/>
      <c r="BU325" s="80"/>
      <c r="BV325" s="80"/>
      <c r="BW325" s="80"/>
      <c r="BX325" s="80"/>
      <c r="BY325" s="80"/>
      <c r="BZ325" s="80"/>
      <c r="CA325" s="80"/>
      <c r="CB325" s="80"/>
      <c r="CC325" s="80"/>
      <c r="CF325" s="34"/>
      <c r="CG325" s="34"/>
      <c r="CI325" s="34"/>
      <c r="CJ325" s="34"/>
    </row>
    <row r="326" spans="1:88" ht="24.95" customHeight="1" thickBot="1" x14ac:dyDescent="0.25">
      <c r="B326" s="481" t="s">
        <v>167</v>
      </c>
      <c r="C326" s="482"/>
      <c r="D326" s="483"/>
      <c r="I326" s="80"/>
      <c r="J326" s="398" t="e">
        <f>HLOOKUP(J322,'IPIM y USD'!$C$15:$NN$18,3,TRUE)</f>
        <v>#N/A</v>
      </c>
      <c r="K326" s="398" t="e">
        <f>HLOOKUP(K322,'IPIM y USD'!$C$15:$NN$18,3,TRUE)</f>
        <v>#N/A</v>
      </c>
      <c r="L326" s="398" t="e">
        <f>HLOOKUP(L322,'IPIM y USD'!$C$15:$NN$18,3,TRUE)</f>
        <v>#N/A</v>
      </c>
      <c r="M326" s="398" t="e">
        <f>HLOOKUP(M322,'IPIM y USD'!$C$15:$NN$18,3,TRUE)</f>
        <v>#N/A</v>
      </c>
      <c r="N326" s="398" t="e">
        <f>HLOOKUP(N322,'IPIM y USD'!$C$15:$NN$18,3,TRUE)</f>
        <v>#N/A</v>
      </c>
      <c r="O326" s="398" t="e">
        <f>HLOOKUP(O322,'IPIM y USD'!$C$15:$NN$18,3,TRUE)</f>
        <v>#N/A</v>
      </c>
      <c r="P326" s="398" t="e">
        <f>HLOOKUP(P322,'IPIM y USD'!$C$15:$NN$18,3,TRUE)</f>
        <v>#N/A</v>
      </c>
      <c r="Q326" s="398" t="e">
        <f>HLOOKUP(Q322,'IPIM y USD'!$C$15:$NN$18,3,TRUE)</f>
        <v>#N/A</v>
      </c>
      <c r="R326" s="398" t="e">
        <f>HLOOKUP(R322,'IPIM y USD'!$C$15:$NN$18,3,TRUE)</f>
        <v>#N/A</v>
      </c>
      <c r="S326" s="398" t="e">
        <f>HLOOKUP(S322,'IPIM y USD'!$C$15:$NN$18,3,TRUE)</f>
        <v>#N/A</v>
      </c>
      <c r="T326" s="398" t="e">
        <f>HLOOKUP(T322,'IPIM y USD'!$C$15:$NN$18,3,TRUE)</f>
        <v>#N/A</v>
      </c>
      <c r="U326" s="398" t="e">
        <f>HLOOKUP(U322,'IPIM y USD'!$C$15:$NN$18,3,TRUE)</f>
        <v>#N/A</v>
      </c>
      <c r="V326" s="398" t="e">
        <f>HLOOKUP(V322,'IPIM y USD'!$C$15:$NN$18,3,TRUE)</f>
        <v>#N/A</v>
      </c>
      <c r="W326" s="398" t="e">
        <f>HLOOKUP(W322,'IPIM y USD'!$C$15:$NN$18,3,TRUE)</f>
        <v>#N/A</v>
      </c>
      <c r="X326" s="398" t="e">
        <f>HLOOKUP(X322,'IPIM y USD'!$C$15:$NN$18,3,TRUE)</f>
        <v>#N/A</v>
      </c>
      <c r="Y326" s="398" t="e">
        <f>HLOOKUP(Y322,'IPIM y USD'!$C$15:$NN$18,3,TRUE)</f>
        <v>#N/A</v>
      </c>
      <c r="Z326" s="398" t="e">
        <f>HLOOKUP(Z322,'IPIM y USD'!$C$15:$NN$18,3,TRUE)</f>
        <v>#N/A</v>
      </c>
      <c r="AA326" s="398" t="e">
        <f>HLOOKUP(AA322,'IPIM y USD'!$C$15:$NN$18,3,TRUE)</f>
        <v>#N/A</v>
      </c>
      <c r="AB326" s="398" t="e">
        <f>HLOOKUP(AB322,'IPIM y USD'!$C$15:$NN$18,3,TRUE)</f>
        <v>#N/A</v>
      </c>
      <c r="AC326" s="398" t="e">
        <f>HLOOKUP(AC322,'IPIM y USD'!$C$15:$NN$18,3,TRUE)</f>
        <v>#N/A</v>
      </c>
      <c r="AD326" s="398" t="e">
        <f>HLOOKUP(AD322,'IPIM y USD'!$C$15:$NN$18,3,TRUE)</f>
        <v>#N/A</v>
      </c>
      <c r="AE326" s="398" t="e">
        <f>HLOOKUP(AE322,'IPIM y USD'!$C$15:$NN$18,3,TRUE)</f>
        <v>#N/A</v>
      </c>
      <c r="AF326" s="398" t="e">
        <f>HLOOKUP(AF322,'IPIM y USD'!$C$15:$NN$18,3,TRUE)</f>
        <v>#N/A</v>
      </c>
      <c r="AG326" s="398" t="e">
        <f>HLOOKUP(AG322,'IPIM y USD'!$C$15:$NN$18,3,TRUE)</f>
        <v>#N/A</v>
      </c>
      <c r="AH326" s="398" t="e">
        <f>HLOOKUP(AH322,'IPIM y USD'!$C$15:$NN$18,3,TRUE)</f>
        <v>#N/A</v>
      </c>
      <c r="AI326" s="398" t="e">
        <f>HLOOKUP(AI322,'IPIM y USD'!$C$15:$NN$18,3,TRUE)</f>
        <v>#N/A</v>
      </c>
      <c r="AJ326" s="398" t="e">
        <f>HLOOKUP(AJ322,'IPIM y USD'!$C$15:$NN$18,3,TRUE)</f>
        <v>#N/A</v>
      </c>
      <c r="AK326" s="398" t="e">
        <f>HLOOKUP(AK322,'IPIM y USD'!$C$15:$NN$18,3,TRUE)</f>
        <v>#N/A</v>
      </c>
      <c r="AL326" s="398" t="e">
        <f>HLOOKUP(AL322,'IPIM y USD'!$C$15:$NN$18,3,TRUE)</f>
        <v>#N/A</v>
      </c>
      <c r="AM326" s="398" t="e">
        <f>HLOOKUP(AM322,'IPIM y USD'!$C$15:$NN$18,3,TRUE)</f>
        <v>#N/A</v>
      </c>
      <c r="AN326" s="398" t="e">
        <f>HLOOKUP(AN322,'IPIM y USD'!$C$15:$NN$18,3,TRUE)</f>
        <v>#N/A</v>
      </c>
      <c r="AO326" s="398" t="e">
        <f>HLOOKUP(AO322,'IPIM y USD'!$C$15:$NN$18,3,TRUE)</f>
        <v>#N/A</v>
      </c>
      <c r="AP326" s="398" t="e">
        <f>HLOOKUP(AP322,'IPIM y USD'!$C$15:$NN$18,3,TRUE)</f>
        <v>#N/A</v>
      </c>
      <c r="AQ326" s="398" t="e">
        <f>HLOOKUP(AQ322,'IPIM y USD'!$C$15:$NN$18,3,TRUE)</f>
        <v>#N/A</v>
      </c>
      <c r="AR326" s="398" t="e">
        <f>HLOOKUP(AR322,'IPIM y USD'!$C$15:$NN$18,3,TRUE)</f>
        <v>#N/A</v>
      </c>
      <c r="AS326" s="398" t="e">
        <f>HLOOKUP(AS322,'IPIM y USD'!$C$15:$NN$18,3,TRUE)</f>
        <v>#N/A</v>
      </c>
      <c r="AT326" s="398" t="e">
        <f>HLOOKUP(AT322,'IPIM y USD'!$C$15:$NN$18,3,TRUE)</f>
        <v>#N/A</v>
      </c>
      <c r="AU326" s="398" t="e">
        <f>HLOOKUP(AU322,'IPIM y USD'!$C$15:$NN$18,3,TRUE)</f>
        <v>#N/A</v>
      </c>
      <c r="AV326" s="398" t="e">
        <f>HLOOKUP(AV322,'IPIM y USD'!$C$15:$NN$18,3,TRUE)</f>
        <v>#N/A</v>
      </c>
      <c r="AW326" s="398" t="e">
        <f>HLOOKUP(AW322,'IPIM y USD'!$C$15:$NN$18,3,TRUE)</f>
        <v>#N/A</v>
      </c>
      <c r="AX326" s="398" t="e">
        <f>HLOOKUP(AX322,'IPIM y USD'!$C$15:$NN$18,3,TRUE)</f>
        <v>#N/A</v>
      </c>
      <c r="AY326" s="398" t="e">
        <f>HLOOKUP(AY322,'IPIM y USD'!$C$15:$NN$18,3,TRUE)</f>
        <v>#N/A</v>
      </c>
      <c r="AZ326" s="398" t="e">
        <f>HLOOKUP(AZ322,'IPIM y USD'!$C$15:$NN$18,3,TRUE)</f>
        <v>#N/A</v>
      </c>
      <c r="BA326" s="398" t="e">
        <f>HLOOKUP(BA322,'IPIM y USD'!$C$15:$NN$18,3,TRUE)</f>
        <v>#N/A</v>
      </c>
      <c r="BB326" s="398" t="e">
        <f>HLOOKUP(BB322,'IPIM y USD'!$C$15:$NN$18,3,TRUE)</f>
        <v>#N/A</v>
      </c>
      <c r="BC326" s="398" t="e">
        <f>HLOOKUP(BC322,'IPIM y USD'!$C$15:$NN$18,3,TRUE)</f>
        <v>#N/A</v>
      </c>
      <c r="BD326" s="398" t="e">
        <f>HLOOKUP(BD322,'IPIM y USD'!$C$15:$NN$18,3,TRUE)</f>
        <v>#N/A</v>
      </c>
      <c r="BE326" s="398" t="e">
        <f>HLOOKUP(BE322,'IPIM y USD'!$C$15:$NN$18,3,TRUE)</f>
        <v>#N/A</v>
      </c>
      <c r="BF326" s="398" t="e">
        <f>HLOOKUP(BF322,'IPIM y USD'!$C$15:$NN$18,3,TRUE)</f>
        <v>#N/A</v>
      </c>
      <c r="BG326" s="398" t="e">
        <f>HLOOKUP(BG322,'IPIM y USD'!$C$15:$NN$18,3,TRUE)</f>
        <v>#N/A</v>
      </c>
      <c r="BH326" s="398" t="e">
        <f>HLOOKUP(BH322,'IPIM y USD'!$C$15:$NN$18,3,TRUE)</f>
        <v>#N/A</v>
      </c>
      <c r="BI326" s="398" t="e">
        <f>HLOOKUP(BI322,'IPIM y USD'!$C$15:$NN$18,3,TRUE)</f>
        <v>#N/A</v>
      </c>
      <c r="BJ326" s="398" t="e">
        <f>HLOOKUP(BJ322,'IPIM y USD'!$C$15:$NN$18,3,TRUE)</f>
        <v>#N/A</v>
      </c>
      <c r="BK326" s="398" t="e">
        <f>HLOOKUP(BK322,'IPIM y USD'!$C$15:$NN$18,3,TRUE)</f>
        <v>#N/A</v>
      </c>
      <c r="BL326" s="398" t="e">
        <f>HLOOKUP(BL322,'IPIM y USD'!$C$15:$NN$18,3,TRUE)</f>
        <v>#N/A</v>
      </c>
      <c r="BM326" s="398" t="e">
        <f>HLOOKUP(BM322,'IPIM y USD'!$C$15:$NN$18,3,TRUE)</f>
        <v>#N/A</v>
      </c>
      <c r="BN326" s="398" t="e">
        <f>HLOOKUP(BN322,'IPIM y USD'!$C$15:$NN$18,3,TRUE)</f>
        <v>#N/A</v>
      </c>
      <c r="BO326" s="398" t="e">
        <f>HLOOKUP(BO322,'IPIM y USD'!$C$15:$NN$18,3,TRUE)</f>
        <v>#N/A</v>
      </c>
      <c r="BP326" s="398" t="e">
        <f>HLOOKUP(BP322,'IPIM y USD'!$C$15:$NN$18,3,TRUE)</f>
        <v>#N/A</v>
      </c>
      <c r="BQ326" s="398" t="e">
        <f>HLOOKUP(BQ322,'IPIM y USD'!$C$15:$NN$18,3,TRUE)</f>
        <v>#N/A</v>
      </c>
      <c r="BR326" s="398" t="e">
        <f>HLOOKUP(BR322,'IPIM y USD'!$C$15:$NN$18,3,TRUE)</f>
        <v>#N/A</v>
      </c>
      <c r="BS326" s="398" t="e">
        <f>HLOOKUP(BS322,'IPIM y USD'!$C$15:$NN$18,3,TRUE)</f>
        <v>#N/A</v>
      </c>
      <c r="BT326" s="398" t="e">
        <f>HLOOKUP(BT322,'IPIM y USD'!$C$15:$NN$18,3,TRUE)</f>
        <v>#N/A</v>
      </c>
      <c r="BU326" s="398" t="e">
        <f>HLOOKUP(BU322,'IPIM y USD'!$C$15:$NN$18,3,TRUE)</f>
        <v>#N/A</v>
      </c>
      <c r="BV326" s="398" t="e">
        <f>HLOOKUP(BV322,'IPIM y USD'!$C$15:$NN$18,3,TRUE)</f>
        <v>#N/A</v>
      </c>
      <c r="BW326" s="398" t="e">
        <f>HLOOKUP(BW322,'IPIM y USD'!$C$15:$NN$18,3,TRUE)</f>
        <v>#N/A</v>
      </c>
      <c r="BX326" s="398" t="e">
        <f>HLOOKUP(BX322,'IPIM y USD'!$C$15:$NN$18,3,TRUE)</f>
        <v>#N/A</v>
      </c>
      <c r="BY326" s="398" t="e">
        <f>HLOOKUP(BY322,'IPIM y USD'!$C$15:$NN$18,3,TRUE)</f>
        <v>#N/A</v>
      </c>
      <c r="BZ326" s="398" t="e">
        <f>HLOOKUP(BZ322,'IPIM y USD'!$C$15:$NN$18,3,TRUE)</f>
        <v>#N/A</v>
      </c>
      <c r="CA326" s="398" t="e">
        <f>HLOOKUP(CA322,'IPIM y USD'!$C$15:$NN$18,3,TRUE)</f>
        <v>#N/A</v>
      </c>
      <c r="CB326" s="398" t="e">
        <f>HLOOKUP(CB322,'IPIM y USD'!$C$15:$NN$18,3,TRUE)</f>
        <v>#N/A</v>
      </c>
      <c r="CC326" s="398" t="e">
        <f>HLOOKUP(CC322,'IPIM y USD'!$C$15:$NN$18,3,TRUE)</f>
        <v>#N/A</v>
      </c>
      <c r="CF326" s="34"/>
      <c r="CG326" s="34"/>
      <c r="CI326" s="34"/>
      <c r="CJ326" s="34"/>
    </row>
    <row r="327" spans="1:88" s="32" customFormat="1" ht="5.0999999999999996" customHeight="1" x14ac:dyDescent="0.2">
      <c r="A327" s="185"/>
      <c r="CF327" s="34"/>
      <c r="CG327" s="34"/>
      <c r="CH327"/>
      <c r="CI327" s="34"/>
      <c r="CJ327" s="34"/>
    </row>
    <row r="328" spans="1:88" s="304" customFormat="1" ht="31.5" customHeight="1" x14ac:dyDescent="0.2">
      <c r="A328" s="430"/>
      <c r="B328" s="277" t="s">
        <v>168</v>
      </c>
      <c r="C328" s="277"/>
      <c r="D328" s="277"/>
      <c r="E328" s="277"/>
      <c r="F328" s="277"/>
      <c r="G328" s="277"/>
      <c r="H328" s="277"/>
      <c r="I328" s="277"/>
      <c r="J328" s="354"/>
      <c r="K328" s="277"/>
      <c r="L328" s="354"/>
      <c r="M328" s="277"/>
      <c r="N328" s="277"/>
      <c r="O328" s="277"/>
      <c r="P328" s="277"/>
      <c r="Q328" s="277"/>
      <c r="R328" s="277"/>
      <c r="S328" s="277"/>
      <c r="T328" s="277"/>
      <c r="U328" s="277"/>
      <c r="V328" s="277"/>
      <c r="W328" s="277"/>
      <c r="X328" s="277"/>
      <c r="Y328" s="277"/>
      <c r="Z328" s="277"/>
      <c r="AA328" s="277"/>
      <c r="AB328" s="277"/>
      <c r="AC328" s="277"/>
      <c r="AD328" s="277"/>
      <c r="AE328" s="277"/>
      <c r="AF328" s="277"/>
      <c r="AG328" s="277"/>
      <c r="AH328" s="277"/>
      <c r="AI328" s="277"/>
      <c r="AJ328" s="277"/>
      <c r="AK328" s="277"/>
      <c r="AL328" s="277"/>
      <c r="AM328" s="277"/>
      <c r="AN328" s="277"/>
      <c r="AO328" s="277"/>
      <c r="AP328" s="277"/>
      <c r="AQ328" s="277"/>
      <c r="AR328" s="277"/>
      <c r="AS328" s="277"/>
      <c r="AT328" s="277"/>
      <c r="AU328" s="277"/>
      <c r="AV328" s="277"/>
      <c r="AW328" s="277"/>
      <c r="AX328" s="277"/>
      <c r="AY328" s="277"/>
      <c r="AZ328" s="277"/>
      <c r="BA328" s="277"/>
      <c r="BB328" s="277"/>
      <c r="BC328" s="277"/>
      <c r="BD328" s="277"/>
      <c r="BE328" s="277"/>
      <c r="BF328" s="277"/>
      <c r="BG328" s="277"/>
      <c r="BH328" s="277"/>
      <c r="BI328" s="277"/>
      <c r="BJ328" s="277"/>
      <c r="BK328" s="277"/>
      <c r="BL328" s="277"/>
      <c r="BM328" s="277"/>
      <c r="BN328" s="277"/>
      <c r="BO328" s="277"/>
      <c r="BP328" s="277"/>
      <c r="BQ328" s="277"/>
      <c r="BR328" s="277"/>
      <c r="BS328" s="277"/>
      <c r="BT328" s="277"/>
      <c r="BU328" s="277"/>
      <c r="BV328" s="277"/>
      <c r="BW328" s="277"/>
      <c r="BX328" s="277"/>
      <c r="BY328" s="277"/>
      <c r="BZ328" s="277"/>
      <c r="CA328" s="277"/>
      <c r="CB328" s="277"/>
      <c r="CC328" s="277"/>
    </row>
    <row r="329" spans="1:88" ht="5.0999999999999996" customHeight="1" thickBot="1" x14ac:dyDescent="0.25"/>
    <row r="330" spans="1:88" s="32" customFormat="1" ht="45.75" customHeight="1" thickBot="1" x14ac:dyDescent="0.25">
      <c r="A330" s="185"/>
      <c r="B330" s="278" t="s">
        <v>106</v>
      </c>
      <c r="C330" s="272"/>
      <c r="D330" s="273" t="s">
        <v>169</v>
      </c>
      <c r="E330" s="272"/>
      <c r="F330" s="273" t="s">
        <v>108</v>
      </c>
      <c r="G330" s="272"/>
      <c r="H330" s="273" t="s">
        <v>109</v>
      </c>
      <c r="J330" s="312" t="e">
        <f>+J322</f>
        <v>#N/A</v>
      </c>
      <c r="K330" s="312" t="e">
        <f t="shared" ref="K330:BV330" si="71">+K322</f>
        <v>#N/A</v>
      </c>
      <c r="L330" s="312" t="e">
        <f t="shared" si="71"/>
        <v>#N/A</v>
      </c>
      <c r="M330" s="312" t="e">
        <f t="shared" si="71"/>
        <v>#N/A</v>
      </c>
      <c r="N330" s="312" t="e">
        <f t="shared" si="71"/>
        <v>#N/A</v>
      </c>
      <c r="O330" s="312" t="e">
        <f t="shared" si="71"/>
        <v>#N/A</v>
      </c>
      <c r="P330" s="312" t="e">
        <f t="shared" si="71"/>
        <v>#N/A</v>
      </c>
      <c r="Q330" s="312" t="e">
        <f t="shared" si="71"/>
        <v>#N/A</v>
      </c>
      <c r="R330" s="312" t="e">
        <f t="shared" si="71"/>
        <v>#N/A</v>
      </c>
      <c r="S330" s="312" t="e">
        <f t="shared" si="71"/>
        <v>#N/A</v>
      </c>
      <c r="T330" s="312" t="e">
        <f t="shared" si="71"/>
        <v>#N/A</v>
      </c>
      <c r="U330" s="312" t="e">
        <f t="shared" si="71"/>
        <v>#N/A</v>
      </c>
      <c r="V330" s="312" t="e">
        <f t="shared" si="71"/>
        <v>#N/A</v>
      </c>
      <c r="W330" s="312" t="e">
        <f t="shared" si="71"/>
        <v>#N/A</v>
      </c>
      <c r="X330" s="312" t="e">
        <f t="shared" si="71"/>
        <v>#N/A</v>
      </c>
      <c r="Y330" s="312" t="e">
        <f t="shared" si="71"/>
        <v>#N/A</v>
      </c>
      <c r="Z330" s="312" t="e">
        <f t="shared" si="71"/>
        <v>#N/A</v>
      </c>
      <c r="AA330" s="312" t="e">
        <f t="shared" si="71"/>
        <v>#N/A</v>
      </c>
      <c r="AB330" s="312" t="e">
        <f t="shared" si="71"/>
        <v>#N/A</v>
      </c>
      <c r="AC330" s="312" t="e">
        <f t="shared" si="71"/>
        <v>#N/A</v>
      </c>
      <c r="AD330" s="312" t="e">
        <f t="shared" si="71"/>
        <v>#N/A</v>
      </c>
      <c r="AE330" s="312" t="e">
        <f t="shared" si="71"/>
        <v>#N/A</v>
      </c>
      <c r="AF330" s="312" t="e">
        <f t="shared" si="71"/>
        <v>#N/A</v>
      </c>
      <c r="AG330" s="312" t="e">
        <f t="shared" si="71"/>
        <v>#N/A</v>
      </c>
      <c r="AH330" s="312" t="e">
        <f t="shared" si="71"/>
        <v>#N/A</v>
      </c>
      <c r="AI330" s="312" t="e">
        <f t="shared" si="71"/>
        <v>#N/A</v>
      </c>
      <c r="AJ330" s="312" t="e">
        <f t="shared" si="71"/>
        <v>#N/A</v>
      </c>
      <c r="AK330" s="312" t="e">
        <f t="shared" si="71"/>
        <v>#N/A</v>
      </c>
      <c r="AL330" s="312" t="e">
        <f t="shared" si="71"/>
        <v>#N/A</v>
      </c>
      <c r="AM330" s="312" t="e">
        <f t="shared" si="71"/>
        <v>#N/A</v>
      </c>
      <c r="AN330" s="312" t="e">
        <f t="shared" si="71"/>
        <v>#N/A</v>
      </c>
      <c r="AO330" s="312" t="e">
        <f t="shared" si="71"/>
        <v>#N/A</v>
      </c>
      <c r="AP330" s="312" t="e">
        <f t="shared" si="71"/>
        <v>#N/A</v>
      </c>
      <c r="AQ330" s="312" t="e">
        <f t="shared" si="71"/>
        <v>#N/A</v>
      </c>
      <c r="AR330" s="312" t="e">
        <f t="shared" si="71"/>
        <v>#N/A</v>
      </c>
      <c r="AS330" s="312" t="e">
        <f t="shared" si="71"/>
        <v>#N/A</v>
      </c>
      <c r="AT330" s="312" t="e">
        <f t="shared" si="71"/>
        <v>#N/A</v>
      </c>
      <c r="AU330" s="312" t="e">
        <f t="shared" si="71"/>
        <v>#N/A</v>
      </c>
      <c r="AV330" s="312" t="e">
        <f t="shared" si="71"/>
        <v>#N/A</v>
      </c>
      <c r="AW330" s="312" t="e">
        <f t="shared" si="71"/>
        <v>#N/A</v>
      </c>
      <c r="AX330" s="312" t="e">
        <f t="shared" si="71"/>
        <v>#N/A</v>
      </c>
      <c r="AY330" s="312" t="e">
        <f t="shared" si="71"/>
        <v>#N/A</v>
      </c>
      <c r="AZ330" s="312" t="e">
        <f t="shared" si="71"/>
        <v>#N/A</v>
      </c>
      <c r="BA330" s="312" t="e">
        <f t="shared" si="71"/>
        <v>#N/A</v>
      </c>
      <c r="BB330" s="312" t="e">
        <f t="shared" si="71"/>
        <v>#N/A</v>
      </c>
      <c r="BC330" s="312" t="e">
        <f t="shared" si="71"/>
        <v>#N/A</v>
      </c>
      <c r="BD330" s="312" t="e">
        <f t="shared" si="71"/>
        <v>#N/A</v>
      </c>
      <c r="BE330" s="312" t="e">
        <f t="shared" si="71"/>
        <v>#N/A</v>
      </c>
      <c r="BF330" s="312" t="e">
        <f t="shared" si="71"/>
        <v>#N/A</v>
      </c>
      <c r="BG330" s="312" t="e">
        <f t="shared" si="71"/>
        <v>#N/A</v>
      </c>
      <c r="BH330" s="312" t="e">
        <f t="shared" si="71"/>
        <v>#N/A</v>
      </c>
      <c r="BI330" s="312" t="e">
        <f t="shared" si="71"/>
        <v>#N/A</v>
      </c>
      <c r="BJ330" s="312" t="e">
        <f t="shared" si="71"/>
        <v>#N/A</v>
      </c>
      <c r="BK330" s="312" t="e">
        <f t="shared" si="71"/>
        <v>#N/A</v>
      </c>
      <c r="BL330" s="312" t="e">
        <f t="shared" si="71"/>
        <v>#N/A</v>
      </c>
      <c r="BM330" s="312" t="e">
        <f t="shared" si="71"/>
        <v>#N/A</v>
      </c>
      <c r="BN330" s="312" t="e">
        <f t="shared" si="71"/>
        <v>#N/A</v>
      </c>
      <c r="BO330" s="312" t="e">
        <f t="shared" si="71"/>
        <v>#N/A</v>
      </c>
      <c r="BP330" s="312" t="e">
        <f t="shared" si="71"/>
        <v>#N/A</v>
      </c>
      <c r="BQ330" s="312" t="e">
        <f t="shared" si="71"/>
        <v>#N/A</v>
      </c>
      <c r="BR330" s="312" t="e">
        <f t="shared" si="71"/>
        <v>#N/A</v>
      </c>
      <c r="BS330" s="312" t="e">
        <f t="shared" si="71"/>
        <v>#N/A</v>
      </c>
      <c r="BT330" s="312" t="e">
        <f t="shared" si="71"/>
        <v>#N/A</v>
      </c>
      <c r="BU330" s="312" t="e">
        <f t="shared" si="71"/>
        <v>#N/A</v>
      </c>
      <c r="BV330" s="312" t="e">
        <f t="shared" si="71"/>
        <v>#N/A</v>
      </c>
      <c r="BW330" s="312" t="e">
        <f t="shared" ref="BW330:CC330" si="72">+BW322</f>
        <v>#N/A</v>
      </c>
      <c r="BX330" s="312" t="e">
        <f t="shared" si="72"/>
        <v>#N/A</v>
      </c>
      <c r="BY330" s="312" t="e">
        <f t="shared" si="72"/>
        <v>#N/A</v>
      </c>
      <c r="BZ330" s="312" t="e">
        <f t="shared" si="72"/>
        <v>#N/A</v>
      </c>
      <c r="CA330" s="312" t="e">
        <f t="shared" si="72"/>
        <v>#N/A</v>
      </c>
      <c r="CB330" s="312" t="e">
        <f t="shared" si="72"/>
        <v>#N/A</v>
      </c>
      <c r="CC330" s="312" t="e">
        <f t="shared" si="72"/>
        <v>#N/A</v>
      </c>
    </row>
    <row r="331" spans="1:88" s="32" customFormat="1" ht="5.0999999999999996" customHeight="1" thickBot="1" x14ac:dyDescent="0.25">
      <c r="A331" s="185"/>
    </row>
    <row r="332" spans="1:88" s="32" customFormat="1" ht="20.25" customHeight="1" thickBot="1" x14ac:dyDescent="0.25">
      <c r="A332" s="185"/>
      <c r="B332" s="184">
        <f ca="1">INDIRECT("B" &amp; (157 + ROWS($A$1:A1)))</f>
        <v>0</v>
      </c>
      <c r="D332" s="363"/>
      <c r="E332"/>
      <c r="F332" s="100">
        <f>SUM(J332:CC332)</f>
        <v>0</v>
      </c>
      <c r="G332" s="87"/>
      <c r="H332" s="100" t="str">
        <f t="shared" ref="H332:H357" si="73">IF($Q$154="Sobre la obra",IF(D332=F332,"Completo","Incompleto"),IF(F332&lt;1,"Incompleto","Completo"))</f>
        <v>Completo</v>
      </c>
      <c r="I332"/>
      <c r="J332" s="363">
        <v>0</v>
      </c>
      <c r="K332" s="363">
        <v>0</v>
      </c>
      <c r="L332" s="363">
        <v>0</v>
      </c>
      <c r="M332" s="363">
        <v>0</v>
      </c>
      <c r="N332" s="363">
        <v>0</v>
      </c>
      <c r="O332" s="363">
        <v>0</v>
      </c>
      <c r="P332" s="363">
        <v>0</v>
      </c>
      <c r="Q332" s="363">
        <v>0</v>
      </c>
      <c r="R332" s="363">
        <v>0</v>
      </c>
      <c r="S332" s="363">
        <v>0</v>
      </c>
      <c r="T332" s="363">
        <v>0</v>
      </c>
      <c r="U332" s="363">
        <v>0</v>
      </c>
      <c r="V332" s="363">
        <v>0</v>
      </c>
      <c r="W332" s="363">
        <v>0</v>
      </c>
      <c r="X332" s="363">
        <v>0</v>
      </c>
      <c r="Y332" s="363">
        <v>0</v>
      </c>
      <c r="Z332" s="363">
        <v>0</v>
      </c>
      <c r="AA332" s="363">
        <v>0</v>
      </c>
      <c r="AB332" s="363">
        <v>0</v>
      </c>
      <c r="AC332" s="363">
        <v>0</v>
      </c>
      <c r="AD332" s="363">
        <v>0</v>
      </c>
      <c r="AE332" s="363">
        <v>0</v>
      </c>
      <c r="AF332" s="363">
        <v>0</v>
      </c>
      <c r="AG332" s="363">
        <v>0</v>
      </c>
      <c r="AH332" s="363">
        <v>0</v>
      </c>
      <c r="AI332" s="363">
        <v>0</v>
      </c>
      <c r="AJ332" s="363">
        <v>0</v>
      </c>
      <c r="AK332" s="363">
        <v>0</v>
      </c>
      <c r="AL332" s="363">
        <v>0</v>
      </c>
      <c r="AM332" s="363">
        <v>0</v>
      </c>
      <c r="AN332" s="363">
        <v>0</v>
      </c>
      <c r="AO332" s="363">
        <v>0</v>
      </c>
      <c r="AP332" s="363">
        <v>0</v>
      </c>
      <c r="AQ332" s="363">
        <v>0</v>
      </c>
      <c r="AR332" s="363">
        <v>0</v>
      </c>
      <c r="AS332" s="363">
        <v>0</v>
      </c>
      <c r="AT332" s="363">
        <v>0</v>
      </c>
      <c r="AU332" s="363">
        <v>0</v>
      </c>
      <c r="AV332" s="363">
        <v>0</v>
      </c>
      <c r="AW332" s="363">
        <v>0</v>
      </c>
      <c r="AX332" s="363">
        <v>0</v>
      </c>
      <c r="AY332" s="363">
        <v>0</v>
      </c>
      <c r="AZ332" s="363">
        <v>0</v>
      </c>
      <c r="BA332" s="363">
        <v>0</v>
      </c>
      <c r="BB332" s="363">
        <v>0</v>
      </c>
      <c r="BC332" s="363">
        <v>0</v>
      </c>
      <c r="BD332" s="363">
        <v>0</v>
      </c>
      <c r="BE332" s="363">
        <v>0</v>
      </c>
      <c r="BF332" s="363">
        <v>0</v>
      </c>
      <c r="BG332" s="363">
        <v>0</v>
      </c>
      <c r="BH332" s="363">
        <v>0</v>
      </c>
      <c r="BI332" s="363">
        <v>0</v>
      </c>
      <c r="BJ332" s="363">
        <v>0</v>
      </c>
      <c r="BK332" s="363">
        <v>0</v>
      </c>
      <c r="BL332" s="363">
        <v>0</v>
      </c>
      <c r="BM332" s="363">
        <v>0</v>
      </c>
      <c r="BN332" s="363">
        <v>0</v>
      </c>
      <c r="BO332" s="363">
        <v>0</v>
      </c>
      <c r="BP332" s="363">
        <v>0</v>
      </c>
      <c r="BQ332" s="363">
        <v>0</v>
      </c>
      <c r="BR332" s="363">
        <v>0</v>
      </c>
      <c r="BS332" s="363">
        <v>0</v>
      </c>
      <c r="BT332" s="363">
        <v>0</v>
      </c>
      <c r="BU332" s="363">
        <v>0</v>
      </c>
      <c r="BV332" s="363">
        <v>0</v>
      </c>
      <c r="BW332" s="363">
        <v>0</v>
      </c>
      <c r="BX332" s="363">
        <v>0</v>
      </c>
      <c r="BY332" s="363">
        <v>0</v>
      </c>
      <c r="BZ332" s="363">
        <v>0</v>
      </c>
      <c r="CA332" s="363">
        <v>0</v>
      </c>
      <c r="CB332" s="363">
        <v>0</v>
      </c>
      <c r="CC332" s="363">
        <v>0</v>
      </c>
    </row>
    <row r="333" spans="1:88" s="32" customFormat="1" ht="20.25" customHeight="1" thickBot="1" x14ac:dyDescent="0.25">
      <c r="A333" s="185"/>
      <c r="B333" s="184">
        <f ca="1">INDIRECT("B" &amp; (157 + ROWS($A$1:A2)))</f>
        <v>0</v>
      </c>
      <c r="D333" s="363"/>
      <c r="E333"/>
      <c r="F333" s="100">
        <f t="shared" ref="F333:F357" si="74">SUM(J333:CC333)</f>
        <v>0</v>
      </c>
      <c r="G333" s="87"/>
      <c r="H333" s="100" t="str">
        <f t="shared" si="73"/>
        <v>Completo</v>
      </c>
      <c r="I333"/>
      <c r="J333" s="363">
        <v>0</v>
      </c>
      <c r="K333" s="363">
        <v>0</v>
      </c>
      <c r="L333" s="363">
        <v>0</v>
      </c>
      <c r="M333" s="363">
        <v>0</v>
      </c>
      <c r="N333" s="363">
        <v>0</v>
      </c>
      <c r="O333" s="363">
        <v>0</v>
      </c>
      <c r="P333" s="363">
        <v>0</v>
      </c>
      <c r="Q333" s="363">
        <v>0</v>
      </c>
      <c r="R333" s="363">
        <v>0</v>
      </c>
      <c r="S333" s="363">
        <v>0</v>
      </c>
      <c r="T333" s="363">
        <v>0</v>
      </c>
      <c r="U333" s="363">
        <v>0</v>
      </c>
      <c r="V333" s="363">
        <v>0</v>
      </c>
      <c r="W333" s="363">
        <v>0</v>
      </c>
      <c r="X333" s="363">
        <v>0</v>
      </c>
      <c r="Y333" s="363">
        <v>0</v>
      </c>
      <c r="Z333" s="363">
        <v>0</v>
      </c>
      <c r="AA333" s="363">
        <v>0</v>
      </c>
      <c r="AB333" s="363">
        <v>0</v>
      </c>
      <c r="AC333" s="363">
        <v>0</v>
      </c>
      <c r="AD333" s="363">
        <v>0</v>
      </c>
      <c r="AE333" s="363">
        <v>0</v>
      </c>
      <c r="AF333" s="363">
        <v>0</v>
      </c>
      <c r="AG333" s="363">
        <v>0</v>
      </c>
      <c r="AH333" s="363">
        <v>0</v>
      </c>
      <c r="AI333" s="363">
        <v>0</v>
      </c>
      <c r="AJ333" s="363">
        <v>0</v>
      </c>
      <c r="AK333" s="363">
        <v>0</v>
      </c>
      <c r="AL333" s="363">
        <v>0</v>
      </c>
      <c r="AM333" s="363">
        <v>0</v>
      </c>
      <c r="AN333" s="363">
        <v>0</v>
      </c>
      <c r="AO333" s="363">
        <v>0</v>
      </c>
      <c r="AP333" s="363">
        <v>0</v>
      </c>
      <c r="AQ333" s="363">
        <v>0</v>
      </c>
      <c r="AR333" s="363">
        <v>0</v>
      </c>
      <c r="AS333" s="363">
        <v>0</v>
      </c>
      <c r="AT333" s="363">
        <v>0</v>
      </c>
      <c r="AU333" s="363">
        <v>0</v>
      </c>
      <c r="AV333" s="363">
        <v>0</v>
      </c>
      <c r="AW333" s="363">
        <v>0</v>
      </c>
      <c r="AX333" s="363">
        <v>0</v>
      </c>
      <c r="AY333" s="363">
        <v>0</v>
      </c>
      <c r="AZ333" s="363">
        <v>0</v>
      </c>
      <c r="BA333" s="363">
        <v>0</v>
      </c>
      <c r="BB333" s="363">
        <v>0</v>
      </c>
      <c r="BC333" s="363">
        <v>0</v>
      </c>
      <c r="BD333" s="363">
        <v>0</v>
      </c>
      <c r="BE333" s="363">
        <v>0</v>
      </c>
      <c r="BF333" s="363">
        <v>0</v>
      </c>
      <c r="BG333" s="363">
        <v>0</v>
      </c>
      <c r="BH333" s="363">
        <v>0</v>
      </c>
      <c r="BI333" s="363">
        <v>0</v>
      </c>
      <c r="BJ333" s="363">
        <v>0</v>
      </c>
      <c r="BK333" s="363">
        <v>0</v>
      </c>
      <c r="BL333" s="363">
        <v>0</v>
      </c>
      <c r="BM333" s="363">
        <v>0</v>
      </c>
      <c r="BN333" s="363">
        <v>0</v>
      </c>
      <c r="BO333" s="363">
        <v>0</v>
      </c>
      <c r="BP333" s="363">
        <v>0</v>
      </c>
      <c r="BQ333" s="363">
        <v>0</v>
      </c>
      <c r="BR333" s="363">
        <v>0</v>
      </c>
      <c r="BS333" s="363">
        <v>0</v>
      </c>
      <c r="BT333" s="363">
        <v>0</v>
      </c>
      <c r="BU333" s="363">
        <v>0</v>
      </c>
      <c r="BV333" s="363">
        <v>0</v>
      </c>
      <c r="BW333" s="363">
        <v>0</v>
      </c>
      <c r="BX333" s="363">
        <v>0</v>
      </c>
      <c r="BY333" s="363">
        <v>0</v>
      </c>
      <c r="BZ333" s="363">
        <v>0</v>
      </c>
      <c r="CA333" s="363">
        <v>0</v>
      </c>
      <c r="CB333" s="363">
        <v>0</v>
      </c>
      <c r="CC333" s="363">
        <v>0</v>
      </c>
    </row>
    <row r="334" spans="1:88" s="32" customFormat="1" ht="20.25" customHeight="1" thickBot="1" x14ac:dyDescent="0.25">
      <c r="A334" s="185"/>
      <c r="B334" s="184">
        <f ca="1">INDIRECT("B" &amp; (157 + ROWS($A$1:A3)))</f>
        <v>0</v>
      </c>
      <c r="D334" s="363"/>
      <c r="E334"/>
      <c r="F334" s="100">
        <f t="shared" si="74"/>
        <v>0</v>
      </c>
      <c r="G334" s="87"/>
      <c r="H334" s="100" t="str">
        <f t="shared" si="73"/>
        <v>Completo</v>
      </c>
      <c r="I334"/>
      <c r="J334" s="363">
        <v>0</v>
      </c>
      <c r="K334" s="363">
        <v>0</v>
      </c>
      <c r="L334" s="363">
        <v>0</v>
      </c>
      <c r="M334" s="363">
        <v>0</v>
      </c>
      <c r="N334" s="363">
        <v>0</v>
      </c>
      <c r="O334" s="363">
        <v>0</v>
      </c>
      <c r="P334" s="363">
        <v>0</v>
      </c>
      <c r="Q334" s="363">
        <v>0</v>
      </c>
      <c r="R334" s="363">
        <v>0</v>
      </c>
      <c r="S334" s="363">
        <v>0</v>
      </c>
      <c r="T334" s="363">
        <v>0</v>
      </c>
      <c r="U334" s="363">
        <v>0</v>
      </c>
      <c r="V334" s="363">
        <v>0</v>
      </c>
      <c r="W334" s="363">
        <v>0</v>
      </c>
      <c r="X334" s="363">
        <v>0</v>
      </c>
      <c r="Y334" s="363">
        <v>0</v>
      </c>
      <c r="Z334" s="363">
        <v>0</v>
      </c>
      <c r="AA334" s="363">
        <v>0</v>
      </c>
      <c r="AB334" s="363">
        <v>0</v>
      </c>
      <c r="AC334" s="363">
        <v>0</v>
      </c>
      <c r="AD334" s="363">
        <v>0</v>
      </c>
      <c r="AE334" s="363">
        <v>0</v>
      </c>
      <c r="AF334" s="363">
        <v>0</v>
      </c>
      <c r="AG334" s="363">
        <v>0</v>
      </c>
      <c r="AH334" s="363">
        <v>0</v>
      </c>
      <c r="AI334" s="363">
        <v>0</v>
      </c>
      <c r="AJ334" s="363">
        <v>0</v>
      </c>
      <c r="AK334" s="363">
        <v>0</v>
      </c>
      <c r="AL334" s="363">
        <v>0</v>
      </c>
      <c r="AM334" s="363">
        <v>0</v>
      </c>
      <c r="AN334" s="363">
        <v>0</v>
      </c>
      <c r="AO334" s="363">
        <v>0</v>
      </c>
      <c r="AP334" s="363">
        <v>0</v>
      </c>
      <c r="AQ334" s="363">
        <v>0</v>
      </c>
      <c r="AR334" s="363">
        <v>0</v>
      </c>
      <c r="AS334" s="363">
        <v>0</v>
      </c>
      <c r="AT334" s="363">
        <v>0</v>
      </c>
      <c r="AU334" s="363">
        <v>0</v>
      </c>
      <c r="AV334" s="363">
        <v>0</v>
      </c>
      <c r="AW334" s="363">
        <v>0</v>
      </c>
      <c r="AX334" s="363">
        <v>0</v>
      </c>
      <c r="AY334" s="363">
        <v>0</v>
      </c>
      <c r="AZ334" s="363">
        <v>0</v>
      </c>
      <c r="BA334" s="363">
        <v>0</v>
      </c>
      <c r="BB334" s="363">
        <v>0</v>
      </c>
      <c r="BC334" s="363">
        <v>0</v>
      </c>
      <c r="BD334" s="363">
        <v>0</v>
      </c>
      <c r="BE334" s="363">
        <v>0</v>
      </c>
      <c r="BF334" s="363">
        <v>0</v>
      </c>
      <c r="BG334" s="363">
        <v>0</v>
      </c>
      <c r="BH334" s="363">
        <v>0</v>
      </c>
      <c r="BI334" s="363">
        <v>0</v>
      </c>
      <c r="BJ334" s="363">
        <v>0</v>
      </c>
      <c r="BK334" s="363">
        <v>0</v>
      </c>
      <c r="BL334" s="363">
        <v>0</v>
      </c>
      <c r="BM334" s="363">
        <v>0</v>
      </c>
      <c r="BN334" s="363">
        <v>0</v>
      </c>
      <c r="BO334" s="363">
        <v>0</v>
      </c>
      <c r="BP334" s="363">
        <v>0</v>
      </c>
      <c r="BQ334" s="363">
        <v>0</v>
      </c>
      <c r="BR334" s="363">
        <v>0</v>
      </c>
      <c r="BS334" s="363">
        <v>0</v>
      </c>
      <c r="BT334" s="363">
        <v>0</v>
      </c>
      <c r="BU334" s="363">
        <v>0</v>
      </c>
      <c r="BV334" s="363">
        <v>0</v>
      </c>
      <c r="BW334" s="363">
        <v>0</v>
      </c>
      <c r="BX334" s="363">
        <v>0</v>
      </c>
      <c r="BY334" s="363">
        <v>0</v>
      </c>
      <c r="BZ334" s="363">
        <v>0</v>
      </c>
      <c r="CA334" s="363">
        <v>0</v>
      </c>
      <c r="CB334" s="363">
        <v>0</v>
      </c>
      <c r="CC334" s="363">
        <v>0</v>
      </c>
    </row>
    <row r="335" spans="1:88" s="32" customFormat="1" ht="20.25" customHeight="1" thickBot="1" x14ac:dyDescent="0.25">
      <c r="A335" s="185"/>
      <c r="B335" s="184">
        <f ca="1">INDIRECT("B" &amp; (157 + ROWS($A$1:A4)))</f>
        <v>0</v>
      </c>
      <c r="D335" s="363"/>
      <c r="E335"/>
      <c r="F335" s="100">
        <f t="shared" si="74"/>
        <v>0</v>
      </c>
      <c r="G335" s="87"/>
      <c r="H335" s="100" t="str">
        <f t="shared" si="73"/>
        <v>Completo</v>
      </c>
      <c r="I335"/>
      <c r="J335" s="363">
        <v>0</v>
      </c>
      <c r="K335" s="363">
        <v>0</v>
      </c>
      <c r="L335" s="363">
        <v>0</v>
      </c>
      <c r="M335" s="363">
        <v>0</v>
      </c>
      <c r="N335" s="363">
        <v>0</v>
      </c>
      <c r="O335" s="363">
        <v>0</v>
      </c>
      <c r="P335" s="363">
        <v>0</v>
      </c>
      <c r="Q335" s="363">
        <v>0</v>
      </c>
      <c r="R335" s="363">
        <v>0</v>
      </c>
      <c r="S335" s="363">
        <v>0</v>
      </c>
      <c r="T335" s="363">
        <v>0</v>
      </c>
      <c r="U335" s="363">
        <v>0</v>
      </c>
      <c r="V335" s="363">
        <v>0</v>
      </c>
      <c r="W335" s="363">
        <v>0</v>
      </c>
      <c r="X335" s="363">
        <v>0</v>
      </c>
      <c r="Y335" s="363">
        <v>0</v>
      </c>
      <c r="Z335" s="363">
        <v>0</v>
      </c>
      <c r="AA335" s="363">
        <v>0</v>
      </c>
      <c r="AB335" s="363">
        <v>0</v>
      </c>
      <c r="AC335" s="363">
        <v>0</v>
      </c>
      <c r="AD335" s="363">
        <v>0</v>
      </c>
      <c r="AE335" s="363">
        <v>0</v>
      </c>
      <c r="AF335" s="363">
        <v>0</v>
      </c>
      <c r="AG335" s="363">
        <v>0</v>
      </c>
      <c r="AH335" s="363">
        <v>0</v>
      </c>
      <c r="AI335" s="363">
        <v>0</v>
      </c>
      <c r="AJ335" s="363">
        <v>0</v>
      </c>
      <c r="AK335" s="363">
        <v>0</v>
      </c>
      <c r="AL335" s="363">
        <v>0</v>
      </c>
      <c r="AM335" s="363">
        <v>0</v>
      </c>
      <c r="AN335" s="363">
        <v>0</v>
      </c>
      <c r="AO335" s="363">
        <v>0</v>
      </c>
      <c r="AP335" s="363">
        <v>0</v>
      </c>
      <c r="AQ335" s="363">
        <v>0</v>
      </c>
      <c r="AR335" s="363">
        <v>0</v>
      </c>
      <c r="AS335" s="363">
        <v>0</v>
      </c>
      <c r="AT335" s="363">
        <v>0</v>
      </c>
      <c r="AU335" s="363">
        <v>0</v>
      </c>
      <c r="AV335" s="363">
        <v>0</v>
      </c>
      <c r="AW335" s="363">
        <v>0</v>
      </c>
      <c r="AX335" s="363">
        <v>0</v>
      </c>
      <c r="AY335" s="363">
        <v>0</v>
      </c>
      <c r="AZ335" s="363">
        <v>0</v>
      </c>
      <c r="BA335" s="363">
        <v>0</v>
      </c>
      <c r="BB335" s="363">
        <v>0</v>
      </c>
      <c r="BC335" s="363">
        <v>0</v>
      </c>
      <c r="BD335" s="363">
        <v>0</v>
      </c>
      <c r="BE335" s="363">
        <v>0</v>
      </c>
      <c r="BF335" s="363">
        <v>0</v>
      </c>
      <c r="BG335" s="363">
        <v>0</v>
      </c>
      <c r="BH335" s="363">
        <v>0</v>
      </c>
      <c r="BI335" s="363">
        <v>0</v>
      </c>
      <c r="BJ335" s="363">
        <v>0</v>
      </c>
      <c r="BK335" s="363">
        <v>0</v>
      </c>
      <c r="BL335" s="363">
        <v>0</v>
      </c>
      <c r="BM335" s="363">
        <v>0</v>
      </c>
      <c r="BN335" s="363">
        <v>0</v>
      </c>
      <c r="BO335" s="363">
        <v>0</v>
      </c>
      <c r="BP335" s="363">
        <v>0</v>
      </c>
      <c r="BQ335" s="363">
        <v>0</v>
      </c>
      <c r="BR335" s="363">
        <v>0</v>
      </c>
      <c r="BS335" s="363">
        <v>0</v>
      </c>
      <c r="BT335" s="363">
        <v>0</v>
      </c>
      <c r="BU335" s="363">
        <v>0</v>
      </c>
      <c r="BV335" s="363">
        <v>0</v>
      </c>
      <c r="BW335" s="363">
        <v>0</v>
      </c>
      <c r="BX335" s="363">
        <v>0</v>
      </c>
      <c r="BY335" s="363">
        <v>0</v>
      </c>
      <c r="BZ335" s="363">
        <v>0</v>
      </c>
      <c r="CA335" s="363">
        <v>0</v>
      </c>
      <c r="CB335" s="363">
        <v>0</v>
      </c>
      <c r="CC335" s="363">
        <v>0</v>
      </c>
    </row>
    <row r="336" spans="1:88" s="32" customFormat="1" ht="20.25" customHeight="1" thickBot="1" x14ac:dyDescent="0.25">
      <c r="A336" s="185"/>
      <c r="B336" s="184">
        <f ca="1">INDIRECT("B" &amp; (157 + ROWS($A$1:A5)))</f>
        <v>0</v>
      </c>
      <c r="D336" s="363"/>
      <c r="E336"/>
      <c r="F336" s="100">
        <f t="shared" si="74"/>
        <v>0</v>
      </c>
      <c r="G336" s="87"/>
      <c r="H336" s="100" t="str">
        <f t="shared" si="73"/>
        <v>Completo</v>
      </c>
      <c r="I336"/>
      <c r="J336" s="363">
        <v>0</v>
      </c>
      <c r="K336" s="363">
        <v>0</v>
      </c>
      <c r="L336" s="363">
        <v>0</v>
      </c>
      <c r="M336" s="363">
        <v>0</v>
      </c>
      <c r="N336" s="363">
        <v>0</v>
      </c>
      <c r="O336" s="363">
        <v>0</v>
      </c>
      <c r="P336" s="363">
        <v>0</v>
      </c>
      <c r="Q336" s="363">
        <v>0</v>
      </c>
      <c r="R336" s="363">
        <v>0</v>
      </c>
      <c r="S336" s="363">
        <v>0</v>
      </c>
      <c r="T336" s="363">
        <v>0</v>
      </c>
      <c r="U336" s="363">
        <v>0</v>
      </c>
      <c r="V336" s="363">
        <v>0</v>
      </c>
      <c r="W336" s="363">
        <v>0</v>
      </c>
      <c r="X336" s="363">
        <v>0</v>
      </c>
      <c r="Y336" s="363">
        <v>0</v>
      </c>
      <c r="Z336" s="363">
        <v>0</v>
      </c>
      <c r="AA336" s="363">
        <v>0</v>
      </c>
      <c r="AB336" s="363">
        <v>0</v>
      </c>
      <c r="AC336" s="363">
        <v>0</v>
      </c>
      <c r="AD336" s="363">
        <v>0</v>
      </c>
      <c r="AE336" s="363">
        <v>0</v>
      </c>
      <c r="AF336" s="363">
        <v>0</v>
      </c>
      <c r="AG336" s="363">
        <v>0</v>
      </c>
      <c r="AH336" s="363">
        <v>0</v>
      </c>
      <c r="AI336" s="363">
        <v>0</v>
      </c>
      <c r="AJ336" s="363">
        <v>0</v>
      </c>
      <c r="AK336" s="363">
        <v>0</v>
      </c>
      <c r="AL336" s="363">
        <v>0</v>
      </c>
      <c r="AM336" s="363">
        <v>0</v>
      </c>
      <c r="AN336" s="363">
        <v>0</v>
      </c>
      <c r="AO336" s="363">
        <v>0</v>
      </c>
      <c r="AP336" s="363">
        <v>0</v>
      </c>
      <c r="AQ336" s="363">
        <v>0</v>
      </c>
      <c r="AR336" s="363">
        <v>0</v>
      </c>
      <c r="AS336" s="363">
        <v>0</v>
      </c>
      <c r="AT336" s="363">
        <v>0</v>
      </c>
      <c r="AU336" s="363">
        <v>0</v>
      </c>
      <c r="AV336" s="363">
        <v>0</v>
      </c>
      <c r="AW336" s="363">
        <v>0</v>
      </c>
      <c r="AX336" s="363">
        <v>0</v>
      </c>
      <c r="AY336" s="363">
        <v>0</v>
      </c>
      <c r="AZ336" s="363">
        <v>0</v>
      </c>
      <c r="BA336" s="363">
        <v>0</v>
      </c>
      <c r="BB336" s="363">
        <v>0</v>
      </c>
      <c r="BC336" s="363">
        <v>0</v>
      </c>
      <c r="BD336" s="363">
        <v>0</v>
      </c>
      <c r="BE336" s="363">
        <v>0</v>
      </c>
      <c r="BF336" s="363">
        <v>0</v>
      </c>
      <c r="BG336" s="363">
        <v>0</v>
      </c>
      <c r="BH336" s="363">
        <v>0</v>
      </c>
      <c r="BI336" s="363">
        <v>0</v>
      </c>
      <c r="BJ336" s="363">
        <v>0</v>
      </c>
      <c r="BK336" s="363">
        <v>0</v>
      </c>
      <c r="BL336" s="363">
        <v>0</v>
      </c>
      <c r="BM336" s="363">
        <v>0</v>
      </c>
      <c r="BN336" s="363">
        <v>0</v>
      </c>
      <c r="BO336" s="363">
        <v>0</v>
      </c>
      <c r="BP336" s="363">
        <v>0</v>
      </c>
      <c r="BQ336" s="363">
        <v>0</v>
      </c>
      <c r="BR336" s="363">
        <v>0</v>
      </c>
      <c r="BS336" s="363">
        <v>0</v>
      </c>
      <c r="BT336" s="363">
        <v>0</v>
      </c>
      <c r="BU336" s="363">
        <v>0</v>
      </c>
      <c r="BV336" s="363">
        <v>0</v>
      </c>
      <c r="BW336" s="363">
        <v>0</v>
      </c>
      <c r="BX336" s="363">
        <v>0</v>
      </c>
      <c r="BY336" s="363">
        <v>0</v>
      </c>
      <c r="BZ336" s="363">
        <v>0</v>
      </c>
      <c r="CA336" s="363">
        <v>0</v>
      </c>
      <c r="CB336" s="363">
        <v>0</v>
      </c>
      <c r="CC336" s="363">
        <v>0</v>
      </c>
    </row>
    <row r="337" spans="1:81" s="32" customFormat="1" ht="20.25" customHeight="1" thickBot="1" x14ac:dyDescent="0.25">
      <c r="A337" s="185"/>
      <c r="B337" s="184">
        <f ca="1">INDIRECT("B" &amp; (157 + ROWS($A$1:A6)))</f>
        <v>0</v>
      </c>
      <c r="D337" s="363"/>
      <c r="E337"/>
      <c r="F337" s="100">
        <f t="shared" si="74"/>
        <v>0</v>
      </c>
      <c r="G337" s="87"/>
      <c r="H337" s="100" t="str">
        <f t="shared" si="73"/>
        <v>Completo</v>
      </c>
      <c r="I337"/>
      <c r="J337" s="363">
        <v>0</v>
      </c>
      <c r="K337" s="363">
        <v>0</v>
      </c>
      <c r="L337" s="363">
        <v>0</v>
      </c>
      <c r="M337" s="363">
        <v>0</v>
      </c>
      <c r="N337" s="363">
        <v>0</v>
      </c>
      <c r="O337" s="363">
        <v>0</v>
      </c>
      <c r="P337" s="363">
        <v>0</v>
      </c>
      <c r="Q337" s="363">
        <v>0</v>
      </c>
      <c r="R337" s="363">
        <v>0</v>
      </c>
      <c r="S337" s="363">
        <v>0</v>
      </c>
      <c r="T337" s="363">
        <v>0</v>
      </c>
      <c r="U337" s="363">
        <v>0</v>
      </c>
      <c r="V337" s="363">
        <v>0</v>
      </c>
      <c r="W337" s="363">
        <v>0</v>
      </c>
      <c r="X337" s="363">
        <v>0</v>
      </c>
      <c r="Y337" s="363">
        <v>0</v>
      </c>
      <c r="Z337" s="363">
        <v>0</v>
      </c>
      <c r="AA337" s="363">
        <v>0</v>
      </c>
      <c r="AB337" s="363">
        <v>0</v>
      </c>
      <c r="AC337" s="363">
        <v>0</v>
      </c>
      <c r="AD337" s="363">
        <v>0</v>
      </c>
      <c r="AE337" s="363">
        <v>0</v>
      </c>
      <c r="AF337" s="363">
        <v>0</v>
      </c>
      <c r="AG337" s="363">
        <v>0</v>
      </c>
      <c r="AH337" s="363">
        <v>0</v>
      </c>
      <c r="AI337" s="363">
        <v>0</v>
      </c>
      <c r="AJ337" s="363">
        <v>0</v>
      </c>
      <c r="AK337" s="363">
        <v>0</v>
      </c>
      <c r="AL337" s="363">
        <v>0</v>
      </c>
      <c r="AM337" s="363">
        <v>0</v>
      </c>
      <c r="AN337" s="363">
        <v>0</v>
      </c>
      <c r="AO337" s="363">
        <v>0</v>
      </c>
      <c r="AP337" s="363">
        <v>0</v>
      </c>
      <c r="AQ337" s="363">
        <v>0</v>
      </c>
      <c r="AR337" s="363">
        <v>0</v>
      </c>
      <c r="AS337" s="363">
        <v>0</v>
      </c>
      <c r="AT337" s="363">
        <v>0</v>
      </c>
      <c r="AU337" s="363">
        <v>0</v>
      </c>
      <c r="AV337" s="363">
        <v>0</v>
      </c>
      <c r="AW337" s="363">
        <v>0</v>
      </c>
      <c r="AX337" s="363">
        <v>0</v>
      </c>
      <c r="AY337" s="363">
        <v>0</v>
      </c>
      <c r="AZ337" s="363">
        <v>0</v>
      </c>
      <c r="BA337" s="363">
        <v>0</v>
      </c>
      <c r="BB337" s="363">
        <v>0</v>
      </c>
      <c r="BC337" s="363">
        <v>0</v>
      </c>
      <c r="BD337" s="363">
        <v>0</v>
      </c>
      <c r="BE337" s="363">
        <v>0</v>
      </c>
      <c r="BF337" s="363">
        <v>0</v>
      </c>
      <c r="BG337" s="363">
        <v>0</v>
      </c>
      <c r="BH337" s="363">
        <v>0</v>
      </c>
      <c r="BI337" s="363">
        <v>0</v>
      </c>
      <c r="BJ337" s="363">
        <v>0</v>
      </c>
      <c r="BK337" s="363">
        <v>0</v>
      </c>
      <c r="BL337" s="363">
        <v>0</v>
      </c>
      <c r="BM337" s="363">
        <v>0</v>
      </c>
      <c r="BN337" s="363">
        <v>0</v>
      </c>
      <c r="BO337" s="363">
        <v>0</v>
      </c>
      <c r="BP337" s="363">
        <v>0</v>
      </c>
      <c r="BQ337" s="363">
        <v>0</v>
      </c>
      <c r="BR337" s="363">
        <v>0</v>
      </c>
      <c r="BS337" s="363">
        <v>0</v>
      </c>
      <c r="BT337" s="363">
        <v>0</v>
      </c>
      <c r="BU337" s="363">
        <v>0</v>
      </c>
      <c r="BV337" s="363">
        <v>0</v>
      </c>
      <c r="BW337" s="363">
        <v>0</v>
      </c>
      <c r="BX337" s="363">
        <v>0</v>
      </c>
      <c r="BY337" s="363">
        <v>0</v>
      </c>
      <c r="BZ337" s="363">
        <v>0</v>
      </c>
      <c r="CA337" s="363">
        <v>0</v>
      </c>
      <c r="CB337" s="363">
        <v>0</v>
      </c>
      <c r="CC337" s="363">
        <v>0</v>
      </c>
    </row>
    <row r="338" spans="1:81" s="32" customFormat="1" ht="20.25" customHeight="1" thickBot="1" x14ac:dyDescent="0.25">
      <c r="A338" s="185"/>
      <c r="B338" s="184">
        <f ca="1">INDIRECT("B" &amp; (157 + ROWS($A$1:A7)))</f>
        <v>0</v>
      </c>
      <c r="D338" s="363"/>
      <c r="E338"/>
      <c r="F338" s="100">
        <f t="shared" si="74"/>
        <v>0</v>
      </c>
      <c r="G338" s="87"/>
      <c r="H338" s="100" t="str">
        <f t="shared" si="73"/>
        <v>Completo</v>
      </c>
      <c r="I338"/>
      <c r="J338" s="363">
        <v>0</v>
      </c>
      <c r="K338" s="363">
        <v>0</v>
      </c>
      <c r="L338" s="363">
        <v>0</v>
      </c>
      <c r="M338" s="363">
        <v>0</v>
      </c>
      <c r="N338" s="363">
        <v>0</v>
      </c>
      <c r="O338" s="363">
        <v>0</v>
      </c>
      <c r="P338" s="363">
        <v>0</v>
      </c>
      <c r="Q338" s="363">
        <v>0</v>
      </c>
      <c r="R338" s="363">
        <v>0</v>
      </c>
      <c r="S338" s="363">
        <v>0</v>
      </c>
      <c r="T338" s="363">
        <v>0</v>
      </c>
      <c r="U338" s="363">
        <v>0</v>
      </c>
      <c r="V338" s="363">
        <v>0</v>
      </c>
      <c r="W338" s="363">
        <v>0</v>
      </c>
      <c r="X338" s="363">
        <v>0</v>
      </c>
      <c r="Y338" s="363">
        <v>0</v>
      </c>
      <c r="Z338" s="363">
        <v>0</v>
      </c>
      <c r="AA338" s="363">
        <v>0</v>
      </c>
      <c r="AB338" s="363">
        <v>0</v>
      </c>
      <c r="AC338" s="363">
        <v>0</v>
      </c>
      <c r="AD338" s="363">
        <v>0</v>
      </c>
      <c r="AE338" s="363">
        <v>0</v>
      </c>
      <c r="AF338" s="363">
        <v>0</v>
      </c>
      <c r="AG338" s="363">
        <v>0</v>
      </c>
      <c r="AH338" s="363">
        <v>0</v>
      </c>
      <c r="AI338" s="363">
        <v>0</v>
      </c>
      <c r="AJ338" s="363">
        <v>0</v>
      </c>
      <c r="AK338" s="363">
        <v>0</v>
      </c>
      <c r="AL338" s="363">
        <v>0</v>
      </c>
      <c r="AM338" s="363">
        <v>0</v>
      </c>
      <c r="AN338" s="363">
        <v>0</v>
      </c>
      <c r="AO338" s="363">
        <v>0</v>
      </c>
      <c r="AP338" s="363">
        <v>0</v>
      </c>
      <c r="AQ338" s="363">
        <v>0</v>
      </c>
      <c r="AR338" s="363">
        <v>0</v>
      </c>
      <c r="AS338" s="363">
        <v>0</v>
      </c>
      <c r="AT338" s="363">
        <v>0</v>
      </c>
      <c r="AU338" s="363">
        <v>0</v>
      </c>
      <c r="AV338" s="363">
        <v>0</v>
      </c>
      <c r="AW338" s="363">
        <v>0</v>
      </c>
      <c r="AX338" s="363">
        <v>0</v>
      </c>
      <c r="AY338" s="363">
        <v>0</v>
      </c>
      <c r="AZ338" s="363">
        <v>0</v>
      </c>
      <c r="BA338" s="363">
        <v>0</v>
      </c>
      <c r="BB338" s="363">
        <v>0</v>
      </c>
      <c r="BC338" s="363">
        <v>0</v>
      </c>
      <c r="BD338" s="363">
        <v>0</v>
      </c>
      <c r="BE338" s="363">
        <v>0</v>
      </c>
      <c r="BF338" s="363">
        <v>0</v>
      </c>
      <c r="BG338" s="363">
        <v>0</v>
      </c>
      <c r="BH338" s="363">
        <v>0</v>
      </c>
      <c r="BI338" s="363">
        <v>0</v>
      </c>
      <c r="BJ338" s="363">
        <v>0</v>
      </c>
      <c r="BK338" s="363">
        <v>0</v>
      </c>
      <c r="BL338" s="363">
        <v>0</v>
      </c>
      <c r="BM338" s="363">
        <v>0</v>
      </c>
      <c r="BN338" s="363">
        <v>0</v>
      </c>
      <c r="BO338" s="363">
        <v>0</v>
      </c>
      <c r="BP338" s="363">
        <v>0</v>
      </c>
      <c r="BQ338" s="363">
        <v>0</v>
      </c>
      <c r="BR338" s="363">
        <v>0</v>
      </c>
      <c r="BS338" s="363">
        <v>0</v>
      </c>
      <c r="BT338" s="363">
        <v>0</v>
      </c>
      <c r="BU338" s="363">
        <v>0</v>
      </c>
      <c r="BV338" s="363">
        <v>0</v>
      </c>
      <c r="BW338" s="363">
        <v>0</v>
      </c>
      <c r="BX338" s="363">
        <v>0</v>
      </c>
      <c r="BY338" s="363">
        <v>0</v>
      </c>
      <c r="BZ338" s="363">
        <v>0</v>
      </c>
      <c r="CA338" s="363">
        <v>0</v>
      </c>
      <c r="CB338" s="363">
        <v>0</v>
      </c>
      <c r="CC338" s="363">
        <v>0</v>
      </c>
    </row>
    <row r="339" spans="1:81" s="32" customFormat="1" ht="20.25" customHeight="1" thickBot="1" x14ac:dyDescent="0.25">
      <c r="A339" s="185"/>
      <c r="B339" s="184">
        <f ca="1">INDIRECT("B" &amp; (157 + ROWS($A$1:A8)))</f>
        <v>0</v>
      </c>
      <c r="D339" s="363"/>
      <c r="E339"/>
      <c r="F339" s="100">
        <f t="shared" si="74"/>
        <v>0</v>
      </c>
      <c r="G339" s="87"/>
      <c r="H339" s="100" t="str">
        <f t="shared" si="73"/>
        <v>Completo</v>
      </c>
      <c r="I339"/>
      <c r="J339" s="363">
        <v>0</v>
      </c>
      <c r="K339" s="363">
        <v>0</v>
      </c>
      <c r="L339" s="363">
        <v>0</v>
      </c>
      <c r="M339" s="363">
        <v>0</v>
      </c>
      <c r="N339" s="363">
        <v>0</v>
      </c>
      <c r="O339" s="363">
        <v>0</v>
      </c>
      <c r="P339" s="363">
        <v>0</v>
      </c>
      <c r="Q339" s="363">
        <v>0</v>
      </c>
      <c r="R339" s="363">
        <v>0</v>
      </c>
      <c r="S339" s="363">
        <v>0</v>
      </c>
      <c r="T339" s="363">
        <v>0</v>
      </c>
      <c r="U339" s="363">
        <v>0</v>
      </c>
      <c r="V339" s="363">
        <v>0</v>
      </c>
      <c r="W339" s="363">
        <v>0</v>
      </c>
      <c r="X339" s="363">
        <v>0</v>
      </c>
      <c r="Y339" s="363">
        <v>0</v>
      </c>
      <c r="Z339" s="363">
        <v>0</v>
      </c>
      <c r="AA339" s="363">
        <v>0</v>
      </c>
      <c r="AB339" s="363">
        <v>0</v>
      </c>
      <c r="AC339" s="363">
        <v>0</v>
      </c>
      <c r="AD339" s="363">
        <v>0</v>
      </c>
      <c r="AE339" s="363">
        <v>0</v>
      </c>
      <c r="AF339" s="363">
        <v>0</v>
      </c>
      <c r="AG339" s="363">
        <v>0</v>
      </c>
      <c r="AH339" s="363">
        <v>0</v>
      </c>
      <c r="AI339" s="363">
        <v>0</v>
      </c>
      <c r="AJ339" s="363">
        <v>0</v>
      </c>
      <c r="AK339" s="363">
        <v>0</v>
      </c>
      <c r="AL339" s="363">
        <v>0</v>
      </c>
      <c r="AM339" s="363">
        <v>0</v>
      </c>
      <c r="AN339" s="363">
        <v>0</v>
      </c>
      <c r="AO339" s="363">
        <v>0</v>
      </c>
      <c r="AP339" s="363">
        <v>0</v>
      </c>
      <c r="AQ339" s="363">
        <v>0</v>
      </c>
      <c r="AR339" s="363">
        <v>0</v>
      </c>
      <c r="AS339" s="363">
        <v>0</v>
      </c>
      <c r="AT339" s="363">
        <v>0</v>
      </c>
      <c r="AU339" s="363">
        <v>0</v>
      </c>
      <c r="AV339" s="363">
        <v>0</v>
      </c>
      <c r="AW339" s="363">
        <v>0</v>
      </c>
      <c r="AX339" s="363">
        <v>0</v>
      </c>
      <c r="AY339" s="363">
        <v>0</v>
      </c>
      <c r="AZ339" s="363">
        <v>0</v>
      </c>
      <c r="BA339" s="363">
        <v>0</v>
      </c>
      <c r="BB339" s="363">
        <v>0</v>
      </c>
      <c r="BC339" s="363">
        <v>0</v>
      </c>
      <c r="BD339" s="363">
        <v>0</v>
      </c>
      <c r="BE339" s="363">
        <v>0</v>
      </c>
      <c r="BF339" s="363">
        <v>0</v>
      </c>
      <c r="BG339" s="363">
        <v>0</v>
      </c>
      <c r="BH339" s="363">
        <v>0</v>
      </c>
      <c r="BI339" s="363">
        <v>0</v>
      </c>
      <c r="BJ339" s="363">
        <v>0</v>
      </c>
      <c r="BK339" s="363">
        <v>0</v>
      </c>
      <c r="BL339" s="363">
        <v>0</v>
      </c>
      <c r="BM339" s="363">
        <v>0</v>
      </c>
      <c r="BN339" s="363">
        <v>0</v>
      </c>
      <c r="BO339" s="363">
        <v>0</v>
      </c>
      <c r="BP339" s="363">
        <v>0</v>
      </c>
      <c r="BQ339" s="363">
        <v>0</v>
      </c>
      <c r="BR339" s="363">
        <v>0</v>
      </c>
      <c r="BS339" s="363">
        <v>0</v>
      </c>
      <c r="BT339" s="363">
        <v>0</v>
      </c>
      <c r="BU339" s="363">
        <v>0</v>
      </c>
      <c r="BV339" s="363">
        <v>0</v>
      </c>
      <c r="BW339" s="363">
        <v>0</v>
      </c>
      <c r="BX339" s="363">
        <v>0</v>
      </c>
      <c r="BY339" s="363">
        <v>0</v>
      </c>
      <c r="BZ339" s="363">
        <v>0</v>
      </c>
      <c r="CA339" s="363">
        <v>0</v>
      </c>
      <c r="CB339" s="363">
        <v>0</v>
      </c>
      <c r="CC339" s="363">
        <v>0</v>
      </c>
    </row>
    <row r="340" spans="1:81" s="32" customFormat="1" ht="20.25" customHeight="1" thickBot="1" x14ac:dyDescent="0.25">
      <c r="A340" s="185"/>
      <c r="B340" s="184">
        <f ca="1">INDIRECT("B" &amp; (157 + ROWS($A$1:A9)))</f>
        <v>0</v>
      </c>
      <c r="D340" s="363"/>
      <c r="E340"/>
      <c r="F340" s="100">
        <f t="shared" si="74"/>
        <v>0</v>
      </c>
      <c r="G340" s="87"/>
      <c r="H340" s="100" t="str">
        <f t="shared" si="73"/>
        <v>Completo</v>
      </c>
      <c r="I340"/>
      <c r="J340" s="363">
        <v>0</v>
      </c>
      <c r="K340" s="363">
        <v>0</v>
      </c>
      <c r="L340" s="363">
        <v>0</v>
      </c>
      <c r="M340" s="363">
        <v>0</v>
      </c>
      <c r="N340" s="363">
        <v>0</v>
      </c>
      <c r="O340" s="363">
        <v>0</v>
      </c>
      <c r="P340" s="363">
        <v>0</v>
      </c>
      <c r="Q340" s="363">
        <v>0</v>
      </c>
      <c r="R340" s="363">
        <v>0</v>
      </c>
      <c r="S340" s="363">
        <v>0</v>
      </c>
      <c r="T340" s="363">
        <v>0</v>
      </c>
      <c r="U340" s="363">
        <v>0</v>
      </c>
      <c r="V340" s="363">
        <v>0</v>
      </c>
      <c r="W340" s="363">
        <v>0</v>
      </c>
      <c r="X340" s="363">
        <v>0</v>
      </c>
      <c r="Y340" s="363">
        <v>0</v>
      </c>
      <c r="Z340" s="363">
        <v>0</v>
      </c>
      <c r="AA340" s="363">
        <v>0</v>
      </c>
      <c r="AB340" s="363">
        <v>0</v>
      </c>
      <c r="AC340" s="363">
        <v>0</v>
      </c>
      <c r="AD340" s="363">
        <v>0</v>
      </c>
      <c r="AE340" s="363">
        <v>0</v>
      </c>
      <c r="AF340" s="363">
        <v>0</v>
      </c>
      <c r="AG340" s="363">
        <v>0</v>
      </c>
      <c r="AH340" s="363">
        <v>0</v>
      </c>
      <c r="AI340" s="363">
        <v>0</v>
      </c>
      <c r="AJ340" s="363">
        <v>0</v>
      </c>
      <c r="AK340" s="363">
        <v>0</v>
      </c>
      <c r="AL340" s="363">
        <v>0</v>
      </c>
      <c r="AM340" s="363">
        <v>0</v>
      </c>
      <c r="AN340" s="363">
        <v>0</v>
      </c>
      <c r="AO340" s="363">
        <v>0</v>
      </c>
      <c r="AP340" s="363">
        <v>0</v>
      </c>
      <c r="AQ340" s="363">
        <v>0</v>
      </c>
      <c r="AR340" s="363">
        <v>0</v>
      </c>
      <c r="AS340" s="363">
        <v>0</v>
      </c>
      <c r="AT340" s="363">
        <v>0</v>
      </c>
      <c r="AU340" s="363">
        <v>0</v>
      </c>
      <c r="AV340" s="363">
        <v>0</v>
      </c>
      <c r="AW340" s="363">
        <v>0</v>
      </c>
      <c r="AX340" s="363">
        <v>0</v>
      </c>
      <c r="AY340" s="363">
        <v>0</v>
      </c>
      <c r="AZ340" s="363">
        <v>0</v>
      </c>
      <c r="BA340" s="363">
        <v>0</v>
      </c>
      <c r="BB340" s="363">
        <v>0</v>
      </c>
      <c r="BC340" s="363">
        <v>0</v>
      </c>
      <c r="BD340" s="363">
        <v>0</v>
      </c>
      <c r="BE340" s="363">
        <v>0</v>
      </c>
      <c r="BF340" s="363">
        <v>0</v>
      </c>
      <c r="BG340" s="363">
        <v>0</v>
      </c>
      <c r="BH340" s="363">
        <v>0</v>
      </c>
      <c r="BI340" s="363">
        <v>0</v>
      </c>
      <c r="BJ340" s="363">
        <v>0</v>
      </c>
      <c r="BK340" s="363">
        <v>0</v>
      </c>
      <c r="BL340" s="363">
        <v>0</v>
      </c>
      <c r="BM340" s="363">
        <v>0</v>
      </c>
      <c r="BN340" s="363">
        <v>0</v>
      </c>
      <c r="BO340" s="363">
        <v>0</v>
      </c>
      <c r="BP340" s="363">
        <v>0</v>
      </c>
      <c r="BQ340" s="363">
        <v>0</v>
      </c>
      <c r="BR340" s="363">
        <v>0</v>
      </c>
      <c r="BS340" s="363">
        <v>0</v>
      </c>
      <c r="BT340" s="363">
        <v>0</v>
      </c>
      <c r="BU340" s="363">
        <v>0</v>
      </c>
      <c r="BV340" s="363">
        <v>0</v>
      </c>
      <c r="BW340" s="363">
        <v>0</v>
      </c>
      <c r="BX340" s="363">
        <v>0</v>
      </c>
      <c r="BY340" s="363">
        <v>0</v>
      </c>
      <c r="BZ340" s="363">
        <v>0</v>
      </c>
      <c r="CA340" s="363">
        <v>0</v>
      </c>
      <c r="CB340" s="363">
        <v>0</v>
      </c>
      <c r="CC340" s="363">
        <v>0</v>
      </c>
    </row>
    <row r="341" spans="1:81" s="32" customFormat="1" ht="20.25" customHeight="1" thickBot="1" x14ac:dyDescent="0.25">
      <c r="A341" s="185"/>
      <c r="B341" s="184">
        <f ca="1">INDIRECT("B" &amp; (157 + ROWS($A$1:A10)))</f>
        <v>0</v>
      </c>
      <c r="D341" s="363"/>
      <c r="E341"/>
      <c r="F341" s="100">
        <f t="shared" si="74"/>
        <v>0</v>
      </c>
      <c r="G341" s="87"/>
      <c r="H341" s="100" t="str">
        <f t="shared" si="73"/>
        <v>Completo</v>
      </c>
      <c r="I341"/>
      <c r="J341" s="363">
        <v>0</v>
      </c>
      <c r="K341" s="363">
        <v>0</v>
      </c>
      <c r="L341" s="363">
        <v>0</v>
      </c>
      <c r="M341" s="363">
        <v>0</v>
      </c>
      <c r="N341" s="363">
        <v>0</v>
      </c>
      <c r="O341" s="363">
        <v>0</v>
      </c>
      <c r="P341" s="363">
        <v>0</v>
      </c>
      <c r="Q341" s="363">
        <v>0</v>
      </c>
      <c r="R341" s="363">
        <v>0</v>
      </c>
      <c r="S341" s="363">
        <v>0</v>
      </c>
      <c r="T341" s="363">
        <v>0</v>
      </c>
      <c r="U341" s="363">
        <v>0</v>
      </c>
      <c r="V341" s="363">
        <v>0</v>
      </c>
      <c r="W341" s="363">
        <v>0</v>
      </c>
      <c r="X341" s="363">
        <v>0</v>
      </c>
      <c r="Y341" s="363">
        <v>0</v>
      </c>
      <c r="Z341" s="363">
        <v>0</v>
      </c>
      <c r="AA341" s="363">
        <v>0</v>
      </c>
      <c r="AB341" s="363">
        <v>0</v>
      </c>
      <c r="AC341" s="363">
        <v>0</v>
      </c>
      <c r="AD341" s="363">
        <v>0</v>
      </c>
      <c r="AE341" s="363">
        <v>0</v>
      </c>
      <c r="AF341" s="363">
        <v>0</v>
      </c>
      <c r="AG341" s="363">
        <v>0</v>
      </c>
      <c r="AH341" s="363">
        <v>0</v>
      </c>
      <c r="AI341" s="363">
        <v>0</v>
      </c>
      <c r="AJ341" s="363">
        <v>0</v>
      </c>
      <c r="AK341" s="363">
        <v>0</v>
      </c>
      <c r="AL341" s="363">
        <v>0</v>
      </c>
      <c r="AM341" s="363">
        <v>0</v>
      </c>
      <c r="AN341" s="363">
        <v>0</v>
      </c>
      <c r="AO341" s="363">
        <v>0</v>
      </c>
      <c r="AP341" s="363">
        <v>0</v>
      </c>
      <c r="AQ341" s="363">
        <v>0</v>
      </c>
      <c r="AR341" s="363">
        <v>0</v>
      </c>
      <c r="AS341" s="363">
        <v>0</v>
      </c>
      <c r="AT341" s="363">
        <v>0</v>
      </c>
      <c r="AU341" s="363">
        <v>0</v>
      </c>
      <c r="AV341" s="363">
        <v>0</v>
      </c>
      <c r="AW341" s="363">
        <v>0</v>
      </c>
      <c r="AX341" s="363">
        <v>0</v>
      </c>
      <c r="AY341" s="363">
        <v>0</v>
      </c>
      <c r="AZ341" s="363">
        <v>0</v>
      </c>
      <c r="BA341" s="363">
        <v>0</v>
      </c>
      <c r="BB341" s="363">
        <v>0</v>
      </c>
      <c r="BC341" s="363">
        <v>0</v>
      </c>
      <c r="BD341" s="363">
        <v>0</v>
      </c>
      <c r="BE341" s="363">
        <v>0</v>
      </c>
      <c r="BF341" s="363">
        <v>0</v>
      </c>
      <c r="BG341" s="363">
        <v>0</v>
      </c>
      <c r="BH341" s="363">
        <v>0</v>
      </c>
      <c r="BI341" s="363">
        <v>0</v>
      </c>
      <c r="BJ341" s="363">
        <v>0</v>
      </c>
      <c r="BK341" s="363">
        <v>0</v>
      </c>
      <c r="BL341" s="363">
        <v>0</v>
      </c>
      <c r="BM341" s="363">
        <v>0</v>
      </c>
      <c r="BN341" s="363">
        <v>0</v>
      </c>
      <c r="BO341" s="363">
        <v>0</v>
      </c>
      <c r="BP341" s="363">
        <v>0</v>
      </c>
      <c r="BQ341" s="363">
        <v>0</v>
      </c>
      <c r="BR341" s="363">
        <v>0</v>
      </c>
      <c r="BS341" s="363">
        <v>0</v>
      </c>
      <c r="BT341" s="363">
        <v>0</v>
      </c>
      <c r="BU341" s="363">
        <v>0</v>
      </c>
      <c r="BV341" s="363">
        <v>0</v>
      </c>
      <c r="BW341" s="363">
        <v>0</v>
      </c>
      <c r="BX341" s="363">
        <v>0</v>
      </c>
      <c r="BY341" s="363">
        <v>0</v>
      </c>
      <c r="BZ341" s="363">
        <v>0</v>
      </c>
      <c r="CA341" s="363">
        <v>0</v>
      </c>
      <c r="CB341" s="363">
        <v>0</v>
      </c>
      <c r="CC341" s="363">
        <v>0</v>
      </c>
    </row>
    <row r="342" spans="1:81" s="32" customFormat="1" ht="20.25" customHeight="1" thickBot="1" x14ac:dyDescent="0.25">
      <c r="A342" s="185"/>
      <c r="B342" s="184">
        <f ca="1">INDIRECT("B" &amp; (157 + ROWS($A$1:A11)))</f>
        <v>0</v>
      </c>
      <c r="D342" s="363"/>
      <c r="E342"/>
      <c r="F342" s="100">
        <f t="shared" si="74"/>
        <v>0</v>
      </c>
      <c r="G342" s="87"/>
      <c r="H342" s="100" t="str">
        <f t="shared" si="73"/>
        <v>Completo</v>
      </c>
      <c r="I342"/>
      <c r="J342" s="363">
        <v>0</v>
      </c>
      <c r="K342" s="363">
        <v>0</v>
      </c>
      <c r="L342" s="363">
        <v>0</v>
      </c>
      <c r="M342" s="363">
        <v>0</v>
      </c>
      <c r="N342" s="363">
        <v>0</v>
      </c>
      <c r="O342" s="363">
        <v>0</v>
      </c>
      <c r="P342" s="363">
        <v>0</v>
      </c>
      <c r="Q342" s="363">
        <v>0</v>
      </c>
      <c r="R342" s="363">
        <v>0</v>
      </c>
      <c r="S342" s="363">
        <v>0</v>
      </c>
      <c r="T342" s="363">
        <v>0</v>
      </c>
      <c r="U342" s="363">
        <v>0</v>
      </c>
      <c r="V342" s="363">
        <v>0</v>
      </c>
      <c r="W342" s="363">
        <v>0</v>
      </c>
      <c r="X342" s="363">
        <v>0</v>
      </c>
      <c r="Y342" s="363">
        <v>0</v>
      </c>
      <c r="Z342" s="363">
        <v>0</v>
      </c>
      <c r="AA342" s="363">
        <v>0</v>
      </c>
      <c r="AB342" s="363">
        <v>0</v>
      </c>
      <c r="AC342" s="363">
        <v>0</v>
      </c>
      <c r="AD342" s="363">
        <v>0</v>
      </c>
      <c r="AE342" s="363">
        <v>0</v>
      </c>
      <c r="AF342" s="363">
        <v>0</v>
      </c>
      <c r="AG342" s="363">
        <v>0</v>
      </c>
      <c r="AH342" s="363">
        <v>0</v>
      </c>
      <c r="AI342" s="363">
        <v>0</v>
      </c>
      <c r="AJ342" s="363">
        <v>0</v>
      </c>
      <c r="AK342" s="363">
        <v>0</v>
      </c>
      <c r="AL342" s="363">
        <v>0</v>
      </c>
      <c r="AM342" s="363">
        <v>0</v>
      </c>
      <c r="AN342" s="363">
        <v>0</v>
      </c>
      <c r="AO342" s="363">
        <v>0</v>
      </c>
      <c r="AP342" s="363">
        <v>0</v>
      </c>
      <c r="AQ342" s="363">
        <v>0</v>
      </c>
      <c r="AR342" s="363">
        <v>0</v>
      </c>
      <c r="AS342" s="363">
        <v>0</v>
      </c>
      <c r="AT342" s="363">
        <v>0</v>
      </c>
      <c r="AU342" s="363">
        <v>0</v>
      </c>
      <c r="AV342" s="363">
        <v>0</v>
      </c>
      <c r="AW342" s="363">
        <v>0</v>
      </c>
      <c r="AX342" s="363">
        <v>0</v>
      </c>
      <c r="AY342" s="363">
        <v>0</v>
      </c>
      <c r="AZ342" s="363">
        <v>0</v>
      </c>
      <c r="BA342" s="363">
        <v>0</v>
      </c>
      <c r="BB342" s="363">
        <v>0</v>
      </c>
      <c r="BC342" s="363">
        <v>0</v>
      </c>
      <c r="BD342" s="363">
        <v>0</v>
      </c>
      <c r="BE342" s="363">
        <v>0</v>
      </c>
      <c r="BF342" s="363">
        <v>0</v>
      </c>
      <c r="BG342" s="363">
        <v>0</v>
      </c>
      <c r="BH342" s="363">
        <v>0</v>
      </c>
      <c r="BI342" s="363">
        <v>0</v>
      </c>
      <c r="BJ342" s="363">
        <v>0</v>
      </c>
      <c r="BK342" s="363">
        <v>0</v>
      </c>
      <c r="BL342" s="363">
        <v>0</v>
      </c>
      <c r="BM342" s="363">
        <v>0</v>
      </c>
      <c r="BN342" s="363">
        <v>0</v>
      </c>
      <c r="BO342" s="363">
        <v>0</v>
      </c>
      <c r="BP342" s="363">
        <v>0</v>
      </c>
      <c r="BQ342" s="363">
        <v>0</v>
      </c>
      <c r="BR342" s="363">
        <v>0</v>
      </c>
      <c r="BS342" s="363">
        <v>0</v>
      </c>
      <c r="BT342" s="363">
        <v>0</v>
      </c>
      <c r="BU342" s="363">
        <v>0</v>
      </c>
      <c r="BV342" s="363">
        <v>0</v>
      </c>
      <c r="BW342" s="363">
        <v>0</v>
      </c>
      <c r="BX342" s="363">
        <v>0</v>
      </c>
      <c r="BY342" s="363">
        <v>0</v>
      </c>
      <c r="BZ342" s="363">
        <v>0</v>
      </c>
      <c r="CA342" s="363">
        <v>0</v>
      </c>
      <c r="CB342" s="363">
        <v>0</v>
      </c>
      <c r="CC342" s="363">
        <v>0</v>
      </c>
    </row>
    <row r="343" spans="1:81" s="32" customFormat="1" ht="20.25" customHeight="1" thickBot="1" x14ac:dyDescent="0.25">
      <c r="A343" s="185"/>
      <c r="B343" s="184">
        <f ca="1">INDIRECT("B" &amp; (157 + ROWS($A$1:A12)))</f>
        <v>0</v>
      </c>
      <c r="D343" s="363"/>
      <c r="E343"/>
      <c r="F343" s="100">
        <f t="shared" si="74"/>
        <v>0</v>
      </c>
      <c r="G343" s="87"/>
      <c r="H343" s="100" t="str">
        <f t="shared" si="73"/>
        <v>Completo</v>
      </c>
      <c r="I343"/>
      <c r="J343" s="363">
        <v>0</v>
      </c>
      <c r="K343" s="363">
        <v>0</v>
      </c>
      <c r="L343" s="363">
        <v>0</v>
      </c>
      <c r="M343" s="363">
        <v>0</v>
      </c>
      <c r="N343" s="363">
        <v>0</v>
      </c>
      <c r="O343" s="363">
        <v>0</v>
      </c>
      <c r="P343" s="363">
        <v>0</v>
      </c>
      <c r="Q343" s="363">
        <v>0</v>
      </c>
      <c r="R343" s="363">
        <v>0</v>
      </c>
      <c r="S343" s="363">
        <v>0</v>
      </c>
      <c r="T343" s="363">
        <v>0</v>
      </c>
      <c r="U343" s="363">
        <v>0</v>
      </c>
      <c r="V343" s="363">
        <v>0</v>
      </c>
      <c r="W343" s="363">
        <v>0</v>
      </c>
      <c r="X343" s="363">
        <v>0</v>
      </c>
      <c r="Y343" s="363">
        <v>0</v>
      </c>
      <c r="Z343" s="363">
        <v>0</v>
      </c>
      <c r="AA343" s="363">
        <v>0</v>
      </c>
      <c r="AB343" s="363">
        <v>0</v>
      </c>
      <c r="AC343" s="363">
        <v>0</v>
      </c>
      <c r="AD343" s="363">
        <v>0</v>
      </c>
      <c r="AE343" s="363">
        <v>0</v>
      </c>
      <c r="AF343" s="363">
        <v>0</v>
      </c>
      <c r="AG343" s="363">
        <v>0</v>
      </c>
      <c r="AH343" s="363">
        <v>0</v>
      </c>
      <c r="AI343" s="363">
        <v>0</v>
      </c>
      <c r="AJ343" s="363">
        <v>0</v>
      </c>
      <c r="AK343" s="363">
        <v>0</v>
      </c>
      <c r="AL343" s="363">
        <v>0</v>
      </c>
      <c r="AM343" s="363">
        <v>0</v>
      </c>
      <c r="AN343" s="363">
        <v>0</v>
      </c>
      <c r="AO343" s="363">
        <v>0</v>
      </c>
      <c r="AP343" s="363">
        <v>0</v>
      </c>
      <c r="AQ343" s="363">
        <v>0</v>
      </c>
      <c r="AR343" s="363">
        <v>0</v>
      </c>
      <c r="AS343" s="363">
        <v>0</v>
      </c>
      <c r="AT343" s="363">
        <v>0</v>
      </c>
      <c r="AU343" s="363">
        <v>0</v>
      </c>
      <c r="AV343" s="363">
        <v>0</v>
      </c>
      <c r="AW343" s="363">
        <v>0</v>
      </c>
      <c r="AX343" s="363">
        <v>0</v>
      </c>
      <c r="AY343" s="363">
        <v>0</v>
      </c>
      <c r="AZ343" s="363">
        <v>0</v>
      </c>
      <c r="BA343" s="363">
        <v>0</v>
      </c>
      <c r="BB343" s="363">
        <v>0</v>
      </c>
      <c r="BC343" s="363">
        <v>0</v>
      </c>
      <c r="BD343" s="363">
        <v>0</v>
      </c>
      <c r="BE343" s="363">
        <v>0</v>
      </c>
      <c r="BF343" s="363">
        <v>0</v>
      </c>
      <c r="BG343" s="363">
        <v>0</v>
      </c>
      <c r="BH343" s="363">
        <v>0</v>
      </c>
      <c r="BI343" s="363">
        <v>0</v>
      </c>
      <c r="BJ343" s="363">
        <v>0</v>
      </c>
      <c r="BK343" s="363">
        <v>0</v>
      </c>
      <c r="BL343" s="363">
        <v>0</v>
      </c>
      <c r="BM343" s="363">
        <v>0</v>
      </c>
      <c r="BN343" s="363">
        <v>0</v>
      </c>
      <c r="BO343" s="363">
        <v>0</v>
      </c>
      <c r="BP343" s="363">
        <v>0</v>
      </c>
      <c r="BQ343" s="363">
        <v>0</v>
      </c>
      <c r="BR343" s="363">
        <v>0</v>
      </c>
      <c r="BS343" s="363">
        <v>0</v>
      </c>
      <c r="BT343" s="363">
        <v>0</v>
      </c>
      <c r="BU343" s="363">
        <v>0</v>
      </c>
      <c r="BV343" s="363">
        <v>0</v>
      </c>
      <c r="BW343" s="363">
        <v>0</v>
      </c>
      <c r="BX343" s="363">
        <v>0</v>
      </c>
      <c r="BY343" s="363">
        <v>0</v>
      </c>
      <c r="BZ343" s="363">
        <v>0</v>
      </c>
      <c r="CA343" s="363">
        <v>0</v>
      </c>
      <c r="CB343" s="363">
        <v>0</v>
      </c>
      <c r="CC343" s="363">
        <v>0</v>
      </c>
    </row>
    <row r="344" spans="1:81" s="32" customFormat="1" ht="20.25" customHeight="1" thickBot="1" x14ac:dyDescent="0.25">
      <c r="A344" s="185"/>
      <c r="B344" s="184">
        <f ca="1">INDIRECT("B" &amp; (157 + ROWS($A$1:A13)))</f>
        <v>0</v>
      </c>
      <c r="D344" s="363"/>
      <c r="E344"/>
      <c r="F344" s="100">
        <f t="shared" si="74"/>
        <v>0</v>
      </c>
      <c r="G344" s="87"/>
      <c r="H344" s="100" t="str">
        <f t="shared" si="73"/>
        <v>Completo</v>
      </c>
      <c r="I344"/>
      <c r="J344" s="363">
        <v>0</v>
      </c>
      <c r="K344" s="363">
        <v>0</v>
      </c>
      <c r="L344" s="363">
        <v>0</v>
      </c>
      <c r="M344" s="363">
        <v>0</v>
      </c>
      <c r="N344" s="363">
        <v>0</v>
      </c>
      <c r="O344" s="363">
        <v>0</v>
      </c>
      <c r="P344" s="363">
        <v>0</v>
      </c>
      <c r="Q344" s="363">
        <v>0</v>
      </c>
      <c r="R344" s="363">
        <v>0</v>
      </c>
      <c r="S344" s="363">
        <v>0</v>
      </c>
      <c r="T344" s="363">
        <v>0</v>
      </c>
      <c r="U344" s="363">
        <v>0</v>
      </c>
      <c r="V344" s="363">
        <v>0</v>
      </c>
      <c r="W344" s="363">
        <v>0</v>
      </c>
      <c r="X344" s="363">
        <v>0</v>
      </c>
      <c r="Y344" s="363">
        <v>0</v>
      </c>
      <c r="Z344" s="363">
        <v>0</v>
      </c>
      <c r="AA344" s="363">
        <v>0</v>
      </c>
      <c r="AB344" s="363">
        <v>0</v>
      </c>
      <c r="AC344" s="363">
        <v>0</v>
      </c>
      <c r="AD344" s="363">
        <v>0</v>
      </c>
      <c r="AE344" s="363">
        <v>0</v>
      </c>
      <c r="AF344" s="363">
        <v>0</v>
      </c>
      <c r="AG344" s="363">
        <v>0</v>
      </c>
      <c r="AH344" s="363">
        <v>0</v>
      </c>
      <c r="AI344" s="363">
        <v>0</v>
      </c>
      <c r="AJ344" s="363">
        <v>0</v>
      </c>
      <c r="AK344" s="363">
        <v>0</v>
      </c>
      <c r="AL344" s="363">
        <v>0</v>
      </c>
      <c r="AM344" s="363">
        <v>0</v>
      </c>
      <c r="AN344" s="363">
        <v>0</v>
      </c>
      <c r="AO344" s="363">
        <v>0</v>
      </c>
      <c r="AP344" s="363">
        <v>0</v>
      </c>
      <c r="AQ344" s="363">
        <v>0</v>
      </c>
      <c r="AR344" s="363">
        <v>0</v>
      </c>
      <c r="AS344" s="363">
        <v>0</v>
      </c>
      <c r="AT344" s="363">
        <v>0</v>
      </c>
      <c r="AU344" s="363">
        <v>0</v>
      </c>
      <c r="AV344" s="363">
        <v>0</v>
      </c>
      <c r="AW344" s="363">
        <v>0</v>
      </c>
      <c r="AX344" s="363">
        <v>0</v>
      </c>
      <c r="AY344" s="363">
        <v>0</v>
      </c>
      <c r="AZ344" s="363">
        <v>0</v>
      </c>
      <c r="BA344" s="363">
        <v>0</v>
      </c>
      <c r="BB344" s="363">
        <v>0</v>
      </c>
      <c r="BC344" s="363">
        <v>0</v>
      </c>
      <c r="BD344" s="363">
        <v>0</v>
      </c>
      <c r="BE344" s="363">
        <v>0</v>
      </c>
      <c r="BF344" s="363">
        <v>0</v>
      </c>
      <c r="BG344" s="363">
        <v>0</v>
      </c>
      <c r="BH344" s="363">
        <v>0</v>
      </c>
      <c r="BI344" s="363">
        <v>0</v>
      </c>
      <c r="BJ344" s="363">
        <v>0</v>
      </c>
      <c r="BK344" s="363">
        <v>0</v>
      </c>
      <c r="BL344" s="363">
        <v>0</v>
      </c>
      <c r="BM344" s="363">
        <v>0</v>
      </c>
      <c r="BN344" s="363">
        <v>0</v>
      </c>
      <c r="BO344" s="363">
        <v>0</v>
      </c>
      <c r="BP344" s="363">
        <v>0</v>
      </c>
      <c r="BQ344" s="363">
        <v>0</v>
      </c>
      <c r="BR344" s="363">
        <v>0</v>
      </c>
      <c r="BS344" s="363">
        <v>0</v>
      </c>
      <c r="BT344" s="363">
        <v>0</v>
      </c>
      <c r="BU344" s="363">
        <v>0</v>
      </c>
      <c r="BV344" s="363">
        <v>0</v>
      </c>
      <c r="BW344" s="363">
        <v>0</v>
      </c>
      <c r="BX344" s="363">
        <v>0</v>
      </c>
      <c r="BY344" s="363">
        <v>0</v>
      </c>
      <c r="BZ344" s="363">
        <v>0</v>
      </c>
      <c r="CA344" s="363">
        <v>0</v>
      </c>
      <c r="CB344" s="363">
        <v>0</v>
      </c>
      <c r="CC344" s="363">
        <v>0</v>
      </c>
    </row>
    <row r="345" spans="1:81" s="32" customFormat="1" ht="20.25" customHeight="1" thickBot="1" x14ac:dyDescent="0.25">
      <c r="A345" s="185"/>
      <c r="B345" s="184">
        <f ca="1">INDIRECT("B" &amp; (157 + ROWS($A$1:A14)))</f>
        <v>0</v>
      </c>
      <c r="D345" s="363"/>
      <c r="E345"/>
      <c r="F345" s="100">
        <f t="shared" si="74"/>
        <v>0</v>
      </c>
      <c r="G345" s="87"/>
      <c r="H345" s="100" t="str">
        <f t="shared" si="73"/>
        <v>Completo</v>
      </c>
      <c r="I345"/>
      <c r="J345" s="363">
        <v>0</v>
      </c>
      <c r="K345" s="363">
        <v>0</v>
      </c>
      <c r="L345" s="363">
        <v>0</v>
      </c>
      <c r="M345" s="363">
        <v>0</v>
      </c>
      <c r="N345" s="363">
        <v>0</v>
      </c>
      <c r="O345" s="363">
        <v>0</v>
      </c>
      <c r="P345" s="363">
        <v>0</v>
      </c>
      <c r="Q345" s="363">
        <v>0</v>
      </c>
      <c r="R345" s="363">
        <v>0</v>
      </c>
      <c r="S345" s="363">
        <v>0</v>
      </c>
      <c r="T345" s="363">
        <v>0</v>
      </c>
      <c r="U345" s="363">
        <v>0</v>
      </c>
      <c r="V345" s="363">
        <v>0</v>
      </c>
      <c r="W345" s="363">
        <v>0</v>
      </c>
      <c r="X345" s="363">
        <v>0</v>
      </c>
      <c r="Y345" s="363">
        <v>0</v>
      </c>
      <c r="Z345" s="363">
        <v>0</v>
      </c>
      <c r="AA345" s="363">
        <v>0</v>
      </c>
      <c r="AB345" s="363">
        <v>0</v>
      </c>
      <c r="AC345" s="363">
        <v>0</v>
      </c>
      <c r="AD345" s="363">
        <v>0</v>
      </c>
      <c r="AE345" s="363">
        <v>0</v>
      </c>
      <c r="AF345" s="363">
        <v>0</v>
      </c>
      <c r="AG345" s="363">
        <v>0</v>
      </c>
      <c r="AH345" s="363">
        <v>0</v>
      </c>
      <c r="AI345" s="363">
        <v>0</v>
      </c>
      <c r="AJ345" s="363">
        <v>0</v>
      </c>
      <c r="AK345" s="363">
        <v>0</v>
      </c>
      <c r="AL345" s="363">
        <v>0</v>
      </c>
      <c r="AM345" s="363">
        <v>0</v>
      </c>
      <c r="AN345" s="363">
        <v>0</v>
      </c>
      <c r="AO345" s="363">
        <v>0</v>
      </c>
      <c r="AP345" s="363">
        <v>0</v>
      </c>
      <c r="AQ345" s="363">
        <v>0</v>
      </c>
      <c r="AR345" s="363">
        <v>0</v>
      </c>
      <c r="AS345" s="363">
        <v>0</v>
      </c>
      <c r="AT345" s="363">
        <v>0</v>
      </c>
      <c r="AU345" s="363">
        <v>0</v>
      </c>
      <c r="AV345" s="363">
        <v>0</v>
      </c>
      <c r="AW345" s="363">
        <v>0</v>
      </c>
      <c r="AX345" s="363">
        <v>0</v>
      </c>
      <c r="AY345" s="363">
        <v>0</v>
      </c>
      <c r="AZ345" s="363">
        <v>0</v>
      </c>
      <c r="BA345" s="363">
        <v>0</v>
      </c>
      <c r="BB345" s="363">
        <v>0</v>
      </c>
      <c r="BC345" s="363">
        <v>0</v>
      </c>
      <c r="BD345" s="363">
        <v>0</v>
      </c>
      <c r="BE345" s="363">
        <v>0</v>
      </c>
      <c r="BF345" s="363">
        <v>0</v>
      </c>
      <c r="BG345" s="363">
        <v>0</v>
      </c>
      <c r="BH345" s="363">
        <v>0</v>
      </c>
      <c r="BI345" s="363">
        <v>0</v>
      </c>
      <c r="BJ345" s="363">
        <v>0</v>
      </c>
      <c r="BK345" s="363">
        <v>0</v>
      </c>
      <c r="BL345" s="363">
        <v>0</v>
      </c>
      <c r="BM345" s="363">
        <v>0</v>
      </c>
      <c r="BN345" s="363">
        <v>0</v>
      </c>
      <c r="BO345" s="363">
        <v>0</v>
      </c>
      <c r="BP345" s="363">
        <v>0</v>
      </c>
      <c r="BQ345" s="363">
        <v>0</v>
      </c>
      <c r="BR345" s="363">
        <v>0</v>
      </c>
      <c r="BS345" s="363">
        <v>0</v>
      </c>
      <c r="BT345" s="363">
        <v>0</v>
      </c>
      <c r="BU345" s="363">
        <v>0</v>
      </c>
      <c r="BV345" s="363">
        <v>0</v>
      </c>
      <c r="BW345" s="363">
        <v>0</v>
      </c>
      <c r="BX345" s="363">
        <v>0</v>
      </c>
      <c r="BY345" s="363">
        <v>0</v>
      </c>
      <c r="BZ345" s="363">
        <v>0</v>
      </c>
      <c r="CA345" s="363">
        <v>0</v>
      </c>
      <c r="CB345" s="363">
        <v>0</v>
      </c>
      <c r="CC345" s="363">
        <v>0</v>
      </c>
    </row>
    <row r="346" spans="1:81" s="32" customFormat="1" ht="20.25" customHeight="1" thickBot="1" x14ac:dyDescent="0.25">
      <c r="A346" s="185"/>
      <c r="B346" s="184">
        <f ca="1">INDIRECT("B" &amp; (157 + ROWS($A$1:A15)))</f>
        <v>0</v>
      </c>
      <c r="D346" s="363"/>
      <c r="E346"/>
      <c r="F346" s="100">
        <f t="shared" si="74"/>
        <v>0</v>
      </c>
      <c r="G346" s="87"/>
      <c r="H346" s="100" t="str">
        <f t="shared" si="73"/>
        <v>Completo</v>
      </c>
      <c r="I346"/>
      <c r="J346" s="363">
        <v>0</v>
      </c>
      <c r="K346" s="363">
        <v>0</v>
      </c>
      <c r="L346" s="363">
        <v>0</v>
      </c>
      <c r="M346" s="363">
        <v>0</v>
      </c>
      <c r="N346" s="363">
        <v>0</v>
      </c>
      <c r="O346" s="363">
        <v>0</v>
      </c>
      <c r="P346" s="363">
        <v>0</v>
      </c>
      <c r="Q346" s="363">
        <v>0</v>
      </c>
      <c r="R346" s="363">
        <v>0</v>
      </c>
      <c r="S346" s="363">
        <v>0</v>
      </c>
      <c r="T346" s="363">
        <v>0</v>
      </c>
      <c r="U346" s="363">
        <v>0</v>
      </c>
      <c r="V346" s="363">
        <v>0</v>
      </c>
      <c r="W346" s="363">
        <v>0</v>
      </c>
      <c r="X346" s="363">
        <v>0</v>
      </c>
      <c r="Y346" s="363">
        <v>0</v>
      </c>
      <c r="Z346" s="363">
        <v>0</v>
      </c>
      <c r="AA346" s="363">
        <v>0</v>
      </c>
      <c r="AB346" s="363">
        <v>0</v>
      </c>
      <c r="AC346" s="363">
        <v>0</v>
      </c>
      <c r="AD346" s="363">
        <v>0</v>
      </c>
      <c r="AE346" s="363">
        <v>0</v>
      </c>
      <c r="AF346" s="363">
        <v>0</v>
      </c>
      <c r="AG346" s="363">
        <v>0</v>
      </c>
      <c r="AH346" s="363">
        <v>0</v>
      </c>
      <c r="AI346" s="363">
        <v>0</v>
      </c>
      <c r="AJ346" s="363">
        <v>0</v>
      </c>
      <c r="AK346" s="363">
        <v>0</v>
      </c>
      <c r="AL346" s="363">
        <v>0</v>
      </c>
      <c r="AM346" s="363">
        <v>0</v>
      </c>
      <c r="AN346" s="363">
        <v>0</v>
      </c>
      <c r="AO346" s="363">
        <v>0</v>
      </c>
      <c r="AP346" s="363">
        <v>0</v>
      </c>
      <c r="AQ346" s="363">
        <v>0</v>
      </c>
      <c r="AR346" s="363">
        <v>0</v>
      </c>
      <c r="AS346" s="363">
        <v>0</v>
      </c>
      <c r="AT346" s="363">
        <v>0</v>
      </c>
      <c r="AU346" s="363">
        <v>0</v>
      </c>
      <c r="AV346" s="363">
        <v>0</v>
      </c>
      <c r="AW346" s="363">
        <v>0</v>
      </c>
      <c r="AX346" s="363">
        <v>0</v>
      </c>
      <c r="AY346" s="363">
        <v>0</v>
      </c>
      <c r="AZ346" s="363">
        <v>0</v>
      </c>
      <c r="BA346" s="363">
        <v>0</v>
      </c>
      <c r="BB346" s="363">
        <v>0</v>
      </c>
      <c r="BC346" s="363">
        <v>0</v>
      </c>
      <c r="BD346" s="363">
        <v>0</v>
      </c>
      <c r="BE346" s="363">
        <v>0</v>
      </c>
      <c r="BF346" s="363">
        <v>0</v>
      </c>
      <c r="BG346" s="363">
        <v>0</v>
      </c>
      <c r="BH346" s="363">
        <v>0</v>
      </c>
      <c r="BI346" s="363">
        <v>0</v>
      </c>
      <c r="BJ346" s="363">
        <v>0</v>
      </c>
      <c r="BK346" s="363">
        <v>0</v>
      </c>
      <c r="BL346" s="363">
        <v>0</v>
      </c>
      <c r="BM346" s="363">
        <v>0</v>
      </c>
      <c r="BN346" s="363">
        <v>0</v>
      </c>
      <c r="BO346" s="363">
        <v>0</v>
      </c>
      <c r="BP346" s="363">
        <v>0</v>
      </c>
      <c r="BQ346" s="363">
        <v>0</v>
      </c>
      <c r="BR346" s="363">
        <v>0</v>
      </c>
      <c r="BS346" s="363">
        <v>0</v>
      </c>
      <c r="BT346" s="363">
        <v>0</v>
      </c>
      <c r="BU346" s="363">
        <v>0</v>
      </c>
      <c r="BV346" s="363">
        <v>0</v>
      </c>
      <c r="BW346" s="363">
        <v>0</v>
      </c>
      <c r="BX346" s="363">
        <v>0</v>
      </c>
      <c r="BY346" s="363">
        <v>0</v>
      </c>
      <c r="BZ346" s="363">
        <v>0</v>
      </c>
      <c r="CA346" s="363">
        <v>0</v>
      </c>
      <c r="CB346" s="363">
        <v>0</v>
      </c>
      <c r="CC346" s="363">
        <v>0</v>
      </c>
    </row>
    <row r="347" spans="1:81" s="32" customFormat="1" ht="20.25" customHeight="1" thickBot="1" x14ac:dyDescent="0.25">
      <c r="A347" s="185"/>
      <c r="B347" s="184">
        <f ca="1">INDIRECT("B" &amp; (157 + ROWS($A$1:A16)))</f>
        <v>0</v>
      </c>
      <c r="D347" s="363"/>
      <c r="E347"/>
      <c r="F347" s="100">
        <f t="shared" si="74"/>
        <v>0</v>
      </c>
      <c r="G347" s="87"/>
      <c r="H347" s="100" t="str">
        <f t="shared" si="73"/>
        <v>Completo</v>
      </c>
      <c r="I347"/>
      <c r="J347" s="363">
        <v>0</v>
      </c>
      <c r="K347" s="363">
        <v>0</v>
      </c>
      <c r="L347" s="363">
        <v>0</v>
      </c>
      <c r="M347" s="363">
        <v>0</v>
      </c>
      <c r="N347" s="363">
        <v>0</v>
      </c>
      <c r="O347" s="363">
        <v>0</v>
      </c>
      <c r="P347" s="363">
        <v>0</v>
      </c>
      <c r="Q347" s="363">
        <v>0</v>
      </c>
      <c r="R347" s="363">
        <v>0</v>
      </c>
      <c r="S347" s="363">
        <v>0</v>
      </c>
      <c r="T347" s="363">
        <v>0</v>
      </c>
      <c r="U347" s="363">
        <v>0</v>
      </c>
      <c r="V347" s="363">
        <v>0</v>
      </c>
      <c r="W347" s="363">
        <v>0</v>
      </c>
      <c r="X347" s="363">
        <v>0</v>
      </c>
      <c r="Y347" s="363">
        <v>0</v>
      </c>
      <c r="Z347" s="363">
        <v>0</v>
      </c>
      <c r="AA347" s="363">
        <v>0</v>
      </c>
      <c r="AB347" s="363">
        <v>0</v>
      </c>
      <c r="AC347" s="363">
        <v>0</v>
      </c>
      <c r="AD347" s="363">
        <v>0</v>
      </c>
      <c r="AE347" s="363">
        <v>0</v>
      </c>
      <c r="AF347" s="363">
        <v>0</v>
      </c>
      <c r="AG347" s="363">
        <v>0</v>
      </c>
      <c r="AH347" s="363">
        <v>0</v>
      </c>
      <c r="AI347" s="363">
        <v>0</v>
      </c>
      <c r="AJ347" s="363">
        <v>0</v>
      </c>
      <c r="AK347" s="363">
        <v>0</v>
      </c>
      <c r="AL347" s="363">
        <v>0</v>
      </c>
      <c r="AM347" s="363">
        <v>0</v>
      </c>
      <c r="AN347" s="363">
        <v>0</v>
      </c>
      <c r="AO347" s="363">
        <v>0</v>
      </c>
      <c r="AP347" s="363">
        <v>0</v>
      </c>
      <c r="AQ347" s="363">
        <v>0</v>
      </c>
      <c r="AR347" s="363">
        <v>0</v>
      </c>
      <c r="AS347" s="363">
        <v>0</v>
      </c>
      <c r="AT347" s="363">
        <v>0</v>
      </c>
      <c r="AU347" s="363">
        <v>0</v>
      </c>
      <c r="AV347" s="363">
        <v>0</v>
      </c>
      <c r="AW347" s="363">
        <v>0</v>
      </c>
      <c r="AX347" s="363">
        <v>0</v>
      </c>
      <c r="AY347" s="363">
        <v>0</v>
      </c>
      <c r="AZ347" s="363">
        <v>0</v>
      </c>
      <c r="BA347" s="363">
        <v>0</v>
      </c>
      <c r="BB347" s="363">
        <v>0</v>
      </c>
      <c r="BC347" s="363">
        <v>0</v>
      </c>
      <c r="BD347" s="363">
        <v>0</v>
      </c>
      <c r="BE347" s="363">
        <v>0</v>
      </c>
      <c r="BF347" s="363">
        <v>0</v>
      </c>
      <c r="BG347" s="363">
        <v>0</v>
      </c>
      <c r="BH347" s="363">
        <v>0</v>
      </c>
      <c r="BI347" s="363">
        <v>0</v>
      </c>
      <c r="BJ347" s="363">
        <v>0</v>
      </c>
      <c r="BK347" s="363">
        <v>0</v>
      </c>
      <c r="BL347" s="363">
        <v>0</v>
      </c>
      <c r="BM347" s="363">
        <v>0</v>
      </c>
      <c r="BN347" s="363">
        <v>0</v>
      </c>
      <c r="BO347" s="363">
        <v>0</v>
      </c>
      <c r="BP347" s="363">
        <v>0</v>
      </c>
      <c r="BQ347" s="363">
        <v>0</v>
      </c>
      <c r="BR347" s="363">
        <v>0</v>
      </c>
      <c r="BS347" s="363">
        <v>0</v>
      </c>
      <c r="BT347" s="363">
        <v>0</v>
      </c>
      <c r="BU347" s="363">
        <v>0</v>
      </c>
      <c r="BV347" s="363">
        <v>0</v>
      </c>
      <c r="BW347" s="363">
        <v>0</v>
      </c>
      <c r="BX347" s="363">
        <v>0</v>
      </c>
      <c r="BY347" s="363">
        <v>0</v>
      </c>
      <c r="BZ347" s="363">
        <v>0</v>
      </c>
      <c r="CA347" s="363">
        <v>0</v>
      </c>
      <c r="CB347" s="363">
        <v>0</v>
      </c>
      <c r="CC347" s="363">
        <v>0</v>
      </c>
    </row>
    <row r="348" spans="1:81" s="32" customFormat="1" ht="20.25" customHeight="1" thickBot="1" x14ac:dyDescent="0.25">
      <c r="A348" s="185"/>
      <c r="B348" s="184">
        <f ca="1">INDIRECT("B" &amp; (157 + ROWS($A$1:A17)))</f>
        <v>0</v>
      </c>
      <c r="D348" s="363"/>
      <c r="E348"/>
      <c r="F348" s="100">
        <f t="shared" si="74"/>
        <v>0</v>
      </c>
      <c r="G348" s="87"/>
      <c r="H348" s="100" t="str">
        <f t="shared" si="73"/>
        <v>Completo</v>
      </c>
      <c r="I348"/>
      <c r="J348" s="363">
        <v>0</v>
      </c>
      <c r="K348" s="363">
        <v>0</v>
      </c>
      <c r="L348" s="363">
        <v>0</v>
      </c>
      <c r="M348" s="363">
        <v>0</v>
      </c>
      <c r="N348" s="363">
        <v>0</v>
      </c>
      <c r="O348" s="363">
        <v>0</v>
      </c>
      <c r="P348" s="363">
        <v>0</v>
      </c>
      <c r="Q348" s="363">
        <v>0</v>
      </c>
      <c r="R348" s="363">
        <v>0</v>
      </c>
      <c r="S348" s="363">
        <v>0</v>
      </c>
      <c r="T348" s="363">
        <v>0</v>
      </c>
      <c r="U348" s="363">
        <v>0</v>
      </c>
      <c r="V348" s="363">
        <v>0</v>
      </c>
      <c r="W348" s="363">
        <v>0</v>
      </c>
      <c r="X348" s="363">
        <v>0</v>
      </c>
      <c r="Y348" s="363">
        <v>0</v>
      </c>
      <c r="Z348" s="363">
        <v>0</v>
      </c>
      <c r="AA348" s="363">
        <v>0</v>
      </c>
      <c r="AB348" s="363">
        <v>0</v>
      </c>
      <c r="AC348" s="363">
        <v>0</v>
      </c>
      <c r="AD348" s="363">
        <v>0</v>
      </c>
      <c r="AE348" s="363">
        <v>0</v>
      </c>
      <c r="AF348" s="363">
        <v>0</v>
      </c>
      <c r="AG348" s="363">
        <v>0</v>
      </c>
      <c r="AH348" s="363">
        <v>0</v>
      </c>
      <c r="AI348" s="363">
        <v>0</v>
      </c>
      <c r="AJ348" s="363">
        <v>0</v>
      </c>
      <c r="AK348" s="363">
        <v>0</v>
      </c>
      <c r="AL348" s="363">
        <v>0</v>
      </c>
      <c r="AM348" s="363">
        <v>0</v>
      </c>
      <c r="AN348" s="363">
        <v>0</v>
      </c>
      <c r="AO348" s="363">
        <v>0</v>
      </c>
      <c r="AP348" s="363">
        <v>0</v>
      </c>
      <c r="AQ348" s="363">
        <v>0</v>
      </c>
      <c r="AR348" s="363">
        <v>0</v>
      </c>
      <c r="AS348" s="363">
        <v>0</v>
      </c>
      <c r="AT348" s="363">
        <v>0</v>
      </c>
      <c r="AU348" s="363">
        <v>0</v>
      </c>
      <c r="AV348" s="363">
        <v>0</v>
      </c>
      <c r="AW348" s="363">
        <v>0</v>
      </c>
      <c r="AX348" s="363">
        <v>0</v>
      </c>
      <c r="AY348" s="363">
        <v>0</v>
      </c>
      <c r="AZ348" s="363">
        <v>0</v>
      </c>
      <c r="BA348" s="363">
        <v>0</v>
      </c>
      <c r="BB348" s="363">
        <v>0</v>
      </c>
      <c r="BC348" s="363">
        <v>0</v>
      </c>
      <c r="BD348" s="363">
        <v>0</v>
      </c>
      <c r="BE348" s="363">
        <v>0</v>
      </c>
      <c r="BF348" s="363">
        <v>0</v>
      </c>
      <c r="BG348" s="363">
        <v>0</v>
      </c>
      <c r="BH348" s="363">
        <v>0</v>
      </c>
      <c r="BI348" s="363">
        <v>0</v>
      </c>
      <c r="BJ348" s="363">
        <v>0</v>
      </c>
      <c r="BK348" s="363">
        <v>0</v>
      </c>
      <c r="BL348" s="363">
        <v>0</v>
      </c>
      <c r="BM348" s="363">
        <v>0</v>
      </c>
      <c r="BN348" s="363">
        <v>0</v>
      </c>
      <c r="BO348" s="363">
        <v>0</v>
      </c>
      <c r="BP348" s="363">
        <v>0</v>
      </c>
      <c r="BQ348" s="363">
        <v>0</v>
      </c>
      <c r="BR348" s="363">
        <v>0</v>
      </c>
      <c r="BS348" s="363">
        <v>0</v>
      </c>
      <c r="BT348" s="363">
        <v>0</v>
      </c>
      <c r="BU348" s="363">
        <v>0</v>
      </c>
      <c r="BV348" s="363">
        <v>0</v>
      </c>
      <c r="BW348" s="363">
        <v>0</v>
      </c>
      <c r="BX348" s="363">
        <v>0</v>
      </c>
      <c r="BY348" s="363">
        <v>0</v>
      </c>
      <c r="BZ348" s="363">
        <v>0</v>
      </c>
      <c r="CA348" s="363">
        <v>0</v>
      </c>
      <c r="CB348" s="363">
        <v>0</v>
      </c>
      <c r="CC348" s="363">
        <v>0</v>
      </c>
    </row>
    <row r="349" spans="1:81" s="32" customFormat="1" ht="20.25" customHeight="1" thickBot="1" x14ac:dyDescent="0.25">
      <c r="A349" s="185"/>
      <c r="B349" s="184">
        <f ca="1">INDIRECT("B" &amp; (157 + ROWS($A$1:A18)))</f>
        <v>0</v>
      </c>
      <c r="D349" s="363"/>
      <c r="E349"/>
      <c r="F349" s="100">
        <f t="shared" si="74"/>
        <v>0</v>
      </c>
      <c r="G349" s="87"/>
      <c r="H349" s="100" t="str">
        <f t="shared" si="73"/>
        <v>Completo</v>
      </c>
      <c r="I349"/>
      <c r="J349" s="363">
        <v>0</v>
      </c>
      <c r="K349" s="363">
        <v>0</v>
      </c>
      <c r="L349" s="363">
        <v>0</v>
      </c>
      <c r="M349" s="363">
        <v>0</v>
      </c>
      <c r="N349" s="363">
        <v>0</v>
      </c>
      <c r="O349" s="363">
        <v>0</v>
      </c>
      <c r="P349" s="363">
        <v>0</v>
      </c>
      <c r="Q349" s="363">
        <v>0</v>
      </c>
      <c r="R349" s="363">
        <v>0</v>
      </c>
      <c r="S349" s="363">
        <v>0</v>
      </c>
      <c r="T349" s="363">
        <v>0</v>
      </c>
      <c r="U349" s="363">
        <v>0</v>
      </c>
      <c r="V349" s="363">
        <v>0</v>
      </c>
      <c r="W349" s="363">
        <v>0</v>
      </c>
      <c r="X349" s="363">
        <v>0</v>
      </c>
      <c r="Y349" s="363">
        <v>0</v>
      </c>
      <c r="Z349" s="363">
        <v>0</v>
      </c>
      <c r="AA349" s="363">
        <v>0</v>
      </c>
      <c r="AB349" s="363">
        <v>0</v>
      </c>
      <c r="AC349" s="363">
        <v>0</v>
      </c>
      <c r="AD349" s="363">
        <v>0</v>
      </c>
      <c r="AE349" s="363">
        <v>0</v>
      </c>
      <c r="AF349" s="363">
        <v>0</v>
      </c>
      <c r="AG349" s="363">
        <v>0</v>
      </c>
      <c r="AH349" s="363">
        <v>0</v>
      </c>
      <c r="AI349" s="363">
        <v>0</v>
      </c>
      <c r="AJ349" s="363">
        <v>0</v>
      </c>
      <c r="AK349" s="363">
        <v>0</v>
      </c>
      <c r="AL349" s="363">
        <v>0</v>
      </c>
      <c r="AM349" s="363">
        <v>0</v>
      </c>
      <c r="AN349" s="363">
        <v>0</v>
      </c>
      <c r="AO349" s="363">
        <v>0</v>
      </c>
      <c r="AP349" s="363">
        <v>0</v>
      </c>
      <c r="AQ349" s="363">
        <v>0</v>
      </c>
      <c r="AR349" s="363">
        <v>0</v>
      </c>
      <c r="AS349" s="363">
        <v>0</v>
      </c>
      <c r="AT349" s="363">
        <v>0</v>
      </c>
      <c r="AU349" s="363">
        <v>0</v>
      </c>
      <c r="AV349" s="363">
        <v>0</v>
      </c>
      <c r="AW349" s="363">
        <v>0</v>
      </c>
      <c r="AX349" s="363">
        <v>0</v>
      </c>
      <c r="AY349" s="363">
        <v>0</v>
      </c>
      <c r="AZ349" s="363">
        <v>0</v>
      </c>
      <c r="BA349" s="363">
        <v>0</v>
      </c>
      <c r="BB349" s="363">
        <v>0</v>
      </c>
      <c r="BC349" s="363">
        <v>0</v>
      </c>
      <c r="BD349" s="363">
        <v>0</v>
      </c>
      <c r="BE349" s="363">
        <v>0</v>
      </c>
      <c r="BF349" s="363">
        <v>0</v>
      </c>
      <c r="BG349" s="363">
        <v>0</v>
      </c>
      <c r="BH349" s="363">
        <v>0</v>
      </c>
      <c r="BI349" s="363">
        <v>0</v>
      </c>
      <c r="BJ349" s="363">
        <v>0</v>
      </c>
      <c r="BK349" s="363">
        <v>0</v>
      </c>
      <c r="BL349" s="363">
        <v>0</v>
      </c>
      <c r="BM349" s="363">
        <v>0</v>
      </c>
      <c r="BN349" s="363">
        <v>0</v>
      </c>
      <c r="BO349" s="363">
        <v>0</v>
      </c>
      <c r="BP349" s="363">
        <v>0</v>
      </c>
      <c r="BQ349" s="363">
        <v>0</v>
      </c>
      <c r="BR349" s="363">
        <v>0</v>
      </c>
      <c r="BS349" s="363">
        <v>0</v>
      </c>
      <c r="BT349" s="363">
        <v>0</v>
      </c>
      <c r="BU349" s="363">
        <v>0</v>
      </c>
      <c r="BV349" s="363">
        <v>0</v>
      </c>
      <c r="BW349" s="363">
        <v>0</v>
      </c>
      <c r="BX349" s="363">
        <v>0</v>
      </c>
      <c r="BY349" s="363">
        <v>0</v>
      </c>
      <c r="BZ349" s="363">
        <v>0</v>
      </c>
      <c r="CA349" s="363">
        <v>0</v>
      </c>
      <c r="CB349" s="363">
        <v>0</v>
      </c>
      <c r="CC349" s="363">
        <v>0</v>
      </c>
    </row>
    <row r="350" spans="1:81" s="32" customFormat="1" ht="20.25" customHeight="1" thickBot="1" x14ac:dyDescent="0.25">
      <c r="A350" s="185"/>
      <c r="B350" s="184">
        <f ca="1">INDIRECT("B" &amp; (157 + ROWS($A$1:A19)))</f>
        <v>0</v>
      </c>
      <c r="D350" s="363"/>
      <c r="E350"/>
      <c r="F350" s="100">
        <f t="shared" si="74"/>
        <v>0</v>
      </c>
      <c r="G350" s="87"/>
      <c r="H350" s="100" t="str">
        <f t="shared" si="73"/>
        <v>Completo</v>
      </c>
      <c r="I350"/>
      <c r="J350" s="363">
        <v>0</v>
      </c>
      <c r="K350" s="363">
        <v>0</v>
      </c>
      <c r="L350" s="363">
        <v>0</v>
      </c>
      <c r="M350" s="363">
        <v>0</v>
      </c>
      <c r="N350" s="363">
        <v>0</v>
      </c>
      <c r="O350" s="363">
        <v>0</v>
      </c>
      <c r="P350" s="363">
        <v>0</v>
      </c>
      <c r="Q350" s="363">
        <v>0</v>
      </c>
      <c r="R350" s="363">
        <v>0</v>
      </c>
      <c r="S350" s="363">
        <v>0</v>
      </c>
      <c r="T350" s="363">
        <v>0</v>
      </c>
      <c r="U350" s="363">
        <v>0</v>
      </c>
      <c r="V350" s="363">
        <v>0</v>
      </c>
      <c r="W350" s="363">
        <v>0</v>
      </c>
      <c r="X350" s="363">
        <v>0</v>
      </c>
      <c r="Y350" s="363">
        <v>0</v>
      </c>
      <c r="Z350" s="363">
        <v>0</v>
      </c>
      <c r="AA350" s="363">
        <v>0</v>
      </c>
      <c r="AB350" s="363">
        <v>0</v>
      </c>
      <c r="AC350" s="363">
        <v>0</v>
      </c>
      <c r="AD350" s="363">
        <v>0</v>
      </c>
      <c r="AE350" s="363">
        <v>0</v>
      </c>
      <c r="AF350" s="363">
        <v>0</v>
      </c>
      <c r="AG350" s="363">
        <v>0</v>
      </c>
      <c r="AH350" s="363">
        <v>0</v>
      </c>
      <c r="AI350" s="363">
        <v>0</v>
      </c>
      <c r="AJ350" s="363">
        <v>0</v>
      </c>
      <c r="AK350" s="363">
        <v>0</v>
      </c>
      <c r="AL350" s="363">
        <v>0</v>
      </c>
      <c r="AM350" s="363">
        <v>0</v>
      </c>
      <c r="AN350" s="363">
        <v>0</v>
      </c>
      <c r="AO350" s="363">
        <v>0</v>
      </c>
      <c r="AP350" s="363">
        <v>0</v>
      </c>
      <c r="AQ350" s="363">
        <v>0</v>
      </c>
      <c r="AR350" s="363">
        <v>0</v>
      </c>
      <c r="AS350" s="363">
        <v>0</v>
      </c>
      <c r="AT350" s="363">
        <v>0</v>
      </c>
      <c r="AU350" s="363">
        <v>0</v>
      </c>
      <c r="AV350" s="363">
        <v>0</v>
      </c>
      <c r="AW350" s="363">
        <v>0</v>
      </c>
      <c r="AX350" s="363">
        <v>0</v>
      </c>
      <c r="AY350" s="363">
        <v>0</v>
      </c>
      <c r="AZ350" s="363">
        <v>0</v>
      </c>
      <c r="BA350" s="363">
        <v>0</v>
      </c>
      <c r="BB350" s="363">
        <v>0</v>
      </c>
      <c r="BC350" s="363">
        <v>0</v>
      </c>
      <c r="BD350" s="363">
        <v>0</v>
      </c>
      <c r="BE350" s="363">
        <v>0</v>
      </c>
      <c r="BF350" s="363">
        <v>0</v>
      </c>
      <c r="BG350" s="363">
        <v>0</v>
      </c>
      <c r="BH350" s="363">
        <v>0</v>
      </c>
      <c r="BI350" s="363">
        <v>0</v>
      </c>
      <c r="BJ350" s="363">
        <v>0</v>
      </c>
      <c r="BK350" s="363">
        <v>0</v>
      </c>
      <c r="BL350" s="363">
        <v>0</v>
      </c>
      <c r="BM350" s="363">
        <v>0</v>
      </c>
      <c r="BN350" s="363">
        <v>0</v>
      </c>
      <c r="BO350" s="363">
        <v>0</v>
      </c>
      <c r="BP350" s="363">
        <v>0</v>
      </c>
      <c r="BQ350" s="363">
        <v>0</v>
      </c>
      <c r="BR350" s="363">
        <v>0</v>
      </c>
      <c r="BS350" s="363">
        <v>0</v>
      </c>
      <c r="BT350" s="363">
        <v>0</v>
      </c>
      <c r="BU350" s="363">
        <v>0</v>
      </c>
      <c r="BV350" s="363">
        <v>0</v>
      </c>
      <c r="BW350" s="363">
        <v>0</v>
      </c>
      <c r="BX350" s="363">
        <v>0</v>
      </c>
      <c r="BY350" s="363">
        <v>0</v>
      </c>
      <c r="BZ350" s="363">
        <v>0</v>
      </c>
      <c r="CA350" s="363">
        <v>0</v>
      </c>
      <c r="CB350" s="363">
        <v>0</v>
      </c>
      <c r="CC350" s="363">
        <v>0</v>
      </c>
    </row>
    <row r="351" spans="1:81" s="32" customFormat="1" ht="20.25" customHeight="1" thickBot="1" x14ac:dyDescent="0.25">
      <c r="A351" s="185"/>
      <c r="B351" s="401">
        <f ca="1">INDIRECT("B" &amp; (157 + ROWS($A$1:A20)))</f>
        <v>0</v>
      </c>
      <c r="D351" s="363"/>
      <c r="E351"/>
      <c r="F351" s="100">
        <f t="shared" si="74"/>
        <v>0</v>
      </c>
      <c r="G351" s="87"/>
      <c r="H351" s="100" t="str">
        <f t="shared" si="73"/>
        <v>Completo</v>
      </c>
      <c r="I351"/>
      <c r="J351" s="363">
        <v>0</v>
      </c>
      <c r="K351" s="363">
        <v>0</v>
      </c>
      <c r="L351" s="363">
        <v>0</v>
      </c>
      <c r="M351" s="363">
        <v>0</v>
      </c>
      <c r="N351" s="363">
        <v>0</v>
      </c>
      <c r="O351" s="363">
        <v>0</v>
      </c>
      <c r="P351" s="363">
        <v>0</v>
      </c>
      <c r="Q351" s="363">
        <v>0</v>
      </c>
      <c r="R351" s="363">
        <v>0</v>
      </c>
      <c r="S351" s="363">
        <v>0</v>
      </c>
      <c r="T351" s="363">
        <v>0</v>
      </c>
      <c r="U351" s="363">
        <v>0</v>
      </c>
      <c r="V351" s="363">
        <v>0</v>
      </c>
      <c r="W351" s="363">
        <v>0</v>
      </c>
      <c r="X351" s="363">
        <v>0</v>
      </c>
      <c r="Y351" s="363">
        <v>0</v>
      </c>
      <c r="Z351" s="363">
        <v>0</v>
      </c>
      <c r="AA351" s="363">
        <v>0</v>
      </c>
      <c r="AB351" s="363">
        <v>0</v>
      </c>
      <c r="AC351" s="363">
        <v>0</v>
      </c>
      <c r="AD351" s="363">
        <v>0</v>
      </c>
      <c r="AE351" s="363">
        <v>0</v>
      </c>
      <c r="AF351" s="363">
        <v>0</v>
      </c>
      <c r="AG351" s="363">
        <v>0</v>
      </c>
      <c r="AH351" s="363">
        <v>0</v>
      </c>
      <c r="AI351" s="363">
        <v>0</v>
      </c>
      <c r="AJ351" s="363">
        <v>0</v>
      </c>
      <c r="AK351" s="363">
        <v>0</v>
      </c>
      <c r="AL351" s="363">
        <v>0</v>
      </c>
      <c r="AM351" s="363">
        <v>0</v>
      </c>
      <c r="AN351" s="363">
        <v>0</v>
      </c>
      <c r="AO351" s="363">
        <v>0</v>
      </c>
      <c r="AP351" s="363">
        <v>0</v>
      </c>
      <c r="AQ351" s="363">
        <v>0</v>
      </c>
      <c r="AR351" s="363">
        <v>0</v>
      </c>
      <c r="AS351" s="363">
        <v>0</v>
      </c>
      <c r="AT351" s="363">
        <v>0</v>
      </c>
      <c r="AU351" s="363">
        <v>0</v>
      </c>
      <c r="AV351" s="363">
        <v>0</v>
      </c>
      <c r="AW351" s="363">
        <v>0</v>
      </c>
      <c r="AX351" s="363">
        <v>0</v>
      </c>
      <c r="AY351" s="363">
        <v>0</v>
      </c>
      <c r="AZ351" s="363">
        <v>0</v>
      </c>
      <c r="BA351" s="363">
        <v>0</v>
      </c>
      <c r="BB351" s="363">
        <v>0</v>
      </c>
      <c r="BC351" s="363">
        <v>0</v>
      </c>
      <c r="BD351" s="363">
        <v>0</v>
      </c>
      <c r="BE351" s="363">
        <v>0</v>
      </c>
      <c r="BF351" s="363">
        <v>0</v>
      </c>
      <c r="BG351" s="363">
        <v>0</v>
      </c>
      <c r="BH351" s="363">
        <v>0</v>
      </c>
      <c r="BI351" s="363">
        <v>0</v>
      </c>
      <c r="BJ351" s="363">
        <v>0</v>
      </c>
      <c r="BK351" s="363">
        <v>0</v>
      </c>
      <c r="BL351" s="363">
        <v>0</v>
      </c>
      <c r="BM351" s="363">
        <v>0</v>
      </c>
      <c r="BN351" s="363">
        <v>0</v>
      </c>
      <c r="BO351" s="363">
        <v>0</v>
      </c>
      <c r="BP351" s="363">
        <v>0</v>
      </c>
      <c r="BQ351" s="363">
        <v>0</v>
      </c>
      <c r="BR351" s="363">
        <v>0</v>
      </c>
      <c r="BS351" s="363">
        <v>0</v>
      </c>
      <c r="BT351" s="363">
        <v>0</v>
      </c>
      <c r="BU351" s="363">
        <v>0</v>
      </c>
      <c r="BV351" s="363">
        <v>0</v>
      </c>
      <c r="BW351" s="363">
        <v>0</v>
      </c>
      <c r="BX351" s="363">
        <v>0</v>
      </c>
      <c r="BY351" s="363">
        <v>0</v>
      </c>
      <c r="BZ351" s="363">
        <v>0</v>
      </c>
      <c r="CA351" s="363">
        <v>0</v>
      </c>
      <c r="CB351" s="363">
        <v>0</v>
      </c>
      <c r="CC351" s="363">
        <v>0</v>
      </c>
    </row>
    <row r="352" spans="1:81" s="32" customFormat="1" ht="20.25" customHeight="1" thickBot="1" x14ac:dyDescent="0.25">
      <c r="A352" s="185"/>
      <c r="B352" s="402" t="s">
        <v>349</v>
      </c>
      <c r="C352" s="403"/>
      <c r="D352" s="277"/>
      <c r="E352" s="277"/>
      <c r="F352" s="404"/>
      <c r="G352" s="277"/>
      <c r="H352" s="405"/>
      <c r="I352" s="277"/>
      <c r="J352" s="277"/>
      <c r="K352" s="277"/>
      <c r="L352" s="277"/>
      <c r="M352" s="277"/>
      <c r="N352" s="277"/>
      <c r="O352" s="277"/>
      <c r="P352" s="277"/>
      <c r="Q352" s="277"/>
      <c r="R352" s="277"/>
      <c r="S352" s="277"/>
      <c r="T352" s="277"/>
      <c r="U352" s="277"/>
      <c r="V352" s="277"/>
      <c r="W352" s="277"/>
      <c r="X352" s="277"/>
      <c r="Y352" s="277"/>
      <c r="Z352" s="277"/>
      <c r="AA352" s="277"/>
      <c r="AB352" s="277"/>
      <c r="AC352" s="277"/>
      <c r="AD352" s="277"/>
      <c r="AE352" s="277"/>
      <c r="AF352" s="277"/>
      <c r="AG352" s="277"/>
      <c r="AH352" s="277"/>
      <c r="AI352" s="277"/>
      <c r="AJ352" s="277"/>
      <c r="AK352" s="277"/>
      <c r="AL352" s="277"/>
      <c r="AM352" s="277"/>
      <c r="AN352" s="277"/>
      <c r="AO352" s="277"/>
      <c r="AP352" s="277"/>
      <c r="AQ352" s="277"/>
      <c r="AR352" s="277"/>
      <c r="AS352" s="277"/>
      <c r="AT352" s="277"/>
      <c r="AU352" s="277"/>
      <c r="AV352" s="277"/>
      <c r="AW352" s="277"/>
      <c r="AX352" s="277"/>
      <c r="AY352" s="277"/>
      <c r="AZ352" s="277"/>
      <c r="BA352" s="277"/>
      <c r="BB352" s="277"/>
      <c r="BC352" s="277"/>
      <c r="BD352" s="277"/>
      <c r="BE352" s="277"/>
      <c r="BF352" s="277"/>
      <c r="BG352" s="277"/>
      <c r="BH352" s="277"/>
      <c r="BI352" s="277"/>
      <c r="BJ352" s="277"/>
      <c r="BK352" s="277"/>
      <c r="BL352" s="277"/>
      <c r="BM352" s="277"/>
      <c r="BN352" s="277"/>
      <c r="BO352" s="277"/>
      <c r="BP352" s="277"/>
      <c r="BQ352" s="277"/>
      <c r="BR352" s="277"/>
      <c r="BS352" s="277"/>
      <c r="BT352" s="277"/>
      <c r="BU352" s="277"/>
      <c r="BV352" s="277"/>
      <c r="BW352" s="277"/>
      <c r="BX352" s="277"/>
      <c r="BY352" s="277"/>
      <c r="BZ352" s="277"/>
      <c r="CA352" s="277"/>
      <c r="CB352" s="277"/>
      <c r="CC352" s="277"/>
    </row>
    <row r="353" spans="1:81" s="32" customFormat="1" ht="20.25" customHeight="1" thickBot="1" x14ac:dyDescent="0.25">
      <c r="A353" s="185"/>
      <c r="B353" s="363"/>
      <c r="C353" s="400"/>
      <c r="D353" s="363"/>
      <c r="E353"/>
      <c r="F353" s="100">
        <f t="shared" si="74"/>
        <v>0</v>
      </c>
      <c r="G353" s="87"/>
      <c r="H353" s="100" t="str">
        <f t="shared" si="73"/>
        <v>Completo</v>
      </c>
      <c r="I353"/>
      <c r="J353" s="363">
        <v>0</v>
      </c>
      <c r="K353" s="363">
        <v>0</v>
      </c>
      <c r="L353" s="363">
        <v>0</v>
      </c>
      <c r="M353" s="363">
        <v>0</v>
      </c>
      <c r="N353" s="363">
        <v>0</v>
      </c>
      <c r="O353" s="363">
        <v>0</v>
      </c>
      <c r="P353" s="363">
        <v>0</v>
      </c>
      <c r="Q353" s="363">
        <v>0</v>
      </c>
      <c r="R353" s="363">
        <v>0</v>
      </c>
      <c r="S353" s="363">
        <v>0</v>
      </c>
      <c r="T353" s="363">
        <v>0</v>
      </c>
      <c r="U353" s="363">
        <v>0</v>
      </c>
      <c r="V353" s="363">
        <v>0</v>
      </c>
      <c r="W353" s="363">
        <v>0</v>
      </c>
      <c r="X353" s="363">
        <v>0</v>
      </c>
      <c r="Y353" s="363">
        <v>0</v>
      </c>
      <c r="Z353" s="363">
        <v>0</v>
      </c>
      <c r="AA353" s="363">
        <v>0</v>
      </c>
      <c r="AB353" s="363">
        <v>0</v>
      </c>
      <c r="AC353" s="363">
        <v>0</v>
      </c>
      <c r="AD353" s="363">
        <v>0</v>
      </c>
      <c r="AE353" s="363">
        <v>0</v>
      </c>
      <c r="AF353" s="363">
        <v>0</v>
      </c>
      <c r="AG353" s="363">
        <v>0</v>
      </c>
      <c r="AH353" s="363">
        <v>0</v>
      </c>
      <c r="AI353" s="363">
        <v>0</v>
      </c>
      <c r="AJ353" s="363">
        <v>0</v>
      </c>
      <c r="AK353" s="363">
        <v>0</v>
      </c>
      <c r="AL353" s="363">
        <v>0</v>
      </c>
      <c r="AM353" s="363">
        <v>0</v>
      </c>
      <c r="AN353" s="363">
        <v>0</v>
      </c>
      <c r="AO353" s="363">
        <v>0</v>
      </c>
      <c r="AP353" s="363">
        <v>0</v>
      </c>
      <c r="AQ353" s="363">
        <v>0</v>
      </c>
      <c r="AR353" s="363">
        <v>0</v>
      </c>
      <c r="AS353" s="363">
        <v>0</v>
      </c>
      <c r="AT353" s="363">
        <v>0</v>
      </c>
      <c r="AU353" s="363">
        <v>0</v>
      </c>
      <c r="AV353" s="363">
        <v>0</v>
      </c>
      <c r="AW353" s="363">
        <v>0</v>
      </c>
      <c r="AX353" s="363">
        <v>0</v>
      </c>
      <c r="AY353" s="363">
        <v>0</v>
      </c>
      <c r="AZ353" s="363">
        <v>0</v>
      </c>
      <c r="BA353" s="363">
        <v>0</v>
      </c>
      <c r="BB353" s="363">
        <v>0</v>
      </c>
      <c r="BC353" s="363">
        <v>0</v>
      </c>
      <c r="BD353" s="363">
        <v>0</v>
      </c>
      <c r="BE353" s="363">
        <v>0</v>
      </c>
      <c r="BF353" s="363">
        <v>0</v>
      </c>
      <c r="BG353" s="363">
        <v>0</v>
      </c>
      <c r="BH353" s="363">
        <v>0</v>
      </c>
      <c r="BI353" s="363">
        <v>0</v>
      </c>
      <c r="BJ353" s="363">
        <v>0</v>
      </c>
      <c r="BK353" s="363">
        <v>0</v>
      </c>
      <c r="BL353" s="363">
        <v>0</v>
      </c>
      <c r="BM353" s="363">
        <v>0</v>
      </c>
      <c r="BN353" s="363">
        <v>0</v>
      </c>
      <c r="BO353" s="363">
        <v>0</v>
      </c>
      <c r="BP353" s="363">
        <v>0</v>
      </c>
      <c r="BQ353" s="363">
        <v>0</v>
      </c>
      <c r="BR353" s="363">
        <v>0</v>
      </c>
      <c r="BS353" s="363">
        <v>0</v>
      </c>
      <c r="BT353" s="363">
        <v>0</v>
      </c>
      <c r="BU353" s="363">
        <v>0</v>
      </c>
      <c r="BV353" s="363">
        <v>0</v>
      </c>
      <c r="BW353" s="363">
        <v>0</v>
      </c>
      <c r="BX353" s="363">
        <v>0</v>
      </c>
      <c r="BY353" s="363">
        <v>0</v>
      </c>
      <c r="BZ353" s="363">
        <v>0</v>
      </c>
      <c r="CA353" s="363">
        <v>0</v>
      </c>
      <c r="CB353" s="363">
        <v>0</v>
      </c>
      <c r="CC353" s="363">
        <v>0</v>
      </c>
    </row>
    <row r="354" spans="1:81" s="32" customFormat="1" ht="20.25" customHeight="1" thickBot="1" x14ac:dyDescent="0.25">
      <c r="A354" s="185"/>
      <c r="B354" s="363"/>
      <c r="C354" s="400"/>
      <c r="D354" s="363"/>
      <c r="E354"/>
      <c r="F354" s="100">
        <f t="shared" si="74"/>
        <v>0</v>
      </c>
      <c r="G354" s="87"/>
      <c r="H354" s="100" t="str">
        <f t="shared" si="73"/>
        <v>Completo</v>
      </c>
      <c r="I354"/>
      <c r="J354" s="363">
        <v>0</v>
      </c>
      <c r="K354" s="363">
        <v>0</v>
      </c>
      <c r="L354" s="363">
        <v>0</v>
      </c>
      <c r="M354" s="363">
        <v>0</v>
      </c>
      <c r="N354" s="363">
        <v>0</v>
      </c>
      <c r="O354" s="363">
        <v>0</v>
      </c>
      <c r="P354" s="363">
        <v>0</v>
      </c>
      <c r="Q354" s="363">
        <v>0</v>
      </c>
      <c r="R354" s="363">
        <v>0</v>
      </c>
      <c r="S354" s="363">
        <v>0</v>
      </c>
      <c r="T354" s="363">
        <v>0</v>
      </c>
      <c r="U354" s="363">
        <v>0</v>
      </c>
      <c r="V354" s="363">
        <v>0</v>
      </c>
      <c r="W354" s="363">
        <v>0</v>
      </c>
      <c r="X354" s="363">
        <v>0</v>
      </c>
      <c r="Y354" s="363">
        <v>0</v>
      </c>
      <c r="Z354" s="363">
        <v>0</v>
      </c>
      <c r="AA354" s="363">
        <v>0</v>
      </c>
      <c r="AB354" s="363">
        <v>0</v>
      </c>
      <c r="AC354" s="363">
        <v>0</v>
      </c>
      <c r="AD354" s="363">
        <v>0</v>
      </c>
      <c r="AE354" s="363">
        <v>0</v>
      </c>
      <c r="AF354" s="363">
        <v>0</v>
      </c>
      <c r="AG354" s="363">
        <v>0</v>
      </c>
      <c r="AH354" s="363">
        <v>0</v>
      </c>
      <c r="AI354" s="363">
        <v>0</v>
      </c>
      <c r="AJ354" s="363">
        <v>0</v>
      </c>
      <c r="AK354" s="363">
        <v>0</v>
      </c>
      <c r="AL354" s="363">
        <v>0</v>
      </c>
      <c r="AM354" s="363">
        <v>0</v>
      </c>
      <c r="AN354" s="363">
        <v>0</v>
      </c>
      <c r="AO354" s="363">
        <v>0</v>
      </c>
      <c r="AP354" s="363">
        <v>0</v>
      </c>
      <c r="AQ354" s="363">
        <v>0</v>
      </c>
      <c r="AR354" s="363">
        <v>0</v>
      </c>
      <c r="AS354" s="363">
        <v>0</v>
      </c>
      <c r="AT354" s="363">
        <v>0</v>
      </c>
      <c r="AU354" s="363">
        <v>0</v>
      </c>
      <c r="AV354" s="363">
        <v>0</v>
      </c>
      <c r="AW354" s="363">
        <v>0</v>
      </c>
      <c r="AX354" s="363">
        <v>0</v>
      </c>
      <c r="AY354" s="363">
        <v>0</v>
      </c>
      <c r="AZ354" s="363">
        <v>0</v>
      </c>
      <c r="BA354" s="363">
        <v>0</v>
      </c>
      <c r="BB354" s="363">
        <v>0</v>
      </c>
      <c r="BC354" s="363">
        <v>0</v>
      </c>
      <c r="BD354" s="363">
        <v>0</v>
      </c>
      <c r="BE354" s="363">
        <v>0</v>
      </c>
      <c r="BF354" s="363">
        <v>0</v>
      </c>
      <c r="BG354" s="363">
        <v>0</v>
      </c>
      <c r="BH354" s="363">
        <v>0</v>
      </c>
      <c r="BI354" s="363">
        <v>0</v>
      </c>
      <c r="BJ354" s="363">
        <v>0</v>
      </c>
      <c r="BK354" s="363">
        <v>0</v>
      </c>
      <c r="BL354" s="363">
        <v>0</v>
      </c>
      <c r="BM354" s="363">
        <v>0</v>
      </c>
      <c r="BN354" s="363">
        <v>0</v>
      </c>
      <c r="BO354" s="363">
        <v>0</v>
      </c>
      <c r="BP354" s="363">
        <v>0</v>
      </c>
      <c r="BQ354" s="363">
        <v>0</v>
      </c>
      <c r="BR354" s="363">
        <v>0</v>
      </c>
      <c r="BS354" s="363">
        <v>0</v>
      </c>
      <c r="BT354" s="363">
        <v>0</v>
      </c>
      <c r="BU354" s="363">
        <v>0</v>
      </c>
      <c r="BV354" s="363">
        <v>0</v>
      </c>
      <c r="BW354" s="363">
        <v>0</v>
      </c>
      <c r="BX354" s="363">
        <v>0</v>
      </c>
      <c r="BY354" s="363">
        <v>0</v>
      </c>
      <c r="BZ354" s="363">
        <v>0</v>
      </c>
      <c r="CA354" s="363">
        <v>0</v>
      </c>
      <c r="CB354" s="363">
        <v>0</v>
      </c>
      <c r="CC354" s="363">
        <v>0</v>
      </c>
    </row>
    <row r="355" spans="1:81" s="32" customFormat="1" ht="20.25" customHeight="1" thickBot="1" x14ac:dyDescent="0.25">
      <c r="A355" s="185"/>
      <c r="B355" s="363"/>
      <c r="C355" s="400"/>
      <c r="D355" s="363"/>
      <c r="E355"/>
      <c r="F355" s="100">
        <f t="shared" si="74"/>
        <v>0</v>
      </c>
      <c r="G355" s="87"/>
      <c r="H355" s="100" t="str">
        <f t="shared" si="73"/>
        <v>Completo</v>
      </c>
      <c r="I355"/>
      <c r="J355" s="363">
        <v>0</v>
      </c>
      <c r="K355" s="363">
        <v>0</v>
      </c>
      <c r="L355" s="363">
        <v>0</v>
      </c>
      <c r="M355" s="363">
        <v>0</v>
      </c>
      <c r="N355" s="363">
        <v>0</v>
      </c>
      <c r="O355" s="363">
        <v>0</v>
      </c>
      <c r="P355" s="363">
        <v>0</v>
      </c>
      <c r="Q355" s="363">
        <v>0</v>
      </c>
      <c r="R355" s="363">
        <v>0</v>
      </c>
      <c r="S355" s="363">
        <v>0</v>
      </c>
      <c r="T355" s="363">
        <v>0</v>
      </c>
      <c r="U355" s="363">
        <v>0</v>
      </c>
      <c r="V355" s="363">
        <v>0</v>
      </c>
      <c r="W355" s="363">
        <v>0</v>
      </c>
      <c r="X355" s="363">
        <v>0</v>
      </c>
      <c r="Y355" s="363">
        <v>0</v>
      </c>
      <c r="Z355" s="363">
        <v>0</v>
      </c>
      <c r="AA355" s="363">
        <v>0</v>
      </c>
      <c r="AB355" s="363">
        <v>0</v>
      </c>
      <c r="AC355" s="363">
        <v>0</v>
      </c>
      <c r="AD355" s="363">
        <v>0</v>
      </c>
      <c r="AE355" s="363">
        <v>0</v>
      </c>
      <c r="AF355" s="363">
        <v>0</v>
      </c>
      <c r="AG355" s="363">
        <v>0</v>
      </c>
      <c r="AH355" s="363">
        <v>0</v>
      </c>
      <c r="AI355" s="363">
        <v>0</v>
      </c>
      <c r="AJ355" s="363">
        <v>0</v>
      </c>
      <c r="AK355" s="363">
        <v>0</v>
      </c>
      <c r="AL355" s="363">
        <v>0</v>
      </c>
      <c r="AM355" s="363">
        <v>0</v>
      </c>
      <c r="AN355" s="363">
        <v>0</v>
      </c>
      <c r="AO355" s="363">
        <v>0</v>
      </c>
      <c r="AP355" s="363">
        <v>0</v>
      </c>
      <c r="AQ355" s="363">
        <v>0</v>
      </c>
      <c r="AR355" s="363">
        <v>0</v>
      </c>
      <c r="AS355" s="363">
        <v>0</v>
      </c>
      <c r="AT355" s="363">
        <v>0</v>
      </c>
      <c r="AU355" s="363">
        <v>0</v>
      </c>
      <c r="AV355" s="363">
        <v>0</v>
      </c>
      <c r="AW355" s="363">
        <v>0</v>
      </c>
      <c r="AX355" s="363">
        <v>0</v>
      </c>
      <c r="AY355" s="363">
        <v>0</v>
      </c>
      <c r="AZ355" s="363">
        <v>0</v>
      </c>
      <c r="BA355" s="363">
        <v>0</v>
      </c>
      <c r="BB355" s="363">
        <v>0</v>
      </c>
      <c r="BC355" s="363">
        <v>0</v>
      </c>
      <c r="BD355" s="363">
        <v>0</v>
      </c>
      <c r="BE355" s="363">
        <v>0</v>
      </c>
      <c r="BF355" s="363">
        <v>0</v>
      </c>
      <c r="BG355" s="363">
        <v>0</v>
      </c>
      <c r="BH355" s="363">
        <v>0</v>
      </c>
      <c r="BI355" s="363">
        <v>0</v>
      </c>
      <c r="BJ355" s="363">
        <v>0</v>
      </c>
      <c r="BK355" s="363">
        <v>0</v>
      </c>
      <c r="BL355" s="363">
        <v>0</v>
      </c>
      <c r="BM355" s="363">
        <v>0</v>
      </c>
      <c r="BN355" s="363">
        <v>0</v>
      </c>
      <c r="BO355" s="363">
        <v>0</v>
      </c>
      <c r="BP355" s="363">
        <v>0</v>
      </c>
      <c r="BQ355" s="363">
        <v>0</v>
      </c>
      <c r="BR355" s="363">
        <v>0</v>
      </c>
      <c r="BS355" s="363">
        <v>0</v>
      </c>
      <c r="BT355" s="363">
        <v>0</v>
      </c>
      <c r="BU355" s="363">
        <v>0</v>
      </c>
      <c r="BV355" s="363">
        <v>0</v>
      </c>
      <c r="BW355" s="363">
        <v>0</v>
      </c>
      <c r="BX355" s="363">
        <v>0</v>
      </c>
      <c r="BY355" s="363">
        <v>0</v>
      </c>
      <c r="BZ355" s="363">
        <v>0</v>
      </c>
      <c r="CA355" s="363">
        <v>0</v>
      </c>
      <c r="CB355" s="363">
        <v>0</v>
      </c>
      <c r="CC355" s="363">
        <v>0</v>
      </c>
    </row>
    <row r="356" spans="1:81" s="32" customFormat="1" ht="20.25" customHeight="1" thickBot="1" x14ac:dyDescent="0.25">
      <c r="A356" s="185"/>
      <c r="B356" s="363"/>
      <c r="C356" s="400"/>
      <c r="D356" s="363"/>
      <c r="E356"/>
      <c r="F356" s="100">
        <f t="shared" si="74"/>
        <v>0</v>
      </c>
      <c r="G356" s="87"/>
      <c r="H356" s="100" t="str">
        <f t="shared" si="73"/>
        <v>Completo</v>
      </c>
      <c r="I356"/>
      <c r="J356" s="363">
        <v>0</v>
      </c>
      <c r="K356" s="363">
        <v>0</v>
      </c>
      <c r="L356" s="363">
        <v>0</v>
      </c>
      <c r="M356" s="363">
        <v>0</v>
      </c>
      <c r="N356" s="363">
        <v>0</v>
      </c>
      <c r="O356" s="363">
        <v>0</v>
      </c>
      <c r="P356" s="363">
        <v>0</v>
      </c>
      <c r="Q356" s="363">
        <v>0</v>
      </c>
      <c r="R356" s="363">
        <v>0</v>
      </c>
      <c r="S356" s="363">
        <v>0</v>
      </c>
      <c r="T356" s="363">
        <v>0</v>
      </c>
      <c r="U356" s="363">
        <v>0</v>
      </c>
      <c r="V356" s="363">
        <v>0</v>
      </c>
      <c r="W356" s="363">
        <v>0</v>
      </c>
      <c r="X356" s="363">
        <v>0</v>
      </c>
      <c r="Y356" s="363">
        <v>0</v>
      </c>
      <c r="Z356" s="363">
        <v>0</v>
      </c>
      <c r="AA356" s="363">
        <v>0</v>
      </c>
      <c r="AB356" s="363">
        <v>0</v>
      </c>
      <c r="AC356" s="363">
        <v>0</v>
      </c>
      <c r="AD356" s="363">
        <v>0</v>
      </c>
      <c r="AE356" s="363">
        <v>0</v>
      </c>
      <c r="AF356" s="363">
        <v>0</v>
      </c>
      <c r="AG356" s="363">
        <v>0</v>
      </c>
      <c r="AH356" s="363">
        <v>0</v>
      </c>
      <c r="AI356" s="363">
        <v>0</v>
      </c>
      <c r="AJ356" s="363">
        <v>0</v>
      </c>
      <c r="AK356" s="363">
        <v>0</v>
      </c>
      <c r="AL356" s="363">
        <v>0</v>
      </c>
      <c r="AM356" s="363">
        <v>0</v>
      </c>
      <c r="AN356" s="363">
        <v>0</v>
      </c>
      <c r="AO356" s="363">
        <v>0</v>
      </c>
      <c r="AP356" s="363">
        <v>0</v>
      </c>
      <c r="AQ356" s="363">
        <v>0</v>
      </c>
      <c r="AR356" s="363">
        <v>0</v>
      </c>
      <c r="AS356" s="363">
        <v>0</v>
      </c>
      <c r="AT356" s="363">
        <v>0</v>
      </c>
      <c r="AU356" s="363">
        <v>0</v>
      </c>
      <c r="AV356" s="363">
        <v>0</v>
      </c>
      <c r="AW356" s="363">
        <v>0</v>
      </c>
      <c r="AX356" s="363">
        <v>0</v>
      </c>
      <c r="AY356" s="363">
        <v>0</v>
      </c>
      <c r="AZ356" s="363">
        <v>0</v>
      </c>
      <c r="BA356" s="363">
        <v>0</v>
      </c>
      <c r="BB356" s="363">
        <v>0</v>
      </c>
      <c r="BC356" s="363">
        <v>0</v>
      </c>
      <c r="BD356" s="363">
        <v>0</v>
      </c>
      <c r="BE356" s="363">
        <v>0</v>
      </c>
      <c r="BF356" s="363">
        <v>0</v>
      </c>
      <c r="BG356" s="363">
        <v>0</v>
      </c>
      <c r="BH356" s="363">
        <v>0</v>
      </c>
      <c r="BI356" s="363">
        <v>0</v>
      </c>
      <c r="BJ356" s="363">
        <v>0</v>
      </c>
      <c r="BK356" s="363">
        <v>0</v>
      </c>
      <c r="BL356" s="363">
        <v>0</v>
      </c>
      <c r="BM356" s="363">
        <v>0</v>
      </c>
      <c r="BN356" s="363">
        <v>0</v>
      </c>
      <c r="BO356" s="363">
        <v>0</v>
      </c>
      <c r="BP356" s="363">
        <v>0</v>
      </c>
      <c r="BQ356" s="363">
        <v>0</v>
      </c>
      <c r="BR356" s="363">
        <v>0</v>
      </c>
      <c r="BS356" s="363">
        <v>0</v>
      </c>
      <c r="BT356" s="363">
        <v>0</v>
      </c>
      <c r="BU356" s="363">
        <v>0</v>
      </c>
      <c r="BV356" s="363">
        <v>0</v>
      </c>
      <c r="BW356" s="363">
        <v>0</v>
      </c>
      <c r="BX356" s="363">
        <v>0</v>
      </c>
      <c r="BY356" s="363">
        <v>0</v>
      </c>
      <c r="BZ356" s="363">
        <v>0</v>
      </c>
      <c r="CA356" s="363">
        <v>0</v>
      </c>
      <c r="CB356" s="363">
        <v>0</v>
      </c>
      <c r="CC356" s="363">
        <v>0</v>
      </c>
    </row>
    <row r="357" spans="1:81" s="32" customFormat="1" ht="20.25" customHeight="1" thickBot="1" x14ac:dyDescent="0.25">
      <c r="A357" s="185"/>
      <c r="B357" s="363"/>
      <c r="C357" s="400"/>
      <c r="D357" s="363"/>
      <c r="E357"/>
      <c r="F357" s="100">
        <f t="shared" si="74"/>
        <v>0</v>
      </c>
      <c r="G357" s="87"/>
      <c r="H357" s="100" t="str">
        <f t="shared" si="73"/>
        <v>Completo</v>
      </c>
      <c r="I357"/>
      <c r="J357" s="363">
        <v>0</v>
      </c>
      <c r="K357" s="363">
        <v>0</v>
      </c>
      <c r="L357" s="363">
        <v>0</v>
      </c>
      <c r="M357" s="363">
        <v>0</v>
      </c>
      <c r="N357" s="363">
        <v>0</v>
      </c>
      <c r="O357" s="363">
        <v>0</v>
      </c>
      <c r="P357" s="363">
        <v>0</v>
      </c>
      <c r="Q357" s="363">
        <v>0</v>
      </c>
      <c r="R357" s="363">
        <v>0</v>
      </c>
      <c r="S357" s="363">
        <v>0</v>
      </c>
      <c r="T357" s="363">
        <v>0</v>
      </c>
      <c r="U357" s="363">
        <v>0</v>
      </c>
      <c r="V357" s="363">
        <v>0</v>
      </c>
      <c r="W357" s="363">
        <v>0</v>
      </c>
      <c r="X357" s="363">
        <v>0</v>
      </c>
      <c r="Y357" s="363">
        <v>0</v>
      </c>
      <c r="Z357" s="363">
        <v>0</v>
      </c>
      <c r="AA357" s="363">
        <v>0</v>
      </c>
      <c r="AB357" s="363">
        <v>0</v>
      </c>
      <c r="AC357" s="363">
        <v>0</v>
      </c>
      <c r="AD357" s="363">
        <v>0</v>
      </c>
      <c r="AE357" s="363">
        <v>0</v>
      </c>
      <c r="AF357" s="363">
        <v>0</v>
      </c>
      <c r="AG357" s="363">
        <v>0</v>
      </c>
      <c r="AH357" s="363">
        <v>0</v>
      </c>
      <c r="AI357" s="363">
        <v>0</v>
      </c>
      <c r="AJ357" s="363">
        <v>0</v>
      </c>
      <c r="AK357" s="363">
        <v>0</v>
      </c>
      <c r="AL357" s="363">
        <v>0</v>
      </c>
      <c r="AM357" s="363">
        <v>0</v>
      </c>
      <c r="AN357" s="363">
        <v>0</v>
      </c>
      <c r="AO357" s="363">
        <v>0</v>
      </c>
      <c r="AP357" s="363">
        <v>0</v>
      </c>
      <c r="AQ357" s="363">
        <v>0</v>
      </c>
      <c r="AR357" s="363">
        <v>0</v>
      </c>
      <c r="AS357" s="363">
        <v>0</v>
      </c>
      <c r="AT357" s="363">
        <v>0</v>
      </c>
      <c r="AU357" s="363">
        <v>0</v>
      </c>
      <c r="AV357" s="363">
        <v>0</v>
      </c>
      <c r="AW357" s="363">
        <v>0</v>
      </c>
      <c r="AX357" s="363">
        <v>0</v>
      </c>
      <c r="AY357" s="363">
        <v>0</v>
      </c>
      <c r="AZ357" s="363">
        <v>0</v>
      </c>
      <c r="BA357" s="363">
        <v>0</v>
      </c>
      <c r="BB357" s="363">
        <v>0</v>
      </c>
      <c r="BC357" s="363">
        <v>0</v>
      </c>
      <c r="BD357" s="363">
        <v>0</v>
      </c>
      <c r="BE357" s="363">
        <v>0</v>
      </c>
      <c r="BF357" s="363">
        <v>0</v>
      </c>
      <c r="BG357" s="363">
        <v>0</v>
      </c>
      <c r="BH357" s="363">
        <v>0</v>
      </c>
      <c r="BI357" s="363">
        <v>0</v>
      </c>
      <c r="BJ357" s="363">
        <v>0</v>
      </c>
      <c r="BK357" s="363">
        <v>0</v>
      </c>
      <c r="BL357" s="363">
        <v>0</v>
      </c>
      <c r="BM357" s="363">
        <v>0</v>
      </c>
      <c r="BN357" s="363">
        <v>0</v>
      </c>
      <c r="BO357" s="363">
        <v>0</v>
      </c>
      <c r="BP357" s="363">
        <v>0</v>
      </c>
      <c r="BQ357" s="363">
        <v>0</v>
      </c>
      <c r="BR357" s="363">
        <v>0</v>
      </c>
      <c r="BS357" s="363">
        <v>0</v>
      </c>
      <c r="BT357" s="363">
        <v>0</v>
      </c>
      <c r="BU357" s="363">
        <v>0</v>
      </c>
      <c r="BV357" s="363">
        <v>0</v>
      </c>
      <c r="BW357" s="363">
        <v>0</v>
      </c>
      <c r="BX357" s="363">
        <v>0</v>
      </c>
      <c r="BY357" s="363">
        <v>0</v>
      </c>
      <c r="BZ357" s="363">
        <v>0</v>
      </c>
      <c r="CA357" s="363">
        <v>0</v>
      </c>
      <c r="CB357" s="363">
        <v>0</v>
      </c>
      <c r="CC357" s="363">
        <v>0</v>
      </c>
    </row>
    <row r="358" spans="1:81" s="32" customFormat="1" ht="5.0999999999999996" customHeight="1" thickBot="1" x14ac:dyDescent="0.25">
      <c r="A358" s="185"/>
      <c r="D358"/>
      <c r="E358"/>
      <c r="F358"/>
      <c r="G358"/>
      <c r="H358"/>
      <c r="I358"/>
      <c r="J358" s="163"/>
      <c r="K358" s="163"/>
      <c r="L358" s="163"/>
      <c r="M358" s="163"/>
      <c r="N358" s="163"/>
      <c r="O358" s="163"/>
      <c r="P358"/>
      <c r="Q358"/>
      <c r="R358"/>
      <c r="S358"/>
      <c r="T358"/>
      <c r="U358"/>
      <c r="V358"/>
      <c r="W358"/>
      <c r="X358"/>
      <c r="Y358"/>
      <c r="Z358"/>
      <c r="AA358"/>
      <c r="AB358"/>
      <c r="AC358"/>
      <c r="AD358"/>
      <c r="AE358"/>
      <c r="AF358"/>
      <c r="AG358"/>
      <c r="AH358"/>
      <c r="AI358"/>
      <c r="AJ358"/>
      <c r="AK358"/>
      <c r="AL358"/>
      <c r="AM358"/>
      <c r="AN358"/>
      <c r="AO358"/>
      <c r="AP358"/>
      <c r="AQ358"/>
      <c r="AR358"/>
      <c r="AS358"/>
      <c r="AT358"/>
      <c r="AU358"/>
      <c r="AV358"/>
      <c r="AW358"/>
      <c r="AX358"/>
      <c r="AY358"/>
      <c r="AZ358"/>
      <c r="BA358"/>
      <c r="BB358"/>
      <c r="BC358"/>
      <c r="BD358"/>
      <c r="BE358"/>
      <c r="BF358"/>
      <c r="BG358"/>
      <c r="BH358"/>
      <c r="BI358"/>
      <c r="BJ358"/>
      <c r="BK358"/>
      <c r="BL358"/>
      <c r="BM358"/>
      <c r="BN358"/>
      <c r="BO358"/>
      <c r="BP358"/>
      <c r="BQ358"/>
      <c r="BR358"/>
      <c r="BS358"/>
      <c r="BT358"/>
      <c r="BU358"/>
      <c r="BV358"/>
      <c r="BW358"/>
      <c r="BX358"/>
      <c r="BY358"/>
      <c r="BZ358"/>
      <c r="CA358"/>
      <c r="CB358"/>
      <c r="CC358"/>
    </row>
    <row r="359" spans="1:81" s="32" customFormat="1" ht="28.5" thickBot="1" x14ac:dyDescent="0.25">
      <c r="A359" s="185"/>
      <c r="B359" s="280" t="s">
        <v>172</v>
      </c>
      <c r="C359" s="186"/>
      <c r="D359" s="183">
        <f>SUM(D332:D358)</f>
        <v>0</v>
      </c>
      <c r="E359" s="186"/>
      <c r="F359" s="271" t="s">
        <v>347</v>
      </c>
      <c r="H359" s="183">
        <f>SUM(J359:CC359)</f>
        <v>0</v>
      </c>
      <c r="I359" s="186"/>
      <c r="J359" s="191">
        <f t="shared" ref="J359:AO359" si="75">SUM(J332:J358)</f>
        <v>0</v>
      </c>
      <c r="K359" s="191">
        <f t="shared" si="75"/>
        <v>0</v>
      </c>
      <c r="L359" s="191">
        <f t="shared" si="75"/>
        <v>0</v>
      </c>
      <c r="M359" s="191">
        <f t="shared" si="75"/>
        <v>0</v>
      </c>
      <c r="N359" s="191">
        <f t="shared" si="75"/>
        <v>0</v>
      </c>
      <c r="O359" s="191">
        <f t="shared" si="75"/>
        <v>0</v>
      </c>
      <c r="P359" s="191">
        <f t="shared" si="75"/>
        <v>0</v>
      </c>
      <c r="Q359" s="191">
        <f t="shared" si="75"/>
        <v>0</v>
      </c>
      <c r="R359" s="191">
        <f t="shared" si="75"/>
        <v>0</v>
      </c>
      <c r="S359" s="191">
        <f t="shared" si="75"/>
        <v>0</v>
      </c>
      <c r="T359" s="191">
        <f t="shared" si="75"/>
        <v>0</v>
      </c>
      <c r="U359" s="191">
        <f t="shared" si="75"/>
        <v>0</v>
      </c>
      <c r="V359" s="191">
        <f t="shared" si="75"/>
        <v>0</v>
      </c>
      <c r="W359" s="191">
        <f t="shared" si="75"/>
        <v>0</v>
      </c>
      <c r="X359" s="191">
        <f t="shared" si="75"/>
        <v>0</v>
      </c>
      <c r="Y359" s="191">
        <f t="shared" si="75"/>
        <v>0</v>
      </c>
      <c r="Z359" s="191">
        <f t="shared" si="75"/>
        <v>0</v>
      </c>
      <c r="AA359" s="191">
        <f t="shared" si="75"/>
        <v>0</v>
      </c>
      <c r="AB359" s="191">
        <f t="shared" si="75"/>
        <v>0</v>
      </c>
      <c r="AC359" s="191">
        <f t="shared" si="75"/>
        <v>0</v>
      </c>
      <c r="AD359" s="191">
        <f t="shared" si="75"/>
        <v>0</v>
      </c>
      <c r="AE359" s="191">
        <f t="shared" si="75"/>
        <v>0</v>
      </c>
      <c r="AF359" s="191">
        <f t="shared" si="75"/>
        <v>0</v>
      </c>
      <c r="AG359" s="191">
        <f t="shared" si="75"/>
        <v>0</v>
      </c>
      <c r="AH359" s="191">
        <f t="shared" si="75"/>
        <v>0</v>
      </c>
      <c r="AI359" s="191">
        <f t="shared" si="75"/>
        <v>0</v>
      </c>
      <c r="AJ359" s="191">
        <f t="shared" si="75"/>
        <v>0</v>
      </c>
      <c r="AK359" s="191">
        <f t="shared" si="75"/>
        <v>0</v>
      </c>
      <c r="AL359" s="191">
        <f t="shared" si="75"/>
        <v>0</v>
      </c>
      <c r="AM359" s="191">
        <f t="shared" si="75"/>
        <v>0</v>
      </c>
      <c r="AN359" s="191">
        <f t="shared" si="75"/>
        <v>0</v>
      </c>
      <c r="AO359" s="191">
        <f t="shared" si="75"/>
        <v>0</v>
      </c>
      <c r="AP359" s="191">
        <f t="shared" ref="AP359:BU359" si="76">SUM(AP332:AP358)</f>
        <v>0</v>
      </c>
      <c r="AQ359" s="191">
        <f t="shared" si="76"/>
        <v>0</v>
      </c>
      <c r="AR359" s="191">
        <f t="shared" si="76"/>
        <v>0</v>
      </c>
      <c r="AS359" s="191">
        <f t="shared" si="76"/>
        <v>0</v>
      </c>
      <c r="AT359" s="191">
        <f t="shared" si="76"/>
        <v>0</v>
      </c>
      <c r="AU359" s="191">
        <f t="shared" si="76"/>
        <v>0</v>
      </c>
      <c r="AV359" s="191">
        <f t="shared" si="76"/>
        <v>0</v>
      </c>
      <c r="AW359" s="191">
        <f t="shared" si="76"/>
        <v>0</v>
      </c>
      <c r="AX359" s="191">
        <f t="shared" si="76"/>
        <v>0</v>
      </c>
      <c r="AY359" s="191">
        <f t="shared" si="76"/>
        <v>0</v>
      </c>
      <c r="AZ359" s="191">
        <f t="shared" si="76"/>
        <v>0</v>
      </c>
      <c r="BA359" s="191">
        <f t="shared" si="76"/>
        <v>0</v>
      </c>
      <c r="BB359" s="191">
        <f t="shared" si="76"/>
        <v>0</v>
      </c>
      <c r="BC359" s="191">
        <f t="shared" si="76"/>
        <v>0</v>
      </c>
      <c r="BD359" s="191">
        <f t="shared" si="76"/>
        <v>0</v>
      </c>
      <c r="BE359" s="191">
        <f t="shared" si="76"/>
        <v>0</v>
      </c>
      <c r="BF359" s="191">
        <f t="shared" si="76"/>
        <v>0</v>
      </c>
      <c r="BG359" s="191">
        <f t="shared" si="76"/>
        <v>0</v>
      </c>
      <c r="BH359" s="191">
        <f t="shared" si="76"/>
        <v>0</v>
      </c>
      <c r="BI359" s="191">
        <f t="shared" si="76"/>
        <v>0</v>
      </c>
      <c r="BJ359" s="191">
        <f t="shared" si="76"/>
        <v>0</v>
      </c>
      <c r="BK359" s="191">
        <f t="shared" si="76"/>
        <v>0</v>
      </c>
      <c r="BL359" s="191">
        <f t="shared" si="76"/>
        <v>0</v>
      </c>
      <c r="BM359" s="191">
        <f t="shared" si="76"/>
        <v>0</v>
      </c>
      <c r="BN359" s="191">
        <f t="shared" si="76"/>
        <v>0</v>
      </c>
      <c r="BO359" s="191">
        <f t="shared" si="76"/>
        <v>0</v>
      </c>
      <c r="BP359" s="191">
        <f t="shared" si="76"/>
        <v>0</v>
      </c>
      <c r="BQ359" s="191">
        <f t="shared" si="76"/>
        <v>0</v>
      </c>
      <c r="BR359" s="191">
        <f t="shared" si="76"/>
        <v>0</v>
      </c>
      <c r="BS359" s="191">
        <f t="shared" si="76"/>
        <v>0</v>
      </c>
      <c r="BT359" s="191">
        <f t="shared" si="76"/>
        <v>0</v>
      </c>
      <c r="BU359" s="191">
        <f t="shared" si="76"/>
        <v>0</v>
      </c>
      <c r="BV359" s="191">
        <f t="shared" ref="BV359:CC359" si="77">SUM(BV332:BV358)</f>
        <v>0</v>
      </c>
      <c r="BW359" s="191">
        <f t="shared" si="77"/>
        <v>0</v>
      </c>
      <c r="BX359" s="191">
        <f t="shared" si="77"/>
        <v>0</v>
      </c>
      <c r="BY359" s="191">
        <f t="shared" si="77"/>
        <v>0</v>
      </c>
      <c r="BZ359" s="191">
        <f t="shared" si="77"/>
        <v>0</v>
      </c>
      <c r="CA359" s="191">
        <f t="shared" si="77"/>
        <v>0</v>
      </c>
      <c r="CB359" s="191">
        <f t="shared" si="77"/>
        <v>0</v>
      </c>
      <c r="CC359" s="191">
        <f t="shared" si="77"/>
        <v>0</v>
      </c>
    </row>
    <row r="360" spans="1:81" ht="5.0999999999999996" customHeight="1" thickBot="1" x14ac:dyDescent="0.25">
      <c r="B360" s="20"/>
      <c r="D360" s="32"/>
      <c r="E360" s="32"/>
      <c r="F360" s="32"/>
      <c r="G360" s="32"/>
      <c r="H360" s="32"/>
      <c r="I360" s="32"/>
      <c r="J360" s="116"/>
      <c r="K360" s="116"/>
      <c r="L360" s="116"/>
      <c r="M360" s="116"/>
      <c r="N360" s="116"/>
      <c r="O360" s="116"/>
      <c r="P360" s="116"/>
      <c r="Q360" s="116"/>
      <c r="R360" s="116"/>
      <c r="S360" s="116"/>
      <c r="T360" s="116"/>
      <c r="U360" s="116"/>
      <c r="V360" s="116"/>
      <c r="W360" s="116"/>
      <c r="X360" s="116"/>
      <c r="Y360" s="116"/>
      <c r="Z360" s="116"/>
      <c r="AA360" s="116"/>
      <c r="AB360" s="116"/>
      <c r="AC360" s="116"/>
      <c r="AD360" s="116"/>
      <c r="AE360" s="116"/>
      <c r="AF360" s="116"/>
      <c r="AG360" s="116"/>
      <c r="AH360" s="116"/>
      <c r="AI360" s="116"/>
      <c r="AJ360" s="116"/>
      <c r="AK360" s="116"/>
      <c r="AL360" s="116"/>
      <c r="AM360" s="116"/>
      <c r="AN360" s="116"/>
      <c r="AO360" s="116"/>
      <c r="AP360" s="116"/>
      <c r="AQ360" s="116"/>
      <c r="AR360" s="116"/>
      <c r="AS360" s="116"/>
      <c r="AT360" s="116"/>
      <c r="AU360" s="116"/>
      <c r="AV360" s="116"/>
      <c r="AW360" s="116"/>
      <c r="AX360" s="116"/>
      <c r="AY360" s="116"/>
      <c r="AZ360" s="116"/>
      <c r="BA360" s="116"/>
      <c r="BB360" s="116"/>
      <c r="BC360" s="116"/>
      <c r="BD360" s="116"/>
      <c r="BE360" s="116"/>
      <c r="BF360" s="116"/>
      <c r="BG360" s="116"/>
      <c r="BH360" s="116"/>
      <c r="BI360" s="116"/>
      <c r="BJ360" s="116"/>
      <c r="BK360" s="116"/>
      <c r="BL360" s="116"/>
      <c r="BM360" s="116"/>
      <c r="BN360" s="116"/>
      <c r="BO360" s="116"/>
      <c r="BP360" s="116"/>
      <c r="BQ360" s="116"/>
      <c r="BR360" s="116"/>
      <c r="BS360" s="116"/>
      <c r="BT360" s="116"/>
      <c r="BU360" s="116"/>
      <c r="BV360" s="116"/>
      <c r="BW360" s="116"/>
      <c r="BX360" s="116"/>
      <c r="BY360" s="116"/>
      <c r="BZ360" s="116"/>
      <c r="CA360" s="116"/>
      <c r="CB360" s="116"/>
      <c r="CC360" s="116"/>
    </row>
    <row r="361" spans="1:81" s="32" customFormat="1" ht="15.75" thickBot="1" x14ac:dyDescent="0.25">
      <c r="A361" s="185"/>
      <c r="B361" s="481" t="s">
        <v>115</v>
      </c>
      <c r="C361" s="482"/>
      <c r="D361" s="483"/>
      <c r="J361" s="100">
        <f>+J359</f>
        <v>0</v>
      </c>
      <c r="K361" s="100">
        <f>+J361+K359</f>
        <v>0</v>
      </c>
      <c r="L361" s="100">
        <f>+K361+L359</f>
        <v>0</v>
      </c>
      <c r="M361" s="100">
        <f>+L361+M359</f>
        <v>0</v>
      </c>
      <c r="N361" s="100">
        <f t="shared" ref="N361:U361" si="78">+M361+N359</f>
        <v>0</v>
      </c>
      <c r="O361" s="100">
        <f t="shared" si="78"/>
        <v>0</v>
      </c>
      <c r="P361" s="100">
        <f t="shared" si="78"/>
        <v>0</v>
      </c>
      <c r="Q361" s="100">
        <f t="shared" si="78"/>
        <v>0</v>
      </c>
      <c r="R361" s="100">
        <f t="shared" si="78"/>
        <v>0</v>
      </c>
      <c r="S361" s="100">
        <f t="shared" si="78"/>
        <v>0</v>
      </c>
      <c r="T361" s="100">
        <f t="shared" si="78"/>
        <v>0</v>
      </c>
      <c r="U361" s="100">
        <f t="shared" si="78"/>
        <v>0</v>
      </c>
      <c r="V361" s="100">
        <f t="shared" ref="V361:CC361" si="79">+U361+V359</f>
        <v>0</v>
      </c>
      <c r="W361" s="100">
        <f t="shared" si="79"/>
        <v>0</v>
      </c>
      <c r="X361" s="100">
        <f t="shared" si="79"/>
        <v>0</v>
      </c>
      <c r="Y361" s="100">
        <f t="shared" si="79"/>
        <v>0</v>
      </c>
      <c r="Z361" s="100">
        <f t="shared" si="79"/>
        <v>0</v>
      </c>
      <c r="AA361" s="100">
        <f t="shared" si="79"/>
        <v>0</v>
      </c>
      <c r="AB361" s="100">
        <f t="shared" si="79"/>
        <v>0</v>
      </c>
      <c r="AC361" s="100">
        <f t="shared" si="79"/>
        <v>0</v>
      </c>
      <c r="AD361" s="100">
        <f t="shared" si="79"/>
        <v>0</v>
      </c>
      <c r="AE361" s="100">
        <f t="shared" si="79"/>
        <v>0</v>
      </c>
      <c r="AF361" s="100">
        <f t="shared" si="79"/>
        <v>0</v>
      </c>
      <c r="AG361" s="100">
        <f t="shared" si="79"/>
        <v>0</v>
      </c>
      <c r="AH361" s="100">
        <f t="shared" si="79"/>
        <v>0</v>
      </c>
      <c r="AI361" s="100">
        <f t="shared" si="79"/>
        <v>0</v>
      </c>
      <c r="AJ361" s="100">
        <f t="shared" si="79"/>
        <v>0</v>
      </c>
      <c r="AK361" s="100">
        <f t="shared" si="79"/>
        <v>0</v>
      </c>
      <c r="AL361" s="100">
        <f t="shared" si="79"/>
        <v>0</v>
      </c>
      <c r="AM361" s="100">
        <f t="shared" si="79"/>
        <v>0</v>
      </c>
      <c r="AN361" s="100">
        <f t="shared" si="79"/>
        <v>0</v>
      </c>
      <c r="AO361" s="100">
        <f t="shared" si="79"/>
        <v>0</v>
      </c>
      <c r="AP361" s="100">
        <f t="shared" si="79"/>
        <v>0</v>
      </c>
      <c r="AQ361" s="100">
        <f t="shared" si="79"/>
        <v>0</v>
      </c>
      <c r="AR361" s="100">
        <f t="shared" si="79"/>
        <v>0</v>
      </c>
      <c r="AS361" s="100">
        <f t="shared" si="79"/>
        <v>0</v>
      </c>
      <c r="AT361" s="100">
        <f t="shared" si="79"/>
        <v>0</v>
      </c>
      <c r="AU361" s="100">
        <f t="shared" si="79"/>
        <v>0</v>
      </c>
      <c r="AV361" s="100">
        <f t="shared" si="79"/>
        <v>0</v>
      </c>
      <c r="AW361" s="100">
        <f t="shared" si="79"/>
        <v>0</v>
      </c>
      <c r="AX361" s="100">
        <f t="shared" si="79"/>
        <v>0</v>
      </c>
      <c r="AY361" s="100">
        <f t="shared" si="79"/>
        <v>0</v>
      </c>
      <c r="AZ361" s="100">
        <f t="shared" si="79"/>
        <v>0</v>
      </c>
      <c r="BA361" s="100">
        <f t="shared" si="79"/>
        <v>0</v>
      </c>
      <c r="BB361" s="100">
        <f t="shared" si="79"/>
        <v>0</v>
      </c>
      <c r="BC361" s="100">
        <f t="shared" si="79"/>
        <v>0</v>
      </c>
      <c r="BD361" s="100">
        <f t="shared" si="79"/>
        <v>0</v>
      </c>
      <c r="BE361" s="100">
        <f t="shared" si="79"/>
        <v>0</v>
      </c>
      <c r="BF361" s="100">
        <f t="shared" si="79"/>
        <v>0</v>
      </c>
      <c r="BG361" s="100">
        <f t="shared" si="79"/>
        <v>0</v>
      </c>
      <c r="BH361" s="100">
        <f t="shared" si="79"/>
        <v>0</v>
      </c>
      <c r="BI361" s="100">
        <f t="shared" si="79"/>
        <v>0</v>
      </c>
      <c r="BJ361" s="100">
        <f t="shared" si="79"/>
        <v>0</v>
      </c>
      <c r="BK361" s="100">
        <f t="shared" si="79"/>
        <v>0</v>
      </c>
      <c r="BL361" s="100">
        <f t="shared" si="79"/>
        <v>0</v>
      </c>
      <c r="BM361" s="100">
        <f t="shared" si="79"/>
        <v>0</v>
      </c>
      <c r="BN361" s="100">
        <f t="shared" si="79"/>
        <v>0</v>
      </c>
      <c r="BO361" s="100">
        <f t="shared" si="79"/>
        <v>0</v>
      </c>
      <c r="BP361" s="100">
        <f t="shared" si="79"/>
        <v>0</v>
      </c>
      <c r="BQ361" s="100">
        <f t="shared" si="79"/>
        <v>0</v>
      </c>
      <c r="BR361" s="100">
        <f t="shared" si="79"/>
        <v>0</v>
      </c>
      <c r="BS361" s="100">
        <f t="shared" si="79"/>
        <v>0</v>
      </c>
      <c r="BT361" s="100">
        <f t="shared" si="79"/>
        <v>0</v>
      </c>
      <c r="BU361" s="100">
        <f t="shared" si="79"/>
        <v>0</v>
      </c>
      <c r="BV361" s="100">
        <f t="shared" si="79"/>
        <v>0</v>
      </c>
      <c r="BW361" s="100">
        <f t="shared" si="79"/>
        <v>0</v>
      </c>
      <c r="BX361" s="100">
        <f t="shared" si="79"/>
        <v>0</v>
      </c>
      <c r="BY361" s="100">
        <f t="shared" si="79"/>
        <v>0</v>
      </c>
      <c r="BZ361" s="100">
        <f t="shared" si="79"/>
        <v>0</v>
      </c>
      <c r="CA361" s="100">
        <f t="shared" si="79"/>
        <v>0</v>
      </c>
      <c r="CB361" s="100">
        <f t="shared" si="79"/>
        <v>0</v>
      </c>
      <c r="CC361" s="100">
        <f t="shared" si="79"/>
        <v>0</v>
      </c>
    </row>
    <row r="362" spans="1:81" ht="5.0999999999999996" customHeight="1" x14ac:dyDescent="0.2">
      <c r="B362" s="20"/>
    </row>
    <row r="363" spans="1:81" s="20" customFormat="1" x14ac:dyDescent="0.2">
      <c r="A363" s="427"/>
      <c r="B363" s="269" t="s">
        <v>173</v>
      </c>
      <c r="C363" s="269"/>
      <c r="D363" s="269"/>
      <c r="E363" s="269"/>
      <c r="F363" s="269"/>
      <c r="G363" s="269"/>
      <c r="H363" s="269"/>
      <c r="I363" s="269"/>
      <c r="J363" s="287"/>
      <c r="K363" s="269"/>
      <c r="L363" s="287"/>
      <c r="M363" s="269"/>
      <c r="N363" s="269"/>
      <c r="O363" s="269"/>
      <c r="P363" s="269"/>
      <c r="Q363" s="269"/>
      <c r="R363" s="269"/>
      <c r="S363" s="269"/>
      <c r="T363" s="269"/>
      <c r="U363" s="269"/>
      <c r="V363" s="269"/>
      <c r="W363" s="269"/>
      <c r="X363" s="269"/>
      <c r="Y363" s="269"/>
      <c r="Z363" s="269"/>
      <c r="AA363" s="269"/>
      <c r="AB363" s="269"/>
      <c r="AC363" s="269"/>
      <c r="AD363" s="269"/>
      <c r="AE363" s="269"/>
      <c r="AF363" s="269"/>
      <c r="AG363" s="269"/>
      <c r="AH363" s="269"/>
      <c r="AI363" s="269"/>
      <c r="AJ363" s="269"/>
      <c r="AK363" s="269"/>
      <c r="AL363" s="269"/>
      <c r="AM363" s="269"/>
      <c r="AN363" s="269"/>
      <c r="AO363" s="269"/>
      <c r="AP363" s="269"/>
      <c r="AQ363" s="269"/>
      <c r="AR363" s="269"/>
      <c r="AS363" s="269"/>
      <c r="AT363" s="269"/>
      <c r="AU363" s="269"/>
      <c r="AV363" s="269"/>
      <c r="AW363" s="269"/>
      <c r="AX363" s="269"/>
      <c r="AY363" s="269"/>
      <c r="AZ363" s="269"/>
      <c r="BA363" s="269"/>
      <c r="BB363" s="269"/>
      <c r="BC363" s="269"/>
      <c r="BD363" s="269"/>
      <c r="BE363" s="269"/>
      <c r="BF363" s="269"/>
      <c r="BG363" s="269"/>
      <c r="BH363" s="269"/>
      <c r="BI363" s="269"/>
      <c r="BJ363" s="269"/>
      <c r="BK363" s="269"/>
      <c r="BL363" s="269"/>
      <c r="BM363" s="269"/>
      <c r="BN363" s="269"/>
      <c r="BO363" s="269"/>
      <c r="BP363" s="269"/>
      <c r="BQ363" s="269"/>
      <c r="BR363" s="269"/>
      <c r="BS363" s="269"/>
      <c r="BT363" s="269"/>
      <c r="BU363" s="269"/>
      <c r="BV363" s="269"/>
      <c r="BW363" s="269"/>
      <c r="BX363" s="269"/>
      <c r="BY363" s="269"/>
      <c r="BZ363" s="269"/>
      <c r="CA363" s="269"/>
      <c r="CB363" s="269"/>
      <c r="CC363" s="269"/>
    </row>
    <row r="364" spans="1:81" ht="5.0999999999999996" customHeight="1" thickBot="1" x14ac:dyDescent="0.25"/>
    <row r="365" spans="1:81" s="32" customFormat="1" ht="45.75" customHeight="1" thickBot="1" x14ac:dyDescent="0.25">
      <c r="A365" s="185"/>
      <c r="B365" s="519"/>
      <c r="C365" s="520"/>
      <c r="D365" s="520"/>
      <c r="E365" s="520"/>
      <c r="F365" s="521"/>
      <c r="H365" s="83"/>
      <c r="J365" s="312" t="e">
        <f t="shared" ref="J365:AO365" si="80">+J330</f>
        <v>#N/A</v>
      </c>
      <c r="K365" s="312" t="e">
        <f t="shared" si="80"/>
        <v>#N/A</v>
      </c>
      <c r="L365" s="312" t="e">
        <f t="shared" si="80"/>
        <v>#N/A</v>
      </c>
      <c r="M365" s="312" t="e">
        <f t="shared" si="80"/>
        <v>#N/A</v>
      </c>
      <c r="N365" s="312" t="e">
        <f t="shared" si="80"/>
        <v>#N/A</v>
      </c>
      <c r="O365" s="312" t="e">
        <f t="shared" si="80"/>
        <v>#N/A</v>
      </c>
      <c r="P365" s="312" t="e">
        <f t="shared" si="80"/>
        <v>#N/A</v>
      </c>
      <c r="Q365" s="312" t="e">
        <f t="shared" si="80"/>
        <v>#N/A</v>
      </c>
      <c r="R365" s="312" t="e">
        <f t="shared" si="80"/>
        <v>#N/A</v>
      </c>
      <c r="S365" s="312" t="e">
        <f t="shared" si="80"/>
        <v>#N/A</v>
      </c>
      <c r="T365" s="312" t="e">
        <f t="shared" si="80"/>
        <v>#N/A</v>
      </c>
      <c r="U365" s="312" t="e">
        <f t="shared" si="80"/>
        <v>#N/A</v>
      </c>
      <c r="V365" s="312" t="e">
        <f t="shared" si="80"/>
        <v>#N/A</v>
      </c>
      <c r="W365" s="312" t="e">
        <f t="shared" si="80"/>
        <v>#N/A</v>
      </c>
      <c r="X365" s="312" t="e">
        <f t="shared" si="80"/>
        <v>#N/A</v>
      </c>
      <c r="Y365" s="312" t="e">
        <f t="shared" si="80"/>
        <v>#N/A</v>
      </c>
      <c r="Z365" s="312" t="e">
        <f t="shared" si="80"/>
        <v>#N/A</v>
      </c>
      <c r="AA365" s="312" t="e">
        <f t="shared" si="80"/>
        <v>#N/A</v>
      </c>
      <c r="AB365" s="312" t="e">
        <f t="shared" si="80"/>
        <v>#N/A</v>
      </c>
      <c r="AC365" s="312" t="e">
        <f t="shared" si="80"/>
        <v>#N/A</v>
      </c>
      <c r="AD365" s="312" t="e">
        <f t="shared" si="80"/>
        <v>#N/A</v>
      </c>
      <c r="AE365" s="312" t="e">
        <f t="shared" si="80"/>
        <v>#N/A</v>
      </c>
      <c r="AF365" s="312" t="e">
        <f t="shared" si="80"/>
        <v>#N/A</v>
      </c>
      <c r="AG365" s="312" t="e">
        <f t="shared" si="80"/>
        <v>#N/A</v>
      </c>
      <c r="AH365" s="312" t="e">
        <f t="shared" si="80"/>
        <v>#N/A</v>
      </c>
      <c r="AI365" s="312" t="e">
        <f t="shared" si="80"/>
        <v>#N/A</v>
      </c>
      <c r="AJ365" s="312" t="e">
        <f t="shared" si="80"/>
        <v>#N/A</v>
      </c>
      <c r="AK365" s="312" t="e">
        <f t="shared" si="80"/>
        <v>#N/A</v>
      </c>
      <c r="AL365" s="312" t="e">
        <f t="shared" si="80"/>
        <v>#N/A</v>
      </c>
      <c r="AM365" s="312" t="e">
        <f t="shared" si="80"/>
        <v>#N/A</v>
      </c>
      <c r="AN365" s="312" t="e">
        <f t="shared" si="80"/>
        <v>#N/A</v>
      </c>
      <c r="AO365" s="312" t="e">
        <f t="shared" si="80"/>
        <v>#N/A</v>
      </c>
      <c r="AP365" s="312" t="e">
        <f t="shared" ref="AP365:BU365" si="81">+AP330</f>
        <v>#N/A</v>
      </c>
      <c r="AQ365" s="312" t="e">
        <f t="shared" si="81"/>
        <v>#N/A</v>
      </c>
      <c r="AR365" s="312" t="e">
        <f t="shared" si="81"/>
        <v>#N/A</v>
      </c>
      <c r="AS365" s="312" t="e">
        <f t="shared" si="81"/>
        <v>#N/A</v>
      </c>
      <c r="AT365" s="312" t="e">
        <f t="shared" si="81"/>
        <v>#N/A</v>
      </c>
      <c r="AU365" s="312" t="e">
        <f t="shared" si="81"/>
        <v>#N/A</v>
      </c>
      <c r="AV365" s="312" t="e">
        <f t="shared" si="81"/>
        <v>#N/A</v>
      </c>
      <c r="AW365" s="312" t="e">
        <f t="shared" si="81"/>
        <v>#N/A</v>
      </c>
      <c r="AX365" s="312" t="e">
        <f t="shared" si="81"/>
        <v>#N/A</v>
      </c>
      <c r="AY365" s="312" t="e">
        <f t="shared" si="81"/>
        <v>#N/A</v>
      </c>
      <c r="AZ365" s="312" t="e">
        <f t="shared" si="81"/>
        <v>#N/A</v>
      </c>
      <c r="BA365" s="312" t="e">
        <f t="shared" si="81"/>
        <v>#N/A</v>
      </c>
      <c r="BB365" s="312" t="e">
        <f t="shared" si="81"/>
        <v>#N/A</v>
      </c>
      <c r="BC365" s="312" t="e">
        <f t="shared" si="81"/>
        <v>#N/A</v>
      </c>
      <c r="BD365" s="312" t="e">
        <f t="shared" si="81"/>
        <v>#N/A</v>
      </c>
      <c r="BE365" s="312" t="e">
        <f t="shared" si="81"/>
        <v>#N/A</v>
      </c>
      <c r="BF365" s="312" t="e">
        <f t="shared" si="81"/>
        <v>#N/A</v>
      </c>
      <c r="BG365" s="312" t="e">
        <f t="shared" si="81"/>
        <v>#N/A</v>
      </c>
      <c r="BH365" s="312" t="e">
        <f t="shared" si="81"/>
        <v>#N/A</v>
      </c>
      <c r="BI365" s="312" t="e">
        <f t="shared" si="81"/>
        <v>#N/A</v>
      </c>
      <c r="BJ365" s="312" t="e">
        <f t="shared" si="81"/>
        <v>#N/A</v>
      </c>
      <c r="BK365" s="312" t="e">
        <f t="shared" si="81"/>
        <v>#N/A</v>
      </c>
      <c r="BL365" s="312" t="e">
        <f t="shared" si="81"/>
        <v>#N/A</v>
      </c>
      <c r="BM365" s="312" t="e">
        <f t="shared" si="81"/>
        <v>#N/A</v>
      </c>
      <c r="BN365" s="312" t="e">
        <f t="shared" si="81"/>
        <v>#N/A</v>
      </c>
      <c r="BO365" s="312" t="e">
        <f t="shared" si="81"/>
        <v>#N/A</v>
      </c>
      <c r="BP365" s="312" t="e">
        <f t="shared" si="81"/>
        <v>#N/A</v>
      </c>
      <c r="BQ365" s="312" t="e">
        <f t="shared" si="81"/>
        <v>#N/A</v>
      </c>
      <c r="BR365" s="312" t="e">
        <f t="shared" si="81"/>
        <v>#N/A</v>
      </c>
      <c r="BS365" s="312" t="e">
        <f t="shared" si="81"/>
        <v>#N/A</v>
      </c>
      <c r="BT365" s="312" t="e">
        <f t="shared" si="81"/>
        <v>#N/A</v>
      </c>
      <c r="BU365" s="312" t="e">
        <f t="shared" si="81"/>
        <v>#N/A</v>
      </c>
      <c r="BV365" s="312" t="e">
        <f t="shared" ref="BV365:CC365" si="82">+BV330</f>
        <v>#N/A</v>
      </c>
      <c r="BW365" s="312" t="e">
        <f t="shared" si="82"/>
        <v>#N/A</v>
      </c>
      <c r="BX365" s="312" t="e">
        <f t="shared" si="82"/>
        <v>#N/A</v>
      </c>
      <c r="BY365" s="312" t="e">
        <f t="shared" si="82"/>
        <v>#N/A</v>
      </c>
      <c r="BZ365" s="312" t="e">
        <f t="shared" si="82"/>
        <v>#N/A</v>
      </c>
      <c r="CA365" s="312" t="e">
        <f t="shared" si="82"/>
        <v>#N/A</v>
      </c>
      <c r="CB365" s="312" t="e">
        <f t="shared" si="82"/>
        <v>#N/A</v>
      </c>
      <c r="CC365" s="312" t="e">
        <f t="shared" si="82"/>
        <v>#N/A</v>
      </c>
    </row>
    <row r="366" spans="1:81" s="32" customFormat="1" ht="5.0999999999999996" customHeight="1" thickBot="1" x14ac:dyDescent="0.25">
      <c r="A366" s="185"/>
    </row>
    <row r="367" spans="1:81" s="32" customFormat="1" ht="15.75" thickBot="1" x14ac:dyDescent="0.25">
      <c r="A367" s="185"/>
      <c r="B367" s="504" t="s">
        <v>174</v>
      </c>
      <c r="C367" s="505"/>
      <c r="D367" s="505"/>
      <c r="E367" s="505"/>
      <c r="F367" s="506"/>
      <c r="J367" s="162">
        <f t="shared" ref="J367:AO367" si="83">+J359-J179</f>
        <v>0</v>
      </c>
      <c r="K367" s="162">
        <f t="shared" si="83"/>
        <v>0</v>
      </c>
      <c r="L367" s="162">
        <f t="shared" si="83"/>
        <v>0</v>
      </c>
      <c r="M367" s="162">
        <f t="shared" si="83"/>
        <v>0</v>
      </c>
      <c r="N367" s="162">
        <f t="shared" si="83"/>
        <v>0</v>
      </c>
      <c r="O367" s="162">
        <f t="shared" si="83"/>
        <v>0</v>
      </c>
      <c r="P367" s="162">
        <f t="shared" si="83"/>
        <v>0</v>
      </c>
      <c r="Q367" s="162">
        <f t="shared" si="83"/>
        <v>0</v>
      </c>
      <c r="R367" s="162">
        <f t="shared" si="83"/>
        <v>0</v>
      </c>
      <c r="S367" s="162">
        <f t="shared" si="83"/>
        <v>0</v>
      </c>
      <c r="T367" s="162">
        <f t="shared" si="83"/>
        <v>0</v>
      </c>
      <c r="U367" s="162">
        <f t="shared" si="83"/>
        <v>0</v>
      </c>
      <c r="V367" s="162">
        <f t="shared" si="83"/>
        <v>0</v>
      </c>
      <c r="W367" s="162">
        <f t="shared" si="83"/>
        <v>0</v>
      </c>
      <c r="X367" s="162">
        <f t="shared" si="83"/>
        <v>0</v>
      </c>
      <c r="Y367" s="162">
        <f t="shared" si="83"/>
        <v>0</v>
      </c>
      <c r="Z367" s="162">
        <f t="shared" si="83"/>
        <v>0</v>
      </c>
      <c r="AA367" s="162">
        <f t="shared" si="83"/>
        <v>0</v>
      </c>
      <c r="AB367" s="162">
        <f t="shared" si="83"/>
        <v>0</v>
      </c>
      <c r="AC367" s="162">
        <f t="shared" si="83"/>
        <v>0</v>
      </c>
      <c r="AD367" s="162">
        <f t="shared" si="83"/>
        <v>0</v>
      </c>
      <c r="AE367" s="162">
        <f t="shared" si="83"/>
        <v>0</v>
      </c>
      <c r="AF367" s="162">
        <f t="shared" si="83"/>
        <v>0</v>
      </c>
      <c r="AG367" s="162">
        <f t="shared" si="83"/>
        <v>0</v>
      </c>
      <c r="AH367" s="162">
        <f t="shared" si="83"/>
        <v>0</v>
      </c>
      <c r="AI367" s="162">
        <f t="shared" si="83"/>
        <v>0</v>
      </c>
      <c r="AJ367" s="162">
        <f t="shared" si="83"/>
        <v>0</v>
      </c>
      <c r="AK367" s="162">
        <f t="shared" si="83"/>
        <v>0</v>
      </c>
      <c r="AL367" s="162">
        <f t="shared" si="83"/>
        <v>0</v>
      </c>
      <c r="AM367" s="162">
        <f t="shared" si="83"/>
        <v>0</v>
      </c>
      <c r="AN367" s="162">
        <f t="shared" si="83"/>
        <v>0</v>
      </c>
      <c r="AO367" s="162">
        <f t="shared" si="83"/>
        <v>0</v>
      </c>
      <c r="AP367" s="162">
        <f t="shared" ref="AP367:BU367" si="84">+AP359-AP179</f>
        <v>0</v>
      </c>
      <c r="AQ367" s="162">
        <f t="shared" si="84"/>
        <v>0</v>
      </c>
      <c r="AR367" s="162">
        <f t="shared" si="84"/>
        <v>0</v>
      </c>
      <c r="AS367" s="162">
        <f t="shared" si="84"/>
        <v>0</v>
      </c>
      <c r="AT367" s="162">
        <f t="shared" si="84"/>
        <v>0</v>
      </c>
      <c r="AU367" s="162">
        <f t="shared" si="84"/>
        <v>0</v>
      </c>
      <c r="AV367" s="162">
        <f t="shared" si="84"/>
        <v>0</v>
      </c>
      <c r="AW367" s="162">
        <f t="shared" si="84"/>
        <v>0</v>
      </c>
      <c r="AX367" s="162">
        <f t="shared" si="84"/>
        <v>0</v>
      </c>
      <c r="AY367" s="162">
        <f t="shared" si="84"/>
        <v>0</v>
      </c>
      <c r="AZ367" s="162">
        <f t="shared" si="84"/>
        <v>0</v>
      </c>
      <c r="BA367" s="162">
        <f t="shared" si="84"/>
        <v>0</v>
      </c>
      <c r="BB367" s="162">
        <f t="shared" si="84"/>
        <v>0</v>
      </c>
      <c r="BC367" s="162">
        <f t="shared" si="84"/>
        <v>0</v>
      </c>
      <c r="BD367" s="162">
        <f t="shared" si="84"/>
        <v>0</v>
      </c>
      <c r="BE367" s="162">
        <f t="shared" si="84"/>
        <v>0</v>
      </c>
      <c r="BF367" s="162">
        <f t="shared" si="84"/>
        <v>0</v>
      </c>
      <c r="BG367" s="162">
        <f t="shared" si="84"/>
        <v>0</v>
      </c>
      <c r="BH367" s="162">
        <f t="shared" si="84"/>
        <v>0</v>
      </c>
      <c r="BI367" s="162">
        <f t="shared" si="84"/>
        <v>0</v>
      </c>
      <c r="BJ367" s="162">
        <f t="shared" si="84"/>
        <v>0</v>
      </c>
      <c r="BK367" s="162">
        <f t="shared" si="84"/>
        <v>0</v>
      </c>
      <c r="BL367" s="162">
        <f t="shared" si="84"/>
        <v>0</v>
      </c>
      <c r="BM367" s="162">
        <f t="shared" si="84"/>
        <v>0</v>
      </c>
      <c r="BN367" s="162">
        <f t="shared" si="84"/>
        <v>0</v>
      </c>
      <c r="BO367" s="162">
        <f t="shared" si="84"/>
        <v>0</v>
      </c>
      <c r="BP367" s="162">
        <f t="shared" si="84"/>
        <v>0</v>
      </c>
      <c r="BQ367" s="162">
        <f t="shared" si="84"/>
        <v>0</v>
      </c>
      <c r="BR367" s="162">
        <f t="shared" si="84"/>
        <v>0</v>
      </c>
      <c r="BS367" s="162">
        <f t="shared" si="84"/>
        <v>0</v>
      </c>
      <c r="BT367" s="162">
        <f t="shared" si="84"/>
        <v>0</v>
      </c>
      <c r="BU367" s="162">
        <f t="shared" si="84"/>
        <v>0</v>
      </c>
      <c r="BV367" s="162">
        <f t="shared" ref="BV367:CC367" si="85">+BV359-BV179</f>
        <v>0</v>
      </c>
      <c r="BW367" s="162">
        <f t="shared" si="85"/>
        <v>0</v>
      </c>
      <c r="BX367" s="162">
        <f t="shared" si="85"/>
        <v>0</v>
      </c>
      <c r="BY367" s="162">
        <f t="shared" si="85"/>
        <v>0</v>
      </c>
      <c r="BZ367" s="162">
        <f t="shared" si="85"/>
        <v>0</v>
      </c>
      <c r="CA367" s="162">
        <f t="shared" si="85"/>
        <v>0</v>
      </c>
      <c r="CB367" s="162">
        <f t="shared" si="85"/>
        <v>0</v>
      </c>
      <c r="CC367" s="162">
        <f t="shared" si="85"/>
        <v>0</v>
      </c>
    </row>
    <row r="368" spans="1:81" ht="5.0999999999999996" customHeight="1" thickBot="1" x14ac:dyDescent="0.25">
      <c r="B368" s="20"/>
      <c r="C368" s="20"/>
      <c r="D368" s="20"/>
      <c r="E368" s="20"/>
      <c r="F368" s="20"/>
      <c r="G368" s="32"/>
      <c r="H368" s="32"/>
      <c r="J368" s="32"/>
      <c r="K368" s="32"/>
      <c r="L368" s="32"/>
      <c r="M368" s="32"/>
      <c r="N368" s="32"/>
      <c r="O368" s="32"/>
      <c r="P368" s="157"/>
      <c r="Q368" s="157"/>
      <c r="R368" s="157"/>
      <c r="S368" s="157"/>
      <c r="T368" s="157"/>
      <c r="U368" s="157"/>
      <c r="V368" s="157"/>
      <c r="W368" s="157"/>
      <c r="X368" s="157"/>
      <c r="Y368" s="157"/>
      <c r="Z368" s="157"/>
      <c r="AA368" s="157"/>
      <c r="AB368" s="157"/>
      <c r="AC368" s="157"/>
      <c r="AD368" s="157"/>
      <c r="AE368" s="32"/>
      <c r="AF368" s="32"/>
      <c r="AG368" s="32"/>
      <c r="AH368" s="32"/>
      <c r="AI368" s="32"/>
      <c r="AJ368" s="32"/>
      <c r="AK368" s="32"/>
      <c r="AL368" s="32"/>
      <c r="AM368" s="32"/>
      <c r="AN368" s="32"/>
      <c r="AO368" s="32"/>
      <c r="AP368" s="32"/>
      <c r="AQ368" s="32"/>
      <c r="AR368" s="32"/>
      <c r="AS368" s="32"/>
      <c r="AT368" s="32"/>
      <c r="AU368" s="32"/>
      <c r="AV368" s="32"/>
      <c r="AW368" s="32"/>
      <c r="AX368" s="32"/>
      <c r="AY368" s="32"/>
      <c r="AZ368" s="32"/>
      <c r="BA368" s="32"/>
      <c r="BB368" s="32"/>
      <c r="BC368" s="32"/>
      <c r="BD368" s="32"/>
      <c r="BE368" s="32"/>
      <c r="BF368" s="32"/>
      <c r="BG368" s="32"/>
      <c r="BH368" s="32"/>
      <c r="BI368" s="32"/>
      <c r="BJ368" s="32"/>
      <c r="BK368" s="32"/>
      <c r="BL368" s="32"/>
      <c r="BM368" s="32"/>
      <c r="BN368" s="32"/>
      <c r="BO368" s="32"/>
      <c r="BP368" s="32"/>
      <c r="BQ368" s="32"/>
      <c r="BR368" s="32"/>
      <c r="BS368" s="32"/>
      <c r="BT368" s="32"/>
      <c r="BU368" s="32"/>
      <c r="BV368" s="32"/>
      <c r="BW368" s="32"/>
      <c r="BX368" s="32"/>
      <c r="BY368" s="32"/>
      <c r="BZ368" s="32"/>
      <c r="CA368" s="32"/>
      <c r="CB368" s="32"/>
      <c r="CC368" s="32"/>
    </row>
    <row r="369" spans="1:81" s="32" customFormat="1" ht="15" customHeight="1" thickBot="1" x14ac:dyDescent="0.25">
      <c r="A369" s="185"/>
      <c r="B369" s="481" t="s">
        <v>175</v>
      </c>
      <c r="C369" s="482"/>
      <c r="D369" s="482"/>
      <c r="E369" s="482"/>
      <c r="F369" s="483"/>
      <c r="J369" s="162">
        <f t="shared" ref="J369:AO369" si="86">+J181</f>
        <v>0</v>
      </c>
      <c r="K369" s="162">
        <f t="shared" si="86"/>
        <v>0</v>
      </c>
      <c r="L369" s="162">
        <f t="shared" si="86"/>
        <v>0</v>
      </c>
      <c r="M369" s="162">
        <f t="shared" si="86"/>
        <v>0</v>
      </c>
      <c r="N369" s="162">
        <f t="shared" si="86"/>
        <v>0</v>
      </c>
      <c r="O369" s="162">
        <f t="shared" si="86"/>
        <v>0</v>
      </c>
      <c r="P369" s="162">
        <f t="shared" si="86"/>
        <v>0</v>
      </c>
      <c r="Q369" s="162">
        <f t="shared" si="86"/>
        <v>0</v>
      </c>
      <c r="R369" s="162">
        <f t="shared" si="86"/>
        <v>0</v>
      </c>
      <c r="S369" s="162">
        <f t="shared" si="86"/>
        <v>0</v>
      </c>
      <c r="T369" s="162">
        <f t="shared" si="86"/>
        <v>0</v>
      </c>
      <c r="U369" s="162">
        <f t="shared" si="86"/>
        <v>0</v>
      </c>
      <c r="V369" s="162">
        <f t="shared" si="86"/>
        <v>0</v>
      </c>
      <c r="W369" s="162">
        <f t="shared" si="86"/>
        <v>0</v>
      </c>
      <c r="X369" s="162">
        <f t="shared" si="86"/>
        <v>0</v>
      </c>
      <c r="Y369" s="162">
        <f t="shared" si="86"/>
        <v>0</v>
      </c>
      <c r="Z369" s="162">
        <f t="shared" si="86"/>
        <v>0</v>
      </c>
      <c r="AA369" s="162">
        <f t="shared" si="86"/>
        <v>0</v>
      </c>
      <c r="AB369" s="162">
        <f t="shared" si="86"/>
        <v>0</v>
      </c>
      <c r="AC369" s="162">
        <f t="shared" si="86"/>
        <v>0</v>
      </c>
      <c r="AD369" s="100">
        <f t="shared" si="86"/>
        <v>0</v>
      </c>
      <c r="AE369" s="100">
        <f t="shared" si="86"/>
        <v>0</v>
      </c>
      <c r="AF369" s="100">
        <f t="shared" si="86"/>
        <v>0</v>
      </c>
      <c r="AG369" s="100">
        <f t="shared" si="86"/>
        <v>0</v>
      </c>
      <c r="AH369" s="100">
        <f t="shared" si="86"/>
        <v>0</v>
      </c>
      <c r="AI369" s="100">
        <f t="shared" si="86"/>
        <v>0</v>
      </c>
      <c r="AJ369" s="100">
        <f t="shared" si="86"/>
        <v>0</v>
      </c>
      <c r="AK369" s="100">
        <f t="shared" si="86"/>
        <v>0</v>
      </c>
      <c r="AL369" s="100">
        <f t="shared" si="86"/>
        <v>0</v>
      </c>
      <c r="AM369" s="100">
        <f t="shared" si="86"/>
        <v>0</v>
      </c>
      <c r="AN369" s="100">
        <f t="shared" si="86"/>
        <v>0</v>
      </c>
      <c r="AO369" s="100">
        <f t="shared" si="86"/>
        <v>0</v>
      </c>
      <c r="AP369" s="100">
        <f t="shared" ref="AP369:BU369" si="87">+AP181</f>
        <v>0</v>
      </c>
      <c r="AQ369" s="100">
        <f t="shared" si="87"/>
        <v>0</v>
      </c>
      <c r="AR369" s="100">
        <f t="shared" si="87"/>
        <v>0</v>
      </c>
      <c r="AS369" s="100">
        <f t="shared" si="87"/>
        <v>0</v>
      </c>
      <c r="AT369" s="100">
        <f t="shared" si="87"/>
        <v>0</v>
      </c>
      <c r="AU369" s="100">
        <f t="shared" si="87"/>
        <v>0</v>
      </c>
      <c r="AV369" s="100">
        <f t="shared" si="87"/>
        <v>0</v>
      </c>
      <c r="AW369" s="100">
        <f t="shared" si="87"/>
        <v>0</v>
      </c>
      <c r="AX369" s="100">
        <f t="shared" si="87"/>
        <v>0</v>
      </c>
      <c r="AY369" s="100">
        <f t="shared" si="87"/>
        <v>0</v>
      </c>
      <c r="AZ369" s="100">
        <f t="shared" si="87"/>
        <v>0</v>
      </c>
      <c r="BA369" s="100">
        <f t="shared" si="87"/>
        <v>0</v>
      </c>
      <c r="BB369" s="100">
        <f t="shared" si="87"/>
        <v>0</v>
      </c>
      <c r="BC369" s="100">
        <f t="shared" si="87"/>
        <v>0</v>
      </c>
      <c r="BD369" s="100">
        <f t="shared" si="87"/>
        <v>0</v>
      </c>
      <c r="BE369" s="100">
        <f t="shared" si="87"/>
        <v>0</v>
      </c>
      <c r="BF369" s="100">
        <f t="shared" si="87"/>
        <v>0</v>
      </c>
      <c r="BG369" s="100">
        <f t="shared" si="87"/>
        <v>0</v>
      </c>
      <c r="BH369" s="100">
        <f t="shared" si="87"/>
        <v>0</v>
      </c>
      <c r="BI369" s="100">
        <f t="shared" si="87"/>
        <v>0</v>
      </c>
      <c r="BJ369" s="100">
        <f t="shared" si="87"/>
        <v>0</v>
      </c>
      <c r="BK369" s="100">
        <f t="shared" si="87"/>
        <v>0</v>
      </c>
      <c r="BL369" s="100">
        <f t="shared" si="87"/>
        <v>0</v>
      </c>
      <c r="BM369" s="100">
        <f t="shared" si="87"/>
        <v>0</v>
      </c>
      <c r="BN369" s="100">
        <f t="shared" si="87"/>
        <v>0</v>
      </c>
      <c r="BO369" s="100">
        <f t="shared" si="87"/>
        <v>0</v>
      </c>
      <c r="BP369" s="100">
        <f t="shared" si="87"/>
        <v>0</v>
      </c>
      <c r="BQ369" s="100">
        <f t="shared" si="87"/>
        <v>0</v>
      </c>
      <c r="BR369" s="100">
        <f t="shared" si="87"/>
        <v>0</v>
      </c>
      <c r="BS369" s="100">
        <f t="shared" si="87"/>
        <v>0</v>
      </c>
      <c r="BT369" s="100">
        <f t="shared" si="87"/>
        <v>0</v>
      </c>
      <c r="BU369" s="100">
        <f t="shared" si="87"/>
        <v>0</v>
      </c>
      <c r="BV369" s="100">
        <f t="shared" ref="BV369:CC369" si="88">+BV181</f>
        <v>0</v>
      </c>
      <c r="BW369" s="100">
        <f t="shared" si="88"/>
        <v>0</v>
      </c>
      <c r="BX369" s="100">
        <f t="shared" si="88"/>
        <v>0</v>
      </c>
      <c r="BY369" s="100">
        <f t="shared" si="88"/>
        <v>0</v>
      </c>
      <c r="BZ369" s="100">
        <f t="shared" si="88"/>
        <v>0</v>
      </c>
      <c r="CA369" s="100">
        <f t="shared" si="88"/>
        <v>0</v>
      </c>
      <c r="CB369" s="100">
        <f t="shared" si="88"/>
        <v>0</v>
      </c>
      <c r="CC369" s="100">
        <f t="shared" si="88"/>
        <v>0</v>
      </c>
    </row>
    <row r="370" spans="1:81" ht="5.0999999999999996" customHeight="1" thickBot="1" x14ac:dyDescent="0.25">
      <c r="B370" s="20"/>
      <c r="C370" s="20"/>
      <c r="D370" s="20"/>
      <c r="E370" s="20"/>
      <c r="F370" s="20"/>
      <c r="J370" s="157"/>
      <c r="K370" s="157"/>
      <c r="L370" s="157"/>
      <c r="M370" s="157"/>
      <c r="N370" s="157"/>
      <c r="O370" s="157"/>
      <c r="P370" s="157"/>
      <c r="Q370" s="157"/>
      <c r="R370" s="157"/>
      <c r="S370" s="157"/>
      <c r="T370" s="157"/>
      <c r="U370" s="157"/>
      <c r="V370" s="157"/>
      <c r="W370" s="157"/>
      <c r="X370" s="157"/>
      <c r="Y370" s="157"/>
      <c r="Z370" s="157"/>
      <c r="AA370" s="157"/>
      <c r="AB370" s="157"/>
      <c r="AC370" s="157"/>
      <c r="AD370" s="157"/>
      <c r="AE370" s="32"/>
      <c r="AF370" s="32"/>
      <c r="AG370" s="32"/>
      <c r="AH370" s="32"/>
      <c r="AI370" s="32"/>
      <c r="AJ370" s="32"/>
      <c r="AK370" s="32"/>
      <c r="AL370" s="32"/>
      <c r="AM370" s="32"/>
      <c r="AN370" s="32"/>
      <c r="AO370" s="32"/>
      <c r="AP370" s="32"/>
      <c r="AQ370" s="32"/>
      <c r="AR370" s="32"/>
      <c r="AS370" s="32"/>
      <c r="AT370" s="32"/>
      <c r="AU370" s="32"/>
      <c r="AV370" s="32"/>
      <c r="AW370" s="32"/>
      <c r="AX370" s="32"/>
      <c r="AY370" s="32"/>
      <c r="AZ370" s="32"/>
      <c r="BA370" s="32"/>
      <c r="BB370" s="32"/>
      <c r="BC370" s="32"/>
      <c r="BD370" s="32"/>
      <c r="BE370" s="32"/>
      <c r="BF370" s="32"/>
      <c r="BG370" s="32"/>
      <c r="BH370" s="32"/>
      <c r="BI370" s="32"/>
      <c r="BJ370" s="32"/>
      <c r="BK370" s="32"/>
      <c r="BL370" s="32"/>
      <c r="BM370" s="32"/>
      <c r="BN370" s="32"/>
      <c r="BO370" s="32"/>
      <c r="BP370" s="32"/>
      <c r="BQ370" s="32"/>
      <c r="BR370" s="32"/>
      <c r="BS370" s="32"/>
      <c r="BT370" s="32"/>
      <c r="BU370" s="32"/>
      <c r="BV370" s="32"/>
      <c r="BW370" s="32"/>
      <c r="BX370" s="32"/>
      <c r="BY370" s="32"/>
      <c r="BZ370" s="32"/>
      <c r="CA370" s="32"/>
      <c r="CB370" s="32"/>
      <c r="CC370" s="32"/>
    </row>
    <row r="371" spans="1:81" s="32" customFormat="1" ht="15" customHeight="1" thickBot="1" x14ac:dyDescent="0.25">
      <c r="A371" s="185"/>
      <c r="B371" s="481" t="s">
        <v>176</v>
      </c>
      <c r="C371" s="482"/>
      <c r="D371" s="482"/>
      <c r="E371" s="482"/>
      <c r="F371" s="483"/>
      <c r="J371" s="162">
        <f>+J361</f>
        <v>0</v>
      </c>
      <c r="K371" s="162">
        <f>+K361</f>
        <v>0</v>
      </c>
      <c r="L371" s="162">
        <f>+L361</f>
        <v>0</v>
      </c>
      <c r="M371" s="162">
        <f t="shared" ref="M371:Q371" si="89">+M361</f>
        <v>0</v>
      </c>
      <c r="N371" s="162">
        <f t="shared" si="89"/>
        <v>0</v>
      </c>
      <c r="O371" s="162">
        <f t="shared" si="89"/>
        <v>0</v>
      </c>
      <c r="P371" s="162">
        <f t="shared" si="89"/>
        <v>0</v>
      </c>
      <c r="Q371" s="162">
        <f t="shared" si="89"/>
        <v>0</v>
      </c>
      <c r="R371" s="162">
        <f t="shared" ref="R371" si="90">+R361</f>
        <v>0</v>
      </c>
      <c r="S371" s="162">
        <f t="shared" ref="S371" si="91">+S361</f>
        <v>0</v>
      </c>
      <c r="T371" s="162">
        <f t="shared" ref="T371" si="92">+T361</f>
        <v>0</v>
      </c>
      <c r="U371" s="162">
        <f t="shared" ref="U371:CC371" si="93">+U361</f>
        <v>0</v>
      </c>
      <c r="V371" s="162">
        <f t="shared" si="93"/>
        <v>0</v>
      </c>
      <c r="W371" s="162">
        <f t="shared" si="93"/>
        <v>0</v>
      </c>
      <c r="X371" s="162">
        <f t="shared" si="93"/>
        <v>0</v>
      </c>
      <c r="Y371" s="162">
        <f t="shared" si="93"/>
        <v>0</v>
      </c>
      <c r="Z371" s="162">
        <f t="shared" si="93"/>
        <v>0</v>
      </c>
      <c r="AA371" s="162">
        <f t="shared" si="93"/>
        <v>0</v>
      </c>
      <c r="AB371" s="162">
        <f t="shared" si="93"/>
        <v>0</v>
      </c>
      <c r="AC371" s="162">
        <f t="shared" si="93"/>
        <v>0</v>
      </c>
      <c r="AD371" s="100">
        <f t="shared" si="93"/>
        <v>0</v>
      </c>
      <c r="AE371" s="100">
        <f t="shared" si="93"/>
        <v>0</v>
      </c>
      <c r="AF371" s="100">
        <f t="shared" si="93"/>
        <v>0</v>
      </c>
      <c r="AG371" s="100">
        <f t="shared" si="93"/>
        <v>0</v>
      </c>
      <c r="AH371" s="100">
        <f t="shared" si="93"/>
        <v>0</v>
      </c>
      <c r="AI371" s="100">
        <f t="shared" si="93"/>
        <v>0</v>
      </c>
      <c r="AJ371" s="100">
        <f t="shared" si="93"/>
        <v>0</v>
      </c>
      <c r="AK371" s="100">
        <f t="shared" si="93"/>
        <v>0</v>
      </c>
      <c r="AL371" s="100">
        <f t="shared" si="93"/>
        <v>0</v>
      </c>
      <c r="AM371" s="100">
        <f t="shared" si="93"/>
        <v>0</v>
      </c>
      <c r="AN371" s="100">
        <f t="shared" si="93"/>
        <v>0</v>
      </c>
      <c r="AO371" s="100">
        <f t="shared" si="93"/>
        <v>0</v>
      </c>
      <c r="AP371" s="100">
        <f t="shared" si="93"/>
        <v>0</v>
      </c>
      <c r="AQ371" s="100">
        <f t="shared" si="93"/>
        <v>0</v>
      </c>
      <c r="AR371" s="100">
        <f t="shared" si="93"/>
        <v>0</v>
      </c>
      <c r="AS371" s="100">
        <f t="shared" si="93"/>
        <v>0</v>
      </c>
      <c r="AT371" s="100">
        <f t="shared" si="93"/>
        <v>0</v>
      </c>
      <c r="AU371" s="100">
        <f t="shared" si="93"/>
        <v>0</v>
      </c>
      <c r="AV371" s="100">
        <f t="shared" si="93"/>
        <v>0</v>
      </c>
      <c r="AW371" s="100">
        <f t="shared" si="93"/>
        <v>0</v>
      </c>
      <c r="AX371" s="100">
        <f t="shared" si="93"/>
        <v>0</v>
      </c>
      <c r="AY371" s="100">
        <f t="shared" si="93"/>
        <v>0</v>
      </c>
      <c r="AZ371" s="100">
        <f t="shared" si="93"/>
        <v>0</v>
      </c>
      <c r="BA371" s="100">
        <f t="shared" si="93"/>
        <v>0</v>
      </c>
      <c r="BB371" s="100">
        <f t="shared" si="93"/>
        <v>0</v>
      </c>
      <c r="BC371" s="100">
        <f t="shared" si="93"/>
        <v>0</v>
      </c>
      <c r="BD371" s="100">
        <f t="shared" si="93"/>
        <v>0</v>
      </c>
      <c r="BE371" s="100">
        <f t="shared" si="93"/>
        <v>0</v>
      </c>
      <c r="BF371" s="100">
        <f t="shared" si="93"/>
        <v>0</v>
      </c>
      <c r="BG371" s="100">
        <f t="shared" si="93"/>
        <v>0</v>
      </c>
      <c r="BH371" s="100">
        <f t="shared" si="93"/>
        <v>0</v>
      </c>
      <c r="BI371" s="100">
        <f t="shared" si="93"/>
        <v>0</v>
      </c>
      <c r="BJ371" s="100">
        <f t="shared" si="93"/>
        <v>0</v>
      </c>
      <c r="BK371" s="100">
        <f t="shared" si="93"/>
        <v>0</v>
      </c>
      <c r="BL371" s="100">
        <f t="shared" si="93"/>
        <v>0</v>
      </c>
      <c r="BM371" s="100">
        <f t="shared" si="93"/>
        <v>0</v>
      </c>
      <c r="BN371" s="100">
        <f t="shared" si="93"/>
        <v>0</v>
      </c>
      <c r="BO371" s="100">
        <f t="shared" si="93"/>
        <v>0</v>
      </c>
      <c r="BP371" s="100">
        <f t="shared" si="93"/>
        <v>0</v>
      </c>
      <c r="BQ371" s="100">
        <f t="shared" si="93"/>
        <v>0</v>
      </c>
      <c r="BR371" s="100">
        <f t="shared" si="93"/>
        <v>0</v>
      </c>
      <c r="BS371" s="100">
        <f t="shared" si="93"/>
        <v>0</v>
      </c>
      <c r="BT371" s="100">
        <f t="shared" si="93"/>
        <v>0</v>
      </c>
      <c r="BU371" s="100">
        <f t="shared" si="93"/>
        <v>0</v>
      </c>
      <c r="BV371" s="100">
        <f t="shared" si="93"/>
        <v>0</v>
      </c>
      <c r="BW371" s="100">
        <f t="shared" si="93"/>
        <v>0</v>
      </c>
      <c r="BX371" s="100">
        <f t="shared" si="93"/>
        <v>0</v>
      </c>
      <c r="BY371" s="100">
        <f t="shared" si="93"/>
        <v>0</v>
      </c>
      <c r="BZ371" s="100">
        <f t="shared" si="93"/>
        <v>0</v>
      </c>
      <c r="CA371" s="100">
        <f t="shared" si="93"/>
        <v>0</v>
      </c>
      <c r="CB371" s="100">
        <f t="shared" si="93"/>
        <v>0</v>
      </c>
      <c r="CC371" s="100">
        <f t="shared" si="93"/>
        <v>0</v>
      </c>
    </row>
    <row r="372" spans="1:81" ht="5.0999999999999996" customHeight="1" thickBot="1" x14ac:dyDescent="0.25">
      <c r="B372" s="20"/>
      <c r="C372" s="20"/>
      <c r="D372" s="20"/>
      <c r="E372" s="20"/>
      <c r="F372" s="20"/>
      <c r="G372" s="32"/>
      <c r="H372" s="32"/>
      <c r="I372" s="32"/>
    </row>
    <row r="373" spans="1:81" ht="36" customHeight="1" thickBot="1" x14ac:dyDescent="0.25">
      <c r="B373" s="481" t="s">
        <v>156</v>
      </c>
      <c r="C373" s="482"/>
      <c r="D373" s="482"/>
      <c r="E373" s="482"/>
      <c r="F373" s="483"/>
      <c r="G373" s="32"/>
      <c r="H373" s="32"/>
      <c r="I373" s="32"/>
      <c r="J373" s="454" t="s">
        <v>177</v>
      </c>
      <c r="K373" s="463"/>
      <c r="L373" s="463"/>
      <c r="M373" s="463"/>
      <c r="N373" s="463"/>
      <c r="O373" s="463"/>
      <c r="P373" s="463"/>
      <c r="Q373" s="464"/>
    </row>
    <row r="374" spans="1:81" x14ac:dyDescent="0.2">
      <c r="H374" s="32"/>
      <c r="I374" s="32"/>
      <c r="J374" s="465"/>
      <c r="K374" s="466"/>
      <c r="L374" s="466"/>
      <c r="M374" s="466"/>
      <c r="N374" s="466"/>
      <c r="O374" s="466"/>
      <c r="P374" s="466"/>
      <c r="Q374" s="467"/>
    </row>
    <row r="375" spans="1:81" x14ac:dyDescent="0.2">
      <c r="H375" s="32"/>
      <c r="I375" s="32"/>
      <c r="J375" s="465"/>
      <c r="K375" s="466"/>
      <c r="L375" s="466"/>
      <c r="M375" s="466"/>
      <c r="N375" s="466"/>
      <c r="O375" s="466"/>
      <c r="P375" s="466"/>
      <c r="Q375" s="467"/>
    </row>
    <row r="376" spans="1:81" ht="15.75" thickBot="1" x14ac:dyDescent="0.25">
      <c r="H376" s="32"/>
      <c r="I376" s="32"/>
      <c r="J376" s="468"/>
      <c r="K376" s="469"/>
      <c r="L376" s="469"/>
      <c r="M376" s="469"/>
      <c r="N376" s="469"/>
      <c r="O376" s="469"/>
      <c r="P376" s="469"/>
      <c r="Q376" s="470"/>
    </row>
    <row r="377" spans="1:81" ht="5.0999999999999996" customHeight="1" x14ac:dyDescent="0.2">
      <c r="G377" s="32"/>
      <c r="H377" s="32"/>
      <c r="I377" s="32"/>
    </row>
    <row r="378" spans="1:81" s="20" customFormat="1" x14ac:dyDescent="0.2">
      <c r="A378" s="427"/>
      <c r="B378" s="269" t="s">
        <v>178</v>
      </c>
      <c r="C378" s="269"/>
      <c r="D378" s="269"/>
      <c r="E378" s="269"/>
      <c r="F378" s="269"/>
      <c r="G378" s="269"/>
      <c r="H378" s="269"/>
      <c r="I378" s="269"/>
      <c r="J378" s="287"/>
      <c r="K378" s="269"/>
      <c r="L378" s="287"/>
      <c r="M378" s="269"/>
      <c r="N378" s="269"/>
      <c r="O378" s="269"/>
      <c r="P378" s="269"/>
      <c r="Q378" s="269"/>
      <c r="R378" s="269"/>
      <c r="S378" s="269"/>
      <c r="T378" s="269"/>
      <c r="U378" s="269"/>
      <c r="V378" s="269"/>
      <c r="W378" s="269"/>
      <c r="X378" s="269"/>
      <c r="Y378" s="269"/>
      <c r="Z378" s="269"/>
      <c r="AA378" s="269"/>
      <c r="AB378" s="269"/>
      <c r="AC378" s="269"/>
      <c r="AD378" s="269"/>
      <c r="AE378" s="269"/>
      <c r="AF378" s="269"/>
      <c r="AG378" s="269"/>
      <c r="AH378" s="269"/>
      <c r="AI378" s="269"/>
      <c r="AJ378" s="269"/>
      <c r="AK378" s="269"/>
      <c r="AL378" s="269"/>
      <c r="AM378" s="269"/>
      <c r="AN378" s="269"/>
      <c r="AO378" s="269"/>
      <c r="AP378" s="269"/>
      <c r="AQ378" s="269"/>
      <c r="AR378" s="269"/>
      <c r="AS378" s="269"/>
      <c r="AT378" s="269"/>
      <c r="AU378" s="269"/>
      <c r="AV378" s="269"/>
      <c r="AW378" s="269"/>
      <c r="AX378" s="269"/>
      <c r="AY378" s="269"/>
      <c r="AZ378" s="269"/>
      <c r="BA378" s="269"/>
      <c r="BB378" s="269"/>
      <c r="BC378" s="269"/>
      <c r="BD378" s="269"/>
      <c r="BE378" s="269"/>
      <c r="BF378" s="269"/>
      <c r="BG378" s="269"/>
      <c r="BH378" s="269"/>
      <c r="BI378" s="269"/>
      <c r="BJ378" s="269"/>
      <c r="BK378" s="269"/>
      <c r="BL378" s="269"/>
      <c r="BM378" s="269"/>
      <c r="BN378" s="269"/>
      <c r="BO378" s="269"/>
      <c r="BP378" s="269"/>
      <c r="BQ378" s="269"/>
      <c r="BR378" s="269"/>
      <c r="BS378" s="269"/>
      <c r="BT378" s="269"/>
      <c r="BU378" s="269"/>
      <c r="BV378" s="269"/>
      <c r="BW378" s="269"/>
      <c r="BX378" s="269"/>
      <c r="BY378" s="269"/>
      <c r="BZ378" s="269"/>
      <c r="CA378" s="269"/>
      <c r="CB378" s="269"/>
      <c r="CC378" s="269"/>
    </row>
    <row r="379" spans="1:81" ht="5.0999999999999996" customHeight="1" thickBot="1" x14ac:dyDescent="0.25"/>
    <row r="380" spans="1:81" ht="51.95" customHeight="1" thickBot="1" x14ac:dyDescent="0.25">
      <c r="B380" s="507" t="s">
        <v>179</v>
      </c>
      <c r="C380" s="508"/>
      <c r="D380" s="509"/>
      <c r="E380" s="272"/>
      <c r="F380" s="273" t="s">
        <v>180</v>
      </c>
      <c r="G380" s="271"/>
      <c r="H380" s="273" t="s">
        <v>181</v>
      </c>
      <c r="I380" s="272"/>
      <c r="J380" s="507" t="s">
        <v>182</v>
      </c>
      <c r="K380" s="509"/>
      <c r="M380" s="513" t="s">
        <v>156</v>
      </c>
      <c r="N380" s="514"/>
      <c r="O380" s="514"/>
      <c r="P380" s="514"/>
      <c r="Q380" s="514"/>
      <c r="R380" s="515"/>
    </row>
    <row r="381" spans="1:81" ht="5.0999999999999996" customHeight="1" thickBot="1" x14ac:dyDescent="0.25"/>
    <row r="382" spans="1:81" s="34" customFormat="1" ht="35.1" customHeight="1" thickBot="1" x14ac:dyDescent="0.25">
      <c r="A382" s="424"/>
      <c r="B382" s="495" t="s">
        <v>183</v>
      </c>
      <c r="C382" s="496"/>
      <c r="D382" s="497"/>
      <c r="F382" s="306" t="e">
        <f>+H208+H245</f>
        <v>#N/A</v>
      </c>
      <c r="G382" s="215"/>
      <c r="H382" s="306" t="e">
        <f>+F419+F462</f>
        <v>#N/A</v>
      </c>
      <c r="I382" s="215"/>
      <c r="J382" s="313"/>
      <c r="K382" s="313"/>
      <c r="M382" s="471" t="s">
        <v>184</v>
      </c>
      <c r="N382" s="472"/>
      <c r="O382" s="472"/>
      <c r="P382" s="472"/>
      <c r="Q382" s="472"/>
      <c r="R382" s="473"/>
    </row>
    <row r="383" spans="1:81" ht="5.0999999999999996" customHeight="1" thickBot="1" x14ac:dyDescent="0.25">
      <c r="B383" s="307"/>
      <c r="C383" s="307"/>
      <c r="D383" s="307"/>
      <c r="F383" s="32"/>
      <c r="G383" s="32"/>
      <c r="H383" s="32"/>
      <c r="I383" s="32"/>
      <c r="J383" s="32"/>
      <c r="K383" s="32"/>
      <c r="M383" s="474"/>
      <c r="N383" s="475"/>
      <c r="O383" s="475"/>
      <c r="P383" s="475"/>
      <c r="Q383" s="475"/>
      <c r="R383" s="476"/>
    </row>
    <row r="384" spans="1:81" s="34" customFormat="1" ht="35.1" customHeight="1" thickBot="1" x14ac:dyDescent="0.25">
      <c r="A384" s="424"/>
      <c r="B384" s="495" t="s">
        <v>185</v>
      </c>
      <c r="C384" s="496"/>
      <c r="D384" s="497"/>
      <c r="F384" s="306" t="e">
        <f>+H216+H253</f>
        <v>#N/A</v>
      </c>
      <c r="G384" s="215"/>
      <c r="H384" s="306" t="e">
        <f>+H490</f>
        <v>#N/A</v>
      </c>
      <c r="I384" s="215"/>
      <c r="J384" s="355" t="e">
        <f>+H384-F384</f>
        <v>#N/A</v>
      </c>
      <c r="K384" s="353" t="e">
        <f>+H384/F384-1</f>
        <v>#N/A</v>
      </c>
      <c r="M384" s="477"/>
      <c r="N384" s="478"/>
      <c r="O384" s="478"/>
      <c r="P384" s="478"/>
      <c r="Q384" s="478"/>
      <c r="R384" s="479"/>
    </row>
    <row r="385" spans="1:94" s="32" customFormat="1" ht="5.0999999999999996" customHeight="1" x14ac:dyDescent="0.2">
      <c r="A385" s="185"/>
    </row>
    <row r="386" spans="1:94" s="20" customFormat="1" x14ac:dyDescent="0.2">
      <c r="A386" s="427"/>
      <c r="B386" s="269" t="s">
        <v>186</v>
      </c>
      <c r="C386" s="269"/>
      <c r="D386" s="269"/>
      <c r="E386" s="269"/>
      <c r="F386" s="269"/>
      <c r="G386" s="269"/>
      <c r="H386" s="269"/>
      <c r="I386" s="269"/>
      <c r="J386" s="287"/>
      <c r="K386" s="269"/>
      <c r="L386" s="287"/>
      <c r="M386" s="269"/>
      <c r="N386" s="269"/>
      <c r="O386" s="269"/>
      <c r="P386" s="269"/>
      <c r="Q386" s="269"/>
      <c r="R386" s="269"/>
      <c r="S386" s="269"/>
      <c r="T386" s="269"/>
      <c r="U386" s="269"/>
      <c r="V386" s="269"/>
      <c r="W386" s="269"/>
      <c r="X386" s="269"/>
      <c r="Y386" s="269"/>
      <c r="Z386" s="269"/>
      <c r="AA386" s="269"/>
      <c r="AB386" s="269"/>
      <c r="AC386" s="269"/>
      <c r="AD386" s="269"/>
      <c r="AE386" s="269"/>
      <c r="AF386" s="269"/>
      <c r="AG386" s="269"/>
      <c r="AH386" s="269"/>
      <c r="AI386" s="269"/>
      <c r="AJ386" s="269"/>
      <c r="AK386" s="269"/>
      <c r="AL386" s="269"/>
      <c r="AM386" s="269"/>
      <c r="AN386" s="269"/>
      <c r="AO386" s="269"/>
      <c r="AP386" s="269"/>
      <c r="AQ386" s="269"/>
      <c r="AR386" s="269"/>
      <c r="AS386" s="269"/>
      <c r="AT386" s="269"/>
      <c r="AU386" s="269"/>
      <c r="AV386" s="269"/>
      <c r="AW386" s="269"/>
      <c r="AX386" s="269"/>
      <c r="AY386" s="269"/>
      <c r="AZ386" s="269"/>
      <c r="BA386" s="269"/>
      <c r="BB386" s="269"/>
      <c r="BC386" s="269"/>
      <c r="BD386" s="269"/>
      <c r="BE386" s="269"/>
      <c r="BF386" s="269"/>
      <c r="BG386" s="269"/>
      <c r="BH386" s="269"/>
      <c r="BI386" s="269"/>
      <c r="BJ386" s="269"/>
      <c r="BK386" s="269"/>
      <c r="BL386" s="269"/>
      <c r="BM386" s="269"/>
      <c r="BN386" s="269"/>
      <c r="BO386" s="269"/>
      <c r="BP386" s="269"/>
      <c r="BQ386" s="269"/>
      <c r="BR386" s="269"/>
      <c r="BS386" s="269"/>
      <c r="BT386" s="269"/>
      <c r="BU386" s="269"/>
      <c r="BV386" s="269"/>
      <c r="BW386" s="269"/>
      <c r="BX386" s="269"/>
      <c r="BY386" s="269"/>
      <c r="BZ386" s="269"/>
      <c r="CA386" s="269"/>
      <c r="CB386" s="269"/>
      <c r="CC386" s="269"/>
    </row>
    <row r="387" spans="1:94" ht="5.0999999999999996" customHeight="1" thickBot="1" x14ac:dyDescent="0.25"/>
    <row r="388" spans="1:94" s="32" customFormat="1" ht="28.5" thickBot="1" x14ac:dyDescent="0.25">
      <c r="A388" s="185"/>
      <c r="B388" s="308" t="s">
        <v>106</v>
      </c>
      <c r="C388" s="20"/>
      <c r="D388" s="309" t="s">
        <v>187</v>
      </c>
      <c r="E388" s="20"/>
      <c r="F388" s="286" t="s">
        <v>188</v>
      </c>
      <c r="J388" s="312" t="e">
        <f>+J365</f>
        <v>#N/A</v>
      </c>
      <c r="K388" s="312" t="e">
        <f t="shared" ref="K388:BV388" si="94">+K365</f>
        <v>#N/A</v>
      </c>
      <c r="L388" s="312" t="e">
        <f t="shared" si="94"/>
        <v>#N/A</v>
      </c>
      <c r="M388" s="312" t="e">
        <f t="shared" si="94"/>
        <v>#N/A</v>
      </c>
      <c r="N388" s="312" t="e">
        <f t="shared" si="94"/>
        <v>#N/A</v>
      </c>
      <c r="O388" s="312" t="e">
        <f t="shared" si="94"/>
        <v>#N/A</v>
      </c>
      <c r="P388" s="312" t="e">
        <f t="shared" si="94"/>
        <v>#N/A</v>
      </c>
      <c r="Q388" s="312" t="e">
        <f t="shared" si="94"/>
        <v>#N/A</v>
      </c>
      <c r="R388" s="312" t="e">
        <f t="shared" si="94"/>
        <v>#N/A</v>
      </c>
      <c r="S388" s="312" t="e">
        <f t="shared" si="94"/>
        <v>#N/A</v>
      </c>
      <c r="T388" s="312" t="e">
        <f t="shared" si="94"/>
        <v>#N/A</v>
      </c>
      <c r="U388" s="312" t="e">
        <f t="shared" si="94"/>
        <v>#N/A</v>
      </c>
      <c r="V388" s="312" t="e">
        <f t="shared" si="94"/>
        <v>#N/A</v>
      </c>
      <c r="W388" s="312" t="e">
        <f t="shared" si="94"/>
        <v>#N/A</v>
      </c>
      <c r="X388" s="312" t="e">
        <f t="shared" si="94"/>
        <v>#N/A</v>
      </c>
      <c r="Y388" s="312" t="e">
        <f t="shared" si="94"/>
        <v>#N/A</v>
      </c>
      <c r="Z388" s="312" t="e">
        <f t="shared" si="94"/>
        <v>#N/A</v>
      </c>
      <c r="AA388" s="312" t="e">
        <f t="shared" si="94"/>
        <v>#N/A</v>
      </c>
      <c r="AB388" s="312" t="e">
        <f t="shared" si="94"/>
        <v>#N/A</v>
      </c>
      <c r="AC388" s="312" t="e">
        <f t="shared" si="94"/>
        <v>#N/A</v>
      </c>
      <c r="AD388" s="312" t="e">
        <f t="shared" si="94"/>
        <v>#N/A</v>
      </c>
      <c r="AE388" s="312" t="e">
        <f t="shared" si="94"/>
        <v>#N/A</v>
      </c>
      <c r="AF388" s="312" t="e">
        <f t="shared" si="94"/>
        <v>#N/A</v>
      </c>
      <c r="AG388" s="312" t="e">
        <f t="shared" si="94"/>
        <v>#N/A</v>
      </c>
      <c r="AH388" s="312" t="e">
        <f t="shared" si="94"/>
        <v>#N/A</v>
      </c>
      <c r="AI388" s="312" t="e">
        <f t="shared" si="94"/>
        <v>#N/A</v>
      </c>
      <c r="AJ388" s="312" t="e">
        <f t="shared" si="94"/>
        <v>#N/A</v>
      </c>
      <c r="AK388" s="312" t="e">
        <f t="shared" si="94"/>
        <v>#N/A</v>
      </c>
      <c r="AL388" s="312" t="e">
        <f t="shared" si="94"/>
        <v>#N/A</v>
      </c>
      <c r="AM388" s="312" t="e">
        <f t="shared" si="94"/>
        <v>#N/A</v>
      </c>
      <c r="AN388" s="312" t="e">
        <f t="shared" si="94"/>
        <v>#N/A</v>
      </c>
      <c r="AO388" s="312" t="e">
        <f t="shared" si="94"/>
        <v>#N/A</v>
      </c>
      <c r="AP388" s="312" t="e">
        <f t="shared" si="94"/>
        <v>#N/A</v>
      </c>
      <c r="AQ388" s="312" t="e">
        <f t="shared" si="94"/>
        <v>#N/A</v>
      </c>
      <c r="AR388" s="312" t="e">
        <f t="shared" si="94"/>
        <v>#N/A</v>
      </c>
      <c r="AS388" s="312" t="e">
        <f t="shared" si="94"/>
        <v>#N/A</v>
      </c>
      <c r="AT388" s="312" t="e">
        <f t="shared" si="94"/>
        <v>#N/A</v>
      </c>
      <c r="AU388" s="312" t="e">
        <f t="shared" si="94"/>
        <v>#N/A</v>
      </c>
      <c r="AV388" s="312" t="e">
        <f t="shared" si="94"/>
        <v>#N/A</v>
      </c>
      <c r="AW388" s="312" t="e">
        <f t="shared" si="94"/>
        <v>#N/A</v>
      </c>
      <c r="AX388" s="312" t="e">
        <f t="shared" si="94"/>
        <v>#N/A</v>
      </c>
      <c r="AY388" s="312" t="e">
        <f t="shared" si="94"/>
        <v>#N/A</v>
      </c>
      <c r="AZ388" s="312" t="e">
        <f t="shared" si="94"/>
        <v>#N/A</v>
      </c>
      <c r="BA388" s="312" t="e">
        <f t="shared" si="94"/>
        <v>#N/A</v>
      </c>
      <c r="BB388" s="312" t="e">
        <f t="shared" si="94"/>
        <v>#N/A</v>
      </c>
      <c r="BC388" s="312" t="e">
        <f t="shared" si="94"/>
        <v>#N/A</v>
      </c>
      <c r="BD388" s="312" t="e">
        <f t="shared" si="94"/>
        <v>#N/A</v>
      </c>
      <c r="BE388" s="312" t="e">
        <f t="shared" si="94"/>
        <v>#N/A</v>
      </c>
      <c r="BF388" s="312" t="e">
        <f t="shared" si="94"/>
        <v>#N/A</v>
      </c>
      <c r="BG388" s="312" t="e">
        <f t="shared" si="94"/>
        <v>#N/A</v>
      </c>
      <c r="BH388" s="312" t="e">
        <f t="shared" si="94"/>
        <v>#N/A</v>
      </c>
      <c r="BI388" s="312" t="e">
        <f t="shared" si="94"/>
        <v>#N/A</v>
      </c>
      <c r="BJ388" s="312" t="e">
        <f t="shared" si="94"/>
        <v>#N/A</v>
      </c>
      <c r="BK388" s="312" t="e">
        <f t="shared" si="94"/>
        <v>#N/A</v>
      </c>
      <c r="BL388" s="312" t="e">
        <f t="shared" si="94"/>
        <v>#N/A</v>
      </c>
      <c r="BM388" s="312" t="e">
        <f t="shared" si="94"/>
        <v>#N/A</v>
      </c>
      <c r="BN388" s="312" t="e">
        <f t="shared" si="94"/>
        <v>#N/A</v>
      </c>
      <c r="BO388" s="312" t="e">
        <f t="shared" si="94"/>
        <v>#N/A</v>
      </c>
      <c r="BP388" s="312" t="e">
        <f t="shared" si="94"/>
        <v>#N/A</v>
      </c>
      <c r="BQ388" s="312" t="e">
        <f t="shared" si="94"/>
        <v>#N/A</v>
      </c>
      <c r="BR388" s="312" t="e">
        <f t="shared" si="94"/>
        <v>#N/A</v>
      </c>
      <c r="BS388" s="312" t="e">
        <f t="shared" si="94"/>
        <v>#N/A</v>
      </c>
      <c r="BT388" s="312" t="e">
        <f t="shared" si="94"/>
        <v>#N/A</v>
      </c>
      <c r="BU388" s="312" t="e">
        <f t="shared" si="94"/>
        <v>#N/A</v>
      </c>
      <c r="BV388" s="312" t="e">
        <f t="shared" si="94"/>
        <v>#N/A</v>
      </c>
      <c r="BW388" s="312" t="e">
        <f t="shared" ref="BW388:CC388" si="95">+BW365</f>
        <v>#N/A</v>
      </c>
      <c r="BX388" s="312" t="e">
        <f t="shared" si="95"/>
        <v>#N/A</v>
      </c>
      <c r="BY388" s="312" t="e">
        <f t="shared" si="95"/>
        <v>#N/A</v>
      </c>
      <c r="BZ388" s="312" t="e">
        <f t="shared" si="95"/>
        <v>#N/A</v>
      </c>
      <c r="CA388" s="312" t="e">
        <f t="shared" si="95"/>
        <v>#N/A</v>
      </c>
      <c r="CB388" s="312" t="e">
        <f t="shared" si="95"/>
        <v>#N/A</v>
      </c>
      <c r="CC388" s="312" t="e">
        <f t="shared" si="95"/>
        <v>#N/A</v>
      </c>
      <c r="CE388" s="201"/>
      <c r="CF388"/>
      <c r="CG388"/>
      <c r="CH388"/>
      <c r="CI388"/>
      <c r="CJ388" s="202"/>
      <c r="CK388" s="202"/>
      <c r="CL388" s="202"/>
      <c r="CM388" s="202"/>
      <c r="CN388" s="202"/>
      <c r="CO388" s="202"/>
      <c r="CP388" s="202"/>
    </row>
    <row r="389" spans="1:94" s="32" customFormat="1" ht="5.0999999999999996" customHeight="1" thickBot="1" x14ac:dyDescent="0.25">
      <c r="A389" s="185"/>
      <c r="D389" s="185"/>
      <c r="CE389"/>
      <c r="CF389"/>
      <c r="CG389"/>
      <c r="CH389"/>
      <c r="CI389"/>
    </row>
    <row r="390" spans="1:94" s="32" customFormat="1" ht="15.75" thickBot="1" x14ac:dyDescent="0.25">
      <c r="A390" s="185"/>
      <c r="B390" s="184">
        <f ca="1">INDIRECT("B" &amp; (157 + ROWS($A$1:A1)))</f>
        <v>0</v>
      </c>
      <c r="D390" s="310" t="e">
        <f t="shared" ref="D390:D410" si="96">IF(($F$419+$F$462)=0,0,F390/($F$419+$F$462))</f>
        <v>#N/A</v>
      </c>
      <c r="E390"/>
      <c r="F390" s="115">
        <f>SUM(J390:CC390)</f>
        <v>0</v>
      </c>
      <c r="G390"/>
      <c r="H390"/>
      <c r="I390"/>
      <c r="J390" s="364">
        <v>0</v>
      </c>
      <c r="K390" s="364">
        <v>0</v>
      </c>
      <c r="L390" s="364">
        <v>0</v>
      </c>
      <c r="M390" s="364">
        <v>0</v>
      </c>
      <c r="N390" s="364">
        <v>0</v>
      </c>
      <c r="O390" s="364">
        <v>0</v>
      </c>
      <c r="P390" s="364">
        <v>0</v>
      </c>
      <c r="Q390" s="364">
        <v>0</v>
      </c>
      <c r="R390" s="364">
        <v>0</v>
      </c>
      <c r="S390" s="364">
        <v>0</v>
      </c>
      <c r="T390" s="364">
        <v>0</v>
      </c>
      <c r="U390" s="364">
        <v>0</v>
      </c>
      <c r="V390" s="364">
        <v>0</v>
      </c>
      <c r="W390" s="364">
        <v>0</v>
      </c>
      <c r="X390" s="364">
        <v>0</v>
      </c>
      <c r="Y390" s="364">
        <v>0</v>
      </c>
      <c r="Z390" s="364">
        <v>0</v>
      </c>
      <c r="AA390" s="364">
        <v>0</v>
      </c>
      <c r="AB390" s="364">
        <v>0</v>
      </c>
      <c r="AC390" s="364">
        <v>0</v>
      </c>
      <c r="AD390" s="364">
        <v>0</v>
      </c>
      <c r="AE390" s="364">
        <v>0</v>
      </c>
      <c r="AF390" s="364">
        <v>0</v>
      </c>
      <c r="AG390" s="364">
        <v>0</v>
      </c>
      <c r="AH390" s="364">
        <v>0</v>
      </c>
      <c r="AI390" s="364">
        <v>0</v>
      </c>
      <c r="AJ390" s="364">
        <v>0</v>
      </c>
      <c r="AK390" s="364">
        <v>0</v>
      </c>
      <c r="AL390" s="364">
        <v>0</v>
      </c>
      <c r="AM390" s="364">
        <v>0</v>
      </c>
      <c r="AN390" s="364">
        <v>0</v>
      </c>
      <c r="AO390" s="364">
        <v>0</v>
      </c>
      <c r="AP390" s="364">
        <v>0</v>
      </c>
      <c r="AQ390" s="364">
        <v>0</v>
      </c>
      <c r="AR390" s="364">
        <v>0</v>
      </c>
      <c r="AS390" s="364">
        <v>0</v>
      </c>
      <c r="AT390" s="364">
        <v>0</v>
      </c>
      <c r="AU390" s="364">
        <v>0</v>
      </c>
      <c r="AV390" s="364">
        <v>0</v>
      </c>
      <c r="AW390" s="364">
        <v>0</v>
      </c>
      <c r="AX390" s="364">
        <v>0</v>
      </c>
      <c r="AY390" s="364">
        <v>0</v>
      </c>
      <c r="AZ390" s="364">
        <v>0</v>
      </c>
      <c r="BA390" s="364">
        <v>0</v>
      </c>
      <c r="BB390" s="364">
        <v>0</v>
      </c>
      <c r="BC390" s="364">
        <v>0</v>
      </c>
      <c r="BD390" s="364">
        <v>0</v>
      </c>
      <c r="BE390" s="364">
        <v>0</v>
      </c>
      <c r="BF390" s="364">
        <v>0</v>
      </c>
      <c r="BG390" s="364">
        <v>0</v>
      </c>
      <c r="BH390" s="364">
        <v>0</v>
      </c>
      <c r="BI390" s="364">
        <v>0</v>
      </c>
      <c r="BJ390" s="364">
        <v>0</v>
      </c>
      <c r="BK390" s="364">
        <v>0</v>
      </c>
      <c r="BL390" s="364">
        <v>0</v>
      </c>
      <c r="BM390" s="364">
        <v>0</v>
      </c>
      <c r="BN390" s="364">
        <v>0</v>
      </c>
      <c r="BO390" s="364">
        <v>0</v>
      </c>
      <c r="BP390" s="364">
        <v>0</v>
      </c>
      <c r="BQ390" s="364">
        <v>0</v>
      </c>
      <c r="BR390" s="364">
        <v>0</v>
      </c>
      <c r="BS390" s="364">
        <v>0</v>
      </c>
      <c r="BT390" s="364">
        <v>0</v>
      </c>
      <c r="BU390" s="364">
        <v>0</v>
      </c>
      <c r="BV390" s="364">
        <v>0</v>
      </c>
      <c r="BW390" s="364">
        <v>0</v>
      </c>
      <c r="BX390" s="364">
        <v>0</v>
      </c>
      <c r="BY390" s="364">
        <v>0</v>
      </c>
      <c r="BZ390" s="364">
        <v>0</v>
      </c>
      <c r="CA390" s="364">
        <v>0</v>
      </c>
      <c r="CB390" s="364">
        <v>0</v>
      </c>
      <c r="CC390" s="364">
        <v>0</v>
      </c>
      <c r="CE390"/>
      <c r="CF390"/>
      <c r="CG390"/>
      <c r="CH390"/>
      <c r="CI390"/>
    </row>
    <row r="391" spans="1:94" s="32" customFormat="1" ht="15.75" thickBot="1" x14ac:dyDescent="0.25">
      <c r="A391" s="185"/>
      <c r="B391" s="184">
        <f ca="1">INDIRECT("B" &amp; (157 + ROWS($A$1:A2)))</f>
        <v>0</v>
      </c>
      <c r="D391" s="310" t="e">
        <f t="shared" si="96"/>
        <v>#N/A</v>
      </c>
      <c r="E391"/>
      <c r="F391" s="115">
        <f t="shared" ref="F391:F417" si="97">SUM(J391:CC391)</f>
        <v>0</v>
      </c>
      <c r="G391"/>
      <c r="H391"/>
      <c r="I391"/>
      <c r="J391" s="364">
        <v>0</v>
      </c>
      <c r="K391" s="364">
        <v>0</v>
      </c>
      <c r="L391" s="364">
        <v>0</v>
      </c>
      <c r="M391" s="364">
        <v>0</v>
      </c>
      <c r="N391" s="364">
        <v>0</v>
      </c>
      <c r="O391" s="364">
        <v>0</v>
      </c>
      <c r="P391" s="364">
        <v>0</v>
      </c>
      <c r="Q391" s="364">
        <v>0</v>
      </c>
      <c r="R391" s="364">
        <v>0</v>
      </c>
      <c r="S391" s="364">
        <v>0</v>
      </c>
      <c r="T391" s="364">
        <v>0</v>
      </c>
      <c r="U391" s="364">
        <v>0</v>
      </c>
      <c r="V391" s="364">
        <v>0</v>
      </c>
      <c r="W391" s="364">
        <v>0</v>
      </c>
      <c r="X391" s="364">
        <v>0</v>
      </c>
      <c r="Y391" s="364">
        <v>0</v>
      </c>
      <c r="Z391" s="364">
        <v>0</v>
      </c>
      <c r="AA391" s="364">
        <v>0</v>
      </c>
      <c r="AB391" s="364">
        <v>0</v>
      </c>
      <c r="AC391" s="364">
        <v>0</v>
      </c>
      <c r="AD391" s="364">
        <v>0</v>
      </c>
      <c r="AE391" s="364">
        <v>0</v>
      </c>
      <c r="AF391" s="364">
        <v>0</v>
      </c>
      <c r="AG391" s="364">
        <v>0</v>
      </c>
      <c r="AH391" s="364">
        <v>0</v>
      </c>
      <c r="AI391" s="364">
        <v>0</v>
      </c>
      <c r="AJ391" s="364">
        <v>0</v>
      </c>
      <c r="AK391" s="364">
        <v>0</v>
      </c>
      <c r="AL391" s="364">
        <v>0</v>
      </c>
      <c r="AM391" s="364">
        <v>0</v>
      </c>
      <c r="AN391" s="364">
        <v>0</v>
      </c>
      <c r="AO391" s="364">
        <v>0</v>
      </c>
      <c r="AP391" s="364">
        <v>0</v>
      </c>
      <c r="AQ391" s="364">
        <v>0</v>
      </c>
      <c r="AR391" s="364">
        <v>0</v>
      </c>
      <c r="AS391" s="364">
        <v>0</v>
      </c>
      <c r="AT391" s="364">
        <v>0</v>
      </c>
      <c r="AU391" s="364">
        <v>0</v>
      </c>
      <c r="AV391" s="364">
        <v>0</v>
      </c>
      <c r="AW391" s="364">
        <v>0</v>
      </c>
      <c r="AX391" s="364">
        <v>0</v>
      </c>
      <c r="AY391" s="364">
        <v>0</v>
      </c>
      <c r="AZ391" s="364">
        <v>0</v>
      </c>
      <c r="BA391" s="364">
        <v>0</v>
      </c>
      <c r="BB391" s="364">
        <v>0</v>
      </c>
      <c r="BC391" s="364">
        <v>0</v>
      </c>
      <c r="BD391" s="364">
        <v>0</v>
      </c>
      <c r="BE391" s="364">
        <v>0</v>
      </c>
      <c r="BF391" s="364">
        <v>0</v>
      </c>
      <c r="BG391" s="364">
        <v>0</v>
      </c>
      <c r="BH391" s="364">
        <v>0</v>
      </c>
      <c r="BI391" s="364">
        <v>0</v>
      </c>
      <c r="BJ391" s="364">
        <v>0</v>
      </c>
      <c r="BK391" s="364">
        <v>0</v>
      </c>
      <c r="BL391" s="364">
        <v>0</v>
      </c>
      <c r="BM391" s="364">
        <v>0</v>
      </c>
      <c r="BN391" s="364">
        <v>0</v>
      </c>
      <c r="BO391" s="364">
        <v>0</v>
      </c>
      <c r="BP391" s="364">
        <v>0</v>
      </c>
      <c r="BQ391" s="364">
        <v>0</v>
      </c>
      <c r="BR391" s="364">
        <v>0</v>
      </c>
      <c r="BS391" s="364">
        <v>0</v>
      </c>
      <c r="BT391" s="364">
        <v>0</v>
      </c>
      <c r="BU391" s="364">
        <v>0</v>
      </c>
      <c r="BV391" s="364">
        <v>0</v>
      </c>
      <c r="BW391" s="364">
        <v>0</v>
      </c>
      <c r="BX391" s="364">
        <v>0</v>
      </c>
      <c r="BY391" s="364">
        <v>0</v>
      </c>
      <c r="BZ391" s="364">
        <v>0</v>
      </c>
      <c r="CA391" s="364">
        <v>0</v>
      </c>
      <c r="CB391" s="364">
        <v>0</v>
      </c>
      <c r="CC391" s="364">
        <v>0</v>
      </c>
      <c r="CE391"/>
      <c r="CF391"/>
      <c r="CG391"/>
      <c r="CH391"/>
      <c r="CI391"/>
    </row>
    <row r="392" spans="1:94" s="32" customFormat="1" ht="15.75" thickBot="1" x14ac:dyDescent="0.25">
      <c r="A392" s="185"/>
      <c r="B392" s="184">
        <f ca="1">INDIRECT("B" &amp; (157 + ROWS($A$1:A3)))</f>
        <v>0</v>
      </c>
      <c r="D392" s="310" t="e">
        <f t="shared" si="96"/>
        <v>#N/A</v>
      </c>
      <c r="E392"/>
      <c r="F392" s="115">
        <f t="shared" si="97"/>
        <v>0</v>
      </c>
      <c r="G392"/>
      <c r="H392"/>
      <c r="I392"/>
      <c r="J392" s="364">
        <v>0</v>
      </c>
      <c r="K392" s="364">
        <v>0</v>
      </c>
      <c r="L392" s="364">
        <v>0</v>
      </c>
      <c r="M392" s="364">
        <v>0</v>
      </c>
      <c r="N392" s="364">
        <v>0</v>
      </c>
      <c r="O392" s="364">
        <v>0</v>
      </c>
      <c r="P392" s="364">
        <v>0</v>
      </c>
      <c r="Q392" s="364">
        <v>0</v>
      </c>
      <c r="R392" s="364">
        <v>0</v>
      </c>
      <c r="S392" s="364">
        <v>0</v>
      </c>
      <c r="T392" s="364">
        <v>0</v>
      </c>
      <c r="U392" s="364">
        <v>0</v>
      </c>
      <c r="V392" s="364">
        <v>0</v>
      </c>
      <c r="W392" s="364">
        <v>0</v>
      </c>
      <c r="X392" s="364">
        <v>0</v>
      </c>
      <c r="Y392" s="364">
        <v>0</v>
      </c>
      <c r="Z392" s="364">
        <v>0</v>
      </c>
      <c r="AA392" s="364">
        <v>0</v>
      </c>
      <c r="AB392" s="364">
        <v>0</v>
      </c>
      <c r="AC392" s="364">
        <v>0</v>
      </c>
      <c r="AD392" s="364">
        <v>0</v>
      </c>
      <c r="AE392" s="364">
        <v>0</v>
      </c>
      <c r="AF392" s="364">
        <v>0</v>
      </c>
      <c r="AG392" s="364">
        <v>0</v>
      </c>
      <c r="AH392" s="364">
        <v>0</v>
      </c>
      <c r="AI392" s="364">
        <v>0</v>
      </c>
      <c r="AJ392" s="364">
        <v>0</v>
      </c>
      <c r="AK392" s="364">
        <v>0</v>
      </c>
      <c r="AL392" s="364">
        <v>0</v>
      </c>
      <c r="AM392" s="364">
        <v>0</v>
      </c>
      <c r="AN392" s="364">
        <v>0</v>
      </c>
      <c r="AO392" s="364">
        <v>0</v>
      </c>
      <c r="AP392" s="364">
        <v>0</v>
      </c>
      <c r="AQ392" s="364">
        <v>0</v>
      </c>
      <c r="AR392" s="364">
        <v>0</v>
      </c>
      <c r="AS392" s="364">
        <v>0</v>
      </c>
      <c r="AT392" s="364">
        <v>0</v>
      </c>
      <c r="AU392" s="364">
        <v>0</v>
      </c>
      <c r="AV392" s="364">
        <v>0</v>
      </c>
      <c r="AW392" s="364">
        <v>0</v>
      </c>
      <c r="AX392" s="364">
        <v>0</v>
      </c>
      <c r="AY392" s="364">
        <v>0</v>
      </c>
      <c r="AZ392" s="364">
        <v>0</v>
      </c>
      <c r="BA392" s="364">
        <v>0</v>
      </c>
      <c r="BB392" s="364">
        <v>0</v>
      </c>
      <c r="BC392" s="364">
        <v>0</v>
      </c>
      <c r="BD392" s="364">
        <v>0</v>
      </c>
      <c r="BE392" s="364">
        <v>0</v>
      </c>
      <c r="BF392" s="364">
        <v>0</v>
      </c>
      <c r="BG392" s="364">
        <v>0</v>
      </c>
      <c r="BH392" s="364">
        <v>0</v>
      </c>
      <c r="BI392" s="364">
        <v>0</v>
      </c>
      <c r="BJ392" s="364">
        <v>0</v>
      </c>
      <c r="BK392" s="364">
        <v>0</v>
      </c>
      <c r="BL392" s="364">
        <v>0</v>
      </c>
      <c r="BM392" s="364">
        <v>0</v>
      </c>
      <c r="BN392" s="364">
        <v>0</v>
      </c>
      <c r="BO392" s="364">
        <v>0</v>
      </c>
      <c r="BP392" s="364">
        <v>0</v>
      </c>
      <c r="BQ392" s="364">
        <v>0</v>
      </c>
      <c r="BR392" s="364">
        <v>0</v>
      </c>
      <c r="BS392" s="364">
        <v>0</v>
      </c>
      <c r="BT392" s="364">
        <v>0</v>
      </c>
      <c r="BU392" s="364">
        <v>0</v>
      </c>
      <c r="BV392" s="364">
        <v>0</v>
      </c>
      <c r="BW392" s="364">
        <v>0</v>
      </c>
      <c r="BX392" s="364">
        <v>0</v>
      </c>
      <c r="BY392" s="364">
        <v>0</v>
      </c>
      <c r="BZ392" s="364">
        <v>0</v>
      </c>
      <c r="CA392" s="364">
        <v>0</v>
      </c>
      <c r="CB392" s="364">
        <v>0</v>
      </c>
      <c r="CC392" s="364">
        <v>0</v>
      </c>
      <c r="CE392"/>
      <c r="CF392"/>
      <c r="CG392"/>
      <c r="CH392"/>
      <c r="CI392"/>
    </row>
    <row r="393" spans="1:94" s="32" customFormat="1" ht="15.75" thickBot="1" x14ac:dyDescent="0.25">
      <c r="A393" s="185"/>
      <c r="B393" s="184">
        <f ca="1">INDIRECT("B" &amp; (157 + ROWS($A$1:A4)))</f>
        <v>0</v>
      </c>
      <c r="D393" s="310" t="e">
        <f t="shared" si="96"/>
        <v>#N/A</v>
      </c>
      <c r="E393"/>
      <c r="F393" s="115">
        <f t="shared" si="97"/>
        <v>0</v>
      </c>
      <c r="G393"/>
      <c r="H393"/>
      <c r="I393"/>
      <c r="J393" s="364">
        <v>0</v>
      </c>
      <c r="K393" s="364">
        <v>0</v>
      </c>
      <c r="L393" s="364">
        <v>0</v>
      </c>
      <c r="M393" s="364">
        <v>0</v>
      </c>
      <c r="N393" s="364">
        <v>0</v>
      </c>
      <c r="O393" s="364">
        <v>0</v>
      </c>
      <c r="P393" s="364">
        <v>0</v>
      </c>
      <c r="Q393" s="364">
        <v>0</v>
      </c>
      <c r="R393" s="364">
        <v>0</v>
      </c>
      <c r="S393" s="364">
        <v>0</v>
      </c>
      <c r="T393" s="364">
        <v>0</v>
      </c>
      <c r="U393" s="364">
        <v>0</v>
      </c>
      <c r="V393" s="364">
        <v>0</v>
      </c>
      <c r="W393" s="364">
        <v>0</v>
      </c>
      <c r="X393" s="364">
        <v>0</v>
      </c>
      <c r="Y393" s="364">
        <v>0</v>
      </c>
      <c r="Z393" s="364">
        <v>0</v>
      </c>
      <c r="AA393" s="364">
        <v>0</v>
      </c>
      <c r="AB393" s="364">
        <v>0</v>
      </c>
      <c r="AC393" s="364">
        <v>0</v>
      </c>
      <c r="AD393" s="364">
        <v>0</v>
      </c>
      <c r="AE393" s="364">
        <v>0</v>
      </c>
      <c r="AF393" s="364">
        <v>0</v>
      </c>
      <c r="AG393" s="364">
        <v>0</v>
      </c>
      <c r="AH393" s="364">
        <v>0</v>
      </c>
      <c r="AI393" s="364">
        <v>0</v>
      </c>
      <c r="AJ393" s="364">
        <v>0</v>
      </c>
      <c r="AK393" s="364">
        <v>0</v>
      </c>
      <c r="AL393" s="364">
        <v>0</v>
      </c>
      <c r="AM393" s="364">
        <v>0</v>
      </c>
      <c r="AN393" s="364">
        <v>0</v>
      </c>
      <c r="AO393" s="364">
        <v>0</v>
      </c>
      <c r="AP393" s="364">
        <v>0</v>
      </c>
      <c r="AQ393" s="364">
        <v>0</v>
      </c>
      <c r="AR393" s="364">
        <v>0</v>
      </c>
      <c r="AS393" s="364">
        <v>0</v>
      </c>
      <c r="AT393" s="364">
        <v>0</v>
      </c>
      <c r="AU393" s="364">
        <v>0</v>
      </c>
      <c r="AV393" s="364">
        <v>0</v>
      </c>
      <c r="AW393" s="364">
        <v>0</v>
      </c>
      <c r="AX393" s="364">
        <v>0</v>
      </c>
      <c r="AY393" s="364">
        <v>0</v>
      </c>
      <c r="AZ393" s="364">
        <v>0</v>
      </c>
      <c r="BA393" s="364">
        <v>0</v>
      </c>
      <c r="BB393" s="364">
        <v>0</v>
      </c>
      <c r="BC393" s="364">
        <v>0</v>
      </c>
      <c r="BD393" s="364">
        <v>0</v>
      </c>
      <c r="BE393" s="364">
        <v>0</v>
      </c>
      <c r="BF393" s="364">
        <v>0</v>
      </c>
      <c r="BG393" s="364">
        <v>0</v>
      </c>
      <c r="BH393" s="364">
        <v>0</v>
      </c>
      <c r="BI393" s="364">
        <v>0</v>
      </c>
      <c r="BJ393" s="364">
        <v>0</v>
      </c>
      <c r="BK393" s="364">
        <v>0</v>
      </c>
      <c r="BL393" s="364">
        <v>0</v>
      </c>
      <c r="BM393" s="364">
        <v>0</v>
      </c>
      <c r="BN393" s="364">
        <v>0</v>
      </c>
      <c r="BO393" s="364">
        <v>0</v>
      </c>
      <c r="BP393" s="364">
        <v>0</v>
      </c>
      <c r="BQ393" s="364">
        <v>0</v>
      </c>
      <c r="BR393" s="364">
        <v>0</v>
      </c>
      <c r="BS393" s="364">
        <v>0</v>
      </c>
      <c r="BT393" s="364">
        <v>0</v>
      </c>
      <c r="BU393" s="364">
        <v>0</v>
      </c>
      <c r="BV393" s="364">
        <v>0</v>
      </c>
      <c r="BW393" s="364">
        <v>0</v>
      </c>
      <c r="BX393" s="364">
        <v>0</v>
      </c>
      <c r="BY393" s="364">
        <v>0</v>
      </c>
      <c r="BZ393" s="364">
        <v>0</v>
      </c>
      <c r="CA393" s="364">
        <v>0</v>
      </c>
      <c r="CB393" s="364">
        <v>0</v>
      </c>
      <c r="CC393" s="364">
        <v>0</v>
      </c>
      <c r="CE393"/>
      <c r="CF393"/>
      <c r="CG393"/>
      <c r="CH393"/>
      <c r="CI393"/>
    </row>
    <row r="394" spans="1:94" s="32" customFormat="1" ht="15.75" thickBot="1" x14ac:dyDescent="0.25">
      <c r="A394" s="185"/>
      <c r="B394" s="184">
        <f ca="1">INDIRECT("B" &amp; (157 + ROWS($A$1:A5)))</f>
        <v>0</v>
      </c>
      <c r="D394" s="310" t="e">
        <f t="shared" si="96"/>
        <v>#N/A</v>
      </c>
      <c r="E394"/>
      <c r="F394" s="115">
        <f t="shared" si="97"/>
        <v>0</v>
      </c>
      <c r="G394"/>
      <c r="H394"/>
      <c r="I394"/>
      <c r="J394" s="364">
        <v>0</v>
      </c>
      <c r="K394" s="364">
        <v>0</v>
      </c>
      <c r="L394" s="364">
        <v>0</v>
      </c>
      <c r="M394" s="364">
        <v>0</v>
      </c>
      <c r="N394" s="364">
        <v>0</v>
      </c>
      <c r="O394" s="364">
        <v>0</v>
      </c>
      <c r="P394" s="364">
        <v>0</v>
      </c>
      <c r="Q394" s="364">
        <v>0</v>
      </c>
      <c r="R394" s="364">
        <v>0</v>
      </c>
      <c r="S394" s="364">
        <v>0</v>
      </c>
      <c r="T394" s="364">
        <v>0</v>
      </c>
      <c r="U394" s="364">
        <v>0</v>
      </c>
      <c r="V394" s="364">
        <v>0</v>
      </c>
      <c r="W394" s="364">
        <v>0</v>
      </c>
      <c r="X394" s="364">
        <v>0</v>
      </c>
      <c r="Y394" s="364">
        <v>0</v>
      </c>
      <c r="Z394" s="364">
        <v>0</v>
      </c>
      <c r="AA394" s="364">
        <v>0</v>
      </c>
      <c r="AB394" s="364">
        <v>0</v>
      </c>
      <c r="AC394" s="364">
        <v>0</v>
      </c>
      <c r="AD394" s="364">
        <v>0</v>
      </c>
      <c r="AE394" s="364">
        <v>0</v>
      </c>
      <c r="AF394" s="364">
        <v>0</v>
      </c>
      <c r="AG394" s="364">
        <v>0</v>
      </c>
      <c r="AH394" s="364">
        <v>0</v>
      </c>
      <c r="AI394" s="364">
        <v>0</v>
      </c>
      <c r="AJ394" s="364">
        <v>0</v>
      </c>
      <c r="AK394" s="364">
        <v>0</v>
      </c>
      <c r="AL394" s="364">
        <v>0</v>
      </c>
      <c r="AM394" s="364">
        <v>0</v>
      </c>
      <c r="AN394" s="364">
        <v>0</v>
      </c>
      <c r="AO394" s="364">
        <v>0</v>
      </c>
      <c r="AP394" s="364">
        <v>0</v>
      </c>
      <c r="AQ394" s="364">
        <v>0</v>
      </c>
      <c r="AR394" s="364">
        <v>0</v>
      </c>
      <c r="AS394" s="364">
        <v>0</v>
      </c>
      <c r="AT394" s="364">
        <v>0</v>
      </c>
      <c r="AU394" s="364">
        <v>0</v>
      </c>
      <c r="AV394" s="364">
        <v>0</v>
      </c>
      <c r="AW394" s="364">
        <v>0</v>
      </c>
      <c r="AX394" s="364">
        <v>0</v>
      </c>
      <c r="AY394" s="364">
        <v>0</v>
      </c>
      <c r="AZ394" s="364">
        <v>0</v>
      </c>
      <c r="BA394" s="364">
        <v>0</v>
      </c>
      <c r="BB394" s="364">
        <v>0</v>
      </c>
      <c r="BC394" s="364">
        <v>0</v>
      </c>
      <c r="BD394" s="364">
        <v>0</v>
      </c>
      <c r="BE394" s="364">
        <v>0</v>
      </c>
      <c r="BF394" s="364">
        <v>0</v>
      </c>
      <c r="BG394" s="364">
        <v>0</v>
      </c>
      <c r="BH394" s="364">
        <v>0</v>
      </c>
      <c r="BI394" s="364">
        <v>0</v>
      </c>
      <c r="BJ394" s="364">
        <v>0</v>
      </c>
      <c r="BK394" s="364">
        <v>0</v>
      </c>
      <c r="BL394" s="364">
        <v>0</v>
      </c>
      <c r="BM394" s="364">
        <v>0</v>
      </c>
      <c r="BN394" s="364">
        <v>0</v>
      </c>
      <c r="BO394" s="364">
        <v>0</v>
      </c>
      <c r="BP394" s="364">
        <v>0</v>
      </c>
      <c r="BQ394" s="364">
        <v>0</v>
      </c>
      <c r="BR394" s="364">
        <v>0</v>
      </c>
      <c r="BS394" s="364">
        <v>0</v>
      </c>
      <c r="BT394" s="364">
        <v>0</v>
      </c>
      <c r="BU394" s="364">
        <v>0</v>
      </c>
      <c r="BV394" s="364">
        <v>0</v>
      </c>
      <c r="BW394" s="364">
        <v>0</v>
      </c>
      <c r="BX394" s="364">
        <v>0</v>
      </c>
      <c r="BY394" s="364">
        <v>0</v>
      </c>
      <c r="BZ394" s="364">
        <v>0</v>
      </c>
      <c r="CA394" s="364">
        <v>0</v>
      </c>
      <c r="CB394" s="364">
        <v>0</v>
      </c>
      <c r="CC394" s="364">
        <v>0</v>
      </c>
      <c r="CE394"/>
      <c r="CF394"/>
      <c r="CG394"/>
      <c r="CH394"/>
      <c r="CI394"/>
    </row>
    <row r="395" spans="1:94" s="32" customFormat="1" ht="15.75" thickBot="1" x14ac:dyDescent="0.25">
      <c r="A395" s="185"/>
      <c r="B395" s="184">
        <f ca="1">INDIRECT("B" &amp; (157 + ROWS($A$1:A6)))</f>
        <v>0</v>
      </c>
      <c r="D395" s="310" t="e">
        <f t="shared" si="96"/>
        <v>#N/A</v>
      </c>
      <c r="E395"/>
      <c r="F395" s="115">
        <f t="shared" si="97"/>
        <v>0</v>
      </c>
      <c r="G395"/>
      <c r="H395"/>
      <c r="I395"/>
      <c r="J395" s="364">
        <v>0</v>
      </c>
      <c r="K395" s="364">
        <v>0</v>
      </c>
      <c r="L395" s="364">
        <v>0</v>
      </c>
      <c r="M395" s="364">
        <v>0</v>
      </c>
      <c r="N395" s="364">
        <v>0</v>
      </c>
      <c r="O395" s="364">
        <v>0</v>
      </c>
      <c r="P395" s="364">
        <v>0</v>
      </c>
      <c r="Q395" s="364">
        <v>0</v>
      </c>
      <c r="R395" s="364">
        <v>0</v>
      </c>
      <c r="S395" s="364">
        <v>0</v>
      </c>
      <c r="T395" s="364">
        <v>0</v>
      </c>
      <c r="U395" s="364">
        <v>0</v>
      </c>
      <c r="V395" s="364">
        <v>0</v>
      </c>
      <c r="W395" s="364">
        <v>0</v>
      </c>
      <c r="X395" s="364">
        <v>0</v>
      </c>
      <c r="Y395" s="364">
        <v>0</v>
      </c>
      <c r="Z395" s="364">
        <v>0</v>
      </c>
      <c r="AA395" s="364">
        <v>0</v>
      </c>
      <c r="AB395" s="364">
        <v>0</v>
      </c>
      <c r="AC395" s="364">
        <v>0</v>
      </c>
      <c r="AD395" s="364">
        <v>0</v>
      </c>
      <c r="AE395" s="364">
        <v>0</v>
      </c>
      <c r="AF395" s="364">
        <v>0</v>
      </c>
      <c r="AG395" s="364">
        <v>0</v>
      </c>
      <c r="AH395" s="364">
        <v>0</v>
      </c>
      <c r="AI395" s="364">
        <v>0</v>
      </c>
      <c r="AJ395" s="364">
        <v>0</v>
      </c>
      <c r="AK395" s="364">
        <v>0</v>
      </c>
      <c r="AL395" s="364">
        <v>0</v>
      </c>
      <c r="AM395" s="364">
        <v>0</v>
      </c>
      <c r="AN395" s="364">
        <v>0</v>
      </c>
      <c r="AO395" s="364">
        <v>0</v>
      </c>
      <c r="AP395" s="364">
        <v>0</v>
      </c>
      <c r="AQ395" s="364">
        <v>0</v>
      </c>
      <c r="AR395" s="364">
        <v>0</v>
      </c>
      <c r="AS395" s="364">
        <v>0</v>
      </c>
      <c r="AT395" s="364">
        <v>0</v>
      </c>
      <c r="AU395" s="364">
        <v>0</v>
      </c>
      <c r="AV395" s="364">
        <v>0</v>
      </c>
      <c r="AW395" s="364">
        <v>0</v>
      </c>
      <c r="AX395" s="364">
        <v>0</v>
      </c>
      <c r="AY395" s="364">
        <v>0</v>
      </c>
      <c r="AZ395" s="364">
        <v>0</v>
      </c>
      <c r="BA395" s="364">
        <v>0</v>
      </c>
      <c r="BB395" s="364">
        <v>0</v>
      </c>
      <c r="BC395" s="364">
        <v>0</v>
      </c>
      <c r="BD395" s="364">
        <v>0</v>
      </c>
      <c r="BE395" s="364">
        <v>0</v>
      </c>
      <c r="BF395" s="364">
        <v>0</v>
      </c>
      <c r="BG395" s="364">
        <v>0</v>
      </c>
      <c r="BH395" s="364">
        <v>0</v>
      </c>
      <c r="BI395" s="364">
        <v>0</v>
      </c>
      <c r="BJ395" s="364">
        <v>0</v>
      </c>
      <c r="BK395" s="364">
        <v>0</v>
      </c>
      <c r="BL395" s="364">
        <v>0</v>
      </c>
      <c r="BM395" s="364">
        <v>0</v>
      </c>
      <c r="BN395" s="364">
        <v>0</v>
      </c>
      <c r="BO395" s="364">
        <v>0</v>
      </c>
      <c r="BP395" s="364">
        <v>0</v>
      </c>
      <c r="BQ395" s="364">
        <v>0</v>
      </c>
      <c r="BR395" s="364">
        <v>0</v>
      </c>
      <c r="BS395" s="364">
        <v>0</v>
      </c>
      <c r="BT395" s="364">
        <v>0</v>
      </c>
      <c r="BU395" s="364">
        <v>0</v>
      </c>
      <c r="BV395" s="364">
        <v>0</v>
      </c>
      <c r="BW395" s="364">
        <v>0</v>
      </c>
      <c r="BX395" s="364">
        <v>0</v>
      </c>
      <c r="BY395" s="364">
        <v>0</v>
      </c>
      <c r="BZ395" s="364">
        <v>0</v>
      </c>
      <c r="CA395" s="364">
        <v>0</v>
      </c>
      <c r="CB395" s="364">
        <v>0</v>
      </c>
      <c r="CC395" s="364">
        <v>0</v>
      </c>
      <c r="CE395"/>
      <c r="CF395"/>
      <c r="CG395"/>
      <c r="CH395"/>
      <c r="CI395"/>
    </row>
    <row r="396" spans="1:94" s="32" customFormat="1" ht="15.75" thickBot="1" x14ac:dyDescent="0.25">
      <c r="A396" s="185"/>
      <c r="B396" s="184">
        <f ca="1">INDIRECT("B" &amp; (157 + ROWS($A$1:A7)))</f>
        <v>0</v>
      </c>
      <c r="D396" s="310" t="e">
        <f t="shared" si="96"/>
        <v>#N/A</v>
      </c>
      <c r="E396"/>
      <c r="F396" s="115">
        <f t="shared" si="97"/>
        <v>0</v>
      </c>
      <c r="G396"/>
      <c r="H396"/>
      <c r="I396"/>
      <c r="J396" s="364">
        <v>0</v>
      </c>
      <c r="K396" s="364">
        <v>0</v>
      </c>
      <c r="L396" s="364">
        <v>0</v>
      </c>
      <c r="M396" s="364">
        <v>0</v>
      </c>
      <c r="N396" s="364">
        <v>0</v>
      </c>
      <c r="O396" s="364">
        <v>0</v>
      </c>
      <c r="P396" s="364">
        <v>0</v>
      </c>
      <c r="Q396" s="364">
        <v>0</v>
      </c>
      <c r="R396" s="364">
        <v>0</v>
      </c>
      <c r="S396" s="364">
        <v>0</v>
      </c>
      <c r="T396" s="364">
        <v>0</v>
      </c>
      <c r="U396" s="364">
        <v>0</v>
      </c>
      <c r="V396" s="364">
        <v>0</v>
      </c>
      <c r="W396" s="364">
        <v>0</v>
      </c>
      <c r="X396" s="364">
        <v>0</v>
      </c>
      <c r="Y396" s="364">
        <v>0</v>
      </c>
      <c r="Z396" s="364">
        <v>0</v>
      </c>
      <c r="AA396" s="364">
        <v>0</v>
      </c>
      <c r="AB396" s="364">
        <v>0</v>
      </c>
      <c r="AC396" s="364">
        <v>0</v>
      </c>
      <c r="AD396" s="364">
        <v>0</v>
      </c>
      <c r="AE396" s="364">
        <v>0</v>
      </c>
      <c r="AF396" s="364">
        <v>0</v>
      </c>
      <c r="AG396" s="364">
        <v>0</v>
      </c>
      <c r="AH396" s="364">
        <v>0</v>
      </c>
      <c r="AI396" s="364">
        <v>0</v>
      </c>
      <c r="AJ396" s="364">
        <v>0</v>
      </c>
      <c r="AK396" s="364">
        <v>0</v>
      </c>
      <c r="AL396" s="364">
        <v>0</v>
      </c>
      <c r="AM396" s="364">
        <v>0</v>
      </c>
      <c r="AN396" s="364">
        <v>0</v>
      </c>
      <c r="AO396" s="364">
        <v>0</v>
      </c>
      <c r="AP396" s="364">
        <v>0</v>
      </c>
      <c r="AQ396" s="364">
        <v>0</v>
      </c>
      <c r="AR396" s="364">
        <v>0</v>
      </c>
      <c r="AS396" s="364">
        <v>0</v>
      </c>
      <c r="AT396" s="364">
        <v>0</v>
      </c>
      <c r="AU396" s="364">
        <v>0</v>
      </c>
      <c r="AV396" s="364">
        <v>0</v>
      </c>
      <c r="AW396" s="364">
        <v>0</v>
      </c>
      <c r="AX396" s="364">
        <v>0</v>
      </c>
      <c r="AY396" s="364">
        <v>0</v>
      </c>
      <c r="AZ396" s="364">
        <v>0</v>
      </c>
      <c r="BA396" s="364">
        <v>0</v>
      </c>
      <c r="BB396" s="364">
        <v>0</v>
      </c>
      <c r="BC396" s="364">
        <v>0</v>
      </c>
      <c r="BD396" s="364">
        <v>0</v>
      </c>
      <c r="BE396" s="364">
        <v>0</v>
      </c>
      <c r="BF396" s="364">
        <v>0</v>
      </c>
      <c r="BG396" s="364">
        <v>0</v>
      </c>
      <c r="BH396" s="364">
        <v>0</v>
      </c>
      <c r="BI396" s="364">
        <v>0</v>
      </c>
      <c r="BJ396" s="364">
        <v>0</v>
      </c>
      <c r="BK396" s="364">
        <v>0</v>
      </c>
      <c r="BL396" s="364">
        <v>0</v>
      </c>
      <c r="BM396" s="364">
        <v>0</v>
      </c>
      <c r="BN396" s="364">
        <v>0</v>
      </c>
      <c r="BO396" s="364">
        <v>0</v>
      </c>
      <c r="BP396" s="364">
        <v>0</v>
      </c>
      <c r="BQ396" s="364">
        <v>0</v>
      </c>
      <c r="BR396" s="364">
        <v>0</v>
      </c>
      <c r="BS396" s="364">
        <v>0</v>
      </c>
      <c r="BT396" s="364">
        <v>0</v>
      </c>
      <c r="BU396" s="364">
        <v>0</v>
      </c>
      <c r="BV396" s="364">
        <v>0</v>
      </c>
      <c r="BW396" s="364">
        <v>0</v>
      </c>
      <c r="BX396" s="364">
        <v>0</v>
      </c>
      <c r="BY396" s="364">
        <v>0</v>
      </c>
      <c r="BZ396" s="364">
        <v>0</v>
      </c>
      <c r="CA396" s="364">
        <v>0</v>
      </c>
      <c r="CB396" s="364">
        <v>0</v>
      </c>
      <c r="CC396" s="364">
        <v>0</v>
      </c>
      <c r="CE396"/>
      <c r="CF396"/>
      <c r="CG396"/>
      <c r="CH396"/>
      <c r="CI396"/>
    </row>
    <row r="397" spans="1:94" s="32" customFormat="1" ht="15.75" thickBot="1" x14ac:dyDescent="0.25">
      <c r="A397" s="185"/>
      <c r="B397" s="184">
        <f ca="1">INDIRECT("B" &amp; (157 + ROWS($A$1:A8)))</f>
        <v>0</v>
      </c>
      <c r="D397" s="310" t="e">
        <f t="shared" si="96"/>
        <v>#N/A</v>
      </c>
      <c r="E397"/>
      <c r="F397" s="115">
        <f t="shared" si="97"/>
        <v>0</v>
      </c>
      <c r="G397"/>
      <c r="H397"/>
      <c r="I397"/>
      <c r="J397" s="364">
        <v>0</v>
      </c>
      <c r="K397" s="364">
        <v>0</v>
      </c>
      <c r="L397" s="364">
        <v>0</v>
      </c>
      <c r="M397" s="364">
        <v>0</v>
      </c>
      <c r="N397" s="364">
        <v>0</v>
      </c>
      <c r="O397" s="364">
        <v>0</v>
      </c>
      <c r="P397" s="364">
        <v>0</v>
      </c>
      <c r="Q397" s="364">
        <v>0</v>
      </c>
      <c r="R397" s="364">
        <v>0</v>
      </c>
      <c r="S397" s="364">
        <v>0</v>
      </c>
      <c r="T397" s="364">
        <v>0</v>
      </c>
      <c r="U397" s="364">
        <v>0</v>
      </c>
      <c r="V397" s="364">
        <v>0</v>
      </c>
      <c r="W397" s="364">
        <v>0</v>
      </c>
      <c r="X397" s="364">
        <v>0</v>
      </c>
      <c r="Y397" s="364">
        <v>0</v>
      </c>
      <c r="Z397" s="364">
        <v>0</v>
      </c>
      <c r="AA397" s="364">
        <v>0</v>
      </c>
      <c r="AB397" s="364">
        <v>0</v>
      </c>
      <c r="AC397" s="364">
        <v>0</v>
      </c>
      <c r="AD397" s="364">
        <v>0</v>
      </c>
      <c r="AE397" s="364">
        <v>0</v>
      </c>
      <c r="AF397" s="364">
        <v>0</v>
      </c>
      <c r="AG397" s="364">
        <v>0</v>
      </c>
      <c r="AH397" s="364">
        <v>0</v>
      </c>
      <c r="AI397" s="364">
        <v>0</v>
      </c>
      <c r="AJ397" s="364">
        <v>0</v>
      </c>
      <c r="AK397" s="364">
        <v>0</v>
      </c>
      <c r="AL397" s="364">
        <v>0</v>
      </c>
      <c r="AM397" s="364">
        <v>0</v>
      </c>
      <c r="AN397" s="364">
        <v>0</v>
      </c>
      <c r="AO397" s="364">
        <v>0</v>
      </c>
      <c r="AP397" s="364">
        <v>0</v>
      </c>
      <c r="AQ397" s="364">
        <v>0</v>
      </c>
      <c r="AR397" s="364">
        <v>0</v>
      </c>
      <c r="AS397" s="364">
        <v>0</v>
      </c>
      <c r="AT397" s="364">
        <v>0</v>
      </c>
      <c r="AU397" s="364">
        <v>0</v>
      </c>
      <c r="AV397" s="364">
        <v>0</v>
      </c>
      <c r="AW397" s="364">
        <v>0</v>
      </c>
      <c r="AX397" s="364">
        <v>0</v>
      </c>
      <c r="AY397" s="364">
        <v>0</v>
      </c>
      <c r="AZ397" s="364">
        <v>0</v>
      </c>
      <c r="BA397" s="364">
        <v>0</v>
      </c>
      <c r="BB397" s="364">
        <v>0</v>
      </c>
      <c r="BC397" s="364">
        <v>0</v>
      </c>
      <c r="BD397" s="364">
        <v>0</v>
      </c>
      <c r="BE397" s="364">
        <v>0</v>
      </c>
      <c r="BF397" s="364">
        <v>0</v>
      </c>
      <c r="BG397" s="364">
        <v>0</v>
      </c>
      <c r="BH397" s="364">
        <v>0</v>
      </c>
      <c r="BI397" s="364">
        <v>0</v>
      </c>
      <c r="BJ397" s="364">
        <v>0</v>
      </c>
      <c r="BK397" s="364">
        <v>0</v>
      </c>
      <c r="BL397" s="364">
        <v>0</v>
      </c>
      <c r="BM397" s="364">
        <v>0</v>
      </c>
      <c r="BN397" s="364">
        <v>0</v>
      </c>
      <c r="BO397" s="364">
        <v>0</v>
      </c>
      <c r="BP397" s="364">
        <v>0</v>
      </c>
      <c r="BQ397" s="364">
        <v>0</v>
      </c>
      <c r="BR397" s="364">
        <v>0</v>
      </c>
      <c r="BS397" s="364">
        <v>0</v>
      </c>
      <c r="BT397" s="364">
        <v>0</v>
      </c>
      <c r="BU397" s="364">
        <v>0</v>
      </c>
      <c r="BV397" s="364">
        <v>0</v>
      </c>
      <c r="BW397" s="364">
        <v>0</v>
      </c>
      <c r="BX397" s="364">
        <v>0</v>
      </c>
      <c r="BY397" s="364">
        <v>0</v>
      </c>
      <c r="BZ397" s="364">
        <v>0</v>
      </c>
      <c r="CA397" s="364">
        <v>0</v>
      </c>
      <c r="CB397" s="364">
        <v>0</v>
      </c>
      <c r="CC397" s="364">
        <v>0</v>
      </c>
      <c r="CE397"/>
      <c r="CF397"/>
      <c r="CG397"/>
      <c r="CH397"/>
      <c r="CI397"/>
    </row>
    <row r="398" spans="1:94" s="32" customFormat="1" ht="15.75" thickBot="1" x14ac:dyDescent="0.25">
      <c r="A398" s="185"/>
      <c r="B398" s="184">
        <f ca="1">INDIRECT("B" &amp; (157 + ROWS($A$1:A9)))</f>
        <v>0</v>
      </c>
      <c r="D398" s="310" t="e">
        <f t="shared" si="96"/>
        <v>#N/A</v>
      </c>
      <c r="E398"/>
      <c r="F398" s="115">
        <f t="shared" si="97"/>
        <v>0</v>
      </c>
      <c r="G398"/>
      <c r="H398"/>
      <c r="I398"/>
      <c r="J398" s="364">
        <v>0</v>
      </c>
      <c r="K398" s="364">
        <v>0</v>
      </c>
      <c r="L398" s="364">
        <v>0</v>
      </c>
      <c r="M398" s="364">
        <v>0</v>
      </c>
      <c r="N398" s="364">
        <v>0</v>
      </c>
      <c r="O398" s="364">
        <v>0</v>
      </c>
      <c r="P398" s="364">
        <v>0</v>
      </c>
      <c r="Q398" s="364">
        <v>0</v>
      </c>
      <c r="R398" s="364">
        <v>0</v>
      </c>
      <c r="S398" s="364">
        <v>0</v>
      </c>
      <c r="T398" s="364">
        <v>0</v>
      </c>
      <c r="U398" s="364">
        <v>0</v>
      </c>
      <c r="V398" s="364">
        <v>0</v>
      </c>
      <c r="W398" s="364">
        <v>0</v>
      </c>
      <c r="X398" s="364">
        <v>0</v>
      </c>
      <c r="Y398" s="364">
        <v>0</v>
      </c>
      <c r="Z398" s="364">
        <v>0</v>
      </c>
      <c r="AA398" s="364">
        <v>0</v>
      </c>
      <c r="AB398" s="364">
        <v>0</v>
      </c>
      <c r="AC398" s="364">
        <v>0</v>
      </c>
      <c r="AD398" s="364">
        <v>0</v>
      </c>
      <c r="AE398" s="364">
        <v>0</v>
      </c>
      <c r="AF398" s="364">
        <v>0</v>
      </c>
      <c r="AG398" s="364">
        <v>0</v>
      </c>
      <c r="AH398" s="364">
        <v>0</v>
      </c>
      <c r="AI398" s="364">
        <v>0</v>
      </c>
      <c r="AJ398" s="364">
        <v>0</v>
      </c>
      <c r="AK398" s="364">
        <v>0</v>
      </c>
      <c r="AL398" s="364">
        <v>0</v>
      </c>
      <c r="AM398" s="364">
        <v>0</v>
      </c>
      <c r="AN398" s="364">
        <v>0</v>
      </c>
      <c r="AO398" s="364">
        <v>0</v>
      </c>
      <c r="AP398" s="364">
        <v>0</v>
      </c>
      <c r="AQ398" s="364">
        <v>0</v>
      </c>
      <c r="AR398" s="364">
        <v>0</v>
      </c>
      <c r="AS398" s="364">
        <v>0</v>
      </c>
      <c r="AT398" s="364">
        <v>0</v>
      </c>
      <c r="AU398" s="364">
        <v>0</v>
      </c>
      <c r="AV398" s="364">
        <v>0</v>
      </c>
      <c r="AW398" s="364">
        <v>0</v>
      </c>
      <c r="AX398" s="364">
        <v>0</v>
      </c>
      <c r="AY398" s="364">
        <v>0</v>
      </c>
      <c r="AZ398" s="364">
        <v>0</v>
      </c>
      <c r="BA398" s="364">
        <v>0</v>
      </c>
      <c r="BB398" s="364">
        <v>0</v>
      </c>
      <c r="BC398" s="364">
        <v>0</v>
      </c>
      <c r="BD398" s="364">
        <v>0</v>
      </c>
      <c r="BE398" s="364">
        <v>0</v>
      </c>
      <c r="BF398" s="364">
        <v>0</v>
      </c>
      <c r="BG398" s="364">
        <v>0</v>
      </c>
      <c r="BH398" s="364">
        <v>0</v>
      </c>
      <c r="BI398" s="364">
        <v>0</v>
      </c>
      <c r="BJ398" s="364">
        <v>0</v>
      </c>
      <c r="BK398" s="364">
        <v>0</v>
      </c>
      <c r="BL398" s="364">
        <v>0</v>
      </c>
      <c r="BM398" s="364">
        <v>0</v>
      </c>
      <c r="BN398" s="364">
        <v>0</v>
      </c>
      <c r="BO398" s="364">
        <v>0</v>
      </c>
      <c r="BP398" s="364">
        <v>0</v>
      </c>
      <c r="BQ398" s="364">
        <v>0</v>
      </c>
      <c r="BR398" s="364">
        <v>0</v>
      </c>
      <c r="BS398" s="364">
        <v>0</v>
      </c>
      <c r="BT398" s="364">
        <v>0</v>
      </c>
      <c r="BU398" s="364">
        <v>0</v>
      </c>
      <c r="BV398" s="364">
        <v>0</v>
      </c>
      <c r="BW398" s="364">
        <v>0</v>
      </c>
      <c r="BX398" s="364">
        <v>0</v>
      </c>
      <c r="BY398" s="364">
        <v>0</v>
      </c>
      <c r="BZ398" s="364">
        <v>0</v>
      </c>
      <c r="CA398" s="364">
        <v>0</v>
      </c>
      <c r="CB398" s="364">
        <v>0</v>
      </c>
      <c r="CC398" s="364">
        <v>0</v>
      </c>
      <c r="CE398"/>
      <c r="CF398"/>
      <c r="CG398"/>
      <c r="CH398"/>
      <c r="CI398"/>
    </row>
    <row r="399" spans="1:94" s="32" customFormat="1" ht="15.75" thickBot="1" x14ac:dyDescent="0.25">
      <c r="A399" s="185"/>
      <c r="B399" s="184">
        <f ca="1">INDIRECT("B" &amp; (157 + ROWS($A$1:A10)))</f>
        <v>0</v>
      </c>
      <c r="D399" s="310" t="e">
        <f t="shared" si="96"/>
        <v>#N/A</v>
      </c>
      <c r="E399"/>
      <c r="F399" s="115">
        <f t="shared" si="97"/>
        <v>0</v>
      </c>
      <c r="G399"/>
      <c r="H399"/>
      <c r="I399"/>
      <c r="J399" s="364">
        <v>0</v>
      </c>
      <c r="K399" s="364">
        <v>0</v>
      </c>
      <c r="L399" s="364">
        <v>0</v>
      </c>
      <c r="M399" s="364">
        <v>0</v>
      </c>
      <c r="N399" s="364">
        <v>0</v>
      </c>
      <c r="O399" s="364">
        <v>0</v>
      </c>
      <c r="P399" s="364">
        <v>0</v>
      </c>
      <c r="Q399" s="364">
        <v>0</v>
      </c>
      <c r="R399" s="364">
        <v>0</v>
      </c>
      <c r="S399" s="364">
        <v>0</v>
      </c>
      <c r="T399" s="364">
        <v>0</v>
      </c>
      <c r="U399" s="364">
        <v>0</v>
      </c>
      <c r="V399" s="364">
        <v>0</v>
      </c>
      <c r="W399" s="364">
        <v>0</v>
      </c>
      <c r="X399" s="364">
        <v>0</v>
      </c>
      <c r="Y399" s="364">
        <v>0</v>
      </c>
      <c r="Z399" s="364">
        <v>0</v>
      </c>
      <c r="AA399" s="364">
        <v>0</v>
      </c>
      <c r="AB399" s="364">
        <v>0</v>
      </c>
      <c r="AC399" s="364">
        <v>0</v>
      </c>
      <c r="AD399" s="364">
        <v>0</v>
      </c>
      <c r="AE399" s="364">
        <v>0</v>
      </c>
      <c r="AF399" s="364">
        <v>0</v>
      </c>
      <c r="AG399" s="364">
        <v>0</v>
      </c>
      <c r="AH399" s="364">
        <v>0</v>
      </c>
      <c r="AI399" s="364">
        <v>0</v>
      </c>
      <c r="AJ399" s="364">
        <v>0</v>
      </c>
      <c r="AK399" s="364">
        <v>0</v>
      </c>
      <c r="AL399" s="364">
        <v>0</v>
      </c>
      <c r="AM399" s="364">
        <v>0</v>
      </c>
      <c r="AN399" s="364">
        <v>0</v>
      </c>
      <c r="AO399" s="364">
        <v>0</v>
      </c>
      <c r="AP399" s="364">
        <v>0</v>
      </c>
      <c r="AQ399" s="364">
        <v>0</v>
      </c>
      <c r="AR399" s="364">
        <v>0</v>
      </c>
      <c r="AS399" s="364">
        <v>0</v>
      </c>
      <c r="AT399" s="364">
        <v>0</v>
      </c>
      <c r="AU399" s="364">
        <v>0</v>
      </c>
      <c r="AV399" s="364">
        <v>0</v>
      </c>
      <c r="AW399" s="364">
        <v>0</v>
      </c>
      <c r="AX399" s="364">
        <v>0</v>
      </c>
      <c r="AY399" s="364">
        <v>0</v>
      </c>
      <c r="AZ399" s="364">
        <v>0</v>
      </c>
      <c r="BA399" s="364">
        <v>0</v>
      </c>
      <c r="BB399" s="364">
        <v>0</v>
      </c>
      <c r="BC399" s="364">
        <v>0</v>
      </c>
      <c r="BD399" s="364">
        <v>0</v>
      </c>
      <c r="BE399" s="364">
        <v>0</v>
      </c>
      <c r="BF399" s="364">
        <v>0</v>
      </c>
      <c r="BG399" s="364">
        <v>0</v>
      </c>
      <c r="BH399" s="364">
        <v>0</v>
      </c>
      <c r="BI399" s="364">
        <v>0</v>
      </c>
      <c r="BJ399" s="364">
        <v>0</v>
      </c>
      <c r="BK399" s="364">
        <v>0</v>
      </c>
      <c r="BL399" s="364">
        <v>0</v>
      </c>
      <c r="BM399" s="364">
        <v>0</v>
      </c>
      <c r="BN399" s="364">
        <v>0</v>
      </c>
      <c r="BO399" s="364">
        <v>0</v>
      </c>
      <c r="BP399" s="364">
        <v>0</v>
      </c>
      <c r="BQ399" s="364">
        <v>0</v>
      </c>
      <c r="BR399" s="364">
        <v>0</v>
      </c>
      <c r="BS399" s="364">
        <v>0</v>
      </c>
      <c r="BT399" s="364">
        <v>0</v>
      </c>
      <c r="BU399" s="364">
        <v>0</v>
      </c>
      <c r="BV399" s="364">
        <v>0</v>
      </c>
      <c r="BW399" s="364">
        <v>0</v>
      </c>
      <c r="BX399" s="364">
        <v>0</v>
      </c>
      <c r="BY399" s="364">
        <v>0</v>
      </c>
      <c r="BZ399" s="364">
        <v>0</v>
      </c>
      <c r="CA399" s="364">
        <v>0</v>
      </c>
      <c r="CB399" s="364">
        <v>0</v>
      </c>
      <c r="CC399" s="364">
        <v>0</v>
      </c>
      <c r="CE399"/>
      <c r="CF399"/>
      <c r="CG399"/>
      <c r="CH399"/>
      <c r="CI399"/>
    </row>
    <row r="400" spans="1:94" s="32" customFormat="1" ht="15.75" thickBot="1" x14ac:dyDescent="0.25">
      <c r="A400" s="185"/>
      <c r="B400" s="184">
        <f ca="1">INDIRECT("B" &amp; (157 + ROWS($A$1:A11)))</f>
        <v>0</v>
      </c>
      <c r="D400" s="310" t="e">
        <f t="shared" si="96"/>
        <v>#N/A</v>
      </c>
      <c r="E400"/>
      <c r="F400" s="115">
        <f t="shared" si="97"/>
        <v>0</v>
      </c>
      <c r="G400"/>
      <c r="H400"/>
      <c r="I400"/>
      <c r="J400" s="364">
        <v>0</v>
      </c>
      <c r="K400" s="364">
        <v>0</v>
      </c>
      <c r="L400" s="364">
        <v>0</v>
      </c>
      <c r="M400" s="364">
        <v>0</v>
      </c>
      <c r="N400" s="364">
        <v>0</v>
      </c>
      <c r="O400" s="364">
        <v>0</v>
      </c>
      <c r="P400" s="364">
        <v>0</v>
      </c>
      <c r="Q400" s="364">
        <v>0</v>
      </c>
      <c r="R400" s="364">
        <v>0</v>
      </c>
      <c r="S400" s="364">
        <v>0</v>
      </c>
      <c r="T400" s="364">
        <v>0</v>
      </c>
      <c r="U400" s="364">
        <v>0</v>
      </c>
      <c r="V400" s="364">
        <v>0</v>
      </c>
      <c r="W400" s="364">
        <v>0</v>
      </c>
      <c r="X400" s="364">
        <v>0</v>
      </c>
      <c r="Y400" s="364">
        <v>0</v>
      </c>
      <c r="Z400" s="364">
        <v>0</v>
      </c>
      <c r="AA400" s="364">
        <v>0</v>
      </c>
      <c r="AB400" s="364">
        <v>0</v>
      </c>
      <c r="AC400" s="364">
        <v>0</v>
      </c>
      <c r="AD400" s="364">
        <v>0</v>
      </c>
      <c r="AE400" s="364">
        <v>0</v>
      </c>
      <c r="AF400" s="364">
        <v>0</v>
      </c>
      <c r="AG400" s="364">
        <v>0</v>
      </c>
      <c r="AH400" s="364">
        <v>0</v>
      </c>
      <c r="AI400" s="364">
        <v>0</v>
      </c>
      <c r="AJ400" s="364">
        <v>0</v>
      </c>
      <c r="AK400" s="364">
        <v>0</v>
      </c>
      <c r="AL400" s="364">
        <v>0</v>
      </c>
      <c r="AM400" s="364">
        <v>0</v>
      </c>
      <c r="AN400" s="364">
        <v>0</v>
      </c>
      <c r="AO400" s="364">
        <v>0</v>
      </c>
      <c r="AP400" s="364">
        <v>0</v>
      </c>
      <c r="AQ400" s="364">
        <v>0</v>
      </c>
      <c r="AR400" s="364">
        <v>0</v>
      </c>
      <c r="AS400" s="364">
        <v>0</v>
      </c>
      <c r="AT400" s="364">
        <v>0</v>
      </c>
      <c r="AU400" s="364">
        <v>0</v>
      </c>
      <c r="AV400" s="364">
        <v>0</v>
      </c>
      <c r="AW400" s="364">
        <v>0</v>
      </c>
      <c r="AX400" s="364">
        <v>0</v>
      </c>
      <c r="AY400" s="364">
        <v>0</v>
      </c>
      <c r="AZ400" s="364">
        <v>0</v>
      </c>
      <c r="BA400" s="364">
        <v>0</v>
      </c>
      <c r="BB400" s="364">
        <v>0</v>
      </c>
      <c r="BC400" s="364">
        <v>0</v>
      </c>
      <c r="BD400" s="364">
        <v>0</v>
      </c>
      <c r="BE400" s="364">
        <v>0</v>
      </c>
      <c r="BF400" s="364">
        <v>0</v>
      </c>
      <c r="BG400" s="364">
        <v>0</v>
      </c>
      <c r="BH400" s="364">
        <v>0</v>
      </c>
      <c r="BI400" s="364">
        <v>0</v>
      </c>
      <c r="BJ400" s="364">
        <v>0</v>
      </c>
      <c r="BK400" s="364">
        <v>0</v>
      </c>
      <c r="BL400" s="364">
        <v>0</v>
      </c>
      <c r="BM400" s="364">
        <v>0</v>
      </c>
      <c r="BN400" s="364">
        <v>0</v>
      </c>
      <c r="BO400" s="364">
        <v>0</v>
      </c>
      <c r="BP400" s="364">
        <v>0</v>
      </c>
      <c r="BQ400" s="364">
        <v>0</v>
      </c>
      <c r="BR400" s="364">
        <v>0</v>
      </c>
      <c r="BS400" s="364">
        <v>0</v>
      </c>
      <c r="BT400" s="364">
        <v>0</v>
      </c>
      <c r="BU400" s="364">
        <v>0</v>
      </c>
      <c r="BV400" s="364">
        <v>0</v>
      </c>
      <c r="BW400" s="364">
        <v>0</v>
      </c>
      <c r="BX400" s="364">
        <v>0</v>
      </c>
      <c r="BY400" s="364">
        <v>0</v>
      </c>
      <c r="BZ400" s="364">
        <v>0</v>
      </c>
      <c r="CA400" s="364">
        <v>0</v>
      </c>
      <c r="CB400" s="364">
        <v>0</v>
      </c>
      <c r="CC400" s="364">
        <v>0</v>
      </c>
      <c r="CE400"/>
      <c r="CF400"/>
      <c r="CG400"/>
      <c r="CH400"/>
      <c r="CI400"/>
    </row>
    <row r="401" spans="1:87" s="32" customFormat="1" ht="15.75" thickBot="1" x14ac:dyDescent="0.25">
      <c r="A401" s="185"/>
      <c r="B401" s="184">
        <f ca="1">INDIRECT("B" &amp; (157 + ROWS($A$1:A12)))</f>
        <v>0</v>
      </c>
      <c r="D401" s="310" t="e">
        <f t="shared" si="96"/>
        <v>#N/A</v>
      </c>
      <c r="E401"/>
      <c r="F401" s="115">
        <f t="shared" si="97"/>
        <v>0</v>
      </c>
      <c r="G401"/>
      <c r="H401"/>
      <c r="I401"/>
      <c r="J401" s="364">
        <v>0</v>
      </c>
      <c r="K401" s="364">
        <v>0</v>
      </c>
      <c r="L401" s="364">
        <v>0</v>
      </c>
      <c r="M401" s="364">
        <v>0</v>
      </c>
      <c r="N401" s="364">
        <v>0</v>
      </c>
      <c r="O401" s="364">
        <v>0</v>
      </c>
      <c r="P401" s="364">
        <v>0</v>
      </c>
      <c r="Q401" s="364">
        <v>0</v>
      </c>
      <c r="R401" s="364">
        <v>0</v>
      </c>
      <c r="S401" s="364">
        <v>0</v>
      </c>
      <c r="T401" s="364">
        <v>0</v>
      </c>
      <c r="U401" s="364">
        <v>0</v>
      </c>
      <c r="V401" s="364">
        <v>0</v>
      </c>
      <c r="W401" s="364">
        <v>0</v>
      </c>
      <c r="X401" s="364">
        <v>0</v>
      </c>
      <c r="Y401" s="364">
        <v>0</v>
      </c>
      <c r="Z401" s="364">
        <v>0</v>
      </c>
      <c r="AA401" s="364">
        <v>0</v>
      </c>
      <c r="AB401" s="364">
        <v>0</v>
      </c>
      <c r="AC401" s="364">
        <v>0</v>
      </c>
      <c r="AD401" s="364">
        <v>0</v>
      </c>
      <c r="AE401" s="364">
        <v>0</v>
      </c>
      <c r="AF401" s="364">
        <v>0</v>
      </c>
      <c r="AG401" s="364">
        <v>0</v>
      </c>
      <c r="AH401" s="364">
        <v>0</v>
      </c>
      <c r="AI401" s="364">
        <v>0</v>
      </c>
      <c r="AJ401" s="364">
        <v>0</v>
      </c>
      <c r="AK401" s="364">
        <v>0</v>
      </c>
      <c r="AL401" s="364">
        <v>0</v>
      </c>
      <c r="AM401" s="364">
        <v>0</v>
      </c>
      <c r="AN401" s="364">
        <v>0</v>
      </c>
      <c r="AO401" s="364">
        <v>0</v>
      </c>
      <c r="AP401" s="364">
        <v>0</v>
      </c>
      <c r="AQ401" s="364">
        <v>0</v>
      </c>
      <c r="AR401" s="364">
        <v>0</v>
      </c>
      <c r="AS401" s="364">
        <v>0</v>
      </c>
      <c r="AT401" s="364">
        <v>0</v>
      </c>
      <c r="AU401" s="364">
        <v>0</v>
      </c>
      <c r="AV401" s="364">
        <v>0</v>
      </c>
      <c r="AW401" s="364">
        <v>0</v>
      </c>
      <c r="AX401" s="364">
        <v>0</v>
      </c>
      <c r="AY401" s="364">
        <v>0</v>
      </c>
      <c r="AZ401" s="364">
        <v>0</v>
      </c>
      <c r="BA401" s="364">
        <v>0</v>
      </c>
      <c r="BB401" s="364">
        <v>0</v>
      </c>
      <c r="BC401" s="364">
        <v>0</v>
      </c>
      <c r="BD401" s="364">
        <v>0</v>
      </c>
      <c r="BE401" s="364">
        <v>0</v>
      </c>
      <c r="BF401" s="364">
        <v>0</v>
      </c>
      <c r="BG401" s="364">
        <v>0</v>
      </c>
      <c r="BH401" s="364">
        <v>0</v>
      </c>
      <c r="BI401" s="364">
        <v>0</v>
      </c>
      <c r="BJ401" s="364">
        <v>0</v>
      </c>
      <c r="BK401" s="364">
        <v>0</v>
      </c>
      <c r="BL401" s="364">
        <v>0</v>
      </c>
      <c r="BM401" s="364">
        <v>0</v>
      </c>
      <c r="BN401" s="364">
        <v>0</v>
      </c>
      <c r="BO401" s="364">
        <v>0</v>
      </c>
      <c r="BP401" s="364">
        <v>0</v>
      </c>
      <c r="BQ401" s="364">
        <v>0</v>
      </c>
      <c r="BR401" s="364">
        <v>0</v>
      </c>
      <c r="BS401" s="364">
        <v>0</v>
      </c>
      <c r="BT401" s="364">
        <v>0</v>
      </c>
      <c r="BU401" s="364">
        <v>0</v>
      </c>
      <c r="BV401" s="364">
        <v>0</v>
      </c>
      <c r="BW401" s="364">
        <v>0</v>
      </c>
      <c r="BX401" s="364">
        <v>0</v>
      </c>
      <c r="BY401" s="364">
        <v>0</v>
      </c>
      <c r="BZ401" s="364">
        <v>0</v>
      </c>
      <c r="CA401" s="364">
        <v>0</v>
      </c>
      <c r="CB401" s="364">
        <v>0</v>
      </c>
      <c r="CC401" s="364">
        <v>0</v>
      </c>
      <c r="CE401"/>
      <c r="CF401"/>
      <c r="CG401"/>
      <c r="CH401"/>
      <c r="CI401"/>
    </row>
    <row r="402" spans="1:87" s="32" customFormat="1" ht="15.75" thickBot="1" x14ac:dyDescent="0.25">
      <c r="A402" s="185"/>
      <c r="B402" s="184">
        <f ca="1">INDIRECT("B" &amp; (157 + ROWS($A$1:A13)))</f>
        <v>0</v>
      </c>
      <c r="D402" s="310" t="e">
        <f t="shared" si="96"/>
        <v>#N/A</v>
      </c>
      <c r="E402"/>
      <c r="F402" s="115">
        <f t="shared" si="97"/>
        <v>0</v>
      </c>
      <c r="G402"/>
      <c r="H402"/>
      <c r="I402"/>
      <c r="J402" s="364">
        <v>0</v>
      </c>
      <c r="K402" s="364">
        <v>0</v>
      </c>
      <c r="L402" s="364">
        <v>0</v>
      </c>
      <c r="M402" s="364">
        <v>0</v>
      </c>
      <c r="N402" s="364">
        <v>0</v>
      </c>
      <c r="O402" s="364">
        <v>0</v>
      </c>
      <c r="P402" s="364">
        <v>0</v>
      </c>
      <c r="Q402" s="364">
        <v>0</v>
      </c>
      <c r="R402" s="364">
        <v>0</v>
      </c>
      <c r="S402" s="364">
        <v>0</v>
      </c>
      <c r="T402" s="364">
        <v>0</v>
      </c>
      <c r="U402" s="364">
        <v>0</v>
      </c>
      <c r="V402" s="364">
        <v>0</v>
      </c>
      <c r="W402" s="364">
        <v>0</v>
      </c>
      <c r="X402" s="364">
        <v>0</v>
      </c>
      <c r="Y402" s="364">
        <v>0</v>
      </c>
      <c r="Z402" s="364">
        <v>0</v>
      </c>
      <c r="AA402" s="364">
        <v>0</v>
      </c>
      <c r="AB402" s="364">
        <v>0</v>
      </c>
      <c r="AC402" s="364">
        <v>0</v>
      </c>
      <c r="AD402" s="364">
        <v>0</v>
      </c>
      <c r="AE402" s="364">
        <v>0</v>
      </c>
      <c r="AF402" s="364">
        <v>0</v>
      </c>
      <c r="AG402" s="364">
        <v>0</v>
      </c>
      <c r="AH402" s="364">
        <v>0</v>
      </c>
      <c r="AI402" s="364">
        <v>0</v>
      </c>
      <c r="AJ402" s="364">
        <v>0</v>
      </c>
      <c r="AK402" s="364">
        <v>0</v>
      </c>
      <c r="AL402" s="364">
        <v>0</v>
      </c>
      <c r="AM402" s="364">
        <v>0</v>
      </c>
      <c r="AN402" s="364">
        <v>0</v>
      </c>
      <c r="AO402" s="364">
        <v>0</v>
      </c>
      <c r="AP402" s="364">
        <v>0</v>
      </c>
      <c r="AQ402" s="364">
        <v>0</v>
      </c>
      <c r="AR402" s="364">
        <v>0</v>
      </c>
      <c r="AS402" s="364">
        <v>0</v>
      </c>
      <c r="AT402" s="364">
        <v>0</v>
      </c>
      <c r="AU402" s="364">
        <v>0</v>
      </c>
      <c r="AV402" s="364">
        <v>0</v>
      </c>
      <c r="AW402" s="364">
        <v>0</v>
      </c>
      <c r="AX402" s="364">
        <v>0</v>
      </c>
      <c r="AY402" s="364">
        <v>0</v>
      </c>
      <c r="AZ402" s="364">
        <v>0</v>
      </c>
      <c r="BA402" s="364">
        <v>0</v>
      </c>
      <c r="BB402" s="364">
        <v>0</v>
      </c>
      <c r="BC402" s="364">
        <v>0</v>
      </c>
      <c r="BD402" s="364">
        <v>0</v>
      </c>
      <c r="BE402" s="364">
        <v>0</v>
      </c>
      <c r="BF402" s="364">
        <v>0</v>
      </c>
      <c r="BG402" s="364">
        <v>0</v>
      </c>
      <c r="BH402" s="364">
        <v>0</v>
      </c>
      <c r="BI402" s="364">
        <v>0</v>
      </c>
      <c r="BJ402" s="364">
        <v>0</v>
      </c>
      <c r="BK402" s="364">
        <v>0</v>
      </c>
      <c r="BL402" s="364">
        <v>0</v>
      </c>
      <c r="BM402" s="364">
        <v>0</v>
      </c>
      <c r="BN402" s="364">
        <v>0</v>
      </c>
      <c r="BO402" s="364">
        <v>0</v>
      </c>
      <c r="BP402" s="364">
        <v>0</v>
      </c>
      <c r="BQ402" s="364">
        <v>0</v>
      </c>
      <c r="BR402" s="364">
        <v>0</v>
      </c>
      <c r="BS402" s="364">
        <v>0</v>
      </c>
      <c r="BT402" s="364">
        <v>0</v>
      </c>
      <c r="BU402" s="364">
        <v>0</v>
      </c>
      <c r="BV402" s="364">
        <v>0</v>
      </c>
      <c r="BW402" s="364">
        <v>0</v>
      </c>
      <c r="BX402" s="364">
        <v>0</v>
      </c>
      <c r="BY402" s="364">
        <v>0</v>
      </c>
      <c r="BZ402" s="364">
        <v>0</v>
      </c>
      <c r="CA402" s="364">
        <v>0</v>
      </c>
      <c r="CB402" s="364">
        <v>0</v>
      </c>
      <c r="CC402" s="364">
        <v>0</v>
      </c>
      <c r="CE402"/>
      <c r="CF402"/>
      <c r="CG402"/>
      <c r="CH402"/>
      <c r="CI402"/>
    </row>
    <row r="403" spans="1:87" s="32" customFormat="1" ht="15.75" thickBot="1" x14ac:dyDescent="0.25">
      <c r="A403" s="185"/>
      <c r="B403" s="184">
        <f ca="1">INDIRECT("B" &amp; (157 + ROWS($A$1:A14)))</f>
        <v>0</v>
      </c>
      <c r="D403" s="310" t="e">
        <f t="shared" si="96"/>
        <v>#N/A</v>
      </c>
      <c r="E403"/>
      <c r="F403" s="115">
        <f t="shared" si="97"/>
        <v>0</v>
      </c>
      <c r="G403"/>
      <c r="H403"/>
      <c r="I403"/>
      <c r="J403" s="364">
        <v>0</v>
      </c>
      <c r="K403" s="364">
        <v>0</v>
      </c>
      <c r="L403" s="364">
        <v>0</v>
      </c>
      <c r="M403" s="364">
        <v>0</v>
      </c>
      <c r="N403" s="364">
        <v>0</v>
      </c>
      <c r="O403" s="364">
        <v>0</v>
      </c>
      <c r="P403" s="364">
        <v>0</v>
      </c>
      <c r="Q403" s="364">
        <v>0</v>
      </c>
      <c r="R403" s="364">
        <v>0</v>
      </c>
      <c r="S403" s="364">
        <v>0</v>
      </c>
      <c r="T403" s="364">
        <v>0</v>
      </c>
      <c r="U403" s="364">
        <v>0</v>
      </c>
      <c r="V403" s="364">
        <v>0</v>
      </c>
      <c r="W403" s="364">
        <v>0</v>
      </c>
      <c r="X403" s="364">
        <v>0</v>
      </c>
      <c r="Y403" s="364">
        <v>0</v>
      </c>
      <c r="Z403" s="364">
        <v>0</v>
      </c>
      <c r="AA403" s="364">
        <v>0</v>
      </c>
      <c r="AB403" s="364">
        <v>0</v>
      </c>
      <c r="AC403" s="364">
        <v>0</v>
      </c>
      <c r="AD403" s="364">
        <v>0</v>
      </c>
      <c r="AE403" s="364">
        <v>0</v>
      </c>
      <c r="AF403" s="364">
        <v>0</v>
      </c>
      <c r="AG403" s="364">
        <v>0</v>
      </c>
      <c r="AH403" s="364">
        <v>0</v>
      </c>
      <c r="AI403" s="364">
        <v>0</v>
      </c>
      <c r="AJ403" s="364">
        <v>0</v>
      </c>
      <c r="AK403" s="364">
        <v>0</v>
      </c>
      <c r="AL403" s="364">
        <v>0</v>
      </c>
      <c r="AM403" s="364">
        <v>0</v>
      </c>
      <c r="AN403" s="364">
        <v>0</v>
      </c>
      <c r="AO403" s="364">
        <v>0</v>
      </c>
      <c r="AP403" s="364">
        <v>0</v>
      </c>
      <c r="AQ403" s="364">
        <v>0</v>
      </c>
      <c r="AR403" s="364">
        <v>0</v>
      </c>
      <c r="AS403" s="364">
        <v>0</v>
      </c>
      <c r="AT403" s="364">
        <v>0</v>
      </c>
      <c r="AU403" s="364">
        <v>0</v>
      </c>
      <c r="AV403" s="364">
        <v>0</v>
      </c>
      <c r="AW403" s="364">
        <v>0</v>
      </c>
      <c r="AX403" s="364">
        <v>0</v>
      </c>
      <c r="AY403" s="364">
        <v>0</v>
      </c>
      <c r="AZ403" s="364">
        <v>0</v>
      </c>
      <c r="BA403" s="364">
        <v>0</v>
      </c>
      <c r="BB403" s="364">
        <v>0</v>
      </c>
      <c r="BC403" s="364">
        <v>0</v>
      </c>
      <c r="BD403" s="364">
        <v>0</v>
      </c>
      <c r="BE403" s="364">
        <v>0</v>
      </c>
      <c r="BF403" s="364">
        <v>0</v>
      </c>
      <c r="BG403" s="364">
        <v>0</v>
      </c>
      <c r="BH403" s="364">
        <v>0</v>
      </c>
      <c r="BI403" s="364">
        <v>0</v>
      </c>
      <c r="BJ403" s="364">
        <v>0</v>
      </c>
      <c r="BK403" s="364">
        <v>0</v>
      </c>
      <c r="BL403" s="364">
        <v>0</v>
      </c>
      <c r="BM403" s="364">
        <v>0</v>
      </c>
      <c r="BN403" s="364">
        <v>0</v>
      </c>
      <c r="BO403" s="364">
        <v>0</v>
      </c>
      <c r="BP403" s="364">
        <v>0</v>
      </c>
      <c r="BQ403" s="364">
        <v>0</v>
      </c>
      <c r="BR403" s="364">
        <v>0</v>
      </c>
      <c r="BS403" s="364">
        <v>0</v>
      </c>
      <c r="BT403" s="364">
        <v>0</v>
      </c>
      <c r="BU403" s="364">
        <v>0</v>
      </c>
      <c r="BV403" s="364">
        <v>0</v>
      </c>
      <c r="BW403" s="364">
        <v>0</v>
      </c>
      <c r="BX403" s="364">
        <v>0</v>
      </c>
      <c r="BY403" s="364">
        <v>0</v>
      </c>
      <c r="BZ403" s="364">
        <v>0</v>
      </c>
      <c r="CA403" s="364">
        <v>0</v>
      </c>
      <c r="CB403" s="364">
        <v>0</v>
      </c>
      <c r="CC403" s="364">
        <v>0</v>
      </c>
      <c r="CE403"/>
      <c r="CF403"/>
      <c r="CG403"/>
      <c r="CH403"/>
      <c r="CI403"/>
    </row>
    <row r="404" spans="1:87" s="32" customFormat="1" ht="15.75" thickBot="1" x14ac:dyDescent="0.25">
      <c r="A404" s="185"/>
      <c r="B404" s="184">
        <f ca="1">INDIRECT("B" &amp; (157 + ROWS($A$1:A15)))</f>
        <v>0</v>
      </c>
      <c r="D404" s="310" t="e">
        <f t="shared" si="96"/>
        <v>#N/A</v>
      </c>
      <c r="E404"/>
      <c r="F404" s="115">
        <f t="shared" si="97"/>
        <v>0</v>
      </c>
      <c r="G404"/>
      <c r="H404"/>
      <c r="I404"/>
      <c r="J404" s="364">
        <v>0</v>
      </c>
      <c r="K404" s="364">
        <v>0</v>
      </c>
      <c r="L404" s="364">
        <v>0</v>
      </c>
      <c r="M404" s="364">
        <v>0</v>
      </c>
      <c r="N404" s="364">
        <v>0</v>
      </c>
      <c r="O404" s="364">
        <v>0</v>
      </c>
      <c r="P404" s="364">
        <v>0</v>
      </c>
      <c r="Q404" s="364">
        <v>0</v>
      </c>
      <c r="R404" s="364">
        <v>0</v>
      </c>
      <c r="S404" s="364">
        <v>0</v>
      </c>
      <c r="T404" s="364">
        <v>0</v>
      </c>
      <c r="U404" s="364">
        <v>0</v>
      </c>
      <c r="V404" s="364">
        <v>0</v>
      </c>
      <c r="W404" s="364">
        <v>0</v>
      </c>
      <c r="X404" s="364">
        <v>0</v>
      </c>
      <c r="Y404" s="364">
        <v>0</v>
      </c>
      <c r="Z404" s="364">
        <v>0</v>
      </c>
      <c r="AA404" s="364">
        <v>0</v>
      </c>
      <c r="AB404" s="364">
        <v>0</v>
      </c>
      <c r="AC404" s="364">
        <v>0</v>
      </c>
      <c r="AD404" s="364">
        <v>0</v>
      </c>
      <c r="AE404" s="364">
        <v>0</v>
      </c>
      <c r="AF404" s="364">
        <v>0</v>
      </c>
      <c r="AG404" s="364">
        <v>0</v>
      </c>
      <c r="AH404" s="364">
        <v>0</v>
      </c>
      <c r="AI404" s="364">
        <v>0</v>
      </c>
      <c r="AJ404" s="364">
        <v>0</v>
      </c>
      <c r="AK404" s="364">
        <v>0</v>
      </c>
      <c r="AL404" s="364">
        <v>0</v>
      </c>
      <c r="AM404" s="364">
        <v>0</v>
      </c>
      <c r="AN404" s="364">
        <v>0</v>
      </c>
      <c r="AO404" s="364">
        <v>0</v>
      </c>
      <c r="AP404" s="364">
        <v>0</v>
      </c>
      <c r="AQ404" s="364">
        <v>0</v>
      </c>
      <c r="AR404" s="364">
        <v>0</v>
      </c>
      <c r="AS404" s="364">
        <v>0</v>
      </c>
      <c r="AT404" s="364">
        <v>0</v>
      </c>
      <c r="AU404" s="364">
        <v>0</v>
      </c>
      <c r="AV404" s="364">
        <v>0</v>
      </c>
      <c r="AW404" s="364">
        <v>0</v>
      </c>
      <c r="AX404" s="364">
        <v>0</v>
      </c>
      <c r="AY404" s="364">
        <v>0</v>
      </c>
      <c r="AZ404" s="364">
        <v>0</v>
      </c>
      <c r="BA404" s="364">
        <v>0</v>
      </c>
      <c r="BB404" s="364">
        <v>0</v>
      </c>
      <c r="BC404" s="364">
        <v>0</v>
      </c>
      <c r="BD404" s="364">
        <v>0</v>
      </c>
      <c r="BE404" s="364">
        <v>0</v>
      </c>
      <c r="BF404" s="364">
        <v>0</v>
      </c>
      <c r="BG404" s="364">
        <v>0</v>
      </c>
      <c r="BH404" s="364">
        <v>0</v>
      </c>
      <c r="BI404" s="364">
        <v>0</v>
      </c>
      <c r="BJ404" s="364">
        <v>0</v>
      </c>
      <c r="BK404" s="364">
        <v>0</v>
      </c>
      <c r="BL404" s="364">
        <v>0</v>
      </c>
      <c r="BM404" s="364">
        <v>0</v>
      </c>
      <c r="BN404" s="364">
        <v>0</v>
      </c>
      <c r="BO404" s="364">
        <v>0</v>
      </c>
      <c r="BP404" s="364">
        <v>0</v>
      </c>
      <c r="BQ404" s="364">
        <v>0</v>
      </c>
      <c r="BR404" s="364">
        <v>0</v>
      </c>
      <c r="BS404" s="364">
        <v>0</v>
      </c>
      <c r="BT404" s="364">
        <v>0</v>
      </c>
      <c r="BU404" s="364">
        <v>0</v>
      </c>
      <c r="BV404" s="364">
        <v>0</v>
      </c>
      <c r="BW404" s="364">
        <v>0</v>
      </c>
      <c r="BX404" s="364">
        <v>0</v>
      </c>
      <c r="BY404" s="364">
        <v>0</v>
      </c>
      <c r="BZ404" s="364">
        <v>0</v>
      </c>
      <c r="CA404" s="364">
        <v>0</v>
      </c>
      <c r="CB404" s="364">
        <v>0</v>
      </c>
      <c r="CC404" s="364">
        <v>0</v>
      </c>
      <c r="CE404"/>
      <c r="CF404"/>
      <c r="CG404"/>
      <c r="CH404"/>
      <c r="CI404"/>
    </row>
    <row r="405" spans="1:87" s="32" customFormat="1" ht="15.75" thickBot="1" x14ac:dyDescent="0.25">
      <c r="A405" s="185"/>
      <c r="B405" s="184">
        <f ca="1">INDIRECT("B" &amp; (157 + ROWS($A$1:A16)))</f>
        <v>0</v>
      </c>
      <c r="D405" s="310" t="e">
        <f t="shared" si="96"/>
        <v>#N/A</v>
      </c>
      <c r="E405"/>
      <c r="F405" s="115">
        <f t="shared" si="97"/>
        <v>0</v>
      </c>
      <c r="G405"/>
      <c r="H405"/>
      <c r="I405"/>
      <c r="J405" s="364">
        <v>0</v>
      </c>
      <c r="K405" s="364">
        <v>0</v>
      </c>
      <c r="L405" s="364">
        <v>0</v>
      </c>
      <c r="M405" s="364">
        <v>0</v>
      </c>
      <c r="N405" s="364">
        <v>0</v>
      </c>
      <c r="O405" s="364">
        <v>0</v>
      </c>
      <c r="P405" s="364">
        <v>0</v>
      </c>
      <c r="Q405" s="364">
        <v>0</v>
      </c>
      <c r="R405" s="364">
        <v>0</v>
      </c>
      <c r="S405" s="364">
        <v>0</v>
      </c>
      <c r="T405" s="364">
        <v>0</v>
      </c>
      <c r="U405" s="364">
        <v>0</v>
      </c>
      <c r="V405" s="364">
        <v>0</v>
      </c>
      <c r="W405" s="364">
        <v>0</v>
      </c>
      <c r="X405" s="364">
        <v>0</v>
      </c>
      <c r="Y405" s="364">
        <v>0</v>
      </c>
      <c r="Z405" s="364">
        <v>0</v>
      </c>
      <c r="AA405" s="364">
        <v>0</v>
      </c>
      <c r="AB405" s="364">
        <v>0</v>
      </c>
      <c r="AC405" s="364">
        <v>0</v>
      </c>
      <c r="AD405" s="364">
        <v>0</v>
      </c>
      <c r="AE405" s="364">
        <v>0</v>
      </c>
      <c r="AF405" s="364">
        <v>0</v>
      </c>
      <c r="AG405" s="364">
        <v>0</v>
      </c>
      <c r="AH405" s="364">
        <v>0</v>
      </c>
      <c r="AI405" s="364">
        <v>0</v>
      </c>
      <c r="AJ405" s="364">
        <v>0</v>
      </c>
      <c r="AK405" s="364">
        <v>0</v>
      </c>
      <c r="AL405" s="364">
        <v>0</v>
      </c>
      <c r="AM405" s="364">
        <v>0</v>
      </c>
      <c r="AN405" s="364">
        <v>0</v>
      </c>
      <c r="AO405" s="364">
        <v>0</v>
      </c>
      <c r="AP405" s="364">
        <v>0</v>
      </c>
      <c r="AQ405" s="364">
        <v>0</v>
      </c>
      <c r="AR405" s="364">
        <v>0</v>
      </c>
      <c r="AS405" s="364">
        <v>0</v>
      </c>
      <c r="AT405" s="364">
        <v>0</v>
      </c>
      <c r="AU405" s="364">
        <v>0</v>
      </c>
      <c r="AV405" s="364">
        <v>0</v>
      </c>
      <c r="AW405" s="364">
        <v>0</v>
      </c>
      <c r="AX405" s="364">
        <v>0</v>
      </c>
      <c r="AY405" s="364">
        <v>0</v>
      </c>
      <c r="AZ405" s="364">
        <v>0</v>
      </c>
      <c r="BA405" s="364">
        <v>0</v>
      </c>
      <c r="BB405" s="364">
        <v>0</v>
      </c>
      <c r="BC405" s="364">
        <v>0</v>
      </c>
      <c r="BD405" s="364">
        <v>0</v>
      </c>
      <c r="BE405" s="364">
        <v>0</v>
      </c>
      <c r="BF405" s="364">
        <v>0</v>
      </c>
      <c r="BG405" s="364">
        <v>0</v>
      </c>
      <c r="BH405" s="364">
        <v>0</v>
      </c>
      <c r="BI405" s="364">
        <v>0</v>
      </c>
      <c r="BJ405" s="364">
        <v>0</v>
      </c>
      <c r="BK405" s="364">
        <v>0</v>
      </c>
      <c r="BL405" s="364">
        <v>0</v>
      </c>
      <c r="BM405" s="364">
        <v>0</v>
      </c>
      <c r="BN405" s="364">
        <v>0</v>
      </c>
      <c r="BO405" s="364">
        <v>0</v>
      </c>
      <c r="BP405" s="364">
        <v>0</v>
      </c>
      <c r="BQ405" s="364">
        <v>0</v>
      </c>
      <c r="BR405" s="364">
        <v>0</v>
      </c>
      <c r="BS405" s="364">
        <v>0</v>
      </c>
      <c r="BT405" s="364">
        <v>0</v>
      </c>
      <c r="BU405" s="364">
        <v>0</v>
      </c>
      <c r="BV405" s="364">
        <v>0</v>
      </c>
      <c r="BW405" s="364">
        <v>0</v>
      </c>
      <c r="BX405" s="364">
        <v>0</v>
      </c>
      <c r="BY405" s="364">
        <v>0</v>
      </c>
      <c r="BZ405" s="364">
        <v>0</v>
      </c>
      <c r="CA405" s="364">
        <v>0</v>
      </c>
      <c r="CB405" s="364">
        <v>0</v>
      </c>
      <c r="CC405" s="364">
        <v>0</v>
      </c>
      <c r="CE405"/>
      <c r="CF405"/>
      <c r="CG405"/>
      <c r="CH405"/>
      <c r="CI405"/>
    </row>
    <row r="406" spans="1:87" s="32" customFormat="1" ht="15.75" thickBot="1" x14ac:dyDescent="0.25">
      <c r="A406" s="185"/>
      <c r="B406" s="184">
        <f ca="1">INDIRECT("B" &amp; (157 + ROWS($A$1:A17)))</f>
        <v>0</v>
      </c>
      <c r="D406" s="310" t="e">
        <f t="shared" si="96"/>
        <v>#N/A</v>
      </c>
      <c r="E406"/>
      <c r="F406" s="115">
        <f t="shared" si="97"/>
        <v>0</v>
      </c>
      <c r="G406"/>
      <c r="H406"/>
      <c r="I406"/>
      <c r="J406" s="364">
        <v>0</v>
      </c>
      <c r="K406" s="364">
        <v>0</v>
      </c>
      <c r="L406" s="364">
        <v>0</v>
      </c>
      <c r="M406" s="364">
        <v>0</v>
      </c>
      <c r="N406" s="364">
        <v>0</v>
      </c>
      <c r="O406" s="364">
        <v>0</v>
      </c>
      <c r="P406" s="364">
        <v>0</v>
      </c>
      <c r="Q406" s="364">
        <v>0</v>
      </c>
      <c r="R406" s="364">
        <v>0</v>
      </c>
      <c r="S406" s="364">
        <v>0</v>
      </c>
      <c r="T406" s="364">
        <v>0</v>
      </c>
      <c r="U406" s="364">
        <v>0</v>
      </c>
      <c r="V406" s="364">
        <v>0</v>
      </c>
      <c r="W406" s="364">
        <v>0</v>
      </c>
      <c r="X406" s="364">
        <v>0</v>
      </c>
      <c r="Y406" s="364">
        <v>0</v>
      </c>
      <c r="Z406" s="364">
        <v>0</v>
      </c>
      <c r="AA406" s="364">
        <v>0</v>
      </c>
      <c r="AB406" s="364">
        <v>0</v>
      </c>
      <c r="AC406" s="364">
        <v>0</v>
      </c>
      <c r="AD406" s="364">
        <v>0</v>
      </c>
      <c r="AE406" s="364">
        <v>0</v>
      </c>
      <c r="AF406" s="364">
        <v>0</v>
      </c>
      <c r="AG406" s="364">
        <v>0</v>
      </c>
      <c r="AH406" s="364">
        <v>0</v>
      </c>
      <c r="AI406" s="364">
        <v>0</v>
      </c>
      <c r="AJ406" s="364">
        <v>0</v>
      </c>
      <c r="AK406" s="364">
        <v>0</v>
      </c>
      <c r="AL406" s="364">
        <v>0</v>
      </c>
      <c r="AM406" s="364">
        <v>0</v>
      </c>
      <c r="AN406" s="364">
        <v>0</v>
      </c>
      <c r="AO406" s="364">
        <v>0</v>
      </c>
      <c r="AP406" s="364">
        <v>0</v>
      </c>
      <c r="AQ406" s="364">
        <v>0</v>
      </c>
      <c r="AR406" s="364">
        <v>0</v>
      </c>
      <c r="AS406" s="364">
        <v>0</v>
      </c>
      <c r="AT406" s="364">
        <v>0</v>
      </c>
      <c r="AU406" s="364">
        <v>0</v>
      </c>
      <c r="AV406" s="364">
        <v>0</v>
      </c>
      <c r="AW406" s="364">
        <v>0</v>
      </c>
      <c r="AX406" s="364">
        <v>0</v>
      </c>
      <c r="AY406" s="364">
        <v>0</v>
      </c>
      <c r="AZ406" s="364">
        <v>0</v>
      </c>
      <c r="BA406" s="364">
        <v>0</v>
      </c>
      <c r="BB406" s="364">
        <v>0</v>
      </c>
      <c r="BC406" s="364">
        <v>0</v>
      </c>
      <c r="BD406" s="364">
        <v>0</v>
      </c>
      <c r="BE406" s="364">
        <v>0</v>
      </c>
      <c r="BF406" s="364">
        <v>0</v>
      </c>
      <c r="BG406" s="364">
        <v>0</v>
      </c>
      <c r="BH406" s="364">
        <v>0</v>
      </c>
      <c r="BI406" s="364">
        <v>0</v>
      </c>
      <c r="BJ406" s="364">
        <v>0</v>
      </c>
      <c r="BK406" s="364">
        <v>0</v>
      </c>
      <c r="BL406" s="364">
        <v>0</v>
      </c>
      <c r="BM406" s="364">
        <v>0</v>
      </c>
      <c r="BN406" s="364">
        <v>0</v>
      </c>
      <c r="BO406" s="364">
        <v>0</v>
      </c>
      <c r="BP406" s="364">
        <v>0</v>
      </c>
      <c r="BQ406" s="364">
        <v>0</v>
      </c>
      <c r="BR406" s="364">
        <v>0</v>
      </c>
      <c r="BS406" s="364">
        <v>0</v>
      </c>
      <c r="BT406" s="364">
        <v>0</v>
      </c>
      <c r="BU406" s="364">
        <v>0</v>
      </c>
      <c r="BV406" s="364">
        <v>0</v>
      </c>
      <c r="BW406" s="364">
        <v>0</v>
      </c>
      <c r="BX406" s="364">
        <v>0</v>
      </c>
      <c r="BY406" s="364">
        <v>0</v>
      </c>
      <c r="BZ406" s="364">
        <v>0</v>
      </c>
      <c r="CA406" s="364">
        <v>0</v>
      </c>
      <c r="CB406" s="364">
        <v>0</v>
      </c>
      <c r="CC406" s="364">
        <v>0</v>
      </c>
      <c r="CE406"/>
      <c r="CF406"/>
      <c r="CG406"/>
      <c r="CH406"/>
      <c r="CI406"/>
    </row>
    <row r="407" spans="1:87" s="32" customFormat="1" ht="15.75" thickBot="1" x14ac:dyDescent="0.25">
      <c r="A407" s="185"/>
      <c r="B407" s="184">
        <f ca="1">INDIRECT("B" &amp; (157 + ROWS($A$1:A18)))</f>
        <v>0</v>
      </c>
      <c r="D407" s="310" t="e">
        <f t="shared" si="96"/>
        <v>#N/A</v>
      </c>
      <c r="E407"/>
      <c r="F407" s="115">
        <f t="shared" si="97"/>
        <v>0</v>
      </c>
      <c r="G407"/>
      <c r="H407"/>
      <c r="I407"/>
      <c r="J407" s="364">
        <v>0</v>
      </c>
      <c r="K407" s="364">
        <v>0</v>
      </c>
      <c r="L407" s="364">
        <v>0</v>
      </c>
      <c r="M407" s="364">
        <v>0</v>
      </c>
      <c r="N407" s="364">
        <v>0</v>
      </c>
      <c r="O407" s="364">
        <v>0</v>
      </c>
      <c r="P407" s="364">
        <v>0</v>
      </c>
      <c r="Q407" s="364">
        <v>0</v>
      </c>
      <c r="R407" s="364">
        <v>0</v>
      </c>
      <c r="S407" s="364">
        <v>0</v>
      </c>
      <c r="T407" s="364">
        <v>0</v>
      </c>
      <c r="U407" s="364">
        <v>0</v>
      </c>
      <c r="V407" s="364">
        <v>0</v>
      </c>
      <c r="W407" s="364">
        <v>0</v>
      </c>
      <c r="X407" s="364">
        <v>0</v>
      </c>
      <c r="Y407" s="364">
        <v>0</v>
      </c>
      <c r="Z407" s="364">
        <v>0</v>
      </c>
      <c r="AA407" s="364">
        <v>0</v>
      </c>
      <c r="AB407" s="364">
        <v>0</v>
      </c>
      <c r="AC407" s="364">
        <v>0</v>
      </c>
      <c r="AD407" s="364">
        <v>0</v>
      </c>
      <c r="AE407" s="364">
        <v>0</v>
      </c>
      <c r="AF407" s="364">
        <v>0</v>
      </c>
      <c r="AG407" s="364">
        <v>0</v>
      </c>
      <c r="AH407" s="364">
        <v>0</v>
      </c>
      <c r="AI407" s="364">
        <v>0</v>
      </c>
      <c r="AJ407" s="364">
        <v>0</v>
      </c>
      <c r="AK407" s="364">
        <v>0</v>
      </c>
      <c r="AL407" s="364">
        <v>0</v>
      </c>
      <c r="AM407" s="364">
        <v>0</v>
      </c>
      <c r="AN407" s="364">
        <v>0</v>
      </c>
      <c r="AO407" s="364">
        <v>0</v>
      </c>
      <c r="AP407" s="364">
        <v>0</v>
      </c>
      <c r="AQ407" s="364">
        <v>0</v>
      </c>
      <c r="AR407" s="364">
        <v>0</v>
      </c>
      <c r="AS407" s="364">
        <v>0</v>
      </c>
      <c r="AT407" s="364">
        <v>0</v>
      </c>
      <c r="AU407" s="364">
        <v>0</v>
      </c>
      <c r="AV407" s="364">
        <v>0</v>
      </c>
      <c r="AW407" s="364">
        <v>0</v>
      </c>
      <c r="AX407" s="364">
        <v>0</v>
      </c>
      <c r="AY407" s="364">
        <v>0</v>
      </c>
      <c r="AZ407" s="364">
        <v>0</v>
      </c>
      <c r="BA407" s="364">
        <v>0</v>
      </c>
      <c r="BB407" s="364">
        <v>0</v>
      </c>
      <c r="BC407" s="364">
        <v>0</v>
      </c>
      <c r="BD407" s="364">
        <v>0</v>
      </c>
      <c r="BE407" s="364">
        <v>0</v>
      </c>
      <c r="BF407" s="364">
        <v>0</v>
      </c>
      <c r="BG407" s="364">
        <v>0</v>
      </c>
      <c r="BH407" s="364">
        <v>0</v>
      </c>
      <c r="BI407" s="364">
        <v>0</v>
      </c>
      <c r="BJ407" s="364">
        <v>0</v>
      </c>
      <c r="BK407" s="364">
        <v>0</v>
      </c>
      <c r="BL407" s="364">
        <v>0</v>
      </c>
      <c r="BM407" s="364">
        <v>0</v>
      </c>
      <c r="BN407" s="364">
        <v>0</v>
      </c>
      <c r="BO407" s="364">
        <v>0</v>
      </c>
      <c r="BP407" s="364">
        <v>0</v>
      </c>
      <c r="BQ407" s="364">
        <v>0</v>
      </c>
      <c r="BR407" s="364">
        <v>0</v>
      </c>
      <c r="BS407" s="364">
        <v>0</v>
      </c>
      <c r="BT407" s="364">
        <v>0</v>
      </c>
      <c r="BU407" s="364">
        <v>0</v>
      </c>
      <c r="BV407" s="364">
        <v>0</v>
      </c>
      <c r="BW407" s="364">
        <v>0</v>
      </c>
      <c r="BX407" s="364">
        <v>0</v>
      </c>
      <c r="BY407" s="364">
        <v>0</v>
      </c>
      <c r="BZ407" s="364">
        <v>0</v>
      </c>
      <c r="CA407" s="364">
        <v>0</v>
      </c>
      <c r="CB407" s="364">
        <v>0</v>
      </c>
      <c r="CC407" s="364">
        <v>0</v>
      </c>
      <c r="CE407"/>
      <c r="CF407"/>
      <c r="CG407"/>
      <c r="CH407"/>
      <c r="CI407"/>
    </row>
    <row r="408" spans="1:87" s="32" customFormat="1" ht="15.75" thickBot="1" x14ac:dyDescent="0.25">
      <c r="A408" s="185"/>
      <c r="B408" s="184">
        <f ca="1">INDIRECT("B" &amp; (157 + ROWS($A$1:A19)))</f>
        <v>0</v>
      </c>
      <c r="D408" s="310" t="e">
        <f t="shared" si="96"/>
        <v>#N/A</v>
      </c>
      <c r="E408"/>
      <c r="F408" s="115">
        <f t="shared" si="97"/>
        <v>0</v>
      </c>
      <c r="G408"/>
      <c r="H408"/>
      <c r="I408"/>
      <c r="J408" s="364">
        <v>0</v>
      </c>
      <c r="K408" s="364">
        <v>0</v>
      </c>
      <c r="L408" s="364">
        <v>0</v>
      </c>
      <c r="M408" s="364">
        <v>0</v>
      </c>
      <c r="N408" s="364">
        <v>0</v>
      </c>
      <c r="O408" s="364">
        <v>0</v>
      </c>
      <c r="P408" s="364">
        <v>0</v>
      </c>
      <c r="Q408" s="364">
        <v>0</v>
      </c>
      <c r="R408" s="364">
        <v>0</v>
      </c>
      <c r="S408" s="364">
        <v>0</v>
      </c>
      <c r="T408" s="364">
        <v>0</v>
      </c>
      <c r="U408" s="364">
        <v>0</v>
      </c>
      <c r="V408" s="364">
        <v>0</v>
      </c>
      <c r="W408" s="364">
        <v>0</v>
      </c>
      <c r="X408" s="364">
        <v>0</v>
      </c>
      <c r="Y408" s="364">
        <v>0</v>
      </c>
      <c r="Z408" s="364">
        <v>0</v>
      </c>
      <c r="AA408" s="364">
        <v>0</v>
      </c>
      <c r="AB408" s="364">
        <v>0</v>
      </c>
      <c r="AC408" s="364">
        <v>0</v>
      </c>
      <c r="AD408" s="364">
        <v>0</v>
      </c>
      <c r="AE408" s="364">
        <v>0</v>
      </c>
      <c r="AF408" s="364">
        <v>0</v>
      </c>
      <c r="AG408" s="364">
        <v>0</v>
      </c>
      <c r="AH408" s="364">
        <v>0</v>
      </c>
      <c r="AI408" s="364">
        <v>0</v>
      </c>
      <c r="AJ408" s="364">
        <v>0</v>
      </c>
      <c r="AK408" s="364">
        <v>0</v>
      </c>
      <c r="AL408" s="364">
        <v>0</v>
      </c>
      <c r="AM408" s="364">
        <v>0</v>
      </c>
      <c r="AN408" s="364">
        <v>0</v>
      </c>
      <c r="AO408" s="364">
        <v>0</v>
      </c>
      <c r="AP408" s="364">
        <v>0</v>
      </c>
      <c r="AQ408" s="364">
        <v>0</v>
      </c>
      <c r="AR408" s="364">
        <v>0</v>
      </c>
      <c r="AS408" s="364">
        <v>0</v>
      </c>
      <c r="AT408" s="364">
        <v>0</v>
      </c>
      <c r="AU408" s="364">
        <v>0</v>
      </c>
      <c r="AV408" s="364">
        <v>0</v>
      </c>
      <c r="AW408" s="364">
        <v>0</v>
      </c>
      <c r="AX408" s="364">
        <v>0</v>
      </c>
      <c r="AY408" s="364">
        <v>0</v>
      </c>
      <c r="AZ408" s="364">
        <v>0</v>
      </c>
      <c r="BA408" s="364">
        <v>0</v>
      </c>
      <c r="BB408" s="364">
        <v>0</v>
      </c>
      <c r="BC408" s="364">
        <v>0</v>
      </c>
      <c r="BD408" s="364">
        <v>0</v>
      </c>
      <c r="BE408" s="364">
        <v>0</v>
      </c>
      <c r="BF408" s="364">
        <v>0</v>
      </c>
      <c r="BG408" s="364">
        <v>0</v>
      </c>
      <c r="BH408" s="364">
        <v>0</v>
      </c>
      <c r="BI408" s="364">
        <v>0</v>
      </c>
      <c r="BJ408" s="364">
        <v>0</v>
      </c>
      <c r="BK408" s="364">
        <v>0</v>
      </c>
      <c r="BL408" s="364">
        <v>0</v>
      </c>
      <c r="BM408" s="364">
        <v>0</v>
      </c>
      <c r="BN408" s="364">
        <v>0</v>
      </c>
      <c r="BO408" s="364">
        <v>0</v>
      </c>
      <c r="BP408" s="364">
        <v>0</v>
      </c>
      <c r="BQ408" s="364">
        <v>0</v>
      </c>
      <c r="BR408" s="364">
        <v>0</v>
      </c>
      <c r="BS408" s="364">
        <v>0</v>
      </c>
      <c r="BT408" s="364">
        <v>0</v>
      </c>
      <c r="BU408" s="364">
        <v>0</v>
      </c>
      <c r="BV408" s="364">
        <v>0</v>
      </c>
      <c r="BW408" s="364">
        <v>0</v>
      </c>
      <c r="BX408" s="364">
        <v>0</v>
      </c>
      <c r="BY408" s="364">
        <v>0</v>
      </c>
      <c r="BZ408" s="364">
        <v>0</v>
      </c>
      <c r="CA408" s="364">
        <v>0</v>
      </c>
      <c r="CB408" s="364">
        <v>0</v>
      </c>
      <c r="CC408" s="364">
        <v>0</v>
      </c>
      <c r="CE408"/>
      <c r="CF408"/>
      <c r="CG408"/>
      <c r="CH408"/>
      <c r="CI408"/>
    </row>
    <row r="409" spans="1:87" s="32" customFormat="1" ht="15.75" thickBot="1" x14ac:dyDescent="0.25">
      <c r="A409" s="185"/>
      <c r="B409" s="184">
        <f ca="1">INDIRECT("B" &amp; (157 + ROWS($A$1:A20)))</f>
        <v>0</v>
      </c>
      <c r="D409" s="407" t="e">
        <f t="shared" si="96"/>
        <v>#N/A</v>
      </c>
      <c r="E409"/>
      <c r="F409" s="408">
        <f t="shared" si="97"/>
        <v>0</v>
      </c>
      <c r="G409"/>
      <c r="H409"/>
      <c r="I409"/>
      <c r="J409" s="364">
        <v>0</v>
      </c>
      <c r="K409" s="364">
        <v>0</v>
      </c>
      <c r="L409" s="364">
        <v>0</v>
      </c>
      <c r="M409" s="364">
        <v>0</v>
      </c>
      <c r="N409" s="364">
        <v>0</v>
      </c>
      <c r="O409" s="364">
        <v>0</v>
      </c>
      <c r="P409" s="364">
        <v>0</v>
      </c>
      <c r="Q409" s="364">
        <v>0</v>
      </c>
      <c r="R409" s="364">
        <v>0</v>
      </c>
      <c r="S409" s="364">
        <v>0</v>
      </c>
      <c r="T409" s="364">
        <v>0</v>
      </c>
      <c r="U409" s="364">
        <v>0</v>
      </c>
      <c r="V409" s="364">
        <v>0</v>
      </c>
      <c r="W409" s="364">
        <v>0</v>
      </c>
      <c r="X409" s="364">
        <v>0</v>
      </c>
      <c r="Y409" s="364">
        <v>0</v>
      </c>
      <c r="Z409" s="364">
        <v>0</v>
      </c>
      <c r="AA409" s="364">
        <v>0</v>
      </c>
      <c r="AB409" s="364">
        <v>0</v>
      </c>
      <c r="AC409" s="364">
        <v>0</v>
      </c>
      <c r="AD409" s="364">
        <v>0</v>
      </c>
      <c r="AE409" s="364">
        <v>0</v>
      </c>
      <c r="AF409" s="364">
        <v>0</v>
      </c>
      <c r="AG409" s="364">
        <v>0</v>
      </c>
      <c r="AH409" s="364">
        <v>0</v>
      </c>
      <c r="AI409" s="364">
        <v>0</v>
      </c>
      <c r="AJ409" s="364">
        <v>0</v>
      </c>
      <c r="AK409" s="364">
        <v>0</v>
      </c>
      <c r="AL409" s="364">
        <v>0</v>
      </c>
      <c r="AM409" s="364">
        <v>0</v>
      </c>
      <c r="AN409" s="364">
        <v>0</v>
      </c>
      <c r="AO409" s="364">
        <v>0</v>
      </c>
      <c r="AP409" s="364">
        <v>0</v>
      </c>
      <c r="AQ409" s="364">
        <v>0</v>
      </c>
      <c r="AR409" s="364">
        <v>0</v>
      </c>
      <c r="AS409" s="364">
        <v>0</v>
      </c>
      <c r="AT409" s="364">
        <v>0</v>
      </c>
      <c r="AU409" s="364">
        <v>0</v>
      </c>
      <c r="AV409" s="364">
        <v>0</v>
      </c>
      <c r="AW409" s="364">
        <v>0</v>
      </c>
      <c r="AX409" s="364">
        <v>0</v>
      </c>
      <c r="AY409" s="364">
        <v>0</v>
      </c>
      <c r="AZ409" s="364">
        <v>0</v>
      </c>
      <c r="BA409" s="364">
        <v>0</v>
      </c>
      <c r="BB409" s="364">
        <v>0</v>
      </c>
      <c r="BC409" s="364">
        <v>0</v>
      </c>
      <c r="BD409" s="364">
        <v>0</v>
      </c>
      <c r="BE409" s="364">
        <v>0</v>
      </c>
      <c r="BF409" s="364">
        <v>0</v>
      </c>
      <c r="BG409" s="364">
        <v>0</v>
      </c>
      <c r="BH409" s="364">
        <v>0</v>
      </c>
      <c r="BI409" s="364">
        <v>0</v>
      </c>
      <c r="BJ409" s="364">
        <v>0</v>
      </c>
      <c r="BK409" s="364">
        <v>0</v>
      </c>
      <c r="BL409" s="364">
        <v>0</v>
      </c>
      <c r="BM409" s="364">
        <v>0</v>
      </c>
      <c r="BN409" s="364">
        <v>0</v>
      </c>
      <c r="BO409" s="364">
        <v>0</v>
      </c>
      <c r="BP409" s="364">
        <v>0</v>
      </c>
      <c r="BQ409" s="364">
        <v>0</v>
      </c>
      <c r="BR409" s="364">
        <v>0</v>
      </c>
      <c r="BS409" s="364">
        <v>0</v>
      </c>
      <c r="BT409" s="364">
        <v>0</v>
      </c>
      <c r="BU409" s="364">
        <v>0</v>
      </c>
      <c r="BV409" s="364">
        <v>0</v>
      </c>
      <c r="BW409" s="364">
        <v>0</v>
      </c>
      <c r="BX409" s="364">
        <v>0</v>
      </c>
      <c r="BY409" s="364">
        <v>0</v>
      </c>
      <c r="BZ409" s="364">
        <v>0</v>
      </c>
      <c r="CA409" s="364">
        <v>0</v>
      </c>
      <c r="CB409" s="364">
        <v>0</v>
      </c>
      <c r="CC409" s="364">
        <v>0</v>
      </c>
      <c r="CE409"/>
      <c r="CF409"/>
      <c r="CG409"/>
      <c r="CH409"/>
      <c r="CI409"/>
    </row>
    <row r="410" spans="1:87" s="32" customFormat="1" ht="15.75" thickBot="1" x14ac:dyDescent="0.25">
      <c r="A410" s="185"/>
      <c r="B410" s="311" t="s">
        <v>189</v>
      </c>
      <c r="D410" s="411" t="e">
        <f t="shared" si="96"/>
        <v>#N/A</v>
      </c>
      <c r="E410" s="412"/>
      <c r="F410" s="413">
        <f t="shared" si="97"/>
        <v>0</v>
      </c>
      <c r="G410"/>
      <c r="H410" s="399"/>
      <c r="I410"/>
      <c r="J410" s="364">
        <v>0</v>
      </c>
      <c r="K410" s="364">
        <v>0</v>
      </c>
      <c r="L410" s="364">
        <v>0</v>
      </c>
      <c r="M410" s="364">
        <v>0</v>
      </c>
      <c r="N410" s="364">
        <v>0</v>
      </c>
      <c r="O410" s="364">
        <v>0</v>
      </c>
      <c r="P410" s="364">
        <v>0</v>
      </c>
      <c r="Q410" s="364">
        <v>0</v>
      </c>
      <c r="R410" s="364">
        <v>0</v>
      </c>
      <c r="S410" s="364">
        <v>0</v>
      </c>
      <c r="T410" s="364">
        <v>0</v>
      </c>
      <c r="U410" s="364">
        <v>0</v>
      </c>
      <c r="V410" s="364">
        <v>0</v>
      </c>
      <c r="W410" s="364">
        <v>0</v>
      </c>
      <c r="X410" s="364">
        <v>0</v>
      </c>
      <c r="Y410" s="364">
        <v>0</v>
      </c>
      <c r="Z410" s="364">
        <v>0</v>
      </c>
      <c r="AA410" s="364">
        <v>0</v>
      </c>
      <c r="AB410" s="364">
        <v>0</v>
      </c>
      <c r="AC410" s="364">
        <v>0</v>
      </c>
      <c r="AD410" s="364">
        <v>0</v>
      </c>
      <c r="AE410" s="364">
        <v>0</v>
      </c>
      <c r="AF410" s="364">
        <v>0</v>
      </c>
      <c r="AG410" s="364">
        <v>0</v>
      </c>
      <c r="AH410" s="364">
        <v>0</v>
      </c>
      <c r="AI410" s="364">
        <v>0</v>
      </c>
      <c r="AJ410" s="364">
        <v>0</v>
      </c>
      <c r="AK410" s="364">
        <v>0</v>
      </c>
      <c r="AL410" s="364">
        <v>0</v>
      </c>
      <c r="AM410" s="364">
        <v>0</v>
      </c>
      <c r="AN410" s="364">
        <v>0</v>
      </c>
      <c r="AO410" s="364">
        <v>0</v>
      </c>
      <c r="AP410" s="364">
        <v>0</v>
      </c>
      <c r="AQ410" s="364">
        <v>0</v>
      </c>
      <c r="AR410" s="364">
        <v>0</v>
      </c>
      <c r="AS410" s="364">
        <v>0</v>
      </c>
      <c r="AT410" s="364">
        <v>0</v>
      </c>
      <c r="AU410" s="364">
        <v>0</v>
      </c>
      <c r="AV410" s="364">
        <v>0</v>
      </c>
      <c r="AW410" s="364">
        <v>0</v>
      </c>
      <c r="AX410" s="364">
        <v>0</v>
      </c>
      <c r="AY410" s="364">
        <v>0</v>
      </c>
      <c r="AZ410" s="364">
        <v>0</v>
      </c>
      <c r="BA410" s="364">
        <v>0</v>
      </c>
      <c r="BB410" s="364">
        <v>0</v>
      </c>
      <c r="BC410" s="364">
        <v>0</v>
      </c>
      <c r="BD410" s="364">
        <v>0</v>
      </c>
      <c r="BE410" s="364">
        <v>0</v>
      </c>
      <c r="BF410" s="364">
        <v>0</v>
      </c>
      <c r="BG410" s="364">
        <v>0</v>
      </c>
      <c r="BH410" s="364">
        <v>0</v>
      </c>
      <c r="BI410" s="364">
        <v>0</v>
      </c>
      <c r="BJ410" s="364">
        <v>0</v>
      </c>
      <c r="BK410" s="364">
        <v>0</v>
      </c>
      <c r="BL410" s="364">
        <v>0</v>
      </c>
      <c r="BM410" s="364">
        <v>0</v>
      </c>
      <c r="BN410" s="364">
        <v>0</v>
      </c>
      <c r="BO410" s="364">
        <v>0</v>
      </c>
      <c r="BP410" s="364">
        <v>0</v>
      </c>
      <c r="BQ410" s="364">
        <v>0</v>
      </c>
      <c r="BR410" s="364">
        <v>0</v>
      </c>
      <c r="BS410" s="364">
        <v>0</v>
      </c>
      <c r="BT410" s="364">
        <v>0</v>
      </c>
      <c r="BU410" s="364">
        <v>0</v>
      </c>
      <c r="BV410" s="364">
        <v>0</v>
      </c>
      <c r="BW410" s="364">
        <v>0</v>
      </c>
      <c r="BX410" s="364">
        <v>0</v>
      </c>
      <c r="BY410" s="364">
        <v>0</v>
      </c>
      <c r="BZ410" s="364">
        <v>0</v>
      </c>
      <c r="CA410" s="364">
        <v>0</v>
      </c>
      <c r="CB410" s="364">
        <v>0</v>
      </c>
      <c r="CC410" s="364">
        <v>0</v>
      </c>
      <c r="CE410"/>
      <c r="CF410"/>
      <c r="CG410"/>
      <c r="CH410"/>
      <c r="CI410"/>
    </row>
    <row r="411" spans="1:87" s="32" customFormat="1" x14ac:dyDescent="0.2">
      <c r="A411" s="185"/>
      <c r="B411" s="406"/>
      <c r="D411" s="409"/>
      <c r="E411" s="186"/>
      <c r="F411" s="410"/>
      <c r="G411"/>
      <c r="H411"/>
      <c r="I411"/>
      <c r="J411"/>
      <c r="K411"/>
      <c r="L411"/>
      <c r="M411"/>
      <c r="N411"/>
      <c r="O411"/>
      <c r="P411"/>
      <c r="Q411"/>
      <c r="R411"/>
      <c r="S411"/>
      <c r="T411"/>
      <c r="U411"/>
      <c r="V411"/>
      <c r="W411"/>
      <c r="X411"/>
      <c r="Y411"/>
      <c r="Z411"/>
      <c r="AA411"/>
      <c r="AB411"/>
      <c r="AC411"/>
      <c r="AD411"/>
      <c r="AE411"/>
      <c r="AF411"/>
      <c r="AG411"/>
      <c r="AH411"/>
      <c r="AI411"/>
      <c r="AJ411"/>
      <c r="AK411"/>
      <c r="AL411"/>
      <c r="AM411"/>
      <c r="AN411"/>
      <c r="AO411"/>
      <c r="AP411"/>
      <c r="AQ411"/>
      <c r="AR411"/>
      <c r="AS411"/>
      <c r="AT411"/>
      <c r="AU411"/>
      <c r="AV411"/>
      <c r="AW411"/>
      <c r="AX411"/>
      <c r="AY411"/>
      <c r="AZ411"/>
      <c r="BA411"/>
      <c r="BB411"/>
      <c r="BC411"/>
      <c r="BD411"/>
      <c r="BE411"/>
      <c r="BF411"/>
      <c r="BG411"/>
      <c r="BH411"/>
      <c r="BI411"/>
      <c r="BJ411"/>
      <c r="BK411"/>
      <c r="BL411"/>
      <c r="BM411"/>
      <c r="BN411"/>
      <c r="BO411"/>
      <c r="BP411"/>
      <c r="BQ411"/>
      <c r="BR411"/>
      <c r="BS411"/>
      <c r="BT411"/>
      <c r="BU411"/>
      <c r="BV411"/>
      <c r="BW411"/>
      <c r="BX411"/>
      <c r="BY411"/>
      <c r="BZ411"/>
      <c r="CA411"/>
      <c r="CB411"/>
      <c r="CC411"/>
      <c r="CE411"/>
      <c r="CF411"/>
      <c r="CG411"/>
      <c r="CH411"/>
      <c r="CI411"/>
    </row>
    <row r="412" spans="1:87" s="32" customFormat="1" ht="15.75" thickBot="1" x14ac:dyDescent="0.25">
      <c r="A412" s="427"/>
      <c r="B412" s="269" t="s">
        <v>350</v>
      </c>
      <c r="C412" s="269"/>
      <c r="D412" s="269"/>
      <c r="E412" s="269"/>
      <c r="F412" s="269"/>
      <c r="G412" s="269"/>
      <c r="H412" s="269"/>
      <c r="I412" s="269"/>
      <c r="J412" s="269"/>
      <c r="K412" s="269"/>
      <c r="L412" s="269"/>
      <c r="M412" s="269"/>
      <c r="N412" s="269"/>
      <c r="O412" s="269"/>
      <c r="P412" s="269"/>
      <c r="Q412" s="269"/>
      <c r="R412" s="269"/>
      <c r="S412" s="269"/>
      <c r="T412" s="269"/>
      <c r="U412" s="269"/>
      <c r="V412" s="269"/>
      <c r="W412" s="269"/>
      <c r="X412" s="269"/>
      <c r="Y412" s="269"/>
      <c r="Z412" s="269"/>
      <c r="AA412" s="269"/>
      <c r="AB412" s="269"/>
      <c r="AC412" s="269"/>
      <c r="AD412" s="269"/>
      <c r="AE412" s="269"/>
      <c r="AF412" s="269"/>
      <c r="AG412" s="269"/>
      <c r="AH412" s="269"/>
      <c r="AI412" s="269"/>
      <c r="AJ412" s="269"/>
      <c r="AK412" s="269"/>
      <c r="AL412" s="269"/>
      <c r="AM412" s="269"/>
      <c r="AN412" s="269"/>
      <c r="AO412" s="269"/>
      <c r="AP412" s="269"/>
      <c r="AQ412" s="269"/>
      <c r="AR412" s="269"/>
      <c r="AS412" s="269"/>
      <c r="AT412" s="269"/>
      <c r="AU412" s="269"/>
      <c r="AV412" s="269"/>
      <c r="AW412" s="269"/>
      <c r="AX412" s="269"/>
      <c r="AY412" s="269"/>
      <c r="AZ412" s="269"/>
      <c r="BA412" s="269"/>
      <c r="BB412" s="269"/>
      <c r="BC412" s="269"/>
      <c r="BD412" s="269"/>
      <c r="BE412" s="269"/>
      <c r="BF412" s="269"/>
      <c r="BG412" s="269"/>
      <c r="BH412" s="269"/>
      <c r="BI412" s="269"/>
      <c r="BJ412" s="269"/>
      <c r="BK412" s="269"/>
      <c r="BL412" s="269"/>
      <c r="BM412" s="269"/>
      <c r="BN412" s="269"/>
      <c r="BO412" s="269"/>
      <c r="BP412" s="269"/>
      <c r="BQ412" s="269"/>
      <c r="BR412" s="269"/>
      <c r="BS412" s="269"/>
      <c r="BT412" s="269"/>
      <c r="BU412" s="269"/>
      <c r="BV412" s="269"/>
      <c r="BW412" s="269"/>
      <c r="BX412" s="269"/>
      <c r="BY412" s="269"/>
      <c r="BZ412" s="269"/>
      <c r="CA412" s="269"/>
      <c r="CB412" s="269"/>
      <c r="CC412" s="269"/>
      <c r="CE412"/>
      <c r="CF412"/>
      <c r="CG412"/>
      <c r="CH412"/>
      <c r="CI412"/>
    </row>
    <row r="413" spans="1:87" s="32" customFormat="1" ht="15.75" thickBot="1" x14ac:dyDescent="0.25">
      <c r="A413" s="185"/>
      <c r="B413" s="184">
        <f ca="1">INDIRECT("B" &amp; (352 + ROWS($A$1:A1)))</f>
        <v>0</v>
      </c>
      <c r="D413" s="310" t="e">
        <f>IF(($F$419+$F$462)=0,0,F413/($F$419+$F$462))</f>
        <v>#N/A</v>
      </c>
      <c r="E413" s="186"/>
      <c r="F413" s="115">
        <f t="shared" si="97"/>
        <v>0</v>
      </c>
      <c r="G413"/>
      <c r="H413"/>
      <c r="I413"/>
      <c r="J413" s="364">
        <v>0</v>
      </c>
      <c r="K413" s="364">
        <v>0</v>
      </c>
      <c r="L413" s="364">
        <v>0</v>
      </c>
      <c r="M413" s="364">
        <v>0</v>
      </c>
      <c r="N413" s="364">
        <v>0</v>
      </c>
      <c r="O413" s="364">
        <v>0</v>
      </c>
      <c r="P413" s="364">
        <v>0</v>
      </c>
      <c r="Q413" s="364">
        <v>0</v>
      </c>
      <c r="R413" s="364">
        <v>0</v>
      </c>
      <c r="S413" s="364">
        <v>0</v>
      </c>
      <c r="T413" s="364">
        <v>0</v>
      </c>
      <c r="U413" s="364">
        <v>0</v>
      </c>
      <c r="V413" s="364">
        <v>0</v>
      </c>
      <c r="W413" s="364">
        <v>0</v>
      </c>
      <c r="X413" s="364">
        <v>0</v>
      </c>
      <c r="Y413" s="364">
        <v>0</v>
      </c>
      <c r="Z413" s="364">
        <v>0</v>
      </c>
      <c r="AA413" s="364">
        <v>0</v>
      </c>
      <c r="AB413" s="364">
        <v>0</v>
      </c>
      <c r="AC413" s="364">
        <v>0</v>
      </c>
      <c r="AD413" s="364">
        <v>0</v>
      </c>
      <c r="AE413" s="364">
        <v>0</v>
      </c>
      <c r="AF413" s="364">
        <v>0</v>
      </c>
      <c r="AG413" s="364">
        <v>0</v>
      </c>
      <c r="AH413" s="364">
        <v>0</v>
      </c>
      <c r="AI413" s="364">
        <v>0</v>
      </c>
      <c r="AJ413" s="364">
        <v>0</v>
      </c>
      <c r="AK413" s="364">
        <v>0</v>
      </c>
      <c r="AL413" s="364">
        <v>0</v>
      </c>
      <c r="AM413" s="364">
        <v>0</v>
      </c>
      <c r="AN413" s="364">
        <v>0</v>
      </c>
      <c r="AO413" s="364">
        <v>0</v>
      </c>
      <c r="AP413" s="364">
        <v>0</v>
      </c>
      <c r="AQ413" s="364">
        <v>0</v>
      </c>
      <c r="AR413" s="364">
        <v>0</v>
      </c>
      <c r="AS413" s="364">
        <v>0</v>
      </c>
      <c r="AT413" s="364">
        <v>0</v>
      </c>
      <c r="AU413" s="364">
        <v>0</v>
      </c>
      <c r="AV413" s="364">
        <v>0</v>
      </c>
      <c r="AW413" s="364">
        <v>0</v>
      </c>
      <c r="AX413" s="364">
        <v>0</v>
      </c>
      <c r="AY413" s="364">
        <v>0</v>
      </c>
      <c r="AZ413" s="364">
        <v>0</v>
      </c>
      <c r="BA413" s="364">
        <v>0</v>
      </c>
      <c r="BB413" s="364">
        <v>0</v>
      </c>
      <c r="BC413" s="364">
        <v>0</v>
      </c>
      <c r="BD413" s="364">
        <v>0</v>
      </c>
      <c r="BE413" s="364">
        <v>0</v>
      </c>
      <c r="BF413" s="364">
        <v>0</v>
      </c>
      <c r="BG413" s="364">
        <v>0</v>
      </c>
      <c r="BH413" s="364">
        <v>0</v>
      </c>
      <c r="BI413" s="364">
        <v>0</v>
      </c>
      <c r="BJ413" s="364">
        <v>0</v>
      </c>
      <c r="BK413" s="364">
        <v>0</v>
      </c>
      <c r="BL413" s="364">
        <v>0</v>
      </c>
      <c r="BM413" s="364">
        <v>0</v>
      </c>
      <c r="BN413" s="364">
        <v>0</v>
      </c>
      <c r="BO413" s="364">
        <v>0</v>
      </c>
      <c r="BP413" s="364">
        <v>0</v>
      </c>
      <c r="BQ413" s="364">
        <v>0</v>
      </c>
      <c r="BR413" s="364">
        <v>0</v>
      </c>
      <c r="BS413" s="364">
        <v>0</v>
      </c>
      <c r="BT413" s="364">
        <v>0</v>
      </c>
      <c r="BU413" s="364">
        <v>0</v>
      </c>
      <c r="BV413" s="364">
        <v>0</v>
      </c>
      <c r="BW413" s="364">
        <v>0</v>
      </c>
      <c r="BX413" s="364">
        <v>0</v>
      </c>
      <c r="BY413" s="364">
        <v>0</v>
      </c>
      <c r="BZ413" s="364">
        <v>0</v>
      </c>
      <c r="CA413" s="364">
        <v>0</v>
      </c>
      <c r="CB413" s="364">
        <v>0</v>
      </c>
      <c r="CC413" s="364">
        <v>0</v>
      </c>
      <c r="CE413"/>
      <c r="CF413"/>
      <c r="CG413"/>
      <c r="CH413"/>
      <c r="CI413"/>
    </row>
    <row r="414" spans="1:87" s="32" customFormat="1" ht="15.75" thickBot="1" x14ac:dyDescent="0.25">
      <c r="A414" s="185"/>
      <c r="B414" s="184">
        <f ca="1">INDIRECT("B" &amp; (352 + ROWS($A$1:A2)))</f>
        <v>0</v>
      </c>
      <c r="D414" s="310" t="e">
        <f>IF(($F$419+$F$462)=0,0,F414/($F$419+$F$462))</f>
        <v>#N/A</v>
      </c>
      <c r="E414" s="186"/>
      <c r="F414" s="115">
        <f t="shared" si="97"/>
        <v>0</v>
      </c>
      <c r="G414"/>
      <c r="H414"/>
      <c r="I414"/>
      <c r="J414" s="364">
        <v>0</v>
      </c>
      <c r="K414" s="364">
        <v>0</v>
      </c>
      <c r="L414" s="364">
        <v>0</v>
      </c>
      <c r="M414" s="364">
        <v>0</v>
      </c>
      <c r="N414" s="364">
        <v>0</v>
      </c>
      <c r="O414" s="364">
        <v>0</v>
      </c>
      <c r="P414" s="364">
        <v>0</v>
      </c>
      <c r="Q414" s="364">
        <v>0</v>
      </c>
      <c r="R414" s="364">
        <v>0</v>
      </c>
      <c r="S414" s="364">
        <v>0</v>
      </c>
      <c r="T414" s="364">
        <v>0</v>
      </c>
      <c r="U414" s="364">
        <v>0</v>
      </c>
      <c r="V414" s="364">
        <v>0</v>
      </c>
      <c r="W414" s="364">
        <v>0</v>
      </c>
      <c r="X414" s="364">
        <v>0</v>
      </c>
      <c r="Y414" s="364">
        <v>0</v>
      </c>
      <c r="Z414" s="364">
        <v>0</v>
      </c>
      <c r="AA414" s="364">
        <v>0</v>
      </c>
      <c r="AB414" s="364">
        <v>0</v>
      </c>
      <c r="AC414" s="364">
        <v>0</v>
      </c>
      <c r="AD414" s="364">
        <v>0</v>
      </c>
      <c r="AE414" s="364">
        <v>0</v>
      </c>
      <c r="AF414" s="364">
        <v>0</v>
      </c>
      <c r="AG414" s="364">
        <v>0</v>
      </c>
      <c r="AH414" s="364">
        <v>0</v>
      </c>
      <c r="AI414" s="364">
        <v>0</v>
      </c>
      <c r="AJ414" s="364">
        <v>0</v>
      </c>
      <c r="AK414" s="364">
        <v>0</v>
      </c>
      <c r="AL414" s="364">
        <v>0</v>
      </c>
      <c r="AM414" s="364">
        <v>0</v>
      </c>
      <c r="AN414" s="364">
        <v>0</v>
      </c>
      <c r="AO414" s="364">
        <v>0</v>
      </c>
      <c r="AP414" s="364">
        <v>0</v>
      </c>
      <c r="AQ414" s="364">
        <v>0</v>
      </c>
      <c r="AR414" s="364">
        <v>0</v>
      </c>
      <c r="AS414" s="364">
        <v>0</v>
      </c>
      <c r="AT414" s="364">
        <v>0</v>
      </c>
      <c r="AU414" s="364">
        <v>0</v>
      </c>
      <c r="AV414" s="364">
        <v>0</v>
      </c>
      <c r="AW414" s="364">
        <v>0</v>
      </c>
      <c r="AX414" s="364">
        <v>0</v>
      </c>
      <c r="AY414" s="364">
        <v>0</v>
      </c>
      <c r="AZ414" s="364">
        <v>0</v>
      </c>
      <c r="BA414" s="364">
        <v>0</v>
      </c>
      <c r="BB414" s="364">
        <v>0</v>
      </c>
      <c r="BC414" s="364">
        <v>0</v>
      </c>
      <c r="BD414" s="364">
        <v>0</v>
      </c>
      <c r="BE414" s="364">
        <v>0</v>
      </c>
      <c r="BF414" s="364">
        <v>0</v>
      </c>
      <c r="BG414" s="364">
        <v>0</v>
      </c>
      <c r="BH414" s="364">
        <v>0</v>
      </c>
      <c r="BI414" s="364">
        <v>0</v>
      </c>
      <c r="BJ414" s="364">
        <v>0</v>
      </c>
      <c r="BK414" s="364">
        <v>0</v>
      </c>
      <c r="BL414" s="364">
        <v>0</v>
      </c>
      <c r="BM414" s="364">
        <v>0</v>
      </c>
      <c r="BN414" s="364">
        <v>0</v>
      </c>
      <c r="BO414" s="364">
        <v>0</v>
      </c>
      <c r="BP414" s="364">
        <v>0</v>
      </c>
      <c r="BQ414" s="364">
        <v>0</v>
      </c>
      <c r="BR414" s="364">
        <v>0</v>
      </c>
      <c r="BS414" s="364">
        <v>0</v>
      </c>
      <c r="BT414" s="364">
        <v>0</v>
      </c>
      <c r="BU414" s="364">
        <v>0</v>
      </c>
      <c r="BV414" s="364">
        <v>0</v>
      </c>
      <c r="BW414" s="364">
        <v>0</v>
      </c>
      <c r="BX414" s="364">
        <v>0</v>
      </c>
      <c r="BY414" s="364">
        <v>0</v>
      </c>
      <c r="BZ414" s="364">
        <v>0</v>
      </c>
      <c r="CA414" s="364">
        <v>0</v>
      </c>
      <c r="CB414" s="364">
        <v>0</v>
      </c>
      <c r="CC414" s="364">
        <v>0</v>
      </c>
      <c r="CE414"/>
      <c r="CF414"/>
      <c r="CG414"/>
      <c r="CH414"/>
      <c r="CI414"/>
    </row>
    <row r="415" spans="1:87" s="32" customFormat="1" ht="15.75" thickBot="1" x14ac:dyDescent="0.25">
      <c r="A415" s="185"/>
      <c r="B415" s="184">
        <f ca="1">INDIRECT("B" &amp; (352 + ROWS($A$1:A3)))</f>
        <v>0</v>
      </c>
      <c r="D415" s="310" t="e">
        <f>IF(($F$419+$F$462)=0,0,F415/($F$419+$F$462))</f>
        <v>#N/A</v>
      </c>
      <c r="E415" s="186"/>
      <c r="F415" s="115">
        <f t="shared" si="97"/>
        <v>0</v>
      </c>
      <c r="G415"/>
      <c r="H415"/>
      <c r="I415"/>
      <c r="J415" s="364">
        <v>0</v>
      </c>
      <c r="K415" s="364">
        <v>0</v>
      </c>
      <c r="L415" s="364">
        <v>0</v>
      </c>
      <c r="M415" s="364">
        <v>0</v>
      </c>
      <c r="N415" s="364">
        <v>0</v>
      </c>
      <c r="O415" s="364">
        <v>0</v>
      </c>
      <c r="P415" s="364">
        <v>0</v>
      </c>
      <c r="Q415" s="364">
        <v>0</v>
      </c>
      <c r="R415" s="364">
        <v>0</v>
      </c>
      <c r="S415" s="364">
        <v>0</v>
      </c>
      <c r="T415" s="364">
        <v>0</v>
      </c>
      <c r="U415" s="364">
        <v>0</v>
      </c>
      <c r="V415" s="364">
        <v>0</v>
      </c>
      <c r="W415" s="364">
        <v>0</v>
      </c>
      <c r="X415" s="364">
        <v>0</v>
      </c>
      <c r="Y415" s="364">
        <v>0</v>
      </c>
      <c r="Z415" s="364">
        <v>0</v>
      </c>
      <c r="AA415" s="364">
        <v>0</v>
      </c>
      <c r="AB415" s="364">
        <v>0</v>
      </c>
      <c r="AC415" s="364">
        <v>0</v>
      </c>
      <c r="AD415" s="364">
        <v>0</v>
      </c>
      <c r="AE415" s="364">
        <v>0</v>
      </c>
      <c r="AF415" s="364">
        <v>0</v>
      </c>
      <c r="AG415" s="364">
        <v>0</v>
      </c>
      <c r="AH415" s="364">
        <v>0</v>
      </c>
      <c r="AI415" s="364">
        <v>0</v>
      </c>
      <c r="AJ415" s="364">
        <v>0</v>
      </c>
      <c r="AK415" s="364">
        <v>0</v>
      </c>
      <c r="AL415" s="364">
        <v>0</v>
      </c>
      <c r="AM415" s="364">
        <v>0</v>
      </c>
      <c r="AN415" s="364">
        <v>0</v>
      </c>
      <c r="AO415" s="364">
        <v>0</v>
      </c>
      <c r="AP415" s="364">
        <v>0</v>
      </c>
      <c r="AQ415" s="364">
        <v>0</v>
      </c>
      <c r="AR415" s="364">
        <v>0</v>
      </c>
      <c r="AS415" s="364">
        <v>0</v>
      </c>
      <c r="AT415" s="364">
        <v>0</v>
      </c>
      <c r="AU415" s="364">
        <v>0</v>
      </c>
      <c r="AV415" s="364">
        <v>0</v>
      </c>
      <c r="AW415" s="364">
        <v>0</v>
      </c>
      <c r="AX415" s="364">
        <v>0</v>
      </c>
      <c r="AY415" s="364">
        <v>0</v>
      </c>
      <c r="AZ415" s="364">
        <v>0</v>
      </c>
      <c r="BA415" s="364">
        <v>0</v>
      </c>
      <c r="BB415" s="364">
        <v>0</v>
      </c>
      <c r="BC415" s="364">
        <v>0</v>
      </c>
      <c r="BD415" s="364">
        <v>0</v>
      </c>
      <c r="BE415" s="364">
        <v>0</v>
      </c>
      <c r="BF415" s="364">
        <v>0</v>
      </c>
      <c r="BG415" s="364">
        <v>0</v>
      </c>
      <c r="BH415" s="364">
        <v>0</v>
      </c>
      <c r="BI415" s="364">
        <v>0</v>
      </c>
      <c r="BJ415" s="364">
        <v>0</v>
      </c>
      <c r="BK415" s="364">
        <v>0</v>
      </c>
      <c r="BL415" s="364">
        <v>0</v>
      </c>
      <c r="BM415" s="364">
        <v>0</v>
      </c>
      <c r="BN415" s="364">
        <v>0</v>
      </c>
      <c r="BO415" s="364">
        <v>0</v>
      </c>
      <c r="BP415" s="364">
        <v>0</v>
      </c>
      <c r="BQ415" s="364">
        <v>0</v>
      </c>
      <c r="BR415" s="364">
        <v>0</v>
      </c>
      <c r="BS415" s="364">
        <v>0</v>
      </c>
      <c r="BT415" s="364">
        <v>0</v>
      </c>
      <c r="BU415" s="364">
        <v>0</v>
      </c>
      <c r="BV415" s="364">
        <v>0</v>
      </c>
      <c r="BW415" s="364">
        <v>0</v>
      </c>
      <c r="BX415" s="364">
        <v>0</v>
      </c>
      <c r="BY415" s="364">
        <v>0</v>
      </c>
      <c r="BZ415" s="364">
        <v>0</v>
      </c>
      <c r="CA415" s="364">
        <v>0</v>
      </c>
      <c r="CB415" s="364">
        <v>0</v>
      </c>
      <c r="CC415" s="364">
        <v>0</v>
      </c>
      <c r="CE415"/>
      <c r="CF415"/>
      <c r="CG415"/>
      <c r="CH415"/>
      <c r="CI415"/>
    </row>
    <row r="416" spans="1:87" s="32" customFormat="1" ht="15.75" thickBot="1" x14ac:dyDescent="0.25">
      <c r="A416" s="185"/>
      <c r="B416" s="184">
        <f ca="1">INDIRECT("B" &amp; (352 + ROWS($A$1:A4)))</f>
        <v>0</v>
      </c>
      <c r="D416" s="310" t="e">
        <f>IF(($F$419+$F$462)=0,0,F416/($F$419+$F$462))</f>
        <v>#N/A</v>
      </c>
      <c r="E416" s="186"/>
      <c r="F416" s="115">
        <f t="shared" si="97"/>
        <v>0</v>
      </c>
      <c r="G416"/>
      <c r="H416"/>
      <c r="I416"/>
      <c r="J416" s="364">
        <v>0</v>
      </c>
      <c r="K416" s="364">
        <v>0</v>
      </c>
      <c r="L416" s="364">
        <v>0</v>
      </c>
      <c r="M416" s="364">
        <v>0</v>
      </c>
      <c r="N416" s="364">
        <v>0</v>
      </c>
      <c r="O416" s="364">
        <v>0</v>
      </c>
      <c r="P416" s="364">
        <v>0</v>
      </c>
      <c r="Q416" s="364">
        <v>0</v>
      </c>
      <c r="R416" s="364">
        <v>0</v>
      </c>
      <c r="S416" s="364">
        <v>0</v>
      </c>
      <c r="T416" s="364">
        <v>0</v>
      </c>
      <c r="U416" s="364">
        <v>0</v>
      </c>
      <c r="V416" s="364">
        <v>0</v>
      </c>
      <c r="W416" s="364">
        <v>0</v>
      </c>
      <c r="X416" s="364">
        <v>0</v>
      </c>
      <c r="Y416" s="364">
        <v>0</v>
      </c>
      <c r="Z416" s="364">
        <v>0</v>
      </c>
      <c r="AA416" s="364">
        <v>0</v>
      </c>
      <c r="AB416" s="364">
        <v>0</v>
      </c>
      <c r="AC416" s="364">
        <v>0</v>
      </c>
      <c r="AD416" s="364">
        <v>0</v>
      </c>
      <c r="AE416" s="364">
        <v>0</v>
      </c>
      <c r="AF416" s="364">
        <v>0</v>
      </c>
      <c r="AG416" s="364">
        <v>0</v>
      </c>
      <c r="AH416" s="364">
        <v>0</v>
      </c>
      <c r="AI416" s="364">
        <v>0</v>
      </c>
      <c r="AJ416" s="364">
        <v>0</v>
      </c>
      <c r="AK416" s="364">
        <v>0</v>
      </c>
      <c r="AL416" s="364">
        <v>0</v>
      </c>
      <c r="AM416" s="364">
        <v>0</v>
      </c>
      <c r="AN416" s="364">
        <v>0</v>
      </c>
      <c r="AO416" s="364">
        <v>0</v>
      </c>
      <c r="AP416" s="364">
        <v>0</v>
      </c>
      <c r="AQ416" s="364">
        <v>0</v>
      </c>
      <c r="AR416" s="364">
        <v>0</v>
      </c>
      <c r="AS416" s="364">
        <v>0</v>
      </c>
      <c r="AT416" s="364">
        <v>0</v>
      </c>
      <c r="AU416" s="364">
        <v>0</v>
      </c>
      <c r="AV416" s="364">
        <v>0</v>
      </c>
      <c r="AW416" s="364">
        <v>0</v>
      </c>
      <c r="AX416" s="364">
        <v>0</v>
      </c>
      <c r="AY416" s="364">
        <v>0</v>
      </c>
      <c r="AZ416" s="364">
        <v>0</v>
      </c>
      <c r="BA416" s="364">
        <v>0</v>
      </c>
      <c r="BB416" s="364">
        <v>0</v>
      </c>
      <c r="BC416" s="364">
        <v>0</v>
      </c>
      <c r="BD416" s="364">
        <v>0</v>
      </c>
      <c r="BE416" s="364">
        <v>0</v>
      </c>
      <c r="BF416" s="364">
        <v>0</v>
      </c>
      <c r="BG416" s="364">
        <v>0</v>
      </c>
      <c r="BH416" s="364">
        <v>0</v>
      </c>
      <c r="BI416" s="364">
        <v>0</v>
      </c>
      <c r="BJ416" s="364">
        <v>0</v>
      </c>
      <c r="BK416" s="364">
        <v>0</v>
      </c>
      <c r="BL416" s="364">
        <v>0</v>
      </c>
      <c r="BM416" s="364">
        <v>0</v>
      </c>
      <c r="BN416" s="364">
        <v>0</v>
      </c>
      <c r="BO416" s="364">
        <v>0</v>
      </c>
      <c r="BP416" s="364">
        <v>0</v>
      </c>
      <c r="BQ416" s="364">
        <v>0</v>
      </c>
      <c r="BR416" s="364">
        <v>0</v>
      </c>
      <c r="BS416" s="364">
        <v>0</v>
      </c>
      <c r="BT416" s="364">
        <v>0</v>
      </c>
      <c r="BU416" s="364">
        <v>0</v>
      </c>
      <c r="BV416" s="364">
        <v>0</v>
      </c>
      <c r="BW416" s="364">
        <v>0</v>
      </c>
      <c r="BX416" s="364">
        <v>0</v>
      </c>
      <c r="BY416" s="364">
        <v>0</v>
      </c>
      <c r="BZ416" s="364">
        <v>0</v>
      </c>
      <c r="CA416" s="364">
        <v>0</v>
      </c>
      <c r="CB416" s="364">
        <v>0</v>
      </c>
      <c r="CC416" s="364">
        <v>0</v>
      </c>
      <c r="CE416"/>
      <c r="CF416"/>
      <c r="CG416"/>
      <c r="CH416"/>
      <c r="CI416"/>
    </row>
    <row r="417" spans="1:87" s="32" customFormat="1" ht="15.75" customHeight="1" thickBot="1" x14ac:dyDescent="0.25">
      <c r="A417" s="185"/>
      <c r="B417" s="184">
        <f ca="1">INDIRECT("B" &amp; (352 + ROWS($A$1:A5)))</f>
        <v>0</v>
      </c>
      <c r="D417" s="310" t="e">
        <f>IF(($F$419+$F$462)=0,0,F417/($F$419+$F$462))</f>
        <v>#N/A</v>
      </c>
      <c r="F417" s="115">
        <f t="shared" si="97"/>
        <v>0</v>
      </c>
      <c r="G417"/>
      <c r="H417"/>
      <c r="I417"/>
      <c r="J417" s="364">
        <v>0</v>
      </c>
      <c r="K417" s="364">
        <v>0</v>
      </c>
      <c r="L417" s="364">
        <v>0</v>
      </c>
      <c r="M417" s="364">
        <v>0</v>
      </c>
      <c r="N417" s="364">
        <v>0</v>
      </c>
      <c r="O417" s="364">
        <v>0</v>
      </c>
      <c r="P417" s="364">
        <v>0</v>
      </c>
      <c r="Q417" s="364">
        <v>0</v>
      </c>
      <c r="R417" s="364">
        <v>0</v>
      </c>
      <c r="S417" s="364">
        <v>0</v>
      </c>
      <c r="T417" s="364">
        <v>0</v>
      </c>
      <c r="U417" s="364">
        <v>0</v>
      </c>
      <c r="V417" s="364">
        <v>0</v>
      </c>
      <c r="W417" s="364">
        <v>0</v>
      </c>
      <c r="X417" s="364">
        <v>0</v>
      </c>
      <c r="Y417" s="364">
        <v>0</v>
      </c>
      <c r="Z417" s="364">
        <v>0</v>
      </c>
      <c r="AA417" s="364">
        <v>0</v>
      </c>
      <c r="AB417" s="364">
        <v>0</v>
      </c>
      <c r="AC417" s="364">
        <v>0</v>
      </c>
      <c r="AD417" s="364">
        <v>0</v>
      </c>
      <c r="AE417" s="364">
        <v>0</v>
      </c>
      <c r="AF417" s="364">
        <v>0</v>
      </c>
      <c r="AG417" s="364">
        <v>0</v>
      </c>
      <c r="AH417" s="364">
        <v>0</v>
      </c>
      <c r="AI417" s="364">
        <v>0</v>
      </c>
      <c r="AJ417" s="364">
        <v>0</v>
      </c>
      <c r="AK417" s="364">
        <v>0</v>
      </c>
      <c r="AL417" s="364">
        <v>0</v>
      </c>
      <c r="AM417" s="364">
        <v>0</v>
      </c>
      <c r="AN417" s="364">
        <v>0</v>
      </c>
      <c r="AO417" s="364">
        <v>0</v>
      </c>
      <c r="AP417" s="364">
        <v>0</v>
      </c>
      <c r="AQ417" s="364">
        <v>0</v>
      </c>
      <c r="AR417" s="364">
        <v>0</v>
      </c>
      <c r="AS417" s="364">
        <v>0</v>
      </c>
      <c r="AT417" s="364">
        <v>0</v>
      </c>
      <c r="AU417" s="364">
        <v>0</v>
      </c>
      <c r="AV417" s="364">
        <v>0</v>
      </c>
      <c r="AW417" s="364">
        <v>0</v>
      </c>
      <c r="AX417" s="364">
        <v>0</v>
      </c>
      <c r="AY417" s="364">
        <v>0</v>
      </c>
      <c r="AZ417" s="364">
        <v>0</v>
      </c>
      <c r="BA417" s="364">
        <v>0</v>
      </c>
      <c r="BB417" s="364">
        <v>0</v>
      </c>
      <c r="BC417" s="364">
        <v>0</v>
      </c>
      <c r="BD417" s="364">
        <v>0</v>
      </c>
      <c r="BE417" s="364">
        <v>0</v>
      </c>
      <c r="BF417" s="364">
        <v>0</v>
      </c>
      <c r="BG417" s="364">
        <v>0</v>
      </c>
      <c r="BH417" s="364">
        <v>0</v>
      </c>
      <c r="BI417" s="364">
        <v>0</v>
      </c>
      <c r="BJ417" s="364">
        <v>0</v>
      </c>
      <c r="BK417" s="364">
        <v>0</v>
      </c>
      <c r="BL417" s="364">
        <v>0</v>
      </c>
      <c r="BM417" s="364">
        <v>0</v>
      </c>
      <c r="BN417" s="364">
        <v>0</v>
      </c>
      <c r="BO417" s="364">
        <v>0</v>
      </c>
      <c r="BP417" s="364">
        <v>0</v>
      </c>
      <c r="BQ417" s="364">
        <v>0</v>
      </c>
      <c r="BR417" s="364">
        <v>0</v>
      </c>
      <c r="BS417" s="364">
        <v>0</v>
      </c>
      <c r="BT417" s="364">
        <v>0</v>
      </c>
      <c r="BU417" s="364">
        <v>0</v>
      </c>
      <c r="BV417" s="364">
        <v>0</v>
      </c>
      <c r="BW417" s="364">
        <v>0</v>
      </c>
      <c r="BX417" s="364">
        <v>0</v>
      </c>
      <c r="BY417" s="364">
        <v>0</v>
      </c>
      <c r="BZ417" s="364">
        <v>0</v>
      </c>
      <c r="CA417" s="364">
        <v>0</v>
      </c>
      <c r="CB417" s="364">
        <v>0</v>
      </c>
      <c r="CC417" s="364">
        <v>0</v>
      </c>
      <c r="CE417"/>
      <c r="CF417"/>
      <c r="CG417"/>
      <c r="CH417"/>
      <c r="CI417"/>
    </row>
    <row r="418" spans="1:87" s="32" customFormat="1" ht="5.0999999999999996" customHeight="1" thickBot="1" x14ac:dyDescent="0.25">
      <c r="A418" s="185"/>
      <c r="F418" s="115"/>
      <c r="J418" s="113"/>
      <c r="K418" s="113"/>
      <c r="L418" s="113"/>
      <c r="M418" s="113"/>
      <c r="N418" s="113"/>
      <c r="O418" s="113"/>
      <c r="P418" s="113"/>
      <c r="Q418" s="113"/>
      <c r="AF418" s="93"/>
      <c r="CE418"/>
      <c r="CF418"/>
      <c r="CG418"/>
      <c r="CH418"/>
      <c r="CI418"/>
    </row>
    <row r="419" spans="1:87" s="32" customFormat="1" ht="15.75" thickBot="1" x14ac:dyDescent="0.25">
      <c r="A419" s="185"/>
      <c r="B419" s="516" t="s">
        <v>120</v>
      </c>
      <c r="C419" s="517"/>
      <c r="D419" s="518"/>
      <c r="E419" s="186"/>
      <c r="F419" s="285">
        <f>SUM(F390:F418)</f>
        <v>0</v>
      </c>
      <c r="G419" s="2"/>
      <c r="H419" s="2"/>
      <c r="I419" s="2"/>
      <c r="J419" s="290">
        <f t="shared" ref="J419:AO419" si="98">SUM(J390:J418)</f>
        <v>0</v>
      </c>
      <c r="K419" s="290">
        <f t="shared" si="98"/>
        <v>0</v>
      </c>
      <c r="L419" s="290">
        <f t="shared" si="98"/>
        <v>0</v>
      </c>
      <c r="M419" s="290">
        <f t="shared" si="98"/>
        <v>0</v>
      </c>
      <c r="N419" s="290">
        <f t="shared" si="98"/>
        <v>0</v>
      </c>
      <c r="O419" s="290">
        <f t="shared" si="98"/>
        <v>0</v>
      </c>
      <c r="P419" s="290">
        <f t="shared" si="98"/>
        <v>0</v>
      </c>
      <c r="Q419" s="290">
        <f t="shared" si="98"/>
        <v>0</v>
      </c>
      <c r="R419" s="290">
        <f t="shared" si="98"/>
        <v>0</v>
      </c>
      <c r="S419" s="290">
        <f t="shared" si="98"/>
        <v>0</v>
      </c>
      <c r="T419" s="290">
        <f t="shared" si="98"/>
        <v>0</v>
      </c>
      <c r="U419" s="290">
        <f t="shared" si="98"/>
        <v>0</v>
      </c>
      <c r="V419" s="290">
        <f t="shared" si="98"/>
        <v>0</v>
      </c>
      <c r="W419" s="290">
        <f t="shared" si="98"/>
        <v>0</v>
      </c>
      <c r="X419" s="290">
        <f t="shared" si="98"/>
        <v>0</v>
      </c>
      <c r="Y419" s="290">
        <f t="shared" si="98"/>
        <v>0</v>
      </c>
      <c r="Z419" s="290">
        <f t="shared" si="98"/>
        <v>0</v>
      </c>
      <c r="AA419" s="290">
        <f t="shared" si="98"/>
        <v>0</v>
      </c>
      <c r="AB419" s="290">
        <f t="shared" si="98"/>
        <v>0</v>
      </c>
      <c r="AC419" s="290">
        <f t="shared" si="98"/>
        <v>0</v>
      </c>
      <c r="AD419" s="290">
        <f t="shared" si="98"/>
        <v>0</v>
      </c>
      <c r="AE419" s="290">
        <f t="shared" si="98"/>
        <v>0</v>
      </c>
      <c r="AF419" s="290">
        <f t="shared" si="98"/>
        <v>0</v>
      </c>
      <c r="AG419" s="290">
        <f t="shared" si="98"/>
        <v>0</v>
      </c>
      <c r="AH419" s="290">
        <f t="shared" si="98"/>
        <v>0</v>
      </c>
      <c r="AI419" s="290">
        <f t="shared" si="98"/>
        <v>0</v>
      </c>
      <c r="AJ419" s="290">
        <f t="shared" si="98"/>
        <v>0</v>
      </c>
      <c r="AK419" s="290">
        <f t="shared" si="98"/>
        <v>0</v>
      </c>
      <c r="AL419" s="290">
        <f t="shared" si="98"/>
        <v>0</v>
      </c>
      <c r="AM419" s="290">
        <f t="shared" si="98"/>
        <v>0</v>
      </c>
      <c r="AN419" s="290">
        <f t="shared" si="98"/>
        <v>0</v>
      </c>
      <c r="AO419" s="290">
        <f t="shared" si="98"/>
        <v>0</v>
      </c>
      <c r="AP419" s="290">
        <f t="shared" ref="AP419:BU419" si="99">SUM(AP390:AP418)</f>
        <v>0</v>
      </c>
      <c r="AQ419" s="290">
        <f t="shared" si="99"/>
        <v>0</v>
      </c>
      <c r="AR419" s="290">
        <f t="shared" si="99"/>
        <v>0</v>
      </c>
      <c r="AS419" s="290">
        <f t="shared" si="99"/>
        <v>0</v>
      </c>
      <c r="AT419" s="290">
        <f t="shared" si="99"/>
        <v>0</v>
      </c>
      <c r="AU419" s="290">
        <f t="shared" si="99"/>
        <v>0</v>
      </c>
      <c r="AV419" s="290">
        <f t="shared" si="99"/>
        <v>0</v>
      </c>
      <c r="AW419" s="290">
        <f t="shared" si="99"/>
        <v>0</v>
      </c>
      <c r="AX419" s="290">
        <f t="shared" si="99"/>
        <v>0</v>
      </c>
      <c r="AY419" s="290">
        <f t="shared" si="99"/>
        <v>0</v>
      </c>
      <c r="AZ419" s="290">
        <f t="shared" si="99"/>
        <v>0</v>
      </c>
      <c r="BA419" s="290">
        <f t="shared" si="99"/>
        <v>0</v>
      </c>
      <c r="BB419" s="290">
        <f t="shared" si="99"/>
        <v>0</v>
      </c>
      <c r="BC419" s="290">
        <f t="shared" si="99"/>
        <v>0</v>
      </c>
      <c r="BD419" s="290">
        <f t="shared" si="99"/>
        <v>0</v>
      </c>
      <c r="BE419" s="290">
        <f t="shared" si="99"/>
        <v>0</v>
      </c>
      <c r="BF419" s="290">
        <f t="shared" si="99"/>
        <v>0</v>
      </c>
      <c r="BG419" s="290">
        <f t="shared" si="99"/>
        <v>0</v>
      </c>
      <c r="BH419" s="290">
        <f t="shared" si="99"/>
        <v>0</v>
      </c>
      <c r="BI419" s="290">
        <f t="shared" si="99"/>
        <v>0</v>
      </c>
      <c r="BJ419" s="290">
        <f t="shared" si="99"/>
        <v>0</v>
      </c>
      <c r="BK419" s="290">
        <f t="shared" si="99"/>
        <v>0</v>
      </c>
      <c r="BL419" s="290">
        <f t="shared" si="99"/>
        <v>0</v>
      </c>
      <c r="BM419" s="290">
        <f t="shared" si="99"/>
        <v>0</v>
      </c>
      <c r="BN419" s="290">
        <f t="shared" si="99"/>
        <v>0</v>
      </c>
      <c r="BO419" s="290">
        <f t="shared" si="99"/>
        <v>0</v>
      </c>
      <c r="BP419" s="290">
        <f t="shared" si="99"/>
        <v>0</v>
      </c>
      <c r="BQ419" s="290">
        <f t="shared" si="99"/>
        <v>0</v>
      </c>
      <c r="BR419" s="290">
        <f t="shared" si="99"/>
        <v>0</v>
      </c>
      <c r="BS419" s="290">
        <f t="shared" si="99"/>
        <v>0</v>
      </c>
      <c r="BT419" s="290">
        <f t="shared" si="99"/>
        <v>0</v>
      </c>
      <c r="BU419" s="290">
        <f t="shared" si="99"/>
        <v>0</v>
      </c>
      <c r="BV419" s="290">
        <f t="shared" ref="BV419:CC419" si="100">SUM(BV390:BV418)</f>
        <v>0</v>
      </c>
      <c r="BW419" s="290">
        <f t="shared" si="100"/>
        <v>0</v>
      </c>
      <c r="BX419" s="290">
        <f t="shared" si="100"/>
        <v>0</v>
      </c>
      <c r="BY419" s="290">
        <f t="shared" si="100"/>
        <v>0</v>
      </c>
      <c r="BZ419" s="290">
        <f t="shared" si="100"/>
        <v>0</v>
      </c>
      <c r="CA419" s="290">
        <f t="shared" si="100"/>
        <v>0</v>
      </c>
      <c r="CB419" s="290">
        <f t="shared" si="100"/>
        <v>0</v>
      </c>
      <c r="CC419" s="290">
        <f t="shared" si="100"/>
        <v>0</v>
      </c>
      <c r="CE419"/>
    </row>
    <row r="420" spans="1:87" ht="5.0999999999999996" customHeight="1" thickBot="1" x14ac:dyDescent="0.25">
      <c r="B420" s="314"/>
      <c r="C420" s="314"/>
      <c r="D420" s="314"/>
      <c r="J420" s="113"/>
      <c r="K420" s="113"/>
      <c r="L420" s="113"/>
      <c r="M420" s="113"/>
      <c r="N420" s="113"/>
      <c r="O420" s="113"/>
      <c r="P420" s="113"/>
      <c r="Q420" s="113"/>
      <c r="R420" s="113"/>
      <c r="S420" s="113"/>
      <c r="T420" s="113"/>
      <c r="U420" s="113"/>
      <c r="V420" s="113"/>
      <c r="W420" s="113"/>
      <c r="X420" s="113"/>
      <c r="Y420" s="113"/>
      <c r="Z420" s="113"/>
      <c r="AA420" s="113"/>
      <c r="AB420" s="113"/>
      <c r="AC420" s="113"/>
      <c r="AD420" s="113"/>
      <c r="AE420" s="113"/>
      <c r="AF420" s="113"/>
      <c r="AG420" s="113"/>
      <c r="AH420" s="113"/>
      <c r="AI420" s="113"/>
      <c r="AJ420" s="113"/>
      <c r="AK420" s="113"/>
      <c r="AL420" s="113"/>
      <c r="AM420" s="113"/>
      <c r="AN420" s="113"/>
      <c r="AO420" s="113"/>
      <c r="AP420" s="113"/>
      <c r="AQ420" s="113"/>
      <c r="AR420" s="113"/>
      <c r="AS420" s="113"/>
      <c r="AT420" s="113"/>
      <c r="AU420" s="113"/>
      <c r="AV420" s="113"/>
      <c r="AW420" s="113"/>
      <c r="AX420" s="113"/>
      <c r="AY420" s="113"/>
      <c r="AZ420" s="113"/>
      <c r="BA420" s="113"/>
      <c r="BB420" s="113"/>
      <c r="BC420" s="113"/>
      <c r="BD420" s="113"/>
      <c r="BE420" s="113"/>
      <c r="BF420" s="113"/>
      <c r="BG420" s="113"/>
      <c r="BH420" s="113"/>
      <c r="BI420" s="113"/>
      <c r="BJ420" s="113"/>
      <c r="BK420" s="113"/>
      <c r="BL420" s="113"/>
      <c r="BM420" s="113"/>
      <c r="BN420" s="113"/>
      <c r="BO420" s="113"/>
      <c r="BP420" s="113"/>
      <c r="BQ420" s="113"/>
      <c r="BR420" s="113"/>
      <c r="BS420" s="113"/>
      <c r="BT420" s="113"/>
      <c r="BU420" s="113"/>
      <c r="BV420" s="113"/>
      <c r="BW420" s="113"/>
      <c r="BX420" s="113"/>
      <c r="BY420" s="113"/>
      <c r="BZ420" s="113"/>
      <c r="CA420" s="113"/>
      <c r="CB420" s="113"/>
      <c r="CC420" s="113"/>
    </row>
    <row r="421" spans="1:87" s="32" customFormat="1" ht="15.75" thickBot="1" x14ac:dyDescent="0.25">
      <c r="A421" s="185"/>
      <c r="B421" s="504" t="s">
        <v>121</v>
      </c>
      <c r="C421" s="505"/>
      <c r="D421" s="506"/>
      <c r="F421"/>
      <c r="G421"/>
      <c r="H421"/>
      <c r="I421"/>
      <c r="J421" s="115">
        <f>+J419</f>
        <v>0</v>
      </c>
      <c r="K421" s="115">
        <f>+J421+K419</f>
        <v>0</v>
      </c>
      <c r="L421" s="115">
        <f>+K421+L419</f>
        <v>0</v>
      </c>
      <c r="M421" s="115">
        <f t="shared" ref="M421:BX421" si="101">+L421+M419</f>
        <v>0</v>
      </c>
      <c r="N421" s="115">
        <f t="shared" si="101"/>
        <v>0</v>
      </c>
      <c r="O421" s="115">
        <f t="shared" si="101"/>
        <v>0</v>
      </c>
      <c r="P421" s="115">
        <f t="shared" si="101"/>
        <v>0</v>
      </c>
      <c r="Q421" s="115">
        <f t="shared" si="101"/>
        <v>0</v>
      </c>
      <c r="R421" s="115">
        <f t="shared" si="101"/>
        <v>0</v>
      </c>
      <c r="S421" s="115">
        <f t="shared" si="101"/>
        <v>0</v>
      </c>
      <c r="T421" s="115">
        <f t="shared" si="101"/>
        <v>0</v>
      </c>
      <c r="U421" s="115">
        <f t="shared" si="101"/>
        <v>0</v>
      </c>
      <c r="V421" s="115">
        <f t="shared" si="101"/>
        <v>0</v>
      </c>
      <c r="W421" s="115">
        <f t="shared" si="101"/>
        <v>0</v>
      </c>
      <c r="X421" s="115">
        <f t="shared" si="101"/>
        <v>0</v>
      </c>
      <c r="Y421" s="115">
        <f t="shared" si="101"/>
        <v>0</v>
      </c>
      <c r="Z421" s="115">
        <f t="shared" si="101"/>
        <v>0</v>
      </c>
      <c r="AA421" s="115">
        <f t="shared" si="101"/>
        <v>0</v>
      </c>
      <c r="AB421" s="115">
        <f t="shared" si="101"/>
        <v>0</v>
      </c>
      <c r="AC421" s="115">
        <f t="shared" si="101"/>
        <v>0</v>
      </c>
      <c r="AD421" s="115">
        <f t="shared" si="101"/>
        <v>0</v>
      </c>
      <c r="AE421" s="115">
        <f t="shared" si="101"/>
        <v>0</v>
      </c>
      <c r="AF421" s="115">
        <f t="shared" si="101"/>
        <v>0</v>
      </c>
      <c r="AG421" s="115">
        <f t="shared" si="101"/>
        <v>0</v>
      </c>
      <c r="AH421" s="115">
        <f t="shared" si="101"/>
        <v>0</v>
      </c>
      <c r="AI421" s="115">
        <f t="shared" si="101"/>
        <v>0</v>
      </c>
      <c r="AJ421" s="115">
        <f t="shared" si="101"/>
        <v>0</v>
      </c>
      <c r="AK421" s="115">
        <f t="shared" si="101"/>
        <v>0</v>
      </c>
      <c r="AL421" s="115">
        <f t="shared" si="101"/>
        <v>0</v>
      </c>
      <c r="AM421" s="115">
        <f t="shared" si="101"/>
        <v>0</v>
      </c>
      <c r="AN421" s="115">
        <f t="shared" si="101"/>
        <v>0</v>
      </c>
      <c r="AO421" s="115">
        <f t="shared" si="101"/>
        <v>0</v>
      </c>
      <c r="AP421" s="115">
        <f t="shared" si="101"/>
        <v>0</v>
      </c>
      <c r="AQ421" s="115">
        <f t="shared" si="101"/>
        <v>0</v>
      </c>
      <c r="AR421" s="115">
        <f t="shared" si="101"/>
        <v>0</v>
      </c>
      <c r="AS421" s="115">
        <f t="shared" si="101"/>
        <v>0</v>
      </c>
      <c r="AT421" s="115">
        <f t="shared" si="101"/>
        <v>0</v>
      </c>
      <c r="AU421" s="115">
        <f t="shared" si="101"/>
        <v>0</v>
      </c>
      <c r="AV421" s="115">
        <f t="shared" si="101"/>
        <v>0</v>
      </c>
      <c r="AW421" s="115">
        <f t="shared" si="101"/>
        <v>0</v>
      </c>
      <c r="AX421" s="115">
        <f t="shared" si="101"/>
        <v>0</v>
      </c>
      <c r="AY421" s="115">
        <f t="shared" si="101"/>
        <v>0</v>
      </c>
      <c r="AZ421" s="115">
        <f t="shared" si="101"/>
        <v>0</v>
      </c>
      <c r="BA421" s="115">
        <f t="shared" si="101"/>
        <v>0</v>
      </c>
      <c r="BB421" s="115">
        <f t="shared" si="101"/>
        <v>0</v>
      </c>
      <c r="BC421" s="115">
        <f t="shared" si="101"/>
        <v>0</v>
      </c>
      <c r="BD421" s="115">
        <f t="shared" si="101"/>
        <v>0</v>
      </c>
      <c r="BE421" s="115">
        <f t="shared" si="101"/>
        <v>0</v>
      </c>
      <c r="BF421" s="115">
        <f t="shared" si="101"/>
        <v>0</v>
      </c>
      <c r="BG421" s="115">
        <f t="shared" si="101"/>
        <v>0</v>
      </c>
      <c r="BH421" s="115">
        <f t="shared" si="101"/>
        <v>0</v>
      </c>
      <c r="BI421" s="115">
        <f t="shared" si="101"/>
        <v>0</v>
      </c>
      <c r="BJ421" s="115">
        <f t="shared" si="101"/>
        <v>0</v>
      </c>
      <c r="BK421" s="115">
        <f t="shared" si="101"/>
        <v>0</v>
      </c>
      <c r="BL421" s="115">
        <f t="shared" si="101"/>
        <v>0</v>
      </c>
      <c r="BM421" s="115">
        <f t="shared" si="101"/>
        <v>0</v>
      </c>
      <c r="BN421" s="115">
        <f t="shared" si="101"/>
        <v>0</v>
      </c>
      <c r="BO421" s="115">
        <f t="shared" si="101"/>
        <v>0</v>
      </c>
      <c r="BP421" s="115">
        <f t="shared" si="101"/>
        <v>0</v>
      </c>
      <c r="BQ421" s="115">
        <f t="shared" si="101"/>
        <v>0</v>
      </c>
      <c r="BR421" s="115">
        <f t="shared" si="101"/>
        <v>0</v>
      </c>
      <c r="BS421" s="115">
        <f t="shared" si="101"/>
        <v>0</v>
      </c>
      <c r="BT421" s="115">
        <f t="shared" si="101"/>
        <v>0</v>
      </c>
      <c r="BU421" s="115">
        <f t="shared" si="101"/>
        <v>0</v>
      </c>
      <c r="BV421" s="115">
        <f t="shared" si="101"/>
        <v>0</v>
      </c>
      <c r="BW421" s="115">
        <f t="shared" si="101"/>
        <v>0</v>
      </c>
      <c r="BX421" s="115">
        <f t="shared" si="101"/>
        <v>0</v>
      </c>
      <c r="BY421" s="115">
        <f t="shared" ref="BY421:CC421" si="102">+BX421+BY419</f>
        <v>0</v>
      </c>
      <c r="BZ421" s="115">
        <f t="shared" si="102"/>
        <v>0</v>
      </c>
      <c r="CA421" s="115">
        <f t="shared" si="102"/>
        <v>0</v>
      </c>
      <c r="CB421" s="115">
        <f t="shared" si="102"/>
        <v>0</v>
      </c>
      <c r="CC421" s="115">
        <f t="shared" si="102"/>
        <v>0</v>
      </c>
      <c r="CE421"/>
    </row>
    <row r="422" spans="1:87" ht="5.0999999999999996" customHeight="1" thickBot="1" x14ac:dyDescent="0.25">
      <c r="J422" s="116"/>
      <c r="K422" s="116"/>
      <c r="L422" s="116"/>
      <c r="M422" s="116"/>
      <c r="N422" s="116"/>
      <c r="O422" s="116"/>
      <c r="P422" s="116"/>
      <c r="Q422" s="116"/>
      <c r="R422" s="116"/>
      <c r="S422" s="116"/>
      <c r="T422" s="116"/>
      <c r="U422" s="116"/>
      <c r="V422" s="116"/>
      <c r="W422" s="116"/>
      <c r="X422" s="116"/>
      <c r="Y422" s="116"/>
      <c r="Z422" s="116"/>
      <c r="AA422" s="116"/>
      <c r="AB422" s="116"/>
      <c r="AC422" s="116"/>
      <c r="AD422" s="116"/>
      <c r="AE422" s="116"/>
      <c r="AF422" s="116"/>
      <c r="AG422" s="116"/>
      <c r="AH422" s="116"/>
      <c r="AI422" s="116"/>
      <c r="AJ422" s="116"/>
      <c r="AK422" s="116"/>
      <c r="AL422" s="116"/>
      <c r="AM422" s="116"/>
      <c r="AN422" s="116"/>
      <c r="AO422" s="116"/>
      <c r="AP422" s="116"/>
      <c r="AQ422" s="116"/>
      <c r="AR422" s="116"/>
      <c r="AS422" s="116"/>
      <c r="AT422" s="116"/>
      <c r="AU422" s="116"/>
      <c r="AV422" s="116"/>
      <c r="AW422" s="116"/>
      <c r="AX422" s="116"/>
      <c r="AY422" s="116"/>
      <c r="AZ422" s="116"/>
      <c r="BA422" s="116"/>
      <c r="BB422" s="116"/>
      <c r="BC422" s="116"/>
      <c r="BD422" s="116"/>
      <c r="BE422" s="116"/>
      <c r="BF422" s="116"/>
      <c r="BG422" s="116"/>
      <c r="BH422" s="116"/>
      <c r="BI422" s="116"/>
      <c r="BJ422" s="116"/>
      <c r="BK422" s="116"/>
      <c r="BL422" s="116"/>
      <c r="BM422" s="116"/>
      <c r="BN422" s="116"/>
      <c r="BO422" s="116"/>
      <c r="BP422" s="116"/>
      <c r="BQ422" s="116"/>
      <c r="BR422" s="116"/>
      <c r="BS422" s="116"/>
      <c r="BT422" s="116"/>
      <c r="BU422" s="116"/>
      <c r="BV422" s="116"/>
      <c r="BW422" s="116"/>
      <c r="BX422" s="116"/>
      <c r="BY422" s="116"/>
      <c r="BZ422" s="116"/>
      <c r="CA422" s="116"/>
      <c r="CB422" s="116"/>
      <c r="CC422" s="116"/>
    </row>
    <row r="423" spans="1:87" s="32" customFormat="1" ht="15.75" thickBot="1" x14ac:dyDescent="0.25">
      <c r="A423" s="185"/>
      <c r="B423" s="280" t="s">
        <v>114</v>
      </c>
      <c r="D423" s="315" t="e">
        <f>SUM(J423:CC423)</f>
        <v>#N/A</v>
      </c>
      <c r="F423"/>
      <c r="G423"/>
      <c r="H423"/>
      <c r="I423"/>
      <c r="J423" s="100" t="e">
        <f t="shared" ref="J423:AO423" si="103">IF(($F$419+$F$462)=0,0,+J419/($F$419+$F$462))</f>
        <v>#N/A</v>
      </c>
      <c r="K423" s="100" t="e">
        <f t="shared" si="103"/>
        <v>#N/A</v>
      </c>
      <c r="L423" s="100" t="e">
        <f t="shared" si="103"/>
        <v>#N/A</v>
      </c>
      <c r="M423" s="100" t="e">
        <f t="shared" si="103"/>
        <v>#N/A</v>
      </c>
      <c r="N423" s="100" t="e">
        <f t="shared" si="103"/>
        <v>#N/A</v>
      </c>
      <c r="O423" s="100" t="e">
        <f t="shared" si="103"/>
        <v>#N/A</v>
      </c>
      <c r="P423" s="100" t="e">
        <f t="shared" si="103"/>
        <v>#N/A</v>
      </c>
      <c r="Q423" s="100" t="e">
        <f t="shared" si="103"/>
        <v>#N/A</v>
      </c>
      <c r="R423" s="100" t="e">
        <f t="shared" si="103"/>
        <v>#N/A</v>
      </c>
      <c r="S423" s="100" t="e">
        <f t="shared" si="103"/>
        <v>#N/A</v>
      </c>
      <c r="T423" s="100" t="e">
        <f t="shared" si="103"/>
        <v>#N/A</v>
      </c>
      <c r="U423" s="100" t="e">
        <f t="shared" si="103"/>
        <v>#N/A</v>
      </c>
      <c r="V423" s="100" t="e">
        <f t="shared" si="103"/>
        <v>#N/A</v>
      </c>
      <c r="W423" s="100" t="e">
        <f t="shared" si="103"/>
        <v>#N/A</v>
      </c>
      <c r="X423" s="100" t="e">
        <f t="shared" si="103"/>
        <v>#N/A</v>
      </c>
      <c r="Y423" s="100" t="e">
        <f t="shared" si="103"/>
        <v>#N/A</v>
      </c>
      <c r="Z423" s="100" t="e">
        <f t="shared" si="103"/>
        <v>#N/A</v>
      </c>
      <c r="AA423" s="100" t="e">
        <f t="shared" si="103"/>
        <v>#N/A</v>
      </c>
      <c r="AB423" s="100" t="e">
        <f t="shared" si="103"/>
        <v>#N/A</v>
      </c>
      <c r="AC423" s="100" t="e">
        <f t="shared" si="103"/>
        <v>#N/A</v>
      </c>
      <c r="AD423" s="100" t="e">
        <f t="shared" si="103"/>
        <v>#N/A</v>
      </c>
      <c r="AE423" s="100" t="e">
        <f t="shared" si="103"/>
        <v>#N/A</v>
      </c>
      <c r="AF423" s="100" t="e">
        <f t="shared" si="103"/>
        <v>#N/A</v>
      </c>
      <c r="AG423" s="100" t="e">
        <f t="shared" si="103"/>
        <v>#N/A</v>
      </c>
      <c r="AH423" s="100" t="e">
        <f t="shared" si="103"/>
        <v>#N/A</v>
      </c>
      <c r="AI423" s="100" t="e">
        <f t="shared" si="103"/>
        <v>#N/A</v>
      </c>
      <c r="AJ423" s="100" t="e">
        <f t="shared" si="103"/>
        <v>#N/A</v>
      </c>
      <c r="AK423" s="100" t="e">
        <f t="shared" si="103"/>
        <v>#N/A</v>
      </c>
      <c r="AL423" s="100" t="e">
        <f t="shared" si="103"/>
        <v>#N/A</v>
      </c>
      <c r="AM423" s="100" t="e">
        <f t="shared" si="103"/>
        <v>#N/A</v>
      </c>
      <c r="AN423" s="100" t="e">
        <f t="shared" si="103"/>
        <v>#N/A</v>
      </c>
      <c r="AO423" s="100" t="e">
        <f t="shared" si="103"/>
        <v>#N/A</v>
      </c>
      <c r="AP423" s="100" t="e">
        <f t="shared" ref="AP423:BU423" si="104">IF(($F$419+$F$462)=0,0,+AP419/($F$419+$F$462))</f>
        <v>#N/A</v>
      </c>
      <c r="AQ423" s="100" t="e">
        <f t="shared" si="104"/>
        <v>#N/A</v>
      </c>
      <c r="AR423" s="100" t="e">
        <f t="shared" si="104"/>
        <v>#N/A</v>
      </c>
      <c r="AS423" s="100" t="e">
        <f t="shared" si="104"/>
        <v>#N/A</v>
      </c>
      <c r="AT423" s="100" t="e">
        <f t="shared" si="104"/>
        <v>#N/A</v>
      </c>
      <c r="AU423" s="100" t="e">
        <f t="shared" si="104"/>
        <v>#N/A</v>
      </c>
      <c r="AV423" s="100" t="e">
        <f t="shared" si="104"/>
        <v>#N/A</v>
      </c>
      <c r="AW423" s="100" t="e">
        <f t="shared" si="104"/>
        <v>#N/A</v>
      </c>
      <c r="AX423" s="100" t="e">
        <f t="shared" si="104"/>
        <v>#N/A</v>
      </c>
      <c r="AY423" s="100" t="e">
        <f t="shared" si="104"/>
        <v>#N/A</v>
      </c>
      <c r="AZ423" s="100" t="e">
        <f t="shared" si="104"/>
        <v>#N/A</v>
      </c>
      <c r="BA423" s="100" t="e">
        <f t="shared" si="104"/>
        <v>#N/A</v>
      </c>
      <c r="BB423" s="100" t="e">
        <f t="shared" si="104"/>
        <v>#N/A</v>
      </c>
      <c r="BC423" s="100" t="e">
        <f t="shared" si="104"/>
        <v>#N/A</v>
      </c>
      <c r="BD423" s="100" t="e">
        <f t="shared" si="104"/>
        <v>#N/A</v>
      </c>
      <c r="BE423" s="100" t="e">
        <f t="shared" si="104"/>
        <v>#N/A</v>
      </c>
      <c r="BF423" s="100" t="e">
        <f t="shared" si="104"/>
        <v>#N/A</v>
      </c>
      <c r="BG423" s="100" t="e">
        <f t="shared" si="104"/>
        <v>#N/A</v>
      </c>
      <c r="BH423" s="100" t="e">
        <f t="shared" si="104"/>
        <v>#N/A</v>
      </c>
      <c r="BI423" s="100" t="e">
        <f t="shared" si="104"/>
        <v>#N/A</v>
      </c>
      <c r="BJ423" s="100" t="e">
        <f t="shared" si="104"/>
        <v>#N/A</v>
      </c>
      <c r="BK423" s="100" t="e">
        <f t="shared" si="104"/>
        <v>#N/A</v>
      </c>
      <c r="BL423" s="100" t="e">
        <f t="shared" si="104"/>
        <v>#N/A</v>
      </c>
      <c r="BM423" s="100" t="e">
        <f t="shared" si="104"/>
        <v>#N/A</v>
      </c>
      <c r="BN423" s="100" t="e">
        <f t="shared" si="104"/>
        <v>#N/A</v>
      </c>
      <c r="BO423" s="100" t="e">
        <f t="shared" si="104"/>
        <v>#N/A</v>
      </c>
      <c r="BP423" s="100" t="e">
        <f t="shared" si="104"/>
        <v>#N/A</v>
      </c>
      <c r="BQ423" s="100" t="e">
        <f t="shared" si="104"/>
        <v>#N/A</v>
      </c>
      <c r="BR423" s="100" t="e">
        <f t="shared" si="104"/>
        <v>#N/A</v>
      </c>
      <c r="BS423" s="100" t="e">
        <f t="shared" si="104"/>
        <v>#N/A</v>
      </c>
      <c r="BT423" s="100" t="e">
        <f t="shared" si="104"/>
        <v>#N/A</v>
      </c>
      <c r="BU423" s="100" t="e">
        <f t="shared" si="104"/>
        <v>#N/A</v>
      </c>
      <c r="BV423" s="100" t="e">
        <f t="shared" ref="BV423:CC423" si="105">IF(($F$419+$F$462)=0,0,+BV419/($F$419+$F$462))</f>
        <v>#N/A</v>
      </c>
      <c r="BW423" s="100" t="e">
        <f t="shared" si="105"/>
        <v>#N/A</v>
      </c>
      <c r="BX423" s="100" t="e">
        <f t="shared" si="105"/>
        <v>#N/A</v>
      </c>
      <c r="BY423" s="100" t="e">
        <f t="shared" si="105"/>
        <v>#N/A</v>
      </c>
      <c r="BZ423" s="100" t="e">
        <f t="shared" si="105"/>
        <v>#N/A</v>
      </c>
      <c r="CA423" s="100" t="e">
        <f t="shared" si="105"/>
        <v>#N/A</v>
      </c>
      <c r="CB423" s="100" t="e">
        <f t="shared" si="105"/>
        <v>#N/A</v>
      </c>
      <c r="CC423" s="100" t="e">
        <f t="shared" si="105"/>
        <v>#N/A</v>
      </c>
      <c r="CE423"/>
    </row>
    <row r="424" spans="1:87" ht="5.0999999999999996" customHeight="1" thickBot="1" x14ac:dyDescent="0.25">
      <c r="J424" s="157"/>
      <c r="K424" s="157"/>
      <c r="L424" s="157"/>
      <c r="M424" s="157"/>
      <c r="N424" s="157"/>
      <c r="O424" s="157"/>
      <c r="P424" s="157"/>
      <c r="Q424" s="157"/>
      <c r="R424" s="157"/>
      <c r="S424" s="157"/>
      <c r="T424" s="157"/>
      <c r="U424" s="157"/>
      <c r="V424" s="157"/>
      <c r="W424" s="157"/>
      <c r="X424" s="157"/>
      <c r="Y424" s="157"/>
      <c r="Z424" s="157"/>
      <c r="AA424" s="157"/>
      <c r="AB424" s="157"/>
      <c r="AC424" s="157"/>
      <c r="AD424" s="157"/>
      <c r="AE424" s="157"/>
      <c r="AF424" s="157"/>
      <c r="AG424" s="157"/>
      <c r="AH424" s="157"/>
      <c r="AI424" s="157"/>
      <c r="AJ424" s="157"/>
      <c r="AK424" s="157"/>
      <c r="AL424" s="157"/>
      <c r="AM424" s="157"/>
      <c r="AN424" s="157"/>
      <c r="AO424" s="157"/>
      <c r="AP424" s="157"/>
      <c r="AQ424" s="157"/>
      <c r="AR424" s="157"/>
      <c r="AS424" s="157"/>
      <c r="AT424" s="157"/>
      <c r="AU424" s="157"/>
      <c r="AV424" s="157"/>
      <c r="AW424" s="157"/>
      <c r="AX424" s="157"/>
      <c r="AY424" s="157"/>
      <c r="AZ424" s="157"/>
      <c r="BA424" s="157"/>
      <c r="BB424" s="157"/>
      <c r="BC424" s="157"/>
      <c r="BD424" s="157"/>
      <c r="BE424" s="157"/>
      <c r="BF424" s="157"/>
      <c r="BG424" s="157"/>
      <c r="BH424" s="157"/>
      <c r="BI424" s="157"/>
      <c r="BJ424" s="157"/>
      <c r="BK424" s="157"/>
      <c r="BL424" s="157"/>
      <c r="BM424" s="157"/>
      <c r="BN424" s="157"/>
      <c r="BO424" s="157"/>
      <c r="BP424" s="157"/>
      <c r="BQ424" s="157"/>
      <c r="BR424" s="157"/>
      <c r="BS424" s="157"/>
      <c r="BT424" s="157"/>
      <c r="BU424" s="157"/>
      <c r="BV424" s="157"/>
      <c r="BW424" s="157"/>
      <c r="BX424" s="157"/>
      <c r="BY424" s="157"/>
      <c r="BZ424" s="157"/>
      <c r="CA424" s="157"/>
      <c r="CB424" s="157"/>
      <c r="CC424" s="157"/>
    </row>
    <row r="425" spans="1:87" s="32" customFormat="1" ht="15.75" thickBot="1" x14ac:dyDescent="0.25">
      <c r="A425" s="185"/>
      <c r="B425" s="504" t="s">
        <v>190</v>
      </c>
      <c r="C425" s="505"/>
      <c r="D425" s="506"/>
      <c r="F425"/>
      <c r="G425"/>
      <c r="H425"/>
      <c r="I425"/>
      <c r="J425" s="100" t="e">
        <f>+J423</f>
        <v>#N/A</v>
      </c>
      <c r="K425" s="100" t="e">
        <f>+J425+K423</f>
        <v>#N/A</v>
      </c>
      <c r="L425" s="100" t="e">
        <f>+K425+L423</f>
        <v>#N/A</v>
      </c>
      <c r="M425" s="100" t="e">
        <f>+L425+M423</f>
        <v>#N/A</v>
      </c>
      <c r="N425" s="100" t="e">
        <f t="shared" ref="N425" si="106">+M425+N423</f>
        <v>#N/A</v>
      </c>
      <c r="O425" s="100" t="e">
        <f t="shared" ref="O425" si="107">+N425+O423</f>
        <v>#N/A</v>
      </c>
      <c r="P425" s="100" t="e">
        <f t="shared" ref="P425" si="108">+O425+P423</f>
        <v>#N/A</v>
      </c>
      <c r="Q425" s="100" t="e">
        <f t="shared" ref="Q425" si="109">+P425+Q423</f>
        <v>#N/A</v>
      </c>
      <c r="R425" s="100" t="e">
        <f t="shared" ref="R425" si="110">+Q425+R423</f>
        <v>#N/A</v>
      </c>
      <c r="S425" s="100" t="e">
        <f t="shared" ref="S425" si="111">+R425+S423</f>
        <v>#N/A</v>
      </c>
      <c r="T425" s="100" t="e">
        <f t="shared" ref="T425" si="112">+S425+T423</f>
        <v>#N/A</v>
      </c>
      <c r="U425" s="100" t="e">
        <f t="shared" ref="U425" si="113">+T425+U423</f>
        <v>#N/A</v>
      </c>
      <c r="V425" s="100" t="e">
        <f t="shared" ref="V425" si="114">+U425+V423</f>
        <v>#N/A</v>
      </c>
      <c r="W425" s="100" t="e">
        <f t="shared" ref="W425" si="115">+V425+W423</f>
        <v>#N/A</v>
      </c>
      <c r="X425" s="100" t="e">
        <f t="shared" ref="X425" si="116">+W425+X423</f>
        <v>#N/A</v>
      </c>
      <c r="Y425" s="100" t="e">
        <f t="shared" ref="Y425" si="117">+X425+Y423</f>
        <v>#N/A</v>
      </c>
      <c r="Z425" s="100" t="e">
        <f t="shared" ref="Z425" si="118">+Y425+Z423</f>
        <v>#N/A</v>
      </c>
      <c r="AA425" s="100" t="e">
        <f t="shared" ref="AA425" si="119">+Z425+AA423</f>
        <v>#N/A</v>
      </c>
      <c r="AB425" s="100" t="e">
        <f t="shared" ref="AB425" si="120">+AA425+AB423</f>
        <v>#N/A</v>
      </c>
      <c r="AC425" s="100" t="e">
        <f t="shared" ref="AC425" si="121">+AB425+AC423</f>
        <v>#N/A</v>
      </c>
      <c r="AD425" s="100" t="e">
        <f t="shared" ref="AD425" si="122">+AC425+AD423</f>
        <v>#N/A</v>
      </c>
      <c r="AE425" s="100" t="e">
        <f t="shared" ref="AE425" si="123">+AD425+AE423</f>
        <v>#N/A</v>
      </c>
      <c r="AF425" s="100" t="e">
        <f t="shared" ref="AF425" si="124">+AE425+AF423</f>
        <v>#N/A</v>
      </c>
      <c r="AG425" s="100" t="e">
        <f t="shared" ref="AG425" si="125">+AF425+AG423</f>
        <v>#N/A</v>
      </c>
      <c r="AH425" s="100" t="e">
        <f t="shared" ref="AH425" si="126">+AG425+AH423</f>
        <v>#N/A</v>
      </c>
      <c r="AI425" s="100" t="e">
        <f t="shared" ref="AI425" si="127">+AH425+AI423</f>
        <v>#N/A</v>
      </c>
      <c r="AJ425" s="100" t="e">
        <f t="shared" ref="AJ425" si="128">+AI425+AJ423</f>
        <v>#N/A</v>
      </c>
      <c r="AK425" s="100" t="e">
        <f t="shared" ref="AK425" si="129">+AJ425+AK423</f>
        <v>#N/A</v>
      </c>
      <c r="AL425" s="100" t="e">
        <f t="shared" ref="AL425" si="130">+AK425+AL423</f>
        <v>#N/A</v>
      </c>
      <c r="AM425" s="100" t="e">
        <f t="shared" ref="AM425" si="131">+AL425+AM423</f>
        <v>#N/A</v>
      </c>
      <c r="AN425" s="100" t="e">
        <f t="shared" ref="AN425" si="132">+AM425+AN423</f>
        <v>#N/A</v>
      </c>
      <c r="AO425" s="100" t="e">
        <f t="shared" ref="AO425" si="133">+AN425+AO423</f>
        <v>#N/A</v>
      </c>
      <c r="AP425" s="100" t="e">
        <f t="shared" ref="AP425" si="134">+AO425+AP423</f>
        <v>#N/A</v>
      </c>
      <c r="AQ425" s="100" t="e">
        <f t="shared" ref="AQ425" si="135">+AP425+AQ423</f>
        <v>#N/A</v>
      </c>
      <c r="AR425" s="100" t="e">
        <f t="shared" ref="AR425" si="136">+AQ425+AR423</f>
        <v>#N/A</v>
      </c>
      <c r="AS425" s="100" t="e">
        <f t="shared" ref="AS425" si="137">+AR425+AS423</f>
        <v>#N/A</v>
      </c>
      <c r="AT425" s="100" t="e">
        <f t="shared" ref="AT425" si="138">+AS425+AT423</f>
        <v>#N/A</v>
      </c>
      <c r="AU425" s="100" t="e">
        <f t="shared" ref="AU425" si="139">+AT425+AU423</f>
        <v>#N/A</v>
      </c>
      <c r="AV425" s="100" t="e">
        <f t="shared" ref="AV425" si="140">+AU425+AV423</f>
        <v>#N/A</v>
      </c>
      <c r="AW425" s="100" t="e">
        <f t="shared" ref="AW425" si="141">+AV425+AW423</f>
        <v>#N/A</v>
      </c>
      <c r="AX425" s="100" t="e">
        <f t="shared" ref="AX425" si="142">+AW425+AX423</f>
        <v>#N/A</v>
      </c>
      <c r="AY425" s="100" t="e">
        <f t="shared" ref="AY425" si="143">+AX425+AY423</f>
        <v>#N/A</v>
      </c>
      <c r="AZ425" s="100" t="e">
        <f t="shared" ref="AZ425" si="144">+AY425+AZ423</f>
        <v>#N/A</v>
      </c>
      <c r="BA425" s="100" t="e">
        <f t="shared" ref="BA425" si="145">+AZ425+BA423</f>
        <v>#N/A</v>
      </c>
      <c r="BB425" s="100" t="e">
        <f t="shared" ref="BB425" si="146">+BA425+BB423</f>
        <v>#N/A</v>
      </c>
      <c r="BC425" s="100" t="e">
        <f t="shared" ref="BC425" si="147">+BB425+BC423</f>
        <v>#N/A</v>
      </c>
      <c r="BD425" s="100" t="e">
        <f t="shared" ref="BD425" si="148">+BC425+BD423</f>
        <v>#N/A</v>
      </c>
      <c r="BE425" s="100" t="e">
        <f t="shared" ref="BE425" si="149">+BD425+BE423</f>
        <v>#N/A</v>
      </c>
      <c r="BF425" s="100" t="e">
        <f t="shared" ref="BF425" si="150">+BE425+BF423</f>
        <v>#N/A</v>
      </c>
      <c r="BG425" s="100" t="e">
        <f t="shared" ref="BG425" si="151">+BF425+BG423</f>
        <v>#N/A</v>
      </c>
      <c r="BH425" s="100" t="e">
        <f t="shared" ref="BH425" si="152">+BG425+BH423</f>
        <v>#N/A</v>
      </c>
      <c r="BI425" s="100" t="e">
        <f t="shared" ref="BI425" si="153">+BH425+BI423</f>
        <v>#N/A</v>
      </c>
      <c r="BJ425" s="100" t="e">
        <f t="shared" ref="BJ425" si="154">+BI425+BJ423</f>
        <v>#N/A</v>
      </c>
      <c r="BK425" s="100" t="e">
        <f t="shared" ref="BK425" si="155">+BJ425+BK423</f>
        <v>#N/A</v>
      </c>
      <c r="BL425" s="100" t="e">
        <f t="shared" ref="BL425" si="156">+BK425+BL423</f>
        <v>#N/A</v>
      </c>
      <c r="BM425" s="100" t="e">
        <f t="shared" ref="BM425" si="157">+BL425+BM423</f>
        <v>#N/A</v>
      </c>
      <c r="BN425" s="100" t="e">
        <f t="shared" ref="BN425" si="158">+BM425+BN423</f>
        <v>#N/A</v>
      </c>
      <c r="BO425" s="100" t="e">
        <f t="shared" ref="BO425" si="159">+BN425+BO423</f>
        <v>#N/A</v>
      </c>
      <c r="BP425" s="100" t="e">
        <f t="shared" ref="BP425" si="160">+BO425+BP423</f>
        <v>#N/A</v>
      </c>
      <c r="BQ425" s="100" t="e">
        <f t="shared" ref="BQ425" si="161">+BP425+BQ423</f>
        <v>#N/A</v>
      </c>
      <c r="BR425" s="100" t="e">
        <f t="shared" ref="BR425" si="162">+BQ425+BR423</f>
        <v>#N/A</v>
      </c>
      <c r="BS425" s="100" t="e">
        <f t="shared" ref="BS425" si="163">+BR425+BS423</f>
        <v>#N/A</v>
      </c>
      <c r="BT425" s="100" t="e">
        <f t="shared" ref="BT425" si="164">+BS425+BT423</f>
        <v>#N/A</v>
      </c>
      <c r="BU425" s="100" t="e">
        <f t="shared" ref="BU425" si="165">+BT425+BU423</f>
        <v>#N/A</v>
      </c>
      <c r="BV425" s="100" t="e">
        <f t="shared" ref="BV425" si="166">+BU425+BV423</f>
        <v>#N/A</v>
      </c>
      <c r="BW425" s="100" t="e">
        <f t="shared" ref="BW425" si="167">+BV425+BW423</f>
        <v>#N/A</v>
      </c>
      <c r="BX425" s="100" t="e">
        <f t="shared" ref="BX425" si="168">+BW425+BX423</f>
        <v>#N/A</v>
      </c>
      <c r="BY425" s="100" t="e">
        <f t="shared" ref="BY425" si="169">+BX425+BY423</f>
        <v>#N/A</v>
      </c>
      <c r="BZ425" s="100" t="e">
        <f t="shared" ref="BZ425" si="170">+BY425+BZ423</f>
        <v>#N/A</v>
      </c>
      <c r="CA425" s="100" t="e">
        <f t="shared" ref="CA425" si="171">+BZ425+CA423</f>
        <v>#N/A</v>
      </c>
      <c r="CB425" s="100" t="e">
        <f t="shared" ref="CB425" si="172">+CA425+CB423</f>
        <v>#N/A</v>
      </c>
      <c r="CC425" s="100" t="e">
        <f t="shared" ref="CC425" si="173">+CB425+CC423</f>
        <v>#N/A</v>
      </c>
    </row>
    <row r="426" spans="1:87" ht="5.0999999999999996" customHeight="1" x14ac:dyDescent="0.2"/>
    <row r="427" spans="1:87" s="20" customFormat="1" x14ac:dyDescent="0.2">
      <c r="A427" s="427"/>
      <c r="B427" s="269" t="s">
        <v>191</v>
      </c>
      <c r="C427" s="269"/>
      <c r="D427" s="269"/>
      <c r="E427" s="269"/>
      <c r="F427" s="269"/>
      <c r="G427" s="269"/>
      <c r="H427" s="269"/>
      <c r="I427" s="269"/>
      <c r="J427" s="287"/>
      <c r="K427" s="269"/>
      <c r="L427" s="287"/>
      <c r="M427" s="269"/>
      <c r="N427" s="269"/>
      <c r="O427" s="269"/>
      <c r="P427" s="269"/>
      <c r="Q427" s="269"/>
      <c r="R427" s="269"/>
      <c r="S427" s="269"/>
      <c r="T427" s="269"/>
      <c r="U427" s="269"/>
      <c r="V427" s="269"/>
      <c r="W427" s="269"/>
      <c r="X427" s="269"/>
      <c r="Y427" s="269"/>
      <c r="Z427" s="269"/>
      <c r="AA427" s="269"/>
      <c r="AB427" s="269"/>
      <c r="AC427" s="269"/>
      <c r="AD427" s="269"/>
      <c r="AE427" s="269"/>
      <c r="AF427" s="269"/>
      <c r="AG427" s="269"/>
      <c r="AH427" s="269"/>
      <c r="AI427" s="269"/>
      <c r="AJ427" s="269"/>
      <c r="AK427" s="269"/>
      <c r="AL427" s="269"/>
      <c r="AM427" s="269"/>
      <c r="AN427" s="269"/>
      <c r="AO427" s="269"/>
      <c r="AP427" s="269"/>
      <c r="AQ427" s="269"/>
      <c r="AR427" s="269"/>
      <c r="AS427" s="269"/>
      <c r="AT427" s="269"/>
      <c r="AU427" s="269"/>
      <c r="AV427" s="269"/>
      <c r="AW427" s="269"/>
      <c r="AX427" s="269"/>
      <c r="AY427" s="269"/>
      <c r="AZ427" s="269"/>
      <c r="BA427" s="269"/>
      <c r="BB427" s="269"/>
      <c r="BC427" s="269"/>
      <c r="BD427" s="269"/>
      <c r="BE427" s="269"/>
      <c r="BF427" s="269"/>
      <c r="BG427" s="269"/>
      <c r="BH427" s="269"/>
      <c r="BI427" s="269"/>
      <c r="BJ427" s="269"/>
      <c r="BK427" s="269"/>
      <c r="BL427" s="269"/>
      <c r="BM427" s="269"/>
      <c r="BN427" s="269"/>
      <c r="BO427" s="269"/>
      <c r="BP427" s="269"/>
      <c r="BQ427" s="269"/>
      <c r="BR427" s="269"/>
      <c r="BS427" s="269"/>
      <c r="BT427" s="269"/>
      <c r="BU427" s="269"/>
      <c r="BV427" s="269"/>
      <c r="BW427" s="269"/>
      <c r="BX427" s="269"/>
      <c r="BY427" s="269"/>
      <c r="BZ427" s="269"/>
      <c r="CA427" s="269"/>
      <c r="CB427" s="269"/>
      <c r="CC427" s="269"/>
    </row>
    <row r="428" spans="1:87" ht="5.0999999999999996" customHeight="1" thickBot="1" x14ac:dyDescent="0.25"/>
    <row r="429" spans="1:87" s="32" customFormat="1" ht="28.5" thickBot="1" x14ac:dyDescent="0.25">
      <c r="A429" s="185"/>
      <c r="B429" s="308" t="s">
        <v>106</v>
      </c>
      <c r="C429" s="20"/>
      <c r="D429" s="286" t="s">
        <v>192</v>
      </c>
      <c r="E429" s="20"/>
      <c r="F429" s="286" t="s">
        <v>193</v>
      </c>
      <c r="G429" s="20"/>
      <c r="H429" s="286" t="s">
        <v>194</v>
      </c>
      <c r="J429" s="312" t="e">
        <f t="shared" ref="J429:AO429" si="174">+J388</f>
        <v>#N/A</v>
      </c>
      <c r="K429" s="312" t="e">
        <f t="shared" si="174"/>
        <v>#N/A</v>
      </c>
      <c r="L429" s="312" t="e">
        <f t="shared" si="174"/>
        <v>#N/A</v>
      </c>
      <c r="M429" s="312" t="e">
        <f t="shared" si="174"/>
        <v>#N/A</v>
      </c>
      <c r="N429" s="312" t="e">
        <f t="shared" si="174"/>
        <v>#N/A</v>
      </c>
      <c r="O429" s="312" t="e">
        <f t="shared" si="174"/>
        <v>#N/A</v>
      </c>
      <c r="P429" s="312" t="e">
        <f t="shared" si="174"/>
        <v>#N/A</v>
      </c>
      <c r="Q429" s="312" t="e">
        <f t="shared" si="174"/>
        <v>#N/A</v>
      </c>
      <c r="R429" s="312" t="e">
        <f t="shared" si="174"/>
        <v>#N/A</v>
      </c>
      <c r="S429" s="312" t="e">
        <f t="shared" si="174"/>
        <v>#N/A</v>
      </c>
      <c r="T429" s="312" t="e">
        <f t="shared" si="174"/>
        <v>#N/A</v>
      </c>
      <c r="U429" s="312" t="e">
        <f t="shared" si="174"/>
        <v>#N/A</v>
      </c>
      <c r="V429" s="312" t="e">
        <f t="shared" si="174"/>
        <v>#N/A</v>
      </c>
      <c r="W429" s="312" t="e">
        <f t="shared" si="174"/>
        <v>#N/A</v>
      </c>
      <c r="X429" s="312" t="e">
        <f t="shared" si="174"/>
        <v>#N/A</v>
      </c>
      <c r="Y429" s="312" t="e">
        <f t="shared" si="174"/>
        <v>#N/A</v>
      </c>
      <c r="Z429" s="312" t="e">
        <f t="shared" si="174"/>
        <v>#N/A</v>
      </c>
      <c r="AA429" s="312" t="e">
        <f t="shared" si="174"/>
        <v>#N/A</v>
      </c>
      <c r="AB429" s="312" t="e">
        <f t="shared" si="174"/>
        <v>#N/A</v>
      </c>
      <c r="AC429" s="312" t="e">
        <f t="shared" si="174"/>
        <v>#N/A</v>
      </c>
      <c r="AD429" s="312" t="e">
        <f t="shared" si="174"/>
        <v>#N/A</v>
      </c>
      <c r="AE429" s="312" t="e">
        <f t="shared" si="174"/>
        <v>#N/A</v>
      </c>
      <c r="AF429" s="312" t="e">
        <f t="shared" si="174"/>
        <v>#N/A</v>
      </c>
      <c r="AG429" s="312" t="e">
        <f t="shared" si="174"/>
        <v>#N/A</v>
      </c>
      <c r="AH429" s="312" t="e">
        <f t="shared" si="174"/>
        <v>#N/A</v>
      </c>
      <c r="AI429" s="312" t="e">
        <f t="shared" si="174"/>
        <v>#N/A</v>
      </c>
      <c r="AJ429" s="312" t="e">
        <f t="shared" si="174"/>
        <v>#N/A</v>
      </c>
      <c r="AK429" s="312" t="e">
        <f t="shared" si="174"/>
        <v>#N/A</v>
      </c>
      <c r="AL429" s="312" t="e">
        <f t="shared" si="174"/>
        <v>#N/A</v>
      </c>
      <c r="AM429" s="312" t="e">
        <f t="shared" si="174"/>
        <v>#N/A</v>
      </c>
      <c r="AN429" s="312" t="e">
        <f t="shared" si="174"/>
        <v>#N/A</v>
      </c>
      <c r="AO429" s="312" t="e">
        <f t="shared" si="174"/>
        <v>#N/A</v>
      </c>
      <c r="AP429" s="312" t="e">
        <f t="shared" ref="AP429:BU429" si="175">+AP388</f>
        <v>#N/A</v>
      </c>
      <c r="AQ429" s="312" t="e">
        <f t="shared" si="175"/>
        <v>#N/A</v>
      </c>
      <c r="AR429" s="312" t="e">
        <f t="shared" si="175"/>
        <v>#N/A</v>
      </c>
      <c r="AS429" s="312" t="e">
        <f t="shared" si="175"/>
        <v>#N/A</v>
      </c>
      <c r="AT429" s="312" t="e">
        <f t="shared" si="175"/>
        <v>#N/A</v>
      </c>
      <c r="AU429" s="312" t="e">
        <f t="shared" si="175"/>
        <v>#N/A</v>
      </c>
      <c r="AV429" s="312" t="e">
        <f t="shared" si="175"/>
        <v>#N/A</v>
      </c>
      <c r="AW429" s="312" t="e">
        <f t="shared" si="175"/>
        <v>#N/A</v>
      </c>
      <c r="AX429" s="312" t="e">
        <f t="shared" si="175"/>
        <v>#N/A</v>
      </c>
      <c r="AY429" s="312" t="e">
        <f t="shared" si="175"/>
        <v>#N/A</v>
      </c>
      <c r="AZ429" s="312" t="e">
        <f t="shared" si="175"/>
        <v>#N/A</v>
      </c>
      <c r="BA429" s="312" t="e">
        <f t="shared" si="175"/>
        <v>#N/A</v>
      </c>
      <c r="BB429" s="312" t="e">
        <f t="shared" si="175"/>
        <v>#N/A</v>
      </c>
      <c r="BC429" s="312" t="e">
        <f t="shared" si="175"/>
        <v>#N/A</v>
      </c>
      <c r="BD429" s="312" t="e">
        <f t="shared" si="175"/>
        <v>#N/A</v>
      </c>
      <c r="BE429" s="312" t="e">
        <f t="shared" si="175"/>
        <v>#N/A</v>
      </c>
      <c r="BF429" s="312" t="e">
        <f t="shared" si="175"/>
        <v>#N/A</v>
      </c>
      <c r="BG429" s="312" t="e">
        <f t="shared" si="175"/>
        <v>#N/A</v>
      </c>
      <c r="BH429" s="312" t="e">
        <f t="shared" si="175"/>
        <v>#N/A</v>
      </c>
      <c r="BI429" s="312" t="e">
        <f t="shared" si="175"/>
        <v>#N/A</v>
      </c>
      <c r="BJ429" s="312" t="e">
        <f t="shared" si="175"/>
        <v>#N/A</v>
      </c>
      <c r="BK429" s="312" t="e">
        <f t="shared" si="175"/>
        <v>#N/A</v>
      </c>
      <c r="BL429" s="312" t="e">
        <f t="shared" si="175"/>
        <v>#N/A</v>
      </c>
      <c r="BM429" s="312" t="e">
        <f t="shared" si="175"/>
        <v>#N/A</v>
      </c>
      <c r="BN429" s="312" t="e">
        <f t="shared" si="175"/>
        <v>#N/A</v>
      </c>
      <c r="BO429" s="312" t="e">
        <f t="shared" si="175"/>
        <v>#N/A</v>
      </c>
      <c r="BP429" s="312" t="e">
        <f t="shared" si="175"/>
        <v>#N/A</v>
      </c>
      <c r="BQ429" s="312" t="e">
        <f t="shared" si="175"/>
        <v>#N/A</v>
      </c>
      <c r="BR429" s="312" t="e">
        <f t="shared" si="175"/>
        <v>#N/A</v>
      </c>
      <c r="BS429" s="312" t="e">
        <f t="shared" si="175"/>
        <v>#N/A</v>
      </c>
      <c r="BT429" s="312" t="e">
        <f t="shared" si="175"/>
        <v>#N/A</v>
      </c>
      <c r="BU429" s="312" t="e">
        <f t="shared" si="175"/>
        <v>#N/A</v>
      </c>
      <c r="BV429" s="312" t="e">
        <f t="shared" ref="BV429:CC429" si="176">+BV388</f>
        <v>#N/A</v>
      </c>
      <c r="BW429" s="312" t="e">
        <f t="shared" si="176"/>
        <v>#N/A</v>
      </c>
      <c r="BX429" s="312" t="e">
        <f t="shared" si="176"/>
        <v>#N/A</v>
      </c>
      <c r="BY429" s="312" t="e">
        <f t="shared" si="176"/>
        <v>#N/A</v>
      </c>
      <c r="BZ429" s="312" t="e">
        <f t="shared" si="176"/>
        <v>#N/A</v>
      </c>
      <c r="CA429" s="312" t="e">
        <f t="shared" si="176"/>
        <v>#N/A</v>
      </c>
      <c r="CB429" s="312" t="e">
        <f t="shared" si="176"/>
        <v>#N/A</v>
      </c>
      <c r="CC429" s="312" t="e">
        <f t="shared" si="176"/>
        <v>#N/A</v>
      </c>
    </row>
    <row r="430" spans="1:87" s="32" customFormat="1" ht="5.0999999999999996" customHeight="1" thickBot="1" x14ac:dyDescent="0.25">
      <c r="A430" s="185"/>
      <c r="J430" s="208"/>
    </row>
    <row r="431" spans="1:87" s="32" customFormat="1" ht="20.25" customHeight="1" thickBot="1" x14ac:dyDescent="0.25">
      <c r="A431" s="185"/>
      <c r="B431" s="184">
        <f ca="1">INDIRECT("B" &amp; (157 + ROWS($A$1:A1)))</f>
        <v>0</v>
      </c>
      <c r="D431" s="100" t="e">
        <f t="shared" ref="D431:D439" si="177">IF(($F$419+$F$462)=0,0,H431/($F$419+$F$462))</f>
        <v>#N/A</v>
      </c>
      <c r="E431"/>
      <c r="F431" s="203">
        <f>SUM(J431:CC431)</f>
        <v>0</v>
      </c>
      <c r="G431"/>
      <c r="H431" s="306" t="e">
        <f>SUMPRODUCT(J431:CC431,$J$326:$CC$326)</f>
        <v>#N/A</v>
      </c>
      <c r="I431"/>
      <c r="J431" s="365">
        <v>0</v>
      </c>
      <c r="K431" s="365">
        <v>0</v>
      </c>
      <c r="L431" s="365">
        <v>0</v>
      </c>
      <c r="M431" s="365">
        <v>0</v>
      </c>
      <c r="N431" s="365">
        <v>0</v>
      </c>
      <c r="O431" s="365">
        <v>0</v>
      </c>
      <c r="P431" s="365">
        <v>0</v>
      </c>
      <c r="Q431" s="365">
        <v>0</v>
      </c>
      <c r="R431" s="365">
        <v>0</v>
      </c>
      <c r="S431" s="365">
        <v>0</v>
      </c>
      <c r="T431" s="365">
        <v>0</v>
      </c>
      <c r="U431" s="365">
        <v>0</v>
      </c>
      <c r="V431" s="365">
        <v>0</v>
      </c>
      <c r="W431" s="365">
        <v>0</v>
      </c>
      <c r="X431" s="365">
        <v>0</v>
      </c>
      <c r="Y431" s="365">
        <v>0</v>
      </c>
      <c r="Z431" s="365">
        <v>0</v>
      </c>
      <c r="AA431" s="365">
        <v>0</v>
      </c>
      <c r="AB431" s="365">
        <v>0</v>
      </c>
      <c r="AC431" s="365">
        <v>0</v>
      </c>
      <c r="AD431" s="365">
        <v>0</v>
      </c>
      <c r="AE431" s="365">
        <v>0</v>
      </c>
      <c r="AF431" s="365">
        <v>0</v>
      </c>
      <c r="AG431" s="365">
        <v>0</v>
      </c>
      <c r="AH431" s="365">
        <v>0</v>
      </c>
      <c r="AI431" s="365">
        <v>0</v>
      </c>
      <c r="AJ431" s="365">
        <v>0</v>
      </c>
      <c r="AK431" s="365">
        <v>0</v>
      </c>
      <c r="AL431" s="365">
        <v>0</v>
      </c>
      <c r="AM431" s="365">
        <v>0</v>
      </c>
      <c r="AN431" s="365">
        <v>0</v>
      </c>
      <c r="AO431" s="365">
        <v>0</v>
      </c>
      <c r="AP431" s="365">
        <v>0</v>
      </c>
      <c r="AQ431" s="365">
        <v>0</v>
      </c>
      <c r="AR431" s="365">
        <v>0</v>
      </c>
      <c r="AS431" s="365">
        <v>0</v>
      </c>
      <c r="AT431" s="365">
        <v>0</v>
      </c>
      <c r="AU431" s="365">
        <v>0</v>
      </c>
      <c r="AV431" s="365">
        <v>0</v>
      </c>
      <c r="AW431" s="365">
        <v>0</v>
      </c>
      <c r="AX431" s="365">
        <v>0</v>
      </c>
      <c r="AY431" s="365">
        <v>0</v>
      </c>
      <c r="AZ431" s="365">
        <v>0</v>
      </c>
      <c r="BA431" s="365">
        <v>0</v>
      </c>
      <c r="BB431" s="365">
        <v>0</v>
      </c>
      <c r="BC431" s="365">
        <v>0</v>
      </c>
      <c r="BD431" s="365">
        <v>0</v>
      </c>
      <c r="BE431" s="365">
        <v>0</v>
      </c>
      <c r="BF431" s="365">
        <v>0</v>
      </c>
      <c r="BG431" s="365">
        <v>0</v>
      </c>
      <c r="BH431" s="365">
        <v>0</v>
      </c>
      <c r="BI431" s="365">
        <v>0</v>
      </c>
      <c r="BJ431" s="365">
        <v>0</v>
      </c>
      <c r="BK431" s="365">
        <v>0</v>
      </c>
      <c r="BL431" s="365">
        <v>0</v>
      </c>
      <c r="BM431" s="365">
        <v>0</v>
      </c>
      <c r="BN431" s="365">
        <v>0</v>
      </c>
      <c r="BO431" s="365">
        <v>0</v>
      </c>
      <c r="BP431" s="365">
        <v>0</v>
      </c>
      <c r="BQ431" s="365">
        <v>0</v>
      </c>
      <c r="BR431" s="365">
        <v>0</v>
      </c>
      <c r="BS431" s="365">
        <v>0</v>
      </c>
      <c r="BT431" s="365">
        <v>0</v>
      </c>
      <c r="BU431" s="365">
        <v>0</v>
      </c>
      <c r="BV431" s="365">
        <v>0</v>
      </c>
      <c r="BW431" s="365">
        <v>0</v>
      </c>
      <c r="BX431" s="365">
        <v>0</v>
      </c>
      <c r="BY431" s="365">
        <v>0</v>
      </c>
      <c r="BZ431" s="365">
        <v>0</v>
      </c>
      <c r="CA431" s="365">
        <v>0</v>
      </c>
      <c r="CB431" s="365">
        <v>0</v>
      </c>
      <c r="CC431" s="365">
        <v>0</v>
      </c>
    </row>
    <row r="432" spans="1:87" s="32" customFormat="1" ht="20.25" customHeight="1" thickBot="1" x14ac:dyDescent="0.25">
      <c r="A432" s="185"/>
      <c r="B432" s="184">
        <f ca="1">INDIRECT("B" &amp; (157 + ROWS($A$1:A2)))</f>
        <v>0</v>
      </c>
      <c r="D432" s="100" t="e">
        <f t="shared" si="177"/>
        <v>#N/A</v>
      </c>
      <c r="E432"/>
      <c r="F432" s="203">
        <f t="shared" ref="F432:F457" si="178">SUM(J432:CC432)</f>
        <v>0</v>
      </c>
      <c r="G432"/>
      <c r="H432" s="306" t="e">
        <f t="shared" ref="H432:H457" si="179">SUMPRODUCT(J432:CC432,$J$326:$CC$326)</f>
        <v>#N/A</v>
      </c>
      <c r="I432"/>
      <c r="J432" s="365">
        <v>0</v>
      </c>
      <c r="K432" s="365">
        <v>0</v>
      </c>
      <c r="L432" s="365">
        <v>0</v>
      </c>
      <c r="M432" s="365">
        <v>0</v>
      </c>
      <c r="N432" s="365">
        <v>0</v>
      </c>
      <c r="O432" s="365">
        <v>0</v>
      </c>
      <c r="P432" s="365">
        <v>0</v>
      </c>
      <c r="Q432" s="365">
        <v>0</v>
      </c>
      <c r="R432" s="365">
        <v>0</v>
      </c>
      <c r="S432" s="365">
        <v>0</v>
      </c>
      <c r="T432" s="365">
        <v>0</v>
      </c>
      <c r="U432" s="365">
        <v>0</v>
      </c>
      <c r="V432" s="365">
        <v>0</v>
      </c>
      <c r="W432" s="365">
        <v>0</v>
      </c>
      <c r="X432" s="365">
        <v>0</v>
      </c>
      <c r="Y432" s="365">
        <v>0</v>
      </c>
      <c r="Z432" s="365">
        <v>0</v>
      </c>
      <c r="AA432" s="365">
        <v>0</v>
      </c>
      <c r="AB432" s="365">
        <v>0</v>
      </c>
      <c r="AC432" s="365">
        <v>0</v>
      </c>
      <c r="AD432" s="365">
        <v>0</v>
      </c>
      <c r="AE432" s="365">
        <v>0</v>
      </c>
      <c r="AF432" s="365">
        <v>0</v>
      </c>
      <c r="AG432" s="365">
        <v>0</v>
      </c>
      <c r="AH432" s="365">
        <v>0</v>
      </c>
      <c r="AI432" s="365">
        <v>0</v>
      </c>
      <c r="AJ432" s="365">
        <v>0</v>
      </c>
      <c r="AK432" s="365">
        <v>0</v>
      </c>
      <c r="AL432" s="365">
        <v>0</v>
      </c>
      <c r="AM432" s="365">
        <v>0</v>
      </c>
      <c r="AN432" s="365">
        <v>0</v>
      </c>
      <c r="AO432" s="365">
        <v>0</v>
      </c>
      <c r="AP432" s="365">
        <v>0</v>
      </c>
      <c r="AQ432" s="365">
        <v>0</v>
      </c>
      <c r="AR432" s="365">
        <v>0</v>
      </c>
      <c r="AS432" s="365">
        <v>0</v>
      </c>
      <c r="AT432" s="365">
        <v>0</v>
      </c>
      <c r="AU432" s="365">
        <v>0</v>
      </c>
      <c r="AV432" s="365">
        <v>0</v>
      </c>
      <c r="AW432" s="365">
        <v>0</v>
      </c>
      <c r="AX432" s="365">
        <v>0</v>
      </c>
      <c r="AY432" s="365">
        <v>0</v>
      </c>
      <c r="AZ432" s="365">
        <v>0</v>
      </c>
      <c r="BA432" s="365">
        <v>0</v>
      </c>
      <c r="BB432" s="365">
        <v>0</v>
      </c>
      <c r="BC432" s="365">
        <v>0</v>
      </c>
      <c r="BD432" s="365">
        <v>0</v>
      </c>
      <c r="BE432" s="365">
        <v>0</v>
      </c>
      <c r="BF432" s="365">
        <v>0</v>
      </c>
      <c r="BG432" s="365">
        <v>0</v>
      </c>
      <c r="BH432" s="365">
        <v>0</v>
      </c>
      <c r="BI432" s="365">
        <v>0</v>
      </c>
      <c r="BJ432" s="365">
        <v>0</v>
      </c>
      <c r="BK432" s="365">
        <v>0</v>
      </c>
      <c r="BL432" s="365">
        <v>0</v>
      </c>
      <c r="BM432" s="365">
        <v>0</v>
      </c>
      <c r="BN432" s="365">
        <v>0</v>
      </c>
      <c r="BO432" s="365">
        <v>0</v>
      </c>
      <c r="BP432" s="365">
        <v>0</v>
      </c>
      <c r="BQ432" s="365">
        <v>0</v>
      </c>
      <c r="BR432" s="365">
        <v>0</v>
      </c>
      <c r="BS432" s="365">
        <v>0</v>
      </c>
      <c r="BT432" s="365">
        <v>0</v>
      </c>
      <c r="BU432" s="365">
        <v>0</v>
      </c>
      <c r="BV432" s="365">
        <v>0</v>
      </c>
      <c r="BW432" s="365">
        <v>0</v>
      </c>
      <c r="BX432" s="365">
        <v>0</v>
      </c>
      <c r="BY432" s="365">
        <v>0</v>
      </c>
      <c r="BZ432" s="365">
        <v>0</v>
      </c>
      <c r="CA432" s="365">
        <v>0</v>
      </c>
      <c r="CB432" s="365">
        <v>0</v>
      </c>
      <c r="CC432" s="365">
        <v>0</v>
      </c>
    </row>
    <row r="433" spans="1:84" s="32" customFormat="1" ht="20.25" customHeight="1" thickBot="1" x14ac:dyDescent="0.25">
      <c r="A433" s="185"/>
      <c r="B433" s="184">
        <f ca="1">INDIRECT("B" &amp; (157 + ROWS($A$1:A3)))</f>
        <v>0</v>
      </c>
      <c r="D433" s="100" t="e">
        <f t="shared" si="177"/>
        <v>#N/A</v>
      </c>
      <c r="E433"/>
      <c r="F433" s="203">
        <f t="shared" si="178"/>
        <v>0</v>
      </c>
      <c r="G433"/>
      <c r="H433" s="306" t="e">
        <f t="shared" si="179"/>
        <v>#N/A</v>
      </c>
      <c r="I433"/>
      <c r="J433" s="365">
        <v>0</v>
      </c>
      <c r="K433" s="365">
        <v>0</v>
      </c>
      <c r="L433" s="365">
        <v>0</v>
      </c>
      <c r="M433" s="365">
        <v>0</v>
      </c>
      <c r="N433" s="365">
        <v>0</v>
      </c>
      <c r="O433" s="365">
        <v>0</v>
      </c>
      <c r="P433" s="365">
        <v>0</v>
      </c>
      <c r="Q433" s="365">
        <v>0</v>
      </c>
      <c r="R433" s="365">
        <v>0</v>
      </c>
      <c r="S433" s="365">
        <v>0</v>
      </c>
      <c r="T433" s="365">
        <v>0</v>
      </c>
      <c r="U433" s="365">
        <v>0</v>
      </c>
      <c r="V433" s="365">
        <v>0</v>
      </c>
      <c r="W433" s="365">
        <v>0</v>
      </c>
      <c r="X433" s="365">
        <v>0</v>
      </c>
      <c r="Y433" s="365">
        <v>0</v>
      </c>
      <c r="Z433" s="365">
        <v>0</v>
      </c>
      <c r="AA433" s="365">
        <v>0</v>
      </c>
      <c r="AB433" s="365">
        <v>0</v>
      </c>
      <c r="AC433" s="365">
        <v>0</v>
      </c>
      <c r="AD433" s="365">
        <v>0</v>
      </c>
      <c r="AE433" s="365">
        <v>0</v>
      </c>
      <c r="AF433" s="365">
        <v>0</v>
      </c>
      <c r="AG433" s="365">
        <v>0</v>
      </c>
      <c r="AH433" s="365">
        <v>0</v>
      </c>
      <c r="AI433" s="365">
        <v>0</v>
      </c>
      <c r="AJ433" s="365">
        <v>0</v>
      </c>
      <c r="AK433" s="365">
        <v>0</v>
      </c>
      <c r="AL433" s="365">
        <v>0</v>
      </c>
      <c r="AM433" s="365">
        <v>0</v>
      </c>
      <c r="AN433" s="365">
        <v>0</v>
      </c>
      <c r="AO433" s="365">
        <v>0</v>
      </c>
      <c r="AP433" s="365">
        <v>0</v>
      </c>
      <c r="AQ433" s="365">
        <v>0</v>
      </c>
      <c r="AR433" s="365">
        <v>0</v>
      </c>
      <c r="AS433" s="365">
        <v>0</v>
      </c>
      <c r="AT433" s="365">
        <v>0</v>
      </c>
      <c r="AU433" s="365">
        <v>0</v>
      </c>
      <c r="AV433" s="365">
        <v>0</v>
      </c>
      <c r="AW433" s="365">
        <v>0</v>
      </c>
      <c r="AX433" s="365">
        <v>0</v>
      </c>
      <c r="AY433" s="365">
        <v>0</v>
      </c>
      <c r="AZ433" s="365">
        <v>0</v>
      </c>
      <c r="BA433" s="365">
        <v>0</v>
      </c>
      <c r="BB433" s="365">
        <v>0</v>
      </c>
      <c r="BC433" s="365">
        <v>0</v>
      </c>
      <c r="BD433" s="365">
        <v>0</v>
      </c>
      <c r="BE433" s="365">
        <v>0</v>
      </c>
      <c r="BF433" s="365">
        <v>0</v>
      </c>
      <c r="BG433" s="365">
        <v>0</v>
      </c>
      <c r="BH433" s="365">
        <v>0</v>
      </c>
      <c r="BI433" s="365">
        <v>0</v>
      </c>
      <c r="BJ433" s="365">
        <v>0</v>
      </c>
      <c r="BK433" s="365">
        <v>0</v>
      </c>
      <c r="BL433" s="365">
        <v>0</v>
      </c>
      <c r="BM433" s="365">
        <v>0</v>
      </c>
      <c r="BN433" s="365">
        <v>0</v>
      </c>
      <c r="BO433" s="365">
        <v>0</v>
      </c>
      <c r="BP433" s="365">
        <v>0</v>
      </c>
      <c r="BQ433" s="365">
        <v>0</v>
      </c>
      <c r="BR433" s="365">
        <v>0</v>
      </c>
      <c r="BS433" s="365">
        <v>0</v>
      </c>
      <c r="BT433" s="365">
        <v>0</v>
      </c>
      <c r="BU433" s="365">
        <v>0</v>
      </c>
      <c r="BV433" s="365">
        <v>0</v>
      </c>
      <c r="BW433" s="365">
        <v>0</v>
      </c>
      <c r="BX433" s="365">
        <v>0</v>
      </c>
      <c r="BY433" s="365">
        <v>0</v>
      </c>
      <c r="BZ433" s="365">
        <v>0</v>
      </c>
      <c r="CA433" s="365">
        <v>0</v>
      </c>
      <c r="CB433" s="365">
        <v>0</v>
      </c>
      <c r="CC433" s="365">
        <v>0</v>
      </c>
      <c r="CF433" s="215"/>
    </row>
    <row r="434" spans="1:84" s="32" customFormat="1" ht="20.25" customHeight="1" thickBot="1" x14ac:dyDescent="0.25">
      <c r="A434" s="185"/>
      <c r="B434" s="184">
        <f ca="1">INDIRECT("B" &amp; (157 + ROWS($A$1:A4)))</f>
        <v>0</v>
      </c>
      <c r="D434" s="100" t="e">
        <f t="shared" si="177"/>
        <v>#N/A</v>
      </c>
      <c r="E434"/>
      <c r="F434" s="203">
        <f t="shared" si="178"/>
        <v>0</v>
      </c>
      <c r="G434"/>
      <c r="H434" s="306" t="e">
        <f t="shared" si="179"/>
        <v>#N/A</v>
      </c>
      <c r="I434"/>
      <c r="J434" s="365">
        <v>0</v>
      </c>
      <c r="K434" s="365">
        <v>0</v>
      </c>
      <c r="L434" s="365">
        <v>0</v>
      </c>
      <c r="M434" s="365">
        <v>0</v>
      </c>
      <c r="N434" s="365">
        <v>0</v>
      </c>
      <c r="O434" s="365">
        <v>0</v>
      </c>
      <c r="P434" s="365">
        <v>0</v>
      </c>
      <c r="Q434" s="365">
        <v>0</v>
      </c>
      <c r="R434" s="365">
        <v>0</v>
      </c>
      <c r="S434" s="365">
        <v>0</v>
      </c>
      <c r="T434" s="365">
        <v>0</v>
      </c>
      <c r="U434" s="365">
        <v>0</v>
      </c>
      <c r="V434" s="365">
        <v>0</v>
      </c>
      <c r="W434" s="365">
        <v>0</v>
      </c>
      <c r="X434" s="365">
        <v>0</v>
      </c>
      <c r="Y434" s="365">
        <v>0</v>
      </c>
      <c r="Z434" s="365">
        <v>0</v>
      </c>
      <c r="AA434" s="365">
        <v>0</v>
      </c>
      <c r="AB434" s="365">
        <v>0</v>
      </c>
      <c r="AC434" s="365">
        <v>0</v>
      </c>
      <c r="AD434" s="365">
        <v>0</v>
      </c>
      <c r="AE434" s="365">
        <v>0</v>
      </c>
      <c r="AF434" s="365">
        <v>0</v>
      </c>
      <c r="AG434" s="365">
        <v>0</v>
      </c>
      <c r="AH434" s="365">
        <v>0</v>
      </c>
      <c r="AI434" s="365">
        <v>0</v>
      </c>
      <c r="AJ434" s="365">
        <v>0</v>
      </c>
      <c r="AK434" s="365">
        <v>0</v>
      </c>
      <c r="AL434" s="365">
        <v>0</v>
      </c>
      <c r="AM434" s="365">
        <v>0</v>
      </c>
      <c r="AN434" s="365">
        <v>0</v>
      </c>
      <c r="AO434" s="365">
        <v>0</v>
      </c>
      <c r="AP434" s="365">
        <v>0</v>
      </c>
      <c r="AQ434" s="365">
        <v>0</v>
      </c>
      <c r="AR434" s="365">
        <v>0</v>
      </c>
      <c r="AS434" s="365">
        <v>0</v>
      </c>
      <c r="AT434" s="365">
        <v>0</v>
      </c>
      <c r="AU434" s="365">
        <v>0</v>
      </c>
      <c r="AV434" s="365">
        <v>0</v>
      </c>
      <c r="AW434" s="365">
        <v>0</v>
      </c>
      <c r="AX434" s="365">
        <v>0</v>
      </c>
      <c r="AY434" s="365">
        <v>0</v>
      </c>
      <c r="AZ434" s="365">
        <v>0</v>
      </c>
      <c r="BA434" s="365">
        <v>0</v>
      </c>
      <c r="BB434" s="365">
        <v>0</v>
      </c>
      <c r="BC434" s="365">
        <v>0</v>
      </c>
      <c r="BD434" s="365">
        <v>0</v>
      </c>
      <c r="BE434" s="365">
        <v>0</v>
      </c>
      <c r="BF434" s="365">
        <v>0</v>
      </c>
      <c r="BG434" s="365">
        <v>0</v>
      </c>
      <c r="BH434" s="365">
        <v>0</v>
      </c>
      <c r="BI434" s="365">
        <v>0</v>
      </c>
      <c r="BJ434" s="365">
        <v>0</v>
      </c>
      <c r="BK434" s="365">
        <v>0</v>
      </c>
      <c r="BL434" s="365">
        <v>0</v>
      </c>
      <c r="BM434" s="365">
        <v>0</v>
      </c>
      <c r="BN434" s="365">
        <v>0</v>
      </c>
      <c r="BO434" s="365">
        <v>0</v>
      </c>
      <c r="BP434" s="365">
        <v>0</v>
      </c>
      <c r="BQ434" s="365">
        <v>0</v>
      </c>
      <c r="BR434" s="365">
        <v>0</v>
      </c>
      <c r="BS434" s="365">
        <v>0</v>
      </c>
      <c r="BT434" s="365">
        <v>0</v>
      </c>
      <c r="BU434" s="365">
        <v>0</v>
      </c>
      <c r="BV434" s="365">
        <v>0</v>
      </c>
      <c r="BW434" s="365">
        <v>0</v>
      </c>
      <c r="BX434" s="365">
        <v>0</v>
      </c>
      <c r="BY434" s="365">
        <v>0</v>
      </c>
      <c r="BZ434" s="365">
        <v>0</v>
      </c>
      <c r="CA434" s="365">
        <v>0</v>
      </c>
      <c r="CB434" s="365">
        <v>0</v>
      </c>
      <c r="CC434" s="365">
        <v>0</v>
      </c>
    </row>
    <row r="435" spans="1:84" s="32" customFormat="1" ht="20.25" customHeight="1" thickBot="1" x14ac:dyDescent="0.25">
      <c r="A435" s="185"/>
      <c r="B435" s="184">
        <f ca="1">INDIRECT("B" &amp; (157 + ROWS($A$1:A5)))</f>
        <v>0</v>
      </c>
      <c r="D435" s="100" t="e">
        <f t="shared" si="177"/>
        <v>#N/A</v>
      </c>
      <c r="E435"/>
      <c r="F435" s="203">
        <f t="shared" si="178"/>
        <v>0</v>
      </c>
      <c r="G435"/>
      <c r="H435" s="306" t="e">
        <f t="shared" si="179"/>
        <v>#N/A</v>
      </c>
      <c r="I435"/>
      <c r="J435" s="365">
        <v>0</v>
      </c>
      <c r="K435" s="365">
        <v>0</v>
      </c>
      <c r="L435" s="365">
        <v>0</v>
      </c>
      <c r="M435" s="365">
        <v>0</v>
      </c>
      <c r="N435" s="365">
        <v>0</v>
      </c>
      <c r="O435" s="365">
        <v>0</v>
      </c>
      <c r="P435" s="365">
        <v>0</v>
      </c>
      <c r="Q435" s="365">
        <v>0</v>
      </c>
      <c r="R435" s="365">
        <v>0</v>
      </c>
      <c r="S435" s="365">
        <v>0</v>
      </c>
      <c r="T435" s="365">
        <v>0</v>
      </c>
      <c r="U435" s="365">
        <v>0</v>
      </c>
      <c r="V435" s="365">
        <v>0</v>
      </c>
      <c r="W435" s="365">
        <v>0</v>
      </c>
      <c r="X435" s="365">
        <v>0</v>
      </c>
      <c r="Y435" s="365">
        <v>0</v>
      </c>
      <c r="Z435" s="365">
        <v>0</v>
      </c>
      <c r="AA435" s="365">
        <v>0</v>
      </c>
      <c r="AB435" s="365">
        <v>0</v>
      </c>
      <c r="AC435" s="365">
        <v>0</v>
      </c>
      <c r="AD435" s="365">
        <v>0</v>
      </c>
      <c r="AE435" s="365">
        <v>0</v>
      </c>
      <c r="AF435" s="365">
        <v>0</v>
      </c>
      <c r="AG435" s="365">
        <v>0</v>
      </c>
      <c r="AH435" s="365">
        <v>0</v>
      </c>
      <c r="AI435" s="365">
        <v>0</v>
      </c>
      <c r="AJ435" s="365">
        <v>0</v>
      </c>
      <c r="AK435" s="365">
        <v>0</v>
      </c>
      <c r="AL435" s="365">
        <v>0</v>
      </c>
      <c r="AM435" s="365">
        <v>0</v>
      </c>
      <c r="AN435" s="365">
        <v>0</v>
      </c>
      <c r="AO435" s="365">
        <v>0</v>
      </c>
      <c r="AP435" s="365">
        <v>0</v>
      </c>
      <c r="AQ435" s="365">
        <v>0</v>
      </c>
      <c r="AR435" s="365">
        <v>0</v>
      </c>
      <c r="AS435" s="365">
        <v>0</v>
      </c>
      <c r="AT435" s="365">
        <v>0</v>
      </c>
      <c r="AU435" s="365">
        <v>0</v>
      </c>
      <c r="AV435" s="365">
        <v>0</v>
      </c>
      <c r="AW435" s="365">
        <v>0</v>
      </c>
      <c r="AX435" s="365">
        <v>0</v>
      </c>
      <c r="AY435" s="365">
        <v>0</v>
      </c>
      <c r="AZ435" s="365">
        <v>0</v>
      </c>
      <c r="BA435" s="365">
        <v>0</v>
      </c>
      <c r="BB435" s="365">
        <v>0</v>
      </c>
      <c r="BC435" s="365">
        <v>0</v>
      </c>
      <c r="BD435" s="365">
        <v>0</v>
      </c>
      <c r="BE435" s="365">
        <v>0</v>
      </c>
      <c r="BF435" s="365">
        <v>0</v>
      </c>
      <c r="BG435" s="365">
        <v>0</v>
      </c>
      <c r="BH435" s="365">
        <v>0</v>
      </c>
      <c r="BI435" s="365">
        <v>0</v>
      </c>
      <c r="BJ435" s="365">
        <v>0</v>
      </c>
      <c r="BK435" s="365">
        <v>0</v>
      </c>
      <c r="BL435" s="365">
        <v>0</v>
      </c>
      <c r="BM435" s="365">
        <v>0</v>
      </c>
      <c r="BN435" s="365">
        <v>0</v>
      </c>
      <c r="BO435" s="365">
        <v>0</v>
      </c>
      <c r="BP435" s="365">
        <v>0</v>
      </c>
      <c r="BQ435" s="365">
        <v>0</v>
      </c>
      <c r="BR435" s="365">
        <v>0</v>
      </c>
      <c r="BS435" s="365">
        <v>0</v>
      </c>
      <c r="BT435" s="365">
        <v>0</v>
      </c>
      <c r="BU435" s="365">
        <v>0</v>
      </c>
      <c r="BV435" s="365">
        <v>0</v>
      </c>
      <c r="BW435" s="365">
        <v>0</v>
      </c>
      <c r="BX435" s="365">
        <v>0</v>
      </c>
      <c r="BY435" s="365">
        <v>0</v>
      </c>
      <c r="BZ435" s="365">
        <v>0</v>
      </c>
      <c r="CA435" s="365">
        <v>0</v>
      </c>
      <c r="CB435" s="365">
        <v>0</v>
      </c>
      <c r="CC435" s="365">
        <v>0</v>
      </c>
    </row>
    <row r="436" spans="1:84" s="32" customFormat="1" ht="20.25" customHeight="1" thickBot="1" x14ac:dyDescent="0.25">
      <c r="A436" s="185"/>
      <c r="B436" s="184">
        <f ca="1">INDIRECT("B" &amp; (157 + ROWS($A$1:A6)))</f>
        <v>0</v>
      </c>
      <c r="D436" s="100" t="e">
        <f t="shared" si="177"/>
        <v>#N/A</v>
      </c>
      <c r="E436"/>
      <c r="F436" s="203">
        <f t="shared" si="178"/>
        <v>0</v>
      </c>
      <c r="G436"/>
      <c r="H436" s="306" t="e">
        <f t="shared" si="179"/>
        <v>#N/A</v>
      </c>
      <c r="I436"/>
      <c r="J436" s="365">
        <v>0</v>
      </c>
      <c r="K436" s="365">
        <v>0</v>
      </c>
      <c r="L436" s="365">
        <v>0</v>
      </c>
      <c r="M436" s="365">
        <v>0</v>
      </c>
      <c r="N436" s="365">
        <v>0</v>
      </c>
      <c r="O436" s="365">
        <v>0</v>
      </c>
      <c r="P436" s="365">
        <v>0</v>
      </c>
      <c r="Q436" s="365">
        <v>0</v>
      </c>
      <c r="R436" s="365">
        <v>0</v>
      </c>
      <c r="S436" s="365">
        <v>0</v>
      </c>
      <c r="T436" s="365">
        <v>0</v>
      </c>
      <c r="U436" s="365">
        <v>0</v>
      </c>
      <c r="V436" s="365">
        <v>0</v>
      </c>
      <c r="W436" s="365">
        <v>0</v>
      </c>
      <c r="X436" s="365">
        <v>0</v>
      </c>
      <c r="Y436" s="365">
        <v>0</v>
      </c>
      <c r="Z436" s="365">
        <v>0</v>
      </c>
      <c r="AA436" s="365">
        <v>0</v>
      </c>
      <c r="AB436" s="365">
        <v>0</v>
      </c>
      <c r="AC436" s="365">
        <v>0</v>
      </c>
      <c r="AD436" s="365">
        <v>0</v>
      </c>
      <c r="AE436" s="365">
        <v>0</v>
      </c>
      <c r="AF436" s="365">
        <v>0</v>
      </c>
      <c r="AG436" s="365">
        <v>0</v>
      </c>
      <c r="AH436" s="365">
        <v>0</v>
      </c>
      <c r="AI436" s="365">
        <v>0</v>
      </c>
      <c r="AJ436" s="365">
        <v>0</v>
      </c>
      <c r="AK436" s="365">
        <v>0</v>
      </c>
      <c r="AL436" s="365">
        <v>0</v>
      </c>
      <c r="AM436" s="365">
        <v>0</v>
      </c>
      <c r="AN436" s="365">
        <v>0</v>
      </c>
      <c r="AO436" s="365">
        <v>0</v>
      </c>
      <c r="AP436" s="365">
        <v>0</v>
      </c>
      <c r="AQ436" s="365">
        <v>0</v>
      </c>
      <c r="AR436" s="365">
        <v>0</v>
      </c>
      <c r="AS436" s="365">
        <v>0</v>
      </c>
      <c r="AT436" s="365">
        <v>0</v>
      </c>
      <c r="AU436" s="365">
        <v>0</v>
      </c>
      <c r="AV436" s="365">
        <v>0</v>
      </c>
      <c r="AW436" s="365">
        <v>0</v>
      </c>
      <c r="AX436" s="365">
        <v>0</v>
      </c>
      <c r="AY436" s="365">
        <v>0</v>
      </c>
      <c r="AZ436" s="365">
        <v>0</v>
      </c>
      <c r="BA436" s="365">
        <v>0</v>
      </c>
      <c r="BB436" s="365">
        <v>0</v>
      </c>
      <c r="BC436" s="365">
        <v>0</v>
      </c>
      <c r="BD436" s="365">
        <v>0</v>
      </c>
      <c r="BE436" s="365">
        <v>0</v>
      </c>
      <c r="BF436" s="365">
        <v>0</v>
      </c>
      <c r="BG436" s="365">
        <v>0</v>
      </c>
      <c r="BH436" s="365">
        <v>0</v>
      </c>
      <c r="BI436" s="365">
        <v>0</v>
      </c>
      <c r="BJ436" s="365">
        <v>0</v>
      </c>
      <c r="BK436" s="365">
        <v>0</v>
      </c>
      <c r="BL436" s="365">
        <v>0</v>
      </c>
      <c r="BM436" s="365">
        <v>0</v>
      </c>
      <c r="BN436" s="365">
        <v>0</v>
      </c>
      <c r="BO436" s="365">
        <v>0</v>
      </c>
      <c r="BP436" s="365">
        <v>0</v>
      </c>
      <c r="BQ436" s="365">
        <v>0</v>
      </c>
      <c r="BR436" s="365">
        <v>0</v>
      </c>
      <c r="BS436" s="365">
        <v>0</v>
      </c>
      <c r="BT436" s="365">
        <v>0</v>
      </c>
      <c r="BU436" s="365">
        <v>0</v>
      </c>
      <c r="BV436" s="365">
        <v>0</v>
      </c>
      <c r="BW436" s="365">
        <v>0</v>
      </c>
      <c r="BX436" s="365">
        <v>0</v>
      </c>
      <c r="BY436" s="365">
        <v>0</v>
      </c>
      <c r="BZ436" s="365">
        <v>0</v>
      </c>
      <c r="CA436" s="365">
        <v>0</v>
      </c>
      <c r="CB436" s="365">
        <v>0</v>
      </c>
      <c r="CC436" s="365">
        <v>0</v>
      </c>
      <c r="CF436" s="215"/>
    </row>
    <row r="437" spans="1:84" s="32" customFormat="1" ht="20.25" customHeight="1" thickBot="1" x14ac:dyDescent="0.25">
      <c r="A437" s="185"/>
      <c r="B437" s="184">
        <f ca="1">INDIRECT("B" &amp; (157 + ROWS($A$1:A7)))</f>
        <v>0</v>
      </c>
      <c r="D437" s="100" t="e">
        <f t="shared" si="177"/>
        <v>#N/A</v>
      </c>
      <c r="E437"/>
      <c r="F437" s="203">
        <f t="shared" si="178"/>
        <v>0</v>
      </c>
      <c r="G437"/>
      <c r="H437" s="306" t="e">
        <f t="shared" si="179"/>
        <v>#N/A</v>
      </c>
      <c r="I437"/>
      <c r="J437" s="365">
        <v>0</v>
      </c>
      <c r="K437" s="365">
        <v>0</v>
      </c>
      <c r="L437" s="365">
        <v>0</v>
      </c>
      <c r="M437" s="365">
        <v>0</v>
      </c>
      <c r="N437" s="365">
        <v>0</v>
      </c>
      <c r="O437" s="365">
        <v>0</v>
      </c>
      <c r="P437" s="365">
        <v>0</v>
      </c>
      <c r="Q437" s="365">
        <v>0</v>
      </c>
      <c r="R437" s="365">
        <v>0</v>
      </c>
      <c r="S437" s="365">
        <v>0</v>
      </c>
      <c r="T437" s="365">
        <v>0</v>
      </c>
      <c r="U437" s="365">
        <v>0</v>
      </c>
      <c r="V437" s="365">
        <v>0</v>
      </c>
      <c r="W437" s="365">
        <v>0</v>
      </c>
      <c r="X437" s="365">
        <v>0</v>
      </c>
      <c r="Y437" s="365">
        <v>0</v>
      </c>
      <c r="Z437" s="365">
        <v>0</v>
      </c>
      <c r="AA437" s="365">
        <v>0</v>
      </c>
      <c r="AB437" s="365">
        <v>0</v>
      </c>
      <c r="AC437" s="365">
        <v>0</v>
      </c>
      <c r="AD437" s="365">
        <v>0</v>
      </c>
      <c r="AE437" s="365">
        <v>0</v>
      </c>
      <c r="AF437" s="365">
        <v>0</v>
      </c>
      <c r="AG437" s="365">
        <v>0</v>
      </c>
      <c r="AH437" s="365">
        <v>0</v>
      </c>
      <c r="AI437" s="365">
        <v>0</v>
      </c>
      <c r="AJ437" s="365">
        <v>0</v>
      </c>
      <c r="AK437" s="365">
        <v>0</v>
      </c>
      <c r="AL437" s="365">
        <v>0</v>
      </c>
      <c r="AM437" s="365">
        <v>0</v>
      </c>
      <c r="AN437" s="365">
        <v>0</v>
      </c>
      <c r="AO437" s="365">
        <v>0</v>
      </c>
      <c r="AP437" s="365">
        <v>0</v>
      </c>
      <c r="AQ437" s="365">
        <v>0</v>
      </c>
      <c r="AR437" s="365">
        <v>0</v>
      </c>
      <c r="AS437" s="365">
        <v>0</v>
      </c>
      <c r="AT437" s="365">
        <v>0</v>
      </c>
      <c r="AU437" s="365">
        <v>0</v>
      </c>
      <c r="AV437" s="365">
        <v>0</v>
      </c>
      <c r="AW437" s="365">
        <v>0</v>
      </c>
      <c r="AX437" s="365">
        <v>0</v>
      </c>
      <c r="AY437" s="365">
        <v>0</v>
      </c>
      <c r="AZ437" s="365">
        <v>0</v>
      </c>
      <c r="BA437" s="365">
        <v>0</v>
      </c>
      <c r="BB437" s="365">
        <v>0</v>
      </c>
      <c r="BC437" s="365">
        <v>0</v>
      </c>
      <c r="BD437" s="365">
        <v>0</v>
      </c>
      <c r="BE437" s="365">
        <v>0</v>
      </c>
      <c r="BF437" s="365">
        <v>0</v>
      </c>
      <c r="BG437" s="365">
        <v>0</v>
      </c>
      <c r="BH437" s="365">
        <v>0</v>
      </c>
      <c r="BI437" s="365">
        <v>0</v>
      </c>
      <c r="BJ437" s="365">
        <v>0</v>
      </c>
      <c r="BK437" s="365">
        <v>0</v>
      </c>
      <c r="BL437" s="365">
        <v>0</v>
      </c>
      <c r="BM437" s="365">
        <v>0</v>
      </c>
      <c r="BN437" s="365">
        <v>0</v>
      </c>
      <c r="BO437" s="365">
        <v>0</v>
      </c>
      <c r="BP437" s="365">
        <v>0</v>
      </c>
      <c r="BQ437" s="365">
        <v>0</v>
      </c>
      <c r="BR437" s="365">
        <v>0</v>
      </c>
      <c r="BS437" s="365">
        <v>0</v>
      </c>
      <c r="BT437" s="365">
        <v>0</v>
      </c>
      <c r="BU437" s="365">
        <v>0</v>
      </c>
      <c r="BV437" s="365">
        <v>0</v>
      </c>
      <c r="BW437" s="365">
        <v>0</v>
      </c>
      <c r="BX437" s="365">
        <v>0</v>
      </c>
      <c r="BY437" s="365">
        <v>0</v>
      </c>
      <c r="BZ437" s="365">
        <v>0</v>
      </c>
      <c r="CA437" s="365">
        <v>0</v>
      </c>
      <c r="CB437" s="365">
        <v>0</v>
      </c>
      <c r="CC437" s="365">
        <v>0</v>
      </c>
    </row>
    <row r="438" spans="1:84" s="32" customFormat="1" ht="20.25" customHeight="1" thickBot="1" x14ac:dyDescent="0.25">
      <c r="A438" s="185"/>
      <c r="B438" s="184">
        <f ca="1">INDIRECT("B" &amp; (157 + ROWS($A$1:A8)))</f>
        <v>0</v>
      </c>
      <c r="D438" s="100" t="e">
        <f t="shared" si="177"/>
        <v>#N/A</v>
      </c>
      <c r="E438"/>
      <c r="F438" s="203">
        <f t="shared" si="178"/>
        <v>0</v>
      </c>
      <c r="G438"/>
      <c r="H438" s="306" t="e">
        <f t="shared" si="179"/>
        <v>#N/A</v>
      </c>
      <c r="I438"/>
      <c r="J438" s="365">
        <v>0</v>
      </c>
      <c r="K438" s="365">
        <v>0</v>
      </c>
      <c r="L438" s="365">
        <v>0</v>
      </c>
      <c r="M438" s="365">
        <v>0</v>
      </c>
      <c r="N438" s="365">
        <v>0</v>
      </c>
      <c r="O438" s="365">
        <v>0</v>
      </c>
      <c r="P438" s="365">
        <v>0</v>
      </c>
      <c r="Q438" s="365">
        <v>0</v>
      </c>
      <c r="R438" s="365">
        <v>0</v>
      </c>
      <c r="S438" s="365">
        <v>0</v>
      </c>
      <c r="T438" s="365">
        <v>0</v>
      </c>
      <c r="U438" s="365">
        <v>0</v>
      </c>
      <c r="V438" s="365">
        <v>0</v>
      </c>
      <c r="W438" s="365">
        <v>0</v>
      </c>
      <c r="X438" s="365">
        <v>0</v>
      </c>
      <c r="Y438" s="365">
        <v>0</v>
      </c>
      <c r="Z438" s="365">
        <v>0</v>
      </c>
      <c r="AA438" s="365">
        <v>0</v>
      </c>
      <c r="AB438" s="365">
        <v>0</v>
      </c>
      <c r="AC438" s="365">
        <v>0</v>
      </c>
      <c r="AD438" s="365">
        <v>0</v>
      </c>
      <c r="AE438" s="365">
        <v>0</v>
      </c>
      <c r="AF438" s="365">
        <v>0</v>
      </c>
      <c r="AG438" s="365">
        <v>0</v>
      </c>
      <c r="AH438" s="365">
        <v>0</v>
      </c>
      <c r="AI438" s="365">
        <v>0</v>
      </c>
      <c r="AJ438" s="365">
        <v>0</v>
      </c>
      <c r="AK438" s="365">
        <v>0</v>
      </c>
      <c r="AL438" s="365">
        <v>0</v>
      </c>
      <c r="AM438" s="365">
        <v>0</v>
      </c>
      <c r="AN438" s="365">
        <v>0</v>
      </c>
      <c r="AO438" s="365">
        <v>0</v>
      </c>
      <c r="AP438" s="365">
        <v>0</v>
      </c>
      <c r="AQ438" s="365">
        <v>0</v>
      </c>
      <c r="AR438" s="365">
        <v>0</v>
      </c>
      <c r="AS438" s="365">
        <v>0</v>
      </c>
      <c r="AT438" s="365">
        <v>0</v>
      </c>
      <c r="AU438" s="365">
        <v>0</v>
      </c>
      <c r="AV438" s="365">
        <v>0</v>
      </c>
      <c r="AW438" s="365">
        <v>0</v>
      </c>
      <c r="AX438" s="365">
        <v>0</v>
      </c>
      <c r="AY438" s="365">
        <v>0</v>
      </c>
      <c r="AZ438" s="365">
        <v>0</v>
      </c>
      <c r="BA438" s="365">
        <v>0</v>
      </c>
      <c r="BB438" s="365">
        <v>0</v>
      </c>
      <c r="BC438" s="365">
        <v>0</v>
      </c>
      <c r="BD438" s="365">
        <v>0</v>
      </c>
      <c r="BE438" s="365">
        <v>0</v>
      </c>
      <c r="BF438" s="365">
        <v>0</v>
      </c>
      <c r="BG438" s="365">
        <v>0</v>
      </c>
      <c r="BH438" s="365">
        <v>0</v>
      </c>
      <c r="BI438" s="365">
        <v>0</v>
      </c>
      <c r="BJ438" s="365">
        <v>0</v>
      </c>
      <c r="BK438" s="365">
        <v>0</v>
      </c>
      <c r="BL438" s="365">
        <v>0</v>
      </c>
      <c r="BM438" s="365">
        <v>0</v>
      </c>
      <c r="BN438" s="365">
        <v>0</v>
      </c>
      <c r="BO438" s="365">
        <v>0</v>
      </c>
      <c r="BP438" s="365">
        <v>0</v>
      </c>
      <c r="BQ438" s="365">
        <v>0</v>
      </c>
      <c r="BR438" s="365">
        <v>0</v>
      </c>
      <c r="BS438" s="365">
        <v>0</v>
      </c>
      <c r="BT438" s="365">
        <v>0</v>
      </c>
      <c r="BU438" s="365">
        <v>0</v>
      </c>
      <c r="BV438" s="365">
        <v>0</v>
      </c>
      <c r="BW438" s="365">
        <v>0</v>
      </c>
      <c r="BX438" s="365">
        <v>0</v>
      </c>
      <c r="BY438" s="365">
        <v>0</v>
      </c>
      <c r="BZ438" s="365">
        <v>0</v>
      </c>
      <c r="CA438" s="365">
        <v>0</v>
      </c>
      <c r="CB438" s="365">
        <v>0</v>
      </c>
      <c r="CC438" s="365">
        <v>0</v>
      </c>
    </row>
    <row r="439" spans="1:84" s="32" customFormat="1" ht="20.25" customHeight="1" thickBot="1" x14ac:dyDescent="0.25">
      <c r="A439" s="185"/>
      <c r="B439" s="184">
        <f ca="1">INDIRECT("B" &amp; (157 + ROWS($A$1:A9)))</f>
        <v>0</v>
      </c>
      <c r="D439" s="100" t="e">
        <f t="shared" si="177"/>
        <v>#N/A</v>
      </c>
      <c r="E439"/>
      <c r="F439" s="203">
        <f t="shared" si="178"/>
        <v>0</v>
      </c>
      <c r="G439"/>
      <c r="H439" s="306" t="e">
        <f t="shared" si="179"/>
        <v>#N/A</v>
      </c>
      <c r="I439"/>
      <c r="J439" s="365">
        <v>0</v>
      </c>
      <c r="K439" s="365">
        <v>0</v>
      </c>
      <c r="L439" s="365">
        <v>0</v>
      </c>
      <c r="M439" s="365">
        <v>0</v>
      </c>
      <c r="N439" s="365">
        <v>0</v>
      </c>
      <c r="O439" s="365">
        <v>0</v>
      </c>
      <c r="P439" s="365">
        <v>0</v>
      </c>
      <c r="Q439" s="365">
        <v>0</v>
      </c>
      <c r="R439" s="365">
        <v>0</v>
      </c>
      <c r="S439" s="365">
        <v>0</v>
      </c>
      <c r="T439" s="365">
        <v>0</v>
      </c>
      <c r="U439" s="365">
        <v>0</v>
      </c>
      <c r="V439" s="365">
        <v>0</v>
      </c>
      <c r="W439" s="365">
        <v>0</v>
      </c>
      <c r="X439" s="365">
        <v>0</v>
      </c>
      <c r="Y439" s="365">
        <v>0</v>
      </c>
      <c r="Z439" s="365">
        <v>0</v>
      </c>
      <c r="AA439" s="365">
        <v>0</v>
      </c>
      <c r="AB439" s="365">
        <v>0</v>
      </c>
      <c r="AC439" s="365">
        <v>0</v>
      </c>
      <c r="AD439" s="365">
        <v>0</v>
      </c>
      <c r="AE439" s="365">
        <v>0</v>
      </c>
      <c r="AF439" s="365">
        <v>0</v>
      </c>
      <c r="AG439" s="365">
        <v>0</v>
      </c>
      <c r="AH439" s="365">
        <v>0</v>
      </c>
      <c r="AI439" s="365">
        <v>0</v>
      </c>
      <c r="AJ439" s="365">
        <v>0</v>
      </c>
      <c r="AK439" s="365">
        <v>0</v>
      </c>
      <c r="AL439" s="365">
        <v>0</v>
      </c>
      <c r="AM439" s="365">
        <v>0</v>
      </c>
      <c r="AN439" s="365">
        <v>0</v>
      </c>
      <c r="AO439" s="365">
        <v>0</v>
      </c>
      <c r="AP439" s="365">
        <v>0</v>
      </c>
      <c r="AQ439" s="365">
        <v>0</v>
      </c>
      <c r="AR439" s="365">
        <v>0</v>
      </c>
      <c r="AS439" s="365">
        <v>0</v>
      </c>
      <c r="AT439" s="365">
        <v>0</v>
      </c>
      <c r="AU439" s="365">
        <v>0</v>
      </c>
      <c r="AV439" s="365">
        <v>0</v>
      </c>
      <c r="AW439" s="365">
        <v>0</v>
      </c>
      <c r="AX439" s="365">
        <v>0</v>
      </c>
      <c r="AY439" s="365">
        <v>0</v>
      </c>
      <c r="AZ439" s="365">
        <v>0</v>
      </c>
      <c r="BA439" s="365">
        <v>0</v>
      </c>
      <c r="BB439" s="365">
        <v>0</v>
      </c>
      <c r="BC439" s="365">
        <v>0</v>
      </c>
      <c r="BD439" s="365">
        <v>0</v>
      </c>
      <c r="BE439" s="365">
        <v>0</v>
      </c>
      <c r="BF439" s="365">
        <v>0</v>
      </c>
      <c r="BG439" s="365">
        <v>0</v>
      </c>
      <c r="BH439" s="365">
        <v>0</v>
      </c>
      <c r="BI439" s="365">
        <v>0</v>
      </c>
      <c r="BJ439" s="365">
        <v>0</v>
      </c>
      <c r="BK439" s="365">
        <v>0</v>
      </c>
      <c r="BL439" s="365">
        <v>0</v>
      </c>
      <c r="BM439" s="365">
        <v>0</v>
      </c>
      <c r="BN439" s="365">
        <v>0</v>
      </c>
      <c r="BO439" s="365">
        <v>0</v>
      </c>
      <c r="BP439" s="365">
        <v>0</v>
      </c>
      <c r="BQ439" s="365">
        <v>0</v>
      </c>
      <c r="BR439" s="365">
        <v>0</v>
      </c>
      <c r="BS439" s="365">
        <v>0</v>
      </c>
      <c r="BT439" s="365">
        <v>0</v>
      </c>
      <c r="BU439" s="365">
        <v>0</v>
      </c>
      <c r="BV439" s="365">
        <v>0</v>
      </c>
      <c r="BW439" s="365">
        <v>0</v>
      </c>
      <c r="BX439" s="365">
        <v>0</v>
      </c>
      <c r="BY439" s="365">
        <v>0</v>
      </c>
      <c r="BZ439" s="365">
        <v>0</v>
      </c>
      <c r="CA439" s="365">
        <v>0</v>
      </c>
      <c r="CB439" s="365">
        <v>0</v>
      </c>
      <c r="CC439" s="365">
        <v>0</v>
      </c>
    </row>
    <row r="440" spans="1:84" s="32" customFormat="1" ht="20.25" customHeight="1" thickBot="1" x14ac:dyDescent="0.25">
      <c r="A440" s="185"/>
      <c r="B440" s="184">
        <f ca="1">INDIRECT("B" &amp; (157 + ROWS($A$1:A10)))</f>
        <v>0</v>
      </c>
      <c r="D440" s="100" t="e">
        <f t="shared" ref="D440:D457" si="180">IF(($F$419+$F$462)=0,0,H440/($F$419+$F$462))</f>
        <v>#N/A</v>
      </c>
      <c r="E440"/>
      <c r="F440" s="203">
        <f t="shared" si="178"/>
        <v>0</v>
      </c>
      <c r="G440"/>
      <c r="H440" s="306" t="e">
        <f t="shared" si="179"/>
        <v>#N/A</v>
      </c>
      <c r="I440"/>
      <c r="J440" s="365">
        <v>0</v>
      </c>
      <c r="K440" s="365">
        <v>0</v>
      </c>
      <c r="L440" s="365">
        <v>0</v>
      </c>
      <c r="M440" s="365">
        <v>0</v>
      </c>
      <c r="N440" s="365">
        <v>0</v>
      </c>
      <c r="O440" s="365">
        <v>0</v>
      </c>
      <c r="P440" s="365">
        <v>0</v>
      </c>
      <c r="Q440" s="365">
        <v>0</v>
      </c>
      <c r="R440" s="365">
        <v>0</v>
      </c>
      <c r="S440" s="365">
        <v>0</v>
      </c>
      <c r="T440" s="365">
        <v>0</v>
      </c>
      <c r="U440" s="365">
        <v>0</v>
      </c>
      <c r="V440" s="365">
        <v>0</v>
      </c>
      <c r="W440" s="365">
        <v>0</v>
      </c>
      <c r="X440" s="365">
        <v>0</v>
      </c>
      <c r="Y440" s="365">
        <v>0</v>
      </c>
      <c r="Z440" s="365">
        <v>0</v>
      </c>
      <c r="AA440" s="365">
        <v>0</v>
      </c>
      <c r="AB440" s="365">
        <v>0</v>
      </c>
      <c r="AC440" s="365">
        <v>0</v>
      </c>
      <c r="AD440" s="365">
        <v>0</v>
      </c>
      <c r="AE440" s="365">
        <v>0</v>
      </c>
      <c r="AF440" s="365">
        <v>0</v>
      </c>
      <c r="AG440" s="365">
        <v>0</v>
      </c>
      <c r="AH440" s="365">
        <v>0</v>
      </c>
      <c r="AI440" s="365">
        <v>0</v>
      </c>
      <c r="AJ440" s="365">
        <v>0</v>
      </c>
      <c r="AK440" s="365">
        <v>0</v>
      </c>
      <c r="AL440" s="365">
        <v>0</v>
      </c>
      <c r="AM440" s="365">
        <v>0</v>
      </c>
      <c r="AN440" s="365">
        <v>0</v>
      </c>
      <c r="AO440" s="365">
        <v>0</v>
      </c>
      <c r="AP440" s="365">
        <v>0</v>
      </c>
      <c r="AQ440" s="365">
        <v>0</v>
      </c>
      <c r="AR440" s="365">
        <v>0</v>
      </c>
      <c r="AS440" s="365">
        <v>0</v>
      </c>
      <c r="AT440" s="365">
        <v>0</v>
      </c>
      <c r="AU440" s="365">
        <v>0</v>
      </c>
      <c r="AV440" s="365">
        <v>0</v>
      </c>
      <c r="AW440" s="365">
        <v>0</v>
      </c>
      <c r="AX440" s="365">
        <v>0</v>
      </c>
      <c r="AY440" s="365">
        <v>0</v>
      </c>
      <c r="AZ440" s="365">
        <v>0</v>
      </c>
      <c r="BA440" s="365">
        <v>0</v>
      </c>
      <c r="BB440" s="365">
        <v>0</v>
      </c>
      <c r="BC440" s="365">
        <v>0</v>
      </c>
      <c r="BD440" s="365">
        <v>0</v>
      </c>
      <c r="BE440" s="365">
        <v>0</v>
      </c>
      <c r="BF440" s="365">
        <v>0</v>
      </c>
      <c r="BG440" s="365">
        <v>0</v>
      </c>
      <c r="BH440" s="365">
        <v>0</v>
      </c>
      <c r="BI440" s="365">
        <v>0</v>
      </c>
      <c r="BJ440" s="365">
        <v>0</v>
      </c>
      <c r="BK440" s="365">
        <v>0</v>
      </c>
      <c r="BL440" s="365">
        <v>0</v>
      </c>
      <c r="BM440" s="365">
        <v>0</v>
      </c>
      <c r="BN440" s="365">
        <v>0</v>
      </c>
      <c r="BO440" s="365">
        <v>0</v>
      </c>
      <c r="BP440" s="365">
        <v>0</v>
      </c>
      <c r="BQ440" s="365">
        <v>0</v>
      </c>
      <c r="BR440" s="365">
        <v>0</v>
      </c>
      <c r="BS440" s="365">
        <v>0</v>
      </c>
      <c r="BT440" s="365">
        <v>0</v>
      </c>
      <c r="BU440" s="365">
        <v>0</v>
      </c>
      <c r="BV440" s="365">
        <v>0</v>
      </c>
      <c r="BW440" s="365">
        <v>0</v>
      </c>
      <c r="BX440" s="365">
        <v>0</v>
      </c>
      <c r="BY440" s="365">
        <v>0</v>
      </c>
      <c r="BZ440" s="365">
        <v>0</v>
      </c>
      <c r="CA440" s="365">
        <v>0</v>
      </c>
      <c r="CB440" s="365">
        <v>0</v>
      </c>
      <c r="CC440" s="365">
        <v>0</v>
      </c>
      <c r="CF440" s="215"/>
    </row>
    <row r="441" spans="1:84" s="32" customFormat="1" ht="20.25" customHeight="1" thickBot="1" x14ac:dyDescent="0.25">
      <c r="A441" s="185"/>
      <c r="B441" s="184">
        <f ca="1">INDIRECT("B" &amp; (157 + ROWS($A$1:A11)))</f>
        <v>0</v>
      </c>
      <c r="D441" s="100" t="e">
        <f t="shared" si="180"/>
        <v>#N/A</v>
      </c>
      <c r="E441"/>
      <c r="F441" s="203">
        <f t="shared" si="178"/>
        <v>0</v>
      </c>
      <c r="G441"/>
      <c r="H441" s="306" t="e">
        <f t="shared" si="179"/>
        <v>#N/A</v>
      </c>
      <c r="I441"/>
      <c r="J441" s="365">
        <v>0</v>
      </c>
      <c r="K441" s="365">
        <v>0</v>
      </c>
      <c r="L441" s="365">
        <v>0</v>
      </c>
      <c r="M441" s="365">
        <v>0</v>
      </c>
      <c r="N441" s="365">
        <v>0</v>
      </c>
      <c r="O441" s="365">
        <v>0</v>
      </c>
      <c r="P441" s="365">
        <v>0</v>
      </c>
      <c r="Q441" s="365">
        <v>0</v>
      </c>
      <c r="R441" s="365">
        <v>0</v>
      </c>
      <c r="S441" s="365">
        <v>0</v>
      </c>
      <c r="T441" s="365">
        <v>0</v>
      </c>
      <c r="U441" s="365">
        <v>0</v>
      </c>
      <c r="V441" s="365">
        <v>0</v>
      </c>
      <c r="W441" s="365">
        <v>0</v>
      </c>
      <c r="X441" s="365">
        <v>0</v>
      </c>
      <c r="Y441" s="365">
        <v>0</v>
      </c>
      <c r="Z441" s="365">
        <v>0</v>
      </c>
      <c r="AA441" s="365">
        <v>0</v>
      </c>
      <c r="AB441" s="365">
        <v>0</v>
      </c>
      <c r="AC441" s="365">
        <v>0</v>
      </c>
      <c r="AD441" s="365">
        <v>0</v>
      </c>
      <c r="AE441" s="365">
        <v>0</v>
      </c>
      <c r="AF441" s="365">
        <v>0</v>
      </c>
      <c r="AG441" s="365">
        <v>0</v>
      </c>
      <c r="AH441" s="365">
        <v>0</v>
      </c>
      <c r="AI441" s="365">
        <v>0</v>
      </c>
      <c r="AJ441" s="365">
        <v>0</v>
      </c>
      <c r="AK441" s="365">
        <v>0</v>
      </c>
      <c r="AL441" s="365">
        <v>0</v>
      </c>
      <c r="AM441" s="365">
        <v>0</v>
      </c>
      <c r="AN441" s="365">
        <v>0</v>
      </c>
      <c r="AO441" s="365">
        <v>0</v>
      </c>
      <c r="AP441" s="365">
        <v>0</v>
      </c>
      <c r="AQ441" s="365">
        <v>0</v>
      </c>
      <c r="AR441" s="365">
        <v>0</v>
      </c>
      <c r="AS441" s="365">
        <v>0</v>
      </c>
      <c r="AT441" s="365">
        <v>0</v>
      </c>
      <c r="AU441" s="365">
        <v>0</v>
      </c>
      <c r="AV441" s="365">
        <v>0</v>
      </c>
      <c r="AW441" s="365">
        <v>0</v>
      </c>
      <c r="AX441" s="365">
        <v>0</v>
      </c>
      <c r="AY441" s="365">
        <v>0</v>
      </c>
      <c r="AZ441" s="365">
        <v>0</v>
      </c>
      <c r="BA441" s="365">
        <v>0</v>
      </c>
      <c r="BB441" s="365">
        <v>0</v>
      </c>
      <c r="BC441" s="365">
        <v>0</v>
      </c>
      <c r="BD441" s="365">
        <v>0</v>
      </c>
      <c r="BE441" s="365">
        <v>0</v>
      </c>
      <c r="BF441" s="365">
        <v>0</v>
      </c>
      <c r="BG441" s="365">
        <v>0</v>
      </c>
      <c r="BH441" s="365">
        <v>0</v>
      </c>
      <c r="BI441" s="365">
        <v>0</v>
      </c>
      <c r="BJ441" s="365">
        <v>0</v>
      </c>
      <c r="BK441" s="365">
        <v>0</v>
      </c>
      <c r="BL441" s="365">
        <v>0</v>
      </c>
      <c r="BM441" s="365">
        <v>0</v>
      </c>
      <c r="BN441" s="365">
        <v>0</v>
      </c>
      <c r="BO441" s="365">
        <v>0</v>
      </c>
      <c r="BP441" s="365">
        <v>0</v>
      </c>
      <c r="BQ441" s="365">
        <v>0</v>
      </c>
      <c r="BR441" s="365">
        <v>0</v>
      </c>
      <c r="BS441" s="365">
        <v>0</v>
      </c>
      <c r="BT441" s="365">
        <v>0</v>
      </c>
      <c r="BU441" s="365">
        <v>0</v>
      </c>
      <c r="BV441" s="365">
        <v>0</v>
      </c>
      <c r="BW441" s="365">
        <v>0</v>
      </c>
      <c r="BX441" s="365">
        <v>0</v>
      </c>
      <c r="BY441" s="365">
        <v>0</v>
      </c>
      <c r="BZ441" s="365">
        <v>0</v>
      </c>
      <c r="CA441" s="365">
        <v>0</v>
      </c>
      <c r="CB441" s="365">
        <v>0</v>
      </c>
      <c r="CC441" s="365">
        <v>0</v>
      </c>
    </row>
    <row r="442" spans="1:84" s="32" customFormat="1" ht="20.25" customHeight="1" thickBot="1" x14ac:dyDescent="0.25">
      <c r="A442" s="185"/>
      <c r="B442" s="184">
        <f ca="1">INDIRECT("B" &amp; (157 + ROWS($A$1:A12)))</f>
        <v>0</v>
      </c>
      <c r="D442" s="100" t="e">
        <f t="shared" si="180"/>
        <v>#N/A</v>
      </c>
      <c r="E442"/>
      <c r="F442" s="203">
        <f t="shared" si="178"/>
        <v>0</v>
      </c>
      <c r="G442"/>
      <c r="H442" s="306" t="e">
        <f t="shared" si="179"/>
        <v>#N/A</v>
      </c>
      <c r="I442"/>
      <c r="J442" s="365">
        <v>0</v>
      </c>
      <c r="K442" s="365">
        <v>0</v>
      </c>
      <c r="L442" s="365">
        <v>0</v>
      </c>
      <c r="M442" s="365">
        <v>0</v>
      </c>
      <c r="N442" s="365">
        <v>0</v>
      </c>
      <c r="O442" s="365">
        <v>0</v>
      </c>
      <c r="P442" s="365">
        <v>0</v>
      </c>
      <c r="Q442" s="365">
        <v>0</v>
      </c>
      <c r="R442" s="365">
        <v>0</v>
      </c>
      <c r="S442" s="365">
        <v>0</v>
      </c>
      <c r="T442" s="365">
        <v>0</v>
      </c>
      <c r="U442" s="365">
        <v>0</v>
      </c>
      <c r="V442" s="365">
        <v>0</v>
      </c>
      <c r="W442" s="365">
        <v>0</v>
      </c>
      <c r="X442" s="365">
        <v>0</v>
      </c>
      <c r="Y442" s="365">
        <v>0</v>
      </c>
      <c r="Z442" s="365">
        <v>0</v>
      </c>
      <c r="AA442" s="365">
        <v>0</v>
      </c>
      <c r="AB442" s="365">
        <v>0</v>
      </c>
      <c r="AC442" s="365">
        <v>0</v>
      </c>
      <c r="AD442" s="365">
        <v>0</v>
      </c>
      <c r="AE442" s="365">
        <v>0</v>
      </c>
      <c r="AF442" s="365">
        <v>0</v>
      </c>
      <c r="AG442" s="365">
        <v>0</v>
      </c>
      <c r="AH442" s="365">
        <v>0</v>
      </c>
      <c r="AI442" s="365">
        <v>0</v>
      </c>
      <c r="AJ442" s="365">
        <v>0</v>
      </c>
      <c r="AK442" s="365">
        <v>0</v>
      </c>
      <c r="AL442" s="365">
        <v>0</v>
      </c>
      <c r="AM442" s="365">
        <v>0</v>
      </c>
      <c r="AN442" s="365">
        <v>0</v>
      </c>
      <c r="AO442" s="365">
        <v>0</v>
      </c>
      <c r="AP442" s="365">
        <v>0</v>
      </c>
      <c r="AQ442" s="365">
        <v>0</v>
      </c>
      <c r="AR442" s="365">
        <v>0</v>
      </c>
      <c r="AS442" s="365">
        <v>0</v>
      </c>
      <c r="AT442" s="365">
        <v>0</v>
      </c>
      <c r="AU442" s="365">
        <v>0</v>
      </c>
      <c r="AV442" s="365">
        <v>0</v>
      </c>
      <c r="AW442" s="365">
        <v>0</v>
      </c>
      <c r="AX442" s="365">
        <v>0</v>
      </c>
      <c r="AY442" s="365">
        <v>0</v>
      </c>
      <c r="AZ442" s="365">
        <v>0</v>
      </c>
      <c r="BA442" s="365">
        <v>0</v>
      </c>
      <c r="BB442" s="365">
        <v>0</v>
      </c>
      <c r="BC442" s="365">
        <v>0</v>
      </c>
      <c r="BD442" s="365">
        <v>0</v>
      </c>
      <c r="BE442" s="365">
        <v>0</v>
      </c>
      <c r="BF442" s="365">
        <v>0</v>
      </c>
      <c r="BG442" s="365">
        <v>0</v>
      </c>
      <c r="BH442" s="365">
        <v>0</v>
      </c>
      <c r="BI442" s="365">
        <v>0</v>
      </c>
      <c r="BJ442" s="365">
        <v>0</v>
      </c>
      <c r="BK442" s="365">
        <v>0</v>
      </c>
      <c r="BL442" s="365">
        <v>0</v>
      </c>
      <c r="BM442" s="365">
        <v>0</v>
      </c>
      <c r="BN442" s="365">
        <v>0</v>
      </c>
      <c r="BO442" s="365">
        <v>0</v>
      </c>
      <c r="BP442" s="365">
        <v>0</v>
      </c>
      <c r="BQ442" s="365">
        <v>0</v>
      </c>
      <c r="BR442" s="365">
        <v>0</v>
      </c>
      <c r="BS442" s="365">
        <v>0</v>
      </c>
      <c r="BT442" s="365">
        <v>0</v>
      </c>
      <c r="BU442" s="365">
        <v>0</v>
      </c>
      <c r="BV442" s="365">
        <v>0</v>
      </c>
      <c r="BW442" s="365">
        <v>0</v>
      </c>
      <c r="BX442" s="365">
        <v>0</v>
      </c>
      <c r="BY442" s="365">
        <v>0</v>
      </c>
      <c r="BZ442" s="365">
        <v>0</v>
      </c>
      <c r="CA442" s="365">
        <v>0</v>
      </c>
      <c r="CB442" s="365">
        <v>0</v>
      </c>
      <c r="CC442" s="365">
        <v>0</v>
      </c>
    </row>
    <row r="443" spans="1:84" s="32" customFormat="1" ht="20.25" customHeight="1" thickBot="1" x14ac:dyDescent="0.25">
      <c r="A443" s="185"/>
      <c r="B443" s="184">
        <f ca="1">INDIRECT("B" &amp; (157 + ROWS($A$1:A13)))</f>
        <v>0</v>
      </c>
      <c r="D443" s="100" t="e">
        <f t="shared" si="180"/>
        <v>#N/A</v>
      </c>
      <c r="E443"/>
      <c r="F443" s="203">
        <f t="shared" si="178"/>
        <v>0</v>
      </c>
      <c r="G443"/>
      <c r="H443" s="306" t="e">
        <f t="shared" si="179"/>
        <v>#N/A</v>
      </c>
      <c r="I443"/>
      <c r="J443" s="365">
        <v>0</v>
      </c>
      <c r="K443" s="365">
        <v>0</v>
      </c>
      <c r="L443" s="365">
        <v>0</v>
      </c>
      <c r="M443" s="365">
        <v>0</v>
      </c>
      <c r="N443" s="365">
        <v>0</v>
      </c>
      <c r="O443" s="365">
        <v>0</v>
      </c>
      <c r="P443" s="365">
        <v>0</v>
      </c>
      <c r="Q443" s="365">
        <v>0</v>
      </c>
      <c r="R443" s="365">
        <v>0</v>
      </c>
      <c r="S443" s="365">
        <v>0</v>
      </c>
      <c r="T443" s="365">
        <v>0</v>
      </c>
      <c r="U443" s="365">
        <v>0</v>
      </c>
      <c r="V443" s="365">
        <v>0</v>
      </c>
      <c r="W443" s="365">
        <v>0</v>
      </c>
      <c r="X443" s="365">
        <v>0</v>
      </c>
      <c r="Y443" s="365">
        <v>0</v>
      </c>
      <c r="Z443" s="365">
        <v>0</v>
      </c>
      <c r="AA443" s="365">
        <v>0</v>
      </c>
      <c r="AB443" s="365">
        <v>0</v>
      </c>
      <c r="AC443" s="365">
        <v>0</v>
      </c>
      <c r="AD443" s="365">
        <v>0</v>
      </c>
      <c r="AE443" s="365">
        <v>0</v>
      </c>
      <c r="AF443" s="365">
        <v>0</v>
      </c>
      <c r="AG443" s="365">
        <v>0</v>
      </c>
      <c r="AH443" s="365">
        <v>0</v>
      </c>
      <c r="AI443" s="365">
        <v>0</v>
      </c>
      <c r="AJ443" s="365">
        <v>0</v>
      </c>
      <c r="AK443" s="365">
        <v>0</v>
      </c>
      <c r="AL443" s="365">
        <v>0</v>
      </c>
      <c r="AM443" s="365">
        <v>0</v>
      </c>
      <c r="AN443" s="365">
        <v>0</v>
      </c>
      <c r="AO443" s="365">
        <v>0</v>
      </c>
      <c r="AP443" s="365">
        <v>0</v>
      </c>
      <c r="AQ443" s="365">
        <v>0</v>
      </c>
      <c r="AR443" s="365">
        <v>0</v>
      </c>
      <c r="AS443" s="365">
        <v>0</v>
      </c>
      <c r="AT443" s="365">
        <v>0</v>
      </c>
      <c r="AU443" s="365">
        <v>0</v>
      </c>
      <c r="AV443" s="365">
        <v>0</v>
      </c>
      <c r="AW443" s="365">
        <v>0</v>
      </c>
      <c r="AX443" s="365">
        <v>0</v>
      </c>
      <c r="AY443" s="365">
        <v>0</v>
      </c>
      <c r="AZ443" s="365">
        <v>0</v>
      </c>
      <c r="BA443" s="365">
        <v>0</v>
      </c>
      <c r="BB443" s="365">
        <v>0</v>
      </c>
      <c r="BC443" s="365">
        <v>0</v>
      </c>
      <c r="BD443" s="365">
        <v>0</v>
      </c>
      <c r="BE443" s="365">
        <v>0</v>
      </c>
      <c r="BF443" s="365">
        <v>0</v>
      </c>
      <c r="BG443" s="365">
        <v>0</v>
      </c>
      <c r="BH443" s="365">
        <v>0</v>
      </c>
      <c r="BI443" s="365">
        <v>0</v>
      </c>
      <c r="BJ443" s="365">
        <v>0</v>
      </c>
      <c r="BK443" s="365">
        <v>0</v>
      </c>
      <c r="BL443" s="365">
        <v>0</v>
      </c>
      <c r="BM443" s="365">
        <v>0</v>
      </c>
      <c r="BN443" s="365">
        <v>0</v>
      </c>
      <c r="BO443" s="365">
        <v>0</v>
      </c>
      <c r="BP443" s="365">
        <v>0</v>
      </c>
      <c r="BQ443" s="365">
        <v>0</v>
      </c>
      <c r="BR443" s="365">
        <v>0</v>
      </c>
      <c r="BS443" s="365">
        <v>0</v>
      </c>
      <c r="BT443" s="365">
        <v>0</v>
      </c>
      <c r="BU443" s="365">
        <v>0</v>
      </c>
      <c r="BV443" s="365">
        <v>0</v>
      </c>
      <c r="BW443" s="365">
        <v>0</v>
      </c>
      <c r="BX443" s="365">
        <v>0</v>
      </c>
      <c r="BY443" s="365">
        <v>0</v>
      </c>
      <c r="BZ443" s="365">
        <v>0</v>
      </c>
      <c r="CA443" s="365">
        <v>0</v>
      </c>
      <c r="CB443" s="365">
        <v>0</v>
      </c>
      <c r="CC443" s="365">
        <v>0</v>
      </c>
    </row>
    <row r="444" spans="1:84" s="32" customFormat="1" ht="20.25" customHeight="1" thickBot="1" x14ac:dyDescent="0.25">
      <c r="A444" s="185"/>
      <c r="B444" s="184">
        <f ca="1">INDIRECT("B" &amp; (157 + ROWS($A$1:A14)))</f>
        <v>0</v>
      </c>
      <c r="D444" s="100" t="e">
        <f t="shared" si="180"/>
        <v>#N/A</v>
      </c>
      <c r="E444"/>
      <c r="F444" s="203">
        <f t="shared" si="178"/>
        <v>0</v>
      </c>
      <c r="G444"/>
      <c r="H444" s="306" t="e">
        <f t="shared" si="179"/>
        <v>#N/A</v>
      </c>
      <c r="I444"/>
      <c r="J444" s="365">
        <v>0</v>
      </c>
      <c r="K444" s="365">
        <v>0</v>
      </c>
      <c r="L444" s="365">
        <v>0</v>
      </c>
      <c r="M444" s="365">
        <v>0</v>
      </c>
      <c r="N444" s="365">
        <v>0</v>
      </c>
      <c r="O444" s="365">
        <v>0</v>
      </c>
      <c r="P444" s="365">
        <v>0</v>
      </c>
      <c r="Q444" s="365">
        <v>0</v>
      </c>
      <c r="R444" s="365">
        <v>0</v>
      </c>
      <c r="S444" s="365">
        <v>0</v>
      </c>
      <c r="T444" s="365">
        <v>0</v>
      </c>
      <c r="U444" s="365">
        <v>0</v>
      </c>
      <c r="V444" s="365">
        <v>0</v>
      </c>
      <c r="W444" s="365">
        <v>0</v>
      </c>
      <c r="X444" s="365">
        <v>0</v>
      </c>
      <c r="Y444" s="365">
        <v>0</v>
      </c>
      <c r="Z444" s="365">
        <v>0</v>
      </c>
      <c r="AA444" s="365">
        <v>0</v>
      </c>
      <c r="AB444" s="365">
        <v>0</v>
      </c>
      <c r="AC444" s="365">
        <v>0</v>
      </c>
      <c r="AD444" s="365">
        <v>0</v>
      </c>
      <c r="AE444" s="365">
        <v>0</v>
      </c>
      <c r="AF444" s="365">
        <v>0</v>
      </c>
      <c r="AG444" s="365">
        <v>0</v>
      </c>
      <c r="AH444" s="365">
        <v>0</v>
      </c>
      <c r="AI444" s="365">
        <v>0</v>
      </c>
      <c r="AJ444" s="365">
        <v>0</v>
      </c>
      <c r="AK444" s="365">
        <v>0</v>
      </c>
      <c r="AL444" s="365">
        <v>0</v>
      </c>
      <c r="AM444" s="365">
        <v>0</v>
      </c>
      <c r="AN444" s="365">
        <v>0</v>
      </c>
      <c r="AO444" s="365">
        <v>0</v>
      </c>
      <c r="AP444" s="365">
        <v>0</v>
      </c>
      <c r="AQ444" s="365">
        <v>0</v>
      </c>
      <c r="AR444" s="365">
        <v>0</v>
      </c>
      <c r="AS444" s="365">
        <v>0</v>
      </c>
      <c r="AT444" s="365">
        <v>0</v>
      </c>
      <c r="AU444" s="365">
        <v>0</v>
      </c>
      <c r="AV444" s="365">
        <v>0</v>
      </c>
      <c r="AW444" s="365">
        <v>0</v>
      </c>
      <c r="AX444" s="365">
        <v>0</v>
      </c>
      <c r="AY444" s="365">
        <v>0</v>
      </c>
      <c r="AZ444" s="365">
        <v>0</v>
      </c>
      <c r="BA444" s="365">
        <v>0</v>
      </c>
      <c r="BB444" s="365">
        <v>0</v>
      </c>
      <c r="BC444" s="365">
        <v>0</v>
      </c>
      <c r="BD444" s="365">
        <v>0</v>
      </c>
      <c r="BE444" s="365">
        <v>0</v>
      </c>
      <c r="BF444" s="365">
        <v>0</v>
      </c>
      <c r="BG444" s="365">
        <v>0</v>
      </c>
      <c r="BH444" s="365">
        <v>0</v>
      </c>
      <c r="BI444" s="365">
        <v>0</v>
      </c>
      <c r="BJ444" s="365">
        <v>0</v>
      </c>
      <c r="BK444" s="365">
        <v>0</v>
      </c>
      <c r="BL444" s="365">
        <v>0</v>
      </c>
      <c r="BM444" s="365">
        <v>0</v>
      </c>
      <c r="BN444" s="365">
        <v>0</v>
      </c>
      <c r="BO444" s="365">
        <v>0</v>
      </c>
      <c r="BP444" s="365">
        <v>0</v>
      </c>
      <c r="BQ444" s="365">
        <v>0</v>
      </c>
      <c r="BR444" s="365">
        <v>0</v>
      </c>
      <c r="BS444" s="365">
        <v>0</v>
      </c>
      <c r="BT444" s="365">
        <v>0</v>
      </c>
      <c r="BU444" s="365">
        <v>0</v>
      </c>
      <c r="BV444" s="365">
        <v>0</v>
      </c>
      <c r="BW444" s="365">
        <v>0</v>
      </c>
      <c r="BX444" s="365">
        <v>0</v>
      </c>
      <c r="BY444" s="365">
        <v>0</v>
      </c>
      <c r="BZ444" s="365">
        <v>0</v>
      </c>
      <c r="CA444" s="365">
        <v>0</v>
      </c>
      <c r="CB444" s="365">
        <v>0</v>
      </c>
      <c r="CC444" s="365">
        <v>0</v>
      </c>
    </row>
    <row r="445" spans="1:84" s="32" customFormat="1" ht="20.25" customHeight="1" thickBot="1" x14ac:dyDescent="0.25">
      <c r="A445" s="185"/>
      <c r="B445" s="184">
        <f ca="1">INDIRECT("B" &amp; (157 + ROWS($A$1:A15)))</f>
        <v>0</v>
      </c>
      <c r="D445" s="100" t="e">
        <f t="shared" si="180"/>
        <v>#N/A</v>
      </c>
      <c r="E445"/>
      <c r="F445" s="203">
        <f t="shared" si="178"/>
        <v>0</v>
      </c>
      <c r="G445"/>
      <c r="H445" s="306" t="e">
        <f t="shared" si="179"/>
        <v>#N/A</v>
      </c>
      <c r="I445"/>
      <c r="J445" s="365">
        <v>0</v>
      </c>
      <c r="K445" s="365">
        <v>0</v>
      </c>
      <c r="L445" s="365">
        <v>0</v>
      </c>
      <c r="M445" s="365">
        <v>0</v>
      </c>
      <c r="N445" s="365">
        <v>0</v>
      </c>
      <c r="O445" s="365">
        <v>0</v>
      </c>
      <c r="P445" s="365">
        <v>0</v>
      </c>
      <c r="Q445" s="365">
        <v>0</v>
      </c>
      <c r="R445" s="365">
        <v>0</v>
      </c>
      <c r="S445" s="365">
        <v>0</v>
      </c>
      <c r="T445" s="365">
        <v>0</v>
      </c>
      <c r="U445" s="365">
        <v>0</v>
      </c>
      <c r="V445" s="365">
        <v>0</v>
      </c>
      <c r="W445" s="365">
        <v>0</v>
      </c>
      <c r="X445" s="365">
        <v>0</v>
      </c>
      <c r="Y445" s="365">
        <v>0</v>
      </c>
      <c r="Z445" s="365">
        <v>0</v>
      </c>
      <c r="AA445" s="365">
        <v>0</v>
      </c>
      <c r="AB445" s="365">
        <v>0</v>
      </c>
      <c r="AC445" s="365">
        <v>0</v>
      </c>
      <c r="AD445" s="365">
        <v>0</v>
      </c>
      <c r="AE445" s="365">
        <v>0</v>
      </c>
      <c r="AF445" s="365">
        <v>0</v>
      </c>
      <c r="AG445" s="365">
        <v>0</v>
      </c>
      <c r="AH445" s="365">
        <v>0</v>
      </c>
      <c r="AI445" s="365">
        <v>0</v>
      </c>
      <c r="AJ445" s="365">
        <v>0</v>
      </c>
      <c r="AK445" s="365">
        <v>0</v>
      </c>
      <c r="AL445" s="365">
        <v>0</v>
      </c>
      <c r="AM445" s="365">
        <v>0</v>
      </c>
      <c r="AN445" s="365">
        <v>0</v>
      </c>
      <c r="AO445" s="365">
        <v>0</v>
      </c>
      <c r="AP445" s="365">
        <v>0</v>
      </c>
      <c r="AQ445" s="365">
        <v>0</v>
      </c>
      <c r="AR445" s="365">
        <v>0</v>
      </c>
      <c r="AS445" s="365">
        <v>0</v>
      </c>
      <c r="AT445" s="365">
        <v>0</v>
      </c>
      <c r="AU445" s="365">
        <v>0</v>
      </c>
      <c r="AV445" s="365">
        <v>0</v>
      </c>
      <c r="AW445" s="365">
        <v>0</v>
      </c>
      <c r="AX445" s="365">
        <v>0</v>
      </c>
      <c r="AY445" s="365">
        <v>0</v>
      </c>
      <c r="AZ445" s="365">
        <v>0</v>
      </c>
      <c r="BA445" s="365">
        <v>0</v>
      </c>
      <c r="BB445" s="365">
        <v>0</v>
      </c>
      <c r="BC445" s="365">
        <v>0</v>
      </c>
      <c r="BD445" s="365">
        <v>0</v>
      </c>
      <c r="BE445" s="365">
        <v>0</v>
      </c>
      <c r="BF445" s="365">
        <v>0</v>
      </c>
      <c r="BG445" s="365">
        <v>0</v>
      </c>
      <c r="BH445" s="365">
        <v>0</v>
      </c>
      <c r="BI445" s="365">
        <v>0</v>
      </c>
      <c r="BJ445" s="365">
        <v>0</v>
      </c>
      <c r="BK445" s="365">
        <v>0</v>
      </c>
      <c r="BL445" s="365">
        <v>0</v>
      </c>
      <c r="BM445" s="365">
        <v>0</v>
      </c>
      <c r="BN445" s="365">
        <v>0</v>
      </c>
      <c r="BO445" s="365">
        <v>0</v>
      </c>
      <c r="BP445" s="365">
        <v>0</v>
      </c>
      <c r="BQ445" s="365">
        <v>0</v>
      </c>
      <c r="BR445" s="365">
        <v>0</v>
      </c>
      <c r="BS445" s="365">
        <v>0</v>
      </c>
      <c r="BT445" s="365">
        <v>0</v>
      </c>
      <c r="BU445" s="365">
        <v>0</v>
      </c>
      <c r="BV445" s="365">
        <v>0</v>
      </c>
      <c r="BW445" s="365">
        <v>0</v>
      </c>
      <c r="BX445" s="365">
        <v>0</v>
      </c>
      <c r="BY445" s="365">
        <v>0</v>
      </c>
      <c r="BZ445" s="365">
        <v>0</v>
      </c>
      <c r="CA445" s="365">
        <v>0</v>
      </c>
      <c r="CB445" s="365">
        <v>0</v>
      </c>
      <c r="CC445" s="365">
        <v>0</v>
      </c>
    </row>
    <row r="446" spans="1:84" s="32" customFormat="1" ht="20.25" customHeight="1" thickBot="1" x14ac:dyDescent="0.25">
      <c r="A446" s="185"/>
      <c r="B446" s="184">
        <f ca="1">INDIRECT("B" &amp; (157 + ROWS($A$1:A16)))</f>
        <v>0</v>
      </c>
      <c r="D446" s="100" t="e">
        <f t="shared" si="180"/>
        <v>#N/A</v>
      </c>
      <c r="E446"/>
      <c r="F446" s="203">
        <f t="shared" si="178"/>
        <v>0</v>
      </c>
      <c r="G446"/>
      <c r="H446" s="306" t="e">
        <f t="shared" si="179"/>
        <v>#N/A</v>
      </c>
      <c r="I446"/>
      <c r="J446" s="365">
        <v>0</v>
      </c>
      <c r="K446" s="365">
        <v>0</v>
      </c>
      <c r="L446" s="365">
        <v>0</v>
      </c>
      <c r="M446" s="365">
        <v>0</v>
      </c>
      <c r="N446" s="365">
        <v>0</v>
      </c>
      <c r="O446" s="365">
        <v>0</v>
      </c>
      <c r="P446" s="365">
        <v>0</v>
      </c>
      <c r="Q446" s="365">
        <v>0</v>
      </c>
      <c r="R446" s="365">
        <v>0</v>
      </c>
      <c r="S446" s="365">
        <v>0</v>
      </c>
      <c r="T446" s="365">
        <v>0</v>
      </c>
      <c r="U446" s="365">
        <v>0</v>
      </c>
      <c r="V446" s="365">
        <v>0</v>
      </c>
      <c r="W446" s="365">
        <v>0</v>
      </c>
      <c r="X446" s="365">
        <v>0</v>
      </c>
      <c r="Y446" s="365">
        <v>0</v>
      </c>
      <c r="Z446" s="365">
        <v>0</v>
      </c>
      <c r="AA446" s="365">
        <v>0</v>
      </c>
      <c r="AB446" s="365">
        <v>0</v>
      </c>
      <c r="AC446" s="365">
        <v>0</v>
      </c>
      <c r="AD446" s="365">
        <v>0</v>
      </c>
      <c r="AE446" s="365">
        <v>0</v>
      </c>
      <c r="AF446" s="365">
        <v>0</v>
      </c>
      <c r="AG446" s="365">
        <v>0</v>
      </c>
      <c r="AH446" s="365">
        <v>0</v>
      </c>
      <c r="AI446" s="365">
        <v>0</v>
      </c>
      <c r="AJ446" s="365">
        <v>0</v>
      </c>
      <c r="AK446" s="365">
        <v>0</v>
      </c>
      <c r="AL446" s="365">
        <v>0</v>
      </c>
      <c r="AM446" s="365">
        <v>0</v>
      </c>
      <c r="AN446" s="365">
        <v>0</v>
      </c>
      <c r="AO446" s="365">
        <v>0</v>
      </c>
      <c r="AP446" s="365">
        <v>0</v>
      </c>
      <c r="AQ446" s="365">
        <v>0</v>
      </c>
      <c r="AR446" s="365">
        <v>0</v>
      </c>
      <c r="AS446" s="365">
        <v>0</v>
      </c>
      <c r="AT446" s="365">
        <v>0</v>
      </c>
      <c r="AU446" s="365">
        <v>0</v>
      </c>
      <c r="AV446" s="365">
        <v>0</v>
      </c>
      <c r="AW446" s="365">
        <v>0</v>
      </c>
      <c r="AX446" s="365">
        <v>0</v>
      </c>
      <c r="AY446" s="365">
        <v>0</v>
      </c>
      <c r="AZ446" s="365">
        <v>0</v>
      </c>
      <c r="BA446" s="365">
        <v>0</v>
      </c>
      <c r="BB446" s="365">
        <v>0</v>
      </c>
      <c r="BC446" s="365">
        <v>0</v>
      </c>
      <c r="BD446" s="365">
        <v>0</v>
      </c>
      <c r="BE446" s="365">
        <v>0</v>
      </c>
      <c r="BF446" s="365">
        <v>0</v>
      </c>
      <c r="BG446" s="365">
        <v>0</v>
      </c>
      <c r="BH446" s="365">
        <v>0</v>
      </c>
      <c r="BI446" s="365">
        <v>0</v>
      </c>
      <c r="BJ446" s="365">
        <v>0</v>
      </c>
      <c r="BK446" s="365">
        <v>0</v>
      </c>
      <c r="BL446" s="365">
        <v>0</v>
      </c>
      <c r="BM446" s="365">
        <v>0</v>
      </c>
      <c r="BN446" s="365">
        <v>0</v>
      </c>
      <c r="BO446" s="365">
        <v>0</v>
      </c>
      <c r="BP446" s="365">
        <v>0</v>
      </c>
      <c r="BQ446" s="365">
        <v>0</v>
      </c>
      <c r="BR446" s="365">
        <v>0</v>
      </c>
      <c r="BS446" s="365">
        <v>0</v>
      </c>
      <c r="BT446" s="365">
        <v>0</v>
      </c>
      <c r="BU446" s="365">
        <v>0</v>
      </c>
      <c r="BV446" s="365">
        <v>0</v>
      </c>
      <c r="BW446" s="365">
        <v>0</v>
      </c>
      <c r="BX446" s="365">
        <v>0</v>
      </c>
      <c r="BY446" s="365">
        <v>0</v>
      </c>
      <c r="BZ446" s="365">
        <v>0</v>
      </c>
      <c r="CA446" s="365">
        <v>0</v>
      </c>
      <c r="CB446" s="365">
        <v>0</v>
      </c>
      <c r="CC446" s="365">
        <v>0</v>
      </c>
    </row>
    <row r="447" spans="1:84" s="32" customFormat="1" ht="20.25" customHeight="1" thickBot="1" x14ac:dyDescent="0.25">
      <c r="A447" s="185"/>
      <c r="B447" s="184">
        <f ca="1">INDIRECT("B" &amp; (157 + ROWS($A$1:A17)))</f>
        <v>0</v>
      </c>
      <c r="D447" s="100" t="e">
        <f t="shared" si="180"/>
        <v>#N/A</v>
      </c>
      <c r="E447"/>
      <c r="F447" s="203">
        <f t="shared" si="178"/>
        <v>0</v>
      </c>
      <c r="G447"/>
      <c r="H447" s="306" t="e">
        <f t="shared" si="179"/>
        <v>#N/A</v>
      </c>
      <c r="I447"/>
      <c r="J447" s="365">
        <v>0</v>
      </c>
      <c r="K447" s="365">
        <v>0</v>
      </c>
      <c r="L447" s="365">
        <v>0</v>
      </c>
      <c r="M447" s="365">
        <v>0</v>
      </c>
      <c r="N447" s="365">
        <v>0</v>
      </c>
      <c r="O447" s="365">
        <v>0</v>
      </c>
      <c r="P447" s="365">
        <v>0</v>
      </c>
      <c r="Q447" s="365">
        <v>0</v>
      </c>
      <c r="R447" s="365">
        <v>0</v>
      </c>
      <c r="S447" s="365">
        <v>0</v>
      </c>
      <c r="T447" s="365">
        <v>0</v>
      </c>
      <c r="U447" s="365">
        <v>0</v>
      </c>
      <c r="V447" s="365">
        <v>0</v>
      </c>
      <c r="W447" s="365">
        <v>0</v>
      </c>
      <c r="X447" s="365">
        <v>0</v>
      </c>
      <c r="Y447" s="365">
        <v>0</v>
      </c>
      <c r="Z447" s="365">
        <v>0</v>
      </c>
      <c r="AA447" s="365">
        <v>0</v>
      </c>
      <c r="AB447" s="365">
        <v>0</v>
      </c>
      <c r="AC447" s="365">
        <v>0</v>
      </c>
      <c r="AD447" s="365">
        <v>0</v>
      </c>
      <c r="AE447" s="365">
        <v>0</v>
      </c>
      <c r="AF447" s="365">
        <v>0</v>
      </c>
      <c r="AG447" s="365">
        <v>0</v>
      </c>
      <c r="AH447" s="365">
        <v>0</v>
      </c>
      <c r="AI447" s="365">
        <v>0</v>
      </c>
      <c r="AJ447" s="365">
        <v>0</v>
      </c>
      <c r="AK447" s="365">
        <v>0</v>
      </c>
      <c r="AL447" s="365">
        <v>0</v>
      </c>
      <c r="AM447" s="365">
        <v>0</v>
      </c>
      <c r="AN447" s="365">
        <v>0</v>
      </c>
      <c r="AO447" s="365">
        <v>0</v>
      </c>
      <c r="AP447" s="365">
        <v>0</v>
      </c>
      <c r="AQ447" s="365">
        <v>0</v>
      </c>
      <c r="AR447" s="365">
        <v>0</v>
      </c>
      <c r="AS447" s="365">
        <v>0</v>
      </c>
      <c r="AT447" s="365">
        <v>0</v>
      </c>
      <c r="AU447" s="365">
        <v>0</v>
      </c>
      <c r="AV447" s="365">
        <v>0</v>
      </c>
      <c r="AW447" s="365">
        <v>0</v>
      </c>
      <c r="AX447" s="365">
        <v>0</v>
      </c>
      <c r="AY447" s="365">
        <v>0</v>
      </c>
      <c r="AZ447" s="365">
        <v>0</v>
      </c>
      <c r="BA447" s="365">
        <v>0</v>
      </c>
      <c r="BB447" s="365">
        <v>0</v>
      </c>
      <c r="BC447" s="365">
        <v>0</v>
      </c>
      <c r="BD447" s="365">
        <v>0</v>
      </c>
      <c r="BE447" s="365">
        <v>0</v>
      </c>
      <c r="BF447" s="365">
        <v>0</v>
      </c>
      <c r="BG447" s="365">
        <v>0</v>
      </c>
      <c r="BH447" s="365">
        <v>0</v>
      </c>
      <c r="BI447" s="365">
        <v>0</v>
      </c>
      <c r="BJ447" s="365">
        <v>0</v>
      </c>
      <c r="BK447" s="365">
        <v>0</v>
      </c>
      <c r="BL447" s="365">
        <v>0</v>
      </c>
      <c r="BM447" s="365">
        <v>0</v>
      </c>
      <c r="BN447" s="365">
        <v>0</v>
      </c>
      <c r="BO447" s="365">
        <v>0</v>
      </c>
      <c r="BP447" s="365">
        <v>0</v>
      </c>
      <c r="BQ447" s="365">
        <v>0</v>
      </c>
      <c r="BR447" s="365">
        <v>0</v>
      </c>
      <c r="BS447" s="365">
        <v>0</v>
      </c>
      <c r="BT447" s="365">
        <v>0</v>
      </c>
      <c r="BU447" s="365">
        <v>0</v>
      </c>
      <c r="BV447" s="365">
        <v>0</v>
      </c>
      <c r="BW447" s="365">
        <v>0</v>
      </c>
      <c r="BX447" s="365">
        <v>0</v>
      </c>
      <c r="BY447" s="365">
        <v>0</v>
      </c>
      <c r="BZ447" s="365">
        <v>0</v>
      </c>
      <c r="CA447" s="365">
        <v>0</v>
      </c>
      <c r="CB447" s="365">
        <v>0</v>
      </c>
      <c r="CC447" s="365">
        <v>0</v>
      </c>
    </row>
    <row r="448" spans="1:84" s="32" customFormat="1" ht="20.25" customHeight="1" thickBot="1" x14ac:dyDescent="0.25">
      <c r="A448" s="185"/>
      <c r="B448" s="184">
        <f ca="1">INDIRECT("B" &amp; (157 + ROWS($A$1:A18)))</f>
        <v>0</v>
      </c>
      <c r="D448" s="100" t="e">
        <f t="shared" si="180"/>
        <v>#N/A</v>
      </c>
      <c r="E448"/>
      <c r="F448" s="203">
        <f t="shared" si="178"/>
        <v>0</v>
      </c>
      <c r="G448"/>
      <c r="H448" s="306" t="e">
        <f t="shared" si="179"/>
        <v>#N/A</v>
      </c>
      <c r="I448"/>
      <c r="J448" s="365">
        <v>0</v>
      </c>
      <c r="K448" s="365">
        <v>0</v>
      </c>
      <c r="L448" s="365">
        <v>0</v>
      </c>
      <c r="M448" s="365">
        <v>0</v>
      </c>
      <c r="N448" s="365">
        <v>0</v>
      </c>
      <c r="O448" s="365">
        <v>0</v>
      </c>
      <c r="P448" s="365">
        <v>0</v>
      </c>
      <c r="Q448" s="365">
        <v>0</v>
      </c>
      <c r="R448" s="365">
        <v>0</v>
      </c>
      <c r="S448" s="365">
        <v>0</v>
      </c>
      <c r="T448" s="365">
        <v>0</v>
      </c>
      <c r="U448" s="365">
        <v>0</v>
      </c>
      <c r="V448" s="365">
        <v>0</v>
      </c>
      <c r="W448" s="365">
        <v>0</v>
      </c>
      <c r="X448" s="365">
        <v>0</v>
      </c>
      <c r="Y448" s="365">
        <v>0</v>
      </c>
      <c r="Z448" s="365">
        <v>0</v>
      </c>
      <c r="AA448" s="365">
        <v>0</v>
      </c>
      <c r="AB448" s="365">
        <v>0</v>
      </c>
      <c r="AC448" s="365">
        <v>0</v>
      </c>
      <c r="AD448" s="365">
        <v>0</v>
      </c>
      <c r="AE448" s="365">
        <v>0</v>
      </c>
      <c r="AF448" s="365">
        <v>0</v>
      </c>
      <c r="AG448" s="365">
        <v>0</v>
      </c>
      <c r="AH448" s="365">
        <v>0</v>
      </c>
      <c r="AI448" s="365">
        <v>0</v>
      </c>
      <c r="AJ448" s="365">
        <v>0</v>
      </c>
      <c r="AK448" s="365">
        <v>0</v>
      </c>
      <c r="AL448" s="365">
        <v>0</v>
      </c>
      <c r="AM448" s="365">
        <v>0</v>
      </c>
      <c r="AN448" s="365">
        <v>0</v>
      </c>
      <c r="AO448" s="365">
        <v>0</v>
      </c>
      <c r="AP448" s="365">
        <v>0</v>
      </c>
      <c r="AQ448" s="365">
        <v>0</v>
      </c>
      <c r="AR448" s="365">
        <v>0</v>
      </c>
      <c r="AS448" s="365">
        <v>0</v>
      </c>
      <c r="AT448" s="365">
        <v>0</v>
      </c>
      <c r="AU448" s="365">
        <v>0</v>
      </c>
      <c r="AV448" s="365">
        <v>0</v>
      </c>
      <c r="AW448" s="365">
        <v>0</v>
      </c>
      <c r="AX448" s="365">
        <v>0</v>
      </c>
      <c r="AY448" s="365">
        <v>0</v>
      </c>
      <c r="AZ448" s="365">
        <v>0</v>
      </c>
      <c r="BA448" s="365">
        <v>0</v>
      </c>
      <c r="BB448" s="365">
        <v>0</v>
      </c>
      <c r="BC448" s="365">
        <v>0</v>
      </c>
      <c r="BD448" s="365">
        <v>0</v>
      </c>
      <c r="BE448" s="365">
        <v>0</v>
      </c>
      <c r="BF448" s="365">
        <v>0</v>
      </c>
      <c r="BG448" s="365">
        <v>0</v>
      </c>
      <c r="BH448" s="365">
        <v>0</v>
      </c>
      <c r="BI448" s="365">
        <v>0</v>
      </c>
      <c r="BJ448" s="365">
        <v>0</v>
      </c>
      <c r="BK448" s="365">
        <v>0</v>
      </c>
      <c r="BL448" s="365">
        <v>0</v>
      </c>
      <c r="BM448" s="365">
        <v>0</v>
      </c>
      <c r="BN448" s="365">
        <v>0</v>
      </c>
      <c r="BO448" s="365">
        <v>0</v>
      </c>
      <c r="BP448" s="365">
        <v>0</v>
      </c>
      <c r="BQ448" s="365">
        <v>0</v>
      </c>
      <c r="BR448" s="365">
        <v>0</v>
      </c>
      <c r="BS448" s="365">
        <v>0</v>
      </c>
      <c r="BT448" s="365">
        <v>0</v>
      </c>
      <c r="BU448" s="365">
        <v>0</v>
      </c>
      <c r="BV448" s="365">
        <v>0</v>
      </c>
      <c r="BW448" s="365">
        <v>0</v>
      </c>
      <c r="BX448" s="365">
        <v>0</v>
      </c>
      <c r="BY448" s="365">
        <v>0</v>
      </c>
      <c r="BZ448" s="365">
        <v>0</v>
      </c>
      <c r="CA448" s="365">
        <v>0</v>
      </c>
      <c r="CB448" s="365">
        <v>0</v>
      </c>
      <c r="CC448" s="365">
        <v>0</v>
      </c>
    </row>
    <row r="449" spans="1:87" s="32" customFormat="1" ht="20.25" customHeight="1" thickBot="1" x14ac:dyDescent="0.25">
      <c r="A449" s="185"/>
      <c r="B449" s="184">
        <f ca="1">INDIRECT("B" &amp; (157 + ROWS($A$1:A19)))</f>
        <v>0</v>
      </c>
      <c r="D449" s="100" t="e">
        <f t="shared" si="180"/>
        <v>#N/A</v>
      </c>
      <c r="E449"/>
      <c r="F449" s="203">
        <f t="shared" si="178"/>
        <v>0</v>
      </c>
      <c r="G449"/>
      <c r="H449" s="306" t="e">
        <f t="shared" si="179"/>
        <v>#N/A</v>
      </c>
      <c r="I449"/>
      <c r="J449" s="365">
        <v>0</v>
      </c>
      <c r="K449" s="365">
        <v>0</v>
      </c>
      <c r="L449" s="365">
        <v>0</v>
      </c>
      <c r="M449" s="365">
        <v>0</v>
      </c>
      <c r="N449" s="365">
        <v>0</v>
      </c>
      <c r="O449" s="365">
        <v>0</v>
      </c>
      <c r="P449" s="365">
        <v>0</v>
      </c>
      <c r="Q449" s="365">
        <v>0</v>
      </c>
      <c r="R449" s="365">
        <v>0</v>
      </c>
      <c r="S449" s="365">
        <v>0</v>
      </c>
      <c r="T449" s="365">
        <v>0</v>
      </c>
      <c r="U449" s="365">
        <v>0</v>
      </c>
      <c r="V449" s="365">
        <v>0</v>
      </c>
      <c r="W449" s="365">
        <v>0</v>
      </c>
      <c r="X449" s="365">
        <v>0</v>
      </c>
      <c r="Y449" s="365">
        <v>0</v>
      </c>
      <c r="Z449" s="365">
        <v>0</v>
      </c>
      <c r="AA449" s="365">
        <v>0</v>
      </c>
      <c r="AB449" s="365">
        <v>0</v>
      </c>
      <c r="AC449" s="365">
        <v>0</v>
      </c>
      <c r="AD449" s="365">
        <v>0</v>
      </c>
      <c r="AE449" s="365">
        <v>0</v>
      </c>
      <c r="AF449" s="365">
        <v>0</v>
      </c>
      <c r="AG449" s="365">
        <v>0</v>
      </c>
      <c r="AH449" s="365">
        <v>0</v>
      </c>
      <c r="AI449" s="365">
        <v>0</v>
      </c>
      <c r="AJ449" s="365">
        <v>0</v>
      </c>
      <c r="AK449" s="365">
        <v>0</v>
      </c>
      <c r="AL449" s="365">
        <v>0</v>
      </c>
      <c r="AM449" s="365">
        <v>0</v>
      </c>
      <c r="AN449" s="365">
        <v>0</v>
      </c>
      <c r="AO449" s="365">
        <v>0</v>
      </c>
      <c r="AP449" s="365">
        <v>0</v>
      </c>
      <c r="AQ449" s="365">
        <v>0</v>
      </c>
      <c r="AR449" s="365">
        <v>0</v>
      </c>
      <c r="AS449" s="365">
        <v>0</v>
      </c>
      <c r="AT449" s="365">
        <v>0</v>
      </c>
      <c r="AU449" s="365">
        <v>0</v>
      </c>
      <c r="AV449" s="365">
        <v>0</v>
      </c>
      <c r="AW449" s="365">
        <v>0</v>
      </c>
      <c r="AX449" s="365">
        <v>0</v>
      </c>
      <c r="AY449" s="365">
        <v>0</v>
      </c>
      <c r="AZ449" s="365">
        <v>0</v>
      </c>
      <c r="BA449" s="365">
        <v>0</v>
      </c>
      <c r="BB449" s="365">
        <v>0</v>
      </c>
      <c r="BC449" s="365">
        <v>0</v>
      </c>
      <c r="BD449" s="365">
        <v>0</v>
      </c>
      <c r="BE449" s="365">
        <v>0</v>
      </c>
      <c r="BF449" s="365">
        <v>0</v>
      </c>
      <c r="BG449" s="365">
        <v>0</v>
      </c>
      <c r="BH449" s="365">
        <v>0</v>
      </c>
      <c r="BI449" s="365">
        <v>0</v>
      </c>
      <c r="BJ449" s="365">
        <v>0</v>
      </c>
      <c r="BK449" s="365">
        <v>0</v>
      </c>
      <c r="BL449" s="365">
        <v>0</v>
      </c>
      <c r="BM449" s="365">
        <v>0</v>
      </c>
      <c r="BN449" s="365">
        <v>0</v>
      </c>
      <c r="BO449" s="365">
        <v>0</v>
      </c>
      <c r="BP449" s="365">
        <v>0</v>
      </c>
      <c r="BQ449" s="365">
        <v>0</v>
      </c>
      <c r="BR449" s="365">
        <v>0</v>
      </c>
      <c r="BS449" s="365">
        <v>0</v>
      </c>
      <c r="BT449" s="365">
        <v>0</v>
      </c>
      <c r="BU449" s="365">
        <v>0</v>
      </c>
      <c r="BV449" s="365">
        <v>0</v>
      </c>
      <c r="BW449" s="365">
        <v>0</v>
      </c>
      <c r="BX449" s="365">
        <v>0</v>
      </c>
      <c r="BY449" s="365">
        <v>0</v>
      </c>
      <c r="BZ449" s="365">
        <v>0</v>
      </c>
      <c r="CA449" s="365">
        <v>0</v>
      </c>
      <c r="CB449" s="365">
        <v>0</v>
      </c>
      <c r="CC449" s="365">
        <v>0</v>
      </c>
      <c r="CF449" s="215"/>
    </row>
    <row r="450" spans="1:87" s="32" customFormat="1" ht="20.25" customHeight="1" thickBot="1" x14ac:dyDescent="0.25">
      <c r="A450" s="185"/>
      <c r="B450" s="184">
        <f ca="1">INDIRECT("B" &amp; (157 + ROWS($A$1:A20)))</f>
        <v>0</v>
      </c>
      <c r="D450" s="100" t="e">
        <f t="shared" si="180"/>
        <v>#N/A</v>
      </c>
      <c r="E450"/>
      <c r="F450" s="203">
        <f t="shared" si="178"/>
        <v>0</v>
      </c>
      <c r="G450"/>
      <c r="H450" s="306" t="e">
        <f t="shared" si="179"/>
        <v>#N/A</v>
      </c>
      <c r="I450"/>
      <c r="J450" s="365">
        <v>0</v>
      </c>
      <c r="K450" s="365">
        <v>0</v>
      </c>
      <c r="L450" s="365">
        <v>0</v>
      </c>
      <c r="M450" s="365">
        <v>0</v>
      </c>
      <c r="N450" s="365">
        <v>0</v>
      </c>
      <c r="O450" s="365">
        <v>0</v>
      </c>
      <c r="P450" s="365">
        <v>0</v>
      </c>
      <c r="Q450" s="365">
        <v>0</v>
      </c>
      <c r="R450" s="365">
        <v>0</v>
      </c>
      <c r="S450" s="365">
        <v>0</v>
      </c>
      <c r="T450" s="365">
        <v>0</v>
      </c>
      <c r="U450" s="365">
        <v>0</v>
      </c>
      <c r="V450" s="365">
        <v>0</v>
      </c>
      <c r="W450" s="365">
        <v>0</v>
      </c>
      <c r="X450" s="365">
        <v>0</v>
      </c>
      <c r="Y450" s="365">
        <v>0</v>
      </c>
      <c r="Z450" s="365">
        <v>0</v>
      </c>
      <c r="AA450" s="365">
        <v>0</v>
      </c>
      <c r="AB450" s="365">
        <v>0</v>
      </c>
      <c r="AC450" s="365">
        <v>0</v>
      </c>
      <c r="AD450" s="365">
        <v>0</v>
      </c>
      <c r="AE450" s="365">
        <v>0</v>
      </c>
      <c r="AF450" s="365">
        <v>0</v>
      </c>
      <c r="AG450" s="365">
        <v>0</v>
      </c>
      <c r="AH450" s="365">
        <v>0</v>
      </c>
      <c r="AI450" s="365">
        <v>0</v>
      </c>
      <c r="AJ450" s="365">
        <v>0</v>
      </c>
      <c r="AK450" s="365">
        <v>0</v>
      </c>
      <c r="AL450" s="365">
        <v>0</v>
      </c>
      <c r="AM450" s="365">
        <v>0</v>
      </c>
      <c r="AN450" s="365">
        <v>0</v>
      </c>
      <c r="AO450" s="365">
        <v>0</v>
      </c>
      <c r="AP450" s="365">
        <v>0</v>
      </c>
      <c r="AQ450" s="365">
        <v>0</v>
      </c>
      <c r="AR450" s="365">
        <v>0</v>
      </c>
      <c r="AS450" s="365">
        <v>0</v>
      </c>
      <c r="AT450" s="365">
        <v>0</v>
      </c>
      <c r="AU450" s="365">
        <v>0</v>
      </c>
      <c r="AV450" s="365">
        <v>0</v>
      </c>
      <c r="AW450" s="365">
        <v>0</v>
      </c>
      <c r="AX450" s="365">
        <v>0</v>
      </c>
      <c r="AY450" s="365">
        <v>0</v>
      </c>
      <c r="AZ450" s="365">
        <v>0</v>
      </c>
      <c r="BA450" s="365">
        <v>0</v>
      </c>
      <c r="BB450" s="365">
        <v>0</v>
      </c>
      <c r="BC450" s="365">
        <v>0</v>
      </c>
      <c r="BD450" s="365">
        <v>0</v>
      </c>
      <c r="BE450" s="365">
        <v>0</v>
      </c>
      <c r="BF450" s="365">
        <v>0</v>
      </c>
      <c r="BG450" s="365">
        <v>0</v>
      </c>
      <c r="BH450" s="365">
        <v>0</v>
      </c>
      <c r="BI450" s="365">
        <v>0</v>
      </c>
      <c r="BJ450" s="365">
        <v>0</v>
      </c>
      <c r="BK450" s="365">
        <v>0</v>
      </c>
      <c r="BL450" s="365">
        <v>0</v>
      </c>
      <c r="BM450" s="365">
        <v>0</v>
      </c>
      <c r="BN450" s="365">
        <v>0</v>
      </c>
      <c r="BO450" s="365">
        <v>0</v>
      </c>
      <c r="BP450" s="365">
        <v>0</v>
      </c>
      <c r="BQ450" s="365">
        <v>0</v>
      </c>
      <c r="BR450" s="365">
        <v>0</v>
      </c>
      <c r="BS450" s="365">
        <v>0</v>
      </c>
      <c r="BT450" s="365">
        <v>0</v>
      </c>
      <c r="BU450" s="365">
        <v>0</v>
      </c>
      <c r="BV450" s="365">
        <v>0</v>
      </c>
      <c r="BW450" s="365">
        <v>0</v>
      </c>
      <c r="BX450" s="365">
        <v>0</v>
      </c>
      <c r="BY450" s="365">
        <v>0</v>
      </c>
      <c r="BZ450" s="365">
        <v>0</v>
      </c>
      <c r="CA450" s="365">
        <v>0</v>
      </c>
      <c r="CB450" s="365">
        <v>0</v>
      </c>
      <c r="CC450" s="365">
        <v>0</v>
      </c>
    </row>
    <row r="451" spans="1:87" s="32" customFormat="1" ht="20.25" customHeight="1" thickBot="1" x14ac:dyDescent="0.25">
      <c r="A451" s="185"/>
      <c r="B451" s="414" t="s">
        <v>189</v>
      </c>
      <c r="D451" s="100" t="e">
        <f t="shared" si="180"/>
        <v>#N/A</v>
      </c>
      <c r="E451" s="186"/>
      <c r="F451" s="203">
        <f t="shared" si="178"/>
        <v>0</v>
      </c>
      <c r="G451"/>
      <c r="H451" s="306" t="e">
        <f t="shared" si="179"/>
        <v>#N/A</v>
      </c>
      <c r="I451"/>
      <c r="J451" s="365">
        <v>0</v>
      </c>
      <c r="K451" s="365">
        <v>0</v>
      </c>
      <c r="L451" s="365">
        <v>0</v>
      </c>
      <c r="M451" s="365">
        <v>0</v>
      </c>
      <c r="N451" s="365">
        <v>0</v>
      </c>
      <c r="O451" s="365">
        <v>0</v>
      </c>
      <c r="P451" s="365">
        <v>0</v>
      </c>
      <c r="Q451" s="365">
        <v>0</v>
      </c>
      <c r="R451" s="365">
        <v>0</v>
      </c>
      <c r="S451" s="365">
        <v>0</v>
      </c>
      <c r="T451" s="365">
        <v>0</v>
      </c>
      <c r="U451" s="365">
        <v>0</v>
      </c>
      <c r="V451" s="365">
        <v>0</v>
      </c>
      <c r="W451" s="365">
        <v>0</v>
      </c>
      <c r="X451" s="365">
        <v>0</v>
      </c>
      <c r="Y451" s="365">
        <v>0</v>
      </c>
      <c r="Z451" s="365">
        <v>0</v>
      </c>
      <c r="AA451" s="365">
        <v>0</v>
      </c>
      <c r="AB451" s="365">
        <v>0</v>
      </c>
      <c r="AC451" s="365">
        <v>0</v>
      </c>
      <c r="AD451" s="365">
        <v>0</v>
      </c>
      <c r="AE451" s="365">
        <v>0</v>
      </c>
      <c r="AF451" s="365">
        <v>0</v>
      </c>
      <c r="AG451" s="365">
        <v>0</v>
      </c>
      <c r="AH451" s="365">
        <v>0</v>
      </c>
      <c r="AI451" s="365">
        <v>0</v>
      </c>
      <c r="AJ451" s="365">
        <v>0</v>
      </c>
      <c r="AK451" s="365">
        <v>0</v>
      </c>
      <c r="AL451" s="365">
        <v>0</v>
      </c>
      <c r="AM451" s="365">
        <v>0</v>
      </c>
      <c r="AN451" s="365">
        <v>0</v>
      </c>
      <c r="AO451" s="365">
        <v>0</v>
      </c>
      <c r="AP451" s="365">
        <v>0</v>
      </c>
      <c r="AQ451" s="365">
        <v>0</v>
      </c>
      <c r="AR451" s="365">
        <v>0</v>
      </c>
      <c r="AS451" s="365">
        <v>0</v>
      </c>
      <c r="AT451" s="365">
        <v>0</v>
      </c>
      <c r="AU451" s="365">
        <v>0</v>
      </c>
      <c r="AV451" s="365">
        <v>0</v>
      </c>
      <c r="AW451" s="365">
        <v>0</v>
      </c>
      <c r="AX451" s="365">
        <v>0</v>
      </c>
      <c r="AY451" s="365">
        <v>0</v>
      </c>
      <c r="AZ451" s="365">
        <v>0</v>
      </c>
      <c r="BA451" s="365">
        <v>0</v>
      </c>
      <c r="BB451" s="365">
        <v>0</v>
      </c>
      <c r="BC451" s="365">
        <v>0</v>
      </c>
      <c r="BD451" s="365">
        <v>0</v>
      </c>
      <c r="BE451" s="365">
        <v>0</v>
      </c>
      <c r="BF451" s="365">
        <v>0</v>
      </c>
      <c r="BG451" s="365">
        <v>0</v>
      </c>
      <c r="BH451" s="365">
        <v>0</v>
      </c>
      <c r="BI451" s="365">
        <v>0</v>
      </c>
      <c r="BJ451" s="365">
        <v>0</v>
      </c>
      <c r="BK451" s="365">
        <v>0</v>
      </c>
      <c r="BL451" s="365">
        <v>0</v>
      </c>
      <c r="BM451" s="365">
        <v>0</v>
      </c>
      <c r="BN451" s="365">
        <v>0</v>
      </c>
      <c r="BO451" s="365">
        <v>0</v>
      </c>
      <c r="BP451" s="365">
        <v>0</v>
      </c>
      <c r="BQ451" s="365">
        <v>0</v>
      </c>
      <c r="BR451" s="365">
        <v>0</v>
      </c>
      <c r="BS451" s="365">
        <v>0</v>
      </c>
      <c r="BT451" s="365">
        <v>0</v>
      </c>
      <c r="BU451" s="365">
        <v>0</v>
      </c>
      <c r="BV451" s="365">
        <v>0</v>
      </c>
      <c r="BW451" s="365">
        <v>0</v>
      </c>
      <c r="BX451" s="365">
        <v>0</v>
      </c>
      <c r="BY451" s="365">
        <v>0</v>
      </c>
      <c r="BZ451" s="365">
        <v>0</v>
      </c>
      <c r="CA451" s="365">
        <v>0</v>
      </c>
      <c r="CB451" s="365">
        <v>0</v>
      </c>
      <c r="CC451" s="365">
        <v>0</v>
      </c>
      <c r="CE451"/>
      <c r="CF451"/>
      <c r="CG451"/>
      <c r="CH451"/>
      <c r="CI451"/>
    </row>
    <row r="452" spans="1:87" s="32" customFormat="1" ht="20.25" customHeight="1" thickBot="1" x14ac:dyDescent="0.25">
      <c r="A452" s="185"/>
      <c r="B452" s="269" t="s">
        <v>348</v>
      </c>
      <c r="C452" s="403"/>
      <c r="D452" s="404"/>
      <c r="E452" s="415"/>
      <c r="F452" s="417"/>
      <c r="G452" s="292"/>
      <c r="H452" s="418"/>
      <c r="I452" s="292"/>
      <c r="J452" s="416"/>
      <c r="K452" s="416"/>
      <c r="L452" s="416"/>
      <c r="M452" s="416"/>
      <c r="N452" s="416"/>
      <c r="O452" s="416"/>
      <c r="P452" s="416"/>
      <c r="Q452" s="416"/>
      <c r="R452" s="416"/>
      <c r="S452" s="416"/>
      <c r="T452" s="416"/>
      <c r="U452" s="416"/>
      <c r="V452" s="416"/>
      <c r="W452" s="416"/>
      <c r="X452" s="416"/>
      <c r="Y452" s="416"/>
      <c r="Z452" s="416"/>
      <c r="AA452" s="416"/>
      <c r="AB452" s="416"/>
      <c r="AC452" s="416"/>
      <c r="AD452" s="416"/>
      <c r="AE452" s="416"/>
      <c r="AF452" s="416"/>
      <c r="AG452" s="416"/>
      <c r="AH452" s="416"/>
      <c r="AI452" s="416"/>
      <c r="AJ452" s="416"/>
      <c r="AK452" s="416"/>
      <c r="AL452" s="416"/>
      <c r="AM452" s="416"/>
      <c r="AN452" s="416"/>
      <c r="AO452" s="416"/>
      <c r="AP452" s="416"/>
      <c r="AQ452" s="416"/>
      <c r="AR452" s="416"/>
      <c r="AS452" s="416"/>
      <c r="AT452" s="416"/>
      <c r="AU452" s="416"/>
      <c r="AV452" s="416"/>
      <c r="AW452" s="416"/>
      <c r="AX452" s="416"/>
      <c r="AY452" s="416"/>
      <c r="AZ452" s="416"/>
      <c r="BA452" s="416"/>
      <c r="BB452" s="416"/>
      <c r="BC452" s="416"/>
      <c r="BD452" s="416"/>
      <c r="BE452" s="416"/>
      <c r="BF452" s="416"/>
      <c r="BG452" s="416"/>
      <c r="BH452" s="416"/>
      <c r="BI452" s="416"/>
      <c r="BJ452" s="416"/>
      <c r="BK452" s="416"/>
      <c r="BL452" s="416"/>
      <c r="BM452" s="416"/>
      <c r="BN452" s="416"/>
      <c r="BO452" s="416"/>
      <c r="BP452" s="416"/>
      <c r="BQ452" s="416"/>
      <c r="BR452" s="416"/>
      <c r="BS452" s="416"/>
      <c r="BT452" s="416"/>
      <c r="BU452" s="416"/>
      <c r="BV452" s="416"/>
      <c r="BW452" s="416"/>
      <c r="BX452" s="416"/>
      <c r="BY452" s="416"/>
      <c r="BZ452" s="416"/>
      <c r="CA452" s="416"/>
      <c r="CB452" s="416"/>
      <c r="CC452" s="416"/>
      <c r="CE452"/>
      <c r="CF452"/>
      <c r="CG452"/>
      <c r="CH452"/>
      <c r="CI452"/>
    </row>
    <row r="453" spans="1:87" s="32" customFormat="1" ht="20.25" customHeight="1" thickBot="1" x14ac:dyDescent="0.25">
      <c r="A453" s="185"/>
      <c r="B453" s="184">
        <f ca="1">INDIRECT("B" &amp; (352 + ROWS($A$1:A1)))</f>
        <v>0</v>
      </c>
      <c r="D453" s="100" t="e">
        <f t="shared" si="180"/>
        <v>#N/A</v>
      </c>
      <c r="E453" s="186"/>
      <c r="F453" s="203">
        <f t="shared" si="178"/>
        <v>0</v>
      </c>
      <c r="G453"/>
      <c r="H453" s="306" t="e">
        <f t="shared" si="179"/>
        <v>#N/A</v>
      </c>
      <c r="I453"/>
      <c r="J453" s="365">
        <v>0</v>
      </c>
      <c r="K453" s="365">
        <v>0</v>
      </c>
      <c r="L453" s="365">
        <v>0</v>
      </c>
      <c r="M453" s="365">
        <v>0</v>
      </c>
      <c r="N453" s="365">
        <v>0</v>
      </c>
      <c r="O453" s="365">
        <v>0</v>
      </c>
      <c r="P453" s="365">
        <v>0</v>
      </c>
      <c r="Q453" s="365">
        <v>0</v>
      </c>
      <c r="R453" s="365">
        <v>0</v>
      </c>
      <c r="S453" s="365">
        <v>0</v>
      </c>
      <c r="T453" s="365">
        <v>0</v>
      </c>
      <c r="U453" s="365">
        <v>0</v>
      </c>
      <c r="V453" s="365">
        <v>0</v>
      </c>
      <c r="W453" s="365">
        <v>0</v>
      </c>
      <c r="X453" s="365">
        <v>0</v>
      </c>
      <c r="Y453" s="365">
        <v>0</v>
      </c>
      <c r="Z453" s="365">
        <v>0</v>
      </c>
      <c r="AA453" s="365">
        <v>0</v>
      </c>
      <c r="AB453" s="365">
        <v>0</v>
      </c>
      <c r="AC453" s="365">
        <v>0</v>
      </c>
      <c r="AD453" s="365">
        <v>0</v>
      </c>
      <c r="AE453" s="365">
        <v>0</v>
      </c>
      <c r="AF453" s="365">
        <v>0</v>
      </c>
      <c r="AG453" s="365">
        <v>0</v>
      </c>
      <c r="AH453" s="365">
        <v>0</v>
      </c>
      <c r="AI453" s="365">
        <v>0</v>
      </c>
      <c r="AJ453" s="365">
        <v>0</v>
      </c>
      <c r="AK453" s="365">
        <v>0</v>
      </c>
      <c r="AL453" s="365">
        <v>0</v>
      </c>
      <c r="AM453" s="365">
        <v>0</v>
      </c>
      <c r="AN453" s="365">
        <v>0</v>
      </c>
      <c r="AO453" s="365">
        <v>0</v>
      </c>
      <c r="AP453" s="365">
        <v>0</v>
      </c>
      <c r="AQ453" s="365">
        <v>0</v>
      </c>
      <c r="AR453" s="365">
        <v>0</v>
      </c>
      <c r="AS453" s="365">
        <v>0</v>
      </c>
      <c r="AT453" s="365">
        <v>0</v>
      </c>
      <c r="AU453" s="365">
        <v>0</v>
      </c>
      <c r="AV453" s="365">
        <v>0</v>
      </c>
      <c r="AW453" s="365">
        <v>0</v>
      </c>
      <c r="AX453" s="365">
        <v>0</v>
      </c>
      <c r="AY453" s="365">
        <v>0</v>
      </c>
      <c r="AZ453" s="365">
        <v>0</v>
      </c>
      <c r="BA453" s="365">
        <v>0</v>
      </c>
      <c r="BB453" s="365">
        <v>0</v>
      </c>
      <c r="BC453" s="365">
        <v>0</v>
      </c>
      <c r="BD453" s="365">
        <v>0</v>
      </c>
      <c r="BE453" s="365">
        <v>0</v>
      </c>
      <c r="BF453" s="365">
        <v>0</v>
      </c>
      <c r="BG453" s="365">
        <v>0</v>
      </c>
      <c r="BH453" s="365">
        <v>0</v>
      </c>
      <c r="BI453" s="365">
        <v>0</v>
      </c>
      <c r="BJ453" s="365">
        <v>0</v>
      </c>
      <c r="BK453" s="365">
        <v>0</v>
      </c>
      <c r="BL453" s="365">
        <v>0</v>
      </c>
      <c r="BM453" s="365">
        <v>0</v>
      </c>
      <c r="BN453" s="365">
        <v>0</v>
      </c>
      <c r="BO453" s="365">
        <v>0</v>
      </c>
      <c r="BP453" s="365">
        <v>0</v>
      </c>
      <c r="BQ453" s="365">
        <v>0</v>
      </c>
      <c r="BR453" s="365">
        <v>0</v>
      </c>
      <c r="BS453" s="365">
        <v>0</v>
      </c>
      <c r="BT453" s="365">
        <v>0</v>
      </c>
      <c r="BU453" s="365">
        <v>0</v>
      </c>
      <c r="BV453" s="365">
        <v>0</v>
      </c>
      <c r="BW453" s="365">
        <v>0</v>
      </c>
      <c r="BX453" s="365">
        <v>0</v>
      </c>
      <c r="BY453" s="365">
        <v>0</v>
      </c>
      <c r="BZ453" s="365">
        <v>0</v>
      </c>
      <c r="CA453" s="365">
        <v>0</v>
      </c>
      <c r="CB453" s="365">
        <v>0</v>
      </c>
      <c r="CC453" s="365">
        <v>0</v>
      </c>
      <c r="CE453"/>
      <c r="CF453"/>
      <c r="CG453"/>
      <c r="CH453"/>
      <c r="CI453"/>
    </row>
    <row r="454" spans="1:87" s="32" customFormat="1" ht="20.25" customHeight="1" thickBot="1" x14ac:dyDescent="0.25">
      <c r="A454" s="185"/>
      <c r="B454" s="184">
        <f ca="1">INDIRECT("B" &amp; (352 + ROWS($A$1:A2)))</f>
        <v>0</v>
      </c>
      <c r="D454" s="100" t="e">
        <f t="shared" si="180"/>
        <v>#N/A</v>
      </c>
      <c r="E454" s="186"/>
      <c r="F454" s="203">
        <f t="shared" si="178"/>
        <v>0</v>
      </c>
      <c r="G454"/>
      <c r="H454" s="306" t="e">
        <f t="shared" si="179"/>
        <v>#N/A</v>
      </c>
      <c r="I454"/>
      <c r="J454" s="365">
        <v>0</v>
      </c>
      <c r="K454" s="365">
        <v>0</v>
      </c>
      <c r="L454" s="365">
        <v>0</v>
      </c>
      <c r="M454" s="365">
        <v>0</v>
      </c>
      <c r="N454" s="365">
        <v>0</v>
      </c>
      <c r="O454" s="365">
        <v>0</v>
      </c>
      <c r="P454" s="365">
        <v>0</v>
      </c>
      <c r="Q454" s="365">
        <v>0</v>
      </c>
      <c r="R454" s="365">
        <v>0</v>
      </c>
      <c r="S454" s="365">
        <v>0</v>
      </c>
      <c r="T454" s="365">
        <v>0</v>
      </c>
      <c r="U454" s="365">
        <v>0</v>
      </c>
      <c r="V454" s="365">
        <v>0</v>
      </c>
      <c r="W454" s="365">
        <v>0</v>
      </c>
      <c r="X454" s="365">
        <v>0</v>
      </c>
      <c r="Y454" s="365">
        <v>0</v>
      </c>
      <c r="Z454" s="365">
        <v>0</v>
      </c>
      <c r="AA454" s="365">
        <v>0</v>
      </c>
      <c r="AB454" s="365">
        <v>0</v>
      </c>
      <c r="AC454" s="365">
        <v>0</v>
      </c>
      <c r="AD454" s="365">
        <v>0</v>
      </c>
      <c r="AE454" s="365">
        <v>0</v>
      </c>
      <c r="AF454" s="365">
        <v>0</v>
      </c>
      <c r="AG454" s="365">
        <v>0</v>
      </c>
      <c r="AH454" s="365">
        <v>0</v>
      </c>
      <c r="AI454" s="365">
        <v>0</v>
      </c>
      <c r="AJ454" s="365">
        <v>0</v>
      </c>
      <c r="AK454" s="365">
        <v>0</v>
      </c>
      <c r="AL454" s="365">
        <v>0</v>
      </c>
      <c r="AM454" s="365">
        <v>0</v>
      </c>
      <c r="AN454" s="365">
        <v>0</v>
      </c>
      <c r="AO454" s="365">
        <v>0</v>
      </c>
      <c r="AP454" s="365">
        <v>0</v>
      </c>
      <c r="AQ454" s="365">
        <v>0</v>
      </c>
      <c r="AR454" s="365">
        <v>0</v>
      </c>
      <c r="AS454" s="365">
        <v>0</v>
      </c>
      <c r="AT454" s="365">
        <v>0</v>
      </c>
      <c r="AU454" s="365">
        <v>0</v>
      </c>
      <c r="AV454" s="365">
        <v>0</v>
      </c>
      <c r="AW454" s="365">
        <v>0</v>
      </c>
      <c r="AX454" s="365">
        <v>0</v>
      </c>
      <c r="AY454" s="365">
        <v>0</v>
      </c>
      <c r="AZ454" s="365">
        <v>0</v>
      </c>
      <c r="BA454" s="365">
        <v>0</v>
      </c>
      <c r="BB454" s="365">
        <v>0</v>
      </c>
      <c r="BC454" s="365">
        <v>0</v>
      </c>
      <c r="BD454" s="365">
        <v>0</v>
      </c>
      <c r="BE454" s="365">
        <v>0</v>
      </c>
      <c r="BF454" s="365">
        <v>0</v>
      </c>
      <c r="BG454" s="365">
        <v>0</v>
      </c>
      <c r="BH454" s="365">
        <v>0</v>
      </c>
      <c r="BI454" s="365">
        <v>0</v>
      </c>
      <c r="BJ454" s="365">
        <v>0</v>
      </c>
      <c r="BK454" s="365">
        <v>0</v>
      </c>
      <c r="BL454" s="365">
        <v>0</v>
      </c>
      <c r="BM454" s="365">
        <v>0</v>
      </c>
      <c r="BN454" s="365">
        <v>0</v>
      </c>
      <c r="BO454" s="365">
        <v>0</v>
      </c>
      <c r="BP454" s="365">
        <v>0</v>
      </c>
      <c r="BQ454" s="365">
        <v>0</v>
      </c>
      <c r="BR454" s="365">
        <v>0</v>
      </c>
      <c r="BS454" s="365">
        <v>0</v>
      </c>
      <c r="BT454" s="365">
        <v>0</v>
      </c>
      <c r="BU454" s="365">
        <v>0</v>
      </c>
      <c r="BV454" s="365">
        <v>0</v>
      </c>
      <c r="BW454" s="365">
        <v>0</v>
      </c>
      <c r="BX454" s="365">
        <v>0</v>
      </c>
      <c r="BY454" s="365">
        <v>0</v>
      </c>
      <c r="BZ454" s="365">
        <v>0</v>
      </c>
      <c r="CA454" s="365">
        <v>0</v>
      </c>
      <c r="CB454" s="365">
        <v>0</v>
      </c>
      <c r="CC454" s="365">
        <v>0</v>
      </c>
      <c r="CE454"/>
      <c r="CF454"/>
      <c r="CG454"/>
      <c r="CH454"/>
      <c r="CI454"/>
    </row>
    <row r="455" spans="1:87" s="32" customFormat="1" ht="20.25" customHeight="1" thickBot="1" x14ac:dyDescent="0.25">
      <c r="A455" s="185"/>
      <c r="B455" s="184">
        <f ca="1">INDIRECT("B" &amp; (352 + ROWS($A$1:A3)))</f>
        <v>0</v>
      </c>
      <c r="D455" s="100" t="e">
        <f t="shared" si="180"/>
        <v>#N/A</v>
      </c>
      <c r="E455" s="186"/>
      <c r="F455" s="203">
        <f t="shared" si="178"/>
        <v>0</v>
      </c>
      <c r="G455"/>
      <c r="H455" s="306" t="e">
        <f t="shared" si="179"/>
        <v>#N/A</v>
      </c>
      <c r="I455"/>
      <c r="J455" s="365">
        <v>0</v>
      </c>
      <c r="K455" s="365">
        <v>0</v>
      </c>
      <c r="L455" s="365">
        <v>0</v>
      </c>
      <c r="M455" s="365">
        <v>0</v>
      </c>
      <c r="N455" s="365">
        <v>0</v>
      </c>
      <c r="O455" s="365">
        <v>0</v>
      </c>
      <c r="P455" s="365">
        <v>0</v>
      </c>
      <c r="Q455" s="365">
        <v>0</v>
      </c>
      <c r="R455" s="365">
        <v>0</v>
      </c>
      <c r="S455" s="365">
        <v>0</v>
      </c>
      <c r="T455" s="365">
        <v>0</v>
      </c>
      <c r="U455" s="365">
        <v>0</v>
      </c>
      <c r="V455" s="365">
        <v>0</v>
      </c>
      <c r="W455" s="365">
        <v>0</v>
      </c>
      <c r="X455" s="365">
        <v>0</v>
      </c>
      <c r="Y455" s="365">
        <v>0</v>
      </c>
      <c r="Z455" s="365">
        <v>0</v>
      </c>
      <c r="AA455" s="365">
        <v>0</v>
      </c>
      <c r="AB455" s="365">
        <v>0</v>
      </c>
      <c r="AC455" s="365">
        <v>0</v>
      </c>
      <c r="AD455" s="365">
        <v>0</v>
      </c>
      <c r="AE455" s="365">
        <v>0</v>
      </c>
      <c r="AF455" s="365">
        <v>0</v>
      </c>
      <c r="AG455" s="365">
        <v>0</v>
      </c>
      <c r="AH455" s="365">
        <v>0</v>
      </c>
      <c r="AI455" s="365">
        <v>0</v>
      </c>
      <c r="AJ455" s="365">
        <v>0</v>
      </c>
      <c r="AK455" s="365">
        <v>0</v>
      </c>
      <c r="AL455" s="365">
        <v>0</v>
      </c>
      <c r="AM455" s="365">
        <v>0</v>
      </c>
      <c r="AN455" s="365">
        <v>0</v>
      </c>
      <c r="AO455" s="365">
        <v>0</v>
      </c>
      <c r="AP455" s="365">
        <v>0</v>
      </c>
      <c r="AQ455" s="365">
        <v>0</v>
      </c>
      <c r="AR455" s="365">
        <v>0</v>
      </c>
      <c r="AS455" s="365">
        <v>0</v>
      </c>
      <c r="AT455" s="365">
        <v>0</v>
      </c>
      <c r="AU455" s="365">
        <v>0</v>
      </c>
      <c r="AV455" s="365">
        <v>0</v>
      </c>
      <c r="AW455" s="365">
        <v>0</v>
      </c>
      <c r="AX455" s="365">
        <v>0</v>
      </c>
      <c r="AY455" s="365">
        <v>0</v>
      </c>
      <c r="AZ455" s="365">
        <v>0</v>
      </c>
      <c r="BA455" s="365">
        <v>0</v>
      </c>
      <c r="BB455" s="365">
        <v>0</v>
      </c>
      <c r="BC455" s="365">
        <v>0</v>
      </c>
      <c r="BD455" s="365">
        <v>0</v>
      </c>
      <c r="BE455" s="365">
        <v>0</v>
      </c>
      <c r="BF455" s="365">
        <v>0</v>
      </c>
      <c r="BG455" s="365">
        <v>0</v>
      </c>
      <c r="BH455" s="365">
        <v>0</v>
      </c>
      <c r="BI455" s="365">
        <v>0</v>
      </c>
      <c r="BJ455" s="365">
        <v>0</v>
      </c>
      <c r="BK455" s="365">
        <v>0</v>
      </c>
      <c r="BL455" s="365">
        <v>0</v>
      </c>
      <c r="BM455" s="365">
        <v>0</v>
      </c>
      <c r="BN455" s="365">
        <v>0</v>
      </c>
      <c r="BO455" s="365">
        <v>0</v>
      </c>
      <c r="BP455" s="365">
        <v>0</v>
      </c>
      <c r="BQ455" s="365">
        <v>0</v>
      </c>
      <c r="BR455" s="365">
        <v>0</v>
      </c>
      <c r="BS455" s="365">
        <v>0</v>
      </c>
      <c r="BT455" s="365">
        <v>0</v>
      </c>
      <c r="BU455" s="365">
        <v>0</v>
      </c>
      <c r="BV455" s="365">
        <v>0</v>
      </c>
      <c r="BW455" s="365">
        <v>0</v>
      </c>
      <c r="BX455" s="365">
        <v>0</v>
      </c>
      <c r="BY455" s="365">
        <v>0</v>
      </c>
      <c r="BZ455" s="365">
        <v>0</v>
      </c>
      <c r="CA455" s="365">
        <v>0</v>
      </c>
      <c r="CB455" s="365">
        <v>0</v>
      </c>
      <c r="CC455" s="365">
        <v>0</v>
      </c>
      <c r="CE455"/>
      <c r="CF455"/>
      <c r="CG455"/>
      <c r="CH455"/>
      <c r="CI455"/>
    </row>
    <row r="456" spans="1:87" s="32" customFormat="1" ht="20.25" customHeight="1" thickBot="1" x14ac:dyDescent="0.25">
      <c r="A456" s="185"/>
      <c r="B456" s="184">
        <f ca="1">INDIRECT("B" &amp; (352 + ROWS($A$1:A4)))</f>
        <v>0</v>
      </c>
      <c r="D456" s="100" t="e">
        <f t="shared" si="180"/>
        <v>#N/A</v>
      </c>
      <c r="E456" s="186"/>
      <c r="F456" s="203">
        <f t="shared" si="178"/>
        <v>0</v>
      </c>
      <c r="G456"/>
      <c r="H456" s="306" t="e">
        <f t="shared" si="179"/>
        <v>#N/A</v>
      </c>
      <c r="I456"/>
      <c r="J456" s="365">
        <v>0</v>
      </c>
      <c r="K456" s="365">
        <v>0</v>
      </c>
      <c r="L456" s="365">
        <v>0</v>
      </c>
      <c r="M456" s="365">
        <v>0</v>
      </c>
      <c r="N456" s="365">
        <v>0</v>
      </c>
      <c r="O456" s="365">
        <v>0</v>
      </c>
      <c r="P456" s="365">
        <v>0</v>
      </c>
      <c r="Q456" s="365">
        <v>0</v>
      </c>
      <c r="R456" s="365">
        <v>0</v>
      </c>
      <c r="S456" s="365">
        <v>0</v>
      </c>
      <c r="T456" s="365">
        <v>0</v>
      </c>
      <c r="U456" s="365">
        <v>0</v>
      </c>
      <c r="V456" s="365">
        <v>0</v>
      </c>
      <c r="W456" s="365">
        <v>0</v>
      </c>
      <c r="X456" s="365">
        <v>0</v>
      </c>
      <c r="Y456" s="365">
        <v>0</v>
      </c>
      <c r="Z456" s="365">
        <v>0</v>
      </c>
      <c r="AA456" s="365">
        <v>0</v>
      </c>
      <c r="AB456" s="365">
        <v>0</v>
      </c>
      <c r="AC456" s="365">
        <v>0</v>
      </c>
      <c r="AD456" s="365">
        <v>0</v>
      </c>
      <c r="AE456" s="365">
        <v>0</v>
      </c>
      <c r="AF456" s="365">
        <v>0</v>
      </c>
      <c r="AG456" s="365">
        <v>0</v>
      </c>
      <c r="AH456" s="365">
        <v>0</v>
      </c>
      <c r="AI456" s="365">
        <v>0</v>
      </c>
      <c r="AJ456" s="365">
        <v>0</v>
      </c>
      <c r="AK456" s="365">
        <v>0</v>
      </c>
      <c r="AL456" s="365">
        <v>0</v>
      </c>
      <c r="AM456" s="365">
        <v>0</v>
      </c>
      <c r="AN456" s="365">
        <v>0</v>
      </c>
      <c r="AO456" s="365">
        <v>0</v>
      </c>
      <c r="AP456" s="365">
        <v>0</v>
      </c>
      <c r="AQ456" s="365">
        <v>0</v>
      </c>
      <c r="AR456" s="365">
        <v>0</v>
      </c>
      <c r="AS456" s="365">
        <v>0</v>
      </c>
      <c r="AT456" s="365">
        <v>0</v>
      </c>
      <c r="AU456" s="365">
        <v>0</v>
      </c>
      <c r="AV456" s="365">
        <v>0</v>
      </c>
      <c r="AW456" s="365">
        <v>0</v>
      </c>
      <c r="AX456" s="365">
        <v>0</v>
      </c>
      <c r="AY456" s="365">
        <v>0</v>
      </c>
      <c r="AZ456" s="365">
        <v>0</v>
      </c>
      <c r="BA456" s="365">
        <v>0</v>
      </c>
      <c r="BB456" s="365">
        <v>0</v>
      </c>
      <c r="BC456" s="365">
        <v>0</v>
      </c>
      <c r="BD456" s="365">
        <v>0</v>
      </c>
      <c r="BE456" s="365">
        <v>0</v>
      </c>
      <c r="BF456" s="365">
        <v>0</v>
      </c>
      <c r="BG456" s="365">
        <v>0</v>
      </c>
      <c r="BH456" s="365">
        <v>0</v>
      </c>
      <c r="BI456" s="365">
        <v>0</v>
      </c>
      <c r="BJ456" s="365">
        <v>0</v>
      </c>
      <c r="BK456" s="365">
        <v>0</v>
      </c>
      <c r="BL456" s="365">
        <v>0</v>
      </c>
      <c r="BM456" s="365">
        <v>0</v>
      </c>
      <c r="BN456" s="365">
        <v>0</v>
      </c>
      <c r="BO456" s="365">
        <v>0</v>
      </c>
      <c r="BP456" s="365">
        <v>0</v>
      </c>
      <c r="BQ456" s="365">
        <v>0</v>
      </c>
      <c r="BR456" s="365">
        <v>0</v>
      </c>
      <c r="BS456" s="365">
        <v>0</v>
      </c>
      <c r="BT456" s="365">
        <v>0</v>
      </c>
      <c r="BU456" s="365">
        <v>0</v>
      </c>
      <c r="BV456" s="365">
        <v>0</v>
      </c>
      <c r="BW456" s="365">
        <v>0</v>
      </c>
      <c r="BX456" s="365">
        <v>0</v>
      </c>
      <c r="BY456" s="365">
        <v>0</v>
      </c>
      <c r="BZ456" s="365">
        <v>0</v>
      </c>
      <c r="CA456" s="365">
        <v>0</v>
      </c>
      <c r="CB456" s="365">
        <v>0</v>
      </c>
      <c r="CC456" s="365">
        <v>0</v>
      </c>
      <c r="CE456"/>
      <c r="CF456"/>
      <c r="CG456"/>
      <c r="CH456"/>
      <c r="CI456"/>
    </row>
    <row r="457" spans="1:87" s="32" customFormat="1" ht="20.25" customHeight="1" thickBot="1" x14ac:dyDescent="0.25">
      <c r="A457" s="185"/>
      <c r="B457" s="184">
        <f ca="1">INDIRECT("B" &amp; (352 + ROWS($A$1:A5)))</f>
        <v>0</v>
      </c>
      <c r="D457" s="100" t="e">
        <f t="shared" si="180"/>
        <v>#N/A</v>
      </c>
      <c r="E457" s="186"/>
      <c r="F457" s="203">
        <f t="shared" si="178"/>
        <v>0</v>
      </c>
      <c r="G457"/>
      <c r="H457" s="306" t="e">
        <f t="shared" si="179"/>
        <v>#N/A</v>
      </c>
      <c r="I457"/>
      <c r="J457" s="365">
        <v>0</v>
      </c>
      <c r="K457" s="365">
        <v>0</v>
      </c>
      <c r="L457" s="365">
        <v>0</v>
      </c>
      <c r="M457" s="365">
        <v>0</v>
      </c>
      <c r="N457" s="365">
        <v>0</v>
      </c>
      <c r="O457" s="365">
        <v>0</v>
      </c>
      <c r="P457" s="365">
        <v>0</v>
      </c>
      <c r="Q457" s="365">
        <v>0</v>
      </c>
      <c r="R457" s="365">
        <v>0</v>
      </c>
      <c r="S457" s="365">
        <v>0</v>
      </c>
      <c r="T457" s="365">
        <v>0</v>
      </c>
      <c r="U457" s="365">
        <v>0</v>
      </c>
      <c r="V457" s="365">
        <v>0</v>
      </c>
      <c r="W457" s="365">
        <v>0</v>
      </c>
      <c r="X457" s="365">
        <v>0</v>
      </c>
      <c r="Y457" s="365">
        <v>0</v>
      </c>
      <c r="Z457" s="365">
        <v>0</v>
      </c>
      <c r="AA457" s="365">
        <v>0</v>
      </c>
      <c r="AB457" s="365">
        <v>0</v>
      </c>
      <c r="AC457" s="365">
        <v>0</v>
      </c>
      <c r="AD457" s="365">
        <v>0</v>
      </c>
      <c r="AE457" s="365">
        <v>0</v>
      </c>
      <c r="AF457" s="365">
        <v>0</v>
      </c>
      <c r="AG457" s="365">
        <v>0</v>
      </c>
      <c r="AH457" s="365">
        <v>0</v>
      </c>
      <c r="AI457" s="365">
        <v>0</v>
      </c>
      <c r="AJ457" s="365">
        <v>0</v>
      </c>
      <c r="AK457" s="365">
        <v>0</v>
      </c>
      <c r="AL457" s="365">
        <v>0</v>
      </c>
      <c r="AM457" s="365">
        <v>0</v>
      </c>
      <c r="AN457" s="365">
        <v>0</v>
      </c>
      <c r="AO457" s="365">
        <v>0</v>
      </c>
      <c r="AP457" s="365">
        <v>0</v>
      </c>
      <c r="AQ457" s="365">
        <v>0</v>
      </c>
      <c r="AR457" s="365">
        <v>0</v>
      </c>
      <c r="AS457" s="365">
        <v>0</v>
      </c>
      <c r="AT457" s="365">
        <v>0</v>
      </c>
      <c r="AU457" s="365">
        <v>0</v>
      </c>
      <c r="AV457" s="365">
        <v>0</v>
      </c>
      <c r="AW457" s="365">
        <v>0</v>
      </c>
      <c r="AX457" s="365">
        <v>0</v>
      </c>
      <c r="AY457" s="365">
        <v>0</v>
      </c>
      <c r="AZ457" s="365">
        <v>0</v>
      </c>
      <c r="BA457" s="365">
        <v>0</v>
      </c>
      <c r="BB457" s="365">
        <v>0</v>
      </c>
      <c r="BC457" s="365">
        <v>0</v>
      </c>
      <c r="BD457" s="365">
        <v>0</v>
      </c>
      <c r="BE457" s="365">
        <v>0</v>
      </c>
      <c r="BF457" s="365">
        <v>0</v>
      </c>
      <c r="BG457" s="365">
        <v>0</v>
      </c>
      <c r="BH457" s="365">
        <v>0</v>
      </c>
      <c r="BI457" s="365">
        <v>0</v>
      </c>
      <c r="BJ457" s="365">
        <v>0</v>
      </c>
      <c r="BK457" s="365">
        <v>0</v>
      </c>
      <c r="BL457" s="365">
        <v>0</v>
      </c>
      <c r="BM457" s="365">
        <v>0</v>
      </c>
      <c r="BN457" s="365">
        <v>0</v>
      </c>
      <c r="BO457" s="365">
        <v>0</v>
      </c>
      <c r="BP457" s="365">
        <v>0</v>
      </c>
      <c r="BQ457" s="365">
        <v>0</v>
      </c>
      <c r="BR457" s="365">
        <v>0</v>
      </c>
      <c r="BS457" s="365">
        <v>0</v>
      </c>
      <c r="BT457" s="365">
        <v>0</v>
      </c>
      <c r="BU457" s="365">
        <v>0</v>
      </c>
      <c r="BV457" s="365">
        <v>0</v>
      </c>
      <c r="BW457" s="365">
        <v>0</v>
      </c>
      <c r="BX457" s="365">
        <v>0</v>
      </c>
      <c r="BY457" s="365">
        <v>0</v>
      </c>
      <c r="BZ457" s="365">
        <v>0</v>
      </c>
      <c r="CA457" s="365">
        <v>0</v>
      </c>
      <c r="CB457" s="365">
        <v>0</v>
      </c>
      <c r="CC457" s="365">
        <v>0</v>
      </c>
      <c r="CE457"/>
      <c r="CF457"/>
      <c r="CG457"/>
      <c r="CH457"/>
      <c r="CI457"/>
    </row>
    <row r="458" spans="1:87" s="32" customFormat="1" ht="20.25" customHeight="1" x14ac:dyDescent="0.2">
      <c r="A458" s="185"/>
    </row>
    <row r="459" spans="1:87" s="32" customFormat="1" ht="5.0999999999999996" customHeight="1" thickBot="1" x14ac:dyDescent="0.25">
      <c r="A459" s="185"/>
      <c r="F459" s="136"/>
      <c r="J459" s="136"/>
      <c r="K459" s="136"/>
      <c r="L459" s="136"/>
      <c r="M459" s="136"/>
      <c r="N459" s="136"/>
      <c r="O459" s="136"/>
      <c r="P459" s="136"/>
      <c r="Q459" s="136"/>
    </row>
    <row r="460" spans="1:87" s="32" customFormat="1" ht="15" customHeight="1" thickBot="1" x14ac:dyDescent="0.25">
      <c r="A460" s="185"/>
      <c r="B460" s="492" t="s">
        <v>125</v>
      </c>
      <c r="C460" s="493"/>
      <c r="D460" s="494"/>
      <c r="E460" s="186"/>
      <c r="F460" s="301">
        <f>SUM(F442:F459)</f>
        <v>0</v>
      </c>
      <c r="G460" s="2"/>
      <c r="H460" s="2"/>
      <c r="I460" s="2"/>
      <c r="J460" s="301">
        <f t="shared" ref="J460:AO460" si="181">SUM(J431:J459)</f>
        <v>0</v>
      </c>
      <c r="K460" s="301">
        <f t="shared" si="181"/>
        <v>0</v>
      </c>
      <c r="L460" s="301">
        <f t="shared" si="181"/>
        <v>0</v>
      </c>
      <c r="M460" s="301">
        <f t="shared" si="181"/>
        <v>0</v>
      </c>
      <c r="N460" s="301">
        <f t="shared" si="181"/>
        <v>0</v>
      </c>
      <c r="O460" s="301">
        <f t="shared" si="181"/>
        <v>0</v>
      </c>
      <c r="P460" s="301">
        <f t="shared" si="181"/>
        <v>0</v>
      </c>
      <c r="Q460" s="301">
        <f t="shared" si="181"/>
        <v>0</v>
      </c>
      <c r="R460" s="301">
        <f t="shared" si="181"/>
        <v>0</v>
      </c>
      <c r="S460" s="301">
        <f t="shared" si="181"/>
        <v>0</v>
      </c>
      <c r="T460" s="301">
        <f t="shared" si="181"/>
        <v>0</v>
      </c>
      <c r="U460" s="301">
        <f t="shared" si="181"/>
        <v>0</v>
      </c>
      <c r="V460" s="301">
        <f t="shared" si="181"/>
        <v>0</v>
      </c>
      <c r="W460" s="301">
        <f t="shared" si="181"/>
        <v>0</v>
      </c>
      <c r="X460" s="301">
        <f t="shared" si="181"/>
        <v>0</v>
      </c>
      <c r="Y460" s="301">
        <f t="shared" si="181"/>
        <v>0</v>
      </c>
      <c r="Z460" s="301">
        <f t="shared" si="181"/>
        <v>0</v>
      </c>
      <c r="AA460" s="301">
        <f t="shared" si="181"/>
        <v>0</v>
      </c>
      <c r="AB460" s="301">
        <f t="shared" si="181"/>
        <v>0</v>
      </c>
      <c r="AC460" s="301">
        <f t="shared" si="181"/>
        <v>0</v>
      </c>
      <c r="AD460" s="301">
        <f t="shared" si="181"/>
        <v>0</v>
      </c>
      <c r="AE460" s="301">
        <f t="shared" si="181"/>
        <v>0</v>
      </c>
      <c r="AF460" s="301">
        <f t="shared" si="181"/>
        <v>0</v>
      </c>
      <c r="AG460" s="301">
        <f t="shared" si="181"/>
        <v>0</v>
      </c>
      <c r="AH460" s="301">
        <f t="shared" si="181"/>
        <v>0</v>
      </c>
      <c r="AI460" s="301">
        <f t="shared" si="181"/>
        <v>0</v>
      </c>
      <c r="AJ460" s="301">
        <f t="shared" si="181"/>
        <v>0</v>
      </c>
      <c r="AK460" s="301">
        <f t="shared" si="181"/>
        <v>0</v>
      </c>
      <c r="AL460" s="301">
        <f t="shared" si="181"/>
        <v>0</v>
      </c>
      <c r="AM460" s="301">
        <f t="shared" si="181"/>
        <v>0</v>
      </c>
      <c r="AN460" s="301">
        <f t="shared" si="181"/>
        <v>0</v>
      </c>
      <c r="AO460" s="301">
        <f t="shared" si="181"/>
        <v>0</v>
      </c>
      <c r="AP460" s="301">
        <f t="shared" ref="AP460:BU460" si="182">SUM(AP431:AP459)</f>
        <v>0</v>
      </c>
      <c r="AQ460" s="301">
        <f t="shared" si="182"/>
        <v>0</v>
      </c>
      <c r="AR460" s="301">
        <f t="shared" si="182"/>
        <v>0</v>
      </c>
      <c r="AS460" s="301">
        <f t="shared" si="182"/>
        <v>0</v>
      </c>
      <c r="AT460" s="301">
        <f t="shared" si="182"/>
        <v>0</v>
      </c>
      <c r="AU460" s="301">
        <f t="shared" si="182"/>
        <v>0</v>
      </c>
      <c r="AV460" s="301">
        <f t="shared" si="182"/>
        <v>0</v>
      </c>
      <c r="AW460" s="301">
        <f t="shared" si="182"/>
        <v>0</v>
      </c>
      <c r="AX460" s="301">
        <f t="shared" si="182"/>
        <v>0</v>
      </c>
      <c r="AY460" s="301">
        <f t="shared" si="182"/>
        <v>0</v>
      </c>
      <c r="AZ460" s="301">
        <f t="shared" si="182"/>
        <v>0</v>
      </c>
      <c r="BA460" s="301">
        <f t="shared" si="182"/>
        <v>0</v>
      </c>
      <c r="BB460" s="301">
        <f t="shared" si="182"/>
        <v>0</v>
      </c>
      <c r="BC460" s="301">
        <f t="shared" si="182"/>
        <v>0</v>
      </c>
      <c r="BD460" s="301">
        <f t="shared" si="182"/>
        <v>0</v>
      </c>
      <c r="BE460" s="301">
        <f t="shared" si="182"/>
        <v>0</v>
      </c>
      <c r="BF460" s="301">
        <f t="shared" si="182"/>
        <v>0</v>
      </c>
      <c r="BG460" s="301">
        <f t="shared" si="182"/>
        <v>0</v>
      </c>
      <c r="BH460" s="301">
        <f t="shared" si="182"/>
        <v>0</v>
      </c>
      <c r="BI460" s="301">
        <f t="shared" si="182"/>
        <v>0</v>
      </c>
      <c r="BJ460" s="301">
        <f t="shared" si="182"/>
        <v>0</v>
      </c>
      <c r="BK460" s="301">
        <f t="shared" si="182"/>
        <v>0</v>
      </c>
      <c r="BL460" s="301">
        <f t="shared" si="182"/>
        <v>0</v>
      </c>
      <c r="BM460" s="301">
        <f t="shared" si="182"/>
        <v>0</v>
      </c>
      <c r="BN460" s="301">
        <f t="shared" si="182"/>
        <v>0</v>
      </c>
      <c r="BO460" s="301">
        <f t="shared" si="182"/>
        <v>0</v>
      </c>
      <c r="BP460" s="301">
        <f t="shared" si="182"/>
        <v>0</v>
      </c>
      <c r="BQ460" s="301">
        <f t="shared" si="182"/>
        <v>0</v>
      </c>
      <c r="BR460" s="301">
        <f t="shared" si="182"/>
        <v>0</v>
      </c>
      <c r="BS460" s="301">
        <f t="shared" si="182"/>
        <v>0</v>
      </c>
      <c r="BT460" s="301">
        <f t="shared" si="182"/>
        <v>0</v>
      </c>
      <c r="BU460" s="301">
        <f t="shared" si="182"/>
        <v>0</v>
      </c>
      <c r="BV460" s="301">
        <f t="shared" ref="BV460:CC460" si="183">SUM(BV431:BV459)</f>
        <v>0</v>
      </c>
      <c r="BW460" s="301">
        <f t="shared" si="183"/>
        <v>0</v>
      </c>
      <c r="BX460" s="301">
        <f t="shared" si="183"/>
        <v>0</v>
      </c>
      <c r="BY460" s="301">
        <f t="shared" si="183"/>
        <v>0</v>
      </c>
      <c r="BZ460" s="301">
        <f t="shared" si="183"/>
        <v>0</v>
      </c>
      <c r="CA460" s="301">
        <f t="shared" si="183"/>
        <v>0</v>
      </c>
      <c r="CB460" s="301">
        <f t="shared" si="183"/>
        <v>0</v>
      </c>
      <c r="CC460" s="301">
        <f t="shared" si="183"/>
        <v>0</v>
      </c>
    </row>
    <row r="461" spans="1:87" ht="5.0999999999999996" customHeight="1" thickBot="1" x14ac:dyDescent="0.25">
      <c r="B461" s="272"/>
      <c r="C461" s="272"/>
      <c r="D461" s="272"/>
      <c r="E461" s="2"/>
      <c r="F461" s="2"/>
      <c r="G461" s="2"/>
      <c r="H461" s="2"/>
      <c r="I461" s="2"/>
      <c r="J461" s="318"/>
      <c r="K461" s="318"/>
      <c r="L461" s="318"/>
      <c r="M461" s="318"/>
      <c r="N461" s="318"/>
      <c r="O461" s="318"/>
      <c r="P461" s="318"/>
      <c r="Q461" s="318"/>
      <c r="R461" s="318"/>
      <c r="S461" s="318"/>
      <c r="T461" s="318"/>
      <c r="U461" s="318"/>
      <c r="V461" s="318"/>
      <c r="W461" s="318"/>
      <c r="X461" s="318"/>
      <c r="Y461" s="318"/>
      <c r="Z461" s="318"/>
      <c r="AA461" s="318"/>
      <c r="AB461" s="318"/>
      <c r="AC461" s="318"/>
      <c r="AD461" s="318"/>
      <c r="AE461" s="318"/>
      <c r="AF461" s="318"/>
      <c r="AG461" s="318"/>
      <c r="AH461" s="318"/>
      <c r="AI461" s="318"/>
      <c r="AJ461" s="318"/>
      <c r="AK461" s="318"/>
      <c r="AL461" s="318"/>
      <c r="AM461" s="318"/>
      <c r="AN461" s="318"/>
      <c r="AO461" s="318"/>
      <c r="AP461" s="318"/>
      <c r="AQ461" s="318"/>
      <c r="AR461" s="318"/>
      <c r="AS461" s="318"/>
      <c r="AT461" s="318"/>
      <c r="AU461" s="318"/>
      <c r="AV461" s="318"/>
      <c r="AW461" s="318"/>
      <c r="AX461" s="318"/>
      <c r="AY461" s="318"/>
      <c r="AZ461" s="318"/>
      <c r="BA461" s="318"/>
      <c r="BB461" s="318"/>
      <c r="BC461" s="318"/>
      <c r="BD461" s="318"/>
      <c r="BE461" s="318"/>
      <c r="BF461" s="318"/>
      <c r="BG461" s="318"/>
      <c r="BH461" s="318"/>
      <c r="BI461" s="318"/>
      <c r="BJ461" s="318"/>
      <c r="BK461" s="318"/>
      <c r="BL461" s="318"/>
      <c r="BM461" s="318"/>
      <c r="BN461" s="318"/>
      <c r="BO461" s="318"/>
      <c r="BP461" s="318"/>
      <c r="BQ461" s="318"/>
      <c r="BR461" s="318"/>
      <c r="BS461" s="318"/>
      <c r="BT461" s="318"/>
      <c r="BU461" s="318"/>
      <c r="BV461" s="318"/>
      <c r="BW461" s="318"/>
      <c r="BX461" s="318"/>
      <c r="BY461" s="318"/>
      <c r="BZ461" s="318"/>
      <c r="CA461" s="318"/>
      <c r="CB461" s="318"/>
      <c r="CC461" s="318"/>
    </row>
    <row r="462" spans="1:87" s="32" customFormat="1" ht="15" customHeight="1" thickBot="1" x14ac:dyDescent="0.25">
      <c r="A462" s="185"/>
      <c r="B462" s="492" t="s">
        <v>120</v>
      </c>
      <c r="C462" s="493"/>
      <c r="D462" s="494"/>
      <c r="E462" s="186"/>
      <c r="F462" s="290" t="e">
        <f>SUM(J462:CC462)</f>
        <v>#N/A</v>
      </c>
      <c r="G462" s="316"/>
      <c r="H462" s="290" t="e">
        <f>SUM(H431:H461)</f>
        <v>#N/A</v>
      </c>
      <c r="I462" s="316"/>
      <c r="J462" s="290" t="e">
        <f t="shared" ref="J462:AO462" si="184">+J460*J326</f>
        <v>#N/A</v>
      </c>
      <c r="K462" s="290" t="e">
        <f t="shared" si="184"/>
        <v>#N/A</v>
      </c>
      <c r="L462" s="290" t="e">
        <f t="shared" si="184"/>
        <v>#N/A</v>
      </c>
      <c r="M462" s="290" t="e">
        <f t="shared" si="184"/>
        <v>#N/A</v>
      </c>
      <c r="N462" s="290" t="e">
        <f t="shared" si="184"/>
        <v>#N/A</v>
      </c>
      <c r="O462" s="290" t="e">
        <f t="shared" si="184"/>
        <v>#N/A</v>
      </c>
      <c r="P462" s="290" t="e">
        <f t="shared" si="184"/>
        <v>#N/A</v>
      </c>
      <c r="Q462" s="290" t="e">
        <f t="shared" si="184"/>
        <v>#N/A</v>
      </c>
      <c r="R462" s="290" t="e">
        <f t="shared" si="184"/>
        <v>#N/A</v>
      </c>
      <c r="S462" s="290" t="e">
        <f t="shared" si="184"/>
        <v>#N/A</v>
      </c>
      <c r="T462" s="290" t="e">
        <f t="shared" si="184"/>
        <v>#N/A</v>
      </c>
      <c r="U462" s="290" t="e">
        <f t="shared" si="184"/>
        <v>#N/A</v>
      </c>
      <c r="V462" s="290" t="e">
        <f t="shared" si="184"/>
        <v>#N/A</v>
      </c>
      <c r="W462" s="290" t="e">
        <f t="shared" si="184"/>
        <v>#N/A</v>
      </c>
      <c r="X462" s="290" t="e">
        <f t="shared" si="184"/>
        <v>#N/A</v>
      </c>
      <c r="Y462" s="290" t="e">
        <f t="shared" si="184"/>
        <v>#N/A</v>
      </c>
      <c r="Z462" s="290" t="e">
        <f t="shared" si="184"/>
        <v>#N/A</v>
      </c>
      <c r="AA462" s="290" t="e">
        <f t="shared" si="184"/>
        <v>#N/A</v>
      </c>
      <c r="AB462" s="290" t="e">
        <f t="shared" si="184"/>
        <v>#N/A</v>
      </c>
      <c r="AC462" s="290" t="e">
        <f t="shared" si="184"/>
        <v>#N/A</v>
      </c>
      <c r="AD462" s="290" t="e">
        <f t="shared" si="184"/>
        <v>#N/A</v>
      </c>
      <c r="AE462" s="290" t="e">
        <f t="shared" si="184"/>
        <v>#N/A</v>
      </c>
      <c r="AF462" s="290" t="e">
        <f t="shared" si="184"/>
        <v>#N/A</v>
      </c>
      <c r="AG462" s="290" t="e">
        <f t="shared" si="184"/>
        <v>#N/A</v>
      </c>
      <c r="AH462" s="290" t="e">
        <f t="shared" si="184"/>
        <v>#N/A</v>
      </c>
      <c r="AI462" s="290" t="e">
        <f t="shared" si="184"/>
        <v>#N/A</v>
      </c>
      <c r="AJ462" s="290" t="e">
        <f t="shared" si="184"/>
        <v>#N/A</v>
      </c>
      <c r="AK462" s="290" t="e">
        <f t="shared" si="184"/>
        <v>#N/A</v>
      </c>
      <c r="AL462" s="290" t="e">
        <f t="shared" si="184"/>
        <v>#N/A</v>
      </c>
      <c r="AM462" s="290" t="e">
        <f t="shared" si="184"/>
        <v>#N/A</v>
      </c>
      <c r="AN462" s="290" t="e">
        <f t="shared" si="184"/>
        <v>#N/A</v>
      </c>
      <c r="AO462" s="290" t="e">
        <f t="shared" si="184"/>
        <v>#N/A</v>
      </c>
      <c r="AP462" s="290" t="e">
        <f t="shared" ref="AP462:BU462" si="185">+AP460*AP326</f>
        <v>#N/A</v>
      </c>
      <c r="AQ462" s="290" t="e">
        <f t="shared" si="185"/>
        <v>#N/A</v>
      </c>
      <c r="AR462" s="290" t="e">
        <f t="shared" si="185"/>
        <v>#N/A</v>
      </c>
      <c r="AS462" s="290" t="e">
        <f t="shared" si="185"/>
        <v>#N/A</v>
      </c>
      <c r="AT462" s="290" t="e">
        <f t="shared" si="185"/>
        <v>#N/A</v>
      </c>
      <c r="AU462" s="290" t="e">
        <f t="shared" si="185"/>
        <v>#N/A</v>
      </c>
      <c r="AV462" s="290" t="e">
        <f t="shared" si="185"/>
        <v>#N/A</v>
      </c>
      <c r="AW462" s="290" t="e">
        <f t="shared" si="185"/>
        <v>#N/A</v>
      </c>
      <c r="AX462" s="290" t="e">
        <f t="shared" si="185"/>
        <v>#N/A</v>
      </c>
      <c r="AY462" s="290" t="e">
        <f t="shared" si="185"/>
        <v>#N/A</v>
      </c>
      <c r="AZ462" s="290" t="e">
        <f t="shared" si="185"/>
        <v>#N/A</v>
      </c>
      <c r="BA462" s="290" t="e">
        <f t="shared" si="185"/>
        <v>#N/A</v>
      </c>
      <c r="BB462" s="290" t="e">
        <f t="shared" si="185"/>
        <v>#N/A</v>
      </c>
      <c r="BC462" s="290" t="e">
        <f t="shared" si="185"/>
        <v>#N/A</v>
      </c>
      <c r="BD462" s="290" t="e">
        <f t="shared" si="185"/>
        <v>#N/A</v>
      </c>
      <c r="BE462" s="290" t="e">
        <f t="shared" si="185"/>
        <v>#N/A</v>
      </c>
      <c r="BF462" s="290" t="e">
        <f t="shared" si="185"/>
        <v>#N/A</v>
      </c>
      <c r="BG462" s="290" t="e">
        <f t="shared" si="185"/>
        <v>#N/A</v>
      </c>
      <c r="BH462" s="290" t="e">
        <f t="shared" si="185"/>
        <v>#N/A</v>
      </c>
      <c r="BI462" s="290" t="e">
        <f t="shared" si="185"/>
        <v>#N/A</v>
      </c>
      <c r="BJ462" s="290" t="e">
        <f t="shared" si="185"/>
        <v>#N/A</v>
      </c>
      <c r="BK462" s="290" t="e">
        <f t="shared" si="185"/>
        <v>#N/A</v>
      </c>
      <c r="BL462" s="290" t="e">
        <f t="shared" si="185"/>
        <v>#N/A</v>
      </c>
      <c r="BM462" s="290" t="e">
        <f t="shared" si="185"/>
        <v>#N/A</v>
      </c>
      <c r="BN462" s="290" t="e">
        <f t="shared" si="185"/>
        <v>#N/A</v>
      </c>
      <c r="BO462" s="290" t="e">
        <f t="shared" si="185"/>
        <v>#N/A</v>
      </c>
      <c r="BP462" s="290" t="e">
        <f t="shared" si="185"/>
        <v>#N/A</v>
      </c>
      <c r="BQ462" s="290" t="e">
        <f t="shared" si="185"/>
        <v>#N/A</v>
      </c>
      <c r="BR462" s="290" t="e">
        <f t="shared" si="185"/>
        <v>#N/A</v>
      </c>
      <c r="BS462" s="290" t="e">
        <f t="shared" si="185"/>
        <v>#N/A</v>
      </c>
      <c r="BT462" s="290" t="e">
        <f t="shared" si="185"/>
        <v>#N/A</v>
      </c>
      <c r="BU462" s="290" t="e">
        <f t="shared" si="185"/>
        <v>#N/A</v>
      </c>
      <c r="BV462" s="290" t="e">
        <f t="shared" ref="BV462:CC462" si="186">+BV460*BV326</f>
        <v>#N/A</v>
      </c>
      <c r="BW462" s="290" t="e">
        <f t="shared" si="186"/>
        <v>#N/A</v>
      </c>
      <c r="BX462" s="290" t="e">
        <f t="shared" si="186"/>
        <v>#N/A</v>
      </c>
      <c r="BY462" s="290" t="e">
        <f t="shared" si="186"/>
        <v>#N/A</v>
      </c>
      <c r="BZ462" s="290" t="e">
        <f t="shared" si="186"/>
        <v>#N/A</v>
      </c>
      <c r="CA462" s="290" t="e">
        <f t="shared" si="186"/>
        <v>#N/A</v>
      </c>
      <c r="CB462" s="290" t="e">
        <f t="shared" si="186"/>
        <v>#N/A</v>
      </c>
      <c r="CC462" s="290" t="e">
        <f t="shared" si="186"/>
        <v>#N/A</v>
      </c>
    </row>
    <row r="463" spans="1:87" ht="5.0999999999999996" customHeight="1" thickBot="1" x14ac:dyDescent="0.25">
      <c r="B463" s="20"/>
      <c r="C463" s="20"/>
      <c r="D463" s="20"/>
      <c r="J463" s="210"/>
      <c r="K463" s="210"/>
      <c r="L463" s="210"/>
      <c r="M463" s="210"/>
      <c r="N463" s="210"/>
      <c r="O463" s="210"/>
      <c r="P463" s="210"/>
      <c r="Q463" s="210"/>
      <c r="R463" s="210"/>
      <c r="S463" s="210"/>
      <c r="T463" s="210"/>
      <c r="U463" s="210"/>
      <c r="V463" s="210"/>
      <c r="W463" s="210"/>
      <c r="X463" s="210"/>
      <c r="Y463" s="210"/>
      <c r="Z463" s="210"/>
      <c r="AA463" s="210"/>
      <c r="AB463" s="210"/>
      <c r="AC463" s="210"/>
      <c r="AD463" s="210"/>
      <c r="AE463" s="210"/>
      <c r="AF463" s="210"/>
      <c r="AG463" s="210"/>
      <c r="AH463" s="210"/>
      <c r="AI463" s="210"/>
      <c r="AJ463" s="210"/>
      <c r="AK463" s="210"/>
      <c r="AL463" s="210"/>
      <c r="AM463" s="210"/>
      <c r="AN463" s="210"/>
      <c r="AO463" s="210"/>
      <c r="AP463" s="210"/>
      <c r="AQ463" s="210"/>
      <c r="AR463" s="210"/>
      <c r="AS463" s="210"/>
      <c r="AT463" s="210"/>
      <c r="AU463" s="210"/>
      <c r="AV463" s="210"/>
      <c r="AW463" s="210"/>
      <c r="AX463" s="210"/>
      <c r="AY463" s="210"/>
      <c r="AZ463" s="210"/>
      <c r="BA463" s="210"/>
      <c r="BB463" s="210"/>
      <c r="BC463" s="210"/>
      <c r="BD463" s="210"/>
      <c r="BE463" s="210"/>
      <c r="BF463" s="210"/>
      <c r="BG463" s="210"/>
      <c r="BH463" s="210"/>
      <c r="BI463" s="210"/>
      <c r="BJ463" s="210"/>
      <c r="BK463" s="210"/>
      <c r="BL463" s="210"/>
      <c r="BM463" s="210"/>
      <c r="BN463" s="210"/>
      <c r="BO463" s="210"/>
      <c r="BP463" s="210"/>
      <c r="BQ463" s="210"/>
      <c r="BR463" s="210"/>
      <c r="BS463" s="210"/>
      <c r="BT463" s="210"/>
      <c r="BU463" s="210"/>
      <c r="BV463" s="210"/>
      <c r="BW463" s="210"/>
      <c r="BX463" s="210"/>
      <c r="BY463" s="210"/>
      <c r="BZ463" s="210"/>
      <c r="CA463" s="210"/>
      <c r="CB463" s="210"/>
      <c r="CC463" s="210"/>
    </row>
    <row r="464" spans="1:87" s="32" customFormat="1" ht="15.75" thickBot="1" x14ac:dyDescent="0.25">
      <c r="A464" s="185"/>
      <c r="B464" s="481" t="s">
        <v>121</v>
      </c>
      <c r="C464" s="482"/>
      <c r="D464" s="483"/>
      <c r="F464"/>
      <c r="G464"/>
      <c r="H464"/>
      <c r="I464"/>
      <c r="J464" s="115" t="e">
        <f>+J462</f>
        <v>#N/A</v>
      </c>
      <c r="K464" s="115" t="e">
        <f>+J464+K462</f>
        <v>#N/A</v>
      </c>
      <c r="L464" s="115" t="e">
        <f>+K464+L462</f>
        <v>#N/A</v>
      </c>
      <c r="M464" s="115" t="e">
        <f t="shared" ref="M464" si="187">+L464+M462</f>
        <v>#N/A</v>
      </c>
      <c r="N464" s="115" t="e">
        <f t="shared" ref="N464" si="188">+M464+N462</f>
        <v>#N/A</v>
      </c>
      <c r="O464" s="115" t="e">
        <f t="shared" ref="O464" si="189">+N464+O462</f>
        <v>#N/A</v>
      </c>
      <c r="P464" s="115" t="e">
        <f t="shared" ref="P464" si="190">+O464+P462</f>
        <v>#N/A</v>
      </c>
      <c r="Q464" s="115" t="e">
        <f t="shared" ref="Q464" si="191">+P464+Q462</f>
        <v>#N/A</v>
      </c>
      <c r="R464" s="115" t="e">
        <f t="shared" ref="R464" si="192">+Q464+R462</f>
        <v>#N/A</v>
      </c>
      <c r="S464" s="115" t="e">
        <f t="shared" ref="S464" si="193">+R464+S462</f>
        <v>#N/A</v>
      </c>
      <c r="T464" s="115" t="e">
        <f t="shared" ref="T464" si="194">+S464+T462</f>
        <v>#N/A</v>
      </c>
      <c r="U464" s="115" t="e">
        <f t="shared" ref="U464" si="195">+T464+U462</f>
        <v>#N/A</v>
      </c>
      <c r="V464" s="115" t="e">
        <f t="shared" ref="V464" si="196">+U464+V462</f>
        <v>#N/A</v>
      </c>
      <c r="W464" s="115" t="e">
        <f t="shared" ref="W464" si="197">+V464+W462</f>
        <v>#N/A</v>
      </c>
      <c r="X464" s="115" t="e">
        <f t="shared" ref="X464" si="198">+W464+X462</f>
        <v>#N/A</v>
      </c>
      <c r="Y464" s="115" t="e">
        <f t="shared" ref="Y464" si="199">+X464+Y462</f>
        <v>#N/A</v>
      </c>
      <c r="Z464" s="115" t="e">
        <f t="shared" ref="Z464" si="200">+Y464+Z462</f>
        <v>#N/A</v>
      </c>
      <c r="AA464" s="115" t="e">
        <f t="shared" ref="AA464" si="201">+Z464+AA462</f>
        <v>#N/A</v>
      </c>
      <c r="AB464" s="115" t="e">
        <f t="shared" ref="AB464" si="202">+AA464+AB462</f>
        <v>#N/A</v>
      </c>
      <c r="AC464" s="115" t="e">
        <f t="shared" ref="AC464" si="203">+AB464+AC462</f>
        <v>#N/A</v>
      </c>
      <c r="AD464" s="115" t="e">
        <f t="shared" ref="AD464" si="204">+AC464+AD462</f>
        <v>#N/A</v>
      </c>
      <c r="AE464" s="115" t="e">
        <f t="shared" ref="AE464" si="205">+AD464+AE462</f>
        <v>#N/A</v>
      </c>
      <c r="AF464" s="115" t="e">
        <f t="shared" ref="AF464" si="206">+AE464+AF462</f>
        <v>#N/A</v>
      </c>
      <c r="AG464" s="115" t="e">
        <f t="shared" ref="AG464" si="207">+AF464+AG462</f>
        <v>#N/A</v>
      </c>
      <c r="AH464" s="115" t="e">
        <f t="shared" ref="AH464" si="208">+AG464+AH462</f>
        <v>#N/A</v>
      </c>
      <c r="AI464" s="115" t="e">
        <f t="shared" ref="AI464" si="209">+AH464+AI462</f>
        <v>#N/A</v>
      </c>
      <c r="AJ464" s="115" t="e">
        <f t="shared" ref="AJ464" si="210">+AI464+AJ462</f>
        <v>#N/A</v>
      </c>
      <c r="AK464" s="115" t="e">
        <f t="shared" ref="AK464" si="211">+AJ464+AK462</f>
        <v>#N/A</v>
      </c>
      <c r="AL464" s="115" t="e">
        <f t="shared" ref="AL464" si="212">+AK464+AL462</f>
        <v>#N/A</v>
      </c>
      <c r="AM464" s="115" t="e">
        <f t="shared" ref="AM464" si="213">+AL464+AM462</f>
        <v>#N/A</v>
      </c>
      <c r="AN464" s="115" t="e">
        <f t="shared" ref="AN464" si="214">+AM464+AN462</f>
        <v>#N/A</v>
      </c>
      <c r="AO464" s="115" t="e">
        <f t="shared" ref="AO464" si="215">+AN464+AO462</f>
        <v>#N/A</v>
      </c>
      <c r="AP464" s="115" t="e">
        <f t="shared" ref="AP464" si="216">+AO464+AP462</f>
        <v>#N/A</v>
      </c>
      <c r="AQ464" s="115" t="e">
        <f t="shared" ref="AQ464" si="217">+AP464+AQ462</f>
        <v>#N/A</v>
      </c>
      <c r="AR464" s="115" t="e">
        <f t="shared" ref="AR464" si="218">+AQ464+AR462</f>
        <v>#N/A</v>
      </c>
      <c r="AS464" s="115" t="e">
        <f t="shared" ref="AS464" si="219">+AR464+AS462</f>
        <v>#N/A</v>
      </c>
      <c r="AT464" s="115" t="e">
        <f t="shared" ref="AT464" si="220">+AS464+AT462</f>
        <v>#N/A</v>
      </c>
      <c r="AU464" s="115" t="e">
        <f t="shared" ref="AU464" si="221">+AT464+AU462</f>
        <v>#N/A</v>
      </c>
      <c r="AV464" s="115" t="e">
        <f t="shared" ref="AV464" si="222">+AU464+AV462</f>
        <v>#N/A</v>
      </c>
      <c r="AW464" s="115" t="e">
        <f t="shared" ref="AW464" si="223">+AV464+AW462</f>
        <v>#N/A</v>
      </c>
      <c r="AX464" s="115" t="e">
        <f t="shared" ref="AX464" si="224">+AW464+AX462</f>
        <v>#N/A</v>
      </c>
      <c r="AY464" s="115" t="e">
        <f t="shared" ref="AY464" si="225">+AX464+AY462</f>
        <v>#N/A</v>
      </c>
      <c r="AZ464" s="115" t="e">
        <f t="shared" ref="AZ464" si="226">+AY464+AZ462</f>
        <v>#N/A</v>
      </c>
      <c r="BA464" s="115" t="e">
        <f t="shared" ref="BA464" si="227">+AZ464+BA462</f>
        <v>#N/A</v>
      </c>
      <c r="BB464" s="115" t="e">
        <f t="shared" ref="BB464" si="228">+BA464+BB462</f>
        <v>#N/A</v>
      </c>
      <c r="BC464" s="115" t="e">
        <f t="shared" ref="BC464" si="229">+BB464+BC462</f>
        <v>#N/A</v>
      </c>
      <c r="BD464" s="115" t="e">
        <f t="shared" ref="BD464" si="230">+BC464+BD462</f>
        <v>#N/A</v>
      </c>
      <c r="BE464" s="115" t="e">
        <f t="shared" ref="BE464" si="231">+BD464+BE462</f>
        <v>#N/A</v>
      </c>
      <c r="BF464" s="115" t="e">
        <f t="shared" ref="BF464" si="232">+BE464+BF462</f>
        <v>#N/A</v>
      </c>
      <c r="BG464" s="115" t="e">
        <f t="shared" ref="BG464" si="233">+BF464+BG462</f>
        <v>#N/A</v>
      </c>
      <c r="BH464" s="115" t="e">
        <f t="shared" ref="BH464" si="234">+BG464+BH462</f>
        <v>#N/A</v>
      </c>
      <c r="BI464" s="115" t="e">
        <f t="shared" ref="BI464" si="235">+BH464+BI462</f>
        <v>#N/A</v>
      </c>
      <c r="BJ464" s="115" t="e">
        <f t="shared" ref="BJ464" si="236">+BI464+BJ462</f>
        <v>#N/A</v>
      </c>
      <c r="BK464" s="115" t="e">
        <f t="shared" ref="BK464" si="237">+BJ464+BK462</f>
        <v>#N/A</v>
      </c>
      <c r="BL464" s="115" t="e">
        <f t="shared" ref="BL464" si="238">+BK464+BL462</f>
        <v>#N/A</v>
      </c>
      <c r="BM464" s="115" t="e">
        <f t="shared" ref="BM464" si="239">+BL464+BM462</f>
        <v>#N/A</v>
      </c>
      <c r="BN464" s="115" t="e">
        <f t="shared" ref="BN464" si="240">+BM464+BN462</f>
        <v>#N/A</v>
      </c>
      <c r="BO464" s="115" t="e">
        <f t="shared" ref="BO464" si="241">+BN464+BO462</f>
        <v>#N/A</v>
      </c>
      <c r="BP464" s="115" t="e">
        <f t="shared" ref="BP464" si="242">+BO464+BP462</f>
        <v>#N/A</v>
      </c>
      <c r="BQ464" s="115" t="e">
        <f t="shared" ref="BQ464" si="243">+BP464+BQ462</f>
        <v>#N/A</v>
      </c>
      <c r="BR464" s="115" t="e">
        <f t="shared" ref="BR464" si="244">+BQ464+BR462</f>
        <v>#N/A</v>
      </c>
      <c r="BS464" s="115" t="e">
        <f t="shared" ref="BS464" si="245">+BR464+BS462</f>
        <v>#N/A</v>
      </c>
      <c r="BT464" s="115" t="e">
        <f t="shared" ref="BT464" si="246">+BS464+BT462</f>
        <v>#N/A</v>
      </c>
      <c r="BU464" s="115" t="e">
        <f t="shared" ref="BU464" si="247">+BT464+BU462</f>
        <v>#N/A</v>
      </c>
      <c r="BV464" s="115" t="e">
        <f t="shared" ref="BV464" si="248">+BU464+BV462</f>
        <v>#N/A</v>
      </c>
      <c r="BW464" s="115" t="e">
        <f t="shared" ref="BW464" si="249">+BV464+BW462</f>
        <v>#N/A</v>
      </c>
      <c r="BX464" s="115" t="e">
        <f t="shared" ref="BX464" si="250">+BW464+BX462</f>
        <v>#N/A</v>
      </c>
      <c r="BY464" s="115" t="e">
        <f t="shared" ref="BY464" si="251">+BX464+BY462</f>
        <v>#N/A</v>
      </c>
      <c r="BZ464" s="115" t="e">
        <f t="shared" ref="BZ464" si="252">+BY464+BZ462</f>
        <v>#N/A</v>
      </c>
      <c r="CA464" s="115" t="e">
        <f t="shared" ref="CA464" si="253">+BZ464+CA462</f>
        <v>#N/A</v>
      </c>
      <c r="CB464" s="115" t="e">
        <f t="shared" ref="CB464" si="254">+CA464+CB462</f>
        <v>#N/A</v>
      </c>
      <c r="CC464" s="115" t="e">
        <f t="shared" ref="CC464" si="255">+CB464+CC462</f>
        <v>#N/A</v>
      </c>
    </row>
    <row r="465" spans="1:95" ht="5.0999999999999996" customHeight="1" thickBot="1" x14ac:dyDescent="0.25">
      <c r="B465" s="20"/>
      <c r="C465" s="20"/>
      <c r="D465" s="20"/>
      <c r="J465" s="24"/>
      <c r="K465" s="24"/>
      <c r="L465" s="24"/>
      <c r="M465" s="24"/>
      <c r="N465" s="24"/>
      <c r="O465" s="24"/>
      <c r="P465" s="24"/>
      <c r="Q465" s="24"/>
      <c r="R465" s="24"/>
      <c r="S465" s="24"/>
      <c r="T465" s="24"/>
      <c r="U465" s="24"/>
      <c r="V465" s="24"/>
      <c r="W465" s="24"/>
      <c r="X465" s="24"/>
      <c r="Y465" s="24"/>
      <c r="Z465" s="24"/>
      <c r="AA465" s="24"/>
      <c r="AB465" s="24"/>
      <c r="AC465" s="24"/>
      <c r="AD465" s="24"/>
      <c r="AE465" s="24"/>
      <c r="AF465" s="24"/>
      <c r="AG465" s="24"/>
      <c r="AH465" s="24"/>
      <c r="AI465" s="24"/>
      <c r="AJ465" s="24"/>
      <c r="AK465" s="24"/>
      <c r="AL465" s="24"/>
      <c r="AM465" s="24"/>
      <c r="AN465" s="24"/>
      <c r="AO465" s="24"/>
      <c r="AP465" s="24"/>
      <c r="AQ465" s="24"/>
      <c r="AR465" s="24"/>
      <c r="AS465" s="24"/>
      <c r="AT465" s="24"/>
      <c r="AU465" s="24"/>
      <c r="AV465" s="24"/>
      <c r="AW465" s="24"/>
      <c r="AX465" s="24"/>
      <c r="AY465" s="24"/>
      <c r="AZ465" s="24"/>
      <c r="BA465" s="24"/>
      <c r="BB465" s="24"/>
      <c r="BC465" s="24"/>
      <c r="BD465" s="24"/>
      <c r="BE465" s="24"/>
      <c r="BF465" s="24"/>
      <c r="BG465" s="24"/>
      <c r="BH465" s="24"/>
      <c r="BI465" s="24"/>
      <c r="BJ465" s="24"/>
      <c r="BK465" s="24"/>
      <c r="BL465" s="24"/>
      <c r="BM465" s="24"/>
      <c r="BN465" s="24"/>
      <c r="BO465" s="24"/>
      <c r="BP465" s="24"/>
      <c r="BQ465" s="24"/>
      <c r="BR465" s="24"/>
      <c r="BS465" s="24"/>
      <c r="BT465" s="24"/>
      <c r="BU465" s="24"/>
      <c r="BV465" s="24"/>
      <c r="BW465" s="24"/>
      <c r="BX465" s="24"/>
      <c r="BY465" s="24"/>
      <c r="BZ465" s="24"/>
      <c r="CA465" s="24"/>
      <c r="CB465" s="24"/>
      <c r="CC465" s="24"/>
    </row>
    <row r="466" spans="1:95" s="32" customFormat="1" ht="15.75" thickBot="1" x14ac:dyDescent="0.25">
      <c r="A466" s="185"/>
      <c r="B466" s="280" t="s">
        <v>114</v>
      </c>
      <c r="C466" s="20"/>
      <c r="D466" s="85" t="e">
        <f>+SUM(J466:CC466)</f>
        <v>#N/A</v>
      </c>
      <c r="F466" s="196"/>
      <c r="G466"/>
      <c r="H466"/>
      <c r="I466"/>
      <c r="J466" s="100" t="e">
        <f t="shared" ref="J466:AO466" si="256">IF(($F$419+$F$462)=0,0,+J462/($F$419+$F$462))</f>
        <v>#N/A</v>
      </c>
      <c r="K466" s="100" t="e">
        <f t="shared" si="256"/>
        <v>#N/A</v>
      </c>
      <c r="L466" s="100" t="e">
        <f t="shared" si="256"/>
        <v>#N/A</v>
      </c>
      <c r="M466" s="100" t="e">
        <f t="shared" si="256"/>
        <v>#N/A</v>
      </c>
      <c r="N466" s="100" t="e">
        <f t="shared" si="256"/>
        <v>#N/A</v>
      </c>
      <c r="O466" s="100" t="e">
        <f t="shared" si="256"/>
        <v>#N/A</v>
      </c>
      <c r="P466" s="100" t="e">
        <f t="shared" si="256"/>
        <v>#N/A</v>
      </c>
      <c r="Q466" s="100" t="e">
        <f t="shared" si="256"/>
        <v>#N/A</v>
      </c>
      <c r="R466" s="100" t="e">
        <f t="shared" si="256"/>
        <v>#N/A</v>
      </c>
      <c r="S466" s="100" t="e">
        <f t="shared" si="256"/>
        <v>#N/A</v>
      </c>
      <c r="T466" s="100" t="e">
        <f t="shared" si="256"/>
        <v>#N/A</v>
      </c>
      <c r="U466" s="100" t="e">
        <f t="shared" si="256"/>
        <v>#N/A</v>
      </c>
      <c r="V466" s="100" t="e">
        <f t="shared" si="256"/>
        <v>#N/A</v>
      </c>
      <c r="W466" s="100" t="e">
        <f t="shared" si="256"/>
        <v>#N/A</v>
      </c>
      <c r="X466" s="100" t="e">
        <f t="shared" si="256"/>
        <v>#N/A</v>
      </c>
      <c r="Y466" s="100" t="e">
        <f t="shared" si="256"/>
        <v>#N/A</v>
      </c>
      <c r="Z466" s="100" t="e">
        <f t="shared" si="256"/>
        <v>#N/A</v>
      </c>
      <c r="AA466" s="100" t="e">
        <f t="shared" si="256"/>
        <v>#N/A</v>
      </c>
      <c r="AB466" s="100" t="e">
        <f t="shared" si="256"/>
        <v>#N/A</v>
      </c>
      <c r="AC466" s="100" t="e">
        <f t="shared" si="256"/>
        <v>#N/A</v>
      </c>
      <c r="AD466" s="100" t="e">
        <f t="shared" si="256"/>
        <v>#N/A</v>
      </c>
      <c r="AE466" s="100" t="e">
        <f t="shared" si="256"/>
        <v>#N/A</v>
      </c>
      <c r="AF466" s="100" t="e">
        <f t="shared" si="256"/>
        <v>#N/A</v>
      </c>
      <c r="AG466" s="100" t="e">
        <f t="shared" si="256"/>
        <v>#N/A</v>
      </c>
      <c r="AH466" s="100" t="e">
        <f t="shared" si="256"/>
        <v>#N/A</v>
      </c>
      <c r="AI466" s="100" t="e">
        <f t="shared" si="256"/>
        <v>#N/A</v>
      </c>
      <c r="AJ466" s="100" t="e">
        <f t="shared" si="256"/>
        <v>#N/A</v>
      </c>
      <c r="AK466" s="100" t="e">
        <f t="shared" si="256"/>
        <v>#N/A</v>
      </c>
      <c r="AL466" s="100" t="e">
        <f t="shared" si="256"/>
        <v>#N/A</v>
      </c>
      <c r="AM466" s="100" t="e">
        <f t="shared" si="256"/>
        <v>#N/A</v>
      </c>
      <c r="AN466" s="100" t="e">
        <f t="shared" si="256"/>
        <v>#N/A</v>
      </c>
      <c r="AO466" s="100" t="e">
        <f t="shared" si="256"/>
        <v>#N/A</v>
      </c>
      <c r="AP466" s="100" t="e">
        <f t="shared" ref="AP466:BU466" si="257">IF(($F$419+$F$462)=0,0,+AP462/($F$419+$F$462))</f>
        <v>#N/A</v>
      </c>
      <c r="AQ466" s="100" t="e">
        <f t="shared" si="257"/>
        <v>#N/A</v>
      </c>
      <c r="AR466" s="100" t="e">
        <f t="shared" si="257"/>
        <v>#N/A</v>
      </c>
      <c r="AS466" s="100" t="e">
        <f t="shared" si="257"/>
        <v>#N/A</v>
      </c>
      <c r="AT466" s="100" t="e">
        <f t="shared" si="257"/>
        <v>#N/A</v>
      </c>
      <c r="AU466" s="100" t="e">
        <f t="shared" si="257"/>
        <v>#N/A</v>
      </c>
      <c r="AV466" s="100" t="e">
        <f t="shared" si="257"/>
        <v>#N/A</v>
      </c>
      <c r="AW466" s="100" t="e">
        <f t="shared" si="257"/>
        <v>#N/A</v>
      </c>
      <c r="AX466" s="100" t="e">
        <f t="shared" si="257"/>
        <v>#N/A</v>
      </c>
      <c r="AY466" s="100" t="e">
        <f t="shared" si="257"/>
        <v>#N/A</v>
      </c>
      <c r="AZ466" s="100" t="e">
        <f t="shared" si="257"/>
        <v>#N/A</v>
      </c>
      <c r="BA466" s="100" t="e">
        <f t="shared" si="257"/>
        <v>#N/A</v>
      </c>
      <c r="BB466" s="100" t="e">
        <f t="shared" si="257"/>
        <v>#N/A</v>
      </c>
      <c r="BC466" s="100" t="e">
        <f t="shared" si="257"/>
        <v>#N/A</v>
      </c>
      <c r="BD466" s="100" t="e">
        <f t="shared" si="257"/>
        <v>#N/A</v>
      </c>
      <c r="BE466" s="100" t="e">
        <f t="shared" si="257"/>
        <v>#N/A</v>
      </c>
      <c r="BF466" s="100" t="e">
        <f t="shared" si="257"/>
        <v>#N/A</v>
      </c>
      <c r="BG466" s="100" t="e">
        <f t="shared" si="257"/>
        <v>#N/A</v>
      </c>
      <c r="BH466" s="100" t="e">
        <f t="shared" si="257"/>
        <v>#N/A</v>
      </c>
      <c r="BI466" s="100" t="e">
        <f t="shared" si="257"/>
        <v>#N/A</v>
      </c>
      <c r="BJ466" s="100" t="e">
        <f t="shared" si="257"/>
        <v>#N/A</v>
      </c>
      <c r="BK466" s="100" t="e">
        <f t="shared" si="257"/>
        <v>#N/A</v>
      </c>
      <c r="BL466" s="100" t="e">
        <f t="shared" si="257"/>
        <v>#N/A</v>
      </c>
      <c r="BM466" s="100" t="e">
        <f t="shared" si="257"/>
        <v>#N/A</v>
      </c>
      <c r="BN466" s="100" t="e">
        <f t="shared" si="257"/>
        <v>#N/A</v>
      </c>
      <c r="BO466" s="100" t="e">
        <f t="shared" si="257"/>
        <v>#N/A</v>
      </c>
      <c r="BP466" s="100" t="e">
        <f t="shared" si="257"/>
        <v>#N/A</v>
      </c>
      <c r="BQ466" s="100" t="e">
        <f t="shared" si="257"/>
        <v>#N/A</v>
      </c>
      <c r="BR466" s="100" t="e">
        <f t="shared" si="257"/>
        <v>#N/A</v>
      </c>
      <c r="BS466" s="100" t="e">
        <f t="shared" si="257"/>
        <v>#N/A</v>
      </c>
      <c r="BT466" s="100" t="e">
        <f t="shared" si="257"/>
        <v>#N/A</v>
      </c>
      <c r="BU466" s="100" t="e">
        <f t="shared" si="257"/>
        <v>#N/A</v>
      </c>
      <c r="BV466" s="100" t="e">
        <f t="shared" ref="BV466:CC466" si="258">IF(($F$419+$F$462)=0,0,+BV462/($F$419+$F$462))</f>
        <v>#N/A</v>
      </c>
      <c r="BW466" s="100" t="e">
        <f t="shared" si="258"/>
        <v>#N/A</v>
      </c>
      <c r="BX466" s="100" t="e">
        <f t="shared" si="258"/>
        <v>#N/A</v>
      </c>
      <c r="BY466" s="100" t="e">
        <f t="shared" si="258"/>
        <v>#N/A</v>
      </c>
      <c r="BZ466" s="100" t="e">
        <f t="shared" si="258"/>
        <v>#N/A</v>
      </c>
      <c r="CA466" s="100" t="e">
        <f t="shared" si="258"/>
        <v>#N/A</v>
      </c>
      <c r="CB466" s="100" t="e">
        <f t="shared" si="258"/>
        <v>#N/A</v>
      </c>
      <c r="CC466" s="100" t="e">
        <f t="shared" si="258"/>
        <v>#N/A</v>
      </c>
    </row>
    <row r="467" spans="1:95" ht="5.0999999999999996" customHeight="1" thickBot="1" x14ac:dyDescent="0.25">
      <c r="B467" s="20"/>
      <c r="C467" s="20"/>
      <c r="D467" s="20"/>
    </row>
    <row r="468" spans="1:95" s="32" customFormat="1" ht="15.75" thickBot="1" x14ac:dyDescent="0.25">
      <c r="A468" s="185"/>
      <c r="B468" s="481" t="s">
        <v>115</v>
      </c>
      <c r="C468" s="482"/>
      <c r="D468" s="483"/>
      <c r="F468"/>
      <c r="G468"/>
      <c r="H468"/>
      <c r="I468"/>
      <c r="J468" s="100" t="e">
        <f>+J466</f>
        <v>#N/A</v>
      </c>
      <c r="K468" s="100" t="e">
        <f>+J468+K466</f>
        <v>#N/A</v>
      </c>
      <c r="L468" s="100" t="e">
        <f>+K468+L466</f>
        <v>#N/A</v>
      </c>
      <c r="M468" s="100" t="e">
        <f t="shared" ref="M468" si="259">+L468+M466</f>
        <v>#N/A</v>
      </c>
      <c r="N468" s="100" t="e">
        <f t="shared" ref="N468" si="260">+M468+N466</f>
        <v>#N/A</v>
      </c>
      <c r="O468" s="100" t="e">
        <f t="shared" ref="O468" si="261">+N468+O466</f>
        <v>#N/A</v>
      </c>
      <c r="P468" s="100" t="e">
        <f t="shared" ref="P468" si="262">+O468+P466</f>
        <v>#N/A</v>
      </c>
      <c r="Q468" s="100" t="e">
        <f t="shared" ref="Q468" si="263">+P468+Q466</f>
        <v>#N/A</v>
      </c>
      <c r="R468" s="100" t="e">
        <f t="shared" ref="R468" si="264">+Q468+R466</f>
        <v>#N/A</v>
      </c>
      <c r="S468" s="100" t="e">
        <f t="shared" ref="S468" si="265">+R468+S466</f>
        <v>#N/A</v>
      </c>
      <c r="T468" s="100" t="e">
        <f t="shared" ref="T468" si="266">+S468+T466</f>
        <v>#N/A</v>
      </c>
      <c r="U468" s="100" t="e">
        <f t="shared" ref="U468" si="267">+T468+U466</f>
        <v>#N/A</v>
      </c>
      <c r="V468" s="100" t="e">
        <f t="shared" ref="V468" si="268">+U468+V466</f>
        <v>#N/A</v>
      </c>
      <c r="W468" s="100" t="e">
        <f t="shared" ref="W468" si="269">+V468+W466</f>
        <v>#N/A</v>
      </c>
      <c r="X468" s="100" t="e">
        <f t="shared" ref="X468" si="270">+W468+X466</f>
        <v>#N/A</v>
      </c>
      <c r="Y468" s="100" t="e">
        <f t="shared" ref="Y468" si="271">+X468+Y466</f>
        <v>#N/A</v>
      </c>
      <c r="Z468" s="100" t="e">
        <f t="shared" ref="Z468" si="272">+Y468+Z466</f>
        <v>#N/A</v>
      </c>
      <c r="AA468" s="100" t="e">
        <f t="shared" ref="AA468" si="273">+Z468+AA466</f>
        <v>#N/A</v>
      </c>
      <c r="AB468" s="100" t="e">
        <f t="shared" ref="AB468" si="274">+AA468+AB466</f>
        <v>#N/A</v>
      </c>
      <c r="AC468" s="100" t="e">
        <f t="shared" ref="AC468" si="275">+AB468+AC466</f>
        <v>#N/A</v>
      </c>
      <c r="AD468" s="100" t="e">
        <f t="shared" ref="AD468" si="276">+AC468+AD466</f>
        <v>#N/A</v>
      </c>
      <c r="AE468" s="100" t="e">
        <f t="shared" ref="AE468" si="277">+AD468+AE466</f>
        <v>#N/A</v>
      </c>
      <c r="AF468" s="100" t="e">
        <f t="shared" ref="AF468" si="278">+AE468+AF466</f>
        <v>#N/A</v>
      </c>
      <c r="AG468" s="100" t="e">
        <f t="shared" ref="AG468" si="279">+AF468+AG466</f>
        <v>#N/A</v>
      </c>
      <c r="AH468" s="100" t="e">
        <f t="shared" ref="AH468" si="280">+AG468+AH466</f>
        <v>#N/A</v>
      </c>
      <c r="AI468" s="100" t="e">
        <f t="shared" ref="AI468" si="281">+AH468+AI466</f>
        <v>#N/A</v>
      </c>
      <c r="AJ468" s="100" t="e">
        <f t="shared" ref="AJ468" si="282">+AI468+AJ466</f>
        <v>#N/A</v>
      </c>
      <c r="AK468" s="100" t="e">
        <f t="shared" ref="AK468" si="283">+AJ468+AK466</f>
        <v>#N/A</v>
      </c>
      <c r="AL468" s="100" t="e">
        <f t="shared" ref="AL468" si="284">+AK468+AL466</f>
        <v>#N/A</v>
      </c>
      <c r="AM468" s="100" t="e">
        <f t="shared" ref="AM468" si="285">+AL468+AM466</f>
        <v>#N/A</v>
      </c>
      <c r="AN468" s="100" t="e">
        <f t="shared" ref="AN468" si="286">+AM468+AN466</f>
        <v>#N/A</v>
      </c>
      <c r="AO468" s="100" t="e">
        <f t="shared" ref="AO468" si="287">+AN468+AO466</f>
        <v>#N/A</v>
      </c>
      <c r="AP468" s="100" t="e">
        <f t="shared" ref="AP468" si="288">+AO468+AP466</f>
        <v>#N/A</v>
      </c>
      <c r="AQ468" s="100" t="e">
        <f t="shared" ref="AQ468" si="289">+AP468+AQ466</f>
        <v>#N/A</v>
      </c>
      <c r="AR468" s="100" t="e">
        <f t="shared" ref="AR468" si="290">+AQ468+AR466</f>
        <v>#N/A</v>
      </c>
      <c r="AS468" s="100" t="e">
        <f t="shared" ref="AS468" si="291">+AR468+AS466</f>
        <v>#N/A</v>
      </c>
      <c r="AT468" s="100" t="e">
        <f t="shared" ref="AT468" si="292">+AS468+AT466</f>
        <v>#N/A</v>
      </c>
      <c r="AU468" s="100" t="e">
        <f t="shared" ref="AU468" si="293">+AT468+AU466</f>
        <v>#N/A</v>
      </c>
      <c r="AV468" s="100" t="e">
        <f t="shared" ref="AV468" si="294">+AU468+AV466</f>
        <v>#N/A</v>
      </c>
      <c r="AW468" s="100" t="e">
        <f t="shared" ref="AW468" si="295">+AV468+AW466</f>
        <v>#N/A</v>
      </c>
      <c r="AX468" s="100" t="e">
        <f t="shared" ref="AX468" si="296">+AW468+AX466</f>
        <v>#N/A</v>
      </c>
      <c r="AY468" s="100" t="e">
        <f t="shared" ref="AY468" si="297">+AX468+AY466</f>
        <v>#N/A</v>
      </c>
      <c r="AZ468" s="100" t="e">
        <f t="shared" ref="AZ468" si="298">+AY468+AZ466</f>
        <v>#N/A</v>
      </c>
      <c r="BA468" s="100" t="e">
        <f t="shared" ref="BA468" si="299">+AZ468+BA466</f>
        <v>#N/A</v>
      </c>
      <c r="BB468" s="100" t="e">
        <f t="shared" ref="BB468" si="300">+BA468+BB466</f>
        <v>#N/A</v>
      </c>
      <c r="BC468" s="100" t="e">
        <f t="shared" ref="BC468" si="301">+BB468+BC466</f>
        <v>#N/A</v>
      </c>
      <c r="BD468" s="100" t="e">
        <f t="shared" ref="BD468" si="302">+BC468+BD466</f>
        <v>#N/A</v>
      </c>
      <c r="BE468" s="100" t="e">
        <f t="shared" ref="BE468" si="303">+BD468+BE466</f>
        <v>#N/A</v>
      </c>
      <c r="BF468" s="100" t="e">
        <f t="shared" ref="BF468" si="304">+BE468+BF466</f>
        <v>#N/A</v>
      </c>
      <c r="BG468" s="100" t="e">
        <f t="shared" ref="BG468" si="305">+BF468+BG466</f>
        <v>#N/A</v>
      </c>
      <c r="BH468" s="100" t="e">
        <f t="shared" ref="BH468" si="306">+BG468+BH466</f>
        <v>#N/A</v>
      </c>
      <c r="BI468" s="100" t="e">
        <f t="shared" ref="BI468" si="307">+BH468+BI466</f>
        <v>#N/A</v>
      </c>
      <c r="BJ468" s="100" t="e">
        <f t="shared" ref="BJ468" si="308">+BI468+BJ466</f>
        <v>#N/A</v>
      </c>
      <c r="BK468" s="100" t="e">
        <f t="shared" ref="BK468" si="309">+BJ468+BK466</f>
        <v>#N/A</v>
      </c>
      <c r="BL468" s="100" t="e">
        <f t="shared" ref="BL468" si="310">+BK468+BL466</f>
        <v>#N/A</v>
      </c>
      <c r="BM468" s="100" t="e">
        <f t="shared" ref="BM468" si="311">+BL468+BM466</f>
        <v>#N/A</v>
      </c>
      <c r="BN468" s="100" t="e">
        <f t="shared" ref="BN468" si="312">+BM468+BN466</f>
        <v>#N/A</v>
      </c>
      <c r="BO468" s="100" t="e">
        <f t="shared" ref="BO468" si="313">+BN468+BO466</f>
        <v>#N/A</v>
      </c>
      <c r="BP468" s="100" t="e">
        <f t="shared" ref="BP468" si="314">+BO468+BP466</f>
        <v>#N/A</v>
      </c>
      <c r="BQ468" s="100" t="e">
        <f t="shared" ref="BQ468" si="315">+BP468+BQ466</f>
        <v>#N/A</v>
      </c>
      <c r="BR468" s="100" t="e">
        <f t="shared" ref="BR468" si="316">+BQ468+BR466</f>
        <v>#N/A</v>
      </c>
      <c r="BS468" s="100" t="e">
        <f t="shared" ref="BS468" si="317">+BR468+BS466</f>
        <v>#N/A</v>
      </c>
      <c r="BT468" s="100" t="e">
        <f t="shared" ref="BT468" si="318">+BS468+BT466</f>
        <v>#N/A</v>
      </c>
      <c r="BU468" s="100" t="e">
        <f t="shared" ref="BU468" si="319">+BT468+BU466</f>
        <v>#N/A</v>
      </c>
      <c r="BV468" s="100" t="e">
        <f t="shared" ref="BV468" si="320">+BU468+BV466</f>
        <v>#N/A</v>
      </c>
      <c r="BW468" s="100" t="e">
        <f t="shared" ref="BW468" si="321">+BV468+BW466</f>
        <v>#N/A</v>
      </c>
      <c r="BX468" s="100" t="e">
        <f t="shared" ref="BX468" si="322">+BW468+BX466</f>
        <v>#N/A</v>
      </c>
      <c r="BY468" s="100" t="e">
        <f t="shared" ref="BY468" si="323">+BX468+BY466</f>
        <v>#N/A</v>
      </c>
      <c r="BZ468" s="100" t="e">
        <f t="shared" ref="BZ468" si="324">+BY468+BZ466</f>
        <v>#N/A</v>
      </c>
      <c r="CA468" s="100" t="e">
        <f t="shared" ref="CA468" si="325">+BZ468+CA466</f>
        <v>#N/A</v>
      </c>
      <c r="CB468" s="100" t="e">
        <f t="shared" ref="CB468" si="326">+CA468+CB466</f>
        <v>#N/A</v>
      </c>
      <c r="CC468" s="100" t="e">
        <f t="shared" ref="CC468" si="327">+CB468+CC466</f>
        <v>#N/A</v>
      </c>
    </row>
    <row r="469" spans="1:95" ht="5.0999999999999996" customHeight="1" x14ac:dyDescent="0.2"/>
    <row r="470" spans="1:95" s="20" customFormat="1" x14ac:dyDescent="0.2">
      <c r="A470" s="427"/>
      <c r="B470" s="269" t="s">
        <v>195</v>
      </c>
      <c r="C470" s="269"/>
      <c r="D470" s="269"/>
      <c r="E470" s="269"/>
      <c r="F470" s="269"/>
      <c r="G470" s="269"/>
      <c r="H470" s="269"/>
      <c r="I470" s="269"/>
      <c r="J470" s="287"/>
      <c r="K470" s="269"/>
      <c r="L470" s="287"/>
      <c r="M470" s="269"/>
      <c r="N470" s="269"/>
      <c r="O470" s="269"/>
      <c r="P470" s="269"/>
      <c r="Q470" s="269"/>
      <c r="R470" s="269"/>
      <c r="S470" s="269"/>
      <c r="T470" s="269"/>
      <c r="U470" s="269"/>
      <c r="V470" s="269"/>
      <c r="W470" s="269"/>
      <c r="X470" s="269"/>
      <c r="Y470" s="269"/>
      <c r="Z470" s="269"/>
      <c r="AA470" s="269"/>
      <c r="AB470" s="269"/>
      <c r="AC470" s="269"/>
      <c r="AD470" s="269"/>
      <c r="AE470" s="269"/>
      <c r="AF470" s="269"/>
      <c r="AG470" s="269"/>
      <c r="AH470" s="269"/>
      <c r="AI470" s="269"/>
      <c r="AJ470" s="269"/>
      <c r="AK470" s="269"/>
      <c r="AL470" s="269"/>
      <c r="AM470" s="269"/>
      <c r="AN470" s="269"/>
      <c r="AO470" s="269"/>
      <c r="AP470" s="269"/>
      <c r="AQ470" s="269"/>
      <c r="AR470" s="269"/>
      <c r="AS470" s="269"/>
      <c r="AT470" s="269"/>
      <c r="AU470" s="269"/>
      <c r="AV470" s="269"/>
      <c r="AW470" s="269"/>
      <c r="AX470" s="269"/>
      <c r="AY470" s="269"/>
      <c r="AZ470" s="269"/>
      <c r="BA470" s="269"/>
      <c r="BB470" s="269"/>
      <c r="BC470" s="269"/>
      <c r="BD470" s="269"/>
      <c r="BE470" s="269"/>
      <c r="BF470" s="269"/>
      <c r="BG470" s="269"/>
      <c r="BH470" s="269"/>
      <c r="BI470" s="269"/>
      <c r="BJ470" s="269"/>
      <c r="BK470" s="269"/>
      <c r="BL470" s="269"/>
      <c r="BM470" s="269"/>
      <c r="BN470" s="269"/>
      <c r="BO470" s="269"/>
      <c r="BP470" s="269"/>
      <c r="BQ470" s="269"/>
      <c r="BR470" s="269"/>
      <c r="BS470" s="269"/>
      <c r="BT470" s="269"/>
      <c r="BU470" s="269"/>
      <c r="BV470" s="269"/>
      <c r="BW470" s="269"/>
      <c r="BX470" s="269"/>
      <c r="BY470" s="269"/>
      <c r="BZ470" s="269"/>
      <c r="CA470" s="269"/>
      <c r="CB470" s="269"/>
      <c r="CC470" s="269"/>
    </row>
    <row r="471" spans="1:95" ht="5.0999999999999996" customHeight="1" thickBot="1" x14ac:dyDescent="0.25"/>
    <row r="472" spans="1:95" s="32" customFormat="1" ht="28.5" thickBot="1" x14ac:dyDescent="0.25">
      <c r="A472" s="185"/>
      <c r="B472" s="503" t="s">
        <v>196</v>
      </c>
      <c r="C472" s="503"/>
      <c r="D472" s="503"/>
      <c r="E472" s="503"/>
      <c r="F472" s="503"/>
      <c r="H472" s="286" t="s">
        <v>197</v>
      </c>
      <c r="J472" s="319" t="e">
        <f t="shared" ref="J472:AO472" si="328">J148</f>
        <v>#N/A</v>
      </c>
      <c r="K472" s="319" t="e">
        <f t="shared" si="328"/>
        <v>#N/A</v>
      </c>
      <c r="L472" s="319" t="e">
        <f t="shared" si="328"/>
        <v>#N/A</v>
      </c>
      <c r="M472" s="319" t="e">
        <f t="shared" si="328"/>
        <v>#N/A</v>
      </c>
      <c r="N472" s="319" t="e">
        <f t="shared" si="328"/>
        <v>#N/A</v>
      </c>
      <c r="O472" s="319" t="e">
        <f t="shared" si="328"/>
        <v>#N/A</v>
      </c>
      <c r="P472" s="319" t="e">
        <f t="shared" si="328"/>
        <v>#N/A</v>
      </c>
      <c r="Q472" s="319" t="e">
        <f t="shared" si="328"/>
        <v>#N/A</v>
      </c>
      <c r="R472" s="319" t="e">
        <f t="shared" si="328"/>
        <v>#N/A</v>
      </c>
      <c r="S472" s="319" t="e">
        <f t="shared" si="328"/>
        <v>#N/A</v>
      </c>
      <c r="T472" s="319" t="e">
        <f t="shared" si="328"/>
        <v>#N/A</v>
      </c>
      <c r="U472" s="319" t="e">
        <f t="shared" si="328"/>
        <v>#N/A</v>
      </c>
      <c r="V472" s="319" t="e">
        <f t="shared" si="328"/>
        <v>#N/A</v>
      </c>
      <c r="W472" s="319" t="e">
        <f t="shared" si="328"/>
        <v>#N/A</v>
      </c>
      <c r="X472" s="319" t="e">
        <f t="shared" si="328"/>
        <v>#N/A</v>
      </c>
      <c r="Y472" s="319" t="e">
        <f t="shared" si="328"/>
        <v>#N/A</v>
      </c>
      <c r="Z472" s="319" t="e">
        <f t="shared" si="328"/>
        <v>#N/A</v>
      </c>
      <c r="AA472" s="319" t="e">
        <f t="shared" si="328"/>
        <v>#N/A</v>
      </c>
      <c r="AB472" s="319" t="e">
        <f t="shared" si="328"/>
        <v>#N/A</v>
      </c>
      <c r="AC472" s="319" t="e">
        <f t="shared" si="328"/>
        <v>#N/A</v>
      </c>
      <c r="AD472" s="319" t="e">
        <f t="shared" si="328"/>
        <v>#N/A</v>
      </c>
      <c r="AE472" s="319" t="e">
        <f t="shared" si="328"/>
        <v>#N/A</v>
      </c>
      <c r="AF472" s="319" t="e">
        <f t="shared" si="328"/>
        <v>#N/A</v>
      </c>
      <c r="AG472" s="319" t="e">
        <f t="shared" si="328"/>
        <v>#N/A</v>
      </c>
      <c r="AH472" s="319" t="e">
        <f t="shared" si="328"/>
        <v>#N/A</v>
      </c>
      <c r="AI472" s="319" t="e">
        <f t="shared" si="328"/>
        <v>#N/A</v>
      </c>
      <c r="AJ472" s="319" t="e">
        <f t="shared" si="328"/>
        <v>#N/A</v>
      </c>
      <c r="AK472" s="319" t="e">
        <f t="shared" si="328"/>
        <v>#N/A</v>
      </c>
      <c r="AL472" s="319" t="e">
        <f t="shared" si="328"/>
        <v>#N/A</v>
      </c>
      <c r="AM472" s="319" t="e">
        <f t="shared" si="328"/>
        <v>#N/A</v>
      </c>
      <c r="AN472" s="319" t="e">
        <f t="shared" si="328"/>
        <v>#N/A</v>
      </c>
      <c r="AO472" s="319" t="e">
        <f t="shared" si="328"/>
        <v>#N/A</v>
      </c>
      <c r="AP472" s="319" t="e">
        <f t="shared" ref="AP472:BU472" si="329">AP148</f>
        <v>#N/A</v>
      </c>
      <c r="AQ472" s="319" t="e">
        <f t="shared" si="329"/>
        <v>#N/A</v>
      </c>
      <c r="AR472" s="319" t="e">
        <f t="shared" si="329"/>
        <v>#N/A</v>
      </c>
      <c r="AS472" s="319" t="e">
        <f t="shared" si="329"/>
        <v>#N/A</v>
      </c>
      <c r="AT472" s="319" t="e">
        <f t="shared" si="329"/>
        <v>#N/A</v>
      </c>
      <c r="AU472" s="319" t="e">
        <f t="shared" si="329"/>
        <v>#N/A</v>
      </c>
      <c r="AV472" s="319" t="e">
        <f t="shared" si="329"/>
        <v>#N/A</v>
      </c>
      <c r="AW472" s="319" t="e">
        <f t="shared" si="329"/>
        <v>#N/A</v>
      </c>
      <c r="AX472" s="319" t="e">
        <f t="shared" si="329"/>
        <v>#N/A</v>
      </c>
      <c r="AY472" s="319" t="e">
        <f t="shared" si="329"/>
        <v>#N/A</v>
      </c>
      <c r="AZ472" s="319" t="e">
        <f t="shared" si="329"/>
        <v>#N/A</v>
      </c>
      <c r="BA472" s="319" t="e">
        <f t="shared" si="329"/>
        <v>#N/A</v>
      </c>
      <c r="BB472" s="319" t="e">
        <f t="shared" si="329"/>
        <v>#N/A</v>
      </c>
      <c r="BC472" s="319" t="e">
        <f t="shared" si="329"/>
        <v>#N/A</v>
      </c>
      <c r="BD472" s="319" t="e">
        <f t="shared" si="329"/>
        <v>#N/A</v>
      </c>
      <c r="BE472" s="319" t="e">
        <f t="shared" si="329"/>
        <v>#N/A</v>
      </c>
      <c r="BF472" s="319" t="e">
        <f t="shared" si="329"/>
        <v>#N/A</v>
      </c>
      <c r="BG472" s="319" t="e">
        <f t="shared" si="329"/>
        <v>#N/A</v>
      </c>
      <c r="BH472" s="319" t="e">
        <f t="shared" si="329"/>
        <v>#N/A</v>
      </c>
      <c r="BI472" s="319" t="e">
        <f t="shared" si="329"/>
        <v>#N/A</v>
      </c>
      <c r="BJ472" s="319" t="e">
        <f t="shared" si="329"/>
        <v>#N/A</v>
      </c>
      <c r="BK472" s="319" t="e">
        <f t="shared" si="329"/>
        <v>#N/A</v>
      </c>
      <c r="BL472" s="319" t="e">
        <f t="shared" si="329"/>
        <v>#N/A</v>
      </c>
      <c r="BM472" s="319" t="e">
        <f t="shared" si="329"/>
        <v>#N/A</v>
      </c>
      <c r="BN472" s="319" t="e">
        <f t="shared" si="329"/>
        <v>#N/A</v>
      </c>
      <c r="BO472" s="319" t="e">
        <f t="shared" si="329"/>
        <v>#N/A</v>
      </c>
      <c r="BP472" s="319" t="e">
        <f t="shared" si="329"/>
        <v>#N/A</v>
      </c>
      <c r="BQ472" s="319" t="e">
        <f t="shared" si="329"/>
        <v>#N/A</v>
      </c>
      <c r="BR472" s="319" t="e">
        <f t="shared" si="329"/>
        <v>#N/A</v>
      </c>
      <c r="BS472" s="319" t="e">
        <f t="shared" si="329"/>
        <v>#N/A</v>
      </c>
      <c r="BT472" s="319" t="e">
        <f t="shared" si="329"/>
        <v>#N/A</v>
      </c>
      <c r="BU472" s="319" t="e">
        <f t="shared" si="329"/>
        <v>#N/A</v>
      </c>
      <c r="BV472" s="319" t="e">
        <f t="shared" ref="BV472:CC472" si="330">BV148</f>
        <v>#N/A</v>
      </c>
      <c r="BW472" s="319" t="e">
        <f t="shared" si="330"/>
        <v>#N/A</v>
      </c>
      <c r="BX472" s="319" t="e">
        <f t="shared" si="330"/>
        <v>#N/A</v>
      </c>
      <c r="BY472" s="319" t="e">
        <f t="shared" si="330"/>
        <v>#N/A</v>
      </c>
      <c r="BZ472" s="319" t="e">
        <f t="shared" si="330"/>
        <v>#N/A</v>
      </c>
      <c r="CA472" s="319" t="e">
        <f t="shared" si="330"/>
        <v>#N/A</v>
      </c>
      <c r="CB472" s="319" t="e">
        <f t="shared" si="330"/>
        <v>#N/A</v>
      </c>
      <c r="CC472" s="319" t="e">
        <f t="shared" si="330"/>
        <v>#N/A</v>
      </c>
    </row>
    <row r="473" spans="1:95" s="32" customFormat="1" ht="5.0999999999999996" customHeight="1" thickBot="1" x14ac:dyDescent="0.25">
      <c r="A473" s="185"/>
      <c r="B473" s="20"/>
      <c r="C473" s="20"/>
      <c r="D473" s="20"/>
      <c r="E473" s="20"/>
      <c r="F473" s="20"/>
    </row>
    <row r="474" spans="1:95" s="32" customFormat="1" ht="15.75" thickBot="1" x14ac:dyDescent="0.25">
      <c r="A474" s="185"/>
      <c r="B474" s="435" t="s">
        <v>198</v>
      </c>
      <c r="C474" s="436"/>
      <c r="D474" s="436"/>
      <c r="E474" s="436"/>
      <c r="F474" s="437"/>
      <c r="H474" s="206" t="e">
        <f>SUM(J474:CC474)</f>
        <v>#N/A</v>
      </c>
      <c r="I474" s="113"/>
      <c r="J474" s="115" t="e">
        <f t="shared" ref="J474:AO474" si="331">+J216</f>
        <v>#N/A</v>
      </c>
      <c r="K474" s="115" t="e">
        <f t="shared" si="331"/>
        <v>#N/A</v>
      </c>
      <c r="L474" s="115" t="e">
        <f t="shared" si="331"/>
        <v>#N/A</v>
      </c>
      <c r="M474" s="115" t="e">
        <f t="shared" si="331"/>
        <v>#N/A</v>
      </c>
      <c r="N474" s="115" t="e">
        <f t="shared" si="331"/>
        <v>#N/A</v>
      </c>
      <c r="O474" s="115" t="e">
        <f t="shared" si="331"/>
        <v>#N/A</v>
      </c>
      <c r="P474" s="115" t="e">
        <f t="shared" si="331"/>
        <v>#N/A</v>
      </c>
      <c r="Q474" s="115" t="e">
        <f t="shared" si="331"/>
        <v>#N/A</v>
      </c>
      <c r="R474" s="115" t="e">
        <f t="shared" si="331"/>
        <v>#N/A</v>
      </c>
      <c r="S474" s="115" t="e">
        <f t="shared" si="331"/>
        <v>#N/A</v>
      </c>
      <c r="T474" s="115" t="e">
        <f t="shared" si="331"/>
        <v>#N/A</v>
      </c>
      <c r="U474" s="115" t="e">
        <f t="shared" si="331"/>
        <v>#N/A</v>
      </c>
      <c r="V474" s="115" t="e">
        <f t="shared" si="331"/>
        <v>#N/A</v>
      </c>
      <c r="W474" s="115" t="e">
        <f t="shared" si="331"/>
        <v>#N/A</v>
      </c>
      <c r="X474" s="115" t="e">
        <f t="shared" si="331"/>
        <v>#N/A</v>
      </c>
      <c r="Y474" s="115" t="e">
        <f t="shared" si="331"/>
        <v>#N/A</v>
      </c>
      <c r="Z474" s="115" t="e">
        <f t="shared" si="331"/>
        <v>#N/A</v>
      </c>
      <c r="AA474" s="115" t="e">
        <f t="shared" si="331"/>
        <v>#N/A</v>
      </c>
      <c r="AB474" s="115" t="e">
        <f t="shared" si="331"/>
        <v>#N/A</v>
      </c>
      <c r="AC474" s="115" t="e">
        <f t="shared" si="331"/>
        <v>#N/A</v>
      </c>
      <c r="AD474" s="115" t="e">
        <f t="shared" si="331"/>
        <v>#N/A</v>
      </c>
      <c r="AE474" s="115" t="e">
        <f t="shared" si="331"/>
        <v>#N/A</v>
      </c>
      <c r="AF474" s="115" t="e">
        <f t="shared" si="331"/>
        <v>#N/A</v>
      </c>
      <c r="AG474" s="115" t="e">
        <f t="shared" si="331"/>
        <v>#N/A</v>
      </c>
      <c r="AH474" s="115" t="e">
        <f t="shared" si="331"/>
        <v>#N/A</v>
      </c>
      <c r="AI474" s="115" t="e">
        <f t="shared" si="331"/>
        <v>#N/A</v>
      </c>
      <c r="AJ474" s="115" t="e">
        <f t="shared" si="331"/>
        <v>#N/A</v>
      </c>
      <c r="AK474" s="115" t="e">
        <f t="shared" si="331"/>
        <v>#N/A</v>
      </c>
      <c r="AL474" s="115" t="e">
        <f t="shared" si="331"/>
        <v>#N/A</v>
      </c>
      <c r="AM474" s="115" t="e">
        <f t="shared" si="331"/>
        <v>#N/A</v>
      </c>
      <c r="AN474" s="115" t="e">
        <f t="shared" si="331"/>
        <v>#N/A</v>
      </c>
      <c r="AO474" s="115" t="e">
        <f t="shared" si="331"/>
        <v>#N/A</v>
      </c>
      <c r="AP474" s="115" t="e">
        <f t="shared" ref="AP474:BU474" si="332">+AP216</f>
        <v>#N/A</v>
      </c>
      <c r="AQ474" s="115" t="e">
        <f t="shared" si="332"/>
        <v>#N/A</v>
      </c>
      <c r="AR474" s="115" t="e">
        <f t="shared" si="332"/>
        <v>#N/A</v>
      </c>
      <c r="AS474" s="115" t="e">
        <f t="shared" si="332"/>
        <v>#N/A</v>
      </c>
      <c r="AT474" s="115" t="e">
        <f t="shared" si="332"/>
        <v>#N/A</v>
      </c>
      <c r="AU474" s="115" t="e">
        <f t="shared" si="332"/>
        <v>#N/A</v>
      </c>
      <c r="AV474" s="115" t="e">
        <f t="shared" si="332"/>
        <v>#N/A</v>
      </c>
      <c r="AW474" s="115" t="e">
        <f t="shared" si="332"/>
        <v>#N/A</v>
      </c>
      <c r="AX474" s="115" t="e">
        <f t="shared" si="332"/>
        <v>#N/A</v>
      </c>
      <c r="AY474" s="115" t="e">
        <f t="shared" si="332"/>
        <v>#N/A</v>
      </c>
      <c r="AZ474" s="115" t="e">
        <f t="shared" si="332"/>
        <v>#N/A</v>
      </c>
      <c r="BA474" s="115" t="e">
        <f t="shared" si="332"/>
        <v>#N/A</v>
      </c>
      <c r="BB474" s="115" t="e">
        <f t="shared" si="332"/>
        <v>#N/A</v>
      </c>
      <c r="BC474" s="115" t="e">
        <f t="shared" si="332"/>
        <v>#N/A</v>
      </c>
      <c r="BD474" s="115" t="e">
        <f t="shared" si="332"/>
        <v>#N/A</v>
      </c>
      <c r="BE474" s="115" t="e">
        <f t="shared" si="332"/>
        <v>#N/A</v>
      </c>
      <c r="BF474" s="115" t="e">
        <f t="shared" si="332"/>
        <v>#N/A</v>
      </c>
      <c r="BG474" s="115" t="e">
        <f t="shared" si="332"/>
        <v>#N/A</v>
      </c>
      <c r="BH474" s="115" t="e">
        <f t="shared" si="332"/>
        <v>#N/A</v>
      </c>
      <c r="BI474" s="115" t="e">
        <f t="shared" si="332"/>
        <v>#N/A</v>
      </c>
      <c r="BJ474" s="115" t="e">
        <f t="shared" si="332"/>
        <v>#N/A</v>
      </c>
      <c r="BK474" s="115" t="e">
        <f t="shared" si="332"/>
        <v>#N/A</v>
      </c>
      <c r="BL474" s="115" t="e">
        <f t="shared" si="332"/>
        <v>#N/A</v>
      </c>
      <c r="BM474" s="115" t="e">
        <f t="shared" si="332"/>
        <v>#N/A</v>
      </c>
      <c r="BN474" s="115" t="e">
        <f t="shared" si="332"/>
        <v>#N/A</v>
      </c>
      <c r="BO474" s="115" t="e">
        <f t="shared" si="332"/>
        <v>#N/A</v>
      </c>
      <c r="BP474" s="115" t="e">
        <f t="shared" si="332"/>
        <v>#N/A</v>
      </c>
      <c r="BQ474" s="115" t="e">
        <f t="shared" si="332"/>
        <v>#N/A</v>
      </c>
      <c r="BR474" s="115" t="e">
        <f t="shared" si="332"/>
        <v>#N/A</v>
      </c>
      <c r="BS474" s="115" t="e">
        <f t="shared" si="332"/>
        <v>#N/A</v>
      </c>
      <c r="BT474" s="115" t="e">
        <f t="shared" si="332"/>
        <v>#N/A</v>
      </c>
      <c r="BU474" s="115" t="e">
        <f t="shared" si="332"/>
        <v>#N/A</v>
      </c>
      <c r="BV474" s="115" t="e">
        <f t="shared" ref="BV474:CC474" si="333">+BV216</f>
        <v>#N/A</v>
      </c>
      <c r="BW474" s="115" t="e">
        <f t="shared" si="333"/>
        <v>#N/A</v>
      </c>
      <c r="BX474" s="115" t="e">
        <f t="shared" si="333"/>
        <v>#N/A</v>
      </c>
      <c r="BY474" s="115" t="e">
        <f t="shared" si="333"/>
        <v>#N/A</v>
      </c>
      <c r="BZ474" s="115" t="e">
        <f t="shared" si="333"/>
        <v>#N/A</v>
      </c>
      <c r="CA474" s="115" t="e">
        <f t="shared" si="333"/>
        <v>#N/A</v>
      </c>
      <c r="CB474" s="115" t="e">
        <f t="shared" si="333"/>
        <v>#N/A</v>
      </c>
      <c r="CC474" s="115" t="e">
        <f t="shared" si="333"/>
        <v>#N/A</v>
      </c>
      <c r="CJ474" s="216"/>
      <c r="CK474" s="216"/>
      <c r="CL474" s="216"/>
      <c r="CM474" s="216"/>
      <c r="CN474" s="216"/>
      <c r="CO474" s="216"/>
      <c r="CP474" s="216"/>
      <c r="CQ474" s="216"/>
    </row>
    <row r="475" spans="1:95" ht="5.0999999999999996" customHeight="1" thickBot="1" x14ac:dyDescent="0.25">
      <c r="B475" s="20"/>
      <c r="C475" s="20"/>
      <c r="D475" s="20"/>
      <c r="E475" s="20"/>
      <c r="F475" s="20"/>
      <c r="G475" s="32"/>
      <c r="H475" s="113"/>
      <c r="I475" s="113"/>
      <c r="J475" s="113"/>
      <c r="K475" s="113"/>
      <c r="L475" s="113"/>
      <c r="M475" s="113"/>
      <c r="N475" s="113"/>
      <c r="O475" s="113"/>
      <c r="P475" s="113"/>
      <c r="Q475" s="113"/>
      <c r="R475" s="113"/>
      <c r="S475" s="113"/>
      <c r="T475" s="113"/>
      <c r="U475" s="113"/>
      <c r="V475" s="113"/>
      <c r="W475" s="113"/>
      <c r="X475" s="113"/>
      <c r="Y475" s="113"/>
      <c r="Z475" s="113"/>
      <c r="AA475" s="113"/>
      <c r="AB475" s="113"/>
      <c r="AC475" s="113"/>
      <c r="AD475" s="113"/>
      <c r="AE475" s="113"/>
      <c r="AF475" s="113"/>
      <c r="AG475" s="113"/>
      <c r="AH475" s="113"/>
      <c r="AI475" s="113"/>
      <c r="AJ475" s="113"/>
      <c r="AK475" s="113"/>
      <c r="AL475" s="113"/>
      <c r="AM475" s="113"/>
      <c r="AN475" s="113"/>
      <c r="AO475" s="113"/>
      <c r="AP475" s="113"/>
      <c r="AQ475" s="113"/>
      <c r="AR475" s="113"/>
      <c r="AS475" s="113"/>
      <c r="AT475" s="113"/>
      <c r="AU475" s="113"/>
      <c r="AV475" s="113"/>
      <c r="AW475" s="113"/>
      <c r="AX475" s="113"/>
      <c r="AY475" s="113"/>
      <c r="AZ475" s="113"/>
      <c r="BA475" s="113"/>
      <c r="BB475" s="113"/>
      <c r="BC475" s="113"/>
      <c r="BD475" s="113"/>
      <c r="BE475" s="113"/>
      <c r="BF475" s="113"/>
      <c r="BG475" s="113"/>
      <c r="BH475" s="113"/>
      <c r="BI475" s="113"/>
      <c r="BJ475" s="113"/>
      <c r="BK475" s="113"/>
      <c r="BL475" s="113"/>
      <c r="BM475" s="113"/>
      <c r="BN475" s="113"/>
      <c r="BO475" s="113"/>
      <c r="BP475" s="113"/>
      <c r="BQ475" s="113"/>
      <c r="BR475" s="113"/>
      <c r="BS475" s="113"/>
      <c r="BT475" s="113"/>
      <c r="BU475" s="113"/>
      <c r="BV475" s="113"/>
      <c r="BW475" s="113"/>
      <c r="BX475" s="113"/>
      <c r="BY475" s="113"/>
      <c r="BZ475" s="113"/>
      <c r="CA475" s="113"/>
      <c r="CB475" s="113"/>
      <c r="CC475" s="113"/>
      <c r="CF475" s="32"/>
      <c r="CG475" s="32"/>
    </row>
    <row r="476" spans="1:95" s="32" customFormat="1" ht="15" customHeight="1" thickBot="1" x14ac:dyDescent="0.25">
      <c r="A476" s="185"/>
      <c r="B476" s="435" t="s">
        <v>199</v>
      </c>
      <c r="C476" s="436"/>
      <c r="D476" s="436"/>
      <c r="E476" s="436"/>
      <c r="F476" s="437"/>
      <c r="H476" s="206" t="e">
        <f>SUM(J476:CC476)</f>
        <v>#N/A</v>
      </c>
      <c r="I476" s="113"/>
      <c r="J476" s="139" t="e">
        <f t="shared" ref="J476:AO476" si="334">+J253</f>
        <v>#N/A</v>
      </c>
      <c r="K476" s="139" t="e">
        <f t="shared" si="334"/>
        <v>#N/A</v>
      </c>
      <c r="L476" s="139" t="e">
        <f t="shared" si="334"/>
        <v>#N/A</v>
      </c>
      <c r="M476" s="139" t="e">
        <f t="shared" si="334"/>
        <v>#N/A</v>
      </c>
      <c r="N476" s="115" t="e">
        <f t="shared" si="334"/>
        <v>#N/A</v>
      </c>
      <c r="O476" s="115" t="e">
        <f t="shared" si="334"/>
        <v>#N/A</v>
      </c>
      <c r="P476" s="115" t="e">
        <f t="shared" si="334"/>
        <v>#N/A</v>
      </c>
      <c r="Q476" s="115" t="e">
        <f t="shared" si="334"/>
        <v>#N/A</v>
      </c>
      <c r="R476" s="115" t="e">
        <f t="shared" si="334"/>
        <v>#N/A</v>
      </c>
      <c r="S476" s="115" t="e">
        <f t="shared" si="334"/>
        <v>#N/A</v>
      </c>
      <c r="T476" s="115" t="e">
        <f t="shared" si="334"/>
        <v>#N/A</v>
      </c>
      <c r="U476" s="115" t="e">
        <f t="shared" si="334"/>
        <v>#N/A</v>
      </c>
      <c r="V476" s="115" t="e">
        <f t="shared" si="334"/>
        <v>#N/A</v>
      </c>
      <c r="W476" s="115" t="e">
        <f t="shared" si="334"/>
        <v>#N/A</v>
      </c>
      <c r="X476" s="115" t="e">
        <f t="shared" si="334"/>
        <v>#N/A</v>
      </c>
      <c r="Y476" s="115" t="e">
        <f t="shared" si="334"/>
        <v>#N/A</v>
      </c>
      <c r="Z476" s="115" t="e">
        <f t="shared" si="334"/>
        <v>#N/A</v>
      </c>
      <c r="AA476" s="115" t="e">
        <f t="shared" si="334"/>
        <v>#N/A</v>
      </c>
      <c r="AB476" s="115" t="e">
        <f t="shared" si="334"/>
        <v>#N/A</v>
      </c>
      <c r="AC476" s="115" t="e">
        <f t="shared" si="334"/>
        <v>#N/A</v>
      </c>
      <c r="AD476" s="115" t="e">
        <f t="shared" si="334"/>
        <v>#N/A</v>
      </c>
      <c r="AE476" s="115" t="e">
        <f t="shared" si="334"/>
        <v>#N/A</v>
      </c>
      <c r="AF476" s="115" t="e">
        <f t="shared" si="334"/>
        <v>#N/A</v>
      </c>
      <c r="AG476" s="115" t="e">
        <f t="shared" si="334"/>
        <v>#N/A</v>
      </c>
      <c r="AH476" s="115" t="e">
        <f t="shared" si="334"/>
        <v>#N/A</v>
      </c>
      <c r="AI476" s="115" t="e">
        <f t="shared" si="334"/>
        <v>#N/A</v>
      </c>
      <c r="AJ476" s="115" t="e">
        <f t="shared" si="334"/>
        <v>#N/A</v>
      </c>
      <c r="AK476" s="115" t="e">
        <f t="shared" si="334"/>
        <v>#N/A</v>
      </c>
      <c r="AL476" s="115" t="e">
        <f t="shared" si="334"/>
        <v>#N/A</v>
      </c>
      <c r="AM476" s="115" t="e">
        <f t="shared" si="334"/>
        <v>#N/A</v>
      </c>
      <c r="AN476" s="115" t="e">
        <f t="shared" si="334"/>
        <v>#N/A</v>
      </c>
      <c r="AO476" s="115" t="e">
        <f t="shared" si="334"/>
        <v>#N/A</v>
      </c>
      <c r="AP476" s="115" t="e">
        <f t="shared" ref="AP476:BU476" si="335">+AP253</f>
        <v>#N/A</v>
      </c>
      <c r="AQ476" s="115" t="e">
        <f t="shared" si="335"/>
        <v>#N/A</v>
      </c>
      <c r="AR476" s="115" t="e">
        <f t="shared" si="335"/>
        <v>#N/A</v>
      </c>
      <c r="AS476" s="115" t="e">
        <f t="shared" si="335"/>
        <v>#N/A</v>
      </c>
      <c r="AT476" s="115" t="e">
        <f t="shared" si="335"/>
        <v>#N/A</v>
      </c>
      <c r="AU476" s="115" t="e">
        <f t="shared" si="335"/>
        <v>#N/A</v>
      </c>
      <c r="AV476" s="115" t="e">
        <f t="shared" si="335"/>
        <v>#N/A</v>
      </c>
      <c r="AW476" s="115" t="e">
        <f t="shared" si="335"/>
        <v>#N/A</v>
      </c>
      <c r="AX476" s="115" t="e">
        <f t="shared" si="335"/>
        <v>#N/A</v>
      </c>
      <c r="AY476" s="115" t="e">
        <f t="shared" si="335"/>
        <v>#N/A</v>
      </c>
      <c r="AZ476" s="115" t="e">
        <f t="shared" si="335"/>
        <v>#N/A</v>
      </c>
      <c r="BA476" s="115" t="e">
        <f t="shared" si="335"/>
        <v>#N/A</v>
      </c>
      <c r="BB476" s="115" t="e">
        <f t="shared" si="335"/>
        <v>#N/A</v>
      </c>
      <c r="BC476" s="115" t="e">
        <f t="shared" si="335"/>
        <v>#N/A</v>
      </c>
      <c r="BD476" s="115" t="e">
        <f t="shared" si="335"/>
        <v>#N/A</v>
      </c>
      <c r="BE476" s="115" t="e">
        <f t="shared" si="335"/>
        <v>#N/A</v>
      </c>
      <c r="BF476" s="115" t="e">
        <f t="shared" si="335"/>
        <v>#N/A</v>
      </c>
      <c r="BG476" s="115" t="e">
        <f t="shared" si="335"/>
        <v>#N/A</v>
      </c>
      <c r="BH476" s="115" t="e">
        <f t="shared" si="335"/>
        <v>#N/A</v>
      </c>
      <c r="BI476" s="115" t="e">
        <f t="shared" si="335"/>
        <v>#N/A</v>
      </c>
      <c r="BJ476" s="115" t="e">
        <f t="shared" si="335"/>
        <v>#N/A</v>
      </c>
      <c r="BK476" s="115" t="e">
        <f t="shared" si="335"/>
        <v>#N/A</v>
      </c>
      <c r="BL476" s="115" t="e">
        <f t="shared" si="335"/>
        <v>#N/A</v>
      </c>
      <c r="BM476" s="115" t="e">
        <f t="shared" si="335"/>
        <v>#N/A</v>
      </c>
      <c r="BN476" s="115" t="e">
        <f t="shared" si="335"/>
        <v>#N/A</v>
      </c>
      <c r="BO476" s="115" t="e">
        <f t="shared" si="335"/>
        <v>#N/A</v>
      </c>
      <c r="BP476" s="115" t="e">
        <f t="shared" si="335"/>
        <v>#N/A</v>
      </c>
      <c r="BQ476" s="115" t="e">
        <f t="shared" si="335"/>
        <v>#N/A</v>
      </c>
      <c r="BR476" s="115" t="e">
        <f t="shared" si="335"/>
        <v>#N/A</v>
      </c>
      <c r="BS476" s="115" t="e">
        <f t="shared" si="335"/>
        <v>#N/A</v>
      </c>
      <c r="BT476" s="115" t="e">
        <f t="shared" si="335"/>
        <v>#N/A</v>
      </c>
      <c r="BU476" s="115" t="e">
        <f t="shared" si="335"/>
        <v>#N/A</v>
      </c>
      <c r="BV476" s="115" t="e">
        <f t="shared" ref="BV476:CC476" si="336">+BV253</f>
        <v>#N/A</v>
      </c>
      <c r="BW476" s="115" t="e">
        <f t="shared" si="336"/>
        <v>#N/A</v>
      </c>
      <c r="BX476" s="115" t="e">
        <f t="shared" si="336"/>
        <v>#N/A</v>
      </c>
      <c r="BY476" s="115" t="e">
        <f t="shared" si="336"/>
        <v>#N/A</v>
      </c>
      <c r="BZ476" s="115" t="e">
        <f t="shared" si="336"/>
        <v>#N/A</v>
      </c>
      <c r="CA476" s="115" t="e">
        <f t="shared" si="336"/>
        <v>#N/A</v>
      </c>
      <c r="CB476" s="115" t="e">
        <f t="shared" si="336"/>
        <v>#N/A</v>
      </c>
      <c r="CC476" s="115" t="e">
        <f t="shared" si="336"/>
        <v>#N/A</v>
      </c>
    </row>
    <row r="477" spans="1:95" ht="5.0999999999999996" customHeight="1" thickBot="1" x14ac:dyDescent="0.25">
      <c r="B477" s="20"/>
      <c r="C477" s="20"/>
      <c r="D477" s="20"/>
      <c r="E477" s="20"/>
      <c r="F477" s="20"/>
      <c r="H477" s="113"/>
      <c r="I477" s="113"/>
      <c r="J477" s="113"/>
      <c r="K477" s="113"/>
      <c r="L477" s="113"/>
      <c r="M477" s="113"/>
      <c r="N477" s="113"/>
      <c r="O477" s="113"/>
      <c r="P477" s="113"/>
      <c r="Q477" s="113"/>
      <c r="R477" s="113"/>
      <c r="S477" s="113"/>
      <c r="T477" s="113"/>
      <c r="U477" s="113"/>
      <c r="V477" s="113"/>
      <c r="W477" s="113"/>
      <c r="X477" s="113"/>
      <c r="Y477" s="113"/>
      <c r="Z477" s="113"/>
      <c r="AA477" s="113"/>
      <c r="AB477" s="113"/>
      <c r="AC477" s="113"/>
      <c r="AD477" s="113"/>
      <c r="AE477" s="113"/>
      <c r="AF477" s="113"/>
      <c r="AG477" s="113"/>
      <c r="AH477" s="113"/>
      <c r="AI477" s="113"/>
      <c r="AJ477" s="113"/>
      <c r="AK477" s="113"/>
      <c r="AL477" s="113"/>
      <c r="AM477" s="113"/>
      <c r="AN477" s="113"/>
      <c r="AO477" s="113"/>
      <c r="AP477" s="113"/>
      <c r="AQ477" s="113"/>
      <c r="AR477" s="113"/>
      <c r="AS477" s="113"/>
      <c r="AT477" s="113"/>
      <c r="AU477" s="113"/>
      <c r="AV477" s="113"/>
      <c r="AW477" s="113"/>
      <c r="AX477" s="113"/>
      <c r="AY477" s="113"/>
      <c r="AZ477" s="113"/>
      <c r="BA477" s="113"/>
      <c r="BB477" s="113"/>
      <c r="BC477" s="113"/>
      <c r="BD477" s="113"/>
      <c r="BE477" s="113"/>
      <c r="BF477" s="113"/>
      <c r="BG477" s="113"/>
      <c r="BH477" s="113"/>
      <c r="BI477" s="113"/>
      <c r="BJ477" s="113"/>
      <c r="BK477" s="113"/>
      <c r="BL477" s="113"/>
      <c r="BM477" s="113"/>
      <c r="BN477" s="113"/>
      <c r="BO477" s="113"/>
      <c r="BP477" s="113"/>
      <c r="BQ477" s="113"/>
      <c r="BR477" s="113"/>
      <c r="BS477" s="113"/>
      <c r="BT477" s="113"/>
      <c r="BU477" s="113"/>
      <c r="BV477" s="113"/>
      <c r="BW477" s="113"/>
      <c r="BX477" s="113"/>
      <c r="BY477" s="113"/>
      <c r="BZ477" s="113"/>
      <c r="CA477" s="113"/>
      <c r="CB477" s="113"/>
      <c r="CC477" s="113"/>
      <c r="CF477" s="32"/>
      <c r="CG477" s="32"/>
    </row>
    <row r="478" spans="1:95" s="32" customFormat="1" ht="15" customHeight="1" thickBot="1" x14ac:dyDescent="0.25">
      <c r="A478" s="185"/>
      <c r="B478" s="492" t="s">
        <v>200</v>
      </c>
      <c r="C478" s="493"/>
      <c r="D478" s="493"/>
      <c r="E478" s="493"/>
      <c r="F478" s="494"/>
      <c r="G478" s="186"/>
      <c r="H478" s="317" t="e">
        <f>+H474+H476</f>
        <v>#N/A</v>
      </c>
      <c r="I478" s="320"/>
      <c r="J478" s="317" t="e">
        <f>+J474+J476</f>
        <v>#N/A</v>
      </c>
      <c r="K478" s="317" t="e">
        <f>+K474+K476</f>
        <v>#N/A</v>
      </c>
      <c r="L478" s="317" t="e">
        <f t="shared" ref="L478:BV478" si="337">+L474+L476</f>
        <v>#N/A</v>
      </c>
      <c r="M478" s="317" t="e">
        <f t="shared" si="337"/>
        <v>#N/A</v>
      </c>
      <c r="N478" s="317" t="e">
        <f t="shared" si="337"/>
        <v>#N/A</v>
      </c>
      <c r="O478" s="317" t="e">
        <f t="shared" si="337"/>
        <v>#N/A</v>
      </c>
      <c r="P478" s="317" t="e">
        <f t="shared" si="337"/>
        <v>#N/A</v>
      </c>
      <c r="Q478" s="317" t="e">
        <f t="shared" si="337"/>
        <v>#N/A</v>
      </c>
      <c r="R478" s="317" t="e">
        <f t="shared" si="337"/>
        <v>#N/A</v>
      </c>
      <c r="S478" s="317" t="e">
        <f t="shared" si="337"/>
        <v>#N/A</v>
      </c>
      <c r="T478" s="317" t="e">
        <f t="shared" si="337"/>
        <v>#N/A</v>
      </c>
      <c r="U478" s="317" t="e">
        <f t="shared" si="337"/>
        <v>#N/A</v>
      </c>
      <c r="V478" s="317" t="e">
        <f t="shared" si="337"/>
        <v>#N/A</v>
      </c>
      <c r="W478" s="317" t="e">
        <f t="shared" si="337"/>
        <v>#N/A</v>
      </c>
      <c r="X478" s="317" t="e">
        <f t="shared" si="337"/>
        <v>#N/A</v>
      </c>
      <c r="Y478" s="317" t="e">
        <f t="shared" si="337"/>
        <v>#N/A</v>
      </c>
      <c r="Z478" s="317" t="e">
        <f t="shared" si="337"/>
        <v>#N/A</v>
      </c>
      <c r="AA478" s="317" t="e">
        <f t="shared" si="337"/>
        <v>#N/A</v>
      </c>
      <c r="AB478" s="317" t="e">
        <f t="shared" si="337"/>
        <v>#N/A</v>
      </c>
      <c r="AC478" s="317" t="e">
        <f t="shared" si="337"/>
        <v>#N/A</v>
      </c>
      <c r="AD478" s="317" t="e">
        <f t="shared" si="337"/>
        <v>#N/A</v>
      </c>
      <c r="AE478" s="317" t="e">
        <f t="shared" si="337"/>
        <v>#N/A</v>
      </c>
      <c r="AF478" s="317" t="e">
        <f t="shared" si="337"/>
        <v>#N/A</v>
      </c>
      <c r="AG478" s="317" t="e">
        <f t="shared" si="337"/>
        <v>#N/A</v>
      </c>
      <c r="AH478" s="317" t="e">
        <f t="shared" si="337"/>
        <v>#N/A</v>
      </c>
      <c r="AI478" s="317" t="e">
        <f t="shared" si="337"/>
        <v>#N/A</v>
      </c>
      <c r="AJ478" s="317" t="e">
        <f t="shared" si="337"/>
        <v>#N/A</v>
      </c>
      <c r="AK478" s="317" t="e">
        <f t="shared" si="337"/>
        <v>#N/A</v>
      </c>
      <c r="AL478" s="317" t="e">
        <f t="shared" si="337"/>
        <v>#N/A</v>
      </c>
      <c r="AM478" s="317" t="e">
        <f t="shared" si="337"/>
        <v>#N/A</v>
      </c>
      <c r="AN478" s="317" t="e">
        <f t="shared" si="337"/>
        <v>#N/A</v>
      </c>
      <c r="AO478" s="317" t="e">
        <f t="shared" si="337"/>
        <v>#N/A</v>
      </c>
      <c r="AP478" s="317" t="e">
        <f t="shared" si="337"/>
        <v>#N/A</v>
      </c>
      <c r="AQ478" s="317" t="e">
        <f t="shared" si="337"/>
        <v>#N/A</v>
      </c>
      <c r="AR478" s="317" t="e">
        <f t="shared" si="337"/>
        <v>#N/A</v>
      </c>
      <c r="AS478" s="317" t="e">
        <f t="shared" si="337"/>
        <v>#N/A</v>
      </c>
      <c r="AT478" s="317" t="e">
        <f t="shared" si="337"/>
        <v>#N/A</v>
      </c>
      <c r="AU478" s="317" t="e">
        <f t="shared" si="337"/>
        <v>#N/A</v>
      </c>
      <c r="AV478" s="317" t="e">
        <f t="shared" si="337"/>
        <v>#N/A</v>
      </c>
      <c r="AW478" s="317" t="e">
        <f t="shared" si="337"/>
        <v>#N/A</v>
      </c>
      <c r="AX478" s="317" t="e">
        <f t="shared" si="337"/>
        <v>#N/A</v>
      </c>
      <c r="AY478" s="317" t="e">
        <f t="shared" si="337"/>
        <v>#N/A</v>
      </c>
      <c r="AZ478" s="317" t="e">
        <f t="shared" si="337"/>
        <v>#N/A</v>
      </c>
      <c r="BA478" s="317" t="e">
        <f t="shared" si="337"/>
        <v>#N/A</v>
      </c>
      <c r="BB478" s="317" t="e">
        <f t="shared" si="337"/>
        <v>#N/A</v>
      </c>
      <c r="BC478" s="317" t="e">
        <f t="shared" si="337"/>
        <v>#N/A</v>
      </c>
      <c r="BD478" s="317" t="e">
        <f t="shared" si="337"/>
        <v>#N/A</v>
      </c>
      <c r="BE478" s="317" t="e">
        <f t="shared" si="337"/>
        <v>#N/A</v>
      </c>
      <c r="BF478" s="317" t="e">
        <f t="shared" si="337"/>
        <v>#N/A</v>
      </c>
      <c r="BG478" s="317" t="e">
        <f t="shared" si="337"/>
        <v>#N/A</v>
      </c>
      <c r="BH478" s="317" t="e">
        <f t="shared" si="337"/>
        <v>#N/A</v>
      </c>
      <c r="BI478" s="317" t="e">
        <f t="shared" si="337"/>
        <v>#N/A</v>
      </c>
      <c r="BJ478" s="317" t="e">
        <f t="shared" si="337"/>
        <v>#N/A</v>
      </c>
      <c r="BK478" s="317" t="e">
        <f t="shared" si="337"/>
        <v>#N/A</v>
      </c>
      <c r="BL478" s="317" t="e">
        <f t="shared" si="337"/>
        <v>#N/A</v>
      </c>
      <c r="BM478" s="317" t="e">
        <f t="shared" si="337"/>
        <v>#N/A</v>
      </c>
      <c r="BN478" s="317" t="e">
        <f t="shared" si="337"/>
        <v>#N/A</v>
      </c>
      <c r="BO478" s="317" t="e">
        <f t="shared" si="337"/>
        <v>#N/A</v>
      </c>
      <c r="BP478" s="317" t="e">
        <f t="shared" si="337"/>
        <v>#N/A</v>
      </c>
      <c r="BQ478" s="317" t="e">
        <f t="shared" si="337"/>
        <v>#N/A</v>
      </c>
      <c r="BR478" s="317" t="e">
        <f t="shared" si="337"/>
        <v>#N/A</v>
      </c>
      <c r="BS478" s="317" t="e">
        <f t="shared" si="337"/>
        <v>#N/A</v>
      </c>
      <c r="BT478" s="317" t="e">
        <f t="shared" si="337"/>
        <v>#N/A</v>
      </c>
      <c r="BU478" s="317" t="e">
        <f t="shared" si="337"/>
        <v>#N/A</v>
      </c>
      <c r="BV478" s="317" t="e">
        <f t="shared" si="337"/>
        <v>#N/A</v>
      </c>
      <c r="BW478" s="317" t="e">
        <f t="shared" ref="BW478:CC478" si="338">+BW474+BW476</f>
        <v>#N/A</v>
      </c>
      <c r="BX478" s="317" t="e">
        <f t="shared" si="338"/>
        <v>#N/A</v>
      </c>
      <c r="BY478" s="317" t="e">
        <f t="shared" si="338"/>
        <v>#N/A</v>
      </c>
      <c r="BZ478" s="317" t="e">
        <f t="shared" si="338"/>
        <v>#N/A</v>
      </c>
      <c r="CA478" s="317" t="e">
        <f t="shared" si="338"/>
        <v>#N/A</v>
      </c>
      <c r="CB478" s="317" t="e">
        <f t="shared" si="338"/>
        <v>#N/A</v>
      </c>
      <c r="CC478" s="317" t="e">
        <f t="shared" si="338"/>
        <v>#N/A</v>
      </c>
    </row>
    <row r="479" spans="1:95" ht="5.0999999999999996" customHeight="1" thickBot="1" x14ac:dyDescent="0.25">
      <c r="B479" s="20"/>
      <c r="C479" s="20"/>
      <c r="D479" s="20"/>
      <c r="E479" s="20"/>
      <c r="F479" s="20"/>
      <c r="H479" s="32"/>
      <c r="I479" s="32"/>
      <c r="J479" s="32"/>
      <c r="K479" s="32"/>
      <c r="L479" s="32"/>
      <c r="M479" s="32"/>
      <c r="N479" s="32"/>
      <c r="O479" s="32"/>
      <c r="P479" s="32"/>
      <c r="Q479" s="32"/>
      <c r="R479" s="32"/>
      <c r="S479" s="32"/>
      <c r="T479" s="32"/>
      <c r="U479" s="32"/>
      <c r="V479" s="32"/>
      <c r="W479" s="32"/>
      <c r="X479" s="32"/>
      <c r="Y479" s="32"/>
      <c r="Z479" s="32"/>
      <c r="AA479" s="32"/>
      <c r="AB479" s="32"/>
      <c r="AC479" s="32"/>
      <c r="AD479" s="32"/>
      <c r="AE479" s="32"/>
      <c r="AF479" s="32"/>
      <c r="AG479" s="32"/>
      <c r="AH479" s="32"/>
      <c r="AI479" s="32"/>
      <c r="AJ479" s="32"/>
      <c r="AK479" s="32"/>
      <c r="AL479" s="32"/>
      <c r="AM479" s="32"/>
      <c r="AN479" s="32"/>
      <c r="AO479" s="32"/>
      <c r="AP479" s="32"/>
      <c r="AQ479" s="32"/>
      <c r="AR479" s="32"/>
      <c r="AS479" s="32"/>
      <c r="AT479" s="32"/>
      <c r="AU479" s="32"/>
      <c r="AV479" s="32"/>
      <c r="AW479" s="32"/>
      <c r="AX479" s="32"/>
      <c r="AY479" s="32"/>
      <c r="AZ479" s="32"/>
      <c r="BA479" s="32"/>
      <c r="BB479" s="32"/>
      <c r="BC479" s="32"/>
      <c r="BD479" s="32"/>
      <c r="BE479" s="32"/>
      <c r="BF479" s="32"/>
      <c r="BG479" s="32"/>
      <c r="BH479" s="32"/>
      <c r="BI479" s="32"/>
      <c r="BJ479" s="32"/>
      <c r="BK479" s="32"/>
      <c r="BL479" s="32"/>
      <c r="BM479" s="32"/>
      <c r="BN479" s="32"/>
      <c r="BO479" s="32"/>
      <c r="BP479" s="32"/>
      <c r="BQ479" s="32"/>
      <c r="BR479" s="32"/>
      <c r="BS479" s="32"/>
      <c r="BT479" s="32"/>
      <c r="BU479" s="32"/>
      <c r="BV479" s="32"/>
      <c r="BW479" s="32"/>
      <c r="BX479" s="32"/>
      <c r="BY479" s="32"/>
      <c r="BZ479" s="32"/>
      <c r="CA479" s="32"/>
      <c r="CB479" s="32"/>
      <c r="CC479" s="32"/>
      <c r="CF479" s="32"/>
      <c r="CG479" s="32"/>
    </row>
    <row r="480" spans="1:95" s="32" customFormat="1" ht="15" customHeight="1" thickBot="1" x14ac:dyDescent="0.25">
      <c r="A480" s="185"/>
      <c r="B480" s="481" t="s">
        <v>201</v>
      </c>
      <c r="C480" s="482"/>
      <c r="D480" s="482"/>
      <c r="E480" s="482"/>
      <c r="F480" s="483"/>
      <c r="J480" s="100" t="e">
        <f>IF($H$478=0,0,+J478/$H$478)</f>
        <v>#N/A</v>
      </c>
      <c r="K480" s="100" t="e">
        <f t="shared" ref="K480:BV480" si="339">IF($H$478=0,0,+K478/$H$478)</f>
        <v>#N/A</v>
      </c>
      <c r="L480" s="100" t="e">
        <f t="shared" si="339"/>
        <v>#N/A</v>
      </c>
      <c r="M480" s="100" t="e">
        <f t="shared" si="339"/>
        <v>#N/A</v>
      </c>
      <c r="N480" s="100" t="e">
        <f t="shared" si="339"/>
        <v>#N/A</v>
      </c>
      <c r="O480" s="100" t="e">
        <f t="shared" si="339"/>
        <v>#N/A</v>
      </c>
      <c r="P480" s="100" t="e">
        <f t="shared" si="339"/>
        <v>#N/A</v>
      </c>
      <c r="Q480" s="100" t="e">
        <f t="shared" si="339"/>
        <v>#N/A</v>
      </c>
      <c r="R480" s="100" t="e">
        <f t="shared" si="339"/>
        <v>#N/A</v>
      </c>
      <c r="S480" s="100" t="e">
        <f t="shared" si="339"/>
        <v>#N/A</v>
      </c>
      <c r="T480" s="100" t="e">
        <f t="shared" si="339"/>
        <v>#N/A</v>
      </c>
      <c r="U480" s="100" t="e">
        <f t="shared" si="339"/>
        <v>#N/A</v>
      </c>
      <c r="V480" s="100" t="e">
        <f t="shared" si="339"/>
        <v>#N/A</v>
      </c>
      <c r="W480" s="100" t="e">
        <f t="shared" si="339"/>
        <v>#N/A</v>
      </c>
      <c r="X480" s="100" t="e">
        <f t="shared" si="339"/>
        <v>#N/A</v>
      </c>
      <c r="Y480" s="100" t="e">
        <f t="shared" si="339"/>
        <v>#N/A</v>
      </c>
      <c r="Z480" s="100" t="e">
        <f t="shared" si="339"/>
        <v>#N/A</v>
      </c>
      <c r="AA480" s="100" t="e">
        <f t="shared" si="339"/>
        <v>#N/A</v>
      </c>
      <c r="AB480" s="100" t="e">
        <f t="shared" si="339"/>
        <v>#N/A</v>
      </c>
      <c r="AC480" s="100" t="e">
        <f t="shared" si="339"/>
        <v>#N/A</v>
      </c>
      <c r="AD480" s="100" t="e">
        <f t="shared" si="339"/>
        <v>#N/A</v>
      </c>
      <c r="AE480" s="100" t="e">
        <f t="shared" si="339"/>
        <v>#N/A</v>
      </c>
      <c r="AF480" s="100" t="e">
        <f t="shared" si="339"/>
        <v>#N/A</v>
      </c>
      <c r="AG480" s="100" t="e">
        <f t="shared" si="339"/>
        <v>#N/A</v>
      </c>
      <c r="AH480" s="100" t="e">
        <f t="shared" si="339"/>
        <v>#N/A</v>
      </c>
      <c r="AI480" s="100" t="e">
        <f t="shared" si="339"/>
        <v>#N/A</v>
      </c>
      <c r="AJ480" s="100" t="e">
        <f t="shared" si="339"/>
        <v>#N/A</v>
      </c>
      <c r="AK480" s="100" t="e">
        <f t="shared" si="339"/>
        <v>#N/A</v>
      </c>
      <c r="AL480" s="100" t="e">
        <f t="shared" si="339"/>
        <v>#N/A</v>
      </c>
      <c r="AM480" s="100" t="e">
        <f t="shared" si="339"/>
        <v>#N/A</v>
      </c>
      <c r="AN480" s="100" t="e">
        <f t="shared" si="339"/>
        <v>#N/A</v>
      </c>
      <c r="AO480" s="100" t="e">
        <f t="shared" si="339"/>
        <v>#N/A</v>
      </c>
      <c r="AP480" s="100" t="e">
        <f t="shared" si="339"/>
        <v>#N/A</v>
      </c>
      <c r="AQ480" s="100" t="e">
        <f t="shared" si="339"/>
        <v>#N/A</v>
      </c>
      <c r="AR480" s="100" t="e">
        <f t="shared" si="339"/>
        <v>#N/A</v>
      </c>
      <c r="AS480" s="100" t="e">
        <f t="shared" si="339"/>
        <v>#N/A</v>
      </c>
      <c r="AT480" s="100" t="e">
        <f t="shared" si="339"/>
        <v>#N/A</v>
      </c>
      <c r="AU480" s="100" t="e">
        <f t="shared" si="339"/>
        <v>#N/A</v>
      </c>
      <c r="AV480" s="100" t="e">
        <f t="shared" si="339"/>
        <v>#N/A</v>
      </c>
      <c r="AW480" s="100" t="e">
        <f t="shared" si="339"/>
        <v>#N/A</v>
      </c>
      <c r="AX480" s="100" t="e">
        <f t="shared" si="339"/>
        <v>#N/A</v>
      </c>
      <c r="AY480" s="100" t="e">
        <f t="shared" si="339"/>
        <v>#N/A</v>
      </c>
      <c r="AZ480" s="100" t="e">
        <f t="shared" si="339"/>
        <v>#N/A</v>
      </c>
      <c r="BA480" s="100" t="e">
        <f t="shared" si="339"/>
        <v>#N/A</v>
      </c>
      <c r="BB480" s="100" t="e">
        <f t="shared" si="339"/>
        <v>#N/A</v>
      </c>
      <c r="BC480" s="100" t="e">
        <f t="shared" si="339"/>
        <v>#N/A</v>
      </c>
      <c r="BD480" s="100" t="e">
        <f t="shared" si="339"/>
        <v>#N/A</v>
      </c>
      <c r="BE480" s="100" t="e">
        <f t="shared" si="339"/>
        <v>#N/A</v>
      </c>
      <c r="BF480" s="100" t="e">
        <f t="shared" si="339"/>
        <v>#N/A</v>
      </c>
      <c r="BG480" s="100" t="e">
        <f t="shared" si="339"/>
        <v>#N/A</v>
      </c>
      <c r="BH480" s="100" t="e">
        <f t="shared" si="339"/>
        <v>#N/A</v>
      </c>
      <c r="BI480" s="100" t="e">
        <f t="shared" si="339"/>
        <v>#N/A</v>
      </c>
      <c r="BJ480" s="100" t="e">
        <f t="shared" si="339"/>
        <v>#N/A</v>
      </c>
      <c r="BK480" s="100" t="e">
        <f t="shared" si="339"/>
        <v>#N/A</v>
      </c>
      <c r="BL480" s="100" t="e">
        <f t="shared" si="339"/>
        <v>#N/A</v>
      </c>
      <c r="BM480" s="100" t="e">
        <f t="shared" si="339"/>
        <v>#N/A</v>
      </c>
      <c r="BN480" s="100" t="e">
        <f t="shared" si="339"/>
        <v>#N/A</v>
      </c>
      <c r="BO480" s="100" t="e">
        <f t="shared" si="339"/>
        <v>#N/A</v>
      </c>
      <c r="BP480" s="100" t="e">
        <f t="shared" si="339"/>
        <v>#N/A</v>
      </c>
      <c r="BQ480" s="100" t="e">
        <f t="shared" si="339"/>
        <v>#N/A</v>
      </c>
      <c r="BR480" s="100" t="e">
        <f t="shared" si="339"/>
        <v>#N/A</v>
      </c>
      <c r="BS480" s="100" t="e">
        <f t="shared" si="339"/>
        <v>#N/A</v>
      </c>
      <c r="BT480" s="100" t="e">
        <f t="shared" si="339"/>
        <v>#N/A</v>
      </c>
      <c r="BU480" s="100" t="e">
        <f t="shared" si="339"/>
        <v>#N/A</v>
      </c>
      <c r="BV480" s="100" t="e">
        <f t="shared" si="339"/>
        <v>#N/A</v>
      </c>
      <c r="BW480" s="100" t="e">
        <f t="shared" ref="BW480:CC480" si="340">IF($H$478=0,0,+BW478/$H$478)</f>
        <v>#N/A</v>
      </c>
      <c r="BX480" s="100" t="e">
        <f t="shared" si="340"/>
        <v>#N/A</v>
      </c>
      <c r="BY480" s="100" t="e">
        <f t="shared" si="340"/>
        <v>#N/A</v>
      </c>
      <c r="BZ480" s="100" t="e">
        <f t="shared" si="340"/>
        <v>#N/A</v>
      </c>
      <c r="CA480" s="100" t="e">
        <f t="shared" si="340"/>
        <v>#N/A</v>
      </c>
      <c r="CB480" s="100" t="e">
        <f t="shared" si="340"/>
        <v>#N/A</v>
      </c>
      <c r="CC480" s="100" t="e">
        <f t="shared" si="340"/>
        <v>#N/A</v>
      </c>
    </row>
    <row r="481" spans="1:85" ht="5.0999999999999996" customHeight="1" thickBot="1" x14ac:dyDescent="0.25">
      <c r="B481" s="20"/>
      <c r="C481" s="20"/>
      <c r="D481" s="20"/>
      <c r="E481" s="20"/>
      <c r="F481" s="20"/>
      <c r="H481" s="32"/>
      <c r="I481" s="32"/>
      <c r="J481" s="113"/>
      <c r="K481" s="113"/>
      <c r="L481" s="113"/>
      <c r="M481" s="113"/>
      <c r="N481" s="113"/>
      <c r="O481" s="113"/>
      <c r="P481" s="113"/>
      <c r="Q481" s="113"/>
      <c r="R481" s="113"/>
      <c r="S481" s="113"/>
      <c r="T481" s="113"/>
      <c r="U481" s="113"/>
      <c r="V481" s="113"/>
      <c r="W481" s="113"/>
      <c r="X481" s="113"/>
      <c r="Y481" s="113"/>
      <c r="Z481" s="113"/>
      <c r="AA481" s="113"/>
      <c r="AB481" s="113"/>
      <c r="AC481" s="113"/>
      <c r="AD481" s="113"/>
      <c r="AE481" s="113"/>
      <c r="AF481" s="113"/>
      <c r="AG481" s="113"/>
      <c r="AH481" s="113"/>
      <c r="AI481" s="113"/>
      <c r="AJ481" s="113"/>
      <c r="AK481" s="113"/>
      <c r="AL481" s="113"/>
      <c r="AM481" s="113"/>
      <c r="AN481" s="113"/>
      <c r="AO481" s="113"/>
      <c r="AP481" s="113"/>
      <c r="AQ481" s="113"/>
      <c r="AR481" s="113"/>
      <c r="AS481" s="113"/>
      <c r="AT481" s="113"/>
      <c r="AU481" s="113"/>
      <c r="AV481" s="113"/>
      <c r="AW481" s="113"/>
      <c r="AX481" s="113"/>
      <c r="AY481" s="113"/>
      <c r="AZ481" s="113"/>
      <c r="BA481" s="113"/>
      <c r="BB481" s="113"/>
      <c r="BC481" s="113"/>
      <c r="BD481" s="113"/>
      <c r="BE481" s="113"/>
      <c r="BF481" s="113"/>
      <c r="BG481" s="113"/>
      <c r="BH481" s="113"/>
      <c r="BI481" s="113"/>
      <c r="BJ481" s="113"/>
      <c r="BK481" s="113"/>
      <c r="BL481" s="113"/>
      <c r="BM481" s="113"/>
      <c r="BN481" s="113"/>
      <c r="BO481" s="113"/>
      <c r="BP481" s="113"/>
      <c r="BQ481" s="113"/>
      <c r="BR481" s="113"/>
      <c r="BS481" s="113"/>
      <c r="BT481" s="113"/>
      <c r="BU481" s="113"/>
      <c r="BV481" s="113"/>
      <c r="BW481" s="113"/>
      <c r="BX481" s="113"/>
      <c r="BY481" s="113"/>
      <c r="BZ481" s="113"/>
      <c r="CA481" s="113"/>
      <c r="CB481" s="113"/>
      <c r="CC481" s="113"/>
      <c r="CF481" s="32"/>
      <c r="CG481" s="32"/>
    </row>
    <row r="482" spans="1:85" s="32" customFormat="1" ht="15" customHeight="1" thickBot="1" x14ac:dyDescent="0.25">
      <c r="A482" s="185"/>
      <c r="B482" s="481" t="s">
        <v>202</v>
      </c>
      <c r="C482" s="482"/>
      <c r="D482" s="482"/>
      <c r="E482" s="482"/>
      <c r="F482" s="483"/>
      <c r="J482" s="100" t="e">
        <f>+J480</f>
        <v>#N/A</v>
      </c>
      <c r="K482" s="100" t="e">
        <f>+J482+K480</f>
        <v>#N/A</v>
      </c>
      <c r="L482" s="100" t="e">
        <f>+K482+L480</f>
        <v>#N/A</v>
      </c>
      <c r="M482" s="100" t="e">
        <f t="shared" ref="M482:U482" si="341">+L482+M480</f>
        <v>#N/A</v>
      </c>
      <c r="N482" s="100" t="e">
        <f t="shared" si="341"/>
        <v>#N/A</v>
      </c>
      <c r="O482" s="100" t="e">
        <f t="shared" si="341"/>
        <v>#N/A</v>
      </c>
      <c r="P482" s="100" t="e">
        <f t="shared" si="341"/>
        <v>#N/A</v>
      </c>
      <c r="Q482" s="100" t="e">
        <f t="shared" si="341"/>
        <v>#N/A</v>
      </c>
      <c r="R482" s="100" t="e">
        <f t="shared" si="341"/>
        <v>#N/A</v>
      </c>
      <c r="S482" s="100" t="e">
        <f t="shared" si="341"/>
        <v>#N/A</v>
      </c>
      <c r="T482" s="100" t="e">
        <f t="shared" si="341"/>
        <v>#N/A</v>
      </c>
      <c r="U482" s="100" t="e">
        <f t="shared" si="341"/>
        <v>#N/A</v>
      </c>
      <c r="V482" s="100" t="e">
        <f t="shared" ref="V482:CC482" si="342">+U482+V480</f>
        <v>#N/A</v>
      </c>
      <c r="W482" s="100" t="e">
        <f t="shared" si="342"/>
        <v>#N/A</v>
      </c>
      <c r="X482" s="100" t="e">
        <f t="shared" si="342"/>
        <v>#N/A</v>
      </c>
      <c r="Y482" s="100" t="e">
        <f t="shared" si="342"/>
        <v>#N/A</v>
      </c>
      <c r="Z482" s="100" t="e">
        <f t="shared" si="342"/>
        <v>#N/A</v>
      </c>
      <c r="AA482" s="100" t="e">
        <f t="shared" si="342"/>
        <v>#N/A</v>
      </c>
      <c r="AB482" s="100" t="e">
        <f t="shared" si="342"/>
        <v>#N/A</v>
      </c>
      <c r="AC482" s="100" t="e">
        <f t="shared" si="342"/>
        <v>#N/A</v>
      </c>
      <c r="AD482" s="100" t="e">
        <f t="shared" si="342"/>
        <v>#N/A</v>
      </c>
      <c r="AE482" s="100" t="e">
        <f t="shared" si="342"/>
        <v>#N/A</v>
      </c>
      <c r="AF482" s="100" t="e">
        <f t="shared" si="342"/>
        <v>#N/A</v>
      </c>
      <c r="AG482" s="100" t="e">
        <f t="shared" si="342"/>
        <v>#N/A</v>
      </c>
      <c r="AH482" s="100" t="e">
        <f t="shared" si="342"/>
        <v>#N/A</v>
      </c>
      <c r="AI482" s="100" t="e">
        <f t="shared" si="342"/>
        <v>#N/A</v>
      </c>
      <c r="AJ482" s="100" t="e">
        <f t="shared" si="342"/>
        <v>#N/A</v>
      </c>
      <c r="AK482" s="100" t="e">
        <f t="shared" si="342"/>
        <v>#N/A</v>
      </c>
      <c r="AL482" s="100" t="e">
        <f t="shared" si="342"/>
        <v>#N/A</v>
      </c>
      <c r="AM482" s="100" t="e">
        <f t="shared" si="342"/>
        <v>#N/A</v>
      </c>
      <c r="AN482" s="100" t="e">
        <f t="shared" si="342"/>
        <v>#N/A</v>
      </c>
      <c r="AO482" s="100" t="e">
        <f t="shared" si="342"/>
        <v>#N/A</v>
      </c>
      <c r="AP482" s="100" t="e">
        <f t="shared" si="342"/>
        <v>#N/A</v>
      </c>
      <c r="AQ482" s="100" t="e">
        <f t="shared" si="342"/>
        <v>#N/A</v>
      </c>
      <c r="AR482" s="100" t="e">
        <f t="shared" si="342"/>
        <v>#N/A</v>
      </c>
      <c r="AS482" s="100" t="e">
        <f t="shared" si="342"/>
        <v>#N/A</v>
      </c>
      <c r="AT482" s="100" t="e">
        <f t="shared" si="342"/>
        <v>#N/A</v>
      </c>
      <c r="AU482" s="100" t="e">
        <f t="shared" si="342"/>
        <v>#N/A</v>
      </c>
      <c r="AV482" s="100" t="e">
        <f t="shared" si="342"/>
        <v>#N/A</v>
      </c>
      <c r="AW482" s="100" t="e">
        <f t="shared" si="342"/>
        <v>#N/A</v>
      </c>
      <c r="AX482" s="100" t="e">
        <f t="shared" si="342"/>
        <v>#N/A</v>
      </c>
      <c r="AY482" s="100" t="e">
        <f t="shared" si="342"/>
        <v>#N/A</v>
      </c>
      <c r="AZ482" s="100" t="e">
        <f t="shared" si="342"/>
        <v>#N/A</v>
      </c>
      <c r="BA482" s="100" t="e">
        <f t="shared" si="342"/>
        <v>#N/A</v>
      </c>
      <c r="BB482" s="100" t="e">
        <f t="shared" si="342"/>
        <v>#N/A</v>
      </c>
      <c r="BC482" s="100" t="e">
        <f t="shared" si="342"/>
        <v>#N/A</v>
      </c>
      <c r="BD482" s="100" t="e">
        <f t="shared" si="342"/>
        <v>#N/A</v>
      </c>
      <c r="BE482" s="100" t="e">
        <f t="shared" si="342"/>
        <v>#N/A</v>
      </c>
      <c r="BF482" s="100" t="e">
        <f t="shared" si="342"/>
        <v>#N/A</v>
      </c>
      <c r="BG482" s="100" t="e">
        <f t="shared" si="342"/>
        <v>#N/A</v>
      </c>
      <c r="BH482" s="100" t="e">
        <f t="shared" si="342"/>
        <v>#N/A</v>
      </c>
      <c r="BI482" s="100" t="e">
        <f t="shared" si="342"/>
        <v>#N/A</v>
      </c>
      <c r="BJ482" s="100" t="e">
        <f t="shared" si="342"/>
        <v>#N/A</v>
      </c>
      <c r="BK482" s="100" t="e">
        <f t="shared" si="342"/>
        <v>#N/A</v>
      </c>
      <c r="BL482" s="100" t="e">
        <f t="shared" si="342"/>
        <v>#N/A</v>
      </c>
      <c r="BM482" s="100" t="e">
        <f t="shared" si="342"/>
        <v>#N/A</v>
      </c>
      <c r="BN482" s="100" t="e">
        <f t="shared" si="342"/>
        <v>#N/A</v>
      </c>
      <c r="BO482" s="100" t="e">
        <f t="shared" si="342"/>
        <v>#N/A</v>
      </c>
      <c r="BP482" s="100" t="e">
        <f t="shared" si="342"/>
        <v>#N/A</v>
      </c>
      <c r="BQ482" s="100" t="e">
        <f t="shared" si="342"/>
        <v>#N/A</v>
      </c>
      <c r="BR482" s="100" t="e">
        <f t="shared" si="342"/>
        <v>#N/A</v>
      </c>
      <c r="BS482" s="100" t="e">
        <f t="shared" si="342"/>
        <v>#N/A</v>
      </c>
      <c r="BT482" s="100" t="e">
        <f t="shared" si="342"/>
        <v>#N/A</v>
      </c>
      <c r="BU482" s="100" t="e">
        <f t="shared" si="342"/>
        <v>#N/A</v>
      </c>
      <c r="BV482" s="100" t="e">
        <f t="shared" si="342"/>
        <v>#N/A</v>
      </c>
      <c r="BW482" s="100" t="e">
        <f t="shared" si="342"/>
        <v>#N/A</v>
      </c>
      <c r="BX482" s="100" t="e">
        <f t="shared" si="342"/>
        <v>#N/A</v>
      </c>
      <c r="BY482" s="100" t="e">
        <f t="shared" si="342"/>
        <v>#N/A</v>
      </c>
      <c r="BZ482" s="100" t="e">
        <f t="shared" si="342"/>
        <v>#N/A</v>
      </c>
      <c r="CA482" s="100" t="e">
        <f t="shared" si="342"/>
        <v>#N/A</v>
      </c>
      <c r="CB482" s="100" t="e">
        <f t="shared" si="342"/>
        <v>#N/A</v>
      </c>
      <c r="CC482" s="100" t="e">
        <f t="shared" si="342"/>
        <v>#N/A</v>
      </c>
    </row>
    <row r="483" spans="1:85" ht="9.9499999999999993" customHeight="1" thickBot="1" x14ac:dyDescent="0.25">
      <c r="B483" s="20"/>
      <c r="C483" s="20"/>
      <c r="D483" s="20"/>
      <c r="E483" s="20"/>
      <c r="F483" s="20"/>
    </row>
    <row r="484" spans="1:85" s="32" customFormat="1" ht="28.5" thickBot="1" x14ac:dyDescent="0.25">
      <c r="A484" s="185"/>
      <c r="B484" s="503" t="s">
        <v>203</v>
      </c>
      <c r="C484" s="503"/>
      <c r="D484" s="503"/>
      <c r="E484" s="503"/>
      <c r="F484" s="503"/>
      <c r="H484" s="286" t="s">
        <v>204</v>
      </c>
      <c r="J484" s="319" t="e">
        <f t="shared" ref="J484:AO484" si="343">+J388</f>
        <v>#N/A</v>
      </c>
      <c r="K484" s="319" t="e">
        <f t="shared" si="343"/>
        <v>#N/A</v>
      </c>
      <c r="L484" s="319" t="e">
        <f t="shared" si="343"/>
        <v>#N/A</v>
      </c>
      <c r="M484" s="319" t="e">
        <f t="shared" si="343"/>
        <v>#N/A</v>
      </c>
      <c r="N484" s="319" t="e">
        <f t="shared" si="343"/>
        <v>#N/A</v>
      </c>
      <c r="O484" s="319" t="e">
        <f t="shared" si="343"/>
        <v>#N/A</v>
      </c>
      <c r="P484" s="319" t="e">
        <f t="shared" si="343"/>
        <v>#N/A</v>
      </c>
      <c r="Q484" s="319" t="e">
        <f t="shared" si="343"/>
        <v>#N/A</v>
      </c>
      <c r="R484" s="319" t="e">
        <f t="shared" si="343"/>
        <v>#N/A</v>
      </c>
      <c r="S484" s="319" t="e">
        <f t="shared" si="343"/>
        <v>#N/A</v>
      </c>
      <c r="T484" s="319" t="e">
        <f t="shared" si="343"/>
        <v>#N/A</v>
      </c>
      <c r="U484" s="319" t="e">
        <f t="shared" si="343"/>
        <v>#N/A</v>
      </c>
      <c r="V484" s="319" t="e">
        <f t="shared" si="343"/>
        <v>#N/A</v>
      </c>
      <c r="W484" s="319" t="e">
        <f t="shared" si="343"/>
        <v>#N/A</v>
      </c>
      <c r="X484" s="319" t="e">
        <f t="shared" si="343"/>
        <v>#N/A</v>
      </c>
      <c r="Y484" s="319" t="e">
        <f t="shared" si="343"/>
        <v>#N/A</v>
      </c>
      <c r="Z484" s="319" t="e">
        <f t="shared" si="343"/>
        <v>#N/A</v>
      </c>
      <c r="AA484" s="319" t="e">
        <f t="shared" si="343"/>
        <v>#N/A</v>
      </c>
      <c r="AB484" s="319" t="e">
        <f t="shared" si="343"/>
        <v>#N/A</v>
      </c>
      <c r="AC484" s="319" t="e">
        <f t="shared" si="343"/>
        <v>#N/A</v>
      </c>
      <c r="AD484" s="319" t="e">
        <f t="shared" si="343"/>
        <v>#N/A</v>
      </c>
      <c r="AE484" s="319" t="e">
        <f t="shared" si="343"/>
        <v>#N/A</v>
      </c>
      <c r="AF484" s="319" t="e">
        <f t="shared" si="343"/>
        <v>#N/A</v>
      </c>
      <c r="AG484" s="319" t="e">
        <f t="shared" si="343"/>
        <v>#N/A</v>
      </c>
      <c r="AH484" s="319" t="e">
        <f t="shared" si="343"/>
        <v>#N/A</v>
      </c>
      <c r="AI484" s="319" t="e">
        <f t="shared" si="343"/>
        <v>#N/A</v>
      </c>
      <c r="AJ484" s="319" t="e">
        <f t="shared" si="343"/>
        <v>#N/A</v>
      </c>
      <c r="AK484" s="319" t="e">
        <f t="shared" si="343"/>
        <v>#N/A</v>
      </c>
      <c r="AL484" s="319" t="e">
        <f t="shared" si="343"/>
        <v>#N/A</v>
      </c>
      <c r="AM484" s="319" t="e">
        <f t="shared" si="343"/>
        <v>#N/A</v>
      </c>
      <c r="AN484" s="319" t="e">
        <f t="shared" si="343"/>
        <v>#N/A</v>
      </c>
      <c r="AO484" s="319" t="e">
        <f t="shared" si="343"/>
        <v>#N/A</v>
      </c>
      <c r="AP484" s="319" t="e">
        <f t="shared" ref="AP484:BU484" si="344">+AP388</f>
        <v>#N/A</v>
      </c>
      <c r="AQ484" s="319" t="e">
        <f t="shared" si="344"/>
        <v>#N/A</v>
      </c>
      <c r="AR484" s="319" t="e">
        <f t="shared" si="344"/>
        <v>#N/A</v>
      </c>
      <c r="AS484" s="319" t="e">
        <f t="shared" si="344"/>
        <v>#N/A</v>
      </c>
      <c r="AT484" s="319" t="e">
        <f t="shared" si="344"/>
        <v>#N/A</v>
      </c>
      <c r="AU484" s="319" t="e">
        <f t="shared" si="344"/>
        <v>#N/A</v>
      </c>
      <c r="AV484" s="319" t="e">
        <f t="shared" si="344"/>
        <v>#N/A</v>
      </c>
      <c r="AW484" s="319" t="e">
        <f t="shared" si="344"/>
        <v>#N/A</v>
      </c>
      <c r="AX484" s="319" t="e">
        <f t="shared" si="344"/>
        <v>#N/A</v>
      </c>
      <c r="AY484" s="319" t="e">
        <f t="shared" si="344"/>
        <v>#N/A</v>
      </c>
      <c r="AZ484" s="319" t="e">
        <f t="shared" si="344"/>
        <v>#N/A</v>
      </c>
      <c r="BA484" s="319" t="e">
        <f t="shared" si="344"/>
        <v>#N/A</v>
      </c>
      <c r="BB484" s="319" t="e">
        <f t="shared" si="344"/>
        <v>#N/A</v>
      </c>
      <c r="BC484" s="319" t="e">
        <f t="shared" si="344"/>
        <v>#N/A</v>
      </c>
      <c r="BD484" s="319" t="e">
        <f t="shared" si="344"/>
        <v>#N/A</v>
      </c>
      <c r="BE484" s="319" t="e">
        <f t="shared" si="344"/>
        <v>#N/A</v>
      </c>
      <c r="BF484" s="319" t="e">
        <f t="shared" si="344"/>
        <v>#N/A</v>
      </c>
      <c r="BG484" s="319" t="e">
        <f t="shared" si="344"/>
        <v>#N/A</v>
      </c>
      <c r="BH484" s="319" t="e">
        <f t="shared" si="344"/>
        <v>#N/A</v>
      </c>
      <c r="BI484" s="319" t="e">
        <f t="shared" si="344"/>
        <v>#N/A</v>
      </c>
      <c r="BJ484" s="319" t="e">
        <f t="shared" si="344"/>
        <v>#N/A</v>
      </c>
      <c r="BK484" s="319" t="e">
        <f t="shared" si="344"/>
        <v>#N/A</v>
      </c>
      <c r="BL484" s="319" t="e">
        <f t="shared" si="344"/>
        <v>#N/A</v>
      </c>
      <c r="BM484" s="319" t="e">
        <f t="shared" si="344"/>
        <v>#N/A</v>
      </c>
      <c r="BN484" s="319" t="e">
        <f t="shared" si="344"/>
        <v>#N/A</v>
      </c>
      <c r="BO484" s="319" t="e">
        <f t="shared" si="344"/>
        <v>#N/A</v>
      </c>
      <c r="BP484" s="319" t="e">
        <f t="shared" si="344"/>
        <v>#N/A</v>
      </c>
      <c r="BQ484" s="319" t="e">
        <f t="shared" si="344"/>
        <v>#N/A</v>
      </c>
      <c r="BR484" s="319" t="e">
        <f t="shared" si="344"/>
        <v>#N/A</v>
      </c>
      <c r="BS484" s="319" t="e">
        <f t="shared" si="344"/>
        <v>#N/A</v>
      </c>
      <c r="BT484" s="319" t="e">
        <f t="shared" si="344"/>
        <v>#N/A</v>
      </c>
      <c r="BU484" s="319" t="e">
        <f t="shared" si="344"/>
        <v>#N/A</v>
      </c>
      <c r="BV484" s="319" t="e">
        <f t="shared" ref="BV484:CC484" si="345">+BV388</f>
        <v>#N/A</v>
      </c>
      <c r="BW484" s="319" t="e">
        <f t="shared" si="345"/>
        <v>#N/A</v>
      </c>
      <c r="BX484" s="319" t="e">
        <f t="shared" si="345"/>
        <v>#N/A</v>
      </c>
      <c r="BY484" s="319" t="e">
        <f t="shared" si="345"/>
        <v>#N/A</v>
      </c>
      <c r="BZ484" s="319" t="e">
        <f t="shared" si="345"/>
        <v>#N/A</v>
      </c>
      <c r="CA484" s="319" t="e">
        <f t="shared" si="345"/>
        <v>#N/A</v>
      </c>
      <c r="CB484" s="319" t="e">
        <f t="shared" si="345"/>
        <v>#N/A</v>
      </c>
      <c r="CC484" s="319" t="e">
        <f t="shared" si="345"/>
        <v>#N/A</v>
      </c>
    </row>
    <row r="485" spans="1:85" s="32" customFormat="1" ht="5.0999999999999996" customHeight="1" thickBot="1" x14ac:dyDescent="0.25">
      <c r="A485" s="185"/>
      <c r="B485" s="20"/>
      <c r="C485" s="20"/>
      <c r="D485" s="20"/>
      <c r="E485" s="20"/>
      <c r="F485" s="20"/>
    </row>
    <row r="486" spans="1:85" s="32" customFormat="1" ht="15.75" thickBot="1" x14ac:dyDescent="0.25">
      <c r="A486" s="185"/>
      <c r="B486" s="435" t="s">
        <v>205</v>
      </c>
      <c r="C486" s="436"/>
      <c r="D486" s="436"/>
      <c r="E486" s="436"/>
      <c r="F486" s="437"/>
      <c r="H486" s="205" t="e">
        <f>SUM(J486:CC486)</f>
        <v>#N/A</v>
      </c>
      <c r="I486" s="113"/>
      <c r="J486" s="205" t="e">
        <f t="shared" ref="J486:AO486" si="346">IF(J324&gt;0,+J419*$F$318/J324,0)</f>
        <v>#N/A</v>
      </c>
      <c r="K486" s="205" t="e">
        <f t="shared" si="346"/>
        <v>#N/A</v>
      </c>
      <c r="L486" s="205" t="e">
        <f t="shared" si="346"/>
        <v>#N/A</v>
      </c>
      <c r="M486" s="205" t="e">
        <f t="shared" si="346"/>
        <v>#N/A</v>
      </c>
      <c r="N486" s="205" t="e">
        <f t="shared" si="346"/>
        <v>#N/A</v>
      </c>
      <c r="O486" s="205" t="e">
        <f t="shared" si="346"/>
        <v>#N/A</v>
      </c>
      <c r="P486" s="205" t="e">
        <f t="shared" si="346"/>
        <v>#N/A</v>
      </c>
      <c r="Q486" s="205" t="e">
        <f t="shared" si="346"/>
        <v>#N/A</v>
      </c>
      <c r="R486" s="205" t="e">
        <f t="shared" si="346"/>
        <v>#N/A</v>
      </c>
      <c r="S486" s="205" t="e">
        <f t="shared" si="346"/>
        <v>#N/A</v>
      </c>
      <c r="T486" s="205" t="e">
        <f t="shared" si="346"/>
        <v>#N/A</v>
      </c>
      <c r="U486" s="205" t="e">
        <f t="shared" si="346"/>
        <v>#N/A</v>
      </c>
      <c r="V486" s="205" t="e">
        <f t="shared" si="346"/>
        <v>#N/A</v>
      </c>
      <c r="W486" s="205" t="e">
        <f t="shared" si="346"/>
        <v>#N/A</v>
      </c>
      <c r="X486" s="205" t="e">
        <f t="shared" si="346"/>
        <v>#N/A</v>
      </c>
      <c r="Y486" s="205" t="e">
        <f t="shared" si="346"/>
        <v>#N/A</v>
      </c>
      <c r="Z486" s="205" t="e">
        <f t="shared" si="346"/>
        <v>#N/A</v>
      </c>
      <c r="AA486" s="205" t="e">
        <f t="shared" si="346"/>
        <v>#N/A</v>
      </c>
      <c r="AB486" s="205" t="e">
        <f t="shared" si="346"/>
        <v>#N/A</v>
      </c>
      <c r="AC486" s="205" t="e">
        <f t="shared" si="346"/>
        <v>#N/A</v>
      </c>
      <c r="AD486" s="205" t="e">
        <f t="shared" si="346"/>
        <v>#N/A</v>
      </c>
      <c r="AE486" s="205" t="e">
        <f t="shared" si="346"/>
        <v>#N/A</v>
      </c>
      <c r="AF486" s="205" t="e">
        <f t="shared" si="346"/>
        <v>#N/A</v>
      </c>
      <c r="AG486" s="205" t="e">
        <f t="shared" si="346"/>
        <v>#N/A</v>
      </c>
      <c r="AH486" s="205" t="e">
        <f t="shared" si="346"/>
        <v>#N/A</v>
      </c>
      <c r="AI486" s="205" t="e">
        <f t="shared" si="346"/>
        <v>#N/A</v>
      </c>
      <c r="AJ486" s="205" t="e">
        <f t="shared" si="346"/>
        <v>#N/A</v>
      </c>
      <c r="AK486" s="205" t="e">
        <f t="shared" si="346"/>
        <v>#N/A</v>
      </c>
      <c r="AL486" s="205" t="e">
        <f t="shared" si="346"/>
        <v>#N/A</v>
      </c>
      <c r="AM486" s="205" t="e">
        <f t="shared" si="346"/>
        <v>#N/A</v>
      </c>
      <c r="AN486" s="205" t="e">
        <f t="shared" si="346"/>
        <v>#N/A</v>
      </c>
      <c r="AO486" s="205" t="e">
        <f t="shared" si="346"/>
        <v>#N/A</v>
      </c>
      <c r="AP486" s="205" t="e">
        <f t="shared" ref="AP486:BU486" si="347">IF(AP324&gt;0,+AP419*$F$318/AP324,0)</f>
        <v>#N/A</v>
      </c>
      <c r="AQ486" s="205" t="e">
        <f t="shared" si="347"/>
        <v>#N/A</v>
      </c>
      <c r="AR486" s="205" t="e">
        <f t="shared" si="347"/>
        <v>#N/A</v>
      </c>
      <c r="AS486" s="205" t="e">
        <f t="shared" si="347"/>
        <v>#N/A</v>
      </c>
      <c r="AT486" s="205" t="e">
        <f t="shared" si="347"/>
        <v>#N/A</v>
      </c>
      <c r="AU486" s="205" t="e">
        <f t="shared" si="347"/>
        <v>#N/A</v>
      </c>
      <c r="AV486" s="205" t="e">
        <f t="shared" si="347"/>
        <v>#N/A</v>
      </c>
      <c r="AW486" s="205" t="e">
        <f t="shared" si="347"/>
        <v>#N/A</v>
      </c>
      <c r="AX486" s="205" t="e">
        <f t="shared" si="347"/>
        <v>#N/A</v>
      </c>
      <c r="AY486" s="205" t="e">
        <f t="shared" si="347"/>
        <v>#N/A</v>
      </c>
      <c r="AZ486" s="205" t="e">
        <f t="shared" si="347"/>
        <v>#N/A</v>
      </c>
      <c r="BA486" s="205" t="e">
        <f t="shared" si="347"/>
        <v>#N/A</v>
      </c>
      <c r="BB486" s="205" t="e">
        <f t="shared" si="347"/>
        <v>#N/A</v>
      </c>
      <c r="BC486" s="205" t="e">
        <f t="shared" si="347"/>
        <v>#N/A</v>
      </c>
      <c r="BD486" s="205" t="e">
        <f t="shared" si="347"/>
        <v>#N/A</v>
      </c>
      <c r="BE486" s="205" t="e">
        <f t="shared" si="347"/>
        <v>#N/A</v>
      </c>
      <c r="BF486" s="205" t="e">
        <f t="shared" si="347"/>
        <v>#N/A</v>
      </c>
      <c r="BG486" s="205" t="e">
        <f t="shared" si="347"/>
        <v>#N/A</v>
      </c>
      <c r="BH486" s="205" t="e">
        <f t="shared" si="347"/>
        <v>#N/A</v>
      </c>
      <c r="BI486" s="205" t="e">
        <f t="shared" si="347"/>
        <v>#N/A</v>
      </c>
      <c r="BJ486" s="205" t="e">
        <f t="shared" si="347"/>
        <v>#N/A</v>
      </c>
      <c r="BK486" s="205" t="e">
        <f t="shared" si="347"/>
        <v>#N/A</v>
      </c>
      <c r="BL486" s="205" t="e">
        <f t="shared" si="347"/>
        <v>#N/A</v>
      </c>
      <c r="BM486" s="205" t="e">
        <f t="shared" si="347"/>
        <v>#N/A</v>
      </c>
      <c r="BN486" s="205" t="e">
        <f t="shared" si="347"/>
        <v>#N/A</v>
      </c>
      <c r="BO486" s="205" t="e">
        <f t="shared" si="347"/>
        <v>#N/A</v>
      </c>
      <c r="BP486" s="205" t="e">
        <f t="shared" si="347"/>
        <v>#N/A</v>
      </c>
      <c r="BQ486" s="205" t="e">
        <f t="shared" si="347"/>
        <v>#N/A</v>
      </c>
      <c r="BR486" s="205" t="e">
        <f t="shared" si="347"/>
        <v>#N/A</v>
      </c>
      <c r="BS486" s="205" t="e">
        <f t="shared" si="347"/>
        <v>#N/A</v>
      </c>
      <c r="BT486" s="205" t="e">
        <f t="shared" si="347"/>
        <v>#N/A</v>
      </c>
      <c r="BU486" s="205" t="e">
        <f t="shared" si="347"/>
        <v>#N/A</v>
      </c>
      <c r="BV486" s="205" t="e">
        <f t="shared" ref="BV486:CC486" si="348">IF(BV324&gt;0,+BV419*$F$318/BV324,0)</f>
        <v>#N/A</v>
      </c>
      <c r="BW486" s="205" t="e">
        <f t="shared" si="348"/>
        <v>#N/A</v>
      </c>
      <c r="BX486" s="205" t="e">
        <f t="shared" si="348"/>
        <v>#N/A</v>
      </c>
      <c r="BY486" s="205" t="e">
        <f t="shared" si="348"/>
        <v>#N/A</v>
      </c>
      <c r="BZ486" s="205" t="e">
        <f t="shared" si="348"/>
        <v>#N/A</v>
      </c>
      <c r="CA486" s="205" t="e">
        <f t="shared" si="348"/>
        <v>#N/A</v>
      </c>
      <c r="CB486" s="205" t="e">
        <f t="shared" si="348"/>
        <v>#N/A</v>
      </c>
      <c r="CC486" s="205" t="e">
        <f t="shared" si="348"/>
        <v>#N/A</v>
      </c>
    </row>
    <row r="487" spans="1:85" ht="5.0999999999999996" customHeight="1" thickBot="1" x14ac:dyDescent="0.25">
      <c r="B487" s="20"/>
      <c r="C487" s="20"/>
      <c r="D487" s="20"/>
      <c r="E487" s="20"/>
      <c r="F487" s="20"/>
      <c r="G487" s="32"/>
      <c r="H487" s="113"/>
      <c r="I487" s="113"/>
      <c r="J487" s="113"/>
      <c r="K487" s="113"/>
      <c r="L487" s="113"/>
      <c r="M487" s="113"/>
      <c r="N487" s="113"/>
      <c r="O487" s="113"/>
      <c r="P487" s="113"/>
      <c r="Q487" s="113"/>
      <c r="R487" s="113"/>
      <c r="S487" s="113"/>
      <c r="T487" s="113"/>
      <c r="U487" s="113"/>
      <c r="V487" s="113"/>
      <c r="W487" s="113"/>
      <c r="X487" s="113"/>
      <c r="Y487" s="113"/>
      <c r="Z487" s="113"/>
      <c r="AA487" s="113"/>
      <c r="AB487" s="113"/>
      <c r="AC487" s="113"/>
      <c r="AD487" s="113"/>
      <c r="AE487" s="113"/>
      <c r="AF487" s="113"/>
      <c r="AG487" s="113"/>
      <c r="AH487" s="113"/>
      <c r="AI487" s="113"/>
      <c r="AJ487" s="113"/>
      <c r="AK487" s="113"/>
      <c r="AL487" s="113"/>
      <c r="AM487" s="113"/>
      <c r="AN487" s="113"/>
      <c r="AO487" s="113"/>
      <c r="AP487" s="113"/>
      <c r="AQ487" s="113"/>
      <c r="AR487" s="113"/>
      <c r="AS487" s="113"/>
      <c r="AT487" s="113"/>
      <c r="AU487" s="113"/>
      <c r="AV487" s="113"/>
      <c r="AW487" s="113"/>
      <c r="AX487" s="113"/>
      <c r="AY487" s="113"/>
      <c r="AZ487" s="113"/>
      <c r="BA487" s="113"/>
      <c r="BB487" s="113"/>
      <c r="BC487" s="113"/>
      <c r="BD487" s="113"/>
      <c r="BE487" s="113"/>
      <c r="BF487" s="113"/>
      <c r="BG487" s="113"/>
      <c r="BH487" s="113"/>
      <c r="BI487" s="113"/>
      <c r="BJ487" s="113"/>
      <c r="BK487" s="113"/>
      <c r="BL487" s="113"/>
      <c r="BM487" s="113"/>
      <c r="BN487" s="113"/>
      <c r="BO487" s="113"/>
      <c r="BP487" s="113"/>
      <c r="BQ487" s="113"/>
      <c r="BR487" s="113"/>
      <c r="BS487" s="113"/>
      <c r="BT487" s="113"/>
      <c r="BU487" s="113"/>
      <c r="BV487" s="113"/>
      <c r="BW487" s="113"/>
      <c r="BX487" s="113"/>
      <c r="BY487" s="113"/>
      <c r="BZ487" s="113"/>
      <c r="CA487" s="113"/>
      <c r="CB487" s="113"/>
      <c r="CC487" s="113"/>
    </row>
    <row r="488" spans="1:85" s="32" customFormat="1" ht="15" customHeight="1" thickBot="1" x14ac:dyDescent="0.25">
      <c r="A488" s="185"/>
      <c r="B488" s="435" t="s">
        <v>206</v>
      </c>
      <c r="C488" s="436"/>
      <c r="D488" s="436"/>
      <c r="E488" s="436"/>
      <c r="F488" s="437"/>
      <c r="H488" s="205" t="e">
        <f>SUM(J488:CC488)</f>
        <v>#N/A</v>
      </c>
      <c r="I488" s="113"/>
      <c r="J488" s="205" t="e">
        <f t="shared" ref="J488:AO488" si="349">IF(J326&gt;0,+J462/J326*$F$320,0)</f>
        <v>#N/A</v>
      </c>
      <c r="K488" s="205" t="e">
        <f t="shared" si="349"/>
        <v>#N/A</v>
      </c>
      <c r="L488" s="205" t="e">
        <f t="shared" si="349"/>
        <v>#N/A</v>
      </c>
      <c r="M488" s="205" t="e">
        <f t="shared" si="349"/>
        <v>#N/A</v>
      </c>
      <c r="N488" s="205" t="e">
        <f t="shared" si="349"/>
        <v>#N/A</v>
      </c>
      <c r="O488" s="205" t="e">
        <f t="shared" si="349"/>
        <v>#N/A</v>
      </c>
      <c r="P488" s="205" t="e">
        <f t="shared" si="349"/>
        <v>#N/A</v>
      </c>
      <c r="Q488" s="205" t="e">
        <f t="shared" si="349"/>
        <v>#N/A</v>
      </c>
      <c r="R488" s="205" t="e">
        <f t="shared" si="349"/>
        <v>#N/A</v>
      </c>
      <c r="S488" s="205" t="e">
        <f t="shared" si="349"/>
        <v>#N/A</v>
      </c>
      <c r="T488" s="205" t="e">
        <f t="shared" si="349"/>
        <v>#N/A</v>
      </c>
      <c r="U488" s="205" t="e">
        <f t="shared" si="349"/>
        <v>#N/A</v>
      </c>
      <c r="V488" s="205" t="e">
        <f t="shared" si="349"/>
        <v>#N/A</v>
      </c>
      <c r="W488" s="205" t="e">
        <f t="shared" si="349"/>
        <v>#N/A</v>
      </c>
      <c r="X488" s="205" t="e">
        <f t="shared" si="349"/>
        <v>#N/A</v>
      </c>
      <c r="Y488" s="205" t="e">
        <f t="shared" si="349"/>
        <v>#N/A</v>
      </c>
      <c r="Z488" s="205" t="e">
        <f t="shared" si="349"/>
        <v>#N/A</v>
      </c>
      <c r="AA488" s="205" t="e">
        <f t="shared" si="349"/>
        <v>#N/A</v>
      </c>
      <c r="AB488" s="205" t="e">
        <f t="shared" si="349"/>
        <v>#N/A</v>
      </c>
      <c r="AC488" s="205" t="e">
        <f t="shared" si="349"/>
        <v>#N/A</v>
      </c>
      <c r="AD488" s="205" t="e">
        <f t="shared" si="349"/>
        <v>#N/A</v>
      </c>
      <c r="AE488" s="205" t="e">
        <f t="shared" si="349"/>
        <v>#N/A</v>
      </c>
      <c r="AF488" s="205" t="e">
        <f t="shared" si="349"/>
        <v>#N/A</v>
      </c>
      <c r="AG488" s="205" t="e">
        <f t="shared" si="349"/>
        <v>#N/A</v>
      </c>
      <c r="AH488" s="205" t="e">
        <f t="shared" si="349"/>
        <v>#N/A</v>
      </c>
      <c r="AI488" s="205" t="e">
        <f t="shared" si="349"/>
        <v>#N/A</v>
      </c>
      <c r="AJ488" s="205" t="e">
        <f t="shared" si="349"/>
        <v>#N/A</v>
      </c>
      <c r="AK488" s="205" t="e">
        <f t="shared" si="349"/>
        <v>#N/A</v>
      </c>
      <c r="AL488" s="205" t="e">
        <f t="shared" si="349"/>
        <v>#N/A</v>
      </c>
      <c r="AM488" s="205" t="e">
        <f t="shared" si="349"/>
        <v>#N/A</v>
      </c>
      <c r="AN488" s="205" t="e">
        <f t="shared" si="349"/>
        <v>#N/A</v>
      </c>
      <c r="AO488" s="205" t="e">
        <f t="shared" si="349"/>
        <v>#N/A</v>
      </c>
      <c r="AP488" s="205" t="e">
        <f t="shared" ref="AP488:BU488" si="350">IF(AP326&gt;0,+AP462/AP326*$F$320,0)</f>
        <v>#N/A</v>
      </c>
      <c r="AQ488" s="205" t="e">
        <f t="shared" si="350"/>
        <v>#N/A</v>
      </c>
      <c r="AR488" s="205" t="e">
        <f t="shared" si="350"/>
        <v>#N/A</v>
      </c>
      <c r="AS488" s="205" t="e">
        <f t="shared" si="350"/>
        <v>#N/A</v>
      </c>
      <c r="AT488" s="205" t="e">
        <f t="shared" si="350"/>
        <v>#N/A</v>
      </c>
      <c r="AU488" s="205" t="e">
        <f t="shared" si="350"/>
        <v>#N/A</v>
      </c>
      <c r="AV488" s="205" t="e">
        <f t="shared" si="350"/>
        <v>#N/A</v>
      </c>
      <c r="AW488" s="205" t="e">
        <f t="shared" si="350"/>
        <v>#N/A</v>
      </c>
      <c r="AX488" s="205" t="e">
        <f t="shared" si="350"/>
        <v>#N/A</v>
      </c>
      <c r="AY488" s="205" t="e">
        <f t="shared" si="350"/>
        <v>#N/A</v>
      </c>
      <c r="AZ488" s="205" t="e">
        <f t="shared" si="350"/>
        <v>#N/A</v>
      </c>
      <c r="BA488" s="205" t="e">
        <f t="shared" si="350"/>
        <v>#N/A</v>
      </c>
      <c r="BB488" s="205" t="e">
        <f t="shared" si="350"/>
        <v>#N/A</v>
      </c>
      <c r="BC488" s="205" t="e">
        <f t="shared" si="350"/>
        <v>#N/A</v>
      </c>
      <c r="BD488" s="205" t="e">
        <f t="shared" si="350"/>
        <v>#N/A</v>
      </c>
      <c r="BE488" s="205" t="e">
        <f t="shared" si="350"/>
        <v>#N/A</v>
      </c>
      <c r="BF488" s="205" t="e">
        <f t="shared" si="350"/>
        <v>#N/A</v>
      </c>
      <c r="BG488" s="205" t="e">
        <f t="shared" si="350"/>
        <v>#N/A</v>
      </c>
      <c r="BH488" s="205" t="e">
        <f t="shared" si="350"/>
        <v>#N/A</v>
      </c>
      <c r="BI488" s="205" t="e">
        <f t="shared" si="350"/>
        <v>#N/A</v>
      </c>
      <c r="BJ488" s="205" t="e">
        <f t="shared" si="350"/>
        <v>#N/A</v>
      </c>
      <c r="BK488" s="205" t="e">
        <f t="shared" si="350"/>
        <v>#N/A</v>
      </c>
      <c r="BL488" s="205" t="e">
        <f t="shared" si="350"/>
        <v>#N/A</v>
      </c>
      <c r="BM488" s="205" t="e">
        <f t="shared" si="350"/>
        <v>#N/A</v>
      </c>
      <c r="BN488" s="205" t="e">
        <f t="shared" si="350"/>
        <v>#N/A</v>
      </c>
      <c r="BO488" s="205" t="e">
        <f t="shared" si="350"/>
        <v>#N/A</v>
      </c>
      <c r="BP488" s="205" t="e">
        <f t="shared" si="350"/>
        <v>#N/A</v>
      </c>
      <c r="BQ488" s="205" t="e">
        <f t="shared" si="350"/>
        <v>#N/A</v>
      </c>
      <c r="BR488" s="205" t="e">
        <f t="shared" si="350"/>
        <v>#N/A</v>
      </c>
      <c r="BS488" s="205" t="e">
        <f t="shared" si="350"/>
        <v>#N/A</v>
      </c>
      <c r="BT488" s="205" t="e">
        <f t="shared" si="350"/>
        <v>#N/A</v>
      </c>
      <c r="BU488" s="205" t="e">
        <f t="shared" si="350"/>
        <v>#N/A</v>
      </c>
      <c r="BV488" s="205" t="e">
        <f t="shared" ref="BV488:CC488" si="351">IF(BV326&gt;0,+BV462/BV326*$F$320,0)</f>
        <v>#N/A</v>
      </c>
      <c r="BW488" s="205" t="e">
        <f t="shared" si="351"/>
        <v>#N/A</v>
      </c>
      <c r="BX488" s="205" t="e">
        <f t="shared" si="351"/>
        <v>#N/A</v>
      </c>
      <c r="BY488" s="205" t="e">
        <f t="shared" si="351"/>
        <v>#N/A</v>
      </c>
      <c r="BZ488" s="205" t="e">
        <f t="shared" si="351"/>
        <v>#N/A</v>
      </c>
      <c r="CA488" s="205" t="e">
        <f t="shared" si="351"/>
        <v>#N/A</v>
      </c>
      <c r="CB488" s="205" t="e">
        <f t="shared" si="351"/>
        <v>#N/A</v>
      </c>
      <c r="CC488" s="205" t="e">
        <f t="shared" si="351"/>
        <v>#N/A</v>
      </c>
    </row>
    <row r="489" spans="1:85" ht="5.0999999999999996" customHeight="1" thickBot="1" x14ac:dyDescent="0.25">
      <c r="B489" s="20"/>
      <c r="C489" s="20"/>
      <c r="D489" s="20"/>
      <c r="E489" s="20"/>
      <c r="F489" s="20"/>
      <c r="H489" s="113"/>
      <c r="I489" s="113"/>
      <c r="J489" s="113"/>
      <c r="K489" s="113"/>
      <c r="L489" s="113"/>
      <c r="M489" s="113"/>
      <c r="N489" s="113"/>
      <c r="O489" s="113"/>
      <c r="P489" s="113"/>
      <c r="Q489" s="113"/>
      <c r="R489" s="113"/>
      <c r="S489" s="113"/>
      <c r="T489" s="113"/>
      <c r="U489" s="113"/>
      <c r="V489" s="113"/>
      <c r="W489" s="113"/>
      <c r="X489" s="113"/>
      <c r="Y489" s="113"/>
      <c r="Z489" s="113"/>
      <c r="AA489" s="113"/>
      <c r="AB489" s="113"/>
      <c r="AC489" s="113"/>
      <c r="AD489" s="113"/>
      <c r="AE489" s="113"/>
      <c r="AF489" s="113"/>
      <c r="AG489" s="113"/>
      <c r="AH489" s="113"/>
      <c r="AI489" s="113"/>
      <c r="AJ489" s="113"/>
      <c r="AK489" s="113"/>
      <c r="AL489" s="113"/>
      <c r="AM489" s="113"/>
      <c r="AN489" s="113"/>
      <c r="AO489" s="113"/>
      <c r="AP489" s="113"/>
      <c r="AQ489" s="113"/>
      <c r="AR489" s="113"/>
      <c r="AS489" s="113"/>
      <c r="AT489" s="113"/>
      <c r="AU489" s="113"/>
      <c r="AV489" s="113"/>
      <c r="AW489" s="113"/>
      <c r="AX489" s="113"/>
      <c r="AY489" s="113"/>
      <c r="AZ489" s="113"/>
      <c r="BA489" s="113"/>
      <c r="BB489" s="113"/>
      <c r="BC489" s="113"/>
      <c r="BD489" s="113"/>
      <c r="BE489" s="113"/>
      <c r="BF489" s="113"/>
      <c r="BG489" s="113"/>
      <c r="BH489" s="113"/>
      <c r="BI489" s="113"/>
      <c r="BJ489" s="113"/>
      <c r="BK489" s="113"/>
      <c r="BL489" s="113"/>
      <c r="BM489" s="113"/>
      <c r="BN489" s="113"/>
      <c r="BO489" s="113"/>
      <c r="BP489" s="113"/>
      <c r="BQ489" s="113"/>
      <c r="BR489" s="113"/>
      <c r="BS489" s="113"/>
      <c r="BT489" s="113"/>
      <c r="BU489" s="113"/>
      <c r="BV489" s="113"/>
      <c r="BW489" s="113"/>
      <c r="BX489" s="113"/>
      <c r="BY489" s="113"/>
      <c r="BZ489" s="113"/>
      <c r="CA489" s="113"/>
      <c r="CB489" s="113"/>
      <c r="CC489" s="113"/>
    </row>
    <row r="490" spans="1:85" s="32" customFormat="1" ht="15" customHeight="1" thickBot="1" x14ac:dyDescent="0.25">
      <c r="A490" s="185"/>
      <c r="B490" s="492" t="s">
        <v>207</v>
      </c>
      <c r="C490" s="493"/>
      <c r="D490" s="493"/>
      <c r="E490" s="493"/>
      <c r="F490" s="494"/>
      <c r="H490" s="317" t="e">
        <f>+H486+H488</f>
        <v>#N/A</v>
      </c>
      <c r="I490" s="320"/>
      <c r="J490" s="317" t="e">
        <f>+J486+J488</f>
        <v>#N/A</v>
      </c>
      <c r="K490" s="317" t="e">
        <f t="shared" ref="K490:Q490" si="352">+K486+K488</f>
        <v>#N/A</v>
      </c>
      <c r="L490" s="317" t="e">
        <f t="shared" si="352"/>
        <v>#N/A</v>
      </c>
      <c r="M490" s="317" t="e">
        <f t="shared" si="352"/>
        <v>#N/A</v>
      </c>
      <c r="N490" s="317" t="e">
        <f t="shared" si="352"/>
        <v>#N/A</v>
      </c>
      <c r="O490" s="317" t="e">
        <f t="shared" si="352"/>
        <v>#N/A</v>
      </c>
      <c r="P490" s="317" t="e">
        <f t="shared" si="352"/>
        <v>#N/A</v>
      </c>
      <c r="Q490" s="317" t="e">
        <f t="shared" si="352"/>
        <v>#N/A</v>
      </c>
      <c r="R490" s="317" t="e">
        <f t="shared" ref="R490:S490" si="353">+R486+R488</f>
        <v>#N/A</v>
      </c>
      <c r="S490" s="317" t="e">
        <f t="shared" si="353"/>
        <v>#N/A</v>
      </c>
      <c r="T490" s="317" t="e">
        <f t="shared" ref="T490:U490" si="354">+T486+T488</f>
        <v>#N/A</v>
      </c>
      <c r="U490" s="317" t="e">
        <f t="shared" si="354"/>
        <v>#N/A</v>
      </c>
      <c r="V490" s="317" t="e">
        <f t="shared" ref="V490:CC490" si="355">+V486+V488</f>
        <v>#N/A</v>
      </c>
      <c r="W490" s="317" t="e">
        <f t="shared" si="355"/>
        <v>#N/A</v>
      </c>
      <c r="X490" s="317" t="e">
        <f t="shared" si="355"/>
        <v>#N/A</v>
      </c>
      <c r="Y490" s="317" t="e">
        <f t="shared" si="355"/>
        <v>#N/A</v>
      </c>
      <c r="Z490" s="317" t="e">
        <f t="shared" si="355"/>
        <v>#N/A</v>
      </c>
      <c r="AA490" s="317" t="e">
        <f t="shared" si="355"/>
        <v>#N/A</v>
      </c>
      <c r="AB490" s="317" t="e">
        <f t="shared" si="355"/>
        <v>#N/A</v>
      </c>
      <c r="AC490" s="317" t="e">
        <f t="shared" si="355"/>
        <v>#N/A</v>
      </c>
      <c r="AD490" s="317" t="e">
        <f t="shared" si="355"/>
        <v>#N/A</v>
      </c>
      <c r="AE490" s="317" t="e">
        <f t="shared" si="355"/>
        <v>#N/A</v>
      </c>
      <c r="AF490" s="317" t="e">
        <f t="shared" si="355"/>
        <v>#N/A</v>
      </c>
      <c r="AG490" s="317" t="e">
        <f t="shared" si="355"/>
        <v>#N/A</v>
      </c>
      <c r="AH490" s="317" t="e">
        <f t="shared" si="355"/>
        <v>#N/A</v>
      </c>
      <c r="AI490" s="317" t="e">
        <f t="shared" si="355"/>
        <v>#N/A</v>
      </c>
      <c r="AJ490" s="317" t="e">
        <f t="shared" si="355"/>
        <v>#N/A</v>
      </c>
      <c r="AK490" s="317" t="e">
        <f t="shared" si="355"/>
        <v>#N/A</v>
      </c>
      <c r="AL490" s="317" t="e">
        <f t="shared" si="355"/>
        <v>#N/A</v>
      </c>
      <c r="AM490" s="317" t="e">
        <f t="shared" si="355"/>
        <v>#N/A</v>
      </c>
      <c r="AN490" s="317" t="e">
        <f t="shared" si="355"/>
        <v>#N/A</v>
      </c>
      <c r="AO490" s="317" t="e">
        <f t="shared" si="355"/>
        <v>#N/A</v>
      </c>
      <c r="AP490" s="317" t="e">
        <f t="shared" si="355"/>
        <v>#N/A</v>
      </c>
      <c r="AQ490" s="317" t="e">
        <f t="shared" si="355"/>
        <v>#N/A</v>
      </c>
      <c r="AR490" s="317" t="e">
        <f t="shared" si="355"/>
        <v>#N/A</v>
      </c>
      <c r="AS490" s="317" t="e">
        <f t="shared" si="355"/>
        <v>#N/A</v>
      </c>
      <c r="AT490" s="317" t="e">
        <f t="shared" si="355"/>
        <v>#N/A</v>
      </c>
      <c r="AU490" s="317" t="e">
        <f t="shared" si="355"/>
        <v>#N/A</v>
      </c>
      <c r="AV490" s="317" t="e">
        <f t="shared" si="355"/>
        <v>#N/A</v>
      </c>
      <c r="AW490" s="317" t="e">
        <f t="shared" si="355"/>
        <v>#N/A</v>
      </c>
      <c r="AX490" s="317" t="e">
        <f t="shared" si="355"/>
        <v>#N/A</v>
      </c>
      <c r="AY490" s="317" t="e">
        <f t="shared" si="355"/>
        <v>#N/A</v>
      </c>
      <c r="AZ490" s="317" t="e">
        <f t="shared" si="355"/>
        <v>#N/A</v>
      </c>
      <c r="BA490" s="317" t="e">
        <f t="shared" si="355"/>
        <v>#N/A</v>
      </c>
      <c r="BB490" s="317" t="e">
        <f t="shared" si="355"/>
        <v>#N/A</v>
      </c>
      <c r="BC490" s="317" t="e">
        <f t="shared" si="355"/>
        <v>#N/A</v>
      </c>
      <c r="BD490" s="317" t="e">
        <f t="shared" si="355"/>
        <v>#N/A</v>
      </c>
      <c r="BE490" s="317" t="e">
        <f t="shared" si="355"/>
        <v>#N/A</v>
      </c>
      <c r="BF490" s="317" t="e">
        <f t="shared" si="355"/>
        <v>#N/A</v>
      </c>
      <c r="BG490" s="317" t="e">
        <f t="shared" si="355"/>
        <v>#N/A</v>
      </c>
      <c r="BH490" s="317" t="e">
        <f t="shared" si="355"/>
        <v>#N/A</v>
      </c>
      <c r="BI490" s="317" t="e">
        <f t="shared" si="355"/>
        <v>#N/A</v>
      </c>
      <c r="BJ490" s="317" t="e">
        <f t="shared" si="355"/>
        <v>#N/A</v>
      </c>
      <c r="BK490" s="317" t="e">
        <f t="shared" si="355"/>
        <v>#N/A</v>
      </c>
      <c r="BL490" s="317" t="e">
        <f t="shared" si="355"/>
        <v>#N/A</v>
      </c>
      <c r="BM490" s="317" t="e">
        <f t="shared" si="355"/>
        <v>#N/A</v>
      </c>
      <c r="BN490" s="317" t="e">
        <f t="shared" si="355"/>
        <v>#N/A</v>
      </c>
      <c r="BO490" s="317" t="e">
        <f t="shared" si="355"/>
        <v>#N/A</v>
      </c>
      <c r="BP490" s="317" t="e">
        <f t="shared" si="355"/>
        <v>#N/A</v>
      </c>
      <c r="BQ490" s="317" t="e">
        <f t="shared" si="355"/>
        <v>#N/A</v>
      </c>
      <c r="BR490" s="317" t="e">
        <f t="shared" si="355"/>
        <v>#N/A</v>
      </c>
      <c r="BS490" s="317" t="e">
        <f t="shared" si="355"/>
        <v>#N/A</v>
      </c>
      <c r="BT490" s="317" t="e">
        <f t="shared" si="355"/>
        <v>#N/A</v>
      </c>
      <c r="BU490" s="317" t="e">
        <f t="shared" si="355"/>
        <v>#N/A</v>
      </c>
      <c r="BV490" s="317" t="e">
        <f t="shared" si="355"/>
        <v>#N/A</v>
      </c>
      <c r="BW490" s="317" t="e">
        <f t="shared" si="355"/>
        <v>#N/A</v>
      </c>
      <c r="BX490" s="317" t="e">
        <f t="shared" si="355"/>
        <v>#N/A</v>
      </c>
      <c r="BY490" s="317" t="e">
        <f t="shared" si="355"/>
        <v>#N/A</v>
      </c>
      <c r="BZ490" s="317" t="e">
        <f t="shared" si="355"/>
        <v>#N/A</v>
      </c>
      <c r="CA490" s="317" t="e">
        <f t="shared" si="355"/>
        <v>#N/A</v>
      </c>
      <c r="CB490" s="317" t="e">
        <f t="shared" si="355"/>
        <v>#N/A</v>
      </c>
      <c r="CC490" s="317" t="e">
        <f t="shared" si="355"/>
        <v>#N/A</v>
      </c>
    </row>
    <row r="491" spans="1:85" ht="5.0999999999999996" customHeight="1" thickBot="1" x14ac:dyDescent="0.25">
      <c r="B491" s="20"/>
      <c r="C491" s="20"/>
      <c r="D491" s="20"/>
      <c r="E491" s="20"/>
      <c r="F491" s="20"/>
      <c r="H491" s="32"/>
      <c r="I491" s="32"/>
      <c r="J491" s="32"/>
      <c r="K491" s="32"/>
      <c r="L491" s="32"/>
      <c r="M491" s="32"/>
      <c r="N491" s="32"/>
      <c r="O491" s="32"/>
      <c r="P491" s="32"/>
      <c r="Q491" s="32"/>
      <c r="R491" s="32"/>
      <c r="S491" s="32"/>
      <c r="T491" s="32"/>
      <c r="U491" s="32"/>
      <c r="V491" s="32"/>
      <c r="W491" s="32"/>
      <c r="X491" s="32"/>
      <c r="Y491" s="32"/>
      <c r="Z491" s="32"/>
      <c r="AA491" s="32"/>
      <c r="AB491" s="32"/>
      <c r="AC491" s="32"/>
      <c r="AD491" s="32"/>
      <c r="AE491" s="32"/>
      <c r="AF491" s="32"/>
      <c r="AG491" s="32"/>
      <c r="AH491" s="32"/>
      <c r="AI491" s="32"/>
      <c r="AJ491" s="32"/>
      <c r="AK491" s="32"/>
      <c r="AL491" s="32"/>
      <c r="AM491" s="32"/>
      <c r="AN491" s="32"/>
      <c r="AO491" s="32"/>
      <c r="AP491" s="32"/>
      <c r="AQ491" s="32"/>
      <c r="AR491" s="32"/>
      <c r="AS491" s="32"/>
      <c r="AT491" s="32"/>
      <c r="AU491" s="32"/>
      <c r="AV491" s="32"/>
      <c r="AW491" s="32"/>
      <c r="AX491" s="32"/>
      <c r="AY491" s="32"/>
      <c r="AZ491" s="32"/>
      <c r="BA491" s="32"/>
      <c r="BB491" s="32"/>
      <c r="BC491" s="32"/>
      <c r="BD491" s="32"/>
      <c r="BE491" s="32"/>
      <c r="BF491" s="32"/>
      <c r="BG491" s="32"/>
      <c r="BH491" s="32"/>
      <c r="BI491" s="32"/>
      <c r="BJ491" s="32"/>
      <c r="BK491" s="32"/>
      <c r="BL491" s="32"/>
      <c r="BM491" s="32"/>
      <c r="BN491" s="32"/>
      <c r="BO491" s="32"/>
      <c r="BP491" s="32"/>
      <c r="BQ491" s="32"/>
      <c r="BR491" s="32"/>
      <c r="BS491" s="32"/>
      <c r="BT491" s="32"/>
      <c r="BU491" s="32"/>
      <c r="BV491" s="32"/>
      <c r="BW491" s="32"/>
      <c r="BX491" s="32"/>
      <c r="BY491" s="32"/>
      <c r="BZ491" s="32"/>
      <c r="CA491" s="32"/>
      <c r="CB491" s="32"/>
      <c r="CC491" s="32"/>
    </row>
    <row r="492" spans="1:85" s="32" customFormat="1" ht="15" customHeight="1" thickBot="1" x14ac:dyDescent="0.25">
      <c r="A492" s="185"/>
      <c r="B492" s="481" t="s">
        <v>208</v>
      </c>
      <c r="C492" s="482"/>
      <c r="D492" s="482"/>
      <c r="E492" s="482"/>
      <c r="F492" s="483"/>
      <c r="J492" s="100" t="e">
        <f>IF($H$490=0,0,+J490/$H$478)</f>
        <v>#N/A</v>
      </c>
      <c r="K492" s="100" t="e">
        <f t="shared" ref="K492:BV492" si="356">IF($H$490=0,0,+K490/$H$478)</f>
        <v>#N/A</v>
      </c>
      <c r="L492" s="100" t="e">
        <f t="shared" si="356"/>
        <v>#N/A</v>
      </c>
      <c r="M492" s="100" t="e">
        <f t="shared" si="356"/>
        <v>#N/A</v>
      </c>
      <c r="N492" s="100" t="e">
        <f t="shared" si="356"/>
        <v>#N/A</v>
      </c>
      <c r="O492" s="100" t="e">
        <f t="shared" si="356"/>
        <v>#N/A</v>
      </c>
      <c r="P492" s="100" t="e">
        <f t="shared" si="356"/>
        <v>#N/A</v>
      </c>
      <c r="Q492" s="100" t="e">
        <f t="shared" si="356"/>
        <v>#N/A</v>
      </c>
      <c r="R492" s="100" t="e">
        <f t="shared" si="356"/>
        <v>#N/A</v>
      </c>
      <c r="S492" s="100" t="e">
        <f t="shared" si="356"/>
        <v>#N/A</v>
      </c>
      <c r="T492" s="100" t="e">
        <f t="shared" si="356"/>
        <v>#N/A</v>
      </c>
      <c r="U492" s="100" t="e">
        <f t="shared" si="356"/>
        <v>#N/A</v>
      </c>
      <c r="V492" s="100" t="e">
        <f t="shared" si="356"/>
        <v>#N/A</v>
      </c>
      <c r="W492" s="100" t="e">
        <f t="shared" si="356"/>
        <v>#N/A</v>
      </c>
      <c r="X492" s="100" t="e">
        <f t="shared" si="356"/>
        <v>#N/A</v>
      </c>
      <c r="Y492" s="100" t="e">
        <f t="shared" si="356"/>
        <v>#N/A</v>
      </c>
      <c r="Z492" s="100" t="e">
        <f t="shared" si="356"/>
        <v>#N/A</v>
      </c>
      <c r="AA492" s="100" t="e">
        <f t="shared" si="356"/>
        <v>#N/A</v>
      </c>
      <c r="AB492" s="100" t="e">
        <f t="shared" si="356"/>
        <v>#N/A</v>
      </c>
      <c r="AC492" s="100" t="e">
        <f t="shared" si="356"/>
        <v>#N/A</v>
      </c>
      <c r="AD492" s="100" t="e">
        <f t="shared" si="356"/>
        <v>#N/A</v>
      </c>
      <c r="AE492" s="100" t="e">
        <f t="shared" si="356"/>
        <v>#N/A</v>
      </c>
      <c r="AF492" s="100" t="e">
        <f t="shared" si="356"/>
        <v>#N/A</v>
      </c>
      <c r="AG492" s="100" t="e">
        <f t="shared" si="356"/>
        <v>#N/A</v>
      </c>
      <c r="AH492" s="100" t="e">
        <f t="shared" si="356"/>
        <v>#N/A</v>
      </c>
      <c r="AI492" s="100" t="e">
        <f t="shared" si="356"/>
        <v>#N/A</v>
      </c>
      <c r="AJ492" s="100" t="e">
        <f t="shared" si="356"/>
        <v>#N/A</v>
      </c>
      <c r="AK492" s="100" t="e">
        <f t="shared" si="356"/>
        <v>#N/A</v>
      </c>
      <c r="AL492" s="100" t="e">
        <f t="shared" si="356"/>
        <v>#N/A</v>
      </c>
      <c r="AM492" s="100" t="e">
        <f t="shared" si="356"/>
        <v>#N/A</v>
      </c>
      <c r="AN492" s="100" t="e">
        <f t="shared" si="356"/>
        <v>#N/A</v>
      </c>
      <c r="AO492" s="100" t="e">
        <f t="shared" si="356"/>
        <v>#N/A</v>
      </c>
      <c r="AP492" s="100" t="e">
        <f t="shared" si="356"/>
        <v>#N/A</v>
      </c>
      <c r="AQ492" s="100" t="e">
        <f t="shared" si="356"/>
        <v>#N/A</v>
      </c>
      <c r="AR492" s="100" t="e">
        <f t="shared" si="356"/>
        <v>#N/A</v>
      </c>
      <c r="AS492" s="100" t="e">
        <f t="shared" si="356"/>
        <v>#N/A</v>
      </c>
      <c r="AT492" s="100" t="e">
        <f t="shared" si="356"/>
        <v>#N/A</v>
      </c>
      <c r="AU492" s="100" t="e">
        <f t="shared" si="356"/>
        <v>#N/A</v>
      </c>
      <c r="AV492" s="100" t="e">
        <f t="shared" si="356"/>
        <v>#N/A</v>
      </c>
      <c r="AW492" s="100" t="e">
        <f t="shared" si="356"/>
        <v>#N/A</v>
      </c>
      <c r="AX492" s="100" t="e">
        <f t="shared" si="356"/>
        <v>#N/A</v>
      </c>
      <c r="AY492" s="100" t="e">
        <f t="shared" si="356"/>
        <v>#N/A</v>
      </c>
      <c r="AZ492" s="100" t="e">
        <f t="shared" si="356"/>
        <v>#N/A</v>
      </c>
      <c r="BA492" s="100" t="e">
        <f t="shared" si="356"/>
        <v>#N/A</v>
      </c>
      <c r="BB492" s="100" t="e">
        <f t="shared" si="356"/>
        <v>#N/A</v>
      </c>
      <c r="BC492" s="100" t="e">
        <f t="shared" si="356"/>
        <v>#N/A</v>
      </c>
      <c r="BD492" s="100" t="e">
        <f t="shared" si="356"/>
        <v>#N/A</v>
      </c>
      <c r="BE492" s="100" t="e">
        <f t="shared" si="356"/>
        <v>#N/A</v>
      </c>
      <c r="BF492" s="100" t="e">
        <f t="shared" si="356"/>
        <v>#N/A</v>
      </c>
      <c r="BG492" s="100" t="e">
        <f t="shared" si="356"/>
        <v>#N/A</v>
      </c>
      <c r="BH492" s="100" t="e">
        <f t="shared" si="356"/>
        <v>#N/A</v>
      </c>
      <c r="BI492" s="100" t="e">
        <f t="shared" si="356"/>
        <v>#N/A</v>
      </c>
      <c r="BJ492" s="100" t="e">
        <f t="shared" si="356"/>
        <v>#N/A</v>
      </c>
      <c r="BK492" s="100" t="e">
        <f t="shared" si="356"/>
        <v>#N/A</v>
      </c>
      <c r="BL492" s="100" t="e">
        <f t="shared" si="356"/>
        <v>#N/A</v>
      </c>
      <c r="BM492" s="100" t="e">
        <f t="shared" si="356"/>
        <v>#N/A</v>
      </c>
      <c r="BN492" s="100" t="e">
        <f t="shared" si="356"/>
        <v>#N/A</v>
      </c>
      <c r="BO492" s="100" t="e">
        <f t="shared" si="356"/>
        <v>#N/A</v>
      </c>
      <c r="BP492" s="100" t="e">
        <f t="shared" si="356"/>
        <v>#N/A</v>
      </c>
      <c r="BQ492" s="100" t="e">
        <f t="shared" si="356"/>
        <v>#N/A</v>
      </c>
      <c r="BR492" s="100" t="e">
        <f t="shared" si="356"/>
        <v>#N/A</v>
      </c>
      <c r="BS492" s="100" t="e">
        <f t="shared" si="356"/>
        <v>#N/A</v>
      </c>
      <c r="BT492" s="100" t="e">
        <f t="shared" si="356"/>
        <v>#N/A</v>
      </c>
      <c r="BU492" s="100" t="e">
        <f t="shared" si="356"/>
        <v>#N/A</v>
      </c>
      <c r="BV492" s="100" t="e">
        <f t="shared" si="356"/>
        <v>#N/A</v>
      </c>
      <c r="BW492" s="100" t="e">
        <f t="shared" ref="BW492:CC492" si="357">IF($H$490=0,0,+BW490/$H$478)</f>
        <v>#N/A</v>
      </c>
      <c r="BX492" s="100" t="e">
        <f t="shared" si="357"/>
        <v>#N/A</v>
      </c>
      <c r="BY492" s="100" t="e">
        <f t="shared" si="357"/>
        <v>#N/A</v>
      </c>
      <c r="BZ492" s="100" t="e">
        <f t="shared" si="357"/>
        <v>#N/A</v>
      </c>
      <c r="CA492" s="100" t="e">
        <f t="shared" si="357"/>
        <v>#N/A</v>
      </c>
      <c r="CB492" s="100" t="e">
        <f t="shared" si="357"/>
        <v>#N/A</v>
      </c>
      <c r="CC492" s="100" t="e">
        <f t="shared" si="357"/>
        <v>#N/A</v>
      </c>
    </row>
    <row r="493" spans="1:85" ht="5.0999999999999996" customHeight="1" thickBot="1" x14ac:dyDescent="0.25">
      <c r="B493" s="20"/>
      <c r="C493" s="20"/>
      <c r="D493" s="20"/>
      <c r="E493" s="20"/>
      <c r="F493" s="20"/>
      <c r="H493" s="32"/>
      <c r="I493" s="32"/>
      <c r="J493" s="113"/>
      <c r="K493" s="113"/>
      <c r="L493" s="113"/>
      <c r="M493" s="113"/>
      <c r="N493" s="113"/>
      <c r="O493" s="113"/>
      <c r="P493" s="113"/>
      <c r="Q493" s="113"/>
      <c r="R493" s="113"/>
      <c r="S493" s="113"/>
      <c r="T493" s="113"/>
      <c r="U493" s="113"/>
      <c r="V493" s="113"/>
      <c r="W493" s="113"/>
      <c r="X493" s="113"/>
      <c r="Y493" s="113"/>
      <c r="Z493" s="113"/>
      <c r="AA493" s="113"/>
      <c r="AB493" s="113"/>
      <c r="AC493" s="113"/>
      <c r="AD493" s="113"/>
      <c r="AE493" s="113"/>
      <c r="AF493" s="113"/>
      <c r="AG493" s="113"/>
      <c r="AH493" s="113"/>
      <c r="AI493" s="113"/>
      <c r="AJ493" s="113"/>
      <c r="AK493" s="113"/>
      <c r="AL493" s="113"/>
      <c r="AM493" s="113"/>
      <c r="AN493" s="113"/>
      <c r="AO493" s="113"/>
      <c r="AP493" s="113"/>
      <c r="AQ493" s="113"/>
      <c r="AR493" s="113"/>
      <c r="AS493" s="113"/>
      <c r="AT493" s="113"/>
      <c r="AU493" s="113"/>
      <c r="AV493" s="113"/>
      <c r="AW493" s="113"/>
      <c r="AX493" s="113"/>
      <c r="AY493" s="113"/>
      <c r="AZ493" s="113"/>
      <c r="BA493" s="113"/>
      <c r="BB493" s="113"/>
      <c r="BC493" s="113"/>
      <c r="BD493" s="113"/>
      <c r="BE493" s="113"/>
      <c r="BF493" s="113"/>
      <c r="BG493" s="113"/>
      <c r="BH493" s="113"/>
      <c r="BI493" s="113"/>
      <c r="BJ493" s="113"/>
      <c r="BK493" s="113"/>
      <c r="BL493" s="113"/>
      <c r="BM493" s="113"/>
      <c r="BN493" s="113"/>
      <c r="BO493" s="113"/>
      <c r="BP493" s="113"/>
      <c r="BQ493" s="113"/>
      <c r="BR493" s="113"/>
      <c r="BS493" s="113"/>
      <c r="BT493" s="113"/>
      <c r="BU493" s="113"/>
      <c r="BV493" s="113"/>
      <c r="BW493" s="113"/>
      <c r="BX493" s="113"/>
      <c r="BY493" s="113"/>
      <c r="BZ493" s="113"/>
      <c r="CA493" s="113"/>
      <c r="CB493" s="113"/>
      <c r="CC493" s="113"/>
    </row>
    <row r="494" spans="1:85" s="32" customFormat="1" ht="15" customHeight="1" thickBot="1" x14ac:dyDescent="0.25">
      <c r="A494" s="185"/>
      <c r="B494" s="481" t="s">
        <v>209</v>
      </c>
      <c r="C494" s="482"/>
      <c r="D494" s="482"/>
      <c r="E494" s="482"/>
      <c r="F494" s="483"/>
      <c r="J494" s="100" t="e">
        <f>+J492</f>
        <v>#N/A</v>
      </c>
      <c r="K494" s="100" t="e">
        <f>+J494+K492</f>
        <v>#N/A</v>
      </c>
      <c r="L494" s="100" t="e">
        <f t="shared" ref="L494:U494" si="358">+K494+L492</f>
        <v>#N/A</v>
      </c>
      <c r="M494" s="100" t="e">
        <f t="shared" si="358"/>
        <v>#N/A</v>
      </c>
      <c r="N494" s="100" t="e">
        <f t="shared" si="358"/>
        <v>#N/A</v>
      </c>
      <c r="O494" s="100" t="e">
        <f t="shared" si="358"/>
        <v>#N/A</v>
      </c>
      <c r="P494" s="100" t="e">
        <f t="shared" si="358"/>
        <v>#N/A</v>
      </c>
      <c r="Q494" s="100" t="e">
        <f t="shared" si="358"/>
        <v>#N/A</v>
      </c>
      <c r="R494" s="100" t="e">
        <f t="shared" si="358"/>
        <v>#N/A</v>
      </c>
      <c r="S494" s="100" t="e">
        <f t="shared" si="358"/>
        <v>#N/A</v>
      </c>
      <c r="T494" s="100" t="e">
        <f t="shared" si="358"/>
        <v>#N/A</v>
      </c>
      <c r="U494" s="100" t="e">
        <f t="shared" si="358"/>
        <v>#N/A</v>
      </c>
      <c r="V494" s="100" t="e">
        <f t="shared" ref="V494:CC494" si="359">+U494+V492</f>
        <v>#N/A</v>
      </c>
      <c r="W494" s="100" t="e">
        <f t="shared" si="359"/>
        <v>#N/A</v>
      </c>
      <c r="X494" s="100" t="e">
        <f t="shared" si="359"/>
        <v>#N/A</v>
      </c>
      <c r="Y494" s="100" t="e">
        <f t="shared" si="359"/>
        <v>#N/A</v>
      </c>
      <c r="Z494" s="100" t="e">
        <f t="shared" si="359"/>
        <v>#N/A</v>
      </c>
      <c r="AA494" s="100" t="e">
        <f t="shared" si="359"/>
        <v>#N/A</v>
      </c>
      <c r="AB494" s="100" t="e">
        <f t="shared" si="359"/>
        <v>#N/A</v>
      </c>
      <c r="AC494" s="100" t="e">
        <f t="shared" si="359"/>
        <v>#N/A</v>
      </c>
      <c r="AD494" s="100" t="e">
        <f t="shared" si="359"/>
        <v>#N/A</v>
      </c>
      <c r="AE494" s="100" t="e">
        <f t="shared" si="359"/>
        <v>#N/A</v>
      </c>
      <c r="AF494" s="100" t="e">
        <f t="shared" si="359"/>
        <v>#N/A</v>
      </c>
      <c r="AG494" s="100" t="e">
        <f t="shared" si="359"/>
        <v>#N/A</v>
      </c>
      <c r="AH494" s="100" t="e">
        <f t="shared" si="359"/>
        <v>#N/A</v>
      </c>
      <c r="AI494" s="100" t="e">
        <f t="shared" si="359"/>
        <v>#N/A</v>
      </c>
      <c r="AJ494" s="100" t="e">
        <f t="shared" si="359"/>
        <v>#N/A</v>
      </c>
      <c r="AK494" s="100" t="e">
        <f t="shared" si="359"/>
        <v>#N/A</v>
      </c>
      <c r="AL494" s="100" t="e">
        <f t="shared" si="359"/>
        <v>#N/A</v>
      </c>
      <c r="AM494" s="100" t="e">
        <f t="shared" si="359"/>
        <v>#N/A</v>
      </c>
      <c r="AN494" s="100" t="e">
        <f t="shared" si="359"/>
        <v>#N/A</v>
      </c>
      <c r="AO494" s="100" t="e">
        <f t="shared" si="359"/>
        <v>#N/A</v>
      </c>
      <c r="AP494" s="100" t="e">
        <f t="shared" si="359"/>
        <v>#N/A</v>
      </c>
      <c r="AQ494" s="100" t="e">
        <f t="shared" si="359"/>
        <v>#N/A</v>
      </c>
      <c r="AR494" s="100" t="e">
        <f t="shared" si="359"/>
        <v>#N/A</v>
      </c>
      <c r="AS494" s="100" t="e">
        <f t="shared" si="359"/>
        <v>#N/A</v>
      </c>
      <c r="AT494" s="100" t="e">
        <f t="shared" si="359"/>
        <v>#N/A</v>
      </c>
      <c r="AU494" s="100" t="e">
        <f t="shared" si="359"/>
        <v>#N/A</v>
      </c>
      <c r="AV494" s="100" t="e">
        <f t="shared" si="359"/>
        <v>#N/A</v>
      </c>
      <c r="AW494" s="100" t="e">
        <f t="shared" si="359"/>
        <v>#N/A</v>
      </c>
      <c r="AX494" s="100" t="e">
        <f t="shared" si="359"/>
        <v>#N/A</v>
      </c>
      <c r="AY494" s="100" t="e">
        <f t="shared" si="359"/>
        <v>#N/A</v>
      </c>
      <c r="AZ494" s="100" t="e">
        <f t="shared" si="359"/>
        <v>#N/A</v>
      </c>
      <c r="BA494" s="100" t="e">
        <f t="shared" si="359"/>
        <v>#N/A</v>
      </c>
      <c r="BB494" s="100" t="e">
        <f t="shared" si="359"/>
        <v>#N/A</v>
      </c>
      <c r="BC494" s="100" t="e">
        <f t="shared" si="359"/>
        <v>#N/A</v>
      </c>
      <c r="BD494" s="100" t="e">
        <f t="shared" si="359"/>
        <v>#N/A</v>
      </c>
      <c r="BE494" s="100" t="e">
        <f t="shared" si="359"/>
        <v>#N/A</v>
      </c>
      <c r="BF494" s="100" t="e">
        <f t="shared" si="359"/>
        <v>#N/A</v>
      </c>
      <c r="BG494" s="100" t="e">
        <f t="shared" si="359"/>
        <v>#N/A</v>
      </c>
      <c r="BH494" s="100" t="e">
        <f t="shared" si="359"/>
        <v>#N/A</v>
      </c>
      <c r="BI494" s="100" t="e">
        <f t="shared" si="359"/>
        <v>#N/A</v>
      </c>
      <c r="BJ494" s="100" t="e">
        <f t="shared" si="359"/>
        <v>#N/A</v>
      </c>
      <c r="BK494" s="100" t="e">
        <f t="shared" si="359"/>
        <v>#N/A</v>
      </c>
      <c r="BL494" s="100" t="e">
        <f t="shared" si="359"/>
        <v>#N/A</v>
      </c>
      <c r="BM494" s="100" t="e">
        <f t="shared" si="359"/>
        <v>#N/A</v>
      </c>
      <c r="BN494" s="100" t="e">
        <f t="shared" si="359"/>
        <v>#N/A</v>
      </c>
      <c r="BO494" s="100" t="e">
        <f t="shared" si="359"/>
        <v>#N/A</v>
      </c>
      <c r="BP494" s="100" t="e">
        <f t="shared" si="359"/>
        <v>#N/A</v>
      </c>
      <c r="BQ494" s="100" t="e">
        <f t="shared" si="359"/>
        <v>#N/A</v>
      </c>
      <c r="BR494" s="100" t="e">
        <f t="shared" si="359"/>
        <v>#N/A</v>
      </c>
      <c r="BS494" s="100" t="e">
        <f t="shared" si="359"/>
        <v>#N/A</v>
      </c>
      <c r="BT494" s="100" t="e">
        <f t="shared" si="359"/>
        <v>#N/A</v>
      </c>
      <c r="BU494" s="100" t="e">
        <f t="shared" si="359"/>
        <v>#N/A</v>
      </c>
      <c r="BV494" s="100" t="e">
        <f t="shared" si="359"/>
        <v>#N/A</v>
      </c>
      <c r="BW494" s="100" t="e">
        <f t="shared" si="359"/>
        <v>#N/A</v>
      </c>
      <c r="BX494" s="100" t="e">
        <f t="shared" si="359"/>
        <v>#N/A</v>
      </c>
      <c r="BY494" s="100" t="e">
        <f t="shared" si="359"/>
        <v>#N/A</v>
      </c>
      <c r="BZ494" s="100" t="e">
        <f t="shared" si="359"/>
        <v>#N/A</v>
      </c>
      <c r="CA494" s="100" t="e">
        <f t="shared" si="359"/>
        <v>#N/A</v>
      </c>
      <c r="CB494" s="100" t="e">
        <f t="shared" si="359"/>
        <v>#N/A</v>
      </c>
      <c r="CC494" s="100" t="e">
        <f t="shared" si="359"/>
        <v>#N/A</v>
      </c>
    </row>
    <row r="495" spans="1:85" ht="5.0999999999999996" customHeight="1" x14ac:dyDescent="0.2"/>
    <row r="496" spans="1:85" s="20" customFormat="1" x14ac:dyDescent="0.2">
      <c r="A496" s="427"/>
      <c r="B496" s="269" t="s">
        <v>210</v>
      </c>
      <c r="C496" s="269"/>
      <c r="D496" s="269"/>
      <c r="E496" s="269"/>
      <c r="F496" s="269"/>
      <c r="G496" s="269"/>
      <c r="H496" s="269"/>
      <c r="I496" s="269"/>
      <c r="J496" s="287"/>
      <c r="K496" s="269"/>
      <c r="L496" s="287"/>
      <c r="M496" s="269"/>
      <c r="N496" s="269"/>
      <c r="O496" s="269"/>
      <c r="P496" s="269"/>
      <c r="Q496" s="269"/>
      <c r="R496" s="269"/>
      <c r="S496" s="269"/>
      <c r="T496" s="269"/>
      <c r="U496" s="269"/>
      <c r="V496" s="269"/>
      <c r="W496" s="269"/>
      <c r="X496" s="269"/>
      <c r="Y496" s="269"/>
      <c r="Z496" s="269"/>
      <c r="AA496" s="269"/>
      <c r="AB496" s="269"/>
      <c r="AC496" s="269"/>
      <c r="AD496" s="269"/>
      <c r="AE496" s="269"/>
      <c r="AF496" s="269"/>
      <c r="AG496" s="269"/>
      <c r="AH496" s="269"/>
      <c r="AI496" s="269"/>
      <c r="AJ496" s="269"/>
      <c r="AK496" s="269"/>
      <c r="AL496" s="269"/>
      <c r="AM496" s="269"/>
      <c r="AN496" s="269"/>
      <c r="AO496" s="269"/>
      <c r="AP496" s="269"/>
      <c r="AQ496" s="269"/>
      <c r="AR496" s="269"/>
      <c r="AS496" s="269"/>
      <c r="AT496" s="269"/>
      <c r="AU496" s="269"/>
      <c r="AV496" s="269"/>
      <c r="AW496" s="269"/>
      <c r="AX496" s="269"/>
      <c r="AY496" s="269"/>
      <c r="AZ496" s="269"/>
      <c r="BA496" s="269"/>
      <c r="BB496" s="269"/>
      <c r="BC496" s="269"/>
      <c r="BD496" s="269"/>
      <c r="BE496" s="269"/>
      <c r="BF496" s="269"/>
      <c r="BG496" s="269"/>
      <c r="BH496" s="269"/>
      <c r="BI496" s="269"/>
      <c r="BJ496" s="269"/>
      <c r="BK496" s="269"/>
      <c r="BL496" s="269"/>
      <c r="BM496" s="269"/>
      <c r="BN496" s="269"/>
      <c r="BO496" s="269"/>
      <c r="BP496" s="269"/>
      <c r="BQ496" s="269"/>
      <c r="BR496" s="269"/>
      <c r="BS496" s="269"/>
      <c r="BT496" s="269"/>
      <c r="BU496" s="269"/>
      <c r="BV496" s="269"/>
      <c r="BW496" s="269"/>
      <c r="BX496" s="269"/>
      <c r="BY496" s="269"/>
      <c r="BZ496" s="269"/>
      <c r="CA496" s="269"/>
      <c r="CB496" s="269"/>
      <c r="CC496" s="269"/>
    </row>
    <row r="497" spans="1:84" ht="5.0999999999999996" customHeight="1" thickBot="1" x14ac:dyDescent="0.25"/>
    <row r="498" spans="1:84" s="32" customFormat="1" ht="28.5" thickBot="1" x14ac:dyDescent="0.25">
      <c r="A498" s="185"/>
      <c r="B498" s="480" t="s">
        <v>211</v>
      </c>
      <c r="C498" s="503"/>
      <c r="D498" s="503"/>
      <c r="E498" s="503"/>
      <c r="F498" s="503"/>
      <c r="H498" s="286" t="s">
        <v>212</v>
      </c>
      <c r="J498" s="319" t="e">
        <f>+J484</f>
        <v>#N/A</v>
      </c>
      <c r="K498" s="319" t="e">
        <f t="shared" ref="K498:BV498" si="360">+K484</f>
        <v>#N/A</v>
      </c>
      <c r="L498" s="319" t="e">
        <f t="shared" si="360"/>
        <v>#N/A</v>
      </c>
      <c r="M498" s="319" t="e">
        <f t="shared" si="360"/>
        <v>#N/A</v>
      </c>
      <c r="N498" s="319" t="e">
        <f t="shared" si="360"/>
        <v>#N/A</v>
      </c>
      <c r="O498" s="319" t="e">
        <f t="shared" si="360"/>
        <v>#N/A</v>
      </c>
      <c r="P498" s="319" t="e">
        <f t="shared" si="360"/>
        <v>#N/A</v>
      </c>
      <c r="Q498" s="319" t="e">
        <f t="shared" si="360"/>
        <v>#N/A</v>
      </c>
      <c r="R498" s="319" t="e">
        <f t="shared" si="360"/>
        <v>#N/A</v>
      </c>
      <c r="S498" s="319" t="e">
        <f t="shared" si="360"/>
        <v>#N/A</v>
      </c>
      <c r="T498" s="319" t="e">
        <f t="shared" si="360"/>
        <v>#N/A</v>
      </c>
      <c r="U498" s="319" t="e">
        <f t="shared" si="360"/>
        <v>#N/A</v>
      </c>
      <c r="V498" s="319" t="e">
        <f t="shared" si="360"/>
        <v>#N/A</v>
      </c>
      <c r="W498" s="319" t="e">
        <f t="shared" si="360"/>
        <v>#N/A</v>
      </c>
      <c r="X498" s="319" t="e">
        <f t="shared" si="360"/>
        <v>#N/A</v>
      </c>
      <c r="Y498" s="319" t="e">
        <f t="shared" si="360"/>
        <v>#N/A</v>
      </c>
      <c r="Z498" s="319" t="e">
        <f t="shared" si="360"/>
        <v>#N/A</v>
      </c>
      <c r="AA498" s="319" t="e">
        <f t="shared" si="360"/>
        <v>#N/A</v>
      </c>
      <c r="AB498" s="319" t="e">
        <f t="shared" si="360"/>
        <v>#N/A</v>
      </c>
      <c r="AC498" s="319" t="e">
        <f t="shared" si="360"/>
        <v>#N/A</v>
      </c>
      <c r="AD498" s="319" t="e">
        <f t="shared" si="360"/>
        <v>#N/A</v>
      </c>
      <c r="AE498" s="319" t="e">
        <f t="shared" si="360"/>
        <v>#N/A</v>
      </c>
      <c r="AF498" s="319" t="e">
        <f t="shared" si="360"/>
        <v>#N/A</v>
      </c>
      <c r="AG498" s="319" t="e">
        <f t="shared" si="360"/>
        <v>#N/A</v>
      </c>
      <c r="AH498" s="319" t="e">
        <f t="shared" si="360"/>
        <v>#N/A</v>
      </c>
      <c r="AI498" s="319" t="e">
        <f t="shared" si="360"/>
        <v>#N/A</v>
      </c>
      <c r="AJ498" s="319" t="e">
        <f t="shared" si="360"/>
        <v>#N/A</v>
      </c>
      <c r="AK498" s="319" t="e">
        <f t="shared" si="360"/>
        <v>#N/A</v>
      </c>
      <c r="AL498" s="319" t="e">
        <f t="shared" si="360"/>
        <v>#N/A</v>
      </c>
      <c r="AM498" s="319" t="e">
        <f t="shared" si="360"/>
        <v>#N/A</v>
      </c>
      <c r="AN498" s="319" t="e">
        <f t="shared" si="360"/>
        <v>#N/A</v>
      </c>
      <c r="AO498" s="319" t="e">
        <f t="shared" si="360"/>
        <v>#N/A</v>
      </c>
      <c r="AP498" s="319" t="e">
        <f t="shared" si="360"/>
        <v>#N/A</v>
      </c>
      <c r="AQ498" s="319" t="e">
        <f t="shared" si="360"/>
        <v>#N/A</v>
      </c>
      <c r="AR498" s="319" t="e">
        <f t="shared" si="360"/>
        <v>#N/A</v>
      </c>
      <c r="AS498" s="319" t="e">
        <f t="shared" si="360"/>
        <v>#N/A</v>
      </c>
      <c r="AT498" s="319" t="e">
        <f t="shared" si="360"/>
        <v>#N/A</v>
      </c>
      <c r="AU498" s="319" t="e">
        <f t="shared" si="360"/>
        <v>#N/A</v>
      </c>
      <c r="AV498" s="319" t="e">
        <f t="shared" si="360"/>
        <v>#N/A</v>
      </c>
      <c r="AW498" s="319" t="e">
        <f t="shared" si="360"/>
        <v>#N/A</v>
      </c>
      <c r="AX498" s="319" t="e">
        <f t="shared" si="360"/>
        <v>#N/A</v>
      </c>
      <c r="AY498" s="319" t="e">
        <f t="shared" si="360"/>
        <v>#N/A</v>
      </c>
      <c r="AZ498" s="319" t="e">
        <f t="shared" si="360"/>
        <v>#N/A</v>
      </c>
      <c r="BA498" s="319" t="e">
        <f t="shared" si="360"/>
        <v>#N/A</v>
      </c>
      <c r="BB498" s="319" t="e">
        <f t="shared" si="360"/>
        <v>#N/A</v>
      </c>
      <c r="BC498" s="319" t="e">
        <f t="shared" si="360"/>
        <v>#N/A</v>
      </c>
      <c r="BD498" s="319" t="e">
        <f t="shared" si="360"/>
        <v>#N/A</v>
      </c>
      <c r="BE498" s="319" t="e">
        <f t="shared" si="360"/>
        <v>#N/A</v>
      </c>
      <c r="BF498" s="319" t="e">
        <f t="shared" si="360"/>
        <v>#N/A</v>
      </c>
      <c r="BG498" s="319" t="e">
        <f t="shared" si="360"/>
        <v>#N/A</v>
      </c>
      <c r="BH498" s="319" t="e">
        <f t="shared" si="360"/>
        <v>#N/A</v>
      </c>
      <c r="BI498" s="319" t="e">
        <f t="shared" si="360"/>
        <v>#N/A</v>
      </c>
      <c r="BJ498" s="319" t="e">
        <f t="shared" si="360"/>
        <v>#N/A</v>
      </c>
      <c r="BK498" s="319" t="e">
        <f t="shared" si="360"/>
        <v>#N/A</v>
      </c>
      <c r="BL498" s="319" t="e">
        <f t="shared" si="360"/>
        <v>#N/A</v>
      </c>
      <c r="BM498" s="319" t="e">
        <f t="shared" si="360"/>
        <v>#N/A</v>
      </c>
      <c r="BN498" s="319" t="e">
        <f t="shared" si="360"/>
        <v>#N/A</v>
      </c>
      <c r="BO498" s="319" t="e">
        <f t="shared" si="360"/>
        <v>#N/A</v>
      </c>
      <c r="BP498" s="319" t="e">
        <f t="shared" si="360"/>
        <v>#N/A</v>
      </c>
      <c r="BQ498" s="319" t="e">
        <f t="shared" si="360"/>
        <v>#N/A</v>
      </c>
      <c r="BR498" s="319" t="e">
        <f t="shared" si="360"/>
        <v>#N/A</v>
      </c>
      <c r="BS498" s="319" t="e">
        <f t="shared" si="360"/>
        <v>#N/A</v>
      </c>
      <c r="BT498" s="319" t="e">
        <f t="shared" si="360"/>
        <v>#N/A</v>
      </c>
      <c r="BU498" s="319" t="e">
        <f t="shared" si="360"/>
        <v>#N/A</v>
      </c>
      <c r="BV498" s="319" t="e">
        <f t="shared" si="360"/>
        <v>#N/A</v>
      </c>
      <c r="BW498" s="319" t="e">
        <f t="shared" ref="BW498:CC498" si="361">+BW484</f>
        <v>#N/A</v>
      </c>
      <c r="BX498" s="319" t="e">
        <f t="shared" si="361"/>
        <v>#N/A</v>
      </c>
      <c r="BY498" s="319" t="e">
        <f t="shared" si="361"/>
        <v>#N/A</v>
      </c>
      <c r="BZ498" s="319" t="e">
        <f t="shared" si="361"/>
        <v>#N/A</v>
      </c>
      <c r="CA498" s="319" t="e">
        <f t="shared" si="361"/>
        <v>#N/A</v>
      </c>
      <c r="CB498" s="319" t="e">
        <f t="shared" si="361"/>
        <v>#N/A</v>
      </c>
      <c r="CC498" s="319" t="e">
        <f t="shared" si="361"/>
        <v>#N/A</v>
      </c>
      <c r="CD498"/>
      <c r="CF498" s="116"/>
    </row>
    <row r="499" spans="1:84" ht="5.0999999999999996" customHeight="1" thickBot="1" x14ac:dyDescent="0.25">
      <c r="B499" s="20"/>
      <c r="C499" s="20"/>
      <c r="D499" s="20"/>
      <c r="E499" s="20"/>
      <c r="F499" s="20"/>
    </row>
    <row r="500" spans="1:84" ht="15.75" thickBot="1" x14ac:dyDescent="0.25">
      <c r="B500" s="435" t="s">
        <v>213</v>
      </c>
      <c r="C500" s="436"/>
      <c r="D500" s="436"/>
      <c r="E500" s="436"/>
      <c r="F500" s="437"/>
      <c r="H500" s="205" t="e">
        <f>SUM(J500:CC500)</f>
        <v>#N/A</v>
      </c>
      <c r="I500" s="113"/>
      <c r="J500" s="205" t="e">
        <f>+J486-J474</f>
        <v>#N/A</v>
      </c>
      <c r="K500" s="205" t="e">
        <f t="shared" ref="K500:Q500" si="362">+K486-K474</f>
        <v>#N/A</v>
      </c>
      <c r="L500" s="205" t="e">
        <f t="shared" si="362"/>
        <v>#N/A</v>
      </c>
      <c r="M500" s="205" t="e">
        <f t="shared" si="362"/>
        <v>#N/A</v>
      </c>
      <c r="N500" s="205" t="e">
        <f t="shared" si="362"/>
        <v>#N/A</v>
      </c>
      <c r="O500" s="205" t="e">
        <f t="shared" si="362"/>
        <v>#N/A</v>
      </c>
      <c r="P500" s="205" t="e">
        <f t="shared" si="362"/>
        <v>#N/A</v>
      </c>
      <c r="Q500" s="205" t="e">
        <f t="shared" si="362"/>
        <v>#N/A</v>
      </c>
      <c r="R500" s="205" t="e">
        <f t="shared" ref="R500:CC500" si="363">+R486-R474</f>
        <v>#N/A</v>
      </c>
      <c r="S500" s="205" t="e">
        <f t="shared" si="363"/>
        <v>#N/A</v>
      </c>
      <c r="T500" s="205" t="e">
        <f t="shared" si="363"/>
        <v>#N/A</v>
      </c>
      <c r="U500" s="205" t="e">
        <f t="shared" si="363"/>
        <v>#N/A</v>
      </c>
      <c r="V500" s="205" t="e">
        <f t="shared" si="363"/>
        <v>#N/A</v>
      </c>
      <c r="W500" s="205" t="e">
        <f t="shared" si="363"/>
        <v>#N/A</v>
      </c>
      <c r="X500" s="205" t="e">
        <f t="shared" si="363"/>
        <v>#N/A</v>
      </c>
      <c r="Y500" s="205" t="e">
        <f t="shared" si="363"/>
        <v>#N/A</v>
      </c>
      <c r="Z500" s="205" t="e">
        <f t="shared" si="363"/>
        <v>#N/A</v>
      </c>
      <c r="AA500" s="205" t="e">
        <f t="shared" si="363"/>
        <v>#N/A</v>
      </c>
      <c r="AB500" s="205" t="e">
        <f t="shared" si="363"/>
        <v>#N/A</v>
      </c>
      <c r="AC500" s="205" t="e">
        <f t="shared" si="363"/>
        <v>#N/A</v>
      </c>
      <c r="AD500" s="205" t="e">
        <f t="shared" si="363"/>
        <v>#N/A</v>
      </c>
      <c r="AE500" s="205" t="e">
        <f t="shared" si="363"/>
        <v>#N/A</v>
      </c>
      <c r="AF500" s="205" t="e">
        <f t="shared" si="363"/>
        <v>#N/A</v>
      </c>
      <c r="AG500" s="205" t="e">
        <f t="shared" si="363"/>
        <v>#N/A</v>
      </c>
      <c r="AH500" s="205" t="e">
        <f t="shared" si="363"/>
        <v>#N/A</v>
      </c>
      <c r="AI500" s="205" t="e">
        <f t="shared" si="363"/>
        <v>#N/A</v>
      </c>
      <c r="AJ500" s="205" t="e">
        <f t="shared" si="363"/>
        <v>#N/A</v>
      </c>
      <c r="AK500" s="205" t="e">
        <f t="shared" si="363"/>
        <v>#N/A</v>
      </c>
      <c r="AL500" s="205" t="e">
        <f t="shared" si="363"/>
        <v>#N/A</v>
      </c>
      <c r="AM500" s="205" t="e">
        <f t="shared" si="363"/>
        <v>#N/A</v>
      </c>
      <c r="AN500" s="205" t="e">
        <f t="shared" si="363"/>
        <v>#N/A</v>
      </c>
      <c r="AO500" s="205" t="e">
        <f t="shared" si="363"/>
        <v>#N/A</v>
      </c>
      <c r="AP500" s="205" t="e">
        <f t="shared" si="363"/>
        <v>#N/A</v>
      </c>
      <c r="AQ500" s="205" t="e">
        <f t="shared" si="363"/>
        <v>#N/A</v>
      </c>
      <c r="AR500" s="205" t="e">
        <f t="shared" si="363"/>
        <v>#N/A</v>
      </c>
      <c r="AS500" s="205" t="e">
        <f t="shared" si="363"/>
        <v>#N/A</v>
      </c>
      <c r="AT500" s="205" t="e">
        <f t="shared" si="363"/>
        <v>#N/A</v>
      </c>
      <c r="AU500" s="205" t="e">
        <f t="shared" si="363"/>
        <v>#N/A</v>
      </c>
      <c r="AV500" s="205" t="e">
        <f t="shared" si="363"/>
        <v>#N/A</v>
      </c>
      <c r="AW500" s="205" t="e">
        <f t="shared" si="363"/>
        <v>#N/A</v>
      </c>
      <c r="AX500" s="205" t="e">
        <f t="shared" si="363"/>
        <v>#N/A</v>
      </c>
      <c r="AY500" s="205" t="e">
        <f t="shared" si="363"/>
        <v>#N/A</v>
      </c>
      <c r="AZ500" s="205" t="e">
        <f t="shared" si="363"/>
        <v>#N/A</v>
      </c>
      <c r="BA500" s="205" t="e">
        <f t="shared" si="363"/>
        <v>#N/A</v>
      </c>
      <c r="BB500" s="205" t="e">
        <f t="shared" si="363"/>
        <v>#N/A</v>
      </c>
      <c r="BC500" s="205" t="e">
        <f t="shared" si="363"/>
        <v>#N/A</v>
      </c>
      <c r="BD500" s="205" t="e">
        <f t="shared" si="363"/>
        <v>#N/A</v>
      </c>
      <c r="BE500" s="205" t="e">
        <f t="shared" si="363"/>
        <v>#N/A</v>
      </c>
      <c r="BF500" s="205" t="e">
        <f t="shared" si="363"/>
        <v>#N/A</v>
      </c>
      <c r="BG500" s="205" t="e">
        <f t="shared" si="363"/>
        <v>#N/A</v>
      </c>
      <c r="BH500" s="205" t="e">
        <f t="shared" si="363"/>
        <v>#N/A</v>
      </c>
      <c r="BI500" s="205" t="e">
        <f t="shared" si="363"/>
        <v>#N/A</v>
      </c>
      <c r="BJ500" s="205" t="e">
        <f t="shared" si="363"/>
        <v>#N/A</v>
      </c>
      <c r="BK500" s="205" t="e">
        <f t="shared" si="363"/>
        <v>#N/A</v>
      </c>
      <c r="BL500" s="205" t="e">
        <f t="shared" si="363"/>
        <v>#N/A</v>
      </c>
      <c r="BM500" s="205" t="e">
        <f t="shared" si="363"/>
        <v>#N/A</v>
      </c>
      <c r="BN500" s="205" t="e">
        <f t="shared" si="363"/>
        <v>#N/A</v>
      </c>
      <c r="BO500" s="205" t="e">
        <f t="shared" si="363"/>
        <v>#N/A</v>
      </c>
      <c r="BP500" s="205" t="e">
        <f t="shared" si="363"/>
        <v>#N/A</v>
      </c>
      <c r="BQ500" s="205" t="e">
        <f t="shared" si="363"/>
        <v>#N/A</v>
      </c>
      <c r="BR500" s="205" t="e">
        <f t="shared" si="363"/>
        <v>#N/A</v>
      </c>
      <c r="BS500" s="205" t="e">
        <f t="shared" si="363"/>
        <v>#N/A</v>
      </c>
      <c r="BT500" s="205" t="e">
        <f t="shared" si="363"/>
        <v>#N/A</v>
      </c>
      <c r="BU500" s="205" t="e">
        <f t="shared" si="363"/>
        <v>#N/A</v>
      </c>
      <c r="BV500" s="205" t="e">
        <f t="shared" si="363"/>
        <v>#N/A</v>
      </c>
      <c r="BW500" s="205" t="e">
        <f t="shared" si="363"/>
        <v>#N/A</v>
      </c>
      <c r="BX500" s="205" t="e">
        <f t="shared" si="363"/>
        <v>#N/A</v>
      </c>
      <c r="BY500" s="205" t="e">
        <f t="shared" si="363"/>
        <v>#N/A</v>
      </c>
      <c r="BZ500" s="205" t="e">
        <f t="shared" si="363"/>
        <v>#N/A</v>
      </c>
      <c r="CA500" s="205" t="e">
        <f t="shared" si="363"/>
        <v>#N/A</v>
      </c>
      <c r="CB500" s="205" t="e">
        <f t="shared" si="363"/>
        <v>#N/A</v>
      </c>
      <c r="CC500" s="205" t="e">
        <f t="shared" si="363"/>
        <v>#N/A</v>
      </c>
    </row>
    <row r="501" spans="1:84" ht="5.0999999999999996" customHeight="1" thickBot="1" x14ac:dyDescent="0.25">
      <c r="B501" s="20"/>
      <c r="C501" s="20"/>
      <c r="D501" s="20"/>
      <c r="E501" s="20"/>
      <c r="F501" s="20"/>
      <c r="H501" s="113"/>
      <c r="I501" s="113"/>
      <c r="J501" s="113"/>
      <c r="K501" s="113"/>
      <c r="L501" s="113"/>
      <c r="M501" s="113"/>
      <c r="N501" s="113"/>
      <c r="O501" s="113"/>
      <c r="P501" s="113"/>
      <c r="Q501" s="113"/>
      <c r="R501" s="113"/>
      <c r="S501" s="113"/>
      <c r="T501" s="113"/>
      <c r="U501" s="113"/>
      <c r="V501" s="113"/>
      <c r="W501" s="113"/>
      <c r="X501" s="113"/>
      <c r="Y501" s="113"/>
      <c r="Z501" s="113"/>
      <c r="AA501" s="113"/>
      <c r="AB501" s="113"/>
      <c r="AC501" s="113"/>
      <c r="AD501" s="113"/>
      <c r="AE501" s="113"/>
      <c r="AF501" s="113"/>
      <c r="AG501" s="113"/>
      <c r="AH501" s="113"/>
      <c r="AI501" s="113"/>
      <c r="AJ501" s="113"/>
      <c r="AK501" s="113"/>
      <c r="AL501" s="113"/>
      <c r="AM501" s="113"/>
      <c r="AN501" s="113"/>
      <c r="AO501" s="113"/>
      <c r="AP501" s="113"/>
      <c r="AQ501" s="113"/>
      <c r="AR501" s="113"/>
      <c r="AS501" s="113"/>
      <c r="AT501" s="113"/>
      <c r="AU501" s="113"/>
      <c r="AV501" s="113"/>
      <c r="AW501" s="113"/>
      <c r="AX501" s="113"/>
      <c r="AY501" s="113"/>
      <c r="AZ501" s="113"/>
      <c r="BA501" s="113"/>
      <c r="BB501" s="113"/>
      <c r="BC501" s="113"/>
      <c r="BD501" s="113"/>
      <c r="BE501" s="113"/>
      <c r="BF501" s="113"/>
      <c r="BG501" s="113"/>
      <c r="BH501" s="113"/>
      <c r="BI501" s="113"/>
      <c r="BJ501" s="113"/>
      <c r="BK501" s="113"/>
      <c r="BL501" s="113"/>
      <c r="BM501" s="113"/>
      <c r="BN501" s="113"/>
      <c r="BO501" s="113"/>
      <c r="BP501" s="113"/>
      <c r="BQ501" s="113"/>
      <c r="BR501" s="113"/>
      <c r="BS501" s="113"/>
      <c r="BT501" s="113"/>
      <c r="BU501" s="113"/>
      <c r="BV501" s="113"/>
      <c r="BW501" s="113"/>
      <c r="BX501" s="113"/>
      <c r="BY501" s="113"/>
      <c r="BZ501" s="113"/>
      <c r="CA501" s="113"/>
      <c r="CB501" s="113"/>
      <c r="CC501" s="113"/>
    </row>
    <row r="502" spans="1:84" ht="15.75" thickBot="1" x14ac:dyDescent="0.25">
      <c r="B502" s="435" t="s">
        <v>214</v>
      </c>
      <c r="C502" s="436"/>
      <c r="D502" s="436"/>
      <c r="E502" s="436"/>
      <c r="F502" s="437"/>
      <c r="H502" s="205" t="e">
        <f>SUM(J502:CC502)</f>
        <v>#N/A</v>
      </c>
      <c r="I502" s="113"/>
      <c r="J502" s="205" t="e">
        <f>+J488-J476</f>
        <v>#N/A</v>
      </c>
      <c r="K502" s="205" t="e">
        <f t="shared" ref="K502:Q502" si="364">+K488-K476</f>
        <v>#N/A</v>
      </c>
      <c r="L502" s="205" t="e">
        <f t="shared" si="364"/>
        <v>#N/A</v>
      </c>
      <c r="M502" s="205" t="e">
        <f t="shared" si="364"/>
        <v>#N/A</v>
      </c>
      <c r="N502" s="205" t="e">
        <f t="shared" si="364"/>
        <v>#N/A</v>
      </c>
      <c r="O502" s="205" t="e">
        <f t="shared" si="364"/>
        <v>#N/A</v>
      </c>
      <c r="P502" s="205" t="e">
        <f t="shared" si="364"/>
        <v>#N/A</v>
      </c>
      <c r="Q502" s="205" t="e">
        <f t="shared" si="364"/>
        <v>#N/A</v>
      </c>
      <c r="R502" s="205" t="e">
        <f t="shared" ref="R502:CC502" si="365">+R488-R476</f>
        <v>#N/A</v>
      </c>
      <c r="S502" s="205" t="e">
        <f t="shared" si="365"/>
        <v>#N/A</v>
      </c>
      <c r="T502" s="205" t="e">
        <f t="shared" si="365"/>
        <v>#N/A</v>
      </c>
      <c r="U502" s="205" t="e">
        <f t="shared" si="365"/>
        <v>#N/A</v>
      </c>
      <c r="V502" s="205" t="e">
        <f t="shared" si="365"/>
        <v>#N/A</v>
      </c>
      <c r="W502" s="205" t="e">
        <f t="shared" si="365"/>
        <v>#N/A</v>
      </c>
      <c r="X502" s="205" t="e">
        <f t="shared" si="365"/>
        <v>#N/A</v>
      </c>
      <c r="Y502" s="205" t="e">
        <f t="shared" si="365"/>
        <v>#N/A</v>
      </c>
      <c r="Z502" s="205" t="e">
        <f t="shared" si="365"/>
        <v>#N/A</v>
      </c>
      <c r="AA502" s="205" t="e">
        <f t="shared" si="365"/>
        <v>#N/A</v>
      </c>
      <c r="AB502" s="205" t="e">
        <f t="shared" si="365"/>
        <v>#N/A</v>
      </c>
      <c r="AC502" s="205" t="e">
        <f t="shared" si="365"/>
        <v>#N/A</v>
      </c>
      <c r="AD502" s="205" t="e">
        <f t="shared" si="365"/>
        <v>#N/A</v>
      </c>
      <c r="AE502" s="205" t="e">
        <f t="shared" si="365"/>
        <v>#N/A</v>
      </c>
      <c r="AF502" s="205" t="e">
        <f t="shared" si="365"/>
        <v>#N/A</v>
      </c>
      <c r="AG502" s="205" t="e">
        <f t="shared" si="365"/>
        <v>#N/A</v>
      </c>
      <c r="AH502" s="205" t="e">
        <f t="shared" si="365"/>
        <v>#N/A</v>
      </c>
      <c r="AI502" s="205" t="e">
        <f t="shared" si="365"/>
        <v>#N/A</v>
      </c>
      <c r="AJ502" s="205" t="e">
        <f t="shared" si="365"/>
        <v>#N/A</v>
      </c>
      <c r="AK502" s="205" t="e">
        <f t="shared" si="365"/>
        <v>#N/A</v>
      </c>
      <c r="AL502" s="205" t="e">
        <f t="shared" si="365"/>
        <v>#N/A</v>
      </c>
      <c r="AM502" s="205" t="e">
        <f t="shared" si="365"/>
        <v>#N/A</v>
      </c>
      <c r="AN502" s="205" t="e">
        <f t="shared" si="365"/>
        <v>#N/A</v>
      </c>
      <c r="AO502" s="205" t="e">
        <f t="shared" si="365"/>
        <v>#N/A</v>
      </c>
      <c r="AP502" s="205" t="e">
        <f t="shared" si="365"/>
        <v>#N/A</v>
      </c>
      <c r="AQ502" s="205" t="e">
        <f t="shared" si="365"/>
        <v>#N/A</v>
      </c>
      <c r="AR502" s="205" t="e">
        <f t="shared" si="365"/>
        <v>#N/A</v>
      </c>
      <c r="AS502" s="205" t="e">
        <f t="shared" si="365"/>
        <v>#N/A</v>
      </c>
      <c r="AT502" s="205" t="e">
        <f t="shared" si="365"/>
        <v>#N/A</v>
      </c>
      <c r="AU502" s="205" t="e">
        <f t="shared" si="365"/>
        <v>#N/A</v>
      </c>
      <c r="AV502" s="205" t="e">
        <f t="shared" si="365"/>
        <v>#N/A</v>
      </c>
      <c r="AW502" s="205" t="e">
        <f t="shared" si="365"/>
        <v>#N/A</v>
      </c>
      <c r="AX502" s="205" t="e">
        <f t="shared" si="365"/>
        <v>#N/A</v>
      </c>
      <c r="AY502" s="205" t="e">
        <f t="shared" si="365"/>
        <v>#N/A</v>
      </c>
      <c r="AZ502" s="205" t="e">
        <f t="shared" si="365"/>
        <v>#N/A</v>
      </c>
      <c r="BA502" s="205" t="e">
        <f t="shared" si="365"/>
        <v>#N/A</v>
      </c>
      <c r="BB502" s="205" t="e">
        <f t="shared" si="365"/>
        <v>#N/A</v>
      </c>
      <c r="BC502" s="205" t="e">
        <f t="shared" si="365"/>
        <v>#N/A</v>
      </c>
      <c r="BD502" s="205" t="e">
        <f t="shared" si="365"/>
        <v>#N/A</v>
      </c>
      <c r="BE502" s="205" t="e">
        <f t="shared" si="365"/>
        <v>#N/A</v>
      </c>
      <c r="BF502" s="205" t="e">
        <f t="shared" si="365"/>
        <v>#N/A</v>
      </c>
      <c r="BG502" s="205" t="e">
        <f t="shared" si="365"/>
        <v>#N/A</v>
      </c>
      <c r="BH502" s="205" t="e">
        <f t="shared" si="365"/>
        <v>#N/A</v>
      </c>
      <c r="BI502" s="205" t="e">
        <f t="shared" si="365"/>
        <v>#N/A</v>
      </c>
      <c r="BJ502" s="205" t="e">
        <f t="shared" si="365"/>
        <v>#N/A</v>
      </c>
      <c r="BK502" s="205" t="e">
        <f t="shared" si="365"/>
        <v>#N/A</v>
      </c>
      <c r="BL502" s="205" t="e">
        <f t="shared" si="365"/>
        <v>#N/A</v>
      </c>
      <c r="BM502" s="205" t="e">
        <f t="shared" si="365"/>
        <v>#N/A</v>
      </c>
      <c r="BN502" s="205" t="e">
        <f t="shared" si="365"/>
        <v>#N/A</v>
      </c>
      <c r="BO502" s="205" t="e">
        <f t="shared" si="365"/>
        <v>#N/A</v>
      </c>
      <c r="BP502" s="205" t="e">
        <f t="shared" si="365"/>
        <v>#N/A</v>
      </c>
      <c r="BQ502" s="205" t="e">
        <f t="shared" si="365"/>
        <v>#N/A</v>
      </c>
      <c r="BR502" s="205" t="e">
        <f t="shared" si="365"/>
        <v>#N/A</v>
      </c>
      <c r="BS502" s="205" t="e">
        <f t="shared" si="365"/>
        <v>#N/A</v>
      </c>
      <c r="BT502" s="205" t="e">
        <f t="shared" si="365"/>
        <v>#N/A</v>
      </c>
      <c r="BU502" s="205" t="e">
        <f t="shared" si="365"/>
        <v>#N/A</v>
      </c>
      <c r="BV502" s="205" t="e">
        <f t="shared" si="365"/>
        <v>#N/A</v>
      </c>
      <c r="BW502" s="205" t="e">
        <f t="shared" si="365"/>
        <v>#N/A</v>
      </c>
      <c r="BX502" s="205" t="e">
        <f t="shared" si="365"/>
        <v>#N/A</v>
      </c>
      <c r="BY502" s="205" t="e">
        <f t="shared" si="365"/>
        <v>#N/A</v>
      </c>
      <c r="BZ502" s="205" t="e">
        <f t="shared" si="365"/>
        <v>#N/A</v>
      </c>
      <c r="CA502" s="205" t="e">
        <f t="shared" si="365"/>
        <v>#N/A</v>
      </c>
      <c r="CB502" s="205" t="e">
        <f t="shared" si="365"/>
        <v>#N/A</v>
      </c>
      <c r="CC502" s="205" t="e">
        <f t="shared" si="365"/>
        <v>#N/A</v>
      </c>
    </row>
    <row r="503" spans="1:84" ht="5.0999999999999996" customHeight="1" thickBot="1" x14ac:dyDescent="0.25">
      <c r="B503" s="20"/>
      <c r="C503" s="20"/>
      <c r="D503" s="20"/>
      <c r="E503" s="20"/>
      <c r="F503" s="20"/>
      <c r="H503" s="113"/>
      <c r="I503" s="113"/>
      <c r="J503" s="113"/>
      <c r="K503" s="113"/>
      <c r="L503" s="113"/>
      <c r="M503" s="113"/>
      <c r="N503" s="113"/>
      <c r="O503" s="113"/>
      <c r="P503" s="113"/>
      <c r="Q503" s="113"/>
      <c r="R503" s="113"/>
      <c r="S503" s="113"/>
      <c r="T503" s="113"/>
      <c r="U503" s="113"/>
      <c r="V503" s="113"/>
      <c r="W503" s="113"/>
      <c r="X503" s="113"/>
      <c r="Y503" s="113"/>
      <c r="Z503" s="113"/>
      <c r="AA503" s="113"/>
      <c r="AB503" s="113"/>
      <c r="AC503" s="113"/>
      <c r="AD503" s="113"/>
      <c r="AE503" s="113"/>
      <c r="AF503" s="113"/>
      <c r="AG503" s="113"/>
      <c r="AH503" s="113"/>
      <c r="AI503" s="113"/>
      <c r="AJ503" s="113"/>
      <c r="AK503" s="113"/>
      <c r="AL503" s="113"/>
      <c r="AM503" s="113"/>
      <c r="AN503" s="113"/>
      <c r="AO503" s="113"/>
      <c r="AP503" s="113"/>
      <c r="AQ503" s="113"/>
      <c r="AR503" s="113"/>
      <c r="AS503" s="113"/>
      <c r="AT503" s="113"/>
      <c r="AU503" s="113"/>
      <c r="AV503" s="113"/>
      <c r="AW503" s="113"/>
      <c r="AX503" s="113"/>
      <c r="AY503" s="113"/>
      <c r="AZ503" s="113"/>
      <c r="BA503" s="113"/>
      <c r="BB503" s="113"/>
      <c r="BC503" s="113"/>
      <c r="BD503" s="113"/>
      <c r="BE503" s="113"/>
      <c r="BF503" s="113"/>
      <c r="BG503" s="113"/>
      <c r="BH503" s="113"/>
      <c r="BI503" s="113"/>
      <c r="BJ503" s="113"/>
      <c r="BK503" s="113"/>
      <c r="BL503" s="113"/>
      <c r="BM503" s="113"/>
      <c r="BN503" s="113"/>
      <c r="BO503" s="113"/>
      <c r="BP503" s="113"/>
      <c r="BQ503" s="113"/>
      <c r="BR503" s="113"/>
      <c r="BS503" s="113"/>
      <c r="BT503" s="113"/>
      <c r="BU503" s="113"/>
      <c r="BV503" s="113"/>
      <c r="BW503" s="113"/>
      <c r="BX503" s="113"/>
      <c r="BY503" s="113"/>
      <c r="BZ503" s="113"/>
      <c r="CA503" s="113"/>
      <c r="CB503" s="113"/>
      <c r="CC503" s="113"/>
    </row>
    <row r="504" spans="1:84" ht="15.75" thickBot="1" x14ac:dyDescent="0.25">
      <c r="B504" s="510" t="s">
        <v>215</v>
      </c>
      <c r="C504" s="511"/>
      <c r="D504" s="511"/>
      <c r="E504" s="511"/>
      <c r="F504" s="512"/>
      <c r="H504" s="207" t="e">
        <f>+H500+H502</f>
        <v>#N/A</v>
      </c>
      <c r="I504" s="113"/>
      <c r="J504" s="207" t="e">
        <f>+J500+J502</f>
        <v>#N/A</v>
      </c>
      <c r="K504" s="207" t="e">
        <f t="shared" ref="K504:Q504" si="366">+K500+K502</f>
        <v>#N/A</v>
      </c>
      <c r="L504" s="207" t="e">
        <f t="shared" si="366"/>
        <v>#N/A</v>
      </c>
      <c r="M504" s="207" t="e">
        <f t="shared" si="366"/>
        <v>#N/A</v>
      </c>
      <c r="N504" s="207" t="e">
        <f t="shared" si="366"/>
        <v>#N/A</v>
      </c>
      <c r="O504" s="207" t="e">
        <f t="shared" si="366"/>
        <v>#N/A</v>
      </c>
      <c r="P504" s="207" t="e">
        <f t="shared" si="366"/>
        <v>#N/A</v>
      </c>
      <c r="Q504" s="207" t="e">
        <f t="shared" si="366"/>
        <v>#N/A</v>
      </c>
      <c r="R504" s="207" t="e">
        <f t="shared" ref="R504:CC504" si="367">+R500+R502</f>
        <v>#N/A</v>
      </c>
      <c r="S504" s="207" t="e">
        <f t="shared" si="367"/>
        <v>#N/A</v>
      </c>
      <c r="T504" s="207" t="e">
        <f t="shared" si="367"/>
        <v>#N/A</v>
      </c>
      <c r="U504" s="207" t="e">
        <f t="shared" si="367"/>
        <v>#N/A</v>
      </c>
      <c r="V504" s="207" t="e">
        <f t="shared" si="367"/>
        <v>#N/A</v>
      </c>
      <c r="W504" s="207" t="e">
        <f t="shared" si="367"/>
        <v>#N/A</v>
      </c>
      <c r="X504" s="207" t="e">
        <f t="shared" si="367"/>
        <v>#N/A</v>
      </c>
      <c r="Y504" s="207" t="e">
        <f t="shared" si="367"/>
        <v>#N/A</v>
      </c>
      <c r="Z504" s="207" t="e">
        <f t="shared" si="367"/>
        <v>#N/A</v>
      </c>
      <c r="AA504" s="207" t="e">
        <f t="shared" si="367"/>
        <v>#N/A</v>
      </c>
      <c r="AB504" s="207" t="e">
        <f t="shared" si="367"/>
        <v>#N/A</v>
      </c>
      <c r="AC504" s="207" t="e">
        <f t="shared" si="367"/>
        <v>#N/A</v>
      </c>
      <c r="AD504" s="207" t="e">
        <f t="shared" si="367"/>
        <v>#N/A</v>
      </c>
      <c r="AE504" s="207" t="e">
        <f t="shared" si="367"/>
        <v>#N/A</v>
      </c>
      <c r="AF504" s="207" t="e">
        <f t="shared" si="367"/>
        <v>#N/A</v>
      </c>
      <c r="AG504" s="207" t="e">
        <f t="shared" si="367"/>
        <v>#N/A</v>
      </c>
      <c r="AH504" s="207" t="e">
        <f t="shared" si="367"/>
        <v>#N/A</v>
      </c>
      <c r="AI504" s="207" t="e">
        <f t="shared" si="367"/>
        <v>#N/A</v>
      </c>
      <c r="AJ504" s="207" t="e">
        <f t="shared" si="367"/>
        <v>#N/A</v>
      </c>
      <c r="AK504" s="207" t="e">
        <f t="shared" si="367"/>
        <v>#N/A</v>
      </c>
      <c r="AL504" s="207" t="e">
        <f t="shared" si="367"/>
        <v>#N/A</v>
      </c>
      <c r="AM504" s="207" t="e">
        <f t="shared" si="367"/>
        <v>#N/A</v>
      </c>
      <c r="AN504" s="207" t="e">
        <f t="shared" si="367"/>
        <v>#N/A</v>
      </c>
      <c r="AO504" s="207" t="e">
        <f t="shared" si="367"/>
        <v>#N/A</v>
      </c>
      <c r="AP504" s="207" t="e">
        <f t="shared" si="367"/>
        <v>#N/A</v>
      </c>
      <c r="AQ504" s="207" t="e">
        <f t="shared" si="367"/>
        <v>#N/A</v>
      </c>
      <c r="AR504" s="207" t="e">
        <f t="shared" si="367"/>
        <v>#N/A</v>
      </c>
      <c r="AS504" s="207" t="e">
        <f t="shared" si="367"/>
        <v>#N/A</v>
      </c>
      <c r="AT504" s="207" t="e">
        <f t="shared" si="367"/>
        <v>#N/A</v>
      </c>
      <c r="AU504" s="207" t="e">
        <f t="shared" si="367"/>
        <v>#N/A</v>
      </c>
      <c r="AV504" s="207" t="e">
        <f t="shared" si="367"/>
        <v>#N/A</v>
      </c>
      <c r="AW504" s="207" t="e">
        <f t="shared" si="367"/>
        <v>#N/A</v>
      </c>
      <c r="AX504" s="207" t="e">
        <f t="shared" si="367"/>
        <v>#N/A</v>
      </c>
      <c r="AY504" s="207" t="e">
        <f t="shared" si="367"/>
        <v>#N/A</v>
      </c>
      <c r="AZ504" s="207" t="e">
        <f t="shared" si="367"/>
        <v>#N/A</v>
      </c>
      <c r="BA504" s="207" t="e">
        <f t="shared" si="367"/>
        <v>#N/A</v>
      </c>
      <c r="BB504" s="207" t="e">
        <f t="shared" si="367"/>
        <v>#N/A</v>
      </c>
      <c r="BC504" s="207" t="e">
        <f t="shared" si="367"/>
        <v>#N/A</v>
      </c>
      <c r="BD504" s="207" t="e">
        <f t="shared" si="367"/>
        <v>#N/A</v>
      </c>
      <c r="BE504" s="207" t="e">
        <f t="shared" si="367"/>
        <v>#N/A</v>
      </c>
      <c r="BF504" s="207" t="e">
        <f t="shared" si="367"/>
        <v>#N/A</v>
      </c>
      <c r="BG504" s="207" t="e">
        <f t="shared" si="367"/>
        <v>#N/A</v>
      </c>
      <c r="BH504" s="207" t="e">
        <f t="shared" si="367"/>
        <v>#N/A</v>
      </c>
      <c r="BI504" s="207" t="e">
        <f t="shared" si="367"/>
        <v>#N/A</v>
      </c>
      <c r="BJ504" s="207" t="e">
        <f t="shared" si="367"/>
        <v>#N/A</v>
      </c>
      <c r="BK504" s="207" t="e">
        <f t="shared" si="367"/>
        <v>#N/A</v>
      </c>
      <c r="BL504" s="207" t="e">
        <f t="shared" si="367"/>
        <v>#N/A</v>
      </c>
      <c r="BM504" s="207" t="e">
        <f t="shared" si="367"/>
        <v>#N/A</v>
      </c>
      <c r="BN504" s="207" t="e">
        <f t="shared" si="367"/>
        <v>#N/A</v>
      </c>
      <c r="BO504" s="207" t="e">
        <f t="shared" si="367"/>
        <v>#N/A</v>
      </c>
      <c r="BP504" s="207" t="e">
        <f t="shared" si="367"/>
        <v>#N/A</v>
      </c>
      <c r="BQ504" s="207" t="e">
        <f t="shared" si="367"/>
        <v>#N/A</v>
      </c>
      <c r="BR504" s="207" t="e">
        <f t="shared" si="367"/>
        <v>#N/A</v>
      </c>
      <c r="BS504" s="207" t="e">
        <f t="shared" si="367"/>
        <v>#N/A</v>
      </c>
      <c r="BT504" s="207" t="e">
        <f t="shared" si="367"/>
        <v>#N/A</v>
      </c>
      <c r="BU504" s="207" t="e">
        <f t="shared" si="367"/>
        <v>#N/A</v>
      </c>
      <c r="BV504" s="207" t="e">
        <f t="shared" si="367"/>
        <v>#N/A</v>
      </c>
      <c r="BW504" s="207" t="e">
        <f t="shared" si="367"/>
        <v>#N/A</v>
      </c>
      <c r="BX504" s="207" t="e">
        <f t="shared" si="367"/>
        <v>#N/A</v>
      </c>
      <c r="BY504" s="207" t="e">
        <f t="shared" si="367"/>
        <v>#N/A</v>
      </c>
      <c r="BZ504" s="207" t="e">
        <f t="shared" si="367"/>
        <v>#N/A</v>
      </c>
      <c r="CA504" s="207" t="e">
        <f t="shared" si="367"/>
        <v>#N/A</v>
      </c>
      <c r="CB504" s="207" t="e">
        <f t="shared" si="367"/>
        <v>#N/A</v>
      </c>
      <c r="CC504" s="207" t="e">
        <f t="shared" si="367"/>
        <v>#N/A</v>
      </c>
    </row>
    <row r="505" spans="1:84" ht="5.0999999999999996" customHeight="1" thickBot="1" x14ac:dyDescent="0.25">
      <c r="B505" s="20"/>
      <c r="C505" s="20"/>
      <c r="D505" s="20"/>
      <c r="E505" s="20"/>
      <c r="F505" s="20"/>
      <c r="H505" s="32"/>
      <c r="I505" s="32"/>
      <c r="J505" s="32"/>
      <c r="K505" s="32"/>
      <c r="L505" s="32"/>
      <c r="M505" s="32"/>
      <c r="N505" s="32"/>
      <c r="O505" s="32"/>
      <c r="P505" s="32"/>
      <c r="Q505" s="32"/>
      <c r="R505" s="32"/>
      <c r="S505" s="32"/>
      <c r="T505" s="32"/>
      <c r="U505" s="32"/>
      <c r="V505" s="32"/>
      <c r="W505" s="32"/>
      <c r="X505" s="32"/>
      <c r="Y505" s="32"/>
      <c r="Z505" s="32"/>
      <c r="AA505" s="32"/>
      <c r="AB505" s="32"/>
      <c r="AC505" s="32"/>
      <c r="AD505" s="32"/>
      <c r="AE505" s="32"/>
      <c r="AF505" s="32"/>
      <c r="AG505" s="32"/>
      <c r="AH505" s="32"/>
      <c r="AI505" s="32"/>
      <c r="AJ505" s="32"/>
      <c r="AK505" s="32"/>
      <c r="AL505" s="32"/>
      <c r="AM505" s="32"/>
      <c r="AN505" s="32"/>
      <c r="AO505" s="32"/>
      <c r="AP505" s="32"/>
      <c r="AQ505" s="32"/>
      <c r="AR505" s="32"/>
      <c r="AS505" s="32"/>
      <c r="AT505" s="32"/>
      <c r="AU505" s="32"/>
      <c r="AV505" s="32"/>
      <c r="AW505" s="32"/>
      <c r="AX505" s="32"/>
      <c r="AY505" s="32"/>
      <c r="AZ505" s="32"/>
      <c r="BA505" s="32"/>
      <c r="BB505" s="32"/>
      <c r="BC505" s="32"/>
      <c r="BD505" s="32"/>
      <c r="BE505" s="32"/>
      <c r="BF505" s="32"/>
      <c r="BG505" s="32"/>
      <c r="BH505" s="32"/>
      <c r="BI505" s="32"/>
      <c r="BJ505" s="32"/>
      <c r="BK505" s="32"/>
      <c r="BL505" s="32"/>
      <c r="BM505" s="32"/>
      <c r="BN505" s="32"/>
      <c r="BO505" s="32"/>
      <c r="BP505" s="32"/>
      <c r="BQ505" s="32"/>
      <c r="BR505" s="32"/>
      <c r="BS505" s="32"/>
      <c r="BT505" s="32"/>
      <c r="BU505" s="32"/>
      <c r="BV505" s="32"/>
      <c r="BW505" s="32"/>
      <c r="BX505" s="32"/>
      <c r="BY505" s="32"/>
      <c r="BZ505" s="32"/>
      <c r="CA505" s="32"/>
      <c r="CB505" s="32"/>
      <c r="CC505" s="32"/>
    </row>
    <row r="506" spans="1:84" ht="15.75" thickBot="1" x14ac:dyDescent="0.25">
      <c r="B506" s="481" t="s">
        <v>216</v>
      </c>
      <c r="C506" s="482"/>
      <c r="D506" s="482"/>
      <c r="E506" s="482"/>
      <c r="F506" s="483"/>
      <c r="H506" s="32"/>
      <c r="I506" s="32"/>
      <c r="J506" s="100" t="e">
        <f>+J492-J480</f>
        <v>#N/A</v>
      </c>
      <c r="K506" s="100" t="e">
        <f t="shared" ref="K506:S506" si="368">+K492-K480</f>
        <v>#N/A</v>
      </c>
      <c r="L506" s="100" t="e">
        <f t="shared" si="368"/>
        <v>#N/A</v>
      </c>
      <c r="M506" s="100" t="e">
        <f t="shared" si="368"/>
        <v>#N/A</v>
      </c>
      <c r="N506" s="100" t="e">
        <f t="shared" si="368"/>
        <v>#N/A</v>
      </c>
      <c r="O506" s="100" t="e">
        <f t="shared" si="368"/>
        <v>#N/A</v>
      </c>
      <c r="P506" s="100" t="e">
        <f t="shared" si="368"/>
        <v>#N/A</v>
      </c>
      <c r="Q506" s="100" t="e">
        <f t="shared" si="368"/>
        <v>#N/A</v>
      </c>
      <c r="R506" s="100" t="e">
        <f t="shared" si="368"/>
        <v>#N/A</v>
      </c>
      <c r="S506" s="100" t="e">
        <f t="shared" si="368"/>
        <v>#N/A</v>
      </c>
      <c r="T506" s="100" t="e">
        <f t="shared" ref="T506:CC506" si="369">+T492-T480</f>
        <v>#N/A</v>
      </c>
      <c r="U506" s="100" t="e">
        <f t="shared" si="369"/>
        <v>#N/A</v>
      </c>
      <c r="V506" s="100" t="e">
        <f t="shared" si="369"/>
        <v>#N/A</v>
      </c>
      <c r="W506" s="100" t="e">
        <f t="shared" si="369"/>
        <v>#N/A</v>
      </c>
      <c r="X506" s="100" t="e">
        <f t="shared" si="369"/>
        <v>#N/A</v>
      </c>
      <c r="Y506" s="100" t="e">
        <f t="shared" si="369"/>
        <v>#N/A</v>
      </c>
      <c r="Z506" s="100" t="e">
        <f t="shared" si="369"/>
        <v>#N/A</v>
      </c>
      <c r="AA506" s="100" t="e">
        <f t="shared" si="369"/>
        <v>#N/A</v>
      </c>
      <c r="AB506" s="100" t="e">
        <f t="shared" si="369"/>
        <v>#N/A</v>
      </c>
      <c r="AC506" s="100" t="e">
        <f t="shared" si="369"/>
        <v>#N/A</v>
      </c>
      <c r="AD506" s="100" t="e">
        <f t="shared" si="369"/>
        <v>#N/A</v>
      </c>
      <c r="AE506" s="100" t="e">
        <f t="shared" si="369"/>
        <v>#N/A</v>
      </c>
      <c r="AF506" s="100" t="e">
        <f t="shared" si="369"/>
        <v>#N/A</v>
      </c>
      <c r="AG506" s="100" t="e">
        <f t="shared" si="369"/>
        <v>#N/A</v>
      </c>
      <c r="AH506" s="100" t="e">
        <f t="shared" si="369"/>
        <v>#N/A</v>
      </c>
      <c r="AI506" s="100" t="e">
        <f t="shared" si="369"/>
        <v>#N/A</v>
      </c>
      <c r="AJ506" s="100" t="e">
        <f t="shared" si="369"/>
        <v>#N/A</v>
      </c>
      <c r="AK506" s="100" t="e">
        <f t="shared" si="369"/>
        <v>#N/A</v>
      </c>
      <c r="AL506" s="100" t="e">
        <f t="shared" si="369"/>
        <v>#N/A</v>
      </c>
      <c r="AM506" s="100" t="e">
        <f t="shared" si="369"/>
        <v>#N/A</v>
      </c>
      <c r="AN506" s="100" t="e">
        <f t="shared" si="369"/>
        <v>#N/A</v>
      </c>
      <c r="AO506" s="100" t="e">
        <f t="shared" si="369"/>
        <v>#N/A</v>
      </c>
      <c r="AP506" s="100" t="e">
        <f t="shared" si="369"/>
        <v>#N/A</v>
      </c>
      <c r="AQ506" s="100" t="e">
        <f t="shared" si="369"/>
        <v>#N/A</v>
      </c>
      <c r="AR506" s="100" t="e">
        <f t="shared" si="369"/>
        <v>#N/A</v>
      </c>
      <c r="AS506" s="100" t="e">
        <f t="shared" si="369"/>
        <v>#N/A</v>
      </c>
      <c r="AT506" s="100" t="e">
        <f t="shared" si="369"/>
        <v>#N/A</v>
      </c>
      <c r="AU506" s="100" t="e">
        <f t="shared" si="369"/>
        <v>#N/A</v>
      </c>
      <c r="AV506" s="100" t="e">
        <f t="shared" si="369"/>
        <v>#N/A</v>
      </c>
      <c r="AW506" s="100" t="e">
        <f t="shared" si="369"/>
        <v>#N/A</v>
      </c>
      <c r="AX506" s="100" t="e">
        <f t="shared" si="369"/>
        <v>#N/A</v>
      </c>
      <c r="AY506" s="100" t="e">
        <f t="shared" si="369"/>
        <v>#N/A</v>
      </c>
      <c r="AZ506" s="100" t="e">
        <f t="shared" si="369"/>
        <v>#N/A</v>
      </c>
      <c r="BA506" s="100" t="e">
        <f t="shared" si="369"/>
        <v>#N/A</v>
      </c>
      <c r="BB506" s="100" t="e">
        <f t="shared" si="369"/>
        <v>#N/A</v>
      </c>
      <c r="BC506" s="100" t="e">
        <f t="shared" si="369"/>
        <v>#N/A</v>
      </c>
      <c r="BD506" s="100" t="e">
        <f t="shared" si="369"/>
        <v>#N/A</v>
      </c>
      <c r="BE506" s="100" t="e">
        <f t="shared" si="369"/>
        <v>#N/A</v>
      </c>
      <c r="BF506" s="100" t="e">
        <f t="shared" si="369"/>
        <v>#N/A</v>
      </c>
      <c r="BG506" s="100" t="e">
        <f t="shared" si="369"/>
        <v>#N/A</v>
      </c>
      <c r="BH506" s="100" t="e">
        <f t="shared" si="369"/>
        <v>#N/A</v>
      </c>
      <c r="BI506" s="100" t="e">
        <f t="shared" si="369"/>
        <v>#N/A</v>
      </c>
      <c r="BJ506" s="100" t="e">
        <f t="shared" si="369"/>
        <v>#N/A</v>
      </c>
      <c r="BK506" s="100" t="e">
        <f t="shared" si="369"/>
        <v>#N/A</v>
      </c>
      <c r="BL506" s="100" t="e">
        <f t="shared" si="369"/>
        <v>#N/A</v>
      </c>
      <c r="BM506" s="100" t="e">
        <f t="shared" si="369"/>
        <v>#N/A</v>
      </c>
      <c r="BN506" s="100" t="e">
        <f t="shared" si="369"/>
        <v>#N/A</v>
      </c>
      <c r="BO506" s="100" t="e">
        <f t="shared" si="369"/>
        <v>#N/A</v>
      </c>
      <c r="BP506" s="100" t="e">
        <f t="shared" si="369"/>
        <v>#N/A</v>
      </c>
      <c r="BQ506" s="100" t="e">
        <f t="shared" si="369"/>
        <v>#N/A</v>
      </c>
      <c r="BR506" s="100" t="e">
        <f t="shared" si="369"/>
        <v>#N/A</v>
      </c>
      <c r="BS506" s="100" t="e">
        <f t="shared" si="369"/>
        <v>#N/A</v>
      </c>
      <c r="BT506" s="100" t="e">
        <f t="shared" si="369"/>
        <v>#N/A</v>
      </c>
      <c r="BU506" s="100" t="e">
        <f t="shared" si="369"/>
        <v>#N/A</v>
      </c>
      <c r="BV506" s="100" t="e">
        <f t="shared" si="369"/>
        <v>#N/A</v>
      </c>
      <c r="BW506" s="100" t="e">
        <f t="shared" si="369"/>
        <v>#N/A</v>
      </c>
      <c r="BX506" s="100" t="e">
        <f t="shared" si="369"/>
        <v>#N/A</v>
      </c>
      <c r="BY506" s="100" t="e">
        <f t="shared" si="369"/>
        <v>#N/A</v>
      </c>
      <c r="BZ506" s="100" t="e">
        <f t="shared" si="369"/>
        <v>#N/A</v>
      </c>
      <c r="CA506" s="100" t="e">
        <f t="shared" si="369"/>
        <v>#N/A</v>
      </c>
      <c r="CB506" s="100" t="e">
        <f t="shared" si="369"/>
        <v>#N/A</v>
      </c>
      <c r="CC506" s="100" t="e">
        <f t="shared" si="369"/>
        <v>#N/A</v>
      </c>
    </row>
    <row r="507" spans="1:84" ht="5.0999999999999996" customHeight="1" thickBot="1" x14ac:dyDescent="0.25">
      <c r="B507" s="20"/>
      <c r="C507" s="20"/>
      <c r="D507" s="20"/>
      <c r="E507" s="20"/>
      <c r="F507" s="20"/>
      <c r="H507" s="32"/>
      <c r="I507" s="32"/>
      <c r="J507" s="113"/>
      <c r="K507" s="113"/>
      <c r="L507" s="113"/>
      <c r="M507" s="113"/>
      <c r="N507" s="113"/>
      <c r="O507" s="113"/>
      <c r="P507" s="113"/>
      <c r="Q507" s="113"/>
      <c r="R507" s="113"/>
      <c r="S507" s="113"/>
      <c r="T507" s="113"/>
      <c r="U507" s="113"/>
      <c r="V507" s="113"/>
      <c r="W507" s="113"/>
      <c r="X507" s="113"/>
      <c r="Y507" s="113"/>
      <c r="Z507" s="113"/>
      <c r="AA507" s="113"/>
      <c r="AB507" s="113"/>
      <c r="AC507" s="113"/>
      <c r="AD507" s="113"/>
      <c r="AE507" s="113"/>
      <c r="AF507" s="113"/>
      <c r="AG507" s="113"/>
      <c r="AH507" s="113"/>
      <c r="AI507" s="113"/>
      <c r="AJ507" s="113"/>
      <c r="AK507" s="113"/>
      <c r="AL507" s="113"/>
      <c r="AM507" s="113"/>
      <c r="AN507" s="113"/>
      <c r="AO507" s="113"/>
      <c r="AP507" s="113"/>
      <c r="AQ507" s="113"/>
      <c r="AR507" s="113"/>
      <c r="AS507" s="113"/>
      <c r="AT507" s="113"/>
      <c r="AU507" s="113"/>
      <c r="AV507" s="113"/>
      <c r="AW507" s="113"/>
      <c r="AX507" s="113"/>
      <c r="AY507" s="113"/>
      <c r="AZ507" s="113"/>
      <c r="BA507" s="113"/>
      <c r="BB507" s="113"/>
      <c r="BC507" s="113"/>
      <c r="BD507" s="113"/>
      <c r="BE507" s="113"/>
      <c r="BF507" s="113"/>
      <c r="BG507" s="113"/>
      <c r="BH507" s="113"/>
      <c r="BI507" s="113"/>
      <c r="BJ507" s="113"/>
      <c r="BK507" s="113"/>
      <c r="BL507" s="113"/>
      <c r="BM507" s="113"/>
      <c r="BN507" s="113"/>
      <c r="BO507" s="113"/>
      <c r="BP507" s="113"/>
      <c r="BQ507" s="113"/>
      <c r="BR507" s="113"/>
      <c r="BS507" s="113"/>
      <c r="BT507" s="113"/>
      <c r="BU507" s="113"/>
      <c r="BV507" s="113"/>
      <c r="BW507" s="113"/>
      <c r="BX507" s="113"/>
      <c r="BY507" s="113"/>
      <c r="BZ507" s="113"/>
      <c r="CA507" s="113"/>
      <c r="CB507" s="113"/>
      <c r="CC507" s="113"/>
    </row>
    <row r="508" spans="1:84" ht="15.75" thickBot="1" x14ac:dyDescent="0.25">
      <c r="B508" s="481" t="s">
        <v>217</v>
      </c>
      <c r="C508" s="482"/>
      <c r="D508" s="482"/>
      <c r="E508" s="482"/>
      <c r="F508" s="483"/>
      <c r="H508" s="32"/>
      <c r="I508" s="32"/>
      <c r="J508" s="100" t="e">
        <f>+J506</f>
        <v>#N/A</v>
      </c>
      <c r="K508" s="100" t="e">
        <f>+J508+K506</f>
        <v>#N/A</v>
      </c>
      <c r="L508" s="100" t="e">
        <f t="shared" ref="L508:Q508" si="370">+K508+L506</f>
        <v>#N/A</v>
      </c>
      <c r="M508" s="100" t="e">
        <f t="shared" si="370"/>
        <v>#N/A</v>
      </c>
      <c r="N508" s="100" t="e">
        <f t="shared" si="370"/>
        <v>#N/A</v>
      </c>
      <c r="O508" s="100" t="e">
        <f t="shared" si="370"/>
        <v>#N/A</v>
      </c>
      <c r="P508" s="100" t="e">
        <f t="shared" si="370"/>
        <v>#N/A</v>
      </c>
      <c r="Q508" s="100" t="e">
        <f t="shared" si="370"/>
        <v>#N/A</v>
      </c>
      <c r="R508" s="100" t="e">
        <f t="shared" ref="R508:CC508" si="371">+Q508+R506</f>
        <v>#N/A</v>
      </c>
      <c r="S508" s="100" t="e">
        <f t="shared" si="371"/>
        <v>#N/A</v>
      </c>
      <c r="T508" s="100" t="e">
        <f t="shared" si="371"/>
        <v>#N/A</v>
      </c>
      <c r="U508" s="100" t="e">
        <f t="shared" si="371"/>
        <v>#N/A</v>
      </c>
      <c r="V508" s="100" t="e">
        <f t="shared" si="371"/>
        <v>#N/A</v>
      </c>
      <c r="W508" s="100" t="e">
        <f t="shared" si="371"/>
        <v>#N/A</v>
      </c>
      <c r="X508" s="100" t="e">
        <f t="shared" si="371"/>
        <v>#N/A</v>
      </c>
      <c r="Y508" s="100" t="e">
        <f t="shared" si="371"/>
        <v>#N/A</v>
      </c>
      <c r="Z508" s="100" t="e">
        <f t="shared" si="371"/>
        <v>#N/A</v>
      </c>
      <c r="AA508" s="100" t="e">
        <f t="shared" si="371"/>
        <v>#N/A</v>
      </c>
      <c r="AB508" s="100" t="e">
        <f t="shared" si="371"/>
        <v>#N/A</v>
      </c>
      <c r="AC508" s="100" t="e">
        <f t="shared" si="371"/>
        <v>#N/A</v>
      </c>
      <c r="AD508" s="100" t="e">
        <f t="shared" si="371"/>
        <v>#N/A</v>
      </c>
      <c r="AE508" s="100" t="e">
        <f t="shared" si="371"/>
        <v>#N/A</v>
      </c>
      <c r="AF508" s="100" t="e">
        <f t="shared" si="371"/>
        <v>#N/A</v>
      </c>
      <c r="AG508" s="100" t="e">
        <f t="shared" si="371"/>
        <v>#N/A</v>
      </c>
      <c r="AH508" s="100" t="e">
        <f t="shared" si="371"/>
        <v>#N/A</v>
      </c>
      <c r="AI508" s="100" t="e">
        <f t="shared" si="371"/>
        <v>#N/A</v>
      </c>
      <c r="AJ508" s="100" t="e">
        <f t="shared" si="371"/>
        <v>#N/A</v>
      </c>
      <c r="AK508" s="100" t="e">
        <f t="shared" si="371"/>
        <v>#N/A</v>
      </c>
      <c r="AL508" s="100" t="e">
        <f t="shared" si="371"/>
        <v>#N/A</v>
      </c>
      <c r="AM508" s="100" t="e">
        <f t="shared" si="371"/>
        <v>#N/A</v>
      </c>
      <c r="AN508" s="100" t="e">
        <f t="shared" si="371"/>
        <v>#N/A</v>
      </c>
      <c r="AO508" s="100" t="e">
        <f t="shared" si="371"/>
        <v>#N/A</v>
      </c>
      <c r="AP508" s="100" t="e">
        <f t="shared" si="371"/>
        <v>#N/A</v>
      </c>
      <c r="AQ508" s="100" t="e">
        <f t="shared" si="371"/>
        <v>#N/A</v>
      </c>
      <c r="AR508" s="100" t="e">
        <f t="shared" si="371"/>
        <v>#N/A</v>
      </c>
      <c r="AS508" s="100" t="e">
        <f t="shared" si="371"/>
        <v>#N/A</v>
      </c>
      <c r="AT508" s="100" t="e">
        <f t="shared" si="371"/>
        <v>#N/A</v>
      </c>
      <c r="AU508" s="100" t="e">
        <f t="shared" si="371"/>
        <v>#N/A</v>
      </c>
      <c r="AV508" s="100" t="e">
        <f t="shared" si="371"/>
        <v>#N/A</v>
      </c>
      <c r="AW508" s="100" t="e">
        <f t="shared" si="371"/>
        <v>#N/A</v>
      </c>
      <c r="AX508" s="100" t="e">
        <f t="shared" si="371"/>
        <v>#N/A</v>
      </c>
      <c r="AY508" s="100" t="e">
        <f t="shared" si="371"/>
        <v>#N/A</v>
      </c>
      <c r="AZ508" s="100" t="e">
        <f t="shared" si="371"/>
        <v>#N/A</v>
      </c>
      <c r="BA508" s="100" t="e">
        <f t="shared" si="371"/>
        <v>#N/A</v>
      </c>
      <c r="BB508" s="100" t="e">
        <f t="shared" si="371"/>
        <v>#N/A</v>
      </c>
      <c r="BC508" s="100" t="e">
        <f t="shared" si="371"/>
        <v>#N/A</v>
      </c>
      <c r="BD508" s="100" t="e">
        <f t="shared" si="371"/>
        <v>#N/A</v>
      </c>
      <c r="BE508" s="100" t="e">
        <f t="shared" si="371"/>
        <v>#N/A</v>
      </c>
      <c r="BF508" s="100" t="e">
        <f t="shared" si="371"/>
        <v>#N/A</v>
      </c>
      <c r="BG508" s="100" t="e">
        <f t="shared" si="371"/>
        <v>#N/A</v>
      </c>
      <c r="BH508" s="100" t="e">
        <f t="shared" si="371"/>
        <v>#N/A</v>
      </c>
      <c r="BI508" s="100" t="e">
        <f t="shared" si="371"/>
        <v>#N/A</v>
      </c>
      <c r="BJ508" s="100" t="e">
        <f t="shared" si="371"/>
        <v>#N/A</v>
      </c>
      <c r="BK508" s="100" t="e">
        <f t="shared" si="371"/>
        <v>#N/A</v>
      </c>
      <c r="BL508" s="100" t="e">
        <f t="shared" si="371"/>
        <v>#N/A</v>
      </c>
      <c r="BM508" s="100" t="e">
        <f t="shared" si="371"/>
        <v>#N/A</v>
      </c>
      <c r="BN508" s="100" t="e">
        <f t="shared" si="371"/>
        <v>#N/A</v>
      </c>
      <c r="BO508" s="100" t="e">
        <f t="shared" si="371"/>
        <v>#N/A</v>
      </c>
      <c r="BP508" s="100" t="e">
        <f t="shared" si="371"/>
        <v>#N/A</v>
      </c>
      <c r="BQ508" s="100" t="e">
        <f t="shared" si="371"/>
        <v>#N/A</v>
      </c>
      <c r="BR508" s="100" t="e">
        <f t="shared" si="371"/>
        <v>#N/A</v>
      </c>
      <c r="BS508" s="100" t="e">
        <f t="shared" si="371"/>
        <v>#N/A</v>
      </c>
      <c r="BT508" s="100" t="e">
        <f t="shared" si="371"/>
        <v>#N/A</v>
      </c>
      <c r="BU508" s="100" t="e">
        <f t="shared" si="371"/>
        <v>#N/A</v>
      </c>
      <c r="BV508" s="100" t="e">
        <f t="shared" si="371"/>
        <v>#N/A</v>
      </c>
      <c r="BW508" s="100" t="e">
        <f t="shared" si="371"/>
        <v>#N/A</v>
      </c>
      <c r="BX508" s="100" t="e">
        <f t="shared" si="371"/>
        <v>#N/A</v>
      </c>
      <c r="BY508" s="100" t="e">
        <f t="shared" si="371"/>
        <v>#N/A</v>
      </c>
      <c r="BZ508" s="100" t="e">
        <f t="shared" si="371"/>
        <v>#N/A</v>
      </c>
      <c r="CA508" s="100" t="e">
        <f t="shared" si="371"/>
        <v>#N/A</v>
      </c>
      <c r="CB508" s="100" t="e">
        <f t="shared" si="371"/>
        <v>#N/A</v>
      </c>
      <c r="CC508" s="100" t="e">
        <f t="shared" si="371"/>
        <v>#N/A</v>
      </c>
    </row>
    <row r="509" spans="1:84" ht="5.0999999999999996" customHeight="1" thickBot="1" x14ac:dyDescent="0.25">
      <c r="B509" s="20"/>
      <c r="C509" s="20"/>
      <c r="D509" s="20"/>
      <c r="E509" s="20"/>
      <c r="F509" s="20"/>
      <c r="G509" s="32"/>
      <c r="H509" s="32"/>
      <c r="I509" s="32"/>
    </row>
    <row r="510" spans="1:84" ht="15.75" customHeight="1" thickBot="1" x14ac:dyDescent="0.25">
      <c r="B510" s="481" t="s">
        <v>156</v>
      </c>
      <c r="C510" s="482"/>
      <c r="D510" s="482"/>
      <c r="E510" s="482"/>
      <c r="F510" s="483"/>
      <c r="G510" s="32"/>
      <c r="H510" s="32"/>
      <c r="I510" s="32"/>
      <c r="J510" s="454" t="s">
        <v>158</v>
      </c>
      <c r="K510" s="455"/>
      <c r="L510" s="455"/>
      <c r="M510" s="455"/>
      <c r="N510" s="455"/>
      <c r="O510" s="455"/>
      <c r="P510" s="455"/>
      <c r="Q510" s="455"/>
      <c r="R510" s="455"/>
      <c r="S510" s="455"/>
      <c r="T510" s="455"/>
      <c r="U510" s="455"/>
      <c r="V510" s="455"/>
      <c r="W510" s="455"/>
      <c r="X510" s="456"/>
    </row>
    <row r="511" spans="1:84" x14ac:dyDescent="0.2">
      <c r="H511" s="32"/>
      <c r="I511" s="32"/>
      <c r="J511" s="457"/>
      <c r="K511" s="458"/>
      <c r="L511" s="458"/>
      <c r="M511" s="458"/>
      <c r="N511" s="458"/>
      <c r="O511" s="458"/>
      <c r="P511" s="458"/>
      <c r="Q511" s="458"/>
      <c r="R511" s="458"/>
      <c r="S511" s="458"/>
      <c r="T511" s="458"/>
      <c r="U511" s="458"/>
      <c r="V511" s="458"/>
      <c r="W511" s="458"/>
      <c r="X511" s="459"/>
    </row>
    <row r="512" spans="1:84" x14ac:dyDescent="0.2">
      <c r="H512" s="32"/>
      <c r="I512" s="32"/>
      <c r="J512" s="457"/>
      <c r="K512" s="458"/>
      <c r="L512" s="458"/>
      <c r="M512" s="458"/>
      <c r="N512" s="458"/>
      <c r="O512" s="458"/>
      <c r="P512" s="458"/>
      <c r="Q512" s="458"/>
      <c r="R512" s="458"/>
      <c r="S512" s="458"/>
      <c r="T512" s="458"/>
      <c r="U512" s="458"/>
      <c r="V512" s="458"/>
      <c r="W512" s="458"/>
      <c r="X512" s="459"/>
    </row>
    <row r="513" spans="1:85" ht="15.75" thickBot="1" x14ac:dyDescent="0.25">
      <c r="H513" s="32"/>
      <c r="I513" s="32"/>
      <c r="J513" s="460"/>
      <c r="K513" s="461"/>
      <c r="L513" s="461"/>
      <c r="M513" s="461"/>
      <c r="N513" s="461"/>
      <c r="O513" s="461"/>
      <c r="P513" s="461"/>
      <c r="Q513" s="461"/>
      <c r="R513" s="461"/>
      <c r="S513" s="461"/>
      <c r="T513" s="461"/>
      <c r="U513" s="461"/>
      <c r="V513" s="461"/>
      <c r="W513" s="461"/>
      <c r="X513" s="462"/>
    </row>
    <row r="514" spans="1:85" ht="5.0999999999999996" customHeight="1" x14ac:dyDescent="0.2"/>
    <row r="515" spans="1:85" s="20" customFormat="1" x14ac:dyDescent="0.2">
      <c r="A515" s="427"/>
      <c r="B515" s="269" t="s">
        <v>218</v>
      </c>
      <c r="C515" s="269"/>
      <c r="D515" s="269"/>
      <c r="E515" s="269"/>
      <c r="F515" s="269"/>
      <c r="G515" s="269"/>
      <c r="H515" s="269"/>
      <c r="I515" s="269"/>
      <c r="J515" s="287"/>
      <c r="K515" s="269"/>
      <c r="L515" s="287"/>
      <c r="M515" s="269"/>
      <c r="N515" s="269"/>
      <c r="O515" s="269"/>
      <c r="P515" s="269"/>
      <c r="Q515" s="269"/>
      <c r="R515" s="269"/>
      <c r="S515" s="269"/>
      <c r="T515" s="269"/>
      <c r="U515" s="269"/>
      <c r="V515" s="269"/>
      <c r="W515" s="269"/>
      <c r="X515" s="269"/>
      <c r="Y515" s="269"/>
      <c r="Z515" s="269"/>
      <c r="AA515" s="269"/>
      <c r="AB515" s="269"/>
      <c r="AC515" s="269"/>
      <c r="AD515" s="269"/>
      <c r="AE515" s="269"/>
      <c r="AF515" s="269"/>
      <c r="AG515" s="269"/>
      <c r="AH515" s="269"/>
      <c r="AI515" s="269"/>
      <c r="AJ515" s="269"/>
      <c r="AK515" s="269"/>
      <c r="AL515" s="269"/>
      <c r="AM515" s="269"/>
      <c r="AN515" s="269"/>
      <c r="AO515" s="269"/>
      <c r="AP515" s="269"/>
      <c r="AQ515" s="269"/>
      <c r="AR515" s="269"/>
      <c r="AS515" s="269"/>
      <c r="AT515" s="269"/>
      <c r="AU515" s="269"/>
      <c r="AV515" s="269"/>
      <c r="AW515" s="269"/>
      <c r="AX515" s="269"/>
      <c r="AY515" s="269"/>
      <c r="AZ515" s="269"/>
      <c r="BA515" s="269"/>
      <c r="BB515" s="269"/>
      <c r="BC515" s="269"/>
      <c r="BD515" s="269"/>
      <c r="BE515" s="269"/>
      <c r="BF515" s="269"/>
      <c r="BG515" s="269"/>
      <c r="BH515" s="269"/>
      <c r="BI515" s="269"/>
      <c r="BJ515" s="269"/>
      <c r="BK515" s="269"/>
      <c r="BL515" s="269"/>
      <c r="BM515" s="269"/>
      <c r="BN515" s="269"/>
      <c r="BO515" s="269"/>
      <c r="BP515" s="269"/>
      <c r="BQ515" s="269"/>
      <c r="BR515" s="269"/>
      <c r="BS515" s="269"/>
      <c r="BT515" s="269"/>
      <c r="BU515" s="269"/>
      <c r="BV515" s="269"/>
      <c r="BW515" s="269"/>
      <c r="BX515" s="269"/>
      <c r="BY515" s="269"/>
      <c r="BZ515" s="269"/>
      <c r="CA515" s="269"/>
      <c r="CB515" s="269"/>
      <c r="CC515" s="269"/>
    </row>
    <row r="516" spans="1:85" ht="5.0999999999999996" customHeight="1" x14ac:dyDescent="0.2"/>
    <row r="517" spans="1:85" ht="40.5" customHeight="1" x14ac:dyDescent="0.2">
      <c r="B517" s="480" t="s">
        <v>132</v>
      </c>
      <c r="C517" s="480"/>
      <c r="D517" s="480"/>
      <c r="E517" s="322"/>
      <c r="F517" s="480" t="s">
        <v>134</v>
      </c>
      <c r="G517" s="480"/>
      <c r="H517" s="480"/>
      <c r="I517" s="322"/>
      <c r="J517" s="321" t="s">
        <v>219</v>
      </c>
      <c r="K517" s="321" t="s">
        <v>220</v>
      </c>
      <c r="L517" s="324"/>
      <c r="M517" s="325"/>
      <c r="N517" s="480" t="s">
        <v>221</v>
      </c>
      <c r="O517" s="480"/>
      <c r="P517" s="321"/>
      <c r="Q517" s="321"/>
    </row>
    <row r="518" spans="1:85" ht="5.0999999999999996" customHeight="1" thickBot="1" x14ac:dyDescent="0.25">
      <c r="L518" s="222"/>
    </row>
    <row r="519" spans="1:85" s="34" customFormat="1" ht="51.75" customHeight="1" thickBot="1" x14ac:dyDescent="0.25">
      <c r="A519" s="424"/>
      <c r="B519" s="507" t="s">
        <v>222</v>
      </c>
      <c r="C519" s="508"/>
      <c r="D519" s="509"/>
      <c r="F519" s="438"/>
      <c r="G519" s="439"/>
      <c r="H519" s="440"/>
      <c r="I519" s="381"/>
      <c r="J519" s="382" t="s">
        <v>223</v>
      </c>
      <c r="K519" s="382" t="s">
        <v>223</v>
      </c>
      <c r="L519" s="441" t="s">
        <v>158</v>
      </c>
      <c r="M519" s="442"/>
      <c r="N519" s="442"/>
      <c r="O519" s="442"/>
      <c r="P519" s="442"/>
      <c r="Q519" s="443"/>
      <c r="CF519"/>
      <c r="CG519"/>
    </row>
    <row r="520" spans="1:85" ht="5.0999999999999996" customHeight="1" thickBot="1" x14ac:dyDescent="0.25">
      <c r="B520" s="272"/>
      <c r="C520" s="272"/>
      <c r="D520" s="272"/>
      <c r="F520" s="360"/>
      <c r="G520" s="360"/>
      <c r="H520" s="360"/>
      <c r="I520" s="360"/>
      <c r="J520" s="360"/>
      <c r="K520" s="360"/>
      <c r="L520" s="383"/>
      <c r="M520" s="360"/>
      <c r="N520" s="360"/>
      <c r="O520" s="360"/>
      <c r="P520" s="360"/>
      <c r="Q520" s="360"/>
    </row>
    <row r="521" spans="1:85" s="34" customFormat="1" ht="51.75" customHeight="1" thickBot="1" x14ac:dyDescent="0.25">
      <c r="A521" s="424"/>
      <c r="B521" s="504" t="s">
        <v>224</v>
      </c>
      <c r="C521" s="505"/>
      <c r="D521" s="506"/>
      <c r="F521" s="438"/>
      <c r="G521" s="439"/>
      <c r="H521" s="440"/>
      <c r="I521" s="381"/>
      <c r="J521" s="382" t="s">
        <v>223</v>
      </c>
      <c r="K521" s="382" t="s">
        <v>223</v>
      </c>
      <c r="L521" s="441" t="s">
        <v>158</v>
      </c>
      <c r="M521" s="442"/>
      <c r="N521" s="442"/>
      <c r="O521" s="442"/>
      <c r="P521" s="442"/>
      <c r="Q521" s="443"/>
      <c r="CF521"/>
      <c r="CG521"/>
    </row>
    <row r="522" spans="1:85" ht="5.0999999999999996" customHeight="1" thickBot="1" x14ac:dyDescent="0.25">
      <c r="B522" s="272"/>
      <c r="C522" s="272"/>
      <c r="D522" s="272"/>
      <c r="F522" s="377"/>
      <c r="G522" s="377"/>
      <c r="H522" s="377"/>
      <c r="I522" s="377"/>
      <c r="J522" s="377"/>
      <c r="K522" s="377"/>
      <c r="L522" s="384"/>
      <c r="M522" s="385"/>
      <c r="N522" s="385"/>
      <c r="O522" s="384"/>
      <c r="P522" s="384"/>
      <c r="Q522" s="384"/>
    </row>
    <row r="523" spans="1:85" s="34" customFormat="1" ht="51.75" customHeight="1" thickBot="1" x14ac:dyDescent="0.25">
      <c r="A523" s="424"/>
      <c r="B523" s="504" t="s">
        <v>225</v>
      </c>
      <c r="C523" s="505"/>
      <c r="D523" s="506"/>
      <c r="F523" s="438"/>
      <c r="G523" s="439"/>
      <c r="H523" s="440"/>
      <c r="I523" s="381"/>
      <c r="J523" s="382" t="s">
        <v>223</v>
      </c>
      <c r="K523" s="382" t="s">
        <v>223</v>
      </c>
      <c r="L523" s="441" t="s">
        <v>158</v>
      </c>
      <c r="M523" s="442"/>
      <c r="N523" s="442"/>
      <c r="O523" s="442"/>
      <c r="P523" s="442"/>
      <c r="Q523" s="443"/>
      <c r="CF523"/>
      <c r="CG523"/>
    </row>
    <row r="524" spans="1:85" ht="5.0999999999999996" customHeight="1" thickBot="1" x14ac:dyDescent="0.25">
      <c r="B524" s="272"/>
      <c r="C524" s="272"/>
      <c r="D524" s="272"/>
      <c r="F524" s="377"/>
      <c r="G524" s="377"/>
      <c r="H524" s="377"/>
      <c r="I524" s="377"/>
      <c r="J524" s="386"/>
      <c r="K524" s="386"/>
      <c r="L524" s="384"/>
      <c r="M524" s="385"/>
      <c r="N524" s="385"/>
      <c r="O524" s="384"/>
      <c r="P524" s="384"/>
      <c r="Q524" s="384"/>
    </row>
    <row r="525" spans="1:85" s="34" customFormat="1" ht="51.75" customHeight="1" thickBot="1" x14ac:dyDescent="0.25">
      <c r="A525" s="424"/>
      <c r="B525" s="504" t="s">
        <v>226</v>
      </c>
      <c r="C525" s="505"/>
      <c r="D525" s="506"/>
      <c r="F525" s="438"/>
      <c r="G525" s="439"/>
      <c r="H525" s="440"/>
      <c r="I525" s="387"/>
      <c r="J525" s="382" t="s">
        <v>223</v>
      </c>
      <c r="K525" s="382" t="s">
        <v>223</v>
      </c>
      <c r="L525" s="441" t="s">
        <v>158</v>
      </c>
      <c r="M525" s="442"/>
      <c r="N525" s="442"/>
      <c r="O525" s="442"/>
      <c r="P525" s="442"/>
      <c r="Q525" s="443"/>
      <c r="CF525"/>
      <c r="CG525"/>
    </row>
    <row r="526" spans="1:85" ht="5.0999999999999996" customHeight="1" x14ac:dyDescent="0.2"/>
    <row r="527" spans="1:85" x14ac:dyDescent="0.2">
      <c r="B527" s="267" t="s">
        <v>227</v>
      </c>
      <c r="C527" s="267"/>
      <c r="D527" s="267"/>
      <c r="E527" s="267"/>
      <c r="F527" s="267"/>
      <c r="G527" s="267"/>
      <c r="H527" s="267"/>
      <c r="I527" s="267"/>
      <c r="J527" s="267"/>
      <c r="K527" s="267"/>
      <c r="L527" s="267"/>
      <c r="M527" s="267"/>
      <c r="N527" s="267"/>
      <c r="O527" s="267"/>
      <c r="P527" s="267"/>
      <c r="Q527" s="267"/>
      <c r="R527" s="267"/>
      <c r="S527" s="267"/>
      <c r="T527" s="267"/>
      <c r="U527" s="267"/>
      <c r="V527" s="267"/>
      <c r="W527" s="267"/>
      <c r="X527" s="267"/>
      <c r="Y527" s="267"/>
      <c r="Z527" s="267"/>
      <c r="AA527" s="267"/>
      <c r="AB527" s="267"/>
      <c r="AC527" s="267"/>
      <c r="AD527" s="267"/>
      <c r="AE527" s="267"/>
      <c r="AF527" s="267"/>
      <c r="AG527" s="267"/>
      <c r="AH527" s="267"/>
      <c r="AI527" s="267"/>
      <c r="AJ527" s="267"/>
      <c r="AK527" s="267"/>
      <c r="AL527" s="267"/>
      <c r="AM527" s="267"/>
      <c r="AN527" s="267"/>
      <c r="AO527" s="267"/>
      <c r="AP527" s="267"/>
      <c r="AQ527" s="267"/>
      <c r="AR527" s="267"/>
      <c r="AS527" s="267"/>
      <c r="AT527" s="267"/>
      <c r="AU527" s="267"/>
      <c r="AV527" s="267"/>
      <c r="AW527" s="267"/>
      <c r="AX527" s="267"/>
      <c r="AY527" s="267"/>
      <c r="AZ527" s="267"/>
      <c r="BA527" s="267"/>
      <c r="BB527" s="267"/>
      <c r="BC527" s="267"/>
      <c r="BD527" s="267"/>
      <c r="BE527" s="267"/>
      <c r="BF527" s="267"/>
      <c r="BG527" s="267"/>
      <c r="BH527" s="267"/>
      <c r="BI527" s="267"/>
      <c r="BJ527" s="267"/>
      <c r="BK527" s="267"/>
      <c r="BL527" s="267"/>
      <c r="BM527" s="267"/>
      <c r="BN527" s="267"/>
      <c r="BO527" s="267"/>
      <c r="BP527" s="267"/>
      <c r="BQ527" s="267"/>
      <c r="BR527" s="267"/>
      <c r="BS527" s="267"/>
      <c r="BT527" s="267"/>
      <c r="BU527" s="267"/>
      <c r="BV527" s="267"/>
      <c r="BW527" s="267"/>
      <c r="BX527" s="267"/>
      <c r="BY527" s="267"/>
      <c r="BZ527" s="267"/>
      <c r="CA527" s="267"/>
      <c r="CB527" s="267"/>
      <c r="CC527" s="267"/>
    </row>
    <row r="528" spans="1:85" ht="5.0999999999999996" customHeight="1" x14ac:dyDescent="0.2"/>
    <row r="529" spans="1:87" s="20" customFormat="1" x14ac:dyDescent="0.2">
      <c r="A529" s="427"/>
      <c r="B529" s="269" t="s">
        <v>228</v>
      </c>
      <c r="C529" s="269"/>
      <c r="D529" s="269"/>
      <c r="E529" s="269"/>
      <c r="F529" s="269"/>
      <c r="G529" s="269"/>
      <c r="H529" s="269"/>
      <c r="I529" s="269"/>
      <c r="J529" s="287"/>
      <c r="K529" s="269"/>
      <c r="L529" s="287"/>
      <c r="M529" s="269"/>
      <c r="N529" s="269"/>
      <c r="O529" s="269"/>
      <c r="P529" s="269"/>
      <c r="Q529" s="269"/>
      <c r="R529" s="269"/>
      <c r="S529" s="269"/>
      <c r="T529" s="269"/>
      <c r="U529" s="269"/>
      <c r="V529" s="269"/>
      <c r="W529" s="269"/>
      <c r="X529" s="269"/>
      <c r="Y529" s="269"/>
      <c r="Z529" s="269"/>
      <c r="AA529" s="269"/>
      <c r="AB529" s="269"/>
      <c r="AC529" s="269"/>
      <c r="AD529" s="269"/>
      <c r="AE529" s="269"/>
      <c r="AF529" s="269"/>
      <c r="AG529" s="269"/>
      <c r="AH529" s="269"/>
      <c r="AI529" s="269"/>
      <c r="AJ529" s="269"/>
      <c r="AK529" s="269"/>
      <c r="AL529" s="269"/>
      <c r="AM529" s="269"/>
      <c r="AN529" s="269"/>
      <c r="AO529" s="269"/>
      <c r="AP529" s="269"/>
      <c r="AQ529" s="269"/>
      <c r="AR529" s="269"/>
      <c r="AS529" s="269"/>
      <c r="AT529" s="269"/>
      <c r="AU529" s="269"/>
      <c r="AV529" s="269"/>
      <c r="AW529" s="269"/>
      <c r="AX529" s="269"/>
      <c r="AY529" s="269"/>
      <c r="AZ529" s="269"/>
      <c r="BA529" s="269"/>
      <c r="BB529" s="269"/>
      <c r="BC529" s="269"/>
      <c r="BD529" s="269"/>
      <c r="BE529" s="269"/>
      <c r="BF529" s="269"/>
      <c r="BG529" s="269"/>
      <c r="BH529" s="269"/>
      <c r="BI529" s="269"/>
      <c r="BJ529" s="269"/>
      <c r="BK529" s="269"/>
      <c r="BL529" s="269"/>
      <c r="BM529" s="269"/>
      <c r="BN529" s="269"/>
      <c r="BO529" s="269"/>
      <c r="BP529" s="269"/>
      <c r="BQ529" s="269"/>
      <c r="BR529" s="269"/>
      <c r="BS529" s="269"/>
      <c r="BT529" s="269"/>
      <c r="BU529" s="269"/>
      <c r="BV529" s="269"/>
      <c r="BW529" s="269"/>
      <c r="BX529" s="269"/>
      <c r="BY529" s="269"/>
      <c r="BZ529" s="269"/>
      <c r="CA529" s="269"/>
      <c r="CB529" s="269"/>
      <c r="CC529" s="269"/>
    </row>
    <row r="530" spans="1:87" ht="5.0999999999999996" customHeight="1" thickBot="1" x14ac:dyDescent="0.25">
      <c r="Q530" s="120"/>
    </row>
    <row r="531" spans="1:87" ht="34.700000000000003" customHeight="1" thickBot="1" x14ac:dyDescent="0.25">
      <c r="F531" s="286" t="s">
        <v>229</v>
      </c>
      <c r="G531" s="69"/>
      <c r="H531" s="219"/>
      <c r="J531" s="229">
        <f>+Calendarios!B17</f>
        <v>36891</v>
      </c>
      <c r="K531" s="229">
        <f>+Calendarios!C17</f>
        <v>37256</v>
      </c>
      <c r="L531" s="229">
        <f>+Calendarios!D17</f>
        <v>37621</v>
      </c>
      <c r="M531" s="229">
        <f>+Calendarios!E17</f>
        <v>37986</v>
      </c>
      <c r="N531" s="229">
        <f>+Calendarios!F17</f>
        <v>38352</v>
      </c>
      <c r="P531" s="28"/>
      <c r="R531" s="333"/>
    </row>
    <row r="532" spans="1:87" ht="5.0999999999999996" customHeight="1" thickBot="1" x14ac:dyDescent="0.25">
      <c r="H532" s="219"/>
      <c r="J532" s="32"/>
      <c r="K532" s="32">
        <v>13</v>
      </c>
      <c r="L532" s="32">
        <v>25</v>
      </c>
      <c r="M532" s="32">
        <v>37</v>
      </c>
      <c r="N532" s="32">
        <v>49</v>
      </c>
    </row>
    <row r="533" spans="1:87" ht="15.75" thickBot="1" x14ac:dyDescent="0.25">
      <c r="B533" s="274" t="s">
        <v>230</v>
      </c>
      <c r="C533" s="78"/>
      <c r="D533" s="79"/>
      <c r="F533" s="220" t="e">
        <f>+F150</f>
        <v>#N/A</v>
      </c>
      <c r="G533" s="219"/>
      <c r="H533" s="219"/>
      <c r="I533" s="20"/>
      <c r="J533" s="107" t="e">
        <f>+J150</f>
        <v>#N/A</v>
      </c>
      <c r="K533" s="107" t="e">
        <f>+V150</f>
        <v>#N/A</v>
      </c>
      <c r="L533" s="107" t="e">
        <f>+L150</f>
        <v>#N/A</v>
      </c>
      <c r="M533" s="107" t="e">
        <f>+M150</f>
        <v>#N/A</v>
      </c>
      <c r="N533" s="107" t="e">
        <f>+N150</f>
        <v>#N/A</v>
      </c>
    </row>
    <row r="534" spans="1:87" ht="5.0999999999999996" customHeight="1" thickBot="1" x14ac:dyDescent="0.25">
      <c r="B534" s="20"/>
      <c r="H534" s="219"/>
      <c r="J534" s="32"/>
      <c r="L534" s="32"/>
      <c r="M534" s="32"/>
      <c r="N534" s="32"/>
    </row>
    <row r="535" spans="1:87" ht="34.700000000000003" customHeight="1" thickBot="1" x14ac:dyDescent="0.25">
      <c r="B535" s="20"/>
      <c r="F535" s="286" t="s">
        <v>231</v>
      </c>
      <c r="G535" s="69"/>
      <c r="H535" s="219"/>
      <c r="J535" s="419"/>
      <c r="K535" s="419"/>
      <c r="L535" s="419"/>
      <c r="M535" s="419"/>
      <c r="N535" s="419"/>
      <c r="Q535" s="22"/>
      <c r="R535" s="244"/>
    </row>
    <row r="536" spans="1:87" ht="5.0999999999999996" customHeight="1" thickBot="1" x14ac:dyDescent="0.25">
      <c r="B536" s="20"/>
      <c r="H536" s="219"/>
      <c r="J536" s="32"/>
      <c r="K536" s="32">
        <v>13</v>
      </c>
      <c r="L536" s="32">
        <v>25</v>
      </c>
      <c r="M536" s="32">
        <v>37</v>
      </c>
      <c r="N536" s="32">
        <v>49</v>
      </c>
    </row>
    <row r="537" spans="1:87" ht="15.75" thickBot="1" x14ac:dyDescent="0.25">
      <c r="B537" s="274" t="s">
        <v>232</v>
      </c>
      <c r="C537" s="78"/>
      <c r="D537" s="79"/>
      <c r="F537" s="219"/>
      <c r="G537" s="219"/>
      <c r="H537" s="219"/>
      <c r="I537" s="20"/>
      <c r="J537" s="107" t="e">
        <f>HLOOKUP(J535,'IPIM y USD'!$C$7:$KV$8,2,FALSE)</f>
        <v>#N/A</v>
      </c>
      <c r="K537" s="107" t="e">
        <f>HLOOKUP(K535,'IPIM y USD'!$C$7:$KV$8,2,FALSE)</f>
        <v>#N/A</v>
      </c>
      <c r="L537" s="107" t="e">
        <f>HLOOKUP(L535,'IPIM y USD'!$C$7:$KV$8,2,FALSE)</f>
        <v>#N/A</v>
      </c>
      <c r="M537" s="107" t="e">
        <f>HLOOKUP(M535,'IPIM y USD'!$C$7:$KV$8,2,FALSE)</f>
        <v>#N/A</v>
      </c>
      <c r="N537" s="107" t="e">
        <f>HLOOKUP(N535,'IPIM y USD'!$C$7:$KV$8,2,FALSE)</f>
        <v>#N/A</v>
      </c>
    </row>
    <row r="538" spans="1:87" ht="5.0999999999999996" customHeight="1" x14ac:dyDescent="0.2">
      <c r="B538" s="32"/>
      <c r="C538" s="32"/>
      <c r="D538" s="32"/>
      <c r="F538" s="20"/>
      <c r="G538" s="20"/>
      <c r="H538" s="20"/>
      <c r="I538" s="20"/>
      <c r="J538" s="80"/>
      <c r="K538" s="80"/>
      <c r="L538" s="80"/>
      <c r="M538" s="80"/>
      <c r="N538" s="80"/>
    </row>
    <row r="539" spans="1:87" s="20" customFormat="1" x14ac:dyDescent="0.2">
      <c r="A539" s="427"/>
      <c r="B539" s="269" t="s">
        <v>233</v>
      </c>
      <c r="C539" s="269"/>
      <c r="D539" s="269"/>
      <c r="E539" s="269"/>
      <c r="F539" s="269"/>
      <c r="G539" s="269"/>
      <c r="H539" s="269"/>
      <c r="I539" s="269"/>
      <c r="J539" s="287"/>
      <c r="K539" s="269"/>
      <c r="L539" s="287"/>
      <c r="M539" s="269"/>
      <c r="N539" s="269"/>
      <c r="O539" s="269"/>
      <c r="P539" s="269"/>
      <c r="Q539" s="269"/>
      <c r="R539" s="269"/>
      <c r="S539" s="269"/>
      <c r="T539" s="269"/>
      <c r="U539" s="269"/>
      <c r="V539" s="269"/>
      <c r="W539" s="269"/>
      <c r="X539" s="269"/>
      <c r="Y539" s="269"/>
      <c r="Z539" s="269"/>
      <c r="AA539" s="269"/>
      <c r="AB539" s="269"/>
      <c r="AC539" s="269"/>
      <c r="AD539" s="269"/>
      <c r="AE539" s="269"/>
      <c r="AF539" s="269"/>
      <c r="AG539" s="269"/>
      <c r="AH539" s="269"/>
      <c r="AI539" s="269"/>
      <c r="AJ539" s="269"/>
      <c r="AK539" s="269"/>
      <c r="AL539" s="269"/>
      <c r="AM539" s="269"/>
      <c r="AN539" s="269"/>
      <c r="AO539" s="269"/>
      <c r="AP539" s="269"/>
      <c r="AQ539" s="269"/>
      <c r="AR539" s="269"/>
      <c r="AS539" s="269"/>
      <c r="AT539" s="269"/>
      <c r="AU539" s="269"/>
      <c r="AV539" s="269"/>
      <c r="AW539" s="269"/>
      <c r="AX539" s="269"/>
      <c r="AY539" s="269"/>
      <c r="AZ539" s="269"/>
      <c r="BA539" s="269"/>
      <c r="BB539" s="269"/>
      <c r="BC539" s="269"/>
      <c r="BD539" s="269"/>
      <c r="BE539" s="269"/>
      <c r="BF539" s="269"/>
      <c r="BG539" s="269"/>
      <c r="BH539" s="269"/>
      <c r="BI539" s="269"/>
      <c r="BJ539" s="269"/>
      <c r="BK539" s="269"/>
      <c r="BL539" s="269"/>
      <c r="BM539" s="269"/>
      <c r="BN539" s="269"/>
      <c r="BO539" s="269"/>
      <c r="BP539" s="269"/>
      <c r="BQ539" s="269"/>
      <c r="BR539" s="269"/>
      <c r="BS539" s="269"/>
      <c r="BT539" s="269"/>
      <c r="BU539" s="269"/>
      <c r="BV539" s="269"/>
      <c r="BW539" s="269"/>
      <c r="BX539" s="269"/>
      <c r="BY539" s="269"/>
      <c r="BZ539" s="269"/>
      <c r="CA539" s="269"/>
      <c r="CB539" s="269"/>
      <c r="CC539" s="269"/>
    </row>
    <row r="540" spans="1:87" ht="5.0999999999999996" customHeight="1" thickBot="1" x14ac:dyDescent="0.25">
      <c r="K540" s="2"/>
    </row>
    <row r="541" spans="1:87" s="32" customFormat="1" ht="17.25" customHeight="1" thickBot="1" x14ac:dyDescent="0.25">
      <c r="A541" s="185"/>
      <c r="B541" s="484" t="s">
        <v>234</v>
      </c>
      <c r="C541" s="484"/>
      <c r="D541" s="484"/>
      <c r="E541" s="484"/>
      <c r="F541" s="484"/>
      <c r="H541"/>
      <c r="J541" s="233">
        <f>+J531</f>
        <v>36891</v>
      </c>
      <c r="K541" s="233">
        <f t="shared" ref="K541:N541" si="372">+K531</f>
        <v>37256</v>
      </c>
      <c r="L541" s="233">
        <f t="shared" si="372"/>
        <v>37621</v>
      </c>
      <c r="M541" s="233">
        <f t="shared" si="372"/>
        <v>37986</v>
      </c>
      <c r="N541" s="233">
        <f t="shared" si="372"/>
        <v>38352</v>
      </c>
      <c r="O541"/>
      <c r="P541" s="327" t="s">
        <v>235</v>
      </c>
      <c r="Q541" s="334"/>
      <c r="R541" s="334"/>
      <c r="S541" s="334"/>
      <c r="T541" s="335"/>
      <c r="U541"/>
      <c r="V541"/>
      <c r="CE541"/>
      <c r="CF541"/>
      <c r="CG541"/>
      <c r="CH541"/>
      <c r="CI541"/>
    </row>
    <row r="542" spans="1:87" ht="5.0999999999999996" customHeight="1" thickBot="1" x14ac:dyDescent="0.25">
      <c r="B542" s="20"/>
      <c r="C542" s="20"/>
      <c r="D542" s="20"/>
      <c r="E542" s="20"/>
      <c r="F542" s="20"/>
      <c r="P542" s="328"/>
      <c r="Q542" s="336"/>
      <c r="R542" s="336"/>
      <c r="S542" s="336"/>
      <c r="T542" s="337"/>
    </row>
    <row r="543" spans="1:87" ht="30" customHeight="1" thickBot="1" x14ac:dyDescent="0.25">
      <c r="B543" s="481" t="s">
        <v>236</v>
      </c>
      <c r="C543" s="482"/>
      <c r="D543" s="482"/>
      <c r="E543" s="482"/>
      <c r="F543" s="483"/>
      <c r="H543" s="388" t="s">
        <v>237</v>
      </c>
      <c r="I543" s="80"/>
      <c r="J543" s="389">
        <v>0</v>
      </c>
      <c r="K543" s="389">
        <v>0</v>
      </c>
      <c r="L543" s="389">
        <v>0</v>
      </c>
      <c r="M543" s="389">
        <v>0</v>
      </c>
      <c r="N543" s="389">
        <v>0</v>
      </c>
      <c r="O543" s="235"/>
      <c r="P543" s="329" t="s">
        <v>238</v>
      </c>
      <c r="Q543" s="336"/>
      <c r="R543" s="336"/>
      <c r="S543" s="336"/>
      <c r="T543" s="337"/>
    </row>
    <row r="544" spans="1:87" ht="5.0999999999999996" customHeight="1" thickBot="1" x14ac:dyDescent="0.25">
      <c r="B544" s="20"/>
      <c r="C544" s="20"/>
      <c r="D544" s="20"/>
      <c r="E544" s="20"/>
      <c r="F544" s="20"/>
      <c r="H544" s="360"/>
      <c r="I544" s="80"/>
      <c r="J544" s="237"/>
      <c r="K544" s="237"/>
      <c r="L544" s="237"/>
      <c r="M544" s="237"/>
      <c r="N544" s="237"/>
      <c r="P544" s="328"/>
      <c r="Q544" s="336"/>
      <c r="R544" s="336"/>
      <c r="S544" s="336"/>
      <c r="T544" s="337"/>
    </row>
    <row r="545" spans="1:87" ht="30" customHeight="1" thickBot="1" x14ac:dyDescent="0.25">
      <c r="B545" s="481" t="s">
        <v>239</v>
      </c>
      <c r="C545" s="482"/>
      <c r="D545" s="482"/>
      <c r="E545" s="482"/>
      <c r="F545" s="483"/>
      <c r="H545" s="388" t="s">
        <v>237</v>
      </c>
      <c r="I545" s="80"/>
      <c r="J545" s="205" t="e">
        <f>+J543*$F$533/J537</f>
        <v>#N/A</v>
      </c>
      <c r="K545" s="205" t="e">
        <f>+K543*$F$533/K537</f>
        <v>#N/A</v>
      </c>
      <c r="L545" s="205" t="e">
        <f>+L543*$F$533/L537</f>
        <v>#N/A</v>
      </c>
      <c r="M545" s="205" t="e">
        <f>+M543*$F$533/M537</f>
        <v>#N/A</v>
      </c>
      <c r="N545" s="205" t="e">
        <f t="shared" ref="N545" si="373">+N543*$F$533/N537</f>
        <v>#N/A</v>
      </c>
      <c r="P545" s="330" t="s">
        <v>240</v>
      </c>
      <c r="Q545" s="338"/>
      <c r="R545" s="338"/>
      <c r="S545" s="338"/>
      <c r="T545" s="339"/>
    </row>
    <row r="546" spans="1:87" ht="5.0999999999999996" customHeight="1" thickBot="1" x14ac:dyDescent="0.25">
      <c r="I546" s="80"/>
      <c r="J546" s="237"/>
      <c r="K546" s="237"/>
      <c r="L546" s="237"/>
      <c r="M546" s="237"/>
      <c r="N546" s="237"/>
    </row>
    <row r="547" spans="1:87" s="32" customFormat="1" ht="17.25" customHeight="1" thickBot="1" x14ac:dyDescent="0.25">
      <c r="A547" s="185"/>
      <c r="B547" s="491"/>
      <c r="C547" s="491"/>
      <c r="D547" s="491"/>
      <c r="E547" s="491"/>
      <c r="F547" s="491"/>
      <c r="H547"/>
      <c r="J547" s="326"/>
      <c r="K547" s="326"/>
      <c r="L547" s="326"/>
      <c r="M547" s="326"/>
      <c r="N547" s="326"/>
      <c r="O547"/>
      <c r="P547"/>
      <c r="Q547"/>
      <c r="R547"/>
      <c r="S547"/>
      <c r="T547"/>
      <c r="U547"/>
      <c r="V547"/>
      <c r="W547"/>
      <c r="CE547"/>
      <c r="CF547"/>
      <c r="CG547"/>
      <c r="CH547"/>
      <c r="CI547"/>
    </row>
    <row r="548" spans="1:87" ht="5.0999999999999996" customHeight="1" thickBot="1" x14ac:dyDescent="0.25">
      <c r="F548" s="32"/>
    </row>
    <row r="549" spans="1:87" ht="30" customHeight="1" thickBot="1" x14ac:dyDescent="0.25">
      <c r="B549" s="481" t="s">
        <v>241</v>
      </c>
      <c r="C549" s="482"/>
      <c r="D549" s="482"/>
      <c r="E549" s="482"/>
      <c r="F549" s="482"/>
      <c r="G549" s="482"/>
      <c r="H549" s="483"/>
      <c r="I549" s="80"/>
      <c r="J549" s="389">
        <v>0</v>
      </c>
      <c r="K549" s="389">
        <v>0</v>
      </c>
      <c r="L549" s="389">
        <v>0</v>
      </c>
      <c r="M549" s="389">
        <v>0</v>
      </c>
      <c r="N549" s="389">
        <v>0</v>
      </c>
      <c r="O549" s="235"/>
    </row>
    <row r="550" spans="1:87" ht="5.0999999999999996" customHeight="1" thickBot="1" x14ac:dyDescent="0.25">
      <c r="B550" s="20"/>
      <c r="C550" s="20"/>
      <c r="D550" s="20"/>
      <c r="E550" s="20"/>
      <c r="F550" s="20"/>
      <c r="G550" s="20"/>
      <c r="H550" s="20"/>
      <c r="I550" s="80"/>
      <c r="J550" s="237"/>
      <c r="K550" s="237"/>
      <c r="L550" s="237"/>
      <c r="M550" s="237"/>
      <c r="N550" s="237"/>
      <c r="O550" s="235"/>
    </row>
    <row r="551" spans="1:87" ht="30" customHeight="1" thickBot="1" x14ac:dyDescent="0.25">
      <c r="B551" s="481" t="s">
        <v>242</v>
      </c>
      <c r="C551" s="482"/>
      <c r="D551" s="482"/>
      <c r="E551" s="482"/>
      <c r="F551" s="482"/>
      <c r="G551" s="482"/>
      <c r="H551" s="483"/>
      <c r="I551" s="80"/>
      <c r="J551" s="205" t="e">
        <f>+J549*$F$533/J537</f>
        <v>#N/A</v>
      </c>
      <c r="K551" s="205" t="e">
        <f t="shared" ref="K551:N551" si="374">+K549*$F$533/K537</f>
        <v>#N/A</v>
      </c>
      <c r="L551" s="205" t="e">
        <f t="shared" si="374"/>
        <v>#N/A</v>
      </c>
      <c r="M551" s="205" t="e">
        <f t="shared" si="374"/>
        <v>#N/A</v>
      </c>
      <c r="N551" s="205" t="e">
        <f t="shared" si="374"/>
        <v>#N/A</v>
      </c>
      <c r="O551" s="235"/>
    </row>
    <row r="552" spans="1:87" ht="5.0999999999999996" customHeight="1" thickBot="1" x14ac:dyDescent="0.25">
      <c r="B552" s="20"/>
      <c r="C552" s="20"/>
      <c r="D552" s="20"/>
      <c r="E552" s="20"/>
      <c r="F552" s="20"/>
      <c r="G552" s="20"/>
      <c r="H552" s="20"/>
      <c r="J552" s="239"/>
      <c r="K552" s="239"/>
      <c r="L552" s="239"/>
      <c r="M552" s="239"/>
      <c r="N552" s="239"/>
      <c r="O552" s="235"/>
    </row>
    <row r="553" spans="1:87" ht="24.95" customHeight="1" thickBot="1" x14ac:dyDescent="0.25">
      <c r="B553" s="492" t="s">
        <v>243</v>
      </c>
      <c r="C553" s="493"/>
      <c r="D553" s="493"/>
      <c r="E553" s="493"/>
      <c r="F553" s="493"/>
      <c r="G553" s="493"/>
      <c r="H553" s="494"/>
      <c r="I553" s="2"/>
      <c r="J553" s="317" t="e">
        <f>+J551-J545</f>
        <v>#N/A</v>
      </c>
      <c r="K553" s="317" t="e">
        <f>+K551-K545</f>
        <v>#N/A</v>
      </c>
      <c r="L553" s="317" t="e">
        <f>+L551-L545</f>
        <v>#N/A</v>
      </c>
      <c r="M553" s="317" t="e">
        <f>+M551-M545</f>
        <v>#N/A</v>
      </c>
      <c r="N553" s="317" t="e">
        <f>+N551-N545</f>
        <v>#N/A</v>
      </c>
      <c r="O553" s="235"/>
    </row>
    <row r="554" spans="1:87" ht="5.0999999999999996" customHeight="1" thickBot="1" x14ac:dyDescent="0.25">
      <c r="O554" s="235"/>
    </row>
    <row r="555" spans="1:87" ht="15" customHeight="1" thickBot="1" x14ac:dyDescent="0.25">
      <c r="B555" s="495" t="s">
        <v>156</v>
      </c>
      <c r="C555" s="496"/>
      <c r="D555" s="496"/>
      <c r="E555" s="496"/>
      <c r="F555" s="497"/>
      <c r="H555" s="445" t="s">
        <v>158</v>
      </c>
      <c r="I555" s="446"/>
      <c r="J555" s="446"/>
      <c r="K555" s="446"/>
      <c r="L555" s="446"/>
      <c r="M555" s="446"/>
      <c r="N555" s="447"/>
    </row>
    <row r="556" spans="1:87" ht="28.5" customHeight="1" x14ac:dyDescent="0.2">
      <c r="H556" s="448"/>
      <c r="I556" s="449"/>
      <c r="J556" s="449"/>
      <c r="K556" s="449"/>
      <c r="L556" s="449"/>
      <c r="M556" s="449"/>
      <c r="N556" s="450"/>
    </row>
    <row r="557" spans="1:87" ht="28.5" customHeight="1" thickBot="1" x14ac:dyDescent="0.25">
      <c r="H557" s="451"/>
      <c r="I557" s="452"/>
      <c r="J557" s="452"/>
      <c r="K557" s="452"/>
      <c r="L557" s="452"/>
      <c r="M557" s="452"/>
      <c r="N557" s="453"/>
    </row>
    <row r="558" spans="1:87" ht="5.0999999999999996" customHeight="1" x14ac:dyDescent="0.2"/>
    <row r="559" spans="1:87" s="20" customFormat="1" x14ac:dyDescent="0.2">
      <c r="A559" s="427"/>
      <c r="B559" s="269" t="s">
        <v>244</v>
      </c>
      <c r="C559" s="269"/>
      <c r="D559" s="269"/>
      <c r="E559" s="269"/>
      <c r="F559" s="269"/>
      <c r="G559" s="269"/>
      <c r="H559" s="269"/>
      <c r="I559" s="269"/>
      <c r="J559" s="287"/>
      <c r="K559" s="269"/>
      <c r="L559" s="287"/>
      <c r="M559" s="269"/>
      <c r="N559" s="269"/>
      <c r="O559" s="269"/>
      <c r="P559" s="269"/>
      <c r="Q559" s="269"/>
      <c r="R559" s="269"/>
      <c r="S559" s="269"/>
      <c r="T559" s="269"/>
      <c r="U559" s="269"/>
      <c r="V559" s="269"/>
      <c r="W559" s="269"/>
      <c r="X559" s="269"/>
      <c r="Y559" s="269"/>
      <c r="Z559" s="269"/>
      <c r="AA559" s="269"/>
      <c r="AB559" s="269"/>
      <c r="AC559" s="269"/>
      <c r="AD559" s="269"/>
      <c r="AE559" s="269"/>
      <c r="AF559" s="269"/>
      <c r="AG559" s="269"/>
      <c r="AH559" s="269"/>
      <c r="AI559" s="269"/>
      <c r="AJ559" s="269"/>
      <c r="AK559" s="269"/>
      <c r="AL559" s="269"/>
      <c r="AM559" s="269"/>
      <c r="AN559" s="269"/>
      <c r="AO559" s="269"/>
      <c r="AP559" s="269"/>
      <c r="AQ559" s="269"/>
      <c r="AR559" s="269"/>
      <c r="AS559" s="269"/>
      <c r="AT559" s="269"/>
      <c r="AU559" s="269"/>
      <c r="AV559" s="269"/>
      <c r="AW559" s="269"/>
      <c r="AX559" s="269"/>
      <c r="AY559" s="269"/>
      <c r="AZ559" s="269"/>
      <c r="BA559" s="269"/>
      <c r="BB559" s="269"/>
      <c r="BC559" s="269"/>
      <c r="BD559" s="269"/>
      <c r="BE559" s="269"/>
      <c r="BF559" s="269"/>
      <c r="BG559" s="269"/>
      <c r="BH559" s="269"/>
      <c r="BI559" s="269"/>
      <c r="BJ559" s="269"/>
      <c r="BK559" s="269"/>
      <c r="BL559" s="269"/>
      <c r="BM559" s="269"/>
      <c r="BN559" s="269"/>
      <c r="BO559" s="269"/>
      <c r="BP559" s="269"/>
      <c r="BQ559" s="269"/>
      <c r="BR559" s="269"/>
      <c r="BS559" s="269"/>
      <c r="BT559" s="269"/>
      <c r="BU559" s="269"/>
      <c r="BV559" s="269"/>
      <c r="BW559" s="269"/>
      <c r="BX559" s="269"/>
      <c r="BY559" s="269"/>
      <c r="BZ559" s="269"/>
      <c r="CA559" s="269"/>
      <c r="CB559" s="269"/>
      <c r="CC559" s="269"/>
    </row>
    <row r="560" spans="1:87" s="34" customFormat="1" ht="5.0999999999999996" customHeight="1" thickBot="1" x14ac:dyDescent="0.25">
      <c r="A560" s="424"/>
      <c r="F560" s="215"/>
      <c r="J560"/>
      <c r="K560" s="2"/>
      <c r="L560"/>
      <c r="M560"/>
      <c r="N560"/>
      <c r="Q560" s="245"/>
      <c r="R560"/>
      <c r="S560"/>
      <c r="T560"/>
      <c r="U560"/>
      <c r="V560"/>
      <c r="W560"/>
      <c r="X560"/>
      <c r="Y560"/>
      <c r="Z560"/>
      <c r="AA560"/>
      <c r="AB560"/>
      <c r="AC560"/>
      <c r="AD560"/>
      <c r="AE560"/>
      <c r="AF560"/>
      <c r="AG560"/>
      <c r="AH560"/>
      <c r="AI560"/>
      <c r="AJ560"/>
      <c r="AK560"/>
      <c r="AL560"/>
      <c r="AM560"/>
      <c r="AN560"/>
      <c r="AO560"/>
      <c r="AP560"/>
      <c r="AQ560"/>
      <c r="AR560"/>
      <c r="AS560"/>
      <c r="AT560"/>
      <c r="AU560"/>
      <c r="AV560"/>
      <c r="AW560"/>
      <c r="AX560"/>
      <c r="AY560"/>
      <c r="AZ560"/>
      <c r="BA560"/>
      <c r="BB560"/>
      <c r="BC560"/>
      <c r="BD560"/>
      <c r="BE560"/>
      <c r="BF560"/>
      <c r="BG560"/>
      <c r="BH560"/>
      <c r="BI560"/>
      <c r="BJ560"/>
      <c r="BK560"/>
      <c r="BL560"/>
      <c r="BM560"/>
      <c r="BN560"/>
      <c r="BO560"/>
      <c r="BP560"/>
      <c r="BQ560"/>
      <c r="BR560"/>
      <c r="BS560"/>
      <c r="BT560"/>
      <c r="BU560"/>
      <c r="BV560"/>
      <c r="BW560"/>
      <c r="BX560"/>
      <c r="BY560"/>
      <c r="BZ560"/>
      <c r="CA560"/>
      <c r="CB560"/>
      <c r="CC560"/>
      <c r="CD560"/>
      <c r="CE560"/>
    </row>
    <row r="561" spans="1:87" s="32" customFormat="1" ht="24.95" customHeight="1" thickBot="1" x14ac:dyDescent="0.25">
      <c r="A561" s="185"/>
      <c r="B561" s="498" t="s">
        <v>234</v>
      </c>
      <c r="C561" s="498"/>
      <c r="D561" s="498"/>
      <c r="E561" s="323"/>
      <c r="F561" s="499" t="s">
        <v>245</v>
      </c>
      <c r="G561" s="500"/>
      <c r="H561" s="501"/>
      <c r="J561" s="331">
        <f>+J547</f>
        <v>0</v>
      </c>
      <c r="K561" s="331">
        <f t="shared" ref="K561:N561" si="375">+K547</f>
        <v>0</v>
      </c>
      <c r="L561" s="331">
        <f t="shared" si="375"/>
        <v>0</v>
      </c>
      <c r="M561" s="331">
        <f t="shared" si="375"/>
        <v>0</v>
      </c>
      <c r="N561" s="331">
        <f t="shared" si="375"/>
        <v>0</v>
      </c>
      <c r="O561" s="502" t="s">
        <v>148</v>
      </c>
      <c r="P561" s="503"/>
      <c r="Q561" s="503"/>
      <c r="R561"/>
      <c r="S561"/>
      <c r="T561"/>
      <c r="U561"/>
      <c r="V561"/>
      <c r="W561"/>
      <c r="X561"/>
      <c r="Y561"/>
      <c r="Z561"/>
      <c r="AA561"/>
      <c r="AB561"/>
      <c r="AC561"/>
      <c r="AD561"/>
      <c r="AE561"/>
      <c r="AF561"/>
      <c r="AG561"/>
      <c r="AH561"/>
      <c r="AI561"/>
      <c r="AJ561"/>
      <c r="AK561"/>
      <c r="AL561"/>
      <c r="AM561"/>
      <c r="AN561"/>
      <c r="AO561"/>
      <c r="AP561"/>
      <c r="AQ561"/>
      <c r="AR561"/>
      <c r="AS561"/>
      <c r="AT561"/>
      <c r="AU561"/>
      <c r="AV561"/>
      <c r="AW561"/>
      <c r="AX561"/>
      <c r="AY561"/>
      <c r="AZ561"/>
      <c r="BA561"/>
      <c r="BB561"/>
      <c r="BC561"/>
      <c r="BD561"/>
      <c r="BE561"/>
      <c r="BF561"/>
      <c r="BG561"/>
      <c r="BH561"/>
      <c r="BI561"/>
      <c r="BJ561"/>
      <c r="BK561"/>
      <c r="BL561"/>
      <c r="BM561"/>
      <c r="BN561"/>
      <c r="BO561"/>
      <c r="BP561"/>
      <c r="BQ561"/>
      <c r="BR561"/>
      <c r="BS561"/>
      <c r="BT561"/>
      <c r="BU561"/>
      <c r="BV561"/>
      <c r="BW561"/>
      <c r="BX561"/>
      <c r="BY561"/>
      <c r="BZ561"/>
      <c r="CA561"/>
      <c r="CB561"/>
      <c r="CC561"/>
      <c r="CD561"/>
      <c r="CE561"/>
    </row>
    <row r="562" spans="1:87" ht="5.0999999999999996" customHeight="1" thickBot="1" x14ac:dyDescent="0.25">
      <c r="F562" s="32"/>
      <c r="CF562" s="32"/>
      <c r="CG562" s="32"/>
      <c r="CH562" s="32"/>
      <c r="CI562" s="32"/>
    </row>
    <row r="563" spans="1:87" ht="43.5" customHeight="1" thickBot="1" x14ac:dyDescent="0.25">
      <c r="B563" s="481" t="s">
        <v>246</v>
      </c>
      <c r="C563" s="482"/>
      <c r="D563" s="483"/>
      <c r="F563" s="390" t="s">
        <v>247</v>
      </c>
      <c r="G563" s="360"/>
      <c r="H563" s="391" t="s">
        <v>248</v>
      </c>
      <c r="I563" s="377"/>
      <c r="J563" s="392">
        <v>0</v>
      </c>
      <c r="K563" s="392">
        <v>0</v>
      </c>
      <c r="L563" s="392">
        <v>0</v>
      </c>
      <c r="M563" s="392">
        <v>0</v>
      </c>
      <c r="N563" s="392">
        <v>0</v>
      </c>
      <c r="O563" s="454" t="s">
        <v>158</v>
      </c>
      <c r="P563" s="455"/>
      <c r="Q563" s="455"/>
      <c r="R563" s="455"/>
      <c r="S563" s="456"/>
      <c r="CF563" s="32"/>
      <c r="CG563" s="32"/>
      <c r="CH563" s="32"/>
      <c r="CI563" s="32"/>
    </row>
    <row r="564" spans="1:87" ht="5.0999999999999996" customHeight="1" thickBot="1" x14ac:dyDescent="0.25">
      <c r="B564" s="20"/>
      <c r="C564" s="20"/>
      <c r="D564" s="20"/>
      <c r="F564" s="362"/>
      <c r="G564" s="360"/>
      <c r="H564" s="360"/>
      <c r="I564" s="377"/>
      <c r="J564" s="393"/>
      <c r="K564" s="393"/>
      <c r="L564" s="393"/>
      <c r="M564" s="393"/>
      <c r="N564" s="393"/>
      <c r="O564" s="457"/>
      <c r="P564" s="458"/>
      <c r="Q564" s="458"/>
      <c r="R564" s="458"/>
      <c r="S564" s="459"/>
      <c r="CF564" s="32"/>
      <c r="CG564" s="32"/>
      <c r="CH564" s="32"/>
      <c r="CI564" s="32"/>
    </row>
    <row r="565" spans="1:87" ht="43.5" customHeight="1" thickBot="1" x14ac:dyDescent="0.25">
      <c r="B565" s="481" t="s">
        <v>249</v>
      </c>
      <c r="C565" s="482"/>
      <c r="D565" s="483"/>
      <c r="F565" s="390" t="s">
        <v>247</v>
      </c>
      <c r="G565" s="360"/>
      <c r="H565" s="391" t="s">
        <v>248</v>
      </c>
      <c r="I565" s="377"/>
      <c r="J565" s="392">
        <v>0</v>
      </c>
      <c r="K565" s="392">
        <v>0</v>
      </c>
      <c r="L565" s="392">
        <v>0</v>
      </c>
      <c r="M565" s="392">
        <v>0</v>
      </c>
      <c r="N565" s="392">
        <v>0</v>
      </c>
      <c r="O565" s="460"/>
      <c r="P565" s="461"/>
      <c r="Q565" s="461"/>
      <c r="R565" s="461"/>
      <c r="S565" s="462"/>
      <c r="CF565" s="32"/>
      <c r="CG565" s="32"/>
      <c r="CH565" s="32"/>
      <c r="CI565" s="32"/>
    </row>
    <row r="566" spans="1:87" ht="5.0999999999999996" customHeight="1" x14ac:dyDescent="0.2">
      <c r="I566" s="80"/>
      <c r="J566" s="237"/>
      <c r="K566" s="237"/>
      <c r="L566" s="237"/>
      <c r="M566" s="237"/>
      <c r="N566" s="237"/>
      <c r="CF566" s="32"/>
      <c r="CG566" s="32"/>
      <c r="CH566" s="32"/>
      <c r="CI566" s="32"/>
    </row>
    <row r="567" spans="1:87" s="20" customFormat="1" x14ac:dyDescent="0.2">
      <c r="A567" s="427"/>
      <c r="B567" s="269" t="s">
        <v>250</v>
      </c>
      <c r="C567" s="269"/>
      <c r="D567" s="269"/>
      <c r="E567" s="269"/>
      <c r="F567" s="269"/>
      <c r="G567" s="269"/>
      <c r="H567" s="269"/>
      <c r="I567" s="269"/>
      <c r="J567" s="287"/>
      <c r="K567" s="269"/>
      <c r="L567" s="287"/>
      <c r="M567" s="269"/>
      <c r="N567" s="269"/>
      <c r="O567" s="269"/>
      <c r="P567" s="269"/>
      <c r="Q567" s="269"/>
      <c r="R567" s="269"/>
      <c r="S567" s="269"/>
      <c r="T567" s="269"/>
      <c r="U567" s="269"/>
      <c r="V567" s="269"/>
      <c r="W567" s="269"/>
      <c r="X567" s="269"/>
      <c r="Y567" s="269"/>
      <c r="Z567" s="269"/>
      <c r="AA567" s="269"/>
      <c r="AB567" s="269"/>
      <c r="AC567" s="269"/>
      <c r="AD567" s="269"/>
      <c r="AE567" s="269"/>
      <c r="AF567" s="269"/>
      <c r="AG567" s="269"/>
      <c r="AH567" s="269"/>
      <c r="AI567" s="269"/>
      <c r="AJ567" s="269"/>
      <c r="AK567" s="269"/>
      <c r="AL567" s="269"/>
      <c r="AM567" s="269"/>
      <c r="AN567" s="269"/>
      <c r="AO567" s="269"/>
      <c r="AP567" s="269"/>
      <c r="AQ567" s="269"/>
      <c r="AR567" s="269"/>
      <c r="AS567" s="269"/>
      <c r="AT567" s="269"/>
      <c r="AU567" s="269"/>
      <c r="AV567" s="269"/>
      <c r="AW567" s="269"/>
      <c r="AX567" s="269"/>
      <c r="AY567" s="269"/>
      <c r="AZ567" s="269"/>
      <c r="BA567" s="269"/>
      <c r="BB567" s="269"/>
      <c r="BC567" s="269"/>
      <c r="BD567" s="269"/>
      <c r="BE567" s="269"/>
      <c r="BF567" s="269"/>
      <c r="BG567" s="269"/>
      <c r="BH567" s="269"/>
      <c r="BI567" s="269"/>
      <c r="BJ567" s="269"/>
      <c r="BK567" s="269"/>
      <c r="BL567" s="269"/>
      <c r="BM567" s="269"/>
      <c r="BN567" s="269"/>
      <c r="BO567" s="269"/>
      <c r="BP567" s="269"/>
      <c r="BQ567" s="269"/>
      <c r="BR567" s="269"/>
      <c r="BS567" s="269"/>
      <c r="BT567" s="269"/>
      <c r="BU567" s="269"/>
      <c r="BV567" s="269"/>
      <c r="BW567" s="269"/>
      <c r="BX567" s="269"/>
      <c r="BY567" s="269"/>
      <c r="BZ567" s="269"/>
      <c r="CA567" s="269"/>
      <c r="CB567" s="269"/>
      <c r="CC567" s="269"/>
    </row>
    <row r="568" spans="1:87" s="34" customFormat="1" ht="5.0999999999999996" customHeight="1" thickBot="1" x14ac:dyDescent="0.25">
      <c r="A568" s="424"/>
      <c r="F568" s="215"/>
      <c r="J568"/>
      <c r="K568" s="2"/>
      <c r="L568"/>
      <c r="M568"/>
      <c r="N568"/>
      <c r="Q568" s="245"/>
      <c r="R568"/>
      <c r="S568"/>
      <c r="T568"/>
      <c r="U568"/>
      <c r="V568"/>
      <c r="W568"/>
      <c r="X568"/>
      <c r="Y568"/>
      <c r="Z568"/>
      <c r="AA568"/>
      <c r="AB568"/>
      <c r="AC568"/>
      <c r="AD568"/>
      <c r="AE568"/>
      <c r="AF568"/>
      <c r="AG568"/>
      <c r="AH568"/>
      <c r="AI568"/>
      <c r="AJ568"/>
      <c r="AK568"/>
      <c r="AL568"/>
      <c r="AM568"/>
      <c r="AN568"/>
      <c r="AO568"/>
      <c r="AP568"/>
      <c r="AQ568"/>
      <c r="AR568"/>
      <c r="AS568"/>
      <c r="AT568"/>
      <c r="AU568"/>
      <c r="AV568"/>
      <c r="AW568"/>
      <c r="AX568"/>
      <c r="AY568"/>
      <c r="AZ568"/>
      <c r="BA568"/>
      <c r="BB568"/>
      <c r="BC568"/>
      <c r="BD568"/>
      <c r="BE568"/>
      <c r="BF568"/>
      <c r="BG568"/>
      <c r="BH568"/>
      <c r="BI568"/>
      <c r="BJ568"/>
      <c r="BK568"/>
      <c r="BL568"/>
      <c r="BM568"/>
      <c r="BN568"/>
      <c r="BO568"/>
      <c r="BP568"/>
      <c r="BQ568"/>
      <c r="BR568"/>
      <c r="BS568"/>
      <c r="BT568"/>
      <c r="BU568"/>
      <c r="BV568"/>
      <c r="BW568"/>
      <c r="BX568"/>
      <c r="BY568"/>
      <c r="BZ568"/>
      <c r="CA568"/>
      <c r="CB568"/>
      <c r="CC568"/>
      <c r="CD568"/>
      <c r="CE568"/>
    </row>
    <row r="569" spans="1:87" s="32" customFormat="1" ht="24.95" customHeight="1" thickBot="1" x14ac:dyDescent="0.25">
      <c r="A569" s="185"/>
      <c r="B569" s="484" t="s">
        <v>234</v>
      </c>
      <c r="C569" s="484"/>
      <c r="D569" s="484"/>
      <c r="E569" s="484"/>
      <c r="F569" s="484"/>
      <c r="G569" s="20"/>
      <c r="H569" s="20"/>
      <c r="J569" s="331">
        <f>+J561</f>
        <v>0</v>
      </c>
      <c r="K569" s="331">
        <f t="shared" ref="K569:N569" si="376">+K561</f>
        <v>0</v>
      </c>
      <c r="L569" s="331">
        <f t="shared" si="376"/>
        <v>0</v>
      </c>
      <c r="M569" s="331">
        <f t="shared" si="376"/>
        <v>0</v>
      </c>
      <c r="N569" s="331">
        <f t="shared" si="376"/>
        <v>0</v>
      </c>
      <c r="O569"/>
      <c r="P569"/>
      <c r="Q569"/>
      <c r="R569"/>
      <c r="S569"/>
      <c r="T569"/>
      <c r="U569"/>
      <c r="V569"/>
      <c r="W569"/>
      <c r="X569"/>
      <c r="Y569"/>
      <c r="Z569"/>
      <c r="AA569"/>
      <c r="AB569"/>
      <c r="AC569"/>
      <c r="AD569"/>
      <c r="AE569"/>
      <c r="AF569"/>
      <c r="AG569"/>
      <c r="AH569"/>
      <c r="AI569"/>
      <c r="AJ569"/>
      <c r="AK569"/>
      <c r="AL569"/>
      <c r="AM569"/>
      <c r="AN569"/>
      <c r="AO569"/>
      <c r="AP569"/>
      <c r="AQ569"/>
      <c r="AR569"/>
      <c r="AS569"/>
      <c r="AT569"/>
      <c r="AU569"/>
      <c r="AV569"/>
      <c r="AW569"/>
      <c r="AX569"/>
      <c r="AY569"/>
      <c r="AZ569"/>
      <c r="BA569"/>
      <c r="BB569"/>
      <c r="BC569"/>
      <c r="BD569"/>
      <c r="BE569"/>
      <c r="BF569"/>
      <c r="BG569"/>
      <c r="BH569"/>
      <c r="BI569"/>
      <c r="BJ569"/>
      <c r="BK569"/>
      <c r="BL569"/>
      <c r="BM569"/>
      <c r="BN569"/>
      <c r="BO569"/>
      <c r="BP569"/>
      <c r="BQ569"/>
      <c r="BR569"/>
      <c r="BS569"/>
      <c r="BT569"/>
      <c r="BU569"/>
      <c r="BV569"/>
      <c r="BW569"/>
      <c r="BX569"/>
      <c r="BY569"/>
      <c r="BZ569"/>
      <c r="CA569"/>
      <c r="CB569"/>
      <c r="CC569"/>
      <c r="CD569"/>
      <c r="CE569"/>
    </row>
    <row r="570" spans="1:87" ht="5.0999999999999996" customHeight="1" thickBot="1" x14ac:dyDescent="0.25">
      <c r="B570" s="20"/>
      <c r="C570" s="20"/>
      <c r="D570" s="20"/>
      <c r="E570" s="20"/>
      <c r="F570" s="20"/>
      <c r="G570" s="20"/>
      <c r="H570" s="20"/>
    </row>
    <row r="571" spans="1:87" ht="30" customHeight="1" thickBot="1" x14ac:dyDescent="0.25">
      <c r="B571" s="485" t="s">
        <v>251</v>
      </c>
      <c r="C571" s="486"/>
      <c r="D571" s="486"/>
      <c r="E571" s="486"/>
      <c r="F571" s="486"/>
      <c r="G571" s="486"/>
      <c r="H571" s="487"/>
      <c r="I571" s="80"/>
      <c r="J571" s="389">
        <v>0</v>
      </c>
      <c r="K571" s="389">
        <v>0</v>
      </c>
      <c r="L571" s="389">
        <v>0</v>
      </c>
      <c r="M571" s="389">
        <v>0</v>
      </c>
      <c r="N571" s="389">
        <v>0</v>
      </c>
    </row>
    <row r="572" spans="1:87" ht="5.0999999999999996" customHeight="1" thickBot="1" x14ac:dyDescent="0.25">
      <c r="B572" s="20"/>
      <c r="C572" s="20"/>
      <c r="D572" s="20"/>
      <c r="E572" s="20"/>
      <c r="F572" s="20"/>
      <c r="G572" s="20"/>
      <c r="H572" s="20"/>
      <c r="I572" s="80"/>
      <c r="J572" s="237"/>
      <c r="K572" s="237"/>
      <c r="L572" s="237"/>
      <c r="M572" s="237"/>
      <c r="N572" s="237"/>
    </row>
    <row r="573" spans="1:87" ht="30" customHeight="1" thickBot="1" x14ac:dyDescent="0.25">
      <c r="B573" s="485" t="s">
        <v>252</v>
      </c>
      <c r="C573" s="486"/>
      <c r="D573" s="486"/>
      <c r="E573" s="486"/>
      <c r="F573" s="486"/>
      <c r="G573" s="486"/>
      <c r="H573" s="487"/>
      <c r="I573" s="80"/>
      <c r="J573" s="205" t="e">
        <f>+J571/J$533*$F$533</f>
        <v>#N/A</v>
      </c>
      <c r="K573" s="205" t="e">
        <f>+K571/K$533*$F$533</f>
        <v>#N/A</v>
      </c>
      <c r="L573" s="205" t="e">
        <f>+L571/L$533*$F$533</f>
        <v>#N/A</v>
      </c>
      <c r="M573" s="205" t="e">
        <f>+M571/M$533*$F$533</f>
        <v>#N/A</v>
      </c>
      <c r="N573" s="205" t="e">
        <f>+N571/N$533*$F$533</f>
        <v>#N/A</v>
      </c>
      <c r="O573" s="196"/>
      <c r="P573" s="196"/>
      <c r="Q573" s="196"/>
      <c r="R573" s="196"/>
      <c r="S573" s="196"/>
      <c r="T573" s="196"/>
      <c r="U573" s="196"/>
      <c r="V573" s="196"/>
      <c r="W573" s="196"/>
      <c r="X573" s="196"/>
      <c r="Y573" s="196"/>
    </row>
    <row r="574" spans="1:87" ht="5.0999999999999996" customHeight="1" thickBot="1" x14ac:dyDescent="0.25">
      <c r="B574" s="20"/>
      <c r="C574" s="20"/>
      <c r="D574" s="20"/>
      <c r="E574" s="20"/>
      <c r="F574" s="20"/>
      <c r="G574" s="20"/>
      <c r="H574" s="20"/>
      <c r="I574" s="80"/>
      <c r="J574" s="237"/>
      <c r="K574" s="237"/>
      <c r="L574" s="237"/>
      <c r="M574" s="237"/>
      <c r="N574" s="237"/>
    </row>
    <row r="575" spans="1:87" ht="30" customHeight="1" thickBot="1" x14ac:dyDescent="0.25">
      <c r="B575" s="485" t="s">
        <v>253</v>
      </c>
      <c r="C575" s="486"/>
      <c r="D575" s="486"/>
      <c r="E575" s="486"/>
      <c r="F575" s="486"/>
      <c r="G575" s="486"/>
      <c r="H575" s="487"/>
      <c r="I575" s="80"/>
      <c r="J575" s="389">
        <v>0</v>
      </c>
      <c r="K575" s="389">
        <v>0</v>
      </c>
      <c r="L575" s="389">
        <v>0</v>
      </c>
      <c r="M575" s="389">
        <v>0</v>
      </c>
      <c r="N575" s="389">
        <v>0</v>
      </c>
      <c r="CE575" s="24"/>
      <c r="CF575" s="24"/>
      <c r="CG575" s="24"/>
    </row>
    <row r="576" spans="1:87" ht="5.0999999999999996" customHeight="1" thickBot="1" x14ac:dyDescent="0.25">
      <c r="B576" s="20"/>
      <c r="C576" s="20"/>
      <c r="D576" s="20"/>
      <c r="E576" s="20"/>
      <c r="F576" s="20"/>
      <c r="G576" s="20"/>
      <c r="H576" s="20"/>
      <c r="I576" s="80"/>
      <c r="J576" s="237"/>
      <c r="K576" s="237"/>
      <c r="L576" s="237"/>
      <c r="M576" s="237"/>
      <c r="N576" s="237"/>
    </row>
    <row r="577" spans="1:85" ht="30" customHeight="1" thickBot="1" x14ac:dyDescent="0.25">
      <c r="B577" s="485" t="s">
        <v>254</v>
      </c>
      <c r="C577" s="486"/>
      <c r="D577" s="486"/>
      <c r="E577" s="486"/>
      <c r="F577" s="486"/>
      <c r="G577" s="486"/>
      <c r="H577" s="487"/>
      <c r="I577" s="80"/>
      <c r="J577" s="205" t="e">
        <f>IF(J$537&gt;0,+J575/J$537*$F$533,0)</f>
        <v>#N/A</v>
      </c>
      <c r="K577" s="205" t="e">
        <f t="shared" ref="K577:N577" si="377">IF(K$537&gt;0,+K575/K$537*$F$533,0)</f>
        <v>#N/A</v>
      </c>
      <c r="L577" s="205" t="e">
        <f t="shared" si="377"/>
        <v>#N/A</v>
      </c>
      <c r="M577" s="205" t="e">
        <f t="shared" si="377"/>
        <v>#N/A</v>
      </c>
      <c r="N577" s="205" t="e">
        <f t="shared" si="377"/>
        <v>#N/A</v>
      </c>
      <c r="O577" s="196"/>
      <c r="P577" s="196"/>
      <c r="CE577" s="24"/>
      <c r="CF577" s="24"/>
      <c r="CG577" s="24"/>
    </row>
    <row r="578" spans="1:85" ht="5.0999999999999996" customHeight="1" thickBot="1" x14ac:dyDescent="0.25">
      <c r="F578" s="32"/>
      <c r="J578" s="239"/>
      <c r="K578" s="239"/>
      <c r="L578" s="239"/>
      <c r="M578" s="239"/>
      <c r="N578" s="239"/>
    </row>
    <row r="579" spans="1:85" ht="24.95" customHeight="1" thickBot="1" x14ac:dyDescent="0.25">
      <c r="B579" s="488" t="s">
        <v>243</v>
      </c>
      <c r="C579" s="489"/>
      <c r="D579" s="489"/>
      <c r="E579" s="489"/>
      <c r="F579" s="489"/>
      <c r="G579" s="489"/>
      <c r="H579" s="490"/>
      <c r="I579" s="2"/>
      <c r="J579" s="317" t="e">
        <f>+J577-J573</f>
        <v>#N/A</v>
      </c>
      <c r="K579" s="317" t="e">
        <f>+K577-K573</f>
        <v>#N/A</v>
      </c>
      <c r="L579" s="317" t="e">
        <f>+L577-L573</f>
        <v>#N/A</v>
      </c>
      <c r="M579" s="317" t="e">
        <f>+M577-M573</f>
        <v>#N/A</v>
      </c>
      <c r="N579" s="317" t="e">
        <f>+N577-N573</f>
        <v>#N/A</v>
      </c>
    </row>
    <row r="580" spans="1:85" ht="5.0999999999999996" customHeight="1" thickBot="1" x14ac:dyDescent="0.25"/>
    <row r="581" spans="1:85" ht="23.25" customHeight="1" thickBot="1" x14ac:dyDescent="0.25">
      <c r="B581" s="481" t="s">
        <v>156</v>
      </c>
      <c r="C581" s="482"/>
      <c r="D581" s="482"/>
      <c r="E581" s="482"/>
      <c r="F581" s="483"/>
      <c r="H581" s="445" t="s">
        <v>158</v>
      </c>
      <c r="I581" s="446"/>
      <c r="J581" s="446"/>
      <c r="K581" s="446"/>
      <c r="L581" s="446"/>
      <c r="M581" s="446"/>
      <c r="N581" s="447"/>
    </row>
    <row r="582" spans="1:85" ht="23.25" customHeight="1" x14ac:dyDescent="0.2">
      <c r="H582" s="448"/>
      <c r="I582" s="449"/>
      <c r="J582" s="449"/>
      <c r="K582" s="449"/>
      <c r="L582" s="449"/>
      <c r="M582" s="449"/>
      <c r="N582" s="450"/>
    </row>
    <row r="583" spans="1:85" ht="23.25" customHeight="1" thickBot="1" x14ac:dyDescent="0.25">
      <c r="H583" s="451"/>
      <c r="I583" s="452"/>
      <c r="J583" s="452"/>
      <c r="K583" s="452"/>
      <c r="L583" s="452"/>
      <c r="M583" s="452"/>
      <c r="N583" s="453"/>
    </row>
    <row r="584" spans="1:85" ht="5.0999999999999996" customHeight="1" x14ac:dyDescent="0.2"/>
    <row r="585" spans="1:85" s="20" customFormat="1" x14ac:dyDescent="0.2">
      <c r="A585" s="427"/>
      <c r="B585" s="269" t="s">
        <v>255</v>
      </c>
      <c r="C585" s="269"/>
      <c r="D585" s="269"/>
      <c r="E585" s="269"/>
      <c r="F585" s="269"/>
      <c r="G585" s="269"/>
      <c r="H585" s="269"/>
      <c r="I585" s="269"/>
      <c r="J585" s="287"/>
      <c r="K585" s="269"/>
      <c r="L585" s="287"/>
      <c r="M585" s="269"/>
      <c r="N585" s="269"/>
      <c r="O585" s="269"/>
      <c r="P585" s="269"/>
      <c r="Q585" s="269" t="s">
        <v>256</v>
      </c>
      <c r="R585" s="269"/>
      <c r="S585" s="269"/>
      <c r="T585" s="269"/>
      <c r="U585" s="269"/>
      <c r="V585" s="269"/>
      <c r="W585" s="269"/>
      <c r="X585" s="269"/>
      <c r="Y585" s="269"/>
      <c r="Z585" s="269"/>
      <c r="AA585" s="269"/>
      <c r="AB585" s="269"/>
      <c r="AC585" s="269"/>
      <c r="AD585" s="269"/>
      <c r="AE585" s="269"/>
      <c r="AF585" s="269"/>
      <c r="AG585" s="269"/>
      <c r="AH585" s="269"/>
      <c r="AI585" s="269"/>
      <c r="AJ585" s="269"/>
      <c r="AK585" s="269"/>
      <c r="AL585" s="269"/>
      <c r="AM585" s="269"/>
      <c r="AN585" s="269"/>
      <c r="AO585" s="269"/>
      <c r="AP585" s="269"/>
      <c r="AQ585" s="269"/>
      <c r="AR585" s="269"/>
      <c r="AS585" s="269"/>
      <c r="AT585" s="269"/>
      <c r="AU585" s="269"/>
      <c r="AV585" s="269"/>
      <c r="AW585" s="269"/>
      <c r="AX585" s="269"/>
      <c r="AY585" s="269"/>
      <c r="AZ585" s="269"/>
      <c r="BA585" s="269"/>
      <c r="BB585" s="269"/>
      <c r="BC585" s="269"/>
      <c r="BD585" s="269"/>
      <c r="BE585" s="269"/>
      <c r="BF585" s="269"/>
      <c r="BG585" s="269"/>
      <c r="BH585" s="269"/>
      <c r="BI585" s="269"/>
      <c r="BJ585" s="269"/>
      <c r="BK585" s="269"/>
      <c r="BL585" s="269"/>
      <c r="BM585" s="269"/>
      <c r="BN585" s="269"/>
      <c r="BO585" s="269"/>
      <c r="BP585" s="269"/>
      <c r="BQ585" s="269"/>
      <c r="BR585" s="269"/>
      <c r="BS585" s="269"/>
      <c r="BT585" s="269"/>
      <c r="BU585" s="269"/>
      <c r="BV585" s="269"/>
      <c r="BW585" s="269"/>
      <c r="BX585" s="269"/>
      <c r="BY585" s="269"/>
      <c r="BZ585" s="269"/>
      <c r="CA585" s="269"/>
      <c r="CB585" s="269"/>
      <c r="CC585" s="269"/>
    </row>
    <row r="586" spans="1:85" ht="5.0999999999999996" customHeight="1" x14ac:dyDescent="0.2"/>
    <row r="587" spans="1:85" ht="75" customHeight="1" x14ac:dyDescent="0.2">
      <c r="B587" s="480" t="s">
        <v>132</v>
      </c>
      <c r="C587" s="480"/>
      <c r="D587" s="480"/>
      <c r="E587" s="322"/>
      <c r="F587" s="480" t="s">
        <v>134</v>
      </c>
      <c r="G587" s="480"/>
      <c r="H587" s="480"/>
      <c r="I587" s="322"/>
      <c r="J587" s="321" t="s">
        <v>257</v>
      </c>
      <c r="K587" s="321" t="s">
        <v>258</v>
      </c>
      <c r="L587" s="321" t="s">
        <v>259</v>
      </c>
      <c r="M587" s="325"/>
      <c r="N587" s="480" t="s">
        <v>221</v>
      </c>
      <c r="O587" s="480"/>
      <c r="P587" s="321"/>
      <c r="Q587" s="321"/>
    </row>
    <row r="588" spans="1:85" ht="5.0999999999999996" customHeight="1" thickBot="1" x14ac:dyDescent="0.25"/>
    <row r="589" spans="1:85" s="34" customFormat="1" ht="68.099999999999994" customHeight="1" thickBot="1" x14ac:dyDescent="0.25">
      <c r="A589" s="424"/>
      <c r="B589" s="481" t="s">
        <v>222</v>
      </c>
      <c r="C589" s="482"/>
      <c r="D589" s="483"/>
      <c r="F589" s="438">
        <f>+F519</f>
        <v>0</v>
      </c>
      <c r="G589" s="439"/>
      <c r="H589" s="440"/>
      <c r="I589" s="223"/>
      <c r="J589" s="340" t="str">
        <f>+J519</f>
        <v>Cantidad o valor del indicador</v>
      </c>
      <c r="K589" s="340" t="str">
        <f>+K519</f>
        <v>Cantidad o valor del indicador</v>
      </c>
      <c r="L589" s="382" t="s">
        <v>223</v>
      </c>
      <c r="M589" s="441" t="s">
        <v>158</v>
      </c>
      <c r="N589" s="442"/>
      <c r="O589" s="442"/>
      <c r="P589" s="442"/>
      <c r="Q589" s="443"/>
      <c r="CF589"/>
      <c r="CG589"/>
    </row>
    <row r="590" spans="1:85" ht="5.0999999999999996" customHeight="1" thickBot="1" x14ac:dyDescent="0.25">
      <c r="B590" s="20"/>
      <c r="C590" s="20"/>
      <c r="D590" s="20"/>
      <c r="F590" s="394"/>
      <c r="G590" s="394"/>
      <c r="H590" s="394"/>
      <c r="I590" s="246"/>
      <c r="J590" s="341"/>
      <c r="K590" s="341"/>
      <c r="L590" s="395"/>
      <c r="M590" s="384"/>
      <c r="N590" s="385"/>
      <c r="O590" s="384"/>
      <c r="P590" s="384"/>
      <c r="Q590" s="384"/>
    </row>
    <row r="591" spans="1:85" s="34" customFormat="1" ht="68.099999999999994" customHeight="1" thickBot="1" x14ac:dyDescent="0.25">
      <c r="A591" s="424"/>
      <c r="B591" s="435" t="s">
        <v>224</v>
      </c>
      <c r="C591" s="436"/>
      <c r="D591" s="437"/>
      <c r="F591" s="438">
        <f>+F521</f>
        <v>0</v>
      </c>
      <c r="G591" s="439"/>
      <c r="H591" s="440"/>
      <c r="I591" s="223"/>
      <c r="J591" s="342" t="str">
        <f>+J521</f>
        <v>Cantidad o valor del indicador</v>
      </c>
      <c r="K591" s="342" t="str">
        <f>+K521</f>
        <v>Cantidad o valor del indicador</v>
      </c>
      <c r="L591" s="382" t="s">
        <v>223</v>
      </c>
      <c r="M591" s="441" t="s">
        <v>158</v>
      </c>
      <c r="N591" s="442"/>
      <c r="O591" s="442"/>
      <c r="P591" s="442"/>
      <c r="Q591" s="443"/>
      <c r="CF591"/>
      <c r="CG591"/>
    </row>
    <row r="592" spans="1:85" ht="5.0999999999999996" customHeight="1" thickBot="1" x14ac:dyDescent="0.25">
      <c r="B592" s="20"/>
      <c r="C592" s="20"/>
      <c r="D592" s="20"/>
      <c r="F592" s="394"/>
      <c r="G592" s="394"/>
      <c r="H592" s="394"/>
      <c r="I592" s="246"/>
      <c r="J592" s="341"/>
      <c r="K592" s="341"/>
      <c r="L592" s="395"/>
      <c r="M592" s="384"/>
      <c r="N592" s="385"/>
      <c r="O592" s="384"/>
      <c r="P592" s="384"/>
      <c r="Q592" s="384"/>
    </row>
    <row r="593" spans="1:85" s="34" customFormat="1" ht="68.099999999999994" customHeight="1" thickBot="1" x14ac:dyDescent="0.25">
      <c r="A593" s="424"/>
      <c r="B593" s="435" t="s">
        <v>225</v>
      </c>
      <c r="C593" s="436"/>
      <c r="D593" s="437"/>
      <c r="F593" s="438">
        <f>+F523</f>
        <v>0</v>
      </c>
      <c r="G593" s="439"/>
      <c r="H593" s="440"/>
      <c r="I593" s="254"/>
      <c r="J593" s="343" t="str">
        <f>+J523</f>
        <v>Cantidad o valor del indicador</v>
      </c>
      <c r="K593" s="343" t="str">
        <f>+K523</f>
        <v>Cantidad o valor del indicador</v>
      </c>
      <c r="L593" s="382" t="s">
        <v>223</v>
      </c>
      <c r="M593" s="441" t="s">
        <v>158</v>
      </c>
      <c r="N593" s="442"/>
      <c r="O593" s="442"/>
      <c r="P593" s="442"/>
      <c r="Q593" s="443"/>
      <c r="CF593"/>
      <c r="CG593"/>
    </row>
    <row r="594" spans="1:85" ht="5.0999999999999996" customHeight="1" thickBot="1" x14ac:dyDescent="0.25">
      <c r="B594" s="20"/>
      <c r="C594" s="20"/>
      <c r="D594" s="20"/>
      <c r="F594" s="394"/>
      <c r="G594" s="394"/>
      <c r="H594" s="394"/>
      <c r="I594" s="246"/>
      <c r="J594" s="341"/>
      <c r="K594" s="341"/>
      <c r="L594" s="396"/>
      <c r="M594" s="384"/>
      <c r="N594" s="385"/>
      <c r="O594" s="384"/>
      <c r="P594" s="384"/>
      <c r="Q594" s="384"/>
    </row>
    <row r="595" spans="1:85" s="34" customFormat="1" ht="68.099999999999994" customHeight="1" thickBot="1" x14ac:dyDescent="0.25">
      <c r="A595" s="424"/>
      <c r="B595" s="435" t="s">
        <v>226</v>
      </c>
      <c r="C595" s="436"/>
      <c r="D595" s="437"/>
      <c r="F595" s="438">
        <f>+F525</f>
        <v>0</v>
      </c>
      <c r="G595" s="439"/>
      <c r="H595" s="440"/>
      <c r="I595" s="223"/>
      <c r="J595" s="344" t="str">
        <f>+J525</f>
        <v>Cantidad o valor del indicador</v>
      </c>
      <c r="K595" s="344" t="str">
        <f>+K525</f>
        <v>Cantidad o valor del indicador</v>
      </c>
      <c r="L595" s="382" t="s">
        <v>223</v>
      </c>
      <c r="M595" s="441" t="s">
        <v>158</v>
      </c>
      <c r="N595" s="442"/>
      <c r="O595" s="442"/>
      <c r="P595" s="442"/>
      <c r="Q595" s="443"/>
      <c r="CF595"/>
      <c r="CG595"/>
    </row>
    <row r="596" spans="1:85" ht="5.0999999999999996" customHeight="1" x14ac:dyDescent="0.2"/>
    <row r="597" spans="1:85" s="34" customFormat="1" x14ac:dyDescent="0.2">
      <c r="A597" s="424"/>
      <c r="CE597"/>
    </row>
    <row r="598" spans="1:85" s="34" customFormat="1" x14ac:dyDescent="0.2">
      <c r="A598" s="424" t="s">
        <v>260</v>
      </c>
      <c r="B598" s="247" t="s">
        <v>261</v>
      </c>
    </row>
    <row r="599" spans="1:85" s="34" customFormat="1" x14ac:dyDescent="0.2">
      <c r="A599" s="424"/>
      <c r="B599" s="248" t="s">
        <v>262</v>
      </c>
    </row>
    <row r="600" spans="1:85" s="34" customFormat="1" x14ac:dyDescent="0.2">
      <c r="A600" s="424"/>
      <c r="B600" t="s">
        <v>263</v>
      </c>
    </row>
    <row r="601" spans="1:85" s="34" customFormat="1" x14ac:dyDescent="0.2">
      <c r="A601" s="424"/>
      <c r="B601" t="s">
        <v>105</v>
      </c>
    </row>
    <row r="602" spans="1:85" s="34" customFormat="1" x14ac:dyDescent="0.2">
      <c r="A602" s="424"/>
    </row>
    <row r="603" spans="1:85" s="34" customFormat="1" x14ac:dyDescent="0.2">
      <c r="A603" s="424"/>
    </row>
    <row r="604" spans="1:85" s="34" customFormat="1" x14ac:dyDescent="0.2">
      <c r="A604" s="424"/>
    </row>
    <row r="605" spans="1:85" s="34" customFormat="1" x14ac:dyDescent="0.2">
      <c r="A605" s="424"/>
    </row>
    <row r="606" spans="1:85" s="34" customFormat="1" x14ac:dyDescent="0.2">
      <c r="A606" s="424"/>
    </row>
    <row r="607" spans="1:85" s="34" customFormat="1" x14ac:dyDescent="0.2">
      <c r="A607" s="424"/>
    </row>
    <row r="608" spans="1:85" s="34" customFormat="1" x14ac:dyDescent="0.2">
      <c r="A608" s="424"/>
    </row>
    <row r="609" spans="1:1" s="34" customFormat="1" x14ac:dyDescent="0.2">
      <c r="A609" s="424"/>
    </row>
    <row r="610" spans="1:1" s="34" customFormat="1" x14ac:dyDescent="0.2">
      <c r="A610" s="424"/>
    </row>
    <row r="611" spans="1:1" s="34" customFormat="1" x14ac:dyDescent="0.2">
      <c r="A611" s="424"/>
    </row>
    <row r="612" spans="1:1" s="34" customFormat="1" x14ac:dyDescent="0.2">
      <c r="A612" s="424"/>
    </row>
    <row r="613" spans="1:1" s="34" customFormat="1" x14ac:dyDescent="0.2">
      <c r="A613" s="424"/>
    </row>
    <row r="614" spans="1:1" s="34" customFormat="1" x14ac:dyDescent="0.2">
      <c r="A614" s="424"/>
    </row>
    <row r="615" spans="1:1" s="34" customFormat="1" x14ac:dyDescent="0.2">
      <c r="A615" s="424"/>
    </row>
    <row r="616" spans="1:1" s="34" customFormat="1" x14ac:dyDescent="0.2">
      <c r="A616" s="424"/>
    </row>
    <row r="617" spans="1:1" s="34" customFormat="1" x14ac:dyDescent="0.2">
      <c r="A617" s="424"/>
    </row>
    <row r="618" spans="1:1" s="34" customFormat="1" x14ac:dyDescent="0.2">
      <c r="A618" s="424"/>
    </row>
    <row r="619" spans="1:1" s="34" customFormat="1" x14ac:dyDescent="0.2">
      <c r="A619" s="424"/>
    </row>
    <row r="620" spans="1:1" s="34" customFormat="1" x14ac:dyDescent="0.2">
      <c r="A620" s="424"/>
    </row>
    <row r="621" spans="1:1" s="34" customFormat="1" x14ac:dyDescent="0.2">
      <c r="A621" s="424"/>
    </row>
    <row r="622" spans="1:1" s="34" customFormat="1" x14ac:dyDescent="0.2">
      <c r="A622" s="424"/>
    </row>
    <row r="623" spans="1:1" s="34" customFormat="1" x14ac:dyDescent="0.2">
      <c r="A623" s="424"/>
    </row>
    <row r="624" spans="1:1" s="34" customFormat="1" x14ac:dyDescent="0.2">
      <c r="A624" s="424"/>
    </row>
    <row r="625" spans="1:1" s="34" customFormat="1" x14ac:dyDescent="0.2">
      <c r="A625" s="424"/>
    </row>
    <row r="626" spans="1:1" s="34" customFormat="1" x14ac:dyDescent="0.2">
      <c r="A626" s="424"/>
    </row>
    <row r="627" spans="1:1" s="34" customFormat="1" x14ac:dyDescent="0.2">
      <c r="A627" s="424"/>
    </row>
    <row r="628" spans="1:1" s="34" customFormat="1" x14ac:dyDescent="0.2">
      <c r="A628" s="424"/>
    </row>
    <row r="629" spans="1:1" s="34" customFormat="1" x14ac:dyDescent="0.2">
      <c r="A629" s="424"/>
    </row>
    <row r="630" spans="1:1" s="34" customFormat="1" x14ac:dyDescent="0.2">
      <c r="A630" s="424"/>
    </row>
    <row r="631" spans="1:1" s="34" customFormat="1" x14ac:dyDescent="0.2">
      <c r="A631" s="424"/>
    </row>
    <row r="632" spans="1:1" s="34" customFormat="1" x14ac:dyDescent="0.2">
      <c r="A632" s="424"/>
    </row>
    <row r="633" spans="1:1" s="34" customFormat="1" x14ac:dyDescent="0.2">
      <c r="A633" s="424"/>
    </row>
    <row r="634" spans="1:1" s="34" customFormat="1" x14ac:dyDescent="0.2">
      <c r="A634" s="424"/>
    </row>
    <row r="635" spans="1:1" s="34" customFormat="1" x14ac:dyDescent="0.2">
      <c r="A635" s="424"/>
    </row>
  </sheetData>
  <sheetProtection sheet="1"/>
  <mergeCells count="215">
    <mergeCell ref="B3:O3"/>
    <mergeCell ref="D7:M7"/>
    <mergeCell ref="H13:M13"/>
    <mergeCell ref="H15:M15"/>
    <mergeCell ref="H17:M17"/>
    <mergeCell ref="H19:M19"/>
    <mergeCell ref="B50:M50"/>
    <mergeCell ref="B54:M54"/>
    <mergeCell ref="B58:M58"/>
    <mergeCell ref="B62:M62"/>
    <mergeCell ref="B66:F66"/>
    <mergeCell ref="H66:J66"/>
    <mergeCell ref="L66:M66"/>
    <mergeCell ref="B67:F67"/>
    <mergeCell ref="H67:J67"/>
    <mergeCell ref="L67:M67"/>
    <mergeCell ref="B68:F68"/>
    <mergeCell ref="H68:J68"/>
    <mergeCell ref="L68:M68"/>
    <mergeCell ref="B69:F69"/>
    <mergeCell ref="H69:J69"/>
    <mergeCell ref="L69:M69"/>
    <mergeCell ref="B73:M73"/>
    <mergeCell ref="B78:M78"/>
    <mergeCell ref="B81:M81"/>
    <mergeCell ref="B85:M85"/>
    <mergeCell ref="B89:M89"/>
    <mergeCell ref="F93:M93"/>
    <mergeCell ref="F95:M95"/>
    <mergeCell ref="F97:M97"/>
    <mergeCell ref="C102:D102"/>
    <mergeCell ref="B109:L109"/>
    <mergeCell ref="B138:F138"/>
    <mergeCell ref="O138:Q138"/>
    <mergeCell ref="B140:F140"/>
    <mergeCell ref="B142:F142"/>
    <mergeCell ref="B144:F144"/>
    <mergeCell ref="M144:N144"/>
    <mergeCell ref="O144:Q144"/>
    <mergeCell ref="M140:N142"/>
    <mergeCell ref="O140:Q142"/>
    <mergeCell ref="L154:P154"/>
    <mergeCell ref="Q154:R154"/>
    <mergeCell ref="B181:D181"/>
    <mergeCell ref="B208:D208"/>
    <mergeCell ref="B210:D210"/>
    <mergeCell ref="B214:D214"/>
    <mergeCell ref="B243:D243"/>
    <mergeCell ref="B245:D245"/>
    <mergeCell ref="B247:D247"/>
    <mergeCell ref="B251:D251"/>
    <mergeCell ref="B257:F257"/>
    <mergeCell ref="B259:F259"/>
    <mergeCell ref="B261:F261"/>
    <mergeCell ref="B263:F263"/>
    <mergeCell ref="B265:F265"/>
    <mergeCell ref="B267:F267"/>
    <mergeCell ref="B269:F269"/>
    <mergeCell ref="D273:F273"/>
    <mergeCell ref="H273:I273"/>
    <mergeCell ref="J273:K273"/>
    <mergeCell ref="B278:C278"/>
    <mergeCell ref="D278:G278"/>
    <mergeCell ref="H278:I278"/>
    <mergeCell ref="J278:K278"/>
    <mergeCell ref="B279:C279"/>
    <mergeCell ref="D279:G279"/>
    <mergeCell ref="H279:I279"/>
    <mergeCell ref="B274:C274"/>
    <mergeCell ref="D274:G274"/>
    <mergeCell ref="H274:I274"/>
    <mergeCell ref="J274:K274"/>
    <mergeCell ref="B275:C275"/>
    <mergeCell ref="D275:G275"/>
    <mergeCell ref="H275:I275"/>
    <mergeCell ref="B276:C276"/>
    <mergeCell ref="D276:G276"/>
    <mergeCell ref="H276:I276"/>
    <mergeCell ref="B277:C277"/>
    <mergeCell ref="D277:G277"/>
    <mergeCell ref="H277:I277"/>
    <mergeCell ref="J275:K275"/>
    <mergeCell ref="B280:C280"/>
    <mergeCell ref="D280:G280"/>
    <mergeCell ref="H280:I280"/>
    <mergeCell ref="B281:C281"/>
    <mergeCell ref="D281:G281"/>
    <mergeCell ref="H281:I281"/>
    <mergeCell ref="D286:M286"/>
    <mergeCell ref="B298:F298"/>
    <mergeCell ref="J298:L298"/>
    <mergeCell ref="N298:P298"/>
    <mergeCell ref="B300:D300"/>
    <mergeCell ref="J300:K300"/>
    <mergeCell ref="B302:D302"/>
    <mergeCell ref="J302:K302"/>
    <mergeCell ref="L306:Q306"/>
    <mergeCell ref="B318:D318"/>
    <mergeCell ref="B320:D320"/>
    <mergeCell ref="B324:D324"/>
    <mergeCell ref="B326:D326"/>
    <mergeCell ref="B361:D361"/>
    <mergeCell ref="B365:F365"/>
    <mergeCell ref="B367:F367"/>
    <mergeCell ref="B369:F369"/>
    <mergeCell ref="B371:F371"/>
    <mergeCell ref="B373:F373"/>
    <mergeCell ref="B380:D380"/>
    <mergeCell ref="J380:K380"/>
    <mergeCell ref="M380:R380"/>
    <mergeCell ref="B382:D382"/>
    <mergeCell ref="B384:D384"/>
    <mergeCell ref="B419:D419"/>
    <mergeCell ref="B421:D421"/>
    <mergeCell ref="B425:D425"/>
    <mergeCell ref="B460:D460"/>
    <mergeCell ref="B462:D462"/>
    <mergeCell ref="B464:D464"/>
    <mergeCell ref="B468:D468"/>
    <mergeCell ref="B472:F472"/>
    <mergeCell ref="B474:F474"/>
    <mergeCell ref="B476:F476"/>
    <mergeCell ref="B478:F478"/>
    <mergeCell ref="B480:F480"/>
    <mergeCell ref="B482:F482"/>
    <mergeCell ref="B484:F484"/>
    <mergeCell ref="B486:F486"/>
    <mergeCell ref="B488:F488"/>
    <mergeCell ref="B490:F490"/>
    <mergeCell ref="B492:F492"/>
    <mergeCell ref="B494:F494"/>
    <mergeCell ref="B498:F498"/>
    <mergeCell ref="B500:F500"/>
    <mergeCell ref="B502:F502"/>
    <mergeCell ref="B504:F504"/>
    <mergeCell ref="B506:F506"/>
    <mergeCell ref="B508:F508"/>
    <mergeCell ref="B510:F510"/>
    <mergeCell ref="B517:D517"/>
    <mergeCell ref="F517:H517"/>
    <mergeCell ref="N517:O517"/>
    <mergeCell ref="B519:D519"/>
    <mergeCell ref="F519:H519"/>
    <mergeCell ref="L519:Q519"/>
    <mergeCell ref="B521:D521"/>
    <mergeCell ref="F521:H521"/>
    <mergeCell ref="L521:Q521"/>
    <mergeCell ref="O561:Q561"/>
    <mergeCell ref="B563:D563"/>
    <mergeCell ref="B523:D523"/>
    <mergeCell ref="F523:H523"/>
    <mergeCell ref="L523:Q523"/>
    <mergeCell ref="B525:D525"/>
    <mergeCell ref="F525:H525"/>
    <mergeCell ref="L525:Q525"/>
    <mergeCell ref="B541:F541"/>
    <mergeCell ref="B543:F543"/>
    <mergeCell ref="B545:F545"/>
    <mergeCell ref="B571:H571"/>
    <mergeCell ref="B573:H573"/>
    <mergeCell ref="B575:H575"/>
    <mergeCell ref="B577:H577"/>
    <mergeCell ref="B579:H579"/>
    <mergeCell ref="B581:F581"/>
    <mergeCell ref="B587:D587"/>
    <mergeCell ref="F587:H587"/>
    <mergeCell ref="B547:F547"/>
    <mergeCell ref="B549:H549"/>
    <mergeCell ref="B551:H551"/>
    <mergeCell ref="B553:H553"/>
    <mergeCell ref="B555:F555"/>
    <mergeCell ref="B561:D561"/>
    <mergeCell ref="F561:H561"/>
    <mergeCell ref="B595:D595"/>
    <mergeCell ref="F595:H595"/>
    <mergeCell ref="M595:Q595"/>
    <mergeCell ref="N300:N302"/>
    <mergeCell ref="H581:N583"/>
    <mergeCell ref="H555:N557"/>
    <mergeCell ref="O563:S565"/>
    <mergeCell ref="J510:X513"/>
    <mergeCell ref="J373:Q376"/>
    <mergeCell ref="M382:R384"/>
    <mergeCell ref="L308:Q312"/>
    <mergeCell ref="O300:Q302"/>
    <mergeCell ref="N587:O587"/>
    <mergeCell ref="B589:D589"/>
    <mergeCell ref="F589:H589"/>
    <mergeCell ref="M589:Q589"/>
    <mergeCell ref="B591:D591"/>
    <mergeCell ref="F591:H591"/>
    <mergeCell ref="M591:Q591"/>
    <mergeCell ref="B593:D593"/>
    <mergeCell ref="F593:H593"/>
    <mergeCell ref="M593:Q593"/>
    <mergeCell ref="B565:D565"/>
    <mergeCell ref="B569:F569"/>
    <mergeCell ref="L273:M273"/>
    <mergeCell ref="L278:M278"/>
    <mergeCell ref="L279:M279"/>
    <mergeCell ref="L280:M280"/>
    <mergeCell ref="L281:M281"/>
    <mergeCell ref="N273:O273"/>
    <mergeCell ref="N278:O278"/>
    <mergeCell ref="N279:O279"/>
    <mergeCell ref="N280:O280"/>
    <mergeCell ref="N281:O281"/>
    <mergeCell ref="L275:M275"/>
    <mergeCell ref="N274:O274"/>
    <mergeCell ref="N275:O275"/>
    <mergeCell ref="L276:M276"/>
    <mergeCell ref="N276:O276"/>
    <mergeCell ref="L277:M277"/>
    <mergeCell ref="N277:O277"/>
    <mergeCell ref="L274:M274"/>
  </mergeCells>
  <conditionalFormatting sqref="B158:D177">
    <cfRule type="cellIs" dxfId="44" priority="79" operator="greaterThan">
      <formula>0</formula>
    </cfRule>
  </conditionalFormatting>
  <conditionalFormatting sqref="B353:D357">
    <cfRule type="cellIs" dxfId="43" priority="52" operator="greaterThan">
      <formula>0</formula>
    </cfRule>
  </conditionalFormatting>
  <conditionalFormatting sqref="B274:O281">
    <cfRule type="notContainsBlanks" dxfId="42" priority="142">
      <formula>LEN(TRIM(B274))&gt;0</formula>
    </cfRule>
  </conditionalFormatting>
  <conditionalFormatting sqref="D332:D351">
    <cfRule type="cellIs" dxfId="41" priority="53" operator="greaterThan">
      <formula>0</formula>
    </cfRule>
  </conditionalFormatting>
  <conditionalFormatting sqref="F300 L300 F302 L302">
    <cfRule type="notContainsText" dxfId="40" priority="265" operator="notContains" text="Definición meta física">
      <formula>ISERROR(SEARCH("Definición meta física",F300))</formula>
    </cfRule>
  </conditionalFormatting>
  <conditionalFormatting sqref="F563 F565">
    <cfRule type="notContainsText" dxfId="39" priority="252" operator="notContains" text="Detalle del indicador">
      <formula>ISERROR(SEARCH("Detalle del indicador",F563))</formula>
    </cfRule>
  </conditionalFormatting>
  <conditionalFormatting sqref="F519:H519 F521:H521 F523:H523 F525:H525">
    <cfRule type="notContainsBlanks" dxfId="38" priority="260">
      <formula>LEN(TRIM(F519))&gt;0</formula>
    </cfRule>
  </conditionalFormatting>
  <conditionalFormatting sqref="H138">
    <cfRule type="notContainsBlanks" dxfId="37" priority="250">
      <formula>LEN(TRIM(H138))&gt;0</formula>
    </cfRule>
  </conditionalFormatting>
  <conditionalFormatting sqref="H298 M298 Q298">
    <cfRule type="notContainsBlanks" dxfId="36" priority="267">
      <formula>LEN(TRIM(H298))&gt;0</formula>
    </cfRule>
  </conditionalFormatting>
  <conditionalFormatting sqref="H300 M300 H302 M302">
    <cfRule type="notContainsText" dxfId="35" priority="266" operator="notContains" text="Cantidad o valor de la meta física">
      <formula>ISERROR(SEARCH("Cantidad o valor de la meta física",H300))</formula>
    </cfRule>
  </conditionalFormatting>
  <conditionalFormatting sqref="H308 H310">
    <cfRule type="notContainsBlanks" dxfId="34" priority="264">
      <formula>LEN(TRIM(H308))&gt;0</formula>
    </cfRule>
  </conditionalFormatting>
  <conditionalFormatting sqref="H543 H545">
    <cfRule type="notContainsText" dxfId="33" priority="257" operator="notContains" text="Descripción de los costos">
      <formula>ISERROR(SEARCH("Descripción de los costos",H543))</formula>
    </cfRule>
  </conditionalFormatting>
  <conditionalFormatting sqref="H563 H565">
    <cfRule type="notContainsText" dxfId="32" priority="251" operator="notContains" text="Valor que toma el indicador">
      <formula>ISERROR(SEARCH("Valor que toma el indicador",H563))</formula>
    </cfRule>
  </conditionalFormatting>
  <conditionalFormatting sqref="H555:N557 O563:S565 H581:N583 M589:Q589 M591:Q591 M593:Q593 M595:Q595">
    <cfRule type="notContainsText" dxfId="31" priority="255" operator="notContains" text="Breve explicación de las diferencias">
      <formula>ISERROR(SEARCH("Breve explicación de las diferencias",H555))</formula>
    </cfRule>
  </conditionalFormatting>
  <conditionalFormatting sqref="J519:K519 J521:K521 J523:K523 J525:K525">
    <cfRule type="notContainsText" dxfId="30" priority="259" operator="notContains" text="Cantidad o valor del indicador">
      <formula>ISERROR(SEARCH("Cantidad o valor del indicador",J519))</formula>
    </cfRule>
  </conditionalFormatting>
  <conditionalFormatting sqref="J543:N543 J549:N549">
    <cfRule type="cellIs" dxfId="29" priority="256" operator="greaterThan">
      <formula>0</formula>
    </cfRule>
  </conditionalFormatting>
  <conditionalFormatting sqref="J563:N563 J565:N565 J571:N571 J575:N575 F589:H589 F591:H591 F593:H593 F595:H595">
    <cfRule type="cellIs" dxfId="28" priority="254" operator="greaterThan">
      <formula>0</formula>
    </cfRule>
  </conditionalFormatting>
  <conditionalFormatting sqref="J373:Q376">
    <cfRule type="notContainsText" dxfId="27" priority="273" operator="notContains" text="Breve explicación de las diferencias entre la ejecución física prevista y la real.">
      <formula>ISERROR(SEARCH("Breve explicación de las diferencias entre la ejecución física prevista y la real.",J373))</formula>
    </cfRule>
  </conditionalFormatting>
  <conditionalFormatting sqref="J335:V350">
    <cfRule type="cellIs" dxfId="26" priority="74" operator="greaterThan">
      <formula>0</formula>
    </cfRule>
  </conditionalFormatting>
  <conditionalFormatting sqref="J392:V393">
    <cfRule type="cellIs" dxfId="25" priority="105" operator="greaterThan">
      <formula>0</formula>
    </cfRule>
  </conditionalFormatting>
  <conditionalFormatting sqref="J394:X410">
    <cfRule type="cellIs" dxfId="24" priority="48" operator="greaterThan">
      <formula>0</formula>
    </cfRule>
  </conditionalFormatting>
  <conditionalFormatting sqref="J510:X513">
    <cfRule type="notContainsText" dxfId="23" priority="261" operator="notContains" text="Breve explicación de las diferencias">
      <formula>ISERROR(SEARCH("Breve explicación de las diferencias",J510))</formula>
    </cfRule>
  </conditionalFormatting>
  <conditionalFormatting sqref="J158:AG161">
    <cfRule type="cellIs" dxfId="22" priority="2" operator="greaterThan">
      <formula>0</formula>
    </cfRule>
  </conditionalFormatting>
  <conditionalFormatting sqref="J159:AQ166">
    <cfRule type="cellIs" dxfId="21" priority="1" operator="greaterThan">
      <formula>0</formula>
    </cfRule>
  </conditionalFormatting>
  <conditionalFormatting sqref="J158:CC177">
    <cfRule type="cellIs" dxfId="20" priority="80" operator="greaterThan">
      <formula>0</formula>
    </cfRule>
  </conditionalFormatting>
  <conditionalFormatting sqref="J187:CC206">
    <cfRule type="cellIs" dxfId="19" priority="277" operator="greaterThan">
      <formula>0</formula>
    </cfRule>
  </conditionalFormatting>
  <conditionalFormatting sqref="J222:CC241">
    <cfRule type="cellIs" dxfId="18" priority="60" operator="greaterThan">
      <formula>0</formula>
    </cfRule>
  </conditionalFormatting>
  <conditionalFormatting sqref="J332:CC351">
    <cfRule type="cellIs" dxfId="17" priority="40" operator="greaterThan">
      <formula>0</formula>
    </cfRule>
  </conditionalFormatting>
  <conditionalFormatting sqref="J353:CC357">
    <cfRule type="cellIs" dxfId="16" priority="20" operator="greaterThan">
      <formula>0</formula>
    </cfRule>
  </conditionalFormatting>
  <conditionalFormatting sqref="J390:CC410">
    <cfRule type="cellIs" dxfId="15" priority="10" operator="greaterThan">
      <formula>0</formula>
    </cfRule>
  </conditionalFormatting>
  <conditionalFormatting sqref="J413:CC417">
    <cfRule type="cellIs" dxfId="14" priority="6" operator="greaterThan">
      <formula>0</formula>
    </cfRule>
  </conditionalFormatting>
  <conditionalFormatting sqref="J431:CC457">
    <cfRule type="cellIs" dxfId="13" priority="11" operator="greaterThan">
      <formula>0</formula>
    </cfRule>
  </conditionalFormatting>
  <conditionalFormatting sqref="K390:V391">
    <cfRule type="cellIs" dxfId="12" priority="117" operator="greaterThan">
      <formula>0</formula>
    </cfRule>
  </conditionalFormatting>
  <conditionalFormatting sqref="L589 L591 L593 L595">
    <cfRule type="notContainsText" dxfId="11" priority="253" operator="notContains" text="Cantidad o valor del indicador">
      <formula>ISERROR(SEARCH("Cantidad o valor del indicador",L589))</formula>
    </cfRule>
  </conditionalFormatting>
  <conditionalFormatting sqref="L308:Q312">
    <cfRule type="notContainsText" dxfId="10" priority="275" operator="notContains" text="Breve explicación de las diferencias">
      <formula>ISERROR(SEARCH("Breve explicación de las diferencias",L308))</formula>
    </cfRule>
  </conditionalFormatting>
  <conditionalFormatting sqref="L519:Q519 L521:Q521 L523:Q523 L525:Q525">
    <cfRule type="notContainsText" dxfId="9" priority="258" operator="notContains" text="Breve explicación de las diferencias">
      <formula>ISERROR(SEARCH("Breve explicación de las diferencias",L519))</formula>
    </cfRule>
  </conditionalFormatting>
  <conditionalFormatting sqref="O138:Q138 H140 O140:Q142 H142 O144:Q144">
    <cfRule type="notContainsBlanks" dxfId="8" priority="249">
      <formula>LEN(TRIM(H138))&gt;0</formula>
    </cfRule>
  </conditionalFormatting>
  <conditionalFormatting sqref="O300:Q302">
    <cfRule type="notContainsText" dxfId="7" priority="274" operator="notContains" text="Detalle de las observaciones">
      <formula>ISERROR(SEARCH("Detalle de las observaciones",O300))</formula>
    </cfRule>
  </conditionalFormatting>
  <conditionalFormatting sqref="W390:X393">
    <cfRule type="cellIs" dxfId="6" priority="120" operator="greaterThan">
      <formula>0</formula>
    </cfRule>
  </conditionalFormatting>
  <conditionalFormatting sqref="W332:CC350">
    <cfRule type="cellIs" dxfId="5" priority="75" operator="greaterThan">
      <formula>0</formula>
    </cfRule>
  </conditionalFormatting>
  <conditionalFormatting sqref="CD332:XFD357">
    <cfRule type="cellIs" dxfId="4" priority="56" operator="greaterThan">
      <formula>0</formula>
    </cfRule>
  </conditionalFormatting>
  <dataValidations count="2">
    <dataValidation type="list" allowBlank="1" showInputMessage="1" showErrorMessage="1" sqref="Q154 S154" xr:uid="{00000000-0002-0000-0000-000000000000}">
      <formula1>$B$600:$B$601</formula1>
    </dataValidation>
    <dataValidation type="list" allowBlank="1" showInputMessage="1" showErrorMessage="1" sqref="H298 M298 Q298" xr:uid="{00000000-0002-0000-0000-000001000000}">
      <formula1>$CF$300:$CF$302</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Q499"/>
  <sheetViews>
    <sheetView showGridLines="0" workbookViewId="0"/>
  </sheetViews>
  <sheetFormatPr defaultColWidth="10.89453125" defaultRowHeight="15" x14ac:dyDescent="0.2"/>
  <cols>
    <col min="1" max="1" width="1.74609375" customWidth="1"/>
    <col min="2" max="2" width="15.73828125" customWidth="1"/>
    <col min="3" max="3" width="1.74609375" customWidth="1"/>
    <col min="4" max="4" width="8.33984375" customWidth="1"/>
    <col min="5" max="5" width="1.74609375" customWidth="1"/>
    <col min="6" max="6" width="10.35546875" customWidth="1"/>
    <col min="7" max="7" width="0.94140625" customWidth="1"/>
    <col min="8" max="8" width="10.35546875" customWidth="1"/>
    <col min="9" max="9" width="0.94140625" customWidth="1"/>
    <col min="10" max="10" width="9.4140625" customWidth="1"/>
    <col min="11" max="11" width="11.43359375" customWidth="1"/>
    <col min="12" max="81" width="9.01171875" customWidth="1"/>
    <col min="82" max="82" width="1.74609375" customWidth="1"/>
    <col min="86" max="86" width="11.43359375" customWidth="1"/>
  </cols>
  <sheetData>
    <row r="1" spans="1:18" x14ac:dyDescent="0.2">
      <c r="A1" s="2" t="s">
        <v>264</v>
      </c>
      <c r="C1" s="2"/>
      <c r="N1" s="52" t="s">
        <v>265</v>
      </c>
      <c r="O1" s="52"/>
      <c r="P1" s="52"/>
      <c r="Q1" s="52"/>
      <c r="R1" s="52"/>
    </row>
    <row r="2" spans="1:18" x14ac:dyDescent="0.2">
      <c r="A2" s="2" t="s">
        <v>266</v>
      </c>
      <c r="C2" s="2"/>
      <c r="N2" s="52" t="s">
        <v>267</v>
      </c>
      <c r="O2" s="52"/>
      <c r="P2" s="52"/>
      <c r="Q2" s="52"/>
      <c r="R2" s="52"/>
    </row>
    <row r="3" spans="1:18" x14ac:dyDescent="0.2">
      <c r="A3" s="2" t="s">
        <v>268</v>
      </c>
      <c r="C3" s="2"/>
      <c r="N3" s="52" t="s">
        <v>269</v>
      </c>
      <c r="O3" s="52"/>
      <c r="P3" s="52"/>
      <c r="Q3" s="52"/>
      <c r="R3" s="52"/>
    </row>
    <row r="4" spans="1:18" hidden="1" x14ac:dyDescent="0.2"/>
    <row r="5" spans="1:18" hidden="1" x14ac:dyDescent="0.2">
      <c r="B5" s="35" t="s">
        <v>4</v>
      </c>
      <c r="D5" s="589" t="s">
        <v>5</v>
      </c>
      <c r="E5" s="590"/>
      <c r="F5" s="590"/>
      <c r="G5" s="590"/>
      <c r="H5" s="590"/>
      <c r="I5" s="590"/>
      <c r="J5" s="590"/>
      <c r="K5" s="590"/>
      <c r="L5" s="590"/>
      <c r="M5" s="591"/>
    </row>
    <row r="6" spans="1:18" ht="5.0999999999999996" hidden="1" customHeight="1" x14ac:dyDescent="0.2"/>
    <row r="7" spans="1:18" hidden="1" x14ac:dyDescent="0.2">
      <c r="B7" t="s">
        <v>6</v>
      </c>
      <c r="H7" s="36"/>
      <c r="I7" s="36"/>
    </row>
    <row r="8" spans="1:18" hidden="1" x14ac:dyDescent="0.2"/>
    <row r="9" spans="1:18" hidden="1" x14ac:dyDescent="0.2">
      <c r="B9" s="37" t="s">
        <v>7</v>
      </c>
      <c r="C9" s="37"/>
      <c r="D9" s="37"/>
      <c r="E9" s="37"/>
      <c r="F9" s="37"/>
      <c r="G9" s="37"/>
      <c r="H9" s="37"/>
      <c r="I9" s="37"/>
      <c r="J9" s="37"/>
      <c r="K9" s="37"/>
      <c r="L9" s="37"/>
      <c r="M9" s="37"/>
    </row>
    <row r="10" spans="1:18" ht="5.0999999999999996" hidden="1" customHeight="1" x14ac:dyDescent="0.2"/>
    <row r="11" spans="1:18" hidden="1" x14ac:dyDescent="0.2">
      <c r="B11" s="35" t="s">
        <v>8</v>
      </c>
      <c r="C11" s="35"/>
      <c r="D11" s="35"/>
      <c r="F11" s="38">
        <v>57</v>
      </c>
      <c r="G11" s="17"/>
      <c r="H11" s="592" t="s">
        <v>9</v>
      </c>
      <c r="I11" s="593"/>
      <c r="J11" s="593"/>
      <c r="K11" s="593"/>
      <c r="L11" s="593"/>
      <c r="M11" s="594"/>
    </row>
    <row r="12" spans="1:18" ht="5.0999999999999996" hidden="1" customHeight="1" x14ac:dyDescent="0.2">
      <c r="F12" s="39"/>
      <c r="G12" s="17"/>
      <c r="H12" s="17"/>
      <c r="I12" s="17"/>
      <c r="J12" s="17"/>
      <c r="K12" s="17"/>
      <c r="L12" s="17"/>
      <c r="M12" s="17"/>
    </row>
    <row r="13" spans="1:18" hidden="1" x14ac:dyDescent="0.2">
      <c r="B13" s="35" t="s">
        <v>10</v>
      </c>
      <c r="C13" s="35"/>
      <c r="D13" s="35"/>
      <c r="F13" s="38">
        <v>664</v>
      </c>
      <c r="G13" s="17"/>
      <c r="H13" s="592" t="s">
        <v>11</v>
      </c>
      <c r="I13" s="593"/>
      <c r="J13" s="593"/>
      <c r="K13" s="593"/>
      <c r="L13" s="593"/>
      <c r="M13" s="594"/>
    </row>
    <row r="14" spans="1:18" ht="5.0999999999999996" hidden="1" customHeight="1" x14ac:dyDescent="0.2">
      <c r="F14" s="39"/>
      <c r="G14" s="17"/>
      <c r="H14" s="17"/>
      <c r="I14" s="17"/>
      <c r="J14" s="17"/>
      <c r="K14" s="17"/>
      <c r="L14" s="17"/>
      <c r="M14" s="17"/>
    </row>
    <row r="15" spans="1:18" hidden="1" x14ac:dyDescent="0.2">
      <c r="B15" s="35" t="s">
        <v>12</v>
      </c>
      <c r="C15" s="35"/>
      <c r="D15" s="35"/>
      <c r="F15" s="38">
        <v>16</v>
      </c>
      <c r="G15" s="17"/>
      <c r="H15" s="592" t="s">
        <v>13</v>
      </c>
      <c r="I15" s="593"/>
      <c r="J15" s="593"/>
      <c r="K15" s="593"/>
      <c r="L15" s="593"/>
      <c r="M15" s="594"/>
    </row>
    <row r="16" spans="1:18" ht="5.0999999999999996" hidden="1" customHeight="1" x14ac:dyDescent="0.2">
      <c r="F16" s="39"/>
      <c r="G16" s="17"/>
      <c r="H16" s="17"/>
      <c r="I16" s="17"/>
      <c r="J16" s="17"/>
      <c r="K16" s="17"/>
      <c r="L16" s="17"/>
      <c r="M16" s="17"/>
    </row>
    <row r="17" spans="2:13" hidden="1" x14ac:dyDescent="0.2">
      <c r="B17" s="35" t="s">
        <v>14</v>
      </c>
      <c r="C17" s="35"/>
      <c r="D17" s="35"/>
      <c r="F17" s="38"/>
      <c r="G17" s="17"/>
      <c r="H17" s="592"/>
      <c r="I17" s="593"/>
      <c r="J17" s="593"/>
      <c r="K17" s="593"/>
      <c r="L17" s="593"/>
      <c r="M17" s="594"/>
    </row>
    <row r="18" spans="2:13" ht="9.9499999999999993" hidden="1" customHeight="1" x14ac:dyDescent="0.2"/>
    <row r="19" spans="2:13" hidden="1" x14ac:dyDescent="0.2">
      <c r="B19" s="37" t="s">
        <v>15</v>
      </c>
      <c r="C19" s="37"/>
      <c r="D19" s="37"/>
      <c r="E19" s="37"/>
      <c r="F19" s="37"/>
      <c r="G19" s="37"/>
      <c r="H19" s="37"/>
      <c r="I19" s="37"/>
      <c r="J19" s="37"/>
      <c r="K19" s="37"/>
      <c r="L19" s="37"/>
      <c r="M19" s="37"/>
    </row>
    <row r="20" spans="2:13" ht="5.0999999999999996" hidden="1" customHeight="1" x14ac:dyDescent="0.2"/>
    <row r="21" spans="2:13" hidden="1" x14ac:dyDescent="0.2">
      <c r="B21" s="40">
        <v>999999</v>
      </c>
      <c r="D21" s="41" t="s">
        <v>16</v>
      </c>
      <c r="E21" s="42"/>
      <c r="F21" s="42"/>
      <c r="G21" s="42"/>
      <c r="H21" s="42"/>
      <c r="I21" s="42"/>
      <c r="J21" s="42"/>
      <c r="K21" s="42"/>
      <c r="L21" s="42"/>
      <c r="M21" s="53"/>
    </row>
    <row r="22" spans="2:13" ht="5.0999999999999996" hidden="1" customHeight="1" x14ac:dyDescent="0.2"/>
    <row r="23" spans="2:13" hidden="1" x14ac:dyDescent="0.2">
      <c r="B23" s="37" t="s">
        <v>17</v>
      </c>
      <c r="C23" s="35"/>
      <c r="D23" s="35"/>
      <c r="E23" s="35"/>
      <c r="F23" s="35"/>
      <c r="H23" s="41"/>
      <c r="I23" s="41"/>
      <c r="J23" s="42"/>
      <c r="K23" s="42"/>
      <c r="L23" s="42"/>
      <c r="M23" s="53"/>
    </row>
    <row r="24" spans="2:13" ht="5.0999999999999996" hidden="1" customHeight="1" x14ac:dyDescent="0.2"/>
    <row r="25" spans="2:13" hidden="1" x14ac:dyDescent="0.2">
      <c r="B25" s="37" t="s">
        <v>18</v>
      </c>
      <c r="C25" s="35"/>
      <c r="D25" s="35"/>
      <c r="E25" s="35"/>
      <c r="F25" s="35"/>
      <c r="H25" s="41"/>
      <c r="I25" s="41"/>
      <c r="J25" s="42"/>
      <c r="K25" s="42"/>
      <c r="L25" s="42"/>
      <c r="M25" s="53"/>
    </row>
    <row r="26" spans="2:13" ht="5.0999999999999996" hidden="1" customHeight="1" x14ac:dyDescent="0.2"/>
    <row r="27" spans="2:13" hidden="1" x14ac:dyDescent="0.2">
      <c r="B27" s="37" t="s">
        <v>19</v>
      </c>
      <c r="C27" s="35"/>
      <c r="D27" s="35"/>
      <c r="E27" s="35"/>
      <c r="F27" s="35"/>
      <c r="H27" s="41"/>
      <c r="I27" s="41"/>
      <c r="J27" s="42"/>
      <c r="K27" s="42"/>
      <c r="L27" s="42"/>
      <c r="M27" s="53"/>
    </row>
    <row r="28" spans="2:13" ht="5.0999999999999996" hidden="1" customHeight="1" x14ac:dyDescent="0.2"/>
    <row r="29" spans="2:13" hidden="1" x14ac:dyDescent="0.2">
      <c r="B29" s="37" t="s">
        <v>20</v>
      </c>
      <c r="C29" s="35"/>
      <c r="D29" s="35"/>
      <c r="E29" s="35"/>
      <c r="F29" s="35"/>
      <c r="H29" s="41"/>
      <c r="I29" s="41"/>
      <c r="J29" s="42"/>
      <c r="K29" s="42"/>
      <c r="L29" s="42"/>
      <c r="M29" s="53"/>
    </row>
    <row r="30" spans="2:13" ht="5.0999999999999996" hidden="1" customHeight="1" x14ac:dyDescent="0.2"/>
    <row r="31" spans="2:13" hidden="1" x14ac:dyDescent="0.2">
      <c r="B31" s="37" t="s">
        <v>21</v>
      </c>
      <c r="C31" s="35"/>
      <c r="D31" s="35"/>
      <c r="E31" s="35"/>
      <c r="F31" s="35"/>
      <c r="H31" s="41"/>
      <c r="I31" s="41"/>
      <c r="J31" s="42"/>
      <c r="K31" s="42"/>
      <c r="L31" s="42"/>
      <c r="M31" s="53"/>
    </row>
    <row r="32" spans="2:13" ht="5.0999999999999996" hidden="1" customHeight="1" x14ac:dyDescent="0.2"/>
    <row r="33" spans="2:82" hidden="1" x14ac:dyDescent="0.2">
      <c r="B33" s="43" t="s">
        <v>22</v>
      </c>
      <c r="C33" s="44"/>
      <c r="D33" s="45" t="s">
        <v>23</v>
      </c>
      <c r="E33" s="46"/>
      <c r="F33" s="46"/>
      <c r="G33" s="46"/>
      <c r="H33" s="46"/>
      <c r="I33" s="46"/>
      <c r="J33" s="46"/>
      <c r="K33" s="46"/>
      <c r="L33" s="46"/>
      <c r="M33" s="54"/>
    </row>
    <row r="34" spans="2:82" hidden="1" x14ac:dyDescent="0.2">
      <c r="B34" s="47"/>
      <c r="C34" s="48"/>
      <c r="D34" s="41"/>
      <c r="E34" s="42"/>
      <c r="F34" s="42"/>
      <c r="G34" s="42"/>
      <c r="H34" s="42"/>
      <c r="I34" s="42"/>
      <c r="J34" s="42"/>
      <c r="K34" s="42"/>
      <c r="L34" s="42"/>
      <c r="M34" s="53"/>
    </row>
    <row r="35" spans="2:82" ht="9.9499999999999993" hidden="1" customHeight="1" x14ac:dyDescent="0.2"/>
    <row r="36" spans="2:82" hidden="1" x14ac:dyDescent="0.2">
      <c r="B36" s="37" t="s">
        <v>24</v>
      </c>
      <c r="C36" s="37"/>
      <c r="D36" s="37"/>
      <c r="E36" s="37"/>
      <c r="F36" s="37"/>
      <c r="G36" s="37"/>
      <c r="H36" s="37"/>
      <c r="I36" s="37"/>
      <c r="J36" s="37"/>
      <c r="K36" s="37"/>
      <c r="L36" s="37"/>
      <c r="M36" s="37"/>
    </row>
    <row r="37" spans="2:82" ht="5.0999999999999996" hidden="1" customHeight="1" x14ac:dyDescent="0.2"/>
    <row r="38" spans="2:82" hidden="1" x14ac:dyDescent="0.2">
      <c r="B38" s="43" t="s">
        <v>25</v>
      </c>
      <c r="C38" s="44"/>
      <c r="D38" s="45" t="s">
        <v>26</v>
      </c>
      <c r="E38" s="46"/>
      <c r="F38" s="45" t="s">
        <v>23</v>
      </c>
      <c r="G38" s="46"/>
      <c r="H38" s="46"/>
      <c r="I38" s="46"/>
      <c r="J38" s="46"/>
      <c r="K38" s="46"/>
      <c r="L38" s="46"/>
      <c r="M38" s="54"/>
    </row>
    <row r="39" spans="2:82" hidden="1" x14ac:dyDescent="0.2">
      <c r="B39" s="47"/>
      <c r="C39" s="48"/>
      <c r="D39" s="41"/>
      <c r="E39" s="48"/>
      <c r="F39" s="42"/>
      <c r="G39" s="42"/>
      <c r="H39" s="42"/>
      <c r="I39" s="42"/>
      <c r="J39" s="42"/>
      <c r="K39" s="42"/>
      <c r="L39" s="42"/>
      <c r="M39" s="53"/>
    </row>
    <row r="40" spans="2:82" hidden="1" x14ac:dyDescent="0.2">
      <c r="B40" s="47"/>
      <c r="C40" s="48"/>
      <c r="D40" s="41"/>
      <c r="E40" s="48"/>
      <c r="F40" s="42"/>
      <c r="G40" s="42"/>
      <c r="H40" s="42"/>
      <c r="I40" s="42"/>
      <c r="J40" s="42"/>
      <c r="K40" s="42"/>
      <c r="L40" s="42"/>
      <c r="M40" s="53"/>
    </row>
    <row r="41" spans="2:82" hidden="1" x14ac:dyDescent="0.2">
      <c r="B41" s="47"/>
      <c r="C41" s="48"/>
      <c r="D41" s="41"/>
      <c r="E41" s="48"/>
      <c r="F41" s="42"/>
      <c r="G41" s="42"/>
      <c r="H41" s="42"/>
      <c r="I41" s="42"/>
      <c r="J41" s="42"/>
      <c r="K41" s="42"/>
      <c r="L41" s="42"/>
      <c r="M41" s="53"/>
    </row>
    <row r="42" spans="2:82" hidden="1" x14ac:dyDescent="0.2">
      <c r="B42" s="47"/>
      <c r="C42" s="48"/>
      <c r="D42" s="41"/>
      <c r="E42" s="48"/>
      <c r="F42" s="42"/>
      <c r="G42" s="42"/>
      <c r="H42" s="42"/>
      <c r="I42" s="42"/>
      <c r="J42" s="42"/>
      <c r="K42" s="42"/>
      <c r="L42" s="42"/>
      <c r="M42" s="53"/>
    </row>
    <row r="43" spans="2:82" ht="9.9499999999999993" hidden="1" customHeight="1" x14ac:dyDescent="0.2"/>
    <row r="44" spans="2:82" hidden="1" x14ac:dyDescent="0.2">
      <c r="B44" s="37" t="s">
        <v>27</v>
      </c>
      <c r="C44" s="37"/>
      <c r="D44" s="37"/>
      <c r="E44" s="37"/>
      <c r="F44" s="37"/>
      <c r="G44" s="37"/>
      <c r="H44" s="37"/>
      <c r="I44" s="37"/>
      <c r="J44" s="37"/>
      <c r="K44" s="37"/>
      <c r="L44" s="37"/>
      <c r="M44" s="37"/>
    </row>
    <row r="45" spans="2:82" ht="5.0999999999999996" hidden="1" customHeight="1" x14ac:dyDescent="0.2"/>
    <row r="46" spans="2:82" hidden="1" x14ac:dyDescent="0.2">
      <c r="B46" t="s">
        <v>28</v>
      </c>
    </row>
    <row r="47" spans="2:82" ht="5.0999999999999996" hidden="1" customHeight="1" x14ac:dyDescent="0.2"/>
    <row r="48" spans="2:82" s="31" customFormat="1" ht="59.25" hidden="1" customHeight="1" x14ac:dyDescent="0.2">
      <c r="B48" s="546" t="s">
        <v>29</v>
      </c>
      <c r="C48" s="547"/>
      <c r="D48" s="547"/>
      <c r="E48" s="547"/>
      <c r="F48" s="547"/>
      <c r="G48" s="547"/>
      <c r="H48" s="547"/>
      <c r="I48" s="547"/>
      <c r="J48" s="547"/>
      <c r="K48" s="547"/>
      <c r="L48" s="547"/>
      <c r="M48" s="548"/>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row>
    <row r="49" spans="2:82" ht="5.0999999999999996" hidden="1" customHeight="1" x14ac:dyDescent="0.2"/>
    <row r="50" spans="2:82" hidden="1" x14ac:dyDescent="0.2">
      <c r="B50" t="s">
        <v>30</v>
      </c>
    </row>
    <row r="51" spans="2:82" ht="5.0999999999999996" hidden="1" customHeight="1" x14ac:dyDescent="0.2"/>
    <row r="52" spans="2:82" ht="37.5" hidden="1" customHeight="1" x14ac:dyDescent="0.2">
      <c r="B52" s="546" t="s">
        <v>31</v>
      </c>
      <c r="C52" s="547"/>
      <c r="D52" s="547"/>
      <c r="E52" s="547"/>
      <c r="F52" s="547"/>
      <c r="G52" s="547"/>
      <c r="H52" s="547"/>
      <c r="I52" s="547"/>
      <c r="J52" s="547"/>
      <c r="K52" s="547"/>
      <c r="L52" s="547"/>
      <c r="M52" s="548"/>
    </row>
    <row r="53" spans="2:82" ht="5.0999999999999996" hidden="1" customHeight="1" x14ac:dyDescent="0.2"/>
    <row r="54" spans="2:82" hidden="1" x14ac:dyDescent="0.2">
      <c r="B54" t="s">
        <v>32</v>
      </c>
    </row>
    <row r="55" spans="2:82" ht="5.0999999999999996" hidden="1" customHeight="1" x14ac:dyDescent="0.2"/>
    <row r="56" spans="2:82" hidden="1" x14ac:dyDescent="0.2">
      <c r="B56" s="546" t="s">
        <v>33</v>
      </c>
      <c r="C56" s="547"/>
      <c r="D56" s="547"/>
      <c r="E56" s="547"/>
      <c r="F56" s="547"/>
      <c r="G56" s="547"/>
      <c r="H56" s="547"/>
      <c r="I56" s="547"/>
      <c r="J56" s="547"/>
      <c r="K56" s="547"/>
      <c r="L56" s="547"/>
      <c r="M56" s="548"/>
    </row>
    <row r="57" spans="2:82" ht="5.0999999999999996" hidden="1" customHeight="1" x14ac:dyDescent="0.2"/>
    <row r="58" spans="2:82" hidden="1" x14ac:dyDescent="0.2">
      <c r="B58" t="s">
        <v>34</v>
      </c>
    </row>
    <row r="59" spans="2:82" ht="5.0999999999999996" hidden="1" customHeight="1" x14ac:dyDescent="0.2"/>
    <row r="60" spans="2:82" hidden="1" x14ac:dyDescent="0.2">
      <c r="B60" s="546" t="s">
        <v>35</v>
      </c>
      <c r="C60" s="547"/>
      <c r="D60" s="547"/>
      <c r="E60" s="547"/>
      <c r="F60" s="547"/>
      <c r="G60" s="547"/>
      <c r="H60" s="547"/>
      <c r="I60" s="547"/>
      <c r="J60" s="547"/>
      <c r="K60" s="547"/>
      <c r="L60" s="547"/>
      <c r="M60" s="548"/>
    </row>
    <row r="61" spans="2:82" ht="5.0999999999999996" hidden="1" customHeight="1" x14ac:dyDescent="0.2">
      <c r="B61" s="49"/>
      <c r="C61" s="49"/>
      <c r="E61" s="49"/>
    </row>
    <row r="62" spans="2:82" s="32" customFormat="1" hidden="1" x14ac:dyDescent="0.2">
      <c r="B62" s="50" t="s">
        <v>36</v>
      </c>
      <c r="C62" s="51"/>
      <c r="E62" s="51"/>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row>
    <row r="63" spans="2:82" s="32" customFormat="1" ht="5.0999999999999996" hidden="1" customHeight="1" x14ac:dyDescent="0.2">
      <c r="B63" s="51"/>
      <c r="C63" s="51"/>
      <c r="E63" s="51"/>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row>
    <row r="64" spans="2:82" s="32" customFormat="1" ht="15" hidden="1" customHeight="1" x14ac:dyDescent="0.2">
      <c r="B64" s="582" t="s">
        <v>37</v>
      </c>
      <c r="C64" s="582"/>
      <c r="D64" s="582"/>
      <c r="E64" s="582"/>
      <c r="F64" s="582"/>
      <c r="H64" s="583" t="s">
        <v>38</v>
      </c>
      <c r="I64" s="584"/>
      <c r="J64" s="585"/>
      <c r="L64" s="583" t="s">
        <v>39</v>
      </c>
      <c r="M64" s="585"/>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row>
    <row r="65" spans="2:82" s="32" customFormat="1" ht="45.2" hidden="1" customHeight="1" x14ac:dyDescent="0.2">
      <c r="B65" s="573" t="s">
        <v>40</v>
      </c>
      <c r="C65" s="574"/>
      <c r="D65" s="574"/>
      <c r="E65" s="574"/>
      <c r="F65" s="575"/>
      <c r="H65" s="576" t="s">
        <v>41</v>
      </c>
      <c r="I65" s="577"/>
      <c r="J65" s="578"/>
      <c r="K65" s="61"/>
      <c r="L65" s="576"/>
      <c r="M65" s="578"/>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row>
    <row r="66" spans="2:82" s="32" customFormat="1" ht="45.2" hidden="1" customHeight="1" x14ac:dyDescent="0.2">
      <c r="B66" s="573" t="s">
        <v>42</v>
      </c>
      <c r="C66" s="574"/>
      <c r="D66" s="574"/>
      <c r="E66" s="574"/>
      <c r="F66" s="575"/>
      <c r="H66" s="576" t="s">
        <v>43</v>
      </c>
      <c r="I66" s="577"/>
      <c r="J66" s="578"/>
      <c r="K66" s="61"/>
      <c r="L66" s="576"/>
      <c r="M66" s="578"/>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row>
    <row r="67" spans="2:82" s="32" customFormat="1" ht="50.25" hidden="1" customHeight="1" x14ac:dyDescent="0.2">
      <c r="B67" s="573" t="s">
        <v>44</v>
      </c>
      <c r="C67" s="574"/>
      <c r="D67" s="574"/>
      <c r="E67" s="574"/>
      <c r="F67" s="575"/>
      <c r="H67" s="576" t="s">
        <v>45</v>
      </c>
      <c r="I67" s="577"/>
      <c r="J67" s="578"/>
      <c r="K67" s="61"/>
      <c r="L67" s="576" t="s">
        <v>46</v>
      </c>
      <c r="M67" s="578"/>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row>
    <row r="68" spans="2:82" ht="5.0999999999999996" hidden="1" customHeight="1" x14ac:dyDescent="0.2"/>
    <row r="69" spans="2:82" hidden="1" x14ac:dyDescent="0.2">
      <c r="B69" t="s">
        <v>47</v>
      </c>
    </row>
    <row r="70" spans="2:82" ht="5.0999999999999996" hidden="1" customHeight="1" x14ac:dyDescent="0.2"/>
    <row r="71" spans="2:82" s="31" customFormat="1" ht="30" hidden="1" customHeight="1" x14ac:dyDescent="0.2">
      <c r="B71" s="546" t="s">
        <v>48</v>
      </c>
      <c r="C71" s="547"/>
      <c r="D71" s="547"/>
      <c r="E71" s="547"/>
      <c r="F71" s="547"/>
      <c r="G71" s="547"/>
      <c r="H71" s="547"/>
      <c r="I71" s="547"/>
      <c r="J71" s="547"/>
      <c r="K71" s="547"/>
      <c r="L71" s="547"/>
      <c r="M71" s="548"/>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row>
    <row r="72" spans="2:82" ht="5.0999999999999996" hidden="1" customHeight="1" x14ac:dyDescent="0.2"/>
    <row r="73" spans="2:82" ht="5.0999999999999996" hidden="1" customHeight="1" x14ac:dyDescent="0.2"/>
    <row r="74" spans="2:82" ht="15" hidden="1" customHeight="1" x14ac:dyDescent="0.2">
      <c r="B74" s="32" t="s">
        <v>49</v>
      </c>
    </row>
    <row r="75" spans="2:82" ht="5.0999999999999996" hidden="1" customHeight="1" x14ac:dyDescent="0.2"/>
    <row r="76" spans="2:82" s="31" customFormat="1" ht="30" hidden="1" customHeight="1" x14ac:dyDescent="0.2">
      <c r="B76" s="546" t="s">
        <v>50</v>
      </c>
      <c r="C76" s="547"/>
      <c r="D76" s="547"/>
      <c r="E76" s="547"/>
      <c r="F76" s="547"/>
      <c r="G76" s="547"/>
      <c r="H76" s="547"/>
      <c r="I76" s="547"/>
      <c r="J76" s="547"/>
      <c r="K76" s="547"/>
      <c r="L76" s="547"/>
      <c r="M76" s="548"/>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row>
    <row r="77" spans="2:82" ht="5.0999999999999996" hidden="1" customHeight="1" x14ac:dyDescent="0.2"/>
    <row r="78" spans="2:82" hidden="1" x14ac:dyDescent="0.2">
      <c r="B78" t="s">
        <v>51</v>
      </c>
    </row>
    <row r="79" spans="2:82" ht="27.2" hidden="1" customHeight="1" x14ac:dyDescent="0.2">
      <c r="B79" s="546" t="s">
        <v>52</v>
      </c>
      <c r="C79" s="547"/>
      <c r="D79" s="547"/>
      <c r="E79" s="547"/>
      <c r="F79" s="547"/>
      <c r="G79" s="547"/>
      <c r="H79" s="547"/>
      <c r="I79" s="547"/>
      <c r="J79" s="547"/>
      <c r="K79" s="547"/>
      <c r="L79" s="547"/>
      <c r="M79" s="548"/>
    </row>
    <row r="80" spans="2:82" ht="5.0999999999999996" hidden="1" customHeight="1" x14ac:dyDescent="0.2"/>
    <row r="81" spans="2:13" hidden="1" x14ac:dyDescent="0.2">
      <c r="B81" t="s">
        <v>53</v>
      </c>
    </row>
    <row r="82" spans="2:13" ht="5.0999999999999996" hidden="1" customHeight="1" x14ac:dyDescent="0.2"/>
    <row r="83" spans="2:13" ht="27.2" hidden="1" customHeight="1" x14ac:dyDescent="0.2">
      <c r="B83" s="546" t="s">
        <v>54</v>
      </c>
      <c r="C83" s="547"/>
      <c r="D83" s="547"/>
      <c r="E83" s="547"/>
      <c r="F83" s="547"/>
      <c r="G83" s="547"/>
      <c r="H83" s="547"/>
      <c r="I83" s="547"/>
      <c r="J83" s="547"/>
      <c r="K83" s="547"/>
      <c r="L83" s="547"/>
      <c r="M83" s="548"/>
    </row>
    <row r="84" spans="2:13" ht="5.0999999999999996" hidden="1" customHeight="1" x14ac:dyDescent="0.2"/>
    <row r="85" spans="2:13" hidden="1" x14ac:dyDescent="0.2">
      <c r="B85" t="s">
        <v>55</v>
      </c>
    </row>
    <row r="86" spans="2:13" ht="5.0999999999999996" hidden="1" customHeight="1" x14ac:dyDescent="0.2"/>
    <row r="87" spans="2:13" hidden="1" x14ac:dyDescent="0.2">
      <c r="B87" s="579" t="s">
        <v>56</v>
      </c>
      <c r="C87" s="580"/>
      <c r="D87" s="580"/>
      <c r="E87" s="580"/>
      <c r="F87" s="580"/>
      <c r="G87" s="580"/>
      <c r="H87" s="580"/>
      <c r="I87" s="580"/>
      <c r="J87" s="580"/>
      <c r="K87" s="580"/>
      <c r="L87" s="580"/>
      <c r="M87" s="581"/>
    </row>
    <row r="88" spans="2:13" ht="5.0999999999999996" hidden="1" customHeight="1" x14ac:dyDescent="0.2"/>
    <row r="89" spans="2:13" hidden="1" x14ac:dyDescent="0.2">
      <c r="B89" t="s">
        <v>57</v>
      </c>
    </row>
    <row r="90" spans="2:13" ht="5.0999999999999996" hidden="1" customHeight="1" x14ac:dyDescent="0.2"/>
    <row r="91" spans="2:13" hidden="1" x14ac:dyDescent="0.2">
      <c r="B91" s="34" t="s">
        <v>58</v>
      </c>
      <c r="F91" s="546" t="s">
        <v>59</v>
      </c>
      <c r="G91" s="547"/>
      <c r="H91" s="547"/>
      <c r="I91" s="547"/>
      <c r="J91" s="547"/>
      <c r="K91" s="547"/>
      <c r="L91" s="547"/>
      <c r="M91" s="548"/>
    </row>
    <row r="92" spans="2:13" ht="5.0999999999999996" hidden="1" customHeight="1" x14ac:dyDescent="0.2">
      <c r="B92" s="34"/>
    </row>
    <row r="93" spans="2:13" ht="27.2" hidden="1" customHeight="1" x14ac:dyDescent="0.2">
      <c r="B93" s="34" t="s">
        <v>60</v>
      </c>
      <c r="F93" s="546" t="s">
        <v>61</v>
      </c>
      <c r="G93" s="547"/>
      <c r="H93" s="547"/>
      <c r="I93" s="547"/>
      <c r="J93" s="547"/>
      <c r="K93" s="547"/>
      <c r="L93" s="547"/>
      <c r="M93" s="548"/>
    </row>
    <row r="94" spans="2:13" ht="5.0999999999999996" hidden="1" customHeight="1" x14ac:dyDescent="0.2">
      <c r="B94" s="34"/>
    </row>
    <row r="95" spans="2:13" hidden="1" x14ac:dyDescent="0.2">
      <c r="B95" s="34" t="s">
        <v>62</v>
      </c>
      <c r="F95" s="546" t="s">
        <v>63</v>
      </c>
      <c r="G95" s="547"/>
      <c r="H95" s="547"/>
      <c r="I95" s="547"/>
      <c r="J95" s="547"/>
      <c r="K95" s="547"/>
      <c r="L95" s="547"/>
      <c r="M95" s="548"/>
    </row>
    <row r="96" spans="2:13" ht="5.0999999999999996" hidden="1" customHeight="1" x14ac:dyDescent="0.2"/>
    <row r="97" spans="2:13" hidden="1" x14ac:dyDescent="0.2">
      <c r="B97" t="s">
        <v>64</v>
      </c>
    </row>
    <row r="98" spans="2:13" hidden="1" x14ac:dyDescent="0.2">
      <c r="B98" t="s">
        <v>65</v>
      </c>
    </row>
    <row r="99" spans="2:13" ht="5.0999999999999996" hidden="1" customHeight="1" x14ac:dyDescent="0.2"/>
    <row r="100" spans="2:13" hidden="1" x14ac:dyDescent="0.2">
      <c r="B100" t="s">
        <v>66</v>
      </c>
      <c r="C100" s="549" t="s">
        <v>67</v>
      </c>
      <c r="D100" s="550"/>
      <c r="F100" s="55"/>
      <c r="G100" s="56"/>
      <c r="H100" s="56"/>
      <c r="I100" s="56"/>
      <c r="J100" s="56"/>
      <c r="K100" s="56"/>
      <c r="L100" s="56"/>
      <c r="M100" s="62"/>
    </row>
    <row r="101" spans="2:13" ht="5.0999999999999996" hidden="1" customHeight="1" x14ac:dyDescent="0.2">
      <c r="F101" s="57"/>
      <c r="M101" s="63"/>
    </row>
    <row r="102" spans="2:13" hidden="1" x14ac:dyDescent="0.2">
      <c r="B102" t="s">
        <v>68</v>
      </c>
      <c r="F102" s="58"/>
      <c r="G102" s="59"/>
      <c r="H102" s="59"/>
      <c r="I102" s="59"/>
      <c r="J102" s="59"/>
      <c r="K102" s="59"/>
      <c r="L102" s="59"/>
      <c r="M102" s="64"/>
    </row>
    <row r="103" spans="2:13" ht="5.0999999999999996" hidden="1" customHeight="1" x14ac:dyDescent="0.2"/>
    <row r="104" spans="2:13" hidden="1" x14ac:dyDescent="0.2">
      <c r="B104" t="s">
        <v>69</v>
      </c>
      <c r="M104" s="40" t="s">
        <v>70</v>
      </c>
    </row>
    <row r="105" spans="2:13" hidden="1" x14ac:dyDescent="0.2">
      <c r="B105" t="s">
        <v>71</v>
      </c>
    </row>
    <row r="106" spans="2:13" ht="5.0999999999999996" hidden="1" customHeight="1" x14ac:dyDescent="0.2"/>
    <row r="107" spans="2:13" ht="27.75" hidden="1" customHeight="1" x14ac:dyDescent="0.2">
      <c r="B107" s="551" t="s">
        <v>72</v>
      </c>
      <c r="C107" s="551"/>
      <c r="D107" s="551"/>
      <c r="E107" s="551"/>
      <c r="F107" s="551"/>
      <c r="G107" s="551"/>
      <c r="H107" s="551"/>
      <c r="I107" s="551"/>
      <c r="J107" s="551"/>
      <c r="K107" s="551"/>
      <c r="L107" s="551"/>
      <c r="M107" s="65" t="e">
        <f>-+'[1]Flujos y VAN'!$M$34</f>
        <v>#REF!</v>
      </c>
    </row>
    <row r="108" spans="2:13" ht="5.0999999999999996" hidden="1" customHeight="1" x14ac:dyDescent="0.2"/>
    <row r="109" spans="2:13" ht="15" hidden="1" customHeight="1" x14ac:dyDescent="0.2">
      <c r="B109" s="32" t="s">
        <v>73</v>
      </c>
      <c r="M109" s="65" t="e">
        <f>+'[1]Flujos y VAN'!$W$3</f>
        <v>#REF!</v>
      </c>
    </row>
    <row r="110" spans="2:13" ht="5.0999999999999996" hidden="1" customHeight="1" x14ac:dyDescent="0.2"/>
    <row r="111" spans="2:13" hidden="1" x14ac:dyDescent="0.2">
      <c r="B111" t="s">
        <v>74</v>
      </c>
    </row>
    <row r="112" spans="2:13" hidden="1" x14ac:dyDescent="0.2">
      <c r="B112" t="s">
        <v>75</v>
      </c>
      <c r="M112" s="40" t="s">
        <v>70</v>
      </c>
    </row>
    <row r="113" spans="2:13" ht="5.0999999999999996" hidden="1" customHeight="1" x14ac:dyDescent="0.2"/>
    <row r="114" spans="2:13" hidden="1" x14ac:dyDescent="0.2">
      <c r="B114" t="s">
        <v>76</v>
      </c>
    </row>
    <row r="115" spans="2:13" hidden="1" x14ac:dyDescent="0.2">
      <c r="B115" s="41" t="s">
        <v>77</v>
      </c>
      <c r="C115" s="42"/>
      <c r="D115" s="42"/>
      <c r="E115" s="42"/>
      <c r="F115" s="42"/>
      <c r="G115" s="42"/>
      <c r="H115" s="42"/>
      <c r="I115" s="42"/>
      <c r="J115" s="42"/>
      <c r="K115" s="42"/>
      <c r="L115" s="42"/>
      <c r="M115" s="53"/>
    </row>
    <row r="116" spans="2:13" ht="5.0999999999999996" hidden="1" customHeight="1" x14ac:dyDescent="0.2"/>
    <row r="117" spans="2:13" hidden="1" x14ac:dyDescent="0.2">
      <c r="B117" t="s">
        <v>78</v>
      </c>
      <c r="L117" s="40" t="s">
        <v>67</v>
      </c>
    </row>
    <row r="118" spans="2:13" ht="5.0999999999999996" hidden="1" customHeight="1" x14ac:dyDescent="0.2"/>
    <row r="119" spans="2:13" hidden="1" x14ac:dyDescent="0.2">
      <c r="B119" t="s">
        <v>79</v>
      </c>
      <c r="J119" s="55"/>
      <c r="K119" s="56"/>
      <c r="L119" s="56"/>
      <c r="M119" s="62"/>
    </row>
    <row r="120" spans="2:13" hidden="1" x14ac:dyDescent="0.2">
      <c r="J120" s="58"/>
      <c r="K120" s="59"/>
      <c r="L120" s="59"/>
      <c r="M120" s="64"/>
    </row>
    <row r="121" spans="2:13" ht="5.0999999999999996" hidden="1" customHeight="1" x14ac:dyDescent="0.2"/>
    <row r="122" spans="2:13" hidden="1" x14ac:dyDescent="0.2">
      <c r="B122" t="s">
        <v>80</v>
      </c>
    </row>
    <row r="123" spans="2:13" ht="5.0999999999999996" hidden="1" customHeight="1" x14ac:dyDescent="0.2"/>
    <row r="124" spans="2:13" hidden="1" x14ac:dyDescent="0.2">
      <c r="B124" s="43" t="s">
        <v>81</v>
      </c>
      <c r="C124" s="44"/>
      <c r="D124" s="45" t="s">
        <v>82</v>
      </c>
      <c r="E124" s="46"/>
      <c r="F124" s="46"/>
      <c r="G124" s="46"/>
      <c r="H124" s="46"/>
      <c r="I124" s="46"/>
      <c r="J124" s="46"/>
      <c r="K124" s="46"/>
      <c r="L124" s="46"/>
      <c r="M124" s="54"/>
    </row>
    <row r="125" spans="2:13" hidden="1" x14ac:dyDescent="0.2">
      <c r="B125" s="47"/>
      <c r="C125" s="48"/>
      <c r="D125" s="41"/>
      <c r="E125" s="60"/>
      <c r="F125" s="42"/>
      <c r="G125" s="42"/>
      <c r="H125" s="42"/>
      <c r="I125" s="42"/>
      <c r="J125" s="42"/>
      <c r="K125" s="42"/>
      <c r="L125" s="42"/>
      <c r="M125" s="53"/>
    </row>
    <row r="126" spans="2:13" hidden="1" x14ac:dyDescent="0.2">
      <c r="B126" s="47"/>
      <c r="C126" s="48"/>
      <c r="D126" s="41"/>
      <c r="E126" s="60"/>
      <c r="F126" s="42"/>
      <c r="G126" s="42"/>
      <c r="H126" s="42"/>
      <c r="I126" s="42"/>
      <c r="J126" s="42"/>
      <c r="K126" s="42"/>
      <c r="L126" s="42"/>
      <c r="M126" s="53"/>
    </row>
    <row r="127" spans="2:13" hidden="1" x14ac:dyDescent="0.2">
      <c r="B127" s="47"/>
      <c r="C127" s="48"/>
      <c r="D127" s="41"/>
      <c r="E127" s="60"/>
      <c r="F127" s="42"/>
      <c r="G127" s="42"/>
      <c r="H127" s="42"/>
      <c r="I127" s="42"/>
      <c r="J127" s="42"/>
      <c r="K127" s="42"/>
      <c r="L127" s="42"/>
      <c r="M127" s="53"/>
    </row>
    <row r="128" spans="2:13" hidden="1" x14ac:dyDescent="0.2">
      <c r="B128" s="47"/>
      <c r="C128" s="48"/>
      <c r="D128" s="41"/>
      <c r="E128" s="60"/>
      <c r="F128" s="42"/>
      <c r="G128" s="42"/>
      <c r="H128" s="42"/>
      <c r="I128" s="42"/>
      <c r="J128" s="42"/>
      <c r="K128" s="42"/>
      <c r="L128" s="42"/>
      <c r="M128" s="53"/>
    </row>
    <row r="129" spans="2:85" ht="9.9499999999999993" hidden="1" customHeight="1" x14ac:dyDescent="0.2">
      <c r="CE129" s="123"/>
      <c r="CF129" s="124"/>
      <c r="CG129" s="125"/>
    </row>
    <row r="130" spans="2:85" x14ac:dyDescent="0.2">
      <c r="B130" s="37" t="s">
        <v>270</v>
      </c>
      <c r="C130" s="37"/>
      <c r="D130" s="37"/>
      <c r="E130" s="37"/>
      <c r="F130" s="37"/>
      <c r="G130" s="37"/>
      <c r="H130" s="37"/>
      <c r="I130" s="37"/>
      <c r="J130" s="37"/>
      <c r="K130" s="37"/>
      <c r="L130" s="37"/>
      <c r="M130" s="37"/>
      <c r="N130" s="37"/>
      <c r="O130" s="37"/>
      <c r="P130" s="37"/>
      <c r="Q130" s="37"/>
      <c r="CE130" s="123"/>
      <c r="CF130" s="126" t="s">
        <v>84</v>
      </c>
      <c r="CG130" s="125"/>
    </row>
    <row r="131" spans="2:85" ht="5.0999999999999996" customHeight="1" x14ac:dyDescent="0.2">
      <c r="CE131" s="127"/>
      <c r="CG131" s="128"/>
    </row>
    <row r="132" spans="2:85" ht="15" customHeight="1" x14ac:dyDescent="0.2">
      <c r="B132" s="66" t="s">
        <v>85</v>
      </c>
      <c r="C132" s="67"/>
      <c r="D132" s="67"/>
      <c r="E132" s="67"/>
      <c r="F132" s="67"/>
      <c r="G132" s="67"/>
      <c r="H132" s="67"/>
      <c r="I132" s="67"/>
      <c r="J132" s="67"/>
      <c r="K132" s="67"/>
      <c r="L132" s="103"/>
      <c r="M132" s="67"/>
      <c r="N132" s="67"/>
      <c r="O132" s="67"/>
      <c r="P132" s="67"/>
      <c r="Q132" s="119"/>
      <c r="CE132" s="127"/>
      <c r="CF132" s="68" t="s">
        <v>86</v>
      </c>
      <c r="CG132" s="128"/>
    </row>
    <row r="133" spans="2:85" ht="5.0999999999999996" customHeight="1" x14ac:dyDescent="0.2">
      <c r="B133" s="68"/>
      <c r="H133" s="69"/>
      <c r="I133" s="69"/>
      <c r="J133" s="69"/>
      <c r="L133" s="104"/>
      <c r="Q133" s="120"/>
      <c r="CE133" s="127"/>
      <c r="CG133" s="128"/>
    </row>
    <row r="134" spans="2:85" ht="72" customHeight="1" x14ac:dyDescent="0.2">
      <c r="B134" s="68" t="s">
        <v>87</v>
      </c>
      <c r="H134" s="70" t="s">
        <v>271</v>
      </c>
      <c r="I134" s="69"/>
      <c r="K134" s="69"/>
      <c r="L134" s="69"/>
      <c r="Q134" s="120"/>
      <c r="CE134" s="127"/>
      <c r="CF134" s="69" t="s">
        <v>89</v>
      </c>
      <c r="CG134" s="128"/>
    </row>
    <row r="135" spans="2:85" ht="5.0999999999999996" customHeight="1" x14ac:dyDescent="0.2">
      <c r="Q135" s="120"/>
      <c r="CE135" s="127"/>
      <c r="CG135" s="128"/>
    </row>
    <row r="136" spans="2:85" x14ac:dyDescent="0.2">
      <c r="B136" s="719" t="s">
        <v>90</v>
      </c>
      <c r="C136" s="720"/>
      <c r="D136" s="720"/>
      <c r="E136" s="720"/>
      <c r="F136" s="721"/>
      <c r="H136" s="71">
        <v>0</v>
      </c>
      <c r="J136" s="32" t="s">
        <v>272</v>
      </c>
      <c r="CE136" s="127"/>
      <c r="CF136" s="129">
        <f>+H174+H195</f>
        <v>0</v>
      </c>
      <c r="CG136" s="128"/>
    </row>
    <row r="137" spans="2:85" ht="5.0999999999999996" customHeight="1" x14ac:dyDescent="0.2">
      <c r="J137" s="32"/>
      <c r="CE137" s="130"/>
      <c r="CF137" s="131"/>
      <c r="CG137" s="132"/>
    </row>
    <row r="138" spans="2:85" x14ac:dyDescent="0.2">
      <c r="B138" s="719" t="s">
        <v>92</v>
      </c>
      <c r="C138" s="720"/>
      <c r="D138" s="720"/>
      <c r="E138" s="720"/>
      <c r="F138" s="721"/>
      <c r="H138" s="72">
        <v>43466</v>
      </c>
      <c r="J138" s="32" t="s">
        <v>273</v>
      </c>
    </row>
    <row r="139" spans="2:85" ht="5.0999999999999996" customHeight="1" x14ac:dyDescent="0.2">
      <c r="H139" s="73"/>
    </row>
    <row r="140" spans="2:85" x14ac:dyDescent="0.2">
      <c r="B140" s="719" t="s">
        <v>95</v>
      </c>
      <c r="C140" s="720"/>
      <c r="D140" s="720"/>
      <c r="E140" s="720"/>
      <c r="F140" s="721"/>
      <c r="H140" s="72">
        <v>44196</v>
      </c>
    </row>
    <row r="141" spans="2:85" ht="5.0999999999999996" customHeight="1" x14ac:dyDescent="0.2">
      <c r="L141" s="104"/>
      <c r="Q141" s="120"/>
    </row>
    <row r="142" spans="2:85" x14ac:dyDescent="0.2">
      <c r="B142" s="719" t="s">
        <v>96</v>
      </c>
      <c r="C142" s="720"/>
      <c r="D142" s="720"/>
      <c r="E142" s="720"/>
      <c r="F142" s="721"/>
      <c r="H142" s="74">
        <f>(+H140-H138)/30</f>
        <v>24.333333333333332</v>
      </c>
      <c r="K142" s="105"/>
      <c r="L142" s="104"/>
    </row>
    <row r="143" spans="2:85" ht="5.0999999999999996" customHeight="1" x14ac:dyDescent="0.2">
      <c r="L143" s="104"/>
    </row>
    <row r="144" spans="2:85" ht="15" customHeight="1" x14ac:dyDescent="0.2">
      <c r="B144" s="75" t="s">
        <v>274</v>
      </c>
      <c r="C144" s="67"/>
      <c r="D144" s="67"/>
      <c r="E144" s="67"/>
      <c r="F144" s="67"/>
      <c r="G144" s="67"/>
      <c r="H144" s="67"/>
      <c r="I144" s="67"/>
      <c r="J144" s="103" t="s">
        <v>99</v>
      </c>
      <c r="K144" s="67"/>
      <c r="L144" s="103"/>
      <c r="M144" s="67"/>
      <c r="N144" s="67"/>
      <c r="O144" s="67"/>
      <c r="P144" s="67"/>
      <c r="Q144" s="67"/>
      <c r="R144" s="67"/>
      <c r="S144" s="67"/>
      <c r="T144" s="67"/>
      <c r="U144" s="67"/>
      <c r="V144" s="67"/>
      <c r="W144" s="67"/>
      <c r="X144" s="67"/>
      <c r="Y144" s="67"/>
      <c r="Z144" s="67"/>
      <c r="AA144" s="67"/>
      <c r="AB144" s="67"/>
      <c r="AC144" s="67"/>
      <c r="AD144" s="67"/>
      <c r="AE144" s="67"/>
      <c r="AF144" s="67"/>
      <c r="AG144" s="67"/>
      <c r="AH144" s="67"/>
      <c r="AI144" s="67"/>
      <c r="AJ144" s="67"/>
      <c r="AK144" s="67"/>
      <c r="AL144" s="67"/>
      <c r="AM144" s="67"/>
      <c r="AN144" s="67"/>
      <c r="AO144" s="67"/>
      <c r="AP144" s="67"/>
      <c r="AQ144" s="67"/>
      <c r="AR144" s="67"/>
      <c r="AS144" s="67"/>
      <c r="AT144" s="67"/>
      <c r="AU144" s="67"/>
      <c r="AV144" s="67"/>
      <c r="AW144" s="67"/>
      <c r="AX144" s="67"/>
      <c r="AY144" s="67"/>
      <c r="AZ144" s="67"/>
      <c r="BA144" s="67"/>
      <c r="BB144" s="67"/>
      <c r="BC144" s="67"/>
      <c r="BD144" s="67"/>
      <c r="BE144" s="67"/>
      <c r="BF144" s="67"/>
      <c r="BG144" s="67"/>
      <c r="BH144" s="67"/>
      <c r="BI144" s="67"/>
      <c r="BJ144" s="67"/>
      <c r="BK144" s="67"/>
      <c r="BL144" s="67"/>
      <c r="BM144" s="67"/>
      <c r="BN144" s="67"/>
      <c r="BO144" s="67"/>
      <c r="BP144" s="67"/>
      <c r="BQ144" s="67"/>
      <c r="BR144" s="67"/>
      <c r="BS144" s="67"/>
      <c r="BT144" s="67"/>
      <c r="BU144" s="67"/>
      <c r="BV144" s="67"/>
      <c r="BW144" s="67"/>
      <c r="BX144" s="67"/>
      <c r="BY144" s="67"/>
      <c r="BZ144" s="67"/>
      <c r="CA144" s="67"/>
      <c r="CB144" s="67"/>
      <c r="CC144" s="67"/>
    </row>
    <row r="145" spans="2:89" ht="5.0999999999999996" customHeight="1" x14ac:dyDescent="0.2">
      <c r="J145">
        <v>1</v>
      </c>
      <c r="K145">
        <v>2</v>
      </c>
      <c r="L145">
        <v>3</v>
      </c>
      <c r="M145">
        <v>4</v>
      </c>
      <c r="N145">
        <v>5</v>
      </c>
      <c r="O145">
        <v>6</v>
      </c>
      <c r="P145">
        <v>7</v>
      </c>
      <c r="Q145">
        <v>8</v>
      </c>
      <c r="R145">
        <v>9</v>
      </c>
      <c r="S145">
        <v>10</v>
      </c>
      <c r="T145">
        <v>11</v>
      </c>
      <c r="U145">
        <v>12</v>
      </c>
      <c r="V145">
        <v>13</v>
      </c>
      <c r="W145">
        <v>14</v>
      </c>
      <c r="X145">
        <v>15</v>
      </c>
      <c r="Y145">
        <v>16</v>
      </c>
      <c r="Z145">
        <v>17</v>
      </c>
      <c r="AA145">
        <v>18</v>
      </c>
      <c r="AB145">
        <v>19</v>
      </c>
      <c r="AC145">
        <v>20</v>
      </c>
      <c r="AD145">
        <v>21</v>
      </c>
      <c r="AE145">
        <v>22</v>
      </c>
      <c r="AF145">
        <v>23</v>
      </c>
      <c r="AG145">
        <v>24</v>
      </c>
      <c r="AH145">
        <v>25</v>
      </c>
      <c r="AI145">
        <v>26</v>
      </c>
      <c r="AJ145">
        <v>27</v>
      </c>
      <c r="AK145">
        <v>28</v>
      </c>
      <c r="AL145">
        <v>29</v>
      </c>
      <c r="AM145">
        <v>30</v>
      </c>
      <c r="AN145">
        <v>31</v>
      </c>
      <c r="AO145">
        <v>32</v>
      </c>
      <c r="AP145">
        <v>33</v>
      </c>
      <c r="AQ145">
        <v>34</v>
      </c>
      <c r="AR145">
        <v>35</v>
      </c>
      <c r="AS145">
        <v>36</v>
      </c>
      <c r="AT145">
        <v>37</v>
      </c>
      <c r="AU145">
        <v>38</v>
      </c>
      <c r="AV145">
        <v>39</v>
      </c>
      <c r="AW145">
        <v>40</v>
      </c>
      <c r="AX145">
        <v>41</v>
      </c>
      <c r="AY145">
        <v>42</v>
      </c>
      <c r="AZ145">
        <v>43</v>
      </c>
      <c r="BA145">
        <v>44</v>
      </c>
      <c r="BB145">
        <v>45</v>
      </c>
      <c r="BC145">
        <v>46</v>
      </c>
      <c r="BD145">
        <v>47</v>
      </c>
      <c r="BE145">
        <v>48</v>
      </c>
      <c r="BF145">
        <v>49</v>
      </c>
      <c r="BG145">
        <v>50</v>
      </c>
      <c r="BH145">
        <v>51</v>
      </c>
      <c r="BI145">
        <v>52</v>
      </c>
      <c r="BJ145">
        <v>53</v>
      </c>
      <c r="BK145">
        <v>54</v>
      </c>
      <c r="BL145">
        <v>55</v>
      </c>
      <c r="BM145">
        <v>56</v>
      </c>
      <c r="BN145">
        <v>57</v>
      </c>
      <c r="BO145">
        <v>58</v>
      </c>
      <c r="BP145">
        <v>59</v>
      </c>
      <c r="BQ145">
        <v>60</v>
      </c>
      <c r="BR145">
        <v>61</v>
      </c>
      <c r="BS145">
        <v>62</v>
      </c>
      <c r="BT145">
        <v>63</v>
      </c>
      <c r="BU145">
        <v>64</v>
      </c>
      <c r="BV145">
        <v>65</v>
      </c>
      <c r="BW145">
        <v>66</v>
      </c>
      <c r="BX145">
        <v>67</v>
      </c>
      <c r="BY145">
        <v>68</v>
      </c>
      <c r="BZ145">
        <v>69</v>
      </c>
      <c r="CA145">
        <v>70</v>
      </c>
      <c r="CB145">
        <v>71</v>
      </c>
      <c r="CC145">
        <v>72</v>
      </c>
    </row>
    <row r="146" spans="2:89" ht="26.1" customHeight="1" x14ac:dyDescent="0.2">
      <c r="F146" s="76" t="s">
        <v>275</v>
      </c>
      <c r="G146" s="69"/>
      <c r="J146" s="106" t="e">
        <f>HLOOKUP(J145,Calendarios!$C$4:$YM$5,2,FALSE)</f>
        <v>#N/A</v>
      </c>
      <c r="K146" s="106" t="e">
        <f>HLOOKUP(K145,Calendarios!$C$4:$YM$5,2,FALSE)</f>
        <v>#N/A</v>
      </c>
      <c r="L146" s="106" t="e">
        <f>HLOOKUP(L145,Calendarios!$C$4:$YM$5,2,FALSE)</f>
        <v>#N/A</v>
      </c>
      <c r="M146" s="106" t="e">
        <f>HLOOKUP(M145,Calendarios!$C$4:$YM$5,2,FALSE)</f>
        <v>#N/A</v>
      </c>
      <c r="N146" s="106" t="e">
        <f>HLOOKUP(N145,Calendarios!$C$4:$YM$5,2,FALSE)</f>
        <v>#N/A</v>
      </c>
      <c r="O146" s="106" t="e">
        <f>HLOOKUP(O145,Calendarios!$C$4:$YM$5,2,FALSE)</f>
        <v>#N/A</v>
      </c>
      <c r="P146" s="106" t="e">
        <f>HLOOKUP(P145,Calendarios!$C$4:$YM$5,2,FALSE)</f>
        <v>#N/A</v>
      </c>
      <c r="Q146" s="106" t="e">
        <f>HLOOKUP(Q145,Calendarios!$C$4:$YM$5,2,FALSE)</f>
        <v>#N/A</v>
      </c>
      <c r="R146" s="106" t="e">
        <f>HLOOKUP(R145,Calendarios!$C$4:$YM$5,2,FALSE)</f>
        <v>#N/A</v>
      </c>
      <c r="S146" s="106" t="e">
        <f>HLOOKUP(S145,Calendarios!$C$4:$YM$5,2,FALSE)</f>
        <v>#N/A</v>
      </c>
      <c r="T146" s="106" t="e">
        <f>HLOOKUP(T145,Calendarios!$C$4:$YM$5,2,FALSE)</f>
        <v>#N/A</v>
      </c>
      <c r="U146" s="106" t="e">
        <f>HLOOKUP(U145,Calendarios!$C$4:$YM$5,2,FALSE)</f>
        <v>#N/A</v>
      </c>
      <c r="V146" s="106" t="e">
        <f>HLOOKUP(V145,Calendarios!$C$4:$YM$5,2,FALSE)</f>
        <v>#N/A</v>
      </c>
      <c r="W146" s="106" t="e">
        <f>HLOOKUP(W145,Calendarios!$C$4:$YM$5,2,FALSE)</f>
        <v>#N/A</v>
      </c>
      <c r="X146" s="106" t="e">
        <f>HLOOKUP(X145,Calendarios!$C$4:$YM$5,2,FALSE)</f>
        <v>#N/A</v>
      </c>
      <c r="Y146" s="106" t="e">
        <f>HLOOKUP(Y145,Calendarios!$C$4:$YM$5,2,FALSE)</f>
        <v>#N/A</v>
      </c>
      <c r="Z146" s="106" t="e">
        <f>HLOOKUP(Z145,Calendarios!$C$4:$YM$5,2,FALSE)</f>
        <v>#N/A</v>
      </c>
      <c r="AA146" s="106" t="e">
        <f>HLOOKUP(AA145,Calendarios!$C$4:$YM$5,2,FALSE)</f>
        <v>#N/A</v>
      </c>
      <c r="AB146" s="106" t="e">
        <f>HLOOKUP(AB145,Calendarios!$C$4:$YM$5,2,FALSE)</f>
        <v>#N/A</v>
      </c>
      <c r="AC146" s="106" t="e">
        <f>HLOOKUP(AC145,Calendarios!$C$4:$YM$5,2,FALSE)</f>
        <v>#N/A</v>
      </c>
      <c r="AD146" s="106" t="e">
        <f>HLOOKUP(AD145,Calendarios!$C$4:$YM$5,2,FALSE)</f>
        <v>#N/A</v>
      </c>
      <c r="AE146" s="106" t="e">
        <f>HLOOKUP(AE145,Calendarios!$C$4:$YM$5,2,FALSE)</f>
        <v>#N/A</v>
      </c>
      <c r="AF146" s="106" t="e">
        <f>HLOOKUP(AF145,Calendarios!$C$4:$YM$5,2,FALSE)</f>
        <v>#N/A</v>
      </c>
      <c r="AG146" s="106" t="e">
        <f>HLOOKUP(AG145,Calendarios!$C$4:$YM$5,2,FALSE)</f>
        <v>#N/A</v>
      </c>
      <c r="AH146" s="106" t="e">
        <f>HLOOKUP(AH145,Calendarios!$C$4:$YM$5,2,FALSE)</f>
        <v>#N/A</v>
      </c>
      <c r="AI146" s="106" t="e">
        <f>HLOOKUP(AI145,Calendarios!$C$4:$YM$5,2,FALSE)</f>
        <v>#N/A</v>
      </c>
      <c r="AJ146" s="106" t="e">
        <f>HLOOKUP(AJ145,Calendarios!$C$4:$YM$5,2,FALSE)</f>
        <v>#N/A</v>
      </c>
      <c r="AK146" s="106" t="e">
        <f>HLOOKUP(AK145,Calendarios!$C$4:$YM$5,2,FALSE)</f>
        <v>#N/A</v>
      </c>
      <c r="AL146" s="106" t="e">
        <f>HLOOKUP(AL145,Calendarios!$C$4:$YM$5,2,FALSE)</f>
        <v>#N/A</v>
      </c>
      <c r="AM146" s="106" t="e">
        <f>HLOOKUP(AM145,Calendarios!$C$4:$YM$5,2,FALSE)</f>
        <v>#N/A</v>
      </c>
      <c r="AN146" s="106" t="e">
        <f>HLOOKUP(AN145,Calendarios!$C$4:$YM$5,2,FALSE)</f>
        <v>#N/A</v>
      </c>
      <c r="AO146" s="106" t="e">
        <f>HLOOKUP(AO145,Calendarios!$C$4:$YM$5,2,FALSE)</f>
        <v>#N/A</v>
      </c>
      <c r="AP146" s="106" t="e">
        <f>HLOOKUP(AP145,Calendarios!$C$4:$YM$5,2,FALSE)</f>
        <v>#N/A</v>
      </c>
      <c r="AQ146" s="106" t="e">
        <f>HLOOKUP(AQ145,Calendarios!$C$4:$YM$5,2,FALSE)</f>
        <v>#N/A</v>
      </c>
      <c r="AR146" s="106" t="e">
        <f>HLOOKUP(AR145,Calendarios!$C$4:$YM$5,2,FALSE)</f>
        <v>#N/A</v>
      </c>
      <c r="AS146" s="106" t="e">
        <f>HLOOKUP(AS145,Calendarios!$C$4:$YM$5,2,FALSE)</f>
        <v>#N/A</v>
      </c>
      <c r="AT146" s="106" t="e">
        <f>HLOOKUP(AT145,Calendarios!$C$4:$YM$5,2,FALSE)</f>
        <v>#N/A</v>
      </c>
      <c r="AU146" s="106" t="e">
        <f>HLOOKUP(AU145,Calendarios!$C$4:$YM$5,2,FALSE)</f>
        <v>#N/A</v>
      </c>
      <c r="AV146" s="106" t="e">
        <f>HLOOKUP(AV145,Calendarios!$C$4:$YM$5,2,FALSE)</f>
        <v>#N/A</v>
      </c>
      <c r="AW146" s="106" t="e">
        <f>HLOOKUP(AW145,Calendarios!$C$4:$YM$5,2,FALSE)</f>
        <v>#N/A</v>
      </c>
      <c r="AX146" s="106" t="e">
        <f>HLOOKUP(AX145,Calendarios!$C$4:$YM$5,2,FALSE)</f>
        <v>#N/A</v>
      </c>
      <c r="AY146" s="106" t="e">
        <f>HLOOKUP(AY145,Calendarios!$C$4:$YM$5,2,FALSE)</f>
        <v>#N/A</v>
      </c>
      <c r="AZ146" s="106" t="e">
        <f>HLOOKUP(AZ145,Calendarios!$C$4:$YM$5,2,FALSE)</f>
        <v>#N/A</v>
      </c>
      <c r="BA146" s="106" t="e">
        <f>HLOOKUP(BA145,Calendarios!$C$4:$YM$5,2,FALSE)</f>
        <v>#N/A</v>
      </c>
      <c r="BB146" s="106" t="e">
        <f>HLOOKUP(BB145,Calendarios!$C$4:$YM$5,2,FALSE)</f>
        <v>#N/A</v>
      </c>
      <c r="BC146" s="106" t="e">
        <f>HLOOKUP(BC145,Calendarios!$C$4:$YM$5,2,FALSE)</f>
        <v>#N/A</v>
      </c>
      <c r="BD146" s="106" t="e">
        <f>HLOOKUP(BD145,Calendarios!$C$4:$YM$5,2,FALSE)</f>
        <v>#N/A</v>
      </c>
      <c r="BE146" s="106" t="e">
        <f>HLOOKUP(BE145,Calendarios!$C$4:$YM$5,2,FALSE)</f>
        <v>#N/A</v>
      </c>
      <c r="BF146" s="106" t="e">
        <f>HLOOKUP(BF145,Calendarios!$C$4:$YM$5,2,FALSE)</f>
        <v>#N/A</v>
      </c>
      <c r="BG146" s="106" t="e">
        <f>HLOOKUP(BG145,Calendarios!$C$4:$YM$5,2,FALSE)</f>
        <v>#N/A</v>
      </c>
      <c r="BH146" s="106" t="e">
        <f>HLOOKUP(BH145,Calendarios!$C$4:$YM$5,2,FALSE)</f>
        <v>#N/A</v>
      </c>
      <c r="BI146" s="106" t="e">
        <f>HLOOKUP(BI145,Calendarios!$C$4:$YM$5,2,FALSE)</f>
        <v>#N/A</v>
      </c>
      <c r="BJ146" s="106" t="e">
        <f>HLOOKUP(BJ145,Calendarios!$C$4:$YM$5,2,FALSE)</f>
        <v>#N/A</v>
      </c>
      <c r="BK146" s="106" t="e">
        <f>HLOOKUP(BK145,Calendarios!$C$4:$YM$5,2,FALSE)</f>
        <v>#N/A</v>
      </c>
      <c r="BL146" s="106" t="e">
        <f>HLOOKUP(BL145,Calendarios!$C$4:$YM$5,2,FALSE)</f>
        <v>#N/A</v>
      </c>
      <c r="BM146" s="106" t="e">
        <f>HLOOKUP(BM145,Calendarios!$C$4:$YM$5,2,FALSE)</f>
        <v>#N/A</v>
      </c>
      <c r="BN146" s="106" t="e">
        <f>HLOOKUP(BN145,Calendarios!$C$4:$YM$5,2,FALSE)</f>
        <v>#N/A</v>
      </c>
      <c r="BO146" s="106" t="e">
        <f>HLOOKUP(BO145,Calendarios!$C$4:$YM$5,2,FALSE)</f>
        <v>#N/A</v>
      </c>
      <c r="BP146" s="106" t="e">
        <f>HLOOKUP(BP145,Calendarios!$C$4:$YM$5,2,FALSE)</f>
        <v>#N/A</v>
      </c>
      <c r="BQ146" s="106" t="e">
        <f>HLOOKUP(BQ145,Calendarios!$C$4:$YM$5,2,FALSE)</f>
        <v>#N/A</v>
      </c>
      <c r="BR146" s="106" t="e">
        <f>HLOOKUP(BR145,Calendarios!$C$4:$YM$5,2,FALSE)</f>
        <v>#N/A</v>
      </c>
      <c r="BS146" s="106" t="e">
        <f>HLOOKUP(BS145,Calendarios!$C$4:$YM$5,2,FALSE)</f>
        <v>#N/A</v>
      </c>
      <c r="BT146" s="106" t="e">
        <f>HLOOKUP(BT145,Calendarios!$C$4:$YM$5,2,FALSE)</f>
        <v>#N/A</v>
      </c>
      <c r="BU146" s="106" t="e">
        <f>HLOOKUP(BU145,Calendarios!$C$4:$YM$5,2,FALSE)</f>
        <v>#N/A</v>
      </c>
      <c r="BV146" s="106" t="e">
        <f>HLOOKUP(BV145,Calendarios!$C$4:$YM$5,2,FALSE)</f>
        <v>#N/A</v>
      </c>
      <c r="BW146" s="106" t="e">
        <f>HLOOKUP(BW145,Calendarios!$C$4:$YM$5,2,FALSE)</f>
        <v>#N/A</v>
      </c>
      <c r="BX146" s="106" t="e">
        <f>HLOOKUP(BX145,Calendarios!$C$4:$YM$5,2,FALSE)</f>
        <v>#N/A</v>
      </c>
      <c r="BY146" s="106" t="e">
        <f>HLOOKUP(BY145,Calendarios!$C$4:$YM$5,2,FALSE)</f>
        <v>#N/A</v>
      </c>
      <c r="BZ146" s="106" t="e">
        <f>HLOOKUP(BZ145,Calendarios!$C$4:$YM$5,2,FALSE)</f>
        <v>#N/A</v>
      </c>
      <c r="CA146" s="106" t="e">
        <f>HLOOKUP(CA145,Calendarios!$C$4:$YM$5,2,FALSE)</f>
        <v>#N/A</v>
      </c>
      <c r="CB146" s="106" t="e">
        <f>HLOOKUP(CB145,Calendarios!$C$4:$YM$5,2,FALSE)</f>
        <v>#N/A</v>
      </c>
      <c r="CC146" s="106" t="e">
        <f>HLOOKUP(CC145,Calendarios!$C$4:$YM$5,2,FALSE)</f>
        <v>#N/A</v>
      </c>
    </row>
    <row r="147" spans="2:89" ht="5.0999999999999996" customHeight="1" x14ac:dyDescent="0.2">
      <c r="J147" s="32"/>
      <c r="K147" s="32"/>
      <c r="L147" s="32"/>
      <c r="M147" s="32"/>
      <c r="N147" s="32"/>
      <c r="O147" s="32"/>
      <c r="P147" s="32"/>
      <c r="Q147" s="32"/>
      <c r="R147" s="32"/>
      <c r="S147" s="32"/>
      <c r="T147" s="32"/>
      <c r="U147" s="32"/>
      <c r="V147" s="32"/>
      <c r="W147" s="32"/>
      <c r="X147" s="32"/>
      <c r="Y147" s="32"/>
      <c r="Z147" s="32"/>
      <c r="AA147" s="32"/>
      <c r="AB147" s="32"/>
      <c r="AC147" s="32"/>
      <c r="AD147" s="32"/>
      <c r="AE147" s="32"/>
      <c r="AF147" s="32"/>
      <c r="AG147" s="32"/>
      <c r="AH147" s="32"/>
      <c r="AI147" s="32"/>
      <c r="AJ147" s="32"/>
      <c r="AK147" s="32"/>
      <c r="AL147" s="32"/>
      <c r="AM147" s="32"/>
      <c r="AN147" s="32"/>
      <c r="AO147" s="32"/>
      <c r="AP147" s="32"/>
      <c r="AQ147" s="32"/>
      <c r="AR147" s="32"/>
      <c r="AS147" s="32"/>
      <c r="AT147" s="32"/>
      <c r="AU147" s="32"/>
      <c r="AV147" s="32"/>
      <c r="AW147" s="32"/>
      <c r="AX147" s="32"/>
      <c r="AY147" s="32"/>
      <c r="AZ147" s="32"/>
      <c r="BA147" s="32"/>
      <c r="BB147" s="32"/>
      <c r="BC147" s="32"/>
      <c r="BD147" s="32"/>
      <c r="BE147" s="32"/>
      <c r="BF147" s="32"/>
      <c r="BG147" s="32"/>
      <c r="BH147" s="32"/>
      <c r="BI147" s="32"/>
      <c r="BJ147" s="32"/>
      <c r="BK147" s="32"/>
      <c r="BL147" s="32"/>
      <c r="BM147" s="32"/>
      <c r="BN147" s="32"/>
      <c r="BO147" s="32"/>
      <c r="BP147" s="32"/>
      <c r="BQ147" s="32"/>
      <c r="BR147" s="32"/>
      <c r="BS147" s="32"/>
      <c r="BT147" s="32"/>
      <c r="BU147" s="32"/>
      <c r="BV147" s="32"/>
      <c r="BW147" s="32"/>
      <c r="BX147" s="32"/>
      <c r="BY147" s="32"/>
      <c r="BZ147" s="32"/>
      <c r="CA147" s="32"/>
      <c r="CB147" s="32"/>
      <c r="CC147" s="32"/>
    </row>
    <row r="148" spans="2:89" x14ac:dyDescent="0.2">
      <c r="B148" s="77" t="s">
        <v>101</v>
      </c>
      <c r="C148" s="78"/>
      <c r="D148" s="79"/>
      <c r="F148" s="74">
        <f>HLOOKUP(H138,'IPIM y USD'!$C$6:$IP$9,3,FALSE)</f>
        <v>2501.7638750656374</v>
      </c>
      <c r="J148" s="107">
        <f>+$F$148</f>
        <v>2501.7638750656374</v>
      </c>
      <c r="K148" s="107">
        <f t="shared" ref="K148:BV148" si="0">+$F$148</f>
        <v>2501.7638750656374</v>
      </c>
      <c r="L148" s="107">
        <f t="shared" si="0"/>
        <v>2501.7638750656374</v>
      </c>
      <c r="M148" s="107">
        <f t="shared" si="0"/>
        <v>2501.7638750656374</v>
      </c>
      <c r="N148" s="107">
        <f t="shared" si="0"/>
        <v>2501.7638750656374</v>
      </c>
      <c r="O148" s="107">
        <f t="shared" si="0"/>
        <v>2501.7638750656374</v>
      </c>
      <c r="P148" s="107">
        <f t="shared" si="0"/>
        <v>2501.7638750656374</v>
      </c>
      <c r="Q148" s="107">
        <f t="shared" si="0"/>
        <v>2501.7638750656374</v>
      </c>
      <c r="R148" s="107">
        <f t="shared" si="0"/>
        <v>2501.7638750656374</v>
      </c>
      <c r="S148" s="107">
        <f t="shared" si="0"/>
        <v>2501.7638750656374</v>
      </c>
      <c r="T148" s="107">
        <f t="shared" si="0"/>
        <v>2501.7638750656374</v>
      </c>
      <c r="U148" s="107">
        <f t="shared" si="0"/>
        <v>2501.7638750656374</v>
      </c>
      <c r="V148" s="107">
        <f t="shared" si="0"/>
        <v>2501.7638750656374</v>
      </c>
      <c r="W148" s="107">
        <f t="shared" si="0"/>
        <v>2501.7638750656374</v>
      </c>
      <c r="X148" s="107">
        <f t="shared" si="0"/>
        <v>2501.7638750656374</v>
      </c>
      <c r="Y148" s="107">
        <f t="shared" si="0"/>
        <v>2501.7638750656374</v>
      </c>
      <c r="Z148" s="107">
        <f t="shared" si="0"/>
        <v>2501.7638750656374</v>
      </c>
      <c r="AA148" s="107">
        <f t="shared" si="0"/>
        <v>2501.7638750656374</v>
      </c>
      <c r="AB148" s="107">
        <f t="shared" si="0"/>
        <v>2501.7638750656374</v>
      </c>
      <c r="AC148" s="107">
        <f t="shared" si="0"/>
        <v>2501.7638750656374</v>
      </c>
      <c r="AD148" s="107">
        <f t="shared" si="0"/>
        <v>2501.7638750656374</v>
      </c>
      <c r="AE148" s="107">
        <f t="shared" si="0"/>
        <v>2501.7638750656374</v>
      </c>
      <c r="AF148" s="107">
        <f t="shared" si="0"/>
        <v>2501.7638750656374</v>
      </c>
      <c r="AG148" s="107">
        <f t="shared" si="0"/>
        <v>2501.7638750656374</v>
      </c>
      <c r="AH148" s="107">
        <f t="shared" si="0"/>
        <v>2501.7638750656374</v>
      </c>
      <c r="AI148" s="107">
        <f t="shared" si="0"/>
        <v>2501.7638750656374</v>
      </c>
      <c r="AJ148" s="107">
        <f t="shared" si="0"/>
        <v>2501.7638750656374</v>
      </c>
      <c r="AK148" s="107">
        <f t="shared" si="0"/>
        <v>2501.7638750656374</v>
      </c>
      <c r="AL148" s="107">
        <f t="shared" si="0"/>
        <v>2501.7638750656374</v>
      </c>
      <c r="AM148" s="107">
        <f t="shared" si="0"/>
        <v>2501.7638750656374</v>
      </c>
      <c r="AN148" s="107">
        <f t="shared" si="0"/>
        <v>2501.7638750656374</v>
      </c>
      <c r="AO148" s="107">
        <f t="shared" si="0"/>
        <v>2501.7638750656374</v>
      </c>
      <c r="AP148" s="107">
        <f t="shared" si="0"/>
        <v>2501.7638750656374</v>
      </c>
      <c r="AQ148" s="107">
        <f t="shared" si="0"/>
        <v>2501.7638750656374</v>
      </c>
      <c r="AR148" s="107">
        <f t="shared" si="0"/>
        <v>2501.7638750656374</v>
      </c>
      <c r="AS148" s="107">
        <f t="shared" si="0"/>
        <v>2501.7638750656374</v>
      </c>
      <c r="AT148" s="107">
        <f t="shared" si="0"/>
        <v>2501.7638750656374</v>
      </c>
      <c r="AU148" s="107">
        <f t="shared" si="0"/>
        <v>2501.7638750656374</v>
      </c>
      <c r="AV148" s="107">
        <f t="shared" si="0"/>
        <v>2501.7638750656374</v>
      </c>
      <c r="AW148" s="107">
        <f t="shared" si="0"/>
        <v>2501.7638750656374</v>
      </c>
      <c r="AX148" s="107">
        <f t="shared" si="0"/>
        <v>2501.7638750656374</v>
      </c>
      <c r="AY148" s="107">
        <f t="shared" si="0"/>
        <v>2501.7638750656374</v>
      </c>
      <c r="AZ148" s="107">
        <f t="shared" si="0"/>
        <v>2501.7638750656374</v>
      </c>
      <c r="BA148" s="107">
        <f t="shared" si="0"/>
        <v>2501.7638750656374</v>
      </c>
      <c r="BB148" s="107">
        <f t="shared" si="0"/>
        <v>2501.7638750656374</v>
      </c>
      <c r="BC148" s="107">
        <f t="shared" si="0"/>
        <v>2501.7638750656374</v>
      </c>
      <c r="BD148" s="107">
        <f t="shared" si="0"/>
        <v>2501.7638750656374</v>
      </c>
      <c r="BE148" s="107">
        <f t="shared" si="0"/>
        <v>2501.7638750656374</v>
      </c>
      <c r="BF148" s="107">
        <f t="shared" si="0"/>
        <v>2501.7638750656374</v>
      </c>
      <c r="BG148" s="107">
        <f t="shared" si="0"/>
        <v>2501.7638750656374</v>
      </c>
      <c r="BH148" s="107">
        <f t="shared" si="0"/>
        <v>2501.7638750656374</v>
      </c>
      <c r="BI148" s="107">
        <f t="shared" si="0"/>
        <v>2501.7638750656374</v>
      </c>
      <c r="BJ148" s="107">
        <f t="shared" si="0"/>
        <v>2501.7638750656374</v>
      </c>
      <c r="BK148" s="107">
        <f t="shared" si="0"/>
        <v>2501.7638750656374</v>
      </c>
      <c r="BL148" s="107">
        <f t="shared" si="0"/>
        <v>2501.7638750656374</v>
      </c>
      <c r="BM148" s="107">
        <f t="shared" si="0"/>
        <v>2501.7638750656374</v>
      </c>
      <c r="BN148" s="107">
        <f t="shared" si="0"/>
        <v>2501.7638750656374</v>
      </c>
      <c r="BO148" s="107">
        <f t="shared" si="0"/>
        <v>2501.7638750656374</v>
      </c>
      <c r="BP148" s="107">
        <f t="shared" si="0"/>
        <v>2501.7638750656374</v>
      </c>
      <c r="BQ148" s="107">
        <f t="shared" si="0"/>
        <v>2501.7638750656374</v>
      </c>
      <c r="BR148" s="107">
        <f t="shared" si="0"/>
        <v>2501.7638750656374</v>
      </c>
      <c r="BS148" s="107">
        <f t="shared" si="0"/>
        <v>2501.7638750656374</v>
      </c>
      <c r="BT148" s="107">
        <f t="shared" si="0"/>
        <v>2501.7638750656374</v>
      </c>
      <c r="BU148" s="107">
        <f t="shared" si="0"/>
        <v>2501.7638750656374</v>
      </c>
      <c r="BV148" s="107">
        <f t="shared" si="0"/>
        <v>2501.7638750656374</v>
      </c>
      <c r="BW148" s="107">
        <f t="shared" ref="BW148:CC148" si="1">+$F$148</f>
        <v>2501.7638750656374</v>
      </c>
      <c r="BX148" s="107">
        <f t="shared" si="1"/>
        <v>2501.7638750656374</v>
      </c>
      <c r="BY148" s="107">
        <f t="shared" si="1"/>
        <v>2501.7638750656374</v>
      </c>
      <c r="BZ148" s="107">
        <f t="shared" si="1"/>
        <v>2501.7638750656374</v>
      </c>
      <c r="CA148" s="107">
        <f t="shared" si="1"/>
        <v>2501.7638750656374</v>
      </c>
      <c r="CB148" s="107">
        <f t="shared" si="1"/>
        <v>2501.7638750656374</v>
      </c>
      <c r="CC148" s="107">
        <f t="shared" si="1"/>
        <v>2501.7638750656374</v>
      </c>
    </row>
    <row r="149" spans="2:89" ht="5.0999999999999996" customHeight="1" x14ac:dyDescent="0.2">
      <c r="B149" s="32"/>
      <c r="C149" s="32"/>
      <c r="D149" s="32"/>
      <c r="F149" s="80"/>
    </row>
    <row r="150" spans="2:89" x14ac:dyDescent="0.2">
      <c r="B150" s="77" t="s">
        <v>102</v>
      </c>
      <c r="C150" s="78"/>
      <c r="D150" s="79"/>
      <c r="F150" s="81">
        <f>HLOOKUP(H138,'IPIM y USD'!$C$15:$IS$17,3,FALSE)</f>
        <v>37.4077272727273</v>
      </c>
      <c r="J150" s="108">
        <f>+$F$150</f>
        <v>37.4077272727273</v>
      </c>
      <c r="K150" s="108">
        <f t="shared" ref="K150:BV150" si="2">+$F$150</f>
        <v>37.4077272727273</v>
      </c>
      <c r="L150" s="108">
        <f t="shared" si="2"/>
        <v>37.4077272727273</v>
      </c>
      <c r="M150" s="108">
        <f t="shared" si="2"/>
        <v>37.4077272727273</v>
      </c>
      <c r="N150" s="108">
        <f t="shared" si="2"/>
        <v>37.4077272727273</v>
      </c>
      <c r="O150" s="108">
        <f t="shared" si="2"/>
        <v>37.4077272727273</v>
      </c>
      <c r="P150" s="108">
        <f t="shared" si="2"/>
        <v>37.4077272727273</v>
      </c>
      <c r="Q150" s="108">
        <f t="shared" si="2"/>
        <v>37.4077272727273</v>
      </c>
      <c r="R150" s="108">
        <f t="shared" si="2"/>
        <v>37.4077272727273</v>
      </c>
      <c r="S150" s="108">
        <f t="shared" si="2"/>
        <v>37.4077272727273</v>
      </c>
      <c r="T150" s="108">
        <f t="shared" si="2"/>
        <v>37.4077272727273</v>
      </c>
      <c r="U150" s="108">
        <f t="shared" si="2"/>
        <v>37.4077272727273</v>
      </c>
      <c r="V150" s="108">
        <f t="shared" si="2"/>
        <v>37.4077272727273</v>
      </c>
      <c r="W150" s="108">
        <f t="shared" si="2"/>
        <v>37.4077272727273</v>
      </c>
      <c r="X150" s="108">
        <f t="shared" si="2"/>
        <v>37.4077272727273</v>
      </c>
      <c r="Y150" s="108">
        <f t="shared" si="2"/>
        <v>37.4077272727273</v>
      </c>
      <c r="Z150" s="108">
        <f t="shared" si="2"/>
        <v>37.4077272727273</v>
      </c>
      <c r="AA150" s="108">
        <f t="shared" si="2"/>
        <v>37.4077272727273</v>
      </c>
      <c r="AB150" s="108">
        <f t="shared" si="2"/>
        <v>37.4077272727273</v>
      </c>
      <c r="AC150" s="108">
        <f t="shared" si="2"/>
        <v>37.4077272727273</v>
      </c>
      <c r="AD150" s="108">
        <f t="shared" si="2"/>
        <v>37.4077272727273</v>
      </c>
      <c r="AE150" s="108">
        <f t="shared" si="2"/>
        <v>37.4077272727273</v>
      </c>
      <c r="AF150" s="108">
        <f t="shared" si="2"/>
        <v>37.4077272727273</v>
      </c>
      <c r="AG150" s="108">
        <f t="shared" si="2"/>
        <v>37.4077272727273</v>
      </c>
      <c r="AH150" s="108">
        <f t="shared" si="2"/>
        <v>37.4077272727273</v>
      </c>
      <c r="AI150" s="108">
        <f t="shared" si="2"/>
        <v>37.4077272727273</v>
      </c>
      <c r="AJ150" s="108">
        <f t="shared" si="2"/>
        <v>37.4077272727273</v>
      </c>
      <c r="AK150" s="108">
        <f t="shared" si="2"/>
        <v>37.4077272727273</v>
      </c>
      <c r="AL150" s="108">
        <f t="shared" si="2"/>
        <v>37.4077272727273</v>
      </c>
      <c r="AM150" s="108">
        <f t="shared" si="2"/>
        <v>37.4077272727273</v>
      </c>
      <c r="AN150" s="108">
        <f t="shared" si="2"/>
        <v>37.4077272727273</v>
      </c>
      <c r="AO150" s="108">
        <f t="shared" si="2"/>
        <v>37.4077272727273</v>
      </c>
      <c r="AP150" s="108">
        <f t="shared" si="2"/>
        <v>37.4077272727273</v>
      </c>
      <c r="AQ150" s="108">
        <f t="shared" si="2"/>
        <v>37.4077272727273</v>
      </c>
      <c r="AR150" s="108">
        <f t="shared" si="2"/>
        <v>37.4077272727273</v>
      </c>
      <c r="AS150" s="108">
        <f t="shared" si="2"/>
        <v>37.4077272727273</v>
      </c>
      <c r="AT150" s="108">
        <f t="shared" si="2"/>
        <v>37.4077272727273</v>
      </c>
      <c r="AU150" s="108">
        <f t="shared" si="2"/>
        <v>37.4077272727273</v>
      </c>
      <c r="AV150" s="108">
        <f t="shared" si="2"/>
        <v>37.4077272727273</v>
      </c>
      <c r="AW150" s="108">
        <f t="shared" si="2"/>
        <v>37.4077272727273</v>
      </c>
      <c r="AX150" s="108">
        <f t="shared" si="2"/>
        <v>37.4077272727273</v>
      </c>
      <c r="AY150" s="108">
        <f t="shared" si="2"/>
        <v>37.4077272727273</v>
      </c>
      <c r="AZ150" s="108">
        <f t="shared" si="2"/>
        <v>37.4077272727273</v>
      </c>
      <c r="BA150" s="108">
        <f t="shared" si="2"/>
        <v>37.4077272727273</v>
      </c>
      <c r="BB150" s="108">
        <f t="shared" si="2"/>
        <v>37.4077272727273</v>
      </c>
      <c r="BC150" s="108">
        <f t="shared" si="2"/>
        <v>37.4077272727273</v>
      </c>
      <c r="BD150" s="108">
        <f t="shared" si="2"/>
        <v>37.4077272727273</v>
      </c>
      <c r="BE150" s="108">
        <f t="shared" si="2"/>
        <v>37.4077272727273</v>
      </c>
      <c r="BF150" s="108">
        <f t="shared" si="2"/>
        <v>37.4077272727273</v>
      </c>
      <c r="BG150" s="108">
        <f t="shared" si="2"/>
        <v>37.4077272727273</v>
      </c>
      <c r="BH150" s="108">
        <f t="shared" si="2"/>
        <v>37.4077272727273</v>
      </c>
      <c r="BI150" s="108">
        <f t="shared" si="2"/>
        <v>37.4077272727273</v>
      </c>
      <c r="BJ150" s="108">
        <f t="shared" si="2"/>
        <v>37.4077272727273</v>
      </c>
      <c r="BK150" s="108">
        <f t="shared" si="2"/>
        <v>37.4077272727273</v>
      </c>
      <c r="BL150" s="108">
        <f t="shared" si="2"/>
        <v>37.4077272727273</v>
      </c>
      <c r="BM150" s="108">
        <f t="shared" si="2"/>
        <v>37.4077272727273</v>
      </c>
      <c r="BN150" s="108">
        <f t="shared" si="2"/>
        <v>37.4077272727273</v>
      </c>
      <c r="BO150" s="108">
        <f t="shared" si="2"/>
        <v>37.4077272727273</v>
      </c>
      <c r="BP150" s="108">
        <f t="shared" si="2"/>
        <v>37.4077272727273</v>
      </c>
      <c r="BQ150" s="108">
        <f t="shared" si="2"/>
        <v>37.4077272727273</v>
      </c>
      <c r="BR150" s="108">
        <f t="shared" si="2"/>
        <v>37.4077272727273</v>
      </c>
      <c r="BS150" s="108">
        <f t="shared" si="2"/>
        <v>37.4077272727273</v>
      </c>
      <c r="BT150" s="108">
        <f t="shared" si="2"/>
        <v>37.4077272727273</v>
      </c>
      <c r="BU150" s="108">
        <f t="shared" si="2"/>
        <v>37.4077272727273</v>
      </c>
      <c r="BV150" s="108">
        <f t="shared" si="2"/>
        <v>37.4077272727273</v>
      </c>
      <c r="BW150" s="108">
        <f t="shared" ref="BW150:CC150" si="3">+$F$150</f>
        <v>37.4077272727273</v>
      </c>
      <c r="BX150" s="108">
        <f t="shared" si="3"/>
        <v>37.4077272727273</v>
      </c>
      <c r="BY150" s="108">
        <f t="shared" si="3"/>
        <v>37.4077272727273</v>
      </c>
      <c r="BZ150" s="108">
        <f t="shared" si="3"/>
        <v>37.4077272727273</v>
      </c>
      <c r="CA150" s="108">
        <f t="shared" si="3"/>
        <v>37.4077272727273</v>
      </c>
      <c r="CB150" s="108">
        <f t="shared" si="3"/>
        <v>37.4077272727273</v>
      </c>
      <c r="CC150" s="108">
        <f t="shared" si="3"/>
        <v>37.4077272727273</v>
      </c>
    </row>
    <row r="151" spans="2:89" s="32" customFormat="1" ht="5.0999999999999996" customHeight="1" x14ac:dyDescent="0.2">
      <c r="CE151"/>
      <c r="CF151"/>
      <c r="CG151"/>
    </row>
    <row r="152" spans="2:89" x14ac:dyDescent="0.2">
      <c r="B152" s="75" t="s">
        <v>276</v>
      </c>
      <c r="C152" s="67"/>
      <c r="D152" s="67"/>
      <c r="E152" s="67"/>
      <c r="F152" s="67"/>
      <c r="G152" s="67"/>
      <c r="H152" s="67"/>
      <c r="I152" s="67"/>
      <c r="J152" s="67"/>
      <c r="K152" s="109" t="s">
        <v>104</v>
      </c>
      <c r="L152" s="109"/>
      <c r="M152" s="109"/>
      <c r="N152" s="109"/>
      <c r="O152" s="109"/>
      <c r="P152" s="109"/>
      <c r="Q152" s="722" t="s">
        <v>263</v>
      </c>
      <c r="R152" s="722"/>
      <c r="S152" s="67"/>
      <c r="T152" s="67"/>
      <c r="U152" s="67"/>
      <c r="V152" s="67"/>
      <c r="W152" s="67"/>
      <c r="X152" s="67"/>
      <c r="Y152" s="67"/>
      <c r="Z152" s="67"/>
      <c r="AA152" s="67"/>
      <c r="AB152" s="67"/>
      <c r="AC152" s="67"/>
      <c r="AD152" s="67"/>
      <c r="AE152" s="67"/>
      <c r="AF152" s="67"/>
      <c r="AG152" s="67"/>
      <c r="AH152" s="67"/>
      <c r="AI152" s="67"/>
      <c r="AJ152" s="67"/>
      <c r="AK152" s="67"/>
      <c r="AL152" s="67"/>
      <c r="AM152" s="67"/>
      <c r="AN152" s="67"/>
      <c r="AO152" s="67"/>
      <c r="AP152" s="67"/>
      <c r="AQ152" s="67"/>
      <c r="AR152" s="67"/>
      <c r="AS152" s="67"/>
      <c r="AT152" s="67"/>
      <c r="AU152" s="67"/>
      <c r="AV152" s="67"/>
      <c r="AW152" s="67"/>
      <c r="AX152" s="67"/>
      <c r="AY152" s="67"/>
      <c r="AZ152" s="67"/>
      <c r="BA152" s="67"/>
      <c r="BB152" s="67"/>
      <c r="BC152" s="67"/>
      <c r="BD152" s="67"/>
      <c r="BE152" s="67"/>
      <c r="BF152" s="67"/>
      <c r="BG152" s="67"/>
      <c r="BH152" s="67"/>
      <c r="BI152" s="67"/>
      <c r="BJ152" s="67"/>
      <c r="BK152" s="67"/>
      <c r="BL152" s="67"/>
      <c r="BM152" s="67"/>
      <c r="BN152" s="67"/>
      <c r="BO152" s="67"/>
      <c r="BP152" s="67"/>
      <c r="BQ152" s="67"/>
      <c r="BR152" s="67"/>
      <c r="BS152" s="67"/>
      <c r="BT152" s="67"/>
      <c r="BU152" s="67"/>
      <c r="BV152" s="67"/>
      <c r="BW152" s="67"/>
      <c r="BX152" s="67"/>
      <c r="BY152" s="67"/>
      <c r="BZ152" s="67"/>
      <c r="CA152" s="67"/>
      <c r="CB152" s="67"/>
      <c r="CC152" s="67"/>
    </row>
    <row r="153" spans="2:89" ht="5.0999999999999996" customHeight="1" x14ac:dyDescent="0.2"/>
    <row r="154" spans="2:89" s="32" customFormat="1" ht="33.950000000000003" customHeight="1" x14ac:dyDescent="0.2">
      <c r="B154" s="82" t="s">
        <v>106</v>
      </c>
      <c r="D154" s="83" t="s">
        <v>169</v>
      </c>
      <c r="F154" s="83" t="s">
        <v>170</v>
      </c>
      <c r="H154" s="83" t="s">
        <v>171</v>
      </c>
      <c r="J154" s="106" t="e">
        <f>+J146</f>
        <v>#N/A</v>
      </c>
      <c r="K154" s="106" t="e">
        <f t="shared" ref="K154:BV154" si="4">+K146</f>
        <v>#N/A</v>
      </c>
      <c r="L154" s="106" t="e">
        <f t="shared" si="4"/>
        <v>#N/A</v>
      </c>
      <c r="M154" s="106" t="e">
        <f t="shared" si="4"/>
        <v>#N/A</v>
      </c>
      <c r="N154" s="106" t="e">
        <f t="shared" si="4"/>
        <v>#N/A</v>
      </c>
      <c r="O154" s="106" t="e">
        <f t="shared" si="4"/>
        <v>#N/A</v>
      </c>
      <c r="P154" s="106" t="e">
        <f t="shared" si="4"/>
        <v>#N/A</v>
      </c>
      <c r="Q154" s="106" t="e">
        <f t="shared" si="4"/>
        <v>#N/A</v>
      </c>
      <c r="R154" s="106" t="e">
        <f t="shared" si="4"/>
        <v>#N/A</v>
      </c>
      <c r="S154" s="106" t="e">
        <f t="shared" si="4"/>
        <v>#N/A</v>
      </c>
      <c r="T154" s="106" t="e">
        <f t="shared" si="4"/>
        <v>#N/A</v>
      </c>
      <c r="U154" s="106" t="e">
        <f t="shared" si="4"/>
        <v>#N/A</v>
      </c>
      <c r="V154" s="106" t="e">
        <f t="shared" si="4"/>
        <v>#N/A</v>
      </c>
      <c r="W154" s="106" t="e">
        <f t="shared" si="4"/>
        <v>#N/A</v>
      </c>
      <c r="X154" s="106" t="e">
        <f t="shared" si="4"/>
        <v>#N/A</v>
      </c>
      <c r="Y154" s="106" t="e">
        <f t="shared" si="4"/>
        <v>#N/A</v>
      </c>
      <c r="Z154" s="106" t="e">
        <f t="shared" si="4"/>
        <v>#N/A</v>
      </c>
      <c r="AA154" s="106" t="e">
        <f t="shared" si="4"/>
        <v>#N/A</v>
      </c>
      <c r="AB154" s="106" t="e">
        <f t="shared" si="4"/>
        <v>#N/A</v>
      </c>
      <c r="AC154" s="106" t="e">
        <f t="shared" si="4"/>
        <v>#N/A</v>
      </c>
      <c r="AD154" s="106" t="e">
        <f t="shared" si="4"/>
        <v>#N/A</v>
      </c>
      <c r="AE154" s="106" t="e">
        <f t="shared" si="4"/>
        <v>#N/A</v>
      </c>
      <c r="AF154" s="106" t="e">
        <f t="shared" si="4"/>
        <v>#N/A</v>
      </c>
      <c r="AG154" s="106" t="e">
        <f t="shared" si="4"/>
        <v>#N/A</v>
      </c>
      <c r="AH154" s="106" t="e">
        <f t="shared" si="4"/>
        <v>#N/A</v>
      </c>
      <c r="AI154" s="106" t="e">
        <f t="shared" si="4"/>
        <v>#N/A</v>
      </c>
      <c r="AJ154" s="106" t="e">
        <f t="shared" si="4"/>
        <v>#N/A</v>
      </c>
      <c r="AK154" s="106" t="e">
        <f t="shared" si="4"/>
        <v>#N/A</v>
      </c>
      <c r="AL154" s="106" t="e">
        <f t="shared" si="4"/>
        <v>#N/A</v>
      </c>
      <c r="AM154" s="106" t="e">
        <f t="shared" si="4"/>
        <v>#N/A</v>
      </c>
      <c r="AN154" s="106" t="e">
        <f t="shared" si="4"/>
        <v>#N/A</v>
      </c>
      <c r="AO154" s="106" t="e">
        <f t="shared" si="4"/>
        <v>#N/A</v>
      </c>
      <c r="AP154" s="106" t="e">
        <f t="shared" si="4"/>
        <v>#N/A</v>
      </c>
      <c r="AQ154" s="106" t="e">
        <f t="shared" si="4"/>
        <v>#N/A</v>
      </c>
      <c r="AR154" s="106" t="e">
        <f t="shared" si="4"/>
        <v>#N/A</v>
      </c>
      <c r="AS154" s="106" t="e">
        <f t="shared" si="4"/>
        <v>#N/A</v>
      </c>
      <c r="AT154" s="106" t="e">
        <f t="shared" si="4"/>
        <v>#N/A</v>
      </c>
      <c r="AU154" s="106" t="e">
        <f t="shared" si="4"/>
        <v>#N/A</v>
      </c>
      <c r="AV154" s="106" t="e">
        <f t="shared" si="4"/>
        <v>#N/A</v>
      </c>
      <c r="AW154" s="106" t="e">
        <f t="shared" si="4"/>
        <v>#N/A</v>
      </c>
      <c r="AX154" s="106" t="e">
        <f t="shared" si="4"/>
        <v>#N/A</v>
      </c>
      <c r="AY154" s="106" t="e">
        <f t="shared" si="4"/>
        <v>#N/A</v>
      </c>
      <c r="AZ154" s="106" t="e">
        <f t="shared" si="4"/>
        <v>#N/A</v>
      </c>
      <c r="BA154" s="106" t="e">
        <f t="shared" si="4"/>
        <v>#N/A</v>
      </c>
      <c r="BB154" s="106" t="e">
        <f t="shared" si="4"/>
        <v>#N/A</v>
      </c>
      <c r="BC154" s="106" t="e">
        <f t="shared" si="4"/>
        <v>#N/A</v>
      </c>
      <c r="BD154" s="106" t="e">
        <f t="shared" si="4"/>
        <v>#N/A</v>
      </c>
      <c r="BE154" s="106" t="e">
        <f t="shared" si="4"/>
        <v>#N/A</v>
      </c>
      <c r="BF154" s="106" t="e">
        <f t="shared" si="4"/>
        <v>#N/A</v>
      </c>
      <c r="BG154" s="106" t="e">
        <f t="shared" si="4"/>
        <v>#N/A</v>
      </c>
      <c r="BH154" s="106" t="e">
        <f t="shared" si="4"/>
        <v>#N/A</v>
      </c>
      <c r="BI154" s="106" t="e">
        <f t="shared" si="4"/>
        <v>#N/A</v>
      </c>
      <c r="BJ154" s="106" t="e">
        <f t="shared" si="4"/>
        <v>#N/A</v>
      </c>
      <c r="BK154" s="106" t="e">
        <f t="shared" si="4"/>
        <v>#N/A</v>
      </c>
      <c r="BL154" s="106" t="e">
        <f t="shared" si="4"/>
        <v>#N/A</v>
      </c>
      <c r="BM154" s="106" t="e">
        <f t="shared" si="4"/>
        <v>#N/A</v>
      </c>
      <c r="BN154" s="106" t="e">
        <f t="shared" si="4"/>
        <v>#N/A</v>
      </c>
      <c r="BO154" s="106" t="e">
        <f t="shared" si="4"/>
        <v>#N/A</v>
      </c>
      <c r="BP154" s="106" t="e">
        <f t="shared" si="4"/>
        <v>#N/A</v>
      </c>
      <c r="BQ154" s="106" t="e">
        <f t="shared" si="4"/>
        <v>#N/A</v>
      </c>
      <c r="BR154" s="106" t="e">
        <f t="shared" si="4"/>
        <v>#N/A</v>
      </c>
      <c r="BS154" s="106" t="e">
        <f t="shared" si="4"/>
        <v>#N/A</v>
      </c>
      <c r="BT154" s="106" t="e">
        <f t="shared" si="4"/>
        <v>#N/A</v>
      </c>
      <c r="BU154" s="106" t="e">
        <f t="shared" si="4"/>
        <v>#N/A</v>
      </c>
      <c r="BV154" s="106" t="e">
        <f t="shared" si="4"/>
        <v>#N/A</v>
      </c>
      <c r="BW154" s="106" t="e">
        <f t="shared" ref="BW154:CC154" si="5">+BW146</f>
        <v>#N/A</v>
      </c>
      <c r="BX154" s="106" t="e">
        <f t="shared" si="5"/>
        <v>#N/A</v>
      </c>
      <c r="BY154" s="106" t="e">
        <f t="shared" si="5"/>
        <v>#N/A</v>
      </c>
      <c r="BZ154" s="106" t="e">
        <f t="shared" si="5"/>
        <v>#N/A</v>
      </c>
      <c r="CA154" s="106" t="e">
        <f t="shared" si="5"/>
        <v>#N/A</v>
      </c>
      <c r="CB154" s="106" t="e">
        <f t="shared" si="5"/>
        <v>#N/A</v>
      </c>
      <c r="CC154" s="106" t="e">
        <f t="shared" si="5"/>
        <v>#N/A</v>
      </c>
      <c r="CE154"/>
      <c r="CF154"/>
      <c r="CG154"/>
      <c r="CH154"/>
      <c r="CI154"/>
      <c r="CJ154"/>
      <c r="CK154"/>
    </row>
    <row r="155" spans="2:89" s="32" customFormat="1" ht="5.0999999999999996" customHeight="1" x14ac:dyDescent="0.2">
      <c r="CE155"/>
      <c r="CF155"/>
      <c r="CG155"/>
      <c r="CH155"/>
      <c r="CI155"/>
      <c r="CJ155"/>
      <c r="CK155"/>
    </row>
    <row r="156" spans="2:89" s="32" customFormat="1" x14ac:dyDescent="0.2">
      <c r="B156" s="84" t="s">
        <v>110</v>
      </c>
      <c r="D156" s="85">
        <f>SUM(J156:AG156)</f>
        <v>0.7</v>
      </c>
      <c r="F156" s="86">
        <v>43556</v>
      </c>
      <c r="G156" s="87"/>
      <c r="H156" s="86">
        <v>44196</v>
      </c>
      <c r="J156" s="110">
        <v>0.5</v>
      </c>
      <c r="K156" s="110">
        <v>0.2</v>
      </c>
      <c r="L156" s="110">
        <v>0</v>
      </c>
      <c r="M156" s="110">
        <v>0</v>
      </c>
      <c r="N156" s="110">
        <v>0</v>
      </c>
      <c r="O156" s="110">
        <v>0</v>
      </c>
      <c r="P156" s="110">
        <v>0</v>
      </c>
      <c r="Q156" s="110">
        <v>0</v>
      </c>
      <c r="R156" s="110">
        <v>0</v>
      </c>
      <c r="S156" s="110">
        <v>0</v>
      </c>
      <c r="T156" s="110">
        <v>0</v>
      </c>
      <c r="U156" s="110">
        <v>0</v>
      </c>
      <c r="V156" s="110">
        <v>0</v>
      </c>
      <c r="W156" s="110">
        <v>0</v>
      </c>
      <c r="X156" s="110">
        <v>0</v>
      </c>
      <c r="Y156" s="110">
        <v>0</v>
      </c>
      <c r="Z156" s="110">
        <v>0</v>
      </c>
      <c r="AA156" s="110">
        <v>0</v>
      </c>
      <c r="AB156" s="110">
        <v>0</v>
      </c>
      <c r="AC156" s="110">
        <v>0</v>
      </c>
      <c r="AD156" s="110">
        <v>0</v>
      </c>
      <c r="AE156" s="110">
        <v>0</v>
      </c>
      <c r="AF156" s="110">
        <v>0</v>
      </c>
      <c r="AG156" s="110">
        <v>0</v>
      </c>
      <c r="AH156" s="110"/>
      <c r="AI156" s="110"/>
      <c r="AJ156" s="110"/>
      <c r="AK156" s="110"/>
      <c r="AL156" s="110"/>
      <c r="AM156" s="110"/>
      <c r="AN156" s="110"/>
      <c r="AO156" s="110"/>
      <c r="AP156" s="110"/>
      <c r="AQ156" s="110"/>
      <c r="AR156" s="110"/>
      <c r="AS156" s="110"/>
      <c r="AT156" s="110"/>
      <c r="AU156" s="110"/>
      <c r="AV156" s="110"/>
      <c r="AW156" s="110"/>
      <c r="AX156" s="110"/>
      <c r="AY156" s="110"/>
      <c r="AZ156" s="110"/>
      <c r="BA156" s="110"/>
      <c r="BB156" s="110"/>
      <c r="BC156" s="110"/>
      <c r="BD156" s="110"/>
      <c r="BE156" s="110"/>
      <c r="BF156" s="110"/>
      <c r="BG156" s="110"/>
      <c r="BH156" s="110"/>
      <c r="BI156" s="110"/>
      <c r="BJ156" s="110"/>
      <c r="BK156" s="110"/>
      <c r="BL156" s="110"/>
      <c r="BM156" s="110"/>
      <c r="BN156" s="110"/>
      <c r="BO156" s="110"/>
      <c r="BP156" s="110"/>
      <c r="BQ156" s="110"/>
      <c r="BR156" s="110"/>
      <c r="BS156" s="110"/>
      <c r="BT156" s="110"/>
      <c r="BU156" s="110"/>
      <c r="BV156" s="110"/>
      <c r="BW156" s="110"/>
      <c r="BX156" s="110"/>
      <c r="BY156" s="110"/>
      <c r="BZ156" s="110"/>
      <c r="CA156" s="110"/>
      <c r="CB156" s="110"/>
      <c r="CC156" s="110"/>
      <c r="CE156"/>
      <c r="CF156"/>
      <c r="CG156"/>
      <c r="CH156"/>
      <c r="CI156"/>
      <c r="CJ156"/>
      <c r="CK156"/>
    </row>
    <row r="157" spans="2:89" s="32" customFormat="1" x14ac:dyDescent="0.2">
      <c r="B157" s="84" t="s">
        <v>111</v>
      </c>
      <c r="D157" s="85">
        <f t="shared" ref="D157:D159" si="6">SUM(J157:AG157)</f>
        <v>0.2</v>
      </c>
      <c r="F157" s="86">
        <v>43556</v>
      </c>
      <c r="G157" s="87"/>
      <c r="H157" s="86">
        <v>44136</v>
      </c>
      <c r="J157" s="110">
        <v>0</v>
      </c>
      <c r="K157" s="110">
        <v>0.2</v>
      </c>
      <c r="L157" s="110">
        <v>0</v>
      </c>
      <c r="M157" s="110">
        <v>0</v>
      </c>
      <c r="N157" s="110">
        <v>0</v>
      </c>
      <c r="O157" s="110">
        <v>0</v>
      </c>
      <c r="P157" s="110">
        <v>0</v>
      </c>
      <c r="Q157" s="110">
        <v>0</v>
      </c>
      <c r="R157" s="110">
        <v>0</v>
      </c>
      <c r="S157" s="110">
        <v>0</v>
      </c>
      <c r="T157" s="110">
        <v>0</v>
      </c>
      <c r="U157" s="110">
        <v>0</v>
      </c>
      <c r="V157" s="110">
        <v>0</v>
      </c>
      <c r="W157" s="110">
        <v>0</v>
      </c>
      <c r="X157" s="110">
        <v>0</v>
      </c>
      <c r="Y157" s="110">
        <v>0</v>
      </c>
      <c r="Z157" s="110">
        <v>0</v>
      </c>
      <c r="AA157" s="110">
        <v>0</v>
      </c>
      <c r="AB157" s="110">
        <v>0</v>
      </c>
      <c r="AC157" s="110">
        <v>0</v>
      </c>
      <c r="AD157" s="110">
        <v>0</v>
      </c>
      <c r="AE157" s="110">
        <v>0</v>
      </c>
      <c r="AF157" s="110">
        <v>0</v>
      </c>
      <c r="AG157" s="110">
        <v>0</v>
      </c>
      <c r="AH157" s="110"/>
      <c r="AI157" s="110"/>
      <c r="AJ157" s="110"/>
      <c r="AK157" s="110"/>
      <c r="AL157" s="110"/>
      <c r="AM157" s="110"/>
      <c r="AN157" s="110"/>
      <c r="AO157" s="110"/>
      <c r="AP157" s="110"/>
      <c r="AQ157" s="110"/>
      <c r="AR157" s="110"/>
      <c r="AS157" s="110"/>
      <c r="AT157" s="110"/>
      <c r="AU157" s="110"/>
      <c r="AV157" s="110"/>
      <c r="AW157" s="110"/>
      <c r="AX157" s="110"/>
      <c r="AY157" s="110"/>
      <c r="AZ157" s="110"/>
      <c r="BA157" s="110"/>
      <c r="BB157" s="110"/>
      <c r="BC157" s="110"/>
      <c r="BD157" s="110"/>
      <c r="BE157" s="110"/>
      <c r="BF157" s="110"/>
      <c r="BG157" s="110"/>
      <c r="BH157" s="110"/>
      <c r="BI157" s="110"/>
      <c r="BJ157" s="110"/>
      <c r="BK157" s="110"/>
      <c r="BL157" s="110"/>
      <c r="BM157" s="110"/>
      <c r="BN157" s="110"/>
      <c r="BO157" s="110"/>
      <c r="BP157" s="110"/>
      <c r="BQ157" s="110"/>
      <c r="BR157" s="110"/>
      <c r="BS157" s="110"/>
      <c r="BT157" s="110"/>
      <c r="BU157" s="110"/>
      <c r="BV157" s="110"/>
      <c r="BW157" s="110"/>
      <c r="BX157" s="110"/>
      <c r="BY157" s="110"/>
      <c r="BZ157" s="110"/>
      <c r="CA157" s="110"/>
      <c r="CB157" s="110"/>
      <c r="CC157" s="110"/>
      <c r="CE157"/>
      <c r="CF157"/>
      <c r="CG157"/>
      <c r="CH157"/>
      <c r="CI157"/>
      <c r="CJ157"/>
      <c r="CK157"/>
    </row>
    <row r="158" spans="2:89" s="32" customFormat="1" x14ac:dyDescent="0.2">
      <c r="B158" s="84" t="s">
        <v>112</v>
      </c>
      <c r="D158" s="85">
        <f t="shared" si="6"/>
        <v>0.2</v>
      </c>
      <c r="F158" s="86">
        <v>43556</v>
      </c>
      <c r="G158" s="87"/>
      <c r="H158" s="86" t="s">
        <v>277</v>
      </c>
      <c r="J158" s="110">
        <v>0</v>
      </c>
      <c r="K158" s="110">
        <v>0</v>
      </c>
      <c r="L158" s="110">
        <v>0.2</v>
      </c>
      <c r="M158" s="110">
        <v>0</v>
      </c>
      <c r="N158" s="110">
        <v>0</v>
      </c>
      <c r="O158" s="110">
        <v>0</v>
      </c>
      <c r="P158" s="110">
        <v>0</v>
      </c>
      <c r="Q158" s="110">
        <v>0</v>
      </c>
      <c r="R158" s="110">
        <v>0</v>
      </c>
      <c r="S158" s="110">
        <v>0</v>
      </c>
      <c r="T158" s="110">
        <v>0</v>
      </c>
      <c r="U158" s="110">
        <v>0</v>
      </c>
      <c r="V158" s="110">
        <v>0</v>
      </c>
      <c r="W158" s="110">
        <v>0</v>
      </c>
      <c r="X158" s="110">
        <v>0</v>
      </c>
      <c r="Y158" s="110">
        <v>0</v>
      </c>
      <c r="Z158" s="110">
        <v>0</v>
      </c>
      <c r="AA158" s="110">
        <v>0</v>
      </c>
      <c r="AB158" s="110">
        <v>0</v>
      </c>
      <c r="AC158" s="110">
        <v>0</v>
      </c>
      <c r="AD158" s="110">
        <v>0</v>
      </c>
      <c r="AE158" s="110">
        <v>0</v>
      </c>
      <c r="AF158" s="110">
        <v>0</v>
      </c>
      <c r="AG158" s="110">
        <v>0</v>
      </c>
      <c r="AH158" s="110"/>
      <c r="AI158" s="110"/>
      <c r="AJ158" s="110"/>
      <c r="AK158" s="110"/>
      <c r="AL158" s="110"/>
      <c r="AM158" s="110"/>
      <c r="AN158" s="110"/>
      <c r="AO158" s="110"/>
      <c r="AP158" s="110"/>
      <c r="AQ158" s="110"/>
      <c r="AR158" s="110"/>
      <c r="AS158" s="110"/>
      <c r="AT158" s="110"/>
      <c r="AU158" s="110"/>
      <c r="AV158" s="110"/>
      <c r="AW158" s="110"/>
      <c r="AX158" s="110"/>
      <c r="AY158" s="110"/>
      <c r="AZ158" s="110"/>
      <c r="BA158" s="110"/>
      <c r="BB158" s="110"/>
      <c r="BC158" s="110"/>
      <c r="BD158" s="110"/>
      <c r="BE158" s="110"/>
      <c r="BF158" s="110"/>
      <c r="BG158" s="110"/>
      <c r="BH158" s="110"/>
      <c r="BI158" s="110"/>
      <c r="BJ158" s="110"/>
      <c r="BK158" s="110"/>
      <c r="BL158" s="110"/>
      <c r="BM158" s="110"/>
      <c r="BN158" s="110"/>
      <c r="BO158" s="110"/>
      <c r="BP158" s="110"/>
      <c r="BQ158" s="110"/>
      <c r="BR158" s="110"/>
      <c r="BS158" s="110"/>
      <c r="BT158" s="110"/>
      <c r="BU158" s="110"/>
      <c r="BV158" s="110"/>
      <c r="BW158" s="110"/>
      <c r="BX158" s="110"/>
      <c r="BY158" s="110"/>
      <c r="BZ158" s="110"/>
      <c r="CA158" s="110"/>
      <c r="CB158" s="110"/>
      <c r="CC158" s="110"/>
      <c r="CE158"/>
      <c r="CF158"/>
      <c r="CG158"/>
      <c r="CH158"/>
      <c r="CI158"/>
      <c r="CJ158"/>
      <c r="CK158"/>
    </row>
    <row r="159" spans="2:89" s="32" customFormat="1" x14ac:dyDescent="0.2">
      <c r="B159" s="84" t="s">
        <v>113</v>
      </c>
      <c r="D159" s="85">
        <f t="shared" si="6"/>
        <v>0.1</v>
      </c>
      <c r="F159" s="86">
        <v>43525</v>
      </c>
      <c r="G159" s="87"/>
      <c r="H159" s="86">
        <v>44196</v>
      </c>
      <c r="J159" s="110">
        <v>0</v>
      </c>
      <c r="K159" s="110">
        <v>0</v>
      </c>
      <c r="L159" s="110">
        <v>0</v>
      </c>
      <c r="M159" s="110">
        <v>0.1</v>
      </c>
      <c r="N159" s="110">
        <v>0</v>
      </c>
      <c r="O159" s="110">
        <v>0</v>
      </c>
      <c r="P159" s="110">
        <v>0</v>
      </c>
      <c r="Q159" s="110">
        <v>0</v>
      </c>
      <c r="R159" s="110">
        <v>0</v>
      </c>
      <c r="S159" s="110">
        <v>0</v>
      </c>
      <c r="T159" s="110">
        <v>0</v>
      </c>
      <c r="U159" s="110">
        <v>0</v>
      </c>
      <c r="V159" s="110">
        <v>0</v>
      </c>
      <c r="W159" s="110">
        <v>0</v>
      </c>
      <c r="X159" s="110">
        <v>0</v>
      </c>
      <c r="Y159" s="110">
        <v>0</v>
      </c>
      <c r="Z159" s="110">
        <v>0</v>
      </c>
      <c r="AA159" s="110">
        <v>0</v>
      </c>
      <c r="AB159" s="110">
        <v>0</v>
      </c>
      <c r="AC159" s="110">
        <v>0</v>
      </c>
      <c r="AD159" s="110">
        <v>0</v>
      </c>
      <c r="AE159" s="110">
        <v>0</v>
      </c>
      <c r="AF159" s="110">
        <v>0</v>
      </c>
      <c r="AG159" s="110">
        <v>0</v>
      </c>
      <c r="AH159" s="110"/>
      <c r="AI159" s="110"/>
      <c r="AJ159" s="110"/>
      <c r="AK159" s="110"/>
      <c r="AL159" s="110"/>
      <c r="AM159" s="110"/>
      <c r="AN159" s="110"/>
      <c r="AO159" s="110"/>
      <c r="AP159" s="110"/>
      <c r="AQ159" s="110"/>
      <c r="AR159" s="110"/>
      <c r="AS159" s="110"/>
      <c r="AT159" s="110"/>
      <c r="AU159" s="110"/>
      <c r="AV159" s="110"/>
      <c r="AW159" s="110"/>
      <c r="AX159" s="110"/>
      <c r="AY159" s="110"/>
      <c r="AZ159" s="110"/>
      <c r="BA159" s="110"/>
      <c r="BB159" s="110"/>
      <c r="BC159" s="110"/>
      <c r="BD159" s="110"/>
      <c r="BE159" s="110"/>
      <c r="BF159" s="110"/>
      <c r="BG159" s="110"/>
      <c r="BH159" s="110"/>
      <c r="BI159" s="110"/>
      <c r="BJ159" s="110"/>
      <c r="BK159" s="110"/>
      <c r="BL159" s="110"/>
      <c r="BM159" s="110"/>
      <c r="BN159" s="110"/>
      <c r="BO159" s="110"/>
      <c r="BP159" s="110"/>
      <c r="BQ159" s="110"/>
      <c r="BR159" s="110"/>
      <c r="BS159" s="110"/>
      <c r="BT159" s="110"/>
      <c r="BU159" s="110"/>
      <c r="BV159" s="110"/>
      <c r="BW159" s="110"/>
      <c r="BX159" s="110"/>
      <c r="BY159" s="110"/>
      <c r="BZ159" s="110"/>
      <c r="CA159" s="110"/>
      <c r="CB159" s="110"/>
      <c r="CC159" s="110"/>
      <c r="CE159"/>
      <c r="CF159"/>
      <c r="CG159"/>
      <c r="CH159"/>
      <c r="CI159"/>
      <c r="CJ159"/>
      <c r="CK159"/>
    </row>
    <row r="160" spans="2:89" s="32" customFormat="1" ht="5.0999999999999996" customHeight="1" x14ac:dyDescent="0.2">
      <c r="D160" s="80"/>
      <c r="CE160"/>
      <c r="CF160"/>
      <c r="CG160"/>
      <c r="CH160"/>
      <c r="CI160"/>
      <c r="CJ160"/>
      <c r="CK160"/>
    </row>
    <row r="161" spans="2:94" s="32" customFormat="1" x14ac:dyDescent="0.2">
      <c r="B161" s="83" t="s">
        <v>114</v>
      </c>
      <c r="D161" s="85">
        <f>SUM(D156:D160)</f>
        <v>1.2</v>
      </c>
      <c r="F161" s="88" t="s">
        <v>109</v>
      </c>
      <c r="H161" s="89">
        <f>SUM(J161:CC161)</f>
        <v>0.58000000000000007</v>
      </c>
      <c r="J161" s="111">
        <f>IF($Q$152="Sobre la obra",SUM(J156:J160),IF($Q$152="Sobre cada tarea",SUMPRODUCT($D$156:$D$159,J156:J159),""))</f>
        <v>0.35</v>
      </c>
      <c r="K161" s="112">
        <f t="shared" ref="K161:AG161" si="7">IF($Q$152="Sobre la obra",SUM(K156:K160),IF($Q$152="Sobre cada tarea",SUMPRODUCT($D$156:$D$159,K156:K159),""))</f>
        <v>0.18</v>
      </c>
      <c r="L161" s="112">
        <f t="shared" si="7"/>
        <v>4.0000000000000008E-2</v>
      </c>
      <c r="M161" s="112">
        <f t="shared" si="7"/>
        <v>1.0000000000000002E-2</v>
      </c>
      <c r="N161" s="112">
        <f t="shared" si="7"/>
        <v>0</v>
      </c>
      <c r="O161" s="112">
        <f t="shared" si="7"/>
        <v>0</v>
      </c>
      <c r="P161" s="112">
        <f t="shared" si="7"/>
        <v>0</v>
      </c>
      <c r="Q161" s="112">
        <f t="shared" si="7"/>
        <v>0</v>
      </c>
      <c r="R161" s="112">
        <f t="shared" si="7"/>
        <v>0</v>
      </c>
      <c r="S161" s="112">
        <f t="shared" si="7"/>
        <v>0</v>
      </c>
      <c r="T161" s="112">
        <f t="shared" si="7"/>
        <v>0</v>
      </c>
      <c r="U161" s="112">
        <f t="shared" si="7"/>
        <v>0</v>
      </c>
      <c r="V161" s="112">
        <f t="shared" si="7"/>
        <v>0</v>
      </c>
      <c r="W161" s="112">
        <f t="shared" si="7"/>
        <v>0</v>
      </c>
      <c r="X161" s="112">
        <f t="shared" si="7"/>
        <v>0</v>
      </c>
      <c r="Y161" s="112">
        <f t="shared" si="7"/>
        <v>0</v>
      </c>
      <c r="Z161" s="112">
        <f t="shared" si="7"/>
        <v>0</v>
      </c>
      <c r="AA161" s="112">
        <f t="shared" si="7"/>
        <v>0</v>
      </c>
      <c r="AB161" s="112">
        <f t="shared" si="7"/>
        <v>0</v>
      </c>
      <c r="AC161" s="112">
        <f t="shared" si="7"/>
        <v>0</v>
      </c>
      <c r="AD161" s="112">
        <f t="shared" si="7"/>
        <v>0</v>
      </c>
      <c r="AE161" s="112">
        <f t="shared" si="7"/>
        <v>0</v>
      </c>
      <c r="AF161" s="112">
        <f t="shared" si="7"/>
        <v>0</v>
      </c>
      <c r="AG161" s="112">
        <f t="shared" si="7"/>
        <v>0</v>
      </c>
      <c r="AH161" s="112"/>
      <c r="AI161" s="112"/>
      <c r="AJ161" s="112"/>
      <c r="AK161" s="112"/>
      <c r="AL161" s="112"/>
      <c r="AM161" s="112"/>
      <c r="AN161" s="112"/>
      <c r="AO161" s="112"/>
      <c r="AP161" s="112"/>
      <c r="AQ161" s="112"/>
      <c r="AR161" s="112"/>
      <c r="AS161" s="112"/>
      <c r="AT161" s="112"/>
      <c r="AU161" s="112"/>
      <c r="AV161" s="112"/>
      <c r="AW161" s="112"/>
      <c r="AX161" s="112"/>
      <c r="AY161" s="112"/>
      <c r="AZ161" s="112"/>
      <c r="BA161" s="112"/>
      <c r="BB161" s="112"/>
      <c r="BC161" s="112"/>
      <c r="BD161" s="112"/>
      <c r="BE161" s="112"/>
      <c r="BF161" s="112"/>
      <c r="BG161" s="112"/>
      <c r="BH161" s="112"/>
      <c r="BI161" s="112"/>
      <c r="BJ161" s="112"/>
      <c r="BK161" s="112"/>
      <c r="BL161" s="112"/>
      <c r="BM161" s="112"/>
      <c r="BN161" s="112"/>
      <c r="BO161" s="112"/>
      <c r="BP161" s="112"/>
      <c r="BQ161" s="112"/>
      <c r="BR161" s="112"/>
      <c r="BS161" s="112"/>
      <c r="BT161" s="112"/>
      <c r="BU161" s="112"/>
      <c r="BV161" s="112"/>
      <c r="BW161" s="112"/>
      <c r="BX161" s="112"/>
      <c r="BY161" s="112"/>
      <c r="BZ161" s="112"/>
      <c r="CA161" s="112"/>
      <c r="CB161" s="112"/>
      <c r="CC161" s="112"/>
    </row>
    <row r="162" spans="2:94" ht="5.0999999999999996" customHeight="1" x14ac:dyDescent="0.2">
      <c r="F162" s="32"/>
      <c r="G162" s="32"/>
      <c r="H162" s="32"/>
      <c r="J162" s="24"/>
      <c r="K162" s="24"/>
      <c r="L162" s="24"/>
      <c r="M162" s="24"/>
      <c r="N162" s="24"/>
      <c r="O162" s="24"/>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c r="BF162" s="24"/>
      <c r="BG162" s="24"/>
      <c r="BH162" s="24"/>
      <c r="BI162" s="24"/>
      <c r="BJ162" s="24"/>
      <c r="BK162" s="24"/>
      <c r="BL162" s="24"/>
      <c r="BM162" s="24"/>
      <c r="BN162" s="24"/>
      <c r="BO162" s="24"/>
      <c r="BP162" s="24"/>
      <c r="BQ162" s="24"/>
      <c r="BR162" s="24"/>
      <c r="BS162" s="24"/>
      <c r="BT162" s="24"/>
      <c r="BU162" s="24"/>
      <c r="BV162" s="24"/>
      <c r="BW162" s="24"/>
      <c r="BX162" s="24"/>
      <c r="BY162" s="24"/>
      <c r="BZ162" s="24"/>
      <c r="CA162" s="24"/>
      <c r="CB162" s="24"/>
      <c r="CC162" s="24"/>
    </row>
    <row r="163" spans="2:94" s="32" customFormat="1" x14ac:dyDescent="0.2">
      <c r="B163" s="83" t="s">
        <v>115</v>
      </c>
      <c r="J163" s="112">
        <f>+J161</f>
        <v>0.35</v>
      </c>
      <c r="K163" s="112">
        <f>+J163+K161</f>
        <v>0.53</v>
      </c>
      <c r="L163" s="112">
        <f>+K163+L161</f>
        <v>0.57000000000000006</v>
      </c>
      <c r="M163" s="112">
        <f>+L163+M161</f>
        <v>0.58000000000000007</v>
      </c>
      <c r="N163" s="112">
        <f t="shared" ref="N163:AG163" si="8">+M163+N161</f>
        <v>0.58000000000000007</v>
      </c>
      <c r="O163" s="112">
        <f t="shared" si="8"/>
        <v>0.58000000000000007</v>
      </c>
      <c r="P163" s="112">
        <f t="shared" si="8"/>
        <v>0.58000000000000007</v>
      </c>
      <c r="Q163" s="112">
        <f t="shared" si="8"/>
        <v>0.58000000000000007</v>
      </c>
      <c r="R163" s="112">
        <f t="shared" si="8"/>
        <v>0.58000000000000007</v>
      </c>
      <c r="S163" s="112">
        <f t="shared" si="8"/>
        <v>0.58000000000000007</v>
      </c>
      <c r="T163" s="112">
        <f t="shared" si="8"/>
        <v>0.58000000000000007</v>
      </c>
      <c r="U163" s="112">
        <f t="shared" si="8"/>
        <v>0.58000000000000007</v>
      </c>
      <c r="V163" s="112">
        <f t="shared" si="8"/>
        <v>0.58000000000000007</v>
      </c>
      <c r="W163" s="112">
        <f t="shared" si="8"/>
        <v>0.58000000000000007</v>
      </c>
      <c r="X163" s="112">
        <f t="shared" si="8"/>
        <v>0.58000000000000007</v>
      </c>
      <c r="Y163" s="112">
        <f t="shared" si="8"/>
        <v>0.58000000000000007</v>
      </c>
      <c r="Z163" s="112">
        <f t="shared" si="8"/>
        <v>0.58000000000000007</v>
      </c>
      <c r="AA163" s="112">
        <f t="shared" si="8"/>
        <v>0.58000000000000007</v>
      </c>
      <c r="AB163" s="112">
        <f t="shared" si="8"/>
        <v>0.58000000000000007</v>
      </c>
      <c r="AC163" s="112">
        <f t="shared" si="8"/>
        <v>0.58000000000000007</v>
      </c>
      <c r="AD163" s="112">
        <f t="shared" si="8"/>
        <v>0.58000000000000007</v>
      </c>
      <c r="AE163" s="112">
        <f t="shared" si="8"/>
        <v>0.58000000000000007</v>
      </c>
      <c r="AF163" s="122">
        <f t="shared" si="8"/>
        <v>0.58000000000000007</v>
      </c>
      <c r="AG163" s="112">
        <f t="shared" si="8"/>
        <v>0.58000000000000007</v>
      </c>
      <c r="AH163" s="112"/>
      <c r="AI163" s="112"/>
      <c r="AJ163" s="112"/>
      <c r="AK163" s="112"/>
      <c r="AL163" s="112"/>
      <c r="AM163" s="112"/>
      <c r="AN163" s="112"/>
      <c r="AO163" s="112"/>
      <c r="AP163" s="112"/>
      <c r="AQ163" s="112"/>
      <c r="AR163" s="112"/>
      <c r="AS163" s="112"/>
      <c r="AT163" s="112"/>
      <c r="AU163" s="112"/>
      <c r="AV163" s="112"/>
      <c r="AW163" s="112"/>
      <c r="AX163" s="112"/>
      <c r="AY163" s="112"/>
      <c r="AZ163" s="112"/>
      <c r="BA163" s="112"/>
      <c r="BB163" s="112"/>
      <c r="BC163" s="112"/>
      <c r="BD163" s="112"/>
      <c r="BE163" s="112"/>
      <c r="BF163" s="112"/>
      <c r="BG163" s="112"/>
      <c r="BH163" s="112"/>
      <c r="BI163" s="112"/>
      <c r="BJ163" s="112"/>
      <c r="BK163" s="112"/>
      <c r="BL163" s="112"/>
      <c r="BM163" s="112"/>
      <c r="BN163" s="112"/>
      <c r="BO163" s="112"/>
      <c r="BP163" s="112"/>
      <c r="BQ163" s="112"/>
      <c r="BR163" s="112"/>
      <c r="BS163" s="112"/>
      <c r="BT163" s="112"/>
      <c r="BU163" s="112"/>
      <c r="BV163" s="112"/>
      <c r="BW163" s="112"/>
      <c r="BX163" s="112"/>
      <c r="BY163" s="112"/>
      <c r="BZ163" s="112"/>
      <c r="CA163" s="112"/>
      <c r="CB163" s="112"/>
      <c r="CC163" s="112"/>
    </row>
    <row r="164" spans="2:94" ht="5.0999999999999996" customHeight="1" x14ac:dyDescent="0.2"/>
    <row r="165" spans="2:94" x14ac:dyDescent="0.2">
      <c r="B165" s="75" t="s">
        <v>278</v>
      </c>
      <c r="C165" s="67"/>
      <c r="D165" s="67"/>
      <c r="E165" s="67"/>
      <c r="F165" s="67"/>
      <c r="G165" s="67"/>
      <c r="H165" s="67"/>
      <c r="I165" s="67"/>
      <c r="J165" s="67"/>
      <c r="K165" s="67"/>
      <c r="L165" s="67"/>
      <c r="M165" s="67"/>
      <c r="N165" s="67"/>
      <c r="O165" s="67"/>
      <c r="P165" s="67"/>
      <c r="Q165" s="121"/>
      <c r="R165" s="67"/>
      <c r="S165" s="67"/>
      <c r="T165" s="67"/>
      <c r="U165" s="67"/>
      <c r="V165" s="67"/>
      <c r="W165" s="67"/>
      <c r="X165" s="67"/>
      <c r="Y165" s="67"/>
      <c r="Z165" s="67"/>
      <c r="AA165" s="67"/>
      <c r="AB165" s="67"/>
      <c r="AC165" s="67"/>
      <c r="AD165" s="67"/>
      <c r="AE165" s="67"/>
      <c r="AF165" s="67"/>
      <c r="AG165" s="67"/>
      <c r="AH165" s="67"/>
      <c r="AI165" s="67"/>
      <c r="AJ165" s="67"/>
      <c r="AK165" s="67"/>
      <c r="AL165" s="67"/>
      <c r="AM165" s="67"/>
      <c r="AN165" s="67"/>
      <c r="AO165" s="67"/>
      <c r="AP165" s="67"/>
      <c r="AQ165" s="67"/>
      <c r="AR165" s="67"/>
      <c r="AS165" s="67"/>
      <c r="AT165" s="67"/>
      <c r="AU165" s="67"/>
      <c r="AV165" s="67"/>
      <c r="AW165" s="67"/>
      <c r="AX165" s="67"/>
      <c r="AY165" s="67"/>
      <c r="AZ165" s="67"/>
      <c r="BA165" s="67"/>
      <c r="BB165" s="67"/>
      <c r="BC165" s="67"/>
      <c r="BD165" s="67"/>
      <c r="BE165" s="67"/>
      <c r="BF165" s="67"/>
      <c r="BG165" s="67"/>
      <c r="BH165" s="67"/>
      <c r="BI165" s="67"/>
      <c r="BJ165" s="67"/>
      <c r="BK165" s="67"/>
      <c r="BL165" s="67"/>
      <c r="BM165" s="67"/>
      <c r="BN165" s="67"/>
      <c r="BO165" s="67"/>
      <c r="BP165" s="67"/>
      <c r="BQ165" s="67"/>
      <c r="BR165" s="67"/>
      <c r="BS165" s="67"/>
      <c r="BT165" s="67"/>
      <c r="BU165" s="67"/>
      <c r="BV165" s="67"/>
      <c r="BW165" s="67"/>
      <c r="BX165" s="67"/>
      <c r="BY165" s="67"/>
      <c r="BZ165" s="67"/>
      <c r="CA165" s="67"/>
      <c r="CB165" s="67"/>
      <c r="CC165" s="67"/>
    </row>
    <row r="166" spans="2:94" ht="5.0999999999999996" customHeight="1" x14ac:dyDescent="0.2"/>
    <row r="167" spans="2:94" s="32" customFormat="1" ht="66" customHeight="1" x14ac:dyDescent="0.2">
      <c r="B167" s="90" t="s">
        <v>106</v>
      </c>
      <c r="C167" s="91"/>
      <c r="D167" s="92" t="s">
        <v>117</v>
      </c>
      <c r="E167" s="91"/>
      <c r="F167" s="92" t="s">
        <v>118</v>
      </c>
      <c r="G167" s="91"/>
      <c r="H167" s="92" t="s">
        <v>119</v>
      </c>
      <c r="J167" s="106" t="e">
        <f>+J154</f>
        <v>#N/A</v>
      </c>
      <c r="K167" s="106" t="e">
        <f t="shared" ref="K167:BV167" si="9">+K154</f>
        <v>#N/A</v>
      </c>
      <c r="L167" s="106" t="e">
        <f t="shared" si="9"/>
        <v>#N/A</v>
      </c>
      <c r="M167" s="106" t="e">
        <f t="shared" si="9"/>
        <v>#N/A</v>
      </c>
      <c r="N167" s="106" t="e">
        <f t="shared" si="9"/>
        <v>#N/A</v>
      </c>
      <c r="O167" s="106" t="e">
        <f t="shared" si="9"/>
        <v>#N/A</v>
      </c>
      <c r="P167" s="106" t="e">
        <f t="shared" si="9"/>
        <v>#N/A</v>
      </c>
      <c r="Q167" s="106" t="e">
        <f t="shared" si="9"/>
        <v>#N/A</v>
      </c>
      <c r="R167" s="106" t="e">
        <f t="shared" si="9"/>
        <v>#N/A</v>
      </c>
      <c r="S167" s="106" t="e">
        <f t="shared" si="9"/>
        <v>#N/A</v>
      </c>
      <c r="T167" s="106" t="e">
        <f t="shared" si="9"/>
        <v>#N/A</v>
      </c>
      <c r="U167" s="106" t="e">
        <f t="shared" si="9"/>
        <v>#N/A</v>
      </c>
      <c r="V167" s="106" t="e">
        <f t="shared" si="9"/>
        <v>#N/A</v>
      </c>
      <c r="W167" s="106" t="e">
        <f t="shared" si="9"/>
        <v>#N/A</v>
      </c>
      <c r="X167" s="106" t="e">
        <f t="shared" si="9"/>
        <v>#N/A</v>
      </c>
      <c r="Y167" s="106" t="e">
        <f t="shared" si="9"/>
        <v>#N/A</v>
      </c>
      <c r="Z167" s="106" t="e">
        <f t="shared" si="9"/>
        <v>#N/A</v>
      </c>
      <c r="AA167" s="106" t="e">
        <f t="shared" si="9"/>
        <v>#N/A</v>
      </c>
      <c r="AB167" s="106" t="e">
        <f t="shared" si="9"/>
        <v>#N/A</v>
      </c>
      <c r="AC167" s="106" t="e">
        <f t="shared" si="9"/>
        <v>#N/A</v>
      </c>
      <c r="AD167" s="106" t="e">
        <f t="shared" si="9"/>
        <v>#N/A</v>
      </c>
      <c r="AE167" s="106" t="e">
        <f t="shared" si="9"/>
        <v>#N/A</v>
      </c>
      <c r="AF167" s="106" t="e">
        <f t="shared" si="9"/>
        <v>#N/A</v>
      </c>
      <c r="AG167" s="106" t="e">
        <f t="shared" si="9"/>
        <v>#N/A</v>
      </c>
      <c r="AH167" s="106" t="e">
        <f t="shared" si="9"/>
        <v>#N/A</v>
      </c>
      <c r="AI167" s="106" t="e">
        <f t="shared" si="9"/>
        <v>#N/A</v>
      </c>
      <c r="AJ167" s="106" t="e">
        <f t="shared" si="9"/>
        <v>#N/A</v>
      </c>
      <c r="AK167" s="106" t="e">
        <f t="shared" si="9"/>
        <v>#N/A</v>
      </c>
      <c r="AL167" s="106" t="e">
        <f t="shared" si="9"/>
        <v>#N/A</v>
      </c>
      <c r="AM167" s="106" t="e">
        <f t="shared" si="9"/>
        <v>#N/A</v>
      </c>
      <c r="AN167" s="106" t="e">
        <f t="shared" si="9"/>
        <v>#N/A</v>
      </c>
      <c r="AO167" s="106" t="e">
        <f t="shared" si="9"/>
        <v>#N/A</v>
      </c>
      <c r="AP167" s="106" t="e">
        <f t="shared" si="9"/>
        <v>#N/A</v>
      </c>
      <c r="AQ167" s="106" t="e">
        <f t="shared" si="9"/>
        <v>#N/A</v>
      </c>
      <c r="AR167" s="106" t="e">
        <f t="shared" si="9"/>
        <v>#N/A</v>
      </c>
      <c r="AS167" s="106" t="e">
        <f t="shared" si="9"/>
        <v>#N/A</v>
      </c>
      <c r="AT167" s="106" t="e">
        <f t="shared" si="9"/>
        <v>#N/A</v>
      </c>
      <c r="AU167" s="106" t="e">
        <f t="shared" si="9"/>
        <v>#N/A</v>
      </c>
      <c r="AV167" s="106" t="e">
        <f t="shared" si="9"/>
        <v>#N/A</v>
      </c>
      <c r="AW167" s="106" t="e">
        <f t="shared" si="9"/>
        <v>#N/A</v>
      </c>
      <c r="AX167" s="106" t="e">
        <f t="shared" si="9"/>
        <v>#N/A</v>
      </c>
      <c r="AY167" s="106" t="e">
        <f t="shared" si="9"/>
        <v>#N/A</v>
      </c>
      <c r="AZ167" s="106" t="e">
        <f t="shared" si="9"/>
        <v>#N/A</v>
      </c>
      <c r="BA167" s="106" t="e">
        <f t="shared" si="9"/>
        <v>#N/A</v>
      </c>
      <c r="BB167" s="106" t="e">
        <f t="shared" si="9"/>
        <v>#N/A</v>
      </c>
      <c r="BC167" s="106" t="e">
        <f t="shared" si="9"/>
        <v>#N/A</v>
      </c>
      <c r="BD167" s="106" t="e">
        <f t="shared" si="9"/>
        <v>#N/A</v>
      </c>
      <c r="BE167" s="106" t="e">
        <f t="shared" si="9"/>
        <v>#N/A</v>
      </c>
      <c r="BF167" s="106" t="e">
        <f t="shared" si="9"/>
        <v>#N/A</v>
      </c>
      <c r="BG167" s="106" t="e">
        <f t="shared" si="9"/>
        <v>#N/A</v>
      </c>
      <c r="BH167" s="106" t="e">
        <f t="shared" si="9"/>
        <v>#N/A</v>
      </c>
      <c r="BI167" s="106" t="e">
        <f t="shared" si="9"/>
        <v>#N/A</v>
      </c>
      <c r="BJ167" s="106" t="e">
        <f t="shared" si="9"/>
        <v>#N/A</v>
      </c>
      <c r="BK167" s="106" t="e">
        <f t="shared" si="9"/>
        <v>#N/A</v>
      </c>
      <c r="BL167" s="106" t="e">
        <f t="shared" si="9"/>
        <v>#N/A</v>
      </c>
      <c r="BM167" s="106" t="e">
        <f t="shared" si="9"/>
        <v>#N/A</v>
      </c>
      <c r="BN167" s="106" t="e">
        <f t="shared" si="9"/>
        <v>#N/A</v>
      </c>
      <c r="BO167" s="106" t="e">
        <f t="shared" si="9"/>
        <v>#N/A</v>
      </c>
      <c r="BP167" s="106" t="e">
        <f t="shared" si="9"/>
        <v>#N/A</v>
      </c>
      <c r="BQ167" s="106" t="e">
        <f t="shared" si="9"/>
        <v>#N/A</v>
      </c>
      <c r="BR167" s="106" t="e">
        <f t="shared" si="9"/>
        <v>#N/A</v>
      </c>
      <c r="BS167" s="106" t="e">
        <f t="shared" si="9"/>
        <v>#N/A</v>
      </c>
      <c r="BT167" s="106" t="e">
        <f t="shared" si="9"/>
        <v>#N/A</v>
      </c>
      <c r="BU167" s="106" t="e">
        <f t="shared" si="9"/>
        <v>#N/A</v>
      </c>
      <c r="BV167" s="106" t="e">
        <f t="shared" si="9"/>
        <v>#N/A</v>
      </c>
      <c r="BW167" s="106" t="e">
        <f t="shared" ref="BW167:CC167" si="10">+BW154</f>
        <v>#N/A</v>
      </c>
      <c r="BX167" s="106" t="e">
        <f t="shared" si="10"/>
        <v>#N/A</v>
      </c>
      <c r="BY167" s="106" t="e">
        <f t="shared" si="10"/>
        <v>#N/A</v>
      </c>
      <c r="BZ167" s="106" t="e">
        <f t="shared" si="10"/>
        <v>#N/A</v>
      </c>
      <c r="CA167" s="106" t="e">
        <f t="shared" si="10"/>
        <v>#N/A</v>
      </c>
      <c r="CB167" s="106" t="e">
        <f t="shared" si="10"/>
        <v>#N/A</v>
      </c>
      <c r="CC167" s="106" t="e">
        <f t="shared" si="10"/>
        <v>#N/A</v>
      </c>
    </row>
    <row r="168" spans="2:94" s="32" customFormat="1" ht="5.0999999999999996" customHeight="1" x14ac:dyDescent="0.2">
      <c r="H168"/>
    </row>
    <row r="169" spans="2:94" s="32" customFormat="1" ht="15.75" customHeight="1" x14ac:dyDescent="0.2">
      <c r="B169" s="83" t="str">
        <f>+$B$156</f>
        <v>Tarea 1</v>
      </c>
      <c r="D169" s="85">
        <f>IF($H$136=0,0,F169/$H$136)</f>
        <v>0</v>
      </c>
      <c r="F169" s="93">
        <v>0</v>
      </c>
      <c r="H169" s="94">
        <f>SUM(J169:CC169)</f>
        <v>0</v>
      </c>
      <c r="J169" s="93">
        <v>0</v>
      </c>
      <c r="K169" s="93">
        <v>0</v>
      </c>
      <c r="L169" s="93">
        <v>0</v>
      </c>
      <c r="M169" s="93">
        <v>0</v>
      </c>
      <c r="N169" s="93">
        <v>0</v>
      </c>
      <c r="O169" s="93">
        <v>0</v>
      </c>
      <c r="P169" s="93">
        <v>0</v>
      </c>
      <c r="Q169" s="93">
        <v>0</v>
      </c>
      <c r="R169" s="93">
        <v>0</v>
      </c>
      <c r="S169" s="93">
        <v>0</v>
      </c>
      <c r="T169" s="93">
        <v>0</v>
      </c>
      <c r="U169" s="93">
        <v>0</v>
      </c>
      <c r="V169" s="93">
        <v>0</v>
      </c>
      <c r="W169" s="93">
        <v>0</v>
      </c>
      <c r="X169" s="93">
        <v>0</v>
      </c>
      <c r="Y169" s="93">
        <v>0</v>
      </c>
      <c r="Z169" s="93">
        <v>0</v>
      </c>
      <c r="AA169" s="93">
        <v>0</v>
      </c>
      <c r="AB169" s="93">
        <v>0</v>
      </c>
      <c r="AC169" s="93">
        <v>0</v>
      </c>
      <c r="AD169" s="93">
        <v>0</v>
      </c>
      <c r="AE169" s="93">
        <v>0</v>
      </c>
      <c r="AF169" s="93">
        <v>0</v>
      </c>
      <c r="AG169" s="93">
        <v>0</v>
      </c>
      <c r="AH169" s="93">
        <v>0</v>
      </c>
      <c r="AI169" s="93">
        <v>0</v>
      </c>
      <c r="AJ169" s="93">
        <v>0</v>
      </c>
      <c r="AK169" s="93">
        <v>0</v>
      </c>
      <c r="AL169" s="93">
        <v>0</v>
      </c>
      <c r="AM169" s="93">
        <v>0</v>
      </c>
      <c r="AN169" s="93">
        <v>0</v>
      </c>
      <c r="AO169" s="93">
        <v>0</v>
      </c>
      <c r="AP169" s="93">
        <v>0</v>
      </c>
      <c r="AQ169" s="93">
        <v>0</v>
      </c>
      <c r="AR169" s="93">
        <v>0</v>
      </c>
      <c r="AS169" s="93">
        <v>0</v>
      </c>
      <c r="AT169" s="93">
        <v>0</v>
      </c>
      <c r="AU169" s="93">
        <v>0</v>
      </c>
      <c r="AV169" s="93">
        <v>0</v>
      </c>
      <c r="AW169" s="93">
        <v>0</v>
      </c>
      <c r="AX169" s="93">
        <v>0</v>
      </c>
      <c r="AY169" s="93">
        <v>0</v>
      </c>
      <c r="AZ169" s="93">
        <v>0</v>
      </c>
      <c r="BA169" s="93">
        <v>0</v>
      </c>
      <c r="BB169" s="93">
        <v>0</v>
      </c>
      <c r="BC169" s="93">
        <v>0</v>
      </c>
      <c r="BD169" s="93">
        <v>0</v>
      </c>
      <c r="BE169" s="93">
        <v>0</v>
      </c>
      <c r="BF169" s="93">
        <v>0</v>
      </c>
      <c r="BG169" s="93">
        <v>0</v>
      </c>
      <c r="BH169" s="93">
        <v>0</v>
      </c>
      <c r="BI169" s="93">
        <v>0</v>
      </c>
      <c r="BJ169" s="93">
        <v>0</v>
      </c>
      <c r="BK169" s="93">
        <v>0</v>
      </c>
      <c r="BL169" s="93">
        <v>0</v>
      </c>
      <c r="BM169" s="93">
        <v>0</v>
      </c>
      <c r="BN169" s="93">
        <v>0</v>
      </c>
      <c r="BO169" s="93">
        <v>0</v>
      </c>
      <c r="BP169" s="93">
        <v>0</v>
      </c>
      <c r="BQ169" s="93">
        <v>0</v>
      </c>
      <c r="BR169" s="93">
        <v>0</v>
      </c>
      <c r="BS169" s="93">
        <v>0</v>
      </c>
      <c r="BT169" s="93">
        <v>0</v>
      </c>
      <c r="BU169" s="93">
        <v>0</v>
      </c>
      <c r="BV169" s="93">
        <v>0</v>
      </c>
      <c r="BW169" s="93">
        <v>0</v>
      </c>
      <c r="BX169" s="93">
        <v>0</v>
      </c>
      <c r="BY169" s="93">
        <v>0</v>
      </c>
      <c r="BZ169" s="93">
        <v>0</v>
      </c>
      <c r="CA169" s="93">
        <v>0</v>
      </c>
      <c r="CB169" s="93">
        <v>0</v>
      </c>
      <c r="CC169" s="93">
        <v>0</v>
      </c>
    </row>
    <row r="170" spans="2:94" s="32" customFormat="1" ht="15.75" customHeight="1" x14ac:dyDescent="0.2">
      <c r="B170" s="83" t="str">
        <f>+$B$157</f>
        <v>Tarea 2</v>
      </c>
      <c r="D170" s="85">
        <f t="shared" ref="D170:D172" si="11">IF($H$136=0,0,F170/$H$136)</f>
        <v>0</v>
      </c>
      <c r="F170" s="93">
        <v>0</v>
      </c>
      <c r="H170" s="94">
        <f>SUM(J170:CC170)</f>
        <v>0</v>
      </c>
      <c r="J170" s="93">
        <v>0</v>
      </c>
      <c r="K170" s="93">
        <v>0</v>
      </c>
      <c r="L170" s="93">
        <v>0</v>
      </c>
      <c r="M170" s="93">
        <v>0</v>
      </c>
      <c r="N170" s="93">
        <v>0</v>
      </c>
      <c r="O170" s="93">
        <v>0</v>
      </c>
      <c r="P170" s="93">
        <v>0</v>
      </c>
      <c r="Q170" s="93">
        <v>0</v>
      </c>
      <c r="R170" s="93">
        <v>0</v>
      </c>
      <c r="S170" s="93">
        <v>0</v>
      </c>
      <c r="T170" s="93">
        <v>0</v>
      </c>
      <c r="U170" s="93">
        <v>0</v>
      </c>
      <c r="V170" s="93">
        <v>0</v>
      </c>
      <c r="W170" s="93">
        <v>0</v>
      </c>
      <c r="X170" s="93">
        <v>0</v>
      </c>
      <c r="Y170" s="93">
        <v>0</v>
      </c>
      <c r="Z170" s="93">
        <v>0</v>
      </c>
      <c r="AA170" s="93">
        <v>0</v>
      </c>
      <c r="AB170" s="93">
        <v>0</v>
      </c>
      <c r="AC170" s="93">
        <v>0</v>
      </c>
      <c r="AD170" s="93">
        <v>0</v>
      </c>
      <c r="AE170" s="93">
        <v>0</v>
      </c>
      <c r="AF170" s="93">
        <v>0</v>
      </c>
      <c r="AG170" s="93">
        <v>0</v>
      </c>
      <c r="AH170" s="93">
        <v>0</v>
      </c>
      <c r="AI170" s="93">
        <v>0</v>
      </c>
      <c r="AJ170" s="93">
        <v>0</v>
      </c>
      <c r="AK170" s="93">
        <v>0</v>
      </c>
      <c r="AL170" s="93">
        <v>0</v>
      </c>
      <c r="AM170" s="93">
        <v>0</v>
      </c>
      <c r="AN170" s="93">
        <v>0</v>
      </c>
      <c r="AO170" s="93">
        <v>0</v>
      </c>
      <c r="AP170" s="93">
        <v>0</v>
      </c>
      <c r="AQ170" s="93">
        <v>0</v>
      </c>
      <c r="AR170" s="93">
        <v>0</v>
      </c>
      <c r="AS170" s="93">
        <v>0</v>
      </c>
      <c r="AT170" s="93">
        <v>0</v>
      </c>
      <c r="AU170" s="93">
        <v>0</v>
      </c>
      <c r="AV170" s="93">
        <v>0</v>
      </c>
      <c r="AW170" s="93">
        <v>0</v>
      </c>
      <c r="AX170" s="93">
        <v>0</v>
      </c>
      <c r="AY170" s="93">
        <v>0</v>
      </c>
      <c r="AZ170" s="93">
        <v>0</v>
      </c>
      <c r="BA170" s="93">
        <v>0</v>
      </c>
      <c r="BB170" s="93">
        <v>0</v>
      </c>
      <c r="BC170" s="93">
        <v>0</v>
      </c>
      <c r="BD170" s="93">
        <v>0</v>
      </c>
      <c r="BE170" s="93">
        <v>0</v>
      </c>
      <c r="BF170" s="93">
        <v>0</v>
      </c>
      <c r="BG170" s="93">
        <v>0</v>
      </c>
      <c r="BH170" s="93">
        <v>0</v>
      </c>
      <c r="BI170" s="93">
        <v>0</v>
      </c>
      <c r="BJ170" s="93">
        <v>0</v>
      </c>
      <c r="BK170" s="93">
        <v>0</v>
      </c>
      <c r="BL170" s="93">
        <v>0</v>
      </c>
      <c r="BM170" s="93">
        <v>0</v>
      </c>
      <c r="BN170" s="93">
        <v>0</v>
      </c>
      <c r="BO170" s="93">
        <v>0</v>
      </c>
      <c r="BP170" s="93">
        <v>0</v>
      </c>
      <c r="BQ170" s="93">
        <v>0</v>
      </c>
      <c r="BR170" s="93">
        <v>0</v>
      </c>
      <c r="BS170" s="93">
        <v>0</v>
      </c>
      <c r="BT170" s="93">
        <v>0</v>
      </c>
      <c r="BU170" s="93">
        <v>0</v>
      </c>
      <c r="BV170" s="93">
        <v>0</v>
      </c>
      <c r="BW170" s="93">
        <v>0</v>
      </c>
      <c r="BX170" s="93">
        <v>0</v>
      </c>
      <c r="BY170" s="93">
        <v>0</v>
      </c>
      <c r="BZ170" s="93">
        <v>0</v>
      </c>
      <c r="CA170" s="93">
        <v>0</v>
      </c>
      <c r="CB170" s="93">
        <v>0</v>
      </c>
      <c r="CC170" s="93">
        <v>0</v>
      </c>
    </row>
    <row r="171" spans="2:94" s="32" customFormat="1" ht="15.75" customHeight="1" x14ac:dyDescent="0.2">
      <c r="B171" s="83" t="str">
        <f>+$B$158</f>
        <v>Tarea 3</v>
      </c>
      <c r="D171" s="85">
        <f t="shared" si="11"/>
        <v>0</v>
      </c>
      <c r="F171" s="93">
        <v>0</v>
      </c>
      <c r="H171" s="94">
        <f>SUM(J171:CC171)</f>
        <v>0</v>
      </c>
      <c r="J171" s="93">
        <v>0</v>
      </c>
      <c r="K171" s="93">
        <v>0</v>
      </c>
      <c r="L171" s="93">
        <v>0</v>
      </c>
      <c r="M171" s="93">
        <v>0</v>
      </c>
      <c r="N171" s="93">
        <v>0</v>
      </c>
      <c r="O171" s="93">
        <v>0</v>
      </c>
      <c r="P171" s="93">
        <v>0</v>
      </c>
      <c r="Q171" s="93">
        <v>0</v>
      </c>
      <c r="R171" s="93">
        <v>0</v>
      </c>
      <c r="S171" s="93">
        <v>0</v>
      </c>
      <c r="T171" s="93">
        <v>0</v>
      </c>
      <c r="U171" s="93">
        <v>0</v>
      </c>
      <c r="V171" s="93">
        <v>0</v>
      </c>
      <c r="W171" s="93">
        <v>0</v>
      </c>
      <c r="X171" s="93">
        <v>0</v>
      </c>
      <c r="Y171" s="93">
        <v>0</v>
      </c>
      <c r="Z171" s="93">
        <v>0</v>
      </c>
      <c r="AA171" s="93">
        <v>0</v>
      </c>
      <c r="AB171" s="93">
        <v>0</v>
      </c>
      <c r="AC171" s="93">
        <v>0</v>
      </c>
      <c r="AD171" s="93">
        <v>0</v>
      </c>
      <c r="AE171" s="93">
        <v>0</v>
      </c>
      <c r="AF171" s="93">
        <v>0</v>
      </c>
      <c r="AG171" s="93">
        <v>0</v>
      </c>
      <c r="AH171" s="93">
        <v>0</v>
      </c>
      <c r="AI171" s="93">
        <v>0</v>
      </c>
      <c r="AJ171" s="93">
        <v>0</v>
      </c>
      <c r="AK171" s="93">
        <v>0</v>
      </c>
      <c r="AL171" s="93">
        <v>0</v>
      </c>
      <c r="AM171" s="93">
        <v>0</v>
      </c>
      <c r="AN171" s="93">
        <v>0</v>
      </c>
      <c r="AO171" s="93">
        <v>0</v>
      </c>
      <c r="AP171" s="93">
        <v>0</v>
      </c>
      <c r="AQ171" s="93">
        <v>0</v>
      </c>
      <c r="AR171" s="93">
        <v>0</v>
      </c>
      <c r="AS171" s="93">
        <v>0</v>
      </c>
      <c r="AT171" s="93">
        <v>0</v>
      </c>
      <c r="AU171" s="93">
        <v>0</v>
      </c>
      <c r="AV171" s="93">
        <v>0</v>
      </c>
      <c r="AW171" s="93">
        <v>0</v>
      </c>
      <c r="AX171" s="93">
        <v>0</v>
      </c>
      <c r="AY171" s="93">
        <v>0</v>
      </c>
      <c r="AZ171" s="93">
        <v>0</v>
      </c>
      <c r="BA171" s="93">
        <v>0</v>
      </c>
      <c r="BB171" s="93">
        <v>0</v>
      </c>
      <c r="BC171" s="93">
        <v>0</v>
      </c>
      <c r="BD171" s="93">
        <v>0</v>
      </c>
      <c r="BE171" s="93">
        <v>0</v>
      </c>
      <c r="BF171" s="93">
        <v>0</v>
      </c>
      <c r="BG171" s="93">
        <v>0</v>
      </c>
      <c r="BH171" s="93">
        <v>0</v>
      </c>
      <c r="BI171" s="93">
        <v>0</v>
      </c>
      <c r="BJ171" s="93">
        <v>0</v>
      </c>
      <c r="BK171" s="93">
        <v>0</v>
      </c>
      <c r="BL171" s="93">
        <v>0</v>
      </c>
      <c r="BM171" s="93">
        <v>0</v>
      </c>
      <c r="BN171" s="93">
        <v>0</v>
      </c>
      <c r="BO171" s="93">
        <v>0</v>
      </c>
      <c r="BP171" s="93">
        <v>0</v>
      </c>
      <c r="BQ171" s="93">
        <v>0</v>
      </c>
      <c r="BR171" s="93">
        <v>0</v>
      </c>
      <c r="BS171" s="93">
        <v>0</v>
      </c>
      <c r="BT171" s="93">
        <v>0</v>
      </c>
      <c r="BU171" s="93">
        <v>0</v>
      </c>
      <c r="BV171" s="93">
        <v>0</v>
      </c>
      <c r="BW171" s="93">
        <v>0</v>
      </c>
      <c r="BX171" s="93">
        <v>0</v>
      </c>
      <c r="BY171" s="93">
        <v>0</v>
      </c>
      <c r="BZ171" s="93">
        <v>0</v>
      </c>
      <c r="CA171" s="93">
        <v>0</v>
      </c>
      <c r="CB171" s="93">
        <v>0</v>
      </c>
      <c r="CC171" s="93">
        <v>0</v>
      </c>
    </row>
    <row r="172" spans="2:94" s="32" customFormat="1" ht="15.75" customHeight="1" x14ac:dyDescent="0.2">
      <c r="B172" s="83" t="str">
        <f>+$B$159</f>
        <v>Tarea 4</v>
      </c>
      <c r="D172" s="85">
        <f t="shared" si="11"/>
        <v>0</v>
      </c>
      <c r="F172" s="93">
        <v>0</v>
      </c>
      <c r="H172" s="94">
        <f>SUM(J172:CC172)</f>
        <v>0</v>
      </c>
      <c r="J172" s="93">
        <v>0</v>
      </c>
      <c r="K172" s="93">
        <v>0</v>
      </c>
      <c r="L172" s="93">
        <v>0</v>
      </c>
      <c r="M172" s="93">
        <v>0</v>
      </c>
      <c r="N172" s="93">
        <v>0</v>
      </c>
      <c r="O172" s="93">
        <v>0</v>
      </c>
      <c r="P172" s="93">
        <v>0</v>
      </c>
      <c r="Q172" s="93">
        <v>0</v>
      </c>
      <c r="R172" s="93">
        <v>0</v>
      </c>
      <c r="S172" s="93">
        <v>0</v>
      </c>
      <c r="T172" s="93">
        <v>0</v>
      </c>
      <c r="U172" s="93">
        <v>0</v>
      </c>
      <c r="V172" s="93">
        <v>0</v>
      </c>
      <c r="W172" s="93">
        <v>0</v>
      </c>
      <c r="X172" s="93">
        <v>0</v>
      </c>
      <c r="Y172" s="93">
        <v>0</v>
      </c>
      <c r="Z172" s="93">
        <v>0</v>
      </c>
      <c r="AA172" s="93">
        <v>0</v>
      </c>
      <c r="AB172" s="93">
        <v>0</v>
      </c>
      <c r="AC172" s="93">
        <v>0</v>
      </c>
      <c r="AD172" s="93">
        <v>0</v>
      </c>
      <c r="AE172" s="93">
        <v>0</v>
      </c>
      <c r="AF172" s="93">
        <v>0</v>
      </c>
      <c r="AG172" s="93">
        <v>0</v>
      </c>
      <c r="AH172" s="93">
        <v>0</v>
      </c>
      <c r="AI172" s="93">
        <v>0</v>
      </c>
      <c r="AJ172" s="93">
        <v>0</v>
      </c>
      <c r="AK172" s="93">
        <v>0</v>
      </c>
      <c r="AL172" s="93">
        <v>0</v>
      </c>
      <c r="AM172" s="93">
        <v>0</v>
      </c>
      <c r="AN172" s="93">
        <v>0</v>
      </c>
      <c r="AO172" s="93">
        <v>0</v>
      </c>
      <c r="AP172" s="93">
        <v>0</v>
      </c>
      <c r="AQ172" s="93">
        <v>0</v>
      </c>
      <c r="AR172" s="93">
        <v>0</v>
      </c>
      <c r="AS172" s="93">
        <v>0</v>
      </c>
      <c r="AT172" s="93">
        <v>0</v>
      </c>
      <c r="AU172" s="93">
        <v>0</v>
      </c>
      <c r="AV172" s="93">
        <v>0</v>
      </c>
      <c r="AW172" s="93">
        <v>0</v>
      </c>
      <c r="AX172" s="93">
        <v>0</v>
      </c>
      <c r="AY172" s="93">
        <v>0</v>
      </c>
      <c r="AZ172" s="93">
        <v>0</v>
      </c>
      <c r="BA172" s="93">
        <v>0</v>
      </c>
      <c r="BB172" s="93">
        <v>0</v>
      </c>
      <c r="BC172" s="93">
        <v>0</v>
      </c>
      <c r="BD172" s="93">
        <v>0</v>
      </c>
      <c r="BE172" s="93">
        <v>0</v>
      </c>
      <c r="BF172" s="93">
        <v>0</v>
      </c>
      <c r="BG172" s="93">
        <v>0</v>
      </c>
      <c r="BH172" s="93">
        <v>0</v>
      </c>
      <c r="BI172" s="93">
        <v>0</v>
      </c>
      <c r="BJ172" s="93">
        <v>0</v>
      </c>
      <c r="BK172" s="93">
        <v>0</v>
      </c>
      <c r="BL172" s="93">
        <v>0</v>
      </c>
      <c r="BM172" s="93">
        <v>0</v>
      </c>
      <c r="BN172" s="93">
        <v>0</v>
      </c>
      <c r="BO172" s="93">
        <v>0</v>
      </c>
      <c r="BP172" s="93">
        <v>0</v>
      </c>
      <c r="BQ172" s="93">
        <v>0</v>
      </c>
      <c r="BR172" s="93">
        <v>0</v>
      </c>
      <c r="BS172" s="93">
        <v>0</v>
      </c>
      <c r="BT172" s="93">
        <v>0</v>
      </c>
      <c r="BU172" s="93">
        <v>0</v>
      </c>
      <c r="BV172" s="93">
        <v>0</v>
      </c>
      <c r="BW172" s="93">
        <v>0</v>
      </c>
      <c r="BX172" s="93">
        <v>0</v>
      </c>
      <c r="BY172" s="93">
        <v>0</v>
      </c>
      <c r="BZ172" s="93">
        <v>0</v>
      </c>
      <c r="CA172" s="93">
        <v>0</v>
      </c>
      <c r="CB172" s="93">
        <v>0</v>
      </c>
      <c r="CC172" s="93">
        <v>0</v>
      </c>
      <c r="CD172" s="113"/>
      <c r="CP172" s="113"/>
    </row>
    <row r="173" spans="2:94" s="32" customFormat="1" ht="5.0999999999999996" customHeight="1" x14ac:dyDescent="0.2">
      <c r="H173"/>
      <c r="J173" s="113"/>
      <c r="K173" s="113"/>
      <c r="L173" s="113"/>
      <c r="M173" s="113"/>
      <c r="N173" s="113"/>
      <c r="O173" s="113"/>
      <c r="P173" s="113"/>
      <c r="Q173" s="113"/>
      <c r="R173" s="113"/>
      <c r="S173" s="113"/>
      <c r="T173" s="113"/>
      <c r="U173" s="113"/>
      <c r="V173" s="113"/>
      <c r="W173" s="113"/>
      <c r="X173" s="113"/>
      <c r="Y173" s="113"/>
      <c r="Z173" s="113"/>
      <c r="AA173" s="113"/>
      <c r="AB173" s="113"/>
      <c r="AC173" s="113"/>
      <c r="AD173" s="113"/>
      <c r="AE173" s="113"/>
      <c r="AF173" s="113"/>
      <c r="AG173" s="113"/>
      <c r="AH173" s="113"/>
      <c r="AI173" s="113"/>
      <c r="AJ173" s="113"/>
      <c r="AK173" s="113"/>
      <c r="AL173" s="113"/>
      <c r="AM173" s="113"/>
      <c r="AN173" s="113"/>
      <c r="AO173" s="113"/>
      <c r="AP173" s="113"/>
      <c r="AQ173" s="113"/>
      <c r="AR173" s="113"/>
      <c r="AS173" s="113"/>
      <c r="AT173" s="113"/>
      <c r="AU173" s="113"/>
      <c r="AV173" s="113"/>
      <c r="AW173" s="113"/>
      <c r="AX173" s="113"/>
      <c r="AY173" s="113"/>
      <c r="AZ173" s="113"/>
      <c r="BA173" s="113"/>
      <c r="BB173" s="113"/>
      <c r="BC173" s="113"/>
      <c r="BD173" s="113"/>
      <c r="BE173" s="113"/>
      <c r="BF173" s="113"/>
      <c r="BG173" s="113"/>
      <c r="BH173" s="113"/>
      <c r="BI173" s="113"/>
      <c r="BJ173" s="113"/>
      <c r="BK173" s="113"/>
      <c r="BL173" s="113"/>
      <c r="BM173" s="113"/>
      <c r="BN173" s="113"/>
      <c r="BO173" s="113"/>
      <c r="BP173" s="113"/>
      <c r="BQ173" s="113"/>
      <c r="BR173" s="113"/>
      <c r="BS173" s="113"/>
      <c r="BT173" s="113"/>
      <c r="BU173" s="113"/>
      <c r="BV173" s="113"/>
      <c r="BW173" s="113"/>
      <c r="BX173" s="113"/>
      <c r="BY173" s="113"/>
      <c r="BZ173" s="113"/>
      <c r="CA173" s="113"/>
      <c r="CB173" s="113"/>
      <c r="CC173" s="113"/>
    </row>
    <row r="174" spans="2:94" s="32" customFormat="1" ht="15" customHeight="1" x14ac:dyDescent="0.2">
      <c r="B174" s="638" t="s">
        <v>120</v>
      </c>
      <c r="C174" s="639"/>
      <c r="D174" s="640"/>
      <c r="F174" s="95">
        <f>SUM(F169:F173)</f>
        <v>0</v>
      </c>
      <c r="H174" s="96">
        <f>+H169+H170+H171+H172</f>
        <v>0</v>
      </c>
      <c r="J174" s="114">
        <f>SUM(J169:J173)</f>
        <v>0</v>
      </c>
      <c r="K174" s="114">
        <f t="shared" ref="K174:AG174" si="12">SUM(K169:K173)</f>
        <v>0</v>
      </c>
      <c r="L174" s="114">
        <f t="shared" si="12"/>
        <v>0</v>
      </c>
      <c r="M174" s="114">
        <f t="shared" si="12"/>
        <v>0</v>
      </c>
      <c r="N174" s="114">
        <f t="shared" si="12"/>
        <v>0</v>
      </c>
      <c r="O174" s="114">
        <f t="shared" si="12"/>
        <v>0</v>
      </c>
      <c r="P174" s="114">
        <f t="shared" si="12"/>
        <v>0</v>
      </c>
      <c r="Q174" s="114">
        <f t="shared" si="12"/>
        <v>0</v>
      </c>
      <c r="R174" s="114">
        <f t="shared" si="12"/>
        <v>0</v>
      </c>
      <c r="S174" s="114">
        <f t="shared" si="12"/>
        <v>0</v>
      </c>
      <c r="T174" s="114">
        <f t="shared" si="12"/>
        <v>0</v>
      </c>
      <c r="U174" s="114">
        <f t="shared" si="12"/>
        <v>0</v>
      </c>
      <c r="V174" s="114">
        <f t="shared" si="12"/>
        <v>0</v>
      </c>
      <c r="W174" s="114">
        <f t="shared" si="12"/>
        <v>0</v>
      </c>
      <c r="X174" s="114">
        <f t="shared" si="12"/>
        <v>0</v>
      </c>
      <c r="Y174" s="114">
        <f t="shared" si="12"/>
        <v>0</v>
      </c>
      <c r="Z174" s="114">
        <f t="shared" si="12"/>
        <v>0</v>
      </c>
      <c r="AA174" s="114">
        <f t="shared" si="12"/>
        <v>0</v>
      </c>
      <c r="AB174" s="114">
        <f t="shared" si="12"/>
        <v>0</v>
      </c>
      <c r="AC174" s="114">
        <f t="shared" si="12"/>
        <v>0</v>
      </c>
      <c r="AD174" s="114">
        <f t="shared" si="12"/>
        <v>0</v>
      </c>
      <c r="AE174" s="114">
        <f t="shared" si="12"/>
        <v>0</v>
      </c>
      <c r="AF174" s="114">
        <f t="shared" si="12"/>
        <v>0</v>
      </c>
      <c r="AG174" s="114">
        <f t="shared" si="12"/>
        <v>0</v>
      </c>
      <c r="AH174" s="114">
        <f t="shared" ref="AH174" si="13">SUM(AH169:AH173)</f>
        <v>0</v>
      </c>
      <c r="AI174" s="114">
        <f t="shared" ref="AI174" si="14">SUM(AI169:AI173)</f>
        <v>0</v>
      </c>
      <c r="AJ174" s="114">
        <f t="shared" ref="AJ174" si="15">SUM(AJ169:AJ173)</f>
        <v>0</v>
      </c>
      <c r="AK174" s="114">
        <f t="shared" ref="AK174" si="16">SUM(AK169:AK173)</f>
        <v>0</v>
      </c>
      <c r="AL174" s="114">
        <f t="shared" ref="AL174" si="17">SUM(AL169:AL173)</f>
        <v>0</v>
      </c>
      <c r="AM174" s="114">
        <f t="shared" ref="AM174" si="18">SUM(AM169:AM173)</f>
        <v>0</v>
      </c>
      <c r="AN174" s="114">
        <f t="shared" ref="AN174" si="19">SUM(AN169:AN173)</f>
        <v>0</v>
      </c>
      <c r="AO174" s="114">
        <f t="shared" ref="AO174" si="20">SUM(AO169:AO173)</f>
        <v>0</v>
      </c>
      <c r="AP174" s="114">
        <f t="shared" ref="AP174" si="21">SUM(AP169:AP173)</f>
        <v>0</v>
      </c>
      <c r="AQ174" s="114">
        <f t="shared" ref="AQ174" si="22">SUM(AQ169:AQ173)</f>
        <v>0</v>
      </c>
      <c r="AR174" s="114">
        <f t="shared" ref="AR174" si="23">SUM(AR169:AR173)</f>
        <v>0</v>
      </c>
      <c r="AS174" s="114">
        <f t="shared" ref="AS174" si="24">SUM(AS169:AS173)</f>
        <v>0</v>
      </c>
      <c r="AT174" s="114">
        <f t="shared" ref="AT174" si="25">SUM(AT169:AT173)</f>
        <v>0</v>
      </c>
      <c r="AU174" s="114">
        <f t="shared" ref="AU174" si="26">SUM(AU169:AU173)</f>
        <v>0</v>
      </c>
      <c r="AV174" s="114">
        <f t="shared" ref="AV174" si="27">SUM(AV169:AV173)</f>
        <v>0</v>
      </c>
      <c r="AW174" s="114">
        <f t="shared" ref="AW174" si="28">SUM(AW169:AW173)</f>
        <v>0</v>
      </c>
      <c r="AX174" s="114">
        <f t="shared" ref="AX174" si="29">SUM(AX169:AX173)</f>
        <v>0</v>
      </c>
      <c r="AY174" s="114">
        <f t="shared" ref="AY174" si="30">SUM(AY169:AY173)</f>
        <v>0</v>
      </c>
      <c r="AZ174" s="114">
        <f t="shared" ref="AZ174" si="31">SUM(AZ169:AZ173)</f>
        <v>0</v>
      </c>
      <c r="BA174" s="114">
        <f t="shared" ref="BA174" si="32">SUM(BA169:BA173)</f>
        <v>0</v>
      </c>
      <c r="BB174" s="114">
        <f t="shared" ref="BB174" si="33">SUM(BB169:BB173)</f>
        <v>0</v>
      </c>
      <c r="BC174" s="114">
        <f t="shared" ref="BC174" si="34">SUM(BC169:BC173)</f>
        <v>0</v>
      </c>
      <c r="BD174" s="114">
        <f t="shared" ref="BD174" si="35">SUM(BD169:BD173)</f>
        <v>0</v>
      </c>
      <c r="BE174" s="114">
        <f t="shared" ref="BE174" si="36">SUM(BE169:BE173)</f>
        <v>0</v>
      </c>
      <c r="BF174" s="114">
        <f t="shared" ref="BF174" si="37">SUM(BF169:BF173)</f>
        <v>0</v>
      </c>
      <c r="BG174" s="114">
        <f t="shared" ref="BG174" si="38">SUM(BG169:BG173)</f>
        <v>0</v>
      </c>
      <c r="BH174" s="114">
        <f t="shared" ref="BH174" si="39">SUM(BH169:BH173)</f>
        <v>0</v>
      </c>
      <c r="BI174" s="114">
        <f t="shared" ref="BI174" si="40">SUM(BI169:BI173)</f>
        <v>0</v>
      </c>
      <c r="BJ174" s="114">
        <f t="shared" ref="BJ174" si="41">SUM(BJ169:BJ173)</f>
        <v>0</v>
      </c>
      <c r="BK174" s="114">
        <f t="shared" ref="BK174" si="42">SUM(BK169:BK173)</f>
        <v>0</v>
      </c>
      <c r="BL174" s="114">
        <f t="shared" ref="BL174" si="43">SUM(BL169:BL173)</f>
        <v>0</v>
      </c>
      <c r="BM174" s="114">
        <f t="shared" ref="BM174" si="44">SUM(BM169:BM173)</f>
        <v>0</v>
      </c>
      <c r="BN174" s="114">
        <f t="shared" ref="BN174" si="45">SUM(BN169:BN173)</f>
        <v>0</v>
      </c>
      <c r="BO174" s="114">
        <f t="shared" ref="BO174" si="46">SUM(BO169:BO173)</f>
        <v>0</v>
      </c>
      <c r="BP174" s="114">
        <f t="shared" ref="BP174" si="47">SUM(BP169:BP173)</f>
        <v>0</v>
      </c>
      <c r="BQ174" s="114">
        <f t="shared" ref="BQ174" si="48">SUM(BQ169:BQ173)</f>
        <v>0</v>
      </c>
      <c r="BR174" s="114">
        <f t="shared" ref="BR174" si="49">SUM(BR169:BR173)</f>
        <v>0</v>
      </c>
      <c r="BS174" s="114">
        <f t="shared" ref="BS174" si="50">SUM(BS169:BS173)</f>
        <v>0</v>
      </c>
      <c r="BT174" s="114">
        <f t="shared" ref="BT174" si="51">SUM(BT169:BT173)</f>
        <v>0</v>
      </c>
      <c r="BU174" s="114">
        <f t="shared" ref="BU174" si="52">SUM(BU169:BU173)</f>
        <v>0</v>
      </c>
      <c r="BV174" s="114">
        <f t="shared" ref="BV174" si="53">SUM(BV169:BV173)</f>
        <v>0</v>
      </c>
      <c r="BW174" s="114">
        <f t="shared" ref="BW174" si="54">SUM(BW169:BW173)</f>
        <v>0</v>
      </c>
      <c r="BX174" s="114">
        <f t="shared" ref="BX174" si="55">SUM(BX169:BX173)</f>
        <v>0</v>
      </c>
      <c r="BY174" s="114">
        <f t="shared" ref="BY174" si="56">SUM(BY169:BY173)</f>
        <v>0</v>
      </c>
      <c r="BZ174" s="114">
        <f t="shared" ref="BZ174" si="57">SUM(BZ169:BZ173)</f>
        <v>0</v>
      </c>
      <c r="CA174" s="114">
        <f t="shared" ref="CA174" si="58">SUM(CA169:CA173)</f>
        <v>0</v>
      </c>
      <c r="CB174" s="114">
        <f t="shared" ref="CB174" si="59">SUM(CB169:CB173)</f>
        <v>0</v>
      </c>
      <c r="CC174" s="114">
        <f t="shared" ref="CC174" si="60">SUM(CC169:CC173)</f>
        <v>0</v>
      </c>
      <c r="CI174" s="113"/>
      <c r="CJ174" s="113"/>
      <c r="CK174" s="113"/>
      <c r="CL174" s="113"/>
      <c r="CM174" s="113"/>
      <c r="CN174" s="113"/>
      <c r="CO174" s="113"/>
      <c r="CP174" s="113"/>
    </row>
    <row r="175" spans="2:94" ht="5.0999999999999996" customHeight="1" x14ac:dyDescent="0.2">
      <c r="F175" s="32"/>
      <c r="G175" s="32"/>
      <c r="J175" s="113"/>
      <c r="K175" s="113"/>
      <c r="L175" s="113"/>
      <c r="M175" s="113"/>
      <c r="N175" s="113"/>
      <c r="O175" s="113"/>
      <c r="P175" s="113"/>
      <c r="Q175" s="113"/>
      <c r="R175" s="113"/>
      <c r="S175" s="113"/>
      <c r="T175" s="113"/>
      <c r="U175" s="113"/>
      <c r="V175" s="113"/>
      <c r="W175" s="113"/>
      <c r="X175" s="113"/>
      <c r="Y175" s="113"/>
      <c r="Z175" s="113"/>
      <c r="AA175" s="113"/>
      <c r="AB175" s="113"/>
      <c r="AC175" s="113"/>
      <c r="AD175" s="113"/>
      <c r="AE175" s="113"/>
      <c r="AF175" s="113"/>
      <c r="AG175" s="113"/>
      <c r="AH175" s="113"/>
      <c r="AI175" s="113"/>
      <c r="AJ175" s="113"/>
      <c r="AK175" s="113"/>
      <c r="AL175" s="113"/>
      <c r="AM175" s="113"/>
      <c r="AN175" s="113"/>
      <c r="AO175" s="113"/>
      <c r="AP175" s="113"/>
      <c r="AQ175" s="113"/>
      <c r="AR175" s="113"/>
      <c r="AS175" s="113"/>
      <c r="AT175" s="113"/>
      <c r="AU175" s="113"/>
      <c r="AV175" s="113"/>
      <c r="AW175" s="113"/>
      <c r="AX175" s="113"/>
      <c r="AY175" s="113"/>
      <c r="AZ175" s="113"/>
      <c r="BA175" s="113"/>
      <c r="BB175" s="113"/>
      <c r="BC175" s="113"/>
      <c r="BD175" s="113"/>
      <c r="BE175" s="113"/>
      <c r="BF175" s="113"/>
      <c r="BG175" s="113"/>
      <c r="BH175" s="113"/>
      <c r="BI175" s="113"/>
      <c r="BJ175" s="113"/>
      <c r="BK175" s="113"/>
      <c r="BL175" s="113"/>
      <c r="BM175" s="113"/>
      <c r="BN175" s="113"/>
      <c r="BO175" s="113"/>
      <c r="BP175" s="113"/>
      <c r="BQ175" s="113"/>
      <c r="BR175" s="113"/>
      <c r="BS175" s="113"/>
      <c r="BT175" s="113"/>
      <c r="BU175" s="113"/>
      <c r="BV175" s="113"/>
      <c r="BW175" s="113"/>
      <c r="BX175" s="113"/>
      <c r="BY175" s="113"/>
      <c r="BZ175" s="113"/>
      <c r="CA175" s="113"/>
      <c r="CB175" s="113"/>
      <c r="CC175" s="113"/>
      <c r="CF175" s="32"/>
      <c r="CG175" s="32"/>
      <c r="CH175" s="32"/>
    </row>
    <row r="176" spans="2:94" s="32" customFormat="1" x14ac:dyDescent="0.2">
      <c r="B176" s="628" t="s">
        <v>121</v>
      </c>
      <c r="C176" s="629"/>
      <c r="D176" s="630"/>
      <c r="J176" s="115">
        <f>+J174</f>
        <v>0</v>
      </c>
      <c r="K176" s="115">
        <f t="shared" ref="K176:AG176" si="61">+K174</f>
        <v>0</v>
      </c>
      <c r="L176" s="115">
        <f t="shared" si="61"/>
        <v>0</v>
      </c>
      <c r="M176" s="115">
        <f t="shared" si="61"/>
        <v>0</v>
      </c>
      <c r="N176" s="115">
        <f t="shared" si="61"/>
        <v>0</v>
      </c>
      <c r="O176" s="115">
        <f t="shared" si="61"/>
        <v>0</v>
      </c>
      <c r="P176" s="115">
        <f t="shared" si="61"/>
        <v>0</v>
      </c>
      <c r="Q176" s="115">
        <f t="shared" si="61"/>
        <v>0</v>
      </c>
      <c r="R176" s="115">
        <f t="shared" si="61"/>
        <v>0</v>
      </c>
      <c r="S176" s="115">
        <f t="shared" si="61"/>
        <v>0</v>
      </c>
      <c r="T176" s="115">
        <f t="shared" si="61"/>
        <v>0</v>
      </c>
      <c r="U176" s="115">
        <f t="shared" si="61"/>
        <v>0</v>
      </c>
      <c r="V176" s="115">
        <f t="shared" si="61"/>
        <v>0</v>
      </c>
      <c r="W176" s="115">
        <f t="shared" si="61"/>
        <v>0</v>
      </c>
      <c r="X176" s="115">
        <f t="shared" si="61"/>
        <v>0</v>
      </c>
      <c r="Y176" s="115">
        <f t="shared" si="61"/>
        <v>0</v>
      </c>
      <c r="Z176" s="115">
        <f t="shared" si="61"/>
        <v>0</v>
      </c>
      <c r="AA176" s="115">
        <f t="shared" si="61"/>
        <v>0</v>
      </c>
      <c r="AB176" s="115">
        <f t="shared" si="61"/>
        <v>0</v>
      </c>
      <c r="AC176" s="115">
        <f t="shared" si="61"/>
        <v>0</v>
      </c>
      <c r="AD176" s="115">
        <f t="shared" si="61"/>
        <v>0</v>
      </c>
      <c r="AE176" s="115">
        <f t="shared" si="61"/>
        <v>0</v>
      </c>
      <c r="AF176" s="115">
        <f t="shared" si="61"/>
        <v>0</v>
      </c>
      <c r="AG176" s="115">
        <f t="shared" si="61"/>
        <v>0</v>
      </c>
      <c r="AH176" s="115">
        <f t="shared" ref="AH176:CC176" si="62">+AH174</f>
        <v>0</v>
      </c>
      <c r="AI176" s="115">
        <f t="shared" si="62"/>
        <v>0</v>
      </c>
      <c r="AJ176" s="115">
        <f t="shared" si="62"/>
        <v>0</v>
      </c>
      <c r="AK176" s="115">
        <f t="shared" si="62"/>
        <v>0</v>
      </c>
      <c r="AL176" s="115">
        <f t="shared" si="62"/>
        <v>0</v>
      </c>
      <c r="AM176" s="115">
        <f t="shared" si="62"/>
        <v>0</v>
      </c>
      <c r="AN176" s="115">
        <f t="shared" si="62"/>
        <v>0</v>
      </c>
      <c r="AO176" s="115">
        <f t="shared" si="62"/>
        <v>0</v>
      </c>
      <c r="AP176" s="115">
        <f t="shared" si="62"/>
        <v>0</v>
      </c>
      <c r="AQ176" s="115">
        <f t="shared" si="62"/>
        <v>0</v>
      </c>
      <c r="AR176" s="115">
        <f t="shared" si="62"/>
        <v>0</v>
      </c>
      <c r="AS176" s="115">
        <f t="shared" si="62"/>
        <v>0</v>
      </c>
      <c r="AT176" s="115">
        <f t="shared" si="62"/>
        <v>0</v>
      </c>
      <c r="AU176" s="115">
        <f t="shared" si="62"/>
        <v>0</v>
      </c>
      <c r="AV176" s="115">
        <f t="shared" si="62"/>
        <v>0</v>
      </c>
      <c r="AW176" s="115">
        <f t="shared" si="62"/>
        <v>0</v>
      </c>
      <c r="AX176" s="115">
        <f t="shared" si="62"/>
        <v>0</v>
      </c>
      <c r="AY176" s="115">
        <f t="shared" si="62"/>
        <v>0</v>
      </c>
      <c r="AZ176" s="115">
        <f t="shared" si="62"/>
        <v>0</v>
      </c>
      <c r="BA176" s="115">
        <f t="shared" si="62"/>
        <v>0</v>
      </c>
      <c r="BB176" s="115">
        <f t="shared" si="62"/>
        <v>0</v>
      </c>
      <c r="BC176" s="115">
        <f t="shared" si="62"/>
        <v>0</v>
      </c>
      <c r="BD176" s="115">
        <f t="shared" si="62"/>
        <v>0</v>
      </c>
      <c r="BE176" s="115">
        <f t="shared" si="62"/>
        <v>0</v>
      </c>
      <c r="BF176" s="115">
        <f t="shared" si="62"/>
        <v>0</v>
      </c>
      <c r="BG176" s="115">
        <f t="shared" si="62"/>
        <v>0</v>
      </c>
      <c r="BH176" s="115">
        <f t="shared" si="62"/>
        <v>0</v>
      </c>
      <c r="BI176" s="115">
        <f t="shared" si="62"/>
        <v>0</v>
      </c>
      <c r="BJ176" s="115">
        <f t="shared" si="62"/>
        <v>0</v>
      </c>
      <c r="BK176" s="115">
        <f t="shared" si="62"/>
        <v>0</v>
      </c>
      <c r="BL176" s="115">
        <f t="shared" si="62"/>
        <v>0</v>
      </c>
      <c r="BM176" s="115">
        <f t="shared" si="62"/>
        <v>0</v>
      </c>
      <c r="BN176" s="115">
        <f t="shared" si="62"/>
        <v>0</v>
      </c>
      <c r="BO176" s="115">
        <f t="shared" si="62"/>
        <v>0</v>
      </c>
      <c r="BP176" s="115">
        <f t="shared" si="62"/>
        <v>0</v>
      </c>
      <c r="BQ176" s="115">
        <f t="shared" si="62"/>
        <v>0</v>
      </c>
      <c r="BR176" s="115">
        <f t="shared" si="62"/>
        <v>0</v>
      </c>
      <c r="BS176" s="115">
        <f t="shared" si="62"/>
        <v>0</v>
      </c>
      <c r="BT176" s="115">
        <f t="shared" si="62"/>
        <v>0</v>
      </c>
      <c r="BU176" s="115">
        <f t="shared" si="62"/>
        <v>0</v>
      </c>
      <c r="BV176" s="115">
        <f t="shared" si="62"/>
        <v>0</v>
      </c>
      <c r="BW176" s="115">
        <f t="shared" si="62"/>
        <v>0</v>
      </c>
      <c r="BX176" s="115">
        <f t="shared" si="62"/>
        <v>0</v>
      </c>
      <c r="BY176" s="115">
        <f t="shared" si="62"/>
        <v>0</v>
      </c>
      <c r="BZ176" s="115">
        <f t="shared" si="62"/>
        <v>0</v>
      </c>
      <c r="CA176" s="115">
        <f t="shared" si="62"/>
        <v>0</v>
      </c>
      <c r="CB176" s="115">
        <f t="shared" si="62"/>
        <v>0</v>
      </c>
      <c r="CC176" s="115">
        <f t="shared" si="62"/>
        <v>0</v>
      </c>
      <c r="CE176" s="133"/>
      <c r="CI176" s="134"/>
      <c r="CJ176" s="134"/>
    </row>
    <row r="177" spans="2:89" ht="5.0999999999999996" customHeight="1" x14ac:dyDescent="0.2">
      <c r="J177" s="116"/>
      <c r="K177" s="116"/>
      <c r="L177" s="116"/>
      <c r="M177" s="116"/>
      <c r="N177" s="116"/>
      <c r="O177" s="116"/>
      <c r="P177" s="116"/>
      <c r="Q177" s="116"/>
      <c r="R177" s="116"/>
      <c r="S177" s="116"/>
      <c r="T177" s="116"/>
      <c r="U177" s="116"/>
      <c r="V177" s="116"/>
      <c r="W177" s="116"/>
      <c r="X177" s="116"/>
      <c r="Y177" s="116"/>
      <c r="Z177" s="116"/>
      <c r="AA177" s="116"/>
      <c r="AB177" s="116"/>
      <c r="AC177" s="116"/>
      <c r="AD177" s="116"/>
      <c r="AE177" s="116"/>
      <c r="AF177" s="116"/>
      <c r="AG177" s="116"/>
      <c r="AH177" s="116"/>
      <c r="AI177" s="116"/>
      <c r="AJ177" s="116"/>
      <c r="AK177" s="116"/>
      <c r="AL177" s="116"/>
      <c r="AM177" s="116"/>
      <c r="AN177" s="116"/>
      <c r="AO177" s="116"/>
      <c r="AP177" s="116"/>
      <c r="AQ177" s="116"/>
      <c r="AR177" s="116"/>
      <c r="AS177" s="116"/>
      <c r="AT177" s="116"/>
      <c r="AU177" s="116"/>
      <c r="AV177" s="116"/>
      <c r="AW177" s="116"/>
      <c r="AX177" s="116"/>
      <c r="AY177" s="116"/>
      <c r="AZ177" s="116"/>
      <c r="BA177" s="116"/>
      <c r="BB177" s="116"/>
      <c r="BC177" s="116"/>
      <c r="BD177" s="116"/>
      <c r="BE177" s="116"/>
      <c r="BF177" s="116"/>
      <c r="BG177" s="116"/>
      <c r="BH177" s="116"/>
      <c r="BI177" s="116"/>
      <c r="BJ177" s="116"/>
      <c r="BK177" s="116"/>
      <c r="BL177" s="116"/>
      <c r="BM177" s="116"/>
      <c r="BN177" s="116"/>
      <c r="BO177" s="116"/>
      <c r="BP177" s="116"/>
      <c r="BQ177" s="116"/>
      <c r="BR177" s="116"/>
      <c r="BS177" s="116"/>
      <c r="BT177" s="116"/>
      <c r="BU177" s="116"/>
      <c r="BV177" s="116"/>
      <c r="BW177" s="116"/>
      <c r="BX177" s="116"/>
      <c r="BY177" s="116"/>
      <c r="BZ177" s="116"/>
      <c r="CA177" s="116"/>
      <c r="CB177" s="116"/>
      <c r="CC177" s="116"/>
      <c r="CI177" s="23"/>
      <c r="CJ177" s="23"/>
    </row>
    <row r="178" spans="2:89" s="32" customFormat="1" x14ac:dyDescent="0.2">
      <c r="B178" s="83" t="s">
        <v>114</v>
      </c>
      <c r="F178" s="97"/>
      <c r="H178" s="98"/>
      <c r="J178" s="100">
        <f>IF($H$136=0,0,+J174/$C$136)</f>
        <v>0</v>
      </c>
      <c r="K178" s="100">
        <f t="shared" ref="K178:AG178" si="63">IF($H$136=0,0,+K174/$C$136)</f>
        <v>0</v>
      </c>
      <c r="L178" s="100">
        <f t="shared" si="63"/>
        <v>0</v>
      </c>
      <c r="M178" s="100">
        <f t="shared" si="63"/>
        <v>0</v>
      </c>
      <c r="N178" s="100">
        <f t="shared" si="63"/>
        <v>0</v>
      </c>
      <c r="O178" s="100">
        <f t="shared" si="63"/>
        <v>0</v>
      </c>
      <c r="P178" s="100">
        <f t="shared" si="63"/>
        <v>0</v>
      </c>
      <c r="Q178" s="100">
        <f t="shared" si="63"/>
        <v>0</v>
      </c>
      <c r="R178" s="100">
        <f t="shared" si="63"/>
        <v>0</v>
      </c>
      <c r="S178" s="100">
        <f t="shared" si="63"/>
        <v>0</v>
      </c>
      <c r="T178" s="100">
        <f t="shared" si="63"/>
        <v>0</v>
      </c>
      <c r="U178" s="100">
        <f t="shared" si="63"/>
        <v>0</v>
      </c>
      <c r="V178" s="100">
        <f t="shared" si="63"/>
        <v>0</v>
      </c>
      <c r="W178" s="100">
        <f t="shared" si="63"/>
        <v>0</v>
      </c>
      <c r="X178" s="100">
        <f t="shared" si="63"/>
        <v>0</v>
      </c>
      <c r="Y178" s="100">
        <f t="shared" si="63"/>
        <v>0</v>
      </c>
      <c r="Z178" s="100">
        <f t="shared" si="63"/>
        <v>0</v>
      </c>
      <c r="AA178" s="100">
        <f t="shared" si="63"/>
        <v>0</v>
      </c>
      <c r="AB178" s="100">
        <f t="shared" si="63"/>
        <v>0</v>
      </c>
      <c r="AC178" s="100">
        <f t="shared" si="63"/>
        <v>0</v>
      </c>
      <c r="AD178" s="100">
        <f t="shared" si="63"/>
        <v>0</v>
      </c>
      <c r="AE178" s="100">
        <f t="shared" si="63"/>
        <v>0</v>
      </c>
      <c r="AF178" s="100">
        <f t="shared" si="63"/>
        <v>0</v>
      </c>
      <c r="AG178" s="100">
        <f t="shared" si="63"/>
        <v>0</v>
      </c>
      <c r="AH178" s="100">
        <f t="shared" ref="AH178:CC178" si="64">IF($H$136=0,0,+AH174/$C$136)</f>
        <v>0</v>
      </c>
      <c r="AI178" s="100">
        <f t="shared" si="64"/>
        <v>0</v>
      </c>
      <c r="AJ178" s="100">
        <f t="shared" si="64"/>
        <v>0</v>
      </c>
      <c r="AK178" s="100">
        <f t="shared" si="64"/>
        <v>0</v>
      </c>
      <c r="AL178" s="100">
        <f t="shared" si="64"/>
        <v>0</v>
      </c>
      <c r="AM178" s="100">
        <f t="shared" si="64"/>
        <v>0</v>
      </c>
      <c r="AN178" s="100">
        <f t="shared" si="64"/>
        <v>0</v>
      </c>
      <c r="AO178" s="100">
        <f t="shared" si="64"/>
        <v>0</v>
      </c>
      <c r="AP178" s="100">
        <f t="shared" si="64"/>
        <v>0</v>
      </c>
      <c r="AQ178" s="100">
        <f t="shared" si="64"/>
        <v>0</v>
      </c>
      <c r="AR178" s="100">
        <f t="shared" si="64"/>
        <v>0</v>
      </c>
      <c r="AS178" s="100">
        <f t="shared" si="64"/>
        <v>0</v>
      </c>
      <c r="AT178" s="100">
        <f t="shared" si="64"/>
        <v>0</v>
      </c>
      <c r="AU178" s="100">
        <f t="shared" si="64"/>
        <v>0</v>
      </c>
      <c r="AV178" s="100">
        <f t="shared" si="64"/>
        <v>0</v>
      </c>
      <c r="AW178" s="100">
        <f t="shared" si="64"/>
        <v>0</v>
      </c>
      <c r="AX178" s="100">
        <f t="shared" si="64"/>
        <v>0</v>
      </c>
      <c r="AY178" s="100">
        <f t="shared" si="64"/>
        <v>0</v>
      </c>
      <c r="AZ178" s="100">
        <f t="shared" si="64"/>
        <v>0</v>
      </c>
      <c r="BA178" s="100">
        <f t="shared" si="64"/>
        <v>0</v>
      </c>
      <c r="BB178" s="100">
        <f t="shared" si="64"/>
        <v>0</v>
      </c>
      <c r="BC178" s="100">
        <f t="shared" si="64"/>
        <v>0</v>
      </c>
      <c r="BD178" s="100">
        <f t="shared" si="64"/>
        <v>0</v>
      </c>
      <c r="BE178" s="100">
        <f t="shared" si="64"/>
        <v>0</v>
      </c>
      <c r="BF178" s="100">
        <f t="shared" si="64"/>
        <v>0</v>
      </c>
      <c r="BG178" s="100">
        <f t="shared" si="64"/>
        <v>0</v>
      </c>
      <c r="BH178" s="100">
        <f t="shared" si="64"/>
        <v>0</v>
      </c>
      <c r="BI178" s="100">
        <f t="shared" si="64"/>
        <v>0</v>
      </c>
      <c r="BJ178" s="100">
        <f t="shared" si="64"/>
        <v>0</v>
      </c>
      <c r="BK178" s="100">
        <f t="shared" si="64"/>
        <v>0</v>
      </c>
      <c r="BL178" s="100">
        <f t="shared" si="64"/>
        <v>0</v>
      </c>
      <c r="BM178" s="100">
        <f t="shared" si="64"/>
        <v>0</v>
      </c>
      <c r="BN178" s="100">
        <f t="shared" si="64"/>
        <v>0</v>
      </c>
      <c r="BO178" s="100">
        <f t="shared" si="64"/>
        <v>0</v>
      </c>
      <c r="BP178" s="100">
        <f t="shared" si="64"/>
        <v>0</v>
      </c>
      <c r="BQ178" s="100">
        <f t="shared" si="64"/>
        <v>0</v>
      </c>
      <c r="BR178" s="100">
        <f t="shared" si="64"/>
        <v>0</v>
      </c>
      <c r="BS178" s="100">
        <f t="shared" si="64"/>
        <v>0</v>
      </c>
      <c r="BT178" s="100">
        <f t="shared" si="64"/>
        <v>0</v>
      </c>
      <c r="BU178" s="100">
        <f t="shared" si="64"/>
        <v>0</v>
      </c>
      <c r="BV178" s="100">
        <f t="shared" si="64"/>
        <v>0</v>
      </c>
      <c r="BW178" s="100">
        <f t="shared" si="64"/>
        <v>0</v>
      </c>
      <c r="BX178" s="100">
        <f t="shared" si="64"/>
        <v>0</v>
      </c>
      <c r="BY178" s="100">
        <f t="shared" si="64"/>
        <v>0</v>
      </c>
      <c r="BZ178" s="100">
        <f t="shared" si="64"/>
        <v>0</v>
      </c>
      <c r="CA178" s="100">
        <f t="shared" si="64"/>
        <v>0</v>
      </c>
      <c r="CB178" s="100">
        <f t="shared" si="64"/>
        <v>0</v>
      </c>
      <c r="CC178" s="100">
        <f t="shared" si="64"/>
        <v>0</v>
      </c>
      <c r="CI178" s="134"/>
      <c r="CJ178" s="134"/>
      <c r="CK178" s="134"/>
    </row>
    <row r="179" spans="2:89" ht="5.0999999999999996" customHeight="1" x14ac:dyDescent="0.2">
      <c r="F179" s="32"/>
      <c r="G179" s="32"/>
      <c r="J179" s="117"/>
      <c r="K179" s="117"/>
      <c r="L179" s="117"/>
      <c r="M179" s="117"/>
      <c r="N179" s="117"/>
      <c r="O179" s="117"/>
      <c r="P179" s="117"/>
      <c r="Q179" s="117"/>
      <c r="R179" s="117"/>
      <c r="S179" s="117"/>
      <c r="T179" s="117"/>
      <c r="U179" s="117"/>
      <c r="V179" s="117"/>
      <c r="W179" s="117"/>
      <c r="X179" s="117"/>
      <c r="Y179" s="117"/>
      <c r="Z179" s="117"/>
      <c r="AA179" s="117"/>
      <c r="AB179" s="117"/>
      <c r="AC179" s="117"/>
      <c r="AD179" s="117"/>
      <c r="AE179" s="117"/>
      <c r="AF179" s="117"/>
      <c r="AG179" s="117"/>
      <c r="AH179" s="117"/>
      <c r="AI179" s="117"/>
      <c r="AJ179" s="117"/>
      <c r="AK179" s="117"/>
      <c r="AL179" s="117"/>
      <c r="AM179" s="117"/>
      <c r="AN179" s="117"/>
      <c r="AO179" s="117"/>
      <c r="AP179" s="117"/>
      <c r="AQ179" s="117"/>
      <c r="AR179" s="117"/>
      <c r="AS179" s="117"/>
      <c r="AT179" s="117"/>
      <c r="AU179" s="117"/>
      <c r="AV179" s="117"/>
      <c r="AW179" s="117"/>
      <c r="AX179" s="117"/>
      <c r="AY179" s="117"/>
      <c r="AZ179" s="117"/>
      <c r="BA179" s="117"/>
      <c r="BB179" s="117"/>
      <c r="BC179" s="117"/>
      <c r="BD179" s="117"/>
      <c r="BE179" s="117"/>
      <c r="BF179" s="117"/>
      <c r="BG179" s="117"/>
      <c r="BH179" s="117"/>
      <c r="BI179" s="117"/>
      <c r="BJ179" s="117"/>
      <c r="BK179" s="117"/>
      <c r="BL179" s="117"/>
      <c r="BM179" s="117"/>
      <c r="BN179" s="117"/>
      <c r="BO179" s="117"/>
      <c r="BP179" s="117"/>
      <c r="BQ179" s="117"/>
      <c r="BR179" s="117"/>
      <c r="BS179" s="117"/>
      <c r="BT179" s="117"/>
      <c r="BU179" s="117"/>
      <c r="BV179" s="117"/>
      <c r="BW179" s="117"/>
      <c r="BX179" s="117"/>
      <c r="BY179" s="117"/>
      <c r="BZ179" s="117"/>
      <c r="CA179" s="117"/>
      <c r="CB179" s="117"/>
      <c r="CC179" s="117"/>
      <c r="CI179" s="23"/>
      <c r="CJ179" s="23"/>
    </row>
    <row r="180" spans="2:89" s="32" customFormat="1" x14ac:dyDescent="0.2">
      <c r="B180" s="83" t="s">
        <v>115</v>
      </c>
      <c r="H180" s="98"/>
      <c r="J180" s="100">
        <f>+J178</f>
        <v>0</v>
      </c>
      <c r="K180" s="100">
        <f t="shared" ref="K180:AG180" si="65">+K178</f>
        <v>0</v>
      </c>
      <c r="L180" s="100">
        <f t="shared" si="65"/>
        <v>0</v>
      </c>
      <c r="M180" s="100">
        <f t="shared" si="65"/>
        <v>0</v>
      </c>
      <c r="N180" s="100">
        <f t="shared" si="65"/>
        <v>0</v>
      </c>
      <c r="O180" s="100">
        <f t="shared" si="65"/>
        <v>0</v>
      </c>
      <c r="P180" s="100">
        <f t="shared" si="65"/>
        <v>0</v>
      </c>
      <c r="Q180" s="100">
        <f t="shared" si="65"/>
        <v>0</v>
      </c>
      <c r="R180" s="100">
        <f t="shared" si="65"/>
        <v>0</v>
      </c>
      <c r="S180" s="100">
        <f t="shared" si="65"/>
        <v>0</v>
      </c>
      <c r="T180" s="100">
        <f t="shared" si="65"/>
        <v>0</v>
      </c>
      <c r="U180" s="100">
        <f t="shared" si="65"/>
        <v>0</v>
      </c>
      <c r="V180" s="100">
        <f t="shared" si="65"/>
        <v>0</v>
      </c>
      <c r="W180" s="100">
        <f t="shared" si="65"/>
        <v>0</v>
      </c>
      <c r="X180" s="100">
        <f t="shared" si="65"/>
        <v>0</v>
      </c>
      <c r="Y180" s="100">
        <f t="shared" si="65"/>
        <v>0</v>
      </c>
      <c r="Z180" s="100">
        <f t="shared" si="65"/>
        <v>0</v>
      </c>
      <c r="AA180" s="100">
        <f t="shared" si="65"/>
        <v>0</v>
      </c>
      <c r="AB180" s="100">
        <f t="shared" si="65"/>
        <v>0</v>
      </c>
      <c r="AC180" s="100">
        <f t="shared" si="65"/>
        <v>0</v>
      </c>
      <c r="AD180" s="100">
        <f t="shared" si="65"/>
        <v>0</v>
      </c>
      <c r="AE180" s="100">
        <f t="shared" si="65"/>
        <v>0</v>
      </c>
      <c r="AF180" s="100">
        <f t="shared" si="65"/>
        <v>0</v>
      </c>
      <c r="AG180" s="100">
        <f t="shared" si="65"/>
        <v>0</v>
      </c>
      <c r="AH180" s="100">
        <f t="shared" ref="AH180:CC180" si="66">+AH178</f>
        <v>0</v>
      </c>
      <c r="AI180" s="100">
        <f t="shared" si="66"/>
        <v>0</v>
      </c>
      <c r="AJ180" s="100">
        <f t="shared" si="66"/>
        <v>0</v>
      </c>
      <c r="AK180" s="100">
        <f t="shared" si="66"/>
        <v>0</v>
      </c>
      <c r="AL180" s="100">
        <f t="shared" si="66"/>
        <v>0</v>
      </c>
      <c r="AM180" s="100">
        <f t="shared" si="66"/>
        <v>0</v>
      </c>
      <c r="AN180" s="100">
        <f t="shared" si="66"/>
        <v>0</v>
      </c>
      <c r="AO180" s="100">
        <f t="shared" si="66"/>
        <v>0</v>
      </c>
      <c r="AP180" s="100">
        <f t="shared" si="66"/>
        <v>0</v>
      </c>
      <c r="AQ180" s="100">
        <f t="shared" si="66"/>
        <v>0</v>
      </c>
      <c r="AR180" s="100">
        <f t="shared" si="66"/>
        <v>0</v>
      </c>
      <c r="AS180" s="100">
        <f t="shared" si="66"/>
        <v>0</v>
      </c>
      <c r="AT180" s="100">
        <f t="shared" si="66"/>
        <v>0</v>
      </c>
      <c r="AU180" s="100">
        <f t="shared" si="66"/>
        <v>0</v>
      </c>
      <c r="AV180" s="100">
        <f t="shared" si="66"/>
        <v>0</v>
      </c>
      <c r="AW180" s="100">
        <f t="shared" si="66"/>
        <v>0</v>
      </c>
      <c r="AX180" s="100">
        <f t="shared" si="66"/>
        <v>0</v>
      </c>
      <c r="AY180" s="100">
        <f t="shared" si="66"/>
        <v>0</v>
      </c>
      <c r="AZ180" s="100">
        <f t="shared" si="66"/>
        <v>0</v>
      </c>
      <c r="BA180" s="100">
        <f t="shared" si="66"/>
        <v>0</v>
      </c>
      <c r="BB180" s="100">
        <f t="shared" si="66"/>
        <v>0</v>
      </c>
      <c r="BC180" s="100">
        <f t="shared" si="66"/>
        <v>0</v>
      </c>
      <c r="BD180" s="100">
        <f t="shared" si="66"/>
        <v>0</v>
      </c>
      <c r="BE180" s="100">
        <f t="shared" si="66"/>
        <v>0</v>
      </c>
      <c r="BF180" s="100">
        <f t="shared" si="66"/>
        <v>0</v>
      </c>
      <c r="BG180" s="100">
        <f t="shared" si="66"/>
        <v>0</v>
      </c>
      <c r="BH180" s="100">
        <f t="shared" si="66"/>
        <v>0</v>
      </c>
      <c r="BI180" s="100">
        <f t="shared" si="66"/>
        <v>0</v>
      </c>
      <c r="BJ180" s="100">
        <f t="shared" si="66"/>
        <v>0</v>
      </c>
      <c r="BK180" s="100">
        <f t="shared" si="66"/>
        <v>0</v>
      </c>
      <c r="BL180" s="100">
        <f t="shared" si="66"/>
        <v>0</v>
      </c>
      <c r="BM180" s="100">
        <f t="shared" si="66"/>
        <v>0</v>
      </c>
      <c r="BN180" s="100">
        <f t="shared" si="66"/>
        <v>0</v>
      </c>
      <c r="BO180" s="100">
        <f t="shared" si="66"/>
        <v>0</v>
      </c>
      <c r="BP180" s="100">
        <f t="shared" si="66"/>
        <v>0</v>
      </c>
      <c r="BQ180" s="100">
        <f t="shared" si="66"/>
        <v>0</v>
      </c>
      <c r="BR180" s="100">
        <f t="shared" si="66"/>
        <v>0</v>
      </c>
      <c r="BS180" s="100">
        <f t="shared" si="66"/>
        <v>0</v>
      </c>
      <c r="BT180" s="100">
        <f t="shared" si="66"/>
        <v>0</v>
      </c>
      <c r="BU180" s="100">
        <f t="shared" si="66"/>
        <v>0</v>
      </c>
      <c r="BV180" s="100">
        <f t="shared" si="66"/>
        <v>0</v>
      </c>
      <c r="BW180" s="100">
        <f t="shared" si="66"/>
        <v>0</v>
      </c>
      <c r="BX180" s="100">
        <f t="shared" si="66"/>
        <v>0</v>
      </c>
      <c r="BY180" s="100">
        <f t="shared" si="66"/>
        <v>0</v>
      </c>
      <c r="BZ180" s="100">
        <f t="shared" si="66"/>
        <v>0</v>
      </c>
      <c r="CA180" s="100">
        <f t="shared" si="66"/>
        <v>0</v>
      </c>
      <c r="CB180" s="100">
        <f t="shared" si="66"/>
        <v>0</v>
      </c>
      <c r="CC180" s="100">
        <f t="shared" si="66"/>
        <v>0</v>
      </c>
      <c r="CI180" s="134"/>
      <c r="CJ180" s="134"/>
      <c r="CK180" s="134"/>
    </row>
    <row r="181" spans="2:89" ht="5.0999999999999996" customHeight="1" x14ac:dyDescent="0.2">
      <c r="CI181" s="23"/>
      <c r="CJ181" s="23"/>
    </row>
    <row r="182" spans="2:89" s="17" customFormat="1" ht="15" hidden="1" customHeight="1" x14ac:dyDescent="0.2">
      <c r="B182" s="17" t="s">
        <v>122</v>
      </c>
      <c r="H182" s="99">
        <f>SUM(J182:AG182)</f>
        <v>0</v>
      </c>
      <c r="J182" s="99">
        <f>IF(J148/F148&lt;=1,+J174,+J174*$F$262/J262)</f>
        <v>0</v>
      </c>
      <c r="K182" s="99">
        <f t="shared" ref="K182:BV182" si="67">IF(K148/J148&lt;=1,+K174,+K174*$F$262/K262)</f>
        <v>0</v>
      </c>
      <c r="L182" s="99">
        <f t="shared" si="67"/>
        <v>0</v>
      </c>
      <c r="M182" s="99">
        <f t="shared" si="67"/>
        <v>0</v>
      </c>
      <c r="N182" s="99">
        <f t="shared" si="67"/>
        <v>0</v>
      </c>
      <c r="O182" s="99">
        <f t="shared" si="67"/>
        <v>0</v>
      </c>
      <c r="P182" s="99">
        <f t="shared" si="67"/>
        <v>0</v>
      </c>
      <c r="Q182" s="99">
        <f t="shared" si="67"/>
        <v>0</v>
      </c>
      <c r="R182" s="99">
        <f t="shared" si="67"/>
        <v>0</v>
      </c>
      <c r="S182" s="99">
        <f t="shared" si="67"/>
        <v>0</v>
      </c>
      <c r="T182" s="99">
        <f t="shared" si="67"/>
        <v>0</v>
      </c>
      <c r="U182" s="99">
        <f t="shared" si="67"/>
        <v>0</v>
      </c>
      <c r="V182" s="99">
        <f t="shared" si="67"/>
        <v>0</v>
      </c>
      <c r="W182" s="99">
        <f t="shared" si="67"/>
        <v>0</v>
      </c>
      <c r="X182" s="99">
        <f t="shared" si="67"/>
        <v>0</v>
      </c>
      <c r="Y182" s="99">
        <f t="shared" si="67"/>
        <v>0</v>
      </c>
      <c r="Z182" s="99">
        <f t="shared" si="67"/>
        <v>0</v>
      </c>
      <c r="AA182" s="99">
        <f t="shared" si="67"/>
        <v>0</v>
      </c>
      <c r="AB182" s="99">
        <f t="shared" si="67"/>
        <v>0</v>
      </c>
      <c r="AC182" s="99">
        <f t="shared" si="67"/>
        <v>0</v>
      </c>
      <c r="AD182" s="99">
        <f t="shared" si="67"/>
        <v>0</v>
      </c>
      <c r="AE182" s="99">
        <f t="shared" si="67"/>
        <v>0</v>
      </c>
      <c r="AF182" s="99">
        <f t="shared" si="67"/>
        <v>0</v>
      </c>
      <c r="AG182" s="99">
        <f t="shared" si="67"/>
        <v>0</v>
      </c>
      <c r="AH182" s="99">
        <f t="shared" si="67"/>
        <v>0</v>
      </c>
      <c r="AI182" s="99">
        <f t="shared" si="67"/>
        <v>0</v>
      </c>
      <c r="AJ182" s="99">
        <f t="shared" si="67"/>
        <v>0</v>
      </c>
      <c r="AK182" s="99">
        <f t="shared" si="67"/>
        <v>0</v>
      </c>
      <c r="AL182" s="99">
        <f t="shared" si="67"/>
        <v>0</v>
      </c>
      <c r="AM182" s="99">
        <f t="shared" si="67"/>
        <v>0</v>
      </c>
      <c r="AN182" s="99">
        <f t="shared" si="67"/>
        <v>0</v>
      </c>
      <c r="AO182" s="99">
        <f t="shared" si="67"/>
        <v>0</v>
      </c>
      <c r="AP182" s="99">
        <f t="shared" si="67"/>
        <v>0</v>
      </c>
      <c r="AQ182" s="99">
        <f t="shared" si="67"/>
        <v>0</v>
      </c>
      <c r="AR182" s="99">
        <f t="shared" si="67"/>
        <v>0</v>
      </c>
      <c r="AS182" s="99">
        <f t="shared" si="67"/>
        <v>0</v>
      </c>
      <c r="AT182" s="99">
        <f t="shared" si="67"/>
        <v>0</v>
      </c>
      <c r="AU182" s="99">
        <f t="shared" si="67"/>
        <v>0</v>
      </c>
      <c r="AV182" s="99">
        <f t="shared" si="67"/>
        <v>0</v>
      </c>
      <c r="AW182" s="99">
        <f t="shared" si="67"/>
        <v>0</v>
      </c>
      <c r="AX182" s="99">
        <f t="shared" si="67"/>
        <v>0</v>
      </c>
      <c r="AY182" s="99">
        <f t="shared" si="67"/>
        <v>0</v>
      </c>
      <c r="AZ182" s="99">
        <f t="shared" si="67"/>
        <v>0</v>
      </c>
      <c r="BA182" s="99">
        <f t="shared" si="67"/>
        <v>0</v>
      </c>
      <c r="BB182" s="99">
        <f t="shared" si="67"/>
        <v>0</v>
      </c>
      <c r="BC182" s="99">
        <f t="shared" si="67"/>
        <v>0</v>
      </c>
      <c r="BD182" s="99">
        <f t="shared" si="67"/>
        <v>0</v>
      </c>
      <c r="BE182" s="99">
        <f t="shared" si="67"/>
        <v>0</v>
      </c>
      <c r="BF182" s="99">
        <f t="shared" si="67"/>
        <v>0</v>
      </c>
      <c r="BG182" s="99">
        <f t="shared" si="67"/>
        <v>0</v>
      </c>
      <c r="BH182" s="99">
        <f t="shared" si="67"/>
        <v>0</v>
      </c>
      <c r="BI182" s="99">
        <f t="shared" si="67"/>
        <v>0</v>
      </c>
      <c r="BJ182" s="99">
        <f t="shared" si="67"/>
        <v>0</v>
      </c>
      <c r="BK182" s="99">
        <f t="shared" si="67"/>
        <v>0</v>
      </c>
      <c r="BL182" s="99">
        <f t="shared" si="67"/>
        <v>0</v>
      </c>
      <c r="BM182" s="99">
        <f t="shared" si="67"/>
        <v>0</v>
      </c>
      <c r="BN182" s="99">
        <f t="shared" si="67"/>
        <v>0</v>
      </c>
      <c r="BO182" s="99">
        <f t="shared" si="67"/>
        <v>0</v>
      </c>
      <c r="BP182" s="99">
        <f t="shared" si="67"/>
        <v>0</v>
      </c>
      <c r="BQ182" s="99">
        <f t="shared" si="67"/>
        <v>0</v>
      </c>
      <c r="BR182" s="99">
        <f t="shared" si="67"/>
        <v>0</v>
      </c>
      <c r="BS182" s="99">
        <f t="shared" si="67"/>
        <v>0</v>
      </c>
      <c r="BT182" s="99">
        <f t="shared" si="67"/>
        <v>0</v>
      </c>
      <c r="BU182" s="99">
        <f t="shared" si="67"/>
        <v>0</v>
      </c>
      <c r="BV182" s="99">
        <f t="shared" si="67"/>
        <v>0</v>
      </c>
      <c r="BW182" s="99">
        <f t="shared" ref="BW182:CC182" si="68">IF(BW148/BV148&lt;=1,+BW174,+BW174*$F$262/BW262)</f>
        <v>0</v>
      </c>
      <c r="BX182" s="99">
        <f t="shared" si="68"/>
        <v>0</v>
      </c>
      <c r="BY182" s="99">
        <f t="shared" si="68"/>
        <v>0</v>
      </c>
      <c r="BZ182" s="99">
        <f t="shared" si="68"/>
        <v>0</v>
      </c>
      <c r="CA182" s="99">
        <f t="shared" si="68"/>
        <v>0</v>
      </c>
      <c r="CB182" s="99">
        <f t="shared" si="68"/>
        <v>0</v>
      </c>
      <c r="CC182" s="99">
        <f t="shared" si="68"/>
        <v>0</v>
      </c>
      <c r="CI182" s="135"/>
      <c r="CJ182" s="135"/>
    </row>
    <row r="183" spans="2:89" ht="5.0999999999999996" hidden="1" customHeight="1" x14ac:dyDescent="0.2">
      <c r="CI183" s="23"/>
      <c r="CJ183" s="23"/>
    </row>
    <row r="184" spans="2:89" x14ac:dyDescent="0.2">
      <c r="B184" s="75" t="s">
        <v>279</v>
      </c>
      <c r="C184" s="67"/>
      <c r="D184" s="67"/>
      <c r="E184" s="67"/>
      <c r="F184" s="67"/>
      <c r="G184" s="67"/>
      <c r="H184" s="67"/>
      <c r="I184" s="67"/>
      <c r="J184" s="67"/>
      <c r="K184" s="67"/>
      <c r="L184" s="67"/>
      <c r="M184" s="67"/>
      <c r="N184" s="67"/>
      <c r="O184" s="67"/>
      <c r="P184" s="67"/>
      <c r="Q184" s="121"/>
      <c r="R184" s="67"/>
      <c r="S184" s="67"/>
      <c r="T184" s="67"/>
      <c r="U184" s="67"/>
      <c r="V184" s="67"/>
      <c r="W184" s="67"/>
      <c r="X184" s="67"/>
      <c r="Y184" s="67"/>
      <c r="Z184" s="67"/>
      <c r="AA184" s="67"/>
      <c r="AB184" s="67"/>
      <c r="AC184" s="67"/>
      <c r="AD184" s="67"/>
      <c r="AE184" s="67"/>
      <c r="AF184" s="67"/>
      <c r="AG184" s="67"/>
      <c r="AH184" s="67"/>
      <c r="AI184" s="67"/>
      <c r="AJ184" s="67"/>
      <c r="AK184" s="67"/>
      <c r="AL184" s="67"/>
      <c r="AM184" s="67"/>
      <c r="AN184" s="67"/>
      <c r="AO184" s="67"/>
      <c r="AP184" s="67"/>
      <c r="AQ184" s="67"/>
      <c r="AR184" s="67"/>
      <c r="AS184" s="67"/>
      <c r="AT184" s="67"/>
      <c r="AU184" s="67"/>
      <c r="AV184" s="67"/>
      <c r="AW184" s="67"/>
      <c r="AX184" s="67"/>
      <c r="AY184" s="67"/>
      <c r="AZ184" s="67"/>
      <c r="BA184" s="67"/>
      <c r="BB184" s="67"/>
      <c r="BC184" s="67"/>
      <c r="BD184" s="67"/>
      <c r="BE184" s="67"/>
      <c r="BF184" s="67"/>
      <c r="BG184" s="67"/>
      <c r="BH184" s="67"/>
      <c r="BI184" s="67"/>
      <c r="BJ184" s="67"/>
      <c r="BK184" s="67"/>
      <c r="BL184" s="67"/>
      <c r="BM184" s="67"/>
      <c r="BN184" s="67"/>
      <c r="BO184" s="67"/>
      <c r="BP184" s="67"/>
      <c r="BQ184" s="67"/>
      <c r="BR184" s="67"/>
      <c r="BS184" s="67"/>
      <c r="BT184" s="67"/>
      <c r="BU184" s="67"/>
      <c r="BV184" s="67"/>
      <c r="BW184" s="67"/>
      <c r="BX184" s="67"/>
      <c r="BY184" s="67"/>
      <c r="BZ184" s="67"/>
      <c r="CA184" s="67"/>
      <c r="CB184" s="67"/>
      <c r="CC184" s="67"/>
      <c r="CI184" s="134"/>
      <c r="CJ184" s="23"/>
      <c r="CK184" s="134"/>
    </row>
    <row r="185" spans="2:89" ht="5.0999999999999996" customHeight="1" x14ac:dyDescent="0.2"/>
    <row r="186" spans="2:89" s="32" customFormat="1" ht="36" customHeight="1" x14ac:dyDescent="0.2">
      <c r="B186" s="82" t="s">
        <v>106</v>
      </c>
      <c r="D186" s="83" t="s">
        <v>187</v>
      </c>
      <c r="F186" s="83" t="s">
        <v>118</v>
      </c>
      <c r="J186" s="106" t="e">
        <f>+J167</f>
        <v>#N/A</v>
      </c>
      <c r="K186" s="106" t="e">
        <f t="shared" ref="K186:BV186" si="69">+K167</f>
        <v>#N/A</v>
      </c>
      <c r="L186" s="106" t="e">
        <f t="shared" si="69"/>
        <v>#N/A</v>
      </c>
      <c r="M186" s="106" t="e">
        <f t="shared" si="69"/>
        <v>#N/A</v>
      </c>
      <c r="N186" s="106" t="e">
        <f t="shared" si="69"/>
        <v>#N/A</v>
      </c>
      <c r="O186" s="106" t="e">
        <f t="shared" si="69"/>
        <v>#N/A</v>
      </c>
      <c r="P186" s="106" t="e">
        <f t="shared" si="69"/>
        <v>#N/A</v>
      </c>
      <c r="Q186" s="106" t="e">
        <f t="shared" si="69"/>
        <v>#N/A</v>
      </c>
      <c r="R186" s="106" t="e">
        <f t="shared" si="69"/>
        <v>#N/A</v>
      </c>
      <c r="S186" s="106" t="e">
        <f t="shared" si="69"/>
        <v>#N/A</v>
      </c>
      <c r="T186" s="106" t="e">
        <f t="shared" si="69"/>
        <v>#N/A</v>
      </c>
      <c r="U186" s="106" t="e">
        <f t="shared" si="69"/>
        <v>#N/A</v>
      </c>
      <c r="V186" s="106" t="e">
        <f t="shared" si="69"/>
        <v>#N/A</v>
      </c>
      <c r="W186" s="106" t="e">
        <f t="shared" si="69"/>
        <v>#N/A</v>
      </c>
      <c r="X186" s="106" t="e">
        <f t="shared" si="69"/>
        <v>#N/A</v>
      </c>
      <c r="Y186" s="106" t="e">
        <f t="shared" si="69"/>
        <v>#N/A</v>
      </c>
      <c r="Z186" s="106" t="e">
        <f t="shared" si="69"/>
        <v>#N/A</v>
      </c>
      <c r="AA186" s="106" t="e">
        <f t="shared" si="69"/>
        <v>#N/A</v>
      </c>
      <c r="AB186" s="106" t="e">
        <f t="shared" si="69"/>
        <v>#N/A</v>
      </c>
      <c r="AC186" s="106" t="e">
        <f t="shared" si="69"/>
        <v>#N/A</v>
      </c>
      <c r="AD186" s="106" t="e">
        <f t="shared" si="69"/>
        <v>#N/A</v>
      </c>
      <c r="AE186" s="106" t="e">
        <f t="shared" si="69"/>
        <v>#N/A</v>
      </c>
      <c r="AF186" s="106" t="e">
        <f t="shared" si="69"/>
        <v>#N/A</v>
      </c>
      <c r="AG186" s="106" t="e">
        <f t="shared" si="69"/>
        <v>#N/A</v>
      </c>
      <c r="AH186" s="106" t="e">
        <f t="shared" si="69"/>
        <v>#N/A</v>
      </c>
      <c r="AI186" s="106" t="e">
        <f t="shared" si="69"/>
        <v>#N/A</v>
      </c>
      <c r="AJ186" s="106" t="e">
        <f t="shared" si="69"/>
        <v>#N/A</v>
      </c>
      <c r="AK186" s="106" t="e">
        <f t="shared" si="69"/>
        <v>#N/A</v>
      </c>
      <c r="AL186" s="106" t="e">
        <f t="shared" si="69"/>
        <v>#N/A</v>
      </c>
      <c r="AM186" s="106" t="e">
        <f t="shared" si="69"/>
        <v>#N/A</v>
      </c>
      <c r="AN186" s="106" t="e">
        <f t="shared" si="69"/>
        <v>#N/A</v>
      </c>
      <c r="AO186" s="106" t="e">
        <f t="shared" si="69"/>
        <v>#N/A</v>
      </c>
      <c r="AP186" s="106" t="e">
        <f t="shared" si="69"/>
        <v>#N/A</v>
      </c>
      <c r="AQ186" s="106" t="e">
        <f t="shared" si="69"/>
        <v>#N/A</v>
      </c>
      <c r="AR186" s="106" t="e">
        <f t="shared" si="69"/>
        <v>#N/A</v>
      </c>
      <c r="AS186" s="106" t="e">
        <f t="shared" si="69"/>
        <v>#N/A</v>
      </c>
      <c r="AT186" s="106" t="e">
        <f t="shared" si="69"/>
        <v>#N/A</v>
      </c>
      <c r="AU186" s="106" t="e">
        <f t="shared" si="69"/>
        <v>#N/A</v>
      </c>
      <c r="AV186" s="106" t="e">
        <f t="shared" si="69"/>
        <v>#N/A</v>
      </c>
      <c r="AW186" s="106" t="e">
        <f t="shared" si="69"/>
        <v>#N/A</v>
      </c>
      <c r="AX186" s="106" t="e">
        <f t="shared" si="69"/>
        <v>#N/A</v>
      </c>
      <c r="AY186" s="106" t="e">
        <f t="shared" si="69"/>
        <v>#N/A</v>
      </c>
      <c r="AZ186" s="106" t="e">
        <f t="shared" si="69"/>
        <v>#N/A</v>
      </c>
      <c r="BA186" s="106" t="e">
        <f t="shared" si="69"/>
        <v>#N/A</v>
      </c>
      <c r="BB186" s="106" t="e">
        <f t="shared" si="69"/>
        <v>#N/A</v>
      </c>
      <c r="BC186" s="106" t="e">
        <f t="shared" si="69"/>
        <v>#N/A</v>
      </c>
      <c r="BD186" s="106" t="e">
        <f t="shared" si="69"/>
        <v>#N/A</v>
      </c>
      <c r="BE186" s="106" t="e">
        <f t="shared" si="69"/>
        <v>#N/A</v>
      </c>
      <c r="BF186" s="106" t="e">
        <f t="shared" si="69"/>
        <v>#N/A</v>
      </c>
      <c r="BG186" s="106" t="e">
        <f t="shared" si="69"/>
        <v>#N/A</v>
      </c>
      <c r="BH186" s="106" t="e">
        <f t="shared" si="69"/>
        <v>#N/A</v>
      </c>
      <c r="BI186" s="106" t="e">
        <f t="shared" si="69"/>
        <v>#N/A</v>
      </c>
      <c r="BJ186" s="106" t="e">
        <f t="shared" si="69"/>
        <v>#N/A</v>
      </c>
      <c r="BK186" s="106" t="e">
        <f t="shared" si="69"/>
        <v>#N/A</v>
      </c>
      <c r="BL186" s="106" t="e">
        <f t="shared" si="69"/>
        <v>#N/A</v>
      </c>
      <c r="BM186" s="106" t="e">
        <f t="shared" si="69"/>
        <v>#N/A</v>
      </c>
      <c r="BN186" s="106" t="e">
        <f t="shared" si="69"/>
        <v>#N/A</v>
      </c>
      <c r="BO186" s="106" t="e">
        <f t="shared" si="69"/>
        <v>#N/A</v>
      </c>
      <c r="BP186" s="106" t="e">
        <f t="shared" si="69"/>
        <v>#N/A</v>
      </c>
      <c r="BQ186" s="106" t="e">
        <f t="shared" si="69"/>
        <v>#N/A</v>
      </c>
      <c r="BR186" s="106" t="e">
        <f t="shared" si="69"/>
        <v>#N/A</v>
      </c>
      <c r="BS186" s="106" t="e">
        <f t="shared" si="69"/>
        <v>#N/A</v>
      </c>
      <c r="BT186" s="106" t="e">
        <f t="shared" si="69"/>
        <v>#N/A</v>
      </c>
      <c r="BU186" s="106" t="e">
        <f t="shared" si="69"/>
        <v>#N/A</v>
      </c>
      <c r="BV186" s="106" t="e">
        <f t="shared" si="69"/>
        <v>#N/A</v>
      </c>
      <c r="BW186" s="106" t="e">
        <f t="shared" ref="BW186:CC186" si="70">+BW167</f>
        <v>#N/A</v>
      </c>
      <c r="BX186" s="106" t="e">
        <f t="shared" si="70"/>
        <v>#N/A</v>
      </c>
      <c r="BY186" s="106" t="e">
        <f t="shared" si="70"/>
        <v>#N/A</v>
      </c>
      <c r="BZ186" s="106" t="e">
        <f t="shared" si="70"/>
        <v>#N/A</v>
      </c>
      <c r="CA186" s="106" t="e">
        <f t="shared" si="70"/>
        <v>#N/A</v>
      </c>
      <c r="CB186" s="106" t="e">
        <f t="shared" si="70"/>
        <v>#N/A</v>
      </c>
      <c r="CC186" s="106" t="e">
        <f t="shared" si="70"/>
        <v>#N/A</v>
      </c>
    </row>
    <row r="187" spans="2:89" s="32" customFormat="1" ht="5.0999999999999996" customHeight="1" x14ac:dyDescent="0.2"/>
    <row r="188" spans="2:89" s="32" customFormat="1" ht="15.75" customHeight="1" x14ac:dyDescent="0.2">
      <c r="B188" s="83" t="str">
        <f>+$B$156</f>
        <v>Tarea 1</v>
      </c>
      <c r="D188" s="100">
        <f>IF(F188&gt;0,+F188*F$150/1000/H$136,0)</f>
        <v>0</v>
      </c>
      <c r="F188" s="101">
        <f>SUM(J188:AG188)</f>
        <v>0</v>
      </c>
      <c r="J188" s="118">
        <v>0</v>
      </c>
      <c r="K188" s="118">
        <v>0</v>
      </c>
      <c r="L188" s="118">
        <v>0</v>
      </c>
      <c r="M188" s="118">
        <v>0</v>
      </c>
      <c r="N188" s="118">
        <v>0</v>
      </c>
      <c r="O188" s="118">
        <v>0</v>
      </c>
      <c r="P188" s="118">
        <v>0</v>
      </c>
      <c r="Q188" s="118">
        <v>0</v>
      </c>
      <c r="R188" s="118">
        <v>0</v>
      </c>
      <c r="S188" s="118">
        <v>0</v>
      </c>
      <c r="T188" s="118">
        <v>0</v>
      </c>
      <c r="U188" s="118">
        <v>0</v>
      </c>
      <c r="V188" s="118">
        <v>0</v>
      </c>
      <c r="W188" s="118">
        <v>0</v>
      </c>
      <c r="X188" s="118">
        <v>0</v>
      </c>
      <c r="Y188" s="118">
        <v>0</v>
      </c>
      <c r="Z188" s="118">
        <v>0</v>
      </c>
      <c r="AA188" s="118">
        <v>0</v>
      </c>
      <c r="AB188" s="118">
        <v>0</v>
      </c>
      <c r="AC188" s="118">
        <v>0</v>
      </c>
      <c r="AD188" s="118">
        <v>0</v>
      </c>
      <c r="AE188" s="118">
        <v>0</v>
      </c>
      <c r="AF188" s="118">
        <v>0</v>
      </c>
      <c r="AG188" s="118">
        <v>0</v>
      </c>
      <c r="AH188" s="118">
        <v>0</v>
      </c>
      <c r="AI188" s="118">
        <v>0</v>
      </c>
      <c r="AJ188" s="118">
        <v>0</v>
      </c>
      <c r="AK188" s="118">
        <v>0</v>
      </c>
      <c r="AL188" s="118">
        <v>0</v>
      </c>
      <c r="AM188" s="118">
        <v>0</v>
      </c>
      <c r="AN188" s="118">
        <v>0</v>
      </c>
      <c r="AO188" s="118">
        <v>0</v>
      </c>
      <c r="AP188" s="118">
        <v>0</v>
      </c>
      <c r="AQ188" s="118">
        <v>0</v>
      </c>
      <c r="AR188" s="118">
        <v>0</v>
      </c>
      <c r="AS188" s="118">
        <v>0</v>
      </c>
      <c r="AT188" s="118">
        <v>0</v>
      </c>
      <c r="AU188" s="118">
        <v>0</v>
      </c>
      <c r="AV188" s="118">
        <v>0</v>
      </c>
      <c r="AW188" s="118">
        <v>0</v>
      </c>
      <c r="AX188" s="118">
        <v>0</v>
      </c>
      <c r="AY188" s="118">
        <v>0</v>
      </c>
      <c r="AZ188" s="118">
        <v>0</v>
      </c>
      <c r="BA188" s="118">
        <v>0</v>
      </c>
      <c r="BB188" s="118">
        <v>0</v>
      </c>
      <c r="BC188" s="118">
        <v>0</v>
      </c>
      <c r="BD188" s="118">
        <v>0</v>
      </c>
      <c r="BE188" s="118">
        <v>0</v>
      </c>
      <c r="BF188" s="118">
        <v>0</v>
      </c>
      <c r="BG188" s="118">
        <v>0</v>
      </c>
      <c r="BH188" s="118">
        <v>0</v>
      </c>
      <c r="BI188" s="118">
        <v>0</v>
      </c>
      <c r="BJ188" s="118">
        <v>0</v>
      </c>
      <c r="BK188" s="118">
        <v>0</v>
      </c>
      <c r="BL188" s="118">
        <v>0</v>
      </c>
      <c r="BM188" s="118">
        <v>0</v>
      </c>
      <c r="BN188" s="118">
        <v>0</v>
      </c>
      <c r="BO188" s="118">
        <v>0</v>
      </c>
      <c r="BP188" s="118">
        <v>0</v>
      </c>
      <c r="BQ188" s="118">
        <v>0</v>
      </c>
      <c r="BR188" s="118">
        <v>0</v>
      </c>
      <c r="BS188" s="118">
        <v>0</v>
      </c>
      <c r="BT188" s="118">
        <v>0</v>
      </c>
      <c r="BU188" s="118">
        <v>0</v>
      </c>
      <c r="BV188" s="118">
        <v>0</v>
      </c>
      <c r="BW188" s="118">
        <v>0</v>
      </c>
      <c r="BX188" s="118">
        <v>0</v>
      </c>
      <c r="BY188" s="118">
        <v>0</v>
      </c>
      <c r="BZ188" s="118">
        <v>0</v>
      </c>
      <c r="CA188" s="118">
        <v>0</v>
      </c>
      <c r="CB188" s="118">
        <v>0</v>
      </c>
      <c r="CC188" s="118">
        <v>0</v>
      </c>
    </row>
    <row r="189" spans="2:89" s="32" customFormat="1" ht="15.75" customHeight="1" x14ac:dyDescent="0.2">
      <c r="B189" s="83" t="str">
        <f>+$B$157</f>
        <v>Tarea 2</v>
      </c>
      <c r="D189" s="100">
        <f t="shared" ref="D189:D191" si="71">IF(F189&gt;0,+F189*F$150/1000/H$136,0)</f>
        <v>0</v>
      </c>
      <c r="F189" s="101">
        <f>SUM(J189:AG189)</f>
        <v>0</v>
      </c>
      <c r="J189" s="118">
        <v>0</v>
      </c>
      <c r="K189" s="118">
        <v>0</v>
      </c>
      <c r="L189" s="118">
        <v>0</v>
      </c>
      <c r="M189" s="118">
        <v>0</v>
      </c>
      <c r="N189" s="118">
        <v>0</v>
      </c>
      <c r="O189" s="118">
        <v>0</v>
      </c>
      <c r="P189" s="118">
        <v>0</v>
      </c>
      <c r="Q189" s="118">
        <v>0</v>
      </c>
      <c r="R189" s="118">
        <v>0</v>
      </c>
      <c r="S189" s="118">
        <v>0</v>
      </c>
      <c r="T189" s="118">
        <v>0</v>
      </c>
      <c r="U189" s="118">
        <v>0</v>
      </c>
      <c r="V189" s="118">
        <v>0</v>
      </c>
      <c r="W189" s="118">
        <v>0</v>
      </c>
      <c r="X189" s="118">
        <v>0</v>
      </c>
      <c r="Y189" s="118">
        <v>0</v>
      </c>
      <c r="Z189" s="118">
        <v>0</v>
      </c>
      <c r="AA189" s="118">
        <v>0</v>
      </c>
      <c r="AB189" s="118">
        <v>0</v>
      </c>
      <c r="AC189" s="118">
        <v>0</v>
      </c>
      <c r="AD189" s="118">
        <v>0</v>
      </c>
      <c r="AE189" s="118">
        <v>0</v>
      </c>
      <c r="AF189" s="118">
        <v>0</v>
      </c>
      <c r="AG189" s="118">
        <v>0</v>
      </c>
      <c r="AH189" s="118">
        <v>0</v>
      </c>
      <c r="AI189" s="118">
        <v>0</v>
      </c>
      <c r="AJ189" s="118">
        <v>0</v>
      </c>
      <c r="AK189" s="118">
        <v>0</v>
      </c>
      <c r="AL189" s="118">
        <v>0</v>
      </c>
      <c r="AM189" s="118">
        <v>0</v>
      </c>
      <c r="AN189" s="118">
        <v>0</v>
      </c>
      <c r="AO189" s="118">
        <v>0</v>
      </c>
      <c r="AP189" s="118">
        <v>0</v>
      </c>
      <c r="AQ189" s="118">
        <v>0</v>
      </c>
      <c r="AR189" s="118">
        <v>0</v>
      </c>
      <c r="AS189" s="118">
        <v>0</v>
      </c>
      <c r="AT189" s="118">
        <v>0</v>
      </c>
      <c r="AU189" s="118">
        <v>0</v>
      </c>
      <c r="AV189" s="118">
        <v>0</v>
      </c>
      <c r="AW189" s="118">
        <v>0</v>
      </c>
      <c r="AX189" s="118">
        <v>0</v>
      </c>
      <c r="AY189" s="118">
        <v>0</v>
      </c>
      <c r="AZ189" s="118">
        <v>0</v>
      </c>
      <c r="BA189" s="118">
        <v>0</v>
      </c>
      <c r="BB189" s="118">
        <v>0</v>
      </c>
      <c r="BC189" s="118">
        <v>0</v>
      </c>
      <c r="BD189" s="118">
        <v>0</v>
      </c>
      <c r="BE189" s="118">
        <v>0</v>
      </c>
      <c r="BF189" s="118">
        <v>0</v>
      </c>
      <c r="BG189" s="118">
        <v>0</v>
      </c>
      <c r="BH189" s="118">
        <v>0</v>
      </c>
      <c r="BI189" s="118">
        <v>0</v>
      </c>
      <c r="BJ189" s="118">
        <v>0</v>
      </c>
      <c r="BK189" s="118">
        <v>0</v>
      </c>
      <c r="BL189" s="118">
        <v>0</v>
      </c>
      <c r="BM189" s="118">
        <v>0</v>
      </c>
      <c r="BN189" s="118">
        <v>0</v>
      </c>
      <c r="BO189" s="118">
        <v>0</v>
      </c>
      <c r="BP189" s="118">
        <v>0</v>
      </c>
      <c r="BQ189" s="118">
        <v>0</v>
      </c>
      <c r="BR189" s="118">
        <v>0</v>
      </c>
      <c r="BS189" s="118">
        <v>0</v>
      </c>
      <c r="BT189" s="118">
        <v>0</v>
      </c>
      <c r="BU189" s="118">
        <v>0</v>
      </c>
      <c r="BV189" s="118">
        <v>0</v>
      </c>
      <c r="BW189" s="118">
        <v>0</v>
      </c>
      <c r="BX189" s="118">
        <v>0</v>
      </c>
      <c r="BY189" s="118">
        <v>0</v>
      </c>
      <c r="BZ189" s="118">
        <v>0</v>
      </c>
      <c r="CA189" s="118">
        <v>0</v>
      </c>
      <c r="CB189" s="118">
        <v>0</v>
      </c>
      <c r="CC189" s="118">
        <v>0</v>
      </c>
    </row>
    <row r="190" spans="2:89" s="32" customFormat="1" ht="15.75" customHeight="1" x14ac:dyDescent="0.2">
      <c r="B190" s="83" t="str">
        <f>+$B$158</f>
        <v>Tarea 3</v>
      </c>
      <c r="D190" s="100">
        <f t="shared" si="71"/>
        <v>0</v>
      </c>
      <c r="F190" s="101">
        <f>SUM(J190:AG190)</f>
        <v>0</v>
      </c>
      <c r="J190" s="118">
        <v>0</v>
      </c>
      <c r="K190" s="118">
        <v>0</v>
      </c>
      <c r="L190" s="118">
        <v>0</v>
      </c>
      <c r="M190" s="118">
        <v>0</v>
      </c>
      <c r="N190" s="118">
        <v>0</v>
      </c>
      <c r="O190" s="118">
        <v>0</v>
      </c>
      <c r="P190" s="118">
        <v>0</v>
      </c>
      <c r="Q190" s="118">
        <v>0</v>
      </c>
      <c r="R190" s="118">
        <v>0</v>
      </c>
      <c r="S190" s="118">
        <v>0</v>
      </c>
      <c r="T190" s="118">
        <v>0</v>
      </c>
      <c r="U190" s="118">
        <v>0</v>
      </c>
      <c r="V190" s="118">
        <v>0</v>
      </c>
      <c r="W190" s="118">
        <v>0</v>
      </c>
      <c r="X190" s="118">
        <v>0</v>
      </c>
      <c r="Y190" s="118">
        <v>0</v>
      </c>
      <c r="Z190" s="118">
        <v>0</v>
      </c>
      <c r="AA190" s="118">
        <v>0</v>
      </c>
      <c r="AB190" s="118">
        <v>0</v>
      </c>
      <c r="AC190" s="118">
        <v>0</v>
      </c>
      <c r="AD190" s="118">
        <v>0</v>
      </c>
      <c r="AE190" s="118">
        <v>0</v>
      </c>
      <c r="AF190" s="118">
        <v>0</v>
      </c>
      <c r="AG190" s="118">
        <v>0</v>
      </c>
      <c r="AH190" s="118">
        <v>0</v>
      </c>
      <c r="AI190" s="118">
        <v>0</v>
      </c>
      <c r="AJ190" s="118">
        <v>0</v>
      </c>
      <c r="AK190" s="118">
        <v>0</v>
      </c>
      <c r="AL190" s="118">
        <v>0</v>
      </c>
      <c r="AM190" s="118">
        <v>0</v>
      </c>
      <c r="AN190" s="118">
        <v>0</v>
      </c>
      <c r="AO190" s="118">
        <v>0</v>
      </c>
      <c r="AP190" s="118">
        <v>0</v>
      </c>
      <c r="AQ190" s="118">
        <v>0</v>
      </c>
      <c r="AR190" s="118">
        <v>0</v>
      </c>
      <c r="AS190" s="118">
        <v>0</v>
      </c>
      <c r="AT190" s="118">
        <v>0</v>
      </c>
      <c r="AU190" s="118">
        <v>0</v>
      </c>
      <c r="AV190" s="118">
        <v>0</v>
      </c>
      <c r="AW190" s="118">
        <v>0</v>
      </c>
      <c r="AX190" s="118">
        <v>0</v>
      </c>
      <c r="AY190" s="118">
        <v>0</v>
      </c>
      <c r="AZ190" s="118">
        <v>0</v>
      </c>
      <c r="BA190" s="118">
        <v>0</v>
      </c>
      <c r="BB190" s="118">
        <v>0</v>
      </c>
      <c r="BC190" s="118">
        <v>0</v>
      </c>
      <c r="BD190" s="118">
        <v>0</v>
      </c>
      <c r="BE190" s="118">
        <v>0</v>
      </c>
      <c r="BF190" s="118">
        <v>0</v>
      </c>
      <c r="BG190" s="118">
        <v>0</v>
      </c>
      <c r="BH190" s="118">
        <v>0</v>
      </c>
      <c r="BI190" s="118">
        <v>0</v>
      </c>
      <c r="BJ190" s="118">
        <v>0</v>
      </c>
      <c r="BK190" s="118">
        <v>0</v>
      </c>
      <c r="BL190" s="118">
        <v>0</v>
      </c>
      <c r="BM190" s="118">
        <v>0</v>
      </c>
      <c r="BN190" s="118">
        <v>0</v>
      </c>
      <c r="BO190" s="118">
        <v>0</v>
      </c>
      <c r="BP190" s="118">
        <v>0</v>
      </c>
      <c r="BQ190" s="118">
        <v>0</v>
      </c>
      <c r="BR190" s="118">
        <v>0</v>
      </c>
      <c r="BS190" s="118">
        <v>0</v>
      </c>
      <c r="BT190" s="118">
        <v>0</v>
      </c>
      <c r="BU190" s="118">
        <v>0</v>
      </c>
      <c r="BV190" s="118">
        <v>0</v>
      </c>
      <c r="BW190" s="118">
        <v>0</v>
      </c>
      <c r="BX190" s="118">
        <v>0</v>
      </c>
      <c r="BY190" s="118">
        <v>0</v>
      </c>
      <c r="BZ190" s="118">
        <v>0</v>
      </c>
      <c r="CA190" s="118">
        <v>0</v>
      </c>
      <c r="CB190" s="118">
        <v>0</v>
      </c>
      <c r="CC190" s="118">
        <v>0</v>
      </c>
    </row>
    <row r="191" spans="2:89" s="32" customFormat="1" ht="15.75" customHeight="1" x14ac:dyDescent="0.2">
      <c r="B191" s="83" t="str">
        <f>+$B$159</f>
        <v>Tarea 4</v>
      </c>
      <c r="D191" s="100">
        <f t="shared" si="71"/>
        <v>0</v>
      </c>
      <c r="F191" s="101">
        <f>SUM(J191:AG191)</f>
        <v>0</v>
      </c>
      <c r="J191" s="118">
        <v>0</v>
      </c>
      <c r="K191" s="118">
        <v>0</v>
      </c>
      <c r="L191" s="118">
        <v>0</v>
      </c>
      <c r="M191" s="118">
        <v>0</v>
      </c>
      <c r="N191" s="118">
        <v>0</v>
      </c>
      <c r="O191" s="118">
        <v>0</v>
      </c>
      <c r="P191" s="118">
        <v>0</v>
      </c>
      <c r="Q191" s="118">
        <v>0</v>
      </c>
      <c r="R191" s="118">
        <v>0</v>
      </c>
      <c r="S191" s="118">
        <v>0</v>
      </c>
      <c r="T191" s="118">
        <v>0</v>
      </c>
      <c r="U191" s="118">
        <v>0</v>
      </c>
      <c r="V191" s="118">
        <v>0</v>
      </c>
      <c r="W191" s="118">
        <v>0</v>
      </c>
      <c r="X191" s="118">
        <v>0</v>
      </c>
      <c r="Y191" s="118">
        <v>0</v>
      </c>
      <c r="Z191" s="118">
        <v>0</v>
      </c>
      <c r="AA191" s="118">
        <v>0</v>
      </c>
      <c r="AB191" s="118">
        <v>0</v>
      </c>
      <c r="AC191" s="118">
        <v>0</v>
      </c>
      <c r="AD191" s="118">
        <v>0</v>
      </c>
      <c r="AE191" s="118">
        <v>0</v>
      </c>
      <c r="AF191" s="118">
        <v>0</v>
      </c>
      <c r="AG191" s="118">
        <v>0</v>
      </c>
      <c r="AH191" s="118">
        <v>0</v>
      </c>
      <c r="AI191" s="118">
        <v>0</v>
      </c>
      <c r="AJ191" s="118">
        <v>0</v>
      </c>
      <c r="AK191" s="118">
        <v>0</v>
      </c>
      <c r="AL191" s="118">
        <v>0</v>
      </c>
      <c r="AM191" s="118">
        <v>0</v>
      </c>
      <c r="AN191" s="118">
        <v>0</v>
      </c>
      <c r="AO191" s="118">
        <v>0</v>
      </c>
      <c r="AP191" s="118">
        <v>0</v>
      </c>
      <c r="AQ191" s="118">
        <v>0</v>
      </c>
      <c r="AR191" s="118">
        <v>0</v>
      </c>
      <c r="AS191" s="118">
        <v>0</v>
      </c>
      <c r="AT191" s="118">
        <v>0</v>
      </c>
      <c r="AU191" s="118">
        <v>0</v>
      </c>
      <c r="AV191" s="118">
        <v>0</v>
      </c>
      <c r="AW191" s="118">
        <v>0</v>
      </c>
      <c r="AX191" s="118">
        <v>0</v>
      </c>
      <c r="AY191" s="118">
        <v>0</v>
      </c>
      <c r="AZ191" s="118">
        <v>0</v>
      </c>
      <c r="BA191" s="118">
        <v>0</v>
      </c>
      <c r="BB191" s="118">
        <v>0</v>
      </c>
      <c r="BC191" s="118">
        <v>0</v>
      </c>
      <c r="BD191" s="118">
        <v>0</v>
      </c>
      <c r="BE191" s="118">
        <v>0</v>
      </c>
      <c r="BF191" s="118">
        <v>0</v>
      </c>
      <c r="BG191" s="118">
        <v>0</v>
      </c>
      <c r="BH191" s="118">
        <v>0</v>
      </c>
      <c r="BI191" s="118">
        <v>0</v>
      </c>
      <c r="BJ191" s="118">
        <v>0</v>
      </c>
      <c r="BK191" s="118">
        <v>0</v>
      </c>
      <c r="BL191" s="118">
        <v>0</v>
      </c>
      <c r="BM191" s="118">
        <v>0</v>
      </c>
      <c r="BN191" s="118">
        <v>0</v>
      </c>
      <c r="BO191" s="118">
        <v>0</v>
      </c>
      <c r="BP191" s="118">
        <v>0</v>
      </c>
      <c r="BQ191" s="118">
        <v>0</v>
      </c>
      <c r="BR191" s="118">
        <v>0</v>
      </c>
      <c r="BS191" s="118">
        <v>0</v>
      </c>
      <c r="BT191" s="118">
        <v>0</v>
      </c>
      <c r="BU191" s="118">
        <v>0</v>
      </c>
      <c r="BV191" s="118">
        <v>0</v>
      </c>
      <c r="BW191" s="118">
        <v>0</v>
      </c>
      <c r="BX191" s="118">
        <v>0</v>
      </c>
      <c r="BY191" s="118">
        <v>0</v>
      </c>
      <c r="BZ191" s="118">
        <v>0</v>
      </c>
      <c r="CA191" s="118">
        <v>0</v>
      </c>
      <c r="CB191" s="118">
        <v>0</v>
      </c>
      <c r="CC191" s="118">
        <v>0</v>
      </c>
    </row>
    <row r="192" spans="2:89" s="32" customFormat="1" ht="5.0999999999999996" customHeight="1" x14ac:dyDescent="0.2">
      <c r="F192" s="102"/>
      <c r="J192" s="113"/>
      <c r="K192" s="113"/>
      <c r="L192" s="113"/>
      <c r="M192" s="113"/>
      <c r="N192" s="113"/>
      <c r="O192" s="113"/>
      <c r="P192" s="113"/>
      <c r="Q192" s="113"/>
      <c r="R192" s="113"/>
      <c r="S192" s="113"/>
      <c r="T192" s="113"/>
      <c r="U192" s="113"/>
      <c r="V192" s="113"/>
      <c r="W192" s="113"/>
      <c r="X192" s="113"/>
      <c r="Y192" s="113"/>
      <c r="Z192" s="113"/>
      <c r="AA192" s="113"/>
      <c r="AB192" s="113"/>
      <c r="AC192" s="113"/>
      <c r="AD192" s="113"/>
      <c r="AE192" s="113"/>
      <c r="AF192" s="113"/>
      <c r="AG192" s="113"/>
      <c r="AH192" s="113"/>
      <c r="AI192" s="113"/>
      <c r="AJ192" s="113"/>
      <c r="AK192" s="113"/>
      <c r="AL192" s="113"/>
      <c r="AM192" s="113"/>
      <c r="AN192" s="113"/>
      <c r="AO192" s="113"/>
      <c r="AP192" s="113"/>
      <c r="AQ192" s="113"/>
      <c r="AR192" s="113"/>
      <c r="AS192" s="113"/>
      <c r="AT192" s="113"/>
      <c r="AU192" s="113"/>
      <c r="AV192" s="113"/>
      <c r="AW192" s="113"/>
      <c r="AX192" s="113"/>
      <c r="AY192" s="113"/>
      <c r="AZ192" s="113"/>
      <c r="BA192" s="113"/>
      <c r="BB192" s="113"/>
      <c r="BC192" s="113"/>
      <c r="BD192" s="113"/>
      <c r="BE192" s="113"/>
      <c r="BF192" s="113"/>
      <c r="BG192" s="113"/>
      <c r="BH192" s="113"/>
      <c r="BI192" s="113"/>
      <c r="BJ192" s="113"/>
      <c r="BK192" s="113"/>
      <c r="BL192" s="113"/>
      <c r="BM192" s="113"/>
      <c r="BN192" s="113"/>
      <c r="BO192" s="113"/>
      <c r="BP192" s="113"/>
      <c r="BQ192" s="113"/>
      <c r="BR192" s="113"/>
      <c r="BS192" s="113"/>
      <c r="BT192" s="113"/>
      <c r="BU192" s="113"/>
      <c r="BV192" s="113"/>
      <c r="BW192" s="113"/>
      <c r="BX192" s="113"/>
      <c r="BY192" s="113"/>
      <c r="BZ192" s="113"/>
      <c r="CA192" s="113"/>
      <c r="CB192" s="113"/>
      <c r="CC192" s="113"/>
    </row>
    <row r="193" spans="2:89" s="32" customFormat="1" ht="15" customHeight="1" x14ac:dyDescent="0.2">
      <c r="B193" s="710" t="s">
        <v>125</v>
      </c>
      <c r="C193" s="711"/>
      <c r="D193" s="712"/>
      <c r="F193" s="101">
        <f>SUM(F188:F192)</f>
        <v>0</v>
      </c>
      <c r="G193" s="136"/>
      <c r="H193" s="136"/>
      <c r="I193" s="136"/>
      <c r="J193" s="101">
        <f>SUM(J188:J192)</f>
        <v>0</v>
      </c>
      <c r="K193" s="101">
        <f t="shared" ref="K193:BV193" si="72">SUM(K188:K192)</f>
        <v>0</v>
      </c>
      <c r="L193" s="101">
        <f t="shared" si="72"/>
        <v>0</v>
      </c>
      <c r="M193" s="101">
        <f t="shared" si="72"/>
        <v>0</v>
      </c>
      <c r="N193" s="101">
        <f t="shared" si="72"/>
        <v>0</v>
      </c>
      <c r="O193" s="101">
        <f t="shared" si="72"/>
        <v>0</v>
      </c>
      <c r="P193" s="101">
        <f t="shared" si="72"/>
        <v>0</v>
      </c>
      <c r="Q193" s="101">
        <f t="shared" si="72"/>
        <v>0</v>
      </c>
      <c r="R193" s="101">
        <f t="shared" si="72"/>
        <v>0</v>
      </c>
      <c r="S193" s="101">
        <f t="shared" si="72"/>
        <v>0</v>
      </c>
      <c r="T193" s="101">
        <f t="shared" si="72"/>
        <v>0</v>
      </c>
      <c r="U193" s="101">
        <f t="shared" si="72"/>
        <v>0</v>
      </c>
      <c r="V193" s="101">
        <f t="shared" si="72"/>
        <v>0</v>
      </c>
      <c r="W193" s="101">
        <f t="shared" si="72"/>
        <v>0</v>
      </c>
      <c r="X193" s="101">
        <f t="shared" si="72"/>
        <v>0</v>
      </c>
      <c r="Y193" s="101">
        <f t="shared" si="72"/>
        <v>0</v>
      </c>
      <c r="Z193" s="101">
        <f t="shared" si="72"/>
        <v>0</v>
      </c>
      <c r="AA193" s="101">
        <f t="shared" si="72"/>
        <v>0</v>
      </c>
      <c r="AB193" s="101">
        <f t="shared" si="72"/>
        <v>0</v>
      </c>
      <c r="AC193" s="101">
        <f t="shared" si="72"/>
        <v>0</v>
      </c>
      <c r="AD193" s="101">
        <f t="shared" si="72"/>
        <v>0</v>
      </c>
      <c r="AE193" s="101">
        <f t="shared" si="72"/>
        <v>0</v>
      </c>
      <c r="AF193" s="101">
        <f t="shared" si="72"/>
        <v>0</v>
      </c>
      <c r="AG193" s="101">
        <f t="shared" si="72"/>
        <v>0</v>
      </c>
      <c r="AH193" s="101">
        <f t="shared" si="72"/>
        <v>0</v>
      </c>
      <c r="AI193" s="101">
        <f t="shared" si="72"/>
        <v>0</v>
      </c>
      <c r="AJ193" s="101">
        <f t="shared" si="72"/>
        <v>0</v>
      </c>
      <c r="AK193" s="101">
        <f t="shared" si="72"/>
        <v>0</v>
      </c>
      <c r="AL193" s="101">
        <f t="shared" si="72"/>
        <v>0</v>
      </c>
      <c r="AM193" s="101">
        <f t="shared" si="72"/>
        <v>0</v>
      </c>
      <c r="AN193" s="101">
        <f t="shared" si="72"/>
        <v>0</v>
      </c>
      <c r="AO193" s="101">
        <f t="shared" si="72"/>
        <v>0</v>
      </c>
      <c r="AP193" s="101">
        <f t="shared" si="72"/>
        <v>0</v>
      </c>
      <c r="AQ193" s="101">
        <f t="shared" si="72"/>
        <v>0</v>
      </c>
      <c r="AR193" s="101">
        <f t="shared" si="72"/>
        <v>0</v>
      </c>
      <c r="AS193" s="101">
        <f t="shared" si="72"/>
        <v>0</v>
      </c>
      <c r="AT193" s="101">
        <f t="shared" si="72"/>
        <v>0</v>
      </c>
      <c r="AU193" s="101">
        <f t="shared" si="72"/>
        <v>0</v>
      </c>
      <c r="AV193" s="101">
        <f t="shared" si="72"/>
        <v>0</v>
      </c>
      <c r="AW193" s="101">
        <f t="shared" si="72"/>
        <v>0</v>
      </c>
      <c r="AX193" s="101">
        <f t="shared" si="72"/>
        <v>0</v>
      </c>
      <c r="AY193" s="101">
        <f t="shared" si="72"/>
        <v>0</v>
      </c>
      <c r="AZ193" s="101">
        <f t="shared" si="72"/>
        <v>0</v>
      </c>
      <c r="BA193" s="101">
        <f t="shared" si="72"/>
        <v>0</v>
      </c>
      <c r="BB193" s="101">
        <f t="shared" si="72"/>
        <v>0</v>
      </c>
      <c r="BC193" s="101">
        <f t="shared" si="72"/>
        <v>0</v>
      </c>
      <c r="BD193" s="101">
        <f t="shared" si="72"/>
        <v>0</v>
      </c>
      <c r="BE193" s="101">
        <f t="shared" si="72"/>
        <v>0</v>
      </c>
      <c r="BF193" s="101">
        <f t="shared" si="72"/>
        <v>0</v>
      </c>
      <c r="BG193" s="101">
        <f t="shared" si="72"/>
        <v>0</v>
      </c>
      <c r="BH193" s="101">
        <f t="shared" si="72"/>
        <v>0</v>
      </c>
      <c r="BI193" s="101">
        <f t="shared" si="72"/>
        <v>0</v>
      </c>
      <c r="BJ193" s="101">
        <f t="shared" si="72"/>
        <v>0</v>
      </c>
      <c r="BK193" s="101">
        <f t="shared" si="72"/>
        <v>0</v>
      </c>
      <c r="BL193" s="101">
        <f t="shared" si="72"/>
        <v>0</v>
      </c>
      <c r="BM193" s="101">
        <f t="shared" si="72"/>
        <v>0</v>
      </c>
      <c r="BN193" s="101">
        <f t="shared" si="72"/>
        <v>0</v>
      </c>
      <c r="BO193" s="101">
        <f t="shared" si="72"/>
        <v>0</v>
      </c>
      <c r="BP193" s="101">
        <f t="shared" si="72"/>
        <v>0</v>
      </c>
      <c r="BQ193" s="101">
        <f t="shared" si="72"/>
        <v>0</v>
      </c>
      <c r="BR193" s="101">
        <f t="shared" si="72"/>
        <v>0</v>
      </c>
      <c r="BS193" s="101">
        <f t="shared" si="72"/>
        <v>0</v>
      </c>
      <c r="BT193" s="101">
        <f t="shared" si="72"/>
        <v>0</v>
      </c>
      <c r="BU193" s="101">
        <f t="shared" si="72"/>
        <v>0</v>
      </c>
      <c r="BV193" s="101">
        <f t="shared" si="72"/>
        <v>0</v>
      </c>
      <c r="BW193" s="101">
        <f t="shared" ref="BW193:CC193" si="73">SUM(BW188:BW192)</f>
        <v>0</v>
      </c>
      <c r="BX193" s="101">
        <f t="shared" si="73"/>
        <v>0</v>
      </c>
      <c r="BY193" s="101">
        <f t="shared" si="73"/>
        <v>0</v>
      </c>
      <c r="BZ193" s="101">
        <f t="shared" si="73"/>
        <v>0</v>
      </c>
      <c r="CA193" s="101">
        <f t="shared" si="73"/>
        <v>0</v>
      </c>
      <c r="CB193" s="101">
        <f t="shared" si="73"/>
        <v>0</v>
      </c>
      <c r="CC193" s="101">
        <f t="shared" si="73"/>
        <v>0</v>
      </c>
    </row>
    <row r="194" spans="2:89" ht="5.0999999999999996" customHeight="1" x14ac:dyDescent="0.2">
      <c r="B194" s="32"/>
      <c r="C194" s="32"/>
      <c r="D194" s="32"/>
      <c r="E194" s="32"/>
      <c r="F194" s="102"/>
      <c r="G194" s="32"/>
      <c r="H194" s="32"/>
      <c r="J194" s="113"/>
      <c r="K194" s="113"/>
      <c r="L194" s="113"/>
      <c r="M194" s="113"/>
      <c r="N194" s="113"/>
      <c r="O194" s="113"/>
      <c r="P194" s="113"/>
      <c r="Q194" s="113"/>
      <c r="R194" s="113"/>
      <c r="S194" s="113"/>
      <c r="T194" s="113"/>
      <c r="U194" s="113"/>
      <c r="V194" s="113"/>
      <c r="W194" s="113"/>
      <c r="X194" s="113"/>
      <c r="Y194" s="113"/>
      <c r="Z194" s="113"/>
      <c r="AA194" s="113"/>
      <c r="AB194" s="113"/>
      <c r="AC194" s="113"/>
      <c r="AD194" s="113"/>
      <c r="AE194" s="113"/>
      <c r="AF194" s="113"/>
      <c r="AG194" s="113"/>
      <c r="AH194" s="113"/>
      <c r="AI194" s="113"/>
      <c r="AJ194" s="113"/>
      <c r="AK194" s="113"/>
      <c r="AL194" s="113"/>
      <c r="AM194" s="113"/>
      <c r="AN194" s="113"/>
      <c r="AO194" s="113"/>
      <c r="AP194" s="113"/>
      <c r="AQ194" s="113"/>
      <c r="AR194" s="113"/>
      <c r="AS194" s="113"/>
      <c r="AT194" s="113"/>
      <c r="AU194" s="113"/>
      <c r="AV194" s="113"/>
      <c r="AW194" s="113"/>
      <c r="AX194" s="113"/>
      <c r="AY194" s="113"/>
      <c r="AZ194" s="113"/>
      <c r="BA194" s="113"/>
      <c r="BB194" s="113"/>
      <c r="BC194" s="113"/>
      <c r="BD194" s="113"/>
      <c r="BE194" s="113"/>
      <c r="BF194" s="113"/>
      <c r="BG194" s="113"/>
      <c r="BH194" s="113"/>
      <c r="BI194" s="113"/>
      <c r="BJ194" s="113"/>
      <c r="BK194" s="113"/>
      <c r="BL194" s="113"/>
      <c r="BM194" s="113"/>
      <c r="BN194" s="113"/>
      <c r="BO194" s="113"/>
      <c r="BP194" s="113"/>
      <c r="BQ194" s="113"/>
      <c r="BR194" s="113"/>
      <c r="BS194" s="113"/>
      <c r="BT194" s="113"/>
      <c r="BU194" s="113"/>
      <c r="BV194" s="113"/>
      <c r="BW194" s="113"/>
      <c r="BX194" s="113"/>
      <c r="BY194" s="113"/>
      <c r="BZ194" s="113"/>
      <c r="CA194" s="113"/>
      <c r="CB194" s="113"/>
      <c r="CC194" s="113"/>
    </row>
    <row r="195" spans="2:89" s="32" customFormat="1" ht="15" customHeight="1" x14ac:dyDescent="0.2">
      <c r="B195" s="638" t="s">
        <v>120</v>
      </c>
      <c r="C195" s="639"/>
      <c r="D195" s="640"/>
      <c r="F195" s="115">
        <f>+F193*F150</f>
        <v>0</v>
      </c>
      <c r="H195" s="137">
        <f>SUM(J195:AG195)</f>
        <v>0</v>
      </c>
      <c r="J195" s="96">
        <f t="shared" ref="J195" si="74">+J193*J150</f>
        <v>0</v>
      </c>
      <c r="K195" s="96">
        <f t="shared" ref="K195:BV195" si="75">+K193*K150</f>
        <v>0</v>
      </c>
      <c r="L195" s="96">
        <f t="shared" si="75"/>
        <v>0</v>
      </c>
      <c r="M195" s="96">
        <f t="shared" si="75"/>
        <v>0</v>
      </c>
      <c r="N195" s="96">
        <f t="shared" si="75"/>
        <v>0</v>
      </c>
      <c r="O195" s="96">
        <f t="shared" si="75"/>
        <v>0</v>
      </c>
      <c r="P195" s="96">
        <f t="shared" si="75"/>
        <v>0</v>
      </c>
      <c r="Q195" s="96">
        <f t="shared" si="75"/>
        <v>0</v>
      </c>
      <c r="R195" s="96">
        <f t="shared" si="75"/>
        <v>0</v>
      </c>
      <c r="S195" s="96">
        <f t="shared" si="75"/>
        <v>0</v>
      </c>
      <c r="T195" s="96">
        <f t="shared" si="75"/>
        <v>0</v>
      </c>
      <c r="U195" s="96">
        <f t="shared" si="75"/>
        <v>0</v>
      </c>
      <c r="V195" s="96">
        <f t="shared" si="75"/>
        <v>0</v>
      </c>
      <c r="W195" s="96">
        <f t="shared" si="75"/>
        <v>0</v>
      </c>
      <c r="X195" s="96">
        <f t="shared" si="75"/>
        <v>0</v>
      </c>
      <c r="Y195" s="96">
        <f t="shared" si="75"/>
        <v>0</v>
      </c>
      <c r="Z195" s="96">
        <f t="shared" si="75"/>
        <v>0</v>
      </c>
      <c r="AA195" s="96">
        <f t="shared" si="75"/>
        <v>0</v>
      </c>
      <c r="AB195" s="96">
        <f t="shared" si="75"/>
        <v>0</v>
      </c>
      <c r="AC195" s="96">
        <f t="shared" si="75"/>
        <v>0</v>
      </c>
      <c r="AD195" s="96">
        <f t="shared" si="75"/>
        <v>0</v>
      </c>
      <c r="AE195" s="96">
        <f t="shared" si="75"/>
        <v>0</v>
      </c>
      <c r="AF195" s="96">
        <f t="shared" si="75"/>
        <v>0</v>
      </c>
      <c r="AG195" s="96">
        <f t="shared" si="75"/>
        <v>0</v>
      </c>
      <c r="AH195" s="96">
        <f t="shared" si="75"/>
        <v>0</v>
      </c>
      <c r="AI195" s="96">
        <f t="shared" si="75"/>
        <v>0</v>
      </c>
      <c r="AJ195" s="96">
        <f t="shared" si="75"/>
        <v>0</v>
      </c>
      <c r="AK195" s="96">
        <f t="shared" si="75"/>
        <v>0</v>
      </c>
      <c r="AL195" s="96">
        <f t="shared" si="75"/>
        <v>0</v>
      </c>
      <c r="AM195" s="96">
        <f t="shared" si="75"/>
        <v>0</v>
      </c>
      <c r="AN195" s="96">
        <f t="shared" si="75"/>
        <v>0</v>
      </c>
      <c r="AO195" s="96">
        <f t="shared" si="75"/>
        <v>0</v>
      </c>
      <c r="AP195" s="96">
        <f t="shared" si="75"/>
        <v>0</v>
      </c>
      <c r="AQ195" s="96">
        <f t="shared" si="75"/>
        <v>0</v>
      </c>
      <c r="AR195" s="96">
        <f t="shared" si="75"/>
        <v>0</v>
      </c>
      <c r="AS195" s="96">
        <f t="shared" si="75"/>
        <v>0</v>
      </c>
      <c r="AT195" s="96">
        <f t="shared" si="75"/>
        <v>0</v>
      </c>
      <c r="AU195" s="96">
        <f t="shared" si="75"/>
        <v>0</v>
      </c>
      <c r="AV195" s="96">
        <f t="shared" si="75"/>
        <v>0</v>
      </c>
      <c r="AW195" s="96">
        <f t="shared" si="75"/>
        <v>0</v>
      </c>
      <c r="AX195" s="96">
        <f t="shared" si="75"/>
        <v>0</v>
      </c>
      <c r="AY195" s="96">
        <f t="shared" si="75"/>
        <v>0</v>
      </c>
      <c r="AZ195" s="96">
        <f t="shared" si="75"/>
        <v>0</v>
      </c>
      <c r="BA195" s="96">
        <f t="shared" si="75"/>
        <v>0</v>
      </c>
      <c r="BB195" s="96">
        <f t="shared" si="75"/>
        <v>0</v>
      </c>
      <c r="BC195" s="96">
        <f t="shared" si="75"/>
        <v>0</v>
      </c>
      <c r="BD195" s="96">
        <f t="shared" si="75"/>
        <v>0</v>
      </c>
      <c r="BE195" s="96">
        <f t="shared" si="75"/>
        <v>0</v>
      </c>
      <c r="BF195" s="96">
        <f t="shared" si="75"/>
        <v>0</v>
      </c>
      <c r="BG195" s="96">
        <f t="shared" si="75"/>
        <v>0</v>
      </c>
      <c r="BH195" s="96">
        <f t="shared" si="75"/>
        <v>0</v>
      </c>
      <c r="BI195" s="96">
        <f t="shared" si="75"/>
        <v>0</v>
      </c>
      <c r="BJ195" s="96">
        <f t="shared" si="75"/>
        <v>0</v>
      </c>
      <c r="BK195" s="96">
        <f t="shared" si="75"/>
        <v>0</v>
      </c>
      <c r="BL195" s="96">
        <f t="shared" si="75"/>
        <v>0</v>
      </c>
      <c r="BM195" s="96">
        <f t="shared" si="75"/>
        <v>0</v>
      </c>
      <c r="BN195" s="96">
        <f t="shared" si="75"/>
        <v>0</v>
      </c>
      <c r="BO195" s="96">
        <f t="shared" si="75"/>
        <v>0</v>
      </c>
      <c r="BP195" s="96">
        <f t="shared" si="75"/>
        <v>0</v>
      </c>
      <c r="BQ195" s="96">
        <f t="shared" si="75"/>
        <v>0</v>
      </c>
      <c r="BR195" s="96">
        <f t="shared" si="75"/>
        <v>0</v>
      </c>
      <c r="BS195" s="96">
        <f t="shared" si="75"/>
        <v>0</v>
      </c>
      <c r="BT195" s="96">
        <f t="shared" si="75"/>
        <v>0</v>
      </c>
      <c r="BU195" s="96">
        <f t="shared" si="75"/>
        <v>0</v>
      </c>
      <c r="BV195" s="96">
        <f t="shared" si="75"/>
        <v>0</v>
      </c>
      <c r="BW195" s="96">
        <f t="shared" ref="BW195:CC195" si="76">+BW193*BW150</f>
        <v>0</v>
      </c>
      <c r="BX195" s="96">
        <f t="shared" si="76"/>
        <v>0</v>
      </c>
      <c r="BY195" s="96">
        <f t="shared" si="76"/>
        <v>0</v>
      </c>
      <c r="BZ195" s="96">
        <f t="shared" si="76"/>
        <v>0</v>
      </c>
      <c r="CA195" s="96">
        <f t="shared" si="76"/>
        <v>0</v>
      </c>
      <c r="CB195" s="96">
        <f t="shared" si="76"/>
        <v>0</v>
      </c>
      <c r="CC195" s="96">
        <f t="shared" si="76"/>
        <v>0</v>
      </c>
      <c r="CF195" s="134"/>
    </row>
    <row r="196" spans="2:89" ht="5.0999999999999996" customHeight="1" x14ac:dyDescent="0.2">
      <c r="F196" s="32"/>
      <c r="G196" s="32"/>
      <c r="H196" s="32"/>
      <c r="J196" s="156"/>
      <c r="K196" s="156"/>
      <c r="L196" s="156"/>
      <c r="M196" s="156"/>
      <c r="N196" s="156"/>
      <c r="O196" s="156"/>
      <c r="P196" s="156"/>
      <c r="Q196" s="156"/>
      <c r="R196" s="156"/>
      <c r="S196" s="156"/>
      <c r="T196" s="156"/>
      <c r="U196" s="156"/>
      <c r="V196" s="156"/>
      <c r="W196" s="156"/>
      <c r="X196" s="156"/>
      <c r="Y196" s="156"/>
      <c r="Z196" s="156"/>
      <c r="AA196" s="156"/>
      <c r="AB196" s="156"/>
      <c r="AC196" s="156"/>
      <c r="AD196" s="156"/>
      <c r="AE196" s="156"/>
      <c r="AF196" s="156"/>
      <c r="AG196" s="156"/>
      <c r="AH196" s="156"/>
      <c r="AI196" s="156"/>
      <c r="AJ196" s="156"/>
      <c r="AK196" s="156"/>
      <c r="AL196" s="156"/>
      <c r="AM196" s="156"/>
      <c r="AN196" s="156"/>
      <c r="AO196" s="156"/>
      <c r="AP196" s="156"/>
      <c r="AQ196" s="156"/>
      <c r="AR196" s="156"/>
      <c r="AS196" s="156"/>
      <c r="AT196" s="156"/>
      <c r="AU196" s="156"/>
      <c r="AV196" s="156"/>
      <c r="AW196" s="156"/>
      <c r="AX196" s="156"/>
      <c r="AY196" s="156"/>
      <c r="AZ196" s="156"/>
      <c r="BA196" s="156"/>
      <c r="BB196" s="156"/>
      <c r="BC196" s="156"/>
      <c r="BD196" s="156"/>
      <c r="BE196" s="156"/>
      <c r="BF196" s="156"/>
      <c r="BG196" s="156"/>
      <c r="BH196" s="156"/>
      <c r="BI196" s="156"/>
      <c r="BJ196" s="156"/>
      <c r="BK196" s="156"/>
      <c r="BL196" s="156"/>
      <c r="BM196" s="156"/>
      <c r="BN196" s="156"/>
      <c r="BO196" s="156"/>
      <c r="BP196" s="156"/>
      <c r="BQ196" s="156"/>
      <c r="BR196" s="156"/>
      <c r="BS196" s="156"/>
      <c r="BT196" s="156"/>
      <c r="BU196" s="156"/>
      <c r="BV196" s="156"/>
      <c r="BW196" s="156"/>
      <c r="BX196" s="156"/>
      <c r="BY196" s="156"/>
      <c r="BZ196" s="156"/>
      <c r="CA196" s="156"/>
      <c r="CB196" s="156"/>
      <c r="CC196" s="156"/>
    </row>
    <row r="197" spans="2:89" s="32" customFormat="1" x14ac:dyDescent="0.2">
      <c r="B197" s="628" t="s">
        <v>121</v>
      </c>
      <c r="C197" s="629"/>
      <c r="D197" s="630"/>
      <c r="F197" s="113"/>
      <c r="J197" s="95">
        <f>+J195</f>
        <v>0</v>
      </c>
      <c r="K197" s="95">
        <f t="shared" ref="K197:BV197" si="77">+K195</f>
        <v>0</v>
      </c>
      <c r="L197" s="95">
        <f t="shared" si="77"/>
        <v>0</v>
      </c>
      <c r="M197" s="95">
        <f t="shared" si="77"/>
        <v>0</v>
      </c>
      <c r="N197" s="95">
        <f t="shared" si="77"/>
        <v>0</v>
      </c>
      <c r="O197" s="95">
        <f t="shared" si="77"/>
        <v>0</v>
      </c>
      <c r="P197" s="95">
        <f t="shared" si="77"/>
        <v>0</v>
      </c>
      <c r="Q197" s="95">
        <f t="shared" si="77"/>
        <v>0</v>
      </c>
      <c r="R197" s="95">
        <f t="shared" si="77"/>
        <v>0</v>
      </c>
      <c r="S197" s="95">
        <f t="shared" si="77"/>
        <v>0</v>
      </c>
      <c r="T197" s="95">
        <f t="shared" si="77"/>
        <v>0</v>
      </c>
      <c r="U197" s="95">
        <f t="shared" si="77"/>
        <v>0</v>
      </c>
      <c r="V197" s="95">
        <f t="shared" si="77"/>
        <v>0</v>
      </c>
      <c r="W197" s="95">
        <f t="shared" si="77"/>
        <v>0</v>
      </c>
      <c r="X197" s="95">
        <f t="shared" si="77"/>
        <v>0</v>
      </c>
      <c r="Y197" s="95">
        <f t="shared" si="77"/>
        <v>0</v>
      </c>
      <c r="Z197" s="95">
        <f t="shared" si="77"/>
        <v>0</v>
      </c>
      <c r="AA197" s="95">
        <f t="shared" si="77"/>
        <v>0</v>
      </c>
      <c r="AB197" s="95">
        <f t="shared" si="77"/>
        <v>0</v>
      </c>
      <c r="AC197" s="95">
        <f t="shared" si="77"/>
        <v>0</v>
      </c>
      <c r="AD197" s="95">
        <f t="shared" si="77"/>
        <v>0</v>
      </c>
      <c r="AE197" s="95">
        <f t="shared" si="77"/>
        <v>0</v>
      </c>
      <c r="AF197" s="95">
        <f t="shared" si="77"/>
        <v>0</v>
      </c>
      <c r="AG197" s="95">
        <f t="shared" si="77"/>
        <v>0</v>
      </c>
      <c r="AH197" s="95">
        <f t="shared" si="77"/>
        <v>0</v>
      </c>
      <c r="AI197" s="95">
        <f t="shared" si="77"/>
        <v>0</v>
      </c>
      <c r="AJ197" s="95">
        <f t="shared" si="77"/>
        <v>0</v>
      </c>
      <c r="AK197" s="95">
        <f t="shared" si="77"/>
        <v>0</v>
      </c>
      <c r="AL197" s="95">
        <f t="shared" si="77"/>
        <v>0</v>
      </c>
      <c r="AM197" s="95">
        <f t="shared" si="77"/>
        <v>0</v>
      </c>
      <c r="AN197" s="95">
        <f t="shared" si="77"/>
        <v>0</v>
      </c>
      <c r="AO197" s="95">
        <f t="shared" si="77"/>
        <v>0</v>
      </c>
      <c r="AP197" s="95">
        <f t="shared" si="77"/>
        <v>0</v>
      </c>
      <c r="AQ197" s="95">
        <f t="shared" si="77"/>
        <v>0</v>
      </c>
      <c r="AR197" s="95">
        <f t="shared" si="77"/>
        <v>0</v>
      </c>
      <c r="AS197" s="95">
        <f t="shared" si="77"/>
        <v>0</v>
      </c>
      <c r="AT197" s="95">
        <f t="shared" si="77"/>
        <v>0</v>
      </c>
      <c r="AU197" s="95">
        <f t="shared" si="77"/>
        <v>0</v>
      </c>
      <c r="AV197" s="95">
        <f t="shared" si="77"/>
        <v>0</v>
      </c>
      <c r="AW197" s="95">
        <f t="shared" si="77"/>
        <v>0</v>
      </c>
      <c r="AX197" s="95">
        <f t="shared" si="77"/>
        <v>0</v>
      </c>
      <c r="AY197" s="95">
        <f t="shared" si="77"/>
        <v>0</v>
      </c>
      <c r="AZ197" s="95">
        <f t="shared" si="77"/>
        <v>0</v>
      </c>
      <c r="BA197" s="95">
        <f t="shared" si="77"/>
        <v>0</v>
      </c>
      <c r="BB197" s="95">
        <f t="shared" si="77"/>
        <v>0</v>
      </c>
      <c r="BC197" s="95">
        <f t="shared" si="77"/>
        <v>0</v>
      </c>
      <c r="BD197" s="95">
        <f t="shared" si="77"/>
        <v>0</v>
      </c>
      <c r="BE197" s="95">
        <f t="shared" si="77"/>
        <v>0</v>
      </c>
      <c r="BF197" s="95">
        <f t="shared" si="77"/>
        <v>0</v>
      </c>
      <c r="BG197" s="95">
        <f t="shared" si="77"/>
        <v>0</v>
      </c>
      <c r="BH197" s="95">
        <f t="shared" si="77"/>
        <v>0</v>
      </c>
      <c r="BI197" s="95">
        <f t="shared" si="77"/>
        <v>0</v>
      </c>
      <c r="BJ197" s="95">
        <f t="shared" si="77"/>
        <v>0</v>
      </c>
      <c r="BK197" s="95">
        <f t="shared" si="77"/>
        <v>0</v>
      </c>
      <c r="BL197" s="95">
        <f t="shared" si="77"/>
        <v>0</v>
      </c>
      <c r="BM197" s="95">
        <f t="shared" si="77"/>
        <v>0</v>
      </c>
      <c r="BN197" s="95">
        <f t="shared" si="77"/>
        <v>0</v>
      </c>
      <c r="BO197" s="95">
        <f t="shared" si="77"/>
        <v>0</v>
      </c>
      <c r="BP197" s="95">
        <f t="shared" si="77"/>
        <v>0</v>
      </c>
      <c r="BQ197" s="95">
        <f t="shared" si="77"/>
        <v>0</v>
      </c>
      <c r="BR197" s="95">
        <f t="shared" si="77"/>
        <v>0</v>
      </c>
      <c r="BS197" s="95">
        <f t="shared" si="77"/>
        <v>0</v>
      </c>
      <c r="BT197" s="95">
        <f t="shared" si="77"/>
        <v>0</v>
      </c>
      <c r="BU197" s="95">
        <f t="shared" si="77"/>
        <v>0</v>
      </c>
      <c r="BV197" s="95">
        <f t="shared" si="77"/>
        <v>0</v>
      </c>
      <c r="BW197" s="95">
        <f t="shared" ref="BW197:CC197" si="78">+BW195</f>
        <v>0</v>
      </c>
      <c r="BX197" s="95">
        <f t="shared" si="78"/>
        <v>0</v>
      </c>
      <c r="BY197" s="95">
        <f t="shared" si="78"/>
        <v>0</v>
      </c>
      <c r="BZ197" s="95">
        <f t="shared" si="78"/>
        <v>0</v>
      </c>
      <c r="CA197" s="95">
        <f t="shared" si="78"/>
        <v>0</v>
      </c>
      <c r="CB197" s="95">
        <f t="shared" si="78"/>
        <v>0</v>
      </c>
      <c r="CC197" s="95">
        <f t="shared" si="78"/>
        <v>0</v>
      </c>
      <c r="CF197" s="113"/>
    </row>
    <row r="198" spans="2:89" ht="5.0999999999999996" customHeight="1" x14ac:dyDescent="0.2">
      <c r="J198" s="116"/>
      <c r="K198" s="116"/>
      <c r="L198" s="116"/>
      <c r="M198" s="116"/>
      <c r="N198" s="116"/>
      <c r="O198" s="116"/>
      <c r="P198" s="116"/>
      <c r="Q198" s="116"/>
      <c r="R198" s="116"/>
      <c r="S198" s="116"/>
      <c r="T198" s="116"/>
      <c r="U198" s="116"/>
      <c r="V198" s="116"/>
      <c r="W198" s="116"/>
      <c r="X198" s="116"/>
      <c r="Y198" s="116"/>
      <c r="Z198" s="116"/>
      <c r="AA198" s="116"/>
      <c r="AB198" s="116"/>
      <c r="AC198" s="116"/>
      <c r="AD198" s="116"/>
      <c r="AE198" s="116"/>
      <c r="AF198" s="116"/>
      <c r="AG198" s="116"/>
      <c r="AH198" s="116"/>
      <c r="AI198" s="116"/>
      <c r="AJ198" s="116"/>
      <c r="AK198" s="116"/>
      <c r="AL198" s="116"/>
      <c r="AM198" s="116"/>
      <c r="AN198" s="116"/>
      <c r="AO198" s="116"/>
      <c r="AP198" s="116"/>
      <c r="AQ198" s="116"/>
      <c r="AR198" s="116"/>
      <c r="AS198" s="116"/>
      <c r="AT198" s="116"/>
      <c r="AU198" s="116"/>
      <c r="AV198" s="116"/>
      <c r="AW198" s="116"/>
      <c r="AX198" s="116"/>
      <c r="AY198" s="116"/>
      <c r="AZ198" s="116"/>
      <c r="BA198" s="116"/>
      <c r="BB198" s="116"/>
      <c r="BC198" s="116"/>
      <c r="BD198" s="116"/>
      <c r="BE198" s="116"/>
      <c r="BF198" s="116"/>
      <c r="BG198" s="116"/>
      <c r="BH198" s="116"/>
      <c r="BI198" s="116"/>
      <c r="BJ198" s="116"/>
      <c r="BK198" s="116"/>
      <c r="BL198" s="116"/>
      <c r="BM198" s="116"/>
      <c r="BN198" s="116"/>
      <c r="BO198" s="116"/>
      <c r="BP198" s="116"/>
      <c r="BQ198" s="116"/>
      <c r="BR198" s="116"/>
      <c r="BS198" s="116"/>
      <c r="BT198" s="116"/>
      <c r="BU198" s="116"/>
      <c r="BV198" s="116"/>
      <c r="BW198" s="116"/>
      <c r="BX198" s="116"/>
      <c r="BY198" s="116"/>
      <c r="BZ198" s="116"/>
      <c r="CA198" s="116"/>
      <c r="CB198" s="116"/>
      <c r="CC198" s="116"/>
    </row>
    <row r="199" spans="2:89" s="32" customFormat="1" x14ac:dyDescent="0.2">
      <c r="B199" s="83" t="s">
        <v>114</v>
      </c>
      <c r="F199" s="113"/>
      <c r="J199" s="100">
        <f>IF($H$136=0,0,+J195/$C$136)</f>
        <v>0</v>
      </c>
      <c r="K199" s="100">
        <f t="shared" ref="K199:BV199" si="79">IF($H$136=0,0,+K195/$C$136)</f>
        <v>0</v>
      </c>
      <c r="L199" s="100">
        <f t="shared" si="79"/>
        <v>0</v>
      </c>
      <c r="M199" s="100">
        <f t="shared" si="79"/>
        <v>0</v>
      </c>
      <c r="N199" s="100">
        <f t="shared" si="79"/>
        <v>0</v>
      </c>
      <c r="O199" s="100">
        <f t="shared" si="79"/>
        <v>0</v>
      </c>
      <c r="P199" s="100">
        <f t="shared" si="79"/>
        <v>0</v>
      </c>
      <c r="Q199" s="100">
        <f t="shared" si="79"/>
        <v>0</v>
      </c>
      <c r="R199" s="100">
        <f t="shared" si="79"/>
        <v>0</v>
      </c>
      <c r="S199" s="100">
        <f t="shared" si="79"/>
        <v>0</v>
      </c>
      <c r="T199" s="100">
        <f t="shared" si="79"/>
        <v>0</v>
      </c>
      <c r="U199" s="100">
        <f t="shared" si="79"/>
        <v>0</v>
      </c>
      <c r="V199" s="100">
        <f t="shared" si="79"/>
        <v>0</v>
      </c>
      <c r="W199" s="100">
        <f t="shared" si="79"/>
        <v>0</v>
      </c>
      <c r="X199" s="100">
        <f t="shared" si="79"/>
        <v>0</v>
      </c>
      <c r="Y199" s="100">
        <f t="shared" si="79"/>
        <v>0</v>
      </c>
      <c r="Z199" s="100">
        <f t="shared" si="79"/>
        <v>0</v>
      </c>
      <c r="AA199" s="100">
        <f t="shared" si="79"/>
        <v>0</v>
      </c>
      <c r="AB199" s="100">
        <f t="shared" si="79"/>
        <v>0</v>
      </c>
      <c r="AC199" s="100">
        <f t="shared" si="79"/>
        <v>0</v>
      </c>
      <c r="AD199" s="100">
        <f t="shared" si="79"/>
        <v>0</v>
      </c>
      <c r="AE199" s="100">
        <f t="shared" si="79"/>
        <v>0</v>
      </c>
      <c r="AF199" s="100">
        <f t="shared" si="79"/>
        <v>0</v>
      </c>
      <c r="AG199" s="100">
        <f t="shared" si="79"/>
        <v>0</v>
      </c>
      <c r="AH199" s="100">
        <f t="shared" si="79"/>
        <v>0</v>
      </c>
      <c r="AI199" s="100">
        <f t="shared" si="79"/>
        <v>0</v>
      </c>
      <c r="AJ199" s="100">
        <f t="shared" si="79"/>
        <v>0</v>
      </c>
      <c r="AK199" s="100">
        <f t="shared" si="79"/>
        <v>0</v>
      </c>
      <c r="AL199" s="100">
        <f t="shared" si="79"/>
        <v>0</v>
      </c>
      <c r="AM199" s="100">
        <f t="shared" si="79"/>
        <v>0</v>
      </c>
      <c r="AN199" s="100">
        <f t="shared" si="79"/>
        <v>0</v>
      </c>
      <c r="AO199" s="100">
        <f t="shared" si="79"/>
        <v>0</v>
      </c>
      <c r="AP199" s="100">
        <f t="shared" si="79"/>
        <v>0</v>
      </c>
      <c r="AQ199" s="100">
        <f t="shared" si="79"/>
        <v>0</v>
      </c>
      <c r="AR199" s="100">
        <f t="shared" si="79"/>
        <v>0</v>
      </c>
      <c r="AS199" s="100">
        <f t="shared" si="79"/>
        <v>0</v>
      </c>
      <c r="AT199" s="100">
        <f t="shared" si="79"/>
        <v>0</v>
      </c>
      <c r="AU199" s="100">
        <f t="shared" si="79"/>
        <v>0</v>
      </c>
      <c r="AV199" s="100">
        <f t="shared" si="79"/>
        <v>0</v>
      </c>
      <c r="AW199" s="100">
        <f t="shared" si="79"/>
        <v>0</v>
      </c>
      <c r="AX199" s="100">
        <f t="shared" si="79"/>
        <v>0</v>
      </c>
      <c r="AY199" s="100">
        <f t="shared" si="79"/>
        <v>0</v>
      </c>
      <c r="AZ199" s="100">
        <f t="shared" si="79"/>
        <v>0</v>
      </c>
      <c r="BA199" s="100">
        <f t="shared" si="79"/>
        <v>0</v>
      </c>
      <c r="BB199" s="100">
        <f t="shared" si="79"/>
        <v>0</v>
      </c>
      <c r="BC199" s="100">
        <f t="shared" si="79"/>
        <v>0</v>
      </c>
      <c r="BD199" s="100">
        <f t="shared" si="79"/>
        <v>0</v>
      </c>
      <c r="BE199" s="100">
        <f t="shared" si="79"/>
        <v>0</v>
      </c>
      <c r="BF199" s="100">
        <f t="shared" si="79"/>
        <v>0</v>
      </c>
      <c r="BG199" s="100">
        <f t="shared" si="79"/>
        <v>0</v>
      </c>
      <c r="BH199" s="100">
        <f t="shared" si="79"/>
        <v>0</v>
      </c>
      <c r="BI199" s="100">
        <f t="shared" si="79"/>
        <v>0</v>
      </c>
      <c r="BJ199" s="100">
        <f t="shared" si="79"/>
        <v>0</v>
      </c>
      <c r="BK199" s="100">
        <f t="shared" si="79"/>
        <v>0</v>
      </c>
      <c r="BL199" s="100">
        <f t="shared" si="79"/>
        <v>0</v>
      </c>
      <c r="BM199" s="100">
        <f t="shared" si="79"/>
        <v>0</v>
      </c>
      <c r="BN199" s="100">
        <f t="shared" si="79"/>
        <v>0</v>
      </c>
      <c r="BO199" s="100">
        <f t="shared" si="79"/>
        <v>0</v>
      </c>
      <c r="BP199" s="100">
        <f t="shared" si="79"/>
        <v>0</v>
      </c>
      <c r="BQ199" s="100">
        <f t="shared" si="79"/>
        <v>0</v>
      </c>
      <c r="BR199" s="100">
        <f t="shared" si="79"/>
        <v>0</v>
      </c>
      <c r="BS199" s="100">
        <f t="shared" si="79"/>
        <v>0</v>
      </c>
      <c r="BT199" s="100">
        <f t="shared" si="79"/>
        <v>0</v>
      </c>
      <c r="BU199" s="100">
        <f t="shared" si="79"/>
        <v>0</v>
      </c>
      <c r="BV199" s="100">
        <f t="shared" si="79"/>
        <v>0</v>
      </c>
      <c r="BW199" s="100">
        <f t="shared" ref="BW199:CC199" si="80">IF($H$136=0,0,+BW195/$C$136)</f>
        <v>0</v>
      </c>
      <c r="BX199" s="100">
        <f t="shared" si="80"/>
        <v>0</v>
      </c>
      <c r="BY199" s="100">
        <f t="shared" si="80"/>
        <v>0</v>
      </c>
      <c r="BZ199" s="100">
        <f t="shared" si="80"/>
        <v>0</v>
      </c>
      <c r="CA199" s="100">
        <f t="shared" si="80"/>
        <v>0</v>
      </c>
      <c r="CB199" s="100">
        <f t="shared" si="80"/>
        <v>0</v>
      </c>
      <c r="CC199" s="100">
        <f t="shared" si="80"/>
        <v>0</v>
      </c>
    </row>
    <row r="200" spans="2:89" ht="5.0999999999999996" customHeight="1" x14ac:dyDescent="0.2">
      <c r="F200" s="32"/>
      <c r="G200" s="32"/>
      <c r="H200" s="32"/>
      <c r="J200" s="157"/>
      <c r="K200" s="157"/>
      <c r="L200" s="157"/>
      <c r="M200" s="157"/>
      <c r="N200" s="157"/>
      <c r="O200" s="157"/>
      <c r="P200" s="157"/>
      <c r="Q200" s="157"/>
      <c r="R200" s="157"/>
      <c r="S200" s="157"/>
      <c r="T200" s="157"/>
      <c r="U200" s="157"/>
      <c r="V200" s="157"/>
      <c r="W200" s="157"/>
      <c r="X200" s="157"/>
      <c r="Y200" s="157"/>
      <c r="Z200" s="157"/>
      <c r="AA200" s="157"/>
      <c r="AB200" s="157"/>
      <c r="AC200" s="157"/>
      <c r="AD200" s="157"/>
      <c r="AE200" s="157"/>
      <c r="AF200" s="157"/>
      <c r="AG200" s="157"/>
      <c r="AH200" s="157"/>
      <c r="AI200" s="157"/>
      <c r="AJ200" s="157"/>
      <c r="AK200" s="157"/>
      <c r="AL200" s="157"/>
      <c r="AM200" s="157"/>
      <c r="AN200" s="157"/>
      <c r="AO200" s="157"/>
      <c r="AP200" s="157"/>
      <c r="AQ200" s="157"/>
      <c r="AR200" s="157"/>
      <c r="AS200" s="157"/>
      <c r="AT200" s="157"/>
      <c r="AU200" s="157"/>
      <c r="AV200" s="157"/>
      <c r="AW200" s="157"/>
      <c r="AX200" s="157"/>
      <c r="AY200" s="157"/>
      <c r="AZ200" s="157"/>
      <c r="BA200" s="157"/>
      <c r="BB200" s="157"/>
      <c r="BC200" s="157"/>
      <c r="BD200" s="157"/>
      <c r="BE200" s="157"/>
      <c r="BF200" s="157"/>
      <c r="BG200" s="157"/>
      <c r="BH200" s="157"/>
      <c r="BI200" s="157"/>
      <c r="BJ200" s="157"/>
      <c r="BK200" s="157"/>
      <c r="BL200" s="157"/>
      <c r="BM200" s="157"/>
      <c r="BN200" s="157"/>
      <c r="BO200" s="157"/>
      <c r="BP200" s="157"/>
      <c r="BQ200" s="157"/>
      <c r="BR200" s="157"/>
      <c r="BS200" s="157"/>
      <c r="BT200" s="157"/>
      <c r="BU200" s="157"/>
      <c r="BV200" s="157"/>
      <c r="BW200" s="157"/>
      <c r="BX200" s="157"/>
      <c r="BY200" s="157"/>
      <c r="BZ200" s="157"/>
      <c r="CA200" s="157"/>
      <c r="CB200" s="157"/>
      <c r="CC200" s="157"/>
    </row>
    <row r="201" spans="2:89" s="32" customFormat="1" x14ac:dyDescent="0.2">
      <c r="B201" s="83" t="s">
        <v>115</v>
      </c>
      <c r="J201" s="158">
        <f>+J199</f>
        <v>0</v>
      </c>
      <c r="K201" s="158">
        <f t="shared" ref="K201:BV201" si="81">+J201+K199</f>
        <v>0</v>
      </c>
      <c r="L201" s="158">
        <f t="shared" si="81"/>
        <v>0</v>
      </c>
      <c r="M201" s="158">
        <f t="shared" si="81"/>
        <v>0</v>
      </c>
      <c r="N201" s="158">
        <f t="shared" si="81"/>
        <v>0</v>
      </c>
      <c r="O201" s="158">
        <f t="shared" si="81"/>
        <v>0</v>
      </c>
      <c r="P201" s="158">
        <f t="shared" si="81"/>
        <v>0</v>
      </c>
      <c r="Q201" s="158">
        <f t="shared" si="81"/>
        <v>0</v>
      </c>
      <c r="R201" s="158">
        <f t="shared" si="81"/>
        <v>0</v>
      </c>
      <c r="S201" s="158">
        <f t="shared" si="81"/>
        <v>0</v>
      </c>
      <c r="T201" s="158">
        <f t="shared" si="81"/>
        <v>0</v>
      </c>
      <c r="U201" s="158">
        <f t="shared" si="81"/>
        <v>0</v>
      </c>
      <c r="V201" s="158">
        <f t="shared" si="81"/>
        <v>0</v>
      </c>
      <c r="W201" s="158">
        <f t="shared" si="81"/>
        <v>0</v>
      </c>
      <c r="X201" s="158">
        <f t="shared" si="81"/>
        <v>0</v>
      </c>
      <c r="Y201" s="158">
        <f t="shared" si="81"/>
        <v>0</v>
      </c>
      <c r="Z201" s="158">
        <f t="shared" si="81"/>
        <v>0</v>
      </c>
      <c r="AA201" s="158">
        <f t="shared" si="81"/>
        <v>0</v>
      </c>
      <c r="AB201" s="158">
        <f t="shared" si="81"/>
        <v>0</v>
      </c>
      <c r="AC201" s="158">
        <f t="shared" si="81"/>
        <v>0</v>
      </c>
      <c r="AD201" s="158">
        <f t="shared" si="81"/>
        <v>0</v>
      </c>
      <c r="AE201" s="158">
        <f t="shared" si="81"/>
        <v>0</v>
      </c>
      <c r="AF201" s="158">
        <f t="shared" si="81"/>
        <v>0</v>
      </c>
      <c r="AG201" s="158">
        <f t="shared" si="81"/>
        <v>0</v>
      </c>
      <c r="AH201" s="158">
        <f t="shared" si="81"/>
        <v>0</v>
      </c>
      <c r="AI201" s="158">
        <f t="shared" si="81"/>
        <v>0</v>
      </c>
      <c r="AJ201" s="158">
        <f t="shared" si="81"/>
        <v>0</v>
      </c>
      <c r="AK201" s="158">
        <f t="shared" si="81"/>
        <v>0</v>
      </c>
      <c r="AL201" s="158">
        <f t="shared" si="81"/>
        <v>0</v>
      </c>
      <c r="AM201" s="158">
        <f t="shared" si="81"/>
        <v>0</v>
      </c>
      <c r="AN201" s="158">
        <f t="shared" si="81"/>
        <v>0</v>
      </c>
      <c r="AO201" s="158">
        <f t="shared" si="81"/>
        <v>0</v>
      </c>
      <c r="AP201" s="158">
        <f t="shared" si="81"/>
        <v>0</v>
      </c>
      <c r="AQ201" s="158">
        <f t="shared" si="81"/>
        <v>0</v>
      </c>
      <c r="AR201" s="158">
        <f t="shared" si="81"/>
        <v>0</v>
      </c>
      <c r="AS201" s="158">
        <f t="shared" si="81"/>
        <v>0</v>
      </c>
      <c r="AT201" s="158">
        <f t="shared" si="81"/>
        <v>0</v>
      </c>
      <c r="AU201" s="158">
        <f t="shared" si="81"/>
        <v>0</v>
      </c>
      <c r="AV201" s="158">
        <f t="shared" si="81"/>
        <v>0</v>
      </c>
      <c r="AW201" s="158">
        <f t="shared" si="81"/>
        <v>0</v>
      </c>
      <c r="AX201" s="158">
        <f t="shared" si="81"/>
        <v>0</v>
      </c>
      <c r="AY201" s="158">
        <f t="shared" si="81"/>
        <v>0</v>
      </c>
      <c r="AZ201" s="158">
        <f t="shared" si="81"/>
        <v>0</v>
      </c>
      <c r="BA201" s="158">
        <f t="shared" si="81"/>
        <v>0</v>
      </c>
      <c r="BB201" s="158">
        <f t="shared" si="81"/>
        <v>0</v>
      </c>
      <c r="BC201" s="158">
        <f t="shared" si="81"/>
        <v>0</v>
      </c>
      <c r="BD201" s="158">
        <f t="shared" si="81"/>
        <v>0</v>
      </c>
      <c r="BE201" s="158">
        <f t="shared" si="81"/>
        <v>0</v>
      </c>
      <c r="BF201" s="158">
        <f t="shared" si="81"/>
        <v>0</v>
      </c>
      <c r="BG201" s="158">
        <f t="shared" si="81"/>
        <v>0</v>
      </c>
      <c r="BH201" s="158">
        <f t="shared" si="81"/>
        <v>0</v>
      </c>
      <c r="BI201" s="158">
        <f t="shared" si="81"/>
        <v>0</v>
      </c>
      <c r="BJ201" s="158">
        <f t="shared" si="81"/>
        <v>0</v>
      </c>
      <c r="BK201" s="158">
        <f t="shared" si="81"/>
        <v>0</v>
      </c>
      <c r="BL201" s="158">
        <f t="shared" si="81"/>
        <v>0</v>
      </c>
      <c r="BM201" s="158">
        <f t="shared" si="81"/>
        <v>0</v>
      </c>
      <c r="BN201" s="158">
        <f t="shared" si="81"/>
        <v>0</v>
      </c>
      <c r="BO201" s="158">
        <f t="shared" si="81"/>
        <v>0</v>
      </c>
      <c r="BP201" s="158">
        <f t="shared" si="81"/>
        <v>0</v>
      </c>
      <c r="BQ201" s="158">
        <f t="shared" si="81"/>
        <v>0</v>
      </c>
      <c r="BR201" s="158">
        <f t="shared" si="81"/>
        <v>0</v>
      </c>
      <c r="BS201" s="158">
        <f t="shared" si="81"/>
        <v>0</v>
      </c>
      <c r="BT201" s="158">
        <f t="shared" si="81"/>
        <v>0</v>
      </c>
      <c r="BU201" s="158">
        <f t="shared" si="81"/>
        <v>0</v>
      </c>
      <c r="BV201" s="158">
        <f t="shared" si="81"/>
        <v>0</v>
      </c>
      <c r="BW201" s="158">
        <f t="shared" ref="BW201:CC201" si="82">+BV201+BW199</f>
        <v>0</v>
      </c>
      <c r="BX201" s="158">
        <f t="shared" si="82"/>
        <v>0</v>
      </c>
      <c r="BY201" s="158">
        <f t="shared" si="82"/>
        <v>0</v>
      </c>
      <c r="BZ201" s="158">
        <f t="shared" si="82"/>
        <v>0</v>
      </c>
      <c r="CA201" s="158">
        <f t="shared" si="82"/>
        <v>0</v>
      </c>
      <c r="CB201" s="158">
        <f t="shared" si="82"/>
        <v>0</v>
      </c>
      <c r="CC201" s="158">
        <f t="shared" si="82"/>
        <v>0</v>
      </c>
    </row>
    <row r="202" spans="2:89" ht="5.0999999999999996" customHeight="1" x14ac:dyDescent="0.2"/>
    <row r="203" spans="2:89" s="17" customFormat="1" ht="15" hidden="1" customHeight="1" x14ac:dyDescent="0.2">
      <c r="B203" s="17" t="s">
        <v>126</v>
      </c>
      <c r="H203" s="138">
        <f>SUM(J203:CC203)</f>
        <v>0</v>
      </c>
      <c r="J203" s="159">
        <f>IF(J150/F150&lt;=1,+J195,+J195/J264*$F$264)</f>
        <v>0</v>
      </c>
      <c r="K203" s="159">
        <f t="shared" ref="K203:BV203" si="83">IF(K150/J150&lt;=1,+K195,+K195/K264*$F$264)</f>
        <v>0</v>
      </c>
      <c r="L203" s="159">
        <f t="shared" si="83"/>
        <v>0</v>
      </c>
      <c r="M203" s="159">
        <f t="shared" si="83"/>
        <v>0</v>
      </c>
      <c r="N203" s="159">
        <f t="shared" si="83"/>
        <v>0</v>
      </c>
      <c r="O203" s="159">
        <f t="shared" si="83"/>
        <v>0</v>
      </c>
      <c r="P203" s="159">
        <f t="shared" si="83"/>
        <v>0</v>
      </c>
      <c r="Q203" s="159">
        <f t="shared" si="83"/>
        <v>0</v>
      </c>
      <c r="R203" s="159">
        <f t="shared" si="83"/>
        <v>0</v>
      </c>
      <c r="S203" s="159">
        <f t="shared" si="83"/>
        <v>0</v>
      </c>
      <c r="T203" s="159">
        <f t="shared" si="83"/>
        <v>0</v>
      </c>
      <c r="U203" s="159">
        <f t="shared" si="83"/>
        <v>0</v>
      </c>
      <c r="V203" s="159">
        <f t="shared" si="83"/>
        <v>0</v>
      </c>
      <c r="W203" s="159">
        <f t="shared" si="83"/>
        <v>0</v>
      </c>
      <c r="X203" s="159">
        <f t="shared" si="83"/>
        <v>0</v>
      </c>
      <c r="Y203" s="159">
        <f t="shared" si="83"/>
        <v>0</v>
      </c>
      <c r="Z203" s="159">
        <f t="shared" si="83"/>
        <v>0</v>
      </c>
      <c r="AA203" s="159">
        <f t="shared" si="83"/>
        <v>0</v>
      </c>
      <c r="AB203" s="159">
        <f t="shared" si="83"/>
        <v>0</v>
      </c>
      <c r="AC203" s="159">
        <f t="shared" si="83"/>
        <v>0</v>
      </c>
      <c r="AD203" s="159">
        <f t="shared" si="83"/>
        <v>0</v>
      </c>
      <c r="AE203" s="159">
        <f t="shared" si="83"/>
        <v>0</v>
      </c>
      <c r="AF203" s="159">
        <f t="shared" si="83"/>
        <v>0</v>
      </c>
      <c r="AG203" s="159">
        <f t="shared" si="83"/>
        <v>0</v>
      </c>
      <c r="AH203" s="159">
        <f t="shared" si="83"/>
        <v>0</v>
      </c>
      <c r="AI203" s="159">
        <f t="shared" si="83"/>
        <v>0</v>
      </c>
      <c r="AJ203" s="159">
        <f t="shared" si="83"/>
        <v>0</v>
      </c>
      <c r="AK203" s="159">
        <f t="shared" si="83"/>
        <v>0</v>
      </c>
      <c r="AL203" s="159">
        <f t="shared" si="83"/>
        <v>0</v>
      </c>
      <c r="AM203" s="159">
        <f t="shared" si="83"/>
        <v>0</v>
      </c>
      <c r="AN203" s="159">
        <f t="shared" si="83"/>
        <v>0</v>
      </c>
      <c r="AO203" s="159">
        <f t="shared" si="83"/>
        <v>0</v>
      </c>
      <c r="AP203" s="159">
        <f t="shared" si="83"/>
        <v>0</v>
      </c>
      <c r="AQ203" s="159">
        <f t="shared" si="83"/>
        <v>0</v>
      </c>
      <c r="AR203" s="159">
        <f t="shared" si="83"/>
        <v>0</v>
      </c>
      <c r="AS203" s="159">
        <f t="shared" si="83"/>
        <v>0</v>
      </c>
      <c r="AT203" s="159">
        <f t="shared" si="83"/>
        <v>0</v>
      </c>
      <c r="AU203" s="159">
        <f t="shared" si="83"/>
        <v>0</v>
      </c>
      <c r="AV203" s="159">
        <f t="shared" si="83"/>
        <v>0</v>
      </c>
      <c r="AW203" s="159">
        <f t="shared" si="83"/>
        <v>0</v>
      </c>
      <c r="AX203" s="159">
        <f t="shared" si="83"/>
        <v>0</v>
      </c>
      <c r="AY203" s="159">
        <f t="shared" si="83"/>
        <v>0</v>
      </c>
      <c r="AZ203" s="159">
        <f t="shared" si="83"/>
        <v>0</v>
      </c>
      <c r="BA203" s="159">
        <f t="shared" si="83"/>
        <v>0</v>
      </c>
      <c r="BB203" s="159">
        <f t="shared" si="83"/>
        <v>0</v>
      </c>
      <c r="BC203" s="159">
        <f t="shared" si="83"/>
        <v>0</v>
      </c>
      <c r="BD203" s="159">
        <f t="shared" si="83"/>
        <v>0</v>
      </c>
      <c r="BE203" s="159">
        <f t="shared" si="83"/>
        <v>0</v>
      </c>
      <c r="BF203" s="159">
        <f t="shared" si="83"/>
        <v>0</v>
      </c>
      <c r="BG203" s="159">
        <f t="shared" si="83"/>
        <v>0</v>
      </c>
      <c r="BH203" s="159">
        <f t="shared" si="83"/>
        <v>0</v>
      </c>
      <c r="BI203" s="159">
        <f t="shared" si="83"/>
        <v>0</v>
      </c>
      <c r="BJ203" s="159">
        <f t="shared" si="83"/>
        <v>0</v>
      </c>
      <c r="BK203" s="159">
        <f t="shared" si="83"/>
        <v>0</v>
      </c>
      <c r="BL203" s="159">
        <f t="shared" si="83"/>
        <v>0</v>
      </c>
      <c r="BM203" s="159">
        <f t="shared" si="83"/>
        <v>0</v>
      </c>
      <c r="BN203" s="159">
        <f t="shared" si="83"/>
        <v>0</v>
      </c>
      <c r="BO203" s="159">
        <f t="shared" si="83"/>
        <v>0</v>
      </c>
      <c r="BP203" s="159">
        <f t="shared" si="83"/>
        <v>0</v>
      </c>
      <c r="BQ203" s="159">
        <f t="shared" si="83"/>
        <v>0</v>
      </c>
      <c r="BR203" s="159">
        <f t="shared" si="83"/>
        <v>0</v>
      </c>
      <c r="BS203" s="159">
        <f t="shared" si="83"/>
        <v>0</v>
      </c>
      <c r="BT203" s="159">
        <f t="shared" si="83"/>
        <v>0</v>
      </c>
      <c r="BU203" s="159">
        <f t="shared" si="83"/>
        <v>0</v>
      </c>
      <c r="BV203" s="159">
        <f t="shared" si="83"/>
        <v>0</v>
      </c>
      <c r="BW203" s="159">
        <f t="shared" ref="BW203:CC203" si="84">IF(BW150/BV150&lt;=1,+BW195,+BW195/BW264*$F$264)</f>
        <v>0</v>
      </c>
      <c r="BX203" s="159">
        <f t="shared" si="84"/>
        <v>0</v>
      </c>
      <c r="BY203" s="159">
        <f t="shared" si="84"/>
        <v>0</v>
      </c>
      <c r="BZ203" s="159">
        <f t="shared" si="84"/>
        <v>0</v>
      </c>
      <c r="CA203" s="159">
        <f t="shared" si="84"/>
        <v>0</v>
      </c>
      <c r="CB203" s="159">
        <f t="shared" si="84"/>
        <v>0</v>
      </c>
      <c r="CC203" s="159">
        <f t="shared" si="84"/>
        <v>0</v>
      </c>
      <c r="CI203" s="135"/>
      <c r="CJ203" s="135"/>
    </row>
    <row r="204" spans="2:89" ht="5.0999999999999996" hidden="1" customHeight="1" x14ac:dyDescent="0.2">
      <c r="CI204" s="23"/>
      <c r="CJ204" s="23"/>
    </row>
    <row r="205" spans="2:89" x14ac:dyDescent="0.2">
      <c r="B205" s="75" t="s">
        <v>280</v>
      </c>
      <c r="C205" s="67"/>
      <c r="D205" s="67"/>
      <c r="E205" s="67"/>
      <c r="F205" s="67"/>
      <c r="G205" s="67"/>
      <c r="H205" s="67"/>
      <c r="I205" s="67"/>
      <c r="J205" s="67"/>
      <c r="K205" s="67"/>
      <c r="L205" s="67"/>
      <c r="M205" s="67"/>
      <c r="N205" s="67"/>
      <c r="O205" s="67"/>
      <c r="P205" s="67"/>
      <c r="Q205" s="121"/>
      <c r="R205" s="67"/>
      <c r="S205" s="67"/>
      <c r="T205" s="67"/>
      <c r="U205" s="67"/>
      <c r="V205" s="67"/>
      <c r="W205" s="67"/>
      <c r="X205" s="67"/>
      <c r="Y205" s="67"/>
      <c r="Z205" s="67"/>
      <c r="AA205" s="67"/>
      <c r="AB205" s="67"/>
      <c r="AC205" s="67"/>
      <c r="AD205" s="67"/>
      <c r="AE205" s="67"/>
      <c r="AF205" s="67"/>
      <c r="AG205" s="67"/>
      <c r="AH205" s="67"/>
      <c r="AI205" s="67"/>
      <c r="AJ205" s="67"/>
      <c r="AK205" s="67"/>
      <c r="AL205" s="67"/>
      <c r="AM205" s="67"/>
      <c r="AN205" s="67"/>
      <c r="AO205" s="67"/>
      <c r="AP205" s="67"/>
      <c r="AQ205" s="67"/>
      <c r="AR205" s="67"/>
      <c r="AS205" s="67"/>
      <c r="AT205" s="67"/>
      <c r="AU205" s="67"/>
      <c r="AV205" s="67"/>
      <c r="AW205" s="67"/>
      <c r="AX205" s="67"/>
      <c r="AY205" s="67"/>
      <c r="AZ205" s="67"/>
      <c r="BA205" s="67"/>
      <c r="BB205" s="67"/>
      <c r="BC205" s="67"/>
      <c r="BD205" s="67"/>
      <c r="BE205" s="67"/>
      <c r="BF205" s="67"/>
      <c r="BG205" s="67"/>
      <c r="BH205" s="67"/>
      <c r="BI205" s="67"/>
      <c r="BJ205" s="67"/>
      <c r="BK205" s="67"/>
      <c r="BL205" s="67"/>
      <c r="BM205" s="67"/>
      <c r="BN205" s="67"/>
      <c r="BO205" s="67"/>
      <c r="BP205" s="67"/>
      <c r="BQ205" s="67"/>
      <c r="BR205" s="67"/>
      <c r="BS205" s="67"/>
      <c r="BT205" s="67"/>
      <c r="BU205" s="67"/>
      <c r="BV205" s="67"/>
      <c r="BW205" s="67"/>
      <c r="BX205" s="67"/>
      <c r="BY205" s="67"/>
      <c r="BZ205" s="67"/>
      <c r="CA205" s="67"/>
      <c r="CB205" s="67"/>
      <c r="CC205" s="67"/>
      <c r="CI205" s="134"/>
      <c r="CJ205" s="23"/>
      <c r="CK205" s="134"/>
    </row>
    <row r="206" spans="2:89" ht="5.0999999999999996" customHeight="1" x14ac:dyDescent="0.2">
      <c r="H206" s="32"/>
    </row>
    <row r="207" spans="2:89" s="32" customFormat="1" ht="53.1" customHeight="1" x14ac:dyDescent="0.2">
      <c r="B207" s="713" t="s">
        <v>128</v>
      </c>
      <c r="C207" s="714"/>
      <c r="D207" s="714"/>
      <c r="E207" s="714"/>
      <c r="F207" s="715"/>
      <c r="H207" s="83" t="s">
        <v>281</v>
      </c>
      <c r="J207" s="106" t="e">
        <f>+J186</f>
        <v>#N/A</v>
      </c>
      <c r="K207" s="106" t="e">
        <f t="shared" ref="K207:BV207" si="85">+K186</f>
        <v>#N/A</v>
      </c>
      <c r="L207" s="106" t="e">
        <f t="shared" si="85"/>
        <v>#N/A</v>
      </c>
      <c r="M207" s="106" t="e">
        <f t="shared" si="85"/>
        <v>#N/A</v>
      </c>
      <c r="N207" s="106" t="e">
        <f t="shared" si="85"/>
        <v>#N/A</v>
      </c>
      <c r="O207" s="106" t="e">
        <f t="shared" si="85"/>
        <v>#N/A</v>
      </c>
      <c r="P207" s="106" t="e">
        <f t="shared" si="85"/>
        <v>#N/A</v>
      </c>
      <c r="Q207" s="106" t="e">
        <f t="shared" si="85"/>
        <v>#N/A</v>
      </c>
      <c r="R207" s="106" t="e">
        <f t="shared" si="85"/>
        <v>#N/A</v>
      </c>
      <c r="S207" s="106" t="e">
        <f t="shared" si="85"/>
        <v>#N/A</v>
      </c>
      <c r="T207" s="106" t="e">
        <f t="shared" si="85"/>
        <v>#N/A</v>
      </c>
      <c r="U207" s="106" t="e">
        <f t="shared" si="85"/>
        <v>#N/A</v>
      </c>
      <c r="V207" s="106" t="e">
        <f t="shared" si="85"/>
        <v>#N/A</v>
      </c>
      <c r="W207" s="106" t="e">
        <f t="shared" si="85"/>
        <v>#N/A</v>
      </c>
      <c r="X207" s="106" t="e">
        <f t="shared" si="85"/>
        <v>#N/A</v>
      </c>
      <c r="Y207" s="106" t="e">
        <f t="shared" si="85"/>
        <v>#N/A</v>
      </c>
      <c r="Z207" s="106" t="e">
        <f t="shared" si="85"/>
        <v>#N/A</v>
      </c>
      <c r="AA207" s="106" t="e">
        <f t="shared" si="85"/>
        <v>#N/A</v>
      </c>
      <c r="AB207" s="106" t="e">
        <f t="shared" si="85"/>
        <v>#N/A</v>
      </c>
      <c r="AC207" s="106" t="e">
        <f t="shared" si="85"/>
        <v>#N/A</v>
      </c>
      <c r="AD207" s="106" t="e">
        <f t="shared" si="85"/>
        <v>#N/A</v>
      </c>
      <c r="AE207" s="106" t="e">
        <f t="shared" si="85"/>
        <v>#N/A</v>
      </c>
      <c r="AF207" s="106" t="e">
        <f t="shared" si="85"/>
        <v>#N/A</v>
      </c>
      <c r="AG207" s="106" t="e">
        <f t="shared" si="85"/>
        <v>#N/A</v>
      </c>
      <c r="AH207" s="106" t="e">
        <f t="shared" si="85"/>
        <v>#N/A</v>
      </c>
      <c r="AI207" s="106" t="e">
        <f t="shared" si="85"/>
        <v>#N/A</v>
      </c>
      <c r="AJ207" s="106" t="e">
        <f t="shared" si="85"/>
        <v>#N/A</v>
      </c>
      <c r="AK207" s="106" t="e">
        <f t="shared" si="85"/>
        <v>#N/A</v>
      </c>
      <c r="AL207" s="106" t="e">
        <f t="shared" si="85"/>
        <v>#N/A</v>
      </c>
      <c r="AM207" s="106" t="e">
        <f t="shared" si="85"/>
        <v>#N/A</v>
      </c>
      <c r="AN207" s="106" t="e">
        <f t="shared" si="85"/>
        <v>#N/A</v>
      </c>
      <c r="AO207" s="106" t="e">
        <f t="shared" si="85"/>
        <v>#N/A</v>
      </c>
      <c r="AP207" s="106" t="e">
        <f t="shared" si="85"/>
        <v>#N/A</v>
      </c>
      <c r="AQ207" s="106" t="e">
        <f t="shared" si="85"/>
        <v>#N/A</v>
      </c>
      <c r="AR207" s="106" t="e">
        <f t="shared" si="85"/>
        <v>#N/A</v>
      </c>
      <c r="AS207" s="106" t="e">
        <f t="shared" si="85"/>
        <v>#N/A</v>
      </c>
      <c r="AT207" s="106" t="e">
        <f t="shared" si="85"/>
        <v>#N/A</v>
      </c>
      <c r="AU207" s="106" t="e">
        <f t="shared" si="85"/>
        <v>#N/A</v>
      </c>
      <c r="AV207" s="106" t="e">
        <f t="shared" si="85"/>
        <v>#N/A</v>
      </c>
      <c r="AW207" s="106" t="e">
        <f t="shared" si="85"/>
        <v>#N/A</v>
      </c>
      <c r="AX207" s="106" t="e">
        <f t="shared" si="85"/>
        <v>#N/A</v>
      </c>
      <c r="AY207" s="106" t="e">
        <f t="shared" si="85"/>
        <v>#N/A</v>
      </c>
      <c r="AZ207" s="106" t="e">
        <f t="shared" si="85"/>
        <v>#N/A</v>
      </c>
      <c r="BA207" s="106" t="e">
        <f t="shared" si="85"/>
        <v>#N/A</v>
      </c>
      <c r="BB207" s="106" t="e">
        <f t="shared" si="85"/>
        <v>#N/A</v>
      </c>
      <c r="BC207" s="106" t="e">
        <f t="shared" si="85"/>
        <v>#N/A</v>
      </c>
      <c r="BD207" s="106" t="e">
        <f t="shared" si="85"/>
        <v>#N/A</v>
      </c>
      <c r="BE207" s="106" t="e">
        <f t="shared" si="85"/>
        <v>#N/A</v>
      </c>
      <c r="BF207" s="106" t="e">
        <f t="shared" si="85"/>
        <v>#N/A</v>
      </c>
      <c r="BG207" s="106" t="e">
        <f t="shared" si="85"/>
        <v>#N/A</v>
      </c>
      <c r="BH207" s="106" t="e">
        <f t="shared" si="85"/>
        <v>#N/A</v>
      </c>
      <c r="BI207" s="106" t="e">
        <f t="shared" si="85"/>
        <v>#N/A</v>
      </c>
      <c r="BJ207" s="106" t="e">
        <f t="shared" si="85"/>
        <v>#N/A</v>
      </c>
      <c r="BK207" s="106" t="e">
        <f t="shared" si="85"/>
        <v>#N/A</v>
      </c>
      <c r="BL207" s="106" t="e">
        <f t="shared" si="85"/>
        <v>#N/A</v>
      </c>
      <c r="BM207" s="106" t="e">
        <f t="shared" si="85"/>
        <v>#N/A</v>
      </c>
      <c r="BN207" s="106" t="e">
        <f t="shared" si="85"/>
        <v>#N/A</v>
      </c>
      <c r="BO207" s="106" t="e">
        <f t="shared" si="85"/>
        <v>#N/A</v>
      </c>
      <c r="BP207" s="106" t="e">
        <f t="shared" si="85"/>
        <v>#N/A</v>
      </c>
      <c r="BQ207" s="106" t="e">
        <f t="shared" si="85"/>
        <v>#N/A</v>
      </c>
      <c r="BR207" s="106" t="e">
        <f t="shared" si="85"/>
        <v>#N/A</v>
      </c>
      <c r="BS207" s="106" t="e">
        <f t="shared" si="85"/>
        <v>#N/A</v>
      </c>
      <c r="BT207" s="106" t="e">
        <f t="shared" si="85"/>
        <v>#N/A</v>
      </c>
      <c r="BU207" s="106" t="e">
        <f t="shared" si="85"/>
        <v>#N/A</v>
      </c>
      <c r="BV207" s="106" t="e">
        <f t="shared" si="85"/>
        <v>#N/A</v>
      </c>
      <c r="BW207" s="106" t="e">
        <f t="shared" ref="BW207:CC207" si="86">+BW186</f>
        <v>#N/A</v>
      </c>
      <c r="BX207" s="106" t="e">
        <f t="shared" si="86"/>
        <v>#N/A</v>
      </c>
      <c r="BY207" s="106" t="e">
        <f t="shared" si="86"/>
        <v>#N/A</v>
      </c>
      <c r="BZ207" s="106" t="e">
        <f t="shared" si="86"/>
        <v>#N/A</v>
      </c>
      <c r="CA207" s="106" t="e">
        <f t="shared" si="86"/>
        <v>#N/A</v>
      </c>
      <c r="CB207" s="106" t="e">
        <f t="shared" si="86"/>
        <v>#N/A</v>
      </c>
      <c r="CC207" s="106" t="e">
        <f t="shared" si="86"/>
        <v>#N/A</v>
      </c>
    </row>
    <row r="208" spans="2:89" s="32" customFormat="1" ht="5.0999999999999996" customHeight="1" x14ac:dyDescent="0.2"/>
    <row r="209" spans="2:89" s="32" customFormat="1" ht="24.95" customHeight="1" x14ac:dyDescent="0.2">
      <c r="B209" s="628" t="s">
        <v>129</v>
      </c>
      <c r="C209" s="629"/>
      <c r="D209" s="629"/>
      <c r="E209" s="629"/>
      <c r="F209" s="630"/>
      <c r="H209" s="139">
        <f>SUM(J209:AG209)</f>
        <v>0</v>
      </c>
      <c r="J209" s="115">
        <f>+J174</f>
        <v>0</v>
      </c>
      <c r="K209" s="115">
        <f t="shared" ref="K209:BV209" si="87">+K174</f>
        <v>0</v>
      </c>
      <c r="L209" s="115">
        <f t="shared" si="87"/>
        <v>0</v>
      </c>
      <c r="M209" s="115">
        <f t="shared" si="87"/>
        <v>0</v>
      </c>
      <c r="N209" s="115">
        <f t="shared" si="87"/>
        <v>0</v>
      </c>
      <c r="O209" s="115">
        <f t="shared" si="87"/>
        <v>0</v>
      </c>
      <c r="P209" s="115">
        <f t="shared" si="87"/>
        <v>0</v>
      </c>
      <c r="Q209" s="115">
        <f t="shared" si="87"/>
        <v>0</v>
      </c>
      <c r="R209" s="115">
        <f t="shared" si="87"/>
        <v>0</v>
      </c>
      <c r="S209" s="115">
        <f t="shared" si="87"/>
        <v>0</v>
      </c>
      <c r="T209" s="115">
        <f t="shared" si="87"/>
        <v>0</v>
      </c>
      <c r="U209" s="115">
        <f t="shared" si="87"/>
        <v>0</v>
      </c>
      <c r="V209" s="115">
        <f t="shared" si="87"/>
        <v>0</v>
      </c>
      <c r="W209" s="115">
        <f t="shared" si="87"/>
        <v>0</v>
      </c>
      <c r="X209" s="115">
        <f t="shared" si="87"/>
        <v>0</v>
      </c>
      <c r="Y209" s="115">
        <f t="shared" si="87"/>
        <v>0</v>
      </c>
      <c r="Z209" s="115">
        <f t="shared" si="87"/>
        <v>0</v>
      </c>
      <c r="AA209" s="115">
        <f t="shared" si="87"/>
        <v>0</v>
      </c>
      <c r="AB209" s="115">
        <f t="shared" si="87"/>
        <v>0</v>
      </c>
      <c r="AC209" s="115">
        <f t="shared" si="87"/>
        <v>0</v>
      </c>
      <c r="AD209" s="115">
        <f t="shared" si="87"/>
        <v>0</v>
      </c>
      <c r="AE209" s="115">
        <f t="shared" si="87"/>
        <v>0</v>
      </c>
      <c r="AF209" s="115">
        <f t="shared" si="87"/>
        <v>0</v>
      </c>
      <c r="AG209" s="115">
        <f t="shared" si="87"/>
        <v>0</v>
      </c>
      <c r="AH209" s="115">
        <f t="shared" si="87"/>
        <v>0</v>
      </c>
      <c r="AI209" s="115">
        <f t="shared" si="87"/>
        <v>0</v>
      </c>
      <c r="AJ209" s="115">
        <f t="shared" si="87"/>
        <v>0</v>
      </c>
      <c r="AK209" s="115">
        <f t="shared" si="87"/>
        <v>0</v>
      </c>
      <c r="AL209" s="115">
        <f t="shared" si="87"/>
        <v>0</v>
      </c>
      <c r="AM209" s="115">
        <f t="shared" si="87"/>
        <v>0</v>
      </c>
      <c r="AN209" s="115">
        <f t="shared" si="87"/>
        <v>0</v>
      </c>
      <c r="AO209" s="115">
        <f t="shared" si="87"/>
        <v>0</v>
      </c>
      <c r="AP209" s="115">
        <f t="shared" si="87"/>
        <v>0</v>
      </c>
      <c r="AQ209" s="115">
        <f t="shared" si="87"/>
        <v>0</v>
      </c>
      <c r="AR209" s="115">
        <f t="shared" si="87"/>
        <v>0</v>
      </c>
      <c r="AS209" s="115">
        <f t="shared" si="87"/>
        <v>0</v>
      </c>
      <c r="AT209" s="115">
        <f t="shared" si="87"/>
        <v>0</v>
      </c>
      <c r="AU209" s="115">
        <f t="shared" si="87"/>
        <v>0</v>
      </c>
      <c r="AV209" s="115">
        <f t="shared" si="87"/>
        <v>0</v>
      </c>
      <c r="AW209" s="115">
        <f t="shared" si="87"/>
        <v>0</v>
      </c>
      <c r="AX209" s="115">
        <f t="shared" si="87"/>
        <v>0</v>
      </c>
      <c r="AY209" s="115">
        <f t="shared" si="87"/>
        <v>0</v>
      </c>
      <c r="AZ209" s="115">
        <f t="shared" si="87"/>
        <v>0</v>
      </c>
      <c r="BA209" s="115">
        <f t="shared" si="87"/>
        <v>0</v>
      </c>
      <c r="BB209" s="115">
        <f t="shared" si="87"/>
        <v>0</v>
      </c>
      <c r="BC209" s="115">
        <f t="shared" si="87"/>
        <v>0</v>
      </c>
      <c r="BD209" s="115">
        <f t="shared" si="87"/>
        <v>0</v>
      </c>
      <c r="BE209" s="115">
        <f t="shared" si="87"/>
        <v>0</v>
      </c>
      <c r="BF209" s="115">
        <f t="shared" si="87"/>
        <v>0</v>
      </c>
      <c r="BG209" s="115">
        <f t="shared" si="87"/>
        <v>0</v>
      </c>
      <c r="BH209" s="115">
        <f t="shared" si="87"/>
        <v>0</v>
      </c>
      <c r="BI209" s="115">
        <f t="shared" si="87"/>
        <v>0</v>
      </c>
      <c r="BJ209" s="115">
        <f t="shared" si="87"/>
        <v>0</v>
      </c>
      <c r="BK209" s="115">
        <f t="shared" si="87"/>
        <v>0</v>
      </c>
      <c r="BL209" s="115">
        <f t="shared" si="87"/>
        <v>0</v>
      </c>
      <c r="BM209" s="115">
        <f t="shared" si="87"/>
        <v>0</v>
      </c>
      <c r="BN209" s="115">
        <f t="shared" si="87"/>
        <v>0</v>
      </c>
      <c r="BO209" s="115">
        <f t="shared" si="87"/>
        <v>0</v>
      </c>
      <c r="BP209" s="115">
        <f t="shared" si="87"/>
        <v>0</v>
      </c>
      <c r="BQ209" s="115">
        <f t="shared" si="87"/>
        <v>0</v>
      </c>
      <c r="BR209" s="115">
        <f t="shared" si="87"/>
        <v>0</v>
      </c>
      <c r="BS209" s="115">
        <f t="shared" si="87"/>
        <v>0</v>
      </c>
      <c r="BT209" s="115">
        <f t="shared" si="87"/>
        <v>0</v>
      </c>
      <c r="BU209" s="115">
        <f t="shared" si="87"/>
        <v>0</v>
      </c>
      <c r="BV209" s="115">
        <f t="shared" si="87"/>
        <v>0</v>
      </c>
      <c r="BW209" s="115">
        <f t="shared" ref="BW209:CC209" si="88">+BW174</f>
        <v>0</v>
      </c>
      <c r="BX209" s="115">
        <f t="shared" si="88"/>
        <v>0</v>
      </c>
      <c r="BY209" s="115">
        <f t="shared" si="88"/>
        <v>0</v>
      </c>
      <c r="BZ209" s="115">
        <f t="shared" si="88"/>
        <v>0</v>
      </c>
      <c r="CA209" s="115">
        <f t="shared" si="88"/>
        <v>0</v>
      </c>
      <c r="CB209" s="115">
        <f t="shared" si="88"/>
        <v>0</v>
      </c>
      <c r="CC209" s="115">
        <f t="shared" si="88"/>
        <v>0</v>
      </c>
    </row>
    <row r="210" spans="2:89" ht="5.0999999999999996" customHeight="1" x14ac:dyDescent="0.2">
      <c r="F210" s="32"/>
      <c r="G210" s="32"/>
      <c r="H210" s="32"/>
      <c r="I210" s="32"/>
      <c r="J210" s="113"/>
      <c r="K210" s="113"/>
      <c r="L210" s="113"/>
      <c r="M210" s="113"/>
      <c r="N210" s="113"/>
      <c r="O210" s="113"/>
      <c r="P210" s="113"/>
      <c r="Q210" s="113"/>
      <c r="R210" s="113"/>
      <c r="S210" s="113"/>
      <c r="T210" s="113"/>
      <c r="U210" s="113"/>
      <c r="V210" s="113"/>
      <c r="W210" s="113"/>
      <c r="X210" s="113"/>
      <c r="Y210" s="113"/>
      <c r="Z210" s="113"/>
      <c r="AA210" s="113"/>
      <c r="AB210" s="113"/>
      <c r="AC210" s="113"/>
      <c r="AD210" s="113"/>
      <c r="AE210" s="113"/>
      <c r="AF210" s="113"/>
      <c r="AG210" s="113"/>
      <c r="AH210" s="113"/>
      <c r="AI210" s="113"/>
      <c r="AJ210" s="113"/>
      <c r="AK210" s="113"/>
      <c r="AL210" s="113"/>
      <c r="AM210" s="113"/>
      <c r="AN210" s="113"/>
      <c r="AO210" s="113"/>
      <c r="AP210" s="113"/>
      <c r="AQ210" s="113"/>
      <c r="AR210" s="113"/>
      <c r="AS210" s="113"/>
      <c r="AT210" s="113"/>
      <c r="AU210" s="113"/>
      <c r="AV210" s="113"/>
      <c r="AW210" s="113"/>
      <c r="AX210" s="113"/>
      <c r="AY210" s="113"/>
      <c r="AZ210" s="113"/>
      <c r="BA210" s="113"/>
      <c r="BB210" s="113"/>
      <c r="BC210" s="113"/>
      <c r="BD210" s="113"/>
      <c r="BE210" s="113"/>
      <c r="BF210" s="113"/>
      <c r="BG210" s="113"/>
      <c r="BH210" s="113"/>
      <c r="BI210" s="113"/>
      <c r="BJ210" s="113"/>
      <c r="BK210" s="113"/>
      <c r="BL210" s="113"/>
      <c r="BM210" s="113"/>
      <c r="BN210" s="113"/>
      <c r="BO210" s="113"/>
      <c r="BP210" s="113"/>
      <c r="BQ210" s="113"/>
      <c r="BR210" s="113"/>
      <c r="BS210" s="113"/>
      <c r="BT210" s="113"/>
      <c r="BU210" s="113"/>
      <c r="BV210" s="113"/>
      <c r="BW210" s="113"/>
      <c r="BX210" s="113"/>
      <c r="BY210" s="113"/>
      <c r="BZ210" s="113"/>
      <c r="CA210" s="113"/>
      <c r="CB210" s="113"/>
      <c r="CC210" s="113"/>
    </row>
    <row r="211" spans="2:89" s="32" customFormat="1" ht="24.95" customHeight="1" x14ac:dyDescent="0.2">
      <c r="B211" s="716" t="s">
        <v>130</v>
      </c>
      <c r="C211" s="717"/>
      <c r="D211" s="717"/>
      <c r="E211" s="717"/>
      <c r="F211" s="718"/>
      <c r="H211" s="115">
        <f>SUM(J211:AG211)</f>
        <v>0</v>
      </c>
      <c r="I211" s="156"/>
      <c r="J211" s="115">
        <f>+J195</f>
        <v>0</v>
      </c>
      <c r="K211" s="115">
        <f t="shared" ref="K211:BV211" si="89">+K195</f>
        <v>0</v>
      </c>
      <c r="L211" s="115">
        <f t="shared" si="89"/>
        <v>0</v>
      </c>
      <c r="M211" s="115">
        <f t="shared" si="89"/>
        <v>0</v>
      </c>
      <c r="N211" s="115">
        <f t="shared" si="89"/>
        <v>0</v>
      </c>
      <c r="O211" s="115">
        <f t="shared" si="89"/>
        <v>0</v>
      </c>
      <c r="P211" s="115">
        <f t="shared" si="89"/>
        <v>0</v>
      </c>
      <c r="Q211" s="115">
        <f t="shared" si="89"/>
        <v>0</v>
      </c>
      <c r="R211" s="115">
        <f t="shared" si="89"/>
        <v>0</v>
      </c>
      <c r="S211" s="115">
        <f t="shared" si="89"/>
        <v>0</v>
      </c>
      <c r="T211" s="115">
        <f t="shared" si="89"/>
        <v>0</v>
      </c>
      <c r="U211" s="115">
        <f t="shared" si="89"/>
        <v>0</v>
      </c>
      <c r="V211" s="115">
        <f t="shared" si="89"/>
        <v>0</v>
      </c>
      <c r="W211" s="115">
        <f t="shared" si="89"/>
        <v>0</v>
      </c>
      <c r="X211" s="115">
        <f t="shared" si="89"/>
        <v>0</v>
      </c>
      <c r="Y211" s="115">
        <f t="shared" si="89"/>
        <v>0</v>
      </c>
      <c r="Z211" s="115">
        <f t="shared" si="89"/>
        <v>0</v>
      </c>
      <c r="AA211" s="115">
        <f t="shared" si="89"/>
        <v>0</v>
      </c>
      <c r="AB211" s="115">
        <f t="shared" si="89"/>
        <v>0</v>
      </c>
      <c r="AC211" s="115">
        <f t="shared" si="89"/>
        <v>0</v>
      </c>
      <c r="AD211" s="115">
        <f t="shared" si="89"/>
        <v>0</v>
      </c>
      <c r="AE211" s="115">
        <f t="shared" si="89"/>
        <v>0</v>
      </c>
      <c r="AF211" s="115">
        <f t="shared" si="89"/>
        <v>0</v>
      </c>
      <c r="AG211" s="115">
        <f t="shared" si="89"/>
        <v>0</v>
      </c>
      <c r="AH211" s="115">
        <f t="shared" si="89"/>
        <v>0</v>
      </c>
      <c r="AI211" s="115">
        <f t="shared" si="89"/>
        <v>0</v>
      </c>
      <c r="AJ211" s="115">
        <f t="shared" si="89"/>
        <v>0</v>
      </c>
      <c r="AK211" s="115">
        <f t="shared" si="89"/>
        <v>0</v>
      </c>
      <c r="AL211" s="115">
        <f t="shared" si="89"/>
        <v>0</v>
      </c>
      <c r="AM211" s="115">
        <f t="shared" si="89"/>
        <v>0</v>
      </c>
      <c r="AN211" s="115">
        <f t="shared" si="89"/>
        <v>0</v>
      </c>
      <c r="AO211" s="115">
        <f t="shared" si="89"/>
        <v>0</v>
      </c>
      <c r="AP211" s="115">
        <f t="shared" si="89"/>
        <v>0</v>
      </c>
      <c r="AQ211" s="115">
        <f t="shared" si="89"/>
        <v>0</v>
      </c>
      <c r="AR211" s="115">
        <f t="shared" si="89"/>
        <v>0</v>
      </c>
      <c r="AS211" s="115">
        <f t="shared" si="89"/>
        <v>0</v>
      </c>
      <c r="AT211" s="115">
        <f t="shared" si="89"/>
        <v>0</v>
      </c>
      <c r="AU211" s="115">
        <f t="shared" si="89"/>
        <v>0</v>
      </c>
      <c r="AV211" s="115">
        <f t="shared" si="89"/>
        <v>0</v>
      </c>
      <c r="AW211" s="115">
        <f t="shared" si="89"/>
        <v>0</v>
      </c>
      <c r="AX211" s="115">
        <f t="shared" si="89"/>
        <v>0</v>
      </c>
      <c r="AY211" s="115">
        <f t="shared" si="89"/>
        <v>0</v>
      </c>
      <c r="AZ211" s="115">
        <f t="shared" si="89"/>
        <v>0</v>
      </c>
      <c r="BA211" s="115">
        <f t="shared" si="89"/>
        <v>0</v>
      </c>
      <c r="BB211" s="115">
        <f t="shared" si="89"/>
        <v>0</v>
      </c>
      <c r="BC211" s="115">
        <f t="shared" si="89"/>
        <v>0</v>
      </c>
      <c r="BD211" s="115">
        <f t="shared" si="89"/>
        <v>0</v>
      </c>
      <c r="BE211" s="115">
        <f t="shared" si="89"/>
        <v>0</v>
      </c>
      <c r="BF211" s="115">
        <f t="shared" si="89"/>
        <v>0</v>
      </c>
      <c r="BG211" s="115">
        <f t="shared" si="89"/>
        <v>0</v>
      </c>
      <c r="BH211" s="115">
        <f t="shared" si="89"/>
        <v>0</v>
      </c>
      <c r="BI211" s="115">
        <f t="shared" si="89"/>
        <v>0</v>
      </c>
      <c r="BJ211" s="115">
        <f t="shared" si="89"/>
        <v>0</v>
      </c>
      <c r="BK211" s="115">
        <f t="shared" si="89"/>
        <v>0</v>
      </c>
      <c r="BL211" s="115">
        <f t="shared" si="89"/>
        <v>0</v>
      </c>
      <c r="BM211" s="115">
        <f t="shared" si="89"/>
        <v>0</v>
      </c>
      <c r="BN211" s="115">
        <f t="shared" si="89"/>
        <v>0</v>
      </c>
      <c r="BO211" s="115">
        <f t="shared" si="89"/>
        <v>0</v>
      </c>
      <c r="BP211" s="115">
        <f t="shared" si="89"/>
        <v>0</v>
      </c>
      <c r="BQ211" s="115">
        <f t="shared" si="89"/>
        <v>0</v>
      </c>
      <c r="BR211" s="115">
        <f t="shared" si="89"/>
        <v>0</v>
      </c>
      <c r="BS211" s="115">
        <f t="shared" si="89"/>
        <v>0</v>
      </c>
      <c r="BT211" s="115">
        <f t="shared" si="89"/>
        <v>0</v>
      </c>
      <c r="BU211" s="115">
        <f t="shared" si="89"/>
        <v>0</v>
      </c>
      <c r="BV211" s="115">
        <f t="shared" si="89"/>
        <v>0</v>
      </c>
      <c r="BW211" s="115">
        <f t="shared" ref="BW211:CC211" si="90">+BW195</f>
        <v>0</v>
      </c>
      <c r="BX211" s="115">
        <f t="shared" si="90"/>
        <v>0</v>
      </c>
      <c r="BY211" s="115">
        <f t="shared" si="90"/>
        <v>0</v>
      </c>
      <c r="BZ211" s="115">
        <f t="shared" si="90"/>
        <v>0</v>
      </c>
      <c r="CA211" s="115">
        <f t="shared" si="90"/>
        <v>0</v>
      </c>
      <c r="CB211" s="115">
        <f t="shared" si="90"/>
        <v>0</v>
      </c>
      <c r="CC211" s="115">
        <f t="shared" si="90"/>
        <v>0</v>
      </c>
    </row>
    <row r="212" spans="2:89" ht="5.0999999999999996" customHeight="1" x14ac:dyDescent="0.2">
      <c r="F212" s="32"/>
      <c r="G212" s="32"/>
      <c r="H212" s="32"/>
      <c r="I212" s="32"/>
      <c r="J212" s="113"/>
      <c r="K212" s="113"/>
      <c r="L212" s="113"/>
      <c r="M212" s="113"/>
      <c r="N212" s="113"/>
      <c r="O212" s="113"/>
      <c r="P212" s="113"/>
      <c r="Q212" s="113"/>
      <c r="R212" s="113"/>
      <c r="S212" s="113"/>
      <c r="T212" s="113"/>
      <c r="U212" s="113"/>
      <c r="V212" s="113"/>
      <c r="W212" s="113"/>
      <c r="X212" s="113"/>
      <c r="Y212" s="113"/>
      <c r="Z212" s="113"/>
      <c r="AA212" s="113"/>
      <c r="AB212" s="113"/>
      <c r="AC212" s="113"/>
      <c r="AD212" s="113"/>
      <c r="AE212" s="113"/>
      <c r="AF212" s="113"/>
      <c r="AG212" s="113"/>
      <c r="AH212" s="113"/>
      <c r="AI212" s="113"/>
      <c r="AJ212" s="113"/>
      <c r="AK212" s="113"/>
      <c r="AL212" s="113"/>
      <c r="AM212" s="113"/>
      <c r="AN212" s="113"/>
      <c r="AO212" s="113"/>
      <c r="AP212" s="113"/>
      <c r="AQ212" s="113"/>
      <c r="AR212" s="113"/>
      <c r="AS212" s="113"/>
      <c r="AT212" s="113"/>
      <c r="AU212" s="113"/>
      <c r="AV212" s="113"/>
      <c r="AW212" s="113"/>
      <c r="AX212" s="113"/>
      <c r="AY212" s="113"/>
      <c r="AZ212" s="113"/>
      <c r="BA212" s="113"/>
      <c r="BB212" s="113"/>
      <c r="BC212" s="113"/>
      <c r="BD212" s="113"/>
      <c r="BE212" s="113"/>
      <c r="BF212" s="113"/>
      <c r="BG212" s="113"/>
      <c r="BH212" s="113"/>
      <c r="BI212" s="113"/>
      <c r="BJ212" s="113"/>
      <c r="BK212" s="113"/>
      <c r="BL212" s="113"/>
      <c r="BM212" s="113"/>
      <c r="BN212" s="113"/>
      <c r="BO212" s="113"/>
      <c r="BP212" s="113"/>
      <c r="BQ212" s="113"/>
      <c r="BR212" s="113"/>
      <c r="BS212" s="113"/>
      <c r="BT212" s="113"/>
      <c r="BU212" s="113"/>
      <c r="BV212" s="113"/>
      <c r="BW212" s="113"/>
      <c r="BX212" s="113"/>
      <c r="BY212" s="113"/>
      <c r="BZ212" s="113"/>
      <c r="CA212" s="113"/>
      <c r="CB212" s="113"/>
      <c r="CC212" s="113"/>
    </row>
    <row r="213" spans="2:89" s="32" customFormat="1" ht="15" customHeight="1" x14ac:dyDescent="0.2">
      <c r="B213" s="638" t="s">
        <v>120</v>
      </c>
      <c r="C213" s="639"/>
      <c r="D213" s="639"/>
      <c r="E213" s="639"/>
      <c r="F213" s="639"/>
      <c r="H213" s="140">
        <f>+H209+H211</f>
        <v>0</v>
      </c>
      <c r="J213" s="114">
        <f>+J209+J211</f>
        <v>0</v>
      </c>
      <c r="K213" s="114">
        <f t="shared" ref="K213:BV213" si="91">+K209+K211</f>
        <v>0</v>
      </c>
      <c r="L213" s="114">
        <f t="shared" si="91"/>
        <v>0</v>
      </c>
      <c r="M213" s="114">
        <f t="shared" si="91"/>
        <v>0</v>
      </c>
      <c r="N213" s="114">
        <f t="shared" si="91"/>
        <v>0</v>
      </c>
      <c r="O213" s="114">
        <f t="shared" si="91"/>
        <v>0</v>
      </c>
      <c r="P213" s="114">
        <f t="shared" si="91"/>
        <v>0</v>
      </c>
      <c r="Q213" s="114">
        <f t="shared" si="91"/>
        <v>0</v>
      </c>
      <c r="R213" s="114">
        <f t="shared" si="91"/>
        <v>0</v>
      </c>
      <c r="S213" s="114">
        <f t="shared" si="91"/>
        <v>0</v>
      </c>
      <c r="T213" s="114">
        <f t="shared" si="91"/>
        <v>0</v>
      </c>
      <c r="U213" s="114">
        <f t="shared" si="91"/>
        <v>0</v>
      </c>
      <c r="V213" s="114">
        <f t="shared" si="91"/>
        <v>0</v>
      </c>
      <c r="W213" s="114">
        <f t="shared" si="91"/>
        <v>0</v>
      </c>
      <c r="X213" s="114">
        <f t="shared" si="91"/>
        <v>0</v>
      </c>
      <c r="Y213" s="114">
        <f t="shared" si="91"/>
        <v>0</v>
      </c>
      <c r="Z213" s="114">
        <f t="shared" si="91"/>
        <v>0</v>
      </c>
      <c r="AA213" s="114">
        <f t="shared" si="91"/>
        <v>0</v>
      </c>
      <c r="AB213" s="114">
        <f t="shared" si="91"/>
        <v>0</v>
      </c>
      <c r="AC213" s="114">
        <f t="shared" si="91"/>
        <v>0</v>
      </c>
      <c r="AD213" s="114">
        <f t="shared" si="91"/>
        <v>0</v>
      </c>
      <c r="AE213" s="114">
        <f t="shared" si="91"/>
        <v>0</v>
      </c>
      <c r="AF213" s="114">
        <f t="shared" si="91"/>
        <v>0</v>
      </c>
      <c r="AG213" s="114">
        <f t="shared" si="91"/>
        <v>0</v>
      </c>
      <c r="AH213" s="114">
        <f t="shared" si="91"/>
        <v>0</v>
      </c>
      <c r="AI213" s="114">
        <f t="shared" si="91"/>
        <v>0</v>
      </c>
      <c r="AJ213" s="114">
        <f t="shared" si="91"/>
        <v>0</v>
      </c>
      <c r="AK213" s="114">
        <f t="shared" si="91"/>
        <v>0</v>
      </c>
      <c r="AL213" s="114">
        <f t="shared" si="91"/>
        <v>0</v>
      </c>
      <c r="AM213" s="114">
        <f t="shared" si="91"/>
        <v>0</v>
      </c>
      <c r="AN213" s="114">
        <f t="shared" si="91"/>
        <v>0</v>
      </c>
      <c r="AO213" s="114">
        <f t="shared" si="91"/>
        <v>0</v>
      </c>
      <c r="AP213" s="114">
        <f t="shared" si="91"/>
        <v>0</v>
      </c>
      <c r="AQ213" s="114">
        <f t="shared" si="91"/>
        <v>0</v>
      </c>
      <c r="AR213" s="114">
        <f t="shared" si="91"/>
        <v>0</v>
      </c>
      <c r="AS213" s="114">
        <f t="shared" si="91"/>
        <v>0</v>
      </c>
      <c r="AT213" s="114">
        <f t="shared" si="91"/>
        <v>0</v>
      </c>
      <c r="AU213" s="114">
        <f t="shared" si="91"/>
        <v>0</v>
      </c>
      <c r="AV213" s="114">
        <f t="shared" si="91"/>
        <v>0</v>
      </c>
      <c r="AW213" s="114">
        <f t="shared" si="91"/>
        <v>0</v>
      </c>
      <c r="AX213" s="114">
        <f t="shared" si="91"/>
        <v>0</v>
      </c>
      <c r="AY213" s="114">
        <f t="shared" si="91"/>
        <v>0</v>
      </c>
      <c r="AZ213" s="114">
        <f t="shared" si="91"/>
        <v>0</v>
      </c>
      <c r="BA213" s="114">
        <f t="shared" si="91"/>
        <v>0</v>
      </c>
      <c r="BB213" s="114">
        <f t="shared" si="91"/>
        <v>0</v>
      </c>
      <c r="BC213" s="114">
        <f t="shared" si="91"/>
        <v>0</v>
      </c>
      <c r="BD213" s="114">
        <f t="shared" si="91"/>
        <v>0</v>
      </c>
      <c r="BE213" s="114">
        <f t="shared" si="91"/>
        <v>0</v>
      </c>
      <c r="BF213" s="114">
        <f t="shared" si="91"/>
        <v>0</v>
      </c>
      <c r="BG213" s="114">
        <f t="shared" si="91"/>
        <v>0</v>
      </c>
      <c r="BH213" s="114">
        <f t="shared" si="91"/>
        <v>0</v>
      </c>
      <c r="BI213" s="114">
        <f t="shared" si="91"/>
        <v>0</v>
      </c>
      <c r="BJ213" s="114">
        <f t="shared" si="91"/>
        <v>0</v>
      </c>
      <c r="BK213" s="114">
        <f t="shared" si="91"/>
        <v>0</v>
      </c>
      <c r="BL213" s="114">
        <f t="shared" si="91"/>
        <v>0</v>
      </c>
      <c r="BM213" s="114">
        <f t="shared" si="91"/>
        <v>0</v>
      </c>
      <c r="BN213" s="114">
        <f t="shared" si="91"/>
        <v>0</v>
      </c>
      <c r="BO213" s="114">
        <f t="shared" si="91"/>
        <v>0</v>
      </c>
      <c r="BP213" s="114">
        <f t="shared" si="91"/>
        <v>0</v>
      </c>
      <c r="BQ213" s="114">
        <f t="shared" si="91"/>
        <v>0</v>
      </c>
      <c r="BR213" s="114">
        <f t="shared" si="91"/>
        <v>0</v>
      </c>
      <c r="BS213" s="114">
        <f t="shared" si="91"/>
        <v>0</v>
      </c>
      <c r="BT213" s="114">
        <f t="shared" si="91"/>
        <v>0</v>
      </c>
      <c r="BU213" s="114">
        <f t="shared" si="91"/>
        <v>0</v>
      </c>
      <c r="BV213" s="114">
        <f t="shared" si="91"/>
        <v>0</v>
      </c>
      <c r="BW213" s="114">
        <f t="shared" ref="BW213:CC213" si="92">+BW209+BW211</f>
        <v>0</v>
      </c>
      <c r="BX213" s="114">
        <f t="shared" si="92"/>
        <v>0</v>
      </c>
      <c r="BY213" s="114">
        <f t="shared" si="92"/>
        <v>0</v>
      </c>
      <c r="BZ213" s="114">
        <f t="shared" si="92"/>
        <v>0</v>
      </c>
      <c r="CA213" s="114">
        <f t="shared" si="92"/>
        <v>0</v>
      </c>
      <c r="CB213" s="114">
        <f t="shared" si="92"/>
        <v>0</v>
      </c>
      <c r="CC213" s="114">
        <f t="shared" si="92"/>
        <v>0</v>
      </c>
    </row>
    <row r="214" spans="2:89" ht="5.0999999999999996" customHeight="1" x14ac:dyDescent="0.2">
      <c r="F214" s="32"/>
      <c r="G214" s="32"/>
      <c r="H214" s="32"/>
      <c r="J214" s="160"/>
      <c r="K214" s="160"/>
      <c r="L214" s="160"/>
      <c r="M214" s="160"/>
      <c r="N214" s="160"/>
      <c r="O214" s="160"/>
      <c r="P214" s="160"/>
      <c r="Q214" s="160"/>
      <c r="R214" s="160"/>
      <c r="S214" s="160"/>
      <c r="T214" s="160"/>
      <c r="U214" s="160"/>
      <c r="V214" s="160"/>
      <c r="W214" s="160"/>
      <c r="X214" s="160"/>
      <c r="Y214" s="160"/>
      <c r="Z214" s="160"/>
      <c r="AA214" s="160"/>
      <c r="AB214" s="160"/>
      <c r="AC214" s="160"/>
      <c r="AD214" s="160"/>
      <c r="AE214" s="160"/>
      <c r="AF214" s="160"/>
      <c r="AG214" s="160"/>
      <c r="AH214" s="160"/>
      <c r="AI214" s="160"/>
      <c r="AJ214" s="160"/>
      <c r="AK214" s="160"/>
      <c r="AL214" s="160"/>
      <c r="AM214" s="160"/>
      <c r="AN214" s="160"/>
      <c r="AO214" s="160"/>
      <c r="AP214" s="160"/>
      <c r="AQ214" s="160"/>
      <c r="AR214" s="160"/>
      <c r="AS214" s="160"/>
      <c r="AT214" s="160"/>
      <c r="AU214" s="160"/>
      <c r="AV214" s="160"/>
      <c r="AW214" s="160"/>
      <c r="AX214" s="160"/>
      <c r="AY214" s="160"/>
      <c r="AZ214" s="160"/>
      <c r="BA214" s="160"/>
      <c r="BB214" s="160"/>
      <c r="BC214" s="160"/>
      <c r="BD214" s="160"/>
      <c r="BE214" s="160"/>
      <c r="BF214" s="160"/>
      <c r="BG214" s="160"/>
      <c r="BH214" s="160"/>
      <c r="BI214" s="160"/>
      <c r="BJ214" s="160"/>
      <c r="BK214" s="160"/>
      <c r="BL214" s="160"/>
      <c r="BM214" s="160"/>
      <c r="BN214" s="160"/>
      <c r="BO214" s="160"/>
      <c r="BP214" s="160"/>
      <c r="BQ214" s="160"/>
      <c r="BR214" s="160"/>
      <c r="BS214" s="160"/>
      <c r="BT214" s="160"/>
      <c r="BU214" s="160"/>
      <c r="BV214" s="160"/>
      <c r="BW214" s="160"/>
      <c r="BX214" s="160"/>
      <c r="BY214" s="160"/>
      <c r="BZ214" s="160"/>
      <c r="CA214" s="160"/>
      <c r="CB214" s="160"/>
      <c r="CC214" s="160"/>
    </row>
    <row r="215" spans="2:89" s="32" customFormat="1" ht="15.75" customHeight="1" x14ac:dyDescent="0.2">
      <c r="B215" s="628" t="s">
        <v>121</v>
      </c>
      <c r="C215" s="629"/>
      <c r="D215" s="629"/>
      <c r="E215" s="629"/>
      <c r="F215" s="630"/>
      <c r="H215"/>
      <c r="J215" s="115">
        <f>+J213</f>
        <v>0</v>
      </c>
      <c r="K215" s="161">
        <f t="shared" ref="K215:BV215" si="93">+J215+K213</f>
        <v>0</v>
      </c>
      <c r="L215" s="161">
        <f t="shared" si="93"/>
        <v>0</v>
      </c>
      <c r="M215" s="161">
        <f t="shared" si="93"/>
        <v>0</v>
      </c>
      <c r="N215" s="161">
        <f t="shared" si="93"/>
        <v>0</v>
      </c>
      <c r="O215" s="161">
        <f t="shared" si="93"/>
        <v>0</v>
      </c>
      <c r="P215" s="161">
        <f t="shared" si="93"/>
        <v>0</v>
      </c>
      <c r="Q215" s="161">
        <f t="shared" si="93"/>
        <v>0</v>
      </c>
      <c r="R215" s="161">
        <f t="shared" si="93"/>
        <v>0</v>
      </c>
      <c r="S215" s="161">
        <f t="shared" si="93"/>
        <v>0</v>
      </c>
      <c r="T215" s="161">
        <f t="shared" si="93"/>
        <v>0</v>
      </c>
      <c r="U215" s="161">
        <f t="shared" si="93"/>
        <v>0</v>
      </c>
      <c r="V215" s="161">
        <f t="shared" si="93"/>
        <v>0</v>
      </c>
      <c r="W215" s="161">
        <f t="shared" si="93"/>
        <v>0</v>
      </c>
      <c r="X215" s="161">
        <f t="shared" si="93"/>
        <v>0</v>
      </c>
      <c r="Y215" s="161">
        <f t="shared" si="93"/>
        <v>0</v>
      </c>
      <c r="Z215" s="161">
        <f t="shared" si="93"/>
        <v>0</v>
      </c>
      <c r="AA215" s="161">
        <f t="shared" si="93"/>
        <v>0</v>
      </c>
      <c r="AB215" s="161">
        <f t="shared" si="93"/>
        <v>0</v>
      </c>
      <c r="AC215" s="161">
        <f t="shared" si="93"/>
        <v>0</v>
      </c>
      <c r="AD215" s="161">
        <f t="shared" si="93"/>
        <v>0</v>
      </c>
      <c r="AE215" s="161">
        <f t="shared" si="93"/>
        <v>0</v>
      </c>
      <c r="AF215" s="161">
        <f t="shared" si="93"/>
        <v>0</v>
      </c>
      <c r="AG215" s="161">
        <f t="shared" si="93"/>
        <v>0</v>
      </c>
      <c r="AH215" s="161">
        <f t="shared" si="93"/>
        <v>0</v>
      </c>
      <c r="AI215" s="161">
        <f t="shared" si="93"/>
        <v>0</v>
      </c>
      <c r="AJ215" s="161">
        <f t="shared" si="93"/>
        <v>0</v>
      </c>
      <c r="AK215" s="161">
        <f t="shared" si="93"/>
        <v>0</v>
      </c>
      <c r="AL215" s="161">
        <f t="shared" si="93"/>
        <v>0</v>
      </c>
      <c r="AM215" s="161">
        <f t="shared" si="93"/>
        <v>0</v>
      </c>
      <c r="AN215" s="161">
        <f t="shared" si="93"/>
        <v>0</v>
      </c>
      <c r="AO215" s="161">
        <f t="shared" si="93"/>
        <v>0</v>
      </c>
      <c r="AP215" s="161">
        <f t="shared" si="93"/>
        <v>0</v>
      </c>
      <c r="AQ215" s="161">
        <f t="shared" si="93"/>
        <v>0</v>
      </c>
      <c r="AR215" s="161">
        <f t="shared" si="93"/>
        <v>0</v>
      </c>
      <c r="AS215" s="161">
        <f t="shared" si="93"/>
        <v>0</v>
      </c>
      <c r="AT215" s="161">
        <f t="shared" si="93"/>
        <v>0</v>
      </c>
      <c r="AU215" s="161">
        <f t="shared" si="93"/>
        <v>0</v>
      </c>
      <c r="AV215" s="161">
        <f t="shared" si="93"/>
        <v>0</v>
      </c>
      <c r="AW215" s="161">
        <f t="shared" si="93"/>
        <v>0</v>
      </c>
      <c r="AX215" s="161">
        <f t="shared" si="93"/>
        <v>0</v>
      </c>
      <c r="AY215" s="161">
        <f t="shared" si="93"/>
        <v>0</v>
      </c>
      <c r="AZ215" s="161">
        <f t="shared" si="93"/>
        <v>0</v>
      </c>
      <c r="BA215" s="161">
        <f t="shared" si="93"/>
        <v>0</v>
      </c>
      <c r="BB215" s="161">
        <f t="shared" si="93"/>
        <v>0</v>
      </c>
      <c r="BC215" s="161">
        <f t="shared" si="93"/>
        <v>0</v>
      </c>
      <c r="BD215" s="161">
        <f t="shared" si="93"/>
        <v>0</v>
      </c>
      <c r="BE215" s="161">
        <f t="shared" si="93"/>
        <v>0</v>
      </c>
      <c r="BF215" s="161">
        <f t="shared" si="93"/>
        <v>0</v>
      </c>
      <c r="BG215" s="161">
        <f t="shared" si="93"/>
        <v>0</v>
      </c>
      <c r="BH215" s="161">
        <f t="shared" si="93"/>
        <v>0</v>
      </c>
      <c r="BI215" s="161">
        <f t="shared" si="93"/>
        <v>0</v>
      </c>
      <c r="BJ215" s="161">
        <f t="shared" si="93"/>
        <v>0</v>
      </c>
      <c r="BK215" s="161">
        <f t="shared" si="93"/>
        <v>0</v>
      </c>
      <c r="BL215" s="161">
        <f t="shared" si="93"/>
        <v>0</v>
      </c>
      <c r="BM215" s="161">
        <f t="shared" si="93"/>
        <v>0</v>
      </c>
      <c r="BN215" s="161">
        <f t="shared" si="93"/>
        <v>0</v>
      </c>
      <c r="BO215" s="161">
        <f t="shared" si="93"/>
        <v>0</v>
      </c>
      <c r="BP215" s="161">
        <f t="shared" si="93"/>
        <v>0</v>
      </c>
      <c r="BQ215" s="161">
        <f t="shared" si="93"/>
        <v>0</v>
      </c>
      <c r="BR215" s="161">
        <f t="shared" si="93"/>
        <v>0</v>
      </c>
      <c r="BS215" s="161">
        <f t="shared" si="93"/>
        <v>0</v>
      </c>
      <c r="BT215" s="161">
        <f t="shared" si="93"/>
        <v>0</v>
      </c>
      <c r="BU215" s="161">
        <f t="shared" si="93"/>
        <v>0</v>
      </c>
      <c r="BV215" s="161">
        <f t="shared" si="93"/>
        <v>0</v>
      </c>
      <c r="BW215" s="161">
        <f t="shared" ref="BW215:CC215" si="94">+BV215+BW213</f>
        <v>0</v>
      </c>
      <c r="BX215" s="161">
        <f t="shared" si="94"/>
        <v>0</v>
      </c>
      <c r="BY215" s="161">
        <f t="shared" si="94"/>
        <v>0</v>
      </c>
      <c r="BZ215" s="161">
        <f t="shared" si="94"/>
        <v>0</v>
      </c>
      <c r="CA215" s="161">
        <f t="shared" si="94"/>
        <v>0</v>
      </c>
      <c r="CB215" s="161">
        <f t="shared" si="94"/>
        <v>0</v>
      </c>
      <c r="CC215" s="161">
        <f t="shared" si="94"/>
        <v>0</v>
      </c>
      <c r="CI215" s="134"/>
      <c r="CJ215" s="134"/>
    </row>
    <row r="216" spans="2:89" ht="5.0999999999999996" customHeight="1" x14ac:dyDescent="0.2">
      <c r="J216" s="116"/>
      <c r="K216" s="24"/>
      <c r="L216" s="24"/>
      <c r="M216" s="24"/>
      <c r="N216" s="24"/>
      <c r="O216" s="24"/>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c r="AO216" s="24"/>
      <c r="AP216" s="24"/>
      <c r="AQ216" s="24"/>
      <c r="AR216" s="24"/>
      <c r="AS216" s="24"/>
      <c r="AT216" s="24"/>
      <c r="AU216" s="24"/>
      <c r="AV216" s="24"/>
      <c r="AW216" s="24"/>
      <c r="AX216" s="24"/>
      <c r="AY216" s="24"/>
      <c r="AZ216" s="24"/>
      <c r="BA216" s="24"/>
      <c r="BB216" s="24"/>
      <c r="BC216" s="24"/>
      <c r="BD216" s="24"/>
      <c r="BE216" s="24"/>
      <c r="BF216" s="24"/>
      <c r="BG216" s="24"/>
      <c r="BH216" s="24"/>
      <c r="BI216" s="24"/>
      <c r="BJ216" s="24"/>
      <c r="BK216" s="24"/>
      <c r="BL216" s="24"/>
      <c r="BM216" s="24"/>
      <c r="BN216" s="24"/>
      <c r="BO216" s="24"/>
      <c r="BP216" s="24"/>
      <c r="BQ216" s="24"/>
      <c r="BR216" s="24"/>
      <c r="BS216" s="24"/>
      <c r="BT216" s="24"/>
      <c r="BU216" s="24"/>
      <c r="BV216" s="24"/>
      <c r="BW216" s="24"/>
      <c r="BX216" s="24"/>
      <c r="BY216" s="24"/>
      <c r="BZ216" s="24"/>
      <c r="CA216" s="24"/>
      <c r="CB216" s="24"/>
      <c r="CC216" s="24"/>
      <c r="CI216" s="23"/>
      <c r="CJ216" s="23"/>
    </row>
    <row r="217" spans="2:89" s="32" customFormat="1" x14ac:dyDescent="0.2">
      <c r="B217" s="628" t="s">
        <v>114</v>
      </c>
      <c r="C217" s="629"/>
      <c r="D217" s="629"/>
      <c r="E217" s="629"/>
      <c r="F217" s="630"/>
      <c r="H217"/>
      <c r="J217" s="162">
        <f>IF($H$213=0,0,+J213/$H$213)</f>
        <v>0</v>
      </c>
      <c r="K217" s="162">
        <f t="shared" ref="K217:BV217" si="95">IF($H$213=0,0,+K213/$H$213)</f>
        <v>0</v>
      </c>
      <c r="L217" s="162">
        <f t="shared" si="95"/>
        <v>0</v>
      </c>
      <c r="M217" s="162">
        <f t="shared" si="95"/>
        <v>0</v>
      </c>
      <c r="N217" s="162">
        <f t="shared" si="95"/>
        <v>0</v>
      </c>
      <c r="O217" s="162">
        <f t="shared" si="95"/>
        <v>0</v>
      </c>
      <c r="P217" s="162">
        <f t="shared" si="95"/>
        <v>0</v>
      </c>
      <c r="Q217" s="162">
        <f t="shared" si="95"/>
        <v>0</v>
      </c>
      <c r="R217" s="162">
        <f t="shared" si="95"/>
        <v>0</v>
      </c>
      <c r="S217" s="162">
        <f t="shared" si="95"/>
        <v>0</v>
      </c>
      <c r="T217" s="162">
        <f t="shared" si="95"/>
        <v>0</v>
      </c>
      <c r="U217" s="162">
        <f t="shared" si="95"/>
        <v>0</v>
      </c>
      <c r="V217" s="162">
        <f t="shared" si="95"/>
        <v>0</v>
      </c>
      <c r="W217" s="162">
        <f t="shared" si="95"/>
        <v>0</v>
      </c>
      <c r="X217" s="162">
        <f t="shared" si="95"/>
        <v>0</v>
      </c>
      <c r="Y217" s="162">
        <f t="shared" si="95"/>
        <v>0</v>
      </c>
      <c r="Z217" s="162">
        <f t="shared" si="95"/>
        <v>0</v>
      </c>
      <c r="AA217" s="162">
        <f t="shared" si="95"/>
        <v>0</v>
      </c>
      <c r="AB217" s="162">
        <f t="shared" si="95"/>
        <v>0</v>
      </c>
      <c r="AC217" s="162">
        <f t="shared" si="95"/>
        <v>0</v>
      </c>
      <c r="AD217" s="162">
        <f t="shared" si="95"/>
        <v>0</v>
      </c>
      <c r="AE217" s="162">
        <f t="shared" si="95"/>
        <v>0</v>
      </c>
      <c r="AF217" s="162">
        <f t="shared" si="95"/>
        <v>0</v>
      </c>
      <c r="AG217" s="162">
        <f t="shared" si="95"/>
        <v>0</v>
      </c>
      <c r="AH217" s="162">
        <f t="shared" si="95"/>
        <v>0</v>
      </c>
      <c r="AI217" s="162">
        <f t="shared" si="95"/>
        <v>0</v>
      </c>
      <c r="AJ217" s="162">
        <f t="shared" si="95"/>
        <v>0</v>
      </c>
      <c r="AK217" s="162">
        <f t="shared" si="95"/>
        <v>0</v>
      </c>
      <c r="AL217" s="162">
        <f t="shared" si="95"/>
        <v>0</v>
      </c>
      <c r="AM217" s="162">
        <f t="shared" si="95"/>
        <v>0</v>
      </c>
      <c r="AN217" s="162">
        <f t="shared" si="95"/>
        <v>0</v>
      </c>
      <c r="AO217" s="162">
        <f t="shared" si="95"/>
        <v>0</v>
      </c>
      <c r="AP217" s="162">
        <f t="shared" si="95"/>
        <v>0</v>
      </c>
      <c r="AQ217" s="162">
        <f t="shared" si="95"/>
        <v>0</v>
      </c>
      <c r="AR217" s="162">
        <f t="shared" si="95"/>
        <v>0</v>
      </c>
      <c r="AS217" s="162">
        <f t="shared" si="95"/>
        <v>0</v>
      </c>
      <c r="AT217" s="162">
        <f t="shared" si="95"/>
        <v>0</v>
      </c>
      <c r="AU217" s="162">
        <f t="shared" si="95"/>
        <v>0</v>
      </c>
      <c r="AV217" s="162">
        <f t="shared" si="95"/>
        <v>0</v>
      </c>
      <c r="AW217" s="162">
        <f t="shared" si="95"/>
        <v>0</v>
      </c>
      <c r="AX217" s="162">
        <f t="shared" si="95"/>
        <v>0</v>
      </c>
      <c r="AY217" s="162">
        <f t="shared" si="95"/>
        <v>0</v>
      </c>
      <c r="AZ217" s="162">
        <f t="shared" si="95"/>
        <v>0</v>
      </c>
      <c r="BA217" s="162">
        <f t="shared" si="95"/>
        <v>0</v>
      </c>
      <c r="BB217" s="162">
        <f t="shared" si="95"/>
        <v>0</v>
      </c>
      <c r="BC217" s="162">
        <f t="shared" si="95"/>
        <v>0</v>
      </c>
      <c r="BD217" s="162">
        <f t="shared" si="95"/>
        <v>0</v>
      </c>
      <c r="BE217" s="162">
        <f t="shared" si="95"/>
        <v>0</v>
      </c>
      <c r="BF217" s="162">
        <f t="shared" si="95"/>
        <v>0</v>
      </c>
      <c r="BG217" s="162">
        <f t="shared" si="95"/>
        <v>0</v>
      </c>
      <c r="BH217" s="162">
        <f t="shared" si="95"/>
        <v>0</v>
      </c>
      <c r="BI217" s="162">
        <f t="shared" si="95"/>
        <v>0</v>
      </c>
      <c r="BJ217" s="162">
        <f t="shared" si="95"/>
        <v>0</v>
      </c>
      <c r="BK217" s="162">
        <f t="shared" si="95"/>
        <v>0</v>
      </c>
      <c r="BL217" s="162">
        <f t="shared" si="95"/>
        <v>0</v>
      </c>
      <c r="BM217" s="162">
        <f t="shared" si="95"/>
        <v>0</v>
      </c>
      <c r="BN217" s="162">
        <f t="shared" si="95"/>
        <v>0</v>
      </c>
      <c r="BO217" s="162">
        <f t="shared" si="95"/>
        <v>0</v>
      </c>
      <c r="BP217" s="162">
        <f t="shared" si="95"/>
        <v>0</v>
      </c>
      <c r="BQ217" s="162">
        <f t="shared" si="95"/>
        <v>0</v>
      </c>
      <c r="BR217" s="162">
        <f t="shared" si="95"/>
        <v>0</v>
      </c>
      <c r="BS217" s="162">
        <f t="shared" si="95"/>
        <v>0</v>
      </c>
      <c r="BT217" s="162">
        <f t="shared" si="95"/>
        <v>0</v>
      </c>
      <c r="BU217" s="162">
        <f t="shared" si="95"/>
        <v>0</v>
      </c>
      <c r="BV217" s="162">
        <f t="shared" si="95"/>
        <v>0</v>
      </c>
      <c r="BW217" s="162">
        <f t="shared" ref="BW217:CC217" si="96">IF($H$213=0,0,+BW213/$H$213)</f>
        <v>0</v>
      </c>
      <c r="BX217" s="162">
        <f t="shared" si="96"/>
        <v>0</v>
      </c>
      <c r="BY217" s="162">
        <f t="shared" si="96"/>
        <v>0</v>
      </c>
      <c r="BZ217" s="162">
        <f t="shared" si="96"/>
        <v>0</v>
      </c>
      <c r="CA217" s="162">
        <f t="shared" si="96"/>
        <v>0</v>
      </c>
      <c r="CB217" s="162">
        <f t="shared" si="96"/>
        <v>0</v>
      </c>
      <c r="CC217" s="162">
        <f t="shared" si="96"/>
        <v>0</v>
      </c>
      <c r="CI217" s="134"/>
      <c r="CJ217" s="134"/>
      <c r="CK217" s="134"/>
    </row>
    <row r="218" spans="2:89" ht="5.0999999999999996" customHeight="1" x14ac:dyDescent="0.2">
      <c r="F218" s="32"/>
      <c r="G218" s="32"/>
      <c r="J218" s="157"/>
      <c r="K218" s="163"/>
      <c r="L218" s="163"/>
      <c r="M218" s="163"/>
      <c r="N218" s="163"/>
      <c r="O218" s="163"/>
      <c r="P218" s="163"/>
      <c r="Q218" s="163"/>
      <c r="R218" s="163"/>
      <c r="S218" s="163"/>
      <c r="T218" s="163"/>
      <c r="U218" s="163"/>
      <c r="V218" s="163"/>
      <c r="W218" s="163"/>
      <c r="X218" s="163"/>
      <c r="Y218" s="163"/>
      <c r="Z218" s="163"/>
      <c r="AA218" s="163"/>
      <c r="AB218" s="163"/>
      <c r="AC218" s="163"/>
      <c r="AD218" s="163"/>
      <c r="AE218" s="163"/>
      <c r="AF218" s="163"/>
      <c r="AG218" s="163"/>
      <c r="AH218" s="163"/>
      <c r="AI218" s="163"/>
      <c r="AJ218" s="163"/>
      <c r="AK218" s="163"/>
      <c r="AL218" s="163"/>
      <c r="AM218" s="163"/>
      <c r="AN218" s="163"/>
      <c r="AO218" s="163"/>
      <c r="AP218" s="163"/>
      <c r="AQ218" s="163"/>
      <c r="AR218" s="163"/>
      <c r="AS218" s="163"/>
      <c r="AT218" s="163"/>
      <c r="AU218" s="163"/>
      <c r="AV218" s="163"/>
      <c r="AW218" s="163"/>
      <c r="AX218" s="163"/>
      <c r="AY218" s="163"/>
      <c r="AZ218" s="163"/>
      <c r="BA218" s="163"/>
      <c r="BB218" s="163"/>
      <c r="BC218" s="163"/>
      <c r="BD218" s="163"/>
      <c r="BE218" s="163"/>
      <c r="BF218" s="163"/>
      <c r="BG218" s="163"/>
      <c r="BH218" s="163"/>
      <c r="BI218" s="163"/>
      <c r="BJ218" s="163"/>
      <c r="BK218" s="163"/>
      <c r="BL218" s="163"/>
      <c r="BM218" s="163"/>
      <c r="BN218" s="163"/>
      <c r="BO218" s="163"/>
      <c r="BP218" s="163"/>
      <c r="BQ218" s="163"/>
      <c r="BR218" s="163"/>
      <c r="BS218" s="163"/>
      <c r="BT218" s="163"/>
      <c r="BU218" s="163"/>
      <c r="BV218" s="163"/>
      <c r="BW218" s="163"/>
      <c r="BX218" s="163"/>
      <c r="BY218" s="163"/>
      <c r="BZ218" s="163"/>
      <c r="CA218" s="163"/>
      <c r="CB218" s="163"/>
      <c r="CC218" s="163"/>
      <c r="CI218" s="23"/>
      <c r="CJ218" s="23"/>
    </row>
    <row r="219" spans="2:89" s="32" customFormat="1" x14ac:dyDescent="0.2">
      <c r="B219" s="628" t="s">
        <v>115</v>
      </c>
      <c r="C219" s="629"/>
      <c r="D219" s="629"/>
      <c r="E219" s="629"/>
      <c r="F219" s="630"/>
      <c r="H219"/>
      <c r="J219" s="162">
        <f>+J217</f>
        <v>0</v>
      </c>
      <c r="K219" s="164">
        <f t="shared" ref="K219:BV219" si="97">+J219+K217</f>
        <v>0</v>
      </c>
      <c r="L219" s="164">
        <f t="shared" si="97"/>
        <v>0</v>
      </c>
      <c r="M219" s="164">
        <f t="shared" si="97"/>
        <v>0</v>
      </c>
      <c r="N219" s="164">
        <f t="shared" si="97"/>
        <v>0</v>
      </c>
      <c r="O219" s="164">
        <f t="shared" si="97"/>
        <v>0</v>
      </c>
      <c r="P219" s="164">
        <f t="shared" si="97"/>
        <v>0</v>
      </c>
      <c r="Q219" s="164">
        <f t="shared" si="97"/>
        <v>0</v>
      </c>
      <c r="R219" s="164">
        <f t="shared" si="97"/>
        <v>0</v>
      </c>
      <c r="S219" s="164">
        <f t="shared" si="97"/>
        <v>0</v>
      </c>
      <c r="T219" s="164">
        <f t="shared" si="97"/>
        <v>0</v>
      </c>
      <c r="U219" s="164">
        <f t="shared" si="97"/>
        <v>0</v>
      </c>
      <c r="V219" s="164">
        <f t="shared" si="97"/>
        <v>0</v>
      </c>
      <c r="W219" s="164">
        <f t="shared" si="97"/>
        <v>0</v>
      </c>
      <c r="X219" s="164">
        <f t="shared" si="97"/>
        <v>0</v>
      </c>
      <c r="Y219" s="164">
        <f t="shared" si="97"/>
        <v>0</v>
      </c>
      <c r="Z219" s="164">
        <f t="shared" si="97"/>
        <v>0</v>
      </c>
      <c r="AA219" s="164">
        <f t="shared" si="97"/>
        <v>0</v>
      </c>
      <c r="AB219" s="164">
        <f t="shared" si="97"/>
        <v>0</v>
      </c>
      <c r="AC219" s="164">
        <f t="shared" si="97"/>
        <v>0</v>
      </c>
      <c r="AD219" s="164">
        <f t="shared" si="97"/>
        <v>0</v>
      </c>
      <c r="AE219" s="164">
        <f t="shared" si="97"/>
        <v>0</v>
      </c>
      <c r="AF219" s="164">
        <f t="shared" si="97"/>
        <v>0</v>
      </c>
      <c r="AG219" s="164">
        <f t="shared" si="97"/>
        <v>0</v>
      </c>
      <c r="AH219" s="164">
        <f t="shared" si="97"/>
        <v>0</v>
      </c>
      <c r="AI219" s="164">
        <f t="shared" si="97"/>
        <v>0</v>
      </c>
      <c r="AJ219" s="164">
        <f t="shared" si="97"/>
        <v>0</v>
      </c>
      <c r="AK219" s="164">
        <f t="shared" si="97"/>
        <v>0</v>
      </c>
      <c r="AL219" s="164">
        <f t="shared" si="97"/>
        <v>0</v>
      </c>
      <c r="AM219" s="164">
        <f t="shared" si="97"/>
        <v>0</v>
      </c>
      <c r="AN219" s="164">
        <f t="shared" si="97"/>
        <v>0</v>
      </c>
      <c r="AO219" s="164">
        <f t="shared" si="97"/>
        <v>0</v>
      </c>
      <c r="AP219" s="164">
        <f t="shared" si="97"/>
        <v>0</v>
      </c>
      <c r="AQ219" s="164">
        <f t="shared" si="97"/>
        <v>0</v>
      </c>
      <c r="AR219" s="164">
        <f t="shared" si="97"/>
        <v>0</v>
      </c>
      <c r="AS219" s="164">
        <f t="shared" si="97"/>
        <v>0</v>
      </c>
      <c r="AT219" s="164">
        <f t="shared" si="97"/>
        <v>0</v>
      </c>
      <c r="AU219" s="164">
        <f t="shared" si="97"/>
        <v>0</v>
      </c>
      <c r="AV219" s="164">
        <f t="shared" si="97"/>
        <v>0</v>
      </c>
      <c r="AW219" s="164">
        <f t="shared" si="97"/>
        <v>0</v>
      </c>
      <c r="AX219" s="164">
        <f t="shared" si="97"/>
        <v>0</v>
      </c>
      <c r="AY219" s="164">
        <f t="shared" si="97"/>
        <v>0</v>
      </c>
      <c r="AZ219" s="164">
        <f t="shared" si="97"/>
        <v>0</v>
      </c>
      <c r="BA219" s="164">
        <f t="shared" si="97"/>
        <v>0</v>
      </c>
      <c r="BB219" s="164">
        <f t="shared" si="97"/>
        <v>0</v>
      </c>
      <c r="BC219" s="164">
        <f t="shared" si="97"/>
        <v>0</v>
      </c>
      <c r="BD219" s="164">
        <f t="shared" si="97"/>
        <v>0</v>
      </c>
      <c r="BE219" s="164">
        <f t="shared" si="97"/>
        <v>0</v>
      </c>
      <c r="BF219" s="164">
        <f t="shared" si="97"/>
        <v>0</v>
      </c>
      <c r="BG219" s="164">
        <f t="shared" si="97"/>
        <v>0</v>
      </c>
      <c r="BH219" s="164">
        <f t="shared" si="97"/>
        <v>0</v>
      </c>
      <c r="BI219" s="164">
        <f t="shared" si="97"/>
        <v>0</v>
      </c>
      <c r="BJ219" s="164">
        <f t="shared" si="97"/>
        <v>0</v>
      </c>
      <c r="BK219" s="164">
        <f t="shared" si="97"/>
        <v>0</v>
      </c>
      <c r="BL219" s="164">
        <f t="shared" si="97"/>
        <v>0</v>
      </c>
      <c r="BM219" s="164">
        <f t="shared" si="97"/>
        <v>0</v>
      </c>
      <c r="BN219" s="164">
        <f t="shared" si="97"/>
        <v>0</v>
      </c>
      <c r="BO219" s="164">
        <f t="shared" si="97"/>
        <v>0</v>
      </c>
      <c r="BP219" s="164">
        <f t="shared" si="97"/>
        <v>0</v>
      </c>
      <c r="BQ219" s="164">
        <f t="shared" si="97"/>
        <v>0</v>
      </c>
      <c r="BR219" s="164">
        <f t="shared" si="97"/>
        <v>0</v>
      </c>
      <c r="BS219" s="164">
        <f t="shared" si="97"/>
        <v>0</v>
      </c>
      <c r="BT219" s="164">
        <f t="shared" si="97"/>
        <v>0</v>
      </c>
      <c r="BU219" s="164">
        <f t="shared" si="97"/>
        <v>0</v>
      </c>
      <c r="BV219" s="164">
        <f t="shared" si="97"/>
        <v>0</v>
      </c>
      <c r="BW219" s="164">
        <f t="shared" ref="BW219:CC219" si="98">+BV219+BW217</f>
        <v>0</v>
      </c>
      <c r="BX219" s="164">
        <f t="shared" si="98"/>
        <v>0</v>
      </c>
      <c r="BY219" s="164">
        <f t="shared" si="98"/>
        <v>0</v>
      </c>
      <c r="BZ219" s="164">
        <f t="shared" si="98"/>
        <v>0</v>
      </c>
      <c r="CA219" s="164">
        <f t="shared" si="98"/>
        <v>0</v>
      </c>
      <c r="CB219" s="164">
        <f t="shared" si="98"/>
        <v>0</v>
      </c>
      <c r="CC219" s="164">
        <f t="shared" si="98"/>
        <v>0</v>
      </c>
      <c r="CI219" s="134"/>
      <c r="CJ219" s="134"/>
      <c r="CK219" s="134"/>
    </row>
    <row r="220" spans="2:89" ht="5.0999999999999996" customHeight="1" x14ac:dyDescent="0.2">
      <c r="CI220" s="23"/>
      <c r="CJ220" s="23"/>
    </row>
    <row r="221" spans="2:89" x14ac:dyDescent="0.2">
      <c r="B221" s="37" t="s">
        <v>282</v>
      </c>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c r="AA221" s="37"/>
      <c r="AB221" s="37"/>
      <c r="AC221" s="37"/>
      <c r="AD221" s="37"/>
      <c r="AE221" s="37"/>
      <c r="AF221" s="37"/>
      <c r="AG221" s="37"/>
      <c r="AH221" s="37"/>
      <c r="AI221" s="37"/>
      <c r="AJ221" s="37"/>
      <c r="AK221" s="37"/>
      <c r="AL221" s="37"/>
      <c r="AM221" s="37"/>
      <c r="AN221" s="37"/>
      <c r="AO221" s="37"/>
      <c r="AP221" s="37"/>
      <c r="AQ221" s="37"/>
      <c r="AR221" s="37"/>
      <c r="AS221" s="37"/>
      <c r="AT221" s="37"/>
      <c r="AU221" s="37"/>
      <c r="AV221" s="37"/>
      <c r="AW221" s="37"/>
      <c r="AX221" s="37"/>
      <c r="AY221" s="37"/>
      <c r="AZ221" s="37"/>
      <c r="BA221" s="37"/>
      <c r="BB221" s="37"/>
      <c r="BC221" s="37"/>
      <c r="BD221" s="37"/>
      <c r="BE221" s="37"/>
      <c r="BF221" s="37"/>
      <c r="BG221" s="37"/>
      <c r="BH221" s="37"/>
      <c r="BI221" s="37"/>
      <c r="BJ221" s="37"/>
      <c r="BK221" s="37"/>
      <c r="BL221" s="37"/>
      <c r="BM221" s="37"/>
      <c r="BN221" s="37"/>
      <c r="BO221" s="37"/>
      <c r="BP221" s="37"/>
      <c r="BQ221" s="37"/>
      <c r="BR221" s="37"/>
      <c r="BS221" s="37"/>
      <c r="BT221" s="37"/>
      <c r="BU221" s="37"/>
      <c r="BV221" s="37"/>
      <c r="BW221" s="37"/>
      <c r="BX221" s="37"/>
      <c r="BY221" s="37"/>
      <c r="BZ221" s="37"/>
      <c r="CA221" s="37"/>
      <c r="CB221" s="37"/>
      <c r="CC221" s="37"/>
    </row>
    <row r="222" spans="2:89" ht="5.0999999999999996" customHeight="1" x14ac:dyDescent="0.2"/>
    <row r="223" spans="2:89" ht="27.75" x14ac:dyDescent="0.2">
      <c r="B223" s="43" t="s">
        <v>132</v>
      </c>
      <c r="C223" s="44"/>
      <c r="D223" s="707" t="s">
        <v>133</v>
      </c>
      <c r="E223" s="708"/>
      <c r="F223" s="708"/>
      <c r="G223" s="141"/>
      <c r="H223" s="707" t="s">
        <v>134</v>
      </c>
      <c r="I223" s="709"/>
      <c r="J223" s="165" t="s">
        <v>135</v>
      </c>
      <c r="K223" s="141"/>
      <c r="L223" s="166" t="s">
        <v>136</v>
      </c>
      <c r="M223" s="167" t="s">
        <v>137</v>
      </c>
    </row>
    <row r="224" spans="2:89" s="33" customFormat="1" ht="15" customHeight="1" x14ac:dyDescent="0.2">
      <c r="B224" s="704"/>
      <c r="C224" s="705"/>
      <c r="D224" s="704"/>
      <c r="E224" s="706"/>
      <c r="F224" s="706"/>
      <c r="G224" s="705"/>
      <c r="H224" s="704"/>
      <c r="I224" s="705"/>
      <c r="J224" s="704"/>
      <c r="K224" s="705"/>
      <c r="L224" s="168"/>
      <c r="M224" s="93"/>
      <c r="O224"/>
    </row>
    <row r="225" spans="2:88" s="33" customFormat="1" ht="15" customHeight="1" x14ac:dyDescent="0.2">
      <c r="B225" s="704"/>
      <c r="C225" s="705"/>
      <c r="D225" s="704"/>
      <c r="E225" s="706"/>
      <c r="F225" s="706"/>
      <c r="G225" s="705"/>
      <c r="H225" s="704"/>
      <c r="I225" s="705"/>
      <c r="J225" s="169"/>
      <c r="K225" s="170"/>
      <c r="L225" s="168"/>
      <c r="M225" s="171"/>
      <c r="O225"/>
    </row>
    <row r="226" spans="2:88" s="33" customFormat="1" ht="15" customHeight="1" x14ac:dyDescent="0.2">
      <c r="B226" s="704"/>
      <c r="C226" s="705"/>
      <c r="D226" s="704"/>
      <c r="E226" s="706"/>
      <c r="F226" s="706"/>
      <c r="G226" s="705"/>
      <c r="H226" s="704"/>
      <c r="I226" s="705"/>
      <c r="J226" s="169"/>
      <c r="K226" s="170"/>
      <c r="L226" s="172"/>
      <c r="M226" s="172"/>
      <c r="O226"/>
    </row>
    <row r="227" spans="2:88" s="33" customFormat="1" ht="15" customHeight="1" x14ac:dyDescent="0.2">
      <c r="B227" s="704"/>
      <c r="C227" s="705"/>
      <c r="D227" s="704"/>
      <c r="E227" s="706"/>
      <c r="F227" s="706"/>
      <c r="G227" s="705"/>
      <c r="H227" s="704"/>
      <c r="I227" s="705"/>
      <c r="J227" s="169"/>
      <c r="K227" s="170"/>
      <c r="L227" s="172"/>
      <c r="M227" s="172"/>
      <c r="O227"/>
    </row>
    <row r="228" spans="2:88" ht="5.0999999999999996" customHeight="1" x14ac:dyDescent="0.2"/>
    <row r="229" spans="2:88" ht="5.0999999999999996" customHeight="1" x14ac:dyDescent="0.2"/>
    <row r="230" spans="2:88" x14ac:dyDescent="0.2">
      <c r="B230" t="s">
        <v>80</v>
      </c>
    </row>
    <row r="231" spans="2:88" ht="5.0999999999999996" customHeight="1" x14ac:dyDescent="0.2"/>
    <row r="232" spans="2:88" x14ac:dyDescent="0.2">
      <c r="B232" s="43" t="s">
        <v>81</v>
      </c>
      <c r="C232" s="44"/>
      <c r="D232" s="45" t="s">
        <v>82</v>
      </c>
      <c r="E232" s="46"/>
      <c r="F232" s="46"/>
      <c r="G232" s="46"/>
      <c r="H232" s="46"/>
      <c r="I232" s="46"/>
      <c r="J232" s="46"/>
      <c r="K232" s="46"/>
      <c r="L232" s="46"/>
      <c r="M232" s="54"/>
    </row>
    <row r="233" spans="2:88" x14ac:dyDescent="0.2">
      <c r="B233" s="47"/>
      <c r="C233" s="48"/>
      <c r="D233" s="41"/>
      <c r="E233" s="60"/>
      <c r="F233" s="42"/>
      <c r="G233" s="42"/>
      <c r="H233" s="42"/>
      <c r="I233" s="42"/>
      <c r="J233" s="42"/>
      <c r="K233" s="42"/>
      <c r="L233" s="42"/>
      <c r="M233" s="53"/>
    </row>
    <row r="234" spans="2:88" x14ac:dyDescent="0.2">
      <c r="B234" s="47"/>
      <c r="C234" s="48"/>
      <c r="D234" s="41"/>
      <c r="E234" s="60"/>
      <c r="F234" s="42"/>
      <c r="G234" s="42"/>
      <c r="H234" s="42"/>
      <c r="I234" s="42"/>
      <c r="J234" s="42"/>
      <c r="K234" s="42"/>
      <c r="L234" s="42"/>
      <c r="M234" s="53"/>
    </row>
    <row r="235" spans="2:88" x14ac:dyDescent="0.2">
      <c r="B235" s="47"/>
      <c r="C235" s="48"/>
      <c r="D235" s="41"/>
      <c r="E235" s="60"/>
      <c r="F235" s="42"/>
      <c r="G235" s="42"/>
      <c r="H235" s="42"/>
      <c r="I235" s="42"/>
      <c r="J235" s="42"/>
      <c r="K235" s="42"/>
      <c r="L235" s="42"/>
      <c r="M235" s="53"/>
    </row>
    <row r="236" spans="2:88" x14ac:dyDescent="0.2">
      <c r="B236" s="47"/>
      <c r="C236" s="48"/>
      <c r="D236" s="41"/>
      <c r="E236" s="60"/>
      <c r="F236" s="42"/>
      <c r="G236" s="42"/>
      <c r="H236" s="42"/>
      <c r="I236" s="42"/>
      <c r="J236" s="42"/>
      <c r="K236" s="42"/>
      <c r="L236" s="42"/>
      <c r="M236" s="53"/>
      <c r="CE236" s="123"/>
      <c r="CF236" s="124"/>
      <c r="CG236" s="125"/>
    </row>
    <row r="237" spans="2:88" ht="5.0999999999999996" customHeight="1" x14ac:dyDescent="0.2">
      <c r="CE237" s="127"/>
      <c r="CG237" s="128"/>
    </row>
    <row r="238" spans="2:88" x14ac:dyDescent="0.2">
      <c r="B238" s="142" t="s">
        <v>283</v>
      </c>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c r="AA238" s="37"/>
      <c r="AB238" s="37"/>
      <c r="AC238" s="37"/>
      <c r="AD238" s="37"/>
      <c r="AE238" s="37"/>
      <c r="AF238" s="37"/>
      <c r="AG238" s="37"/>
      <c r="AH238" s="37"/>
      <c r="AI238" s="37"/>
      <c r="AJ238" s="37"/>
      <c r="AK238" s="37"/>
      <c r="AL238" s="37"/>
      <c r="AM238" s="37"/>
      <c r="AN238" s="37"/>
      <c r="AO238" s="37"/>
      <c r="AP238" s="37"/>
      <c r="AQ238" s="37"/>
      <c r="AR238" s="37"/>
      <c r="AS238" s="37"/>
      <c r="AT238" s="37"/>
      <c r="AU238" s="37"/>
      <c r="AV238" s="37"/>
      <c r="AW238" s="37"/>
      <c r="AX238" s="37"/>
      <c r="AY238" s="37"/>
      <c r="AZ238" s="37"/>
      <c r="BA238" s="37"/>
      <c r="BB238" s="37"/>
      <c r="BC238" s="37"/>
      <c r="BD238" s="37"/>
      <c r="BE238" s="37"/>
      <c r="BF238" s="37"/>
      <c r="BG238" s="37"/>
      <c r="BH238" s="37"/>
      <c r="BI238" s="37"/>
      <c r="BJ238" s="37"/>
      <c r="BK238" s="37"/>
      <c r="BL238" s="37"/>
      <c r="BM238" s="37"/>
      <c r="BN238" s="37"/>
      <c r="BO238" s="37"/>
      <c r="BP238" s="37"/>
      <c r="BQ238" s="37"/>
      <c r="BR238" s="37"/>
      <c r="BS238" s="37"/>
      <c r="BT238" s="37"/>
      <c r="BU238" s="37"/>
      <c r="BV238" s="37"/>
      <c r="BW238" s="37"/>
      <c r="BX238" s="37"/>
      <c r="BY238" s="37"/>
      <c r="BZ238" s="37"/>
      <c r="CA238" s="37"/>
      <c r="CB238" s="37"/>
      <c r="CC238" s="37"/>
      <c r="CE238" s="127"/>
      <c r="CF238" s="176" t="s">
        <v>84</v>
      </c>
      <c r="CG238" s="128"/>
    </row>
    <row r="239" spans="2:88" ht="5.0999999999999996" customHeight="1" x14ac:dyDescent="0.2">
      <c r="CE239" s="127"/>
      <c r="CG239" s="128"/>
    </row>
    <row r="240" spans="2:88" x14ac:dyDescent="0.2">
      <c r="B240" s="143" t="s">
        <v>284</v>
      </c>
      <c r="C240" s="144"/>
      <c r="D240" s="144"/>
      <c r="E240" s="144"/>
      <c r="F240" s="144"/>
      <c r="G240" s="144"/>
      <c r="H240" s="144"/>
      <c r="I240" s="144"/>
      <c r="J240" s="144"/>
      <c r="K240" s="144"/>
      <c r="L240" s="144"/>
      <c r="M240" s="144"/>
      <c r="N240" s="144"/>
      <c r="O240" s="144"/>
      <c r="P240" s="144"/>
      <c r="Q240" s="144"/>
      <c r="R240" s="144"/>
      <c r="S240" s="144"/>
      <c r="T240" s="144"/>
      <c r="U240" s="144"/>
      <c r="V240" s="144"/>
      <c r="W240" s="144"/>
      <c r="X240" s="144"/>
      <c r="Y240" s="144"/>
      <c r="Z240" s="144"/>
      <c r="AA240" s="144"/>
      <c r="AB240" s="144"/>
      <c r="AC240" s="144"/>
      <c r="AD240" s="144"/>
      <c r="AE240" s="144"/>
      <c r="AF240" s="144"/>
      <c r="AG240" s="144"/>
      <c r="AH240" s="144"/>
      <c r="AI240" s="144"/>
      <c r="AJ240" s="144"/>
      <c r="AK240" s="144"/>
      <c r="AL240" s="144"/>
      <c r="AM240" s="144"/>
      <c r="AN240" s="144"/>
      <c r="AO240" s="144"/>
      <c r="AP240" s="144"/>
      <c r="AQ240" s="144"/>
      <c r="AR240" s="144"/>
      <c r="AS240" s="144"/>
      <c r="AT240" s="144"/>
      <c r="AU240" s="144"/>
      <c r="AV240" s="144"/>
      <c r="AW240" s="144"/>
      <c r="AX240" s="144"/>
      <c r="AY240" s="144"/>
      <c r="AZ240" s="144"/>
      <c r="BA240" s="144"/>
      <c r="BB240" s="144"/>
      <c r="BC240" s="144"/>
      <c r="BD240" s="144"/>
      <c r="BE240" s="144"/>
      <c r="BF240" s="144"/>
      <c r="BG240" s="144"/>
      <c r="BH240" s="144"/>
      <c r="BI240" s="144"/>
      <c r="BJ240" s="144"/>
      <c r="BK240" s="144"/>
      <c r="BL240" s="144"/>
      <c r="BM240" s="144"/>
      <c r="BN240" s="144"/>
      <c r="BO240" s="144"/>
      <c r="BP240" s="144"/>
      <c r="BQ240" s="144"/>
      <c r="BR240" s="144"/>
      <c r="BS240" s="144"/>
      <c r="BT240" s="144"/>
      <c r="BU240" s="144"/>
      <c r="BV240" s="144"/>
      <c r="BW240" s="144"/>
      <c r="BX240" s="144"/>
      <c r="BY240" s="144"/>
      <c r="BZ240" s="144"/>
      <c r="CA240" s="144"/>
      <c r="CB240" s="144"/>
      <c r="CC240" s="144"/>
      <c r="CE240" s="127"/>
      <c r="CF240" s="68" t="s">
        <v>86</v>
      </c>
      <c r="CG240" s="177"/>
      <c r="CJ240" s="34"/>
    </row>
    <row r="241" spans="2:88" ht="5.0999999999999996" customHeight="1" x14ac:dyDescent="0.2">
      <c r="CE241" s="127"/>
      <c r="CG241" s="128"/>
    </row>
    <row r="242" spans="2:88" s="34" customFormat="1" ht="48" customHeight="1" x14ac:dyDescent="0.2">
      <c r="B242" s="633" t="s">
        <v>140</v>
      </c>
      <c r="C242" s="634"/>
      <c r="D242" s="634"/>
      <c r="E242" s="634"/>
      <c r="F242" s="635"/>
      <c r="G242"/>
      <c r="H242" s="145"/>
      <c r="J242" s="633" t="s">
        <v>141</v>
      </c>
      <c r="K242" s="634"/>
      <c r="L242" s="635"/>
      <c r="M242" s="145"/>
      <c r="N242" s="633" t="s">
        <v>285</v>
      </c>
      <c r="O242" s="634"/>
      <c r="P242" s="635"/>
      <c r="Q242" s="145"/>
      <c r="CE242" s="178"/>
      <c r="CF242" s="49" t="s">
        <v>143</v>
      </c>
      <c r="CG242" s="177"/>
    </row>
    <row r="243" spans="2:88" ht="5.0999999999999996" customHeight="1" x14ac:dyDescent="0.2">
      <c r="H243" s="80"/>
      <c r="CE243" s="127"/>
      <c r="CF243" s="36"/>
      <c r="CG243" s="128"/>
    </row>
    <row r="244" spans="2:88" s="34" customFormat="1" ht="45.95" customHeight="1" x14ac:dyDescent="0.2">
      <c r="B244" s="146" t="s">
        <v>286</v>
      </c>
      <c r="C244" s="147"/>
      <c r="D244" s="148"/>
      <c r="F244" s="149"/>
      <c r="G244" s="150"/>
      <c r="H244" s="151"/>
      <c r="J244" s="684" t="s">
        <v>287</v>
      </c>
      <c r="K244" s="685"/>
      <c r="L244" s="149"/>
      <c r="M244" s="173"/>
      <c r="N244" s="174" t="s">
        <v>148</v>
      </c>
      <c r="O244" s="695" t="s">
        <v>288</v>
      </c>
      <c r="P244" s="696"/>
      <c r="Q244" s="697"/>
      <c r="CE244" s="178"/>
      <c r="CF244" s="179" t="s">
        <v>70</v>
      </c>
      <c r="CG244" s="177"/>
      <c r="CH244"/>
    </row>
    <row r="245" spans="2:88" ht="5.0999999999999996" customHeight="1" x14ac:dyDescent="0.2">
      <c r="F245" s="80"/>
      <c r="G245" s="80"/>
      <c r="H245" s="80"/>
      <c r="J245" s="36"/>
      <c r="K245" s="36"/>
      <c r="L245" s="80"/>
      <c r="M245" s="175"/>
      <c r="O245" s="698"/>
      <c r="P245" s="699"/>
      <c r="Q245" s="700"/>
      <c r="CE245" s="127"/>
      <c r="CF245" s="36"/>
      <c r="CG245" s="128"/>
    </row>
    <row r="246" spans="2:88" s="34" customFormat="1" ht="47.1" customHeight="1" x14ac:dyDescent="0.2">
      <c r="B246" s="146" t="s">
        <v>289</v>
      </c>
      <c r="C246" s="147"/>
      <c r="D246" s="148"/>
      <c r="F246" s="149"/>
      <c r="G246" s="150"/>
      <c r="H246" s="151"/>
      <c r="J246" s="684" t="s">
        <v>290</v>
      </c>
      <c r="K246" s="685"/>
      <c r="L246" s="149"/>
      <c r="M246" s="173"/>
      <c r="O246" s="701"/>
      <c r="P246" s="702"/>
      <c r="Q246" s="703"/>
      <c r="CE246" s="178"/>
      <c r="CF246" s="179" t="s">
        <v>67</v>
      </c>
      <c r="CG246" s="177"/>
      <c r="CH246"/>
    </row>
    <row r="247" spans="2:88" s="34" customFormat="1" ht="5.0999999999999996" customHeight="1" x14ac:dyDescent="0.2">
      <c r="CE247" s="178"/>
      <c r="CG247" s="177"/>
      <c r="CH247"/>
    </row>
    <row r="248" spans="2:88" x14ac:dyDescent="0.2">
      <c r="B248" s="143" t="s">
        <v>291</v>
      </c>
      <c r="C248" s="144"/>
      <c r="D248" s="144"/>
      <c r="E248" s="144"/>
      <c r="F248" s="144"/>
      <c r="G248" s="144"/>
      <c r="H248" s="144"/>
      <c r="I248" s="144"/>
      <c r="J248" s="144"/>
      <c r="K248" s="144"/>
      <c r="L248" s="144"/>
      <c r="M248" s="144"/>
      <c r="N248" s="144"/>
      <c r="O248" s="144"/>
      <c r="P248" s="144"/>
      <c r="Q248" s="144"/>
      <c r="CF248" s="34"/>
      <c r="CG248" s="34"/>
      <c r="CI248" s="34"/>
      <c r="CJ248" s="34"/>
    </row>
    <row r="249" spans="2:88" ht="5.0999999999999996" customHeight="1" x14ac:dyDescent="0.2">
      <c r="CF249" s="34"/>
      <c r="CG249" s="34"/>
      <c r="CI249" s="34"/>
      <c r="CJ249" s="34"/>
    </row>
    <row r="250" spans="2:88" ht="26.1" customHeight="1" x14ac:dyDescent="0.2">
      <c r="F250" s="82" t="s">
        <v>153</v>
      </c>
      <c r="G250" s="69"/>
      <c r="H250" s="82" t="s">
        <v>154</v>
      </c>
      <c r="J250" s="92" t="s">
        <v>155</v>
      </c>
      <c r="L250" s="660" t="s">
        <v>156</v>
      </c>
      <c r="M250" s="661"/>
      <c r="N250" s="661"/>
      <c r="O250" s="661"/>
      <c r="P250" s="661"/>
      <c r="Q250" s="662"/>
      <c r="CF250" s="34"/>
      <c r="CG250" s="34"/>
      <c r="CI250" s="34"/>
      <c r="CJ250" s="34"/>
    </row>
    <row r="251" spans="2:88" ht="5.0999999999999996" customHeight="1" x14ac:dyDescent="0.2"/>
    <row r="252" spans="2:88" x14ac:dyDescent="0.2">
      <c r="B252" s="77" t="s">
        <v>157</v>
      </c>
      <c r="C252" s="78"/>
      <c r="D252" s="79"/>
      <c r="F252" s="152">
        <f>+H138</f>
        <v>43466</v>
      </c>
      <c r="H252" s="153">
        <v>43739</v>
      </c>
      <c r="J252" s="154">
        <f>(+H252-F252)/30</f>
        <v>9.1</v>
      </c>
      <c r="L252" s="686"/>
      <c r="M252" s="687"/>
      <c r="N252" s="687"/>
      <c r="O252" s="687"/>
      <c r="P252" s="687"/>
      <c r="Q252" s="688"/>
    </row>
    <row r="253" spans="2:88" ht="5.0999999999999996" customHeight="1" x14ac:dyDescent="0.2">
      <c r="B253" s="32"/>
      <c r="C253" s="32"/>
      <c r="D253" s="32"/>
      <c r="H253" s="80"/>
      <c r="J253" s="23"/>
      <c r="L253" s="689"/>
      <c r="M253" s="690"/>
      <c r="N253" s="690"/>
      <c r="O253" s="690"/>
      <c r="P253" s="690"/>
      <c r="Q253" s="691"/>
    </row>
    <row r="254" spans="2:88" x14ac:dyDescent="0.2">
      <c r="B254" s="77" t="s">
        <v>159</v>
      </c>
      <c r="C254" s="78"/>
      <c r="D254" s="79"/>
      <c r="F254" s="152">
        <f>+H140</f>
        <v>44196</v>
      </c>
      <c r="H254" s="153">
        <v>44501</v>
      </c>
      <c r="J254" s="154">
        <f>(+H254-F254)/30</f>
        <v>10.166666666666666</v>
      </c>
      <c r="L254" s="689"/>
      <c r="M254" s="690"/>
      <c r="N254" s="690"/>
      <c r="O254" s="690"/>
      <c r="P254" s="690"/>
      <c r="Q254" s="691"/>
    </row>
    <row r="255" spans="2:88" s="32" customFormat="1" ht="5.0999999999999996" customHeight="1" x14ac:dyDescent="0.2">
      <c r="F255"/>
      <c r="G255"/>
      <c r="H255" s="80"/>
      <c r="I255"/>
      <c r="J255"/>
      <c r="L255" s="689"/>
      <c r="M255" s="690"/>
      <c r="N255" s="690"/>
      <c r="O255" s="690"/>
      <c r="P255" s="690"/>
      <c r="Q255" s="691"/>
      <c r="U255"/>
    </row>
    <row r="256" spans="2:88" x14ac:dyDescent="0.2">
      <c r="B256" s="77" t="s">
        <v>160</v>
      </c>
      <c r="C256" s="78"/>
      <c r="D256" s="79"/>
      <c r="F256" s="154">
        <f>(F254-F252)/30</f>
        <v>24.333333333333332</v>
      </c>
      <c r="H256" s="155">
        <f>(H254-H252)/30</f>
        <v>25.4</v>
      </c>
      <c r="J256" s="154">
        <f>+H256-F256</f>
        <v>1.0666666666666664</v>
      </c>
      <c r="L256" s="692"/>
      <c r="M256" s="693"/>
      <c r="N256" s="693"/>
      <c r="O256" s="693"/>
      <c r="P256" s="693"/>
      <c r="Q256" s="694"/>
    </row>
    <row r="257" spans="2:88" s="32" customFormat="1" ht="5.0999999999999996" customHeight="1" x14ac:dyDescent="0.2"/>
    <row r="258" spans="2:88" x14ac:dyDescent="0.2">
      <c r="B258" s="143" t="s">
        <v>292</v>
      </c>
      <c r="C258" s="144"/>
      <c r="D258" s="144"/>
      <c r="E258" s="144"/>
      <c r="F258" s="144"/>
      <c r="G258" s="144"/>
      <c r="H258" s="144"/>
      <c r="I258" s="144"/>
      <c r="J258" s="188"/>
      <c r="K258" s="67"/>
      <c r="L258" s="67"/>
      <c r="M258" s="67"/>
      <c r="N258" s="67"/>
      <c r="O258" s="67"/>
      <c r="P258" s="67"/>
      <c r="Q258" s="121"/>
      <c r="R258" s="67"/>
      <c r="S258" s="67"/>
      <c r="T258" s="67"/>
      <c r="U258" s="67"/>
      <c r="V258" s="67"/>
      <c r="W258" s="67"/>
      <c r="X258" s="67"/>
      <c r="Y258" s="67"/>
      <c r="Z258" s="67"/>
      <c r="AA258" s="67"/>
      <c r="AB258" s="67"/>
      <c r="AC258" s="67"/>
      <c r="AD258" s="67"/>
      <c r="AE258" s="67"/>
      <c r="AF258" s="67"/>
      <c r="AG258" s="67"/>
      <c r="AH258" s="67"/>
      <c r="AI258" s="67"/>
      <c r="AJ258" s="67"/>
      <c r="AK258" s="67"/>
      <c r="AL258" s="67"/>
      <c r="AM258" s="67"/>
      <c r="AN258" s="67"/>
      <c r="AO258" s="67"/>
      <c r="AP258" s="67"/>
      <c r="AQ258" s="67"/>
      <c r="AR258" s="67"/>
      <c r="AS258" s="67"/>
      <c r="AT258" s="67"/>
      <c r="AU258" s="67"/>
      <c r="AV258" s="67"/>
      <c r="AW258" s="67"/>
      <c r="AX258" s="67"/>
      <c r="AY258" s="67"/>
      <c r="AZ258" s="67"/>
      <c r="BA258" s="67"/>
      <c r="BB258" s="67"/>
      <c r="BC258" s="67"/>
      <c r="BD258" s="67"/>
      <c r="BE258" s="67"/>
      <c r="BF258" s="67"/>
      <c r="BG258" s="67"/>
      <c r="BH258" s="67"/>
      <c r="BI258" s="67"/>
      <c r="BJ258" s="67"/>
      <c r="BK258" s="67"/>
      <c r="BL258" s="67"/>
      <c r="BM258" s="67"/>
      <c r="BN258" s="67"/>
      <c r="BO258" s="67"/>
      <c r="BP258" s="67"/>
      <c r="BQ258" s="67"/>
      <c r="BR258" s="67"/>
      <c r="BS258" s="67"/>
      <c r="BT258" s="67"/>
      <c r="BU258" s="67"/>
      <c r="BV258" s="67"/>
      <c r="BW258" s="67"/>
      <c r="BX258" s="67"/>
      <c r="BY258" s="67"/>
      <c r="BZ258" s="67"/>
      <c r="CA258" s="67"/>
      <c r="CB258" s="67"/>
      <c r="CC258" s="67"/>
      <c r="CE258" s="130"/>
      <c r="CF258" s="199"/>
      <c r="CG258" s="200"/>
      <c r="CI258" s="34"/>
      <c r="CJ258" s="34"/>
    </row>
    <row r="259" spans="2:88" ht="5.0999999999999996" customHeight="1" x14ac:dyDescent="0.2">
      <c r="CF259" s="34"/>
      <c r="CG259" s="34"/>
      <c r="CI259" s="34"/>
      <c r="CJ259" s="34"/>
    </row>
    <row r="260" spans="2:88" ht="41.1" customHeight="1" x14ac:dyDescent="0.2">
      <c r="F260" s="83" t="s">
        <v>162</v>
      </c>
      <c r="G260" s="69"/>
      <c r="J260" s="106" t="e">
        <f>+J207</f>
        <v>#N/A</v>
      </c>
      <c r="K260" s="106" t="e">
        <f t="shared" ref="K260:BV260" si="99">+K207</f>
        <v>#N/A</v>
      </c>
      <c r="L260" s="106" t="e">
        <f t="shared" si="99"/>
        <v>#N/A</v>
      </c>
      <c r="M260" s="106" t="e">
        <f t="shared" si="99"/>
        <v>#N/A</v>
      </c>
      <c r="N260" s="106" t="e">
        <f t="shared" si="99"/>
        <v>#N/A</v>
      </c>
      <c r="O260" s="106" t="e">
        <f t="shared" si="99"/>
        <v>#N/A</v>
      </c>
      <c r="P260" s="106" t="e">
        <f t="shared" si="99"/>
        <v>#N/A</v>
      </c>
      <c r="Q260" s="106" t="e">
        <f t="shared" si="99"/>
        <v>#N/A</v>
      </c>
      <c r="R260" s="106" t="e">
        <f t="shared" si="99"/>
        <v>#N/A</v>
      </c>
      <c r="S260" s="106" t="e">
        <f t="shared" si="99"/>
        <v>#N/A</v>
      </c>
      <c r="T260" s="106" t="e">
        <f t="shared" si="99"/>
        <v>#N/A</v>
      </c>
      <c r="U260" s="106" t="e">
        <f t="shared" si="99"/>
        <v>#N/A</v>
      </c>
      <c r="V260" s="106" t="e">
        <f t="shared" si="99"/>
        <v>#N/A</v>
      </c>
      <c r="W260" s="106" t="e">
        <f t="shared" si="99"/>
        <v>#N/A</v>
      </c>
      <c r="X260" s="106" t="e">
        <f t="shared" si="99"/>
        <v>#N/A</v>
      </c>
      <c r="Y260" s="106" t="e">
        <f t="shared" si="99"/>
        <v>#N/A</v>
      </c>
      <c r="Z260" s="106" t="e">
        <f t="shared" si="99"/>
        <v>#N/A</v>
      </c>
      <c r="AA260" s="106" t="e">
        <f t="shared" si="99"/>
        <v>#N/A</v>
      </c>
      <c r="AB260" s="106" t="e">
        <f t="shared" si="99"/>
        <v>#N/A</v>
      </c>
      <c r="AC260" s="106" t="e">
        <f t="shared" si="99"/>
        <v>#N/A</v>
      </c>
      <c r="AD260" s="106" t="e">
        <f t="shared" si="99"/>
        <v>#N/A</v>
      </c>
      <c r="AE260" s="106" t="e">
        <f t="shared" si="99"/>
        <v>#N/A</v>
      </c>
      <c r="AF260" s="106" t="e">
        <f t="shared" si="99"/>
        <v>#N/A</v>
      </c>
      <c r="AG260" s="106" t="e">
        <f t="shared" si="99"/>
        <v>#N/A</v>
      </c>
      <c r="AH260" s="106" t="e">
        <f t="shared" si="99"/>
        <v>#N/A</v>
      </c>
      <c r="AI260" s="106" t="e">
        <f t="shared" si="99"/>
        <v>#N/A</v>
      </c>
      <c r="AJ260" s="106" t="e">
        <f t="shared" si="99"/>
        <v>#N/A</v>
      </c>
      <c r="AK260" s="106" t="e">
        <f t="shared" si="99"/>
        <v>#N/A</v>
      </c>
      <c r="AL260" s="106" t="e">
        <f t="shared" si="99"/>
        <v>#N/A</v>
      </c>
      <c r="AM260" s="106" t="e">
        <f t="shared" si="99"/>
        <v>#N/A</v>
      </c>
      <c r="AN260" s="106" t="e">
        <f t="shared" si="99"/>
        <v>#N/A</v>
      </c>
      <c r="AO260" s="106" t="e">
        <f t="shared" si="99"/>
        <v>#N/A</v>
      </c>
      <c r="AP260" s="106" t="e">
        <f t="shared" si="99"/>
        <v>#N/A</v>
      </c>
      <c r="AQ260" s="106" t="e">
        <f t="shared" si="99"/>
        <v>#N/A</v>
      </c>
      <c r="AR260" s="106" t="e">
        <f t="shared" si="99"/>
        <v>#N/A</v>
      </c>
      <c r="AS260" s="106" t="e">
        <f t="shared" si="99"/>
        <v>#N/A</v>
      </c>
      <c r="AT260" s="106" t="e">
        <f t="shared" si="99"/>
        <v>#N/A</v>
      </c>
      <c r="AU260" s="106" t="e">
        <f t="shared" si="99"/>
        <v>#N/A</v>
      </c>
      <c r="AV260" s="106" t="e">
        <f t="shared" si="99"/>
        <v>#N/A</v>
      </c>
      <c r="AW260" s="106" t="e">
        <f t="shared" si="99"/>
        <v>#N/A</v>
      </c>
      <c r="AX260" s="106" t="e">
        <f t="shared" si="99"/>
        <v>#N/A</v>
      </c>
      <c r="AY260" s="106" t="e">
        <f t="shared" si="99"/>
        <v>#N/A</v>
      </c>
      <c r="AZ260" s="106" t="e">
        <f t="shared" si="99"/>
        <v>#N/A</v>
      </c>
      <c r="BA260" s="106" t="e">
        <f t="shared" si="99"/>
        <v>#N/A</v>
      </c>
      <c r="BB260" s="106" t="e">
        <f t="shared" si="99"/>
        <v>#N/A</v>
      </c>
      <c r="BC260" s="106" t="e">
        <f t="shared" si="99"/>
        <v>#N/A</v>
      </c>
      <c r="BD260" s="106" t="e">
        <f t="shared" si="99"/>
        <v>#N/A</v>
      </c>
      <c r="BE260" s="106" t="e">
        <f t="shared" si="99"/>
        <v>#N/A</v>
      </c>
      <c r="BF260" s="106" t="e">
        <f t="shared" si="99"/>
        <v>#N/A</v>
      </c>
      <c r="BG260" s="106" t="e">
        <f t="shared" si="99"/>
        <v>#N/A</v>
      </c>
      <c r="BH260" s="106" t="e">
        <f t="shared" si="99"/>
        <v>#N/A</v>
      </c>
      <c r="BI260" s="106" t="e">
        <f t="shared" si="99"/>
        <v>#N/A</v>
      </c>
      <c r="BJ260" s="106" t="e">
        <f t="shared" si="99"/>
        <v>#N/A</v>
      </c>
      <c r="BK260" s="106" t="e">
        <f t="shared" si="99"/>
        <v>#N/A</v>
      </c>
      <c r="BL260" s="106" t="e">
        <f t="shared" si="99"/>
        <v>#N/A</v>
      </c>
      <c r="BM260" s="106" t="e">
        <f t="shared" si="99"/>
        <v>#N/A</v>
      </c>
      <c r="BN260" s="106" t="e">
        <f t="shared" si="99"/>
        <v>#N/A</v>
      </c>
      <c r="BO260" s="106" t="e">
        <f t="shared" si="99"/>
        <v>#N/A</v>
      </c>
      <c r="BP260" s="106" t="e">
        <f t="shared" si="99"/>
        <v>#N/A</v>
      </c>
      <c r="BQ260" s="106" t="e">
        <f t="shared" si="99"/>
        <v>#N/A</v>
      </c>
      <c r="BR260" s="106" t="e">
        <f t="shared" si="99"/>
        <v>#N/A</v>
      </c>
      <c r="BS260" s="106" t="e">
        <f t="shared" si="99"/>
        <v>#N/A</v>
      </c>
      <c r="BT260" s="106" t="e">
        <f t="shared" si="99"/>
        <v>#N/A</v>
      </c>
      <c r="BU260" s="106" t="e">
        <f t="shared" si="99"/>
        <v>#N/A</v>
      </c>
      <c r="BV260" s="106" t="e">
        <f t="shared" si="99"/>
        <v>#N/A</v>
      </c>
      <c r="BW260" s="106" t="e">
        <f t="shared" ref="BW260:CC260" si="100">+BW207</f>
        <v>#N/A</v>
      </c>
      <c r="BX260" s="106" t="e">
        <f t="shared" si="100"/>
        <v>#N/A</v>
      </c>
      <c r="BY260" s="106" t="e">
        <f t="shared" si="100"/>
        <v>#N/A</v>
      </c>
      <c r="BZ260" s="106" t="e">
        <f t="shared" si="100"/>
        <v>#N/A</v>
      </c>
      <c r="CA260" s="106" t="e">
        <f t="shared" si="100"/>
        <v>#N/A</v>
      </c>
      <c r="CB260" s="106" t="e">
        <f t="shared" si="100"/>
        <v>#N/A</v>
      </c>
      <c r="CC260" s="106" t="e">
        <f t="shared" si="100"/>
        <v>#N/A</v>
      </c>
      <c r="CF260" s="34"/>
      <c r="CG260" s="34"/>
      <c r="CI260" s="34"/>
      <c r="CJ260" s="34"/>
    </row>
    <row r="261" spans="2:88" ht="5.0999999999999996" customHeight="1" x14ac:dyDescent="0.2">
      <c r="J261" s="32"/>
      <c r="K261" s="32"/>
      <c r="L261" s="32"/>
      <c r="M261" s="32"/>
      <c r="N261" s="32"/>
      <c r="O261" s="32"/>
      <c r="P261" s="32"/>
      <c r="Q261" s="32"/>
      <c r="CF261" s="34"/>
      <c r="CG261" s="34"/>
      <c r="CI261" s="34"/>
      <c r="CJ261" s="34"/>
    </row>
    <row r="262" spans="2:88" x14ac:dyDescent="0.2">
      <c r="B262" s="77" t="s">
        <v>163</v>
      </c>
      <c r="C262" s="78"/>
      <c r="D262" s="79"/>
      <c r="F262" s="180">
        <f>+F148</f>
        <v>2501.7638750656374</v>
      </c>
      <c r="G262" s="175"/>
      <c r="I262" s="80"/>
      <c r="J262" s="107" t="e">
        <f>HLOOKUP(J260,'IPIM y USD'!$D$6:$KV$8,3,FALSE)</f>
        <v>#N/A</v>
      </c>
      <c r="K262" s="107" t="e">
        <f>HLOOKUP(K260,'IPIM y USD'!$D$6:$KV$8,3,FALSE)</f>
        <v>#N/A</v>
      </c>
      <c r="L262" s="107" t="e">
        <f>HLOOKUP(L260,'IPIM y USD'!$D$6:$KV$8,3,FALSE)</f>
        <v>#N/A</v>
      </c>
      <c r="M262" s="107" t="e">
        <f>HLOOKUP(M260,'IPIM y USD'!$D$6:$KV$8,3,FALSE)</f>
        <v>#N/A</v>
      </c>
      <c r="N262" s="107" t="e">
        <f>HLOOKUP(N260,'IPIM y USD'!$D$6:$KV$8,3,FALSE)</f>
        <v>#N/A</v>
      </c>
      <c r="O262" s="107" t="e">
        <f>HLOOKUP(O260,'IPIM y USD'!$D$6:$KV$8,3,FALSE)</f>
        <v>#N/A</v>
      </c>
      <c r="P262" s="107" t="e">
        <f>HLOOKUP(P260,'IPIM y USD'!$D$6:$KV$8,3,FALSE)</f>
        <v>#N/A</v>
      </c>
      <c r="Q262" s="107" t="e">
        <f>HLOOKUP(Q260,'IPIM y USD'!$D$6:$KV$8,3,FALSE)</f>
        <v>#N/A</v>
      </c>
      <c r="R262" s="107" t="e">
        <f>HLOOKUP(R260,'IPIM y USD'!$D$6:$KV$8,3,FALSE)</f>
        <v>#N/A</v>
      </c>
      <c r="S262" s="107" t="e">
        <f>HLOOKUP(S260,'IPIM y USD'!$D$6:$KV$8,3,FALSE)</f>
        <v>#N/A</v>
      </c>
      <c r="T262" s="107" t="e">
        <f>HLOOKUP(T260,'IPIM y USD'!$D$6:$KV$8,3,FALSE)</f>
        <v>#N/A</v>
      </c>
      <c r="U262" s="107" t="e">
        <f>HLOOKUP(U260,'IPIM y USD'!$D$6:$KV$8,3,FALSE)</f>
        <v>#N/A</v>
      </c>
      <c r="V262" s="107" t="e">
        <f>HLOOKUP(V260,'IPIM y USD'!$D$6:$KV$8,3,FALSE)</f>
        <v>#N/A</v>
      </c>
      <c r="W262" s="107" t="e">
        <f>HLOOKUP(W260,'IPIM y USD'!$D$6:$KV$8,3,FALSE)</f>
        <v>#N/A</v>
      </c>
      <c r="X262" s="107" t="e">
        <f>HLOOKUP(X260,'IPIM y USD'!$D$6:$KV$8,3,FALSE)</f>
        <v>#N/A</v>
      </c>
      <c r="Y262" s="107" t="e">
        <f>HLOOKUP(Y260,'IPIM y USD'!$D$6:$KV$8,3,FALSE)</f>
        <v>#N/A</v>
      </c>
      <c r="Z262" s="107" t="e">
        <f>HLOOKUP(Z260,'IPIM y USD'!$D$6:$KV$8,3,FALSE)</f>
        <v>#N/A</v>
      </c>
      <c r="AA262" s="107" t="e">
        <f>HLOOKUP(AA260,'IPIM y USD'!$D$6:$KV$8,3,FALSE)</f>
        <v>#N/A</v>
      </c>
      <c r="AB262" s="107" t="e">
        <f>HLOOKUP(AB260,'IPIM y USD'!$D$6:$KV$8,3,FALSE)</f>
        <v>#N/A</v>
      </c>
      <c r="AC262" s="107" t="e">
        <f>HLOOKUP(AC260,'IPIM y USD'!$D$6:$KV$8,3,FALSE)</f>
        <v>#N/A</v>
      </c>
      <c r="AD262" s="107" t="e">
        <f>HLOOKUP(AD260,'IPIM y USD'!$D$6:$KV$8,3,FALSE)</f>
        <v>#N/A</v>
      </c>
      <c r="AE262" s="107" t="e">
        <f>HLOOKUP(AE260,'IPIM y USD'!$D$6:$KV$8,3,FALSE)</f>
        <v>#N/A</v>
      </c>
      <c r="AF262" s="107" t="e">
        <f>HLOOKUP(AF260,'IPIM y USD'!$D$6:$KV$8,3,FALSE)</f>
        <v>#N/A</v>
      </c>
      <c r="AG262" s="107" t="e">
        <f>HLOOKUP(AG260,'IPIM y USD'!$D$6:$KV$8,3,FALSE)</f>
        <v>#N/A</v>
      </c>
      <c r="AH262" s="107" t="e">
        <f>HLOOKUP(AH260,'IPIM y USD'!$D$6:$KV$8,3,FALSE)</f>
        <v>#N/A</v>
      </c>
      <c r="AI262" s="107" t="e">
        <f>HLOOKUP(AI260,'IPIM y USD'!$D$6:$KV$8,3,FALSE)</f>
        <v>#N/A</v>
      </c>
      <c r="AJ262" s="107" t="e">
        <f>HLOOKUP(AJ260,'IPIM y USD'!$D$6:$KV$8,3,FALSE)</f>
        <v>#N/A</v>
      </c>
      <c r="AK262" s="107" t="e">
        <f>HLOOKUP(AK260,'IPIM y USD'!$D$6:$KV$8,3,FALSE)</f>
        <v>#N/A</v>
      </c>
      <c r="AL262" s="107" t="e">
        <f>HLOOKUP(AL260,'IPIM y USD'!$D$6:$KV$8,3,FALSE)</f>
        <v>#N/A</v>
      </c>
      <c r="AM262" s="107" t="e">
        <f>HLOOKUP(AM260,'IPIM y USD'!$D$6:$KV$8,3,FALSE)</f>
        <v>#N/A</v>
      </c>
      <c r="AN262" s="107" t="e">
        <f>HLOOKUP(AN260,'IPIM y USD'!$D$6:$KV$8,3,FALSE)</f>
        <v>#N/A</v>
      </c>
      <c r="AO262" s="107" t="e">
        <f>HLOOKUP(AO260,'IPIM y USD'!$D$6:$KV$8,3,FALSE)</f>
        <v>#N/A</v>
      </c>
      <c r="AP262" s="107" t="e">
        <f>HLOOKUP(AP260,'IPIM y USD'!$D$6:$KV$8,3,FALSE)</f>
        <v>#N/A</v>
      </c>
      <c r="AQ262" s="107" t="e">
        <f>HLOOKUP(AQ260,'IPIM y USD'!$D$6:$KV$8,3,FALSE)</f>
        <v>#N/A</v>
      </c>
      <c r="AR262" s="107" t="e">
        <f>HLOOKUP(AR260,'IPIM y USD'!$D$6:$KV$8,3,FALSE)</f>
        <v>#N/A</v>
      </c>
      <c r="AS262" s="107" t="e">
        <f>HLOOKUP(AS260,'IPIM y USD'!$D$6:$KV$8,3,FALSE)</f>
        <v>#N/A</v>
      </c>
      <c r="AT262" s="107" t="e">
        <f>HLOOKUP(AT260,'IPIM y USD'!$D$6:$KV$8,3,FALSE)</f>
        <v>#N/A</v>
      </c>
      <c r="AU262" s="107" t="e">
        <f>HLOOKUP(AU260,'IPIM y USD'!$D$6:$KV$8,3,FALSE)</f>
        <v>#N/A</v>
      </c>
      <c r="AV262" s="107" t="e">
        <f>HLOOKUP(AV260,'IPIM y USD'!$D$6:$KV$8,3,FALSE)</f>
        <v>#N/A</v>
      </c>
      <c r="AW262" s="107" t="e">
        <f>HLOOKUP(AW260,'IPIM y USD'!$D$6:$KV$8,3,FALSE)</f>
        <v>#N/A</v>
      </c>
      <c r="AX262" s="107" t="e">
        <f>HLOOKUP(AX260,'IPIM y USD'!$D$6:$KV$8,3,FALSE)</f>
        <v>#N/A</v>
      </c>
      <c r="AY262" s="107" t="e">
        <f>HLOOKUP(AY260,'IPIM y USD'!$D$6:$KV$8,3,FALSE)</f>
        <v>#N/A</v>
      </c>
      <c r="AZ262" s="107" t="e">
        <f>HLOOKUP(AZ260,'IPIM y USD'!$D$6:$KV$8,3,FALSE)</f>
        <v>#N/A</v>
      </c>
      <c r="BA262" s="107" t="e">
        <f>HLOOKUP(BA260,'IPIM y USD'!$D$6:$KV$8,3,FALSE)</f>
        <v>#N/A</v>
      </c>
      <c r="BB262" s="107" t="e">
        <f>HLOOKUP(BB260,'IPIM y USD'!$D$6:$KV$8,3,FALSE)</f>
        <v>#N/A</v>
      </c>
      <c r="BC262" s="107" t="e">
        <f>HLOOKUP(BC260,'IPIM y USD'!$D$6:$KV$8,3,FALSE)</f>
        <v>#N/A</v>
      </c>
      <c r="BD262" s="107" t="e">
        <f>HLOOKUP(BD260,'IPIM y USD'!$D$6:$KV$8,3,FALSE)</f>
        <v>#N/A</v>
      </c>
      <c r="BE262" s="107" t="e">
        <f>HLOOKUP(BE260,'IPIM y USD'!$D$6:$KV$8,3,FALSE)</f>
        <v>#N/A</v>
      </c>
      <c r="BF262" s="107" t="e">
        <f>HLOOKUP(BF260,'IPIM y USD'!$D$6:$KV$8,3,FALSE)</f>
        <v>#N/A</v>
      </c>
      <c r="BG262" s="107" t="e">
        <f>HLOOKUP(BG260,'IPIM y USD'!$D$6:$KV$8,3,FALSE)</f>
        <v>#N/A</v>
      </c>
      <c r="BH262" s="107" t="e">
        <f>HLOOKUP(BH260,'IPIM y USD'!$D$6:$KV$8,3,FALSE)</f>
        <v>#N/A</v>
      </c>
      <c r="BI262" s="107" t="e">
        <f>HLOOKUP(BI260,'IPIM y USD'!$D$6:$KV$8,3,FALSE)</f>
        <v>#N/A</v>
      </c>
      <c r="BJ262" s="107" t="e">
        <f>HLOOKUP(BJ260,'IPIM y USD'!$D$6:$KV$8,3,FALSE)</f>
        <v>#N/A</v>
      </c>
      <c r="BK262" s="107" t="e">
        <f>HLOOKUP(BK260,'IPIM y USD'!$D$6:$KV$8,3,FALSE)</f>
        <v>#N/A</v>
      </c>
      <c r="BL262" s="107" t="e">
        <f>HLOOKUP(BL260,'IPIM y USD'!$D$6:$KV$8,3,FALSE)</f>
        <v>#N/A</v>
      </c>
      <c r="BM262" s="107" t="e">
        <f>HLOOKUP(BM260,'IPIM y USD'!$D$6:$KV$8,3,FALSE)</f>
        <v>#N/A</v>
      </c>
      <c r="BN262" s="107" t="e">
        <f>HLOOKUP(BN260,'IPIM y USD'!$D$6:$KV$8,3,FALSE)</f>
        <v>#N/A</v>
      </c>
      <c r="BO262" s="107" t="e">
        <f>HLOOKUP(BO260,'IPIM y USD'!$D$6:$KV$8,3,FALSE)</f>
        <v>#N/A</v>
      </c>
      <c r="BP262" s="107" t="e">
        <f>HLOOKUP(BP260,'IPIM y USD'!$D$6:$KV$8,3,FALSE)</f>
        <v>#N/A</v>
      </c>
      <c r="BQ262" s="107" t="e">
        <f>HLOOKUP(BQ260,'IPIM y USD'!$D$6:$KV$8,3,FALSE)</f>
        <v>#N/A</v>
      </c>
      <c r="BR262" s="107" t="e">
        <f>HLOOKUP(BR260,'IPIM y USD'!$D$6:$KV$8,3,FALSE)</f>
        <v>#N/A</v>
      </c>
      <c r="BS262" s="107" t="e">
        <f>HLOOKUP(BS260,'IPIM y USD'!$D$6:$KV$8,3,FALSE)</f>
        <v>#N/A</v>
      </c>
      <c r="BT262" s="107" t="e">
        <f>HLOOKUP(BT260,'IPIM y USD'!$D$6:$KV$8,3,FALSE)</f>
        <v>#N/A</v>
      </c>
      <c r="BU262" s="107" t="e">
        <f>HLOOKUP(BU260,'IPIM y USD'!$D$6:$KV$8,3,FALSE)</f>
        <v>#N/A</v>
      </c>
      <c r="BV262" s="107" t="e">
        <f>HLOOKUP(BV260,'IPIM y USD'!$D$6:$KV$8,3,FALSE)</f>
        <v>#N/A</v>
      </c>
      <c r="BW262" s="107" t="e">
        <f>HLOOKUP(BW260,'IPIM y USD'!$D$6:$KV$8,3,FALSE)</f>
        <v>#N/A</v>
      </c>
      <c r="BX262" s="107" t="e">
        <f>HLOOKUP(BX260,'IPIM y USD'!$D$6:$KV$8,3,FALSE)</f>
        <v>#N/A</v>
      </c>
      <c r="BY262" s="107" t="e">
        <f>HLOOKUP(BY260,'IPIM y USD'!$D$6:$KV$8,3,FALSE)</f>
        <v>#N/A</v>
      </c>
      <c r="BZ262" s="107" t="e">
        <f>HLOOKUP(BZ260,'IPIM y USD'!$D$6:$KV$8,3,FALSE)</f>
        <v>#N/A</v>
      </c>
      <c r="CA262" s="107" t="e">
        <f>HLOOKUP(CA260,'IPIM y USD'!$D$6:$KV$8,3,FALSE)</f>
        <v>#N/A</v>
      </c>
      <c r="CB262" s="107" t="e">
        <f>HLOOKUP(CB260,'IPIM y USD'!$D$6:$KV$8,3,FALSE)</f>
        <v>#N/A</v>
      </c>
      <c r="CC262" s="107" t="e">
        <f>HLOOKUP(CC260,'IPIM y USD'!$D$6:$KV$8,3,FALSE)</f>
        <v>#N/A</v>
      </c>
      <c r="CF262" s="34"/>
      <c r="CG262" s="34"/>
      <c r="CI262" s="34"/>
      <c r="CJ262" s="34"/>
    </row>
    <row r="263" spans="2:88" ht="5.0999999999999996" customHeight="1" x14ac:dyDescent="0.2">
      <c r="F263" s="2"/>
      <c r="J263" s="32"/>
      <c r="K263" s="32"/>
      <c r="L263" s="32"/>
      <c r="M263" s="32"/>
      <c r="N263" s="32"/>
      <c r="O263" s="32"/>
      <c r="P263" s="32"/>
      <c r="Q263" s="32"/>
      <c r="R263" s="32"/>
      <c r="S263" s="32"/>
      <c r="T263" s="32"/>
      <c r="U263" s="32"/>
      <c r="V263" s="32"/>
      <c r="W263" s="32"/>
      <c r="X263" s="32"/>
      <c r="Y263" s="32"/>
      <c r="Z263" s="32"/>
      <c r="AA263" s="32"/>
      <c r="AB263" s="32"/>
      <c r="AC263" s="32"/>
      <c r="AD263" s="32"/>
      <c r="AE263" s="32"/>
      <c r="AF263" s="32"/>
      <c r="AG263" s="32"/>
      <c r="AH263" s="32"/>
      <c r="AI263" s="32"/>
      <c r="AJ263" s="32"/>
      <c r="AK263" s="32"/>
      <c r="AL263" s="32"/>
      <c r="AM263" s="32"/>
      <c r="AN263" s="32"/>
      <c r="AO263" s="32"/>
      <c r="AP263" s="32"/>
      <c r="AQ263" s="32"/>
      <c r="AR263" s="32"/>
      <c r="AS263" s="32"/>
      <c r="AT263" s="32"/>
      <c r="AU263" s="32"/>
      <c r="AV263" s="32"/>
      <c r="AW263" s="32"/>
      <c r="AX263" s="32"/>
      <c r="AY263" s="32"/>
      <c r="AZ263" s="32"/>
      <c r="BA263" s="32"/>
      <c r="BB263" s="32"/>
      <c r="BC263" s="32"/>
      <c r="BD263" s="32"/>
      <c r="BE263" s="32"/>
      <c r="BF263" s="32"/>
      <c r="BG263" s="32"/>
      <c r="BH263" s="32"/>
      <c r="BI263" s="32"/>
      <c r="BJ263" s="32"/>
      <c r="BK263" s="32"/>
      <c r="BL263" s="32"/>
      <c r="BM263" s="32"/>
      <c r="BN263" s="32"/>
      <c r="BO263" s="32"/>
      <c r="BP263" s="32"/>
      <c r="BQ263" s="32"/>
      <c r="BR263" s="32"/>
      <c r="BS263" s="32"/>
      <c r="BT263" s="32"/>
      <c r="BU263" s="32"/>
      <c r="BV263" s="32"/>
      <c r="BW263" s="32"/>
      <c r="BX263" s="32"/>
      <c r="BY263" s="32"/>
      <c r="BZ263" s="32"/>
      <c r="CA263" s="32"/>
      <c r="CB263" s="32"/>
      <c r="CC263" s="32"/>
      <c r="CF263" s="34"/>
      <c r="CG263" s="34"/>
      <c r="CI263" s="34"/>
      <c r="CJ263" s="34"/>
    </row>
    <row r="264" spans="2:88" x14ac:dyDescent="0.2">
      <c r="B264" s="77" t="s">
        <v>164</v>
      </c>
      <c r="C264" s="78"/>
      <c r="D264" s="79"/>
      <c r="F264" s="181">
        <f>+F150</f>
        <v>37.4077272727273</v>
      </c>
      <c r="G264" s="80"/>
      <c r="I264" s="80"/>
      <c r="J264" s="108" t="e">
        <f>HLOOKUP(J260,'IPIM y USD'!$D$15:$KV$17,3,FALSE)</f>
        <v>#N/A</v>
      </c>
      <c r="K264" s="108" t="e">
        <f>HLOOKUP(K260,'IPIM y USD'!$D$15:$KV$17,3,FALSE)</f>
        <v>#N/A</v>
      </c>
      <c r="L264" s="108" t="e">
        <f>HLOOKUP(L260,'IPIM y USD'!$D$15:$KV$17,3,FALSE)</f>
        <v>#N/A</v>
      </c>
      <c r="M264" s="108" t="e">
        <f>HLOOKUP(M260,'IPIM y USD'!$D$15:$KV$17,3,FALSE)</f>
        <v>#N/A</v>
      </c>
      <c r="N264" s="108" t="e">
        <f>HLOOKUP(N260,'IPIM y USD'!$D$15:$KV$17,3,FALSE)</f>
        <v>#N/A</v>
      </c>
      <c r="O264" s="108" t="e">
        <f>HLOOKUP(O260,'IPIM y USD'!$D$15:$KV$17,3,FALSE)</f>
        <v>#N/A</v>
      </c>
      <c r="P264" s="108" t="e">
        <f>HLOOKUP(P260,'IPIM y USD'!$D$15:$KV$17,3,FALSE)</f>
        <v>#N/A</v>
      </c>
      <c r="Q264" s="108" t="e">
        <f>HLOOKUP(Q260,'IPIM y USD'!$D$15:$KV$17,3,FALSE)</f>
        <v>#N/A</v>
      </c>
      <c r="R264" s="108" t="e">
        <f>HLOOKUP(R260,'IPIM y USD'!$D$15:$KV$17,3,FALSE)</f>
        <v>#N/A</v>
      </c>
      <c r="S264" s="108" t="e">
        <f>HLOOKUP(S260,'IPIM y USD'!$D$15:$KV$17,3,FALSE)</f>
        <v>#N/A</v>
      </c>
      <c r="T264" s="108" t="e">
        <f>HLOOKUP(T260,'IPIM y USD'!$D$15:$KV$17,3,FALSE)</f>
        <v>#N/A</v>
      </c>
      <c r="U264" s="108" t="e">
        <f>HLOOKUP(U260,'IPIM y USD'!$D$15:$KV$17,3,FALSE)</f>
        <v>#N/A</v>
      </c>
      <c r="V264" s="108" t="e">
        <f>HLOOKUP(V260,'IPIM y USD'!$D$15:$KV$17,3,FALSE)</f>
        <v>#N/A</v>
      </c>
      <c r="W264" s="108" t="e">
        <f>HLOOKUP(W260,'IPIM y USD'!$D$15:$KV$17,3,FALSE)</f>
        <v>#N/A</v>
      </c>
      <c r="X264" s="108" t="e">
        <f>HLOOKUP(X260,'IPIM y USD'!$D$15:$KV$17,3,FALSE)</f>
        <v>#N/A</v>
      </c>
      <c r="Y264" s="108" t="e">
        <f>HLOOKUP(Y260,'IPIM y USD'!$D$15:$KV$17,3,FALSE)</f>
        <v>#N/A</v>
      </c>
      <c r="Z264" s="108" t="e">
        <f>HLOOKUP(Z260,'IPIM y USD'!$D$15:$KV$17,3,FALSE)</f>
        <v>#N/A</v>
      </c>
      <c r="AA264" s="108" t="e">
        <f>HLOOKUP(AA260,'IPIM y USD'!$D$15:$KV$17,3,FALSE)</f>
        <v>#N/A</v>
      </c>
      <c r="AB264" s="108" t="e">
        <f>HLOOKUP(AB260,'IPIM y USD'!$D$15:$KV$17,3,FALSE)</f>
        <v>#N/A</v>
      </c>
      <c r="AC264" s="108" t="e">
        <f>HLOOKUP(AC260,'IPIM y USD'!$D$15:$KV$17,3,FALSE)</f>
        <v>#N/A</v>
      </c>
      <c r="AD264" s="108" t="e">
        <f>HLOOKUP(AD260,'IPIM y USD'!$D$15:$KV$17,3,FALSE)</f>
        <v>#N/A</v>
      </c>
      <c r="AE264" s="108" t="e">
        <f>HLOOKUP(AE260,'IPIM y USD'!$D$15:$KV$17,3,FALSE)</f>
        <v>#N/A</v>
      </c>
      <c r="AF264" s="108" t="e">
        <f>HLOOKUP(AF260,'IPIM y USD'!$D$15:$KV$17,3,FALSE)</f>
        <v>#N/A</v>
      </c>
      <c r="AG264" s="108" t="e">
        <f>HLOOKUP(AG260,'IPIM y USD'!$D$15:$KV$17,3,FALSE)</f>
        <v>#N/A</v>
      </c>
      <c r="AH264" s="108" t="e">
        <f>HLOOKUP(AH260,'IPIM y USD'!$D$15:$KV$17,3,FALSE)</f>
        <v>#N/A</v>
      </c>
      <c r="AI264" s="108" t="e">
        <f>HLOOKUP(AI260,'IPIM y USD'!$D$15:$KV$17,3,FALSE)</f>
        <v>#N/A</v>
      </c>
      <c r="AJ264" s="108" t="e">
        <f>HLOOKUP(AJ260,'IPIM y USD'!$D$15:$KV$17,3,FALSE)</f>
        <v>#N/A</v>
      </c>
      <c r="AK264" s="108" t="e">
        <f>HLOOKUP(AK260,'IPIM y USD'!$D$15:$KV$17,3,FALSE)</f>
        <v>#N/A</v>
      </c>
      <c r="AL264" s="198" t="e">
        <f>HLOOKUP(AL260,'IPIM y USD'!$D$15:$KV$17,3,FALSE)</f>
        <v>#N/A</v>
      </c>
      <c r="AM264" s="198" t="e">
        <f>HLOOKUP(AM260,'IPIM y USD'!$D$15:$KV$17,3,FALSE)</f>
        <v>#N/A</v>
      </c>
      <c r="AN264" s="198" t="e">
        <f>HLOOKUP(AN260,'IPIM y USD'!$D$15:$KV$17,3,FALSE)</f>
        <v>#N/A</v>
      </c>
      <c r="AO264" s="198" t="e">
        <f>HLOOKUP(AO260,'IPIM y USD'!$D$15:$KV$17,3,FALSE)</f>
        <v>#N/A</v>
      </c>
      <c r="AP264" s="198" t="e">
        <f>HLOOKUP(AP260,'IPIM y USD'!$D$15:$KV$17,3,FALSE)</f>
        <v>#N/A</v>
      </c>
      <c r="AQ264" s="198" t="e">
        <f>HLOOKUP(AQ260,'IPIM y USD'!$D$15:$KV$17,3,FALSE)</f>
        <v>#N/A</v>
      </c>
      <c r="AR264" s="198" t="e">
        <f>HLOOKUP(AR260,'IPIM y USD'!$D$15:$KV$17,3,FALSE)</f>
        <v>#N/A</v>
      </c>
      <c r="AS264" s="198" t="e">
        <f>HLOOKUP(AS260,'IPIM y USD'!$D$15:$KV$17,3,FALSE)</f>
        <v>#N/A</v>
      </c>
      <c r="AT264" s="198" t="e">
        <f>HLOOKUP(AT260,'IPIM y USD'!$D$15:$KV$17,3,FALSE)</f>
        <v>#N/A</v>
      </c>
      <c r="AU264" s="198" t="e">
        <f>HLOOKUP(AU260,'IPIM y USD'!$D$15:$KV$17,3,FALSE)</f>
        <v>#N/A</v>
      </c>
      <c r="AV264" s="198" t="e">
        <f>HLOOKUP(AV260,'IPIM y USD'!$D$15:$KV$17,3,FALSE)</f>
        <v>#N/A</v>
      </c>
      <c r="AW264" s="198" t="e">
        <f>HLOOKUP(AW260,'IPIM y USD'!$D$15:$KV$17,3,FALSE)</f>
        <v>#N/A</v>
      </c>
      <c r="AX264" s="198" t="e">
        <f>HLOOKUP(AX260,'IPIM y USD'!$D$15:$KV$17,3,FALSE)</f>
        <v>#N/A</v>
      </c>
      <c r="AY264" s="198" t="e">
        <f>HLOOKUP(AY260,'IPIM y USD'!$D$15:$KV$17,3,FALSE)</f>
        <v>#N/A</v>
      </c>
      <c r="AZ264" s="198" t="e">
        <f>HLOOKUP(AZ260,'IPIM y USD'!$D$15:$KV$17,3,FALSE)</f>
        <v>#N/A</v>
      </c>
      <c r="BA264" s="198" t="e">
        <f>HLOOKUP(BA260,'IPIM y USD'!$D$15:$KV$17,3,FALSE)</f>
        <v>#N/A</v>
      </c>
      <c r="BB264" s="198" t="e">
        <f>HLOOKUP(BB260,'IPIM y USD'!$D$15:$KV$17,3,FALSE)</f>
        <v>#N/A</v>
      </c>
      <c r="BC264" s="198" t="e">
        <f>HLOOKUP(BC260,'IPIM y USD'!$D$15:$KV$17,3,FALSE)</f>
        <v>#N/A</v>
      </c>
      <c r="BD264" s="198" t="e">
        <f>HLOOKUP(BD260,'IPIM y USD'!$D$15:$KV$17,3,FALSE)</f>
        <v>#N/A</v>
      </c>
      <c r="BE264" s="198" t="e">
        <f>HLOOKUP(BE260,'IPIM y USD'!$D$15:$KV$17,3,FALSE)</f>
        <v>#N/A</v>
      </c>
      <c r="BF264" s="198" t="e">
        <f>HLOOKUP(BF260,'IPIM y USD'!$D$15:$KV$17,3,FALSE)</f>
        <v>#N/A</v>
      </c>
      <c r="BG264" s="198" t="e">
        <f>HLOOKUP(BG260,'IPIM y USD'!$D$15:$KV$17,3,FALSE)</f>
        <v>#N/A</v>
      </c>
      <c r="BH264" s="198" t="e">
        <f>HLOOKUP(BH260,'IPIM y USD'!$D$15:$KV$17,3,FALSE)</f>
        <v>#N/A</v>
      </c>
      <c r="BI264" s="198" t="e">
        <f>HLOOKUP(BI260,'IPIM y USD'!$D$15:$KV$17,3,FALSE)</f>
        <v>#N/A</v>
      </c>
      <c r="BJ264" s="198" t="e">
        <f>HLOOKUP(BJ260,'IPIM y USD'!$D$15:$KV$17,3,FALSE)</f>
        <v>#N/A</v>
      </c>
      <c r="BK264" s="198" t="e">
        <f>HLOOKUP(BK260,'IPIM y USD'!$D$15:$KV$17,3,FALSE)</f>
        <v>#N/A</v>
      </c>
      <c r="BL264" s="198" t="e">
        <f>HLOOKUP(BL260,'IPIM y USD'!$D$15:$KV$17,3,FALSE)</f>
        <v>#N/A</v>
      </c>
      <c r="BM264" s="198" t="e">
        <f>HLOOKUP(BM260,'IPIM y USD'!$D$15:$KV$17,3,FALSE)</f>
        <v>#N/A</v>
      </c>
      <c r="BN264" s="198" t="e">
        <f>HLOOKUP(BN260,'IPIM y USD'!$D$15:$KV$17,3,FALSE)</f>
        <v>#N/A</v>
      </c>
      <c r="BO264" s="198" t="e">
        <f>HLOOKUP(BO260,'IPIM y USD'!$D$15:$KV$17,3,FALSE)</f>
        <v>#N/A</v>
      </c>
      <c r="BP264" s="198" t="e">
        <f>HLOOKUP(BP260,'IPIM y USD'!$D$15:$KV$17,3,FALSE)</f>
        <v>#N/A</v>
      </c>
      <c r="BQ264" s="198" t="e">
        <f>HLOOKUP(BQ260,'IPIM y USD'!$D$15:$KV$17,3,FALSE)</f>
        <v>#N/A</v>
      </c>
      <c r="BR264" s="198" t="e">
        <f>HLOOKUP(BR260,'IPIM y USD'!$D$15:$KV$17,3,FALSE)</f>
        <v>#N/A</v>
      </c>
      <c r="BS264" s="198" t="e">
        <f>HLOOKUP(BS260,'IPIM y USD'!$D$15:$KV$17,3,FALSE)</f>
        <v>#N/A</v>
      </c>
      <c r="BT264" s="198" t="e">
        <f>HLOOKUP(BT260,'IPIM y USD'!$D$15:$KV$17,3,FALSE)</f>
        <v>#N/A</v>
      </c>
      <c r="BU264" s="198" t="e">
        <f>HLOOKUP(BU260,'IPIM y USD'!$D$15:$KV$17,3,FALSE)</f>
        <v>#N/A</v>
      </c>
      <c r="BV264" s="198" t="e">
        <f>HLOOKUP(BV260,'IPIM y USD'!$D$15:$KV$17,3,FALSE)</f>
        <v>#N/A</v>
      </c>
      <c r="BW264" s="198" t="e">
        <f>HLOOKUP(BW260,'IPIM y USD'!$D$15:$KV$17,3,FALSE)</f>
        <v>#N/A</v>
      </c>
      <c r="BX264" s="198" t="e">
        <f>HLOOKUP(BX260,'IPIM y USD'!$D$15:$KV$17,3,FALSE)</f>
        <v>#N/A</v>
      </c>
      <c r="BY264" s="198" t="e">
        <f>HLOOKUP(BY260,'IPIM y USD'!$D$15:$KV$17,3,FALSE)</f>
        <v>#N/A</v>
      </c>
      <c r="BZ264" s="198" t="e">
        <f>HLOOKUP(BZ260,'IPIM y USD'!$D$15:$KV$17,3,FALSE)</f>
        <v>#N/A</v>
      </c>
      <c r="CA264" s="198" t="e">
        <f>HLOOKUP(CA260,'IPIM y USD'!$D$15:$KV$17,3,FALSE)</f>
        <v>#N/A</v>
      </c>
      <c r="CB264" s="198" t="e">
        <f>HLOOKUP(CB260,'IPIM y USD'!$D$15:$KV$17,3,FALSE)</f>
        <v>#N/A</v>
      </c>
      <c r="CC264" s="198" t="e">
        <f>HLOOKUP(CC260,'IPIM y USD'!$D$15:$KV$17,3,FALSE)</f>
        <v>#N/A</v>
      </c>
      <c r="CF264" s="34"/>
      <c r="CG264" s="34"/>
      <c r="CI264" s="34"/>
      <c r="CJ264" s="34"/>
    </row>
    <row r="265" spans="2:88" ht="5.0999999999999996" customHeight="1" x14ac:dyDescent="0.2">
      <c r="J265" s="189">
        <v>1</v>
      </c>
      <c r="K265" s="189">
        <v>2</v>
      </c>
      <c r="L265" s="189">
        <v>3</v>
      </c>
      <c r="M265" s="189">
        <v>4</v>
      </c>
      <c r="N265" s="189">
        <v>5</v>
      </c>
      <c r="O265" s="189">
        <v>6</v>
      </c>
      <c r="P265" s="189">
        <v>7</v>
      </c>
      <c r="Q265" s="189">
        <v>8</v>
      </c>
      <c r="R265" s="189">
        <v>9</v>
      </c>
      <c r="S265" s="189">
        <v>10</v>
      </c>
      <c r="T265" s="189">
        <v>11</v>
      </c>
      <c r="U265" s="189">
        <v>12</v>
      </c>
      <c r="V265" s="189">
        <v>13</v>
      </c>
      <c r="W265" s="189">
        <v>14</v>
      </c>
      <c r="X265" s="189">
        <v>15</v>
      </c>
      <c r="Y265" s="189">
        <v>16</v>
      </c>
      <c r="Z265" s="189">
        <v>17</v>
      </c>
      <c r="AA265" s="189">
        <v>18</v>
      </c>
      <c r="AB265" s="189">
        <v>19</v>
      </c>
      <c r="AC265" s="189">
        <v>20</v>
      </c>
      <c r="AD265" s="189">
        <v>21</v>
      </c>
      <c r="AE265" s="189">
        <v>22</v>
      </c>
      <c r="AF265" s="189">
        <v>23</v>
      </c>
      <c r="AG265" s="189">
        <v>24</v>
      </c>
      <c r="AH265">
        <v>25</v>
      </c>
      <c r="AI265">
        <v>26</v>
      </c>
      <c r="AJ265">
        <v>27</v>
      </c>
      <c r="AK265">
        <v>28</v>
      </c>
      <c r="AL265">
        <v>29</v>
      </c>
      <c r="AM265">
        <v>30</v>
      </c>
      <c r="AN265">
        <v>31</v>
      </c>
      <c r="AO265">
        <v>32</v>
      </c>
      <c r="AP265">
        <v>33</v>
      </c>
      <c r="AQ265">
        <v>34</v>
      </c>
      <c r="AR265">
        <v>35</v>
      </c>
      <c r="AS265">
        <v>36</v>
      </c>
      <c r="AT265">
        <v>37</v>
      </c>
      <c r="AU265">
        <v>38</v>
      </c>
      <c r="AV265">
        <v>39</v>
      </c>
      <c r="AW265">
        <v>40</v>
      </c>
      <c r="AX265">
        <v>41</v>
      </c>
      <c r="AY265">
        <v>42</v>
      </c>
      <c r="AZ265">
        <v>43</v>
      </c>
      <c r="BA265">
        <v>44</v>
      </c>
      <c r="BB265">
        <v>45</v>
      </c>
      <c r="BC265">
        <v>46</v>
      </c>
      <c r="BD265">
        <v>47</v>
      </c>
      <c r="BE265">
        <v>48</v>
      </c>
      <c r="BF265">
        <v>49</v>
      </c>
      <c r="BG265">
        <v>50</v>
      </c>
      <c r="BH265">
        <v>51</v>
      </c>
      <c r="BI265">
        <v>52</v>
      </c>
      <c r="BJ265">
        <v>53</v>
      </c>
      <c r="BK265">
        <v>54</v>
      </c>
      <c r="BL265">
        <v>55</v>
      </c>
      <c r="BM265">
        <v>56</v>
      </c>
      <c r="BN265">
        <v>57</v>
      </c>
      <c r="BO265">
        <v>58</v>
      </c>
      <c r="BP265">
        <v>59</v>
      </c>
      <c r="BQ265">
        <v>60</v>
      </c>
      <c r="BR265">
        <v>61</v>
      </c>
      <c r="BS265">
        <v>62</v>
      </c>
      <c r="BT265">
        <v>63</v>
      </c>
      <c r="BU265">
        <v>64</v>
      </c>
      <c r="BV265">
        <v>65</v>
      </c>
      <c r="BW265">
        <v>66</v>
      </c>
      <c r="BX265">
        <v>67</v>
      </c>
      <c r="BY265">
        <v>68</v>
      </c>
      <c r="BZ265">
        <v>69</v>
      </c>
      <c r="CA265">
        <v>70</v>
      </c>
      <c r="CB265">
        <v>71</v>
      </c>
      <c r="CC265">
        <v>72</v>
      </c>
      <c r="CF265" s="34"/>
      <c r="CG265" s="34"/>
      <c r="CI265" s="34"/>
      <c r="CJ265" s="34"/>
    </row>
    <row r="266" spans="2:88" ht="41.1" customHeight="1" x14ac:dyDescent="0.2">
      <c r="F266" s="83" t="s">
        <v>165</v>
      </c>
      <c r="G266" s="69"/>
      <c r="J266" s="190" t="e">
        <f>HLOOKUP(J265,Calendarios!$C$10:$YM$13,4,FALSE)</f>
        <v>#N/A</v>
      </c>
      <c r="K266" s="190" t="e">
        <f>HLOOKUP(K265,Calendarios!$C$10:$YM$13,4,FALSE)</f>
        <v>#N/A</v>
      </c>
      <c r="L266" s="190" t="e">
        <f>HLOOKUP(L265,Calendarios!$C$10:$YM$13,4,FALSE)</f>
        <v>#N/A</v>
      </c>
      <c r="M266" s="190" t="e">
        <f>HLOOKUP(M265,Calendarios!$C$10:$YM$13,4,FALSE)</f>
        <v>#N/A</v>
      </c>
      <c r="N266" s="190" t="e">
        <f>HLOOKUP(N265,Calendarios!$C$10:$YM$13,4,FALSE)</f>
        <v>#N/A</v>
      </c>
      <c r="O266" s="190" t="e">
        <f>HLOOKUP(O265,Calendarios!$C$10:$YM$13,4,FALSE)</f>
        <v>#N/A</v>
      </c>
      <c r="P266" s="190" t="e">
        <f>HLOOKUP(P265,Calendarios!$C$10:$YM$13,4,FALSE)</f>
        <v>#N/A</v>
      </c>
      <c r="Q266" s="190" t="e">
        <f>HLOOKUP(Q265,Calendarios!$C$10:$YM$13,4,FALSE)</f>
        <v>#N/A</v>
      </c>
      <c r="R266" s="190" t="e">
        <f>HLOOKUP(R265,Calendarios!$C$10:$YM$13,4,FALSE)</f>
        <v>#N/A</v>
      </c>
      <c r="S266" s="190" t="e">
        <f>HLOOKUP(S265,Calendarios!$C$10:$YM$13,4,FALSE)</f>
        <v>#N/A</v>
      </c>
      <c r="T266" s="190" t="e">
        <f>HLOOKUP(T265,Calendarios!$C$10:$YM$13,4,FALSE)</f>
        <v>#N/A</v>
      </c>
      <c r="U266" s="190" t="e">
        <f>HLOOKUP(U265,Calendarios!$C$10:$YM$13,4,FALSE)</f>
        <v>#N/A</v>
      </c>
      <c r="V266" s="190" t="e">
        <f>HLOOKUP(V265,Calendarios!$C$10:$YM$13,4,FALSE)</f>
        <v>#N/A</v>
      </c>
      <c r="W266" s="190" t="e">
        <f>HLOOKUP(W265,Calendarios!$C$10:$YM$13,4,FALSE)</f>
        <v>#N/A</v>
      </c>
      <c r="X266" s="190" t="e">
        <f>HLOOKUP(X265,Calendarios!$C$10:$YM$13,4,FALSE)</f>
        <v>#N/A</v>
      </c>
      <c r="Y266" s="190" t="e">
        <f>HLOOKUP(Y265,Calendarios!$C$10:$YM$13,4,FALSE)</f>
        <v>#N/A</v>
      </c>
      <c r="Z266" s="190" t="e">
        <f>HLOOKUP(Z265,Calendarios!$C$10:$YM$13,4,FALSE)</f>
        <v>#N/A</v>
      </c>
      <c r="AA266" s="190" t="e">
        <f>HLOOKUP(AA265,Calendarios!$C$10:$YM$13,4,FALSE)</f>
        <v>#N/A</v>
      </c>
      <c r="AB266" s="190" t="e">
        <f>HLOOKUP(AB265,Calendarios!$C$10:$YM$13,4,FALSE)</f>
        <v>#N/A</v>
      </c>
      <c r="AC266" s="190" t="e">
        <f>HLOOKUP(AC265,Calendarios!$C$10:$YM$13,4,FALSE)</f>
        <v>#N/A</v>
      </c>
      <c r="AD266" s="190" t="e">
        <f>HLOOKUP(AD265,Calendarios!$C$10:$YM$13,4,FALSE)</f>
        <v>#N/A</v>
      </c>
      <c r="AE266" s="190" t="e">
        <f>HLOOKUP(AE265,Calendarios!$C$10:$YM$13,4,FALSE)</f>
        <v>#N/A</v>
      </c>
      <c r="AF266" s="190" t="e">
        <f>HLOOKUP(AF265,Calendarios!$C$10:$YM$13,4,FALSE)</f>
        <v>#N/A</v>
      </c>
      <c r="AG266" s="190" t="e">
        <f>HLOOKUP(AG265,Calendarios!$C$10:$YM$13,4,FALSE)</f>
        <v>#N/A</v>
      </c>
      <c r="AH266" s="190" t="e">
        <f>HLOOKUP(AH265,Calendarios!$C$10:$YM$13,4,FALSE)</f>
        <v>#N/A</v>
      </c>
      <c r="AI266" s="190" t="e">
        <f>HLOOKUP(AI265,Calendarios!$C$10:$YM$13,4,FALSE)</f>
        <v>#N/A</v>
      </c>
      <c r="AJ266" s="190" t="e">
        <f>HLOOKUP(AJ265,Calendarios!$C$10:$YM$13,4,FALSE)</f>
        <v>#N/A</v>
      </c>
      <c r="AK266" s="190" t="e">
        <f>HLOOKUP(AK265,Calendarios!$C$10:$YM$13,4,FALSE)</f>
        <v>#N/A</v>
      </c>
      <c r="AL266" s="190" t="e">
        <f>HLOOKUP(AL265,Calendarios!$C$10:$YM$13,4,FALSE)</f>
        <v>#N/A</v>
      </c>
      <c r="AM266" s="190" t="e">
        <f>HLOOKUP(AM265,Calendarios!$C$10:$YM$13,4,FALSE)</f>
        <v>#N/A</v>
      </c>
      <c r="AN266" s="190" t="e">
        <f>HLOOKUP(AN265,Calendarios!$C$10:$YM$13,4,FALSE)</f>
        <v>#N/A</v>
      </c>
      <c r="AO266" s="190" t="e">
        <f>HLOOKUP(AO265,Calendarios!$C$10:$YM$13,4,FALSE)</f>
        <v>#N/A</v>
      </c>
      <c r="AP266" s="190" t="e">
        <f>HLOOKUP(AP265,Calendarios!$C$10:$YM$13,4,FALSE)</f>
        <v>#N/A</v>
      </c>
      <c r="AQ266" s="190" t="e">
        <f>HLOOKUP(AQ265,Calendarios!$C$10:$YM$13,4,FALSE)</f>
        <v>#N/A</v>
      </c>
      <c r="AR266" s="190" t="e">
        <f>HLOOKUP(AR265,Calendarios!$C$10:$YM$13,4,FALSE)</f>
        <v>#N/A</v>
      </c>
      <c r="AS266" s="190" t="e">
        <f>HLOOKUP(AS265,Calendarios!$C$10:$YM$13,4,FALSE)</f>
        <v>#N/A</v>
      </c>
      <c r="AT266" s="190" t="e">
        <f>HLOOKUP(AT265,Calendarios!$C$10:$YM$13,4,FALSE)</f>
        <v>#N/A</v>
      </c>
      <c r="AU266" s="190" t="e">
        <f>HLOOKUP(AU265,Calendarios!$C$10:$YM$13,4,FALSE)</f>
        <v>#N/A</v>
      </c>
      <c r="AV266" s="190" t="e">
        <f>HLOOKUP(AV265,Calendarios!$C$10:$YM$13,4,FALSE)</f>
        <v>#N/A</v>
      </c>
      <c r="AW266" s="190" t="e">
        <f>HLOOKUP(AW265,Calendarios!$C$10:$YM$13,4,FALSE)</f>
        <v>#N/A</v>
      </c>
      <c r="AX266" s="190" t="e">
        <f>HLOOKUP(AX265,Calendarios!$C$10:$YM$13,4,FALSE)</f>
        <v>#N/A</v>
      </c>
      <c r="AY266" s="190" t="e">
        <f>HLOOKUP(AY265,Calendarios!$C$10:$YM$13,4,FALSE)</f>
        <v>#N/A</v>
      </c>
      <c r="AZ266" s="190" t="e">
        <f>HLOOKUP(AZ265,Calendarios!$C$10:$YM$13,4,FALSE)</f>
        <v>#N/A</v>
      </c>
      <c r="BA266" s="190" t="e">
        <f>HLOOKUP(BA265,Calendarios!$C$10:$YM$13,4,FALSE)</f>
        <v>#N/A</v>
      </c>
      <c r="BB266" s="190" t="e">
        <f>HLOOKUP(BB265,Calendarios!$C$10:$YM$13,4,FALSE)</f>
        <v>#N/A</v>
      </c>
      <c r="BC266" s="190" t="e">
        <f>HLOOKUP(BC265,Calendarios!$C$10:$YM$13,4,FALSE)</f>
        <v>#N/A</v>
      </c>
      <c r="BD266" s="190" t="e">
        <f>HLOOKUP(BD265,Calendarios!$C$10:$YM$13,4,FALSE)</f>
        <v>#N/A</v>
      </c>
      <c r="BE266" s="190" t="e">
        <f>HLOOKUP(BE265,Calendarios!$C$10:$YM$13,4,FALSE)</f>
        <v>#N/A</v>
      </c>
      <c r="BF266" s="190" t="e">
        <f>HLOOKUP(BF265,Calendarios!$C$10:$YM$13,4,FALSE)</f>
        <v>#N/A</v>
      </c>
      <c r="BG266" s="190" t="e">
        <f>HLOOKUP(BG265,Calendarios!$C$10:$YM$13,4,FALSE)</f>
        <v>#N/A</v>
      </c>
      <c r="BH266" s="190" t="e">
        <f>HLOOKUP(BH265,Calendarios!$C$10:$YM$13,4,FALSE)</f>
        <v>#N/A</v>
      </c>
      <c r="BI266" s="190" t="e">
        <f>HLOOKUP(BI265,Calendarios!$C$10:$YM$13,4,FALSE)</f>
        <v>#N/A</v>
      </c>
      <c r="BJ266" s="190" t="e">
        <f>HLOOKUP(BJ265,Calendarios!$C$10:$YM$13,4,FALSE)</f>
        <v>#N/A</v>
      </c>
      <c r="BK266" s="190" t="e">
        <f>HLOOKUP(BK265,Calendarios!$C$10:$YM$13,4,FALSE)</f>
        <v>#N/A</v>
      </c>
      <c r="BL266" s="190" t="e">
        <f>HLOOKUP(BL265,Calendarios!$C$10:$YM$13,4,FALSE)</f>
        <v>#N/A</v>
      </c>
      <c r="BM266" s="190" t="e">
        <f>HLOOKUP(BM265,Calendarios!$C$10:$YM$13,4,FALSE)</f>
        <v>#N/A</v>
      </c>
      <c r="BN266" s="190" t="e">
        <f>HLOOKUP(BN265,Calendarios!$C$10:$YM$13,4,FALSE)</f>
        <v>#N/A</v>
      </c>
      <c r="BO266" s="190" t="e">
        <f>HLOOKUP(BO265,Calendarios!$C$10:$YM$13,4,FALSE)</f>
        <v>#N/A</v>
      </c>
      <c r="BP266" s="190" t="e">
        <f>HLOOKUP(BP265,Calendarios!$C$10:$YM$13,4,FALSE)</f>
        <v>#N/A</v>
      </c>
      <c r="BQ266" s="190" t="e">
        <f>HLOOKUP(BQ265,Calendarios!$C$10:$YM$13,4,FALSE)</f>
        <v>#N/A</v>
      </c>
      <c r="BR266" s="190" t="e">
        <f>HLOOKUP(BR265,Calendarios!$C$10:$YM$13,4,FALSE)</f>
        <v>#N/A</v>
      </c>
      <c r="BS266" s="190" t="e">
        <f>HLOOKUP(BS265,Calendarios!$C$10:$YM$13,4,FALSE)</f>
        <v>#N/A</v>
      </c>
      <c r="BT266" s="190" t="e">
        <f>HLOOKUP(BT265,Calendarios!$C$10:$YM$13,4,FALSE)</f>
        <v>#N/A</v>
      </c>
      <c r="BU266" s="190" t="e">
        <f>HLOOKUP(BU265,Calendarios!$C$10:$YM$13,4,FALSE)</f>
        <v>#N/A</v>
      </c>
      <c r="BV266" s="190" t="e">
        <f>HLOOKUP(BV265,Calendarios!$C$10:$YM$13,4,FALSE)</f>
        <v>#N/A</v>
      </c>
      <c r="BW266" s="190" t="e">
        <f>HLOOKUP(BW265,Calendarios!$C$10:$YM$13,4,FALSE)</f>
        <v>#N/A</v>
      </c>
      <c r="BX266" s="190" t="e">
        <f>HLOOKUP(BX265,Calendarios!$C$10:$YM$13,4,FALSE)</f>
        <v>#N/A</v>
      </c>
      <c r="BY266" s="190" t="e">
        <f>HLOOKUP(BY265,Calendarios!$C$10:$YM$13,4,FALSE)</f>
        <v>#N/A</v>
      </c>
      <c r="BZ266" s="190" t="e">
        <f>HLOOKUP(BZ265,Calendarios!$C$10:$YM$13,4,FALSE)</f>
        <v>#N/A</v>
      </c>
      <c r="CA266" s="190" t="e">
        <f>HLOOKUP(CA265,Calendarios!$C$10:$YM$13,4,FALSE)</f>
        <v>#N/A</v>
      </c>
      <c r="CB266" s="190" t="e">
        <f>HLOOKUP(CB265,Calendarios!$C$10:$YM$13,4,FALSE)</f>
        <v>#N/A</v>
      </c>
      <c r="CC266" s="190" t="e">
        <f>HLOOKUP(CC265,Calendarios!$C$10:$YM$13,4,FALSE)</f>
        <v>#N/A</v>
      </c>
      <c r="CF266" s="34"/>
      <c r="CG266" s="34"/>
      <c r="CI266" s="34"/>
      <c r="CJ266" s="34"/>
    </row>
    <row r="267" spans="2:88" ht="5.0999999999999996" customHeight="1" x14ac:dyDescent="0.2">
      <c r="J267" s="32"/>
      <c r="K267" s="32"/>
      <c r="L267" s="32"/>
      <c r="M267" s="32"/>
      <c r="N267" s="32"/>
      <c r="O267" s="32"/>
      <c r="P267" s="32"/>
      <c r="Q267" s="32"/>
      <c r="CF267" s="34"/>
      <c r="CG267" s="34"/>
      <c r="CI267" s="34"/>
      <c r="CJ267" s="34"/>
    </row>
    <row r="268" spans="2:88" x14ac:dyDescent="0.2">
      <c r="B268" s="77" t="s">
        <v>166</v>
      </c>
      <c r="C268" s="78"/>
      <c r="D268" s="79"/>
      <c r="I268" s="80"/>
      <c r="J268" s="107" t="e">
        <f>+M262</f>
        <v>#N/A</v>
      </c>
      <c r="K268" s="107" t="e">
        <f>+N262</f>
        <v>#N/A</v>
      </c>
      <c r="L268" s="107" t="e">
        <f>+O262</f>
        <v>#N/A</v>
      </c>
      <c r="M268" s="107" t="e">
        <f t="shared" ref="M268:AA268" si="101">+P262</f>
        <v>#N/A</v>
      </c>
      <c r="N268" s="107" t="e">
        <f t="shared" si="101"/>
        <v>#N/A</v>
      </c>
      <c r="O268" s="107" t="e">
        <f t="shared" si="101"/>
        <v>#N/A</v>
      </c>
      <c r="P268" s="107" t="e">
        <f t="shared" si="101"/>
        <v>#N/A</v>
      </c>
      <c r="Q268" s="107" t="e">
        <f t="shared" si="101"/>
        <v>#N/A</v>
      </c>
      <c r="R268" s="107" t="e">
        <f t="shared" si="101"/>
        <v>#N/A</v>
      </c>
      <c r="S268" s="107" t="e">
        <f t="shared" si="101"/>
        <v>#N/A</v>
      </c>
      <c r="T268" s="107" t="e">
        <f t="shared" si="101"/>
        <v>#N/A</v>
      </c>
      <c r="U268" s="107" t="e">
        <f t="shared" si="101"/>
        <v>#N/A</v>
      </c>
      <c r="V268" s="107" t="e">
        <f t="shared" si="101"/>
        <v>#N/A</v>
      </c>
      <c r="W268" s="107" t="e">
        <f t="shared" si="101"/>
        <v>#N/A</v>
      </c>
      <c r="X268" s="107" t="e">
        <f t="shared" si="101"/>
        <v>#N/A</v>
      </c>
      <c r="Y268" s="107" t="e">
        <f t="shared" si="101"/>
        <v>#N/A</v>
      </c>
      <c r="Z268" s="107" t="e">
        <f t="shared" si="101"/>
        <v>#N/A</v>
      </c>
      <c r="AA268" s="107" t="e">
        <f t="shared" si="101"/>
        <v>#N/A</v>
      </c>
      <c r="AB268" s="107" t="e">
        <f t="shared" ref="AB268:CC268" si="102">+AE262</f>
        <v>#N/A</v>
      </c>
      <c r="AC268" s="107" t="e">
        <f t="shared" si="102"/>
        <v>#N/A</v>
      </c>
      <c r="AD268" s="107" t="e">
        <f t="shared" si="102"/>
        <v>#N/A</v>
      </c>
      <c r="AE268" s="107" t="e">
        <f t="shared" si="102"/>
        <v>#N/A</v>
      </c>
      <c r="AF268" s="107" t="e">
        <f t="shared" si="102"/>
        <v>#N/A</v>
      </c>
      <c r="AG268" s="107" t="e">
        <f t="shared" si="102"/>
        <v>#N/A</v>
      </c>
      <c r="AH268" s="107" t="e">
        <f t="shared" si="102"/>
        <v>#N/A</v>
      </c>
      <c r="AI268" s="107" t="e">
        <f t="shared" si="102"/>
        <v>#N/A</v>
      </c>
      <c r="AJ268" s="107" t="e">
        <f t="shared" si="102"/>
        <v>#N/A</v>
      </c>
      <c r="AK268" s="107" t="e">
        <f t="shared" si="102"/>
        <v>#N/A</v>
      </c>
      <c r="AL268" s="107" t="e">
        <f t="shared" si="102"/>
        <v>#N/A</v>
      </c>
      <c r="AM268" s="107" t="e">
        <f t="shared" si="102"/>
        <v>#N/A</v>
      </c>
      <c r="AN268" s="107" t="e">
        <f t="shared" si="102"/>
        <v>#N/A</v>
      </c>
      <c r="AO268" s="107" t="e">
        <f t="shared" si="102"/>
        <v>#N/A</v>
      </c>
      <c r="AP268" s="107" t="e">
        <f t="shared" si="102"/>
        <v>#N/A</v>
      </c>
      <c r="AQ268" s="107" t="e">
        <f t="shared" si="102"/>
        <v>#N/A</v>
      </c>
      <c r="AR268" s="107" t="e">
        <f t="shared" si="102"/>
        <v>#N/A</v>
      </c>
      <c r="AS268" s="107" t="e">
        <f t="shared" si="102"/>
        <v>#N/A</v>
      </c>
      <c r="AT268" s="107" t="e">
        <f t="shared" si="102"/>
        <v>#N/A</v>
      </c>
      <c r="AU268" s="107" t="e">
        <f t="shared" si="102"/>
        <v>#N/A</v>
      </c>
      <c r="AV268" s="107" t="e">
        <f t="shared" si="102"/>
        <v>#N/A</v>
      </c>
      <c r="AW268" s="107" t="e">
        <f t="shared" si="102"/>
        <v>#N/A</v>
      </c>
      <c r="AX268" s="107" t="e">
        <f t="shared" si="102"/>
        <v>#N/A</v>
      </c>
      <c r="AY268" s="107" t="e">
        <f t="shared" si="102"/>
        <v>#N/A</v>
      </c>
      <c r="AZ268" s="107" t="e">
        <f t="shared" si="102"/>
        <v>#N/A</v>
      </c>
      <c r="BA268" s="107" t="e">
        <f t="shared" si="102"/>
        <v>#N/A</v>
      </c>
      <c r="BB268" s="107" t="e">
        <f t="shared" si="102"/>
        <v>#N/A</v>
      </c>
      <c r="BC268" s="107" t="e">
        <f t="shared" si="102"/>
        <v>#N/A</v>
      </c>
      <c r="BD268" s="107" t="e">
        <f t="shared" si="102"/>
        <v>#N/A</v>
      </c>
      <c r="BE268" s="107" t="e">
        <f t="shared" si="102"/>
        <v>#N/A</v>
      </c>
      <c r="BF268" s="107" t="e">
        <f t="shared" si="102"/>
        <v>#N/A</v>
      </c>
      <c r="BG268" s="107" t="e">
        <f t="shared" si="102"/>
        <v>#N/A</v>
      </c>
      <c r="BH268" s="107" t="e">
        <f t="shared" si="102"/>
        <v>#N/A</v>
      </c>
      <c r="BI268" s="107" t="e">
        <f t="shared" si="102"/>
        <v>#N/A</v>
      </c>
      <c r="BJ268" s="107" t="e">
        <f t="shared" si="102"/>
        <v>#N/A</v>
      </c>
      <c r="BK268" s="107" t="e">
        <f t="shared" si="102"/>
        <v>#N/A</v>
      </c>
      <c r="BL268" s="107" t="e">
        <f t="shared" si="102"/>
        <v>#N/A</v>
      </c>
      <c r="BM268" s="107" t="e">
        <f t="shared" si="102"/>
        <v>#N/A</v>
      </c>
      <c r="BN268" s="107" t="e">
        <f t="shared" si="102"/>
        <v>#N/A</v>
      </c>
      <c r="BO268" s="107" t="e">
        <f t="shared" si="102"/>
        <v>#N/A</v>
      </c>
      <c r="BP268" s="107" t="e">
        <f t="shared" si="102"/>
        <v>#N/A</v>
      </c>
      <c r="BQ268" s="107" t="e">
        <f t="shared" si="102"/>
        <v>#N/A</v>
      </c>
      <c r="BR268" s="107" t="e">
        <f t="shared" si="102"/>
        <v>#N/A</v>
      </c>
      <c r="BS268" s="107" t="e">
        <f t="shared" si="102"/>
        <v>#N/A</v>
      </c>
      <c r="BT268" s="107" t="e">
        <f t="shared" si="102"/>
        <v>#N/A</v>
      </c>
      <c r="BU268" s="107" t="e">
        <f t="shared" si="102"/>
        <v>#N/A</v>
      </c>
      <c r="BV268" s="107" t="e">
        <f t="shared" si="102"/>
        <v>#N/A</v>
      </c>
      <c r="BW268" s="107" t="e">
        <f t="shared" si="102"/>
        <v>#N/A</v>
      </c>
      <c r="BX268" s="107" t="e">
        <f t="shared" si="102"/>
        <v>#N/A</v>
      </c>
      <c r="BY268" s="107" t="e">
        <f t="shared" si="102"/>
        <v>#N/A</v>
      </c>
      <c r="BZ268" s="107" t="e">
        <f t="shared" si="102"/>
        <v>#N/A</v>
      </c>
      <c r="CA268" s="107">
        <f t="shared" si="102"/>
        <v>0</v>
      </c>
      <c r="CB268" s="107">
        <f t="shared" si="102"/>
        <v>0</v>
      </c>
      <c r="CC268" s="107">
        <f t="shared" si="102"/>
        <v>0</v>
      </c>
      <c r="CF268" s="34"/>
      <c r="CG268" s="34"/>
      <c r="CI268" s="34"/>
      <c r="CJ268" s="34"/>
    </row>
    <row r="269" spans="2:88" ht="5.0999999999999996" customHeight="1" x14ac:dyDescent="0.2">
      <c r="B269" s="32"/>
      <c r="C269" s="32"/>
      <c r="D269" s="32"/>
      <c r="I269" s="80"/>
      <c r="J269" s="80"/>
      <c r="K269" s="80"/>
      <c r="L269" s="80"/>
      <c r="M269" s="80"/>
      <c r="N269" s="80"/>
      <c r="O269" s="80"/>
      <c r="P269" s="80"/>
      <c r="Q269" s="80"/>
      <c r="R269" s="80"/>
      <c r="S269" s="80"/>
      <c r="T269" s="80"/>
      <c r="U269" s="80"/>
      <c r="V269" s="80"/>
      <c r="W269" s="80"/>
      <c r="X269" s="80"/>
      <c r="Y269" s="80"/>
      <c r="Z269" s="80"/>
      <c r="AA269" s="80"/>
      <c r="AB269" s="80"/>
      <c r="AC269" s="80"/>
      <c r="AD269" s="80"/>
      <c r="AE269" s="80"/>
      <c r="AF269" s="80"/>
      <c r="AG269" s="80"/>
      <c r="AH269" s="80"/>
      <c r="AI269" s="80"/>
      <c r="AJ269" s="80"/>
      <c r="AK269" s="80"/>
      <c r="AL269" s="80"/>
      <c r="AM269" s="80"/>
      <c r="AN269" s="80"/>
      <c r="AO269" s="80"/>
      <c r="AP269" s="80"/>
      <c r="AQ269" s="80"/>
      <c r="AR269" s="80"/>
      <c r="AS269" s="80"/>
      <c r="AT269" s="80"/>
      <c r="AU269" s="80"/>
      <c r="AV269" s="80"/>
      <c r="AW269" s="80"/>
      <c r="AX269" s="80"/>
      <c r="AY269" s="80"/>
      <c r="AZ269" s="80"/>
      <c r="BA269" s="80"/>
      <c r="BB269" s="80"/>
      <c r="BC269" s="80"/>
      <c r="BD269" s="80"/>
      <c r="BE269" s="80"/>
      <c r="BF269" s="80"/>
      <c r="BG269" s="80"/>
      <c r="BH269" s="80"/>
      <c r="BI269" s="80"/>
      <c r="BJ269" s="80"/>
      <c r="BK269" s="80"/>
      <c r="BL269" s="80"/>
      <c r="BM269" s="80"/>
      <c r="BN269" s="80"/>
      <c r="BO269" s="80"/>
      <c r="BP269" s="80"/>
      <c r="BQ269" s="80"/>
      <c r="BR269" s="80"/>
      <c r="BS269" s="80"/>
      <c r="BT269" s="80"/>
      <c r="BU269" s="80"/>
      <c r="BV269" s="80"/>
      <c r="BW269" s="80"/>
      <c r="BX269" s="80"/>
      <c r="BY269" s="80"/>
      <c r="BZ269" s="80"/>
      <c r="CA269" s="80"/>
      <c r="CB269" s="80"/>
      <c r="CC269" s="80"/>
      <c r="CF269" s="34"/>
      <c r="CG269" s="34"/>
      <c r="CI269" s="34"/>
      <c r="CJ269" s="34"/>
    </row>
    <row r="270" spans="2:88" x14ac:dyDescent="0.2">
      <c r="B270" s="77" t="s">
        <v>167</v>
      </c>
      <c r="C270" s="78"/>
      <c r="D270" s="79"/>
      <c r="I270" s="80"/>
      <c r="J270" s="108" t="e">
        <f>+M264</f>
        <v>#N/A</v>
      </c>
      <c r="K270" s="108" t="e">
        <f t="shared" ref="K270:BV270" si="103">+N264</f>
        <v>#N/A</v>
      </c>
      <c r="L270" s="108" t="e">
        <f t="shared" si="103"/>
        <v>#N/A</v>
      </c>
      <c r="M270" s="108" t="e">
        <f t="shared" si="103"/>
        <v>#N/A</v>
      </c>
      <c r="N270" s="108" t="e">
        <f t="shared" si="103"/>
        <v>#N/A</v>
      </c>
      <c r="O270" s="108" t="e">
        <f t="shared" si="103"/>
        <v>#N/A</v>
      </c>
      <c r="P270" s="108" t="e">
        <f t="shared" si="103"/>
        <v>#N/A</v>
      </c>
      <c r="Q270" s="108" t="e">
        <f t="shared" si="103"/>
        <v>#N/A</v>
      </c>
      <c r="R270" s="108" t="e">
        <f t="shared" si="103"/>
        <v>#N/A</v>
      </c>
      <c r="S270" s="108" t="e">
        <f t="shared" si="103"/>
        <v>#N/A</v>
      </c>
      <c r="T270" s="108" t="e">
        <f t="shared" si="103"/>
        <v>#N/A</v>
      </c>
      <c r="U270" s="108" t="e">
        <f t="shared" si="103"/>
        <v>#N/A</v>
      </c>
      <c r="V270" s="108" t="e">
        <f t="shared" si="103"/>
        <v>#N/A</v>
      </c>
      <c r="W270" s="108" t="e">
        <f t="shared" si="103"/>
        <v>#N/A</v>
      </c>
      <c r="X270" s="108" t="e">
        <f t="shared" si="103"/>
        <v>#N/A</v>
      </c>
      <c r="Y270" s="108" t="e">
        <f t="shared" si="103"/>
        <v>#N/A</v>
      </c>
      <c r="Z270" s="108" t="e">
        <f t="shared" si="103"/>
        <v>#N/A</v>
      </c>
      <c r="AA270" s="108" t="e">
        <f t="shared" si="103"/>
        <v>#N/A</v>
      </c>
      <c r="AB270" s="108" t="e">
        <f t="shared" si="103"/>
        <v>#N/A</v>
      </c>
      <c r="AC270" s="108" t="e">
        <f t="shared" si="103"/>
        <v>#N/A</v>
      </c>
      <c r="AD270" s="108" t="e">
        <f t="shared" si="103"/>
        <v>#N/A</v>
      </c>
      <c r="AE270" s="108" t="e">
        <f t="shared" si="103"/>
        <v>#N/A</v>
      </c>
      <c r="AF270" s="108" t="e">
        <f t="shared" si="103"/>
        <v>#N/A</v>
      </c>
      <c r="AG270" s="108" t="e">
        <f t="shared" si="103"/>
        <v>#N/A</v>
      </c>
      <c r="AH270" s="108" t="e">
        <f t="shared" si="103"/>
        <v>#N/A</v>
      </c>
      <c r="AI270" s="108" t="e">
        <f t="shared" si="103"/>
        <v>#N/A</v>
      </c>
      <c r="AJ270" s="108" t="e">
        <f t="shared" si="103"/>
        <v>#N/A</v>
      </c>
      <c r="AK270" s="108" t="e">
        <f t="shared" si="103"/>
        <v>#N/A</v>
      </c>
      <c r="AL270" s="108" t="e">
        <f t="shared" si="103"/>
        <v>#N/A</v>
      </c>
      <c r="AM270" s="108" t="e">
        <f t="shared" si="103"/>
        <v>#N/A</v>
      </c>
      <c r="AN270" s="108" t="e">
        <f t="shared" si="103"/>
        <v>#N/A</v>
      </c>
      <c r="AO270" s="108" t="e">
        <f t="shared" si="103"/>
        <v>#N/A</v>
      </c>
      <c r="AP270" s="108" t="e">
        <f t="shared" si="103"/>
        <v>#N/A</v>
      </c>
      <c r="AQ270" s="108" t="e">
        <f t="shared" si="103"/>
        <v>#N/A</v>
      </c>
      <c r="AR270" s="108" t="e">
        <f t="shared" si="103"/>
        <v>#N/A</v>
      </c>
      <c r="AS270" s="108" t="e">
        <f t="shared" si="103"/>
        <v>#N/A</v>
      </c>
      <c r="AT270" s="108" t="e">
        <f t="shared" si="103"/>
        <v>#N/A</v>
      </c>
      <c r="AU270" s="108" t="e">
        <f t="shared" si="103"/>
        <v>#N/A</v>
      </c>
      <c r="AV270" s="108" t="e">
        <f t="shared" si="103"/>
        <v>#N/A</v>
      </c>
      <c r="AW270" s="108" t="e">
        <f t="shared" si="103"/>
        <v>#N/A</v>
      </c>
      <c r="AX270" s="108" t="e">
        <f t="shared" si="103"/>
        <v>#N/A</v>
      </c>
      <c r="AY270" s="108" t="e">
        <f t="shared" si="103"/>
        <v>#N/A</v>
      </c>
      <c r="AZ270" s="108" t="e">
        <f t="shared" si="103"/>
        <v>#N/A</v>
      </c>
      <c r="BA270" s="108" t="e">
        <f t="shared" si="103"/>
        <v>#N/A</v>
      </c>
      <c r="BB270" s="108" t="e">
        <f t="shared" si="103"/>
        <v>#N/A</v>
      </c>
      <c r="BC270" s="108" t="e">
        <f t="shared" si="103"/>
        <v>#N/A</v>
      </c>
      <c r="BD270" s="108" t="e">
        <f t="shared" si="103"/>
        <v>#N/A</v>
      </c>
      <c r="BE270" s="108" t="e">
        <f t="shared" si="103"/>
        <v>#N/A</v>
      </c>
      <c r="BF270" s="108" t="e">
        <f t="shared" si="103"/>
        <v>#N/A</v>
      </c>
      <c r="BG270" s="108" t="e">
        <f t="shared" si="103"/>
        <v>#N/A</v>
      </c>
      <c r="BH270" s="108" t="e">
        <f t="shared" si="103"/>
        <v>#N/A</v>
      </c>
      <c r="BI270" s="108" t="e">
        <f t="shared" si="103"/>
        <v>#N/A</v>
      </c>
      <c r="BJ270" s="108" t="e">
        <f t="shared" si="103"/>
        <v>#N/A</v>
      </c>
      <c r="BK270" s="108" t="e">
        <f t="shared" si="103"/>
        <v>#N/A</v>
      </c>
      <c r="BL270" s="108" t="e">
        <f t="shared" si="103"/>
        <v>#N/A</v>
      </c>
      <c r="BM270" s="108" t="e">
        <f t="shared" si="103"/>
        <v>#N/A</v>
      </c>
      <c r="BN270" s="108" t="e">
        <f t="shared" si="103"/>
        <v>#N/A</v>
      </c>
      <c r="BO270" s="108" t="e">
        <f t="shared" si="103"/>
        <v>#N/A</v>
      </c>
      <c r="BP270" s="108" t="e">
        <f t="shared" si="103"/>
        <v>#N/A</v>
      </c>
      <c r="BQ270" s="108" t="e">
        <f t="shared" si="103"/>
        <v>#N/A</v>
      </c>
      <c r="BR270" s="108" t="e">
        <f t="shared" si="103"/>
        <v>#N/A</v>
      </c>
      <c r="BS270" s="108" t="e">
        <f t="shared" si="103"/>
        <v>#N/A</v>
      </c>
      <c r="BT270" s="108" t="e">
        <f t="shared" si="103"/>
        <v>#N/A</v>
      </c>
      <c r="BU270" s="108" t="e">
        <f t="shared" si="103"/>
        <v>#N/A</v>
      </c>
      <c r="BV270" s="108" t="e">
        <f t="shared" si="103"/>
        <v>#N/A</v>
      </c>
      <c r="BW270" s="108" t="e">
        <f t="shared" ref="BW270:CC270" si="104">+BZ264</f>
        <v>#N/A</v>
      </c>
      <c r="BX270" s="108" t="e">
        <f t="shared" si="104"/>
        <v>#N/A</v>
      </c>
      <c r="BY270" s="108" t="e">
        <f t="shared" si="104"/>
        <v>#N/A</v>
      </c>
      <c r="BZ270" s="108" t="e">
        <f t="shared" si="104"/>
        <v>#N/A</v>
      </c>
      <c r="CA270" s="108">
        <f t="shared" si="104"/>
        <v>0</v>
      </c>
      <c r="CB270" s="108">
        <f t="shared" si="104"/>
        <v>0</v>
      </c>
      <c r="CC270" s="108">
        <f t="shared" si="104"/>
        <v>0</v>
      </c>
      <c r="CF270" s="34"/>
      <c r="CG270" s="34"/>
      <c r="CI270" s="34"/>
      <c r="CJ270" s="34"/>
    </row>
    <row r="271" spans="2:88" s="32" customFormat="1" ht="5.0999999999999996" customHeight="1" x14ac:dyDescent="0.2">
      <c r="CF271" s="34"/>
      <c r="CG271" s="34"/>
      <c r="CH271"/>
      <c r="CI271" s="34"/>
      <c r="CJ271" s="34"/>
    </row>
    <row r="272" spans="2:88" x14ac:dyDescent="0.2">
      <c r="B272" s="143" t="s">
        <v>293</v>
      </c>
      <c r="C272" s="144"/>
      <c r="D272" s="144"/>
      <c r="E272" s="144"/>
      <c r="F272" s="144"/>
      <c r="G272" s="144"/>
      <c r="H272" s="144"/>
      <c r="I272" s="144"/>
      <c r="J272" s="67"/>
      <c r="K272" s="67"/>
      <c r="L272" s="67"/>
      <c r="M272" s="67"/>
      <c r="N272" s="67"/>
      <c r="O272" s="67"/>
      <c r="P272" s="67"/>
      <c r="Q272" s="121"/>
      <c r="R272" s="67"/>
      <c r="S272" s="67"/>
      <c r="T272" s="67"/>
      <c r="U272" s="67"/>
      <c r="V272" s="67"/>
      <c r="W272" s="67"/>
      <c r="X272" s="67"/>
      <c r="Y272" s="67"/>
      <c r="Z272" s="67"/>
      <c r="AA272" s="67"/>
      <c r="AB272" s="67"/>
      <c r="AC272" s="67"/>
      <c r="AD272" s="67"/>
      <c r="AE272" s="67"/>
      <c r="AF272" s="67"/>
      <c r="AG272" s="67"/>
      <c r="AH272" s="67"/>
      <c r="AI272" s="67"/>
      <c r="AJ272" s="67"/>
      <c r="AK272" s="67"/>
      <c r="AL272" s="67"/>
      <c r="AM272" s="67"/>
      <c r="AN272" s="67"/>
      <c r="AO272" s="67"/>
      <c r="AP272" s="67"/>
      <c r="AQ272" s="67"/>
      <c r="AR272" s="67"/>
      <c r="AS272" s="67"/>
      <c r="AT272" s="67"/>
      <c r="AU272" s="67"/>
      <c r="AV272" s="67"/>
      <c r="AW272" s="67"/>
      <c r="AX272" s="67"/>
      <c r="AY272" s="67"/>
      <c r="AZ272" s="67"/>
      <c r="BA272" s="67"/>
      <c r="BB272" s="67"/>
      <c r="BC272" s="67"/>
      <c r="BD272" s="67"/>
      <c r="BE272" s="67"/>
      <c r="BF272" s="67"/>
      <c r="BG272" s="67"/>
      <c r="BH272" s="67"/>
      <c r="BI272" s="67"/>
      <c r="BJ272" s="67"/>
      <c r="BK272" s="67"/>
      <c r="BL272" s="67"/>
      <c r="BM272" s="67"/>
      <c r="BN272" s="67"/>
      <c r="BO272" s="67"/>
      <c r="BP272" s="67"/>
      <c r="BQ272" s="67"/>
      <c r="BR272" s="67"/>
      <c r="BS272" s="67"/>
      <c r="BT272" s="67"/>
      <c r="BU272" s="67"/>
      <c r="BV272" s="67"/>
      <c r="BW272" s="67"/>
      <c r="BX272" s="67"/>
      <c r="BY272" s="67"/>
      <c r="BZ272" s="67"/>
      <c r="CA272" s="67"/>
      <c r="CB272" s="67"/>
      <c r="CC272" s="67"/>
    </row>
    <row r="273" spans="2:81" ht="5.0999999999999996" customHeight="1" x14ac:dyDescent="0.2"/>
    <row r="274" spans="2:81" s="32" customFormat="1" ht="48" customHeight="1" x14ac:dyDescent="0.2">
      <c r="B274" s="82" t="s">
        <v>106</v>
      </c>
      <c r="D274" s="92" t="s">
        <v>169</v>
      </c>
      <c r="F274" s="83" t="s">
        <v>170</v>
      </c>
      <c r="H274" s="83" t="s">
        <v>171</v>
      </c>
      <c r="J274" s="190" t="e">
        <f>+J266</f>
        <v>#N/A</v>
      </c>
      <c r="K274" s="190" t="e">
        <f t="shared" ref="K274:BV274" si="105">+K266</f>
        <v>#N/A</v>
      </c>
      <c r="L274" s="190" t="e">
        <f t="shared" si="105"/>
        <v>#N/A</v>
      </c>
      <c r="M274" s="190" t="e">
        <f t="shared" si="105"/>
        <v>#N/A</v>
      </c>
      <c r="N274" s="190" t="e">
        <f t="shared" si="105"/>
        <v>#N/A</v>
      </c>
      <c r="O274" s="190" t="e">
        <f t="shared" si="105"/>
        <v>#N/A</v>
      </c>
      <c r="P274" s="190" t="e">
        <f t="shared" si="105"/>
        <v>#N/A</v>
      </c>
      <c r="Q274" s="190" t="e">
        <f t="shared" si="105"/>
        <v>#N/A</v>
      </c>
      <c r="R274" s="190" t="e">
        <f t="shared" si="105"/>
        <v>#N/A</v>
      </c>
      <c r="S274" s="190" t="e">
        <f t="shared" si="105"/>
        <v>#N/A</v>
      </c>
      <c r="T274" s="190" t="e">
        <f t="shared" si="105"/>
        <v>#N/A</v>
      </c>
      <c r="U274" s="190" t="e">
        <f t="shared" si="105"/>
        <v>#N/A</v>
      </c>
      <c r="V274" s="190" t="e">
        <f t="shared" si="105"/>
        <v>#N/A</v>
      </c>
      <c r="W274" s="190" t="e">
        <f t="shared" si="105"/>
        <v>#N/A</v>
      </c>
      <c r="X274" s="190" t="e">
        <f t="shared" si="105"/>
        <v>#N/A</v>
      </c>
      <c r="Y274" s="190" t="e">
        <f t="shared" si="105"/>
        <v>#N/A</v>
      </c>
      <c r="Z274" s="190" t="e">
        <f t="shared" si="105"/>
        <v>#N/A</v>
      </c>
      <c r="AA274" s="190" t="e">
        <f t="shared" si="105"/>
        <v>#N/A</v>
      </c>
      <c r="AB274" s="190" t="e">
        <f t="shared" si="105"/>
        <v>#N/A</v>
      </c>
      <c r="AC274" s="190" t="e">
        <f t="shared" si="105"/>
        <v>#N/A</v>
      </c>
      <c r="AD274" s="190" t="e">
        <f t="shared" si="105"/>
        <v>#N/A</v>
      </c>
      <c r="AE274" s="190" t="e">
        <f t="shared" si="105"/>
        <v>#N/A</v>
      </c>
      <c r="AF274" s="190" t="e">
        <f t="shared" si="105"/>
        <v>#N/A</v>
      </c>
      <c r="AG274" s="190" t="e">
        <f t="shared" si="105"/>
        <v>#N/A</v>
      </c>
      <c r="AH274" s="190" t="e">
        <f t="shared" si="105"/>
        <v>#N/A</v>
      </c>
      <c r="AI274" s="190" t="e">
        <f t="shared" si="105"/>
        <v>#N/A</v>
      </c>
      <c r="AJ274" s="190" t="e">
        <f t="shared" si="105"/>
        <v>#N/A</v>
      </c>
      <c r="AK274" s="190" t="e">
        <f t="shared" si="105"/>
        <v>#N/A</v>
      </c>
      <c r="AL274" s="190" t="e">
        <f t="shared" si="105"/>
        <v>#N/A</v>
      </c>
      <c r="AM274" s="190" t="e">
        <f t="shared" si="105"/>
        <v>#N/A</v>
      </c>
      <c r="AN274" s="190" t="e">
        <f t="shared" si="105"/>
        <v>#N/A</v>
      </c>
      <c r="AO274" s="190" t="e">
        <f t="shared" si="105"/>
        <v>#N/A</v>
      </c>
      <c r="AP274" s="190" t="e">
        <f t="shared" si="105"/>
        <v>#N/A</v>
      </c>
      <c r="AQ274" s="190" t="e">
        <f t="shared" si="105"/>
        <v>#N/A</v>
      </c>
      <c r="AR274" s="190" t="e">
        <f t="shared" si="105"/>
        <v>#N/A</v>
      </c>
      <c r="AS274" s="190" t="e">
        <f t="shared" si="105"/>
        <v>#N/A</v>
      </c>
      <c r="AT274" s="190" t="e">
        <f t="shared" si="105"/>
        <v>#N/A</v>
      </c>
      <c r="AU274" s="190" t="e">
        <f t="shared" si="105"/>
        <v>#N/A</v>
      </c>
      <c r="AV274" s="190" t="e">
        <f t="shared" si="105"/>
        <v>#N/A</v>
      </c>
      <c r="AW274" s="190" t="e">
        <f t="shared" si="105"/>
        <v>#N/A</v>
      </c>
      <c r="AX274" s="190" t="e">
        <f t="shared" si="105"/>
        <v>#N/A</v>
      </c>
      <c r="AY274" s="190" t="e">
        <f t="shared" si="105"/>
        <v>#N/A</v>
      </c>
      <c r="AZ274" s="190" t="e">
        <f t="shared" si="105"/>
        <v>#N/A</v>
      </c>
      <c r="BA274" s="190" t="e">
        <f t="shared" si="105"/>
        <v>#N/A</v>
      </c>
      <c r="BB274" s="190" t="e">
        <f t="shared" si="105"/>
        <v>#N/A</v>
      </c>
      <c r="BC274" s="190" t="e">
        <f t="shared" si="105"/>
        <v>#N/A</v>
      </c>
      <c r="BD274" s="190" t="e">
        <f t="shared" si="105"/>
        <v>#N/A</v>
      </c>
      <c r="BE274" s="190" t="e">
        <f t="shared" si="105"/>
        <v>#N/A</v>
      </c>
      <c r="BF274" s="190" t="e">
        <f t="shared" si="105"/>
        <v>#N/A</v>
      </c>
      <c r="BG274" s="190" t="e">
        <f t="shared" si="105"/>
        <v>#N/A</v>
      </c>
      <c r="BH274" s="190" t="e">
        <f t="shared" si="105"/>
        <v>#N/A</v>
      </c>
      <c r="BI274" s="190" t="e">
        <f t="shared" si="105"/>
        <v>#N/A</v>
      </c>
      <c r="BJ274" s="190" t="e">
        <f t="shared" si="105"/>
        <v>#N/A</v>
      </c>
      <c r="BK274" s="190" t="e">
        <f t="shared" si="105"/>
        <v>#N/A</v>
      </c>
      <c r="BL274" s="190" t="e">
        <f t="shared" si="105"/>
        <v>#N/A</v>
      </c>
      <c r="BM274" s="190" t="e">
        <f t="shared" si="105"/>
        <v>#N/A</v>
      </c>
      <c r="BN274" s="190" t="e">
        <f t="shared" si="105"/>
        <v>#N/A</v>
      </c>
      <c r="BO274" s="190" t="e">
        <f t="shared" si="105"/>
        <v>#N/A</v>
      </c>
      <c r="BP274" s="190" t="e">
        <f t="shared" si="105"/>
        <v>#N/A</v>
      </c>
      <c r="BQ274" s="190" t="e">
        <f t="shared" si="105"/>
        <v>#N/A</v>
      </c>
      <c r="BR274" s="190" t="e">
        <f t="shared" si="105"/>
        <v>#N/A</v>
      </c>
      <c r="BS274" s="190" t="e">
        <f t="shared" si="105"/>
        <v>#N/A</v>
      </c>
      <c r="BT274" s="190" t="e">
        <f t="shared" si="105"/>
        <v>#N/A</v>
      </c>
      <c r="BU274" s="190" t="e">
        <f t="shared" si="105"/>
        <v>#N/A</v>
      </c>
      <c r="BV274" s="190" t="e">
        <f t="shared" si="105"/>
        <v>#N/A</v>
      </c>
      <c r="BW274" s="190" t="e">
        <f t="shared" ref="BW274:CC274" si="106">+BW266</f>
        <v>#N/A</v>
      </c>
      <c r="BX274" s="190" t="e">
        <f t="shared" si="106"/>
        <v>#N/A</v>
      </c>
      <c r="BY274" s="190" t="e">
        <f t="shared" si="106"/>
        <v>#N/A</v>
      </c>
      <c r="BZ274" s="190" t="e">
        <f t="shared" si="106"/>
        <v>#N/A</v>
      </c>
      <c r="CA274" s="190" t="e">
        <f t="shared" si="106"/>
        <v>#N/A</v>
      </c>
      <c r="CB274" s="190" t="e">
        <f t="shared" si="106"/>
        <v>#N/A</v>
      </c>
      <c r="CC274" s="190" t="e">
        <f t="shared" si="106"/>
        <v>#N/A</v>
      </c>
    </row>
    <row r="275" spans="2:81" s="32" customFormat="1" ht="5.0999999999999996" customHeight="1" x14ac:dyDescent="0.2"/>
    <row r="276" spans="2:81" s="32" customFormat="1" ht="15.75" customHeight="1" x14ac:dyDescent="0.2">
      <c r="B276" s="83" t="str">
        <f>+$B$156</f>
        <v>Tarea 1</v>
      </c>
      <c r="D276" s="85">
        <f>SUM(J276:CC276)</f>
        <v>0.1</v>
      </c>
      <c r="E276"/>
      <c r="F276" s="86">
        <v>43739</v>
      </c>
      <c r="G276" s="87"/>
      <c r="H276" s="86">
        <v>44469</v>
      </c>
      <c r="I276"/>
      <c r="J276" s="110">
        <v>0.1</v>
      </c>
      <c r="K276" s="110">
        <v>0</v>
      </c>
      <c r="L276" s="110">
        <v>0</v>
      </c>
      <c r="M276" s="110">
        <v>0</v>
      </c>
      <c r="N276" s="110">
        <v>0</v>
      </c>
      <c r="O276" s="110">
        <v>0</v>
      </c>
      <c r="P276" s="110">
        <v>0</v>
      </c>
      <c r="Q276" s="110">
        <v>0</v>
      </c>
      <c r="R276" s="110">
        <v>0</v>
      </c>
      <c r="S276" s="110">
        <v>0</v>
      </c>
      <c r="T276" s="110">
        <v>0</v>
      </c>
      <c r="U276" s="110">
        <v>0</v>
      </c>
      <c r="V276" s="110">
        <v>0</v>
      </c>
      <c r="W276" s="110">
        <v>0</v>
      </c>
      <c r="X276" s="110">
        <v>0</v>
      </c>
      <c r="Y276" s="110">
        <v>0</v>
      </c>
      <c r="Z276" s="110">
        <v>0</v>
      </c>
      <c r="AA276" s="110">
        <v>0</v>
      </c>
      <c r="AB276" s="110">
        <v>0</v>
      </c>
      <c r="AC276" s="110">
        <v>0</v>
      </c>
      <c r="AD276" s="110">
        <v>0</v>
      </c>
      <c r="AE276" s="110">
        <v>0</v>
      </c>
      <c r="AF276" s="110">
        <v>0</v>
      </c>
      <c r="AG276" s="110">
        <v>0</v>
      </c>
      <c r="AH276" s="110">
        <v>0</v>
      </c>
      <c r="AI276" s="110">
        <v>0</v>
      </c>
      <c r="AJ276" s="110">
        <v>0</v>
      </c>
      <c r="AK276" s="110">
        <v>0</v>
      </c>
      <c r="AL276" s="110">
        <v>0</v>
      </c>
      <c r="AM276" s="110">
        <v>0</v>
      </c>
      <c r="AN276" s="110">
        <v>0</v>
      </c>
      <c r="AO276" s="110">
        <v>0</v>
      </c>
      <c r="AP276" s="110">
        <v>0</v>
      </c>
      <c r="AQ276" s="110">
        <v>0</v>
      </c>
      <c r="AR276" s="110">
        <v>0</v>
      </c>
      <c r="AS276" s="110">
        <v>0</v>
      </c>
      <c r="AT276" s="110">
        <v>0</v>
      </c>
      <c r="AU276" s="110">
        <v>0</v>
      </c>
      <c r="AV276" s="110">
        <v>0</v>
      </c>
      <c r="AW276" s="110">
        <v>0</v>
      </c>
      <c r="AX276" s="110">
        <v>0</v>
      </c>
      <c r="AY276" s="110">
        <v>0</v>
      </c>
      <c r="AZ276" s="110">
        <v>0</v>
      </c>
      <c r="BA276" s="110">
        <v>0</v>
      </c>
      <c r="BB276" s="110">
        <v>0</v>
      </c>
      <c r="BC276" s="110">
        <v>0</v>
      </c>
      <c r="BD276" s="110">
        <v>0</v>
      </c>
      <c r="BE276" s="110">
        <v>0</v>
      </c>
      <c r="BF276" s="110">
        <v>0</v>
      </c>
      <c r="BG276" s="110">
        <v>0</v>
      </c>
      <c r="BH276" s="110">
        <v>0</v>
      </c>
      <c r="BI276" s="110">
        <v>0</v>
      </c>
      <c r="BJ276" s="110">
        <v>0</v>
      </c>
      <c r="BK276" s="110">
        <v>0</v>
      </c>
      <c r="BL276" s="110">
        <v>0</v>
      </c>
      <c r="BM276" s="110">
        <v>0</v>
      </c>
      <c r="BN276" s="110">
        <v>0</v>
      </c>
      <c r="BO276" s="110">
        <v>0</v>
      </c>
      <c r="BP276" s="110">
        <v>0</v>
      </c>
      <c r="BQ276" s="110">
        <v>0</v>
      </c>
      <c r="BR276" s="110">
        <v>0</v>
      </c>
      <c r="BS276" s="110">
        <v>0</v>
      </c>
      <c r="BT276" s="110">
        <v>0</v>
      </c>
      <c r="BU276" s="110">
        <v>0</v>
      </c>
      <c r="BV276" s="110">
        <v>0</v>
      </c>
      <c r="BW276" s="110">
        <v>0</v>
      </c>
      <c r="BX276" s="110">
        <v>0</v>
      </c>
      <c r="BY276" s="110">
        <v>0</v>
      </c>
      <c r="BZ276" s="110">
        <v>0</v>
      </c>
      <c r="CA276" s="110">
        <v>0</v>
      </c>
      <c r="CB276" s="110">
        <v>0</v>
      </c>
      <c r="CC276" s="110">
        <v>0</v>
      </c>
    </row>
    <row r="277" spans="2:81" s="32" customFormat="1" ht="15.75" customHeight="1" x14ac:dyDescent="0.2">
      <c r="B277" s="83" t="str">
        <f>+$B$157</f>
        <v>Tarea 2</v>
      </c>
      <c r="D277" s="85">
        <f t="shared" ref="D277:D279" si="107">SUM(J277:CC277)</f>
        <v>0</v>
      </c>
      <c r="E277"/>
      <c r="F277" s="86">
        <v>43770</v>
      </c>
      <c r="G277" s="87"/>
      <c r="H277" s="86">
        <v>44530</v>
      </c>
      <c r="I277"/>
      <c r="J277" s="110">
        <v>0</v>
      </c>
      <c r="K277" s="110">
        <v>0</v>
      </c>
      <c r="L277" s="110">
        <v>0</v>
      </c>
      <c r="M277" s="110">
        <v>0</v>
      </c>
      <c r="N277" s="110">
        <v>0</v>
      </c>
      <c r="O277" s="110">
        <v>0</v>
      </c>
      <c r="P277" s="110">
        <v>0</v>
      </c>
      <c r="Q277" s="110">
        <v>0</v>
      </c>
      <c r="R277" s="110">
        <v>0</v>
      </c>
      <c r="S277" s="110">
        <v>0</v>
      </c>
      <c r="T277" s="110">
        <v>0</v>
      </c>
      <c r="U277" s="110">
        <v>0</v>
      </c>
      <c r="V277" s="110">
        <v>0</v>
      </c>
      <c r="W277" s="110">
        <v>0</v>
      </c>
      <c r="X277" s="110">
        <v>0</v>
      </c>
      <c r="Y277" s="110">
        <v>0</v>
      </c>
      <c r="Z277" s="110">
        <v>0</v>
      </c>
      <c r="AA277" s="110">
        <v>0</v>
      </c>
      <c r="AB277" s="110">
        <v>0</v>
      </c>
      <c r="AC277" s="110">
        <v>0</v>
      </c>
      <c r="AD277" s="110">
        <v>0</v>
      </c>
      <c r="AE277" s="110">
        <v>0</v>
      </c>
      <c r="AF277" s="110">
        <v>0</v>
      </c>
      <c r="AG277" s="110">
        <v>0</v>
      </c>
      <c r="AH277" s="110">
        <v>0</v>
      </c>
      <c r="AI277" s="110">
        <v>0</v>
      </c>
      <c r="AJ277" s="110">
        <v>0</v>
      </c>
      <c r="AK277" s="110">
        <v>0</v>
      </c>
      <c r="AL277" s="110">
        <v>0</v>
      </c>
      <c r="AM277" s="110">
        <v>0</v>
      </c>
      <c r="AN277" s="110">
        <v>0</v>
      </c>
      <c r="AO277" s="110">
        <v>0</v>
      </c>
      <c r="AP277" s="110">
        <v>0</v>
      </c>
      <c r="AQ277" s="110">
        <v>0</v>
      </c>
      <c r="AR277" s="110">
        <v>0</v>
      </c>
      <c r="AS277" s="110">
        <v>0</v>
      </c>
      <c r="AT277" s="110">
        <v>0</v>
      </c>
      <c r="AU277" s="110">
        <v>0</v>
      </c>
      <c r="AV277" s="110">
        <v>0</v>
      </c>
      <c r="AW277" s="110">
        <v>0</v>
      </c>
      <c r="AX277" s="110">
        <v>0</v>
      </c>
      <c r="AY277" s="110">
        <v>0</v>
      </c>
      <c r="AZ277" s="110">
        <v>0</v>
      </c>
      <c r="BA277" s="110">
        <v>0</v>
      </c>
      <c r="BB277" s="110">
        <v>0</v>
      </c>
      <c r="BC277" s="110">
        <v>0</v>
      </c>
      <c r="BD277" s="110">
        <v>0</v>
      </c>
      <c r="BE277" s="110">
        <v>0</v>
      </c>
      <c r="BF277" s="110">
        <v>0</v>
      </c>
      <c r="BG277" s="110">
        <v>0</v>
      </c>
      <c r="BH277" s="110">
        <v>0</v>
      </c>
      <c r="BI277" s="110">
        <v>0</v>
      </c>
      <c r="BJ277" s="110">
        <v>0</v>
      </c>
      <c r="BK277" s="110">
        <v>0</v>
      </c>
      <c r="BL277" s="110">
        <v>0</v>
      </c>
      <c r="BM277" s="110">
        <v>0</v>
      </c>
      <c r="BN277" s="110">
        <v>0</v>
      </c>
      <c r="BO277" s="110">
        <v>0</v>
      </c>
      <c r="BP277" s="110">
        <v>0</v>
      </c>
      <c r="BQ277" s="110">
        <v>0</v>
      </c>
      <c r="BR277" s="110">
        <v>0</v>
      </c>
      <c r="BS277" s="110">
        <v>0</v>
      </c>
      <c r="BT277" s="110">
        <v>0</v>
      </c>
      <c r="BU277" s="110">
        <v>0</v>
      </c>
      <c r="BV277" s="110">
        <v>0</v>
      </c>
      <c r="BW277" s="110">
        <v>0</v>
      </c>
      <c r="BX277" s="110">
        <v>0</v>
      </c>
      <c r="BY277" s="110">
        <v>0</v>
      </c>
      <c r="BZ277" s="110">
        <v>0</v>
      </c>
      <c r="CA277" s="110">
        <v>0</v>
      </c>
      <c r="CB277" s="110">
        <v>0</v>
      </c>
      <c r="CC277" s="110">
        <v>0</v>
      </c>
    </row>
    <row r="278" spans="2:81" s="32" customFormat="1" ht="15.75" customHeight="1" x14ac:dyDescent="0.2">
      <c r="B278" s="83" t="str">
        <f>+$B$158</f>
        <v>Tarea 3</v>
      </c>
      <c r="D278" s="85">
        <f t="shared" si="107"/>
        <v>0</v>
      </c>
      <c r="E278"/>
      <c r="F278" s="86">
        <v>43770</v>
      </c>
      <c r="G278" s="87"/>
      <c r="H278" s="86">
        <v>44377</v>
      </c>
      <c r="I278"/>
      <c r="J278" s="110">
        <v>0</v>
      </c>
      <c r="K278" s="110">
        <v>0</v>
      </c>
      <c r="L278" s="110">
        <v>0</v>
      </c>
      <c r="M278" s="110">
        <v>0</v>
      </c>
      <c r="N278" s="110">
        <v>0</v>
      </c>
      <c r="O278" s="110">
        <v>0</v>
      </c>
      <c r="P278" s="110">
        <v>0</v>
      </c>
      <c r="Q278" s="110">
        <v>0</v>
      </c>
      <c r="R278" s="110">
        <v>0</v>
      </c>
      <c r="S278" s="110">
        <v>0</v>
      </c>
      <c r="T278" s="110">
        <v>0</v>
      </c>
      <c r="U278" s="110">
        <v>0</v>
      </c>
      <c r="V278" s="110">
        <v>0</v>
      </c>
      <c r="W278" s="110">
        <v>0</v>
      </c>
      <c r="X278" s="110">
        <v>0</v>
      </c>
      <c r="Y278" s="110">
        <v>0</v>
      </c>
      <c r="Z278" s="110">
        <v>0</v>
      </c>
      <c r="AA278" s="110">
        <v>0</v>
      </c>
      <c r="AB278" s="110">
        <v>0</v>
      </c>
      <c r="AC278" s="110">
        <v>0</v>
      </c>
      <c r="AD278" s="110">
        <v>0</v>
      </c>
      <c r="AE278" s="110">
        <v>0</v>
      </c>
      <c r="AF278" s="110">
        <v>0</v>
      </c>
      <c r="AG278" s="110">
        <v>0</v>
      </c>
      <c r="AH278" s="110">
        <v>0</v>
      </c>
      <c r="AI278" s="110">
        <v>0</v>
      </c>
      <c r="AJ278" s="110">
        <v>0</v>
      </c>
      <c r="AK278" s="110">
        <v>0</v>
      </c>
      <c r="AL278" s="110">
        <v>0</v>
      </c>
      <c r="AM278" s="110">
        <v>0</v>
      </c>
      <c r="AN278" s="110">
        <v>0</v>
      </c>
      <c r="AO278" s="110">
        <v>0</v>
      </c>
      <c r="AP278" s="110">
        <v>0</v>
      </c>
      <c r="AQ278" s="110">
        <v>0</v>
      </c>
      <c r="AR278" s="110">
        <v>0</v>
      </c>
      <c r="AS278" s="110">
        <v>0</v>
      </c>
      <c r="AT278" s="110">
        <v>0</v>
      </c>
      <c r="AU278" s="110">
        <v>0</v>
      </c>
      <c r="AV278" s="110">
        <v>0</v>
      </c>
      <c r="AW278" s="110">
        <v>0</v>
      </c>
      <c r="AX278" s="110">
        <v>0</v>
      </c>
      <c r="AY278" s="110">
        <v>0</v>
      </c>
      <c r="AZ278" s="110">
        <v>0</v>
      </c>
      <c r="BA278" s="110">
        <v>0</v>
      </c>
      <c r="BB278" s="110">
        <v>0</v>
      </c>
      <c r="BC278" s="110">
        <v>0</v>
      </c>
      <c r="BD278" s="110">
        <v>0</v>
      </c>
      <c r="BE278" s="110">
        <v>0</v>
      </c>
      <c r="BF278" s="110">
        <v>0</v>
      </c>
      <c r="BG278" s="110">
        <v>0</v>
      </c>
      <c r="BH278" s="110">
        <v>0</v>
      </c>
      <c r="BI278" s="110">
        <v>0</v>
      </c>
      <c r="BJ278" s="110">
        <v>0</v>
      </c>
      <c r="BK278" s="110">
        <v>0</v>
      </c>
      <c r="BL278" s="110">
        <v>0</v>
      </c>
      <c r="BM278" s="110">
        <v>0</v>
      </c>
      <c r="BN278" s="110">
        <v>0</v>
      </c>
      <c r="BO278" s="110">
        <v>0</v>
      </c>
      <c r="BP278" s="110">
        <v>0</v>
      </c>
      <c r="BQ278" s="110">
        <v>0</v>
      </c>
      <c r="BR278" s="110">
        <v>0</v>
      </c>
      <c r="BS278" s="110">
        <v>0</v>
      </c>
      <c r="BT278" s="110">
        <v>0</v>
      </c>
      <c r="BU278" s="110">
        <v>0</v>
      </c>
      <c r="BV278" s="110">
        <v>0</v>
      </c>
      <c r="BW278" s="110">
        <v>0</v>
      </c>
      <c r="BX278" s="110">
        <v>0</v>
      </c>
      <c r="BY278" s="110">
        <v>0</v>
      </c>
      <c r="BZ278" s="110">
        <v>0</v>
      </c>
      <c r="CA278" s="110">
        <v>0</v>
      </c>
      <c r="CB278" s="110">
        <v>0</v>
      </c>
      <c r="CC278" s="110">
        <v>0</v>
      </c>
    </row>
    <row r="279" spans="2:81" s="32" customFormat="1" ht="15.75" customHeight="1" x14ac:dyDescent="0.2">
      <c r="B279" s="83" t="str">
        <f>+$B$159</f>
        <v>Tarea 4</v>
      </c>
      <c r="D279" s="85">
        <f t="shared" si="107"/>
        <v>0</v>
      </c>
      <c r="E279"/>
      <c r="F279" s="86">
        <v>43466</v>
      </c>
      <c r="G279" s="87"/>
      <c r="H279" s="86">
        <v>44530</v>
      </c>
      <c r="I279"/>
      <c r="J279" s="110">
        <v>0</v>
      </c>
      <c r="K279" s="110">
        <v>0</v>
      </c>
      <c r="L279" s="110">
        <v>0</v>
      </c>
      <c r="M279" s="110">
        <v>0</v>
      </c>
      <c r="N279" s="110">
        <v>0</v>
      </c>
      <c r="O279" s="110">
        <v>0</v>
      </c>
      <c r="P279" s="110">
        <v>0</v>
      </c>
      <c r="Q279" s="110">
        <v>0</v>
      </c>
      <c r="R279" s="110">
        <v>0</v>
      </c>
      <c r="S279" s="110">
        <v>0</v>
      </c>
      <c r="T279" s="110">
        <v>0</v>
      </c>
      <c r="U279" s="110">
        <v>0</v>
      </c>
      <c r="V279" s="110">
        <v>0</v>
      </c>
      <c r="W279" s="110">
        <v>0</v>
      </c>
      <c r="X279" s="110">
        <v>0</v>
      </c>
      <c r="Y279" s="110">
        <v>0</v>
      </c>
      <c r="Z279" s="110">
        <v>0</v>
      </c>
      <c r="AA279" s="110">
        <v>0</v>
      </c>
      <c r="AB279" s="110">
        <v>0</v>
      </c>
      <c r="AC279" s="110">
        <v>0</v>
      </c>
      <c r="AD279" s="110">
        <v>0</v>
      </c>
      <c r="AE279" s="110">
        <v>0</v>
      </c>
      <c r="AF279" s="110">
        <v>0</v>
      </c>
      <c r="AG279" s="110">
        <v>0</v>
      </c>
      <c r="AH279" s="110">
        <v>0</v>
      </c>
      <c r="AI279" s="110">
        <v>0</v>
      </c>
      <c r="AJ279" s="110">
        <v>0</v>
      </c>
      <c r="AK279" s="110">
        <v>0</v>
      </c>
      <c r="AL279" s="110">
        <v>0</v>
      </c>
      <c r="AM279" s="110">
        <v>0</v>
      </c>
      <c r="AN279" s="110">
        <v>0</v>
      </c>
      <c r="AO279" s="110">
        <v>0</v>
      </c>
      <c r="AP279" s="110">
        <v>0</v>
      </c>
      <c r="AQ279" s="110">
        <v>0</v>
      </c>
      <c r="AR279" s="110">
        <v>0</v>
      </c>
      <c r="AS279" s="110">
        <v>0</v>
      </c>
      <c r="AT279" s="110">
        <v>0</v>
      </c>
      <c r="AU279" s="110">
        <v>0</v>
      </c>
      <c r="AV279" s="110">
        <v>0</v>
      </c>
      <c r="AW279" s="110">
        <v>0</v>
      </c>
      <c r="AX279" s="110">
        <v>0</v>
      </c>
      <c r="AY279" s="110">
        <v>0</v>
      </c>
      <c r="AZ279" s="110">
        <v>0</v>
      </c>
      <c r="BA279" s="110">
        <v>0</v>
      </c>
      <c r="BB279" s="110">
        <v>0</v>
      </c>
      <c r="BC279" s="110">
        <v>0</v>
      </c>
      <c r="BD279" s="110">
        <v>0</v>
      </c>
      <c r="BE279" s="110">
        <v>0</v>
      </c>
      <c r="BF279" s="110">
        <v>0</v>
      </c>
      <c r="BG279" s="110">
        <v>0</v>
      </c>
      <c r="BH279" s="110">
        <v>0</v>
      </c>
      <c r="BI279" s="110">
        <v>0</v>
      </c>
      <c r="BJ279" s="110">
        <v>0</v>
      </c>
      <c r="BK279" s="110">
        <v>0</v>
      </c>
      <c r="BL279" s="110">
        <v>0</v>
      </c>
      <c r="BM279" s="110">
        <v>0</v>
      </c>
      <c r="BN279" s="110">
        <v>0</v>
      </c>
      <c r="BO279" s="110">
        <v>0</v>
      </c>
      <c r="BP279" s="110">
        <v>0</v>
      </c>
      <c r="BQ279" s="110">
        <v>0</v>
      </c>
      <c r="BR279" s="110">
        <v>0</v>
      </c>
      <c r="BS279" s="110">
        <v>0</v>
      </c>
      <c r="BT279" s="110">
        <v>0</v>
      </c>
      <c r="BU279" s="110">
        <v>0</v>
      </c>
      <c r="BV279" s="110">
        <v>0</v>
      </c>
      <c r="BW279" s="110">
        <v>0</v>
      </c>
      <c r="BX279" s="110">
        <v>0</v>
      </c>
      <c r="BY279" s="110">
        <v>0</v>
      </c>
      <c r="BZ279" s="110">
        <v>0</v>
      </c>
      <c r="CA279" s="110">
        <v>0</v>
      </c>
      <c r="CB279" s="110">
        <v>0</v>
      </c>
      <c r="CC279" s="110">
        <v>0</v>
      </c>
    </row>
    <row r="280" spans="2:81" s="32" customFormat="1" ht="5.0999999999999996" customHeight="1" x14ac:dyDescent="0.2">
      <c r="D280"/>
      <c r="E280"/>
      <c r="F280"/>
      <c r="G280"/>
      <c r="H280"/>
      <c r="I280"/>
      <c r="K280" s="163"/>
      <c r="L280" s="163"/>
      <c r="M280" s="163"/>
      <c r="N280" s="163"/>
      <c r="O280" s="163"/>
      <c r="P280"/>
      <c r="Q280"/>
      <c r="R280"/>
      <c r="S280"/>
      <c r="T280"/>
      <c r="U280"/>
      <c r="V280"/>
      <c r="W280"/>
      <c r="X280"/>
      <c r="Y280"/>
      <c r="Z280"/>
      <c r="AA280"/>
      <c r="AB280"/>
      <c r="AC280"/>
      <c r="AD280"/>
      <c r="AE280"/>
      <c r="AF280"/>
      <c r="AG280"/>
      <c r="AH280"/>
      <c r="AI280"/>
      <c r="AJ280"/>
      <c r="AK280"/>
      <c r="AL280"/>
      <c r="AM280"/>
      <c r="AN280"/>
      <c r="AO280"/>
      <c r="AP280"/>
      <c r="AQ280"/>
      <c r="AR280"/>
      <c r="AS280"/>
      <c r="AT280"/>
      <c r="AU280"/>
      <c r="AV280"/>
      <c r="AW280"/>
      <c r="AX280"/>
      <c r="AY280"/>
      <c r="AZ280"/>
      <c r="BA280"/>
      <c r="BB280"/>
      <c r="BC280"/>
      <c r="BD280"/>
      <c r="BE280"/>
      <c r="BF280"/>
      <c r="BG280"/>
      <c r="BH280"/>
      <c r="BI280"/>
      <c r="BJ280"/>
      <c r="BK280"/>
      <c r="BL280"/>
      <c r="BM280"/>
      <c r="BN280"/>
      <c r="BO280"/>
      <c r="BP280"/>
      <c r="BQ280"/>
      <c r="BR280"/>
      <c r="BS280"/>
      <c r="BT280"/>
      <c r="BU280"/>
      <c r="BV280"/>
      <c r="BW280"/>
      <c r="BX280"/>
      <c r="BY280"/>
      <c r="BZ280"/>
      <c r="CA280"/>
      <c r="CB280"/>
      <c r="CC280"/>
    </row>
    <row r="281" spans="2:81" s="32" customFormat="1" x14ac:dyDescent="0.2">
      <c r="B281" s="182" t="s">
        <v>172</v>
      </c>
      <c r="D281" s="183">
        <f>SUM(D276:D280)</f>
        <v>0.1</v>
      </c>
      <c r="E281"/>
      <c r="F281"/>
      <c r="G281"/>
      <c r="H281"/>
      <c r="I281"/>
      <c r="J281" s="191">
        <f>IF($Q$152="Sobre la obra",SUM(J276:J280),IF($Q$152="Sobre cada tarea",SUMPRODUCT($D$276:$D$279,J276:J279),""))</f>
        <v>1.0000000000000002E-2</v>
      </c>
      <c r="K281" s="191">
        <f>SUM(K276:K280)</f>
        <v>0</v>
      </c>
      <c r="L281" s="191">
        <f t="shared" ref="L281:U281" si="108">SUM(L276:L280)</f>
        <v>0</v>
      </c>
      <c r="M281" s="191">
        <f t="shared" si="108"/>
        <v>0</v>
      </c>
      <c r="N281" s="191">
        <f t="shared" si="108"/>
        <v>0</v>
      </c>
      <c r="O281" s="191">
        <f t="shared" si="108"/>
        <v>0</v>
      </c>
      <c r="P281" s="183">
        <f t="shared" si="108"/>
        <v>0</v>
      </c>
      <c r="Q281" s="183">
        <f t="shared" si="108"/>
        <v>0</v>
      </c>
      <c r="R281" s="183">
        <f t="shared" si="108"/>
        <v>0</v>
      </c>
      <c r="S281" s="183">
        <f t="shared" si="108"/>
        <v>0</v>
      </c>
      <c r="T281" s="183">
        <f t="shared" si="108"/>
        <v>0</v>
      </c>
      <c r="U281" s="183">
        <f t="shared" si="108"/>
        <v>0</v>
      </c>
      <c r="V281" s="183">
        <f t="shared" ref="V281:CC281" si="109">SUM(V276:V280)</f>
        <v>0</v>
      </c>
      <c r="W281" s="183">
        <f t="shared" si="109"/>
        <v>0</v>
      </c>
      <c r="X281" s="183">
        <f t="shared" si="109"/>
        <v>0</v>
      </c>
      <c r="Y281" s="183">
        <f t="shared" si="109"/>
        <v>0</v>
      </c>
      <c r="Z281" s="183">
        <f t="shared" si="109"/>
        <v>0</v>
      </c>
      <c r="AA281" s="183">
        <f t="shared" si="109"/>
        <v>0</v>
      </c>
      <c r="AB281" s="183">
        <f t="shared" si="109"/>
        <v>0</v>
      </c>
      <c r="AC281" s="183">
        <f t="shared" si="109"/>
        <v>0</v>
      </c>
      <c r="AD281" s="183">
        <f t="shared" si="109"/>
        <v>0</v>
      </c>
      <c r="AE281" s="183">
        <f t="shared" si="109"/>
        <v>0</v>
      </c>
      <c r="AF281" s="183">
        <f t="shared" si="109"/>
        <v>0</v>
      </c>
      <c r="AG281" s="183">
        <f t="shared" si="109"/>
        <v>0</v>
      </c>
      <c r="AH281" s="183">
        <f t="shared" si="109"/>
        <v>0</v>
      </c>
      <c r="AI281" s="183">
        <f t="shared" si="109"/>
        <v>0</v>
      </c>
      <c r="AJ281" s="183">
        <f t="shared" si="109"/>
        <v>0</v>
      </c>
      <c r="AK281" s="183">
        <f t="shared" si="109"/>
        <v>0</v>
      </c>
      <c r="AL281" s="183">
        <f t="shared" si="109"/>
        <v>0</v>
      </c>
      <c r="AM281" s="183">
        <f t="shared" si="109"/>
        <v>0</v>
      </c>
      <c r="AN281" s="183">
        <f t="shared" si="109"/>
        <v>0</v>
      </c>
      <c r="AO281" s="183">
        <f t="shared" si="109"/>
        <v>0</v>
      </c>
      <c r="AP281" s="183">
        <f t="shared" si="109"/>
        <v>0</v>
      </c>
      <c r="AQ281" s="183">
        <f t="shared" si="109"/>
        <v>0</v>
      </c>
      <c r="AR281" s="183">
        <f t="shared" si="109"/>
        <v>0</v>
      </c>
      <c r="AS281" s="183">
        <f t="shared" si="109"/>
        <v>0</v>
      </c>
      <c r="AT281" s="183">
        <f t="shared" si="109"/>
        <v>0</v>
      </c>
      <c r="AU281" s="183">
        <f t="shared" si="109"/>
        <v>0</v>
      </c>
      <c r="AV281" s="183">
        <f t="shared" si="109"/>
        <v>0</v>
      </c>
      <c r="AW281" s="183">
        <f t="shared" si="109"/>
        <v>0</v>
      </c>
      <c r="AX281" s="183">
        <f t="shared" si="109"/>
        <v>0</v>
      </c>
      <c r="AY281" s="183">
        <f t="shared" si="109"/>
        <v>0</v>
      </c>
      <c r="AZ281" s="183">
        <f t="shared" si="109"/>
        <v>0</v>
      </c>
      <c r="BA281" s="183">
        <f t="shared" si="109"/>
        <v>0</v>
      </c>
      <c r="BB281" s="183">
        <f t="shared" si="109"/>
        <v>0</v>
      </c>
      <c r="BC281" s="183">
        <f t="shared" si="109"/>
        <v>0</v>
      </c>
      <c r="BD281" s="183">
        <f t="shared" si="109"/>
        <v>0</v>
      </c>
      <c r="BE281" s="183">
        <f t="shared" si="109"/>
        <v>0</v>
      </c>
      <c r="BF281" s="183">
        <f t="shared" si="109"/>
        <v>0</v>
      </c>
      <c r="BG281" s="183">
        <f t="shared" si="109"/>
        <v>0</v>
      </c>
      <c r="BH281" s="183">
        <f t="shared" si="109"/>
        <v>0</v>
      </c>
      <c r="BI281" s="183">
        <f t="shared" si="109"/>
        <v>0</v>
      </c>
      <c r="BJ281" s="183">
        <f t="shared" si="109"/>
        <v>0</v>
      </c>
      <c r="BK281" s="183">
        <f t="shared" si="109"/>
        <v>0</v>
      </c>
      <c r="BL281" s="183">
        <f t="shared" si="109"/>
        <v>0</v>
      </c>
      <c r="BM281" s="183">
        <f t="shared" si="109"/>
        <v>0</v>
      </c>
      <c r="BN281" s="183">
        <f t="shared" si="109"/>
        <v>0</v>
      </c>
      <c r="BO281" s="183">
        <f t="shared" si="109"/>
        <v>0</v>
      </c>
      <c r="BP281" s="183">
        <f t="shared" si="109"/>
        <v>0</v>
      </c>
      <c r="BQ281" s="183">
        <f t="shared" si="109"/>
        <v>0</v>
      </c>
      <c r="BR281" s="183">
        <f t="shared" si="109"/>
        <v>0</v>
      </c>
      <c r="BS281" s="183">
        <f t="shared" si="109"/>
        <v>0</v>
      </c>
      <c r="BT281" s="183">
        <f t="shared" si="109"/>
        <v>0</v>
      </c>
      <c r="BU281" s="183">
        <f t="shared" si="109"/>
        <v>0</v>
      </c>
      <c r="BV281" s="183">
        <f t="shared" si="109"/>
        <v>0</v>
      </c>
      <c r="BW281" s="183">
        <f t="shared" si="109"/>
        <v>0</v>
      </c>
      <c r="BX281" s="183">
        <f t="shared" si="109"/>
        <v>0</v>
      </c>
      <c r="BY281" s="183">
        <f t="shared" si="109"/>
        <v>0</v>
      </c>
      <c r="BZ281" s="183">
        <f t="shared" si="109"/>
        <v>0</v>
      </c>
      <c r="CA281" s="183">
        <f t="shared" si="109"/>
        <v>0</v>
      </c>
      <c r="CB281" s="183">
        <f t="shared" si="109"/>
        <v>0</v>
      </c>
      <c r="CC281" s="183">
        <f t="shared" si="109"/>
        <v>0</v>
      </c>
    </row>
    <row r="282" spans="2:81" ht="5.0999999999999996" customHeight="1" x14ac:dyDescent="0.2">
      <c r="J282" s="192"/>
      <c r="K282" s="192"/>
      <c r="L282" s="192"/>
      <c r="M282" s="192"/>
      <c r="N282" s="192"/>
      <c r="O282" s="192"/>
      <c r="P282" s="192"/>
      <c r="Q282" s="192"/>
      <c r="R282" s="192"/>
      <c r="S282" s="192"/>
      <c r="T282" s="192"/>
      <c r="U282" s="192"/>
      <c r="V282" s="192"/>
      <c r="W282" s="192"/>
      <c r="X282" s="192"/>
      <c r="Y282" s="192"/>
      <c r="Z282" s="192"/>
      <c r="AA282" s="192"/>
      <c r="AB282" s="192"/>
      <c r="AC282" s="192"/>
      <c r="AD282" s="192"/>
      <c r="AE282" s="192"/>
      <c r="AF282" s="192"/>
      <c r="AG282" s="192"/>
      <c r="AH282" s="192"/>
      <c r="AI282" s="192"/>
      <c r="AJ282" s="192"/>
      <c r="AK282" s="192"/>
      <c r="AL282" s="192"/>
      <c r="AM282" s="192"/>
      <c r="AN282" s="192"/>
      <c r="AO282" s="192"/>
      <c r="AP282" s="192"/>
      <c r="AQ282" s="192"/>
      <c r="AR282" s="192"/>
      <c r="AS282" s="192"/>
      <c r="AT282" s="192"/>
      <c r="AU282" s="192"/>
      <c r="AV282" s="192"/>
      <c r="AW282" s="192"/>
      <c r="AX282" s="192"/>
      <c r="AY282" s="192"/>
      <c r="AZ282" s="192"/>
      <c r="BA282" s="192"/>
      <c r="BB282" s="192"/>
      <c r="BC282" s="192"/>
      <c r="BD282" s="192"/>
      <c r="BE282" s="192"/>
      <c r="BF282" s="192"/>
      <c r="BG282" s="192"/>
      <c r="BH282" s="192"/>
      <c r="BI282" s="192"/>
      <c r="BJ282" s="192"/>
      <c r="BK282" s="192"/>
      <c r="BL282" s="192"/>
      <c r="BM282" s="192"/>
      <c r="BN282" s="192"/>
      <c r="BO282" s="192"/>
      <c r="BP282" s="192"/>
      <c r="BQ282" s="192"/>
      <c r="BR282" s="192"/>
      <c r="BS282" s="192"/>
      <c r="BT282" s="192"/>
      <c r="BU282" s="192"/>
      <c r="BV282" s="192"/>
      <c r="BW282" s="192"/>
      <c r="BX282" s="192"/>
      <c r="BY282" s="192"/>
      <c r="BZ282" s="192"/>
      <c r="CA282" s="192"/>
      <c r="CB282" s="192"/>
      <c r="CC282" s="192"/>
    </row>
    <row r="283" spans="2:81" s="32" customFormat="1" x14ac:dyDescent="0.2">
      <c r="B283" s="83" t="s">
        <v>115</v>
      </c>
      <c r="D283"/>
      <c r="E283"/>
      <c r="F283"/>
      <c r="G283"/>
      <c r="H283"/>
      <c r="I283"/>
      <c r="J283" s="85">
        <f>+J281</f>
        <v>1.0000000000000002E-2</v>
      </c>
      <c r="K283" s="85">
        <f t="shared" ref="K283:U283" si="110">+J283+K281</f>
        <v>1.0000000000000002E-2</v>
      </c>
      <c r="L283" s="85">
        <f t="shared" si="110"/>
        <v>1.0000000000000002E-2</v>
      </c>
      <c r="M283" s="85">
        <f t="shared" si="110"/>
        <v>1.0000000000000002E-2</v>
      </c>
      <c r="N283" s="85">
        <f t="shared" si="110"/>
        <v>1.0000000000000002E-2</v>
      </c>
      <c r="O283" s="85">
        <f t="shared" si="110"/>
        <v>1.0000000000000002E-2</v>
      </c>
      <c r="P283" s="85">
        <f t="shared" si="110"/>
        <v>1.0000000000000002E-2</v>
      </c>
      <c r="Q283" s="85">
        <f t="shared" si="110"/>
        <v>1.0000000000000002E-2</v>
      </c>
      <c r="R283" s="85">
        <f t="shared" si="110"/>
        <v>1.0000000000000002E-2</v>
      </c>
      <c r="S283" s="85">
        <f t="shared" si="110"/>
        <v>1.0000000000000002E-2</v>
      </c>
      <c r="T283" s="85">
        <f t="shared" si="110"/>
        <v>1.0000000000000002E-2</v>
      </c>
      <c r="U283" s="85">
        <f t="shared" si="110"/>
        <v>1.0000000000000002E-2</v>
      </c>
      <c r="V283" s="85">
        <f t="shared" ref="V283:CC283" si="111">+U283+V281</f>
        <v>1.0000000000000002E-2</v>
      </c>
      <c r="W283" s="85">
        <f t="shared" si="111"/>
        <v>1.0000000000000002E-2</v>
      </c>
      <c r="X283" s="85">
        <f t="shared" si="111"/>
        <v>1.0000000000000002E-2</v>
      </c>
      <c r="Y283" s="85">
        <f t="shared" si="111"/>
        <v>1.0000000000000002E-2</v>
      </c>
      <c r="Z283" s="85">
        <f t="shared" si="111"/>
        <v>1.0000000000000002E-2</v>
      </c>
      <c r="AA283" s="85">
        <f t="shared" si="111"/>
        <v>1.0000000000000002E-2</v>
      </c>
      <c r="AB283" s="85">
        <f t="shared" si="111"/>
        <v>1.0000000000000002E-2</v>
      </c>
      <c r="AC283" s="85">
        <f t="shared" si="111"/>
        <v>1.0000000000000002E-2</v>
      </c>
      <c r="AD283" s="85">
        <f t="shared" si="111"/>
        <v>1.0000000000000002E-2</v>
      </c>
      <c r="AE283" s="85">
        <f t="shared" si="111"/>
        <v>1.0000000000000002E-2</v>
      </c>
      <c r="AF283" s="85">
        <f t="shared" si="111"/>
        <v>1.0000000000000002E-2</v>
      </c>
      <c r="AG283" s="85">
        <f t="shared" si="111"/>
        <v>1.0000000000000002E-2</v>
      </c>
      <c r="AH283" s="85">
        <f t="shared" si="111"/>
        <v>1.0000000000000002E-2</v>
      </c>
      <c r="AI283" s="85">
        <f t="shared" si="111"/>
        <v>1.0000000000000002E-2</v>
      </c>
      <c r="AJ283" s="85">
        <f t="shared" si="111"/>
        <v>1.0000000000000002E-2</v>
      </c>
      <c r="AK283" s="85">
        <f t="shared" si="111"/>
        <v>1.0000000000000002E-2</v>
      </c>
      <c r="AL283" s="85">
        <f t="shared" si="111"/>
        <v>1.0000000000000002E-2</v>
      </c>
      <c r="AM283" s="85">
        <f t="shared" si="111"/>
        <v>1.0000000000000002E-2</v>
      </c>
      <c r="AN283" s="85">
        <f t="shared" si="111"/>
        <v>1.0000000000000002E-2</v>
      </c>
      <c r="AO283" s="85">
        <f t="shared" si="111"/>
        <v>1.0000000000000002E-2</v>
      </c>
      <c r="AP283" s="85">
        <f t="shared" si="111"/>
        <v>1.0000000000000002E-2</v>
      </c>
      <c r="AQ283" s="85">
        <f t="shared" si="111"/>
        <v>1.0000000000000002E-2</v>
      </c>
      <c r="AR283" s="85">
        <f t="shared" si="111"/>
        <v>1.0000000000000002E-2</v>
      </c>
      <c r="AS283" s="85">
        <f t="shared" si="111"/>
        <v>1.0000000000000002E-2</v>
      </c>
      <c r="AT283" s="85">
        <f t="shared" si="111"/>
        <v>1.0000000000000002E-2</v>
      </c>
      <c r="AU283" s="85">
        <f t="shared" si="111"/>
        <v>1.0000000000000002E-2</v>
      </c>
      <c r="AV283" s="85">
        <f t="shared" si="111"/>
        <v>1.0000000000000002E-2</v>
      </c>
      <c r="AW283" s="85">
        <f t="shared" si="111"/>
        <v>1.0000000000000002E-2</v>
      </c>
      <c r="AX283" s="85">
        <f t="shared" si="111"/>
        <v>1.0000000000000002E-2</v>
      </c>
      <c r="AY283" s="85">
        <f t="shared" si="111"/>
        <v>1.0000000000000002E-2</v>
      </c>
      <c r="AZ283" s="85">
        <f t="shared" si="111"/>
        <v>1.0000000000000002E-2</v>
      </c>
      <c r="BA283" s="85">
        <f t="shared" si="111"/>
        <v>1.0000000000000002E-2</v>
      </c>
      <c r="BB283" s="85">
        <f t="shared" si="111"/>
        <v>1.0000000000000002E-2</v>
      </c>
      <c r="BC283" s="85">
        <f t="shared" si="111"/>
        <v>1.0000000000000002E-2</v>
      </c>
      <c r="BD283" s="85">
        <f t="shared" si="111"/>
        <v>1.0000000000000002E-2</v>
      </c>
      <c r="BE283" s="85">
        <f t="shared" si="111"/>
        <v>1.0000000000000002E-2</v>
      </c>
      <c r="BF283" s="85">
        <f t="shared" si="111"/>
        <v>1.0000000000000002E-2</v>
      </c>
      <c r="BG283" s="85">
        <f t="shared" si="111"/>
        <v>1.0000000000000002E-2</v>
      </c>
      <c r="BH283" s="85">
        <f t="shared" si="111"/>
        <v>1.0000000000000002E-2</v>
      </c>
      <c r="BI283" s="85">
        <f t="shared" si="111"/>
        <v>1.0000000000000002E-2</v>
      </c>
      <c r="BJ283" s="85">
        <f t="shared" si="111"/>
        <v>1.0000000000000002E-2</v>
      </c>
      <c r="BK283" s="85">
        <f t="shared" si="111"/>
        <v>1.0000000000000002E-2</v>
      </c>
      <c r="BL283" s="85">
        <f t="shared" si="111"/>
        <v>1.0000000000000002E-2</v>
      </c>
      <c r="BM283" s="85">
        <f t="shared" si="111"/>
        <v>1.0000000000000002E-2</v>
      </c>
      <c r="BN283" s="85">
        <f t="shared" si="111"/>
        <v>1.0000000000000002E-2</v>
      </c>
      <c r="BO283" s="85">
        <f t="shared" si="111"/>
        <v>1.0000000000000002E-2</v>
      </c>
      <c r="BP283" s="85">
        <f t="shared" si="111"/>
        <v>1.0000000000000002E-2</v>
      </c>
      <c r="BQ283" s="85">
        <f t="shared" si="111"/>
        <v>1.0000000000000002E-2</v>
      </c>
      <c r="BR283" s="85">
        <f t="shared" si="111"/>
        <v>1.0000000000000002E-2</v>
      </c>
      <c r="BS283" s="85">
        <f t="shared" si="111"/>
        <v>1.0000000000000002E-2</v>
      </c>
      <c r="BT283" s="85">
        <f t="shared" si="111"/>
        <v>1.0000000000000002E-2</v>
      </c>
      <c r="BU283" s="85">
        <f t="shared" si="111"/>
        <v>1.0000000000000002E-2</v>
      </c>
      <c r="BV283" s="85">
        <f t="shared" si="111"/>
        <v>1.0000000000000002E-2</v>
      </c>
      <c r="BW283" s="85">
        <f t="shared" si="111"/>
        <v>1.0000000000000002E-2</v>
      </c>
      <c r="BX283" s="85">
        <f t="shared" si="111"/>
        <v>1.0000000000000002E-2</v>
      </c>
      <c r="BY283" s="85">
        <f t="shared" si="111"/>
        <v>1.0000000000000002E-2</v>
      </c>
      <c r="BZ283" s="85">
        <f t="shared" si="111"/>
        <v>1.0000000000000002E-2</v>
      </c>
      <c r="CA283" s="85">
        <f t="shared" si="111"/>
        <v>1.0000000000000002E-2</v>
      </c>
      <c r="CB283" s="85">
        <f t="shared" si="111"/>
        <v>1.0000000000000002E-2</v>
      </c>
      <c r="CC283" s="85">
        <f t="shared" si="111"/>
        <v>1.0000000000000002E-2</v>
      </c>
    </row>
    <row r="284" spans="2:81" ht="5.0999999999999996" customHeight="1" x14ac:dyDescent="0.2"/>
    <row r="285" spans="2:81" x14ac:dyDescent="0.2">
      <c r="B285" s="75" t="s">
        <v>294</v>
      </c>
      <c r="C285" s="67"/>
      <c r="D285" s="67"/>
      <c r="E285" s="67"/>
      <c r="F285" s="67"/>
      <c r="G285" s="67"/>
      <c r="H285" s="67"/>
      <c r="I285" s="67"/>
      <c r="J285" s="67"/>
      <c r="K285" s="67"/>
      <c r="L285" s="67"/>
      <c r="M285" s="67"/>
      <c r="N285" s="67"/>
      <c r="O285" s="67"/>
      <c r="P285" s="67"/>
      <c r="Q285" s="121"/>
      <c r="R285" s="67"/>
      <c r="S285" s="67"/>
      <c r="T285" s="67"/>
      <c r="U285" s="67"/>
      <c r="V285" s="67"/>
      <c r="W285" s="67"/>
      <c r="X285" s="67"/>
      <c r="Y285" s="67"/>
      <c r="Z285" s="67"/>
      <c r="AA285" s="67"/>
      <c r="AB285" s="67"/>
      <c r="AC285" s="67"/>
      <c r="AD285" s="67"/>
      <c r="AE285" s="67"/>
      <c r="AF285" s="67"/>
      <c r="AG285" s="67"/>
      <c r="AH285" s="67"/>
      <c r="AI285" s="67"/>
      <c r="AJ285" s="67"/>
      <c r="AK285" s="67"/>
      <c r="AL285" s="67"/>
      <c r="AM285" s="67"/>
      <c r="AN285" s="67"/>
      <c r="AO285" s="67"/>
      <c r="AP285" s="67"/>
      <c r="AQ285" s="67"/>
      <c r="AR285" s="67"/>
      <c r="AS285" s="67"/>
      <c r="AT285" s="67"/>
      <c r="AU285" s="67"/>
      <c r="AV285" s="67"/>
      <c r="AW285" s="67"/>
      <c r="AX285" s="67"/>
      <c r="AY285" s="67"/>
      <c r="AZ285" s="67"/>
      <c r="BA285" s="67"/>
      <c r="BB285" s="67"/>
      <c r="BC285" s="67"/>
      <c r="BD285" s="67"/>
      <c r="BE285" s="67"/>
      <c r="BF285" s="67"/>
      <c r="BG285" s="67"/>
      <c r="BH285" s="67"/>
      <c r="BI285" s="67"/>
      <c r="BJ285" s="67"/>
      <c r="BK285" s="67"/>
      <c r="BL285" s="67"/>
      <c r="BM285" s="67"/>
      <c r="BN285" s="67"/>
      <c r="BO285" s="67"/>
      <c r="BP285" s="67"/>
      <c r="BQ285" s="67"/>
      <c r="BR285" s="67"/>
      <c r="BS285" s="67"/>
      <c r="BT285" s="67"/>
      <c r="BU285" s="67"/>
      <c r="BV285" s="67"/>
      <c r="BW285" s="67"/>
      <c r="BX285" s="67"/>
      <c r="BY285" s="67"/>
      <c r="BZ285" s="67"/>
      <c r="CA285" s="67"/>
      <c r="CB285" s="67"/>
      <c r="CC285" s="67"/>
    </row>
    <row r="286" spans="2:81" ht="5.0999999999999996" customHeight="1" x14ac:dyDescent="0.2"/>
    <row r="287" spans="2:81" s="32" customFormat="1" x14ac:dyDescent="0.2">
      <c r="B287" s="519"/>
      <c r="C287" s="520"/>
      <c r="D287" s="520"/>
      <c r="E287" s="520"/>
      <c r="F287" s="521"/>
      <c r="H287" s="83"/>
      <c r="J287" s="190" t="e">
        <f>+J274</f>
        <v>#N/A</v>
      </c>
      <c r="K287" s="190" t="e">
        <f t="shared" ref="K287:BV287" si="112">+K274</f>
        <v>#N/A</v>
      </c>
      <c r="L287" s="190" t="e">
        <f t="shared" si="112"/>
        <v>#N/A</v>
      </c>
      <c r="M287" s="190" t="e">
        <f t="shared" si="112"/>
        <v>#N/A</v>
      </c>
      <c r="N287" s="190" t="e">
        <f t="shared" si="112"/>
        <v>#N/A</v>
      </c>
      <c r="O287" s="190" t="e">
        <f t="shared" si="112"/>
        <v>#N/A</v>
      </c>
      <c r="P287" s="190" t="e">
        <f t="shared" si="112"/>
        <v>#N/A</v>
      </c>
      <c r="Q287" s="190" t="e">
        <f t="shared" si="112"/>
        <v>#N/A</v>
      </c>
      <c r="R287" s="190" t="e">
        <f t="shared" si="112"/>
        <v>#N/A</v>
      </c>
      <c r="S287" s="190" t="e">
        <f t="shared" si="112"/>
        <v>#N/A</v>
      </c>
      <c r="T287" s="190" t="e">
        <f t="shared" si="112"/>
        <v>#N/A</v>
      </c>
      <c r="U287" s="190" t="e">
        <f t="shared" si="112"/>
        <v>#N/A</v>
      </c>
      <c r="V287" s="190" t="e">
        <f t="shared" si="112"/>
        <v>#N/A</v>
      </c>
      <c r="W287" s="190" t="e">
        <f t="shared" si="112"/>
        <v>#N/A</v>
      </c>
      <c r="X287" s="190" t="e">
        <f t="shared" si="112"/>
        <v>#N/A</v>
      </c>
      <c r="Y287" s="190" t="e">
        <f t="shared" si="112"/>
        <v>#N/A</v>
      </c>
      <c r="Z287" s="190" t="e">
        <f t="shared" si="112"/>
        <v>#N/A</v>
      </c>
      <c r="AA287" s="190" t="e">
        <f t="shared" si="112"/>
        <v>#N/A</v>
      </c>
      <c r="AB287" s="190" t="e">
        <f t="shared" si="112"/>
        <v>#N/A</v>
      </c>
      <c r="AC287" s="190" t="e">
        <f t="shared" si="112"/>
        <v>#N/A</v>
      </c>
      <c r="AD287" s="190" t="e">
        <f t="shared" si="112"/>
        <v>#N/A</v>
      </c>
      <c r="AE287" s="190" t="e">
        <f t="shared" si="112"/>
        <v>#N/A</v>
      </c>
      <c r="AF287" s="190" t="e">
        <f t="shared" si="112"/>
        <v>#N/A</v>
      </c>
      <c r="AG287" s="190" t="e">
        <f t="shared" si="112"/>
        <v>#N/A</v>
      </c>
      <c r="AH287" s="190" t="e">
        <f t="shared" si="112"/>
        <v>#N/A</v>
      </c>
      <c r="AI287" s="190" t="e">
        <f t="shared" si="112"/>
        <v>#N/A</v>
      </c>
      <c r="AJ287" s="190" t="e">
        <f t="shared" si="112"/>
        <v>#N/A</v>
      </c>
      <c r="AK287" s="190" t="e">
        <f t="shared" si="112"/>
        <v>#N/A</v>
      </c>
      <c r="AL287" s="190" t="e">
        <f t="shared" si="112"/>
        <v>#N/A</v>
      </c>
      <c r="AM287" s="190" t="e">
        <f t="shared" si="112"/>
        <v>#N/A</v>
      </c>
      <c r="AN287" s="190" t="e">
        <f t="shared" si="112"/>
        <v>#N/A</v>
      </c>
      <c r="AO287" s="190" t="e">
        <f t="shared" si="112"/>
        <v>#N/A</v>
      </c>
      <c r="AP287" s="190" t="e">
        <f t="shared" si="112"/>
        <v>#N/A</v>
      </c>
      <c r="AQ287" s="190" t="e">
        <f t="shared" si="112"/>
        <v>#N/A</v>
      </c>
      <c r="AR287" s="190" t="e">
        <f t="shared" si="112"/>
        <v>#N/A</v>
      </c>
      <c r="AS287" s="190" t="e">
        <f t="shared" si="112"/>
        <v>#N/A</v>
      </c>
      <c r="AT287" s="190" t="e">
        <f t="shared" si="112"/>
        <v>#N/A</v>
      </c>
      <c r="AU287" s="190" t="e">
        <f t="shared" si="112"/>
        <v>#N/A</v>
      </c>
      <c r="AV287" s="190" t="e">
        <f t="shared" si="112"/>
        <v>#N/A</v>
      </c>
      <c r="AW287" s="190" t="e">
        <f t="shared" si="112"/>
        <v>#N/A</v>
      </c>
      <c r="AX287" s="190" t="e">
        <f t="shared" si="112"/>
        <v>#N/A</v>
      </c>
      <c r="AY287" s="190" t="e">
        <f t="shared" si="112"/>
        <v>#N/A</v>
      </c>
      <c r="AZ287" s="190" t="e">
        <f t="shared" si="112"/>
        <v>#N/A</v>
      </c>
      <c r="BA287" s="190" t="e">
        <f t="shared" si="112"/>
        <v>#N/A</v>
      </c>
      <c r="BB287" s="190" t="e">
        <f t="shared" si="112"/>
        <v>#N/A</v>
      </c>
      <c r="BC287" s="190" t="e">
        <f t="shared" si="112"/>
        <v>#N/A</v>
      </c>
      <c r="BD287" s="190" t="e">
        <f t="shared" si="112"/>
        <v>#N/A</v>
      </c>
      <c r="BE287" s="190" t="e">
        <f t="shared" si="112"/>
        <v>#N/A</v>
      </c>
      <c r="BF287" s="190" t="e">
        <f t="shared" si="112"/>
        <v>#N/A</v>
      </c>
      <c r="BG287" s="190" t="e">
        <f t="shared" si="112"/>
        <v>#N/A</v>
      </c>
      <c r="BH287" s="190" t="e">
        <f t="shared" si="112"/>
        <v>#N/A</v>
      </c>
      <c r="BI287" s="190" t="e">
        <f t="shared" si="112"/>
        <v>#N/A</v>
      </c>
      <c r="BJ287" s="190" t="e">
        <f t="shared" si="112"/>
        <v>#N/A</v>
      </c>
      <c r="BK287" s="190" t="e">
        <f t="shared" si="112"/>
        <v>#N/A</v>
      </c>
      <c r="BL287" s="190" t="e">
        <f t="shared" si="112"/>
        <v>#N/A</v>
      </c>
      <c r="BM287" s="190" t="e">
        <f t="shared" si="112"/>
        <v>#N/A</v>
      </c>
      <c r="BN287" s="190" t="e">
        <f t="shared" si="112"/>
        <v>#N/A</v>
      </c>
      <c r="BO287" s="190" t="e">
        <f t="shared" si="112"/>
        <v>#N/A</v>
      </c>
      <c r="BP287" s="190" t="e">
        <f t="shared" si="112"/>
        <v>#N/A</v>
      </c>
      <c r="BQ287" s="190" t="e">
        <f t="shared" si="112"/>
        <v>#N/A</v>
      </c>
      <c r="BR287" s="190" t="e">
        <f t="shared" si="112"/>
        <v>#N/A</v>
      </c>
      <c r="BS287" s="190" t="e">
        <f t="shared" si="112"/>
        <v>#N/A</v>
      </c>
      <c r="BT287" s="190" t="e">
        <f t="shared" si="112"/>
        <v>#N/A</v>
      </c>
      <c r="BU287" s="190" t="e">
        <f t="shared" si="112"/>
        <v>#N/A</v>
      </c>
      <c r="BV287" s="190" t="e">
        <f t="shared" si="112"/>
        <v>#N/A</v>
      </c>
      <c r="BW287" s="190" t="e">
        <f t="shared" ref="BW287:CC287" si="113">+BW274</f>
        <v>#N/A</v>
      </c>
      <c r="BX287" s="190" t="e">
        <f t="shared" si="113"/>
        <v>#N/A</v>
      </c>
      <c r="BY287" s="190" t="e">
        <f t="shared" si="113"/>
        <v>#N/A</v>
      </c>
      <c r="BZ287" s="190" t="e">
        <f t="shared" si="113"/>
        <v>#N/A</v>
      </c>
      <c r="CA287" s="190" t="e">
        <f t="shared" si="113"/>
        <v>#N/A</v>
      </c>
      <c r="CB287" s="190" t="e">
        <f t="shared" si="113"/>
        <v>#N/A</v>
      </c>
      <c r="CC287" s="190" t="e">
        <f t="shared" si="113"/>
        <v>#N/A</v>
      </c>
    </row>
    <row r="288" spans="2:81" s="32" customFormat="1" ht="5.0999999999999996" customHeight="1" x14ac:dyDescent="0.2"/>
    <row r="289" spans="2:81" s="32" customFormat="1" x14ac:dyDescent="0.2">
      <c r="B289" s="519" t="s">
        <v>174</v>
      </c>
      <c r="C289" s="520"/>
      <c r="D289" s="520"/>
      <c r="E289" s="520"/>
      <c r="F289" s="521"/>
      <c r="J289" s="162">
        <f>+J281-J161</f>
        <v>-0.33999999999999997</v>
      </c>
      <c r="K289" s="100">
        <f t="shared" ref="K289:BV289" si="114">+K281-K161</f>
        <v>-0.18</v>
      </c>
      <c r="L289" s="100">
        <f t="shared" si="114"/>
        <v>-4.0000000000000008E-2</v>
      </c>
      <c r="M289" s="100">
        <f t="shared" si="114"/>
        <v>-1.0000000000000002E-2</v>
      </c>
      <c r="N289" s="100">
        <f t="shared" si="114"/>
        <v>0</v>
      </c>
      <c r="O289" s="100">
        <f t="shared" si="114"/>
        <v>0</v>
      </c>
      <c r="P289" s="162">
        <f t="shared" si="114"/>
        <v>0</v>
      </c>
      <c r="Q289" s="162">
        <f t="shared" si="114"/>
        <v>0</v>
      </c>
      <c r="R289" s="162">
        <f t="shared" si="114"/>
        <v>0</v>
      </c>
      <c r="S289" s="162">
        <f t="shared" si="114"/>
        <v>0</v>
      </c>
      <c r="T289" s="162">
        <f t="shared" si="114"/>
        <v>0</v>
      </c>
      <c r="U289" s="162">
        <f t="shared" si="114"/>
        <v>0</v>
      </c>
      <c r="V289" s="162">
        <f t="shared" si="114"/>
        <v>0</v>
      </c>
      <c r="W289" s="162">
        <f t="shared" si="114"/>
        <v>0</v>
      </c>
      <c r="X289" s="162">
        <f t="shared" si="114"/>
        <v>0</v>
      </c>
      <c r="Y289" s="162">
        <f t="shared" si="114"/>
        <v>0</v>
      </c>
      <c r="Z289" s="162">
        <f t="shared" si="114"/>
        <v>0</v>
      </c>
      <c r="AA289" s="162">
        <f t="shared" si="114"/>
        <v>0</v>
      </c>
      <c r="AB289" s="162">
        <f t="shared" si="114"/>
        <v>0</v>
      </c>
      <c r="AC289" s="162">
        <f t="shared" si="114"/>
        <v>0</v>
      </c>
      <c r="AD289" s="162">
        <f t="shared" si="114"/>
        <v>0</v>
      </c>
      <c r="AE289" s="100">
        <f t="shared" si="114"/>
        <v>0</v>
      </c>
      <c r="AF289" s="100">
        <f t="shared" si="114"/>
        <v>0</v>
      </c>
      <c r="AG289" s="100">
        <f t="shared" si="114"/>
        <v>0</v>
      </c>
      <c r="AH289" s="100">
        <f t="shared" si="114"/>
        <v>0</v>
      </c>
      <c r="AI289" s="100">
        <f t="shared" si="114"/>
        <v>0</v>
      </c>
      <c r="AJ289" s="100">
        <f t="shared" si="114"/>
        <v>0</v>
      </c>
      <c r="AK289" s="100">
        <f t="shared" si="114"/>
        <v>0</v>
      </c>
      <c r="AL289" s="100">
        <f t="shared" si="114"/>
        <v>0</v>
      </c>
      <c r="AM289" s="100">
        <f t="shared" si="114"/>
        <v>0</v>
      </c>
      <c r="AN289" s="100">
        <f t="shared" si="114"/>
        <v>0</v>
      </c>
      <c r="AO289" s="100">
        <f t="shared" si="114"/>
        <v>0</v>
      </c>
      <c r="AP289" s="100">
        <f t="shared" si="114"/>
        <v>0</v>
      </c>
      <c r="AQ289" s="100">
        <f t="shared" si="114"/>
        <v>0</v>
      </c>
      <c r="AR289" s="100">
        <f t="shared" si="114"/>
        <v>0</v>
      </c>
      <c r="AS289" s="100">
        <f t="shared" si="114"/>
        <v>0</v>
      </c>
      <c r="AT289" s="100">
        <f t="shared" si="114"/>
        <v>0</v>
      </c>
      <c r="AU289" s="100">
        <f t="shared" si="114"/>
        <v>0</v>
      </c>
      <c r="AV289" s="100">
        <f t="shared" si="114"/>
        <v>0</v>
      </c>
      <c r="AW289" s="100">
        <f t="shared" si="114"/>
        <v>0</v>
      </c>
      <c r="AX289" s="100">
        <f t="shared" si="114"/>
        <v>0</v>
      </c>
      <c r="AY289" s="100">
        <f t="shared" si="114"/>
        <v>0</v>
      </c>
      <c r="AZ289" s="100">
        <f t="shared" si="114"/>
        <v>0</v>
      </c>
      <c r="BA289" s="100">
        <f t="shared" si="114"/>
        <v>0</v>
      </c>
      <c r="BB289" s="100">
        <f t="shared" si="114"/>
        <v>0</v>
      </c>
      <c r="BC289" s="100">
        <f t="shared" si="114"/>
        <v>0</v>
      </c>
      <c r="BD289" s="100">
        <f t="shared" si="114"/>
        <v>0</v>
      </c>
      <c r="BE289" s="100">
        <f t="shared" si="114"/>
        <v>0</v>
      </c>
      <c r="BF289" s="100">
        <f t="shared" si="114"/>
        <v>0</v>
      </c>
      <c r="BG289" s="100">
        <f t="shared" si="114"/>
        <v>0</v>
      </c>
      <c r="BH289" s="100">
        <f t="shared" si="114"/>
        <v>0</v>
      </c>
      <c r="BI289" s="100">
        <f t="shared" si="114"/>
        <v>0</v>
      </c>
      <c r="BJ289" s="100">
        <f t="shared" si="114"/>
        <v>0</v>
      </c>
      <c r="BK289" s="100">
        <f t="shared" si="114"/>
        <v>0</v>
      </c>
      <c r="BL289" s="100">
        <f t="shared" si="114"/>
        <v>0</v>
      </c>
      <c r="BM289" s="100">
        <f t="shared" si="114"/>
        <v>0</v>
      </c>
      <c r="BN289" s="100">
        <f t="shared" si="114"/>
        <v>0</v>
      </c>
      <c r="BO289" s="100">
        <f t="shared" si="114"/>
        <v>0</v>
      </c>
      <c r="BP289" s="100">
        <f t="shared" si="114"/>
        <v>0</v>
      </c>
      <c r="BQ289" s="100">
        <f t="shared" si="114"/>
        <v>0</v>
      </c>
      <c r="BR289" s="100">
        <f t="shared" si="114"/>
        <v>0</v>
      </c>
      <c r="BS289" s="100">
        <f t="shared" si="114"/>
        <v>0</v>
      </c>
      <c r="BT289" s="100">
        <f t="shared" si="114"/>
        <v>0</v>
      </c>
      <c r="BU289" s="100">
        <f t="shared" si="114"/>
        <v>0</v>
      </c>
      <c r="BV289" s="100">
        <f t="shared" si="114"/>
        <v>0</v>
      </c>
      <c r="BW289" s="100">
        <f t="shared" ref="BW289:CC289" si="115">+BW281-BW161</f>
        <v>0</v>
      </c>
      <c r="BX289" s="100">
        <f t="shared" si="115"/>
        <v>0</v>
      </c>
      <c r="BY289" s="100">
        <f t="shared" si="115"/>
        <v>0</v>
      </c>
      <c r="BZ289" s="100">
        <f t="shared" si="115"/>
        <v>0</v>
      </c>
      <c r="CA289" s="100">
        <f t="shared" si="115"/>
        <v>0</v>
      </c>
      <c r="CB289" s="100">
        <f t="shared" si="115"/>
        <v>0</v>
      </c>
      <c r="CC289" s="100">
        <f t="shared" si="115"/>
        <v>0</v>
      </c>
    </row>
    <row r="290" spans="2:81" ht="5.0999999999999996" customHeight="1" x14ac:dyDescent="0.2">
      <c r="F290" s="32"/>
      <c r="G290" s="32"/>
      <c r="H290" s="32"/>
      <c r="J290" s="32"/>
      <c r="K290" s="32"/>
      <c r="L290" s="32"/>
      <c r="M290" s="32"/>
      <c r="N290" s="32"/>
      <c r="O290" s="32"/>
      <c r="P290" s="157"/>
      <c r="Q290" s="157"/>
      <c r="R290" s="157"/>
      <c r="S290" s="157"/>
      <c r="T290" s="157"/>
      <c r="U290" s="157"/>
      <c r="V290" s="157"/>
      <c r="W290" s="157"/>
      <c r="X290" s="157"/>
      <c r="Y290" s="157"/>
      <c r="Z290" s="157"/>
      <c r="AA290" s="157"/>
      <c r="AB290" s="157"/>
      <c r="AC290" s="157"/>
      <c r="AD290" s="157"/>
      <c r="AE290" s="32"/>
      <c r="AF290" s="32"/>
      <c r="AG290" s="32"/>
      <c r="AH290" s="32"/>
      <c r="AI290" s="32"/>
      <c r="AJ290" s="32"/>
      <c r="AK290" s="32"/>
      <c r="AL290" s="32"/>
      <c r="AM290" s="32"/>
      <c r="AN290" s="32"/>
      <c r="AO290" s="32"/>
      <c r="AP290" s="32"/>
      <c r="AQ290" s="32"/>
      <c r="AR290" s="32"/>
      <c r="AS290" s="32"/>
      <c r="AT290" s="32"/>
      <c r="AU290" s="32"/>
      <c r="AV290" s="32"/>
      <c r="AW290" s="32"/>
      <c r="AX290" s="32"/>
      <c r="AY290" s="32"/>
      <c r="AZ290" s="32"/>
      <c r="BA290" s="32"/>
      <c r="BB290" s="32"/>
      <c r="BC290" s="32"/>
      <c r="BD290" s="32"/>
      <c r="BE290" s="32"/>
      <c r="BF290" s="32"/>
      <c r="BG290" s="32"/>
      <c r="BH290" s="32"/>
      <c r="BI290" s="32"/>
      <c r="BJ290" s="32"/>
      <c r="BK290" s="32"/>
      <c r="BL290" s="32"/>
      <c r="BM290" s="32"/>
      <c r="BN290" s="32"/>
      <c r="BO290" s="32"/>
      <c r="BP290" s="32"/>
      <c r="BQ290" s="32"/>
      <c r="BR290" s="32"/>
      <c r="BS290" s="32"/>
      <c r="BT290" s="32"/>
      <c r="BU290" s="32"/>
      <c r="BV290" s="32"/>
      <c r="BW290" s="32"/>
      <c r="BX290" s="32"/>
      <c r="BY290" s="32"/>
      <c r="BZ290" s="32"/>
      <c r="CA290" s="32"/>
      <c r="CB290" s="32"/>
      <c r="CC290" s="32"/>
    </row>
    <row r="291" spans="2:81" s="32" customFormat="1" ht="15" customHeight="1" x14ac:dyDescent="0.2">
      <c r="B291" s="628" t="s">
        <v>175</v>
      </c>
      <c r="C291" s="629"/>
      <c r="D291" s="629"/>
      <c r="E291" s="629"/>
      <c r="F291" s="630"/>
      <c r="J291" s="162">
        <f>+J163</f>
        <v>0.35</v>
      </c>
      <c r="K291" s="162">
        <f t="shared" ref="K291:BV291" si="116">+K163</f>
        <v>0.53</v>
      </c>
      <c r="L291" s="162">
        <f t="shared" si="116"/>
        <v>0.57000000000000006</v>
      </c>
      <c r="M291" s="162">
        <f t="shared" si="116"/>
        <v>0.58000000000000007</v>
      </c>
      <c r="N291" s="162">
        <f t="shared" si="116"/>
        <v>0.58000000000000007</v>
      </c>
      <c r="O291" s="162">
        <f t="shared" si="116"/>
        <v>0.58000000000000007</v>
      </c>
      <c r="P291" s="162">
        <f t="shared" si="116"/>
        <v>0.58000000000000007</v>
      </c>
      <c r="Q291" s="162">
        <f t="shared" si="116"/>
        <v>0.58000000000000007</v>
      </c>
      <c r="R291" s="162">
        <f t="shared" si="116"/>
        <v>0.58000000000000007</v>
      </c>
      <c r="S291" s="162">
        <f t="shared" si="116"/>
        <v>0.58000000000000007</v>
      </c>
      <c r="T291" s="162">
        <f t="shared" si="116"/>
        <v>0.58000000000000007</v>
      </c>
      <c r="U291" s="162">
        <f t="shared" si="116"/>
        <v>0.58000000000000007</v>
      </c>
      <c r="V291" s="162">
        <f t="shared" si="116"/>
        <v>0.58000000000000007</v>
      </c>
      <c r="W291" s="162">
        <f t="shared" si="116"/>
        <v>0.58000000000000007</v>
      </c>
      <c r="X291" s="162">
        <f t="shared" si="116"/>
        <v>0.58000000000000007</v>
      </c>
      <c r="Y291" s="162">
        <f t="shared" si="116"/>
        <v>0.58000000000000007</v>
      </c>
      <c r="Z291" s="162">
        <f t="shared" si="116"/>
        <v>0.58000000000000007</v>
      </c>
      <c r="AA291" s="162">
        <f t="shared" si="116"/>
        <v>0.58000000000000007</v>
      </c>
      <c r="AB291" s="162">
        <f t="shared" si="116"/>
        <v>0.58000000000000007</v>
      </c>
      <c r="AC291" s="162">
        <f t="shared" si="116"/>
        <v>0.58000000000000007</v>
      </c>
      <c r="AD291" s="100">
        <f t="shared" si="116"/>
        <v>0.58000000000000007</v>
      </c>
      <c r="AE291" s="100">
        <f t="shared" si="116"/>
        <v>0.58000000000000007</v>
      </c>
      <c r="AF291" s="100">
        <f t="shared" si="116"/>
        <v>0.58000000000000007</v>
      </c>
      <c r="AG291" s="100">
        <f t="shared" si="116"/>
        <v>0.58000000000000007</v>
      </c>
      <c r="AH291" s="100">
        <f t="shared" si="116"/>
        <v>0</v>
      </c>
      <c r="AI291" s="100">
        <f t="shared" si="116"/>
        <v>0</v>
      </c>
      <c r="AJ291" s="100">
        <f t="shared" si="116"/>
        <v>0</v>
      </c>
      <c r="AK291" s="100">
        <f t="shared" si="116"/>
        <v>0</v>
      </c>
      <c r="AL291" s="100">
        <f t="shared" si="116"/>
        <v>0</v>
      </c>
      <c r="AM291" s="100">
        <f t="shared" si="116"/>
        <v>0</v>
      </c>
      <c r="AN291" s="100">
        <f t="shared" si="116"/>
        <v>0</v>
      </c>
      <c r="AO291" s="100">
        <f t="shared" si="116"/>
        <v>0</v>
      </c>
      <c r="AP291" s="100">
        <f t="shared" si="116"/>
        <v>0</v>
      </c>
      <c r="AQ291" s="100">
        <f t="shared" si="116"/>
        <v>0</v>
      </c>
      <c r="AR291" s="100">
        <f t="shared" si="116"/>
        <v>0</v>
      </c>
      <c r="AS291" s="100">
        <f t="shared" si="116"/>
        <v>0</v>
      </c>
      <c r="AT291" s="100">
        <f t="shared" si="116"/>
        <v>0</v>
      </c>
      <c r="AU291" s="100">
        <f t="shared" si="116"/>
        <v>0</v>
      </c>
      <c r="AV291" s="100">
        <f t="shared" si="116"/>
        <v>0</v>
      </c>
      <c r="AW291" s="100">
        <f t="shared" si="116"/>
        <v>0</v>
      </c>
      <c r="AX291" s="100">
        <f t="shared" si="116"/>
        <v>0</v>
      </c>
      <c r="AY291" s="100">
        <f t="shared" si="116"/>
        <v>0</v>
      </c>
      <c r="AZ291" s="100">
        <f t="shared" si="116"/>
        <v>0</v>
      </c>
      <c r="BA291" s="100">
        <f t="shared" si="116"/>
        <v>0</v>
      </c>
      <c r="BB291" s="100">
        <f t="shared" si="116"/>
        <v>0</v>
      </c>
      <c r="BC291" s="100">
        <f t="shared" si="116"/>
        <v>0</v>
      </c>
      <c r="BD291" s="100">
        <f t="shared" si="116"/>
        <v>0</v>
      </c>
      <c r="BE291" s="100">
        <f t="shared" si="116"/>
        <v>0</v>
      </c>
      <c r="BF291" s="100">
        <f t="shared" si="116"/>
        <v>0</v>
      </c>
      <c r="BG291" s="100">
        <f t="shared" si="116"/>
        <v>0</v>
      </c>
      <c r="BH291" s="100">
        <f t="shared" si="116"/>
        <v>0</v>
      </c>
      <c r="BI291" s="100">
        <f t="shared" si="116"/>
        <v>0</v>
      </c>
      <c r="BJ291" s="100">
        <f t="shared" si="116"/>
        <v>0</v>
      </c>
      <c r="BK291" s="100">
        <f t="shared" si="116"/>
        <v>0</v>
      </c>
      <c r="BL291" s="100">
        <f t="shared" si="116"/>
        <v>0</v>
      </c>
      <c r="BM291" s="100">
        <f t="shared" si="116"/>
        <v>0</v>
      </c>
      <c r="BN291" s="100">
        <f t="shared" si="116"/>
        <v>0</v>
      </c>
      <c r="BO291" s="100">
        <f t="shared" si="116"/>
        <v>0</v>
      </c>
      <c r="BP291" s="100">
        <f t="shared" si="116"/>
        <v>0</v>
      </c>
      <c r="BQ291" s="100">
        <f t="shared" si="116"/>
        <v>0</v>
      </c>
      <c r="BR291" s="100">
        <f t="shared" si="116"/>
        <v>0</v>
      </c>
      <c r="BS291" s="100">
        <f t="shared" si="116"/>
        <v>0</v>
      </c>
      <c r="BT291" s="100">
        <f t="shared" si="116"/>
        <v>0</v>
      </c>
      <c r="BU291" s="100">
        <f t="shared" si="116"/>
        <v>0</v>
      </c>
      <c r="BV291" s="100">
        <f t="shared" si="116"/>
        <v>0</v>
      </c>
      <c r="BW291" s="100">
        <f t="shared" ref="BW291:CC291" si="117">+BW163</f>
        <v>0</v>
      </c>
      <c r="BX291" s="100">
        <f t="shared" si="117"/>
        <v>0</v>
      </c>
      <c r="BY291" s="100">
        <f t="shared" si="117"/>
        <v>0</v>
      </c>
      <c r="BZ291" s="100">
        <f t="shared" si="117"/>
        <v>0</v>
      </c>
      <c r="CA291" s="100">
        <f t="shared" si="117"/>
        <v>0</v>
      </c>
      <c r="CB291" s="100">
        <f t="shared" si="117"/>
        <v>0</v>
      </c>
      <c r="CC291" s="100">
        <f t="shared" si="117"/>
        <v>0</v>
      </c>
    </row>
    <row r="292" spans="2:81" ht="5.0999999999999996" customHeight="1" x14ac:dyDescent="0.2">
      <c r="J292" s="157"/>
      <c r="K292" s="157"/>
      <c r="L292" s="157"/>
      <c r="M292" s="157"/>
      <c r="N292" s="157"/>
      <c r="O292" s="157"/>
      <c r="P292" s="157"/>
      <c r="Q292" s="157"/>
      <c r="R292" s="157"/>
      <c r="S292" s="157"/>
      <c r="T292" s="157"/>
      <c r="U292" s="157"/>
      <c r="V292" s="157"/>
      <c r="W292" s="157"/>
      <c r="X292" s="157"/>
      <c r="Y292" s="157"/>
      <c r="Z292" s="157"/>
      <c r="AA292" s="157"/>
      <c r="AB292" s="157"/>
      <c r="AC292" s="157"/>
      <c r="AD292" s="157"/>
      <c r="AE292" s="32"/>
      <c r="AF292" s="32"/>
      <c r="AG292" s="32"/>
      <c r="AH292" s="32"/>
      <c r="AI292" s="32"/>
      <c r="AJ292" s="32"/>
      <c r="AK292" s="32"/>
      <c r="AL292" s="32"/>
      <c r="AM292" s="32"/>
      <c r="AN292" s="32"/>
      <c r="AO292" s="32"/>
      <c r="AP292" s="32"/>
      <c r="AQ292" s="32"/>
      <c r="AR292" s="32"/>
      <c r="AS292" s="32"/>
      <c r="AT292" s="32"/>
      <c r="AU292" s="32"/>
      <c r="AV292" s="32"/>
      <c r="AW292" s="32"/>
      <c r="AX292" s="32"/>
      <c r="AY292" s="32"/>
      <c r="AZ292" s="32"/>
      <c r="BA292" s="32"/>
      <c r="BB292" s="32"/>
      <c r="BC292" s="32"/>
      <c r="BD292" s="32"/>
      <c r="BE292" s="32"/>
      <c r="BF292" s="32"/>
      <c r="BG292" s="32"/>
      <c r="BH292" s="32"/>
      <c r="BI292" s="32"/>
      <c r="BJ292" s="32"/>
      <c r="BK292" s="32"/>
      <c r="BL292" s="32"/>
      <c r="BM292" s="32"/>
      <c r="BN292" s="32"/>
      <c r="BO292" s="32"/>
      <c r="BP292" s="32"/>
      <c r="BQ292" s="32"/>
      <c r="BR292" s="32"/>
      <c r="BS292" s="32"/>
      <c r="BT292" s="32"/>
      <c r="BU292" s="32"/>
      <c r="BV292" s="32"/>
      <c r="BW292" s="32"/>
      <c r="BX292" s="32"/>
      <c r="BY292" s="32"/>
      <c r="BZ292" s="32"/>
      <c r="CA292" s="32"/>
      <c r="CB292" s="32"/>
      <c r="CC292" s="32"/>
    </row>
    <row r="293" spans="2:81" s="32" customFormat="1" ht="15" customHeight="1" x14ac:dyDescent="0.2">
      <c r="B293" s="628" t="s">
        <v>176</v>
      </c>
      <c r="C293" s="629"/>
      <c r="D293" s="629"/>
      <c r="E293" s="629"/>
      <c r="F293" s="630"/>
      <c r="J293" s="162">
        <f>+J283</f>
        <v>1.0000000000000002E-2</v>
      </c>
      <c r="K293" s="162">
        <f t="shared" ref="K293:BV293" si="118">+K283</f>
        <v>1.0000000000000002E-2</v>
      </c>
      <c r="L293" s="162">
        <f t="shared" si="118"/>
        <v>1.0000000000000002E-2</v>
      </c>
      <c r="M293" s="162">
        <f t="shared" si="118"/>
        <v>1.0000000000000002E-2</v>
      </c>
      <c r="N293" s="162">
        <f t="shared" si="118"/>
        <v>1.0000000000000002E-2</v>
      </c>
      <c r="O293" s="162">
        <f t="shared" si="118"/>
        <v>1.0000000000000002E-2</v>
      </c>
      <c r="P293" s="162">
        <f t="shared" si="118"/>
        <v>1.0000000000000002E-2</v>
      </c>
      <c r="Q293" s="162">
        <f t="shared" si="118"/>
        <v>1.0000000000000002E-2</v>
      </c>
      <c r="R293" s="162">
        <f t="shared" si="118"/>
        <v>1.0000000000000002E-2</v>
      </c>
      <c r="S293" s="162">
        <f t="shared" si="118"/>
        <v>1.0000000000000002E-2</v>
      </c>
      <c r="T293" s="162">
        <f t="shared" si="118"/>
        <v>1.0000000000000002E-2</v>
      </c>
      <c r="U293" s="162">
        <f t="shared" si="118"/>
        <v>1.0000000000000002E-2</v>
      </c>
      <c r="V293" s="162">
        <f t="shared" si="118"/>
        <v>1.0000000000000002E-2</v>
      </c>
      <c r="W293" s="162">
        <f t="shared" si="118"/>
        <v>1.0000000000000002E-2</v>
      </c>
      <c r="X293" s="162">
        <f t="shared" si="118"/>
        <v>1.0000000000000002E-2</v>
      </c>
      <c r="Y293" s="162">
        <f t="shared" si="118"/>
        <v>1.0000000000000002E-2</v>
      </c>
      <c r="Z293" s="162">
        <f t="shared" si="118"/>
        <v>1.0000000000000002E-2</v>
      </c>
      <c r="AA293" s="162">
        <f t="shared" si="118"/>
        <v>1.0000000000000002E-2</v>
      </c>
      <c r="AB293" s="162">
        <f t="shared" si="118"/>
        <v>1.0000000000000002E-2</v>
      </c>
      <c r="AC293" s="162">
        <f t="shared" si="118"/>
        <v>1.0000000000000002E-2</v>
      </c>
      <c r="AD293" s="100">
        <f t="shared" si="118"/>
        <v>1.0000000000000002E-2</v>
      </c>
      <c r="AE293" s="100">
        <f t="shared" si="118"/>
        <v>1.0000000000000002E-2</v>
      </c>
      <c r="AF293" s="100">
        <f t="shared" si="118"/>
        <v>1.0000000000000002E-2</v>
      </c>
      <c r="AG293" s="100">
        <f t="shared" si="118"/>
        <v>1.0000000000000002E-2</v>
      </c>
      <c r="AH293" s="100">
        <f t="shared" si="118"/>
        <v>1.0000000000000002E-2</v>
      </c>
      <c r="AI293" s="100">
        <f t="shared" si="118"/>
        <v>1.0000000000000002E-2</v>
      </c>
      <c r="AJ293" s="100">
        <f t="shared" si="118"/>
        <v>1.0000000000000002E-2</v>
      </c>
      <c r="AK293" s="100">
        <f t="shared" si="118"/>
        <v>1.0000000000000002E-2</v>
      </c>
      <c r="AL293" s="100">
        <f t="shared" si="118"/>
        <v>1.0000000000000002E-2</v>
      </c>
      <c r="AM293" s="100">
        <f t="shared" si="118"/>
        <v>1.0000000000000002E-2</v>
      </c>
      <c r="AN293" s="100">
        <f t="shared" si="118"/>
        <v>1.0000000000000002E-2</v>
      </c>
      <c r="AO293" s="100">
        <f t="shared" si="118"/>
        <v>1.0000000000000002E-2</v>
      </c>
      <c r="AP293" s="100">
        <f t="shared" si="118"/>
        <v>1.0000000000000002E-2</v>
      </c>
      <c r="AQ293" s="100">
        <f t="shared" si="118"/>
        <v>1.0000000000000002E-2</v>
      </c>
      <c r="AR293" s="100">
        <f t="shared" si="118"/>
        <v>1.0000000000000002E-2</v>
      </c>
      <c r="AS293" s="100">
        <f t="shared" si="118"/>
        <v>1.0000000000000002E-2</v>
      </c>
      <c r="AT293" s="100">
        <f t="shared" si="118"/>
        <v>1.0000000000000002E-2</v>
      </c>
      <c r="AU293" s="100">
        <f t="shared" si="118"/>
        <v>1.0000000000000002E-2</v>
      </c>
      <c r="AV293" s="100">
        <f t="shared" si="118"/>
        <v>1.0000000000000002E-2</v>
      </c>
      <c r="AW293" s="100">
        <f t="shared" si="118"/>
        <v>1.0000000000000002E-2</v>
      </c>
      <c r="AX293" s="100">
        <f t="shared" si="118"/>
        <v>1.0000000000000002E-2</v>
      </c>
      <c r="AY293" s="100">
        <f t="shared" si="118"/>
        <v>1.0000000000000002E-2</v>
      </c>
      <c r="AZ293" s="100">
        <f t="shared" si="118"/>
        <v>1.0000000000000002E-2</v>
      </c>
      <c r="BA293" s="100">
        <f t="shared" si="118"/>
        <v>1.0000000000000002E-2</v>
      </c>
      <c r="BB293" s="100">
        <f t="shared" si="118"/>
        <v>1.0000000000000002E-2</v>
      </c>
      <c r="BC293" s="100">
        <f t="shared" si="118"/>
        <v>1.0000000000000002E-2</v>
      </c>
      <c r="BD293" s="100">
        <f t="shared" si="118"/>
        <v>1.0000000000000002E-2</v>
      </c>
      <c r="BE293" s="100">
        <f t="shared" si="118"/>
        <v>1.0000000000000002E-2</v>
      </c>
      <c r="BF293" s="100">
        <f t="shared" si="118"/>
        <v>1.0000000000000002E-2</v>
      </c>
      <c r="BG293" s="100">
        <f t="shared" si="118"/>
        <v>1.0000000000000002E-2</v>
      </c>
      <c r="BH293" s="100">
        <f t="shared" si="118"/>
        <v>1.0000000000000002E-2</v>
      </c>
      <c r="BI293" s="100">
        <f t="shared" si="118"/>
        <v>1.0000000000000002E-2</v>
      </c>
      <c r="BJ293" s="100">
        <f t="shared" si="118"/>
        <v>1.0000000000000002E-2</v>
      </c>
      <c r="BK293" s="100">
        <f t="shared" si="118"/>
        <v>1.0000000000000002E-2</v>
      </c>
      <c r="BL293" s="100">
        <f t="shared" si="118"/>
        <v>1.0000000000000002E-2</v>
      </c>
      <c r="BM293" s="100">
        <f t="shared" si="118"/>
        <v>1.0000000000000002E-2</v>
      </c>
      <c r="BN293" s="100">
        <f t="shared" si="118"/>
        <v>1.0000000000000002E-2</v>
      </c>
      <c r="BO293" s="100">
        <f t="shared" si="118"/>
        <v>1.0000000000000002E-2</v>
      </c>
      <c r="BP293" s="100">
        <f t="shared" si="118"/>
        <v>1.0000000000000002E-2</v>
      </c>
      <c r="BQ293" s="100">
        <f t="shared" si="118"/>
        <v>1.0000000000000002E-2</v>
      </c>
      <c r="BR293" s="100">
        <f t="shared" si="118"/>
        <v>1.0000000000000002E-2</v>
      </c>
      <c r="BS293" s="100">
        <f t="shared" si="118"/>
        <v>1.0000000000000002E-2</v>
      </c>
      <c r="BT293" s="100">
        <f t="shared" si="118"/>
        <v>1.0000000000000002E-2</v>
      </c>
      <c r="BU293" s="100">
        <f t="shared" si="118"/>
        <v>1.0000000000000002E-2</v>
      </c>
      <c r="BV293" s="100">
        <f t="shared" si="118"/>
        <v>1.0000000000000002E-2</v>
      </c>
      <c r="BW293" s="100">
        <f t="shared" ref="BW293:CC293" si="119">+BW283</f>
        <v>1.0000000000000002E-2</v>
      </c>
      <c r="BX293" s="100">
        <f t="shared" si="119"/>
        <v>1.0000000000000002E-2</v>
      </c>
      <c r="BY293" s="100">
        <f t="shared" si="119"/>
        <v>1.0000000000000002E-2</v>
      </c>
      <c r="BZ293" s="100">
        <f t="shared" si="119"/>
        <v>1.0000000000000002E-2</v>
      </c>
      <c r="CA293" s="100">
        <f t="shared" si="119"/>
        <v>1.0000000000000002E-2</v>
      </c>
      <c r="CB293" s="100">
        <f t="shared" si="119"/>
        <v>1.0000000000000002E-2</v>
      </c>
      <c r="CC293" s="100">
        <f t="shared" si="119"/>
        <v>1.0000000000000002E-2</v>
      </c>
    </row>
    <row r="294" spans="2:81" ht="5.0999999999999996" customHeight="1" x14ac:dyDescent="0.2">
      <c r="G294" s="32"/>
      <c r="H294" s="32"/>
      <c r="I294" s="32"/>
    </row>
    <row r="295" spans="2:81" ht="36" customHeight="1" x14ac:dyDescent="0.2">
      <c r="B295" s="628" t="s">
        <v>156</v>
      </c>
      <c r="C295" s="629"/>
      <c r="D295" s="629"/>
      <c r="E295" s="629"/>
      <c r="F295" s="630"/>
      <c r="G295" s="32"/>
      <c r="H295" s="32"/>
      <c r="I295" s="32"/>
      <c r="J295" s="666"/>
      <c r="K295" s="667"/>
      <c r="L295" s="667"/>
      <c r="M295" s="667"/>
      <c r="N295" s="667"/>
      <c r="O295" s="667"/>
      <c r="P295" s="667"/>
      <c r="Q295" s="668"/>
    </row>
    <row r="296" spans="2:81" x14ac:dyDescent="0.2">
      <c r="H296" s="32"/>
      <c r="I296" s="32"/>
      <c r="J296" s="669"/>
      <c r="K296" s="670"/>
      <c r="L296" s="670"/>
      <c r="M296" s="670"/>
      <c r="N296" s="670"/>
      <c r="O296" s="670"/>
      <c r="P296" s="670"/>
      <c r="Q296" s="671"/>
    </row>
    <row r="297" spans="2:81" x14ac:dyDescent="0.2">
      <c r="H297" s="32"/>
      <c r="I297" s="32"/>
      <c r="J297" s="669"/>
      <c r="K297" s="670"/>
      <c r="L297" s="670"/>
      <c r="M297" s="670"/>
      <c r="N297" s="670"/>
      <c r="O297" s="670"/>
      <c r="P297" s="670"/>
      <c r="Q297" s="671"/>
    </row>
    <row r="298" spans="2:81" x14ac:dyDescent="0.2">
      <c r="H298" s="32"/>
      <c r="I298" s="32"/>
      <c r="J298" s="672"/>
      <c r="K298" s="673"/>
      <c r="L298" s="673"/>
      <c r="M298" s="673"/>
      <c r="N298" s="673"/>
      <c r="O298" s="673"/>
      <c r="P298" s="673"/>
      <c r="Q298" s="674"/>
    </row>
    <row r="299" spans="2:81" ht="5.0999999999999996" customHeight="1" x14ac:dyDescent="0.2">
      <c r="G299" s="32"/>
      <c r="H299" s="32"/>
      <c r="I299" s="32"/>
    </row>
    <row r="300" spans="2:81" x14ac:dyDescent="0.2">
      <c r="B300" s="75" t="s">
        <v>295</v>
      </c>
      <c r="C300" s="67"/>
      <c r="D300" s="67"/>
      <c r="E300" s="67"/>
      <c r="F300" s="67"/>
      <c r="G300" s="67"/>
      <c r="H300" s="67"/>
      <c r="I300" s="67"/>
      <c r="J300" s="67"/>
      <c r="K300" s="67"/>
      <c r="L300" s="67"/>
      <c r="M300" s="67"/>
      <c r="N300" s="67"/>
      <c r="O300" s="67"/>
      <c r="P300" s="67"/>
      <c r="Q300" s="67"/>
      <c r="R300" s="67"/>
      <c r="S300" s="67"/>
      <c r="T300" s="67"/>
      <c r="U300" s="67"/>
      <c r="V300" s="67"/>
      <c r="W300" s="67"/>
      <c r="X300" s="67"/>
      <c r="Y300" s="67"/>
      <c r="Z300" s="67"/>
      <c r="AA300" s="67"/>
      <c r="AB300" s="67"/>
      <c r="AC300" s="67"/>
      <c r="AD300" s="67"/>
      <c r="AE300" s="67"/>
      <c r="AF300" s="67"/>
      <c r="AG300" s="67"/>
      <c r="AH300" s="67"/>
      <c r="AI300" s="67"/>
      <c r="AJ300" s="67"/>
      <c r="AK300" s="67"/>
      <c r="AL300" s="67"/>
      <c r="AM300" s="67"/>
      <c r="AN300" s="67"/>
      <c r="AO300" s="67"/>
      <c r="AP300" s="67"/>
      <c r="AQ300" s="67"/>
      <c r="AR300" s="67"/>
      <c r="AS300" s="67"/>
      <c r="AT300" s="67"/>
      <c r="AU300" s="67"/>
      <c r="AV300" s="67"/>
      <c r="AW300" s="67"/>
      <c r="AX300" s="67"/>
      <c r="AY300" s="67"/>
      <c r="AZ300" s="67"/>
      <c r="BA300" s="67"/>
      <c r="BB300" s="67"/>
      <c r="BC300" s="67"/>
      <c r="BD300" s="67"/>
      <c r="BE300" s="67"/>
      <c r="BF300" s="67"/>
      <c r="BG300" s="67"/>
      <c r="BH300" s="67"/>
      <c r="BI300" s="67"/>
      <c r="BJ300" s="67"/>
      <c r="BK300" s="67"/>
      <c r="BL300" s="67"/>
      <c r="BM300" s="67"/>
      <c r="BN300" s="67"/>
      <c r="BO300" s="67"/>
      <c r="BP300" s="67"/>
      <c r="BQ300" s="67"/>
      <c r="BR300" s="67"/>
      <c r="BS300" s="67"/>
      <c r="BT300" s="67"/>
      <c r="BU300" s="67"/>
      <c r="BV300" s="67"/>
      <c r="BW300" s="67"/>
      <c r="BX300" s="67"/>
      <c r="BY300" s="67"/>
      <c r="BZ300" s="67"/>
      <c r="CA300" s="67"/>
      <c r="CB300" s="67"/>
      <c r="CC300" s="67"/>
    </row>
    <row r="301" spans="2:81" ht="5.0999999999999996" customHeight="1" x14ac:dyDescent="0.2"/>
    <row r="302" spans="2:81" ht="51.95" customHeight="1" x14ac:dyDescent="0.2">
      <c r="B302" s="628" t="s">
        <v>296</v>
      </c>
      <c r="C302" s="629"/>
      <c r="D302" s="630"/>
      <c r="F302" s="83" t="s">
        <v>180</v>
      </c>
      <c r="G302" s="69"/>
      <c r="H302" s="83" t="s">
        <v>297</v>
      </c>
      <c r="J302" s="83" t="s">
        <v>298</v>
      </c>
      <c r="L302" s="660" t="s">
        <v>156</v>
      </c>
      <c r="M302" s="661"/>
      <c r="N302" s="661"/>
      <c r="O302" s="661"/>
      <c r="P302" s="661"/>
      <c r="Q302" s="662"/>
    </row>
    <row r="303" spans="2:81" ht="5.0999999999999996" customHeight="1" x14ac:dyDescent="0.2"/>
    <row r="304" spans="2:81" s="34" customFormat="1" ht="35.1" customHeight="1" x14ac:dyDescent="0.2">
      <c r="B304" s="628" t="s">
        <v>183</v>
      </c>
      <c r="C304" s="629"/>
      <c r="D304" s="630"/>
      <c r="F304" s="129">
        <f>+H174+H195</f>
        <v>0</v>
      </c>
      <c r="H304" s="129" t="e">
        <f>+F318+F338</f>
        <v>#N/A</v>
      </c>
      <c r="J304" s="193"/>
      <c r="L304" s="675"/>
      <c r="M304" s="676"/>
      <c r="N304" s="676"/>
      <c r="O304" s="676"/>
      <c r="P304" s="676"/>
      <c r="Q304" s="677"/>
    </row>
    <row r="305" spans="2:94" ht="5.0999999999999996" customHeight="1" x14ac:dyDescent="0.2">
      <c r="B305" s="32"/>
      <c r="C305" s="32"/>
      <c r="D305" s="32"/>
      <c r="L305" s="678"/>
      <c r="M305" s="679"/>
      <c r="N305" s="679"/>
      <c r="O305" s="679"/>
      <c r="P305" s="679"/>
      <c r="Q305" s="680"/>
    </row>
    <row r="306" spans="2:94" s="34" customFormat="1" ht="35.1" customHeight="1" x14ac:dyDescent="0.2">
      <c r="B306" s="628" t="s">
        <v>185</v>
      </c>
      <c r="C306" s="629"/>
      <c r="D306" s="630"/>
      <c r="F306" s="129">
        <f>+H182+H203</f>
        <v>0</v>
      </c>
      <c r="H306" s="129" t="e">
        <f>+H366</f>
        <v>#N/A</v>
      </c>
      <c r="J306" s="129" t="e">
        <f>+H306-F306</f>
        <v>#N/A</v>
      </c>
      <c r="L306" s="681"/>
      <c r="M306" s="682"/>
      <c r="N306" s="682"/>
      <c r="O306" s="682"/>
      <c r="P306" s="682"/>
      <c r="Q306" s="683"/>
    </row>
    <row r="307" spans="2:94" s="32" customFormat="1" ht="5.0999999999999996" customHeight="1" x14ac:dyDescent="0.2"/>
    <row r="308" spans="2:94" x14ac:dyDescent="0.2">
      <c r="B308" s="75" t="s">
        <v>299</v>
      </c>
      <c r="C308" s="67"/>
      <c r="D308" s="67"/>
      <c r="E308" s="67"/>
      <c r="F308" s="67"/>
      <c r="G308" s="67"/>
      <c r="H308" s="67"/>
      <c r="I308" s="67"/>
      <c r="J308" s="67"/>
      <c r="K308" s="67"/>
      <c r="L308" s="67"/>
      <c r="M308" s="67"/>
      <c r="N308" s="67"/>
      <c r="O308" s="67"/>
      <c r="P308" s="67"/>
      <c r="Q308" s="121"/>
      <c r="R308" s="67"/>
      <c r="S308" s="67"/>
      <c r="T308" s="67"/>
      <c r="U308" s="67"/>
      <c r="V308" s="67"/>
      <c r="W308" s="67"/>
      <c r="X308" s="67"/>
      <c r="Y308" s="67"/>
      <c r="Z308" s="67"/>
      <c r="AA308" s="67"/>
      <c r="AB308" s="67"/>
      <c r="AC308" s="67"/>
      <c r="AD308" s="67"/>
      <c r="AE308" s="67"/>
      <c r="AF308" s="67"/>
      <c r="AG308" s="67"/>
      <c r="AH308" s="67"/>
      <c r="AI308" s="67"/>
      <c r="AJ308" s="67"/>
      <c r="AK308" s="67"/>
      <c r="AL308" s="67"/>
      <c r="AM308" s="67"/>
      <c r="AN308" s="67"/>
      <c r="AO308" s="67"/>
      <c r="AP308" s="67"/>
      <c r="AQ308" s="67"/>
      <c r="AR308" s="67"/>
      <c r="AS308" s="67"/>
      <c r="AT308" s="67"/>
      <c r="AU308" s="67"/>
      <c r="AV308" s="67"/>
      <c r="AW308" s="67"/>
      <c r="AX308" s="67"/>
      <c r="AY308" s="67"/>
      <c r="AZ308" s="67"/>
      <c r="BA308" s="67"/>
      <c r="BB308" s="67"/>
      <c r="BC308" s="67"/>
      <c r="BD308" s="67"/>
      <c r="BE308" s="67"/>
      <c r="BF308" s="67"/>
      <c r="BG308" s="67"/>
      <c r="BH308" s="67"/>
      <c r="BI308" s="67"/>
      <c r="BJ308" s="67"/>
      <c r="BK308" s="67"/>
      <c r="BL308" s="67"/>
      <c r="BM308" s="67"/>
      <c r="BN308" s="67"/>
      <c r="BO308" s="67"/>
      <c r="BP308" s="67"/>
      <c r="BQ308" s="67"/>
      <c r="BR308" s="67"/>
      <c r="BS308" s="67"/>
      <c r="BT308" s="67"/>
      <c r="BU308" s="67"/>
      <c r="BV308" s="67"/>
      <c r="BW308" s="67"/>
      <c r="BX308" s="67"/>
      <c r="BY308" s="67"/>
      <c r="BZ308" s="67"/>
      <c r="CA308" s="67"/>
      <c r="CB308" s="67"/>
      <c r="CC308" s="67"/>
    </row>
    <row r="309" spans="2:94" ht="5.0999999999999996" customHeight="1" x14ac:dyDescent="0.2"/>
    <row r="310" spans="2:94" s="32" customFormat="1" ht="41.25" x14ac:dyDescent="0.2">
      <c r="B310" s="82" t="s">
        <v>106</v>
      </c>
      <c r="D310" s="184" t="s">
        <v>187</v>
      </c>
      <c r="F310" s="83" t="s">
        <v>188</v>
      </c>
      <c r="J310" s="190" t="e">
        <f>+J287</f>
        <v>#N/A</v>
      </c>
      <c r="K310" s="190" t="e">
        <f t="shared" ref="K310:BV310" si="120">+K287</f>
        <v>#N/A</v>
      </c>
      <c r="L310" s="190" t="e">
        <f t="shared" si="120"/>
        <v>#N/A</v>
      </c>
      <c r="M310" s="190" t="e">
        <f t="shared" si="120"/>
        <v>#N/A</v>
      </c>
      <c r="N310" s="190" t="e">
        <f t="shared" si="120"/>
        <v>#N/A</v>
      </c>
      <c r="O310" s="190" t="e">
        <f t="shared" si="120"/>
        <v>#N/A</v>
      </c>
      <c r="P310" s="190" t="e">
        <f t="shared" si="120"/>
        <v>#N/A</v>
      </c>
      <c r="Q310" s="190" t="e">
        <f t="shared" si="120"/>
        <v>#N/A</v>
      </c>
      <c r="R310" s="190" t="e">
        <f t="shared" si="120"/>
        <v>#N/A</v>
      </c>
      <c r="S310" s="190" t="e">
        <f t="shared" si="120"/>
        <v>#N/A</v>
      </c>
      <c r="T310" s="190" t="e">
        <f t="shared" si="120"/>
        <v>#N/A</v>
      </c>
      <c r="U310" s="190" t="e">
        <f t="shared" si="120"/>
        <v>#N/A</v>
      </c>
      <c r="V310" s="190" t="e">
        <f t="shared" si="120"/>
        <v>#N/A</v>
      </c>
      <c r="W310" s="190" t="e">
        <f t="shared" si="120"/>
        <v>#N/A</v>
      </c>
      <c r="X310" s="190" t="e">
        <f t="shared" si="120"/>
        <v>#N/A</v>
      </c>
      <c r="Y310" s="190" t="e">
        <f t="shared" si="120"/>
        <v>#N/A</v>
      </c>
      <c r="Z310" s="190" t="e">
        <f t="shared" si="120"/>
        <v>#N/A</v>
      </c>
      <c r="AA310" s="190" t="e">
        <f t="shared" si="120"/>
        <v>#N/A</v>
      </c>
      <c r="AB310" s="190" t="e">
        <f t="shared" si="120"/>
        <v>#N/A</v>
      </c>
      <c r="AC310" s="190" t="e">
        <f t="shared" si="120"/>
        <v>#N/A</v>
      </c>
      <c r="AD310" s="190" t="e">
        <f t="shared" si="120"/>
        <v>#N/A</v>
      </c>
      <c r="AE310" s="190" t="e">
        <f t="shared" si="120"/>
        <v>#N/A</v>
      </c>
      <c r="AF310" s="190" t="e">
        <f t="shared" si="120"/>
        <v>#N/A</v>
      </c>
      <c r="AG310" s="190" t="e">
        <f t="shared" si="120"/>
        <v>#N/A</v>
      </c>
      <c r="AH310" s="190" t="e">
        <f t="shared" si="120"/>
        <v>#N/A</v>
      </c>
      <c r="AI310" s="190" t="e">
        <f t="shared" si="120"/>
        <v>#N/A</v>
      </c>
      <c r="AJ310" s="190" t="e">
        <f t="shared" si="120"/>
        <v>#N/A</v>
      </c>
      <c r="AK310" s="190" t="e">
        <f t="shared" si="120"/>
        <v>#N/A</v>
      </c>
      <c r="AL310" s="190" t="e">
        <f t="shared" si="120"/>
        <v>#N/A</v>
      </c>
      <c r="AM310" s="190" t="e">
        <f t="shared" si="120"/>
        <v>#N/A</v>
      </c>
      <c r="AN310" s="190" t="e">
        <f t="shared" si="120"/>
        <v>#N/A</v>
      </c>
      <c r="AO310" s="190" t="e">
        <f t="shared" si="120"/>
        <v>#N/A</v>
      </c>
      <c r="AP310" s="190" t="e">
        <f t="shared" si="120"/>
        <v>#N/A</v>
      </c>
      <c r="AQ310" s="190" t="e">
        <f t="shared" si="120"/>
        <v>#N/A</v>
      </c>
      <c r="AR310" s="190" t="e">
        <f t="shared" si="120"/>
        <v>#N/A</v>
      </c>
      <c r="AS310" s="190" t="e">
        <f t="shared" si="120"/>
        <v>#N/A</v>
      </c>
      <c r="AT310" s="190" t="e">
        <f t="shared" si="120"/>
        <v>#N/A</v>
      </c>
      <c r="AU310" s="190" t="e">
        <f t="shared" si="120"/>
        <v>#N/A</v>
      </c>
      <c r="AV310" s="190" t="e">
        <f t="shared" si="120"/>
        <v>#N/A</v>
      </c>
      <c r="AW310" s="190" t="e">
        <f t="shared" si="120"/>
        <v>#N/A</v>
      </c>
      <c r="AX310" s="190" t="e">
        <f t="shared" si="120"/>
        <v>#N/A</v>
      </c>
      <c r="AY310" s="190" t="e">
        <f t="shared" si="120"/>
        <v>#N/A</v>
      </c>
      <c r="AZ310" s="190" t="e">
        <f t="shared" si="120"/>
        <v>#N/A</v>
      </c>
      <c r="BA310" s="190" t="e">
        <f t="shared" si="120"/>
        <v>#N/A</v>
      </c>
      <c r="BB310" s="190" t="e">
        <f t="shared" si="120"/>
        <v>#N/A</v>
      </c>
      <c r="BC310" s="190" t="e">
        <f t="shared" si="120"/>
        <v>#N/A</v>
      </c>
      <c r="BD310" s="190" t="e">
        <f t="shared" si="120"/>
        <v>#N/A</v>
      </c>
      <c r="BE310" s="190" t="e">
        <f t="shared" si="120"/>
        <v>#N/A</v>
      </c>
      <c r="BF310" s="190" t="e">
        <f t="shared" si="120"/>
        <v>#N/A</v>
      </c>
      <c r="BG310" s="190" t="e">
        <f t="shared" si="120"/>
        <v>#N/A</v>
      </c>
      <c r="BH310" s="190" t="e">
        <f t="shared" si="120"/>
        <v>#N/A</v>
      </c>
      <c r="BI310" s="190" t="e">
        <f t="shared" si="120"/>
        <v>#N/A</v>
      </c>
      <c r="BJ310" s="190" t="e">
        <f t="shared" si="120"/>
        <v>#N/A</v>
      </c>
      <c r="BK310" s="190" t="e">
        <f t="shared" si="120"/>
        <v>#N/A</v>
      </c>
      <c r="BL310" s="190" t="e">
        <f t="shared" si="120"/>
        <v>#N/A</v>
      </c>
      <c r="BM310" s="190" t="e">
        <f t="shared" si="120"/>
        <v>#N/A</v>
      </c>
      <c r="BN310" s="190" t="e">
        <f t="shared" si="120"/>
        <v>#N/A</v>
      </c>
      <c r="BO310" s="190" t="e">
        <f t="shared" si="120"/>
        <v>#N/A</v>
      </c>
      <c r="BP310" s="190" t="e">
        <f t="shared" si="120"/>
        <v>#N/A</v>
      </c>
      <c r="BQ310" s="190" t="e">
        <f t="shared" si="120"/>
        <v>#N/A</v>
      </c>
      <c r="BR310" s="190" t="e">
        <f t="shared" si="120"/>
        <v>#N/A</v>
      </c>
      <c r="BS310" s="190" t="e">
        <f t="shared" si="120"/>
        <v>#N/A</v>
      </c>
      <c r="BT310" s="190" t="e">
        <f t="shared" si="120"/>
        <v>#N/A</v>
      </c>
      <c r="BU310" s="190" t="e">
        <f t="shared" si="120"/>
        <v>#N/A</v>
      </c>
      <c r="BV310" s="190" t="e">
        <f t="shared" si="120"/>
        <v>#N/A</v>
      </c>
      <c r="BW310" s="190" t="e">
        <f t="shared" ref="BW310:CC310" si="121">+BW287</f>
        <v>#N/A</v>
      </c>
      <c r="BX310" s="190" t="e">
        <f t="shared" si="121"/>
        <v>#N/A</v>
      </c>
      <c r="BY310" s="190" t="e">
        <f t="shared" si="121"/>
        <v>#N/A</v>
      </c>
      <c r="BZ310" s="190" t="e">
        <f t="shared" si="121"/>
        <v>#N/A</v>
      </c>
      <c r="CA310" s="190" t="e">
        <f t="shared" si="121"/>
        <v>#N/A</v>
      </c>
      <c r="CB310" s="190" t="e">
        <f t="shared" si="121"/>
        <v>#N/A</v>
      </c>
      <c r="CC310" s="190" t="e">
        <f t="shared" si="121"/>
        <v>#N/A</v>
      </c>
      <c r="CE310" s="201"/>
      <c r="CF310"/>
      <c r="CG310"/>
      <c r="CH310"/>
      <c r="CI310"/>
      <c r="CJ310" s="202"/>
      <c r="CK310" s="202"/>
      <c r="CL310" s="202"/>
      <c r="CM310" s="202"/>
      <c r="CN310" s="202"/>
      <c r="CO310" s="202"/>
      <c r="CP310" s="202"/>
    </row>
    <row r="311" spans="2:94" s="32" customFormat="1" ht="5.0999999999999996" customHeight="1" x14ac:dyDescent="0.2">
      <c r="D311" s="185"/>
      <c r="CE311"/>
      <c r="CF311"/>
      <c r="CG311"/>
      <c r="CH311"/>
      <c r="CI311"/>
    </row>
    <row r="312" spans="2:94" s="32" customFormat="1" x14ac:dyDescent="0.2">
      <c r="B312" s="83" t="str">
        <f>+$B$156</f>
        <v>Tarea 1</v>
      </c>
      <c r="D312" s="85">
        <f>IF(F312&gt;0,+F312/$F$318,0)</f>
        <v>0</v>
      </c>
      <c r="E312" s="186"/>
      <c r="F312" s="187">
        <f>SUM(J312:AP312)</f>
        <v>0</v>
      </c>
      <c r="G312"/>
      <c r="H312"/>
      <c r="I312"/>
      <c r="J312" s="194">
        <v>0</v>
      </c>
      <c r="K312" s="194">
        <v>0</v>
      </c>
      <c r="L312" s="194">
        <v>0</v>
      </c>
      <c r="M312" s="194">
        <v>0</v>
      </c>
      <c r="N312" s="194">
        <v>0</v>
      </c>
      <c r="O312" s="194">
        <v>0</v>
      </c>
      <c r="P312" s="194">
        <v>0</v>
      </c>
      <c r="Q312" s="194">
        <v>0</v>
      </c>
      <c r="R312" s="194">
        <v>0</v>
      </c>
      <c r="S312" s="194">
        <v>0</v>
      </c>
      <c r="T312" s="194">
        <v>0</v>
      </c>
      <c r="U312" s="194">
        <v>0</v>
      </c>
      <c r="V312" s="194">
        <v>0</v>
      </c>
      <c r="W312" s="194">
        <v>0</v>
      </c>
      <c r="X312" s="194">
        <v>0</v>
      </c>
      <c r="Y312" s="194">
        <v>0</v>
      </c>
      <c r="Z312" s="194">
        <v>0</v>
      </c>
      <c r="AA312" s="194">
        <v>0</v>
      </c>
      <c r="AB312" s="194">
        <v>0</v>
      </c>
      <c r="AC312" s="194">
        <v>0</v>
      </c>
      <c r="AD312" s="194">
        <v>0</v>
      </c>
      <c r="AE312" s="194">
        <v>0</v>
      </c>
      <c r="AF312" s="194">
        <v>0</v>
      </c>
      <c r="AG312" s="194">
        <v>0</v>
      </c>
      <c r="AH312" s="194">
        <v>0</v>
      </c>
      <c r="AI312" s="194">
        <v>0</v>
      </c>
      <c r="AJ312" s="194">
        <v>0</v>
      </c>
      <c r="AK312" s="194">
        <v>0</v>
      </c>
      <c r="AL312" s="194">
        <v>0</v>
      </c>
      <c r="AM312" s="194">
        <v>0</v>
      </c>
      <c r="AN312" s="194">
        <v>0</v>
      </c>
      <c r="AO312" s="194">
        <v>0</v>
      </c>
      <c r="AP312" s="194">
        <v>0</v>
      </c>
      <c r="AQ312" s="194">
        <v>0</v>
      </c>
      <c r="AR312" s="194">
        <v>0</v>
      </c>
      <c r="AS312" s="194">
        <v>0</v>
      </c>
      <c r="AT312" s="194">
        <v>0</v>
      </c>
      <c r="AU312" s="194">
        <v>0</v>
      </c>
      <c r="AV312" s="194">
        <v>0</v>
      </c>
      <c r="AW312" s="194">
        <v>0</v>
      </c>
      <c r="AX312" s="194">
        <v>0</v>
      </c>
      <c r="AY312" s="194">
        <v>0</v>
      </c>
      <c r="AZ312" s="194">
        <v>0</v>
      </c>
      <c r="BA312" s="194">
        <v>0</v>
      </c>
      <c r="BB312" s="194">
        <v>0</v>
      </c>
      <c r="BC312" s="194">
        <v>0</v>
      </c>
      <c r="BD312" s="194">
        <v>0</v>
      </c>
      <c r="BE312" s="194">
        <v>0</v>
      </c>
      <c r="BF312" s="194">
        <v>0</v>
      </c>
      <c r="BG312" s="194">
        <v>0</v>
      </c>
      <c r="BH312" s="194">
        <v>0</v>
      </c>
      <c r="BI312" s="194">
        <v>0</v>
      </c>
      <c r="BJ312" s="194">
        <v>0</v>
      </c>
      <c r="BK312" s="194">
        <v>0</v>
      </c>
      <c r="BL312" s="194">
        <v>0</v>
      </c>
      <c r="BM312" s="194">
        <v>0</v>
      </c>
      <c r="BN312" s="194">
        <v>0</v>
      </c>
      <c r="BO312" s="194">
        <v>0</v>
      </c>
      <c r="BP312" s="194">
        <v>0</v>
      </c>
      <c r="BQ312" s="194">
        <v>0</v>
      </c>
      <c r="BR312" s="194">
        <v>0</v>
      </c>
      <c r="BS312" s="194">
        <v>0</v>
      </c>
      <c r="BT312" s="194">
        <v>0</v>
      </c>
      <c r="BU312" s="194">
        <v>0</v>
      </c>
      <c r="BV312" s="194">
        <v>0</v>
      </c>
      <c r="BW312" s="194">
        <v>0</v>
      </c>
      <c r="BX312" s="194">
        <v>0</v>
      </c>
      <c r="BY312" s="194">
        <v>0</v>
      </c>
      <c r="BZ312" s="194">
        <v>0</v>
      </c>
      <c r="CA312" s="194">
        <v>0</v>
      </c>
      <c r="CB312" s="194">
        <v>0</v>
      </c>
      <c r="CC312" s="194">
        <v>0</v>
      </c>
      <c r="CE312"/>
      <c r="CF312"/>
      <c r="CG312"/>
      <c r="CH312"/>
      <c r="CI312"/>
    </row>
    <row r="313" spans="2:94" s="32" customFormat="1" x14ac:dyDescent="0.2">
      <c r="B313" s="83" t="str">
        <f>+$B$157</f>
        <v>Tarea 2</v>
      </c>
      <c r="D313" s="85">
        <f t="shared" ref="D313:D316" si="122">IF(F313&gt;0,+F313/$F$318,0)</f>
        <v>0</v>
      </c>
      <c r="E313" s="186"/>
      <c r="F313" s="187">
        <f t="shared" ref="F313:F316" si="123">SUM(J313:AP313)</f>
        <v>0</v>
      </c>
      <c r="G313"/>
      <c r="H313"/>
      <c r="I313"/>
      <c r="J313" s="194">
        <v>0</v>
      </c>
      <c r="K313" s="194">
        <v>0</v>
      </c>
      <c r="L313" s="194">
        <v>0</v>
      </c>
      <c r="M313" s="194">
        <v>0</v>
      </c>
      <c r="N313" s="194">
        <v>0</v>
      </c>
      <c r="O313" s="194">
        <v>0</v>
      </c>
      <c r="P313" s="194">
        <v>0</v>
      </c>
      <c r="Q313" s="194">
        <v>0</v>
      </c>
      <c r="R313" s="194">
        <v>0</v>
      </c>
      <c r="S313" s="194">
        <v>0</v>
      </c>
      <c r="T313" s="194">
        <v>0</v>
      </c>
      <c r="U313" s="194">
        <v>0</v>
      </c>
      <c r="V313" s="194">
        <v>0</v>
      </c>
      <c r="W313" s="194">
        <v>0</v>
      </c>
      <c r="X313" s="194">
        <v>0</v>
      </c>
      <c r="Y313" s="194">
        <v>0</v>
      </c>
      <c r="Z313" s="194">
        <v>0</v>
      </c>
      <c r="AA313" s="194">
        <v>0</v>
      </c>
      <c r="AB313" s="194">
        <v>0</v>
      </c>
      <c r="AC313" s="194">
        <v>0</v>
      </c>
      <c r="AD313" s="194">
        <v>0</v>
      </c>
      <c r="AE313" s="194">
        <v>0</v>
      </c>
      <c r="AF313" s="194">
        <v>0</v>
      </c>
      <c r="AG313" s="194">
        <v>0</v>
      </c>
      <c r="AH313" s="194">
        <v>0</v>
      </c>
      <c r="AI313" s="194">
        <v>0</v>
      </c>
      <c r="AJ313" s="194">
        <v>0</v>
      </c>
      <c r="AK313" s="194">
        <v>0</v>
      </c>
      <c r="AL313" s="194">
        <v>0</v>
      </c>
      <c r="AM313" s="194">
        <v>0</v>
      </c>
      <c r="AN313" s="194">
        <v>0</v>
      </c>
      <c r="AO313" s="194">
        <v>0</v>
      </c>
      <c r="AP313" s="194">
        <v>0</v>
      </c>
      <c r="AQ313" s="194">
        <v>0</v>
      </c>
      <c r="AR313" s="194">
        <v>0</v>
      </c>
      <c r="AS313" s="194">
        <v>0</v>
      </c>
      <c r="AT313" s="194">
        <v>0</v>
      </c>
      <c r="AU313" s="194">
        <v>0</v>
      </c>
      <c r="AV313" s="194">
        <v>0</v>
      </c>
      <c r="AW313" s="194">
        <v>0</v>
      </c>
      <c r="AX313" s="194">
        <v>0</v>
      </c>
      <c r="AY313" s="194">
        <v>0</v>
      </c>
      <c r="AZ313" s="194">
        <v>0</v>
      </c>
      <c r="BA313" s="194">
        <v>0</v>
      </c>
      <c r="BB313" s="194">
        <v>0</v>
      </c>
      <c r="BC313" s="194">
        <v>0</v>
      </c>
      <c r="BD313" s="194">
        <v>0</v>
      </c>
      <c r="BE313" s="194">
        <v>0</v>
      </c>
      <c r="BF313" s="194">
        <v>0</v>
      </c>
      <c r="BG313" s="194">
        <v>0</v>
      </c>
      <c r="BH313" s="194">
        <v>0</v>
      </c>
      <c r="BI313" s="194">
        <v>0</v>
      </c>
      <c r="BJ313" s="194">
        <v>0</v>
      </c>
      <c r="BK313" s="194">
        <v>0</v>
      </c>
      <c r="BL313" s="194">
        <v>0</v>
      </c>
      <c r="BM313" s="194">
        <v>0</v>
      </c>
      <c r="BN313" s="194">
        <v>0</v>
      </c>
      <c r="BO313" s="194">
        <v>0</v>
      </c>
      <c r="BP313" s="194">
        <v>0</v>
      </c>
      <c r="BQ313" s="194">
        <v>0</v>
      </c>
      <c r="BR313" s="194">
        <v>0</v>
      </c>
      <c r="BS313" s="194">
        <v>0</v>
      </c>
      <c r="BT313" s="194">
        <v>0</v>
      </c>
      <c r="BU313" s="194">
        <v>0</v>
      </c>
      <c r="BV313" s="194">
        <v>0</v>
      </c>
      <c r="BW313" s="194">
        <v>0</v>
      </c>
      <c r="BX313" s="194">
        <v>0</v>
      </c>
      <c r="BY313" s="194">
        <v>0</v>
      </c>
      <c r="BZ313" s="194">
        <v>0</v>
      </c>
      <c r="CA313" s="194">
        <v>0</v>
      </c>
      <c r="CB313" s="194">
        <v>0</v>
      </c>
      <c r="CC313" s="194">
        <v>0</v>
      </c>
      <c r="CE313"/>
      <c r="CF313"/>
      <c r="CG313"/>
      <c r="CH313"/>
      <c r="CI313"/>
    </row>
    <row r="314" spans="2:94" s="32" customFormat="1" x14ac:dyDescent="0.2">
      <c r="B314" s="83" t="str">
        <f>+$B$158</f>
        <v>Tarea 3</v>
      </c>
      <c r="D314" s="85">
        <f t="shared" si="122"/>
        <v>0</v>
      </c>
      <c r="E314" s="186"/>
      <c r="F314" s="187">
        <f t="shared" si="123"/>
        <v>0</v>
      </c>
      <c r="G314"/>
      <c r="H314"/>
      <c r="I314"/>
      <c r="J314" s="194">
        <v>0</v>
      </c>
      <c r="K314" s="194">
        <v>0</v>
      </c>
      <c r="L314" s="194">
        <v>0</v>
      </c>
      <c r="M314" s="194">
        <v>0</v>
      </c>
      <c r="N314" s="194">
        <v>0</v>
      </c>
      <c r="O314" s="194">
        <v>0</v>
      </c>
      <c r="P314" s="194">
        <v>0</v>
      </c>
      <c r="Q314" s="194">
        <v>0</v>
      </c>
      <c r="R314" s="194">
        <v>0</v>
      </c>
      <c r="S314" s="194">
        <v>0</v>
      </c>
      <c r="T314" s="194">
        <v>0</v>
      </c>
      <c r="U314" s="194">
        <v>0</v>
      </c>
      <c r="V314" s="194">
        <v>0</v>
      </c>
      <c r="W314" s="194">
        <v>0</v>
      </c>
      <c r="X314" s="194">
        <v>0</v>
      </c>
      <c r="Y314" s="194">
        <v>0</v>
      </c>
      <c r="Z314" s="194">
        <v>0</v>
      </c>
      <c r="AA314" s="194">
        <v>0</v>
      </c>
      <c r="AB314" s="194">
        <v>0</v>
      </c>
      <c r="AC314" s="194">
        <v>0</v>
      </c>
      <c r="AD314" s="194">
        <v>0</v>
      </c>
      <c r="AE314" s="194">
        <v>0</v>
      </c>
      <c r="AF314" s="194">
        <v>0</v>
      </c>
      <c r="AG314" s="194">
        <v>0</v>
      </c>
      <c r="AH314" s="194">
        <v>0</v>
      </c>
      <c r="AI314" s="194">
        <v>0</v>
      </c>
      <c r="AJ314" s="194">
        <v>0</v>
      </c>
      <c r="AK314" s="194">
        <v>0</v>
      </c>
      <c r="AL314" s="194">
        <v>0</v>
      </c>
      <c r="AM314" s="194">
        <v>0</v>
      </c>
      <c r="AN314" s="194">
        <v>0</v>
      </c>
      <c r="AO314" s="194">
        <v>0</v>
      </c>
      <c r="AP314" s="194">
        <v>0</v>
      </c>
      <c r="AQ314" s="194">
        <v>0</v>
      </c>
      <c r="AR314" s="194">
        <v>0</v>
      </c>
      <c r="AS314" s="194">
        <v>0</v>
      </c>
      <c r="AT314" s="194">
        <v>0</v>
      </c>
      <c r="AU314" s="194">
        <v>0</v>
      </c>
      <c r="AV314" s="194">
        <v>0</v>
      </c>
      <c r="AW314" s="194">
        <v>0</v>
      </c>
      <c r="AX314" s="194">
        <v>0</v>
      </c>
      <c r="AY314" s="194">
        <v>0</v>
      </c>
      <c r="AZ314" s="194">
        <v>0</v>
      </c>
      <c r="BA314" s="194">
        <v>0</v>
      </c>
      <c r="BB314" s="194">
        <v>0</v>
      </c>
      <c r="BC314" s="194">
        <v>0</v>
      </c>
      <c r="BD314" s="194">
        <v>0</v>
      </c>
      <c r="BE314" s="194">
        <v>0</v>
      </c>
      <c r="BF314" s="194">
        <v>0</v>
      </c>
      <c r="BG314" s="194">
        <v>0</v>
      </c>
      <c r="BH314" s="194">
        <v>0</v>
      </c>
      <c r="BI314" s="194">
        <v>0</v>
      </c>
      <c r="BJ314" s="194">
        <v>0</v>
      </c>
      <c r="BK314" s="194">
        <v>0</v>
      </c>
      <c r="BL314" s="194">
        <v>0</v>
      </c>
      <c r="BM314" s="194">
        <v>0</v>
      </c>
      <c r="BN314" s="194">
        <v>0</v>
      </c>
      <c r="BO314" s="194">
        <v>0</v>
      </c>
      <c r="BP314" s="194">
        <v>0</v>
      </c>
      <c r="BQ314" s="194">
        <v>0</v>
      </c>
      <c r="BR314" s="194">
        <v>0</v>
      </c>
      <c r="BS314" s="194">
        <v>0</v>
      </c>
      <c r="BT314" s="194">
        <v>0</v>
      </c>
      <c r="BU314" s="194">
        <v>0</v>
      </c>
      <c r="BV314" s="194">
        <v>0</v>
      </c>
      <c r="BW314" s="194">
        <v>0</v>
      </c>
      <c r="BX314" s="194">
        <v>0</v>
      </c>
      <c r="BY314" s="194">
        <v>0</v>
      </c>
      <c r="BZ314" s="194">
        <v>0</v>
      </c>
      <c r="CA314" s="194">
        <v>0</v>
      </c>
      <c r="CB314" s="194">
        <v>0</v>
      </c>
      <c r="CC314" s="194">
        <v>0</v>
      </c>
      <c r="CE314"/>
      <c r="CF314"/>
      <c r="CG314"/>
      <c r="CH314"/>
      <c r="CI314"/>
    </row>
    <row r="315" spans="2:94" s="32" customFormat="1" ht="15" customHeight="1" x14ac:dyDescent="0.2">
      <c r="B315" s="83" t="str">
        <f>+$B$159</f>
        <v>Tarea 4</v>
      </c>
      <c r="D315" s="85">
        <f t="shared" si="122"/>
        <v>0</v>
      </c>
      <c r="E315" s="186"/>
      <c r="F315" s="187">
        <f t="shared" si="123"/>
        <v>0</v>
      </c>
      <c r="G315"/>
      <c r="H315"/>
      <c r="I315"/>
      <c r="J315" s="194">
        <v>0</v>
      </c>
      <c r="K315" s="194">
        <v>0</v>
      </c>
      <c r="L315" s="194">
        <v>0</v>
      </c>
      <c r="M315" s="194">
        <v>0</v>
      </c>
      <c r="N315" s="194">
        <v>0</v>
      </c>
      <c r="O315" s="194">
        <v>0</v>
      </c>
      <c r="P315" s="194">
        <v>0</v>
      </c>
      <c r="Q315" s="194">
        <v>0</v>
      </c>
      <c r="R315" s="194">
        <v>0</v>
      </c>
      <c r="S315" s="194">
        <v>0</v>
      </c>
      <c r="T315" s="194">
        <v>0</v>
      </c>
      <c r="U315" s="194">
        <v>0</v>
      </c>
      <c r="V315" s="194">
        <v>0</v>
      </c>
      <c r="W315" s="194">
        <v>0</v>
      </c>
      <c r="X315" s="194">
        <v>0</v>
      </c>
      <c r="Y315" s="194">
        <v>0</v>
      </c>
      <c r="Z315" s="194">
        <v>0</v>
      </c>
      <c r="AA315" s="194">
        <v>0</v>
      </c>
      <c r="AB315" s="194">
        <v>0</v>
      </c>
      <c r="AC315" s="194">
        <v>0</v>
      </c>
      <c r="AD315" s="194">
        <v>0</v>
      </c>
      <c r="AE315" s="194">
        <v>0</v>
      </c>
      <c r="AF315" s="194">
        <v>0</v>
      </c>
      <c r="AG315" s="194">
        <v>0</v>
      </c>
      <c r="AH315" s="194">
        <v>0</v>
      </c>
      <c r="AI315" s="194">
        <v>0</v>
      </c>
      <c r="AJ315" s="194">
        <v>0</v>
      </c>
      <c r="AK315" s="194">
        <v>0</v>
      </c>
      <c r="AL315" s="194">
        <v>0</v>
      </c>
      <c r="AM315" s="194">
        <v>0</v>
      </c>
      <c r="AN315" s="194">
        <v>0</v>
      </c>
      <c r="AO315" s="194">
        <v>0</v>
      </c>
      <c r="AP315" s="194">
        <v>0</v>
      </c>
      <c r="AQ315" s="194">
        <v>0</v>
      </c>
      <c r="AR315" s="194">
        <v>0</v>
      </c>
      <c r="AS315" s="194">
        <v>0</v>
      </c>
      <c r="AT315" s="194">
        <v>0</v>
      </c>
      <c r="AU315" s="194">
        <v>0</v>
      </c>
      <c r="AV315" s="194">
        <v>0</v>
      </c>
      <c r="AW315" s="194">
        <v>0</v>
      </c>
      <c r="AX315" s="194">
        <v>0</v>
      </c>
      <c r="AY315" s="194">
        <v>0</v>
      </c>
      <c r="AZ315" s="194">
        <v>0</v>
      </c>
      <c r="BA315" s="194">
        <v>0</v>
      </c>
      <c r="BB315" s="194">
        <v>0</v>
      </c>
      <c r="BC315" s="194">
        <v>0</v>
      </c>
      <c r="BD315" s="194">
        <v>0</v>
      </c>
      <c r="BE315" s="194">
        <v>0</v>
      </c>
      <c r="BF315" s="194">
        <v>0</v>
      </c>
      <c r="BG315" s="194">
        <v>0</v>
      </c>
      <c r="BH315" s="194">
        <v>0</v>
      </c>
      <c r="BI315" s="194">
        <v>0</v>
      </c>
      <c r="BJ315" s="194">
        <v>0</v>
      </c>
      <c r="BK315" s="194">
        <v>0</v>
      </c>
      <c r="BL315" s="194">
        <v>0</v>
      </c>
      <c r="BM315" s="194">
        <v>0</v>
      </c>
      <c r="BN315" s="194">
        <v>0</v>
      </c>
      <c r="BO315" s="194">
        <v>0</v>
      </c>
      <c r="BP315" s="194">
        <v>0</v>
      </c>
      <c r="BQ315" s="194">
        <v>0</v>
      </c>
      <c r="BR315" s="194">
        <v>0</v>
      </c>
      <c r="BS315" s="194">
        <v>0</v>
      </c>
      <c r="BT315" s="194">
        <v>0</v>
      </c>
      <c r="BU315" s="194">
        <v>0</v>
      </c>
      <c r="BV315" s="194">
        <v>0</v>
      </c>
      <c r="BW315" s="194">
        <v>0</v>
      </c>
      <c r="BX315" s="194">
        <v>0</v>
      </c>
      <c r="BY315" s="194">
        <v>0</v>
      </c>
      <c r="BZ315" s="194">
        <v>0</v>
      </c>
      <c r="CA315" s="194">
        <v>0</v>
      </c>
      <c r="CB315" s="194">
        <v>0</v>
      </c>
      <c r="CC315" s="194">
        <v>0</v>
      </c>
      <c r="CE315"/>
      <c r="CF315"/>
      <c r="CG315"/>
      <c r="CH315"/>
      <c r="CI315"/>
    </row>
    <row r="316" spans="2:94" s="32" customFormat="1" ht="15.75" customHeight="1" x14ac:dyDescent="0.2">
      <c r="B316" s="76" t="s">
        <v>189</v>
      </c>
      <c r="D316" s="85">
        <f t="shared" si="122"/>
        <v>0</v>
      </c>
      <c r="E316" s="186"/>
      <c r="F316" s="187">
        <f t="shared" si="123"/>
        <v>0</v>
      </c>
      <c r="G316"/>
      <c r="H316"/>
      <c r="I316"/>
      <c r="J316" s="194">
        <v>0</v>
      </c>
      <c r="K316" s="194">
        <v>0</v>
      </c>
      <c r="L316" s="194">
        <v>0</v>
      </c>
      <c r="M316" s="194">
        <v>0</v>
      </c>
      <c r="N316" s="194">
        <v>0</v>
      </c>
      <c r="O316" s="194">
        <v>0</v>
      </c>
      <c r="P316" s="194">
        <v>0</v>
      </c>
      <c r="Q316" s="194">
        <v>0</v>
      </c>
      <c r="R316" s="194">
        <v>0</v>
      </c>
      <c r="S316" s="194">
        <v>0</v>
      </c>
      <c r="T316" s="194">
        <v>0</v>
      </c>
      <c r="U316" s="194">
        <v>0</v>
      </c>
      <c r="V316" s="194">
        <v>0</v>
      </c>
      <c r="W316" s="194">
        <v>0</v>
      </c>
      <c r="X316" s="194">
        <v>0</v>
      </c>
      <c r="Y316" s="194">
        <v>0</v>
      </c>
      <c r="Z316" s="194">
        <v>0</v>
      </c>
      <c r="AA316" s="194">
        <v>0</v>
      </c>
      <c r="AB316" s="194">
        <v>0</v>
      </c>
      <c r="AC316" s="194">
        <v>0</v>
      </c>
      <c r="AD316" s="194">
        <v>0</v>
      </c>
      <c r="AE316" s="194">
        <v>0</v>
      </c>
      <c r="AF316" s="194">
        <v>0</v>
      </c>
      <c r="AG316" s="194">
        <v>0</v>
      </c>
      <c r="AH316" s="194">
        <v>0</v>
      </c>
      <c r="AI316" s="194">
        <v>0</v>
      </c>
      <c r="AJ316" s="194">
        <v>0</v>
      </c>
      <c r="AK316" s="194">
        <v>0</v>
      </c>
      <c r="AL316" s="194">
        <v>0</v>
      </c>
      <c r="AM316" s="194">
        <v>0</v>
      </c>
      <c r="AN316" s="194">
        <v>0</v>
      </c>
      <c r="AO316" s="194">
        <v>0</v>
      </c>
      <c r="AP316" s="194">
        <v>0</v>
      </c>
      <c r="AQ316" s="194">
        <v>0</v>
      </c>
      <c r="AR316" s="194">
        <v>0</v>
      </c>
      <c r="AS316" s="194">
        <v>0</v>
      </c>
      <c r="AT316" s="194">
        <v>0</v>
      </c>
      <c r="AU316" s="194">
        <v>0</v>
      </c>
      <c r="AV316" s="194">
        <v>0</v>
      </c>
      <c r="AW316" s="194">
        <v>0</v>
      </c>
      <c r="AX316" s="194">
        <v>0</v>
      </c>
      <c r="AY316" s="194">
        <v>0</v>
      </c>
      <c r="AZ316" s="194">
        <v>0</v>
      </c>
      <c r="BA316" s="194">
        <v>0</v>
      </c>
      <c r="BB316" s="194">
        <v>0</v>
      </c>
      <c r="BC316" s="194">
        <v>0</v>
      </c>
      <c r="BD316" s="194">
        <v>0</v>
      </c>
      <c r="BE316" s="194">
        <v>0</v>
      </c>
      <c r="BF316" s="194">
        <v>0</v>
      </c>
      <c r="BG316" s="194">
        <v>0</v>
      </c>
      <c r="BH316" s="194">
        <v>0</v>
      </c>
      <c r="BI316" s="194">
        <v>0</v>
      </c>
      <c r="BJ316" s="194">
        <v>0</v>
      </c>
      <c r="BK316" s="194">
        <v>0</v>
      </c>
      <c r="BL316" s="194">
        <v>0</v>
      </c>
      <c r="BM316" s="194">
        <v>0</v>
      </c>
      <c r="BN316" s="194">
        <v>0</v>
      </c>
      <c r="BO316" s="194">
        <v>0</v>
      </c>
      <c r="BP316" s="194">
        <v>0</v>
      </c>
      <c r="BQ316" s="194">
        <v>0</v>
      </c>
      <c r="BR316" s="194">
        <v>0</v>
      </c>
      <c r="BS316" s="194">
        <v>0</v>
      </c>
      <c r="BT316" s="194">
        <v>0</v>
      </c>
      <c r="BU316" s="194">
        <v>0</v>
      </c>
      <c r="BV316" s="194">
        <v>0</v>
      </c>
      <c r="BW316" s="194">
        <v>0</v>
      </c>
      <c r="BX316" s="194">
        <v>0</v>
      </c>
      <c r="BY316" s="194">
        <v>0</v>
      </c>
      <c r="BZ316" s="194">
        <v>0</v>
      </c>
      <c r="CA316" s="194">
        <v>0</v>
      </c>
      <c r="CB316" s="194">
        <v>0</v>
      </c>
      <c r="CC316" s="194">
        <v>0</v>
      </c>
      <c r="CE316"/>
      <c r="CF316"/>
      <c r="CG316"/>
      <c r="CH316"/>
      <c r="CI316"/>
    </row>
    <row r="317" spans="2:94" s="32" customFormat="1" ht="5.0999999999999996" customHeight="1" x14ac:dyDescent="0.2">
      <c r="F317" s="156"/>
      <c r="J317" s="113"/>
      <c r="K317" s="113"/>
      <c r="L317" s="113"/>
      <c r="M317" s="113"/>
      <c r="N317" s="113"/>
      <c r="O317" s="113"/>
      <c r="P317" s="113"/>
      <c r="Q317" s="113"/>
      <c r="AF317" s="93"/>
      <c r="CE317"/>
      <c r="CF317"/>
      <c r="CG317"/>
      <c r="CH317"/>
      <c r="CI317"/>
    </row>
    <row r="318" spans="2:94" s="32" customFormat="1" x14ac:dyDescent="0.2">
      <c r="B318" s="663" t="s">
        <v>120</v>
      </c>
      <c r="C318" s="664"/>
      <c r="D318" s="665"/>
      <c r="F318" s="96">
        <f>SUM(J318:AR318)</f>
        <v>0</v>
      </c>
      <c r="G318"/>
      <c r="H318"/>
      <c r="I318"/>
      <c r="J318" s="195">
        <f>SUM(J312:J317)</f>
        <v>0</v>
      </c>
      <c r="K318" s="195">
        <f t="shared" ref="K318:AR318" si="124">SUM(K312:K317)</f>
        <v>0</v>
      </c>
      <c r="L318" s="195">
        <f t="shared" si="124"/>
        <v>0</v>
      </c>
      <c r="M318" s="195">
        <f t="shared" si="124"/>
        <v>0</v>
      </c>
      <c r="N318" s="195">
        <f t="shared" si="124"/>
        <v>0</v>
      </c>
      <c r="O318" s="195">
        <f t="shared" si="124"/>
        <v>0</v>
      </c>
      <c r="P318" s="195">
        <f t="shared" si="124"/>
        <v>0</v>
      </c>
      <c r="Q318" s="195">
        <f t="shared" si="124"/>
        <v>0</v>
      </c>
      <c r="R318" s="195">
        <f t="shared" si="124"/>
        <v>0</v>
      </c>
      <c r="S318" s="195">
        <f t="shared" si="124"/>
        <v>0</v>
      </c>
      <c r="T318" s="195">
        <f t="shared" si="124"/>
        <v>0</v>
      </c>
      <c r="U318" s="195">
        <f t="shared" si="124"/>
        <v>0</v>
      </c>
      <c r="V318" s="195">
        <f t="shared" si="124"/>
        <v>0</v>
      </c>
      <c r="W318" s="195">
        <f t="shared" si="124"/>
        <v>0</v>
      </c>
      <c r="X318" s="195">
        <f t="shared" si="124"/>
        <v>0</v>
      </c>
      <c r="Y318" s="195">
        <f t="shared" si="124"/>
        <v>0</v>
      </c>
      <c r="Z318" s="195">
        <f t="shared" si="124"/>
        <v>0</v>
      </c>
      <c r="AA318" s="195">
        <f t="shared" si="124"/>
        <v>0</v>
      </c>
      <c r="AB318" s="195">
        <f t="shared" si="124"/>
        <v>0</v>
      </c>
      <c r="AC318" s="195">
        <f t="shared" si="124"/>
        <v>0</v>
      </c>
      <c r="AD318" s="195">
        <f t="shared" si="124"/>
        <v>0</v>
      </c>
      <c r="AE318" s="195">
        <f t="shared" si="124"/>
        <v>0</v>
      </c>
      <c r="AF318" s="195">
        <f t="shared" si="124"/>
        <v>0</v>
      </c>
      <c r="AG318" s="195">
        <f t="shared" si="124"/>
        <v>0</v>
      </c>
      <c r="AH318" s="195">
        <f t="shared" si="124"/>
        <v>0</v>
      </c>
      <c r="AI318" s="195">
        <f t="shared" si="124"/>
        <v>0</v>
      </c>
      <c r="AJ318" s="195">
        <f t="shared" si="124"/>
        <v>0</v>
      </c>
      <c r="AK318" s="195">
        <f t="shared" si="124"/>
        <v>0</v>
      </c>
      <c r="AL318" s="195">
        <f t="shared" si="124"/>
        <v>0</v>
      </c>
      <c r="AM318" s="195">
        <f t="shared" si="124"/>
        <v>0</v>
      </c>
      <c r="AN318" s="195">
        <f t="shared" si="124"/>
        <v>0</v>
      </c>
      <c r="AO318" s="195">
        <f t="shared" si="124"/>
        <v>0</v>
      </c>
      <c r="AP318" s="195">
        <f t="shared" si="124"/>
        <v>0</v>
      </c>
      <c r="AQ318" s="195">
        <f t="shared" si="124"/>
        <v>0</v>
      </c>
      <c r="AR318" s="195">
        <f t="shared" si="124"/>
        <v>0</v>
      </c>
      <c r="AS318" s="195">
        <f t="shared" ref="AS318:CC318" si="125">SUM(AS312:AS317)</f>
        <v>0</v>
      </c>
      <c r="AT318" s="195">
        <f t="shared" si="125"/>
        <v>0</v>
      </c>
      <c r="AU318" s="195">
        <f t="shared" si="125"/>
        <v>0</v>
      </c>
      <c r="AV318" s="195">
        <f t="shared" si="125"/>
        <v>0</v>
      </c>
      <c r="AW318" s="195">
        <f t="shared" si="125"/>
        <v>0</v>
      </c>
      <c r="AX318" s="195">
        <f t="shared" si="125"/>
        <v>0</v>
      </c>
      <c r="AY318" s="195">
        <f t="shared" si="125"/>
        <v>0</v>
      </c>
      <c r="AZ318" s="195">
        <f t="shared" si="125"/>
        <v>0</v>
      </c>
      <c r="BA318" s="195">
        <f t="shared" si="125"/>
        <v>0</v>
      </c>
      <c r="BB318" s="195">
        <f t="shared" si="125"/>
        <v>0</v>
      </c>
      <c r="BC318" s="195">
        <f t="shared" si="125"/>
        <v>0</v>
      </c>
      <c r="BD318" s="195">
        <f t="shared" si="125"/>
        <v>0</v>
      </c>
      <c r="BE318" s="195">
        <f t="shared" si="125"/>
        <v>0</v>
      </c>
      <c r="BF318" s="195">
        <f t="shared" si="125"/>
        <v>0</v>
      </c>
      <c r="BG318" s="195">
        <f t="shared" si="125"/>
        <v>0</v>
      </c>
      <c r="BH318" s="195">
        <f t="shared" si="125"/>
        <v>0</v>
      </c>
      <c r="BI318" s="195">
        <f t="shared" si="125"/>
        <v>0</v>
      </c>
      <c r="BJ318" s="195">
        <f t="shared" si="125"/>
        <v>0</v>
      </c>
      <c r="BK318" s="195">
        <f t="shared" si="125"/>
        <v>0</v>
      </c>
      <c r="BL318" s="195">
        <f t="shared" si="125"/>
        <v>0</v>
      </c>
      <c r="BM318" s="195">
        <f t="shared" si="125"/>
        <v>0</v>
      </c>
      <c r="BN318" s="195">
        <f t="shared" si="125"/>
        <v>0</v>
      </c>
      <c r="BO318" s="195">
        <f t="shared" si="125"/>
        <v>0</v>
      </c>
      <c r="BP318" s="195">
        <f t="shared" si="125"/>
        <v>0</v>
      </c>
      <c r="BQ318" s="195">
        <f t="shared" si="125"/>
        <v>0</v>
      </c>
      <c r="BR318" s="195">
        <f t="shared" si="125"/>
        <v>0</v>
      </c>
      <c r="BS318" s="195">
        <f t="shared" si="125"/>
        <v>0</v>
      </c>
      <c r="BT318" s="195">
        <f t="shared" si="125"/>
        <v>0</v>
      </c>
      <c r="BU318" s="195">
        <f t="shared" si="125"/>
        <v>0</v>
      </c>
      <c r="BV318" s="195">
        <f t="shared" si="125"/>
        <v>0</v>
      </c>
      <c r="BW318" s="195">
        <f t="shared" si="125"/>
        <v>0</v>
      </c>
      <c r="BX318" s="195">
        <f t="shared" si="125"/>
        <v>0</v>
      </c>
      <c r="BY318" s="195">
        <f t="shared" si="125"/>
        <v>0</v>
      </c>
      <c r="BZ318" s="195">
        <f t="shared" si="125"/>
        <v>0</v>
      </c>
      <c r="CA318" s="195">
        <f t="shared" si="125"/>
        <v>0</v>
      </c>
      <c r="CB318" s="195">
        <f t="shared" si="125"/>
        <v>0</v>
      </c>
      <c r="CC318" s="195">
        <f t="shared" si="125"/>
        <v>0</v>
      </c>
      <c r="CE318"/>
    </row>
    <row r="319" spans="2:94" ht="5.0999999999999996" customHeight="1" x14ac:dyDescent="0.2">
      <c r="J319" s="196"/>
      <c r="K319" s="196"/>
      <c r="L319" s="196"/>
      <c r="M319" s="196"/>
      <c r="N319" s="196"/>
      <c r="O319" s="196"/>
      <c r="P319" s="196"/>
      <c r="Q319" s="196"/>
      <c r="R319" s="196"/>
      <c r="S319" s="196"/>
      <c r="T319" s="196"/>
      <c r="U319" s="196"/>
      <c r="V319" s="196"/>
      <c r="W319" s="196"/>
      <c r="X319" s="196"/>
      <c r="Y319" s="196"/>
      <c r="Z319" s="196"/>
      <c r="AA319" s="196"/>
      <c r="AB319" s="196"/>
      <c r="AC319" s="196"/>
      <c r="AD319" s="196"/>
      <c r="AE319" s="196"/>
      <c r="AF319" s="196"/>
      <c r="AG319" s="196"/>
      <c r="AH319" s="196"/>
      <c r="AI319" s="196"/>
      <c r="AJ319" s="196"/>
      <c r="AK319" s="196"/>
      <c r="AL319" s="196"/>
      <c r="AM319" s="196"/>
      <c r="AN319" s="196"/>
      <c r="AO319" s="196"/>
      <c r="AP319" s="196"/>
      <c r="AQ319" s="196"/>
      <c r="AR319" s="196"/>
      <c r="AS319" s="196"/>
      <c r="AT319" s="196"/>
      <c r="AU319" s="196"/>
      <c r="AV319" s="196"/>
      <c r="AW319" s="196"/>
      <c r="AX319" s="196"/>
      <c r="AY319" s="196"/>
      <c r="AZ319" s="196"/>
      <c r="BA319" s="196"/>
      <c r="BB319" s="196"/>
      <c r="BC319" s="196"/>
      <c r="BD319" s="196"/>
      <c r="BE319" s="196"/>
      <c r="BF319" s="196"/>
      <c r="BG319" s="196"/>
      <c r="BH319" s="196"/>
      <c r="BI319" s="196"/>
      <c r="BJ319" s="196"/>
      <c r="BK319" s="196"/>
      <c r="BL319" s="196"/>
      <c r="BM319" s="196"/>
      <c r="BN319" s="196"/>
      <c r="BO319" s="196"/>
      <c r="BP319" s="196"/>
      <c r="BQ319" s="196"/>
      <c r="BR319" s="196"/>
      <c r="BS319" s="196"/>
      <c r="BT319" s="196"/>
      <c r="BU319" s="196"/>
      <c r="BV319" s="196"/>
      <c r="BW319" s="196"/>
      <c r="BX319" s="196"/>
      <c r="BY319" s="196"/>
      <c r="BZ319" s="196"/>
      <c r="CA319" s="196"/>
      <c r="CB319" s="196"/>
      <c r="CC319" s="196"/>
    </row>
    <row r="320" spans="2:94" s="32" customFormat="1" x14ac:dyDescent="0.2">
      <c r="B320" s="573" t="s">
        <v>121</v>
      </c>
      <c r="C320" s="574"/>
      <c r="D320" s="575"/>
      <c r="F320"/>
      <c r="G320"/>
      <c r="H320"/>
      <c r="I320"/>
      <c r="J320" s="197">
        <f>+J318</f>
        <v>0</v>
      </c>
      <c r="K320" s="197">
        <f>J320+K318</f>
        <v>0</v>
      </c>
      <c r="L320" s="197">
        <f>K320+L318</f>
        <v>0</v>
      </c>
      <c r="M320" s="197">
        <f t="shared" ref="M320:AR320" si="126">L320+M318</f>
        <v>0</v>
      </c>
      <c r="N320" s="197">
        <f t="shared" si="126"/>
        <v>0</v>
      </c>
      <c r="O320" s="197">
        <f t="shared" si="126"/>
        <v>0</v>
      </c>
      <c r="P320" s="197">
        <f t="shared" si="126"/>
        <v>0</v>
      </c>
      <c r="Q320" s="197">
        <f t="shared" si="126"/>
        <v>0</v>
      </c>
      <c r="R320" s="197">
        <f t="shared" si="126"/>
        <v>0</v>
      </c>
      <c r="S320" s="197">
        <f t="shared" si="126"/>
        <v>0</v>
      </c>
      <c r="T320" s="197">
        <f t="shared" si="126"/>
        <v>0</v>
      </c>
      <c r="U320" s="197">
        <f t="shared" si="126"/>
        <v>0</v>
      </c>
      <c r="V320" s="197">
        <f t="shared" si="126"/>
        <v>0</v>
      </c>
      <c r="W320" s="197">
        <f t="shared" si="126"/>
        <v>0</v>
      </c>
      <c r="X320" s="197">
        <f t="shared" si="126"/>
        <v>0</v>
      </c>
      <c r="Y320" s="197">
        <f t="shared" si="126"/>
        <v>0</v>
      </c>
      <c r="Z320" s="197">
        <f t="shared" si="126"/>
        <v>0</v>
      </c>
      <c r="AA320" s="197">
        <f t="shared" si="126"/>
        <v>0</v>
      </c>
      <c r="AB320" s="197">
        <f t="shared" si="126"/>
        <v>0</v>
      </c>
      <c r="AC320" s="197">
        <f t="shared" si="126"/>
        <v>0</v>
      </c>
      <c r="AD320" s="197">
        <f t="shared" si="126"/>
        <v>0</v>
      </c>
      <c r="AE320" s="197">
        <f t="shared" si="126"/>
        <v>0</v>
      </c>
      <c r="AF320" s="197">
        <f t="shared" si="126"/>
        <v>0</v>
      </c>
      <c r="AG320" s="197">
        <f t="shared" si="126"/>
        <v>0</v>
      </c>
      <c r="AH320" s="197">
        <f t="shared" si="126"/>
        <v>0</v>
      </c>
      <c r="AI320" s="197">
        <f t="shared" si="126"/>
        <v>0</v>
      </c>
      <c r="AJ320" s="197">
        <f t="shared" si="126"/>
        <v>0</v>
      </c>
      <c r="AK320" s="197">
        <f t="shared" si="126"/>
        <v>0</v>
      </c>
      <c r="AL320" s="197">
        <f t="shared" si="126"/>
        <v>0</v>
      </c>
      <c r="AM320" s="197">
        <f t="shared" si="126"/>
        <v>0</v>
      </c>
      <c r="AN320" s="197">
        <f t="shared" si="126"/>
        <v>0</v>
      </c>
      <c r="AO320" s="197">
        <f t="shared" si="126"/>
        <v>0</v>
      </c>
      <c r="AP320" s="197">
        <f t="shared" si="126"/>
        <v>0</v>
      </c>
      <c r="AQ320" s="197">
        <f t="shared" si="126"/>
        <v>0</v>
      </c>
      <c r="AR320" s="197">
        <f t="shared" si="126"/>
        <v>0</v>
      </c>
      <c r="AS320" s="197">
        <f t="shared" ref="AS320" si="127">AR320+AS318</f>
        <v>0</v>
      </c>
      <c r="AT320" s="197">
        <f t="shared" ref="AT320" si="128">AS320+AT318</f>
        <v>0</v>
      </c>
      <c r="AU320" s="197">
        <f t="shared" ref="AU320" si="129">AT320+AU318</f>
        <v>0</v>
      </c>
      <c r="AV320" s="197">
        <f t="shared" ref="AV320" si="130">AU320+AV318</f>
        <v>0</v>
      </c>
      <c r="AW320" s="197">
        <f t="shared" ref="AW320" si="131">AV320+AW318</f>
        <v>0</v>
      </c>
      <c r="AX320" s="197">
        <f t="shared" ref="AX320" si="132">AW320+AX318</f>
        <v>0</v>
      </c>
      <c r="AY320" s="197">
        <f t="shared" ref="AY320" si="133">AX320+AY318</f>
        <v>0</v>
      </c>
      <c r="AZ320" s="197">
        <f t="shared" ref="AZ320" si="134">AY320+AZ318</f>
        <v>0</v>
      </c>
      <c r="BA320" s="197">
        <f t="shared" ref="BA320" si="135">AZ320+BA318</f>
        <v>0</v>
      </c>
      <c r="BB320" s="197">
        <f t="shared" ref="BB320" si="136">BA320+BB318</f>
        <v>0</v>
      </c>
      <c r="BC320" s="197">
        <f t="shared" ref="BC320" si="137">BB320+BC318</f>
        <v>0</v>
      </c>
      <c r="BD320" s="197">
        <f t="shared" ref="BD320" si="138">BC320+BD318</f>
        <v>0</v>
      </c>
      <c r="BE320" s="197">
        <f t="shared" ref="BE320" si="139">BD320+BE318</f>
        <v>0</v>
      </c>
      <c r="BF320" s="197">
        <f t="shared" ref="BF320" si="140">BE320+BF318</f>
        <v>0</v>
      </c>
      <c r="BG320" s="197">
        <f t="shared" ref="BG320" si="141">BF320+BG318</f>
        <v>0</v>
      </c>
      <c r="BH320" s="197">
        <f t="shared" ref="BH320" si="142">BG320+BH318</f>
        <v>0</v>
      </c>
      <c r="BI320" s="197">
        <f t="shared" ref="BI320" si="143">BH320+BI318</f>
        <v>0</v>
      </c>
      <c r="BJ320" s="197">
        <f t="shared" ref="BJ320" si="144">BI320+BJ318</f>
        <v>0</v>
      </c>
      <c r="BK320" s="197">
        <f t="shared" ref="BK320" si="145">BJ320+BK318</f>
        <v>0</v>
      </c>
      <c r="BL320" s="197">
        <f t="shared" ref="BL320" si="146">BK320+BL318</f>
        <v>0</v>
      </c>
      <c r="BM320" s="197">
        <f t="shared" ref="BM320" si="147">BL320+BM318</f>
        <v>0</v>
      </c>
      <c r="BN320" s="197">
        <f t="shared" ref="BN320" si="148">BM320+BN318</f>
        <v>0</v>
      </c>
      <c r="BO320" s="197">
        <f t="shared" ref="BO320" si="149">BN320+BO318</f>
        <v>0</v>
      </c>
      <c r="BP320" s="197">
        <f t="shared" ref="BP320" si="150">BO320+BP318</f>
        <v>0</v>
      </c>
      <c r="BQ320" s="197">
        <f t="shared" ref="BQ320" si="151">BP320+BQ318</f>
        <v>0</v>
      </c>
      <c r="BR320" s="197">
        <f t="shared" ref="BR320" si="152">BQ320+BR318</f>
        <v>0</v>
      </c>
      <c r="BS320" s="197">
        <f t="shared" ref="BS320" si="153">BR320+BS318</f>
        <v>0</v>
      </c>
      <c r="BT320" s="197">
        <f t="shared" ref="BT320" si="154">BS320+BT318</f>
        <v>0</v>
      </c>
      <c r="BU320" s="197">
        <f t="shared" ref="BU320" si="155">BT320+BU318</f>
        <v>0</v>
      </c>
      <c r="BV320" s="197">
        <f t="shared" ref="BV320" si="156">BU320+BV318</f>
        <v>0</v>
      </c>
      <c r="BW320" s="197">
        <f t="shared" ref="BW320" si="157">BV320+BW318</f>
        <v>0</v>
      </c>
      <c r="BX320" s="197">
        <f t="shared" ref="BX320" si="158">BW320+BX318</f>
        <v>0</v>
      </c>
      <c r="BY320" s="197">
        <f t="shared" ref="BY320" si="159">BX320+BY318</f>
        <v>0</v>
      </c>
      <c r="BZ320" s="197">
        <f t="shared" ref="BZ320" si="160">BY320+BZ318</f>
        <v>0</v>
      </c>
      <c r="CA320" s="197">
        <f t="shared" ref="CA320" si="161">BZ320+CA318</f>
        <v>0</v>
      </c>
      <c r="CB320" s="197">
        <f t="shared" ref="CB320" si="162">CA320+CB318</f>
        <v>0</v>
      </c>
      <c r="CC320" s="197">
        <f t="shared" ref="CC320" si="163">CB320+CC318</f>
        <v>0</v>
      </c>
      <c r="CE320"/>
    </row>
    <row r="321" spans="2:87" ht="5.0999999999999996" customHeight="1" x14ac:dyDescent="0.2">
      <c r="J321" s="24"/>
      <c r="K321" s="24"/>
      <c r="L321" s="24"/>
      <c r="M321" s="24"/>
      <c r="N321" s="24"/>
      <c r="O321" s="24"/>
      <c r="P321" s="24"/>
      <c r="Q321" s="24"/>
      <c r="R321" s="24"/>
      <c r="S321" s="24"/>
      <c r="T321" s="24"/>
      <c r="U321" s="24"/>
      <c r="V321" s="24"/>
      <c r="W321" s="24"/>
      <c r="X321" s="24"/>
      <c r="Y321" s="24"/>
      <c r="Z321" s="24"/>
      <c r="AA321" s="24"/>
      <c r="AB321" s="24"/>
      <c r="AC321" s="24"/>
      <c r="AD321" s="24"/>
      <c r="AE321" s="24"/>
      <c r="AF321" s="24"/>
      <c r="AG321" s="24"/>
      <c r="AH321" s="24"/>
      <c r="AI321" s="24"/>
      <c r="AJ321" s="24"/>
      <c r="AK321" s="24"/>
      <c r="AL321" s="24"/>
      <c r="AM321" s="24"/>
      <c r="AN321" s="24"/>
      <c r="AO321" s="24"/>
      <c r="AP321" s="24"/>
      <c r="AQ321" s="24"/>
      <c r="AR321" s="24"/>
      <c r="AS321" s="24"/>
      <c r="AT321" s="24"/>
      <c r="AU321" s="24"/>
      <c r="AV321" s="24"/>
      <c r="AW321" s="24"/>
      <c r="AX321" s="24"/>
      <c r="AY321" s="24"/>
      <c r="AZ321" s="24"/>
      <c r="BA321" s="24"/>
      <c r="BB321" s="24"/>
      <c r="BC321" s="24"/>
      <c r="BD321" s="24"/>
      <c r="BE321" s="24"/>
      <c r="BF321" s="24"/>
      <c r="BG321" s="24"/>
      <c r="BH321" s="24"/>
      <c r="BI321" s="24"/>
      <c r="BJ321" s="24"/>
      <c r="BK321" s="24"/>
      <c r="BL321" s="24"/>
      <c r="BM321" s="24"/>
      <c r="BN321" s="24"/>
      <c r="BO321" s="24"/>
      <c r="BP321" s="24"/>
      <c r="BQ321" s="24"/>
      <c r="BR321" s="24"/>
      <c r="BS321" s="24"/>
      <c r="BT321" s="24"/>
      <c r="BU321" s="24"/>
      <c r="BV321" s="24"/>
      <c r="BW321" s="24"/>
      <c r="BX321" s="24"/>
      <c r="BY321" s="24"/>
      <c r="BZ321" s="24"/>
      <c r="CA321" s="24"/>
      <c r="CB321" s="24"/>
      <c r="CC321" s="24"/>
    </row>
    <row r="322" spans="2:87" s="32" customFormat="1" x14ac:dyDescent="0.2">
      <c r="B322" s="83" t="s">
        <v>114</v>
      </c>
      <c r="D322" s="83"/>
      <c r="F322"/>
      <c r="G322"/>
      <c r="H322"/>
      <c r="I322"/>
      <c r="J322" s="164" t="e">
        <f>IF(($F$318+$F$338)=0,0,+J318/($F$318+$F$338))</f>
        <v>#N/A</v>
      </c>
      <c r="K322" s="164" t="e">
        <f>IF(($F$318+$F$338)=0,0,+K318/($F$318+$F$338))</f>
        <v>#N/A</v>
      </c>
      <c r="L322" s="164" t="e">
        <f t="shared" ref="L322:BW322" si="164">IF(($F$318+$F$338)=0,0,+L318/($F$318+$F$338))</f>
        <v>#N/A</v>
      </c>
      <c r="M322" s="164" t="e">
        <f t="shared" si="164"/>
        <v>#N/A</v>
      </c>
      <c r="N322" s="164" t="e">
        <f t="shared" si="164"/>
        <v>#N/A</v>
      </c>
      <c r="O322" s="164" t="e">
        <f t="shared" si="164"/>
        <v>#N/A</v>
      </c>
      <c r="P322" s="164" t="e">
        <f t="shared" si="164"/>
        <v>#N/A</v>
      </c>
      <c r="Q322" s="164" t="e">
        <f t="shared" si="164"/>
        <v>#N/A</v>
      </c>
      <c r="R322" s="164" t="e">
        <f t="shared" si="164"/>
        <v>#N/A</v>
      </c>
      <c r="S322" s="164" t="e">
        <f t="shared" si="164"/>
        <v>#N/A</v>
      </c>
      <c r="T322" s="164" t="e">
        <f t="shared" si="164"/>
        <v>#N/A</v>
      </c>
      <c r="U322" s="164" t="e">
        <f t="shared" si="164"/>
        <v>#N/A</v>
      </c>
      <c r="V322" s="164" t="e">
        <f t="shared" si="164"/>
        <v>#N/A</v>
      </c>
      <c r="W322" s="164" t="e">
        <f t="shared" si="164"/>
        <v>#N/A</v>
      </c>
      <c r="X322" s="164" t="e">
        <f t="shared" si="164"/>
        <v>#N/A</v>
      </c>
      <c r="Y322" s="164" t="e">
        <f t="shared" si="164"/>
        <v>#N/A</v>
      </c>
      <c r="Z322" s="164" t="e">
        <f t="shared" si="164"/>
        <v>#N/A</v>
      </c>
      <c r="AA322" s="164" t="e">
        <f t="shared" si="164"/>
        <v>#N/A</v>
      </c>
      <c r="AB322" s="164" t="e">
        <f t="shared" si="164"/>
        <v>#N/A</v>
      </c>
      <c r="AC322" s="164" t="e">
        <f t="shared" si="164"/>
        <v>#N/A</v>
      </c>
      <c r="AD322" s="164" t="e">
        <f t="shared" si="164"/>
        <v>#N/A</v>
      </c>
      <c r="AE322" s="164" t="e">
        <f t="shared" si="164"/>
        <v>#N/A</v>
      </c>
      <c r="AF322" s="164" t="e">
        <f t="shared" si="164"/>
        <v>#N/A</v>
      </c>
      <c r="AG322" s="164" t="e">
        <f t="shared" si="164"/>
        <v>#N/A</v>
      </c>
      <c r="AH322" s="164" t="e">
        <f t="shared" si="164"/>
        <v>#N/A</v>
      </c>
      <c r="AI322" s="164" t="e">
        <f t="shared" si="164"/>
        <v>#N/A</v>
      </c>
      <c r="AJ322" s="164" t="e">
        <f t="shared" si="164"/>
        <v>#N/A</v>
      </c>
      <c r="AK322" s="164" t="e">
        <f t="shared" si="164"/>
        <v>#N/A</v>
      </c>
      <c r="AL322" s="164" t="e">
        <f t="shared" si="164"/>
        <v>#N/A</v>
      </c>
      <c r="AM322" s="164" t="e">
        <f t="shared" si="164"/>
        <v>#N/A</v>
      </c>
      <c r="AN322" s="164" t="e">
        <f t="shared" si="164"/>
        <v>#N/A</v>
      </c>
      <c r="AO322" s="164" t="e">
        <f t="shared" si="164"/>
        <v>#N/A</v>
      </c>
      <c r="AP322" s="164" t="e">
        <f t="shared" si="164"/>
        <v>#N/A</v>
      </c>
      <c r="AQ322" s="164" t="e">
        <f t="shared" si="164"/>
        <v>#N/A</v>
      </c>
      <c r="AR322" s="164" t="e">
        <f t="shared" si="164"/>
        <v>#N/A</v>
      </c>
      <c r="AS322" s="164" t="e">
        <f t="shared" si="164"/>
        <v>#N/A</v>
      </c>
      <c r="AT322" s="164" t="e">
        <f t="shared" si="164"/>
        <v>#N/A</v>
      </c>
      <c r="AU322" s="164" t="e">
        <f t="shared" si="164"/>
        <v>#N/A</v>
      </c>
      <c r="AV322" s="164" t="e">
        <f t="shared" si="164"/>
        <v>#N/A</v>
      </c>
      <c r="AW322" s="164" t="e">
        <f t="shared" si="164"/>
        <v>#N/A</v>
      </c>
      <c r="AX322" s="164" t="e">
        <f t="shared" si="164"/>
        <v>#N/A</v>
      </c>
      <c r="AY322" s="164" t="e">
        <f t="shared" si="164"/>
        <v>#N/A</v>
      </c>
      <c r="AZ322" s="164" t="e">
        <f t="shared" si="164"/>
        <v>#N/A</v>
      </c>
      <c r="BA322" s="164" t="e">
        <f t="shared" si="164"/>
        <v>#N/A</v>
      </c>
      <c r="BB322" s="164" t="e">
        <f t="shared" si="164"/>
        <v>#N/A</v>
      </c>
      <c r="BC322" s="164" t="e">
        <f t="shared" si="164"/>
        <v>#N/A</v>
      </c>
      <c r="BD322" s="164" t="e">
        <f t="shared" si="164"/>
        <v>#N/A</v>
      </c>
      <c r="BE322" s="164" t="e">
        <f t="shared" si="164"/>
        <v>#N/A</v>
      </c>
      <c r="BF322" s="164" t="e">
        <f t="shared" si="164"/>
        <v>#N/A</v>
      </c>
      <c r="BG322" s="164" t="e">
        <f t="shared" si="164"/>
        <v>#N/A</v>
      </c>
      <c r="BH322" s="164" t="e">
        <f t="shared" si="164"/>
        <v>#N/A</v>
      </c>
      <c r="BI322" s="164" t="e">
        <f t="shared" si="164"/>
        <v>#N/A</v>
      </c>
      <c r="BJ322" s="164" t="e">
        <f t="shared" si="164"/>
        <v>#N/A</v>
      </c>
      <c r="BK322" s="164" t="e">
        <f t="shared" si="164"/>
        <v>#N/A</v>
      </c>
      <c r="BL322" s="164" t="e">
        <f t="shared" si="164"/>
        <v>#N/A</v>
      </c>
      <c r="BM322" s="164" t="e">
        <f t="shared" si="164"/>
        <v>#N/A</v>
      </c>
      <c r="BN322" s="164" t="e">
        <f t="shared" si="164"/>
        <v>#N/A</v>
      </c>
      <c r="BO322" s="164" t="e">
        <f t="shared" si="164"/>
        <v>#N/A</v>
      </c>
      <c r="BP322" s="164" t="e">
        <f t="shared" si="164"/>
        <v>#N/A</v>
      </c>
      <c r="BQ322" s="164" t="e">
        <f t="shared" si="164"/>
        <v>#N/A</v>
      </c>
      <c r="BR322" s="164" t="e">
        <f t="shared" si="164"/>
        <v>#N/A</v>
      </c>
      <c r="BS322" s="164" t="e">
        <f t="shared" si="164"/>
        <v>#N/A</v>
      </c>
      <c r="BT322" s="164" t="e">
        <f t="shared" si="164"/>
        <v>#N/A</v>
      </c>
      <c r="BU322" s="164" t="e">
        <f t="shared" si="164"/>
        <v>#N/A</v>
      </c>
      <c r="BV322" s="164" t="e">
        <f t="shared" si="164"/>
        <v>#N/A</v>
      </c>
      <c r="BW322" s="164" t="e">
        <f t="shared" si="164"/>
        <v>#N/A</v>
      </c>
      <c r="BX322" s="164" t="e">
        <f t="shared" ref="BX322:CC322" si="165">IF(($F$318+$F$338)=0,0,+BX318/($F$318+$F$338))</f>
        <v>#N/A</v>
      </c>
      <c r="BY322" s="164" t="e">
        <f t="shared" si="165"/>
        <v>#N/A</v>
      </c>
      <c r="BZ322" s="164" t="e">
        <f t="shared" si="165"/>
        <v>#N/A</v>
      </c>
      <c r="CA322" s="164" t="e">
        <f t="shared" si="165"/>
        <v>#N/A</v>
      </c>
      <c r="CB322" s="164" t="e">
        <f t="shared" si="165"/>
        <v>#N/A</v>
      </c>
      <c r="CC322" s="164" t="e">
        <f t="shared" si="165"/>
        <v>#N/A</v>
      </c>
      <c r="CE322"/>
    </row>
    <row r="323" spans="2:87" ht="5.0999999999999996" customHeight="1" x14ac:dyDescent="0.2">
      <c r="J323" s="163"/>
      <c r="K323" s="163"/>
      <c r="L323" s="163"/>
      <c r="M323" s="163"/>
      <c r="N323" s="163"/>
      <c r="O323" s="163"/>
      <c r="P323" s="163"/>
      <c r="Q323" s="163"/>
      <c r="R323" s="163"/>
      <c r="S323" s="163"/>
      <c r="T323" s="163"/>
      <c r="U323" s="163"/>
      <c r="V323" s="163"/>
      <c r="W323" s="163"/>
      <c r="X323" s="163"/>
      <c r="Y323" s="163"/>
      <c r="Z323" s="163"/>
      <c r="AA323" s="163"/>
      <c r="AB323" s="163"/>
      <c r="AC323" s="163"/>
      <c r="AD323" s="163"/>
      <c r="AE323" s="163"/>
      <c r="AF323" s="163"/>
      <c r="AG323" s="213"/>
      <c r="AH323" s="163"/>
      <c r="AI323" s="163"/>
      <c r="AJ323" s="163"/>
      <c r="AK323" s="163"/>
      <c r="AL323" s="163"/>
      <c r="AM323" s="163"/>
      <c r="AN323" s="163"/>
      <c r="AO323" s="163"/>
      <c r="AP323" s="163"/>
      <c r="AQ323" s="163"/>
      <c r="AR323" s="163"/>
      <c r="AS323" s="163"/>
      <c r="AT323" s="163"/>
      <c r="AU323" s="163"/>
      <c r="AV323" s="163"/>
      <c r="AW323" s="163"/>
      <c r="AX323" s="163"/>
      <c r="AY323" s="163"/>
      <c r="AZ323" s="163"/>
      <c r="BA323" s="163"/>
      <c r="BB323" s="163"/>
      <c r="BC323" s="163"/>
      <c r="BD323" s="163"/>
      <c r="BE323" s="163"/>
      <c r="BF323" s="163"/>
      <c r="BG323" s="163"/>
      <c r="BH323" s="163"/>
      <c r="BI323" s="163"/>
      <c r="BJ323" s="163"/>
      <c r="BK323" s="163"/>
      <c r="BL323" s="163"/>
      <c r="BM323" s="163"/>
      <c r="BN323" s="163"/>
      <c r="BO323" s="163"/>
      <c r="BP323" s="163"/>
      <c r="BQ323" s="163"/>
      <c r="BR323" s="163"/>
      <c r="BS323" s="163"/>
      <c r="BT323" s="163"/>
      <c r="BU323" s="163"/>
      <c r="BV323" s="163"/>
      <c r="BW323" s="163"/>
      <c r="BX323" s="163"/>
      <c r="BY323" s="163"/>
      <c r="BZ323" s="163"/>
      <c r="CA323" s="163"/>
      <c r="CB323" s="163"/>
      <c r="CC323" s="163"/>
    </row>
    <row r="324" spans="2:87" s="32" customFormat="1" x14ac:dyDescent="0.2">
      <c r="B324" s="573" t="s">
        <v>190</v>
      </c>
      <c r="C324" s="574"/>
      <c r="D324" s="575"/>
      <c r="F324"/>
      <c r="G324"/>
      <c r="H324"/>
      <c r="I324"/>
      <c r="J324" s="164" t="e">
        <f>+J322</f>
        <v>#N/A</v>
      </c>
      <c r="K324" s="164" t="e">
        <f>J324+K322</f>
        <v>#N/A</v>
      </c>
      <c r="L324" s="164" t="e">
        <f>K324+L322</f>
        <v>#N/A</v>
      </c>
      <c r="M324" s="164" t="e">
        <f t="shared" ref="M324:AR324" si="166">L324+M322</f>
        <v>#N/A</v>
      </c>
      <c r="N324" s="164" t="e">
        <f t="shared" si="166"/>
        <v>#N/A</v>
      </c>
      <c r="O324" s="164" t="e">
        <f t="shared" si="166"/>
        <v>#N/A</v>
      </c>
      <c r="P324" s="164" t="e">
        <f t="shared" si="166"/>
        <v>#N/A</v>
      </c>
      <c r="Q324" s="164" t="e">
        <f t="shared" si="166"/>
        <v>#N/A</v>
      </c>
      <c r="R324" s="164" t="e">
        <f t="shared" si="166"/>
        <v>#N/A</v>
      </c>
      <c r="S324" s="164" t="e">
        <f t="shared" si="166"/>
        <v>#N/A</v>
      </c>
      <c r="T324" s="164" t="e">
        <f t="shared" si="166"/>
        <v>#N/A</v>
      </c>
      <c r="U324" s="164" t="e">
        <f t="shared" si="166"/>
        <v>#N/A</v>
      </c>
      <c r="V324" s="164" t="e">
        <f t="shared" si="166"/>
        <v>#N/A</v>
      </c>
      <c r="W324" s="164" t="e">
        <f t="shared" si="166"/>
        <v>#N/A</v>
      </c>
      <c r="X324" s="164" t="e">
        <f t="shared" si="166"/>
        <v>#N/A</v>
      </c>
      <c r="Y324" s="164" t="e">
        <f t="shared" si="166"/>
        <v>#N/A</v>
      </c>
      <c r="Z324" s="164" t="e">
        <f t="shared" si="166"/>
        <v>#N/A</v>
      </c>
      <c r="AA324" s="164" t="e">
        <f t="shared" si="166"/>
        <v>#N/A</v>
      </c>
      <c r="AB324" s="164" t="e">
        <f t="shared" si="166"/>
        <v>#N/A</v>
      </c>
      <c r="AC324" s="164" t="e">
        <f t="shared" si="166"/>
        <v>#N/A</v>
      </c>
      <c r="AD324" s="164" t="e">
        <f t="shared" si="166"/>
        <v>#N/A</v>
      </c>
      <c r="AE324" s="164" t="e">
        <f t="shared" si="166"/>
        <v>#N/A</v>
      </c>
      <c r="AF324" s="164" t="e">
        <f t="shared" si="166"/>
        <v>#N/A</v>
      </c>
      <c r="AG324" s="214" t="e">
        <f t="shared" si="166"/>
        <v>#N/A</v>
      </c>
      <c r="AH324" s="164" t="e">
        <f t="shared" si="166"/>
        <v>#N/A</v>
      </c>
      <c r="AI324" s="164" t="e">
        <f t="shared" si="166"/>
        <v>#N/A</v>
      </c>
      <c r="AJ324" s="164" t="e">
        <f t="shared" si="166"/>
        <v>#N/A</v>
      </c>
      <c r="AK324" s="164" t="e">
        <f t="shared" si="166"/>
        <v>#N/A</v>
      </c>
      <c r="AL324" s="164" t="e">
        <f t="shared" si="166"/>
        <v>#N/A</v>
      </c>
      <c r="AM324" s="164" t="e">
        <f t="shared" si="166"/>
        <v>#N/A</v>
      </c>
      <c r="AN324" s="164" t="e">
        <f t="shared" si="166"/>
        <v>#N/A</v>
      </c>
      <c r="AO324" s="164" t="e">
        <f t="shared" si="166"/>
        <v>#N/A</v>
      </c>
      <c r="AP324" s="164" t="e">
        <f t="shared" si="166"/>
        <v>#N/A</v>
      </c>
      <c r="AQ324" s="164" t="e">
        <f t="shared" si="166"/>
        <v>#N/A</v>
      </c>
      <c r="AR324" s="164" t="e">
        <f t="shared" si="166"/>
        <v>#N/A</v>
      </c>
      <c r="AS324" s="164" t="e">
        <f t="shared" ref="AS324" si="167">AR324+AS322</f>
        <v>#N/A</v>
      </c>
      <c r="AT324" s="164" t="e">
        <f t="shared" ref="AT324" si="168">AS324+AT322</f>
        <v>#N/A</v>
      </c>
      <c r="AU324" s="164" t="e">
        <f t="shared" ref="AU324" si="169">AT324+AU322</f>
        <v>#N/A</v>
      </c>
      <c r="AV324" s="164" t="e">
        <f t="shared" ref="AV324" si="170">AU324+AV322</f>
        <v>#N/A</v>
      </c>
      <c r="AW324" s="164" t="e">
        <f t="shared" ref="AW324" si="171">AV324+AW322</f>
        <v>#N/A</v>
      </c>
      <c r="AX324" s="164" t="e">
        <f t="shared" ref="AX324" si="172">AW324+AX322</f>
        <v>#N/A</v>
      </c>
      <c r="AY324" s="164" t="e">
        <f t="shared" ref="AY324" si="173">AX324+AY322</f>
        <v>#N/A</v>
      </c>
      <c r="AZ324" s="164" t="e">
        <f t="shared" ref="AZ324" si="174">AY324+AZ322</f>
        <v>#N/A</v>
      </c>
      <c r="BA324" s="164" t="e">
        <f t="shared" ref="BA324" si="175">AZ324+BA322</f>
        <v>#N/A</v>
      </c>
      <c r="BB324" s="164" t="e">
        <f t="shared" ref="BB324" si="176">BA324+BB322</f>
        <v>#N/A</v>
      </c>
      <c r="BC324" s="164" t="e">
        <f t="shared" ref="BC324" si="177">BB324+BC322</f>
        <v>#N/A</v>
      </c>
      <c r="BD324" s="164" t="e">
        <f t="shared" ref="BD324" si="178">BC324+BD322</f>
        <v>#N/A</v>
      </c>
      <c r="BE324" s="164" t="e">
        <f t="shared" ref="BE324" si="179">BD324+BE322</f>
        <v>#N/A</v>
      </c>
      <c r="BF324" s="164" t="e">
        <f t="shared" ref="BF324" si="180">BE324+BF322</f>
        <v>#N/A</v>
      </c>
      <c r="BG324" s="164" t="e">
        <f t="shared" ref="BG324" si="181">BF324+BG322</f>
        <v>#N/A</v>
      </c>
      <c r="BH324" s="164" t="e">
        <f t="shared" ref="BH324" si="182">BG324+BH322</f>
        <v>#N/A</v>
      </c>
      <c r="BI324" s="164" t="e">
        <f t="shared" ref="BI324" si="183">BH324+BI322</f>
        <v>#N/A</v>
      </c>
      <c r="BJ324" s="164" t="e">
        <f t="shared" ref="BJ324" si="184">BI324+BJ322</f>
        <v>#N/A</v>
      </c>
      <c r="BK324" s="164" t="e">
        <f t="shared" ref="BK324" si="185">BJ324+BK322</f>
        <v>#N/A</v>
      </c>
      <c r="BL324" s="164" t="e">
        <f t="shared" ref="BL324" si="186">BK324+BL322</f>
        <v>#N/A</v>
      </c>
      <c r="BM324" s="164" t="e">
        <f t="shared" ref="BM324" si="187">BL324+BM322</f>
        <v>#N/A</v>
      </c>
      <c r="BN324" s="164" t="e">
        <f t="shared" ref="BN324" si="188">BM324+BN322</f>
        <v>#N/A</v>
      </c>
      <c r="BO324" s="164" t="e">
        <f t="shared" ref="BO324" si="189">BN324+BO322</f>
        <v>#N/A</v>
      </c>
      <c r="BP324" s="164" t="e">
        <f t="shared" ref="BP324" si="190">BO324+BP322</f>
        <v>#N/A</v>
      </c>
      <c r="BQ324" s="164" t="e">
        <f t="shared" ref="BQ324" si="191">BP324+BQ322</f>
        <v>#N/A</v>
      </c>
      <c r="BR324" s="164" t="e">
        <f t="shared" ref="BR324" si="192">BQ324+BR322</f>
        <v>#N/A</v>
      </c>
      <c r="BS324" s="164" t="e">
        <f t="shared" ref="BS324" si="193">BR324+BS322</f>
        <v>#N/A</v>
      </c>
      <c r="BT324" s="164" t="e">
        <f t="shared" ref="BT324" si="194">BS324+BT322</f>
        <v>#N/A</v>
      </c>
      <c r="BU324" s="164" t="e">
        <f t="shared" ref="BU324" si="195">BT324+BU322</f>
        <v>#N/A</v>
      </c>
      <c r="BV324" s="164" t="e">
        <f t="shared" ref="BV324" si="196">BU324+BV322</f>
        <v>#N/A</v>
      </c>
      <c r="BW324" s="164" t="e">
        <f t="shared" ref="BW324" si="197">BV324+BW322</f>
        <v>#N/A</v>
      </c>
      <c r="BX324" s="164" t="e">
        <f t="shared" ref="BX324" si="198">BW324+BX322</f>
        <v>#N/A</v>
      </c>
      <c r="BY324" s="164" t="e">
        <f t="shared" ref="BY324" si="199">BX324+BY322</f>
        <v>#N/A</v>
      </c>
      <c r="BZ324" s="164" t="e">
        <f t="shared" ref="BZ324" si="200">BY324+BZ322</f>
        <v>#N/A</v>
      </c>
      <c r="CA324" s="164" t="e">
        <f t="shared" ref="CA324" si="201">BZ324+CA322</f>
        <v>#N/A</v>
      </c>
      <c r="CB324" s="164" t="e">
        <f t="shared" ref="CB324" si="202">CA324+CB322</f>
        <v>#N/A</v>
      </c>
      <c r="CC324" s="164" t="e">
        <f t="shared" ref="CC324" si="203">CB324+CC322</f>
        <v>#N/A</v>
      </c>
    </row>
    <row r="325" spans="2:87" ht="5.0999999999999996" customHeight="1" x14ac:dyDescent="0.2"/>
    <row r="326" spans="2:87" x14ac:dyDescent="0.2">
      <c r="B326" s="75" t="s">
        <v>300</v>
      </c>
      <c r="C326" s="67"/>
      <c r="D326" s="67"/>
      <c r="E326" s="67"/>
      <c r="F326" s="67"/>
      <c r="G326" s="67"/>
      <c r="H326" s="67"/>
      <c r="I326" s="67"/>
      <c r="J326" s="67"/>
      <c r="K326" s="67"/>
      <c r="L326" s="67"/>
      <c r="M326" s="67"/>
      <c r="N326" s="67"/>
      <c r="O326" s="67"/>
      <c r="P326" s="67"/>
      <c r="Q326" s="121"/>
      <c r="R326" s="67"/>
      <c r="S326" s="67"/>
      <c r="T326" s="67"/>
      <c r="U326" s="67"/>
      <c r="V326" s="67"/>
      <c r="W326" s="67"/>
      <c r="X326" s="67"/>
      <c r="Y326" s="67"/>
      <c r="Z326" s="67"/>
      <c r="AA326" s="67"/>
      <c r="AB326" s="67"/>
      <c r="AC326" s="67"/>
      <c r="AD326" s="67"/>
      <c r="AE326" s="67"/>
      <c r="AF326" s="67"/>
      <c r="AG326" s="67"/>
      <c r="AH326" s="67"/>
      <c r="AI326" s="67"/>
      <c r="AJ326" s="67"/>
      <c r="AK326" s="67"/>
      <c r="AL326" s="67"/>
      <c r="AM326" s="67"/>
      <c r="AN326" s="67"/>
      <c r="AO326" s="67"/>
      <c r="AP326" s="67"/>
      <c r="AQ326" s="67"/>
      <c r="AR326" s="67"/>
      <c r="AS326" s="67"/>
      <c r="AT326" s="67"/>
      <c r="AU326" s="67"/>
      <c r="AV326" s="67"/>
      <c r="AW326" s="67"/>
      <c r="AX326" s="67"/>
      <c r="AY326" s="67"/>
      <c r="AZ326" s="67"/>
      <c r="BA326" s="67"/>
      <c r="BB326" s="67"/>
      <c r="BC326" s="67"/>
      <c r="BD326" s="67"/>
      <c r="BE326" s="67"/>
      <c r="BF326" s="67"/>
      <c r="BG326" s="67"/>
      <c r="BH326" s="67"/>
      <c r="BI326" s="67"/>
      <c r="BJ326" s="67"/>
      <c r="BK326" s="67"/>
      <c r="BL326" s="67"/>
      <c r="BM326" s="67"/>
      <c r="BN326" s="67"/>
      <c r="BO326" s="67"/>
      <c r="BP326" s="67"/>
      <c r="BQ326" s="67"/>
      <c r="BR326" s="67"/>
      <c r="BS326" s="67"/>
      <c r="BT326" s="67"/>
      <c r="BU326" s="67"/>
      <c r="BV326" s="67"/>
      <c r="BW326" s="67"/>
      <c r="BX326" s="67"/>
      <c r="BY326" s="67"/>
      <c r="BZ326" s="67"/>
      <c r="CA326" s="67"/>
      <c r="CB326" s="67"/>
      <c r="CC326" s="67"/>
    </row>
    <row r="327" spans="2:87" ht="5.0999999999999996" customHeight="1" x14ac:dyDescent="0.2"/>
    <row r="328" spans="2:87" s="32" customFormat="1" ht="34.5" x14ac:dyDescent="0.2">
      <c r="B328" s="90" t="s">
        <v>106</v>
      </c>
      <c r="C328" s="91"/>
      <c r="D328" s="92" t="s">
        <v>187</v>
      </c>
      <c r="E328" s="91"/>
      <c r="F328" s="92" t="s">
        <v>193</v>
      </c>
      <c r="J328" s="190" t="e">
        <f>+J310</f>
        <v>#N/A</v>
      </c>
      <c r="K328" s="190" t="e">
        <f t="shared" ref="K328:BV328" si="204">+K310</f>
        <v>#N/A</v>
      </c>
      <c r="L328" s="190" t="e">
        <f t="shared" si="204"/>
        <v>#N/A</v>
      </c>
      <c r="M328" s="190" t="e">
        <f t="shared" si="204"/>
        <v>#N/A</v>
      </c>
      <c r="N328" s="190" t="e">
        <f t="shared" si="204"/>
        <v>#N/A</v>
      </c>
      <c r="O328" s="190" t="e">
        <f t="shared" si="204"/>
        <v>#N/A</v>
      </c>
      <c r="P328" s="190" t="e">
        <f t="shared" si="204"/>
        <v>#N/A</v>
      </c>
      <c r="Q328" s="190" t="e">
        <f t="shared" si="204"/>
        <v>#N/A</v>
      </c>
      <c r="R328" s="190" t="e">
        <f t="shared" si="204"/>
        <v>#N/A</v>
      </c>
      <c r="S328" s="190" t="e">
        <f t="shared" si="204"/>
        <v>#N/A</v>
      </c>
      <c r="T328" s="190" t="e">
        <f t="shared" si="204"/>
        <v>#N/A</v>
      </c>
      <c r="U328" s="190" t="e">
        <f t="shared" si="204"/>
        <v>#N/A</v>
      </c>
      <c r="V328" s="190" t="e">
        <f t="shared" si="204"/>
        <v>#N/A</v>
      </c>
      <c r="W328" s="190" t="e">
        <f t="shared" si="204"/>
        <v>#N/A</v>
      </c>
      <c r="X328" s="190" t="e">
        <f t="shared" si="204"/>
        <v>#N/A</v>
      </c>
      <c r="Y328" s="190" t="e">
        <f t="shared" si="204"/>
        <v>#N/A</v>
      </c>
      <c r="Z328" s="190" t="e">
        <f t="shared" si="204"/>
        <v>#N/A</v>
      </c>
      <c r="AA328" s="190" t="e">
        <f t="shared" si="204"/>
        <v>#N/A</v>
      </c>
      <c r="AB328" s="190" t="e">
        <f t="shared" si="204"/>
        <v>#N/A</v>
      </c>
      <c r="AC328" s="190" t="e">
        <f t="shared" si="204"/>
        <v>#N/A</v>
      </c>
      <c r="AD328" s="190" t="e">
        <f t="shared" si="204"/>
        <v>#N/A</v>
      </c>
      <c r="AE328" s="190" t="e">
        <f t="shared" si="204"/>
        <v>#N/A</v>
      </c>
      <c r="AF328" s="190" t="e">
        <f t="shared" si="204"/>
        <v>#N/A</v>
      </c>
      <c r="AG328" s="190" t="e">
        <f t="shared" si="204"/>
        <v>#N/A</v>
      </c>
      <c r="AH328" s="190" t="e">
        <f t="shared" si="204"/>
        <v>#N/A</v>
      </c>
      <c r="AI328" s="190" t="e">
        <f t="shared" si="204"/>
        <v>#N/A</v>
      </c>
      <c r="AJ328" s="190" t="e">
        <f t="shared" si="204"/>
        <v>#N/A</v>
      </c>
      <c r="AK328" s="190" t="e">
        <f t="shared" si="204"/>
        <v>#N/A</v>
      </c>
      <c r="AL328" s="190" t="e">
        <f t="shared" si="204"/>
        <v>#N/A</v>
      </c>
      <c r="AM328" s="190" t="e">
        <f t="shared" si="204"/>
        <v>#N/A</v>
      </c>
      <c r="AN328" s="190" t="e">
        <f t="shared" si="204"/>
        <v>#N/A</v>
      </c>
      <c r="AO328" s="190" t="e">
        <f t="shared" si="204"/>
        <v>#N/A</v>
      </c>
      <c r="AP328" s="190" t="e">
        <f t="shared" si="204"/>
        <v>#N/A</v>
      </c>
      <c r="AQ328" s="190" t="e">
        <f t="shared" si="204"/>
        <v>#N/A</v>
      </c>
      <c r="AR328" s="190" t="e">
        <f t="shared" si="204"/>
        <v>#N/A</v>
      </c>
      <c r="AS328" s="190" t="e">
        <f t="shared" si="204"/>
        <v>#N/A</v>
      </c>
      <c r="AT328" s="190" t="e">
        <f t="shared" si="204"/>
        <v>#N/A</v>
      </c>
      <c r="AU328" s="190" t="e">
        <f t="shared" si="204"/>
        <v>#N/A</v>
      </c>
      <c r="AV328" s="190" t="e">
        <f t="shared" si="204"/>
        <v>#N/A</v>
      </c>
      <c r="AW328" s="190" t="e">
        <f t="shared" si="204"/>
        <v>#N/A</v>
      </c>
      <c r="AX328" s="190" t="e">
        <f t="shared" si="204"/>
        <v>#N/A</v>
      </c>
      <c r="AY328" s="190" t="e">
        <f t="shared" si="204"/>
        <v>#N/A</v>
      </c>
      <c r="AZ328" s="190" t="e">
        <f t="shared" si="204"/>
        <v>#N/A</v>
      </c>
      <c r="BA328" s="190" t="e">
        <f t="shared" si="204"/>
        <v>#N/A</v>
      </c>
      <c r="BB328" s="190" t="e">
        <f t="shared" si="204"/>
        <v>#N/A</v>
      </c>
      <c r="BC328" s="190" t="e">
        <f t="shared" si="204"/>
        <v>#N/A</v>
      </c>
      <c r="BD328" s="190" t="e">
        <f t="shared" si="204"/>
        <v>#N/A</v>
      </c>
      <c r="BE328" s="190" t="e">
        <f t="shared" si="204"/>
        <v>#N/A</v>
      </c>
      <c r="BF328" s="190" t="e">
        <f t="shared" si="204"/>
        <v>#N/A</v>
      </c>
      <c r="BG328" s="190" t="e">
        <f t="shared" si="204"/>
        <v>#N/A</v>
      </c>
      <c r="BH328" s="190" t="e">
        <f t="shared" si="204"/>
        <v>#N/A</v>
      </c>
      <c r="BI328" s="190" t="e">
        <f t="shared" si="204"/>
        <v>#N/A</v>
      </c>
      <c r="BJ328" s="190" t="e">
        <f t="shared" si="204"/>
        <v>#N/A</v>
      </c>
      <c r="BK328" s="190" t="e">
        <f t="shared" si="204"/>
        <v>#N/A</v>
      </c>
      <c r="BL328" s="190" t="e">
        <f t="shared" si="204"/>
        <v>#N/A</v>
      </c>
      <c r="BM328" s="190" t="e">
        <f t="shared" si="204"/>
        <v>#N/A</v>
      </c>
      <c r="BN328" s="190" t="e">
        <f t="shared" si="204"/>
        <v>#N/A</v>
      </c>
      <c r="BO328" s="190" t="e">
        <f t="shared" si="204"/>
        <v>#N/A</v>
      </c>
      <c r="BP328" s="190" t="e">
        <f t="shared" si="204"/>
        <v>#N/A</v>
      </c>
      <c r="BQ328" s="190" t="e">
        <f t="shared" si="204"/>
        <v>#N/A</v>
      </c>
      <c r="BR328" s="190" t="e">
        <f t="shared" si="204"/>
        <v>#N/A</v>
      </c>
      <c r="BS328" s="190" t="e">
        <f t="shared" si="204"/>
        <v>#N/A</v>
      </c>
      <c r="BT328" s="190" t="e">
        <f t="shared" si="204"/>
        <v>#N/A</v>
      </c>
      <c r="BU328" s="190" t="e">
        <f t="shared" si="204"/>
        <v>#N/A</v>
      </c>
      <c r="BV328" s="190" t="e">
        <f t="shared" si="204"/>
        <v>#N/A</v>
      </c>
      <c r="BW328" s="190" t="e">
        <f t="shared" ref="BW328:CC328" si="205">+BW310</f>
        <v>#N/A</v>
      </c>
      <c r="BX328" s="190" t="e">
        <f t="shared" si="205"/>
        <v>#N/A</v>
      </c>
      <c r="BY328" s="190" t="e">
        <f t="shared" si="205"/>
        <v>#N/A</v>
      </c>
      <c r="BZ328" s="190" t="e">
        <f t="shared" si="205"/>
        <v>#N/A</v>
      </c>
      <c r="CA328" s="190" t="e">
        <f t="shared" si="205"/>
        <v>#N/A</v>
      </c>
      <c r="CB328" s="190" t="e">
        <f t="shared" si="205"/>
        <v>#N/A</v>
      </c>
      <c r="CC328" s="190" t="e">
        <f t="shared" si="205"/>
        <v>#N/A</v>
      </c>
    </row>
    <row r="329" spans="2:87" s="32" customFormat="1" ht="5.0999999999999996" customHeight="1" x14ac:dyDescent="0.2"/>
    <row r="330" spans="2:87" s="32" customFormat="1" x14ac:dyDescent="0.2">
      <c r="B330" s="83" t="str">
        <f>+$B$156</f>
        <v>Tarea 1</v>
      </c>
      <c r="D330" s="100">
        <f>IF(F330&gt;0,+F330/$F$336,0)</f>
        <v>0</v>
      </c>
      <c r="F330" s="203">
        <f>SUM(J330:CC330)</f>
        <v>0</v>
      </c>
      <c r="G330"/>
      <c r="H330"/>
      <c r="I330"/>
      <c r="J330" s="208">
        <v>0</v>
      </c>
      <c r="K330" s="208">
        <v>0</v>
      </c>
      <c r="L330" s="208">
        <v>0</v>
      </c>
      <c r="M330" s="208">
        <v>0</v>
      </c>
      <c r="N330" s="208">
        <v>0</v>
      </c>
      <c r="O330" s="208">
        <v>0</v>
      </c>
      <c r="P330" s="208">
        <v>0</v>
      </c>
      <c r="Q330" s="208">
        <v>0</v>
      </c>
      <c r="R330" s="208">
        <v>0</v>
      </c>
      <c r="S330" s="208">
        <v>0</v>
      </c>
      <c r="T330" s="208">
        <v>0</v>
      </c>
      <c r="U330" s="208">
        <v>0</v>
      </c>
      <c r="V330" s="208">
        <v>0</v>
      </c>
      <c r="W330" s="208">
        <v>0</v>
      </c>
      <c r="X330" s="208">
        <v>0</v>
      </c>
      <c r="Y330" s="208">
        <v>0</v>
      </c>
      <c r="Z330" s="208">
        <v>0</v>
      </c>
      <c r="AA330" s="208">
        <v>0</v>
      </c>
      <c r="AB330" s="208">
        <v>0</v>
      </c>
      <c r="AC330" s="208">
        <v>0</v>
      </c>
      <c r="AD330" s="208">
        <v>0</v>
      </c>
      <c r="AE330" s="208">
        <v>0</v>
      </c>
      <c r="AF330" s="208">
        <v>0</v>
      </c>
      <c r="AG330" s="208">
        <v>0</v>
      </c>
      <c r="AH330" s="208">
        <v>0</v>
      </c>
      <c r="AI330" s="208">
        <v>0</v>
      </c>
      <c r="AJ330" s="208">
        <v>0</v>
      </c>
      <c r="AK330" s="208">
        <v>0</v>
      </c>
      <c r="AL330" s="208">
        <v>0</v>
      </c>
      <c r="AM330" s="208">
        <v>0</v>
      </c>
      <c r="AN330" s="208">
        <v>0</v>
      </c>
      <c r="AO330" s="208">
        <v>0</v>
      </c>
      <c r="AP330" s="208">
        <v>0</v>
      </c>
      <c r="AQ330" s="208">
        <v>0</v>
      </c>
      <c r="AR330" s="208">
        <v>0</v>
      </c>
      <c r="AS330" s="208">
        <v>0</v>
      </c>
      <c r="AT330" s="208">
        <v>0</v>
      </c>
      <c r="AU330" s="208">
        <v>0</v>
      </c>
      <c r="AV330" s="208">
        <v>0</v>
      </c>
      <c r="AW330" s="208">
        <v>0</v>
      </c>
      <c r="AX330" s="208">
        <v>0</v>
      </c>
      <c r="AY330" s="208">
        <v>0</v>
      </c>
      <c r="AZ330" s="208">
        <v>0</v>
      </c>
      <c r="BA330" s="208">
        <v>0</v>
      </c>
      <c r="BB330" s="208">
        <v>0</v>
      </c>
      <c r="BC330" s="208">
        <v>0</v>
      </c>
      <c r="BD330" s="208">
        <v>0</v>
      </c>
      <c r="BE330" s="208">
        <v>0</v>
      </c>
      <c r="BF330" s="208">
        <v>0</v>
      </c>
      <c r="BG330" s="208">
        <v>0</v>
      </c>
      <c r="BH330" s="208">
        <v>0</v>
      </c>
      <c r="BI330" s="208">
        <v>0</v>
      </c>
      <c r="BJ330" s="208">
        <v>0</v>
      </c>
      <c r="BK330" s="208">
        <v>0</v>
      </c>
      <c r="BL330" s="208">
        <v>0</v>
      </c>
      <c r="BM330" s="208">
        <v>0</v>
      </c>
      <c r="BN330" s="208">
        <v>0</v>
      </c>
      <c r="BO330" s="208">
        <v>0</v>
      </c>
      <c r="BP330" s="208">
        <v>0</v>
      </c>
      <c r="BQ330" s="208">
        <v>0</v>
      </c>
      <c r="BR330" s="208">
        <v>0</v>
      </c>
      <c r="BS330" s="208">
        <v>0</v>
      </c>
      <c r="BT330" s="208">
        <v>0</v>
      </c>
      <c r="BU330" s="208">
        <v>0</v>
      </c>
      <c r="BV330" s="208">
        <v>0</v>
      </c>
      <c r="BW330" s="208">
        <v>0</v>
      </c>
      <c r="BX330" s="208">
        <v>0</v>
      </c>
      <c r="BY330" s="208">
        <v>0</v>
      </c>
      <c r="BZ330" s="208">
        <v>0</v>
      </c>
      <c r="CA330" s="208">
        <v>0</v>
      </c>
      <c r="CB330" s="208">
        <v>0</v>
      </c>
      <c r="CC330" s="208">
        <v>0</v>
      </c>
    </row>
    <row r="331" spans="2:87" s="32" customFormat="1" x14ac:dyDescent="0.2">
      <c r="B331" s="83" t="str">
        <f>+$B$157</f>
        <v>Tarea 2</v>
      </c>
      <c r="D331" s="100">
        <f t="shared" ref="D331:D333" si="206">IF(F331&gt;0,+F331/$F$336,0)</f>
        <v>0</v>
      </c>
      <c r="F331" s="203">
        <f t="shared" ref="F331:F333" si="207">SUM(J331:CC331)</f>
        <v>0</v>
      </c>
      <c r="G331"/>
      <c r="H331"/>
      <c r="I331"/>
      <c r="J331" s="208">
        <v>0</v>
      </c>
      <c r="K331" s="208">
        <v>0</v>
      </c>
      <c r="L331" s="208">
        <v>0</v>
      </c>
      <c r="M331" s="208">
        <v>0</v>
      </c>
      <c r="N331" s="208">
        <v>0</v>
      </c>
      <c r="O331" s="208">
        <v>0</v>
      </c>
      <c r="P331" s="208">
        <v>0</v>
      </c>
      <c r="Q331" s="208">
        <v>0</v>
      </c>
      <c r="R331" s="208">
        <v>0</v>
      </c>
      <c r="S331" s="208">
        <v>0</v>
      </c>
      <c r="T331" s="208">
        <v>0</v>
      </c>
      <c r="U331" s="208">
        <v>0</v>
      </c>
      <c r="V331" s="208">
        <v>0</v>
      </c>
      <c r="W331" s="208">
        <v>0</v>
      </c>
      <c r="X331" s="208">
        <v>0</v>
      </c>
      <c r="Y331" s="208">
        <v>0</v>
      </c>
      <c r="Z331" s="208">
        <v>0</v>
      </c>
      <c r="AA331" s="208">
        <v>0</v>
      </c>
      <c r="AB331" s="208">
        <v>0</v>
      </c>
      <c r="AC331" s="208">
        <v>0</v>
      </c>
      <c r="AD331" s="208">
        <v>0</v>
      </c>
      <c r="AE331" s="208">
        <v>0</v>
      </c>
      <c r="AF331" s="208">
        <v>0</v>
      </c>
      <c r="AG331" s="208">
        <v>0</v>
      </c>
      <c r="AH331" s="208">
        <v>0</v>
      </c>
      <c r="AI331" s="208">
        <v>0</v>
      </c>
      <c r="AJ331" s="208">
        <v>0</v>
      </c>
      <c r="AK331" s="208">
        <v>0</v>
      </c>
      <c r="AL331" s="208">
        <v>0</v>
      </c>
      <c r="AM331" s="208">
        <v>0</v>
      </c>
      <c r="AN331" s="208">
        <v>0</v>
      </c>
      <c r="AO331" s="208">
        <v>0</v>
      </c>
      <c r="AP331" s="208">
        <v>0</v>
      </c>
      <c r="AQ331" s="208">
        <v>0</v>
      </c>
      <c r="AR331" s="208">
        <v>0</v>
      </c>
      <c r="AS331" s="208">
        <v>0</v>
      </c>
      <c r="AT331" s="208">
        <v>0</v>
      </c>
      <c r="AU331" s="208">
        <v>0</v>
      </c>
      <c r="AV331" s="208">
        <v>0</v>
      </c>
      <c r="AW331" s="208">
        <v>0</v>
      </c>
      <c r="AX331" s="208">
        <v>0</v>
      </c>
      <c r="AY331" s="208">
        <v>0</v>
      </c>
      <c r="AZ331" s="208">
        <v>0</v>
      </c>
      <c r="BA331" s="208">
        <v>0</v>
      </c>
      <c r="BB331" s="208">
        <v>0</v>
      </c>
      <c r="BC331" s="208">
        <v>0</v>
      </c>
      <c r="BD331" s="208">
        <v>0</v>
      </c>
      <c r="BE331" s="208">
        <v>0</v>
      </c>
      <c r="BF331" s="208">
        <v>0</v>
      </c>
      <c r="BG331" s="208">
        <v>0</v>
      </c>
      <c r="BH331" s="208">
        <v>0</v>
      </c>
      <c r="BI331" s="208">
        <v>0</v>
      </c>
      <c r="BJ331" s="208">
        <v>0</v>
      </c>
      <c r="BK331" s="208">
        <v>0</v>
      </c>
      <c r="BL331" s="208">
        <v>0</v>
      </c>
      <c r="BM331" s="208">
        <v>0</v>
      </c>
      <c r="BN331" s="208">
        <v>0</v>
      </c>
      <c r="BO331" s="208">
        <v>0</v>
      </c>
      <c r="BP331" s="208">
        <v>0</v>
      </c>
      <c r="BQ331" s="208">
        <v>0</v>
      </c>
      <c r="BR331" s="208">
        <v>0</v>
      </c>
      <c r="BS331" s="208">
        <v>0</v>
      </c>
      <c r="BT331" s="208">
        <v>0</v>
      </c>
      <c r="BU331" s="208">
        <v>0</v>
      </c>
      <c r="BV331" s="208">
        <v>0</v>
      </c>
      <c r="BW331" s="208">
        <v>0</v>
      </c>
      <c r="BX331" s="208">
        <v>0</v>
      </c>
      <c r="BY331" s="208">
        <v>0</v>
      </c>
      <c r="BZ331" s="208">
        <v>0</v>
      </c>
      <c r="CA331" s="208">
        <v>0</v>
      </c>
      <c r="CB331" s="208">
        <v>0</v>
      </c>
      <c r="CC331" s="208">
        <v>0</v>
      </c>
    </row>
    <row r="332" spans="2:87" s="32" customFormat="1" x14ac:dyDescent="0.2">
      <c r="B332" s="83" t="str">
        <f>+$B$158</f>
        <v>Tarea 3</v>
      </c>
      <c r="D332" s="100">
        <f t="shared" si="206"/>
        <v>0</v>
      </c>
      <c r="F332" s="203">
        <f t="shared" si="207"/>
        <v>0</v>
      </c>
      <c r="G332"/>
      <c r="H332"/>
      <c r="I332"/>
      <c r="J332" s="208">
        <v>0</v>
      </c>
      <c r="K332" s="208">
        <v>0</v>
      </c>
      <c r="L332" s="208">
        <v>0</v>
      </c>
      <c r="M332" s="208">
        <v>0</v>
      </c>
      <c r="N332" s="208">
        <v>0</v>
      </c>
      <c r="O332" s="208">
        <v>0</v>
      </c>
      <c r="P332" s="208">
        <v>0</v>
      </c>
      <c r="Q332" s="208">
        <v>0</v>
      </c>
      <c r="R332" s="208">
        <v>0</v>
      </c>
      <c r="S332" s="208">
        <v>0</v>
      </c>
      <c r="T332" s="208">
        <v>0</v>
      </c>
      <c r="U332" s="208">
        <v>0</v>
      </c>
      <c r="V332" s="208">
        <v>0</v>
      </c>
      <c r="W332" s="208">
        <v>0</v>
      </c>
      <c r="X332" s="208">
        <v>0</v>
      </c>
      <c r="Y332" s="208">
        <v>0</v>
      </c>
      <c r="Z332" s="208">
        <v>0</v>
      </c>
      <c r="AA332" s="208">
        <v>0</v>
      </c>
      <c r="AB332" s="208">
        <v>0</v>
      </c>
      <c r="AC332" s="208">
        <v>0</v>
      </c>
      <c r="AD332" s="208">
        <v>0</v>
      </c>
      <c r="AE332" s="208">
        <v>0</v>
      </c>
      <c r="AF332" s="208">
        <v>0</v>
      </c>
      <c r="AG332" s="208">
        <v>0</v>
      </c>
      <c r="AH332" s="208">
        <v>0</v>
      </c>
      <c r="AI332" s="208">
        <v>0</v>
      </c>
      <c r="AJ332" s="208">
        <v>0</v>
      </c>
      <c r="AK332" s="208">
        <v>0</v>
      </c>
      <c r="AL332" s="208">
        <v>0</v>
      </c>
      <c r="AM332" s="208">
        <v>0</v>
      </c>
      <c r="AN332" s="208">
        <v>0</v>
      </c>
      <c r="AO332" s="208">
        <v>0</v>
      </c>
      <c r="AP332" s="208">
        <v>0</v>
      </c>
      <c r="AQ332" s="208">
        <v>0</v>
      </c>
      <c r="AR332" s="208">
        <v>0</v>
      </c>
      <c r="AS332" s="208">
        <v>0</v>
      </c>
      <c r="AT332" s="208">
        <v>0</v>
      </c>
      <c r="AU332" s="208">
        <v>0</v>
      </c>
      <c r="AV332" s="208">
        <v>0</v>
      </c>
      <c r="AW332" s="208">
        <v>0</v>
      </c>
      <c r="AX332" s="208">
        <v>0</v>
      </c>
      <c r="AY332" s="208">
        <v>0</v>
      </c>
      <c r="AZ332" s="208">
        <v>0</v>
      </c>
      <c r="BA332" s="208">
        <v>0</v>
      </c>
      <c r="BB332" s="208">
        <v>0</v>
      </c>
      <c r="BC332" s="208">
        <v>0</v>
      </c>
      <c r="BD332" s="208">
        <v>0</v>
      </c>
      <c r="BE332" s="208">
        <v>0</v>
      </c>
      <c r="BF332" s="208">
        <v>0</v>
      </c>
      <c r="BG332" s="208">
        <v>0</v>
      </c>
      <c r="BH332" s="208">
        <v>0</v>
      </c>
      <c r="BI332" s="208">
        <v>0</v>
      </c>
      <c r="BJ332" s="208">
        <v>0</v>
      </c>
      <c r="BK332" s="208">
        <v>0</v>
      </c>
      <c r="BL332" s="208">
        <v>0</v>
      </c>
      <c r="BM332" s="208">
        <v>0</v>
      </c>
      <c r="BN332" s="208">
        <v>0</v>
      </c>
      <c r="BO332" s="208">
        <v>0</v>
      </c>
      <c r="BP332" s="208">
        <v>0</v>
      </c>
      <c r="BQ332" s="208">
        <v>0</v>
      </c>
      <c r="BR332" s="208">
        <v>0</v>
      </c>
      <c r="BS332" s="208">
        <v>0</v>
      </c>
      <c r="BT332" s="208">
        <v>0</v>
      </c>
      <c r="BU332" s="208">
        <v>0</v>
      </c>
      <c r="BV332" s="208">
        <v>0</v>
      </c>
      <c r="BW332" s="208">
        <v>0</v>
      </c>
      <c r="BX332" s="208">
        <v>0</v>
      </c>
      <c r="BY332" s="208">
        <v>0</v>
      </c>
      <c r="BZ332" s="208">
        <v>0</v>
      </c>
      <c r="CA332" s="208">
        <v>0</v>
      </c>
      <c r="CB332" s="208">
        <v>0</v>
      </c>
      <c r="CC332" s="208">
        <v>0</v>
      </c>
      <c r="CF332" s="215"/>
    </row>
    <row r="333" spans="2:87" s="32" customFormat="1" x14ac:dyDescent="0.2">
      <c r="B333" s="83" t="str">
        <f>+$B$159</f>
        <v>Tarea 4</v>
      </c>
      <c r="D333" s="100">
        <f t="shared" si="206"/>
        <v>0</v>
      </c>
      <c r="F333" s="203">
        <f t="shared" si="207"/>
        <v>0</v>
      </c>
      <c r="G333"/>
      <c r="H333"/>
      <c r="I333"/>
      <c r="J333" s="208">
        <v>0</v>
      </c>
      <c r="K333" s="208">
        <v>0</v>
      </c>
      <c r="L333" s="208">
        <v>0</v>
      </c>
      <c r="M333" s="208">
        <v>0</v>
      </c>
      <c r="N333" s="208">
        <v>0</v>
      </c>
      <c r="O333" s="208">
        <v>0</v>
      </c>
      <c r="P333" s="208">
        <v>0</v>
      </c>
      <c r="Q333" s="208">
        <v>0</v>
      </c>
      <c r="R333" s="208">
        <v>0</v>
      </c>
      <c r="S333" s="208">
        <v>0</v>
      </c>
      <c r="T333" s="208">
        <v>0</v>
      </c>
      <c r="U333" s="208">
        <v>0</v>
      </c>
      <c r="V333" s="208">
        <v>0</v>
      </c>
      <c r="W333" s="208">
        <v>0</v>
      </c>
      <c r="X333" s="208">
        <v>0</v>
      </c>
      <c r="Y333" s="208">
        <v>0</v>
      </c>
      <c r="Z333" s="208">
        <v>0</v>
      </c>
      <c r="AA333" s="208">
        <v>0</v>
      </c>
      <c r="AB333" s="208">
        <v>0</v>
      </c>
      <c r="AC333" s="208">
        <v>0</v>
      </c>
      <c r="AD333" s="208">
        <v>0</v>
      </c>
      <c r="AE333" s="208">
        <v>0</v>
      </c>
      <c r="AF333" s="208">
        <v>0</v>
      </c>
      <c r="AG333" s="208">
        <v>0</v>
      </c>
      <c r="AH333" s="208">
        <v>0</v>
      </c>
      <c r="AI333" s="208">
        <v>0</v>
      </c>
      <c r="AJ333" s="208">
        <v>0</v>
      </c>
      <c r="AK333" s="208">
        <v>0</v>
      </c>
      <c r="AL333" s="208">
        <v>0</v>
      </c>
      <c r="AM333" s="208">
        <v>0</v>
      </c>
      <c r="AN333" s="208">
        <v>0</v>
      </c>
      <c r="AO333" s="208">
        <v>0</v>
      </c>
      <c r="AP333" s="208">
        <v>0</v>
      </c>
      <c r="AQ333" s="208">
        <v>0</v>
      </c>
      <c r="AR333" s="208">
        <v>0</v>
      </c>
      <c r="AS333" s="208">
        <v>0</v>
      </c>
      <c r="AT333" s="208">
        <v>0</v>
      </c>
      <c r="AU333" s="208">
        <v>0</v>
      </c>
      <c r="AV333" s="208">
        <v>0</v>
      </c>
      <c r="AW333" s="208">
        <v>0</v>
      </c>
      <c r="AX333" s="208">
        <v>0</v>
      </c>
      <c r="AY333" s="208">
        <v>0</v>
      </c>
      <c r="AZ333" s="208">
        <v>0</v>
      </c>
      <c r="BA333" s="208">
        <v>0</v>
      </c>
      <c r="BB333" s="208">
        <v>0</v>
      </c>
      <c r="BC333" s="208">
        <v>0</v>
      </c>
      <c r="BD333" s="208">
        <v>0</v>
      </c>
      <c r="BE333" s="208">
        <v>0</v>
      </c>
      <c r="BF333" s="208">
        <v>0</v>
      </c>
      <c r="BG333" s="208">
        <v>0</v>
      </c>
      <c r="BH333" s="208">
        <v>0</v>
      </c>
      <c r="BI333" s="208">
        <v>0</v>
      </c>
      <c r="BJ333" s="208">
        <v>0</v>
      </c>
      <c r="BK333" s="208">
        <v>0</v>
      </c>
      <c r="BL333" s="208">
        <v>0</v>
      </c>
      <c r="BM333" s="208">
        <v>0</v>
      </c>
      <c r="BN333" s="208">
        <v>0</v>
      </c>
      <c r="BO333" s="208">
        <v>0</v>
      </c>
      <c r="BP333" s="208">
        <v>0</v>
      </c>
      <c r="BQ333" s="208">
        <v>0</v>
      </c>
      <c r="BR333" s="208">
        <v>0</v>
      </c>
      <c r="BS333" s="208">
        <v>0</v>
      </c>
      <c r="BT333" s="208">
        <v>0</v>
      </c>
      <c r="BU333" s="208">
        <v>0</v>
      </c>
      <c r="BV333" s="208">
        <v>0</v>
      </c>
      <c r="BW333" s="208">
        <v>0</v>
      </c>
      <c r="BX333" s="208">
        <v>0</v>
      </c>
      <c r="BY333" s="208">
        <v>0</v>
      </c>
      <c r="BZ333" s="208">
        <v>0</v>
      </c>
      <c r="CA333" s="208">
        <v>0</v>
      </c>
      <c r="CB333" s="208">
        <v>0</v>
      </c>
      <c r="CC333" s="208">
        <v>0</v>
      </c>
    </row>
    <row r="334" spans="2:87" s="32" customFormat="1" ht="15.75" customHeight="1" x14ac:dyDescent="0.2">
      <c r="B334" s="76" t="s">
        <v>189</v>
      </c>
      <c r="D334" s="85">
        <f t="shared" ref="D334" si="208">IF(F334&gt;0,+F334/$F$318,0)</f>
        <v>0</v>
      </c>
      <c r="E334" s="186"/>
      <c r="F334" s="187">
        <f t="shared" ref="F334" si="209">SUM(J334:AP334)</f>
        <v>0</v>
      </c>
      <c r="G334"/>
      <c r="H334"/>
      <c r="I334"/>
      <c r="J334" s="208">
        <v>0</v>
      </c>
      <c r="K334" s="208">
        <v>0</v>
      </c>
      <c r="L334" s="208">
        <v>0</v>
      </c>
      <c r="M334" s="208">
        <v>0</v>
      </c>
      <c r="N334" s="208">
        <v>0</v>
      </c>
      <c r="O334" s="208">
        <v>0</v>
      </c>
      <c r="P334" s="208">
        <v>0</v>
      </c>
      <c r="Q334" s="208">
        <v>0</v>
      </c>
      <c r="R334" s="208">
        <v>0</v>
      </c>
      <c r="S334" s="208">
        <v>0</v>
      </c>
      <c r="T334" s="208">
        <v>0</v>
      </c>
      <c r="U334" s="208">
        <v>0</v>
      </c>
      <c r="V334" s="208">
        <v>0</v>
      </c>
      <c r="W334" s="208">
        <v>0</v>
      </c>
      <c r="X334" s="208">
        <v>0</v>
      </c>
      <c r="Y334" s="208">
        <v>0</v>
      </c>
      <c r="Z334" s="208">
        <v>0</v>
      </c>
      <c r="AA334" s="208">
        <v>0</v>
      </c>
      <c r="AB334" s="208">
        <v>0</v>
      </c>
      <c r="AC334" s="208">
        <v>0</v>
      </c>
      <c r="AD334" s="208">
        <v>0</v>
      </c>
      <c r="AE334" s="208">
        <v>0</v>
      </c>
      <c r="AF334" s="208">
        <v>0</v>
      </c>
      <c r="AG334" s="208">
        <v>0</v>
      </c>
      <c r="AH334" s="208">
        <v>0</v>
      </c>
      <c r="AI334" s="208">
        <v>0</v>
      </c>
      <c r="AJ334" s="208">
        <v>0</v>
      </c>
      <c r="AK334" s="208">
        <v>0</v>
      </c>
      <c r="AL334" s="208">
        <v>0</v>
      </c>
      <c r="AM334" s="208">
        <v>0</v>
      </c>
      <c r="AN334" s="208">
        <v>0</v>
      </c>
      <c r="AO334" s="208">
        <v>0</v>
      </c>
      <c r="AP334" s="208">
        <v>0</v>
      </c>
      <c r="AQ334" s="208">
        <v>0</v>
      </c>
      <c r="AR334" s="208">
        <v>0</v>
      </c>
      <c r="AS334" s="208">
        <v>0</v>
      </c>
      <c r="AT334" s="208">
        <v>0</v>
      </c>
      <c r="AU334" s="208">
        <v>0</v>
      </c>
      <c r="AV334" s="208">
        <v>0</v>
      </c>
      <c r="AW334" s="208">
        <v>0</v>
      </c>
      <c r="AX334" s="208">
        <v>0</v>
      </c>
      <c r="AY334" s="208">
        <v>0</v>
      </c>
      <c r="AZ334" s="208">
        <v>0</v>
      </c>
      <c r="BA334" s="208">
        <v>0</v>
      </c>
      <c r="BB334" s="208">
        <v>0</v>
      </c>
      <c r="BC334" s="208">
        <v>0</v>
      </c>
      <c r="BD334" s="208">
        <v>0</v>
      </c>
      <c r="BE334" s="208">
        <v>0</v>
      </c>
      <c r="BF334" s="208">
        <v>0</v>
      </c>
      <c r="BG334" s="208">
        <v>0</v>
      </c>
      <c r="BH334" s="208">
        <v>0</v>
      </c>
      <c r="BI334" s="208">
        <v>0</v>
      </c>
      <c r="BJ334" s="208">
        <v>0</v>
      </c>
      <c r="BK334" s="208">
        <v>0</v>
      </c>
      <c r="BL334" s="208">
        <v>0</v>
      </c>
      <c r="BM334" s="208">
        <v>0</v>
      </c>
      <c r="BN334" s="208">
        <v>0</v>
      </c>
      <c r="BO334" s="208">
        <v>0</v>
      </c>
      <c r="BP334" s="208">
        <v>0</v>
      </c>
      <c r="BQ334" s="208">
        <v>0</v>
      </c>
      <c r="BR334" s="208">
        <v>0</v>
      </c>
      <c r="BS334" s="208">
        <v>0</v>
      </c>
      <c r="BT334" s="208">
        <v>0</v>
      </c>
      <c r="BU334" s="208">
        <v>0</v>
      </c>
      <c r="BV334" s="208">
        <v>0</v>
      </c>
      <c r="BW334" s="208">
        <v>0</v>
      </c>
      <c r="BX334" s="208">
        <v>0</v>
      </c>
      <c r="BY334" s="208">
        <v>0</v>
      </c>
      <c r="BZ334" s="208">
        <v>0</v>
      </c>
      <c r="CA334" s="208">
        <v>0</v>
      </c>
      <c r="CB334" s="208">
        <v>0</v>
      </c>
      <c r="CC334" s="208">
        <v>0</v>
      </c>
      <c r="CE334"/>
      <c r="CF334"/>
      <c r="CG334"/>
      <c r="CH334"/>
      <c r="CI334"/>
    </row>
    <row r="335" spans="2:87" s="32" customFormat="1" ht="5.0999999999999996" customHeight="1" x14ac:dyDescent="0.2">
      <c r="F335" s="136"/>
      <c r="J335" s="136"/>
      <c r="K335" s="136"/>
      <c r="L335" s="136"/>
      <c r="M335" s="136"/>
      <c r="N335" s="136"/>
      <c r="O335" s="136"/>
      <c r="P335" s="136"/>
      <c r="Q335" s="136"/>
    </row>
    <row r="336" spans="2:87" s="32" customFormat="1" ht="15" customHeight="1" x14ac:dyDescent="0.2">
      <c r="B336" s="638" t="s">
        <v>125</v>
      </c>
      <c r="C336" s="639"/>
      <c r="D336" s="640"/>
      <c r="F336" s="204">
        <f>SUM(F330:F335)</f>
        <v>0</v>
      </c>
      <c r="G336"/>
      <c r="H336"/>
      <c r="I336"/>
      <c r="J336" s="209">
        <f>SUM(J330:J333)</f>
        <v>0</v>
      </c>
      <c r="K336" s="209">
        <f t="shared" ref="K336:BV336" si="210">SUM(K330:K333)</f>
        <v>0</v>
      </c>
      <c r="L336" s="209">
        <f t="shared" si="210"/>
        <v>0</v>
      </c>
      <c r="M336" s="209">
        <f t="shared" si="210"/>
        <v>0</v>
      </c>
      <c r="N336" s="209">
        <f t="shared" si="210"/>
        <v>0</v>
      </c>
      <c r="O336" s="209">
        <f t="shared" si="210"/>
        <v>0</v>
      </c>
      <c r="P336" s="209">
        <f t="shared" si="210"/>
        <v>0</v>
      </c>
      <c r="Q336" s="209">
        <f t="shared" si="210"/>
        <v>0</v>
      </c>
      <c r="R336" s="209">
        <f t="shared" si="210"/>
        <v>0</v>
      </c>
      <c r="S336" s="209">
        <f t="shared" si="210"/>
        <v>0</v>
      </c>
      <c r="T336" s="209">
        <f t="shared" si="210"/>
        <v>0</v>
      </c>
      <c r="U336" s="209">
        <f t="shared" si="210"/>
        <v>0</v>
      </c>
      <c r="V336" s="209">
        <f t="shared" si="210"/>
        <v>0</v>
      </c>
      <c r="W336" s="209">
        <f t="shared" si="210"/>
        <v>0</v>
      </c>
      <c r="X336" s="209">
        <f t="shared" si="210"/>
        <v>0</v>
      </c>
      <c r="Y336" s="209">
        <f t="shared" si="210"/>
        <v>0</v>
      </c>
      <c r="Z336" s="209">
        <f t="shared" si="210"/>
        <v>0</v>
      </c>
      <c r="AA336" s="209">
        <f t="shared" si="210"/>
        <v>0</v>
      </c>
      <c r="AB336" s="209">
        <f t="shared" si="210"/>
        <v>0</v>
      </c>
      <c r="AC336" s="209">
        <f t="shared" si="210"/>
        <v>0</v>
      </c>
      <c r="AD336" s="209">
        <f t="shared" si="210"/>
        <v>0</v>
      </c>
      <c r="AE336" s="209">
        <f t="shared" si="210"/>
        <v>0</v>
      </c>
      <c r="AF336" s="209">
        <f t="shared" si="210"/>
        <v>0</v>
      </c>
      <c r="AG336" s="209">
        <f t="shared" si="210"/>
        <v>0</v>
      </c>
      <c r="AH336" s="209">
        <f t="shared" si="210"/>
        <v>0</v>
      </c>
      <c r="AI336" s="209">
        <f t="shared" si="210"/>
        <v>0</v>
      </c>
      <c r="AJ336" s="209">
        <f t="shared" si="210"/>
        <v>0</v>
      </c>
      <c r="AK336" s="209">
        <f t="shared" si="210"/>
        <v>0</v>
      </c>
      <c r="AL336" s="209">
        <f t="shared" si="210"/>
        <v>0</v>
      </c>
      <c r="AM336" s="209">
        <f t="shared" si="210"/>
        <v>0</v>
      </c>
      <c r="AN336" s="209">
        <f t="shared" si="210"/>
        <v>0</v>
      </c>
      <c r="AO336" s="209">
        <f t="shared" si="210"/>
        <v>0</v>
      </c>
      <c r="AP336" s="209">
        <f t="shared" si="210"/>
        <v>0</v>
      </c>
      <c r="AQ336" s="209">
        <f t="shared" si="210"/>
        <v>0</v>
      </c>
      <c r="AR336" s="209">
        <f t="shared" si="210"/>
        <v>0</v>
      </c>
      <c r="AS336" s="209">
        <f t="shared" si="210"/>
        <v>0</v>
      </c>
      <c r="AT336" s="209">
        <f t="shared" si="210"/>
        <v>0</v>
      </c>
      <c r="AU336" s="209">
        <f t="shared" si="210"/>
        <v>0</v>
      </c>
      <c r="AV336" s="209">
        <f t="shared" si="210"/>
        <v>0</v>
      </c>
      <c r="AW336" s="209">
        <f t="shared" si="210"/>
        <v>0</v>
      </c>
      <c r="AX336" s="209">
        <f t="shared" si="210"/>
        <v>0</v>
      </c>
      <c r="AY336" s="209">
        <f t="shared" si="210"/>
        <v>0</v>
      </c>
      <c r="AZ336" s="209">
        <f t="shared" si="210"/>
        <v>0</v>
      </c>
      <c r="BA336" s="209">
        <f t="shared" si="210"/>
        <v>0</v>
      </c>
      <c r="BB336" s="209">
        <f t="shared" si="210"/>
        <v>0</v>
      </c>
      <c r="BC336" s="209">
        <f t="shared" si="210"/>
        <v>0</v>
      </c>
      <c r="BD336" s="209">
        <f t="shared" si="210"/>
        <v>0</v>
      </c>
      <c r="BE336" s="209">
        <f t="shared" si="210"/>
        <v>0</v>
      </c>
      <c r="BF336" s="209">
        <f t="shared" si="210"/>
        <v>0</v>
      </c>
      <c r="BG336" s="209">
        <f t="shared" si="210"/>
        <v>0</v>
      </c>
      <c r="BH336" s="209">
        <f t="shared" si="210"/>
        <v>0</v>
      </c>
      <c r="BI336" s="209">
        <f t="shared" si="210"/>
        <v>0</v>
      </c>
      <c r="BJ336" s="209">
        <f t="shared" si="210"/>
        <v>0</v>
      </c>
      <c r="BK336" s="209">
        <f t="shared" si="210"/>
        <v>0</v>
      </c>
      <c r="BL336" s="209">
        <f t="shared" si="210"/>
        <v>0</v>
      </c>
      <c r="BM336" s="209">
        <f t="shared" si="210"/>
        <v>0</v>
      </c>
      <c r="BN336" s="209">
        <f t="shared" si="210"/>
        <v>0</v>
      </c>
      <c r="BO336" s="209">
        <f t="shared" si="210"/>
        <v>0</v>
      </c>
      <c r="BP336" s="209">
        <f t="shared" si="210"/>
        <v>0</v>
      </c>
      <c r="BQ336" s="209">
        <f t="shared" si="210"/>
        <v>0</v>
      </c>
      <c r="BR336" s="209">
        <f t="shared" si="210"/>
        <v>0</v>
      </c>
      <c r="BS336" s="209">
        <f t="shared" si="210"/>
        <v>0</v>
      </c>
      <c r="BT336" s="209">
        <f t="shared" si="210"/>
        <v>0</v>
      </c>
      <c r="BU336" s="209">
        <f t="shared" si="210"/>
        <v>0</v>
      </c>
      <c r="BV336" s="209">
        <f t="shared" si="210"/>
        <v>0</v>
      </c>
      <c r="BW336" s="209">
        <f t="shared" ref="BW336:CC336" si="211">SUM(BW330:BW333)</f>
        <v>0</v>
      </c>
      <c r="BX336" s="209">
        <f t="shared" si="211"/>
        <v>0</v>
      </c>
      <c r="BY336" s="209">
        <f t="shared" si="211"/>
        <v>0</v>
      </c>
      <c r="BZ336" s="209">
        <f t="shared" si="211"/>
        <v>0</v>
      </c>
      <c r="CA336" s="209">
        <f t="shared" si="211"/>
        <v>0</v>
      </c>
      <c r="CB336" s="209">
        <f t="shared" si="211"/>
        <v>0</v>
      </c>
      <c r="CC336" s="209">
        <f t="shared" si="211"/>
        <v>0</v>
      </c>
    </row>
    <row r="337" spans="2:95" ht="5.0999999999999996" customHeight="1" x14ac:dyDescent="0.2">
      <c r="J337" s="210"/>
      <c r="K337" s="210"/>
      <c r="L337" s="210"/>
      <c r="M337" s="210"/>
      <c r="N337" s="210"/>
      <c r="O337" s="210"/>
      <c r="P337" s="210"/>
      <c r="Q337" s="210"/>
      <c r="R337" s="210"/>
      <c r="S337" s="210"/>
      <c r="T337" s="210"/>
      <c r="U337" s="210"/>
      <c r="V337" s="210"/>
      <c r="W337" s="210"/>
      <c r="X337" s="210"/>
      <c r="Y337" s="210"/>
      <c r="Z337" s="210"/>
      <c r="AA337" s="210"/>
      <c r="AB337" s="210"/>
      <c r="AC337" s="210"/>
      <c r="AD337" s="210"/>
      <c r="AE337" s="210"/>
      <c r="AF337" s="210"/>
      <c r="AG337" s="210"/>
      <c r="AH337" s="210"/>
      <c r="AI337" s="210"/>
      <c r="AJ337" s="210"/>
      <c r="AK337" s="210"/>
      <c r="AL337" s="210"/>
      <c r="AM337" s="210"/>
      <c r="AN337" s="210"/>
      <c r="AO337" s="210"/>
      <c r="AP337" s="210"/>
      <c r="AQ337" s="210"/>
      <c r="AR337" s="210"/>
      <c r="AS337" s="210"/>
      <c r="AT337" s="210"/>
      <c r="AU337" s="210"/>
      <c r="AV337" s="210"/>
      <c r="AW337" s="210"/>
      <c r="AX337" s="210"/>
      <c r="AY337" s="210"/>
      <c r="AZ337" s="210"/>
      <c r="BA337" s="210"/>
      <c r="BB337" s="210"/>
      <c r="BC337" s="210"/>
      <c r="BD337" s="210"/>
      <c r="BE337" s="210"/>
      <c r="BF337" s="210"/>
      <c r="BG337" s="210"/>
      <c r="BH337" s="210"/>
      <c r="BI337" s="210"/>
      <c r="BJ337" s="210"/>
      <c r="BK337" s="210"/>
      <c r="BL337" s="210"/>
      <c r="BM337" s="210"/>
      <c r="BN337" s="210"/>
      <c r="BO337" s="210"/>
      <c r="BP337" s="210"/>
      <c r="BQ337" s="210"/>
      <c r="BR337" s="210"/>
      <c r="BS337" s="210"/>
      <c r="BT337" s="210"/>
      <c r="BU337" s="210"/>
      <c r="BV337" s="210"/>
      <c r="BW337" s="210"/>
      <c r="BX337" s="210"/>
      <c r="BY337" s="210"/>
      <c r="BZ337" s="210"/>
      <c r="CA337" s="210"/>
      <c r="CB337" s="210"/>
      <c r="CC337" s="210"/>
    </row>
    <row r="338" spans="2:95" s="32" customFormat="1" ht="15" customHeight="1" x14ac:dyDescent="0.2">
      <c r="B338" s="628" t="s">
        <v>120</v>
      </c>
      <c r="C338" s="629"/>
      <c r="D338" s="630"/>
      <c r="F338" s="115" t="e">
        <f>SUM(J338:CC338)</f>
        <v>#N/A</v>
      </c>
      <c r="G338" s="196"/>
      <c r="H338" s="196"/>
      <c r="I338" s="196"/>
      <c r="J338" s="161" t="e">
        <f>+J336*J270</f>
        <v>#N/A</v>
      </c>
      <c r="K338" s="161" t="e">
        <f t="shared" ref="K338:Z338" si="212">+K336*K270</f>
        <v>#N/A</v>
      </c>
      <c r="L338" s="161" t="e">
        <f t="shared" si="212"/>
        <v>#N/A</v>
      </c>
      <c r="M338" s="161" t="e">
        <f t="shared" si="212"/>
        <v>#N/A</v>
      </c>
      <c r="N338" s="161" t="e">
        <f t="shared" si="212"/>
        <v>#N/A</v>
      </c>
      <c r="O338" s="161" t="e">
        <f t="shared" si="212"/>
        <v>#N/A</v>
      </c>
      <c r="P338" s="161" t="e">
        <f t="shared" si="212"/>
        <v>#N/A</v>
      </c>
      <c r="Q338" s="161" t="e">
        <f t="shared" si="212"/>
        <v>#N/A</v>
      </c>
      <c r="R338" s="161" t="e">
        <f t="shared" si="212"/>
        <v>#N/A</v>
      </c>
      <c r="S338" s="161" t="e">
        <f t="shared" si="212"/>
        <v>#N/A</v>
      </c>
      <c r="T338" s="161" t="e">
        <f t="shared" si="212"/>
        <v>#N/A</v>
      </c>
      <c r="U338" s="161" t="e">
        <f t="shared" si="212"/>
        <v>#N/A</v>
      </c>
      <c r="V338" s="161" t="e">
        <f t="shared" si="212"/>
        <v>#N/A</v>
      </c>
      <c r="W338" s="161" t="e">
        <f t="shared" si="212"/>
        <v>#N/A</v>
      </c>
      <c r="X338" s="161" t="e">
        <f t="shared" si="212"/>
        <v>#N/A</v>
      </c>
      <c r="Y338" s="161" t="e">
        <f t="shared" si="212"/>
        <v>#N/A</v>
      </c>
      <c r="Z338" s="161" t="e">
        <f t="shared" si="212"/>
        <v>#N/A</v>
      </c>
      <c r="AA338" s="161" t="e">
        <f t="shared" ref="AA338:CC338" si="213">+AA336*AA270</f>
        <v>#N/A</v>
      </c>
      <c r="AB338" s="161" t="e">
        <f t="shared" si="213"/>
        <v>#N/A</v>
      </c>
      <c r="AC338" s="161" t="e">
        <f t="shared" si="213"/>
        <v>#N/A</v>
      </c>
      <c r="AD338" s="161" t="e">
        <f t="shared" si="213"/>
        <v>#N/A</v>
      </c>
      <c r="AE338" s="161" t="e">
        <f t="shared" si="213"/>
        <v>#N/A</v>
      </c>
      <c r="AF338" s="161" t="e">
        <f t="shared" si="213"/>
        <v>#N/A</v>
      </c>
      <c r="AG338" s="161" t="e">
        <f t="shared" si="213"/>
        <v>#N/A</v>
      </c>
      <c r="AH338" s="161" t="e">
        <f t="shared" si="213"/>
        <v>#N/A</v>
      </c>
      <c r="AI338" s="161" t="e">
        <f t="shared" si="213"/>
        <v>#N/A</v>
      </c>
      <c r="AJ338" s="161" t="e">
        <f t="shared" si="213"/>
        <v>#N/A</v>
      </c>
      <c r="AK338" s="161" t="e">
        <f t="shared" si="213"/>
        <v>#N/A</v>
      </c>
      <c r="AL338" s="161" t="e">
        <f t="shared" si="213"/>
        <v>#N/A</v>
      </c>
      <c r="AM338" s="161" t="e">
        <f t="shared" si="213"/>
        <v>#N/A</v>
      </c>
      <c r="AN338" s="161" t="e">
        <f t="shared" si="213"/>
        <v>#N/A</v>
      </c>
      <c r="AO338" s="161" t="e">
        <f t="shared" si="213"/>
        <v>#N/A</v>
      </c>
      <c r="AP338" s="161" t="e">
        <f t="shared" si="213"/>
        <v>#N/A</v>
      </c>
      <c r="AQ338" s="161" t="e">
        <f t="shared" si="213"/>
        <v>#N/A</v>
      </c>
      <c r="AR338" s="161" t="e">
        <f t="shared" si="213"/>
        <v>#N/A</v>
      </c>
      <c r="AS338" s="161" t="e">
        <f t="shared" si="213"/>
        <v>#N/A</v>
      </c>
      <c r="AT338" s="161" t="e">
        <f t="shared" si="213"/>
        <v>#N/A</v>
      </c>
      <c r="AU338" s="161" t="e">
        <f t="shared" si="213"/>
        <v>#N/A</v>
      </c>
      <c r="AV338" s="161" t="e">
        <f t="shared" si="213"/>
        <v>#N/A</v>
      </c>
      <c r="AW338" s="161" t="e">
        <f t="shared" si="213"/>
        <v>#N/A</v>
      </c>
      <c r="AX338" s="161" t="e">
        <f t="shared" si="213"/>
        <v>#N/A</v>
      </c>
      <c r="AY338" s="161" t="e">
        <f t="shared" si="213"/>
        <v>#N/A</v>
      </c>
      <c r="AZ338" s="161" t="e">
        <f t="shared" si="213"/>
        <v>#N/A</v>
      </c>
      <c r="BA338" s="161" t="e">
        <f t="shared" si="213"/>
        <v>#N/A</v>
      </c>
      <c r="BB338" s="161" t="e">
        <f t="shared" si="213"/>
        <v>#N/A</v>
      </c>
      <c r="BC338" s="161" t="e">
        <f t="shared" si="213"/>
        <v>#N/A</v>
      </c>
      <c r="BD338" s="161" t="e">
        <f t="shared" si="213"/>
        <v>#N/A</v>
      </c>
      <c r="BE338" s="161" t="e">
        <f t="shared" si="213"/>
        <v>#N/A</v>
      </c>
      <c r="BF338" s="161" t="e">
        <f t="shared" si="213"/>
        <v>#N/A</v>
      </c>
      <c r="BG338" s="161" t="e">
        <f t="shared" si="213"/>
        <v>#N/A</v>
      </c>
      <c r="BH338" s="161" t="e">
        <f t="shared" si="213"/>
        <v>#N/A</v>
      </c>
      <c r="BI338" s="161" t="e">
        <f t="shared" si="213"/>
        <v>#N/A</v>
      </c>
      <c r="BJ338" s="161" t="e">
        <f t="shared" si="213"/>
        <v>#N/A</v>
      </c>
      <c r="BK338" s="161" t="e">
        <f t="shared" si="213"/>
        <v>#N/A</v>
      </c>
      <c r="BL338" s="161" t="e">
        <f t="shared" si="213"/>
        <v>#N/A</v>
      </c>
      <c r="BM338" s="161" t="e">
        <f t="shared" si="213"/>
        <v>#N/A</v>
      </c>
      <c r="BN338" s="161" t="e">
        <f t="shared" si="213"/>
        <v>#N/A</v>
      </c>
      <c r="BO338" s="161" t="e">
        <f t="shared" si="213"/>
        <v>#N/A</v>
      </c>
      <c r="BP338" s="161" t="e">
        <f t="shared" si="213"/>
        <v>#N/A</v>
      </c>
      <c r="BQ338" s="161" t="e">
        <f t="shared" si="213"/>
        <v>#N/A</v>
      </c>
      <c r="BR338" s="161" t="e">
        <f t="shared" si="213"/>
        <v>#N/A</v>
      </c>
      <c r="BS338" s="161" t="e">
        <f t="shared" si="213"/>
        <v>#N/A</v>
      </c>
      <c r="BT338" s="161" t="e">
        <f t="shared" si="213"/>
        <v>#N/A</v>
      </c>
      <c r="BU338" s="161" t="e">
        <f t="shared" si="213"/>
        <v>#N/A</v>
      </c>
      <c r="BV338" s="161" t="e">
        <f t="shared" si="213"/>
        <v>#N/A</v>
      </c>
      <c r="BW338" s="161" t="e">
        <f t="shared" si="213"/>
        <v>#N/A</v>
      </c>
      <c r="BX338" s="161" t="e">
        <f t="shared" si="213"/>
        <v>#N/A</v>
      </c>
      <c r="BY338" s="161" t="e">
        <f t="shared" si="213"/>
        <v>#N/A</v>
      </c>
      <c r="BZ338" s="161" t="e">
        <f t="shared" si="213"/>
        <v>#N/A</v>
      </c>
      <c r="CA338" s="161">
        <f t="shared" si="213"/>
        <v>0</v>
      </c>
      <c r="CB338" s="161">
        <f t="shared" si="213"/>
        <v>0</v>
      </c>
      <c r="CC338" s="161">
        <f t="shared" si="213"/>
        <v>0</v>
      </c>
    </row>
    <row r="339" spans="2:95" ht="5.0999999999999996" customHeight="1" x14ac:dyDescent="0.2">
      <c r="J339" s="210"/>
      <c r="K339" s="210"/>
      <c r="L339" s="210"/>
      <c r="M339" s="210"/>
      <c r="N339" s="210"/>
      <c r="O339" s="210"/>
      <c r="P339" s="210"/>
      <c r="Q339" s="210"/>
      <c r="R339" s="210"/>
      <c r="S339" s="210"/>
      <c r="T339" s="210"/>
      <c r="U339" s="210"/>
      <c r="V339" s="210"/>
      <c r="W339" s="210"/>
      <c r="X339" s="210"/>
      <c r="Y339" s="210"/>
      <c r="Z339" s="210"/>
      <c r="AA339" s="210"/>
      <c r="AB339" s="210"/>
      <c r="AC339" s="210"/>
      <c r="AD339" s="210"/>
      <c r="AE339" s="210"/>
      <c r="AF339" s="210"/>
      <c r="AG339" s="210"/>
      <c r="AH339" s="210"/>
      <c r="AI339" s="210"/>
      <c r="AJ339" s="210"/>
      <c r="AK339" s="210"/>
      <c r="AL339" s="210"/>
      <c r="AM339" s="210"/>
      <c r="AN339" s="210"/>
      <c r="AO339" s="210"/>
      <c r="AP339" s="210"/>
      <c r="AQ339" s="210"/>
      <c r="AR339" s="210"/>
      <c r="AS339" s="210"/>
      <c r="AT339" s="210"/>
      <c r="AU339" s="210"/>
      <c r="AV339" s="210"/>
      <c r="AW339" s="210"/>
      <c r="AX339" s="210"/>
      <c r="AY339" s="210"/>
      <c r="AZ339" s="210"/>
      <c r="BA339" s="210"/>
      <c r="BB339" s="210"/>
      <c r="BC339" s="210"/>
      <c r="BD339" s="210"/>
      <c r="BE339" s="210"/>
      <c r="BF339" s="210"/>
      <c r="BG339" s="210"/>
      <c r="BH339" s="210"/>
      <c r="BI339" s="210"/>
      <c r="BJ339" s="210"/>
      <c r="BK339" s="210"/>
      <c r="BL339" s="210"/>
      <c r="BM339" s="210"/>
      <c r="BN339" s="210"/>
      <c r="BO339" s="210"/>
      <c r="BP339" s="210"/>
      <c r="BQ339" s="210"/>
      <c r="BR339" s="210"/>
      <c r="BS339" s="210"/>
      <c r="BT339" s="210"/>
      <c r="BU339" s="210"/>
      <c r="BV339" s="210"/>
      <c r="BW339" s="210"/>
      <c r="BX339" s="210"/>
      <c r="BY339" s="210"/>
      <c r="BZ339" s="210"/>
      <c r="CA339" s="210"/>
      <c r="CB339" s="210"/>
      <c r="CC339" s="210"/>
    </row>
    <row r="340" spans="2:95" s="32" customFormat="1" x14ac:dyDescent="0.2">
      <c r="B340" s="628" t="s">
        <v>121</v>
      </c>
      <c r="C340" s="629"/>
      <c r="D340" s="630"/>
      <c r="F340"/>
      <c r="G340"/>
      <c r="H340"/>
      <c r="I340"/>
      <c r="J340" s="161" t="e">
        <f>+J338</f>
        <v>#N/A</v>
      </c>
      <c r="K340" s="161" t="e">
        <f t="shared" ref="K340:BV340" si="214">+J340+K338</f>
        <v>#N/A</v>
      </c>
      <c r="L340" s="161" t="e">
        <f t="shared" si="214"/>
        <v>#N/A</v>
      </c>
      <c r="M340" s="161" t="e">
        <f t="shared" si="214"/>
        <v>#N/A</v>
      </c>
      <c r="N340" s="161" t="e">
        <f t="shared" si="214"/>
        <v>#N/A</v>
      </c>
      <c r="O340" s="161" t="e">
        <f t="shared" si="214"/>
        <v>#N/A</v>
      </c>
      <c r="P340" s="161" t="e">
        <f t="shared" si="214"/>
        <v>#N/A</v>
      </c>
      <c r="Q340" s="161" t="e">
        <f t="shared" si="214"/>
        <v>#N/A</v>
      </c>
      <c r="R340" s="161" t="e">
        <f t="shared" si="214"/>
        <v>#N/A</v>
      </c>
      <c r="S340" s="161" t="e">
        <f t="shared" si="214"/>
        <v>#N/A</v>
      </c>
      <c r="T340" s="161" t="e">
        <f t="shared" si="214"/>
        <v>#N/A</v>
      </c>
      <c r="U340" s="161" t="e">
        <f t="shared" si="214"/>
        <v>#N/A</v>
      </c>
      <c r="V340" s="161" t="e">
        <f t="shared" si="214"/>
        <v>#N/A</v>
      </c>
      <c r="W340" s="161" t="e">
        <f t="shared" si="214"/>
        <v>#N/A</v>
      </c>
      <c r="X340" s="161" t="e">
        <f t="shared" si="214"/>
        <v>#N/A</v>
      </c>
      <c r="Y340" s="161" t="e">
        <f t="shared" si="214"/>
        <v>#N/A</v>
      </c>
      <c r="Z340" s="161" t="e">
        <f t="shared" si="214"/>
        <v>#N/A</v>
      </c>
      <c r="AA340" s="161" t="e">
        <f t="shared" si="214"/>
        <v>#N/A</v>
      </c>
      <c r="AB340" s="161" t="e">
        <f t="shared" si="214"/>
        <v>#N/A</v>
      </c>
      <c r="AC340" s="161" t="e">
        <f t="shared" si="214"/>
        <v>#N/A</v>
      </c>
      <c r="AD340" s="161" t="e">
        <f t="shared" si="214"/>
        <v>#N/A</v>
      </c>
      <c r="AE340" s="161" t="e">
        <f t="shared" si="214"/>
        <v>#N/A</v>
      </c>
      <c r="AF340" s="161" t="e">
        <f t="shared" si="214"/>
        <v>#N/A</v>
      </c>
      <c r="AG340" s="161" t="e">
        <f t="shared" si="214"/>
        <v>#N/A</v>
      </c>
      <c r="AH340" s="161" t="e">
        <f t="shared" si="214"/>
        <v>#N/A</v>
      </c>
      <c r="AI340" s="161" t="e">
        <f t="shared" si="214"/>
        <v>#N/A</v>
      </c>
      <c r="AJ340" s="161" t="e">
        <f t="shared" si="214"/>
        <v>#N/A</v>
      </c>
      <c r="AK340" s="161" t="e">
        <f t="shared" si="214"/>
        <v>#N/A</v>
      </c>
      <c r="AL340" s="161" t="e">
        <f t="shared" si="214"/>
        <v>#N/A</v>
      </c>
      <c r="AM340" s="161" t="e">
        <f t="shared" si="214"/>
        <v>#N/A</v>
      </c>
      <c r="AN340" s="161" t="e">
        <f t="shared" si="214"/>
        <v>#N/A</v>
      </c>
      <c r="AO340" s="161" t="e">
        <f t="shared" si="214"/>
        <v>#N/A</v>
      </c>
      <c r="AP340" s="161" t="e">
        <f t="shared" si="214"/>
        <v>#N/A</v>
      </c>
      <c r="AQ340" s="161" t="e">
        <f t="shared" si="214"/>
        <v>#N/A</v>
      </c>
      <c r="AR340" s="161" t="e">
        <f t="shared" si="214"/>
        <v>#N/A</v>
      </c>
      <c r="AS340" s="161" t="e">
        <f t="shared" si="214"/>
        <v>#N/A</v>
      </c>
      <c r="AT340" s="161" t="e">
        <f t="shared" si="214"/>
        <v>#N/A</v>
      </c>
      <c r="AU340" s="161" t="e">
        <f t="shared" si="214"/>
        <v>#N/A</v>
      </c>
      <c r="AV340" s="161" t="e">
        <f t="shared" si="214"/>
        <v>#N/A</v>
      </c>
      <c r="AW340" s="161" t="e">
        <f t="shared" si="214"/>
        <v>#N/A</v>
      </c>
      <c r="AX340" s="161" t="e">
        <f t="shared" si="214"/>
        <v>#N/A</v>
      </c>
      <c r="AY340" s="161" t="e">
        <f t="shared" si="214"/>
        <v>#N/A</v>
      </c>
      <c r="AZ340" s="161" t="e">
        <f t="shared" si="214"/>
        <v>#N/A</v>
      </c>
      <c r="BA340" s="161" t="e">
        <f t="shared" si="214"/>
        <v>#N/A</v>
      </c>
      <c r="BB340" s="161" t="e">
        <f t="shared" si="214"/>
        <v>#N/A</v>
      </c>
      <c r="BC340" s="161" t="e">
        <f t="shared" si="214"/>
        <v>#N/A</v>
      </c>
      <c r="BD340" s="161" t="e">
        <f t="shared" si="214"/>
        <v>#N/A</v>
      </c>
      <c r="BE340" s="161" t="e">
        <f t="shared" si="214"/>
        <v>#N/A</v>
      </c>
      <c r="BF340" s="161" t="e">
        <f t="shared" si="214"/>
        <v>#N/A</v>
      </c>
      <c r="BG340" s="161" t="e">
        <f t="shared" si="214"/>
        <v>#N/A</v>
      </c>
      <c r="BH340" s="161" t="e">
        <f t="shared" si="214"/>
        <v>#N/A</v>
      </c>
      <c r="BI340" s="161" t="e">
        <f t="shared" si="214"/>
        <v>#N/A</v>
      </c>
      <c r="BJ340" s="161" t="e">
        <f t="shared" si="214"/>
        <v>#N/A</v>
      </c>
      <c r="BK340" s="161" t="e">
        <f t="shared" si="214"/>
        <v>#N/A</v>
      </c>
      <c r="BL340" s="161" t="e">
        <f t="shared" si="214"/>
        <v>#N/A</v>
      </c>
      <c r="BM340" s="161" t="e">
        <f t="shared" si="214"/>
        <v>#N/A</v>
      </c>
      <c r="BN340" s="161" t="e">
        <f t="shared" si="214"/>
        <v>#N/A</v>
      </c>
      <c r="BO340" s="161" t="e">
        <f t="shared" si="214"/>
        <v>#N/A</v>
      </c>
      <c r="BP340" s="161" t="e">
        <f t="shared" si="214"/>
        <v>#N/A</v>
      </c>
      <c r="BQ340" s="161" t="e">
        <f t="shared" si="214"/>
        <v>#N/A</v>
      </c>
      <c r="BR340" s="161" t="e">
        <f t="shared" si="214"/>
        <v>#N/A</v>
      </c>
      <c r="BS340" s="161" t="e">
        <f t="shared" si="214"/>
        <v>#N/A</v>
      </c>
      <c r="BT340" s="161" t="e">
        <f t="shared" si="214"/>
        <v>#N/A</v>
      </c>
      <c r="BU340" s="161" t="e">
        <f t="shared" si="214"/>
        <v>#N/A</v>
      </c>
      <c r="BV340" s="161" t="e">
        <f t="shared" si="214"/>
        <v>#N/A</v>
      </c>
      <c r="BW340" s="161" t="e">
        <f t="shared" ref="BW340:CC340" si="215">+BV340+BW338</f>
        <v>#N/A</v>
      </c>
      <c r="BX340" s="161" t="e">
        <f t="shared" si="215"/>
        <v>#N/A</v>
      </c>
      <c r="BY340" s="161" t="e">
        <f t="shared" si="215"/>
        <v>#N/A</v>
      </c>
      <c r="BZ340" s="161" t="e">
        <f t="shared" si="215"/>
        <v>#N/A</v>
      </c>
      <c r="CA340" s="161" t="e">
        <f t="shared" si="215"/>
        <v>#N/A</v>
      </c>
      <c r="CB340" s="161" t="e">
        <f t="shared" si="215"/>
        <v>#N/A</v>
      </c>
      <c r="CC340" s="161" t="e">
        <f t="shared" si="215"/>
        <v>#N/A</v>
      </c>
    </row>
    <row r="341" spans="2:95" ht="5.0999999999999996" customHeight="1" x14ac:dyDescent="0.2">
      <c r="J341" s="24"/>
    </row>
    <row r="342" spans="2:95" s="32" customFormat="1" x14ac:dyDescent="0.2">
      <c r="B342" s="83" t="s">
        <v>114</v>
      </c>
      <c r="F342" s="196"/>
      <c r="G342"/>
      <c r="H342"/>
      <c r="I342"/>
      <c r="J342" s="112" t="e">
        <f>IF(($F$318+$F$338)=0,0,+J338/($F$318+$F$338))</f>
        <v>#N/A</v>
      </c>
      <c r="K342" s="112" t="e">
        <f t="shared" ref="K342:BV342" si="216">IF(($F$318+$F$338)=0,0,+K338/($F$318+$F$338))</f>
        <v>#N/A</v>
      </c>
      <c r="L342" s="112" t="e">
        <f t="shared" si="216"/>
        <v>#N/A</v>
      </c>
      <c r="M342" s="112" t="e">
        <f t="shared" si="216"/>
        <v>#N/A</v>
      </c>
      <c r="N342" s="112" t="e">
        <f t="shared" si="216"/>
        <v>#N/A</v>
      </c>
      <c r="O342" s="112" t="e">
        <f t="shared" si="216"/>
        <v>#N/A</v>
      </c>
      <c r="P342" s="112" t="e">
        <f t="shared" si="216"/>
        <v>#N/A</v>
      </c>
      <c r="Q342" s="112" t="e">
        <f t="shared" si="216"/>
        <v>#N/A</v>
      </c>
      <c r="R342" s="112" t="e">
        <f t="shared" si="216"/>
        <v>#N/A</v>
      </c>
      <c r="S342" s="112" t="e">
        <f t="shared" si="216"/>
        <v>#N/A</v>
      </c>
      <c r="T342" s="112" t="e">
        <f t="shared" si="216"/>
        <v>#N/A</v>
      </c>
      <c r="U342" s="112" t="e">
        <f t="shared" si="216"/>
        <v>#N/A</v>
      </c>
      <c r="V342" s="112" t="e">
        <f t="shared" si="216"/>
        <v>#N/A</v>
      </c>
      <c r="W342" s="112" t="e">
        <f t="shared" si="216"/>
        <v>#N/A</v>
      </c>
      <c r="X342" s="112" t="e">
        <f t="shared" si="216"/>
        <v>#N/A</v>
      </c>
      <c r="Y342" s="112" t="e">
        <f t="shared" si="216"/>
        <v>#N/A</v>
      </c>
      <c r="Z342" s="112" t="e">
        <f t="shared" si="216"/>
        <v>#N/A</v>
      </c>
      <c r="AA342" s="112" t="e">
        <f t="shared" si="216"/>
        <v>#N/A</v>
      </c>
      <c r="AB342" s="112" t="e">
        <f t="shared" si="216"/>
        <v>#N/A</v>
      </c>
      <c r="AC342" s="112" t="e">
        <f t="shared" si="216"/>
        <v>#N/A</v>
      </c>
      <c r="AD342" s="112" t="e">
        <f t="shared" si="216"/>
        <v>#N/A</v>
      </c>
      <c r="AE342" s="112" t="e">
        <f t="shared" si="216"/>
        <v>#N/A</v>
      </c>
      <c r="AF342" s="112" t="e">
        <f t="shared" si="216"/>
        <v>#N/A</v>
      </c>
      <c r="AG342" s="112" t="e">
        <f t="shared" si="216"/>
        <v>#N/A</v>
      </c>
      <c r="AH342" s="112" t="e">
        <f t="shared" si="216"/>
        <v>#N/A</v>
      </c>
      <c r="AI342" s="112" t="e">
        <f t="shared" si="216"/>
        <v>#N/A</v>
      </c>
      <c r="AJ342" s="112" t="e">
        <f t="shared" si="216"/>
        <v>#N/A</v>
      </c>
      <c r="AK342" s="112" t="e">
        <f t="shared" si="216"/>
        <v>#N/A</v>
      </c>
      <c r="AL342" s="112" t="e">
        <f t="shared" si="216"/>
        <v>#N/A</v>
      </c>
      <c r="AM342" s="112" t="e">
        <f t="shared" si="216"/>
        <v>#N/A</v>
      </c>
      <c r="AN342" s="112" t="e">
        <f t="shared" si="216"/>
        <v>#N/A</v>
      </c>
      <c r="AO342" s="112" t="e">
        <f t="shared" si="216"/>
        <v>#N/A</v>
      </c>
      <c r="AP342" s="112" t="e">
        <f t="shared" si="216"/>
        <v>#N/A</v>
      </c>
      <c r="AQ342" s="112" t="e">
        <f t="shared" si="216"/>
        <v>#N/A</v>
      </c>
      <c r="AR342" s="112" t="e">
        <f t="shared" si="216"/>
        <v>#N/A</v>
      </c>
      <c r="AS342" s="112" t="e">
        <f t="shared" si="216"/>
        <v>#N/A</v>
      </c>
      <c r="AT342" s="112" t="e">
        <f t="shared" si="216"/>
        <v>#N/A</v>
      </c>
      <c r="AU342" s="112" t="e">
        <f t="shared" si="216"/>
        <v>#N/A</v>
      </c>
      <c r="AV342" s="112" t="e">
        <f t="shared" si="216"/>
        <v>#N/A</v>
      </c>
      <c r="AW342" s="112" t="e">
        <f t="shared" si="216"/>
        <v>#N/A</v>
      </c>
      <c r="AX342" s="112" t="e">
        <f t="shared" si="216"/>
        <v>#N/A</v>
      </c>
      <c r="AY342" s="112" t="e">
        <f t="shared" si="216"/>
        <v>#N/A</v>
      </c>
      <c r="AZ342" s="112" t="e">
        <f t="shared" si="216"/>
        <v>#N/A</v>
      </c>
      <c r="BA342" s="112" t="e">
        <f t="shared" si="216"/>
        <v>#N/A</v>
      </c>
      <c r="BB342" s="112" t="e">
        <f t="shared" si="216"/>
        <v>#N/A</v>
      </c>
      <c r="BC342" s="112" t="e">
        <f t="shared" si="216"/>
        <v>#N/A</v>
      </c>
      <c r="BD342" s="112" t="e">
        <f t="shared" si="216"/>
        <v>#N/A</v>
      </c>
      <c r="BE342" s="112" t="e">
        <f t="shared" si="216"/>
        <v>#N/A</v>
      </c>
      <c r="BF342" s="112" t="e">
        <f t="shared" si="216"/>
        <v>#N/A</v>
      </c>
      <c r="BG342" s="112" t="e">
        <f t="shared" si="216"/>
        <v>#N/A</v>
      </c>
      <c r="BH342" s="112" t="e">
        <f t="shared" si="216"/>
        <v>#N/A</v>
      </c>
      <c r="BI342" s="112" t="e">
        <f t="shared" si="216"/>
        <v>#N/A</v>
      </c>
      <c r="BJ342" s="112" t="e">
        <f t="shared" si="216"/>
        <v>#N/A</v>
      </c>
      <c r="BK342" s="112" t="e">
        <f t="shared" si="216"/>
        <v>#N/A</v>
      </c>
      <c r="BL342" s="112" t="e">
        <f t="shared" si="216"/>
        <v>#N/A</v>
      </c>
      <c r="BM342" s="112" t="e">
        <f t="shared" si="216"/>
        <v>#N/A</v>
      </c>
      <c r="BN342" s="112" t="e">
        <f t="shared" si="216"/>
        <v>#N/A</v>
      </c>
      <c r="BO342" s="112" t="e">
        <f t="shared" si="216"/>
        <v>#N/A</v>
      </c>
      <c r="BP342" s="112" t="e">
        <f t="shared" si="216"/>
        <v>#N/A</v>
      </c>
      <c r="BQ342" s="112" t="e">
        <f t="shared" si="216"/>
        <v>#N/A</v>
      </c>
      <c r="BR342" s="112" t="e">
        <f t="shared" si="216"/>
        <v>#N/A</v>
      </c>
      <c r="BS342" s="112" t="e">
        <f t="shared" si="216"/>
        <v>#N/A</v>
      </c>
      <c r="BT342" s="112" t="e">
        <f t="shared" si="216"/>
        <v>#N/A</v>
      </c>
      <c r="BU342" s="112" t="e">
        <f t="shared" si="216"/>
        <v>#N/A</v>
      </c>
      <c r="BV342" s="112" t="e">
        <f t="shared" si="216"/>
        <v>#N/A</v>
      </c>
      <c r="BW342" s="112" t="e">
        <f t="shared" ref="BW342:CC342" si="217">IF(($F$318+$F$338)=0,0,+BW338/($F$318+$F$338))</f>
        <v>#N/A</v>
      </c>
      <c r="BX342" s="112" t="e">
        <f t="shared" si="217"/>
        <v>#N/A</v>
      </c>
      <c r="BY342" s="112" t="e">
        <f t="shared" si="217"/>
        <v>#N/A</v>
      </c>
      <c r="BZ342" s="112" t="e">
        <f t="shared" si="217"/>
        <v>#N/A</v>
      </c>
      <c r="CA342" s="112" t="e">
        <f t="shared" si="217"/>
        <v>#N/A</v>
      </c>
      <c r="CB342" s="112" t="e">
        <f t="shared" si="217"/>
        <v>#N/A</v>
      </c>
      <c r="CC342" s="112" t="e">
        <f t="shared" si="217"/>
        <v>#N/A</v>
      </c>
    </row>
    <row r="343" spans="2:95" ht="5.0999999999999996" customHeight="1" x14ac:dyDescent="0.2"/>
    <row r="344" spans="2:95" s="32" customFormat="1" x14ac:dyDescent="0.2">
      <c r="B344" s="83" t="s">
        <v>115</v>
      </c>
      <c r="F344"/>
      <c r="G344"/>
      <c r="H344"/>
      <c r="I344"/>
      <c r="J344" s="211" t="e">
        <f>+J342</f>
        <v>#N/A</v>
      </c>
      <c r="K344" s="211" t="e">
        <f t="shared" ref="K344:BV344" si="218">+J344+K342</f>
        <v>#N/A</v>
      </c>
      <c r="L344" s="211" t="e">
        <f t="shared" si="218"/>
        <v>#N/A</v>
      </c>
      <c r="M344" s="211" t="e">
        <f t="shared" si="218"/>
        <v>#N/A</v>
      </c>
      <c r="N344" s="211" t="e">
        <f t="shared" si="218"/>
        <v>#N/A</v>
      </c>
      <c r="O344" s="211" t="e">
        <f t="shared" si="218"/>
        <v>#N/A</v>
      </c>
      <c r="P344" s="211" t="e">
        <f t="shared" si="218"/>
        <v>#N/A</v>
      </c>
      <c r="Q344" s="211" t="e">
        <f t="shared" si="218"/>
        <v>#N/A</v>
      </c>
      <c r="R344" s="211" t="e">
        <f t="shared" si="218"/>
        <v>#N/A</v>
      </c>
      <c r="S344" s="211" t="e">
        <f t="shared" si="218"/>
        <v>#N/A</v>
      </c>
      <c r="T344" s="211" t="e">
        <f t="shared" si="218"/>
        <v>#N/A</v>
      </c>
      <c r="U344" s="211" t="e">
        <f t="shared" si="218"/>
        <v>#N/A</v>
      </c>
      <c r="V344" s="211" t="e">
        <f t="shared" si="218"/>
        <v>#N/A</v>
      </c>
      <c r="W344" s="211" t="e">
        <f t="shared" si="218"/>
        <v>#N/A</v>
      </c>
      <c r="X344" s="211" t="e">
        <f t="shared" si="218"/>
        <v>#N/A</v>
      </c>
      <c r="Y344" s="211" t="e">
        <f t="shared" si="218"/>
        <v>#N/A</v>
      </c>
      <c r="Z344" s="211" t="e">
        <f t="shared" si="218"/>
        <v>#N/A</v>
      </c>
      <c r="AA344" s="211" t="e">
        <f t="shared" si="218"/>
        <v>#N/A</v>
      </c>
      <c r="AB344" s="211" t="e">
        <f t="shared" si="218"/>
        <v>#N/A</v>
      </c>
      <c r="AC344" s="211" t="e">
        <f t="shared" si="218"/>
        <v>#N/A</v>
      </c>
      <c r="AD344" s="211" t="e">
        <f t="shared" si="218"/>
        <v>#N/A</v>
      </c>
      <c r="AE344" s="211" t="e">
        <f t="shared" si="218"/>
        <v>#N/A</v>
      </c>
      <c r="AF344" s="211" t="e">
        <f t="shared" si="218"/>
        <v>#N/A</v>
      </c>
      <c r="AG344" s="211" t="e">
        <f t="shared" si="218"/>
        <v>#N/A</v>
      </c>
      <c r="AH344" s="211" t="e">
        <f t="shared" si="218"/>
        <v>#N/A</v>
      </c>
      <c r="AI344" s="211" t="e">
        <f t="shared" si="218"/>
        <v>#N/A</v>
      </c>
      <c r="AJ344" s="211" t="e">
        <f t="shared" si="218"/>
        <v>#N/A</v>
      </c>
      <c r="AK344" s="211" t="e">
        <f t="shared" si="218"/>
        <v>#N/A</v>
      </c>
      <c r="AL344" s="211" t="e">
        <f t="shared" si="218"/>
        <v>#N/A</v>
      </c>
      <c r="AM344" s="211" t="e">
        <f t="shared" si="218"/>
        <v>#N/A</v>
      </c>
      <c r="AN344" s="211" t="e">
        <f t="shared" si="218"/>
        <v>#N/A</v>
      </c>
      <c r="AO344" s="211" t="e">
        <f t="shared" si="218"/>
        <v>#N/A</v>
      </c>
      <c r="AP344" s="211" t="e">
        <f t="shared" si="218"/>
        <v>#N/A</v>
      </c>
      <c r="AQ344" s="211" t="e">
        <f t="shared" si="218"/>
        <v>#N/A</v>
      </c>
      <c r="AR344" s="211" t="e">
        <f t="shared" si="218"/>
        <v>#N/A</v>
      </c>
      <c r="AS344" s="211" t="e">
        <f t="shared" si="218"/>
        <v>#N/A</v>
      </c>
      <c r="AT344" s="211" t="e">
        <f t="shared" si="218"/>
        <v>#N/A</v>
      </c>
      <c r="AU344" s="211" t="e">
        <f t="shared" si="218"/>
        <v>#N/A</v>
      </c>
      <c r="AV344" s="211" t="e">
        <f t="shared" si="218"/>
        <v>#N/A</v>
      </c>
      <c r="AW344" s="211" t="e">
        <f t="shared" si="218"/>
        <v>#N/A</v>
      </c>
      <c r="AX344" s="211" t="e">
        <f t="shared" si="218"/>
        <v>#N/A</v>
      </c>
      <c r="AY344" s="211" t="e">
        <f t="shared" si="218"/>
        <v>#N/A</v>
      </c>
      <c r="AZ344" s="211" t="e">
        <f t="shared" si="218"/>
        <v>#N/A</v>
      </c>
      <c r="BA344" s="211" t="e">
        <f t="shared" si="218"/>
        <v>#N/A</v>
      </c>
      <c r="BB344" s="211" t="e">
        <f t="shared" si="218"/>
        <v>#N/A</v>
      </c>
      <c r="BC344" s="211" t="e">
        <f t="shared" si="218"/>
        <v>#N/A</v>
      </c>
      <c r="BD344" s="211" t="e">
        <f t="shared" si="218"/>
        <v>#N/A</v>
      </c>
      <c r="BE344" s="211" t="e">
        <f t="shared" si="218"/>
        <v>#N/A</v>
      </c>
      <c r="BF344" s="211" t="e">
        <f t="shared" si="218"/>
        <v>#N/A</v>
      </c>
      <c r="BG344" s="211" t="e">
        <f t="shared" si="218"/>
        <v>#N/A</v>
      </c>
      <c r="BH344" s="211" t="e">
        <f t="shared" si="218"/>
        <v>#N/A</v>
      </c>
      <c r="BI344" s="211" t="e">
        <f t="shared" si="218"/>
        <v>#N/A</v>
      </c>
      <c r="BJ344" s="211" t="e">
        <f t="shared" si="218"/>
        <v>#N/A</v>
      </c>
      <c r="BK344" s="211" t="e">
        <f t="shared" si="218"/>
        <v>#N/A</v>
      </c>
      <c r="BL344" s="211" t="e">
        <f t="shared" si="218"/>
        <v>#N/A</v>
      </c>
      <c r="BM344" s="211" t="e">
        <f t="shared" si="218"/>
        <v>#N/A</v>
      </c>
      <c r="BN344" s="211" t="e">
        <f t="shared" si="218"/>
        <v>#N/A</v>
      </c>
      <c r="BO344" s="211" t="e">
        <f t="shared" si="218"/>
        <v>#N/A</v>
      </c>
      <c r="BP344" s="211" t="e">
        <f t="shared" si="218"/>
        <v>#N/A</v>
      </c>
      <c r="BQ344" s="211" t="e">
        <f t="shared" si="218"/>
        <v>#N/A</v>
      </c>
      <c r="BR344" s="211" t="e">
        <f t="shared" si="218"/>
        <v>#N/A</v>
      </c>
      <c r="BS344" s="211" t="e">
        <f t="shared" si="218"/>
        <v>#N/A</v>
      </c>
      <c r="BT344" s="211" t="e">
        <f t="shared" si="218"/>
        <v>#N/A</v>
      </c>
      <c r="BU344" s="211" t="e">
        <f t="shared" si="218"/>
        <v>#N/A</v>
      </c>
      <c r="BV344" s="211" t="e">
        <f t="shared" si="218"/>
        <v>#N/A</v>
      </c>
      <c r="BW344" s="211" t="e">
        <f t="shared" ref="BW344:CC344" si="219">+BV344+BW342</f>
        <v>#N/A</v>
      </c>
      <c r="BX344" s="211" t="e">
        <f t="shared" si="219"/>
        <v>#N/A</v>
      </c>
      <c r="BY344" s="211" t="e">
        <f t="shared" si="219"/>
        <v>#N/A</v>
      </c>
      <c r="BZ344" s="211" t="e">
        <f t="shared" si="219"/>
        <v>#N/A</v>
      </c>
      <c r="CA344" s="211" t="e">
        <f t="shared" si="219"/>
        <v>#N/A</v>
      </c>
      <c r="CB344" s="211" t="e">
        <f t="shared" si="219"/>
        <v>#N/A</v>
      </c>
      <c r="CC344" s="211" t="e">
        <f t="shared" si="219"/>
        <v>#N/A</v>
      </c>
    </row>
    <row r="345" spans="2:95" ht="5.0999999999999996" customHeight="1" x14ac:dyDescent="0.2"/>
    <row r="346" spans="2:95" x14ac:dyDescent="0.2">
      <c r="B346" s="75" t="s">
        <v>301</v>
      </c>
      <c r="C346" s="67"/>
      <c r="D346" s="67"/>
      <c r="E346" s="67"/>
      <c r="F346" s="67"/>
      <c r="G346" s="67"/>
      <c r="H346" s="67"/>
      <c r="I346" s="67"/>
      <c r="J346" s="67"/>
      <c r="K346" s="67"/>
      <c r="L346" s="67"/>
      <c r="M346" s="67"/>
      <c r="N346" s="67"/>
      <c r="O346" s="67"/>
      <c r="P346" s="67"/>
      <c r="Q346" s="121"/>
      <c r="R346" s="67"/>
      <c r="S346" s="67"/>
      <c r="T346" s="67"/>
      <c r="U346" s="67"/>
      <c r="V346" s="67"/>
      <c r="W346" s="67"/>
      <c r="X346" s="67"/>
      <c r="Y346" s="67"/>
      <c r="Z346" s="67"/>
      <c r="AA346" s="67"/>
      <c r="AB346" s="67"/>
      <c r="AC346" s="67"/>
      <c r="AD346" s="67"/>
      <c r="AE346" s="67"/>
      <c r="AF346" s="67"/>
      <c r="AG346" s="67"/>
      <c r="AH346" s="67"/>
      <c r="AI346" s="67"/>
      <c r="AJ346" s="67"/>
      <c r="AK346" s="67"/>
      <c r="AL346" s="67"/>
      <c r="AM346" s="67"/>
      <c r="AN346" s="67"/>
      <c r="AO346" s="67"/>
      <c r="AP346" s="67"/>
      <c r="AQ346" s="67"/>
      <c r="AR346" s="67"/>
      <c r="AS346" s="67"/>
      <c r="AT346" s="67"/>
      <c r="AU346" s="67"/>
      <c r="AV346" s="67"/>
      <c r="AW346" s="67"/>
      <c r="AX346" s="67"/>
      <c r="AY346" s="67"/>
      <c r="AZ346" s="67"/>
      <c r="BA346" s="67"/>
      <c r="BB346" s="67"/>
      <c r="BC346" s="67"/>
      <c r="BD346" s="67"/>
      <c r="BE346" s="67"/>
      <c r="BF346" s="67"/>
      <c r="BG346" s="67"/>
      <c r="BH346" s="67"/>
      <c r="BI346" s="67"/>
      <c r="BJ346" s="67"/>
      <c r="BK346" s="67"/>
      <c r="BL346" s="67"/>
      <c r="BM346" s="67"/>
      <c r="BN346" s="67"/>
      <c r="BO346" s="67"/>
      <c r="BP346" s="67"/>
      <c r="BQ346" s="67"/>
      <c r="BR346" s="67"/>
      <c r="BS346" s="67"/>
      <c r="BT346" s="67"/>
      <c r="BU346" s="67"/>
      <c r="BV346" s="67"/>
      <c r="BW346" s="67"/>
      <c r="BX346" s="67"/>
      <c r="BY346" s="67"/>
      <c r="BZ346" s="67"/>
      <c r="CA346" s="67"/>
      <c r="CB346" s="67"/>
      <c r="CC346" s="67"/>
    </row>
    <row r="347" spans="2:95" ht="5.0999999999999996" customHeight="1" x14ac:dyDescent="0.2"/>
    <row r="348" spans="2:95" s="32" customFormat="1" ht="41.25" x14ac:dyDescent="0.2">
      <c r="B348" s="659" t="s">
        <v>196</v>
      </c>
      <c r="C348" s="659"/>
      <c r="D348" s="659"/>
      <c r="E348" s="659"/>
      <c r="F348" s="659"/>
      <c r="H348" s="83" t="s">
        <v>302</v>
      </c>
      <c r="J348" s="190" t="e">
        <f>J146</f>
        <v>#N/A</v>
      </c>
      <c r="K348" s="190" t="e">
        <f t="shared" ref="K348:BV348" si="220">K146</f>
        <v>#N/A</v>
      </c>
      <c r="L348" s="190" t="e">
        <f t="shared" si="220"/>
        <v>#N/A</v>
      </c>
      <c r="M348" s="190" t="e">
        <f t="shared" si="220"/>
        <v>#N/A</v>
      </c>
      <c r="N348" s="190" t="e">
        <f t="shared" si="220"/>
        <v>#N/A</v>
      </c>
      <c r="O348" s="190" t="e">
        <f t="shared" si="220"/>
        <v>#N/A</v>
      </c>
      <c r="P348" s="190" t="e">
        <f t="shared" si="220"/>
        <v>#N/A</v>
      </c>
      <c r="Q348" s="190" t="e">
        <f t="shared" si="220"/>
        <v>#N/A</v>
      </c>
      <c r="R348" s="190" t="e">
        <f t="shared" si="220"/>
        <v>#N/A</v>
      </c>
      <c r="S348" s="190" t="e">
        <f t="shared" si="220"/>
        <v>#N/A</v>
      </c>
      <c r="T348" s="190" t="e">
        <f t="shared" si="220"/>
        <v>#N/A</v>
      </c>
      <c r="U348" s="190" t="e">
        <f t="shared" si="220"/>
        <v>#N/A</v>
      </c>
      <c r="V348" s="190" t="e">
        <f t="shared" si="220"/>
        <v>#N/A</v>
      </c>
      <c r="W348" s="190" t="e">
        <f t="shared" si="220"/>
        <v>#N/A</v>
      </c>
      <c r="X348" s="190" t="e">
        <f t="shared" si="220"/>
        <v>#N/A</v>
      </c>
      <c r="Y348" s="190" t="e">
        <f t="shared" si="220"/>
        <v>#N/A</v>
      </c>
      <c r="Z348" s="190" t="e">
        <f t="shared" si="220"/>
        <v>#N/A</v>
      </c>
      <c r="AA348" s="190" t="e">
        <f t="shared" si="220"/>
        <v>#N/A</v>
      </c>
      <c r="AB348" s="190" t="e">
        <f t="shared" si="220"/>
        <v>#N/A</v>
      </c>
      <c r="AC348" s="190" t="e">
        <f t="shared" si="220"/>
        <v>#N/A</v>
      </c>
      <c r="AD348" s="190" t="e">
        <f t="shared" si="220"/>
        <v>#N/A</v>
      </c>
      <c r="AE348" s="190" t="e">
        <f t="shared" si="220"/>
        <v>#N/A</v>
      </c>
      <c r="AF348" s="190" t="e">
        <f t="shared" si="220"/>
        <v>#N/A</v>
      </c>
      <c r="AG348" s="190" t="e">
        <f t="shared" si="220"/>
        <v>#N/A</v>
      </c>
      <c r="AH348" s="190" t="e">
        <f t="shared" si="220"/>
        <v>#N/A</v>
      </c>
      <c r="AI348" s="190" t="e">
        <f t="shared" si="220"/>
        <v>#N/A</v>
      </c>
      <c r="AJ348" s="190" t="e">
        <f t="shared" si="220"/>
        <v>#N/A</v>
      </c>
      <c r="AK348" s="190" t="e">
        <f t="shared" si="220"/>
        <v>#N/A</v>
      </c>
      <c r="AL348" s="190" t="e">
        <f t="shared" si="220"/>
        <v>#N/A</v>
      </c>
      <c r="AM348" s="190" t="e">
        <f t="shared" si="220"/>
        <v>#N/A</v>
      </c>
      <c r="AN348" s="190" t="e">
        <f t="shared" si="220"/>
        <v>#N/A</v>
      </c>
      <c r="AO348" s="190" t="e">
        <f t="shared" si="220"/>
        <v>#N/A</v>
      </c>
      <c r="AP348" s="190" t="e">
        <f t="shared" si="220"/>
        <v>#N/A</v>
      </c>
      <c r="AQ348" s="190" t="e">
        <f t="shared" si="220"/>
        <v>#N/A</v>
      </c>
      <c r="AR348" s="190" t="e">
        <f t="shared" si="220"/>
        <v>#N/A</v>
      </c>
      <c r="AS348" s="190" t="e">
        <f t="shared" si="220"/>
        <v>#N/A</v>
      </c>
      <c r="AT348" s="190" t="e">
        <f t="shared" si="220"/>
        <v>#N/A</v>
      </c>
      <c r="AU348" s="190" t="e">
        <f t="shared" si="220"/>
        <v>#N/A</v>
      </c>
      <c r="AV348" s="190" t="e">
        <f t="shared" si="220"/>
        <v>#N/A</v>
      </c>
      <c r="AW348" s="190" t="e">
        <f t="shared" si="220"/>
        <v>#N/A</v>
      </c>
      <c r="AX348" s="190" t="e">
        <f t="shared" si="220"/>
        <v>#N/A</v>
      </c>
      <c r="AY348" s="190" t="e">
        <f t="shared" si="220"/>
        <v>#N/A</v>
      </c>
      <c r="AZ348" s="190" t="e">
        <f t="shared" si="220"/>
        <v>#N/A</v>
      </c>
      <c r="BA348" s="190" t="e">
        <f t="shared" si="220"/>
        <v>#N/A</v>
      </c>
      <c r="BB348" s="190" t="e">
        <f t="shared" si="220"/>
        <v>#N/A</v>
      </c>
      <c r="BC348" s="190" t="e">
        <f t="shared" si="220"/>
        <v>#N/A</v>
      </c>
      <c r="BD348" s="190" t="e">
        <f t="shared" si="220"/>
        <v>#N/A</v>
      </c>
      <c r="BE348" s="190" t="e">
        <f t="shared" si="220"/>
        <v>#N/A</v>
      </c>
      <c r="BF348" s="190" t="e">
        <f t="shared" si="220"/>
        <v>#N/A</v>
      </c>
      <c r="BG348" s="190" t="e">
        <f t="shared" si="220"/>
        <v>#N/A</v>
      </c>
      <c r="BH348" s="190" t="e">
        <f t="shared" si="220"/>
        <v>#N/A</v>
      </c>
      <c r="BI348" s="190" t="e">
        <f t="shared" si="220"/>
        <v>#N/A</v>
      </c>
      <c r="BJ348" s="190" t="e">
        <f t="shared" si="220"/>
        <v>#N/A</v>
      </c>
      <c r="BK348" s="190" t="e">
        <f t="shared" si="220"/>
        <v>#N/A</v>
      </c>
      <c r="BL348" s="190" t="e">
        <f t="shared" si="220"/>
        <v>#N/A</v>
      </c>
      <c r="BM348" s="190" t="e">
        <f t="shared" si="220"/>
        <v>#N/A</v>
      </c>
      <c r="BN348" s="190" t="e">
        <f t="shared" si="220"/>
        <v>#N/A</v>
      </c>
      <c r="BO348" s="190" t="e">
        <f t="shared" si="220"/>
        <v>#N/A</v>
      </c>
      <c r="BP348" s="190" t="e">
        <f t="shared" si="220"/>
        <v>#N/A</v>
      </c>
      <c r="BQ348" s="190" t="e">
        <f t="shared" si="220"/>
        <v>#N/A</v>
      </c>
      <c r="BR348" s="190" t="e">
        <f t="shared" si="220"/>
        <v>#N/A</v>
      </c>
      <c r="BS348" s="190" t="e">
        <f t="shared" si="220"/>
        <v>#N/A</v>
      </c>
      <c r="BT348" s="190" t="e">
        <f t="shared" si="220"/>
        <v>#N/A</v>
      </c>
      <c r="BU348" s="190" t="e">
        <f t="shared" si="220"/>
        <v>#N/A</v>
      </c>
      <c r="BV348" s="190" t="e">
        <f t="shared" si="220"/>
        <v>#N/A</v>
      </c>
      <c r="BW348" s="190" t="e">
        <f t="shared" ref="BW348:CC348" si="221">BW146</f>
        <v>#N/A</v>
      </c>
      <c r="BX348" s="190" t="e">
        <f t="shared" si="221"/>
        <v>#N/A</v>
      </c>
      <c r="BY348" s="190" t="e">
        <f t="shared" si="221"/>
        <v>#N/A</v>
      </c>
      <c r="BZ348" s="190" t="e">
        <f t="shared" si="221"/>
        <v>#N/A</v>
      </c>
      <c r="CA348" s="190" t="e">
        <f t="shared" si="221"/>
        <v>#N/A</v>
      </c>
      <c r="CB348" s="190" t="e">
        <f t="shared" si="221"/>
        <v>#N/A</v>
      </c>
      <c r="CC348" s="190" t="e">
        <f t="shared" si="221"/>
        <v>#N/A</v>
      </c>
    </row>
    <row r="349" spans="2:95" s="32" customFormat="1" ht="5.0999999999999996" customHeight="1" x14ac:dyDescent="0.2"/>
    <row r="350" spans="2:95" s="32" customFormat="1" x14ac:dyDescent="0.2">
      <c r="B350" s="519" t="s">
        <v>198</v>
      </c>
      <c r="C350" s="520"/>
      <c r="D350" s="520"/>
      <c r="E350" s="520"/>
      <c r="F350" s="521"/>
      <c r="H350" s="205">
        <f>SUM(J350:CC350)</f>
        <v>0</v>
      </c>
      <c r="I350" s="113"/>
      <c r="J350" s="115">
        <f>+J182</f>
        <v>0</v>
      </c>
      <c r="K350" s="115">
        <f t="shared" ref="K350:BV350" si="222">+K182</f>
        <v>0</v>
      </c>
      <c r="L350" s="115">
        <f t="shared" si="222"/>
        <v>0</v>
      </c>
      <c r="M350" s="115">
        <f t="shared" si="222"/>
        <v>0</v>
      </c>
      <c r="N350" s="115">
        <f t="shared" si="222"/>
        <v>0</v>
      </c>
      <c r="O350" s="115">
        <f t="shared" si="222"/>
        <v>0</v>
      </c>
      <c r="P350" s="115">
        <f t="shared" si="222"/>
        <v>0</v>
      </c>
      <c r="Q350" s="115">
        <f t="shared" si="222"/>
        <v>0</v>
      </c>
      <c r="R350" s="115">
        <f t="shared" si="222"/>
        <v>0</v>
      </c>
      <c r="S350" s="115">
        <f t="shared" si="222"/>
        <v>0</v>
      </c>
      <c r="T350" s="115">
        <f t="shared" si="222"/>
        <v>0</v>
      </c>
      <c r="U350" s="115">
        <f t="shared" si="222"/>
        <v>0</v>
      </c>
      <c r="V350" s="115">
        <f t="shared" si="222"/>
        <v>0</v>
      </c>
      <c r="W350" s="115">
        <f t="shared" si="222"/>
        <v>0</v>
      </c>
      <c r="X350" s="115">
        <f t="shared" si="222"/>
        <v>0</v>
      </c>
      <c r="Y350" s="115">
        <f t="shared" si="222"/>
        <v>0</v>
      </c>
      <c r="Z350" s="115">
        <f t="shared" si="222"/>
        <v>0</v>
      </c>
      <c r="AA350" s="115">
        <f t="shared" si="222"/>
        <v>0</v>
      </c>
      <c r="AB350" s="115">
        <f t="shared" si="222"/>
        <v>0</v>
      </c>
      <c r="AC350" s="115">
        <f t="shared" si="222"/>
        <v>0</v>
      </c>
      <c r="AD350" s="115">
        <f t="shared" si="222"/>
        <v>0</v>
      </c>
      <c r="AE350" s="115">
        <f t="shared" si="222"/>
        <v>0</v>
      </c>
      <c r="AF350" s="115">
        <f t="shared" si="222"/>
        <v>0</v>
      </c>
      <c r="AG350" s="115">
        <f t="shared" si="222"/>
        <v>0</v>
      </c>
      <c r="AH350" s="115">
        <f t="shared" si="222"/>
        <v>0</v>
      </c>
      <c r="AI350" s="115">
        <f t="shared" si="222"/>
        <v>0</v>
      </c>
      <c r="AJ350" s="115">
        <f t="shared" si="222"/>
        <v>0</v>
      </c>
      <c r="AK350" s="115">
        <f t="shared" si="222"/>
        <v>0</v>
      </c>
      <c r="AL350" s="115">
        <f t="shared" si="222"/>
        <v>0</v>
      </c>
      <c r="AM350" s="115">
        <f t="shared" si="222"/>
        <v>0</v>
      </c>
      <c r="AN350" s="115">
        <f t="shared" si="222"/>
        <v>0</v>
      </c>
      <c r="AO350" s="115">
        <f t="shared" si="222"/>
        <v>0</v>
      </c>
      <c r="AP350" s="115">
        <f t="shared" si="222"/>
        <v>0</v>
      </c>
      <c r="AQ350" s="115">
        <f t="shared" si="222"/>
        <v>0</v>
      </c>
      <c r="AR350" s="115">
        <f t="shared" si="222"/>
        <v>0</v>
      </c>
      <c r="AS350" s="115">
        <f t="shared" si="222"/>
        <v>0</v>
      </c>
      <c r="AT350" s="115">
        <f t="shared" si="222"/>
        <v>0</v>
      </c>
      <c r="AU350" s="115">
        <f t="shared" si="222"/>
        <v>0</v>
      </c>
      <c r="AV350" s="115">
        <f t="shared" si="222"/>
        <v>0</v>
      </c>
      <c r="AW350" s="115">
        <f t="shared" si="222"/>
        <v>0</v>
      </c>
      <c r="AX350" s="115">
        <f t="shared" si="222"/>
        <v>0</v>
      </c>
      <c r="AY350" s="115">
        <f t="shared" si="222"/>
        <v>0</v>
      </c>
      <c r="AZ350" s="115">
        <f t="shared" si="222"/>
        <v>0</v>
      </c>
      <c r="BA350" s="115">
        <f t="shared" si="222"/>
        <v>0</v>
      </c>
      <c r="BB350" s="115">
        <f t="shared" si="222"/>
        <v>0</v>
      </c>
      <c r="BC350" s="115">
        <f t="shared" si="222"/>
        <v>0</v>
      </c>
      <c r="BD350" s="115">
        <f t="shared" si="222"/>
        <v>0</v>
      </c>
      <c r="BE350" s="115">
        <f t="shared" si="222"/>
        <v>0</v>
      </c>
      <c r="BF350" s="115">
        <f t="shared" si="222"/>
        <v>0</v>
      </c>
      <c r="BG350" s="115">
        <f t="shared" si="222"/>
        <v>0</v>
      </c>
      <c r="BH350" s="115">
        <f t="shared" si="222"/>
        <v>0</v>
      </c>
      <c r="BI350" s="115">
        <f t="shared" si="222"/>
        <v>0</v>
      </c>
      <c r="BJ350" s="115">
        <f t="shared" si="222"/>
        <v>0</v>
      </c>
      <c r="BK350" s="115">
        <f t="shared" si="222"/>
        <v>0</v>
      </c>
      <c r="BL350" s="115">
        <f t="shared" si="222"/>
        <v>0</v>
      </c>
      <c r="BM350" s="115">
        <f t="shared" si="222"/>
        <v>0</v>
      </c>
      <c r="BN350" s="115">
        <f t="shared" si="222"/>
        <v>0</v>
      </c>
      <c r="BO350" s="115">
        <f t="shared" si="222"/>
        <v>0</v>
      </c>
      <c r="BP350" s="115">
        <f t="shared" si="222"/>
        <v>0</v>
      </c>
      <c r="BQ350" s="115">
        <f t="shared" si="222"/>
        <v>0</v>
      </c>
      <c r="BR350" s="115">
        <f t="shared" si="222"/>
        <v>0</v>
      </c>
      <c r="BS350" s="115">
        <f t="shared" si="222"/>
        <v>0</v>
      </c>
      <c r="BT350" s="115">
        <f t="shared" si="222"/>
        <v>0</v>
      </c>
      <c r="BU350" s="115">
        <f t="shared" si="222"/>
        <v>0</v>
      </c>
      <c r="BV350" s="115">
        <f t="shared" si="222"/>
        <v>0</v>
      </c>
      <c r="BW350" s="115">
        <f t="shared" ref="BW350:CC350" si="223">+BW182</f>
        <v>0</v>
      </c>
      <c r="BX350" s="115">
        <f t="shared" si="223"/>
        <v>0</v>
      </c>
      <c r="BY350" s="115">
        <f t="shared" si="223"/>
        <v>0</v>
      </c>
      <c r="BZ350" s="115">
        <f t="shared" si="223"/>
        <v>0</v>
      </c>
      <c r="CA350" s="115">
        <f t="shared" si="223"/>
        <v>0</v>
      </c>
      <c r="CB350" s="115">
        <f t="shared" si="223"/>
        <v>0</v>
      </c>
      <c r="CC350" s="115">
        <f t="shared" si="223"/>
        <v>0</v>
      </c>
      <c r="CJ350" s="216"/>
      <c r="CK350" s="216"/>
      <c r="CL350" s="216"/>
      <c r="CM350" s="216"/>
      <c r="CN350" s="216"/>
      <c r="CO350" s="216"/>
      <c r="CP350" s="216"/>
      <c r="CQ350" s="216"/>
    </row>
    <row r="351" spans="2:95" ht="5.0999999999999996" customHeight="1" x14ac:dyDescent="0.2">
      <c r="F351" s="32"/>
      <c r="G351" s="32"/>
      <c r="H351" s="113"/>
      <c r="I351" s="113"/>
      <c r="J351" s="113"/>
      <c r="K351" s="113"/>
      <c r="L351" s="113"/>
      <c r="M351" s="113"/>
      <c r="N351" s="113"/>
      <c r="O351" s="113"/>
      <c r="P351" s="113"/>
      <c r="Q351" s="113"/>
      <c r="R351" s="113"/>
      <c r="S351" s="113"/>
      <c r="T351" s="113"/>
      <c r="U351" s="113"/>
      <c r="V351" s="113"/>
      <c r="W351" s="113"/>
      <c r="X351" s="113"/>
      <c r="Y351" s="113"/>
      <c r="Z351" s="113"/>
      <c r="AA351" s="113"/>
      <c r="AB351" s="113"/>
      <c r="AC351" s="113"/>
      <c r="AD351" s="113"/>
      <c r="AE351" s="113"/>
      <c r="AF351" s="113"/>
      <c r="AG351" s="113"/>
      <c r="AH351" s="113"/>
      <c r="AI351" s="113"/>
      <c r="AJ351" s="113"/>
      <c r="AK351" s="113"/>
      <c r="AL351" s="113"/>
      <c r="AM351" s="113"/>
      <c r="AN351" s="113"/>
      <c r="AO351" s="113"/>
      <c r="AP351" s="113"/>
      <c r="AQ351" s="113"/>
      <c r="AR351" s="113"/>
      <c r="AS351" s="113"/>
      <c r="AT351" s="113"/>
      <c r="AU351" s="113"/>
      <c r="AV351" s="113"/>
      <c r="AW351" s="113"/>
      <c r="AX351" s="113"/>
      <c r="AY351" s="113"/>
      <c r="AZ351" s="113"/>
      <c r="BA351" s="113"/>
      <c r="BB351" s="113"/>
      <c r="BC351" s="113"/>
      <c r="BD351" s="113"/>
      <c r="BE351" s="113"/>
      <c r="BF351" s="113"/>
      <c r="BG351" s="113"/>
      <c r="BH351" s="113"/>
      <c r="BI351" s="113"/>
      <c r="BJ351" s="113"/>
      <c r="BK351" s="113"/>
      <c r="BL351" s="113"/>
      <c r="BM351" s="113"/>
      <c r="BN351" s="113"/>
      <c r="BO351" s="113"/>
      <c r="BP351" s="113"/>
      <c r="BQ351" s="113"/>
      <c r="BR351" s="113"/>
      <c r="BS351" s="113"/>
      <c r="BT351" s="113"/>
      <c r="BU351" s="113"/>
      <c r="BV351" s="113"/>
      <c r="BW351" s="113"/>
      <c r="BX351" s="113"/>
      <c r="BY351" s="113"/>
      <c r="BZ351" s="113"/>
      <c r="CA351" s="113"/>
      <c r="CB351" s="113"/>
      <c r="CC351" s="113"/>
      <c r="CF351" s="32"/>
      <c r="CG351" s="32"/>
    </row>
    <row r="352" spans="2:95" s="32" customFormat="1" ht="15" customHeight="1" x14ac:dyDescent="0.2">
      <c r="B352" s="519" t="s">
        <v>199</v>
      </c>
      <c r="C352" s="520"/>
      <c r="D352" s="520"/>
      <c r="E352" s="520"/>
      <c r="F352" s="521"/>
      <c r="H352" s="206">
        <f>SUM(J352:CC352)</f>
        <v>0</v>
      </c>
      <c r="I352" s="113"/>
      <c r="J352" s="139">
        <f t="shared" ref="J352:BU352" si="224">+J203</f>
        <v>0</v>
      </c>
      <c r="K352" s="139">
        <f t="shared" si="224"/>
        <v>0</v>
      </c>
      <c r="L352" s="139">
        <f t="shared" si="224"/>
        <v>0</v>
      </c>
      <c r="M352" s="139">
        <f t="shared" si="224"/>
        <v>0</v>
      </c>
      <c r="N352" s="115">
        <f t="shared" si="224"/>
        <v>0</v>
      </c>
      <c r="O352" s="115">
        <f t="shared" si="224"/>
        <v>0</v>
      </c>
      <c r="P352" s="115">
        <f t="shared" si="224"/>
        <v>0</v>
      </c>
      <c r="Q352" s="115">
        <f t="shared" si="224"/>
        <v>0</v>
      </c>
      <c r="R352" s="115">
        <f t="shared" si="224"/>
        <v>0</v>
      </c>
      <c r="S352" s="115">
        <f t="shared" si="224"/>
        <v>0</v>
      </c>
      <c r="T352" s="115">
        <f t="shared" si="224"/>
        <v>0</v>
      </c>
      <c r="U352" s="115">
        <f t="shared" si="224"/>
        <v>0</v>
      </c>
      <c r="V352" s="115">
        <f t="shared" si="224"/>
        <v>0</v>
      </c>
      <c r="W352" s="115">
        <f t="shared" si="224"/>
        <v>0</v>
      </c>
      <c r="X352" s="115">
        <f t="shared" si="224"/>
        <v>0</v>
      </c>
      <c r="Y352" s="115">
        <f t="shared" si="224"/>
        <v>0</v>
      </c>
      <c r="Z352" s="115">
        <f t="shared" si="224"/>
        <v>0</v>
      </c>
      <c r="AA352" s="115">
        <f t="shared" si="224"/>
        <v>0</v>
      </c>
      <c r="AB352" s="115">
        <f t="shared" si="224"/>
        <v>0</v>
      </c>
      <c r="AC352" s="115">
        <f t="shared" si="224"/>
        <v>0</v>
      </c>
      <c r="AD352" s="115">
        <f t="shared" si="224"/>
        <v>0</v>
      </c>
      <c r="AE352" s="115">
        <f t="shared" si="224"/>
        <v>0</v>
      </c>
      <c r="AF352" s="115">
        <f t="shared" si="224"/>
        <v>0</v>
      </c>
      <c r="AG352" s="115">
        <f t="shared" si="224"/>
        <v>0</v>
      </c>
      <c r="AH352" s="115">
        <f t="shared" si="224"/>
        <v>0</v>
      </c>
      <c r="AI352" s="115">
        <f t="shared" si="224"/>
        <v>0</v>
      </c>
      <c r="AJ352" s="115">
        <f t="shared" si="224"/>
        <v>0</v>
      </c>
      <c r="AK352" s="115">
        <f t="shared" si="224"/>
        <v>0</v>
      </c>
      <c r="AL352" s="115">
        <f t="shared" si="224"/>
        <v>0</v>
      </c>
      <c r="AM352" s="115">
        <f t="shared" si="224"/>
        <v>0</v>
      </c>
      <c r="AN352" s="115">
        <f t="shared" si="224"/>
        <v>0</v>
      </c>
      <c r="AO352" s="115">
        <f t="shared" si="224"/>
        <v>0</v>
      </c>
      <c r="AP352" s="115">
        <f t="shared" si="224"/>
        <v>0</v>
      </c>
      <c r="AQ352" s="115">
        <f t="shared" si="224"/>
        <v>0</v>
      </c>
      <c r="AR352" s="115">
        <f t="shared" si="224"/>
        <v>0</v>
      </c>
      <c r="AS352" s="115">
        <f t="shared" si="224"/>
        <v>0</v>
      </c>
      <c r="AT352" s="115">
        <f t="shared" si="224"/>
        <v>0</v>
      </c>
      <c r="AU352" s="115">
        <f t="shared" si="224"/>
        <v>0</v>
      </c>
      <c r="AV352" s="115">
        <f t="shared" si="224"/>
        <v>0</v>
      </c>
      <c r="AW352" s="115">
        <f t="shared" si="224"/>
        <v>0</v>
      </c>
      <c r="AX352" s="115">
        <f t="shared" si="224"/>
        <v>0</v>
      </c>
      <c r="AY352" s="115">
        <f t="shared" si="224"/>
        <v>0</v>
      </c>
      <c r="AZ352" s="115">
        <f t="shared" si="224"/>
        <v>0</v>
      </c>
      <c r="BA352" s="115">
        <f t="shared" si="224"/>
        <v>0</v>
      </c>
      <c r="BB352" s="115">
        <f t="shared" si="224"/>
        <v>0</v>
      </c>
      <c r="BC352" s="115">
        <f t="shared" si="224"/>
        <v>0</v>
      </c>
      <c r="BD352" s="115">
        <f t="shared" si="224"/>
        <v>0</v>
      </c>
      <c r="BE352" s="115">
        <f t="shared" si="224"/>
        <v>0</v>
      </c>
      <c r="BF352" s="115">
        <f t="shared" si="224"/>
        <v>0</v>
      </c>
      <c r="BG352" s="115">
        <f t="shared" si="224"/>
        <v>0</v>
      </c>
      <c r="BH352" s="115">
        <f t="shared" si="224"/>
        <v>0</v>
      </c>
      <c r="BI352" s="115">
        <f t="shared" si="224"/>
        <v>0</v>
      </c>
      <c r="BJ352" s="115">
        <f t="shared" si="224"/>
        <v>0</v>
      </c>
      <c r="BK352" s="115">
        <f t="shared" si="224"/>
        <v>0</v>
      </c>
      <c r="BL352" s="115">
        <f t="shared" si="224"/>
        <v>0</v>
      </c>
      <c r="BM352" s="115">
        <f t="shared" si="224"/>
        <v>0</v>
      </c>
      <c r="BN352" s="115">
        <f t="shared" si="224"/>
        <v>0</v>
      </c>
      <c r="BO352" s="115">
        <f t="shared" si="224"/>
        <v>0</v>
      </c>
      <c r="BP352" s="115">
        <f t="shared" si="224"/>
        <v>0</v>
      </c>
      <c r="BQ352" s="115">
        <f t="shared" si="224"/>
        <v>0</v>
      </c>
      <c r="BR352" s="115">
        <f t="shared" si="224"/>
        <v>0</v>
      </c>
      <c r="BS352" s="115">
        <f t="shared" si="224"/>
        <v>0</v>
      </c>
      <c r="BT352" s="115">
        <f t="shared" si="224"/>
        <v>0</v>
      </c>
      <c r="BU352" s="115">
        <f t="shared" si="224"/>
        <v>0</v>
      </c>
      <c r="BV352" s="115">
        <f t="shared" ref="BV352:CC352" si="225">+BV203</f>
        <v>0</v>
      </c>
      <c r="BW352" s="115">
        <f t="shared" si="225"/>
        <v>0</v>
      </c>
      <c r="BX352" s="115">
        <f t="shared" si="225"/>
        <v>0</v>
      </c>
      <c r="BY352" s="115">
        <f t="shared" si="225"/>
        <v>0</v>
      </c>
      <c r="BZ352" s="115">
        <f t="shared" si="225"/>
        <v>0</v>
      </c>
      <c r="CA352" s="115">
        <f t="shared" si="225"/>
        <v>0</v>
      </c>
      <c r="CB352" s="115">
        <f t="shared" si="225"/>
        <v>0</v>
      </c>
      <c r="CC352" s="115">
        <f t="shared" si="225"/>
        <v>0</v>
      </c>
    </row>
    <row r="353" spans="2:85" ht="5.0999999999999996" customHeight="1" x14ac:dyDescent="0.2">
      <c r="H353" s="113"/>
      <c r="I353" s="113"/>
      <c r="J353" s="113"/>
      <c r="K353" s="113"/>
      <c r="L353" s="113"/>
      <c r="M353" s="113"/>
      <c r="N353" s="113"/>
      <c r="O353" s="113"/>
      <c r="P353" s="113"/>
      <c r="Q353" s="113"/>
      <c r="R353" s="113"/>
      <c r="S353" s="113"/>
      <c r="T353" s="113"/>
      <c r="U353" s="113"/>
      <c r="V353" s="113"/>
      <c r="W353" s="113"/>
      <c r="X353" s="113"/>
      <c r="Y353" s="113"/>
      <c r="Z353" s="113"/>
      <c r="AA353" s="113"/>
      <c r="AB353" s="113"/>
      <c r="AC353" s="113"/>
      <c r="AD353" s="113"/>
      <c r="AE353" s="113"/>
      <c r="AF353" s="113"/>
      <c r="AG353" s="113"/>
      <c r="AH353" s="113"/>
      <c r="AI353" s="113"/>
      <c r="AJ353" s="113"/>
      <c r="AK353" s="113"/>
      <c r="AL353" s="113"/>
      <c r="AM353" s="113"/>
      <c r="AN353" s="113"/>
      <c r="AO353" s="113"/>
      <c r="AP353" s="113"/>
      <c r="AQ353" s="113"/>
      <c r="AR353" s="113"/>
      <c r="AS353" s="113"/>
      <c r="AT353" s="113"/>
      <c r="AU353" s="113"/>
      <c r="AV353" s="113"/>
      <c r="AW353" s="113"/>
      <c r="AX353" s="113"/>
      <c r="AY353" s="113"/>
      <c r="AZ353" s="113"/>
      <c r="BA353" s="113"/>
      <c r="BB353" s="113"/>
      <c r="BC353" s="113"/>
      <c r="BD353" s="113"/>
      <c r="BE353" s="113"/>
      <c r="BF353" s="113"/>
      <c r="BG353" s="113"/>
      <c r="BH353" s="113"/>
      <c r="BI353" s="113"/>
      <c r="BJ353" s="113"/>
      <c r="BK353" s="113"/>
      <c r="BL353" s="113"/>
      <c r="BM353" s="113"/>
      <c r="BN353" s="113"/>
      <c r="BO353" s="113"/>
      <c r="BP353" s="113"/>
      <c r="BQ353" s="113"/>
      <c r="BR353" s="113"/>
      <c r="BS353" s="113"/>
      <c r="BT353" s="113"/>
      <c r="BU353" s="113"/>
      <c r="BV353" s="113"/>
      <c r="BW353" s="113"/>
      <c r="BX353" s="113"/>
      <c r="BY353" s="113"/>
      <c r="BZ353" s="113"/>
      <c r="CA353" s="113"/>
      <c r="CB353" s="113"/>
      <c r="CC353" s="113"/>
      <c r="CF353" s="32"/>
      <c r="CG353" s="32"/>
    </row>
    <row r="354" spans="2:85" s="32" customFormat="1" ht="15" customHeight="1" x14ac:dyDescent="0.2">
      <c r="B354" s="638" t="s">
        <v>200</v>
      </c>
      <c r="C354" s="639"/>
      <c r="D354" s="639"/>
      <c r="E354" s="639"/>
      <c r="F354" s="640"/>
      <c r="H354" s="207">
        <f>+H350+H352</f>
        <v>0</v>
      </c>
      <c r="I354" s="113"/>
      <c r="J354" s="207">
        <f>+J350+J352</f>
        <v>0</v>
      </c>
      <c r="K354" s="207">
        <f t="shared" ref="K354:BV354" si="226">+K350+K352</f>
        <v>0</v>
      </c>
      <c r="L354" s="207">
        <f t="shared" si="226"/>
        <v>0</v>
      </c>
      <c r="M354" s="207">
        <f t="shared" si="226"/>
        <v>0</v>
      </c>
      <c r="N354" s="207">
        <f t="shared" si="226"/>
        <v>0</v>
      </c>
      <c r="O354" s="207">
        <f t="shared" si="226"/>
        <v>0</v>
      </c>
      <c r="P354" s="207">
        <f t="shared" si="226"/>
        <v>0</v>
      </c>
      <c r="Q354" s="207">
        <f t="shared" si="226"/>
        <v>0</v>
      </c>
      <c r="R354" s="207">
        <f t="shared" si="226"/>
        <v>0</v>
      </c>
      <c r="S354" s="207">
        <f t="shared" si="226"/>
        <v>0</v>
      </c>
      <c r="T354" s="207">
        <f t="shared" si="226"/>
        <v>0</v>
      </c>
      <c r="U354" s="207">
        <f t="shared" si="226"/>
        <v>0</v>
      </c>
      <c r="V354" s="207">
        <f t="shared" si="226"/>
        <v>0</v>
      </c>
      <c r="W354" s="207">
        <f t="shared" si="226"/>
        <v>0</v>
      </c>
      <c r="X354" s="207">
        <f t="shared" si="226"/>
        <v>0</v>
      </c>
      <c r="Y354" s="207">
        <f t="shared" si="226"/>
        <v>0</v>
      </c>
      <c r="Z354" s="207">
        <f t="shared" si="226"/>
        <v>0</v>
      </c>
      <c r="AA354" s="207">
        <f t="shared" si="226"/>
        <v>0</v>
      </c>
      <c r="AB354" s="207">
        <f t="shared" si="226"/>
        <v>0</v>
      </c>
      <c r="AC354" s="207">
        <f t="shared" si="226"/>
        <v>0</v>
      </c>
      <c r="AD354" s="207">
        <f t="shared" si="226"/>
        <v>0</v>
      </c>
      <c r="AE354" s="207">
        <f t="shared" si="226"/>
        <v>0</v>
      </c>
      <c r="AF354" s="207">
        <f t="shared" si="226"/>
        <v>0</v>
      </c>
      <c r="AG354" s="207">
        <f t="shared" si="226"/>
        <v>0</v>
      </c>
      <c r="AH354" s="207">
        <f t="shared" si="226"/>
        <v>0</v>
      </c>
      <c r="AI354" s="207">
        <f t="shared" si="226"/>
        <v>0</v>
      </c>
      <c r="AJ354" s="207">
        <f t="shared" si="226"/>
        <v>0</v>
      </c>
      <c r="AK354" s="207">
        <f t="shared" si="226"/>
        <v>0</v>
      </c>
      <c r="AL354" s="207">
        <f t="shared" si="226"/>
        <v>0</v>
      </c>
      <c r="AM354" s="207">
        <f t="shared" si="226"/>
        <v>0</v>
      </c>
      <c r="AN354" s="207">
        <f t="shared" si="226"/>
        <v>0</v>
      </c>
      <c r="AO354" s="207">
        <f t="shared" si="226"/>
        <v>0</v>
      </c>
      <c r="AP354" s="207">
        <f t="shared" si="226"/>
        <v>0</v>
      </c>
      <c r="AQ354" s="207">
        <f t="shared" si="226"/>
        <v>0</v>
      </c>
      <c r="AR354" s="207">
        <f t="shared" si="226"/>
        <v>0</v>
      </c>
      <c r="AS354" s="207">
        <f t="shared" si="226"/>
        <v>0</v>
      </c>
      <c r="AT354" s="207">
        <f t="shared" si="226"/>
        <v>0</v>
      </c>
      <c r="AU354" s="207">
        <f t="shared" si="226"/>
        <v>0</v>
      </c>
      <c r="AV354" s="207">
        <f t="shared" si="226"/>
        <v>0</v>
      </c>
      <c r="AW354" s="207">
        <f t="shared" si="226"/>
        <v>0</v>
      </c>
      <c r="AX354" s="207">
        <f t="shared" si="226"/>
        <v>0</v>
      </c>
      <c r="AY354" s="207">
        <f t="shared" si="226"/>
        <v>0</v>
      </c>
      <c r="AZ354" s="207">
        <f t="shared" si="226"/>
        <v>0</v>
      </c>
      <c r="BA354" s="207">
        <f t="shared" si="226"/>
        <v>0</v>
      </c>
      <c r="BB354" s="207">
        <f t="shared" si="226"/>
        <v>0</v>
      </c>
      <c r="BC354" s="207">
        <f t="shared" si="226"/>
        <v>0</v>
      </c>
      <c r="BD354" s="207">
        <f t="shared" si="226"/>
        <v>0</v>
      </c>
      <c r="BE354" s="207">
        <f t="shared" si="226"/>
        <v>0</v>
      </c>
      <c r="BF354" s="207">
        <f t="shared" si="226"/>
        <v>0</v>
      </c>
      <c r="BG354" s="207">
        <f t="shared" si="226"/>
        <v>0</v>
      </c>
      <c r="BH354" s="207">
        <f t="shared" si="226"/>
        <v>0</v>
      </c>
      <c r="BI354" s="207">
        <f t="shared" si="226"/>
        <v>0</v>
      </c>
      <c r="BJ354" s="207">
        <f t="shared" si="226"/>
        <v>0</v>
      </c>
      <c r="BK354" s="207">
        <f t="shared" si="226"/>
        <v>0</v>
      </c>
      <c r="BL354" s="207">
        <f t="shared" si="226"/>
        <v>0</v>
      </c>
      <c r="BM354" s="207">
        <f t="shared" si="226"/>
        <v>0</v>
      </c>
      <c r="BN354" s="207">
        <f t="shared" si="226"/>
        <v>0</v>
      </c>
      <c r="BO354" s="207">
        <f t="shared" si="226"/>
        <v>0</v>
      </c>
      <c r="BP354" s="207">
        <f t="shared" si="226"/>
        <v>0</v>
      </c>
      <c r="BQ354" s="207">
        <f t="shared" si="226"/>
        <v>0</v>
      </c>
      <c r="BR354" s="207">
        <f t="shared" si="226"/>
        <v>0</v>
      </c>
      <c r="BS354" s="207">
        <f t="shared" si="226"/>
        <v>0</v>
      </c>
      <c r="BT354" s="207">
        <f t="shared" si="226"/>
        <v>0</v>
      </c>
      <c r="BU354" s="207">
        <f t="shared" si="226"/>
        <v>0</v>
      </c>
      <c r="BV354" s="207">
        <f t="shared" si="226"/>
        <v>0</v>
      </c>
      <c r="BW354" s="207">
        <f t="shared" ref="BW354:CC354" si="227">+BW350+BW352</f>
        <v>0</v>
      </c>
      <c r="BX354" s="207">
        <f t="shared" si="227"/>
        <v>0</v>
      </c>
      <c r="BY354" s="207">
        <f t="shared" si="227"/>
        <v>0</v>
      </c>
      <c r="BZ354" s="207">
        <f t="shared" si="227"/>
        <v>0</v>
      </c>
      <c r="CA354" s="207">
        <f t="shared" si="227"/>
        <v>0</v>
      </c>
      <c r="CB354" s="207">
        <f t="shared" si="227"/>
        <v>0</v>
      </c>
      <c r="CC354" s="207">
        <f t="shared" si="227"/>
        <v>0</v>
      </c>
    </row>
    <row r="355" spans="2:85" ht="5.0999999999999996" customHeight="1" x14ac:dyDescent="0.2">
      <c r="CF355" s="32"/>
      <c r="CG355" s="32"/>
    </row>
    <row r="356" spans="2:85" s="32" customFormat="1" ht="15" customHeight="1" x14ac:dyDescent="0.2">
      <c r="B356" s="628" t="s">
        <v>201</v>
      </c>
      <c r="C356" s="629"/>
      <c r="D356" s="629"/>
      <c r="E356" s="629"/>
      <c r="F356" s="630"/>
      <c r="J356" s="100">
        <f>IF($H$354=0,0,+J354/$H$354)</f>
        <v>0</v>
      </c>
      <c r="K356" s="100">
        <f t="shared" ref="K356:BV356" si="228">IF($H$354=0,0,+K354/$H$354)</f>
        <v>0</v>
      </c>
      <c r="L356" s="100">
        <f t="shared" si="228"/>
        <v>0</v>
      </c>
      <c r="M356" s="100">
        <f t="shared" si="228"/>
        <v>0</v>
      </c>
      <c r="N356" s="100">
        <f t="shared" si="228"/>
        <v>0</v>
      </c>
      <c r="O356" s="100">
        <f t="shared" si="228"/>
        <v>0</v>
      </c>
      <c r="P356" s="100">
        <f t="shared" si="228"/>
        <v>0</v>
      </c>
      <c r="Q356" s="100">
        <f t="shared" si="228"/>
        <v>0</v>
      </c>
      <c r="R356" s="100">
        <f t="shared" si="228"/>
        <v>0</v>
      </c>
      <c r="S356" s="100">
        <f t="shared" si="228"/>
        <v>0</v>
      </c>
      <c r="T356" s="100">
        <f t="shared" si="228"/>
        <v>0</v>
      </c>
      <c r="U356" s="100">
        <f t="shared" si="228"/>
        <v>0</v>
      </c>
      <c r="V356" s="100">
        <f t="shared" si="228"/>
        <v>0</v>
      </c>
      <c r="W356" s="100">
        <f t="shared" si="228"/>
        <v>0</v>
      </c>
      <c r="X356" s="100">
        <f t="shared" si="228"/>
        <v>0</v>
      </c>
      <c r="Y356" s="100">
        <f t="shared" si="228"/>
        <v>0</v>
      </c>
      <c r="Z356" s="100">
        <f t="shared" si="228"/>
        <v>0</v>
      </c>
      <c r="AA356" s="100">
        <f t="shared" si="228"/>
        <v>0</v>
      </c>
      <c r="AB356" s="100">
        <f t="shared" si="228"/>
        <v>0</v>
      </c>
      <c r="AC356" s="100">
        <f t="shared" si="228"/>
        <v>0</v>
      </c>
      <c r="AD356" s="100">
        <f t="shared" si="228"/>
        <v>0</v>
      </c>
      <c r="AE356" s="100">
        <f t="shared" si="228"/>
        <v>0</v>
      </c>
      <c r="AF356" s="100">
        <f t="shared" si="228"/>
        <v>0</v>
      </c>
      <c r="AG356" s="100">
        <f t="shared" si="228"/>
        <v>0</v>
      </c>
      <c r="AH356" s="100">
        <f t="shared" si="228"/>
        <v>0</v>
      </c>
      <c r="AI356" s="100">
        <f t="shared" si="228"/>
        <v>0</v>
      </c>
      <c r="AJ356" s="100">
        <f t="shared" si="228"/>
        <v>0</v>
      </c>
      <c r="AK356" s="100">
        <f t="shared" si="228"/>
        <v>0</v>
      </c>
      <c r="AL356" s="100">
        <f t="shared" si="228"/>
        <v>0</v>
      </c>
      <c r="AM356" s="100">
        <f t="shared" si="228"/>
        <v>0</v>
      </c>
      <c r="AN356" s="100">
        <f t="shared" si="228"/>
        <v>0</v>
      </c>
      <c r="AO356" s="100">
        <f t="shared" si="228"/>
        <v>0</v>
      </c>
      <c r="AP356" s="100">
        <f t="shared" si="228"/>
        <v>0</v>
      </c>
      <c r="AQ356" s="100">
        <f t="shared" si="228"/>
        <v>0</v>
      </c>
      <c r="AR356" s="100">
        <f t="shared" si="228"/>
        <v>0</v>
      </c>
      <c r="AS356" s="100">
        <f t="shared" si="228"/>
        <v>0</v>
      </c>
      <c r="AT356" s="100">
        <f t="shared" si="228"/>
        <v>0</v>
      </c>
      <c r="AU356" s="100">
        <f t="shared" si="228"/>
        <v>0</v>
      </c>
      <c r="AV356" s="100">
        <f t="shared" si="228"/>
        <v>0</v>
      </c>
      <c r="AW356" s="100">
        <f t="shared" si="228"/>
        <v>0</v>
      </c>
      <c r="AX356" s="100">
        <f t="shared" si="228"/>
        <v>0</v>
      </c>
      <c r="AY356" s="100">
        <f t="shared" si="228"/>
        <v>0</v>
      </c>
      <c r="AZ356" s="100">
        <f t="shared" si="228"/>
        <v>0</v>
      </c>
      <c r="BA356" s="100">
        <f t="shared" si="228"/>
        <v>0</v>
      </c>
      <c r="BB356" s="100">
        <f t="shared" si="228"/>
        <v>0</v>
      </c>
      <c r="BC356" s="100">
        <f t="shared" si="228"/>
        <v>0</v>
      </c>
      <c r="BD356" s="100">
        <f t="shared" si="228"/>
        <v>0</v>
      </c>
      <c r="BE356" s="100">
        <f t="shared" si="228"/>
        <v>0</v>
      </c>
      <c r="BF356" s="100">
        <f t="shared" si="228"/>
        <v>0</v>
      </c>
      <c r="BG356" s="100">
        <f t="shared" si="228"/>
        <v>0</v>
      </c>
      <c r="BH356" s="100">
        <f t="shared" si="228"/>
        <v>0</v>
      </c>
      <c r="BI356" s="100">
        <f t="shared" si="228"/>
        <v>0</v>
      </c>
      <c r="BJ356" s="100">
        <f t="shared" si="228"/>
        <v>0</v>
      </c>
      <c r="BK356" s="100">
        <f t="shared" si="228"/>
        <v>0</v>
      </c>
      <c r="BL356" s="100">
        <f t="shared" si="228"/>
        <v>0</v>
      </c>
      <c r="BM356" s="100">
        <f t="shared" si="228"/>
        <v>0</v>
      </c>
      <c r="BN356" s="100">
        <f t="shared" si="228"/>
        <v>0</v>
      </c>
      <c r="BO356" s="100">
        <f t="shared" si="228"/>
        <v>0</v>
      </c>
      <c r="BP356" s="100">
        <f t="shared" si="228"/>
        <v>0</v>
      </c>
      <c r="BQ356" s="100">
        <f t="shared" si="228"/>
        <v>0</v>
      </c>
      <c r="BR356" s="100">
        <f t="shared" si="228"/>
        <v>0</v>
      </c>
      <c r="BS356" s="100">
        <f t="shared" si="228"/>
        <v>0</v>
      </c>
      <c r="BT356" s="100">
        <f t="shared" si="228"/>
        <v>0</v>
      </c>
      <c r="BU356" s="100">
        <f t="shared" si="228"/>
        <v>0</v>
      </c>
      <c r="BV356" s="100">
        <f t="shared" si="228"/>
        <v>0</v>
      </c>
      <c r="BW356" s="100">
        <f t="shared" ref="BW356:CC356" si="229">IF($H$354=0,0,+BW354/$H$354)</f>
        <v>0</v>
      </c>
      <c r="BX356" s="100">
        <f t="shared" si="229"/>
        <v>0</v>
      </c>
      <c r="BY356" s="100">
        <f t="shared" si="229"/>
        <v>0</v>
      </c>
      <c r="BZ356" s="100">
        <f t="shared" si="229"/>
        <v>0</v>
      </c>
      <c r="CA356" s="100">
        <f t="shared" si="229"/>
        <v>0</v>
      </c>
      <c r="CB356" s="100">
        <f t="shared" si="229"/>
        <v>0</v>
      </c>
      <c r="CC356" s="100">
        <f t="shared" si="229"/>
        <v>0</v>
      </c>
    </row>
    <row r="357" spans="2:85" ht="5.0999999999999996" customHeight="1" x14ac:dyDescent="0.2">
      <c r="J357" s="113"/>
      <c r="K357" s="113"/>
      <c r="L357" s="113"/>
      <c r="M357" s="113"/>
      <c r="N357" s="113"/>
      <c r="O357" s="113"/>
      <c r="P357" s="113"/>
      <c r="Q357" s="113"/>
      <c r="R357" s="113"/>
      <c r="S357" s="113"/>
      <c r="T357" s="113"/>
      <c r="U357" s="113"/>
      <c r="V357" s="113"/>
      <c r="W357" s="113"/>
      <c r="X357" s="113"/>
      <c r="Y357" s="113"/>
      <c r="Z357" s="113"/>
      <c r="AA357" s="113"/>
      <c r="AB357" s="113"/>
      <c r="AC357" s="113"/>
      <c r="AD357" s="113"/>
      <c r="AE357" s="113"/>
      <c r="AF357" s="113"/>
      <c r="AG357" s="113"/>
      <c r="AH357" s="113"/>
      <c r="AI357" s="113"/>
      <c r="AJ357" s="113"/>
      <c r="AK357" s="113"/>
      <c r="AL357" s="113"/>
      <c r="AM357" s="113"/>
      <c r="AN357" s="113"/>
      <c r="AO357" s="113"/>
      <c r="AP357" s="113"/>
      <c r="AQ357" s="113"/>
      <c r="AR357" s="113"/>
      <c r="AS357" s="113"/>
      <c r="AT357" s="113"/>
      <c r="AU357" s="113"/>
      <c r="AV357" s="113"/>
      <c r="AW357" s="113"/>
      <c r="AX357" s="113"/>
      <c r="AY357" s="113"/>
      <c r="AZ357" s="113"/>
      <c r="BA357" s="113"/>
      <c r="BB357" s="113"/>
      <c r="BC357" s="113"/>
      <c r="BD357" s="113"/>
      <c r="BE357" s="113"/>
      <c r="BF357" s="113"/>
      <c r="BG357" s="113"/>
      <c r="BH357" s="113"/>
      <c r="BI357" s="113"/>
      <c r="BJ357" s="113"/>
      <c r="BK357" s="113"/>
      <c r="BL357" s="113"/>
      <c r="BM357" s="113"/>
      <c r="BN357" s="113"/>
      <c r="BO357" s="113"/>
      <c r="BP357" s="113"/>
      <c r="BQ357" s="113"/>
      <c r="BR357" s="113"/>
      <c r="BS357" s="113"/>
      <c r="BT357" s="113"/>
      <c r="BU357" s="113"/>
      <c r="BV357" s="113"/>
      <c r="BW357" s="113"/>
      <c r="BX357" s="113"/>
      <c r="BY357" s="113"/>
      <c r="BZ357" s="113"/>
      <c r="CA357" s="113"/>
      <c r="CB357" s="113"/>
      <c r="CC357" s="113"/>
      <c r="CF357" s="32"/>
      <c r="CG357" s="32"/>
    </row>
    <row r="358" spans="2:85" s="32" customFormat="1" ht="15" customHeight="1" x14ac:dyDescent="0.2">
      <c r="B358" s="628" t="s">
        <v>202</v>
      </c>
      <c r="C358" s="629"/>
      <c r="D358" s="629"/>
      <c r="E358" s="629"/>
      <c r="F358" s="630"/>
      <c r="J358" s="100">
        <f>+J356</f>
        <v>0</v>
      </c>
      <c r="K358" s="100">
        <f>+J358+K356</f>
        <v>0</v>
      </c>
      <c r="L358" s="100">
        <f>+K358+L356</f>
        <v>0</v>
      </c>
      <c r="M358" s="100">
        <f t="shared" ref="M358:BX358" si="230">+L358+M356</f>
        <v>0</v>
      </c>
      <c r="N358" s="100">
        <f t="shared" si="230"/>
        <v>0</v>
      </c>
      <c r="O358" s="100">
        <f t="shared" si="230"/>
        <v>0</v>
      </c>
      <c r="P358" s="100">
        <f t="shared" si="230"/>
        <v>0</v>
      </c>
      <c r="Q358" s="100">
        <f t="shared" si="230"/>
        <v>0</v>
      </c>
      <c r="R358" s="100">
        <f t="shared" si="230"/>
        <v>0</v>
      </c>
      <c r="S358" s="100">
        <f t="shared" si="230"/>
        <v>0</v>
      </c>
      <c r="T358" s="100">
        <f t="shared" si="230"/>
        <v>0</v>
      </c>
      <c r="U358" s="100">
        <f t="shared" si="230"/>
        <v>0</v>
      </c>
      <c r="V358" s="100">
        <f t="shared" si="230"/>
        <v>0</v>
      </c>
      <c r="W358" s="100">
        <f t="shared" si="230"/>
        <v>0</v>
      </c>
      <c r="X358" s="100">
        <f t="shared" si="230"/>
        <v>0</v>
      </c>
      <c r="Y358" s="100">
        <f t="shared" si="230"/>
        <v>0</v>
      </c>
      <c r="Z358" s="100">
        <f t="shared" si="230"/>
        <v>0</v>
      </c>
      <c r="AA358" s="100">
        <f t="shared" si="230"/>
        <v>0</v>
      </c>
      <c r="AB358" s="100">
        <f t="shared" si="230"/>
        <v>0</v>
      </c>
      <c r="AC358" s="100">
        <f t="shared" si="230"/>
        <v>0</v>
      </c>
      <c r="AD358" s="100">
        <f t="shared" si="230"/>
        <v>0</v>
      </c>
      <c r="AE358" s="100">
        <f t="shared" si="230"/>
        <v>0</v>
      </c>
      <c r="AF358" s="100">
        <f t="shared" si="230"/>
        <v>0</v>
      </c>
      <c r="AG358" s="100">
        <f t="shared" si="230"/>
        <v>0</v>
      </c>
      <c r="AH358" s="100">
        <f t="shared" si="230"/>
        <v>0</v>
      </c>
      <c r="AI358" s="100">
        <f t="shared" si="230"/>
        <v>0</v>
      </c>
      <c r="AJ358" s="100">
        <f t="shared" si="230"/>
        <v>0</v>
      </c>
      <c r="AK358" s="100">
        <f t="shared" si="230"/>
        <v>0</v>
      </c>
      <c r="AL358" s="100">
        <f t="shared" si="230"/>
        <v>0</v>
      </c>
      <c r="AM358" s="100">
        <f t="shared" si="230"/>
        <v>0</v>
      </c>
      <c r="AN358" s="100">
        <f t="shared" si="230"/>
        <v>0</v>
      </c>
      <c r="AO358" s="100">
        <f t="shared" si="230"/>
        <v>0</v>
      </c>
      <c r="AP358" s="100">
        <f t="shared" si="230"/>
        <v>0</v>
      </c>
      <c r="AQ358" s="100">
        <f t="shared" si="230"/>
        <v>0</v>
      </c>
      <c r="AR358" s="100">
        <f t="shared" si="230"/>
        <v>0</v>
      </c>
      <c r="AS358" s="100">
        <f t="shared" si="230"/>
        <v>0</v>
      </c>
      <c r="AT358" s="100">
        <f t="shared" si="230"/>
        <v>0</v>
      </c>
      <c r="AU358" s="100">
        <f t="shared" si="230"/>
        <v>0</v>
      </c>
      <c r="AV358" s="100">
        <f t="shared" si="230"/>
        <v>0</v>
      </c>
      <c r="AW358" s="100">
        <f t="shared" si="230"/>
        <v>0</v>
      </c>
      <c r="AX358" s="100">
        <f t="shared" si="230"/>
        <v>0</v>
      </c>
      <c r="AY358" s="100">
        <f t="shared" si="230"/>
        <v>0</v>
      </c>
      <c r="AZ358" s="100">
        <f t="shared" si="230"/>
        <v>0</v>
      </c>
      <c r="BA358" s="100">
        <f t="shared" si="230"/>
        <v>0</v>
      </c>
      <c r="BB358" s="100">
        <f t="shared" si="230"/>
        <v>0</v>
      </c>
      <c r="BC358" s="100">
        <f t="shared" si="230"/>
        <v>0</v>
      </c>
      <c r="BD358" s="100">
        <f t="shared" si="230"/>
        <v>0</v>
      </c>
      <c r="BE358" s="100">
        <f t="shared" si="230"/>
        <v>0</v>
      </c>
      <c r="BF358" s="100">
        <f t="shared" si="230"/>
        <v>0</v>
      </c>
      <c r="BG358" s="100">
        <f t="shared" si="230"/>
        <v>0</v>
      </c>
      <c r="BH358" s="100">
        <f t="shared" si="230"/>
        <v>0</v>
      </c>
      <c r="BI358" s="100">
        <f t="shared" si="230"/>
        <v>0</v>
      </c>
      <c r="BJ358" s="100">
        <f t="shared" si="230"/>
        <v>0</v>
      </c>
      <c r="BK358" s="100">
        <f t="shared" si="230"/>
        <v>0</v>
      </c>
      <c r="BL358" s="100">
        <f t="shared" si="230"/>
        <v>0</v>
      </c>
      <c r="BM358" s="100">
        <f t="shared" si="230"/>
        <v>0</v>
      </c>
      <c r="BN358" s="100">
        <f t="shared" si="230"/>
        <v>0</v>
      </c>
      <c r="BO358" s="100">
        <f t="shared" si="230"/>
        <v>0</v>
      </c>
      <c r="BP358" s="100">
        <f t="shared" si="230"/>
        <v>0</v>
      </c>
      <c r="BQ358" s="100">
        <f t="shared" si="230"/>
        <v>0</v>
      </c>
      <c r="BR358" s="100">
        <f t="shared" si="230"/>
        <v>0</v>
      </c>
      <c r="BS358" s="100">
        <f t="shared" si="230"/>
        <v>0</v>
      </c>
      <c r="BT358" s="100">
        <f t="shared" si="230"/>
        <v>0</v>
      </c>
      <c r="BU358" s="100">
        <f t="shared" si="230"/>
        <v>0</v>
      </c>
      <c r="BV358" s="100">
        <f t="shared" si="230"/>
        <v>0</v>
      </c>
      <c r="BW358" s="100">
        <f t="shared" si="230"/>
        <v>0</v>
      </c>
      <c r="BX358" s="100">
        <f t="shared" si="230"/>
        <v>0</v>
      </c>
      <c r="BY358" s="100">
        <f t="shared" ref="BY358:CC358" si="231">+BX358+BY356</f>
        <v>0</v>
      </c>
      <c r="BZ358" s="100">
        <f t="shared" si="231"/>
        <v>0</v>
      </c>
      <c r="CA358" s="100">
        <f t="shared" si="231"/>
        <v>0</v>
      </c>
      <c r="CB358" s="100">
        <f t="shared" si="231"/>
        <v>0</v>
      </c>
      <c r="CC358" s="100">
        <f t="shared" si="231"/>
        <v>0</v>
      </c>
    </row>
    <row r="359" spans="2:85" ht="9.9499999999999993" customHeight="1" x14ac:dyDescent="0.2"/>
    <row r="360" spans="2:85" s="32" customFormat="1" ht="41.25" x14ac:dyDescent="0.2">
      <c r="B360" s="491" t="s">
        <v>203</v>
      </c>
      <c r="C360" s="491"/>
      <c r="D360" s="491"/>
      <c r="E360" s="491"/>
      <c r="F360" s="491"/>
      <c r="H360" s="83" t="s">
        <v>303</v>
      </c>
      <c r="J360" s="190" t="e">
        <f>+J310</f>
        <v>#N/A</v>
      </c>
      <c r="K360" s="190" t="e">
        <f t="shared" ref="K360:BV360" si="232">+K310</f>
        <v>#N/A</v>
      </c>
      <c r="L360" s="190" t="e">
        <f t="shared" si="232"/>
        <v>#N/A</v>
      </c>
      <c r="M360" s="190" t="e">
        <f t="shared" si="232"/>
        <v>#N/A</v>
      </c>
      <c r="N360" s="190" t="e">
        <f t="shared" si="232"/>
        <v>#N/A</v>
      </c>
      <c r="O360" s="190" t="e">
        <f t="shared" si="232"/>
        <v>#N/A</v>
      </c>
      <c r="P360" s="190" t="e">
        <f t="shared" si="232"/>
        <v>#N/A</v>
      </c>
      <c r="Q360" s="190" t="e">
        <f t="shared" si="232"/>
        <v>#N/A</v>
      </c>
      <c r="R360" s="190" t="e">
        <f t="shared" si="232"/>
        <v>#N/A</v>
      </c>
      <c r="S360" s="190" t="e">
        <f t="shared" si="232"/>
        <v>#N/A</v>
      </c>
      <c r="T360" s="190" t="e">
        <f t="shared" si="232"/>
        <v>#N/A</v>
      </c>
      <c r="U360" s="190" t="e">
        <f t="shared" si="232"/>
        <v>#N/A</v>
      </c>
      <c r="V360" s="190" t="e">
        <f t="shared" si="232"/>
        <v>#N/A</v>
      </c>
      <c r="W360" s="190" t="e">
        <f t="shared" si="232"/>
        <v>#N/A</v>
      </c>
      <c r="X360" s="190" t="e">
        <f t="shared" si="232"/>
        <v>#N/A</v>
      </c>
      <c r="Y360" s="190" t="e">
        <f t="shared" si="232"/>
        <v>#N/A</v>
      </c>
      <c r="Z360" s="190" t="e">
        <f t="shared" si="232"/>
        <v>#N/A</v>
      </c>
      <c r="AA360" s="190" t="e">
        <f t="shared" si="232"/>
        <v>#N/A</v>
      </c>
      <c r="AB360" s="190" t="e">
        <f t="shared" si="232"/>
        <v>#N/A</v>
      </c>
      <c r="AC360" s="190" t="e">
        <f t="shared" si="232"/>
        <v>#N/A</v>
      </c>
      <c r="AD360" s="190" t="e">
        <f t="shared" si="232"/>
        <v>#N/A</v>
      </c>
      <c r="AE360" s="190" t="e">
        <f t="shared" si="232"/>
        <v>#N/A</v>
      </c>
      <c r="AF360" s="190" t="e">
        <f t="shared" si="232"/>
        <v>#N/A</v>
      </c>
      <c r="AG360" s="190" t="e">
        <f t="shared" si="232"/>
        <v>#N/A</v>
      </c>
      <c r="AH360" s="190" t="e">
        <f t="shared" si="232"/>
        <v>#N/A</v>
      </c>
      <c r="AI360" s="190" t="e">
        <f t="shared" si="232"/>
        <v>#N/A</v>
      </c>
      <c r="AJ360" s="190" t="e">
        <f t="shared" si="232"/>
        <v>#N/A</v>
      </c>
      <c r="AK360" s="190" t="e">
        <f t="shared" si="232"/>
        <v>#N/A</v>
      </c>
      <c r="AL360" s="190" t="e">
        <f t="shared" si="232"/>
        <v>#N/A</v>
      </c>
      <c r="AM360" s="190" t="e">
        <f t="shared" si="232"/>
        <v>#N/A</v>
      </c>
      <c r="AN360" s="190" t="e">
        <f t="shared" si="232"/>
        <v>#N/A</v>
      </c>
      <c r="AO360" s="190" t="e">
        <f t="shared" si="232"/>
        <v>#N/A</v>
      </c>
      <c r="AP360" s="190" t="e">
        <f t="shared" si="232"/>
        <v>#N/A</v>
      </c>
      <c r="AQ360" s="190" t="e">
        <f t="shared" si="232"/>
        <v>#N/A</v>
      </c>
      <c r="AR360" s="190" t="e">
        <f t="shared" si="232"/>
        <v>#N/A</v>
      </c>
      <c r="AS360" s="190" t="e">
        <f t="shared" si="232"/>
        <v>#N/A</v>
      </c>
      <c r="AT360" s="190" t="e">
        <f t="shared" si="232"/>
        <v>#N/A</v>
      </c>
      <c r="AU360" s="190" t="e">
        <f t="shared" si="232"/>
        <v>#N/A</v>
      </c>
      <c r="AV360" s="190" t="e">
        <f t="shared" si="232"/>
        <v>#N/A</v>
      </c>
      <c r="AW360" s="190" t="e">
        <f t="shared" si="232"/>
        <v>#N/A</v>
      </c>
      <c r="AX360" s="190" t="e">
        <f t="shared" si="232"/>
        <v>#N/A</v>
      </c>
      <c r="AY360" s="190" t="e">
        <f t="shared" si="232"/>
        <v>#N/A</v>
      </c>
      <c r="AZ360" s="190" t="e">
        <f t="shared" si="232"/>
        <v>#N/A</v>
      </c>
      <c r="BA360" s="190" t="e">
        <f t="shared" si="232"/>
        <v>#N/A</v>
      </c>
      <c r="BB360" s="190" t="e">
        <f t="shared" si="232"/>
        <v>#N/A</v>
      </c>
      <c r="BC360" s="190" t="e">
        <f t="shared" si="232"/>
        <v>#N/A</v>
      </c>
      <c r="BD360" s="190" t="e">
        <f t="shared" si="232"/>
        <v>#N/A</v>
      </c>
      <c r="BE360" s="190" t="e">
        <f t="shared" si="232"/>
        <v>#N/A</v>
      </c>
      <c r="BF360" s="190" t="e">
        <f t="shared" si="232"/>
        <v>#N/A</v>
      </c>
      <c r="BG360" s="190" t="e">
        <f t="shared" si="232"/>
        <v>#N/A</v>
      </c>
      <c r="BH360" s="190" t="e">
        <f t="shared" si="232"/>
        <v>#N/A</v>
      </c>
      <c r="BI360" s="190" t="e">
        <f t="shared" si="232"/>
        <v>#N/A</v>
      </c>
      <c r="BJ360" s="190" t="e">
        <f t="shared" si="232"/>
        <v>#N/A</v>
      </c>
      <c r="BK360" s="190" t="e">
        <f t="shared" si="232"/>
        <v>#N/A</v>
      </c>
      <c r="BL360" s="190" t="e">
        <f t="shared" si="232"/>
        <v>#N/A</v>
      </c>
      <c r="BM360" s="190" t="e">
        <f t="shared" si="232"/>
        <v>#N/A</v>
      </c>
      <c r="BN360" s="190" t="e">
        <f t="shared" si="232"/>
        <v>#N/A</v>
      </c>
      <c r="BO360" s="190" t="e">
        <f t="shared" si="232"/>
        <v>#N/A</v>
      </c>
      <c r="BP360" s="190" t="e">
        <f t="shared" si="232"/>
        <v>#N/A</v>
      </c>
      <c r="BQ360" s="190" t="e">
        <f t="shared" si="232"/>
        <v>#N/A</v>
      </c>
      <c r="BR360" s="190" t="e">
        <f t="shared" si="232"/>
        <v>#N/A</v>
      </c>
      <c r="BS360" s="190" t="e">
        <f t="shared" si="232"/>
        <v>#N/A</v>
      </c>
      <c r="BT360" s="190" t="e">
        <f t="shared" si="232"/>
        <v>#N/A</v>
      </c>
      <c r="BU360" s="190" t="e">
        <f t="shared" si="232"/>
        <v>#N/A</v>
      </c>
      <c r="BV360" s="190" t="e">
        <f t="shared" si="232"/>
        <v>#N/A</v>
      </c>
      <c r="BW360" s="190" t="e">
        <f t="shared" ref="BW360:CC360" si="233">+BW310</f>
        <v>#N/A</v>
      </c>
      <c r="BX360" s="190" t="e">
        <f t="shared" si="233"/>
        <v>#N/A</v>
      </c>
      <c r="BY360" s="190" t="e">
        <f t="shared" si="233"/>
        <v>#N/A</v>
      </c>
      <c r="BZ360" s="190" t="e">
        <f t="shared" si="233"/>
        <v>#N/A</v>
      </c>
      <c r="CA360" s="190" t="e">
        <f t="shared" si="233"/>
        <v>#N/A</v>
      </c>
      <c r="CB360" s="190" t="e">
        <f t="shared" si="233"/>
        <v>#N/A</v>
      </c>
      <c r="CC360" s="190" t="e">
        <f t="shared" si="233"/>
        <v>#N/A</v>
      </c>
    </row>
    <row r="361" spans="2:85" s="32" customFormat="1" ht="5.0999999999999996" customHeight="1" x14ac:dyDescent="0.2"/>
    <row r="362" spans="2:85" s="32" customFormat="1" x14ac:dyDescent="0.2">
      <c r="B362" s="519" t="s">
        <v>205</v>
      </c>
      <c r="C362" s="520"/>
      <c r="D362" s="520"/>
      <c r="E362" s="520"/>
      <c r="F362" s="521"/>
      <c r="H362" s="205" t="e">
        <f>SUM(J362:CC362)</f>
        <v>#N/A</v>
      </c>
      <c r="I362" s="113"/>
      <c r="J362" s="205" t="e">
        <f>IF(J268&gt;0,+J318*$F$262/J268,0)</f>
        <v>#N/A</v>
      </c>
      <c r="K362" s="205" t="e">
        <f>IF(K268&gt;0,+K318*$F$262/K268,0)</f>
        <v>#N/A</v>
      </c>
      <c r="L362" s="205" t="e">
        <f t="shared" ref="L362:BW362" si="234">IF(L268&gt;0,+L318*$F$262/L268,0)</f>
        <v>#N/A</v>
      </c>
      <c r="M362" s="205" t="e">
        <f t="shared" si="234"/>
        <v>#N/A</v>
      </c>
      <c r="N362" s="205" t="e">
        <f t="shared" si="234"/>
        <v>#N/A</v>
      </c>
      <c r="O362" s="205" t="e">
        <f t="shared" si="234"/>
        <v>#N/A</v>
      </c>
      <c r="P362" s="205" t="e">
        <f t="shared" si="234"/>
        <v>#N/A</v>
      </c>
      <c r="Q362" s="205" t="e">
        <f t="shared" si="234"/>
        <v>#N/A</v>
      </c>
      <c r="R362" s="205" t="e">
        <f t="shared" si="234"/>
        <v>#N/A</v>
      </c>
      <c r="S362" s="205" t="e">
        <f t="shared" si="234"/>
        <v>#N/A</v>
      </c>
      <c r="T362" s="205" t="e">
        <f t="shared" si="234"/>
        <v>#N/A</v>
      </c>
      <c r="U362" s="205" t="e">
        <f t="shared" si="234"/>
        <v>#N/A</v>
      </c>
      <c r="V362" s="205" t="e">
        <f t="shared" si="234"/>
        <v>#N/A</v>
      </c>
      <c r="W362" s="205" t="e">
        <f t="shared" si="234"/>
        <v>#N/A</v>
      </c>
      <c r="X362" s="205" t="e">
        <f t="shared" si="234"/>
        <v>#N/A</v>
      </c>
      <c r="Y362" s="205" t="e">
        <f t="shared" si="234"/>
        <v>#N/A</v>
      </c>
      <c r="Z362" s="205" t="e">
        <f t="shared" si="234"/>
        <v>#N/A</v>
      </c>
      <c r="AA362" s="205" t="e">
        <f t="shared" si="234"/>
        <v>#N/A</v>
      </c>
      <c r="AB362" s="205" t="e">
        <f t="shared" si="234"/>
        <v>#N/A</v>
      </c>
      <c r="AC362" s="205" t="e">
        <f t="shared" si="234"/>
        <v>#N/A</v>
      </c>
      <c r="AD362" s="205" t="e">
        <f t="shared" si="234"/>
        <v>#N/A</v>
      </c>
      <c r="AE362" s="205" t="e">
        <f t="shared" si="234"/>
        <v>#N/A</v>
      </c>
      <c r="AF362" s="205" t="e">
        <f t="shared" si="234"/>
        <v>#N/A</v>
      </c>
      <c r="AG362" s="205" t="e">
        <f t="shared" si="234"/>
        <v>#N/A</v>
      </c>
      <c r="AH362" s="205" t="e">
        <f t="shared" si="234"/>
        <v>#N/A</v>
      </c>
      <c r="AI362" s="205" t="e">
        <f t="shared" si="234"/>
        <v>#N/A</v>
      </c>
      <c r="AJ362" s="205" t="e">
        <f t="shared" si="234"/>
        <v>#N/A</v>
      </c>
      <c r="AK362" s="205" t="e">
        <f t="shared" si="234"/>
        <v>#N/A</v>
      </c>
      <c r="AL362" s="205" t="e">
        <f t="shared" si="234"/>
        <v>#N/A</v>
      </c>
      <c r="AM362" s="205" t="e">
        <f t="shared" si="234"/>
        <v>#N/A</v>
      </c>
      <c r="AN362" s="205" t="e">
        <f t="shared" si="234"/>
        <v>#N/A</v>
      </c>
      <c r="AO362" s="205" t="e">
        <f t="shared" si="234"/>
        <v>#N/A</v>
      </c>
      <c r="AP362" s="205" t="e">
        <f t="shared" si="234"/>
        <v>#N/A</v>
      </c>
      <c r="AQ362" s="205" t="e">
        <f t="shared" si="234"/>
        <v>#N/A</v>
      </c>
      <c r="AR362" s="205" t="e">
        <f t="shared" si="234"/>
        <v>#N/A</v>
      </c>
      <c r="AS362" s="205" t="e">
        <f t="shared" si="234"/>
        <v>#N/A</v>
      </c>
      <c r="AT362" s="205" t="e">
        <f t="shared" si="234"/>
        <v>#N/A</v>
      </c>
      <c r="AU362" s="205" t="e">
        <f t="shared" si="234"/>
        <v>#N/A</v>
      </c>
      <c r="AV362" s="205" t="e">
        <f t="shared" si="234"/>
        <v>#N/A</v>
      </c>
      <c r="AW362" s="205" t="e">
        <f t="shared" si="234"/>
        <v>#N/A</v>
      </c>
      <c r="AX362" s="205" t="e">
        <f t="shared" si="234"/>
        <v>#N/A</v>
      </c>
      <c r="AY362" s="205" t="e">
        <f t="shared" si="234"/>
        <v>#N/A</v>
      </c>
      <c r="AZ362" s="205" t="e">
        <f t="shared" si="234"/>
        <v>#N/A</v>
      </c>
      <c r="BA362" s="205" t="e">
        <f t="shared" si="234"/>
        <v>#N/A</v>
      </c>
      <c r="BB362" s="205" t="e">
        <f t="shared" si="234"/>
        <v>#N/A</v>
      </c>
      <c r="BC362" s="205" t="e">
        <f t="shared" si="234"/>
        <v>#N/A</v>
      </c>
      <c r="BD362" s="205" t="e">
        <f t="shared" si="234"/>
        <v>#N/A</v>
      </c>
      <c r="BE362" s="205" t="e">
        <f t="shared" si="234"/>
        <v>#N/A</v>
      </c>
      <c r="BF362" s="205" t="e">
        <f t="shared" si="234"/>
        <v>#N/A</v>
      </c>
      <c r="BG362" s="205" t="e">
        <f t="shared" si="234"/>
        <v>#N/A</v>
      </c>
      <c r="BH362" s="205" t="e">
        <f t="shared" si="234"/>
        <v>#N/A</v>
      </c>
      <c r="BI362" s="205" t="e">
        <f t="shared" si="234"/>
        <v>#N/A</v>
      </c>
      <c r="BJ362" s="205" t="e">
        <f t="shared" si="234"/>
        <v>#N/A</v>
      </c>
      <c r="BK362" s="205" t="e">
        <f t="shared" si="234"/>
        <v>#N/A</v>
      </c>
      <c r="BL362" s="205" t="e">
        <f t="shared" si="234"/>
        <v>#N/A</v>
      </c>
      <c r="BM362" s="205" t="e">
        <f t="shared" si="234"/>
        <v>#N/A</v>
      </c>
      <c r="BN362" s="205" t="e">
        <f t="shared" si="234"/>
        <v>#N/A</v>
      </c>
      <c r="BO362" s="205" t="e">
        <f t="shared" si="234"/>
        <v>#N/A</v>
      </c>
      <c r="BP362" s="205" t="e">
        <f t="shared" si="234"/>
        <v>#N/A</v>
      </c>
      <c r="BQ362" s="205" t="e">
        <f t="shared" si="234"/>
        <v>#N/A</v>
      </c>
      <c r="BR362" s="205" t="e">
        <f t="shared" si="234"/>
        <v>#N/A</v>
      </c>
      <c r="BS362" s="205" t="e">
        <f t="shared" si="234"/>
        <v>#N/A</v>
      </c>
      <c r="BT362" s="205" t="e">
        <f t="shared" si="234"/>
        <v>#N/A</v>
      </c>
      <c r="BU362" s="205" t="e">
        <f t="shared" si="234"/>
        <v>#N/A</v>
      </c>
      <c r="BV362" s="205" t="e">
        <f t="shared" si="234"/>
        <v>#N/A</v>
      </c>
      <c r="BW362" s="205" t="e">
        <f t="shared" si="234"/>
        <v>#N/A</v>
      </c>
      <c r="BX362" s="205" t="e">
        <f t="shared" ref="BX362:CC362" si="235">IF(BX268&gt;0,+BX318*$F$262/BX268,0)</f>
        <v>#N/A</v>
      </c>
      <c r="BY362" s="205" t="e">
        <f t="shared" si="235"/>
        <v>#N/A</v>
      </c>
      <c r="BZ362" s="205" t="e">
        <f t="shared" si="235"/>
        <v>#N/A</v>
      </c>
      <c r="CA362" s="205">
        <f t="shared" si="235"/>
        <v>0</v>
      </c>
      <c r="CB362" s="205">
        <f t="shared" si="235"/>
        <v>0</v>
      </c>
      <c r="CC362" s="205">
        <f t="shared" si="235"/>
        <v>0</v>
      </c>
    </row>
    <row r="363" spans="2:85" ht="5.0999999999999996" customHeight="1" x14ac:dyDescent="0.2">
      <c r="F363" s="32"/>
      <c r="G363" s="32"/>
      <c r="H363" s="113"/>
      <c r="I363" s="113"/>
      <c r="J363" s="113"/>
      <c r="K363" s="113"/>
      <c r="L363" s="113"/>
      <c r="M363" s="113"/>
      <c r="N363" s="113"/>
      <c r="O363" s="113"/>
      <c r="P363" s="113"/>
      <c r="Q363" s="113"/>
      <c r="R363" s="113"/>
      <c r="S363" s="113"/>
      <c r="T363" s="113"/>
      <c r="U363" s="113"/>
      <c r="V363" s="113"/>
      <c r="W363" s="113"/>
      <c r="X363" s="113"/>
      <c r="Y363" s="113"/>
      <c r="Z363" s="113"/>
      <c r="AA363" s="113"/>
      <c r="AB363" s="113"/>
      <c r="AC363" s="113"/>
      <c r="AD363" s="113"/>
      <c r="AE363" s="113"/>
      <c r="AF363" s="113"/>
      <c r="AG363" s="113"/>
      <c r="AH363" s="113"/>
      <c r="AI363" s="113"/>
      <c r="AJ363" s="113"/>
      <c r="AK363" s="113"/>
      <c r="AL363" s="113"/>
      <c r="AM363" s="113"/>
      <c r="AN363" s="113"/>
      <c r="AO363" s="113"/>
      <c r="AP363" s="113"/>
      <c r="AQ363" s="113"/>
      <c r="AR363" s="113"/>
      <c r="AS363" s="113"/>
      <c r="AT363" s="113"/>
      <c r="AU363" s="113"/>
      <c r="AV363" s="113"/>
      <c r="AW363" s="113"/>
      <c r="AX363" s="113"/>
      <c r="AY363" s="113"/>
      <c r="AZ363" s="113"/>
      <c r="BA363" s="113"/>
      <c r="BB363" s="113"/>
      <c r="BC363" s="113"/>
      <c r="BD363" s="113"/>
      <c r="BE363" s="113"/>
      <c r="BF363" s="113"/>
      <c r="BG363" s="113"/>
      <c r="BH363" s="113"/>
      <c r="BI363" s="113"/>
      <c r="BJ363" s="113"/>
      <c r="BK363" s="113"/>
      <c r="BL363" s="113"/>
      <c r="BM363" s="113"/>
      <c r="BN363" s="113"/>
      <c r="BO363" s="113"/>
      <c r="BP363" s="113"/>
      <c r="BQ363" s="113"/>
      <c r="BR363" s="113"/>
      <c r="BS363" s="113"/>
      <c r="BT363" s="113"/>
      <c r="BU363" s="113"/>
      <c r="BV363" s="113"/>
      <c r="BW363" s="113"/>
      <c r="BX363" s="113"/>
      <c r="BY363" s="113"/>
      <c r="BZ363" s="113"/>
      <c r="CA363" s="113"/>
      <c r="CB363" s="113"/>
      <c r="CC363" s="113"/>
    </row>
    <row r="364" spans="2:85" s="32" customFormat="1" ht="15" customHeight="1" x14ac:dyDescent="0.2">
      <c r="B364" s="519" t="s">
        <v>206</v>
      </c>
      <c r="C364" s="520"/>
      <c r="D364" s="520"/>
      <c r="E364" s="520"/>
      <c r="F364" s="521"/>
      <c r="H364" s="205" t="e">
        <f>SUM(J364:CC364)</f>
        <v>#N/A</v>
      </c>
      <c r="I364" s="113"/>
      <c r="J364" s="205" t="e">
        <f t="shared" ref="J364:BU364" si="236">IF(J270&gt;0,+J338/J270*$F$264,0)</f>
        <v>#N/A</v>
      </c>
      <c r="K364" s="205" t="e">
        <f t="shared" si="236"/>
        <v>#N/A</v>
      </c>
      <c r="L364" s="205" t="e">
        <f t="shared" si="236"/>
        <v>#N/A</v>
      </c>
      <c r="M364" s="205" t="e">
        <f t="shared" si="236"/>
        <v>#N/A</v>
      </c>
      <c r="N364" s="205" t="e">
        <f t="shared" si="236"/>
        <v>#N/A</v>
      </c>
      <c r="O364" s="205" t="e">
        <f t="shared" si="236"/>
        <v>#N/A</v>
      </c>
      <c r="P364" s="205" t="e">
        <f t="shared" si="236"/>
        <v>#N/A</v>
      </c>
      <c r="Q364" s="205" t="e">
        <f t="shared" si="236"/>
        <v>#N/A</v>
      </c>
      <c r="R364" s="205" t="e">
        <f t="shared" si="236"/>
        <v>#N/A</v>
      </c>
      <c r="S364" s="205" t="e">
        <f t="shared" si="236"/>
        <v>#N/A</v>
      </c>
      <c r="T364" s="205" t="e">
        <f t="shared" si="236"/>
        <v>#N/A</v>
      </c>
      <c r="U364" s="205" t="e">
        <f t="shared" si="236"/>
        <v>#N/A</v>
      </c>
      <c r="V364" s="205" t="e">
        <f t="shared" si="236"/>
        <v>#N/A</v>
      </c>
      <c r="W364" s="205" t="e">
        <f t="shared" si="236"/>
        <v>#N/A</v>
      </c>
      <c r="X364" s="205" t="e">
        <f t="shared" si="236"/>
        <v>#N/A</v>
      </c>
      <c r="Y364" s="205" t="e">
        <f t="shared" si="236"/>
        <v>#N/A</v>
      </c>
      <c r="Z364" s="205" t="e">
        <f t="shared" si="236"/>
        <v>#N/A</v>
      </c>
      <c r="AA364" s="205" t="e">
        <f t="shared" si="236"/>
        <v>#N/A</v>
      </c>
      <c r="AB364" s="205" t="e">
        <f t="shared" si="236"/>
        <v>#N/A</v>
      </c>
      <c r="AC364" s="205" t="e">
        <f t="shared" si="236"/>
        <v>#N/A</v>
      </c>
      <c r="AD364" s="205" t="e">
        <f t="shared" si="236"/>
        <v>#N/A</v>
      </c>
      <c r="AE364" s="205" t="e">
        <f t="shared" si="236"/>
        <v>#N/A</v>
      </c>
      <c r="AF364" s="205" t="e">
        <f t="shared" si="236"/>
        <v>#N/A</v>
      </c>
      <c r="AG364" s="205" t="e">
        <f t="shared" si="236"/>
        <v>#N/A</v>
      </c>
      <c r="AH364" s="205" t="e">
        <f t="shared" si="236"/>
        <v>#N/A</v>
      </c>
      <c r="AI364" s="205" t="e">
        <f t="shared" si="236"/>
        <v>#N/A</v>
      </c>
      <c r="AJ364" s="205" t="e">
        <f t="shared" si="236"/>
        <v>#N/A</v>
      </c>
      <c r="AK364" s="205" t="e">
        <f t="shared" si="236"/>
        <v>#N/A</v>
      </c>
      <c r="AL364" s="205" t="e">
        <f t="shared" si="236"/>
        <v>#N/A</v>
      </c>
      <c r="AM364" s="205" t="e">
        <f t="shared" si="236"/>
        <v>#N/A</v>
      </c>
      <c r="AN364" s="205" t="e">
        <f t="shared" si="236"/>
        <v>#N/A</v>
      </c>
      <c r="AO364" s="205" t="e">
        <f t="shared" si="236"/>
        <v>#N/A</v>
      </c>
      <c r="AP364" s="205" t="e">
        <f t="shared" si="236"/>
        <v>#N/A</v>
      </c>
      <c r="AQ364" s="205" t="e">
        <f t="shared" si="236"/>
        <v>#N/A</v>
      </c>
      <c r="AR364" s="205" t="e">
        <f t="shared" si="236"/>
        <v>#N/A</v>
      </c>
      <c r="AS364" s="205" t="e">
        <f t="shared" si="236"/>
        <v>#N/A</v>
      </c>
      <c r="AT364" s="205" t="e">
        <f t="shared" si="236"/>
        <v>#N/A</v>
      </c>
      <c r="AU364" s="205" t="e">
        <f t="shared" si="236"/>
        <v>#N/A</v>
      </c>
      <c r="AV364" s="205" t="e">
        <f t="shared" si="236"/>
        <v>#N/A</v>
      </c>
      <c r="AW364" s="205" t="e">
        <f t="shared" si="236"/>
        <v>#N/A</v>
      </c>
      <c r="AX364" s="205" t="e">
        <f t="shared" si="236"/>
        <v>#N/A</v>
      </c>
      <c r="AY364" s="205" t="e">
        <f t="shared" si="236"/>
        <v>#N/A</v>
      </c>
      <c r="AZ364" s="205" t="e">
        <f t="shared" si="236"/>
        <v>#N/A</v>
      </c>
      <c r="BA364" s="205" t="e">
        <f t="shared" si="236"/>
        <v>#N/A</v>
      </c>
      <c r="BB364" s="205" t="e">
        <f t="shared" si="236"/>
        <v>#N/A</v>
      </c>
      <c r="BC364" s="205" t="e">
        <f t="shared" si="236"/>
        <v>#N/A</v>
      </c>
      <c r="BD364" s="205" t="e">
        <f t="shared" si="236"/>
        <v>#N/A</v>
      </c>
      <c r="BE364" s="205" t="e">
        <f t="shared" si="236"/>
        <v>#N/A</v>
      </c>
      <c r="BF364" s="205" t="e">
        <f t="shared" si="236"/>
        <v>#N/A</v>
      </c>
      <c r="BG364" s="205" t="e">
        <f t="shared" si="236"/>
        <v>#N/A</v>
      </c>
      <c r="BH364" s="205" t="e">
        <f t="shared" si="236"/>
        <v>#N/A</v>
      </c>
      <c r="BI364" s="205" t="e">
        <f t="shared" si="236"/>
        <v>#N/A</v>
      </c>
      <c r="BJ364" s="205" t="e">
        <f t="shared" si="236"/>
        <v>#N/A</v>
      </c>
      <c r="BK364" s="205" t="e">
        <f t="shared" si="236"/>
        <v>#N/A</v>
      </c>
      <c r="BL364" s="205" t="e">
        <f t="shared" si="236"/>
        <v>#N/A</v>
      </c>
      <c r="BM364" s="205" t="e">
        <f t="shared" si="236"/>
        <v>#N/A</v>
      </c>
      <c r="BN364" s="205" t="e">
        <f t="shared" si="236"/>
        <v>#N/A</v>
      </c>
      <c r="BO364" s="205" t="e">
        <f t="shared" si="236"/>
        <v>#N/A</v>
      </c>
      <c r="BP364" s="205" t="e">
        <f t="shared" si="236"/>
        <v>#N/A</v>
      </c>
      <c r="BQ364" s="205" t="e">
        <f t="shared" si="236"/>
        <v>#N/A</v>
      </c>
      <c r="BR364" s="205" t="e">
        <f t="shared" si="236"/>
        <v>#N/A</v>
      </c>
      <c r="BS364" s="205" t="e">
        <f t="shared" si="236"/>
        <v>#N/A</v>
      </c>
      <c r="BT364" s="205" t="e">
        <f t="shared" si="236"/>
        <v>#N/A</v>
      </c>
      <c r="BU364" s="205" t="e">
        <f t="shared" si="236"/>
        <v>#N/A</v>
      </c>
      <c r="BV364" s="205" t="e">
        <f t="shared" ref="BV364:CC364" si="237">IF(BV270&gt;0,+BV338/BV270*$F$264,0)</f>
        <v>#N/A</v>
      </c>
      <c r="BW364" s="205" t="e">
        <f t="shared" si="237"/>
        <v>#N/A</v>
      </c>
      <c r="BX364" s="205" t="e">
        <f t="shared" si="237"/>
        <v>#N/A</v>
      </c>
      <c r="BY364" s="205" t="e">
        <f t="shared" si="237"/>
        <v>#N/A</v>
      </c>
      <c r="BZ364" s="205" t="e">
        <f t="shared" si="237"/>
        <v>#N/A</v>
      </c>
      <c r="CA364" s="205">
        <f t="shared" si="237"/>
        <v>0</v>
      </c>
      <c r="CB364" s="205">
        <f t="shared" si="237"/>
        <v>0</v>
      </c>
      <c r="CC364" s="205">
        <f t="shared" si="237"/>
        <v>0</v>
      </c>
    </row>
    <row r="365" spans="2:85" ht="5.0999999999999996" customHeight="1" x14ac:dyDescent="0.2">
      <c r="H365" s="113"/>
      <c r="I365" s="113"/>
      <c r="J365" s="113"/>
      <c r="K365" s="113"/>
      <c r="L365" s="113"/>
      <c r="M365" s="113"/>
      <c r="N365" s="113"/>
      <c r="O365" s="113"/>
      <c r="P365" s="113"/>
      <c r="Q365" s="113"/>
      <c r="R365" s="113"/>
      <c r="S365" s="113"/>
      <c r="T365" s="113"/>
      <c r="U365" s="113"/>
      <c r="V365" s="113"/>
      <c r="W365" s="113"/>
      <c r="X365" s="113"/>
      <c r="Y365" s="113"/>
      <c r="Z365" s="113"/>
      <c r="AA365" s="113"/>
      <c r="AB365" s="113"/>
      <c r="AC365" s="113"/>
      <c r="AD365" s="113"/>
      <c r="AE365" s="113"/>
      <c r="AF365" s="113"/>
      <c r="AG365" s="113"/>
      <c r="AH365" s="113"/>
      <c r="AI365" s="113"/>
      <c r="AJ365" s="113"/>
      <c r="AK365" s="113"/>
      <c r="AL365" s="113"/>
      <c r="AM365" s="113"/>
      <c r="AN365" s="113"/>
      <c r="AO365" s="113"/>
      <c r="AP365" s="113"/>
      <c r="AQ365" s="113"/>
      <c r="AR365" s="113"/>
      <c r="AS365" s="113"/>
      <c r="AT365" s="113"/>
      <c r="AU365" s="113"/>
      <c r="AV365" s="113"/>
      <c r="AW365" s="113"/>
      <c r="AX365" s="113"/>
      <c r="AY365" s="113"/>
      <c r="AZ365" s="113"/>
      <c r="BA365" s="113"/>
      <c r="BB365" s="113"/>
      <c r="BC365" s="113"/>
      <c r="BD365" s="113"/>
      <c r="BE365" s="113"/>
      <c r="BF365" s="113"/>
      <c r="BG365" s="113"/>
      <c r="BH365" s="113"/>
      <c r="BI365" s="113"/>
      <c r="BJ365" s="113"/>
      <c r="BK365" s="113"/>
      <c r="BL365" s="113"/>
      <c r="BM365" s="113"/>
      <c r="BN365" s="113"/>
      <c r="BO365" s="113"/>
      <c r="BP365" s="113"/>
      <c r="BQ365" s="113"/>
      <c r="BR365" s="113"/>
      <c r="BS365" s="113"/>
      <c r="BT365" s="113"/>
      <c r="BU365" s="113"/>
      <c r="BV365" s="113"/>
      <c r="BW365" s="113"/>
      <c r="BX365" s="113"/>
      <c r="BY365" s="113"/>
      <c r="BZ365" s="113"/>
      <c r="CA365" s="113"/>
      <c r="CB365" s="113"/>
      <c r="CC365" s="113"/>
    </row>
    <row r="366" spans="2:85" s="32" customFormat="1" ht="15" customHeight="1" x14ac:dyDescent="0.2">
      <c r="B366" s="638" t="s">
        <v>207</v>
      </c>
      <c r="C366" s="639"/>
      <c r="D366" s="639"/>
      <c r="E366" s="639"/>
      <c r="F366" s="640"/>
      <c r="H366" s="207" t="e">
        <f>+H362+H364</f>
        <v>#N/A</v>
      </c>
      <c r="I366" s="113"/>
      <c r="J366" s="207" t="e">
        <f>+J362+J364</f>
        <v>#N/A</v>
      </c>
      <c r="K366" s="207" t="e">
        <f t="shared" ref="K366:S366" si="238">+K362+K364</f>
        <v>#N/A</v>
      </c>
      <c r="L366" s="207" t="e">
        <f t="shared" si="238"/>
        <v>#N/A</v>
      </c>
      <c r="M366" s="207" t="e">
        <f t="shared" si="238"/>
        <v>#N/A</v>
      </c>
      <c r="N366" s="207" t="e">
        <f t="shared" si="238"/>
        <v>#N/A</v>
      </c>
      <c r="O366" s="207" t="e">
        <f t="shared" si="238"/>
        <v>#N/A</v>
      </c>
      <c r="P366" s="207" t="e">
        <f t="shared" si="238"/>
        <v>#N/A</v>
      </c>
      <c r="Q366" s="207" t="e">
        <f t="shared" si="238"/>
        <v>#N/A</v>
      </c>
      <c r="R366" s="207" t="e">
        <f t="shared" si="238"/>
        <v>#N/A</v>
      </c>
      <c r="S366" s="212" t="e">
        <f t="shared" si="238"/>
        <v>#N/A</v>
      </c>
      <c r="T366" s="207" t="e">
        <f t="shared" ref="T366:U366" si="239">+T362+T364</f>
        <v>#N/A</v>
      </c>
      <c r="U366" s="207" t="e">
        <f t="shared" si="239"/>
        <v>#N/A</v>
      </c>
      <c r="V366" s="207" t="e">
        <f t="shared" ref="V366:CC366" si="240">+V362+V364</f>
        <v>#N/A</v>
      </c>
      <c r="W366" s="207" t="e">
        <f t="shared" si="240"/>
        <v>#N/A</v>
      </c>
      <c r="X366" s="207" t="e">
        <f t="shared" si="240"/>
        <v>#N/A</v>
      </c>
      <c r="Y366" s="207" t="e">
        <f t="shared" si="240"/>
        <v>#N/A</v>
      </c>
      <c r="Z366" s="207" t="e">
        <f t="shared" si="240"/>
        <v>#N/A</v>
      </c>
      <c r="AA366" s="207" t="e">
        <f t="shared" si="240"/>
        <v>#N/A</v>
      </c>
      <c r="AB366" s="207" t="e">
        <f t="shared" si="240"/>
        <v>#N/A</v>
      </c>
      <c r="AC366" s="207" t="e">
        <f t="shared" si="240"/>
        <v>#N/A</v>
      </c>
      <c r="AD366" s="207" t="e">
        <f t="shared" si="240"/>
        <v>#N/A</v>
      </c>
      <c r="AE366" s="207" t="e">
        <f t="shared" si="240"/>
        <v>#N/A</v>
      </c>
      <c r="AF366" s="207" t="e">
        <f t="shared" si="240"/>
        <v>#N/A</v>
      </c>
      <c r="AG366" s="207" t="e">
        <f t="shared" si="240"/>
        <v>#N/A</v>
      </c>
      <c r="AH366" s="207" t="e">
        <f t="shared" si="240"/>
        <v>#N/A</v>
      </c>
      <c r="AI366" s="207" t="e">
        <f t="shared" si="240"/>
        <v>#N/A</v>
      </c>
      <c r="AJ366" s="207" t="e">
        <f t="shared" si="240"/>
        <v>#N/A</v>
      </c>
      <c r="AK366" s="207" t="e">
        <f t="shared" si="240"/>
        <v>#N/A</v>
      </c>
      <c r="AL366" s="207" t="e">
        <f t="shared" si="240"/>
        <v>#N/A</v>
      </c>
      <c r="AM366" s="207" t="e">
        <f t="shared" si="240"/>
        <v>#N/A</v>
      </c>
      <c r="AN366" s="207" t="e">
        <f t="shared" si="240"/>
        <v>#N/A</v>
      </c>
      <c r="AO366" s="207" t="e">
        <f t="shared" si="240"/>
        <v>#N/A</v>
      </c>
      <c r="AP366" s="207" t="e">
        <f t="shared" si="240"/>
        <v>#N/A</v>
      </c>
      <c r="AQ366" s="207" t="e">
        <f t="shared" si="240"/>
        <v>#N/A</v>
      </c>
      <c r="AR366" s="207" t="e">
        <f t="shared" si="240"/>
        <v>#N/A</v>
      </c>
      <c r="AS366" s="207" t="e">
        <f t="shared" si="240"/>
        <v>#N/A</v>
      </c>
      <c r="AT366" s="207" t="e">
        <f t="shared" si="240"/>
        <v>#N/A</v>
      </c>
      <c r="AU366" s="207" t="e">
        <f t="shared" si="240"/>
        <v>#N/A</v>
      </c>
      <c r="AV366" s="207" t="e">
        <f t="shared" si="240"/>
        <v>#N/A</v>
      </c>
      <c r="AW366" s="207" t="e">
        <f t="shared" si="240"/>
        <v>#N/A</v>
      </c>
      <c r="AX366" s="207" t="e">
        <f t="shared" si="240"/>
        <v>#N/A</v>
      </c>
      <c r="AY366" s="207" t="e">
        <f t="shared" si="240"/>
        <v>#N/A</v>
      </c>
      <c r="AZ366" s="207" t="e">
        <f t="shared" si="240"/>
        <v>#N/A</v>
      </c>
      <c r="BA366" s="207" t="e">
        <f t="shared" si="240"/>
        <v>#N/A</v>
      </c>
      <c r="BB366" s="207" t="e">
        <f t="shared" si="240"/>
        <v>#N/A</v>
      </c>
      <c r="BC366" s="207" t="e">
        <f t="shared" si="240"/>
        <v>#N/A</v>
      </c>
      <c r="BD366" s="207" t="e">
        <f t="shared" si="240"/>
        <v>#N/A</v>
      </c>
      <c r="BE366" s="207" t="e">
        <f t="shared" si="240"/>
        <v>#N/A</v>
      </c>
      <c r="BF366" s="207" t="e">
        <f t="shared" si="240"/>
        <v>#N/A</v>
      </c>
      <c r="BG366" s="207" t="e">
        <f t="shared" si="240"/>
        <v>#N/A</v>
      </c>
      <c r="BH366" s="207" t="e">
        <f t="shared" si="240"/>
        <v>#N/A</v>
      </c>
      <c r="BI366" s="207" t="e">
        <f t="shared" si="240"/>
        <v>#N/A</v>
      </c>
      <c r="BJ366" s="207" t="e">
        <f t="shared" si="240"/>
        <v>#N/A</v>
      </c>
      <c r="BK366" s="207" t="e">
        <f t="shared" si="240"/>
        <v>#N/A</v>
      </c>
      <c r="BL366" s="207" t="e">
        <f t="shared" si="240"/>
        <v>#N/A</v>
      </c>
      <c r="BM366" s="207" t="e">
        <f t="shared" si="240"/>
        <v>#N/A</v>
      </c>
      <c r="BN366" s="207" t="e">
        <f t="shared" si="240"/>
        <v>#N/A</v>
      </c>
      <c r="BO366" s="207" t="e">
        <f t="shared" si="240"/>
        <v>#N/A</v>
      </c>
      <c r="BP366" s="207" t="e">
        <f t="shared" si="240"/>
        <v>#N/A</v>
      </c>
      <c r="BQ366" s="207" t="e">
        <f t="shared" si="240"/>
        <v>#N/A</v>
      </c>
      <c r="BR366" s="207" t="e">
        <f t="shared" si="240"/>
        <v>#N/A</v>
      </c>
      <c r="BS366" s="207" t="e">
        <f t="shared" si="240"/>
        <v>#N/A</v>
      </c>
      <c r="BT366" s="207" t="e">
        <f t="shared" si="240"/>
        <v>#N/A</v>
      </c>
      <c r="BU366" s="207" t="e">
        <f t="shared" si="240"/>
        <v>#N/A</v>
      </c>
      <c r="BV366" s="207" t="e">
        <f t="shared" si="240"/>
        <v>#N/A</v>
      </c>
      <c r="BW366" s="207" t="e">
        <f t="shared" si="240"/>
        <v>#N/A</v>
      </c>
      <c r="BX366" s="207" t="e">
        <f t="shared" si="240"/>
        <v>#N/A</v>
      </c>
      <c r="BY366" s="207" t="e">
        <f t="shared" si="240"/>
        <v>#N/A</v>
      </c>
      <c r="BZ366" s="207" t="e">
        <f t="shared" si="240"/>
        <v>#N/A</v>
      </c>
      <c r="CA366" s="207">
        <f t="shared" si="240"/>
        <v>0</v>
      </c>
      <c r="CB366" s="207">
        <f t="shared" si="240"/>
        <v>0</v>
      </c>
      <c r="CC366" s="207">
        <f t="shared" si="240"/>
        <v>0</v>
      </c>
    </row>
    <row r="367" spans="2:85" ht="5.0999999999999996" customHeight="1" x14ac:dyDescent="0.2">
      <c r="H367" s="32"/>
      <c r="I367" s="32"/>
      <c r="J367" s="32"/>
      <c r="K367" s="32"/>
      <c r="L367" s="32"/>
      <c r="M367" s="32"/>
      <c r="N367" s="32"/>
      <c r="O367" s="32"/>
      <c r="P367" s="32"/>
      <c r="Q367" s="32"/>
      <c r="R367" s="32"/>
      <c r="S367" s="32"/>
      <c r="T367" s="32"/>
      <c r="U367" s="32"/>
      <c r="V367" s="32"/>
      <c r="W367" s="32"/>
      <c r="X367" s="32"/>
      <c r="Y367" s="32"/>
      <c r="Z367" s="32"/>
      <c r="AA367" s="32"/>
      <c r="AB367" s="32"/>
      <c r="AC367" s="32"/>
      <c r="AD367" s="32"/>
      <c r="AE367" s="32"/>
      <c r="AF367" s="32"/>
      <c r="AG367" s="32"/>
      <c r="AH367" s="32"/>
      <c r="AI367" s="32"/>
      <c r="AJ367" s="32"/>
      <c r="AK367" s="32"/>
      <c r="AL367" s="32"/>
      <c r="AM367" s="32"/>
      <c r="AN367" s="32"/>
      <c r="AO367" s="32"/>
      <c r="AP367" s="32"/>
      <c r="AQ367" s="32"/>
      <c r="AR367" s="32"/>
      <c r="AS367" s="32"/>
      <c r="AT367" s="32"/>
      <c r="AU367" s="32"/>
      <c r="AV367" s="32"/>
      <c r="AW367" s="32"/>
      <c r="AX367" s="32"/>
      <c r="AY367" s="32"/>
      <c r="AZ367" s="32"/>
      <c r="BA367" s="32"/>
      <c r="BB367" s="32"/>
      <c r="BC367" s="32"/>
      <c r="BD367" s="32"/>
      <c r="BE367" s="32"/>
      <c r="BF367" s="32"/>
      <c r="BG367" s="32"/>
      <c r="BH367" s="32"/>
      <c r="BI367" s="32"/>
      <c r="BJ367" s="32"/>
      <c r="BK367" s="32"/>
      <c r="BL367" s="32"/>
      <c r="BM367" s="32"/>
      <c r="BN367" s="32"/>
      <c r="BO367" s="32"/>
      <c r="BP367" s="32"/>
      <c r="BQ367" s="32"/>
      <c r="BR367" s="32"/>
      <c r="BS367" s="32"/>
      <c r="BT367" s="32"/>
      <c r="BU367" s="32"/>
      <c r="BV367" s="32"/>
      <c r="BW367" s="32"/>
      <c r="BX367" s="32"/>
      <c r="BY367" s="32"/>
      <c r="BZ367" s="32"/>
      <c r="CA367" s="32"/>
      <c r="CB367" s="32"/>
      <c r="CC367" s="32"/>
    </row>
    <row r="368" spans="2:85" s="32" customFormat="1" ht="15" customHeight="1" x14ac:dyDescent="0.2">
      <c r="B368" s="628" t="s">
        <v>208</v>
      </c>
      <c r="C368" s="629"/>
      <c r="D368" s="629"/>
      <c r="E368" s="629"/>
      <c r="F368" s="630"/>
      <c r="J368" s="100" t="e">
        <f>IF($H$366=0,0,+J366/$H$354)</f>
        <v>#N/A</v>
      </c>
      <c r="K368" s="100" t="e">
        <f t="shared" ref="K368:BV368" si="241">IF($H$366=0,0,+K366/$H$354)</f>
        <v>#N/A</v>
      </c>
      <c r="L368" s="100" t="e">
        <f t="shared" si="241"/>
        <v>#N/A</v>
      </c>
      <c r="M368" s="100" t="e">
        <f t="shared" si="241"/>
        <v>#N/A</v>
      </c>
      <c r="N368" s="100" t="e">
        <f t="shared" si="241"/>
        <v>#N/A</v>
      </c>
      <c r="O368" s="100" t="e">
        <f t="shared" si="241"/>
        <v>#N/A</v>
      </c>
      <c r="P368" s="100" t="e">
        <f t="shared" si="241"/>
        <v>#N/A</v>
      </c>
      <c r="Q368" s="100" t="e">
        <f t="shared" si="241"/>
        <v>#N/A</v>
      </c>
      <c r="R368" s="100" t="e">
        <f t="shared" si="241"/>
        <v>#N/A</v>
      </c>
      <c r="S368" s="100" t="e">
        <f t="shared" si="241"/>
        <v>#N/A</v>
      </c>
      <c r="T368" s="100" t="e">
        <f t="shared" si="241"/>
        <v>#N/A</v>
      </c>
      <c r="U368" s="100" t="e">
        <f t="shared" si="241"/>
        <v>#N/A</v>
      </c>
      <c r="V368" s="100" t="e">
        <f t="shared" si="241"/>
        <v>#N/A</v>
      </c>
      <c r="W368" s="100" t="e">
        <f t="shared" si="241"/>
        <v>#N/A</v>
      </c>
      <c r="X368" s="100" t="e">
        <f t="shared" si="241"/>
        <v>#N/A</v>
      </c>
      <c r="Y368" s="100" t="e">
        <f t="shared" si="241"/>
        <v>#N/A</v>
      </c>
      <c r="Z368" s="100" t="e">
        <f t="shared" si="241"/>
        <v>#N/A</v>
      </c>
      <c r="AA368" s="100" t="e">
        <f t="shared" si="241"/>
        <v>#N/A</v>
      </c>
      <c r="AB368" s="100" t="e">
        <f t="shared" si="241"/>
        <v>#N/A</v>
      </c>
      <c r="AC368" s="100" t="e">
        <f t="shared" si="241"/>
        <v>#N/A</v>
      </c>
      <c r="AD368" s="100" t="e">
        <f t="shared" si="241"/>
        <v>#N/A</v>
      </c>
      <c r="AE368" s="100" t="e">
        <f t="shared" si="241"/>
        <v>#N/A</v>
      </c>
      <c r="AF368" s="100" t="e">
        <f t="shared" si="241"/>
        <v>#N/A</v>
      </c>
      <c r="AG368" s="100" t="e">
        <f t="shared" si="241"/>
        <v>#N/A</v>
      </c>
      <c r="AH368" s="100" t="e">
        <f t="shared" si="241"/>
        <v>#N/A</v>
      </c>
      <c r="AI368" s="100" t="e">
        <f t="shared" si="241"/>
        <v>#N/A</v>
      </c>
      <c r="AJ368" s="100" t="e">
        <f t="shared" si="241"/>
        <v>#N/A</v>
      </c>
      <c r="AK368" s="100" t="e">
        <f t="shared" si="241"/>
        <v>#N/A</v>
      </c>
      <c r="AL368" s="100" t="e">
        <f t="shared" si="241"/>
        <v>#N/A</v>
      </c>
      <c r="AM368" s="100" t="e">
        <f t="shared" si="241"/>
        <v>#N/A</v>
      </c>
      <c r="AN368" s="100" t="e">
        <f t="shared" si="241"/>
        <v>#N/A</v>
      </c>
      <c r="AO368" s="100" t="e">
        <f t="shared" si="241"/>
        <v>#N/A</v>
      </c>
      <c r="AP368" s="100" t="e">
        <f t="shared" si="241"/>
        <v>#N/A</v>
      </c>
      <c r="AQ368" s="100" t="e">
        <f t="shared" si="241"/>
        <v>#N/A</v>
      </c>
      <c r="AR368" s="100" t="e">
        <f t="shared" si="241"/>
        <v>#N/A</v>
      </c>
      <c r="AS368" s="100" t="e">
        <f t="shared" si="241"/>
        <v>#N/A</v>
      </c>
      <c r="AT368" s="100" t="e">
        <f t="shared" si="241"/>
        <v>#N/A</v>
      </c>
      <c r="AU368" s="100" t="e">
        <f t="shared" si="241"/>
        <v>#N/A</v>
      </c>
      <c r="AV368" s="100" t="e">
        <f t="shared" si="241"/>
        <v>#N/A</v>
      </c>
      <c r="AW368" s="100" t="e">
        <f t="shared" si="241"/>
        <v>#N/A</v>
      </c>
      <c r="AX368" s="100" t="e">
        <f t="shared" si="241"/>
        <v>#N/A</v>
      </c>
      <c r="AY368" s="100" t="e">
        <f t="shared" si="241"/>
        <v>#N/A</v>
      </c>
      <c r="AZ368" s="100" t="e">
        <f t="shared" si="241"/>
        <v>#N/A</v>
      </c>
      <c r="BA368" s="100" t="e">
        <f t="shared" si="241"/>
        <v>#N/A</v>
      </c>
      <c r="BB368" s="100" t="e">
        <f t="shared" si="241"/>
        <v>#N/A</v>
      </c>
      <c r="BC368" s="100" t="e">
        <f t="shared" si="241"/>
        <v>#N/A</v>
      </c>
      <c r="BD368" s="100" t="e">
        <f t="shared" si="241"/>
        <v>#N/A</v>
      </c>
      <c r="BE368" s="100" t="e">
        <f t="shared" si="241"/>
        <v>#N/A</v>
      </c>
      <c r="BF368" s="100" t="e">
        <f t="shared" si="241"/>
        <v>#N/A</v>
      </c>
      <c r="BG368" s="100" t="e">
        <f t="shared" si="241"/>
        <v>#N/A</v>
      </c>
      <c r="BH368" s="100" t="e">
        <f t="shared" si="241"/>
        <v>#N/A</v>
      </c>
      <c r="BI368" s="100" t="e">
        <f t="shared" si="241"/>
        <v>#N/A</v>
      </c>
      <c r="BJ368" s="100" t="e">
        <f t="shared" si="241"/>
        <v>#N/A</v>
      </c>
      <c r="BK368" s="100" t="e">
        <f t="shared" si="241"/>
        <v>#N/A</v>
      </c>
      <c r="BL368" s="100" t="e">
        <f t="shared" si="241"/>
        <v>#N/A</v>
      </c>
      <c r="BM368" s="100" t="e">
        <f t="shared" si="241"/>
        <v>#N/A</v>
      </c>
      <c r="BN368" s="100" t="e">
        <f t="shared" si="241"/>
        <v>#N/A</v>
      </c>
      <c r="BO368" s="100" t="e">
        <f t="shared" si="241"/>
        <v>#N/A</v>
      </c>
      <c r="BP368" s="100" t="e">
        <f t="shared" si="241"/>
        <v>#N/A</v>
      </c>
      <c r="BQ368" s="100" t="e">
        <f t="shared" si="241"/>
        <v>#N/A</v>
      </c>
      <c r="BR368" s="100" t="e">
        <f t="shared" si="241"/>
        <v>#N/A</v>
      </c>
      <c r="BS368" s="100" t="e">
        <f t="shared" si="241"/>
        <v>#N/A</v>
      </c>
      <c r="BT368" s="100" t="e">
        <f t="shared" si="241"/>
        <v>#N/A</v>
      </c>
      <c r="BU368" s="100" t="e">
        <f t="shared" si="241"/>
        <v>#N/A</v>
      </c>
      <c r="BV368" s="100" t="e">
        <f t="shared" si="241"/>
        <v>#N/A</v>
      </c>
      <c r="BW368" s="100" t="e">
        <f t="shared" ref="BW368:CC368" si="242">IF($H$366=0,0,+BW366/$H$354)</f>
        <v>#N/A</v>
      </c>
      <c r="BX368" s="100" t="e">
        <f t="shared" si="242"/>
        <v>#N/A</v>
      </c>
      <c r="BY368" s="100" t="e">
        <f t="shared" si="242"/>
        <v>#N/A</v>
      </c>
      <c r="BZ368" s="100" t="e">
        <f t="shared" si="242"/>
        <v>#N/A</v>
      </c>
      <c r="CA368" s="100" t="e">
        <f t="shared" si="242"/>
        <v>#N/A</v>
      </c>
      <c r="CB368" s="100" t="e">
        <f t="shared" si="242"/>
        <v>#N/A</v>
      </c>
      <c r="CC368" s="100" t="e">
        <f t="shared" si="242"/>
        <v>#N/A</v>
      </c>
    </row>
    <row r="369" spans="2:84" ht="5.0999999999999996" customHeight="1" x14ac:dyDescent="0.2">
      <c r="H369" s="32"/>
      <c r="I369" s="32"/>
      <c r="J369" s="113"/>
      <c r="K369" s="113"/>
      <c r="L369" s="113"/>
      <c r="M369" s="113"/>
      <c r="N369" s="113"/>
      <c r="O369" s="113"/>
      <c r="P369" s="113"/>
      <c r="Q369" s="113"/>
      <c r="R369" s="113"/>
      <c r="S369" s="113"/>
      <c r="T369" s="113"/>
      <c r="U369" s="113"/>
      <c r="V369" s="113"/>
      <c r="W369" s="113"/>
      <c r="X369" s="113"/>
      <c r="Y369" s="113"/>
      <c r="Z369" s="113"/>
      <c r="AA369" s="113"/>
      <c r="AB369" s="113"/>
      <c r="AC369" s="113"/>
      <c r="AD369" s="113"/>
      <c r="AE369" s="113"/>
      <c r="AF369" s="113"/>
      <c r="AG369" s="113"/>
      <c r="AH369" s="113"/>
      <c r="AI369" s="113"/>
      <c r="AJ369" s="113"/>
      <c r="AK369" s="113"/>
      <c r="AL369" s="113"/>
      <c r="AM369" s="113"/>
      <c r="AN369" s="113"/>
      <c r="AO369" s="113"/>
      <c r="AP369" s="113"/>
      <c r="AQ369" s="113"/>
      <c r="AR369" s="113"/>
      <c r="AS369" s="113"/>
      <c r="AT369" s="113"/>
      <c r="AU369" s="113"/>
      <c r="AV369" s="113"/>
      <c r="AW369" s="113"/>
      <c r="AX369" s="113"/>
      <c r="AY369" s="113"/>
      <c r="AZ369" s="113"/>
      <c r="BA369" s="113"/>
      <c r="BB369" s="113"/>
      <c r="BC369" s="113"/>
      <c r="BD369" s="113"/>
      <c r="BE369" s="113"/>
      <c r="BF369" s="113"/>
      <c r="BG369" s="113"/>
      <c r="BH369" s="113"/>
      <c r="BI369" s="113"/>
      <c r="BJ369" s="113"/>
      <c r="BK369" s="113"/>
      <c r="BL369" s="113"/>
      <c r="BM369" s="113"/>
      <c r="BN369" s="113"/>
      <c r="BO369" s="113"/>
      <c r="BP369" s="113"/>
      <c r="BQ369" s="113"/>
      <c r="BR369" s="113"/>
      <c r="BS369" s="113"/>
      <c r="BT369" s="113"/>
      <c r="BU369" s="113"/>
      <c r="BV369" s="113"/>
      <c r="BW369" s="113"/>
      <c r="BX369" s="113"/>
      <c r="BY369" s="113"/>
      <c r="BZ369" s="113"/>
      <c r="CA369" s="113"/>
      <c r="CB369" s="113"/>
      <c r="CC369" s="113"/>
    </row>
    <row r="370" spans="2:84" s="32" customFormat="1" ht="15" customHeight="1" x14ac:dyDescent="0.2">
      <c r="B370" s="628" t="s">
        <v>209</v>
      </c>
      <c r="C370" s="629"/>
      <c r="D370" s="629"/>
      <c r="E370" s="629"/>
      <c r="F370" s="630"/>
      <c r="J370" s="100" t="e">
        <f>+J368</f>
        <v>#N/A</v>
      </c>
      <c r="K370" s="100" t="e">
        <f>+J370+K368</f>
        <v>#N/A</v>
      </c>
      <c r="L370" s="100" t="e">
        <f t="shared" ref="L370:BW370" si="243">+K370+L368</f>
        <v>#N/A</v>
      </c>
      <c r="M370" s="100" t="e">
        <f t="shared" si="243"/>
        <v>#N/A</v>
      </c>
      <c r="N370" s="100" t="e">
        <f t="shared" si="243"/>
        <v>#N/A</v>
      </c>
      <c r="O370" s="100" t="e">
        <f t="shared" si="243"/>
        <v>#N/A</v>
      </c>
      <c r="P370" s="100" t="e">
        <f t="shared" si="243"/>
        <v>#N/A</v>
      </c>
      <c r="Q370" s="100" t="e">
        <f t="shared" si="243"/>
        <v>#N/A</v>
      </c>
      <c r="R370" s="100" t="e">
        <f t="shared" si="243"/>
        <v>#N/A</v>
      </c>
      <c r="S370" s="100" t="e">
        <f t="shared" si="243"/>
        <v>#N/A</v>
      </c>
      <c r="T370" s="100" t="e">
        <f t="shared" si="243"/>
        <v>#N/A</v>
      </c>
      <c r="U370" s="100" t="e">
        <f t="shared" si="243"/>
        <v>#N/A</v>
      </c>
      <c r="V370" s="100" t="e">
        <f t="shared" si="243"/>
        <v>#N/A</v>
      </c>
      <c r="W370" s="100" t="e">
        <f t="shared" si="243"/>
        <v>#N/A</v>
      </c>
      <c r="X370" s="100" t="e">
        <f t="shared" si="243"/>
        <v>#N/A</v>
      </c>
      <c r="Y370" s="100" t="e">
        <f t="shared" si="243"/>
        <v>#N/A</v>
      </c>
      <c r="Z370" s="100" t="e">
        <f t="shared" si="243"/>
        <v>#N/A</v>
      </c>
      <c r="AA370" s="100" t="e">
        <f t="shared" si="243"/>
        <v>#N/A</v>
      </c>
      <c r="AB370" s="100" t="e">
        <f t="shared" si="243"/>
        <v>#N/A</v>
      </c>
      <c r="AC370" s="100" t="e">
        <f t="shared" si="243"/>
        <v>#N/A</v>
      </c>
      <c r="AD370" s="100" t="e">
        <f t="shared" si="243"/>
        <v>#N/A</v>
      </c>
      <c r="AE370" s="100" t="e">
        <f t="shared" si="243"/>
        <v>#N/A</v>
      </c>
      <c r="AF370" s="100" t="e">
        <f t="shared" si="243"/>
        <v>#N/A</v>
      </c>
      <c r="AG370" s="100" t="e">
        <f t="shared" si="243"/>
        <v>#N/A</v>
      </c>
      <c r="AH370" s="100" t="e">
        <f t="shared" si="243"/>
        <v>#N/A</v>
      </c>
      <c r="AI370" s="100" t="e">
        <f t="shared" si="243"/>
        <v>#N/A</v>
      </c>
      <c r="AJ370" s="100" t="e">
        <f t="shared" si="243"/>
        <v>#N/A</v>
      </c>
      <c r="AK370" s="100" t="e">
        <f t="shared" si="243"/>
        <v>#N/A</v>
      </c>
      <c r="AL370" s="100" t="e">
        <f t="shared" si="243"/>
        <v>#N/A</v>
      </c>
      <c r="AM370" s="100" t="e">
        <f t="shared" si="243"/>
        <v>#N/A</v>
      </c>
      <c r="AN370" s="100" t="e">
        <f t="shared" si="243"/>
        <v>#N/A</v>
      </c>
      <c r="AO370" s="100" t="e">
        <f t="shared" si="243"/>
        <v>#N/A</v>
      </c>
      <c r="AP370" s="100" t="e">
        <f t="shared" si="243"/>
        <v>#N/A</v>
      </c>
      <c r="AQ370" s="100" t="e">
        <f t="shared" si="243"/>
        <v>#N/A</v>
      </c>
      <c r="AR370" s="100" t="e">
        <f t="shared" si="243"/>
        <v>#N/A</v>
      </c>
      <c r="AS370" s="100" t="e">
        <f t="shared" si="243"/>
        <v>#N/A</v>
      </c>
      <c r="AT370" s="100" t="e">
        <f t="shared" si="243"/>
        <v>#N/A</v>
      </c>
      <c r="AU370" s="100" t="e">
        <f t="shared" si="243"/>
        <v>#N/A</v>
      </c>
      <c r="AV370" s="100" t="e">
        <f t="shared" si="243"/>
        <v>#N/A</v>
      </c>
      <c r="AW370" s="100" t="e">
        <f t="shared" si="243"/>
        <v>#N/A</v>
      </c>
      <c r="AX370" s="100" t="e">
        <f t="shared" si="243"/>
        <v>#N/A</v>
      </c>
      <c r="AY370" s="100" t="e">
        <f t="shared" si="243"/>
        <v>#N/A</v>
      </c>
      <c r="AZ370" s="100" t="e">
        <f t="shared" si="243"/>
        <v>#N/A</v>
      </c>
      <c r="BA370" s="100" t="e">
        <f t="shared" si="243"/>
        <v>#N/A</v>
      </c>
      <c r="BB370" s="100" t="e">
        <f t="shared" si="243"/>
        <v>#N/A</v>
      </c>
      <c r="BC370" s="100" t="e">
        <f t="shared" si="243"/>
        <v>#N/A</v>
      </c>
      <c r="BD370" s="100" t="e">
        <f t="shared" si="243"/>
        <v>#N/A</v>
      </c>
      <c r="BE370" s="100" t="e">
        <f t="shared" si="243"/>
        <v>#N/A</v>
      </c>
      <c r="BF370" s="100" t="e">
        <f t="shared" si="243"/>
        <v>#N/A</v>
      </c>
      <c r="BG370" s="100" t="e">
        <f t="shared" si="243"/>
        <v>#N/A</v>
      </c>
      <c r="BH370" s="100" t="e">
        <f t="shared" si="243"/>
        <v>#N/A</v>
      </c>
      <c r="BI370" s="100" t="e">
        <f t="shared" si="243"/>
        <v>#N/A</v>
      </c>
      <c r="BJ370" s="100" t="e">
        <f t="shared" si="243"/>
        <v>#N/A</v>
      </c>
      <c r="BK370" s="100" t="e">
        <f t="shared" si="243"/>
        <v>#N/A</v>
      </c>
      <c r="BL370" s="100" t="e">
        <f t="shared" si="243"/>
        <v>#N/A</v>
      </c>
      <c r="BM370" s="100" t="e">
        <f t="shared" si="243"/>
        <v>#N/A</v>
      </c>
      <c r="BN370" s="100" t="e">
        <f t="shared" si="243"/>
        <v>#N/A</v>
      </c>
      <c r="BO370" s="100" t="e">
        <f t="shared" si="243"/>
        <v>#N/A</v>
      </c>
      <c r="BP370" s="100" t="e">
        <f t="shared" si="243"/>
        <v>#N/A</v>
      </c>
      <c r="BQ370" s="100" t="e">
        <f t="shared" si="243"/>
        <v>#N/A</v>
      </c>
      <c r="BR370" s="100" t="e">
        <f t="shared" si="243"/>
        <v>#N/A</v>
      </c>
      <c r="BS370" s="100" t="e">
        <f t="shared" si="243"/>
        <v>#N/A</v>
      </c>
      <c r="BT370" s="100" t="e">
        <f t="shared" si="243"/>
        <v>#N/A</v>
      </c>
      <c r="BU370" s="100" t="e">
        <f t="shared" si="243"/>
        <v>#N/A</v>
      </c>
      <c r="BV370" s="100" t="e">
        <f t="shared" si="243"/>
        <v>#N/A</v>
      </c>
      <c r="BW370" s="100" t="e">
        <f t="shared" si="243"/>
        <v>#N/A</v>
      </c>
      <c r="BX370" s="100" t="e">
        <f t="shared" ref="BX370:CC370" si="244">+BW370+BX368</f>
        <v>#N/A</v>
      </c>
      <c r="BY370" s="100" t="e">
        <f t="shared" si="244"/>
        <v>#N/A</v>
      </c>
      <c r="BZ370" s="100" t="e">
        <f t="shared" si="244"/>
        <v>#N/A</v>
      </c>
      <c r="CA370" s="100" t="e">
        <f t="shared" si="244"/>
        <v>#N/A</v>
      </c>
      <c r="CB370" s="100" t="e">
        <f t="shared" si="244"/>
        <v>#N/A</v>
      </c>
      <c r="CC370" s="100" t="e">
        <f t="shared" si="244"/>
        <v>#N/A</v>
      </c>
    </row>
    <row r="371" spans="2:84" ht="5.0999999999999996" customHeight="1" x14ac:dyDescent="0.2"/>
    <row r="372" spans="2:84" x14ac:dyDescent="0.2">
      <c r="B372" s="75" t="s">
        <v>304</v>
      </c>
      <c r="C372" s="67"/>
      <c r="D372" s="67"/>
      <c r="E372" s="67"/>
      <c r="F372" s="67"/>
      <c r="G372" s="67"/>
      <c r="H372" s="67"/>
      <c r="I372" s="67"/>
      <c r="J372" s="67"/>
      <c r="K372" s="67"/>
      <c r="L372" s="67"/>
      <c r="M372" s="67"/>
      <c r="N372" s="67"/>
      <c r="O372" s="67"/>
      <c r="P372" s="67"/>
      <c r="Q372" s="121"/>
      <c r="R372" s="67"/>
      <c r="S372" s="67"/>
      <c r="T372" s="67"/>
      <c r="U372" s="67"/>
      <c r="V372" s="67"/>
      <c r="W372" s="67"/>
      <c r="X372" s="67"/>
      <c r="Y372" s="67"/>
      <c r="Z372" s="67"/>
      <c r="AA372" s="67"/>
      <c r="AB372" s="67"/>
      <c r="AC372" s="67"/>
      <c r="AD372" s="67"/>
      <c r="AE372" s="67"/>
      <c r="AF372" s="67"/>
      <c r="AG372" s="67"/>
      <c r="AH372" s="67"/>
      <c r="AI372" s="67"/>
      <c r="AJ372" s="67"/>
      <c r="AK372" s="67"/>
      <c r="AL372" s="67"/>
      <c r="AM372" s="67"/>
      <c r="AN372" s="67"/>
      <c r="AO372" s="67"/>
      <c r="AP372" s="67"/>
      <c r="AQ372" s="67"/>
      <c r="AR372" s="67"/>
      <c r="AS372" s="67"/>
      <c r="AT372" s="67"/>
      <c r="AU372" s="67"/>
      <c r="AV372" s="67"/>
      <c r="AW372" s="67"/>
      <c r="AX372" s="67"/>
      <c r="AY372" s="67"/>
      <c r="AZ372" s="67"/>
      <c r="BA372" s="67"/>
      <c r="BB372" s="67"/>
      <c r="BC372" s="67"/>
      <c r="BD372" s="67"/>
      <c r="BE372" s="67"/>
      <c r="BF372" s="67"/>
      <c r="BG372" s="67"/>
      <c r="BH372" s="67"/>
      <c r="BI372" s="67"/>
      <c r="BJ372" s="67"/>
      <c r="BK372" s="67"/>
      <c r="BL372" s="67"/>
      <c r="BM372" s="67"/>
      <c r="BN372" s="67"/>
      <c r="BO372" s="67"/>
      <c r="BP372" s="67"/>
      <c r="BQ372" s="67"/>
      <c r="BR372" s="67"/>
      <c r="BS372" s="67"/>
      <c r="BT372" s="67"/>
      <c r="BU372" s="67"/>
      <c r="BV372" s="67"/>
      <c r="BW372" s="67"/>
      <c r="BX372" s="67"/>
      <c r="BY372" s="67"/>
      <c r="BZ372" s="67"/>
      <c r="CA372" s="67"/>
      <c r="CB372" s="67"/>
      <c r="CC372" s="67"/>
    </row>
    <row r="373" spans="2:84" ht="5.0999999999999996" customHeight="1" x14ac:dyDescent="0.2"/>
    <row r="374" spans="2:84" s="32" customFormat="1" ht="41.25" x14ac:dyDescent="0.2">
      <c r="B374" s="659" t="s">
        <v>305</v>
      </c>
      <c r="C374" s="659"/>
      <c r="D374" s="659"/>
      <c r="E374" s="659"/>
      <c r="F374" s="659"/>
      <c r="H374" s="83" t="s">
        <v>303</v>
      </c>
      <c r="J374" s="190" t="e">
        <f>+J360</f>
        <v>#N/A</v>
      </c>
      <c r="K374" s="190" t="e">
        <f t="shared" ref="K374:BV374" si="245">+K360</f>
        <v>#N/A</v>
      </c>
      <c r="L374" s="190" t="e">
        <f t="shared" si="245"/>
        <v>#N/A</v>
      </c>
      <c r="M374" s="190" t="e">
        <f t="shared" si="245"/>
        <v>#N/A</v>
      </c>
      <c r="N374" s="190" t="e">
        <f t="shared" si="245"/>
        <v>#N/A</v>
      </c>
      <c r="O374" s="190" t="e">
        <f t="shared" si="245"/>
        <v>#N/A</v>
      </c>
      <c r="P374" s="190" t="e">
        <f t="shared" si="245"/>
        <v>#N/A</v>
      </c>
      <c r="Q374" s="190" t="e">
        <f t="shared" si="245"/>
        <v>#N/A</v>
      </c>
      <c r="R374" s="190" t="e">
        <f t="shared" si="245"/>
        <v>#N/A</v>
      </c>
      <c r="S374" s="190" t="e">
        <f t="shared" si="245"/>
        <v>#N/A</v>
      </c>
      <c r="T374" s="190" t="e">
        <f t="shared" si="245"/>
        <v>#N/A</v>
      </c>
      <c r="U374" s="190" t="e">
        <f t="shared" si="245"/>
        <v>#N/A</v>
      </c>
      <c r="V374" s="190" t="e">
        <f t="shared" si="245"/>
        <v>#N/A</v>
      </c>
      <c r="W374" s="190" t="e">
        <f t="shared" si="245"/>
        <v>#N/A</v>
      </c>
      <c r="X374" s="190" t="e">
        <f t="shared" si="245"/>
        <v>#N/A</v>
      </c>
      <c r="Y374" s="190" t="e">
        <f t="shared" si="245"/>
        <v>#N/A</v>
      </c>
      <c r="Z374" s="190" t="e">
        <f t="shared" si="245"/>
        <v>#N/A</v>
      </c>
      <c r="AA374" s="190" t="e">
        <f t="shared" si="245"/>
        <v>#N/A</v>
      </c>
      <c r="AB374" s="190" t="e">
        <f t="shared" si="245"/>
        <v>#N/A</v>
      </c>
      <c r="AC374" s="190" t="e">
        <f t="shared" si="245"/>
        <v>#N/A</v>
      </c>
      <c r="AD374" s="190" t="e">
        <f t="shared" si="245"/>
        <v>#N/A</v>
      </c>
      <c r="AE374" s="190" t="e">
        <f t="shared" si="245"/>
        <v>#N/A</v>
      </c>
      <c r="AF374" s="190" t="e">
        <f t="shared" si="245"/>
        <v>#N/A</v>
      </c>
      <c r="AG374" s="190" t="e">
        <f t="shared" si="245"/>
        <v>#N/A</v>
      </c>
      <c r="AH374" s="190" t="e">
        <f t="shared" si="245"/>
        <v>#N/A</v>
      </c>
      <c r="AI374" s="190" t="e">
        <f t="shared" si="245"/>
        <v>#N/A</v>
      </c>
      <c r="AJ374" s="190" t="e">
        <f t="shared" si="245"/>
        <v>#N/A</v>
      </c>
      <c r="AK374" s="190" t="e">
        <f t="shared" si="245"/>
        <v>#N/A</v>
      </c>
      <c r="AL374" s="190" t="e">
        <f t="shared" si="245"/>
        <v>#N/A</v>
      </c>
      <c r="AM374" s="190" t="e">
        <f t="shared" si="245"/>
        <v>#N/A</v>
      </c>
      <c r="AN374" s="190" t="e">
        <f t="shared" si="245"/>
        <v>#N/A</v>
      </c>
      <c r="AO374" s="190" t="e">
        <f t="shared" si="245"/>
        <v>#N/A</v>
      </c>
      <c r="AP374" s="190" t="e">
        <f t="shared" si="245"/>
        <v>#N/A</v>
      </c>
      <c r="AQ374" s="190" t="e">
        <f t="shared" si="245"/>
        <v>#N/A</v>
      </c>
      <c r="AR374" s="190" t="e">
        <f t="shared" si="245"/>
        <v>#N/A</v>
      </c>
      <c r="AS374" s="190" t="e">
        <f t="shared" si="245"/>
        <v>#N/A</v>
      </c>
      <c r="AT374" s="190" t="e">
        <f t="shared" si="245"/>
        <v>#N/A</v>
      </c>
      <c r="AU374" s="190" t="e">
        <f t="shared" si="245"/>
        <v>#N/A</v>
      </c>
      <c r="AV374" s="190" t="e">
        <f t="shared" si="245"/>
        <v>#N/A</v>
      </c>
      <c r="AW374" s="190" t="e">
        <f t="shared" si="245"/>
        <v>#N/A</v>
      </c>
      <c r="AX374" s="190" t="e">
        <f t="shared" si="245"/>
        <v>#N/A</v>
      </c>
      <c r="AY374" s="190" t="e">
        <f t="shared" si="245"/>
        <v>#N/A</v>
      </c>
      <c r="AZ374" s="190" t="e">
        <f t="shared" si="245"/>
        <v>#N/A</v>
      </c>
      <c r="BA374" s="190" t="e">
        <f t="shared" si="245"/>
        <v>#N/A</v>
      </c>
      <c r="BB374" s="190" t="e">
        <f t="shared" si="245"/>
        <v>#N/A</v>
      </c>
      <c r="BC374" s="190" t="e">
        <f t="shared" si="245"/>
        <v>#N/A</v>
      </c>
      <c r="BD374" s="190" t="e">
        <f t="shared" si="245"/>
        <v>#N/A</v>
      </c>
      <c r="BE374" s="190" t="e">
        <f t="shared" si="245"/>
        <v>#N/A</v>
      </c>
      <c r="BF374" s="190" t="e">
        <f t="shared" si="245"/>
        <v>#N/A</v>
      </c>
      <c r="BG374" s="190" t="e">
        <f t="shared" si="245"/>
        <v>#N/A</v>
      </c>
      <c r="BH374" s="190" t="e">
        <f t="shared" si="245"/>
        <v>#N/A</v>
      </c>
      <c r="BI374" s="190" t="e">
        <f t="shared" si="245"/>
        <v>#N/A</v>
      </c>
      <c r="BJ374" s="190" t="e">
        <f t="shared" si="245"/>
        <v>#N/A</v>
      </c>
      <c r="BK374" s="190" t="e">
        <f t="shared" si="245"/>
        <v>#N/A</v>
      </c>
      <c r="BL374" s="190" t="e">
        <f t="shared" si="245"/>
        <v>#N/A</v>
      </c>
      <c r="BM374" s="190" t="e">
        <f t="shared" si="245"/>
        <v>#N/A</v>
      </c>
      <c r="BN374" s="190" t="e">
        <f t="shared" si="245"/>
        <v>#N/A</v>
      </c>
      <c r="BO374" s="190" t="e">
        <f t="shared" si="245"/>
        <v>#N/A</v>
      </c>
      <c r="BP374" s="190" t="e">
        <f t="shared" si="245"/>
        <v>#N/A</v>
      </c>
      <c r="BQ374" s="190" t="e">
        <f t="shared" si="245"/>
        <v>#N/A</v>
      </c>
      <c r="BR374" s="190" t="e">
        <f t="shared" si="245"/>
        <v>#N/A</v>
      </c>
      <c r="BS374" s="190" t="e">
        <f t="shared" si="245"/>
        <v>#N/A</v>
      </c>
      <c r="BT374" s="190" t="e">
        <f t="shared" si="245"/>
        <v>#N/A</v>
      </c>
      <c r="BU374" s="190" t="e">
        <f t="shared" si="245"/>
        <v>#N/A</v>
      </c>
      <c r="BV374" s="190" t="e">
        <f t="shared" si="245"/>
        <v>#N/A</v>
      </c>
      <c r="BW374" s="190" t="e">
        <f t="shared" ref="BW374:CC374" si="246">+BW360</f>
        <v>#N/A</v>
      </c>
      <c r="BX374" s="190" t="e">
        <f t="shared" si="246"/>
        <v>#N/A</v>
      </c>
      <c r="BY374" s="190" t="e">
        <f t="shared" si="246"/>
        <v>#N/A</v>
      </c>
      <c r="BZ374" s="190" t="e">
        <f t="shared" si="246"/>
        <v>#N/A</v>
      </c>
      <c r="CA374" s="190" t="e">
        <f t="shared" si="246"/>
        <v>#N/A</v>
      </c>
      <c r="CB374" s="190" t="e">
        <f t="shared" si="246"/>
        <v>#N/A</v>
      </c>
      <c r="CC374" s="190" t="e">
        <f t="shared" si="246"/>
        <v>#N/A</v>
      </c>
      <c r="CD374"/>
      <c r="CF374" s="116"/>
    </row>
    <row r="375" spans="2:84" ht="5.0999999999999996" customHeight="1" x14ac:dyDescent="0.2">
      <c r="F375" s="32"/>
    </row>
    <row r="376" spans="2:84" x14ac:dyDescent="0.2">
      <c r="B376" s="519" t="s">
        <v>213</v>
      </c>
      <c r="C376" s="520"/>
      <c r="D376" s="520"/>
      <c r="E376" s="520"/>
      <c r="F376" s="521"/>
      <c r="H376" s="205" t="e">
        <f>SUM(J376:CC376)</f>
        <v>#N/A</v>
      </c>
      <c r="I376" s="113"/>
      <c r="J376" s="205" t="e">
        <f>+J362-J350</f>
        <v>#N/A</v>
      </c>
      <c r="K376" s="205" t="e">
        <f t="shared" ref="K376:BV376" si="247">+K362-K350</f>
        <v>#N/A</v>
      </c>
      <c r="L376" s="205" t="e">
        <f t="shared" si="247"/>
        <v>#N/A</v>
      </c>
      <c r="M376" s="205" t="e">
        <f t="shared" si="247"/>
        <v>#N/A</v>
      </c>
      <c r="N376" s="205" t="e">
        <f t="shared" si="247"/>
        <v>#N/A</v>
      </c>
      <c r="O376" s="205" t="e">
        <f t="shared" si="247"/>
        <v>#N/A</v>
      </c>
      <c r="P376" s="205" t="e">
        <f t="shared" si="247"/>
        <v>#N/A</v>
      </c>
      <c r="Q376" s="205" t="e">
        <f t="shared" si="247"/>
        <v>#N/A</v>
      </c>
      <c r="R376" s="205" t="e">
        <f t="shared" si="247"/>
        <v>#N/A</v>
      </c>
      <c r="S376" s="205" t="e">
        <f t="shared" si="247"/>
        <v>#N/A</v>
      </c>
      <c r="T376" s="205" t="e">
        <f t="shared" si="247"/>
        <v>#N/A</v>
      </c>
      <c r="U376" s="205" t="e">
        <f t="shared" si="247"/>
        <v>#N/A</v>
      </c>
      <c r="V376" s="205" t="e">
        <f t="shared" si="247"/>
        <v>#N/A</v>
      </c>
      <c r="W376" s="205" t="e">
        <f t="shared" si="247"/>
        <v>#N/A</v>
      </c>
      <c r="X376" s="205" t="e">
        <f t="shared" si="247"/>
        <v>#N/A</v>
      </c>
      <c r="Y376" s="205" t="e">
        <f t="shared" si="247"/>
        <v>#N/A</v>
      </c>
      <c r="Z376" s="205" t="e">
        <f t="shared" si="247"/>
        <v>#N/A</v>
      </c>
      <c r="AA376" s="205" t="e">
        <f t="shared" si="247"/>
        <v>#N/A</v>
      </c>
      <c r="AB376" s="205" t="e">
        <f t="shared" si="247"/>
        <v>#N/A</v>
      </c>
      <c r="AC376" s="205" t="e">
        <f t="shared" si="247"/>
        <v>#N/A</v>
      </c>
      <c r="AD376" s="205" t="e">
        <f t="shared" si="247"/>
        <v>#N/A</v>
      </c>
      <c r="AE376" s="205" t="e">
        <f t="shared" si="247"/>
        <v>#N/A</v>
      </c>
      <c r="AF376" s="205" t="e">
        <f t="shared" si="247"/>
        <v>#N/A</v>
      </c>
      <c r="AG376" s="205" t="e">
        <f t="shared" si="247"/>
        <v>#N/A</v>
      </c>
      <c r="AH376" s="205" t="e">
        <f t="shared" si="247"/>
        <v>#N/A</v>
      </c>
      <c r="AI376" s="205" t="e">
        <f t="shared" si="247"/>
        <v>#N/A</v>
      </c>
      <c r="AJ376" s="205" t="e">
        <f t="shared" si="247"/>
        <v>#N/A</v>
      </c>
      <c r="AK376" s="205" t="e">
        <f t="shared" si="247"/>
        <v>#N/A</v>
      </c>
      <c r="AL376" s="205" t="e">
        <f t="shared" si="247"/>
        <v>#N/A</v>
      </c>
      <c r="AM376" s="205" t="e">
        <f t="shared" si="247"/>
        <v>#N/A</v>
      </c>
      <c r="AN376" s="205" t="e">
        <f t="shared" si="247"/>
        <v>#N/A</v>
      </c>
      <c r="AO376" s="205" t="e">
        <f t="shared" si="247"/>
        <v>#N/A</v>
      </c>
      <c r="AP376" s="205" t="e">
        <f t="shared" si="247"/>
        <v>#N/A</v>
      </c>
      <c r="AQ376" s="205" t="e">
        <f t="shared" si="247"/>
        <v>#N/A</v>
      </c>
      <c r="AR376" s="205" t="e">
        <f t="shared" si="247"/>
        <v>#N/A</v>
      </c>
      <c r="AS376" s="205" t="e">
        <f t="shared" si="247"/>
        <v>#N/A</v>
      </c>
      <c r="AT376" s="205" t="e">
        <f t="shared" si="247"/>
        <v>#N/A</v>
      </c>
      <c r="AU376" s="205" t="e">
        <f t="shared" si="247"/>
        <v>#N/A</v>
      </c>
      <c r="AV376" s="205" t="e">
        <f t="shared" si="247"/>
        <v>#N/A</v>
      </c>
      <c r="AW376" s="205" t="e">
        <f t="shared" si="247"/>
        <v>#N/A</v>
      </c>
      <c r="AX376" s="205" t="e">
        <f t="shared" si="247"/>
        <v>#N/A</v>
      </c>
      <c r="AY376" s="205" t="e">
        <f t="shared" si="247"/>
        <v>#N/A</v>
      </c>
      <c r="AZ376" s="205" t="e">
        <f t="shared" si="247"/>
        <v>#N/A</v>
      </c>
      <c r="BA376" s="205" t="e">
        <f t="shared" si="247"/>
        <v>#N/A</v>
      </c>
      <c r="BB376" s="205" t="e">
        <f t="shared" si="247"/>
        <v>#N/A</v>
      </c>
      <c r="BC376" s="205" t="e">
        <f t="shared" si="247"/>
        <v>#N/A</v>
      </c>
      <c r="BD376" s="205" t="e">
        <f t="shared" si="247"/>
        <v>#N/A</v>
      </c>
      <c r="BE376" s="205" t="e">
        <f t="shared" si="247"/>
        <v>#N/A</v>
      </c>
      <c r="BF376" s="205" t="e">
        <f t="shared" si="247"/>
        <v>#N/A</v>
      </c>
      <c r="BG376" s="205" t="e">
        <f t="shared" si="247"/>
        <v>#N/A</v>
      </c>
      <c r="BH376" s="205" t="e">
        <f t="shared" si="247"/>
        <v>#N/A</v>
      </c>
      <c r="BI376" s="205" t="e">
        <f t="shared" si="247"/>
        <v>#N/A</v>
      </c>
      <c r="BJ376" s="205" t="e">
        <f t="shared" si="247"/>
        <v>#N/A</v>
      </c>
      <c r="BK376" s="205" t="e">
        <f t="shared" si="247"/>
        <v>#N/A</v>
      </c>
      <c r="BL376" s="205" t="e">
        <f t="shared" si="247"/>
        <v>#N/A</v>
      </c>
      <c r="BM376" s="205" t="e">
        <f t="shared" si="247"/>
        <v>#N/A</v>
      </c>
      <c r="BN376" s="205" t="e">
        <f t="shared" si="247"/>
        <v>#N/A</v>
      </c>
      <c r="BO376" s="205" t="e">
        <f t="shared" si="247"/>
        <v>#N/A</v>
      </c>
      <c r="BP376" s="205" t="e">
        <f t="shared" si="247"/>
        <v>#N/A</v>
      </c>
      <c r="BQ376" s="205" t="e">
        <f t="shared" si="247"/>
        <v>#N/A</v>
      </c>
      <c r="BR376" s="205" t="e">
        <f t="shared" si="247"/>
        <v>#N/A</v>
      </c>
      <c r="BS376" s="205" t="e">
        <f t="shared" si="247"/>
        <v>#N/A</v>
      </c>
      <c r="BT376" s="205" t="e">
        <f t="shared" si="247"/>
        <v>#N/A</v>
      </c>
      <c r="BU376" s="205" t="e">
        <f t="shared" si="247"/>
        <v>#N/A</v>
      </c>
      <c r="BV376" s="205" t="e">
        <f t="shared" si="247"/>
        <v>#N/A</v>
      </c>
      <c r="BW376" s="205" t="e">
        <f t="shared" ref="BW376:CC376" si="248">+BW362-BW350</f>
        <v>#N/A</v>
      </c>
      <c r="BX376" s="205" t="e">
        <f t="shared" si="248"/>
        <v>#N/A</v>
      </c>
      <c r="BY376" s="205" t="e">
        <f t="shared" si="248"/>
        <v>#N/A</v>
      </c>
      <c r="BZ376" s="205" t="e">
        <f t="shared" si="248"/>
        <v>#N/A</v>
      </c>
      <c r="CA376" s="205">
        <f t="shared" si="248"/>
        <v>0</v>
      </c>
      <c r="CB376" s="205">
        <f t="shared" si="248"/>
        <v>0</v>
      </c>
      <c r="CC376" s="205">
        <f t="shared" si="248"/>
        <v>0</v>
      </c>
    </row>
    <row r="377" spans="2:84" ht="5.0999999999999996" customHeight="1" x14ac:dyDescent="0.2">
      <c r="F377" s="32"/>
      <c r="H377" s="113"/>
      <c r="I377" s="113"/>
      <c r="J377" s="113"/>
      <c r="K377" s="113"/>
      <c r="L377" s="113"/>
      <c r="M377" s="113"/>
      <c r="N377" s="113"/>
      <c r="O377" s="113"/>
      <c r="P377" s="113"/>
      <c r="Q377" s="113"/>
      <c r="R377" s="113"/>
      <c r="S377" s="113"/>
      <c r="T377" s="113"/>
      <c r="U377" s="113"/>
      <c r="V377" s="113"/>
      <c r="W377" s="113"/>
      <c r="X377" s="113"/>
      <c r="Y377" s="113"/>
      <c r="Z377" s="113"/>
      <c r="AA377" s="113"/>
      <c r="AB377" s="113"/>
      <c r="AC377" s="113"/>
      <c r="AD377" s="113"/>
      <c r="AE377" s="113"/>
      <c r="AF377" s="113"/>
      <c r="AG377" s="113"/>
      <c r="AH377" s="113"/>
      <c r="AI377" s="113"/>
      <c r="AJ377" s="113"/>
      <c r="AK377" s="113"/>
      <c r="AL377" s="113"/>
      <c r="AM377" s="113"/>
      <c r="AN377" s="113"/>
      <c r="AO377" s="113"/>
      <c r="AP377" s="113"/>
      <c r="AQ377" s="113"/>
      <c r="AR377" s="113"/>
      <c r="AS377" s="113"/>
      <c r="AT377" s="113"/>
      <c r="AU377" s="113"/>
      <c r="AV377" s="113"/>
      <c r="AW377" s="113"/>
      <c r="AX377" s="113"/>
      <c r="AY377" s="113"/>
      <c r="AZ377" s="113"/>
      <c r="BA377" s="113"/>
      <c r="BB377" s="113"/>
      <c r="BC377" s="113"/>
      <c r="BD377" s="113"/>
      <c r="BE377" s="113"/>
      <c r="BF377" s="113"/>
      <c r="BG377" s="113"/>
      <c r="BH377" s="113"/>
      <c r="BI377" s="113"/>
      <c r="BJ377" s="113"/>
      <c r="BK377" s="113"/>
      <c r="BL377" s="113"/>
      <c r="BM377" s="113"/>
      <c r="BN377" s="113"/>
      <c r="BO377" s="113"/>
      <c r="BP377" s="113"/>
      <c r="BQ377" s="113"/>
      <c r="BR377" s="113"/>
      <c r="BS377" s="113"/>
      <c r="BT377" s="113"/>
      <c r="BU377" s="113"/>
      <c r="BV377" s="113"/>
      <c r="BW377" s="113"/>
      <c r="BX377" s="113"/>
      <c r="BY377" s="113"/>
      <c r="BZ377" s="113"/>
      <c r="CA377" s="113"/>
      <c r="CB377" s="113"/>
      <c r="CC377" s="113"/>
    </row>
    <row r="378" spans="2:84" x14ac:dyDescent="0.2">
      <c r="B378" s="519" t="s">
        <v>214</v>
      </c>
      <c r="C378" s="520"/>
      <c r="D378" s="520"/>
      <c r="E378" s="520"/>
      <c r="F378" s="521"/>
      <c r="H378" s="205" t="e">
        <f>SUM(J378:CC378)</f>
        <v>#N/A</v>
      </c>
      <c r="I378" s="113"/>
      <c r="J378" s="205" t="e">
        <f>+J364-J352</f>
        <v>#N/A</v>
      </c>
      <c r="K378" s="205" t="e">
        <f t="shared" ref="K378:BV378" si="249">+K364-K352</f>
        <v>#N/A</v>
      </c>
      <c r="L378" s="205" t="e">
        <f t="shared" si="249"/>
        <v>#N/A</v>
      </c>
      <c r="M378" s="205" t="e">
        <f t="shared" si="249"/>
        <v>#N/A</v>
      </c>
      <c r="N378" s="205" t="e">
        <f t="shared" si="249"/>
        <v>#N/A</v>
      </c>
      <c r="O378" s="205" t="e">
        <f t="shared" si="249"/>
        <v>#N/A</v>
      </c>
      <c r="P378" s="205" t="e">
        <f t="shared" si="249"/>
        <v>#N/A</v>
      </c>
      <c r="Q378" s="205" t="e">
        <f t="shared" si="249"/>
        <v>#N/A</v>
      </c>
      <c r="R378" s="205" t="e">
        <f t="shared" si="249"/>
        <v>#N/A</v>
      </c>
      <c r="S378" s="205" t="e">
        <f t="shared" si="249"/>
        <v>#N/A</v>
      </c>
      <c r="T378" s="205" t="e">
        <f t="shared" si="249"/>
        <v>#N/A</v>
      </c>
      <c r="U378" s="205" t="e">
        <f t="shared" si="249"/>
        <v>#N/A</v>
      </c>
      <c r="V378" s="205" t="e">
        <f t="shared" si="249"/>
        <v>#N/A</v>
      </c>
      <c r="W378" s="205" t="e">
        <f t="shared" si="249"/>
        <v>#N/A</v>
      </c>
      <c r="X378" s="205" t="e">
        <f t="shared" si="249"/>
        <v>#N/A</v>
      </c>
      <c r="Y378" s="205" t="e">
        <f t="shared" si="249"/>
        <v>#N/A</v>
      </c>
      <c r="Z378" s="205" t="e">
        <f t="shared" si="249"/>
        <v>#N/A</v>
      </c>
      <c r="AA378" s="205" t="e">
        <f t="shared" si="249"/>
        <v>#N/A</v>
      </c>
      <c r="AB378" s="205" t="e">
        <f t="shared" si="249"/>
        <v>#N/A</v>
      </c>
      <c r="AC378" s="205" t="e">
        <f t="shared" si="249"/>
        <v>#N/A</v>
      </c>
      <c r="AD378" s="205" t="e">
        <f t="shared" si="249"/>
        <v>#N/A</v>
      </c>
      <c r="AE378" s="205" t="e">
        <f t="shared" si="249"/>
        <v>#N/A</v>
      </c>
      <c r="AF378" s="205" t="e">
        <f t="shared" si="249"/>
        <v>#N/A</v>
      </c>
      <c r="AG378" s="205" t="e">
        <f t="shared" si="249"/>
        <v>#N/A</v>
      </c>
      <c r="AH378" s="205" t="e">
        <f t="shared" si="249"/>
        <v>#N/A</v>
      </c>
      <c r="AI378" s="205" t="e">
        <f t="shared" si="249"/>
        <v>#N/A</v>
      </c>
      <c r="AJ378" s="205" t="e">
        <f t="shared" si="249"/>
        <v>#N/A</v>
      </c>
      <c r="AK378" s="205" t="e">
        <f t="shared" si="249"/>
        <v>#N/A</v>
      </c>
      <c r="AL378" s="205" t="e">
        <f t="shared" si="249"/>
        <v>#N/A</v>
      </c>
      <c r="AM378" s="205" t="e">
        <f t="shared" si="249"/>
        <v>#N/A</v>
      </c>
      <c r="AN378" s="205" t="e">
        <f t="shared" si="249"/>
        <v>#N/A</v>
      </c>
      <c r="AO378" s="205" t="e">
        <f t="shared" si="249"/>
        <v>#N/A</v>
      </c>
      <c r="AP378" s="205" t="e">
        <f t="shared" si="249"/>
        <v>#N/A</v>
      </c>
      <c r="AQ378" s="205" t="e">
        <f t="shared" si="249"/>
        <v>#N/A</v>
      </c>
      <c r="AR378" s="205" t="e">
        <f t="shared" si="249"/>
        <v>#N/A</v>
      </c>
      <c r="AS378" s="205" t="e">
        <f t="shared" si="249"/>
        <v>#N/A</v>
      </c>
      <c r="AT378" s="205" t="e">
        <f t="shared" si="249"/>
        <v>#N/A</v>
      </c>
      <c r="AU378" s="205" t="e">
        <f t="shared" si="249"/>
        <v>#N/A</v>
      </c>
      <c r="AV378" s="205" t="e">
        <f t="shared" si="249"/>
        <v>#N/A</v>
      </c>
      <c r="AW378" s="205" t="e">
        <f t="shared" si="249"/>
        <v>#N/A</v>
      </c>
      <c r="AX378" s="205" t="e">
        <f t="shared" si="249"/>
        <v>#N/A</v>
      </c>
      <c r="AY378" s="205" t="e">
        <f t="shared" si="249"/>
        <v>#N/A</v>
      </c>
      <c r="AZ378" s="205" t="e">
        <f t="shared" si="249"/>
        <v>#N/A</v>
      </c>
      <c r="BA378" s="205" t="e">
        <f t="shared" si="249"/>
        <v>#N/A</v>
      </c>
      <c r="BB378" s="205" t="e">
        <f t="shared" si="249"/>
        <v>#N/A</v>
      </c>
      <c r="BC378" s="205" t="e">
        <f t="shared" si="249"/>
        <v>#N/A</v>
      </c>
      <c r="BD378" s="205" t="e">
        <f t="shared" si="249"/>
        <v>#N/A</v>
      </c>
      <c r="BE378" s="205" t="e">
        <f t="shared" si="249"/>
        <v>#N/A</v>
      </c>
      <c r="BF378" s="205" t="e">
        <f t="shared" si="249"/>
        <v>#N/A</v>
      </c>
      <c r="BG378" s="205" t="e">
        <f t="shared" si="249"/>
        <v>#N/A</v>
      </c>
      <c r="BH378" s="205" t="e">
        <f t="shared" si="249"/>
        <v>#N/A</v>
      </c>
      <c r="BI378" s="205" t="e">
        <f t="shared" si="249"/>
        <v>#N/A</v>
      </c>
      <c r="BJ378" s="205" t="e">
        <f t="shared" si="249"/>
        <v>#N/A</v>
      </c>
      <c r="BK378" s="205" t="e">
        <f t="shared" si="249"/>
        <v>#N/A</v>
      </c>
      <c r="BL378" s="205" t="e">
        <f t="shared" si="249"/>
        <v>#N/A</v>
      </c>
      <c r="BM378" s="205" t="e">
        <f t="shared" si="249"/>
        <v>#N/A</v>
      </c>
      <c r="BN378" s="205" t="e">
        <f t="shared" si="249"/>
        <v>#N/A</v>
      </c>
      <c r="BO378" s="205" t="e">
        <f t="shared" si="249"/>
        <v>#N/A</v>
      </c>
      <c r="BP378" s="205" t="e">
        <f t="shared" si="249"/>
        <v>#N/A</v>
      </c>
      <c r="BQ378" s="205" t="e">
        <f t="shared" si="249"/>
        <v>#N/A</v>
      </c>
      <c r="BR378" s="205" t="e">
        <f t="shared" si="249"/>
        <v>#N/A</v>
      </c>
      <c r="BS378" s="205" t="e">
        <f t="shared" si="249"/>
        <v>#N/A</v>
      </c>
      <c r="BT378" s="205" t="e">
        <f t="shared" si="249"/>
        <v>#N/A</v>
      </c>
      <c r="BU378" s="205" t="e">
        <f t="shared" si="249"/>
        <v>#N/A</v>
      </c>
      <c r="BV378" s="205" t="e">
        <f t="shared" si="249"/>
        <v>#N/A</v>
      </c>
      <c r="BW378" s="205" t="e">
        <f t="shared" ref="BW378:CC378" si="250">+BW364-BW352</f>
        <v>#N/A</v>
      </c>
      <c r="BX378" s="205" t="e">
        <f t="shared" si="250"/>
        <v>#N/A</v>
      </c>
      <c r="BY378" s="205" t="e">
        <f t="shared" si="250"/>
        <v>#N/A</v>
      </c>
      <c r="BZ378" s="205" t="e">
        <f t="shared" si="250"/>
        <v>#N/A</v>
      </c>
      <c r="CA378" s="205">
        <f t="shared" si="250"/>
        <v>0</v>
      </c>
      <c r="CB378" s="205">
        <f t="shared" si="250"/>
        <v>0</v>
      </c>
      <c r="CC378" s="205">
        <f t="shared" si="250"/>
        <v>0</v>
      </c>
    </row>
    <row r="379" spans="2:84" ht="5.0999999999999996" customHeight="1" x14ac:dyDescent="0.2">
      <c r="H379" s="113"/>
      <c r="I379" s="113"/>
      <c r="J379" s="113"/>
      <c r="K379" s="113"/>
      <c r="L379" s="113"/>
      <c r="M379" s="113"/>
      <c r="N379" s="113"/>
      <c r="O379" s="113"/>
      <c r="P379" s="113"/>
      <c r="Q379" s="113"/>
      <c r="R379" s="113"/>
      <c r="S379" s="113"/>
      <c r="T379" s="113"/>
      <c r="U379" s="113"/>
      <c r="V379" s="113"/>
      <c r="W379" s="113"/>
      <c r="X379" s="113"/>
      <c r="Y379" s="113"/>
      <c r="Z379" s="113"/>
      <c r="AA379" s="113"/>
      <c r="AB379" s="113"/>
      <c r="AC379" s="113"/>
      <c r="AD379" s="113"/>
      <c r="AE379" s="113"/>
      <c r="AF379" s="113"/>
      <c r="AG379" s="113"/>
      <c r="AH379" s="113"/>
      <c r="AI379" s="113"/>
      <c r="AJ379" s="113"/>
      <c r="AK379" s="113"/>
      <c r="AL379" s="113"/>
      <c r="AM379" s="113"/>
      <c r="AN379" s="113"/>
      <c r="AO379" s="113"/>
      <c r="AP379" s="113"/>
      <c r="AQ379" s="113"/>
      <c r="AR379" s="113"/>
      <c r="AS379" s="113"/>
      <c r="AT379" s="113"/>
      <c r="AU379" s="113"/>
      <c r="AV379" s="113"/>
      <c r="AW379" s="113"/>
      <c r="AX379" s="113"/>
      <c r="AY379" s="113"/>
      <c r="AZ379" s="113"/>
      <c r="BA379" s="113"/>
      <c r="BB379" s="113"/>
      <c r="BC379" s="113"/>
      <c r="BD379" s="113"/>
      <c r="BE379" s="113"/>
      <c r="BF379" s="113"/>
      <c r="BG379" s="113"/>
      <c r="BH379" s="113"/>
      <c r="BI379" s="113"/>
      <c r="BJ379" s="113"/>
      <c r="BK379" s="113"/>
      <c r="BL379" s="113"/>
      <c r="BM379" s="113"/>
      <c r="BN379" s="113"/>
      <c r="BO379" s="113"/>
      <c r="BP379" s="113"/>
      <c r="BQ379" s="113"/>
      <c r="BR379" s="113"/>
      <c r="BS379" s="113"/>
      <c r="BT379" s="113"/>
      <c r="BU379" s="113"/>
      <c r="BV379" s="113"/>
      <c r="BW379" s="113"/>
      <c r="BX379" s="113"/>
      <c r="BY379" s="113"/>
      <c r="BZ379" s="113"/>
      <c r="CA379" s="113"/>
      <c r="CB379" s="113"/>
      <c r="CC379" s="113"/>
    </row>
    <row r="380" spans="2:84" x14ac:dyDescent="0.2">
      <c r="B380" s="638" t="s">
        <v>215</v>
      </c>
      <c r="C380" s="639"/>
      <c r="D380" s="639"/>
      <c r="E380" s="639"/>
      <c r="F380" s="640"/>
      <c r="H380" s="207" t="e">
        <f>+H376+H378</f>
        <v>#N/A</v>
      </c>
      <c r="I380" s="113"/>
      <c r="J380" s="207" t="e">
        <f>+J376+J378</f>
        <v>#N/A</v>
      </c>
      <c r="K380" s="207" t="e">
        <f t="shared" ref="K380:BV380" si="251">+K376+K378</f>
        <v>#N/A</v>
      </c>
      <c r="L380" s="207" t="e">
        <f t="shared" si="251"/>
        <v>#N/A</v>
      </c>
      <c r="M380" s="207" t="e">
        <f t="shared" si="251"/>
        <v>#N/A</v>
      </c>
      <c r="N380" s="207" t="e">
        <f t="shared" si="251"/>
        <v>#N/A</v>
      </c>
      <c r="O380" s="207" t="e">
        <f t="shared" si="251"/>
        <v>#N/A</v>
      </c>
      <c r="P380" s="207" t="e">
        <f t="shared" si="251"/>
        <v>#N/A</v>
      </c>
      <c r="Q380" s="207" t="e">
        <f t="shared" si="251"/>
        <v>#N/A</v>
      </c>
      <c r="R380" s="207" t="e">
        <f t="shared" si="251"/>
        <v>#N/A</v>
      </c>
      <c r="S380" s="207" t="e">
        <f t="shared" si="251"/>
        <v>#N/A</v>
      </c>
      <c r="T380" s="207" t="e">
        <f t="shared" si="251"/>
        <v>#N/A</v>
      </c>
      <c r="U380" s="207" t="e">
        <f t="shared" si="251"/>
        <v>#N/A</v>
      </c>
      <c r="V380" s="207" t="e">
        <f t="shared" si="251"/>
        <v>#N/A</v>
      </c>
      <c r="W380" s="207" t="e">
        <f t="shared" si="251"/>
        <v>#N/A</v>
      </c>
      <c r="X380" s="207" t="e">
        <f t="shared" si="251"/>
        <v>#N/A</v>
      </c>
      <c r="Y380" s="207" t="e">
        <f t="shared" si="251"/>
        <v>#N/A</v>
      </c>
      <c r="Z380" s="207" t="e">
        <f t="shared" si="251"/>
        <v>#N/A</v>
      </c>
      <c r="AA380" s="207" t="e">
        <f t="shared" si="251"/>
        <v>#N/A</v>
      </c>
      <c r="AB380" s="207" t="e">
        <f t="shared" si="251"/>
        <v>#N/A</v>
      </c>
      <c r="AC380" s="207" t="e">
        <f t="shared" si="251"/>
        <v>#N/A</v>
      </c>
      <c r="AD380" s="207" t="e">
        <f t="shared" si="251"/>
        <v>#N/A</v>
      </c>
      <c r="AE380" s="207" t="e">
        <f t="shared" si="251"/>
        <v>#N/A</v>
      </c>
      <c r="AF380" s="207" t="e">
        <f t="shared" si="251"/>
        <v>#N/A</v>
      </c>
      <c r="AG380" s="207" t="e">
        <f t="shared" si="251"/>
        <v>#N/A</v>
      </c>
      <c r="AH380" s="207" t="e">
        <f t="shared" si="251"/>
        <v>#N/A</v>
      </c>
      <c r="AI380" s="207" t="e">
        <f t="shared" si="251"/>
        <v>#N/A</v>
      </c>
      <c r="AJ380" s="207" t="e">
        <f t="shared" si="251"/>
        <v>#N/A</v>
      </c>
      <c r="AK380" s="207" t="e">
        <f t="shared" si="251"/>
        <v>#N/A</v>
      </c>
      <c r="AL380" s="207" t="e">
        <f t="shared" si="251"/>
        <v>#N/A</v>
      </c>
      <c r="AM380" s="207" t="e">
        <f t="shared" si="251"/>
        <v>#N/A</v>
      </c>
      <c r="AN380" s="207" t="e">
        <f t="shared" si="251"/>
        <v>#N/A</v>
      </c>
      <c r="AO380" s="207" t="e">
        <f t="shared" si="251"/>
        <v>#N/A</v>
      </c>
      <c r="AP380" s="207" t="e">
        <f t="shared" si="251"/>
        <v>#N/A</v>
      </c>
      <c r="AQ380" s="207" t="e">
        <f t="shared" si="251"/>
        <v>#N/A</v>
      </c>
      <c r="AR380" s="207" t="e">
        <f t="shared" si="251"/>
        <v>#N/A</v>
      </c>
      <c r="AS380" s="207" t="e">
        <f t="shared" si="251"/>
        <v>#N/A</v>
      </c>
      <c r="AT380" s="207" t="e">
        <f t="shared" si="251"/>
        <v>#N/A</v>
      </c>
      <c r="AU380" s="207" t="e">
        <f t="shared" si="251"/>
        <v>#N/A</v>
      </c>
      <c r="AV380" s="207" t="e">
        <f t="shared" si="251"/>
        <v>#N/A</v>
      </c>
      <c r="AW380" s="207" t="e">
        <f t="shared" si="251"/>
        <v>#N/A</v>
      </c>
      <c r="AX380" s="207" t="e">
        <f t="shared" si="251"/>
        <v>#N/A</v>
      </c>
      <c r="AY380" s="207" t="e">
        <f t="shared" si="251"/>
        <v>#N/A</v>
      </c>
      <c r="AZ380" s="207" t="e">
        <f t="shared" si="251"/>
        <v>#N/A</v>
      </c>
      <c r="BA380" s="207" t="e">
        <f t="shared" si="251"/>
        <v>#N/A</v>
      </c>
      <c r="BB380" s="207" t="e">
        <f t="shared" si="251"/>
        <v>#N/A</v>
      </c>
      <c r="BC380" s="207" t="e">
        <f t="shared" si="251"/>
        <v>#N/A</v>
      </c>
      <c r="BD380" s="207" t="e">
        <f t="shared" si="251"/>
        <v>#N/A</v>
      </c>
      <c r="BE380" s="207" t="e">
        <f t="shared" si="251"/>
        <v>#N/A</v>
      </c>
      <c r="BF380" s="207" t="e">
        <f t="shared" si="251"/>
        <v>#N/A</v>
      </c>
      <c r="BG380" s="207" t="e">
        <f t="shared" si="251"/>
        <v>#N/A</v>
      </c>
      <c r="BH380" s="207" t="e">
        <f t="shared" si="251"/>
        <v>#N/A</v>
      </c>
      <c r="BI380" s="207" t="e">
        <f t="shared" si="251"/>
        <v>#N/A</v>
      </c>
      <c r="BJ380" s="207" t="e">
        <f t="shared" si="251"/>
        <v>#N/A</v>
      </c>
      <c r="BK380" s="207" t="e">
        <f t="shared" si="251"/>
        <v>#N/A</v>
      </c>
      <c r="BL380" s="207" t="e">
        <f t="shared" si="251"/>
        <v>#N/A</v>
      </c>
      <c r="BM380" s="207" t="e">
        <f t="shared" si="251"/>
        <v>#N/A</v>
      </c>
      <c r="BN380" s="207" t="e">
        <f t="shared" si="251"/>
        <v>#N/A</v>
      </c>
      <c r="BO380" s="207" t="e">
        <f t="shared" si="251"/>
        <v>#N/A</v>
      </c>
      <c r="BP380" s="207" t="e">
        <f t="shared" si="251"/>
        <v>#N/A</v>
      </c>
      <c r="BQ380" s="207" t="e">
        <f t="shared" si="251"/>
        <v>#N/A</v>
      </c>
      <c r="BR380" s="207" t="e">
        <f t="shared" si="251"/>
        <v>#N/A</v>
      </c>
      <c r="BS380" s="207" t="e">
        <f t="shared" si="251"/>
        <v>#N/A</v>
      </c>
      <c r="BT380" s="207" t="e">
        <f t="shared" si="251"/>
        <v>#N/A</v>
      </c>
      <c r="BU380" s="207" t="e">
        <f t="shared" si="251"/>
        <v>#N/A</v>
      </c>
      <c r="BV380" s="207" t="e">
        <f t="shared" si="251"/>
        <v>#N/A</v>
      </c>
      <c r="BW380" s="207" t="e">
        <f t="shared" ref="BW380:CC380" si="252">+BW376+BW378</f>
        <v>#N/A</v>
      </c>
      <c r="BX380" s="207" t="e">
        <f t="shared" si="252"/>
        <v>#N/A</v>
      </c>
      <c r="BY380" s="207" t="e">
        <f t="shared" si="252"/>
        <v>#N/A</v>
      </c>
      <c r="BZ380" s="207" t="e">
        <f t="shared" si="252"/>
        <v>#N/A</v>
      </c>
      <c r="CA380" s="207">
        <f t="shared" si="252"/>
        <v>0</v>
      </c>
      <c r="CB380" s="207">
        <f t="shared" si="252"/>
        <v>0</v>
      </c>
      <c r="CC380" s="207">
        <f t="shared" si="252"/>
        <v>0</v>
      </c>
    </row>
    <row r="381" spans="2:84" ht="5.0999999999999996" customHeight="1" x14ac:dyDescent="0.2">
      <c r="H381" s="32"/>
      <c r="I381" s="32"/>
      <c r="J381" s="32"/>
      <c r="K381" s="32"/>
      <c r="L381" s="32"/>
      <c r="M381" s="32"/>
      <c r="N381" s="32"/>
      <c r="O381" s="32"/>
      <c r="P381" s="32"/>
      <c r="Q381" s="32"/>
      <c r="R381" s="32"/>
      <c r="S381" s="32"/>
      <c r="T381" s="32"/>
      <c r="U381" s="32"/>
      <c r="V381" s="32"/>
      <c r="W381" s="32"/>
      <c r="X381" s="32"/>
      <c r="Y381" s="32"/>
      <c r="Z381" s="32"/>
      <c r="AA381" s="32"/>
      <c r="AB381" s="32"/>
      <c r="AC381" s="32"/>
      <c r="AD381" s="32"/>
      <c r="AE381" s="32"/>
      <c r="AF381" s="32"/>
      <c r="AG381" s="32"/>
      <c r="AH381" s="32"/>
      <c r="AI381" s="32"/>
      <c r="AJ381" s="32"/>
      <c r="AK381" s="32"/>
      <c r="AL381" s="32"/>
      <c r="AM381" s="32"/>
      <c r="AN381" s="32"/>
      <c r="AO381" s="32"/>
      <c r="AP381" s="32"/>
      <c r="AQ381" s="32"/>
      <c r="AR381" s="32"/>
      <c r="AS381" s="32"/>
      <c r="AT381" s="32"/>
      <c r="AU381" s="32"/>
      <c r="AV381" s="32"/>
      <c r="AW381" s="32"/>
      <c r="AX381" s="32"/>
      <c r="AY381" s="32"/>
      <c r="AZ381" s="32"/>
      <c r="BA381" s="32"/>
      <c r="BB381" s="32"/>
      <c r="BC381" s="32"/>
      <c r="BD381" s="32"/>
      <c r="BE381" s="32"/>
      <c r="BF381" s="32"/>
      <c r="BG381" s="32"/>
      <c r="BH381" s="32"/>
      <c r="BI381" s="32"/>
      <c r="BJ381" s="32"/>
      <c r="BK381" s="32"/>
      <c r="BL381" s="32"/>
      <c r="BM381" s="32"/>
      <c r="BN381" s="32"/>
      <c r="BO381" s="32"/>
      <c r="BP381" s="32"/>
      <c r="BQ381" s="32"/>
      <c r="BR381" s="32"/>
      <c r="BS381" s="32"/>
      <c r="BT381" s="32"/>
      <c r="BU381" s="32"/>
      <c r="BV381" s="32"/>
      <c r="BW381" s="32"/>
      <c r="BX381" s="32"/>
      <c r="BY381" s="32"/>
      <c r="BZ381" s="32"/>
      <c r="CA381" s="32"/>
      <c r="CB381" s="32"/>
      <c r="CC381" s="32"/>
    </row>
    <row r="382" spans="2:84" x14ac:dyDescent="0.2">
      <c r="B382" s="628" t="s">
        <v>216</v>
      </c>
      <c r="C382" s="629"/>
      <c r="D382" s="629"/>
      <c r="E382" s="629"/>
      <c r="F382" s="630"/>
      <c r="H382" s="32"/>
      <c r="I382" s="32"/>
      <c r="J382" s="100" t="e">
        <f>+J368-J356</f>
        <v>#N/A</v>
      </c>
      <c r="K382" s="100" t="e">
        <f t="shared" ref="K382:S382" si="253">+K368-K356</f>
        <v>#N/A</v>
      </c>
      <c r="L382" s="100" t="e">
        <f t="shared" si="253"/>
        <v>#N/A</v>
      </c>
      <c r="M382" s="100" t="e">
        <f t="shared" si="253"/>
        <v>#N/A</v>
      </c>
      <c r="N382" s="100" t="e">
        <f t="shared" si="253"/>
        <v>#N/A</v>
      </c>
      <c r="O382" s="100" t="e">
        <f t="shared" si="253"/>
        <v>#N/A</v>
      </c>
      <c r="P382" s="100" t="e">
        <f t="shared" si="253"/>
        <v>#N/A</v>
      </c>
      <c r="Q382" s="100" t="e">
        <f t="shared" si="253"/>
        <v>#N/A</v>
      </c>
      <c r="R382" s="100" t="e">
        <f t="shared" si="253"/>
        <v>#N/A</v>
      </c>
      <c r="S382" s="100" t="e">
        <f t="shared" si="253"/>
        <v>#N/A</v>
      </c>
      <c r="T382" s="100" t="e">
        <f t="shared" ref="T382:CC382" si="254">+T368-T356</f>
        <v>#N/A</v>
      </c>
      <c r="U382" s="100" t="e">
        <f t="shared" si="254"/>
        <v>#N/A</v>
      </c>
      <c r="V382" s="100" t="e">
        <f t="shared" si="254"/>
        <v>#N/A</v>
      </c>
      <c r="W382" s="100" t="e">
        <f t="shared" si="254"/>
        <v>#N/A</v>
      </c>
      <c r="X382" s="100" t="e">
        <f t="shared" si="254"/>
        <v>#N/A</v>
      </c>
      <c r="Y382" s="100" t="e">
        <f t="shared" si="254"/>
        <v>#N/A</v>
      </c>
      <c r="Z382" s="100" t="e">
        <f t="shared" si="254"/>
        <v>#N/A</v>
      </c>
      <c r="AA382" s="100" t="e">
        <f t="shared" si="254"/>
        <v>#N/A</v>
      </c>
      <c r="AB382" s="100" t="e">
        <f t="shared" si="254"/>
        <v>#N/A</v>
      </c>
      <c r="AC382" s="100" t="e">
        <f t="shared" si="254"/>
        <v>#N/A</v>
      </c>
      <c r="AD382" s="100" t="e">
        <f t="shared" si="254"/>
        <v>#N/A</v>
      </c>
      <c r="AE382" s="100" t="e">
        <f t="shared" si="254"/>
        <v>#N/A</v>
      </c>
      <c r="AF382" s="100" t="e">
        <f t="shared" si="254"/>
        <v>#N/A</v>
      </c>
      <c r="AG382" s="100" t="e">
        <f t="shared" si="254"/>
        <v>#N/A</v>
      </c>
      <c r="AH382" s="100" t="e">
        <f t="shared" si="254"/>
        <v>#N/A</v>
      </c>
      <c r="AI382" s="100" t="e">
        <f t="shared" si="254"/>
        <v>#N/A</v>
      </c>
      <c r="AJ382" s="100" t="e">
        <f t="shared" si="254"/>
        <v>#N/A</v>
      </c>
      <c r="AK382" s="100" t="e">
        <f t="shared" si="254"/>
        <v>#N/A</v>
      </c>
      <c r="AL382" s="100" t="e">
        <f t="shared" si="254"/>
        <v>#N/A</v>
      </c>
      <c r="AM382" s="100" t="e">
        <f t="shared" si="254"/>
        <v>#N/A</v>
      </c>
      <c r="AN382" s="100" t="e">
        <f t="shared" si="254"/>
        <v>#N/A</v>
      </c>
      <c r="AO382" s="100" t="e">
        <f t="shared" si="254"/>
        <v>#N/A</v>
      </c>
      <c r="AP382" s="100" t="e">
        <f t="shared" si="254"/>
        <v>#N/A</v>
      </c>
      <c r="AQ382" s="100" t="e">
        <f t="shared" si="254"/>
        <v>#N/A</v>
      </c>
      <c r="AR382" s="100" t="e">
        <f t="shared" si="254"/>
        <v>#N/A</v>
      </c>
      <c r="AS382" s="100" t="e">
        <f t="shared" si="254"/>
        <v>#N/A</v>
      </c>
      <c r="AT382" s="100" t="e">
        <f t="shared" si="254"/>
        <v>#N/A</v>
      </c>
      <c r="AU382" s="100" t="e">
        <f t="shared" si="254"/>
        <v>#N/A</v>
      </c>
      <c r="AV382" s="100" t="e">
        <f t="shared" si="254"/>
        <v>#N/A</v>
      </c>
      <c r="AW382" s="100" t="e">
        <f t="shared" si="254"/>
        <v>#N/A</v>
      </c>
      <c r="AX382" s="100" t="e">
        <f t="shared" si="254"/>
        <v>#N/A</v>
      </c>
      <c r="AY382" s="100" t="e">
        <f t="shared" si="254"/>
        <v>#N/A</v>
      </c>
      <c r="AZ382" s="100" t="e">
        <f t="shared" si="254"/>
        <v>#N/A</v>
      </c>
      <c r="BA382" s="100" t="e">
        <f t="shared" si="254"/>
        <v>#N/A</v>
      </c>
      <c r="BB382" s="100" t="e">
        <f t="shared" si="254"/>
        <v>#N/A</v>
      </c>
      <c r="BC382" s="100" t="e">
        <f t="shared" si="254"/>
        <v>#N/A</v>
      </c>
      <c r="BD382" s="100" t="e">
        <f t="shared" si="254"/>
        <v>#N/A</v>
      </c>
      <c r="BE382" s="100" t="e">
        <f t="shared" si="254"/>
        <v>#N/A</v>
      </c>
      <c r="BF382" s="100" t="e">
        <f t="shared" si="254"/>
        <v>#N/A</v>
      </c>
      <c r="BG382" s="100" t="e">
        <f t="shared" si="254"/>
        <v>#N/A</v>
      </c>
      <c r="BH382" s="100" t="e">
        <f t="shared" si="254"/>
        <v>#N/A</v>
      </c>
      <c r="BI382" s="100" t="e">
        <f t="shared" si="254"/>
        <v>#N/A</v>
      </c>
      <c r="BJ382" s="100" t="e">
        <f t="shared" si="254"/>
        <v>#N/A</v>
      </c>
      <c r="BK382" s="100" t="e">
        <f t="shared" si="254"/>
        <v>#N/A</v>
      </c>
      <c r="BL382" s="100" t="e">
        <f t="shared" si="254"/>
        <v>#N/A</v>
      </c>
      <c r="BM382" s="100" t="e">
        <f t="shared" si="254"/>
        <v>#N/A</v>
      </c>
      <c r="BN382" s="100" t="e">
        <f t="shared" si="254"/>
        <v>#N/A</v>
      </c>
      <c r="BO382" s="100" t="e">
        <f t="shared" si="254"/>
        <v>#N/A</v>
      </c>
      <c r="BP382" s="100" t="e">
        <f t="shared" si="254"/>
        <v>#N/A</v>
      </c>
      <c r="BQ382" s="100" t="e">
        <f t="shared" si="254"/>
        <v>#N/A</v>
      </c>
      <c r="BR382" s="100" t="e">
        <f t="shared" si="254"/>
        <v>#N/A</v>
      </c>
      <c r="BS382" s="100" t="e">
        <f t="shared" si="254"/>
        <v>#N/A</v>
      </c>
      <c r="BT382" s="100" t="e">
        <f t="shared" si="254"/>
        <v>#N/A</v>
      </c>
      <c r="BU382" s="100" t="e">
        <f t="shared" si="254"/>
        <v>#N/A</v>
      </c>
      <c r="BV382" s="100" t="e">
        <f t="shared" si="254"/>
        <v>#N/A</v>
      </c>
      <c r="BW382" s="100" t="e">
        <f t="shared" si="254"/>
        <v>#N/A</v>
      </c>
      <c r="BX382" s="100" t="e">
        <f t="shared" si="254"/>
        <v>#N/A</v>
      </c>
      <c r="BY382" s="100" t="e">
        <f t="shared" si="254"/>
        <v>#N/A</v>
      </c>
      <c r="BZ382" s="100" t="e">
        <f t="shared" si="254"/>
        <v>#N/A</v>
      </c>
      <c r="CA382" s="100" t="e">
        <f t="shared" si="254"/>
        <v>#N/A</v>
      </c>
      <c r="CB382" s="100" t="e">
        <f t="shared" si="254"/>
        <v>#N/A</v>
      </c>
      <c r="CC382" s="100" t="e">
        <f t="shared" si="254"/>
        <v>#N/A</v>
      </c>
    </row>
    <row r="383" spans="2:84" ht="5.0999999999999996" customHeight="1" x14ac:dyDescent="0.2">
      <c r="H383" s="32"/>
      <c r="I383" s="32"/>
      <c r="J383" s="113"/>
      <c r="K383" s="113"/>
      <c r="L383" s="113"/>
      <c r="M383" s="113"/>
      <c r="N383" s="113"/>
      <c r="O383" s="113"/>
      <c r="P383" s="113"/>
      <c r="Q383" s="113"/>
      <c r="R383" s="113"/>
      <c r="S383" s="113"/>
      <c r="T383" s="113"/>
      <c r="U383" s="113"/>
      <c r="V383" s="113"/>
      <c r="W383" s="113"/>
      <c r="X383" s="113"/>
      <c r="Y383" s="113"/>
      <c r="Z383" s="113"/>
      <c r="AA383" s="113"/>
      <c r="AB383" s="113"/>
      <c r="AC383" s="113"/>
      <c r="AD383" s="113"/>
      <c r="AE383" s="113"/>
      <c r="AF383" s="113"/>
      <c r="AG383" s="113"/>
      <c r="AH383" s="113"/>
      <c r="AI383" s="113"/>
      <c r="AJ383" s="113"/>
      <c r="AK383" s="113"/>
      <c r="AL383" s="113"/>
      <c r="AM383" s="113"/>
      <c r="AN383" s="113"/>
      <c r="AO383" s="113"/>
      <c r="AP383" s="113"/>
      <c r="AQ383" s="113"/>
      <c r="AR383" s="113"/>
      <c r="AS383" s="113"/>
      <c r="AT383" s="113"/>
      <c r="AU383" s="113"/>
      <c r="AV383" s="113"/>
      <c r="AW383" s="113"/>
      <c r="AX383" s="113"/>
      <c r="AY383" s="113"/>
      <c r="AZ383" s="113"/>
      <c r="BA383" s="113"/>
      <c r="BB383" s="113"/>
      <c r="BC383" s="113"/>
      <c r="BD383" s="113"/>
      <c r="BE383" s="113"/>
      <c r="BF383" s="113"/>
      <c r="BG383" s="113"/>
      <c r="BH383" s="113"/>
      <c r="BI383" s="113"/>
      <c r="BJ383" s="113"/>
      <c r="BK383" s="113"/>
      <c r="BL383" s="113"/>
      <c r="BM383" s="113"/>
      <c r="BN383" s="113"/>
      <c r="BO383" s="113"/>
      <c r="BP383" s="113"/>
      <c r="BQ383" s="113"/>
      <c r="BR383" s="113"/>
      <c r="BS383" s="113"/>
      <c r="BT383" s="113"/>
      <c r="BU383" s="113"/>
      <c r="BV383" s="113"/>
      <c r="BW383" s="113"/>
      <c r="BX383" s="113"/>
      <c r="BY383" s="113"/>
      <c r="BZ383" s="113"/>
      <c r="CA383" s="113"/>
      <c r="CB383" s="113"/>
      <c r="CC383" s="113"/>
    </row>
    <row r="384" spans="2:84" x14ac:dyDescent="0.2">
      <c r="B384" s="628" t="s">
        <v>217</v>
      </c>
      <c r="C384" s="629"/>
      <c r="D384" s="629"/>
      <c r="E384" s="629"/>
      <c r="F384" s="630"/>
      <c r="H384" s="32"/>
      <c r="I384" s="32"/>
      <c r="J384" s="100" t="e">
        <f>+J382</f>
        <v>#N/A</v>
      </c>
      <c r="K384" s="100" t="e">
        <f>+J384+K382</f>
        <v>#N/A</v>
      </c>
      <c r="L384" s="100" t="e">
        <f t="shared" ref="L384:BW384" si="255">+K384+L382</f>
        <v>#N/A</v>
      </c>
      <c r="M384" s="100" t="e">
        <f t="shared" si="255"/>
        <v>#N/A</v>
      </c>
      <c r="N384" s="100" t="e">
        <f t="shared" si="255"/>
        <v>#N/A</v>
      </c>
      <c r="O384" s="100" t="e">
        <f t="shared" si="255"/>
        <v>#N/A</v>
      </c>
      <c r="P384" s="100" t="e">
        <f t="shared" si="255"/>
        <v>#N/A</v>
      </c>
      <c r="Q384" s="100" t="e">
        <f t="shared" si="255"/>
        <v>#N/A</v>
      </c>
      <c r="R384" s="100" t="e">
        <f t="shared" si="255"/>
        <v>#N/A</v>
      </c>
      <c r="S384" s="100" t="e">
        <f t="shared" si="255"/>
        <v>#N/A</v>
      </c>
      <c r="T384" s="100" t="e">
        <f t="shared" si="255"/>
        <v>#N/A</v>
      </c>
      <c r="U384" s="100" t="e">
        <f t="shared" si="255"/>
        <v>#N/A</v>
      </c>
      <c r="V384" s="100" t="e">
        <f t="shared" si="255"/>
        <v>#N/A</v>
      </c>
      <c r="W384" s="100" t="e">
        <f t="shared" si="255"/>
        <v>#N/A</v>
      </c>
      <c r="X384" s="100" t="e">
        <f t="shared" si="255"/>
        <v>#N/A</v>
      </c>
      <c r="Y384" s="100" t="e">
        <f t="shared" si="255"/>
        <v>#N/A</v>
      </c>
      <c r="Z384" s="100" t="e">
        <f t="shared" si="255"/>
        <v>#N/A</v>
      </c>
      <c r="AA384" s="100" t="e">
        <f t="shared" si="255"/>
        <v>#N/A</v>
      </c>
      <c r="AB384" s="100" t="e">
        <f t="shared" si="255"/>
        <v>#N/A</v>
      </c>
      <c r="AC384" s="100" t="e">
        <f t="shared" si="255"/>
        <v>#N/A</v>
      </c>
      <c r="AD384" s="100" t="e">
        <f t="shared" si="255"/>
        <v>#N/A</v>
      </c>
      <c r="AE384" s="100" t="e">
        <f t="shared" si="255"/>
        <v>#N/A</v>
      </c>
      <c r="AF384" s="100" t="e">
        <f t="shared" si="255"/>
        <v>#N/A</v>
      </c>
      <c r="AG384" s="100" t="e">
        <f t="shared" si="255"/>
        <v>#N/A</v>
      </c>
      <c r="AH384" s="100" t="e">
        <f t="shared" si="255"/>
        <v>#N/A</v>
      </c>
      <c r="AI384" s="100" t="e">
        <f t="shared" si="255"/>
        <v>#N/A</v>
      </c>
      <c r="AJ384" s="100" t="e">
        <f t="shared" si="255"/>
        <v>#N/A</v>
      </c>
      <c r="AK384" s="100" t="e">
        <f t="shared" si="255"/>
        <v>#N/A</v>
      </c>
      <c r="AL384" s="100" t="e">
        <f t="shared" si="255"/>
        <v>#N/A</v>
      </c>
      <c r="AM384" s="100" t="e">
        <f t="shared" si="255"/>
        <v>#N/A</v>
      </c>
      <c r="AN384" s="100" t="e">
        <f t="shared" si="255"/>
        <v>#N/A</v>
      </c>
      <c r="AO384" s="100" t="e">
        <f t="shared" si="255"/>
        <v>#N/A</v>
      </c>
      <c r="AP384" s="100" t="e">
        <f t="shared" si="255"/>
        <v>#N/A</v>
      </c>
      <c r="AQ384" s="100" t="e">
        <f t="shared" si="255"/>
        <v>#N/A</v>
      </c>
      <c r="AR384" s="100" t="e">
        <f t="shared" si="255"/>
        <v>#N/A</v>
      </c>
      <c r="AS384" s="100" t="e">
        <f t="shared" si="255"/>
        <v>#N/A</v>
      </c>
      <c r="AT384" s="100" t="e">
        <f t="shared" si="255"/>
        <v>#N/A</v>
      </c>
      <c r="AU384" s="100" t="e">
        <f t="shared" si="255"/>
        <v>#N/A</v>
      </c>
      <c r="AV384" s="100" t="e">
        <f t="shared" si="255"/>
        <v>#N/A</v>
      </c>
      <c r="AW384" s="100" t="e">
        <f t="shared" si="255"/>
        <v>#N/A</v>
      </c>
      <c r="AX384" s="100" t="e">
        <f t="shared" si="255"/>
        <v>#N/A</v>
      </c>
      <c r="AY384" s="100" t="e">
        <f t="shared" si="255"/>
        <v>#N/A</v>
      </c>
      <c r="AZ384" s="100" t="e">
        <f t="shared" si="255"/>
        <v>#N/A</v>
      </c>
      <c r="BA384" s="100" t="e">
        <f t="shared" si="255"/>
        <v>#N/A</v>
      </c>
      <c r="BB384" s="100" t="e">
        <f t="shared" si="255"/>
        <v>#N/A</v>
      </c>
      <c r="BC384" s="100" t="e">
        <f t="shared" si="255"/>
        <v>#N/A</v>
      </c>
      <c r="BD384" s="100" t="e">
        <f t="shared" si="255"/>
        <v>#N/A</v>
      </c>
      <c r="BE384" s="100" t="e">
        <f t="shared" si="255"/>
        <v>#N/A</v>
      </c>
      <c r="BF384" s="100" t="e">
        <f t="shared" si="255"/>
        <v>#N/A</v>
      </c>
      <c r="BG384" s="100" t="e">
        <f t="shared" si="255"/>
        <v>#N/A</v>
      </c>
      <c r="BH384" s="100" t="e">
        <f t="shared" si="255"/>
        <v>#N/A</v>
      </c>
      <c r="BI384" s="100" t="e">
        <f t="shared" si="255"/>
        <v>#N/A</v>
      </c>
      <c r="BJ384" s="100" t="e">
        <f t="shared" si="255"/>
        <v>#N/A</v>
      </c>
      <c r="BK384" s="100" t="e">
        <f t="shared" si="255"/>
        <v>#N/A</v>
      </c>
      <c r="BL384" s="100" t="e">
        <f t="shared" si="255"/>
        <v>#N/A</v>
      </c>
      <c r="BM384" s="100" t="e">
        <f t="shared" si="255"/>
        <v>#N/A</v>
      </c>
      <c r="BN384" s="100" t="e">
        <f t="shared" si="255"/>
        <v>#N/A</v>
      </c>
      <c r="BO384" s="100" t="e">
        <f t="shared" si="255"/>
        <v>#N/A</v>
      </c>
      <c r="BP384" s="100" t="e">
        <f t="shared" si="255"/>
        <v>#N/A</v>
      </c>
      <c r="BQ384" s="100" t="e">
        <f t="shared" si="255"/>
        <v>#N/A</v>
      </c>
      <c r="BR384" s="100" t="e">
        <f t="shared" si="255"/>
        <v>#N/A</v>
      </c>
      <c r="BS384" s="100" t="e">
        <f t="shared" si="255"/>
        <v>#N/A</v>
      </c>
      <c r="BT384" s="100" t="e">
        <f t="shared" si="255"/>
        <v>#N/A</v>
      </c>
      <c r="BU384" s="100" t="e">
        <f t="shared" si="255"/>
        <v>#N/A</v>
      </c>
      <c r="BV384" s="100" t="e">
        <f t="shared" si="255"/>
        <v>#N/A</v>
      </c>
      <c r="BW384" s="100" t="e">
        <f t="shared" si="255"/>
        <v>#N/A</v>
      </c>
      <c r="BX384" s="100" t="e">
        <f t="shared" ref="BX384:CC384" si="256">+BW384+BX382</f>
        <v>#N/A</v>
      </c>
      <c r="BY384" s="100" t="e">
        <f t="shared" si="256"/>
        <v>#N/A</v>
      </c>
      <c r="BZ384" s="100" t="e">
        <f t="shared" si="256"/>
        <v>#N/A</v>
      </c>
      <c r="CA384" s="100" t="e">
        <f t="shared" si="256"/>
        <v>#N/A</v>
      </c>
      <c r="CB384" s="100" t="e">
        <f t="shared" si="256"/>
        <v>#N/A</v>
      </c>
      <c r="CC384" s="100" t="e">
        <f t="shared" si="256"/>
        <v>#N/A</v>
      </c>
    </row>
    <row r="385" spans="2:85" ht="5.0999999999999996" customHeight="1" x14ac:dyDescent="0.2">
      <c r="G385" s="32"/>
      <c r="H385" s="32"/>
      <c r="I385" s="32"/>
    </row>
    <row r="386" spans="2:85" ht="15.75" customHeight="1" x14ac:dyDescent="0.2">
      <c r="B386" s="628" t="s">
        <v>156</v>
      </c>
      <c r="C386" s="629"/>
      <c r="D386" s="629"/>
      <c r="E386" s="629"/>
      <c r="F386" s="630"/>
      <c r="G386" s="32"/>
      <c r="H386" s="32"/>
      <c r="I386" s="32"/>
      <c r="J386" s="650"/>
      <c r="K386" s="651"/>
      <c r="L386" s="651"/>
      <c r="M386" s="651"/>
      <c r="N386" s="651"/>
      <c r="O386" s="651"/>
      <c r="P386" s="651"/>
      <c r="Q386" s="651"/>
      <c r="R386" s="651"/>
      <c r="S386" s="651"/>
      <c r="T386" s="651"/>
      <c r="U386" s="651"/>
      <c r="V386" s="651"/>
      <c r="W386" s="651"/>
      <c r="X386" s="652"/>
    </row>
    <row r="387" spans="2:85" x14ac:dyDescent="0.2">
      <c r="H387" s="32"/>
      <c r="I387" s="32"/>
      <c r="J387" s="653"/>
      <c r="K387" s="654"/>
      <c r="L387" s="654"/>
      <c r="M387" s="654"/>
      <c r="N387" s="654"/>
      <c r="O387" s="654"/>
      <c r="P387" s="654"/>
      <c r="Q387" s="654"/>
      <c r="R387" s="654"/>
      <c r="S387" s="654"/>
      <c r="T387" s="654"/>
      <c r="U387" s="654"/>
      <c r="V387" s="654"/>
      <c r="W387" s="654"/>
      <c r="X387" s="655"/>
    </row>
    <row r="388" spans="2:85" x14ac:dyDescent="0.2">
      <c r="H388" s="32"/>
      <c r="I388" s="32"/>
      <c r="J388" s="653"/>
      <c r="K388" s="654"/>
      <c r="L388" s="654"/>
      <c r="M388" s="654"/>
      <c r="N388" s="654"/>
      <c r="O388" s="654"/>
      <c r="P388" s="654"/>
      <c r="Q388" s="654"/>
      <c r="R388" s="654"/>
      <c r="S388" s="654"/>
      <c r="T388" s="654"/>
      <c r="U388" s="654"/>
      <c r="V388" s="654"/>
      <c r="W388" s="654"/>
      <c r="X388" s="655"/>
    </row>
    <row r="389" spans="2:85" x14ac:dyDescent="0.2">
      <c r="H389" s="32"/>
      <c r="I389" s="32"/>
      <c r="J389" s="656"/>
      <c r="K389" s="657"/>
      <c r="L389" s="657"/>
      <c r="M389" s="657"/>
      <c r="N389" s="657"/>
      <c r="O389" s="657"/>
      <c r="P389" s="657"/>
      <c r="Q389" s="657"/>
      <c r="R389" s="657"/>
      <c r="S389" s="657"/>
      <c r="T389" s="657"/>
      <c r="U389" s="657"/>
      <c r="V389" s="657"/>
      <c r="W389" s="657"/>
      <c r="X389" s="658"/>
    </row>
    <row r="390" spans="2:85" ht="5.0999999999999996" customHeight="1" x14ac:dyDescent="0.2"/>
    <row r="391" spans="2:85" x14ac:dyDescent="0.2">
      <c r="B391" s="75" t="s">
        <v>306</v>
      </c>
      <c r="C391" s="67"/>
      <c r="D391" s="67"/>
      <c r="E391" s="67"/>
      <c r="F391" s="67"/>
      <c r="G391" s="67"/>
      <c r="H391" s="67"/>
      <c r="I391" s="67"/>
      <c r="J391" s="67"/>
      <c r="K391" s="67"/>
      <c r="L391" s="67"/>
      <c r="M391" s="67"/>
      <c r="N391" s="67"/>
      <c r="O391" s="67"/>
      <c r="P391" s="67"/>
      <c r="Q391" s="243"/>
    </row>
    <row r="392" spans="2:85" ht="5.0999999999999996" customHeight="1" x14ac:dyDescent="0.2"/>
    <row r="393" spans="2:85" ht="24" customHeight="1" x14ac:dyDescent="0.2">
      <c r="B393" s="491" t="s">
        <v>132</v>
      </c>
      <c r="C393" s="491"/>
      <c r="D393" s="491"/>
      <c r="E393" s="217"/>
      <c r="F393" s="491" t="s">
        <v>134</v>
      </c>
      <c r="G393" s="491"/>
      <c r="H393" s="491"/>
      <c r="I393" s="217"/>
      <c r="J393" s="69" t="s">
        <v>219</v>
      </c>
      <c r="K393" s="69" t="s">
        <v>307</v>
      </c>
      <c r="L393" s="222"/>
      <c r="N393" s="491" t="s">
        <v>221</v>
      </c>
      <c r="O393" s="491"/>
      <c r="P393" s="69"/>
      <c r="Q393" s="69"/>
    </row>
    <row r="394" spans="2:85" ht="5.0999999999999996" customHeight="1" x14ac:dyDescent="0.2">
      <c r="L394" s="222"/>
    </row>
    <row r="395" spans="2:85" s="34" customFormat="1" ht="51.75" customHeight="1" x14ac:dyDescent="0.2">
      <c r="B395" s="628" t="s">
        <v>222</v>
      </c>
      <c r="C395" s="629"/>
      <c r="D395" s="630"/>
      <c r="F395" s="641"/>
      <c r="G395" s="642"/>
      <c r="H395" s="643"/>
      <c r="I395" s="223"/>
      <c r="J395" s="224"/>
      <c r="K395" s="224"/>
      <c r="L395" s="598" t="s">
        <v>308</v>
      </c>
      <c r="M395" s="599"/>
      <c r="N395" s="599"/>
      <c r="O395" s="599"/>
      <c r="P395" s="599"/>
      <c r="Q395" s="600"/>
      <c r="CF395"/>
      <c r="CG395"/>
    </row>
    <row r="396" spans="2:85" ht="5.0999999999999996" customHeight="1" x14ac:dyDescent="0.2">
      <c r="L396" s="222"/>
    </row>
    <row r="397" spans="2:85" s="34" customFormat="1" ht="51.75" customHeight="1" x14ac:dyDescent="0.2">
      <c r="B397" s="519" t="s">
        <v>224</v>
      </c>
      <c r="C397" s="520"/>
      <c r="D397" s="521"/>
      <c r="F397" s="641"/>
      <c r="G397" s="642"/>
      <c r="H397" s="643"/>
      <c r="I397" s="150"/>
      <c r="J397" s="224"/>
      <c r="K397" s="224"/>
      <c r="L397" s="598" t="s">
        <v>308</v>
      </c>
      <c r="M397" s="599"/>
      <c r="N397" s="599"/>
      <c r="O397" s="599"/>
      <c r="P397" s="599"/>
      <c r="Q397" s="600"/>
      <c r="CF397"/>
      <c r="CG397"/>
    </row>
    <row r="398" spans="2:85" ht="5.0999999999999996" customHeight="1" x14ac:dyDescent="0.2">
      <c r="F398" s="80"/>
      <c r="G398" s="80"/>
      <c r="H398" s="80"/>
      <c r="I398" s="80"/>
      <c r="J398" s="80"/>
      <c r="K398" s="80"/>
      <c r="L398" s="225"/>
      <c r="M398" s="31"/>
      <c r="N398" s="31"/>
      <c r="O398" s="225"/>
      <c r="P398" s="225"/>
      <c r="Q398" s="225"/>
    </row>
    <row r="399" spans="2:85" s="34" customFormat="1" ht="51.75" customHeight="1" x14ac:dyDescent="0.2">
      <c r="B399" s="519" t="s">
        <v>225</v>
      </c>
      <c r="C399" s="520"/>
      <c r="D399" s="521"/>
      <c r="F399" s="644"/>
      <c r="G399" s="645"/>
      <c r="H399" s="646"/>
      <c r="I399" s="226"/>
      <c r="J399" s="227"/>
      <c r="K399" s="227"/>
      <c r="L399" s="595" t="s">
        <v>308</v>
      </c>
      <c r="M399" s="596"/>
      <c r="N399" s="596"/>
      <c r="O399" s="596"/>
      <c r="P399" s="596"/>
      <c r="Q399" s="597"/>
      <c r="CF399"/>
      <c r="CG399"/>
    </row>
    <row r="400" spans="2:85" ht="5.0999999999999996" customHeight="1" x14ac:dyDescent="0.2">
      <c r="F400" s="80"/>
      <c r="G400" s="80"/>
      <c r="H400" s="80"/>
      <c r="I400" s="80"/>
      <c r="J400" s="228"/>
      <c r="K400" s="228"/>
      <c r="L400" s="225"/>
      <c r="M400" s="31"/>
      <c r="N400" s="31"/>
      <c r="O400" s="225"/>
      <c r="P400" s="225"/>
      <c r="Q400" s="225"/>
    </row>
    <row r="401" spans="2:85" s="34" customFormat="1" ht="51.75" customHeight="1" x14ac:dyDescent="0.2">
      <c r="B401" s="519" t="s">
        <v>226</v>
      </c>
      <c r="C401" s="520"/>
      <c r="D401" s="521"/>
      <c r="F401" s="647"/>
      <c r="G401" s="648"/>
      <c r="H401" s="649"/>
      <c r="I401" s="150"/>
      <c r="J401" s="71"/>
      <c r="K401" s="71"/>
      <c r="L401" s="598" t="s">
        <v>308</v>
      </c>
      <c r="M401" s="599"/>
      <c r="N401" s="599"/>
      <c r="O401" s="599"/>
      <c r="P401" s="599"/>
      <c r="Q401" s="600"/>
      <c r="CF401"/>
      <c r="CG401"/>
    </row>
    <row r="402" spans="2:85" ht="5.0999999999999996" customHeight="1" x14ac:dyDescent="0.2"/>
    <row r="403" spans="2:85" x14ac:dyDescent="0.2">
      <c r="B403" s="142" t="s">
        <v>227</v>
      </c>
      <c r="C403" s="37"/>
      <c r="D403" s="37"/>
      <c r="E403" s="37"/>
      <c r="F403" s="37"/>
      <c r="G403" s="37"/>
      <c r="H403" s="37"/>
      <c r="I403" s="37"/>
      <c r="J403" s="37"/>
      <c r="K403" s="37"/>
      <c r="L403" s="37"/>
      <c r="M403" s="37"/>
      <c r="N403" s="37"/>
      <c r="O403" s="37"/>
      <c r="P403" s="37"/>
      <c r="Q403" s="37"/>
    </row>
    <row r="404" spans="2:85" ht="5.0999999999999996" customHeight="1" x14ac:dyDescent="0.2"/>
    <row r="405" spans="2:85" x14ac:dyDescent="0.2">
      <c r="B405" s="218" t="s">
        <v>309</v>
      </c>
      <c r="C405" s="67"/>
      <c r="D405" s="67"/>
      <c r="E405" s="67"/>
      <c r="F405" s="67"/>
      <c r="G405" s="67"/>
      <c r="H405" s="67"/>
      <c r="I405" s="67"/>
      <c r="J405" s="67"/>
      <c r="K405" s="67"/>
      <c r="L405" s="103"/>
      <c r="M405" s="67"/>
      <c r="N405" s="67"/>
      <c r="O405" s="67"/>
      <c r="P405" s="67"/>
      <c r="Q405" s="119"/>
    </row>
    <row r="406" spans="2:85" ht="5.0999999999999996" customHeight="1" x14ac:dyDescent="0.2">
      <c r="Q406" s="120"/>
    </row>
    <row r="407" spans="2:85" ht="34.700000000000003" customHeight="1" x14ac:dyDescent="0.2">
      <c r="F407" s="83" t="s">
        <v>229</v>
      </c>
      <c r="G407" s="69"/>
      <c r="H407" s="219"/>
      <c r="J407" s="229">
        <f>+H140</f>
        <v>44196</v>
      </c>
      <c r="K407" s="106">
        <f>+J407+365</f>
        <v>44561</v>
      </c>
      <c r="L407" s="106">
        <f>+K407+366</f>
        <v>44927</v>
      </c>
      <c r="M407" s="106">
        <f>+L407+365</f>
        <v>45292</v>
      </c>
      <c r="N407" s="106">
        <f>+M407+365</f>
        <v>45657</v>
      </c>
    </row>
    <row r="408" spans="2:85" ht="5.0999999999999996" customHeight="1" x14ac:dyDescent="0.2">
      <c r="H408" s="219"/>
      <c r="J408" s="32"/>
      <c r="K408" s="32">
        <v>13</v>
      </c>
      <c r="L408" s="32">
        <v>25</v>
      </c>
      <c r="M408" s="32">
        <v>37</v>
      </c>
      <c r="N408" s="32">
        <v>49</v>
      </c>
    </row>
    <row r="409" spans="2:85" x14ac:dyDescent="0.2">
      <c r="B409" s="77" t="s">
        <v>230</v>
      </c>
      <c r="C409" s="78"/>
      <c r="D409" s="79"/>
      <c r="F409" s="220">
        <f>+F148</f>
        <v>2501.7638750656374</v>
      </c>
      <c r="G409" s="219"/>
      <c r="H409" s="219"/>
      <c r="I409" s="20"/>
      <c r="J409" s="107">
        <f>+J148</f>
        <v>2501.7638750656374</v>
      </c>
      <c r="K409" s="107">
        <f>+V148</f>
        <v>2501.7638750656374</v>
      </c>
      <c r="L409" s="107">
        <f>+L148</f>
        <v>2501.7638750656374</v>
      </c>
      <c r="M409" s="107">
        <f>+M148</f>
        <v>2501.7638750656374</v>
      </c>
      <c r="N409" s="107">
        <f>+N148</f>
        <v>2501.7638750656374</v>
      </c>
    </row>
    <row r="410" spans="2:85" ht="5.0999999999999996" customHeight="1" x14ac:dyDescent="0.2">
      <c r="H410" s="219"/>
      <c r="J410" s="32"/>
      <c r="L410" s="32"/>
      <c r="M410" s="32"/>
      <c r="N410" s="32"/>
    </row>
    <row r="411" spans="2:85" ht="34.700000000000003" customHeight="1" x14ac:dyDescent="0.2">
      <c r="F411" s="83" t="s">
        <v>231</v>
      </c>
      <c r="G411" s="69"/>
      <c r="H411" s="219"/>
      <c r="J411" s="230">
        <f>+Calendarios!B20</f>
        <v>36891</v>
      </c>
      <c r="K411" s="230">
        <f>+Calendarios!C20</f>
        <v>37256</v>
      </c>
      <c r="L411" s="230">
        <f>+Calendarios!D20</f>
        <v>37621</v>
      </c>
      <c r="M411" s="230">
        <f>+Calendarios!E20</f>
        <v>37986</v>
      </c>
      <c r="N411" s="230">
        <f>+Calendarios!F20</f>
        <v>38352</v>
      </c>
      <c r="Q411" s="22"/>
      <c r="R411" s="244"/>
    </row>
    <row r="412" spans="2:85" ht="5.0999999999999996" customHeight="1" x14ac:dyDescent="0.2">
      <c r="H412" s="219"/>
      <c r="J412" s="32"/>
      <c r="K412" s="32">
        <v>13</v>
      </c>
      <c r="L412" s="32">
        <v>25</v>
      </c>
      <c r="M412" s="32">
        <v>37</v>
      </c>
      <c r="N412" s="32">
        <v>49</v>
      </c>
    </row>
    <row r="413" spans="2:85" x14ac:dyDescent="0.2">
      <c r="B413" s="77" t="s">
        <v>232</v>
      </c>
      <c r="C413" s="78"/>
      <c r="D413" s="79"/>
      <c r="F413" s="219"/>
      <c r="G413" s="219"/>
      <c r="H413" s="219"/>
      <c r="I413" s="20"/>
      <c r="J413" s="107">
        <f>HLOOKUP(J411,'IPIM y USD'!$C$7:$KV$8,2,FALSE)</f>
        <v>0</v>
      </c>
      <c r="K413" s="231">
        <f>HLOOKUP(K411,'IPIM y USD'!$C$7:$KV$8,2,FALSE)</f>
        <v>94.663266269953709</v>
      </c>
      <c r="L413" s="107">
        <f>HLOOKUP(L411,'IPIM y USD'!$C$7:$KV$8,2,FALSE)</f>
        <v>206.32851610465661</v>
      </c>
      <c r="M413" s="107">
        <f>HLOOKUP(M411,'IPIM y USD'!$C$7:$KV$8,2,FALSE)</f>
        <v>210.36176442807215</v>
      </c>
      <c r="N413" s="107">
        <f>HLOOKUP(N411,'IPIM y USD'!$C$7:$KV$8,2,FALSE)</f>
        <v>226.91036176442807</v>
      </c>
    </row>
    <row r="414" spans="2:85" ht="5.0999999999999996" customHeight="1" x14ac:dyDescent="0.2">
      <c r="B414" s="32"/>
      <c r="C414" s="32"/>
      <c r="D414" s="32"/>
      <c r="F414" s="20"/>
      <c r="G414" s="20"/>
      <c r="H414" s="20"/>
      <c r="I414" s="20"/>
      <c r="J414" s="80"/>
      <c r="K414" s="80"/>
      <c r="L414" s="80"/>
      <c r="M414" s="80"/>
      <c r="N414" s="80"/>
      <c r="Q414" s="120"/>
    </row>
    <row r="415" spans="2:85" x14ac:dyDescent="0.2">
      <c r="B415" s="75" t="s">
        <v>310</v>
      </c>
      <c r="C415" s="67"/>
      <c r="D415" s="67"/>
      <c r="E415" s="67"/>
      <c r="F415" s="67"/>
      <c r="G415" s="67"/>
      <c r="H415" s="67"/>
      <c r="I415" s="67"/>
      <c r="J415" s="67"/>
      <c r="K415" s="67"/>
      <c r="L415" s="67"/>
      <c r="M415" s="67"/>
      <c r="N415" s="232"/>
      <c r="O415" s="67"/>
      <c r="P415" s="67"/>
      <c r="Q415" s="67"/>
    </row>
    <row r="416" spans="2:85" ht="5.0999999999999996" customHeight="1" x14ac:dyDescent="0.2">
      <c r="K416" s="2"/>
    </row>
    <row r="417" spans="2:87" s="32" customFormat="1" ht="17.25" customHeight="1" x14ac:dyDescent="0.2">
      <c r="B417" s="491" t="s">
        <v>234</v>
      </c>
      <c r="C417" s="491"/>
      <c r="D417" s="491"/>
      <c r="E417" s="491"/>
      <c r="F417" s="491"/>
      <c r="H417"/>
      <c r="J417" s="233">
        <f>+J407</f>
        <v>44196</v>
      </c>
      <c r="K417" s="233">
        <f t="shared" ref="K417:N417" si="257">+K407</f>
        <v>44561</v>
      </c>
      <c r="L417" s="233">
        <f t="shared" si="257"/>
        <v>44927</v>
      </c>
      <c r="M417" s="233">
        <f t="shared" si="257"/>
        <v>45292</v>
      </c>
      <c r="N417" s="233">
        <f t="shared" si="257"/>
        <v>45657</v>
      </c>
      <c r="O417"/>
      <c r="P417"/>
      <c r="Q417"/>
      <c r="CE417"/>
      <c r="CF417"/>
      <c r="CG417"/>
      <c r="CH417"/>
      <c r="CI417"/>
    </row>
    <row r="418" spans="2:87" ht="5.0999999999999996" customHeight="1" x14ac:dyDescent="0.2">
      <c r="F418" s="32"/>
    </row>
    <row r="419" spans="2:87" ht="30" customHeight="1" x14ac:dyDescent="0.2">
      <c r="B419" s="628" t="s">
        <v>311</v>
      </c>
      <c r="C419" s="629"/>
      <c r="D419" s="629"/>
      <c r="E419" s="629"/>
      <c r="F419" s="630"/>
      <c r="H419" s="196"/>
      <c r="I419" s="80"/>
      <c r="J419" s="234"/>
      <c r="K419" s="234"/>
      <c r="L419" s="234"/>
      <c r="M419" s="234"/>
      <c r="N419" s="234"/>
      <c r="O419" s="235"/>
      <c r="P419" s="236"/>
    </row>
    <row r="420" spans="2:87" ht="5.0999999999999996" customHeight="1" x14ac:dyDescent="0.2">
      <c r="F420" s="32"/>
      <c r="I420" s="80"/>
      <c r="J420" s="237"/>
      <c r="K420" s="237"/>
      <c r="L420" s="237"/>
      <c r="M420" s="237"/>
      <c r="N420" s="237"/>
    </row>
    <row r="421" spans="2:87" ht="30" customHeight="1" x14ac:dyDescent="0.2">
      <c r="B421" s="628" t="s">
        <v>312</v>
      </c>
      <c r="C421" s="629"/>
      <c r="D421" s="629"/>
      <c r="E421" s="629"/>
      <c r="F421" s="630"/>
      <c r="I421" s="80"/>
      <c r="J421" s="238">
        <f>IF(J409&gt;0,+J419/J$409*$F$409,0)</f>
        <v>0</v>
      </c>
      <c r="K421" s="238">
        <f>IF(K409&gt;0,+K419/K$409*$F$409,0)</f>
        <v>0</v>
      </c>
      <c r="L421" s="238">
        <f t="shared" ref="L421:N421" si="258">IF(L409&gt;0,+L419/L$409*$F$409,0)</f>
        <v>0</v>
      </c>
      <c r="M421" s="238">
        <f t="shared" si="258"/>
        <v>0</v>
      </c>
      <c r="N421" s="238">
        <f t="shared" si="258"/>
        <v>0</v>
      </c>
    </row>
    <row r="422" spans="2:87" ht="5.0999999999999996" customHeight="1" x14ac:dyDescent="0.2">
      <c r="I422" s="80"/>
      <c r="J422" s="237"/>
      <c r="K422" s="237"/>
      <c r="L422" s="237"/>
      <c r="M422" s="237"/>
      <c r="N422" s="237"/>
    </row>
    <row r="423" spans="2:87" s="32" customFormat="1" ht="17.25" customHeight="1" x14ac:dyDescent="0.2">
      <c r="B423" s="491"/>
      <c r="C423" s="491"/>
      <c r="D423" s="491"/>
      <c r="E423" s="491"/>
      <c r="F423" s="491"/>
      <c r="H423"/>
      <c r="J423" s="230">
        <f>+J411</f>
        <v>36891</v>
      </c>
      <c r="K423" s="230">
        <f t="shared" ref="K423:N423" si="259">+K411</f>
        <v>37256</v>
      </c>
      <c r="L423" s="230">
        <f t="shared" si="259"/>
        <v>37621</v>
      </c>
      <c r="M423" s="230">
        <f t="shared" si="259"/>
        <v>37986</v>
      </c>
      <c r="N423" s="230">
        <f t="shared" si="259"/>
        <v>38352</v>
      </c>
      <c r="O423"/>
      <c r="P423"/>
      <c r="Q423"/>
      <c r="R423"/>
      <c r="S423"/>
      <c r="T423"/>
      <c r="U423"/>
      <c r="V423"/>
      <c r="W423"/>
      <c r="CE423"/>
      <c r="CF423"/>
      <c r="CG423"/>
      <c r="CH423"/>
      <c r="CI423"/>
    </row>
    <row r="424" spans="2:87" ht="5.0999999999999996" customHeight="1" x14ac:dyDescent="0.2">
      <c r="F424" s="32"/>
    </row>
    <row r="425" spans="2:87" ht="30" customHeight="1" x14ac:dyDescent="0.2">
      <c r="B425" s="628" t="s">
        <v>313</v>
      </c>
      <c r="C425" s="629"/>
      <c r="D425" s="629"/>
      <c r="E425" s="629"/>
      <c r="F425" s="630"/>
      <c r="H425" s="196"/>
      <c r="I425" s="80"/>
      <c r="J425" s="234"/>
      <c r="K425" s="234"/>
      <c r="L425" s="234"/>
      <c r="M425" s="234"/>
      <c r="N425" s="234"/>
      <c r="O425" s="235"/>
    </row>
    <row r="426" spans="2:87" ht="5.0999999999999996" customHeight="1" x14ac:dyDescent="0.2">
      <c r="F426" s="32"/>
      <c r="I426" s="80"/>
      <c r="J426" s="237"/>
      <c r="K426" s="237"/>
      <c r="L426" s="237"/>
      <c r="M426" s="237"/>
      <c r="N426" s="237"/>
      <c r="O426" s="235"/>
    </row>
    <row r="427" spans="2:87" ht="30" customHeight="1" x14ac:dyDescent="0.2">
      <c r="B427" s="628" t="s">
        <v>314</v>
      </c>
      <c r="C427" s="629"/>
      <c r="D427" s="629"/>
      <c r="E427" s="629"/>
      <c r="F427" s="630"/>
      <c r="I427" s="80"/>
      <c r="J427" s="238">
        <f>IF(J413&gt;0,+J425/J413*$F$409,0)</f>
        <v>0</v>
      </c>
      <c r="K427" s="238">
        <f>IF(K413&gt;0,+K425/K413*$F$409,0)</f>
        <v>0</v>
      </c>
      <c r="L427" s="238">
        <f>IF(L413&gt;0,+L425/L413*$F$409,0)</f>
        <v>0</v>
      </c>
      <c r="M427" s="238">
        <f>IF(M413&gt;0,+M425/M413*$F$409,0)</f>
        <v>0</v>
      </c>
      <c r="N427" s="238">
        <f>IF(N413&gt;0,+N425/N413*$F$409,0)</f>
        <v>0</v>
      </c>
      <c r="O427" s="235"/>
    </row>
    <row r="428" spans="2:87" ht="5.0999999999999996" customHeight="1" x14ac:dyDescent="0.2">
      <c r="F428" s="32"/>
      <c r="J428" s="239"/>
      <c r="K428" s="239"/>
      <c r="L428" s="239"/>
      <c r="M428" s="239"/>
      <c r="N428" s="239"/>
      <c r="O428" s="235"/>
    </row>
    <row r="429" spans="2:87" ht="24.95" customHeight="1" x14ac:dyDescent="0.2">
      <c r="B429" s="638" t="s">
        <v>243</v>
      </c>
      <c r="C429" s="639"/>
      <c r="D429" s="639"/>
      <c r="E429" s="639"/>
      <c r="F429" s="640"/>
      <c r="J429" s="240">
        <f>+J427-J421</f>
        <v>0</v>
      </c>
      <c r="K429" s="240">
        <f>+K427-K421</f>
        <v>0</v>
      </c>
      <c r="L429" s="240">
        <f>+L427-L421</f>
        <v>0</v>
      </c>
      <c r="M429" s="240">
        <f>+M427-M421</f>
        <v>0</v>
      </c>
      <c r="N429" s="240">
        <f>+N427-N421</f>
        <v>0</v>
      </c>
      <c r="O429" s="235"/>
    </row>
    <row r="430" spans="2:87" ht="5.0999999999999996" customHeight="1" x14ac:dyDescent="0.2">
      <c r="O430" s="235"/>
    </row>
    <row r="431" spans="2:87" ht="15" customHeight="1" x14ac:dyDescent="0.2">
      <c r="B431" s="628" t="s">
        <v>156</v>
      </c>
      <c r="C431" s="629"/>
      <c r="D431" s="629"/>
      <c r="E431" s="629"/>
      <c r="F431" s="630"/>
      <c r="H431" s="619"/>
      <c r="I431" s="620"/>
      <c r="J431" s="620"/>
      <c r="K431" s="620"/>
      <c r="L431" s="620"/>
      <c r="M431" s="620"/>
      <c r="N431" s="621"/>
    </row>
    <row r="432" spans="2:87" ht="28.5" customHeight="1" x14ac:dyDescent="0.2">
      <c r="H432" s="622"/>
      <c r="I432" s="623"/>
      <c r="J432" s="623"/>
      <c r="K432" s="623"/>
      <c r="L432" s="623"/>
      <c r="M432" s="623"/>
      <c r="N432" s="624"/>
    </row>
    <row r="433" spans="2:87" ht="28.5" customHeight="1" x14ac:dyDescent="0.2">
      <c r="H433" s="625"/>
      <c r="I433" s="626"/>
      <c r="J433" s="626"/>
      <c r="K433" s="626"/>
      <c r="L433" s="626"/>
      <c r="M433" s="626"/>
      <c r="N433" s="627"/>
    </row>
    <row r="434" spans="2:87" ht="5.0999999999999996" customHeight="1" x14ac:dyDescent="0.2"/>
    <row r="435" spans="2:87" s="34" customFormat="1" x14ac:dyDescent="0.2">
      <c r="B435" s="143" t="s">
        <v>315</v>
      </c>
      <c r="C435" s="144"/>
      <c r="D435" s="144"/>
      <c r="E435" s="144"/>
      <c r="F435" s="144"/>
      <c r="G435" s="144"/>
      <c r="H435" s="144"/>
      <c r="I435" s="144"/>
      <c r="J435" s="67"/>
      <c r="K435" s="67"/>
      <c r="L435" s="67"/>
      <c r="M435" s="67"/>
      <c r="N435" s="232"/>
      <c r="O435" s="144"/>
      <c r="P435" s="144"/>
      <c r="Q435" s="243"/>
      <c r="R435" s="67"/>
      <c r="S435" s="67"/>
      <c r="T435"/>
      <c r="U435"/>
      <c r="V435"/>
      <c r="W435"/>
      <c r="X435"/>
      <c r="Y435"/>
      <c r="Z435"/>
      <c r="AA435"/>
      <c r="AB435"/>
      <c r="AC435"/>
      <c r="AD435"/>
      <c r="AE435"/>
      <c r="AF435"/>
      <c r="AG435"/>
      <c r="AH435"/>
      <c r="AI435"/>
      <c r="AJ435"/>
      <c r="AK435"/>
      <c r="AL435"/>
      <c r="AM435"/>
      <c r="AN435"/>
      <c r="AO435"/>
      <c r="AP435"/>
      <c r="AQ435"/>
      <c r="AR435"/>
      <c r="AS435"/>
      <c r="AT435"/>
      <c r="AU435"/>
      <c r="AV435"/>
      <c r="AW435"/>
      <c r="AX435"/>
      <c r="AY435"/>
      <c r="AZ435"/>
      <c r="BA435"/>
      <c r="BB435"/>
      <c r="BC435"/>
      <c r="BD435"/>
      <c r="BE435"/>
      <c r="BF435"/>
      <c r="BG435"/>
      <c r="BH435"/>
      <c r="BI435"/>
      <c r="BJ435"/>
      <c r="BK435"/>
      <c r="BL435"/>
      <c r="BM435"/>
      <c r="BN435"/>
      <c r="BO435"/>
      <c r="BP435"/>
      <c r="BQ435"/>
      <c r="BR435"/>
      <c r="BS435"/>
      <c r="BT435"/>
      <c r="BU435"/>
      <c r="BV435"/>
      <c r="BW435"/>
      <c r="BX435"/>
      <c r="BY435"/>
      <c r="BZ435"/>
      <c r="CA435"/>
      <c r="CB435"/>
      <c r="CC435"/>
      <c r="CD435"/>
      <c r="CE435"/>
    </row>
    <row r="436" spans="2:87" s="34" customFormat="1" ht="5.0999999999999996" customHeight="1" x14ac:dyDescent="0.2">
      <c r="F436" s="215"/>
      <c r="J436"/>
      <c r="K436" s="2"/>
      <c r="L436"/>
      <c r="M436"/>
      <c r="N436"/>
      <c r="Q436" s="245"/>
      <c r="R436"/>
      <c r="S436"/>
      <c r="T436"/>
      <c r="U436"/>
      <c r="V436"/>
      <c r="W436"/>
      <c r="X436"/>
      <c r="Y436"/>
      <c r="Z436"/>
      <c r="AA436"/>
      <c r="AB436"/>
      <c r="AC436"/>
      <c r="AD436"/>
      <c r="AE436"/>
      <c r="AF436"/>
      <c r="AG436"/>
      <c r="AH436"/>
      <c r="AI436"/>
      <c r="AJ436"/>
      <c r="AK436"/>
      <c r="AL436"/>
      <c r="AM436"/>
      <c r="AN436"/>
      <c r="AO436"/>
      <c r="AP436"/>
      <c r="AQ436"/>
      <c r="AR436"/>
      <c r="AS436"/>
      <c r="AT436"/>
      <c r="AU436"/>
      <c r="AV436"/>
      <c r="AW436"/>
      <c r="AX436"/>
      <c r="AY436"/>
      <c r="AZ436"/>
      <c r="BA436"/>
      <c r="BB436"/>
      <c r="BC436"/>
      <c r="BD436"/>
      <c r="BE436"/>
      <c r="BF436"/>
      <c r="BG436"/>
      <c r="BH436"/>
      <c r="BI436"/>
      <c r="BJ436"/>
      <c r="BK436"/>
      <c r="BL436"/>
      <c r="BM436"/>
      <c r="BN436"/>
      <c r="BO436"/>
      <c r="BP436"/>
      <c r="BQ436"/>
      <c r="BR436"/>
      <c r="BS436"/>
      <c r="BT436"/>
      <c r="BU436"/>
      <c r="BV436"/>
      <c r="BW436"/>
      <c r="BX436"/>
      <c r="BY436"/>
      <c r="BZ436"/>
      <c r="CA436"/>
      <c r="CB436"/>
      <c r="CC436"/>
      <c r="CD436"/>
      <c r="CE436"/>
    </row>
    <row r="437" spans="2:87" s="32" customFormat="1" ht="24.95" customHeight="1" x14ac:dyDescent="0.2">
      <c r="B437" s="491" t="s">
        <v>234</v>
      </c>
      <c r="C437" s="491"/>
      <c r="D437" s="491"/>
      <c r="E437" s="491"/>
      <c r="F437" s="491"/>
      <c r="H437" s="221" t="s">
        <v>245</v>
      </c>
      <c r="J437" s="230">
        <f>+J423</f>
        <v>36891</v>
      </c>
      <c r="K437" s="230">
        <f t="shared" ref="K437:N437" si="260">+K423</f>
        <v>37256</v>
      </c>
      <c r="L437" s="230">
        <f t="shared" si="260"/>
        <v>37621</v>
      </c>
      <c r="M437" s="230">
        <f t="shared" si="260"/>
        <v>37986</v>
      </c>
      <c r="N437" s="230">
        <f t="shared" si="260"/>
        <v>38352</v>
      </c>
      <c r="O437" s="631" t="s">
        <v>148</v>
      </c>
      <c r="P437" s="632"/>
      <c r="Q437" s="632"/>
      <c r="R437"/>
      <c r="S437"/>
      <c r="T437"/>
      <c r="U437"/>
      <c r="V437"/>
      <c r="W437"/>
      <c r="X437"/>
      <c r="Y437"/>
      <c r="Z437"/>
      <c r="AA437"/>
      <c r="AB437"/>
      <c r="AC437"/>
      <c r="AD437"/>
      <c r="AE437"/>
      <c r="AF437"/>
      <c r="AG437"/>
      <c r="AH437"/>
      <c r="AI437"/>
      <c r="AJ437"/>
      <c r="AK437"/>
      <c r="AL437"/>
      <c r="AM437"/>
      <c r="AN437"/>
      <c r="AO437"/>
      <c r="AP437"/>
      <c r="AQ437"/>
      <c r="AR437"/>
      <c r="AS437"/>
      <c r="AT437"/>
      <c r="AU437"/>
      <c r="AV437"/>
      <c r="AW437"/>
      <c r="AX437"/>
      <c r="AY437"/>
      <c r="AZ437"/>
      <c r="BA437"/>
      <c r="BB437"/>
      <c r="BC437"/>
      <c r="BD437"/>
      <c r="BE437"/>
      <c r="BF437"/>
      <c r="BG437"/>
      <c r="BH437"/>
      <c r="BI437"/>
      <c r="BJ437"/>
      <c r="BK437"/>
      <c r="BL437"/>
      <c r="BM437"/>
      <c r="BN437"/>
      <c r="BO437"/>
      <c r="BP437"/>
      <c r="BQ437"/>
      <c r="BR437"/>
      <c r="BS437"/>
      <c r="BT437"/>
      <c r="BU437"/>
      <c r="BV437"/>
      <c r="BW437"/>
      <c r="BX437"/>
      <c r="BY437"/>
      <c r="BZ437"/>
      <c r="CA437"/>
      <c r="CB437"/>
      <c r="CC437"/>
      <c r="CD437"/>
      <c r="CE437"/>
    </row>
    <row r="438" spans="2:87" ht="5.0999999999999996" customHeight="1" x14ac:dyDescent="0.2">
      <c r="F438" s="32"/>
      <c r="CF438" s="32"/>
      <c r="CG438" s="32"/>
      <c r="CH438" s="32"/>
      <c r="CI438" s="32"/>
    </row>
    <row r="439" spans="2:87" ht="33.75" customHeight="1" x14ac:dyDescent="0.2">
      <c r="B439" s="628" t="s">
        <v>246</v>
      </c>
      <c r="C439" s="629"/>
      <c r="D439" s="629"/>
      <c r="E439" s="629"/>
      <c r="F439" s="630"/>
      <c r="H439" s="221" t="s">
        <v>316</v>
      </c>
      <c r="I439" s="80"/>
      <c r="J439" s="241"/>
      <c r="K439" s="241"/>
      <c r="L439" s="241"/>
      <c r="M439" s="241"/>
      <c r="N439" s="242"/>
      <c r="O439" s="610" t="s">
        <v>308</v>
      </c>
      <c r="P439" s="611"/>
      <c r="Q439" s="611"/>
      <c r="R439" s="611"/>
      <c r="S439" s="612"/>
      <c r="CF439" s="32"/>
      <c r="CG439" s="32"/>
      <c r="CH439" s="32"/>
      <c r="CI439" s="32"/>
    </row>
    <row r="440" spans="2:87" ht="5.0999999999999996" customHeight="1" x14ac:dyDescent="0.2">
      <c r="F440" s="32"/>
      <c r="I440" s="80"/>
      <c r="O440" s="613"/>
      <c r="P440" s="614"/>
      <c r="Q440" s="614"/>
      <c r="R440" s="614"/>
      <c r="S440" s="615"/>
      <c r="CF440" s="32"/>
      <c r="CG440" s="32"/>
      <c r="CH440" s="32"/>
      <c r="CI440" s="32"/>
    </row>
    <row r="441" spans="2:87" ht="33.75" customHeight="1" x14ac:dyDescent="0.2">
      <c r="B441" s="628" t="s">
        <v>249</v>
      </c>
      <c r="C441" s="629"/>
      <c r="D441" s="629"/>
      <c r="E441" s="629"/>
      <c r="F441" s="630"/>
      <c r="H441" s="221" t="s">
        <v>316</v>
      </c>
      <c r="I441" s="80"/>
      <c r="J441" s="241"/>
      <c r="K441" s="241"/>
      <c r="L441" s="241"/>
      <c r="M441" s="241"/>
      <c r="N441" s="242"/>
      <c r="O441" s="616"/>
      <c r="P441" s="617"/>
      <c r="Q441" s="617"/>
      <c r="R441" s="617"/>
      <c r="S441" s="618"/>
      <c r="CF441" s="32"/>
      <c r="CG441" s="32"/>
      <c r="CH441" s="32"/>
      <c r="CI441" s="32"/>
    </row>
    <row r="442" spans="2:87" ht="5.0999999999999996" customHeight="1" x14ac:dyDescent="0.2">
      <c r="I442" s="80"/>
      <c r="J442" s="237"/>
      <c r="K442" s="237"/>
      <c r="L442" s="237"/>
      <c r="M442" s="237"/>
      <c r="N442" s="237"/>
      <c r="CF442" s="32"/>
      <c r="CG442" s="32"/>
      <c r="CH442" s="32"/>
      <c r="CI442" s="32"/>
    </row>
    <row r="443" spans="2:87" s="34" customFormat="1" x14ac:dyDescent="0.2">
      <c r="B443" s="143" t="s">
        <v>317</v>
      </c>
      <c r="C443" s="144"/>
      <c r="D443" s="144"/>
      <c r="E443" s="144"/>
      <c r="F443" s="144"/>
      <c r="G443" s="144"/>
      <c r="H443" s="144"/>
      <c r="I443" s="144"/>
      <c r="J443" s="67"/>
      <c r="K443" s="67"/>
      <c r="L443" s="67"/>
      <c r="M443" s="67"/>
      <c r="N443" s="232"/>
      <c r="O443" s="144"/>
      <c r="P443" s="144"/>
      <c r="Q443" s="243"/>
      <c r="R443" s="67"/>
      <c r="S443" s="67"/>
      <c r="T443"/>
      <c r="U443"/>
      <c r="V443"/>
      <c r="W443"/>
      <c r="X443"/>
      <c r="Y443"/>
      <c r="Z443"/>
      <c r="AA443"/>
      <c r="AB443"/>
      <c r="AC443"/>
      <c r="AD443"/>
      <c r="AE443"/>
      <c r="AF443"/>
      <c r="AG443"/>
      <c r="AH443"/>
      <c r="AI443"/>
      <c r="AJ443"/>
      <c r="AK443"/>
      <c r="AL443"/>
      <c r="AM443"/>
      <c r="AN443"/>
      <c r="AO443"/>
      <c r="AP443"/>
      <c r="AQ443"/>
      <c r="AR443"/>
      <c r="AS443"/>
      <c r="AT443"/>
      <c r="AU443"/>
      <c r="AV443"/>
      <c r="AW443"/>
      <c r="AX443"/>
      <c r="AY443"/>
      <c r="AZ443"/>
      <c r="BA443"/>
      <c r="BB443"/>
      <c r="BC443"/>
      <c r="BD443"/>
      <c r="BE443"/>
      <c r="BF443"/>
      <c r="BG443"/>
      <c r="BH443"/>
      <c r="BI443"/>
      <c r="BJ443"/>
      <c r="BK443"/>
      <c r="BL443"/>
      <c r="BM443"/>
      <c r="BN443"/>
      <c r="BO443"/>
      <c r="BP443"/>
      <c r="BQ443"/>
      <c r="BR443"/>
      <c r="BS443"/>
      <c r="BT443"/>
      <c r="BU443"/>
      <c r="BV443"/>
      <c r="BW443"/>
      <c r="BX443"/>
      <c r="BY443"/>
      <c r="BZ443"/>
      <c r="CA443"/>
      <c r="CB443"/>
      <c r="CC443"/>
      <c r="CD443"/>
      <c r="CE443"/>
    </row>
    <row r="444" spans="2:87" s="34" customFormat="1" ht="5.0999999999999996" customHeight="1" x14ac:dyDescent="0.2">
      <c r="F444" s="215"/>
      <c r="J444"/>
      <c r="K444" s="2"/>
      <c r="L444"/>
      <c r="M444"/>
      <c r="N444"/>
      <c r="Q444" s="245"/>
      <c r="R444"/>
      <c r="S444"/>
      <c r="T444"/>
      <c r="U444"/>
      <c r="V444"/>
      <c r="W444"/>
      <c r="X444"/>
      <c r="Y444"/>
      <c r="Z444"/>
      <c r="AA444"/>
      <c r="AB444"/>
      <c r="AC444"/>
      <c r="AD444"/>
      <c r="AE444"/>
      <c r="AF444"/>
      <c r="AG444"/>
      <c r="AH444"/>
      <c r="AI444"/>
      <c r="AJ444"/>
      <c r="AK444"/>
      <c r="AL444"/>
      <c r="AM444"/>
      <c r="AN444"/>
      <c r="AO444"/>
      <c r="AP444"/>
      <c r="AQ444"/>
      <c r="AR444"/>
      <c r="AS444"/>
      <c r="AT444"/>
      <c r="AU444"/>
      <c r="AV444"/>
      <c r="AW444"/>
      <c r="AX444"/>
      <c r="AY444"/>
      <c r="AZ444"/>
      <c r="BA444"/>
      <c r="BB444"/>
      <c r="BC444"/>
      <c r="BD444"/>
      <c r="BE444"/>
      <c r="BF444"/>
      <c r="BG444"/>
      <c r="BH444"/>
      <c r="BI444"/>
      <c r="BJ444"/>
      <c r="BK444"/>
      <c r="BL444"/>
      <c r="BM444"/>
      <c r="BN444"/>
      <c r="BO444"/>
      <c r="BP444"/>
      <c r="BQ444"/>
      <c r="BR444"/>
      <c r="BS444"/>
      <c r="BT444"/>
      <c r="BU444"/>
      <c r="BV444"/>
      <c r="BW444"/>
      <c r="BX444"/>
      <c r="BY444"/>
      <c r="BZ444"/>
      <c r="CA444"/>
      <c r="CB444"/>
      <c r="CC444"/>
      <c r="CD444"/>
      <c r="CE444"/>
    </row>
    <row r="445" spans="2:87" s="32" customFormat="1" ht="24.95" customHeight="1" x14ac:dyDescent="0.2">
      <c r="B445" s="491" t="s">
        <v>234</v>
      </c>
      <c r="C445" s="491"/>
      <c r="D445" s="491"/>
      <c r="E445" s="491"/>
      <c r="F445" s="491"/>
      <c r="H445"/>
      <c r="J445" s="230">
        <f>+J437</f>
        <v>36891</v>
      </c>
      <c r="K445" s="230">
        <f t="shared" ref="K445:N445" si="261">+K437</f>
        <v>37256</v>
      </c>
      <c r="L445" s="230">
        <f t="shared" si="261"/>
        <v>37621</v>
      </c>
      <c r="M445" s="230">
        <f t="shared" si="261"/>
        <v>37986</v>
      </c>
      <c r="N445" s="230">
        <f t="shared" si="261"/>
        <v>38352</v>
      </c>
      <c r="O445"/>
      <c r="P445"/>
      <c r="Q445"/>
      <c r="R445"/>
      <c r="S445"/>
      <c r="T445"/>
      <c r="U445"/>
      <c r="V445"/>
      <c r="W445"/>
      <c r="X445"/>
      <c r="Y445"/>
      <c r="Z445"/>
      <c r="AA445"/>
      <c r="AB445"/>
      <c r="AC445"/>
      <c r="AD445"/>
      <c r="AE445"/>
      <c r="AF445"/>
      <c r="AG445"/>
      <c r="AH445"/>
      <c r="AI445"/>
      <c r="AJ445"/>
      <c r="AK445"/>
      <c r="AL445"/>
      <c r="AM445"/>
      <c r="AN445"/>
      <c r="AO445"/>
      <c r="AP445"/>
      <c r="AQ445"/>
      <c r="AR445"/>
      <c r="AS445"/>
      <c r="AT445"/>
      <c r="AU445"/>
      <c r="AV445"/>
      <c r="AW445"/>
      <c r="AX445"/>
      <c r="AY445"/>
      <c r="AZ445"/>
      <c r="BA445"/>
      <c r="BB445"/>
      <c r="BC445"/>
      <c r="BD445"/>
      <c r="BE445"/>
      <c r="BF445"/>
      <c r="BG445"/>
      <c r="BH445"/>
      <c r="BI445"/>
      <c r="BJ445"/>
      <c r="BK445"/>
      <c r="BL445"/>
      <c r="BM445"/>
      <c r="BN445"/>
      <c r="BO445"/>
      <c r="BP445"/>
      <c r="BQ445"/>
      <c r="BR445"/>
      <c r="BS445"/>
      <c r="BT445"/>
      <c r="BU445"/>
      <c r="BV445"/>
      <c r="BW445"/>
      <c r="BX445"/>
      <c r="BY445"/>
      <c r="BZ445"/>
      <c r="CA445"/>
      <c r="CB445"/>
      <c r="CC445"/>
      <c r="CD445"/>
      <c r="CE445"/>
    </row>
    <row r="446" spans="2:87" ht="5.0999999999999996" customHeight="1" x14ac:dyDescent="0.2">
      <c r="F446" s="32"/>
    </row>
    <row r="447" spans="2:87" ht="30" customHeight="1" x14ac:dyDescent="0.2">
      <c r="B447" s="633" t="s">
        <v>318</v>
      </c>
      <c r="C447" s="634"/>
      <c r="D447" s="634"/>
      <c r="E447" s="634"/>
      <c r="F447" s="634"/>
      <c r="G447" s="634"/>
      <c r="H447" s="635"/>
      <c r="I447" s="80"/>
      <c r="J447" s="234"/>
      <c r="K447" s="234"/>
      <c r="L447" s="234"/>
      <c r="M447" s="234"/>
      <c r="N447" s="234"/>
    </row>
    <row r="448" spans="2:87" ht="5.0999999999999996" customHeight="1" x14ac:dyDescent="0.2">
      <c r="F448" s="32"/>
      <c r="I448" s="80"/>
      <c r="J448" s="237"/>
      <c r="K448" s="237"/>
      <c r="L448" s="237"/>
      <c r="M448" s="237"/>
      <c r="N448" s="237"/>
    </row>
    <row r="449" spans="2:85" ht="30" customHeight="1" x14ac:dyDescent="0.2">
      <c r="B449" s="633" t="s">
        <v>319</v>
      </c>
      <c r="C449" s="634"/>
      <c r="D449" s="634"/>
      <c r="E449" s="634"/>
      <c r="F449" s="634"/>
      <c r="G449" s="634"/>
      <c r="H449" s="635"/>
      <c r="I449" s="80"/>
      <c r="J449" s="238">
        <f>+J447/J$409*$F$409</f>
        <v>0</v>
      </c>
      <c r="K449" s="238">
        <f>+K447/K$409*$F$409</f>
        <v>0</v>
      </c>
      <c r="L449" s="238">
        <f>+L447/L$409*$F$409</f>
        <v>0</v>
      </c>
      <c r="M449" s="238">
        <f>+M447/M$409*$F$409</f>
        <v>0</v>
      </c>
      <c r="N449" s="238">
        <f>+N447/N$409*$F$409</f>
        <v>0</v>
      </c>
      <c r="O449" s="196"/>
      <c r="P449" s="196"/>
      <c r="Q449" s="196"/>
      <c r="R449" s="196"/>
      <c r="S449" s="196"/>
      <c r="T449" s="196"/>
      <c r="U449" s="196"/>
      <c r="V449" s="196"/>
      <c r="W449" s="196"/>
      <c r="X449" s="196"/>
      <c r="Y449" s="196"/>
    </row>
    <row r="450" spans="2:85" ht="5.0999999999999996" customHeight="1" x14ac:dyDescent="0.2">
      <c r="I450" s="80"/>
      <c r="J450" s="237"/>
      <c r="K450" s="237"/>
      <c r="L450" s="237"/>
      <c r="M450" s="237"/>
      <c r="N450" s="237"/>
    </row>
    <row r="451" spans="2:85" ht="30" customHeight="1" x14ac:dyDescent="0.2">
      <c r="B451" s="633" t="s">
        <v>320</v>
      </c>
      <c r="C451" s="634"/>
      <c r="D451" s="634"/>
      <c r="E451" s="634"/>
      <c r="F451" s="634"/>
      <c r="G451" s="634"/>
      <c r="H451" s="635"/>
      <c r="I451" s="80"/>
      <c r="J451" s="234"/>
      <c r="K451" s="234"/>
      <c r="L451" s="234"/>
      <c r="M451" s="234"/>
      <c r="N451" s="234"/>
      <c r="CE451" s="24"/>
      <c r="CF451" s="24"/>
      <c r="CG451" s="24"/>
    </row>
    <row r="452" spans="2:85" ht="5.0999999999999996" customHeight="1" x14ac:dyDescent="0.2">
      <c r="F452" s="32"/>
      <c r="I452" s="80"/>
      <c r="J452" s="237"/>
      <c r="K452" s="237"/>
      <c r="L452" s="237"/>
      <c r="M452" s="237"/>
      <c r="N452" s="237"/>
    </row>
    <row r="453" spans="2:85" ht="30" customHeight="1" x14ac:dyDescent="0.2">
      <c r="B453" s="633" t="s">
        <v>321</v>
      </c>
      <c r="C453" s="634"/>
      <c r="D453" s="634"/>
      <c r="E453" s="634"/>
      <c r="F453" s="634"/>
      <c r="G453" s="634"/>
      <c r="H453" s="635"/>
      <c r="I453" s="80"/>
      <c r="J453" s="238">
        <f>IF(J$413&gt;0,+J451/J$413*$F$409,0)</f>
        <v>0</v>
      </c>
      <c r="K453" s="238">
        <f t="shared" ref="K453:N453" si="262">IF(K$413&gt;0,+K451/K$413*$F$409,0)</f>
        <v>0</v>
      </c>
      <c r="L453" s="238">
        <f t="shared" si="262"/>
        <v>0</v>
      </c>
      <c r="M453" s="238">
        <f t="shared" si="262"/>
        <v>0</v>
      </c>
      <c r="N453" s="238">
        <f t="shared" si="262"/>
        <v>0</v>
      </c>
      <c r="O453" s="196"/>
      <c r="P453" s="196"/>
      <c r="CE453" s="24"/>
      <c r="CF453" s="24"/>
      <c r="CG453" s="24"/>
    </row>
    <row r="454" spans="2:85" ht="5.0999999999999996" customHeight="1" x14ac:dyDescent="0.2">
      <c r="F454" s="32"/>
      <c r="J454" s="239"/>
      <c r="K454" s="239"/>
      <c r="L454" s="239"/>
      <c r="M454" s="239"/>
      <c r="N454" s="239"/>
    </row>
    <row r="455" spans="2:85" ht="24.95" customHeight="1" x14ac:dyDescent="0.2">
      <c r="B455" s="636" t="s">
        <v>243</v>
      </c>
      <c r="C455" s="637"/>
      <c r="D455" s="637"/>
      <c r="E455" s="637"/>
      <c r="F455" s="637"/>
      <c r="G455" s="637"/>
      <c r="H455" s="637"/>
      <c r="J455" s="249">
        <f>+J453-J449</f>
        <v>0</v>
      </c>
      <c r="K455" s="249">
        <f>+K453-K449</f>
        <v>0</v>
      </c>
      <c r="L455" s="249">
        <f>+L453-L449</f>
        <v>0</v>
      </c>
      <c r="M455" s="249">
        <f>+M453-M449</f>
        <v>0</v>
      </c>
      <c r="N455" s="249">
        <f>+N453-N449</f>
        <v>0</v>
      </c>
    </row>
    <row r="456" spans="2:85" ht="5.0999999999999996" customHeight="1" x14ac:dyDescent="0.2"/>
    <row r="457" spans="2:85" ht="23.25" customHeight="1" x14ac:dyDescent="0.2">
      <c r="B457" s="628" t="s">
        <v>156</v>
      </c>
      <c r="C457" s="629"/>
      <c r="D457" s="629"/>
      <c r="E457" s="629"/>
      <c r="F457" s="630"/>
      <c r="H457" s="601"/>
      <c r="I457" s="602"/>
      <c r="J457" s="602"/>
      <c r="K457" s="602"/>
      <c r="L457" s="602"/>
      <c r="M457" s="602"/>
      <c r="N457" s="603"/>
    </row>
    <row r="458" spans="2:85" ht="23.25" customHeight="1" x14ac:dyDescent="0.2">
      <c r="H458" s="604"/>
      <c r="I458" s="605"/>
      <c r="J458" s="605"/>
      <c r="K458" s="605"/>
      <c r="L458" s="605"/>
      <c r="M458" s="605"/>
      <c r="N458" s="606"/>
    </row>
    <row r="459" spans="2:85" ht="23.25" customHeight="1" x14ac:dyDescent="0.2">
      <c r="H459" s="607"/>
      <c r="I459" s="608"/>
      <c r="J459" s="608"/>
      <c r="K459" s="608"/>
      <c r="L459" s="608"/>
      <c r="M459" s="608"/>
      <c r="N459" s="609"/>
    </row>
    <row r="460" spans="2:85" ht="5.0999999999999996" customHeight="1" x14ac:dyDescent="0.2"/>
    <row r="461" spans="2:85" x14ac:dyDescent="0.2">
      <c r="B461" s="75" t="s">
        <v>322</v>
      </c>
      <c r="C461" s="67"/>
      <c r="D461" s="67"/>
      <c r="E461" s="67"/>
      <c r="F461" s="67"/>
      <c r="G461" s="67"/>
      <c r="H461" s="67"/>
      <c r="I461" s="67"/>
      <c r="J461" s="67"/>
      <c r="K461" s="67"/>
      <c r="L461" s="67"/>
      <c r="M461" s="67"/>
      <c r="N461" s="67"/>
      <c r="O461" s="67"/>
      <c r="P461" s="67"/>
      <c r="Q461" s="243" t="s">
        <v>256</v>
      </c>
    </row>
    <row r="462" spans="2:85" ht="5.0999999999999996" customHeight="1" x14ac:dyDescent="0.2"/>
    <row r="463" spans="2:85" ht="24" customHeight="1" x14ac:dyDescent="0.2">
      <c r="B463" s="491" t="s">
        <v>132</v>
      </c>
      <c r="C463" s="491"/>
      <c r="D463" s="491"/>
      <c r="E463" s="217"/>
      <c r="F463" s="491" t="s">
        <v>134</v>
      </c>
      <c r="G463" s="491"/>
      <c r="H463" s="491"/>
      <c r="I463" s="217"/>
      <c r="J463" s="69" t="s">
        <v>257</v>
      </c>
      <c r="K463" s="69" t="s">
        <v>258</v>
      </c>
      <c r="L463" s="69" t="s">
        <v>259</v>
      </c>
      <c r="N463" s="491" t="s">
        <v>221</v>
      </c>
      <c r="O463" s="491"/>
      <c r="P463" s="69"/>
      <c r="Q463" s="69"/>
    </row>
    <row r="464" spans="2:85" ht="5.0999999999999996" customHeight="1" x14ac:dyDescent="0.2"/>
    <row r="465" spans="1:85" s="34" customFormat="1" ht="68.099999999999994" customHeight="1" x14ac:dyDescent="0.2">
      <c r="B465" s="628" t="s">
        <v>222</v>
      </c>
      <c r="C465" s="629"/>
      <c r="D465" s="630"/>
      <c r="F465" s="481">
        <f>+F395</f>
        <v>0</v>
      </c>
      <c r="G465" s="482"/>
      <c r="H465" s="483"/>
      <c r="I465" s="223"/>
      <c r="J465" s="250">
        <f>+J395</f>
        <v>0</v>
      </c>
      <c r="K465" s="250">
        <f>+K395</f>
        <v>0</v>
      </c>
      <c r="L465" s="251"/>
      <c r="M465" s="598" t="s">
        <v>308</v>
      </c>
      <c r="N465" s="599"/>
      <c r="O465" s="599"/>
      <c r="P465" s="599"/>
      <c r="Q465" s="600"/>
      <c r="CF465"/>
      <c r="CG465"/>
    </row>
    <row r="466" spans="1:85" ht="5.0999999999999996" customHeight="1" x14ac:dyDescent="0.2">
      <c r="F466" s="246"/>
      <c r="G466" s="246"/>
      <c r="H466" s="246"/>
      <c r="I466" s="246"/>
      <c r="J466" s="246"/>
      <c r="K466" s="246"/>
      <c r="L466" s="252"/>
      <c r="M466" s="225"/>
      <c r="N466" s="31"/>
      <c r="O466" s="225"/>
      <c r="P466" s="225"/>
      <c r="Q466" s="225"/>
    </row>
    <row r="467" spans="1:85" s="34" customFormat="1" ht="68.099999999999994" customHeight="1" x14ac:dyDescent="0.2">
      <c r="B467" s="519" t="s">
        <v>224</v>
      </c>
      <c r="C467" s="520"/>
      <c r="D467" s="521"/>
      <c r="F467" s="481">
        <f>+F397</f>
        <v>0</v>
      </c>
      <c r="G467" s="482"/>
      <c r="H467" s="483"/>
      <c r="I467" s="223"/>
      <c r="J467" s="253">
        <f>+J397</f>
        <v>0</v>
      </c>
      <c r="K467" s="253">
        <f>+K397</f>
        <v>0</v>
      </c>
      <c r="L467" s="251"/>
      <c r="M467" s="598" t="s">
        <v>308</v>
      </c>
      <c r="N467" s="599"/>
      <c r="O467" s="599"/>
      <c r="P467" s="599"/>
      <c r="Q467" s="600"/>
      <c r="CF467"/>
      <c r="CG467"/>
    </row>
    <row r="468" spans="1:85" ht="5.0999999999999996" customHeight="1" x14ac:dyDescent="0.2">
      <c r="F468" s="246"/>
      <c r="G468" s="246"/>
      <c r="H468" s="246"/>
      <c r="I468" s="246"/>
      <c r="J468" s="246"/>
      <c r="K468" s="246"/>
      <c r="L468" s="252"/>
      <c r="M468" s="225"/>
      <c r="N468" s="31"/>
      <c r="O468" s="225"/>
      <c r="P468" s="225"/>
      <c r="Q468" s="225"/>
    </row>
    <row r="469" spans="1:85" s="34" customFormat="1" ht="68.099999999999994" customHeight="1" x14ac:dyDescent="0.2">
      <c r="B469" s="519" t="s">
        <v>225</v>
      </c>
      <c r="C469" s="520"/>
      <c r="D469" s="521"/>
      <c r="F469" s="543">
        <f>+F399</f>
        <v>0</v>
      </c>
      <c r="G469" s="544"/>
      <c r="H469" s="545"/>
      <c r="I469" s="254"/>
      <c r="J469" s="255">
        <f>+J399</f>
        <v>0</v>
      </c>
      <c r="K469" s="255">
        <f>+K399</f>
        <v>0</v>
      </c>
      <c r="L469" s="227"/>
      <c r="M469" s="595" t="s">
        <v>308</v>
      </c>
      <c r="N469" s="596"/>
      <c r="O469" s="596"/>
      <c r="P469" s="596"/>
      <c r="Q469" s="597"/>
      <c r="CF469"/>
      <c r="CG469"/>
    </row>
    <row r="470" spans="1:85" ht="5.0999999999999996" customHeight="1" x14ac:dyDescent="0.2">
      <c r="F470" s="246"/>
      <c r="G470" s="246"/>
      <c r="H470" s="246"/>
      <c r="I470" s="246"/>
      <c r="J470" s="246"/>
      <c r="K470" s="246"/>
      <c r="L470" s="256"/>
      <c r="M470" s="225"/>
      <c r="N470" s="31"/>
      <c r="O470" s="225"/>
      <c r="P470" s="225"/>
      <c r="Q470" s="225"/>
    </row>
    <row r="471" spans="1:85" s="34" customFormat="1" ht="68.099999999999994" customHeight="1" x14ac:dyDescent="0.2">
      <c r="B471" s="519" t="s">
        <v>226</v>
      </c>
      <c r="C471" s="520"/>
      <c r="D471" s="521"/>
      <c r="F471" s="481">
        <f>+F401</f>
        <v>0</v>
      </c>
      <c r="G471" s="482"/>
      <c r="H471" s="483"/>
      <c r="I471" s="223"/>
      <c r="J471" s="129">
        <f>+J401</f>
        <v>0</v>
      </c>
      <c r="K471" s="129">
        <f>+K401</f>
        <v>0</v>
      </c>
      <c r="L471" s="227"/>
      <c r="M471" s="598" t="s">
        <v>308</v>
      </c>
      <c r="N471" s="599"/>
      <c r="O471" s="599"/>
      <c r="P471" s="599"/>
      <c r="Q471" s="600"/>
      <c r="CF471"/>
      <c r="CG471"/>
    </row>
    <row r="472" spans="1:85" ht="5.0999999999999996" customHeight="1" x14ac:dyDescent="0.2"/>
    <row r="473" spans="1:85" s="34" customFormat="1" x14ac:dyDescent="0.2">
      <c r="CE473"/>
    </row>
    <row r="474" spans="1:85" s="34" customFormat="1" x14ac:dyDescent="0.2"/>
    <row r="475" spans="1:85" s="34" customFormat="1" x14ac:dyDescent="0.2">
      <c r="A475" s="34" t="s">
        <v>260</v>
      </c>
      <c r="B475" s="247" t="s">
        <v>261</v>
      </c>
    </row>
    <row r="476" spans="1:85" s="34" customFormat="1" x14ac:dyDescent="0.2">
      <c r="B476" s="248" t="s">
        <v>262</v>
      </c>
    </row>
    <row r="477" spans="1:85" s="34" customFormat="1" x14ac:dyDescent="0.2">
      <c r="B477" t="s">
        <v>263</v>
      </c>
    </row>
    <row r="478" spans="1:85" s="34" customFormat="1" x14ac:dyDescent="0.2">
      <c r="B478" t="s">
        <v>105</v>
      </c>
    </row>
    <row r="479" spans="1:85" s="34" customFormat="1" x14ac:dyDescent="0.2"/>
    <row r="480" spans="1:85" s="34" customFormat="1" x14ac:dyDescent="0.2"/>
    <row r="481" s="34" customFormat="1" x14ac:dyDescent="0.2"/>
    <row r="482" s="34" customFormat="1" x14ac:dyDescent="0.2"/>
    <row r="483" s="34" customFormat="1" x14ac:dyDescent="0.2"/>
    <row r="484" s="34" customFormat="1" x14ac:dyDescent="0.2"/>
    <row r="485" s="34" customFormat="1" x14ac:dyDescent="0.2"/>
    <row r="486" s="34" customFormat="1" x14ac:dyDescent="0.2"/>
    <row r="487" s="34" customFormat="1" x14ac:dyDescent="0.2"/>
    <row r="488" s="34" customFormat="1" x14ac:dyDescent="0.2"/>
    <row r="489" s="34" customFormat="1" x14ac:dyDescent="0.2"/>
    <row r="490" s="34" customFormat="1" x14ac:dyDescent="0.2"/>
    <row r="491" s="34" customFormat="1" x14ac:dyDescent="0.2"/>
    <row r="492" s="34" customFormat="1" x14ac:dyDescent="0.2"/>
    <row r="493" s="34" customFormat="1" x14ac:dyDescent="0.2"/>
    <row r="494" s="34" customFormat="1" x14ac:dyDescent="0.2"/>
    <row r="495" s="34" customFormat="1" x14ac:dyDescent="0.2"/>
    <row r="496" s="34" customFormat="1" x14ac:dyDescent="0.2"/>
    <row r="497" s="34" customFormat="1" x14ac:dyDescent="0.2"/>
    <row r="498" s="34" customFormat="1" x14ac:dyDescent="0.2"/>
    <row r="499" s="34" customFormat="1" x14ac:dyDescent="0.2"/>
  </sheetData>
  <mergeCells count="160">
    <mergeCell ref="D5:M5"/>
    <mergeCell ref="H11:M11"/>
    <mergeCell ref="H13:M13"/>
    <mergeCell ref="H15:M15"/>
    <mergeCell ref="H17:M17"/>
    <mergeCell ref="B48:M48"/>
    <mergeCell ref="B52:M52"/>
    <mergeCell ref="B56:M56"/>
    <mergeCell ref="B60:M60"/>
    <mergeCell ref="B64:F64"/>
    <mergeCell ref="H64:J64"/>
    <mergeCell ref="L64:M64"/>
    <mergeCell ref="B65:F65"/>
    <mergeCell ref="H65:J65"/>
    <mergeCell ref="L65:M65"/>
    <mergeCell ref="B66:F66"/>
    <mergeCell ref="H66:J66"/>
    <mergeCell ref="L66:M66"/>
    <mergeCell ref="B67:F67"/>
    <mergeCell ref="H67:J67"/>
    <mergeCell ref="L67:M67"/>
    <mergeCell ref="B71:M71"/>
    <mergeCell ref="B76:M76"/>
    <mergeCell ref="B79:M79"/>
    <mergeCell ref="B83:M83"/>
    <mergeCell ref="B87:M87"/>
    <mergeCell ref="F91:M91"/>
    <mergeCell ref="F93:M93"/>
    <mergeCell ref="F95:M95"/>
    <mergeCell ref="C100:D100"/>
    <mergeCell ref="B107:L107"/>
    <mergeCell ref="B136:F136"/>
    <mergeCell ref="B138:F138"/>
    <mergeCell ref="B140:F140"/>
    <mergeCell ref="B142:F142"/>
    <mergeCell ref="Q152:R152"/>
    <mergeCell ref="B174:D174"/>
    <mergeCell ref="B176:D176"/>
    <mergeCell ref="B193:D193"/>
    <mergeCell ref="B195:D195"/>
    <mergeCell ref="B197:D197"/>
    <mergeCell ref="B207:F207"/>
    <mergeCell ref="B209:F209"/>
    <mergeCell ref="B211:F211"/>
    <mergeCell ref="B213:F213"/>
    <mergeCell ref="B215:F215"/>
    <mergeCell ref="B217:F217"/>
    <mergeCell ref="B219:F219"/>
    <mergeCell ref="D223:F223"/>
    <mergeCell ref="H223:I223"/>
    <mergeCell ref="B224:C224"/>
    <mergeCell ref="D224:G224"/>
    <mergeCell ref="H224:I224"/>
    <mergeCell ref="J224:K224"/>
    <mergeCell ref="B225:C225"/>
    <mergeCell ref="D225:G225"/>
    <mergeCell ref="H225:I225"/>
    <mergeCell ref="B226:C226"/>
    <mergeCell ref="D226:G226"/>
    <mergeCell ref="H226:I226"/>
    <mergeCell ref="B227:C227"/>
    <mergeCell ref="D227:G227"/>
    <mergeCell ref="H227:I227"/>
    <mergeCell ref="B242:F242"/>
    <mergeCell ref="J242:L242"/>
    <mergeCell ref="N242:P242"/>
    <mergeCell ref="J244:K244"/>
    <mergeCell ref="J246:K246"/>
    <mergeCell ref="L250:Q250"/>
    <mergeCell ref="B287:F287"/>
    <mergeCell ref="B289:F289"/>
    <mergeCell ref="B291:F291"/>
    <mergeCell ref="L252:Q256"/>
    <mergeCell ref="O244:Q246"/>
    <mergeCell ref="B293:F293"/>
    <mergeCell ref="B295:F295"/>
    <mergeCell ref="B302:D302"/>
    <mergeCell ref="L302:Q302"/>
    <mergeCell ref="B304:D304"/>
    <mergeCell ref="B306:D306"/>
    <mergeCell ref="B318:D318"/>
    <mergeCell ref="B320:D320"/>
    <mergeCell ref="B324:D324"/>
    <mergeCell ref="J295:Q298"/>
    <mergeCell ref="L304:Q306"/>
    <mergeCell ref="B336:D336"/>
    <mergeCell ref="B338:D338"/>
    <mergeCell ref="B340:D340"/>
    <mergeCell ref="B348:F348"/>
    <mergeCell ref="B350:F350"/>
    <mergeCell ref="B352:F352"/>
    <mergeCell ref="B354:F354"/>
    <mergeCell ref="B356:F356"/>
    <mergeCell ref="B358:F358"/>
    <mergeCell ref="B360:F360"/>
    <mergeCell ref="B362:F362"/>
    <mergeCell ref="B364:F364"/>
    <mergeCell ref="B366:F366"/>
    <mergeCell ref="B368:F368"/>
    <mergeCell ref="B370:F370"/>
    <mergeCell ref="B374:F374"/>
    <mergeCell ref="B376:F376"/>
    <mergeCell ref="B378:F378"/>
    <mergeCell ref="B380:F380"/>
    <mergeCell ref="B382:F382"/>
    <mergeCell ref="B384:F384"/>
    <mergeCell ref="B386:F386"/>
    <mergeCell ref="B393:D393"/>
    <mergeCell ref="F393:H393"/>
    <mergeCell ref="N393:O393"/>
    <mergeCell ref="B395:D395"/>
    <mergeCell ref="F395:H395"/>
    <mergeCell ref="L395:Q395"/>
    <mergeCell ref="J386:X389"/>
    <mergeCell ref="B397:D397"/>
    <mergeCell ref="F397:H397"/>
    <mergeCell ref="L397:Q397"/>
    <mergeCell ref="B399:D399"/>
    <mergeCell ref="F399:H399"/>
    <mergeCell ref="L399:Q399"/>
    <mergeCell ref="B401:D401"/>
    <mergeCell ref="F401:H401"/>
    <mergeCell ref="L401:Q401"/>
    <mergeCell ref="B449:H449"/>
    <mergeCell ref="B451:H451"/>
    <mergeCell ref="B453:H453"/>
    <mergeCell ref="B455:H455"/>
    <mergeCell ref="B417:F417"/>
    <mergeCell ref="B419:F419"/>
    <mergeCell ref="B421:F421"/>
    <mergeCell ref="B423:F423"/>
    <mergeCell ref="B425:F425"/>
    <mergeCell ref="B427:F427"/>
    <mergeCell ref="B429:F429"/>
    <mergeCell ref="B431:F431"/>
    <mergeCell ref="B437:F437"/>
    <mergeCell ref="B469:D469"/>
    <mergeCell ref="F469:H469"/>
    <mergeCell ref="M469:Q469"/>
    <mergeCell ref="B471:D471"/>
    <mergeCell ref="F471:H471"/>
    <mergeCell ref="M471:Q471"/>
    <mergeCell ref="H457:N459"/>
    <mergeCell ref="O439:S441"/>
    <mergeCell ref="H431:N433"/>
    <mergeCell ref="B457:F457"/>
    <mergeCell ref="B463:D463"/>
    <mergeCell ref="F463:H463"/>
    <mergeCell ref="N463:O463"/>
    <mergeCell ref="B465:D465"/>
    <mergeCell ref="F465:H465"/>
    <mergeCell ref="M465:Q465"/>
    <mergeCell ref="B467:D467"/>
    <mergeCell ref="F467:H467"/>
    <mergeCell ref="M467:Q467"/>
    <mergeCell ref="O437:Q437"/>
    <mergeCell ref="B439:F439"/>
    <mergeCell ref="B441:F441"/>
    <mergeCell ref="B445:F445"/>
    <mergeCell ref="B447:H447"/>
  </mergeCells>
  <conditionalFormatting sqref="J330:CC334">
    <cfRule type="cellIs" dxfId="3" priority="7" operator="greaterThan">
      <formula>0</formula>
    </cfRule>
    <cfRule type="cellIs" dxfId="2" priority="9" operator="greaterThan">
      <formula>0</formula>
    </cfRule>
  </conditionalFormatting>
  <conditionalFormatting sqref="J334:CC334">
    <cfRule type="cellIs" dxfId="1" priority="3" operator="greaterThan">
      <formula>0</formula>
    </cfRule>
  </conditionalFormatting>
  <conditionalFormatting sqref="L332:M332">
    <cfRule type="cellIs" dxfId="0" priority="8" operator="greaterThan">
      <formula>0</formula>
    </cfRule>
  </conditionalFormatting>
  <dataValidations count="2">
    <dataValidation type="list" allowBlank="1" showInputMessage="1" showErrorMessage="1" sqref="Q152" xr:uid="{00000000-0002-0000-0100-000000000000}">
      <formula1>$B$477:$B$478</formula1>
    </dataValidation>
    <dataValidation type="list" allowBlank="1" showInputMessage="1" showErrorMessage="1" sqref="H242 M242 Q242" xr:uid="{00000000-0002-0000-0100-000001000000}">
      <formula1>$CF$244:$CF$246</formula1>
    </dataValidation>
  </dataValidation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M372"/>
  <sheetViews>
    <sheetView workbookViewId="0">
      <pane xSplit="2" ySplit="4" topLeftCell="C5" activePane="bottomRight" state="frozen"/>
      <selection pane="bottomLeft"/>
      <selection pane="topRight"/>
      <selection pane="bottomRight" activeCell="G19" sqref="G19"/>
    </sheetView>
  </sheetViews>
  <sheetFormatPr defaultColWidth="11.02734375" defaultRowHeight="15" x14ac:dyDescent="0.2"/>
  <cols>
    <col min="9" max="178" width="10.89453125" customWidth="1"/>
  </cols>
  <sheetData>
    <row r="1" spans="1:663" x14ac:dyDescent="0.2">
      <c r="A1" t="s">
        <v>323</v>
      </c>
    </row>
    <row r="3" spans="1:663" x14ac:dyDescent="0.2">
      <c r="A3" t="s">
        <v>324</v>
      </c>
    </row>
    <row r="4" spans="1:663" x14ac:dyDescent="0.2">
      <c r="C4">
        <f>IF($B$5=C5,1,0)</f>
        <v>0</v>
      </c>
      <c r="D4">
        <f>IF($B$5=D5,1,IF(C4&gt;=1,C4+1,0))</f>
        <v>0</v>
      </c>
      <c r="E4">
        <f t="shared" ref="E4:BP4" si="0">IF($B$5=E5,1,IF(D4&gt;=1,D4+1,0))</f>
        <v>0</v>
      </c>
      <c r="F4">
        <f t="shared" si="0"/>
        <v>0</v>
      </c>
      <c r="G4">
        <f t="shared" si="0"/>
        <v>0</v>
      </c>
      <c r="H4">
        <f t="shared" si="0"/>
        <v>0</v>
      </c>
      <c r="I4">
        <f t="shared" si="0"/>
        <v>0</v>
      </c>
      <c r="J4">
        <f t="shared" si="0"/>
        <v>0</v>
      </c>
      <c r="K4">
        <f t="shared" si="0"/>
        <v>0</v>
      </c>
      <c r="L4">
        <f t="shared" si="0"/>
        <v>0</v>
      </c>
      <c r="M4">
        <f t="shared" si="0"/>
        <v>0</v>
      </c>
      <c r="N4">
        <f t="shared" si="0"/>
        <v>0</v>
      </c>
      <c r="O4">
        <f t="shared" si="0"/>
        <v>0</v>
      </c>
      <c r="P4">
        <f t="shared" si="0"/>
        <v>0</v>
      </c>
      <c r="Q4">
        <f t="shared" si="0"/>
        <v>0</v>
      </c>
      <c r="R4">
        <f t="shared" si="0"/>
        <v>0</v>
      </c>
      <c r="S4">
        <f t="shared" si="0"/>
        <v>0</v>
      </c>
      <c r="T4">
        <f t="shared" si="0"/>
        <v>0</v>
      </c>
      <c r="U4">
        <f t="shared" si="0"/>
        <v>0</v>
      </c>
      <c r="V4">
        <f t="shared" si="0"/>
        <v>0</v>
      </c>
      <c r="W4">
        <f t="shared" si="0"/>
        <v>0</v>
      </c>
      <c r="X4">
        <f t="shared" si="0"/>
        <v>0</v>
      </c>
      <c r="Y4">
        <f t="shared" si="0"/>
        <v>0</v>
      </c>
      <c r="Z4">
        <f t="shared" si="0"/>
        <v>0</v>
      </c>
      <c r="AA4">
        <f t="shared" si="0"/>
        <v>0</v>
      </c>
      <c r="AB4">
        <f t="shared" si="0"/>
        <v>0</v>
      </c>
      <c r="AC4">
        <f t="shared" si="0"/>
        <v>0</v>
      </c>
      <c r="AD4">
        <f t="shared" si="0"/>
        <v>0</v>
      </c>
      <c r="AE4">
        <f t="shared" si="0"/>
        <v>0</v>
      </c>
      <c r="AF4">
        <f t="shared" si="0"/>
        <v>0</v>
      </c>
      <c r="AG4">
        <f t="shared" si="0"/>
        <v>0</v>
      </c>
      <c r="AH4">
        <f t="shared" si="0"/>
        <v>0</v>
      </c>
      <c r="AI4">
        <f t="shared" si="0"/>
        <v>0</v>
      </c>
      <c r="AJ4">
        <f t="shared" si="0"/>
        <v>0</v>
      </c>
      <c r="AK4">
        <f t="shared" si="0"/>
        <v>0</v>
      </c>
      <c r="AL4">
        <f t="shared" si="0"/>
        <v>0</v>
      </c>
      <c r="AM4">
        <f t="shared" si="0"/>
        <v>0</v>
      </c>
      <c r="AN4">
        <f t="shared" si="0"/>
        <v>0</v>
      </c>
      <c r="AO4">
        <f t="shared" si="0"/>
        <v>0</v>
      </c>
      <c r="AP4">
        <f t="shared" si="0"/>
        <v>0</v>
      </c>
      <c r="AQ4">
        <f t="shared" si="0"/>
        <v>0</v>
      </c>
      <c r="AR4">
        <f t="shared" si="0"/>
        <v>0</v>
      </c>
      <c r="AS4">
        <f t="shared" si="0"/>
        <v>0</v>
      </c>
      <c r="AT4">
        <f t="shared" si="0"/>
        <v>0</v>
      </c>
      <c r="AU4">
        <f t="shared" si="0"/>
        <v>0</v>
      </c>
      <c r="AV4">
        <f t="shared" si="0"/>
        <v>0</v>
      </c>
      <c r="AW4">
        <f t="shared" si="0"/>
        <v>0</v>
      </c>
      <c r="AX4">
        <f t="shared" si="0"/>
        <v>0</v>
      </c>
      <c r="AY4">
        <f t="shared" si="0"/>
        <v>0</v>
      </c>
      <c r="AZ4">
        <f t="shared" si="0"/>
        <v>0</v>
      </c>
      <c r="BA4">
        <f t="shared" si="0"/>
        <v>0</v>
      </c>
      <c r="BB4">
        <f t="shared" si="0"/>
        <v>0</v>
      </c>
      <c r="BC4">
        <f t="shared" si="0"/>
        <v>0</v>
      </c>
      <c r="BD4">
        <f t="shared" si="0"/>
        <v>0</v>
      </c>
      <c r="BE4">
        <f t="shared" si="0"/>
        <v>0</v>
      </c>
      <c r="BF4">
        <f t="shared" si="0"/>
        <v>0</v>
      </c>
      <c r="BG4">
        <f t="shared" si="0"/>
        <v>0</v>
      </c>
      <c r="BH4">
        <f t="shared" si="0"/>
        <v>0</v>
      </c>
      <c r="BI4">
        <f t="shared" si="0"/>
        <v>0</v>
      </c>
      <c r="BJ4">
        <f t="shared" si="0"/>
        <v>0</v>
      </c>
      <c r="BK4">
        <f t="shared" si="0"/>
        <v>0</v>
      </c>
      <c r="BL4">
        <f t="shared" si="0"/>
        <v>0</v>
      </c>
      <c r="BM4">
        <f t="shared" si="0"/>
        <v>0</v>
      </c>
      <c r="BN4">
        <f t="shared" si="0"/>
        <v>0</v>
      </c>
      <c r="BO4">
        <f t="shared" si="0"/>
        <v>0</v>
      </c>
      <c r="BP4">
        <f t="shared" si="0"/>
        <v>0</v>
      </c>
      <c r="BQ4">
        <f t="shared" ref="BQ4:EB4" si="1">IF($B$5=BQ5,1,IF(BP4&gt;=1,BP4+1,0))</f>
        <v>0</v>
      </c>
      <c r="BR4">
        <f t="shared" si="1"/>
        <v>0</v>
      </c>
      <c r="BS4">
        <f t="shared" si="1"/>
        <v>0</v>
      </c>
      <c r="BT4">
        <f t="shared" si="1"/>
        <v>0</v>
      </c>
      <c r="BU4">
        <f t="shared" si="1"/>
        <v>0</v>
      </c>
      <c r="BV4">
        <f t="shared" si="1"/>
        <v>0</v>
      </c>
      <c r="BW4">
        <f t="shared" si="1"/>
        <v>0</v>
      </c>
      <c r="BX4">
        <f t="shared" si="1"/>
        <v>0</v>
      </c>
      <c r="BY4">
        <f t="shared" si="1"/>
        <v>0</v>
      </c>
      <c r="BZ4">
        <f t="shared" si="1"/>
        <v>0</v>
      </c>
      <c r="CA4">
        <f t="shared" si="1"/>
        <v>0</v>
      </c>
      <c r="CB4">
        <f t="shared" si="1"/>
        <v>0</v>
      </c>
      <c r="CC4">
        <f t="shared" si="1"/>
        <v>0</v>
      </c>
      <c r="CD4">
        <f t="shared" si="1"/>
        <v>0</v>
      </c>
      <c r="CE4">
        <f t="shared" si="1"/>
        <v>0</v>
      </c>
      <c r="CF4">
        <f t="shared" si="1"/>
        <v>0</v>
      </c>
      <c r="CG4">
        <f t="shared" si="1"/>
        <v>0</v>
      </c>
      <c r="CH4">
        <f t="shared" si="1"/>
        <v>0</v>
      </c>
      <c r="CI4">
        <f t="shared" si="1"/>
        <v>0</v>
      </c>
      <c r="CJ4">
        <f t="shared" si="1"/>
        <v>0</v>
      </c>
      <c r="CK4">
        <f t="shared" si="1"/>
        <v>0</v>
      </c>
      <c r="CL4">
        <f t="shared" si="1"/>
        <v>0</v>
      </c>
      <c r="CM4">
        <f t="shared" si="1"/>
        <v>0</v>
      </c>
      <c r="CN4">
        <f t="shared" si="1"/>
        <v>0</v>
      </c>
      <c r="CO4">
        <f t="shared" si="1"/>
        <v>0</v>
      </c>
      <c r="CP4">
        <f t="shared" si="1"/>
        <v>0</v>
      </c>
      <c r="CQ4">
        <f t="shared" si="1"/>
        <v>0</v>
      </c>
      <c r="CR4">
        <f t="shared" si="1"/>
        <v>0</v>
      </c>
      <c r="CS4">
        <f t="shared" si="1"/>
        <v>0</v>
      </c>
      <c r="CT4">
        <f t="shared" si="1"/>
        <v>0</v>
      </c>
      <c r="CU4">
        <f t="shared" si="1"/>
        <v>0</v>
      </c>
      <c r="CV4">
        <f t="shared" si="1"/>
        <v>0</v>
      </c>
      <c r="CW4">
        <f t="shared" si="1"/>
        <v>0</v>
      </c>
      <c r="CX4">
        <f t="shared" si="1"/>
        <v>0</v>
      </c>
      <c r="CY4">
        <f t="shared" si="1"/>
        <v>0</v>
      </c>
      <c r="CZ4">
        <f t="shared" si="1"/>
        <v>0</v>
      </c>
      <c r="DA4">
        <f t="shared" si="1"/>
        <v>0</v>
      </c>
      <c r="DB4">
        <f t="shared" si="1"/>
        <v>0</v>
      </c>
      <c r="DC4">
        <f t="shared" si="1"/>
        <v>0</v>
      </c>
      <c r="DD4">
        <f t="shared" si="1"/>
        <v>0</v>
      </c>
      <c r="DE4">
        <f t="shared" si="1"/>
        <v>0</v>
      </c>
      <c r="DF4">
        <f t="shared" si="1"/>
        <v>0</v>
      </c>
      <c r="DG4">
        <f t="shared" si="1"/>
        <v>0</v>
      </c>
      <c r="DH4">
        <f t="shared" si="1"/>
        <v>0</v>
      </c>
      <c r="DI4">
        <f t="shared" si="1"/>
        <v>0</v>
      </c>
      <c r="DJ4">
        <f t="shared" si="1"/>
        <v>0</v>
      </c>
      <c r="DK4">
        <f t="shared" si="1"/>
        <v>0</v>
      </c>
      <c r="DL4">
        <f t="shared" si="1"/>
        <v>0</v>
      </c>
      <c r="DM4">
        <f t="shared" si="1"/>
        <v>0</v>
      </c>
      <c r="DN4">
        <f t="shared" si="1"/>
        <v>0</v>
      </c>
      <c r="DO4">
        <f t="shared" si="1"/>
        <v>0</v>
      </c>
      <c r="DP4">
        <f t="shared" si="1"/>
        <v>0</v>
      </c>
      <c r="DQ4">
        <f t="shared" si="1"/>
        <v>0</v>
      </c>
      <c r="DR4">
        <f t="shared" si="1"/>
        <v>0</v>
      </c>
      <c r="DS4">
        <f t="shared" si="1"/>
        <v>0</v>
      </c>
      <c r="DT4">
        <f t="shared" si="1"/>
        <v>0</v>
      </c>
      <c r="DU4">
        <f t="shared" si="1"/>
        <v>0</v>
      </c>
      <c r="DV4">
        <f t="shared" si="1"/>
        <v>0</v>
      </c>
      <c r="DW4">
        <f t="shared" si="1"/>
        <v>0</v>
      </c>
      <c r="DX4">
        <f t="shared" si="1"/>
        <v>0</v>
      </c>
      <c r="DY4">
        <f t="shared" si="1"/>
        <v>0</v>
      </c>
      <c r="DZ4">
        <f t="shared" si="1"/>
        <v>0</v>
      </c>
      <c r="EA4">
        <f t="shared" si="1"/>
        <v>0</v>
      </c>
      <c r="EB4">
        <f t="shared" si="1"/>
        <v>0</v>
      </c>
      <c r="EC4">
        <f t="shared" ref="EC4:GN4" si="2">IF($B$5=EC5,1,IF(EB4&gt;=1,EB4+1,0))</f>
        <v>0</v>
      </c>
      <c r="ED4">
        <f t="shared" si="2"/>
        <v>0</v>
      </c>
      <c r="EE4">
        <f t="shared" si="2"/>
        <v>0</v>
      </c>
      <c r="EF4">
        <f t="shared" si="2"/>
        <v>0</v>
      </c>
      <c r="EG4">
        <f t="shared" si="2"/>
        <v>0</v>
      </c>
      <c r="EH4">
        <f t="shared" si="2"/>
        <v>0</v>
      </c>
      <c r="EI4">
        <f t="shared" si="2"/>
        <v>0</v>
      </c>
      <c r="EJ4">
        <f t="shared" si="2"/>
        <v>0</v>
      </c>
      <c r="EK4">
        <f t="shared" si="2"/>
        <v>0</v>
      </c>
      <c r="EL4">
        <f t="shared" si="2"/>
        <v>0</v>
      </c>
      <c r="EM4">
        <f t="shared" si="2"/>
        <v>0</v>
      </c>
      <c r="EN4">
        <f t="shared" si="2"/>
        <v>0</v>
      </c>
      <c r="EO4">
        <f t="shared" si="2"/>
        <v>0</v>
      </c>
      <c r="EP4">
        <f t="shared" si="2"/>
        <v>0</v>
      </c>
      <c r="EQ4">
        <f t="shared" si="2"/>
        <v>0</v>
      </c>
      <c r="ER4">
        <f t="shared" si="2"/>
        <v>0</v>
      </c>
      <c r="ES4">
        <f t="shared" si="2"/>
        <v>0</v>
      </c>
      <c r="ET4">
        <f t="shared" si="2"/>
        <v>0</v>
      </c>
      <c r="EU4">
        <f t="shared" si="2"/>
        <v>0</v>
      </c>
      <c r="EV4">
        <f t="shared" si="2"/>
        <v>0</v>
      </c>
      <c r="EW4">
        <f t="shared" si="2"/>
        <v>0</v>
      </c>
      <c r="EX4">
        <f t="shared" si="2"/>
        <v>0</v>
      </c>
      <c r="EY4">
        <f t="shared" si="2"/>
        <v>0</v>
      </c>
      <c r="EZ4">
        <f t="shared" si="2"/>
        <v>0</v>
      </c>
      <c r="FA4">
        <f t="shared" si="2"/>
        <v>0</v>
      </c>
      <c r="FB4">
        <f t="shared" si="2"/>
        <v>0</v>
      </c>
      <c r="FC4">
        <f t="shared" si="2"/>
        <v>0</v>
      </c>
      <c r="FD4">
        <f t="shared" si="2"/>
        <v>0</v>
      </c>
      <c r="FE4">
        <f t="shared" si="2"/>
        <v>0</v>
      </c>
      <c r="FF4">
        <f t="shared" si="2"/>
        <v>0</v>
      </c>
      <c r="FG4">
        <f t="shared" si="2"/>
        <v>0</v>
      </c>
      <c r="FH4">
        <f t="shared" si="2"/>
        <v>0</v>
      </c>
      <c r="FI4">
        <f t="shared" si="2"/>
        <v>0</v>
      </c>
      <c r="FJ4">
        <f t="shared" si="2"/>
        <v>0</v>
      </c>
      <c r="FK4">
        <f t="shared" si="2"/>
        <v>0</v>
      </c>
      <c r="FL4">
        <f t="shared" si="2"/>
        <v>0</v>
      </c>
      <c r="FM4">
        <f t="shared" si="2"/>
        <v>0</v>
      </c>
      <c r="FN4">
        <f t="shared" si="2"/>
        <v>0</v>
      </c>
      <c r="FO4">
        <f t="shared" si="2"/>
        <v>0</v>
      </c>
      <c r="FP4">
        <f t="shared" si="2"/>
        <v>0</v>
      </c>
      <c r="FQ4">
        <f t="shared" si="2"/>
        <v>0</v>
      </c>
      <c r="FR4">
        <f t="shared" si="2"/>
        <v>0</v>
      </c>
      <c r="FS4">
        <f t="shared" si="2"/>
        <v>0</v>
      </c>
      <c r="FT4">
        <f t="shared" si="2"/>
        <v>0</v>
      </c>
      <c r="FU4">
        <f t="shared" si="2"/>
        <v>0</v>
      </c>
      <c r="FV4">
        <f t="shared" si="2"/>
        <v>0</v>
      </c>
      <c r="FW4">
        <f t="shared" si="2"/>
        <v>0</v>
      </c>
      <c r="FX4">
        <f t="shared" si="2"/>
        <v>0</v>
      </c>
      <c r="FY4">
        <f t="shared" si="2"/>
        <v>0</v>
      </c>
      <c r="FZ4">
        <f t="shared" si="2"/>
        <v>0</v>
      </c>
      <c r="GA4">
        <f t="shared" si="2"/>
        <v>0</v>
      </c>
      <c r="GB4">
        <f t="shared" si="2"/>
        <v>0</v>
      </c>
      <c r="GC4">
        <f t="shared" si="2"/>
        <v>0</v>
      </c>
      <c r="GD4">
        <f t="shared" si="2"/>
        <v>0</v>
      </c>
      <c r="GE4">
        <f t="shared" si="2"/>
        <v>0</v>
      </c>
      <c r="GF4">
        <f t="shared" si="2"/>
        <v>0</v>
      </c>
      <c r="GG4">
        <f t="shared" si="2"/>
        <v>0</v>
      </c>
      <c r="GH4">
        <f t="shared" si="2"/>
        <v>0</v>
      </c>
      <c r="GI4">
        <f t="shared" si="2"/>
        <v>0</v>
      </c>
      <c r="GJ4">
        <f t="shared" si="2"/>
        <v>0</v>
      </c>
      <c r="GK4">
        <f t="shared" si="2"/>
        <v>0</v>
      </c>
      <c r="GL4">
        <f t="shared" si="2"/>
        <v>0</v>
      </c>
      <c r="GM4">
        <f t="shared" si="2"/>
        <v>0</v>
      </c>
      <c r="GN4">
        <f t="shared" si="2"/>
        <v>0</v>
      </c>
      <c r="GO4">
        <f t="shared" ref="GO4:IZ4" si="3">IF($B$5=GO5,1,IF(GN4&gt;=1,GN4+1,0))</f>
        <v>0</v>
      </c>
      <c r="GP4">
        <f t="shared" si="3"/>
        <v>0</v>
      </c>
      <c r="GQ4">
        <f t="shared" si="3"/>
        <v>0</v>
      </c>
      <c r="GR4">
        <f t="shared" si="3"/>
        <v>0</v>
      </c>
      <c r="GS4">
        <f t="shared" si="3"/>
        <v>0</v>
      </c>
      <c r="GT4">
        <f t="shared" si="3"/>
        <v>0</v>
      </c>
      <c r="GU4">
        <f t="shared" si="3"/>
        <v>0</v>
      </c>
      <c r="GV4">
        <f t="shared" si="3"/>
        <v>0</v>
      </c>
      <c r="GW4">
        <f t="shared" si="3"/>
        <v>0</v>
      </c>
      <c r="GX4">
        <f t="shared" si="3"/>
        <v>0</v>
      </c>
      <c r="GY4">
        <f t="shared" si="3"/>
        <v>0</v>
      </c>
      <c r="GZ4">
        <f t="shared" si="3"/>
        <v>0</v>
      </c>
      <c r="HA4">
        <f t="shared" si="3"/>
        <v>0</v>
      </c>
      <c r="HB4">
        <f t="shared" si="3"/>
        <v>0</v>
      </c>
      <c r="HC4">
        <f t="shared" si="3"/>
        <v>0</v>
      </c>
      <c r="HD4">
        <f t="shared" si="3"/>
        <v>0</v>
      </c>
      <c r="HE4">
        <f t="shared" si="3"/>
        <v>0</v>
      </c>
      <c r="HF4">
        <f t="shared" si="3"/>
        <v>0</v>
      </c>
      <c r="HG4">
        <f t="shared" si="3"/>
        <v>0</v>
      </c>
      <c r="HH4">
        <f t="shared" si="3"/>
        <v>0</v>
      </c>
      <c r="HI4">
        <f t="shared" si="3"/>
        <v>0</v>
      </c>
      <c r="HJ4">
        <f t="shared" si="3"/>
        <v>0</v>
      </c>
      <c r="HK4">
        <f t="shared" si="3"/>
        <v>0</v>
      </c>
      <c r="HL4">
        <f t="shared" si="3"/>
        <v>0</v>
      </c>
      <c r="HM4">
        <f t="shared" si="3"/>
        <v>0</v>
      </c>
      <c r="HN4">
        <f t="shared" si="3"/>
        <v>0</v>
      </c>
      <c r="HO4">
        <f t="shared" si="3"/>
        <v>0</v>
      </c>
      <c r="HP4">
        <f t="shared" si="3"/>
        <v>0</v>
      </c>
      <c r="HQ4">
        <f t="shared" si="3"/>
        <v>0</v>
      </c>
      <c r="HR4">
        <f t="shared" si="3"/>
        <v>0</v>
      </c>
      <c r="HS4">
        <f t="shared" si="3"/>
        <v>0</v>
      </c>
      <c r="HT4">
        <f t="shared" si="3"/>
        <v>0</v>
      </c>
      <c r="HU4">
        <f t="shared" si="3"/>
        <v>0</v>
      </c>
      <c r="HV4">
        <f t="shared" si="3"/>
        <v>0</v>
      </c>
      <c r="HW4">
        <f t="shared" si="3"/>
        <v>0</v>
      </c>
      <c r="HX4">
        <f t="shared" si="3"/>
        <v>0</v>
      </c>
      <c r="HY4">
        <f t="shared" si="3"/>
        <v>0</v>
      </c>
      <c r="HZ4">
        <f t="shared" si="3"/>
        <v>0</v>
      </c>
      <c r="IA4">
        <f t="shared" si="3"/>
        <v>0</v>
      </c>
      <c r="IB4">
        <f t="shared" si="3"/>
        <v>0</v>
      </c>
      <c r="IC4">
        <f t="shared" si="3"/>
        <v>0</v>
      </c>
      <c r="ID4">
        <f t="shared" si="3"/>
        <v>0</v>
      </c>
      <c r="IE4">
        <f t="shared" si="3"/>
        <v>0</v>
      </c>
      <c r="IF4">
        <f t="shared" si="3"/>
        <v>0</v>
      </c>
      <c r="IG4">
        <f t="shared" si="3"/>
        <v>0</v>
      </c>
      <c r="IH4">
        <f t="shared" si="3"/>
        <v>0</v>
      </c>
      <c r="II4">
        <f t="shared" si="3"/>
        <v>0</v>
      </c>
      <c r="IJ4">
        <f t="shared" si="3"/>
        <v>0</v>
      </c>
      <c r="IK4">
        <f t="shared" si="3"/>
        <v>0</v>
      </c>
      <c r="IL4">
        <f t="shared" si="3"/>
        <v>0</v>
      </c>
      <c r="IM4">
        <f t="shared" si="3"/>
        <v>0</v>
      </c>
      <c r="IN4">
        <f t="shared" si="3"/>
        <v>0</v>
      </c>
      <c r="IO4">
        <f t="shared" si="3"/>
        <v>0</v>
      </c>
      <c r="IP4">
        <f t="shared" si="3"/>
        <v>0</v>
      </c>
      <c r="IQ4">
        <f t="shared" si="3"/>
        <v>0</v>
      </c>
      <c r="IR4">
        <f t="shared" si="3"/>
        <v>0</v>
      </c>
      <c r="IS4">
        <f t="shared" si="3"/>
        <v>0</v>
      </c>
      <c r="IT4">
        <f t="shared" si="3"/>
        <v>0</v>
      </c>
      <c r="IU4">
        <f t="shared" si="3"/>
        <v>0</v>
      </c>
      <c r="IV4">
        <f t="shared" si="3"/>
        <v>0</v>
      </c>
      <c r="IW4">
        <f t="shared" si="3"/>
        <v>0</v>
      </c>
      <c r="IX4">
        <f t="shared" si="3"/>
        <v>0</v>
      </c>
      <c r="IY4">
        <f t="shared" si="3"/>
        <v>0</v>
      </c>
      <c r="IZ4">
        <f t="shared" si="3"/>
        <v>0</v>
      </c>
      <c r="JA4">
        <f t="shared" ref="JA4:LL4" si="4">IF($B$5=JA5,1,IF(IZ4&gt;=1,IZ4+1,0))</f>
        <v>0</v>
      </c>
      <c r="JB4">
        <f t="shared" si="4"/>
        <v>0</v>
      </c>
      <c r="JC4">
        <f t="shared" si="4"/>
        <v>0</v>
      </c>
      <c r="JD4">
        <f t="shared" si="4"/>
        <v>0</v>
      </c>
      <c r="JE4">
        <f t="shared" si="4"/>
        <v>0</v>
      </c>
      <c r="JF4">
        <f t="shared" si="4"/>
        <v>0</v>
      </c>
      <c r="JG4">
        <f t="shared" si="4"/>
        <v>0</v>
      </c>
      <c r="JH4">
        <f t="shared" si="4"/>
        <v>0</v>
      </c>
      <c r="JI4">
        <f t="shared" si="4"/>
        <v>0</v>
      </c>
      <c r="JJ4">
        <f t="shared" si="4"/>
        <v>0</v>
      </c>
      <c r="JK4">
        <f t="shared" si="4"/>
        <v>0</v>
      </c>
      <c r="JL4">
        <f t="shared" si="4"/>
        <v>0</v>
      </c>
      <c r="JM4">
        <f t="shared" si="4"/>
        <v>0</v>
      </c>
      <c r="JN4">
        <f t="shared" si="4"/>
        <v>0</v>
      </c>
      <c r="JO4">
        <f t="shared" si="4"/>
        <v>0</v>
      </c>
      <c r="JP4">
        <f t="shared" si="4"/>
        <v>0</v>
      </c>
      <c r="JQ4">
        <f t="shared" si="4"/>
        <v>0</v>
      </c>
      <c r="JR4">
        <f t="shared" si="4"/>
        <v>0</v>
      </c>
      <c r="JS4">
        <f t="shared" si="4"/>
        <v>0</v>
      </c>
      <c r="JT4">
        <f t="shared" si="4"/>
        <v>0</v>
      </c>
      <c r="JU4">
        <f t="shared" si="4"/>
        <v>0</v>
      </c>
      <c r="JV4">
        <f t="shared" si="4"/>
        <v>0</v>
      </c>
      <c r="JW4">
        <f t="shared" si="4"/>
        <v>0</v>
      </c>
      <c r="JX4">
        <f t="shared" si="4"/>
        <v>0</v>
      </c>
      <c r="JY4">
        <f t="shared" si="4"/>
        <v>0</v>
      </c>
      <c r="JZ4">
        <f t="shared" si="4"/>
        <v>0</v>
      </c>
      <c r="KA4">
        <f t="shared" si="4"/>
        <v>0</v>
      </c>
      <c r="KB4">
        <f t="shared" si="4"/>
        <v>0</v>
      </c>
      <c r="KC4">
        <f t="shared" si="4"/>
        <v>0</v>
      </c>
      <c r="KD4">
        <f t="shared" si="4"/>
        <v>0</v>
      </c>
      <c r="KE4">
        <f t="shared" si="4"/>
        <v>0</v>
      </c>
      <c r="KF4">
        <f t="shared" si="4"/>
        <v>0</v>
      </c>
      <c r="KG4">
        <f t="shared" si="4"/>
        <v>0</v>
      </c>
      <c r="KH4">
        <f t="shared" si="4"/>
        <v>0</v>
      </c>
      <c r="KI4">
        <f t="shared" si="4"/>
        <v>0</v>
      </c>
      <c r="KJ4">
        <f t="shared" si="4"/>
        <v>0</v>
      </c>
      <c r="KK4">
        <f t="shared" si="4"/>
        <v>0</v>
      </c>
      <c r="KL4">
        <f t="shared" si="4"/>
        <v>0</v>
      </c>
      <c r="KM4">
        <f t="shared" si="4"/>
        <v>0</v>
      </c>
      <c r="KN4">
        <f t="shared" si="4"/>
        <v>0</v>
      </c>
      <c r="KO4">
        <f t="shared" si="4"/>
        <v>0</v>
      </c>
      <c r="KP4">
        <f t="shared" si="4"/>
        <v>0</v>
      </c>
      <c r="KQ4">
        <f t="shared" si="4"/>
        <v>0</v>
      </c>
      <c r="KR4">
        <f t="shared" si="4"/>
        <v>0</v>
      </c>
      <c r="KS4">
        <f t="shared" si="4"/>
        <v>0</v>
      </c>
      <c r="KT4">
        <f t="shared" si="4"/>
        <v>0</v>
      </c>
      <c r="KU4">
        <f t="shared" si="4"/>
        <v>0</v>
      </c>
      <c r="KV4">
        <f t="shared" si="4"/>
        <v>0</v>
      </c>
      <c r="KW4">
        <f t="shared" si="4"/>
        <v>0</v>
      </c>
      <c r="KX4">
        <f t="shared" si="4"/>
        <v>0</v>
      </c>
      <c r="KY4">
        <f t="shared" si="4"/>
        <v>0</v>
      </c>
      <c r="KZ4">
        <f t="shared" si="4"/>
        <v>0</v>
      </c>
      <c r="LA4">
        <f t="shared" si="4"/>
        <v>0</v>
      </c>
      <c r="LB4">
        <f t="shared" si="4"/>
        <v>0</v>
      </c>
      <c r="LC4">
        <f t="shared" si="4"/>
        <v>0</v>
      </c>
      <c r="LD4">
        <f t="shared" si="4"/>
        <v>0</v>
      </c>
      <c r="LE4">
        <f t="shared" si="4"/>
        <v>0</v>
      </c>
      <c r="LF4">
        <f t="shared" si="4"/>
        <v>0</v>
      </c>
      <c r="LG4">
        <f t="shared" si="4"/>
        <v>0</v>
      </c>
      <c r="LH4">
        <f t="shared" si="4"/>
        <v>0</v>
      </c>
      <c r="LI4">
        <f t="shared" si="4"/>
        <v>0</v>
      </c>
      <c r="LJ4">
        <f t="shared" si="4"/>
        <v>0</v>
      </c>
      <c r="LK4">
        <f t="shared" si="4"/>
        <v>0</v>
      </c>
      <c r="LL4">
        <f t="shared" si="4"/>
        <v>0</v>
      </c>
      <c r="LM4">
        <f t="shared" ref="LM4:NX4" si="5">IF($B$5=LM5,1,IF(LL4&gt;=1,LL4+1,0))</f>
        <v>0</v>
      </c>
      <c r="LN4">
        <f t="shared" si="5"/>
        <v>0</v>
      </c>
      <c r="LO4">
        <f t="shared" si="5"/>
        <v>0</v>
      </c>
      <c r="LP4">
        <f t="shared" si="5"/>
        <v>0</v>
      </c>
      <c r="LQ4">
        <f t="shared" si="5"/>
        <v>0</v>
      </c>
      <c r="LR4">
        <f t="shared" si="5"/>
        <v>0</v>
      </c>
      <c r="LS4">
        <f t="shared" si="5"/>
        <v>0</v>
      </c>
      <c r="LT4">
        <f t="shared" si="5"/>
        <v>0</v>
      </c>
      <c r="LU4">
        <f t="shared" si="5"/>
        <v>0</v>
      </c>
      <c r="LV4">
        <f t="shared" si="5"/>
        <v>0</v>
      </c>
      <c r="LW4">
        <f t="shared" si="5"/>
        <v>0</v>
      </c>
      <c r="LX4">
        <f t="shared" si="5"/>
        <v>0</v>
      </c>
      <c r="LY4">
        <f t="shared" si="5"/>
        <v>0</v>
      </c>
      <c r="LZ4">
        <f t="shared" si="5"/>
        <v>0</v>
      </c>
      <c r="MA4">
        <f t="shared" si="5"/>
        <v>0</v>
      </c>
      <c r="MB4">
        <f t="shared" si="5"/>
        <v>0</v>
      </c>
      <c r="MC4">
        <f t="shared" si="5"/>
        <v>0</v>
      </c>
      <c r="MD4">
        <f t="shared" si="5"/>
        <v>0</v>
      </c>
      <c r="ME4">
        <f t="shared" si="5"/>
        <v>0</v>
      </c>
      <c r="MF4">
        <f t="shared" si="5"/>
        <v>0</v>
      </c>
      <c r="MG4">
        <f t="shared" si="5"/>
        <v>0</v>
      </c>
      <c r="MH4">
        <f t="shared" si="5"/>
        <v>0</v>
      </c>
      <c r="MI4">
        <f t="shared" si="5"/>
        <v>0</v>
      </c>
      <c r="MJ4">
        <f t="shared" si="5"/>
        <v>0</v>
      </c>
      <c r="MK4">
        <f t="shared" si="5"/>
        <v>0</v>
      </c>
      <c r="ML4">
        <f t="shared" si="5"/>
        <v>0</v>
      </c>
      <c r="MM4">
        <f t="shared" si="5"/>
        <v>0</v>
      </c>
      <c r="MN4">
        <f t="shared" si="5"/>
        <v>0</v>
      </c>
      <c r="MO4">
        <f t="shared" si="5"/>
        <v>0</v>
      </c>
      <c r="MP4">
        <f t="shared" si="5"/>
        <v>0</v>
      </c>
      <c r="MQ4">
        <f t="shared" si="5"/>
        <v>0</v>
      </c>
      <c r="MR4">
        <f t="shared" si="5"/>
        <v>0</v>
      </c>
      <c r="MS4">
        <f t="shared" si="5"/>
        <v>0</v>
      </c>
      <c r="MT4">
        <f t="shared" si="5"/>
        <v>0</v>
      </c>
      <c r="MU4">
        <f t="shared" si="5"/>
        <v>0</v>
      </c>
      <c r="MV4">
        <f t="shared" si="5"/>
        <v>0</v>
      </c>
      <c r="MW4">
        <f t="shared" si="5"/>
        <v>0</v>
      </c>
      <c r="MX4">
        <f t="shared" si="5"/>
        <v>0</v>
      </c>
      <c r="MY4">
        <f t="shared" si="5"/>
        <v>0</v>
      </c>
      <c r="MZ4">
        <f t="shared" si="5"/>
        <v>0</v>
      </c>
      <c r="NA4">
        <f t="shared" si="5"/>
        <v>0</v>
      </c>
      <c r="NB4">
        <f t="shared" si="5"/>
        <v>0</v>
      </c>
      <c r="NC4">
        <f t="shared" si="5"/>
        <v>0</v>
      </c>
      <c r="ND4">
        <f t="shared" si="5"/>
        <v>0</v>
      </c>
      <c r="NE4">
        <f t="shared" si="5"/>
        <v>0</v>
      </c>
      <c r="NF4">
        <f t="shared" si="5"/>
        <v>0</v>
      </c>
      <c r="NG4">
        <f t="shared" si="5"/>
        <v>0</v>
      </c>
      <c r="NH4">
        <f t="shared" si="5"/>
        <v>0</v>
      </c>
      <c r="NI4">
        <f t="shared" si="5"/>
        <v>0</v>
      </c>
      <c r="NJ4">
        <f t="shared" si="5"/>
        <v>0</v>
      </c>
      <c r="NK4">
        <f t="shared" si="5"/>
        <v>0</v>
      </c>
      <c r="NL4">
        <f t="shared" si="5"/>
        <v>0</v>
      </c>
      <c r="NM4">
        <f t="shared" si="5"/>
        <v>0</v>
      </c>
      <c r="NN4">
        <f t="shared" si="5"/>
        <v>0</v>
      </c>
      <c r="NO4">
        <f t="shared" si="5"/>
        <v>0</v>
      </c>
      <c r="NP4">
        <f t="shared" si="5"/>
        <v>0</v>
      </c>
      <c r="NQ4">
        <f t="shared" si="5"/>
        <v>0</v>
      </c>
      <c r="NR4">
        <f t="shared" si="5"/>
        <v>0</v>
      </c>
      <c r="NS4">
        <f t="shared" si="5"/>
        <v>0</v>
      </c>
      <c r="NT4">
        <f t="shared" si="5"/>
        <v>0</v>
      </c>
      <c r="NU4">
        <f t="shared" si="5"/>
        <v>0</v>
      </c>
      <c r="NV4">
        <f t="shared" si="5"/>
        <v>0</v>
      </c>
      <c r="NW4">
        <f t="shared" si="5"/>
        <v>0</v>
      </c>
      <c r="NX4">
        <f t="shared" si="5"/>
        <v>0</v>
      </c>
      <c r="NY4">
        <f t="shared" ref="NY4:QJ4" si="6">IF($B$5=NY5,1,IF(NX4&gt;=1,NX4+1,0))</f>
        <v>0</v>
      </c>
      <c r="NZ4">
        <f t="shared" si="6"/>
        <v>0</v>
      </c>
      <c r="OA4">
        <f t="shared" si="6"/>
        <v>0</v>
      </c>
      <c r="OB4">
        <f t="shared" si="6"/>
        <v>0</v>
      </c>
      <c r="OC4">
        <f t="shared" si="6"/>
        <v>0</v>
      </c>
      <c r="OD4">
        <f t="shared" si="6"/>
        <v>0</v>
      </c>
      <c r="OE4">
        <f t="shared" si="6"/>
        <v>0</v>
      </c>
      <c r="OF4">
        <f t="shared" si="6"/>
        <v>0</v>
      </c>
      <c r="OG4">
        <f t="shared" si="6"/>
        <v>0</v>
      </c>
      <c r="OH4">
        <f t="shared" si="6"/>
        <v>0</v>
      </c>
      <c r="OI4">
        <f t="shared" si="6"/>
        <v>0</v>
      </c>
      <c r="OJ4">
        <f t="shared" si="6"/>
        <v>0</v>
      </c>
      <c r="OK4">
        <f t="shared" si="6"/>
        <v>0</v>
      </c>
      <c r="OL4">
        <f t="shared" si="6"/>
        <v>0</v>
      </c>
      <c r="OM4">
        <f t="shared" si="6"/>
        <v>0</v>
      </c>
      <c r="ON4">
        <f t="shared" si="6"/>
        <v>0</v>
      </c>
      <c r="OO4">
        <f t="shared" si="6"/>
        <v>0</v>
      </c>
      <c r="OP4">
        <f t="shared" si="6"/>
        <v>0</v>
      </c>
      <c r="OQ4">
        <f t="shared" si="6"/>
        <v>0</v>
      </c>
      <c r="OR4">
        <f t="shared" si="6"/>
        <v>0</v>
      </c>
      <c r="OS4">
        <f t="shared" si="6"/>
        <v>0</v>
      </c>
      <c r="OT4">
        <f t="shared" si="6"/>
        <v>0</v>
      </c>
      <c r="OU4">
        <f t="shared" si="6"/>
        <v>0</v>
      </c>
      <c r="OV4">
        <f t="shared" si="6"/>
        <v>0</v>
      </c>
      <c r="OW4">
        <f t="shared" si="6"/>
        <v>0</v>
      </c>
      <c r="OX4">
        <f t="shared" si="6"/>
        <v>0</v>
      </c>
      <c r="OY4">
        <f t="shared" si="6"/>
        <v>0</v>
      </c>
      <c r="OZ4">
        <f t="shared" si="6"/>
        <v>0</v>
      </c>
      <c r="PA4">
        <f t="shared" si="6"/>
        <v>0</v>
      </c>
      <c r="PB4">
        <f t="shared" si="6"/>
        <v>0</v>
      </c>
      <c r="PC4">
        <f t="shared" si="6"/>
        <v>0</v>
      </c>
      <c r="PD4">
        <f t="shared" si="6"/>
        <v>0</v>
      </c>
      <c r="PE4">
        <f t="shared" si="6"/>
        <v>0</v>
      </c>
      <c r="PF4">
        <f t="shared" si="6"/>
        <v>0</v>
      </c>
      <c r="PG4">
        <f t="shared" si="6"/>
        <v>0</v>
      </c>
      <c r="PH4">
        <f t="shared" si="6"/>
        <v>0</v>
      </c>
      <c r="PI4">
        <f t="shared" si="6"/>
        <v>0</v>
      </c>
      <c r="PJ4">
        <f t="shared" si="6"/>
        <v>0</v>
      </c>
      <c r="PK4">
        <f t="shared" si="6"/>
        <v>0</v>
      </c>
      <c r="PL4">
        <f t="shared" si="6"/>
        <v>0</v>
      </c>
      <c r="PM4">
        <f t="shared" si="6"/>
        <v>0</v>
      </c>
      <c r="PN4">
        <f t="shared" si="6"/>
        <v>0</v>
      </c>
      <c r="PO4">
        <f t="shared" si="6"/>
        <v>0</v>
      </c>
      <c r="PP4">
        <f t="shared" si="6"/>
        <v>0</v>
      </c>
      <c r="PQ4">
        <f t="shared" si="6"/>
        <v>0</v>
      </c>
      <c r="PR4">
        <f t="shared" si="6"/>
        <v>0</v>
      </c>
      <c r="PS4">
        <f t="shared" si="6"/>
        <v>0</v>
      </c>
      <c r="PT4">
        <f t="shared" si="6"/>
        <v>0</v>
      </c>
      <c r="PU4">
        <f t="shared" si="6"/>
        <v>0</v>
      </c>
      <c r="PV4">
        <f t="shared" si="6"/>
        <v>0</v>
      </c>
      <c r="PW4">
        <f t="shared" si="6"/>
        <v>0</v>
      </c>
      <c r="PX4">
        <f t="shared" si="6"/>
        <v>0</v>
      </c>
      <c r="PY4">
        <f t="shared" si="6"/>
        <v>0</v>
      </c>
      <c r="PZ4">
        <f t="shared" si="6"/>
        <v>0</v>
      </c>
      <c r="QA4">
        <f t="shared" si="6"/>
        <v>0</v>
      </c>
      <c r="QB4">
        <f t="shared" si="6"/>
        <v>0</v>
      </c>
      <c r="QC4">
        <f t="shared" si="6"/>
        <v>0</v>
      </c>
      <c r="QD4">
        <f t="shared" si="6"/>
        <v>0</v>
      </c>
      <c r="QE4">
        <f t="shared" si="6"/>
        <v>0</v>
      </c>
      <c r="QF4">
        <f t="shared" si="6"/>
        <v>0</v>
      </c>
      <c r="QG4">
        <f t="shared" si="6"/>
        <v>0</v>
      </c>
      <c r="QH4">
        <f t="shared" si="6"/>
        <v>0</v>
      </c>
      <c r="QI4">
        <f t="shared" si="6"/>
        <v>0</v>
      </c>
      <c r="QJ4">
        <f t="shared" si="6"/>
        <v>0</v>
      </c>
      <c r="QK4">
        <f t="shared" ref="QK4:SV4" si="7">IF($B$5=QK5,1,IF(QJ4&gt;=1,QJ4+1,0))</f>
        <v>0</v>
      </c>
      <c r="QL4">
        <f t="shared" si="7"/>
        <v>0</v>
      </c>
      <c r="QM4">
        <f t="shared" si="7"/>
        <v>0</v>
      </c>
      <c r="QN4">
        <f t="shared" si="7"/>
        <v>0</v>
      </c>
      <c r="QO4">
        <f t="shared" si="7"/>
        <v>0</v>
      </c>
      <c r="QP4">
        <f t="shared" si="7"/>
        <v>0</v>
      </c>
      <c r="QQ4">
        <f t="shared" si="7"/>
        <v>0</v>
      </c>
      <c r="QR4">
        <f t="shared" si="7"/>
        <v>0</v>
      </c>
      <c r="QS4">
        <f t="shared" si="7"/>
        <v>0</v>
      </c>
      <c r="QT4">
        <f t="shared" si="7"/>
        <v>0</v>
      </c>
      <c r="QU4">
        <f t="shared" si="7"/>
        <v>0</v>
      </c>
      <c r="QV4">
        <f t="shared" si="7"/>
        <v>0</v>
      </c>
      <c r="QW4">
        <f t="shared" si="7"/>
        <v>0</v>
      </c>
      <c r="QX4">
        <f t="shared" si="7"/>
        <v>0</v>
      </c>
      <c r="QY4">
        <f t="shared" si="7"/>
        <v>0</v>
      </c>
      <c r="QZ4">
        <f t="shared" si="7"/>
        <v>0</v>
      </c>
      <c r="RA4">
        <f t="shared" si="7"/>
        <v>0</v>
      </c>
      <c r="RB4">
        <f t="shared" si="7"/>
        <v>0</v>
      </c>
      <c r="RC4">
        <f t="shared" si="7"/>
        <v>0</v>
      </c>
      <c r="RD4">
        <f t="shared" si="7"/>
        <v>0</v>
      </c>
      <c r="RE4">
        <f t="shared" si="7"/>
        <v>0</v>
      </c>
      <c r="RF4">
        <f t="shared" si="7"/>
        <v>0</v>
      </c>
      <c r="RG4">
        <f t="shared" si="7"/>
        <v>0</v>
      </c>
      <c r="RH4">
        <f t="shared" si="7"/>
        <v>0</v>
      </c>
      <c r="RI4">
        <f t="shared" si="7"/>
        <v>0</v>
      </c>
      <c r="RJ4">
        <f t="shared" si="7"/>
        <v>0</v>
      </c>
      <c r="RK4">
        <f t="shared" si="7"/>
        <v>0</v>
      </c>
      <c r="RL4">
        <f t="shared" si="7"/>
        <v>0</v>
      </c>
      <c r="RM4">
        <f t="shared" si="7"/>
        <v>0</v>
      </c>
      <c r="RN4">
        <f t="shared" si="7"/>
        <v>0</v>
      </c>
      <c r="RO4">
        <f t="shared" si="7"/>
        <v>0</v>
      </c>
      <c r="RP4">
        <f t="shared" si="7"/>
        <v>0</v>
      </c>
      <c r="RQ4">
        <f t="shared" si="7"/>
        <v>0</v>
      </c>
      <c r="RR4">
        <f t="shared" si="7"/>
        <v>0</v>
      </c>
      <c r="RS4">
        <f t="shared" si="7"/>
        <v>0</v>
      </c>
      <c r="RT4">
        <f t="shared" si="7"/>
        <v>0</v>
      </c>
      <c r="RU4">
        <f t="shared" si="7"/>
        <v>0</v>
      </c>
      <c r="RV4">
        <f t="shared" si="7"/>
        <v>0</v>
      </c>
      <c r="RW4">
        <f t="shared" si="7"/>
        <v>0</v>
      </c>
      <c r="RX4">
        <f t="shared" si="7"/>
        <v>0</v>
      </c>
      <c r="RY4">
        <f t="shared" si="7"/>
        <v>0</v>
      </c>
      <c r="RZ4">
        <f t="shared" si="7"/>
        <v>0</v>
      </c>
      <c r="SA4">
        <f t="shared" si="7"/>
        <v>0</v>
      </c>
      <c r="SB4">
        <f t="shared" si="7"/>
        <v>0</v>
      </c>
      <c r="SC4">
        <f t="shared" si="7"/>
        <v>0</v>
      </c>
      <c r="SD4">
        <f t="shared" si="7"/>
        <v>0</v>
      </c>
      <c r="SE4">
        <f t="shared" si="7"/>
        <v>0</v>
      </c>
      <c r="SF4">
        <f t="shared" si="7"/>
        <v>0</v>
      </c>
      <c r="SG4">
        <f t="shared" si="7"/>
        <v>0</v>
      </c>
      <c r="SH4">
        <f t="shared" si="7"/>
        <v>0</v>
      </c>
      <c r="SI4">
        <f t="shared" si="7"/>
        <v>0</v>
      </c>
      <c r="SJ4">
        <f t="shared" si="7"/>
        <v>0</v>
      </c>
      <c r="SK4">
        <f t="shared" si="7"/>
        <v>0</v>
      </c>
      <c r="SL4">
        <f t="shared" si="7"/>
        <v>0</v>
      </c>
      <c r="SM4">
        <f t="shared" si="7"/>
        <v>0</v>
      </c>
      <c r="SN4">
        <f t="shared" si="7"/>
        <v>0</v>
      </c>
      <c r="SO4">
        <f t="shared" si="7"/>
        <v>0</v>
      </c>
      <c r="SP4">
        <f t="shared" si="7"/>
        <v>0</v>
      </c>
      <c r="SQ4">
        <f t="shared" si="7"/>
        <v>0</v>
      </c>
      <c r="SR4">
        <f t="shared" si="7"/>
        <v>0</v>
      </c>
      <c r="SS4">
        <f t="shared" si="7"/>
        <v>0</v>
      </c>
      <c r="ST4">
        <f t="shared" si="7"/>
        <v>0</v>
      </c>
      <c r="SU4">
        <f t="shared" si="7"/>
        <v>0</v>
      </c>
      <c r="SV4">
        <f t="shared" si="7"/>
        <v>0</v>
      </c>
      <c r="SW4">
        <f t="shared" ref="SW4:VH4" si="8">IF($B$5=SW5,1,IF(SV4&gt;=1,SV4+1,0))</f>
        <v>0</v>
      </c>
      <c r="SX4">
        <f t="shared" si="8"/>
        <v>0</v>
      </c>
      <c r="SY4">
        <f t="shared" si="8"/>
        <v>0</v>
      </c>
      <c r="SZ4">
        <f t="shared" si="8"/>
        <v>0</v>
      </c>
      <c r="TA4">
        <f t="shared" si="8"/>
        <v>0</v>
      </c>
      <c r="TB4">
        <f t="shared" si="8"/>
        <v>0</v>
      </c>
      <c r="TC4">
        <f t="shared" si="8"/>
        <v>0</v>
      </c>
      <c r="TD4">
        <f t="shared" si="8"/>
        <v>0</v>
      </c>
      <c r="TE4">
        <f t="shared" si="8"/>
        <v>0</v>
      </c>
      <c r="TF4">
        <f t="shared" si="8"/>
        <v>0</v>
      </c>
      <c r="TG4">
        <f t="shared" si="8"/>
        <v>0</v>
      </c>
      <c r="TH4">
        <f t="shared" si="8"/>
        <v>0</v>
      </c>
      <c r="TI4">
        <f t="shared" si="8"/>
        <v>0</v>
      </c>
      <c r="TJ4">
        <f t="shared" si="8"/>
        <v>0</v>
      </c>
      <c r="TK4">
        <f t="shared" si="8"/>
        <v>0</v>
      </c>
      <c r="TL4">
        <f t="shared" si="8"/>
        <v>0</v>
      </c>
      <c r="TM4">
        <f t="shared" si="8"/>
        <v>0</v>
      </c>
      <c r="TN4">
        <f t="shared" si="8"/>
        <v>0</v>
      </c>
      <c r="TO4">
        <f t="shared" si="8"/>
        <v>0</v>
      </c>
      <c r="TP4">
        <f t="shared" si="8"/>
        <v>0</v>
      </c>
      <c r="TQ4">
        <f t="shared" si="8"/>
        <v>0</v>
      </c>
      <c r="TR4">
        <f t="shared" si="8"/>
        <v>0</v>
      </c>
      <c r="TS4">
        <f t="shared" si="8"/>
        <v>0</v>
      </c>
      <c r="TT4">
        <f t="shared" si="8"/>
        <v>0</v>
      </c>
      <c r="TU4">
        <f t="shared" si="8"/>
        <v>0</v>
      </c>
      <c r="TV4">
        <f t="shared" si="8"/>
        <v>0</v>
      </c>
      <c r="TW4">
        <f t="shared" si="8"/>
        <v>0</v>
      </c>
      <c r="TX4">
        <f t="shared" si="8"/>
        <v>0</v>
      </c>
      <c r="TY4">
        <f t="shared" si="8"/>
        <v>0</v>
      </c>
      <c r="TZ4">
        <f t="shared" si="8"/>
        <v>0</v>
      </c>
      <c r="UA4">
        <f t="shared" si="8"/>
        <v>0</v>
      </c>
      <c r="UB4">
        <f t="shared" si="8"/>
        <v>0</v>
      </c>
      <c r="UC4">
        <f t="shared" si="8"/>
        <v>0</v>
      </c>
      <c r="UD4">
        <f t="shared" si="8"/>
        <v>0</v>
      </c>
      <c r="UE4">
        <f t="shared" si="8"/>
        <v>0</v>
      </c>
      <c r="UF4">
        <f t="shared" si="8"/>
        <v>0</v>
      </c>
      <c r="UG4">
        <f t="shared" si="8"/>
        <v>0</v>
      </c>
      <c r="UH4">
        <f t="shared" si="8"/>
        <v>0</v>
      </c>
      <c r="UI4">
        <f t="shared" si="8"/>
        <v>0</v>
      </c>
      <c r="UJ4">
        <f t="shared" si="8"/>
        <v>0</v>
      </c>
      <c r="UK4">
        <f t="shared" si="8"/>
        <v>0</v>
      </c>
      <c r="UL4">
        <f t="shared" si="8"/>
        <v>0</v>
      </c>
      <c r="UM4">
        <f t="shared" si="8"/>
        <v>0</v>
      </c>
      <c r="UN4">
        <f t="shared" si="8"/>
        <v>0</v>
      </c>
      <c r="UO4">
        <f t="shared" si="8"/>
        <v>0</v>
      </c>
      <c r="UP4">
        <f t="shared" si="8"/>
        <v>0</v>
      </c>
      <c r="UQ4">
        <f t="shared" si="8"/>
        <v>0</v>
      </c>
      <c r="UR4">
        <f t="shared" si="8"/>
        <v>0</v>
      </c>
      <c r="US4">
        <f t="shared" si="8"/>
        <v>0</v>
      </c>
      <c r="UT4">
        <f t="shared" si="8"/>
        <v>0</v>
      </c>
      <c r="UU4">
        <f t="shared" si="8"/>
        <v>0</v>
      </c>
      <c r="UV4">
        <f t="shared" si="8"/>
        <v>0</v>
      </c>
      <c r="UW4">
        <f t="shared" si="8"/>
        <v>0</v>
      </c>
      <c r="UX4">
        <f t="shared" si="8"/>
        <v>0</v>
      </c>
      <c r="UY4">
        <f t="shared" si="8"/>
        <v>0</v>
      </c>
      <c r="UZ4">
        <f t="shared" si="8"/>
        <v>0</v>
      </c>
      <c r="VA4">
        <f t="shared" si="8"/>
        <v>0</v>
      </c>
      <c r="VB4">
        <f t="shared" si="8"/>
        <v>0</v>
      </c>
      <c r="VC4">
        <f t="shared" si="8"/>
        <v>0</v>
      </c>
      <c r="VD4">
        <f t="shared" si="8"/>
        <v>0</v>
      </c>
      <c r="VE4">
        <f t="shared" si="8"/>
        <v>0</v>
      </c>
      <c r="VF4">
        <f t="shared" si="8"/>
        <v>0</v>
      </c>
      <c r="VG4">
        <f t="shared" si="8"/>
        <v>0</v>
      </c>
      <c r="VH4">
        <f t="shared" si="8"/>
        <v>0</v>
      </c>
      <c r="VI4">
        <f t="shared" ref="VI4:XT4" si="9">IF($B$5=VI5,1,IF(VH4&gt;=1,VH4+1,0))</f>
        <v>0</v>
      </c>
      <c r="VJ4">
        <f t="shared" si="9"/>
        <v>0</v>
      </c>
      <c r="VK4">
        <f t="shared" si="9"/>
        <v>0</v>
      </c>
      <c r="VL4">
        <f t="shared" si="9"/>
        <v>0</v>
      </c>
      <c r="VM4">
        <f t="shared" si="9"/>
        <v>0</v>
      </c>
      <c r="VN4">
        <f t="shared" si="9"/>
        <v>0</v>
      </c>
      <c r="VO4">
        <f t="shared" si="9"/>
        <v>0</v>
      </c>
      <c r="VP4">
        <f t="shared" si="9"/>
        <v>0</v>
      </c>
      <c r="VQ4">
        <f t="shared" si="9"/>
        <v>0</v>
      </c>
      <c r="VR4">
        <f t="shared" si="9"/>
        <v>0</v>
      </c>
      <c r="VS4">
        <f t="shared" si="9"/>
        <v>0</v>
      </c>
      <c r="VT4">
        <f t="shared" si="9"/>
        <v>0</v>
      </c>
      <c r="VU4">
        <f t="shared" si="9"/>
        <v>0</v>
      </c>
      <c r="VV4">
        <f t="shared" si="9"/>
        <v>0</v>
      </c>
      <c r="VW4">
        <f t="shared" si="9"/>
        <v>0</v>
      </c>
      <c r="VX4">
        <f t="shared" si="9"/>
        <v>0</v>
      </c>
      <c r="VY4">
        <f t="shared" si="9"/>
        <v>0</v>
      </c>
      <c r="VZ4">
        <f t="shared" si="9"/>
        <v>0</v>
      </c>
      <c r="WA4">
        <f t="shared" si="9"/>
        <v>0</v>
      </c>
      <c r="WB4">
        <f t="shared" si="9"/>
        <v>0</v>
      </c>
      <c r="WC4">
        <f t="shared" si="9"/>
        <v>0</v>
      </c>
      <c r="WD4">
        <f t="shared" si="9"/>
        <v>0</v>
      </c>
      <c r="WE4">
        <f t="shared" si="9"/>
        <v>0</v>
      </c>
      <c r="WF4">
        <f t="shared" si="9"/>
        <v>0</v>
      </c>
      <c r="WG4">
        <f t="shared" si="9"/>
        <v>0</v>
      </c>
      <c r="WH4">
        <f t="shared" si="9"/>
        <v>0</v>
      </c>
      <c r="WI4">
        <f t="shared" si="9"/>
        <v>0</v>
      </c>
      <c r="WJ4">
        <f t="shared" si="9"/>
        <v>0</v>
      </c>
      <c r="WK4">
        <f t="shared" si="9"/>
        <v>0</v>
      </c>
      <c r="WL4">
        <f t="shared" si="9"/>
        <v>0</v>
      </c>
      <c r="WM4">
        <f t="shared" si="9"/>
        <v>0</v>
      </c>
      <c r="WN4">
        <f t="shared" si="9"/>
        <v>0</v>
      </c>
      <c r="WO4">
        <f t="shared" si="9"/>
        <v>0</v>
      </c>
      <c r="WP4">
        <f t="shared" si="9"/>
        <v>0</v>
      </c>
      <c r="WQ4">
        <f t="shared" si="9"/>
        <v>0</v>
      </c>
      <c r="WR4">
        <f t="shared" si="9"/>
        <v>0</v>
      </c>
      <c r="WS4">
        <f t="shared" si="9"/>
        <v>0</v>
      </c>
      <c r="WT4">
        <f t="shared" si="9"/>
        <v>0</v>
      </c>
      <c r="WU4">
        <f t="shared" si="9"/>
        <v>0</v>
      </c>
      <c r="WV4">
        <f t="shared" si="9"/>
        <v>0</v>
      </c>
      <c r="WW4">
        <f t="shared" si="9"/>
        <v>0</v>
      </c>
      <c r="WX4">
        <f t="shared" si="9"/>
        <v>0</v>
      </c>
      <c r="WY4">
        <f t="shared" si="9"/>
        <v>0</v>
      </c>
      <c r="WZ4">
        <f t="shared" si="9"/>
        <v>0</v>
      </c>
      <c r="XA4">
        <f t="shared" si="9"/>
        <v>0</v>
      </c>
      <c r="XB4">
        <f t="shared" si="9"/>
        <v>0</v>
      </c>
      <c r="XC4">
        <f t="shared" si="9"/>
        <v>0</v>
      </c>
      <c r="XD4">
        <f t="shared" si="9"/>
        <v>0</v>
      </c>
      <c r="XE4">
        <f t="shared" si="9"/>
        <v>0</v>
      </c>
      <c r="XF4">
        <f t="shared" si="9"/>
        <v>0</v>
      </c>
      <c r="XG4">
        <f t="shared" si="9"/>
        <v>0</v>
      </c>
      <c r="XH4">
        <f t="shared" si="9"/>
        <v>0</v>
      </c>
      <c r="XI4">
        <f t="shared" si="9"/>
        <v>0</v>
      </c>
      <c r="XJ4">
        <f t="shared" si="9"/>
        <v>0</v>
      </c>
      <c r="XK4">
        <f t="shared" si="9"/>
        <v>0</v>
      </c>
      <c r="XL4">
        <f t="shared" si="9"/>
        <v>0</v>
      </c>
      <c r="XM4">
        <f t="shared" si="9"/>
        <v>0</v>
      </c>
      <c r="XN4">
        <f t="shared" si="9"/>
        <v>0</v>
      </c>
      <c r="XO4">
        <f t="shared" si="9"/>
        <v>0</v>
      </c>
      <c r="XP4">
        <f t="shared" si="9"/>
        <v>0</v>
      </c>
      <c r="XQ4">
        <f t="shared" si="9"/>
        <v>0</v>
      </c>
      <c r="XR4">
        <f t="shared" si="9"/>
        <v>0</v>
      </c>
      <c r="XS4">
        <f t="shared" si="9"/>
        <v>0</v>
      </c>
      <c r="XT4">
        <f t="shared" si="9"/>
        <v>0</v>
      </c>
      <c r="XU4">
        <f t="shared" ref="XU4:YM4" si="10">IF($B$5=XU5,1,IF(XT4&gt;=1,XT4+1,0))</f>
        <v>0</v>
      </c>
      <c r="XV4">
        <f t="shared" si="10"/>
        <v>0</v>
      </c>
      <c r="XW4">
        <f t="shared" si="10"/>
        <v>0</v>
      </c>
      <c r="XX4">
        <f t="shared" si="10"/>
        <v>0</v>
      </c>
      <c r="XY4">
        <f t="shared" si="10"/>
        <v>0</v>
      </c>
      <c r="XZ4">
        <f t="shared" si="10"/>
        <v>0</v>
      </c>
      <c r="YA4">
        <f t="shared" si="10"/>
        <v>0</v>
      </c>
      <c r="YB4">
        <f t="shared" si="10"/>
        <v>0</v>
      </c>
      <c r="YC4">
        <f t="shared" si="10"/>
        <v>0</v>
      </c>
      <c r="YD4">
        <f t="shared" si="10"/>
        <v>0</v>
      </c>
      <c r="YE4">
        <f t="shared" si="10"/>
        <v>0</v>
      </c>
      <c r="YF4">
        <f t="shared" si="10"/>
        <v>0</v>
      </c>
      <c r="YG4">
        <f t="shared" si="10"/>
        <v>0</v>
      </c>
      <c r="YH4">
        <f t="shared" si="10"/>
        <v>0</v>
      </c>
      <c r="YI4">
        <f t="shared" si="10"/>
        <v>0</v>
      </c>
      <c r="YJ4">
        <f t="shared" si="10"/>
        <v>0</v>
      </c>
      <c r="YK4">
        <f t="shared" si="10"/>
        <v>0</v>
      </c>
      <c r="YL4">
        <f t="shared" si="10"/>
        <v>0</v>
      </c>
      <c r="YM4">
        <f t="shared" si="10"/>
        <v>0</v>
      </c>
    </row>
    <row r="5" spans="1:663" x14ac:dyDescent="0.2">
      <c r="A5" t="s">
        <v>325</v>
      </c>
      <c r="B5" s="25">
        <f>+Formulario!H140</f>
        <v>0</v>
      </c>
      <c r="C5" s="26">
        <v>36861</v>
      </c>
      <c r="D5" s="26">
        <v>36892</v>
      </c>
      <c r="E5" s="26">
        <v>36923</v>
      </c>
      <c r="F5" s="26">
        <v>36951</v>
      </c>
      <c r="G5" s="26">
        <v>36982</v>
      </c>
      <c r="H5" s="26">
        <v>37012</v>
      </c>
      <c r="I5" s="26">
        <v>37043</v>
      </c>
      <c r="J5" s="26">
        <v>37073</v>
      </c>
      <c r="K5" s="26">
        <v>37104</v>
      </c>
      <c r="L5" s="26">
        <v>37135</v>
      </c>
      <c r="M5" s="26">
        <v>37165</v>
      </c>
      <c r="N5" s="26">
        <v>37196</v>
      </c>
      <c r="O5" s="26">
        <v>37226</v>
      </c>
      <c r="P5" s="26">
        <v>37257</v>
      </c>
      <c r="Q5" s="26">
        <v>37288</v>
      </c>
      <c r="R5" s="26">
        <v>37316</v>
      </c>
      <c r="S5" s="26">
        <v>37347</v>
      </c>
      <c r="T5" s="26">
        <v>37377</v>
      </c>
      <c r="U5" s="26">
        <v>37408</v>
      </c>
      <c r="V5" s="26">
        <v>37438</v>
      </c>
      <c r="W5" s="26">
        <v>37469</v>
      </c>
      <c r="X5" s="26">
        <v>37500</v>
      </c>
      <c r="Y5" s="26">
        <v>37530</v>
      </c>
      <c r="Z5" s="26">
        <v>37561</v>
      </c>
      <c r="AA5" s="26">
        <v>37591</v>
      </c>
      <c r="AB5" s="26">
        <v>37622</v>
      </c>
      <c r="AC5" s="26">
        <v>37653</v>
      </c>
      <c r="AD5" s="26">
        <v>37681</v>
      </c>
      <c r="AE5" s="26">
        <v>37712</v>
      </c>
      <c r="AF5" s="26">
        <v>37742</v>
      </c>
      <c r="AG5" s="26">
        <v>37773</v>
      </c>
      <c r="AH5" s="26">
        <v>37803</v>
      </c>
      <c r="AI5" s="26">
        <v>37834</v>
      </c>
      <c r="AJ5" s="26">
        <v>37865</v>
      </c>
      <c r="AK5" s="26">
        <v>37895</v>
      </c>
      <c r="AL5" s="26">
        <v>37926</v>
      </c>
      <c r="AM5" s="26">
        <v>37956</v>
      </c>
      <c r="AN5" s="26">
        <v>37987</v>
      </c>
      <c r="AO5" s="26">
        <v>38018</v>
      </c>
      <c r="AP5" s="26">
        <v>38047</v>
      </c>
      <c r="AQ5" s="26">
        <v>38078</v>
      </c>
      <c r="AR5" s="26">
        <v>38108</v>
      </c>
      <c r="AS5" s="26">
        <v>38139</v>
      </c>
      <c r="AT5" s="26">
        <v>38169</v>
      </c>
      <c r="AU5" s="26">
        <v>38200</v>
      </c>
      <c r="AV5" s="26">
        <v>38231</v>
      </c>
      <c r="AW5" s="26">
        <v>38261</v>
      </c>
      <c r="AX5" s="26">
        <v>38292</v>
      </c>
      <c r="AY5" s="26">
        <v>38322</v>
      </c>
      <c r="AZ5" s="26">
        <v>38353</v>
      </c>
      <c r="BA5" s="26">
        <v>38384</v>
      </c>
      <c r="BB5" s="26">
        <v>38412</v>
      </c>
      <c r="BC5" s="26">
        <v>38443</v>
      </c>
      <c r="BD5" s="26">
        <v>38473</v>
      </c>
      <c r="BE5" s="26">
        <v>38504</v>
      </c>
      <c r="BF5" s="26">
        <v>38534</v>
      </c>
      <c r="BG5" s="26">
        <v>38565</v>
      </c>
      <c r="BH5" s="26">
        <v>38596</v>
      </c>
      <c r="BI5" s="26">
        <v>38626</v>
      </c>
      <c r="BJ5" s="26">
        <v>38657</v>
      </c>
      <c r="BK5" s="26">
        <v>38687</v>
      </c>
      <c r="BL5" s="26">
        <v>38718</v>
      </c>
      <c r="BM5" s="26">
        <v>38749</v>
      </c>
      <c r="BN5" s="26">
        <v>38777</v>
      </c>
      <c r="BO5" s="26">
        <v>38808</v>
      </c>
      <c r="BP5" s="26">
        <v>38838</v>
      </c>
      <c r="BQ5" s="26">
        <v>38869</v>
      </c>
      <c r="BR5" s="26">
        <v>38899</v>
      </c>
      <c r="BS5" s="26">
        <v>38930</v>
      </c>
      <c r="BT5" s="26">
        <v>38961</v>
      </c>
      <c r="BU5" s="26">
        <v>38991</v>
      </c>
      <c r="BV5" s="26">
        <v>39022</v>
      </c>
      <c r="BW5" s="26">
        <v>39052</v>
      </c>
      <c r="BX5" s="26">
        <v>39083</v>
      </c>
      <c r="BY5" s="26">
        <v>39114</v>
      </c>
      <c r="BZ5" s="26">
        <v>39142</v>
      </c>
      <c r="CA5" s="26">
        <v>39173</v>
      </c>
      <c r="CB5" s="26">
        <v>39203</v>
      </c>
      <c r="CC5" s="26">
        <v>39234</v>
      </c>
      <c r="CD5" s="26">
        <v>39264</v>
      </c>
      <c r="CE5" s="26">
        <v>39295</v>
      </c>
      <c r="CF5" s="26">
        <v>39326</v>
      </c>
      <c r="CG5" s="26">
        <v>39356</v>
      </c>
      <c r="CH5" s="26">
        <v>39387</v>
      </c>
      <c r="CI5" s="26">
        <v>39417</v>
      </c>
      <c r="CJ5" s="26">
        <v>39448</v>
      </c>
      <c r="CK5" s="26">
        <v>39479</v>
      </c>
      <c r="CL5" s="26">
        <v>39508</v>
      </c>
      <c r="CM5" s="26">
        <v>39539</v>
      </c>
      <c r="CN5" s="26">
        <v>39569</v>
      </c>
      <c r="CO5" s="26">
        <v>39600</v>
      </c>
      <c r="CP5" s="26">
        <v>39630</v>
      </c>
      <c r="CQ5" s="26">
        <v>39661</v>
      </c>
      <c r="CR5" s="26">
        <v>39692</v>
      </c>
      <c r="CS5" s="26">
        <v>39722</v>
      </c>
      <c r="CT5" s="26">
        <v>39753</v>
      </c>
      <c r="CU5" s="26">
        <v>39783</v>
      </c>
      <c r="CV5" s="26">
        <v>39814</v>
      </c>
      <c r="CW5" s="26">
        <v>39845</v>
      </c>
      <c r="CX5" s="26">
        <v>39873</v>
      </c>
      <c r="CY5" s="26">
        <v>39904</v>
      </c>
      <c r="CZ5" s="26">
        <v>39934</v>
      </c>
      <c r="DA5" s="26">
        <v>39965</v>
      </c>
      <c r="DB5" s="26">
        <v>39995</v>
      </c>
      <c r="DC5" s="26">
        <v>40026</v>
      </c>
      <c r="DD5" s="26">
        <v>40057</v>
      </c>
      <c r="DE5" s="26">
        <v>40087</v>
      </c>
      <c r="DF5" s="26">
        <v>40118</v>
      </c>
      <c r="DG5" s="26">
        <v>40148</v>
      </c>
      <c r="DH5" s="26">
        <v>40179</v>
      </c>
      <c r="DI5" s="26">
        <v>40210</v>
      </c>
      <c r="DJ5" s="26">
        <v>40238</v>
      </c>
      <c r="DK5" s="26">
        <v>40269</v>
      </c>
      <c r="DL5" s="26">
        <v>40299</v>
      </c>
      <c r="DM5" s="26">
        <v>40330</v>
      </c>
      <c r="DN5" s="26">
        <v>40360</v>
      </c>
      <c r="DO5" s="26">
        <v>40391</v>
      </c>
      <c r="DP5" s="26">
        <v>40422</v>
      </c>
      <c r="DQ5" s="26">
        <v>40452</v>
      </c>
      <c r="DR5" s="26">
        <v>40483</v>
      </c>
      <c r="DS5" s="26">
        <v>40513</v>
      </c>
      <c r="DT5" s="26">
        <v>40544</v>
      </c>
      <c r="DU5" s="26">
        <v>40575</v>
      </c>
      <c r="DV5" s="26">
        <v>40603</v>
      </c>
      <c r="DW5" s="26">
        <v>40634</v>
      </c>
      <c r="DX5" s="26">
        <v>40664</v>
      </c>
      <c r="DY5" s="26">
        <v>40695</v>
      </c>
      <c r="DZ5" s="26">
        <v>40725</v>
      </c>
      <c r="EA5" s="26">
        <v>40756</v>
      </c>
      <c r="EB5" s="26">
        <v>40787</v>
      </c>
      <c r="EC5" s="26">
        <v>40817</v>
      </c>
      <c r="ED5" s="26">
        <v>40848</v>
      </c>
      <c r="EE5" s="26">
        <v>40878</v>
      </c>
      <c r="EF5" s="26">
        <v>40909</v>
      </c>
      <c r="EG5" s="26">
        <v>40940</v>
      </c>
      <c r="EH5" s="26">
        <v>40969</v>
      </c>
      <c r="EI5" s="26">
        <v>41000</v>
      </c>
      <c r="EJ5" s="26">
        <v>41030</v>
      </c>
      <c r="EK5" s="26">
        <v>41061</v>
      </c>
      <c r="EL5" s="26">
        <v>41091</v>
      </c>
      <c r="EM5" s="26">
        <v>41122</v>
      </c>
      <c r="EN5" s="26">
        <v>41153</v>
      </c>
      <c r="EO5" s="26">
        <v>41183</v>
      </c>
      <c r="EP5" s="26">
        <v>41214</v>
      </c>
      <c r="EQ5" s="26">
        <v>41244</v>
      </c>
      <c r="ER5" s="26">
        <v>41275</v>
      </c>
      <c r="ES5" s="26">
        <v>41306</v>
      </c>
      <c r="ET5" s="26">
        <v>41334</v>
      </c>
      <c r="EU5" s="26">
        <v>41365</v>
      </c>
      <c r="EV5" s="26">
        <v>41395</v>
      </c>
      <c r="EW5" s="26">
        <v>41426</v>
      </c>
      <c r="EX5" s="26">
        <v>41456</v>
      </c>
      <c r="EY5" s="26">
        <v>41487</v>
      </c>
      <c r="EZ5" s="26">
        <v>41518</v>
      </c>
      <c r="FA5" s="26">
        <v>41548</v>
      </c>
      <c r="FB5" s="26">
        <v>41579</v>
      </c>
      <c r="FC5" s="26">
        <v>41609</v>
      </c>
      <c r="FD5" s="26">
        <v>41640</v>
      </c>
      <c r="FE5" s="26">
        <v>41671</v>
      </c>
      <c r="FF5" s="26">
        <v>41699</v>
      </c>
      <c r="FG5" s="26">
        <v>41730</v>
      </c>
      <c r="FH5" s="26">
        <v>41760</v>
      </c>
      <c r="FI5" s="26">
        <v>41791</v>
      </c>
      <c r="FJ5" s="26">
        <v>41821</v>
      </c>
      <c r="FK5" s="26">
        <v>41852</v>
      </c>
      <c r="FL5" s="26">
        <v>41883</v>
      </c>
      <c r="FM5" s="26">
        <v>41913</v>
      </c>
      <c r="FN5" s="26">
        <v>41944</v>
      </c>
      <c r="FO5" s="26">
        <v>41974</v>
      </c>
      <c r="FP5" s="26">
        <v>42005</v>
      </c>
      <c r="FQ5" s="26">
        <v>42036</v>
      </c>
      <c r="FR5" s="26">
        <v>42064</v>
      </c>
      <c r="FS5" s="26">
        <v>42095</v>
      </c>
      <c r="FT5" s="26">
        <v>42125</v>
      </c>
      <c r="FU5" s="26">
        <v>42156</v>
      </c>
      <c r="FV5" s="26">
        <v>42186</v>
      </c>
      <c r="FW5" s="26">
        <v>42217</v>
      </c>
      <c r="FX5" s="26">
        <v>42248</v>
      </c>
      <c r="FY5" s="26">
        <v>42278</v>
      </c>
      <c r="FZ5" s="26">
        <v>42309</v>
      </c>
      <c r="GA5" s="26">
        <v>42339</v>
      </c>
      <c r="GB5" s="26">
        <v>42370</v>
      </c>
      <c r="GC5" s="26">
        <v>42401</v>
      </c>
      <c r="GD5" s="26">
        <v>42430</v>
      </c>
      <c r="GE5" s="26">
        <v>42461</v>
      </c>
      <c r="GF5" s="26">
        <v>42491</v>
      </c>
      <c r="GG5" s="26">
        <v>42522</v>
      </c>
      <c r="GH5" s="26">
        <v>42552</v>
      </c>
      <c r="GI5" s="26">
        <v>42583</v>
      </c>
      <c r="GJ5" s="26">
        <v>42614</v>
      </c>
      <c r="GK5" s="26">
        <v>42644</v>
      </c>
      <c r="GL5" s="26">
        <v>42675</v>
      </c>
      <c r="GM5" s="26">
        <v>42705</v>
      </c>
      <c r="GN5" s="26">
        <v>42736</v>
      </c>
      <c r="GO5" s="26">
        <v>42767</v>
      </c>
      <c r="GP5" s="26">
        <v>42795</v>
      </c>
      <c r="GQ5" s="26">
        <v>42826</v>
      </c>
      <c r="GR5" s="26">
        <v>42856</v>
      </c>
      <c r="GS5" s="26">
        <v>42887</v>
      </c>
      <c r="GT5" s="26">
        <v>42917</v>
      </c>
      <c r="GU5" s="26">
        <v>42948</v>
      </c>
      <c r="GV5" s="26">
        <v>42979</v>
      </c>
      <c r="GW5" s="26">
        <v>43009</v>
      </c>
      <c r="GX5" s="26">
        <v>43040</v>
      </c>
      <c r="GY5" s="26">
        <v>43070</v>
      </c>
      <c r="GZ5" s="26">
        <v>43101</v>
      </c>
      <c r="HA5" s="26">
        <v>43132</v>
      </c>
      <c r="HB5" s="26">
        <v>43160</v>
      </c>
      <c r="HC5" s="26">
        <v>43191</v>
      </c>
      <c r="HD5" s="26">
        <v>43221</v>
      </c>
      <c r="HE5" s="26">
        <v>43252</v>
      </c>
      <c r="HF5" s="26">
        <v>43282</v>
      </c>
      <c r="HG5" s="26">
        <v>43313</v>
      </c>
      <c r="HH5" s="26">
        <v>43344</v>
      </c>
      <c r="HI5" s="26">
        <v>43374</v>
      </c>
      <c r="HJ5" s="26">
        <v>43405</v>
      </c>
      <c r="HK5" s="26">
        <v>43435</v>
      </c>
      <c r="HL5" s="26">
        <v>43466</v>
      </c>
      <c r="HM5" s="26">
        <v>43497</v>
      </c>
      <c r="HN5" s="26">
        <v>43525</v>
      </c>
      <c r="HO5" s="26">
        <v>43556</v>
      </c>
      <c r="HP5" s="26">
        <v>43586</v>
      </c>
      <c r="HQ5" s="26">
        <v>43617</v>
      </c>
      <c r="HR5" s="26">
        <v>43647</v>
      </c>
      <c r="HS5" s="26">
        <v>43678</v>
      </c>
      <c r="HT5" s="26">
        <v>43709</v>
      </c>
      <c r="HU5" s="26">
        <v>43739</v>
      </c>
      <c r="HV5" s="26">
        <v>43770</v>
      </c>
      <c r="HW5" s="26">
        <v>43800</v>
      </c>
      <c r="HX5" s="26">
        <v>43831</v>
      </c>
      <c r="HY5" s="26">
        <v>43862</v>
      </c>
      <c r="HZ5" s="26">
        <v>43891</v>
      </c>
      <c r="IA5" s="26">
        <v>43922</v>
      </c>
      <c r="IB5" s="26">
        <v>43952</v>
      </c>
      <c r="IC5" s="26">
        <v>43983</v>
      </c>
      <c r="ID5" s="26">
        <v>44013</v>
      </c>
      <c r="IE5" s="26">
        <v>44044</v>
      </c>
      <c r="IF5" s="26">
        <v>44075</v>
      </c>
      <c r="IG5" s="26">
        <v>44105</v>
      </c>
      <c r="IH5" s="26">
        <v>44136</v>
      </c>
      <c r="II5" s="26">
        <v>44166</v>
      </c>
      <c r="IJ5" s="26">
        <v>44197</v>
      </c>
      <c r="IK5" s="26">
        <v>44228</v>
      </c>
      <c r="IL5" s="26">
        <v>44256</v>
      </c>
      <c r="IM5" s="26">
        <v>44287</v>
      </c>
      <c r="IN5" s="26">
        <v>44317</v>
      </c>
      <c r="IO5" s="26">
        <v>44348</v>
      </c>
      <c r="IP5" s="26">
        <v>44378</v>
      </c>
      <c r="IQ5" s="26">
        <v>44409</v>
      </c>
      <c r="IR5" s="26">
        <v>44440</v>
      </c>
      <c r="IS5" s="26">
        <v>44470</v>
      </c>
      <c r="IT5" s="26">
        <v>44501</v>
      </c>
      <c r="IU5" s="26">
        <v>44531</v>
      </c>
      <c r="IV5" s="26">
        <v>44562</v>
      </c>
      <c r="IW5" s="26">
        <v>44593</v>
      </c>
      <c r="IX5" s="26">
        <v>44621</v>
      </c>
      <c r="IY5" s="26">
        <v>44652</v>
      </c>
      <c r="IZ5" s="26">
        <v>44682</v>
      </c>
      <c r="JA5" s="26">
        <v>44713</v>
      </c>
      <c r="JB5" s="26">
        <v>44743</v>
      </c>
      <c r="JC5" s="26">
        <v>44774</v>
      </c>
      <c r="JD5" s="26">
        <v>44805</v>
      </c>
      <c r="JE5" s="26">
        <v>44835</v>
      </c>
      <c r="JF5" s="26">
        <v>44866</v>
      </c>
      <c r="JG5" s="26">
        <v>44896</v>
      </c>
      <c r="JH5" s="26">
        <v>44927</v>
      </c>
      <c r="JI5" s="26">
        <v>44958</v>
      </c>
      <c r="JJ5" s="26">
        <v>44986</v>
      </c>
      <c r="JK5" s="26">
        <v>45017</v>
      </c>
      <c r="JL5" s="26">
        <v>45047</v>
      </c>
      <c r="JM5" s="26">
        <v>45078</v>
      </c>
      <c r="JN5" s="26">
        <v>45108</v>
      </c>
      <c r="JO5" s="26">
        <v>45139</v>
      </c>
      <c r="JP5" s="26">
        <v>45170</v>
      </c>
      <c r="JQ5" s="26">
        <v>45200</v>
      </c>
      <c r="JR5" s="26">
        <v>45231</v>
      </c>
      <c r="JS5" s="26">
        <v>45261</v>
      </c>
      <c r="JT5" s="26">
        <v>45292</v>
      </c>
      <c r="JU5" s="26">
        <v>45323</v>
      </c>
      <c r="JV5" s="26">
        <v>45352</v>
      </c>
      <c r="JW5" s="26">
        <v>45383</v>
      </c>
      <c r="JX5" s="26">
        <v>45413</v>
      </c>
      <c r="JY5" s="26">
        <v>45444</v>
      </c>
      <c r="JZ5" s="26">
        <v>45474</v>
      </c>
      <c r="KA5" s="26">
        <v>45505</v>
      </c>
      <c r="KB5" s="26">
        <v>45536</v>
      </c>
      <c r="KC5" s="26">
        <v>45566</v>
      </c>
      <c r="KD5" s="26">
        <v>45597</v>
      </c>
      <c r="KE5" s="26">
        <v>45627</v>
      </c>
      <c r="KF5" s="26">
        <v>45658</v>
      </c>
      <c r="KG5" s="26">
        <v>45689</v>
      </c>
      <c r="KH5" s="26">
        <v>45717</v>
      </c>
      <c r="KI5" s="26">
        <v>45748</v>
      </c>
      <c r="KJ5" s="26">
        <v>45778</v>
      </c>
      <c r="KK5" s="26">
        <v>45809</v>
      </c>
      <c r="KL5" s="26">
        <v>45839</v>
      </c>
      <c r="KM5" s="26">
        <v>45870</v>
      </c>
      <c r="KN5" s="26">
        <v>45901</v>
      </c>
      <c r="KO5" s="26">
        <v>45931</v>
      </c>
      <c r="KP5" s="26">
        <v>45962</v>
      </c>
      <c r="KQ5" s="26">
        <v>45992</v>
      </c>
      <c r="KR5" s="26">
        <v>46023</v>
      </c>
      <c r="KS5" s="26">
        <v>46054</v>
      </c>
      <c r="KT5" s="26">
        <v>46082</v>
      </c>
      <c r="KU5" s="26">
        <v>46113</v>
      </c>
      <c r="KV5" s="26">
        <v>46143</v>
      </c>
      <c r="KW5" s="26">
        <v>46174</v>
      </c>
      <c r="KX5" s="26">
        <v>46204</v>
      </c>
      <c r="KY5" s="26">
        <v>46235</v>
      </c>
      <c r="KZ5" s="26">
        <v>46266</v>
      </c>
      <c r="LA5" s="26">
        <v>46296</v>
      </c>
      <c r="LB5" s="26">
        <v>46327</v>
      </c>
      <c r="LC5" s="26">
        <v>46357</v>
      </c>
      <c r="LD5" s="26">
        <v>46388</v>
      </c>
      <c r="LE5" s="26">
        <v>46419</v>
      </c>
      <c r="LF5" s="26">
        <v>46447</v>
      </c>
      <c r="LG5" s="26">
        <v>46478</v>
      </c>
      <c r="LH5" s="26">
        <v>46508</v>
      </c>
      <c r="LI5" s="26">
        <v>46539</v>
      </c>
      <c r="LJ5" s="26">
        <v>46569</v>
      </c>
      <c r="LK5" s="26">
        <v>46600</v>
      </c>
      <c r="LL5" s="26">
        <v>46631</v>
      </c>
      <c r="LM5" s="26">
        <v>46661</v>
      </c>
      <c r="LN5" s="26">
        <v>46692</v>
      </c>
      <c r="LO5" s="26">
        <v>46722</v>
      </c>
      <c r="LP5" s="26">
        <v>46753</v>
      </c>
      <c r="LQ5" s="26">
        <v>46784</v>
      </c>
      <c r="LR5" s="26">
        <v>46813</v>
      </c>
      <c r="LS5" s="26">
        <v>46844</v>
      </c>
      <c r="LT5" s="26">
        <v>46874</v>
      </c>
      <c r="LU5" s="26">
        <v>46905</v>
      </c>
      <c r="LV5" s="26">
        <v>46935</v>
      </c>
      <c r="LW5" s="26">
        <v>46966</v>
      </c>
      <c r="LX5" s="26">
        <v>46997</v>
      </c>
      <c r="LY5" s="26">
        <v>47027</v>
      </c>
      <c r="LZ5" s="26">
        <v>47058</v>
      </c>
      <c r="MA5" s="26">
        <v>47088</v>
      </c>
      <c r="MB5" s="26">
        <v>47119</v>
      </c>
      <c r="MC5" s="26">
        <v>47150</v>
      </c>
      <c r="MD5" s="26">
        <v>47178</v>
      </c>
      <c r="ME5" s="26">
        <v>47209</v>
      </c>
      <c r="MF5" s="26">
        <v>47239</v>
      </c>
      <c r="MG5" s="26">
        <v>47270</v>
      </c>
      <c r="MH5" s="26">
        <v>47300</v>
      </c>
      <c r="MI5" s="26">
        <v>47331</v>
      </c>
      <c r="MJ5" s="26">
        <v>47362</v>
      </c>
      <c r="MK5" s="26">
        <v>47392</v>
      </c>
      <c r="ML5" s="26">
        <v>47423</v>
      </c>
      <c r="MM5" s="26">
        <v>47453</v>
      </c>
      <c r="MN5" s="26">
        <v>47484</v>
      </c>
      <c r="MO5" s="26">
        <v>47515</v>
      </c>
      <c r="MP5" s="26">
        <v>47543</v>
      </c>
      <c r="MQ5" s="26">
        <v>47574</v>
      </c>
      <c r="MR5" s="26">
        <v>47604</v>
      </c>
      <c r="MS5" s="26">
        <v>47635</v>
      </c>
      <c r="MT5" s="26">
        <v>47665</v>
      </c>
      <c r="MU5" s="26">
        <v>47696</v>
      </c>
      <c r="MV5" s="26">
        <v>47727</v>
      </c>
      <c r="MW5" s="26">
        <v>47757</v>
      </c>
      <c r="MX5" s="26">
        <v>47788</v>
      </c>
      <c r="MY5" s="26">
        <v>47818</v>
      </c>
      <c r="MZ5" s="26">
        <v>47849</v>
      </c>
      <c r="NA5" s="26">
        <v>47880</v>
      </c>
      <c r="NB5" s="26">
        <v>47908</v>
      </c>
      <c r="NC5" s="26">
        <v>47939</v>
      </c>
      <c r="ND5" s="26">
        <v>47969</v>
      </c>
      <c r="NE5" s="26">
        <v>48000</v>
      </c>
      <c r="NF5" s="26">
        <v>48030</v>
      </c>
      <c r="NG5" s="26">
        <v>48061</v>
      </c>
      <c r="NH5" s="26">
        <v>48092</v>
      </c>
      <c r="NI5" s="26">
        <v>48122</v>
      </c>
      <c r="NJ5" s="26">
        <v>48153</v>
      </c>
      <c r="NK5" s="26">
        <v>48183</v>
      </c>
      <c r="NL5" s="26">
        <v>48214</v>
      </c>
      <c r="NM5" s="26">
        <v>48245</v>
      </c>
      <c r="NN5" s="26">
        <v>48274</v>
      </c>
      <c r="NO5" s="26">
        <v>48305</v>
      </c>
      <c r="NP5" s="26">
        <v>48335</v>
      </c>
      <c r="NQ5" s="26">
        <v>48366</v>
      </c>
      <c r="NR5" s="26">
        <v>48396</v>
      </c>
      <c r="NS5" s="26">
        <v>48427</v>
      </c>
      <c r="NT5" s="26">
        <v>48458</v>
      </c>
      <c r="NU5" s="26">
        <v>48488</v>
      </c>
      <c r="NV5" s="26">
        <v>48519</v>
      </c>
      <c r="NW5" s="26">
        <v>48549</v>
      </c>
      <c r="NX5" s="26">
        <v>48580</v>
      </c>
      <c r="NY5" s="26">
        <v>48611</v>
      </c>
      <c r="NZ5" s="26">
        <v>48639</v>
      </c>
      <c r="OA5" s="26">
        <v>48670</v>
      </c>
      <c r="OB5" s="26">
        <v>48700</v>
      </c>
      <c r="OC5" s="26">
        <v>48731</v>
      </c>
      <c r="OD5" s="26">
        <v>48761</v>
      </c>
      <c r="OE5" s="26">
        <v>48792</v>
      </c>
      <c r="OF5" s="26">
        <v>48823</v>
      </c>
      <c r="OG5" s="26">
        <v>48853</v>
      </c>
      <c r="OH5" s="26">
        <v>48884</v>
      </c>
      <c r="OI5" s="26">
        <v>48914</v>
      </c>
      <c r="OJ5" s="26">
        <v>48945</v>
      </c>
      <c r="OK5" s="26">
        <v>48976</v>
      </c>
      <c r="OL5" s="26">
        <v>49004</v>
      </c>
      <c r="OM5" s="26">
        <v>49035</v>
      </c>
      <c r="ON5" s="26">
        <v>49065</v>
      </c>
      <c r="OO5" s="26">
        <v>49096</v>
      </c>
      <c r="OP5" s="26">
        <v>49126</v>
      </c>
      <c r="OQ5" s="26">
        <v>49157</v>
      </c>
      <c r="OR5" s="26">
        <v>49188</v>
      </c>
      <c r="OS5" s="26">
        <v>49218</v>
      </c>
      <c r="OT5" s="26">
        <v>49249</v>
      </c>
      <c r="OU5" s="26">
        <v>49279</v>
      </c>
      <c r="OV5" s="26">
        <v>49310</v>
      </c>
      <c r="OW5" s="26">
        <v>49341</v>
      </c>
      <c r="OX5" s="26">
        <v>49369</v>
      </c>
      <c r="OY5" s="26">
        <v>49400</v>
      </c>
      <c r="OZ5" s="26">
        <v>49430</v>
      </c>
      <c r="PA5" s="26">
        <v>49461</v>
      </c>
      <c r="PB5" s="26">
        <v>49491</v>
      </c>
      <c r="PC5" s="26">
        <v>49522</v>
      </c>
      <c r="PD5" s="26">
        <v>49553</v>
      </c>
      <c r="PE5" s="26">
        <v>49583</v>
      </c>
      <c r="PF5" s="26">
        <v>49614</v>
      </c>
      <c r="PG5" s="26">
        <v>49644</v>
      </c>
      <c r="PH5" s="26">
        <v>49675</v>
      </c>
      <c r="PI5" s="26">
        <v>49706</v>
      </c>
      <c r="PJ5" s="26">
        <v>49735</v>
      </c>
      <c r="PK5" s="26">
        <v>49766</v>
      </c>
      <c r="PL5" s="26">
        <v>49796</v>
      </c>
      <c r="PM5" s="26">
        <v>49827</v>
      </c>
      <c r="PN5" s="26">
        <v>49857</v>
      </c>
      <c r="PO5" s="26">
        <v>49888</v>
      </c>
      <c r="PP5" s="26">
        <v>49919</v>
      </c>
      <c r="PQ5" s="26">
        <v>49949</v>
      </c>
      <c r="PR5" s="26">
        <v>49980</v>
      </c>
      <c r="PS5" s="26">
        <v>50010</v>
      </c>
      <c r="PT5" s="26">
        <v>50041</v>
      </c>
      <c r="PU5" s="26">
        <v>50072</v>
      </c>
      <c r="PV5" s="26">
        <v>50100</v>
      </c>
      <c r="PW5" s="26">
        <v>50131</v>
      </c>
      <c r="PX5" s="26">
        <v>50161</v>
      </c>
      <c r="PY5" s="26">
        <v>50192</v>
      </c>
      <c r="PZ5" s="26">
        <v>50222</v>
      </c>
      <c r="QA5" s="26">
        <v>50253</v>
      </c>
      <c r="QB5" s="26">
        <v>50284</v>
      </c>
      <c r="QC5" s="26">
        <v>50314</v>
      </c>
      <c r="QD5" s="26">
        <v>50345</v>
      </c>
      <c r="QE5" s="26">
        <v>50375</v>
      </c>
      <c r="QF5" s="26">
        <v>50406</v>
      </c>
      <c r="QG5" s="26">
        <v>50437</v>
      </c>
      <c r="QH5" s="26">
        <v>50465</v>
      </c>
      <c r="QI5" s="26">
        <v>50496</v>
      </c>
      <c r="QJ5" s="26">
        <v>50526</v>
      </c>
      <c r="QK5" s="26">
        <v>50557</v>
      </c>
      <c r="QL5" s="26">
        <v>50587</v>
      </c>
      <c r="QM5" s="26">
        <v>50618</v>
      </c>
      <c r="QN5" s="26">
        <v>50649</v>
      </c>
      <c r="QO5" s="26">
        <v>50679</v>
      </c>
      <c r="QP5" s="26">
        <v>50710</v>
      </c>
      <c r="QQ5" s="26">
        <v>50740</v>
      </c>
      <c r="QR5" s="26">
        <v>50771</v>
      </c>
      <c r="QS5" s="26">
        <v>50802</v>
      </c>
      <c r="QT5" s="26">
        <v>50830</v>
      </c>
      <c r="QU5" s="26">
        <v>50861</v>
      </c>
      <c r="QV5" s="26">
        <v>50891</v>
      </c>
      <c r="QW5" s="26">
        <v>50922</v>
      </c>
      <c r="QX5" s="26">
        <v>50952</v>
      </c>
      <c r="QY5" s="26">
        <v>50983</v>
      </c>
      <c r="QZ5" s="26">
        <v>51014</v>
      </c>
      <c r="RA5" s="26">
        <v>51044</v>
      </c>
      <c r="RB5" s="26">
        <v>51075</v>
      </c>
      <c r="RC5" s="26">
        <v>51105</v>
      </c>
      <c r="RD5" s="26">
        <v>51136</v>
      </c>
      <c r="RE5" s="26">
        <v>51167</v>
      </c>
      <c r="RF5" s="26">
        <v>51196</v>
      </c>
      <c r="RG5" s="26">
        <v>51227</v>
      </c>
      <c r="RH5" s="26">
        <v>51257</v>
      </c>
      <c r="RI5" s="26">
        <v>51288</v>
      </c>
      <c r="RJ5" s="26">
        <v>51318</v>
      </c>
      <c r="RK5" s="26">
        <v>51349</v>
      </c>
      <c r="RL5" s="26">
        <v>51380</v>
      </c>
      <c r="RM5" s="26">
        <v>51410</v>
      </c>
      <c r="RN5" s="26">
        <v>51441</v>
      </c>
      <c r="RO5" s="26">
        <v>51471</v>
      </c>
      <c r="RP5" s="26">
        <v>51502</v>
      </c>
      <c r="RQ5" s="26">
        <v>51533</v>
      </c>
      <c r="RR5" s="26">
        <v>51561</v>
      </c>
      <c r="RS5" s="26">
        <v>51592</v>
      </c>
      <c r="RT5" s="26">
        <v>51622</v>
      </c>
      <c r="RU5" s="26">
        <v>51653</v>
      </c>
      <c r="RV5" s="26">
        <v>51683</v>
      </c>
      <c r="RW5" s="26">
        <v>51714</v>
      </c>
      <c r="RX5" s="26">
        <v>51745</v>
      </c>
      <c r="RY5" s="26">
        <v>51775</v>
      </c>
      <c r="RZ5" s="26">
        <v>51806</v>
      </c>
      <c r="SA5" s="26">
        <v>51836</v>
      </c>
      <c r="SB5" s="26">
        <v>51867</v>
      </c>
      <c r="SC5" s="26">
        <v>51898</v>
      </c>
      <c r="SD5" s="26">
        <v>51926</v>
      </c>
      <c r="SE5" s="26">
        <v>51957</v>
      </c>
      <c r="SF5" s="26">
        <v>51987</v>
      </c>
      <c r="SG5" s="26">
        <v>52018</v>
      </c>
      <c r="SH5" s="26">
        <v>52048</v>
      </c>
      <c r="SI5" s="26">
        <v>52079</v>
      </c>
      <c r="SJ5" s="26">
        <v>52110</v>
      </c>
      <c r="SK5" s="26">
        <v>52140</v>
      </c>
      <c r="SL5" s="26">
        <v>52171</v>
      </c>
      <c r="SM5" s="26">
        <v>52201</v>
      </c>
      <c r="SN5" s="26">
        <v>52232</v>
      </c>
      <c r="SO5" s="26">
        <v>52263</v>
      </c>
      <c r="SP5" s="26">
        <v>52291</v>
      </c>
      <c r="SQ5" s="26">
        <v>52322</v>
      </c>
      <c r="SR5" s="26">
        <v>52352</v>
      </c>
      <c r="SS5" s="26">
        <v>52383</v>
      </c>
      <c r="ST5" s="26">
        <v>52413</v>
      </c>
      <c r="SU5" s="26">
        <v>52444</v>
      </c>
      <c r="SV5" s="26">
        <v>52475</v>
      </c>
      <c r="SW5" s="26">
        <v>52505</v>
      </c>
      <c r="SX5" s="26">
        <v>52536</v>
      </c>
      <c r="SY5" s="26">
        <v>52566</v>
      </c>
      <c r="SZ5" s="26">
        <v>52597</v>
      </c>
      <c r="TA5" s="26">
        <v>52628</v>
      </c>
      <c r="TB5" s="26">
        <v>52657</v>
      </c>
      <c r="TC5" s="26">
        <v>52688</v>
      </c>
      <c r="TD5" s="26">
        <v>52718</v>
      </c>
      <c r="TE5" s="26">
        <v>52749</v>
      </c>
      <c r="TF5" s="26">
        <v>52779</v>
      </c>
      <c r="TG5" s="26">
        <v>52810</v>
      </c>
      <c r="TH5" s="26">
        <v>52841</v>
      </c>
      <c r="TI5" s="26">
        <v>52871</v>
      </c>
      <c r="TJ5" s="26">
        <v>52902</v>
      </c>
      <c r="TK5" s="26">
        <v>52932</v>
      </c>
      <c r="TL5" s="26">
        <v>52963</v>
      </c>
      <c r="TM5" s="26">
        <v>52994</v>
      </c>
      <c r="TN5" s="26">
        <v>53022</v>
      </c>
      <c r="TO5" s="26">
        <v>53053</v>
      </c>
      <c r="TP5" s="26">
        <v>53083</v>
      </c>
      <c r="TQ5" s="26">
        <v>53114</v>
      </c>
      <c r="TR5" s="26">
        <v>53144</v>
      </c>
      <c r="TS5" s="26">
        <v>53175</v>
      </c>
      <c r="TT5" s="26">
        <v>53206</v>
      </c>
      <c r="TU5" s="26">
        <v>53236</v>
      </c>
      <c r="TV5" s="26">
        <v>53267</v>
      </c>
      <c r="TW5" s="26">
        <v>53297</v>
      </c>
      <c r="TX5" s="26">
        <v>53328</v>
      </c>
      <c r="TY5" s="26">
        <v>53359</v>
      </c>
      <c r="TZ5" s="26">
        <v>53387</v>
      </c>
      <c r="UA5" s="26">
        <v>53418</v>
      </c>
      <c r="UB5" s="26">
        <v>53448</v>
      </c>
      <c r="UC5" s="26">
        <v>53479</v>
      </c>
      <c r="UD5" s="26">
        <v>53509</v>
      </c>
      <c r="UE5" s="26">
        <v>53540</v>
      </c>
      <c r="UF5" s="26">
        <v>53571</v>
      </c>
      <c r="UG5" s="26">
        <v>53601</v>
      </c>
      <c r="UH5" s="26">
        <v>53632</v>
      </c>
      <c r="UI5" s="26">
        <v>53662</v>
      </c>
      <c r="UJ5" s="26">
        <v>53693</v>
      </c>
      <c r="UK5" s="26">
        <v>53724</v>
      </c>
      <c r="UL5" s="26">
        <v>53752</v>
      </c>
      <c r="UM5" s="26">
        <v>53783</v>
      </c>
      <c r="UN5" s="26">
        <v>53813</v>
      </c>
      <c r="UO5" s="26">
        <v>53844</v>
      </c>
      <c r="UP5" s="26">
        <v>53874</v>
      </c>
      <c r="UQ5" s="26">
        <v>53905</v>
      </c>
      <c r="UR5" s="26">
        <v>53936</v>
      </c>
      <c r="US5" s="26">
        <v>53966</v>
      </c>
      <c r="UT5" s="26">
        <v>53997</v>
      </c>
      <c r="UU5" s="26">
        <v>54027</v>
      </c>
      <c r="UV5" s="26">
        <v>54058</v>
      </c>
      <c r="UW5" s="26">
        <v>54089</v>
      </c>
      <c r="UX5" s="26">
        <v>54118</v>
      </c>
      <c r="UY5" s="26">
        <v>54149</v>
      </c>
      <c r="UZ5" s="26">
        <v>54179</v>
      </c>
      <c r="VA5" s="26">
        <v>54210</v>
      </c>
      <c r="VB5" s="26">
        <v>54240</v>
      </c>
      <c r="VC5" s="26">
        <v>54271</v>
      </c>
      <c r="VD5" s="26">
        <v>54302</v>
      </c>
      <c r="VE5" s="26">
        <v>54332</v>
      </c>
      <c r="VF5" s="26">
        <v>54363</v>
      </c>
      <c r="VG5" s="26">
        <v>54393</v>
      </c>
      <c r="VH5" s="26">
        <v>54424</v>
      </c>
      <c r="VI5" s="26">
        <v>54455</v>
      </c>
      <c r="VJ5" s="26">
        <v>54483</v>
      </c>
      <c r="VK5" s="26">
        <v>54514</v>
      </c>
      <c r="VL5" s="26">
        <v>54544</v>
      </c>
      <c r="VM5" s="26">
        <v>54575</v>
      </c>
      <c r="VN5" s="26">
        <v>54605</v>
      </c>
      <c r="VO5" s="26">
        <v>54636</v>
      </c>
      <c r="VP5" s="26">
        <v>54667</v>
      </c>
      <c r="VQ5" s="26">
        <v>54697</v>
      </c>
      <c r="VR5" s="26">
        <v>54728</v>
      </c>
      <c r="VS5" s="26">
        <v>54758</v>
      </c>
      <c r="VT5" s="26">
        <v>54789</v>
      </c>
      <c r="VU5" s="26">
        <v>54820</v>
      </c>
      <c r="VV5" s="26">
        <v>54848</v>
      </c>
      <c r="VW5" s="26">
        <v>54879</v>
      </c>
      <c r="VX5" s="26">
        <v>54909</v>
      </c>
      <c r="VY5" s="26">
        <v>54940</v>
      </c>
      <c r="VZ5" s="26">
        <v>54970</v>
      </c>
      <c r="WA5" s="26">
        <v>55001</v>
      </c>
      <c r="WB5" s="26">
        <v>55032</v>
      </c>
      <c r="WC5" s="26">
        <v>55062</v>
      </c>
      <c r="WD5" s="26">
        <v>55093</v>
      </c>
      <c r="WE5" s="26">
        <v>55123</v>
      </c>
      <c r="WF5" s="26">
        <v>55154</v>
      </c>
      <c r="WG5" s="26">
        <v>55185</v>
      </c>
      <c r="WH5" s="26">
        <v>55213</v>
      </c>
      <c r="WI5" s="26">
        <v>55244</v>
      </c>
      <c r="WJ5" s="26">
        <v>55274</v>
      </c>
      <c r="WK5" s="26">
        <v>55305</v>
      </c>
      <c r="WL5" s="26">
        <v>55335</v>
      </c>
      <c r="WM5" s="26">
        <v>55366</v>
      </c>
      <c r="WN5" s="26">
        <v>55397</v>
      </c>
      <c r="WO5" s="26">
        <v>55427</v>
      </c>
      <c r="WP5" s="26">
        <v>55458</v>
      </c>
      <c r="WQ5" s="26">
        <v>55488</v>
      </c>
      <c r="WR5" s="26">
        <v>55519</v>
      </c>
      <c r="WS5" s="26">
        <v>55550</v>
      </c>
      <c r="WT5" s="26">
        <v>55579</v>
      </c>
      <c r="WU5" s="26">
        <v>55610</v>
      </c>
      <c r="WV5" s="26">
        <v>55640</v>
      </c>
      <c r="WW5" s="26">
        <v>55671</v>
      </c>
      <c r="WX5" s="26">
        <v>55701</v>
      </c>
      <c r="WY5" s="26">
        <v>55732</v>
      </c>
      <c r="WZ5" s="26">
        <v>55763</v>
      </c>
      <c r="XA5" s="26">
        <v>55793</v>
      </c>
      <c r="XB5" s="26">
        <v>55824</v>
      </c>
      <c r="XC5" s="26">
        <v>55854</v>
      </c>
      <c r="XD5" s="26">
        <v>55885</v>
      </c>
      <c r="XE5" s="26">
        <v>55916</v>
      </c>
      <c r="XF5" s="26">
        <v>55944</v>
      </c>
      <c r="XG5" s="26">
        <v>55975</v>
      </c>
      <c r="XH5" s="26">
        <v>56005</v>
      </c>
      <c r="XI5" s="26">
        <v>56036</v>
      </c>
      <c r="XJ5" s="26">
        <v>56066</v>
      </c>
      <c r="XK5" s="26">
        <v>56097</v>
      </c>
      <c r="XL5" s="26">
        <v>56128</v>
      </c>
      <c r="XM5" s="26">
        <v>56158</v>
      </c>
      <c r="XN5" s="26">
        <v>56189</v>
      </c>
      <c r="XO5" s="26">
        <v>56219</v>
      </c>
      <c r="XP5" s="26">
        <v>56250</v>
      </c>
      <c r="XQ5" s="26">
        <v>56281</v>
      </c>
      <c r="XR5" s="26">
        <v>56309</v>
      </c>
      <c r="XS5" s="26">
        <v>56340</v>
      </c>
      <c r="XT5" s="26">
        <v>56370</v>
      </c>
      <c r="XU5" s="26">
        <v>56401</v>
      </c>
      <c r="XV5" s="26">
        <v>56431</v>
      </c>
      <c r="XW5" s="26">
        <v>56462</v>
      </c>
      <c r="XX5" s="26">
        <v>56493</v>
      </c>
      <c r="XY5" s="26">
        <v>56523</v>
      </c>
      <c r="XZ5" s="26">
        <v>56554</v>
      </c>
      <c r="YA5" s="26">
        <v>56584</v>
      </c>
      <c r="YB5" s="26">
        <v>56615</v>
      </c>
      <c r="YC5" s="26">
        <v>56646</v>
      </c>
      <c r="YD5" s="26">
        <v>56674</v>
      </c>
      <c r="YE5" s="26">
        <v>56705</v>
      </c>
      <c r="YF5" s="26">
        <v>56735</v>
      </c>
      <c r="YG5" s="26">
        <v>56766</v>
      </c>
      <c r="YH5" s="26">
        <v>56796</v>
      </c>
      <c r="YI5" s="26">
        <v>56827</v>
      </c>
      <c r="YJ5" s="26">
        <v>56858</v>
      </c>
      <c r="YK5" s="26">
        <v>56888</v>
      </c>
      <c r="YL5" s="26">
        <v>56919</v>
      </c>
      <c r="YM5" s="26">
        <v>56949</v>
      </c>
    </row>
    <row r="6" spans="1:663" x14ac:dyDescent="0.2">
      <c r="C6">
        <f>IF(C7&lt;$B$13,0,B6+1)</f>
        <v>1</v>
      </c>
      <c r="D6">
        <f t="shared" ref="D6:BO6" si="11">IF(D7&lt;$B$13,0,C6+1)</f>
        <v>2</v>
      </c>
      <c r="E6">
        <f t="shared" si="11"/>
        <v>3</v>
      </c>
      <c r="F6">
        <f t="shared" si="11"/>
        <v>4</v>
      </c>
      <c r="G6">
        <f t="shared" si="11"/>
        <v>5</v>
      </c>
      <c r="H6">
        <f t="shared" si="11"/>
        <v>6</v>
      </c>
      <c r="I6">
        <f t="shared" si="11"/>
        <v>7</v>
      </c>
      <c r="J6">
        <f t="shared" si="11"/>
        <v>8</v>
      </c>
      <c r="K6">
        <f t="shared" si="11"/>
        <v>9</v>
      </c>
      <c r="L6">
        <f t="shared" si="11"/>
        <v>10</v>
      </c>
      <c r="M6">
        <f t="shared" si="11"/>
        <v>11</v>
      </c>
      <c r="N6">
        <f t="shared" si="11"/>
        <v>12</v>
      </c>
      <c r="O6">
        <f t="shared" si="11"/>
        <v>13</v>
      </c>
      <c r="P6">
        <f t="shared" si="11"/>
        <v>14</v>
      </c>
      <c r="Q6">
        <f t="shared" si="11"/>
        <v>15</v>
      </c>
      <c r="R6">
        <f t="shared" si="11"/>
        <v>16</v>
      </c>
      <c r="S6">
        <f t="shared" si="11"/>
        <v>17</v>
      </c>
      <c r="T6">
        <f t="shared" si="11"/>
        <v>18</v>
      </c>
      <c r="U6">
        <f t="shared" si="11"/>
        <v>19</v>
      </c>
      <c r="V6">
        <f t="shared" si="11"/>
        <v>20</v>
      </c>
      <c r="W6">
        <f t="shared" si="11"/>
        <v>21</v>
      </c>
      <c r="X6">
        <f t="shared" si="11"/>
        <v>22</v>
      </c>
      <c r="Y6">
        <f t="shared" si="11"/>
        <v>23</v>
      </c>
      <c r="Z6">
        <f t="shared" si="11"/>
        <v>24</v>
      </c>
      <c r="AA6">
        <f t="shared" si="11"/>
        <v>25</v>
      </c>
      <c r="AB6">
        <f t="shared" si="11"/>
        <v>26</v>
      </c>
      <c r="AC6">
        <f t="shared" si="11"/>
        <v>27</v>
      </c>
      <c r="AD6">
        <f t="shared" si="11"/>
        <v>28</v>
      </c>
      <c r="AE6">
        <f t="shared" si="11"/>
        <v>29</v>
      </c>
      <c r="AF6">
        <f t="shared" si="11"/>
        <v>30</v>
      </c>
      <c r="AG6">
        <f t="shared" si="11"/>
        <v>31</v>
      </c>
      <c r="AH6">
        <f t="shared" si="11"/>
        <v>32</v>
      </c>
      <c r="AI6">
        <f t="shared" si="11"/>
        <v>33</v>
      </c>
      <c r="AJ6">
        <f t="shared" si="11"/>
        <v>34</v>
      </c>
      <c r="AK6">
        <f t="shared" si="11"/>
        <v>35</v>
      </c>
      <c r="AL6">
        <f t="shared" si="11"/>
        <v>36</v>
      </c>
      <c r="AM6">
        <f t="shared" si="11"/>
        <v>37</v>
      </c>
      <c r="AN6">
        <f t="shared" si="11"/>
        <v>38</v>
      </c>
      <c r="AO6">
        <f t="shared" si="11"/>
        <v>39</v>
      </c>
      <c r="AP6">
        <f t="shared" si="11"/>
        <v>40</v>
      </c>
      <c r="AQ6">
        <f t="shared" si="11"/>
        <v>41</v>
      </c>
      <c r="AR6">
        <f t="shared" si="11"/>
        <v>42</v>
      </c>
      <c r="AS6">
        <f t="shared" si="11"/>
        <v>43</v>
      </c>
      <c r="AT6">
        <f t="shared" si="11"/>
        <v>44</v>
      </c>
      <c r="AU6">
        <f t="shared" si="11"/>
        <v>45</v>
      </c>
      <c r="AV6">
        <f t="shared" si="11"/>
        <v>46</v>
      </c>
      <c r="AW6">
        <f t="shared" si="11"/>
        <v>47</v>
      </c>
      <c r="AX6">
        <f t="shared" si="11"/>
        <v>48</v>
      </c>
      <c r="AY6">
        <f t="shared" si="11"/>
        <v>49</v>
      </c>
      <c r="AZ6">
        <f t="shared" si="11"/>
        <v>50</v>
      </c>
      <c r="BA6">
        <f t="shared" si="11"/>
        <v>51</v>
      </c>
      <c r="BB6">
        <f t="shared" si="11"/>
        <v>52</v>
      </c>
      <c r="BC6">
        <f t="shared" si="11"/>
        <v>53</v>
      </c>
      <c r="BD6">
        <f t="shared" si="11"/>
        <v>54</v>
      </c>
      <c r="BE6">
        <f t="shared" si="11"/>
        <v>55</v>
      </c>
      <c r="BF6">
        <f t="shared" si="11"/>
        <v>56</v>
      </c>
      <c r="BG6">
        <f t="shared" si="11"/>
        <v>57</v>
      </c>
      <c r="BH6">
        <f t="shared" si="11"/>
        <v>58</v>
      </c>
      <c r="BI6">
        <f t="shared" si="11"/>
        <v>59</v>
      </c>
      <c r="BJ6">
        <f t="shared" si="11"/>
        <v>60</v>
      </c>
      <c r="BK6">
        <f t="shared" si="11"/>
        <v>61</v>
      </c>
      <c r="BL6">
        <f t="shared" si="11"/>
        <v>62</v>
      </c>
      <c r="BM6">
        <f t="shared" si="11"/>
        <v>63</v>
      </c>
      <c r="BN6">
        <f t="shared" si="11"/>
        <v>64</v>
      </c>
      <c r="BO6">
        <f t="shared" si="11"/>
        <v>65</v>
      </c>
      <c r="BP6">
        <f t="shared" ref="BP6:EA6" si="12">IF(BP7&lt;$B$13,0,BO6+1)</f>
        <v>66</v>
      </c>
      <c r="BQ6">
        <f t="shared" si="12"/>
        <v>67</v>
      </c>
      <c r="BR6">
        <f t="shared" si="12"/>
        <v>68</v>
      </c>
      <c r="BS6">
        <f t="shared" si="12"/>
        <v>69</v>
      </c>
      <c r="BT6">
        <f t="shared" si="12"/>
        <v>70</v>
      </c>
      <c r="BU6">
        <f t="shared" si="12"/>
        <v>71</v>
      </c>
      <c r="BV6">
        <f t="shared" si="12"/>
        <v>72</v>
      </c>
      <c r="BW6">
        <f t="shared" si="12"/>
        <v>73</v>
      </c>
      <c r="BX6">
        <f t="shared" si="12"/>
        <v>74</v>
      </c>
      <c r="BY6">
        <f t="shared" si="12"/>
        <v>75</v>
      </c>
      <c r="BZ6">
        <f t="shared" si="12"/>
        <v>76</v>
      </c>
      <c r="CA6">
        <f t="shared" si="12"/>
        <v>77</v>
      </c>
      <c r="CB6">
        <f t="shared" si="12"/>
        <v>78</v>
      </c>
      <c r="CC6">
        <f t="shared" si="12"/>
        <v>79</v>
      </c>
      <c r="CD6">
        <f t="shared" si="12"/>
        <v>80</v>
      </c>
      <c r="CE6">
        <f t="shared" si="12"/>
        <v>81</v>
      </c>
      <c r="CF6">
        <f t="shared" si="12"/>
        <v>82</v>
      </c>
      <c r="CG6">
        <f t="shared" si="12"/>
        <v>83</v>
      </c>
      <c r="CH6">
        <f t="shared" si="12"/>
        <v>84</v>
      </c>
      <c r="CI6">
        <f t="shared" si="12"/>
        <v>85</v>
      </c>
      <c r="CJ6">
        <f t="shared" si="12"/>
        <v>86</v>
      </c>
      <c r="CK6">
        <f t="shared" si="12"/>
        <v>87</v>
      </c>
      <c r="CL6">
        <f t="shared" si="12"/>
        <v>88</v>
      </c>
      <c r="CM6">
        <f t="shared" si="12"/>
        <v>89</v>
      </c>
      <c r="CN6">
        <f t="shared" si="12"/>
        <v>90</v>
      </c>
      <c r="CO6">
        <f t="shared" si="12"/>
        <v>91</v>
      </c>
      <c r="CP6">
        <f t="shared" si="12"/>
        <v>92</v>
      </c>
      <c r="CQ6">
        <f t="shared" si="12"/>
        <v>93</v>
      </c>
      <c r="CR6">
        <f t="shared" si="12"/>
        <v>94</v>
      </c>
      <c r="CS6">
        <f t="shared" si="12"/>
        <v>95</v>
      </c>
      <c r="CT6">
        <f t="shared" si="12"/>
        <v>96</v>
      </c>
      <c r="CU6">
        <f t="shared" si="12"/>
        <v>97</v>
      </c>
      <c r="CV6">
        <f t="shared" si="12"/>
        <v>98</v>
      </c>
      <c r="CW6">
        <f t="shared" si="12"/>
        <v>99</v>
      </c>
      <c r="CX6">
        <f t="shared" si="12"/>
        <v>100</v>
      </c>
      <c r="CY6">
        <f t="shared" si="12"/>
        <v>101</v>
      </c>
      <c r="CZ6">
        <f t="shared" si="12"/>
        <v>102</v>
      </c>
      <c r="DA6">
        <f t="shared" si="12"/>
        <v>103</v>
      </c>
      <c r="DB6">
        <f t="shared" si="12"/>
        <v>104</v>
      </c>
      <c r="DC6">
        <f t="shared" si="12"/>
        <v>105</v>
      </c>
      <c r="DD6">
        <f t="shared" si="12"/>
        <v>106</v>
      </c>
      <c r="DE6">
        <f t="shared" si="12"/>
        <v>107</v>
      </c>
      <c r="DF6">
        <f t="shared" si="12"/>
        <v>108</v>
      </c>
      <c r="DG6">
        <f t="shared" si="12"/>
        <v>109</v>
      </c>
      <c r="DH6">
        <f t="shared" si="12"/>
        <v>110</v>
      </c>
      <c r="DI6">
        <f t="shared" si="12"/>
        <v>111</v>
      </c>
      <c r="DJ6">
        <f t="shared" si="12"/>
        <v>112</v>
      </c>
      <c r="DK6">
        <f t="shared" si="12"/>
        <v>113</v>
      </c>
      <c r="DL6">
        <f t="shared" si="12"/>
        <v>114</v>
      </c>
      <c r="DM6">
        <f t="shared" si="12"/>
        <v>115</v>
      </c>
      <c r="DN6">
        <f t="shared" si="12"/>
        <v>116</v>
      </c>
      <c r="DO6">
        <f t="shared" si="12"/>
        <v>117</v>
      </c>
      <c r="DP6">
        <f t="shared" si="12"/>
        <v>118</v>
      </c>
      <c r="DQ6">
        <f t="shared" si="12"/>
        <v>119</v>
      </c>
      <c r="DR6">
        <f t="shared" si="12"/>
        <v>120</v>
      </c>
      <c r="DS6">
        <f t="shared" si="12"/>
        <v>121</v>
      </c>
      <c r="DT6">
        <f t="shared" si="12"/>
        <v>122</v>
      </c>
      <c r="DU6">
        <f t="shared" si="12"/>
        <v>123</v>
      </c>
      <c r="DV6">
        <f t="shared" si="12"/>
        <v>124</v>
      </c>
      <c r="DW6">
        <f t="shared" si="12"/>
        <v>125</v>
      </c>
      <c r="DX6">
        <f t="shared" si="12"/>
        <v>126</v>
      </c>
      <c r="DY6">
        <f t="shared" si="12"/>
        <v>127</v>
      </c>
      <c r="DZ6">
        <f t="shared" si="12"/>
        <v>128</v>
      </c>
      <c r="EA6">
        <f t="shared" si="12"/>
        <v>129</v>
      </c>
      <c r="EB6">
        <f t="shared" ref="EB6:GM6" si="13">IF(EB7&lt;$B$13,0,EA6+1)</f>
        <v>130</v>
      </c>
      <c r="EC6">
        <f t="shared" si="13"/>
        <v>131</v>
      </c>
      <c r="ED6">
        <f t="shared" si="13"/>
        <v>132</v>
      </c>
      <c r="EE6">
        <f t="shared" si="13"/>
        <v>133</v>
      </c>
      <c r="EF6">
        <f t="shared" si="13"/>
        <v>134</v>
      </c>
      <c r="EG6">
        <f t="shared" si="13"/>
        <v>135</v>
      </c>
      <c r="EH6">
        <f t="shared" si="13"/>
        <v>136</v>
      </c>
      <c r="EI6">
        <f t="shared" si="13"/>
        <v>137</v>
      </c>
      <c r="EJ6">
        <f t="shared" si="13"/>
        <v>138</v>
      </c>
      <c r="EK6">
        <f t="shared" si="13"/>
        <v>139</v>
      </c>
      <c r="EL6">
        <f t="shared" si="13"/>
        <v>140</v>
      </c>
      <c r="EM6">
        <f t="shared" si="13"/>
        <v>141</v>
      </c>
      <c r="EN6">
        <f t="shared" si="13"/>
        <v>142</v>
      </c>
      <c r="EO6">
        <f t="shared" si="13"/>
        <v>143</v>
      </c>
      <c r="EP6">
        <f t="shared" si="13"/>
        <v>144</v>
      </c>
      <c r="EQ6">
        <f t="shared" si="13"/>
        <v>145</v>
      </c>
      <c r="ER6">
        <f t="shared" si="13"/>
        <v>146</v>
      </c>
      <c r="ES6">
        <f t="shared" si="13"/>
        <v>147</v>
      </c>
      <c r="ET6">
        <f t="shared" si="13"/>
        <v>148</v>
      </c>
      <c r="EU6">
        <f t="shared" si="13"/>
        <v>149</v>
      </c>
      <c r="EV6">
        <f t="shared" si="13"/>
        <v>150</v>
      </c>
      <c r="EW6">
        <f t="shared" si="13"/>
        <v>151</v>
      </c>
      <c r="EX6">
        <f t="shared" si="13"/>
        <v>152</v>
      </c>
      <c r="EY6">
        <f t="shared" si="13"/>
        <v>153</v>
      </c>
      <c r="EZ6">
        <f t="shared" si="13"/>
        <v>154</v>
      </c>
      <c r="FA6">
        <f t="shared" si="13"/>
        <v>155</v>
      </c>
      <c r="FB6">
        <f t="shared" si="13"/>
        <v>156</v>
      </c>
      <c r="FC6">
        <f t="shared" si="13"/>
        <v>157</v>
      </c>
      <c r="FD6">
        <f t="shared" si="13"/>
        <v>158</v>
      </c>
      <c r="FE6">
        <f t="shared" si="13"/>
        <v>159</v>
      </c>
      <c r="FF6">
        <f t="shared" si="13"/>
        <v>160</v>
      </c>
      <c r="FG6">
        <f t="shared" si="13"/>
        <v>161</v>
      </c>
      <c r="FH6">
        <f t="shared" si="13"/>
        <v>162</v>
      </c>
      <c r="FI6">
        <f t="shared" si="13"/>
        <v>163</v>
      </c>
      <c r="FJ6">
        <f t="shared" si="13"/>
        <v>164</v>
      </c>
      <c r="FK6">
        <f t="shared" si="13"/>
        <v>165</v>
      </c>
      <c r="FL6">
        <f t="shared" si="13"/>
        <v>166</v>
      </c>
      <c r="FM6">
        <f t="shared" si="13"/>
        <v>167</v>
      </c>
      <c r="FN6">
        <f t="shared" si="13"/>
        <v>168</v>
      </c>
      <c r="FO6">
        <f t="shared" si="13"/>
        <v>169</v>
      </c>
      <c r="FP6">
        <f t="shared" si="13"/>
        <v>170</v>
      </c>
      <c r="FQ6">
        <f t="shared" si="13"/>
        <v>171</v>
      </c>
      <c r="FR6">
        <f t="shared" si="13"/>
        <v>172</v>
      </c>
      <c r="FS6">
        <f t="shared" si="13"/>
        <v>173</v>
      </c>
      <c r="FT6">
        <f t="shared" si="13"/>
        <v>174</v>
      </c>
      <c r="FU6">
        <f t="shared" si="13"/>
        <v>175</v>
      </c>
      <c r="FV6">
        <f t="shared" si="13"/>
        <v>176</v>
      </c>
      <c r="FW6">
        <f t="shared" si="13"/>
        <v>177</v>
      </c>
      <c r="FX6">
        <f t="shared" si="13"/>
        <v>178</v>
      </c>
      <c r="FY6">
        <f t="shared" si="13"/>
        <v>179</v>
      </c>
      <c r="FZ6">
        <f t="shared" si="13"/>
        <v>180</v>
      </c>
      <c r="GA6">
        <f t="shared" si="13"/>
        <v>181</v>
      </c>
      <c r="GB6">
        <f t="shared" si="13"/>
        <v>182</v>
      </c>
      <c r="GC6">
        <f t="shared" si="13"/>
        <v>183</v>
      </c>
      <c r="GD6">
        <f t="shared" si="13"/>
        <v>184</v>
      </c>
      <c r="GE6">
        <f t="shared" si="13"/>
        <v>185</v>
      </c>
      <c r="GF6">
        <f t="shared" si="13"/>
        <v>186</v>
      </c>
      <c r="GG6">
        <f t="shared" si="13"/>
        <v>187</v>
      </c>
      <c r="GH6">
        <f t="shared" si="13"/>
        <v>188</v>
      </c>
      <c r="GI6">
        <f t="shared" si="13"/>
        <v>189</v>
      </c>
      <c r="GJ6">
        <f t="shared" si="13"/>
        <v>190</v>
      </c>
      <c r="GK6">
        <f t="shared" si="13"/>
        <v>191</v>
      </c>
      <c r="GL6">
        <f t="shared" si="13"/>
        <v>192</v>
      </c>
      <c r="GM6">
        <f t="shared" si="13"/>
        <v>193</v>
      </c>
      <c r="GN6">
        <f t="shared" ref="GN6:IY6" si="14">IF(GN7&lt;$B$13,0,GM6+1)</f>
        <v>194</v>
      </c>
      <c r="GO6">
        <f t="shared" si="14"/>
        <v>195</v>
      </c>
      <c r="GP6">
        <f t="shared" si="14"/>
        <v>196</v>
      </c>
      <c r="GQ6">
        <f t="shared" si="14"/>
        <v>197</v>
      </c>
      <c r="GR6">
        <f t="shared" si="14"/>
        <v>198</v>
      </c>
      <c r="GS6">
        <f t="shared" si="14"/>
        <v>199</v>
      </c>
      <c r="GT6">
        <f t="shared" si="14"/>
        <v>200</v>
      </c>
      <c r="GU6">
        <f t="shared" si="14"/>
        <v>201</v>
      </c>
      <c r="GV6">
        <f t="shared" si="14"/>
        <v>202</v>
      </c>
      <c r="GW6">
        <f t="shared" si="14"/>
        <v>203</v>
      </c>
      <c r="GX6">
        <f t="shared" si="14"/>
        <v>204</v>
      </c>
      <c r="GY6">
        <f t="shared" si="14"/>
        <v>205</v>
      </c>
      <c r="GZ6">
        <f t="shared" si="14"/>
        <v>206</v>
      </c>
      <c r="HA6">
        <f t="shared" si="14"/>
        <v>207</v>
      </c>
      <c r="HB6">
        <f t="shared" si="14"/>
        <v>208</v>
      </c>
      <c r="HC6">
        <f t="shared" si="14"/>
        <v>209</v>
      </c>
      <c r="HD6">
        <f t="shared" si="14"/>
        <v>210</v>
      </c>
      <c r="HE6">
        <f t="shared" si="14"/>
        <v>211</v>
      </c>
      <c r="HF6">
        <f t="shared" si="14"/>
        <v>212</v>
      </c>
      <c r="HG6">
        <f t="shared" si="14"/>
        <v>213</v>
      </c>
      <c r="HH6">
        <f t="shared" si="14"/>
        <v>214</v>
      </c>
      <c r="HI6">
        <f t="shared" si="14"/>
        <v>215</v>
      </c>
      <c r="HJ6">
        <f t="shared" si="14"/>
        <v>216</v>
      </c>
      <c r="HK6">
        <f t="shared" si="14"/>
        <v>217</v>
      </c>
      <c r="HL6">
        <f t="shared" si="14"/>
        <v>218</v>
      </c>
      <c r="HM6">
        <f t="shared" si="14"/>
        <v>219</v>
      </c>
      <c r="HN6">
        <f t="shared" si="14"/>
        <v>220</v>
      </c>
      <c r="HO6">
        <f t="shared" si="14"/>
        <v>221</v>
      </c>
      <c r="HP6">
        <f t="shared" si="14"/>
        <v>222</v>
      </c>
      <c r="HQ6">
        <f t="shared" si="14"/>
        <v>223</v>
      </c>
      <c r="HR6">
        <f t="shared" si="14"/>
        <v>224</v>
      </c>
      <c r="HS6">
        <f t="shared" si="14"/>
        <v>225</v>
      </c>
      <c r="HT6">
        <f t="shared" si="14"/>
        <v>226</v>
      </c>
      <c r="HU6">
        <f t="shared" si="14"/>
        <v>227</v>
      </c>
      <c r="HV6">
        <f t="shared" si="14"/>
        <v>228</v>
      </c>
      <c r="HW6">
        <f t="shared" si="14"/>
        <v>229</v>
      </c>
      <c r="HX6">
        <f t="shared" si="14"/>
        <v>230</v>
      </c>
      <c r="HY6">
        <f t="shared" si="14"/>
        <v>231</v>
      </c>
      <c r="HZ6">
        <f t="shared" si="14"/>
        <v>232</v>
      </c>
      <c r="IA6">
        <f t="shared" si="14"/>
        <v>233</v>
      </c>
      <c r="IB6">
        <f t="shared" si="14"/>
        <v>234</v>
      </c>
      <c r="IC6">
        <f t="shared" si="14"/>
        <v>235</v>
      </c>
      <c r="ID6">
        <f t="shared" si="14"/>
        <v>236</v>
      </c>
      <c r="IE6">
        <f t="shared" si="14"/>
        <v>237</v>
      </c>
      <c r="IF6">
        <f t="shared" si="14"/>
        <v>238</v>
      </c>
      <c r="IG6">
        <f t="shared" si="14"/>
        <v>239</v>
      </c>
      <c r="IH6">
        <f t="shared" si="14"/>
        <v>240</v>
      </c>
      <c r="II6">
        <f t="shared" si="14"/>
        <v>241</v>
      </c>
      <c r="IJ6">
        <f t="shared" si="14"/>
        <v>242</v>
      </c>
      <c r="IK6">
        <f t="shared" si="14"/>
        <v>243</v>
      </c>
      <c r="IL6">
        <f t="shared" si="14"/>
        <v>244</v>
      </c>
      <c r="IM6">
        <f t="shared" si="14"/>
        <v>245</v>
      </c>
      <c r="IN6">
        <f t="shared" si="14"/>
        <v>246</v>
      </c>
      <c r="IO6">
        <f t="shared" si="14"/>
        <v>247</v>
      </c>
      <c r="IP6">
        <f t="shared" si="14"/>
        <v>248</v>
      </c>
      <c r="IQ6">
        <f t="shared" si="14"/>
        <v>249</v>
      </c>
      <c r="IR6">
        <f t="shared" si="14"/>
        <v>250</v>
      </c>
      <c r="IS6">
        <f t="shared" si="14"/>
        <v>251</v>
      </c>
      <c r="IT6">
        <f t="shared" si="14"/>
        <v>252</v>
      </c>
      <c r="IU6">
        <f t="shared" si="14"/>
        <v>253</v>
      </c>
      <c r="IV6">
        <f t="shared" si="14"/>
        <v>254</v>
      </c>
      <c r="IW6">
        <f t="shared" si="14"/>
        <v>255</v>
      </c>
      <c r="IX6">
        <f t="shared" si="14"/>
        <v>256</v>
      </c>
      <c r="IY6">
        <f t="shared" si="14"/>
        <v>257</v>
      </c>
      <c r="IZ6">
        <f t="shared" ref="IZ6:LK6" si="15">IF(IZ7&lt;$B$13,0,IY6+1)</f>
        <v>258</v>
      </c>
      <c r="JA6">
        <f t="shared" si="15"/>
        <v>259</v>
      </c>
      <c r="JB6">
        <f t="shared" si="15"/>
        <v>260</v>
      </c>
      <c r="JC6">
        <f t="shared" si="15"/>
        <v>261</v>
      </c>
      <c r="JD6">
        <f t="shared" si="15"/>
        <v>262</v>
      </c>
      <c r="JE6">
        <f t="shared" si="15"/>
        <v>263</v>
      </c>
      <c r="JF6">
        <f t="shared" si="15"/>
        <v>264</v>
      </c>
      <c r="JG6">
        <f t="shared" si="15"/>
        <v>265</v>
      </c>
      <c r="JH6">
        <f t="shared" si="15"/>
        <v>266</v>
      </c>
      <c r="JI6">
        <f t="shared" si="15"/>
        <v>267</v>
      </c>
      <c r="JJ6">
        <f t="shared" si="15"/>
        <v>268</v>
      </c>
      <c r="JK6">
        <f t="shared" si="15"/>
        <v>269</v>
      </c>
      <c r="JL6">
        <f t="shared" si="15"/>
        <v>270</v>
      </c>
      <c r="JM6">
        <f t="shared" si="15"/>
        <v>271</v>
      </c>
      <c r="JN6">
        <f t="shared" si="15"/>
        <v>272</v>
      </c>
      <c r="JO6">
        <f t="shared" si="15"/>
        <v>273</v>
      </c>
      <c r="JP6">
        <f t="shared" si="15"/>
        <v>274</v>
      </c>
      <c r="JQ6">
        <f t="shared" si="15"/>
        <v>275</v>
      </c>
      <c r="JR6">
        <f t="shared" si="15"/>
        <v>276</v>
      </c>
      <c r="JS6">
        <f t="shared" si="15"/>
        <v>277</v>
      </c>
      <c r="JT6">
        <f t="shared" si="15"/>
        <v>278</v>
      </c>
      <c r="JU6">
        <f t="shared" si="15"/>
        <v>279</v>
      </c>
      <c r="JV6">
        <f t="shared" si="15"/>
        <v>280</v>
      </c>
      <c r="JW6">
        <f t="shared" si="15"/>
        <v>281</v>
      </c>
      <c r="JX6">
        <f t="shared" si="15"/>
        <v>282</v>
      </c>
      <c r="JY6">
        <f t="shared" si="15"/>
        <v>283</v>
      </c>
      <c r="JZ6">
        <f t="shared" si="15"/>
        <v>284</v>
      </c>
      <c r="KA6">
        <f t="shared" si="15"/>
        <v>285</v>
      </c>
      <c r="KB6">
        <f t="shared" si="15"/>
        <v>286</v>
      </c>
      <c r="KC6">
        <f t="shared" si="15"/>
        <v>287</v>
      </c>
      <c r="KD6">
        <f t="shared" si="15"/>
        <v>288</v>
      </c>
      <c r="KE6">
        <f t="shared" si="15"/>
        <v>289</v>
      </c>
      <c r="KF6">
        <f t="shared" si="15"/>
        <v>290</v>
      </c>
      <c r="KG6">
        <f t="shared" si="15"/>
        <v>291</v>
      </c>
      <c r="KH6">
        <f t="shared" si="15"/>
        <v>292</v>
      </c>
      <c r="KI6">
        <f t="shared" si="15"/>
        <v>293</v>
      </c>
      <c r="KJ6">
        <f t="shared" si="15"/>
        <v>294</v>
      </c>
      <c r="KK6">
        <f t="shared" si="15"/>
        <v>295</v>
      </c>
      <c r="KL6">
        <f t="shared" si="15"/>
        <v>296</v>
      </c>
      <c r="KM6">
        <f t="shared" si="15"/>
        <v>297</v>
      </c>
      <c r="KN6">
        <f t="shared" si="15"/>
        <v>298</v>
      </c>
      <c r="KO6">
        <f t="shared" si="15"/>
        <v>299</v>
      </c>
      <c r="KP6">
        <f t="shared" si="15"/>
        <v>300</v>
      </c>
      <c r="KQ6">
        <f t="shared" si="15"/>
        <v>301</v>
      </c>
      <c r="KR6">
        <f t="shared" si="15"/>
        <v>302</v>
      </c>
      <c r="KS6">
        <f t="shared" si="15"/>
        <v>303</v>
      </c>
      <c r="KT6">
        <f t="shared" si="15"/>
        <v>304</v>
      </c>
      <c r="KU6">
        <f t="shared" si="15"/>
        <v>305</v>
      </c>
      <c r="KV6">
        <f t="shared" si="15"/>
        <v>306</v>
      </c>
      <c r="KW6">
        <f t="shared" si="15"/>
        <v>307</v>
      </c>
      <c r="KX6">
        <f t="shared" si="15"/>
        <v>308</v>
      </c>
      <c r="KY6">
        <f t="shared" si="15"/>
        <v>309</v>
      </c>
      <c r="KZ6">
        <f t="shared" si="15"/>
        <v>310</v>
      </c>
      <c r="LA6">
        <f t="shared" si="15"/>
        <v>311</v>
      </c>
      <c r="LB6">
        <f t="shared" si="15"/>
        <v>312</v>
      </c>
      <c r="LC6">
        <f t="shared" si="15"/>
        <v>313</v>
      </c>
      <c r="LD6">
        <f t="shared" si="15"/>
        <v>314</v>
      </c>
      <c r="LE6">
        <f t="shared" si="15"/>
        <v>315</v>
      </c>
      <c r="LF6">
        <f t="shared" si="15"/>
        <v>316</v>
      </c>
      <c r="LG6">
        <f t="shared" si="15"/>
        <v>317</v>
      </c>
      <c r="LH6">
        <f t="shared" si="15"/>
        <v>318</v>
      </c>
      <c r="LI6">
        <f t="shared" si="15"/>
        <v>319</v>
      </c>
      <c r="LJ6">
        <f t="shared" si="15"/>
        <v>320</v>
      </c>
      <c r="LK6">
        <f t="shared" si="15"/>
        <v>321</v>
      </c>
      <c r="LL6">
        <f t="shared" ref="LL6:NW6" si="16">IF(LL7&lt;$B$13,0,LK6+1)</f>
        <v>322</v>
      </c>
      <c r="LM6">
        <f t="shared" si="16"/>
        <v>323</v>
      </c>
      <c r="LN6">
        <f t="shared" si="16"/>
        <v>324</v>
      </c>
      <c r="LO6">
        <f t="shared" si="16"/>
        <v>325</v>
      </c>
      <c r="LP6">
        <f t="shared" si="16"/>
        <v>326</v>
      </c>
      <c r="LQ6">
        <f t="shared" si="16"/>
        <v>327</v>
      </c>
      <c r="LR6">
        <f t="shared" si="16"/>
        <v>328</v>
      </c>
      <c r="LS6">
        <f t="shared" si="16"/>
        <v>329</v>
      </c>
      <c r="LT6">
        <f t="shared" si="16"/>
        <v>330</v>
      </c>
      <c r="LU6">
        <f t="shared" si="16"/>
        <v>331</v>
      </c>
      <c r="LV6">
        <f t="shared" si="16"/>
        <v>332</v>
      </c>
      <c r="LW6">
        <f t="shared" si="16"/>
        <v>333</v>
      </c>
      <c r="LX6">
        <f t="shared" si="16"/>
        <v>334</v>
      </c>
      <c r="LY6">
        <f t="shared" si="16"/>
        <v>335</v>
      </c>
      <c r="LZ6">
        <f t="shared" si="16"/>
        <v>336</v>
      </c>
      <c r="MA6">
        <f t="shared" si="16"/>
        <v>337</v>
      </c>
      <c r="MB6">
        <f t="shared" si="16"/>
        <v>338</v>
      </c>
      <c r="MC6">
        <f t="shared" si="16"/>
        <v>339</v>
      </c>
      <c r="MD6">
        <f t="shared" si="16"/>
        <v>340</v>
      </c>
      <c r="ME6">
        <f t="shared" si="16"/>
        <v>341</v>
      </c>
      <c r="MF6">
        <f t="shared" si="16"/>
        <v>342</v>
      </c>
      <c r="MG6">
        <f t="shared" si="16"/>
        <v>343</v>
      </c>
      <c r="MH6">
        <f t="shared" si="16"/>
        <v>344</v>
      </c>
      <c r="MI6">
        <f t="shared" si="16"/>
        <v>345</v>
      </c>
      <c r="MJ6">
        <f t="shared" si="16"/>
        <v>346</v>
      </c>
      <c r="MK6">
        <f t="shared" si="16"/>
        <v>347</v>
      </c>
      <c r="ML6">
        <f t="shared" si="16"/>
        <v>348</v>
      </c>
      <c r="MM6">
        <f t="shared" si="16"/>
        <v>349</v>
      </c>
      <c r="MN6">
        <f t="shared" si="16"/>
        <v>350</v>
      </c>
      <c r="MO6">
        <f t="shared" si="16"/>
        <v>351</v>
      </c>
      <c r="MP6">
        <f t="shared" si="16"/>
        <v>352</v>
      </c>
      <c r="MQ6">
        <f t="shared" si="16"/>
        <v>353</v>
      </c>
      <c r="MR6">
        <f t="shared" si="16"/>
        <v>354</v>
      </c>
      <c r="MS6">
        <f t="shared" si="16"/>
        <v>355</v>
      </c>
      <c r="MT6">
        <f t="shared" si="16"/>
        <v>356</v>
      </c>
      <c r="MU6">
        <f t="shared" si="16"/>
        <v>357</v>
      </c>
      <c r="MV6">
        <f t="shared" si="16"/>
        <v>358</v>
      </c>
      <c r="MW6">
        <f t="shared" si="16"/>
        <v>359</v>
      </c>
      <c r="MX6">
        <f t="shared" si="16"/>
        <v>360</v>
      </c>
      <c r="MY6">
        <f t="shared" si="16"/>
        <v>361</v>
      </c>
      <c r="MZ6">
        <f t="shared" si="16"/>
        <v>362</v>
      </c>
      <c r="NA6">
        <f t="shared" si="16"/>
        <v>363</v>
      </c>
      <c r="NB6">
        <f t="shared" si="16"/>
        <v>364</v>
      </c>
      <c r="NC6">
        <f t="shared" si="16"/>
        <v>365</v>
      </c>
      <c r="ND6">
        <f t="shared" si="16"/>
        <v>366</v>
      </c>
      <c r="NE6">
        <f t="shared" si="16"/>
        <v>367</v>
      </c>
      <c r="NF6">
        <f t="shared" si="16"/>
        <v>368</v>
      </c>
      <c r="NG6">
        <f t="shared" si="16"/>
        <v>369</v>
      </c>
      <c r="NH6">
        <f t="shared" si="16"/>
        <v>370</v>
      </c>
      <c r="NI6">
        <f t="shared" si="16"/>
        <v>371</v>
      </c>
      <c r="NJ6">
        <f t="shared" si="16"/>
        <v>372</v>
      </c>
      <c r="NK6">
        <f t="shared" si="16"/>
        <v>373</v>
      </c>
      <c r="NL6">
        <f t="shared" si="16"/>
        <v>374</v>
      </c>
      <c r="NM6">
        <f t="shared" si="16"/>
        <v>375</v>
      </c>
      <c r="NN6">
        <f t="shared" si="16"/>
        <v>376</v>
      </c>
      <c r="NO6">
        <f t="shared" si="16"/>
        <v>377</v>
      </c>
      <c r="NP6">
        <f t="shared" si="16"/>
        <v>378</v>
      </c>
      <c r="NQ6">
        <f t="shared" si="16"/>
        <v>379</v>
      </c>
      <c r="NR6">
        <f t="shared" si="16"/>
        <v>380</v>
      </c>
      <c r="NS6">
        <f t="shared" si="16"/>
        <v>381</v>
      </c>
      <c r="NT6">
        <f t="shared" si="16"/>
        <v>382</v>
      </c>
      <c r="NU6">
        <f t="shared" si="16"/>
        <v>383</v>
      </c>
      <c r="NV6">
        <f t="shared" si="16"/>
        <v>384</v>
      </c>
      <c r="NW6">
        <f t="shared" si="16"/>
        <v>385</v>
      </c>
      <c r="NX6">
        <f t="shared" ref="NX6:QI6" si="17">IF(NX7&lt;$B$13,0,NW6+1)</f>
        <v>386</v>
      </c>
      <c r="NY6">
        <f t="shared" si="17"/>
        <v>387</v>
      </c>
      <c r="NZ6">
        <f t="shared" si="17"/>
        <v>388</v>
      </c>
      <c r="OA6">
        <f t="shared" si="17"/>
        <v>389</v>
      </c>
      <c r="OB6">
        <f t="shared" si="17"/>
        <v>390</v>
      </c>
      <c r="OC6">
        <f t="shared" si="17"/>
        <v>391</v>
      </c>
      <c r="OD6">
        <f t="shared" si="17"/>
        <v>392</v>
      </c>
      <c r="OE6">
        <f t="shared" si="17"/>
        <v>393</v>
      </c>
      <c r="OF6">
        <f t="shared" si="17"/>
        <v>394</v>
      </c>
      <c r="OG6">
        <f t="shared" si="17"/>
        <v>395</v>
      </c>
      <c r="OH6">
        <f t="shared" si="17"/>
        <v>396</v>
      </c>
      <c r="OI6">
        <f t="shared" si="17"/>
        <v>397</v>
      </c>
      <c r="OJ6">
        <f t="shared" si="17"/>
        <v>398</v>
      </c>
      <c r="OK6">
        <f t="shared" si="17"/>
        <v>399</v>
      </c>
      <c r="OL6">
        <f t="shared" si="17"/>
        <v>400</v>
      </c>
      <c r="OM6">
        <f t="shared" si="17"/>
        <v>401</v>
      </c>
      <c r="ON6">
        <f t="shared" si="17"/>
        <v>402</v>
      </c>
      <c r="OO6">
        <f t="shared" si="17"/>
        <v>403</v>
      </c>
      <c r="OP6">
        <f t="shared" si="17"/>
        <v>404</v>
      </c>
      <c r="OQ6">
        <f t="shared" si="17"/>
        <v>405</v>
      </c>
      <c r="OR6">
        <f t="shared" si="17"/>
        <v>406</v>
      </c>
      <c r="OS6">
        <f t="shared" si="17"/>
        <v>407</v>
      </c>
      <c r="OT6">
        <f t="shared" si="17"/>
        <v>408</v>
      </c>
      <c r="OU6">
        <f t="shared" si="17"/>
        <v>409</v>
      </c>
      <c r="OV6">
        <f t="shared" si="17"/>
        <v>410</v>
      </c>
      <c r="OW6">
        <f t="shared" si="17"/>
        <v>411</v>
      </c>
      <c r="OX6">
        <f t="shared" si="17"/>
        <v>412</v>
      </c>
      <c r="OY6">
        <f t="shared" si="17"/>
        <v>413</v>
      </c>
      <c r="OZ6">
        <f t="shared" si="17"/>
        <v>414</v>
      </c>
      <c r="PA6">
        <f t="shared" si="17"/>
        <v>415</v>
      </c>
      <c r="PB6">
        <f t="shared" si="17"/>
        <v>416</v>
      </c>
      <c r="PC6">
        <f t="shared" si="17"/>
        <v>417</v>
      </c>
      <c r="PD6">
        <f t="shared" si="17"/>
        <v>418</v>
      </c>
      <c r="PE6">
        <f t="shared" si="17"/>
        <v>419</v>
      </c>
      <c r="PF6">
        <f t="shared" si="17"/>
        <v>420</v>
      </c>
      <c r="PG6">
        <f t="shared" si="17"/>
        <v>421</v>
      </c>
      <c r="PH6">
        <f t="shared" si="17"/>
        <v>422</v>
      </c>
      <c r="PI6">
        <f t="shared" si="17"/>
        <v>423</v>
      </c>
      <c r="PJ6">
        <f t="shared" si="17"/>
        <v>424</v>
      </c>
      <c r="PK6">
        <f t="shared" si="17"/>
        <v>425</v>
      </c>
      <c r="PL6">
        <f t="shared" si="17"/>
        <v>426</v>
      </c>
      <c r="PM6">
        <f t="shared" si="17"/>
        <v>427</v>
      </c>
      <c r="PN6">
        <f t="shared" si="17"/>
        <v>428</v>
      </c>
      <c r="PO6">
        <f t="shared" si="17"/>
        <v>429</v>
      </c>
      <c r="PP6">
        <f t="shared" si="17"/>
        <v>430</v>
      </c>
      <c r="PQ6">
        <f t="shared" si="17"/>
        <v>431</v>
      </c>
      <c r="PR6">
        <f t="shared" si="17"/>
        <v>432</v>
      </c>
      <c r="PS6">
        <f t="shared" si="17"/>
        <v>433</v>
      </c>
      <c r="PT6">
        <f t="shared" si="17"/>
        <v>434</v>
      </c>
      <c r="PU6">
        <f t="shared" si="17"/>
        <v>435</v>
      </c>
      <c r="PV6">
        <f t="shared" si="17"/>
        <v>436</v>
      </c>
      <c r="PW6">
        <f t="shared" si="17"/>
        <v>437</v>
      </c>
      <c r="PX6">
        <f t="shared" si="17"/>
        <v>438</v>
      </c>
      <c r="PY6">
        <f t="shared" si="17"/>
        <v>439</v>
      </c>
      <c r="PZ6">
        <f t="shared" si="17"/>
        <v>440</v>
      </c>
      <c r="QA6">
        <f t="shared" si="17"/>
        <v>441</v>
      </c>
      <c r="QB6">
        <f t="shared" si="17"/>
        <v>442</v>
      </c>
      <c r="QC6">
        <f t="shared" si="17"/>
        <v>443</v>
      </c>
      <c r="QD6">
        <f t="shared" si="17"/>
        <v>444</v>
      </c>
      <c r="QE6">
        <f t="shared" si="17"/>
        <v>445</v>
      </c>
      <c r="QF6">
        <f t="shared" si="17"/>
        <v>446</v>
      </c>
      <c r="QG6">
        <f t="shared" si="17"/>
        <v>447</v>
      </c>
      <c r="QH6">
        <f t="shared" si="17"/>
        <v>448</v>
      </c>
      <c r="QI6">
        <f t="shared" si="17"/>
        <v>449</v>
      </c>
      <c r="QJ6">
        <f t="shared" ref="QJ6:SU6" si="18">IF(QJ7&lt;$B$13,0,QI6+1)</f>
        <v>450</v>
      </c>
      <c r="QK6">
        <f t="shared" si="18"/>
        <v>451</v>
      </c>
      <c r="QL6">
        <f t="shared" si="18"/>
        <v>452</v>
      </c>
      <c r="QM6">
        <f t="shared" si="18"/>
        <v>453</v>
      </c>
      <c r="QN6">
        <f t="shared" si="18"/>
        <v>454</v>
      </c>
      <c r="QO6">
        <f t="shared" si="18"/>
        <v>455</v>
      </c>
      <c r="QP6">
        <f t="shared" si="18"/>
        <v>456</v>
      </c>
      <c r="QQ6">
        <f t="shared" si="18"/>
        <v>457</v>
      </c>
      <c r="QR6">
        <f t="shared" si="18"/>
        <v>458</v>
      </c>
      <c r="QS6">
        <f t="shared" si="18"/>
        <v>459</v>
      </c>
      <c r="QT6">
        <f t="shared" si="18"/>
        <v>460</v>
      </c>
      <c r="QU6">
        <f t="shared" si="18"/>
        <v>461</v>
      </c>
      <c r="QV6">
        <f t="shared" si="18"/>
        <v>462</v>
      </c>
      <c r="QW6">
        <f t="shared" si="18"/>
        <v>463</v>
      </c>
      <c r="QX6">
        <f t="shared" si="18"/>
        <v>464</v>
      </c>
      <c r="QY6">
        <f t="shared" si="18"/>
        <v>465</v>
      </c>
      <c r="QZ6">
        <f t="shared" si="18"/>
        <v>466</v>
      </c>
      <c r="RA6">
        <f t="shared" si="18"/>
        <v>467</v>
      </c>
      <c r="RB6">
        <f t="shared" si="18"/>
        <v>468</v>
      </c>
      <c r="RC6">
        <f t="shared" si="18"/>
        <v>469</v>
      </c>
      <c r="RD6">
        <f t="shared" si="18"/>
        <v>470</v>
      </c>
      <c r="RE6">
        <f t="shared" si="18"/>
        <v>471</v>
      </c>
      <c r="RF6">
        <f t="shared" si="18"/>
        <v>472</v>
      </c>
      <c r="RG6">
        <f t="shared" si="18"/>
        <v>473</v>
      </c>
      <c r="RH6">
        <f t="shared" si="18"/>
        <v>474</v>
      </c>
      <c r="RI6">
        <f t="shared" si="18"/>
        <v>475</v>
      </c>
      <c r="RJ6">
        <f t="shared" si="18"/>
        <v>476</v>
      </c>
      <c r="RK6">
        <f t="shared" si="18"/>
        <v>477</v>
      </c>
      <c r="RL6">
        <f t="shared" si="18"/>
        <v>478</v>
      </c>
      <c r="RM6">
        <f t="shared" si="18"/>
        <v>479</v>
      </c>
      <c r="RN6">
        <f t="shared" si="18"/>
        <v>480</v>
      </c>
      <c r="RO6">
        <f t="shared" si="18"/>
        <v>481</v>
      </c>
      <c r="RP6">
        <f t="shared" si="18"/>
        <v>482</v>
      </c>
      <c r="RQ6">
        <f t="shared" si="18"/>
        <v>483</v>
      </c>
      <c r="RR6">
        <f t="shared" si="18"/>
        <v>484</v>
      </c>
      <c r="RS6">
        <f t="shared" si="18"/>
        <v>485</v>
      </c>
      <c r="RT6">
        <f t="shared" si="18"/>
        <v>486</v>
      </c>
      <c r="RU6">
        <f t="shared" si="18"/>
        <v>487</v>
      </c>
      <c r="RV6">
        <f t="shared" si="18"/>
        <v>488</v>
      </c>
      <c r="RW6">
        <f t="shared" si="18"/>
        <v>489</v>
      </c>
      <c r="RX6">
        <f t="shared" si="18"/>
        <v>490</v>
      </c>
      <c r="RY6">
        <f t="shared" si="18"/>
        <v>491</v>
      </c>
      <c r="RZ6">
        <f t="shared" si="18"/>
        <v>492</v>
      </c>
      <c r="SA6">
        <f t="shared" si="18"/>
        <v>493</v>
      </c>
      <c r="SB6">
        <f t="shared" si="18"/>
        <v>494</v>
      </c>
      <c r="SC6">
        <f t="shared" si="18"/>
        <v>495</v>
      </c>
      <c r="SD6">
        <f t="shared" si="18"/>
        <v>496</v>
      </c>
      <c r="SE6">
        <f t="shared" si="18"/>
        <v>497</v>
      </c>
      <c r="SF6">
        <f t="shared" si="18"/>
        <v>498</v>
      </c>
      <c r="SG6">
        <f t="shared" si="18"/>
        <v>499</v>
      </c>
      <c r="SH6">
        <f t="shared" si="18"/>
        <v>500</v>
      </c>
      <c r="SI6">
        <f t="shared" si="18"/>
        <v>501</v>
      </c>
      <c r="SJ6">
        <f t="shared" si="18"/>
        <v>502</v>
      </c>
      <c r="SK6">
        <f t="shared" si="18"/>
        <v>503</v>
      </c>
      <c r="SL6">
        <f t="shared" si="18"/>
        <v>504</v>
      </c>
      <c r="SM6">
        <f t="shared" si="18"/>
        <v>505</v>
      </c>
      <c r="SN6">
        <f t="shared" si="18"/>
        <v>506</v>
      </c>
      <c r="SO6">
        <f t="shared" si="18"/>
        <v>507</v>
      </c>
      <c r="SP6">
        <f t="shared" si="18"/>
        <v>508</v>
      </c>
      <c r="SQ6">
        <f t="shared" si="18"/>
        <v>509</v>
      </c>
      <c r="SR6">
        <f t="shared" si="18"/>
        <v>510</v>
      </c>
      <c r="SS6">
        <f t="shared" si="18"/>
        <v>511</v>
      </c>
      <c r="ST6">
        <f t="shared" si="18"/>
        <v>512</v>
      </c>
      <c r="SU6">
        <f t="shared" si="18"/>
        <v>513</v>
      </c>
      <c r="SV6">
        <f t="shared" ref="SV6:VG6" si="19">IF(SV7&lt;$B$13,0,SU6+1)</f>
        <v>514</v>
      </c>
      <c r="SW6">
        <f t="shared" si="19"/>
        <v>515</v>
      </c>
      <c r="SX6">
        <f t="shared" si="19"/>
        <v>516</v>
      </c>
      <c r="SY6">
        <f t="shared" si="19"/>
        <v>517</v>
      </c>
      <c r="SZ6">
        <f t="shared" si="19"/>
        <v>518</v>
      </c>
      <c r="TA6">
        <f t="shared" si="19"/>
        <v>519</v>
      </c>
      <c r="TB6">
        <f t="shared" si="19"/>
        <v>520</v>
      </c>
      <c r="TC6">
        <f t="shared" si="19"/>
        <v>521</v>
      </c>
      <c r="TD6">
        <f t="shared" si="19"/>
        <v>522</v>
      </c>
      <c r="TE6">
        <f t="shared" si="19"/>
        <v>523</v>
      </c>
      <c r="TF6">
        <f t="shared" si="19"/>
        <v>524</v>
      </c>
      <c r="TG6">
        <f t="shared" si="19"/>
        <v>525</v>
      </c>
      <c r="TH6">
        <f t="shared" si="19"/>
        <v>526</v>
      </c>
      <c r="TI6">
        <f t="shared" si="19"/>
        <v>527</v>
      </c>
      <c r="TJ6">
        <f t="shared" si="19"/>
        <v>528</v>
      </c>
      <c r="TK6">
        <f t="shared" si="19"/>
        <v>529</v>
      </c>
      <c r="TL6">
        <f t="shared" si="19"/>
        <v>530</v>
      </c>
      <c r="TM6">
        <f t="shared" si="19"/>
        <v>531</v>
      </c>
      <c r="TN6">
        <f t="shared" si="19"/>
        <v>532</v>
      </c>
      <c r="TO6">
        <f t="shared" si="19"/>
        <v>533</v>
      </c>
      <c r="TP6">
        <f t="shared" si="19"/>
        <v>534</v>
      </c>
      <c r="TQ6">
        <f t="shared" si="19"/>
        <v>535</v>
      </c>
      <c r="TR6">
        <f t="shared" si="19"/>
        <v>536</v>
      </c>
      <c r="TS6">
        <f t="shared" si="19"/>
        <v>537</v>
      </c>
      <c r="TT6">
        <f t="shared" si="19"/>
        <v>538</v>
      </c>
      <c r="TU6">
        <f t="shared" si="19"/>
        <v>539</v>
      </c>
      <c r="TV6">
        <f t="shared" si="19"/>
        <v>540</v>
      </c>
      <c r="TW6">
        <f t="shared" si="19"/>
        <v>541</v>
      </c>
      <c r="TX6">
        <f t="shared" si="19"/>
        <v>542</v>
      </c>
      <c r="TY6">
        <f t="shared" si="19"/>
        <v>543</v>
      </c>
      <c r="TZ6">
        <f t="shared" si="19"/>
        <v>544</v>
      </c>
      <c r="UA6">
        <f t="shared" si="19"/>
        <v>545</v>
      </c>
      <c r="UB6">
        <f t="shared" si="19"/>
        <v>546</v>
      </c>
      <c r="UC6">
        <f t="shared" si="19"/>
        <v>547</v>
      </c>
      <c r="UD6">
        <f t="shared" si="19"/>
        <v>548</v>
      </c>
      <c r="UE6">
        <f t="shared" si="19"/>
        <v>549</v>
      </c>
      <c r="UF6">
        <f t="shared" si="19"/>
        <v>550</v>
      </c>
      <c r="UG6">
        <f t="shared" si="19"/>
        <v>551</v>
      </c>
      <c r="UH6">
        <f t="shared" si="19"/>
        <v>552</v>
      </c>
      <c r="UI6">
        <f t="shared" si="19"/>
        <v>553</v>
      </c>
      <c r="UJ6">
        <f t="shared" si="19"/>
        <v>554</v>
      </c>
      <c r="UK6">
        <f t="shared" si="19"/>
        <v>555</v>
      </c>
      <c r="UL6">
        <f t="shared" si="19"/>
        <v>556</v>
      </c>
      <c r="UM6">
        <f t="shared" si="19"/>
        <v>557</v>
      </c>
      <c r="UN6">
        <f t="shared" si="19"/>
        <v>558</v>
      </c>
      <c r="UO6">
        <f t="shared" si="19"/>
        <v>559</v>
      </c>
      <c r="UP6">
        <f t="shared" si="19"/>
        <v>560</v>
      </c>
      <c r="UQ6">
        <f t="shared" si="19"/>
        <v>561</v>
      </c>
      <c r="UR6">
        <f t="shared" si="19"/>
        <v>562</v>
      </c>
      <c r="US6">
        <f t="shared" si="19"/>
        <v>563</v>
      </c>
      <c r="UT6">
        <f t="shared" si="19"/>
        <v>564</v>
      </c>
      <c r="UU6">
        <f t="shared" si="19"/>
        <v>565</v>
      </c>
      <c r="UV6">
        <f t="shared" si="19"/>
        <v>566</v>
      </c>
      <c r="UW6">
        <f t="shared" si="19"/>
        <v>567</v>
      </c>
      <c r="UX6">
        <f t="shared" si="19"/>
        <v>568</v>
      </c>
      <c r="UY6">
        <f t="shared" si="19"/>
        <v>569</v>
      </c>
      <c r="UZ6">
        <f t="shared" si="19"/>
        <v>570</v>
      </c>
      <c r="VA6">
        <f t="shared" si="19"/>
        <v>571</v>
      </c>
      <c r="VB6">
        <f t="shared" si="19"/>
        <v>572</v>
      </c>
      <c r="VC6">
        <f t="shared" si="19"/>
        <v>573</v>
      </c>
      <c r="VD6">
        <f t="shared" si="19"/>
        <v>574</v>
      </c>
      <c r="VE6">
        <f t="shared" si="19"/>
        <v>575</v>
      </c>
      <c r="VF6">
        <f t="shared" si="19"/>
        <v>576</v>
      </c>
      <c r="VG6">
        <f t="shared" si="19"/>
        <v>577</v>
      </c>
      <c r="VH6">
        <f t="shared" ref="VH6:XS6" si="20">IF(VH7&lt;$B$13,0,VG6+1)</f>
        <v>578</v>
      </c>
      <c r="VI6">
        <f t="shared" si="20"/>
        <v>579</v>
      </c>
      <c r="VJ6">
        <f t="shared" si="20"/>
        <v>580</v>
      </c>
      <c r="VK6">
        <f t="shared" si="20"/>
        <v>581</v>
      </c>
      <c r="VL6">
        <f t="shared" si="20"/>
        <v>582</v>
      </c>
      <c r="VM6">
        <f t="shared" si="20"/>
        <v>583</v>
      </c>
      <c r="VN6">
        <f t="shared" si="20"/>
        <v>584</v>
      </c>
      <c r="VO6">
        <f t="shared" si="20"/>
        <v>585</v>
      </c>
      <c r="VP6">
        <f t="shared" si="20"/>
        <v>586</v>
      </c>
      <c r="VQ6">
        <f t="shared" si="20"/>
        <v>587</v>
      </c>
      <c r="VR6">
        <f t="shared" si="20"/>
        <v>588</v>
      </c>
      <c r="VS6">
        <f t="shared" si="20"/>
        <v>589</v>
      </c>
      <c r="VT6">
        <f t="shared" si="20"/>
        <v>590</v>
      </c>
      <c r="VU6">
        <f t="shared" si="20"/>
        <v>591</v>
      </c>
      <c r="VV6">
        <f t="shared" si="20"/>
        <v>592</v>
      </c>
      <c r="VW6">
        <f t="shared" si="20"/>
        <v>593</v>
      </c>
      <c r="VX6">
        <f t="shared" si="20"/>
        <v>594</v>
      </c>
      <c r="VY6">
        <f t="shared" si="20"/>
        <v>595</v>
      </c>
      <c r="VZ6">
        <f t="shared" si="20"/>
        <v>596</v>
      </c>
      <c r="WA6">
        <f t="shared" si="20"/>
        <v>597</v>
      </c>
      <c r="WB6">
        <f t="shared" si="20"/>
        <v>598</v>
      </c>
      <c r="WC6">
        <f t="shared" si="20"/>
        <v>599</v>
      </c>
      <c r="WD6">
        <f t="shared" si="20"/>
        <v>600</v>
      </c>
      <c r="WE6">
        <f t="shared" si="20"/>
        <v>601</v>
      </c>
      <c r="WF6">
        <f t="shared" si="20"/>
        <v>602</v>
      </c>
      <c r="WG6">
        <f t="shared" si="20"/>
        <v>603</v>
      </c>
      <c r="WH6">
        <f t="shared" si="20"/>
        <v>604</v>
      </c>
      <c r="WI6">
        <f t="shared" si="20"/>
        <v>605</v>
      </c>
      <c r="WJ6">
        <f t="shared" si="20"/>
        <v>606</v>
      </c>
      <c r="WK6">
        <f t="shared" si="20"/>
        <v>607</v>
      </c>
      <c r="WL6">
        <f t="shared" si="20"/>
        <v>608</v>
      </c>
      <c r="WM6">
        <f t="shared" si="20"/>
        <v>609</v>
      </c>
      <c r="WN6">
        <f t="shared" si="20"/>
        <v>610</v>
      </c>
      <c r="WO6">
        <f t="shared" si="20"/>
        <v>611</v>
      </c>
      <c r="WP6">
        <f t="shared" si="20"/>
        <v>612</v>
      </c>
      <c r="WQ6">
        <f t="shared" si="20"/>
        <v>613</v>
      </c>
      <c r="WR6">
        <f t="shared" si="20"/>
        <v>614</v>
      </c>
      <c r="WS6">
        <f t="shared" si="20"/>
        <v>615</v>
      </c>
      <c r="WT6">
        <f t="shared" si="20"/>
        <v>616</v>
      </c>
      <c r="WU6">
        <f t="shared" si="20"/>
        <v>617</v>
      </c>
      <c r="WV6">
        <f t="shared" si="20"/>
        <v>618</v>
      </c>
      <c r="WW6">
        <f t="shared" si="20"/>
        <v>619</v>
      </c>
      <c r="WX6">
        <f t="shared" si="20"/>
        <v>620</v>
      </c>
      <c r="WY6">
        <f t="shared" si="20"/>
        <v>621</v>
      </c>
      <c r="WZ6">
        <f t="shared" si="20"/>
        <v>622</v>
      </c>
      <c r="XA6">
        <f t="shared" si="20"/>
        <v>623</v>
      </c>
      <c r="XB6">
        <f t="shared" si="20"/>
        <v>624</v>
      </c>
      <c r="XC6">
        <f t="shared" si="20"/>
        <v>625</v>
      </c>
      <c r="XD6">
        <f t="shared" si="20"/>
        <v>626</v>
      </c>
      <c r="XE6">
        <f t="shared" si="20"/>
        <v>627</v>
      </c>
      <c r="XF6">
        <f t="shared" si="20"/>
        <v>628</v>
      </c>
      <c r="XG6">
        <f t="shared" si="20"/>
        <v>629</v>
      </c>
      <c r="XH6">
        <f t="shared" si="20"/>
        <v>630</v>
      </c>
      <c r="XI6">
        <f t="shared" si="20"/>
        <v>631</v>
      </c>
      <c r="XJ6">
        <f t="shared" si="20"/>
        <v>632</v>
      </c>
      <c r="XK6">
        <f t="shared" si="20"/>
        <v>633</v>
      </c>
      <c r="XL6">
        <f t="shared" si="20"/>
        <v>634</v>
      </c>
      <c r="XM6">
        <f t="shared" si="20"/>
        <v>635</v>
      </c>
      <c r="XN6">
        <f t="shared" si="20"/>
        <v>636</v>
      </c>
      <c r="XO6">
        <f t="shared" si="20"/>
        <v>637</v>
      </c>
      <c r="XP6">
        <f t="shared" si="20"/>
        <v>638</v>
      </c>
      <c r="XQ6">
        <f t="shared" si="20"/>
        <v>639</v>
      </c>
      <c r="XR6">
        <f t="shared" si="20"/>
        <v>640</v>
      </c>
      <c r="XS6">
        <f t="shared" si="20"/>
        <v>641</v>
      </c>
      <c r="XT6">
        <f t="shared" ref="XT6:YM6" si="21">IF(XT7&lt;$B$13,0,XS6+1)</f>
        <v>642</v>
      </c>
      <c r="XU6">
        <f t="shared" si="21"/>
        <v>643</v>
      </c>
      <c r="XV6">
        <f t="shared" si="21"/>
        <v>644</v>
      </c>
      <c r="XW6">
        <f t="shared" si="21"/>
        <v>645</v>
      </c>
      <c r="XX6">
        <f t="shared" si="21"/>
        <v>646</v>
      </c>
      <c r="XY6">
        <f t="shared" si="21"/>
        <v>647</v>
      </c>
      <c r="XZ6">
        <f t="shared" si="21"/>
        <v>648</v>
      </c>
      <c r="YA6">
        <f t="shared" si="21"/>
        <v>649</v>
      </c>
      <c r="YB6">
        <f t="shared" si="21"/>
        <v>650</v>
      </c>
      <c r="YC6">
        <f t="shared" si="21"/>
        <v>651</v>
      </c>
      <c r="YD6">
        <f t="shared" si="21"/>
        <v>652</v>
      </c>
      <c r="YE6">
        <f t="shared" si="21"/>
        <v>653</v>
      </c>
      <c r="YF6">
        <f t="shared" si="21"/>
        <v>654</v>
      </c>
      <c r="YG6">
        <f t="shared" si="21"/>
        <v>655</v>
      </c>
      <c r="YH6">
        <f t="shared" si="21"/>
        <v>656</v>
      </c>
      <c r="YI6">
        <f t="shared" si="21"/>
        <v>657</v>
      </c>
      <c r="YJ6">
        <f t="shared" si="21"/>
        <v>658</v>
      </c>
      <c r="YK6">
        <f t="shared" si="21"/>
        <v>659</v>
      </c>
      <c r="YL6">
        <f t="shared" si="21"/>
        <v>660</v>
      </c>
      <c r="YM6">
        <f t="shared" si="21"/>
        <v>661</v>
      </c>
    </row>
    <row r="7" spans="1:663" x14ac:dyDescent="0.2">
      <c r="A7" t="s">
        <v>326</v>
      </c>
      <c r="B7" s="27">
        <f>+Formulario!H142</f>
        <v>0</v>
      </c>
      <c r="C7" s="26">
        <v>36891</v>
      </c>
      <c r="D7" s="26">
        <v>36922</v>
      </c>
      <c r="E7" s="26">
        <v>36950</v>
      </c>
      <c r="F7" s="26">
        <v>36981</v>
      </c>
      <c r="G7" s="26">
        <v>37011</v>
      </c>
      <c r="H7" s="26">
        <v>37042</v>
      </c>
      <c r="I7" s="26">
        <v>37072</v>
      </c>
      <c r="J7" s="26">
        <v>37103</v>
      </c>
      <c r="K7" s="26">
        <v>37134</v>
      </c>
      <c r="L7" s="26">
        <v>37164</v>
      </c>
      <c r="M7" s="26">
        <v>37195</v>
      </c>
      <c r="N7" s="26">
        <v>37225</v>
      </c>
      <c r="O7" s="26">
        <v>37256</v>
      </c>
      <c r="P7" s="26">
        <v>37287</v>
      </c>
      <c r="Q7" s="26">
        <v>37315</v>
      </c>
      <c r="R7" s="26">
        <v>37346</v>
      </c>
      <c r="S7" s="26">
        <v>37376</v>
      </c>
      <c r="T7" s="26">
        <v>37407</v>
      </c>
      <c r="U7" s="26">
        <v>37437</v>
      </c>
      <c r="V7" s="26">
        <v>37468</v>
      </c>
      <c r="W7" s="26">
        <v>37499</v>
      </c>
      <c r="X7" s="26">
        <v>37529</v>
      </c>
      <c r="Y7" s="26">
        <v>37560</v>
      </c>
      <c r="Z7" s="26">
        <v>37590</v>
      </c>
      <c r="AA7" s="26">
        <v>37621</v>
      </c>
      <c r="AB7" s="26">
        <v>37652</v>
      </c>
      <c r="AC7" s="26">
        <v>37680</v>
      </c>
      <c r="AD7" s="26">
        <v>37711</v>
      </c>
      <c r="AE7" s="26">
        <v>37741</v>
      </c>
      <c r="AF7" s="26">
        <v>37772</v>
      </c>
      <c r="AG7" s="26">
        <v>37802</v>
      </c>
      <c r="AH7" s="26">
        <v>37833</v>
      </c>
      <c r="AI7" s="26">
        <v>37864</v>
      </c>
      <c r="AJ7" s="26">
        <v>37894</v>
      </c>
      <c r="AK7" s="26">
        <v>37925</v>
      </c>
      <c r="AL7" s="26">
        <v>37955</v>
      </c>
      <c r="AM7" s="26">
        <v>37986</v>
      </c>
      <c r="AN7" s="26">
        <v>38017</v>
      </c>
      <c r="AO7" s="26">
        <v>38046</v>
      </c>
      <c r="AP7" s="26">
        <v>38077</v>
      </c>
      <c r="AQ7" s="26">
        <v>38107</v>
      </c>
      <c r="AR7" s="26">
        <v>38138</v>
      </c>
      <c r="AS7" s="26">
        <v>38168</v>
      </c>
      <c r="AT7" s="26">
        <v>38199</v>
      </c>
      <c r="AU7" s="26">
        <v>38230</v>
      </c>
      <c r="AV7" s="26">
        <v>38260</v>
      </c>
      <c r="AW7" s="26">
        <v>38291</v>
      </c>
      <c r="AX7" s="26">
        <v>38321</v>
      </c>
      <c r="AY7" s="26">
        <v>38352</v>
      </c>
      <c r="AZ7" s="26">
        <v>38383</v>
      </c>
      <c r="BA7" s="26">
        <v>38411</v>
      </c>
      <c r="BB7" s="26">
        <v>38442</v>
      </c>
      <c r="BC7" s="26">
        <v>38472</v>
      </c>
      <c r="BD7" s="26">
        <v>38503</v>
      </c>
      <c r="BE7" s="26">
        <v>38533</v>
      </c>
      <c r="BF7" s="26">
        <v>38564</v>
      </c>
      <c r="BG7" s="26">
        <v>38595</v>
      </c>
      <c r="BH7" s="26">
        <v>38625</v>
      </c>
      <c r="BI7" s="26">
        <v>38656</v>
      </c>
      <c r="BJ7" s="26">
        <v>38686</v>
      </c>
      <c r="BK7" s="26">
        <v>38717</v>
      </c>
      <c r="BL7" s="26">
        <v>38748</v>
      </c>
      <c r="BM7" s="26">
        <v>38776</v>
      </c>
      <c r="BN7" s="26">
        <v>38807</v>
      </c>
      <c r="BO7" s="26">
        <v>38837</v>
      </c>
      <c r="BP7" s="26">
        <v>38868</v>
      </c>
      <c r="BQ7" s="26">
        <v>38898</v>
      </c>
      <c r="BR7" s="26">
        <v>38929</v>
      </c>
      <c r="BS7" s="26">
        <v>38960</v>
      </c>
      <c r="BT7" s="26">
        <v>38990</v>
      </c>
      <c r="BU7" s="26">
        <v>39021</v>
      </c>
      <c r="BV7" s="26">
        <v>39051</v>
      </c>
      <c r="BW7" s="26">
        <v>39082</v>
      </c>
      <c r="BX7" s="26">
        <v>39113</v>
      </c>
      <c r="BY7" s="26">
        <v>39141</v>
      </c>
      <c r="BZ7" s="26">
        <v>39172</v>
      </c>
      <c r="CA7" s="26">
        <v>39202</v>
      </c>
      <c r="CB7" s="26">
        <v>39233</v>
      </c>
      <c r="CC7" s="26">
        <v>39263</v>
      </c>
      <c r="CD7" s="26">
        <v>39294</v>
      </c>
      <c r="CE7" s="26">
        <v>39325</v>
      </c>
      <c r="CF7" s="26">
        <v>39355</v>
      </c>
      <c r="CG7" s="26">
        <v>39386</v>
      </c>
      <c r="CH7" s="26">
        <v>39416</v>
      </c>
      <c r="CI7" s="26">
        <v>39447</v>
      </c>
      <c r="CJ7" s="26">
        <v>39478</v>
      </c>
      <c r="CK7" s="26">
        <v>39507</v>
      </c>
      <c r="CL7" s="26">
        <v>39538</v>
      </c>
      <c r="CM7" s="26">
        <v>39568</v>
      </c>
      <c r="CN7" s="26">
        <v>39599</v>
      </c>
      <c r="CO7" s="26">
        <v>39629</v>
      </c>
      <c r="CP7" s="26">
        <v>39660</v>
      </c>
      <c r="CQ7" s="26">
        <v>39691</v>
      </c>
      <c r="CR7" s="26">
        <v>39721</v>
      </c>
      <c r="CS7" s="26">
        <v>39752</v>
      </c>
      <c r="CT7" s="26">
        <v>39782</v>
      </c>
      <c r="CU7" s="26">
        <v>39813</v>
      </c>
      <c r="CV7" s="26">
        <v>39844</v>
      </c>
      <c r="CW7" s="26">
        <v>39872</v>
      </c>
      <c r="CX7" s="26">
        <v>39903</v>
      </c>
      <c r="CY7" s="26">
        <v>39933</v>
      </c>
      <c r="CZ7" s="26">
        <v>39964</v>
      </c>
      <c r="DA7" s="26">
        <v>39994</v>
      </c>
      <c r="DB7" s="26">
        <v>40025</v>
      </c>
      <c r="DC7" s="26">
        <v>40056</v>
      </c>
      <c r="DD7" s="26">
        <v>40086</v>
      </c>
      <c r="DE7" s="26">
        <v>40117</v>
      </c>
      <c r="DF7" s="26">
        <v>40147</v>
      </c>
      <c r="DG7" s="26">
        <v>40178</v>
      </c>
      <c r="DH7" s="26">
        <v>40209</v>
      </c>
      <c r="DI7" s="26">
        <v>40237</v>
      </c>
      <c r="DJ7" s="26">
        <v>40268</v>
      </c>
      <c r="DK7" s="26">
        <v>40298</v>
      </c>
      <c r="DL7" s="26">
        <v>40329</v>
      </c>
      <c r="DM7" s="26">
        <v>40359</v>
      </c>
      <c r="DN7" s="26">
        <v>40390</v>
      </c>
      <c r="DO7" s="26">
        <v>40421</v>
      </c>
      <c r="DP7" s="26">
        <v>40451</v>
      </c>
      <c r="DQ7" s="26">
        <v>40482</v>
      </c>
      <c r="DR7" s="26">
        <v>40512</v>
      </c>
      <c r="DS7" s="26">
        <v>40543</v>
      </c>
      <c r="DT7" s="26">
        <v>40574</v>
      </c>
      <c r="DU7" s="26">
        <v>40602</v>
      </c>
      <c r="DV7" s="26">
        <v>40633</v>
      </c>
      <c r="DW7" s="26">
        <v>40663</v>
      </c>
      <c r="DX7" s="26">
        <v>40694</v>
      </c>
      <c r="DY7" s="26">
        <v>40724</v>
      </c>
      <c r="DZ7" s="26">
        <v>40755</v>
      </c>
      <c r="EA7" s="26">
        <v>40786</v>
      </c>
      <c r="EB7" s="26">
        <v>40816</v>
      </c>
      <c r="EC7" s="26">
        <v>40847</v>
      </c>
      <c r="ED7" s="26">
        <v>40877</v>
      </c>
      <c r="EE7" s="26">
        <v>40908</v>
      </c>
      <c r="EF7" s="26">
        <v>40939</v>
      </c>
      <c r="EG7" s="26">
        <v>40968</v>
      </c>
      <c r="EH7" s="26">
        <v>40999</v>
      </c>
      <c r="EI7" s="26">
        <v>41029</v>
      </c>
      <c r="EJ7" s="26">
        <v>41060</v>
      </c>
      <c r="EK7" s="26">
        <v>41090</v>
      </c>
      <c r="EL7" s="26">
        <v>41121</v>
      </c>
      <c r="EM7" s="26">
        <v>41152</v>
      </c>
      <c r="EN7" s="26">
        <v>41182</v>
      </c>
      <c r="EO7" s="26">
        <v>41213</v>
      </c>
      <c r="EP7" s="26">
        <v>41243</v>
      </c>
      <c r="EQ7" s="26">
        <v>41274</v>
      </c>
      <c r="ER7" s="26">
        <v>41305</v>
      </c>
      <c r="ES7" s="26">
        <v>41333</v>
      </c>
      <c r="ET7" s="26">
        <v>41364</v>
      </c>
      <c r="EU7" s="26">
        <v>41394</v>
      </c>
      <c r="EV7" s="26">
        <v>41425</v>
      </c>
      <c r="EW7" s="26">
        <v>41455</v>
      </c>
      <c r="EX7" s="26">
        <v>41486</v>
      </c>
      <c r="EY7" s="26">
        <v>41517</v>
      </c>
      <c r="EZ7" s="26">
        <v>41547</v>
      </c>
      <c r="FA7" s="26">
        <v>41578</v>
      </c>
      <c r="FB7" s="26">
        <v>41608</v>
      </c>
      <c r="FC7" s="26">
        <v>41639</v>
      </c>
      <c r="FD7" s="26">
        <v>41670</v>
      </c>
      <c r="FE7" s="26">
        <v>41698</v>
      </c>
      <c r="FF7" s="26">
        <v>41729</v>
      </c>
      <c r="FG7" s="26">
        <v>41759</v>
      </c>
      <c r="FH7" s="26">
        <v>41790</v>
      </c>
      <c r="FI7" s="26">
        <v>41820</v>
      </c>
      <c r="FJ7" s="26">
        <v>41851</v>
      </c>
      <c r="FK7" s="26">
        <v>41882</v>
      </c>
      <c r="FL7" s="26">
        <v>41912</v>
      </c>
      <c r="FM7" s="26">
        <v>41943</v>
      </c>
      <c r="FN7" s="26">
        <v>41973</v>
      </c>
      <c r="FO7" s="26">
        <v>42004</v>
      </c>
      <c r="FP7" s="26">
        <v>42035</v>
      </c>
      <c r="FQ7" s="26">
        <v>42063</v>
      </c>
      <c r="FR7" s="26">
        <v>42094</v>
      </c>
      <c r="FS7" s="26">
        <v>42124</v>
      </c>
      <c r="FT7" s="26">
        <v>42155</v>
      </c>
      <c r="FU7" s="26">
        <v>42185</v>
      </c>
      <c r="FV7" s="26">
        <v>42216</v>
      </c>
      <c r="FW7" s="26">
        <v>42247</v>
      </c>
      <c r="FX7" s="26">
        <v>42277</v>
      </c>
      <c r="FY7" s="26">
        <v>42308</v>
      </c>
      <c r="FZ7" s="26">
        <v>42338</v>
      </c>
      <c r="GA7" s="26">
        <v>42369</v>
      </c>
      <c r="GB7" s="26">
        <v>42400</v>
      </c>
      <c r="GC7" s="26">
        <v>42429</v>
      </c>
      <c r="GD7" s="26">
        <v>42460</v>
      </c>
      <c r="GE7" s="26">
        <v>42490</v>
      </c>
      <c r="GF7" s="26">
        <v>42521</v>
      </c>
      <c r="GG7" s="26">
        <v>42551</v>
      </c>
      <c r="GH7" s="26">
        <v>42582</v>
      </c>
      <c r="GI7" s="26">
        <v>42613</v>
      </c>
      <c r="GJ7" s="26">
        <v>42643</v>
      </c>
      <c r="GK7" s="26">
        <v>42674</v>
      </c>
      <c r="GL7" s="26">
        <v>42704</v>
      </c>
      <c r="GM7" s="26">
        <v>42735</v>
      </c>
      <c r="GN7" s="26">
        <v>42766</v>
      </c>
      <c r="GO7" s="26">
        <v>42794</v>
      </c>
      <c r="GP7" s="26">
        <v>42825</v>
      </c>
      <c r="GQ7" s="26">
        <v>42855</v>
      </c>
      <c r="GR7" s="26">
        <v>42886</v>
      </c>
      <c r="GS7" s="26">
        <v>42916</v>
      </c>
      <c r="GT7" s="26">
        <v>42947</v>
      </c>
      <c r="GU7" s="26">
        <v>42978</v>
      </c>
      <c r="GV7" s="26">
        <v>43008</v>
      </c>
      <c r="GW7" s="26">
        <v>43039</v>
      </c>
      <c r="GX7" s="26">
        <v>43069</v>
      </c>
      <c r="GY7" s="26">
        <v>43100</v>
      </c>
      <c r="GZ7" s="26">
        <v>43131</v>
      </c>
      <c r="HA7" s="26">
        <v>43159</v>
      </c>
      <c r="HB7" s="26">
        <v>43190</v>
      </c>
      <c r="HC7" s="26">
        <v>43220</v>
      </c>
      <c r="HD7" s="26">
        <v>43251</v>
      </c>
      <c r="HE7" s="26">
        <v>43281</v>
      </c>
      <c r="HF7" s="26">
        <v>43312</v>
      </c>
      <c r="HG7" s="26">
        <v>43343</v>
      </c>
      <c r="HH7" s="26">
        <v>43373</v>
      </c>
      <c r="HI7" s="26">
        <v>43404</v>
      </c>
      <c r="HJ7" s="26">
        <v>43434</v>
      </c>
      <c r="HK7" s="26">
        <v>43465</v>
      </c>
      <c r="HL7" s="26">
        <v>43496</v>
      </c>
      <c r="HM7" s="26">
        <v>43524</v>
      </c>
      <c r="HN7" s="26">
        <v>43555</v>
      </c>
      <c r="HO7" s="26">
        <v>43585</v>
      </c>
      <c r="HP7" s="26">
        <v>43616</v>
      </c>
      <c r="HQ7" s="26">
        <v>43646</v>
      </c>
      <c r="HR7" s="26">
        <v>43677</v>
      </c>
      <c r="HS7" s="26">
        <v>43708</v>
      </c>
      <c r="HT7" s="26">
        <v>43738</v>
      </c>
      <c r="HU7" s="26">
        <v>43769</v>
      </c>
      <c r="HV7" s="26">
        <v>43799</v>
      </c>
      <c r="HW7" s="26">
        <v>43830</v>
      </c>
      <c r="HX7" s="26">
        <v>43861</v>
      </c>
      <c r="HY7" s="26">
        <v>43890</v>
      </c>
      <c r="HZ7" s="26">
        <v>43921</v>
      </c>
      <c r="IA7" s="26">
        <v>43951</v>
      </c>
      <c r="IB7" s="26">
        <v>43982</v>
      </c>
      <c r="IC7" s="26">
        <v>44012</v>
      </c>
      <c r="ID7" s="26">
        <v>44043</v>
      </c>
      <c r="IE7" s="26">
        <v>44074</v>
      </c>
      <c r="IF7" s="26">
        <v>44104</v>
      </c>
      <c r="IG7" s="26">
        <v>44135</v>
      </c>
      <c r="IH7" s="26">
        <v>44165</v>
      </c>
      <c r="II7" s="26">
        <v>44196</v>
      </c>
      <c r="IJ7" s="26">
        <v>44227</v>
      </c>
      <c r="IK7" s="26">
        <v>44255</v>
      </c>
      <c r="IL7" s="26">
        <v>44286</v>
      </c>
      <c r="IM7" s="26">
        <v>44316</v>
      </c>
      <c r="IN7" s="26">
        <v>44347</v>
      </c>
      <c r="IO7" s="26">
        <v>44377</v>
      </c>
      <c r="IP7" s="26">
        <v>44408</v>
      </c>
      <c r="IQ7" s="26">
        <v>44439</v>
      </c>
      <c r="IR7" s="26">
        <v>44469</v>
      </c>
      <c r="IS7" s="26">
        <v>44500</v>
      </c>
      <c r="IT7" s="26">
        <v>44530</v>
      </c>
      <c r="IU7" s="26">
        <v>44561</v>
      </c>
      <c r="IV7" s="26">
        <v>44592</v>
      </c>
      <c r="IW7" s="26">
        <v>44620</v>
      </c>
      <c r="IX7" s="26">
        <v>44651</v>
      </c>
      <c r="IY7" s="26">
        <v>44681</v>
      </c>
      <c r="IZ7" s="26">
        <v>44712</v>
      </c>
      <c r="JA7" s="26">
        <v>44742</v>
      </c>
      <c r="JB7" s="26">
        <v>44773</v>
      </c>
      <c r="JC7" s="26">
        <v>44804</v>
      </c>
      <c r="JD7" s="26">
        <v>44834</v>
      </c>
      <c r="JE7" s="26">
        <v>44865</v>
      </c>
      <c r="JF7" s="26">
        <v>44895</v>
      </c>
      <c r="JG7" s="26">
        <v>44926</v>
      </c>
      <c r="JH7" s="26">
        <v>44957</v>
      </c>
      <c r="JI7" s="26">
        <v>44985</v>
      </c>
      <c r="JJ7" s="26">
        <v>45016</v>
      </c>
      <c r="JK7" s="26">
        <v>45046</v>
      </c>
      <c r="JL7" s="26">
        <v>45077</v>
      </c>
      <c r="JM7" s="26">
        <v>45107</v>
      </c>
      <c r="JN7" s="26">
        <v>45138</v>
      </c>
      <c r="JO7" s="26">
        <v>45169</v>
      </c>
      <c r="JP7" s="26">
        <v>45199</v>
      </c>
      <c r="JQ7" s="26">
        <v>45230</v>
      </c>
      <c r="JR7" s="26">
        <v>45260</v>
      </c>
      <c r="JS7" s="26">
        <v>45291</v>
      </c>
      <c r="JT7" s="26">
        <v>45322</v>
      </c>
      <c r="JU7" s="26">
        <v>45351</v>
      </c>
      <c r="JV7" s="26">
        <v>45382</v>
      </c>
      <c r="JW7" s="26">
        <v>45412</v>
      </c>
      <c r="JX7" s="26">
        <v>45443</v>
      </c>
      <c r="JY7" s="26">
        <v>45473</v>
      </c>
      <c r="JZ7" s="26">
        <v>45504</v>
      </c>
      <c r="KA7" s="26">
        <v>45535</v>
      </c>
      <c r="KB7" s="26">
        <v>45565</v>
      </c>
      <c r="KC7" s="26">
        <v>45596</v>
      </c>
      <c r="KD7" s="26">
        <v>45626</v>
      </c>
      <c r="KE7" s="26">
        <v>45657</v>
      </c>
      <c r="KF7" s="26">
        <v>45688</v>
      </c>
      <c r="KG7" s="26">
        <v>45716</v>
      </c>
      <c r="KH7" s="26">
        <v>45747</v>
      </c>
      <c r="KI7" s="26">
        <v>45777</v>
      </c>
      <c r="KJ7" s="26">
        <v>45808</v>
      </c>
      <c r="KK7" s="26">
        <v>45838</v>
      </c>
      <c r="KL7" s="26">
        <v>45869</v>
      </c>
      <c r="KM7" s="26">
        <v>45900</v>
      </c>
      <c r="KN7" s="26">
        <v>45930</v>
      </c>
      <c r="KO7" s="26">
        <v>45961</v>
      </c>
      <c r="KP7" s="26">
        <v>45991</v>
      </c>
      <c r="KQ7" s="26">
        <v>46022</v>
      </c>
      <c r="KR7" s="26">
        <v>46053</v>
      </c>
      <c r="KS7" s="26">
        <v>46081</v>
      </c>
      <c r="KT7" s="26">
        <v>46112</v>
      </c>
      <c r="KU7" s="26">
        <v>46142</v>
      </c>
      <c r="KV7" s="26">
        <v>46173</v>
      </c>
      <c r="KW7" s="26">
        <v>46203</v>
      </c>
      <c r="KX7" s="26">
        <v>46234</v>
      </c>
      <c r="KY7" s="26">
        <v>46265</v>
      </c>
      <c r="KZ7" s="26">
        <v>46295</v>
      </c>
      <c r="LA7" s="26">
        <v>46326</v>
      </c>
      <c r="LB7" s="26">
        <v>46356</v>
      </c>
      <c r="LC7" s="26">
        <v>46387</v>
      </c>
      <c r="LD7" s="26">
        <v>46418</v>
      </c>
      <c r="LE7" s="26">
        <v>46446</v>
      </c>
      <c r="LF7" s="26">
        <v>46477</v>
      </c>
      <c r="LG7" s="26">
        <v>46507</v>
      </c>
      <c r="LH7" s="26">
        <v>46538</v>
      </c>
      <c r="LI7" s="26">
        <v>46568</v>
      </c>
      <c r="LJ7" s="26">
        <v>46599</v>
      </c>
      <c r="LK7" s="26">
        <v>46630</v>
      </c>
      <c r="LL7" s="26">
        <v>46660</v>
      </c>
      <c r="LM7" s="26">
        <v>46691</v>
      </c>
      <c r="LN7" s="26">
        <v>46721</v>
      </c>
      <c r="LO7" s="26">
        <v>46752</v>
      </c>
      <c r="LP7" s="26">
        <v>46783</v>
      </c>
      <c r="LQ7" s="26">
        <v>46812</v>
      </c>
      <c r="LR7" s="26">
        <v>46843</v>
      </c>
      <c r="LS7" s="26">
        <v>46873</v>
      </c>
      <c r="LT7" s="26">
        <v>46904</v>
      </c>
      <c r="LU7" s="26">
        <v>46934</v>
      </c>
      <c r="LV7" s="26">
        <v>46965</v>
      </c>
      <c r="LW7" s="26">
        <v>46996</v>
      </c>
      <c r="LX7" s="26">
        <v>47026</v>
      </c>
      <c r="LY7" s="26">
        <v>47057</v>
      </c>
      <c r="LZ7" s="26">
        <v>47087</v>
      </c>
      <c r="MA7" s="26">
        <v>47118</v>
      </c>
      <c r="MB7" s="26">
        <v>47149</v>
      </c>
      <c r="MC7" s="26">
        <v>47177</v>
      </c>
      <c r="MD7" s="26">
        <v>47208</v>
      </c>
      <c r="ME7" s="26">
        <v>47238</v>
      </c>
      <c r="MF7" s="26">
        <v>47269</v>
      </c>
      <c r="MG7" s="26">
        <v>47299</v>
      </c>
      <c r="MH7" s="26">
        <v>47330</v>
      </c>
      <c r="MI7" s="26">
        <v>47361</v>
      </c>
      <c r="MJ7" s="26">
        <v>47391</v>
      </c>
      <c r="MK7" s="26">
        <v>47422</v>
      </c>
      <c r="ML7" s="26">
        <v>47452</v>
      </c>
      <c r="MM7" s="26">
        <v>47483</v>
      </c>
      <c r="MN7" s="26">
        <v>47514</v>
      </c>
      <c r="MO7" s="26">
        <v>47542</v>
      </c>
      <c r="MP7" s="26">
        <v>47573</v>
      </c>
      <c r="MQ7" s="26">
        <v>47603</v>
      </c>
      <c r="MR7" s="26">
        <v>47634</v>
      </c>
      <c r="MS7" s="26">
        <v>47664</v>
      </c>
      <c r="MT7" s="26">
        <v>47695</v>
      </c>
      <c r="MU7" s="26">
        <v>47726</v>
      </c>
      <c r="MV7" s="26">
        <v>47756</v>
      </c>
      <c r="MW7" s="26">
        <v>47787</v>
      </c>
      <c r="MX7" s="26">
        <v>47817</v>
      </c>
      <c r="MY7" s="26">
        <v>47848</v>
      </c>
      <c r="MZ7" s="26">
        <v>47879</v>
      </c>
      <c r="NA7" s="26">
        <v>47907</v>
      </c>
      <c r="NB7" s="26">
        <v>47938</v>
      </c>
      <c r="NC7" s="26">
        <v>47968</v>
      </c>
      <c r="ND7" s="26">
        <v>47999</v>
      </c>
      <c r="NE7" s="26">
        <v>48029</v>
      </c>
      <c r="NF7" s="26">
        <v>48060</v>
      </c>
      <c r="NG7" s="26">
        <v>48091</v>
      </c>
      <c r="NH7" s="26">
        <v>48121</v>
      </c>
      <c r="NI7" s="26">
        <v>48152</v>
      </c>
      <c r="NJ7" s="26">
        <v>48182</v>
      </c>
      <c r="NK7" s="26">
        <v>48213</v>
      </c>
      <c r="NL7" s="26">
        <v>48244</v>
      </c>
      <c r="NM7" s="26">
        <v>48273</v>
      </c>
      <c r="NN7" s="26">
        <v>48304</v>
      </c>
      <c r="NO7" s="26">
        <v>48334</v>
      </c>
      <c r="NP7" s="26">
        <v>48365</v>
      </c>
      <c r="NQ7" s="26">
        <v>48395</v>
      </c>
      <c r="NR7" s="26">
        <v>48426</v>
      </c>
      <c r="NS7" s="26">
        <v>48457</v>
      </c>
      <c r="NT7" s="26">
        <v>48487</v>
      </c>
      <c r="NU7" s="26">
        <v>48518</v>
      </c>
      <c r="NV7" s="26">
        <v>48548</v>
      </c>
      <c r="NW7" s="26">
        <v>48579</v>
      </c>
      <c r="NX7" s="26">
        <v>48610</v>
      </c>
      <c r="NY7" s="26">
        <v>48638</v>
      </c>
      <c r="NZ7" s="26">
        <v>48669</v>
      </c>
      <c r="OA7" s="26">
        <v>48699</v>
      </c>
      <c r="OB7" s="26">
        <v>48730</v>
      </c>
      <c r="OC7" s="26">
        <v>48760</v>
      </c>
      <c r="OD7" s="26">
        <v>48791</v>
      </c>
      <c r="OE7" s="26">
        <v>48822</v>
      </c>
      <c r="OF7" s="26">
        <v>48852</v>
      </c>
      <c r="OG7" s="26">
        <v>48883</v>
      </c>
      <c r="OH7" s="26">
        <v>48913</v>
      </c>
      <c r="OI7" s="26">
        <v>48944</v>
      </c>
      <c r="OJ7" s="26">
        <v>48975</v>
      </c>
      <c r="OK7" s="26">
        <v>49003</v>
      </c>
      <c r="OL7" s="26">
        <v>49034</v>
      </c>
      <c r="OM7" s="26">
        <v>49064</v>
      </c>
      <c r="ON7" s="26">
        <v>49095</v>
      </c>
      <c r="OO7" s="26">
        <v>49125</v>
      </c>
      <c r="OP7" s="26">
        <v>49156</v>
      </c>
      <c r="OQ7" s="26">
        <v>49187</v>
      </c>
      <c r="OR7" s="26">
        <v>49217</v>
      </c>
      <c r="OS7" s="26">
        <v>49248</v>
      </c>
      <c r="OT7" s="26">
        <v>49278</v>
      </c>
      <c r="OU7" s="26">
        <v>49309</v>
      </c>
      <c r="OV7" s="26">
        <v>49340</v>
      </c>
      <c r="OW7" s="26">
        <v>49368</v>
      </c>
      <c r="OX7" s="26">
        <v>49399</v>
      </c>
      <c r="OY7" s="26">
        <v>49429</v>
      </c>
      <c r="OZ7" s="26">
        <v>49460</v>
      </c>
      <c r="PA7" s="26">
        <v>49490</v>
      </c>
      <c r="PB7" s="26">
        <v>49521</v>
      </c>
      <c r="PC7" s="26">
        <v>49552</v>
      </c>
      <c r="PD7" s="26">
        <v>49582</v>
      </c>
      <c r="PE7" s="26">
        <v>49613</v>
      </c>
      <c r="PF7" s="26">
        <v>49643</v>
      </c>
      <c r="PG7" s="26">
        <v>49674</v>
      </c>
      <c r="PH7" s="26">
        <v>49705</v>
      </c>
      <c r="PI7" s="26">
        <v>49734</v>
      </c>
      <c r="PJ7" s="26">
        <v>49765</v>
      </c>
      <c r="PK7" s="26">
        <v>49795</v>
      </c>
      <c r="PL7" s="26">
        <v>49826</v>
      </c>
      <c r="PM7" s="26">
        <v>49856</v>
      </c>
      <c r="PN7" s="26">
        <v>49887</v>
      </c>
      <c r="PO7" s="26">
        <v>49918</v>
      </c>
      <c r="PP7" s="26">
        <v>49948</v>
      </c>
      <c r="PQ7" s="26">
        <v>49979</v>
      </c>
      <c r="PR7" s="26">
        <v>50009</v>
      </c>
      <c r="PS7" s="26">
        <v>50040</v>
      </c>
      <c r="PT7" s="26">
        <v>50071</v>
      </c>
      <c r="PU7" s="26">
        <v>50099</v>
      </c>
      <c r="PV7" s="26">
        <v>50130</v>
      </c>
      <c r="PW7" s="26">
        <v>50160</v>
      </c>
      <c r="PX7" s="26">
        <v>50191</v>
      </c>
      <c r="PY7" s="26">
        <v>50221</v>
      </c>
      <c r="PZ7" s="26">
        <v>50252</v>
      </c>
      <c r="QA7" s="26">
        <v>50283</v>
      </c>
      <c r="QB7" s="26">
        <v>50313</v>
      </c>
      <c r="QC7" s="26">
        <v>50344</v>
      </c>
      <c r="QD7" s="26">
        <v>50374</v>
      </c>
      <c r="QE7" s="26">
        <v>50405</v>
      </c>
      <c r="QF7" s="26">
        <v>50436</v>
      </c>
      <c r="QG7" s="26">
        <v>50464</v>
      </c>
      <c r="QH7" s="26">
        <v>50495</v>
      </c>
      <c r="QI7" s="26">
        <v>50525</v>
      </c>
      <c r="QJ7" s="26">
        <v>50556</v>
      </c>
      <c r="QK7" s="26">
        <v>50586</v>
      </c>
      <c r="QL7" s="26">
        <v>50617</v>
      </c>
      <c r="QM7" s="26">
        <v>50648</v>
      </c>
      <c r="QN7" s="26">
        <v>50678</v>
      </c>
      <c r="QO7" s="26">
        <v>50709</v>
      </c>
      <c r="QP7" s="26">
        <v>50739</v>
      </c>
      <c r="QQ7" s="26">
        <v>50770</v>
      </c>
      <c r="QR7" s="26">
        <v>50801</v>
      </c>
      <c r="QS7" s="26">
        <v>50829</v>
      </c>
      <c r="QT7" s="26">
        <v>50860</v>
      </c>
      <c r="QU7" s="26">
        <v>50890</v>
      </c>
      <c r="QV7" s="26">
        <v>50921</v>
      </c>
      <c r="QW7" s="26">
        <v>50951</v>
      </c>
      <c r="QX7" s="26">
        <v>50982</v>
      </c>
      <c r="QY7" s="26">
        <v>51013</v>
      </c>
      <c r="QZ7" s="26">
        <v>51043</v>
      </c>
      <c r="RA7" s="26">
        <v>51074</v>
      </c>
      <c r="RB7" s="26">
        <v>51104</v>
      </c>
      <c r="RC7" s="26">
        <v>51135</v>
      </c>
      <c r="RD7" s="26">
        <v>51166</v>
      </c>
      <c r="RE7" s="26">
        <v>51195</v>
      </c>
      <c r="RF7" s="26">
        <v>51226</v>
      </c>
      <c r="RG7" s="26">
        <v>51256</v>
      </c>
      <c r="RH7" s="26">
        <v>51287</v>
      </c>
      <c r="RI7" s="26">
        <v>51317</v>
      </c>
      <c r="RJ7" s="26">
        <v>51348</v>
      </c>
      <c r="RK7" s="26">
        <v>51379</v>
      </c>
      <c r="RL7" s="26">
        <v>51409</v>
      </c>
      <c r="RM7" s="26">
        <v>51440</v>
      </c>
      <c r="RN7" s="26">
        <v>51470</v>
      </c>
      <c r="RO7" s="26">
        <v>51501</v>
      </c>
      <c r="RP7" s="26">
        <v>51532</v>
      </c>
      <c r="RQ7" s="26">
        <v>51560</v>
      </c>
      <c r="RR7" s="26">
        <v>51591</v>
      </c>
      <c r="RS7" s="26">
        <v>51621</v>
      </c>
      <c r="RT7" s="26">
        <v>51652</v>
      </c>
      <c r="RU7" s="26">
        <v>51682</v>
      </c>
      <c r="RV7" s="26">
        <v>51713</v>
      </c>
      <c r="RW7" s="26">
        <v>51744</v>
      </c>
      <c r="RX7" s="26">
        <v>51774</v>
      </c>
      <c r="RY7" s="26">
        <v>51805</v>
      </c>
      <c r="RZ7" s="26">
        <v>51835</v>
      </c>
      <c r="SA7" s="26">
        <v>51866</v>
      </c>
      <c r="SB7" s="26">
        <v>51897</v>
      </c>
      <c r="SC7" s="26">
        <v>51925</v>
      </c>
      <c r="SD7" s="26">
        <v>51956</v>
      </c>
      <c r="SE7" s="26">
        <v>51986</v>
      </c>
      <c r="SF7" s="26">
        <v>52017</v>
      </c>
      <c r="SG7" s="26">
        <v>52047</v>
      </c>
      <c r="SH7" s="26">
        <v>52078</v>
      </c>
      <c r="SI7" s="26">
        <v>52109</v>
      </c>
      <c r="SJ7" s="26">
        <v>52139</v>
      </c>
      <c r="SK7" s="26">
        <v>52170</v>
      </c>
      <c r="SL7" s="26">
        <v>52200</v>
      </c>
      <c r="SM7" s="26">
        <v>52231</v>
      </c>
      <c r="SN7" s="26">
        <v>52262</v>
      </c>
      <c r="SO7" s="26">
        <v>52290</v>
      </c>
      <c r="SP7" s="26">
        <v>52321</v>
      </c>
      <c r="SQ7" s="26">
        <v>52351</v>
      </c>
      <c r="SR7" s="26">
        <v>52382</v>
      </c>
      <c r="SS7" s="26">
        <v>52412</v>
      </c>
      <c r="ST7" s="26">
        <v>52443</v>
      </c>
      <c r="SU7" s="26">
        <v>52474</v>
      </c>
      <c r="SV7" s="26">
        <v>52504</v>
      </c>
      <c r="SW7" s="26">
        <v>52535</v>
      </c>
      <c r="SX7" s="26">
        <v>52565</v>
      </c>
      <c r="SY7" s="26">
        <v>52596</v>
      </c>
      <c r="SZ7" s="26">
        <v>52627</v>
      </c>
      <c r="TA7" s="26">
        <v>52656</v>
      </c>
      <c r="TB7" s="26">
        <v>52687</v>
      </c>
      <c r="TC7" s="26">
        <v>52717</v>
      </c>
      <c r="TD7" s="26">
        <v>52748</v>
      </c>
      <c r="TE7" s="26">
        <v>52778</v>
      </c>
      <c r="TF7" s="26">
        <v>52809</v>
      </c>
      <c r="TG7" s="26">
        <v>52840</v>
      </c>
      <c r="TH7" s="26">
        <v>52870</v>
      </c>
      <c r="TI7" s="26">
        <v>52901</v>
      </c>
      <c r="TJ7" s="26">
        <v>52931</v>
      </c>
      <c r="TK7" s="26">
        <v>52962</v>
      </c>
      <c r="TL7" s="26">
        <v>52993</v>
      </c>
      <c r="TM7" s="26">
        <v>53021</v>
      </c>
      <c r="TN7" s="26">
        <v>53052</v>
      </c>
      <c r="TO7" s="26">
        <v>53082</v>
      </c>
      <c r="TP7" s="26">
        <v>53113</v>
      </c>
      <c r="TQ7" s="26">
        <v>53143</v>
      </c>
      <c r="TR7" s="26">
        <v>53174</v>
      </c>
      <c r="TS7" s="26">
        <v>53205</v>
      </c>
      <c r="TT7" s="26">
        <v>53235</v>
      </c>
      <c r="TU7" s="26">
        <v>53266</v>
      </c>
      <c r="TV7" s="26">
        <v>53296</v>
      </c>
      <c r="TW7" s="26">
        <v>53327</v>
      </c>
      <c r="TX7" s="26">
        <v>53358</v>
      </c>
      <c r="TY7" s="26">
        <v>53386</v>
      </c>
      <c r="TZ7" s="26">
        <v>53417</v>
      </c>
      <c r="UA7" s="26">
        <v>53447</v>
      </c>
      <c r="UB7" s="26">
        <v>53478</v>
      </c>
      <c r="UC7" s="26">
        <v>53508</v>
      </c>
      <c r="UD7" s="26">
        <v>53539</v>
      </c>
      <c r="UE7" s="26">
        <v>53570</v>
      </c>
      <c r="UF7" s="26">
        <v>53600</v>
      </c>
      <c r="UG7" s="26">
        <v>53631</v>
      </c>
      <c r="UH7" s="26">
        <v>53661</v>
      </c>
      <c r="UI7" s="26">
        <v>53692</v>
      </c>
      <c r="UJ7" s="26">
        <v>53723</v>
      </c>
      <c r="UK7" s="26">
        <v>53751</v>
      </c>
      <c r="UL7" s="26">
        <v>53782</v>
      </c>
      <c r="UM7" s="26">
        <v>53812</v>
      </c>
      <c r="UN7" s="26">
        <v>53843</v>
      </c>
      <c r="UO7" s="26">
        <v>53873</v>
      </c>
      <c r="UP7" s="26">
        <v>53904</v>
      </c>
      <c r="UQ7" s="26">
        <v>53935</v>
      </c>
      <c r="UR7" s="26">
        <v>53965</v>
      </c>
      <c r="US7" s="26">
        <v>53996</v>
      </c>
      <c r="UT7" s="26">
        <v>54026</v>
      </c>
      <c r="UU7" s="26">
        <v>54057</v>
      </c>
      <c r="UV7" s="26">
        <v>54088</v>
      </c>
      <c r="UW7" s="26">
        <v>54117</v>
      </c>
      <c r="UX7" s="26">
        <v>54148</v>
      </c>
      <c r="UY7" s="26">
        <v>54178</v>
      </c>
      <c r="UZ7" s="26">
        <v>54209</v>
      </c>
      <c r="VA7" s="26">
        <v>54239</v>
      </c>
      <c r="VB7" s="26">
        <v>54270</v>
      </c>
      <c r="VC7" s="26">
        <v>54301</v>
      </c>
      <c r="VD7" s="26">
        <v>54331</v>
      </c>
      <c r="VE7" s="26">
        <v>54362</v>
      </c>
      <c r="VF7" s="26">
        <v>54392</v>
      </c>
      <c r="VG7" s="26">
        <v>54423</v>
      </c>
      <c r="VH7" s="26">
        <v>54454</v>
      </c>
      <c r="VI7" s="26">
        <v>54482</v>
      </c>
      <c r="VJ7" s="26">
        <v>54513</v>
      </c>
      <c r="VK7" s="26">
        <v>54543</v>
      </c>
      <c r="VL7" s="26">
        <v>54574</v>
      </c>
      <c r="VM7" s="26">
        <v>54604</v>
      </c>
      <c r="VN7" s="26">
        <v>54635</v>
      </c>
      <c r="VO7" s="26">
        <v>54666</v>
      </c>
      <c r="VP7" s="26">
        <v>54696</v>
      </c>
      <c r="VQ7" s="26">
        <v>54727</v>
      </c>
      <c r="VR7" s="26">
        <v>54757</v>
      </c>
      <c r="VS7" s="26">
        <v>54788</v>
      </c>
      <c r="VT7" s="26">
        <v>54819</v>
      </c>
      <c r="VU7" s="26">
        <v>54847</v>
      </c>
      <c r="VV7" s="26">
        <v>54878</v>
      </c>
      <c r="VW7" s="26">
        <v>54908</v>
      </c>
      <c r="VX7" s="26">
        <v>54939</v>
      </c>
      <c r="VY7" s="26">
        <v>54969</v>
      </c>
      <c r="VZ7" s="26">
        <v>55000</v>
      </c>
      <c r="WA7" s="26">
        <v>55031</v>
      </c>
      <c r="WB7" s="26">
        <v>55061</v>
      </c>
      <c r="WC7" s="26">
        <v>55092</v>
      </c>
      <c r="WD7" s="26">
        <v>55122</v>
      </c>
      <c r="WE7" s="26">
        <v>55153</v>
      </c>
      <c r="WF7" s="26">
        <v>55184</v>
      </c>
      <c r="WG7" s="26">
        <v>55212</v>
      </c>
      <c r="WH7" s="26">
        <v>55243</v>
      </c>
      <c r="WI7" s="26">
        <v>55273</v>
      </c>
      <c r="WJ7" s="26">
        <v>55304</v>
      </c>
      <c r="WK7" s="26">
        <v>55334</v>
      </c>
      <c r="WL7" s="26">
        <v>55365</v>
      </c>
      <c r="WM7" s="26">
        <v>55396</v>
      </c>
      <c r="WN7" s="26">
        <v>55426</v>
      </c>
      <c r="WO7" s="26">
        <v>55457</v>
      </c>
      <c r="WP7" s="26">
        <v>55487</v>
      </c>
      <c r="WQ7" s="26">
        <v>55518</v>
      </c>
      <c r="WR7" s="26">
        <v>55549</v>
      </c>
      <c r="WS7" s="26">
        <v>55578</v>
      </c>
      <c r="WT7" s="26">
        <v>55609</v>
      </c>
      <c r="WU7" s="26">
        <v>55639</v>
      </c>
      <c r="WV7" s="26">
        <v>55670</v>
      </c>
      <c r="WW7" s="26">
        <v>55700</v>
      </c>
      <c r="WX7" s="26">
        <v>55731</v>
      </c>
      <c r="WY7" s="26">
        <v>55762</v>
      </c>
      <c r="WZ7" s="26">
        <v>55792</v>
      </c>
      <c r="XA7" s="26">
        <v>55823</v>
      </c>
      <c r="XB7" s="26">
        <v>55853</v>
      </c>
      <c r="XC7" s="26">
        <v>55884</v>
      </c>
      <c r="XD7" s="26">
        <v>55915</v>
      </c>
      <c r="XE7" s="26">
        <v>55943</v>
      </c>
      <c r="XF7" s="26">
        <v>55974</v>
      </c>
      <c r="XG7" s="26">
        <v>56004</v>
      </c>
      <c r="XH7" s="26">
        <v>56035</v>
      </c>
      <c r="XI7" s="26">
        <v>56065</v>
      </c>
      <c r="XJ7" s="26">
        <v>56096</v>
      </c>
      <c r="XK7" s="26">
        <v>56127</v>
      </c>
      <c r="XL7" s="26">
        <v>56157</v>
      </c>
      <c r="XM7" s="26">
        <v>56188</v>
      </c>
      <c r="XN7" s="26">
        <v>56218</v>
      </c>
      <c r="XO7" s="26">
        <v>56249</v>
      </c>
      <c r="XP7" s="26">
        <v>56280</v>
      </c>
      <c r="XQ7" s="26">
        <v>56308</v>
      </c>
      <c r="XR7" s="26">
        <v>56339</v>
      </c>
      <c r="XS7" s="26">
        <v>56369</v>
      </c>
      <c r="XT7" s="26">
        <v>56400</v>
      </c>
      <c r="XU7" s="26">
        <v>56430</v>
      </c>
      <c r="XV7" s="26">
        <v>56461</v>
      </c>
      <c r="XW7" s="26">
        <v>56492</v>
      </c>
      <c r="XX7" s="26">
        <v>56522</v>
      </c>
      <c r="XY7" s="26">
        <v>56553</v>
      </c>
      <c r="XZ7" s="26">
        <v>56583</v>
      </c>
      <c r="YA7" s="26">
        <v>56614</v>
      </c>
      <c r="YB7" s="26">
        <v>56645</v>
      </c>
      <c r="YC7" s="26">
        <v>56673</v>
      </c>
      <c r="YD7" s="26">
        <v>56704</v>
      </c>
      <c r="YE7" s="26">
        <v>56734</v>
      </c>
      <c r="YF7" s="26">
        <v>56765</v>
      </c>
      <c r="YG7" s="26">
        <v>56795</v>
      </c>
      <c r="YH7" s="26">
        <v>56826</v>
      </c>
      <c r="YI7" s="26">
        <v>56857</v>
      </c>
      <c r="YJ7" s="26">
        <v>56887</v>
      </c>
      <c r="YK7" s="26">
        <v>56918</v>
      </c>
      <c r="YL7" s="26">
        <v>56948</v>
      </c>
      <c r="YM7" s="26">
        <v>56979</v>
      </c>
    </row>
    <row r="9" spans="1:663" x14ac:dyDescent="0.2">
      <c r="A9" t="s">
        <v>327</v>
      </c>
    </row>
    <row r="10" spans="1:663" x14ac:dyDescent="0.2">
      <c r="C10">
        <f>IF($B$11=C11,1,0)</f>
        <v>0</v>
      </c>
      <c r="D10">
        <f>IF($B$11=D11,1,IF(C10&gt;=1,C10+1,0))</f>
        <v>0</v>
      </c>
      <c r="E10">
        <f>IF($B$11=E11,1,IF(D10&gt;=1,D10+1,0))</f>
        <v>0</v>
      </c>
      <c r="F10">
        <f t="shared" ref="F10:BQ10" si="22">IF($B$11=F11,1,IF(E10&gt;=1,E10+1,0))</f>
        <v>0</v>
      </c>
      <c r="G10">
        <f t="shared" si="22"/>
        <v>0</v>
      </c>
      <c r="H10">
        <f t="shared" si="22"/>
        <v>0</v>
      </c>
      <c r="I10">
        <f t="shared" si="22"/>
        <v>0</v>
      </c>
      <c r="J10">
        <f t="shared" si="22"/>
        <v>0</v>
      </c>
      <c r="K10">
        <f t="shared" si="22"/>
        <v>0</v>
      </c>
      <c r="L10">
        <f t="shared" si="22"/>
        <v>0</v>
      </c>
      <c r="M10">
        <f t="shared" si="22"/>
        <v>0</v>
      </c>
      <c r="N10">
        <f t="shared" si="22"/>
        <v>0</v>
      </c>
      <c r="O10">
        <f t="shared" si="22"/>
        <v>0</v>
      </c>
      <c r="P10">
        <f t="shared" si="22"/>
        <v>0</v>
      </c>
      <c r="Q10">
        <f t="shared" si="22"/>
        <v>0</v>
      </c>
      <c r="R10">
        <f t="shared" si="22"/>
        <v>0</v>
      </c>
      <c r="S10">
        <f t="shared" si="22"/>
        <v>0</v>
      </c>
      <c r="T10">
        <f t="shared" si="22"/>
        <v>0</v>
      </c>
      <c r="U10">
        <f t="shared" si="22"/>
        <v>0</v>
      </c>
      <c r="V10">
        <f t="shared" si="22"/>
        <v>0</v>
      </c>
      <c r="W10">
        <f t="shared" si="22"/>
        <v>0</v>
      </c>
      <c r="X10">
        <f t="shared" si="22"/>
        <v>0</v>
      </c>
      <c r="Y10">
        <f t="shared" si="22"/>
        <v>0</v>
      </c>
      <c r="Z10">
        <f t="shared" si="22"/>
        <v>0</v>
      </c>
      <c r="AA10">
        <f t="shared" si="22"/>
        <v>0</v>
      </c>
      <c r="AB10">
        <f t="shared" si="22"/>
        <v>0</v>
      </c>
      <c r="AC10">
        <f t="shared" si="22"/>
        <v>0</v>
      </c>
      <c r="AD10">
        <f t="shared" si="22"/>
        <v>0</v>
      </c>
      <c r="AE10">
        <f t="shared" si="22"/>
        <v>0</v>
      </c>
      <c r="AF10">
        <f t="shared" si="22"/>
        <v>0</v>
      </c>
      <c r="AG10">
        <f t="shared" si="22"/>
        <v>0</v>
      </c>
      <c r="AH10">
        <f t="shared" si="22"/>
        <v>0</v>
      </c>
      <c r="AI10">
        <f t="shared" si="22"/>
        <v>0</v>
      </c>
      <c r="AJ10">
        <f t="shared" si="22"/>
        <v>0</v>
      </c>
      <c r="AK10">
        <f t="shared" si="22"/>
        <v>0</v>
      </c>
      <c r="AL10">
        <f t="shared" si="22"/>
        <v>0</v>
      </c>
      <c r="AM10">
        <f t="shared" si="22"/>
        <v>0</v>
      </c>
      <c r="AN10">
        <f t="shared" si="22"/>
        <v>0</v>
      </c>
      <c r="AO10">
        <f t="shared" si="22"/>
        <v>0</v>
      </c>
      <c r="AP10">
        <f t="shared" si="22"/>
        <v>0</v>
      </c>
      <c r="AQ10">
        <f t="shared" si="22"/>
        <v>0</v>
      </c>
      <c r="AR10">
        <f t="shared" si="22"/>
        <v>0</v>
      </c>
      <c r="AS10">
        <f t="shared" si="22"/>
        <v>0</v>
      </c>
      <c r="AT10">
        <f t="shared" si="22"/>
        <v>0</v>
      </c>
      <c r="AU10">
        <f t="shared" si="22"/>
        <v>0</v>
      </c>
      <c r="AV10">
        <f t="shared" si="22"/>
        <v>0</v>
      </c>
      <c r="AW10">
        <f t="shared" si="22"/>
        <v>0</v>
      </c>
      <c r="AX10">
        <f t="shared" si="22"/>
        <v>0</v>
      </c>
      <c r="AY10">
        <f t="shared" si="22"/>
        <v>0</v>
      </c>
      <c r="AZ10">
        <f t="shared" si="22"/>
        <v>0</v>
      </c>
      <c r="BA10">
        <f t="shared" si="22"/>
        <v>0</v>
      </c>
      <c r="BB10">
        <f t="shared" si="22"/>
        <v>0</v>
      </c>
      <c r="BC10">
        <f t="shared" si="22"/>
        <v>0</v>
      </c>
      <c r="BD10">
        <f t="shared" si="22"/>
        <v>0</v>
      </c>
      <c r="BE10">
        <f t="shared" si="22"/>
        <v>0</v>
      </c>
      <c r="BF10">
        <f t="shared" si="22"/>
        <v>0</v>
      </c>
      <c r="BG10">
        <f t="shared" si="22"/>
        <v>0</v>
      </c>
      <c r="BH10">
        <f t="shared" si="22"/>
        <v>0</v>
      </c>
      <c r="BI10">
        <f t="shared" si="22"/>
        <v>0</v>
      </c>
      <c r="BJ10">
        <f t="shared" si="22"/>
        <v>0</v>
      </c>
      <c r="BK10">
        <f t="shared" si="22"/>
        <v>0</v>
      </c>
      <c r="BL10">
        <f t="shared" si="22"/>
        <v>0</v>
      </c>
      <c r="BM10">
        <f t="shared" si="22"/>
        <v>0</v>
      </c>
      <c r="BN10">
        <f t="shared" si="22"/>
        <v>0</v>
      </c>
      <c r="BO10">
        <f t="shared" si="22"/>
        <v>0</v>
      </c>
      <c r="BP10">
        <f t="shared" si="22"/>
        <v>0</v>
      </c>
      <c r="BQ10">
        <f t="shared" si="22"/>
        <v>0</v>
      </c>
      <c r="BR10">
        <f t="shared" ref="BR10:EC10" si="23">IF($B$11=BR11,1,IF(BQ10&gt;=1,BQ10+1,0))</f>
        <v>0</v>
      </c>
      <c r="BS10">
        <f t="shared" si="23"/>
        <v>0</v>
      </c>
      <c r="BT10">
        <f t="shared" si="23"/>
        <v>0</v>
      </c>
      <c r="BU10">
        <f t="shared" si="23"/>
        <v>0</v>
      </c>
      <c r="BV10">
        <f t="shared" si="23"/>
        <v>0</v>
      </c>
      <c r="BW10">
        <f t="shared" si="23"/>
        <v>0</v>
      </c>
      <c r="BX10">
        <f t="shared" si="23"/>
        <v>0</v>
      </c>
      <c r="BY10">
        <f t="shared" si="23"/>
        <v>0</v>
      </c>
      <c r="BZ10">
        <f t="shared" si="23"/>
        <v>0</v>
      </c>
      <c r="CA10">
        <f t="shared" si="23"/>
        <v>0</v>
      </c>
      <c r="CB10">
        <f t="shared" si="23"/>
        <v>0</v>
      </c>
      <c r="CC10">
        <f t="shared" si="23"/>
        <v>0</v>
      </c>
      <c r="CD10">
        <f t="shared" si="23"/>
        <v>0</v>
      </c>
      <c r="CE10">
        <f t="shared" si="23"/>
        <v>0</v>
      </c>
      <c r="CF10">
        <f t="shared" si="23"/>
        <v>0</v>
      </c>
      <c r="CG10">
        <f t="shared" si="23"/>
        <v>0</v>
      </c>
      <c r="CH10">
        <f t="shared" si="23"/>
        <v>0</v>
      </c>
      <c r="CI10">
        <f t="shared" si="23"/>
        <v>0</v>
      </c>
      <c r="CJ10">
        <f t="shared" si="23"/>
        <v>0</v>
      </c>
      <c r="CK10">
        <f t="shared" si="23"/>
        <v>0</v>
      </c>
      <c r="CL10">
        <f t="shared" si="23"/>
        <v>0</v>
      </c>
      <c r="CM10">
        <f t="shared" si="23"/>
        <v>0</v>
      </c>
      <c r="CN10">
        <f t="shared" si="23"/>
        <v>0</v>
      </c>
      <c r="CO10">
        <f t="shared" si="23"/>
        <v>0</v>
      </c>
      <c r="CP10">
        <f t="shared" si="23"/>
        <v>0</v>
      </c>
      <c r="CQ10">
        <f t="shared" si="23"/>
        <v>0</v>
      </c>
      <c r="CR10">
        <f t="shared" si="23"/>
        <v>0</v>
      </c>
      <c r="CS10">
        <f t="shared" si="23"/>
        <v>0</v>
      </c>
      <c r="CT10">
        <f t="shared" si="23"/>
        <v>0</v>
      </c>
      <c r="CU10">
        <f t="shared" si="23"/>
        <v>0</v>
      </c>
      <c r="CV10">
        <f t="shared" si="23"/>
        <v>0</v>
      </c>
      <c r="CW10">
        <f t="shared" si="23"/>
        <v>0</v>
      </c>
      <c r="CX10">
        <f t="shared" si="23"/>
        <v>0</v>
      </c>
      <c r="CY10">
        <f t="shared" si="23"/>
        <v>0</v>
      </c>
      <c r="CZ10">
        <f t="shared" si="23"/>
        <v>0</v>
      </c>
      <c r="DA10">
        <f t="shared" si="23"/>
        <v>0</v>
      </c>
      <c r="DB10">
        <f t="shared" si="23"/>
        <v>0</v>
      </c>
      <c r="DC10">
        <f t="shared" si="23"/>
        <v>0</v>
      </c>
      <c r="DD10">
        <f t="shared" si="23"/>
        <v>0</v>
      </c>
      <c r="DE10">
        <f t="shared" si="23"/>
        <v>0</v>
      </c>
      <c r="DF10">
        <f t="shared" si="23"/>
        <v>0</v>
      </c>
      <c r="DG10">
        <f t="shared" si="23"/>
        <v>0</v>
      </c>
      <c r="DH10">
        <f t="shared" si="23"/>
        <v>0</v>
      </c>
      <c r="DI10">
        <f t="shared" si="23"/>
        <v>0</v>
      </c>
      <c r="DJ10">
        <f t="shared" si="23"/>
        <v>0</v>
      </c>
      <c r="DK10">
        <f t="shared" si="23"/>
        <v>0</v>
      </c>
      <c r="DL10">
        <f t="shared" si="23"/>
        <v>0</v>
      </c>
      <c r="DM10">
        <f t="shared" si="23"/>
        <v>0</v>
      </c>
      <c r="DN10">
        <f t="shared" si="23"/>
        <v>0</v>
      </c>
      <c r="DO10">
        <f t="shared" si="23"/>
        <v>0</v>
      </c>
      <c r="DP10">
        <f t="shared" si="23"/>
        <v>0</v>
      </c>
      <c r="DQ10">
        <f t="shared" si="23"/>
        <v>0</v>
      </c>
      <c r="DR10">
        <f t="shared" si="23"/>
        <v>0</v>
      </c>
      <c r="DS10">
        <f t="shared" si="23"/>
        <v>0</v>
      </c>
      <c r="DT10">
        <f t="shared" si="23"/>
        <v>0</v>
      </c>
      <c r="DU10">
        <f t="shared" si="23"/>
        <v>0</v>
      </c>
      <c r="DV10">
        <f t="shared" si="23"/>
        <v>0</v>
      </c>
      <c r="DW10">
        <f t="shared" si="23"/>
        <v>0</v>
      </c>
      <c r="DX10">
        <f t="shared" si="23"/>
        <v>0</v>
      </c>
      <c r="DY10">
        <f t="shared" si="23"/>
        <v>0</v>
      </c>
      <c r="DZ10">
        <f t="shared" si="23"/>
        <v>0</v>
      </c>
      <c r="EA10">
        <f t="shared" si="23"/>
        <v>0</v>
      </c>
      <c r="EB10">
        <f t="shared" si="23"/>
        <v>0</v>
      </c>
      <c r="EC10">
        <f t="shared" si="23"/>
        <v>0</v>
      </c>
      <c r="ED10">
        <f t="shared" ref="ED10:GO10" si="24">IF($B$11=ED11,1,IF(EC10&gt;=1,EC10+1,0))</f>
        <v>0</v>
      </c>
      <c r="EE10">
        <f t="shared" si="24"/>
        <v>0</v>
      </c>
      <c r="EF10">
        <f t="shared" si="24"/>
        <v>0</v>
      </c>
      <c r="EG10">
        <f t="shared" si="24"/>
        <v>0</v>
      </c>
      <c r="EH10">
        <f t="shared" si="24"/>
        <v>0</v>
      </c>
      <c r="EI10">
        <f t="shared" si="24"/>
        <v>0</v>
      </c>
      <c r="EJ10">
        <f t="shared" si="24"/>
        <v>0</v>
      </c>
      <c r="EK10">
        <f t="shared" si="24"/>
        <v>0</v>
      </c>
      <c r="EL10">
        <f t="shared" si="24"/>
        <v>0</v>
      </c>
      <c r="EM10">
        <f t="shared" si="24"/>
        <v>0</v>
      </c>
      <c r="EN10">
        <f t="shared" si="24"/>
        <v>0</v>
      </c>
      <c r="EO10">
        <f t="shared" si="24"/>
        <v>0</v>
      </c>
      <c r="EP10">
        <f t="shared" si="24"/>
        <v>0</v>
      </c>
      <c r="EQ10">
        <f t="shared" si="24"/>
        <v>0</v>
      </c>
      <c r="ER10">
        <f t="shared" si="24"/>
        <v>0</v>
      </c>
      <c r="ES10">
        <f t="shared" si="24"/>
        <v>0</v>
      </c>
      <c r="ET10">
        <f t="shared" si="24"/>
        <v>0</v>
      </c>
      <c r="EU10">
        <f t="shared" si="24"/>
        <v>0</v>
      </c>
      <c r="EV10">
        <f t="shared" si="24"/>
        <v>0</v>
      </c>
      <c r="EW10">
        <f t="shared" si="24"/>
        <v>0</v>
      </c>
      <c r="EX10">
        <f t="shared" si="24"/>
        <v>0</v>
      </c>
      <c r="EY10">
        <f t="shared" si="24"/>
        <v>0</v>
      </c>
      <c r="EZ10">
        <f t="shared" si="24"/>
        <v>0</v>
      </c>
      <c r="FA10">
        <f t="shared" si="24"/>
        <v>0</v>
      </c>
      <c r="FB10">
        <f t="shared" si="24"/>
        <v>0</v>
      </c>
      <c r="FC10">
        <f t="shared" si="24"/>
        <v>0</v>
      </c>
      <c r="FD10">
        <f t="shared" si="24"/>
        <v>0</v>
      </c>
      <c r="FE10">
        <f t="shared" si="24"/>
        <v>0</v>
      </c>
      <c r="FF10">
        <f t="shared" si="24"/>
        <v>0</v>
      </c>
      <c r="FG10">
        <f t="shared" si="24"/>
        <v>0</v>
      </c>
      <c r="FH10">
        <f t="shared" si="24"/>
        <v>0</v>
      </c>
      <c r="FI10">
        <f t="shared" si="24"/>
        <v>0</v>
      </c>
      <c r="FJ10">
        <f t="shared" si="24"/>
        <v>0</v>
      </c>
      <c r="FK10">
        <f t="shared" si="24"/>
        <v>0</v>
      </c>
      <c r="FL10">
        <f t="shared" si="24"/>
        <v>0</v>
      </c>
      <c r="FM10">
        <f t="shared" si="24"/>
        <v>0</v>
      </c>
      <c r="FN10">
        <f t="shared" si="24"/>
        <v>0</v>
      </c>
      <c r="FO10">
        <f t="shared" si="24"/>
        <v>0</v>
      </c>
      <c r="FP10">
        <f t="shared" si="24"/>
        <v>0</v>
      </c>
      <c r="FQ10">
        <f t="shared" si="24"/>
        <v>0</v>
      </c>
      <c r="FR10">
        <f t="shared" si="24"/>
        <v>0</v>
      </c>
      <c r="FS10">
        <f t="shared" si="24"/>
        <v>0</v>
      </c>
      <c r="FT10">
        <f t="shared" si="24"/>
        <v>0</v>
      </c>
      <c r="FU10">
        <f t="shared" si="24"/>
        <v>0</v>
      </c>
      <c r="FV10">
        <f t="shared" si="24"/>
        <v>0</v>
      </c>
      <c r="FW10">
        <f t="shared" si="24"/>
        <v>0</v>
      </c>
      <c r="FX10">
        <f t="shared" si="24"/>
        <v>0</v>
      </c>
      <c r="FY10">
        <f t="shared" si="24"/>
        <v>0</v>
      </c>
      <c r="FZ10">
        <f t="shared" si="24"/>
        <v>0</v>
      </c>
      <c r="GA10">
        <f t="shared" si="24"/>
        <v>0</v>
      </c>
      <c r="GB10">
        <f t="shared" si="24"/>
        <v>0</v>
      </c>
      <c r="GC10">
        <f t="shared" si="24"/>
        <v>0</v>
      </c>
      <c r="GD10">
        <f t="shared" si="24"/>
        <v>0</v>
      </c>
      <c r="GE10">
        <f t="shared" si="24"/>
        <v>0</v>
      </c>
      <c r="GF10">
        <f t="shared" si="24"/>
        <v>0</v>
      </c>
      <c r="GG10">
        <f t="shared" si="24"/>
        <v>0</v>
      </c>
      <c r="GH10">
        <f t="shared" si="24"/>
        <v>0</v>
      </c>
      <c r="GI10">
        <f t="shared" si="24"/>
        <v>0</v>
      </c>
      <c r="GJ10">
        <f t="shared" si="24"/>
        <v>0</v>
      </c>
      <c r="GK10">
        <f t="shared" si="24"/>
        <v>0</v>
      </c>
      <c r="GL10">
        <f t="shared" si="24"/>
        <v>0</v>
      </c>
      <c r="GM10">
        <f t="shared" si="24"/>
        <v>0</v>
      </c>
      <c r="GN10">
        <f t="shared" si="24"/>
        <v>0</v>
      </c>
      <c r="GO10">
        <f t="shared" si="24"/>
        <v>0</v>
      </c>
      <c r="GP10">
        <f t="shared" ref="GP10:JA10" si="25">IF($B$11=GP11,1,IF(GO10&gt;=1,GO10+1,0))</f>
        <v>0</v>
      </c>
      <c r="GQ10">
        <f t="shared" si="25"/>
        <v>0</v>
      </c>
      <c r="GR10">
        <f t="shared" si="25"/>
        <v>0</v>
      </c>
      <c r="GS10">
        <f t="shared" si="25"/>
        <v>0</v>
      </c>
      <c r="GT10">
        <f t="shared" si="25"/>
        <v>0</v>
      </c>
      <c r="GU10">
        <f t="shared" si="25"/>
        <v>0</v>
      </c>
      <c r="GV10">
        <f t="shared" si="25"/>
        <v>0</v>
      </c>
      <c r="GW10">
        <f t="shared" si="25"/>
        <v>0</v>
      </c>
      <c r="GX10">
        <f t="shared" si="25"/>
        <v>0</v>
      </c>
      <c r="GY10">
        <f t="shared" si="25"/>
        <v>0</v>
      </c>
      <c r="GZ10">
        <f t="shared" si="25"/>
        <v>0</v>
      </c>
      <c r="HA10">
        <f t="shared" si="25"/>
        <v>0</v>
      </c>
      <c r="HB10">
        <f t="shared" si="25"/>
        <v>0</v>
      </c>
      <c r="HC10">
        <f t="shared" si="25"/>
        <v>0</v>
      </c>
      <c r="HD10">
        <f t="shared" si="25"/>
        <v>0</v>
      </c>
      <c r="HE10">
        <f t="shared" si="25"/>
        <v>0</v>
      </c>
      <c r="HF10">
        <f t="shared" si="25"/>
        <v>0</v>
      </c>
      <c r="HG10">
        <f t="shared" si="25"/>
        <v>0</v>
      </c>
      <c r="HH10">
        <f t="shared" si="25"/>
        <v>0</v>
      </c>
      <c r="HI10">
        <f t="shared" si="25"/>
        <v>0</v>
      </c>
      <c r="HJ10">
        <f t="shared" si="25"/>
        <v>0</v>
      </c>
      <c r="HK10">
        <f t="shared" si="25"/>
        <v>0</v>
      </c>
      <c r="HL10">
        <f t="shared" si="25"/>
        <v>0</v>
      </c>
      <c r="HM10">
        <f t="shared" si="25"/>
        <v>0</v>
      </c>
      <c r="HN10">
        <f t="shared" si="25"/>
        <v>0</v>
      </c>
      <c r="HO10">
        <f t="shared" si="25"/>
        <v>0</v>
      </c>
      <c r="HP10">
        <f t="shared" si="25"/>
        <v>0</v>
      </c>
      <c r="HQ10">
        <f t="shared" si="25"/>
        <v>0</v>
      </c>
      <c r="HR10">
        <f t="shared" si="25"/>
        <v>0</v>
      </c>
      <c r="HS10">
        <f t="shared" si="25"/>
        <v>0</v>
      </c>
      <c r="HT10">
        <f t="shared" si="25"/>
        <v>0</v>
      </c>
      <c r="HU10">
        <f t="shared" si="25"/>
        <v>0</v>
      </c>
      <c r="HV10">
        <f t="shared" si="25"/>
        <v>0</v>
      </c>
      <c r="HW10">
        <f t="shared" si="25"/>
        <v>0</v>
      </c>
      <c r="HX10">
        <f t="shared" si="25"/>
        <v>0</v>
      </c>
      <c r="HY10">
        <f t="shared" si="25"/>
        <v>0</v>
      </c>
      <c r="HZ10">
        <f t="shared" si="25"/>
        <v>0</v>
      </c>
      <c r="IA10">
        <f t="shared" si="25"/>
        <v>0</v>
      </c>
      <c r="IB10">
        <f t="shared" si="25"/>
        <v>0</v>
      </c>
      <c r="IC10">
        <f t="shared" si="25"/>
        <v>0</v>
      </c>
      <c r="ID10">
        <f t="shared" si="25"/>
        <v>0</v>
      </c>
      <c r="IE10">
        <f t="shared" si="25"/>
        <v>0</v>
      </c>
      <c r="IF10">
        <f t="shared" si="25"/>
        <v>0</v>
      </c>
      <c r="IG10">
        <f t="shared" si="25"/>
        <v>0</v>
      </c>
      <c r="IH10">
        <f t="shared" si="25"/>
        <v>0</v>
      </c>
      <c r="II10">
        <f t="shared" si="25"/>
        <v>0</v>
      </c>
      <c r="IJ10">
        <f t="shared" si="25"/>
        <v>0</v>
      </c>
      <c r="IK10">
        <f t="shared" si="25"/>
        <v>0</v>
      </c>
      <c r="IL10">
        <f t="shared" si="25"/>
        <v>0</v>
      </c>
      <c r="IM10">
        <f t="shared" si="25"/>
        <v>0</v>
      </c>
      <c r="IN10">
        <f t="shared" si="25"/>
        <v>0</v>
      </c>
      <c r="IO10">
        <f t="shared" si="25"/>
        <v>0</v>
      </c>
      <c r="IP10">
        <f t="shared" si="25"/>
        <v>0</v>
      </c>
      <c r="IQ10">
        <f t="shared" si="25"/>
        <v>0</v>
      </c>
      <c r="IR10">
        <f t="shared" si="25"/>
        <v>0</v>
      </c>
      <c r="IS10">
        <f t="shared" si="25"/>
        <v>0</v>
      </c>
      <c r="IT10">
        <f t="shared" si="25"/>
        <v>0</v>
      </c>
      <c r="IU10">
        <f t="shared" si="25"/>
        <v>0</v>
      </c>
      <c r="IV10">
        <f t="shared" si="25"/>
        <v>0</v>
      </c>
      <c r="IW10">
        <f t="shared" si="25"/>
        <v>0</v>
      </c>
      <c r="IX10">
        <f t="shared" si="25"/>
        <v>0</v>
      </c>
      <c r="IY10">
        <f t="shared" si="25"/>
        <v>0</v>
      </c>
      <c r="IZ10">
        <f t="shared" si="25"/>
        <v>0</v>
      </c>
      <c r="JA10">
        <f t="shared" si="25"/>
        <v>0</v>
      </c>
      <c r="JB10">
        <f t="shared" ref="JB10:LM10" si="26">IF($B$11=JB11,1,IF(JA10&gt;=1,JA10+1,0))</f>
        <v>0</v>
      </c>
      <c r="JC10">
        <f t="shared" si="26"/>
        <v>0</v>
      </c>
      <c r="JD10">
        <f t="shared" si="26"/>
        <v>0</v>
      </c>
      <c r="JE10">
        <f t="shared" si="26"/>
        <v>0</v>
      </c>
      <c r="JF10">
        <f t="shared" si="26"/>
        <v>0</v>
      </c>
      <c r="JG10">
        <f t="shared" si="26"/>
        <v>0</v>
      </c>
      <c r="JH10">
        <f t="shared" si="26"/>
        <v>0</v>
      </c>
      <c r="JI10">
        <f t="shared" si="26"/>
        <v>0</v>
      </c>
      <c r="JJ10">
        <f t="shared" si="26"/>
        <v>0</v>
      </c>
      <c r="JK10">
        <f t="shared" si="26"/>
        <v>0</v>
      </c>
      <c r="JL10">
        <f t="shared" si="26"/>
        <v>0</v>
      </c>
      <c r="JM10">
        <f t="shared" si="26"/>
        <v>0</v>
      </c>
      <c r="JN10">
        <f t="shared" si="26"/>
        <v>0</v>
      </c>
      <c r="JO10">
        <f t="shared" si="26"/>
        <v>0</v>
      </c>
      <c r="JP10">
        <f t="shared" si="26"/>
        <v>0</v>
      </c>
      <c r="JQ10">
        <f t="shared" si="26"/>
        <v>0</v>
      </c>
      <c r="JR10">
        <f t="shared" si="26"/>
        <v>0</v>
      </c>
      <c r="JS10">
        <f t="shared" si="26"/>
        <v>0</v>
      </c>
      <c r="JT10">
        <f t="shared" si="26"/>
        <v>0</v>
      </c>
      <c r="JU10">
        <f t="shared" si="26"/>
        <v>0</v>
      </c>
      <c r="JV10">
        <f t="shared" si="26"/>
        <v>0</v>
      </c>
      <c r="JW10">
        <f t="shared" si="26"/>
        <v>0</v>
      </c>
      <c r="JX10">
        <f t="shared" si="26"/>
        <v>0</v>
      </c>
      <c r="JY10">
        <f t="shared" si="26"/>
        <v>0</v>
      </c>
      <c r="JZ10">
        <f t="shared" si="26"/>
        <v>0</v>
      </c>
      <c r="KA10">
        <f t="shared" si="26"/>
        <v>0</v>
      </c>
      <c r="KB10">
        <f t="shared" si="26"/>
        <v>0</v>
      </c>
      <c r="KC10">
        <f t="shared" si="26"/>
        <v>0</v>
      </c>
      <c r="KD10">
        <f t="shared" si="26"/>
        <v>0</v>
      </c>
      <c r="KE10">
        <f t="shared" si="26"/>
        <v>0</v>
      </c>
      <c r="KF10">
        <f t="shared" si="26"/>
        <v>0</v>
      </c>
      <c r="KG10">
        <f t="shared" si="26"/>
        <v>0</v>
      </c>
      <c r="KH10">
        <f t="shared" si="26"/>
        <v>0</v>
      </c>
      <c r="KI10">
        <f t="shared" si="26"/>
        <v>0</v>
      </c>
      <c r="KJ10">
        <f t="shared" si="26"/>
        <v>0</v>
      </c>
      <c r="KK10">
        <f t="shared" si="26"/>
        <v>0</v>
      </c>
      <c r="KL10">
        <f t="shared" si="26"/>
        <v>0</v>
      </c>
      <c r="KM10">
        <f t="shared" si="26"/>
        <v>0</v>
      </c>
      <c r="KN10">
        <f t="shared" si="26"/>
        <v>0</v>
      </c>
      <c r="KO10">
        <f t="shared" si="26"/>
        <v>0</v>
      </c>
      <c r="KP10">
        <f t="shared" si="26"/>
        <v>0</v>
      </c>
      <c r="KQ10">
        <f t="shared" si="26"/>
        <v>0</v>
      </c>
      <c r="KR10">
        <f t="shared" si="26"/>
        <v>0</v>
      </c>
      <c r="KS10">
        <f t="shared" si="26"/>
        <v>0</v>
      </c>
      <c r="KT10">
        <f t="shared" si="26"/>
        <v>0</v>
      </c>
      <c r="KU10">
        <f t="shared" si="26"/>
        <v>0</v>
      </c>
      <c r="KV10">
        <f t="shared" si="26"/>
        <v>0</v>
      </c>
      <c r="KW10">
        <f t="shared" si="26"/>
        <v>0</v>
      </c>
      <c r="KX10">
        <f t="shared" si="26"/>
        <v>0</v>
      </c>
      <c r="KY10">
        <f t="shared" si="26"/>
        <v>0</v>
      </c>
      <c r="KZ10">
        <f t="shared" si="26"/>
        <v>0</v>
      </c>
      <c r="LA10">
        <f t="shared" si="26"/>
        <v>0</v>
      </c>
      <c r="LB10">
        <f t="shared" si="26"/>
        <v>0</v>
      </c>
      <c r="LC10">
        <f t="shared" si="26"/>
        <v>0</v>
      </c>
      <c r="LD10">
        <f t="shared" si="26"/>
        <v>0</v>
      </c>
      <c r="LE10">
        <f t="shared" si="26"/>
        <v>0</v>
      </c>
      <c r="LF10">
        <f t="shared" si="26"/>
        <v>0</v>
      </c>
      <c r="LG10">
        <f t="shared" si="26"/>
        <v>0</v>
      </c>
      <c r="LH10">
        <f t="shared" si="26"/>
        <v>0</v>
      </c>
      <c r="LI10">
        <f t="shared" si="26"/>
        <v>0</v>
      </c>
      <c r="LJ10">
        <f t="shared" si="26"/>
        <v>0</v>
      </c>
      <c r="LK10">
        <f t="shared" si="26"/>
        <v>0</v>
      </c>
      <c r="LL10">
        <f t="shared" si="26"/>
        <v>0</v>
      </c>
      <c r="LM10">
        <f t="shared" si="26"/>
        <v>0</v>
      </c>
      <c r="LN10">
        <f t="shared" ref="LN10:NY10" si="27">IF($B$11=LN11,1,IF(LM10&gt;=1,LM10+1,0))</f>
        <v>0</v>
      </c>
      <c r="LO10">
        <f t="shared" si="27"/>
        <v>0</v>
      </c>
      <c r="LP10">
        <f t="shared" si="27"/>
        <v>0</v>
      </c>
      <c r="LQ10">
        <f t="shared" si="27"/>
        <v>0</v>
      </c>
      <c r="LR10">
        <f t="shared" si="27"/>
        <v>0</v>
      </c>
      <c r="LS10">
        <f t="shared" si="27"/>
        <v>0</v>
      </c>
      <c r="LT10">
        <f t="shared" si="27"/>
        <v>0</v>
      </c>
      <c r="LU10">
        <f t="shared" si="27"/>
        <v>0</v>
      </c>
      <c r="LV10">
        <f t="shared" si="27"/>
        <v>0</v>
      </c>
      <c r="LW10">
        <f t="shared" si="27"/>
        <v>0</v>
      </c>
      <c r="LX10">
        <f t="shared" si="27"/>
        <v>0</v>
      </c>
      <c r="LY10">
        <f t="shared" si="27"/>
        <v>0</v>
      </c>
      <c r="LZ10">
        <f t="shared" si="27"/>
        <v>0</v>
      </c>
      <c r="MA10">
        <f t="shared" si="27"/>
        <v>0</v>
      </c>
      <c r="MB10">
        <f t="shared" si="27"/>
        <v>0</v>
      </c>
      <c r="MC10">
        <f t="shared" si="27"/>
        <v>0</v>
      </c>
      <c r="MD10">
        <f t="shared" si="27"/>
        <v>0</v>
      </c>
      <c r="ME10">
        <f t="shared" si="27"/>
        <v>0</v>
      </c>
      <c r="MF10">
        <f t="shared" si="27"/>
        <v>0</v>
      </c>
      <c r="MG10">
        <f t="shared" si="27"/>
        <v>0</v>
      </c>
      <c r="MH10">
        <f t="shared" si="27"/>
        <v>0</v>
      </c>
      <c r="MI10">
        <f t="shared" si="27"/>
        <v>0</v>
      </c>
      <c r="MJ10">
        <f t="shared" si="27"/>
        <v>0</v>
      </c>
      <c r="MK10">
        <f t="shared" si="27"/>
        <v>0</v>
      </c>
      <c r="ML10">
        <f t="shared" si="27"/>
        <v>0</v>
      </c>
      <c r="MM10">
        <f t="shared" si="27"/>
        <v>0</v>
      </c>
      <c r="MN10">
        <f t="shared" si="27"/>
        <v>0</v>
      </c>
      <c r="MO10">
        <f t="shared" si="27"/>
        <v>0</v>
      </c>
      <c r="MP10">
        <f t="shared" si="27"/>
        <v>0</v>
      </c>
      <c r="MQ10">
        <f t="shared" si="27"/>
        <v>0</v>
      </c>
      <c r="MR10">
        <f t="shared" si="27"/>
        <v>0</v>
      </c>
      <c r="MS10">
        <f t="shared" si="27"/>
        <v>0</v>
      </c>
      <c r="MT10">
        <f t="shared" si="27"/>
        <v>0</v>
      </c>
      <c r="MU10">
        <f t="shared" si="27"/>
        <v>0</v>
      </c>
      <c r="MV10">
        <f t="shared" si="27"/>
        <v>0</v>
      </c>
      <c r="MW10">
        <f t="shared" si="27"/>
        <v>0</v>
      </c>
      <c r="MX10">
        <f t="shared" si="27"/>
        <v>0</v>
      </c>
      <c r="MY10">
        <f t="shared" si="27"/>
        <v>0</v>
      </c>
      <c r="MZ10">
        <f t="shared" si="27"/>
        <v>0</v>
      </c>
      <c r="NA10">
        <f t="shared" si="27"/>
        <v>0</v>
      </c>
      <c r="NB10">
        <f t="shared" si="27"/>
        <v>0</v>
      </c>
      <c r="NC10">
        <f t="shared" si="27"/>
        <v>0</v>
      </c>
      <c r="ND10">
        <f t="shared" si="27"/>
        <v>0</v>
      </c>
      <c r="NE10">
        <f t="shared" si="27"/>
        <v>0</v>
      </c>
      <c r="NF10">
        <f t="shared" si="27"/>
        <v>0</v>
      </c>
      <c r="NG10">
        <f t="shared" si="27"/>
        <v>0</v>
      </c>
      <c r="NH10">
        <f t="shared" si="27"/>
        <v>0</v>
      </c>
      <c r="NI10">
        <f t="shared" si="27"/>
        <v>0</v>
      </c>
      <c r="NJ10">
        <f t="shared" si="27"/>
        <v>0</v>
      </c>
      <c r="NK10">
        <f t="shared" si="27"/>
        <v>0</v>
      </c>
      <c r="NL10">
        <f t="shared" si="27"/>
        <v>0</v>
      </c>
      <c r="NM10">
        <f t="shared" si="27"/>
        <v>0</v>
      </c>
      <c r="NN10">
        <f t="shared" si="27"/>
        <v>0</v>
      </c>
      <c r="NO10">
        <f t="shared" si="27"/>
        <v>0</v>
      </c>
      <c r="NP10">
        <f t="shared" si="27"/>
        <v>0</v>
      </c>
      <c r="NQ10">
        <f t="shared" si="27"/>
        <v>0</v>
      </c>
      <c r="NR10">
        <f t="shared" si="27"/>
        <v>0</v>
      </c>
      <c r="NS10">
        <f t="shared" si="27"/>
        <v>0</v>
      </c>
      <c r="NT10">
        <f t="shared" si="27"/>
        <v>0</v>
      </c>
      <c r="NU10">
        <f t="shared" si="27"/>
        <v>0</v>
      </c>
      <c r="NV10">
        <f t="shared" si="27"/>
        <v>0</v>
      </c>
      <c r="NW10">
        <f t="shared" si="27"/>
        <v>0</v>
      </c>
      <c r="NX10">
        <f t="shared" si="27"/>
        <v>0</v>
      </c>
      <c r="NY10">
        <f t="shared" si="27"/>
        <v>0</v>
      </c>
      <c r="NZ10">
        <f t="shared" ref="NZ10:QK10" si="28">IF($B$11=NZ11,1,IF(NY10&gt;=1,NY10+1,0))</f>
        <v>0</v>
      </c>
      <c r="OA10">
        <f t="shared" si="28"/>
        <v>0</v>
      </c>
      <c r="OB10">
        <f t="shared" si="28"/>
        <v>0</v>
      </c>
      <c r="OC10">
        <f t="shared" si="28"/>
        <v>0</v>
      </c>
      <c r="OD10">
        <f t="shared" si="28"/>
        <v>0</v>
      </c>
      <c r="OE10">
        <f t="shared" si="28"/>
        <v>0</v>
      </c>
      <c r="OF10">
        <f t="shared" si="28"/>
        <v>0</v>
      </c>
      <c r="OG10">
        <f t="shared" si="28"/>
        <v>0</v>
      </c>
      <c r="OH10">
        <f t="shared" si="28"/>
        <v>0</v>
      </c>
      <c r="OI10">
        <f t="shared" si="28"/>
        <v>0</v>
      </c>
      <c r="OJ10">
        <f t="shared" si="28"/>
        <v>0</v>
      </c>
      <c r="OK10">
        <f t="shared" si="28"/>
        <v>0</v>
      </c>
      <c r="OL10">
        <f t="shared" si="28"/>
        <v>0</v>
      </c>
      <c r="OM10">
        <f t="shared" si="28"/>
        <v>0</v>
      </c>
      <c r="ON10">
        <f t="shared" si="28"/>
        <v>0</v>
      </c>
      <c r="OO10">
        <f t="shared" si="28"/>
        <v>0</v>
      </c>
      <c r="OP10">
        <f t="shared" si="28"/>
        <v>0</v>
      </c>
      <c r="OQ10">
        <f t="shared" si="28"/>
        <v>0</v>
      </c>
      <c r="OR10">
        <f t="shared" si="28"/>
        <v>0</v>
      </c>
      <c r="OS10">
        <f t="shared" si="28"/>
        <v>0</v>
      </c>
      <c r="OT10">
        <f t="shared" si="28"/>
        <v>0</v>
      </c>
      <c r="OU10">
        <f t="shared" si="28"/>
        <v>0</v>
      </c>
      <c r="OV10">
        <f t="shared" si="28"/>
        <v>0</v>
      </c>
      <c r="OW10">
        <f t="shared" si="28"/>
        <v>0</v>
      </c>
      <c r="OX10">
        <f t="shared" si="28"/>
        <v>0</v>
      </c>
      <c r="OY10">
        <f t="shared" si="28"/>
        <v>0</v>
      </c>
      <c r="OZ10">
        <f t="shared" si="28"/>
        <v>0</v>
      </c>
      <c r="PA10">
        <f t="shared" si="28"/>
        <v>0</v>
      </c>
      <c r="PB10">
        <f t="shared" si="28"/>
        <v>0</v>
      </c>
      <c r="PC10">
        <f t="shared" si="28"/>
        <v>0</v>
      </c>
      <c r="PD10">
        <f t="shared" si="28"/>
        <v>0</v>
      </c>
      <c r="PE10">
        <f t="shared" si="28"/>
        <v>0</v>
      </c>
      <c r="PF10">
        <f t="shared" si="28"/>
        <v>0</v>
      </c>
      <c r="PG10">
        <f t="shared" si="28"/>
        <v>0</v>
      </c>
      <c r="PH10">
        <f t="shared" si="28"/>
        <v>0</v>
      </c>
      <c r="PI10">
        <f t="shared" si="28"/>
        <v>0</v>
      </c>
      <c r="PJ10">
        <f t="shared" si="28"/>
        <v>0</v>
      </c>
      <c r="PK10">
        <f t="shared" si="28"/>
        <v>0</v>
      </c>
      <c r="PL10">
        <f t="shared" si="28"/>
        <v>0</v>
      </c>
      <c r="PM10">
        <f t="shared" si="28"/>
        <v>0</v>
      </c>
      <c r="PN10">
        <f t="shared" si="28"/>
        <v>0</v>
      </c>
      <c r="PO10">
        <f t="shared" si="28"/>
        <v>0</v>
      </c>
      <c r="PP10">
        <f t="shared" si="28"/>
        <v>0</v>
      </c>
      <c r="PQ10">
        <f t="shared" si="28"/>
        <v>0</v>
      </c>
      <c r="PR10">
        <f t="shared" si="28"/>
        <v>0</v>
      </c>
      <c r="PS10">
        <f t="shared" si="28"/>
        <v>0</v>
      </c>
      <c r="PT10">
        <f t="shared" si="28"/>
        <v>0</v>
      </c>
      <c r="PU10">
        <f t="shared" si="28"/>
        <v>0</v>
      </c>
      <c r="PV10">
        <f t="shared" si="28"/>
        <v>0</v>
      </c>
      <c r="PW10">
        <f t="shared" si="28"/>
        <v>0</v>
      </c>
      <c r="PX10">
        <f t="shared" si="28"/>
        <v>0</v>
      </c>
      <c r="PY10">
        <f t="shared" si="28"/>
        <v>0</v>
      </c>
      <c r="PZ10">
        <f t="shared" si="28"/>
        <v>0</v>
      </c>
      <c r="QA10">
        <f t="shared" si="28"/>
        <v>0</v>
      </c>
      <c r="QB10">
        <f t="shared" si="28"/>
        <v>0</v>
      </c>
      <c r="QC10">
        <f t="shared" si="28"/>
        <v>0</v>
      </c>
      <c r="QD10">
        <f t="shared" si="28"/>
        <v>0</v>
      </c>
      <c r="QE10">
        <f t="shared" si="28"/>
        <v>0</v>
      </c>
      <c r="QF10">
        <f t="shared" si="28"/>
        <v>0</v>
      </c>
      <c r="QG10">
        <f t="shared" si="28"/>
        <v>0</v>
      </c>
      <c r="QH10">
        <f t="shared" si="28"/>
        <v>0</v>
      </c>
      <c r="QI10">
        <f t="shared" si="28"/>
        <v>0</v>
      </c>
      <c r="QJ10">
        <f t="shared" si="28"/>
        <v>0</v>
      </c>
      <c r="QK10">
        <f t="shared" si="28"/>
        <v>0</v>
      </c>
      <c r="QL10">
        <f t="shared" ref="QL10:SW10" si="29">IF($B$11=QL11,1,IF(QK10&gt;=1,QK10+1,0))</f>
        <v>0</v>
      </c>
      <c r="QM10">
        <f t="shared" si="29"/>
        <v>0</v>
      </c>
      <c r="QN10">
        <f t="shared" si="29"/>
        <v>0</v>
      </c>
      <c r="QO10">
        <f t="shared" si="29"/>
        <v>0</v>
      </c>
      <c r="QP10">
        <f t="shared" si="29"/>
        <v>0</v>
      </c>
      <c r="QQ10">
        <f t="shared" si="29"/>
        <v>0</v>
      </c>
      <c r="QR10">
        <f t="shared" si="29"/>
        <v>0</v>
      </c>
      <c r="QS10">
        <f t="shared" si="29"/>
        <v>0</v>
      </c>
      <c r="QT10">
        <f t="shared" si="29"/>
        <v>0</v>
      </c>
      <c r="QU10">
        <f t="shared" si="29"/>
        <v>0</v>
      </c>
      <c r="QV10">
        <f t="shared" si="29"/>
        <v>0</v>
      </c>
      <c r="QW10">
        <f t="shared" si="29"/>
        <v>0</v>
      </c>
      <c r="QX10">
        <f t="shared" si="29"/>
        <v>0</v>
      </c>
      <c r="QY10">
        <f t="shared" si="29"/>
        <v>0</v>
      </c>
      <c r="QZ10">
        <f t="shared" si="29"/>
        <v>0</v>
      </c>
      <c r="RA10">
        <f t="shared" si="29"/>
        <v>0</v>
      </c>
      <c r="RB10">
        <f t="shared" si="29"/>
        <v>0</v>
      </c>
      <c r="RC10">
        <f t="shared" si="29"/>
        <v>0</v>
      </c>
      <c r="RD10">
        <f t="shared" si="29"/>
        <v>0</v>
      </c>
      <c r="RE10">
        <f t="shared" si="29"/>
        <v>0</v>
      </c>
      <c r="RF10">
        <f t="shared" si="29"/>
        <v>0</v>
      </c>
      <c r="RG10">
        <f t="shared" si="29"/>
        <v>0</v>
      </c>
      <c r="RH10">
        <f t="shared" si="29"/>
        <v>0</v>
      </c>
      <c r="RI10">
        <f t="shared" si="29"/>
        <v>0</v>
      </c>
      <c r="RJ10">
        <f t="shared" si="29"/>
        <v>0</v>
      </c>
      <c r="RK10">
        <f t="shared" si="29"/>
        <v>0</v>
      </c>
      <c r="RL10">
        <f t="shared" si="29"/>
        <v>0</v>
      </c>
      <c r="RM10">
        <f t="shared" si="29"/>
        <v>0</v>
      </c>
      <c r="RN10">
        <f t="shared" si="29"/>
        <v>0</v>
      </c>
      <c r="RO10">
        <f t="shared" si="29"/>
        <v>0</v>
      </c>
      <c r="RP10">
        <f t="shared" si="29"/>
        <v>0</v>
      </c>
      <c r="RQ10">
        <f t="shared" si="29"/>
        <v>0</v>
      </c>
      <c r="RR10">
        <f t="shared" si="29"/>
        <v>0</v>
      </c>
      <c r="RS10">
        <f t="shared" si="29"/>
        <v>0</v>
      </c>
      <c r="RT10">
        <f t="shared" si="29"/>
        <v>0</v>
      </c>
      <c r="RU10">
        <f t="shared" si="29"/>
        <v>0</v>
      </c>
      <c r="RV10">
        <f t="shared" si="29"/>
        <v>0</v>
      </c>
      <c r="RW10">
        <f t="shared" si="29"/>
        <v>0</v>
      </c>
      <c r="RX10">
        <f t="shared" si="29"/>
        <v>0</v>
      </c>
      <c r="RY10">
        <f t="shared" si="29"/>
        <v>0</v>
      </c>
      <c r="RZ10">
        <f t="shared" si="29"/>
        <v>0</v>
      </c>
      <c r="SA10">
        <f t="shared" si="29"/>
        <v>0</v>
      </c>
      <c r="SB10">
        <f t="shared" si="29"/>
        <v>0</v>
      </c>
      <c r="SC10">
        <f t="shared" si="29"/>
        <v>0</v>
      </c>
      <c r="SD10">
        <f t="shared" si="29"/>
        <v>0</v>
      </c>
      <c r="SE10">
        <f t="shared" si="29"/>
        <v>0</v>
      </c>
      <c r="SF10">
        <f t="shared" si="29"/>
        <v>0</v>
      </c>
      <c r="SG10">
        <f t="shared" si="29"/>
        <v>0</v>
      </c>
      <c r="SH10">
        <f t="shared" si="29"/>
        <v>0</v>
      </c>
      <c r="SI10">
        <f t="shared" si="29"/>
        <v>0</v>
      </c>
      <c r="SJ10">
        <f t="shared" si="29"/>
        <v>0</v>
      </c>
      <c r="SK10">
        <f t="shared" si="29"/>
        <v>0</v>
      </c>
      <c r="SL10">
        <f t="shared" si="29"/>
        <v>0</v>
      </c>
      <c r="SM10">
        <f t="shared" si="29"/>
        <v>0</v>
      </c>
      <c r="SN10">
        <f t="shared" si="29"/>
        <v>0</v>
      </c>
      <c r="SO10">
        <f t="shared" si="29"/>
        <v>0</v>
      </c>
      <c r="SP10">
        <f t="shared" si="29"/>
        <v>0</v>
      </c>
      <c r="SQ10">
        <f t="shared" si="29"/>
        <v>0</v>
      </c>
      <c r="SR10">
        <f t="shared" si="29"/>
        <v>0</v>
      </c>
      <c r="SS10">
        <f t="shared" si="29"/>
        <v>0</v>
      </c>
      <c r="ST10">
        <f t="shared" si="29"/>
        <v>0</v>
      </c>
      <c r="SU10">
        <f t="shared" si="29"/>
        <v>0</v>
      </c>
      <c r="SV10">
        <f t="shared" si="29"/>
        <v>0</v>
      </c>
      <c r="SW10">
        <f t="shared" si="29"/>
        <v>0</v>
      </c>
      <c r="SX10">
        <f t="shared" ref="SX10:VI10" si="30">IF($B$11=SX11,1,IF(SW10&gt;=1,SW10+1,0))</f>
        <v>0</v>
      </c>
      <c r="SY10">
        <f t="shared" si="30"/>
        <v>0</v>
      </c>
      <c r="SZ10">
        <f t="shared" si="30"/>
        <v>0</v>
      </c>
      <c r="TA10">
        <f t="shared" si="30"/>
        <v>0</v>
      </c>
      <c r="TB10">
        <f t="shared" si="30"/>
        <v>0</v>
      </c>
      <c r="TC10">
        <f t="shared" si="30"/>
        <v>0</v>
      </c>
      <c r="TD10">
        <f t="shared" si="30"/>
        <v>0</v>
      </c>
      <c r="TE10">
        <f t="shared" si="30"/>
        <v>0</v>
      </c>
      <c r="TF10">
        <f t="shared" si="30"/>
        <v>0</v>
      </c>
      <c r="TG10">
        <f t="shared" si="30"/>
        <v>0</v>
      </c>
      <c r="TH10">
        <f t="shared" si="30"/>
        <v>0</v>
      </c>
      <c r="TI10">
        <f t="shared" si="30"/>
        <v>0</v>
      </c>
      <c r="TJ10">
        <f t="shared" si="30"/>
        <v>0</v>
      </c>
      <c r="TK10">
        <f t="shared" si="30"/>
        <v>0</v>
      </c>
      <c r="TL10">
        <f t="shared" si="30"/>
        <v>0</v>
      </c>
      <c r="TM10">
        <f t="shared" si="30"/>
        <v>0</v>
      </c>
      <c r="TN10">
        <f t="shared" si="30"/>
        <v>0</v>
      </c>
      <c r="TO10">
        <f t="shared" si="30"/>
        <v>0</v>
      </c>
      <c r="TP10">
        <f t="shared" si="30"/>
        <v>0</v>
      </c>
      <c r="TQ10">
        <f t="shared" si="30"/>
        <v>0</v>
      </c>
      <c r="TR10">
        <f t="shared" si="30"/>
        <v>0</v>
      </c>
      <c r="TS10">
        <f t="shared" si="30"/>
        <v>0</v>
      </c>
      <c r="TT10">
        <f t="shared" si="30"/>
        <v>0</v>
      </c>
      <c r="TU10">
        <f t="shared" si="30"/>
        <v>0</v>
      </c>
      <c r="TV10">
        <f t="shared" si="30"/>
        <v>0</v>
      </c>
      <c r="TW10">
        <f t="shared" si="30"/>
        <v>0</v>
      </c>
      <c r="TX10">
        <f t="shared" si="30"/>
        <v>0</v>
      </c>
      <c r="TY10">
        <f t="shared" si="30"/>
        <v>0</v>
      </c>
      <c r="TZ10">
        <f t="shared" si="30"/>
        <v>0</v>
      </c>
      <c r="UA10">
        <f t="shared" si="30"/>
        <v>0</v>
      </c>
      <c r="UB10">
        <f t="shared" si="30"/>
        <v>0</v>
      </c>
      <c r="UC10">
        <f t="shared" si="30"/>
        <v>0</v>
      </c>
      <c r="UD10">
        <f t="shared" si="30"/>
        <v>0</v>
      </c>
      <c r="UE10">
        <f t="shared" si="30"/>
        <v>0</v>
      </c>
      <c r="UF10">
        <f t="shared" si="30"/>
        <v>0</v>
      </c>
      <c r="UG10">
        <f t="shared" si="30"/>
        <v>0</v>
      </c>
      <c r="UH10">
        <f t="shared" si="30"/>
        <v>0</v>
      </c>
      <c r="UI10">
        <f t="shared" si="30"/>
        <v>0</v>
      </c>
      <c r="UJ10">
        <f t="shared" si="30"/>
        <v>0</v>
      </c>
      <c r="UK10">
        <f t="shared" si="30"/>
        <v>0</v>
      </c>
      <c r="UL10">
        <f t="shared" si="30"/>
        <v>0</v>
      </c>
      <c r="UM10">
        <f t="shared" si="30"/>
        <v>0</v>
      </c>
      <c r="UN10">
        <f t="shared" si="30"/>
        <v>0</v>
      </c>
      <c r="UO10">
        <f t="shared" si="30"/>
        <v>0</v>
      </c>
      <c r="UP10">
        <f t="shared" si="30"/>
        <v>0</v>
      </c>
      <c r="UQ10">
        <f t="shared" si="30"/>
        <v>0</v>
      </c>
      <c r="UR10">
        <f t="shared" si="30"/>
        <v>0</v>
      </c>
      <c r="US10">
        <f t="shared" si="30"/>
        <v>0</v>
      </c>
      <c r="UT10">
        <f t="shared" si="30"/>
        <v>0</v>
      </c>
      <c r="UU10">
        <f t="shared" si="30"/>
        <v>0</v>
      </c>
      <c r="UV10">
        <f t="shared" si="30"/>
        <v>0</v>
      </c>
      <c r="UW10">
        <f t="shared" si="30"/>
        <v>0</v>
      </c>
      <c r="UX10">
        <f t="shared" si="30"/>
        <v>0</v>
      </c>
      <c r="UY10">
        <f t="shared" si="30"/>
        <v>0</v>
      </c>
      <c r="UZ10">
        <f t="shared" si="30"/>
        <v>0</v>
      </c>
      <c r="VA10">
        <f t="shared" si="30"/>
        <v>0</v>
      </c>
      <c r="VB10">
        <f t="shared" si="30"/>
        <v>0</v>
      </c>
      <c r="VC10">
        <f t="shared" si="30"/>
        <v>0</v>
      </c>
      <c r="VD10">
        <f t="shared" si="30"/>
        <v>0</v>
      </c>
      <c r="VE10">
        <f t="shared" si="30"/>
        <v>0</v>
      </c>
      <c r="VF10">
        <f t="shared" si="30"/>
        <v>0</v>
      </c>
      <c r="VG10">
        <f t="shared" si="30"/>
        <v>0</v>
      </c>
      <c r="VH10">
        <f t="shared" si="30"/>
        <v>0</v>
      </c>
      <c r="VI10">
        <f t="shared" si="30"/>
        <v>0</v>
      </c>
      <c r="VJ10">
        <f t="shared" ref="VJ10:XU10" si="31">IF($B$11=VJ11,1,IF(VI10&gt;=1,VI10+1,0))</f>
        <v>0</v>
      </c>
      <c r="VK10">
        <f t="shared" si="31"/>
        <v>0</v>
      </c>
      <c r="VL10">
        <f t="shared" si="31"/>
        <v>0</v>
      </c>
      <c r="VM10">
        <f t="shared" si="31"/>
        <v>0</v>
      </c>
      <c r="VN10">
        <f t="shared" si="31"/>
        <v>0</v>
      </c>
      <c r="VO10">
        <f t="shared" si="31"/>
        <v>0</v>
      </c>
      <c r="VP10">
        <f t="shared" si="31"/>
        <v>0</v>
      </c>
      <c r="VQ10">
        <f t="shared" si="31"/>
        <v>0</v>
      </c>
      <c r="VR10">
        <f t="shared" si="31"/>
        <v>0</v>
      </c>
      <c r="VS10">
        <f t="shared" si="31"/>
        <v>0</v>
      </c>
      <c r="VT10">
        <f t="shared" si="31"/>
        <v>0</v>
      </c>
      <c r="VU10">
        <f t="shared" si="31"/>
        <v>0</v>
      </c>
      <c r="VV10">
        <f t="shared" si="31"/>
        <v>0</v>
      </c>
      <c r="VW10">
        <f t="shared" si="31"/>
        <v>0</v>
      </c>
      <c r="VX10">
        <f t="shared" si="31"/>
        <v>0</v>
      </c>
      <c r="VY10">
        <f t="shared" si="31"/>
        <v>0</v>
      </c>
      <c r="VZ10">
        <f t="shared" si="31"/>
        <v>0</v>
      </c>
      <c r="WA10">
        <f t="shared" si="31"/>
        <v>0</v>
      </c>
      <c r="WB10">
        <f t="shared" si="31"/>
        <v>0</v>
      </c>
      <c r="WC10">
        <f t="shared" si="31"/>
        <v>0</v>
      </c>
      <c r="WD10">
        <f t="shared" si="31"/>
        <v>0</v>
      </c>
      <c r="WE10">
        <f t="shared" si="31"/>
        <v>0</v>
      </c>
      <c r="WF10">
        <f t="shared" si="31"/>
        <v>0</v>
      </c>
      <c r="WG10">
        <f t="shared" si="31"/>
        <v>0</v>
      </c>
      <c r="WH10">
        <f t="shared" si="31"/>
        <v>0</v>
      </c>
      <c r="WI10">
        <f t="shared" si="31"/>
        <v>0</v>
      </c>
      <c r="WJ10">
        <f t="shared" si="31"/>
        <v>0</v>
      </c>
      <c r="WK10">
        <f t="shared" si="31"/>
        <v>0</v>
      </c>
      <c r="WL10">
        <f t="shared" si="31"/>
        <v>0</v>
      </c>
      <c r="WM10">
        <f t="shared" si="31"/>
        <v>0</v>
      </c>
      <c r="WN10">
        <f t="shared" si="31"/>
        <v>0</v>
      </c>
      <c r="WO10">
        <f t="shared" si="31"/>
        <v>0</v>
      </c>
      <c r="WP10">
        <f t="shared" si="31"/>
        <v>0</v>
      </c>
      <c r="WQ10">
        <f t="shared" si="31"/>
        <v>0</v>
      </c>
      <c r="WR10">
        <f t="shared" si="31"/>
        <v>0</v>
      </c>
      <c r="WS10">
        <f t="shared" si="31"/>
        <v>0</v>
      </c>
      <c r="WT10">
        <f t="shared" si="31"/>
        <v>0</v>
      </c>
      <c r="WU10">
        <f t="shared" si="31"/>
        <v>0</v>
      </c>
      <c r="WV10">
        <f t="shared" si="31"/>
        <v>0</v>
      </c>
      <c r="WW10">
        <f t="shared" si="31"/>
        <v>0</v>
      </c>
      <c r="WX10">
        <f t="shared" si="31"/>
        <v>0</v>
      </c>
      <c r="WY10">
        <f t="shared" si="31"/>
        <v>0</v>
      </c>
      <c r="WZ10">
        <f t="shared" si="31"/>
        <v>0</v>
      </c>
      <c r="XA10">
        <f t="shared" si="31"/>
        <v>0</v>
      </c>
      <c r="XB10">
        <f t="shared" si="31"/>
        <v>0</v>
      </c>
      <c r="XC10">
        <f t="shared" si="31"/>
        <v>0</v>
      </c>
      <c r="XD10">
        <f t="shared" si="31"/>
        <v>0</v>
      </c>
      <c r="XE10">
        <f t="shared" si="31"/>
        <v>0</v>
      </c>
      <c r="XF10">
        <f t="shared" si="31"/>
        <v>0</v>
      </c>
      <c r="XG10">
        <f t="shared" si="31"/>
        <v>0</v>
      </c>
      <c r="XH10">
        <f t="shared" si="31"/>
        <v>0</v>
      </c>
      <c r="XI10">
        <f t="shared" si="31"/>
        <v>0</v>
      </c>
      <c r="XJ10">
        <f t="shared" si="31"/>
        <v>0</v>
      </c>
      <c r="XK10">
        <f t="shared" si="31"/>
        <v>0</v>
      </c>
      <c r="XL10">
        <f t="shared" si="31"/>
        <v>0</v>
      </c>
      <c r="XM10">
        <f t="shared" si="31"/>
        <v>0</v>
      </c>
      <c r="XN10">
        <f t="shared" si="31"/>
        <v>0</v>
      </c>
      <c r="XO10">
        <f t="shared" si="31"/>
        <v>0</v>
      </c>
      <c r="XP10">
        <f t="shared" si="31"/>
        <v>0</v>
      </c>
      <c r="XQ10">
        <f t="shared" si="31"/>
        <v>0</v>
      </c>
      <c r="XR10">
        <f t="shared" si="31"/>
        <v>0</v>
      </c>
      <c r="XS10">
        <f t="shared" si="31"/>
        <v>0</v>
      </c>
      <c r="XT10">
        <f t="shared" si="31"/>
        <v>0</v>
      </c>
      <c r="XU10">
        <f t="shared" si="31"/>
        <v>0</v>
      </c>
      <c r="XV10">
        <f t="shared" ref="XV10:YM10" si="32">IF($B$11=XV11,1,IF(XU10&gt;=1,XU10+1,0))</f>
        <v>0</v>
      </c>
      <c r="XW10">
        <f t="shared" si="32"/>
        <v>0</v>
      </c>
      <c r="XX10">
        <f t="shared" si="32"/>
        <v>0</v>
      </c>
      <c r="XY10">
        <f t="shared" si="32"/>
        <v>0</v>
      </c>
      <c r="XZ10">
        <f t="shared" si="32"/>
        <v>0</v>
      </c>
      <c r="YA10">
        <f t="shared" si="32"/>
        <v>0</v>
      </c>
      <c r="YB10">
        <f t="shared" si="32"/>
        <v>0</v>
      </c>
      <c r="YC10">
        <f t="shared" si="32"/>
        <v>0</v>
      </c>
      <c r="YD10">
        <f t="shared" si="32"/>
        <v>0</v>
      </c>
      <c r="YE10">
        <f t="shared" si="32"/>
        <v>0</v>
      </c>
      <c r="YF10">
        <f t="shared" si="32"/>
        <v>0</v>
      </c>
      <c r="YG10">
        <f t="shared" si="32"/>
        <v>0</v>
      </c>
      <c r="YH10">
        <f t="shared" si="32"/>
        <v>0</v>
      </c>
      <c r="YI10">
        <f t="shared" si="32"/>
        <v>0</v>
      </c>
      <c r="YJ10">
        <f t="shared" si="32"/>
        <v>0</v>
      </c>
      <c r="YK10">
        <f t="shared" si="32"/>
        <v>0</v>
      </c>
      <c r="YL10">
        <f t="shared" si="32"/>
        <v>0</v>
      </c>
      <c r="YM10">
        <f t="shared" si="32"/>
        <v>0</v>
      </c>
    </row>
    <row r="11" spans="1:663" x14ac:dyDescent="0.2">
      <c r="A11" t="s">
        <v>325</v>
      </c>
      <c r="B11" s="25">
        <f>+Formulario!H308</f>
        <v>0</v>
      </c>
      <c r="C11" s="26">
        <v>36861</v>
      </c>
      <c r="D11" s="26">
        <v>36892</v>
      </c>
      <c r="E11" s="26">
        <v>36923</v>
      </c>
      <c r="F11" s="26">
        <v>36951</v>
      </c>
      <c r="G11" s="26">
        <v>36982</v>
      </c>
      <c r="H11" s="26">
        <v>37012</v>
      </c>
      <c r="I11" s="26">
        <v>37043</v>
      </c>
      <c r="J11" s="26">
        <v>37073</v>
      </c>
      <c r="K11" s="26">
        <v>37104</v>
      </c>
      <c r="L11" s="26">
        <v>37135</v>
      </c>
      <c r="M11" s="26">
        <v>37165</v>
      </c>
      <c r="N11" s="26">
        <v>37196</v>
      </c>
      <c r="O11" s="26">
        <v>37226</v>
      </c>
      <c r="P11" s="26">
        <v>37257</v>
      </c>
      <c r="Q11" s="26">
        <v>37288</v>
      </c>
      <c r="R11" s="26">
        <v>37316</v>
      </c>
      <c r="S11" s="26">
        <v>37347</v>
      </c>
      <c r="T11" s="26">
        <v>37377</v>
      </c>
      <c r="U11" s="26">
        <v>37408</v>
      </c>
      <c r="V11" s="26">
        <v>37438</v>
      </c>
      <c r="W11" s="26">
        <v>37469</v>
      </c>
      <c r="X11" s="26">
        <v>37500</v>
      </c>
      <c r="Y11" s="26">
        <v>37530</v>
      </c>
      <c r="Z11" s="26">
        <v>37561</v>
      </c>
      <c r="AA11" s="26">
        <v>37591</v>
      </c>
      <c r="AB11" s="26">
        <v>37622</v>
      </c>
      <c r="AC11" s="26">
        <v>37653</v>
      </c>
      <c r="AD11" s="26">
        <v>37681</v>
      </c>
      <c r="AE11" s="26">
        <v>37712</v>
      </c>
      <c r="AF11" s="26">
        <v>37742</v>
      </c>
      <c r="AG11" s="26">
        <v>37773</v>
      </c>
      <c r="AH11" s="26">
        <v>37803</v>
      </c>
      <c r="AI11" s="26">
        <v>37834</v>
      </c>
      <c r="AJ11" s="26">
        <v>37865</v>
      </c>
      <c r="AK11" s="26">
        <v>37895</v>
      </c>
      <c r="AL11" s="26">
        <v>37926</v>
      </c>
      <c r="AM11" s="26">
        <v>37956</v>
      </c>
      <c r="AN11" s="26">
        <v>37987</v>
      </c>
      <c r="AO11" s="26">
        <v>38018</v>
      </c>
      <c r="AP11" s="26">
        <v>38047</v>
      </c>
      <c r="AQ11" s="26">
        <v>38078</v>
      </c>
      <c r="AR11" s="26">
        <v>38108</v>
      </c>
      <c r="AS11" s="26">
        <v>38139</v>
      </c>
      <c r="AT11" s="26">
        <v>38169</v>
      </c>
      <c r="AU11" s="26">
        <v>38200</v>
      </c>
      <c r="AV11" s="26">
        <v>38231</v>
      </c>
      <c r="AW11" s="26">
        <v>38261</v>
      </c>
      <c r="AX11" s="26">
        <v>38292</v>
      </c>
      <c r="AY11" s="26">
        <v>38322</v>
      </c>
      <c r="AZ11" s="26">
        <v>38353</v>
      </c>
      <c r="BA11" s="26">
        <v>38384</v>
      </c>
      <c r="BB11" s="26">
        <v>38412</v>
      </c>
      <c r="BC11" s="26">
        <v>38443</v>
      </c>
      <c r="BD11" s="26">
        <v>38473</v>
      </c>
      <c r="BE11" s="26">
        <v>38504</v>
      </c>
      <c r="BF11" s="26">
        <v>38534</v>
      </c>
      <c r="BG11" s="26">
        <v>38565</v>
      </c>
      <c r="BH11" s="26">
        <v>38596</v>
      </c>
      <c r="BI11" s="26">
        <v>38626</v>
      </c>
      <c r="BJ11" s="26">
        <v>38657</v>
      </c>
      <c r="BK11" s="26">
        <v>38687</v>
      </c>
      <c r="BL11" s="26">
        <v>38718</v>
      </c>
      <c r="BM11" s="26">
        <v>38749</v>
      </c>
      <c r="BN11" s="26">
        <v>38777</v>
      </c>
      <c r="BO11" s="26">
        <v>38808</v>
      </c>
      <c r="BP11" s="26">
        <v>38838</v>
      </c>
      <c r="BQ11" s="26">
        <v>38869</v>
      </c>
      <c r="BR11" s="26">
        <v>38899</v>
      </c>
      <c r="BS11" s="26">
        <v>38930</v>
      </c>
      <c r="BT11" s="26">
        <v>38961</v>
      </c>
      <c r="BU11" s="26">
        <v>38991</v>
      </c>
      <c r="BV11" s="26">
        <v>39022</v>
      </c>
      <c r="BW11" s="26">
        <v>39052</v>
      </c>
      <c r="BX11" s="26">
        <v>39083</v>
      </c>
      <c r="BY11" s="26">
        <v>39114</v>
      </c>
      <c r="BZ11" s="26">
        <v>39142</v>
      </c>
      <c r="CA11" s="26">
        <v>39173</v>
      </c>
      <c r="CB11" s="26">
        <v>39203</v>
      </c>
      <c r="CC11" s="26">
        <v>39234</v>
      </c>
      <c r="CD11" s="26">
        <v>39264</v>
      </c>
      <c r="CE11" s="26">
        <v>39295</v>
      </c>
      <c r="CF11" s="26">
        <v>39326</v>
      </c>
      <c r="CG11" s="26">
        <v>39356</v>
      </c>
      <c r="CH11" s="26">
        <v>39387</v>
      </c>
      <c r="CI11" s="26">
        <v>39417</v>
      </c>
      <c r="CJ11" s="26">
        <v>39448</v>
      </c>
      <c r="CK11" s="26">
        <v>39479</v>
      </c>
      <c r="CL11" s="26">
        <v>39508</v>
      </c>
      <c r="CM11" s="26">
        <v>39539</v>
      </c>
      <c r="CN11" s="26">
        <v>39569</v>
      </c>
      <c r="CO11" s="26">
        <v>39600</v>
      </c>
      <c r="CP11" s="26">
        <v>39630</v>
      </c>
      <c r="CQ11" s="26">
        <v>39661</v>
      </c>
      <c r="CR11" s="26">
        <v>39692</v>
      </c>
      <c r="CS11" s="26">
        <v>39722</v>
      </c>
      <c r="CT11" s="26">
        <v>39753</v>
      </c>
      <c r="CU11" s="26">
        <v>39783</v>
      </c>
      <c r="CV11" s="26">
        <v>39814</v>
      </c>
      <c r="CW11" s="26">
        <v>39845</v>
      </c>
      <c r="CX11" s="26">
        <v>39873</v>
      </c>
      <c r="CY11" s="26">
        <v>39904</v>
      </c>
      <c r="CZ11" s="26">
        <v>39934</v>
      </c>
      <c r="DA11" s="26">
        <v>39965</v>
      </c>
      <c r="DB11" s="26">
        <v>39995</v>
      </c>
      <c r="DC11" s="26">
        <v>40026</v>
      </c>
      <c r="DD11" s="26">
        <v>40057</v>
      </c>
      <c r="DE11" s="26">
        <v>40087</v>
      </c>
      <c r="DF11" s="26">
        <v>40118</v>
      </c>
      <c r="DG11" s="26">
        <v>40148</v>
      </c>
      <c r="DH11" s="26">
        <v>40179</v>
      </c>
      <c r="DI11" s="26">
        <v>40210</v>
      </c>
      <c r="DJ11" s="26">
        <v>40238</v>
      </c>
      <c r="DK11" s="26">
        <v>40269</v>
      </c>
      <c r="DL11" s="26">
        <v>40299</v>
      </c>
      <c r="DM11" s="26">
        <v>40330</v>
      </c>
      <c r="DN11" s="26">
        <v>40360</v>
      </c>
      <c r="DO11" s="26">
        <v>40391</v>
      </c>
      <c r="DP11" s="26">
        <v>40422</v>
      </c>
      <c r="DQ11" s="26">
        <v>40452</v>
      </c>
      <c r="DR11" s="26">
        <v>40483</v>
      </c>
      <c r="DS11" s="26">
        <v>40513</v>
      </c>
      <c r="DT11" s="26">
        <v>40544</v>
      </c>
      <c r="DU11" s="26">
        <v>40575</v>
      </c>
      <c r="DV11" s="26">
        <v>40603</v>
      </c>
      <c r="DW11" s="26">
        <v>40634</v>
      </c>
      <c r="DX11" s="26">
        <v>40664</v>
      </c>
      <c r="DY11" s="26">
        <v>40695</v>
      </c>
      <c r="DZ11" s="26">
        <v>40725</v>
      </c>
      <c r="EA11" s="26">
        <v>40756</v>
      </c>
      <c r="EB11" s="26">
        <v>40787</v>
      </c>
      <c r="EC11" s="26">
        <v>40817</v>
      </c>
      <c r="ED11" s="26">
        <v>40848</v>
      </c>
      <c r="EE11" s="26">
        <v>40878</v>
      </c>
      <c r="EF11" s="26">
        <v>40909</v>
      </c>
      <c r="EG11" s="26">
        <v>40940</v>
      </c>
      <c r="EH11" s="26">
        <v>40969</v>
      </c>
      <c r="EI11" s="26">
        <v>41000</v>
      </c>
      <c r="EJ11" s="26">
        <v>41030</v>
      </c>
      <c r="EK11" s="26">
        <v>41061</v>
      </c>
      <c r="EL11" s="26">
        <v>41091</v>
      </c>
      <c r="EM11" s="26">
        <v>41122</v>
      </c>
      <c r="EN11" s="26">
        <v>41153</v>
      </c>
      <c r="EO11" s="26">
        <v>41183</v>
      </c>
      <c r="EP11" s="26">
        <v>41214</v>
      </c>
      <c r="EQ11" s="26">
        <v>41244</v>
      </c>
      <c r="ER11" s="26">
        <v>41275</v>
      </c>
      <c r="ES11" s="26">
        <v>41306</v>
      </c>
      <c r="ET11" s="26">
        <v>41334</v>
      </c>
      <c r="EU11" s="26">
        <v>41365</v>
      </c>
      <c r="EV11" s="26">
        <v>41395</v>
      </c>
      <c r="EW11" s="26">
        <v>41426</v>
      </c>
      <c r="EX11" s="26">
        <v>41456</v>
      </c>
      <c r="EY11" s="26">
        <v>41487</v>
      </c>
      <c r="EZ11" s="26">
        <v>41518</v>
      </c>
      <c r="FA11" s="26">
        <v>41548</v>
      </c>
      <c r="FB11" s="26">
        <v>41579</v>
      </c>
      <c r="FC11" s="26">
        <v>41609</v>
      </c>
      <c r="FD11" s="26">
        <v>41640</v>
      </c>
      <c r="FE11" s="26">
        <v>41671</v>
      </c>
      <c r="FF11" s="26">
        <v>41699</v>
      </c>
      <c r="FG11" s="26">
        <v>41730</v>
      </c>
      <c r="FH11" s="26">
        <v>41760</v>
      </c>
      <c r="FI11" s="26">
        <v>41791</v>
      </c>
      <c r="FJ11" s="26">
        <v>41821</v>
      </c>
      <c r="FK11" s="26">
        <v>41852</v>
      </c>
      <c r="FL11" s="26">
        <v>41883</v>
      </c>
      <c r="FM11" s="26">
        <v>41913</v>
      </c>
      <c r="FN11" s="26">
        <v>41944</v>
      </c>
      <c r="FO11" s="26">
        <v>41974</v>
      </c>
      <c r="FP11" s="26">
        <v>42005</v>
      </c>
      <c r="FQ11" s="26">
        <v>42036</v>
      </c>
      <c r="FR11" s="26">
        <v>42064</v>
      </c>
      <c r="FS11" s="26">
        <v>42095</v>
      </c>
      <c r="FT11" s="26">
        <v>42125</v>
      </c>
      <c r="FU11" s="26">
        <v>42156</v>
      </c>
      <c r="FV11" s="26">
        <v>42186</v>
      </c>
      <c r="FW11" s="26">
        <v>42217</v>
      </c>
      <c r="FX11" s="26">
        <v>42248</v>
      </c>
      <c r="FY11" s="26">
        <v>42278</v>
      </c>
      <c r="FZ11" s="26">
        <v>42309</v>
      </c>
      <c r="GA11" s="26">
        <v>42339</v>
      </c>
      <c r="GB11" s="26">
        <v>42370</v>
      </c>
      <c r="GC11" s="26">
        <v>42401</v>
      </c>
      <c r="GD11" s="26">
        <v>42430</v>
      </c>
      <c r="GE11" s="26">
        <v>42461</v>
      </c>
      <c r="GF11" s="26">
        <v>42491</v>
      </c>
      <c r="GG11" s="26">
        <v>42522</v>
      </c>
      <c r="GH11" s="26">
        <v>42552</v>
      </c>
      <c r="GI11" s="26">
        <v>42583</v>
      </c>
      <c r="GJ11" s="26">
        <v>42614</v>
      </c>
      <c r="GK11" s="26">
        <v>42644</v>
      </c>
      <c r="GL11" s="26">
        <v>42675</v>
      </c>
      <c r="GM11" s="26">
        <v>42705</v>
      </c>
      <c r="GN11" s="26">
        <v>42736</v>
      </c>
      <c r="GO11" s="26">
        <v>42767</v>
      </c>
      <c r="GP11" s="26">
        <v>42795</v>
      </c>
      <c r="GQ11" s="26">
        <v>42826</v>
      </c>
      <c r="GR11" s="26">
        <v>42856</v>
      </c>
      <c r="GS11" s="26">
        <v>42887</v>
      </c>
      <c r="GT11" s="26">
        <v>42917</v>
      </c>
      <c r="GU11" s="26">
        <v>42948</v>
      </c>
      <c r="GV11" s="26">
        <v>42979</v>
      </c>
      <c r="GW11" s="26">
        <v>43009</v>
      </c>
      <c r="GX11" s="26">
        <v>43040</v>
      </c>
      <c r="GY11" s="26">
        <v>43070</v>
      </c>
      <c r="GZ11" s="26">
        <v>43101</v>
      </c>
      <c r="HA11" s="26">
        <v>43132</v>
      </c>
      <c r="HB11" s="26">
        <v>43160</v>
      </c>
      <c r="HC11" s="26">
        <v>43191</v>
      </c>
      <c r="HD11" s="26">
        <v>43221</v>
      </c>
      <c r="HE11" s="26">
        <v>43252</v>
      </c>
      <c r="HF11" s="26">
        <v>43282</v>
      </c>
      <c r="HG11" s="26">
        <v>43313</v>
      </c>
      <c r="HH11" s="26">
        <v>43344</v>
      </c>
      <c r="HI11" s="26">
        <v>43374</v>
      </c>
      <c r="HJ11" s="26">
        <v>43405</v>
      </c>
      <c r="HK11" s="26">
        <v>43435</v>
      </c>
      <c r="HL11" s="26">
        <v>43466</v>
      </c>
      <c r="HM11" s="26">
        <v>43497</v>
      </c>
      <c r="HN11" s="26">
        <v>43525</v>
      </c>
      <c r="HO11" s="26">
        <v>43556</v>
      </c>
      <c r="HP11" s="26">
        <v>43586</v>
      </c>
      <c r="HQ11" s="26">
        <v>43617</v>
      </c>
      <c r="HR11" s="26">
        <v>43647</v>
      </c>
      <c r="HS11" s="26">
        <v>43678</v>
      </c>
      <c r="HT11" s="26">
        <v>43709</v>
      </c>
      <c r="HU11" s="26">
        <v>43739</v>
      </c>
      <c r="HV11" s="26">
        <v>43770</v>
      </c>
      <c r="HW11" s="26">
        <v>43800</v>
      </c>
      <c r="HX11" s="26">
        <v>43831</v>
      </c>
      <c r="HY11" s="26">
        <v>43862</v>
      </c>
      <c r="HZ11" s="26">
        <v>43891</v>
      </c>
      <c r="IA11" s="26">
        <v>43922</v>
      </c>
      <c r="IB11" s="26">
        <v>43952</v>
      </c>
      <c r="IC11" s="26">
        <v>43983</v>
      </c>
      <c r="ID11" s="26">
        <v>44013</v>
      </c>
      <c r="IE11" s="26">
        <v>44044</v>
      </c>
      <c r="IF11" s="26">
        <v>44075</v>
      </c>
      <c r="IG11" s="26">
        <v>44105</v>
      </c>
      <c r="IH11" s="26">
        <v>44136</v>
      </c>
      <c r="II11" s="26">
        <v>44166</v>
      </c>
      <c r="IJ11" s="26">
        <v>44197</v>
      </c>
      <c r="IK11" s="26">
        <v>44228</v>
      </c>
      <c r="IL11" s="26">
        <v>44256</v>
      </c>
      <c r="IM11" s="26">
        <v>44287</v>
      </c>
      <c r="IN11" s="26">
        <v>44317</v>
      </c>
      <c r="IO11" s="26">
        <v>44348</v>
      </c>
      <c r="IP11" s="26">
        <v>44378</v>
      </c>
      <c r="IQ11" s="26">
        <v>44409</v>
      </c>
      <c r="IR11" s="26">
        <v>44440</v>
      </c>
      <c r="IS11" s="26">
        <v>44470</v>
      </c>
      <c r="IT11" s="26">
        <v>44501</v>
      </c>
      <c r="IU11" s="26">
        <v>44531</v>
      </c>
      <c r="IV11" s="26">
        <v>44562</v>
      </c>
      <c r="IW11" s="26">
        <v>44593</v>
      </c>
      <c r="IX11" s="26">
        <v>44621</v>
      </c>
      <c r="IY11" s="26">
        <v>44652</v>
      </c>
      <c r="IZ11" s="26">
        <v>44682</v>
      </c>
      <c r="JA11" s="26">
        <v>44713</v>
      </c>
      <c r="JB11" s="26">
        <v>44743</v>
      </c>
      <c r="JC11" s="26">
        <v>44774</v>
      </c>
      <c r="JD11" s="26">
        <v>44805</v>
      </c>
      <c r="JE11" s="26">
        <v>44835</v>
      </c>
      <c r="JF11" s="26">
        <v>44866</v>
      </c>
      <c r="JG11" s="26">
        <v>44896</v>
      </c>
      <c r="JH11" s="26">
        <v>44927</v>
      </c>
      <c r="JI11" s="26">
        <v>44958</v>
      </c>
      <c r="JJ11" s="26">
        <v>44986</v>
      </c>
      <c r="JK11" s="26">
        <v>45017</v>
      </c>
      <c r="JL11" s="26">
        <v>45047</v>
      </c>
      <c r="JM11" s="26">
        <v>45078</v>
      </c>
      <c r="JN11" s="26">
        <v>45108</v>
      </c>
      <c r="JO11" s="26">
        <v>45139</v>
      </c>
      <c r="JP11" s="26">
        <v>45170</v>
      </c>
      <c r="JQ11" s="26">
        <v>45200</v>
      </c>
      <c r="JR11" s="26">
        <v>45231</v>
      </c>
      <c r="JS11" s="26">
        <v>45261</v>
      </c>
      <c r="JT11" s="26">
        <v>45292</v>
      </c>
      <c r="JU11" s="26">
        <v>45323</v>
      </c>
      <c r="JV11" s="26">
        <v>45352</v>
      </c>
      <c r="JW11" s="26">
        <v>45383</v>
      </c>
      <c r="JX11" s="26">
        <v>45413</v>
      </c>
      <c r="JY11" s="26">
        <v>45444</v>
      </c>
      <c r="JZ11" s="26">
        <v>45474</v>
      </c>
      <c r="KA11" s="26">
        <v>45505</v>
      </c>
      <c r="KB11" s="26">
        <v>45536</v>
      </c>
      <c r="KC11" s="26">
        <v>45566</v>
      </c>
      <c r="KD11" s="26">
        <v>45597</v>
      </c>
      <c r="KE11" s="26">
        <v>45627</v>
      </c>
      <c r="KF11" s="26">
        <v>45658</v>
      </c>
      <c r="KG11" s="26">
        <v>45689</v>
      </c>
      <c r="KH11" s="26">
        <v>45717</v>
      </c>
      <c r="KI11" s="26">
        <v>45748</v>
      </c>
      <c r="KJ11" s="26">
        <v>45778</v>
      </c>
      <c r="KK11" s="26">
        <v>45809</v>
      </c>
      <c r="KL11" s="26">
        <v>45839</v>
      </c>
      <c r="KM11" s="26">
        <v>45870</v>
      </c>
      <c r="KN11" s="26">
        <v>45901</v>
      </c>
      <c r="KO11" s="26">
        <v>45931</v>
      </c>
      <c r="KP11" s="26">
        <v>45962</v>
      </c>
      <c r="KQ11" s="26">
        <v>45992</v>
      </c>
      <c r="KR11" s="26">
        <v>46023</v>
      </c>
      <c r="KS11" s="26">
        <v>46054</v>
      </c>
      <c r="KT11" s="26">
        <v>46082</v>
      </c>
      <c r="KU11" s="26">
        <v>46113</v>
      </c>
      <c r="KV11" s="26">
        <v>46143</v>
      </c>
      <c r="KW11" s="26">
        <v>46174</v>
      </c>
      <c r="KX11" s="26">
        <v>46204</v>
      </c>
      <c r="KY11" s="26">
        <v>46235</v>
      </c>
      <c r="KZ11" s="26">
        <v>46266</v>
      </c>
      <c r="LA11" s="26">
        <v>46296</v>
      </c>
      <c r="LB11" s="26">
        <v>46327</v>
      </c>
      <c r="LC11" s="26">
        <v>46357</v>
      </c>
      <c r="LD11" s="26">
        <v>46388</v>
      </c>
      <c r="LE11" s="26">
        <v>46419</v>
      </c>
      <c r="LF11" s="26">
        <v>46447</v>
      </c>
      <c r="LG11" s="26">
        <v>46478</v>
      </c>
      <c r="LH11" s="26">
        <v>46508</v>
      </c>
      <c r="LI11" s="26">
        <v>46539</v>
      </c>
      <c r="LJ11" s="26">
        <v>46569</v>
      </c>
      <c r="LK11" s="26">
        <v>46600</v>
      </c>
      <c r="LL11" s="26">
        <v>46631</v>
      </c>
      <c r="LM11" s="26">
        <v>46661</v>
      </c>
      <c r="LN11" s="26">
        <v>46692</v>
      </c>
      <c r="LO11" s="26">
        <v>46722</v>
      </c>
      <c r="LP11" s="26">
        <v>46753</v>
      </c>
      <c r="LQ11" s="26">
        <v>46784</v>
      </c>
      <c r="LR11" s="26">
        <v>46813</v>
      </c>
      <c r="LS11" s="26">
        <v>46844</v>
      </c>
      <c r="LT11" s="26">
        <v>46874</v>
      </c>
      <c r="LU11" s="26">
        <v>46905</v>
      </c>
      <c r="LV11" s="26">
        <v>46935</v>
      </c>
      <c r="LW11" s="26">
        <v>46966</v>
      </c>
      <c r="LX11" s="26">
        <v>46997</v>
      </c>
      <c r="LY11" s="26">
        <v>47027</v>
      </c>
      <c r="LZ11" s="26">
        <v>47058</v>
      </c>
      <c r="MA11" s="26">
        <v>47088</v>
      </c>
      <c r="MB11" s="26">
        <v>47119</v>
      </c>
      <c r="MC11" s="26">
        <v>47150</v>
      </c>
      <c r="MD11" s="26">
        <v>47178</v>
      </c>
      <c r="ME11" s="26">
        <v>47209</v>
      </c>
      <c r="MF11" s="26">
        <v>47239</v>
      </c>
      <c r="MG11" s="26">
        <v>47270</v>
      </c>
      <c r="MH11" s="26">
        <v>47300</v>
      </c>
      <c r="MI11" s="26">
        <v>47331</v>
      </c>
      <c r="MJ11" s="26">
        <v>47362</v>
      </c>
      <c r="MK11" s="26">
        <v>47392</v>
      </c>
      <c r="ML11" s="26">
        <v>47423</v>
      </c>
      <c r="MM11" s="26">
        <v>47453</v>
      </c>
      <c r="MN11" s="26">
        <v>47484</v>
      </c>
      <c r="MO11" s="26">
        <v>47515</v>
      </c>
      <c r="MP11" s="26">
        <v>47543</v>
      </c>
      <c r="MQ11" s="26">
        <v>47574</v>
      </c>
      <c r="MR11" s="26">
        <v>47604</v>
      </c>
      <c r="MS11" s="26">
        <v>47635</v>
      </c>
      <c r="MT11" s="26">
        <v>47665</v>
      </c>
      <c r="MU11" s="26">
        <v>47696</v>
      </c>
      <c r="MV11" s="26">
        <v>47727</v>
      </c>
      <c r="MW11" s="26">
        <v>47757</v>
      </c>
      <c r="MX11" s="26">
        <v>47788</v>
      </c>
      <c r="MY11" s="26">
        <v>47818</v>
      </c>
      <c r="MZ11" s="26">
        <v>47849</v>
      </c>
      <c r="NA11" s="26">
        <v>47880</v>
      </c>
      <c r="NB11" s="26">
        <v>47908</v>
      </c>
      <c r="NC11" s="26">
        <v>47939</v>
      </c>
      <c r="ND11" s="26">
        <v>47969</v>
      </c>
      <c r="NE11" s="26">
        <v>48000</v>
      </c>
      <c r="NF11" s="26">
        <v>48030</v>
      </c>
      <c r="NG11" s="26">
        <v>48061</v>
      </c>
      <c r="NH11" s="26">
        <v>48092</v>
      </c>
      <c r="NI11" s="26">
        <v>48122</v>
      </c>
      <c r="NJ11" s="26">
        <v>48153</v>
      </c>
      <c r="NK11" s="26">
        <v>48183</v>
      </c>
      <c r="NL11" s="26">
        <v>48214</v>
      </c>
      <c r="NM11" s="26">
        <v>48245</v>
      </c>
      <c r="NN11" s="26">
        <v>48274</v>
      </c>
      <c r="NO11" s="26">
        <v>48305</v>
      </c>
      <c r="NP11" s="26">
        <v>48335</v>
      </c>
      <c r="NQ11" s="26">
        <v>48366</v>
      </c>
      <c r="NR11" s="26">
        <v>48396</v>
      </c>
      <c r="NS11" s="26">
        <v>48427</v>
      </c>
      <c r="NT11" s="26">
        <v>48458</v>
      </c>
      <c r="NU11" s="26">
        <v>48488</v>
      </c>
      <c r="NV11" s="26">
        <v>48519</v>
      </c>
      <c r="NW11" s="26">
        <v>48549</v>
      </c>
      <c r="NX11" s="26">
        <v>48580</v>
      </c>
      <c r="NY11" s="26">
        <v>48611</v>
      </c>
      <c r="NZ11" s="26">
        <v>48639</v>
      </c>
      <c r="OA11" s="26">
        <v>48670</v>
      </c>
      <c r="OB11" s="26">
        <v>48700</v>
      </c>
      <c r="OC11" s="26">
        <v>48731</v>
      </c>
      <c r="OD11" s="26">
        <v>48761</v>
      </c>
      <c r="OE11" s="26">
        <v>48792</v>
      </c>
      <c r="OF11" s="26">
        <v>48823</v>
      </c>
      <c r="OG11" s="26">
        <v>48853</v>
      </c>
      <c r="OH11" s="26">
        <v>48884</v>
      </c>
      <c r="OI11" s="26">
        <v>48914</v>
      </c>
      <c r="OJ11" s="26">
        <v>48945</v>
      </c>
      <c r="OK11" s="26">
        <v>48976</v>
      </c>
      <c r="OL11" s="26">
        <v>49004</v>
      </c>
      <c r="OM11" s="26">
        <v>49035</v>
      </c>
      <c r="ON11" s="26">
        <v>49065</v>
      </c>
      <c r="OO11" s="26">
        <v>49096</v>
      </c>
      <c r="OP11" s="26">
        <v>49126</v>
      </c>
      <c r="OQ11" s="26">
        <v>49157</v>
      </c>
      <c r="OR11" s="26">
        <v>49188</v>
      </c>
      <c r="OS11" s="26">
        <v>49218</v>
      </c>
      <c r="OT11" s="26">
        <v>49249</v>
      </c>
      <c r="OU11" s="26">
        <v>49279</v>
      </c>
      <c r="OV11" s="26">
        <v>49310</v>
      </c>
      <c r="OW11" s="26">
        <v>49341</v>
      </c>
      <c r="OX11" s="26">
        <v>49369</v>
      </c>
      <c r="OY11" s="26">
        <v>49400</v>
      </c>
      <c r="OZ11" s="26">
        <v>49430</v>
      </c>
      <c r="PA11" s="26">
        <v>49461</v>
      </c>
      <c r="PB11" s="26">
        <v>49491</v>
      </c>
      <c r="PC11" s="26">
        <v>49522</v>
      </c>
      <c r="PD11" s="26">
        <v>49553</v>
      </c>
      <c r="PE11" s="26">
        <v>49583</v>
      </c>
      <c r="PF11" s="26">
        <v>49614</v>
      </c>
      <c r="PG11" s="26">
        <v>49644</v>
      </c>
      <c r="PH11" s="26">
        <v>49675</v>
      </c>
      <c r="PI11" s="26">
        <v>49706</v>
      </c>
      <c r="PJ11" s="26">
        <v>49735</v>
      </c>
      <c r="PK11" s="26">
        <v>49766</v>
      </c>
      <c r="PL11" s="26">
        <v>49796</v>
      </c>
      <c r="PM11" s="26">
        <v>49827</v>
      </c>
      <c r="PN11" s="26">
        <v>49857</v>
      </c>
      <c r="PO11" s="26">
        <v>49888</v>
      </c>
      <c r="PP11" s="26">
        <v>49919</v>
      </c>
      <c r="PQ11" s="26">
        <v>49949</v>
      </c>
      <c r="PR11" s="26">
        <v>49980</v>
      </c>
      <c r="PS11" s="26">
        <v>50010</v>
      </c>
      <c r="PT11" s="26">
        <v>50041</v>
      </c>
      <c r="PU11" s="26">
        <v>50072</v>
      </c>
      <c r="PV11" s="26">
        <v>50100</v>
      </c>
      <c r="PW11" s="26">
        <v>50131</v>
      </c>
      <c r="PX11" s="26">
        <v>50161</v>
      </c>
      <c r="PY11" s="26">
        <v>50192</v>
      </c>
      <c r="PZ11" s="26">
        <v>50222</v>
      </c>
      <c r="QA11" s="26">
        <v>50253</v>
      </c>
      <c r="QB11" s="26">
        <v>50284</v>
      </c>
      <c r="QC11" s="26">
        <v>50314</v>
      </c>
      <c r="QD11" s="26">
        <v>50345</v>
      </c>
      <c r="QE11" s="26">
        <v>50375</v>
      </c>
      <c r="QF11" s="26">
        <v>50406</v>
      </c>
      <c r="QG11" s="26">
        <v>50437</v>
      </c>
      <c r="QH11" s="26">
        <v>50465</v>
      </c>
      <c r="QI11" s="26">
        <v>50496</v>
      </c>
      <c r="QJ11" s="26">
        <v>50526</v>
      </c>
      <c r="QK11" s="26">
        <v>50557</v>
      </c>
      <c r="QL11" s="26">
        <v>50587</v>
      </c>
      <c r="QM11" s="26">
        <v>50618</v>
      </c>
      <c r="QN11" s="26">
        <v>50649</v>
      </c>
      <c r="QO11" s="26">
        <v>50679</v>
      </c>
      <c r="QP11" s="26">
        <v>50710</v>
      </c>
      <c r="QQ11" s="26">
        <v>50740</v>
      </c>
      <c r="QR11" s="26">
        <v>50771</v>
      </c>
      <c r="QS11" s="26">
        <v>50802</v>
      </c>
      <c r="QT11" s="26">
        <v>50830</v>
      </c>
      <c r="QU11" s="26">
        <v>50861</v>
      </c>
      <c r="QV11" s="26">
        <v>50891</v>
      </c>
      <c r="QW11" s="26">
        <v>50922</v>
      </c>
      <c r="QX11" s="26">
        <v>50952</v>
      </c>
      <c r="QY11" s="26">
        <v>50983</v>
      </c>
      <c r="QZ11" s="26">
        <v>51014</v>
      </c>
      <c r="RA11" s="26">
        <v>51044</v>
      </c>
      <c r="RB11" s="26">
        <v>51075</v>
      </c>
      <c r="RC11" s="26">
        <v>51105</v>
      </c>
      <c r="RD11" s="26">
        <v>51136</v>
      </c>
      <c r="RE11" s="26">
        <v>51167</v>
      </c>
      <c r="RF11" s="26">
        <v>51196</v>
      </c>
      <c r="RG11" s="26">
        <v>51227</v>
      </c>
      <c r="RH11" s="26">
        <v>51257</v>
      </c>
      <c r="RI11" s="26">
        <v>51288</v>
      </c>
      <c r="RJ11" s="26">
        <v>51318</v>
      </c>
      <c r="RK11" s="26">
        <v>51349</v>
      </c>
      <c r="RL11" s="26">
        <v>51380</v>
      </c>
      <c r="RM11" s="26">
        <v>51410</v>
      </c>
      <c r="RN11" s="26">
        <v>51441</v>
      </c>
      <c r="RO11" s="26">
        <v>51471</v>
      </c>
      <c r="RP11" s="26">
        <v>51502</v>
      </c>
      <c r="RQ11" s="26">
        <v>51533</v>
      </c>
      <c r="RR11" s="26">
        <v>51561</v>
      </c>
      <c r="RS11" s="26">
        <v>51592</v>
      </c>
      <c r="RT11" s="26">
        <v>51622</v>
      </c>
      <c r="RU11" s="26">
        <v>51653</v>
      </c>
      <c r="RV11" s="26">
        <v>51683</v>
      </c>
      <c r="RW11" s="26">
        <v>51714</v>
      </c>
      <c r="RX11" s="26">
        <v>51745</v>
      </c>
      <c r="RY11" s="26">
        <v>51775</v>
      </c>
      <c r="RZ11" s="26">
        <v>51806</v>
      </c>
      <c r="SA11" s="26">
        <v>51836</v>
      </c>
      <c r="SB11" s="26">
        <v>51867</v>
      </c>
      <c r="SC11" s="26">
        <v>51898</v>
      </c>
      <c r="SD11" s="26">
        <v>51926</v>
      </c>
      <c r="SE11" s="26">
        <v>51957</v>
      </c>
      <c r="SF11" s="26">
        <v>51987</v>
      </c>
      <c r="SG11" s="26">
        <v>52018</v>
      </c>
      <c r="SH11" s="26">
        <v>52048</v>
      </c>
      <c r="SI11" s="26">
        <v>52079</v>
      </c>
      <c r="SJ11" s="26">
        <v>52110</v>
      </c>
      <c r="SK11" s="26">
        <v>52140</v>
      </c>
      <c r="SL11" s="26">
        <v>52171</v>
      </c>
      <c r="SM11" s="26">
        <v>52201</v>
      </c>
      <c r="SN11" s="26">
        <v>52232</v>
      </c>
      <c r="SO11" s="26">
        <v>52263</v>
      </c>
      <c r="SP11" s="26">
        <v>52291</v>
      </c>
      <c r="SQ11" s="26">
        <v>52322</v>
      </c>
      <c r="SR11" s="26">
        <v>52352</v>
      </c>
      <c r="SS11" s="26">
        <v>52383</v>
      </c>
      <c r="ST11" s="26">
        <v>52413</v>
      </c>
      <c r="SU11" s="26">
        <v>52444</v>
      </c>
      <c r="SV11" s="26">
        <v>52475</v>
      </c>
      <c r="SW11" s="26">
        <v>52505</v>
      </c>
      <c r="SX11" s="26">
        <v>52536</v>
      </c>
      <c r="SY11" s="26">
        <v>52566</v>
      </c>
      <c r="SZ11" s="26">
        <v>52597</v>
      </c>
      <c r="TA11" s="26">
        <v>52628</v>
      </c>
      <c r="TB11" s="26">
        <v>52657</v>
      </c>
      <c r="TC11" s="26">
        <v>52688</v>
      </c>
      <c r="TD11" s="26">
        <v>52718</v>
      </c>
      <c r="TE11" s="26">
        <v>52749</v>
      </c>
      <c r="TF11" s="26">
        <v>52779</v>
      </c>
      <c r="TG11" s="26">
        <v>52810</v>
      </c>
      <c r="TH11" s="26">
        <v>52841</v>
      </c>
      <c r="TI11" s="26">
        <v>52871</v>
      </c>
      <c r="TJ11" s="26">
        <v>52902</v>
      </c>
      <c r="TK11" s="26">
        <v>52932</v>
      </c>
      <c r="TL11" s="26">
        <v>52963</v>
      </c>
      <c r="TM11" s="26">
        <v>52994</v>
      </c>
      <c r="TN11" s="26">
        <v>53022</v>
      </c>
      <c r="TO11" s="26">
        <v>53053</v>
      </c>
      <c r="TP11" s="26">
        <v>53083</v>
      </c>
      <c r="TQ11" s="26">
        <v>53114</v>
      </c>
      <c r="TR11" s="26">
        <v>53144</v>
      </c>
      <c r="TS11" s="26">
        <v>53175</v>
      </c>
      <c r="TT11" s="26">
        <v>53206</v>
      </c>
      <c r="TU11" s="26">
        <v>53236</v>
      </c>
      <c r="TV11" s="26">
        <v>53267</v>
      </c>
      <c r="TW11" s="26">
        <v>53297</v>
      </c>
      <c r="TX11" s="26">
        <v>53328</v>
      </c>
      <c r="TY11" s="26">
        <v>53359</v>
      </c>
      <c r="TZ11" s="26">
        <v>53387</v>
      </c>
      <c r="UA11" s="26">
        <v>53418</v>
      </c>
      <c r="UB11" s="26">
        <v>53448</v>
      </c>
      <c r="UC11" s="26">
        <v>53479</v>
      </c>
      <c r="UD11" s="26">
        <v>53509</v>
      </c>
      <c r="UE11" s="26">
        <v>53540</v>
      </c>
      <c r="UF11" s="26">
        <v>53571</v>
      </c>
      <c r="UG11" s="26">
        <v>53601</v>
      </c>
      <c r="UH11" s="26">
        <v>53632</v>
      </c>
      <c r="UI11" s="26">
        <v>53662</v>
      </c>
      <c r="UJ11" s="26">
        <v>53693</v>
      </c>
      <c r="UK11" s="26">
        <v>53724</v>
      </c>
      <c r="UL11" s="26">
        <v>53752</v>
      </c>
      <c r="UM11" s="26">
        <v>53783</v>
      </c>
      <c r="UN11" s="26">
        <v>53813</v>
      </c>
      <c r="UO11" s="26">
        <v>53844</v>
      </c>
      <c r="UP11" s="26">
        <v>53874</v>
      </c>
      <c r="UQ11" s="26">
        <v>53905</v>
      </c>
      <c r="UR11" s="26">
        <v>53936</v>
      </c>
      <c r="US11" s="26">
        <v>53966</v>
      </c>
      <c r="UT11" s="26">
        <v>53997</v>
      </c>
      <c r="UU11" s="26">
        <v>54027</v>
      </c>
      <c r="UV11" s="26">
        <v>54058</v>
      </c>
      <c r="UW11" s="26">
        <v>54089</v>
      </c>
      <c r="UX11" s="26">
        <v>54118</v>
      </c>
      <c r="UY11" s="26">
        <v>54149</v>
      </c>
      <c r="UZ11" s="26">
        <v>54179</v>
      </c>
      <c r="VA11" s="26">
        <v>54210</v>
      </c>
      <c r="VB11" s="26">
        <v>54240</v>
      </c>
      <c r="VC11" s="26">
        <v>54271</v>
      </c>
      <c r="VD11" s="26">
        <v>54302</v>
      </c>
      <c r="VE11" s="26">
        <v>54332</v>
      </c>
      <c r="VF11" s="26">
        <v>54363</v>
      </c>
      <c r="VG11" s="26">
        <v>54393</v>
      </c>
      <c r="VH11" s="26">
        <v>54424</v>
      </c>
      <c r="VI11" s="26">
        <v>54455</v>
      </c>
      <c r="VJ11" s="26">
        <v>54483</v>
      </c>
      <c r="VK11" s="26">
        <v>54514</v>
      </c>
      <c r="VL11" s="26">
        <v>54544</v>
      </c>
      <c r="VM11" s="26">
        <v>54575</v>
      </c>
      <c r="VN11" s="26">
        <v>54605</v>
      </c>
      <c r="VO11" s="26">
        <v>54636</v>
      </c>
      <c r="VP11" s="26">
        <v>54667</v>
      </c>
      <c r="VQ11" s="26">
        <v>54697</v>
      </c>
      <c r="VR11" s="26">
        <v>54728</v>
      </c>
      <c r="VS11" s="26">
        <v>54758</v>
      </c>
      <c r="VT11" s="26">
        <v>54789</v>
      </c>
      <c r="VU11" s="26">
        <v>54820</v>
      </c>
      <c r="VV11" s="26">
        <v>54848</v>
      </c>
      <c r="VW11" s="26">
        <v>54879</v>
      </c>
      <c r="VX11" s="26">
        <v>54909</v>
      </c>
      <c r="VY11" s="26">
        <v>54940</v>
      </c>
      <c r="VZ11" s="26">
        <v>54970</v>
      </c>
      <c r="WA11" s="26">
        <v>55001</v>
      </c>
      <c r="WB11" s="26">
        <v>55032</v>
      </c>
      <c r="WC11" s="26">
        <v>55062</v>
      </c>
      <c r="WD11" s="26">
        <v>55093</v>
      </c>
      <c r="WE11" s="26">
        <v>55123</v>
      </c>
      <c r="WF11" s="26">
        <v>55154</v>
      </c>
      <c r="WG11" s="26">
        <v>55185</v>
      </c>
      <c r="WH11" s="26">
        <v>55213</v>
      </c>
      <c r="WI11" s="26">
        <v>55244</v>
      </c>
      <c r="WJ11" s="26">
        <v>55274</v>
      </c>
      <c r="WK11" s="26">
        <v>55305</v>
      </c>
      <c r="WL11" s="26">
        <v>55335</v>
      </c>
      <c r="WM11" s="26">
        <v>55366</v>
      </c>
      <c r="WN11" s="26">
        <v>55397</v>
      </c>
      <c r="WO11" s="26">
        <v>55427</v>
      </c>
      <c r="WP11" s="26">
        <v>55458</v>
      </c>
      <c r="WQ11" s="26">
        <v>55488</v>
      </c>
      <c r="WR11" s="26">
        <v>55519</v>
      </c>
      <c r="WS11" s="26">
        <v>55550</v>
      </c>
      <c r="WT11" s="26">
        <v>55579</v>
      </c>
      <c r="WU11" s="26">
        <v>55610</v>
      </c>
      <c r="WV11" s="26">
        <v>55640</v>
      </c>
      <c r="WW11" s="26">
        <v>55671</v>
      </c>
      <c r="WX11" s="26">
        <v>55701</v>
      </c>
      <c r="WY11" s="26">
        <v>55732</v>
      </c>
      <c r="WZ11" s="26">
        <v>55763</v>
      </c>
      <c r="XA11" s="26">
        <v>55793</v>
      </c>
      <c r="XB11" s="26">
        <v>55824</v>
      </c>
      <c r="XC11" s="26">
        <v>55854</v>
      </c>
      <c r="XD11" s="26">
        <v>55885</v>
      </c>
      <c r="XE11" s="26">
        <v>55916</v>
      </c>
      <c r="XF11" s="26">
        <v>55944</v>
      </c>
      <c r="XG11" s="26">
        <v>55975</v>
      </c>
      <c r="XH11" s="26">
        <v>56005</v>
      </c>
      <c r="XI11" s="26">
        <v>56036</v>
      </c>
      <c r="XJ11" s="26">
        <v>56066</v>
      </c>
      <c r="XK11" s="26">
        <v>56097</v>
      </c>
      <c r="XL11" s="26">
        <v>56128</v>
      </c>
      <c r="XM11" s="26">
        <v>56158</v>
      </c>
      <c r="XN11" s="26">
        <v>56189</v>
      </c>
      <c r="XO11" s="26">
        <v>56219</v>
      </c>
      <c r="XP11" s="26">
        <v>56250</v>
      </c>
      <c r="XQ11" s="26">
        <v>56281</v>
      </c>
      <c r="XR11" s="26">
        <v>56309</v>
      </c>
      <c r="XS11" s="26">
        <v>56340</v>
      </c>
      <c r="XT11" s="26">
        <v>56370</v>
      </c>
      <c r="XU11" s="26">
        <v>56401</v>
      </c>
      <c r="XV11" s="26">
        <v>56431</v>
      </c>
      <c r="XW11" s="26">
        <v>56462</v>
      </c>
      <c r="XX11" s="26">
        <v>56493</v>
      </c>
      <c r="XY11" s="26">
        <v>56523</v>
      </c>
      <c r="XZ11" s="26">
        <v>56554</v>
      </c>
      <c r="YA11" s="26">
        <v>56584</v>
      </c>
      <c r="YB11" s="26">
        <v>56615</v>
      </c>
      <c r="YC11" s="26">
        <v>56646</v>
      </c>
      <c r="YD11" s="26">
        <v>56674</v>
      </c>
      <c r="YE11" s="26">
        <v>56705</v>
      </c>
      <c r="YF11" s="26">
        <v>56735</v>
      </c>
      <c r="YG11" s="26">
        <v>56766</v>
      </c>
      <c r="YH11" s="26">
        <v>56796</v>
      </c>
      <c r="YI11" s="26">
        <v>56827</v>
      </c>
      <c r="YJ11" s="26">
        <v>56858</v>
      </c>
      <c r="YK11" s="26">
        <v>56888</v>
      </c>
      <c r="YL11" s="26">
        <v>56919</v>
      </c>
      <c r="YM11" s="26">
        <v>56949</v>
      </c>
    </row>
    <row r="12" spans="1:663" x14ac:dyDescent="0.2">
      <c r="C12">
        <f>IF(C13&lt;$B$13,0,B12+1)</f>
        <v>1</v>
      </c>
      <c r="D12">
        <f t="shared" ref="D12" si="33">IF(D13&lt;$B$13,0,C12+1)</f>
        <v>2</v>
      </c>
      <c r="E12">
        <f t="shared" ref="E12" si="34">IF(E13&lt;$B$13,0,D12+1)</f>
        <v>3</v>
      </c>
      <c r="F12">
        <f t="shared" ref="F12" si="35">IF(F13&lt;$B$13,0,E12+1)</f>
        <v>4</v>
      </c>
      <c r="G12">
        <f t="shared" ref="G12" si="36">IF(G13&lt;$B$13,0,F12+1)</f>
        <v>5</v>
      </c>
      <c r="H12">
        <f t="shared" ref="H12" si="37">IF(H13&lt;$B$13,0,G12+1)</f>
        <v>6</v>
      </c>
      <c r="I12">
        <f t="shared" ref="I12" si="38">IF(I13&lt;$B$13,0,H12+1)</f>
        <v>7</v>
      </c>
      <c r="J12">
        <f t="shared" ref="J12" si="39">IF(J13&lt;$B$13,0,I12+1)</f>
        <v>8</v>
      </c>
      <c r="K12">
        <f t="shared" ref="K12" si="40">IF(K13&lt;$B$13,0,J12+1)</f>
        <v>9</v>
      </c>
      <c r="L12">
        <f t="shared" ref="L12" si="41">IF(L13&lt;$B$13,0,K12+1)</f>
        <v>10</v>
      </c>
      <c r="M12">
        <f t="shared" ref="M12" si="42">IF(M13&lt;$B$13,0,L12+1)</f>
        <v>11</v>
      </c>
      <c r="N12">
        <f t="shared" ref="N12" si="43">IF(N13&lt;$B$13,0,M12+1)</f>
        <v>12</v>
      </c>
      <c r="O12">
        <f t="shared" ref="O12" si="44">IF(O13&lt;$B$13,0,N12+1)</f>
        <v>13</v>
      </c>
      <c r="P12">
        <f t="shared" ref="P12" si="45">IF(P13&lt;$B$13,0,O12+1)</f>
        <v>14</v>
      </c>
      <c r="Q12">
        <f t="shared" ref="Q12" si="46">IF(Q13&lt;$B$13,0,P12+1)</f>
        <v>15</v>
      </c>
      <c r="R12">
        <f t="shared" ref="R12" si="47">IF(R13&lt;$B$13,0,Q12+1)</f>
        <v>16</v>
      </c>
      <c r="S12">
        <f t="shared" ref="S12" si="48">IF(S13&lt;$B$13,0,R12+1)</f>
        <v>17</v>
      </c>
      <c r="T12">
        <f t="shared" ref="T12" si="49">IF(T13&lt;$B$13,0,S12+1)</f>
        <v>18</v>
      </c>
      <c r="U12">
        <f t="shared" ref="U12" si="50">IF(U13&lt;$B$13,0,T12+1)</f>
        <v>19</v>
      </c>
      <c r="V12">
        <f t="shared" ref="V12" si="51">IF(V13&lt;$B$13,0,U12+1)</f>
        <v>20</v>
      </c>
      <c r="W12">
        <f t="shared" ref="W12" si="52">IF(W13&lt;$B$13,0,V12+1)</f>
        <v>21</v>
      </c>
      <c r="X12">
        <f t="shared" ref="X12" si="53">IF(X13&lt;$B$13,0,W12+1)</f>
        <v>22</v>
      </c>
      <c r="Y12">
        <f t="shared" ref="Y12" si="54">IF(Y13&lt;$B$13,0,X12+1)</f>
        <v>23</v>
      </c>
      <c r="Z12">
        <f t="shared" ref="Z12" si="55">IF(Z13&lt;$B$13,0,Y12+1)</f>
        <v>24</v>
      </c>
      <c r="AA12">
        <f t="shared" ref="AA12:AB12" si="56">IF(AA13&lt;$B$13,0,Z12+1)</f>
        <v>25</v>
      </c>
      <c r="AB12">
        <f t="shared" si="56"/>
        <v>26</v>
      </c>
      <c r="AC12">
        <f t="shared" ref="AC12" si="57">IF(AC13&lt;$B$13,0,AB12+1)</f>
        <v>27</v>
      </c>
      <c r="AD12">
        <f t="shared" ref="AD12:AE12" si="58">IF(AD13&lt;$B$13,0,AC12+1)</f>
        <v>28</v>
      </c>
      <c r="AE12">
        <f t="shared" si="58"/>
        <v>29</v>
      </c>
      <c r="AF12">
        <f t="shared" ref="AF12:CQ12" si="59">IF(AF13&lt;$B$13,0,AE12+1)</f>
        <v>30</v>
      </c>
      <c r="AG12">
        <f t="shared" si="59"/>
        <v>31</v>
      </c>
      <c r="AH12">
        <f t="shared" si="59"/>
        <v>32</v>
      </c>
      <c r="AI12">
        <f t="shared" si="59"/>
        <v>33</v>
      </c>
      <c r="AJ12">
        <f t="shared" si="59"/>
        <v>34</v>
      </c>
      <c r="AK12">
        <f t="shared" si="59"/>
        <v>35</v>
      </c>
      <c r="AL12">
        <f t="shared" si="59"/>
        <v>36</v>
      </c>
      <c r="AM12">
        <f t="shared" si="59"/>
        <v>37</v>
      </c>
      <c r="AN12">
        <f t="shared" si="59"/>
        <v>38</v>
      </c>
      <c r="AO12">
        <f t="shared" si="59"/>
        <v>39</v>
      </c>
      <c r="AP12">
        <f t="shared" si="59"/>
        <v>40</v>
      </c>
      <c r="AQ12">
        <f t="shared" si="59"/>
        <v>41</v>
      </c>
      <c r="AR12">
        <f t="shared" si="59"/>
        <v>42</v>
      </c>
      <c r="AS12">
        <f t="shared" si="59"/>
        <v>43</v>
      </c>
      <c r="AT12">
        <f t="shared" si="59"/>
        <v>44</v>
      </c>
      <c r="AU12">
        <f t="shared" si="59"/>
        <v>45</v>
      </c>
      <c r="AV12">
        <f t="shared" si="59"/>
        <v>46</v>
      </c>
      <c r="AW12">
        <f t="shared" si="59"/>
        <v>47</v>
      </c>
      <c r="AX12">
        <f t="shared" si="59"/>
        <v>48</v>
      </c>
      <c r="AY12">
        <f t="shared" si="59"/>
        <v>49</v>
      </c>
      <c r="AZ12">
        <f t="shared" si="59"/>
        <v>50</v>
      </c>
      <c r="BA12">
        <f t="shared" si="59"/>
        <v>51</v>
      </c>
      <c r="BB12">
        <f t="shared" si="59"/>
        <v>52</v>
      </c>
      <c r="BC12">
        <f t="shared" si="59"/>
        <v>53</v>
      </c>
      <c r="BD12">
        <f t="shared" si="59"/>
        <v>54</v>
      </c>
      <c r="BE12">
        <f t="shared" si="59"/>
        <v>55</v>
      </c>
      <c r="BF12">
        <f t="shared" si="59"/>
        <v>56</v>
      </c>
      <c r="BG12">
        <f t="shared" si="59"/>
        <v>57</v>
      </c>
      <c r="BH12">
        <f t="shared" si="59"/>
        <v>58</v>
      </c>
      <c r="BI12">
        <f t="shared" si="59"/>
        <v>59</v>
      </c>
      <c r="BJ12">
        <f t="shared" si="59"/>
        <v>60</v>
      </c>
      <c r="BK12">
        <f t="shared" si="59"/>
        <v>61</v>
      </c>
      <c r="BL12">
        <f t="shared" si="59"/>
        <v>62</v>
      </c>
      <c r="BM12">
        <f t="shared" si="59"/>
        <v>63</v>
      </c>
      <c r="BN12">
        <f t="shared" si="59"/>
        <v>64</v>
      </c>
      <c r="BO12">
        <f t="shared" si="59"/>
        <v>65</v>
      </c>
      <c r="BP12">
        <f t="shared" si="59"/>
        <v>66</v>
      </c>
      <c r="BQ12">
        <f t="shared" si="59"/>
        <v>67</v>
      </c>
      <c r="BR12">
        <f t="shared" si="59"/>
        <v>68</v>
      </c>
      <c r="BS12">
        <f t="shared" si="59"/>
        <v>69</v>
      </c>
      <c r="BT12">
        <f t="shared" si="59"/>
        <v>70</v>
      </c>
      <c r="BU12">
        <f t="shared" si="59"/>
        <v>71</v>
      </c>
      <c r="BV12">
        <f t="shared" si="59"/>
        <v>72</v>
      </c>
      <c r="BW12">
        <f t="shared" si="59"/>
        <v>73</v>
      </c>
      <c r="BX12">
        <f t="shared" si="59"/>
        <v>74</v>
      </c>
      <c r="BY12">
        <f t="shared" si="59"/>
        <v>75</v>
      </c>
      <c r="BZ12">
        <f t="shared" si="59"/>
        <v>76</v>
      </c>
      <c r="CA12">
        <f t="shared" si="59"/>
        <v>77</v>
      </c>
      <c r="CB12">
        <f t="shared" si="59"/>
        <v>78</v>
      </c>
      <c r="CC12">
        <f t="shared" si="59"/>
        <v>79</v>
      </c>
      <c r="CD12">
        <f t="shared" si="59"/>
        <v>80</v>
      </c>
      <c r="CE12">
        <f t="shared" si="59"/>
        <v>81</v>
      </c>
      <c r="CF12">
        <f t="shared" si="59"/>
        <v>82</v>
      </c>
      <c r="CG12">
        <f t="shared" si="59"/>
        <v>83</v>
      </c>
      <c r="CH12">
        <f t="shared" si="59"/>
        <v>84</v>
      </c>
      <c r="CI12">
        <f t="shared" si="59"/>
        <v>85</v>
      </c>
      <c r="CJ12">
        <f t="shared" si="59"/>
        <v>86</v>
      </c>
      <c r="CK12">
        <f t="shared" si="59"/>
        <v>87</v>
      </c>
      <c r="CL12">
        <f t="shared" si="59"/>
        <v>88</v>
      </c>
      <c r="CM12">
        <f t="shared" si="59"/>
        <v>89</v>
      </c>
      <c r="CN12">
        <f t="shared" si="59"/>
        <v>90</v>
      </c>
      <c r="CO12">
        <f t="shared" si="59"/>
        <v>91</v>
      </c>
      <c r="CP12">
        <f t="shared" si="59"/>
        <v>92</v>
      </c>
      <c r="CQ12">
        <f t="shared" si="59"/>
        <v>93</v>
      </c>
      <c r="CR12">
        <f t="shared" ref="CR12:FC12" si="60">IF(CR13&lt;$B$13,0,CQ12+1)</f>
        <v>94</v>
      </c>
      <c r="CS12">
        <f t="shared" si="60"/>
        <v>95</v>
      </c>
      <c r="CT12">
        <f t="shared" si="60"/>
        <v>96</v>
      </c>
      <c r="CU12">
        <f t="shared" si="60"/>
        <v>97</v>
      </c>
      <c r="CV12">
        <f t="shared" si="60"/>
        <v>98</v>
      </c>
      <c r="CW12">
        <f t="shared" si="60"/>
        <v>99</v>
      </c>
      <c r="CX12">
        <f t="shared" si="60"/>
        <v>100</v>
      </c>
      <c r="CY12">
        <f t="shared" si="60"/>
        <v>101</v>
      </c>
      <c r="CZ12">
        <f t="shared" si="60"/>
        <v>102</v>
      </c>
      <c r="DA12">
        <f t="shared" si="60"/>
        <v>103</v>
      </c>
      <c r="DB12">
        <f t="shared" si="60"/>
        <v>104</v>
      </c>
      <c r="DC12">
        <f t="shared" si="60"/>
        <v>105</v>
      </c>
      <c r="DD12">
        <f t="shared" si="60"/>
        <v>106</v>
      </c>
      <c r="DE12">
        <f t="shared" si="60"/>
        <v>107</v>
      </c>
      <c r="DF12">
        <f t="shared" si="60"/>
        <v>108</v>
      </c>
      <c r="DG12">
        <f t="shared" si="60"/>
        <v>109</v>
      </c>
      <c r="DH12">
        <f t="shared" si="60"/>
        <v>110</v>
      </c>
      <c r="DI12">
        <f t="shared" si="60"/>
        <v>111</v>
      </c>
      <c r="DJ12">
        <f t="shared" si="60"/>
        <v>112</v>
      </c>
      <c r="DK12">
        <f t="shared" si="60"/>
        <v>113</v>
      </c>
      <c r="DL12">
        <f t="shared" si="60"/>
        <v>114</v>
      </c>
      <c r="DM12">
        <f t="shared" si="60"/>
        <v>115</v>
      </c>
      <c r="DN12">
        <f t="shared" si="60"/>
        <v>116</v>
      </c>
      <c r="DO12">
        <f t="shared" si="60"/>
        <v>117</v>
      </c>
      <c r="DP12">
        <f t="shared" si="60"/>
        <v>118</v>
      </c>
      <c r="DQ12">
        <f t="shared" si="60"/>
        <v>119</v>
      </c>
      <c r="DR12">
        <f t="shared" si="60"/>
        <v>120</v>
      </c>
      <c r="DS12">
        <f t="shared" si="60"/>
        <v>121</v>
      </c>
      <c r="DT12">
        <f t="shared" si="60"/>
        <v>122</v>
      </c>
      <c r="DU12">
        <f t="shared" si="60"/>
        <v>123</v>
      </c>
      <c r="DV12">
        <f t="shared" si="60"/>
        <v>124</v>
      </c>
      <c r="DW12">
        <f t="shared" si="60"/>
        <v>125</v>
      </c>
      <c r="DX12">
        <f t="shared" si="60"/>
        <v>126</v>
      </c>
      <c r="DY12">
        <f t="shared" si="60"/>
        <v>127</v>
      </c>
      <c r="DZ12">
        <f t="shared" si="60"/>
        <v>128</v>
      </c>
      <c r="EA12">
        <f t="shared" si="60"/>
        <v>129</v>
      </c>
      <c r="EB12">
        <f t="shared" si="60"/>
        <v>130</v>
      </c>
      <c r="EC12">
        <f t="shared" si="60"/>
        <v>131</v>
      </c>
      <c r="ED12">
        <f t="shared" si="60"/>
        <v>132</v>
      </c>
      <c r="EE12">
        <f t="shared" si="60"/>
        <v>133</v>
      </c>
      <c r="EF12">
        <f t="shared" si="60"/>
        <v>134</v>
      </c>
      <c r="EG12">
        <f t="shared" si="60"/>
        <v>135</v>
      </c>
      <c r="EH12">
        <f t="shared" si="60"/>
        <v>136</v>
      </c>
      <c r="EI12">
        <f t="shared" si="60"/>
        <v>137</v>
      </c>
      <c r="EJ12">
        <f t="shared" si="60"/>
        <v>138</v>
      </c>
      <c r="EK12">
        <f t="shared" si="60"/>
        <v>139</v>
      </c>
      <c r="EL12">
        <f t="shared" si="60"/>
        <v>140</v>
      </c>
      <c r="EM12">
        <f t="shared" si="60"/>
        <v>141</v>
      </c>
      <c r="EN12">
        <f t="shared" si="60"/>
        <v>142</v>
      </c>
      <c r="EO12">
        <f t="shared" si="60"/>
        <v>143</v>
      </c>
      <c r="EP12">
        <f t="shared" si="60"/>
        <v>144</v>
      </c>
      <c r="EQ12">
        <f t="shared" si="60"/>
        <v>145</v>
      </c>
      <c r="ER12">
        <f t="shared" si="60"/>
        <v>146</v>
      </c>
      <c r="ES12">
        <f t="shared" si="60"/>
        <v>147</v>
      </c>
      <c r="ET12">
        <f t="shared" si="60"/>
        <v>148</v>
      </c>
      <c r="EU12">
        <f t="shared" si="60"/>
        <v>149</v>
      </c>
      <c r="EV12">
        <f t="shared" si="60"/>
        <v>150</v>
      </c>
      <c r="EW12">
        <f t="shared" si="60"/>
        <v>151</v>
      </c>
      <c r="EX12">
        <f t="shared" si="60"/>
        <v>152</v>
      </c>
      <c r="EY12">
        <f t="shared" si="60"/>
        <v>153</v>
      </c>
      <c r="EZ12">
        <f t="shared" si="60"/>
        <v>154</v>
      </c>
      <c r="FA12">
        <f t="shared" si="60"/>
        <v>155</v>
      </c>
      <c r="FB12">
        <f t="shared" si="60"/>
        <v>156</v>
      </c>
      <c r="FC12">
        <f t="shared" si="60"/>
        <v>157</v>
      </c>
      <c r="FD12">
        <f t="shared" ref="FD12:HO12" si="61">IF(FD13&lt;$B$13,0,FC12+1)</f>
        <v>158</v>
      </c>
      <c r="FE12">
        <f t="shared" si="61"/>
        <v>159</v>
      </c>
      <c r="FF12">
        <f t="shared" si="61"/>
        <v>160</v>
      </c>
      <c r="FG12">
        <f t="shared" si="61"/>
        <v>161</v>
      </c>
      <c r="FH12">
        <f t="shared" si="61"/>
        <v>162</v>
      </c>
      <c r="FI12">
        <f t="shared" si="61"/>
        <v>163</v>
      </c>
      <c r="FJ12">
        <f t="shared" si="61"/>
        <v>164</v>
      </c>
      <c r="FK12">
        <f t="shared" si="61"/>
        <v>165</v>
      </c>
      <c r="FL12">
        <f t="shared" si="61"/>
        <v>166</v>
      </c>
      <c r="FM12">
        <f t="shared" si="61"/>
        <v>167</v>
      </c>
      <c r="FN12">
        <f t="shared" si="61"/>
        <v>168</v>
      </c>
      <c r="FO12">
        <f t="shared" si="61"/>
        <v>169</v>
      </c>
      <c r="FP12">
        <f t="shared" si="61"/>
        <v>170</v>
      </c>
      <c r="FQ12">
        <f t="shared" si="61"/>
        <v>171</v>
      </c>
      <c r="FR12">
        <f t="shared" si="61"/>
        <v>172</v>
      </c>
      <c r="FS12">
        <f t="shared" si="61"/>
        <v>173</v>
      </c>
      <c r="FT12">
        <f t="shared" si="61"/>
        <v>174</v>
      </c>
      <c r="FU12">
        <f t="shared" si="61"/>
        <v>175</v>
      </c>
      <c r="FV12">
        <f t="shared" si="61"/>
        <v>176</v>
      </c>
      <c r="FW12">
        <f t="shared" si="61"/>
        <v>177</v>
      </c>
      <c r="FX12">
        <f t="shared" si="61"/>
        <v>178</v>
      </c>
      <c r="FY12">
        <f t="shared" si="61"/>
        <v>179</v>
      </c>
      <c r="FZ12">
        <f t="shared" si="61"/>
        <v>180</v>
      </c>
      <c r="GA12">
        <f t="shared" si="61"/>
        <v>181</v>
      </c>
      <c r="GB12">
        <f t="shared" si="61"/>
        <v>182</v>
      </c>
      <c r="GC12">
        <f t="shared" si="61"/>
        <v>183</v>
      </c>
      <c r="GD12">
        <f t="shared" si="61"/>
        <v>184</v>
      </c>
      <c r="GE12">
        <f t="shared" si="61"/>
        <v>185</v>
      </c>
      <c r="GF12">
        <f t="shared" si="61"/>
        <v>186</v>
      </c>
      <c r="GG12">
        <f t="shared" si="61"/>
        <v>187</v>
      </c>
      <c r="GH12">
        <f t="shared" si="61"/>
        <v>188</v>
      </c>
      <c r="GI12">
        <f t="shared" si="61"/>
        <v>189</v>
      </c>
      <c r="GJ12">
        <f t="shared" si="61"/>
        <v>190</v>
      </c>
      <c r="GK12">
        <f t="shared" si="61"/>
        <v>191</v>
      </c>
      <c r="GL12">
        <f t="shared" si="61"/>
        <v>192</v>
      </c>
      <c r="GM12">
        <f t="shared" si="61"/>
        <v>193</v>
      </c>
      <c r="GN12">
        <f t="shared" si="61"/>
        <v>194</v>
      </c>
      <c r="GO12">
        <f t="shared" si="61"/>
        <v>195</v>
      </c>
      <c r="GP12">
        <f t="shared" si="61"/>
        <v>196</v>
      </c>
      <c r="GQ12">
        <f t="shared" si="61"/>
        <v>197</v>
      </c>
      <c r="GR12">
        <f t="shared" si="61"/>
        <v>198</v>
      </c>
      <c r="GS12">
        <f t="shared" si="61"/>
        <v>199</v>
      </c>
      <c r="GT12">
        <f t="shared" si="61"/>
        <v>200</v>
      </c>
      <c r="GU12">
        <f t="shared" si="61"/>
        <v>201</v>
      </c>
      <c r="GV12">
        <f t="shared" si="61"/>
        <v>202</v>
      </c>
      <c r="GW12">
        <f t="shared" si="61"/>
        <v>203</v>
      </c>
      <c r="GX12">
        <f t="shared" si="61"/>
        <v>204</v>
      </c>
      <c r="GY12">
        <f t="shared" si="61"/>
        <v>205</v>
      </c>
      <c r="GZ12">
        <f t="shared" si="61"/>
        <v>206</v>
      </c>
      <c r="HA12">
        <f t="shared" si="61"/>
        <v>207</v>
      </c>
      <c r="HB12">
        <f t="shared" si="61"/>
        <v>208</v>
      </c>
      <c r="HC12">
        <f t="shared" si="61"/>
        <v>209</v>
      </c>
      <c r="HD12">
        <f t="shared" si="61"/>
        <v>210</v>
      </c>
      <c r="HE12">
        <f t="shared" si="61"/>
        <v>211</v>
      </c>
      <c r="HF12">
        <f t="shared" si="61"/>
        <v>212</v>
      </c>
      <c r="HG12">
        <f t="shared" si="61"/>
        <v>213</v>
      </c>
      <c r="HH12">
        <f t="shared" si="61"/>
        <v>214</v>
      </c>
      <c r="HI12">
        <f t="shared" si="61"/>
        <v>215</v>
      </c>
      <c r="HJ12">
        <f t="shared" si="61"/>
        <v>216</v>
      </c>
      <c r="HK12">
        <f t="shared" si="61"/>
        <v>217</v>
      </c>
      <c r="HL12">
        <f t="shared" si="61"/>
        <v>218</v>
      </c>
      <c r="HM12">
        <f t="shared" si="61"/>
        <v>219</v>
      </c>
      <c r="HN12">
        <f t="shared" si="61"/>
        <v>220</v>
      </c>
      <c r="HO12">
        <f t="shared" si="61"/>
        <v>221</v>
      </c>
      <c r="HP12">
        <f t="shared" ref="HP12:KA12" si="62">IF(HP13&lt;$B$13,0,HO12+1)</f>
        <v>222</v>
      </c>
      <c r="HQ12">
        <f t="shared" si="62"/>
        <v>223</v>
      </c>
      <c r="HR12">
        <f t="shared" si="62"/>
        <v>224</v>
      </c>
      <c r="HS12">
        <f t="shared" si="62"/>
        <v>225</v>
      </c>
      <c r="HT12">
        <f t="shared" si="62"/>
        <v>226</v>
      </c>
      <c r="HU12">
        <f t="shared" si="62"/>
        <v>227</v>
      </c>
      <c r="HV12">
        <f t="shared" si="62"/>
        <v>228</v>
      </c>
      <c r="HW12">
        <f t="shared" si="62"/>
        <v>229</v>
      </c>
      <c r="HX12">
        <f t="shared" si="62"/>
        <v>230</v>
      </c>
      <c r="HY12">
        <f t="shared" si="62"/>
        <v>231</v>
      </c>
      <c r="HZ12">
        <f t="shared" si="62"/>
        <v>232</v>
      </c>
      <c r="IA12">
        <f t="shared" si="62"/>
        <v>233</v>
      </c>
      <c r="IB12">
        <f t="shared" si="62"/>
        <v>234</v>
      </c>
      <c r="IC12">
        <f t="shared" si="62"/>
        <v>235</v>
      </c>
      <c r="ID12">
        <f t="shared" si="62"/>
        <v>236</v>
      </c>
      <c r="IE12">
        <f t="shared" si="62"/>
        <v>237</v>
      </c>
      <c r="IF12">
        <f t="shared" si="62"/>
        <v>238</v>
      </c>
      <c r="IG12">
        <f t="shared" si="62"/>
        <v>239</v>
      </c>
      <c r="IH12">
        <f t="shared" si="62"/>
        <v>240</v>
      </c>
      <c r="II12">
        <f t="shared" si="62"/>
        <v>241</v>
      </c>
      <c r="IJ12">
        <f t="shared" si="62"/>
        <v>242</v>
      </c>
      <c r="IK12">
        <f t="shared" si="62"/>
        <v>243</v>
      </c>
      <c r="IL12">
        <f t="shared" si="62"/>
        <v>244</v>
      </c>
      <c r="IM12">
        <f t="shared" si="62"/>
        <v>245</v>
      </c>
      <c r="IN12">
        <f t="shared" si="62"/>
        <v>246</v>
      </c>
      <c r="IO12">
        <f t="shared" si="62"/>
        <v>247</v>
      </c>
      <c r="IP12">
        <f t="shared" si="62"/>
        <v>248</v>
      </c>
      <c r="IQ12">
        <f t="shared" si="62"/>
        <v>249</v>
      </c>
      <c r="IR12">
        <f t="shared" si="62"/>
        <v>250</v>
      </c>
      <c r="IS12">
        <f t="shared" si="62"/>
        <v>251</v>
      </c>
      <c r="IT12">
        <f t="shared" si="62"/>
        <v>252</v>
      </c>
      <c r="IU12">
        <f t="shared" si="62"/>
        <v>253</v>
      </c>
      <c r="IV12">
        <f t="shared" si="62"/>
        <v>254</v>
      </c>
      <c r="IW12">
        <f t="shared" si="62"/>
        <v>255</v>
      </c>
      <c r="IX12">
        <f t="shared" si="62"/>
        <v>256</v>
      </c>
      <c r="IY12">
        <f t="shared" si="62"/>
        <v>257</v>
      </c>
      <c r="IZ12">
        <f t="shared" si="62"/>
        <v>258</v>
      </c>
      <c r="JA12">
        <f t="shared" si="62"/>
        <v>259</v>
      </c>
      <c r="JB12">
        <f t="shared" si="62"/>
        <v>260</v>
      </c>
      <c r="JC12">
        <f t="shared" si="62"/>
        <v>261</v>
      </c>
      <c r="JD12">
        <f t="shared" si="62"/>
        <v>262</v>
      </c>
      <c r="JE12">
        <f t="shared" si="62"/>
        <v>263</v>
      </c>
      <c r="JF12">
        <f t="shared" si="62"/>
        <v>264</v>
      </c>
      <c r="JG12">
        <f t="shared" si="62"/>
        <v>265</v>
      </c>
      <c r="JH12">
        <f t="shared" si="62"/>
        <v>266</v>
      </c>
      <c r="JI12">
        <f t="shared" si="62"/>
        <v>267</v>
      </c>
      <c r="JJ12">
        <f t="shared" si="62"/>
        <v>268</v>
      </c>
      <c r="JK12">
        <f t="shared" si="62"/>
        <v>269</v>
      </c>
      <c r="JL12">
        <f t="shared" si="62"/>
        <v>270</v>
      </c>
      <c r="JM12">
        <f t="shared" si="62"/>
        <v>271</v>
      </c>
      <c r="JN12">
        <f t="shared" si="62"/>
        <v>272</v>
      </c>
      <c r="JO12">
        <f t="shared" si="62"/>
        <v>273</v>
      </c>
      <c r="JP12">
        <f t="shared" si="62"/>
        <v>274</v>
      </c>
      <c r="JQ12">
        <f t="shared" si="62"/>
        <v>275</v>
      </c>
      <c r="JR12">
        <f t="shared" si="62"/>
        <v>276</v>
      </c>
      <c r="JS12">
        <f t="shared" si="62"/>
        <v>277</v>
      </c>
      <c r="JT12">
        <f t="shared" si="62"/>
        <v>278</v>
      </c>
      <c r="JU12">
        <f t="shared" si="62"/>
        <v>279</v>
      </c>
      <c r="JV12">
        <f t="shared" si="62"/>
        <v>280</v>
      </c>
      <c r="JW12">
        <f t="shared" si="62"/>
        <v>281</v>
      </c>
      <c r="JX12">
        <f t="shared" si="62"/>
        <v>282</v>
      </c>
      <c r="JY12">
        <f t="shared" si="62"/>
        <v>283</v>
      </c>
      <c r="JZ12">
        <f t="shared" si="62"/>
        <v>284</v>
      </c>
      <c r="KA12">
        <f t="shared" si="62"/>
        <v>285</v>
      </c>
      <c r="KB12">
        <f t="shared" ref="KB12:MM12" si="63">IF(KB13&lt;$B$13,0,KA12+1)</f>
        <v>286</v>
      </c>
      <c r="KC12">
        <f t="shared" si="63"/>
        <v>287</v>
      </c>
      <c r="KD12">
        <f t="shared" si="63"/>
        <v>288</v>
      </c>
      <c r="KE12">
        <f t="shared" si="63"/>
        <v>289</v>
      </c>
      <c r="KF12">
        <f t="shared" si="63"/>
        <v>290</v>
      </c>
      <c r="KG12">
        <f t="shared" si="63"/>
        <v>291</v>
      </c>
      <c r="KH12">
        <f t="shared" si="63"/>
        <v>292</v>
      </c>
      <c r="KI12">
        <f t="shared" si="63"/>
        <v>293</v>
      </c>
      <c r="KJ12">
        <f t="shared" si="63"/>
        <v>294</v>
      </c>
      <c r="KK12">
        <f t="shared" si="63"/>
        <v>295</v>
      </c>
      <c r="KL12">
        <f t="shared" si="63"/>
        <v>296</v>
      </c>
      <c r="KM12">
        <f t="shared" si="63"/>
        <v>297</v>
      </c>
      <c r="KN12">
        <f t="shared" si="63"/>
        <v>298</v>
      </c>
      <c r="KO12">
        <f t="shared" si="63"/>
        <v>299</v>
      </c>
      <c r="KP12">
        <f t="shared" si="63"/>
        <v>300</v>
      </c>
      <c r="KQ12">
        <f t="shared" si="63"/>
        <v>301</v>
      </c>
      <c r="KR12">
        <f t="shared" si="63"/>
        <v>302</v>
      </c>
      <c r="KS12">
        <f t="shared" si="63"/>
        <v>303</v>
      </c>
      <c r="KT12">
        <f t="shared" si="63"/>
        <v>304</v>
      </c>
      <c r="KU12">
        <f t="shared" si="63"/>
        <v>305</v>
      </c>
      <c r="KV12">
        <f t="shared" si="63"/>
        <v>306</v>
      </c>
      <c r="KW12">
        <f t="shared" si="63"/>
        <v>307</v>
      </c>
      <c r="KX12">
        <f t="shared" si="63"/>
        <v>308</v>
      </c>
      <c r="KY12">
        <f t="shared" si="63"/>
        <v>309</v>
      </c>
      <c r="KZ12">
        <f t="shared" si="63"/>
        <v>310</v>
      </c>
      <c r="LA12">
        <f t="shared" si="63"/>
        <v>311</v>
      </c>
      <c r="LB12">
        <f t="shared" si="63"/>
        <v>312</v>
      </c>
      <c r="LC12">
        <f t="shared" si="63"/>
        <v>313</v>
      </c>
      <c r="LD12">
        <f t="shared" si="63"/>
        <v>314</v>
      </c>
      <c r="LE12">
        <f t="shared" si="63"/>
        <v>315</v>
      </c>
      <c r="LF12">
        <f t="shared" si="63"/>
        <v>316</v>
      </c>
      <c r="LG12">
        <f t="shared" si="63"/>
        <v>317</v>
      </c>
      <c r="LH12">
        <f t="shared" si="63"/>
        <v>318</v>
      </c>
      <c r="LI12">
        <f t="shared" si="63"/>
        <v>319</v>
      </c>
      <c r="LJ12">
        <f t="shared" si="63"/>
        <v>320</v>
      </c>
      <c r="LK12">
        <f t="shared" si="63"/>
        <v>321</v>
      </c>
      <c r="LL12">
        <f t="shared" si="63"/>
        <v>322</v>
      </c>
      <c r="LM12">
        <f t="shared" si="63"/>
        <v>323</v>
      </c>
      <c r="LN12">
        <f t="shared" si="63"/>
        <v>324</v>
      </c>
      <c r="LO12">
        <f t="shared" si="63"/>
        <v>325</v>
      </c>
      <c r="LP12">
        <f t="shared" si="63"/>
        <v>326</v>
      </c>
      <c r="LQ12">
        <f t="shared" si="63"/>
        <v>327</v>
      </c>
      <c r="LR12">
        <f t="shared" si="63"/>
        <v>328</v>
      </c>
      <c r="LS12">
        <f t="shared" si="63"/>
        <v>329</v>
      </c>
      <c r="LT12">
        <f t="shared" si="63"/>
        <v>330</v>
      </c>
      <c r="LU12">
        <f t="shared" si="63"/>
        <v>331</v>
      </c>
      <c r="LV12">
        <f t="shared" si="63"/>
        <v>332</v>
      </c>
      <c r="LW12">
        <f t="shared" si="63"/>
        <v>333</v>
      </c>
      <c r="LX12">
        <f t="shared" si="63"/>
        <v>334</v>
      </c>
      <c r="LY12">
        <f t="shared" si="63"/>
        <v>335</v>
      </c>
      <c r="LZ12">
        <f t="shared" si="63"/>
        <v>336</v>
      </c>
      <c r="MA12">
        <f t="shared" si="63"/>
        <v>337</v>
      </c>
      <c r="MB12">
        <f t="shared" si="63"/>
        <v>338</v>
      </c>
      <c r="MC12">
        <f t="shared" si="63"/>
        <v>339</v>
      </c>
      <c r="MD12">
        <f t="shared" si="63"/>
        <v>340</v>
      </c>
      <c r="ME12">
        <f t="shared" si="63"/>
        <v>341</v>
      </c>
      <c r="MF12">
        <f t="shared" si="63"/>
        <v>342</v>
      </c>
      <c r="MG12">
        <f t="shared" si="63"/>
        <v>343</v>
      </c>
      <c r="MH12">
        <f t="shared" si="63"/>
        <v>344</v>
      </c>
      <c r="MI12">
        <f t="shared" si="63"/>
        <v>345</v>
      </c>
      <c r="MJ12">
        <f t="shared" si="63"/>
        <v>346</v>
      </c>
      <c r="MK12">
        <f t="shared" si="63"/>
        <v>347</v>
      </c>
      <c r="ML12">
        <f t="shared" si="63"/>
        <v>348</v>
      </c>
      <c r="MM12">
        <f t="shared" si="63"/>
        <v>349</v>
      </c>
      <c r="MN12">
        <f t="shared" ref="MN12:OY12" si="64">IF(MN13&lt;$B$13,0,MM12+1)</f>
        <v>350</v>
      </c>
      <c r="MO12">
        <f t="shared" si="64"/>
        <v>351</v>
      </c>
      <c r="MP12">
        <f t="shared" si="64"/>
        <v>352</v>
      </c>
      <c r="MQ12">
        <f t="shared" si="64"/>
        <v>353</v>
      </c>
      <c r="MR12">
        <f t="shared" si="64"/>
        <v>354</v>
      </c>
      <c r="MS12">
        <f t="shared" si="64"/>
        <v>355</v>
      </c>
      <c r="MT12">
        <f t="shared" si="64"/>
        <v>356</v>
      </c>
      <c r="MU12">
        <f t="shared" si="64"/>
        <v>357</v>
      </c>
      <c r="MV12">
        <f t="shared" si="64"/>
        <v>358</v>
      </c>
      <c r="MW12">
        <f t="shared" si="64"/>
        <v>359</v>
      </c>
      <c r="MX12">
        <f t="shared" si="64"/>
        <v>360</v>
      </c>
      <c r="MY12">
        <f t="shared" si="64"/>
        <v>361</v>
      </c>
      <c r="MZ12">
        <f t="shared" si="64"/>
        <v>362</v>
      </c>
      <c r="NA12">
        <f t="shared" si="64"/>
        <v>363</v>
      </c>
      <c r="NB12">
        <f t="shared" si="64"/>
        <v>364</v>
      </c>
      <c r="NC12">
        <f t="shared" si="64"/>
        <v>365</v>
      </c>
      <c r="ND12">
        <f t="shared" si="64"/>
        <v>366</v>
      </c>
      <c r="NE12">
        <f t="shared" si="64"/>
        <v>367</v>
      </c>
      <c r="NF12">
        <f t="shared" si="64"/>
        <v>368</v>
      </c>
      <c r="NG12">
        <f t="shared" si="64"/>
        <v>369</v>
      </c>
      <c r="NH12">
        <f t="shared" si="64"/>
        <v>370</v>
      </c>
      <c r="NI12">
        <f t="shared" si="64"/>
        <v>371</v>
      </c>
      <c r="NJ12">
        <f t="shared" si="64"/>
        <v>372</v>
      </c>
      <c r="NK12">
        <f t="shared" si="64"/>
        <v>373</v>
      </c>
      <c r="NL12">
        <f t="shared" si="64"/>
        <v>374</v>
      </c>
      <c r="NM12">
        <f t="shared" si="64"/>
        <v>375</v>
      </c>
      <c r="NN12">
        <f t="shared" si="64"/>
        <v>376</v>
      </c>
      <c r="NO12">
        <f t="shared" si="64"/>
        <v>377</v>
      </c>
      <c r="NP12">
        <f t="shared" si="64"/>
        <v>378</v>
      </c>
      <c r="NQ12">
        <f t="shared" si="64"/>
        <v>379</v>
      </c>
      <c r="NR12">
        <f t="shared" si="64"/>
        <v>380</v>
      </c>
      <c r="NS12">
        <f t="shared" si="64"/>
        <v>381</v>
      </c>
      <c r="NT12">
        <f t="shared" si="64"/>
        <v>382</v>
      </c>
      <c r="NU12">
        <f t="shared" si="64"/>
        <v>383</v>
      </c>
      <c r="NV12">
        <f t="shared" si="64"/>
        <v>384</v>
      </c>
      <c r="NW12">
        <f t="shared" si="64"/>
        <v>385</v>
      </c>
      <c r="NX12">
        <f t="shared" si="64"/>
        <v>386</v>
      </c>
      <c r="NY12">
        <f t="shared" si="64"/>
        <v>387</v>
      </c>
      <c r="NZ12">
        <f t="shared" si="64"/>
        <v>388</v>
      </c>
      <c r="OA12">
        <f t="shared" si="64"/>
        <v>389</v>
      </c>
      <c r="OB12">
        <f t="shared" si="64"/>
        <v>390</v>
      </c>
      <c r="OC12">
        <f t="shared" si="64"/>
        <v>391</v>
      </c>
      <c r="OD12">
        <f t="shared" si="64"/>
        <v>392</v>
      </c>
      <c r="OE12">
        <f t="shared" si="64"/>
        <v>393</v>
      </c>
      <c r="OF12">
        <f t="shared" si="64"/>
        <v>394</v>
      </c>
      <c r="OG12">
        <f t="shared" si="64"/>
        <v>395</v>
      </c>
      <c r="OH12">
        <f t="shared" si="64"/>
        <v>396</v>
      </c>
      <c r="OI12">
        <f t="shared" si="64"/>
        <v>397</v>
      </c>
      <c r="OJ12">
        <f t="shared" si="64"/>
        <v>398</v>
      </c>
      <c r="OK12">
        <f t="shared" si="64"/>
        <v>399</v>
      </c>
      <c r="OL12">
        <f t="shared" si="64"/>
        <v>400</v>
      </c>
      <c r="OM12">
        <f t="shared" si="64"/>
        <v>401</v>
      </c>
      <c r="ON12">
        <f t="shared" si="64"/>
        <v>402</v>
      </c>
      <c r="OO12">
        <f t="shared" si="64"/>
        <v>403</v>
      </c>
      <c r="OP12">
        <f t="shared" si="64"/>
        <v>404</v>
      </c>
      <c r="OQ12">
        <f t="shared" si="64"/>
        <v>405</v>
      </c>
      <c r="OR12">
        <f t="shared" si="64"/>
        <v>406</v>
      </c>
      <c r="OS12">
        <f t="shared" si="64"/>
        <v>407</v>
      </c>
      <c r="OT12">
        <f t="shared" si="64"/>
        <v>408</v>
      </c>
      <c r="OU12">
        <f t="shared" si="64"/>
        <v>409</v>
      </c>
      <c r="OV12">
        <f t="shared" si="64"/>
        <v>410</v>
      </c>
      <c r="OW12">
        <f t="shared" si="64"/>
        <v>411</v>
      </c>
      <c r="OX12">
        <f t="shared" si="64"/>
        <v>412</v>
      </c>
      <c r="OY12">
        <f t="shared" si="64"/>
        <v>413</v>
      </c>
      <c r="OZ12">
        <f t="shared" ref="OZ12:RK12" si="65">IF(OZ13&lt;$B$13,0,OY12+1)</f>
        <v>414</v>
      </c>
      <c r="PA12">
        <f t="shared" si="65"/>
        <v>415</v>
      </c>
      <c r="PB12">
        <f t="shared" si="65"/>
        <v>416</v>
      </c>
      <c r="PC12">
        <f t="shared" si="65"/>
        <v>417</v>
      </c>
      <c r="PD12">
        <f t="shared" si="65"/>
        <v>418</v>
      </c>
      <c r="PE12">
        <f t="shared" si="65"/>
        <v>419</v>
      </c>
      <c r="PF12">
        <f t="shared" si="65"/>
        <v>420</v>
      </c>
      <c r="PG12">
        <f t="shared" si="65"/>
        <v>421</v>
      </c>
      <c r="PH12">
        <f t="shared" si="65"/>
        <v>422</v>
      </c>
      <c r="PI12">
        <f t="shared" si="65"/>
        <v>423</v>
      </c>
      <c r="PJ12">
        <f t="shared" si="65"/>
        <v>424</v>
      </c>
      <c r="PK12">
        <f t="shared" si="65"/>
        <v>425</v>
      </c>
      <c r="PL12">
        <f t="shared" si="65"/>
        <v>426</v>
      </c>
      <c r="PM12">
        <f t="shared" si="65"/>
        <v>427</v>
      </c>
      <c r="PN12">
        <f t="shared" si="65"/>
        <v>428</v>
      </c>
      <c r="PO12">
        <f t="shared" si="65"/>
        <v>429</v>
      </c>
      <c r="PP12">
        <f t="shared" si="65"/>
        <v>430</v>
      </c>
      <c r="PQ12">
        <f t="shared" si="65"/>
        <v>431</v>
      </c>
      <c r="PR12">
        <f t="shared" si="65"/>
        <v>432</v>
      </c>
      <c r="PS12">
        <f t="shared" si="65"/>
        <v>433</v>
      </c>
      <c r="PT12">
        <f t="shared" si="65"/>
        <v>434</v>
      </c>
      <c r="PU12">
        <f t="shared" si="65"/>
        <v>435</v>
      </c>
      <c r="PV12">
        <f t="shared" si="65"/>
        <v>436</v>
      </c>
      <c r="PW12">
        <f t="shared" si="65"/>
        <v>437</v>
      </c>
      <c r="PX12">
        <f t="shared" si="65"/>
        <v>438</v>
      </c>
      <c r="PY12">
        <f t="shared" si="65"/>
        <v>439</v>
      </c>
      <c r="PZ12">
        <f t="shared" si="65"/>
        <v>440</v>
      </c>
      <c r="QA12">
        <f t="shared" si="65"/>
        <v>441</v>
      </c>
      <c r="QB12">
        <f t="shared" si="65"/>
        <v>442</v>
      </c>
      <c r="QC12">
        <f t="shared" si="65"/>
        <v>443</v>
      </c>
      <c r="QD12">
        <f t="shared" si="65"/>
        <v>444</v>
      </c>
      <c r="QE12">
        <f t="shared" si="65"/>
        <v>445</v>
      </c>
      <c r="QF12">
        <f t="shared" si="65"/>
        <v>446</v>
      </c>
      <c r="QG12">
        <f t="shared" si="65"/>
        <v>447</v>
      </c>
      <c r="QH12">
        <f t="shared" si="65"/>
        <v>448</v>
      </c>
      <c r="QI12">
        <f t="shared" si="65"/>
        <v>449</v>
      </c>
      <c r="QJ12">
        <f t="shared" si="65"/>
        <v>450</v>
      </c>
      <c r="QK12">
        <f t="shared" si="65"/>
        <v>451</v>
      </c>
      <c r="QL12">
        <f t="shared" si="65"/>
        <v>452</v>
      </c>
      <c r="QM12">
        <f t="shared" si="65"/>
        <v>453</v>
      </c>
      <c r="QN12">
        <f t="shared" si="65"/>
        <v>454</v>
      </c>
      <c r="QO12">
        <f t="shared" si="65"/>
        <v>455</v>
      </c>
      <c r="QP12">
        <f t="shared" si="65"/>
        <v>456</v>
      </c>
      <c r="QQ12">
        <f t="shared" si="65"/>
        <v>457</v>
      </c>
      <c r="QR12">
        <f t="shared" si="65"/>
        <v>458</v>
      </c>
      <c r="QS12">
        <f t="shared" si="65"/>
        <v>459</v>
      </c>
      <c r="QT12">
        <f t="shared" si="65"/>
        <v>460</v>
      </c>
      <c r="QU12">
        <f t="shared" si="65"/>
        <v>461</v>
      </c>
      <c r="QV12">
        <f t="shared" si="65"/>
        <v>462</v>
      </c>
      <c r="QW12">
        <f t="shared" si="65"/>
        <v>463</v>
      </c>
      <c r="QX12">
        <f t="shared" si="65"/>
        <v>464</v>
      </c>
      <c r="QY12">
        <f t="shared" si="65"/>
        <v>465</v>
      </c>
      <c r="QZ12">
        <f t="shared" si="65"/>
        <v>466</v>
      </c>
      <c r="RA12">
        <f t="shared" si="65"/>
        <v>467</v>
      </c>
      <c r="RB12">
        <f t="shared" si="65"/>
        <v>468</v>
      </c>
      <c r="RC12">
        <f t="shared" si="65"/>
        <v>469</v>
      </c>
      <c r="RD12">
        <f t="shared" si="65"/>
        <v>470</v>
      </c>
      <c r="RE12">
        <f t="shared" si="65"/>
        <v>471</v>
      </c>
      <c r="RF12">
        <f t="shared" si="65"/>
        <v>472</v>
      </c>
      <c r="RG12">
        <f t="shared" si="65"/>
        <v>473</v>
      </c>
      <c r="RH12">
        <f t="shared" si="65"/>
        <v>474</v>
      </c>
      <c r="RI12">
        <f t="shared" si="65"/>
        <v>475</v>
      </c>
      <c r="RJ12">
        <f t="shared" si="65"/>
        <v>476</v>
      </c>
      <c r="RK12">
        <f t="shared" si="65"/>
        <v>477</v>
      </c>
      <c r="RL12">
        <f t="shared" ref="RL12:TW12" si="66">IF(RL13&lt;$B$13,0,RK12+1)</f>
        <v>478</v>
      </c>
      <c r="RM12">
        <f t="shared" si="66"/>
        <v>479</v>
      </c>
      <c r="RN12">
        <f t="shared" si="66"/>
        <v>480</v>
      </c>
      <c r="RO12">
        <f t="shared" si="66"/>
        <v>481</v>
      </c>
      <c r="RP12">
        <f t="shared" si="66"/>
        <v>482</v>
      </c>
      <c r="RQ12">
        <f t="shared" si="66"/>
        <v>483</v>
      </c>
      <c r="RR12">
        <f t="shared" si="66"/>
        <v>484</v>
      </c>
      <c r="RS12">
        <f t="shared" si="66"/>
        <v>485</v>
      </c>
      <c r="RT12">
        <f t="shared" si="66"/>
        <v>486</v>
      </c>
      <c r="RU12">
        <f t="shared" si="66"/>
        <v>487</v>
      </c>
      <c r="RV12">
        <f t="shared" si="66"/>
        <v>488</v>
      </c>
      <c r="RW12">
        <f t="shared" si="66"/>
        <v>489</v>
      </c>
      <c r="RX12">
        <f t="shared" si="66"/>
        <v>490</v>
      </c>
      <c r="RY12">
        <f t="shared" si="66"/>
        <v>491</v>
      </c>
      <c r="RZ12">
        <f t="shared" si="66"/>
        <v>492</v>
      </c>
      <c r="SA12">
        <f t="shared" si="66"/>
        <v>493</v>
      </c>
      <c r="SB12">
        <f t="shared" si="66"/>
        <v>494</v>
      </c>
      <c r="SC12">
        <f t="shared" si="66"/>
        <v>495</v>
      </c>
      <c r="SD12">
        <f t="shared" si="66"/>
        <v>496</v>
      </c>
      <c r="SE12">
        <f t="shared" si="66"/>
        <v>497</v>
      </c>
      <c r="SF12">
        <f t="shared" si="66"/>
        <v>498</v>
      </c>
      <c r="SG12">
        <f t="shared" si="66"/>
        <v>499</v>
      </c>
      <c r="SH12">
        <f t="shared" si="66"/>
        <v>500</v>
      </c>
      <c r="SI12">
        <f t="shared" si="66"/>
        <v>501</v>
      </c>
      <c r="SJ12">
        <f t="shared" si="66"/>
        <v>502</v>
      </c>
      <c r="SK12">
        <f t="shared" si="66"/>
        <v>503</v>
      </c>
      <c r="SL12">
        <f t="shared" si="66"/>
        <v>504</v>
      </c>
      <c r="SM12">
        <f t="shared" si="66"/>
        <v>505</v>
      </c>
      <c r="SN12">
        <f t="shared" si="66"/>
        <v>506</v>
      </c>
      <c r="SO12">
        <f t="shared" si="66"/>
        <v>507</v>
      </c>
      <c r="SP12">
        <f t="shared" si="66"/>
        <v>508</v>
      </c>
      <c r="SQ12">
        <f t="shared" si="66"/>
        <v>509</v>
      </c>
      <c r="SR12">
        <f t="shared" si="66"/>
        <v>510</v>
      </c>
      <c r="SS12">
        <f t="shared" si="66"/>
        <v>511</v>
      </c>
      <c r="ST12">
        <f t="shared" si="66"/>
        <v>512</v>
      </c>
      <c r="SU12">
        <f t="shared" si="66"/>
        <v>513</v>
      </c>
      <c r="SV12">
        <f t="shared" si="66"/>
        <v>514</v>
      </c>
      <c r="SW12">
        <f t="shared" si="66"/>
        <v>515</v>
      </c>
      <c r="SX12">
        <f t="shared" si="66"/>
        <v>516</v>
      </c>
      <c r="SY12">
        <f t="shared" si="66"/>
        <v>517</v>
      </c>
      <c r="SZ12">
        <f t="shared" si="66"/>
        <v>518</v>
      </c>
      <c r="TA12">
        <f t="shared" si="66"/>
        <v>519</v>
      </c>
      <c r="TB12">
        <f t="shared" si="66"/>
        <v>520</v>
      </c>
      <c r="TC12">
        <f t="shared" si="66"/>
        <v>521</v>
      </c>
      <c r="TD12">
        <f t="shared" si="66"/>
        <v>522</v>
      </c>
      <c r="TE12">
        <f t="shared" si="66"/>
        <v>523</v>
      </c>
      <c r="TF12">
        <f t="shared" si="66"/>
        <v>524</v>
      </c>
      <c r="TG12">
        <f t="shared" si="66"/>
        <v>525</v>
      </c>
      <c r="TH12">
        <f t="shared" si="66"/>
        <v>526</v>
      </c>
      <c r="TI12">
        <f t="shared" si="66"/>
        <v>527</v>
      </c>
      <c r="TJ12">
        <f t="shared" si="66"/>
        <v>528</v>
      </c>
      <c r="TK12">
        <f t="shared" si="66"/>
        <v>529</v>
      </c>
      <c r="TL12">
        <f t="shared" si="66"/>
        <v>530</v>
      </c>
      <c r="TM12">
        <f t="shared" si="66"/>
        <v>531</v>
      </c>
      <c r="TN12">
        <f t="shared" si="66"/>
        <v>532</v>
      </c>
      <c r="TO12">
        <f t="shared" si="66"/>
        <v>533</v>
      </c>
      <c r="TP12">
        <f t="shared" si="66"/>
        <v>534</v>
      </c>
      <c r="TQ12">
        <f t="shared" si="66"/>
        <v>535</v>
      </c>
      <c r="TR12">
        <f t="shared" si="66"/>
        <v>536</v>
      </c>
      <c r="TS12">
        <f t="shared" si="66"/>
        <v>537</v>
      </c>
      <c r="TT12">
        <f t="shared" si="66"/>
        <v>538</v>
      </c>
      <c r="TU12">
        <f t="shared" si="66"/>
        <v>539</v>
      </c>
      <c r="TV12">
        <f t="shared" si="66"/>
        <v>540</v>
      </c>
      <c r="TW12">
        <f t="shared" si="66"/>
        <v>541</v>
      </c>
      <c r="TX12">
        <f t="shared" ref="TX12:WI12" si="67">IF(TX13&lt;$B$13,0,TW12+1)</f>
        <v>542</v>
      </c>
      <c r="TY12">
        <f t="shared" si="67"/>
        <v>543</v>
      </c>
      <c r="TZ12">
        <f t="shared" si="67"/>
        <v>544</v>
      </c>
      <c r="UA12">
        <f t="shared" si="67"/>
        <v>545</v>
      </c>
      <c r="UB12">
        <f t="shared" si="67"/>
        <v>546</v>
      </c>
      <c r="UC12">
        <f t="shared" si="67"/>
        <v>547</v>
      </c>
      <c r="UD12">
        <f t="shared" si="67"/>
        <v>548</v>
      </c>
      <c r="UE12">
        <f t="shared" si="67"/>
        <v>549</v>
      </c>
      <c r="UF12">
        <f t="shared" si="67"/>
        <v>550</v>
      </c>
      <c r="UG12">
        <f t="shared" si="67"/>
        <v>551</v>
      </c>
      <c r="UH12">
        <f t="shared" si="67"/>
        <v>552</v>
      </c>
      <c r="UI12">
        <f t="shared" si="67"/>
        <v>553</v>
      </c>
      <c r="UJ12">
        <f t="shared" si="67"/>
        <v>554</v>
      </c>
      <c r="UK12">
        <f t="shared" si="67"/>
        <v>555</v>
      </c>
      <c r="UL12">
        <f t="shared" si="67"/>
        <v>556</v>
      </c>
      <c r="UM12">
        <f t="shared" si="67"/>
        <v>557</v>
      </c>
      <c r="UN12">
        <f t="shared" si="67"/>
        <v>558</v>
      </c>
      <c r="UO12">
        <f t="shared" si="67"/>
        <v>559</v>
      </c>
      <c r="UP12">
        <f t="shared" si="67"/>
        <v>560</v>
      </c>
      <c r="UQ12">
        <f t="shared" si="67"/>
        <v>561</v>
      </c>
      <c r="UR12">
        <f t="shared" si="67"/>
        <v>562</v>
      </c>
      <c r="US12">
        <f t="shared" si="67"/>
        <v>563</v>
      </c>
      <c r="UT12">
        <f t="shared" si="67"/>
        <v>564</v>
      </c>
      <c r="UU12">
        <f t="shared" si="67"/>
        <v>565</v>
      </c>
      <c r="UV12">
        <f t="shared" si="67"/>
        <v>566</v>
      </c>
      <c r="UW12">
        <f t="shared" si="67"/>
        <v>567</v>
      </c>
      <c r="UX12">
        <f t="shared" si="67"/>
        <v>568</v>
      </c>
      <c r="UY12">
        <f t="shared" si="67"/>
        <v>569</v>
      </c>
      <c r="UZ12">
        <f t="shared" si="67"/>
        <v>570</v>
      </c>
      <c r="VA12">
        <f t="shared" si="67"/>
        <v>571</v>
      </c>
      <c r="VB12">
        <f t="shared" si="67"/>
        <v>572</v>
      </c>
      <c r="VC12">
        <f t="shared" si="67"/>
        <v>573</v>
      </c>
      <c r="VD12">
        <f t="shared" si="67"/>
        <v>574</v>
      </c>
      <c r="VE12">
        <f t="shared" si="67"/>
        <v>575</v>
      </c>
      <c r="VF12">
        <f t="shared" si="67"/>
        <v>576</v>
      </c>
      <c r="VG12">
        <f t="shared" si="67"/>
        <v>577</v>
      </c>
      <c r="VH12">
        <f t="shared" si="67"/>
        <v>578</v>
      </c>
      <c r="VI12">
        <f t="shared" si="67"/>
        <v>579</v>
      </c>
      <c r="VJ12">
        <f t="shared" si="67"/>
        <v>580</v>
      </c>
      <c r="VK12">
        <f t="shared" si="67"/>
        <v>581</v>
      </c>
      <c r="VL12">
        <f t="shared" si="67"/>
        <v>582</v>
      </c>
      <c r="VM12">
        <f t="shared" si="67"/>
        <v>583</v>
      </c>
      <c r="VN12">
        <f t="shared" si="67"/>
        <v>584</v>
      </c>
      <c r="VO12">
        <f t="shared" si="67"/>
        <v>585</v>
      </c>
      <c r="VP12">
        <f t="shared" si="67"/>
        <v>586</v>
      </c>
      <c r="VQ12">
        <f t="shared" si="67"/>
        <v>587</v>
      </c>
      <c r="VR12">
        <f t="shared" si="67"/>
        <v>588</v>
      </c>
      <c r="VS12">
        <f t="shared" si="67"/>
        <v>589</v>
      </c>
      <c r="VT12">
        <f t="shared" si="67"/>
        <v>590</v>
      </c>
      <c r="VU12">
        <f t="shared" si="67"/>
        <v>591</v>
      </c>
      <c r="VV12">
        <f t="shared" si="67"/>
        <v>592</v>
      </c>
      <c r="VW12">
        <f t="shared" si="67"/>
        <v>593</v>
      </c>
      <c r="VX12">
        <f t="shared" si="67"/>
        <v>594</v>
      </c>
      <c r="VY12">
        <f t="shared" si="67"/>
        <v>595</v>
      </c>
      <c r="VZ12">
        <f t="shared" si="67"/>
        <v>596</v>
      </c>
      <c r="WA12">
        <f t="shared" si="67"/>
        <v>597</v>
      </c>
      <c r="WB12">
        <f t="shared" si="67"/>
        <v>598</v>
      </c>
      <c r="WC12">
        <f t="shared" si="67"/>
        <v>599</v>
      </c>
      <c r="WD12">
        <f t="shared" si="67"/>
        <v>600</v>
      </c>
      <c r="WE12">
        <f t="shared" si="67"/>
        <v>601</v>
      </c>
      <c r="WF12">
        <f t="shared" si="67"/>
        <v>602</v>
      </c>
      <c r="WG12">
        <f t="shared" si="67"/>
        <v>603</v>
      </c>
      <c r="WH12">
        <f t="shared" si="67"/>
        <v>604</v>
      </c>
      <c r="WI12">
        <f t="shared" si="67"/>
        <v>605</v>
      </c>
      <c r="WJ12">
        <f t="shared" ref="WJ12:YM12" si="68">IF(WJ13&lt;$B$13,0,WI12+1)</f>
        <v>606</v>
      </c>
      <c r="WK12">
        <f t="shared" si="68"/>
        <v>607</v>
      </c>
      <c r="WL12">
        <f t="shared" si="68"/>
        <v>608</v>
      </c>
      <c r="WM12">
        <f t="shared" si="68"/>
        <v>609</v>
      </c>
      <c r="WN12">
        <f t="shared" si="68"/>
        <v>610</v>
      </c>
      <c r="WO12">
        <f t="shared" si="68"/>
        <v>611</v>
      </c>
      <c r="WP12">
        <f t="shared" si="68"/>
        <v>612</v>
      </c>
      <c r="WQ12">
        <f t="shared" si="68"/>
        <v>613</v>
      </c>
      <c r="WR12">
        <f t="shared" si="68"/>
        <v>614</v>
      </c>
      <c r="WS12">
        <f t="shared" si="68"/>
        <v>615</v>
      </c>
      <c r="WT12">
        <f t="shared" si="68"/>
        <v>616</v>
      </c>
      <c r="WU12">
        <f t="shared" si="68"/>
        <v>617</v>
      </c>
      <c r="WV12">
        <f t="shared" si="68"/>
        <v>618</v>
      </c>
      <c r="WW12">
        <f t="shared" si="68"/>
        <v>619</v>
      </c>
      <c r="WX12">
        <f t="shared" si="68"/>
        <v>620</v>
      </c>
      <c r="WY12">
        <f t="shared" si="68"/>
        <v>621</v>
      </c>
      <c r="WZ12">
        <f t="shared" si="68"/>
        <v>622</v>
      </c>
      <c r="XA12">
        <f t="shared" si="68"/>
        <v>623</v>
      </c>
      <c r="XB12">
        <f t="shared" si="68"/>
        <v>624</v>
      </c>
      <c r="XC12">
        <f t="shared" si="68"/>
        <v>625</v>
      </c>
      <c r="XD12">
        <f t="shared" si="68"/>
        <v>626</v>
      </c>
      <c r="XE12">
        <f t="shared" si="68"/>
        <v>627</v>
      </c>
      <c r="XF12">
        <f t="shared" si="68"/>
        <v>628</v>
      </c>
      <c r="XG12">
        <f t="shared" si="68"/>
        <v>629</v>
      </c>
      <c r="XH12">
        <f t="shared" si="68"/>
        <v>630</v>
      </c>
      <c r="XI12">
        <f t="shared" si="68"/>
        <v>631</v>
      </c>
      <c r="XJ12">
        <f t="shared" si="68"/>
        <v>632</v>
      </c>
      <c r="XK12">
        <f t="shared" si="68"/>
        <v>633</v>
      </c>
      <c r="XL12">
        <f t="shared" si="68"/>
        <v>634</v>
      </c>
      <c r="XM12">
        <f t="shared" si="68"/>
        <v>635</v>
      </c>
      <c r="XN12">
        <f t="shared" si="68"/>
        <v>636</v>
      </c>
      <c r="XO12">
        <f t="shared" si="68"/>
        <v>637</v>
      </c>
      <c r="XP12">
        <f t="shared" si="68"/>
        <v>638</v>
      </c>
      <c r="XQ12">
        <f t="shared" si="68"/>
        <v>639</v>
      </c>
      <c r="XR12">
        <f t="shared" si="68"/>
        <v>640</v>
      </c>
      <c r="XS12">
        <f t="shared" si="68"/>
        <v>641</v>
      </c>
      <c r="XT12">
        <f t="shared" si="68"/>
        <v>642</v>
      </c>
      <c r="XU12">
        <f t="shared" si="68"/>
        <v>643</v>
      </c>
      <c r="XV12">
        <f t="shared" si="68"/>
        <v>644</v>
      </c>
      <c r="XW12">
        <f t="shared" si="68"/>
        <v>645</v>
      </c>
      <c r="XX12">
        <f t="shared" si="68"/>
        <v>646</v>
      </c>
      <c r="XY12">
        <f t="shared" si="68"/>
        <v>647</v>
      </c>
      <c r="XZ12">
        <f t="shared" si="68"/>
        <v>648</v>
      </c>
      <c r="YA12">
        <f t="shared" si="68"/>
        <v>649</v>
      </c>
      <c r="YB12">
        <f t="shared" si="68"/>
        <v>650</v>
      </c>
      <c r="YC12">
        <f t="shared" si="68"/>
        <v>651</v>
      </c>
      <c r="YD12">
        <f t="shared" si="68"/>
        <v>652</v>
      </c>
      <c r="YE12">
        <f t="shared" si="68"/>
        <v>653</v>
      </c>
      <c r="YF12">
        <f t="shared" si="68"/>
        <v>654</v>
      </c>
      <c r="YG12">
        <f t="shared" si="68"/>
        <v>655</v>
      </c>
      <c r="YH12">
        <f t="shared" si="68"/>
        <v>656</v>
      </c>
      <c r="YI12">
        <f t="shared" si="68"/>
        <v>657</v>
      </c>
      <c r="YJ12">
        <f t="shared" si="68"/>
        <v>658</v>
      </c>
      <c r="YK12">
        <f t="shared" si="68"/>
        <v>659</v>
      </c>
      <c r="YL12">
        <f t="shared" si="68"/>
        <v>660</v>
      </c>
      <c r="YM12">
        <f t="shared" si="68"/>
        <v>661</v>
      </c>
    </row>
    <row r="13" spans="1:663" x14ac:dyDescent="0.2">
      <c r="A13" t="s">
        <v>326</v>
      </c>
      <c r="B13" s="27">
        <f>+Formulario!H310</f>
        <v>0</v>
      </c>
      <c r="C13" s="26">
        <v>36891</v>
      </c>
      <c r="D13" s="26">
        <v>36922</v>
      </c>
      <c r="E13" s="26">
        <v>36950</v>
      </c>
      <c r="F13" s="26">
        <v>36981</v>
      </c>
      <c r="G13" s="26">
        <v>37011</v>
      </c>
      <c r="H13" s="26">
        <v>37042</v>
      </c>
      <c r="I13" s="26">
        <v>37072</v>
      </c>
      <c r="J13" s="26">
        <v>37103</v>
      </c>
      <c r="K13" s="26">
        <v>37134</v>
      </c>
      <c r="L13" s="26">
        <v>37164</v>
      </c>
      <c r="M13" s="26">
        <v>37195</v>
      </c>
      <c r="N13" s="26">
        <v>37225</v>
      </c>
      <c r="O13" s="26">
        <v>37256</v>
      </c>
      <c r="P13" s="26">
        <v>37287</v>
      </c>
      <c r="Q13" s="26">
        <v>37315</v>
      </c>
      <c r="R13" s="26">
        <v>37346</v>
      </c>
      <c r="S13" s="26">
        <v>37376</v>
      </c>
      <c r="T13" s="26">
        <v>37407</v>
      </c>
      <c r="U13" s="26">
        <v>37437</v>
      </c>
      <c r="V13" s="26">
        <v>37468</v>
      </c>
      <c r="W13" s="26">
        <v>37499</v>
      </c>
      <c r="X13" s="26">
        <v>37529</v>
      </c>
      <c r="Y13" s="26">
        <v>37560</v>
      </c>
      <c r="Z13" s="26">
        <v>37590</v>
      </c>
      <c r="AA13" s="26">
        <v>37621</v>
      </c>
      <c r="AB13" s="26">
        <v>37652</v>
      </c>
      <c r="AC13" s="26">
        <v>37680</v>
      </c>
      <c r="AD13" s="26">
        <v>37711</v>
      </c>
      <c r="AE13" s="26">
        <v>37741</v>
      </c>
      <c r="AF13" s="26">
        <v>37772</v>
      </c>
      <c r="AG13" s="26">
        <v>37802</v>
      </c>
      <c r="AH13" s="26">
        <v>37833</v>
      </c>
      <c r="AI13" s="26">
        <v>37864</v>
      </c>
      <c r="AJ13" s="26">
        <v>37894</v>
      </c>
      <c r="AK13" s="26">
        <v>37925</v>
      </c>
      <c r="AL13" s="26">
        <v>37955</v>
      </c>
      <c r="AM13" s="26">
        <v>37986</v>
      </c>
      <c r="AN13" s="26">
        <v>38017</v>
      </c>
      <c r="AO13" s="26">
        <v>38046</v>
      </c>
      <c r="AP13" s="26">
        <v>38077</v>
      </c>
      <c r="AQ13" s="26">
        <v>38107</v>
      </c>
      <c r="AR13" s="26">
        <v>38138</v>
      </c>
      <c r="AS13" s="26">
        <v>38168</v>
      </c>
      <c r="AT13" s="26">
        <v>38199</v>
      </c>
      <c r="AU13" s="26">
        <v>38230</v>
      </c>
      <c r="AV13" s="26">
        <v>38260</v>
      </c>
      <c r="AW13" s="26">
        <v>38291</v>
      </c>
      <c r="AX13" s="26">
        <v>38321</v>
      </c>
      <c r="AY13" s="26">
        <v>38352</v>
      </c>
      <c r="AZ13" s="26">
        <v>38383</v>
      </c>
      <c r="BA13" s="26">
        <v>38411</v>
      </c>
      <c r="BB13" s="26">
        <v>38442</v>
      </c>
      <c r="BC13" s="26">
        <v>38472</v>
      </c>
      <c r="BD13" s="26">
        <v>38503</v>
      </c>
      <c r="BE13" s="26">
        <v>38533</v>
      </c>
      <c r="BF13" s="26">
        <v>38564</v>
      </c>
      <c r="BG13" s="26">
        <v>38595</v>
      </c>
      <c r="BH13" s="26">
        <v>38625</v>
      </c>
      <c r="BI13" s="26">
        <v>38656</v>
      </c>
      <c r="BJ13" s="26">
        <v>38686</v>
      </c>
      <c r="BK13" s="26">
        <v>38717</v>
      </c>
      <c r="BL13" s="26">
        <v>38748</v>
      </c>
      <c r="BM13" s="26">
        <v>38776</v>
      </c>
      <c r="BN13" s="26">
        <v>38807</v>
      </c>
      <c r="BO13" s="26">
        <v>38837</v>
      </c>
      <c r="BP13" s="26">
        <v>38868</v>
      </c>
      <c r="BQ13" s="26">
        <v>38898</v>
      </c>
      <c r="BR13" s="26">
        <v>38929</v>
      </c>
      <c r="BS13" s="26">
        <v>38960</v>
      </c>
      <c r="BT13" s="26">
        <v>38990</v>
      </c>
      <c r="BU13" s="26">
        <v>39021</v>
      </c>
      <c r="BV13" s="26">
        <v>39051</v>
      </c>
      <c r="BW13" s="26">
        <v>39082</v>
      </c>
      <c r="BX13" s="26">
        <v>39113</v>
      </c>
      <c r="BY13" s="26">
        <v>39141</v>
      </c>
      <c r="BZ13" s="26">
        <v>39172</v>
      </c>
      <c r="CA13" s="26">
        <v>39202</v>
      </c>
      <c r="CB13" s="26">
        <v>39233</v>
      </c>
      <c r="CC13" s="26">
        <v>39263</v>
      </c>
      <c r="CD13" s="26">
        <v>39294</v>
      </c>
      <c r="CE13" s="26">
        <v>39325</v>
      </c>
      <c r="CF13" s="26">
        <v>39355</v>
      </c>
      <c r="CG13" s="26">
        <v>39386</v>
      </c>
      <c r="CH13" s="26">
        <v>39416</v>
      </c>
      <c r="CI13" s="26">
        <v>39447</v>
      </c>
      <c r="CJ13" s="26">
        <v>39478</v>
      </c>
      <c r="CK13" s="26">
        <v>39507</v>
      </c>
      <c r="CL13" s="26">
        <v>39538</v>
      </c>
      <c r="CM13" s="26">
        <v>39568</v>
      </c>
      <c r="CN13" s="26">
        <v>39599</v>
      </c>
      <c r="CO13" s="26">
        <v>39629</v>
      </c>
      <c r="CP13" s="26">
        <v>39660</v>
      </c>
      <c r="CQ13" s="26">
        <v>39691</v>
      </c>
      <c r="CR13" s="26">
        <v>39721</v>
      </c>
      <c r="CS13" s="26">
        <v>39752</v>
      </c>
      <c r="CT13" s="26">
        <v>39782</v>
      </c>
      <c r="CU13" s="26">
        <v>39813</v>
      </c>
      <c r="CV13" s="26">
        <v>39844</v>
      </c>
      <c r="CW13" s="26">
        <v>39872</v>
      </c>
      <c r="CX13" s="26">
        <v>39903</v>
      </c>
      <c r="CY13" s="26">
        <v>39933</v>
      </c>
      <c r="CZ13" s="26">
        <v>39964</v>
      </c>
      <c r="DA13" s="26">
        <v>39994</v>
      </c>
      <c r="DB13" s="26">
        <v>40025</v>
      </c>
      <c r="DC13" s="26">
        <v>40056</v>
      </c>
      <c r="DD13" s="26">
        <v>40086</v>
      </c>
      <c r="DE13" s="26">
        <v>40117</v>
      </c>
      <c r="DF13" s="26">
        <v>40147</v>
      </c>
      <c r="DG13" s="26">
        <v>40178</v>
      </c>
      <c r="DH13" s="26">
        <v>40209</v>
      </c>
      <c r="DI13" s="26">
        <v>40237</v>
      </c>
      <c r="DJ13" s="26">
        <v>40268</v>
      </c>
      <c r="DK13" s="26">
        <v>40298</v>
      </c>
      <c r="DL13" s="26">
        <v>40329</v>
      </c>
      <c r="DM13" s="26">
        <v>40359</v>
      </c>
      <c r="DN13" s="26">
        <v>40390</v>
      </c>
      <c r="DO13" s="26">
        <v>40421</v>
      </c>
      <c r="DP13" s="26">
        <v>40451</v>
      </c>
      <c r="DQ13" s="26">
        <v>40482</v>
      </c>
      <c r="DR13" s="26">
        <v>40512</v>
      </c>
      <c r="DS13" s="26">
        <v>40543</v>
      </c>
      <c r="DT13" s="26">
        <v>40574</v>
      </c>
      <c r="DU13" s="26">
        <v>40602</v>
      </c>
      <c r="DV13" s="26">
        <v>40633</v>
      </c>
      <c r="DW13" s="26">
        <v>40663</v>
      </c>
      <c r="DX13" s="26">
        <v>40694</v>
      </c>
      <c r="DY13" s="26">
        <v>40724</v>
      </c>
      <c r="DZ13" s="26">
        <v>40755</v>
      </c>
      <c r="EA13" s="26">
        <v>40786</v>
      </c>
      <c r="EB13" s="26">
        <v>40816</v>
      </c>
      <c r="EC13" s="26">
        <v>40847</v>
      </c>
      <c r="ED13" s="26">
        <v>40877</v>
      </c>
      <c r="EE13" s="26">
        <v>40908</v>
      </c>
      <c r="EF13" s="26">
        <v>40939</v>
      </c>
      <c r="EG13" s="26">
        <v>40968</v>
      </c>
      <c r="EH13" s="26">
        <v>40999</v>
      </c>
      <c r="EI13" s="26">
        <v>41029</v>
      </c>
      <c r="EJ13" s="26">
        <v>41060</v>
      </c>
      <c r="EK13" s="26">
        <v>41090</v>
      </c>
      <c r="EL13" s="26">
        <v>41121</v>
      </c>
      <c r="EM13" s="26">
        <v>41152</v>
      </c>
      <c r="EN13" s="26">
        <v>41182</v>
      </c>
      <c r="EO13" s="26">
        <v>41213</v>
      </c>
      <c r="EP13" s="26">
        <v>41243</v>
      </c>
      <c r="EQ13" s="26">
        <v>41274</v>
      </c>
      <c r="ER13" s="26">
        <v>41305</v>
      </c>
      <c r="ES13" s="26">
        <v>41333</v>
      </c>
      <c r="ET13" s="26">
        <v>41364</v>
      </c>
      <c r="EU13" s="26">
        <v>41394</v>
      </c>
      <c r="EV13" s="26">
        <v>41425</v>
      </c>
      <c r="EW13" s="26">
        <v>41455</v>
      </c>
      <c r="EX13" s="26">
        <v>41486</v>
      </c>
      <c r="EY13" s="26">
        <v>41517</v>
      </c>
      <c r="EZ13" s="26">
        <v>41547</v>
      </c>
      <c r="FA13" s="26">
        <v>41578</v>
      </c>
      <c r="FB13" s="26">
        <v>41608</v>
      </c>
      <c r="FC13" s="26">
        <v>41639</v>
      </c>
      <c r="FD13" s="26">
        <v>41670</v>
      </c>
      <c r="FE13" s="26">
        <v>41698</v>
      </c>
      <c r="FF13" s="26">
        <v>41729</v>
      </c>
      <c r="FG13" s="26">
        <v>41759</v>
      </c>
      <c r="FH13" s="26">
        <v>41790</v>
      </c>
      <c r="FI13" s="26">
        <v>41820</v>
      </c>
      <c r="FJ13" s="26">
        <v>41851</v>
      </c>
      <c r="FK13" s="26">
        <v>41882</v>
      </c>
      <c r="FL13" s="26">
        <v>41912</v>
      </c>
      <c r="FM13" s="26">
        <v>41943</v>
      </c>
      <c r="FN13" s="26">
        <v>41973</v>
      </c>
      <c r="FO13" s="26">
        <v>42004</v>
      </c>
      <c r="FP13" s="26">
        <v>42035</v>
      </c>
      <c r="FQ13" s="26">
        <v>42063</v>
      </c>
      <c r="FR13" s="26">
        <v>42094</v>
      </c>
      <c r="FS13" s="26">
        <v>42124</v>
      </c>
      <c r="FT13" s="26">
        <v>42155</v>
      </c>
      <c r="FU13" s="26">
        <v>42185</v>
      </c>
      <c r="FV13" s="26">
        <v>42216</v>
      </c>
      <c r="FW13" s="26">
        <v>42247</v>
      </c>
      <c r="FX13" s="26">
        <v>42277</v>
      </c>
      <c r="FY13" s="26">
        <v>42308</v>
      </c>
      <c r="FZ13" s="26">
        <v>42338</v>
      </c>
      <c r="GA13" s="26">
        <v>42369</v>
      </c>
      <c r="GB13" s="26">
        <v>42400</v>
      </c>
      <c r="GC13" s="26">
        <v>42429</v>
      </c>
      <c r="GD13" s="26">
        <v>42460</v>
      </c>
      <c r="GE13" s="26">
        <v>42490</v>
      </c>
      <c r="GF13" s="26">
        <v>42521</v>
      </c>
      <c r="GG13" s="26">
        <v>42551</v>
      </c>
      <c r="GH13" s="26">
        <v>42582</v>
      </c>
      <c r="GI13" s="26">
        <v>42613</v>
      </c>
      <c r="GJ13" s="26">
        <v>42643</v>
      </c>
      <c r="GK13" s="26">
        <v>42674</v>
      </c>
      <c r="GL13" s="26">
        <v>42704</v>
      </c>
      <c r="GM13" s="26">
        <v>42735</v>
      </c>
      <c r="GN13" s="26">
        <v>42766</v>
      </c>
      <c r="GO13" s="26">
        <v>42794</v>
      </c>
      <c r="GP13" s="26">
        <v>42825</v>
      </c>
      <c r="GQ13" s="26">
        <v>42855</v>
      </c>
      <c r="GR13" s="26">
        <v>42886</v>
      </c>
      <c r="GS13" s="26">
        <v>42916</v>
      </c>
      <c r="GT13" s="26">
        <v>42947</v>
      </c>
      <c r="GU13" s="26">
        <v>42978</v>
      </c>
      <c r="GV13" s="26">
        <v>43008</v>
      </c>
      <c r="GW13" s="26">
        <v>43039</v>
      </c>
      <c r="GX13" s="26">
        <v>43069</v>
      </c>
      <c r="GY13" s="26">
        <v>43100</v>
      </c>
      <c r="GZ13" s="26">
        <v>43131</v>
      </c>
      <c r="HA13" s="26">
        <v>43159</v>
      </c>
      <c r="HB13" s="26">
        <v>43190</v>
      </c>
      <c r="HC13" s="26">
        <v>43220</v>
      </c>
      <c r="HD13" s="26">
        <v>43251</v>
      </c>
      <c r="HE13" s="26">
        <v>43281</v>
      </c>
      <c r="HF13" s="26">
        <v>43312</v>
      </c>
      <c r="HG13" s="26">
        <v>43343</v>
      </c>
      <c r="HH13" s="26">
        <v>43373</v>
      </c>
      <c r="HI13" s="26">
        <v>43404</v>
      </c>
      <c r="HJ13" s="26">
        <v>43434</v>
      </c>
      <c r="HK13" s="26">
        <v>43465</v>
      </c>
      <c r="HL13" s="26">
        <v>43496</v>
      </c>
      <c r="HM13" s="26">
        <v>43524</v>
      </c>
      <c r="HN13" s="26">
        <v>43555</v>
      </c>
      <c r="HO13" s="26">
        <v>43585</v>
      </c>
      <c r="HP13" s="26">
        <v>43616</v>
      </c>
      <c r="HQ13" s="26">
        <v>43646</v>
      </c>
      <c r="HR13" s="26">
        <v>43677</v>
      </c>
      <c r="HS13" s="26">
        <v>43708</v>
      </c>
      <c r="HT13" s="26">
        <v>43738</v>
      </c>
      <c r="HU13" s="26">
        <v>43769</v>
      </c>
      <c r="HV13" s="26">
        <v>43799</v>
      </c>
      <c r="HW13" s="26">
        <v>43830</v>
      </c>
      <c r="HX13" s="26">
        <v>43861</v>
      </c>
      <c r="HY13" s="26">
        <v>43890</v>
      </c>
      <c r="HZ13" s="26">
        <v>43921</v>
      </c>
      <c r="IA13" s="26">
        <v>43951</v>
      </c>
      <c r="IB13" s="26">
        <v>43982</v>
      </c>
      <c r="IC13" s="26">
        <v>44012</v>
      </c>
      <c r="ID13" s="26">
        <v>44043</v>
      </c>
      <c r="IE13" s="26">
        <v>44074</v>
      </c>
      <c r="IF13" s="26">
        <v>44104</v>
      </c>
      <c r="IG13" s="26">
        <v>44135</v>
      </c>
      <c r="IH13" s="26">
        <v>44165</v>
      </c>
      <c r="II13" s="26">
        <v>44196</v>
      </c>
      <c r="IJ13" s="26">
        <v>44227</v>
      </c>
      <c r="IK13" s="26">
        <v>44255</v>
      </c>
      <c r="IL13" s="26">
        <v>44286</v>
      </c>
      <c r="IM13" s="26">
        <v>44316</v>
      </c>
      <c r="IN13" s="26">
        <v>44347</v>
      </c>
      <c r="IO13" s="26">
        <v>44377</v>
      </c>
      <c r="IP13" s="26">
        <v>44408</v>
      </c>
      <c r="IQ13" s="26">
        <v>44439</v>
      </c>
      <c r="IR13" s="26">
        <v>44469</v>
      </c>
      <c r="IS13" s="26">
        <v>44500</v>
      </c>
      <c r="IT13" s="26">
        <v>44530</v>
      </c>
      <c r="IU13" s="26">
        <v>44561</v>
      </c>
      <c r="IV13" s="26">
        <v>44592</v>
      </c>
      <c r="IW13" s="26">
        <v>44620</v>
      </c>
      <c r="IX13" s="26">
        <v>44651</v>
      </c>
      <c r="IY13" s="26">
        <v>44681</v>
      </c>
      <c r="IZ13" s="26">
        <v>44712</v>
      </c>
      <c r="JA13" s="26">
        <v>44742</v>
      </c>
      <c r="JB13" s="26">
        <v>44773</v>
      </c>
      <c r="JC13" s="26">
        <v>44804</v>
      </c>
      <c r="JD13" s="26">
        <v>44834</v>
      </c>
      <c r="JE13" s="26">
        <v>44865</v>
      </c>
      <c r="JF13" s="26">
        <v>44895</v>
      </c>
      <c r="JG13" s="26">
        <v>44926</v>
      </c>
      <c r="JH13" s="26">
        <v>44957</v>
      </c>
      <c r="JI13" s="26">
        <v>44985</v>
      </c>
      <c r="JJ13" s="26">
        <v>45016</v>
      </c>
      <c r="JK13" s="26">
        <v>45046</v>
      </c>
      <c r="JL13" s="26">
        <v>45077</v>
      </c>
      <c r="JM13" s="26">
        <v>45107</v>
      </c>
      <c r="JN13" s="26">
        <v>45138</v>
      </c>
      <c r="JO13" s="26">
        <v>45169</v>
      </c>
      <c r="JP13" s="26">
        <v>45199</v>
      </c>
      <c r="JQ13" s="26">
        <v>45230</v>
      </c>
      <c r="JR13" s="26">
        <v>45260</v>
      </c>
      <c r="JS13" s="26">
        <v>45291</v>
      </c>
      <c r="JT13" s="26">
        <v>45322</v>
      </c>
      <c r="JU13" s="26">
        <v>45351</v>
      </c>
      <c r="JV13" s="26">
        <v>45382</v>
      </c>
      <c r="JW13" s="26">
        <v>45412</v>
      </c>
      <c r="JX13" s="26">
        <v>45443</v>
      </c>
      <c r="JY13" s="26">
        <v>45473</v>
      </c>
      <c r="JZ13" s="26">
        <v>45504</v>
      </c>
      <c r="KA13" s="26">
        <v>45535</v>
      </c>
      <c r="KB13" s="26">
        <v>45565</v>
      </c>
      <c r="KC13" s="26">
        <v>45596</v>
      </c>
      <c r="KD13" s="26">
        <v>45626</v>
      </c>
      <c r="KE13" s="26">
        <v>45657</v>
      </c>
      <c r="KF13" s="26">
        <v>45688</v>
      </c>
      <c r="KG13" s="26">
        <v>45716</v>
      </c>
      <c r="KH13" s="26">
        <v>45747</v>
      </c>
      <c r="KI13" s="26">
        <v>45777</v>
      </c>
      <c r="KJ13" s="26">
        <v>45808</v>
      </c>
      <c r="KK13" s="26">
        <v>45838</v>
      </c>
      <c r="KL13" s="26">
        <v>45869</v>
      </c>
      <c r="KM13" s="26">
        <v>45900</v>
      </c>
      <c r="KN13" s="26">
        <v>45930</v>
      </c>
      <c r="KO13" s="26">
        <v>45961</v>
      </c>
      <c r="KP13" s="26">
        <v>45991</v>
      </c>
      <c r="KQ13" s="26">
        <v>46022</v>
      </c>
      <c r="KR13" s="26">
        <v>46053</v>
      </c>
      <c r="KS13" s="26">
        <v>46081</v>
      </c>
      <c r="KT13" s="26">
        <v>46112</v>
      </c>
      <c r="KU13" s="26">
        <v>46142</v>
      </c>
      <c r="KV13" s="26">
        <v>46173</v>
      </c>
      <c r="KW13" s="26">
        <v>46203</v>
      </c>
      <c r="KX13" s="26">
        <v>46234</v>
      </c>
      <c r="KY13" s="26">
        <v>46265</v>
      </c>
      <c r="KZ13" s="26">
        <v>46295</v>
      </c>
      <c r="LA13" s="26">
        <v>46326</v>
      </c>
      <c r="LB13" s="26">
        <v>46356</v>
      </c>
      <c r="LC13" s="26">
        <v>46387</v>
      </c>
      <c r="LD13" s="26">
        <v>46418</v>
      </c>
      <c r="LE13" s="26">
        <v>46446</v>
      </c>
      <c r="LF13" s="26">
        <v>46477</v>
      </c>
      <c r="LG13" s="26">
        <v>46507</v>
      </c>
      <c r="LH13" s="26">
        <v>46538</v>
      </c>
      <c r="LI13" s="26">
        <v>46568</v>
      </c>
      <c r="LJ13" s="26">
        <v>46599</v>
      </c>
      <c r="LK13" s="26">
        <v>46630</v>
      </c>
      <c r="LL13" s="26">
        <v>46660</v>
      </c>
      <c r="LM13" s="26">
        <v>46691</v>
      </c>
      <c r="LN13" s="26">
        <v>46721</v>
      </c>
      <c r="LO13" s="26">
        <v>46752</v>
      </c>
      <c r="LP13" s="26">
        <v>46783</v>
      </c>
      <c r="LQ13" s="26">
        <v>46812</v>
      </c>
      <c r="LR13" s="26">
        <v>46843</v>
      </c>
      <c r="LS13" s="26">
        <v>46873</v>
      </c>
      <c r="LT13" s="26">
        <v>46904</v>
      </c>
      <c r="LU13" s="26">
        <v>46934</v>
      </c>
      <c r="LV13" s="26">
        <v>46965</v>
      </c>
      <c r="LW13" s="26">
        <v>46996</v>
      </c>
      <c r="LX13" s="26">
        <v>47026</v>
      </c>
      <c r="LY13" s="26">
        <v>47057</v>
      </c>
      <c r="LZ13" s="26">
        <v>47087</v>
      </c>
      <c r="MA13" s="26">
        <v>47118</v>
      </c>
      <c r="MB13" s="26">
        <v>47149</v>
      </c>
      <c r="MC13" s="26">
        <v>47177</v>
      </c>
      <c r="MD13" s="26">
        <v>47208</v>
      </c>
      <c r="ME13" s="26">
        <v>47238</v>
      </c>
      <c r="MF13" s="26">
        <v>47269</v>
      </c>
      <c r="MG13" s="26">
        <v>47299</v>
      </c>
      <c r="MH13" s="26">
        <v>47330</v>
      </c>
      <c r="MI13" s="26">
        <v>47361</v>
      </c>
      <c r="MJ13" s="26">
        <v>47391</v>
      </c>
      <c r="MK13" s="26">
        <v>47422</v>
      </c>
      <c r="ML13" s="26">
        <v>47452</v>
      </c>
      <c r="MM13" s="26">
        <v>47483</v>
      </c>
      <c r="MN13" s="26">
        <v>47514</v>
      </c>
      <c r="MO13" s="26">
        <v>47542</v>
      </c>
      <c r="MP13" s="26">
        <v>47573</v>
      </c>
      <c r="MQ13" s="26">
        <v>47603</v>
      </c>
      <c r="MR13" s="26">
        <v>47634</v>
      </c>
      <c r="MS13" s="26">
        <v>47664</v>
      </c>
      <c r="MT13" s="26">
        <v>47695</v>
      </c>
      <c r="MU13" s="26">
        <v>47726</v>
      </c>
      <c r="MV13" s="26">
        <v>47756</v>
      </c>
      <c r="MW13" s="26">
        <v>47787</v>
      </c>
      <c r="MX13" s="26">
        <v>47817</v>
      </c>
      <c r="MY13" s="26">
        <v>47848</v>
      </c>
      <c r="MZ13" s="26">
        <v>47879</v>
      </c>
      <c r="NA13" s="26">
        <v>47907</v>
      </c>
      <c r="NB13" s="26">
        <v>47938</v>
      </c>
      <c r="NC13" s="26">
        <v>47968</v>
      </c>
      <c r="ND13" s="26">
        <v>47999</v>
      </c>
      <c r="NE13" s="26">
        <v>48029</v>
      </c>
      <c r="NF13" s="26">
        <v>48060</v>
      </c>
      <c r="NG13" s="26">
        <v>48091</v>
      </c>
      <c r="NH13" s="26">
        <v>48121</v>
      </c>
      <c r="NI13" s="26">
        <v>48152</v>
      </c>
      <c r="NJ13" s="26">
        <v>48182</v>
      </c>
      <c r="NK13" s="26">
        <v>48213</v>
      </c>
      <c r="NL13" s="26">
        <v>48244</v>
      </c>
      <c r="NM13" s="26">
        <v>48273</v>
      </c>
      <c r="NN13" s="26">
        <v>48304</v>
      </c>
      <c r="NO13" s="26">
        <v>48334</v>
      </c>
      <c r="NP13" s="26">
        <v>48365</v>
      </c>
      <c r="NQ13" s="26">
        <v>48395</v>
      </c>
      <c r="NR13" s="26">
        <v>48426</v>
      </c>
      <c r="NS13" s="26">
        <v>48457</v>
      </c>
      <c r="NT13" s="26">
        <v>48487</v>
      </c>
      <c r="NU13" s="26">
        <v>48518</v>
      </c>
      <c r="NV13" s="26">
        <v>48548</v>
      </c>
      <c r="NW13" s="26">
        <v>48579</v>
      </c>
      <c r="NX13" s="26">
        <v>48610</v>
      </c>
      <c r="NY13" s="26">
        <v>48638</v>
      </c>
      <c r="NZ13" s="26">
        <v>48669</v>
      </c>
      <c r="OA13" s="26">
        <v>48699</v>
      </c>
      <c r="OB13" s="26">
        <v>48730</v>
      </c>
      <c r="OC13" s="26">
        <v>48760</v>
      </c>
      <c r="OD13" s="26">
        <v>48791</v>
      </c>
      <c r="OE13" s="26">
        <v>48822</v>
      </c>
      <c r="OF13" s="26">
        <v>48852</v>
      </c>
      <c r="OG13" s="26">
        <v>48883</v>
      </c>
      <c r="OH13" s="26">
        <v>48913</v>
      </c>
      <c r="OI13" s="26">
        <v>48944</v>
      </c>
      <c r="OJ13" s="26">
        <v>48975</v>
      </c>
      <c r="OK13" s="26">
        <v>49003</v>
      </c>
      <c r="OL13" s="26">
        <v>49034</v>
      </c>
      <c r="OM13" s="26">
        <v>49064</v>
      </c>
      <c r="ON13" s="26">
        <v>49095</v>
      </c>
      <c r="OO13" s="26">
        <v>49125</v>
      </c>
      <c r="OP13" s="26">
        <v>49156</v>
      </c>
      <c r="OQ13" s="26">
        <v>49187</v>
      </c>
      <c r="OR13" s="26">
        <v>49217</v>
      </c>
      <c r="OS13" s="26">
        <v>49248</v>
      </c>
      <c r="OT13" s="26">
        <v>49278</v>
      </c>
      <c r="OU13" s="26">
        <v>49309</v>
      </c>
      <c r="OV13" s="26">
        <v>49340</v>
      </c>
      <c r="OW13" s="26">
        <v>49368</v>
      </c>
      <c r="OX13" s="26">
        <v>49399</v>
      </c>
      <c r="OY13" s="26">
        <v>49429</v>
      </c>
      <c r="OZ13" s="26">
        <v>49460</v>
      </c>
      <c r="PA13" s="26">
        <v>49490</v>
      </c>
      <c r="PB13" s="26">
        <v>49521</v>
      </c>
      <c r="PC13" s="26">
        <v>49552</v>
      </c>
      <c r="PD13" s="26">
        <v>49582</v>
      </c>
      <c r="PE13" s="26">
        <v>49613</v>
      </c>
      <c r="PF13" s="26">
        <v>49643</v>
      </c>
      <c r="PG13" s="26">
        <v>49674</v>
      </c>
      <c r="PH13" s="26">
        <v>49705</v>
      </c>
      <c r="PI13" s="26">
        <v>49734</v>
      </c>
      <c r="PJ13" s="26">
        <v>49765</v>
      </c>
      <c r="PK13" s="26">
        <v>49795</v>
      </c>
      <c r="PL13" s="26">
        <v>49826</v>
      </c>
      <c r="PM13" s="26">
        <v>49856</v>
      </c>
      <c r="PN13" s="26">
        <v>49887</v>
      </c>
      <c r="PO13" s="26">
        <v>49918</v>
      </c>
      <c r="PP13" s="26">
        <v>49948</v>
      </c>
      <c r="PQ13" s="26">
        <v>49979</v>
      </c>
      <c r="PR13" s="26">
        <v>50009</v>
      </c>
      <c r="PS13" s="26">
        <v>50040</v>
      </c>
      <c r="PT13" s="26">
        <v>50071</v>
      </c>
      <c r="PU13" s="26">
        <v>50099</v>
      </c>
      <c r="PV13" s="26">
        <v>50130</v>
      </c>
      <c r="PW13" s="26">
        <v>50160</v>
      </c>
      <c r="PX13" s="26">
        <v>50191</v>
      </c>
      <c r="PY13" s="26">
        <v>50221</v>
      </c>
      <c r="PZ13" s="26">
        <v>50252</v>
      </c>
      <c r="QA13" s="26">
        <v>50283</v>
      </c>
      <c r="QB13" s="26">
        <v>50313</v>
      </c>
      <c r="QC13" s="26">
        <v>50344</v>
      </c>
      <c r="QD13" s="26">
        <v>50374</v>
      </c>
      <c r="QE13" s="26">
        <v>50405</v>
      </c>
      <c r="QF13" s="26">
        <v>50436</v>
      </c>
      <c r="QG13" s="26">
        <v>50464</v>
      </c>
      <c r="QH13" s="26">
        <v>50495</v>
      </c>
      <c r="QI13" s="26">
        <v>50525</v>
      </c>
      <c r="QJ13" s="26">
        <v>50556</v>
      </c>
      <c r="QK13" s="26">
        <v>50586</v>
      </c>
      <c r="QL13" s="26">
        <v>50617</v>
      </c>
      <c r="QM13" s="26">
        <v>50648</v>
      </c>
      <c r="QN13" s="26">
        <v>50678</v>
      </c>
      <c r="QO13" s="26">
        <v>50709</v>
      </c>
      <c r="QP13" s="26">
        <v>50739</v>
      </c>
      <c r="QQ13" s="26">
        <v>50770</v>
      </c>
      <c r="QR13" s="26">
        <v>50801</v>
      </c>
      <c r="QS13" s="26">
        <v>50829</v>
      </c>
      <c r="QT13" s="26">
        <v>50860</v>
      </c>
      <c r="QU13" s="26">
        <v>50890</v>
      </c>
      <c r="QV13" s="26">
        <v>50921</v>
      </c>
      <c r="QW13" s="26">
        <v>50951</v>
      </c>
      <c r="QX13" s="26">
        <v>50982</v>
      </c>
      <c r="QY13" s="26">
        <v>51013</v>
      </c>
      <c r="QZ13" s="26">
        <v>51043</v>
      </c>
      <c r="RA13" s="26">
        <v>51074</v>
      </c>
      <c r="RB13" s="26">
        <v>51104</v>
      </c>
      <c r="RC13" s="26">
        <v>51135</v>
      </c>
      <c r="RD13" s="26">
        <v>51166</v>
      </c>
      <c r="RE13" s="26">
        <v>51195</v>
      </c>
      <c r="RF13" s="26">
        <v>51226</v>
      </c>
      <c r="RG13" s="26">
        <v>51256</v>
      </c>
      <c r="RH13" s="26">
        <v>51287</v>
      </c>
      <c r="RI13" s="26">
        <v>51317</v>
      </c>
      <c r="RJ13" s="26">
        <v>51348</v>
      </c>
      <c r="RK13" s="26">
        <v>51379</v>
      </c>
      <c r="RL13" s="26">
        <v>51409</v>
      </c>
      <c r="RM13" s="26">
        <v>51440</v>
      </c>
      <c r="RN13" s="26">
        <v>51470</v>
      </c>
      <c r="RO13" s="26">
        <v>51501</v>
      </c>
      <c r="RP13" s="26">
        <v>51532</v>
      </c>
      <c r="RQ13" s="26">
        <v>51560</v>
      </c>
      <c r="RR13" s="26">
        <v>51591</v>
      </c>
      <c r="RS13" s="26">
        <v>51621</v>
      </c>
      <c r="RT13" s="26">
        <v>51652</v>
      </c>
      <c r="RU13" s="26">
        <v>51682</v>
      </c>
      <c r="RV13" s="26">
        <v>51713</v>
      </c>
      <c r="RW13" s="26">
        <v>51744</v>
      </c>
      <c r="RX13" s="26">
        <v>51774</v>
      </c>
      <c r="RY13" s="26">
        <v>51805</v>
      </c>
      <c r="RZ13" s="26">
        <v>51835</v>
      </c>
      <c r="SA13" s="26">
        <v>51866</v>
      </c>
      <c r="SB13" s="26">
        <v>51897</v>
      </c>
      <c r="SC13" s="26">
        <v>51925</v>
      </c>
      <c r="SD13" s="26">
        <v>51956</v>
      </c>
      <c r="SE13" s="26">
        <v>51986</v>
      </c>
      <c r="SF13" s="26">
        <v>52017</v>
      </c>
      <c r="SG13" s="26">
        <v>52047</v>
      </c>
      <c r="SH13" s="26">
        <v>52078</v>
      </c>
      <c r="SI13" s="26">
        <v>52109</v>
      </c>
      <c r="SJ13" s="26">
        <v>52139</v>
      </c>
      <c r="SK13" s="26">
        <v>52170</v>
      </c>
      <c r="SL13" s="26">
        <v>52200</v>
      </c>
      <c r="SM13" s="26">
        <v>52231</v>
      </c>
      <c r="SN13" s="26">
        <v>52262</v>
      </c>
      <c r="SO13" s="26">
        <v>52290</v>
      </c>
      <c r="SP13" s="26">
        <v>52321</v>
      </c>
      <c r="SQ13" s="26">
        <v>52351</v>
      </c>
      <c r="SR13" s="26">
        <v>52382</v>
      </c>
      <c r="SS13" s="26">
        <v>52412</v>
      </c>
      <c r="ST13" s="26">
        <v>52443</v>
      </c>
      <c r="SU13" s="26">
        <v>52474</v>
      </c>
      <c r="SV13" s="26">
        <v>52504</v>
      </c>
      <c r="SW13" s="26">
        <v>52535</v>
      </c>
      <c r="SX13" s="26">
        <v>52565</v>
      </c>
      <c r="SY13" s="26">
        <v>52596</v>
      </c>
      <c r="SZ13" s="26">
        <v>52627</v>
      </c>
      <c r="TA13" s="26">
        <v>52656</v>
      </c>
      <c r="TB13" s="26">
        <v>52687</v>
      </c>
      <c r="TC13" s="26">
        <v>52717</v>
      </c>
      <c r="TD13" s="26">
        <v>52748</v>
      </c>
      <c r="TE13" s="26">
        <v>52778</v>
      </c>
      <c r="TF13" s="26">
        <v>52809</v>
      </c>
      <c r="TG13" s="26">
        <v>52840</v>
      </c>
      <c r="TH13" s="26">
        <v>52870</v>
      </c>
      <c r="TI13" s="26">
        <v>52901</v>
      </c>
      <c r="TJ13" s="26">
        <v>52931</v>
      </c>
      <c r="TK13" s="26">
        <v>52962</v>
      </c>
      <c r="TL13" s="26">
        <v>52993</v>
      </c>
      <c r="TM13" s="26">
        <v>53021</v>
      </c>
      <c r="TN13" s="26">
        <v>53052</v>
      </c>
      <c r="TO13" s="26">
        <v>53082</v>
      </c>
      <c r="TP13" s="26">
        <v>53113</v>
      </c>
      <c r="TQ13" s="26">
        <v>53143</v>
      </c>
      <c r="TR13" s="26">
        <v>53174</v>
      </c>
      <c r="TS13" s="26">
        <v>53205</v>
      </c>
      <c r="TT13" s="26">
        <v>53235</v>
      </c>
      <c r="TU13" s="26">
        <v>53266</v>
      </c>
      <c r="TV13" s="26">
        <v>53296</v>
      </c>
      <c r="TW13" s="26">
        <v>53327</v>
      </c>
      <c r="TX13" s="26">
        <v>53358</v>
      </c>
      <c r="TY13" s="26">
        <v>53386</v>
      </c>
      <c r="TZ13" s="26">
        <v>53417</v>
      </c>
      <c r="UA13" s="26">
        <v>53447</v>
      </c>
      <c r="UB13" s="26">
        <v>53478</v>
      </c>
      <c r="UC13" s="26">
        <v>53508</v>
      </c>
      <c r="UD13" s="26">
        <v>53539</v>
      </c>
      <c r="UE13" s="26">
        <v>53570</v>
      </c>
      <c r="UF13" s="26">
        <v>53600</v>
      </c>
      <c r="UG13" s="26">
        <v>53631</v>
      </c>
      <c r="UH13" s="26">
        <v>53661</v>
      </c>
      <c r="UI13" s="26">
        <v>53692</v>
      </c>
      <c r="UJ13" s="26">
        <v>53723</v>
      </c>
      <c r="UK13" s="26">
        <v>53751</v>
      </c>
      <c r="UL13" s="26">
        <v>53782</v>
      </c>
      <c r="UM13" s="26">
        <v>53812</v>
      </c>
      <c r="UN13" s="26">
        <v>53843</v>
      </c>
      <c r="UO13" s="26">
        <v>53873</v>
      </c>
      <c r="UP13" s="26">
        <v>53904</v>
      </c>
      <c r="UQ13" s="26">
        <v>53935</v>
      </c>
      <c r="UR13" s="26">
        <v>53965</v>
      </c>
      <c r="US13" s="26">
        <v>53996</v>
      </c>
      <c r="UT13" s="26">
        <v>54026</v>
      </c>
      <c r="UU13" s="26">
        <v>54057</v>
      </c>
      <c r="UV13" s="26">
        <v>54088</v>
      </c>
      <c r="UW13" s="26">
        <v>54117</v>
      </c>
      <c r="UX13" s="26">
        <v>54148</v>
      </c>
      <c r="UY13" s="26">
        <v>54178</v>
      </c>
      <c r="UZ13" s="26">
        <v>54209</v>
      </c>
      <c r="VA13" s="26">
        <v>54239</v>
      </c>
      <c r="VB13" s="26">
        <v>54270</v>
      </c>
      <c r="VC13" s="26">
        <v>54301</v>
      </c>
      <c r="VD13" s="26">
        <v>54331</v>
      </c>
      <c r="VE13" s="26">
        <v>54362</v>
      </c>
      <c r="VF13" s="26">
        <v>54392</v>
      </c>
      <c r="VG13" s="26">
        <v>54423</v>
      </c>
      <c r="VH13" s="26">
        <v>54454</v>
      </c>
      <c r="VI13" s="26">
        <v>54482</v>
      </c>
      <c r="VJ13" s="26">
        <v>54513</v>
      </c>
      <c r="VK13" s="26">
        <v>54543</v>
      </c>
      <c r="VL13" s="26">
        <v>54574</v>
      </c>
      <c r="VM13" s="26">
        <v>54604</v>
      </c>
      <c r="VN13" s="26">
        <v>54635</v>
      </c>
      <c r="VO13" s="26">
        <v>54666</v>
      </c>
      <c r="VP13" s="26">
        <v>54696</v>
      </c>
      <c r="VQ13" s="26">
        <v>54727</v>
      </c>
      <c r="VR13" s="26">
        <v>54757</v>
      </c>
      <c r="VS13" s="26">
        <v>54788</v>
      </c>
      <c r="VT13" s="26">
        <v>54819</v>
      </c>
      <c r="VU13" s="26">
        <v>54847</v>
      </c>
      <c r="VV13" s="26">
        <v>54878</v>
      </c>
      <c r="VW13" s="26">
        <v>54908</v>
      </c>
      <c r="VX13" s="26">
        <v>54939</v>
      </c>
      <c r="VY13" s="26">
        <v>54969</v>
      </c>
      <c r="VZ13" s="26">
        <v>55000</v>
      </c>
      <c r="WA13" s="26">
        <v>55031</v>
      </c>
      <c r="WB13" s="26">
        <v>55061</v>
      </c>
      <c r="WC13" s="26">
        <v>55092</v>
      </c>
      <c r="WD13" s="26">
        <v>55122</v>
      </c>
      <c r="WE13" s="26">
        <v>55153</v>
      </c>
      <c r="WF13" s="26">
        <v>55184</v>
      </c>
      <c r="WG13" s="26">
        <v>55212</v>
      </c>
      <c r="WH13" s="26">
        <v>55243</v>
      </c>
      <c r="WI13" s="26">
        <v>55273</v>
      </c>
      <c r="WJ13" s="26">
        <v>55304</v>
      </c>
      <c r="WK13" s="26">
        <v>55334</v>
      </c>
      <c r="WL13" s="26">
        <v>55365</v>
      </c>
      <c r="WM13" s="26">
        <v>55396</v>
      </c>
      <c r="WN13" s="26">
        <v>55426</v>
      </c>
      <c r="WO13" s="26">
        <v>55457</v>
      </c>
      <c r="WP13" s="26">
        <v>55487</v>
      </c>
      <c r="WQ13" s="26">
        <v>55518</v>
      </c>
      <c r="WR13" s="26">
        <v>55549</v>
      </c>
      <c r="WS13" s="26">
        <v>55578</v>
      </c>
      <c r="WT13" s="26">
        <v>55609</v>
      </c>
      <c r="WU13" s="26">
        <v>55639</v>
      </c>
      <c r="WV13" s="26">
        <v>55670</v>
      </c>
      <c r="WW13" s="26">
        <v>55700</v>
      </c>
      <c r="WX13" s="26">
        <v>55731</v>
      </c>
      <c r="WY13" s="26">
        <v>55762</v>
      </c>
      <c r="WZ13" s="26">
        <v>55792</v>
      </c>
      <c r="XA13" s="26">
        <v>55823</v>
      </c>
      <c r="XB13" s="26">
        <v>55853</v>
      </c>
      <c r="XC13" s="26">
        <v>55884</v>
      </c>
      <c r="XD13" s="26">
        <v>55915</v>
      </c>
      <c r="XE13" s="26">
        <v>55943</v>
      </c>
      <c r="XF13" s="26">
        <v>55974</v>
      </c>
      <c r="XG13" s="26">
        <v>56004</v>
      </c>
      <c r="XH13" s="26">
        <v>56035</v>
      </c>
      <c r="XI13" s="26">
        <v>56065</v>
      </c>
      <c r="XJ13" s="26">
        <v>56096</v>
      </c>
      <c r="XK13" s="26">
        <v>56127</v>
      </c>
      <c r="XL13" s="26">
        <v>56157</v>
      </c>
      <c r="XM13" s="26">
        <v>56188</v>
      </c>
      <c r="XN13" s="26">
        <v>56218</v>
      </c>
      <c r="XO13" s="26">
        <v>56249</v>
      </c>
      <c r="XP13" s="26">
        <v>56280</v>
      </c>
      <c r="XQ13" s="26">
        <v>56308</v>
      </c>
      <c r="XR13" s="26">
        <v>56339</v>
      </c>
      <c r="XS13" s="26">
        <v>56369</v>
      </c>
      <c r="XT13" s="26">
        <v>56400</v>
      </c>
      <c r="XU13" s="26">
        <v>56430</v>
      </c>
      <c r="XV13" s="26">
        <v>56461</v>
      </c>
      <c r="XW13" s="26">
        <v>56492</v>
      </c>
      <c r="XX13" s="26">
        <v>56522</v>
      </c>
      <c r="XY13" s="26">
        <v>56553</v>
      </c>
      <c r="XZ13" s="26">
        <v>56583</v>
      </c>
      <c r="YA13" s="26">
        <v>56614</v>
      </c>
      <c r="YB13" s="26">
        <v>56645</v>
      </c>
      <c r="YC13" s="26">
        <v>56673</v>
      </c>
      <c r="YD13" s="26">
        <v>56704</v>
      </c>
      <c r="YE13" s="26">
        <v>56734</v>
      </c>
      <c r="YF13" s="26">
        <v>56765</v>
      </c>
      <c r="YG13" s="26">
        <v>56795</v>
      </c>
      <c r="YH13" s="26">
        <v>56826</v>
      </c>
      <c r="YI13" s="26">
        <v>56857</v>
      </c>
      <c r="YJ13" s="26">
        <v>56887</v>
      </c>
      <c r="YK13" s="26">
        <v>56918</v>
      </c>
      <c r="YL13" s="26">
        <v>56948</v>
      </c>
      <c r="YM13" s="26">
        <v>56979</v>
      </c>
    </row>
    <row r="14" spans="1:663" x14ac:dyDescent="0.2">
      <c r="B14" s="22"/>
      <c r="C14" s="22"/>
      <c r="D14" s="22"/>
      <c r="E14" s="22"/>
      <c r="F14" s="22"/>
      <c r="G14" s="22"/>
      <c r="H14" s="22"/>
      <c r="I14" s="22"/>
      <c r="J14" s="22"/>
      <c r="K14" s="22"/>
      <c r="L14" s="22"/>
      <c r="M14" s="22"/>
      <c r="N14" s="22"/>
      <c r="O14" s="22"/>
      <c r="P14" s="22"/>
      <c r="Q14" s="22"/>
      <c r="R14" s="22"/>
      <c r="S14" s="22"/>
      <c r="T14" s="22"/>
      <c r="U14" s="22"/>
      <c r="V14" s="22"/>
      <c r="W14" s="22"/>
      <c r="X14" s="22"/>
      <c r="Y14" s="22"/>
      <c r="Z14" s="22"/>
      <c r="AA14" s="22"/>
      <c r="AB14" s="22"/>
      <c r="AC14" s="22"/>
      <c r="AD14" s="22"/>
      <c r="AE14" s="22"/>
      <c r="AF14" s="22"/>
      <c r="AG14" s="22"/>
      <c r="AH14" s="22"/>
      <c r="AI14" s="22"/>
      <c r="AJ14" s="22"/>
      <c r="AK14" s="22"/>
      <c r="AL14" s="22"/>
      <c r="AM14" s="22"/>
      <c r="AN14" s="22"/>
      <c r="AO14" s="22"/>
      <c r="AP14" s="22"/>
      <c r="AQ14" s="22"/>
      <c r="AR14" s="22"/>
      <c r="AS14" s="22"/>
      <c r="AT14" s="22"/>
      <c r="AU14" s="22"/>
      <c r="AV14" s="22"/>
      <c r="AW14" s="22"/>
      <c r="AX14" s="22"/>
      <c r="AY14" s="22"/>
      <c r="AZ14" s="22"/>
      <c r="BA14" s="22"/>
      <c r="BB14" s="22"/>
      <c r="BC14" s="22"/>
      <c r="BD14" s="22"/>
      <c r="BE14" s="22"/>
      <c r="BF14" s="22"/>
      <c r="BG14" s="22"/>
      <c r="BH14" s="22"/>
      <c r="BI14" s="22"/>
      <c r="BJ14" s="22"/>
      <c r="BK14" s="22"/>
      <c r="BL14" s="22"/>
      <c r="BM14" s="22"/>
      <c r="BN14" s="22"/>
      <c r="BO14" s="22"/>
      <c r="BP14" s="22"/>
      <c r="BQ14" s="22"/>
      <c r="BR14" s="22"/>
      <c r="BS14" s="22"/>
      <c r="BT14" s="22"/>
      <c r="BU14" s="22"/>
      <c r="BV14" s="22"/>
      <c r="BW14" s="22"/>
      <c r="BX14" s="22"/>
      <c r="BY14" s="22"/>
      <c r="BZ14" s="22"/>
      <c r="CA14" s="22"/>
      <c r="CB14" s="22"/>
      <c r="CC14" s="22"/>
      <c r="CD14" s="22"/>
      <c r="CE14" s="22"/>
      <c r="CF14" s="22"/>
      <c r="CG14" s="22"/>
      <c r="CH14" s="22"/>
      <c r="CI14" s="22"/>
      <c r="CJ14" s="22"/>
      <c r="CK14" s="22"/>
      <c r="CL14" s="22"/>
      <c r="CM14" s="22"/>
      <c r="CN14" s="22"/>
      <c r="CO14" s="22"/>
      <c r="CP14" s="22"/>
      <c r="CQ14" s="22"/>
      <c r="CR14" s="22"/>
      <c r="CS14" s="22"/>
      <c r="CT14" s="22"/>
      <c r="CU14" s="22"/>
      <c r="CV14" s="22"/>
      <c r="CW14" s="22"/>
      <c r="CX14" s="22"/>
      <c r="CY14" s="22"/>
      <c r="CZ14" s="22"/>
      <c r="DA14" s="22"/>
      <c r="DB14" s="22"/>
      <c r="DC14" s="22"/>
      <c r="DD14" s="22"/>
      <c r="DE14" s="22"/>
      <c r="DF14" s="22"/>
      <c r="DG14" s="22"/>
      <c r="DH14" s="22"/>
      <c r="DI14" s="22"/>
      <c r="DJ14" s="22"/>
      <c r="DK14" s="22"/>
      <c r="DL14" s="22"/>
      <c r="DM14" s="22"/>
      <c r="DN14" s="22"/>
      <c r="DO14" s="22"/>
      <c r="DP14" s="22"/>
      <c r="DQ14" s="22"/>
      <c r="DR14" s="22"/>
      <c r="DS14" s="22"/>
      <c r="DT14" s="22"/>
      <c r="DU14" s="22"/>
      <c r="DV14" s="22"/>
      <c r="DW14" s="22"/>
      <c r="DX14" s="22"/>
      <c r="DY14" s="22"/>
      <c r="DZ14" s="22"/>
      <c r="EA14" s="22"/>
      <c r="EB14" s="22"/>
      <c r="EC14" s="22"/>
      <c r="ED14" s="22"/>
      <c r="EE14" s="22"/>
      <c r="EF14" s="22"/>
      <c r="EG14" s="22"/>
      <c r="EH14" s="22"/>
      <c r="EI14" s="22"/>
      <c r="EJ14" s="22"/>
      <c r="EK14" s="22"/>
      <c r="EL14" s="22"/>
      <c r="EM14" s="22"/>
      <c r="EN14" s="22"/>
      <c r="EO14" s="22"/>
      <c r="EP14" s="22"/>
      <c r="EQ14" s="22"/>
      <c r="ER14" s="22"/>
      <c r="ES14" s="22"/>
      <c r="ET14" s="22"/>
      <c r="EU14" s="22"/>
      <c r="EV14" s="22"/>
      <c r="EW14" s="22"/>
      <c r="EX14" s="22"/>
      <c r="EY14" s="22"/>
      <c r="EZ14" s="22"/>
      <c r="FA14" s="22"/>
      <c r="FB14" s="22"/>
      <c r="FC14" s="22"/>
      <c r="FD14" s="22"/>
      <c r="FE14" s="22"/>
      <c r="FF14" s="22"/>
      <c r="FG14" s="22"/>
      <c r="FH14" s="22"/>
      <c r="FI14" s="22"/>
      <c r="FJ14" s="22"/>
      <c r="FK14" s="22"/>
      <c r="FL14" s="22"/>
      <c r="FM14" s="22"/>
      <c r="FN14" s="22"/>
      <c r="FO14" s="22"/>
      <c r="FP14" s="22"/>
      <c r="FQ14" s="22"/>
      <c r="FR14" s="22"/>
      <c r="FS14" s="22"/>
      <c r="FT14" s="22"/>
      <c r="FU14" s="22"/>
      <c r="FV14" s="22"/>
      <c r="FW14" s="22"/>
      <c r="FX14" s="22"/>
      <c r="FY14" s="22"/>
      <c r="FZ14" s="22"/>
    </row>
    <row r="15" spans="1:663" x14ac:dyDescent="0.2">
      <c r="A15" s="28" t="s">
        <v>328</v>
      </c>
      <c r="B15" s="22"/>
      <c r="C15" s="22"/>
      <c r="D15" s="22"/>
      <c r="E15" s="22"/>
      <c r="F15" s="22"/>
      <c r="G15" s="22"/>
      <c r="H15" s="22"/>
      <c r="I15" s="22"/>
      <c r="J15" s="22"/>
      <c r="K15" s="22"/>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2"/>
      <c r="AS15" s="22"/>
      <c r="AT15" s="22"/>
      <c r="AU15" s="22"/>
      <c r="AV15" s="22"/>
      <c r="AW15" s="22"/>
      <c r="AX15" s="22"/>
      <c r="AY15" s="22"/>
      <c r="AZ15" s="22"/>
      <c r="BA15" s="22"/>
      <c r="BB15" s="22"/>
      <c r="BC15" s="22"/>
      <c r="BD15" s="22"/>
      <c r="BE15" s="22"/>
      <c r="BF15" s="22"/>
      <c r="BG15" s="22"/>
      <c r="BH15" s="22"/>
      <c r="BI15" s="22"/>
      <c r="BJ15" s="22"/>
      <c r="BK15" s="22"/>
      <c r="BL15" s="22"/>
      <c r="BM15" s="22"/>
      <c r="BN15" s="22"/>
      <c r="BO15" s="22"/>
      <c r="BP15" s="22"/>
      <c r="BQ15" s="22"/>
      <c r="BR15" s="22"/>
      <c r="BS15" s="22"/>
      <c r="BT15" s="22"/>
      <c r="BU15" s="22"/>
      <c r="BV15" s="22"/>
      <c r="BW15" s="22"/>
      <c r="BX15" s="22"/>
      <c r="BY15" s="22"/>
      <c r="BZ15" s="22"/>
      <c r="CA15" s="22"/>
      <c r="CB15" s="22"/>
      <c r="CC15" s="22"/>
      <c r="CD15" s="22"/>
      <c r="CE15" s="22"/>
      <c r="CF15" s="22"/>
      <c r="CG15" s="22"/>
      <c r="CH15" s="22"/>
      <c r="CI15" s="22"/>
      <c r="CJ15" s="22"/>
      <c r="CK15" s="22"/>
      <c r="CL15" s="22"/>
      <c r="CM15" s="22"/>
      <c r="CN15" s="22"/>
      <c r="CO15" s="22"/>
      <c r="CP15" s="22"/>
      <c r="CQ15" s="22"/>
      <c r="CR15" s="22"/>
      <c r="CS15" s="22"/>
      <c r="CT15" s="22"/>
      <c r="CU15" s="22"/>
      <c r="CV15" s="22"/>
      <c r="CW15" s="22"/>
      <c r="CX15" s="22"/>
      <c r="CY15" s="22"/>
      <c r="CZ15" s="22"/>
      <c r="DA15" s="22"/>
      <c r="DB15" s="22"/>
      <c r="DC15" s="22"/>
      <c r="DD15" s="22"/>
      <c r="DE15" s="22"/>
      <c r="DF15" s="22"/>
      <c r="DG15" s="22"/>
      <c r="DH15" s="22"/>
      <c r="DI15" s="22"/>
      <c r="DJ15" s="22"/>
      <c r="DK15" s="22"/>
      <c r="DL15" s="22"/>
      <c r="DM15" s="22"/>
      <c r="DN15" s="22"/>
      <c r="DO15" s="22"/>
      <c r="DP15" s="22"/>
      <c r="DQ15" s="22"/>
      <c r="DR15" s="22"/>
      <c r="DS15" s="22"/>
      <c r="DT15" s="22"/>
      <c r="DU15" s="22"/>
      <c r="DV15" s="22"/>
      <c r="DW15" s="22"/>
      <c r="DX15" s="22"/>
      <c r="DY15" s="22"/>
      <c r="DZ15" s="22"/>
      <c r="EA15" s="22"/>
      <c r="EB15" s="22"/>
      <c r="EC15" s="22"/>
      <c r="ED15" s="22"/>
      <c r="EE15" s="22"/>
      <c r="EF15" s="22"/>
      <c r="EG15" s="22"/>
      <c r="EH15" s="22"/>
      <c r="EI15" s="22"/>
      <c r="EJ15" s="22"/>
      <c r="EK15" s="22"/>
      <c r="EL15" s="22"/>
      <c r="EM15" s="22"/>
      <c r="EN15" s="22"/>
      <c r="EO15" s="22"/>
      <c r="EP15" s="22"/>
      <c r="EQ15" s="22"/>
      <c r="ER15" s="22"/>
      <c r="ES15" s="22"/>
      <c r="ET15" s="22"/>
      <c r="EU15" s="22"/>
      <c r="EV15" s="22"/>
      <c r="EW15" s="22"/>
      <c r="EX15" s="22"/>
      <c r="EY15" s="22"/>
      <c r="EZ15" s="22"/>
      <c r="FA15" s="22"/>
      <c r="FB15" s="22"/>
      <c r="FC15" s="22"/>
      <c r="FD15" s="22"/>
      <c r="FE15" s="22"/>
      <c r="FF15" s="22"/>
      <c r="FG15" s="22"/>
      <c r="FH15" s="22"/>
      <c r="FI15" s="22"/>
      <c r="FJ15" s="22"/>
      <c r="FK15" s="22"/>
      <c r="FL15" s="22"/>
      <c r="FM15" s="22"/>
      <c r="FN15" s="22"/>
      <c r="FO15" s="22"/>
      <c r="FP15" s="22"/>
      <c r="FQ15" s="22"/>
      <c r="FR15" s="22"/>
      <c r="FS15" s="22"/>
      <c r="FT15" s="22"/>
      <c r="FU15" s="22"/>
      <c r="FV15" s="22"/>
      <c r="FW15" s="22"/>
      <c r="FX15" s="22"/>
      <c r="FY15" s="22"/>
      <c r="FZ15" s="22"/>
    </row>
    <row r="16" spans="1:663" x14ac:dyDescent="0.2">
      <c r="A16" t="s">
        <v>329</v>
      </c>
      <c r="B16">
        <v>1</v>
      </c>
      <c r="C16">
        <v>13</v>
      </c>
      <c r="D16">
        <v>25</v>
      </c>
      <c r="E16">
        <v>37</v>
      </c>
      <c r="F16">
        <v>49</v>
      </c>
      <c r="G16" s="22"/>
      <c r="H16" s="22"/>
      <c r="I16" s="22"/>
      <c r="J16" s="22"/>
      <c r="K16" s="22"/>
      <c r="L16" s="22"/>
      <c r="M16" s="22"/>
      <c r="N16" s="22"/>
      <c r="O16" s="22"/>
      <c r="P16" s="22"/>
      <c r="Q16" s="22"/>
      <c r="R16" s="22"/>
      <c r="S16" s="22"/>
      <c r="T16" s="22"/>
      <c r="U16" s="22"/>
      <c r="V16" s="22"/>
      <c r="W16" s="22"/>
      <c r="X16" s="22"/>
      <c r="Y16" s="22"/>
      <c r="Z16" s="22"/>
      <c r="AA16" s="22"/>
      <c r="AB16" s="22"/>
      <c r="AC16" s="22"/>
      <c r="AD16" s="22"/>
      <c r="AE16" s="22"/>
      <c r="AF16" s="22"/>
      <c r="AG16" s="22"/>
      <c r="AH16" s="22"/>
      <c r="AI16" s="22"/>
      <c r="AJ16" s="22"/>
      <c r="AK16" s="22"/>
      <c r="AL16" s="22"/>
      <c r="AM16" s="22"/>
      <c r="AN16" s="22"/>
      <c r="AO16" s="22"/>
      <c r="AP16" s="22"/>
      <c r="AQ16" s="22"/>
      <c r="AR16" s="22"/>
      <c r="AS16" s="22"/>
      <c r="AT16" s="22"/>
      <c r="AU16" s="22"/>
      <c r="AV16" s="22"/>
      <c r="AW16" s="22"/>
      <c r="AX16" s="22"/>
      <c r="AY16" s="22"/>
      <c r="AZ16" s="22"/>
      <c r="BA16" s="22"/>
      <c r="BB16" s="22"/>
      <c r="BC16" s="22"/>
      <c r="BD16" s="22"/>
      <c r="BE16" s="22"/>
      <c r="BF16" s="22"/>
      <c r="BG16" s="22"/>
      <c r="BH16" s="22"/>
      <c r="BI16" s="22"/>
      <c r="BJ16" s="22"/>
      <c r="BK16" s="22"/>
      <c r="BL16" s="22"/>
      <c r="BM16" s="22"/>
      <c r="BN16" s="22"/>
      <c r="BO16" s="22"/>
      <c r="BP16" s="22"/>
      <c r="BQ16" s="22"/>
      <c r="BR16" s="22"/>
      <c r="BS16" s="22"/>
      <c r="BT16" s="22"/>
      <c r="BU16" s="22"/>
      <c r="BV16" s="22"/>
      <c r="BW16" s="22"/>
      <c r="BX16" s="22"/>
      <c r="BY16" s="22"/>
      <c r="BZ16" s="22"/>
      <c r="CA16" s="22"/>
      <c r="CB16" s="22"/>
      <c r="CC16" s="22"/>
      <c r="CD16" s="22"/>
      <c r="CE16" s="22"/>
      <c r="CF16" s="22"/>
      <c r="CG16" s="22"/>
      <c r="CH16" s="22"/>
      <c r="CI16" s="22"/>
      <c r="CJ16" s="22"/>
      <c r="CK16" s="22"/>
      <c r="CL16" s="22"/>
      <c r="CM16" s="22"/>
      <c r="CN16" s="22"/>
      <c r="CO16" s="22"/>
      <c r="CP16" s="22"/>
      <c r="CQ16" s="22"/>
      <c r="CR16" s="22"/>
      <c r="CS16" s="22"/>
      <c r="CT16" s="22"/>
      <c r="CU16" s="22"/>
      <c r="CV16" s="22"/>
      <c r="CW16" s="22"/>
      <c r="CX16" s="22"/>
      <c r="CY16" s="22"/>
      <c r="CZ16" s="22"/>
      <c r="DA16" s="22"/>
      <c r="DB16" s="22"/>
      <c r="DC16" s="22"/>
      <c r="DD16" s="22"/>
      <c r="DE16" s="22"/>
      <c r="DF16" s="22"/>
      <c r="DG16" s="22"/>
      <c r="DH16" s="22"/>
      <c r="DI16" s="22"/>
      <c r="DJ16" s="22"/>
      <c r="DK16" s="22"/>
      <c r="DL16" s="22"/>
      <c r="DM16" s="22"/>
      <c r="DN16" s="22"/>
      <c r="DO16" s="22"/>
      <c r="DP16" s="22"/>
      <c r="DQ16" s="22"/>
      <c r="DR16" s="22"/>
      <c r="DS16" s="22"/>
      <c r="DT16" s="22"/>
      <c r="DU16" s="22"/>
      <c r="DV16" s="22"/>
      <c r="DW16" s="22"/>
      <c r="DX16" s="22"/>
      <c r="DY16" s="22"/>
      <c r="DZ16" s="22"/>
      <c r="EA16" s="22"/>
      <c r="EB16" s="22"/>
      <c r="EC16" s="22"/>
      <c r="ED16" s="22"/>
      <c r="EE16" s="22"/>
      <c r="EF16" s="22"/>
      <c r="EG16" s="22"/>
      <c r="EH16" s="22"/>
      <c r="EI16" s="22"/>
      <c r="EJ16" s="22"/>
      <c r="EK16" s="22"/>
      <c r="EL16" s="22"/>
      <c r="EM16" s="22"/>
      <c r="EN16" s="22"/>
      <c r="EO16" s="22"/>
      <c r="EP16" s="22"/>
      <c r="EQ16" s="22"/>
      <c r="ER16" s="22"/>
      <c r="ES16" s="22"/>
      <c r="ET16" s="22"/>
      <c r="EU16" s="22"/>
      <c r="EV16" s="22"/>
      <c r="EW16" s="22"/>
      <c r="EX16" s="22"/>
      <c r="EY16" s="22"/>
      <c r="EZ16" s="22"/>
      <c r="FA16" s="22"/>
      <c r="FB16" s="22"/>
      <c r="FC16" s="22"/>
      <c r="FD16" s="22"/>
      <c r="FE16" s="22"/>
      <c r="FF16" s="22"/>
      <c r="FG16" s="22"/>
      <c r="FH16" s="22"/>
      <c r="FI16" s="22"/>
      <c r="FJ16" s="22"/>
      <c r="FK16" s="22"/>
      <c r="FL16" s="22"/>
      <c r="FM16" s="22"/>
      <c r="FN16" s="22"/>
      <c r="FO16" s="22"/>
      <c r="FP16" s="22"/>
      <c r="FQ16" s="22"/>
      <c r="FR16" s="22"/>
      <c r="FS16" s="22"/>
      <c r="FT16" s="22"/>
      <c r="FU16" s="22"/>
      <c r="FV16" s="22"/>
      <c r="FW16" s="22"/>
      <c r="FX16" s="22"/>
      <c r="FY16" s="22"/>
      <c r="FZ16" s="22"/>
    </row>
    <row r="17" spans="1:185" x14ac:dyDescent="0.2">
      <c r="B17" s="29">
        <f>HLOOKUP(B16,$C$6:$YM$7,2,FALSE)</f>
        <v>36891</v>
      </c>
      <c r="C17" s="29">
        <f>HLOOKUP(C16,$C$6:$YM$7,2,FALSE)</f>
        <v>37256</v>
      </c>
      <c r="D17" s="29">
        <f t="shared" ref="D17:F17" si="69">HLOOKUP(D16,$C$6:$YM$7,2,FALSE)</f>
        <v>37621</v>
      </c>
      <c r="E17" s="29">
        <f t="shared" si="69"/>
        <v>37986</v>
      </c>
      <c r="F17" s="29">
        <f t="shared" si="69"/>
        <v>38352</v>
      </c>
      <c r="G17" s="22"/>
      <c r="H17" s="22"/>
      <c r="I17" s="22"/>
      <c r="J17" s="22"/>
      <c r="K17" s="22"/>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c r="AV17" s="22"/>
      <c r="AW17" s="22"/>
      <c r="AX17" s="22"/>
      <c r="AY17" s="22"/>
      <c r="AZ17" s="22"/>
      <c r="BA17" s="22"/>
      <c r="BB17" s="22"/>
      <c r="BC17" s="22"/>
      <c r="BD17" s="22"/>
      <c r="BE17" s="22"/>
      <c r="BF17" s="22"/>
      <c r="BG17" s="22"/>
      <c r="BH17" s="22"/>
      <c r="BI17" s="22"/>
      <c r="BJ17" s="22"/>
      <c r="BK17" s="22"/>
      <c r="BL17" s="22"/>
      <c r="BM17" s="22"/>
      <c r="BN17" s="22"/>
      <c r="BO17" s="22"/>
      <c r="BP17" s="22"/>
      <c r="BQ17" s="22"/>
      <c r="BR17" s="22"/>
      <c r="BS17" s="22"/>
      <c r="BT17" s="22"/>
      <c r="BU17" s="22"/>
      <c r="BV17" s="22"/>
      <c r="BW17" s="22"/>
      <c r="BX17" s="22"/>
      <c r="BY17" s="22"/>
      <c r="BZ17" s="22"/>
      <c r="CA17" s="22"/>
      <c r="CB17" s="22"/>
      <c r="CC17" s="22"/>
      <c r="CD17" s="22"/>
      <c r="CE17" s="22"/>
      <c r="CF17" s="22"/>
      <c r="CG17" s="22"/>
      <c r="CH17" s="22"/>
      <c r="CI17" s="22"/>
      <c r="CJ17" s="22"/>
      <c r="CK17" s="22"/>
      <c r="CL17" s="22"/>
      <c r="CM17" s="22"/>
      <c r="CN17" s="22"/>
      <c r="CO17" s="22"/>
      <c r="CP17" s="22"/>
      <c r="CQ17" s="22"/>
      <c r="CR17" s="22"/>
      <c r="CS17" s="22"/>
      <c r="CT17" s="22"/>
      <c r="CU17" s="22"/>
      <c r="CV17" s="22"/>
      <c r="CW17" s="22"/>
      <c r="CX17" s="22"/>
      <c r="CY17" s="22"/>
      <c r="CZ17" s="22"/>
      <c r="DA17" s="22"/>
      <c r="DB17" s="22"/>
      <c r="DC17" s="22"/>
      <c r="DD17" s="22"/>
      <c r="DE17" s="22"/>
      <c r="DF17" s="22"/>
      <c r="DG17" s="22"/>
      <c r="DH17" s="22"/>
      <c r="DI17" s="22"/>
      <c r="DJ17" s="22"/>
      <c r="DK17" s="22"/>
      <c r="DL17" s="22"/>
      <c r="DM17" s="22"/>
      <c r="DN17" s="22"/>
      <c r="DO17" s="22"/>
      <c r="DP17" s="22"/>
      <c r="DQ17" s="22"/>
      <c r="DR17" s="22"/>
      <c r="DS17" s="22"/>
      <c r="DT17" s="22"/>
      <c r="DU17" s="22"/>
      <c r="DV17" s="22"/>
      <c r="DW17" s="22"/>
      <c r="DX17" s="22"/>
      <c r="DY17" s="22"/>
      <c r="DZ17" s="22"/>
      <c r="EA17" s="22"/>
      <c r="EB17" s="22"/>
      <c r="EC17" s="22"/>
      <c r="ED17" s="22"/>
      <c r="EE17" s="22"/>
      <c r="EF17" s="22"/>
      <c r="EG17" s="22"/>
      <c r="EH17" s="22"/>
      <c r="EI17" s="22"/>
      <c r="EJ17" s="22"/>
      <c r="EK17" s="22"/>
      <c r="EL17" s="22"/>
      <c r="EM17" s="22"/>
      <c r="EN17" s="22"/>
      <c r="EO17" s="22"/>
      <c r="EP17" s="22"/>
      <c r="EQ17" s="22"/>
      <c r="ER17" s="22"/>
      <c r="ES17" s="22"/>
      <c r="ET17" s="22"/>
      <c r="EU17" s="22"/>
      <c r="EV17" s="22"/>
      <c r="EW17" s="22"/>
      <c r="EX17" s="22"/>
      <c r="EY17" s="22"/>
      <c r="EZ17" s="22"/>
      <c r="FA17" s="22"/>
      <c r="FB17" s="22"/>
      <c r="FC17" s="22"/>
      <c r="FD17" s="22"/>
      <c r="FE17" s="22"/>
      <c r="FF17" s="22"/>
      <c r="FG17" s="22"/>
      <c r="FH17" s="22"/>
      <c r="FI17" s="22"/>
      <c r="FJ17" s="22"/>
      <c r="FK17" s="22"/>
      <c r="FL17" s="22"/>
      <c r="FM17" s="22"/>
      <c r="FN17" s="22"/>
      <c r="FO17" s="22"/>
      <c r="FP17" s="22"/>
      <c r="FQ17" s="22"/>
      <c r="FR17" s="22"/>
      <c r="FS17" s="22"/>
      <c r="FT17" s="22"/>
      <c r="FU17" s="22"/>
      <c r="FV17" s="22"/>
      <c r="FW17" s="22"/>
      <c r="FX17" s="22"/>
      <c r="FY17" s="22"/>
      <c r="FZ17" s="22"/>
    </row>
    <row r="18" spans="1:185" x14ac:dyDescent="0.2">
      <c r="B18" s="22"/>
      <c r="C18" s="22"/>
      <c r="D18" s="22"/>
      <c r="E18" s="22"/>
      <c r="F18" s="22"/>
      <c r="G18" s="22"/>
      <c r="H18" s="22"/>
      <c r="I18" s="22"/>
      <c r="J18" s="22"/>
      <c r="K18" s="22"/>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2"/>
      <c r="AS18" s="22"/>
      <c r="AT18" s="22"/>
      <c r="AU18" s="22"/>
      <c r="AV18" s="22"/>
      <c r="AW18" s="22"/>
      <c r="AX18" s="22"/>
      <c r="AY18" s="22"/>
      <c r="AZ18" s="22"/>
      <c r="BA18" s="22"/>
      <c r="BB18" s="22"/>
      <c r="BC18" s="22"/>
      <c r="BD18" s="22"/>
      <c r="BE18" s="22"/>
      <c r="BF18" s="22"/>
      <c r="BG18" s="22"/>
      <c r="BH18" s="22"/>
      <c r="BI18" s="22"/>
      <c r="BJ18" s="22"/>
      <c r="BK18" s="22"/>
      <c r="BL18" s="22"/>
      <c r="BM18" s="22"/>
      <c r="BN18" s="22"/>
      <c r="BO18" s="22"/>
      <c r="BP18" s="22"/>
      <c r="BQ18" s="22"/>
      <c r="BR18" s="22"/>
      <c r="BS18" s="22"/>
      <c r="BT18" s="22"/>
      <c r="BU18" s="22"/>
      <c r="BV18" s="22"/>
      <c r="BW18" s="22"/>
      <c r="BX18" s="22"/>
      <c r="BY18" s="22"/>
      <c r="BZ18" s="22"/>
      <c r="CA18" s="22"/>
      <c r="CB18" s="22"/>
      <c r="CC18" s="22"/>
      <c r="CD18" s="22"/>
      <c r="CE18" s="22"/>
      <c r="CF18" s="22"/>
      <c r="CG18" s="22"/>
      <c r="CH18" s="22"/>
      <c r="CI18" s="22"/>
      <c r="CJ18" s="22"/>
      <c r="CK18" s="22"/>
      <c r="CL18" s="22"/>
      <c r="CM18" s="22"/>
      <c r="CN18" s="22"/>
      <c r="CO18" s="22"/>
      <c r="CP18" s="22"/>
      <c r="CQ18" s="22"/>
      <c r="CR18" s="22"/>
      <c r="CS18" s="22"/>
      <c r="CT18" s="22"/>
      <c r="CU18" s="22"/>
      <c r="CV18" s="22"/>
      <c r="CW18" s="22"/>
      <c r="CX18" s="22"/>
      <c r="CY18" s="22"/>
      <c r="CZ18" s="22"/>
      <c r="DA18" s="22"/>
      <c r="DB18" s="22"/>
      <c r="DC18" s="22"/>
      <c r="DD18" s="22"/>
      <c r="DE18" s="22"/>
      <c r="DF18" s="22"/>
      <c r="DG18" s="22"/>
      <c r="DH18" s="22"/>
      <c r="DI18" s="22"/>
      <c r="DJ18" s="22"/>
      <c r="DK18" s="22"/>
      <c r="DL18" s="22"/>
      <c r="DM18" s="22"/>
      <c r="DN18" s="22"/>
      <c r="DO18" s="22"/>
      <c r="DP18" s="22"/>
      <c r="DQ18" s="22"/>
      <c r="DR18" s="22"/>
      <c r="DS18" s="22"/>
      <c r="DT18" s="22"/>
      <c r="DU18" s="22"/>
      <c r="DV18" s="22"/>
      <c r="DW18" s="22"/>
      <c r="DX18" s="22"/>
      <c r="DY18" s="22"/>
      <c r="DZ18" s="22"/>
      <c r="EA18" s="22"/>
      <c r="EB18" s="22"/>
      <c r="EC18" s="22"/>
      <c r="ED18" s="22"/>
      <c r="EE18" s="22"/>
      <c r="EF18" s="22"/>
      <c r="EG18" s="22"/>
      <c r="EH18" s="22"/>
      <c r="EI18" s="22"/>
      <c r="EJ18" s="22"/>
      <c r="EK18" s="22"/>
      <c r="EL18" s="22"/>
      <c r="EM18" s="22"/>
      <c r="EN18" s="22"/>
      <c r="EO18" s="22"/>
      <c r="EP18" s="22"/>
      <c r="EQ18" s="22"/>
      <c r="ER18" s="22"/>
      <c r="ES18" s="22"/>
      <c r="ET18" s="22"/>
      <c r="EU18" s="22"/>
      <c r="EV18" s="22"/>
      <c r="EW18" s="22"/>
      <c r="EX18" s="22"/>
      <c r="EY18" s="22"/>
      <c r="EZ18" s="22"/>
      <c r="FA18" s="22"/>
      <c r="FB18" s="22"/>
      <c r="FC18" s="22"/>
      <c r="FD18" s="22"/>
      <c r="FE18" s="22"/>
      <c r="FF18" s="22"/>
      <c r="FG18" s="22"/>
      <c r="FH18" s="22"/>
      <c r="FI18" s="22"/>
      <c r="FJ18" s="22"/>
      <c r="FK18" s="22"/>
      <c r="FL18" s="22"/>
      <c r="FM18" s="22"/>
      <c r="FN18" s="22"/>
      <c r="FO18" s="22"/>
      <c r="FP18" s="22"/>
      <c r="FQ18" s="22"/>
      <c r="FR18" s="22"/>
      <c r="FS18" s="22"/>
      <c r="FT18" s="22"/>
      <c r="FU18" s="22"/>
      <c r="FV18" s="22"/>
      <c r="FW18" s="22"/>
      <c r="FX18" s="22"/>
      <c r="FY18" s="22"/>
      <c r="FZ18" s="22"/>
    </row>
    <row r="19" spans="1:185" x14ac:dyDescent="0.2">
      <c r="A19" t="s">
        <v>330</v>
      </c>
      <c r="B19">
        <v>1</v>
      </c>
      <c r="C19">
        <v>13</v>
      </c>
      <c r="D19">
        <v>25</v>
      </c>
      <c r="E19">
        <v>37</v>
      </c>
      <c r="F19">
        <v>49</v>
      </c>
    </row>
    <row r="20" spans="1:185" x14ac:dyDescent="0.2">
      <c r="B20" s="29">
        <f>HLOOKUP(B19,$C$12:$YM$13,2,FALSE)</f>
        <v>36891</v>
      </c>
      <c r="C20" s="29">
        <f>HLOOKUP(C19,$C$12:$YM$13,2,FALSE)</f>
        <v>37256</v>
      </c>
      <c r="D20" s="29">
        <f>HLOOKUP(D19,$C$12:$YM$13,2,FALSE)</f>
        <v>37621</v>
      </c>
      <c r="E20" s="29">
        <f>HLOOKUP(E19,$C$12:$YM$13,2,FALSE)</f>
        <v>37986</v>
      </c>
      <c r="F20" s="29">
        <f>HLOOKUP(F19,$C$12:$YM$13,2,FALSE)</f>
        <v>38352</v>
      </c>
      <c r="G20" s="29"/>
      <c r="H20" s="29"/>
      <c r="I20" s="29"/>
      <c r="J20" s="29"/>
      <c r="K20" s="29"/>
      <c r="L20" s="29"/>
      <c r="M20" s="29"/>
      <c r="N20" s="29"/>
      <c r="O20" s="29"/>
      <c r="P20" s="29"/>
      <c r="Q20" s="29"/>
      <c r="R20" s="29"/>
      <c r="S20" s="29"/>
      <c r="T20" s="29"/>
      <c r="U20" s="29"/>
      <c r="V20" s="29"/>
      <c r="W20" s="29"/>
      <c r="X20" s="29"/>
      <c r="Y20" s="29"/>
      <c r="Z20" s="29"/>
      <c r="AA20" s="29"/>
      <c r="AB20" s="29"/>
      <c r="AC20" s="29"/>
      <c r="AD20" s="29"/>
      <c r="AE20" s="29"/>
      <c r="AF20" s="29"/>
      <c r="AG20" s="29"/>
      <c r="AH20" s="29"/>
      <c r="AI20" s="29"/>
      <c r="AJ20" s="29"/>
      <c r="AK20" s="29"/>
      <c r="AL20" s="29"/>
      <c r="AM20" s="29"/>
      <c r="AN20" s="29"/>
      <c r="AO20" s="29"/>
      <c r="AP20" s="29"/>
      <c r="AQ20" s="29"/>
      <c r="AR20" s="29"/>
      <c r="AS20" s="29"/>
      <c r="AT20" s="29"/>
      <c r="AU20" s="29"/>
      <c r="AV20" s="29"/>
      <c r="AW20" s="29"/>
      <c r="AX20" s="29"/>
      <c r="AY20" s="29"/>
      <c r="AZ20" s="29"/>
      <c r="BA20" s="29"/>
      <c r="BB20" s="29"/>
      <c r="BC20" s="29"/>
      <c r="BD20" s="29"/>
      <c r="BE20" s="29"/>
      <c r="BF20" s="29"/>
      <c r="BG20" s="29"/>
      <c r="BH20" s="29"/>
      <c r="BI20" s="29"/>
      <c r="BJ20" s="29"/>
      <c r="BK20" s="29"/>
      <c r="BL20" s="29"/>
      <c r="BM20" s="29"/>
      <c r="BN20" s="29"/>
      <c r="BO20" s="29"/>
      <c r="BP20" s="29"/>
      <c r="BQ20" s="29"/>
      <c r="BR20" s="29"/>
      <c r="BS20" s="29"/>
      <c r="BT20" s="29"/>
      <c r="BU20" s="29"/>
      <c r="BV20" s="29"/>
      <c r="BW20" s="29"/>
      <c r="BX20" s="29"/>
      <c r="BY20" s="29"/>
      <c r="BZ20" s="29"/>
      <c r="CA20" s="29"/>
      <c r="CB20" s="29"/>
      <c r="CC20" s="29"/>
      <c r="CD20" s="29"/>
      <c r="CE20" s="29"/>
      <c r="CF20" s="29"/>
      <c r="CG20" s="29"/>
      <c r="CH20" s="29"/>
      <c r="CI20" s="29"/>
      <c r="CJ20" s="29"/>
      <c r="CK20" s="29"/>
      <c r="CL20" s="29"/>
      <c r="CM20" s="29"/>
      <c r="CN20" s="29"/>
      <c r="CO20" s="29"/>
      <c r="CP20" s="29"/>
      <c r="CQ20" s="29"/>
      <c r="CR20" s="29"/>
      <c r="CS20" s="29"/>
      <c r="CT20" s="29"/>
      <c r="CU20" s="29"/>
      <c r="CV20" s="29"/>
      <c r="CW20" s="29"/>
      <c r="CX20" s="29"/>
      <c r="CY20" s="29"/>
      <c r="CZ20" s="29"/>
      <c r="DA20" s="29"/>
      <c r="DB20" s="29"/>
      <c r="DC20" s="29"/>
      <c r="DD20" s="29"/>
      <c r="DE20" s="29"/>
      <c r="DF20" s="29"/>
      <c r="DG20" s="29"/>
      <c r="DH20" s="29"/>
      <c r="DI20" s="29"/>
      <c r="DJ20" s="29"/>
      <c r="DK20" s="29"/>
      <c r="DL20" s="29"/>
      <c r="DM20" s="29"/>
      <c r="DN20" s="29"/>
      <c r="DO20" s="29"/>
      <c r="DP20" s="29"/>
      <c r="DQ20" s="29"/>
      <c r="DR20" s="29"/>
      <c r="DS20" s="29"/>
      <c r="DT20" s="29"/>
      <c r="DU20" s="29"/>
      <c r="DV20" s="29"/>
      <c r="DW20" s="29"/>
      <c r="DX20" s="29"/>
      <c r="DY20" s="29"/>
      <c r="DZ20" s="29"/>
      <c r="EA20" s="29"/>
      <c r="EB20" s="29"/>
      <c r="EC20" s="29"/>
      <c r="ED20" s="29"/>
      <c r="EE20" s="29"/>
      <c r="EF20" s="29"/>
      <c r="EG20" s="29"/>
      <c r="EH20" s="29"/>
      <c r="EI20" s="29"/>
      <c r="EJ20" s="29"/>
      <c r="EK20" s="29"/>
      <c r="EL20" s="29"/>
      <c r="EM20" s="29"/>
      <c r="EN20" s="29"/>
      <c r="EO20" s="29"/>
      <c r="EP20" s="29"/>
      <c r="EQ20" s="29"/>
      <c r="ER20" s="29"/>
      <c r="ES20" s="29"/>
      <c r="ET20" s="29"/>
      <c r="EU20" s="29"/>
      <c r="EV20" s="29"/>
      <c r="EW20" s="29"/>
      <c r="EX20" s="29"/>
      <c r="EY20" s="29"/>
      <c r="EZ20" s="29"/>
      <c r="FA20" s="29"/>
      <c r="FB20" s="29"/>
      <c r="FC20" s="29"/>
      <c r="FD20" s="29"/>
      <c r="FE20" s="29"/>
      <c r="FF20" s="29"/>
      <c r="FG20" s="29"/>
      <c r="FH20" s="29"/>
      <c r="FI20" s="29"/>
      <c r="FJ20" s="29"/>
      <c r="FK20" s="29"/>
      <c r="FL20" s="29"/>
      <c r="FM20" s="29"/>
      <c r="FN20" s="29"/>
      <c r="FO20" s="29"/>
      <c r="FP20" s="29"/>
      <c r="FQ20" s="29"/>
      <c r="FR20" s="29"/>
      <c r="FS20" s="29"/>
      <c r="FT20" s="29"/>
      <c r="FU20" s="29"/>
      <c r="FV20" s="29"/>
      <c r="FW20" s="29"/>
      <c r="FX20" s="29"/>
      <c r="FY20" s="29"/>
      <c r="FZ20" s="29"/>
    </row>
    <row r="21" spans="1:185" x14ac:dyDescent="0.2">
      <c r="B21" s="22"/>
      <c r="C21" s="22"/>
      <c r="D21" s="22"/>
      <c r="E21" s="22"/>
      <c r="F21" s="22"/>
      <c r="G21" s="22"/>
      <c r="H21" s="22"/>
      <c r="I21" s="22"/>
      <c r="J21" s="22"/>
      <c r="K21" s="22"/>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2"/>
      <c r="AS21" s="22"/>
      <c r="AT21" s="22"/>
      <c r="AU21" s="22"/>
      <c r="AV21" s="22"/>
      <c r="AW21" s="22"/>
      <c r="AX21" s="22"/>
      <c r="AY21" s="22"/>
      <c r="AZ21" s="22"/>
      <c r="BA21" s="22"/>
      <c r="BB21" s="22"/>
      <c r="BC21" s="22"/>
      <c r="BD21" s="22"/>
      <c r="BE21" s="22"/>
      <c r="BF21" s="22"/>
      <c r="BG21" s="22"/>
      <c r="BH21" s="22"/>
      <c r="BI21" s="22"/>
      <c r="BJ21" s="22"/>
      <c r="BK21" s="22"/>
      <c r="BL21" s="22"/>
      <c r="BM21" s="22"/>
      <c r="BN21" s="22"/>
      <c r="BO21" s="22"/>
      <c r="BP21" s="22"/>
      <c r="BQ21" s="22"/>
      <c r="BR21" s="22"/>
      <c r="BS21" s="22"/>
      <c r="BT21" s="22"/>
      <c r="BU21" s="22"/>
      <c r="BV21" s="22"/>
      <c r="BW21" s="22"/>
      <c r="BX21" s="22"/>
      <c r="BY21" s="22"/>
      <c r="BZ21" s="22"/>
      <c r="CA21" s="22"/>
      <c r="CB21" s="22"/>
      <c r="CC21" s="22"/>
      <c r="CD21" s="22"/>
      <c r="CE21" s="22"/>
      <c r="CF21" s="22"/>
      <c r="CG21" s="22"/>
      <c r="CH21" s="22"/>
      <c r="CI21" s="22"/>
      <c r="CJ21" s="22"/>
      <c r="CK21" s="22"/>
      <c r="CL21" s="22"/>
      <c r="CM21" s="22"/>
      <c r="CN21" s="22"/>
      <c r="CO21" s="22"/>
      <c r="CP21" s="22"/>
      <c r="CQ21" s="22"/>
      <c r="CR21" s="22"/>
      <c r="CS21" s="22"/>
      <c r="CT21" s="22"/>
      <c r="CU21" s="22"/>
      <c r="CV21" s="22"/>
      <c r="CW21" s="22"/>
      <c r="CX21" s="22"/>
      <c r="CY21" s="22"/>
      <c r="CZ21" s="22"/>
      <c r="DA21" s="22"/>
      <c r="DB21" s="22"/>
      <c r="DC21" s="22"/>
      <c r="DD21" s="22"/>
      <c r="DE21" s="22"/>
      <c r="DF21" s="22"/>
      <c r="DG21" s="22"/>
      <c r="DH21" s="22"/>
      <c r="DI21" s="22"/>
      <c r="DJ21" s="22"/>
      <c r="DK21" s="22"/>
      <c r="DL21" s="22"/>
      <c r="DM21" s="22"/>
      <c r="DN21" s="22"/>
      <c r="DO21" s="22"/>
      <c r="DP21" s="22"/>
      <c r="DQ21" s="22"/>
      <c r="DR21" s="22"/>
      <c r="DS21" s="22"/>
      <c r="DT21" s="22"/>
      <c r="DU21" s="22"/>
      <c r="DV21" s="22"/>
      <c r="DW21" s="22"/>
      <c r="DX21" s="22"/>
      <c r="DY21" s="22"/>
      <c r="DZ21" s="22"/>
      <c r="EA21" s="22"/>
      <c r="EB21" s="22"/>
      <c r="EC21" s="22"/>
      <c r="ED21" s="22"/>
      <c r="EE21" s="22"/>
      <c r="EF21" s="22"/>
      <c r="EG21" s="22"/>
      <c r="EH21" s="22"/>
      <c r="EI21" s="22"/>
      <c r="EJ21" s="22"/>
      <c r="EK21" s="22"/>
      <c r="EL21" s="22"/>
      <c r="EM21" s="22"/>
      <c r="EN21" s="22"/>
      <c r="EO21" s="22"/>
      <c r="EP21" s="22"/>
      <c r="EQ21" s="22"/>
      <c r="ER21" s="22"/>
      <c r="ES21" s="22"/>
      <c r="ET21" s="22"/>
      <c r="EU21" s="22"/>
      <c r="EV21" s="22"/>
      <c r="EW21" s="22"/>
      <c r="EX21" s="22"/>
      <c r="EY21" s="22"/>
      <c r="EZ21" s="22"/>
      <c r="FA21" s="22"/>
      <c r="FB21" s="22"/>
      <c r="FC21" s="22"/>
      <c r="FD21" s="22"/>
      <c r="FE21" s="22"/>
      <c r="FF21" s="22"/>
      <c r="FG21" s="22"/>
      <c r="FH21" s="22"/>
      <c r="FI21" s="22"/>
      <c r="FJ21" s="22"/>
      <c r="FK21" s="22"/>
      <c r="FL21" s="22"/>
      <c r="FM21" s="22"/>
      <c r="FN21" s="22"/>
      <c r="FO21" s="22"/>
      <c r="FP21" s="22"/>
      <c r="FQ21" s="22"/>
      <c r="FR21" s="22"/>
      <c r="FS21" s="22"/>
      <c r="FT21" s="22"/>
      <c r="FU21" s="22"/>
      <c r="FV21" s="22"/>
      <c r="FW21" s="22"/>
      <c r="FX21" s="22"/>
      <c r="FY21" s="22"/>
      <c r="FZ21" s="22"/>
    </row>
    <row r="22" spans="1:185" x14ac:dyDescent="0.2">
      <c r="B22" s="22"/>
      <c r="C22" s="22"/>
      <c r="D22" s="22"/>
      <c r="E22" s="22"/>
      <c r="F22" s="22"/>
      <c r="G22" s="22"/>
      <c r="H22" s="22"/>
      <c r="I22" s="22"/>
      <c r="J22" s="22"/>
      <c r="K22" s="22"/>
      <c r="L22" s="22"/>
      <c r="M22" s="22"/>
      <c r="N22" s="22"/>
      <c r="O22" s="22"/>
      <c r="P22" s="22"/>
      <c r="Q22" s="22"/>
      <c r="R22" s="22"/>
      <c r="S22" s="22"/>
      <c r="T22" s="22"/>
      <c r="U22" s="22"/>
      <c r="V22" s="22"/>
      <c r="W22" s="22"/>
      <c r="X22" s="22"/>
      <c r="Y22" s="22"/>
      <c r="Z22" s="22"/>
      <c r="AA22" s="22"/>
      <c r="AB22" s="22"/>
      <c r="AC22" s="22"/>
      <c r="AD22" s="22"/>
      <c r="AE22" s="22"/>
      <c r="AF22" s="22"/>
      <c r="AG22" s="22"/>
      <c r="AH22" s="22"/>
      <c r="AI22" s="22"/>
      <c r="AJ22" s="22"/>
      <c r="AK22" s="22"/>
      <c r="AL22" s="22"/>
      <c r="AM22" s="22"/>
      <c r="AN22" s="22"/>
      <c r="AO22" s="22"/>
      <c r="AP22" s="22"/>
      <c r="AQ22" s="22"/>
      <c r="AR22" s="22"/>
      <c r="AS22" s="22"/>
      <c r="AT22" s="22"/>
      <c r="AU22" s="22"/>
      <c r="AV22" s="22"/>
      <c r="AW22" s="22"/>
      <c r="AX22" s="22"/>
      <c r="AY22" s="22"/>
      <c r="AZ22" s="22"/>
      <c r="BA22" s="22"/>
      <c r="BB22" s="22"/>
      <c r="BC22" s="22"/>
      <c r="BD22" s="22"/>
      <c r="BE22" s="22"/>
      <c r="BF22" s="22"/>
      <c r="BG22" s="22"/>
      <c r="BH22" s="22"/>
      <c r="BI22" s="22"/>
      <c r="BJ22" s="22"/>
      <c r="BK22" s="22"/>
      <c r="BL22" s="22"/>
      <c r="BM22" s="22"/>
      <c r="BN22" s="22"/>
      <c r="BO22" s="22"/>
      <c r="BP22" s="22"/>
      <c r="BQ22" s="22"/>
      <c r="BR22" s="22"/>
      <c r="BS22" s="22"/>
      <c r="BT22" s="22"/>
      <c r="BU22" s="22"/>
      <c r="BV22" s="22"/>
      <c r="BW22" s="22"/>
      <c r="BX22" s="22"/>
      <c r="BY22" s="22"/>
      <c r="BZ22" s="22"/>
      <c r="CA22" s="22"/>
      <c r="CB22" s="22"/>
      <c r="CC22" s="22"/>
      <c r="CD22" s="22"/>
      <c r="CE22" s="22"/>
      <c r="CF22" s="22"/>
      <c r="CG22" s="22"/>
      <c r="CH22" s="22"/>
      <c r="CI22" s="22"/>
      <c r="CJ22" s="22"/>
      <c r="CK22" s="22"/>
      <c r="CL22" s="22"/>
      <c r="CM22" s="22"/>
      <c r="CN22" s="22"/>
      <c r="CO22" s="22"/>
      <c r="CP22" s="22"/>
      <c r="CQ22" s="22"/>
      <c r="CR22" s="22"/>
      <c r="CS22" s="22"/>
      <c r="CT22" s="22"/>
      <c r="CU22" s="22"/>
      <c r="CV22" s="22"/>
      <c r="CW22" s="22"/>
      <c r="CX22" s="22"/>
      <c r="CY22" s="22"/>
      <c r="CZ22" s="22"/>
      <c r="DA22" s="22"/>
      <c r="DB22" s="22"/>
      <c r="DC22" s="22"/>
      <c r="DD22" s="22"/>
      <c r="DE22" s="22"/>
      <c r="DF22" s="22"/>
      <c r="DG22" s="22"/>
      <c r="DH22" s="22"/>
      <c r="DI22" s="22"/>
      <c r="DJ22" s="22"/>
      <c r="DK22" s="22"/>
      <c r="DL22" s="22"/>
      <c r="DM22" s="22"/>
      <c r="DN22" s="22"/>
      <c r="DO22" s="22"/>
      <c r="DP22" s="22"/>
      <c r="DQ22" s="22"/>
      <c r="DR22" s="22"/>
      <c r="DS22" s="22"/>
      <c r="DT22" s="22"/>
      <c r="DU22" s="22"/>
      <c r="DV22" s="22"/>
      <c r="DW22" s="22"/>
      <c r="DX22" s="22"/>
      <c r="DY22" s="22"/>
      <c r="DZ22" s="22"/>
      <c r="EA22" s="22"/>
      <c r="EB22" s="22"/>
      <c r="EC22" s="22"/>
      <c r="ED22" s="22"/>
      <c r="EE22" s="22"/>
      <c r="EF22" s="22"/>
      <c r="EG22" s="22"/>
      <c r="EH22" s="22"/>
      <c r="EI22" s="22"/>
      <c r="EJ22" s="22"/>
      <c r="EK22" s="22"/>
      <c r="EL22" s="22"/>
      <c r="EM22" s="22"/>
      <c r="EN22" s="22"/>
      <c r="EO22" s="22"/>
      <c r="EP22" s="22"/>
      <c r="EQ22" s="22"/>
      <c r="ER22" s="22"/>
      <c r="ES22" s="22"/>
      <c r="ET22" s="22"/>
      <c r="EU22" s="22"/>
      <c r="EV22" s="22"/>
      <c r="EW22" s="22"/>
      <c r="EX22" s="22"/>
      <c r="EY22" s="22"/>
      <c r="EZ22" s="22"/>
      <c r="FA22" s="22"/>
      <c r="FB22" s="22"/>
      <c r="FC22" s="22"/>
      <c r="FD22" s="22"/>
      <c r="FE22" s="22"/>
      <c r="FF22" s="22"/>
      <c r="FG22" s="22"/>
      <c r="FH22" s="22"/>
      <c r="FI22" s="22"/>
      <c r="FJ22" s="22"/>
      <c r="FK22" s="22"/>
      <c r="FL22" s="22"/>
      <c r="FM22" s="22"/>
      <c r="FN22" s="22"/>
      <c r="FO22" s="22"/>
      <c r="FP22" s="22"/>
      <c r="FQ22" s="22"/>
      <c r="FR22" s="22"/>
      <c r="FS22" s="22"/>
      <c r="FT22" s="22"/>
      <c r="FU22" s="22"/>
      <c r="FV22" s="22"/>
      <c r="FW22" s="22"/>
      <c r="FX22" s="22"/>
      <c r="FY22" s="22"/>
      <c r="FZ22" s="22"/>
    </row>
    <row r="23" spans="1:185" x14ac:dyDescent="0.2">
      <c r="B23" s="22"/>
      <c r="C23" s="22"/>
      <c r="D23" s="22"/>
      <c r="E23" s="22"/>
      <c r="F23" s="22"/>
      <c r="G23" s="22"/>
      <c r="H23" s="22"/>
      <c r="I23" s="22"/>
      <c r="J23" s="22"/>
      <c r="K23" s="22"/>
      <c r="L23" s="22"/>
      <c r="M23" s="22"/>
      <c r="N23" s="22"/>
      <c r="O23" s="22"/>
      <c r="P23" s="22"/>
      <c r="Q23" s="22"/>
      <c r="R23" s="22"/>
      <c r="S23" s="22"/>
      <c r="T23" s="22"/>
      <c r="U23" s="22"/>
      <c r="V23" s="22"/>
      <c r="W23" s="22"/>
      <c r="X23" s="22"/>
      <c r="Y23" s="22"/>
      <c r="Z23" s="22"/>
      <c r="AA23" s="22"/>
      <c r="AB23" s="22"/>
      <c r="AC23" s="22"/>
      <c r="AD23" s="22"/>
      <c r="AE23" s="22"/>
      <c r="AF23" s="22"/>
      <c r="AG23" s="22"/>
      <c r="AH23" s="22"/>
      <c r="AI23" s="22"/>
      <c r="AJ23" s="22"/>
      <c r="AK23" s="22"/>
      <c r="AL23" s="22"/>
      <c r="AM23" s="22"/>
      <c r="AN23" s="22"/>
      <c r="AO23" s="22"/>
      <c r="AP23" s="22"/>
      <c r="AQ23" s="22"/>
      <c r="AR23" s="22"/>
      <c r="AS23" s="22"/>
      <c r="AT23" s="22"/>
      <c r="AU23" s="22"/>
      <c r="AV23" s="22"/>
      <c r="AW23" s="22"/>
      <c r="AX23" s="22"/>
      <c r="AY23" s="22"/>
      <c r="AZ23" s="22"/>
      <c r="BA23" s="22"/>
      <c r="BB23" s="22"/>
      <c r="BC23" s="22"/>
      <c r="BD23" s="22"/>
      <c r="BE23" s="22"/>
      <c r="BF23" s="22"/>
      <c r="BG23" s="22"/>
      <c r="BH23" s="22"/>
      <c r="BI23" s="22"/>
      <c r="BJ23" s="22"/>
      <c r="BK23" s="22"/>
      <c r="BL23" s="22"/>
      <c r="BM23" s="22"/>
      <c r="BN23" s="22"/>
      <c r="BO23" s="22"/>
      <c r="BP23" s="22"/>
      <c r="BQ23" s="22"/>
      <c r="BR23" s="22"/>
      <c r="BS23" s="22"/>
      <c r="BT23" s="22"/>
      <c r="BU23" s="22"/>
      <c r="BV23" s="22"/>
      <c r="BW23" s="22"/>
      <c r="BX23" s="22"/>
      <c r="BY23" s="22"/>
      <c r="BZ23" s="22"/>
      <c r="CA23" s="22"/>
      <c r="CB23" s="22"/>
      <c r="CC23" s="22"/>
      <c r="CD23" s="22"/>
      <c r="CE23" s="22"/>
      <c r="CF23" s="22"/>
      <c r="CG23" s="22"/>
      <c r="CH23" s="22"/>
      <c r="CI23" s="22"/>
      <c r="CJ23" s="22"/>
      <c r="CK23" s="22"/>
      <c r="CL23" s="22"/>
      <c r="CM23" s="22"/>
      <c r="CN23" s="22"/>
      <c r="CO23" s="22"/>
      <c r="CP23" s="22"/>
      <c r="CQ23" s="22"/>
      <c r="CR23" s="22"/>
      <c r="CS23" s="22"/>
      <c r="CT23" s="22"/>
      <c r="CU23" s="22"/>
      <c r="CV23" s="22"/>
      <c r="CW23" s="22"/>
      <c r="CX23" s="22"/>
      <c r="CY23" s="22"/>
      <c r="CZ23" s="22"/>
      <c r="DA23" s="22"/>
      <c r="DB23" s="22"/>
      <c r="DC23" s="22"/>
      <c r="DD23" s="22"/>
      <c r="DE23" s="22"/>
      <c r="DF23" s="22"/>
      <c r="DG23" s="22"/>
      <c r="DH23" s="22"/>
      <c r="DI23" s="22"/>
      <c r="DJ23" s="22"/>
      <c r="DK23" s="22"/>
      <c r="DL23" s="22"/>
      <c r="DM23" s="22"/>
      <c r="DN23" s="22"/>
      <c r="DO23" s="22"/>
      <c r="DP23" s="22"/>
      <c r="DQ23" s="22"/>
      <c r="DR23" s="22"/>
      <c r="DS23" s="22"/>
      <c r="DT23" s="22"/>
      <c r="DU23" s="22"/>
      <c r="DV23" s="22"/>
      <c r="DW23" s="22"/>
      <c r="DX23" s="22"/>
      <c r="DY23" s="22"/>
      <c r="DZ23" s="22"/>
      <c r="EA23" s="22"/>
      <c r="EB23" s="22"/>
      <c r="EC23" s="22"/>
      <c r="ED23" s="22"/>
      <c r="EE23" s="22"/>
      <c r="EF23" s="22"/>
      <c r="EG23" s="22"/>
      <c r="EH23" s="22"/>
      <c r="EI23" s="22"/>
      <c r="EJ23" s="22"/>
      <c r="EK23" s="22"/>
      <c r="EL23" s="22"/>
      <c r="EM23" s="22"/>
      <c r="EN23" s="22"/>
      <c r="EO23" s="22"/>
      <c r="EP23" s="22"/>
      <c r="EQ23" s="22"/>
      <c r="ER23" s="22"/>
      <c r="ES23" s="22"/>
      <c r="ET23" s="22"/>
      <c r="EU23" s="22"/>
      <c r="EV23" s="22"/>
      <c r="EW23" s="22"/>
      <c r="EX23" s="22"/>
      <c r="EY23" s="22"/>
      <c r="EZ23" s="22"/>
      <c r="FA23" s="22"/>
      <c r="FB23" s="22"/>
      <c r="FC23" s="22"/>
      <c r="FD23" s="22"/>
      <c r="FE23" s="22"/>
      <c r="FF23" s="22"/>
      <c r="FG23" s="22"/>
      <c r="FH23" s="22"/>
      <c r="FI23" s="22"/>
      <c r="FJ23" s="22"/>
      <c r="FK23" s="22"/>
      <c r="FL23" s="22"/>
      <c r="FM23" s="22"/>
      <c r="FN23" s="22"/>
      <c r="FO23" s="22"/>
      <c r="FP23" s="22"/>
      <c r="FQ23" s="22"/>
      <c r="FR23" s="22"/>
      <c r="FS23" s="22"/>
      <c r="FT23" s="22"/>
      <c r="FU23" s="22"/>
      <c r="FV23" s="22"/>
      <c r="FW23" s="22"/>
      <c r="FX23" s="22"/>
      <c r="FY23" s="22"/>
      <c r="FZ23" s="22"/>
    </row>
    <row r="24" spans="1:185" x14ac:dyDescent="0.2">
      <c r="B24" s="22"/>
      <c r="C24" s="22"/>
      <c r="D24" s="22"/>
      <c r="E24" s="22"/>
      <c r="F24" s="22"/>
      <c r="G24" s="22"/>
      <c r="H24" s="22"/>
      <c r="I24" s="22"/>
      <c r="J24" s="22"/>
      <c r="K24" s="22"/>
      <c r="L24" s="22"/>
      <c r="M24" s="22"/>
      <c r="N24" s="22"/>
      <c r="O24" s="22"/>
      <c r="P24" s="22"/>
      <c r="Q24" s="22"/>
      <c r="R24" s="22"/>
      <c r="S24" s="22"/>
      <c r="T24" s="22"/>
      <c r="U24" s="22"/>
      <c r="V24" s="22"/>
      <c r="W24" s="22"/>
      <c r="X24" s="22"/>
      <c r="Y24" s="22"/>
      <c r="Z24" s="22"/>
      <c r="AA24" s="22"/>
      <c r="AB24" s="22"/>
      <c r="AC24" s="22"/>
      <c r="AD24" s="22"/>
      <c r="AE24" s="22"/>
      <c r="AF24" s="22"/>
      <c r="AG24" s="22"/>
      <c r="AH24" s="22"/>
      <c r="AI24" s="22"/>
      <c r="AJ24" s="22"/>
      <c r="AK24" s="22"/>
      <c r="AL24" s="22"/>
      <c r="AM24" s="22"/>
      <c r="AN24" s="22"/>
      <c r="AO24" s="22"/>
      <c r="AP24" s="22"/>
      <c r="AQ24" s="22"/>
      <c r="AR24" s="22"/>
      <c r="AS24" s="22"/>
      <c r="AT24" s="22"/>
      <c r="AU24" s="22"/>
      <c r="AV24" s="22"/>
      <c r="AW24" s="22"/>
      <c r="AX24" s="22"/>
      <c r="AY24" s="22"/>
      <c r="AZ24" s="22"/>
      <c r="BA24" s="22"/>
      <c r="BB24" s="22"/>
      <c r="BC24" s="22"/>
      <c r="BD24" s="22"/>
      <c r="BE24" s="22"/>
      <c r="BF24" s="22"/>
      <c r="BG24" s="22"/>
      <c r="BH24" s="22"/>
      <c r="BI24" s="22"/>
      <c r="BJ24" s="22"/>
      <c r="BK24" s="22"/>
      <c r="BL24" s="22"/>
      <c r="BM24" s="22"/>
      <c r="BN24" s="22"/>
      <c r="BO24" s="22"/>
      <c r="BP24" s="22"/>
      <c r="BQ24" s="22"/>
      <c r="BR24" s="22"/>
      <c r="BS24" s="22"/>
      <c r="BT24" s="22"/>
      <c r="BU24" s="22"/>
      <c r="BV24" s="22"/>
      <c r="BW24" s="22"/>
      <c r="BX24" s="22"/>
      <c r="BY24" s="22"/>
      <c r="BZ24" s="22"/>
      <c r="CA24" s="22"/>
      <c r="CB24" s="22"/>
      <c r="CC24" s="22"/>
      <c r="CD24" s="22"/>
      <c r="CE24" s="22"/>
      <c r="CF24" s="22"/>
      <c r="CG24" s="22"/>
      <c r="CH24" s="22"/>
      <c r="CI24" s="22"/>
      <c r="CJ24" s="22"/>
      <c r="CK24" s="22"/>
      <c r="CL24" s="22"/>
      <c r="CM24" s="22"/>
      <c r="CN24" s="22"/>
      <c r="CO24" s="22"/>
      <c r="CP24" s="22"/>
      <c r="CQ24" s="22"/>
      <c r="CR24" s="22"/>
      <c r="CS24" s="22"/>
      <c r="CT24" s="22"/>
      <c r="CU24" s="22"/>
      <c r="CV24" s="22"/>
      <c r="CW24" s="22"/>
      <c r="CX24" s="22"/>
      <c r="CY24" s="22"/>
      <c r="CZ24" s="22"/>
      <c r="DA24" s="22"/>
      <c r="DB24" s="22"/>
      <c r="DC24" s="22"/>
      <c r="DD24" s="22"/>
      <c r="DE24" s="22"/>
      <c r="DF24" s="22"/>
      <c r="DG24" s="22"/>
      <c r="DH24" s="22"/>
      <c r="DI24" s="22"/>
      <c r="DJ24" s="22"/>
      <c r="DK24" s="22"/>
      <c r="DL24" s="22"/>
      <c r="DM24" s="22"/>
      <c r="DN24" s="22"/>
      <c r="DO24" s="22"/>
      <c r="DP24" s="22"/>
      <c r="DQ24" s="22"/>
      <c r="DR24" s="22"/>
      <c r="DS24" s="22"/>
      <c r="DT24" s="22"/>
      <c r="DU24" s="22"/>
      <c r="DV24" s="22"/>
      <c r="DW24" s="22"/>
      <c r="DX24" s="22"/>
      <c r="DY24" s="22"/>
      <c r="DZ24" s="22"/>
      <c r="EA24" s="22"/>
      <c r="EB24" s="22"/>
      <c r="EC24" s="22"/>
      <c r="ED24" s="22"/>
      <c r="EE24" s="22"/>
      <c r="EF24" s="22"/>
      <c r="EG24" s="22"/>
      <c r="EH24" s="22"/>
      <c r="EI24" s="22"/>
      <c r="EJ24" s="22"/>
      <c r="EK24" s="22"/>
      <c r="EL24" s="22"/>
      <c r="EM24" s="22"/>
      <c r="EN24" s="22"/>
      <c r="EO24" s="22"/>
      <c r="EP24" s="22"/>
      <c r="EQ24" s="22"/>
      <c r="ER24" s="22"/>
      <c r="ES24" s="22"/>
      <c r="ET24" s="22"/>
      <c r="EU24" s="22"/>
      <c r="EV24" s="22"/>
      <c r="EW24" s="22"/>
      <c r="EX24" s="22"/>
      <c r="EY24" s="22"/>
      <c r="EZ24" s="22"/>
      <c r="FA24" s="22"/>
      <c r="FB24" s="22"/>
      <c r="FC24" s="22"/>
      <c r="FD24" s="22"/>
      <c r="FE24" s="22"/>
      <c r="FF24" s="22"/>
      <c r="FG24" s="22"/>
      <c r="FH24" s="22"/>
      <c r="FI24" s="22"/>
      <c r="FJ24" s="22"/>
      <c r="FK24" s="22"/>
      <c r="FL24" s="22"/>
      <c r="FM24" s="22"/>
      <c r="FN24" s="22"/>
      <c r="FO24" s="22"/>
      <c r="FP24" s="22"/>
      <c r="FQ24" s="22"/>
      <c r="FR24" s="22"/>
      <c r="FS24" s="22"/>
      <c r="FT24" s="22"/>
      <c r="FU24" s="22"/>
      <c r="FV24" s="22"/>
      <c r="FW24" s="22"/>
      <c r="FX24" s="22"/>
      <c r="FY24" s="22"/>
      <c r="FZ24" s="22"/>
      <c r="GA24" s="30"/>
      <c r="GB24" s="30"/>
      <c r="GC24" s="30"/>
    </row>
    <row r="25" spans="1:185" x14ac:dyDescent="0.2">
      <c r="B25" s="22"/>
      <c r="C25" s="22"/>
      <c r="D25" s="22"/>
      <c r="E25" s="22"/>
      <c r="F25" s="22"/>
      <c r="G25" s="22"/>
      <c r="H25" s="22"/>
      <c r="I25" s="22"/>
      <c r="J25" s="22"/>
      <c r="K25" s="22"/>
      <c r="L25" s="22"/>
      <c r="M25" s="22"/>
      <c r="N25" s="22"/>
      <c r="O25" s="22"/>
      <c r="P25" s="22"/>
      <c r="Q25" s="22"/>
      <c r="R25" s="22"/>
      <c r="S25" s="22"/>
      <c r="T25" s="22"/>
      <c r="U25" s="22"/>
      <c r="V25" s="22"/>
      <c r="W25" s="22"/>
      <c r="X25" s="22"/>
      <c r="Y25" s="22"/>
      <c r="Z25" s="22"/>
      <c r="AA25" s="22"/>
      <c r="AB25" s="22"/>
      <c r="AC25" s="22"/>
      <c r="AD25" s="22"/>
      <c r="AE25" s="22"/>
      <c r="AF25" s="22"/>
      <c r="AG25" s="22"/>
      <c r="AH25" s="22"/>
      <c r="AI25" s="22"/>
      <c r="AJ25" s="22"/>
      <c r="AK25" s="22"/>
      <c r="AL25" s="22"/>
      <c r="AM25" s="22"/>
      <c r="AN25" s="22"/>
      <c r="AO25" s="22"/>
      <c r="AP25" s="22"/>
      <c r="AQ25" s="22"/>
      <c r="AR25" s="22"/>
      <c r="AS25" s="22"/>
      <c r="AT25" s="22"/>
      <c r="AU25" s="22"/>
      <c r="AV25" s="22"/>
      <c r="AW25" s="22"/>
      <c r="AX25" s="22"/>
      <c r="AY25" s="22"/>
      <c r="AZ25" s="22"/>
      <c r="BA25" s="22"/>
      <c r="BB25" s="22"/>
      <c r="BC25" s="22"/>
      <c r="BD25" s="22"/>
      <c r="BE25" s="22"/>
      <c r="BF25" s="22"/>
      <c r="BG25" s="22"/>
      <c r="BH25" s="22"/>
      <c r="BI25" s="22"/>
      <c r="BJ25" s="22"/>
      <c r="BK25" s="22"/>
      <c r="BL25" s="22"/>
      <c r="BM25" s="22"/>
      <c r="BN25" s="22"/>
      <c r="BO25" s="22"/>
      <c r="BP25" s="22"/>
      <c r="BQ25" s="22"/>
      <c r="BR25" s="22"/>
      <c r="BS25" s="22"/>
      <c r="BT25" s="22"/>
      <c r="BU25" s="22"/>
      <c r="BV25" s="22"/>
      <c r="BW25" s="22"/>
      <c r="BX25" s="22"/>
      <c r="BY25" s="22"/>
      <c r="BZ25" s="22"/>
      <c r="CA25" s="22"/>
      <c r="CB25" s="22"/>
      <c r="CC25" s="22"/>
      <c r="CD25" s="22"/>
      <c r="CE25" s="22"/>
      <c r="CF25" s="22"/>
      <c r="CG25" s="22"/>
      <c r="CH25" s="22"/>
      <c r="CI25" s="22"/>
      <c r="CJ25" s="22"/>
      <c r="CK25" s="22"/>
      <c r="CL25" s="22"/>
      <c r="CM25" s="22"/>
      <c r="CN25" s="22"/>
      <c r="CO25" s="22"/>
      <c r="CP25" s="22"/>
      <c r="CQ25" s="22"/>
      <c r="CR25" s="22"/>
      <c r="CS25" s="22"/>
      <c r="CT25" s="22"/>
      <c r="CU25" s="22"/>
      <c r="CV25" s="22"/>
      <c r="CW25" s="22"/>
      <c r="CX25" s="22"/>
      <c r="CY25" s="22"/>
      <c r="CZ25" s="22"/>
      <c r="DA25" s="22"/>
      <c r="DB25" s="22"/>
      <c r="DC25" s="22"/>
      <c r="DD25" s="22"/>
      <c r="DE25" s="22"/>
      <c r="DF25" s="22"/>
      <c r="DG25" s="22"/>
      <c r="DH25" s="22"/>
      <c r="DI25" s="22"/>
      <c r="DJ25" s="22"/>
      <c r="DK25" s="22"/>
      <c r="DL25" s="22"/>
      <c r="DM25" s="22"/>
      <c r="DN25" s="22"/>
      <c r="DO25" s="22"/>
      <c r="DP25" s="22"/>
      <c r="DQ25" s="22"/>
      <c r="DR25" s="22"/>
      <c r="DS25" s="22"/>
      <c r="DT25" s="22"/>
      <c r="DU25" s="22"/>
      <c r="DV25" s="22"/>
      <c r="DW25" s="22"/>
      <c r="DX25" s="22"/>
      <c r="DY25" s="22"/>
      <c r="DZ25" s="22"/>
      <c r="EA25" s="22"/>
      <c r="EB25" s="22"/>
      <c r="EC25" s="22"/>
      <c r="ED25" s="22"/>
      <c r="EE25" s="22"/>
      <c r="EF25" s="22"/>
      <c r="EG25" s="22"/>
      <c r="EH25" s="22"/>
      <c r="EI25" s="22"/>
      <c r="EJ25" s="22"/>
      <c r="EK25" s="22"/>
      <c r="EL25" s="22"/>
      <c r="EM25" s="22"/>
      <c r="EN25" s="22"/>
      <c r="EO25" s="22"/>
      <c r="EP25" s="22"/>
      <c r="EQ25" s="22"/>
      <c r="ER25" s="22"/>
      <c r="ES25" s="22"/>
      <c r="ET25" s="22"/>
      <c r="EU25" s="22"/>
      <c r="EV25" s="22"/>
      <c r="EW25" s="22"/>
      <c r="EX25" s="22"/>
      <c r="EY25" s="22"/>
      <c r="EZ25" s="22"/>
      <c r="FA25" s="22"/>
      <c r="FB25" s="22"/>
      <c r="FC25" s="22"/>
      <c r="FD25" s="22"/>
      <c r="FE25" s="22"/>
      <c r="FF25" s="22"/>
      <c r="FG25" s="22"/>
      <c r="FH25" s="22"/>
      <c r="FI25" s="22"/>
      <c r="FJ25" s="22"/>
      <c r="FK25" s="22"/>
      <c r="FL25" s="22"/>
      <c r="FM25" s="22"/>
      <c r="FN25" s="22"/>
      <c r="FO25" s="22"/>
      <c r="FP25" s="22"/>
      <c r="FQ25" s="22"/>
      <c r="FR25" s="22"/>
      <c r="FS25" s="22"/>
      <c r="FT25" s="22"/>
      <c r="FU25" s="22"/>
      <c r="FV25" s="22"/>
      <c r="FW25" s="22"/>
      <c r="FX25" s="22"/>
      <c r="FY25" s="22"/>
      <c r="FZ25" s="22"/>
    </row>
    <row r="26" spans="1:185" x14ac:dyDescent="0.2">
      <c r="B26" s="22"/>
      <c r="C26" s="22"/>
      <c r="D26" s="22"/>
      <c r="E26" s="22"/>
      <c r="F26" s="22"/>
      <c r="G26" s="22"/>
      <c r="H26" s="22"/>
      <c r="I26" s="22"/>
      <c r="J26" s="22"/>
      <c r="K26" s="22"/>
      <c r="L26" s="22"/>
      <c r="M26" s="22"/>
      <c r="N26" s="22"/>
      <c r="O26" s="22"/>
      <c r="P26" s="22"/>
      <c r="Q26" s="22"/>
      <c r="R26" s="22"/>
      <c r="S26" s="22"/>
      <c r="T26" s="22"/>
      <c r="U26" s="22"/>
      <c r="V26" s="22"/>
      <c r="W26" s="22"/>
      <c r="X26" s="22"/>
      <c r="Y26" s="22"/>
      <c r="Z26" s="22"/>
      <c r="AA26" s="22"/>
      <c r="AB26" s="22"/>
      <c r="AC26" s="22"/>
      <c r="AD26" s="22"/>
      <c r="AE26" s="22"/>
      <c r="AF26" s="22"/>
      <c r="AG26" s="22"/>
      <c r="AH26" s="22"/>
      <c r="AI26" s="22"/>
      <c r="AJ26" s="22"/>
      <c r="AK26" s="22"/>
      <c r="AL26" s="22"/>
      <c r="AM26" s="22"/>
      <c r="AN26" s="22"/>
      <c r="AO26" s="22"/>
      <c r="AP26" s="22"/>
      <c r="AQ26" s="22"/>
      <c r="AR26" s="22"/>
      <c r="AS26" s="22"/>
      <c r="AT26" s="22"/>
      <c r="AU26" s="22"/>
      <c r="AV26" s="22"/>
      <c r="AW26" s="22"/>
      <c r="AX26" s="22"/>
      <c r="AY26" s="22"/>
      <c r="AZ26" s="22"/>
      <c r="BA26" s="22"/>
      <c r="BB26" s="22"/>
      <c r="BC26" s="22"/>
      <c r="BD26" s="22"/>
      <c r="BE26" s="22"/>
      <c r="BF26" s="22"/>
      <c r="BG26" s="22"/>
      <c r="BH26" s="22"/>
      <c r="BI26" s="22"/>
      <c r="BJ26" s="22"/>
      <c r="BK26" s="22"/>
      <c r="BL26" s="22"/>
      <c r="BM26" s="22"/>
      <c r="BN26" s="22"/>
      <c r="BO26" s="22"/>
      <c r="BP26" s="22"/>
      <c r="BQ26" s="22"/>
      <c r="BR26" s="22"/>
      <c r="BS26" s="22"/>
      <c r="BT26" s="22"/>
      <c r="BU26" s="22"/>
      <c r="BV26" s="22"/>
      <c r="BW26" s="22"/>
      <c r="BX26" s="22"/>
      <c r="BY26" s="22"/>
      <c r="BZ26" s="22"/>
      <c r="CA26" s="22"/>
      <c r="CB26" s="22"/>
      <c r="CC26" s="22"/>
      <c r="CD26" s="22"/>
      <c r="CE26" s="22"/>
      <c r="CF26" s="22"/>
      <c r="CG26" s="22"/>
      <c r="CH26" s="22"/>
      <c r="CI26" s="22"/>
      <c r="CJ26" s="22"/>
      <c r="CK26" s="22"/>
      <c r="CL26" s="22"/>
      <c r="CM26" s="22"/>
      <c r="CN26" s="22"/>
      <c r="CO26" s="22"/>
      <c r="CP26" s="22"/>
      <c r="CQ26" s="22"/>
      <c r="CR26" s="22"/>
      <c r="CS26" s="22"/>
      <c r="CT26" s="22"/>
      <c r="CU26" s="22"/>
      <c r="CV26" s="22"/>
      <c r="CW26" s="22"/>
      <c r="CX26" s="22"/>
      <c r="CY26" s="22"/>
      <c r="CZ26" s="22"/>
      <c r="DA26" s="22"/>
      <c r="DB26" s="22"/>
      <c r="DC26" s="22"/>
      <c r="DD26" s="22"/>
      <c r="DE26" s="22"/>
      <c r="DF26" s="22"/>
      <c r="DG26" s="22"/>
      <c r="DH26" s="22"/>
      <c r="DI26" s="22"/>
      <c r="DJ26" s="22"/>
      <c r="DK26" s="22"/>
      <c r="DL26" s="22"/>
      <c r="DM26" s="22"/>
      <c r="DN26" s="22"/>
      <c r="DO26" s="22"/>
      <c r="DP26" s="22"/>
      <c r="DQ26" s="22"/>
      <c r="DR26" s="22"/>
      <c r="DS26" s="22"/>
      <c r="DT26" s="22"/>
      <c r="DU26" s="22"/>
      <c r="DV26" s="22"/>
      <c r="DW26" s="22"/>
      <c r="DX26" s="22"/>
      <c r="DY26" s="22"/>
      <c r="DZ26" s="22"/>
      <c r="EA26" s="22"/>
      <c r="EB26" s="22"/>
      <c r="EC26" s="22"/>
      <c r="ED26" s="22"/>
      <c r="EE26" s="22"/>
      <c r="EF26" s="22"/>
      <c r="EG26" s="22"/>
      <c r="EH26" s="22"/>
      <c r="EI26" s="22"/>
      <c r="EJ26" s="22"/>
      <c r="EK26" s="22"/>
      <c r="EL26" s="22"/>
      <c r="EM26" s="22"/>
      <c r="EN26" s="22"/>
      <c r="EO26" s="22"/>
      <c r="EP26" s="22"/>
      <c r="EQ26" s="22"/>
      <c r="ER26" s="22"/>
      <c r="ES26" s="22"/>
      <c r="ET26" s="22"/>
      <c r="EU26" s="22"/>
      <c r="EV26" s="22"/>
      <c r="EW26" s="22"/>
      <c r="EX26" s="22"/>
      <c r="EY26" s="22"/>
      <c r="EZ26" s="22"/>
      <c r="FA26" s="22"/>
      <c r="FB26" s="22"/>
      <c r="FC26" s="22"/>
      <c r="FD26" s="22"/>
      <c r="FE26" s="22"/>
      <c r="FF26" s="22"/>
      <c r="FG26" s="22"/>
      <c r="FH26" s="22"/>
      <c r="FI26" s="22"/>
      <c r="FJ26" s="22"/>
      <c r="FK26" s="22"/>
      <c r="FL26" s="22"/>
      <c r="FM26" s="22"/>
      <c r="FN26" s="22"/>
      <c r="FO26" s="22"/>
      <c r="FP26" s="22"/>
      <c r="FQ26" s="22"/>
      <c r="FR26" s="22"/>
      <c r="FS26" s="22"/>
      <c r="FT26" s="22"/>
      <c r="FU26" s="22"/>
      <c r="FV26" s="22"/>
      <c r="FW26" s="22"/>
      <c r="FX26" s="22"/>
      <c r="FY26" s="22"/>
      <c r="FZ26" s="22"/>
    </row>
    <row r="27" spans="1:185" x14ac:dyDescent="0.2">
      <c r="B27" s="22"/>
      <c r="C27" s="22"/>
      <c r="D27" s="22"/>
      <c r="E27" s="22"/>
      <c r="F27" s="22"/>
      <c r="G27" s="22"/>
      <c r="H27" s="22"/>
      <c r="I27" s="22"/>
      <c r="J27" s="22"/>
      <c r="K27" s="22"/>
      <c r="L27" s="22"/>
      <c r="M27" s="22"/>
      <c r="N27" s="22"/>
      <c r="O27" s="22"/>
      <c r="P27" s="22"/>
      <c r="Q27" s="22"/>
      <c r="R27" s="22"/>
      <c r="S27" s="22"/>
      <c r="T27" s="22"/>
      <c r="U27" s="22"/>
      <c r="V27" s="22"/>
      <c r="W27" s="22"/>
      <c r="X27" s="22"/>
      <c r="Y27" s="22"/>
      <c r="Z27" s="22"/>
      <c r="AA27" s="22"/>
      <c r="AB27" s="22"/>
      <c r="AC27" s="22"/>
      <c r="AD27" s="22"/>
      <c r="AE27" s="22"/>
      <c r="AF27" s="22"/>
      <c r="AG27" s="22"/>
      <c r="AH27" s="22"/>
      <c r="AI27" s="22"/>
      <c r="AJ27" s="22"/>
      <c r="AK27" s="22"/>
      <c r="AL27" s="22"/>
      <c r="AM27" s="22"/>
      <c r="AN27" s="22"/>
      <c r="AO27" s="22"/>
      <c r="AP27" s="22"/>
      <c r="AQ27" s="22"/>
      <c r="AR27" s="22"/>
      <c r="AS27" s="22"/>
      <c r="AT27" s="22"/>
      <c r="AU27" s="22"/>
      <c r="AV27" s="22"/>
      <c r="AW27" s="22"/>
      <c r="AX27" s="22"/>
      <c r="AY27" s="22"/>
      <c r="AZ27" s="22"/>
      <c r="BA27" s="22"/>
      <c r="BB27" s="22"/>
      <c r="BC27" s="22"/>
      <c r="BD27" s="22"/>
      <c r="BE27" s="22"/>
      <c r="BF27" s="22"/>
      <c r="BG27" s="22"/>
      <c r="BH27" s="22"/>
      <c r="BI27" s="22"/>
      <c r="BJ27" s="22"/>
      <c r="BK27" s="22"/>
      <c r="BL27" s="22"/>
      <c r="BM27" s="22"/>
      <c r="BN27" s="22"/>
      <c r="BO27" s="22"/>
      <c r="BP27" s="22"/>
      <c r="BQ27" s="22"/>
      <c r="BR27" s="22"/>
      <c r="BS27" s="22"/>
      <c r="BT27" s="22"/>
      <c r="BU27" s="22"/>
      <c r="BV27" s="22"/>
      <c r="BW27" s="22"/>
      <c r="BX27" s="22"/>
      <c r="BY27" s="22"/>
      <c r="BZ27" s="22"/>
      <c r="CA27" s="22"/>
      <c r="CB27" s="22"/>
      <c r="CC27" s="22"/>
      <c r="CD27" s="22"/>
      <c r="CE27" s="22"/>
      <c r="CF27" s="22"/>
      <c r="CG27" s="22"/>
      <c r="CH27" s="22"/>
      <c r="CI27" s="22"/>
      <c r="CJ27" s="22"/>
      <c r="CK27" s="22"/>
      <c r="CL27" s="22"/>
      <c r="CM27" s="22"/>
      <c r="CN27" s="22"/>
      <c r="CO27" s="22"/>
      <c r="CP27" s="22"/>
      <c r="CQ27" s="22"/>
      <c r="CR27" s="22"/>
      <c r="CS27" s="22"/>
      <c r="CT27" s="22"/>
      <c r="CU27" s="22"/>
      <c r="CV27" s="22"/>
      <c r="CW27" s="22"/>
      <c r="CX27" s="22"/>
      <c r="CY27" s="22"/>
      <c r="CZ27" s="22"/>
      <c r="DA27" s="22"/>
      <c r="DB27" s="22"/>
      <c r="DC27" s="22"/>
      <c r="DD27" s="22"/>
      <c r="DE27" s="22"/>
      <c r="DF27" s="22"/>
      <c r="DG27" s="22"/>
      <c r="DH27" s="22"/>
      <c r="DI27" s="22"/>
      <c r="DJ27" s="22"/>
      <c r="DK27" s="22"/>
      <c r="DL27" s="22"/>
      <c r="DM27" s="22"/>
      <c r="DN27" s="22"/>
      <c r="DO27" s="22"/>
      <c r="DP27" s="22"/>
      <c r="DQ27" s="22"/>
      <c r="DR27" s="22"/>
      <c r="DS27" s="22"/>
      <c r="DT27" s="22"/>
      <c r="DU27" s="22"/>
      <c r="DV27" s="22"/>
      <c r="DW27" s="22"/>
      <c r="DX27" s="22"/>
      <c r="DY27" s="22"/>
      <c r="DZ27" s="22"/>
      <c r="EA27" s="22"/>
      <c r="EB27" s="22"/>
      <c r="EC27" s="22"/>
      <c r="ED27" s="22"/>
      <c r="EE27" s="22"/>
      <c r="EF27" s="22"/>
      <c r="EG27" s="22"/>
      <c r="EH27" s="22"/>
      <c r="EI27" s="22"/>
      <c r="EJ27" s="22"/>
      <c r="EK27" s="22"/>
      <c r="EL27" s="22"/>
      <c r="EM27" s="22"/>
      <c r="EN27" s="22"/>
      <c r="EO27" s="22"/>
      <c r="EP27" s="22"/>
      <c r="EQ27" s="22"/>
      <c r="ER27" s="22"/>
      <c r="ES27" s="22"/>
      <c r="ET27" s="22"/>
      <c r="EU27" s="22"/>
      <c r="EV27" s="22"/>
      <c r="EW27" s="22"/>
      <c r="EX27" s="22"/>
      <c r="EY27" s="22"/>
      <c r="EZ27" s="22"/>
      <c r="FA27" s="22"/>
      <c r="FB27" s="22"/>
      <c r="FC27" s="22"/>
      <c r="FD27" s="22"/>
      <c r="FE27" s="22"/>
      <c r="FF27" s="22"/>
      <c r="FG27" s="22"/>
      <c r="FH27" s="22"/>
      <c r="FI27" s="22"/>
      <c r="FJ27" s="22"/>
      <c r="FK27" s="22"/>
      <c r="FL27" s="22"/>
      <c r="FM27" s="22"/>
      <c r="FN27" s="22"/>
      <c r="FO27" s="22"/>
      <c r="FP27" s="22"/>
      <c r="FQ27" s="22"/>
      <c r="FR27" s="22"/>
      <c r="FS27" s="22"/>
      <c r="FT27" s="22"/>
      <c r="FU27" s="22"/>
      <c r="FV27" s="22"/>
      <c r="FW27" s="22"/>
      <c r="FX27" s="22"/>
      <c r="FY27" s="22"/>
      <c r="FZ27" s="22"/>
    </row>
    <row r="28" spans="1:185" x14ac:dyDescent="0.2">
      <c r="B28" s="22"/>
      <c r="C28" s="22"/>
      <c r="D28" s="22"/>
      <c r="E28" s="22"/>
      <c r="F28" s="22"/>
      <c r="G28" s="22"/>
      <c r="H28" s="22"/>
      <c r="I28" s="22"/>
      <c r="J28" s="22"/>
      <c r="K28" s="22"/>
      <c r="L28" s="22"/>
      <c r="M28" s="22"/>
      <c r="N28" s="22"/>
      <c r="O28" s="22"/>
      <c r="P28" s="22"/>
      <c r="Q28" s="22"/>
      <c r="R28" s="22"/>
      <c r="S28" s="22"/>
      <c r="T28" s="22"/>
      <c r="U28" s="22"/>
      <c r="V28" s="22"/>
      <c r="W28" s="22"/>
      <c r="X28" s="22"/>
      <c r="Y28" s="22"/>
      <c r="Z28" s="22"/>
      <c r="AA28" s="22"/>
      <c r="AB28" s="22"/>
      <c r="AC28" s="22"/>
      <c r="AD28" s="22"/>
      <c r="AE28" s="22"/>
      <c r="AF28" s="22"/>
      <c r="AG28" s="22"/>
      <c r="AH28" s="22"/>
      <c r="AI28" s="22"/>
      <c r="AJ28" s="22"/>
      <c r="AK28" s="22"/>
      <c r="AL28" s="22"/>
      <c r="AM28" s="22"/>
      <c r="AN28" s="22"/>
      <c r="AO28" s="22"/>
      <c r="AP28" s="22"/>
      <c r="AQ28" s="22"/>
      <c r="AR28" s="22"/>
      <c r="AS28" s="22"/>
      <c r="AT28" s="22"/>
      <c r="AU28" s="22"/>
      <c r="AV28" s="22"/>
      <c r="AW28" s="22"/>
      <c r="AX28" s="22"/>
      <c r="AY28" s="22"/>
      <c r="AZ28" s="22"/>
      <c r="BA28" s="22"/>
      <c r="BB28" s="22"/>
      <c r="BC28" s="22"/>
      <c r="BD28" s="22"/>
      <c r="BE28" s="22"/>
      <c r="BF28" s="22"/>
      <c r="BG28" s="22"/>
      <c r="BH28" s="22"/>
      <c r="BI28" s="22"/>
      <c r="BJ28" s="22"/>
      <c r="BK28" s="22"/>
      <c r="BL28" s="22"/>
      <c r="BM28" s="22"/>
      <c r="BN28" s="22"/>
      <c r="BO28" s="22"/>
      <c r="BP28" s="22"/>
      <c r="BQ28" s="22"/>
      <c r="BR28" s="22"/>
      <c r="BS28" s="22"/>
      <c r="BT28" s="22"/>
      <c r="BU28" s="22"/>
      <c r="BV28" s="22"/>
      <c r="BW28" s="22"/>
      <c r="BX28" s="22"/>
      <c r="BY28" s="22"/>
      <c r="BZ28" s="22"/>
      <c r="CA28" s="22"/>
      <c r="CB28" s="22"/>
      <c r="CC28" s="22"/>
      <c r="CD28" s="22"/>
      <c r="CE28" s="22"/>
      <c r="CF28" s="22"/>
      <c r="CG28" s="22"/>
      <c r="CH28" s="22"/>
      <c r="CI28" s="22"/>
      <c r="CJ28" s="22"/>
      <c r="CK28" s="22"/>
      <c r="CL28" s="22"/>
      <c r="CM28" s="22"/>
      <c r="CN28" s="22"/>
      <c r="CO28" s="22"/>
      <c r="CP28" s="22"/>
      <c r="CQ28" s="22"/>
      <c r="CR28" s="22"/>
      <c r="CS28" s="22"/>
      <c r="CT28" s="22"/>
      <c r="CU28" s="22"/>
      <c r="CV28" s="22"/>
      <c r="CW28" s="22"/>
      <c r="CX28" s="22"/>
      <c r="CY28" s="22"/>
      <c r="CZ28" s="22"/>
      <c r="DA28" s="22"/>
      <c r="DB28" s="22"/>
      <c r="DC28" s="22"/>
      <c r="DD28" s="22"/>
      <c r="DE28" s="22"/>
      <c r="DF28" s="22"/>
      <c r="DG28" s="22"/>
      <c r="DH28" s="22"/>
      <c r="DI28" s="22"/>
      <c r="DJ28" s="22"/>
      <c r="DK28" s="22"/>
      <c r="DL28" s="22"/>
      <c r="DM28" s="22"/>
      <c r="DN28" s="22"/>
      <c r="DO28" s="22"/>
      <c r="DP28" s="22"/>
      <c r="DQ28" s="22"/>
      <c r="DR28" s="22"/>
      <c r="DS28" s="22"/>
      <c r="DT28" s="22"/>
      <c r="DU28" s="22"/>
      <c r="DV28" s="22"/>
      <c r="DW28" s="22"/>
      <c r="DX28" s="22"/>
      <c r="DY28" s="22"/>
      <c r="DZ28" s="22"/>
      <c r="EA28" s="22"/>
      <c r="EB28" s="22"/>
      <c r="EC28" s="22"/>
      <c r="ED28" s="22"/>
      <c r="EE28" s="22"/>
      <c r="EF28" s="22"/>
      <c r="EG28" s="22"/>
      <c r="EH28" s="22"/>
      <c r="EI28" s="22"/>
      <c r="EJ28" s="22"/>
      <c r="EK28" s="22"/>
      <c r="EL28" s="22"/>
      <c r="EM28" s="22"/>
      <c r="EN28" s="22"/>
      <c r="EO28" s="22"/>
      <c r="EP28" s="22"/>
      <c r="EQ28" s="22"/>
      <c r="ER28" s="22"/>
      <c r="ES28" s="22"/>
      <c r="ET28" s="22"/>
      <c r="EU28" s="22"/>
      <c r="EV28" s="22"/>
      <c r="EW28" s="22"/>
      <c r="EX28" s="22"/>
      <c r="EY28" s="22"/>
      <c r="EZ28" s="22"/>
      <c r="FA28" s="22"/>
      <c r="FB28" s="22"/>
      <c r="FC28" s="22"/>
      <c r="FD28" s="22"/>
      <c r="FE28" s="22"/>
      <c r="FF28" s="22"/>
      <c r="FG28" s="22"/>
      <c r="FH28" s="22"/>
      <c r="FI28" s="22"/>
      <c r="FJ28" s="22"/>
      <c r="FK28" s="22"/>
      <c r="FL28" s="22"/>
      <c r="FM28" s="22"/>
      <c r="FN28" s="22"/>
      <c r="FO28" s="22"/>
      <c r="FP28" s="22"/>
      <c r="FQ28" s="22"/>
      <c r="FR28" s="22"/>
      <c r="FS28" s="22"/>
      <c r="FT28" s="22"/>
      <c r="FU28" s="22"/>
      <c r="FV28" s="22"/>
      <c r="FW28" s="22"/>
      <c r="FX28" s="22"/>
      <c r="FY28" s="22"/>
      <c r="FZ28" s="22"/>
    </row>
    <row r="29" spans="1:185" x14ac:dyDescent="0.2">
      <c r="B29" s="22"/>
      <c r="C29" s="22"/>
      <c r="D29" s="22"/>
      <c r="E29" s="22"/>
      <c r="F29" s="22"/>
      <c r="G29" s="22"/>
      <c r="H29" s="22"/>
      <c r="I29" s="22"/>
      <c r="J29" s="22"/>
      <c r="K29" s="22"/>
      <c r="L29" s="22"/>
      <c r="M29" s="22"/>
      <c r="N29" s="22"/>
      <c r="O29" s="22"/>
      <c r="P29" s="22"/>
      <c r="Q29" s="22"/>
      <c r="R29" s="22"/>
      <c r="S29" s="22"/>
      <c r="T29" s="22"/>
      <c r="U29" s="22"/>
      <c r="V29" s="22"/>
      <c r="W29" s="22"/>
      <c r="X29" s="22"/>
      <c r="Y29" s="22"/>
      <c r="Z29" s="22"/>
      <c r="AA29" s="22"/>
      <c r="AB29" s="22"/>
      <c r="AC29" s="22"/>
      <c r="AD29" s="22"/>
      <c r="AE29" s="22"/>
      <c r="AF29" s="22"/>
      <c r="AG29" s="22"/>
      <c r="AH29" s="22"/>
      <c r="AI29" s="22"/>
      <c r="AJ29" s="22"/>
      <c r="AK29" s="22"/>
      <c r="AL29" s="22"/>
      <c r="AM29" s="22"/>
      <c r="AN29" s="22"/>
      <c r="AO29" s="22"/>
      <c r="AP29" s="22"/>
      <c r="AQ29" s="22"/>
      <c r="AR29" s="22"/>
      <c r="AS29" s="22"/>
      <c r="AT29" s="22"/>
      <c r="AU29" s="22"/>
      <c r="AV29" s="22"/>
      <c r="AW29" s="22"/>
      <c r="AX29" s="22"/>
      <c r="AY29" s="22"/>
      <c r="AZ29" s="22"/>
      <c r="BA29" s="22"/>
      <c r="BB29" s="22"/>
      <c r="BC29" s="22"/>
      <c r="BD29" s="22"/>
      <c r="BE29" s="22"/>
      <c r="BF29" s="22"/>
      <c r="BG29" s="22"/>
      <c r="BH29" s="22"/>
      <c r="BI29" s="22"/>
      <c r="BJ29" s="22"/>
      <c r="BK29" s="22"/>
      <c r="BL29" s="22"/>
      <c r="BM29" s="22"/>
      <c r="BN29" s="22"/>
      <c r="BO29" s="22"/>
      <c r="BP29" s="22"/>
      <c r="BQ29" s="22"/>
      <c r="BR29" s="22"/>
      <c r="BS29" s="22"/>
      <c r="BT29" s="22"/>
      <c r="BU29" s="22"/>
      <c r="BV29" s="22"/>
      <c r="BW29" s="22"/>
      <c r="BX29" s="22"/>
      <c r="BY29" s="22"/>
      <c r="BZ29" s="22"/>
      <c r="CA29" s="22"/>
      <c r="CB29" s="22"/>
      <c r="CC29" s="22"/>
      <c r="CD29" s="22"/>
      <c r="CE29" s="22"/>
      <c r="CF29" s="22"/>
      <c r="CG29" s="22"/>
      <c r="CH29" s="22"/>
      <c r="CI29" s="22"/>
      <c r="CJ29" s="22"/>
      <c r="CK29" s="22"/>
      <c r="CL29" s="22"/>
      <c r="CM29" s="22"/>
      <c r="CN29" s="22"/>
      <c r="CO29" s="22"/>
      <c r="CP29" s="22"/>
      <c r="CQ29" s="22"/>
      <c r="CR29" s="22"/>
      <c r="CS29" s="22"/>
      <c r="CT29" s="22"/>
      <c r="CU29" s="22"/>
      <c r="CV29" s="22"/>
      <c r="CW29" s="22"/>
      <c r="CX29" s="22"/>
      <c r="CY29" s="22"/>
      <c r="CZ29" s="22"/>
      <c r="DA29" s="22"/>
      <c r="DB29" s="22"/>
      <c r="DC29" s="22"/>
      <c r="DD29" s="22"/>
      <c r="DE29" s="22"/>
      <c r="DF29" s="22"/>
      <c r="DG29" s="22"/>
      <c r="DH29" s="22"/>
      <c r="DI29" s="22"/>
      <c r="DJ29" s="22"/>
      <c r="DK29" s="22"/>
      <c r="DL29" s="22"/>
      <c r="DM29" s="22"/>
      <c r="DN29" s="22"/>
      <c r="DO29" s="22"/>
      <c r="DP29" s="22"/>
      <c r="DQ29" s="22"/>
      <c r="DR29" s="22"/>
      <c r="DS29" s="22"/>
      <c r="DT29" s="22"/>
      <c r="DU29" s="22"/>
      <c r="DV29" s="22"/>
      <c r="DW29" s="22"/>
      <c r="DX29" s="22"/>
      <c r="DY29" s="22"/>
      <c r="DZ29" s="22"/>
      <c r="EA29" s="22"/>
      <c r="EB29" s="22"/>
      <c r="EC29" s="22"/>
      <c r="ED29" s="22"/>
      <c r="EE29" s="22"/>
      <c r="EF29" s="22"/>
      <c r="EG29" s="22"/>
      <c r="EH29" s="22"/>
      <c r="EI29" s="22"/>
      <c r="EJ29" s="22"/>
      <c r="EK29" s="22"/>
      <c r="EL29" s="22"/>
      <c r="EM29" s="22"/>
      <c r="EN29" s="22"/>
      <c r="EO29" s="22"/>
      <c r="EP29" s="22"/>
      <c r="EQ29" s="22"/>
      <c r="ER29" s="22"/>
      <c r="ES29" s="22"/>
      <c r="ET29" s="22"/>
      <c r="EU29" s="22"/>
      <c r="EV29" s="22"/>
      <c r="EW29" s="22"/>
      <c r="EX29" s="22"/>
      <c r="EY29" s="22"/>
      <c r="EZ29" s="22"/>
      <c r="FA29" s="22"/>
      <c r="FB29" s="22"/>
      <c r="FC29" s="22"/>
      <c r="FD29" s="22"/>
      <c r="FE29" s="22"/>
      <c r="FF29" s="22"/>
      <c r="FG29" s="22"/>
      <c r="FH29" s="22"/>
      <c r="FI29" s="22"/>
      <c r="FJ29" s="22"/>
      <c r="FK29" s="22"/>
      <c r="FL29" s="22"/>
      <c r="FM29" s="22"/>
      <c r="FN29" s="22"/>
      <c r="FO29" s="22"/>
      <c r="FP29" s="22"/>
      <c r="FQ29" s="22"/>
      <c r="FR29" s="22"/>
      <c r="FS29" s="22"/>
      <c r="FT29" s="22"/>
      <c r="FU29" s="22"/>
      <c r="FV29" s="22"/>
      <c r="FW29" s="22"/>
      <c r="FX29" s="22"/>
      <c r="FY29" s="22"/>
      <c r="FZ29" s="22"/>
    </row>
    <row r="30" spans="1:185" x14ac:dyDescent="0.2">
      <c r="B30" s="22"/>
      <c r="C30" s="22"/>
      <c r="D30" s="22"/>
      <c r="E30" s="22"/>
      <c r="F30" s="22"/>
      <c r="G30" s="22"/>
      <c r="H30" s="22"/>
      <c r="I30" s="22"/>
      <c r="J30" s="22"/>
      <c r="K30" s="22"/>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2"/>
      <c r="AS30" s="22"/>
      <c r="AT30" s="22"/>
      <c r="AU30" s="22"/>
      <c r="AV30" s="22"/>
      <c r="AW30" s="22"/>
      <c r="AX30" s="22"/>
      <c r="AY30" s="22"/>
      <c r="AZ30" s="22"/>
      <c r="BA30" s="22"/>
      <c r="BB30" s="22"/>
      <c r="BC30" s="22"/>
      <c r="BD30" s="22"/>
      <c r="BE30" s="22"/>
      <c r="BF30" s="22"/>
      <c r="BG30" s="22"/>
      <c r="BH30" s="22"/>
      <c r="BI30" s="22"/>
      <c r="BJ30" s="22"/>
      <c r="BK30" s="22"/>
      <c r="BL30" s="22"/>
      <c r="BM30" s="22"/>
      <c r="BN30" s="22"/>
      <c r="BO30" s="22"/>
      <c r="BP30" s="22"/>
      <c r="BQ30" s="22"/>
      <c r="BR30" s="22"/>
      <c r="BS30" s="22"/>
      <c r="BT30" s="22"/>
      <c r="BU30" s="22"/>
      <c r="BV30" s="22"/>
      <c r="BW30" s="22"/>
      <c r="BX30" s="22"/>
      <c r="BY30" s="22"/>
      <c r="BZ30" s="22"/>
      <c r="CA30" s="22"/>
      <c r="CB30" s="22"/>
      <c r="CC30" s="22"/>
      <c r="CD30" s="22"/>
      <c r="CE30" s="22"/>
      <c r="CF30" s="22"/>
      <c r="CG30" s="22"/>
      <c r="CH30" s="22"/>
      <c r="CI30" s="22"/>
      <c r="CJ30" s="22"/>
      <c r="CK30" s="22"/>
      <c r="CL30" s="22"/>
      <c r="CM30" s="22"/>
      <c r="CN30" s="22"/>
      <c r="CO30" s="22"/>
      <c r="CP30" s="22"/>
      <c r="CQ30" s="22"/>
      <c r="CR30" s="22"/>
      <c r="CS30" s="22"/>
      <c r="CT30" s="22"/>
      <c r="CU30" s="22"/>
      <c r="CV30" s="22"/>
      <c r="CW30" s="22"/>
      <c r="CX30" s="22"/>
      <c r="CY30" s="22"/>
      <c r="CZ30" s="22"/>
      <c r="DA30" s="22"/>
      <c r="DB30" s="22"/>
      <c r="DC30" s="22"/>
      <c r="DD30" s="22"/>
      <c r="DE30" s="22"/>
      <c r="DF30" s="22"/>
      <c r="DG30" s="22"/>
      <c r="DH30" s="22"/>
      <c r="DI30" s="22"/>
      <c r="DJ30" s="22"/>
      <c r="DK30" s="22"/>
      <c r="DL30" s="22"/>
      <c r="DM30" s="22"/>
      <c r="DN30" s="22"/>
      <c r="DO30" s="22"/>
      <c r="DP30" s="22"/>
      <c r="DQ30" s="22"/>
      <c r="DR30" s="22"/>
      <c r="DS30" s="22"/>
      <c r="DT30" s="22"/>
      <c r="DU30" s="22"/>
      <c r="DV30" s="22"/>
      <c r="DW30" s="22"/>
      <c r="DX30" s="22"/>
      <c r="DY30" s="22"/>
      <c r="DZ30" s="22"/>
      <c r="EA30" s="22"/>
      <c r="EB30" s="22"/>
      <c r="EC30" s="22"/>
      <c r="ED30" s="22"/>
      <c r="EE30" s="22"/>
      <c r="EF30" s="22"/>
      <c r="EG30" s="22"/>
      <c r="EH30" s="22"/>
      <c r="EI30" s="22"/>
      <c r="EJ30" s="22"/>
      <c r="EK30" s="22"/>
      <c r="EL30" s="22"/>
      <c r="EM30" s="22"/>
      <c r="EN30" s="22"/>
      <c r="EO30" s="22"/>
      <c r="EP30" s="22"/>
      <c r="EQ30" s="22"/>
      <c r="ER30" s="22"/>
      <c r="ES30" s="22"/>
      <c r="ET30" s="22"/>
      <c r="EU30" s="22"/>
      <c r="EV30" s="22"/>
      <c r="EW30" s="22"/>
      <c r="EX30" s="22"/>
      <c r="EY30" s="22"/>
      <c r="EZ30" s="22"/>
      <c r="FA30" s="22"/>
      <c r="FB30" s="22"/>
      <c r="FC30" s="22"/>
      <c r="FD30" s="22"/>
      <c r="FE30" s="22"/>
      <c r="FF30" s="22"/>
      <c r="FG30" s="22"/>
      <c r="FH30" s="22"/>
      <c r="FI30" s="22"/>
      <c r="FJ30" s="22"/>
      <c r="FK30" s="22"/>
      <c r="FL30" s="22"/>
      <c r="FM30" s="22"/>
      <c r="FN30" s="22"/>
      <c r="FO30" s="22"/>
      <c r="FP30" s="22"/>
      <c r="FQ30" s="22"/>
      <c r="FR30" s="22"/>
      <c r="FS30" s="22"/>
      <c r="FT30" s="22"/>
      <c r="FU30" s="22"/>
      <c r="FV30" s="22"/>
      <c r="FW30" s="22"/>
      <c r="FX30" s="22"/>
      <c r="FY30" s="22"/>
      <c r="FZ30" s="22"/>
    </row>
    <row r="31" spans="1:185" x14ac:dyDescent="0.2">
      <c r="B31" s="22"/>
      <c r="C31" s="22"/>
      <c r="D31" s="22"/>
      <c r="E31" s="22"/>
      <c r="F31" s="22"/>
      <c r="G31" s="22"/>
      <c r="H31" s="22"/>
      <c r="I31" s="22"/>
      <c r="J31" s="22"/>
      <c r="K31" s="22"/>
      <c r="L31" s="22"/>
      <c r="M31" s="22"/>
      <c r="N31" s="22"/>
      <c r="O31" s="22"/>
      <c r="P31" s="22"/>
      <c r="Q31" s="22"/>
      <c r="R31" s="22"/>
      <c r="S31" s="22"/>
      <c r="T31" s="22"/>
      <c r="U31" s="22"/>
      <c r="V31" s="22"/>
      <c r="W31" s="22"/>
      <c r="X31" s="22"/>
      <c r="Y31" s="22"/>
      <c r="Z31" s="22"/>
      <c r="AA31" s="22"/>
      <c r="AB31" s="22"/>
      <c r="AC31" s="22"/>
      <c r="AD31" s="22"/>
      <c r="AE31" s="22"/>
      <c r="AF31" s="22"/>
      <c r="AG31" s="22"/>
      <c r="AH31" s="22"/>
      <c r="AI31" s="22"/>
      <c r="AJ31" s="22"/>
      <c r="AK31" s="22"/>
      <c r="AL31" s="22"/>
      <c r="AM31" s="22"/>
      <c r="AN31" s="22"/>
      <c r="AO31" s="22"/>
      <c r="AP31" s="22"/>
      <c r="AQ31" s="22"/>
      <c r="AR31" s="22"/>
      <c r="AS31" s="22"/>
      <c r="AT31" s="22"/>
      <c r="AU31" s="22"/>
      <c r="AV31" s="22"/>
      <c r="AW31" s="22"/>
      <c r="AX31" s="22"/>
      <c r="AY31" s="22"/>
      <c r="AZ31" s="22"/>
      <c r="BA31" s="22"/>
      <c r="BB31" s="22"/>
      <c r="BC31" s="22"/>
      <c r="BD31" s="22"/>
      <c r="BE31" s="22"/>
      <c r="BF31" s="22"/>
      <c r="BG31" s="22"/>
      <c r="BH31" s="22"/>
      <c r="BI31" s="22"/>
      <c r="BJ31" s="22"/>
      <c r="BK31" s="22"/>
      <c r="BL31" s="22"/>
      <c r="BM31" s="22"/>
      <c r="BN31" s="22"/>
      <c r="BO31" s="22"/>
      <c r="BP31" s="22"/>
      <c r="BQ31" s="22"/>
      <c r="BR31" s="22"/>
      <c r="BS31" s="22"/>
      <c r="BT31" s="22"/>
      <c r="BU31" s="22"/>
      <c r="BV31" s="22"/>
      <c r="BW31" s="22"/>
      <c r="BX31" s="22"/>
      <c r="BY31" s="22"/>
      <c r="BZ31" s="22"/>
      <c r="CA31" s="22"/>
      <c r="CB31" s="22"/>
      <c r="CC31" s="22"/>
      <c r="CD31" s="22"/>
      <c r="CE31" s="22"/>
      <c r="CF31" s="22"/>
      <c r="CG31" s="22"/>
      <c r="CH31" s="22"/>
      <c r="CI31" s="22"/>
      <c r="CJ31" s="22"/>
      <c r="CK31" s="22"/>
      <c r="CL31" s="22"/>
      <c r="CM31" s="22"/>
      <c r="CN31" s="22"/>
      <c r="CO31" s="22"/>
      <c r="CP31" s="22"/>
      <c r="CQ31" s="22"/>
      <c r="CR31" s="22"/>
      <c r="CS31" s="22"/>
      <c r="CT31" s="22"/>
      <c r="CU31" s="22"/>
      <c r="CV31" s="22"/>
      <c r="CW31" s="22"/>
      <c r="CX31" s="22"/>
      <c r="CY31" s="22"/>
      <c r="CZ31" s="22"/>
      <c r="DA31" s="22"/>
      <c r="DB31" s="22"/>
      <c r="DC31" s="22"/>
      <c r="DD31" s="22"/>
      <c r="DE31" s="22"/>
      <c r="DF31" s="22"/>
      <c r="DG31" s="22"/>
      <c r="DH31" s="22"/>
      <c r="DI31" s="22"/>
      <c r="DJ31" s="22"/>
      <c r="DK31" s="22"/>
      <c r="DL31" s="22"/>
      <c r="DM31" s="22"/>
      <c r="DN31" s="22"/>
      <c r="DO31" s="22"/>
      <c r="DP31" s="22"/>
      <c r="DQ31" s="22"/>
      <c r="DR31" s="22"/>
      <c r="DS31" s="22"/>
      <c r="DT31" s="22"/>
      <c r="DU31" s="22"/>
      <c r="DV31" s="22"/>
      <c r="DW31" s="22"/>
      <c r="DX31" s="22"/>
      <c r="DY31" s="22"/>
      <c r="DZ31" s="22"/>
      <c r="EA31" s="22"/>
      <c r="EB31" s="22"/>
      <c r="EC31" s="22"/>
      <c r="ED31" s="22"/>
      <c r="EE31" s="22"/>
      <c r="EF31" s="22"/>
      <c r="EG31" s="22"/>
      <c r="EH31" s="22"/>
      <c r="EI31" s="22"/>
      <c r="EJ31" s="22"/>
      <c r="EK31" s="22"/>
      <c r="EL31" s="22"/>
      <c r="EM31" s="22"/>
      <c r="EN31" s="22"/>
      <c r="EO31" s="22"/>
      <c r="EP31" s="22"/>
      <c r="EQ31" s="22"/>
      <c r="ER31" s="22"/>
      <c r="ES31" s="22"/>
      <c r="ET31" s="22"/>
      <c r="EU31" s="22"/>
      <c r="EV31" s="22"/>
      <c r="EW31" s="22"/>
      <c r="EX31" s="22"/>
      <c r="EY31" s="22"/>
      <c r="EZ31" s="22"/>
      <c r="FA31" s="22"/>
      <c r="FB31" s="22"/>
      <c r="FC31" s="22"/>
      <c r="FD31" s="22"/>
      <c r="FE31" s="22"/>
      <c r="FF31" s="22"/>
      <c r="FG31" s="22"/>
      <c r="FH31" s="22"/>
      <c r="FI31" s="22"/>
      <c r="FJ31" s="22"/>
      <c r="FK31" s="22"/>
      <c r="FL31" s="22"/>
      <c r="FM31" s="22"/>
      <c r="FN31" s="22"/>
      <c r="FO31" s="22"/>
      <c r="FP31" s="22"/>
      <c r="FQ31" s="22"/>
      <c r="FR31" s="22"/>
      <c r="FS31" s="22"/>
      <c r="FT31" s="22"/>
      <c r="FU31" s="22"/>
      <c r="FV31" s="22"/>
      <c r="FW31" s="22"/>
      <c r="FX31" s="22"/>
      <c r="FY31" s="22"/>
      <c r="FZ31" s="22"/>
    </row>
    <row r="32" spans="1:185" x14ac:dyDescent="0.2">
      <c r="B32" s="22"/>
      <c r="C32" s="22"/>
      <c r="D32" s="22"/>
      <c r="E32" s="22"/>
      <c r="F32" s="22"/>
      <c r="G32" s="22"/>
      <c r="H32" s="22"/>
      <c r="I32" s="22"/>
      <c r="J32" s="22"/>
      <c r="K32" s="22"/>
      <c r="L32" s="22"/>
      <c r="M32" s="22"/>
      <c r="N32" s="22"/>
      <c r="O32" s="22"/>
      <c r="P32" s="22"/>
      <c r="Q32" s="22"/>
      <c r="R32" s="22"/>
      <c r="S32" s="22"/>
      <c r="T32" s="22"/>
      <c r="U32" s="22"/>
      <c r="V32" s="22"/>
      <c r="W32" s="22"/>
      <c r="X32" s="22"/>
      <c r="Y32" s="22"/>
      <c r="Z32" s="22"/>
      <c r="AA32" s="22"/>
      <c r="AB32" s="22"/>
      <c r="AC32" s="22"/>
      <c r="AD32" s="22"/>
      <c r="AE32" s="22"/>
      <c r="AF32" s="22"/>
      <c r="AG32" s="22"/>
      <c r="AH32" s="22"/>
      <c r="AI32" s="22"/>
      <c r="AJ32" s="22"/>
      <c r="AK32" s="22"/>
      <c r="AL32" s="22"/>
      <c r="AM32" s="22"/>
      <c r="AN32" s="22"/>
      <c r="AO32" s="22"/>
      <c r="AP32" s="22"/>
      <c r="AQ32" s="22"/>
      <c r="AR32" s="22"/>
      <c r="AS32" s="22"/>
      <c r="AT32" s="22"/>
      <c r="AU32" s="22"/>
      <c r="AV32" s="22"/>
      <c r="AW32" s="22"/>
      <c r="AX32" s="22"/>
      <c r="AY32" s="22"/>
      <c r="AZ32" s="22"/>
      <c r="BA32" s="22"/>
      <c r="BB32" s="22"/>
      <c r="BC32" s="22"/>
      <c r="BD32" s="22"/>
      <c r="BE32" s="22"/>
      <c r="BF32" s="22"/>
      <c r="BG32" s="22"/>
      <c r="BH32" s="22"/>
      <c r="BI32" s="22"/>
      <c r="BJ32" s="22"/>
      <c r="BK32" s="22"/>
      <c r="BL32" s="22"/>
      <c r="BM32" s="22"/>
      <c r="BN32" s="22"/>
      <c r="BO32" s="22"/>
      <c r="BP32" s="22"/>
      <c r="BQ32" s="22"/>
      <c r="BR32" s="22"/>
      <c r="BS32" s="22"/>
      <c r="BT32" s="22"/>
      <c r="BU32" s="22"/>
      <c r="BV32" s="22"/>
      <c r="BW32" s="22"/>
      <c r="BX32" s="22"/>
      <c r="BY32" s="22"/>
      <c r="BZ32" s="22"/>
      <c r="CA32" s="22"/>
      <c r="CB32" s="22"/>
      <c r="CC32" s="22"/>
      <c r="CD32" s="22"/>
      <c r="CE32" s="22"/>
      <c r="CF32" s="22"/>
      <c r="CG32" s="22"/>
      <c r="CH32" s="22"/>
      <c r="CI32" s="22"/>
      <c r="CJ32" s="22"/>
      <c r="CK32" s="22"/>
      <c r="CL32" s="22"/>
      <c r="CM32" s="22"/>
      <c r="CN32" s="22"/>
      <c r="CO32" s="22"/>
      <c r="CP32" s="22"/>
      <c r="CQ32" s="22"/>
      <c r="CR32" s="22"/>
      <c r="CS32" s="22"/>
      <c r="CT32" s="22"/>
      <c r="CU32" s="22"/>
      <c r="CV32" s="22"/>
      <c r="CW32" s="22"/>
      <c r="CX32" s="22"/>
      <c r="CY32" s="22"/>
      <c r="CZ32" s="22"/>
      <c r="DA32" s="22"/>
      <c r="DB32" s="22"/>
      <c r="DC32" s="22"/>
      <c r="DD32" s="22"/>
      <c r="DE32" s="22"/>
      <c r="DF32" s="22"/>
      <c r="DG32" s="22"/>
      <c r="DH32" s="22"/>
      <c r="DI32" s="22"/>
      <c r="DJ32" s="22"/>
      <c r="DK32" s="22"/>
      <c r="DL32" s="22"/>
      <c r="DM32" s="22"/>
      <c r="DN32" s="22"/>
      <c r="DO32" s="22"/>
      <c r="DP32" s="22"/>
      <c r="DQ32" s="22"/>
      <c r="DR32" s="22"/>
      <c r="DS32" s="22"/>
      <c r="DT32" s="22"/>
      <c r="DU32" s="22"/>
      <c r="DV32" s="22"/>
      <c r="DW32" s="22"/>
      <c r="DX32" s="22"/>
      <c r="DY32" s="22"/>
      <c r="DZ32" s="22"/>
      <c r="EA32" s="22"/>
      <c r="EB32" s="22"/>
      <c r="EC32" s="22"/>
      <c r="ED32" s="22"/>
      <c r="EE32" s="22"/>
      <c r="EF32" s="22"/>
      <c r="EG32" s="22"/>
      <c r="EH32" s="22"/>
      <c r="EI32" s="22"/>
      <c r="EJ32" s="22"/>
      <c r="EK32" s="22"/>
      <c r="EL32" s="22"/>
      <c r="EM32" s="22"/>
      <c r="EN32" s="22"/>
      <c r="EO32" s="22"/>
      <c r="EP32" s="22"/>
      <c r="EQ32" s="22"/>
      <c r="ER32" s="22"/>
      <c r="ES32" s="22"/>
      <c r="ET32" s="22"/>
      <c r="EU32" s="22"/>
      <c r="EV32" s="22"/>
      <c r="EW32" s="22"/>
      <c r="EX32" s="22"/>
      <c r="EY32" s="22"/>
      <c r="EZ32" s="22"/>
      <c r="FA32" s="22"/>
      <c r="FB32" s="22"/>
      <c r="FC32" s="22"/>
      <c r="FD32" s="22"/>
      <c r="FE32" s="22"/>
      <c r="FF32" s="22"/>
      <c r="FG32" s="22"/>
      <c r="FH32" s="22"/>
      <c r="FI32" s="22"/>
      <c r="FJ32" s="22"/>
      <c r="FK32" s="22"/>
      <c r="FL32" s="22"/>
      <c r="FM32" s="22"/>
      <c r="FN32" s="22"/>
      <c r="FO32" s="22"/>
      <c r="FP32" s="22"/>
      <c r="FQ32" s="22"/>
      <c r="FR32" s="22"/>
      <c r="FS32" s="22"/>
      <c r="FT32" s="22"/>
      <c r="FU32" s="22"/>
      <c r="FV32" s="22"/>
      <c r="FW32" s="22"/>
      <c r="FX32" s="22"/>
      <c r="FY32" s="22"/>
      <c r="FZ32" s="22"/>
    </row>
    <row r="33" spans="2:182" x14ac:dyDescent="0.2">
      <c r="B33" s="22"/>
      <c r="C33" s="22"/>
      <c r="D33" s="22"/>
      <c r="E33" s="22"/>
      <c r="F33" s="22"/>
      <c r="G33" s="22"/>
      <c r="H33" s="22"/>
      <c r="I33" s="22"/>
      <c r="J33" s="22"/>
      <c r="K33" s="22"/>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c r="BA33" s="22"/>
      <c r="BB33" s="22"/>
      <c r="BC33" s="22"/>
      <c r="BD33" s="22"/>
      <c r="BE33" s="22"/>
      <c r="BF33" s="22"/>
      <c r="BG33" s="22"/>
      <c r="BH33" s="22"/>
      <c r="BI33" s="22"/>
      <c r="BJ33" s="22"/>
      <c r="BK33" s="22"/>
      <c r="BL33" s="22"/>
      <c r="BM33" s="22"/>
      <c r="BN33" s="22"/>
      <c r="BO33" s="22"/>
      <c r="BP33" s="22"/>
      <c r="BQ33" s="22"/>
      <c r="BR33" s="22"/>
      <c r="BS33" s="22"/>
      <c r="BT33" s="22"/>
      <c r="BU33" s="22"/>
      <c r="BV33" s="22"/>
      <c r="BW33" s="22"/>
      <c r="BX33" s="22"/>
      <c r="BY33" s="22"/>
      <c r="BZ33" s="22"/>
      <c r="CA33" s="22"/>
      <c r="CB33" s="22"/>
      <c r="CC33" s="22"/>
      <c r="CD33" s="22"/>
      <c r="CE33" s="22"/>
      <c r="CF33" s="22"/>
      <c r="CG33" s="22"/>
      <c r="CH33" s="22"/>
      <c r="CI33" s="22"/>
      <c r="CJ33" s="22"/>
      <c r="CK33" s="22"/>
      <c r="CL33" s="22"/>
      <c r="CM33" s="22"/>
      <c r="CN33" s="22"/>
      <c r="CO33" s="22"/>
      <c r="CP33" s="22"/>
      <c r="CQ33" s="22"/>
      <c r="CR33" s="22"/>
      <c r="CS33" s="22"/>
      <c r="CT33" s="22"/>
      <c r="CU33" s="22"/>
      <c r="CV33" s="22"/>
      <c r="CW33" s="22"/>
      <c r="CX33" s="22"/>
      <c r="CY33" s="22"/>
      <c r="CZ33" s="22"/>
      <c r="DA33" s="22"/>
      <c r="DB33" s="22"/>
      <c r="DC33" s="22"/>
      <c r="DD33" s="22"/>
      <c r="DE33" s="22"/>
      <c r="DF33" s="22"/>
      <c r="DG33" s="22"/>
      <c r="DH33" s="22"/>
      <c r="DI33" s="22"/>
      <c r="DJ33" s="22"/>
      <c r="DK33" s="22"/>
      <c r="DL33" s="22"/>
      <c r="DM33" s="22"/>
      <c r="DN33" s="22"/>
      <c r="DO33" s="22"/>
      <c r="DP33" s="22"/>
      <c r="DQ33" s="22"/>
      <c r="DR33" s="22"/>
      <c r="DS33" s="22"/>
      <c r="DT33" s="22"/>
      <c r="DU33" s="22"/>
      <c r="DV33" s="22"/>
      <c r="DW33" s="22"/>
      <c r="DX33" s="22"/>
      <c r="DY33" s="22"/>
      <c r="DZ33" s="22"/>
      <c r="EA33" s="22"/>
      <c r="EB33" s="22"/>
      <c r="EC33" s="22"/>
      <c r="ED33" s="22"/>
      <c r="EE33" s="22"/>
      <c r="EF33" s="22"/>
      <c r="EG33" s="22"/>
      <c r="EH33" s="22"/>
      <c r="EI33" s="22"/>
      <c r="EJ33" s="22"/>
      <c r="EK33" s="22"/>
      <c r="EL33" s="22"/>
      <c r="EM33" s="22"/>
      <c r="EN33" s="22"/>
      <c r="EO33" s="22"/>
      <c r="EP33" s="22"/>
      <c r="EQ33" s="22"/>
      <c r="ER33" s="22"/>
      <c r="ES33" s="22"/>
      <c r="ET33" s="22"/>
      <c r="EU33" s="22"/>
      <c r="EV33" s="22"/>
      <c r="EW33" s="22"/>
      <c r="EX33" s="22"/>
      <c r="EY33" s="22"/>
      <c r="EZ33" s="22"/>
      <c r="FA33" s="22"/>
      <c r="FB33" s="22"/>
      <c r="FC33" s="22"/>
      <c r="FD33" s="22"/>
      <c r="FE33" s="22"/>
      <c r="FF33" s="22"/>
      <c r="FG33" s="22"/>
      <c r="FH33" s="22"/>
      <c r="FI33" s="22"/>
      <c r="FJ33" s="22"/>
      <c r="FK33" s="22"/>
      <c r="FL33" s="22"/>
      <c r="FM33" s="22"/>
      <c r="FN33" s="22"/>
      <c r="FO33" s="22"/>
      <c r="FP33" s="22"/>
      <c r="FQ33" s="22"/>
      <c r="FR33" s="22"/>
      <c r="FS33" s="22"/>
      <c r="FT33" s="22"/>
      <c r="FU33" s="22"/>
      <c r="FV33" s="22"/>
      <c r="FW33" s="22"/>
      <c r="FX33" s="22"/>
      <c r="FY33" s="22"/>
      <c r="FZ33" s="22"/>
    </row>
    <row r="34" spans="2:182" x14ac:dyDescent="0.2">
      <c r="B34" s="22"/>
      <c r="C34" s="22"/>
      <c r="D34" s="22"/>
      <c r="E34" s="22"/>
      <c r="F34" s="22"/>
      <c r="G34" s="22"/>
      <c r="H34" s="22"/>
      <c r="I34" s="22"/>
      <c r="J34" s="22"/>
      <c r="K34" s="22"/>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2"/>
      <c r="AS34" s="22"/>
      <c r="AT34" s="22"/>
      <c r="AU34" s="22"/>
      <c r="AV34" s="22"/>
      <c r="AW34" s="22"/>
      <c r="AX34" s="22"/>
      <c r="AY34" s="22"/>
      <c r="AZ34" s="22"/>
      <c r="BA34" s="22"/>
      <c r="BB34" s="22"/>
      <c r="BC34" s="22"/>
      <c r="BD34" s="22"/>
      <c r="BE34" s="22"/>
      <c r="BF34" s="22"/>
      <c r="BG34" s="22"/>
      <c r="BH34" s="22"/>
      <c r="BI34" s="22"/>
      <c r="BJ34" s="22"/>
      <c r="BK34" s="22"/>
      <c r="BL34" s="22"/>
      <c r="BM34" s="22"/>
      <c r="BN34" s="22"/>
      <c r="BO34" s="22"/>
      <c r="BP34" s="22"/>
      <c r="BQ34" s="22"/>
      <c r="BR34" s="22"/>
      <c r="BS34" s="22"/>
      <c r="BT34" s="22"/>
      <c r="BU34" s="22"/>
      <c r="BV34" s="22"/>
      <c r="BW34" s="22"/>
      <c r="BX34" s="22"/>
      <c r="BY34" s="22"/>
      <c r="BZ34" s="22"/>
      <c r="CA34" s="22"/>
      <c r="CB34" s="22"/>
      <c r="CC34" s="22"/>
      <c r="CD34" s="22"/>
      <c r="CE34" s="22"/>
      <c r="CF34" s="22"/>
      <c r="CG34" s="22"/>
      <c r="CH34" s="22"/>
      <c r="CI34" s="22"/>
      <c r="CJ34" s="22"/>
      <c r="CK34" s="22"/>
      <c r="CL34" s="22"/>
      <c r="CM34" s="22"/>
      <c r="CN34" s="22"/>
      <c r="CO34" s="22"/>
      <c r="CP34" s="22"/>
      <c r="CQ34" s="22"/>
      <c r="CR34" s="22"/>
      <c r="CS34" s="22"/>
      <c r="CT34" s="22"/>
      <c r="CU34" s="22"/>
      <c r="CV34" s="22"/>
      <c r="CW34" s="22"/>
      <c r="CX34" s="22"/>
      <c r="CY34" s="22"/>
      <c r="CZ34" s="22"/>
      <c r="DA34" s="22"/>
      <c r="DB34" s="22"/>
      <c r="DC34" s="22"/>
      <c r="DD34" s="22"/>
      <c r="DE34" s="22"/>
      <c r="DF34" s="22"/>
      <c r="DG34" s="22"/>
      <c r="DH34" s="22"/>
      <c r="DI34" s="22"/>
      <c r="DJ34" s="22"/>
      <c r="DK34" s="22"/>
      <c r="DL34" s="22"/>
      <c r="DM34" s="22"/>
      <c r="DN34" s="22"/>
      <c r="DO34" s="22"/>
      <c r="DP34" s="22"/>
      <c r="DQ34" s="22"/>
      <c r="DR34" s="22"/>
      <c r="DS34" s="22"/>
      <c r="DT34" s="22"/>
      <c r="DU34" s="22"/>
      <c r="DV34" s="22"/>
      <c r="DW34" s="22"/>
      <c r="DX34" s="22"/>
      <c r="DY34" s="22"/>
      <c r="DZ34" s="22"/>
      <c r="EA34" s="22"/>
      <c r="EB34" s="22"/>
      <c r="EC34" s="22"/>
      <c r="ED34" s="22"/>
      <c r="EE34" s="22"/>
      <c r="EF34" s="22"/>
      <c r="EG34" s="22"/>
      <c r="EH34" s="22"/>
      <c r="EI34" s="22"/>
      <c r="EJ34" s="22"/>
      <c r="EK34" s="22"/>
      <c r="EL34" s="22"/>
      <c r="EM34" s="22"/>
      <c r="EN34" s="22"/>
      <c r="EO34" s="22"/>
      <c r="EP34" s="22"/>
      <c r="EQ34" s="22"/>
      <c r="ER34" s="22"/>
      <c r="ES34" s="22"/>
      <c r="ET34" s="22"/>
      <c r="EU34" s="22"/>
      <c r="EV34" s="22"/>
      <c r="EW34" s="22"/>
      <c r="EX34" s="22"/>
      <c r="EY34" s="22"/>
      <c r="EZ34" s="22"/>
      <c r="FA34" s="22"/>
      <c r="FB34" s="22"/>
      <c r="FC34" s="22"/>
      <c r="FD34" s="22"/>
      <c r="FE34" s="22"/>
      <c r="FF34" s="22"/>
      <c r="FG34" s="22"/>
      <c r="FH34" s="22"/>
      <c r="FI34" s="22"/>
      <c r="FJ34" s="22"/>
      <c r="FK34" s="22"/>
      <c r="FL34" s="22"/>
      <c r="FM34" s="22"/>
      <c r="FN34" s="22"/>
      <c r="FO34" s="22"/>
      <c r="FP34" s="22"/>
      <c r="FQ34" s="22"/>
      <c r="FR34" s="22"/>
      <c r="FS34" s="22"/>
      <c r="FT34" s="22"/>
      <c r="FU34" s="22"/>
      <c r="FV34" s="22"/>
      <c r="FW34" s="22"/>
      <c r="FX34" s="22"/>
      <c r="FY34" s="22"/>
      <c r="FZ34" s="22"/>
    </row>
    <row r="35" spans="2:182" x14ac:dyDescent="0.2">
      <c r="B35" s="22"/>
      <c r="C35" s="22"/>
      <c r="D35" s="22"/>
      <c r="E35" s="22"/>
      <c r="F35" s="22"/>
      <c r="G35" s="22"/>
      <c r="H35" s="22"/>
      <c r="I35" s="22"/>
      <c r="J35" s="22"/>
      <c r="K35" s="22"/>
      <c r="L35" s="22"/>
      <c r="M35" s="22"/>
      <c r="N35" s="22"/>
      <c r="O35" s="22"/>
      <c r="P35" s="22"/>
      <c r="Q35" s="22"/>
      <c r="R35" s="22"/>
      <c r="S35" s="22"/>
      <c r="T35" s="22"/>
      <c r="U35" s="22"/>
      <c r="V35" s="22"/>
      <c r="W35" s="22"/>
      <c r="X35" s="22"/>
      <c r="Y35" s="22"/>
      <c r="Z35" s="22"/>
      <c r="AA35" s="22"/>
      <c r="AB35" s="22"/>
      <c r="AC35" s="22"/>
      <c r="AD35" s="22"/>
      <c r="AE35" s="22"/>
      <c r="AF35" s="22"/>
      <c r="AG35" s="22"/>
      <c r="AH35" s="22"/>
      <c r="AI35" s="22"/>
      <c r="AJ35" s="22"/>
      <c r="AK35" s="22"/>
      <c r="AL35" s="22"/>
      <c r="AM35" s="22"/>
      <c r="AN35" s="22"/>
      <c r="AO35" s="22"/>
      <c r="AP35" s="22"/>
      <c r="AQ35" s="22"/>
      <c r="AR35" s="22"/>
      <c r="AS35" s="22"/>
      <c r="AT35" s="22"/>
      <c r="AU35" s="22"/>
      <c r="AV35" s="22"/>
      <c r="AW35" s="22"/>
      <c r="AX35" s="22"/>
      <c r="AY35" s="22"/>
      <c r="AZ35" s="22"/>
      <c r="BA35" s="22"/>
      <c r="BB35" s="22"/>
      <c r="BC35" s="22"/>
      <c r="BD35" s="22"/>
      <c r="BE35" s="22"/>
      <c r="BF35" s="22"/>
      <c r="BG35" s="22"/>
      <c r="BH35" s="22"/>
      <c r="BI35" s="22"/>
      <c r="BJ35" s="22"/>
      <c r="BK35" s="22"/>
      <c r="BL35" s="22"/>
      <c r="BM35" s="22"/>
      <c r="BN35" s="22"/>
      <c r="BO35" s="22"/>
      <c r="BP35" s="22"/>
      <c r="BQ35" s="22"/>
      <c r="BR35" s="22"/>
      <c r="BS35" s="22"/>
      <c r="BT35" s="22"/>
      <c r="BU35" s="22"/>
      <c r="BV35" s="22"/>
      <c r="BW35" s="22"/>
      <c r="BX35" s="22"/>
      <c r="BY35" s="22"/>
      <c r="BZ35" s="22"/>
      <c r="CA35" s="22"/>
      <c r="CB35" s="22"/>
      <c r="CC35" s="22"/>
      <c r="CD35" s="22"/>
      <c r="CE35" s="22"/>
      <c r="CF35" s="22"/>
      <c r="CG35" s="22"/>
      <c r="CH35" s="22"/>
      <c r="CI35" s="22"/>
      <c r="CJ35" s="22"/>
      <c r="CK35" s="22"/>
      <c r="CL35" s="22"/>
      <c r="CM35" s="22"/>
      <c r="CN35" s="22"/>
      <c r="CO35" s="22"/>
      <c r="CP35" s="22"/>
      <c r="CQ35" s="22"/>
      <c r="CR35" s="22"/>
      <c r="CS35" s="22"/>
      <c r="CT35" s="22"/>
      <c r="CU35" s="22"/>
      <c r="CV35" s="22"/>
      <c r="CW35" s="22"/>
      <c r="CX35" s="22"/>
      <c r="CY35" s="22"/>
      <c r="CZ35" s="22"/>
      <c r="DA35" s="22"/>
      <c r="DB35" s="22"/>
      <c r="DC35" s="22"/>
      <c r="DD35" s="22"/>
      <c r="DE35" s="22"/>
      <c r="DF35" s="22"/>
      <c r="DG35" s="22"/>
      <c r="DH35" s="22"/>
      <c r="DI35" s="22"/>
      <c r="DJ35" s="22"/>
      <c r="DK35" s="22"/>
      <c r="DL35" s="22"/>
      <c r="DM35" s="22"/>
      <c r="DN35" s="22"/>
      <c r="DO35" s="22"/>
      <c r="DP35" s="22"/>
      <c r="DQ35" s="22"/>
      <c r="DR35" s="22"/>
      <c r="DS35" s="22"/>
      <c r="DT35" s="22"/>
      <c r="DU35" s="22"/>
      <c r="DV35" s="22"/>
      <c r="DW35" s="22"/>
      <c r="DX35" s="22"/>
      <c r="DY35" s="22"/>
      <c r="DZ35" s="22"/>
      <c r="EA35" s="22"/>
      <c r="EB35" s="22"/>
      <c r="EC35" s="22"/>
      <c r="ED35" s="22"/>
      <c r="EE35" s="22"/>
      <c r="EF35" s="22"/>
      <c r="EG35" s="22"/>
      <c r="EH35" s="22"/>
      <c r="EI35" s="22"/>
      <c r="EJ35" s="22"/>
      <c r="EK35" s="22"/>
      <c r="EL35" s="22"/>
      <c r="EM35" s="22"/>
      <c r="EN35" s="22"/>
      <c r="EO35" s="22"/>
      <c r="EP35" s="22"/>
      <c r="EQ35" s="22"/>
      <c r="ER35" s="22"/>
      <c r="ES35" s="22"/>
      <c r="ET35" s="22"/>
      <c r="EU35" s="22"/>
      <c r="EV35" s="22"/>
      <c r="EW35" s="22"/>
      <c r="EX35" s="22"/>
      <c r="EY35" s="22"/>
      <c r="EZ35" s="22"/>
      <c r="FA35" s="22"/>
      <c r="FB35" s="22"/>
      <c r="FC35" s="22"/>
      <c r="FD35" s="22"/>
      <c r="FE35" s="22"/>
      <c r="FF35" s="22"/>
      <c r="FG35" s="22"/>
      <c r="FH35" s="22"/>
      <c r="FI35" s="22"/>
      <c r="FJ35" s="22"/>
      <c r="FK35" s="22"/>
      <c r="FL35" s="22"/>
      <c r="FM35" s="22"/>
      <c r="FN35" s="22"/>
      <c r="FO35" s="22"/>
      <c r="FP35" s="22"/>
      <c r="FQ35" s="22"/>
      <c r="FR35" s="22"/>
      <c r="FS35" s="22"/>
      <c r="FT35" s="22"/>
      <c r="FU35" s="22"/>
      <c r="FV35" s="22"/>
      <c r="FW35" s="22"/>
      <c r="FX35" s="22"/>
      <c r="FY35" s="22"/>
      <c r="FZ35" s="22"/>
    </row>
    <row r="36" spans="2:182" x14ac:dyDescent="0.2">
      <c r="B36" s="22"/>
      <c r="C36" s="22"/>
      <c r="D36" s="22"/>
      <c r="E36" s="22"/>
      <c r="F36" s="22"/>
      <c r="G36" s="22"/>
      <c r="H36" s="22"/>
      <c r="I36" s="22"/>
      <c r="J36" s="22"/>
      <c r="K36" s="22"/>
      <c r="L36" s="22"/>
      <c r="M36" s="22"/>
      <c r="N36" s="22"/>
      <c r="O36" s="22"/>
      <c r="P36" s="22"/>
      <c r="Q36" s="22"/>
      <c r="R36" s="22"/>
      <c r="S36" s="22"/>
      <c r="T36" s="22"/>
      <c r="U36" s="22"/>
      <c r="V36" s="22"/>
      <c r="W36" s="22"/>
      <c r="X36" s="22"/>
      <c r="Y36" s="22"/>
      <c r="Z36" s="22"/>
      <c r="AA36" s="22"/>
      <c r="AB36" s="22"/>
      <c r="AC36" s="22"/>
      <c r="AD36" s="22"/>
      <c r="AE36" s="22"/>
      <c r="AF36" s="22"/>
      <c r="AG36" s="22"/>
      <c r="AH36" s="22"/>
      <c r="AI36" s="22"/>
      <c r="AJ36" s="22"/>
      <c r="AK36" s="22"/>
      <c r="AL36" s="22"/>
      <c r="AM36" s="22"/>
      <c r="AN36" s="22"/>
      <c r="AO36" s="22"/>
      <c r="AP36" s="22"/>
      <c r="AQ36" s="22"/>
      <c r="AR36" s="22"/>
      <c r="AS36" s="22"/>
      <c r="AT36" s="22"/>
      <c r="AU36" s="22"/>
      <c r="AV36" s="22"/>
      <c r="AW36" s="22"/>
      <c r="AX36" s="22"/>
      <c r="AY36" s="22"/>
      <c r="AZ36" s="22"/>
      <c r="BA36" s="22"/>
      <c r="BB36" s="22"/>
      <c r="BC36" s="22"/>
      <c r="BD36" s="22"/>
      <c r="BE36" s="22"/>
      <c r="BF36" s="22"/>
      <c r="BG36" s="22"/>
      <c r="BH36" s="22"/>
      <c r="BI36" s="22"/>
      <c r="BJ36" s="22"/>
      <c r="BK36" s="22"/>
      <c r="BL36" s="22"/>
      <c r="BM36" s="22"/>
      <c r="BN36" s="22"/>
      <c r="BO36" s="22"/>
      <c r="BP36" s="22"/>
      <c r="BQ36" s="22"/>
      <c r="BR36" s="22"/>
      <c r="BS36" s="22"/>
      <c r="BT36" s="22"/>
      <c r="BU36" s="22"/>
      <c r="BV36" s="22"/>
      <c r="BW36" s="22"/>
      <c r="BX36" s="22"/>
      <c r="BY36" s="22"/>
      <c r="BZ36" s="22"/>
      <c r="CA36" s="22"/>
      <c r="CB36" s="22"/>
      <c r="CC36" s="22"/>
      <c r="CD36" s="22"/>
      <c r="CE36" s="22"/>
      <c r="CF36" s="22"/>
      <c r="CG36" s="22"/>
      <c r="CH36" s="22"/>
      <c r="CI36" s="22"/>
      <c r="CJ36" s="22"/>
      <c r="CK36" s="22"/>
      <c r="CL36" s="22"/>
      <c r="CM36" s="22"/>
      <c r="CN36" s="22"/>
      <c r="CO36" s="22"/>
      <c r="CP36" s="22"/>
      <c r="CQ36" s="22"/>
      <c r="CR36" s="22"/>
      <c r="CS36" s="22"/>
      <c r="CT36" s="22"/>
      <c r="CU36" s="22"/>
      <c r="CV36" s="22"/>
      <c r="CW36" s="22"/>
      <c r="CX36" s="22"/>
      <c r="CY36" s="22"/>
      <c r="CZ36" s="22"/>
      <c r="DA36" s="22"/>
      <c r="DB36" s="22"/>
      <c r="DC36" s="22"/>
      <c r="DD36" s="22"/>
      <c r="DE36" s="22"/>
      <c r="DF36" s="22"/>
      <c r="DG36" s="22"/>
      <c r="DH36" s="22"/>
      <c r="DI36" s="22"/>
      <c r="DJ36" s="22"/>
      <c r="DK36" s="22"/>
      <c r="DL36" s="22"/>
      <c r="DM36" s="22"/>
      <c r="DN36" s="22"/>
      <c r="DO36" s="22"/>
      <c r="DP36" s="22"/>
      <c r="DQ36" s="22"/>
      <c r="DR36" s="22"/>
      <c r="DS36" s="22"/>
      <c r="DT36" s="22"/>
      <c r="DU36" s="22"/>
      <c r="DV36" s="22"/>
      <c r="DW36" s="22"/>
      <c r="DX36" s="22"/>
      <c r="DY36" s="22"/>
      <c r="DZ36" s="22"/>
      <c r="EA36" s="22"/>
      <c r="EB36" s="22"/>
      <c r="EC36" s="22"/>
      <c r="ED36" s="22"/>
      <c r="EE36" s="22"/>
      <c r="EF36" s="22"/>
      <c r="EG36" s="22"/>
      <c r="EH36" s="22"/>
      <c r="EI36" s="22"/>
      <c r="EJ36" s="22"/>
      <c r="EK36" s="22"/>
      <c r="EL36" s="22"/>
      <c r="EM36" s="22"/>
      <c r="EN36" s="22"/>
      <c r="EO36" s="22"/>
      <c r="EP36" s="22"/>
      <c r="EQ36" s="22"/>
      <c r="ER36" s="22"/>
      <c r="ES36" s="22"/>
      <c r="ET36" s="22"/>
      <c r="EU36" s="22"/>
      <c r="EV36" s="22"/>
      <c r="EW36" s="22"/>
      <c r="EX36" s="22"/>
      <c r="EY36" s="22"/>
      <c r="EZ36" s="22"/>
      <c r="FA36" s="22"/>
      <c r="FB36" s="22"/>
      <c r="FC36" s="22"/>
      <c r="FD36" s="22"/>
      <c r="FE36" s="22"/>
      <c r="FF36" s="22"/>
      <c r="FG36" s="22"/>
      <c r="FH36" s="22"/>
      <c r="FI36" s="22"/>
      <c r="FJ36" s="22"/>
      <c r="FK36" s="22"/>
      <c r="FL36" s="22"/>
      <c r="FM36" s="22"/>
      <c r="FN36" s="22"/>
      <c r="FO36" s="22"/>
      <c r="FP36" s="22"/>
      <c r="FQ36" s="22"/>
      <c r="FR36" s="22"/>
      <c r="FS36" s="22"/>
      <c r="FT36" s="22"/>
      <c r="FU36" s="22"/>
      <c r="FV36" s="22"/>
      <c r="FW36" s="22"/>
      <c r="FX36" s="22"/>
      <c r="FY36" s="22"/>
      <c r="FZ36" s="22"/>
    </row>
    <row r="37" spans="2:182" x14ac:dyDescent="0.2">
      <c r="B37" s="22"/>
      <c r="C37" s="22"/>
      <c r="D37" s="22"/>
      <c r="E37" s="22"/>
      <c r="F37" s="22"/>
      <c r="G37" s="22"/>
      <c r="H37" s="22"/>
      <c r="I37" s="22"/>
      <c r="J37" s="22"/>
      <c r="K37" s="22"/>
      <c r="L37" s="22"/>
      <c r="M37" s="22"/>
      <c r="N37" s="22"/>
      <c r="O37" s="22"/>
      <c r="P37" s="22"/>
      <c r="Q37" s="22"/>
      <c r="R37" s="22"/>
      <c r="S37" s="22"/>
      <c r="T37" s="22"/>
      <c r="U37" s="22"/>
      <c r="V37" s="22"/>
      <c r="W37" s="22"/>
      <c r="X37" s="22"/>
      <c r="Y37" s="22"/>
      <c r="Z37" s="22"/>
      <c r="AA37" s="22"/>
      <c r="AB37" s="22"/>
      <c r="AC37" s="22"/>
      <c r="AD37" s="22"/>
      <c r="AE37" s="22"/>
      <c r="AF37" s="22"/>
      <c r="AG37" s="22"/>
      <c r="AH37" s="22"/>
      <c r="AI37" s="22"/>
      <c r="AJ37" s="22"/>
      <c r="AK37" s="22"/>
      <c r="AL37" s="22"/>
      <c r="AM37" s="22"/>
      <c r="AN37" s="22"/>
      <c r="AO37" s="22"/>
      <c r="AP37" s="22"/>
      <c r="AQ37" s="22"/>
      <c r="AR37" s="22"/>
      <c r="AS37" s="22"/>
      <c r="AT37" s="22"/>
      <c r="AU37" s="22"/>
      <c r="AV37" s="22"/>
      <c r="AW37" s="22"/>
      <c r="AX37" s="22"/>
      <c r="AY37" s="22"/>
      <c r="AZ37" s="22"/>
      <c r="BA37" s="22"/>
      <c r="BB37" s="22"/>
      <c r="BC37" s="22"/>
      <c r="BD37" s="22"/>
      <c r="BE37" s="22"/>
      <c r="BF37" s="22"/>
      <c r="BG37" s="22"/>
      <c r="BH37" s="22"/>
      <c r="BI37" s="22"/>
      <c r="BJ37" s="22"/>
      <c r="BK37" s="22"/>
      <c r="BL37" s="22"/>
      <c r="BM37" s="22"/>
      <c r="BN37" s="22"/>
      <c r="BO37" s="22"/>
      <c r="BP37" s="22"/>
      <c r="BQ37" s="22"/>
      <c r="BR37" s="22"/>
      <c r="BS37" s="22"/>
      <c r="BT37" s="22"/>
      <c r="BU37" s="22"/>
      <c r="BV37" s="22"/>
      <c r="BW37" s="22"/>
      <c r="BX37" s="22"/>
      <c r="BY37" s="22"/>
      <c r="BZ37" s="22"/>
      <c r="CA37" s="22"/>
      <c r="CB37" s="22"/>
      <c r="CC37" s="22"/>
      <c r="CD37" s="22"/>
      <c r="CE37" s="22"/>
      <c r="CF37" s="22"/>
      <c r="CG37" s="22"/>
      <c r="CH37" s="22"/>
      <c r="CI37" s="22"/>
      <c r="CJ37" s="22"/>
      <c r="CK37" s="22"/>
      <c r="CL37" s="22"/>
      <c r="CM37" s="22"/>
      <c r="CN37" s="22"/>
      <c r="CO37" s="22"/>
      <c r="CP37" s="22"/>
      <c r="CQ37" s="22"/>
      <c r="CR37" s="22"/>
      <c r="CS37" s="22"/>
      <c r="CT37" s="22"/>
      <c r="CU37" s="22"/>
      <c r="CV37" s="22"/>
      <c r="CW37" s="22"/>
      <c r="CX37" s="22"/>
      <c r="CY37" s="22"/>
      <c r="CZ37" s="22"/>
      <c r="DA37" s="22"/>
      <c r="DB37" s="22"/>
      <c r="DC37" s="22"/>
      <c r="DD37" s="22"/>
      <c r="DE37" s="22"/>
      <c r="DF37" s="22"/>
      <c r="DG37" s="22"/>
      <c r="DH37" s="22"/>
      <c r="DI37" s="22"/>
      <c r="DJ37" s="22"/>
      <c r="DK37" s="22"/>
      <c r="DL37" s="22"/>
      <c r="DM37" s="22"/>
      <c r="DN37" s="22"/>
      <c r="DO37" s="22"/>
      <c r="DP37" s="22"/>
      <c r="DQ37" s="22"/>
      <c r="DR37" s="22"/>
      <c r="DS37" s="22"/>
      <c r="DT37" s="22"/>
      <c r="DU37" s="22"/>
      <c r="DV37" s="22"/>
      <c r="DW37" s="22"/>
      <c r="DX37" s="22"/>
      <c r="DY37" s="22"/>
      <c r="DZ37" s="22"/>
      <c r="EA37" s="22"/>
      <c r="EB37" s="22"/>
      <c r="EC37" s="22"/>
      <c r="ED37" s="22"/>
      <c r="EE37" s="22"/>
      <c r="EF37" s="22"/>
      <c r="EG37" s="22"/>
      <c r="EH37" s="22"/>
      <c r="EI37" s="22"/>
      <c r="EJ37" s="22"/>
      <c r="EK37" s="22"/>
      <c r="EL37" s="22"/>
      <c r="EM37" s="22"/>
      <c r="EN37" s="22"/>
      <c r="EO37" s="22"/>
      <c r="EP37" s="22"/>
      <c r="EQ37" s="22"/>
      <c r="ER37" s="22"/>
      <c r="ES37" s="22"/>
      <c r="ET37" s="22"/>
      <c r="EU37" s="22"/>
      <c r="EV37" s="22"/>
      <c r="EW37" s="22"/>
      <c r="EX37" s="22"/>
      <c r="EY37" s="22"/>
      <c r="EZ37" s="22"/>
      <c r="FA37" s="22"/>
      <c r="FB37" s="22"/>
      <c r="FC37" s="22"/>
      <c r="FD37" s="22"/>
      <c r="FE37" s="22"/>
      <c r="FF37" s="22"/>
      <c r="FG37" s="22"/>
      <c r="FH37" s="22"/>
      <c r="FI37" s="22"/>
      <c r="FJ37" s="22"/>
      <c r="FK37" s="22"/>
      <c r="FL37" s="22"/>
      <c r="FM37" s="22"/>
      <c r="FN37" s="22"/>
      <c r="FO37" s="22"/>
      <c r="FP37" s="22"/>
      <c r="FQ37" s="22"/>
      <c r="FR37" s="22"/>
      <c r="FS37" s="22"/>
      <c r="FT37" s="22"/>
      <c r="FU37" s="22"/>
      <c r="FV37" s="22"/>
      <c r="FW37" s="22"/>
      <c r="FX37" s="22"/>
      <c r="FY37" s="22"/>
      <c r="FZ37" s="22"/>
    </row>
    <row r="38" spans="2:182" x14ac:dyDescent="0.2">
      <c r="B38" s="22"/>
      <c r="C38" s="22"/>
      <c r="D38" s="22"/>
      <c r="E38" s="22"/>
      <c r="F38" s="22"/>
      <c r="G38" s="22"/>
      <c r="H38" s="22"/>
      <c r="I38" s="22"/>
      <c r="J38" s="22"/>
      <c r="K38" s="22"/>
      <c r="L38" s="22"/>
      <c r="M38" s="22"/>
      <c r="N38" s="22"/>
      <c r="O38" s="22"/>
      <c r="P38" s="22"/>
      <c r="Q38" s="22"/>
      <c r="R38" s="22"/>
      <c r="S38" s="22"/>
      <c r="T38" s="22"/>
      <c r="U38" s="22"/>
      <c r="V38" s="22"/>
      <c r="W38" s="22"/>
      <c r="X38" s="22"/>
      <c r="Y38" s="22"/>
      <c r="Z38" s="22"/>
      <c r="AA38" s="22"/>
      <c r="AB38" s="22"/>
      <c r="AC38" s="22"/>
      <c r="AD38" s="22"/>
      <c r="AE38" s="22"/>
      <c r="AF38" s="22"/>
      <c r="AG38" s="22"/>
      <c r="AH38" s="22"/>
      <c r="AI38" s="22"/>
      <c r="AJ38" s="22"/>
      <c r="AK38" s="22"/>
      <c r="AL38" s="22"/>
      <c r="AM38" s="22"/>
      <c r="AN38" s="22"/>
      <c r="AO38" s="22"/>
      <c r="AP38" s="22"/>
      <c r="AQ38" s="22"/>
      <c r="AR38" s="22"/>
      <c r="AS38" s="22"/>
      <c r="AT38" s="22"/>
      <c r="AU38" s="22"/>
      <c r="AV38" s="22"/>
      <c r="AW38" s="22"/>
      <c r="AX38" s="22"/>
      <c r="AY38" s="22"/>
      <c r="AZ38" s="22"/>
      <c r="BA38" s="22"/>
      <c r="BB38" s="22"/>
      <c r="BC38" s="22"/>
      <c r="BD38" s="22"/>
      <c r="BE38" s="22"/>
      <c r="BF38" s="22"/>
      <c r="BG38" s="22"/>
      <c r="BH38" s="22"/>
      <c r="BI38" s="22"/>
      <c r="BJ38" s="22"/>
      <c r="BK38" s="22"/>
      <c r="BL38" s="22"/>
      <c r="BM38" s="22"/>
      <c r="BN38" s="22"/>
      <c r="BO38" s="22"/>
      <c r="BP38" s="22"/>
      <c r="BQ38" s="22"/>
      <c r="BR38" s="22"/>
      <c r="BS38" s="22"/>
      <c r="BT38" s="22"/>
      <c r="BU38" s="22"/>
      <c r="BV38" s="22"/>
      <c r="BW38" s="22"/>
      <c r="BX38" s="22"/>
      <c r="BY38" s="22"/>
      <c r="BZ38" s="22"/>
      <c r="CA38" s="22"/>
      <c r="CB38" s="22"/>
      <c r="CC38" s="22"/>
      <c r="CD38" s="22"/>
      <c r="CE38" s="22"/>
      <c r="CF38" s="22"/>
      <c r="CG38" s="22"/>
      <c r="CH38" s="22"/>
      <c r="CI38" s="22"/>
      <c r="CJ38" s="22"/>
      <c r="CK38" s="22"/>
      <c r="CL38" s="22"/>
      <c r="CM38" s="22"/>
      <c r="CN38" s="22"/>
      <c r="CO38" s="22"/>
      <c r="CP38" s="22"/>
      <c r="CQ38" s="22"/>
      <c r="CR38" s="22"/>
      <c r="CS38" s="22"/>
      <c r="CT38" s="22"/>
      <c r="CU38" s="22"/>
      <c r="CV38" s="22"/>
      <c r="CW38" s="22"/>
      <c r="CX38" s="22"/>
      <c r="CY38" s="22"/>
      <c r="CZ38" s="22"/>
      <c r="DA38" s="22"/>
      <c r="DB38" s="22"/>
      <c r="DC38" s="22"/>
      <c r="DD38" s="22"/>
      <c r="DE38" s="22"/>
      <c r="DF38" s="22"/>
      <c r="DG38" s="22"/>
      <c r="DH38" s="22"/>
      <c r="DI38" s="22"/>
      <c r="DJ38" s="22"/>
      <c r="DK38" s="22"/>
      <c r="DL38" s="22"/>
      <c r="DM38" s="22"/>
      <c r="DN38" s="22"/>
      <c r="DO38" s="22"/>
      <c r="DP38" s="22"/>
      <c r="DQ38" s="22"/>
      <c r="DR38" s="22"/>
      <c r="DS38" s="22"/>
      <c r="DT38" s="22"/>
      <c r="DU38" s="22"/>
      <c r="DV38" s="22"/>
      <c r="DW38" s="22"/>
      <c r="DX38" s="22"/>
      <c r="DY38" s="22"/>
      <c r="DZ38" s="22"/>
      <c r="EA38" s="22"/>
      <c r="EB38" s="22"/>
      <c r="EC38" s="22"/>
      <c r="ED38" s="22"/>
      <c r="EE38" s="22"/>
      <c r="EF38" s="22"/>
      <c r="EG38" s="22"/>
      <c r="EH38" s="22"/>
      <c r="EI38" s="22"/>
      <c r="EJ38" s="22"/>
      <c r="EK38" s="22"/>
      <c r="EL38" s="22"/>
      <c r="EM38" s="22"/>
      <c r="EN38" s="22"/>
      <c r="EO38" s="22"/>
      <c r="EP38" s="22"/>
      <c r="EQ38" s="22"/>
      <c r="ER38" s="22"/>
      <c r="ES38" s="22"/>
      <c r="ET38" s="22"/>
      <c r="EU38" s="22"/>
      <c r="EV38" s="22"/>
      <c r="EW38" s="22"/>
      <c r="EX38" s="22"/>
      <c r="EY38" s="22"/>
      <c r="EZ38" s="22"/>
      <c r="FA38" s="22"/>
      <c r="FB38" s="22"/>
      <c r="FC38" s="22"/>
      <c r="FD38" s="22"/>
      <c r="FE38" s="22"/>
      <c r="FF38" s="22"/>
      <c r="FG38" s="22"/>
      <c r="FH38" s="22"/>
      <c r="FI38" s="22"/>
      <c r="FJ38" s="22"/>
      <c r="FK38" s="22"/>
      <c r="FL38" s="22"/>
      <c r="FM38" s="22"/>
      <c r="FN38" s="22"/>
      <c r="FO38" s="22"/>
      <c r="FP38" s="22"/>
      <c r="FQ38" s="22"/>
      <c r="FR38" s="22"/>
      <c r="FS38" s="22"/>
      <c r="FT38" s="22"/>
      <c r="FU38" s="22"/>
      <c r="FV38" s="22"/>
      <c r="FW38" s="22"/>
      <c r="FX38" s="22"/>
      <c r="FY38" s="22"/>
      <c r="FZ38" s="22"/>
    </row>
    <row r="39" spans="2:182" x14ac:dyDescent="0.2">
      <c r="B39" s="22"/>
      <c r="C39" s="22"/>
      <c r="D39" s="22"/>
      <c r="E39" s="22"/>
      <c r="F39" s="22"/>
      <c r="G39" s="22"/>
      <c r="H39" s="22"/>
      <c r="I39" s="22"/>
      <c r="J39" s="22"/>
      <c r="K39" s="22"/>
      <c r="L39" s="22"/>
      <c r="M39" s="22"/>
      <c r="N39" s="22"/>
      <c r="O39" s="22"/>
      <c r="P39" s="22"/>
      <c r="Q39" s="22"/>
      <c r="R39" s="22"/>
      <c r="S39" s="22"/>
      <c r="T39" s="22"/>
      <c r="U39" s="22"/>
      <c r="V39" s="22"/>
      <c r="W39" s="22"/>
      <c r="X39" s="22"/>
      <c r="Y39" s="22"/>
      <c r="Z39" s="22"/>
      <c r="AA39" s="22"/>
      <c r="AB39" s="22"/>
      <c r="AC39" s="22"/>
      <c r="AD39" s="22"/>
      <c r="AE39" s="22"/>
      <c r="AF39" s="22"/>
      <c r="AG39" s="22"/>
      <c r="AH39" s="22"/>
      <c r="AI39" s="22"/>
      <c r="AJ39" s="22"/>
      <c r="AK39" s="22"/>
      <c r="AL39" s="22"/>
      <c r="AM39" s="22"/>
      <c r="AN39" s="22"/>
      <c r="AO39" s="22"/>
      <c r="AP39" s="22"/>
      <c r="AQ39" s="22"/>
      <c r="AR39" s="22"/>
      <c r="AS39" s="22"/>
      <c r="AT39" s="22"/>
      <c r="AU39" s="22"/>
      <c r="AV39" s="22"/>
      <c r="AW39" s="22"/>
      <c r="AX39" s="22"/>
      <c r="AY39" s="22"/>
      <c r="AZ39" s="22"/>
      <c r="BA39" s="22"/>
      <c r="BB39" s="22"/>
      <c r="BC39" s="22"/>
      <c r="BD39" s="22"/>
      <c r="BE39" s="22"/>
      <c r="BF39" s="22"/>
      <c r="BG39" s="22"/>
      <c r="BH39" s="22"/>
      <c r="BI39" s="22"/>
      <c r="BJ39" s="22"/>
      <c r="BK39" s="22"/>
      <c r="BL39" s="22"/>
      <c r="BM39" s="22"/>
      <c r="BN39" s="22"/>
      <c r="BO39" s="22"/>
      <c r="BP39" s="22"/>
      <c r="BQ39" s="22"/>
      <c r="BR39" s="22"/>
      <c r="BS39" s="22"/>
      <c r="BT39" s="22"/>
      <c r="BU39" s="22"/>
      <c r="BV39" s="22"/>
      <c r="BW39" s="22"/>
      <c r="BX39" s="22"/>
      <c r="BY39" s="22"/>
      <c r="BZ39" s="22"/>
      <c r="CA39" s="22"/>
      <c r="CB39" s="22"/>
      <c r="CC39" s="22"/>
      <c r="CD39" s="22"/>
      <c r="CE39" s="22"/>
      <c r="CF39" s="22"/>
      <c r="CG39" s="22"/>
      <c r="CH39" s="22"/>
      <c r="CI39" s="22"/>
      <c r="CJ39" s="22"/>
      <c r="CK39" s="22"/>
      <c r="CL39" s="22"/>
      <c r="CM39" s="22"/>
      <c r="CN39" s="22"/>
      <c r="CO39" s="22"/>
      <c r="CP39" s="22"/>
      <c r="CQ39" s="22"/>
      <c r="CR39" s="22"/>
      <c r="CS39" s="22"/>
      <c r="CT39" s="22"/>
      <c r="CU39" s="22"/>
      <c r="CV39" s="22"/>
      <c r="CW39" s="22"/>
      <c r="CX39" s="22"/>
      <c r="CY39" s="22"/>
      <c r="CZ39" s="22"/>
      <c r="DA39" s="22"/>
      <c r="DB39" s="22"/>
      <c r="DC39" s="22"/>
      <c r="DD39" s="22"/>
      <c r="DE39" s="22"/>
      <c r="DF39" s="22"/>
      <c r="DG39" s="22"/>
      <c r="DH39" s="22"/>
      <c r="DI39" s="22"/>
      <c r="DJ39" s="22"/>
      <c r="DK39" s="22"/>
      <c r="DL39" s="22"/>
      <c r="DM39" s="22"/>
      <c r="DN39" s="22"/>
      <c r="DO39" s="22"/>
      <c r="DP39" s="22"/>
      <c r="DQ39" s="22"/>
      <c r="DR39" s="22"/>
      <c r="DS39" s="22"/>
      <c r="DT39" s="22"/>
      <c r="DU39" s="22"/>
      <c r="DV39" s="22"/>
      <c r="DW39" s="22"/>
      <c r="DX39" s="22"/>
      <c r="DY39" s="22"/>
      <c r="DZ39" s="22"/>
      <c r="EA39" s="22"/>
      <c r="EB39" s="22"/>
      <c r="EC39" s="22"/>
      <c r="ED39" s="22"/>
      <c r="EE39" s="22"/>
      <c r="EF39" s="22"/>
      <c r="EG39" s="22"/>
      <c r="EH39" s="22"/>
      <c r="EI39" s="22"/>
      <c r="EJ39" s="22"/>
      <c r="EK39" s="22"/>
      <c r="EL39" s="22"/>
      <c r="EM39" s="22"/>
      <c r="EN39" s="22"/>
      <c r="EO39" s="22"/>
      <c r="EP39" s="22"/>
      <c r="EQ39" s="22"/>
      <c r="ER39" s="22"/>
      <c r="ES39" s="22"/>
      <c r="ET39" s="22"/>
      <c r="EU39" s="22"/>
      <c r="EV39" s="22"/>
      <c r="EW39" s="22"/>
      <c r="EX39" s="22"/>
      <c r="EY39" s="22"/>
      <c r="EZ39" s="22"/>
      <c r="FA39" s="22"/>
      <c r="FB39" s="22"/>
      <c r="FC39" s="22"/>
      <c r="FD39" s="22"/>
      <c r="FE39" s="22"/>
      <c r="FF39" s="22"/>
      <c r="FG39" s="22"/>
      <c r="FH39" s="22"/>
      <c r="FI39" s="22"/>
      <c r="FJ39" s="22"/>
      <c r="FK39" s="22"/>
      <c r="FL39" s="22"/>
      <c r="FM39" s="22"/>
      <c r="FN39" s="22"/>
      <c r="FO39" s="22"/>
      <c r="FP39" s="22"/>
      <c r="FQ39" s="22"/>
      <c r="FR39" s="22"/>
      <c r="FS39" s="22"/>
      <c r="FT39" s="22"/>
      <c r="FU39" s="22"/>
      <c r="FV39" s="22"/>
      <c r="FW39" s="22"/>
      <c r="FX39" s="22"/>
      <c r="FY39" s="22"/>
      <c r="FZ39" s="22"/>
    </row>
    <row r="40" spans="2:182" x14ac:dyDescent="0.2">
      <c r="B40" s="22"/>
      <c r="C40" s="22"/>
      <c r="D40" s="22"/>
      <c r="E40" s="22"/>
      <c r="F40" s="22"/>
      <c r="G40" s="22"/>
      <c r="H40" s="22"/>
      <c r="I40" s="22"/>
      <c r="J40" s="22"/>
      <c r="K40" s="22"/>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2"/>
      <c r="AS40" s="22"/>
      <c r="AT40" s="22"/>
      <c r="AU40" s="22"/>
      <c r="AV40" s="22"/>
      <c r="AW40" s="22"/>
      <c r="AX40" s="22"/>
      <c r="AY40" s="22"/>
      <c r="AZ40" s="22"/>
      <c r="BA40" s="22"/>
      <c r="BB40" s="22"/>
      <c r="BC40" s="22"/>
      <c r="BD40" s="22"/>
      <c r="BE40" s="22"/>
      <c r="BF40" s="22"/>
      <c r="BG40" s="22"/>
      <c r="BH40" s="22"/>
      <c r="BI40" s="22"/>
      <c r="BJ40" s="22"/>
      <c r="BK40" s="22"/>
      <c r="BL40" s="22"/>
      <c r="BM40" s="22"/>
      <c r="BN40" s="22"/>
      <c r="BO40" s="22"/>
      <c r="BP40" s="22"/>
      <c r="BQ40" s="22"/>
      <c r="BR40" s="22"/>
      <c r="BS40" s="22"/>
      <c r="BT40" s="22"/>
      <c r="BU40" s="22"/>
      <c r="BV40" s="22"/>
      <c r="BW40" s="22"/>
      <c r="BX40" s="22"/>
      <c r="BY40" s="22"/>
      <c r="BZ40" s="22"/>
      <c r="CA40" s="22"/>
      <c r="CB40" s="22"/>
      <c r="CC40" s="22"/>
      <c r="CD40" s="22"/>
      <c r="CE40" s="22"/>
      <c r="CF40" s="22"/>
      <c r="CG40" s="22"/>
      <c r="CH40" s="22"/>
      <c r="CI40" s="22"/>
      <c r="CJ40" s="22"/>
      <c r="CK40" s="22"/>
      <c r="CL40" s="22"/>
      <c r="CM40" s="22"/>
      <c r="CN40" s="22"/>
      <c r="CO40" s="22"/>
      <c r="CP40" s="22"/>
      <c r="CQ40" s="22"/>
      <c r="CR40" s="22"/>
      <c r="CS40" s="22"/>
      <c r="CT40" s="22"/>
      <c r="CU40" s="22"/>
      <c r="CV40" s="22"/>
      <c r="CW40" s="22"/>
      <c r="CX40" s="22"/>
      <c r="CY40" s="22"/>
      <c r="CZ40" s="22"/>
      <c r="DA40" s="22"/>
      <c r="DB40" s="22"/>
      <c r="DC40" s="22"/>
      <c r="DD40" s="22"/>
      <c r="DE40" s="22"/>
      <c r="DF40" s="22"/>
      <c r="DG40" s="22"/>
      <c r="DH40" s="22"/>
      <c r="DI40" s="22"/>
      <c r="DJ40" s="22"/>
      <c r="DK40" s="22"/>
      <c r="DL40" s="22"/>
      <c r="DM40" s="22"/>
      <c r="DN40" s="22"/>
      <c r="DO40" s="22"/>
      <c r="DP40" s="22"/>
      <c r="DQ40" s="22"/>
      <c r="DR40" s="22"/>
      <c r="DS40" s="22"/>
      <c r="DT40" s="22"/>
      <c r="DU40" s="22"/>
      <c r="DV40" s="22"/>
      <c r="DW40" s="22"/>
      <c r="DX40" s="22"/>
      <c r="DY40" s="22"/>
      <c r="DZ40" s="22"/>
      <c r="EA40" s="22"/>
      <c r="EB40" s="22"/>
      <c r="EC40" s="22"/>
      <c r="ED40" s="22"/>
      <c r="EE40" s="22"/>
      <c r="EF40" s="22"/>
      <c r="EG40" s="22"/>
      <c r="EH40" s="22"/>
      <c r="EI40" s="22"/>
      <c r="EJ40" s="22"/>
      <c r="EK40" s="22"/>
      <c r="EL40" s="22"/>
      <c r="EM40" s="22"/>
      <c r="EN40" s="22"/>
      <c r="EO40" s="22"/>
      <c r="EP40" s="22"/>
      <c r="EQ40" s="22"/>
      <c r="ER40" s="22"/>
      <c r="ES40" s="22"/>
      <c r="ET40" s="22"/>
      <c r="EU40" s="22"/>
      <c r="EV40" s="22"/>
      <c r="EW40" s="22"/>
      <c r="EX40" s="22"/>
      <c r="EY40" s="22"/>
      <c r="EZ40" s="22"/>
      <c r="FA40" s="22"/>
      <c r="FB40" s="22"/>
      <c r="FC40" s="22"/>
      <c r="FD40" s="22"/>
      <c r="FE40" s="22"/>
      <c r="FF40" s="22"/>
      <c r="FG40" s="22"/>
      <c r="FH40" s="22"/>
      <c r="FI40" s="22"/>
      <c r="FJ40" s="22"/>
      <c r="FK40" s="22"/>
      <c r="FL40" s="22"/>
      <c r="FM40" s="22"/>
      <c r="FN40" s="22"/>
      <c r="FO40" s="22"/>
      <c r="FP40" s="22"/>
      <c r="FQ40" s="22"/>
      <c r="FR40" s="22"/>
      <c r="FS40" s="22"/>
      <c r="FT40" s="22"/>
      <c r="FU40" s="22"/>
      <c r="FV40" s="22"/>
      <c r="FW40" s="22"/>
      <c r="FX40" s="22"/>
      <c r="FY40" s="22"/>
      <c r="FZ40" s="22"/>
    </row>
    <row r="41" spans="2:182" x14ac:dyDescent="0.2">
      <c r="B41" s="22"/>
      <c r="C41" s="22"/>
      <c r="D41" s="22"/>
      <c r="E41" s="22"/>
      <c r="F41" s="22"/>
      <c r="G41" s="22"/>
      <c r="H41" s="22"/>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X41" s="22"/>
      <c r="AY41" s="22"/>
      <c r="AZ41" s="22"/>
      <c r="BA41" s="22"/>
      <c r="BB41" s="22"/>
      <c r="BC41" s="22"/>
      <c r="BD41" s="22"/>
      <c r="BE41" s="22"/>
      <c r="BF41" s="22"/>
      <c r="BG41" s="22"/>
      <c r="BH41" s="22"/>
      <c r="BI41" s="22"/>
      <c r="BJ41" s="22"/>
      <c r="BK41" s="22"/>
      <c r="BL41" s="22"/>
      <c r="BM41" s="22"/>
      <c r="BN41" s="22"/>
      <c r="BO41" s="22"/>
      <c r="BP41" s="22"/>
      <c r="BQ41" s="22"/>
      <c r="BR41" s="22"/>
      <c r="BS41" s="22"/>
      <c r="BT41" s="22"/>
      <c r="BU41" s="22"/>
      <c r="BV41" s="22"/>
      <c r="BW41" s="22"/>
      <c r="BX41" s="22"/>
      <c r="BY41" s="22"/>
      <c r="BZ41" s="22"/>
      <c r="CA41" s="22"/>
      <c r="CB41" s="22"/>
      <c r="CC41" s="22"/>
      <c r="CD41" s="22"/>
      <c r="CE41" s="22"/>
      <c r="CF41" s="22"/>
      <c r="CG41" s="22"/>
      <c r="CH41" s="22"/>
      <c r="CI41" s="22"/>
      <c r="CJ41" s="22"/>
      <c r="CK41" s="22"/>
      <c r="CL41" s="22"/>
      <c r="CM41" s="22"/>
      <c r="CN41" s="22"/>
      <c r="CO41" s="22"/>
      <c r="CP41" s="22"/>
      <c r="CQ41" s="22"/>
      <c r="CR41" s="22"/>
      <c r="CS41" s="22"/>
      <c r="CT41" s="22"/>
      <c r="CU41" s="22"/>
      <c r="CV41" s="22"/>
      <c r="CW41" s="22"/>
      <c r="CX41" s="22"/>
      <c r="CY41" s="22"/>
      <c r="CZ41" s="22"/>
      <c r="DA41" s="22"/>
      <c r="DB41" s="22"/>
      <c r="DC41" s="22"/>
      <c r="DD41" s="22"/>
      <c r="DE41" s="22"/>
      <c r="DF41" s="22"/>
      <c r="DG41" s="22"/>
      <c r="DH41" s="22"/>
      <c r="DI41" s="22"/>
      <c r="DJ41" s="22"/>
      <c r="DK41" s="22"/>
      <c r="DL41" s="22"/>
      <c r="DM41" s="22"/>
      <c r="DN41" s="22"/>
      <c r="DO41" s="22"/>
      <c r="DP41" s="22"/>
      <c r="DQ41" s="22"/>
      <c r="DR41" s="22"/>
      <c r="DS41" s="22"/>
      <c r="DT41" s="22"/>
      <c r="DU41" s="22"/>
      <c r="DV41" s="22"/>
      <c r="DW41" s="22"/>
      <c r="DX41" s="22"/>
      <c r="DY41" s="22"/>
      <c r="DZ41" s="22"/>
      <c r="EA41" s="22"/>
      <c r="EB41" s="22"/>
      <c r="EC41" s="22"/>
      <c r="ED41" s="22"/>
      <c r="EE41" s="22"/>
      <c r="EF41" s="22"/>
      <c r="EG41" s="22"/>
      <c r="EH41" s="22"/>
      <c r="EI41" s="22"/>
      <c r="EJ41" s="22"/>
      <c r="EK41" s="22"/>
      <c r="EL41" s="22"/>
      <c r="EM41" s="22"/>
      <c r="EN41" s="22"/>
      <c r="EO41" s="22"/>
      <c r="EP41" s="22"/>
      <c r="EQ41" s="22"/>
      <c r="ER41" s="22"/>
      <c r="ES41" s="22"/>
      <c r="ET41" s="22"/>
      <c r="EU41" s="22"/>
      <c r="EV41" s="22"/>
      <c r="EW41" s="22"/>
      <c r="EX41" s="22"/>
      <c r="EY41" s="22"/>
      <c r="EZ41" s="22"/>
      <c r="FA41" s="22"/>
      <c r="FB41" s="22"/>
      <c r="FC41" s="22"/>
      <c r="FD41" s="22"/>
      <c r="FE41" s="22"/>
      <c r="FF41" s="22"/>
      <c r="FG41" s="22"/>
      <c r="FH41" s="22"/>
      <c r="FI41" s="22"/>
      <c r="FJ41" s="22"/>
      <c r="FK41" s="22"/>
      <c r="FL41" s="22"/>
      <c r="FM41" s="22"/>
      <c r="FN41" s="22"/>
      <c r="FO41" s="22"/>
      <c r="FP41" s="22"/>
      <c r="FQ41" s="22"/>
      <c r="FR41" s="22"/>
      <c r="FS41" s="22"/>
      <c r="FT41" s="22"/>
      <c r="FU41" s="22"/>
      <c r="FV41" s="22"/>
      <c r="FW41" s="22"/>
      <c r="FX41" s="22"/>
      <c r="FY41" s="22"/>
      <c r="FZ41" s="22"/>
    </row>
    <row r="42" spans="2:182" x14ac:dyDescent="0.2">
      <c r="B42" s="22"/>
      <c r="C42" s="22"/>
      <c r="D42" s="22"/>
      <c r="E42" s="22"/>
      <c r="F42" s="22"/>
      <c r="G42" s="22"/>
      <c r="H42" s="22"/>
      <c r="I42" s="22"/>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c r="BA42" s="22"/>
      <c r="BB42" s="22"/>
      <c r="BC42" s="22"/>
      <c r="BD42" s="22"/>
      <c r="BE42" s="22"/>
      <c r="BF42" s="22"/>
      <c r="BG42" s="22"/>
      <c r="BH42" s="22"/>
      <c r="BI42" s="22"/>
      <c r="BJ42" s="22"/>
      <c r="BK42" s="22"/>
      <c r="BL42" s="22"/>
      <c r="BM42" s="22"/>
      <c r="BN42" s="22"/>
      <c r="BO42" s="22"/>
      <c r="BP42" s="22"/>
      <c r="BQ42" s="22"/>
      <c r="BR42" s="22"/>
      <c r="BS42" s="22"/>
      <c r="BT42" s="22"/>
      <c r="BU42" s="22"/>
      <c r="BV42" s="22"/>
      <c r="BW42" s="22"/>
      <c r="BX42" s="22"/>
      <c r="BY42" s="22"/>
      <c r="BZ42" s="22"/>
      <c r="CA42" s="22"/>
      <c r="CB42" s="22"/>
      <c r="CC42" s="22"/>
      <c r="CD42" s="22"/>
      <c r="CE42" s="22"/>
      <c r="CF42" s="22"/>
      <c r="CG42" s="22"/>
      <c r="CH42" s="22"/>
      <c r="CI42" s="22"/>
      <c r="CJ42" s="22"/>
      <c r="CK42" s="22"/>
      <c r="CL42" s="22"/>
      <c r="CM42" s="22"/>
      <c r="CN42" s="22"/>
      <c r="CO42" s="22"/>
      <c r="CP42" s="22"/>
      <c r="CQ42" s="22"/>
      <c r="CR42" s="22"/>
      <c r="CS42" s="22"/>
      <c r="CT42" s="22"/>
      <c r="CU42" s="22"/>
      <c r="CV42" s="22"/>
      <c r="CW42" s="22"/>
      <c r="CX42" s="22"/>
      <c r="CY42" s="22"/>
      <c r="CZ42" s="22"/>
      <c r="DA42" s="22"/>
      <c r="DB42" s="22"/>
      <c r="DC42" s="22"/>
      <c r="DD42" s="22"/>
      <c r="DE42" s="22"/>
      <c r="DF42" s="22"/>
      <c r="DG42" s="22"/>
      <c r="DH42" s="22"/>
      <c r="DI42" s="22"/>
      <c r="DJ42" s="22"/>
      <c r="DK42" s="22"/>
      <c r="DL42" s="22"/>
      <c r="DM42" s="22"/>
      <c r="DN42" s="22"/>
      <c r="DO42" s="22"/>
      <c r="DP42" s="22"/>
      <c r="DQ42" s="22"/>
      <c r="DR42" s="22"/>
      <c r="DS42" s="22"/>
      <c r="DT42" s="22"/>
      <c r="DU42" s="22"/>
      <c r="DV42" s="22"/>
      <c r="DW42" s="22"/>
      <c r="DX42" s="22"/>
      <c r="DY42" s="22"/>
      <c r="DZ42" s="22"/>
      <c r="EA42" s="22"/>
      <c r="EB42" s="22"/>
      <c r="EC42" s="22"/>
      <c r="ED42" s="22"/>
      <c r="EE42" s="22"/>
      <c r="EF42" s="22"/>
      <c r="EG42" s="22"/>
      <c r="EH42" s="22"/>
      <c r="EI42" s="22"/>
      <c r="EJ42" s="22"/>
      <c r="EK42" s="22"/>
      <c r="EL42" s="22"/>
      <c r="EM42" s="22"/>
      <c r="EN42" s="22"/>
      <c r="EO42" s="22"/>
      <c r="EP42" s="22"/>
      <c r="EQ42" s="22"/>
      <c r="ER42" s="22"/>
      <c r="ES42" s="22"/>
      <c r="ET42" s="22"/>
      <c r="EU42" s="22"/>
      <c r="EV42" s="22"/>
      <c r="EW42" s="22"/>
      <c r="EX42" s="22"/>
      <c r="EY42" s="22"/>
      <c r="EZ42" s="22"/>
      <c r="FA42" s="22"/>
      <c r="FB42" s="22"/>
      <c r="FC42" s="22"/>
      <c r="FD42" s="22"/>
      <c r="FE42" s="22"/>
      <c r="FF42" s="22"/>
      <c r="FG42" s="22"/>
      <c r="FH42" s="22"/>
      <c r="FI42" s="22"/>
      <c r="FJ42" s="22"/>
      <c r="FK42" s="22"/>
      <c r="FL42" s="22"/>
      <c r="FM42" s="22"/>
      <c r="FN42" s="22"/>
      <c r="FO42" s="22"/>
      <c r="FP42" s="22"/>
      <c r="FQ42" s="22"/>
      <c r="FR42" s="22"/>
      <c r="FS42" s="22"/>
      <c r="FT42" s="22"/>
      <c r="FU42" s="22"/>
      <c r="FV42" s="22"/>
      <c r="FW42" s="22"/>
      <c r="FX42" s="22"/>
      <c r="FY42" s="22"/>
      <c r="FZ42" s="22"/>
    </row>
    <row r="43" spans="2:182" x14ac:dyDescent="0.2">
      <c r="B43" s="22"/>
      <c r="C43" s="22"/>
      <c r="D43" s="22"/>
      <c r="E43" s="22"/>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22"/>
      <c r="AY43" s="22"/>
      <c r="AZ43" s="22"/>
      <c r="BA43" s="22"/>
      <c r="BB43" s="22"/>
      <c r="BC43" s="22"/>
      <c r="BD43" s="22"/>
      <c r="BE43" s="22"/>
      <c r="BF43" s="22"/>
      <c r="BG43" s="22"/>
      <c r="BH43" s="22"/>
      <c r="BI43" s="22"/>
      <c r="BJ43" s="22"/>
      <c r="BK43" s="22"/>
      <c r="BL43" s="22"/>
      <c r="BM43" s="22"/>
      <c r="BN43" s="22"/>
      <c r="BO43" s="22"/>
      <c r="BP43" s="22"/>
      <c r="BQ43" s="22"/>
      <c r="BR43" s="22"/>
      <c r="BS43" s="22"/>
      <c r="BT43" s="22"/>
      <c r="BU43" s="22"/>
      <c r="BV43" s="22"/>
      <c r="BW43" s="22"/>
      <c r="BX43" s="22"/>
      <c r="BY43" s="22"/>
      <c r="BZ43" s="22"/>
      <c r="CA43" s="22"/>
      <c r="CB43" s="22"/>
      <c r="CC43" s="22"/>
      <c r="CD43" s="22"/>
      <c r="CE43" s="22"/>
      <c r="CF43" s="22"/>
      <c r="CG43" s="22"/>
      <c r="CH43" s="22"/>
      <c r="CI43" s="22"/>
      <c r="CJ43" s="22"/>
      <c r="CK43" s="22"/>
      <c r="CL43" s="22"/>
      <c r="CM43" s="22"/>
      <c r="CN43" s="22"/>
      <c r="CO43" s="22"/>
      <c r="CP43" s="22"/>
      <c r="CQ43" s="22"/>
      <c r="CR43" s="22"/>
      <c r="CS43" s="22"/>
      <c r="CT43" s="22"/>
      <c r="CU43" s="22"/>
      <c r="CV43" s="22"/>
      <c r="CW43" s="22"/>
      <c r="CX43" s="22"/>
      <c r="CY43" s="22"/>
      <c r="CZ43" s="22"/>
      <c r="DA43" s="22"/>
      <c r="DB43" s="22"/>
      <c r="DC43" s="22"/>
      <c r="DD43" s="22"/>
      <c r="DE43" s="22"/>
      <c r="DF43" s="22"/>
      <c r="DG43" s="22"/>
      <c r="DH43" s="22"/>
      <c r="DI43" s="22"/>
      <c r="DJ43" s="22"/>
      <c r="DK43" s="22"/>
      <c r="DL43" s="22"/>
      <c r="DM43" s="22"/>
      <c r="DN43" s="22"/>
      <c r="DO43" s="22"/>
      <c r="DP43" s="22"/>
      <c r="DQ43" s="22"/>
      <c r="DR43" s="22"/>
      <c r="DS43" s="22"/>
      <c r="DT43" s="22"/>
      <c r="DU43" s="22"/>
      <c r="DV43" s="22"/>
      <c r="DW43" s="22"/>
      <c r="DX43" s="22"/>
      <c r="DY43" s="22"/>
      <c r="DZ43" s="22"/>
      <c r="EA43" s="22"/>
      <c r="EB43" s="22"/>
      <c r="EC43" s="22"/>
      <c r="ED43" s="22"/>
      <c r="EE43" s="22"/>
      <c r="EF43" s="22"/>
      <c r="EG43" s="22"/>
      <c r="EH43" s="22"/>
      <c r="EI43" s="22"/>
      <c r="EJ43" s="22"/>
      <c r="EK43" s="22"/>
      <c r="EL43" s="22"/>
      <c r="EM43" s="22"/>
      <c r="EN43" s="22"/>
      <c r="EO43" s="22"/>
      <c r="EP43" s="22"/>
      <c r="EQ43" s="22"/>
      <c r="ER43" s="22"/>
      <c r="ES43" s="22"/>
      <c r="ET43" s="22"/>
      <c r="EU43" s="22"/>
      <c r="EV43" s="22"/>
      <c r="EW43" s="22"/>
      <c r="EX43" s="22"/>
      <c r="EY43" s="22"/>
      <c r="EZ43" s="22"/>
      <c r="FA43" s="22"/>
      <c r="FB43" s="22"/>
      <c r="FC43" s="22"/>
      <c r="FD43" s="22"/>
      <c r="FE43" s="22"/>
      <c r="FF43" s="22"/>
      <c r="FG43" s="22"/>
      <c r="FH43" s="22"/>
      <c r="FI43" s="22"/>
      <c r="FJ43" s="22"/>
      <c r="FK43" s="22"/>
      <c r="FL43" s="22"/>
      <c r="FM43" s="22"/>
      <c r="FN43" s="22"/>
      <c r="FO43" s="22"/>
      <c r="FP43" s="22"/>
      <c r="FQ43" s="22"/>
      <c r="FR43" s="22"/>
      <c r="FS43" s="22"/>
      <c r="FT43" s="22"/>
      <c r="FU43" s="22"/>
      <c r="FV43" s="22"/>
      <c r="FW43" s="22"/>
      <c r="FX43" s="22"/>
      <c r="FY43" s="22"/>
      <c r="FZ43" s="22"/>
    </row>
    <row r="44" spans="2:182" x14ac:dyDescent="0.2">
      <c r="B44" s="22"/>
      <c r="C44" s="22"/>
      <c r="D44" s="22"/>
      <c r="E44" s="22"/>
      <c r="F44" s="22"/>
      <c r="G44" s="22"/>
      <c r="H44" s="22"/>
      <c r="I44" s="22"/>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22"/>
      <c r="AY44" s="22"/>
      <c r="AZ44" s="22"/>
      <c r="BA44" s="22"/>
      <c r="BB44" s="22"/>
      <c r="BC44" s="22"/>
      <c r="BD44" s="22"/>
      <c r="BE44" s="22"/>
      <c r="BF44" s="22"/>
      <c r="BG44" s="22"/>
      <c r="BH44" s="22"/>
      <c r="BI44" s="22"/>
      <c r="BJ44" s="22"/>
      <c r="BK44" s="22"/>
      <c r="BL44" s="22"/>
      <c r="BM44" s="22"/>
      <c r="BN44" s="22"/>
      <c r="BO44" s="22"/>
      <c r="BP44" s="22"/>
      <c r="BQ44" s="22"/>
      <c r="BR44" s="22"/>
      <c r="BS44" s="22"/>
      <c r="BT44" s="22"/>
      <c r="BU44" s="22"/>
      <c r="BV44" s="22"/>
      <c r="BW44" s="22"/>
      <c r="BX44" s="22"/>
      <c r="BY44" s="22"/>
      <c r="BZ44" s="22"/>
      <c r="CA44" s="22"/>
      <c r="CB44" s="22"/>
      <c r="CC44" s="22"/>
      <c r="CD44" s="22"/>
      <c r="CE44" s="22"/>
      <c r="CF44" s="22"/>
      <c r="CG44" s="22"/>
      <c r="CH44" s="22"/>
      <c r="CI44" s="22"/>
      <c r="CJ44" s="22"/>
      <c r="CK44" s="22"/>
      <c r="CL44" s="22"/>
      <c r="CM44" s="22"/>
      <c r="CN44" s="22"/>
      <c r="CO44" s="22"/>
      <c r="CP44" s="22"/>
      <c r="CQ44" s="22"/>
      <c r="CR44" s="22"/>
      <c r="CS44" s="22"/>
      <c r="CT44" s="22"/>
      <c r="CU44" s="22"/>
      <c r="CV44" s="22"/>
      <c r="CW44" s="22"/>
      <c r="CX44" s="22"/>
      <c r="CY44" s="22"/>
      <c r="CZ44" s="22"/>
      <c r="DA44" s="22"/>
      <c r="DB44" s="22"/>
      <c r="DC44" s="22"/>
      <c r="DD44" s="22"/>
      <c r="DE44" s="22"/>
      <c r="DF44" s="22"/>
      <c r="DG44" s="22"/>
      <c r="DH44" s="22"/>
      <c r="DI44" s="22"/>
      <c r="DJ44" s="22"/>
      <c r="DK44" s="22"/>
      <c r="DL44" s="22"/>
      <c r="DM44" s="22"/>
      <c r="DN44" s="22"/>
      <c r="DO44" s="22"/>
      <c r="DP44" s="22"/>
      <c r="DQ44" s="22"/>
      <c r="DR44" s="22"/>
      <c r="DS44" s="22"/>
      <c r="DT44" s="22"/>
      <c r="DU44" s="22"/>
      <c r="DV44" s="22"/>
      <c r="DW44" s="22"/>
      <c r="DX44" s="22"/>
      <c r="DY44" s="22"/>
      <c r="DZ44" s="22"/>
      <c r="EA44" s="22"/>
      <c r="EB44" s="22"/>
      <c r="EC44" s="22"/>
      <c r="ED44" s="22"/>
      <c r="EE44" s="22"/>
      <c r="EF44" s="22"/>
      <c r="EG44" s="22"/>
      <c r="EH44" s="22"/>
      <c r="EI44" s="22"/>
      <c r="EJ44" s="22"/>
      <c r="EK44" s="22"/>
      <c r="EL44" s="22"/>
      <c r="EM44" s="22"/>
      <c r="EN44" s="22"/>
      <c r="EO44" s="22"/>
      <c r="EP44" s="22"/>
      <c r="EQ44" s="22"/>
      <c r="ER44" s="22"/>
      <c r="ES44" s="22"/>
      <c r="ET44" s="22"/>
      <c r="EU44" s="22"/>
      <c r="EV44" s="22"/>
      <c r="EW44" s="22"/>
      <c r="EX44" s="22"/>
      <c r="EY44" s="22"/>
      <c r="EZ44" s="22"/>
      <c r="FA44" s="22"/>
      <c r="FB44" s="22"/>
      <c r="FC44" s="22"/>
      <c r="FD44" s="22"/>
      <c r="FE44" s="22"/>
      <c r="FF44" s="22"/>
      <c r="FG44" s="22"/>
      <c r="FH44" s="22"/>
      <c r="FI44" s="22"/>
      <c r="FJ44" s="22"/>
      <c r="FK44" s="22"/>
      <c r="FL44" s="22"/>
      <c r="FM44" s="22"/>
      <c r="FN44" s="22"/>
      <c r="FO44" s="22"/>
      <c r="FP44" s="22"/>
      <c r="FQ44" s="22"/>
      <c r="FR44" s="22"/>
      <c r="FS44" s="22"/>
      <c r="FT44" s="22"/>
      <c r="FU44" s="22"/>
      <c r="FV44" s="22"/>
      <c r="FW44" s="22"/>
      <c r="FX44" s="22"/>
      <c r="FY44" s="22"/>
      <c r="FZ44" s="22"/>
    </row>
    <row r="45" spans="2:182" x14ac:dyDescent="0.2">
      <c r="B45" s="22"/>
      <c r="C45" s="22"/>
      <c r="D45" s="22"/>
      <c r="E45" s="22"/>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22"/>
      <c r="AY45" s="22"/>
      <c r="AZ45" s="22"/>
      <c r="BA45" s="22"/>
      <c r="BB45" s="22"/>
      <c r="BC45" s="22"/>
      <c r="BD45" s="22"/>
      <c r="BE45" s="22"/>
      <c r="BF45" s="22"/>
      <c r="BG45" s="22"/>
      <c r="BH45" s="22"/>
      <c r="BI45" s="22"/>
      <c r="BJ45" s="22"/>
      <c r="BK45" s="22"/>
      <c r="BL45" s="22"/>
      <c r="BM45" s="22"/>
      <c r="BN45" s="22"/>
      <c r="BO45" s="22"/>
      <c r="BP45" s="22"/>
      <c r="BQ45" s="22"/>
      <c r="BR45" s="22"/>
      <c r="BS45" s="22"/>
      <c r="BT45" s="22"/>
      <c r="BU45" s="22"/>
      <c r="BV45" s="22"/>
      <c r="BW45" s="22"/>
      <c r="BX45" s="22"/>
      <c r="BY45" s="22"/>
      <c r="BZ45" s="22"/>
      <c r="CA45" s="22"/>
      <c r="CB45" s="22"/>
      <c r="CC45" s="22"/>
      <c r="CD45" s="22"/>
      <c r="CE45" s="22"/>
      <c r="CF45" s="22"/>
      <c r="CG45" s="22"/>
      <c r="CH45" s="22"/>
      <c r="CI45" s="22"/>
      <c r="CJ45" s="22"/>
      <c r="CK45" s="22"/>
      <c r="CL45" s="22"/>
      <c r="CM45" s="22"/>
      <c r="CN45" s="22"/>
      <c r="CO45" s="22"/>
      <c r="CP45" s="22"/>
      <c r="CQ45" s="22"/>
      <c r="CR45" s="22"/>
      <c r="CS45" s="22"/>
      <c r="CT45" s="22"/>
      <c r="CU45" s="22"/>
      <c r="CV45" s="22"/>
      <c r="CW45" s="22"/>
      <c r="CX45" s="22"/>
      <c r="CY45" s="22"/>
      <c r="CZ45" s="22"/>
      <c r="DA45" s="22"/>
      <c r="DB45" s="22"/>
      <c r="DC45" s="22"/>
      <c r="DD45" s="22"/>
      <c r="DE45" s="22"/>
      <c r="DF45" s="22"/>
      <c r="DG45" s="22"/>
      <c r="DH45" s="22"/>
      <c r="DI45" s="22"/>
      <c r="DJ45" s="22"/>
      <c r="DK45" s="22"/>
      <c r="DL45" s="22"/>
      <c r="DM45" s="22"/>
      <c r="DN45" s="22"/>
      <c r="DO45" s="22"/>
      <c r="DP45" s="22"/>
      <c r="DQ45" s="22"/>
      <c r="DR45" s="22"/>
      <c r="DS45" s="22"/>
      <c r="DT45" s="22"/>
      <c r="DU45" s="22"/>
      <c r="DV45" s="22"/>
      <c r="DW45" s="22"/>
      <c r="DX45" s="22"/>
      <c r="DY45" s="22"/>
      <c r="DZ45" s="22"/>
      <c r="EA45" s="22"/>
      <c r="EB45" s="22"/>
      <c r="EC45" s="22"/>
      <c r="ED45" s="22"/>
      <c r="EE45" s="22"/>
      <c r="EF45" s="22"/>
      <c r="EG45" s="22"/>
      <c r="EH45" s="22"/>
      <c r="EI45" s="22"/>
      <c r="EJ45" s="22"/>
      <c r="EK45" s="22"/>
      <c r="EL45" s="22"/>
      <c r="EM45" s="22"/>
      <c r="EN45" s="22"/>
      <c r="EO45" s="22"/>
      <c r="EP45" s="22"/>
      <c r="EQ45" s="22"/>
      <c r="ER45" s="22"/>
      <c r="ES45" s="22"/>
      <c r="ET45" s="22"/>
      <c r="EU45" s="22"/>
      <c r="EV45" s="22"/>
      <c r="EW45" s="22"/>
      <c r="EX45" s="22"/>
      <c r="EY45" s="22"/>
      <c r="EZ45" s="22"/>
      <c r="FA45" s="22"/>
      <c r="FB45" s="22"/>
      <c r="FC45" s="22"/>
      <c r="FD45" s="22"/>
      <c r="FE45" s="22"/>
      <c r="FF45" s="22"/>
      <c r="FG45" s="22"/>
      <c r="FH45" s="22"/>
      <c r="FI45" s="22"/>
      <c r="FJ45" s="22"/>
      <c r="FK45" s="22"/>
      <c r="FL45" s="22"/>
      <c r="FM45" s="22"/>
      <c r="FN45" s="22"/>
      <c r="FO45" s="22"/>
      <c r="FP45" s="22"/>
      <c r="FQ45" s="22"/>
      <c r="FR45" s="22"/>
      <c r="FS45" s="22"/>
      <c r="FT45" s="22"/>
      <c r="FU45" s="22"/>
      <c r="FV45" s="22"/>
      <c r="FW45" s="22"/>
      <c r="FX45" s="22"/>
      <c r="FY45" s="22"/>
      <c r="FZ45" s="22"/>
    </row>
    <row r="46" spans="2:182" x14ac:dyDescent="0.2">
      <c r="B46" s="22"/>
      <c r="C46" s="22"/>
      <c r="D46" s="22"/>
      <c r="E46" s="22"/>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22"/>
      <c r="AY46" s="22"/>
      <c r="AZ46" s="22"/>
      <c r="BA46" s="22"/>
      <c r="BB46" s="22"/>
      <c r="BC46" s="22"/>
      <c r="BD46" s="22"/>
      <c r="BE46" s="22"/>
      <c r="BF46" s="22"/>
      <c r="BG46" s="22"/>
      <c r="BH46" s="22"/>
      <c r="BI46" s="22"/>
      <c r="BJ46" s="22"/>
      <c r="BK46" s="22"/>
      <c r="BL46" s="22"/>
      <c r="BM46" s="22"/>
      <c r="BN46" s="22"/>
      <c r="BO46" s="22"/>
      <c r="BP46" s="22"/>
      <c r="BQ46" s="22"/>
      <c r="BR46" s="22"/>
      <c r="BS46" s="22"/>
      <c r="BT46" s="22"/>
      <c r="BU46" s="22"/>
      <c r="BV46" s="22"/>
      <c r="BW46" s="22"/>
      <c r="BX46" s="22"/>
      <c r="BY46" s="22"/>
      <c r="BZ46" s="22"/>
      <c r="CA46" s="22"/>
      <c r="CB46" s="22"/>
      <c r="CC46" s="22"/>
      <c r="CD46" s="22"/>
      <c r="CE46" s="22"/>
      <c r="CF46" s="22"/>
      <c r="CG46" s="22"/>
      <c r="CH46" s="22"/>
      <c r="CI46" s="22"/>
      <c r="CJ46" s="22"/>
      <c r="CK46" s="22"/>
      <c r="CL46" s="22"/>
      <c r="CM46" s="22"/>
      <c r="CN46" s="22"/>
      <c r="CO46" s="22"/>
      <c r="CP46" s="22"/>
      <c r="CQ46" s="22"/>
      <c r="CR46" s="22"/>
      <c r="CS46" s="22"/>
      <c r="CT46" s="22"/>
      <c r="CU46" s="22"/>
      <c r="CV46" s="22"/>
      <c r="CW46" s="22"/>
      <c r="CX46" s="22"/>
      <c r="CY46" s="22"/>
      <c r="CZ46" s="22"/>
      <c r="DA46" s="22"/>
      <c r="DB46" s="22"/>
      <c r="DC46" s="22"/>
      <c r="DD46" s="22"/>
      <c r="DE46" s="22"/>
      <c r="DF46" s="22"/>
      <c r="DG46" s="22"/>
      <c r="DH46" s="22"/>
      <c r="DI46" s="22"/>
      <c r="DJ46" s="22"/>
      <c r="DK46" s="22"/>
      <c r="DL46" s="22"/>
      <c r="DM46" s="22"/>
      <c r="DN46" s="22"/>
      <c r="DO46" s="22"/>
      <c r="DP46" s="22"/>
      <c r="DQ46" s="22"/>
      <c r="DR46" s="22"/>
      <c r="DS46" s="22"/>
      <c r="DT46" s="22"/>
      <c r="DU46" s="22"/>
      <c r="DV46" s="22"/>
      <c r="DW46" s="22"/>
      <c r="DX46" s="22"/>
      <c r="DY46" s="22"/>
      <c r="DZ46" s="22"/>
      <c r="EA46" s="22"/>
      <c r="EB46" s="22"/>
      <c r="EC46" s="22"/>
      <c r="ED46" s="22"/>
      <c r="EE46" s="22"/>
      <c r="EF46" s="22"/>
      <c r="EG46" s="22"/>
      <c r="EH46" s="22"/>
      <c r="EI46" s="22"/>
      <c r="EJ46" s="22"/>
      <c r="EK46" s="22"/>
      <c r="EL46" s="22"/>
      <c r="EM46" s="22"/>
      <c r="EN46" s="22"/>
      <c r="EO46" s="22"/>
      <c r="EP46" s="22"/>
      <c r="EQ46" s="22"/>
      <c r="ER46" s="22"/>
      <c r="ES46" s="22"/>
      <c r="ET46" s="22"/>
      <c r="EU46" s="22"/>
      <c r="EV46" s="22"/>
      <c r="EW46" s="22"/>
      <c r="EX46" s="22"/>
      <c r="EY46" s="22"/>
      <c r="EZ46" s="22"/>
      <c r="FA46" s="22"/>
      <c r="FB46" s="22"/>
      <c r="FC46" s="22"/>
      <c r="FD46" s="22"/>
      <c r="FE46" s="22"/>
      <c r="FF46" s="22"/>
      <c r="FG46" s="22"/>
      <c r="FH46" s="22"/>
      <c r="FI46" s="22"/>
      <c r="FJ46" s="22"/>
      <c r="FK46" s="22"/>
      <c r="FL46" s="22"/>
      <c r="FM46" s="22"/>
      <c r="FN46" s="22"/>
      <c r="FO46" s="22"/>
      <c r="FP46" s="22"/>
      <c r="FQ46" s="22"/>
      <c r="FR46" s="22"/>
      <c r="FS46" s="22"/>
      <c r="FT46" s="22"/>
      <c r="FU46" s="22"/>
      <c r="FV46" s="22"/>
      <c r="FW46" s="22"/>
      <c r="FX46" s="22"/>
      <c r="FY46" s="22"/>
      <c r="FZ46" s="22"/>
    </row>
    <row r="47" spans="2:182" x14ac:dyDescent="0.2">
      <c r="B47" s="22"/>
      <c r="C47" s="22"/>
      <c r="D47" s="22"/>
      <c r="E47" s="22"/>
      <c r="F47" s="22"/>
      <c r="G47" s="22"/>
      <c r="H47" s="22"/>
      <c r="I47" s="22"/>
      <c r="J47" s="22"/>
      <c r="K47" s="22"/>
      <c r="L47" s="22"/>
      <c r="M47" s="22"/>
      <c r="N47" s="22"/>
      <c r="O47" s="22"/>
      <c r="P47" s="22"/>
      <c r="Q47" s="22"/>
      <c r="R47" s="22"/>
      <c r="S47" s="22"/>
      <c r="T47" s="22"/>
      <c r="U47" s="22"/>
      <c r="V47" s="22"/>
      <c r="W47" s="22"/>
      <c r="X47" s="22"/>
      <c r="Y47" s="22"/>
      <c r="Z47" s="22"/>
      <c r="AA47" s="22"/>
      <c r="AB47" s="22"/>
      <c r="AC47" s="22"/>
      <c r="AD47" s="22"/>
      <c r="AE47" s="22"/>
      <c r="AF47" s="22"/>
      <c r="AG47" s="22"/>
      <c r="AH47" s="22"/>
      <c r="AI47" s="22"/>
      <c r="AJ47" s="22"/>
      <c r="AK47" s="22"/>
      <c r="AL47" s="22"/>
      <c r="AM47" s="22"/>
      <c r="AN47" s="22"/>
      <c r="AO47" s="22"/>
      <c r="AP47" s="22"/>
      <c r="AQ47" s="22"/>
      <c r="AR47" s="22"/>
      <c r="AS47" s="22"/>
      <c r="AT47" s="22"/>
      <c r="AU47" s="22"/>
      <c r="AV47" s="22"/>
      <c r="AW47" s="22"/>
      <c r="AX47" s="22"/>
      <c r="AY47" s="22"/>
      <c r="AZ47" s="22"/>
      <c r="BA47" s="22"/>
      <c r="BB47" s="22"/>
      <c r="BC47" s="22"/>
      <c r="BD47" s="22"/>
      <c r="BE47" s="22"/>
      <c r="BF47" s="22"/>
      <c r="BG47" s="22"/>
      <c r="BH47" s="22"/>
      <c r="BI47" s="22"/>
      <c r="BJ47" s="22"/>
      <c r="BK47" s="22"/>
      <c r="BL47" s="22"/>
      <c r="BM47" s="22"/>
      <c r="BN47" s="22"/>
      <c r="BO47" s="22"/>
      <c r="BP47" s="22"/>
      <c r="BQ47" s="22"/>
      <c r="BR47" s="22"/>
      <c r="BS47" s="22"/>
      <c r="BT47" s="22"/>
      <c r="BU47" s="22"/>
      <c r="BV47" s="22"/>
      <c r="BW47" s="22"/>
      <c r="BX47" s="22"/>
      <c r="BY47" s="22"/>
      <c r="BZ47" s="22"/>
      <c r="CA47" s="22"/>
      <c r="CB47" s="22"/>
      <c r="CC47" s="22"/>
      <c r="CD47" s="22"/>
      <c r="CE47" s="22"/>
      <c r="CF47" s="22"/>
      <c r="CG47" s="22"/>
      <c r="CH47" s="22"/>
      <c r="CI47" s="22"/>
      <c r="CJ47" s="22"/>
      <c r="CK47" s="22"/>
      <c r="CL47" s="22"/>
      <c r="CM47" s="22"/>
      <c r="CN47" s="22"/>
      <c r="CO47" s="22"/>
      <c r="CP47" s="22"/>
      <c r="CQ47" s="22"/>
      <c r="CR47" s="22"/>
      <c r="CS47" s="22"/>
      <c r="CT47" s="22"/>
      <c r="CU47" s="22"/>
      <c r="CV47" s="22"/>
      <c r="CW47" s="22"/>
      <c r="CX47" s="22"/>
      <c r="CY47" s="22"/>
      <c r="CZ47" s="22"/>
      <c r="DA47" s="22"/>
      <c r="DB47" s="22"/>
      <c r="DC47" s="22"/>
      <c r="DD47" s="22"/>
      <c r="DE47" s="22"/>
      <c r="DF47" s="22"/>
      <c r="DG47" s="22"/>
      <c r="DH47" s="22"/>
      <c r="DI47" s="22"/>
      <c r="DJ47" s="22"/>
      <c r="DK47" s="22"/>
      <c r="DL47" s="22"/>
      <c r="DM47" s="22"/>
      <c r="DN47" s="22"/>
      <c r="DO47" s="22"/>
      <c r="DP47" s="22"/>
      <c r="DQ47" s="22"/>
      <c r="DR47" s="22"/>
      <c r="DS47" s="22"/>
      <c r="DT47" s="22"/>
      <c r="DU47" s="22"/>
      <c r="DV47" s="22"/>
      <c r="DW47" s="22"/>
      <c r="DX47" s="22"/>
      <c r="DY47" s="22"/>
      <c r="DZ47" s="22"/>
      <c r="EA47" s="22"/>
      <c r="EB47" s="22"/>
      <c r="EC47" s="22"/>
      <c r="ED47" s="22"/>
      <c r="EE47" s="22"/>
      <c r="EF47" s="22"/>
      <c r="EG47" s="22"/>
      <c r="EH47" s="22"/>
      <c r="EI47" s="22"/>
      <c r="EJ47" s="22"/>
      <c r="EK47" s="22"/>
      <c r="EL47" s="22"/>
      <c r="EM47" s="22"/>
      <c r="EN47" s="22"/>
      <c r="EO47" s="22"/>
      <c r="EP47" s="22"/>
      <c r="EQ47" s="22"/>
      <c r="ER47" s="22"/>
      <c r="ES47" s="22"/>
      <c r="ET47" s="22"/>
      <c r="EU47" s="22"/>
      <c r="EV47" s="22"/>
      <c r="EW47" s="22"/>
      <c r="EX47" s="22"/>
      <c r="EY47" s="22"/>
      <c r="EZ47" s="22"/>
      <c r="FA47" s="22"/>
      <c r="FB47" s="22"/>
      <c r="FC47" s="22"/>
      <c r="FD47" s="22"/>
      <c r="FE47" s="22"/>
      <c r="FF47" s="22"/>
      <c r="FG47" s="22"/>
      <c r="FH47" s="22"/>
      <c r="FI47" s="22"/>
      <c r="FJ47" s="22"/>
      <c r="FK47" s="22"/>
      <c r="FL47" s="22"/>
      <c r="FM47" s="22"/>
      <c r="FN47" s="22"/>
      <c r="FO47" s="22"/>
      <c r="FP47" s="22"/>
      <c r="FQ47" s="22"/>
      <c r="FR47" s="22"/>
      <c r="FS47" s="22"/>
      <c r="FT47" s="22"/>
      <c r="FU47" s="22"/>
      <c r="FV47" s="22"/>
      <c r="FW47" s="22"/>
      <c r="FX47" s="22"/>
      <c r="FY47" s="22"/>
      <c r="FZ47" s="22"/>
    </row>
    <row r="48" spans="2:182" x14ac:dyDescent="0.2">
      <c r="B48" s="22"/>
      <c r="C48" s="22"/>
      <c r="D48" s="22"/>
      <c r="E48" s="22"/>
      <c r="F48" s="22"/>
      <c r="G48" s="22"/>
      <c r="H48" s="22"/>
      <c r="I48" s="22"/>
      <c r="J48" s="22"/>
      <c r="K48" s="22"/>
      <c r="L48" s="22"/>
      <c r="M48" s="22"/>
      <c r="N48" s="22"/>
      <c r="O48" s="22"/>
      <c r="P48" s="22"/>
      <c r="Q48" s="22"/>
      <c r="R48" s="22"/>
      <c r="S48" s="22"/>
      <c r="T48" s="22"/>
      <c r="U48" s="22"/>
      <c r="V48" s="22"/>
      <c r="W48" s="22"/>
      <c r="X48" s="22"/>
      <c r="Y48" s="22"/>
      <c r="Z48" s="22"/>
      <c r="AA48" s="22"/>
      <c r="AB48" s="22"/>
      <c r="AC48" s="22"/>
      <c r="AD48" s="22"/>
      <c r="AE48" s="22"/>
      <c r="AF48" s="22"/>
      <c r="AG48" s="22"/>
      <c r="AH48" s="22"/>
      <c r="AI48" s="22"/>
      <c r="AJ48" s="22"/>
      <c r="AK48" s="22"/>
      <c r="AL48" s="22"/>
      <c r="AM48" s="22"/>
      <c r="AN48" s="22"/>
      <c r="AO48" s="22"/>
      <c r="AP48" s="22"/>
      <c r="AQ48" s="22"/>
      <c r="AR48" s="22"/>
      <c r="AS48" s="22"/>
      <c r="AT48" s="22"/>
      <c r="AU48" s="22"/>
      <c r="AV48" s="22"/>
      <c r="AW48" s="22"/>
      <c r="AX48" s="22"/>
      <c r="AY48" s="22"/>
      <c r="AZ48" s="22"/>
      <c r="BA48" s="22"/>
      <c r="BB48" s="22"/>
      <c r="BC48" s="22"/>
      <c r="BD48" s="22"/>
      <c r="BE48" s="22"/>
      <c r="BF48" s="22"/>
      <c r="BG48" s="22"/>
      <c r="BH48" s="22"/>
      <c r="BI48" s="22"/>
      <c r="BJ48" s="22"/>
      <c r="BK48" s="22"/>
      <c r="BL48" s="22"/>
      <c r="BM48" s="22"/>
      <c r="BN48" s="22"/>
      <c r="BO48" s="22"/>
      <c r="BP48" s="22"/>
      <c r="BQ48" s="22"/>
      <c r="BR48" s="22"/>
      <c r="BS48" s="22"/>
      <c r="BT48" s="22"/>
      <c r="BU48" s="22"/>
      <c r="BV48" s="22"/>
      <c r="BW48" s="22"/>
      <c r="BX48" s="22"/>
      <c r="BY48" s="22"/>
      <c r="BZ48" s="22"/>
      <c r="CA48" s="22"/>
      <c r="CB48" s="22"/>
      <c r="CC48" s="22"/>
      <c r="CD48" s="22"/>
      <c r="CE48" s="22"/>
      <c r="CF48" s="22"/>
      <c r="CG48" s="22"/>
      <c r="CH48" s="22"/>
      <c r="CI48" s="22"/>
      <c r="CJ48" s="22"/>
      <c r="CK48" s="22"/>
      <c r="CL48" s="22"/>
      <c r="CM48" s="22"/>
      <c r="CN48" s="22"/>
      <c r="CO48" s="22"/>
      <c r="CP48" s="22"/>
      <c r="CQ48" s="22"/>
      <c r="CR48" s="22"/>
      <c r="CS48" s="22"/>
      <c r="CT48" s="22"/>
      <c r="CU48" s="22"/>
      <c r="CV48" s="22"/>
      <c r="CW48" s="22"/>
      <c r="CX48" s="22"/>
      <c r="CY48" s="22"/>
      <c r="CZ48" s="22"/>
      <c r="DA48" s="22"/>
      <c r="DB48" s="22"/>
      <c r="DC48" s="22"/>
      <c r="DD48" s="22"/>
      <c r="DE48" s="22"/>
      <c r="DF48" s="22"/>
      <c r="DG48" s="22"/>
      <c r="DH48" s="22"/>
      <c r="DI48" s="22"/>
      <c r="DJ48" s="22"/>
      <c r="DK48" s="22"/>
      <c r="DL48" s="22"/>
      <c r="DM48" s="22"/>
      <c r="DN48" s="22"/>
      <c r="DO48" s="22"/>
      <c r="DP48" s="22"/>
      <c r="DQ48" s="22"/>
      <c r="DR48" s="22"/>
      <c r="DS48" s="22"/>
      <c r="DT48" s="22"/>
      <c r="DU48" s="22"/>
      <c r="DV48" s="22"/>
      <c r="DW48" s="22"/>
      <c r="DX48" s="22"/>
      <c r="DY48" s="22"/>
      <c r="DZ48" s="22"/>
      <c r="EA48" s="22"/>
      <c r="EB48" s="22"/>
      <c r="EC48" s="22"/>
      <c r="ED48" s="22"/>
      <c r="EE48" s="22"/>
      <c r="EF48" s="22"/>
      <c r="EG48" s="22"/>
      <c r="EH48" s="22"/>
      <c r="EI48" s="22"/>
      <c r="EJ48" s="22"/>
      <c r="EK48" s="22"/>
      <c r="EL48" s="22"/>
      <c r="EM48" s="22"/>
      <c r="EN48" s="22"/>
      <c r="EO48" s="22"/>
      <c r="EP48" s="22"/>
      <c r="EQ48" s="22"/>
      <c r="ER48" s="22"/>
      <c r="ES48" s="22"/>
      <c r="ET48" s="22"/>
      <c r="EU48" s="22"/>
      <c r="EV48" s="22"/>
      <c r="EW48" s="22"/>
      <c r="EX48" s="22"/>
      <c r="EY48" s="22"/>
      <c r="EZ48" s="22"/>
      <c r="FA48" s="22"/>
      <c r="FB48" s="22"/>
      <c r="FC48" s="22"/>
      <c r="FD48" s="22"/>
      <c r="FE48" s="22"/>
      <c r="FF48" s="22"/>
      <c r="FG48" s="22"/>
      <c r="FH48" s="22"/>
      <c r="FI48" s="22"/>
      <c r="FJ48" s="22"/>
      <c r="FK48" s="22"/>
      <c r="FL48" s="22"/>
      <c r="FM48" s="22"/>
      <c r="FN48" s="22"/>
      <c r="FO48" s="22"/>
      <c r="FP48" s="22"/>
      <c r="FQ48" s="22"/>
      <c r="FR48" s="22"/>
      <c r="FS48" s="22"/>
      <c r="FT48" s="22"/>
      <c r="FU48" s="22"/>
      <c r="FV48" s="22"/>
      <c r="FW48" s="22"/>
      <c r="FX48" s="22"/>
      <c r="FY48" s="22"/>
      <c r="FZ48" s="22"/>
    </row>
    <row r="49" spans="2:182" x14ac:dyDescent="0.2">
      <c r="B49" s="22"/>
      <c r="C49" s="22"/>
      <c r="D49" s="22"/>
      <c r="E49" s="22"/>
      <c r="F49" s="22"/>
      <c r="G49" s="22"/>
      <c r="H49" s="22"/>
      <c r="I49" s="22"/>
      <c r="J49" s="22"/>
      <c r="K49" s="22"/>
      <c r="L49" s="22"/>
      <c r="M49" s="22"/>
      <c r="N49" s="22"/>
      <c r="O49" s="22"/>
      <c r="P49" s="22"/>
      <c r="Q49" s="22"/>
      <c r="R49" s="22"/>
      <c r="S49" s="22"/>
      <c r="T49" s="22"/>
      <c r="U49" s="22"/>
      <c r="V49" s="22"/>
      <c r="W49" s="22"/>
      <c r="X49" s="22"/>
      <c r="Y49" s="22"/>
      <c r="Z49" s="22"/>
      <c r="AA49" s="22"/>
      <c r="AB49" s="22"/>
      <c r="AC49" s="22"/>
      <c r="AD49" s="22"/>
      <c r="AE49" s="22"/>
      <c r="AF49" s="22"/>
      <c r="AG49" s="22"/>
      <c r="AH49" s="22"/>
      <c r="AI49" s="22"/>
      <c r="AJ49" s="22"/>
      <c r="AK49" s="22"/>
      <c r="AL49" s="22"/>
      <c r="AM49" s="22"/>
      <c r="AN49" s="22"/>
      <c r="AO49" s="22"/>
      <c r="AP49" s="22"/>
      <c r="AQ49" s="22"/>
      <c r="AR49" s="22"/>
      <c r="AS49" s="22"/>
      <c r="AT49" s="22"/>
      <c r="AU49" s="22"/>
      <c r="AV49" s="22"/>
      <c r="AW49" s="22"/>
      <c r="AX49" s="22"/>
      <c r="AY49" s="22"/>
      <c r="AZ49" s="22"/>
      <c r="BA49" s="22"/>
      <c r="BB49" s="22"/>
      <c r="BC49" s="22"/>
      <c r="BD49" s="22"/>
      <c r="BE49" s="22"/>
      <c r="BF49" s="22"/>
      <c r="BG49" s="22"/>
      <c r="BH49" s="22"/>
      <c r="BI49" s="22"/>
      <c r="BJ49" s="22"/>
      <c r="BK49" s="22"/>
      <c r="BL49" s="22"/>
      <c r="BM49" s="22"/>
      <c r="BN49" s="22"/>
      <c r="BO49" s="22"/>
      <c r="BP49" s="22"/>
      <c r="BQ49" s="22"/>
      <c r="BR49" s="22"/>
      <c r="BS49" s="22"/>
      <c r="BT49" s="22"/>
      <c r="BU49" s="22"/>
      <c r="BV49" s="22"/>
      <c r="BW49" s="22"/>
      <c r="BX49" s="22"/>
      <c r="BY49" s="22"/>
      <c r="BZ49" s="22"/>
      <c r="CA49" s="22"/>
      <c r="CB49" s="22"/>
      <c r="CC49" s="22"/>
      <c r="CD49" s="22"/>
      <c r="CE49" s="22"/>
      <c r="CF49" s="22"/>
      <c r="CG49" s="22"/>
      <c r="CH49" s="22"/>
      <c r="CI49" s="22"/>
      <c r="CJ49" s="22"/>
      <c r="CK49" s="22"/>
      <c r="CL49" s="22"/>
      <c r="CM49" s="22"/>
      <c r="CN49" s="22"/>
      <c r="CO49" s="22"/>
      <c r="CP49" s="22"/>
      <c r="CQ49" s="22"/>
      <c r="CR49" s="22"/>
      <c r="CS49" s="22"/>
      <c r="CT49" s="22"/>
      <c r="CU49" s="22"/>
      <c r="CV49" s="22"/>
      <c r="CW49" s="22"/>
      <c r="CX49" s="22"/>
      <c r="CY49" s="22"/>
      <c r="CZ49" s="22"/>
      <c r="DA49" s="22"/>
      <c r="DB49" s="22"/>
      <c r="DC49" s="22"/>
      <c r="DD49" s="22"/>
      <c r="DE49" s="22"/>
      <c r="DF49" s="22"/>
      <c r="DG49" s="22"/>
      <c r="DH49" s="22"/>
      <c r="DI49" s="22"/>
      <c r="DJ49" s="22"/>
      <c r="DK49" s="22"/>
      <c r="DL49" s="22"/>
      <c r="DM49" s="22"/>
      <c r="DN49" s="22"/>
      <c r="DO49" s="22"/>
      <c r="DP49" s="22"/>
      <c r="DQ49" s="22"/>
      <c r="DR49" s="22"/>
      <c r="DS49" s="22"/>
      <c r="DT49" s="22"/>
      <c r="DU49" s="22"/>
      <c r="DV49" s="22"/>
      <c r="DW49" s="22"/>
      <c r="DX49" s="22"/>
      <c r="DY49" s="22"/>
      <c r="DZ49" s="22"/>
      <c r="EA49" s="22"/>
      <c r="EB49" s="22"/>
      <c r="EC49" s="22"/>
      <c r="ED49" s="22"/>
      <c r="EE49" s="22"/>
      <c r="EF49" s="22"/>
      <c r="EG49" s="22"/>
      <c r="EH49" s="22"/>
      <c r="EI49" s="22"/>
      <c r="EJ49" s="22"/>
      <c r="EK49" s="22"/>
      <c r="EL49" s="22"/>
      <c r="EM49" s="22"/>
      <c r="EN49" s="22"/>
      <c r="EO49" s="22"/>
      <c r="EP49" s="22"/>
      <c r="EQ49" s="22"/>
      <c r="ER49" s="22"/>
      <c r="ES49" s="22"/>
      <c r="ET49" s="22"/>
      <c r="EU49" s="22"/>
      <c r="EV49" s="22"/>
      <c r="EW49" s="22"/>
      <c r="EX49" s="22"/>
      <c r="EY49" s="22"/>
      <c r="EZ49" s="22"/>
      <c r="FA49" s="22"/>
      <c r="FB49" s="22"/>
      <c r="FC49" s="22"/>
      <c r="FD49" s="22"/>
      <c r="FE49" s="22"/>
      <c r="FF49" s="22"/>
      <c r="FG49" s="22"/>
      <c r="FH49" s="22"/>
      <c r="FI49" s="22"/>
      <c r="FJ49" s="22"/>
      <c r="FK49" s="22"/>
      <c r="FL49" s="22"/>
      <c r="FM49" s="22"/>
      <c r="FN49" s="22"/>
      <c r="FO49" s="22"/>
      <c r="FP49" s="22"/>
      <c r="FQ49" s="22"/>
      <c r="FR49" s="22"/>
      <c r="FS49" s="22"/>
      <c r="FT49" s="22"/>
      <c r="FU49" s="22"/>
      <c r="FV49" s="22"/>
      <c r="FW49" s="22"/>
      <c r="FX49" s="22"/>
      <c r="FY49" s="22"/>
      <c r="FZ49" s="22"/>
    </row>
    <row r="50" spans="2:182" x14ac:dyDescent="0.2">
      <c r="B50" s="22"/>
      <c r="C50" s="22"/>
      <c r="D50" s="22"/>
      <c r="E50" s="22"/>
      <c r="F50" s="22"/>
      <c r="G50" s="22"/>
      <c r="H50" s="22"/>
      <c r="I50" s="22"/>
      <c r="J50" s="22"/>
      <c r="K50" s="22"/>
      <c r="L50" s="22"/>
      <c r="M50" s="22"/>
      <c r="N50" s="22"/>
      <c r="O50" s="22"/>
      <c r="P50" s="22"/>
      <c r="Q50" s="22"/>
      <c r="R50" s="22"/>
      <c r="S50" s="22"/>
      <c r="T50" s="22"/>
      <c r="U50" s="22"/>
      <c r="V50" s="22"/>
      <c r="W50" s="22"/>
      <c r="X50" s="22"/>
      <c r="Y50" s="22"/>
      <c r="Z50" s="22"/>
      <c r="AA50" s="22"/>
      <c r="AB50" s="22"/>
      <c r="AC50" s="22"/>
      <c r="AD50" s="22"/>
      <c r="AE50" s="22"/>
      <c r="AF50" s="22"/>
      <c r="AG50" s="22"/>
      <c r="AH50" s="22"/>
      <c r="AI50" s="22"/>
      <c r="AJ50" s="22"/>
      <c r="AK50" s="22"/>
      <c r="AL50" s="22"/>
      <c r="AM50" s="22"/>
      <c r="AN50" s="22"/>
      <c r="AO50" s="22"/>
      <c r="AP50" s="22"/>
      <c r="AQ50" s="22"/>
      <c r="AR50" s="22"/>
      <c r="AS50" s="22"/>
      <c r="AT50" s="22"/>
      <c r="AU50" s="22"/>
      <c r="AV50" s="22"/>
      <c r="AW50" s="22"/>
      <c r="AX50" s="22"/>
      <c r="AY50" s="22"/>
      <c r="AZ50" s="22"/>
      <c r="BA50" s="22"/>
      <c r="BB50" s="22"/>
      <c r="BC50" s="22"/>
      <c r="BD50" s="22"/>
      <c r="BE50" s="22"/>
      <c r="BF50" s="22"/>
      <c r="BG50" s="22"/>
      <c r="BH50" s="22"/>
      <c r="BI50" s="22"/>
      <c r="BJ50" s="22"/>
      <c r="BK50" s="22"/>
      <c r="BL50" s="22"/>
      <c r="BM50" s="22"/>
      <c r="BN50" s="22"/>
      <c r="BO50" s="22"/>
      <c r="BP50" s="22"/>
      <c r="BQ50" s="22"/>
      <c r="BR50" s="22"/>
      <c r="BS50" s="22"/>
      <c r="BT50" s="22"/>
      <c r="BU50" s="22"/>
      <c r="BV50" s="22"/>
      <c r="BW50" s="22"/>
      <c r="BX50" s="22"/>
      <c r="BY50" s="22"/>
      <c r="BZ50" s="22"/>
      <c r="CA50" s="22"/>
      <c r="CB50" s="22"/>
      <c r="CC50" s="22"/>
      <c r="CD50" s="22"/>
      <c r="CE50" s="22"/>
      <c r="CF50" s="22"/>
      <c r="CG50" s="22"/>
      <c r="CH50" s="22"/>
      <c r="CI50" s="22"/>
      <c r="CJ50" s="22"/>
      <c r="CK50" s="22"/>
      <c r="CL50" s="22"/>
      <c r="CM50" s="22"/>
      <c r="CN50" s="22"/>
      <c r="CO50" s="22"/>
      <c r="CP50" s="22"/>
      <c r="CQ50" s="22"/>
      <c r="CR50" s="22"/>
      <c r="CS50" s="22"/>
      <c r="CT50" s="22"/>
      <c r="CU50" s="22"/>
      <c r="CV50" s="22"/>
      <c r="CW50" s="22"/>
      <c r="CX50" s="22"/>
      <c r="CY50" s="22"/>
      <c r="CZ50" s="22"/>
      <c r="DA50" s="22"/>
      <c r="DB50" s="22"/>
      <c r="DC50" s="22"/>
      <c r="DD50" s="22"/>
      <c r="DE50" s="22"/>
      <c r="DF50" s="22"/>
      <c r="DG50" s="22"/>
      <c r="DH50" s="22"/>
      <c r="DI50" s="22"/>
      <c r="DJ50" s="22"/>
      <c r="DK50" s="22"/>
      <c r="DL50" s="22"/>
      <c r="DM50" s="22"/>
      <c r="DN50" s="22"/>
      <c r="DO50" s="22"/>
      <c r="DP50" s="22"/>
      <c r="DQ50" s="22"/>
      <c r="DR50" s="22"/>
      <c r="DS50" s="22"/>
      <c r="DT50" s="22"/>
      <c r="DU50" s="22"/>
      <c r="DV50" s="22"/>
      <c r="DW50" s="22"/>
      <c r="DX50" s="22"/>
      <c r="DY50" s="22"/>
      <c r="DZ50" s="22"/>
      <c r="EA50" s="22"/>
      <c r="EB50" s="22"/>
      <c r="EC50" s="22"/>
      <c r="ED50" s="22"/>
      <c r="EE50" s="22"/>
      <c r="EF50" s="22"/>
      <c r="EG50" s="22"/>
      <c r="EH50" s="22"/>
      <c r="EI50" s="22"/>
      <c r="EJ50" s="22"/>
      <c r="EK50" s="22"/>
      <c r="EL50" s="22"/>
      <c r="EM50" s="22"/>
      <c r="EN50" s="22"/>
      <c r="EO50" s="22"/>
      <c r="EP50" s="22"/>
      <c r="EQ50" s="22"/>
      <c r="ER50" s="22"/>
      <c r="ES50" s="22"/>
      <c r="ET50" s="22"/>
      <c r="EU50" s="22"/>
      <c r="EV50" s="22"/>
      <c r="EW50" s="22"/>
      <c r="EX50" s="22"/>
      <c r="EY50" s="22"/>
      <c r="EZ50" s="22"/>
      <c r="FA50" s="22"/>
      <c r="FB50" s="22"/>
      <c r="FC50" s="22"/>
      <c r="FD50" s="22"/>
      <c r="FE50" s="22"/>
      <c r="FF50" s="22"/>
      <c r="FG50" s="22"/>
      <c r="FH50" s="22"/>
      <c r="FI50" s="22"/>
      <c r="FJ50" s="22"/>
      <c r="FK50" s="22"/>
      <c r="FL50" s="22"/>
      <c r="FM50" s="22"/>
      <c r="FN50" s="22"/>
      <c r="FO50" s="22"/>
      <c r="FP50" s="22"/>
      <c r="FQ50" s="22"/>
      <c r="FR50" s="22"/>
      <c r="FS50" s="22"/>
      <c r="FT50" s="22"/>
      <c r="FU50" s="22"/>
      <c r="FV50" s="22"/>
      <c r="FW50" s="22"/>
      <c r="FX50" s="22"/>
      <c r="FY50" s="22"/>
      <c r="FZ50" s="22"/>
    </row>
    <row r="51" spans="2:182" x14ac:dyDescent="0.2">
      <c r="B51" s="22"/>
      <c r="C51" s="22"/>
      <c r="D51" s="22"/>
      <c r="E51" s="22"/>
      <c r="F51" s="22"/>
      <c r="G51" s="22"/>
      <c r="H51" s="22"/>
      <c r="I51" s="22"/>
      <c r="J51" s="22"/>
      <c r="K51" s="22"/>
      <c r="L51" s="22"/>
      <c r="M51" s="22"/>
      <c r="N51" s="22"/>
      <c r="O51" s="22"/>
      <c r="P51" s="22"/>
      <c r="Q51" s="22"/>
      <c r="R51" s="22"/>
      <c r="S51" s="22"/>
      <c r="T51" s="22"/>
      <c r="U51" s="22"/>
      <c r="V51" s="22"/>
      <c r="W51" s="22"/>
      <c r="X51" s="22"/>
      <c r="Y51" s="22"/>
      <c r="Z51" s="22"/>
      <c r="AA51" s="22"/>
      <c r="AB51" s="22"/>
      <c r="AC51" s="22"/>
      <c r="AD51" s="22"/>
      <c r="AE51" s="22"/>
      <c r="AF51" s="22"/>
      <c r="AG51" s="22"/>
      <c r="AH51" s="22"/>
      <c r="AI51" s="22"/>
      <c r="AJ51" s="22"/>
      <c r="AK51" s="22"/>
      <c r="AL51" s="22"/>
      <c r="AM51" s="22"/>
      <c r="AN51" s="22"/>
      <c r="AO51" s="22"/>
      <c r="AP51" s="22"/>
      <c r="AQ51" s="22"/>
      <c r="AR51" s="22"/>
      <c r="AS51" s="22"/>
      <c r="AT51" s="22"/>
      <c r="AU51" s="22"/>
      <c r="AV51" s="22"/>
      <c r="AW51" s="22"/>
      <c r="AX51" s="22"/>
      <c r="AY51" s="22"/>
      <c r="AZ51" s="22"/>
      <c r="BA51" s="22"/>
      <c r="BB51" s="22"/>
      <c r="BC51" s="22"/>
      <c r="BD51" s="22"/>
      <c r="BE51" s="22"/>
      <c r="BF51" s="22"/>
      <c r="BG51" s="22"/>
      <c r="BH51" s="22"/>
      <c r="BI51" s="22"/>
      <c r="BJ51" s="22"/>
      <c r="BK51" s="22"/>
      <c r="BL51" s="22"/>
      <c r="BM51" s="22"/>
      <c r="BN51" s="22"/>
      <c r="BO51" s="22"/>
      <c r="BP51" s="22"/>
      <c r="BQ51" s="22"/>
      <c r="BR51" s="22"/>
      <c r="BS51" s="22"/>
      <c r="BT51" s="22"/>
      <c r="BU51" s="22"/>
      <c r="BV51" s="22"/>
      <c r="BW51" s="22"/>
      <c r="BX51" s="22"/>
      <c r="BY51" s="22"/>
      <c r="BZ51" s="22"/>
      <c r="CA51" s="22"/>
      <c r="CB51" s="22"/>
      <c r="CC51" s="22"/>
      <c r="CD51" s="22"/>
      <c r="CE51" s="22"/>
      <c r="CF51" s="22"/>
      <c r="CG51" s="22"/>
      <c r="CH51" s="22"/>
      <c r="CI51" s="22"/>
      <c r="CJ51" s="22"/>
      <c r="CK51" s="22"/>
      <c r="CL51" s="22"/>
      <c r="CM51" s="22"/>
      <c r="CN51" s="22"/>
      <c r="CO51" s="22"/>
      <c r="CP51" s="22"/>
      <c r="CQ51" s="22"/>
      <c r="CR51" s="22"/>
      <c r="CS51" s="22"/>
      <c r="CT51" s="22"/>
      <c r="CU51" s="22"/>
      <c r="CV51" s="22"/>
      <c r="CW51" s="22"/>
      <c r="CX51" s="22"/>
      <c r="CY51" s="22"/>
      <c r="CZ51" s="22"/>
      <c r="DA51" s="22"/>
      <c r="DB51" s="22"/>
      <c r="DC51" s="22"/>
      <c r="DD51" s="22"/>
      <c r="DE51" s="22"/>
      <c r="DF51" s="22"/>
      <c r="DG51" s="22"/>
      <c r="DH51" s="22"/>
      <c r="DI51" s="22"/>
      <c r="DJ51" s="22"/>
      <c r="DK51" s="22"/>
      <c r="DL51" s="22"/>
      <c r="DM51" s="22"/>
      <c r="DN51" s="22"/>
      <c r="DO51" s="22"/>
      <c r="DP51" s="22"/>
      <c r="DQ51" s="22"/>
      <c r="DR51" s="22"/>
      <c r="DS51" s="22"/>
      <c r="DT51" s="22"/>
      <c r="DU51" s="22"/>
      <c r="DV51" s="22"/>
      <c r="DW51" s="22"/>
      <c r="DX51" s="22"/>
      <c r="DY51" s="22"/>
      <c r="DZ51" s="22"/>
      <c r="EA51" s="22"/>
      <c r="EB51" s="22"/>
      <c r="EC51" s="22"/>
      <c r="ED51" s="22"/>
      <c r="EE51" s="22"/>
      <c r="EF51" s="22"/>
      <c r="EG51" s="22"/>
      <c r="EH51" s="22"/>
      <c r="EI51" s="22"/>
      <c r="EJ51" s="22"/>
      <c r="EK51" s="22"/>
      <c r="EL51" s="22"/>
      <c r="EM51" s="22"/>
      <c r="EN51" s="22"/>
      <c r="EO51" s="22"/>
      <c r="EP51" s="22"/>
      <c r="EQ51" s="22"/>
      <c r="ER51" s="22"/>
      <c r="ES51" s="22"/>
      <c r="ET51" s="22"/>
      <c r="EU51" s="22"/>
      <c r="EV51" s="22"/>
      <c r="EW51" s="22"/>
      <c r="EX51" s="22"/>
      <c r="EY51" s="22"/>
      <c r="EZ51" s="22"/>
      <c r="FA51" s="22"/>
      <c r="FB51" s="22"/>
      <c r="FC51" s="22"/>
      <c r="FD51" s="22"/>
      <c r="FE51" s="22"/>
      <c r="FF51" s="22"/>
      <c r="FG51" s="22"/>
      <c r="FH51" s="22"/>
      <c r="FI51" s="22"/>
      <c r="FJ51" s="22"/>
      <c r="FK51" s="22"/>
      <c r="FL51" s="22"/>
      <c r="FM51" s="22"/>
      <c r="FN51" s="22"/>
      <c r="FO51" s="22"/>
      <c r="FP51" s="22"/>
      <c r="FQ51" s="22"/>
      <c r="FR51" s="22"/>
      <c r="FS51" s="22"/>
      <c r="FT51" s="22"/>
      <c r="FU51" s="22"/>
      <c r="FV51" s="22"/>
      <c r="FW51" s="22"/>
      <c r="FX51" s="22"/>
      <c r="FY51" s="22"/>
      <c r="FZ51" s="22"/>
    </row>
    <row r="52" spans="2:182" x14ac:dyDescent="0.2">
      <c r="B52" s="22"/>
      <c r="C52" s="22"/>
      <c r="D52" s="22"/>
      <c r="E52" s="22"/>
      <c r="F52" s="22"/>
      <c r="G52" s="22"/>
      <c r="H52" s="22"/>
      <c r="I52" s="22"/>
      <c r="J52" s="22"/>
      <c r="K52" s="22"/>
      <c r="L52" s="22"/>
      <c r="M52" s="22"/>
      <c r="N52" s="22"/>
      <c r="O52" s="22"/>
      <c r="P52" s="22"/>
      <c r="Q52" s="22"/>
      <c r="R52" s="22"/>
      <c r="S52" s="22"/>
      <c r="T52" s="22"/>
      <c r="U52" s="22"/>
      <c r="V52" s="22"/>
      <c r="W52" s="22"/>
      <c r="X52" s="22"/>
      <c r="Y52" s="22"/>
      <c r="Z52" s="22"/>
      <c r="AA52" s="22"/>
      <c r="AB52" s="22"/>
      <c r="AC52" s="22"/>
      <c r="AD52" s="22"/>
      <c r="AE52" s="22"/>
      <c r="AF52" s="22"/>
      <c r="AG52" s="22"/>
      <c r="AH52" s="22"/>
      <c r="AI52" s="22"/>
      <c r="AJ52" s="22"/>
      <c r="AK52" s="22"/>
      <c r="AL52" s="22"/>
      <c r="AM52" s="22"/>
      <c r="AN52" s="22"/>
      <c r="AO52" s="22"/>
      <c r="AP52" s="22"/>
      <c r="AQ52" s="22"/>
      <c r="AR52" s="22"/>
      <c r="AS52" s="22"/>
      <c r="AT52" s="22"/>
      <c r="AU52" s="22"/>
      <c r="AV52" s="22"/>
      <c r="AW52" s="22"/>
      <c r="AX52" s="22"/>
      <c r="AY52" s="22"/>
      <c r="AZ52" s="22"/>
      <c r="BA52" s="22"/>
      <c r="BB52" s="22"/>
      <c r="BC52" s="22"/>
      <c r="BD52" s="22"/>
      <c r="BE52" s="22"/>
      <c r="BF52" s="22"/>
      <c r="BG52" s="22"/>
      <c r="BH52" s="22"/>
      <c r="BI52" s="22"/>
      <c r="BJ52" s="22"/>
      <c r="BK52" s="22"/>
      <c r="BL52" s="22"/>
      <c r="BM52" s="22"/>
      <c r="BN52" s="22"/>
      <c r="BO52" s="22"/>
      <c r="BP52" s="22"/>
      <c r="BQ52" s="22"/>
      <c r="BR52" s="22"/>
      <c r="BS52" s="22"/>
      <c r="BT52" s="22"/>
      <c r="BU52" s="22"/>
      <c r="BV52" s="22"/>
      <c r="BW52" s="22"/>
      <c r="BX52" s="22"/>
      <c r="BY52" s="22"/>
      <c r="BZ52" s="22"/>
      <c r="CA52" s="22"/>
      <c r="CB52" s="22"/>
      <c r="CC52" s="22"/>
      <c r="CD52" s="22"/>
      <c r="CE52" s="22"/>
      <c r="CF52" s="22"/>
      <c r="CG52" s="22"/>
      <c r="CH52" s="22"/>
      <c r="CI52" s="22"/>
      <c r="CJ52" s="22"/>
      <c r="CK52" s="22"/>
      <c r="CL52" s="22"/>
      <c r="CM52" s="22"/>
      <c r="CN52" s="22"/>
      <c r="CO52" s="22"/>
      <c r="CP52" s="22"/>
      <c r="CQ52" s="22"/>
      <c r="CR52" s="22"/>
      <c r="CS52" s="22"/>
      <c r="CT52" s="22"/>
      <c r="CU52" s="22"/>
      <c r="CV52" s="22"/>
      <c r="CW52" s="22"/>
      <c r="CX52" s="22"/>
      <c r="CY52" s="22"/>
      <c r="CZ52" s="22"/>
      <c r="DA52" s="22"/>
      <c r="DB52" s="22"/>
      <c r="DC52" s="22"/>
      <c r="DD52" s="22"/>
      <c r="DE52" s="22"/>
      <c r="DF52" s="22"/>
      <c r="DG52" s="22"/>
      <c r="DH52" s="22"/>
      <c r="DI52" s="22"/>
      <c r="DJ52" s="22"/>
      <c r="DK52" s="22"/>
      <c r="DL52" s="22"/>
      <c r="DM52" s="22"/>
      <c r="DN52" s="22"/>
      <c r="DO52" s="22"/>
      <c r="DP52" s="22"/>
      <c r="DQ52" s="22"/>
      <c r="DR52" s="22"/>
      <c r="DS52" s="22"/>
      <c r="DT52" s="22"/>
      <c r="DU52" s="22"/>
      <c r="DV52" s="22"/>
      <c r="DW52" s="22"/>
      <c r="DX52" s="22"/>
      <c r="DY52" s="22"/>
      <c r="DZ52" s="22"/>
      <c r="EA52" s="22"/>
      <c r="EB52" s="22"/>
      <c r="EC52" s="22"/>
      <c r="ED52" s="22"/>
      <c r="EE52" s="22"/>
      <c r="EF52" s="22"/>
      <c r="EG52" s="22"/>
      <c r="EH52" s="22"/>
      <c r="EI52" s="22"/>
      <c r="EJ52" s="22"/>
      <c r="EK52" s="22"/>
      <c r="EL52" s="22"/>
      <c r="EM52" s="22"/>
      <c r="EN52" s="22"/>
      <c r="EO52" s="22"/>
      <c r="EP52" s="22"/>
      <c r="EQ52" s="22"/>
      <c r="ER52" s="22"/>
      <c r="ES52" s="22"/>
      <c r="ET52" s="22"/>
      <c r="EU52" s="22"/>
      <c r="EV52" s="22"/>
      <c r="EW52" s="22"/>
      <c r="EX52" s="22"/>
      <c r="EY52" s="22"/>
      <c r="EZ52" s="22"/>
      <c r="FA52" s="22"/>
      <c r="FB52" s="22"/>
      <c r="FC52" s="22"/>
      <c r="FD52" s="22"/>
      <c r="FE52" s="22"/>
      <c r="FF52" s="22"/>
      <c r="FG52" s="22"/>
      <c r="FH52" s="22"/>
      <c r="FI52" s="22"/>
      <c r="FJ52" s="22"/>
      <c r="FK52" s="22"/>
      <c r="FL52" s="22"/>
      <c r="FM52" s="22"/>
      <c r="FN52" s="22"/>
      <c r="FO52" s="22"/>
      <c r="FP52" s="22"/>
      <c r="FQ52" s="22"/>
      <c r="FR52" s="22"/>
      <c r="FS52" s="22"/>
      <c r="FT52" s="22"/>
      <c r="FU52" s="22"/>
      <c r="FV52" s="22"/>
      <c r="FW52" s="22"/>
      <c r="FX52" s="22"/>
      <c r="FY52" s="22"/>
      <c r="FZ52" s="22"/>
    </row>
    <row r="53" spans="2:182" x14ac:dyDescent="0.2">
      <c r="B53" s="22"/>
      <c r="C53" s="22"/>
      <c r="D53" s="22"/>
      <c r="E53" s="22"/>
      <c r="F53" s="22"/>
      <c r="G53" s="22"/>
      <c r="H53" s="22"/>
      <c r="I53" s="22"/>
      <c r="J53" s="22"/>
      <c r="K53" s="22"/>
      <c r="L53" s="22"/>
      <c r="M53" s="22"/>
      <c r="N53" s="22"/>
      <c r="O53" s="22"/>
      <c r="P53" s="22"/>
      <c r="Q53" s="22"/>
      <c r="R53" s="22"/>
      <c r="S53" s="22"/>
      <c r="T53" s="22"/>
      <c r="U53" s="22"/>
      <c r="V53" s="22"/>
      <c r="W53" s="22"/>
      <c r="X53" s="22"/>
      <c r="Y53" s="22"/>
      <c r="Z53" s="22"/>
      <c r="AA53" s="22"/>
      <c r="AB53" s="22"/>
      <c r="AC53" s="22"/>
      <c r="AD53" s="22"/>
      <c r="AE53" s="22"/>
      <c r="AF53" s="22"/>
      <c r="AG53" s="22"/>
      <c r="AH53" s="22"/>
      <c r="AI53" s="22"/>
      <c r="AJ53" s="22"/>
      <c r="AK53" s="22"/>
      <c r="AL53" s="22"/>
      <c r="AM53" s="22"/>
      <c r="AN53" s="22"/>
      <c r="AO53" s="22"/>
      <c r="AP53" s="22"/>
      <c r="AQ53" s="22"/>
      <c r="AR53" s="22"/>
      <c r="AS53" s="22"/>
      <c r="AT53" s="22"/>
      <c r="AU53" s="22"/>
      <c r="AV53" s="22"/>
      <c r="AW53" s="22"/>
      <c r="AX53" s="22"/>
      <c r="AY53" s="22"/>
      <c r="AZ53" s="22"/>
      <c r="BA53" s="22"/>
      <c r="BB53" s="22"/>
      <c r="BC53" s="22"/>
      <c r="BD53" s="22"/>
      <c r="BE53" s="22"/>
      <c r="BF53" s="22"/>
      <c r="BG53" s="22"/>
      <c r="BH53" s="22"/>
      <c r="BI53" s="22"/>
      <c r="BJ53" s="22"/>
      <c r="BK53" s="22"/>
      <c r="BL53" s="22"/>
      <c r="BM53" s="22"/>
      <c r="BN53" s="22"/>
      <c r="BO53" s="22"/>
      <c r="BP53" s="22"/>
      <c r="BQ53" s="22"/>
      <c r="BR53" s="22"/>
      <c r="BS53" s="22"/>
      <c r="BT53" s="22"/>
      <c r="BU53" s="22"/>
      <c r="BV53" s="22"/>
      <c r="BW53" s="22"/>
      <c r="BX53" s="22"/>
      <c r="BY53" s="22"/>
      <c r="BZ53" s="22"/>
      <c r="CA53" s="22"/>
      <c r="CB53" s="22"/>
      <c r="CC53" s="22"/>
      <c r="CD53" s="22"/>
      <c r="CE53" s="22"/>
      <c r="CF53" s="22"/>
      <c r="CG53" s="22"/>
      <c r="CH53" s="22"/>
      <c r="CI53" s="22"/>
      <c r="CJ53" s="22"/>
      <c r="CK53" s="22"/>
      <c r="CL53" s="22"/>
      <c r="CM53" s="22"/>
      <c r="CN53" s="22"/>
      <c r="CO53" s="22"/>
      <c r="CP53" s="22"/>
      <c r="CQ53" s="22"/>
      <c r="CR53" s="22"/>
      <c r="CS53" s="22"/>
      <c r="CT53" s="22"/>
      <c r="CU53" s="22"/>
      <c r="CV53" s="22"/>
      <c r="CW53" s="22"/>
      <c r="CX53" s="22"/>
      <c r="CY53" s="22"/>
      <c r="CZ53" s="22"/>
      <c r="DA53" s="22"/>
      <c r="DB53" s="22"/>
      <c r="DC53" s="22"/>
      <c r="DD53" s="22"/>
      <c r="DE53" s="22"/>
      <c r="DF53" s="22"/>
      <c r="DG53" s="22"/>
      <c r="DH53" s="22"/>
      <c r="DI53" s="22"/>
      <c r="DJ53" s="22"/>
      <c r="DK53" s="22"/>
      <c r="DL53" s="22"/>
      <c r="DM53" s="22"/>
      <c r="DN53" s="22"/>
      <c r="DO53" s="22"/>
      <c r="DP53" s="22"/>
      <c r="DQ53" s="22"/>
      <c r="DR53" s="22"/>
      <c r="DS53" s="22"/>
      <c r="DT53" s="22"/>
      <c r="DU53" s="22"/>
      <c r="DV53" s="22"/>
      <c r="DW53" s="22"/>
      <c r="DX53" s="22"/>
      <c r="DY53" s="22"/>
      <c r="DZ53" s="22"/>
      <c r="EA53" s="22"/>
      <c r="EB53" s="22"/>
      <c r="EC53" s="22"/>
      <c r="ED53" s="22"/>
      <c r="EE53" s="22"/>
      <c r="EF53" s="22"/>
      <c r="EG53" s="22"/>
      <c r="EH53" s="22"/>
      <c r="EI53" s="22"/>
      <c r="EJ53" s="22"/>
      <c r="EK53" s="22"/>
      <c r="EL53" s="22"/>
      <c r="EM53" s="22"/>
      <c r="EN53" s="22"/>
      <c r="EO53" s="22"/>
      <c r="EP53" s="22"/>
      <c r="EQ53" s="22"/>
      <c r="ER53" s="22"/>
      <c r="ES53" s="22"/>
      <c r="ET53" s="22"/>
      <c r="EU53" s="22"/>
      <c r="EV53" s="22"/>
      <c r="EW53" s="22"/>
      <c r="EX53" s="22"/>
      <c r="EY53" s="22"/>
      <c r="EZ53" s="22"/>
      <c r="FA53" s="22"/>
      <c r="FB53" s="22"/>
      <c r="FC53" s="22"/>
      <c r="FD53" s="22"/>
      <c r="FE53" s="22"/>
      <c r="FF53" s="22"/>
      <c r="FG53" s="22"/>
      <c r="FH53" s="22"/>
      <c r="FI53" s="22"/>
      <c r="FJ53" s="22"/>
      <c r="FK53" s="22"/>
      <c r="FL53" s="22"/>
      <c r="FM53" s="22"/>
      <c r="FN53" s="22"/>
      <c r="FO53" s="22"/>
      <c r="FP53" s="22"/>
      <c r="FQ53" s="22"/>
      <c r="FR53" s="22"/>
      <c r="FS53" s="22"/>
      <c r="FT53" s="22"/>
      <c r="FU53" s="22"/>
      <c r="FV53" s="22"/>
      <c r="FW53" s="22"/>
      <c r="FX53" s="22"/>
      <c r="FY53" s="22"/>
      <c r="FZ53" s="22"/>
    </row>
    <row r="54" spans="2:182" x14ac:dyDescent="0.2">
      <c r="B54" s="22"/>
      <c r="C54" s="22"/>
      <c r="D54" s="22"/>
      <c r="E54" s="22"/>
      <c r="F54" s="22"/>
      <c r="G54" s="22"/>
      <c r="H54" s="22"/>
      <c r="I54" s="22"/>
      <c r="J54" s="22"/>
      <c r="K54" s="22"/>
      <c r="L54" s="22"/>
      <c r="M54" s="22"/>
      <c r="N54" s="22"/>
      <c r="O54" s="22"/>
      <c r="P54" s="22"/>
      <c r="Q54" s="22"/>
      <c r="R54" s="22"/>
      <c r="S54" s="22"/>
      <c r="T54" s="22"/>
      <c r="U54" s="22"/>
      <c r="V54" s="22"/>
      <c r="W54" s="22"/>
      <c r="X54" s="22"/>
      <c r="Y54" s="22"/>
      <c r="Z54" s="22"/>
      <c r="AA54" s="22"/>
      <c r="AB54" s="22"/>
      <c r="AC54" s="22"/>
      <c r="AD54" s="22"/>
      <c r="AE54" s="22"/>
      <c r="AF54" s="22"/>
      <c r="AG54" s="22"/>
      <c r="AH54" s="22"/>
      <c r="AI54" s="22"/>
      <c r="AJ54" s="22"/>
      <c r="AK54" s="22"/>
      <c r="AL54" s="22"/>
      <c r="AM54" s="22"/>
      <c r="AN54" s="22"/>
      <c r="AO54" s="22"/>
      <c r="AP54" s="22"/>
      <c r="AQ54" s="22"/>
      <c r="AR54" s="22"/>
      <c r="AS54" s="22"/>
      <c r="AT54" s="22"/>
      <c r="AU54" s="22"/>
      <c r="AV54" s="22"/>
      <c r="AW54" s="22"/>
      <c r="AX54" s="22"/>
      <c r="AY54" s="22"/>
      <c r="AZ54" s="22"/>
      <c r="BA54" s="22"/>
      <c r="BB54" s="22"/>
      <c r="BC54" s="22"/>
      <c r="BD54" s="22"/>
      <c r="BE54" s="22"/>
      <c r="BF54" s="22"/>
      <c r="BG54" s="22"/>
      <c r="BH54" s="22"/>
      <c r="BI54" s="22"/>
      <c r="BJ54" s="22"/>
      <c r="BK54" s="22"/>
      <c r="BL54" s="22"/>
      <c r="BM54" s="22"/>
      <c r="BN54" s="22"/>
      <c r="BO54" s="22"/>
      <c r="BP54" s="22"/>
      <c r="BQ54" s="22"/>
      <c r="BR54" s="22"/>
      <c r="BS54" s="22"/>
      <c r="BT54" s="22"/>
      <c r="BU54" s="22"/>
      <c r="BV54" s="22"/>
      <c r="BW54" s="22"/>
      <c r="BX54" s="22"/>
      <c r="BY54" s="22"/>
      <c r="BZ54" s="22"/>
      <c r="CA54" s="22"/>
      <c r="CB54" s="22"/>
      <c r="CC54" s="22"/>
      <c r="CD54" s="22"/>
      <c r="CE54" s="22"/>
      <c r="CF54" s="22"/>
      <c r="CG54" s="22"/>
      <c r="CH54" s="22"/>
      <c r="CI54" s="22"/>
      <c r="CJ54" s="22"/>
      <c r="CK54" s="22"/>
      <c r="CL54" s="22"/>
      <c r="CM54" s="22"/>
      <c r="CN54" s="22"/>
      <c r="CO54" s="22"/>
      <c r="CP54" s="22"/>
      <c r="CQ54" s="22"/>
      <c r="CR54" s="22"/>
      <c r="CS54" s="22"/>
      <c r="CT54" s="22"/>
      <c r="CU54" s="22"/>
      <c r="CV54" s="22"/>
      <c r="CW54" s="22"/>
      <c r="CX54" s="22"/>
      <c r="CY54" s="22"/>
      <c r="CZ54" s="22"/>
      <c r="DA54" s="22"/>
      <c r="DB54" s="22"/>
      <c r="DC54" s="22"/>
      <c r="DD54" s="22"/>
      <c r="DE54" s="22"/>
      <c r="DF54" s="22"/>
      <c r="DG54" s="22"/>
      <c r="DH54" s="22"/>
      <c r="DI54" s="22"/>
      <c r="DJ54" s="22"/>
      <c r="DK54" s="22"/>
      <c r="DL54" s="22"/>
      <c r="DM54" s="22"/>
      <c r="DN54" s="22"/>
      <c r="DO54" s="22"/>
      <c r="DP54" s="22"/>
      <c r="DQ54" s="22"/>
      <c r="DR54" s="22"/>
      <c r="DS54" s="22"/>
      <c r="DT54" s="22"/>
      <c r="DU54" s="22"/>
      <c r="DV54" s="22"/>
      <c r="DW54" s="22"/>
      <c r="DX54" s="22"/>
      <c r="DY54" s="22"/>
      <c r="DZ54" s="22"/>
      <c r="EA54" s="22"/>
      <c r="EB54" s="22"/>
      <c r="EC54" s="22"/>
      <c r="ED54" s="22"/>
      <c r="EE54" s="22"/>
      <c r="EF54" s="22"/>
      <c r="EG54" s="22"/>
      <c r="EH54" s="22"/>
      <c r="EI54" s="22"/>
      <c r="EJ54" s="22"/>
      <c r="EK54" s="22"/>
      <c r="EL54" s="22"/>
      <c r="EM54" s="22"/>
      <c r="EN54" s="22"/>
      <c r="EO54" s="22"/>
      <c r="EP54" s="22"/>
      <c r="EQ54" s="22"/>
      <c r="ER54" s="22"/>
      <c r="ES54" s="22"/>
      <c r="ET54" s="22"/>
      <c r="EU54" s="22"/>
      <c r="EV54" s="22"/>
      <c r="EW54" s="22"/>
      <c r="EX54" s="22"/>
      <c r="EY54" s="22"/>
      <c r="EZ54" s="22"/>
      <c r="FA54" s="22"/>
      <c r="FB54" s="22"/>
      <c r="FC54" s="22"/>
      <c r="FD54" s="22"/>
      <c r="FE54" s="22"/>
      <c r="FF54" s="22"/>
      <c r="FG54" s="22"/>
      <c r="FH54" s="22"/>
      <c r="FI54" s="22"/>
      <c r="FJ54" s="22"/>
      <c r="FK54" s="22"/>
      <c r="FL54" s="22"/>
      <c r="FM54" s="22"/>
      <c r="FN54" s="22"/>
      <c r="FO54" s="22"/>
      <c r="FP54" s="22"/>
      <c r="FQ54" s="22"/>
      <c r="FR54" s="22"/>
      <c r="FS54" s="22"/>
      <c r="FT54" s="22"/>
      <c r="FU54" s="22"/>
      <c r="FV54" s="22"/>
      <c r="FW54" s="22"/>
      <c r="FX54" s="22"/>
      <c r="FY54" s="22"/>
      <c r="FZ54" s="22"/>
    </row>
    <row r="55" spans="2:182" x14ac:dyDescent="0.2">
      <c r="B55" s="22"/>
      <c r="C55" s="22"/>
      <c r="D55" s="22"/>
      <c r="E55" s="22"/>
      <c r="F55" s="22"/>
      <c r="G55" s="22"/>
      <c r="H55" s="22"/>
      <c r="I55" s="22"/>
      <c r="J55" s="22"/>
      <c r="K55" s="22"/>
      <c r="L55" s="22"/>
      <c r="M55" s="22"/>
      <c r="N55" s="22"/>
      <c r="O55" s="22"/>
      <c r="P55" s="22"/>
      <c r="Q55" s="22"/>
      <c r="R55" s="22"/>
      <c r="S55" s="22"/>
      <c r="T55" s="22"/>
      <c r="U55" s="22"/>
      <c r="V55" s="22"/>
      <c r="W55" s="22"/>
      <c r="X55" s="22"/>
      <c r="Y55" s="22"/>
      <c r="Z55" s="22"/>
      <c r="AA55" s="22"/>
      <c r="AB55" s="22"/>
      <c r="AC55" s="22"/>
      <c r="AD55" s="22"/>
      <c r="AE55" s="22"/>
      <c r="AF55" s="22"/>
      <c r="AG55" s="22"/>
      <c r="AH55" s="22"/>
      <c r="AI55" s="22"/>
      <c r="AJ55" s="22"/>
      <c r="AK55" s="22"/>
      <c r="AL55" s="22"/>
      <c r="AM55" s="22"/>
      <c r="AN55" s="22"/>
      <c r="AO55" s="22"/>
      <c r="AP55" s="22"/>
      <c r="AQ55" s="22"/>
      <c r="AR55" s="22"/>
      <c r="AS55" s="22"/>
      <c r="AT55" s="22"/>
      <c r="AU55" s="22"/>
      <c r="AV55" s="22"/>
      <c r="AW55" s="22"/>
      <c r="AX55" s="22"/>
      <c r="AY55" s="22"/>
      <c r="AZ55" s="22"/>
      <c r="BA55" s="22"/>
      <c r="BB55" s="22"/>
      <c r="BC55" s="22"/>
      <c r="BD55" s="22"/>
      <c r="BE55" s="22"/>
      <c r="BF55" s="22"/>
      <c r="BG55" s="22"/>
      <c r="BH55" s="22"/>
      <c r="BI55" s="22"/>
      <c r="BJ55" s="22"/>
      <c r="BK55" s="22"/>
      <c r="BL55" s="22"/>
      <c r="BM55" s="22"/>
      <c r="BN55" s="22"/>
      <c r="BO55" s="22"/>
      <c r="BP55" s="22"/>
      <c r="BQ55" s="22"/>
      <c r="BR55" s="22"/>
      <c r="BS55" s="22"/>
      <c r="BT55" s="22"/>
      <c r="BU55" s="22"/>
      <c r="BV55" s="22"/>
      <c r="BW55" s="22"/>
      <c r="BX55" s="22"/>
      <c r="BY55" s="22"/>
      <c r="BZ55" s="22"/>
      <c r="CA55" s="22"/>
      <c r="CB55" s="22"/>
      <c r="CC55" s="22"/>
      <c r="CD55" s="22"/>
      <c r="CE55" s="22"/>
      <c r="CF55" s="22"/>
      <c r="CG55" s="22"/>
      <c r="CH55" s="22"/>
      <c r="CI55" s="22"/>
      <c r="CJ55" s="22"/>
      <c r="CK55" s="22"/>
      <c r="CL55" s="22"/>
      <c r="CM55" s="22"/>
      <c r="CN55" s="22"/>
      <c r="CO55" s="22"/>
      <c r="CP55" s="22"/>
      <c r="CQ55" s="22"/>
      <c r="CR55" s="22"/>
      <c r="CS55" s="22"/>
      <c r="CT55" s="22"/>
      <c r="CU55" s="22"/>
      <c r="CV55" s="22"/>
      <c r="CW55" s="22"/>
      <c r="CX55" s="22"/>
      <c r="CY55" s="22"/>
      <c r="CZ55" s="22"/>
      <c r="DA55" s="22"/>
      <c r="DB55" s="22"/>
      <c r="DC55" s="22"/>
      <c r="DD55" s="22"/>
      <c r="DE55" s="22"/>
      <c r="DF55" s="22"/>
      <c r="DG55" s="22"/>
      <c r="DH55" s="22"/>
      <c r="DI55" s="22"/>
      <c r="DJ55" s="22"/>
      <c r="DK55" s="22"/>
      <c r="DL55" s="22"/>
      <c r="DM55" s="22"/>
      <c r="DN55" s="22"/>
      <c r="DO55" s="22"/>
      <c r="DP55" s="22"/>
      <c r="DQ55" s="22"/>
      <c r="DR55" s="22"/>
      <c r="DS55" s="22"/>
      <c r="DT55" s="22"/>
      <c r="DU55" s="22"/>
      <c r="DV55" s="22"/>
      <c r="DW55" s="22"/>
      <c r="DX55" s="22"/>
      <c r="DY55" s="22"/>
      <c r="DZ55" s="22"/>
      <c r="EA55" s="22"/>
      <c r="EB55" s="22"/>
      <c r="EC55" s="22"/>
      <c r="ED55" s="22"/>
      <c r="EE55" s="22"/>
      <c r="EF55" s="22"/>
      <c r="EG55" s="22"/>
      <c r="EH55" s="22"/>
      <c r="EI55" s="22"/>
      <c r="EJ55" s="22"/>
      <c r="EK55" s="22"/>
      <c r="EL55" s="22"/>
      <c r="EM55" s="22"/>
      <c r="EN55" s="22"/>
      <c r="EO55" s="22"/>
      <c r="EP55" s="22"/>
      <c r="EQ55" s="22"/>
      <c r="ER55" s="22"/>
      <c r="ES55" s="22"/>
      <c r="ET55" s="22"/>
      <c r="EU55" s="22"/>
      <c r="EV55" s="22"/>
      <c r="EW55" s="22"/>
      <c r="EX55" s="22"/>
      <c r="EY55" s="22"/>
      <c r="EZ55" s="22"/>
      <c r="FA55" s="22"/>
      <c r="FB55" s="22"/>
      <c r="FC55" s="22"/>
      <c r="FD55" s="22"/>
      <c r="FE55" s="22"/>
      <c r="FF55" s="22"/>
      <c r="FG55" s="22"/>
      <c r="FH55" s="22"/>
      <c r="FI55" s="22"/>
      <c r="FJ55" s="22"/>
      <c r="FK55" s="22"/>
      <c r="FL55" s="22"/>
      <c r="FM55" s="22"/>
      <c r="FN55" s="22"/>
      <c r="FO55" s="22"/>
      <c r="FP55" s="22"/>
      <c r="FQ55" s="22"/>
      <c r="FR55" s="22"/>
      <c r="FS55" s="22"/>
      <c r="FT55" s="22"/>
      <c r="FU55" s="22"/>
      <c r="FV55" s="22"/>
      <c r="FW55" s="22"/>
      <c r="FX55" s="22"/>
      <c r="FY55" s="22"/>
      <c r="FZ55" s="22"/>
    </row>
    <row r="56" spans="2:182" x14ac:dyDescent="0.2">
      <c r="B56" s="22"/>
      <c r="C56" s="22"/>
      <c r="D56" s="22"/>
      <c r="E56" s="22"/>
      <c r="F56" s="22"/>
      <c r="G56" s="22"/>
      <c r="H56" s="22"/>
      <c r="I56" s="22"/>
      <c r="J56" s="22"/>
      <c r="K56" s="22"/>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c r="BA56" s="22"/>
      <c r="BB56" s="22"/>
      <c r="BC56" s="22"/>
      <c r="BD56" s="22"/>
      <c r="BE56" s="22"/>
      <c r="BF56" s="22"/>
      <c r="BG56" s="22"/>
      <c r="BH56" s="22"/>
      <c r="BI56" s="22"/>
      <c r="BJ56" s="22"/>
      <c r="BK56" s="22"/>
      <c r="BL56" s="22"/>
      <c r="BM56" s="22"/>
      <c r="BN56" s="22"/>
      <c r="BO56" s="22"/>
      <c r="BP56" s="22"/>
      <c r="BQ56" s="22"/>
      <c r="BR56" s="22"/>
      <c r="BS56" s="22"/>
      <c r="BT56" s="22"/>
      <c r="BU56" s="22"/>
      <c r="BV56" s="22"/>
      <c r="BW56" s="22"/>
      <c r="BX56" s="22"/>
      <c r="BY56" s="22"/>
      <c r="BZ56" s="22"/>
      <c r="CA56" s="22"/>
      <c r="CB56" s="22"/>
      <c r="CC56" s="22"/>
      <c r="CD56" s="22"/>
      <c r="CE56" s="22"/>
      <c r="CF56" s="22"/>
      <c r="CG56" s="22"/>
      <c r="CH56" s="22"/>
      <c r="CI56" s="22"/>
      <c r="CJ56" s="22"/>
      <c r="CK56" s="22"/>
      <c r="CL56" s="22"/>
      <c r="CM56" s="22"/>
      <c r="CN56" s="22"/>
      <c r="CO56" s="22"/>
      <c r="CP56" s="22"/>
      <c r="CQ56" s="22"/>
      <c r="CR56" s="22"/>
      <c r="CS56" s="22"/>
      <c r="CT56" s="22"/>
      <c r="CU56" s="22"/>
      <c r="CV56" s="22"/>
      <c r="CW56" s="22"/>
      <c r="CX56" s="22"/>
      <c r="CY56" s="22"/>
      <c r="CZ56" s="22"/>
      <c r="DA56" s="22"/>
      <c r="DB56" s="22"/>
      <c r="DC56" s="22"/>
      <c r="DD56" s="22"/>
      <c r="DE56" s="22"/>
      <c r="DF56" s="22"/>
      <c r="DG56" s="22"/>
      <c r="DH56" s="22"/>
      <c r="DI56" s="22"/>
      <c r="DJ56" s="22"/>
      <c r="DK56" s="22"/>
      <c r="DL56" s="22"/>
      <c r="DM56" s="22"/>
      <c r="DN56" s="22"/>
      <c r="DO56" s="22"/>
      <c r="DP56" s="22"/>
      <c r="DQ56" s="22"/>
      <c r="DR56" s="22"/>
      <c r="DS56" s="22"/>
      <c r="DT56" s="22"/>
      <c r="DU56" s="22"/>
      <c r="DV56" s="22"/>
      <c r="DW56" s="22"/>
      <c r="DX56" s="22"/>
      <c r="DY56" s="22"/>
      <c r="DZ56" s="22"/>
      <c r="EA56" s="22"/>
      <c r="EB56" s="22"/>
      <c r="EC56" s="22"/>
      <c r="ED56" s="22"/>
      <c r="EE56" s="22"/>
      <c r="EF56" s="22"/>
      <c r="EG56" s="22"/>
      <c r="EH56" s="22"/>
      <c r="EI56" s="22"/>
      <c r="EJ56" s="22"/>
      <c r="EK56" s="22"/>
      <c r="EL56" s="22"/>
      <c r="EM56" s="22"/>
      <c r="EN56" s="22"/>
      <c r="EO56" s="22"/>
      <c r="EP56" s="22"/>
      <c r="EQ56" s="22"/>
      <c r="ER56" s="22"/>
      <c r="ES56" s="22"/>
      <c r="ET56" s="22"/>
      <c r="EU56" s="22"/>
      <c r="EV56" s="22"/>
      <c r="EW56" s="22"/>
      <c r="EX56" s="22"/>
      <c r="EY56" s="22"/>
      <c r="EZ56" s="22"/>
      <c r="FA56" s="22"/>
      <c r="FB56" s="22"/>
      <c r="FC56" s="22"/>
      <c r="FD56" s="22"/>
      <c r="FE56" s="22"/>
      <c r="FF56" s="22"/>
      <c r="FG56" s="22"/>
      <c r="FH56" s="22"/>
      <c r="FI56" s="22"/>
      <c r="FJ56" s="22"/>
      <c r="FK56" s="22"/>
      <c r="FL56" s="22"/>
      <c r="FM56" s="22"/>
      <c r="FN56" s="22"/>
      <c r="FO56" s="22"/>
      <c r="FP56" s="22"/>
      <c r="FQ56" s="22"/>
      <c r="FR56" s="22"/>
      <c r="FS56" s="22"/>
      <c r="FT56" s="22"/>
      <c r="FU56" s="22"/>
      <c r="FV56" s="22"/>
      <c r="FW56" s="22"/>
      <c r="FX56" s="22"/>
      <c r="FY56" s="22"/>
      <c r="FZ56" s="22"/>
    </row>
    <row r="57" spans="2:182" x14ac:dyDescent="0.2">
      <c r="B57" s="22"/>
      <c r="C57" s="22"/>
      <c r="D57" s="22"/>
      <c r="E57" s="22"/>
      <c r="F57" s="22"/>
      <c r="G57" s="22"/>
      <c r="H57" s="22"/>
      <c r="I57" s="22"/>
      <c r="J57" s="22"/>
      <c r="K57" s="22"/>
      <c r="L57" s="22"/>
      <c r="M57" s="22"/>
      <c r="N57" s="22"/>
      <c r="O57" s="22"/>
      <c r="P57" s="22"/>
      <c r="Q57" s="22"/>
      <c r="R57" s="22"/>
      <c r="S57" s="22"/>
      <c r="T57" s="22"/>
      <c r="U57" s="22"/>
      <c r="V57" s="22"/>
      <c r="W57" s="22"/>
      <c r="X57" s="22"/>
      <c r="Y57" s="22"/>
      <c r="Z57" s="22"/>
      <c r="AA57" s="22"/>
      <c r="AB57" s="22"/>
      <c r="AC57" s="22"/>
      <c r="AD57" s="22"/>
      <c r="AE57" s="22"/>
      <c r="AF57" s="22"/>
      <c r="AG57" s="22"/>
      <c r="AH57" s="22"/>
      <c r="AI57" s="22"/>
      <c r="AJ57" s="22"/>
      <c r="AK57" s="22"/>
      <c r="AL57" s="22"/>
      <c r="AM57" s="22"/>
      <c r="AN57" s="22"/>
      <c r="AO57" s="22"/>
      <c r="AP57" s="22"/>
      <c r="AQ57" s="22"/>
      <c r="AR57" s="22"/>
      <c r="AS57" s="22"/>
      <c r="AT57" s="22"/>
      <c r="AU57" s="22"/>
      <c r="AV57" s="22"/>
      <c r="AW57" s="22"/>
      <c r="AX57" s="22"/>
      <c r="AY57" s="22"/>
      <c r="AZ57" s="22"/>
      <c r="BA57" s="22"/>
      <c r="BB57" s="22"/>
      <c r="BC57" s="22"/>
      <c r="BD57" s="22"/>
      <c r="BE57" s="22"/>
      <c r="BF57" s="22"/>
      <c r="BG57" s="22"/>
      <c r="BH57" s="22"/>
      <c r="BI57" s="22"/>
      <c r="BJ57" s="22"/>
      <c r="BK57" s="22"/>
      <c r="BL57" s="22"/>
      <c r="BM57" s="22"/>
      <c r="BN57" s="22"/>
      <c r="BO57" s="22"/>
      <c r="BP57" s="22"/>
      <c r="BQ57" s="22"/>
      <c r="BR57" s="22"/>
      <c r="BS57" s="22"/>
      <c r="BT57" s="22"/>
      <c r="BU57" s="22"/>
      <c r="BV57" s="22"/>
      <c r="BW57" s="22"/>
      <c r="BX57" s="22"/>
      <c r="BY57" s="22"/>
      <c r="BZ57" s="22"/>
      <c r="CA57" s="22"/>
      <c r="CB57" s="22"/>
      <c r="CC57" s="22"/>
      <c r="CD57" s="22"/>
      <c r="CE57" s="22"/>
      <c r="CF57" s="22"/>
      <c r="CG57" s="22"/>
      <c r="CH57" s="22"/>
      <c r="CI57" s="22"/>
      <c r="CJ57" s="22"/>
      <c r="CK57" s="22"/>
      <c r="CL57" s="22"/>
      <c r="CM57" s="22"/>
      <c r="CN57" s="22"/>
      <c r="CO57" s="22"/>
      <c r="CP57" s="22"/>
      <c r="CQ57" s="22"/>
      <c r="CR57" s="22"/>
      <c r="CS57" s="22"/>
      <c r="CT57" s="22"/>
      <c r="CU57" s="22"/>
      <c r="CV57" s="22"/>
      <c r="CW57" s="22"/>
      <c r="CX57" s="22"/>
      <c r="CY57" s="22"/>
      <c r="CZ57" s="22"/>
      <c r="DA57" s="22"/>
      <c r="DB57" s="22"/>
      <c r="DC57" s="22"/>
      <c r="DD57" s="22"/>
      <c r="DE57" s="22"/>
      <c r="DF57" s="22"/>
      <c r="DG57" s="22"/>
      <c r="DH57" s="22"/>
      <c r="DI57" s="22"/>
      <c r="DJ57" s="22"/>
      <c r="DK57" s="22"/>
      <c r="DL57" s="22"/>
      <c r="DM57" s="22"/>
      <c r="DN57" s="22"/>
      <c r="DO57" s="22"/>
      <c r="DP57" s="22"/>
      <c r="DQ57" s="22"/>
      <c r="DR57" s="22"/>
      <c r="DS57" s="22"/>
      <c r="DT57" s="22"/>
      <c r="DU57" s="22"/>
      <c r="DV57" s="22"/>
      <c r="DW57" s="22"/>
      <c r="DX57" s="22"/>
      <c r="DY57" s="22"/>
      <c r="DZ57" s="22"/>
      <c r="EA57" s="22"/>
      <c r="EB57" s="22"/>
      <c r="EC57" s="22"/>
      <c r="ED57" s="22"/>
      <c r="EE57" s="22"/>
      <c r="EF57" s="22"/>
      <c r="EG57" s="22"/>
      <c r="EH57" s="22"/>
      <c r="EI57" s="22"/>
      <c r="EJ57" s="22"/>
      <c r="EK57" s="22"/>
      <c r="EL57" s="22"/>
      <c r="EM57" s="22"/>
      <c r="EN57" s="22"/>
      <c r="EO57" s="22"/>
      <c r="EP57" s="22"/>
      <c r="EQ57" s="22"/>
      <c r="ER57" s="22"/>
      <c r="ES57" s="22"/>
      <c r="ET57" s="22"/>
      <c r="EU57" s="22"/>
      <c r="EV57" s="22"/>
      <c r="EW57" s="22"/>
      <c r="EX57" s="22"/>
      <c r="EY57" s="22"/>
      <c r="EZ57" s="22"/>
      <c r="FA57" s="22"/>
      <c r="FB57" s="22"/>
      <c r="FC57" s="22"/>
      <c r="FD57" s="22"/>
      <c r="FE57" s="22"/>
      <c r="FF57" s="22"/>
      <c r="FG57" s="22"/>
      <c r="FH57" s="22"/>
      <c r="FI57" s="22"/>
      <c r="FJ57" s="22"/>
      <c r="FK57" s="22"/>
      <c r="FL57" s="22"/>
      <c r="FM57" s="22"/>
      <c r="FN57" s="22"/>
      <c r="FO57" s="22"/>
      <c r="FP57" s="22"/>
      <c r="FQ57" s="22"/>
      <c r="FR57" s="22"/>
      <c r="FS57" s="22"/>
      <c r="FT57" s="22"/>
      <c r="FU57" s="22"/>
      <c r="FV57" s="22"/>
      <c r="FW57" s="22"/>
      <c r="FX57" s="22"/>
      <c r="FY57" s="22"/>
      <c r="FZ57" s="22"/>
    </row>
    <row r="58" spans="2:182" x14ac:dyDescent="0.2">
      <c r="B58" s="22"/>
      <c r="C58" s="22"/>
      <c r="D58" s="22"/>
      <c r="E58" s="22"/>
      <c r="F58" s="22"/>
      <c r="G58" s="22"/>
      <c r="H58" s="22"/>
      <c r="I58" s="22"/>
      <c r="J58" s="22"/>
      <c r="K58" s="22"/>
      <c r="L58" s="22"/>
      <c r="M58" s="22"/>
      <c r="N58" s="22"/>
      <c r="O58" s="22"/>
      <c r="P58" s="22"/>
      <c r="Q58" s="22"/>
      <c r="R58" s="22"/>
      <c r="S58" s="22"/>
      <c r="T58" s="22"/>
      <c r="U58" s="22"/>
      <c r="V58" s="22"/>
      <c r="W58" s="22"/>
      <c r="X58" s="22"/>
      <c r="Y58" s="22"/>
      <c r="Z58" s="22"/>
      <c r="AA58" s="22"/>
      <c r="AB58" s="22"/>
      <c r="AC58" s="22"/>
      <c r="AD58" s="22"/>
      <c r="AE58" s="22"/>
      <c r="AF58" s="22"/>
      <c r="AG58" s="22"/>
      <c r="AH58" s="22"/>
      <c r="AI58" s="22"/>
      <c r="AJ58" s="22"/>
      <c r="AK58" s="22"/>
      <c r="AL58" s="22"/>
      <c r="AM58" s="22"/>
      <c r="AN58" s="22"/>
      <c r="AO58" s="22"/>
      <c r="AP58" s="22"/>
      <c r="AQ58" s="22"/>
      <c r="AR58" s="22"/>
      <c r="AS58" s="22"/>
      <c r="AT58" s="22"/>
      <c r="AU58" s="22"/>
      <c r="AV58" s="22"/>
      <c r="AW58" s="22"/>
      <c r="AX58" s="22"/>
      <c r="AY58" s="22"/>
      <c r="AZ58" s="22"/>
      <c r="BA58" s="22"/>
      <c r="BB58" s="22"/>
      <c r="BC58" s="22"/>
      <c r="BD58" s="22"/>
      <c r="BE58" s="22"/>
      <c r="BF58" s="22"/>
      <c r="BG58" s="22"/>
      <c r="BH58" s="22"/>
      <c r="BI58" s="22"/>
      <c r="BJ58" s="22"/>
      <c r="BK58" s="22"/>
      <c r="BL58" s="22"/>
      <c r="BM58" s="22"/>
      <c r="BN58" s="22"/>
      <c r="BO58" s="22"/>
      <c r="BP58" s="22"/>
      <c r="BQ58" s="22"/>
      <c r="BR58" s="22"/>
      <c r="BS58" s="22"/>
      <c r="BT58" s="22"/>
      <c r="BU58" s="22"/>
      <c r="BV58" s="22"/>
      <c r="BW58" s="22"/>
      <c r="BX58" s="22"/>
      <c r="BY58" s="22"/>
      <c r="BZ58" s="22"/>
      <c r="CA58" s="22"/>
      <c r="CB58" s="22"/>
      <c r="CC58" s="22"/>
      <c r="CD58" s="22"/>
      <c r="CE58" s="22"/>
      <c r="CF58" s="22"/>
      <c r="CG58" s="22"/>
      <c r="CH58" s="22"/>
      <c r="CI58" s="22"/>
      <c r="CJ58" s="22"/>
      <c r="CK58" s="22"/>
      <c r="CL58" s="22"/>
      <c r="CM58" s="22"/>
      <c r="CN58" s="22"/>
      <c r="CO58" s="22"/>
      <c r="CP58" s="22"/>
      <c r="CQ58" s="22"/>
      <c r="CR58" s="22"/>
      <c r="CS58" s="22"/>
      <c r="CT58" s="22"/>
      <c r="CU58" s="22"/>
      <c r="CV58" s="22"/>
      <c r="CW58" s="22"/>
      <c r="CX58" s="22"/>
      <c r="CY58" s="22"/>
      <c r="CZ58" s="22"/>
      <c r="DA58" s="22"/>
      <c r="DB58" s="22"/>
      <c r="DC58" s="22"/>
      <c r="DD58" s="22"/>
      <c r="DE58" s="22"/>
      <c r="DF58" s="22"/>
      <c r="DG58" s="22"/>
      <c r="DH58" s="22"/>
      <c r="DI58" s="22"/>
      <c r="DJ58" s="22"/>
      <c r="DK58" s="22"/>
      <c r="DL58" s="22"/>
      <c r="DM58" s="22"/>
      <c r="DN58" s="22"/>
      <c r="DO58" s="22"/>
      <c r="DP58" s="22"/>
      <c r="DQ58" s="22"/>
      <c r="DR58" s="22"/>
      <c r="DS58" s="22"/>
      <c r="DT58" s="22"/>
      <c r="DU58" s="22"/>
      <c r="DV58" s="22"/>
      <c r="DW58" s="22"/>
      <c r="DX58" s="22"/>
      <c r="DY58" s="22"/>
      <c r="DZ58" s="22"/>
      <c r="EA58" s="22"/>
      <c r="EB58" s="22"/>
      <c r="EC58" s="22"/>
      <c r="ED58" s="22"/>
      <c r="EE58" s="22"/>
      <c r="EF58" s="22"/>
      <c r="EG58" s="22"/>
      <c r="EH58" s="22"/>
      <c r="EI58" s="22"/>
      <c r="EJ58" s="22"/>
      <c r="EK58" s="22"/>
      <c r="EL58" s="22"/>
      <c r="EM58" s="22"/>
      <c r="EN58" s="22"/>
      <c r="EO58" s="22"/>
      <c r="EP58" s="22"/>
      <c r="EQ58" s="22"/>
      <c r="ER58" s="22"/>
      <c r="ES58" s="22"/>
      <c r="ET58" s="22"/>
      <c r="EU58" s="22"/>
      <c r="EV58" s="22"/>
      <c r="EW58" s="22"/>
      <c r="EX58" s="22"/>
      <c r="EY58" s="22"/>
      <c r="EZ58" s="22"/>
      <c r="FA58" s="22"/>
      <c r="FB58" s="22"/>
      <c r="FC58" s="22"/>
      <c r="FD58" s="22"/>
      <c r="FE58" s="22"/>
      <c r="FF58" s="22"/>
      <c r="FG58" s="22"/>
      <c r="FH58" s="22"/>
      <c r="FI58" s="22"/>
      <c r="FJ58" s="22"/>
      <c r="FK58" s="22"/>
      <c r="FL58" s="22"/>
      <c r="FM58" s="22"/>
      <c r="FN58" s="22"/>
      <c r="FO58" s="22"/>
      <c r="FP58" s="22"/>
      <c r="FQ58" s="22"/>
      <c r="FR58" s="22"/>
      <c r="FS58" s="22"/>
      <c r="FT58" s="22"/>
      <c r="FU58" s="22"/>
      <c r="FV58" s="22"/>
      <c r="FW58" s="22"/>
      <c r="FX58" s="22"/>
      <c r="FY58" s="22"/>
      <c r="FZ58" s="22"/>
    </row>
    <row r="59" spans="2:182" x14ac:dyDescent="0.2">
      <c r="B59" s="22"/>
      <c r="C59" s="22"/>
      <c r="D59" s="22"/>
      <c r="E59" s="22"/>
      <c r="F59" s="22"/>
      <c r="G59" s="22"/>
      <c r="H59" s="22"/>
      <c r="I59" s="22"/>
      <c r="J59" s="22"/>
      <c r="K59" s="22"/>
      <c r="L59" s="22"/>
      <c r="M59" s="22"/>
      <c r="N59" s="22"/>
      <c r="O59" s="22"/>
      <c r="P59" s="22"/>
      <c r="Q59" s="22"/>
      <c r="R59" s="22"/>
      <c r="S59" s="22"/>
      <c r="T59" s="22"/>
      <c r="U59" s="22"/>
      <c r="V59" s="22"/>
      <c r="W59" s="22"/>
      <c r="X59" s="22"/>
      <c r="Y59" s="22"/>
      <c r="Z59" s="22"/>
      <c r="AA59" s="22"/>
      <c r="AB59" s="22"/>
      <c r="AC59" s="22"/>
      <c r="AD59" s="22"/>
      <c r="AE59" s="22"/>
      <c r="AF59" s="22"/>
      <c r="AG59" s="22"/>
      <c r="AH59" s="22"/>
      <c r="AI59" s="22"/>
      <c r="AJ59" s="22"/>
      <c r="AK59" s="22"/>
      <c r="AL59" s="22"/>
      <c r="AM59" s="22"/>
      <c r="AN59" s="22"/>
      <c r="AO59" s="22"/>
      <c r="AP59" s="22"/>
      <c r="AQ59" s="22"/>
      <c r="AR59" s="22"/>
      <c r="AS59" s="22"/>
      <c r="AT59" s="22"/>
      <c r="AU59" s="22"/>
      <c r="AV59" s="22"/>
      <c r="AW59" s="22"/>
      <c r="AX59" s="22"/>
      <c r="AY59" s="22"/>
      <c r="AZ59" s="22"/>
      <c r="BA59" s="22"/>
      <c r="BB59" s="22"/>
      <c r="BC59" s="22"/>
      <c r="BD59" s="22"/>
      <c r="BE59" s="22"/>
      <c r="BF59" s="22"/>
      <c r="BG59" s="22"/>
      <c r="BH59" s="22"/>
      <c r="BI59" s="22"/>
      <c r="BJ59" s="22"/>
      <c r="BK59" s="22"/>
      <c r="BL59" s="22"/>
      <c r="BM59" s="22"/>
      <c r="BN59" s="22"/>
      <c r="BO59" s="22"/>
      <c r="BP59" s="22"/>
      <c r="BQ59" s="22"/>
      <c r="BR59" s="22"/>
      <c r="BS59" s="22"/>
      <c r="BT59" s="22"/>
      <c r="BU59" s="22"/>
      <c r="BV59" s="22"/>
      <c r="BW59" s="22"/>
      <c r="BX59" s="22"/>
      <c r="BY59" s="22"/>
      <c r="BZ59" s="22"/>
      <c r="CA59" s="22"/>
      <c r="CB59" s="22"/>
      <c r="CC59" s="22"/>
      <c r="CD59" s="22"/>
      <c r="CE59" s="22"/>
      <c r="CF59" s="22"/>
      <c r="CG59" s="22"/>
      <c r="CH59" s="22"/>
      <c r="CI59" s="22"/>
      <c r="CJ59" s="22"/>
      <c r="CK59" s="22"/>
      <c r="CL59" s="22"/>
      <c r="CM59" s="22"/>
      <c r="CN59" s="22"/>
      <c r="CO59" s="22"/>
      <c r="CP59" s="22"/>
      <c r="CQ59" s="22"/>
      <c r="CR59" s="22"/>
      <c r="CS59" s="22"/>
      <c r="CT59" s="22"/>
      <c r="CU59" s="22"/>
      <c r="CV59" s="22"/>
      <c r="CW59" s="22"/>
      <c r="CX59" s="22"/>
      <c r="CY59" s="22"/>
      <c r="CZ59" s="22"/>
      <c r="DA59" s="22"/>
      <c r="DB59" s="22"/>
      <c r="DC59" s="22"/>
      <c r="DD59" s="22"/>
      <c r="DE59" s="22"/>
      <c r="DF59" s="22"/>
      <c r="DG59" s="22"/>
      <c r="DH59" s="22"/>
      <c r="DI59" s="22"/>
      <c r="DJ59" s="22"/>
      <c r="DK59" s="22"/>
      <c r="DL59" s="22"/>
      <c r="DM59" s="22"/>
      <c r="DN59" s="22"/>
      <c r="DO59" s="22"/>
      <c r="DP59" s="22"/>
      <c r="DQ59" s="22"/>
      <c r="DR59" s="22"/>
      <c r="DS59" s="22"/>
      <c r="DT59" s="22"/>
      <c r="DU59" s="22"/>
      <c r="DV59" s="22"/>
      <c r="DW59" s="22"/>
      <c r="DX59" s="22"/>
      <c r="DY59" s="22"/>
      <c r="DZ59" s="22"/>
      <c r="EA59" s="22"/>
      <c r="EB59" s="22"/>
      <c r="EC59" s="22"/>
      <c r="ED59" s="22"/>
      <c r="EE59" s="22"/>
      <c r="EF59" s="22"/>
      <c r="EG59" s="22"/>
      <c r="EH59" s="22"/>
      <c r="EI59" s="22"/>
      <c r="EJ59" s="22"/>
      <c r="EK59" s="22"/>
      <c r="EL59" s="22"/>
      <c r="EM59" s="22"/>
      <c r="EN59" s="22"/>
      <c r="EO59" s="22"/>
      <c r="EP59" s="22"/>
      <c r="EQ59" s="22"/>
      <c r="ER59" s="22"/>
      <c r="ES59" s="22"/>
      <c r="ET59" s="22"/>
      <c r="EU59" s="22"/>
      <c r="EV59" s="22"/>
      <c r="EW59" s="22"/>
      <c r="EX59" s="22"/>
      <c r="EY59" s="22"/>
      <c r="EZ59" s="22"/>
      <c r="FA59" s="22"/>
      <c r="FB59" s="22"/>
      <c r="FC59" s="22"/>
      <c r="FD59" s="22"/>
      <c r="FE59" s="22"/>
      <c r="FF59" s="22"/>
      <c r="FG59" s="22"/>
      <c r="FH59" s="22"/>
      <c r="FI59" s="22"/>
      <c r="FJ59" s="22"/>
      <c r="FK59" s="22"/>
      <c r="FL59" s="22"/>
      <c r="FM59" s="22"/>
      <c r="FN59" s="22"/>
      <c r="FO59" s="22"/>
      <c r="FP59" s="22"/>
      <c r="FQ59" s="22"/>
      <c r="FR59" s="22"/>
      <c r="FS59" s="22"/>
      <c r="FT59" s="22"/>
      <c r="FU59" s="22"/>
      <c r="FV59" s="22"/>
      <c r="FW59" s="22"/>
      <c r="FX59" s="22"/>
      <c r="FY59" s="22"/>
      <c r="FZ59" s="22"/>
    </row>
    <row r="60" spans="2:182" x14ac:dyDescent="0.2">
      <c r="B60" s="22"/>
      <c r="C60" s="22"/>
      <c r="D60" s="22"/>
      <c r="E60" s="22"/>
      <c r="F60" s="22"/>
      <c r="G60" s="22"/>
      <c r="H60" s="22"/>
      <c r="I60" s="22"/>
      <c r="J60" s="22"/>
      <c r="K60" s="22"/>
      <c r="L60" s="22"/>
      <c r="M60" s="22"/>
      <c r="N60" s="22"/>
      <c r="O60" s="22"/>
      <c r="P60" s="22"/>
      <c r="Q60" s="22"/>
      <c r="R60" s="22"/>
      <c r="S60" s="22"/>
      <c r="T60" s="22"/>
      <c r="U60" s="22"/>
      <c r="V60" s="22"/>
      <c r="W60" s="22"/>
      <c r="X60" s="22"/>
      <c r="Y60" s="22"/>
      <c r="Z60" s="22"/>
      <c r="AA60" s="22"/>
      <c r="AB60" s="22"/>
      <c r="AC60" s="22"/>
      <c r="AD60" s="22"/>
      <c r="AE60" s="22"/>
      <c r="AF60" s="22"/>
      <c r="AG60" s="22"/>
      <c r="AH60" s="22"/>
      <c r="AI60" s="22"/>
      <c r="AJ60" s="22"/>
      <c r="AK60" s="22"/>
      <c r="AL60" s="22"/>
      <c r="AM60" s="22"/>
      <c r="AN60" s="22"/>
      <c r="AO60" s="22"/>
      <c r="AP60" s="22"/>
      <c r="AQ60" s="22"/>
      <c r="AR60" s="22"/>
      <c r="AS60" s="22"/>
      <c r="AT60" s="22"/>
      <c r="AU60" s="22"/>
      <c r="AV60" s="22"/>
      <c r="AW60" s="22"/>
      <c r="AX60" s="22"/>
      <c r="AY60" s="22"/>
      <c r="AZ60" s="22"/>
      <c r="BA60" s="22"/>
      <c r="BB60" s="22"/>
      <c r="BC60" s="22"/>
      <c r="BD60" s="22"/>
      <c r="BE60" s="22"/>
      <c r="BF60" s="22"/>
      <c r="BG60" s="22"/>
      <c r="BH60" s="22"/>
      <c r="BI60" s="22"/>
      <c r="BJ60" s="22"/>
      <c r="BK60" s="22"/>
      <c r="BL60" s="22"/>
      <c r="BM60" s="22"/>
      <c r="BN60" s="22"/>
      <c r="BO60" s="22"/>
      <c r="BP60" s="22"/>
      <c r="BQ60" s="22"/>
      <c r="BR60" s="22"/>
      <c r="BS60" s="22"/>
      <c r="BT60" s="22"/>
      <c r="BU60" s="22"/>
      <c r="BV60" s="22"/>
      <c r="BW60" s="22"/>
      <c r="BX60" s="22"/>
      <c r="BY60" s="22"/>
      <c r="BZ60" s="22"/>
      <c r="CA60" s="22"/>
      <c r="CB60" s="22"/>
      <c r="CC60" s="22"/>
      <c r="CD60" s="22"/>
      <c r="CE60" s="22"/>
      <c r="CF60" s="22"/>
      <c r="CG60" s="22"/>
      <c r="CH60" s="22"/>
      <c r="CI60" s="22"/>
      <c r="CJ60" s="22"/>
      <c r="CK60" s="22"/>
      <c r="CL60" s="22"/>
      <c r="CM60" s="22"/>
      <c r="CN60" s="22"/>
      <c r="CO60" s="22"/>
      <c r="CP60" s="22"/>
      <c r="CQ60" s="22"/>
      <c r="CR60" s="22"/>
      <c r="CS60" s="22"/>
      <c r="CT60" s="22"/>
      <c r="CU60" s="22"/>
      <c r="CV60" s="22"/>
      <c r="CW60" s="22"/>
      <c r="CX60" s="22"/>
      <c r="CY60" s="22"/>
      <c r="CZ60" s="22"/>
      <c r="DA60" s="22"/>
      <c r="DB60" s="22"/>
      <c r="DC60" s="22"/>
      <c r="DD60" s="22"/>
      <c r="DE60" s="22"/>
      <c r="DF60" s="22"/>
      <c r="DG60" s="22"/>
      <c r="DH60" s="22"/>
      <c r="DI60" s="22"/>
      <c r="DJ60" s="22"/>
      <c r="DK60" s="22"/>
      <c r="DL60" s="22"/>
      <c r="DM60" s="22"/>
      <c r="DN60" s="22"/>
      <c r="DO60" s="22"/>
      <c r="DP60" s="22"/>
      <c r="DQ60" s="22"/>
      <c r="DR60" s="22"/>
      <c r="DS60" s="22"/>
      <c r="DT60" s="22"/>
      <c r="DU60" s="22"/>
      <c r="DV60" s="22"/>
      <c r="DW60" s="22"/>
      <c r="DX60" s="22"/>
      <c r="DY60" s="22"/>
      <c r="DZ60" s="22"/>
      <c r="EA60" s="22"/>
      <c r="EB60" s="22"/>
      <c r="EC60" s="22"/>
      <c r="ED60" s="22"/>
      <c r="EE60" s="22"/>
      <c r="EF60" s="22"/>
      <c r="EG60" s="22"/>
      <c r="EH60" s="22"/>
      <c r="EI60" s="22"/>
      <c r="EJ60" s="22"/>
      <c r="EK60" s="22"/>
      <c r="EL60" s="22"/>
      <c r="EM60" s="22"/>
      <c r="EN60" s="22"/>
      <c r="EO60" s="22"/>
      <c r="EP60" s="22"/>
      <c r="EQ60" s="22"/>
      <c r="ER60" s="22"/>
      <c r="ES60" s="22"/>
      <c r="ET60" s="22"/>
      <c r="EU60" s="22"/>
      <c r="EV60" s="22"/>
      <c r="EW60" s="22"/>
      <c r="EX60" s="22"/>
      <c r="EY60" s="22"/>
      <c r="EZ60" s="22"/>
      <c r="FA60" s="22"/>
      <c r="FB60" s="22"/>
      <c r="FC60" s="22"/>
      <c r="FD60" s="22"/>
      <c r="FE60" s="22"/>
      <c r="FF60" s="22"/>
      <c r="FG60" s="22"/>
      <c r="FH60" s="22"/>
      <c r="FI60" s="22"/>
      <c r="FJ60" s="22"/>
      <c r="FK60" s="22"/>
      <c r="FL60" s="22"/>
      <c r="FM60" s="22"/>
      <c r="FN60" s="22"/>
      <c r="FO60" s="22"/>
      <c r="FP60" s="22"/>
      <c r="FQ60" s="22"/>
      <c r="FR60" s="22"/>
      <c r="FS60" s="22"/>
      <c r="FT60" s="22"/>
      <c r="FU60" s="22"/>
      <c r="FV60" s="22"/>
      <c r="FW60" s="22"/>
      <c r="FX60" s="22"/>
      <c r="FY60" s="22"/>
      <c r="FZ60" s="22"/>
    </row>
    <row r="61" spans="2:182" x14ac:dyDescent="0.2">
      <c r="B61" s="22"/>
      <c r="C61" s="22"/>
      <c r="D61" s="22"/>
      <c r="E61" s="22"/>
      <c r="F61" s="22"/>
      <c r="G61" s="22"/>
      <c r="H61" s="22"/>
      <c r="I61" s="22"/>
      <c r="J61" s="22"/>
      <c r="K61" s="22"/>
      <c r="L61" s="22"/>
      <c r="M61" s="22"/>
      <c r="N61" s="22"/>
      <c r="O61" s="22"/>
      <c r="P61" s="22"/>
      <c r="Q61" s="22"/>
      <c r="R61" s="22"/>
      <c r="S61" s="22"/>
      <c r="T61" s="22"/>
      <c r="U61" s="22"/>
      <c r="V61" s="22"/>
      <c r="W61" s="22"/>
      <c r="X61" s="22"/>
      <c r="Y61" s="22"/>
      <c r="Z61" s="22"/>
      <c r="AA61" s="22"/>
      <c r="AB61" s="22"/>
      <c r="AC61" s="22"/>
      <c r="AD61" s="22"/>
      <c r="AE61" s="22"/>
      <c r="AF61" s="22"/>
      <c r="AG61" s="22"/>
      <c r="AH61" s="22"/>
      <c r="AI61" s="22"/>
      <c r="AJ61" s="22"/>
      <c r="AK61" s="22"/>
      <c r="AL61" s="22"/>
      <c r="AM61" s="22"/>
      <c r="AN61" s="22"/>
      <c r="AO61" s="22"/>
      <c r="AP61" s="22"/>
      <c r="AQ61" s="22"/>
      <c r="AR61" s="22"/>
      <c r="AS61" s="22"/>
      <c r="AT61" s="22"/>
      <c r="AU61" s="22"/>
      <c r="AV61" s="22"/>
      <c r="AW61" s="22"/>
      <c r="AX61" s="22"/>
      <c r="AY61" s="22"/>
      <c r="AZ61" s="22"/>
      <c r="BA61" s="22"/>
      <c r="BB61" s="22"/>
      <c r="BC61" s="22"/>
      <c r="BD61" s="22"/>
      <c r="BE61" s="22"/>
      <c r="BF61" s="22"/>
      <c r="BG61" s="22"/>
      <c r="BH61" s="22"/>
      <c r="BI61" s="22"/>
      <c r="BJ61" s="22"/>
      <c r="BK61" s="22"/>
      <c r="BL61" s="22"/>
      <c r="BM61" s="22"/>
      <c r="BN61" s="22"/>
      <c r="BO61" s="22"/>
      <c r="BP61" s="22"/>
      <c r="BQ61" s="22"/>
      <c r="BR61" s="22"/>
      <c r="BS61" s="22"/>
      <c r="BT61" s="22"/>
      <c r="BU61" s="22"/>
      <c r="BV61" s="22"/>
      <c r="BW61" s="22"/>
      <c r="BX61" s="22"/>
      <c r="BY61" s="22"/>
      <c r="BZ61" s="22"/>
      <c r="CA61" s="22"/>
      <c r="CB61" s="22"/>
      <c r="CC61" s="22"/>
      <c r="CD61" s="22"/>
      <c r="CE61" s="22"/>
      <c r="CF61" s="22"/>
      <c r="CG61" s="22"/>
      <c r="CH61" s="22"/>
      <c r="CI61" s="22"/>
      <c r="CJ61" s="22"/>
      <c r="CK61" s="22"/>
      <c r="CL61" s="22"/>
      <c r="CM61" s="22"/>
      <c r="CN61" s="22"/>
      <c r="CO61" s="22"/>
      <c r="CP61" s="22"/>
      <c r="CQ61" s="22"/>
      <c r="CR61" s="22"/>
      <c r="CS61" s="22"/>
      <c r="CT61" s="22"/>
      <c r="CU61" s="22"/>
      <c r="CV61" s="22"/>
      <c r="CW61" s="22"/>
      <c r="CX61" s="22"/>
      <c r="CY61" s="22"/>
      <c r="CZ61" s="22"/>
      <c r="DA61" s="22"/>
      <c r="DB61" s="22"/>
      <c r="DC61" s="22"/>
      <c r="DD61" s="22"/>
      <c r="DE61" s="22"/>
      <c r="DF61" s="22"/>
      <c r="DG61" s="22"/>
      <c r="DH61" s="22"/>
      <c r="DI61" s="22"/>
      <c r="DJ61" s="22"/>
      <c r="DK61" s="22"/>
      <c r="DL61" s="22"/>
      <c r="DM61" s="22"/>
      <c r="DN61" s="22"/>
      <c r="DO61" s="22"/>
      <c r="DP61" s="22"/>
      <c r="DQ61" s="22"/>
      <c r="DR61" s="22"/>
      <c r="DS61" s="22"/>
      <c r="DT61" s="22"/>
      <c r="DU61" s="22"/>
      <c r="DV61" s="22"/>
      <c r="DW61" s="22"/>
      <c r="DX61" s="22"/>
      <c r="DY61" s="22"/>
      <c r="DZ61" s="22"/>
      <c r="EA61" s="22"/>
      <c r="EB61" s="22"/>
      <c r="EC61" s="22"/>
      <c r="ED61" s="22"/>
      <c r="EE61" s="22"/>
      <c r="EF61" s="22"/>
      <c r="EG61" s="22"/>
      <c r="EH61" s="22"/>
      <c r="EI61" s="22"/>
      <c r="EJ61" s="22"/>
      <c r="EK61" s="22"/>
      <c r="EL61" s="22"/>
      <c r="EM61" s="22"/>
      <c r="EN61" s="22"/>
      <c r="EO61" s="22"/>
      <c r="EP61" s="22"/>
      <c r="EQ61" s="22"/>
      <c r="ER61" s="22"/>
      <c r="ES61" s="22"/>
      <c r="ET61" s="22"/>
      <c r="EU61" s="22"/>
      <c r="EV61" s="22"/>
      <c r="EW61" s="22"/>
      <c r="EX61" s="22"/>
      <c r="EY61" s="22"/>
      <c r="EZ61" s="22"/>
      <c r="FA61" s="22"/>
      <c r="FB61" s="22"/>
      <c r="FC61" s="22"/>
      <c r="FD61" s="22"/>
      <c r="FE61" s="22"/>
      <c r="FF61" s="22"/>
      <c r="FG61" s="22"/>
      <c r="FH61" s="22"/>
      <c r="FI61" s="22"/>
      <c r="FJ61" s="22"/>
      <c r="FK61" s="22"/>
      <c r="FL61" s="22"/>
      <c r="FM61" s="22"/>
      <c r="FN61" s="22"/>
      <c r="FO61" s="22"/>
      <c r="FP61" s="22"/>
      <c r="FQ61" s="22"/>
      <c r="FR61" s="22"/>
      <c r="FS61" s="22"/>
      <c r="FT61" s="22"/>
      <c r="FU61" s="22"/>
      <c r="FV61" s="22"/>
      <c r="FW61" s="22"/>
      <c r="FX61" s="22"/>
      <c r="FY61" s="22"/>
      <c r="FZ61" s="22"/>
    </row>
    <row r="62" spans="2:182" x14ac:dyDescent="0.2">
      <c r="B62" s="22"/>
      <c r="C62" s="22"/>
      <c r="D62" s="22"/>
      <c r="E62" s="22"/>
      <c r="F62" s="22"/>
      <c r="G62" s="22"/>
      <c r="H62" s="22"/>
      <c r="I62" s="22"/>
      <c r="J62" s="22"/>
      <c r="K62" s="22"/>
      <c r="L62" s="22"/>
      <c r="M62" s="22"/>
      <c r="N62" s="22"/>
      <c r="O62" s="22"/>
      <c r="P62" s="22"/>
      <c r="Q62" s="22"/>
      <c r="R62" s="22"/>
      <c r="S62" s="22"/>
      <c r="T62" s="22"/>
      <c r="U62" s="22"/>
      <c r="V62" s="22"/>
      <c r="W62" s="22"/>
      <c r="X62" s="22"/>
      <c r="Y62" s="22"/>
      <c r="Z62" s="22"/>
      <c r="AA62" s="22"/>
      <c r="AB62" s="22"/>
      <c r="AC62" s="22"/>
      <c r="AD62" s="22"/>
      <c r="AE62" s="22"/>
      <c r="AF62" s="22"/>
      <c r="AG62" s="22"/>
      <c r="AH62" s="22"/>
      <c r="AI62" s="22"/>
      <c r="AJ62" s="22"/>
      <c r="AK62" s="22"/>
      <c r="AL62" s="22"/>
      <c r="AM62" s="22"/>
      <c r="AN62" s="22"/>
      <c r="AO62" s="22"/>
      <c r="AP62" s="22"/>
      <c r="AQ62" s="22"/>
      <c r="AR62" s="22"/>
      <c r="AS62" s="22"/>
      <c r="AT62" s="22"/>
      <c r="AU62" s="22"/>
      <c r="AV62" s="22"/>
      <c r="AW62" s="22"/>
      <c r="AX62" s="22"/>
      <c r="AY62" s="22"/>
      <c r="AZ62" s="22"/>
      <c r="BA62" s="22"/>
      <c r="BB62" s="22"/>
      <c r="BC62" s="22"/>
      <c r="BD62" s="22"/>
      <c r="BE62" s="22"/>
      <c r="BF62" s="22"/>
      <c r="BG62" s="22"/>
      <c r="BH62" s="22"/>
      <c r="BI62" s="22"/>
      <c r="BJ62" s="22"/>
      <c r="BK62" s="22"/>
      <c r="BL62" s="22"/>
      <c r="BM62" s="22"/>
      <c r="BN62" s="22"/>
      <c r="BO62" s="22"/>
      <c r="BP62" s="22"/>
      <c r="BQ62" s="22"/>
      <c r="BR62" s="22"/>
      <c r="BS62" s="22"/>
      <c r="BT62" s="22"/>
      <c r="BU62" s="22"/>
      <c r="BV62" s="22"/>
      <c r="BW62" s="22"/>
      <c r="BX62" s="22"/>
      <c r="BY62" s="22"/>
      <c r="BZ62" s="22"/>
      <c r="CA62" s="22"/>
      <c r="CB62" s="22"/>
      <c r="CC62" s="22"/>
      <c r="CD62" s="22"/>
      <c r="CE62" s="22"/>
      <c r="CF62" s="22"/>
      <c r="CG62" s="22"/>
      <c r="CH62" s="22"/>
      <c r="CI62" s="22"/>
      <c r="CJ62" s="22"/>
      <c r="CK62" s="22"/>
      <c r="CL62" s="22"/>
      <c r="CM62" s="22"/>
      <c r="CN62" s="22"/>
      <c r="CO62" s="22"/>
      <c r="CP62" s="22"/>
      <c r="CQ62" s="22"/>
      <c r="CR62" s="22"/>
      <c r="CS62" s="22"/>
      <c r="CT62" s="22"/>
      <c r="CU62" s="22"/>
      <c r="CV62" s="22"/>
      <c r="CW62" s="22"/>
      <c r="CX62" s="22"/>
      <c r="CY62" s="22"/>
      <c r="CZ62" s="22"/>
      <c r="DA62" s="22"/>
      <c r="DB62" s="22"/>
      <c r="DC62" s="22"/>
      <c r="DD62" s="22"/>
      <c r="DE62" s="22"/>
      <c r="DF62" s="22"/>
      <c r="DG62" s="22"/>
      <c r="DH62" s="22"/>
      <c r="DI62" s="22"/>
      <c r="DJ62" s="22"/>
      <c r="DK62" s="22"/>
      <c r="DL62" s="22"/>
      <c r="DM62" s="22"/>
      <c r="DN62" s="22"/>
      <c r="DO62" s="22"/>
      <c r="DP62" s="22"/>
      <c r="DQ62" s="22"/>
      <c r="DR62" s="22"/>
      <c r="DS62" s="22"/>
      <c r="DT62" s="22"/>
      <c r="DU62" s="22"/>
      <c r="DV62" s="22"/>
      <c r="DW62" s="22"/>
      <c r="DX62" s="22"/>
      <c r="DY62" s="22"/>
      <c r="DZ62" s="22"/>
      <c r="EA62" s="22"/>
      <c r="EB62" s="22"/>
      <c r="EC62" s="22"/>
      <c r="ED62" s="22"/>
      <c r="EE62" s="22"/>
      <c r="EF62" s="22"/>
      <c r="EG62" s="22"/>
      <c r="EH62" s="22"/>
      <c r="EI62" s="22"/>
      <c r="EJ62" s="22"/>
      <c r="EK62" s="22"/>
      <c r="EL62" s="22"/>
      <c r="EM62" s="22"/>
      <c r="EN62" s="22"/>
      <c r="EO62" s="22"/>
      <c r="EP62" s="22"/>
      <c r="EQ62" s="22"/>
      <c r="ER62" s="22"/>
      <c r="ES62" s="22"/>
      <c r="ET62" s="22"/>
      <c r="EU62" s="22"/>
      <c r="EV62" s="22"/>
      <c r="EW62" s="22"/>
      <c r="EX62" s="22"/>
      <c r="EY62" s="22"/>
      <c r="EZ62" s="22"/>
      <c r="FA62" s="22"/>
      <c r="FB62" s="22"/>
      <c r="FC62" s="22"/>
      <c r="FD62" s="22"/>
      <c r="FE62" s="22"/>
      <c r="FF62" s="22"/>
      <c r="FG62" s="22"/>
      <c r="FH62" s="22"/>
      <c r="FI62" s="22"/>
      <c r="FJ62" s="22"/>
      <c r="FK62" s="22"/>
      <c r="FL62" s="22"/>
      <c r="FM62" s="22"/>
      <c r="FN62" s="22"/>
      <c r="FO62" s="22"/>
      <c r="FP62" s="22"/>
      <c r="FQ62" s="22"/>
      <c r="FR62" s="22"/>
      <c r="FS62" s="22"/>
      <c r="FT62" s="22"/>
      <c r="FU62" s="22"/>
      <c r="FV62" s="22"/>
      <c r="FW62" s="22"/>
      <c r="FX62" s="22"/>
      <c r="FY62" s="22"/>
      <c r="FZ62" s="22"/>
    </row>
    <row r="63" spans="2:182" x14ac:dyDescent="0.2">
      <c r="B63" s="22"/>
      <c r="C63" s="22"/>
      <c r="D63" s="22"/>
      <c r="E63" s="22"/>
      <c r="F63" s="22"/>
      <c r="G63" s="22"/>
      <c r="H63" s="22"/>
      <c r="I63" s="22"/>
      <c r="J63" s="22"/>
      <c r="K63" s="22"/>
      <c r="L63" s="22"/>
      <c r="M63" s="22"/>
      <c r="N63" s="22"/>
      <c r="O63" s="22"/>
      <c r="P63" s="22"/>
      <c r="Q63" s="22"/>
      <c r="R63" s="22"/>
      <c r="S63" s="22"/>
      <c r="T63" s="22"/>
      <c r="U63" s="22"/>
      <c r="V63" s="22"/>
      <c r="W63" s="22"/>
      <c r="X63" s="22"/>
      <c r="Y63" s="22"/>
      <c r="Z63" s="22"/>
      <c r="AA63" s="22"/>
      <c r="AB63" s="22"/>
      <c r="AC63" s="22"/>
      <c r="AD63" s="22"/>
      <c r="AE63" s="22"/>
      <c r="AF63" s="22"/>
      <c r="AG63" s="22"/>
      <c r="AH63" s="22"/>
      <c r="AI63" s="22"/>
      <c r="AJ63" s="22"/>
      <c r="AK63" s="22"/>
      <c r="AL63" s="22"/>
      <c r="AM63" s="22"/>
      <c r="AN63" s="22"/>
      <c r="AO63" s="22"/>
      <c r="AP63" s="22"/>
      <c r="AQ63" s="22"/>
      <c r="AR63" s="22"/>
      <c r="AS63" s="22"/>
      <c r="AT63" s="22"/>
      <c r="AU63" s="22"/>
      <c r="AV63" s="22"/>
      <c r="AW63" s="22"/>
      <c r="AX63" s="22"/>
      <c r="AY63" s="22"/>
      <c r="AZ63" s="22"/>
      <c r="BA63" s="22"/>
      <c r="BB63" s="22"/>
      <c r="BC63" s="22"/>
      <c r="BD63" s="22"/>
      <c r="BE63" s="22"/>
      <c r="BF63" s="22"/>
      <c r="BG63" s="22"/>
      <c r="BH63" s="22"/>
      <c r="BI63" s="22"/>
      <c r="BJ63" s="22"/>
      <c r="BK63" s="22"/>
      <c r="BL63" s="22"/>
      <c r="BM63" s="22"/>
      <c r="BN63" s="22"/>
      <c r="BO63" s="22"/>
      <c r="BP63" s="22"/>
      <c r="BQ63" s="22"/>
      <c r="BR63" s="22"/>
      <c r="BS63" s="22"/>
      <c r="BT63" s="22"/>
      <c r="BU63" s="22"/>
      <c r="BV63" s="22"/>
      <c r="BW63" s="22"/>
      <c r="BX63" s="22"/>
      <c r="BY63" s="22"/>
      <c r="BZ63" s="22"/>
      <c r="CA63" s="22"/>
      <c r="CB63" s="22"/>
      <c r="CC63" s="22"/>
      <c r="CD63" s="22"/>
      <c r="CE63" s="22"/>
      <c r="CF63" s="22"/>
      <c r="CG63" s="22"/>
      <c r="CH63" s="22"/>
      <c r="CI63" s="22"/>
      <c r="CJ63" s="22"/>
      <c r="CK63" s="22"/>
      <c r="CL63" s="22"/>
      <c r="CM63" s="22"/>
      <c r="CN63" s="22"/>
      <c r="CO63" s="22"/>
      <c r="CP63" s="22"/>
      <c r="CQ63" s="22"/>
      <c r="CR63" s="22"/>
      <c r="CS63" s="22"/>
      <c r="CT63" s="22"/>
      <c r="CU63" s="22"/>
      <c r="CV63" s="22"/>
      <c r="CW63" s="22"/>
      <c r="CX63" s="22"/>
      <c r="CY63" s="22"/>
      <c r="CZ63" s="22"/>
      <c r="DA63" s="22"/>
      <c r="DB63" s="22"/>
      <c r="DC63" s="22"/>
      <c r="DD63" s="22"/>
      <c r="DE63" s="22"/>
      <c r="DF63" s="22"/>
      <c r="DG63" s="22"/>
      <c r="DH63" s="22"/>
      <c r="DI63" s="22"/>
      <c r="DJ63" s="22"/>
      <c r="DK63" s="22"/>
      <c r="DL63" s="22"/>
      <c r="DM63" s="22"/>
      <c r="DN63" s="22"/>
      <c r="DO63" s="22"/>
      <c r="DP63" s="22"/>
      <c r="DQ63" s="22"/>
      <c r="DR63" s="22"/>
      <c r="DS63" s="22"/>
      <c r="DT63" s="22"/>
      <c r="DU63" s="22"/>
      <c r="DV63" s="22"/>
      <c r="DW63" s="22"/>
      <c r="DX63" s="22"/>
      <c r="DY63" s="22"/>
      <c r="DZ63" s="22"/>
      <c r="EA63" s="22"/>
      <c r="EB63" s="22"/>
      <c r="EC63" s="22"/>
      <c r="ED63" s="22"/>
      <c r="EE63" s="22"/>
      <c r="EF63" s="22"/>
      <c r="EG63" s="22"/>
      <c r="EH63" s="22"/>
      <c r="EI63" s="22"/>
      <c r="EJ63" s="22"/>
      <c r="EK63" s="22"/>
      <c r="EL63" s="22"/>
      <c r="EM63" s="22"/>
      <c r="EN63" s="22"/>
      <c r="EO63" s="22"/>
      <c r="EP63" s="22"/>
      <c r="EQ63" s="22"/>
      <c r="ER63" s="22"/>
      <c r="ES63" s="22"/>
      <c r="ET63" s="22"/>
      <c r="EU63" s="22"/>
      <c r="EV63" s="22"/>
      <c r="EW63" s="22"/>
      <c r="EX63" s="22"/>
      <c r="EY63" s="22"/>
      <c r="EZ63" s="22"/>
      <c r="FA63" s="22"/>
      <c r="FB63" s="22"/>
      <c r="FC63" s="22"/>
      <c r="FD63" s="22"/>
      <c r="FE63" s="22"/>
      <c r="FF63" s="22"/>
      <c r="FG63" s="22"/>
      <c r="FH63" s="22"/>
      <c r="FI63" s="22"/>
      <c r="FJ63" s="22"/>
      <c r="FK63" s="22"/>
      <c r="FL63" s="22"/>
      <c r="FM63" s="22"/>
      <c r="FN63" s="22"/>
      <c r="FO63" s="22"/>
      <c r="FP63" s="22"/>
      <c r="FQ63" s="22"/>
      <c r="FR63" s="22"/>
      <c r="FS63" s="22"/>
      <c r="FT63" s="22"/>
      <c r="FU63" s="22"/>
      <c r="FV63" s="22"/>
      <c r="FW63" s="22"/>
      <c r="FX63" s="22"/>
      <c r="FY63" s="22"/>
      <c r="FZ63" s="22"/>
    </row>
    <row r="64" spans="2:182" x14ac:dyDescent="0.2">
      <c r="B64" s="22"/>
      <c r="C64" s="22"/>
      <c r="D64" s="22"/>
      <c r="E64" s="22"/>
      <c r="F64" s="22"/>
      <c r="G64" s="22"/>
      <c r="H64" s="22"/>
      <c r="I64" s="22"/>
      <c r="J64" s="22"/>
      <c r="K64" s="22"/>
      <c r="L64" s="22"/>
      <c r="M64" s="22"/>
      <c r="N64" s="22"/>
      <c r="O64" s="22"/>
      <c r="P64" s="22"/>
      <c r="Q64" s="22"/>
      <c r="R64" s="22"/>
      <c r="S64" s="22"/>
      <c r="T64" s="22"/>
      <c r="U64" s="22"/>
      <c r="V64" s="22"/>
      <c r="W64" s="22"/>
      <c r="X64" s="22"/>
      <c r="Y64" s="22"/>
      <c r="Z64" s="22"/>
      <c r="AA64" s="22"/>
      <c r="AB64" s="22"/>
      <c r="AC64" s="22"/>
      <c r="AD64" s="22"/>
      <c r="AE64" s="22"/>
      <c r="AF64" s="22"/>
      <c r="AG64" s="22"/>
      <c r="AH64" s="22"/>
      <c r="AI64" s="22"/>
      <c r="AJ64" s="22"/>
      <c r="AK64" s="22"/>
      <c r="AL64" s="22"/>
      <c r="AM64" s="22"/>
      <c r="AN64" s="22"/>
      <c r="AO64" s="22"/>
      <c r="AP64" s="22"/>
      <c r="AQ64" s="22"/>
      <c r="AR64" s="22"/>
      <c r="AS64" s="22"/>
      <c r="AT64" s="22"/>
      <c r="AU64" s="22"/>
      <c r="AV64" s="22"/>
      <c r="AW64" s="22"/>
      <c r="AX64" s="22"/>
      <c r="AY64" s="22"/>
      <c r="AZ64" s="22"/>
      <c r="BA64" s="22"/>
      <c r="BB64" s="22"/>
      <c r="BC64" s="22"/>
      <c r="BD64" s="22"/>
      <c r="BE64" s="22"/>
      <c r="BF64" s="22"/>
      <c r="BG64" s="22"/>
      <c r="BH64" s="22"/>
      <c r="BI64" s="22"/>
      <c r="BJ64" s="22"/>
      <c r="BK64" s="22"/>
      <c r="BL64" s="22"/>
      <c r="BM64" s="22"/>
      <c r="BN64" s="22"/>
      <c r="BO64" s="22"/>
      <c r="BP64" s="22"/>
      <c r="BQ64" s="22"/>
      <c r="BR64" s="22"/>
      <c r="BS64" s="22"/>
      <c r="BT64" s="22"/>
      <c r="BU64" s="22"/>
      <c r="BV64" s="22"/>
      <c r="BW64" s="22"/>
      <c r="BX64" s="22"/>
      <c r="BY64" s="22"/>
      <c r="BZ64" s="22"/>
      <c r="CA64" s="22"/>
      <c r="CB64" s="22"/>
      <c r="CC64" s="22"/>
      <c r="CD64" s="22"/>
      <c r="CE64" s="22"/>
      <c r="CF64" s="22"/>
      <c r="CG64" s="22"/>
      <c r="CH64" s="22"/>
      <c r="CI64" s="22"/>
      <c r="CJ64" s="22"/>
      <c r="CK64" s="22"/>
      <c r="CL64" s="22"/>
      <c r="CM64" s="22"/>
      <c r="CN64" s="22"/>
      <c r="CO64" s="22"/>
      <c r="CP64" s="22"/>
      <c r="CQ64" s="22"/>
      <c r="CR64" s="22"/>
      <c r="CS64" s="22"/>
      <c r="CT64" s="22"/>
      <c r="CU64" s="22"/>
      <c r="CV64" s="22"/>
      <c r="CW64" s="22"/>
      <c r="CX64" s="22"/>
      <c r="CY64" s="22"/>
      <c r="CZ64" s="22"/>
      <c r="DA64" s="22"/>
      <c r="DB64" s="22"/>
      <c r="DC64" s="22"/>
      <c r="DD64" s="22"/>
      <c r="DE64" s="22"/>
      <c r="DF64" s="22"/>
      <c r="DG64" s="22"/>
      <c r="DH64" s="22"/>
      <c r="DI64" s="22"/>
      <c r="DJ64" s="22"/>
      <c r="DK64" s="22"/>
      <c r="DL64" s="22"/>
      <c r="DM64" s="22"/>
      <c r="DN64" s="22"/>
      <c r="DO64" s="22"/>
      <c r="DP64" s="22"/>
      <c r="DQ64" s="22"/>
      <c r="DR64" s="22"/>
      <c r="DS64" s="22"/>
      <c r="DT64" s="22"/>
      <c r="DU64" s="22"/>
      <c r="DV64" s="22"/>
      <c r="DW64" s="22"/>
      <c r="DX64" s="22"/>
      <c r="DY64" s="22"/>
      <c r="DZ64" s="22"/>
      <c r="EA64" s="22"/>
      <c r="EB64" s="22"/>
      <c r="EC64" s="22"/>
      <c r="ED64" s="22"/>
      <c r="EE64" s="22"/>
      <c r="EF64" s="22"/>
      <c r="EG64" s="22"/>
      <c r="EH64" s="22"/>
      <c r="EI64" s="22"/>
      <c r="EJ64" s="22"/>
      <c r="EK64" s="22"/>
      <c r="EL64" s="22"/>
      <c r="EM64" s="22"/>
      <c r="EN64" s="22"/>
      <c r="EO64" s="22"/>
      <c r="EP64" s="22"/>
      <c r="EQ64" s="22"/>
      <c r="ER64" s="22"/>
      <c r="ES64" s="22"/>
      <c r="ET64" s="22"/>
      <c r="EU64" s="22"/>
      <c r="EV64" s="22"/>
      <c r="EW64" s="22"/>
      <c r="EX64" s="22"/>
      <c r="EY64" s="22"/>
      <c r="EZ64" s="22"/>
      <c r="FA64" s="22"/>
      <c r="FB64" s="22"/>
      <c r="FC64" s="22"/>
      <c r="FD64" s="22"/>
      <c r="FE64" s="22"/>
      <c r="FF64" s="22"/>
      <c r="FG64" s="22"/>
      <c r="FH64" s="22"/>
      <c r="FI64" s="22"/>
      <c r="FJ64" s="22"/>
      <c r="FK64" s="22"/>
      <c r="FL64" s="22"/>
      <c r="FM64" s="22"/>
      <c r="FN64" s="22"/>
      <c r="FO64" s="22"/>
      <c r="FP64" s="22"/>
      <c r="FQ64" s="22"/>
      <c r="FR64" s="22"/>
      <c r="FS64" s="22"/>
      <c r="FT64" s="22"/>
      <c r="FU64" s="22"/>
      <c r="FV64" s="22"/>
      <c r="FW64" s="22"/>
      <c r="FX64" s="22"/>
      <c r="FY64" s="22"/>
      <c r="FZ64" s="22"/>
    </row>
    <row r="65" spans="2:182" x14ac:dyDescent="0.2">
      <c r="B65" s="22"/>
      <c r="C65" s="22"/>
      <c r="D65" s="22"/>
      <c r="E65" s="22"/>
      <c r="F65" s="22"/>
      <c r="G65" s="22"/>
      <c r="H65" s="22"/>
      <c r="I65" s="22"/>
      <c r="J65" s="22"/>
      <c r="K65" s="22"/>
      <c r="L65" s="22"/>
      <c r="M65" s="22"/>
      <c r="N65" s="22"/>
      <c r="O65" s="22"/>
      <c r="P65" s="22"/>
      <c r="Q65" s="22"/>
      <c r="R65" s="22"/>
      <c r="S65" s="22"/>
      <c r="T65" s="22"/>
      <c r="U65" s="22"/>
      <c r="V65" s="22"/>
      <c r="W65" s="22"/>
      <c r="X65" s="22"/>
      <c r="Y65" s="22"/>
      <c r="Z65" s="22"/>
      <c r="AA65" s="22"/>
      <c r="AB65" s="22"/>
      <c r="AC65" s="22"/>
      <c r="AD65" s="22"/>
      <c r="AE65" s="22"/>
      <c r="AF65" s="22"/>
      <c r="AG65" s="22"/>
      <c r="AH65" s="22"/>
      <c r="AI65" s="22"/>
      <c r="AJ65" s="22"/>
      <c r="AK65" s="22"/>
      <c r="AL65" s="22"/>
      <c r="AM65" s="22"/>
      <c r="AN65" s="22"/>
      <c r="AO65" s="22"/>
      <c r="AP65" s="22"/>
      <c r="AQ65" s="22"/>
      <c r="AR65" s="22"/>
      <c r="AS65" s="22"/>
      <c r="AT65" s="22"/>
      <c r="AU65" s="22"/>
      <c r="AV65" s="22"/>
      <c r="AW65" s="22"/>
      <c r="AX65" s="22"/>
      <c r="AY65" s="22"/>
      <c r="AZ65" s="22"/>
      <c r="BA65" s="22"/>
      <c r="BB65" s="22"/>
      <c r="BC65" s="22"/>
      <c r="BD65" s="22"/>
      <c r="BE65" s="22"/>
      <c r="BF65" s="22"/>
      <c r="BG65" s="22"/>
      <c r="BH65" s="22"/>
      <c r="BI65" s="22"/>
      <c r="BJ65" s="22"/>
      <c r="BK65" s="22"/>
      <c r="BL65" s="22"/>
      <c r="BM65" s="22"/>
      <c r="BN65" s="22"/>
      <c r="BO65" s="22"/>
      <c r="BP65" s="22"/>
      <c r="BQ65" s="22"/>
      <c r="BR65" s="22"/>
      <c r="BS65" s="22"/>
      <c r="BT65" s="22"/>
      <c r="BU65" s="22"/>
      <c r="BV65" s="22"/>
      <c r="BW65" s="22"/>
      <c r="BX65" s="22"/>
      <c r="BY65" s="22"/>
      <c r="BZ65" s="22"/>
      <c r="CA65" s="22"/>
      <c r="CB65" s="22"/>
      <c r="CC65" s="22"/>
      <c r="CD65" s="22"/>
      <c r="CE65" s="22"/>
      <c r="CF65" s="22"/>
      <c r="CG65" s="22"/>
      <c r="CH65" s="22"/>
      <c r="CI65" s="22"/>
      <c r="CJ65" s="22"/>
      <c r="CK65" s="22"/>
      <c r="CL65" s="22"/>
      <c r="CM65" s="22"/>
      <c r="CN65" s="22"/>
      <c r="CO65" s="22"/>
      <c r="CP65" s="22"/>
      <c r="CQ65" s="22"/>
      <c r="CR65" s="22"/>
      <c r="CS65" s="22"/>
      <c r="CT65" s="22"/>
      <c r="CU65" s="22"/>
      <c r="CV65" s="22"/>
      <c r="CW65" s="22"/>
      <c r="CX65" s="22"/>
      <c r="CY65" s="22"/>
      <c r="CZ65" s="22"/>
      <c r="DA65" s="22"/>
      <c r="DB65" s="22"/>
      <c r="DC65" s="22"/>
      <c r="DD65" s="22"/>
      <c r="DE65" s="22"/>
      <c r="DF65" s="22"/>
      <c r="DG65" s="22"/>
      <c r="DH65" s="22"/>
      <c r="DI65" s="22"/>
      <c r="DJ65" s="22"/>
      <c r="DK65" s="22"/>
      <c r="DL65" s="22"/>
      <c r="DM65" s="22"/>
      <c r="DN65" s="22"/>
      <c r="DO65" s="22"/>
      <c r="DP65" s="22"/>
      <c r="DQ65" s="22"/>
      <c r="DR65" s="22"/>
      <c r="DS65" s="22"/>
      <c r="DT65" s="22"/>
      <c r="DU65" s="22"/>
      <c r="DV65" s="22"/>
      <c r="DW65" s="22"/>
      <c r="DX65" s="22"/>
      <c r="DY65" s="22"/>
      <c r="DZ65" s="22"/>
      <c r="EA65" s="22"/>
      <c r="EB65" s="22"/>
      <c r="EC65" s="22"/>
      <c r="ED65" s="22"/>
      <c r="EE65" s="22"/>
      <c r="EF65" s="22"/>
      <c r="EG65" s="22"/>
      <c r="EH65" s="22"/>
      <c r="EI65" s="22"/>
      <c r="EJ65" s="22"/>
      <c r="EK65" s="22"/>
      <c r="EL65" s="22"/>
      <c r="EM65" s="22"/>
      <c r="EN65" s="22"/>
      <c r="EO65" s="22"/>
      <c r="EP65" s="22"/>
      <c r="EQ65" s="22"/>
      <c r="ER65" s="22"/>
      <c r="ES65" s="22"/>
      <c r="ET65" s="22"/>
      <c r="EU65" s="22"/>
      <c r="EV65" s="22"/>
      <c r="EW65" s="22"/>
      <c r="EX65" s="22"/>
      <c r="EY65" s="22"/>
      <c r="EZ65" s="22"/>
      <c r="FA65" s="22"/>
      <c r="FB65" s="22"/>
      <c r="FC65" s="22"/>
      <c r="FD65" s="22"/>
      <c r="FE65" s="22"/>
      <c r="FF65" s="22"/>
      <c r="FG65" s="22"/>
      <c r="FH65" s="22"/>
      <c r="FI65" s="22"/>
      <c r="FJ65" s="22"/>
      <c r="FK65" s="22"/>
      <c r="FL65" s="22"/>
      <c r="FM65" s="22"/>
      <c r="FN65" s="22"/>
      <c r="FO65" s="22"/>
      <c r="FP65" s="22"/>
      <c r="FQ65" s="22"/>
      <c r="FR65" s="22"/>
      <c r="FS65" s="22"/>
      <c r="FT65" s="22"/>
      <c r="FU65" s="22"/>
      <c r="FV65" s="22"/>
      <c r="FW65" s="22"/>
      <c r="FX65" s="22"/>
      <c r="FY65" s="22"/>
      <c r="FZ65" s="22"/>
    </row>
    <row r="66" spans="2:182" x14ac:dyDescent="0.2">
      <c r="B66" s="22"/>
      <c r="C66" s="22"/>
      <c r="D66" s="22"/>
      <c r="E66" s="22"/>
      <c r="F66" s="22"/>
      <c r="G66" s="22"/>
      <c r="H66" s="22"/>
      <c r="I66" s="22"/>
      <c r="J66" s="22"/>
      <c r="K66" s="22"/>
      <c r="L66" s="22"/>
      <c r="M66" s="22"/>
      <c r="N66" s="22"/>
      <c r="O66" s="22"/>
      <c r="P66" s="22"/>
      <c r="Q66" s="22"/>
      <c r="R66" s="22"/>
      <c r="S66" s="22"/>
      <c r="T66" s="22"/>
      <c r="U66" s="22"/>
      <c r="V66" s="22"/>
      <c r="W66" s="22"/>
      <c r="X66" s="22"/>
      <c r="Y66" s="22"/>
      <c r="Z66" s="22"/>
      <c r="AA66" s="22"/>
      <c r="AB66" s="22"/>
      <c r="AC66" s="22"/>
      <c r="AD66" s="22"/>
      <c r="AE66" s="22"/>
      <c r="AF66" s="22"/>
      <c r="AG66" s="22"/>
      <c r="AH66" s="22"/>
      <c r="AI66" s="22"/>
      <c r="AJ66" s="22"/>
      <c r="AK66" s="22"/>
      <c r="AL66" s="22"/>
      <c r="AM66" s="22"/>
      <c r="AN66" s="22"/>
      <c r="AO66" s="22"/>
      <c r="AP66" s="22"/>
      <c r="AQ66" s="22"/>
      <c r="AR66" s="22"/>
      <c r="AS66" s="22"/>
      <c r="AT66" s="22"/>
      <c r="AU66" s="22"/>
      <c r="AV66" s="22"/>
      <c r="AW66" s="22"/>
      <c r="AX66" s="22"/>
      <c r="AY66" s="22"/>
      <c r="AZ66" s="22"/>
      <c r="BA66" s="22"/>
      <c r="BB66" s="22"/>
      <c r="BC66" s="22"/>
      <c r="BD66" s="22"/>
      <c r="BE66" s="22"/>
      <c r="BF66" s="22"/>
      <c r="BG66" s="22"/>
      <c r="BH66" s="22"/>
      <c r="BI66" s="22"/>
      <c r="BJ66" s="22"/>
      <c r="BK66" s="22"/>
      <c r="BL66" s="22"/>
      <c r="BM66" s="22"/>
      <c r="BN66" s="22"/>
      <c r="BO66" s="22"/>
      <c r="BP66" s="22"/>
      <c r="BQ66" s="22"/>
      <c r="BR66" s="22"/>
      <c r="BS66" s="22"/>
      <c r="BT66" s="22"/>
      <c r="BU66" s="22"/>
      <c r="BV66" s="22"/>
      <c r="BW66" s="22"/>
      <c r="BX66" s="22"/>
      <c r="BY66" s="22"/>
      <c r="BZ66" s="22"/>
      <c r="CA66" s="22"/>
      <c r="CB66" s="22"/>
      <c r="CC66" s="22"/>
      <c r="CD66" s="22"/>
      <c r="CE66" s="22"/>
      <c r="CF66" s="22"/>
      <c r="CG66" s="22"/>
      <c r="CH66" s="22"/>
      <c r="CI66" s="22"/>
      <c r="CJ66" s="22"/>
      <c r="CK66" s="22"/>
      <c r="CL66" s="22"/>
      <c r="CM66" s="22"/>
      <c r="CN66" s="22"/>
      <c r="CO66" s="22"/>
      <c r="CP66" s="22"/>
      <c r="CQ66" s="22"/>
      <c r="CR66" s="22"/>
      <c r="CS66" s="22"/>
      <c r="CT66" s="22"/>
      <c r="CU66" s="22"/>
      <c r="CV66" s="22"/>
      <c r="CW66" s="22"/>
      <c r="CX66" s="22"/>
      <c r="CY66" s="22"/>
      <c r="CZ66" s="22"/>
      <c r="DA66" s="22"/>
      <c r="DB66" s="22"/>
      <c r="DC66" s="22"/>
      <c r="DD66" s="22"/>
      <c r="DE66" s="22"/>
      <c r="DF66" s="22"/>
      <c r="DG66" s="22"/>
      <c r="DH66" s="22"/>
      <c r="DI66" s="22"/>
      <c r="DJ66" s="22"/>
      <c r="DK66" s="22"/>
      <c r="DL66" s="22"/>
      <c r="DM66" s="22"/>
      <c r="DN66" s="22"/>
      <c r="DO66" s="22"/>
      <c r="DP66" s="22"/>
      <c r="DQ66" s="22"/>
      <c r="DR66" s="22"/>
      <c r="DS66" s="22"/>
      <c r="DT66" s="22"/>
      <c r="DU66" s="22"/>
      <c r="DV66" s="22"/>
      <c r="DW66" s="22"/>
      <c r="DX66" s="22"/>
      <c r="DY66" s="22"/>
      <c r="DZ66" s="22"/>
      <c r="EA66" s="22"/>
      <c r="EB66" s="22"/>
      <c r="EC66" s="22"/>
      <c r="ED66" s="22"/>
      <c r="EE66" s="22"/>
      <c r="EF66" s="22"/>
      <c r="EG66" s="22"/>
      <c r="EH66" s="22"/>
      <c r="EI66" s="22"/>
      <c r="EJ66" s="22"/>
      <c r="EK66" s="22"/>
      <c r="EL66" s="22"/>
      <c r="EM66" s="22"/>
      <c r="EN66" s="22"/>
      <c r="EO66" s="22"/>
      <c r="EP66" s="22"/>
      <c r="EQ66" s="22"/>
      <c r="ER66" s="22"/>
      <c r="ES66" s="22"/>
      <c r="ET66" s="22"/>
      <c r="EU66" s="22"/>
      <c r="EV66" s="22"/>
      <c r="EW66" s="22"/>
      <c r="EX66" s="22"/>
      <c r="EY66" s="22"/>
      <c r="EZ66" s="22"/>
      <c r="FA66" s="22"/>
      <c r="FB66" s="22"/>
      <c r="FC66" s="22"/>
      <c r="FD66" s="22"/>
      <c r="FE66" s="22"/>
      <c r="FF66" s="22"/>
      <c r="FG66" s="22"/>
      <c r="FH66" s="22"/>
      <c r="FI66" s="22"/>
      <c r="FJ66" s="22"/>
      <c r="FK66" s="22"/>
      <c r="FL66" s="22"/>
      <c r="FM66" s="22"/>
      <c r="FN66" s="22"/>
      <c r="FO66" s="22"/>
      <c r="FP66" s="22"/>
      <c r="FQ66" s="22"/>
      <c r="FR66" s="22"/>
      <c r="FS66" s="22"/>
      <c r="FT66" s="22"/>
      <c r="FU66" s="22"/>
      <c r="FV66" s="22"/>
      <c r="FW66" s="22"/>
      <c r="FX66" s="22"/>
      <c r="FY66" s="22"/>
      <c r="FZ66" s="22"/>
    </row>
    <row r="67" spans="2:182" x14ac:dyDescent="0.2">
      <c r="B67" s="22"/>
      <c r="C67" s="22"/>
      <c r="D67" s="22"/>
      <c r="E67" s="22"/>
      <c r="F67" s="22"/>
      <c r="G67" s="22"/>
      <c r="H67" s="22"/>
      <c r="I67" s="22"/>
      <c r="J67" s="22"/>
      <c r="K67" s="22"/>
      <c r="L67" s="22"/>
      <c r="M67" s="22"/>
      <c r="N67" s="22"/>
      <c r="O67" s="22"/>
      <c r="P67" s="22"/>
      <c r="Q67" s="22"/>
      <c r="R67" s="22"/>
      <c r="S67" s="22"/>
      <c r="T67" s="22"/>
      <c r="U67" s="22"/>
      <c r="V67" s="22"/>
      <c r="W67" s="22"/>
      <c r="X67" s="22"/>
      <c r="Y67" s="22"/>
      <c r="Z67" s="22"/>
      <c r="AA67" s="22"/>
      <c r="AB67" s="22"/>
      <c r="AC67" s="22"/>
      <c r="AD67" s="22"/>
      <c r="AE67" s="22"/>
      <c r="AF67" s="22"/>
      <c r="AG67" s="22"/>
      <c r="AH67" s="22"/>
      <c r="AI67" s="22"/>
      <c r="AJ67" s="22"/>
      <c r="AK67" s="22"/>
      <c r="AL67" s="22"/>
      <c r="AM67" s="22"/>
      <c r="AN67" s="22"/>
      <c r="AO67" s="22"/>
      <c r="AP67" s="22"/>
      <c r="AQ67" s="22"/>
      <c r="AR67" s="22"/>
      <c r="AS67" s="22"/>
      <c r="AT67" s="22"/>
      <c r="AU67" s="22"/>
      <c r="AV67" s="22"/>
      <c r="AW67" s="22"/>
      <c r="AX67" s="22"/>
      <c r="AY67" s="22"/>
      <c r="AZ67" s="22"/>
      <c r="BA67" s="22"/>
      <c r="BB67" s="22"/>
      <c r="BC67" s="22"/>
      <c r="BD67" s="22"/>
      <c r="BE67" s="22"/>
      <c r="BF67" s="22"/>
      <c r="BG67" s="22"/>
      <c r="BH67" s="22"/>
      <c r="BI67" s="22"/>
      <c r="BJ67" s="22"/>
      <c r="BK67" s="22"/>
      <c r="BL67" s="22"/>
      <c r="BM67" s="22"/>
      <c r="BN67" s="22"/>
      <c r="BO67" s="22"/>
      <c r="BP67" s="22"/>
      <c r="BQ67" s="22"/>
      <c r="BR67" s="22"/>
      <c r="BS67" s="22"/>
      <c r="BT67" s="22"/>
      <c r="BU67" s="22"/>
      <c r="BV67" s="22"/>
      <c r="BW67" s="22"/>
      <c r="BX67" s="22"/>
      <c r="BY67" s="22"/>
      <c r="BZ67" s="22"/>
      <c r="CA67" s="22"/>
      <c r="CB67" s="22"/>
      <c r="CC67" s="22"/>
      <c r="CD67" s="22"/>
      <c r="CE67" s="22"/>
      <c r="CF67" s="22"/>
      <c r="CG67" s="22"/>
      <c r="CH67" s="22"/>
      <c r="CI67" s="22"/>
      <c r="CJ67" s="22"/>
      <c r="CK67" s="22"/>
      <c r="CL67" s="22"/>
      <c r="CM67" s="22"/>
      <c r="CN67" s="22"/>
      <c r="CO67" s="22"/>
      <c r="CP67" s="22"/>
      <c r="CQ67" s="22"/>
      <c r="CR67" s="22"/>
      <c r="CS67" s="22"/>
      <c r="CT67" s="22"/>
      <c r="CU67" s="22"/>
      <c r="CV67" s="22"/>
      <c r="CW67" s="22"/>
      <c r="CX67" s="22"/>
      <c r="CY67" s="22"/>
      <c r="CZ67" s="22"/>
      <c r="DA67" s="22"/>
      <c r="DB67" s="22"/>
      <c r="DC67" s="22"/>
      <c r="DD67" s="22"/>
      <c r="DE67" s="22"/>
      <c r="DF67" s="22"/>
      <c r="DG67" s="22"/>
      <c r="DH67" s="22"/>
      <c r="DI67" s="22"/>
      <c r="DJ67" s="22"/>
      <c r="DK67" s="22"/>
      <c r="DL67" s="22"/>
      <c r="DM67" s="22"/>
      <c r="DN67" s="22"/>
      <c r="DO67" s="22"/>
      <c r="DP67" s="22"/>
      <c r="DQ67" s="22"/>
      <c r="DR67" s="22"/>
      <c r="DS67" s="22"/>
      <c r="DT67" s="22"/>
      <c r="DU67" s="22"/>
      <c r="DV67" s="22"/>
      <c r="DW67" s="22"/>
      <c r="DX67" s="22"/>
      <c r="DY67" s="22"/>
      <c r="DZ67" s="22"/>
      <c r="EA67" s="22"/>
      <c r="EB67" s="22"/>
      <c r="EC67" s="22"/>
      <c r="ED67" s="22"/>
      <c r="EE67" s="22"/>
      <c r="EF67" s="22"/>
      <c r="EG67" s="22"/>
      <c r="EH67" s="22"/>
      <c r="EI67" s="22"/>
      <c r="EJ67" s="22"/>
      <c r="EK67" s="22"/>
      <c r="EL67" s="22"/>
      <c r="EM67" s="22"/>
      <c r="EN67" s="22"/>
      <c r="EO67" s="22"/>
      <c r="EP67" s="22"/>
      <c r="EQ67" s="22"/>
      <c r="ER67" s="22"/>
      <c r="ES67" s="22"/>
      <c r="ET67" s="22"/>
      <c r="EU67" s="22"/>
      <c r="EV67" s="22"/>
      <c r="EW67" s="22"/>
      <c r="EX67" s="22"/>
      <c r="EY67" s="22"/>
      <c r="EZ67" s="22"/>
      <c r="FA67" s="22"/>
      <c r="FB67" s="22"/>
      <c r="FC67" s="22"/>
      <c r="FD67" s="22"/>
      <c r="FE67" s="22"/>
      <c r="FF67" s="22"/>
      <c r="FG67" s="22"/>
      <c r="FH67" s="22"/>
      <c r="FI67" s="22"/>
      <c r="FJ67" s="22"/>
      <c r="FK67" s="22"/>
      <c r="FL67" s="22"/>
      <c r="FM67" s="22"/>
      <c r="FN67" s="22"/>
      <c r="FO67" s="22"/>
      <c r="FP67" s="22"/>
      <c r="FQ67" s="22"/>
      <c r="FR67" s="22"/>
      <c r="FS67" s="22"/>
      <c r="FT67" s="22"/>
      <c r="FU67" s="22"/>
      <c r="FV67" s="22"/>
      <c r="FW67" s="22"/>
      <c r="FX67" s="22"/>
      <c r="FY67" s="22"/>
      <c r="FZ67" s="22"/>
    </row>
    <row r="68" spans="2:182" x14ac:dyDescent="0.2">
      <c r="B68" s="22"/>
      <c r="C68" s="22"/>
      <c r="D68" s="22"/>
      <c r="E68" s="22"/>
      <c r="F68" s="22"/>
      <c r="G68" s="22"/>
      <c r="H68" s="22"/>
      <c r="I68" s="22"/>
      <c r="J68" s="22"/>
      <c r="K68" s="22"/>
      <c r="L68" s="22"/>
      <c r="M68" s="22"/>
      <c r="N68" s="22"/>
      <c r="O68" s="22"/>
      <c r="P68" s="22"/>
      <c r="Q68" s="22"/>
      <c r="R68" s="22"/>
      <c r="S68" s="22"/>
      <c r="T68" s="22"/>
      <c r="U68" s="22"/>
      <c r="V68" s="22"/>
      <c r="W68" s="22"/>
      <c r="X68" s="22"/>
      <c r="Y68" s="22"/>
      <c r="Z68" s="22"/>
      <c r="AA68" s="22"/>
      <c r="AB68" s="22"/>
      <c r="AC68" s="22"/>
      <c r="AD68" s="22"/>
      <c r="AE68" s="22"/>
      <c r="AF68" s="22"/>
      <c r="AG68" s="22"/>
      <c r="AH68" s="22"/>
      <c r="AI68" s="22"/>
      <c r="AJ68" s="22"/>
      <c r="AK68" s="22"/>
      <c r="AL68" s="22"/>
      <c r="AM68" s="22"/>
      <c r="AN68" s="22"/>
      <c r="AO68" s="22"/>
      <c r="AP68" s="22"/>
      <c r="AQ68" s="22"/>
      <c r="AR68" s="22"/>
      <c r="AS68" s="22"/>
      <c r="AT68" s="22"/>
      <c r="AU68" s="22"/>
      <c r="AV68" s="22"/>
      <c r="AW68" s="22"/>
      <c r="AX68" s="22"/>
      <c r="AY68" s="22"/>
      <c r="AZ68" s="22"/>
      <c r="BA68" s="22"/>
      <c r="BB68" s="22"/>
      <c r="BC68" s="22"/>
      <c r="BD68" s="22"/>
      <c r="BE68" s="22"/>
      <c r="BF68" s="22"/>
      <c r="BG68" s="22"/>
      <c r="BH68" s="22"/>
      <c r="BI68" s="22"/>
      <c r="BJ68" s="22"/>
      <c r="BK68" s="22"/>
      <c r="BL68" s="22"/>
      <c r="BM68" s="22"/>
      <c r="BN68" s="22"/>
      <c r="BO68" s="22"/>
      <c r="BP68" s="22"/>
      <c r="BQ68" s="22"/>
      <c r="BR68" s="22"/>
      <c r="BS68" s="22"/>
      <c r="BT68" s="22"/>
      <c r="BU68" s="22"/>
      <c r="BV68" s="22"/>
      <c r="BW68" s="22"/>
      <c r="BX68" s="22"/>
      <c r="BY68" s="22"/>
      <c r="BZ68" s="22"/>
      <c r="CA68" s="22"/>
      <c r="CB68" s="22"/>
      <c r="CC68" s="22"/>
      <c r="CD68" s="22"/>
      <c r="CE68" s="22"/>
      <c r="CF68" s="22"/>
      <c r="CG68" s="22"/>
      <c r="CH68" s="22"/>
      <c r="CI68" s="22"/>
      <c r="CJ68" s="22"/>
      <c r="CK68" s="22"/>
      <c r="CL68" s="22"/>
      <c r="CM68" s="22"/>
      <c r="CN68" s="22"/>
      <c r="CO68" s="22"/>
      <c r="CP68" s="22"/>
      <c r="CQ68" s="22"/>
      <c r="CR68" s="22"/>
      <c r="CS68" s="22"/>
      <c r="CT68" s="22"/>
      <c r="CU68" s="22"/>
      <c r="CV68" s="22"/>
      <c r="CW68" s="22"/>
      <c r="CX68" s="22"/>
      <c r="CY68" s="22"/>
      <c r="CZ68" s="22"/>
      <c r="DA68" s="22"/>
      <c r="DB68" s="22"/>
      <c r="DC68" s="22"/>
      <c r="DD68" s="22"/>
      <c r="DE68" s="22"/>
      <c r="DF68" s="22"/>
      <c r="DG68" s="22"/>
      <c r="DH68" s="22"/>
      <c r="DI68" s="22"/>
      <c r="DJ68" s="22"/>
      <c r="DK68" s="22"/>
      <c r="DL68" s="22"/>
      <c r="DM68" s="22"/>
      <c r="DN68" s="22"/>
      <c r="DO68" s="22"/>
      <c r="DP68" s="22"/>
      <c r="DQ68" s="22"/>
      <c r="DR68" s="22"/>
      <c r="DS68" s="22"/>
      <c r="DT68" s="22"/>
      <c r="DU68" s="22"/>
      <c r="DV68" s="22"/>
      <c r="DW68" s="22"/>
      <c r="DX68" s="22"/>
      <c r="DY68" s="22"/>
      <c r="DZ68" s="22"/>
      <c r="EA68" s="22"/>
      <c r="EB68" s="22"/>
      <c r="EC68" s="22"/>
      <c r="ED68" s="22"/>
      <c r="EE68" s="22"/>
      <c r="EF68" s="22"/>
      <c r="EG68" s="22"/>
      <c r="EH68" s="22"/>
      <c r="EI68" s="22"/>
      <c r="EJ68" s="22"/>
      <c r="EK68" s="22"/>
      <c r="EL68" s="22"/>
      <c r="EM68" s="22"/>
      <c r="EN68" s="22"/>
      <c r="EO68" s="22"/>
      <c r="EP68" s="22"/>
      <c r="EQ68" s="22"/>
      <c r="ER68" s="22"/>
      <c r="ES68" s="22"/>
      <c r="ET68" s="22"/>
      <c r="EU68" s="22"/>
      <c r="EV68" s="22"/>
      <c r="EW68" s="22"/>
      <c r="EX68" s="22"/>
      <c r="EY68" s="22"/>
      <c r="EZ68" s="22"/>
      <c r="FA68" s="22"/>
      <c r="FB68" s="22"/>
      <c r="FC68" s="22"/>
      <c r="FD68" s="22"/>
      <c r="FE68" s="22"/>
      <c r="FF68" s="22"/>
      <c r="FG68" s="22"/>
      <c r="FH68" s="22"/>
      <c r="FI68" s="22"/>
      <c r="FJ68" s="22"/>
      <c r="FK68" s="22"/>
      <c r="FL68" s="22"/>
      <c r="FM68" s="22"/>
      <c r="FN68" s="22"/>
      <c r="FO68" s="22"/>
      <c r="FP68" s="22"/>
      <c r="FQ68" s="22"/>
      <c r="FR68" s="22"/>
      <c r="FS68" s="22"/>
      <c r="FT68" s="22"/>
      <c r="FU68" s="22"/>
      <c r="FV68" s="22"/>
      <c r="FW68" s="22"/>
      <c r="FX68" s="22"/>
      <c r="FY68" s="22"/>
      <c r="FZ68" s="22"/>
    </row>
    <row r="69" spans="2:182" x14ac:dyDescent="0.2">
      <c r="B69" s="22"/>
      <c r="C69" s="22"/>
      <c r="D69" s="22"/>
      <c r="E69" s="22"/>
      <c r="F69" s="22"/>
      <c r="G69" s="22"/>
      <c r="H69" s="22"/>
      <c r="I69" s="22"/>
      <c r="J69" s="22"/>
      <c r="K69" s="22"/>
      <c r="L69" s="22"/>
      <c r="M69" s="22"/>
      <c r="N69" s="22"/>
      <c r="O69" s="22"/>
      <c r="P69" s="22"/>
      <c r="Q69" s="22"/>
      <c r="R69" s="22"/>
      <c r="S69" s="22"/>
      <c r="T69" s="22"/>
      <c r="U69" s="22"/>
      <c r="V69" s="22"/>
      <c r="W69" s="22"/>
      <c r="X69" s="22"/>
      <c r="Y69" s="22"/>
      <c r="Z69" s="22"/>
      <c r="AA69" s="22"/>
      <c r="AB69" s="22"/>
      <c r="AC69" s="22"/>
      <c r="AD69" s="22"/>
      <c r="AE69" s="22"/>
      <c r="AF69" s="22"/>
      <c r="AG69" s="22"/>
      <c r="AH69" s="22"/>
      <c r="AI69" s="22"/>
      <c r="AJ69" s="22"/>
      <c r="AK69" s="22"/>
      <c r="AL69" s="22"/>
      <c r="AM69" s="22"/>
      <c r="AN69" s="22"/>
      <c r="AO69" s="22"/>
      <c r="AP69" s="22"/>
      <c r="AQ69" s="22"/>
      <c r="AR69" s="22"/>
      <c r="AS69" s="22"/>
      <c r="AT69" s="22"/>
      <c r="AU69" s="22"/>
      <c r="AV69" s="22"/>
      <c r="AW69" s="22"/>
      <c r="AX69" s="22"/>
      <c r="AY69" s="22"/>
      <c r="AZ69" s="22"/>
      <c r="BA69" s="22"/>
      <c r="BB69" s="22"/>
      <c r="BC69" s="22"/>
      <c r="BD69" s="22"/>
      <c r="BE69" s="22"/>
      <c r="BF69" s="22"/>
      <c r="BG69" s="22"/>
      <c r="BH69" s="22"/>
      <c r="BI69" s="22"/>
      <c r="BJ69" s="22"/>
      <c r="BK69" s="22"/>
      <c r="BL69" s="22"/>
      <c r="BM69" s="22"/>
      <c r="BN69" s="22"/>
      <c r="BO69" s="22"/>
      <c r="BP69" s="22"/>
      <c r="BQ69" s="22"/>
      <c r="BR69" s="22"/>
      <c r="BS69" s="22"/>
      <c r="BT69" s="22"/>
      <c r="BU69" s="22"/>
      <c r="BV69" s="22"/>
      <c r="BW69" s="22"/>
      <c r="BX69" s="22"/>
      <c r="BY69" s="22"/>
      <c r="BZ69" s="22"/>
      <c r="CA69" s="22"/>
      <c r="CB69" s="22"/>
      <c r="CC69" s="22"/>
      <c r="CD69" s="22"/>
      <c r="CE69" s="22"/>
      <c r="CF69" s="22"/>
      <c r="CG69" s="22"/>
      <c r="CH69" s="22"/>
      <c r="CI69" s="22"/>
      <c r="CJ69" s="22"/>
      <c r="CK69" s="22"/>
      <c r="CL69" s="22"/>
      <c r="CM69" s="22"/>
      <c r="CN69" s="22"/>
      <c r="CO69" s="22"/>
      <c r="CP69" s="22"/>
      <c r="CQ69" s="22"/>
      <c r="CR69" s="22"/>
      <c r="CS69" s="22"/>
      <c r="CT69" s="22"/>
      <c r="CU69" s="22"/>
      <c r="CV69" s="22"/>
      <c r="CW69" s="22"/>
      <c r="CX69" s="22"/>
      <c r="CY69" s="22"/>
      <c r="CZ69" s="22"/>
      <c r="DA69" s="22"/>
      <c r="DB69" s="22"/>
      <c r="DC69" s="22"/>
      <c r="DD69" s="22"/>
      <c r="DE69" s="22"/>
      <c r="DF69" s="22"/>
      <c r="DG69" s="22"/>
      <c r="DH69" s="22"/>
      <c r="DI69" s="22"/>
      <c r="DJ69" s="22"/>
      <c r="DK69" s="22"/>
      <c r="DL69" s="22"/>
      <c r="DM69" s="22"/>
      <c r="DN69" s="22"/>
      <c r="DO69" s="22"/>
      <c r="DP69" s="22"/>
      <c r="DQ69" s="22"/>
      <c r="DR69" s="22"/>
      <c r="DS69" s="22"/>
      <c r="DT69" s="22"/>
      <c r="DU69" s="22"/>
      <c r="DV69" s="22"/>
      <c r="DW69" s="22"/>
      <c r="DX69" s="22"/>
      <c r="DY69" s="22"/>
      <c r="DZ69" s="22"/>
      <c r="EA69" s="22"/>
      <c r="EB69" s="22"/>
      <c r="EC69" s="22"/>
      <c r="ED69" s="22"/>
      <c r="EE69" s="22"/>
      <c r="EF69" s="22"/>
      <c r="EG69" s="22"/>
      <c r="EH69" s="22"/>
      <c r="EI69" s="22"/>
      <c r="EJ69" s="22"/>
      <c r="EK69" s="22"/>
      <c r="EL69" s="22"/>
      <c r="EM69" s="22"/>
      <c r="EN69" s="22"/>
      <c r="EO69" s="22"/>
      <c r="EP69" s="22"/>
      <c r="EQ69" s="22"/>
      <c r="ER69" s="22"/>
      <c r="ES69" s="22"/>
      <c r="ET69" s="22"/>
      <c r="EU69" s="22"/>
      <c r="EV69" s="22"/>
      <c r="EW69" s="22"/>
      <c r="EX69" s="22"/>
      <c r="EY69" s="22"/>
      <c r="EZ69" s="22"/>
      <c r="FA69" s="22"/>
      <c r="FB69" s="22"/>
      <c r="FC69" s="22"/>
      <c r="FD69" s="22"/>
      <c r="FE69" s="22"/>
      <c r="FF69" s="22"/>
      <c r="FG69" s="22"/>
      <c r="FH69" s="22"/>
      <c r="FI69" s="22"/>
      <c r="FJ69" s="22"/>
      <c r="FK69" s="22"/>
      <c r="FL69" s="22"/>
      <c r="FM69" s="22"/>
      <c r="FN69" s="22"/>
      <c r="FO69" s="22"/>
      <c r="FP69" s="22"/>
      <c r="FQ69" s="22"/>
      <c r="FR69" s="22"/>
      <c r="FS69" s="22"/>
      <c r="FT69" s="22"/>
      <c r="FU69" s="22"/>
      <c r="FV69" s="22"/>
      <c r="FW69" s="22"/>
      <c r="FX69" s="22"/>
      <c r="FY69" s="22"/>
      <c r="FZ69" s="22"/>
    </row>
    <row r="70" spans="2:182" x14ac:dyDescent="0.2">
      <c r="B70" s="22"/>
      <c r="C70" s="22"/>
      <c r="D70" s="22"/>
      <c r="E70" s="22"/>
      <c r="F70" s="22"/>
      <c r="G70" s="22"/>
      <c r="H70" s="22"/>
      <c r="I70" s="22"/>
      <c r="J70" s="22"/>
      <c r="K70" s="22"/>
      <c r="L70" s="22"/>
      <c r="M70" s="22"/>
      <c r="N70" s="22"/>
      <c r="O70" s="22"/>
      <c r="P70" s="22"/>
      <c r="Q70" s="22"/>
      <c r="R70" s="22"/>
      <c r="S70" s="22"/>
      <c r="T70" s="22"/>
      <c r="U70" s="22"/>
      <c r="V70" s="22"/>
      <c r="W70" s="22"/>
      <c r="X70" s="22"/>
      <c r="Y70" s="22"/>
      <c r="Z70" s="22"/>
      <c r="AA70" s="22"/>
      <c r="AB70" s="22"/>
      <c r="AC70" s="22"/>
      <c r="AD70" s="22"/>
      <c r="AE70" s="22"/>
      <c r="AF70" s="22"/>
      <c r="AG70" s="22"/>
      <c r="AH70" s="22"/>
      <c r="AI70" s="22"/>
      <c r="AJ70" s="22"/>
      <c r="AK70" s="22"/>
      <c r="AL70" s="22"/>
      <c r="AM70" s="22"/>
      <c r="AN70" s="22"/>
      <c r="AO70" s="22"/>
      <c r="AP70" s="22"/>
      <c r="AQ70" s="22"/>
      <c r="AR70" s="22"/>
      <c r="AS70" s="22"/>
      <c r="AT70" s="22"/>
      <c r="AU70" s="22"/>
      <c r="AV70" s="22"/>
      <c r="AW70" s="22"/>
      <c r="AX70" s="22"/>
      <c r="AY70" s="22"/>
      <c r="AZ70" s="22"/>
      <c r="BA70" s="22"/>
      <c r="BB70" s="22"/>
      <c r="BC70" s="22"/>
      <c r="BD70" s="22"/>
      <c r="BE70" s="22"/>
      <c r="BF70" s="22"/>
      <c r="BG70" s="22"/>
      <c r="BH70" s="22"/>
      <c r="BI70" s="22"/>
      <c r="BJ70" s="22"/>
      <c r="BK70" s="22"/>
      <c r="BL70" s="22"/>
      <c r="BM70" s="22"/>
      <c r="BN70" s="22"/>
      <c r="BO70" s="22"/>
      <c r="BP70" s="22"/>
      <c r="BQ70" s="22"/>
      <c r="BR70" s="22"/>
      <c r="BS70" s="22"/>
      <c r="BT70" s="22"/>
      <c r="BU70" s="22"/>
      <c r="BV70" s="22"/>
      <c r="BW70" s="22"/>
      <c r="BX70" s="22"/>
      <c r="BY70" s="22"/>
      <c r="BZ70" s="22"/>
      <c r="CA70" s="22"/>
      <c r="CB70" s="22"/>
      <c r="CC70" s="22"/>
      <c r="CD70" s="22"/>
      <c r="CE70" s="22"/>
      <c r="CF70" s="22"/>
      <c r="CG70" s="22"/>
      <c r="CH70" s="22"/>
      <c r="CI70" s="22"/>
      <c r="CJ70" s="22"/>
      <c r="CK70" s="22"/>
      <c r="CL70" s="22"/>
      <c r="CM70" s="22"/>
      <c r="CN70" s="22"/>
      <c r="CO70" s="22"/>
      <c r="CP70" s="22"/>
      <c r="CQ70" s="22"/>
      <c r="CR70" s="22"/>
      <c r="CS70" s="22"/>
      <c r="CT70" s="22"/>
      <c r="CU70" s="22"/>
      <c r="CV70" s="22"/>
      <c r="CW70" s="22"/>
      <c r="CX70" s="22"/>
      <c r="CY70" s="22"/>
      <c r="CZ70" s="22"/>
      <c r="DA70" s="22"/>
      <c r="DB70" s="22"/>
      <c r="DC70" s="22"/>
      <c r="DD70" s="22"/>
      <c r="DE70" s="22"/>
      <c r="DF70" s="22"/>
      <c r="DG70" s="22"/>
      <c r="DH70" s="22"/>
      <c r="DI70" s="22"/>
      <c r="DJ70" s="22"/>
      <c r="DK70" s="22"/>
      <c r="DL70" s="22"/>
      <c r="DM70" s="22"/>
      <c r="DN70" s="22"/>
      <c r="DO70" s="22"/>
      <c r="DP70" s="22"/>
      <c r="DQ70" s="22"/>
      <c r="DR70" s="22"/>
      <c r="DS70" s="22"/>
      <c r="DT70" s="22"/>
      <c r="DU70" s="22"/>
      <c r="DV70" s="22"/>
      <c r="DW70" s="22"/>
      <c r="DX70" s="22"/>
      <c r="DY70" s="22"/>
      <c r="DZ70" s="22"/>
      <c r="EA70" s="22"/>
      <c r="EB70" s="22"/>
      <c r="EC70" s="22"/>
      <c r="ED70" s="22"/>
      <c r="EE70" s="22"/>
      <c r="EF70" s="22"/>
      <c r="EG70" s="22"/>
      <c r="EH70" s="22"/>
      <c r="EI70" s="22"/>
      <c r="EJ70" s="22"/>
      <c r="EK70" s="22"/>
      <c r="EL70" s="22"/>
      <c r="EM70" s="22"/>
      <c r="EN70" s="22"/>
      <c r="EO70" s="22"/>
      <c r="EP70" s="22"/>
      <c r="EQ70" s="22"/>
      <c r="ER70" s="22"/>
      <c r="ES70" s="22"/>
      <c r="ET70" s="22"/>
      <c r="EU70" s="22"/>
      <c r="EV70" s="22"/>
      <c r="EW70" s="22"/>
      <c r="EX70" s="22"/>
      <c r="EY70" s="22"/>
      <c r="EZ70" s="22"/>
      <c r="FA70" s="22"/>
      <c r="FB70" s="22"/>
      <c r="FC70" s="22"/>
      <c r="FD70" s="22"/>
      <c r="FE70" s="22"/>
      <c r="FF70" s="22"/>
      <c r="FG70" s="22"/>
      <c r="FH70" s="22"/>
      <c r="FI70" s="22"/>
      <c r="FJ70" s="22"/>
      <c r="FK70" s="22"/>
      <c r="FL70" s="22"/>
      <c r="FM70" s="22"/>
      <c r="FN70" s="22"/>
      <c r="FO70" s="22"/>
      <c r="FP70" s="22"/>
      <c r="FQ70" s="22"/>
      <c r="FR70" s="22"/>
      <c r="FS70" s="22"/>
      <c r="FT70" s="22"/>
      <c r="FU70" s="22"/>
      <c r="FV70" s="22"/>
      <c r="FW70" s="22"/>
      <c r="FX70" s="22"/>
      <c r="FY70" s="22"/>
      <c r="FZ70" s="22"/>
    </row>
    <row r="71" spans="2:182" x14ac:dyDescent="0.2">
      <c r="B71" s="22"/>
      <c r="C71" s="22"/>
      <c r="D71" s="22"/>
      <c r="E71" s="22"/>
      <c r="F71" s="22"/>
      <c r="G71" s="22"/>
      <c r="H71" s="22"/>
      <c r="I71" s="22"/>
      <c r="J71" s="22"/>
      <c r="K71" s="22"/>
      <c r="L71" s="22"/>
      <c r="M71" s="22"/>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c r="BA71" s="22"/>
      <c r="BB71" s="22"/>
      <c r="BC71" s="22"/>
      <c r="BD71" s="22"/>
      <c r="BE71" s="22"/>
      <c r="BF71" s="22"/>
      <c r="BG71" s="22"/>
      <c r="BH71" s="22"/>
      <c r="BI71" s="22"/>
      <c r="BJ71" s="22"/>
      <c r="BK71" s="22"/>
      <c r="BL71" s="22"/>
      <c r="BM71" s="22"/>
      <c r="BN71" s="22"/>
      <c r="BO71" s="22"/>
      <c r="BP71" s="22"/>
      <c r="BQ71" s="22"/>
      <c r="BR71" s="22"/>
      <c r="BS71" s="22"/>
      <c r="BT71" s="22"/>
      <c r="BU71" s="22"/>
      <c r="BV71" s="22"/>
      <c r="BW71" s="22"/>
      <c r="BX71" s="22"/>
      <c r="BY71" s="22"/>
      <c r="BZ71" s="22"/>
      <c r="CA71" s="22"/>
      <c r="CB71" s="22"/>
      <c r="CC71" s="22"/>
      <c r="CD71" s="22"/>
      <c r="CE71" s="22"/>
      <c r="CF71" s="22"/>
      <c r="CG71" s="22"/>
      <c r="CH71" s="22"/>
      <c r="CI71" s="22"/>
      <c r="CJ71" s="22"/>
      <c r="CK71" s="22"/>
      <c r="CL71" s="22"/>
      <c r="CM71" s="22"/>
      <c r="CN71" s="22"/>
      <c r="CO71" s="22"/>
      <c r="CP71" s="22"/>
      <c r="CQ71" s="22"/>
      <c r="CR71" s="22"/>
      <c r="CS71" s="22"/>
      <c r="CT71" s="22"/>
      <c r="CU71" s="22"/>
      <c r="CV71" s="22"/>
      <c r="CW71" s="22"/>
      <c r="CX71" s="22"/>
      <c r="CY71" s="22"/>
      <c r="CZ71" s="22"/>
      <c r="DA71" s="22"/>
      <c r="DB71" s="22"/>
      <c r="DC71" s="22"/>
      <c r="DD71" s="22"/>
      <c r="DE71" s="22"/>
      <c r="DF71" s="22"/>
      <c r="DG71" s="22"/>
      <c r="DH71" s="22"/>
      <c r="DI71" s="22"/>
      <c r="DJ71" s="22"/>
      <c r="DK71" s="22"/>
      <c r="DL71" s="22"/>
      <c r="DM71" s="22"/>
      <c r="DN71" s="22"/>
      <c r="DO71" s="22"/>
      <c r="DP71" s="22"/>
      <c r="DQ71" s="22"/>
      <c r="DR71" s="22"/>
      <c r="DS71" s="22"/>
      <c r="DT71" s="22"/>
      <c r="DU71" s="22"/>
      <c r="DV71" s="22"/>
      <c r="DW71" s="22"/>
      <c r="DX71" s="22"/>
      <c r="DY71" s="22"/>
      <c r="DZ71" s="22"/>
      <c r="EA71" s="22"/>
      <c r="EB71" s="22"/>
      <c r="EC71" s="22"/>
      <c r="ED71" s="22"/>
      <c r="EE71" s="22"/>
      <c r="EF71" s="22"/>
      <c r="EG71" s="22"/>
      <c r="EH71" s="22"/>
      <c r="EI71" s="22"/>
      <c r="EJ71" s="22"/>
      <c r="EK71" s="22"/>
      <c r="EL71" s="22"/>
      <c r="EM71" s="22"/>
      <c r="EN71" s="22"/>
      <c r="EO71" s="22"/>
      <c r="EP71" s="22"/>
      <c r="EQ71" s="22"/>
      <c r="ER71" s="22"/>
      <c r="ES71" s="22"/>
      <c r="ET71" s="22"/>
      <c r="EU71" s="22"/>
      <c r="EV71" s="22"/>
      <c r="EW71" s="22"/>
      <c r="EX71" s="22"/>
      <c r="EY71" s="22"/>
      <c r="EZ71" s="22"/>
      <c r="FA71" s="22"/>
      <c r="FB71" s="22"/>
      <c r="FC71" s="22"/>
      <c r="FD71" s="22"/>
      <c r="FE71" s="22"/>
      <c r="FF71" s="22"/>
      <c r="FG71" s="22"/>
      <c r="FH71" s="22"/>
      <c r="FI71" s="22"/>
      <c r="FJ71" s="22"/>
      <c r="FK71" s="22"/>
      <c r="FL71" s="22"/>
      <c r="FM71" s="22"/>
      <c r="FN71" s="22"/>
      <c r="FO71" s="22"/>
      <c r="FP71" s="22"/>
      <c r="FQ71" s="22"/>
      <c r="FR71" s="22"/>
      <c r="FS71" s="22"/>
      <c r="FT71" s="22"/>
      <c r="FU71" s="22"/>
      <c r="FV71" s="22"/>
      <c r="FW71" s="22"/>
      <c r="FX71" s="22"/>
      <c r="FY71" s="22"/>
      <c r="FZ71" s="22"/>
    </row>
    <row r="72" spans="2:182" x14ac:dyDescent="0.2">
      <c r="B72" s="22"/>
      <c r="C72" s="22"/>
      <c r="D72" s="22"/>
      <c r="E72" s="22"/>
      <c r="F72" s="22"/>
      <c r="G72" s="22"/>
      <c r="H72" s="22"/>
      <c r="I72" s="22"/>
      <c r="J72" s="22"/>
      <c r="K72" s="22"/>
      <c r="L72" s="22"/>
      <c r="M72" s="22"/>
      <c r="N72" s="22"/>
      <c r="O72" s="22"/>
      <c r="P72" s="22"/>
      <c r="Q72" s="22"/>
      <c r="R72" s="22"/>
      <c r="S72" s="22"/>
      <c r="T72" s="22"/>
      <c r="U72" s="22"/>
      <c r="V72" s="22"/>
      <c r="W72" s="22"/>
      <c r="X72" s="22"/>
      <c r="Y72" s="22"/>
      <c r="Z72" s="22"/>
      <c r="AA72" s="22"/>
      <c r="AB72" s="22"/>
      <c r="AC72" s="22"/>
      <c r="AD72" s="22"/>
      <c r="AE72" s="22"/>
      <c r="AF72" s="22"/>
      <c r="AG72" s="22"/>
      <c r="AH72" s="22"/>
      <c r="AI72" s="22"/>
      <c r="AJ72" s="22"/>
      <c r="AK72" s="22"/>
      <c r="AL72" s="22"/>
      <c r="AM72" s="22"/>
      <c r="AN72" s="22"/>
      <c r="AO72" s="22"/>
      <c r="AP72" s="22"/>
      <c r="AQ72" s="22"/>
      <c r="AR72" s="22"/>
      <c r="AS72" s="22"/>
      <c r="AT72" s="22"/>
      <c r="AU72" s="22"/>
      <c r="AV72" s="22"/>
      <c r="AW72" s="22"/>
      <c r="AX72" s="22"/>
      <c r="AY72" s="22"/>
      <c r="AZ72" s="22"/>
      <c r="BA72" s="22"/>
      <c r="BB72" s="22"/>
      <c r="BC72" s="22"/>
      <c r="BD72" s="22"/>
      <c r="BE72" s="22"/>
      <c r="BF72" s="22"/>
      <c r="BG72" s="22"/>
      <c r="BH72" s="22"/>
      <c r="BI72" s="22"/>
      <c r="BJ72" s="22"/>
      <c r="BK72" s="22"/>
      <c r="BL72" s="22"/>
      <c r="BM72" s="22"/>
      <c r="BN72" s="22"/>
      <c r="BO72" s="22"/>
      <c r="BP72" s="22"/>
      <c r="BQ72" s="22"/>
      <c r="BR72" s="22"/>
      <c r="BS72" s="22"/>
      <c r="BT72" s="22"/>
      <c r="BU72" s="22"/>
      <c r="BV72" s="22"/>
      <c r="BW72" s="22"/>
      <c r="BX72" s="22"/>
      <c r="BY72" s="22"/>
      <c r="BZ72" s="22"/>
      <c r="CA72" s="22"/>
      <c r="CB72" s="22"/>
      <c r="CC72" s="22"/>
      <c r="CD72" s="22"/>
      <c r="CE72" s="22"/>
      <c r="CF72" s="22"/>
      <c r="CG72" s="22"/>
      <c r="CH72" s="22"/>
      <c r="CI72" s="22"/>
      <c r="CJ72" s="22"/>
      <c r="CK72" s="22"/>
      <c r="CL72" s="22"/>
      <c r="CM72" s="22"/>
      <c r="CN72" s="22"/>
      <c r="CO72" s="22"/>
      <c r="CP72" s="22"/>
      <c r="CQ72" s="22"/>
      <c r="CR72" s="22"/>
      <c r="CS72" s="22"/>
      <c r="CT72" s="22"/>
      <c r="CU72" s="22"/>
      <c r="CV72" s="22"/>
      <c r="CW72" s="22"/>
      <c r="CX72" s="22"/>
      <c r="CY72" s="22"/>
      <c r="CZ72" s="22"/>
      <c r="DA72" s="22"/>
      <c r="DB72" s="22"/>
      <c r="DC72" s="22"/>
      <c r="DD72" s="22"/>
      <c r="DE72" s="22"/>
      <c r="DF72" s="22"/>
      <c r="DG72" s="22"/>
      <c r="DH72" s="22"/>
      <c r="DI72" s="22"/>
      <c r="DJ72" s="22"/>
      <c r="DK72" s="22"/>
      <c r="DL72" s="22"/>
      <c r="DM72" s="22"/>
      <c r="DN72" s="22"/>
      <c r="DO72" s="22"/>
      <c r="DP72" s="22"/>
      <c r="DQ72" s="22"/>
      <c r="DR72" s="22"/>
      <c r="DS72" s="22"/>
      <c r="DT72" s="22"/>
      <c r="DU72" s="22"/>
      <c r="DV72" s="22"/>
      <c r="DW72" s="22"/>
      <c r="DX72" s="22"/>
      <c r="DY72" s="22"/>
      <c r="DZ72" s="22"/>
      <c r="EA72" s="22"/>
      <c r="EB72" s="22"/>
      <c r="EC72" s="22"/>
      <c r="ED72" s="22"/>
      <c r="EE72" s="22"/>
      <c r="EF72" s="22"/>
      <c r="EG72" s="22"/>
      <c r="EH72" s="22"/>
      <c r="EI72" s="22"/>
      <c r="EJ72" s="22"/>
      <c r="EK72" s="22"/>
      <c r="EL72" s="22"/>
      <c r="EM72" s="22"/>
      <c r="EN72" s="22"/>
      <c r="EO72" s="22"/>
      <c r="EP72" s="22"/>
      <c r="EQ72" s="22"/>
      <c r="ER72" s="22"/>
      <c r="ES72" s="22"/>
      <c r="ET72" s="22"/>
      <c r="EU72" s="22"/>
      <c r="EV72" s="22"/>
      <c r="EW72" s="22"/>
      <c r="EX72" s="22"/>
      <c r="EY72" s="22"/>
      <c r="EZ72" s="22"/>
      <c r="FA72" s="22"/>
      <c r="FB72" s="22"/>
      <c r="FC72" s="22"/>
      <c r="FD72" s="22"/>
      <c r="FE72" s="22"/>
      <c r="FF72" s="22"/>
      <c r="FG72" s="22"/>
      <c r="FH72" s="22"/>
      <c r="FI72" s="22"/>
      <c r="FJ72" s="22"/>
      <c r="FK72" s="22"/>
      <c r="FL72" s="22"/>
      <c r="FM72" s="22"/>
      <c r="FN72" s="22"/>
      <c r="FO72" s="22"/>
      <c r="FP72" s="22"/>
      <c r="FQ72" s="22"/>
      <c r="FR72" s="22"/>
      <c r="FS72" s="22"/>
      <c r="FT72" s="22"/>
      <c r="FU72" s="22"/>
      <c r="FV72" s="22"/>
      <c r="FW72" s="22"/>
      <c r="FX72" s="22"/>
      <c r="FY72" s="22"/>
      <c r="FZ72" s="22"/>
    </row>
    <row r="73" spans="2:182" x14ac:dyDescent="0.2">
      <c r="B73" s="22"/>
      <c r="C73" s="22"/>
      <c r="D73" s="22"/>
      <c r="E73" s="22"/>
      <c r="F73" s="22"/>
      <c r="G73" s="22"/>
      <c r="H73" s="22"/>
      <c r="I73" s="22"/>
      <c r="J73" s="22"/>
      <c r="K73" s="22"/>
      <c r="L73" s="22"/>
      <c r="M73" s="22"/>
      <c r="N73" s="22"/>
      <c r="O73" s="22"/>
      <c r="P73" s="22"/>
      <c r="Q73" s="22"/>
      <c r="R73" s="22"/>
      <c r="S73" s="22"/>
      <c r="T73" s="22"/>
      <c r="U73" s="22"/>
      <c r="V73" s="22"/>
      <c r="W73" s="22"/>
      <c r="X73" s="22"/>
      <c r="Y73" s="22"/>
      <c r="Z73" s="22"/>
      <c r="AA73" s="22"/>
      <c r="AB73" s="22"/>
      <c r="AC73" s="22"/>
      <c r="AD73" s="22"/>
      <c r="AE73" s="22"/>
      <c r="AF73" s="22"/>
      <c r="AG73" s="22"/>
      <c r="AH73" s="22"/>
      <c r="AI73" s="22"/>
      <c r="AJ73" s="22"/>
      <c r="AK73" s="22"/>
      <c r="AL73" s="22"/>
      <c r="AM73" s="22"/>
      <c r="AN73" s="22"/>
      <c r="AO73" s="22"/>
      <c r="AP73" s="22"/>
      <c r="AQ73" s="22"/>
      <c r="AR73" s="22"/>
      <c r="AS73" s="22"/>
      <c r="AT73" s="22"/>
      <c r="AU73" s="22"/>
      <c r="AV73" s="22"/>
      <c r="AW73" s="22"/>
      <c r="AX73" s="22"/>
      <c r="AY73" s="22"/>
      <c r="AZ73" s="22"/>
      <c r="BA73" s="22"/>
      <c r="BB73" s="22"/>
      <c r="BC73" s="22"/>
      <c r="BD73" s="22"/>
      <c r="BE73" s="22"/>
      <c r="BF73" s="22"/>
      <c r="BG73" s="22"/>
      <c r="BH73" s="22"/>
      <c r="BI73" s="22"/>
      <c r="BJ73" s="22"/>
      <c r="BK73" s="22"/>
      <c r="BL73" s="22"/>
      <c r="BM73" s="22"/>
      <c r="BN73" s="22"/>
      <c r="BO73" s="22"/>
      <c r="BP73" s="22"/>
      <c r="BQ73" s="22"/>
      <c r="BR73" s="22"/>
      <c r="BS73" s="22"/>
      <c r="BT73" s="22"/>
      <c r="BU73" s="22"/>
      <c r="BV73" s="22"/>
      <c r="BW73" s="22"/>
      <c r="BX73" s="22"/>
      <c r="BY73" s="22"/>
      <c r="BZ73" s="22"/>
      <c r="CA73" s="22"/>
      <c r="CB73" s="22"/>
      <c r="CC73" s="22"/>
      <c r="CD73" s="22"/>
      <c r="CE73" s="22"/>
      <c r="CF73" s="22"/>
      <c r="CG73" s="22"/>
      <c r="CH73" s="22"/>
      <c r="CI73" s="22"/>
      <c r="CJ73" s="22"/>
      <c r="CK73" s="22"/>
      <c r="CL73" s="22"/>
      <c r="CM73" s="22"/>
      <c r="CN73" s="22"/>
      <c r="CO73" s="22"/>
      <c r="CP73" s="22"/>
      <c r="CQ73" s="22"/>
      <c r="CR73" s="22"/>
      <c r="CS73" s="22"/>
      <c r="CT73" s="22"/>
      <c r="CU73" s="22"/>
      <c r="CV73" s="22"/>
      <c r="CW73" s="22"/>
      <c r="CX73" s="22"/>
      <c r="CY73" s="22"/>
      <c r="CZ73" s="22"/>
      <c r="DA73" s="22"/>
      <c r="DB73" s="22"/>
      <c r="DC73" s="22"/>
      <c r="DD73" s="22"/>
      <c r="DE73" s="22"/>
      <c r="DF73" s="22"/>
      <c r="DG73" s="22"/>
      <c r="DH73" s="22"/>
      <c r="DI73" s="22"/>
      <c r="DJ73" s="22"/>
      <c r="DK73" s="22"/>
      <c r="DL73" s="22"/>
      <c r="DM73" s="22"/>
      <c r="DN73" s="22"/>
      <c r="DO73" s="22"/>
      <c r="DP73" s="22"/>
      <c r="DQ73" s="22"/>
      <c r="DR73" s="22"/>
      <c r="DS73" s="22"/>
      <c r="DT73" s="22"/>
      <c r="DU73" s="22"/>
      <c r="DV73" s="22"/>
      <c r="DW73" s="22"/>
      <c r="DX73" s="22"/>
      <c r="DY73" s="22"/>
      <c r="DZ73" s="22"/>
      <c r="EA73" s="22"/>
      <c r="EB73" s="22"/>
      <c r="EC73" s="22"/>
      <c r="ED73" s="22"/>
      <c r="EE73" s="22"/>
      <c r="EF73" s="22"/>
      <c r="EG73" s="22"/>
      <c r="EH73" s="22"/>
      <c r="EI73" s="22"/>
      <c r="EJ73" s="22"/>
      <c r="EK73" s="22"/>
      <c r="EL73" s="22"/>
      <c r="EM73" s="22"/>
      <c r="EN73" s="22"/>
      <c r="EO73" s="22"/>
      <c r="EP73" s="22"/>
      <c r="EQ73" s="22"/>
      <c r="ER73" s="22"/>
      <c r="ES73" s="22"/>
      <c r="ET73" s="22"/>
      <c r="EU73" s="22"/>
      <c r="EV73" s="22"/>
      <c r="EW73" s="22"/>
      <c r="EX73" s="22"/>
      <c r="EY73" s="22"/>
      <c r="EZ73" s="22"/>
      <c r="FA73" s="22"/>
      <c r="FB73" s="22"/>
      <c r="FC73" s="22"/>
      <c r="FD73" s="22"/>
      <c r="FE73" s="22"/>
      <c r="FF73" s="22"/>
      <c r="FG73" s="22"/>
      <c r="FH73" s="22"/>
      <c r="FI73" s="22"/>
      <c r="FJ73" s="22"/>
      <c r="FK73" s="22"/>
      <c r="FL73" s="22"/>
      <c r="FM73" s="22"/>
      <c r="FN73" s="22"/>
      <c r="FO73" s="22"/>
      <c r="FP73" s="22"/>
      <c r="FQ73" s="22"/>
      <c r="FR73" s="22"/>
      <c r="FS73" s="22"/>
      <c r="FT73" s="22"/>
      <c r="FU73" s="22"/>
      <c r="FV73" s="22"/>
      <c r="FW73" s="22"/>
      <c r="FX73" s="22"/>
      <c r="FY73" s="22"/>
      <c r="FZ73" s="22"/>
    </row>
    <row r="74" spans="2:182" x14ac:dyDescent="0.2">
      <c r="B74" s="22"/>
      <c r="C74" s="22"/>
      <c r="D74" s="22"/>
      <c r="E74" s="22"/>
      <c r="F74" s="22"/>
      <c r="G74" s="22"/>
      <c r="H74" s="22"/>
      <c r="I74" s="22"/>
      <c r="J74" s="22"/>
      <c r="K74" s="22"/>
      <c r="L74" s="22"/>
      <c r="M74" s="22"/>
      <c r="N74" s="22"/>
      <c r="O74" s="22"/>
      <c r="P74" s="22"/>
      <c r="Q74" s="22"/>
      <c r="R74" s="22"/>
      <c r="S74" s="22"/>
      <c r="T74" s="22"/>
      <c r="U74" s="22"/>
      <c r="V74" s="22"/>
      <c r="W74" s="22"/>
      <c r="X74" s="22"/>
      <c r="Y74" s="22"/>
      <c r="Z74" s="22"/>
      <c r="AA74" s="22"/>
      <c r="AB74" s="22"/>
      <c r="AC74" s="22"/>
      <c r="AD74" s="22"/>
      <c r="AE74" s="22"/>
      <c r="AF74" s="22"/>
      <c r="AG74" s="22"/>
      <c r="AH74" s="22"/>
      <c r="AI74" s="22"/>
      <c r="AJ74" s="22"/>
      <c r="AK74" s="22"/>
      <c r="AL74" s="22"/>
      <c r="AM74" s="22"/>
      <c r="AN74" s="22"/>
      <c r="AO74" s="22"/>
      <c r="AP74" s="22"/>
      <c r="AQ74" s="22"/>
      <c r="AR74" s="22"/>
      <c r="AS74" s="22"/>
      <c r="AT74" s="22"/>
      <c r="AU74" s="22"/>
      <c r="AV74" s="22"/>
      <c r="AW74" s="22"/>
      <c r="AX74" s="22"/>
      <c r="AY74" s="22"/>
      <c r="AZ74" s="22"/>
      <c r="BA74" s="22"/>
      <c r="BB74" s="22"/>
      <c r="BC74" s="22"/>
      <c r="BD74" s="22"/>
      <c r="BE74" s="22"/>
      <c r="BF74" s="22"/>
      <c r="BG74" s="22"/>
      <c r="BH74" s="22"/>
      <c r="BI74" s="22"/>
      <c r="BJ74" s="22"/>
      <c r="BK74" s="22"/>
      <c r="BL74" s="22"/>
      <c r="BM74" s="22"/>
      <c r="BN74" s="22"/>
      <c r="BO74" s="22"/>
      <c r="BP74" s="22"/>
      <c r="BQ74" s="22"/>
      <c r="BR74" s="22"/>
      <c r="BS74" s="22"/>
      <c r="BT74" s="22"/>
      <c r="BU74" s="22"/>
      <c r="BV74" s="22"/>
      <c r="BW74" s="22"/>
      <c r="BX74" s="22"/>
      <c r="BY74" s="22"/>
      <c r="BZ74" s="22"/>
      <c r="CA74" s="22"/>
      <c r="CB74" s="22"/>
      <c r="CC74" s="22"/>
      <c r="CD74" s="22"/>
      <c r="CE74" s="22"/>
      <c r="CF74" s="22"/>
      <c r="CG74" s="22"/>
      <c r="CH74" s="22"/>
      <c r="CI74" s="22"/>
      <c r="CJ74" s="22"/>
      <c r="CK74" s="22"/>
      <c r="CL74" s="22"/>
      <c r="CM74" s="22"/>
      <c r="CN74" s="22"/>
      <c r="CO74" s="22"/>
      <c r="CP74" s="22"/>
      <c r="CQ74" s="22"/>
      <c r="CR74" s="22"/>
      <c r="CS74" s="22"/>
      <c r="CT74" s="22"/>
      <c r="CU74" s="22"/>
      <c r="CV74" s="22"/>
      <c r="CW74" s="22"/>
      <c r="CX74" s="22"/>
      <c r="CY74" s="22"/>
      <c r="CZ74" s="22"/>
      <c r="DA74" s="22"/>
      <c r="DB74" s="22"/>
      <c r="DC74" s="22"/>
      <c r="DD74" s="22"/>
      <c r="DE74" s="22"/>
      <c r="DF74" s="22"/>
      <c r="DG74" s="22"/>
      <c r="DH74" s="22"/>
      <c r="DI74" s="22"/>
      <c r="DJ74" s="22"/>
      <c r="DK74" s="22"/>
      <c r="DL74" s="22"/>
      <c r="DM74" s="22"/>
      <c r="DN74" s="22"/>
      <c r="DO74" s="22"/>
      <c r="DP74" s="22"/>
      <c r="DQ74" s="22"/>
      <c r="DR74" s="22"/>
      <c r="DS74" s="22"/>
      <c r="DT74" s="22"/>
      <c r="DU74" s="22"/>
      <c r="DV74" s="22"/>
      <c r="DW74" s="22"/>
      <c r="DX74" s="22"/>
      <c r="DY74" s="22"/>
      <c r="DZ74" s="22"/>
      <c r="EA74" s="22"/>
      <c r="EB74" s="22"/>
      <c r="EC74" s="22"/>
      <c r="ED74" s="22"/>
      <c r="EE74" s="22"/>
      <c r="EF74" s="22"/>
      <c r="EG74" s="22"/>
      <c r="EH74" s="22"/>
      <c r="EI74" s="22"/>
      <c r="EJ74" s="22"/>
      <c r="EK74" s="22"/>
      <c r="EL74" s="22"/>
      <c r="EM74" s="22"/>
      <c r="EN74" s="22"/>
      <c r="EO74" s="22"/>
      <c r="EP74" s="22"/>
      <c r="EQ74" s="22"/>
      <c r="ER74" s="22"/>
      <c r="ES74" s="22"/>
      <c r="ET74" s="22"/>
      <c r="EU74" s="22"/>
      <c r="EV74" s="22"/>
      <c r="EW74" s="22"/>
      <c r="EX74" s="22"/>
      <c r="EY74" s="22"/>
      <c r="EZ74" s="22"/>
      <c r="FA74" s="22"/>
      <c r="FB74" s="22"/>
      <c r="FC74" s="22"/>
      <c r="FD74" s="22"/>
      <c r="FE74" s="22"/>
      <c r="FF74" s="22"/>
      <c r="FG74" s="22"/>
      <c r="FH74" s="22"/>
      <c r="FI74" s="22"/>
      <c r="FJ74" s="22"/>
      <c r="FK74" s="22"/>
      <c r="FL74" s="22"/>
      <c r="FM74" s="22"/>
      <c r="FN74" s="22"/>
      <c r="FO74" s="22"/>
      <c r="FP74" s="22"/>
      <c r="FQ74" s="22"/>
      <c r="FR74" s="22"/>
      <c r="FS74" s="22"/>
      <c r="FT74" s="22"/>
      <c r="FU74" s="22"/>
      <c r="FV74" s="22"/>
      <c r="FW74" s="22"/>
      <c r="FX74" s="22"/>
      <c r="FY74" s="22"/>
      <c r="FZ74" s="22"/>
    </row>
    <row r="75" spans="2:182" x14ac:dyDescent="0.2">
      <c r="B75" s="22"/>
      <c r="C75" s="22"/>
      <c r="D75" s="22"/>
      <c r="E75" s="22"/>
      <c r="F75" s="22"/>
      <c r="G75" s="22"/>
      <c r="H75" s="22"/>
      <c r="I75" s="22"/>
      <c r="J75" s="22"/>
      <c r="K75" s="22"/>
      <c r="L75" s="22"/>
      <c r="M75" s="22"/>
      <c r="N75" s="22"/>
      <c r="O75" s="22"/>
      <c r="P75" s="22"/>
      <c r="Q75" s="22"/>
      <c r="R75" s="22"/>
      <c r="S75" s="22"/>
      <c r="T75" s="22"/>
      <c r="U75" s="22"/>
      <c r="V75" s="22"/>
      <c r="W75" s="22"/>
      <c r="X75" s="22"/>
      <c r="Y75" s="22"/>
      <c r="Z75" s="22"/>
      <c r="AA75" s="22"/>
      <c r="AB75" s="22"/>
      <c r="AC75" s="22"/>
      <c r="AD75" s="22"/>
      <c r="AE75" s="22"/>
      <c r="AF75" s="22"/>
      <c r="AG75" s="22"/>
      <c r="AH75" s="22"/>
      <c r="AI75" s="22"/>
      <c r="AJ75" s="22"/>
      <c r="AK75" s="22"/>
      <c r="AL75" s="22"/>
      <c r="AM75" s="22"/>
      <c r="AN75" s="22"/>
      <c r="AO75" s="22"/>
      <c r="AP75" s="22"/>
      <c r="AQ75" s="22"/>
      <c r="AR75" s="22"/>
      <c r="AS75" s="22"/>
      <c r="AT75" s="22"/>
      <c r="AU75" s="22"/>
      <c r="AV75" s="22"/>
      <c r="AW75" s="22"/>
      <c r="AX75" s="22"/>
      <c r="AY75" s="22"/>
      <c r="AZ75" s="22"/>
      <c r="BA75" s="22"/>
      <c r="BB75" s="22"/>
      <c r="BC75" s="22"/>
      <c r="BD75" s="22"/>
      <c r="BE75" s="22"/>
      <c r="BF75" s="22"/>
      <c r="BG75" s="22"/>
      <c r="BH75" s="22"/>
      <c r="BI75" s="22"/>
      <c r="BJ75" s="22"/>
      <c r="BK75" s="22"/>
      <c r="BL75" s="22"/>
      <c r="BM75" s="22"/>
      <c r="BN75" s="22"/>
      <c r="BO75" s="22"/>
      <c r="BP75" s="22"/>
      <c r="BQ75" s="22"/>
      <c r="BR75" s="22"/>
      <c r="BS75" s="22"/>
      <c r="BT75" s="22"/>
      <c r="BU75" s="22"/>
      <c r="BV75" s="22"/>
      <c r="BW75" s="22"/>
      <c r="BX75" s="22"/>
      <c r="BY75" s="22"/>
      <c r="BZ75" s="22"/>
      <c r="CA75" s="22"/>
      <c r="CB75" s="22"/>
      <c r="CC75" s="22"/>
      <c r="CD75" s="22"/>
      <c r="CE75" s="22"/>
      <c r="CF75" s="22"/>
      <c r="CG75" s="22"/>
      <c r="CH75" s="22"/>
      <c r="CI75" s="22"/>
      <c r="CJ75" s="22"/>
      <c r="CK75" s="22"/>
      <c r="CL75" s="22"/>
      <c r="CM75" s="22"/>
      <c r="CN75" s="22"/>
      <c r="CO75" s="22"/>
      <c r="CP75" s="22"/>
      <c r="CQ75" s="22"/>
      <c r="CR75" s="22"/>
      <c r="CS75" s="22"/>
      <c r="CT75" s="22"/>
      <c r="CU75" s="22"/>
      <c r="CV75" s="22"/>
      <c r="CW75" s="22"/>
      <c r="CX75" s="22"/>
      <c r="CY75" s="22"/>
      <c r="CZ75" s="22"/>
      <c r="DA75" s="22"/>
      <c r="DB75" s="22"/>
      <c r="DC75" s="22"/>
      <c r="DD75" s="22"/>
      <c r="DE75" s="22"/>
      <c r="DF75" s="22"/>
      <c r="DG75" s="22"/>
      <c r="DH75" s="22"/>
      <c r="DI75" s="22"/>
      <c r="DJ75" s="22"/>
      <c r="DK75" s="22"/>
      <c r="DL75" s="22"/>
      <c r="DM75" s="22"/>
      <c r="DN75" s="22"/>
      <c r="DO75" s="22"/>
      <c r="DP75" s="22"/>
      <c r="DQ75" s="22"/>
      <c r="DR75" s="22"/>
      <c r="DS75" s="22"/>
      <c r="DT75" s="22"/>
      <c r="DU75" s="22"/>
      <c r="DV75" s="22"/>
      <c r="DW75" s="22"/>
      <c r="DX75" s="22"/>
      <c r="DY75" s="22"/>
      <c r="DZ75" s="22"/>
      <c r="EA75" s="22"/>
      <c r="EB75" s="22"/>
      <c r="EC75" s="22"/>
      <c r="ED75" s="22"/>
      <c r="EE75" s="22"/>
      <c r="EF75" s="22"/>
      <c r="EG75" s="22"/>
      <c r="EH75" s="22"/>
      <c r="EI75" s="22"/>
      <c r="EJ75" s="22"/>
      <c r="EK75" s="22"/>
      <c r="EL75" s="22"/>
      <c r="EM75" s="22"/>
      <c r="EN75" s="22"/>
      <c r="EO75" s="22"/>
      <c r="EP75" s="22"/>
      <c r="EQ75" s="22"/>
      <c r="ER75" s="22"/>
      <c r="ES75" s="22"/>
      <c r="ET75" s="22"/>
      <c r="EU75" s="22"/>
      <c r="EV75" s="22"/>
      <c r="EW75" s="22"/>
      <c r="EX75" s="22"/>
      <c r="EY75" s="22"/>
      <c r="EZ75" s="22"/>
      <c r="FA75" s="22"/>
      <c r="FB75" s="22"/>
      <c r="FC75" s="22"/>
      <c r="FD75" s="22"/>
      <c r="FE75" s="22"/>
      <c r="FF75" s="22"/>
      <c r="FG75" s="22"/>
      <c r="FH75" s="22"/>
      <c r="FI75" s="22"/>
      <c r="FJ75" s="22"/>
      <c r="FK75" s="22"/>
      <c r="FL75" s="22"/>
      <c r="FM75" s="22"/>
      <c r="FN75" s="22"/>
      <c r="FO75" s="22"/>
      <c r="FP75" s="22"/>
      <c r="FQ75" s="22"/>
      <c r="FR75" s="22"/>
      <c r="FS75" s="22"/>
      <c r="FT75" s="22"/>
      <c r="FU75" s="22"/>
      <c r="FV75" s="22"/>
      <c r="FW75" s="22"/>
      <c r="FX75" s="22"/>
      <c r="FY75" s="22"/>
      <c r="FZ75" s="22"/>
    </row>
    <row r="76" spans="2:182" x14ac:dyDescent="0.2">
      <c r="B76" s="22"/>
      <c r="C76" s="22"/>
      <c r="D76" s="22"/>
      <c r="E76" s="22"/>
      <c r="F76" s="22"/>
      <c r="G76" s="22"/>
      <c r="H76" s="22"/>
      <c r="I76" s="22"/>
      <c r="J76" s="22"/>
      <c r="K76" s="22"/>
      <c r="L76" s="22"/>
      <c r="M76" s="22"/>
      <c r="N76" s="22"/>
      <c r="O76" s="22"/>
      <c r="P76" s="22"/>
      <c r="Q76" s="22"/>
      <c r="R76" s="22"/>
      <c r="S76" s="22"/>
      <c r="T76" s="22"/>
      <c r="U76" s="22"/>
      <c r="V76" s="22"/>
      <c r="W76" s="22"/>
      <c r="X76" s="22"/>
      <c r="Y76" s="22"/>
      <c r="Z76" s="22"/>
      <c r="AA76" s="22"/>
      <c r="AB76" s="22"/>
      <c r="AC76" s="22"/>
      <c r="AD76" s="22"/>
      <c r="AE76" s="22"/>
      <c r="AF76" s="22"/>
      <c r="AG76" s="22"/>
      <c r="AH76" s="22"/>
      <c r="AI76" s="22"/>
      <c r="AJ76" s="22"/>
      <c r="AK76" s="22"/>
      <c r="AL76" s="22"/>
      <c r="AM76" s="22"/>
      <c r="AN76" s="22"/>
      <c r="AO76" s="22"/>
      <c r="AP76" s="22"/>
      <c r="AQ76" s="22"/>
      <c r="AR76" s="22"/>
      <c r="AS76" s="22"/>
      <c r="AT76" s="22"/>
      <c r="AU76" s="22"/>
      <c r="AV76" s="22"/>
      <c r="AW76" s="22"/>
      <c r="AX76" s="22"/>
      <c r="AY76" s="22"/>
      <c r="AZ76" s="22"/>
      <c r="BA76" s="22"/>
      <c r="BB76" s="22"/>
      <c r="BC76" s="22"/>
      <c r="BD76" s="22"/>
      <c r="BE76" s="22"/>
      <c r="BF76" s="22"/>
      <c r="BG76" s="22"/>
      <c r="BH76" s="22"/>
      <c r="BI76" s="22"/>
      <c r="BJ76" s="22"/>
      <c r="BK76" s="22"/>
      <c r="BL76" s="22"/>
      <c r="BM76" s="22"/>
      <c r="BN76" s="22"/>
      <c r="BO76" s="22"/>
      <c r="BP76" s="22"/>
      <c r="BQ76" s="22"/>
      <c r="BR76" s="22"/>
      <c r="BS76" s="22"/>
      <c r="BT76" s="22"/>
      <c r="BU76" s="22"/>
      <c r="BV76" s="22"/>
      <c r="BW76" s="22"/>
      <c r="BX76" s="22"/>
      <c r="BY76" s="22"/>
      <c r="BZ76" s="22"/>
      <c r="CA76" s="22"/>
      <c r="CB76" s="22"/>
      <c r="CC76" s="22"/>
      <c r="CD76" s="22"/>
      <c r="CE76" s="22"/>
      <c r="CF76" s="22"/>
      <c r="CG76" s="22"/>
      <c r="CH76" s="22"/>
      <c r="CI76" s="22"/>
      <c r="CJ76" s="22"/>
      <c r="CK76" s="22"/>
      <c r="CL76" s="22"/>
      <c r="CM76" s="22"/>
      <c r="CN76" s="22"/>
      <c r="CO76" s="22"/>
      <c r="CP76" s="22"/>
      <c r="CQ76" s="22"/>
      <c r="CR76" s="22"/>
      <c r="CS76" s="22"/>
      <c r="CT76" s="22"/>
      <c r="CU76" s="22"/>
      <c r="CV76" s="22"/>
      <c r="CW76" s="22"/>
      <c r="CX76" s="22"/>
      <c r="CY76" s="22"/>
      <c r="CZ76" s="22"/>
      <c r="DA76" s="22"/>
      <c r="DB76" s="22"/>
      <c r="DC76" s="22"/>
      <c r="DD76" s="22"/>
      <c r="DE76" s="22"/>
      <c r="DF76" s="22"/>
      <c r="DG76" s="22"/>
      <c r="DH76" s="22"/>
      <c r="DI76" s="22"/>
      <c r="DJ76" s="22"/>
      <c r="DK76" s="22"/>
      <c r="DL76" s="22"/>
      <c r="DM76" s="22"/>
      <c r="DN76" s="22"/>
      <c r="DO76" s="22"/>
      <c r="DP76" s="22"/>
      <c r="DQ76" s="22"/>
      <c r="DR76" s="22"/>
      <c r="DS76" s="22"/>
      <c r="DT76" s="22"/>
      <c r="DU76" s="22"/>
      <c r="DV76" s="22"/>
      <c r="DW76" s="22"/>
      <c r="DX76" s="22"/>
      <c r="DY76" s="22"/>
      <c r="DZ76" s="22"/>
      <c r="EA76" s="22"/>
      <c r="EB76" s="22"/>
      <c r="EC76" s="22"/>
      <c r="ED76" s="22"/>
      <c r="EE76" s="22"/>
      <c r="EF76" s="22"/>
      <c r="EG76" s="22"/>
      <c r="EH76" s="22"/>
      <c r="EI76" s="22"/>
      <c r="EJ76" s="22"/>
      <c r="EK76" s="22"/>
      <c r="EL76" s="22"/>
      <c r="EM76" s="22"/>
      <c r="EN76" s="22"/>
      <c r="EO76" s="22"/>
      <c r="EP76" s="22"/>
      <c r="EQ76" s="22"/>
      <c r="ER76" s="22"/>
      <c r="ES76" s="22"/>
      <c r="ET76" s="22"/>
      <c r="EU76" s="22"/>
      <c r="EV76" s="22"/>
      <c r="EW76" s="22"/>
      <c r="EX76" s="22"/>
      <c r="EY76" s="22"/>
      <c r="EZ76" s="22"/>
      <c r="FA76" s="22"/>
      <c r="FB76" s="22"/>
      <c r="FC76" s="22"/>
      <c r="FD76" s="22"/>
      <c r="FE76" s="22"/>
      <c r="FF76" s="22"/>
      <c r="FG76" s="22"/>
      <c r="FH76" s="22"/>
      <c r="FI76" s="22"/>
      <c r="FJ76" s="22"/>
      <c r="FK76" s="22"/>
      <c r="FL76" s="22"/>
      <c r="FM76" s="22"/>
      <c r="FN76" s="22"/>
      <c r="FO76" s="22"/>
      <c r="FP76" s="22"/>
      <c r="FQ76" s="22"/>
      <c r="FR76" s="22"/>
      <c r="FS76" s="22"/>
      <c r="FT76" s="22"/>
      <c r="FU76" s="22"/>
      <c r="FV76" s="22"/>
      <c r="FW76" s="22"/>
      <c r="FX76" s="22"/>
      <c r="FY76" s="22"/>
      <c r="FZ76" s="22"/>
    </row>
    <row r="77" spans="2:182" x14ac:dyDescent="0.2">
      <c r="B77" s="22"/>
      <c r="C77" s="22"/>
      <c r="D77" s="22"/>
      <c r="E77" s="22"/>
      <c r="F77" s="22"/>
      <c r="G77" s="22"/>
      <c r="H77" s="22"/>
      <c r="I77" s="22"/>
      <c r="J77" s="22"/>
      <c r="K77" s="22"/>
      <c r="L77" s="22"/>
      <c r="M77" s="22"/>
      <c r="N77" s="22"/>
      <c r="O77" s="22"/>
      <c r="P77" s="22"/>
      <c r="Q77" s="22"/>
      <c r="R77" s="22"/>
      <c r="S77" s="22"/>
      <c r="T77" s="22"/>
      <c r="U77" s="22"/>
      <c r="V77" s="22"/>
      <c r="W77" s="22"/>
      <c r="X77" s="22"/>
      <c r="Y77" s="22"/>
      <c r="Z77" s="22"/>
      <c r="AA77" s="22"/>
      <c r="AB77" s="22"/>
      <c r="AC77" s="22"/>
      <c r="AD77" s="22"/>
      <c r="AE77" s="22"/>
      <c r="AF77" s="22"/>
      <c r="AG77" s="22"/>
      <c r="AH77" s="22"/>
      <c r="AI77" s="22"/>
      <c r="AJ77" s="22"/>
      <c r="AK77" s="22"/>
      <c r="AL77" s="22"/>
      <c r="AM77" s="22"/>
      <c r="AN77" s="22"/>
      <c r="AO77" s="22"/>
      <c r="AP77" s="22"/>
      <c r="AQ77" s="22"/>
      <c r="AR77" s="22"/>
      <c r="AS77" s="22"/>
      <c r="AT77" s="22"/>
      <c r="AU77" s="22"/>
      <c r="AV77" s="22"/>
      <c r="AW77" s="22"/>
      <c r="AX77" s="22"/>
      <c r="AY77" s="22"/>
      <c r="AZ77" s="22"/>
      <c r="BA77" s="22"/>
      <c r="BB77" s="22"/>
      <c r="BC77" s="22"/>
      <c r="BD77" s="22"/>
      <c r="BE77" s="22"/>
      <c r="BF77" s="22"/>
      <c r="BG77" s="22"/>
      <c r="BH77" s="22"/>
      <c r="BI77" s="22"/>
      <c r="BJ77" s="22"/>
      <c r="BK77" s="22"/>
      <c r="BL77" s="22"/>
      <c r="BM77" s="22"/>
      <c r="BN77" s="22"/>
      <c r="BO77" s="22"/>
      <c r="BP77" s="22"/>
      <c r="BQ77" s="22"/>
      <c r="BR77" s="22"/>
      <c r="BS77" s="22"/>
      <c r="BT77" s="22"/>
      <c r="BU77" s="22"/>
      <c r="BV77" s="22"/>
      <c r="BW77" s="22"/>
      <c r="BX77" s="22"/>
      <c r="BY77" s="22"/>
      <c r="BZ77" s="22"/>
      <c r="CA77" s="22"/>
      <c r="CB77" s="22"/>
      <c r="CC77" s="22"/>
      <c r="CD77" s="22"/>
      <c r="CE77" s="22"/>
      <c r="CF77" s="22"/>
      <c r="CG77" s="22"/>
      <c r="CH77" s="22"/>
      <c r="CI77" s="22"/>
      <c r="CJ77" s="22"/>
      <c r="CK77" s="22"/>
      <c r="CL77" s="22"/>
      <c r="CM77" s="22"/>
      <c r="CN77" s="22"/>
      <c r="CO77" s="22"/>
      <c r="CP77" s="22"/>
      <c r="CQ77" s="22"/>
      <c r="CR77" s="22"/>
      <c r="CS77" s="22"/>
      <c r="CT77" s="22"/>
      <c r="CU77" s="22"/>
      <c r="CV77" s="22"/>
      <c r="CW77" s="22"/>
      <c r="CX77" s="22"/>
      <c r="CY77" s="22"/>
      <c r="CZ77" s="22"/>
      <c r="DA77" s="22"/>
      <c r="DB77" s="22"/>
      <c r="DC77" s="22"/>
      <c r="DD77" s="22"/>
      <c r="DE77" s="22"/>
      <c r="DF77" s="22"/>
      <c r="DG77" s="22"/>
      <c r="DH77" s="22"/>
      <c r="DI77" s="22"/>
      <c r="DJ77" s="22"/>
      <c r="DK77" s="22"/>
      <c r="DL77" s="22"/>
      <c r="DM77" s="22"/>
      <c r="DN77" s="22"/>
      <c r="DO77" s="22"/>
      <c r="DP77" s="22"/>
      <c r="DQ77" s="22"/>
      <c r="DR77" s="22"/>
      <c r="DS77" s="22"/>
      <c r="DT77" s="22"/>
      <c r="DU77" s="22"/>
      <c r="DV77" s="22"/>
      <c r="DW77" s="22"/>
      <c r="DX77" s="22"/>
      <c r="DY77" s="22"/>
      <c r="DZ77" s="22"/>
      <c r="EA77" s="22"/>
      <c r="EB77" s="22"/>
      <c r="EC77" s="22"/>
      <c r="ED77" s="22"/>
      <c r="EE77" s="22"/>
      <c r="EF77" s="22"/>
      <c r="EG77" s="22"/>
      <c r="EH77" s="22"/>
      <c r="EI77" s="22"/>
      <c r="EJ77" s="22"/>
      <c r="EK77" s="22"/>
      <c r="EL77" s="22"/>
      <c r="EM77" s="22"/>
      <c r="EN77" s="22"/>
      <c r="EO77" s="22"/>
      <c r="EP77" s="22"/>
      <c r="EQ77" s="22"/>
      <c r="ER77" s="22"/>
      <c r="ES77" s="22"/>
      <c r="ET77" s="22"/>
      <c r="EU77" s="22"/>
      <c r="EV77" s="22"/>
      <c r="EW77" s="22"/>
      <c r="EX77" s="22"/>
      <c r="EY77" s="22"/>
      <c r="EZ77" s="22"/>
      <c r="FA77" s="22"/>
      <c r="FB77" s="22"/>
      <c r="FC77" s="22"/>
      <c r="FD77" s="22"/>
      <c r="FE77" s="22"/>
      <c r="FF77" s="22"/>
      <c r="FG77" s="22"/>
      <c r="FH77" s="22"/>
      <c r="FI77" s="22"/>
      <c r="FJ77" s="22"/>
      <c r="FK77" s="22"/>
      <c r="FL77" s="22"/>
      <c r="FM77" s="22"/>
      <c r="FN77" s="22"/>
      <c r="FO77" s="22"/>
      <c r="FP77" s="22"/>
      <c r="FQ77" s="22"/>
      <c r="FR77" s="22"/>
      <c r="FS77" s="22"/>
      <c r="FT77" s="22"/>
      <c r="FU77" s="22"/>
      <c r="FV77" s="22"/>
      <c r="FW77" s="22"/>
      <c r="FX77" s="22"/>
      <c r="FY77" s="22"/>
      <c r="FZ77" s="22"/>
    </row>
    <row r="78" spans="2:182" x14ac:dyDescent="0.2">
      <c r="B78" s="22"/>
      <c r="C78" s="22"/>
      <c r="D78" s="22"/>
      <c r="E78" s="22"/>
      <c r="F78" s="22"/>
      <c r="G78" s="22"/>
      <c r="H78" s="22"/>
      <c r="I78" s="22"/>
      <c r="J78" s="22"/>
      <c r="K78" s="22"/>
      <c r="L78" s="22"/>
      <c r="M78" s="22"/>
      <c r="N78" s="22"/>
      <c r="O78" s="22"/>
      <c r="P78" s="22"/>
      <c r="Q78" s="22"/>
      <c r="R78" s="22"/>
      <c r="S78" s="22"/>
      <c r="T78" s="22"/>
      <c r="U78" s="22"/>
      <c r="V78" s="22"/>
      <c r="W78" s="22"/>
      <c r="X78" s="22"/>
      <c r="Y78" s="22"/>
      <c r="Z78" s="22"/>
      <c r="AA78" s="22"/>
      <c r="AB78" s="22"/>
      <c r="AC78" s="22"/>
      <c r="AD78" s="22"/>
      <c r="AE78" s="22"/>
      <c r="AF78" s="22"/>
      <c r="AG78" s="22"/>
      <c r="AH78" s="22"/>
      <c r="AI78" s="22"/>
      <c r="AJ78" s="22"/>
      <c r="AK78" s="22"/>
      <c r="AL78" s="22"/>
      <c r="AM78" s="22"/>
      <c r="AN78" s="22"/>
      <c r="AO78" s="22"/>
      <c r="AP78" s="22"/>
      <c r="AQ78" s="22"/>
      <c r="AR78" s="22"/>
      <c r="AS78" s="22"/>
      <c r="AT78" s="22"/>
      <c r="AU78" s="22"/>
      <c r="AV78" s="22"/>
      <c r="AW78" s="22"/>
      <c r="AX78" s="22"/>
      <c r="AY78" s="22"/>
      <c r="AZ78" s="22"/>
      <c r="BA78" s="22"/>
      <c r="BB78" s="22"/>
      <c r="BC78" s="22"/>
      <c r="BD78" s="22"/>
      <c r="BE78" s="22"/>
      <c r="BF78" s="22"/>
      <c r="BG78" s="22"/>
      <c r="BH78" s="22"/>
      <c r="BI78" s="22"/>
      <c r="BJ78" s="22"/>
      <c r="BK78" s="22"/>
      <c r="BL78" s="22"/>
      <c r="BM78" s="22"/>
      <c r="BN78" s="22"/>
      <c r="BO78" s="22"/>
      <c r="BP78" s="22"/>
      <c r="BQ78" s="22"/>
      <c r="BR78" s="22"/>
      <c r="BS78" s="22"/>
      <c r="BT78" s="22"/>
      <c r="BU78" s="22"/>
      <c r="BV78" s="22"/>
      <c r="BW78" s="22"/>
      <c r="BX78" s="22"/>
      <c r="BY78" s="22"/>
      <c r="BZ78" s="22"/>
      <c r="CA78" s="22"/>
      <c r="CB78" s="22"/>
      <c r="CC78" s="22"/>
      <c r="CD78" s="22"/>
      <c r="CE78" s="22"/>
      <c r="CF78" s="22"/>
      <c r="CG78" s="22"/>
      <c r="CH78" s="22"/>
      <c r="CI78" s="22"/>
      <c r="CJ78" s="22"/>
      <c r="CK78" s="22"/>
      <c r="CL78" s="22"/>
      <c r="CM78" s="22"/>
      <c r="CN78" s="22"/>
      <c r="CO78" s="22"/>
      <c r="CP78" s="22"/>
      <c r="CQ78" s="22"/>
      <c r="CR78" s="22"/>
      <c r="CS78" s="22"/>
      <c r="CT78" s="22"/>
      <c r="CU78" s="22"/>
      <c r="CV78" s="22"/>
      <c r="CW78" s="22"/>
      <c r="CX78" s="22"/>
      <c r="CY78" s="22"/>
      <c r="CZ78" s="22"/>
      <c r="DA78" s="22"/>
      <c r="DB78" s="22"/>
      <c r="DC78" s="22"/>
      <c r="DD78" s="22"/>
      <c r="DE78" s="22"/>
      <c r="DF78" s="22"/>
      <c r="DG78" s="22"/>
      <c r="DH78" s="22"/>
      <c r="DI78" s="22"/>
      <c r="DJ78" s="22"/>
      <c r="DK78" s="22"/>
      <c r="DL78" s="22"/>
      <c r="DM78" s="22"/>
      <c r="DN78" s="22"/>
      <c r="DO78" s="22"/>
      <c r="DP78" s="22"/>
      <c r="DQ78" s="22"/>
      <c r="DR78" s="22"/>
      <c r="DS78" s="22"/>
      <c r="DT78" s="22"/>
      <c r="DU78" s="22"/>
      <c r="DV78" s="22"/>
      <c r="DW78" s="22"/>
      <c r="DX78" s="22"/>
      <c r="DY78" s="22"/>
      <c r="DZ78" s="22"/>
      <c r="EA78" s="22"/>
      <c r="EB78" s="22"/>
      <c r="EC78" s="22"/>
      <c r="ED78" s="22"/>
      <c r="EE78" s="22"/>
      <c r="EF78" s="22"/>
      <c r="EG78" s="22"/>
      <c r="EH78" s="22"/>
      <c r="EI78" s="22"/>
      <c r="EJ78" s="22"/>
      <c r="EK78" s="22"/>
      <c r="EL78" s="22"/>
      <c r="EM78" s="22"/>
      <c r="EN78" s="22"/>
      <c r="EO78" s="22"/>
      <c r="EP78" s="22"/>
      <c r="EQ78" s="22"/>
      <c r="ER78" s="22"/>
      <c r="ES78" s="22"/>
      <c r="ET78" s="22"/>
      <c r="EU78" s="22"/>
      <c r="EV78" s="22"/>
      <c r="EW78" s="22"/>
      <c r="EX78" s="22"/>
      <c r="EY78" s="22"/>
      <c r="EZ78" s="22"/>
      <c r="FA78" s="22"/>
      <c r="FB78" s="22"/>
      <c r="FC78" s="22"/>
      <c r="FD78" s="22"/>
      <c r="FE78" s="22"/>
      <c r="FF78" s="22"/>
      <c r="FG78" s="22"/>
      <c r="FH78" s="22"/>
      <c r="FI78" s="22"/>
      <c r="FJ78" s="22"/>
      <c r="FK78" s="22"/>
      <c r="FL78" s="22"/>
      <c r="FM78" s="22"/>
      <c r="FN78" s="22"/>
      <c r="FO78" s="22"/>
      <c r="FP78" s="22"/>
      <c r="FQ78" s="22"/>
      <c r="FR78" s="22"/>
      <c r="FS78" s="22"/>
      <c r="FT78" s="22"/>
      <c r="FU78" s="22"/>
      <c r="FV78" s="22"/>
      <c r="FW78" s="22"/>
      <c r="FX78" s="22"/>
      <c r="FY78" s="22"/>
      <c r="FZ78" s="22"/>
    </row>
    <row r="79" spans="2:182" x14ac:dyDescent="0.2">
      <c r="B79" s="22"/>
      <c r="C79" s="22"/>
      <c r="D79" s="22"/>
      <c r="E79" s="22"/>
      <c r="F79" s="22"/>
      <c r="G79" s="22"/>
      <c r="H79" s="22"/>
      <c r="I79" s="22"/>
      <c r="J79" s="22"/>
      <c r="K79" s="22"/>
      <c r="L79" s="22"/>
      <c r="M79" s="22"/>
      <c r="N79" s="22"/>
      <c r="O79" s="22"/>
      <c r="P79" s="22"/>
      <c r="Q79" s="22"/>
      <c r="R79" s="22"/>
      <c r="S79" s="22"/>
      <c r="T79" s="22"/>
      <c r="U79" s="22"/>
      <c r="V79" s="22"/>
      <c r="W79" s="22"/>
      <c r="X79" s="22"/>
      <c r="Y79" s="22"/>
      <c r="Z79" s="22"/>
      <c r="AA79" s="22"/>
      <c r="AB79" s="22"/>
      <c r="AC79" s="22"/>
      <c r="AD79" s="22"/>
      <c r="AE79" s="22"/>
      <c r="AF79" s="22"/>
      <c r="AG79" s="22"/>
      <c r="AH79" s="22"/>
      <c r="AI79" s="22"/>
      <c r="AJ79" s="22"/>
      <c r="AK79" s="22"/>
      <c r="AL79" s="22"/>
      <c r="AM79" s="22"/>
      <c r="AN79" s="22"/>
      <c r="AO79" s="22"/>
      <c r="AP79" s="22"/>
      <c r="AQ79" s="22"/>
      <c r="AR79" s="22"/>
      <c r="AS79" s="22"/>
      <c r="AT79" s="22"/>
      <c r="AU79" s="22"/>
      <c r="AV79" s="22"/>
      <c r="AW79" s="22"/>
      <c r="AX79" s="22"/>
      <c r="AY79" s="22"/>
      <c r="AZ79" s="22"/>
      <c r="BA79" s="22"/>
      <c r="BB79" s="22"/>
      <c r="BC79" s="22"/>
      <c r="BD79" s="22"/>
      <c r="BE79" s="22"/>
      <c r="BF79" s="22"/>
      <c r="BG79" s="22"/>
      <c r="BH79" s="22"/>
      <c r="BI79" s="22"/>
      <c r="BJ79" s="22"/>
      <c r="BK79" s="22"/>
      <c r="BL79" s="22"/>
      <c r="BM79" s="22"/>
      <c r="BN79" s="22"/>
      <c r="BO79" s="22"/>
      <c r="BP79" s="22"/>
      <c r="BQ79" s="22"/>
      <c r="BR79" s="22"/>
      <c r="BS79" s="22"/>
      <c r="BT79" s="22"/>
      <c r="BU79" s="22"/>
      <c r="BV79" s="22"/>
      <c r="BW79" s="22"/>
      <c r="BX79" s="22"/>
      <c r="BY79" s="22"/>
      <c r="BZ79" s="22"/>
      <c r="CA79" s="22"/>
      <c r="CB79" s="22"/>
      <c r="CC79" s="22"/>
      <c r="CD79" s="22"/>
      <c r="CE79" s="22"/>
      <c r="CF79" s="22"/>
      <c r="CG79" s="22"/>
      <c r="CH79" s="22"/>
      <c r="CI79" s="22"/>
      <c r="CJ79" s="22"/>
      <c r="CK79" s="22"/>
      <c r="CL79" s="22"/>
      <c r="CM79" s="22"/>
      <c r="CN79" s="22"/>
      <c r="CO79" s="22"/>
      <c r="CP79" s="22"/>
      <c r="CQ79" s="22"/>
      <c r="CR79" s="22"/>
      <c r="CS79" s="22"/>
      <c r="CT79" s="22"/>
      <c r="CU79" s="22"/>
      <c r="CV79" s="22"/>
      <c r="CW79" s="22"/>
      <c r="CX79" s="22"/>
      <c r="CY79" s="22"/>
      <c r="CZ79" s="22"/>
      <c r="DA79" s="22"/>
      <c r="DB79" s="22"/>
      <c r="DC79" s="22"/>
      <c r="DD79" s="22"/>
      <c r="DE79" s="22"/>
      <c r="DF79" s="22"/>
      <c r="DG79" s="22"/>
      <c r="DH79" s="22"/>
      <c r="DI79" s="22"/>
      <c r="DJ79" s="22"/>
      <c r="DK79" s="22"/>
      <c r="DL79" s="22"/>
      <c r="DM79" s="22"/>
      <c r="DN79" s="22"/>
      <c r="DO79" s="22"/>
      <c r="DP79" s="22"/>
      <c r="DQ79" s="22"/>
      <c r="DR79" s="22"/>
      <c r="DS79" s="22"/>
      <c r="DT79" s="22"/>
      <c r="DU79" s="22"/>
      <c r="DV79" s="22"/>
      <c r="DW79" s="22"/>
      <c r="DX79" s="22"/>
      <c r="DY79" s="22"/>
      <c r="DZ79" s="22"/>
      <c r="EA79" s="22"/>
      <c r="EB79" s="22"/>
      <c r="EC79" s="22"/>
      <c r="ED79" s="22"/>
      <c r="EE79" s="22"/>
      <c r="EF79" s="22"/>
      <c r="EG79" s="22"/>
      <c r="EH79" s="22"/>
      <c r="EI79" s="22"/>
      <c r="EJ79" s="22"/>
      <c r="EK79" s="22"/>
      <c r="EL79" s="22"/>
      <c r="EM79" s="22"/>
      <c r="EN79" s="22"/>
      <c r="EO79" s="22"/>
      <c r="EP79" s="22"/>
      <c r="EQ79" s="22"/>
      <c r="ER79" s="22"/>
      <c r="ES79" s="22"/>
      <c r="ET79" s="22"/>
      <c r="EU79" s="22"/>
      <c r="EV79" s="22"/>
      <c r="EW79" s="22"/>
      <c r="EX79" s="22"/>
      <c r="EY79" s="22"/>
      <c r="EZ79" s="22"/>
      <c r="FA79" s="22"/>
      <c r="FB79" s="22"/>
      <c r="FC79" s="22"/>
      <c r="FD79" s="22"/>
      <c r="FE79" s="22"/>
      <c r="FF79" s="22"/>
      <c r="FG79" s="22"/>
      <c r="FH79" s="22"/>
      <c r="FI79" s="22"/>
      <c r="FJ79" s="22"/>
      <c r="FK79" s="22"/>
      <c r="FL79" s="22"/>
      <c r="FM79" s="22"/>
      <c r="FN79" s="22"/>
      <c r="FO79" s="22"/>
      <c r="FP79" s="22"/>
      <c r="FQ79" s="22"/>
      <c r="FR79" s="22"/>
      <c r="FS79" s="22"/>
      <c r="FT79" s="22"/>
      <c r="FU79" s="22"/>
      <c r="FV79" s="22"/>
      <c r="FW79" s="22"/>
      <c r="FX79" s="22"/>
      <c r="FY79" s="22"/>
      <c r="FZ79" s="22"/>
    </row>
    <row r="80" spans="2:182" x14ac:dyDescent="0.2">
      <c r="B80" s="22"/>
      <c r="C80" s="22"/>
      <c r="D80" s="22"/>
      <c r="E80" s="22"/>
      <c r="F80" s="22"/>
      <c r="G80" s="22"/>
      <c r="H80" s="22"/>
      <c r="I80" s="22"/>
      <c r="J80" s="22"/>
      <c r="K80" s="22"/>
      <c r="L80" s="22"/>
      <c r="M80" s="22"/>
      <c r="N80" s="22"/>
      <c r="O80" s="22"/>
      <c r="P80" s="22"/>
      <c r="Q80" s="22"/>
      <c r="R80" s="22"/>
      <c r="S80" s="22"/>
      <c r="T80" s="22"/>
      <c r="U80" s="22"/>
      <c r="V80" s="22"/>
      <c r="W80" s="22"/>
      <c r="X80" s="22"/>
      <c r="Y80" s="22"/>
      <c r="Z80" s="22"/>
      <c r="AA80" s="22"/>
      <c r="AB80" s="22"/>
      <c r="AC80" s="22"/>
      <c r="AD80" s="22"/>
      <c r="AE80" s="22"/>
      <c r="AF80" s="22"/>
      <c r="AG80" s="22"/>
      <c r="AH80" s="22"/>
      <c r="AI80" s="22"/>
      <c r="AJ80" s="22"/>
      <c r="AK80" s="22"/>
      <c r="AL80" s="22"/>
      <c r="AM80" s="22"/>
      <c r="AN80" s="22"/>
      <c r="AO80" s="22"/>
      <c r="AP80" s="22"/>
      <c r="AQ80" s="22"/>
      <c r="AR80" s="22"/>
      <c r="AS80" s="22"/>
      <c r="AT80" s="22"/>
      <c r="AU80" s="22"/>
      <c r="AV80" s="22"/>
      <c r="AW80" s="22"/>
      <c r="AX80" s="22"/>
      <c r="AY80" s="22"/>
      <c r="AZ80" s="22"/>
      <c r="BA80" s="22"/>
      <c r="BB80" s="22"/>
      <c r="BC80" s="22"/>
      <c r="BD80" s="22"/>
      <c r="BE80" s="22"/>
      <c r="BF80" s="22"/>
      <c r="BG80" s="22"/>
      <c r="BH80" s="22"/>
      <c r="BI80" s="22"/>
      <c r="BJ80" s="22"/>
      <c r="BK80" s="22"/>
      <c r="BL80" s="22"/>
      <c r="BM80" s="22"/>
      <c r="BN80" s="22"/>
      <c r="BO80" s="22"/>
      <c r="BP80" s="22"/>
      <c r="BQ80" s="22"/>
      <c r="BR80" s="22"/>
      <c r="BS80" s="22"/>
      <c r="BT80" s="22"/>
      <c r="BU80" s="22"/>
      <c r="BV80" s="22"/>
      <c r="BW80" s="22"/>
      <c r="BX80" s="22"/>
      <c r="BY80" s="22"/>
      <c r="BZ80" s="22"/>
      <c r="CA80" s="22"/>
      <c r="CB80" s="22"/>
      <c r="CC80" s="22"/>
      <c r="CD80" s="22"/>
      <c r="CE80" s="22"/>
      <c r="CF80" s="22"/>
      <c r="CG80" s="22"/>
      <c r="CH80" s="22"/>
      <c r="CI80" s="22"/>
      <c r="CJ80" s="22"/>
      <c r="CK80" s="22"/>
      <c r="CL80" s="22"/>
      <c r="CM80" s="22"/>
      <c r="CN80" s="22"/>
      <c r="CO80" s="22"/>
      <c r="CP80" s="22"/>
      <c r="CQ80" s="22"/>
      <c r="CR80" s="22"/>
      <c r="CS80" s="22"/>
      <c r="CT80" s="22"/>
      <c r="CU80" s="22"/>
      <c r="CV80" s="22"/>
      <c r="CW80" s="22"/>
      <c r="CX80" s="22"/>
      <c r="CY80" s="22"/>
      <c r="CZ80" s="22"/>
      <c r="DA80" s="22"/>
      <c r="DB80" s="22"/>
      <c r="DC80" s="22"/>
      <c r="DD80" s="22"/>
      <c r="DE80" s="22"/>
      <c r="DF80" s="22"/>
      <c r="DG80" s="22"/>
      <c r="DH80" s="22"/>
      <c r="DI80" s="22"/>
      <c r="DJ80" s="22"/>
      <c r="DK80" s="22"/>
      <c r="DL80" s="22"/>
      <c r="DM80" s="22"/>
      <c r="DN80" s="22"/>
      <c r="DO80" s="22"/>
      <c r="DP80" s="22"/>
      <c r="DQ80" s="22"/>
      <c r="DR80" s="22"/>
      <c r="DS80" s="22"/>
      <c r="DT80" s="22"/>
      <c r="DU80" s="22"/>
      <c r="DV80" s="22"/>
      <c r="DW80" s="22"/>
      <c r="DX80" s="22"/>
      <c r="DY80" s="22"/>
      <c r="DZ80" s="22"/>
      <c r="EA80" s="22"/>
      <c r="EB80" s="22"/>
      <c r="EC80" s="22"/>
      <c r="ED80" s="22"/>
      <c r="EE80" s="22"/>
      <c r="EF80" s="22"/>
      <c r="EG80" s="22"/>
      <c r="EH80" s="22"/>
      <c r="EI80" s="22"/>
      <c r="EJ80" s="22"/>
      <c r="EK80" s="22"/>
      <c r="EL80" s="22"/>
      <c r="EM80" s="22"/>
      <c r="EN80" s="22"/>
      <c r="EO80" s="22"/>
      <c r="EP80" s="22"/>
      <c r="EQ80" s="22"/>
      <c r="ER80" s="22"/>
      <c r="ES80" s="22"/>
      <c r="ET80" s="22"/>
      <c r="EU80" s="22"/>
      <c r="EV80" s="22"/>
      <c r="EW80" s="22"/>
      <c r="EX80" s="22"/>
      <c r="EY80" s="22"/>
      <c r="EZ80" s="22"/>
      <c r="FA80" s="22"/>
      <c r="FB80" s="22"/>
      <c r="FC80" s="22"/>
      <c r="FD80" s="22"/>
      <c r="FE80" s="22"/>
      <c r="FF80" s="22"/>
      <c r="FG80" s="22"/>
      <c r="FH80" s="22"/>
      <c r="FI80" s="22"/>
      <c r="FJ80" s="22"/>
      <c r="FK80" s="22"/>
      <c r="FL80" s="22"/>
      <c r="FM80" s="22"/>
      <c r="FN80" s="22"/>
      <c r="FO80" s="22"/>
      <c r="FP80" s="22"/>
      <c r="FQ80" s="22"/>
      <c r="FR80" s="22"/>
      <c r="FS80" s="22"/>
      <c r="FT80" s="22"/>
      <c r="FU80" s="22"/>
      <c r="FV80" s="22"/>
      <c r="FW80" s="22"/>
      <c r="FX80" s="22"/>
      <c r="FY80" s="22"/>
      <c r="FZ80" s="22"/>
    </row>
    <row r="81" spans="2:182" x14ac:dyDescent="0.2">
      <c r="B81" s="22"/>
      <c r="C81" s="22"/>
      <c r="D81" s="22"/>
      <c r="E81" s="22"/>
      <c r="F81" s="22"/>
      <c r="G81" s="22"/>
      <c r="H81" s="22"/>
      <c r="I81" s="22"/>
      <c r="J81" s="22"/>
      <c r="K81" s="22"/>
      <c r="L81" s="22"/>
      <c r="M81" s="22"/>
      <c r="N81" s="22"/>
      <c r="O81" s="22"/>
      <c r="P81" s="22"/>
      <c r="Q81" s="22"/>
      <c r="R81" s="22"/>
      <c r="S81" s="22"/>
      <c r="T81" s="22"/>
      <c r="U81" s="22"/>
      <c r="V81" s="22"/>
      <c r="W81" s="22"/>
      <c r="X81" s="22"/>
      <c r="Y81" s="22"/>
      <c r="Z81" s="22"/>
      <c r="AA81" s="22"/>
      <c r="AB81" s="22"/>
      <c r="AC81" s="22"/>
      <c r="AD81" s="22"/>
      <c r="AE81" s="22"/>
      <c r="AF81" s="22"/>
      <c r="AG81" s="22"/>
      <c r="AH81" s="22"/>
      <c r="AI81" s="22"/>
      <c r="AJ81" s="22"/>
      <c r="AK81" s="22"/>
      <c r="AL81" s="22"/>
      <c r="AM81" s="22"/>
      <c r="AN81" s="22"/>
      <c r="AO81" s="22"/>
      <c r="AP81" s="22"/>
      <c r="AQ81" s="22"/>
      <c r="AR81" s="22"/>
      <c r="AS81" s="22"/>
      <c r="AT81" s="22"/>
      <c r="AU81" s="22"/>
      <c r="AV81" s="22"/>
      <c r="AW81" s="22"/>
      <c r="AX81" s="22"/>
      <c r="AY81" s="22"/>
      <c r="AZ81" s="22"/>
      <c r="BA81" s="22"/>
      <c r="BB81" s="22"/>
      <c r="BC81" s="22"/>
      <c r="BD81" s="22"/>
      <c r="BE81" s="22"/>
      <c r="BF81" s="22"/>
      <c r="BG81" s="22"/>
      <c r="BH81" s="22"/>
      <c r="BI81" s="22"/>
      <c r="BJ81" s="22"/>
      <c r="BK81" s="22"/>
      <c r="BL81" s="22"/>
      <c r="BM81" s="22"/>
      <c r="BN81" s="22"/>
      <c r="BO81" s="22"/>
      <c r="BP81" s="22"/>
      <c r="BQ81" s="22"/>
      <c r="BR81" s="22"/>
      <c r="BS81" s="22"/>
      <c r="BT81" s="22"/>
      <c r="BU81" s="22"/>
      <c r="BV81" s="22"/>
      <c r="BW81" s="22"/>
      <c r="BX81" s="22"/>
      <c r="BY81" s="22"/>
      <c r="BZ81" s="22"/>
      <c r="CA81" s="22"/>
      <c r="CB81" s="22"/>
      <c r="CC81" s="22"/>
      <c r="CD81" s="22"/>
      <c r="CE81" s="22"/>
      <c r="CF81" s="22"/>
      <c r="CG81" s="22"/>
      <c r="CH81" s="22"/>
      <c r="CI81" s="22"/>
      <c r="CJ81" s="22"/>
      <c r="CK81" s="22"/>
      <c r="CL81" s="22"/>
      <c r="CM81" s="22"/>
      <c r="CN81" s="22"/>
      <c r="CO81" s="22"/>
      <c r="CP81" s="22"/>
      <c r="CQ81" s="22"/>
      <c r="CR81" s="22"/>
      <c r="CS81" s="22"/>
      <c r="CT81" s="22"/>
      <c r="CU81" s="22"/>
      <c r="CV81" s="22"/>
      <c r="CW81" s="22"/>
      <c r="CX81" s="22"/>
      <c r="CY81" s="22"/>
      <c r="CZ81" s="22"/>
      <c r="DA81" s="22"/>
      <c r="DB81" s="22"/>
      <c r="DC81" s="22"/>
      <c r="DD81" s="22"/>
      <c r="DE81" s="22"/>
      <c r="DF81" s="22"/>
      <c r="DG81" s="22"/>
      <c r="DH81" s="22"/>
      <c r="DI81" s="22"/>
      <c r="DJ81" s="22"/>
      <c r="DK81" s="22"/>
      <c r="DL81" s="22"/>
      <c r="DM81" s="22"/>
      <c r="DN81" s="22"/>
      <c r="DO81" s="22"/>
      <c r="DP81" s="22"/>
      <c r="DQ81" s="22"/>
      <c r="DR81" s="22"/>
      <c r="DS81" s="22"/>
      <c r="DT81" s="22"/>
      <c r="DU81" s="22"/>
      <c r="DV81" s="22"/>
      <c r="DW81" s="22"/>
      <c r="DX81" s="22"/>
      <c r="DY81" s="22"/>
      <c r="DZ81" s="22"/>
      <c r="EA81" s="22"/>
      <c r="EB81" s="22"/>
      <c r="EC81" s="22"/>
      <c r="ED81" s="22"/>
      <c r="EE81" s="22"/>
      <c r="EF81" s="22"/>
      <c r="EG81" s="22"/>
      <c r="EH81" s="22"/>
      <c r="EI81" s="22"/>
      <c r="EJ81" s="22"/>
      <c r="EK81" s="22"/>
      <c r="EL81" s="22"/>
      <c r="EM81" s="22"/>
      <c r="EN81" s="22"/>
      <c r="EO81" s="22"/>
      <c r="EP81" s="22"/>
      <c r="EQ81" s="22"/>
      <c r="ER81" s="22"/>
      <c r="ES81" s="22"/>
      <c r="ET81" s="22"/>
      <c r="EU81" s="22"/>
      <c r="EV81" s="22"/>
      <c r="EW81" s="22"/>
      <c r="EX81" s="22"/>
      <c r="EY81" s="22"/>
      <c r="EZ81" s="22"/>
      <c r="FA81" s="22"/>
      <c r="FB81" s="22"/>
      <c r="FC81" s="22"/>
      <c r="FD81" s="22"/>
      <c r="FE81" s="22"/>
      <c r="FF81" s="22"/>
      <c r="FG81" s="22"/>
      <c r="FH81" s="22"/>
      <c r="FI81" s="22"/>
      <c r="FJ81" s="22"/>
      <c r="FK81" s="22"/>
      <c r="FL81" s="22"/>
      <c r="FM81" s="22"/>
      <c r="FN81" s="22"/>
      <c r="FO81" s="22"/>
      <c r="FP81" s="22"/>
      <c r="FQ81" s="22"/>
      <c r="FR81" s="22"/>
      <c r="FS81" s="22"/>
      <c r="FT81" s="22"/>
      <c r="FU81" s="22"/>
      <c r="FV81" s="22"/>
      <c r="FW81" s="22"/>
      <c r="FX81" s="22"/>
      <c r="FY81" s="22"/>
      <c r="FZ81" s="22"/>
    </row>
    <row r="82" spans="2:182" x14ac:dyDescent="0.2">
      <c r="B82" s="22"/>
      <c r="C82" s="22"/>
      <c r="D82" s="22"/>
      <c r="E82" s="22"/>
      <c r="F82" s="22"/>
      <c r="G82" s="22"/>
      <c r="H82" s="22"/>
      <c r="I82" s="22"/>
      <c r="J82" s="22"/>
      <c r="K82" s="22"/>
      <c r="L82" s="22"/>
      <c r="M82" s="22"/>
      <c r="N82" s="22"/>
      <c r="O82" s="22"/>
      <c r="P82" s="22"/>
      <c r="Q82" s="22"/>
      <c r="R82" s="22"/>
      <c r="S82" s="22"/>
      <c r="T82" s="22"/>
      <c r="U82" s="22"/>
      <c r="V82" s="22"/>
      <c r="W82" s="22"/>
      <c r="X82" s="22"/>
      <c r="Y82" s="22"/>
      <c r="Z82" s="22"/>
      <c r="AA82" s="22"/>
      <c r="AB82" s="22"/>
      <c r="AC82" s="22"/>
      <c r="AD82" s="22"/>
      <c r="AE82" s="22"/>
      <c r="AF82" s="22"/>
      <c r="AG82" s="22"/>
      <c r="AH82" s="22"/>
      <c r="AI82" s="22"/>
      <c r="AJ82" s="22"/>
      <c r="AK82" s="22"/>
      <c r="AL82" s="22"/>
      <c r="AM82" s="22"/>
      <c r="AN82" s="22"/>
      <c r="AO82" s="22"/>
      <c r="AP82" s="22"/>
      <c r="AQ82" s="22"/>
      <c r="AR82" s="22"/>
      <c r="AS82" s="22"/>
      <c r="AT82" s="22"/>
      <c r="AU82" s="22"/>
      <c r="AV82" s="22"/>
      <c r="AW82" s="22"/>
      <c r="AX82" s="22"/>
      <c r="AY82" s="22"/>
      <c r="AZ82" s="22"/>
      <c r="BA82" s="22"/>
      <c r="BB82" s="22"/>
      <c r="BC82" s="22"/>
      <c r="BD82" s="22"/>
      <c r="BE82" s="22"/>
      <c r="BF82" s="22"/>
      <c r="BG82" s="22"/>
      <c r="BH82" s="22"/>
      <c r="BI82" s="22"/>
      <c r="BJ82" s="22"/>
      <c r="BK82" s="22"/>
      <c r="BL82" s="22"/>
      <c r="BM82" s="22"/>
      <c r="BN82" s="22"/>
      <c r="BO82" s="22"/>
      <c r="BP82" s="22"/>
      <c r="BQ82" s="22"/>
      <c r="BR82" s="22"/>
      <c r="BS82" s="22"/>
      <c r="BT82" s="22"/>
      <c r="BU82" s="22"/>
      <c r="BV82" s="22"/>
      <c r="BW82" s="22"/>
      <c r="BX82" s="22"/>
      <c r="BY82" s="22"/>
      <c r="BZ82" s="22"/>
      <c r="CA82" s="22"/>
      <c r="CB82" s="22"/>
      <c r="CC82" s="22"/>
      <c r="CD82" s="22"/>
      <c r="CE82" s="22"/>
      <c r="CF82" s="22"/>
      <c r="CG82" s="22"/>
      <c r="CH82" s="22"/>
      <c r="CI82" s="22"/>
      <c r="CJ82" s="22"/>
      <c r="CK82" s="22"/>
      <c r="CL82" s="22"/>
      <c r="CM82" s="22"/>
      <c r="CN82" s="22"/>
      <c r="CO82" s="22"/>
      <c r="CP82" s="22"/>
      <c r="CQ82" s="22"/>
      <c r="CR82" s="22"/>
      <c r="CS82" s="22"/>
      <c r="CT82" s="22"/>
      <c r="CU82" s="22"/>
      <c r="CV82" s="22"/>
      <c r="CW82" s="22"/>
      <c r="CX82" s="22"/>
      <c r="CY82" s="22"/>
      <c r="CZ82" s="22"/>
      <c r="DA82" s="22"/>
      <c r="DB82" s="22"/>
      <c r="DC82" s="22"/>
      <c r="DD82" s="22"/>
      <c r="DE82" s="22"/>
      <c r="DF82" s="22"/>
      <c r="DG82" s="22"/>
      <c r="DH82" s="22"/>
      <c r="DI82" s="22"/>
      <c r="DJ82" s="22"/>
      <c r="DK82" s="22"/>
      <c r="DL82" s="22"/>
      <c r="DM82" s="22"/>
      <c r="DN82" s="22"/>
      <c r="DO82" s="22"/>
      <c r="DP82" s="22"/>
      <c r="DQ82" s="22"/>
      <c r="DR82" s="22"/>
      <c r="DS82" s="22"/>
      <c r="DT82" s="22"/>
      <c r="DU82" s="22"/>
      <c r="DV82" s="22"/>
      <c r="DW82" s="22"/>
      <c r="DX82" s="22"/>
      <c r="DY82" s="22"/>
      <c r="DZ82" s="22"/>
      <c r="EA82" s="22"/>
      <c r="EB82" s="22"/>
      <c r="EC82" s="22"/>
      <c r="ED82" s="22"/>
      <c r="EE82" s="22"/>
      <c r="EF82" s="22"/>
      <c r="EG82" s="22"/>
      <c r="EH82" s="22"/>
      <c r="EI82" s="22"/>
      <c r="EJ82" s="22"/>
      <c r="EK82" s="22"/>
      <c r="EL82" s="22"/>
      <c r="EM82" s="22"/>
      <c r="EN82" s="22"/>
      <c r="EO82" s="22"/>
      <c r="EP82" s="22"/>
      <c r="EQ82" s="22"/>
      <c r="ER82" s="22"/>
      <c r="ES82" s="22"/>
      <c r="ET82" s="22"/>
      <c r="EU82" s="22"/>
      <c r="EV82" s="22"/>
      <c r="EW82" s="22"/>
      <c r="EX82" s="22"/>
      <c r="EY82" s="22"/>
      <c r="EZ82" s="22"/>
      <c r="FA82" s="22"/>
      <c r="FB82" s="22"/>
      <c r="FC82" s="22"/>
      <c r="FD82" s="22"/>
      <c r="FE82" s="22"/>
      <c r="FF82" s="22"/>
      <c r="FG82" s="22"/>
      <c r="FH82" s="22"/>
      <c r="FI82" s="22"/>
      <c r="FJ82" s="22"/>
      <c r="FK82" s="22"/>
      <c r="FL82" s="22"/>
      <c r="FM82" s="22"/>
      <c r="FN82" s="22"/>
      <c r="FO82" s="22"/>
      <c r="FP82" s="22"/>
      <c r="FQ82" s="22"/>
      <c r="FR82" s="22"/>
      <c r="FS82" s="22"/>
      <c r="FT82" s="22"/>
      <c r="FU82" s="22"/>
      <c r="FV82" s="22"/>
      <c r="FW82" s="22"/>
      <c r="FX82" s="22"/>
      <c r="FY82" s="22"/>
      <c r="FZ82" s="22"/>
    </row>
    <row r="83" spans="2:182" x14ac:dyDescent="0.2">
      <c r="B83" s="22"/>
      <c r="C83" s="22"/>
      <c r="D83" s="22"/>
      <c r="E83" s="22"/>
      <c r="F83" s="22"/>
      <c r="G83" s="22"/>
      <c r="H83" s="22"/>
      <c r="I83" s="22"/>
      <c r="J83" s="22"/>
      <c r="K83" s="22"/>
      <c r="L83" s="22"/>
      <c r="M83" s="22"/>
      <c r="N83" s="22"/>
      <c r="O83" s="22"/>
      <c r="P83" s="22"/>
      <c r="Q83" s="22"/>
      <c r="R83" s="22"/>
      <c r="S83" s="22"/>
      <c r="T83" s="22"/>
      <c r="U83" s="22"/>
      <c r="V83" s="22"/>
      <c r="W83" s="22"/>
      <c r="X83" s="22"/>
      <c r="Y83" s="22"/>
      <c r="Z83" s="22"/>
      <c r="AA83" s="22"/>
      <c r="AB83" s="22"/>
      <c r="AC83" s="22"/>
      <c r="AD83" s="22"/>
      <c r="AE83" s="22"/>
      <c r="AF83" s="22"/>
      <c r="AG83" s="22"/>
      <c r="AH83" s="22"/>
      <c r="AI83" s="22"/>
      <c r="AJ83" s="22"/>
      <c r="AK83" s="22"/>
      <c r="AL83" s="22"/>
      <c r="AM83" s="22"/>
      <c r="AN83" s="22"/>
      <c r="AO83" s="22"/>
      <c r="AP83" s="22"/>
      <c r="AQ83" s="22"/>
      <c r="AR83" s="22"/>
      <c r="AS83" s="22"/>
      <c r="AT83" s="22"/>
      <c r="AU83" s="22"/>
      <c r="AV83" s="22"/>
      <c r="AW83" s="22"/>
      <c r="AX83" s="22"/>
      <c r="AY83" s="22"/>
      <c r="AZ83" s="22"/>
      <c r="BA83" s="22"/>
      <c r="BB83" s="22"/>
      <c r="BC83" s="22"/>
      <c r="BD83" s="22"/>
      <c r="BE83" s="22"/>
      <c r="BF83" s="22"/>
      <c r="BG83" s="22"/>
      <c r="BH83" s="22"/>
      <c r="BI83" s="22"/>
      <c r="BJ83" s="22"/>
      <c r="BK83" s="22"/>
      <c r="BL83" s="22"/>
      <c r="BM83" s="22"/>
      <c r="BN83" s="22"/>
      <c r="BO83" s="22"/>
      <c r="BP83" s="22"/>
      <c r="BQ83" s="22"/>
      <c r="BR83" s="22"/>
      <c r="BS83" s="22"/>
      <c r="BT83" s="22"/>
      <c r="BU83" s="22"/>
      <c r="BV83" s="22"/>
      <c r="BW83" s="22"/>
      <c r="BX83" s="22"/>
      <c r="BY83" s="22"/>
      <c r="BZ83" s="22"/>
      <c r="CA83" s="22"/>
      <c r="CB83" s="22"/>
      <c r="CC83" s="22"/>
      <c r="CD83" s="22"/>
      <c r="CE83" s="22"/>
      <c r="CF83" s="22"/>
      <c r="CG83" s="22"/>
      <c r="CH83" s="22"/>
      <c r="CI83" s="22"/>
      <c r="CJ83" s="22"/>
      <c r="CK83" s="22"/>
      <c r="CL83" s="22"/>
      <c r="CM83" s="22"/>
      <c r="CN83" s="22"/>
      <c r="CO83" s="22"/>
      <c r="CP83" s="22"/>
      <c r="CQ83" s="22"/>
      <c r="CR83" s="22"/>
      <c r="CS83" s="22"/>
      <c r="CT83" s="22"/>
      <c r="CU83" s="22"/>
      <c r="CV83" s="22"/>
      <c r="CW83" s="22"/>
      <c r="CX83" s="22"/>
      <c r="CY83" s="22"/>
      <c r="CZ83" s="22"/>
      <c r="DA83" s="22"/>
      <c r="DB83" s="22"/>
      <c r="DC83" s="22"/>
      <c r="DD83" s="22"/>
      <c r="DE83" s="22"/>
      <c r="DF83" s="22"/>
      <c r="DG83" s="22"/>
      <c r="DH83" s="22"/>
      <c r="DI83" s="22"/>
      <c r="DJ83" s="22"/>
      <c r="DK83" s="22"/>
      <c r="DL83" s="22"/>
      <c r="DM83" s="22"/>
      <c r="DN83" s="22"/>
      <c r="DO83" s="22"/>
      <c r="DP83" s="22"/>
      <c r="DQ83" s="22"/>
      <c r="DR83" s="22"/>
      <c r="DS83" s="22"/>
      <c r="DT83" s="22"/>
      <c r="DU83" s="22"/>
      <c r="DV83" s="22"/>
      <c r="DW83" s="22"/>
      <c r="DX83" s="22"/>
      <c r="DY83" s="22"/>
      <c r="DZ83" s="22"/>
      <c r="EA83" s="22"/>
      <c r="EB83" s="22"/>
      <c r="EC83" s="22"/>
      <c r="ED83" s="22"/>
      <c r="EE83" s="22"/>
      <c r="EF83" s="22"/>
      <c r="EG83" s="22"/>
      <c r="EH83" s="22"/>
      <c r="EI83" s="22"/>
      <c r="EJ83" s="22"/>
      <c r="EK83" s="22"/>
      <c r="EL83" s="22"/>
      <c r="EM83" s="22"/>
      <c r="EN83" s="22"/>
      <c r="EO83" s="22"/>
      <c r="EP83" s="22"/>
      <c r="EQ83" s="22"/>
      <c r="ER83" s="22"/>
      <c r="ES83" s="22"/>
      <c r="ET83" s="22"/>
      <c r="EU83" s="22"/>
      <c r="EV83" s="22"/>
      <c r="EW83" s="22"/>
      <c r="EX83" s="22"/>
      <c r="EY83" s="22"/>
      <c r="EZ83" s="22"/>
      <c r="FA83" s="22"/>
      <c r="FB83" s="22"/>
      <c r="FC83" s="22"/>
      <c r="FD83" s="22"/>
      <c r="FE83" s="22"/>
      <c r="FF83" s="22"/>
      <c r="FG83" s="22"/>
      <c r="FH83" s="22"/>
      <c r="FI83" s="22"/>
      <c r="FJ83" s="22"/>
      <c r="FK83" s="22"/>
      <c r="FL83" s="22"/>
      <c r="FM83" s="22"/>
      <c r="FN83" s="22"/>
      <c r="FO83" s="22"/>
      <c r="FP83" s="22"/>
      <c r="FQ83" s="22"/>
      <c r="FR83" s="22"/>
      <c r="FS83" s="22"/>
      <c r="FT83" s="22"/>
      <c r="FU83" s="22"/>
      <c r="FV83" s="22"/>
      <c r="FW83" s="22"/>
      <c r="FX83" s="22"/>
      <c r="FY83" s="22"/>
      <c r="FZ83" s="22"/>
    </row>
    <row r="84" spans="2:182" x14ac:dyDescent="0.2">
      <c r="B84" s="22"/>
      <c r="C84" s="22"/>
      <c r="D84" s="22"/>
      <c r="E84" s="22"/>
      <c r="F84" s="22"/>
      <c r="G84" s="22"/>
      <c r="H84" s="22"/>
      <c r="I84" s="22"/>
      <c r="J84" s="22"/>
      <c r="K84" s="22"/>
      <c r="L84" s="22"/>
      <c r="M84" s="22"/>
      <c r="N84" s="22"/>
      <c r="O84" s="22"/>
      <c r="P84" s="22"/>
      <c r="Q84" s="22"/>
      <c r="R84" s="22"/>
      <c r="S84" s="22"/>
      <c r="T84" s="22"/>
      <c r="U84" s="22"/>
      <c r="V84" s="22"/>
      <c r="W84" s="22"/>
      <c r="X84" s="22"/>
      <c r="Y84" s="22"/>
      <c r="Z84" s="22"/>
      <c r="AA84" s="22"/>
      <c r="AB84" s="22"/>
      <c r="AC84" s="22"/>
      <c r="AD84" s="22"/>
      <c r="AE84" s="22"/>
      <c r="AF84" s="22"/>
      <c r="AG84" s="22"/>
      <c r="AH84" s="22"/>
      <c r="AI84" s="22"/>
      <c r="AJ84" s="22"/>
      <c r="AK84" s="22"/>
      <c r="AL84" s="22"/>
      <c r="AM84" s="22"/>
      <c r="AN84" s="22"/>
      <c r="AO84" s="22"/>
      <c r="AP84" s="22"/>
      <c r="AQ84" s="22"/>
      <c r="AR84" s="22"/>
      <c r="AS84" s="22"/>
      <c r="AT84" s="22"/>
      <c r="AU84" s="22"/>
      <c r="AV84" s="22"/>
      <c r="AW84" s="22"/>
      <c r="AX84" s="22"/>
      <c r="AY84" s="22"/>
      <c r="AZ84" s="22"/>
      <c r="BA84" s="22"/>
      <c r="BB84" s="22"/>
      <c r="BC84" s="22"/>
      <c r="BD84" s="22"/>
      <c r="BE84" s="22"/>
      <c r="BF84" s="22"/>
      <c r="BG84" s="22"/>
      <c r="BH84" s="22"/>
      <c r="BI84" s="22"/>
      <c r="BJ84" s="22"/>
      <c r="BK84" s="22"/>
      <c r="BL84" s="22"/>
      <c r="BM84" s="22"/>
      <c r="BN84" s="22"/>
      <c r="BO84" s="22"/>
      <c r="BP84" s="22"/>
      <c r="BQ84" s="22"/>
      <c r="BR84" s="22"/>
      <c r="BS84" s="22"/>
      <c r="BT84" s="22"/>
      <c r="BU84" s="22"/>
      <c r="BV84" s="22"/>
      <c r="BW84" s="22"/>
      <c r="BX84" s="22"/>
      <c r="BY84" s="22"/>
      <c r="BZ84" s="22"/>
      <c r="CA84" s="22"/>
      <c r="CB84" s="22"/>
      <c r="CC84" s="22"/>
      <c r="CD84" s="22"/>
      <c r="CE84" s="22"/>
      <c r="CF84" s="22"/>
      <c r="CG84" s="22"/>
      <c r="CH84" s="22"/>
      <c r="CI84" s="22"/>
      <c r="CJ84" s="22"/>
      <c r="CK84" s="22"/>
      <c r="CL84" s="22"/>
      <c r="CM84" s="22"/>
      <c r="CN84" s="22"/>
      <c r="CO84" s="22"/>
      <c r="CP84" s="22"/>
      <c r="CQ84" s="22"/>
      <c r="CR84" s="22"/>
      <c r="CS84" s="22"/>
      <c r="CT84" s="22"/>
      <c r="CU84" s="22"/>
      <c r="CV84" s="22"/>
      <c r="CW84" s="22"/>
      <c r="CX84" s="22"/>
      <c r="CY84" s="22"/>
      <c r="CZ84" s="22"/>
      <c r="DA84" s="22"/>
      <c r="DB84" s="22"/>
      <c r="DC84" s="22"/>
      <c r="DD84" s="22"/>
      <c r="DE84" s="22"/>
      <c r="DF84" s="22"/>
      <c r="DG84" s="22"/>
      <c r="DH84" s="22"/>
      <c r="DI84" s="22"/>
      <c r="DJ84" s="22"/>
      <c r="DK84" s="22"/>
      <c r="DL84" s="22"/>
      <c r="DM84" s="22"/>
      <c r="DN84" s="22"/>
      <c r="DO84" s="22"/>
      <c r="DP84" s="22"/>
      <c r="DQ84" s="22"/>
      <c r="DR84" s="22"/>
      <c r="DS84" s="22"/>
      <c r="DT84" s="22"/>
      <c r="DU84" s="22"/>
      <c r="DV84" s="22"/>
      <c r="DW84" s="22"/>
      <c r="DX84" s="22"/>
      <c r="DY84" s="22"/>
      <c r="DZ84" s="22"/>
      <c r="EA84" s="22"/>
      <c r="EB84" s="22"/>
      <c r="EC84" s="22"/>
      <c r="ED84" s="22"/>
      <c r="EE84" s="22"/>
      <c r="EF84" s="22"/>
      <c r="EG84" s="22"/>
      <c r="EH84" s="22"/>
      <c r="EI84" s="22"/>
      <c r="EJ84" s="22"/>
      <c r="EK84" s="22"/>
      <c r="EL84" s="22"/>
      <c r="EM84" s="22"/>
      <c r="EN84" s="22"/>
      <c r="EO84" s="22"/>
      <c r="EP84" s="22"/>
      <c r="EQ84" s="22"/>
      <c r="ER84" s="22"/>
      <c r="ES84" s="22"/>
      <c r="ET84" s="22"/>
      <c r="EU84" s="22"/>
      <c r="EV84" s="22"/>
      <c r="EW84" s="22"/>
      <c r="EX84" s="22"/>
      <c r="EY84" s="22"/>
      <c r="EZ84" s="22"/>
      <c r="FA84" s="22"/>
      <c r="FB84" s="22"/>
      <c r="FC84" s="22"/>
      <c r="FD84" s="22"/>
      <c r="FE84" s="22"/>
      <c r="FF84" s="22"/>
      <c r="FG84" s="22"/>
      <c r="FH84" s="22"/>
      <c r="FI84" s="22"/>
      <c r="FJ84" s="22"/>
      <c r="FK84" s="22"/>
      <c r="FL84" s="22"/>
      <c r="FM84" s="22"/>
      <c r="FN84" s="22"/>
      <c r="FO84" s="22"/>
      <c r="FP84" s="22"/>
      <c r="FQ84" s="22"/>
      <c r="FR84" s="22"/>
      <c r="FS84" s="22"/>
      <c r="FT84" s="22"/>
      <c r="FU84" s="22"/>
      <c r="FV84" s="22"/>
      <c r="FW84" s="22"/>
      <c r="FX84" s="22"/>
      <c r="FY84" s="22"/>
      <c r="FZ84" s="22"/>
    </row>
    <row r="85" spans="2:182" x14ac:dyDescent="0.2">
      <c r="B85" s="22"/>
      <c r="C85" s="22"/>
      <c r="D85" s="22"/>
      <c r="E85" s="22"/>
      <c r="F85" s="22"/>
      <c r="G85" s="22"/>
      <c r="H85" s="22"/>
      <c r="I85" s="22"/>
      <c r="J85" s="22"/>
      <c r="K85" s="22"/>
      <c r="L85" s="22"/>
      <c r="M85" s="22"/>
      <c r="N85" s="22"/>
      <c r="O85" s="22"/>
      <c r="P85" s="22"/>
      <c r="Q85" s="22"/>
      <c r="R85" s="22"/>
      <c r="S85" s="22"/>
      <c r="T85" s="22"/>
      <c r="U85" s="22"/>
      <c r="V85" s="22"/>
      <c r="W85" s="22"/>
      <c r="X85" s="22"/>
      <c r="Y85" s="22"/>
      <c r="Z85" s="22"/>
      <c r="AA85" s="22"/>
      <c r="AB85" s="22"/>
      <c r="AC85" s="22"/>
      <c r="AD85" s="22"/>
      <c r="AE85" s="22"/>
      <c r="AF85" s="22"/>
      <c r="AG85" s="22"/>
      <c r="AH85" s="22"/>
      <c r="AI85" s="22"/>
      <c r="AJ85" s="22"/>
      <c r="AK85" s="22"/>
      <c r="AL85" s="22"/>
      <c r="AM85" s="22"/>
      <c r="AN85" s="22"/>
      <c r="AO85" s="22"/>
      <c r="AP85" s="22"/>
      <c r="AQ85" s="22"/>
      <c r="AR85" s="22"/>
      <c r="AS85" s="22"/>
      <c r="AT85" s="22"/>
      <c r="AU85" s="22"/>
      <c r="AV85" s="22"/>
      <c r="AW85" s="22"/>
      <c r="AX85" s="22"/>
      <c r="AY85" s="22"/>
      <c r="AZ85" s="22"/>
      <c r="BA85" s="22"/>
      <c r="BB85" s="22"/>
      <c r="BC85" s="22"/>
      <c r="BD85" s="22"/>
      <c r="BE85" s="22"/>
      <c r="BF85" s="22"/>
      <c r="BG85" s="22"/>
      <c r="BH85" s="22"/>
      <c r="BI85" s="22"/>
      <c r="BJ85" s="22"/>
      <c r="BK85" s="22"/>
      <c r="BL85" s="22"/>
      <c r="BM85" s="22"/>
      <c r="BN85" s="22"/>
      <c r="BO85" s="22"/>
      <c r="BP85" s="22"/>
      <c r="BQ85" s="22"/>
      <c r="BR85" s="22"/>
      <c r="BS85" s="22"/>
      <c r="BT85" s="22"/>
      <c r="BU85" s="22"/>
      <c r="BV85" s="22"/>
      <c r="BW85" s="22"/>
      <c r="BX85" s="22"/>
      <c r="BY85" s="22"/>
      <c r="BZ85" s="22"/>
      <c r="CA85" s="22"/>
      <c r="CB85" s="22"/>
      <c r="CC85" s="22"/>
      <c r="CD85" s="22"/>
      <c r="CE85" s="22"/>
      <c r="CF85" s="22"/>
      <c r="CG85" s="22"/>
      <c r="CH85" s="22"/>
      <c r="CI85" s="22"/>
      <c r="CJ85" s="22"/>
      <c r="CK85" s="22"/>
      <c r="CL85" s="22"/>
      <c r="CM85" s="22"/>
      <c r="CN85" s="22"/>
      <c r="CO85" s="22"/>
      <c r="CP85" s="22"/>
      <c r="CQ85" s="22"/>
      <c r="CR85" s="22"/>
      <c r="CS85" s="22"/>
      <c r="CT85" s="22"/>
      <c r="CU85" s="22"/>
      <c r="CV85" s="22"/>
      <c r="CW85" s="22"/>
      <c r="CX85" s="22"/>
      <c r="CY85" s="22"/>
      <c r="CZ85" s="22"/>
      <c r="DA85" s="22"/>
      <c r="DB85" s="22"/>
      <c r="DC85" s="22"/>
      <c r="DD85" s="22"/>
      <c r="DE85" s="22"/>
      <c r="DF85" s="22"/>
      <c r="DG85" s="22"/>
      <c r="DH85" s="22"/>
      <c r="DI85" s="22"/>
      <c r="DJ85" s="22"/>
      <c r="DK85" s="22"/>
      <c r="DL85" s="22"/>
      <c r="DM85" s="22"/>
      <c r="DN85" s="22"/>
      <c r="DO85" s="22"/>
      <c r="DP85" s="22"/>
      <c r="DQ85" s="22"/>
      <c r="DR85" s="22"/>
      <c r="DS85" s="22"/>
      <c r="DT85" s="22"/>
      <c r="DU85" s="22"/>
      <c r="DV85" s="22"/>
      <c r="DW85" s="22"/>
      <c r="DX85" s="22"/>
      <c r="DY85" s="22"/>
      <c r="DZ85" s="22"/>
      <c r="EA85" s="22"/>
      <c r="EB85" s="22"/>
      <c r="EC85" s="22"/>
      <c r="ED85" s="22"/>
      <c r="EE85" s="22"/>
      <c r="EF85" s="22"/>
      <c r="EG85" s="22"/>
      <c r="EH85" s="22"/>
      <c r="EI85" s="22"/>
      <c r="EJ85" s="22"/>
      <c r="EK85" s="22"/>
      <c r="EL85" s="22"/>
      <c r="EM85" s="22"/>
      <c r="EN85" s="22"/>
      <c r="EO85" s="22"/>
      <c r="EP85" s="22"/>
      <c r="EQ85" s="22"/>
      <c r="ER85" s="22"/>
      <c r="ES85" s="22"/>
      <c r="ET85" s="22"/>
      <c r="EU85" s="22"/>
      <c r="EV85" s="22"/>
      <c r="EW85" s="22"/>
      <c r="EX85" s="22"/>
      <c r="EY85" s="22"/>
      <c r="EZ85" s="22"/>
      <c r="FA85" s="22"/>
      <c r="FB85" s="22"/>
      <c r="FC85" s="22"/>
      <c r="FD85" s="22"/>
      <c r="FE85" s="22"/>
      <c r="FF85" s="22"/>
      <c r="FG85" s="22"/>
      <c r="FH85" s="22"/>
      <c r="FI85" s="22"/>
      <c r="FJ85" s="22"/>
      <c r="FK85" s="22"/>
      <c r="FL85" s="22"/>
      <c r="FM85" s="22"/>
      <c r="FN85" s="22"/>
      <c r="FO85" s="22"/>
      <c r="FP85" s="22"/>
      <c r="FQ85" s="22"/>
      <c r="FR85" s="22"/>
      <c r="FS85" s="22"/>
      <c r="FT85" s="22"/>
      <c r="FU85" s="22"/>
      <c r="FV85" s="22"/>
      <c r="FW85" s="22"/>
      <c r="FX85" s="22"/>
      <c r="FY85" s="22"/>
      <c r="FZ85" s="22"/>
    </row>
    <row r="86" spans="2:182" x14ac:dyDescent="0.2">
      <c r="B86" s="22"/>
      <c r="C86" s="22"/>
      <c r="D86" s="22"/>
      <c r="E86" s="22"/>
      <c r="F86" s="22"/>
      <c r="G86" s="22"/>
      <c r="H86" s="22"/>
      <c r="I86" s="22"/>
      <c r="J86" s="22"/>
      <c r="K86" s="22"/>
      <c r="L86" s="22"/>
      <c r="M86" s="22"/>
      <c r="N86" s="22"/>
      <c r="O86" s="22"/>
      <c r="P86" s="22"/>
      <c r="Q86" s="22"/>
      <c r="R86" s="22"/>
      <c r="S86" s="22"/>
      <c r="T86" s="22"/>
      <c r="U86" s="22"/>
      <c r="V86" s="22"/>
      <c r="W86" s="22"/>
      <c r="X86" s="22"/>
      <c r="Y86" s="22"/>
      <c r="Z86" s="22"/>
      <c r="AA86" s="22"/>
      <c r="AB86" s="22"/>
      <c r="AC86" s="22"/>
      <c r="AD86" s="22"/>
      <c r="AE86" s="22"/>
      <c r="AF86" s="22"/>
      <c r="AG86" s="22"/>
      <c r="AH86" s="22"/>
      <c r="AI86" s="22"/>
      <c r="AJ86" s="22"/>
      <c r="AK86" s="22"/>
      <c r="AL86" s="22"/>
      <c r="AM86" s="22"/>
      <c r="AN86" s="22"/>
      <c r="AO86" s="22"/>
      <c r="AP86" s="22"/>
      <c r="AQ86" s="22"/>
      <c r="AR86" s="22"/>
      <c r="AS86" s="22"/>
      <c r="AT86" s="22"/>
      <c r="AU86" s="22"/>
      <c r="AV86" s="22"/>
      <c r="AW86" s="22"/>
      <c r="AX86" s="22"/>
      <c r="AY86" s="22"/>
      <c r="AZ86" s="22"/>
      <c r="BA86" s="22"/>
      <c r="BB86" s="22"/>
      <c r="BC86" s="22"/>
      <c r="BD86" s="22"/>
      <c r="BE86" s="22"/>
      <c r="BF86" s="22"/>
      <c r="BG86" s="22"/>
      <c r="BH86" s="22"/>
      <c r="BI86" s="22"/>
      <c r="BJ86" s="22"/>
      <c r="BK86" s="22"/>
      <c r="BL86" s="22"/>
      <c r="BM86" s="22"/>
      <c r="BN86" s="22"/>
      <c r="BO86" s="22"/>
      <c r="BP86" s="22"/>
      <c r="BQ86" s="22"/>
      <c r="BR86" s="22"/>
      <c r="BS86" s="22"/>
      <c r="BT86" s="22"/>
      <c r="BU86" s="22"/>
      <c r="BV86" s="22"/>
      <c r="BW86" s="22"/>
      <c r="BX86" s="22"/>
      <c r="BY86" s="22"/>
      <c r="BZ86" s="22"/>
      <c r="CA86" s="22"/>
      <c r="CB86" s="22"/>
      <c r="CC86" s="22"/>
      <c r="CD86" s="22"/>
      <c r="CE86" s="22"/>
      <c r="CF86" s="22"/>
      <c r="CG86" s="22"/>
      <c r="CH86" s="22"/>
      <c r="CI86" s="22"/>
      <c r="CJ86" s="22"/>
      <c r="CK86" s="22"/>
      <c r="CL86" s="22"/>
      <c r="CM86" s="22"/>
      <c r="CN86" s="22"/>
      <c r="CO86" s="22"/>
      <c r="CP86" s="22"/>
      <c r="CQ86" s="22"/>
      <c r="CR86" s="22"/>
      <c r="CS86" s="22"/>
      <c r="CT86" s="22"/>
      <c r="CU86" s="22"/>
      <c r="CV86" s="22"/>
      <c r="CW86" s="22"/>
      <c r="CX86" s="22"/>
      <c r="CY86" s="22"/>
      <c r="CZ86" s="22"/>
      <c r="DA86" s="22"/>
      <c r="DB86" s="22"/>
      <c r="DC86" s="22"/>
      <c r="DD86" s="22"/>
      <c r="DE86" s="22"/>
      <c r="DF86" s="22"/>
      <c r="DG86" s="22"/>
      <c r="DH86" s="22"/>
      <c r="DI86" s="22"/>
      <c r="DJ86" s="22"/>
      <c r="DK86" s="22"/>
      <c r="DL86" s="22"/>
      <c r="DM86" s="22"/>
      <c r="DN86" s="22"/>
      <c r="DO86" s="22"/>
      <c r="DP86" s="22"/>
      <c r="DQ86" s="22"/>
      <c r="DR86" s="22"/>
      <c r="DS86" s="22"/>
      <c r="DT86" s="22"/>
      <c r="DU86" s="22"/>
      <c r="DV86" s="22"/>
      <c r="DW86" s="22"/>
      <c r="DX86" s="22"/>
      <c r="DY86" s="22"/>
      <c r="DZ86" s="22"/>
      <c r="EA86" s="22"/>
      <c r="EB86" s="22"/>
      <c r="EC86" s="22"/>
      <c r="ED86" s="22"/>
      <c r="EE86" s="22"/>
      <c r="EF86" s="22"/>
      <c r="EG86" s="22"/>
      <c r="EH86" s="22"/>
      <c r="EI86" s="22"/>
      <c r="EJ86" s="22"/>
      <c r="EK86" s="22"/>
      <c r="EL86" s="22"/>
      <c r="EM86" s="22"/>
      <c r="EN86" s="22"/>
      <c r="EO86" s="22"/>
      <c r="EP86" s="22"/>
      <c r="EQ86" s="22"/>
      <c r="ER86" s="22"/>
      <c r="ES86" s="22"/>
      <c r="ET86" s="22"/>
      <c r="EU86" s="22"/>
      <c r="EV86" s="22"/>
      <c r="EW86" s="22"/>
      <c r="EX86" s="22"/>
      <c r="EY86" s="22"/>
      <c r="EZ86" s="22"/>
      <c r="FA86" s="22"/>
      <c r="FB86" s="22"/>
      <c r="FC86" s="22"/>
      <c r="FD86" s="22"/>
      <c r="FE86" s="22"/>
      <c r="FF86" s="22"/>
      <c r="FG86" s="22"/>
      <c r="FH86" s="22"/>
      <c r="FI86" s="22"/>
      <c r="FJ86" s="22"/>
      <c r="FK86" s="22"/>
      <c r="FL86" s="22"/>
      <c r="FM86" s="22"/>
      <c r="FN86" s="22"/>
      <c r="FO86" s="22"/>
      <c r="FP86" s="22"/>
      <c r="FQ86" s="22"/>
      <c r="FR86" s="22"/>
      <c r="FS86" s="22"/>
      <c r="FT86" s="22"/>
      <c r="FU86" s="22"/>
      <c r="FV86" s="22"/>
      <c r="FW86" s="22"/>
      <c r="FX86" s="22"/>
      <c r="FY86" s="22"/>
      <c r="FZ86" s="22"/>
    </row>
    <row r="87" spans="2:182" x14ac:dyDescent="0.2">
      <c r="B87" s="22"/>
      <c r="C87" s="22"/>
      <c r="D87" s="22"/>
      <c r="E87" s="22"/>
      <c r="F87" s="22"/>
      <c r="G87" s="22"/>
      <c r="H87" s="22"/>
      <c r="I87" s="22"/>
      <c r="J87" s="22"/>
      <c r="K87" s="22"/>
      <c r="L87" s="22"/>
      <c r="M87" s="22"/>
      <c r="N87" s="22"/>
      <c r="O87" s="22"/>
      <c r="P87" s="22"/>
      <c r="Q87" s="22"/>
      <c r="R87" s="22"/>
      <c r="S87" s="22"/>
      <c r="T87" s="22"/>
      <c r="U87" s="22"/>
      <c r="V87" s="22"/>
      <c r="W87" s="22"/>
      <c r="X87" s="22"/>
      <c r="Y87" s="22"/>
      <c r="Z87" s="22"/>
      <c r="AA87" s="22"/>
      <c r="AB87" s="22"/>
      <c r="AC87" s="22"/>
      <c r="AD87" s="22"/>
      <c r="AE87" s="22"/>
      <c r="AF87" s="22"/>
      <c r="AG87" s="22"/>
      <c r="AH87" s="22"/>
      <c r="AI87" s="22"/>
      <c r="AJ87" s="22"/>
      <c r="AK87" s="22"/>
      <c r="AL87" s="22"/>
      <c r="AM87" s="22"/>
      <c r="AN87" s="22"/>
      <c r="AO87" s="22"/>
      <c r="AP87" s="22"/>
      <c r="AQ87" s="22"/>
      <c r="AR87" s="22"/>
      <c r="AS87" s="22"/>
      <c r="AT87" s="22"/>
      <c r="AU87" s="22"/>
      <c r="AV87" s="22"/>
      <c r="AW87" s="22"/>
      <c r="AX87" s="22"/>
      <c r="AY87" s="22"/>
      <c r="AZ87" s="22"/>
      <c r="BA87" s="22"/>
      <c r="BB87" s="22"/>
      <c r="BC87" s="22"/>
      <c r="BD87" s="22"/>
      <c r="BE87" s="22"/>
      <c r="BF87" s="22"/>
      <c r="BG87" s="22"/>
      <c r="BH87" s="22"/>
      <c r="BI87" s="22"/>
      <c r="BJ87" s="22"/>
      <c r="BK87" s="22"/>
      <c r="BL87" s="22"/>
      <c r="BM87" s="22"/>
      <c r="BN87" s="22"/>
      <c r="BO87" s="22"/>
      <c r="BP87" s="22"/>
      <c r="BQ87" s="22"/>
      <c r="BR87" s="22"/>
      <c r="BS87" s="22"/>
      <c r="BT87" s="22"/>
      <c r="BU87" s="22"/>
      <c r="BV87" s="22"/>
      <c r="BW87" s="22"/>
      <c r="BX87" s="22"/>
      <c r="BY87" s="22"/>
      <c r="BZ87" s="22"/>
      <c r="CA87" s="22"/>
      <c r="CB87" s="22"/>
      <c r="CC87" s="22"/>
      <c r="CD87" s="22"/>
      <c r="CE87" s="22"/>
      <c r="CF87" s="22"/>
      <c r="CG87" s="22"/>
      <c r="CH87" s="22"/>
      <c r="CI87" s="22"/>
      <c r="CJ87" s="22"/>
      <c r="CK87" s="22"/>
      <c r="CL87" s="22"/>
      <c r="CM87" s="22"/>
      <c r="CN87" s="22"/>
      <c r="CO87" s="22"/>
      <c r="CP87" s="22"/>
      <c r="CQ87" s="22"/>
      <c r="CR87" s="22"/>
      <c r="CS87" s="22"/>
      <c r="CT87" s="22"/>
      <c r="CU87" s="22"/>
      <c r="CV87" s="22"/>
      <c r="CW87" s="22"/>
      <c r="CX87" s="22"/>
      <c r="CY87" s="22"/>
      <c r="CZ87" s="22"/>
      <c r="DA87" s="22"/>
      <c r="DB87" s="22"/>
      <c r="DC87" s="22"/>
      <c r="DD87" s="22"/>
      <c r="DE87" s="22"/>
      <c r="DF87" s="22"/>
      <c r="DG87" s="22"/>
      <c r="DH87" s="22"/>
      <c r="DI87" s="22"/>
      <c r="DJ87" s="22"/>
      <c r="DK87" s="22"/>
      <c r="DL87" s="22"/>
      <c r="DM87" s="22"/>
      <c r="DN87" s="22"/>
      <c r="DO87" s="22"/>
      <c r="DP87" s="22"/>
      <c r="DQ87" s="22"/>
      <c r="DR87" s="22"/>
      <c r="DS87" s="22"/>
      <c r="DT87" s="22"/>
      <c r="DU87" s="22"/>
      <c r="DV87" s="22"/>
      <c r="DW87" s="22"/>
      <c r="DX87" s="22"/>
      <c r="DY87" s="22"/>
      <c r="DZ87" s="22"/>
      <c r="EA87" s="22"/>
      <c r="EB87" s="22"/>
      <c r="EC87" s="22"/>
      <c r="ED87" s="22"/>
      <c r="EE87" s="22"/>
      <c r="EF87" s="22"/>
      <c r="EG87" s="22"/>
      <c r="EH87" s="22"/>
      <c r="EI87" s="22"/>
      <c r="EJ87" s="22"/>
      <c r="EK87" s="22"/>
      <c r="EL87" s="22"/>
      <c r="EM87" s="22"/>
      <c r="EN87" s="22"/>
      <c r="EO87" s="22"/>
      <c r="EP87" s="22"/>
      <c r="EQ87" s="22"/>
      <c r="ER87" s="22"/>
      <c r="ES87" s="22"/>
      <c r="ET87" s="22"/>
      <c r="EU87" s="22"/>
      <c r="EV87" s="22"/>
      <c r="EW87" s="22"/>
      <c r="EX87" s="22"/>
      <c r="EY87" s="22"/>
      <c r="EZ87" s="22"/>
      <c r="FA87" s="22"/>
      <c r="FB87" s="22"/>
      <c r="FC87" s="22"/>
      <c r="FD87" s="22"/>
      <c r="FE87" s="22"/>
      <c r="FF87" s="22"/>
      <c r="FG87" s="22"/>
      <c r="FH87" s="22"/>
      <c r="FI87" s="22"/>
      <c r="FJ87" s="22"/>
      <c r="FK87" s="22"/>
      <c r="FL87" s="22"/>
      <c r="FM87" s="22"/>
      <c r="FN87" s="22"/>
      <c r="FO87" s="22"/>
      <c r="FP87" s="22"/>
      <c r="FQ87" s="22"/>
      <c r="FR87" s="22"/>
      <c r="FS87" s="22"/>
      <c r="FT87" s="22"/>
      <c r="FU87" s="22"/>
      <c r="FV87" s="22"/>
      <c r="FW87" s="22"/>
      <c r="FX87" s="22"/>
      <c r="FY87" s="22"/>
      <c r="FZ87" s="22"/>
    </row>
    <row r="88" spans="2:182" x14ac:dyDescent="0.2">
      <c r="B88" s="22"/>
      <c r="C88" s="22"/>
      <c r="D88" s="22"/>
      <c r="E88" s="22"/>
      <c r="F88" s="22"/>
      <c r="G88" s="22"/>
      <c r="H88" s="22"/>
      <c r="I88" s="22"/>
      <c r="J88" s="22"/>
      <c r="K88" s="22"/>
      <c r="L88" s="22"/>
      <c r="M88" s="22"/>
      <c r="N88" s="22"/>
      <c r="O88" s="22"/>
      <c r="P88" s="22"/>
      <c r="Q88" s="22"/>
      <c r="R88" s="22"/>
      <c r="S88" s="22"/>
      <c r="T88" s="22"/>
      <c r="U88" s="22"/>
      <c r="V88" s="22"/>
      <c r="W88" s="22"/>
      <c r="X88" s="22"/>
      <c r="Y88" s="22"/>
      <c r="Z88" s="22"/>
      <c r="AA88" s="22"/>
      <c r="AB88" s="22"/>
      <c r="AC88" s="22"/>
      <c r="AD88" s="22"/>
      <c r="AE88" s="22"/>
      <c r="AF88" s="22"/>
      <c r="AG88" s="22"/>
      <c r="AH88" s="22"/>
      <c r="AI88" s="22"/>
      <c r="AJ88" s="22"/>
      <c r="AK88" s="22"/>
      <c r="AL88" s="22"/>
      <c r="AM88" s="22"/>
      <c r="AN88" s="22"/>
      <c r="AO88" s="22"/>
      <c r="AP88" s="22"/>
      <c r="AQ88" s="22"/>
      <c r="AR88" s="22"/>
      <c r="AS88" s="22"/>
      <c r="AT88" s="22"/>
      <c r="AU88" s="22"/>
      <c r="AV88" s="22"/>
      <c r="AW88" s="22"/>
      <c r="AX88" s="22"/>
      <c r="AY88" s="22"/>
      <c r="AZ88" s="22"/>
      <c r="BA88" s="22"/>
      <c r="BB88" s="22"/>
      <c r="BC88" s="22"/>
      <c r="BD88" s="22"/>
      <c r="BE88" s="22"/>
      <c r="BF88" s="22"/>
      <c r="BG88" s="22"/>
      <c r="BH88" s="22"/>
      <c r="BI88" s="22"/>
      <c r="BJ88" s="22"/>
      <c r="BK88" s="22"/>
      <c r="BL88" s="22"/>
      <c r="BM88" s="22"/>
      <c r="BN88" s="22"/>
      <c r="BO88" s="22"/>
      <c r="BP88" s="22"/>
      <c r="BQ88" s="22"/>
      <c r="BR88" s="22"/>
      <c r="BS88" s="22"/>
      <c r="BT88" s="22"/>
      <c r="BU88" s="22"/>
      <c r="BV88" s="22"/>
      <c r="BW88" s="22"/>
      <c r="BX88" s="22"/>
      <c r="BY88" s="22"/>
      <c r="BZ88" s="22"/>
      <c r="CA88" s="22"/>
      <c r="CB88" s="22"/>
      <c r="CC88" s="22"/>
      <c r="CD88" s="22"/>
      <c r="CE88" s="22"/>
      <c r="CF88" s="22"/>
      <c r="CG88" s="22"/>
      <c r="CH88" s="22"/>
      <c r="CI88" s="22"/>
      <c r="CJ88" s="22"/>
      <c r="CK88" s="22"/>
      <c r="CL88" s="22"/>
      <c r="CM88" s="22"/>
      <c r="CN88" s="22"/>
      <c r="CO88" s="22"/>
      <c r="CP88" s="22"/>
      <c r="CQ88" s="22"/>
      <c r="CR88" s="22"/>
      <c r="CS88" s="22"/>
      <c r="CT88" s="22"/>
      <c r="CU88" s="22"/>
      <c r="CV88" s="22"/>
      <c r="CW88" s="22"/>
      <c r="CX88" s="22"/>
      <c r="CY88" s="22"/>
      <c r="CZ88" s="22"/>
      <c r="DA88" s="22"/>
      <c r="DB88" s="22"/>
      <c r="DC88" s="22"/>
      <c r="DD88" s="22"/>
      <c r="DE88" s="22"/>
      <c r="DF88" s="22"/>
      <c r="DG88" s="22"/>
      <c r="DH88" s="22"/>
      <c r="DI88" s="22"/>
      <c r="DJ88" s="22"/>
      <c r="DK88" s="22"/>
      <c r="DL88" s="22"/>
      <c r="DM88" s="22"/>
      <c r="DN88" s="22"/>
      <c r="DO88" s="22"/>
      <c r="DP88" s="22"/>
      <c r="DQ88" s="22"/>
      <c r="DR88" s="22"/>
      <c r="DS88" s="22"/>
      <c r="DT88" s="22"/>
      <c r="DU88" s="22"/>
      <c r="DV88" s="22"/>
      <c r="DW88" s="22"/>
      <c r="DX88" s="22"/>
      <c r="DY88" s="22"/>
      <c r="DZ88" s="22"/>
      <c r="EA88" s="22"/>
      <c r="EB88" s="22"/>
      <c r="EC88" s="22"/>
      <c r="ED88" s="22"/>
      <c r="EE88" s="22"/>
      <c r="EF88" s="22"/>
      <c r="EG88" s="22"/>
      <c r="EH88" s="22"/>
      <c r="EI88" s="22"/>
      <c r="EJ88" s="22"/>
      <c r="EK88" s="22"/>
      <c r="EL88" s="22"/>
      <c r="EM88" s="22"/>
      <c r="EN88" s="22"/>
      <c r="EO88" s="22"/>
      <c r="EP88" s="22"/>
      <c r="EQ88" s="22"/>
      <c r="ER88" s="22"/>
      <c r="ES88" s="22"/>
      <c r="ET88" s="22"/>
      <c r="EU88" s="22"/>
      <c r="EV88" s="22"/>
      <c r="EW88" s="22"/>
      <c r="EX88" s="22"/>
      <c r="EY88" s="22"/>
      <c r="EZ88" s="22"/>
      <c r="FA88" s="22"/>
      <c r="FB88" s="22"/>
      <c r="FC88" s="22"/>
      <c r="FD88" s="22"/>
      <c r="FE88" s="22"/>
      <c r="FF88" s="22"/>
      <c r="FG88" s="22"/>
      <c r="FH88" s="22"/>
      <c r="FI88" s="22"/>
      <c r="FJ88" s="22"/>
      <c r="FK88" s="22"/>
      <c r="FL88" s="22"/>
      <c r="FM88" s="22"/>
      <c r="FN88" s="22"/>
      <c r="FO88" s="22"/>
      <c r="FP88" s="22"/>
      <c r="FQ88" s="22"/>
      <c r="FR88" s="22"/>
      <c r="FS88" s="22"/>
      <c r="FT88" s="22"/>
      <c r="FU88" s="22"/>
      <c r="FV88" s="22"/>
      <c r="FW88" s="22"/>
      <c r="FX88" s="22"/>
      <c r="FY88" s="22"/>
      <c r="FZ88" s="22"/>
    </row>
    <row r="89" spans="2:182" x14ac:dyDescent="0.2">
      <c r="B89" s="22"/>
      <c r="C89" s="22"/>
      <c r="D89" s="22"/>
      <c r="E89" s="22"/>
      <c r="F89" s="22"/>
      <c r="G89" s="22"/>
      <c r="H89" s="22"/>
      <c r="I89" s="22"/>
      <c r="J89" s="22"/>
      <c r="K89" s="22"/>
      <c r="L89" s="22"/>
      <c r="M89" s="22"/>
      <c r="N89" s="22"/>
      <c r="O89" s="22"/>
      <c r="P89" s="22"/>
      <c r="Q89" s="22"/>
      <c r="R89" s="22"/>
      <c r="S89" s="22"/>
      <c r="T89" s="22"/>
      <c r="U89" s="22"/>
      <c r="V89" s="22"/>
      <c r="W89" s="22"/>
      <c r="X89" s="22"/>
      <c r="Y89" s="22"/>
      <c r="Z89" s="22"/>
      <c r="AA89" s="22"/>
      <c r="AB89" s="22"/>
      <c r="AC89" s="22"/>
      <c r="AD89" s="22"/>
      <c r="AE89" s="22"/>
      <c r="AF89" s="22"/>
      <c r="AG89" s="22"/>
      <c r="AH89" s="22"/>
      <c r="AI89" s="22"/>
      <c r="AJ89" s="22"/>
      <c r="AK89" s="22"/>
      <c r="AL89" s="22"/>
      <c r="AM89" s="22"/>
      <c r="AN89" s="22"/>
      <c r="AO89" s="22"/>
      <c r="AP89" s="22"/>
      <c r="AQ89" s="22"/>
      <c r="AR89" s="22"/>
      <c r="AS89" s="22"/>
      <c r="AT89" s="22"/>
      <c r="AU89" s="22"/>
      <c r="AV89" s="22"/>
      <c r="AW89" s="22"/>
      <c r="AX89" s="22"/>
      <c r="AY89" s="22"/>
      <c r="AZ89" s="22"/>
      <c r="BA89" s="22"/>
      <c r="BB89" s="22"/>
      <c r="BC89" s="22"/>
      <c r="BD89" s="22"/>
      <c r="BE89" s="22"/>
      <c r="BF89" s="22"/>
      <c r="BG89" s="22"/>
      <c r="BH89" s="22"/>
      <c r="BI89" s="22"/>
      <c r="BJ89" s="22"/>
      <c r="BK89" s="22"/>
      <c r="BL89" s="22"/>
      <c r="BM89" s="22"/>
      <c r="BN89" s="22"/>
      <c r="BO89" s="22"/>
      <c r="BP89" s="22"/>
      <c r="BQ89" s="22"/>
      <c r="BR89" s="22"/>
      <c r="BS89" s="22"/>
      <c r="BT89" s="22"/>
      <c r="BU89" s="22"/>
      <c r="BV89" s="22"/>
      <c r="BW89" s="22"/>
      <c r="BX89" s="22"/>
      <c r="BY89" s="22"/>
      <c r="BZ89" s="22"/>
      <c r="CA89" s="22"/>
      <c r="CB89" s="22"/>
      <c r="CC89" s="22"/>
      <c r="CD89" s="22"/>
      <c r="CE89" s="22"/>
      <c r="CF89" s="22"/>
      <c r="CG89" s="22"/>
      <c r="CH89" s="22"/>
      <c r="CI89" s="22"/>
      <c r="CJ89" s="22"/>
      <c r="CK89" s="22"/>
      <c r="CL89" s="22"/>
      <c r="CM89" s="22"/>
      <c r="CN89" s="22"/>
      <c r="CO89" s="22"/>
      <c r="CP89" s="22"/>
      <c r="CQ89" s="22"/>
      <c r="CR89" s="22"/>
      <c r="CS89" s="22"/>
      <c r="CT89" s="22"/>
      <c r="CU89" s="22"/>
      <c r="CV89" s="22"/>
      <c r="CW89" s="22"/>
      <c r="CX89" s="22"/>
      <c r="CY89" s="22"/>
      <c r="CZ89" s="22"/>
      <c r="DA89" s="22"/>
      <c r="DB89" s="22"/>
      <c r="DC89" s="22"/>
      <c r="DD89" s="22"/>
      <c r="DE89" s="22"/>
      <c r="DF89" s="22"/>
      <c r="DG89" s="22"/>
      <c r="DH89" s="22"/>
      <c r="DI89" s="22"/>
      <c r="DJ89" s="22"/>
      <c r="DK89" s="22"/>
      <c r="DL89" s="22"/>
      <c r="DM89" s="22"/>
      <c r="DN89" s="22"/>
      <c r="DO89" s="22"/>
      <c r="DP89" s="22"/>
      <c r="DQ89" s="22"/>
      <c r="DR89" s="22"/>
      <c r="DS89" s="22"/>
      <c r="DT89" s="22"/>
      <c r="DU89" s="22"/>
      <c r="DV89" s="22"/>
      <c r="DW89" s="22"/>
      <c r="DX89" s="22"/>
      <c r="DY89" s="22"/>
      <c r="DZ89" s="22"/>
      <c r="EA89" s="22"/>
      <c r="EB89" s="22"/>
      <c r="EC89" s="22"/>
      <c r="ED89" s="22"/>
      <c r="EE89" s="22"/>
      <c r="EF89" s="22"/>
      <c r="EG89" s="22"/>
      <c r="EH89" s="22"/>
      <c r="EI89" s="22"/>
      <c r="EJ89" s="22"/>
      <c r="EK89" s="22"/>
      <c r="EL89" s="22"/>
      <c r="EM89" s="22"/>
      <c r="EN89" s="22"/>
      <c r="EO89" s="22"/>
      <c r="EP89" s="22"/>
      <c r="EQ89" s="22"/>
      <c r="ER89" s="22"/>
      <c r="ES89" s="22"/>
      <c r="ET89" s="22"/>
      <c r="EU89" s="22"/>
      <c r="EV89" s="22"/>
      <c r="EW89" s="22"/>
      <c r="EX89" s="22"/>
      <c r="EY89" s="22"/>
      <c r="EZ89" s="22"/>
      <c r="FA89" s="22"/>
      <c r="FB89" s="22"/>
      <c r="FC89" s="22"/>
      <c r="FD89" s="22"/>
      <c r="FE89" s="22"/>
      <c r="FF89" s="22"/>
      <c r="FG89" s="22"/>
      <c r="FH89" s="22"/>
      <c r="FI89" s="22"/>
      <c r="FJ89" s="22"/>
      <c r="FK89" s="22"/>
      <c r="FL89" s="22"/>
      <c r="FM89" s="22"/>
      <c r="FN89" s="22"/>
      <c r="FO89" s="22"/>
      <c r="FP89" s="22"/>
      <c r="FQ89" s="22"/>
      <c r="FR89" s="22"/>
      <c r="FS89" s="22"/>
      <c r="FT89" s="22"/>
      <c r="FU89" s="22"/>
      <c r="FV89" s="22"/>
      <c r="FW89" s="22"/>
      <c r="FX89" s="22"/>
      <c r="FY89" s="22"/>
      <c r="FZ89" s="22"/>
    </row>
    <row r="90" spans="2:182" x14ac:dyDescent="0.2">
      <c r="B90" s="22"/>
      <c r="C90" s="22"/>
      <c r="D90" s="22"/>
      <c r="E90" s="22"/>
      <c r="F90" s="22"/>
      <c r="G90" s="22"/>
      <c r="H90" s="22"/>
      <c r="I90" s="22"/>
      <c r="J90" s="22"/>
      <c r="K90" s="22"/>
      <c r="L90" s="22"/>
      <c r="M90" s="22"/>
      <c r="N90" s="22"/>
      <c r="O90" s="22"/>
      <c r="P90" s="22"/>
      <c r="Q90" s="22"/>
      <c r="R90" s="22"/>
      <c r="S90" s="22"/>
      <c r="T90" s="22"/>
      <c r="U90" s="22"/>
      <c r="V90" s="22"/>
      <c r="W90" s="22"/>
      <c r="X90" s="22"/>
      <c r="Y90" s="22"/>
      <c r="Z90" s="22"/>
      <c r="AA90" s="22"/>
      <c r="AB90" s="22"/>
      <c r="AC90" s="22"/>
      <c r="AD90" s="22"/>
      <c r="AE90" s="22"/>
      <c r="AF90" s="22"/>
      <c r="AG90" s="22"/>
      <c r="AH90" s="22"/>
      <c r="AI90" s="22"/>
      <c r="AJ90" s="22"/>
      <c r="AK90" s="22"/>
      <c r="AL90" s="22"/>
      <c r="AM90" s="22"/>
      <c r="AN90" s="22"/>
      <c r="AO90" s="22"/>
      <c r="AP90" s="22"/>
      <c r="AQ90" s="22"/>
      <c r="AR90" s="22"/>
      <c r="AS90" s="22"/>
      <c r="AT90" s="22"/>
      <c r="AU90" s="22"/>
      <c r="AV90" s="22"/>
      <c r="AW90" s="22"/>
      <c r="AX90" s="22"/>
      <c r="AY90" s="22"/>
      <c r="AZ90" s="22"/>
      <c r="BA90" s="22"/>
      <c r="BB90" s="22"/>
      <c r="BC90" s="22"/>
      <c r="BD90" s="22"/>
      <c r="BE90" s="22"/>
      <c r="BF90" s="22"/>
      <c r="BG90" s="22"/>
      <c r="BH90" s="22"/>
      <c r="BI90" s="22"/>
      <c r="BJ90" s="22"/>
      <c r="BK90" s="22"/>
      <c r="BL90" s="22"/>
      <c r="BM90" s="22"/>
      <c r="BN90" s="22"/>
      <c r="BO90" s="22"/>
      <c r="BP90" s="22"/>
      <c r="BQ90" s="22"/>
      <c r="BR90" s="22"/>
      <c r="BS90" s="22"/>
      <c r="BT90" s="22"/>
      <c r="BU90" s="22"/>
      <c r="BV90" s="22"/>
      <c r="BW90" s="22"/>
      <c r="BX90" s="22"/>
      <c r="BY90" s="22"/>
      <c r="BZ90" s="22"/>
      <c r="CA90" s="22"/>
      <c r="CB90" s="22"/>
      <c r="CC90" s="22"/>
      <c r="CD90" s="22"/>
      <c r="CE90" s="22"/>
      <c r="CF90" s="22"/>
      <c r="CG90" s="22"/>
      <c r="CH90" s="22"/>
      <c r="CI90" s="22"/>
      <c r="CJ90" s="22"/>
      <c r="CK90" s="22"/>
      <c r="CL90" s="22"/>
      <c r="CM90" s="22"/>
      <c r="CN90" s="22"/>
      <c r="CO90" s="22"/>
      <c r="CP90" s="22"/>
      <c r="CQ90" s="22"/>
      <c r="CR90" s="22"/>
      <c r="CS90" s="22"/>
      <c r="CT90" s="22"/>
      <c r="CU90" s="22"/>
      <c r="CV90" s="22"/>
      <c r="CW90" s="22"/>
      <c r="CX90" s="22"/>
      <c r="CY90" s="22"/>
      <c r="CZ90" s="22"/>
      <c r="DA90" s="22"/>
      <c r="DB90" s="22"/>
      <c r="DC90" s="22"/>
      <c r="DD90" s="22"/>
      <c r="DE90" s="22"/>
      <c r="DF90" s="22"/>
      <c r="DG90" s="22"/>
      <c r="DH90" s="22"/>
      <c r="DI90" s="22"/>
      <c r="DJ90" s="22"/>
      <c r="DK90" s="22"/>
      <c r="DL90" s="22"/>
      <c r="DM90" s="22"/>
      <c r="DN90" s="22"/>
      <c r="DO90" s="22"/>
      <c r="DP90" s="22"/>
      <c r="DQ90" s="22"/>
      <c r="DR90" s="22"/>
      <c r="DS90" s="22"/>
      <c r="DT90" s="22"/>
      <c r="DU90" s="22"/>
      <c r="DV90" s="22"/>
      <c r="DW90" s="22"/>
      <c r="DX90" s="22"/>
      <c r="DY90" s="22"/>
      <c r="DZ90" s="22"/>
      <c r="EA90" s="22"/>
      <c r="EB90" s="22"/>
      <c r="EC90" s="22"/>
      <c r="ED90" s="22"/>
      <c r="EE90" s="22"/>
      <c r="EF90" s="22"/>
      <c r="EG90" s="22"/>
      <c r="EH90" s="22"/>
      <c r="EI90" s="22"/>
      <c r="EJ90" s="22"/>
      <c r="EK90" s="22"/>
      <c r="EL90" s="22"/>
      <c r="EM90" s="22"/>
      <c r="EN90" s="22"/>
      <c r="EO90" s="22"/>
      <c r="EP90" s="22"/>
      <c r="EQ90" s="22"/>
      <c r="ER90" s="22"/>
      <c r="ES90" s="22"/>
      <c r="ET90" s="22"/>
      <c r="EU90" s="22"/>
      <c r="EV90" s="22"/>
      <c r="EW90" s="22"/>
      <c r="EX90" s="22"/>
      <c r="EY90" s="22"/>
      <c r="EZ90" s="22"/>
      <c r="FA90" s="22"/>
      <c r="FB90" s="22"/>
      <c r="FC90" s="22"/>
      <c r="FD90" s="22"/>
      <c r="FE90" s="22"/>
      <c r="FF90" s="22"/>
      <c r="FG90" s="22"/>
      <c r="FH90" s="22"/>
      <c r="FI90" s="22"/>
      <c r="FJ90" s="22"/>
      <c r="FK90" s="22"/>
      <c r="FL90" s="22"/>
      <c r="FM90" s="22"/>
      <c r="FN90" s="22"/>
      <c r="FO90" s="22"/>
      <c r="FP90" s="22"/>
      <c r="FQ90" s="22"/>
      <c r="FR90" s="22"/>
      <c r="FS90" s="22"/>
      <c r="FT90" s="22"/>
      <c r="FU90" s="22"/>
      <c r="FV90" s="22"/>
      <c r="FW90" s="22"/>
      <c r="FX90" s="22"/>
      <c r="FY90" s="22"/>
      <c r="FZ90" s="22"/>
    </row>
    <row r="91" spans="2:182" x14ac:dyDescent="0.2">
      <c r="B91" s="22"/>
      <c r="C91" s="22"/>
      <c r="D91" s="22"/>
      <c r="E91" s="22"/>
      <c r="F91" s="22"/>
      <c r="G91" s="22"/>
      <c r="H91" s="22"/>
      <c r="I91" s="22"/>
      <c r="J91" s="22"/>
      <c r="K91" s="22"/>
      <c r="L91" s="22"/>
      <c r="M91" s="22"/>
      <c r="N91" s="22"/>
      <c r="O91" s="22"/>
      <c r="P91" s="22"/>
      <c r="Q91" s="22"/>
      <c r="R91" s="22"/>
      <c r="S91" s="22"/>
      <c r="T91" s="22"/>
      <c r="U91" s="22"/>
      <c r="V91" s="22"/>
      <c r="W91" s="22"/>
      <c r="X91" s="22"/>
      <c r="Y91" s="22"/>
      <c r="Z91" s="22"/>
      <c r="AA91" s="22"/>
      <c r="AB91" s="22"/>
      <c r="AC91" s="22"/>
      <c r="AD91" s="22"/>
      <c r="AE91" s="22"/>
      <c r="AF91" s="22"/>
      <c r="AG91" s="22"/>
      <c r="AH91" s="22"/>
      <c r="AI91" s="22"/>
      <c r="AJ91" s="22"/>
      <c r="AK91" s="22"/>
      <c r="AL91" s="22"/>
      <c r="AM91" s="22"/>
      <c r="AN91" s="22"/>
      <c r="AO91" s="22"/>
      <c r="AP91" s="22"/>
      <c r="AQ91" s="22"/>
      <c r="AR91" s="22"/>
      <c r="AS91" s="22"/>
      <c r="AT91" s="22"/>
      <c r="AU91" s="22"/>
      <c r="AV91" s="22"/>
      <c r="AW91" s="22"/>
      <c r="AX91" s="22"/>
      <c r="AY91" s="22"/>
      <c r="AZ91" s="22"/>
      <c r="BA91" s="22"/>
      <c r="BB91" s="22"/>
      <c r="BC91" s="22"/>
      <c r="BD91" s="22"/>
      <c r="BE91" s="22"/>
      <c r="BF91" s="22"/>
      <c r="BG91" s="22"/>
      <c r="BH91" s="22"/>
      <c r="BI91" s="22"/>
      <c r="BJ91" s="22"/>
      <c r="BK91" s="22"/>
      <c r="BL91" s="22"/>
      <c r="BM91" s="22"/>
      <c r="BN91" s="22"/>
      <c r="BO91" s="22"/>
      <c r="BP91" s="22"/>
      <c r="BQ91" s="22"/>
      <c r="BR91" s="22"/>
      <c r="BS91" s="22"/>
      <c r="BT91" s="22"/>
      <c r="BU91" s="22"/>
      <c r="BV91" s="22"/>
      <c r="BW91" s="22"/>
      <c r="BX91" s="22"/>
      <c r="BY91" s="22"/>
      <c r="BZ91" s="22"/>
      <c r="CA91" s="22"/>
      <c r="CB91" s="22"/>
      <c r="CC91" s="22"/>
      <c r="CD91" s="22"/>
      <c r="CE91" s="22"/>
      <c r="CF91" s="22"/>
      <c r="CG91" s="22"/>
      <c r="CH91" s="22"/>
      <c r="CI91" s="22"/>
      <c r="CJ91" s="22"/>
      <c r="CK91" s="22"/>
      <c r="CL91" s="22"/>
      <c r="CM91" s="22"/>
      <c r="CN91" s="22"/>
      <c r="CO91" s="22"/>
      <c r="CP91" s="22"/>
      <c r="CQ91" s="22"/>
      <c r="CR91" s="22"/>
      <c r="CS91" s="22"/>
      <c r="CT91" s="22"/>
      <c r="CU91" s="22"/>
      <c r="CV91" s="22"/>
      <c r="CW91" s="22"/>
      <c r="CX91" s="22"/>
      <c r="CY91" s="22"/>
      <c r="CZ91" s="22"/>
      <c r="DA91" s="22"/>
      <c r="DB91" s="22"/>
      <c r="DC91" s="22"/>
      <c r="DD91" s="22"/>
      <c r="DE91" s="22"/>
      <c r="DF91" s="22"/>
      <c r="DG91" s="22"/>
      <c r="DH91" s="22"/>
      <c r="DI91" s="22"/>
      <c r="DJ91" s="22"/>
      <c r="DK91" s="22"/>
      <c r="DL91" s="22"/>
      <c r="DM91" s="22"/>
      <c r="DN91" s="22"/>
      <c r="DO91" s="22"/>
      <c r="DP91" s="22"/>
      <c r="DQ91" s="22"/>
      <c r="DR91" s="22"/>
      <c r="DS91" s="22"/>
      <c r="DT91" s="22"/>
      <c r="DU91" s="22"/>
      <c r="DV91" s="22"/>
      <c r="DW91" s="22"/>
      <c r="DX91" s="22"/>
      <c r="DY91" s="22"/>
      <c r="DZ91" s="22"/>
      <c r="EA91" s="22"/>
      <c r="EB91" s="22"/>
      <c r="EC91" s="22"/>
      <c r="ED91" s="22"/>
      <c r="EE91" s="22"/>
      <c r="EF91" s="22"/>
      <c r="EG91" s="22"/>
      <c r="EH91" s="22"/>
      <c r="EI91" s="22"/>
      <c r="EJ91" s="22"/>
      <c r="EK91" s="22"/>
      <c r="EL91" s="22"/>
      <c r="EM91" s="22"/>
      <c r="EN91" s="22"/>
      <c r="EO91" s="22"/>
      <c r="EP91" s="22"/>
      <c r="EQ91" s="22"/>
      <c r="ER91" s="22"/>
      <c r="ES91" s="22"/>
      <c r="ET91" s="22"/>
      <c r="EU91" s="22"/>
      <c r="EV91" s="22"/>
      <c r="EW91" s="22"/>
      <c r="EX91" s="22"/>
      <c r="EY91" s="22"/>
      <c r="EZ91" s="22"/>
      <c r="FA91" s="22"/>
      <c r="FB91" s="22"/>
      <c r="FC91" s="22"/>
      <c r="FD91" s="22"/>
      <c r="FE91" s="22"/>
      <c r="FF91" s="22"/>
      <c r="FG91" s="22"/>
      <c r="FH91" s="22"/>
      <c r="FI91" s="22"/>
      <c r="FJ91" s="22"/>
      <c r="FK91" s="22"/>
      <c r="FL91" s="22"/>
      <c r="FM91" s="22"/>
      <c r="FN91" s="22"/>
      <c r="FO91" s="22"/>
      <c r="FP91" s="22"/>
      <c r="FQ91" s="22"/>
      <c r="FR91" s="22"/>
      <c r="FS91" s="22"/>
      <c r="FT91" s="22"/>
      <c r="FU91" s="22"/>
      <c r="FV91" s="22"/>
      <c r="FW91" s="22"/>
      <c r="FX91" s="22"/>
      <c r="FY91" s="22"/>
      <c r="FZ91" s="22"/>
    </row>
    <row r="92" spans="2:182" x14ac:dyDescent="0.2">
      <c r="B92" s="22"/>
      <c r="C92" s="22"/>
      <c r="D92" s="22"/>
      <c r="E92" s="22"/>
      <c r="F92" s="22"/>
      <c r="G92" s="22"/>
      <c r="H92" s="22"/>
      <c r="I92" s="22"/>
      <c r="J92" s="22"/>
      <c r="K92" s="22"/>
      <c r="L92" s="22"/>
      <c r="M92" s="22"/>
      <c r="N92" s="22"/>
      <c r="O92" s="22"/>
      <c r="P92" s="22"/>
      <c r="Q92" s="22"/>
      <c r="R92" s="22"/>
      <c r="S92" s="22"/>
      <c r="T92" s="22"/>
      <c r="U92" s="22"/>
      <c r="V92" s="22"/>
      <c r="W92" s="22"/>
      <c r="X92" s="22"/>
      <c r="Y92" s="22"/>
      <c r="Z92" s="22"/>
      <c r="AA92" s="22"/>
      <c r="AB92" s="22"/>
      <c r="AC92" s="22"/>
      <c r="AD92" s="22"/>
      <c r="AE92" s="22"/>
      <c r="AF92" s="22"/>
      <c r="AG92" s="22"/>
      <c r="AH92" s="22"/>
      <c r="AI92" s="22"/>
      <c r="AJ92" s="22"/>
      <c r="AK92" s="22"/>
      <c r="AL92" s="22"/>
      <c r="AM92" s="22"/>
      <c r="AN92" s="22"/>
      <c r="AO92" s="22"/>
      <c r="AP92" s="22"/>
      <c r="AQ92" s="22"/>
      <c r="AR92" s="22"/>
      <c r="AS92" s="22"/>
      <c r="AT92" s="22"/>
      <c r="AU92" s="22"/>
      <c r="AV92" s="22"/>
      <c r="AW92" s="22"/>
      <c r="AX92" s="22"/>
      <c r="AY92" s="22"/>
      <c r="AZ92" s="22"/>
      <c r="BA92" s="22"/>
      <c r="BB92" s="22"/>
      <c r="BC92" s="22"/>
      <c r="BD92" s="22"/>
      <c r="BE92" s="22"/>
      <c r="BF92" s="22"/>
      <c r="BG92" s="22"/>
      <c r="BH92" s="22"/>
      <c r="BI92" s="22"/>
      <c r="BJ92" s="22"/>
      <c r="BK92" s="22"/>
      <c r="BL92" s="22"/>
      <c r="BM92" s="22"/>
      <c r="BN92" s="22"/>
      <c r="BO92" s="22"/>
      <c r="BP92" s="22"/>
      <c r="BQ92" s="22"/>
      <c r="BR92" s="22"/>
      <c r="BS92" s="22"/>
      <c r="BT92" s="22"/>
      <c r="BU92" s="22"/>
      <c r="BV92" s="22"/>
      <c r="BW92" s="22"/>
      <c r="BX92" s="22"/>
      <c r="BY92" s="22"/>
      <c r="BZ92" s="22"/>
      <c r="CA92" s="22"/>
      <c r="CB92" s="22"/>
      <c r="CC92" s="22"/>
      <c r="CD92" s="22"/>
      <c r="CE92" s="22"/>
      <c r="CF92" s="22"/>
      <c r="CG92" s="22"/>
      <c r="CH92" s="22"/>
      <c r="CI92" s="22"/>
      <c r="CJ92" s="22"/>
      <c r="CK92" s="22"/>
      <c r="CL92" s="22"/>
      <c r="CM92" s="22"/>
      <c r="CN92" s="22"/>
      <c r="CO92" s="22"/>
      <c r="CP92" s="22"/>
      <c r="CQ92" s="22"/>
      <c r="CR92" s="22"/>
      <c r="CS92" s="22"/>
      <c r="CT92" s="22"/>
      <c r="CU92" s="22"/>
      <c r="CV92" s="22"/>
      <c r="CW92" s="22"/>
      <c r="CX92" s="22"/>
      <c r="CY92" s="22"/>
      <c r="CZ92" s="22"/>
      <c r="DA92" s="22"/>
      <c r="DB92" s="22"/>
      <c r="DC92" s="22"/>
      <c r="DD92" s="22"/>
      <c r="DE92" s="22"/>
      <c r="DF92" s="22"/>
      <c r="DG92" s="22"/>
      <c r="DH92" s="22"/>
      <c r="DI92" s="22"/>
      <c r="DJ92" s="22"/>
      <c r="DK92" s="22"/>
      <c r="DL92" s="22"/>
      <c r="DM92" s="22"/>
      <c r="DN92" s="22"/>
      <c r="DO92" s="22"/>
      <c r="DP92" s="22"/>
      <c r="DQ92" s="22"/>
      <c r="DR92" s="22"/>
      <c r="DS92" s="22"/>
      <c r="DT92" s="22"/>
      <c r="DU92" s="22"/>
      <c r="DV92" s="22"/>
      <c r="DW92" s="22"/>
      <c r="DX92" s="22"/>
      <c r="DY92" s="22"/>
      <c r="DZ92" s="22"/>
      <c r="EA92" s="22"/>
      <c r="EB92" s="22"/>
      <c r="EC92" s="22"/>
      <c r="ED92" s="22"/>
      <c r="EE92" s="22"/>
      <c r="EF92" s="22"/>
      <c r="EG92" s="22"/>
      <c r="EH92" s="22"/>
      <c r="EI92" s="22"/>
      <c r="EJ92" s="22"/>
      <c r="EK92" s="22"/>
      <c r="EL92" s="22"/>
      <c r="EM92" s="22"/>
      <c r="EN92" s="22"/>
      <c r="EO92" s="22"/>
      <c r="EP92" s="22"/>
      <c r="EQ92" s="22"/>
      <c r="ER92" s="22"/>
      <c r="ES92" s="22"/>
      <c r="ET92" s="22"/>
      <c r="EU92" s="22"/>
      <c r="EV92" s="22"/>
      <c r="EW92" s="22"/>
      <c r="EX92" s="22"/>
      <c r="EY92" s="22"/>
      <c r="EZ92" s="22"/>
      <c r="FA92" s="22"/>
      <c r="FB92" s="22"/>
      <c r="FC92" s="22"/>
      <c r="FD92" s="22"/>
      <c r="FE92" s="22"/>
      <c r="FF92" s="22"/>
      <c r="FG92" s="22"/>
      <c r="FH92" s="22"/>
      <c r="FI92" s="22"/>
      <c r="FJ92" s="22"/>
      <c r="FK92" s="22"/>
      <c r="FL92" s="22"/>
      <c r="FM92" s="22"/>
      <c r="FN92" s="22"/>
      <c r="FO92" s="22"/>
      <c r="FP92" s="22"/>
      <c r="FQ92" s="22"/>
      <c r="FR92" s="22"/>
      <c r="FS92" s="22"/>
      <c r="FT92" s="22"/>
      <c r="FU92" s="22"/>
      <c r="FV92" s="22"/>
      <c r="FW92" s="22"/>
      <c r="FX92" s="22"/>
      <c r="FY92" s="22"/>
      <c r="FZ92" s="22"/>
    </row>
    <row r="93" spans="2:182" x14ac:dyDescent="0.2">
      <c r="B93" s="22"/>
      <c r="C93" s="22"/>
      <c r="D93" s="22"/>
      <c r="E93" s="22"/>
      <c r="F93" s="22"/>
      <c r="G93" s="22"/>
      <c r="H93" s="22"/>
      <c r="I93" s="22"/>
      <c r="J93" s="22"/>
      <c r="K93" s="22"/>
      <c r="L93" s="22"/>
      <c r="M93" s="22"/>
      <c r="N93" s="22"/>
      <c r="O93" s="22"/>
      <c r="P93" s="22"/>
      <c r="Q93" s="22"/>
      <c r="R93" s="22"/>
      <c r="S93" s="22"/>
      <c r="T93" s="22"/>
      <c r="U93" s="22"/>
      <c r="V93" s="22"/>
      <c r="W93" s="22"/>
      <c r="X93" s="22"/>
      <c r="Y93" s="22"/>
      <c r="Z93" s="22"/>
      <c r="AA93" s="22"/>
      <c r="AB93" s="22"/>
      <c r="AC93" s="22"/>
      <c r="AD93" s="22"/>
      <c r="AE93" s="22"/>
      <c r="AF93" s="22"/>
      <c r="AG93" s="22"/>
      <c r="AH93" s="22"/>
      <c r="AI93" s="22"/>
      <c r="AJ93" s="22"/>
      <c r="AK93" s="22"/>
      <c r="AL93" s="22"/>
      <c r="AM93" s="22"/>
      <c r="AN93" s="22"/>
      <c r="AO93" s="22"/>
      <c r="AP93" s="22"/>
      <c r="AQ93" s="22"/>
      <c r="AR93" s="22"/>
      <c r="AS93" s="22"/>
      <c r="AT93" s="22"/>
      <c r="AU93" s="22"/>
      <c r="AV93" s="22"/>
      <c r="AW93" s="22"/>
      <c r="AX93" s="22"/>
      <c r="AY93" s="22"/>
      <c r="AZ93" s="22"/>
      <c r="BA93" s="22"/>
      <c r="BB93" s="22"/>
      <c r="BC93" s="22"/>
      <c r="BD93" s="22"/>
      <c r="BE93" s="22"/>
      <c r="BF93" s="22"/>
      <c r="BG93" s="22"/>
      <c r="BH93" s="22"/>
      <c r="BI93" s="22"/>
      <c r="BJ93" s="22"/>
      <c r="BK93" s="22"/>
      <c r="BL93" s="22"/>
      <c r="BM93" s="22"/>
      <c r="BN93" s="22"/>
      <c r="BO93" s="22"/>
      <c r="BP93" s="22"/>
      <c r="BQ93" s="22"/>
      <c r="BR93" s="22"/>
      <c r="BS93" s="22"/>
      <c r="BT93" s="22"/>
      <c r="BU93" s="22"/>
      <c r="BV93" s="22"/>
      <c r="BW93" s="22"/>
      <c r="BX93" s="22"/>
      <c r="BY93" s="22"/>
      <c r="BZ93" s="22"/>
      <c r="CA93" s="22"/>
      <c r="CB93" s="22"/>
      <c r="CC93" s="22"/>
      <c r="CD93" s="22"/>
      <c r="CE93" s="22"/>
      <c r="CF93" s="22"/>
      <c r="CG93" s="22"/>
      <c r="CH93" s="22"/>
      <c r="CI93" s="22"/>
      <c r="CJ93" s="22"/>
      <c r="CK93" s="22"/>
      <c r="CL93" s="22"/>
      <c r="CM93" s="22"/>
      <c r="CN93" s="22"/>
      <c r="CO93" s="22"/>
      <c r="CP93" s="22"/>
      <c r="CQ93" s="22"/>
      <c r="CR93" s="22"/>
      <c r="CS93" s="22"/>
      <c r="CT93" s="22"/>
      <c r="CU93" s="22"/>
      <c r="CV93" s="22"/>
      <c r="CW93" s="22"/>
      <c r="CX93" s="22"/>
      <c r="CY93" s="22"/>
      <c r="CZ93" s="22"/>
      <c r="DA93" s="22"/>
      <c r="DB93" s="22"/>
      <c r="DC93" s="22"/>
      <c r="DD93" s="22"/>
      <c r="DE93" s="22"/>
      <c r="DF93" s="22"/>
      <c r="DG93" s="22"/>
      <c r="DH93" s="22"/>
      <c r="DI93" s="22"/>
      <c r="DJ93" s="22"/>
      <c r="DK93" s="22"/>
      <c r="DL93" s="22"/>
      <c r="DM93" s="22"/>
      <c r="DN93" s="22"/>
      <c r="DO93" s="22"/>
      <c r="DP93" s="22"/>
      <c r="DQ93" s="22"/>
      <c r="DR93" s="22"/>
      <c r="DS93" s="22"/>
      <c r="DT93" s="22"/>
      <c r="DU93" s="22"/>
      <c r="DV93" s="22"/>
      <c r="DW93" s="22"/>
      <c r="DX93" s="22"/>
      <c r="DY93" s="22"/>
      <c r="DZ93" s="22"/>
      <c r="EA93" s="22"/>
      <c r="EB93" s="22"/>
      <c r="EC93" s="22"/>
      <c r="ED93" s="22"/>
      <c r="EE93" s="22"/>
      <c r="EF93" s="22"/>
      <c r="EG93" s="22"/>
      <c r="EH93" s="22"/>
      <c r="EI93" s="22"/>
      <c r="EJ93" s="22"/>
      <c r="EK93" s="22"/>
      <c r="EL93" s="22"/>
      <c r="EM93" s="22"/>
      <c r="EN93" s="22"/>
      <c r="EO93" s="22"/>
      <c r="EP93" s="22"/>
      <c r="EQ93" s="22"/>
      <c r="ER93" s="22"/>
      <c r="ES93" s="22"/>
      <c r="ET93" s="22"/>
      <c r="EU93" s="22"/>
      <c r="EV93" s="22"/>
      <c r="EW93" s="22"/>
      <c r="EX93" s="22"/>
      <c r="EY93" s="22"/>
      <c r="EZ93" s="22"/>
      <c r="FA93" s="22"/>
      <c r="FB93" s="22"/>
      <c r="FC93" s="22"/>
      <c r="FD93" s="22"/>
      <c r="FE93" s="22"/>
      <c r="FF93" s="22"/>
      <c r="FG93" s="22"/>
      <c r="FH93" s="22"/>
      <c r="FI93" s="22"/>
      <c r="FJ93" s="22"/>
      <c r="FK93" s="22"/>
      <c r="FL93" s="22"/>
      <c r="FM93" s="22"/>
      <c r="FN93" s="22"/>
      <c r="FO93" s="22"/>
      <c r="FP93" s="22"/>
      <c r="FQ93" s="22"/>
      <c r="FR93" s="22"/>
      <c r="FS93" s="22"/>
      <c r="FT93" s="22"/>
      <c r="FU93" s="22"/>
      <c r="FV93" s="22"/>
      <c r="FW93" s="22"/>
      <c r="FX93" s="22"/>
      <c r="FY93" s="22"/>
      <c r="FZ93" s="22"/>
    </row>
    <row r="94" spans="2:182" x14ac:dyDescent="0.2">
      <c r="B94" s="22"/>
      <c r="C94" s="22"/>
      <c r="D94" s="22"/>
      <c r="E94" s="22"/>
      <c r="F94" s="22"/>
      <c r="G94" s="22"/>
      <c r="H94" s="22"/>
      <c r="I94" s="22"/>
      <c r="J94" s="22"/>
      <c r="K94" s="22"/>
      <c r="L94" s="22"/>
      <c r="M94" s="22"/>
      <c r="N94" s="22"/>
      <c r="O94" s="22"/>
      <c r="P94" s="22"/>
      <c r="Q94" s="22"/>
      <c r="R94" s="22"/>
      <c r="S94" s="22"/>
      <c r="T94" s="22"/>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c r="AV94" s="22"/>
      <c r="AW94" s="22"/>
      <c r="AX94" s="22"/>
      <c r="AY94" s="22"/>
      <c r="AZ94" s="22"/>
      <c r="BA94" s="22"/>
      <c r="BB94" s="22"/>
      <c r="BC94" s="22"/>
      <c r="BD94" s="22"/>
      <c r="BE94" s="22"/>
      <c r="BF94" s="22"/>
      <c r="BG94" s="22"/>
      <c r="BH94" s="22"/>
      <c r="BI94" s="22"/>
      <c r="BJ94" s="22"/>
      <c r="BK94" s="22"/>
      <c r="BL94" s="22"/>
      <c r="BM94" s="22"/>
      <c r="BN94" s="22"/>
      <c r="BO94" s="22"/>
      <c r="BP94" s="22"/>
      <c r="BQ94" s="22"/>
      <c r="BR94" s="22"/>
      <c r="BS94" s="22"/>
      <c r="BT94" s="22"/>
      <c r="BU94" s="22"/>
      <c r="BV94" s="22"/>
      <c r="BW94" s="22"/>
      <c r="BX94" s="22"/>
      <c r="BY94" s="22"/>
      <c r="BZ94" s="22"/>
      <c r="CA94" s="22"/>
      <c r="CB94" s="22"/>
      <c r="CC94" s="22"/>
      <c r="CD94" s="22"/>
      <c r="CE94" s="22"/>
      <c r="CF94" s="22"/>
      <c r="CG94" s="22"/>
      <c r="CH94" s="22"/>
      <c r="CI94" s="22"/>
      <c r="CJ94" s="22"/>
      <c r="CK94" s="22"/>
      <c r="CL94" s="22"/>
      <c r="CM94" s="22"/>
      <c r="CN94" s="22"/>
      <c r="CO94" s="22"/>
      <c r="CP94" s="22"/>
      <c r="CQ94" s="22"/>
      <c r="CR94" s="22"/>
      <c r="CS94" s="22"/>
      <c r="CT94" s="22"/>
      <c r="CU94" s="22"/>
      <c r="CV94" s="22"/>
      <c r="CW94" s="22"/>
      <c r="CX94" s="22"/>
      <c r="CY94" s="22"/>
      <c r="CZ94" s="22"/>
      <c r="DA94" s="22"/>
      <c r="DB94" s="22"/>
      <c r="DC94" s="22"/>
      <c r="DD94" s="22"/>
      <c r="DE94" s="22"/>
      <c r="DF94" s="22"/>
      <c r="DG94" s="22"/>
      <c r="DH94" s="22"/>
      <c r="DI94" s="22"/>
      <c r="DJ94" s="22"/>
      <c r="DK94" s="22"/>
      <c r="DL94" s="22"/>
      <c r="DM94" s="22"/>
      <c r="DN94" s="22"/>
      <c r="DO94" s="22"/>
      <c r="DP94" s="22"/>
      <c r="DQ94" s="22"/>
      <c r="DR94" s="22"/>
      <c r="DS94" s="22"/>
      <c r="DT94" s="22"/>
      <c r="DU94" s="22"/>
      <c r="DV94" s="22"/>
      <c r="DW94" s="22"/>
      <c r="DX94" s="22"/>
      <c r="DY94" s="22"/>
      <c r="DZ94" s="22"/>
      <c r="EA94" s="22"/>
      <c r="EB94" s="22"/>
      <c r="EC94" s="22"/>
      <c r="ED94" s="22"/>
      <c r="EE94" s="22"/>
      <c r="EF94" s="22"/>
      <c r="EG94" s="22"/>
      <c r="EH94" s="22"/>
      <c r="EI94" s="22"/>
      <c r="EJ94" s="22"/>
      <c r="EK94" s="22"/>
      <c r="EL94" s="22"/>
      <c r="EM94" s="22"/>
      <c r="EN94" s="22"/>
      <c r="EO94" s="22"/>
      <c r="EP94" s="22"/>
      <c r="EQ94" s="22"/>
      <c r="ER94" s="22"/>
      <c r="ES94" s="22"/>
      <c r="ET94" s="22"/>
      <c r="EU94" s="22"/>
      <c r="EV94" s="22"/>
      <c r="EW94" s="22"/>
      <c r="EX94" s="22"/>
      <c r="EY94" s="22"/>
      <c r="EZ94" s="22"/>
      <c r="FA94" s="22"/>
      <c r="FB94" s="22"/>
      <c r="FC94" s="22"/>
      <c r="FD94" s="22"/>
      <c r="FE94" s="22"/>
      <c r="FF94" s="22"/>
      <c r="FG94" s="22"/>
      <c r="FH94" s="22"/>
      <c r="FI94" s="22"/>
      <c r="FJ94" s="22"/>
      <c r="FK94" s="22"/>
      <c r="FL94" s="22"/>
      <c r="FM94" s="22"/>
      <c r="FN94" s="22"/>
      <c r="FO94" s="22"/>
      <c r="FP94" s="22"/>
      <c r="FQ94" s="22"/>
      <c r="FR94" s="22"/>
      <c r="FS94" s="22"/>
      <c r="FT94" s="22"/>
      <c r="FU94" s="22"/>
      <c r="FV94" s="22"/>
      <c r="FW94" s="22"/>
      <c r="FX94" s="22"/>
      <c r="FY94" s="22"/>
      <c r="FZ94" s="22"/>
    </row>
    <row r="95" spans="2:182" x14ac:dyDescent="0.2">
      <c r="B95" s="22"/>
      <c r="C95" s="22"/>
      <c r="D95" s="22"/>
      <c r="E95" s="22"/>
      <c r="F95" s="22"/>
      <c r="G95" s="22"/>
      <c r="H95" s="22"/>
      <c r="I95" s="22"/>
      <c r="J95" s="22"/>
      <c r="K95" s="22"/>
      <c r="L95" s="22"/>
      <c r="M95" s="22"/>
      <c r="N95" s="22"/>
      <c r="O95" s="22"/>
      <c r="P95" s="22"/>
      <c r="Q95" s="22"/>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22"/>
      <c r="AW95" s="22"/>
      <c r="AX95" s="22"/>
      <c r="AY95" s="22"/>
      <c r="AZ95" s="22"/>
      <c r="BA95" s="22"/>
      <c r="BB95" s="22"/>
      <c r="BC95" s="22"/>
      <c r="BD95" s="22"/>
      <c r="BE95" s="22"/>
      <c r="BF95" s="22"/>
      <c r="BG95" s="22"/>
      <c r="BH95" s="22"/>
      <c r="BI95" s="22"/>
      <c r="BJ95" s="22"/>
      <c r="BK95" s="22"/>
      <c r="BL95" s="22"/>
      <c r="BM95" s="22"/>
      <c r="BN95" s="22"/>
      <c r="BO95" s="22"/>
      <c r="BP95" s="22"/>
      <c r="BQ95" s="22"/>
      <c r="BR95" s="22"/>
      <c r="BS95" s="22"/>
      <c r="BT95" s="22"/>
      <c r="BU95" s="22"/>
      <c r="BV95" s="22"/>
      <c r="BW95" s="22"/>
      <c r="BX95" s="22"/>
      <c r="BY95" s="22"/>
      <c r="BZ95" s="22"/>
      <c r="CA95" s="22"/>
      <c r="CB95" s="22"/>
      <c r="CC95" s="22"/>
      <c r="CD95" s="22"/>
      <c r="CE95" s="22"/>
      <c r="CF95" s="22"/>
      <c r="CG95" s="22"/>
      <c r="CH95" s="22"/>
      <c r="CI95" s="22"/>
      <c r="CJ95" s="22"/>
      <c r="CK95" s="22"/>
      <c r="CL95" s="22"/>
      <c r="CM95" s="22"/>
      <c r="CN95" s="22"/>
      <c r="CO95" s="22"/>
      <c r="CP95" s="22"/>
      <c r="CQ95" s="22"/>
      <c r="CR95" s="22"/>
      <c r="CS95" s="22"/>
      <c r="CT95" s="22"/>
      <c r="CU95" s="22"/>
      <c r="CV95" s="22"/>
      <c r="CW95" s="22"/>
      <c r="CX95" s="22"/>
      <c r="CY95" s="22"/>
      <c r="CZ95" s="22"/>
      <c r="DA95" s="22"/>
      <c r="DB95" s="22"/>
      <c r="DC95" s="22"/>
      <c r="DD95" s="22"/>
      <c r="DE95" s="22"/>
      <c r="DF95" s="22"/>
      <c r="DG95" s="22"/>
      <c r="DH95" s="22"/>
      <c r="DI95" s="22"/>
      <c r="DJ95" s="22"/>
      <c r="DK95" s="22"/>
      <c r="DL95" s="22"/>
      <c r="DM95" s="22"/>
      <c r="DN95" s="22"/>
      <c r="DO95" s="22"/>
      <c r="DP95" s="22"/>
      <c r="DQ95" s="22"/>
      <c r="DR95" s="22"/>
      <c r="DS95" s="22"/>
      <c r="DT95" s="22"/>
      <c r="DU95" s="22"/>
      <c r="DV95" s="22"/>
      <c r="DW95" s="22"/>
      <c r="DX95" s="22"/>
      <c r="DY95" s="22"/>
      <c r="DZ95" s="22"/>
      <c r="EA95" s="22"/>
      <c r="EB95" s="22"/>
      <c r="EC95" s="22"/>
      <c r="ED95" s="22"/>
      <c r="EE95" s="22"/>
      <c r="EF95" s="22"/>
      <c r="EG95" s="22"/>
      <c r="EH95" s="22"/>
      <c r="EI95" s="22"/>
      <c r="EJ95" s="22"/>
      <c r="EK95" s="22"/>
      <c r="EL95" s="22"/>
      <c r="EM95" s="22"/>
      <c r="EN95" s="22"/>
      <c r="EO95" s="22"/>
      <c r="EP95" s="22"/>
      <c r="EQ95" s="22"/>
      <c r="ER95" s="22"/>
      <c r="ES95" s="22"/>
      <c r="ET95" s="22"/>
      <c r="EU95" s="22"/>
      <c r="EV95" s="22"/>
      <c r="EW95" s="22"/>
      <c r="EX95" s="22"/>
      <c r="EY95" s="22"/>
      <c r="EZ95" s="22"/>
      <c r="FA95" s="22"/>
      <c r="FB95" s="22"/>
      <c r="FC95" s="22"/>
      <c r="FD95" s="22"/>
      <c r="FE95" s="22"/>
      <c r="FF95" s="22"/>
      <c r="FG95" s="22"/>
      <c r="FH95" s="22"/>
      <c r="FI95" s="22"/>
      <c r="FJ95" s="22"/>
      <c r="FK95" s="22"/>
      <c r="FL95" s="22"/>
      <c r="FM95" s="22"/>
      <c r="FN95" s="22"/>
      <c r="FO95" s="22"/>
      <c r="FP95" s="22"/>
      <c r="FQ95" s="22"/>
      <c r="FR95" s="22"/>
      <c r="FS95" s="22"/>
      <c r="FT95" s="22"/>
      <c r="FU95" s="22"/>
      <c r="FV95" s="22"/>
      <c r="FW95" s="22"/>
      <c r="FX95" s="22"/>
      <c r="FY95" s="22"/>
      <c r="FZ95" s="22"/>
    </row>
    <row r="96" spans="2:182" x14ac:dyDescent="0.2">
      <c r="B96" s="22"/>
      <c r="C96" s="22"/>
      <c r="D96" s="22"/>
      <c r="E96" s="22"/>
      <c r="F96" s="22"/>
      <c r="G96" s="22"/>
      <c r="H96" s="22"/>
      <c r="I96" s="22"/>
      <c r="J96" s="22"/>
      <c r="K96" s="22"/>
      <c r="L96" s="22"/>
      <c r="M96" s="22"/>
      <c r="N96" s="22"/>
      <c r="O96" s="22"/>
      <c r="P96" s="22"/>
      <c r="Q96" s="22"/>
      <c r="R96" s="22"/>
      <c r="S96" s="22"/>
      <c r="T96" s="22"/>
      <c r="U96" s="22"/>
      <c r="V96" s="22"/>
      <c r="W96" s="22"/>
      <c r="X96" s="22"/>
      <c r="Y96" s="22"/>
      <c r="Z96" s="22"/>
      <c r="AA96" s="22"/>
      <c r="AB96" s="22"/>
      <c r="AC96" s="22"/>
      <c r="AD96" s="22"/>
      <c r="AE96" s="22"/>
      <c r="AF96" s="22"/>
      <c r="AG96" s="22"/>
      <c r="AH96" s="22"/>
      <c r="AI96" s="22"/>
      <c r="AJ96" s="22"/>
      <c r="AK96" s="22"/>
      <c r="AL96" s="22"/>
      <c r="AM96" s="22"/>
      <c r="AN96" s="22"/>
      <c r="AO96" s="22"/>
      <c r="AP96" s="22"/>
      <c r="AQ96" s="22"/>
      <c r="AR96" s="22"/>
      <c r="AS96" s="22"/>
      <c r="AT96" s="22"/>
      <c r="AU96" s="22"/>
      <c r="AV96" s="22"/>
      <c r="AW96" s="22"/>
      <c r="AX96" s="22"/>
      <c r="AY96" s="22"/>
      <c r="AZ96" s="22"/>
      <c r="BA96" s="22"/>
      <c r="BB96" s="22"/>
      <c r="BC96" s="22"/>
      <c r="BD96" s="22"/>
      <c r="BE96" s="22"/>
      <c r="BF96" s="22"/>
      <c r="BG96" s="22"/>
      <c r="BH96" s="22"/>
      <c r="BI96" s="22"/>
      <c r="BJ96" s="22"/>
      <c r="BK96" s="22"/>
      <c r="BL96" s="22"/>
      <c r="BM96" s="22"/>
      <c r="BN96" s="22"/>
      <c r="BO96" s="22"/>
      <c r="BP96" s="22"/>
      <c r="BQ96" s="22"/>
      <c r="BR96" s="22"/>
      <c r="BS96" s="22"/>
      <c r="BT96" s="22"/>
      <c r="BU96" s="22"/>
      <c r="BV96" s="22"/>
      <c r="BW96" s="22"/>
      <c r="BX96" s="22"/>
      <c r="BY96" s="22"/>
      <c r="BZ96" s="22"/>
      <c r="CA96" s="22"/>
      <c r="CB96" s="22"/>
      <c r="CC96" s="22"/>
      <c r="CD96" s="22"/>
      <c r="CE96" s="22"/>
      <c r="CF96" s="22"/>
      <c r="CG96" s="22"/>
      <c r="CH96" s="22"/>
      <c r="CI96" s="22"/>
      <c r="CJ96" s="22"/>
      <c r="CK96" s="22"/>
      <c r="CL96" s="22"/>
      <c r="CM96" s="22"/>
      <c r="CN96" s="22"/>
      <c r="CO96" s="22"/>
      <c r="CP96" s="22"/>
      <c r="CQ96" s="22"/>
      <c r="CR96" s="22"/>
      <c r="CS96" s="22"/>
      <c r="CT96" s="22"/>
      <c r="CU96" s="22"/>
      <c r="CV96" s="22"/>
      <c r="CW96" s="22"/>
      <c r="CX96" s="22"/>
      <c r="CY96" s="22"/>
      <c r="CZ96" s="22"/>
      <c r="DA96" s="22"/>
      <c r="DB96" s="22"/>
      <c r="DC96" s="22"/>
      <c r="DD96" s="22"/>
      <c r="DE96" s="22"/>
      <c r="DF96" s="22"/>
      <c r="DG96" s="22"/>
      <c r="DH96" s="22"/>
      <c r="DI96" s="22"/>
      <c r="DJ96" s="22"/>
      <c r="DK96" s="22"/>
      <c r="DL96" s="22"/>
      <c r="DM96" s="22"/>
      <c r="DN96" s="22"/>
      <c r="DO96" s="22"/>
      <c r="DP96" s="22"/>
      <c r="DQ96" s="22"/>
      <c r="DR96" s="22"/>
      <c r="DS96" s="22"/>
      <c r="DT96" s="22"/>
      <c r="DU96" s="22"/>
      <c r="DV96" s="22"/>
      <c r="DW96" s="22"/>
      <c r="DX96" s="22"/>
      <c r="DY96" s="22"/>
      <c r="DZ96" s="22"/>
      <c r="EA96" s="22"/>
      <c r="EB96" s="22"/>
      <c r="EC96" s="22"/>
      <c r="ED96" s="22"/>
      <c r="EE96" s="22"/>
      <c r="EF96" s="22"/>
      <c r="EG96" s="22"/>
      <c r="EH96" s="22"/>
      <c r="EI96" s="22"/>
      <c r="EJ96" s="22"/>
      <c r="EK96" s="22"/>
      <c r="EL96" s="22"/>
      <c r="EM96" s="22"/>
      <c r="EN96" s="22"/>
      <c r="EO96" s="22"/>
      <c r="EP96" s="22"/>
      <c r="EQ96" s="22"/>
      <c r="ER96" s="22"/>
      <c r="ES96" s="22"/>
      <c r="ET96" s="22"/>
      <c r="EU96" s="22"/>
      <c r="EV96" s="22"/>
      <c r="EW96" s="22"/>
      <c r="EX96" s="22"/>
      <c r="EY96" s="22"/>
      <c r="EZ96" s="22"/>
      <c r="FA96" s="22"/>
      <c r="FB96" s="22"/>
      <c r="FC96" s="22"/>
      <c r="FD96" s="22"/>
      <c r="FE96" s="22"/>
      <c r="FF96" s="22"/>
      <c r="FG96" s="22"/>
      <c r="FH96" s="22"/>
      <c r="FI96" s="22"/>
      <c r="FJ96" s="22"/>
      <c r="FK96" s="22"/>
      <c r="FL96" s="22"/>
      <c r="FM96" s="22"/>
      <c r="FN96" s="22"/>
      <c r="FO96" s="22"/>
      <c r="FP96" s="22"/>
      <c r="FQ96" s="22"/>
      <c r="FR96" s="22"/>
      <c r="FS96" s="22"/>
      <c r="FT96" s="22"/>
      <c r="FU96" s="22"/>
      <c r="FV96" s="22"/>
      <c r="FW96" s="22"/>
      <c r="FX96" s="22"/>
      <c r="FY96" s="22"/>
      <c r="FZ96" s="22"/>
    </row>
    <row r="97" spans="2:182" x14ac:dyDescent="0.2">
      <c r="B97" s="22"/>
      <c r="C97" s="22"/>
      <c r="D97" s="22"/>
      <c r="E97" s="22"/>
      <c r="F97" s="22"/>
      <c r="G97" s="22"/>
      <c r="H97" s="22"/>
      <c r="I97" s="22"/>
      <c r="J97" s="22"/>
      <c r="K97" s="22"/>
      <c r="L97" s="22"/>
      <c r="M97" s="22"/>
      <c r="N97" s="22"/>
      <c r="O97" s="22"/>
      <c r="P97" s="22"/>
      <c r="Q97" s="22"/>
      <c r="R97" s="22"/>
      <c r="S97" s="22"/>
      <c r="T97" s="22"/>
      <c r="U97" s="22"/>
      <c r="V97" s="22"/>
      <c r="W97" s="22"/>
      <c r="X97" s="22"/>
      <c r="Y97" s="22"/>
      <c r="Z97" s="22"/>
      <c r="AA97" s="22"/>
      <c r="AB97" s="22"/>
      <c r="AC97" s="22"/>
      <c r="AD97" s="22"/>
      <c r="AE97" s="22"/>
      <c r="AF97" s="22"/>
      <c r="AG97" s="22"/>
      <c r="AH97" s="22"/>
      <c r="AI97" s="22"/>
      <c r="AJ97" s="22"/>
      <c r="AK97" s="22"/>
      <c r="AL97" s="22"/>
      <c r="AM97" s="22"/>
      <c r="AN97" s="22"/>
      <c r="AO97" s="22"/>
      <c r="AP97" s="22"/>
      <c r="AQ97" s="22"/>
      <c r="AR97" s="22"/>
      <c r="AS97" s="22"/>
      <c r="AT97" s="22"/>
      <c r="AU97" s="22"/>
      <c r="AV97" s="22"/>
      <c r="AW97" s="22"/>
      <c r="AX97" s="22"/>
      <c r="AY97" s="22"/>
      <c r="AZ97" s="22"/>
      <c r="BA97" s="22"/>
      <c r="BB97" s="22"/>
      <c r="BC97" s="22"/>
      <c r="BD97" s="22"/>
      <c r="BE97" s="22"/>
      <c r="BF97" s="22"/>
      <c r="BG97" s="22"/>
      <c r="BH97" s="22"/>
      <c r="BI97" s="22"/>
      <c r="BJ97" s="22"/>
      <c r="BK97" s="22"/>
      <c r="BL97" s="22"/>
      <c r="BM97" s="22"/>
      <c r="BN97" s="22"/>
      <c r="BO97" s="22"/>
      <c r="BP97" s="22"/>
      <c r="BQ97" s="22"/>
      <c r="BR97" s="22"/>
      <c r="BS97" s="22"/>
      <c r="BT97" s="22"/>
      <c r="BU97" s="22"/>
      <c r="BV97" s="22"/>
      <c r="BW97" s="22"/>
      <c r="BX97" s="22"/>
      <c r="BY97" s="22"/>
      <c r="BZ97" s="22"/>
      <c r="CA97" s="22"/>
      <c r="CB97" s="22"/>
      <c r="CC97" s="22"/>
      <c r="CD97" s="22"/>
      <c r="CE97" s="22"/>
      <c r="CF97" s="22"/>
      <c r="CG97" s="22"/>
      <c r="CH97" s="22"/>
      <c r="CI97" s="22"/>
      <c r="CJ97" s="22"/>
      <c r="CK97" s="22"/>
      <c r="CL97" s="22"/>
      <c r="CM97" s="22"/>
      <c r="CN97" s="22"/>
      <c r="CO97" s="22"/>
      <c r="CP97" s="22"/>
      <c r="CQ97" s="22"/>
      <c r="CR97" s="22"/>
      <c r="CS97" s="22"/>
      <c r="CT97" s="22"/>
      <c r="CU97" s="22"/>
      <c r="CV97" s="22"/>
      <c r="CW97" s="22"/>
      <c r="CX97" s="22"/>
      <c r="CY97" s="22"/>
      <c r="CZ97" s="22"/>
      <c r="DA97" s="22"/>
      <c r="DB97" s="22"/>
      <c r="DC97" s="22"/>
      <c r="DD97" s="22"/>
      <c r="DE97" s="22"/>
      <c r="DF97" s="22"/>
      <c r="DG97" s="22"/>
      <c r="DH97" s="22"/>
      <c r="DI97" s="22"/>
      <c r="DJ97" s="22"/>
      <c r="DK97" s="22"/>
      <c r="DL97" s="22"/>
      <c r="DM97" s="22"/>
      <c r="DN97" s="22"/>
      <c r="DO97" s="22"/>
      <c r="DP97" s="22"/>
      <c r="DQ97" s="22"/>
      <c r="DR97" s="22"/>
      <c r="DS97" s="22"/>
      <c r="DT97" s="22"/>
      <c r="DU97" s="22"/>
      <c r="DV97" s="22"/>
      <c r="DW97" s="22"/>
      <c r="DX97" s="22"/>
      <c r="DY97" s="22"/>
      <c r="DZ97" s="22"/>
      <c r="EA97" s="22"/>
      <c r="EB97" s="22"/>
      <c r="EC97" s="22"/>
      <c r="ED97" s="22"/>
      <c r="EE97" s="22"/>
      <c r="EF97" s="22"/>
      <c r="EG97" s="22"/>
      <c r="EH97" s="22"/>
      <c r="EI97" s="22"/>
      <c r="EJ97" s="22"/>
      <c r="EK97" s="22"/>
      <c r="EL97" s="22"/>
      <c r="EM97" s="22"/>
      <c r="EN97" s="22"/>
      <c r="EO97" s="22"/>
      <c r="EP97" s="22"/>
      <c r="EQ97" s="22"/>
      <c r="ER97" s="22"/>
      <c r="ES97" s="22"/>
      <c r="ET97" s="22"/>
      <c r="EU97" s="22"/>
      <c r="EV97" s="22"/>
      <c r="EW97" s="22"/>
      <c r="EX97" s="22"/>
      <c r="EY97" s="22"/>
      <c r="EZ97" s="22"/>
      <c r="FA97" s="22"/>
      <c r="FB97" s="22"/>
      <c r="FC97" s="22"/>
      <c r="FD97" s="22"/>
      <c r="FE97" s="22"/>
      <c r="FF97" s="22"/>
      <c r="FG97" s="22"/>
      <c r="FH97" s="22"/>
      <c r="FI97" s="22"/>
      <c r="FJ97" s="22"/>
      <c r="FK97" s="22"/>
      <c r="FL97" s="22"/>
      <c r="FM97" s="22"/>
      <c r="FN97" s="22"/>
      <c r="FO97" s="22"/>
      <c r="FP97" s="22"/>
      <c r="FQ97" s="22"/>
      <c r="FR97" s="22"/>
      <c r="FS97" s="22"/>
      <c r="FT97" s="22"/>
      <c r="FU97" s="22"/>
      <c r="FV97" s="22"/>
      <c r="FW97" s="22"/>
      <c r="FX97" s="22"/>
      <c r="FY97" s="22"/>
      <c r="FZ97" s="22"/>
    </row>
    <row r="98" spans="2:182" x14ac:dyDescent="0.2">
      <c r="B98" s="22"/>
      <c r="C98" s="22"/>
      <c r="D98" s="22"/>
      <c r="E98" s="22"/>
      <c r="F98" s="22"/>
      <c r="G98" s="22"/>
      <c r="H98" s="22"/>
      <c r="I98" s="22"/>
      <c r="J98" s="22"/>
      <c r="K98" s="22"/>
      <c r="L98" s="22"/>
      <c r="M98" s="22"/>
      <c r="N98" s="22"/>
      <c r="O98" s="22"/>
      <c r="P98" s="22"/>
      <c r="Q98" s="22"/>
      <c r="R98" s="22"/>
      <c r="S98" s="22"/>
      <c r="T98" s="22"/>
      <c r="U98" s="22"/>
      <c r="V98" s="22"/>
      <c r="W98" s="22"/>
      <c r="X98" s="22"/>
      <c r="Y98" s="22"/>
      <c r="Z98" s="22"/>
      <c r="AA98" s="22"/>
      <c r="AB98" s="22"/>
      <c r="AC98" s="22"/>
      <c r="AD98" s="22"/>
      <c r="AE98" s="22"/>
      <c r="AF98" s="22"/>
      <c r="AG98" s="22"/>
      <c r="AH98" s="22"/>
      <c r="AI98" s="22"/>
      <c r="AJ98" s="22"/>
      <c r="AK98" s="22"/>
      <c r="AL98" s="22"/>
      <c r="AM98" s="22"/>
      <c r="AN98" s="22"/>
      <c r="AO98" s="22"/>
      <c r="AP98" s="22"/>
      <c r="AQ98" s="22"/>
      <c r="AR98" s="22"/>
      <c r="AS98" s="22"/>
      <c r="AT98" s="22"/>
      <c r="AU98" s="22"/>
      <c r="AV98" s="22"/>
      <c r="AW98" s="22"/>
      <c r="AX98" s="22"/>
      <c r="AY98" s="22"/>
      <c r="AZ98" s="22"/>
      <c r="BA98" s="22"/>
      <c r="BB98" s="22"/>
      <c r="BC98" s="22"/>
      <c r="BD98" s="22"/>
      <c r="BE98" s="22"/>
      <c r="BF98" s="22"/>
      <c r="BG98" s="22"/>
      <c r="BH98" s="22"/>
      <c r="BI98" s="22"/>
      <c r="BJ98" s="22"/>
      <c r="BK98" s="22"/>
      <c r="BL98" s="22"/>
      <c r="BM98" s="22"/>
      <c r="BN98" s="22"/>
      <c r="BO98" s="22"/>
      <c r="BP98" s="22"/>
      <c r="BQ98" s="22"/>
      <c r="BR98" s="22"/>
      <c r="BS98" s="22"/>
      <c r="BT98" s="22"/>
      <c r="BU98" s="22"/>
      <c r="BV98" s="22"/>
      <c r="BW98" s="22"/>
      <c r="BX98" s="22"/>
      <c r="BY98" s="22"/>
      <c r="BZ98" s="22"/>
      <c r="CA98" s="22"/>
      <c r="CB98" s="22"/>
      <c r="CC98" s="22"/>
      <c r="CD98" s="22"/>
      <c r="CE98" s="22"/>
      <c r="CF98" s="22"/>
      <c r="CG98" s="22"/>
      <c r="CH98" s="22"/>
      <c r="CI98" s="22"/>
      <c r="CJ98" s="22"/>
      <c r="CK98" s="22"/>
      <c r="CL98" s="22"/>
      <c r="CM98" s="22"/>
      <c r="CN98" s="22"/>
      <c r="CO98" s="22"/>
      <c r="CP98" s="22"/>
      <c r="CQ98" s="22"/>
      <c r="CR98" s="22"/>
      <c r="CS98" s="22"/>
      <c r="CT98" s="22"/>
      <c r="CU98" s="22"/>
      <c r="CV98" s="22"/>
      <c r="CW98" s="22"/>
      <c r="CX98" s="22"/>
      <c r="CY98" s="22"/>
      <c r="CZ98" s="22"/>
      <c r="DA98" s="22"/>
      <c r="DB98" s="22"/>
      <c r="DC98" s="22"/>
      <c r="DD98" s="22"/>
      <c r="DE98" s="22"/>
      <c r="DF98" s="22"/>
      <c r="DG98" s="22"/>
      <c r="DH98" s="22"/>
      <c r="DI98" s="22"/>
      <c r="DJ98" s="22"/>
      <c r="DK98" s="22"/>
      <c r="DL98" s="22"/>
      <c r="DM98" s="22"/>
      <c r="DN98" s="22"/>
      <c r="DO98" s="22"/>
      <c r="DP98" s="22"/>
      <c r="DQ98" s="22"/>
      <c r="DR98" s="22"/>
      <c r="DS98" s="22"/>
      <c r="DT98" s="22"/>
      <c r="DU98" s="22"/>
      <c r="DV98" s="22"/>
      <c r="DW98" s="22"/>
      <c r="DX98" s="22"/>
      <c r="DY98" s="22"/>
      <c r="DZ98" s="22"/>
      <c r="EA98" s="22"/>
      <c r="EB98" s="22"/>
      <c r="EC98" s="22"/>
      <c r="ED98" s="22"/>
      <c r="EE98" s="22"/>
      <c r="EF98" s="22"/>
      <c r="EG98" s="22"/>
      <c r="EH98" s="22"/>
      <c r="EI98" s="22"/>
      <c r="EJ98" s="22"/>
      <c r="EK98" s="22"/>
      <c r="EL98" s="22"/>
      <c r="EM98" s="22"/>
      <c r="EN98" s="22"/>
      <c r="EO98" s="22"/>
      <c r="EP98" s="22"/>
      <c r="EQ98" s="22"/>
      <c r="ER98" s="22"/>
      <c r="ES98" s="22"/>
      <c r="ET98" s="22"/>
      <c r="EU98" s="22"/>
      <c r="EV98" s="22"/>
      <c r="EW98" s="22"/>
      <c r="EX98" s="22"/>
      <c r="EY98" s="22"/>
      <c r="EZ98" s="22"/>
      <c r="FA98" s="22"/>
      <c r="FB98" s="22"/>
      <c r="FC98" s="22"/>
      <c r="FD98" s="22"/>
      <c r="FE98" s="22"/>
      <c r="FF98" s="22"/>
      <c r="FG98" s="22"/>
      <c r="FH98" s="22"/>
      <c r="FI98" s="22"/>
      <c r="FJ98" s="22"/>
      <c r="FK98" s="22"/>
      <c r="FL98" s="22"/>
      <c r="FM98" s="22"/>
      <c r="FN98" s="22"/>
      <c r="FO98" s="22"/>
      <c r="FP98" s="22"/>
      <c r="FQ98" s="22"/>
      <c r="FR98" s="22"/>
      <c r="FS98" s="22"/>
      <c r="FT98" s="22"/>
      <c r="FU98" s="22"/>
      <c r="FV98" s="22"/>
      <c r="FW98" s="22"/>
      <c r="FX98" s="22"/>
      <c r="FY98" s="22"/>
      <c r="FZ98" s="22"/>
    </row>
    <row r="99" spans="2:182" x14ac:dyDescent="0.2">
      <c r="B99" s="22"/>
      <c r="C99" s="22"/>
      <c r="D99" s="22"/>
      <c r="E99" s="22"/>
      <c r="F99" s="22"/>
      <c r="G99" s="22"/>
      <c r="H99" s="22"/>
      <c r="I99" s="22"/>
      <c r="J99" s="22"/>
      <c r="K99" s="22"/>
      <c r="L99" s="22"/>
      <c r="M99" s="22"/>
      <c r="N99" s="22"/>
      <c r="O99" s="22"/>
      <c r="P99" s="22"/>
      <c r="Q99" s="22"/>
      <c r="R99" s="22"/>
      <c r="S99" s="22"/>
      <c r="T99" s="22"/>
      <c r="U99" s="22"/>
      <c r="V99" s="22"/>
      <c r="W99" s="22"/>
      <c r="X99" s="22"/>
      <c r="Y99" s="22"/>
      <c r="Z99" s="22"/>
      <c r="AA99" s="22"/>
      <c r="AB99" s="22"/>
      <c r="AC99" s="22"/>
      <c r="AD99" s="22"/>
      <c r="AE99" s="22"/>
      <c r="AF99" s="22"/>
      <c r="AG99" s="22"/>
      <c r="AH99" s="22"/>
      <c r="AI99" s="22"/>
      <c r="AJ99" s="22"/>
      <c r="AK99" s="22"/>
      <c r="AL99" s="22"/>
      <c r="AM99" s="22"/>
      <c r="AN99" s="22"/>
      <c r="AO99" s="22"/>
      <c r="AP99" s="22"/>
      <c r="AQ99" s="22"/>
      <c r="AR99" s="22"/>
      <c r="AS99" s="22"/>
      <c r="AT99" s="22"/>
      <c r="AU99" s="22"/>
      <c r="AV99" s="22"/>
      <c r="AW99" s="22"/>
      <c r="AX99" s="22"/>
      <c r="AY99" s="22"/>
      <c r="AZ99" s="22"/>
      <c r="BA99" s="22"/>
      <c r="BB99" s="22"/>
      <c r="BC99" s="22"/>
      <c r="BD99" s="22"/>
      <c r="BE99" s="22"/>
      <c r="BF99" s="22"/>
      <c r="BG99" s="22"/>
      <c r="BH99" s="22"/>
      <c r="BI99" s="22"/>
      <c r="BJ99" s="22"/>
      <c r="BK99" s="22"/>
      <c r="BL99" s="22"/>
      <c r="BM99" s="22"/>
      <c r="BN99" s="22"/>
      <c r="BO99" s="22"/>
      <c r="BP99" s="22"/>
      <c r="BQ99" s="22"/>
      <c r="BR99" s="22"/>
      <c r="BS99" s="22"/>
      <c r="BT99" s="22"/>
      <c r="BU99" s="22"/>
      <c r="BV99" s="22"/>
      <c r="BW99" s="22"/>
      <c r="BX99" s="22"/>
      <c r="BY99" s="22"/>
      <c r="BZ99" s="22"/>
      <c r="CA99" s="22"/>
      <c r="CB99" s="22"/>
      <c r="CC99" s="22"/>
      <c r="CD99" s="22"/>
      <c r="CE99" s="22"/>
      <c r="CF99" s="22"/>
      <c r="CG99" s="22"/>
      <c r="CH99" s="22"/>
      <c r="CI99" s="22"/>
      <c r="CJ99" s="22"/>
      <c r="CK99" s="22"/>
      <c r="CL99" s="22"/>
      <c r="CM99" s="22"/>
      <c r="CN99" s="22"/>
      <c r="CO99" s="22"/>
      <c r="CP99" s="22"/>
      <c r="CQ99" s="22"/>
      <c r="CR99" s="22"/>
      <c r="CS99" s="22"/>
      <c r="CT99" s="22"/>
      <c r="CU99" s="22"/>
      <c r="CV99" s="22"/>
      <c r="CW99" s="22"/>
      <c r="CX99" s="22"/>
      <c r="CY99" s="22"/>
      <c r="CZ99" s="22"/>
      <c r="DA99" s="22"/>
      <c r="DB99" s="22"/>
      <c r="DC99" s="22"/>
      <c r="DD99" s="22"/>
      <c r="DE99" s="22"/>
      <c r="DF99" s="22"/>
      <c r="DG99" s="22"/>
      <c r="DH99" s="22"/>
      <c r="DI99" s="22"/>
      <c r="DJ99" s="22"/>
      <c r="DK99" s="22"/>
      <c r="DL99" s="22"/>
      <c r="DM99" s="22"/>
      <c r="DN99" s="22"/>
      <c r="DO99" s="22"/>
      <c r="DP99" s="22"/>
      <c r="DQ99" s="22"/>
      <c r="DR99" s="22"/>
      <c r="DS99" s="22"/>
      <c r="DT99" s="22"/>
      <c r="DU99" s="22"/>
      <c r="DV99" s="22"/>
      <c r="DW99" s="22"/>
      <c r="DX99" s="22"/>
      <c r="DY99" s="22"/>
      <c r="DZ99" s="22"/>
      <c r="EA99" s="22"/>
      <c r="EB99" s="22"/>
      <c r="EC99" s="22"/>
      <c r="ED99" s="22"/>
      <c r="EE99" s="22"/>
      <c r="EF99" s="22"/>
      <c r="EG99" s="22"/>
      <c r="EH99" s="22"/>
      <c r="EI99" s="22"/>
      <c r="EJ99" s="22"/>
      <c r="EK99" s="22"/>
      <c r="EL99" s="22"/>
      <c r="EM99" s="22"/>
      <c r="EN99" s="22"/>
      <c r="EO99" s="22"/>
      <c r="EP99" s="22"/>
      <c r="EQ99" s="22"/>
      <c r="ER99" s="22"/>
      <c r="ES99" s="22"/>
      <c r="ET99" s="22"/>
      <c r="EU99" s="22"/>
      <c r="EV99" s="22"/>
      <c r="EW99" s="22"/>
      <c r="EX99" s="22"/>
      <c r="EY99" s="22"/>
      <c r="EZ99" s="22"/>
      <c r="FA99" s="22"/>
      <c r="FB99" s="22"/>
      <c r="FC99" s="22"/>
      <c r="FD99" s="22"/>
      <c r="FE99" s="22"/>
      <c r="FF99" s="22"/>
      <c r="FG99" s="22"/>
      <c r="FH99" s="22"/>
      <c r="FI99" s="22"/>
      <c r="FJ99" s="22"/>
      <c r="FK99" s="22"/>
      <c r="FL99" s="22"/>
      <c r="FM99" s="22"/>
      <c r="FN99" s="22"/>
      <c r="FO99" s="22"/>
      <c r="FP99" s="22"/>
      <c r="FQ99" s="22"/>
      <c r="FR99" s="22"/>
      <c r="FS99" s="22"/>
      <c r="FT99" s="22"/>
      <c r="FU99" s="22"/>
      <c r="FV99" s="22"/>
      <c r="FW99" s="22"/>
      <c r="FX99" s="22"/>
      <c r="FY99" s="22"/>
      <c r="FZ99" s="22"/>
    </row>
    <row r="100" spans="2:182" x14ac:dyDescent="0.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c r="Z100" s="22"/>
      <c r="AA100" s="22"/>
      <c r="AB100" s="22"/>
      <c r="AC100" s="22"/>
      <c r="AD100" s="22"/>
      <c r="AE100" s="22"/>
      <c r="AF100" s="22"/>
      <c r="AG100" s="22"/>
      <c r="AH100" s="22"/>
      <c r="AI100" s="22"/>
      <c r="AJ100" s="22"/>
      <c r="AK100" s="22"/>
      <c r="AL100" s="22"/>
      <c r="AM100" s="22"/>
      <c r="AN100" s="22"/>
      <c r="AO100" s="22"/>
      <c r="AP100" s="22"/>
      <c r="AQ100" s="22"/>
      <c r="AR100" s="22"/>
      <c r="AS100" s="22"/>
      <c r="AT100" s="22"/>
      <c r="AU100" s="22"/>
      <c r="AV100" s="22"/>
      <c r="AW100" s="22"/>
      <c r="AX100" s="22"/>
      <c r="AY100" s="22"/>
      <c r="AZ100" s="22"/>
      <c r="BA100" s="22"/>
      <c r="BB100" s="22"/>
      <c r="BC100" s="22"/>
      <c r="BD100" s="22"/>
      <c r="BE100" s="22"/>
      <c r="BF100" s="22"/>
      <c r="BG100" s="22"/>
      <c r="BH100" s="22"/>
      <c r="BI100" s="22"/>
      <c r="BJ100" s="22"/>
      <c r="BK100" s="22"/>
      <c r="BL100" s="22"/>
      <c r="BM100" s="22"/>
      <c r="BN100" s="22"/>
      <c r="BO100" s="22"/>
      <c r="BP100" s="22"/>
      <c r="BQ100" s="22"/>
      <c r="BR100" s="22"/>
      <c r="BS100" s="22"/>
      <c r="BT100" s="22"/>
      <c r="BU100" s="22"/>
      <c r="BV100" s="22"/>
      <c r="BW100" s="22"/>
      <c r="BX100" s="22"/>
      <c r="BY100" s="22"/>
      <c r="BZ100" s="22"/>
      <c r="CA100" s="22"/>
      <c r="CB100" s="22"/>
      <c r="CC100" s="22"/>
      <c r="CD100" s="22"/>
      <c r="CE100" s="22"/>
      <c r="CF100" s="22"/>
      <c r="CG100" s="22"/>
      <c r="CH100" s="22"/>
      <c r="CI100" s="22"/>
      <c r="CJ100" s="22"/>
      <c r="CK100" s="22"/>
      <c r="CL100" s="22"/>
      <c r="CM100" s="22"/>
      <c r="CN100" s="22"/>
      <c r="CO100" s="22"/>
      <c r="CP100" s="22"/>
      <c r="CQ100" s="22"/>
      <c r="CR100" s="22"/>
      <c r="CS100" s="22"/>
      <c r="CT100" s="22"/>
      <c r="CU100" s="22"/>
      <c r="CV100" s="22"/>
      <c r="CW100" s="22"/>
      <c r="CX100" s="22"/>
      <c r="CY100" s="22"/>
      <c r="CZ100" s="22"/>
      <c r="DA100" s="22"/>
      <c r="DB100" s="22"/>
      <c r="DC100" s="22"/>
      <c r="DD100" s="22"/>
      <c r="DE100" s="22"/>
      <c r="DF100" s="22"/>
      <c r="DG100" s="22"/>
      <c r="DH100" s="22"/>
      <c r="DI100" s="22"/>
      <c r="DJ100" s="22"/>
      <c r="DK100" s="22"/>
      <c r="DL100" s="22"/>
      <c r="DM100" s="22"/>
      <c r="DN100" s="22"/>
      <c r="DO100" s="22"/>
      <c r="DP100" s="22"/>
      <c r="DQ100" s="22"/>
      <c r="DR100" s="22"/>
      <c r="DS100" s="22"/>
      <c r="DT100" s="22"/>
      <c r="DU100" s="22"/>
      <c r="DV100" s="22"/>
      <c r="DW100" s="22"/>
      <c r="DX100" s="22"/>
      <c r="DY100" s="22"/>
      <c r="DZ100" s="22"/>
      <c r="EA100" s="22"/>
      <c r="EB100" s="22"/>
      <c r="EC100" s="22"/>
      <c r="ED100" s="22"/>
      <c r="EE100" s="22"/>
      <c r="EF100" s="22"/>
      <c r="EG100" s="22"/>
      <c r="EH100" s="22"/>
      <c r="EI100" s="22"/>
      <c r="EJ100" s="22"/>
      <c r="EK100" s="22"/>
      <c r="EL100" s="22"/>
      <c r="EM100" s="22"/>
      <c r="EN100" s="22"/>
      <c r="EO100" s="22"/>
      <c r="EP100" s="22"/>
      <c r="EQ100" s="22"/>
      <c r="ER100" s="22"/>
      <c r="ES100" s="22"/>
      <c r="ET100" s="22"/>
      <c r="EU100" s="22"/>
      <c r="EV100" s="22"/>
      <c r="EW100" s="22"/>
      <c r="EX100" s="22"/>
      <c r="EY100" s="22"/>
      <c r="EZ100" s="22"/>
      <c r="FA100" s="22"/>
      <c r="FB100" s="22"/>
      <c r="FC100" s="22"/>
      <c r="FD100" s="22"/>
      <c r="FE100" s="22"/>
      <c r="FF100" s="22"/>
      <c r="FG100" s="22"/>
      <c r="FH100" s="22"/>
      <c r="FI100" s="22"/>
      <c r="FJ100" s="22"/>
      <c r="FK100" s="22"/>
      <c r="FL100" s="22"/>
      <c r="FM100" s="22"/>
      <c r="FN100" s="22"/>
      <c r="FO100" s="22"/>
      <c r="FP100" s="22"/>
      <c r="FQ100" s="22"/>
      <c r="FR100" s="22"/>
      <c r="FS100" s="22"/>
      <c r="FT100" s="22"/>
      <c r="FU100" s="22"/>
      <c r="FV100" s="22"/>
      <c r="FW100" s="22"/>
      <c r="FX100" s="22"/>
      <c r="FY100" s="22"/>
      <c r="FZ100" s="22"/>
    </row>
    <row r="101" spans="2:182" x14ac:dyDescent="0.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c r="Z101" s="22"/>
      <c r="AA101" s="22"/>
      <c r="AB101" s="22"/>
      <c r="AC101" s="22"/>
      <c r="AD101" s="22"/>
      <c r="AE101" s="22"/>
      <c r="AF101" s="22"/>
      <c r="AG101" s="22"/>
      <c r="AH101" s="22"/>
      <c r="AI101" s="22"/>
      <c r="AJ101" s="22"/>
      <c r="AK101" s="22"/>
      <c r="AL101" s="22"/>
      <c r="AM101" s="22"/>
      <c r="AN101" s="22"/>
      <c r="AO101" s="22"/>
      <c r="AP101" s="22"/>
      <c r="AQ101" s="22"/>
      <c r="AR101" s="22"/>
      <c r="AS101" s="22"/>
      <c r="AT101" s="22"/>
      <c r="AU101" s="22"/>
      <c r="AV101" s="22"/>
      <c r="AW101" s="22"/>
      <c r="AX101" s="22"/>
      <c r="AY101" s="22"/>
      <c r="AZ101" s="22"/>
      <c r="BA101" s="22"/>
      <c r="BB101" s="22"/>
      <c r="BC101" s="22"/>
      <c r="BD101" s="22"/>
      <c r="BE101" s="22"/>
      <c r="BF101" s="22"/>
      <c r="BG101" s="22"/>
      <c r="BH101" s="22"/>
      <c r="BI101" s="22"/>
      <c r="BJ101" s="22"/>
      <c r="BK101" s="22"/>
      <c r="BL101" s="22"/>
      <c r="BM101" s="22"/>
      <c r="BN101" s="22"/>
      <c r="BO101" s="22"/>
      <c r="BP101" s="22"/>
      <c r="BQ101" s="22"/>
      <c r="BR101" s="22"/>
      <c r="BS101" s="22"/>
      <c r="BT101" s="22"/>
      <c r="BU101" s="22"/>
      <c r="BV101" s="22"/>
      <c r="BW101" s="22"/>
      <c r="BX101" s="22"/>
      <c r="BY101" s="22"/>
      <c r="BZ101" s="22"/>
      <c r="CA101" s="22"/>
      <c r="CB101" s="22"/>
      <c r="CC101" s="22"/>
      <c r="CD101" s="22"/>
      <c r="CE101" s="22"/>
      <c r="CF101" s="22"/>
      <c r="CG101" s="22"/>
      <c r="CH101" s="22"/>
      <c r="CI101" s="22"/>
      <c r="CJ101" s="22"/>
      <c r="CK101" s="22"/>
      <c r="CL101" s="22"/>
      <c r="CM101" s="22"/>
      <c r="CN101" s="22"/>
      <c r="CO101" s="22"/>
      <c r="CP101" s="22"/>
      <c r="CQ101" s="22"/>
      <c r="CR101" s="22"/>
      <c r="CS101" s="22"/>
      <c r="CT101" s="22"/>
      <c r="CU101" s="22"/>
      <c r="CV101" s="22"/>
      <c r="CW101" s="22"/>
      <c r="CX101" s="22"/>
      <c r="CY101" s="22"/>
      <c r="CZ101" s="22"/>
      <c r="DA101" s="22"/>
      <c r="DB101" s="22"/>
      <c r="DC101" s="22"/>
      <c r="DD101" s="22"/>
      <c r="DE101" s="22"/>
      <c r="DF101" s="22"/>
      <c r="DG101" s="22"/>
      <c r="DH101" s="22"/>
      <c r="DI101" s="22"/>
      <c r="DJ101" s="22"/>
      <c r="DK101" s="22"/>
      <c r="DL101" s="22"/>
      <c r="DM101" s="22"/>
      <c r="DN101" s="22"/>
      <c r="DO101" s="22"/>
      <c r="DP101" s="22"/>
      <c r="DQ101" s="22"/>
      <c r="DR101" s="22"/>
      <c r="DS101" s="22"/>
      <c r="DT101" s="22"/>
      <c r="DU101" s="22"/>
      <c r="DV101" s="22"/>
      <c r="DW101" s="22"/>
      <c r="DX101" s="22"/>
      <c r="DY101" s="22"/>
      <c r="DZ101" s="22"/>
      <c r="EA101" s="22"/>
      <c r="EB101" s="22"/>
      <c r="EC101" s="22"/>
      <c r="ED101" s="22"/>
      <c r="EE101" s="22"/>
      <c r="EF101" s="22"/>
      <c r="EG101" s="22"/>
      <c r="EH101" s="22"/>
      <c r="EI101" s="22"/>
      <c r="EJ101" s="22"/>
      <c r="EK101" s="22"/>
      <c r="EL101" s="22"/>
      <c r="EM101" s="22"/>
      <c r="EN101" s="22"/>
      <c r="EO101" s="22"/>
      <c r="EP101" s="22"/>
      <c r="EQ101" s="22"/>
      <c r="ER101" s="22"/>
      <c r="ES101" s="22"/>
      <c r="ET101" s="22"/>
      <c r="EU101" s="22"/>
      <c r="EV101" s="22"/>
      <c r="EW101" s="22"/>
      <c r="EX101" s="22"/>
      <c r="EY101" s="22"/>
      <c r="EZ101" s="22"/>
      <c r="FA101" s="22"/>
      <c r="FB101" s="22"/>
      <c r="FC101" s="22"/>
      <c r="FD101" s="22"/>
      <c r="FE101" s="22"/>
      <c r="FF101" s="22"/>
      <c r="FG101" s="22"/>
      <c r="FH101" s="22"/>
      <c r="FI101" s="22"/>
      <c r="FJ101" s="22"/>
      <c r="FK101" s="22"/>
      <c r="FL101" s="22"/>
      <c r="FM101" s="22"/>
      <c r="FN101" s="22"/>
      <c r="FO101" s="22"/>
      <c r="FP101" s="22"/>
      <c r="FQ101" s="22"/>
      <c r="FR101" s="22"/>
      <c r="FS101" s="22"/>
      <c r="FT101" s="22"/>
      <c r="FU101" s="22"/>
      <c r="FV101" s="22"/>
      <c r="FW101" s="22"/>
      <c r="FX101" s="22"/>
      <c r="FY101" s="22"/>
      <c r="FZ101" s="22"/>
    </row>
    <row r="102" spans="2:182" x14ac:dyDescent="0.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c r="AV102" s="22"/>
      <c r="AW102" s="22"/>
      <c r="AX102" s="22"/>
      <c r="AY102" s="22"/>
      <c r="AZ102" s="22"/>
      <c r="BA102" s="22"/>
      <c r="BB102" s="22"/>
      <c r="BC102" s="22"/>
      <c r="BD102" s="22"/>
      <c r="BE102" s="22"/>
      <c r="BF102" s="22"/>
      <c r="BG102" s="22"/>
      <c r="BH102" s="22"/>
      <c r="BI102" s="22"/>
      <c r="BJ102" s="22"/>
      <c r="BK102" s="22"/>
      <c r="BL102" s="22"/>
      <c r="BM102" s="22"/>
      <c r="BN102" s="22"/>
      <c r="BO102" s="22"/>
      <c r="BP102" s="22"/>
      <c r="BQ102" s="22"/>
      <c r="BR102" s="22"/>
      <c r="BS102" s="22"/>
      <c r="BT102" s="22"/>
      <c r="BU102" s="22"/>
      <c r="BV102" s="22"/>
      <c r="BW102" s="22"/>
      <c r="BX102" s="22"/>
      <c r="BY102" s="22"/>
      <c r="BZ102" s="22"/>
      <c r="CA102" s="22"/>
      <c r="CB102" s="22"/>
      <c r="CC102" s="22"/>
      <c r="CD102" s="22"/>
      <c r="CE102" s="22"/>
      <c r="CF102" s="22"/>
      <c r="CG102" s="22"/>
      <c r="CH102" s="22"/>
      <c r="CI102" s="22"/>
      <c r="CJ102" s="22"/>
      <c r="CK102" s="22"/>
      <c r="CL102" s="22"/>
      <c r="CM102" s="22"/>
      <c r="CN102" s="22"/>
      <c r="CO102" s="22"/>
      <c r="CP102" s="22"/>
      <c r="CQ102" s="22"/>
      <c r="CR102" s="22"/>
      <c r="CS102" s="22"/>
      <c r="CT102" s="22"/>
      <c r="CU102" s="22"/>
      <c r="CV102" s="22"/>
      <c r="CW102" s="22"/>
      <c r="CX102" s="22"/>
      <c r="CY102" s="22"/>
      <c r="CZ102" s="22"/>
      <c r="DA102" s="22"/>
      <c r="DB102" s="22"/>
      <c r="DC102" s="22"/>
      <c r="DD102" s="22"/>
      <c r="DE102" s="22"/>
      <c r="DF102" s="22"/>
      <c r="DG102" s="22"/>
      <c r="DH102" s="22"/>
      <c r="DI102" s="22"/>
      <c r="DJ102" s="22"/>
      <c r="DK102" s="22"/>
      <c r="DL102" s="22"/>
      <c r="DM102" s="22"/>
      <c r="DN102" s="22"/>
      <c r="DO102" s="22"/>
      <c r="DP102" s="22"/>
      <c r="DQ102" s="22"/>
      <c r="DR102" s="22"/>
      <c r="DS102" s="22"/>
      <c r="DT102" s="22"/>
      <c r="DU102" s="22"/>
      <c r="DV102" s="22"/>
      <c r="DW102" s="22"/>
      <c r="DX102" s="22"/>
      <c r="DY102" s="22"/>
      <c r="DZ102" s="22"/>
      <c r="EA102" s="22"/>
      <c r="EB102" s="22"/>
      <c r="EC102" s="22"/>
      <c r="ED102" s="22"/>
      <c r="EE102" s="22"/>
      <c r="EF102" s="22"/>
      <c r="EG102" s="22"/>
      <c r="EH102" s="22"/>
      <c r="EI102" s="22"/>
      <c r="EJ102" s="22"/>
      <c r="EK102" s="22"/>
      <c r="EL102" s="22"/>
      <c r="EM102" s="22"/>
      <c r="EN102" s="22"/>
      <c r="EO102" s="22"/>
      <c r="EP102" s="22"/>
      <c r="EQ102" s="22"/>
      <c r="ER102" s="22"/>
      <c r="ES102" s="22"/>
      <c r="ET102" s="22"/>
      <c r="EU102" s="22"/>
      <c r="EV102" s="22"/>
      <c r="EW102" s="22"/>
      <c r="EX102" s="22"/>
      <c r="EY102" s="22"/>
      <c r="EZ102" s="22"/>
      <c r="FA102" s="22"/>
      <c r="FB102" s="22"/>
      <c r="FC102" s="22"/>
      <c r="FD102" s="22"/>
      <c r="FE102" s="22"/>
      <c r="FF102" s="22"/>
      <c r="FG102" s="22"/>
      <c r="FH102" s="22"/>
      <c r="FI102" s="22"/>
      <c r="FJ102" s="22"/>
      <c r="FK102" s="22"/>
      <c r="FL102" s="22"/>
      <c r="FM102" s="22"/>
      <c r="FN102" s="22"/>
      <c r="FO102" s="22"/>
      <c r="FP102" s="22"/>
      <c r="FQ102" s="22"/>
      <c r="FR102" s="22"/>
      <c r="FS102" s="22"/>
      <c r="FT102" s="22"/>
      <c r="FU102" s="22"/>
      <c r="FV102" s="22"/>
      <c r="FW102" s="22"/>
      <c r="FX102" s="22"/>
      <c r="FY102" s="22"/>
      <c r="FZ102" s="22"/>
    </row>
    <row r="103" spans="2:182" x14ac:dyDescent="0.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c r="Z103" s="22"/>
      <c r="AA103" s="22"/>
      <c r="AB103" s="22"/>
      <c r="AC103" s="22"/>
      <c r="AD103" s="22"/>
      <c r="AE103" s="22"/>
      <c r="AF103" s="22"/>
      <c r="AG103" s="22"/>
      <c r="AH103" s="22"/>
      <c r="AI103" s="22"/>
      <c r="AJ103" s="22"/>
      <c r="AK103" s="22"/>
      <c r="AL103" s="22"/>
      <c r="AM103" s="22"/>
      <c r="AN103" s="22"/>
      <c r="AO103" s="22"/>
      <c r="AP103" s="22"/>
      <c r="AQ103" s="22"/>
      <c r="AR103" s="22"/>
      <c r="AS103" s="22"/>
      <c r="AT103" s="22"/>
      <c r="AU103" s="22"/>
      <c r="AV103" s="22"/>
      <c r="AW103" s="22"/>
      <c r="AX103" s="22"/>
      <c r="AY103" s="22"/>
      <c r="AZ103" s="22"/>
      <c r="BA103" s="22"/>
      <c r="BB103" s="22"/>
      <c r="BC103" s="22"/>
      <c r="BD103" s="22"/>
      <c r="BE103" s="22"/>
      <c r="BF103" s="22"/>
      <c r="BG103" s="22"/>
      <c r="BH103" s="22"/>
      <c r="BI103" s="22"/>
      <c r="BJ103" s="22"/>
      <c r="BK103" s="22"/>
      <c r="BL103" s="22"/>
      <c r="BM103" s="22"/>
      <c r="BN103" s="22"/>
      <c r="BO103" s="22"/>
      <c r="BP103" s="22"/>
      <c r="BQ103" s="22"/>
      <c r="BR103" s="22"/>
      <c r="BS103" s="22"/>
      <c r="BT103" s="22"/>
      <c r="BU103" s="22"/>
      <c r="BV103" s="22"/>
      <c r="BW103" s="22"/>
      <c r="BX103" s="22"/>
      <c r="BY103" s="22"/>
      <c r="BZ103" s="22"/>
      <c r="CA103" s="22"/>
      <c r="CB103" s="22"/>
      <c r="CC103" s="22"/>
      <c r="CD103" s="22"/>
      <c r="CE103" s="22"/>
      <c r="CF103" s="22"/>
      <c r="CG103" s="22"/>
      <c r="CH103" s="22"/>
      <c r="CI103" s="22"/>
      <c r="CJ103" s="22"/>
      <c r="CK103" s="22"/>
      <c r="CL103" s="22"/>
      <c r="CM103" s="22"/>
      <c r="CN103" s="22"/>
      <c r="CO103" s="22"/>
      <c r="CP103" s="22"/>
      <c r="CQ103" s="22"/>
      <c r="CR103" s="22"/>
      <c r="CS103" s="22"/>
      <c r="CT103" s="22"/>
      <c r="CU103" s="22"/>
      <c r="CV103" s="22"/>
      <c r="CW103" s="22"/>
      <c r="CX103" s="22"/>
      <c r="CY103" s="22"/>
      <c r="CZ103" s="22"/>
      <c r="DA103" s="22"/>
      <c r="DB103" s="22"/>
      <c r="DC103" s="22"/>
      <c r="DD103" s="22"/>
      <c r="DE103" s="22"/>
      <c r="DF103" s="22"/>
      <c r="DG103" s="22"/>
      <c r="DH103" s="22"/>
      <c r="DI103" s="22"/>
      <c r="DJ103" s="22"/>
      <c r="DK103" s="22"/>
      <c r="DL103" s="22"/>
      <c r="DM103" s="22"/>
      <c r="DN103" s="22"/>
      <c r="DO103" s="22"/>
      <c r="DP103" s="22"/>
      <c r="DQ103" s="22"/>
      <c r="DR103" s="22"/>
      <c r="DS103" s="22"/>
      <c r="DT103" s="22"/>
      <c r="DU103" s="22"/>
      <c r="DV103" s="22"/>
      <c r="DW103" s="22"/>
      <c r="DX103" s="22"/>
      <c r="DY103" s="22"/>
      <c r="DZ103" s="22"/>
      <c r="EA103" s="22"/>
      <c r="EB103" s="22"/>
      <c r="EC103" s="22"/>
      <c r="ED103" s="22"/>
      <c r="EE103" s="22"/>
      <c r="EF103" s="22"/>
      <c r="EG103" s="22"/>
      <c r="EH103" s="22"/>
      <c r="EI103" s="22"/>
      <c r="EJ103" s="22"/>
      <c r="EK103" s="22"/>
      <c r="EL103" s="22"/>
      <c r="EM103" s="22"/>
      <c r="EN103" s="22"/>
      <c r="EO103" s="22"/>
      <c r="EP103" s="22"/>
      <c r="EQ103" s="22"/>
      <c r="ER103" s="22"/>
      <c r="ES103" s="22"/>
      <c r="ET103" s="22"/>
      <c r="EU103" s="22"/>
      <c r="EV103" s="22"/>
      <c r="EW103" s="22"/>
      <c r="EX103" s="22"/>
      <c r="EY103" s="22"/>
      <c r="EZ103" s="22"/>
      <c r="FA103" s="22"/>
      <c r="FB103" s="22"/>
      <c r="FC103" s="22"/>
      <c r="FD103" s="22"/>
      <c r="FE103" s="22"/>
      <c r="FF103" s="22"/>
      <c r="FG103" s="22"/>
      <c r="FH103" s="22"/>
      <c r="FI103" s="22"/>
      <c r="FJ103" s="22"/>
      <c r="FK103" s="22"/>
      <c r="FL103" s="22"/>
      <c r="FM103" s="22"/>
      <c r="FN103" s="22"/>
      <c r="FO103" s="22"/>
      <c r="FP103" s="22"/>
      <c r="FQ103" s="22"/>
      <c r="FR103" s="22"/>
      <c r="FS103" s="22"/>
      <c r="FT103" s="22"/>
      <c r="FU103" s="22"/>
      <c r="FV103" s="22"/>
      <c r="FW103" s="22"/>
      <c r="FX103" s="22"/>
      <c r="FY103" s="22"/>
      <c r="FZ103" s="22"/>
    </row>
    <row r="104" spans="2:182" x14ac:dyDescent="0.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c r="Z104" s="22"/>
      <c r="AA104" s="22"/>
      <c r="AB104" s="22"/>
      <c r="AC104" s="22"/>
      <c r="AD104" s="22"/>
      <c r="AE104" s="22"/>
      <c r="AF104" s="22"/>
      <c r="AG104" s="22"/>
      <c r="AH104" s="22"/>
      <c r="AI104" s="22"/>
      <c r="AJ104" s="22"/>
      <c r="AK104" s="22"/>
      <c r="AL104" s="22"/>
      <c r="AM104" s="22"/>
      <c r="AN104" s="22"/>
      <c r="AO104" s="22"/>
      <c r="AP104" s="22"/>
      <c r="AQ104" s="22"/>
      <c r="AR104" s="22"/>
      <c r="AS104" s="22"/>
      <c r="AT104" s="22"/>
      <c r="AU104" s="22"/>
      <c r="AV104" s="22"/>
      <c r="AW104" s="22"/>
      <c r="AX104" s="22"/>
      <c r="AY104" s="22"/>
      <c r="AZ104" s="22"/>
      <c r="BA104" s="22"/>
      <c r="BB104" s="22"/>
      <c r="BC104" s="22"/>
      <c r="BD104" s="22"/>
      <c r="BE104" s="22"/>
      <c r="BF104" s="22"/>
      <c r="BG104" s="22"/>
      <c r="BH104" s="22"/>
      <c r="BI104" s="22"/>
      <c r="BJ104" s="22"/>
      <c r="BK104" s="22"/>
      <c r="BL104" s="22"/>
      <c r="BM104" s="22"/>
      <c r="BN104" s="22"/>
      <c r="BO104" s="22"/>
      <c r="BP104" s="22"/>
      <c r="BQ104" s="22"/>
      <c r="BR104" s="22"/>
      <c r="BS104" s="22"/>
      <c r="BT104" s="22"/>
      <c r="BU104" s="22"/>
      <c r="BV104" s="22"/>
      <c r="BW104" s="22"/>
      <c r="BX104" s="22"/>
      <c r="BY104" s="22"/>
      <c r="BZ104" s="22"/>
      <c r="CA104" s="22"/>
      <c r="CB104" s="22"/>
      <c r="CC104" s="22"/>
      <c r="CD104" s="22"/>
      <c r="CE104" s="22"/>
      <c r="CF104" s="22"/>
      <c r="CG104" s="22"/>
      <c r="CH104" s="22"/>
      <c r="CI104" s="22"/>
      <c r="CJ104" s="22"/>
      <c r="CK104" s="22"/>
      <c r="CL104" s="22"/>
      <c r="CM104" s="22"/>
      <c r="CN104" s="22"/>
      <c r="CO104" s="22"/>
      <c r="CP104" s="22"/>
      <c r="CQ104" s="22"/>
      <c r="CR104" s="22"/>
      <c r="CS104" s="22"/>
      <c r="CT104" s="22"/>
      <c r="CU104" s="22"/>
      <c r="CV104" s="22"/>
      <c r="CW104" s="22"/>
      <c r="CX104" s="22"/>
      <c r="CY104" s="22"/>
      <c r="CZ104" s="22"/>
      <c r="DA104" s="22"/>
      <c r="DB104" s="22"/>
      <c r="DC104" s="22"/>
      <c r="DD104" s="22"/>
      <c r="DE104" s="22"/>
      <c r="DF104" s="22"/>
      <c r="DG104" s="22"/>
      <c r="DH104" s="22"/>
      <c r="DI104" s="22"/>
      <c r="DJ104" s="22"/>
      <c r="DK104" s="22"/>
      <c r="DL104" s="22"/>
      <c r="DM104" s="22"/>
      <c r="DN104" s="22"/>
      <c r="DO104" s="22"/>
      <c r="DP104" s="22"/>
      <c r="DQ104" s="22"/>
      <c r="DR104" s="22"/>
      <c r="DS104" s="22"/>
      <c r="DT104" s="22"/>
      <c r="DU104" s="22"/>
      <c r="DV104" s="22"/>
      <c r="DW104" s="22"/>
      <c r="DX104" s="22"/>
      <c r="DY104" s="22"/>
      <c r="DZ104" s="22"/>
      <c r="EA104" s="22"/>
      <c r="EB104" s="22"/>
      <c r="EC104" s="22"/>
      <c r="ED104" s="22"/>
      <c r="EE104" s="22"/>
      <c r="EF104" s="22"/>
      <c r="EG104" s="22"/>
      <c r="EH104" s="22"/>
      <c r="EI104" s="22"/>
      <c r="EJ104" s="22"/>
      <c r="EK104" s="22"/>
      <c r="EL104" s="22"/>
      <c r="EM104" s="22"/>
      <c r="EN104" s="22"/>
      <c r="EO104" s="22"/>
      <c r="EP104" s="22"/>
      <c r="EQ104" s="22"/>
      <c r="ER104" s="22"/>
      <c r="ES104" s="22"/>
      <c r="ET104" s="22"/>
      <c r="EU104" s="22"/>
      <c r="EV104" s="22"/>
      <c r="EW104" s="22"/>
      <c r="EX104" s="22"/>
      <c r="EY104" s="22"/>
      <c r="EZ104" s="22"/>
      <c r="FA104" s="22"/>
      <c r="FB104" s="22"/>
      <c r="FC104" s="22"/>
      <c r="FD104" s="22"/>
      <c r="FE104" s="22"/>
      <c r="FF104" s="22"/>
      <c r="FG104" s="22"/>
      <c r="FH104" s="22"/>
      <c r="FI104" s="22"/>
      <c r="FJ104" s="22"/>
      <c r="FK104" s="22"/>
      <c r="FL104" s="22"/>
      <c r="FM104" s="22"/>
      <c r="FN104" s="22"/>
      <c r="FO104" s="22"/>
      <c r="FP104" s="22"/>
      <c r="FQ104" s="22"/>
      <c r="FR104" s="22"/>
      <c r="FS104" s="22"/>
      <c r="FT104" s="22"/>
      <c r="FU104" s="22"/>
      <c r="FV104" s="22"/>
      <c r="FW104" s="22"/>
      <c r="FX104" s="22"/>
      <c r="FY104" s="22"/>
      <c r="FZ104" s="22"/>
    </row>
    <row r="105" spans="2:182" x14ac:dyDescent="0.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c r="Z105" s="22"/>
      <c r="AA105" s="22"/>
      <c r="AB105" s="22"/>
      <c r="AC105" s="22"/>
      <c r="AD105" s="22"/>
      <c r="AE105" s="22"/>
      <c r="AF105" s="22"/>
      <c r="AG105" s="22"/>
      <c r="AH105" s="22"/>
      <c r="AI105" s="22"/>
      <c r="AJ105" s="22"/>
      <c r="AK105" s="22"/>
      <c r="AL105" s="22"/>
      <c r="AM105" s="22"/>
      <c r="AN105" s="22"/>
      <c r="AO105" s="22"/>
      <c r="AP105" s="22"/>
      <c r="AQ105" s="22"/>
      <c r="AR105" s="22"/>
      <c r="AS105" s="22"/>
      <c r="AT105" s="22"/>
      <c r="AU105" s="22"/>
      <c r="AV105" s="22"/>
      <c r="AW105" s="22"/>
      <c r="AX105" s="22"/>
      <c r="AY105" s="22"/>
      <c r="AZ105" s="22"/>
      <c r="BA105" s="22"/>
      <c r="BB105" s="22"/>
      <c r="BC105" s="22"/>
      <c r="BD105" s="22"/>
      <c r="BE105" s="22"/>
      <c r="BF105" s="22"/>
      <c r="BG105" s="22"/>
      <c r="BH105" s="22"/>
      <c r="BI105" s="22"/>
      <c r="BJ105" s="22"/>
      <c r="BK105" s="22"/>
      <c r="BL105" s="22"/>
      <c r="BM105" s="22"/>
      <c r="BN105" s="22"/>
      <c r="BO105" s="22"/>
      <c r="BP105" s="22"/>
      <c r="BQ105" s="22"/>
      <c r="BR105" s="22"/>
      <c r="BS105" s="22"/>
      <c r="BT105" s="22"/>
      <c r="BU105" s="22"/>
      <c r="BV105" s="22"/>
      <c r="BW105" s="22"/>
      <c r="BX105" s="22"/>
      <c r="BY105" s="22"/>
      <c r="BZ105" s="22"/>
      <c r="CA105" s="22"/>
      <c r="CB105" s="22"/>
      <c r="CC105" s="22"/>
      <c r="CD105" s="22"/>
      <c r="CE105" s="22"/>
      <c r="CF105" s="22"/>
      <c r="CG105" s="22"/>
      <c r="CH105" s="22"/>
      <c r="CI105" s="22"/>
      <c r="CJ105" s="22"/>
      <c r="CK105" s="22"/>
      <c r="CL105" s="22"/>
      <c r="CM105" s="22"/>
      <c r="CN105" s="22"/>
      <c r="CO105" s="22"/>
      <c r="CP105" s="22"/>
      <c r="CQ105" s="22"/>
      <c r="CR105" s="22"/>
      <c r="CS105" s="22"/>
      <c r="CT105" s="22"/>
      <c r="CU105" s="22"/>
      <c r="CV105" s="22"/>
      <c r="CW105" s="22"/>
      <c r="CX105" s="22"/>
      <c r="CY105" s="22"/>
      <c r="CZ105" s="22"/>
      <c r="DA105" s="22"/>
      <c r="DB105" s="22"/>
      <c r="DC105" s="22"/>
      <c r="DD105" s="22"/>
      <c r="DE105" s="22"/>
      <c r="DF105" s="22"/>
      <c r="DG105" s="22"/>
      <c r="DH105" s="22"/>
      <c r="DI105" s="22"/>
      <c r="DJ105" s="22"/>
      <c r="DK105" s="22"/>
      <c r="DL105" s="22"/>
      <c r="DM105" s="22"/>
      <c r="DN105" s="22"/>
      <c r="DO105" s="22"/>
      <c r="DP105" s="22"/>
      <c r="DQ105" s="22"/>
      <c r="DR105" s="22"/>
      <c r="DS105" s="22"/>
      <c r="DT105" s="22"/>
      <c r="DU105" s="22"/>
      <c r="DV105" s="22"/>
      <c r="DW105" s="22"/>
      <c r="DX105" s="22"/>
      <c r="DY105" s="22"/>
      <c r="DZ105" s="22"/>
      <c r="EA105" s="22"/>
      <c r="EB105" s="22"/>
      <c r="EC105" s="22"/>
      <c r="ED105" s="22"/>
      <c r="EE105" s="22"/>
      <c r="EF105" s="22"/>
      <c r="EG105" s="22"/>
      <c r="EH105" s="22"/>
      <c r="EI105" s="22"/>
      <c r="EJ105" s="22"/>
      <c r="EK105" s="22"/>
      <c r="EL105" s="22"/>
      <c r="EM105" s="22"/>
      <c r="EN105" s="22"/>
      <c r="EO105" s="22"/>
      <c r="EP105" s="22"/>
      <c r="EQ105" s="22"/>
      <c r="ER105" s="22"/>
      <c r="ES105" s="22"/>
      <c r="ET105" s="22"/>
      <c r="EU105" s="22"/>
      <c r="EV105" s="22"/>
      <c r="EW105" s="22"/>
      <c r="EX105" s="22"/>
      <c r="EY105" s="22"/>
      <c r="EZ105" s="22"/>
      <c r="FA105" s="22"/>
      <c r="FB105" s="22"/>
      <c r="FC105" s="22"/>
      <c r="FD105" s="22"/>
      <c r="FE105" s="22"/>
      <c r="FF105" s="22"/>
      <c r="FG105" s="22"/>
      <c r="FH105" s="22"/>
      <c r="FI105" s="22"/>
      <c r="FJ105" s="22"/>
      <c r="FK105" s="22"/>
      <c r="FL105" s="22"/>
      <c r="FM105" s="22"/>
      <c r="FN105" s="22"/>
      <c r="FO105" s="22"/>
      <c r="FP105" s="22"/>
      <c r="FQ105" s="22"/>
      <c r="FR105" s="22"/>
      <c r="FS105" s="22"/>
      <c r="FT105" s="22"/>
      <c r="FU105" s="22"/>
      <c r="FV105" s="22"/>
      <c r="FW105" s="22"/>
      <c r="FX105" s="22"/>
      <c r="FY105" s="22"/>
      <c r="FZ105" s="22"/>
    </row>
    <row r="106" spans="2:182" x14ac:dyDescent="0.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c r="Z106" s="22"/>
      <c r="AA106" s="22"/>
      <c r="AB106" s="22"/>
      <c r="AC106" s="22"/>
      <c r="AD106" s="22"/>
      <c r="AE106" s="22"/>
      <c r="AF106" s="22"/>
      <c r="AG106" s="22"/>
      <c r="AH106" s="22"/>
      <c r="AI106" s="22"/>
      <c r="AJ106" s="22"/>
      <c r="AK106" s="22"/>
      <c r="AL106" s="22"/>
      <c r="AM106" s="22"/>
      <c r="AN106" s="22"/>
      <c r="AO106" s="22"/>
      <c r="AP106" s="22"/>
      <c r="AQ106" s="22"/>
      <c r="AR106" s="22"/>
      <c r="AS106" s="22"/>
      <c r="AT106" s="22"/>
      <c r="AU106" s="22"/>
      <c r="AV106" s="22"/>
      <c r="AW106" s="22"/>
      <c r="AX106" s="22"/>
      <c r="AY106" s="22"/>
      <c r="AZ106" s="22"/>
      <c r="BA106" s="22"/>
      <c r="BB106" s="22"/>
      <c r="BC106" s="22"/>
      <c r="BD106" s="22"/>
      <c r="BE106" s="22"/>
      <c r="BF106" s="22"/>
      <c r="BG106" s="22"/>
      <c r="BH106" s="22"/>
      <c r="BI106" s="22"/>
      <c r="BJ106" s="22"/>
      <c r="BK106" s="22"/>
      <c r="BL106" s="22"/>
      <c r="BM106" s="22"/>
      <c r="BN106" s="22"/>
      <c r="BO106" s="22"/>
      <c r="BP106" s="22"/>
      <c r="BQ106" s="22"/>
      <c r="BR106" s="22"/>
      <c r="BS106" s="22"/>
      <c r="BT106" s="22"/>
      <c r="BU106" s="22"/>
      <c r="BV106" s="22"/>
      <c r="BW106" s="22"/>
      <c r="BX106" s="22"/>
      <c r="BY106" s="22"/>
      <c r="BZ106" s="22"/>
      <c r="CA106" s="22"/>
      <c r="CB106" s="22"/>
      <c r="CC106" s="22"/>
      <c r="CD106" s="22"/>
      <c r="CE106" s="22"/>
      <c r="CF106" s="22"/>
      <c r="CG106" s="22"/>
      <c r="CH106" s="22"/>
      <c r="CI106" s="22"/>
      <c r="CJ106" s="22"/>
      <c r="CK106" s="22"/>
      <c r="CL106" s="22"/>
      <c r="CM106" s="22"/>
      <c r="CN106" s="22"/>
      <c r="CO106" s="22"/>
      <c r="CP106" s="22"/>
      <c r="CQ106" s="22"/>
      <c r="CR106" s="22"/>
      <c r="CS106" s="22"/>
      <c r="CT106" s="22"/>
      <c r="CU106" s="22"/>
      <c r="CV106" s="22"/>
      <c r="CW106" s="22"/>
      <c r="CX106" s="22"/>
      <c r="CY106" s="22"/>
      <c r="CZ106" s="22"/>
      <c r="DA106" s="22"/>
      <c r="DB106" s="22"/>
      <c r="DC106" s="22"/>
      <c r="DD106" s="22"/>
      <c r="DE106" s="22"/>
      <c r="DF106" s="22"/>
      <c r="DG106" s="22"/>
      <c r="DH106" s="22"/>
      <c r="DI106" s="22"/>
      <c r="DJ106" s="22"/>
      <c r="DK106" s="22"/>
      <c r="DL106" s="22"/>
      <c r="DM106" s="22"/>
      <c r="DN106" s="22"/>
      <c r="DO106" s="22"/>
      <c r="DP106" s="22"/>
      <c r="DQ106" s="22"/>
      <c r="DR106" s="22"/>
      <c r="DS106" s="22"/>
      <c r="DT106" s="22"/>
      <c r="DU106" s="22"/>
      <c r="DV106" s="22"/>
      <c r="DW106" s="22"/>
      <c r="DX106" s="22"/>
      <c r="DY106" s="22"/>
      <c r="DZ106" s="22"/>
      <c r="EA106" s="22"/>
      <c r="EB106" s="22"/>
      <c r="EC106" s="22"/>
      <c r="ED106" s="22"/>
      <c r="EE106" s="22"/>
      <c r="EF106" s="22"/>
      <c r="EG106" s="22"/>
      <c r="EH106" s="22"/>
      <c r="EI106" s="22"/>
      <c r="EJ106" s="22"/>
      <c r="EK106" s="22"/>
      <c r="EL106" s="22"/>
      <c r="EM106" s="22"/>
      <c r="EN106" s="22"/>
      <c r="EO106" s="22"/>
      <c r="EP106" s="22"/>
      <c r="EQ106" s="22"/>
      <c r="ER106" s="22"/>
      <c r="ES106" s="22"/>
      <c r="ET106" s="22"/>
      <c r="EU106" s="22"/>
      <c r="EV106" s="22"/>
      <c r="EW106" s="22"/>
      <c r="EX106" s="22"/>
      <c r="EY106" s="22"/>
      <c r="EZ106" s="22"/>
      <c r="FA106" s="22"/>
      <c r="FB106" s="22"/>
      <c r="FC106" s="22"/>
      <c r="FD106" s="22"/>
      <c r="FE106" s="22"/>
      <c r="FF106" s="22"/>
      <c r="FG106" s="22"/>
      <c r="FH106" s="22"/>
      <c r="FI106" s="22"/>
      <c r="FJ106" s="22"/>
      <c r="FK106" s="22"/>
      <c r="FL106" s="22"/>
      <c r="FM106" s="22"/>
      <c r="FN106" s="22"/>
      <c r="FO106" s="22"/>
      <c r="FP106" s="22"/>
      <c r="FQ106" s="22"/>
      <c r="FR106" s="22"/>
      <c r="FS106" s="22"/>
      <c r="FT106" s="22"/>
      <c r="FU106" s="22"/>
      <c r="FV106" s="22"/>
      <c r="FW106" s="22"/>
      <c r="FX106" s="22"/>
      <c r="FY106" s="22"/>
      <c r="FZ106" s="22"/>
    </row>
    <row r="107" spans="2:182" x14ac:dyDescent="0.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c r="Z107" s="22"/>
      <c r="AA107" s="22"/>
      <c r="AB107" s="22"/>
      <c r="AC107" s="22"/>
      <c r="AD107" s="22"/>
      <c r="AE107" s="22"/>
      <c r="AF107" s="22"/>
      <c r="AG107" s="22"/>
      <c r="AH107" s="22"/>
      <c r="AI107" s="22"/>
      <c r="AJ107" s="22"/>
      <c r="AK107" s="22"/>
      <c r="AL107" s="22"/>
      <c r="AM107" s="22"/>
      <c r="AN107" s="22"/>
      <c r="AO107" s="22"/>
      <c r="AP107" s="22"/>
      <c r="AQ107" s="22"/>
      <c r="AR107" s="22"/>
      <c r="AS107" s="22"/>
      <c r="AT107" s="22"/>
      <c r="AU107" s="22"/>
      <c r="AV107" s="22"/>
      <c r="AW107" s="22"/>
      <c r="AX107" s="22"/>
      <c r="AY107" s="22"/>
      <c r="AZ107" s="22"/>
      <c r="BA107" s="22"/>
      <c r="BB107" s="22"/>
      <c r="BC107" s="22"/>
      <c r="BD107" s="22"/>
      <c r="BE107" s="22"/>
      <c r="BF107" s="22"/>
      <c r="BG107" s="22"/>
      <c r="BH107" s="22"/>
      <c r="BI107" s="22"/>
      <c r="BJ107" s="22"/>
      <c r="BK107" s="22"/>
      <c r="BL107" s="22"/>
      <c r="BM107" s="22"/>
      <c r="BN107" s="22"/>
      <c r="BO107" s="22"/>
      <c r="BP107" s="22"/>
      <c r="BQ107" s="22"/>
      <c r="BR107" s="22"/>
      <c r="BS107" s="22"/>
      <c r="BT107" s="22"/>
      <c r="BU107" s="22"/>
      <c r="BV107" s="22"/>
      <c r="BW107" s="22"/>
      <c r="BX107" s="22"/>
      <c r="BY107" s="22"/>
      <c r="BZ107" s="22"/>
      <c r="CA107" s="22"/>
      <c r="CB107" s="22"/>
      <c r="CC107" s="22"/>
      <c r="CD107" s="22"/>
      <c r="CE107" s="22"/>
      <c r="CF107" s="22"/>
      <c r="CG107" s="22"/>
      <c r="CH107" s="22"/>
      <c r="CI107" s="22"/>
      <c r="CJ107" s="22"/>
      <c r="CK107" s="22"/>
      <c r="CL107" s="22"/>
      <c r="CM107" s="22"/>
      <c r="CN107" s="22"/>
      <c r="CO107" s="22"/>
      <c r="CP107" s="22"/>
      <c r="CQ107" s="22"/>
      <c r="CR107" s="22"/>
      <c r="CS107" s="22"/>
      <c r="CT107" s="22"/>
      <c r="CU107" s="22"/>
      <c r="CV107" s="22"/>
      <c r="CW107" s="22"/>
      <c r="CX107" s="22"/>
      <c r="CY107" s="22"/>
      <c r="CZ107" s="22"/>
      <c r="DA107" s="22"/>
      <c r="DB107" s="22"/>
      <c r="DC107" s="22"/>
      <c r="DD107" s="22"/>
      <c r="DE107" s="22"/>
      <c r="DF107" s="22"/>
      <c r="DG107" s="22"/>
      <c r="DH107" s="22"/>
      <c r="DI107" s="22"/>
      <c r="DJ107" s="22"/>
      <c r="DK107" s="22"/>
      <c r="DL107" s="22"/>
      <c r="DM107" s="22"/>
      <c r="DN107" s="22"/>
      <c r="DO107" s="22"/>
      <c r="DP107" s="22"/>
      <c r="DQ107" s="22"/>
      <c r="DR107" s="22"/>
      <c r="DS107" s="22"/>
      <c r="DT107" s="22"/>
      <c r="DU107" s="22"/>
      <c r="DV107" s="22"/>
      <c r="DW107" s="22"/>
      <c r="DX107" s="22"/>
      <c r="DY107" s="22"/>
      <c r="DZ107" s="22"/>
      <c r="EA107" s="22"/>
      <c r="EB107" s="22"/>
      <c r="EC107" s="22"/>
      <c r="ED107" s="22"/>
      <c r="EE107" s="22"/>
      <c r="EF107" s="22"/>
      <c r="EG107" s="22"/>
      <c r="EH107" s="22"/>
      <c r="EI107" s="22"/>
      <c r="EJ107" s="22"/>
      <c r="EK107" s="22"/>
      <c r="EL107" s="22"/>
      <c r="EM107" s="22"/>
      <c r="EN107" s="22"/>
      <c r="EO107" s="22"/>
      <c r="EP107" s="22"/>
      <c r="EQ107" s="22"/>
      <c r="ER107" s="22"/>
      <c r="ES107" s="22"/>
      <c r="ET107" s="22"/>
      <c r="EU107" s="22"/>
      <c r="EV107" s="22"/>
      <c r="EW107" s="22"/>
      <c r="EX107" s="22"/>
      <c r="EY107" s="22"/>
      <c r="EZ107" s="22"/>
      <c r="FA107" s="22"/>
      <c r="FB107" s="22"/>
      <c r="FC107" s="22"/>
      <c r="FD107" s="22"/>
      <c r="FE107" s="22"/>
      <c r="FF107" s="22"/>
      <c r="FG107" s="22"/>
      <c r="FH107" s="22"/>
      <c r="FI107" s="22"/>
      <c r="FJ107" s="22"/>
      <c r="FK107" s="22"/>
      <c r="FL107" s="22"/>
      <c r="FM107" s="22"/>
      <c r="FN107" s="22"/>
      <c r="FO107" s="22"/>
      <c r="FP107" s="22"/>
      <c r="FQ107" s="22"/>
      <c r="FR107" s="22"/>
      <c r="FS107" s="22"/>
      <c r="FT107" s="22"/>
      <c r="FU107" s="22"/>
      <c r="FV107" s="22"/>
      <c r="FW107" s="22"/>
      <c r="FX107" s="22"/>
      <c r="FY107" s="22"/>
      <c r="FZ107" s="22"/>
    </row>
    <row r="108" spans="2:182" x14ac:dyDescent="0.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c r="Z108" s="22"/>
      <c r="AA108" s="22"/>
      <c r="AB108" s="22"/>
      <c r="AC108" s="22"/>
      <c r="AD108" s="22"/>
      <c r="AE108" s="22"/>
      <c r="AF108" s="22"/>
      <c r="AG108" s="22"/>
      <c r="AH108" s="22"/>
      <c r="AI108" s="22"/>
      <c r="AJ108" s="22"/>
      <c r="AK108" s="22"/>
      <c r="AL108" s="22"/>
      <c r="AM108" s="22"/>
      <c r="AN108" s="22"/>
      <c r="AO108" s="22"/>
      <c r="AP108" s="22"/>
      <c r="AQ108" s="22"/>
      <c r="AR108" s="22"/>
      <c r="AS108" s="22"/>
      <c r="AT108" s="22"/>
      <c r="AU108" s="22"/>
      <c r="AV108" s="22"/>
      <c r="AW108" s="22"/>
      <c r="AX108" s="22"/>
      <c r="AY108" s="22"/>
      <c r="AZ108" s="22"/>
      <c r="BA108" s="22"/>
      <c r="BB108" s="22"/>
      <c r="BC108" s="22"/>
      <c r="BD108" s="22"/>
      <c r="BE108" s="22"/>
      <c r="BF108" s="22"/>
      <c r="BG108" s="22"/>
      <c r="BH108" s="22"/>
      <c r="BI108" s="22"/>
      <c r="BJ108" s="22"/>
      <c r="BK108" s="22"/>
      <c r="BL108" s="22"/>
      <c r="BM108" s="22"/>
      <c r="BN108" s="22"/>
      <c r="BO108" s="22"/>
      <c r="BP108" s="22"/>
      <c r="BQ108" s="22"/>
      <c r="BR108" s="22"/>
      <c r="BS108" s="22"/>
      <c r="BT108" s="22"/>
      <c r="BU108" s="22"/>
      <c r="BV108" s="22"/>
      <c r="BW108" s="22"/>
      <c r="BX108" s="22"/>
      <c r="BY108" s="22"/>
      <c r="BZ108" s="22"/>
      <c r="CA108" s="22"/>
      <c r="CB108" s="22"/>
      <c r="CC108" s="22"/>
      <c r="CD108" s="22"/>
      <c r="CE108" s="22"/>
      <c r="CF108" s="22"/>
      <c r="CG108" s="22"/>
      <c r="CH108" s="22"/>
      <c r="CI108" s="22"/>
      <c r="CJ108" s="22"/>
      <c r="CK108" s="22"/>
      <c r="CL108" s="22"/>
      <c r="CM108" s="22"/>
      <c r="CN108" s="22"/>
      <c r="CO108" s="22"/>
      <c r="CP108" s="22"/>
      <c r="CQ108" s="22"/>
      <c r="CR108" s="22"/>
      <c r="CS108" s="22"/>
      <c r="CT108" s="22"/>
      <c r="CU108" s="22"/>
      <c r="CV108" s="22"/>
      <c r="CW108" s="22"/>
      <c r="CX108" s="22"/>
      <c r="CY108" s="22"/>
      <c r="CZ108" s="22"/>
      <c r="DA108" s="22"/>
      <c r="DB108" s="22"/>
      <c r="DC108" s="22"/>
      <c r="DD108" s="22"/>
      <c r="DE108" s="22"/>
      <c r="DF108" s="22"/>
      <c r="DG108" s="22"/>
      <c r="DH108" s="22"/>
      <c r="DI108" s="22"/>
      <c r="DJ108" s="22"/>
      <c r="DK108" s="22"/>
      <c r="DL108" s="22"/>
      <c r="DM108" s="22"/>
      <c r="DN108" s="22"/>
      <c r="DO108" s="22"/>
      <c r="DP108" s="22"/>
      <c r="DQ108" s="22"/>
      <c r="DR108" s="22"/>
      <c r="DS108" s="22"/>
      <c r="DT108" s="22"/>
      <c r="DU108" s="22"/>
      <c r="DV108" s="22"/>
      <c r="DW108" s="22"/>
      <c r="DX108" s="22"/>
      <c r="DY108" s="22"/>
      <c r="DZ108" s="22"/>
      <c r="EA108" s="22"/>
      <c r="EB108" s="22"/>
      <c r="EC108" s="22"/>
      <c r="ED108" s="22"/>
      <c r="EE108" s="22"/>
      <c r="EF108" s="22"/>
      <c r="EG108" s="22"/>
      <c r="EH108" s="22"/>
      <c r="EI108" s="22"/>
      <c r="EJ108" s="22"/>
      <c r="EK108" s="22"/>
      <c r="EL108" s="22"/>
      <c r="EM108" s="22"/>
      <c r="EN108" s="22"/>
      <c r="EO108" s="22"/>
      <c r="EP108" s="22"/>
      <c r="EQ108" s="22"/>
      <c r="ER108" s="22"/>
      <c r="ES108" s="22"/>
      <c r="ET108" s="22"/>
      <c r="EU108" s="22"/>
      <c r="EV108" s="22"/>
      <c r="EW108" s="22"/>
      <c r="EX108" s="22"/>
      <c r="EY108" s="22"/>
      <c r="EZ108" s="22"/>
      <c r="FA108" s="22"/>
      <c r="FB108" s="22"/>
      <c r="FC108" s="22"/>
      <c r="FD108" s="22"/>
      <c r="FE108" s="22"/>
      <c r="FF108" s="22"/>
      <c r="FG108" s="22"/>
      <c r="FH108" s="22"/>
      <c r="FI108" s="22"/>
      <c r="FJ108" s="22"/>
      <c r="FK108" s="22"/>
      <c r="FL108" s="22"/>
      <c r="FM108" s="22"/>
      <c r="FN108" s="22"/>
      <c r="FO108" s="22"/>
      <c r="FP108" s="22"/>
      <c r="FQ108" s="22"/>
      <c r="FR108" s="22"/>
      <c r="FS108" s="22"/>
      <c r="FT108" s="22"/>
      <c r="FU108" s="22"/>
      <c r="FV108" s="22"/>
      <c r="FW108" s="22"/>
      <c r="FX108" s="22"/>
      <c r="FY108" s="22"/>
      <c r="FZ108" s="22"/>
    </row>
    <row r="109" spans="2:182" x14ac:dyDescent="0.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c r="Z109" s="22"/>
      <c r="AA109" s="22"/>
      <c r="AB109" s="22"/>
      <c r="AC109" s="22"/>
      <c r="AD109" s="22"/>
      <c r="AE109" s="22"/>
      <c r="AF109" s="22"/>
      <c r="AG109" s="22"/>
      <c r="AH109" s="22"/>
      <c r="AI109" s="22"/>
      <c r="AJ109" s="22"/>
      <c r="AK109" s="22"/>
      <c r="AL109" s="22"/>
      <c r="AM109" s="22"/>
      <c r="AN109" s="22"/>
      <c r="AO109" s="22"/>
      <c r="AP109" s="22"/>
      <c r="AQ109" s="22"/>
      <c r="AR109" s="22"/>
      <c r="AS109" s="22"/>
      <c r="AT109" s="22"/>
      <c r="AU109" s="22"/>
      <c r="AV109" s="22"/>
      <c r="AW109" s="22"/>
      <c r="AX109" s="22"/>
      <c r="AY109" s="22"/>
      <c r="AZ109" s="22"/>
      <c r="BA109" s="22"/>
      <c r="BB109" s="22"/>
      <c r="BC109" s="22"/>
      <c r="BD109" s="22"/>
      <c r="BE109" s="22"/>
      <c r="BF109" s="22"/>
      <c r="BG109" s="22"/>
      <c r="BH109" s="22"/>
      <c r="BI109" s="22"/>
      <c r="BJ109" s="22"/>
      <c r="BK109" s="22"/>
      <c r="BL109" s="22"/>
      <c r="BM109" s="22"/>
      <c r="BN109" s="22"/>
      <c r="BO109" s="22"/>
      <c r="BP109" s="22"/>
      <c r="BQ109" s="22"/>
      <c r="BR109" s="22"/>
      <c r="BS109" s="22"/>
      <c r="BT109" s="22"/>
      <c r="BU109" s="22"/>
      <c r="BV109" s="22"/>
      <c r="BW109" s="22"/>
      <c r="BX109" s="22"/>
      <c r="BY109" s="22"/>
      <c r="BZ109" s="22"/>
      <c r="CA109" s="22"/>
      <c r="CB109" s="22"/>
      <c r="CC109" s="22"/>
      <c r="CD109" s="22"/>
      <c r="CE109" s="22"/>
      <c r="CF109" s="22"/>
      <c r="CG109" s="22"/>
      <c r="CH109" s="22"/>
      <c r="CI109" s="22"/>
      <c r="CJ109" s="22"/>
      <c r="CK109" s="22"/>
      <c r="CL109" s="22"/>
      <c r="CM109" s="22"/>
      <c r="CN109" s="22"/>
      <c r="CO109" s="22"/>
      <c r="CP109" s="22"/>
      <c r="CQ109" s="22"/>
      <c r="CR109" s="22"/>
      <c r="CS109" s="22"/>
      <c r="CT109" s="22"/>
      <c r="CU109" s="22"/>
      <c r="CV109" s="22"/>
      <c r="CW109" s="22"/>
      <c r="CX109" s="22"/>
      <c r="CY109" s="22"/>
      <c r="CZ109" s="22"/>
      <c r="DA109" s="22"/>
      <c r="DB109" s="22"/>
      <c r="DC109" s="22"/>
      <c r="DD109" s="22"/>
      <c r="DE109" s="22"/>
      <c r="DF109" s="22"/>
      <c r="DG109" s="22"/>
      <c r="DH109" s="22"/>
      <c r="DI109" s="22"/>
      <c r="DJ109" s="22"/>
      <c r="DK109" s="22"/>
      <c r="DL109" s="22"/>
      <c r="DM109" s="22"/>
      <c r="DN109" s="22"/>
      <c r="DO109" s="22"/>
      <c r="DP109" s="22"/>
      <c r="DQ109" s="22"/>
      <c r="DR109" s="22"/>
      <c r="DS109" s="22"/>
      <c r="DT109" s="22"/>
      <c r="DU109" s="22"/>
      <c r="DV109" s="22"/>
      <c r="DW109" s="22"/>
      <c r="DX109" s="22"/>
      <c r="DY109" s="22"/>
      <c r="DZ109" s="22"/>
      <c r="EA109" s="22"/>
      <c r="EB109" s="22"/>
      <c r="EC109" s="22"/>
      <c r="ED109" s="22"/>
      <c r="EE109" s="22"/>
      <c r="EF109" s="22"/>
      <c r="EG109" s="22"/>
      <c r="EH109" s="22"/>
      <c r="EI109" s="22"/>
      <c r="EJ109" s="22"/>
      <c r="EK109" s="22"/>
      <c r="EL109" s="22"/>
      <c r="EM109" s="22"/>
      <c r="EN109" s="22"/>
      <c r="EO109" s="22"/>
      <c r="EP109" s="22"/>
      <c r="EQ109" s="22"/>
      <c r="ER109" s="22"/>
      <c r="ES109" s="22"/>
      <c r="ET109" s="22"/>
      <c r="EU109" s="22"/>
      <c r="EV109" s="22"/>
      <c r="EW109" s="22"/>
      <c r="EX109" s="22"/>
      <c r="EY109" s="22"/>
      <c r="EZ109" s="22"/>
      <c r="FA109" s="22"/>
      <c r="FB109" s="22"/>
      <c r="FC109" s="22"/>
      <c r="FD109" s="22"/>
      <c r="FE109" s="22"/>
      <c r="FF109" s="22"/>
      <c r="FG109" s="22"/>
      <c r="FH109" s="22"/>
      <c r="FI109" s="22"/>
      <c r="FJ109" s="22"/>
      <c r="FK109" s="22"/>
      <c r="FL109" s="22"/>
      <c r="FM109" s="22"/>
      <c r="FN109" s="22"/>
      <c r="FO109" s="22"/>
      <c r="FP109" s="22"/>
      <c r="FQ109" s="22"/>
      <c r="FR109" s="22"/>
      <c r="FS109" s="22"/>
      <c r="FT109" s="22"/>
      <c r="FU109" s="22"/>
      <c r="FV109" s="22"/>
      <c r="FW109" s="22"/>
      <c r="FX109" s="22"/>
      <c r="FY109" s="22"/>
      <c r="FZ109" s="22"/>
    </row>
    <row r="110" spans="2:182" x14ac:dyDescent="0.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c r="Z110" s="22"/>
      <c r="AA110" s="22"/>
      <c r="AB110" s="22"/>
      <c r="AC110" s="22"/>
      <c r="AD110" s="22"/>
      <c r="AE110" s="22"/>
      <c r="AF110" s="22"/>
      <c r="AG110" s="22"/>
      <c r="AH110" s="22"/>
      <c r="AI110" s="22"/>
      <c r="AJ110" s="22"/>
      <c r="AK110" s="22"/>
      <c r="AL110" s="22"/>
      <c r="AM110" s="22"/>
      <c r="AN110" s="22"/>
      <c r="AO110" s="22"/>
      <c r="AP110" s="22"/>
      <c r="AQ110" s="22"/>
      <c r="AR110" s="22"/>
      <c r="AS110" s="22"/>
      <c r="AT110" s="22"/>
      <c r="AU110" s="22"/>
      <c r="AV110" s="22"/>
      <c r="AW110" s="22"/>
      <c r="AX110" s="22"/>
      <c r="AY110" s="22"/>
      <c r="AZ110" s="22"/>
      <c r="BA110" s="22"/>
      <c r="BB110" s="22"/>
      <c r="BC110" s="22"/>
      <c r="BD110" s="22"/>
      <c r="BE110" s="22"/>
      <c r="BF110" s="22"/>
      <c r="BG110" s="22"/>
      <c r="BH110" s="22"/>
      <c r="BI110" s="22"/>
      <c r="BJ110" s="22"/>
      <c r="BK110" s="22"/>
      <c r="BL110" s="22"/>
      <c r="BM110" s="22"/>
      <c r="BN110" s="22"/>
      <c r="BO110" s="22"/>
      <c r="BP110" s="22"/>
      <c r="BQ110" s="22"/>
      <c r="BR110" s="22"/>
      <c r="BS110" s="22"/>
      <c r="BT110" s="22"/>
      <c r="BU110" s="22"/>
      <c r="BV110" s="22"/>
      <c r="BW110" s="22"/>
      <c r="BX110" s="22"/>
      <c r="BY110" s="22"/>
      <c r="BZ110" s="22"/>
      <c r="CA110" s="22"/>
      <c r="CB110" s="22"/>
      <c r="CC110" s="22"/>
      <c r="CD110" s="22"/>
      <c r="CE110" s="22"/>
      <c r="CF110" s="22"/>
      <c r="CG110" s="22"/>
      <c r="CH110" s="22"/>
      <c r="CI110" s="22"/>
      <c r="CJ110" s="22"/>
      <c r="CK110" s="22"/>
      <c r="CL110" s="22"/>
      <c r="CM110" s="22"/>
      <c r="CN110" s="22"/>
      <c r="CO110" s="22"/>
      <c r="CP110" s="22"/>
      <c r="CQ110" s="22"/>
      <c r="CR110" s="22"/>
      <c r="CS110" s="22"/>
      <c r="CT110" s="22"/>
      <c r="CU110" s="22"/>
      <c r="CV110" s="22"/>
      <c r="CW110" s="22"/>
      <c r="CX110" s="22"/>
      <c r="CY110" s="22"/>
      <c r="CZ110" s="22"/>
      <c r="DA110" s="22"/>
      <c r="DB110" s="22"/>
      <c r="DC110" s="22"/>
      <c r="DD110" s="22"/>
      <c r="DE110" s="22"/>
      <c r="DF110" s="22"/>
      <c r="DG110" s="22"/>
      <c r="DH110" s="22"/>
      <c r="DI110" s="22"/>
      <c r="DJ110" s="22"/>
      <c r="DK110" s="22"/>
      <c r="DL110" s="22"/>
      <c r="DM110" s="22"/>
      <c r="DN110" s="22"/>
      <c r="DO110" s="22"/>
      <c r="DP110" s="22"/>
      <c r="DQ110" s="22"/>
      <c r="DR110" s="22"/>
      <c r="DS110" s="22"/>
      <c r="DT110" s="22"/>
      <c r="DU110" s="22"/>
      <c r="DV110" s="22"/>
      <c r="DW110" s="22"/>
      <c r="DX110" s="22"/>
      <c r="DY110" s="22"/>
      <c r="DZ110" s="22"/>
      <c r="EA110" s="22"/>
      <c r="EB110" s="22"/>
      <c r="EC110" s="22"/>
      <c r="ED110" s="22"/>
      <c r="EE110" s="22"/>
      <c r="EF110" s="22"/>
      <c r="EG110" s="22"/>
      <c r="EH110" s="22"/>
      <c r="EI110" s="22"/>
      <c r="EJ110" s="22"/>
      <c r="EK110" s="22"/>
      <c r="EL110" s="22"/>
      <c r="EM110" s="22"/>
      <c r="EN110" s="22"/>
      <c r="EO110" s="22"/>
      <c r="EP110" s="22"/>
      <c r="EQ110" s="22"/>
      <c r="ER110" s="22"/>
      <c r="ES110" s="22"/>
      <c r="ET110" s="22"/>
      <c r="EU110" s="22"/>
      <c r="EV110" s="22"/>
      <c r="EW110" s="22"/>
      <c r="EX110" s="22"/>
      <c r="EY110" s="22"/>
      <c r="EZ110" s="22"/>
      <c r="FA110" s="22"/>
      <c r="FB110" s="22"/>
      <c r="FC110" s="22"/>
      <c r="FD110" s="22"/>
      <c r="FE110" s="22"/>
      <c r="FF110" s="22"/>
      <c r="FG110" s="22"/>
      <c r="FH110" s="22"/>
      <c r="FI110" s="22"/>
      <c r="FJ110" s="22"/>
      <c r="FK110" s="22"/>
      <c r="FL110" s="22"/>
      <c r="FM110" s="22"/>
      <c r="FN110" s="22"/>
      <c r="FO110" s="22"/>
      <c r="FP110" s="22"/>
      <c r="FQ110" s="22"/>
      <c r="FR110" s="22"/>
      <c r="FS110" s="22"/>
      <c r="FT110" s="22"/>
      <c r="FU110" s="22"/>
      <c r="FV110" s="22"/>
      <c r="FW110" s="22"/>
      <c r="FX110" s="22"/>
      <c r="FY110" s="22"/>
      <c r="FZ110" s="22"/>
    </row>
    <row r="111" spans="2:182" x14ac:dyDescent="0.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c r="Z111" s="22"/>
      <c r="AA111" s="22"/>
      <c r="AB111" s="22"/>
      <c r="AC111" s="22"/>
      <c r="AD111" s="22"/>
      <c r="AE111" s="22"/>
      <c r="AF111" s="22"/>
      <c r="AG111" s="22"/>
      <c r="AH111" s="22"/>
      <c r="AI111" s="22"/>
      <c r="AJ111" s="22"/>
      <c r="AK111" s="22"/>
      <c r="AL111" s="22"/>
      <c r="AM111" s="22"/>
      <c r="AN111" s="22"/>
      <c r="AO111" s="22"/>
      <c r="AP111" s="22"/>
      <c r="AQ111" s="22"/>
      <c r="AR111" s="22"/>
      <c r="AS111" s="22"/>
      <c r="AT111" s="22"/>
      <c r="AU111" s="22"/>
      <c r="AV111" s="22"/>
      <c r="AW111" s="22"/>
      <c r="AX111" s="22"/>
      <c r="AY111" s="22"/>
      <c r="AZ111" s="22"/>
      <c r="BA111" s="22"/>
      <c r="BB111" s="22"/>
      <c r="BC111" s="22"/>
      <c r="BD111" s="22"/>
      <c r="BE111" s="22"/>
      <c r="BF111" s="22"/>
      <c r="BG111" s="22"/>
      <c r="BH111" s="22"/>
      <c r="BI111" s="22"/>
      <c r="BJ111" s="22"/>
      <c r="BK111" s="22"/>
      <c r="BL111" s="22"/>
      <c r="BM111" s="22"/>
      <c r="BN111" s="22"/>
      <c r="BO111" s="22"/>
      <c r="BP111" s="22"/>
      <c r="BQ111" s="22"/>
      <c r="BR111" s="22"/>
      <c r="BS111" s="22"/>
      <c r="BT111" s="22"/>
      <c r="BU111" s="22"/>
      <c r="BV111" s="22"/>
      <c r="BW111" s="22"/>
      <c r="BX111" s="22"/>
      <c r="BY111" s="22"/>
      <c r="BZ111" s="22"/>
      <c r="CA111" s="22"/>
      <c r="CB111" s="22"/>
      <c r="CC111" s="22"/>
      <c r="CD111" s="22"/>
      <c r="CE111" s="22"/>
      <c r="CF111" s="22"/>
      <c r="CG111" s="22"/>
      <c r="CH111" s="22"/>
      <c r="CI111" s="22"/>
      <c r="CJ111" s="22"/>
      <c r="CK111" s="22"/>
      <c r="CL111" s="22"/>
      <c r="CM111" s="22"/>
      <c r="CN111" s="22"/>
      <c r="CO111" s="22"/>
      <c r="CP111" s="22"/>
      <c r="CQ111" s="22"/>
      <c r="CR111" s="22"/>
      <c r="CS111" s="22"/>
      <c r="CT111" s="22"/>
      <c r="CU111" s="22"/>
      <c r="CV111" s="22"/>
      <c r="CW111" s="22"/>
      <c r="CX111" s="22"/>
      <c r="CY111" s="22"/>
      <c r="CZ111" s="22"/>
      <c r="DA111" s="22"/>
      <c r="DB111" s="22"/>
      <c r="DC111" s="22"/>
      <c r="DD111" s="22"/>
      <c r="DE111" s="22"/>
      <c r="DF111" s="22"/>
      <c r="DG111" s="22"/>
      <c r="DH111" s="22"/>
      <c r="DI111" s="22"/>
      <c r="DJ111" s="22"/>
      <c r="DK111" s="22"/>
      <c r="DL111" s="22"/>
      <c r="DM111" s="22"/>
      <c r="DN111" s="22"/>
      <c r="DO111" s="22"/>
      <c r="DP111" s="22"/>
      <c r="DQ111" s="22"/>
      <c r="DR111" s="22"/>
      <c r="DS111" s="22"/>
      <c r="DT111" s="22"/>
      <c r="DU111" s="22"/>
      <c r="DV111" s="22"/>
      <c r="DW111" s="22"/>
      <c r="DX111" s="22"/>
      <c r="DY111" s="22"/>
      <c r="DZ111" s="22"/>
      <c r="EA111" s="22"/>
      <c r="EB111" s="22"/>
      <c r="EC111" s="22"/>
      <c r="ED111" s="22"/>
      <c r="EE111" s="22"/>
      <c r="EF111" s="22"/>
      <c r="EG111" s="22"/>
      <c r="EH111" s="22"/>
      <c r="EI111" s="22"/>
      <c r="EJ111" s="22"/>
      <c r="EK111" s="22"/>
      <c r="EL111" s="22"/>
      <c r="EM111" s="22"/>
      <c r="EN111" s="22"/>
      <c r="EO111" s="22"/>
      <c r="EP111" s="22"/>
      <c r="EQ111" s="22"/>
      <c r="ER111" s="22"/>
      <c r="ES111" s="22"/>
      <c r="ET111" s="22"/>
      <c r="EU111" s="22"/>
      <c r="EV111" s="22"/>
      <c r="EW111" s="22"/>
      <c r="EX111" s="22"/>
      <c r="EY111" s="22"/>
      <c r="EZ111" s="22"/>
      <c r="FA111" s="22"/>
      <c r="FB111" s="22"/>
      <c r="FC111" s="22"/>
      <c r="FD111" s="22"/>
      <c r="FE111" s="22"/>
      <c r="FF111" s="22"/>
      <c r="FG111" s="22"/>
      <c r="FH111" s="22"/>
      <c r="FI111" s="22"/>
      <c r="FJ111" s="22"/>
      <c r="FK111" s="22"/>
      <c r="FL111" s="22"/>
      <c r="FM111" s="22"/>
      <c r="FN111" s="22"/>
      <c r="FO111" s="22"/>
      <c r="FP111" s="22"/>
      <c r="FQ111" s="22"/>
      <c r="FR111" s="22"/>
      <c r="FS111" s="22"/>
      <c r="FT111" s="22"/>
      <c r="FU111" s="22"/>
      <c r="FV111" s="22"/>
      <c r="FW111" s="22"/>
      <c r="FX111" s="22"/>
      <c r="FY111" s="22"/>
      <c r="FZ111" s="22"/>
    </row>
    <row r="112" spans="2:182" x14ac:dyDescent="0.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c r="AV112" s="22"/>
      <c r="AW112" s="22"/>
      <c r="AX112" s="22"/>
      <c r="AY112" s="22"/>
      <c r="AZ112" s="22"/>
      <c r="BA112" s="22"/>
      <c r="BB112" s="22"/>
      <c r="BC112" s="22"/>
      <c r="BD112" s="22"/>
      <c r="BE112" s="22"/>
      <c r="BF112" s="22"/>
      <c r="BG112" s="22"/>
      <c r="BH112" s="22"/>
      <c r="BI112" s="22"/>
      <c r="BJ112" s="22"/>
      <c r="BK112" s="22"/>
      <c r="BL112" s="22"/>
      <c r="BM112" s="22"/>
      <c r="BN112" s="22"/>
      <c r="BO112" s="22"/>
      <c r="BP112" s="22"/>
      <c r="BQ112" s="22"/>
      <c r="BR112" s="22"/>
      <c r="BS112" s="22"/>
      <c r="BT112" s="22"/>
      <c r="BU112" s="22"/>
      <c r="BV112" s="22"/>
      <c r="BW112" s="22"/>
      <c r="BX112" s="22"/>
      <c r="BY112" s="22"/>
      <c r="BZ112" s="22"/>
      <c r="CA112" s="22"/>
      <c r="CB112" s="22"/>
      <c r="CC112" s="22"/>
      <c r="CD112" s="22"/>
      <c r="CE112" s="22"/>
      <c r="CF112" s="22"/>
      <c r="CG112" s="22"/>
      <c r="CH112" s="22"/>
      <c r="CI112" s="22"/>
      <c r="CJ112" s="22"/>
      <c r="CK112" s="22"/>
      <c r="CL112" s="22"/>
      <c r="CM112" s="22"/>
      <c r="CN112" s="22"/>
      <c r="CO112" s="22"/>
      <c r="CP112" s="22"/>
      <c r="CQ112" s="22"/>
      <c r="CR112" s="22"/>
      <c r="CS112" s="22"/>
      <c r="CT112" s="22"/>
      <c r="CU112" s="22"/>
      <c r="CV112" s="22"/>
      <c r="CW112" s="22"/>
      <c r="CX112" s="22"/>
      <c r="CY112" s="22"/>
      <c r="CZ112" s="22"/>
      <c r="DA112" s="22"/>
      <c r="DB112" s="22"/>
      <c r="DC112" s="22"/>
      <c r="DD112" s="22"/>
      <c r="DE112" s="22"/>
      <c r="DF112" s="22"/>
      <c r="DG112" s="22"/>
      <c r="DH112" s="22"/>
      <c r="DI112" s="22"/>
      <c r="DJ112" s="22"/>
      <c r="DK112" s="22"/>
      <c r="DL112" s="22"/>
      <c r="DM112" s="22"/>
      <c r="DN112" s="22"/>
      <c r="DO112" s="22"/>
      <c r="DP112" s="22"/>
      <c r="DQ112" s="22"/>
      <c r="DR112" s="22"/>
      <c r="DS112" s="22"/>
      <c r="DT112" s="22"/>
      <c r="DU112" s="22"/>
      <c r="DV112" s="22"/>
      <c r="DW112" s="22"/>
      <c r="DX112" s="22"/>
      <c r="DY112" s="22"/>
      <c r="DZ112" s="22"/>
      <c r="EA112" s="22"/>
      <c r="EB112" s="22"/>
      <c r="EC112" s="22"/>
      <c r="ED112" s="22"/>
      <c r="EE112" s="22"/>
      <c r="EF112" s="22"/>
      <c r="EG112" s="22"/>
      <c r="EH112" s="22"/>
      <c r="EI112" s="22"/>
      <c r="EJ112" s="22"/>
      <c r="EK112" s="22"/>
      <c r="EL112" s="22"/>
      <c r="EM112" s="22"/>
      <c r="EN112" s="22"/>
      <c r="EO112" s="22"/>
      <c r="EP112" s="22"/>
      <c r="EQ112" s="22"/>
      <c r="ER112" s="22"/>
      <c r="ES112" s="22"/>
      <c r="ET112" s="22"/>
      <c r="EU112" s="22"/>
      <c r="EV112" s="22"/>
      <c r="EW112" s="22"/>
      <c r="EX112" s="22"/>
      <c r="EY112" s="22"/>
      <c r="EZ112" s="22"/>
      <c r="FA112" s="22"/>
      <c r="FB112" s="22"/>
      <c r="FC112" s="22"/>
      <c r="FD112" s="22"/>
      <c r="FE112" s="22"/>
      <c r="FF112" s="22"/>
      <c r="FG112" s="22"/>
      <c r="FH112" s="22"/>
      <c r="FI112" s="22"/>
      <c r="FJ112" s="22"/>
      <c r="FK112" s="22"/>
      <c r="FL112" s="22"/>
      <c r="FM112" s="22"/>
      <c r="FN112" s="22"/>
      <c r="FO112" s="22"/>
      <c r="FP112" s="22"/>
      <c r="FQ112" s="22"/>
      <c r="FR112" s="22"/>
      <c r="FS112" s="22"/>
      <c r="FT112" s="22"/>
      <c r="FU112" s="22"/>
      <c r="FV112" s="22"/>
      <c r="FW112" s="22"/>
      <c r="FX112" s="22"/>
      <c r="FY112" s="22"/>
      <c r="FZ112" s="22"/>
    </row>
    <row r="113" spans="2:182" x14ac:dyDescent="0.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c r="Z113" s="22"/>
      <c r="AA113" s="22"/>
      <c r="AB113" s="22"/>
      <c r="AC113" s="22"/>
      <c r="AD113" s="22"/>
      <c r="AE113" s="22"/>
      <c r="AF113" s="22"/>
      <c r="AG113" s="22"/>
      <c r="AH113" s="22"/>
      <c r="AI113" s="22"/>
      <c r="AJ113" s="22"/>
      <c r="AK113" s="22"/>
      <c r="AL113" s="22"/>
      <c r="AM113" s="22"/>
      <c r="AN113" s="22"/>
      <c r="AO113" s="22"/>
      <c r="AP113" s="22"/>
      <c r="AQ113" s="22"/>
      <c r="AR113" s="22"/>
      <c r="AS113" s="22"/>
      <c r="AT113" s="22"/>
      <c r="AU113" s="22"/>
      <c r="AV113" s="22"/>
      <c r="AW113" s="22"/>
      <c r="AX113" s="22"/>
      <c r="AY113" s="22"/>
      <c r="AZ113" s="22"/>
      <c r="BA113" s="22"/>
      <c r="BB113" s="22"/>
      <c r="BC113" s="22"/>
      <c r="BD113" s="22"/>
      <c r="BE113" s="22"/>
      <c r="BF113" s="22"/>
      <c r="BG113" s="22"/>
      <c r="BH113" s="22"/>
      <c r="BI113" s="22"/>
      <c r="BJ113" s="22"/>
      <c r="BK113" s="22"/>
      <c r="BL113" s="22"/>
      <c r="BM113" s="22"/>
      <c r="BN113" s="22"/>
      <c r="BO113" s="22"/>
      <c r="BP113" s="22"/>
      <c r="BQ113" s="22"/>
      <c r="BR113" s="22"/>
      <c r="BS113" s="22"/>
      <c r="BT113" s="22"/>
      <c r="BU113" s="22"/>
      <c r="BV113" s="22"/>
      <c r="BW113" s="22"/>
      <c r="BX113" s="22"/>
      <c r="BY113" s="22"/>
      <c r="BZ113" s="22"/>
      <c r="CA113" s="22"/>
      <c r="CB113" s="22"/>
      <c r="CC113" s="22"/>
      <c r="CD113" s="22"/>
      <c r="CE113" s="22"/>
      <c r="CF113" s="22"/>
      <c r="CG113" s="22"/>
      <c r="CH113" s="22"/>
      <c r="CI113" s="22"/>
      <c r="CJ113" s="22"/>
      <c r="CK113" s="22"/>
      <c r="CL113" s="22"/>
      <c r="CM113" s="22"/>
      <c r="CN113" s="22"/>
      <c r="CO113" s="22"/>
      <c r="CP113" s="22"/>
      <c r="CQ113" s="22"/>
      <c r="CR113" s="22"/>
      <c r="CS113" s="22"/>
      <c r="CT113" s="22"/>
      <c r="CU113" s="22"/>
      <c r="CV113" s="22"/>
      <c r="CW113" s="22"/>
      <c r="CX113" s="22"/>
      <c r="CY113" s="22"/>
      <c r="CZ113" s="22"/>
      <c r="DA113" s="22"/>
      <c r="DB113" s="22"/>
      <c r="DC113" s="22"/>
      <c r="DD113" s="22"/>
      <c r="DE113" s="22"/>
      <c r="DF113" s="22"/>
      <c r="DG113" s="22"/>
      <c r="DH113" s="22"/>
      <c r="DI113" s="22"/>
      <c r="DJ113" s="22"/>
      <c r="DK113" s="22"/>
      <c r="DL113" s="22"/>
      <c r="DM113" s="22"/>
      <c r="DN113" s="22"/>
      <c r="DO113" s="22"/>
      <c r="DP113" s="22"/>
      <c r="DQ113" s="22"/>
      <c r="DR113" s="22"/>
      <c r="DS113" s="22"/>
      <c r="DT113" s="22"/>
      <c r="DU113" s="22"/>
      <c r="DV113" s="22"/>
      <c r="DW113" s="22"/>
      <c r="DX113" s="22"/>
      <c r="DY113" s="22"/>
      <c r="DZ113" s="22"/>
      <c r="EA113" s="22"/>
      <c r="EB113" s="22"/>
      <c r="EC113" s="22"/>
      <c r="ED113" s="22"/>
      <c r="EE113" s="22"/>
      <c r="EF113" s="22"/>
      <c r="EG113" s="22"/>
      <c r="EH113" s="22"/>
      <c r="EI113" s="22"/>
      <c r="EJ113" s="22"/>
      <c r="EK113" s="22"/>
      <c r="EL113" s="22"/>
      <c r="EM113" s="22"/>
      <c r="EN113" s="22"/>
      <c r="EO113" s="22"/>
      <c r="EP113" s="22"/>
      <c r="EQ113" s="22"/>
      <c r="ER113" s="22"/>
      <c r="ES113" s="22"/>
      <c r="ET113" s="22"/>
      <c r="EU113" s="22"/>
      <c r="EV113" s="22"/>
      <c r="EW113" s="22"/>
      <c r="EX113" s="22"/>
      <c r="EY113" s="22"/>
      <c r="EZ113" s="22"/>
      <c r="FA113" s="22"/>
      <c r="FB113" s="22"/>
      <c r="FC113" s="22"/>
      <c r="FD113" s="22"/>
      <c r="FE113" s="22"/>
      <c r="FF113" s="22"/>
      <c r="FG113" s="22"/>
      <c r="FH113" s="22"/>
      <c r="FI113" s="22"/>
      <c r="FJ113" s="22"/>
      <c r="FK113" s="22"/>
      <c r="FL113" s="22"/>
      <c r="FM113" s="22"/>
      <c r="FN113" s="22"/>
      <c r="FO113" s="22"/>
      <c r="FP113" s="22"/>
      <c r="FQ113" s="22"/>
      <c r="FR113" s="22"/>
      <c r="FS113" s="22"/>
      <c r="FT113" s="22"/>
      <c r="FU113" s="22"/>
      <c r="FV113" s="22"/>
      <c r="FW113" s="22"/>
      <c r="FX113" s="22"/>
      <c r="FY113" s="22"/>
      <c r="FZ113" s="22"/>
    </row>
    <row r="114" spans="2:182" x14ac:dyDescent="0.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c r="Z114" s="22"/>
      <c r="AA114" s="22"/>
      <c r="AB114" s="22"/>
      <c r="AC114" s="22"/>
      <c r="AD114" s="22"/>
      <c r="AE114" s="22"/>
      <c r="AF114" s="22"/>
      <c r="AG114" s="22"/>
      <c r="AH114" s="22"/>
      <c r="AI114" s="22"/>
      <c r="AJ114" s="22"/>
      <c r="AK114" s="22"/>
      <c r="AL114" s="22"/>
      <c r="AM114" s="22"/>
      <c r="AN114" s="22"/>
      <c r="AO114" s="22"/>
      <c r="AP114" s="22"/>
      <c r="AQ114" s="22"/>
      <c r="AR114" s="22"/>
      <c r="AS114" s="22"/>
      <c r="AT114" s="22"/>
      <c r="AU114" s="22"/>
      <c r="AV114" s="22"/>
      <c r="AW114" s="22"/>
      <c r="AX114" s="22"/>
      <c r="AY114" s="22"/>
      <c r="AZ114" s="22"/>
      <c r="BA114" s="22"/>
      <c r="BB114" s="22"/>
      <c r="BC114" s="22"/>
      <c r="BD114" s="22"/>
      <c r="BE114" s="22"/>
      <c r="BF114" s="22"/>
      <c r="BG114" s="22"/>
      <c r="BH114" s="22"/>
      <c r="BI114" s="22"/>
      <c r="BJ114" s="22"/>
      <c r="BK114" s="22"/>
      <c r="BL114" s="22"/>
      <c r="BM114" s="22"/>
      <c r="BN114" s="22"/>
      <c r="BO114" s="22"/>
      <c r="BP114" s="22"/>
      <c r="BQ114" s="22"/>
      <c r="BR114" s="22"/>
      <c r="BS114" s="22"/>
      <c r="BT114" s="22"/>
      <c r="BU114" s="22"/>
      <c r="BV114" s="22"/>
      <c r="BW114" s="22"/>
      <c r="BX114" s="22"/>
      <c r="BY114" s="22"/>
      <c r="BZ114" s="22"/>
      <c r="CA114" s="22"/>
      <c r="CB114" s="22"/>
      <c r="CC114" s="22"/>
      <c r="CD114" s="22"/>
      <c r="CE114" s="22"/>
      <c r="CF114" s="22"/>
      <c r="CG114" s="22"/>
      <c r="CH114" s="22"/>
      <c r="CI114" s="22"/>
      <c r="CJ114" s="22"/>
      <c r="CK114" s="22"/>
      <c r="CL114" s="22"/>
      <c r="CM114" s="22"/>
      <c r="CN114" s="22"/>
      <c r="CO114" s="22"/>
      <c r="CP114" s="22"/>
      <c r="CQ114" s="22"/>
      <c r="CR114" s="22"/>
      <c r="CS114" s="22"/>
      <c r="CT114" s="22"/>
      <c r="CU114" s="22"/>
      <c r="CV114" s="22"/>
      <c r="CW114" s="22"/>
      <c r="CX114" s="22"/>
      <c r="CY114" s="22"/>
      <c r="CZ114" s="22"/>
      <c r="DA114" s="22"/>
      <c r="DB114" s="22"/>
      <c r="DC114" s="22"/>
      <c r="DD114" s="22"/>
      <c r="DE114" s="22"/>
      <c r="DF114" s="22"/>
      <c r="DG114" s="22"/>
      <c r="DH114" s="22"/>
      <c r="DI114" s="22"/>
      <c r="DJ114" s="22"/>
      <c r="DK114" s="22"/>
      <c r="DL114" s="22"/>
      <c r="DM114" s="22"/>
      <c r="DN114" s="22"/>
      <c r="DO114" s="22"/>
      <c r="DP114" s="22"/>
      <c r="DQ114" s="22"/>
      <c r="DR114" s="22"/>
      <c r="DS114" s="22"/>
      <c r="DT114" s="22"/>
      <c r="DU114" s="22"/>
      <c r="DV114" s="22"/>
      <c r="DW114" s="22"/>
      <c r="DX114" s="22"/>
      <c r="DY114" s="22"/>
      <c r="DZ114" s="22"/>
      <c r="EA114" s="22"/>
      <c r="EB114" s="22"/>
      <c r="EC114" s="22"/>
      <c r="ED114" s="22"/>
      <c r="EE114" s="22"/>
      <c r="EF114" s="22"/>
      <c r="EG114" s="22"/>
      <c r="EH114" s="22"/>
      <c r="EI114" s="22"/>
      <c r="EJ114" s="22"/>
      <c r="EK114" s="22"/>
      <c r="EL114" s="22"/>
      <c r="EM114" s="22"/>
      <c r="EN114" s="22"/>
      <c r="EO114" s="22"/>
      <c r="EP114" s="22"/>
      <c r="EQ114" s="22"/>
      <c r="ER114" s="22"/>
      <c r="ES114" s="22"/>
      <c r="ET114" s="22"/>
      <c r="EU114" s="22"/>
      <c r="EV114" s="22"/>
      <c r="EW114" s="22"/>
      <c r="EX114" s="22"/>
      <c r="EY114" s="22"/>
      <c r="EZ114" s="22"/>
      <c r="FA114" s="22"/>
      <c r="FB114" s="22"/>
      <c r="FC114" s="22"/>
      <c r="FD114" s="22"/>
      <c r="FE114" s="22"/>
      <c r="FF114" s="22"/>
      <c r="FG114" s="22"/>
      <c r="FH114" s="22"/>
      <c r="FI114" s="22"/>
      <c r="FJ114" s="22"/>
      <c r="FK114" s="22"/>
      <c r="FL114" s="22"/>
      <c r="FM114" s="22"/>
      <c r="FN114" s="22"/>
      <c r="FO114" s="22"/>
      <c r="FP114" s="22"/>
      <c r="FQ114" s="22"/>
      <c r="FR114" s="22"/>
      <c r="FS114" s="22"/>
      <c r="FT114" s="22"/>
      <c r="FU114" s="22"/>
      <c r="FV114" s="22"/>
      <c r="FW114" s="22"/>
      <c r="FX114" s="22"/>
      <c r="FY114" s="22"/>
      <c r="FZ114" s="22"/>
    </row>
    <row r="115" spans="2:182" x14ac:dyDescent="0.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c r="Z115" s="22"/>
      <c r="AA115" s="22"/>
      <c r="AB115" s="22"/>
      <c r="AC115" s="22"/>
      <c r="AD115" s="22"/>
      <c r="AE115" s="22"/>
      <c r="AF115" s="22"/>
      <c r="AG115" s="22"/>
      <c r="AH115" s="22"/>
      <c r="AI115" s="22"/>
      <c r="AJ115" s="22"/>
      <c r="AK115" s="22"/>
      <c r="AL115" s="22"/>
      <c r="AM115" s="22"/>
      <c r="AN115" s="22"/>
      <c r="AO115" s="22"/>
      <c r="AP115" s="22"/>
      <c r="AQ115" s="22"/>
      <c r="AR115" s="22"/>
      <c r="AS115" s="22"/>
      <c r="AT115" s="22"/>
      <c r="AU115" s="22"/>
      <c r="AV115" s="22"/>
      <c r="AW115" s="22"/>
      <c r="AX115" s="22"/>
      <c r="AY115" s="22"/>
      <c r="AZ115" s="22"/>
      <c r="BA115" s="22"/>
      <c r="BB115" s="22"/>
      <c r="BC115" s="22"/>
      <c r="BD115" s="22"/>
      <c r="BE115" s="22"/>
      <c r="BF115" s="22"/>
      <c r="BG115" s="22"/>
      <c r="BH115" s="22"/>
      <c r="BI115" s="22"/>
      <c r="BJ115" s="22"/>
      <c r="BK115" s="22"/>
      <c r="BL115" s="22"/>
      <c r="BM115" s="22"/>
      <c r="BN115" s="22"/>
      <c r="BO115" s="22"/>
      <c r="BP115" s="22"/>
      <c r="BQ115" s="22"/>
      <c r="BR115" s="22"/>
      <c r="BS115" s="22"/>
      <c r="BT115" s="22"/>
      <c r="BU115" s="22"/>
      <c r="BV115" s="22"/>
      <c r="BW115" s="22"/>
      <c r="BX115" s="22"/>
      <c r="BY115" s="22"/>
      <c r="BZ115" s="22"/>
      <c r="CA115" s="22"/>
      <c r="CB115" s="22"/>
      <c r="CC115" s="22"/>
      <c r="CD115" s="22"/>
      <c r="CE115" s="22"/>
      <c r="CF115" s="22"/>
      <c r="CG115" s="22"/>
      <c r="CH115" s="22"/>
      <c r="CI115" s="22"/>
      <c r="CJ115" s="22"/>
      <c r="CK115" s="22"/>
      <c r="CL115" s="22"/>
      <c r="CM115" s="22"/>
      <c r="CN115" s="22"/>
      <c r="CO115" s="22"/>
      <c r="CP115" s="22"/>
      <c r="CQ115" s="22"/>
      <c r="CR115" s="22"/>
      <c r="CS115" s="22"/>
      <c r="CT115" s="22"/>
      <c r="CU115" s="22"/>
      <c r="CV115" s="22"/>
      <c r="CW115" s="22"/>
      <c r="CX115" s="22"/>
      <c r="CY115" s="22"/>
      <c r="CZ115" s="22"/>
      <c r="DA115" s="22"/>
      <c r="DB115" s="22"/>
      <c r="DC115" s="22"/>
      <c r="DD115" s="22"/>
      <c r="DE115" s="22"/>
      <c r="DF115" s="22"/>
      <c r="DG115" s="22"/>
      <c r="DH115" s="22"/>
      <c r="DI115" s="22"/>
      <c r="DJ115" s="22"/>
      <c r="DK115" s="22"/>
      <c r="DL115" s="22"/>
      <c r="DM115" s="22"/>
      <c r="DN115" s="22"/>
      <c r="DO115" s="22"/>
      <c r="DP115" s="22"/>
      <c r="DQ115" s="22"/>
      <c r="DR115" s="22"/>
      <c r="DS115" s="22"/>
      <c r="DT115" s="22"/>
      <c r="DU115" s="22"/>
      <c r="DV115" s="22"/>
      <c r="DW115" s="22"/>
      <c r="DX115" s="22"/>
      <c r="DY115" s="22"/>
      <c r="DZ115" s="22"/>
      <c r="EA115" s="22"/>
      <c r="EB115" s="22"/>
      <c r="EC115" s="22"/>
      <c r="ED115" s="22"/>
      <c r="EE115" s="22"/>
      <c r="EF115" s="22"/>
      <c r="EG115" s="22"/>
      <c r="EH115" s="22"/>
      <c r="EI115" s="22"/>
      <c r="EJ115" s="22"/>
      <c r="EK115" s="22"/>
      <c r="EL115" s="22"/>
      <c r="EM115" s="22"/>
      <c r="EN115" s="22"/>
      <c r="EO115" s="22"/>
      <c r="EP115" s="22"/>
      <c r="EQ115" s="22"/>
      <c r="ER115" s="22"/>
      <c r="ES115" s="22"/>
      <c r="ET115" s="22"/>
      <c r="EU115" s="22"/>
      <c r="EV115" s="22"/>
      <c r="EW115" s="22"/>
      <c r="EX115" s="22"/>
      <c r="EY115" s="22"/>
      <c r="EZ115" s="22"/>
      <c r="FA115" s="22"/>
      <c r="FB115" s="22"/>
      <c r="FC115" s="22"/>
      <c r="FD115" s="22"/>
      <c r="FE115" s="22"/>
      <c r="FF115" s="22"/>
      <c r="FG115" s="22"/>
      <c r="FH115" s="22"/>
      <c r="FI115" s="22"/>
      <c r="FJ115" s="22"/>
      <c r="FK115" s="22"/>
      <c r="FL115" s="22"/>
      <c r="FM115" s="22"/>
      <c r="FN115" s="22"/>
      <c r="FO115" s="22"/>
      <c r="FP115" s="22"/>
      <c r="FQ115" s="22"/>
      <c r="FR115" s="22"/>
      <c r="FS115" s="22"/>
      <c r="FT115" s="22"/>
      <c r="FU115" s="22"/>
      <c r="FV115" s="22"/>
      <c r="FW115" s="22"/>
      <c r="FX115" s="22"/>
      <c r="FY115" s="22"/>
      <c r="FZ115" s="22"/>
    </row>
    <row r="116" spans="2:182" x14ac:dyDescent="0.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c r="Z116" s="22"/>
      <c r="AA116" s="22"/>
      <c r="AB116" s="22"/>
      <c r="AC116" s="22"/>
      <c r="AD116" s="22"/>
      <c r="AE116" s="22"/>
      <c r="AF116" s="22"/>
      <c r="AG116" s="22"/>
      <c r="AH116" s="22"/>
      <c r="AI116" s="22"/>
      <c r="AJ116" s="22"/>
      <c r="AK116" s="22"/>
      <c r="AL116" s="22"/>
      <c r="AM116" s="22"/>
      <c r="AN116" s="22"/>
      <c r="AO116" s="22"/>
      <c r="AP116" s="22"/>
      <c r="AQ116" s="22"/>
      <c r="AR116" s="22"/>
      <c r="AS116" s="22"/>
      <c r="AT116" s="22"/>
      <c r="AU116" s="22"/>
      <c r="AV116" s="22"/>
      <c r="AW116" s="22"/>
      <c r="AX116" s="22"/>
      <c r="AY116" s="22"/>
      <c r="AZ116" s="22"/>
      <c r="BA116" s="22"/>
      <c r="BB116" s="22"/>
      <c r="BC116" s="22"/>
      <c r="BD116" s="22"/>
      <c r="BE116" s="22"/>
      <c r="BF116" s="22"/>
      <c r="BG116" s="22"/>
      <c r="BH116" s="22"/>
      <c r="BI116" s="22"/>
      <c r="BJ116" s="22"/>
      <c r="BK116" s="22"/>
      <c r="BL116" s="22"/>
      <c r="BM116" s="22"/>
      <c r="BN116" s="22"/>
      <c r="BO116" s="22"/>
      <c r="BP116" s="22"/>
      <c r="BQ116" s="22"/>
      <c r="BR116" s="22"/>
      <c r="BS116" s="22"/>
      <c r="BT116" s="22"/>
      <c r="BU116" s="22"/>
      <c r="BV116" s="22"/>
      <c r="BW116" s="22"/>
      <c r="BX116" s="22"/>
      <c r="BY116" s="22"/>
      <c r="BZ116" s="22"/>
      <c r="CA116" s="22"/>
      <c r="CB116" s="22"/>
      <c r="CC116" s="22"/>
      <c r="CD116" s="22"/>
      <c r="CE116" s="22"/>
      <c r="CF116" s="22"/>
      <c r="CG116" s="22"/>
      <c r="CH116" s="22"/>
      <c r="CI116" s="22"/>
      <c r="CJ116" s="22"/>
      <c r="CK116" s="22"/>
      <c r="CL116" s="22"/>
      <c r="CM116" s="22"/>
      <c r="CN116" s="22"/>
      <c r="CO116" s="22"/>
      <c r="CP116" s="22"/>
      <c r="CQ116" s="22"/>
      <c r="CR116" s="22"/>
      <c r="CS116" s="22"/>
      <c r="CT116" s="22"/>
      <c r="CU116" s="22"/>
      <c r="CV116" s="22"/>
      <c r="CW116" s="22"/>
      <c r="CX116" s="22"/>
      <c r="CY116" s="22"/>
      <c r="CZ116" s="22"/>
      <c r="DA116" s="22"/>
      <c r="DB116" s="22"/>
      <c r="DC116" s="22"/>
      <c r="DD116" s="22"/>
      <c r="DE116" s="22"/>
      <c r="DF116" s="22"/>
      <c r="DG116" s="22"/>
      <c r="DH116" s="22"/>
      <c r="DI116" s="22"/>
      <c r="DJ116" s="22"/>
      <c r="DK116" s="22"/>
      <c r="DL116" s="22"/>
      <c r="DM116" s="22"/>
      <c r="DN116" s="22"/>
      <c r="DO116" s="22"/>
      <c r="DP116" s="22"/>
      <c r="DQ116" s="22"/>
      <c r="DR116" s="22"/>
      <c r="DS116" s="22"/>
      <c r="DT116" s="22"/>
      <c r="DU116" s="22"/>
      <c r="DV116" s="22"/>
      <c r="DW116" s="22"/>
      <c r="DX116" s="22"/>
      <c r="DY116" s="22"/>
      <c r="DZ116" s="22"/>
      <c r="EA116" s="22"/>
      <c r="EB116" s="22"/>
      <c r="EC116" s="22"/>
      <c r="ED116" s="22"/>
      <c r="EE116" s="22"/>
      <c r="EF116" s="22"/>
      <c r="EG116" s="22"/>
      <c r="EH116" s="22"/>
      <c r="EI116" s="22"/>
      <c r="EJ116" s="22"/>
      <c r="EK116" s="22"/>
      <c r="EL116" s="22"/>
      <c r="EM116" s="22"/>
      <c r="EN116" s="22"/>
      <c r="EO116" s="22"/>
      <c r="EP116" s="22"/>
      <c r="EQ116" s="22"/>
      <c r="ER116" s="22"/>
      <c r="ES116" s="22"/>
      <c r="ET116" s="22"/>
      <c r="EU116" s="22"/>
      <c r="EV116" s="22"/>
      <c r="EW116" s="22"/>
      <c r="EX116" s="22"/>
      <c r="EY116" s="22"/>
      <c r="EZ116" s="22"/>
      <c r="FA116" s="22"/>
      <c r="FB116" s="22"/>
      <c r="FC116" s="22"/>
      <c r="FD116" s="22"/>
      <c r="FE116" s="22"/>
      <c r="FF116" s="22"/>
      <c r="FG116" s="22"/>
      <c r="FH116" s="22"/>
      <c r="FI116" s="22"/>
      <c r="FJ116" s="22"/>
      <c r="FK116" s="22"/>
      <c r="FL116" s="22"/>
      <c r="FM116" s="22"/>
      <c r="FN116" s="22"/>
      <c r="FO116" s="22"/>
      <c r="FP116" s="22"/>
      <c r="FQ116" s="22"/>
      <c r="FR116" s="22"/>
      <c r="FS116" s="22"/>
      <c r="FT116" s="22"/>
      <c r="FU116" s="22"/>
      <c r="FV116" s="22"/>
      <c r="FW116" s="22"/>
      <c r="FX116" s="22"/>
      <c r="FY116" s="22"/>
      <c r="FZ116" s="22"/>
    </row>
    <row r="117" spans="2:182" x14ac:dyDescent="0.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c r="Z117" s="22"/>
      <c r="AA117" s="22"/>
      <c r="AB117" s="22"/>
      <c r="AC117" s="22"/>
      <c r="AD117" s="22"/>
      <c r="AE117" s="22"/>
      <c r="AF117" s="22"/>
      <c r="AG117" s="22"/>
      <c r="AH117" s="22"/>
      <c r="AI117" s="22"/>
      <c r="AJ117" s="22"/>
      <c r="AK117" s="22"/>
      <c r="AL117" s="22"/>
      <c r="AM117" s="22"/>
      <c r="AN117" s="22"/>
      <c r="AO117" s="22"/>
      <c r="AP117" s="22"/>
      <c r="AQ117" s="22"/>
      <c r="AR117" s="22"/>
      <c r="AS117" s="22"/>
      <c r="AT117" s="22"/>
      <c r="AU117" s="22"/>
      <c r="AV117" s="22"/>
      <c r="AW117" s="22"/>
      <c r="AX117" s="22"/>
      <c r="AY117" s="22"/>
      <c r="AZ117" s="22"/>
      <c r="BA117" s="22"/>
      <c r="BB117" s="22"/>
      <c r="BC117" s="22"/>
      <c r="BD117" s="22"/>
      <c r="BE117" s="22"/>
      <c r="BF117" s="22"/>
      <c r="BG117" s="22"/>
      <c r="BH117" s="22"/>
      <c r="BI117" s="22"/>
      <c r="BJ117" s="22"/>
      <c r="BK117" s="22"/>
      <c r="BL117" s="22"/>
      <c r="BM117" s="22"/>
      <c r="BN117" s="22"/>
      <c r="BO117" s="22"/>
      <c r="BP117" s="22"/>
      <c r="BQ117" s="22"/>
      <c r="BR117" s="22"/>
      <c r="BS117" s="22"/>
      <c r="BT117" s="22"/>
      <c r="BU117" s="22"/>
      <c r="BV117" s="22"/>
      <c r="BW117" s="22"/>
      <c r="BX117" s="22"/>
      <c r="BY117" s="22"/>
      <c r="BZ117" s="22"/>
      <c r="CA117" s="22"/>
      <c r="CB117" s="22"/>
      <c r="CC117" s="22"/>
      <c r="CD117" s="22"/>
      <c r="CE117" s="22"/>
      <c r="CF117" s="22"/>
      <c r="CG117" s="22"/>
      <c r="CH117" s="22"/>
      <c r="CI117" s="22"/>
      <c r="CJ117" s="22"/>
      <c r="CK117" s="22"/>
      <c r="CL117" s="22"/>
      <c r="CM117" s="22"/>
      <c r="CN117" s="22"/>
      <c r="CO117" s="22"/>
      <c r="CP117" s="22"/>
      <c r="CQ117" s="22"/>
      <c r="CR117" s="22"/>
      <c r="CS117" s="22"/>
      <c r="CT117" s="22"/>
      <c r="CU117" s="22"/>
      <c r="CV117" s="22"/>
      <c r="CW117" s="22"/>
      <c r="CX117" s="22"/>
      <c r="CY117" s="22"/>
      <c r="CZ117" s="22"/>
      <c r="DA117" s="22"/>
      <c r="DB117" s="22"/>
      <c r="DC117" s="22"/>
      <c r="DD117" s="22"/>
      <c r="DE117" s="22"/>
      <c r="DF117" s="22"/>
      <c r="DG117" s="22"/>
      <c r="DH117" s="22"/>
      <c r="DI117" s="22"/>
      <c r="DJ117" s="22"/>
      <c r="DK117" s="22"/>
      <c r="DL117" s="22"/>
      <c r="DM117" s="22"/>
      <c r="DN117" s="22"/>
      <c r="DO117" s="22"/>
      <c r="DP117" s="22"/>
      <c r="DQ117" s="22"/>
      <c r="DR117" s="22"/>
      <c r="DS117" s="22"/>
      <c r="DT117" s="22"/>
      <c r="DU117" s="22"/>
      <c r="DV117" s="22"/>
      <c r="DW117" s="22"/>
      <c r="DX117" s="22"/>
      <c r="DY117" s="22"/>
      <c r="DZ117" s="22"/>
      <c r="EA117" s="22"/>
      <c r="EB117" s="22"/>
      <c r="EC117" s="22"/>
      <c r="ED117" s="22"/>
      <c r="EE117" s="22"/>
      <c r="EF117" s="22"/>
      <c r="EG117" s="22"/>
      <c r="EH117" s="22"/>
      <c r="EI117" s="22"/>
      <c r="EJ117" s="22"/>
      <c r="EK117" s="22"/>
      <c r="EL117" s="22"/>
      <c r="EM117" s="22"/>
      <c r="EN117" s="22"/>
      <c r="EO117" s="22"/>
      <c r="EP117" s="22"/>
      <c r="EQ117" s="22"/>
      <c r="ER117" s="22"/>
      <c r="ES117" s="22"/>
      <c r="ET117" s="22"/>
      <c r="EU117" s="22"/>
      <c r="EV117" s="22"/>
      <c r="EW117" s="22"/>
      <c r="EX117" s="22"/>
      <c r="EY117" s="22"/>
      <c r="EZ117" s="22"/>
      <c r="FA117" s="22"/>
      <c r="FB117" s="22"/>
      <c r="FC117" s="22"/>
      <c r="FD117" s="22"/>
      <c r="FE117" s="22"/>
      <c r="FF117" s="22"/>
      <c r="FG117" s="22"/>
      <c r="FH117" s="22"/>
      <c r="FI117" s="22"/>
      <c r="FJ117" s="22"/>
      <c r="FK117" s="22"/>
      <c r="FL117" s="22"/>
      <c r="FM117" s="22"/>
      <c r="FN117" s="22"/>
      <c r="FO117" s="22"/>
      <c r="FP117" s="22"/>
      <c r="FQ117" s="22"/>
      <c r="FR117" s="22"/>
      <c r="FS117" s="22"/>
      <c r="FT117" s="22"/>
      <c r="FU117" s="22"/>
      <c r="FV117" s="22"/>
      <c r="FW117" s="22"/>
      <c r="FX117" s="22"/>
      <c r="FY117" s="22"/>
      <c r="FZ117" s="22"/>
    </row>
    <row r="118" spans="2:182" x14ac:dyDescent="0.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c r="Z118" s="22"/>
      <c r="AA118" s="22"/>
      <c r="AB118" s="22"/>
      <c r="AC118" s="22"/>
      <c r="AD118" s="22"/>
      <c r="AE118" s="22"/>
      <c r="AF118" s="22"/>
      <c r="AG118" s="22"/>
      <c r="AH118" s="22"/>
      <c r="AI118" s="22"/>
      <c r="AJ118" s="22"/>
      <c r="AK118" s="22"/>
      <c r="AL118" s="22"/>
      <c r="AM118" s="22"/>
      <c r="AN118" s="22"/>
      <c r="AO118" s="22"/>
      <c r="AP118" s="22"/>
      <c r="AQ118" s="22"/>
      <c r="AR118" s="22"/>
      <c r="AS118" s="22"/>
      <c r="AT118" s="22"/>
      <c r="AU118" s="22"/>
      <c r="AV118" s="22"/>
      <c r="AW118" s="22"/>
      <c r="AX118" s="22"/>
      <c r="AY118" s="22"/>
      <c r="AZ118" s="22"/>
      <c r="BA118" s="22"/>
      <c r="BB118" s="22"/>
      <c r="BC118" s="22"/>
      <c r="BD118" s="22"/>
      <c r="BE118" s="22"/>
      <c r="BF118" s="22"/>
      <c r="BG118" s="22"/>
      <c r="BH118" s="22"/>
      <c r="BI118" s="22"/>
      <c r="BJ118" s="22"/>
      <c r="BK118" s="22"/>
      <c r="BL118" s="22"/>
      <c r="BM118" s="22"/>
      <c r="BN118" s="22"/>
      <c r="BO118" s="22"/>
      <c r="BP118" s="22"/>
      <c r="BQ118" s="22"/>
      <c r="BR118" s="22"/>
      <c r="BS118" s="22"/>
      <c r="BT118" s="22"/>
      <c r="BU118" s="22"/>
      <c r="BV118" s="22"/>
      <c r="BW118" s="22"/>
      <c r="BX118" s="22"/>
      <c r="BY118" s="22"/>
      <c r="BZ118" s="22"/>
      <c r="CA118" s="22"/>
      <c r="CB118" s="22"/>
      <c r="CC118" s="22"/>
      <c r="CD118" s="22"/>
      <c r="CE118" s="22"/>
      <c r="CF118" s="22"/>
      <c r="CG118" s="22"/>
      <c r="CH118" s="22"/>
      <c r="CI118" s="22"/>
      <c r="CJ118" s="22"/>
      <c r="CK118" s="22"/>
      <c r="CL118" s="22"/>
      <c r="CM118" s="22"/>
      <c r="CN118" s="22"/>
      <c r="CO118" s="22"/>
      <c r="CP118" s="22"/>
      <c r="CQ118" s="22"/>
      <c r="CR118" s="22"/>
      <c r="CS118" s="22"/>
      <c r="CT118" s="22"/>
      <c r="CU118" s="22"/>
      <c r="CV118" s="22"/>
      <c r="CW118" s="22"/>
      <c r="CX118" s="22"/>
      <c r="CY118" s="22"/>
      <c r="CZ118" s="22"/>
      <c r="DA118" s="22"/>
      <c r="DB118" s="22"/>
      <c r="DC118" s="22"/>
      <c r="DD118" s="22"/>
      <c r="DE118" s="22"/>
      <c r="DF118" s="22"/>
      <c r="DG118" s="22"/>
      <c r="DH118" s="22"/>
      <c r="DI118" s="22"/>
      <c r="DJ118" s="22"/>
      <c r="DK118" s="22"/>
      <c r="DL118" s="22"/>
      <c r="DM118" s="22"/>
      <c r="DN118" s="22"/>
      <c r="DO118" s="22"/>
      <c r="DP118" s="22"/>
      <c r="DQ118" s="22"/>
      <c r="DR118" s="22"/>
      <c r="DS118" s="22"/>
      <c r="DT118" s="22"/>
      <c r="DU118" s="22"/>
      <c r="DV118" s="22"/>
      <c r="DW118" s="22"/>
      <c r="DX118" s="22"/>
      <c r="DY118" s="22"/>
      <c r="DZ118" s="22"/>
      <c r="EA118" s="22"/>
      <c r="EB118" s="22"/>
      <c r="EC118" s="22"/>
      <c r="ED118" s="22"/>
      <c r="EE118" s="22"/>
      <c r="EF118" s="22"/>
      <c r="EG118" s="22"/>
      <c r="EH118" s="22"/>
      <c r="EI118" s="22"/>
      <c r="EJ118" s="22"/>
      <c r="EK118" s="22"/>
      <c r="EL118" s="22"/>
      <c r="EM118" s="22"/>
      <c r="EN118" s="22"/>
      <c r="EO118" s="22"/>
      <c r="EP118" s="22"/>
      <c r="EQ118" s="22"/>
      <c r="ER118" s="22"/>
      <c r="ES118" s="22"/>
      <c r="ET118" s="22"/>
      <c r="EU118" s="22"/>
      <c r="EV118" s="22"/>
      <c r="EW118" s="22"/>
      <c r="EX118" s="22"/>
      <c r="EY118" s="22"/>
      <c r="EZ118" s="22"/>
      <c r="FA118" s="22"/>
      <c r="FB118" s="22"/>
      <c r="FC118" s="22"/>
      <c r="FD118" s="22"/>
      <c r="FE118" s="22"/>
      <c r="FF118" s="22"/>
      <c r="FG118" s="22"/>
      <c r="FH118" s="22"/>
      <c r="FI118" s="22"/>
      <c r="FJ118" s="22"/>
      <c r="FK118" s="22"/>
      <c r="FL118" s="22"/>
      <c r="FM118" s="22"/>
      <c r="FN118" s="22"/>
      <c r="FO118" s="22"/>
      <c r="FP118" s="22"/>
      <c r="FQ118" s="22"/>
      <c r="FR118" s="22"/>
      <c r="FS118" s="22"/>
      <c r="FT118" s="22"/>
      <c r="FU118" s="22"/>
      <c r="FV118" s="22"/>
      <c r="FW118" s="22"/>
      <c r="FX118" s="22"/>
      <c r="FY118" s="22"/>
      <c r="FZ118" s="22"/>
    </row>
    <row r="119" spans="2:182" x14ac:dyDescent="0.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c r="Z119" s="22"/>
      <c r="AA119" s="22"/>
      <c r="AB119" s="22"/>
      <c r="AC119" s="22"/>
      <c r="AD119" s="22"/>
      <c r="AE119" s="22"/>
      <c r="AF119" s="22"/>
      <c r="AG119" s="22"/>
      <c r="AH119" s="22"/>
      <c r="AI119" s="22"/>
      <c r="AJ119" s="22"/>
      <c r="AK119" s="22"/>
      <c r="AL119" s="22"/>
      <c r="AM119" s="22"/>
      <c r="AN119" s="22"/>
      <c r="AO119" s="22"/>
      <c r="AP119" s="22"/>
      <c r="AQ119" s="22"/>
      <c r="AR119" s="22"/>
      <c r="AS119" s="22"/>
      <c r="AT119" s="22"/>
      <c r="AU119" s="22"/>
      <c r="AV119" s="22"/>
      <c r="AW119" s="22"/>
      <c r="AX119" s="22"/>
      <c r="AY119" s="22"/>
      <c r="AZ119" s="22"/>
      <c r="BA119" s="22"/>
      <c r="BB119" s="22"/>
      <c r="BC119" s="22"/>
      <c r="BD119" s="22"/>
      <c r="BE119" s="22"/>
      <c r="BF119" s="22"/>
      <c r="BG119" s="22"/>
      <c r="BH119" s="22"/>
      <c r="BI119" s="22"/>
      <c r="BJ119" s="22"/>
      <c r="BK119" s="22"/>
      <c r="BL119" s="22"/>
      <c r="BM119" s="22"/>
      <c r="BN119" s="22"/>
      <c r="BO119" s="22"/>
      <c r="BP119" s="22"/>
      <c r="BQ119" s="22"/>
      <c r="BR119" s="22"/>
      <c r="BS119" s="22"/>
      <c r="BT119" s="22"/>
      <c r="BU119" s="22"/>
      <c r="BV119" s="22"/>
      <c r="BW119" s="22"/>
      <c r="BX119" s="22"/>
      <c r="BY119" s="22"/>
      <c r="BZ119" s="22"/>
      <c r="CA119" s="22"/>
      <c r="CB119" s="22"/>
      <c r="CC119" s="22"/>
      <c r="CD119" s="22"/>
      <c r="CE119" s="22"/>
      <c r="CF119" s="22"/>
      <c r="CG119" s="22"/>
      <c r="CH119" s="22"/>
      <c r="CI119" s="22"/>
      <c r="CJ119" s="22"/>
      <c r="CK119" s="22"/>
      <c r="CL119" s="22"/>
      <c r="CM119" s="22"/>
      <c r="CN119" s="22"/>
      <c r="CO119" s="22"/>
      <c r="CP119" s="22"/>
      <c r="CQ119" s="22"/>
      <c r="CR119" s="22"/>
      <c r="CS119" s="22"/>
      <c r="CT119" s="22"/>
      <c r="CU119" s="22"/>
      <c r="CV119" s="22"/>
      <c r="CW119" s="22"/>
      <c r="CX119" s="22"/>
      <c r="CY119" s="22"/>
      <c r="CZ119" s="22"/>
      <c r="DA119" s="22"/>
      <c r="DB119" s="22"/>
      <c r="DC119" s="22"/>
      <c r="DD119" s="22"/>
      <c r="DE119" s="22"/>
      <c r="DF119" s="22"/>
      <c r="DG119" s="22"/>
      <c r="DH119" s="22"/>
      <c r="DI119" s="22"/>
      <c r="DJ119" s="22"/>
      <c r="DK119" s="22"/>
      <c r="DL119" s="22"/>
      <c r="DM119" s="22"/>
      <c r="DN119" s="22"/>
      <c r="DO119" s="22"/>
      <c r="DP119" s="22"/>
      <c r="DQ119" s="22"/>
      <c r="DR119" s="22"/>
      <c r="DS119" s="22"/>
      <c r="DT119" s="22"/>
      <c r="DU119" s="22"/>
      <c r="DV119" s="22"/>
      <c r="DW119" s="22"/>
      <c r="DX119" s="22"/>
      <c r="DY119" s="22"/>
      <c r="DZ119" s="22"/>
      <c r="EA119" s="22"/>
      <c r="EB119" s="22"/>
      <c r="EC119" s="22"/>
      <c r="ED119" s="22"/>
      <c r="EE119" s="22"/>
      <c r="EF119" s="22"/>
      <c r="EG119" s="22"/>
      <c r="EH119" s="22"/>
      <c r="EI119" s="22"/>
      <c r="EJ119" s="22"/>
      <c r="EK119" s="22"/>
      <c r="EL119" s="22"/>
      <c r="EM119" s="22"/>
      <c r="EN119" s="22"/>
      <c r="EO119" s="22"/>
      <c r="EP119" s="22"/>
      <c r="EQ119" s="22"/>
      <c r="ER119" s="22"/>
      <c r="ES119" s="22"/>
      <c r="ET119" s="22"/>
      <c r="EU119" s="22"/>
      <c r="EV119" s="22"/>
      <c r="EW119" s="22"/>
      <c r="EX119" s="22"/>
      <c r="EY119" s="22"/>
      <c r="EZ119" s="22"/>
      <c r="FA119" s="22"/>
      <c r="FB119" s="22"/>
      <c r="FC119" s="22"/>
      <c r="FD119" s="22"/>
      <c r="FE119" s="22"/>
      <c r="FF119" s="22"/>
      <c r="FG119" s="22"/>
      <c r="FH119" s="22"/>
      <c r="FI119" s="22"/>
      <c r="FJ119" s="22"/>
      <c r="FK119" s="22"/>
      <c r="FL119" s="22"/>
      <c r="FM119" s="22"/>
      <c r="FN119" s="22"/>
      <c r="FO119" s="22"/>
      <c r="FP119" s="22"/>
      <c r="FQ119" s="22"/>
      <c r="FR119" s="22"/>
      <c r="FS119" s="22"/>
      <c r="FT119" s="22"/>
      <c r="FU119" s="22"/>
      <c r="FV119" s="22"/>
      <c r="FW119" s="22"/>
      <c r="FX119" s="22"/>
      <c r="FY119" s="22"/>
      <c r="FZ119" s="22"/>
    </row>
    <row r="120" spans="2:182" x14ac:dyDescent="0.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c r="Z120" s="22"/>
      <c r="AA120" s="22"/>
      <c r="AB120" s="22"/>
      <c r="AC120" s="22"/>
      <c r="AD120" s="22"/>
      <c r="AE120" s="22"/>
      <c r="AF120" s="22"/>
      <c r="AG120" s="22"/>
      <c r="AH120" s="22"/>
      <c r="AI120" s="22"/>
      <c r="AJ120" s="22"/>
      <c r="AK120" s="22"/>
      <c r="AL120" s="22"/>
      <c r="AM120" s="22"/>
      <c r="AN120" s="22"/>
      <c r="AO120" s="22"/>
      <c r="AP120" s="22"/>
      <c r="AQ120" s="22"/>
      <c r="AR120" s="22"/>
      <c r="AS120" s="22"/>
      <c r="AT120" s="22"/>
      <c r="AU120" s="22"/>
      <c r="AV120" s="22"/>
      <c r="AW120" s="22"/>
      <c r="AX120" s="22"/>
      <c r="AY120" s="22"/>
      <c r="AZ120" s="22"/>
      <c r="BA120" s="22"/>
      <c r="BB120" s="22"/>
      <c r="BC120" s="22"/>
      <c r="BD120" s="22"/>
      <c r="BE120" s="22"/>
      <c r="BF120" s="22"/>
      <c r="BG120" s="22"/>
      <c r="BH120" s="22"/>
      <c r="BI120" s="22"/>
      <c r="BJ120" s="22"/>
      <c r="BK120" s="22"/>
      <c r="BL120" s="22"/>
      <c r="BM120" s="22"/>
      <c r="BN120" s="22"/>
      <c r="BO120" s="22"/>
      <c r="BP120" s="22"/>
      <c r="BQ120" s="22"/>
      <c r="BR120" s="22"/>
      <c r="BS120" s="22"/>
      <c r="BT120" s="22"/>
      <c r="BU120" s="22"/>
      <c r="BV120" s="22"/>
      <c r="BW120" s="22"/>
      <c r="BX120" s="22"/>
      <c r="BY120" s="22"/>
      <c r="BZ120" s="22"/>
      <c r="CA120" s="22"/>
      <c r="CB120" s="22"/>
      <c r="CC120" s="22"/>
      <c r="CD120" s="22"/>
      <c r="CE120" s="22"/>
      <c r="CF120" s="22"/>
      <c r="CG120" s="22"/>
      <c r="CH120" s="22"/>
      <c r="CI120" s="22"/>
      <c r="CJ120" s="22"/>
      <c r="CK120" s="22"/>
      <c r="CL120" s="22"/>
      <c r="CM120" s="22"/>
      <c r="CN120" s="22"/>
      <c r="CO120" s="22"/>
      <c r="CP120" s="22"/>
      <c r="CQ120" s="22"/>
      <c r="CR120" s="22"/>
      <c r="CS120" s="22"/>
      <c r="CT120" s="22"/>
      <c r="CU120" s="22"/>
      <c r="CV120" s="22"/>
      <c r="CW120" s="22"/>
      <c r="CX120" s="22"/>
      <c r="CY120" s="22"/>
      <c r="CZ120" s="22"/>
      <c r="DA120" s="22"/>
      <c r="DB120" s="22"/>
      <c r="DC120" s="22"/>
      <c r="DD120" s="22"/>
      <c r="DE120" s="22"/>
      <c r="DF120" s="22"/>
      <c r="DG120" s="22"/>
      <c r="DH120" s="22"/>
      <c r="DI120" s="22"/>
      <c r="DJ120" s="22"/>
      <c r="DK120" s="22"/>
      <c r="DL120" s="22"/>
      <c r="DM120" s="22"/>
      <c r="DN120" s="22"/>
      <c r="DO120" s="22"/>
      <c r="DP120" s="22"/>
      <c r="DQ120" s="22"/>
      <c r="DR120" s="22"/>
      <c r="DS120" s="22"/>
      <c r="DT120" s="22"/>
      <c r="DU120" s="22"/>
      <c r="DV120" s="22"/>
      <c r="DW120" s="22"/>
      <c r="DX120" s="22"/>
      <c r="DY120" s="22"/>
      <c r="DZ120" s="22"/>
      <c r="EA120" s="22"/>
      <c r="EB120" s="22"/>
      <c r="EC120" s="22"/>
      <c r="ED120" s="22"/>
      <c r="EE120" s="22"/>
      <c r="EF120" s="22"/>
      <c r="EG120" s="22"/>
      <c r="EH120" s="22"/>
      <c r="EI120" s="22"/>
      <c r="EJ120" s="22"/>
      <c r="EK120" s="22"/>
      <c r="EL120" s="22"/>
      <c r="EM120" s="22"/>
      <c r="EN120" s="22"/>
      <c r="EO120" s="22"/>
      <c r="EP120" s="22"/>
      <c r="EQ120" s="22"/>
      <c r="ER120" s="22"/>
      <c r="ES120" s="22"/>
      <c r="ET120" s="22"/>
      <c r="EU120" s="22"/>
      <c r="EV120" s="22"/>
      <c r="EW120" s="22"/>
      <c r="EX120" s="22"/>
      <c r="EY120" s="22"/>
      <c r="EZ120" s="22"/>
      <c r="FA120" s="22"/>
      <c r="FB120" s="22"/>
      <c r="FC120" s="22"/>
      <c r="FD120" s="22"/>
      <c r="FE120" s="22"/>
      <c r="FF120" s="22"/>
      <c r="FG120" s="22"/>
      <c r="FH120" s="22"/>
      <c r="FI120" s="22"/>
      <c r="FJ120" s="22"/>
      <c r="FK120" s="22"/>
      <c r="FL120" s="22"/>
      <c r="FM120" s="22"/>
      <c r="FN120" s="22"/>
      <c r="FO120" s="22"/>
      <c r="FP120" s="22"/>
      <c r="FQ120" s="22"/>
      <c r="FR120" s="22"/>
      <c r="FS120" s="22"/>
      <c r="FT120" s="22"/>
      <c r="FU120" s="22"/>
      <c r="FV120" s="22"/>
      <c r="FW120" s="22"/>
      <c r="FX120" s="22"/>
      <c r="FY120" s="22"/>
      <c r="FZ120" s="22"/>
    </row>
    <row r="121" spans="2:182" x14ac:dyDescent="0.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c r="Z121" s="22"/>
      <c r="AA121" s="22"/>
      <c r="AB121" s="22"/>
      <c r="AC121" s="22"/>
      <c r="AD121" s="22"/>
      <c r="AE121" s="22"/>
      <c r="AF121" s="22"/>
      <c r="AG121" s="22"/>
      <c r="AH121" s="22"/>
      <c r="AI121" s="22"/>
      <c r="AJ121" s="22"/>
      <c r="AK121" s="22"/>
      <c r="AL121" s="22"/>
      <c r="AM121" s="22"/>
      <c r="AN121" s="22"/>
      <c r="AO121" s="22"/>
      <c r="AP121" s="22"/>
      <c r="AQ121" s="22"/>
      <c r="AR121" s="22"/>
      <c r="AS121" s="22"/>
      <c r="AT121" s="22"/>
      <c r="AU121" s="22"/>
      <c r="AV121" s="22"/>
      <c r="AW121" s="22"/>
      <c r="AX121" s="22"/>
      <c r="AY121" s="22"/>
      <c r="AZ121" s="22"/>
      <c r="BA121" s="22"/>
      <c r="BB121" s="22"/>
      <c r="BC121" s="22"/>
      <c r="BD121" s="22"/>
      <c r="BE121" s="22"/>
      <c r="BF121" s="22"/>
      <c r="BG121" s="22"/>
      <c r="BH121" s="22"/>
      <c r="BI121" s="22"/>
      <c r="BJ121" s="22"/>
      <c r="BK121" s="22"/>
      <c r="BL121" s="22"/>
      <c r="BM121" s="22"/>
      <c r="BN121" s="22"/>
      <c r="BO121" s="22"/>
      <c r="BP121" s="22"/>
      <c r="BQ121" s="22"/>
      <c r="BR121" s="22"/>
      <c r="BS121" s="22"/>
      <c r="BT121" s="22"/>
      <c r="BU121" s="22"/>
      <c r="BV121" s="22"/>
      <c r="BW121" s="22"/>
      <c r="BX121" s="22"/>
      <c r="BY121" s="22"/>
      <c r="BZ121" s="22"/>
      <c r="CA121" s="22"/>
      <c r="CB121" s="22"/>
      <c r="CC121" s="22"/>
      <c r="CD121" s="22"/>
      <c r="CE121" s="22"/>
      <c r="CF121" s="22"/>
      <c r="CG121" s="22"/>
      <c r="CH121" s="22"/>
      <c r="CI121" s="22"/>
      <c r="CJ121" s="22"/>
      <c r="CK121" s="22"/>
      <c r="CL121" s="22"/>
      <c r="CM121" s="22"/>
      <c r="CN121" s="22"/>
      <c r="CO121" s="22"/>
      <c r="CP121" s="22"/>
      <c r="CQ121" s="22"/>
      <c r="CR121" s="22"/>
      <c r="CS121" s="22"/>
      <c r="CT121" s="22"/>
      <c r="CU121" s="22"/>
      <c r="CV121" s="22"/>
      <c r="CW121" s="22"/>
      <c r="CX121" s="22"/>
      <c r="CY121" s="22"/>
      <c r="CZ121" s="22"/>
      <c r="DA121" s="22"/>
      <c r="DB121" s="22"/>
      <c r="DC121" s="22"/>
      <c r="DD121" s="22"/>
      <c r="DE121" s="22"/>
      <c r="DF121" s="22"/>
      <c r="DG121" s="22"/>
      <c r="DH121" s="22"/>
      <c r="DI121" s="22"/>
      <c r="DJ121" s="22"/>
      <c r="DK121" s="22"/>
      <c r="DL121" s="22"/>
      <c r="DM121" s="22"/>
      <c r="DN121" s="22"/>
      <c r="DO121" s="22"/>
      <c r="DP121" s="22"/>
      <c r="DQ121" s="22"/>
      <c r="DR121" s="22"/>
      <c r="DS121" s="22"/>
      <c r="DT121" s="22"/>
      <c r="DU121" s="22"/>
      <c r="DV121" s="22"/>
      <c r="DW121" s="22"/>
      <c r="DX121" s="22"/>
      <c r="DY121" s="22"/>
      <c r="DZ121" s="22"/>
      <c r="EA121" s="22"/>
      <c r="EB121" s="22"/>
      <c r="EC121" s="22"/>
      <c r="ED121" s="22"/>
      <c r="EE121" s="22"/>
      <c r="EF121" s="22"/>
      <c r="EG121" s="22"/>
      <c r="EH121" s="22"/>
      <c r="EI121" s="22"/>
      <c r="EJ121" s="22"/>
      <c r="EK121" s="22"/>
      <c r="EL121" s="22"/>
      <c r="EM121" s="22"/>
      <c r="EN121" s="22"/>
      <c r="EO121" s="22"/>
      <c r="EP121" s="22"/>
      <c r="EQ121" s="22"/>
      <c r="ER121" s="22"/>
      <c r="ES121" s="22"/>
      <c r="ET121" s="22"/>
      <c r="EU121" s="22"/>
      <c r="EV121" s="22"/>
      <c r="EW121" s="22"/>
      <c r="EX121" s="22"/>
      <c r="EY121" s="22"/>
      <c r="EZ121" s="22"/>
      <c r="FA121" s="22"/>
      <c r="FB121" s="22"/>
      <c r="FC121" s="22"/>
      <c r="FD121" s="22"/>
      <c r="FE121" s="22"/>
      <c r="FF121" s="22"/>
      <c r="FG121" s="22"/>
      <c r="FH121" s="22"/>
      <c r="FI121" s="22"/>
      <c r="FJ121" s="22"/>
      <c r="FK121" s="22"/>
      <c r="FL121" s="22"/>
      <c r="FM121" s="22"/>
      <c r="FN121" s="22"/>
      <c r="FO121" s="22"/>
      <c r="FP121" s="22"/>
      <c r="FQ121" s="22"/>
      <c r="FR121" s="22"/>
      <c r="FS121" s="22"/>
      <c r="FT121" s="22"/>
      <c r="FU121" s="22"/>
      <c r="FV121" s="22"/>
      <c r="FW121" s="22"/>
      <c r="FX121" s="22"/>
      <c r="FY121" s="22"/>
      <c r="FZ121" s="22"/>
    </row>
    <row r="122" spans="2:182" x14ac:dyDescent="0.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c r="Z122" s="22"/>
      <c r="AA122" s="22"/>
      <c r="AB122" s="22"/>
      <c r="AC122" s="22"/>
      <c r="AD122" s="22"/>
      <c r="AE122" s="22"/>
      <c r="AF122" s="22"/>
      <c r="AG122" s="22"/>
      <c r="AH122" s="22"/>
      <c r="AI122" s="22"/>
      <c r="AJ122" s="22"/>
      <c r="AK122" s="22"/>
      <c r="AL122" s="22"/>
      <c r="AM122" s="22"/>
      <c r="AN122" s="22"/>
      <c r="AO122" s="22"/>
      <c r="AP122" s="22"/>
      <c r="AQ122" s="22"/>
      <c r="AR122" s="22"/>
      <c r="AS122" s="22"/>
      <c r="AT122" s="22"/>
      <c r="AU122" s="22"/>
      <c r="AV122" s="22"/>
      <c r="AW122" s="22"/>
      <c r="AX122" s="22"/>
      <c r="AY122" s="22"/>
      <c r="AZ122" s="22"/>
      <c r="BA122" s="22"/>
      <c r="BB122" s="22"/>
      <c r="BC122" s="22"/>
      <c r="BD122" s="22"/>
      <c r="BE122" s="22"/>
      <c r="BF122" s="22"/>
      <c r="BG122" s="22"/>
      <c r="BH122" s="22"/>
      <c r="BI122" s="22"/>
      <c r="BJ122" s="22"/>
      <c r="BK122" s="22"/>
      <c r="BL122" s="22"/>
      <c r="BM122" s="22"/>
      <c r="BN122" s="22"/>
      <c r="BO122" s="22"/>
      <c r="BP122" s="22"/>
      <c r="BQ122" s="22"/>
      <c r="BR122" s="22"/>
      <c r="BS122" s="22"/>
      <c r="BT122" s="22"/>
      <c r="BU122" s="22"/>
      <c r="BV122" s="22"/>
      <c r="BW122" s="22"/>
      <c r="BX122" s="22"/>
      <c r="BY122" s="22"/>
      <c r="BZ122" s="22"/>
      <c r="CA122" s="22"/>
      <c r="CB122" s="22"/>
      <c r="CC122" s="22"/>
      <c r="CD122" s="22"/>
      <c r="CE122" s="22"/>
      <c r="CF122" s="22"/>
      <c r="CG122" s="22"/>
      <c r="CH122" s="22"/>
      <c r="CI122" s="22"/>
      <c r="CJ122" s="22"/>
      <c r="CK122" s="22"/>
      <c r="CL122" s="22"/>
      <c r="CM122" s="22"/>
      <c r="CN122" s="22"/>
      <c r="CO122" s="22"/>
      <c r="CP122" s="22"/>
      <c r="CQ122" s="22"/>
      <c r="CR122" s="22"/>
      <c r="CS122" s="22"/>
      <c r="CT122" s="22"/>
      <c r="CU122" s="22"/>
      <c r="CV122" s="22"/>
      <c r="CW122" s="22"/>
      <c r="CX122" s="22"/>
      <c r="CY122" s="22"/>
      <c r="CZ122" s="22"/>
      <c r="DA122" s="22"/>
      <c r="DB122" s="22"/>
      <c r="DC122" s="22"/>
      <c r="DD122" s="22"/>
      <c r="DE122" s="22"/>
      <c r="DF122" s="22"/>
      <c r="DG122" s="22"/>
      <c r="DH122" s="22"/>
      <c r="DI122" s="22"/>
      <c r="DJ122" s="22"/>
      <c r="DK122" s="22"/>
      <c r="DL122" s="22"/>
      <c r="DM122" s="22"/>
      <c r="DN122" s="22"/>
      <c r="DO122" s="22"/>
      <c r="DP122" s="22"/>
      <c r="DQ122" s="22"/>
      <c r="DR122" s="22"/>
      <c r="DS122" s="22"/>
      <c r="DT122" s="22"/>
      <c r="DU122" s="22"/>
      <c r="DV122" s="22"/>
      <c r="DW122" s="22"/>
      <c r="DX122" s="22"/>
      <c r="DY122" s="22"/>
      <c r="DZ122" s="22"/>
      <c r="EA122" s="22"/>
      <c r="EB122" s="22"/>
      <c r="EC122" s="22"/>
      <c r="ED122" s="22"/>
      <c r="EE122" s="22"/>
      <c r="EF122" s="22"/>
      <c r="EG122" s="22"/>
      <c r="EH122" s="22"/>
      <c r="EI122" s="22"/>
      <c r="EJ122" s="22"/>
      <c r="EK122" s="22"/>
      <c r="EL122" s="22"/>
      <c r="EM122" s="22"/>
      <c r="EN122" s="22"/>
      <c r="EO122" s="22"/>
      <c r="EP122" s="22"/>
      <c r="EQ122" s="22"/>
      <c r="ER122" s="22"/>
      <c r="ES122" s="22"/>
      <c r="ET122" s="22"/>
      <c r="EU122" s="22"/>
      <c r="EV122" s="22"/>
      <c r="EW122" s="22"/>
      <c r="EX122" s="22"/>
      <c r="EY122" s="22"/>
      <c r="EZ122" s="22"/>
      <c r="FA122" s="22"/>
      <c r="FB122" s="22"/>
      <c r="FC122" s="22"/>
      <c r="FD122" s="22"/>
      <c r="FE122" s="22"/>
      <c r="FF122" s="22"/>
      <c r="FG122" s="22"/>
      <c r="FH122" s="22"/>
      <c r="FI122" s="22"/>
      <c r="FJ122" s="22"/>
      <c r="FK122" s="22"/>
      <c r="FL122" s="22"/>
      <c r="FM122" s="22"/>
      <c r="FN122" s="22"/>
      <c r="FO122" s="22"/>
      <c r="FP122" s="22"/>
      <c r="FQ122" s="22"/>
      <c r="FR122" s="22"/>
      <c r="FS122" s="22"/>
      <c r="FT122" s="22"/>
      <c r="FU122" s="22"/>
      <c r="FV122" s="22"/>
      <c r="FW122" s="22"/>
      <c r="FX122" s="22"/>
      <c r="FY122" s="22"/>
      <c r="FZ122" s="22"/>
    </row>
    <row r="123" spans="2:182" x14ac:dyDescent="0.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c r="Z123" s="22"/>
      <c r="AA123" s="22"/>
      <c r="AB123" s="22"/>
      <c r="AC123" s="22"/>
      <c r="AD123" s="22"/>
      <c r="AE123" s="22"/>
      <c r="AF123" s="22"/>
      <c r="AG123" s="22"/>
      <c r="AH123" s="22"/>
      <c r="AI123" s="22"/>
      <c r="AJ123" s="22"/>
      <c r="AK123" s="22"/>
      <c r="AL123" s="22"/>
      <c r="AM123" s="22"/>
      <c r="AN123" s="22"/>
      <c r="AO123" s="22"/>
      <c r="AP123" s="22"/>
      <c r="AQ123" s="22"/>
      <c r="AR123" s="22"/>
      <c r="AS123" s="22"/>
      <c r="AT123" s="22"/>
      <c r="AU123" s="22"/>
      <c r="AV123" s="22"/>
      <c r="AW123" s="22"/>
      <c r="AX123" s="22"/>
      <c r="AY123" s="22"/>
      <c r="AZ123" s="22"/>
      <c r="BA123" s="22"/>
      <c r="BB123" s="22"/>
      <c r="BC123" s="22"/>
      <c r="BD123" s="22"/>
      <c r="BE123" s="22"/>
      <c r="BF123" s="22"/>
      <c r="BG123" s="22"/>
      <c r="BH123" s="22"/>
      <c r="BI123" s="22"/>
      <c r="BJ123" s="22"/>
      <c r="BK123" s="22"/>
      <c r="BL123" s="22"/>
      <c r="BM123" s="22"/>
      <c r="BN123" s="22"/>
      <c r="BO123" s="22"/>
      <c r="BP123" s="22"/>
      <c r="BQ123" s="22"/>
      <c r="BR123" s="22"/>
      <c r="BS123" s="22"/>
      <c r="BT123" s="22"/>
      <c r="BU123" s="22"/>
      <c r="BV123" s="22"/>
      <c r="BW123" s="22"/>
      <c r="BX123" s="22"/>
      <c r="BY123" s="22"/>
      <c r="BZ123" s="22"/>
      <c r="CA123" s="22"/>
      <c r="CB123" s="22"/>
      <c r="CC123" s="22"/>
      <c r="CD123" s="22"/>
      <c r="CE123" s="22"/>
      <c r="CF123" s="22"/>
      <c r="CG123" s="22"/>
      <c r="CH123" s="22"/>
      <c r="CI123" s="22"/>
      <c r="CJ123" s="22"/>
      <c r="CK123" s="22"/>
      <c r="CL123" s="22"/>
      <c r="CM123" s="22"/>
      <c r="CN123" s="22"/>
      <c r="CO123" s="22"/>
      <c r="CP123" s="22"/>
      <c r="CQ123" s="22"/>
      <c r="CR123" s="22"/>
      <c r="CS123" s="22"/>
      <c r="CT123" s="22"/>
      <c r="CU123" s="22"/>
      <c r="CV123" s="22"/>
      <c r="CW123" s="22"/>
      <c r="CX123" s="22"/>
      <c r="CY123" s="22"/>
      <c r="CZ123" s="22"/>
      <c r="DA123" s="22"/>
      <c r="DB123" s="22"/>
      <c r="DC123" s="22"/>
      <c r="DD123" s="22"/>
      <c r="DE123" s="22"/>
      <c r="DF123" s="22"/>
      <c r="DG123" s="22"/>
      <c r="DH123" s="22"/>
      <c r="DI123" s="22"/>
      <c r="DJ123" s="22"/>
      <c r="DK123" s="22"/>
      <c r="DL123" s="22"/>
      <c r="DM123" s="22"/>
      <c r="DN123" s="22"/>
      <c r="DO123" s="22"/>
      <c r="DP123" s="22"/>
      <c r="DQ123" s="22"/>
      <c r="DR123" s="22"/>
      <c r="DS123" s="22"/>
      <c r="DT123" s="22"/>
      <c r="DU123" s="22"/>
      <c r="DV123" s="22"/>
      <c r="DW123" s="22"/>
      <c r="DX123" s="22"/>
      <c r="DY123" s="22"/>
      <c r="DZ123" s="22"/>
      <c r="EA123" s="22"/>
      <c r="EB123" s="22"/>
      <c r="EC123" s="22"/>
      <c r="ED123" s="22"/>
      <c r="EE123" s="22"/>
      <c r="EF123" s="22"/>
      <c r="EG123" s="22"/>
      <c r="EH123" s="22"/>
      <c r="EI123" s="22"/>
      <c r="EJ123" s="22"/>
      <c r="EK123" s="22"/>
      <c r="EL123" s="22"/>
      <c r="EM123" s="22"/>
      <c r="EN123" s="22"/>
      <c r="EO123" s="22"/>
      <c r="EP123" s="22"/>
      <c r="EQ123" s="22"/>
      <c r="ER123" s="22"/>
      <c r="ES123" s="22"/>
      <c r="ET123" s="22"/>
      <c r="EU123" s="22"/>
      <c r="EV123" s="22"/>
      <c r="EW123" s="22"/>
      <c r="EX123" s="22"/>
      <c r="EY123" s="22"/>
      <c r="EZ123" s="22"/>
      <c r="FA123" s="22"/>
      <c r="FB123" s="22"/>
      <c r="FC123" s="22"/>
      <c r="FD123" s="22"/>
      <c r="FE123" s="22"/>
      <c r="FF123" s="22"/>
      <c r="FG123" s="22"/>
      <c r="FH123" s="22"/>
      <c r="FI123" s="22"/>
      <c r="FJ123" s="22"/>
      <c r="FK123" s="22"/>
      <c r="FL123" s="22"/>
      <c r="FM123" s="22"/>
      <c r="FN123" s="22"/>
      <c r="FO123" s="22"/>
      <c r="FP123" s="22"/>
      <c r="FQ123" s="22"/>
      <c r="FR123" s="22"/>
      <c r="FS123" s="22"/>
      <c r="FT123" s="22"/>
      <c r="FU123" s="22"/>
      <c r="FV123" s="22"/>
      <c r="FW123" s="22"/>
      <c r="FX123" s="22"/>
      <c r="FY123" s="22"/>
      <c r="FZ123" s="22"/>
    </row>
    <row r="124" spans="2:182" x14ac:dyDescent="0.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c r="Z124" s="22"/>
      <c r="AA124" s="22"/>
      <c r="AB124" s="22"/>
      <c r="AC124" s="22"/>
      <c r="AD124" s="22"/>
      <c r="AE124" s="22"/>
      <c r="AF124" s="22"/>
      <c r="AG124" s="22"/>
      <c r="AH124" s="22"/>
      <c r="AI124" s="22"/>
      <c r="AJ124" s="22"/>
      <c r="AK124" s="22"/>
      <c r="AL124" s="22"/>
      <c r="AM124" s="22"/>
      <c r="AN124" s="22"/>
      <c r="AO124" s="22"/>
      <c r="AP124" s="22"/>
      <c r="AQ124" s="22"/>
      <c r="AR124" s="22"/>
      <c r="AS124" s="22"/>
      <c r="AT124" s="22"/>
      <c r="AU124" s="22"/>
      <c r="AV124" s="22"/>
      <c r="AW124" s="22"/>
      <c r="AX124" s="22"/>
      <c r="AY124" s="22"/>
      <c r="AZ124" s="22"/>
      <c r="BA124" s="22"/>
      <c r="BB124" s="22"/>
      <c r="BC124" s="22"/>
      <c r="BD124" s="22"/>
      <c r="BE124" s="22"/>
      <c r="BF124" s="22"/>
      <c r="BG124" s="22"/>
      <c r="BH124" s="22"/>
      <c r="BI124" s="22"/>
      <c r="BJ124" s="22"/>
      <c r="BK124" s="22"/>
      <c r="BL124" s="22"/>
      <c r="BM124" s="22"/>
      <c r="BN124" s="22"/>
      <c r="BO124" s="22"/>
      <c r="BP124" s="22"/>
      <c r="BQ124" s="22"/>
      <c r="BR124" s="22"/>
      <c r="BS124" s="22"/>
      <c r="BT124" s="22"/>
      <c r="BU124" s="22"/>
      <c r="BV124" s="22"/>
      <c r="BW124" s="22"/>
      <c r="BX124" s="22"/>
      <c r="BY124" s="22"/>
      <c r="BZ124" s="22"/>
      <c r="CA124" s="22"/>
      <c r="CB124" s="22"/>
      <c r="CC124" s="22"/>
      <c r="CD124" s="22"/>
      <c r="CE124" s="22"/>
      <c r="CF124" s="22"/>
      <c r="CG124" s="22"/>
      <c r="CH124" s="22"/>
      <c r="CI124" s="22"/>
      <c r="CJ124" s="22"/>
      <c r="CK124" s="22"/>
      <c r="CL124" s="22"/>
      <c r="CM124" s="22"/>
      <c r="CN124" s="22"/>
      <c r="CO124" s="22"/>
      <c r="CP124" s="22"/>
      <c r="CQ124" s="22"/>
      <c r="CR124" s="22"/>
      <c r="CS124" s="22"/>
      <c r="CT124" s="22"/>
      <c r="CU124" s="22"/>
      <c r="CV124" s="22"/>
      <c r="CW124" s="22"/>
      <c r="CX124" s="22"/>
      <c r="CY124" s="22"/>
      <c r="CZ124" s="22"/>
      <c r="DA124" s="22"/>
      <c r="DB124" s="22"/>
      <c r="DC124" s="22"/>
      <c r="DD124" s="22"/>
      <c r="DE124" s="22"/>
      <c r="DF124" s="22"/>
      <c r="DG124" s="22"/>
      <c r="DH124" s="22"/>
      <c r="DI124" s="22"/>
      <c r="DJ124" s="22"/>
      <c r="DK124" s="22"/>
      <c r="DL124" s="22"/>
      <c r="DM124" s="22"/>
      <c r="DN124" s="22"/>
      <c r="DO124" s="22"/>
      <c r="DP124" s="22"/>
      <c r="DQ124" s="22"/>
      <c r="DR124" s="22"/>
      <c r="DS124" s="22"/>
      <c r="DT124" s="22"/>
      <c r="DU124" s="22"/>
      <c r="DV124" s="22"/>
      <c r="DW124" s="22"/>
      <c r="DX124" s="22"/>
      <c r="DY124" s="22"/>
      <c r="DZ124" s="22"/>
      <c r="EA124" s="22"/>
      <c r="EB124" s="22"/>
      <c r="EC124" s="22"/>
      <c r="ED124" s="22"/>
      <c r="EE124" s="22"/>
      <c r="EF124" s="22"/>
      <c r="EG124" s="22"/>
      <c r="EH124" s="22"/>
      <c r="EI124" s="22"/>
      <c r="EJ124" s="22"/>
      <c r="EK124" s="22"/>
      <c r="EL124" s="22"/>
      <c r="EM124" s="22"/>
      <c r="EN124" s="22"/>
      <c r="EO124" s="22"/>
      <c r="EP124" s="22"/>
      <c r="EQ124" s="22"/>
      <c r="ER124" s="22"/>
      <c r="ES124" s="22"/>
      <c r="ET124" s="22"/>
      <c r="EU124" s="22"/>
      <c r="EV124" s="22"/>
      <c r="EW124" s="22"/>
      <c r="EX124" s="22"/>
      <c r="EY124" s="22"/>
      <c r="EZ124" s="22"/>
      <c r="FA124" s="22"/>
      <c r="FB124" s="22"/>
      <c r="FC124" s="22"/>
      <c r="FD124" s="22"/>
      <c r="FE124" s="22"/>
      <c r="FF124" s="22"/>
      <c r="FG124" s="22"/>
      <c r="FH124" s="22"/>
      <c r="FI124" s="22"/>
      <c r="FJ124" s="22"/>
      <c r="FK124" s="22"/>
      <c r="FL124" s="22"/>
      <c r="FM124" s="22"/>
      <c r="FN124" s="22"/>
      <c r="FO124" s="22"/>
      <c r="FP124" s="22"/>
      <c r="FQ124" s="22"/>
      <c r="FR124" s="22"/>
      <c r="FS124" s="22"/>
      <c r="FT124" s="22"/>
      <c r="FU124" s="22"/>
      <c r="FV124" s="22"/>
      <c r="FW124" s="22"/>
      <c r="FX124" s="22"/>
      <c r="FY124" s="22"/>
      <c r="FZ124" s="22"/>
    </row>
    <row r="125" spans="2:182" x14ac:dyDescent="0.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c r="Z125" s="22"/>
      <c r="AA125" s="22"/>
      <c r="AB125" s="22"/>
      <c r="AC125" s="22"/>
      <c r="AD125" s="22"/>
      <c r="AE125" s="22"/>
      <c r="AF125" s="22"/>
      <c r="AG125" s="22"/>
      <c r="AH125" s="22"/>
      <c r="AI125" s="22"/>
      <c r="AJ125" s="22"/>
      <c r="AK125" s="22"/>
      <c r="AL125" s="22"/>
      <c r="AM125" s="22"/>
      <c r="AN125" s="22"/>
      <c r="AO125" s="22"/>
      <c r="AP125" s="22"/>
      <c r="AQ125" s="22"/>
      <c r="AR125" s="22"/>
      <c r="AS125" s="22"/>
      <c r="AT125" s="22"/>
      <c r="AU125" s="22"/>
      <c r="AV125" s="22"/>
      <c r="AW125" s="22"/>
      <c r="AX125" s="22"/>
      <c r="AY125" s="22"/>
      <c r="AZ125" s="22"/>
      <c r="BA125" s="22"/>
      <c r="BB125" s="22"/>
      <c r="BC125" s="22"/>
      <c r="BD125" s="22"/>
      <c r="BE125" s="22"/>
      <c r="BF125" s="22"/>
      <c r="BG125" s="22"/>
      <c r="BH125" s="22"/>
      <c r="BI125" s="22"/>
      <c r="BJ125" s="22"/>
      <c r="BK125" s="22"/>
      <c r="BL125" s="22"/>
      <c r="BM125" s="22"/>
      <c r="BN125" s="22"/>
      <c r="BO125" s="22"/>
      <c r="BP125" s="22"/>
      <c r="BQ125" s="22"/>
      <c r="BR125" s="22"/>
      <c r="BS125" s="22"/>
      <c r="BT125" s="22"/>
      <c r="BU125" s="22"/>
      <c r="BV125" s="22"/>
      <c r="BW125" s="22"/>
      <c r="BX125" s="22"/>
      <c r="BY125" s="22"/>
      <c r="BZ125" s="22"/>
      <c r="CA125" s="22"/>
      <c r="CB125" s="22"/>
      <c r="CC125" s="22"/>
      <c r="CD125" s="22"/>
      <c r="CE125" s="22"/>
      <c r="CF125" s="22"/>
      <c r="CG125" s="22"/>
      <c r="CH125" s="22"/>
      <c r="CI125" s="22"/>
      <c r="CJ125" s="22"/>
      <c r="CK125" s="22"/>
      <c r="CL125" s="22"/>
      <c r="CM125" s="22"/>
      <c r="CN125" s="22"/>
      <c r="CO125" s="22"/>
      <c r="CP125" s="22"/>
      <c r="CQ125" s="22"/>
      <c r="CR125" s="22"/>
      <c r="CS125" s="22"/>
      <c r="CT125" s="22"/>
      <c r="CU125" s="22"/>
      <c r="CV125" s="22"/>
      <c r="CW125" s="22"/>
      <c r="CX125" s="22"/>
      <c r="CY125" s="22"/>
      <c r="CZ125" s="22"/>
      <c r="DA125" s="22"/>
      <c r="DB125" s="22"/>
      <c r="DC125" s="22"/>
      <c r="DD125" s="22"/>
      <c r="DE125" s="22"/>
      <c r="DF125" s="22"/>
      <c r="DG125" s="22"/>
      <c r="DH125" s="22"/>
      <c r="DI125" s="22"/>
      <c r="DJ125" s="22"/>
      <c r="DK125" s="22"/>
      <c r="DL125" s="22"/>
      <c r="DM125" s="22"/>
      <c r="DN125" s="22"/>
      <c r="DO125" s="22"/>
      <c r="DP125" s="22"/>
      <c r="DQ125" s="22"/>
      <c r="DR125" s="22"/>
      <c r="DS125" s="22"/>
      <c r="DT125" s="22"/>
      <c r="DU125" s="22"/>
      <c r="DV125" s="22"/>
      <c r="DW125" s="22"/>
      <c r="DX125" s="22"/>
      <c r="DY125" s="22"/>
      <c r="DZ125" s="22"/>
      <c r="EA125" s="22"/>
      <c r="EB125" s="22"/>
      <c r="EC125" s="22"/>
      <c r="ED125" s="22"/>
      <c r="EE125" s="22"/>
      <c r="EF125" s="22"/>
      <c r="EG125" s="22"/>
      <c r="EH125" s="22"/>
      <c r="EI125" s="22"/>
      <c r="EJ125" s="22"/>
      <c r="EK125" s="22"/>
      <c r="EL125" s="22"/>
      <c r="EM125" s="22"/>
      <c r="EN125" s="22"/>
      <c r="EO125" s="22"/>
      <c r="EP125" s="22"/>
      <c r="EQ125" s="22"/>
      <c r="ER125" s="22"/>
      <c r="ES125" s="22"/>
      <c r="ET125" s="22"/>
      <c r="EU125" s="22"/>
      <c r="EV125" s="22"/>
      <c r="EW125" s="22"/>
      <c r="EX125" s="22"/>
      <c r="EY125" s="22"/>
      <c r="EZ125" s="22"/>
      <c r="FA125" s="22"/>
      <c r="FB125" s="22"/>
      <c r="FC125" s="22"/>
      <c r="FD125" s="22"/>
      <c r="FE125" s="22"/>
      <c r="FF125" s="22"/>
      <c r="FG125" s="22"/>
      <c r="FH125" s="22"/>
      <c r="FI125" s="22"/>
      <c r="FJ125" s="22"/>
      <c r="FK125" s="22"/>
      <c r="FL125" s="22"/>
      <c r="FM125" s="22"/>
      <c r="FN125" s="22"/>
      <c r="FO125" s="22"/>
      <c r="FP125" s="22"/>
      <c r="FQ125" s="22"/>
      <c r="FR125" s="22"/>
      <c r="FS125" s="22"/>
      <c r="FT125" s="22"/>
      <c r="FU125" s="22"/>
      <c r="FV125" s="22"/>
      <c r="FW125" s="22"/>
      <c r="FX125" s="22"/>
      <c r="FY125" s="22"/>
      <c r="FZ125" s="22"/>
    </row>
    <row r="126" spans="2:182" x14ac:dyDescent="0.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c r="Z126" s="22"/>
      <c r="AA126" s="22"/>
      <c r="AB126" s="22"/>
      <c r="AC126" s="22"/>
      <c r="AD126" s="22"/>
      <c r="AE126" s="22"/>
      <c r="AF126" s="22"/>
      <c r="AG126" s="22"/>
      <c r="AH126" s="22"/>
      <c r="AI126" s="22"/>
      <c r="AJ126" s="22"/>
      <c r="AK126" s="22"/>
      <c r="AL126" s="22"/>
      <c r="AM126" s="22"/>
      <c r="AN126" s="22"/>
      <c r="AO126" s="22"/>
      <c r="AP126" s="22"/>
      <c r="AQ126" s="22"/>
      <c r="AR126" s="22"/>
      <c r="AS126" s="22"/>
      <c r="AT126" s="22"/>
      <c r="AU126" s="22"/>
      <c r="AV126" s="22"/>
      <c r="AW126" s="22"/>
      <c r="AX126" s="22"/>
      <c r="AY126" s="22"/>
      <c r="AZ126" s="22"/>
      <c r="BA126" s="22"/>
      <c r="BB126" s="22"/>
      <c r="BC126" s="22"/>
      <c r="BD126" s="22"/>
      <c r="BE126" s="22"/>
      <c r="BF126" s="22"/>
      <c r="BG126" s="22"/>
      <c r="BH126" s="22"/>
      <c r="BI126" s="22"/>
      <c r="BJ126" s="22"/>
      <c r="BK126" s="22"/>
      <c r="BL126" s="22"/>
      <c r="BM126" s="22"/>
      <c r="BN126" s="22"/>
      <c r="BO126" s="22"/>
      <c r="BP126" s="22"/>
      <c r="BQ126" s="22"/>
      <c r="BR126" s="22"/>
      <c r="BS126" s="22"/>
      <c r="BT126" s="22"/>
      <c r="BU126" s="22"/>
      <c r="BV126" s="22"/>
      <c r="BW126" s="22"/>
      <c r="BX126" s="22"/>
      <c r="BY126" s="22"/>
      <c r="BZ126" s="22"/>
      <c r="CA126" s="22"/>
      <c r="CB126" s="22"/>
      <c r="CC126" s="22"/>
      <c r="CD126" s="22"/>
      <c r="CE126" s="22"/>
      <c r="CF126" s="22"/>
      <c r="CG126" s="22"/>
      <c r="CH126" s="22"/>
      <c r="CI126" s="22"/>
      <c r="CJ126" s="22"/>
      <c r="CK126" s="22"/>
      <c r="CL126" s="22"/>
      <c r="CM126" s="22"/>
      <c r="CN126" s="22"/>
      <c r="CO126" s="22"/>
      <c r="CP126" s="22"/>
      <c r="CQ126" s="22"/>
      <c r="CR126" s="22"/>
      <c r="CS126" s="22"/>
      <c r="CT126" s="22"/>
      <c r="CU126" s="22"/>
      <c r="CV126" s="22"/>
      <c r="CW126" s="22"/>
      <c r="CX126" s="22"/>
      <c r="CY126" s="22"/>
      <c r="CZ126" s="22"/>
      <c r="DA126" s="22"/>
      <c r="DB126" s="22"/>
      <c r="DC126" s="22"/>
      <c r="DD126" s="22"/>
      <c r="DE126" s="22"/>
      <c r="DF126" s="22"/>
      <c r="DG126" s="22"/>
      <c r="DH126" s="22"/>
      <c r="DI126" s="22"/>
      <c r="DJ126" s="22"/>
      <c r="DK126" s="22"/>
      <c r="DL126" s="22"/>
      <c r="DM126" s="22"/>
      <c r="DN126" s="22"/>
      <c r="DO126" s="22"/>
      <c r="DP126" s="22"/>
      <c r="DQ126" s="22"/>
      <c r="DR126" s="22"/>
      <c r="DS126" s="22"/>
      <c r="DT126" s="22"/>
      <c r="DU126" s="22"/>
      <c r="DV126" s="22"/>
      <c r="DW126" s="22"/>
      <c r="DX126" s="22"/>
      <c r="DY126" s="22"/>
      <c r="DZ126" s="22"/>
      <c r="EA126" s="22"/>
      <c r="EB126" s="22"/>
      <c r="EC126" s="22"/>
      <c r="ED126" s="22"/>
      <c r="EE126" s="22"/>
      <c r="EF126" s="22"/>
      <c r="EG126" s="22"/>
      <c r="EH126" s="22"/>
      <c r="EI126" s="22"/>
      <c r="EJ126" s="22"/>
      <c r="EK126" s="22"/>
      <c r="EL126" s="22"/>
      <c r="EM126" s="22"/>
      <c r="EN126" s="22"/>
      <c r="EO126" s="22"/>
      <c r="EP126" s="22"/>
      <c r="EQ126" s="22"/>
      <c r="ER126" s="22"/>
      <c r="ES126" s="22"/>
      <c r="ET126" s="22"/>
      <c r="EU126" s="22"/>
      <c r="EV126" s="22"/>
      <c r="EW126" s="22"/>
      <c r="EX126" s="22"/>
      <c r="EY126" s="22"/>
      <c r="EZ126" s="22"/>
      <c r="FA126" s="22"/>
      <c r="FB126" s="22"/>
      <c r="FC126" s="22"/>
      <c r="FD126" s="22"/>
      <c r="FE126" s="22"/>
      <c r="FF126" s="22"/>
      <c r="FG126" s="22"/>
      <c r="FH126" s="22"/>
      <c r="FI126" s="22"/>
      <c r="FJ126" s="22"/>
      <c r="FK126" s="22"/>
      <c r="FL126" s="22"/>
      <c r="FM126" s="22"/>
      <c r="FN126" s="22"/>
      <c r="FO126" s="22"/>
      <c r="FP126" s="22"/>
      <c r="FQ126" s="22"/>
      <c r="FR126" s="22"/>
      <c r="FS126" s="22"/>
      <c r="FT126" s="22"/>
      <c r="FU126" s="22"/>
      <c r="FV126" s="22"/>
      <c r="FW126" s="22"/>
      <c r="FX126" s="22"/>
      <c r="FY126" s="22"/>
      <c r="FZ126" s="22"/>
    </row>
    <row r="127" spans="2:182" x14ac:dyDescent="0.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c r="Z127" s="22"/>
      <c r="AA127" s="22"/>
      <c r="AB127" s="22"/>
      <c r="AC127" s="22"/>
      <c r="AD127" s="22"/>
      <c r="AE127" s="22"/>
      <c r="AF127" s="22"/>
      <c r="AG127" s="22"/>
      <c r="AH127" s="22"/>
      <c r="AI127" s="22"/>
      <c r="AJ127" s="22"/>
      <c r="AK127" s="22"/>
      <c r="AL127" s="22"/>
      <c r="AM127" s="22"/>
      <c r="AN127" s="22"/>
      <c r="AO127" s="22"/>
      <c r="AP127" s="22"/>
      <c r="AQ127" s="22"/>
      <c r="AR127" s="22"/>
      <c r="AS127" s="22"/>
      <c r="AT127" s="22"/>
      <c r="AU127" s="22"/>
      <c r="AV127" s="22"/>
      <c r="AW127" s="22"/>
      <c r="AX127" s="22"/>
      <c r="AY127" s="22"/>
      <c r="AZ127" s="22"/>
      <c r="BA127" s="22"/>
      <c r="BB127" s="22"/>
      <c r="BC127" s="22"/>
      <c r="BD127" s="22"/>
      <c r="BE127" s="22"/>
      <c r="BF127" s="22"/>
      <c r="BG127" s="22"/>
      <c r="BH127" s="22"/>
      <c r="BI127" s="22"/>
      <c r="BJ127" s="22"/>
      <c r="BK127" s="22"/>
      <c r="BL127" s="22"/>
      <c r="BM127" s="22"/>
      <c r="BN127" s="22"/>
      <c r="BO127" s="22"/>
      <c r="BP127" s="22"/>
      <c r="BQ127" s="22"/>
      <c r="BR127" s="22"/>
      <c r="BS127" s="22"/>
      <c r="BT127" s="22"/>
      <c r="BU127" s="22"/>
      <c r="BV127" s="22"/>
      <c r="BW127" s="22"/>
      <c r="BX127" s="22"/>
      <c r="BY127" s="22"/>
      <c r="BZ127" s="22"/>
      <c r="CA127" s="22"/>
      <c r="CB127" s="22"/>
      <c r="CC127" s="22"/>
      <c r="CD127" s="22"/>
      <c r="CE127" s="22"/>
      <c r="CF127" s="22"/>
      <c r="CG127" s="22"/>
      <c r="CH127" s="22"/>
      <c r="CI127" s="22"/>
      <c r="CJ127" s="22"/>
      <c r="CK127" s="22"/>
      <c r="CL127" s="22"/>
      <c r="CM127" s="22"/>
      <c r="CN127" s="22"/>
      <c r="CO127" s="22"/>
      <c r="CP127" s="22"/>
      <c r="CQ127" s="22"/>
      <c r="CR127" s="22"/>
      <c r="CS127" s="22"/>
      <c r="CT127" s="22"/>
      <c r="CU127" s="22"/>
      <c r="CV127" s="22"/>
      <c r="CW127" s="22"/>
      <c r="CX127" s="22"/>
      <c r="CY127" s="22"/>
      <c r="CZ127" s="22"/>
      <c r="DA127" s="22"/>
      <c r="DB127" s="22"/>
      <c r="DC127" s="22"/>
      <c r="DD127" s="22"/>
      <c r="DE127" s="22"/>
      <c r="DF127" s="22"/>
      <c r="DG127" s="22"/>
      <c r="DH127" s="22"/>
      <c r="DI127" s="22"/>
      <c r="DJ127" s="22"/>
      <c r="DK127" s="22"/>
      <c r="DL127" s="22"/>
      <c r="DM127" s="22"/>
      <c r="DN127" s="22"/>
      <c r="DO127" s="22"/>
      <c r="DP127" s="22"/>
      <c r="DQ127" s="22"/>
      <c r="DR127" s="22"/>
      <c r="DS127" s="22"/>
      <c r="DT127" s="22"/>
      <c r="DU127" s="22"/>
      <c r="DV127" s="22"/>
      <c r="DW127" s="22"/>
      <c r="DX127" s="22"/>
      <c r="DY127" s="22"/>
      <c r="DZ127" s="22"/>
      <c r="EA127" s="22"/>
      <c r="EB127" s="22"/>
      <c r="EC127" s="22"/>
      <c r="ED127" s="22"/>
      <c r="EE127" s="22"/>
      <c r="EF127" s="22"/>
      <c r="EG127" s="22"/>
      <c r="EH127" s="22"/>
      <c r="EI127" s="22"/>
      <c r="EJ127" s="22"/>
      <c r="EK127" s="22"/>
      <c r="EL127" s="22"/>
      <c r="EM127" s="22"/>
      <c r="EN127" s="22"/>
      <c r="EO127" s="22"/>
      <c r="EP127" s="22"/>
      <c r="EQ127" s="22"/>
      <c r="ER127" s="22"/>
      <c r="ES127" s="22"/>
      <c r="ET127" s="22"/>
      <c r="EU127" s="22"/>
      <c r="EV127" s="22"/>
      <c r="EW127" s="22"/>
      <c r="EX127" s="22"/>
      <c r="EY127" s="22"/>
      <c r="EZ127" s="22"/>
      <c r="FA127" s="22"/>
      <c r="FB127" s="22"/>
      <c r="FC127" s="22"/>
      <c r="FD127" s="22"/>
      <c r="FE127" s="22"/>
      <c r="FF127" s="22"/>
      <c r="FG127" s="22"/>
      <c r="FH127" s="22"/>
      <c r="FI127" s="22"/>
      <c r="FJ127" s="22"/>
      <c r="FK127" s="22"/>
      <c r="FL127" s="22"/>
      <c r="FM127" s="22"/>
      <c r="FN127" s="22"/>
      <c r="FO127" s="22"/>
      <c r="FP127" s="22"/>
      <c r="FQ127" s="22"/>
      <c r="FR127" s="22"/>
      <c r="FS127" s="22"/>
      <c r="FT127" s="22"/>
      <c r="FU127" s="22"/>
      <c r="FV127" s="22"/>
      <c r="FW127" s="22"/>
      <c r="FX127" s="22"/>
      <c r="FY127" s="22"/>
      <c r="FZ127" s="22"/>
    </row>
    <row r="128" spans="2:182" x14ac:dyDescent="0.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c r="Z128" s="22"/>
      <c r="AA128" s="22"/>
      <c r="AB128" s="22"/>
      <c r="AC128" s="22"/>
      <c r="AD128" s="22"/>
      <c r="AE128" s="22"/>
      <c r="AF128" s="22"/>
      <c r="AG128" s="22"/>
      <c r="AH128" s="22"/>
      <c r="AI128" s="22"/>
      <c r="AJ128" s="22"/>
      <c r="AK128" s="22"/>
      <c r="AL128" s="22"/>
      <c r="AM128" s="22"/>
      <c r="AN128" s="22"/>
      <c r="AO128" s="22"/>
      <c r="AP128" s="22"/>
      <c r="AQ128" s="22"/>
      <c r="AR128" s="22"/>
      <c r="AS128" s="22"/>
      <c r="AT128" s="22"/>
      <c r="AU128" s="22"/>
      <c r="AV128" s="22"/>
      <c r="AW128" s="22"/>
      <c r="AX128" s="22"/>
      <c r="AY128" s="22"/>
      <c r="AZ128" s="22"/>
      <c r="BA128" s="22"/>
      <c r="BB128" s="22"/>
      <c r="BC128" s="22"/>
      <c r="BD128" s="22"/>
      <c r="BE128" s="22"/>
      <c r="BF128" s="22"/>
      <c r="BG128" s="22"/>
      <c r="BH128" s="22"/>
      <c r="BI128" s="22"/>
      <c r="BJ128" s="22"/>
      <c r="BK128" s="22"/>
      <c r="BL128" s="22"/>
      <c r="BM128" s="22"/>
      <c r="BN128" s="22"/>
      <c r="BO128" s="22"/>
      <c r="BP128" s="22"/>
      <c r="BQ128" s="22"/>
      <c r="BR128" s="22"/>
      <c r="BS128" s="22"/>
      <c r="BT128" s="22"/>
      <c r="BU128" s="22"/>
      <c r="BV128" s="22"/>
      <c r="BW128" s="22"/>
      <c r="BX128" s="22"/>
      <c r="BY128" s="22"/>
      <c r="BZ128" s="22"/>
      <c r="CA128" s="22"/>
      <c r="CB128" s="22"/>
      <c r="CC128" s="22"/>
      <c r="CD128" s="22"/>
      <c r="CE128" s="22"/>
      <c r="CF128" s="22"/>
      <c r="CG128" s="22"/>
      <c r="CH128" s="22"/>
      <c r="CI128" s="22"/>
      <c r="CJ128" s="22"/>
      <c r="CK128" s="22"/>
      <c r="CL128" s="22"/>
      <c r="CM128" s="22"/>
      <c r="CN128" s="22"/>
      <c r="CO128" s="22"/>
      <c r="CP128" s="22"/>
      <c r="CQ128" s="22"/>
      <c r="CR128" s="22"/>
      <c r="CS128" s="22"/>
      <c r="CT128" s="22"/>
      <c r="CU128" s="22"/>
      <c r="CV128" s="22"/>
      <c r="CW128" s="22"/>
      <c r="CX128" s="22"/>
      <c r="CY128" s="22"/>
      <c r="CZ128" s="22"/>
      <c r="DA128" s="22"/>
      <c r="DB128" s="22"/>
      <c r="DC128" s="22"/>
      <c r="DD128" s="22"/>
      <c r="DE128" s="22"/>
      <c r="DF128" s="22"/>
      <c r="DG128" s="22"/>
      <c r="DH128" s="22"/>
      <c r="DI128" s="22"/>
      <c r="DJ128" s="22"/>
      <c r="DK128" s="22"/>
      <c r="DL128" s="22"/>
      <c r="DM128" s="22"/>
      <c r="DN128" s="22"/>
      <c r="DO128" s="22"/>
      <c r="DP128" s="22"/>
      <c r="DQ128" s="22"/>
      <c r="DR128" s="22"/>
      <c r="DS128" s="22"/>
      <c r="DT128" s="22"/>
      <c r="DU128" s="22"/>
      <c r="DV128" s="22"/>
      <c r="DW128" s="22"/>
      <c r="DX128" s="22"/>
      <c r="DY128" s="22"/>
      <c r="DZ128" s="22"/>
      <c r="EA128" s="22"/>
      <c r="EB128" s="22"/>
      <c r="EC128" s="22"/>
      <c r="ED128" s="22"/>
      <c r="EE128" s="22"/>
      <c r="EF128" s="22"/>
      <c r="EG128" s="22"/>
      <c r="EH128" s="22"/>
      <c r="EI128" s="22"/>
      <c r="EJ128" s="22"/>
      <c r="EK128" s="22"/>
      <c r="EL128" s="22"/>
      <c r="EM128" s="22"/>
      <c r="EN128" s="22"/>
      <c r="EO128" s="22"/>
      <c r="EP128" s="22"/>
      <c r="EQ128" s="22"/>
      <c r="ER128" s="22"/>
      <c r="ES128" s="22"/>
      <c r="ET128" s="22"/>
      <c r="EU128" s="22"/>
      <c r="EV128" s="22"/>
      <c r="EW128" s="22"/>
      <c r="EX128" s="22"/>
      <c r="EY128" s="22"/>
      <c r="EZ128" s="22"/>
      <c r="FA128" s="22"/>
      <c r="FB128" s="22"/>
      <c r="FC128" s="22"/>
      <c r="FD128" s="22"/>
      <c r="FE128" s="22"/>
      <c r="FF128" s="22"/>
      <c r="FG128" s="22"/>
      <c r="FH128" s="22"/>
      <c r="FI128" s="22"/>
      <c r="FJ128" s="22"/>
      <c r="FK128" s="22"/>
      <c r="FL128" s="22"/>
      <c r="FM128" s="22"/>
      <c r="FN128" s="22"/>
      <c r="FO128" s="22"/>
      <c r="FP128" s="22"/>
      <c r="FQ128" s="22"/>
      <c r="FR128" s="22"/>
      <c r="FS128" s="22"/>
      <c r="FT128" s="22"/>
      <c r="FU128" s="22"/>
      <c r="FV128" s="22"/>
      <c r="FW128" s="22"/>
      <c r="FX128" s="22"/>
      <c r="FY128" s="22"/>
      <c r="FZ128" s="22"/>
    </row>
    <row r="129" spans="2:182" x14ac:dyDescent="0.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c r="Z129" s="22"/>
      <c r="AA129" s="22"/>
      <c r="AB129" s="22"/>
      <c r="AC129" s="22"/>
      <c r="AD129" s="22"/>
      <c r="AE129" s="22"/>
      <c r="AF129" s="22"/>
      <c r="AG129" s="22"/>
      <c r="AH129" s="22"/>
      <c r="AI129" s="22"/>
      <c r="AJ129" s="22"/>
      <c r="AK129" s="22"/>
      <c r="AL129" s="22"/>
      <c r="AM129" s="22"/>
      <c r="AN129" s="22"/>
      <c r="AO129" s="22"/>
      <c r="AP129" s="22"/>
      <c r="AQ129" s="22"/>
      <c r="AR129" s="22"/>
      <c r="AS129" s="22"/>
      <c r="AT129" s="22"/>
      <c r="AU129" s="22"/>
      <c r="AV129" s="22"/>
      <c r="AW129" s="22"/>
      <c r="AX129" s="22"/>
      <c r="AY129" s="22"/>
      <c r="AZ129" s="22"/>
      <c r="BA129" s="22"/>
      <c r="BB129" s="22"/>
      <c r="BC129" s="22"/>
      <c r="BD129" s="22"/>
      <c r="BE129" s="22"/>
      <c r="BF129" s="22"/>
      <c r="BG129" s="22"/>
      <c r="BH129" s="22"/>
      <c r="BI129" s="22"/>
      <c r="BJ129" s="22"/>
      <c r="BK129" s="22"/>
      <c r="BL129" s="22"/>
      <c r="BM129" s="22"/>
      <c r="BN129" s="22"/>
      <c r="BO129" s="22"/>
      <c r="BP129" s="22"/>
      <c r="BQ129" s="22"/>
      <c r="BR129" s="22"/>
      <c r="BS129" s="22"/>
      <c r="BT129" s="22"/>
      <c r="BU129" s="22"/>
      <c r="BV129" s="22"/>
      <c r="BW129" s="22"/>
      <c r="BX129" s="22"/>
      <c r="BY129" s="22"/>
      <c r="BZ129" s="22"/>
      <c r="CA129" s="22"/>
      <c r="CB129" s="22"/>
      <c r="CC129" s="22"/>
      <c r="CD129" s="22"/>
      <c r="CE129" s="22"/>
      <c r="CF129" s="22"/>
      <c r="CG129" s="22"/>
      <c r="CH129" s="22"/>
      <c r="CI129" s="22"/>
      <c r="CJ129" s="22"/>
      <c r="CK129" s="22"/>
      <c r="CL129" s="22"/>
      <c r="CM129" s="22"/>
      <c r="CN129" s="22"/>
      <c r="CO129" s="22"/>
      <c r="CP129" s="22"/>
      <c r="CQ129" s="22"/>
      <c r="CR129" s="22"/>
      <c r="CS129" s="22"/>
      <c r="CT129" s="22"/>
      <c r="CU129" s="22"/>
      <c r="CV129" s="22"/>
      <c r="CW129" s="22"/>
      <c r="CX129" s="22"/>
      <c r="CY129" s="22"/>
      <c r="CZ129" s="22"/>
      <c r="DA129" s="22"/>
      <c r="DB129" s="22"/>
      <c r="DC129" s="22"/>
      <c r="DD129" s="22"/>
      <c r="DE129" s="22"/>
      <c r="DF129" s="22"/>
      <c r="DG129" s="22"/>
      <c r="DH129" s="22"/>
      <c r="DI129" s="22"/>
      <c r="DJ129" s="22"/>
      <c r="DK129" s="22"/>
      <c r="DL129" s="22"/>
      <c r="DM129" s="22"/>
      <c r="DN129" s="22"/>
      <c r="DO129" s="22"/>
      <c r="DP129" s="22"/>
      <c r="DQ129" s="22"/>
      <c r="DR129" s="22"/>
      <c r="DS129" s="22"/>
      <c r="DT129" s="22"/>
      <c r="DU129" s="22"/>
      <c r="DV129" s="22"/>
      <c r="DW129" s="22"/>
      <c r="DX129" s="22"/>
      <c r="DY129" s="22"/>
      <c r="DZ129" s="22"/>
      <c r="EA129" s="22"/>
      <c r="EB129" s="22"/>
      <c r="EC129" s="22"/>
      <c r="ED129" s="22"/>
      <c r="EE129" s="22"/>
      <c r="EF129" s="22"/>
      <c r="EG129" s="22"/>
      <c r="EH129" s="22"/>
      <c r="EI129" s="22"/>
      <c r="EJ129" s="22"/>
      <c r="EK129" s="22"/>
      <c r="EL129" s="22"/>
      <c r="EM129" s="22"/>
      <c r="EN129" s="22"/>
      <c r="EO129" s="22"/>
      <c r="EP129" s="22"/>
      <c r="EQ129" s="22"/>
      <c r="ER129" s="22"/>
      <c r="ES129" s="22"/>
      <c r="ET129" s="22"/>
      <c r="EU129" s="22"/>
      <c r="EV129" s="22"/>
      <c r="EW129" s="22"/>
      <c r="EX129" s="22"/>
      <c r="EY129" s="22"/>
      <c r="EZ129" s="22"/>
      <c r="FA129" s="22"/>
      <c r="FB129" s="22"/>
      <c r="FC129" s="22"/>
      <c r="FD129" s="22"/>
      <c r="FE129" s="22"/>
      <c r="FF129" s="22"/>
      <c r="FG129" s="22"/>
      <c r="FH129" s="22"/>
      <c r="FI129" s="22"/>
      <c r="FJ129" s="22"/>
      <c r="FK129" s="22"/>
      <c r="FL129" s="22"/>
      <c r="FM129" s="22"/>
      <c r="FN129" s="22"/>
      <c r="FO129" s="22"/>
      <c r="FP129" s="22"/>
      <c r="FQ129" s="22"/>
      <c r="FR129" s="22"/>
      <c r="FS129" s="22"/>
      <c r="FT129" s="22"/>
      <c r="FU129" s="22"/>
      <c r="FV129" s="22"/>
      <c r="FW129" s="22"/>
      <c r="FX129" s="22"/>
      <c r="FY129" s="22"/>
      <c r="FZ129" s="22"/>
    </row>
    <row r="130" spans="2:182" x14ac:dyDescent="0.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c r="Z130" s="22"/>
      <c r="AA130" s="22"/>
      <c r="AB130" s="22"/>
      <c r="AC130" s="22"/>
      <c r="AD130" s="22"/>
      <c r="AE130" s="22"/>
      <c r="AF130" s="22"/>
      <c r="AG130" s="22"/>
      <c r="AH130" s="22"/>
      <c r="AI130" s="22"/>
      <c r="AJ130" s="22"/>
      <c r="AK130" s="22"/>
      <c r="AL130" s="22"/>
      <c r="AM130" s="22"/>
      <c r="AN130" s="22"/>
      <c r="AO130" s="22"/>
      <c r="AP130" s="22"/>
      <c r="AQ130" s="22"/>
      <c r="AR130" s="22"/>
      <c r="AS130" s="22"/>
      <c r="AT130" s="22"/>
      <c r="AU130" s="22"/>
      <c r="AV130" s="22"/>
      <c r="AW130" s="22"/>
      <c r="AX130" s="22"/>
      <c r="AY130" s="22"/>
      <c r="AZ130" s="22"/>
      <c r="BA130" s="22"/>
      <c r="BB130" s="22"/>
      <c r="BC130" s="22"/>
      <c r="BD130" s="22"/>
      <c r="BE130" s="22"/>
      <c r="BF130" s="22"/>
      <c r="BG130" s="22"/>
      <c r="BH130" s="22"/>
      <c r="BI130" s="22"/>
      <c r="BJ130" s="22"/>
      <c r="BK130" s="22"/>
      <c r="BL130" s="22"/>
      <c r="BM130" s="22"/>
      <c r="BN130" s="22"/>
      <c r="BO130" s="22"/>
      <c r="BP130" s="22"/>
      <c r="BQ130" s="22"/>
      <c r="BR130" s="22"/>
      <c r="BS130" s="22"/>
      <c r="BT130" s="22"/>
      <c r="BU130" s="22"/>
      <c r="BV130" s="22"/>
      <c r="BW130" s="22"/>
      <c r="BX130" s="22"/>
      <c r="BY130" s="22"/>
      <c r="BZ130" s="22"/>
      <c r="CA130" s="22"/>
      <c r="CB130" s="22"/>
      <c r="CC130" s="22"/>
      <c r="CD130" s="22"/>
      <c r="CE130" s="22"/>
      <c r="CF130" s="22"/>
      <c r="CG130" s="22"/>
      <c r="CH130" s="22"/>
      <c r="CI130" s="22"/>
      <c r="CJ130" s="22"/>
      <c r="CK130" s="22"/>
      <c r="CL130" s="22"/>
      <c r="CM130" s="22"/>
      <c r="CN130" s="22"/>
      <c r="CO130" s="22"/>
      <c r="CP130" s="22"/>
      <c r="CQ130" s="22"/>
      <c r="CR130" s="22"/>
      <c r="CS130" s="22"/>
      <c r="CT130" s="22"/>
      <c r="CU130" s="22"/>
      <c r="CV130" s="22"/>
      <c r="CW130" s="22"/>
      <c r="CX130" s="22"/>
      <c r="CY130" s="22"/>
      <c r="CZ130" s="22"/>
      <c r="DA130" s="22"/>
      <c r="DB130" s="22"/>
      <c r="DC130" s="22"/>
      <c r="DD130" s="22"/>
      <c r="DE130" s="22"/>
      <c r="DF130" s="22"/>
      <c r="DG130" s="22"/>
      <c r="DH130" s="22"/>
      <c r="DI130" s="22"/>
      <c r="DJ130" s="22"/>
      <c r="DK130" s="22"/>
      <c r="DL130" s="22"/>
      <c r="DM130" s="22"/>
      <c r="DN130" s="22"/>
      <c r="DO130" s="22"/>
      <c r="DP130" s="22"/>
      <c r="DQ130" s="22"/>
      <c r="DR130" s="22"/>
      <c r="DS130" s="22"/>
      <c r="DT130" s="22"/>
      <c r="DU130" s="22"/>
      <c r="DV130" s="22"/>
      <c r="DW130" s="22"/>
      <c r="DX130" s="22"/>
      <c r="DY130" s="22"/>
      <c r="DZ130" s="22"/>
      <c r="EA130" s="22"/>
      <c r="EB130" s="22"/>
      <c r="EC130" s="22"/>
      <c r="ED130" s="22"/>
      <c r="EE130" s="22"/>
      <c r="EF130" s="22"/>
      <c r="EG130" s="22"/>
      <c r="EH130" s="22"/>
      <c r="EI130" s="22"/>
      <c r="EJ130" s="22"/>
      <c r="EK130" s="22"/>
      <c r="EL130" s="22"/>
      <c r="EM130" s="22"/>
      <c r="EN130" s="22"/>
      <c r="EO130" s="22"/>
      <c r="EP130" s="22"/>
      <c r="EQ130" s="22"/>
      <c r="ER130" s="22"/>
      <c r="ES130" s="22"/>
      <c r="ET130" s="22"/>
      <c r="EU130" s="22"/>
      <c r="EV130" s="22"/>
      <c r="EW130" s="22"/>
      <c r="EX130" s="22"/>
      <c r="EY130" s="22"/>
      <c r="EZ130" s="22"/>
      <c r="FA130" s="22"/>
      <c r="FB130" s="22"/>
      <c r="FC130" s="22"/>
      <c r="FD130" s="22"/>
      <c r="FE130" s="22"/>
      <c r="FF130" s="22"/>
      <c r="FG130" s="22"/>
      <c r="FH130" s="22"/>
      <c r="FI130" s="22"/>
      <c r="FJ130" s="22"/>
      <c r="FK130" s="22"/>
      <c r="FL130" s="22"/>
      <c r="FM130" s="22"/>
      <c r="FN130" s="22"/>
      <c r="FO130" s="22"/>
      <c r="FP130" s="22"/>
      <c r="FQ130" s="22"/>
      <c r="FR130" s="22"/>
      <c r="FS130" s="22"/>
      <c r="FT130" s="22"/>
      <c r="FU130" s="22"/>
      <c r="FV130" s="22"/>
      <c r="FW130" s="22"/>
      <c r="FX130" s="22"/>
      <c r="FY130" s="22"/>
      <c r="FZ130" s="22"/>
    </row>
    <row r="131" spans="2:182" x14ac:dyDescent="0.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c r="Z131" s="22"/>
      <c r="AA131" s="22"/>
      <c r="AB131" s="22"/>
      <c r="AC131" s="22"/>
      <c r="AD131" s="22"/>
      <c r="AE131" s="22"/>
      <c r="AF131" s="22"/>
      <c r="AG131" s="22"/>
      <c r="AH131" s="22"/>
      <c r="AI131" s="22"/>
      <c r="AJ131" s="22"/>
      <c r="AK131" s="22"/>
      <c r="AL131" s="22"/>
      <c r="AM131" s="22"/>
      <c r="AN131" s="22"/>
      <c r="AO131" s="22"/>
      <c r="AP131" s="22"/>
      <c r="AQ131" s="22"/>
      <c r="AR131" s="22"/>
      <c r="AS131" s="22"/>
      <c r="AT131" s="22"/>
      <c r="AU131" s="22"/>
      <c r="AV131" s="22"/>
      <c r="AW131" s="22"/>
      <c r="AX131" s="22"/>
      <c r="AY131" s="22"/>
      <c r="AZ131" s="22"/>
      <c r="BA131" s="22"/>
      <c r="BB131" s="22"/>
      <c r="BC131" s="22"/>
      <c r="BD131" s="22"/>
      <c r="BE131" s="22"/>
      <c r="BF131" s="22"/>
      <c r="BG131" s="22"/>
      <c r="BH131" s="22"/>
      <c r="BI131" s="22"/>
      <c r="BJ131" s="22"/>
      <c r="BK131" s="22"/>
      <c r="BL131" s="22"/>
      <c r="BM131" s="22"/>
      <c r="BN131" s="22"/>
      <c r="BO131" s="22"/>
      <c r="BP131" s="22"/>
      <c r="BQ131" s="22"/>
      <c r="BR131" s="22"/>
      <c r="BS131" s="22"/>
      <c r="BT131" s="22"/>
      <c r="BU131" s="22"/>
      <c r="BV131" s="22"/>
      <c r="BW131" s="22"/>
      <c r="BX131" s="22"/>
      <c r="BY131" s="22"/>
      <c r="BZ131" s="22"/>
      <c r="CA131" s="22"/>
      <c r="CB131" s="22"/>
      <c r="CC131" s="22"/>
      <c r="CD131" s="22"/>
      <c r="CE131" s="22"/>
      <c r="CF131" s="22"/>
      <c r="CG131" s="22"/>
      <c r="CH131" s="22"/>
      <c r="CI131" s="22"/>
      <c r="CJ131" s="22"/>
      <c r="CK131" s="22"/>
      <c r="CL131" s="22"/>
      <c r="CM131" s="22"/>
      <c r="CN131" s="22"/>
      <c r="CO131" s="22"/>
      <c r="CP131" s="22"/>
      <c r="CQ131" s="22"/>
      <c r="CR131" s="22"/>
      <c r="CS131" s="22"/>
      <c r="CT131" s="22"/>
      <c r="CU131" s="22"/>
      <c r="CV131" s="22"/>
      <c r="CW131" s="22"/>
      <c r="CX131" s="22"/>
      <c r="CY131" s="22"/>
      <c r="CZ131" s="22"/>
      <c r="DA131" s="22"/>
      <c r="DB131" s="22"/>
      <c r="DC131" s="22"/>
      <c r="DD131" s="22"/>
      <c r="DE131" s="22"/>
      <c r="DF131" s="22"/>
      <c r="DG131" s="22"/>
      <c r="DH131" s="22"/>
      <c r="DI131" s="22"/>
      <c r="DJ131" s="22"/>
      <c r="DK131" s="22"/>
      <c r="DL131" s="22"/>
      <c r="DM131" s="22"/>
      <c r="DN131" s="22"/>
      <c r="DO131" s="22"/>
      <c r="DP131" s="22"/>
      <c r="DQ131" s="22"/>
      <c r="DR131" s="22"/>
      <c r="DS131" s="22"/>
      <c r="DT131" s="22"/>
      <c r="DU131" s="22"/>
      <c r="DV131" s="22"/>
      <c r="DW131" s="22"/>
      <c r="DX131" s="22"/>
      <c r="DY131" s="22"/>
      <c r="DZ131" s="22"/>
      <c r="EA131" s="22"/>
      <c r="EB131" s="22"/>
      <c r="EC131" s="22"/>
      <c r="ED131" s="22"/>
      <c r="EE131" s="22"/>
      <c r="EF131" s="22"/>
      <c r="EG131" s="22"/>
      <c r="EH131" s="22"/>
      <c r="EI131" s="22"/>
      <c r="EJ131" s="22"/>
      <c r="EK131" s="22"/>
      <c r="EL131" s="22"/>
      <c r="EM131" s="22"/>
      <c r="EN131" s="22"/>
      <c r="EO131" s="22"/>
      <c r="EP131" s="22"/>
      <c r="EQ131" s="22"/>
      <c r="ER131" s="22"/>
      <c r="ES131" s="22"/>
      <c r="ET131" s="22"/>
      <c r="EU131" s="22"/>
      <c r="EV131" s="22"/>
      <c r="EW131" s="22"/>
      <c r="EX131" s="22"/>
      <c r="EY131" s="22"/>
      <c r="EZ131" s="22"/>
      <c r="FA131" s="22"/>
      <c r="FB131" s="22"/>
      <c r="FC131" s="22"/>
      <c r="FD131" s="22"/>
      <c r="FE131" s="22"/>
      <c r="FF131" s="22"/>
      <c r="FG131" s="22"/>
      <c r="FH131" s="22"/>
      <c r="FI131" s="22"/>
      <c r="FJ131" s="22"/>
      <c r="FK131" s="22"/>
      <c r="FL131" s="22"/>
      <c r="FM131" s="22"/>
      <c r="FN131" s="22"/>
      <c r="FO131" s="22"/>
      <c r="FP131" s="22"/>
      <c r="FQ131" s="22"/>
      <c r="FR131" s="22"/>
      <c r="FS131" s="22"/>
      <c r="FT131" s="22"/>
      <c r="FU131" s="22"/>
      <c r="FV131" s="22"/>
      <c r="FW131" s="22"/>
      <c r="FX131" s="22"/>
      <c r="FY131" s="22"/>
      <c r="FZ131" s="22"/>
    </row>
    <row r="132" spans="2:182" x14ac:dyDescent="0.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c r="Z132" s="22"/>
      <c r="AA132" s="22"/>
      <c r="AB132" s="22"/>
      <c r="AC132" s="22"/>
      <c r="AD132" s="22"/>
      <c r="AE132" s="22"/>
      <c r="AF132" s="22"/>
      <c r="AG132" s="22"/>
      <c r="AH132" s="22"/>
      <c r="AI132" s="22"/>
      <c r="AJ132" s="22"/>
      <c r="AK132" s="22"/>
      <c r="AL132" s="22"/>
      <c r="AM132" s="22"/>
      <c r="AN132" s="22"/>
      <c r="AO132" s="22"/>
      <c r="AP132" s="22"/>
      <c r="AQ132" s="22"/>
      <c r="AR132" s="22"/>
      <c r="AS132" s="22"/>
      <c r="AT132" s="22"/>
      <c r="AU132" s="22"/>
      <c r="AV132" s="22"/>
      <c r="AW132" s="22"/>
      <c r="AX132" s="22"/>
      <c r="AY132" s="22"/>
      <c r="AZ132" s="22"/>
      <c r="BA132" s="22"/>
      <c r="BB132" s="22"/>
      <c r="BC132" s="22"/>
      <c r="BD132" s="22"/>
      <c r="BE132" s="22"/>
      <c r="BF132" s="22"/>
      <c r="BG132" s="22"/>
      <c r="BH132" s="22"/>
      <c r="BI132" s="22"/>
      <c r="BJ132" s="22"/>
      <c r="BK132" s="22"/>
      <c r="BL132" s="22"/>
      <c r="BM132" s="22"/>
      <c r="BN132" s="22"/>
      <c r="BO132" s="22"/>
      <c r="BP132" s="22"/>
      <c r="BQ132" s="22"/>
      <c r="BR132" s="22"/>
      <c r="BS132" s="22"/>
      <c r="BT132" s="22"/>
      <c r="BU132" s="22"/>
      <c r="BV132" s="22"/>
      <c r="BW132" s="22"/>
      <c r="BX132" s="22"/>
      <c r="BY132" s="22"/>
      <c r="BZ132" s="22"/>
      <c r="CA132" s="22"/>
      <c r="CB132" s="22"/>
      <c r="CC132" s="22"/>
      <c r="CD132" s="22"/>
      <c r="CE132" s="22"/>
      <c r="CF132" s="22"/>
      <c r="CG132" s="22"/>
      <c r="CH132" s="22"/>
      <c r="CI132" s="22"/>
      <c r="CJ132" s="22"/>
      <c r="CK132" s="22"/>
      <c r="CL132" s="22"/>
      <c r="CM132" s="22"/>
      <c r="CN132" s="22"/>
      <c r="CO132" s="22"/>
      <c r="CP132" s="22"/>
      <c r="CQ132" s="22"/>
      <c r="CR132" s="22"/>
      <c r="CS132" s="22"/>
      <c r="CT132" s="22"/>
      <c r="CU132" s="22"/>
      <c r="CV132" s="22"/>
      <c r="CW132" s="22"/>
      <c r="CX132" s="22"/>
      <c r="CY132" s="22"/>
      <c r="CZ132" s="22"/>
      <c r="DA132" s="22"/>
      <c r="DB132" s="22"/>
      <c r="DC132" s="22"/>
      <c r="DD132" s="22"/>
      <c r="DE132" s="22"/>
      <c r="DF132" s="22"/>
      <c r="DG132" s="22"/>
      <c r="DH132" s="22"/>
      <c r="DI132" s="22"/>
      <c r="DJ132" s="22"/>
      <c r="DK132" s="22"/>
      <c r="DL132" s="22"/>
      <c r="DM132" s="22"/>
      <c r="DN132" s="22"/>
      <c r="DO132" s="22"/>
      <c r="DP132" s="22"/>
      <c r="DQ132" s="22"/>
      <c r="DR132" s="22"/>
      <c r="DS132" s="22"/>
      <c r="DT132" s="22"/>
      <c r="DU132" s="22"/>
      <c r="DV132" s="22"/>
      <c r="DW132" s="22"/>
      <c r="DX132" s="22"/>
      <c r="DY132" s="22"/>
      <c r="DZ132" s="22"/>
      <c r="EA132" s="22"/>
      <c r="EB132" s="22"/>
      <c r="EC132" s="22"/>
      <c r="ED132" s="22"/>
      <c r="EE132" s="22"/>
      <c r="EF132" s="22"/>
      <c r="EG132" s="22"/>
      <c r="EH132" s="22"/>
      <c r="EI132" s="22"/>
      <c r="EJ132" s="22"/>
      <c r="EK132" s="22"/>
      <c r="EL132" s="22"/>
      <c r="EM132" s="22"/>
      <c r="EN132" s="22"/>
      <c r="EO132" s="22"/>
      <c r="EP132" s="22"/>
      <c r="EQ132" s="22"/>
      <c r="ER132" s="22"/>
      <c r="ES132" s="22"/>
      <c r="ET132" s="22"/>
      <c r="EU132" s="22"/>
      <c r="EV132" s="22"/>
      <c r="EW132" s="22"/>
      <c r="EX132" s="22"/>
      <c r="EY132" s="22"/>
      <c r="EZ132" s="22"/>
      <c r="FA132" s="22"/>
      <c r="FB132" s="22"/>
      <c r="FC132" s="22"/>
      <c r="FD132" s="22"/>
      <c r="FE132" s="22"/>
      <c r="FF132" s="22"/>
      <c r="FG132" s="22"/>
      <c r="FH132" s="22"/>
      <c r="FI132" s="22"/>
      <c r="FJ132" s="22"/>
      <c r="FK132" s="22"/>
      <c r="FL132" s="22"/>
      <c r="FM132" s="22"/>
      <c r="FN132" s="22"/>
      <c r="FO132" s="22"/>
      <c r="FP132" s="22"/>
      <c r="FQ132" s="22"/>
      <c r="FR132" s="22"/>
      <c r="FS132" s="22"/>
      <c r="FT132" s="22"/>
      <c r="FU132" s="22"/>
      <c r="FV132" s="22"/>
      <c r="FW132" s="22"/>
      <c r="FX132" s="22"/>
      <c r="FY132" s="22"/>
      <c r="FZ132" s="22"/>
    </row>
    <row r="133" spans="2:182" x14ac:dyDescent="0.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c r="Z133" s="22"/>
      <c r="AA133" s="22"/>
      <c r="AB133" s="22"/>
      <c r="AC133" s="22"/>
      <c r="AD133" s="22"/>
      <c r="AE133" s="22"/>
      <c r="AF133" s="22"/>
      <c r="AG133" s="22"/>
      <c r="AH133" s="22"/>
      <c r="AI133" s="22"/>
      <c r="AJ133" s="22"/>
      <c r="AK133" s="22"/>
      <c r="AL133" s="22"/>
      <c r="AM133" s="22"/>
      <c r="AN133" s="22"/>
      <c r="AO133" s="22"/>
      <c r="AP133" s="22"/>
      <c r="AQ133" s="22"/>
      <c r="AR133" s="22"/>
      <c r="AS133" s="22"/>
      <c r="AT133" s="22"/>
      <c r="AU133" s="22"/>
      <c r="AV133" s="22"/>
      <c r="AW133" s="22"/>
      <c r="AX133" s="22"/>
      <c r="AY133" s="22"/>
      <c r="AZ133" s="22"/>
      <c r="BA133" s="22"/>
      <c r="BB133" s="22"/>
      <c r="BC133" s="22"/>
      <c r="BD133" s="22"/>
      <c r="BE133" s="22"/>
      <c r="BF133" s="22"/>
      <c r="BG133" s="22"/>
      <c r="BH133" s="22"/>
      <c r="BI133" s="22"/>
      <c r="BJ133" s="22"/>
      <c r="BK133" s="22"/>
      <c r="BL133" s="22"/>
      <c r="BM133" s="22"/>
      <c r="BN133" s="22"/>
      <c r="BO133" s="22"/>
      <c r="BP133" s="22"/>
      <c r="BQ133" s="22"/>
      <c r="BR133" s="22"/>
      <c r="BS133" s="22"/>
      <c r="BT133" s="22"/>
      <c r="BU133" s="22"/>
      <c r="BV133" s="22"/>
      <c r="BW133" s="22"/>
      <c r="BX133" s="22"/>
      <c r="BY133" s="22"/>
      <c r="BZ133" s="22"/>
      <c r="CA133" s="22"/>
      <c r="CB133" s="22"/>
      <c r="CC133" s="22"/>
      <c r="CD133" s="22"/>
      <c r="CE133" s="22"/>
      <c r="CF133" s="22"/>
      <c r="CG133" s="22"/>
      <c r="CH133" s="22"/>
      <c r="CI133" s="22"/>
      <c r="CJ133" s="22"/>
      <c r="CK133" s="22"/>
      <c r="CL133" s="22"/>
      <c r="CM133" s="22"/>
      <c r="CN133" s="22"/>
      <c r="CO133" s="22"/>
      <c r="CP133" s="22"/>
      <c r="CQ133" s="22"/>
      <c r="CR133" s="22"/>
      <c r="CS133" s="22"/>
      <c r="CT133" s="22"/>
      <c r="CU133" s="22"/>
      <c r="CV133" s="22"/>
      <c r="CW133" s="22"/>
      <c r="CX133" s="22"/>
      <c r="CY133" s="22"/>
      <c r="CZ133" s="22"/>
      <c r="DA133" s="22"/>
      <c r="DB133" s="22"/>
      <c r="DC133" s="22"/>
      <c r="DD133" s="22"/>
      <c r="DE133" s="22"/>
      <c r="DF133" s="22"/>
      <c r="DG133" s="22"/>
      <c r="DH133" s="22"/>
      <c r="DI133" s="22"/>
      <c r="DJ133" s="22"/>
      <c r="DK133" s="22"/>
      <c r="DL133" s="22"/>
      <c r="DM133" s="22"/>
      <c r="DN133" s="22"/>
      <c r="DO133" s="22"/>
      <c r="DP133" s="22"/>
      <c r="DQ133" s="22"/>
      <c r="DR133" s="22"/>
      <c r="DS133" s="22"/>
      <c r="DT133" s="22"/>
      <c r="DU133" s="22"/>
      <c r="DV133" s="22"/>
      <c r="DW133" s="22"/>
      <c r="DX133" s="22"/>
      <c r="DY133" s="22"/>
      <c r="DZ133" s="22"/>
      <c r="EA133" s="22"/>
      <c r="EB133" s="22"/>
      <c r="EC133" s="22"/>
      <c r="ED133" s="22"/>
      <c r="EE133" s="22"/>
      <c r="EF133" s="22"/>
      <c r="EG133" s="22"/>
      <c r="EH133" s="22"/>
      <c r="EI133" s="22"/>
      <c r="EJ133" s="22"/>
      <c r="EK133" s="22"/>
      <c r="EL133" s="22"/>
      <c r="EM133" s="22"/>
      <c r="EN133" s="22"/>
      <c r="EO133" s="22"/>
      <c r="EP133" s="22"/>
      <c r="EQ133" s="22"/>
      <c r="ER133" s="22"/>
      <c r="ES133" s="22"/>
      <c r="ET133" s="22"/>
      <c r="EU133" s="22"/>
      <c r="EV133" s="22"/>
      <c r="EW133" s="22"/>
      <c r="EX133" s="22"/>
      <c r="EY133" s="22"/>
      <c r="EZ133" s="22"/>
      <c r="FA133" s="22"/>
      <c r="FB133" s="22"/>
      <c r="FC133" s="22"/>
      <c r="FD133" s="22"/>
      <c r="FE133" s="22"/>
      <c r="FF133" s="22"/>
      <c r="FG133" s="22"/>
      <c r="FH133" s="22"/>
      <c r="FI133" s="22"/>
      <c r="FJ133" s="22"/>
      <c r="FK133" s="22"/>
      <c r="FL133" s="22"/>
      <c r="FM133" s="22"/>
      <c r="FN133" s="22"/>
      <c r="FO133" s="22"/>
      <c r="FP133" s="22"/>
      <c r="FQ133" s="22"/>
      <c r="FR133" s="22"/>
      <c r="FS133" s="22"/>
      <c r="FT133" s="22"/>
      <c r="FU133" s="22"/>
      <c r="FV133" s="22"/>
      <c r="FW133" s="22"/>
      <c r="FX133" s="22"/>
      <c r="FY133" s="22"/>
      <c r="FZ133" s="22"/>
    </row>
    <row r="134" spans="2:182" x14ac:dyDescent="0.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c r="Z134" s="22"/>
      <c r="AA134" s="22"/>
      <c r="AB134" s="22"/>
      <c r="AC134" s="22"/>
      <c r="AD134" s="22"/>
      <c r="AE134" s="22"/>
      <c r="AF134" s="22"/>
      <c r="AG134" s="22"/>
      <c r="AH134" s="22"/>
      <c r="AI134" s="22"/>
      <c r="AJ134" s="22"/>
      <c r="AK134" s="22"/>
      <c r="AL134" s="22"/>
      <c r="AM134" s="22"/>
      <c r="AN134" s="22"/>
      <c r="AO134" s="22"/>
      <c r="AP134" s="22"/>
      <c r="AQ134" s="22"/>
      <c r="AR134" s="22"/>
      <c r="AS134" s="22"/>
      <c r="AT134" s="22"/>
      <c r="AU134" s="22"/>
      <c r="AV134" s="22"/>
      <c r="AW134" s="22"/>
      <c r="AX134" s="22"/>
      <c r="AY134" s="22"/>
      <c r="AZ134" s="22"/>
      <c r="BA134" s="22"/>
      <c r="BB134" s="22"/>
      <c r="BC134" s="22"/>
      <c r="BD134" s="22"/>
      <c r="BE134" s="22"/>
      <c r="BF134" s="22"/>
      <c r="BG134" s="22"/>
      <c r="BH134" s="22"/>
      <c r="BI134" s="22"/>
      <c r="BJ134" s="22"/>
      <c r="BK134" s="22"/>
      <c r="BL134" s="22"/>
      <c r="BM134" s="22"/>
      <c r="BN134" s="22"/>
      <c r="BO134" s="22"/>
      <c r="BP134" s="22"/>
      <c r="BQ134" s="22"/>
      <c r="BR134" s="22"/>
      <c r="BS134" s="22"/>
      <c r="BT134" s="22"/>
      <c r="BU134" s="22"/>
      <c r="BV134" s="22"/>
      <c r="BW134" s="22"/>
      <c r="BX134" s="22"/>
      <c r="BY134" s="22"/>
      <c r="BZ134" s="22"/>
      <c r="CA134" s="22"/>
      <c r="CB134" s="22"/>
      <c r="CC134" s="22"/>
      <c r="CD134" s="22"/>
      <c r="CE134" s="22"/>
      <c r="CF134" s="22"/>
      <c r="CG134" s="22"/>
      <c r="CH134" s="22"/>
      <c r="CI134" s="22"/>
      <c r="CJ134" s="22"/>
      <c r="CK134" s="22"/>
      <c r="CL134" s="22"/>
      <c r="CM134" s="22"/>
      <c r="CN134" s="22"/>
      <c r="CO134" s="22"/>
      <c r="CP134" s="22"/>
      <c r="CQ134" s="22"/>
      <c r="CR134" s="22"/>
      <c r="CS134" s="22"/>
      <c r="CT134" s="22"/>
      <c r="CU134" s="22"/>
      <c r="CV134" s="22"/>
      <c r="CW134" s="22"/>
      <c r="CX134" s="22"/>
      <c r="CY134" s="22"/>
      <c r="CZ134" s="22"/>
      <c r="DA134" s="22"/>
      <c r="DB134" s="22"/>
      <c r="DC134" s="22"/>
      <c r="DD134" s="22"/>
      <c r="DE134" s="22"/>
      <c r="DF134" s="22"/>
      <c r="DG134" s="22"/>
      <c r="DH134" s="22"/>
      <c r="DI134" s="22"/>
      <c r="DJ134" s="22"/>
      <c r="DK134" s="22"/>
      <c r="DL134" s="22"/>
      <c r="DM134" s="22"/>
      <c r="DN134" s="22"/>
      <c r="DO134" s="22"/>
      <c r="DP134" s="22"/>
      <c r="DQ134" s="22"/>
      <c r="DR134" s="22"/>
      <c r="DS134" s="22"/>
      <c r="DT134" s="22"/>
      <c r="DU134" s="22"/>
      <c r="DV134" s="22"/>
      <c r="DW134" s="22"/>
      <c r="DX134" s="22"/>
      <c r="DY134" s="22"/>
      <c r="DZ134" s="22"/>
      <c r="EA134" s="22"/>
      <c r="EB134" s="22"/>
      <c r="EC134" s="22"/>
      <c r="ED134" s="22"/>
      <c r="EE134" s="22"/>
      <c r="EF134" s="22"/>
      <c r="EG134" s="22"/>
      <c r="EH134" s="22"/>
      <c r="EI134" s="22"/>
      <c r="EJ134" s="22"/>
      <c r="EK134" s="22"/>
      <c r="EL134" s="22"/>
      <c r="EM134" s="22"/>
      <c r="EN134" s="22"/>
      <c r="EO134" s="22"/>
      <c r="EP134" s="22"/>
      <c r="EQ134" s="22"/>
      <c r="ER134" s="22"/>
      <c r="ES134" s="22"/>
      <c r="ET134" s="22"/>
      <c r="EU134" s="22"/>
      <c r="EV134" s="22"/>
      <c r="EW134" s="22"/>
      <c r="EX134" s="22"/>
      <c r="EY134" s="22"/>
      <c r="EZ134" s="22"/>
      <c r="FA134" s="22"/>
      <c r="FB134" s="22"/>
      <c r="FC134" s="22"/>
      <c r="FD134" s="22"/>
      <c r="FE134" s="22"/>
      <c r="FF134" s="22"/>
      <c r="FG134" s="22"/>
      <c r="FH134" s="22"/>
      <c r="FI134" s="22"/>
      <c r="FJ134" s="22"/>
      <c r="FK134" s="22"/>
      <c r="FL134" s="22"/>
      <c r="FM134" s="22"/>
      <c r="FN134" s="22"/>
      <c r="FO134" s="22"/>
      <c r="FP134" s="22"/>
      <c r="FQ134" s="22"/>
      <c r="FR134" s="22"/>
      <c r="FS134" s="22"/>
      <c r="FT134" s="22"/>
      <c r="FU134" s="22"/>
      <c r="FV134" s="22"/>
      <c r="FW134" s="22"/>
      <c r="FX134" s="22"/>
      <c r="FY134" s="22"/>
      <c r="FZ134" s="22"/>
    </row>
    <row r="135" spans="2:182" x14ac:dyDescent="0.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c r="Z135" s="22"/>
      <c r="AA135" s="22"/>
      <c r="AB135" s="22"/>
      <c r="AC135" s="22"/>
      <c r="AD135" s="22"/>
      <c r="AE135" s="22"/>
      <c r="AF135" s="22"/>
      <c r="AG135" s="22"/>
      <c r="AH135" s="22"/>
      <c r="AI135" s="22"/>
      <c r="AJ135" s="22"/>
      <c r="AK135" s="22"/>
      <c r="AL135" s="22"/>
      <c r="AM135" s="22"/>
      <c r="AN135" s="22"/>
      <c r="AO135" s="22"/>
      <c r="AP135" s="22"/>
      <c r="AQ135" s="22"/>
      <c r="AR135" s="22"/>
      <c r="AS135" s="22"/>
      <c r="AT135" s="22"/>
      <c r="AU135" s="22"/>
      <c r="AV135" s="22"/>
      <c r="AW135" s="22"/>
      <c r="AX135" s="22"/>
      <c r="AY135" s="22"/>
      <c r="AZ135" s="22"/>
      <c r="BA135" s="22"/>
      <c r="BB135" s="22"/>
      <c r="BC135" s="22"/>
      <c r="BD135" s="22"/>
      <c r="BE135" s="22"/>
      <c r="BF135" s="22"/>
      <c r="BG135" s="22"/>
      <c r="BH135" s="22"/>
      <c r="BI135" s="22"/>
      <c r="BJ135" s="22"/>
      <c r="BK135" s="22"/>
      <c r="BL135" s="22"/>
      <c r="BM135" s="22"/>
      <c r="BN135" s="22"/>
      <c r="BO135" s="22"/>
      <c r="BP135" s="22"/>
      <c r="BQ135" s="22"/>
      <c r="BR135" s="22"/>
      <c r="BS135" s="22"/>
      <c r="BT135" s="22"/>
      <c r="BU135" s="22"/>
      <c r="BV135" s="22"/>
      <c r="BW135" s="22"/>
      <c r="BX135" s="22"/>
      <c r="BY135" s="22"/>
      <c r="BZ135" s="22"/>
      <c r="CA135" s="22"/>
      <c r="CB135" s="22"/>
      <c r="CC135" s="22"/>
      <c r="CD135" s="22"/>
      <c r="CE135" s="22"/>
      <c r="CF135" s="22"/>
      <c r="CG135" s="22"/>
      <c r="CH135" s="22"/>
      <c r="CI135" s="22"/>
      <c r="CJ135" s="22"/>
      <c r="CK135" s="22"/>
      <c r="CL135" s="22"/>
      <c r="CM135" s="22"/>
      <c r="CN135" s="22"/>
      <c r="CO135" s="22"/>
      <c r="CP135" s="22"/>
      <c r="CQ135" s="22"/>
      <c r="CR135" s="22"/>
      <c r="CS135" s="22"/>
      <c r="CT135" s="22"/>
      <c r="CU135" s="22"/>
      <c r="CV135" s="22"/>
      <c r="CW135" s="22"/>
      <c r="CX135" s="22"/>
      <c r="CY135" s="22"/>
      <c r="CZ135" s="22"/>
      <c r="DA135" s="22"/>
      <c r="DB135" s="22"/>
      <c r="DC135" s="22"/>
      <c r="DD135" s="22"/>
      <c r="DE135" s="22"/>
      <c r="DF135" s="22"/>
      <c r="DG135" s="22"/>
      <c r="DH135" s="22"/>
      <c r="DI135" s="22"/>
      <c r="DJ135" s="22"/>
      <c r="DK135" s="22"/>
      <c r="DL135" s="22"/>
      <c r="DM135" s="22"/>
      <c r="DN135" s="22"/>
      <c r="DO135" s="22"/>
      <c r="DP135" s="22"/>
      <c r="DQ135" s="22"/>
      <c r="DR135" s="22"/>
      <c r="DS135" s="22"/>
      <c r="DT135" s="22"/>
      <c r="DU135" s="22"/>
      <c r="DV135" s="22"/>
      <c r="DW135" s="22"/>
      <c r="DX135" s="22"/>
      <c r="DY135" s="22"/>
      <c r="DZ135" s="22"/>
      <c r="EA135" s="22"/>
      <c r="EB135" s="22"/>
      <c r="EC135" s="22"/>
      <c r="ED135" s="22"/>
      <c r="EE135" s="22"/>
      <c r="EF135" s="22"/>
      <c r="EG135" s="22"/>
      <c r="EH135" s="22"/>
      <c r="EI135" s="22"/>
      <c r="EJ135" s="22"/>
      <c r="EK135" s="22"/>
      <c r="EL135" s="22"/>
      <c r="EM135" s="22"/>
      <c r="EN135" s="22"/>
      <c r="EO135" s="22"/>
      <c r="EP135" s="22"/>
      <c r="EQ135" s="22"/>
      <c r="ER135" s="22"/>
      <c r="ES135" s="22"/>
      <c r="ET135" s="22"/>
      <c r="EU135" s="22"/>
      <c r="EV135" s="22"/>
      <c r="EW135" s="22"/>
      <c r="EX135" s="22"/>
      <c r="EY135" s="22"/>
      <c r="EZ135" s="22"/>
      <c r="FA135" s="22"/>
      <c r="FB135" s="22"/>
      <c r="FC135" s="22"/>
      <c r="FD135" s="22"/>
      <c r="FE135" s="22"/>
      <c r="FF135" s="22"/>
      <c r="FG135" s="22"/>
      <c r="FH135" s="22"/>
      <c r="FI135" s="22"/>
      <c r="FJ135" s="22"/>
      <c r="FK135" s="22"/>
      <c r="FL135" s="22"/>
      <c r="FM135" s="22"/>
      <c r="FN135" s="22"/>
      <c r="FO135" s="22"/>
      <c r="FP135" s="22"/>
      <c r="FQ135" s="22"/>
      <c r="FR135" s="22"/>
      <c r="FS135" s="22"/>
      <c r="FT135" s="22"/>
      <c r="FU135" s="22"/>
      <c r="FV135" s="22"/>
      <c r="FW135" s="22"/>
      <c r="FX135" s="22"/>
      <c r="FY135" s="22"/>
      <c r="FZ135" s="22"/>
    </row>
    <row r="136" spans="2:182" x14ac:dyDescent="0.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c r="Z136" s="22"/>
      <c r="AA136" s="22"/>
      <c r="AB136" s="22"/>
      <c r="AC136" s="22"/>
      <c r="AD136" s="22"/>
      <c r="AE136" s="22"/>
      <c r="AF136" s="22"/>
      <c r="AG136" s="22"/>
      <c r="AH136" s="22"/>
      <c r="AI136" s="22"/>
      <c r="AJ136" s="22"/>
      <c r="AK136" s="22"/>
      <c r="AL136" s="22"/>
      <c r="AM136" s="22"/>
      <c r="AN136" s="22"/>
      <c r="AO136" s="22"/>
      <c r="AP136" s="22"/>
      <c r="AQ136" s="22"/>
      <c r="AR136" s="22"/>
      <c r="AS136" s="22"/>
      <c r="AT136" s="22"/>
      <c r="AU136" s="22"/>
      <c r="AV136" s="22"/>
      <c r="AW136" s="22"/>
      <c r="AX136" s="22"/>
      <c r="AY136" s="22"/>
      <c r="AZ136" s="22"/>
      <c r="BA136" s="22"/>
      <c r="BB136" s="22"/>
      <c r="BC136" s="22"/>
      <c r="BD136" s="22"/>
      <c r="BE136" s="22"/>
      <c r="BF136" s="22"/>
      <c r="BG136" s="22"/>
      <c r="BH136" s="22"/>
      <c r="BI136" s="22"/>
      <c r="BJ136" s="22"/>
      <c r="BK136" s="22"/>
      <c r="BL136" s="22"/>
      <c r="BM136" s="22"/>
      <c r="BN136" s="22"/>
      <c r="BO136" s="22"/>
      <c r="BP136" s="22"/>
      <c r="BQ136" s="22"/>
      <c r="BR136" s="22"/>
      <c r="BS136" s="22"/>
      <c r="BT136" s="22"/>
      <c r="BU136" s="22"/>
      <c r="BV136" s="22"/>
      <c r="BW136" s="22"/>
      <c r="BX136" s="22"/>
      <c r="BY136" s="22"/>
      <c r="BZ136" s="22"/>
      <c r="CA136" s="22"/>
      <c r="CB136" s="22"/>
      <c r="CC136" s="22"/>
      <c r="CD136" s="22"/>
      <c r="CE136" s="22"/>
      <c r="CF136" s="22"/>
      <c r="CG136" s="22"/>
      <c r="CH136" s="22"/>
      <c r="CI136" s="22"/>
      <c r="CJ136" s="22"/>
      <c r="CK136" s="22"/>
      <c r="CL136" s="22"/>
      <c r="CM136" s="22"/>
      <c r="CN136" s="22"/>
      <c r="CO136" s="22"/>
      <c r="CP136" s="22"/>
      <c r="CQ136" s="22"/>
      <c r="CR136" s="22"/>
      <c r="CS136" s="22"/>
      <c r="CT136" s="22"/>
      <c r="CU136" s="22"/>
      <c r="CV136" s="22"/>
      <c r="CW136" s="22"/>
      <c r="CX136" s="22"/>
      <c r="CY136" s="22"/>
      <c r="CZ136" s="22"/>
      <c r="DA136" s="22"/>
      <c r="DB136" s="22"/>
      <c r="DC136" s="22"/>
      <c r="DD136" s="22"/>
      <c r="DE136" s="22"/>
      <c r="DF136" s="22"/>
      <c r="DG136" s="22"/>
      <c r="DH136" s="22"/>
      <c r="DI136" s="22"/>
      <c r="DJ136" s="22"/>
      <c r="DK136" s="22"/>
      <c r="DL136" s="22"/>
      <c r="DM136" s="22"/>
      <c r="DN136" s="22"/>
      <c r="DO136" s="22"/>
      <c r="DP136" s="22"/>
      <c r="DQ136" s="22"/>
      <c r="DR136" s="22"/>
      <c r="DS136" s="22"/>
      <c r="DT136" s="22"/>
      <c r="DU136" s="22"/>
      <c r="DV136" s="22"/>
      <c r="DW136" s="22"/>
      <c r="DX136" s="22"/>
      <c r="DY136" s="22"/>
      <c r="DZ136" s="22"/>
      <c r="EA136" s="22"/>
      <c r="EB136" s="22"/>
      <c r="EC136" s="22"/>
      <c r="ED136" s="22"/>
      <c r="EE136" s="22"/>
      <c r="EF136" s="22"/>
      <c r="EG136" s="22"/>
      <c r="EH136" s="22"/>
      <c r="EI136" s="22"/>
      <c r="EJ136" s="22"/>
      <c r="EK136" s="22"/>
      <c r="EL136" s="22"/>
      <c r="EM136" s="22"/>
      <c r="EN136" s="22"/>
      <c r="EO136" s="22"/>
      <c r="EP136" s="22"/>
      <c r="EQ136" s="22"/>
      <c r="ER136" s="22"/>
      <c r="ES136" s="22"/>
      <c r="ET136" s="22"/>
      <c r="EU136" s="22"/>
      <c r="EV136" s="22"/>
      <c r="EW136" s="22"/>
      <c r="EX136" s="22"/>
      <c r="EY136" s="22"/>
      <c r="EZ136" s="22"/>
      <c r="FA136" s="22"/>
      <c r="FB136" s="22"/>
      <c r="FC136" s="22"/>
      <c r="FD136" s="22"/>
      <c r="FE136" s="22"/>
      <c r="FF136" s="22"/>
      <c r="FG136" s="22"/>
      <c r="FH136" s="22"/>
      <c r="FI136" s="22"/>
      <c r="FJ136" s="22"/>
      <c r="FK136" s="22"/>
      <c r="FL136" s="22"/>
      <c r="FM136" s="22"/>
      <c r="FN136" s="22"/>
      <c r="FO136" s="22"/>
      <c r="FP136" s="22"/>
      <c r="FQ136" s="22"/>
      <c r="FR136" s="22"/>
      <c r="FS136" s="22"/>
      <c r="FT136" s="22"/>
      <c r="FU136" s="22"/>
      <c r="FV136" s="22"/>
      <c r="FW136" s="22"/>
      <c r="FX136" s="22"/>
      <c r="FY136" s="22"/>
      <c r="FZ136" s="22"/>
    </row>
    <row r="137" spans="2:182" x14ac:dyDescent="0.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c r="Z137" s="22"/>
      <c r="AA137" s="22"/>
      <c r="AB137" s="22"/>
      <c r="AC137" s="22"/>
      <c r="AD137" s="22"/>
      <c r="AE137" s="22"/>
      <c r="AF137" s="22"/>
      <c r="AG137" s="22"/>
      <c r="AH137" s="22"/>
      <c r="AI137" s="22"/>
      <c r="AJ137" s="22"/>
      <c r="AK137" s="22"/>
      <c r="AL137" s="22"/>
      <c r="AM137" s="22"/>
      <c r="AN137" s="22"/>
      <c r="AO137" s="22"/>
      <c r="AP137" s="22"/>
      <c r="AQ137" s="22"/>
      <c r="AR137" s="22"/>
      <c r="AS137" s="22"/>
      <c r="AT137" s="22"/>
      <c r="AU137" s="22"/>
      <c r="AV137" s="22"/>
      <c r="AW137" s="22"/>
      <c r="AX137" s="22"/>
      <c r="AY137" s="22"/>
      <c r="AZ137" s="22"/>
      <c r="BA137" s="22"/>
      <c r="BB137" s="22"/>
      <c r="BC137" s="22"/>
      <c r="BD137" s="22"/>
      <c r="BE137" s="22"/>
      <c r="BF137" s="22"/>
      <c r="BG137" s="22"/>
      <c r="BH137" s="22"/>
      <c r="BI137" s="22"/>
      <c r="BJ137" s="22"/>
      <c r="BK137" s="22"/>
      <c r="BL137" s="22"/>
      <c r="BM137" s="22"/>
      <c r="BN137" s="22"/>
      <c r="BO137" s="22"/>
      <c r="BP137" s="22"/>
      <c r="BQ137" s="22"/>
      <c r="BR137" s="22"/>
      <c r="BS137" s="22"/>
      <c r="BT137" s="22"/>
      <c r="BU137" s="22"/>
      <c r="BV137" s="22"/>
      <c r="BW137" s="22"/>
      <c r="BX137" s="22"/>
      <c r="BY137" s="22"/>
      <c r="BZ137" s="22"/>
      <c r="CA137" s="22"/>
      <c r="CB137" s="22"/>
      <c r="CC137" s="22"/>
      <c r="CD137" s="22"/>
      <c r="CE137" s="22"/>
      <c r="CF137" s="22"/>
      <c r="CG137" s="22"/>
      <c r="CH137" s="22"/>
      <c r="CI137" s="22"/>
      <c r="CJ137" s="22"/>
      <c r="CK137" s="22"/>
      <c r="CL137" s="22"/>
      <c r="CM137" s="22"/>
      <c r="CN137" s="22"/>
      <c r="CO137" s="22"/>
      <c r="CP137" s="22"/>
      <c r="CQ137" s="22"/>
      <c r="CR137" s="22"/>
      <c r="CS137" s="22"/>
      <c r="CT137" s="22"/>
      <c r="CU137" s="22"/>
      <c r="CV137" s="22"/>
      <c r="CW137" s="22"/>
      <c r="CX137" s="22"/>
      <c r="CY137" s="22"/>
      <c r="CZ137" s="22"/>
      <c r="DA137" s="22"/>
      <c r="DB137" s="22"/>
      <c r="DC137" s="22"/>
      <c r="DD137" s="22"/>
      <c r="DE137" s="22"/>
      <c r="DF137" s="22"/>
      <c r="DG137" s="22"/>
      <c r="DH137" s="22"/>
      <c r="DI137" s="22"/>
      <c r="DJ137" s="22"/>
      <c r="DK137" s="22"/>
      <c r="DL137" s="22"/>
      <c r="DM137" s="22"/>
      <c r="DN137" s="22"/>
      <c r="DO137" s="22"/>
      <c r="DP137" s="22"/>
      <c r="DQ137" s="22"/>
      <c r="DR137" s="22"/>
      <c r="DS137" s="22"/>
      <c r="DT137" s="22"/>
      <c r="DU137" s="22"/>
      <c r="DV137" s="22"/>
      <c r="DW137" s="22"/>
      <c r="DX137" s="22"/>
      <c r="DY137" s="22"/>
      <c r="DZ137" s="22"/>
      <c r="EA137" s="22"/>
      <c r="EB137" s="22"/>
      <c r="EC137" s="22"/>
      <c r="ED137" s="22"/>
      <c r="EE137" s="22"/>
      <c r="EF137" s="22"/>
      <c r="EG137" s="22"/>
      <c r="EH137" s="22"/>
      <c r="EI137" s="22"/>
      <c r="EJ137" s="22"/>
      <c r="EK137" s="22"/>
      <c r="EL137" s="22"/>
      <c r="EM137" s="22"/>
      <c r="EN137" s="22"/>
      <c r="EO137" s="22"/>
      <c r="EP137" s="22"/>
      <c r="EQ137" s="22"/>
      <c r="ER137" s="22"/>
      <c r="ES137" s="22"/>
      <c r="ET137" s="22"/>
      <c r="EU137" s="22"/>
      <c r="EV137" s="22"/>
      <c r="EW137" s="22"/>
      <c r="EX137" s="22"/>
      <c r="EY137" s="22"/>
      <c r="EZ137" s="22"/>
      <c r="FA137" s="22"/>
      <c r="FB137" s="22"/>
      <c r="FC137" s="22"/>
      <c r="FD137" s="22"/>
      <c r="FE137" s="22"/>
      <c r="FF137" s="22"/>
      <c r="FG137" s="22"/>
      <c r="FH137" s="22"/>
      <c r="FI137" s="22"/>
      <c r="FJ137" s="22"/>
      <c r="FK137" s="22"/>
      <c r="FL137" s="22"/>
      <c r="FM137" s="22"/>
      <c r="FN137" s="22"/>
      <c r="FO137" s="22"/>
      <c r="FP137" s="22"/>
      <c r="FQ137" s="22"/>
      <c r="FR137" s="22"/>
      <c r="FS137" s="22"/>
      <c r="FT137" s="22"/>
      <c r="FU137" s="22"/>
      <c r="FV137" s="22"/>
      <c r="FW137" s="22"/>
      <c r="FX137" s="22"/>
      <c r="FY137" s="22"/>
      <c r="FZ137" s="22"/>
    </row>
    <row r="138" spans="2:182" x14ac:dyDescent="0.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c r="Z138" s="22"/>
      <c r="AA138" s="22"/>
      <c r="AB138" s="22"/>
      <c r="AC138" s="22"/>
      <c r="AD138" s="22"/>
      <c r="AE138" s="22"/>
      <c r="AF138" s="22"/>
      <c r="AG138" s="22"/>
      <c r="AH138" s="22"/>
      <c r="AI138" s="22"/>
      <c r="AJ138" s="22"/>
      <c r="AK138" s="22"/>
      <c r="AL138" s="22"/>
      <c r="AM138" s="22"/>
      <c r="AN138" s="22"/>
      <c r="AO138" s="22"/>
      <c r="AP138" s="22"/>
      <c r="AQ138" s="22"/>
      <c r="AR138" s="22"/>
      <c r="AS138" s="22"/>
      <c r="AT138" s="22"/>
      <c r="AU138" s="22"/>
      <c r="AV138" s="22"/>
      <c r="AW138" s="22"/>
      <c r="AX138" s="22"/>
      <c r="AY138" s="22"/>
      <c r="AZ138" s="22"/>
      <c r="BA138" s="22"/>
      <c r="BB138" s="22"/>
      <c r="BC138" s="22"/>
      <c r="BD138" s="22"/>
      <c r="BE138" s="22"/>
      <c r="BF138" s="22"/>
      <c r="BG138" s="22"/>
      <c r="BH138" s="22"/>
      <c r="BI138" s="22"/>
      <c r="BJ138" s="22"/>
      <c r="BK138" s="22"/>
      <c r="BL138" s="22"/>
      <c r="BM138" s="22"/>
      <c r="BN138" s="22"/>
      <c r="BO138" s="22"/>
      <c r="BP138" s="22"/>
      <c r="BQ138" s="22"/>
      <c r="BR138" s="22"/>
      <c r="BS138" s="22"/>
      <c r="BT138" s="22"/>
      <c r="BU138" s="22"/>
      <c r="BV138" s="22"/>
      <c r="BW138" s="22"/>
      <c r="BX138" s="22"/>
      <c r="BY138" s="22"/>
      <c r="BZ138" s="22"/>
      <c r="CA138" s="22"/>
      <c r="CB138" s="22"/>
      <c r="CC138" s="22"/>
      <c r="CD138" s="22"/>
      <c r="CE138" s="22"/>
      <c r="CF138" s="22"/>
      <c r="CG138" s="22"/>
      <c r="CH138" s="22"/>
      <c r="CI138" s="22"/>
      <c r="CJ138" s="22"/>
      <c r="CK138" s="22"/>
      <c r="CL138" s="22"/>
      <c r="CM138" s="22"/>
      <c r="CN138" s="22"/>
      <c r="CO138" s="22"/>
      <c r="CP138" s="22"/>
      <c r="CQ138" s="22"/>
      <c r="CR138" s="22"/>
      <c r="CS138" s="22"/>
      <c r="CT138" s="22"/>
      <c r="CU138" s="22"/>
      <c r="CV138" s="22"/>
      <c r="CW138" s="22"/>
      <c r="CX138" s="22"/>
      <c r="CY138" s="22"/>
      <c r="CZ138" s="22"/>
      <c r="DA138" s="22"/>
      <c r="DB138" s="22"/>
      <c r="DC138" s="22"/>
      <c r="DD138" s="22"/>
      <c r="DE138" s="22"/>
      <c r="DF138" s="22"/>
      <c r="DG138" s="22"/>
      <c r="DH138" s="22"/>
      <c r="DI138" s="22"/>
      <c r="DJ138" s="22"/>
      <c r="DK138" s="22"/>
      <c r="DL138" s="22"/>
      <c r="DM138" s="22"/>
      <c r="DN138" s="22"/>
      <c r="DO138" s="22"/>
      <c r="DP138" s="22"/>
      <c r="DQ138" s="22"/>
      <c r="DR138" s="22"/>
      <c r="DS138" s="22"/>
      <c r="DT138" s="22"/>
      <c r="DU138" s="22"/>
      <c r="DV138" s="22"/>
      <c r="DW138" s="22"/>
      <c r="DX138" s="22"/>
      <c r="DY138" s="22"/>
      <c r="DZ138" s="22"/>
      <c r="EA138" s="22"/>
      <c r="EB138" s="22"/>
      <c r="EC138" s="22"/>
      <c r="ED138" s="22"/>
      <c r="EE138" s="22"/>
      <c r="EF138" s="22"/>
      <c r="EG138" s="22"/>
      <c r="EH138" s="22"/>
      <c r="EI138" s="22"/>
      <c r="EJ138" s="22"/>
      <c r="EK138" s="22"/>
      <c r="EL138" s="22"/>
      <c r="EM138" s="22"/>
      <c r="EN138" s="22"/>
      <c r="EO138" s="22"/>
      <c r="EP138" s="22"/>
      <c r="EQ138" s="22"/>
      <c r="ER138" s="22"/>
      <c r="ES138" s="22"/>
      <c r="ET138" s="22"/>
      <c r="EU138" s="22"/>
      <c r="EV138" s="22"/>
      <c r="EW138" s="22"/>
      <c r="EX138" s="22"/>
      <c r="EY138" s="22"/>
      <c r="EZ138" s="22"/>
      <c r="FA138" s="22"/>
      <c r="FB138" s="22"/>
      <c r="FC138" s="22"/>
      <c r="FD138" s="22"/>
      <c r="FE138" s="22"/>
      <c r="FF138" s="22"/>
      <c r="FG138" s="22"/>
      <c r="FH138" s="22"/>
      <c r="FI138" s="22"/>
      <c r="FJ138" s="22"/>
      <c r="FK138" s="22"/>
      <c r="FL138" s="22"/>
      <c r="FM138" s="22"/>
      <c r="FN138" s="22"/>
      <c r="FO138" s="22"/>
      <c r="FP138" s="22"/>
      <c r="FQ138" s="22"/>
      <c r="FR138" s="22"/>
      <c r="FS138" s="22"/>
      <c r="FT138" s="22"/>
      <c r="FU138" s="22"/>
      <c r="FV138" s="22"/>
      <c r="FW138" s="22"/>
      <c r="FX138" s="22"/>
      <c r="FY138" s="22"/>
      <c r="FZ138" s="22"/>
    </row>
    <row r="139" spans="2:182" x14ac:dyDescent="0.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c r="Z139" s="22"/>
      <c r="AA139" s="22"/>
      <c r="AB139" s="22"/>
      <c r="AC139" s="22"/>
      <c r="AD139" s="22"/>
      <c r="AE139" s="22"/>
      <c r="AF139" s="22"/>
      <c r="AG139" s="22"/>
      <c r="AH139" s="22"/>
      <c r="AI139" s="22"/>
      <c r="AJ139" s="22"/>
      <c r="AK139" s="22"/>
      <c r="AL139" s="22"/>
      <c r="AM139" s="22"/>
      <c r="AN139" s="22"/>
      <c r="AO139" s="22"/>
      <c r="AP139" s="22"/>
      <c r="AQ139" s="22"/>
      <c r="AR139" s="22"/>
      <c r="AS139" s="22"/>
      <c r="AT139" s="22"/>
      <c r="AU139" s="22"/>
      <c r="AV139" s="22"/>
      <c r="AW139" s="22"/>
      <c r="AX139" s="22"/>
      <c r="AY139" s="22"/>
      <c r="AZ139" s="22"/>
      <c r="BA139" s="22"/>
      <c r="BB139" s="22"/>
      <c r="BC139" s="22"/>
      <c r="BD139" s="22"/>
      <c r="BE139" s="22"/>
      <c r="BF139" s="22"/>
      <c r="BG139" s="22"/>
      <c r="BH139" s="22"/>
      <c r="BI139" s="22"/>
      <c r="BJ139" s="22"/>
      <c r="BK139" s="22"/>
      <c r="BL139" s="22"/>
      <c r="BM139" s="22"/>
      <c r="BN139" s="22"/>
      <c r="BO139" s="22"/>
      <c r="BP139" s="22"/>
      <c r="BQ139" s="22"/>
      <c r="BR139" s="22"/>
      <c r="BS139" s="22"/>
      <c r="BT139" s="22"/>
      <c r="BU139" s="22"/>
      <c r="BV139" s="22"/>
      <c r="BW139" s="22"/>
      <c r="BX139" s="22"/>
      <c r="BY139" s="22"/>
      <c r="BZ139" s="22"/>
      <c r="CA139" s="22"/>
      <c r="CB139" s="22"/>
      <c r="CC139" s="22"/>
      <c r="CD139" s="22"/>
      <c r="CE139" s="22"/>
      <c r="CF139" s="22"/>
      <c r="CG139" s="22"/>
      <c r="CH139" s="22"/>
      <c r="CI139" s="22"/>
      <c r="CJ139" s="22"/>
      <c r="CK139" s="22"/>
      <c r="CL139" s="22"/>
      <c r="CM139" s="22"/>
      <c r="CN139" s="22"/>
      <c r="CO139" s="22"/>
      <c r="CP139" s="22"/>
      <c r="CQ139" s="22"/>
      <c r="CR139" s="22"/>
      <c r="CS139" s="22"/>
      <c r="CT139" s="22"/>
      <c r="CU139" s="22"/>
      <c r="CV139" s="22"/>
      <c r="CW139" s="22"/>
      <c r="CX139" s="22"/>
      <c r="CY139" s="22"/>
      <c r="CZ139" s="22"/>
      <c r="DA139" s="22"/>
      <c r="DB139" s="22"/>
      <c r="DC139" s="22"/>
      <c r="DD139" s="22"/>
      <c r="DE139" s="22"/>
      <c r="DF139" s="22"/>
      <c r="DG139" s="22"/>
      <c r="DH139" s="22"/>
      <c r="DI139" s="22"/>
      <c r="DJ139" s="22"/>
      <c r="DK139" s="22"/>
      <c r="DL139" s="22"/>
      <c r="DM139" s="22"/>
      <c r="DN139" s="22"/>
      <c r="DO139" s="22"/>
      <c r="DP139" s="22"/>
      <c r="DQ139" s="22"/>
      <c r="DR139" s="22"/>
      <c r="DS139" s="22"/>
      <c r="DT139" s="22"/>
      <c r="DU139" s="22"/>
      <c r="DV139" s="22"/>
      <c r="DW139" s="22"/>
      <c r="DX139" s="22"/>
      <c r="DY139" s="22"/>
      <c r="DZ139" s="22"/>
      <c r="EA139" s="22"/>
      <c r="EB139" s="22"/>
      <c r="EC139" s="22"/>
      <c r="ED139" s="22"/>
      <c r="EE139" s="22"/>
      <c r="EF139" s="22"/>
      <c r="EG139" s="22"/>
      <c r="EH139" s="22"/>
      <c r="EI139" s="22"/>
      <c r="EJ139" s="22"/>
      <c r="EK139" s="22"/>
      <c r="EL139" s="22"/>
      <c r="EM139" s="22"/>
      <c r="EN139" s="22"/>
      <c r="EO139" s="22"/>
      <c r="EP139" s="22"/>
      <c r="EQ139" s="22"/>
      <c r="ER139" s="22"/>
      <c r="ES139" s="22"/>
      <c r="ET139" s="22"/>
      <c r="EU139" s="22"/>
      <c r="EV139" s="22"/>
      <c r="EW139" s="22"/>
      <c r="EX139" s="22"/>
      <c r="EY139" s="22"/>
      <c r="EZ139" s="22"/>
      <c r="FA139" s="22"/>
      <c r="FB139" s="22"/>
      <c r="FC139" s="22"/>
      <c r="FD139" s="22"/>
      <c r="FE139" s="22"/>
      <c r="FF139" s="22"/>
      <c r="FG139" s="22"/>
      <c r="FH139" s="22"/>
      <c r="FI139" s="22"/>
      <c r="FJ139" s="22"/>
      <c r="FK139" s="22"/>
      <c r="FL139" s="22"/>
      <c r="FM139" s="22"/>
      <c r="FN139" s="22"/>
      <c r="FO139" s="22"/>
      <c r="FP139" s="22"/>
      <c r="FQ139" s="22"/>
      <c r="FR139" s="22"/>
      <c r="FS139" s="22"/>
      <c r="FT139" s="22"/>
      <c r="FU139" s="22"/>
      <c r="FV139" s="22"/>
      <c r="FW139" s="22"/>
      <c r="FX139" s="22"/>
      <c r="FY139" s="22"/>
      <c r="FZ139" s="22"/>
    </row>
    <row r="140" spans="2:182" x14ac:dyDescent="0.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c r="Z140" s="22"/>
      <c r="AA140" s="22"/>
      <c r="AB140" s="22"/>
      <c r="AC140" s="22"/>
      <c r="AD140" s="22"/>
      <c r="AE140" s="22"/>
      <c r="AF140" s="22"/>
      <c r="AG140" s="22"/>
      <c r="AH140" s="22"/>
      <c r="AI140" s="22"/>
      <c r="AJ140" s="22"/>
      <c r="AK140" s="22"/>
      <c r="AL140" s="22"/>
      <c r="AM140" s="22"/>
      <c r="AN140" s="22"/>
      <c r="AO140" s="22"/>
      <c r="AP140" s="22"/>
      <c r="AQ140" s="22"/>
      <c r="AR140" s="22"/>
      <c r="AS140" s="22"/>
      <c r="AT140" s="22"/>
      <c r="AU140" s="22"/>
      <c r="AV140" s="22"/>
      <c r="AW140" s="22"/>
      <c r="AX140" s="22"/>
      <c r="AY140" s="22"/>
      <c r="AZ140" s="22"/>
      <c r="BA140" s="22"/>
      <c r="BB140" s="22"/>
      <c r="BC140" s="22"/>
      <c r="BD140" s="22"/>
      <c r="BE140" s="22"/>
      <c r="BF140" s="22"/>
      <c r="BG140" s="22"/>
      <c r="BH140" s="22"/>
      <c r="BI140" s="22"/>
      <c r="BJ140" s="22"/>
      <c r="BK140" s="22"/>
      <c r="BL140" s="22"/>
      <c r="BM140" s="22"/>
      <c r="BN140" s="22"/>
      <c r="BO140" s="22"/>
      <c r="BP140" s="22"/>
      <c r="BQ140" s="22"/>
      <c r="BR140" s="22"/>
      <c r="BS140" s="22"/>
      <c r="BT140" s="22"/>
      <c r="BU140" s="22"/>
      <c r="BV140" s="22"/>
      <c r="BW140" s="22"/>
      <c r="BX140" s="22"/>
      <c r="BY140" s="22"/>
      <c r="BZ140" s="22"/>
      <c r="CA140" s="22"/>
      <c r="CB140" s="22"/>
      <c r="CC140" s="22"/>
      <c r="CD140" s="22"/>
      <c r="CE140" s="22"/>
      <c r="CF140" s="22"/>
      <c r="CG140" s="22"/>
      <c r="CH140" s="22"/>
      <c r="CI140" s="22"/>
      <c r="CJ140" s="22"/>
      <c r="CK140" s="22"/>
      <c r="CL140" s="22"/>
      <c r="CM140" s="22"/>
      <c r="CN140" s="22"/>
      <c r="CO140" s="22"/>
      <c r="CP140" s="22"/>
      <c r="CQ140" s="22"/>
      <c r="CR140" s="22"/>
      <c r="CS140" s="22"/>
      <c r="CT140" s="22"/>
      <c r="CU140" s="22"/>
      <c r="CV140" s="22"/>
      <c r="CW140" s="22"/>
      <c r="CX140" s="22"/>
      <c r="CY140" s="22"/>
      <c r="CZ140" s="22"/>
      <c r="DA140" s="22"/>
      <c r="DB140" s="22"/>
      <c r="DC140" s="22"/>
      <c r="DD140" s="22"/>
      <c r="DE140" s="22"/>
      <c r="DF140" s="22"/>
      <c r="DG140" s="22"/>
      <c r="DH140" s="22"/>
      <c r="DI140" s="22"/>
      <c r="DJ140" s="22"/>
      <c r="DK140" s="22"/>
      <c r="DL140" s="22"/>
      <c r="DM140" s="22"/>
      <c r="DN140" s="22"/>
      <c r="DO140" s="22"/>
      <c r="DP140" s="22"/>
      <c r="DQ140" s="22"/>
      <c r="DR140" s="22"/>
      <c r="DS140" s="22"/>
      <c r="DT140" s="22"/>
      <c r="DU140" s="22"/>
      <c r="DV140" s="22"/>
      <c r="DW140" s="22"/>
      <c r="DX140" s="22"/>
      <c r="DY140" s="22"/>
      <c r="DZ140" s="22"/>
      <c r="EA140" s="22"/>
      <c r="EB140" s="22"/>
      <c r="EC140" s="22"/>
      <c r="ED140" s="22"/>
      <c r="EE140" s="22"/>
      <c r="EF140" s="22"/>
      <c r="EG140" s="22"/>
      <c r="EH140" s="22"/>
      <c r="EI140" s="22"/>
      <c r="EJ140" s="22"/>
      <c r="EK140" s="22"/>
      <c r="EL140" s="22"/>
      <c r="EM140" s="22"/>
      <c r="EN140" s="22"/>
      <c r="EO140" s="22"/>
      <c r="EP140" s="22"/>
      <c r="EQ140" s="22"/>
      <c r="ER140" s="22"/>
      <c r="ES140" s="22"/>
      <c r="ET140" s="22"/>
      <c r="EU140" s="22"/>
      <c r="EV140" s="22"/>
      <c r="EW140" s="22"/>
      <c r="EX140" s="22"/>
      <c r="EY140" s="22"/>
      <c r="EZ140" s="22"/>
      <c r="FA140" s="22"/>
      <c r="FB140" s="22"/>
      <c r="FC140" s="22"/>
      <c r="FD140" s="22"/>
      <c r="FE140" s="22"/>
      <c r="FF140" s="22"/>
      <c r="FG140" s="22"/>
      <c r="FH140" s="22"/>
      <c r="FI140" s="22"/>
      <c r="FJ140" s="22"/>
      <c r="FK140" s="22"/>
      <c r="FL140" s="22"/>
      <c r="FM140" s="22"/>
      <c r="FN140" s="22"/>
      <c r="FO140" s="22"/>
      <c r="FP140" s="22"/>
      <c r="FQ140" s="22"/>
      <c r="FR140" s="22"/>
      <c r="FS140" s="22"/>
      <c r="FT140" s="22"/>
      <c r="FU140" s="22"/>
      <c r="FV140" s="22"/>
      <c r="FW140" s="22"/>
      <c r="FX140" s="22"/>
      <c r="FY140" s="22"/>
      <c r="FZ140" s="22"/>
    </row>
    <row r="141" spans="2:182" x14ac:dyDescent="0.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c r="Z141" s="22"/>
      <c r="AA141" s="22"/>
      <c r="AB141" s="22"/>
      <c r="AC141" s="22"/>
      <c r="AD141" s="22"/>
      <c r="AE141" s="22"/>
      <c r="AF141" s="22"/>
      <c r="AG141" s="22"/>
      <c r="AH141" s="22"/>
      <c r="AI141" s="22"/>
      <c r="AJ141" s="22"/>
      <c r="AK141" s="22"/>
      <c r="AL141" s="22"/>
      <c r="AM141" s="22"/>
      <c r="AN141" s="22"/>
      <c r="AO141" s="22"/>
      <c r="AP141" s="22"/>
      <c r="AQ141" s="22"/>
      <c r="AR141" s="22"/>
      <c r="AS141" s="22"/>
      <c r="AT141" s="22"/>
      <c r="AU141" s="22"/>
      <c r="AV141" s="22"/>
      <c r="AW141" s="22"/>
      <c r="AX141" s="22"/>
      <c r="AY141" s="22"/>
      <c r="AZ141" s="22"/>
      <c r="BA141" s="22"/>
      <c r="BB141" s="22"/>
      <c r="BC141" s="22"/>
      <c r="BD141" s="22"/>
      <c r="BE141" s="22"/>
      <c r="BF141" s="22"/>
      <c r="BG141" s="22"/>
      <c r="BH141" s="22"/>
      <c r="BI141" s="22"/>
      <c r="BJ141" s="22"/>
      <c r="BK141" s="22"/>
      <c r="BL141" s="22"/>
      <c r="BM141" s="22"/>
      <c r="BN141" s="22"/>
      <c r="BO141" s="22"/>
      <c r="BP141" s="22"/>
      <c r="BQ141" s="22"/>
      <c r="BR141" s="22"/>
      <c r="BS141" s="22"/>
      <c r="BT141" s="22"/>
      <c r="BU141" s="22"/>
      <c r="BV141" s="22"/>
      <c r="BW141" s="22"/>
      <c r="BX141" s="22"/>
      <c r="BY141" s="22"/>
      <c r="BZ141" s="22"/>
      <c r="CA141" s="22"/>
      <c r="CB141" s="22"/>
      <c r="CC141" s="22"/>
      <c r="CD141" s="22"/>
      <c r="CE141" s="22"/>
      <c r="CF141" s="22"/>
      <c r="CG141" s="22"/>
      <c r="CH141" s="22"/>
      <c r="CI141" s="22"/>
      <c r="CJ141" s="22"/>
      <c r="CK141" s="22"/>
      <c r="CL141" s="22"/>
      <c r="CM141" s="22"/>
      <c r="CN141" s="22"/>
      <c r="CO141" s="22"/>
      <c r="CP141" s="22"/>
      <c r="CQ141" s="22"/>
      <c r="CR141" s="22"/>
      <c r="CS141" s="22"/>
      <c r="CT141" s="22"/>
      <c r="CU141" s="22"/>
      <c r="CV141" s="22"/>
      <c r="CW141" s="22"/>
      <c r="CX141" s="22"/>
      <c r="CY141" s="22"/>
      <c r="CZ141" s="22"/>
      <c r="DA141" s="22"/>
      <c r="DB141" s="22"/>
      <c r="DC141" s="22"/>
      <c r="DD141" s="22"/>
      <c r="DE141" s="22"/>
      <c r="DF141" s="22"/>
      <c r="DG141" s="22"/>
      <c r="DH141" s="22"/>
      <c r="DI141" s="22"/>
      <c r="DJ141" s="22"/>
      <c r="DK141" s="22"/>
      <c r="DL141" s="22"/>
      <c r="DM141" s="22"/>
      <c r="DN141" s="22"/>
      <c r="DO141" s="22"/>
      <c r="DP141" s="22"/>
      <c r="DQ141" s="22"/>
      <c r="DR141" s="22"/>
      <c r="DS141" s="22"/>
      <c r="DT141" s="22"/>
      <c r="DU141" s="22"/>
      <c r="DV141" s="22"/>
      <c r="DW141" s="22"/>
      <c r="DX141" s="22"/>
      <c r="DY141" s="22"/>
      <c r="DZ141" s="22"/>
      <c r="EA141" s="22"/>
      <c r="EB141" s="22"/>
      <c r="EC141" s="22"/>
      <c r="ED141" s="22"/>
      <c r="EE141" s="22"/>
      <c r="EF141" s="22"/>
      <c r="EG141" s="22"/>
      <c r="EH141" s="22"/>
      <c r="EI141" s="22"/>
      <c r="EJ141" s="22"/>
      <c r="EK141" s="22"/>
      <c r="EL141" s="22"/>
      <c r="EM141" s="22"/>
      <c r="EN141" s="22"/>
      <c r="EO141" s="22"/>
      <c r="EP141" s="22"/>
      <c r="EQ141" s="22"/>
      <c r="ER141" s="22"/>
      <c r="ES141" s="22"/>
      <c r="ET141" s="22"/>
      <c r="EU141" s="22"/>
      <c r="EV141" s="22"/>
      <c r="EW141" s="22"/>
      <c r="EX141" s="22"/>
      <c r="EY141" s="22"/>
      <c r="EZ141" s="22"/>
      <c r="FA141" s="22"/>
      <c r="FB141" s="22"/>
      <c r="FC141" s="22"/>
      <c r="FD141" s="22"/>
      <c r="FE141" s="22"/>
      <c r="FF141" s="22"/>
      <c r="FG141" s="22"/>
      <c r="FH141" s="22"/>
      <c r="FI141" s="22"/>
      <c r="FJ141" s="22"/>
      <c r="FK141" s="22"/>
      <c r="FL141" s="22"/>
      <c r="FM141" s="22"/>
      <c r="FN141" s="22"/>
      <c r="FO141" s="22"/>
      <c r="FP141" s="22"/>
      <c r="FQ141" s="22"/>
      <c r="FR141" s="22"/>
      <c r="FS141" s="22"/>
      <c r="FT141" s="22"/>
      <c r="FU141" s="22"/>
      <c r="FV141" s="22"/>
      <c r="FW141" s="22"/>
      <c r="FX141" s="22"/>
      <c r="FY141" s="22"/>
      <c r="FZ141" s="22"/>
    </row>
    <row r="142" spans="2:182" x14ac:dyDescent="0.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c r="Z142" s="22"/>
      <c r="AA142" s="22"/>
      <c r="AB142" s="22"/>
      <c r="AC142" s="22"/>
      <c r="AD142" s="22"/>
      <c r="AE142" s="22"/>
      <c r="AF142" s="22"/>
      <c r="AG142" s="22"/>
      <c r="AH142" s="22"/>
      <c r="AI142" s="22"/>
      <c r="AJ142" s="22"/>
      <c r="AK142" s="22"/>
      <c r="AL142" s="22"/>
      <c r="AM142" s="22"/>
      <c r="AN142" s="22"/>
      <c r="AO142" s="22"/>
      <c r="AP142" s="22"/>
      <c r="AQ142" s="22"/>
      <c r="AR142" s="22"/>
      <c r="AS142" s="22"/>
      <c r="AT142" s="22"/>
      <c r="AU142" s="22"/>
      <c r="AV142" s="22"/>
      <c r="AW142" s="22"/>
      <c r="AX142" s="22"/>
      <c r="AY142" s="22"/>
      <c r="AZ142" s="22"/>
      <c r="BA142" s="22"/>
      <c r="BB142" s="22"/>
      <c r="BC142" s="22"/>
      <c r="BD142" s="22"/>
      <c r="BE142" s="22"/>
      <c r="BF142" s="22"/>
      <c r="BG142" s="22"/>
      <c r="BH142" s="22"/>
      <c r="BI142" s="22"/>
      <c r="BJ142" s="22"/>
      <c r="BK142" s="22"/>
      <c r="BL142" s="22"/>
      <c r="BM142" s="22"/>
      <c r="BN142" s="22"/>
      <c r="BO142" s="22"/>
      <c r="BP142" s="22"/>
      <c r="BQ142" s="22"/>
      <c r="BR142" s="22"/>
      <c r="BS142" s="22"/>
      <c r="BT142" s="22"/>
      <c r="BU142" s="22"/>
      <c r="BV142" s="22"/>
      <c r="BW142" s="22"/>
      <c r="BX142" s="22"/>
      <c r="BY142" s="22"/>
      <c r="BZ142" s="22"/>
      <c r="CA142" s="22"/>
      <c r="CB142" s="22"/>
      <c r="CC142" s="22"/>
      <c r="CD142" s="22"/>
      <c r="CE142" s="22"/>
      <c r="CF142" s="22"/>
      <c r="CG142" s="22"/>
      <c r="CH142" s="22"/>
      <c r="CI142" s="22"/>
      <c r="CJ142" s="22"/>
      <c r="CK142" s="22"/>
      <c r="CL142" s="22"/>
      <c r="CM142" s="22"/>
      <c r="CN142" s="22"/>
      <c r="CO142" s="22"/>
      <c r="CP142" s="22"/>
      <c r="CQ142" s="22"/>
      <c r="CR142" s="22"/>
      <c r="CS142" s="22"/>
      <c r="CT142" s="22"/>
      <c r="CU142" s="22"/>
      <c r="CV142" s="22"/>
      <c r="CW142" s="22"/>
      <c r="CX142" s="22"/>
      <c r="CY142" s="22"/>
      <c r="CZ142" s="22"/>
      <c r="DA142" s="22"/>
      <c r="DB142" s="22"/>
      <c r="DC142" s="22"/>
      <c r="DD142" s="22"/>
      <c r="DE142" s="22"/>
      <c r="DF142" s="22"/>
      <c r="DG142" s="22"/>
      <c r="DH142" s="22"/>
      <c r="DI142" s="22"/>
      <c r="DJ142" s="22"/>
      <c r="DK142" s="22"/>
      <c r="DL142" s="22"/>
      <c r="DM142" s="22"/>
      <c r="DN142" s="22"/>
      <c r="DO142" s="22"/>
      <c r="DP142" s="22"/>
      <c r="DQ142" s="22"/>
      <c r="DR142" s="22"/>
      <c r="DS142" s="22"/>
      <c r="DT142" s="22"/>
      <c r="DU142" s="22"/>
      <c r="DV142" s="22"/>
      <c r="DW142" s="22"/>
      <c r="DX142" s="22"/>
      <c r="DY142" s="22"/>
      <c r="DZ142" s="22"/>
      <c r="EA142" s="22"/>
      <c r="EB142" s="22"/>
      <c r="EC142" s="22"/>
      <c r="ED142" s="22"/>
      <c r="EE142" s="22"/>
      <c r="EF142" s="22"/>
      <c r="EG142" s="22"/>
      <c r="EH142" s="22"/>
      <c r="EI142" s="22"/>
      <c r="EJ142" s="22"/>
      <c r="EK142" s="22"/>
      <c r="EL142" s="22"/>
      <c r="EM142" s="22"/>
      <c r="EN142" s="22"/>
      <c r="EO142" s="22"/>
      <c r="EP142" s="22"/>
      <c r="EQ142" s="22"/>
      <c r="ER142" s="22"/>
      <c r="ES142" s="22"/>
      <c r="ET142" s="22"/>
      <c r="EU142" s="22"/>
      <c r="EV142" s="22"/>
      <c r="EW142" s="22"/>
      <c r="EX142" s="22"/>
      <c r="EY142" s="22"/>
      <c r="EZ142" s="22"/>
      <c r="FA142" s="22"/>
      <c r="FB142" s="22"/>
      <c r="FC142" s="22"/>
      <c r="FD142" s="22"/>
      <c r="FE142" s="22"/>
      <c r="FF142" s="22"/>
      <c r="FG142" s="22"/>
      <c r="FH142" s="22"/>
      <c r="FI142" s="22"/>
      <c r="FJ142" s="22"/>
      <c r="FK142" s="22"/>
      <c r="FL142" s="22"/>
      <c r="FM142" s="22"/>
      <c r="FN142" s="22"/>
      <c r="FO142" s="22"/>
      <c r="FP142" s="22"/>
      <c r="FQ142" s="22"/>
      <c r="FR142" s="22"/>
      <c r="FS142" s="22"/>
      <c r="FT142" s="22"/>
      <c r="FU142" s="22"/>
      <c r="FV142" s="22"/>
      <c r="FW142" s="22"/>
      <c r="FX142" s="22"/>
      <c r="FY142" s="22"/>
      <c r="FZ142" s="22"/>
    </row>
    <row r="143" spans="2:182" x14ac:dyDescent="0.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c r="Z143" s="22"/>
      <c r="AA143" s="22"/>
      <c r="AB143" s="22"/>
      <c r="AC143" s="22"/>
      <c r="AD143" s="22"/>
      <c r="AE143" s="22"/>
      <c r="AF143" s="22"/>
      <c r="AG143" s="22"/>
      <c r="AH143" s="22"/>
      <c r="AI143" s="22"/>
      <c r="AJ143" s="22"/>
      <c r="AK143" s="22"/>
      <c r="AL143" s="22"/>
      <c r="AM143" s="22"/>
      <c r="AN143" s="22"/>
      <c r="AO143" s="22"/>
      <c r="AP143" s="22"/>
      <c r="AQ143" s="22"/>
      <c r="AR143" s="22"/>
      <c r="AS143" s="22"/>
      <c r="AT143" s="22"/>
      <c r="AU143" s="22"/>
      <c r="AV143" s="22"/>
      <c r="AW143" s="22"/>
      <c r="AX143" s="22"/>
      <c r="AY143" s="22"/>
      <c r="AZ143" s="22"/>
      <c r="BA143" s="22"/>
      <c r="BB143" s="22"/>
      <c r="BC143" s="22"/>
      <c r="BD143" s="22"/>
      <c r="BE143" s="22"/>
      <c r="BF143" s="22"/>
      <c r="BG143" s="22"/>
      <c r="BH143" s="22"/>
      <c r="BI143" s="22"/>
      <c r="BJ143" s="22"/>
      <c r="BK143" s="22"/>
      <c r="BL143" s="22"/>
      <c r="BM143" s="22"/>
      <c r="BN143" s="22"/>
      <c r="BO143" s="22"/>
      <c r="BP143" s="22"/>
      <c r="BQ143" s="22"/>
      <c r="BR143" s="22"/>
      <c r="BS143" s="22"/>
      <c r="BT143" s="22"/>
      <c r="BU143" s="22"/>
      <c r="BV143" s="22"/>
      <c r="BW143" s="22"/>
      <c r="BX143" s="22"/>
      <c r="BY143" s="22"/>
      <c r="BZ143" s="22"/>
      <c r="CA143" s="22"/>
      <c r="CB143" s="22"/>
      <c r="CC143" s="22"/>
      <c r="CD143" s="22"/>
      <c r="CE143" s="22"/>
      <c r="CF143" s="22"/>
      <c r="CG143" s="22"/>
      <c r="CH143" s="22"/>
      <c r="CI143" s="22"/>
      <c r="CJ143" s="22"/>
      <c r="CK143" s="22"/>
      <c r="CL143" s="22"/>
      <c r="CM143" s="22"/>
      <c r="CN143" s="22"/>
      <c r="CO143" s="22"/>
      <c r="CP143" s="22"/>
      <c r="CQ143" s="22"/>
      <c r="CR143" s="22"/>
      <c r="CS143" s="22"/>
      <c r="CT143" s="22"/>
      <c r="CU143" s="22"/>
      <c r="CV143" s="22"/>
      <c r="CW143" s="22"/>
      <c r="CX143" s="22"/>
      <c r="CY143" s="22"/>
      <c r="CZ143" s="22"/>
      <c r="DA143" s="22"/>
      <c r="DB143" s="22"/>
      <c r="DC143" s="22"/>
      <c r="DD143" s="22"/>
      <c r="DE143" s="22"/>
      <c r="DF143" s="22"/>
      <c r="DG143" s="22"/>
      <c r="DH143" s="22"/>
      <c r="DI143" s="22"/>
      <c r="DJ143" s="22"/>
      <c r="DK143" s="22"/>
      <c r="DL143" s="22"/>
      <c r="DM143" s="22"/>
      <c r="DN143" s="22"/>
      <c r="DO143" s="22"/>
      <c r="DP143" s="22"/>
      <c r="DQ143" s="22"/>
      <c r="DR143" s="22"/>
      <c r="DS143" s="22"/>
      <c r="DT143" s="22"/>
      <c r="DU143" s="22"/>
      <c r="DV143" s="22"/>
      <c r="DW143" s="22"/>
      <c r="DX143" s="22"/>
      <c r="DY143" s="22"/>
      <c r="DZ143" s="22"/>
      <c r="EA143" s="22"/>
      <c r="EB143" s="22"/>
      <c r="EC143" s="22"/>
      <c r="ED143" s="22"/>
      <c r="EE143" s="22"/>
      <c r="EF143" s="22"/>
      <c r="EG143" s="22"/>
      <c r="EH143" s="22"/>
      <c r="EI143" s="22"/>
      <c r="EJ143" s="22"/>
      <c r="EK143" s="22"/>
      <c r="EL143" s="22"/>
      <c r="EM143" s="22"/>
      <c r="EN143" s="22"/>
      <c r="EO143" s="22"/>
      <c r="EP143" s="22"/>
      <c r="EQ143" s="22"/>
      <c r="ER143" s="22"/>
      <c r="ES143" s="22"/>
      <c r="ET143" s="22"/>
      <c r="EU143" s="22"/>
      <c r="EV143" s="22"/>
      <c r="EW143" s="22"/>
      <c r="EX143" s="22"/>
      <c r="EY143" s="22"/>
      <c r="EZ143" s="22"/>
      <c r="FA143" s="22"/>
      <c r="FB143" s="22"/>
      <c r="FC143" s="22"/>
      <c r="FD143" s="22"/>
      <c r="FE143" s="22"/>
      <c r="FF143" s="22"/>
      <c r="FG143" s="22"/>
      <c r="FH143" s="22"/>
      <c r="FI143" s="22"/>
      <c r="FJ143" s="22"/>
      <c r="FK143" s="22"/>
      <c r="FL143" s="22"/>
      <c r="FM143" s="22"/>
      <c r="FN143" s="22"/>
      <c r="FO143" s="22"/>
      <c r="FP143" s="22"/>
      <c r="FQ143" s="22"/>
      <c r="FR143" s="22"/>
      <c r="FS143" s="22"/>
      <c r="FT143" s="22"/>
      <c r="FU143" s="22"/>
      <c r="FV143" s="22"/>
      <c r="FW143" s="22"/>
      <c r="FX143" s="22"/>
      <c r="FY143" s="22"/>
      <c r="FZ143" s="22"/>
    </row>
    <row r="144" spans="2:182" x14ac:dyDescent="0.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c r="Z144" s="22"/>
      <c r="AA144" s="22"/>
      <c r="AB144" s="22"/>
      <c r="AC144" s="22"/>
      <c r="AD144" s="22"/>
      <c r="AE144" s="22"/>
      <c r="AF144" s="22"/>
      <c r="AG144" s="22"/>
      <c r="AH144" s="22"/>
      <c r="AI144" s="22"/>
      <c r="AJ144" s="22"/>
      <c r="AK144" s="22"/>
      <c r="AL144" s="22"/>
      <c r="AM144" s="22"/>
      <c r="AN144" s="22"/>
      <c r="AO144" s="22"/>
      <c r="AP144" s="22"/>
      <c r="AQ144" s="22"/>
      <c r="AR144" s="22"/>
      <c r="AS144" s="22"/>
      <c r="AT144" s="22"/>
      <c r="AU144" s="22"/>
      <c r="AV144" s="22"/>
      <c r="AW144" s="22"/>
      <c r="AX144" s="22"/>
      <c r="AY144" s="22"/>
      <c r="AZ144" s="22"/>
      <c r="BA144" s="22"/>
      <c r="BB144" s="22"/>
      <c r="BC144" s="22"/>
      <c r="BD144" s="22"/>
      <c r="BE144" s="22"/>
      <c r="BF144" s="22"/>
      <c r="BG144" s="22"/>
      <c r="BH144" s="22"/>
      <c r="BI144" s="22"/>
      <c r="BJ144" s="22"/>
      <c r="BK144" s="22"/>
      <c r="BL144" s="22"/>
      <c r="BM144" s="22"/>
      <c r="BN144" s="22"/>
      <c r="BO144" s="22"/>
      <c r="BP144" s="22"/>
      <c r="BQ144" s="22"/>
      <c r="BR144" s="22"/>
      <c r="BS144" s="22"/>
      <c r="BT144" s="22"/>
      <c r="BU144" s="22"/>
      <c r="BV144" s="22"/>
      <c r="BW144" s="22"/>
      <c r="BX144" s="22"/>
      <c r="BY144" s="22"/>
      <c r="BZ144" s="22"/>
      <c r="CA144" s="22"/>
      <c r="CB144" s="22"/>
      <c r="CC144" s="22"/>
      <c r="CD144" s="22"/>
      <c r="CE144" s="22"/>
      <c r="CF144" s="22"/>
      <c r="CG144" s="22"/>
      <c r="CH144" s="22"/>
      <c r="CI144" s="22"/>
      <c r="CJ144" s="22"/>
      <c r="CK144" s="22"/>
      <c r="CL144" s="22"/>
      <c r="CM144" s="22"/>
      <c r="CN144" s="22"/>
      <c r="CO144" s="22"/>
      <c r="CP144" s="22"/>
      <c r="CQ144" s="22"/>
      <c r="CR144" s="22"/>
      <c r="CS144" s="22"/>
      <c r="CT144" s="22"/>
      <c r="CU144" s="22"/>
      <c r="CV144" s="22"/>
      <c r="CW144" s="22"/>
      <c r="CX144" s="22"/>
      <c r="CY144" s="22"/>
      <c r="CZ144" s="22"/>
      <c r="DA144" s="22"/>
      <c r="DB144" s="22"/>
      <c r="DC144" s="22"/>
      <c r="DD144" s="22"/>
      <c r="DE144" s="22"/>
      <c r="DF144" s="22"/>
      <c r="DG144" s="22"/>
      <c r="DH144" s="22"/>
      <c r="DI144" s="22"/>
      <c r="DJ144" s="22"/>
      <c r="DK144" s="22"/>
      <c r="DL144" s="22"/>
      <c r="DM144" s="22"/>
      <c r="DN144" s="22"/>
      <c r="DO144" s="22"/>
      <c r="DP144" s="22"/>
      <c r="DQ144" s="22"/>
      <c r="DR144" s="22"/>
      <c r="DS144" s="22"/>
      <c r="DT144" s="22"/>
      <c r="DU144" s="22"/>
      <c r="DV144" s="22"/>
      <c r="DW144" s="22"/>
      <c r="DX144" s="22"/>
      <c r="DY144" s="22"/>
      <c r="DZ144" s="22"/>
      <c r="EA144" s="22"/>
      <c r="EB144" s="22"/>
      <c r="EC144" s="22"/>
      <c r="ED144" s="22"/>
      <c r="EE144" s="22"/>
      <c r="EF144" s="22"/>
      <c r="EG144" s="22"/>
      <c r="EH144" s="22"/>
      <c r="EI144" s="22"/>
      <c r="EJ144" s="22"/>
      <c r="EK144" s="22"/>
      <c r="EL144" s="22"/>
      <c r="EM144" s="22"/>
      <c r="EN144" s="22"/>
      <c r="EO144" s="22"/>
      <c r="EP144" s="22"/>
      <c r="EQ144" s="22"/>
      <c r="ER144" s="22"/>
      <c r="ES144" s="22"/>
      <c r="ET144" s="22"/>
      <c r="EU144" s="22"/>
      <c r="EV144" s="22"/>
      <c r="EW144" s="22"/>
      <c r="EX144" s="22"/>
      <c r="EY144" s="22"/>
      <c r="EZ144" s="22"/>
      <c r="FA144" s="22"/>
      <c r="FB144" s="22"/>
      <c r="FC144" s="22"/>
      <c r="FD144" s="22"/>
      <c r="FE144" s="22"/>
      <c r="FF144" s="22"/>
      <c r="FG144" s="22"/>
      <c r="FH144" s="22"/>
      <c r="FI144" s="22"/>
      <c r="FJ144" s="22"/>
      <c r="FK144" s="22"/>
      <c r="FL144" s="22"/>
      <c r="FM144" s="22"/>
      <c r="FN144" s="22"/>
      <c r="FO144" s="22"/>
      <c r="FP144" s="22"/>
      <c r="FQ144" s="22"/>
      <c r="FR144" s="22"/>
      <c r="FS144" s="22"/>
      <c r="FT144" s="22"/>
      <c r="FU144" s="22"/>
      <c r="FV144" s="22"/>
      <c r="FW144" s="22"/>
      <c r="FX144" s="22"/>
      <c r="FY144" s="22"/>
      <c r="FZ144" s="22"/>
    </row>
    <row r="145" spans="2:182" x14ac:dyDescent="0.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c r="Z145" s="22"/>
      <c r="AA145" s="22"/>
      <c r="AB145" s="22"/>
      <c r="AC145" s="22"/>
      <c r="AD145" s="22"/>
      <c r="AE145" s="22"/>
      <c r="AF145" s="22"/>
      <c r="AG145" s="22"/>
      <c r="AH145" s="22"/>
      <c r="AI145" s="22"/>
      <c r="AJ145" s="22"/>
      <c r="AK145" s="22"/>
      <c r="AL145" s="22"/>
      <c r="AM145" s="22"/>
      <c r="AN145" s="22"/>
      <c r="AO145" s="22"/>
      <c r="AP145" s="22"/>
      <c r="AQ145" s="22"/>
      <c r="AR145" s="22"/>
      <c r="AS145" s="22"/>
      <c r="AT145" s="22"/>
      <c r="AU145" s="22"/>
      <c r="AV145" s="22"/>
      <c r="AW145" s="22"/>
      <c r="AX145" s="22"/>
      <c r="AY145" s="22"/>
      <c r="AZ145" s="22"/>
      <c r="BA145" s="22"/>
      <c r="BB145" s="22"/>
      <c r="BC145" s="22"/>
      <c r="BD145" s="22"/>
      <c r="BE145" s="22"/>
      <c r="BF145" s="22"/>
      <c r="BG145" s="22"/>
      <c r="BH145" s="22"/>
      <c r="BI145" s="22"/>
      <c r="BJ145" s="22"/>
      <c r="BK145" s="22"/>
      <c r="BL145" s="22"/>
      <c r="BM145" s="22"/>
      <c r="BN145" s="22"/>
      <c r="BO145" s="22"/>
      <c r="BP145" s="22"/>
      <c r="BQ145" s="22"/>
      <c r="BR145" s="22"/>
      <c r="BS145" s="22"/>
      <c r="BT145" s="22"/>
      <c r="BU145" s="22"/>
      <c r="BV145" s="22"/>
      <c r="BW145" s="22"/>
      <c r="BX145" s="22"/>
      <c r="BY145" s="22"/>
      <c r="BZ145" s="22"/>
      <c r="CA145" s="22"/>
      <c r="CB145" s="22"/>
      <c r="CC145" s="22"/>
      <c r="CD145" s="22"/>
      <c r="CE145" s="22"/>
      <c r="CF145" s="22"/>
      <c r="CG145" s="22"/>
      <c r="CH145" s="22"/>
      <c r="CI145" s="22"/>
      <c r="CJ145" s="22"/>
      <c r="CK145" s="22"/>
      <c r="CL145" s="22"/>
      <c r="CM145" s="22"/>
      <c r="CN145" s="22"/>
      <c r="CO145" s="22"/>
      <c r="CP145" s="22"/>
      <c r="CQ145" s="22"/>
      <c r="CR145" s="22"/>
      <c r="CS145" s="22"/>
      <c r="CT145" s="22"/>
      <c r="CU145" s="22"/>
      <c r="CV145" s="22"/>
      <c r="CW145" s="22"/>
      <c r="CX145" s="22"/>
      <c r="CY145" s="22"/>
      <c r="CZ145" s="22"/>
      <c r="DA145" s="22"/>
      <c r="DB145" s="22"/>
      <c r="DC145" s="22"/>
      <c r="DD145" s="22"/>
      <c r="DE145" s="22"/>
      <c r="DF145" s="22"/>
      <c r="DG145" s="22"/>
      <c r="DH145" s="22"/>
      <c r="DI145" s="22"/>
      <c r="DJ145" s="22"/>
      <c r="DK145" s="22"/>
      <c r="DL145" s="22"/>
      <c r="DM145" s="22"/>
      <c r="DN145" s="22"/>
      <c r="DO145" s="22"/>
      <c r="DP145" s="22"/>
      <c r="DQ145" s="22"/>
      <c r="DR145" s="22"/>
      <c r="DS145" s="22"/>
      <c r="DT145" s="22"/>
      <c r="DU145" s="22"/>
      <c r="DV145" s="22"/>
      <c r="DW145" s="22"/>
      <c r="DX145" s="22"/>
      <c r="DY145" s="22"/>
      <c r="DZ145" s="22"/>
      <c r="EA145" s="22"/>
      <c r="EB145" s="22"/>
      <c r="EC145" s="22"/>
      <c r="ED145" s="22"/>
      <c r="EE145" s="22"/>
      <c r="EF145" s="22"/>
      <c r="EG145" s="22"/>
      <c r="EH145" s="22"/>
      <c r="EI145" s="22"/>
      <c r="EJ145" s="22"/>
      <c r="EK145" s="22"/>
      <c r="EL145" s="22"/>
      <c r="EM145" s="22"/>
      <c r="EN145" s="22"/>
      <c r="EO145" s="22"/>
      <c r="EP145" s="22"/>
      <c r="EQ145" s="22"/>
      <c r="ER145" s="22"/>
      <c r="ES145" s="22"/>
      <c r="ET145" s="22"/>
      <c r="EU145" s="22"/>
      <c r="EV145" s="22"/>
      <c r="EW145" s="22"/>
      <c r="EX145" s="22"/>
      <c r="EY145" s="22"/>
      <c r="EZ145" s="22"/>
      <c r="FA145" s="22"/>
      <c r="FB145" s="22"/>
      <c r="FC145" s="22"/>
      <c r="FD145" s="22"/>
      <c r="FE145" s="22"/>
      <c r="FF145" s="22"/>
      <c r="FG145" s="22"/>
      <c r="FH145" s="22"/>
      <c r="FI145" s="22"/>
      <c r="FJ145" s="22"/>
      <c r="FK145" s="22"/>
      <c r="FL145" s="22"/>
      <c r="FM145" s="22"/>
      <c r="FN145" s="22"/>
      <c r="FO145" s="22"/>
      <c r="FP145" s="22"/>
      <c r="FQ145" s="22"/>
      <c r="FR145" s="22"/>
      <c r="FS145" s="22"/>
      <c r="FT145" s="22"/>
      <c r="FU145" s="22"/>
      <c r="FV145" s="22"/>
      <c r="FW145" s="22"/>
      <c r="FX145" s="22"/>
      <c r="FY145" s="22"/>
      <c r="FZ145" s="22"/>
    </row>
    <row r="146" spans="2:182" x14ac:dyDescent="0.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c r="Z146" s="22"/>
      <c r="AA146" s="22"/>
      <c r="AB146" s="22"/>
      <c r="AC146" s="22"/>
      <c r="AD146" s="22"/>
      <c r="AE146" s="22"/>
      <c r="AF146" s="22"/>
      <c r="AG146" s="22"/>
      <c r="AH146" s="22"/>
      <c r="AI146" s="22"/>
      <c r="AJ146" s="22"/>
      <c r="AK146" s="22"/>
      <c r="AL146" s="22"/>
      <c r="AM146" s="22"/>
      <c r="AN146" s="22"/>
      <c r="AO146" s="22"/>
      <c r="AP146" s="22"/>
      <c r="AQ146" s="22"/>
      <c r="AR146" s="22"/>
      <c r="AS146" s="22"/>
      <c r="AT146" s="22"/>
      <c r="AU146" s="22"/>
      <c r="AV146" s="22"/>
      <c r="AW146" s="22"/>
      <c r="AX146" s="22"/>
      <c r="AY146" s="22"/>
      <c r="AZ146" s="22"/>
      <c r="BA146" s="22"/>
      <c r="BB146" s="22"/>
      <c r="BC146" s="22"/>
      <c r="BD146" s="22"/>
      <c r="BE146" s="22"/>
      <c r="BF146" s="22"/>
      <c r="BG146" s="22"/>
      <c r="BH146" s="22"/>
      <c r="BI146" s="22"/>
      <c r="BJ146" s="22"/>
      <c r="BK146" s="22"/>
      <c r="BL146" s="22"/>
      <c r="BM146" s="22"/>
      <c r="BN146" s="22"/>
      <c r="BO146" s="22"/>
      <c r="BP146" s="22"/>
      <c r="BQ146" s="22"/>
      <c r="BR146" s="22"/>
      <c r="BS146" s="22"/>
      <c r="BT146" s="22"/>
      <c r="BU146" s="22"/>
      <c r="BV146" s="22"/>
      <c r="BW146" s="22"/>
      <c r="BX146" s="22"/>
      <c r="BY146" s="22"/>
      <c r="BZ146" s="22"/>
      <c r="CA146" s="22"/>
      <c r="CB146" s="22"/>
      <c r="CC146" s="22"/>
      <c r="CD146" s="22"/>
      <c r="CE146" s="22"/>
      <c r="CF146" s="22"/>
      <c r="CG146" s="22"/>
      <c r="CH146" s="22"/>
      <c r="CI146" s="22"/>
      <c r="CJ146" s="22"/>
      <c r="CK146" s="22"/>
      <c r="CL146" s="22"/>
      <c r="CM146" s="22"/>
      <c r="CN146" s="22"/>
      <c r="CO146" s="22"/>
      <c r="CP146" s="22"/>
      <c r="CQ146" s="22"/>
      <c r="CR146" s="22"/>
      <c r="CS146" s="22"/>
      <c r="CT146" s="22"/>
      <c r="CU146" s="22"/>
      <c r="CV146" s="22"/>
      <c r="CW146" s="22"/>
      <c r="CX146" s="22"/>
      <c r="CY146" s="22"/>
      <c r="CZ146" s="22"/>
      <c r="DA146" s="22"/>
      <c r="DB146" s="22"/>
      <c r="DC146" s="22"/>
      <c r="DD146" s="22"/>
      <c r="DE146" s="22"/>
      <c r="DF146" s="22"/>
      <c r="DG146" s="22"/>
      <c r="DH146" s="22"/>
      <c r="DI146" s="22"/>
      <c r="DJ146" s="22"/>
      <c r="DK146" s="22"/>
      <c r="DL146" s="22"/>
      <c r="DM146" s="22"/>
      <c r="DN146" s="22"/>
      <c r="DO146" s="22"/>
      <c r="DP146" s="22"/>
      <c r="DQ146" s="22"/>
      <c r="DR146" s="22"/>
      <c r="DS146" s="22"/>
      <c r="DT146" s="22"/>
      <c r="DU146" s="22"/>
      <c r="DV146" s="22"/>
      <c r="DW146" s="22"/>
      <c r="DX146" s="22"/>
      <c r="DY146" s="22"/>
      <c r="DZ146" s="22"/>
      <c r="EA146" s="22"/>
      <c r="EB146" s="22"/>
      <c r="EC146" s="22"/>
      <c r="ED146" s="22"/>
      <c r="EE146" s="22"/>
      <c r="EF146" s="22"/>
      <c r="EG146" s="22"/>
      <c r="EH146" s="22"/>
      <c r="EI146" s="22"/>
      <c r="EJ146" s="22"/>
      <c r="EK146" s="22"/>
      <c r="EL146" s="22"/>
      <c r="EM146" s="22"/>
      <c r="EN146" s="22"/>
      <c r="EO146" s="22"/>
      <c r="EP146" s="22"/>
      <c r="EQ146" s="22"/>
      <c r="ER146" s="22"/>
      <c r="ES146" s="22"/>
      <c r="ET146" s="22"/>
      <c r="EU146" s="22"/>
      <c r="EV146" s="22"/>
      <c r="EW146" s="22"/>
      <c r="EX146" s="22"/>
      <c r="EY146" s="22"/>
      <c r="EZ146" s="22"/>
      <c r="FA146" s="22"/>
      <c r="FB146" s="22"/>
      <c r="FC146" s="22"/>
      <c r="FD146" s="22"/>
      <c r="FE146" s="22"/>
      <c r="FF146" s="22"/>
      <c r="FG146" s="22"/>
      <c r="FH146" s="22"/>
      <c r="FI146" s="22"/>
      <c r="FJ146" s="22"/>
      <c r="FK146" s="22"/>
      <c r="FL146" s="22"/>
      <c r="FM146" s="22"/>
      <c r="FN146" s="22"/>
      <c r="FO146" s="22"/>
      <c r="FP146" s="22"/>
      <c r="FQ146" s="22"/>
      <c r="FR146" s="22"/>
      <c r="FS146" s="22"/>
      <c r="FT146" s="22"/>
      <c r="FU146" s="22"/>
      <c r="FV146" s="22"/>
      <c r="FW146" s="22"/>
      <c r="FX146" s="22"/>
      <c r="FY146" s="22"/>
      <c r="FZ146" s="22"/>
    </row>
    <row r="147" spans="2:182" x14ac:dyDescent="0.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c r="Z147" s="22"/>
      <c r="AA147" s="22"/>
      <c r="AB147" s="22"/>
      <c r="AC147" s="22"/>
      <c r="AD147" s="22"/>
      <c r="AE147" s="22"/>
      <c r="AF147" s="22"/>
      <c r="AG147" s="22"/>
      <c r="AH147" s="22"/>
      <c r="AI147" s="22"/>
      <c r="AJ147" s="22"/>
      <c r="AK147" s="22"/>
      <c r="AL147" s="22"/>
      <c r="AM147" s="22"/>
      <c r="AN147" s="22"/>
      <c r="AO147" s="22"/>
      <c r="AP147" s="22"/>
      <c r="AQ147" s="22"/>
      <c r="AR147" s="22"/>
      <c r="AS147" s="22"/>
      <c r="AT147" s="22"/>
      <c r="AU147" s="22"/>
      <c r="AV147" s="22"/>
      <c r="AW147" s="22"/>
      <c r="AX147" s="22"/>
      <c r="AY147" s="22"/>
      <c r="AZ147" s="22"/>
      <c r="BA147" s="22"/>
      <c r="BB147" s="22"/>
      <c r="BC147" s="22"/>
      <c r="BD147" s="22"/>
      <c r="BE147" s="22"/>
      <c r="BF147" s="22"/>
      <c r="BG147" s="22"/>
      <c r="BH147" s="22"/>
      <c r="BI147" s="22"/>
      <c r="BJ147" s="22"/>
      <c r="BK147" s="22"/>
      <c r="BL147" s="22"/>
      <c r="BM147" s="22"/>
      <c r="BN147" s="22"/>
      <c r="BO147" s="22"/>
      <c r="BP147" s="22"/>
      <c r="BQ147" s="22"/>
      <c r="BR147" s="22"/>
      <c r="BS147" s="22"/>
      <c r="BT147" s="22"/>
      <c r="BU147" s="22"/>
      <c r="BV147" s="22"/>
      <c r="BW147" s="22"/>
      <c r="BX147" s="22"/>
      <c r="BY147" s="22"/>
      <c r="BZ147" s="22"/>
      <c r="CA147" s="22"/>
      <c r="CB147" s="22"/>
      <c r="CC147" s="22"/>
      <c r="CD147" s="22"/>
      <c r="CE147" s="22"/>
      <c r="CF147" s="22"/>
      <c r="CG147" s="22"/>
      <c r="CH147" s="22"/>
      <c r="CI147" s="22"/>
      <c r="CJ147" s="22"/>
      <c r="CK147" s="22"/>
      <c r="CL147" s="22"/>
      <c r="CM147" s="22"/>
      <c r="CN147" s="22"/>
      <c r="CO147" s="22"/>
      <c r="CP147" s="22"/>
      <c r="CQ147" s="22"/>
      <c r="CR147" s="22"/>
      <c r="CS147" s="22"/>
      <c r="CT147" s="22"/>
      <c r="CU147" s="22"/>
      <c r="CV147" s="22"/>
      <c r="CW147" s="22"/>
      <c r="CX147" s="22"/>
      <c r="CY147" s="22"/>
      <c r="CZ147" s="22"/>
      <c r="DA147" s="22"/>
      <c r="DB147" s="22"/>
      <c r="DC147" s="22"/>
      <c r="DD147" s="22"/>
      <c r="DE147" s="22"/>
      <c r="DF147" s="22"/>
      <c r="DG147" s="22"/>
      <c r="DH147" s="22"/>
      <c r="DI147" s="22"/>
      <c r="DJ147" s="22"/>
      <c r="DK147" s="22"/>
      <c r="DL147" s="22"/>
      <c r="DM147" s="22"/>
      <c r="DN147" s="22"/>
      <c r="DO147" s="22"/>
      <c r="DP147" s="22"/>
      <c r="DQ147" s="22"/>
      <c r="DR147" s="22"/>
      <c r="DS147" s="22"/>
      <c r="DT147" s="22"/>
      <c r="DU147" s="22"/>
      <c r="DV147" s="22"/>
      <c r="DW147" s="22"/>
      <c r="DX147" s="22"/>
      <c r="DY147" s="22"/>
      <c r="DZ147" s="22"/>
      <c r="EA147" s="22"/>
      <c r="EB147" s="22"/>
      <c r="EC147" s="22"/>
      <c r="ED147" s="22"/>
      <c r="EE147" s="22"/>
      <c r="EF147" s="22"/>
      <c r="EG147" s="22"/>
      <c r="EH147" s="22"/>
      <c r="EI147" s="22"/>
      <c r="EJ147" s="22"/>
      <c r="EK147" s="22"/>
      <c r="EL147" s="22"/>
      <c r="EM147" s="22"/>
      <c r="EN147" s="22"/>
      <c r="EO147" s="22"/>
      <c r="EP147" s="22"/>
      <c r="EQ147" s="22"/>
      <c r="ER147" s="22"/>
      <c r="ES147" s="22"/>
      <c r="ET147" s="22"/>
      <c r="EU147" s="22"/>
      <c r="EV147" s="22"/>
      <c r="EW147" s="22"/>
      <c r="EX147" s="22"/>
      <c r="EY147" s="22"/>
      <c r="EZ147" s="22"/>
      <c r="FA147" s="22"/>
      <c r="FB147" s="22"/>
      <c r="FC147" s="22"/>
      <c r="FD147" s="22"/>
      <c r="FE147" s="22"/>
      <c r="FF147" s="22"/>
      <c r="FG147" s="22"/>
      <c r="FH147" s="22"/>
      <c r="FI147" s="22"/>
      <c r="FJ147" s="22"/>
      <c r="FK147" s="22"/>
      <c r="FL147" s="22"/>
      <c r="FM147" s="22"/>
      <c r="FN147" s="22"/>
      <c r="FO147" s="22"/>
      <c r="FP147" s="22"/>
      <c r="FQ147" s="22"/>
      <c r="FR147" s="22"/>
      <c r="FS147" s="22"/>
      <c r="FT147" s="22"/>
      <c r="FU147" s="22"/>
      <c r="FV147" s="22"/>
      <c r="FW147" s="22"/>
      <c r="FX147" s="22"/>
      <c r="FY147" s="22"/>
      <c r="FZ147" s="22"/>
    </row>
    <row r="148" spans="2:182" x14ac:dyDescent="0.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c r="Z148" s="22"/>
      <c r="AA148" s="22"/>
      <c r="AB148" s="22"/>
      <c r="AC148" s="22"/>
      <c r="AD148" s="22"/>
      <c r="AE148" s="22"/>
      <c r="AF148" s="22"/>
      <c r="AG148" s="22"/>
      <c r="AH148" s="22"/>
      <c r="AI148" s="22"/>
      <c r="AJ148" s="22"/>
      <c r="AK148" s="22"/>
      <c r="AL148" s="22"/>
      <c r="AM148" s="22"/>
      <c r="AN148" s="22"/>
      <c r="AO148" s="22"/>
      <c r="AP148" s="22"/>
      <c r="AQ148" s="22"/>
      <c r="AR148" s="22"/>
      <c r="AS148" s="22"/>
      <c r="AT148" s="22"/>
      <c r="AU148" s="22"/>
      <c r="AV148" s="22"/>
      <c r="AW148" s="22"/>
      <c r="AX148" s="22"/>
      <c r="AY148" s="22"/>
      <c r="AZ148" s="22"/>
      <c r="BA148" s="22"/>
      <c r="BB148" s="22"/>
      <c r="BC148" s="22"/>
      <c r="BD148" s="22"/>
      <c r="BE148" s="22"/>
      <c r="BF148" s="22"/>
      <c r="BG148" s="22"/>
      <c r="BH148" s="22"/>
      <c r="BI148" s="22"/>
      <c r="BJ148" s="22"/>
      <c r="BK148" s="22"/>
      <c r="BL148" s="22"/>
      <c r="BM148" s="22"/>
      <c r="BN148" s="22"/>
      <c r="BO148" s="22"/>
      <c r="BP148" s="22"/>
      <c r="BQ148" s="22"/>
      <c r="BR148" s="22"/>
      <c r="BS148" s="22"/>
      <c r="BT148" s="22"/>
      <c r="BU148" s="22"/>
      <c r="BV148" s="22"/>
      <c r="BW148" s="22"/>
      <c r="BX148" s="22"/>
      <c r="BY148" s="22"/>
      <c r="BZ148" s="22"/>
      <c r="CA148" s="22"/>
      <c r="CB148" s="22"/>
      <c r="CC148" s="22"/>
      <c r="CD148" s="22"/>
      <c r="CE148" s="22"/>
      <c r="CF148" s="22"/>
      <c r="CG148" s="22"/>
      <c r="CH148" s="22"/>
      <c r="CI148" s="22"/>
      <c r="CJ148" s="22"/>
      <c r="CK148" s="22"/>
      <c r="CL148" s="22"/>
      <c r="CM148" s="22"/>
      <c r="CN148" s="22"/>
      <c r="CO148" s="22"/>
      <c r="CP148" s="22"/>
      <c r="CQ148" s="22"/>
      <c r="CR148" s="22"/>
      <c r="CS148" s="22"/>
      <c r="CT148" s="22"/>
      <c r="CU148" s="22"/>
      <c r="CV148" s="22"/>
      <c r="CW148" s="22"/>
      <c r="CX148" s="22"/>
      <c r="CY148" s="22"/>
      <c r="CZ148" s="22"/>
      <c r="DA148" s="22"/>
      <c r="DB148" s="22"/>
      <c r="DC148" s="22"/>
      <c r="DD148" s="22"/>
      <c r="DE148" s="22"/>
      <c r="DF148" s="22"/>
      <c r="DG148" s="22"/>
      <c r="DH148" s="22"/>
      <c r="DI148" s="22"/>
      <c r="DJ148" s="22"/>
      <c r="DK148" s="22"/>
      <c r="DL148" s="22"/>
      <c r="DM148" s="22"/>
      <c r="DN148" s="22"/>
      <c r="DO148" s="22"/>
      <c r="DP148" s="22"/>
      <c r="DQ148" s="22"/>
      <c r="DR148" s="22"/>
      <c r="DS148" s="22"/>
      <c r="DT148" s="22"/>
      <c r="DU148" s="22"/>
      <c r="DV148" s="22"/>
      <c r="DW148" s="22"/>
      <c r="DX148" s="22"/>
      <c r="DY148" s="22"/>
      <c r="DZ148" s="22"/>
      <c r="EA148" s="22"/>
      <c r="EB148" s="22"/>
      <c r="EC148" s="22"/>
      <c r="ED148" s="22"/>
      <c r="EE148" s="22"/>
      <c r="EF148" s="22"/>
      <c r="EG148" s="22"/>
      <c r="EH148" s="22"/>
      <c r="EI148" s="22"/>
      <c r="EJ148" s="22"/>
      <c r="EK148" s="22"/>
      <c r="EL148" s="22"/>
      <c r="EM148" s="22"/>
      <c r="EN148" s="22"/>
      <c r="EO148" s="22"/>
      <c r="EP148" s="22"/>
      <c r="EQ148" s="22"/>
      <c r="ER148" s="22"/>
      <c r="ES148" s="22"/>
      <c r="ET148" s="22"/>
      <c r="EU148" s="22"/>
      <c r="EV148" s="22"/>
      <c r="EW148" s="22"/>
      <c r="EX148" s="22"/>
      <c r="EY148" s="22"/>
      <c r="EZ148" s="22"/>
      <c r="FA148" s="22"/>
      <c r="FB148" s="22"/>
      <c r="FC148" s="22"/>
      <c r="FD148" s="22"/>
      <c r="FE148" s="22"/>
      <c r="FF148" s="22"/>
      <c r="FG148" s="22"/>
      <c r="FH148" s="22"/>
      <c r="FI148" s="22"/>
      <c r="FJ148" s="22"/>
      <c r="FK148" s="22"/>
      <c r="FL148" s="22"/>
      <c r="FM148" s="22"/>
      <c r="FN148" s="22"/>
      <c r="FO148" s="22"/>
      <c r="FP148" s="22"/>
      <c r="FQ148" s="22"/>
      <c r="FR148" s="22"/>
      <c r="FS148" s="22"/>
      <c r="FT148" s="22"/>
      <c r="FU148" s="22"/>
      <c r="FV148" s="22"/>
      <c r="FW148" s="22"/>
      <c r="FX148" s="22"/>
      <c r="FY148" s="22"/>
      <c r="FZ148" s="22"/>
    </row>
    <row r="149" spans="2:182" x14ac:dyDescent="0.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c r="Z149" s="22"/>
      <c r="AA149" s="22"/>
      <c r="AB149" s="22"/>
      <c r="AC149" s="22"/>
      <c r="AD149" s="22"/>
      <c r="AE149" s="22"/>
      <c r="AF149" s="22"/>
      <c r="AG149" s="22"/>
      <c r="AH149" s="22"/>
      <c r="AI149" s="22"/>
      <c r="AJ149" s="22"/>
      <c r="AK149" s="22"/>
      <c r="AL149" s="22"/>
      <c r="AM149" s="22"/>
      <c r="AN149" s="22"/>
      <c r="AO149" s="22"/>
      <c r="AP149" s="22"/>
      <c r="AQ149" s="22"/>
      <c r="AR149" s="22"/>
      <c r="AS149" s="22"/>
      <c r="AT149" s="22"/>
      <c r="AU149" s="22"/>
      <c r="AV149" s="22"/>
      <c r="AW149" s="22"/>
      <c r="AX149" s="22"/>
      <c r="AY149" s="22"/>
      <c r="AZ149" s="22"/>
      <c r="BA149" s="22"/>
      <c r="BB149" s="22"/>
      <c r="BC149" s="22"/>
      <c r="BD149" s="22"/>
      <c r="BE149" s="22"/>
      <c r="BF149" s="22"/>
      <c r="BG149" s="22"/>
      <c r="BH149" s="22"/>
      <c r="BI149" s="22"/>
      <c r="BJ149" s="22"/>
      <c r="BK149" s="22"/>
      <c r="BL149" s="22"/>
      <c r="BM149" s="22"/>
      <c r="BN149" s="22"/>
      <c r="BO149" s="22"/>
      <c r="BP149" s="22"/>
      <c r="BQ149" s="22"/>
      <c r="BR149" s="22"/>
      <c r="BS149" s="22"/>
      <c r="BT149" s="22"/>
      <c r="BU149" s="22"/>
      <c r="BV149" s="22"/>
      <c r="BW149" s="22"/>
      <c r="BX149" s="22"/>
      <c r="BY149" s="22"/>
      <c r="BZ149" s="22"/>
      <c r="CA149" s="22"/>
      <c r="CB149" s="22"/>
      <c r="CC149" s="22"/>
      <c r="CD149" s="22"/>
      <c r="CE149" s="22"/>
      <c r="CF149" s="22"/>
      <c r="CG149" s="22"/>
      <c r="CH149" s="22"/>
      <c r="CI149" s="22"/>
      <c r="CJ149" s="22"/>
      <c r="CK149" s="22"/>
      <c r="CL149" s="22"/>
      <c r="CM149" s="22"/>
      <c r="CN149" s="22"/>
      <c r="CO149" s="22"/>
      <c r="CP149" s="22"/>
      <c r="CQ149" s="22"/>
      <c r="CR149" s="22"/>
      <c r="CS149" s="22"/>
      <c r="CT149" s="22"/>
      <c r="CU149" s="22"/>
      <c r="CV149" s="22"/>
      <c r="CW149" s="22"/>
      <c r="CX149" s="22"/>
      <c r="CY149" s="22"/>
      <c r="CZ149" s="22"/>
      <c r="DA149" s="22"/>
      <c r="DB149" s="22"/>
      <c r="DC149" s="22"/>
      <c r="DD149" s="22"/>
      <c r="DE149" s="22"/>
      <c r="DF149" s="22"/>
      <c r="DG149" s="22"/>
      <c r="DH149" s="22"/>
      <c r="DI149" s="22"/>
      <c r="DJ149" s="22"/>
      <c r="DK149" s="22"/>
      <c r="DL149" s="22"/>
      <c r="DM149" s="22"/>
      <c r="DN149" s="22"/>
      <c r="DO149" s="22"/>
      <c r="DP149" s="22"/>
      <c r="DQ149" s="22"/>
      <c r="DR149" s="22"/>
      <c r="DS149" s="22"/>
      <c r="DT149" s="22"/>
      <c r="DU149" s="22"/>
      <c r="DV149" s="22"/>
      <c r="DW149" s="22"/>
      <c r="DX149" s="22"/>
      <c r="DY149" s="22"/>
      <c r="DZ149" s="22"/>
      <c r="EA149" s="22"/>
      <c r="EB149" s="22"/>
      <c r="EC149" s="22"/>
      <c r="ED149" s="22"/>
      <c r="EE149" s="22"/>
      <c r="EF149" s="22"/>
      <c r="EG149" s="22"/>
      <c r="EH149" s="22"/>
      <c r="EI149" s="22"/>
      <c r="EJ149" s="22"/>
      <c r="EK149" s="22"/>
      <c r="EL149" s="22"/>
      <c r="EM149" s="22"/>
      <c r="EN149" s="22"/>
      <c r="EO149" s="22"/>
      <c r="EP149" s="22"/>
      <c r="EQ149" s="22"/>
      <c r="ER149" s="22"/>
      <c r="ES149" s="22"/>
      <c r="ET149" s="22"/>
      <c r="EU149" s="22"/>
      <c r="EV149" s="22"/>
      <c r="EW149" s="22"/>
      <c r="EX149" s="22"/>
      <c r="EY149" s="22"/>
      <c r="EZ149" s="22"/>
      <c r="FA149" s="22"/>
      <c r="FB149" s="22"/>
      <c r="FC149" s="22"/>
      <c r="FD149" s="22"/>
      <c r="FE149" s="22"/>
      <c r="FF149" s="22"/>
      <c r="FG149" s="22"/>
      <c r="FH149" s="22"/>
      <c r="FI149" s="22"/>
      <c r="FJ149" s="22"/>
      <c r="FK149" s="22"/>
      <c r="FL149" s="22"/>
      <c r="FM149" s="22"/>
      <c r="FN149" s="22"/>
      <c r="FO149" s="22"/>
      <c r="FP149" s="22"/>
      <c r="FQ149" s="22"/>
      <c r="FR149" s="22"/>
      <c r="FS149" s="22"/>
      <c r="FT149" s="22"/>
      <c r="FU149" s="22"/>
      <c r="FV149" s="22"/>
      <c r="FW149" s="22"/>
      <c r="FX149" s="22"/>
      <c r="FY149" s="22"/>
      <c r="FZ149" s="22"/>
    </row>
    <row r="150" spans="2:182" x14ac:dyDescent="0.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c r="Z150" s="22"/>
      <c r="AA150" s="22"/>
      <c r="AB150" s="22"/>
      <c r="AC150" s="22"/>
      <c r="AD150" s="22"/>
      <c r="AE150" s="22"/>
      <c r="AF150" s="22"/>
      <c r="AG150" s="22"/>
      <c r="AH150" s="22"/>
      <c r="AI150" s="22"/>
      <c r="AJ150" s="22"/>
      <c r="AK150" s="22"/>
      <c r="AL150" s="22"/>
      <c r="AM150" s="22"/>
      <c r="AN150" s="22"/>
      <c r="AO150" s="22"/>
      <c r="AP150" s="22"/>
      <c r="AQ150" s="22"/>
      <c r="AR150" s="22"/>
      <c r="AS150" s="22"/>
      <c r="AT150" s="22"/>
      <c r="AU150" s="22"/>
      <c r="AV150" s="22"/>
      <c r="AW150" s="22"/>
      <c r="AX150" s="22"/>
      <c r="AY150" s="22"/>
      <c r="AZ150" s="22"/>
      <c r="BA150" s="22"/>
      <c r="BB150" s="22"/>
      <c r="BC150" s="22"/>
      <c r="BD150" s="22"/>
      <c r="BE150" s="22"/>
      <c r="BF150" s="22"/>
      <c r="BG150" s="22"/>
      <c r="BH150" s="22"/>
      <c r="BI150" s="22"/>
      <c r="BJ150" s="22"/>
      <c r="BK150" s="22"/>
      <c r="BL150" s="22"/>
      <c r="BM150" s="22"/>
      <c r="BN150" s="22"/>
      <c r="BO150" s="22"/>
      <c r="BP150" s="22"/>
      <c r="BQ150" s="22"/>
      <c r="BR150" s="22"/>
      <c r="BS150" s="22"/>
      <c r="BT150" s="22"/>
      <c r="BU150" s="22"/>
      <c r="BV150" s="22"/>
      <c r="BW150" s="22"/>
      <c r="BX150" s="22"/>
      <c r="BY150" s="22"/>
      <c r="BZ150" s="22"/>
      <c r="CA150" s="22"/>
      <c r="CB150" s="22"/>
      <c r="CC150" s="22"/>
      <c r="CD150" s="22"/>
      <c r="CE150" s="22"/>
      <c r="CF150" s="22"/>
      <c r="CG150" s="22"/>
      <c r="CH150" s="22"/>
      <c r="CI150" s="22"/>
      <c r="CJ150" s="22"/>
      <c r="CK150" s="22"/>
      <c r="CL150" s="22"/>
      <c r="CM150" s="22"/>
      <c r="CN150" s="22"/>
      <c r="CO150" s="22"/>
      <c r="CP150" s="22"/>
      <c r="CQ150" s="22"/>
      <c r="CR150" s="22"/>
      <c r="CS150" s="22"/>
      <c r="CT150" s="22"/>
      <c r="CU150" s="22"/>
      <c r="CV150" s="22"/>
      <c r="CW150" s="22"/>
      <c r="CX150" s="22"/>
      <c r="CY150" s="22"/>
      <c r="CZ150" s="22"/>
      <c r="DA150" s="22"/>
      <c r="DB150" s="22"/>
      <c r="DC150" s="22"/>
      <c r="DD150" s="22"/>
      <c r="DE150" s="22"/>
      <c r="DF150" s="22"/>
      <c r="DG150" s="22"/>
      <c r="DH150" s="22"/>
      <c r="DI150" s="22"/>
      <c r="DJ150" s="22"/>
      <c r="DK150" s="22"/>
      <c r="DL150" s="22"/>
      <c r="DM150" s="22"/>
      <c r="DN150" s="22"/>
      <c r="DO150" s="22"/>
      <c r="DP150" s="22"/>
      <c r="DQ150" s="22"/>
      <c r="DR150" s="22"/>
      <c r="DS150" s="22"/>
      <c r="DT150" s="22"/>
      <c r="DU150" s="22"/>
      <c r="DV150" s="22"/>
      <c r="DW150" s="22"/>
      <c r="DX150" s="22"/>
      <c r="DY150" s="22"/>
      <c r="DZ150" s="22"/>
      <c r="EA150" s="22"/>
      <c r="EB150" s="22"/>
      <c r="EC150" s="22"/>
      <c r="ED150" s="22"/>
      <c r="EE150" s="22"/>
      <c r="EF150" s="22"/>
      <c r="EG150" s="22"/>
      <c r="EH150" s="22"/>
      <c r="EI150" s="22"/>
      <c r="EJ150" s="22"/>
      <c r="EK150" s="22"/>
      <c r="EL150" s="22"/>
      <c r="EM150" s="22"/>
      <c r="EN150" s="22"/>
      <c r="EO150" s="22"/>
      <c r="EP150" s="22"/>
      <c r="EQ150" s="22"/>
      <c r="ER150" s="22"/>
      <c r="ES150" s="22"/>
      <c r="ET150" s="22"/>
      <c r="EU150" s="22"/>
      <c r="EV150" s="22"/>
      <c r="EW150" s="22"/>
      <c r="EX150" s="22"/>
      <c r="EY150" s="22"/>
      <c r="EZ150" s="22"/>
      <c r="FA150" s="22"/>
      <c r="FB150" s="22"/>
      <c r="FC150" s="22"/>
      <c r="FD150" s="22"/>
      <c r="FE150" s="22"/>
      <c r="FF150" s="22"/>
      <c r="FG150" s="22"/>
      <c r="FH150" s="22"/>
      <c r="FI150" s="22"/>
      <c r="FJ150" s="22"/>
      <c r="FK150" s="22"/>
      <c r="FL150" s="22"/>
      <c r="FM150" s="22"/>
      <c r="FN150" s="22"/>
      <c r="FO150" s="22"/>
      <c r="FP150" s="22"/>
      <c r="FQ150" s="22"/>
      <c r="FR150" s="22"/>
      <c r="FS150" s="22"/>
      <c r="FT150" s="22"/>
      <c r="FU150" s="22"/>
      <c r="FV150" s="22"/>
      <c r="FW150" s="22"/>
      <c r="FX150" s="22"/>
      <c r="FY150" s="22"/>
      <c r="FZ150" s="22"/>
    </row>
    <row r="151" spans="2:182" x14ac:dyDescent="0.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c r="Z151" s="22"/>
      <c r="AA151" s="22"/>
      <c r="AB151" s="22"/>
      <c r="AC151" s="22"/>
      <c r="AD151" s="22"/>
      <c r="AE151" s="22"/>
      <c r="AF151" s="22"/>
      <c r="AG151" s="22"/>
      <c r="AH151" s="22"/>
      <c r="AI151" s="22"/>
      <c r="AJ151" s="22"/>
      <c r="AK151" s="22"/>
      <c r="AL151" s="22"/>
      <c r="AM151" s="22"/>
      <c r="AN151" s="22"/>
      <c r="AO151" s="22"/>
      <c r="AP151" s="22"/>
      <c r="AQ151" s="22"/>
      <c r="AR151" s="22"/>
      <c r="AS151" s="22"/>
      <c r="AT151" s="22"/>
      <c r="AU151" s="22"/>
      <c r="AV151" s="22"/>
      <c r="AW151" s="22"/>
      <c r="AX151" s="22"/>
      <c r="AY151" s="22"/>
      <c r="AZ151" s="22"/>
      <c r="BA151" s="22"/>
      <c r="BB151" s="22"/>
      <c r="BC151" s="22"/>
      <c r="BD151" s="22"/>
      <c r="BE151" s="22"/>
      <c r="BF151" s="22"/>
      <c r="BG151" s="22"/>
      <c r="BH151" s="22"/>
      <c r="BI151" s="22"/>
      <c r="BJ151" s="22"/>
      <c r="BK151" s="22"/>
      <c r="BL151" s="22"/>
      <c r="BM151" s="22"/>
      <c r="BN151" s="22"/>
      <c r="BO151" s="22"/>
      <c r="BP151" s="22"/>
      <c r="BQ151" s="22"/>
      <c r="BR151" s="22"/>
      <c r="BS151" s="22"/>
      <c r="BT151" s="22"/>
      <c r="BU151" s="22"/>
      <c r="BV151" s="22"/>
      <c r="BW151" s="22"/>
      <c r="BX151" s="22"/>
      <c r="BY151" s="22"/>
      <c r="BZ151" s="22"/>
      <c r="CA151" s="22"/>
      <c r="CB151" s="22"/>
      <c r="CC151" s="22"/>
      <c r="CD151" s="22"/>
      <c r="CE151" s="22"/>
      <c r="CF151" s="22"/>
      <c r="CG151" s="22"/>
      <c r="CH151" s="22"/>
      <c r="CI151" s="22"/>
      <c r="CJ151" s="22"/>
      <c r="CK151" s="22"/>
      <c r="CL151" s="22"/>
      <c r="CM151" s="22"/>
      <c r="CN151" s="22"/>
      <c r="CO151" s="22"/>
      <c r="CP151" s="22"/>
      <c r="CQ151" s="22"/>
      <c r="CR151" s="22"/>
      <c r="CS151" s="22"/>
      <c r="CT151" s="22"/>
      <c r="CU151" s="22"/>
      <c r="CV151" s="22"/>
      <c r="CW151" s="22"/>
      <c r="CX151" s="22"/>
      <c r="CY151" s="22"/>
      <c r="CZ151" s="22"/>
      <c r="DA151" s="22"/>
      <c r="DB151" s="22"/>
      <c r="DC151" s="22"/>
      <c r="DD151" s="22"/>
      <c r="DE151" s="22"/>
      <c r="DF151" s="22"/>
      <c r="DG151" s="22"/>
      <c r="DH151" s="22"/>
      <c r="DI151" s="22"/>
      <c r="DJ151" s="22"/>
      <c r="DK151" s="22"/>
      <c r="DL151" s="22"/>
      <c r="DM151" s="22"/>
      <c r="DN151" s="22"/>
      <c r="DO151" s="22"/>
      <c r="DP151" s="22"/>
      <c r="DQ151" s="22"/>
      <c r="DR151" s="22"/>
      <c r="DS151" s="22"/>
      <c r="DT151" s="22"/>
      <c r="DU151" s="22"/>
      <c r="DV151" s="22"/>
      <c r="DW151" s="22"/>
      <c r="DX151" s="22"/>
      <c r="DY151" s="22"/>
      <c r="DZ151" s="22"/>
      <c r="EA151" s="22"/>
      <c r="EB151" s="22"/>
      <c r="EC151" s="22"/>
      <c r="ED151" s="22"/>
      <c r="EE151" s="22"/>
      <c r="EF151" s="22"/>
      <c r="EG151" s="22"/>
      <c r="EH151" s="22"/>
      <c r="EI151" s="22"/>
      <c r="EJ151" s="22"/>
      <c r="EK151" s="22"/>
      <c r="EL151" s="22"/>
      <c r="EM151" s="22"/>
      <c r="EN151" s="22"/>
      <c r="EO151" s="22"/>
      <c r="EP151" s="22"/>
      <c r="EQ151" s="22"/>
      <c r="ER151" s="22"/>
      <c r="ES151" s="22"/>
      <c r="ET151" s="22"/>
      <c r="EU151" s="22"/>
      <c r="EV151" s="22"/>
      <c r="EW151" s="22"/>
      <c r="EX151" s="22"/>
      <c r="EY151" s="22"/>
      <c r="EZ151" s="22"/>
      <c r="FA151" s="22"/>
      <c r="FB151" s="22"/>
      <c r="FC151" s="22"/>
      <c r="FD151" s="22"/>
      <c r="FE151" s="22"/>
      <c r="FF151" s="22"/>
      <c r="FG151" s="22"/>
      <c r="FH151" s="22"/>
      <c r="FI151" s="22"/>
      <c r="FJ151" s="22"/>
      <c r="FK151" s="22"/>
      <c r="FL151" s="22"/>
      <c r="FM151" s="22"/>
      <c r="FN151" s="22"/>
      <c r="FO151" s="22"/>
      <c r="FP151" s="22"/>
      <c r="FQ151" s="22"/>
      <c r="FR151" s="22"/>
      <c r="FS151" s="22"/>
      <c r="FT151" s="22"/>
      <c r="FU151" s="22"/>
      <c r="FV151" s="22"/>
      <c r="FW151" s="22"/>
      <c r="FX151" s="22"/>
      <c r="FY151" s="22"/>
      <c r="FZ151" s="22"/>
    </row>
    <row r="152" spans="2:182" x14ac:dyDescent="0.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c r="Z152" s="22"/>
      <c r="AA152" s="22"/>
      <c r="AB152" s="22"/>
      <c r="AC152" s="22"/>
      <c r="AD152" s="22"/>
      <c r="AE152" s="22"/>
      <c r="AF152" s="22"/>
      <c r="AG152" s="22"/>
      <c r="AH152" s="22"/>
      <c r="AI152" s="22"/>
      <c r="AJ152" s="22"/>
      <c r="AK152" s="22"/>
      <c r="AL152" s="22"/>
      <c r="AM152" s="22"/>
      <c r="AN152" s="22"/>
      <c r="AO152" s="22"/>
      <c r="AP152" s="22"/>
      <c r="AQ152" s="22"/>
      <c r="AR152" s="22"/>
      <c r="AS152" s="22"/>
      <c r="AT152" s="22"/>
      <c r="AU152" s="22"/>
      <c r="AV152" s="22"/>
      <c r="AW152" s="22"/>
      <c r="AX152" s="22"/>
      <c r="AY152" s="22"/>
      <c r="AZ152" s="22"/>
      <c r="BA152" s="22"/>
      <c r="BB152" s="22"/>
      <c r="BC152" s="22"/>
      <c r="BD152" s="22"/>
      <c r="BE152" s="22"/>
      <c r="BF152" s="22"/>
      <c r="BG152" s="22"/>
      <c r="BH152" s="22"/>
      <c r="BI152" s="22"/>
      <c r="BJ152" s="22"/>
      <c r="BK152" s="22"/>
      <c r="BL152" s="22"/>
      <c r="BM152" s="22"/>
      <c r="BN152" s="22"/>
      <c r="BO152" s="22"/>
      <c r="BP152" s="22"/>
      <c r="BQ152" s="22"/>
      <c r="BR152" s="22"/>
      <c r="BS152" s="22"/>
      <c r="BT152" s="22"/>
      <c r="BU152" s="22"/>
      <c r="BV152" s="22"/>
      <c r="BW152" s="22"/>
      <c r="BX152" s="22"/>
      <c r="BY152" s="22"/>
      <c r="BZ152" s="22"/>
      <c r="CA152" s="22"/>
      <c r="CB152" s="22"/>
      <c r="CC152" s="22"/>
      <c r="CD152" s="22"/>
      <c r="CE152" s="22"/>
      <c r="CF152" s="22"/>
      <c r="CG152" s="22"/>
      <c r="CH152" s="22"/>
      <c r="CI152" s="22"/>
      <c r="CJ152" s="22"/>
      <c r="CK152" s="22"/>
      <c r="CL152" s="22"/>
      <c r="CM152" s="22"/>
      <c r="CN152" s="22"/>
      <c r="CO152" s="22"/>
      <c r="CP152" s="22"/>
      <c r="CQ152" s="22"/>
      <c r="CR152" s="22"/>
      <c r="CS152" s="22"/>
      <c r="CT152" s="22"/>
      <c r="CU152" s="22"/>
      <c r="CV152" s="22"/>
      <c r="CW152" s="22"/>
      <c r="CX152" s="22"/>
      <c r="CY152" s="22"/>
      <c r="CZ152" s="22"/>
      <c r="DA152" s="22"/>
      <c r="DB152" s="22"/>
      <c r="DC152" s="22"/>
      <c r="DD152" s="22"/>
      <c r="DE152" s="22"/>
      <c r="DF152" s="22"/>
      <c r="DG152" s="22"/>
      <c r="DH152" s="22"/>
      <c r="DI152" s="22"/>
      <c r="DJ152" s="22"/>
      <c r="DK152" s="22"/>
      <c r="DL152" s="22"/>
      <c r="DM152" s="22"/>
      <c r="DN152" s="22"/>
      <c r="DO152" s="22"/>
      <c r="DP152" s="22"/>
      <c r="DQ152" s="22"/>
      <c r="DR152" s="22"/>
      <c r="DS152" s="22"/>
      <c r="DT152" s="22"/>
      <c r="DU152" s="22"/>
      <c r="DV152" s="22"/>
      <c r="DW152" s="22"/>
      <c r="DX152" s="22"/>
      <c r="DY152" s="22"/>
      <c r="DZ152" s="22"/>
      <c r="EA152" s="22"/>
      <c r="EB152" s="22"/>
      <c r="EC152" s="22"/>
      <c r="ED152" s="22"/>
      <c r="EE152" s="22"/>
      <c r="EF152" s="22"/>
      <c r="EG152" s="22"/>
      <c r="EH152" s="22"/>
      <c r="EI152" s="22"/>
      <c r="EJ152" s="22"/>
      <c r="EK152" s="22"/>
      <c r="EL152" s="22"/>
      <c r="EM152" s="22"/>
      <c r="EN152" s="22"/>
      <c r="EO152" s="22"/>
      <c r="EP152" s="22"/>
      <c r="EQ152" s="22"/>
      <c r="ER152" s="22"/>
      <c r="ES152" s="22"/>
      <c r="ET152" s="22"/>
      <c r="EU152" s="22"/>
      <c r="EV152" s="22"/>
      <c r="EW152" s="22"/>
      <c r="EX152" s="22"/>
      <c r="EY152" s="22"/>
      <c r="EZ152" s="22"/>
      <c r="FA152" s="22"/>
      <c r="FB152" s="22"/>
      <c r="FC152" s="22"/>
      <c r="FD152" s="22"/>
      <c r="FE152" s="22"/>
      <c r="FF152" s="22"/>
      <c r="FG152" s="22"/>
      <c r="FH152" s="22"/>
      <c r="FI152" s="22"/>
      <c r="FJ152" s="22"/>
      <c r="FK152" s="22"/>
      <c r="FL152" s="22"/>
      <c r="FM152" s="22"/>
      <c r="FN152" s="22"/>
      <c r="FO152" s="22"/>
      <c r="FP152" s="22"/>
      <c r="FQ152" s="22"/>
      <c r="FR152" s="22"/>
      <c r="FS152" s="22"/>
      <c r="FT152" s="22"/>
      <c r="FU152" s="22"/>
      <c r="FV152" s="22"/>
      <c r="FW152" s="22"/>
      <c r="FX152" s="22"/>
      <c r="FY152" s="22"/>
      <c r="FZ152" s="22"/>
    </row>
    <row r="153" spans="2:182" x14ac:dyDescent="0.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c r="AV153" s="22"/>
      <c r="AW153" s="22"/>
      <c r="AX153" s="22"/>
      <c r="AY153" s="22"/>
      <c r="AZ153" s="22"/>
      <c r="BA153" s="22"/>
      <c r="BB153" s="22"/>
      <c r="BC153" s="22"/>
      <c r="BD153" s="22"/>
      <c r="BE153" s="22"/>
      <c r="BF153" s="22"/>
      <c r="BG153" s="22"/>
      <c r="BH153" s="22"/>
      <c r="BI153" s="22"/>
      <c r="BJ153" s="22"/>
      <c r="BK153" s="22"/>
      <c r="BL153" s="22"/>
      <c r="BM153" s="22"/>
      <c r="BN153" s="22"/>
      <c r="BO153" s="22"/>
      <c r="BP153" s="22"/>
      <c r="BQ153" s="22"/>
      <c r="BR153" s="22"/>
      <c r="BS153" s="22"/>
      <c r="BT153" s="22"/>
      <c r="BU153" s="22"/>
      <c r="BV153" s="22"/>
      <c r="BW153" s="22"/>
      <c r="BX153" s="22"/>
      <c r="BY153" s="22"/>
      <c r="BZ153" s="22"/>
      <c r="CA153" s="22"/>
      <c r="CB153" s="22"/>
      <c r="CC153" s="22"/>
      <c r="CD153" s="22"/>
      <c r="CE153" s="22"/>
      <c r="CF153" s="22"/>
      <c r="CG153" s="22"/>
      <c r="CH153" s="22"/>
      <c r="CI153" s="22"/>
      <c r="CJ153" s="22"/>
      <c r="CK153" s="22"/>
      <c r="CL153" s="22"/>
      <c r="CM153" s="22"/>
      <c r="CN153" s="22"/>
      <c r="CO153" s="22"/>
      <c r="CP153" s="22"/>
      <c r="CQ153" s="22"/>
      <c r="CR153" s="22"/>
      <c r="CS153" s="22"/>
      <c r="CT153" s="22"/>
      <c r="CU153" s="22"/>
      <c r="CV153" s="22"/>
      <c r="CW153" s="22"/>
      <c r="CX153" s="22"/>
      <c r="CY153" s="22"/>
      <c r="CZ153" s="22"/>
      <c r="DA153" s="22"/>
      <c r="DB153" s="22"/>
      <c r="DC153" s="22"/>
      <c r="DD153" s="22"/>
      <c r="DE153" s="22"/>
      <c r="DF153" s="22"/>
      <c r="DG153" s="22"/>
      <c r="DH153" s="22"/>
      <c r="DI153" s="22"/>
      <c r="DJ153" s="22"/>
      <c r="DK153" s="22"/>
      <c r="DL153" s="22"/>
      <c r="DM153" s="22"/>
      <c r="DN153" s="22"/>
      <c r="DO153" s="22"/>
      <c r="DP153" s="22"/>
      <c r="DQ153" s="22"/>
      <c r="DR153" s="22"/>
      <c r="DS153" s="22"/>
      <c r="DT153" s="22"/>
      <c r="DU153" s="22"/>
      <c r="DV153" s="22"/>
      <c r="DW153" s="22"/>
      <c r="DX153" s="22"/>
      <c r="DY153" s="22"/>
      <c r="DZ153" s="22"/>
      <c r="EA153" s="22"/>
      <c r="EB153" s="22"/>
      <c r="EC153" s="22"/>
      <c r="ED153" s="22"/>
      <c r="EE153" s="22"/>
      <c r="EF153" s="22"/>
      <c r="EG153" s="22"/>
      <c r="EH153" s="22"/>
      <c r="EI153" s="22"/>
      <c r="EJ153" s="22"/>
      <c r="EK153" s="22"/>
      <c r="EL153" s="22"/>
      <c r="EM153" s="22"/>
      <c r="EN153" s="22"/>
      <c r="EO153" s="22"/>
      <c r="EP153" s="22"/>
      <c r="EQ153" s="22"/>
      <c r="ER153" s="22"/>
      <c r="ES153" s="22"/>
      <c r="ET153" s="22"/>
      <c r="EU153" s="22"/>
      <c r="EV153" s="22"/>
      <c r="EW153" s="22"/>
      <c r="EX153" s="22"/>
      <c r="EY153" s="22"/>
      <c r="EZ153" s="22"/>
      <c r="FA153" s="22"/>
      <c r="FB153" s="22"/>
      <c r="FC153" s="22"/>
      <c r="FD153" s="22"/>
      <c r="FE153" s="22"/>
      <c r="FF153" s="22"/>
      <c r="FG153" s="22"/>
      <c r="FH153" s="22"/>
      <c r="FI153" s="22"/>
      <c r="FJ153" s="22"/>
      <c r="FK153" s="22"/>
      <c r="FL153" s="22"/>
      <c r="FM153" s="22"/>
      <c r="FN153" s="22"/>
      <c r="FO153" s="22"/>
      <c r="FP153" s="22"/>
      <c r="FQ153" s="22"/>
      <c r="FR153" s="22"/>
      <c r="FS153" s="22"/>
      <c r="FT153" s="22"/>
      <c r="FU153" s="22"/>
      <c r="FV153" s="22"/>
      <c r="FW153" s="22"/>
      <c r="FX153" s="22"/>
      <c r="FY153" s="22"/>
      <c r="FZ153" s="22"/>
    </row>
    <row r="154" spans="2:182" x14ac:dyDescent="0.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c r="Z154" s="22"/>
      <c r="AA154" s="22"/>
      <c r="AB154" s="22"/>
      <c r="AC154" s="22"/>
      <c r="AD154" s="22"/>
      <c r="AE154" s="22"/>
      <c r="AF154" s="22"/>
      <c r="AG154" s="22"/>
      <c r="AH154" s="22"/>
      <c r="AI154" s="22"/>
      <c r="AJ154" s="22"/>
      <c r="AK154" s="22"/>
      <c r="AL154" s="22"/>
      <c r="AM154" s="22"/>
      <c r="AN154" s="22"/>
      <c r="AO154" s="22"/>
      <c r="AP154" s="22"/>
      <c r="AQ154" s="22"/>
      <c r="AR154" s="22"/>
      <c r="AS154" s="22"/>
      <c r="AT154" s="22"/>
      <c r="AU154" s="22"/>
      <c r="AV154" s="22"/>
      <c r="AW154" s="22"/>
      <c r="AX154" s="22"/>
      <c r="AY154" s="22"/>
      <c r="AZ154" s="22"/>
      <c r="BA154" s="22"/>
      <c r="BB154" s="22"/>
      <c r="BC154" s="22"/>
      <c r="BD154" s="22"/>
      <c r="BE154" s="22"/>
      <c r="BF154" s="22"/>
      <c r="BG154" s="22"/>
      <c r="BH154" s="22"/>
      <c r="BI154" s="22"/>
      <c r="BJ154" s="22"/>
      <c r="BK154" s="22"/>
      <c r="BL154" s="22"/>
      <c r="BM154" s="22"/>
      <c r="BN154" s="22"/>
      <c r="BO154" s="22"/>
      <c r="BP154" s="22"/>
      <c r="BQ154" s="22"/>
      <c r="BR154" s="22"/>
      <c r="BS154" s="22"/>
      <c r="BT154" s="22"/>
      <c r="BU154" s="22"/>
      <c r="BV154" s="22"/>
      <c r="BW154" s="22"/>
      <c r="BX154" s="22"/>
      <c r="BY154" s="22"/>
      <c r="BZ154" s="22"/>
      <c r="CA154" s="22"/>
      <c r="CB154" s="22"/>
      <c r="CC154" s="22"/>
      <c r="CD154" s="22"/>
      <c r="CE154" s="22"/>
      <c r="CF154" s="22"/>
      <c r="CG154" s="22"/>
      <c r="CH154" s="22"/>
      <c r="CI154" s="22"/>
      <c r="CJ154" s="22"/>
      <c r="CK154" s="22"/>
      <c r="CL154" s="22"/>
      <c r="CM154" s="22"/>
      <c r="CN154" s="22"/>
      <c r="CO154" s="22"/>
      <c r="CP154" s="22"/>
      <c r="CQ154" s="22"/>
      <c r="CR154" s="22"/>
      <c r="CS154" s="22"/>
      <c r="CT154" s="22"/>
      <c r="CU154" s="22"/>
      <c r="CV154" s="22"/>
      <c r="CW154" s="22"/>
      <c r="CX154" s="22"/>
      <c r="CY154" s="22"/>
      <c r="CZ154" s="22"/>
      <c r="DA154" s="22"/>
      <c r="DB154" s="22"/>
      <c r="DC154" s="22"/>
      <c r="DD154" s="22"/>
      <c r="DE154" s="22"/>
      <c r="DF154" s="22"/>
      <c r="DG154" s="22"/>
      <c r="DH154" s="22"/>
      <c r="DI154" s="22"/>
      <c r="DJ154" s="22"/>
      <c r="DK154" s="22"/>
      <c r="DL154" s="22"/>
      <c r="DM154" s="22"/>
      <c r="DN154" s="22"/>
      <c r="DO154" s="22"/>
      <c r="DP154" s="22"/>
      <c r="DQ154" s="22"/>
      <c r="DR154" s="22"/>
      <c r="DS154" s="22"/>
      <c r="DT154" s="22"/>
      <c r="DU154" s="22"/>
      <c r="DV154" s="22"/>
      <c r="DW154" s="22"/>
      <c r="DX154" s="22"/>
      <c r="DY154" s="22"/>
      <c r="DZ154" s="22"/>
      <c r="EA154" s="22"/>
      <c r="EB154" s="22"/>
      <c r="EC154" s="22"/>
      <c r="ED154" s="22"/>
      <c r="EE154" s="22"/>
      <c r="EF154" s="22"/>
      <c r="EG154" s="22"/>
      <c r="EH154" s="22"/>
      <c r="EI154" s="22"/>
      <c r="EJ154" s="22"/>
      <c r="EK154" s="22"/>
      <c r="EL154" s="22"/>
      <c r="EM154" s="22"/>
      <c r="EN154" s="22"/>
      <c r="EO154" s="22"/>
      <c r="EP154" s="22"/>
      <c r="EQ154" s="22"/>
      <c r="ER154" s="22"/>
      <c r="ES154" s="22"/>
      <c r="ET154" s="22"/>
      <c r="EU154" s="22"/>
      <c r="EV154" s="22"/>
      <c r="EW154" s="22"/>
      <c r="EX154" s="22"/>
      <c r="EY154" s="22"/>
      <c r="EZ154" s="22"/>
      <c r="FA154" s="22"/>
      <c r="FB154" s="22"/>
      <c r="FC154" s="22"/>
      <c r="FD154" s="22"/>
      <c r="FE154" s="22"/>
      <c r="FF154" s="22"/>
      <c r="FG154" s="22"/>
      <c r="FH154" s="22"/>
      <c r="FI154" s="22"/>
      <c r="FJ154" s="22"/>
      <c r="FK154" s="22"/>
      <c r="FL154" s="22"/>
      <c r="FM154" s="22"/>
      <c r="FN154" s="22"/>
      <c r="FO154" s="22"/>
      <c r="FP154" s="22"/>
      <c r="FQ154" s="22"/>
      <c r="FR154" s="22"/>
      <c r="FS154" s="22"/>
      <c r="FT154" s="22"/>
      <c r="FU154" s="22"/>
      <c r="FV154" s="22"/>
      <c r="FW154" s="22"/>
      <c r="FX154" s="22"/>
      <c r="FY154" s="22"/>
      <c r="FZ154" s="22"/>
    </row>
    <row r="155" spans="2:182" x14ac:dyDescent="0.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c r="Z155" s="22"/>
      <c r="AA155" s="22"/>
      <c r="AB155" s="22"/>
      <c r="AC155" s="22"/>
      <c r="AD155" s="22"/>
      <c r="AE155" s="22"/>
      <c r="AF155" s="22"/>
      <c r="AG155" s="22"/>
      <c r="AH155" s="22"/>
      <c r="AI155" s="22"/>
      <c r="AJ155" s="22"/>
      <c r="AK155" s="22"/>
      <c r="AL155" s="22"/>
      <c r="AM155" s="22"/>
      <c r="AN155" s="22"/>
      <c r="AO155" s="22"/>
      <c r="AP155" s="22"/>
      <c r="AQ155" s="22"/>
      <c r="AR155" s="22"/>
      <c r="AS155" s="22"/>
      <c r="AT155" s="22"/>
      <c r="AU155" s="22"/>
      <c r="AV155" s="22"/>
      <c r="AW155" s="22"/>
      <c r="AX155" s="22"/>
      <c r="AY155" s="22"/>
      <c r="AZ155" s="22"/>
      <c r="BA155" s="22"/>
      <c r="BB155" s="22"/>
      <c r="BC155" s="22"/>
      <c r="BD155" s="22"/>
      <c r="BE155" s="22"/>
      <c r="BF155" s="22"/>
      <c r="BG155" s="22"/>
      <c r="BH155" s="22"/>
      <c r="BI155" s="22"/>
      <c r="BJ155" s="22"/>
      <c r="BK155" s="22"/>
      <c r="BL155" s="22"/>
      <c r="BM155" s="22"/>
      <c r="BN155" s="22"/>
      <c r="BO155" s="22"/>
      <c r="BP155" s="22"/>
      <c r="BQ155" s="22"/>
      <c r="BR155" s="22"/>
      <c r="BS155" s="22"/>
      <c r="BT155" s="22"/>
      <c r="BU155" s="22"/>
      <c r="BV155" s="22"/>
      <c r="BW155" s="22"/>
      <c r="BX155" s="22"/>
      <c r="BY155" s="22"/>
      <c r="BZ155" s="22"/>
      <c r="CA155" s="22"/>
      <c r="CB155" s="22"/>
      <c r="CC155" s="22"/>
      <c r="CD155" s="22"/>
      <c r="CE155" s="22"/>
      <c r="CF155" s="22"/>
      <c r="CG155" s="22"/>
      <c r="CH155" s="22"/>
      <c r="CI155" s="22"/>
      <c r="CJ155" s="22"/>
      <c r="CK155" s="22"/>
      <c r="CL155" s="22"/>
      <c r="CM155" s="22"/>
      <c r="CN155" s="22"/>
      <c r="CO155" s="22"/>
      <c r="CP155" s="22"/>
      <c r="CQ155" s="22"/>
      <c r="CR155" s="22"/>
      <c r="CS155" s="22"/>
      <c r="CT155" s="22"/>
      <c r="CU155" s="22"/>
      <c r="CV155" s="22"/>
      <c r="CW155" s="22"/>
      <c r="CX155" s="22"/>
      <c r="CY155" s="22"/>
      <c r="CZ155" s="22"/>
      <c r="DA155" s="22"/>
      <c r="DB155" s="22"/>
      <c r="DC155" s="22"/>
      <c r="DD155" s="22"/>
      <c r="DE155" s="22"/>
      <c r="DF155" s="22"/>
      <c r="DG155" s="22"/>
      <c r="DH155" s="22"/>
      <c r="DI155" s="22"/>
      <c r="DJ155" s="22"/>
      <c r="DK155" s="22"/>
      <c r="DL155" s="22"/>
      <c r="DM155" s="22"/>
      <c r="DN155" s="22"/>
      <c r="DO155" s="22"/>
      <c r="DP155" s="22"/>
      <c r="DQ155" s="22"/>
      <c r="DR155" s="22"/>
      <c r="DS155" s="22"/>
      <c r="DT155" s="22"/>
      <c r="DU155" s="22"/>
      <c r="DV155" s="22"/>
      <c r="DW155" s="22"/>
      <c r="DX155" s="22"/>
      <c r="DY155" s="22"/>
      <c r="DZ155" s="22"/>
      <c r="EA155" s="22"/>
      <c r="EB155" s="22"/>
      <c r="EC155" s="22"/>
      <c r="ED155" s="22"/>
      <c r="EE155" s="22"/>
      <c r="EF155" s="22"/>
      <c r="EG155" s="22"/>
      <c r="EH155" s="22"/>
      <c r="EI155" s="22"/>
      <c r="EJ155" s="22"/>
      <c r="EK155" s="22"/>
      <c r="EL155" s="22"/>
      <c r="EM155" s="22"/>
      <c r="EN155" s="22"/>
      <c r="EO155" s="22"/>
      <c r="EP155" s="22"/>
      <c r="EQ155" s="22"/>
      <c r="ER155" s="22"/>
      <c r="ES155" s="22"/>
      <c r="ET155" s="22"/>
      <c r="EU155" s="22"/>
      <c r="EV155" s="22"/>
      <c r="EW155" s="22"/>
      <c r="EX155" s="22"/>
      <c r="EY155" s="22"/>
      <c r="EZ155" s="22"/>
      <c r="FA155" s="22"/>
      <c r="FB155" s="22"/>
      <c r="FC155" s="22"/>
      <c r="FD155" s="22"/>
      <c r="FE155" s="22"/>
      <c r="FF155" s="22"/>
      <c r="FG155" s="22"/>
      <c r="FH155" s="22"/>
      <c r="FI155" s="22"/>
      <c r="FJ155" s="22"/>
      <c r="FK155" s="22"/>
      <c r="FL155" s="22"/>
      <c r="FM155" s="22"/>
      <c r="FN155" s="22"/>
      <c r="FO155" s="22"/>
      <c r="FP155" s="22"/>
      <c r="FQ155" s="22"/>
      <c r="FR155" s="22"/>
      <c r="FS155" s="22"/>
      <c r="FT155" s="22"/>
      <c r="FU155" s="22"/>
      <c r="FV155" s="22"/>
      <c r="FW155" s="22"/>
      <c r="FX155" s="22"/>
      <c r="FY155" s="22"/>
      <c r="FZ155" s="22"/>
    </row>
    <row r="156" spans="2:182" x14ac:dyDescent="0.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c r="Z156" s="22"/>
      <c r="AA156" s="22"/>
      <c r="AB156" s="22"/>
      <c r="AC156" s="22"/>
      <c r="AD156" s="22"/>
      <c r="AE156" s="22"/>
      <c r="AF156" s="22"/>
      <c r="AG156" s="22"/>
      <c r="AH156" s="22"/>
      <c r="AI156" s="22"/>
      <c r="AJ156" s="22"/>
      <c r="AK156" s="22"/>
      <c r="AL156" s="22"/>
      <c r="AM156" s="22"/>
      <c r="AN156" s="22"/>
      <c r="AO156" s="22"/>
      <c r="AP156" s="22"/>
      <c r="AQ156" s="22"/>
      <c r="AR156" s="22"/>
      <c r="AS156" s="22"/>
      <c r="AT156" s="22"/>
      <c r="AU156" s="22"/>
      <c r="AV156" s="22"/>
      <c r="AW156" s="22"/>
      <c r="AX156" s="22"/>
      <c r="AY156" s="22"/>
      <c r="AZ156" s="22"/>
      <c r="BA156" s="22"/>
      <c r="BB156" s="22"/>
      <c r="BC156" s="22"/>
      <c r="BD156" s="22"/>
      <c r="BE156" s="22"/>
      <c r="BF156" s="22"/>
      <c r="BG156" s="22"/>
      <c r="BH156" s="22"/>
      <c r="BI156" s="22"/>
      <c r="BJ156" s="22"/>
      <c r="BK156" s="22"/>
      <c r="BL156" s="22"/>
      <c r="BM156" s="22"/>
      <c r="BN156" s="22"/>
      <c r="BO156" s="22"/>
      <c r="BP156" s="22"/>
      <c r="BQ156" s="22"/>
      <c r="BR156" s="22"/>
      <c r="BS156" s="22"/>
      <c r="BT156" s="22"/>
      <c r="BU156" s="22"/>
      <c r="BV156" s="22"/>
      <c r="BW156" s="22"/>
      <c r="BX156" s="22"/>
      <c r="BY156" s="22"/>
      <c r="BZ156" s="22"/>
      <c r="CA156" s="22"/>
      <c r="CB156" s="22"/>
      <c r="CC156" s="22"/>
      <c r="CD156" s="22"/>
      <c r="CE156" s="22"/>
      <c r="CF156" s="22"/>
      <c r="CG156" s="22"/>
      <c r="CH156" s="22"/>
      <c r="CI156" s="22"/>
      <c r="CJ156" s="22"/>
      <c r="CK156" s="22"/>
      <c r="CL156" s="22"/>
      <c r="CM156" s="22"/>
      <c r="CN156" s="22"/>
      <c r="CO156" s="22"/>
      <c r="CP156" s="22"/>
      <c r="CQ156" s="22"/>
      <c r="CR156" s="22"/>
      <c r="CS156" s="22"/>
      <c r="CT156" s="22"/>
      <c r="CU156" s="22"/>
      <c r="CV156" s="22"/>
      <c r="CW156" s="22"/>
      <c r="CX156" s="22"/>
      <c r="CY156" s="22"/>
      <c r="CZ156" s="22"/>
      <c r="DA156" s="22"/>
      <c r="DB156" s="22"/>
      <c r="DC156" s="22"/>
      <c r="DD156" s="22"/>
      <c r="DE156" s="22"/>
      <c r="DF156" s="22"/>
      <c r="DG156" s="22"/>
      <c r="DH156" s="22"/>
      <c r="DI156" s="22"/>
      <c r="DJ156" s="22"/>
      <c r="DK156" s="22"/>
      <c r="DL156" s="22"/>
      <c r="DM156" s="22"/>
      <c r="DN156" s="22"/>
      <c r="DO156" s="22"/>
      <c r="DP156" s="22"/>
      <c r="DQ156" s="22"/>
      <c r="DR156" s="22"/>
      <c r="DS156" s="22"/>
      <c r="DT156" s="22"/>
      <c r="DU156" s="22"/>
      <c r="DV156" s="22"/>
      <c r="DW156" s="22"/>
      <c r="DX156" s="22"/>
      <c r="DY156" s="22"/>
      <c r="DZ156" s="22"/>
      <c r="EA156" s="22"/>
      <c r="EB156" s="22"/>
      <c r="EC156" s="22"/>
      <c r="ED156" s="22"/>
      <c r="EE156" s="22"/>
      <c r="EF156" s="22"/>
      <c r="EG156" s="22"/>
      <c r="EH156" s="22"/>
      <c r="EI156" s="22"/>
      <c r="EJ156" s="22"/>
      <c r="EK156" s="22"/>
      <c r="EL156" s="22"/>
      <c r="EM156" s="22"/>
      <c r="EN156" s="22"/>
      <c r="EO156" s="22"/>
      <c r="EP156" s="22"/>
      <c r="EQ156" s="22"/>
      <c r="ER156" s="22"/>
      <c r="ES156" s="22"/>
      <c r="ET156" s="22"/>
      <c r="EU156" s="22"/>
      <c r="EV156" s="22"/>
      <c r="EW156" s="22"/>
      <c r="EX156" s="22"/>
      <c r="EY156" s="22"/>
      <c r="EZ156" s="22"/>
      <c r="FA156" s="22"/>
      <c r="FB156" s="22"/>
      <c r="FC156" s="22"/>
      <c r="FD156" s="22"/>
      <c r="FE156" s="22"/>
      <c r="FF156" s="22"/>
      <c r="FG156" s="22"/>
      <c r="FH156" s="22"/>
      <c r="FI156" s="22"/>
      <c r="FJ156" s="22"/>
      <c r="FK156" s="22"/>
      <c r="FL156" s="22"/>
      <c r="FM156" s="22"/>
      <c r="FN156" s="22"/>
      <c r="FO156" s="22"/>
      <c r="FP156" s="22"/>
      <c r="FQ156" s="22"/>
      <c r="FR156" s="22"/>
      <c r="FS156" s="22"/>
      <c r="FT156" s="22"/>
      <c r="FU156" s="22"/>
      <c r="FV156" s="22"/>
      <c r="FW156" s="22"/>
      <c r="FX156" s="22"/>
      <c r="FY156" s="22"/>
      <c r="FZ156" s="22"/>
    </row>
    <row r="157" spans="2:182" x14ac:dyDescent="0.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c r="Z157" s="22"/>
      <c r="AA157" s="22"/>
      <c r="AB157" s="22"/>
      <c r="AC157" s="22"/>
      <c r="AD157" s="22"/>
      <c r="AE157" s="22"/>
      <c r="AF157" s="22"/>
      <c r="AG157" s="22"/>
      <c r="AH157" s="22"/>
      <c r="AI157" s="22"/>
      <c r="AJ157" s="22"/>
      <c r="AK157" s="22"/>
      <c r="AL157" s="22"/>
      <c r="AM157" s="22"/>
      <c r="AN157" s="22"/>
      <c r="AO157" s="22"/>
      <c r="AP157" s="22"/>
      <c r="AQ157" s="22"/>
      <c r="AR157" s="22"/>
      <c r="AS157" s="22"/>
      <c r="AT157" s="22"/>
      <c r="AU157" s="22"/>
      <c r="AV157" s="22"/>
      <c r="AW157" s="22"/>
      <c r="AX157" s="22"/>
      <c r="AY157" s="22"/>
      <c r="AZ157" s="22"/>
      <c r="BA157" s="22"/>
      <c r="BB157" s="22"/>
      <c r="BC157" s="22"/>
      <c r="BD157" s="22"/>
      <c r="BE157" s="22"/>
      <c r="BF157" s="22"/>
      <c r="BG157" s="22"/>
      <c r="BH157" s="22"/>
      <c r="BI157" s="22"/>
      <c r="BJ157" s="22"/>
      <c r="BK157" s="22"/>
      <c r="BL157" s="22"/>
      <c r="BM157" s="22"/>
      <c r="BN157" s="22"/>
      <c r="BO157" s="22"/>
      <c r="BP157" s="22"/>
      <c r="BQ157" s="22"/>
      <c r="BR157" s="22"/>
      <c r="BS157" s="22"/>
      <c r="BT157" s="22"/>
      <c r="BU157" s="22"/>
      <c r="BV157" s="22"/>
      <c r="BW157" s="22"/>
      <c r="BX157" s="22"/>
      <c r="BY157" s="22"/>
      <c r="BZ157" s="22"/>
      <c r="CA157" s="22"/>
      <c r="CB157" s="22"/>
      <c r="CC157" s="22"/>
      <c r="CD157" s="22"/>
      <c r="CE157" s="22"/>
      <c r="CF157" s="22"/>
      <c r="CG157" s="22"/>
      <c r="CH157" s="22"/>
      <c r="CI157" s="22"/>
      <c r="CJ157" s="22"/>
      <c r="CK157" s="22"/>
      <c r="CL157" s="22"/>
      <c r="CM157" s="22"/>
      <c r="CN157" s="22"/>
      <c r="CO157" s="22"/>
      <c r="CP157" s="22"/>
      <c r="CQ157" s="22"/>
      <c r="CR157" s="22"/>
      <c r="CS157" s="22"/>
      <c r="CT157" s="22"/>
      <c r="CU157" s="22"/>
      <c r="CV157" s="22"/>
      <c r="CW157" s="22"/>
      <c r="CX157" s="22"/>
      <c r="CY157" s="22"/>
      <c r="CZ157" s="22"/>
      <c r="DA157" s="22"/>
      <c r="DB157" s="22"/>
      <c r="DC157" s="22"/>
      <c r="DD157" s="22"/>
      <c r="DE157" s="22"/>
      <c r="DF157" s="22"/>
      <c r="DG157" s="22"/>
      <c r="DH157" s="22"/>
      <c r="DI157" s="22"/>
      <c r="DJ157" s="22"/>
      <c r="DK157" s="22"/>
      <c r="DL157" s="22"/>
      <c r="DM157" s="22"/>
      <c r="DN157" s="22"/>
      <c r="DO157" s="22"/>
      <c r="DP157" s="22"/>
      <c r="DQ157" s="22"/>
      <c r="DR157" s="22"/>
      <c r="DS157" s="22"/>
      <c r="DT157" s="22"/>
      <c r="DU157" s="22"/>
      <c r="DV157" s="22"/>
      <c r="DW157" s="22"/>
      <c r="DX157" s="22"/>
      <c r="DY157" s="22"/>
      <c r="DZ157" s="22"/>
      <c r="EA157" s="22"/>
      <c r="EB157" s="22"/>
      <c r="EC157" s="22"/>
      <c r="ED157" s="22"/>
      <c r="EE157" s="22"/>
      <c r="EF157" s="22"/>
      <c r="EG157" s="22"/>
      <c r="EH157" s="22"/>
      <c r="EI157" s="22"/>
      <c r="EJ157" s="22"/>
      <c r="EK157" s="22"/>
      <c r="EL157" s="22"/>
      <c r="EM157" s="22"/>
      <c r="EN157" s="22"/>
      <c r="EO157" s="22"/>
      <c r="EP157" s="22"/>
      <c r="EQ157" s="22"/>
      <c r="ER157" s="22"/>
      <c r="ES157" s="22"/>
      <c r="ET157" s="22"/>
      <c r="EU157" s="22"/>
      <c r="EV157" s="22"/>
      <c r="EW157" s="22"/>
      <c r="EX157" s="22"/>
      <c r="EY157" s="22"/>
      <c r="EZ157" s="22"/>
      <c r="FA157" s="22"/>
      <c r="FB157" s="22"/>
      <c r="FC157" s="22"/>
      <c r="FD157" s="22"/>
      <c r="FE157" s="22"/>
      <c r="FF157" s="22"/>
      <c r="FG157" s="22"/>
      <c r="FH157" s="22"/>
      <c r="FI157" s="22"/>
      <c r="FJ157" s="22"/>
      <c r="FK157" s="22"/>
      <c r="FL157" s="22"/>
      <c r="FM157" s="22"/>
      <c r="FN157" s="22"/>
      <c r="FO157" s="22"/>
      <c r="FP157" s="22"/>
      <c r="FQ157" s="22"/>
      <c r="FR157" s="22"/>
      <c r="FS157" s="22"/>
      <c r="FT157" s="22"/>
      <c r="FU157" s="22"/>
      <c r="FV157" s="22"/>
      <c r="FW157" s="22"/>
      <c r="FX157" s="22"/>
      <c r="FY157" s="22"/>
      <c r="FZ157" s="22"/>
    </row>
    <row r="158" spans="2:182" x14ac:dyDescent="0.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c r="Z158" s="22"/>
      <c r="AA158" s="22"/>
      <c r="AB158" s="22"/>
      <c r="AC158" s="22"/>
      <c r="AD158" s="22"/>
      <c r="AE158" s="22"/>
      <c r="AF158" s="22"/>
      <c r="AG158" s="22"/>
      <c r="AH158" s="22"/>
      <c r="AI158" s="22"/>
      <c r="AJ158" s="22"/>
      <c r="AK158" s="22"/>
      <c r="AL158" s="22"/>
      <c r="AM158" s="22"/>
      <c r="AN158" s="22"/>
      <c r="AO158" s="22"/>
      <c r="AP158" s="22"/>
      <c r="AQ158" s="22"/>
      <c r="AR158" s="22"/>
      <c r="AS158" s="22"/>
      <c r="AT158" s="22"/>
      <c r="AU158" s="22"/>
      <c r="AV158" s="22"/>
      <c r="AW158" s="22"/>
      <c r="AX158" s="22"/>
      <c r="AY158" s="22"/>
      <c r="AZ158" s="22"/>
      <c r="BA158" s="22"/>
      <c r="BB158" s="22"/>
      <c r="BC158" s="22"/>
      <c r="BD158" s="22"/>
      <c r="BE158" s="22"/>
      <c r="BF158" s="22"/>
      <c r="BG158" s="22"/>
      <c r="BH158" s="22"/>
      <c r="BI158" s="22"/>
      <c r="BJ158" s="22"/>
      <c r="BK158" s="22"/>
      <c r="BL158" s="22"/>
      <c r="BM158" s="22"/>
      <c r="BN158" s="22"/>
      <c r="BO158" s="22"/>
      <c r="BP158" s="22"/>
      <c r="BQ158" s="22"/>
      <c r="BR158" s="22"/>
      <c r="BS158" s="22"/>
      <c r="BT158" s="22"/>
      <c r="BU158" s="22"/>
      <c r="BV158" s="22"/>
      <c r="BW158" s="22"/>
      <c r="BX158" s="22"/>
      <c r="BY158" s="22"/>
      <c r="BZ158" s="22"/>
      <c r="CA158" s="22"/>
      <c r="CB158" s="22"/>
      <c r="CC158" s="22"/>
      <c r="CD158" s="22"/>
      <c r="CE158" s="22"/>
      <c r="CF158" s="22"/>
      <c r="CG158" s="22"/>
      <c r="CH158" s="22"/>
      <c r="CI158" s="22"/>
      <c r="CJ158" s="22"/>
      <c r="CK158" s="22"/>
      <c r="CL158" s="22"/>
      <c r="CM158" s="22"/>
      <c r="CN158" s="22"/>
      <c r="CO158" s="22"/>
      <c r="CP158" s="22"/>
      <c r="CQ158" s="22"/>
      <c r="CR158" s="22"/>
      <c r="CS158" s="22"/>
      <c r="CT158" s="22"/>
      <c r="CU158" s="22"/>
      <c r="CV158" s="22"/>
      <c r="CW158" s="22"/>
      <c r="CX158" s="22"/>
      <c r="CY158" s="22"/>
      <c r="CZ158" s="22"/>
      <c r="DA158" s="22"/>
      <c r="DB158" s="22"/>
      <c r="DC158" s="22"/>
      <c r="DD158" s="22"/>
      <c r="DE158" s="22"/>
      <c r="DF158" s="22"/>
      <c r="DG158" s="22"/>
      <c r="DH158" s="22"/>
      <c r="DI158" s="22"/>
      <c r="DJ158" s="22"/>
      <c r="DK158" s="22"/>
      <c r="DL158" s="22"/>
      <c r="DM158" s="22"/>
      <c r="DN158" s="22"/>
      <c r="DO158" s="22"/>
      <c r="DP158" s="22"/>
      <c r="DQ158" s="22"/>
      <c r="DR158" s="22"/>
      <c r="DS158" s="22"/>
      <c r="DT158" s="22"/>
      <c r="DU158" s="22"/>
      <c r="DV158" s="22"/>
      <c r="DW158" s="22"/>
      <c r="DX158" s="22"/>
      <c r="DY158" s="22"/>
      <c r="DZ158" s="22"/>
      <c r="EA158" s="22"/>
      <c r="EB158" s="22"/>
      <c r="EC158" s="22"/>
      <c r="ED158" s="22"/>
      <c r="EE158" s="22"/>
      <c r="EF158" s="22"/>
      <c r="EG158" s="22"/>
      <c r="EH158" s="22"/>
      <c r="EI158" s="22"/>
      <c r="EJ158" s="22"/>
      <c r="EK158" s="22"/>
      <c r="EL158" s="22"/>
      <c r="EM158" s="22"/>
      <c r="EN158" s="22"/>
      <c r="EO158" s="22"/>
      <c r="EP158" s="22"/>
      <c r="EQ158" s="22"/>
      <c r="ER158" s="22"/>
      <c r="ES158" s="22"/>
      <c r="ET158" s="22"/>
      <c r="EU158" s="22"/>
      <c r="EV158" s="22"/>
      <c r="EW158" s="22"/>
      <c r="EX158" s="22"/>
      <c r="EY158" s="22"/>
      <c r="EZ158" s="22"/>
      <c r="FA158" s="22"/>
      <c r="FB158" s="22"/>
      <c r="FC158" s="22"/>
      <c r="FD158" s="22"/>
      <c r="FE158" s="22"/>
      <c r="FF158" s="22"/>
      <c r="FG158" s="22"/>
      <c r="FH158" s="22"/>
      <c r="FI158" s="22"/>
      <c r="FJ158" s="22"/>
      <c r="FK158" s="22"/>
      <c r="FL158" s="22"/>
      <c r="FM158" s="22"/>
      <c r="FN158" s="22"/>
      <c r="FO158" s="22"/>
      <c r="FP158" s="22"/>
      <c r="FQ158" s="22"/>
      <c r="FR158" s="22"/>
      <c r="FS158" s="22"/>
      <c r="FT158" s="22"/>
      <c r="FU158" s="22"/>
      <c r="FV158" s="22"/>
      <c r="FW158" s="22"/>
      <c r="FX158" s="22"/>
      <c r="FY158" s="22"/>
      <c r="FZ158" s="22"/>
    </row>
    <row r="159" spans="2:182" x14ac:dyDescent="0.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c r="Z159" s="22"/>
      <c r="AA159" s="22"/>
      <c r="AB159" s="22"/>
      <c r="AC159" s="22"/>
      <c r="AD159" s="22"/>
      <c r="AE159" s="22"/>
      <c r="AF159" s="22"/>
      <c r="AG159" s="22"/>
      <c r="AH159" s="22"/>
      <c r="AI159" s="22"/>
      <c r="AJ159" s="22"/>
      <c r="AK159" s="22"/>
      <c r="AL159" s="22"/>
      <c r="AM159" s="22"/>
      <c r="AN159" s="22"/>
      <c r="AO159" s="22"/>
      <c r="AP159" s="22"/>
      <c r="AQ159" s="22"/>
      <c r="AR159" s="22"/>
      <c r="AS159" s="22"/>
      <c r="AT159" s="22"/>
      <c r="AU159" s="22"/>
      <c r="AV159" s="22"/>
      <c r="AW159" s="22"/>
      <c r="AX159" s="22"/>
      <c r="AY159" s="22"/>
      <c r="AZ159" s="22"/>
      <c r="BA159" s="22"/>
      <c r="BB159" s="22"/>
      <c r="BC159" s="22"/>
      <c r="BD159" s="22"/>
      <c r="BE159" s="22"/>
      <c r="BF159" s="22"/>
      <c r="BG159" s="22"/>
      <c r="BH159" s="22"/>
      <c r="BI159" s="22"/>
      <c r="BJ159" s="22"/>
      <c r="BK159" s="22"/>
      <c r="BL159" s="22"/>
      <c r="BM159" s="22"/>
      <c r="BN159" s="22"/>
      <c r="BO159" s="22"/>
      <c r="BP159" s="22"/>
      <c r="BQ159" s="22"/>
      <c r="BR159" s="22"/>
      <c r="BS159" s="22"/>
      <c r="BT159" s="22"/>
      <c r="BU159" s="22"/>
      <c r="BV159" s="22"/>
      <c r="BW159" s="22"/>
      <c r="BX159" s="22"/>
      <c r="BY159" s="22"/>
      <c r="BZ159" s="22"/>
      <c r="CA159" s="22"/>
      <c r="CB159" s="22"/>
      <c r="CC159" s="22"/>
      <c r="CD159" s="22"/>
      <c r="CE159" s="22"/>
      <c r="CF159" s="22"/>
      <c r="CG159" s="22"/>
      <c r="CH159" s="22"/>
      <c r="CI159" s="22"/>
      <c r="CJ159" s="22"/>
      <c r="CK159" s="22"/>
      <c r="CL159" s="22"/>
      <c r="CM159" s="22"/>
      <c r="CN159" s="22"/>
      <c r="CO159" s="22"/>
      <c r="CP159" s="22"/>
      <c r="CQ159" s="22"/>
      <c r="CR159" s="22"/>
      <c r="CS159" s="22"/>
      <c r="CT159" s="22"/>
      <c r="CU159" s="22"/>
      <c r="CV159" s="22"/>
      <c r="CW159" s="22"/>
      <c r="CX159" s="22"/>
      <c r="CY159" s="22"/>
      <c r="CZ159" s="22"/>
      <c r="DA159" s="22"/>
      <c r="DB159" s="22"/>
      <c r="DC159" s="22"/>
      <c r="DD159" s="22"/>
      <c r="DE159" s="22"/>
      <c r="DF159" s="22"/>
      <c r="DG159" s="22"/>
      <c r="DH159" s="22"/>
      <c r="DI159" s="22"/>
      <c r="DJ159" s="22"/>
      <c r="DK159" s="22"/>
      <c r="DL159" s="22"/>
      <c r="DM159" s="22"/>
      <c r="DN159" s="22"/>
      <c r="DO159" s="22"/>
      <c r="DP159" s="22"/>
      <c r="DQ159" s="22"/>
      <c r="DR159" s="22"/>
      <c r="DS159" s="22"/>
      <c r="DT159" s="22"/>
      <c r="DU159" s="22"/>
      <c r="DV159" s="22"/>
      <c r="DW159" s="22"/>
      <c r="DX159" s="22"/>
      <c r="DY159" s="22"/>
      <c r="DZ159" s="22"/>
      <c r="EA159" s="22"/>
      <c r="EB159" s="22"/>
      <c r="EC159" s="22"/>
      <c r="ED159" s="22"/>
      <c r="EE159" s="22"/>
      <c r="EF159" s="22"/>
      <c r="EG159" s="22"/>
      <c r="EH159" s="22"/>
      <c r="EI159" s="22"/>
      <c r="EJ159" s="22"/>
      <c r="EK159" s="22"/>
      <c r="EL159" s="22"/>
      <c r="EM159" s="22"/>
      <c r="EN159" s="22"/>
      <c r="EO159" s="22"/>
      <c r="EP159" s="22"/>
      <c r="EQ159" s="22"/>
      <c r="ER159" s="22"/>
      <c r="ES159" s="22"/>
      <c r="ET159" s="22"/>
      <c r="EU159" s="22"/>
      <c r="EV159" s="22"/>
      <c r="EW159" s="22"/>
      <c r="EX159" s="22"/>
      <c r="EY159" s="22"/>
      <c r="EZ159" s="22"/>
      <c r="FA159" s="22"/>
      <c r="FB159" s="22"/>
      <c r="FC159" s="22"/>
      <c r="FD159" s="22"/>
      <c r="FE159" s="22"/>
      <c r="FF159" s="22"/>
      <c r="FG159" s="22"/>
      <c r="FH159" s="22"/>
      <c r="FI159" s="22"/>
      <c r="FJ159" s="22"/>
      <c r="FK159" s="22"/>
      <c r="FL159" s="22"/>
      <c r="FM159" s="22"/>
      <c r="FN159" s="22"/>
      <c r="FO159" s="22"/>
      <c r="FP159" s="22"/>
      <c r="FQ159" s="22"/>
      <c r="FR159" s="22"/>
      <c r="FS159" s="22"/>
      <c r="FT159" s="22"/>
      <c r="FU159" s="22"/>
      <c r="FV159" s="22"/>
      <c r="FW159" s="22"/>
      <c r="FX159" s="22"/>
      <c r="FY159" s="22"/>
      <c r="FZ159" s="22"/>
    </row>
    <row r="160" spans="2:182" x14ac:dyDescent="0.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c r="Z160" s="22"/>
      <c r="AA160" s="22"/>
      <c r="AB160" s="22"/>
      <c r="AC160" s="22"/>
      <c r="AD160" s="22"/>
      <c r="AE160" s="22"/>
      <c r="AF160" s="22"/>
      <c r="AG160" s="22"/>
      <c r="AH160" s="22"/>
      <c r="AI160" s="22"/>
      <c r="AJ160" s="22"/>
      <c r="AK160" s="22"/>
      <c r="AL160" s="22"/>
      <c r="AM160" s="22"/>
      <c r="AN160" s="22"/>
      <c r="AO160" s="22"/>
      <c r="AP160" s="22"/>
      <c r="AQ160" s="22"/>
      <c r="AR160" s="22"/>
      <c r="AS160" s="22"/>
      <c r="AT160" s="22"/>
      <c r="AU160" s="22"/>
      <c r="AV160" s="22"/>
      <c r="AW160" s="22"/>
      <c r="AX160" s="22"/>
      <c r="AY160" s="22"/>
      <c r="AZ160" s="22"/>
      <c r="BA160" s="22"/>
      <c r="BB160" s="22"/>
      <c r="BC160" s="22"/>
      <c r="BD160" s="22"/>
      <c r="BE160" s="22"/>
      <c r="BF160" s="22"/>
      <c r="BG160" s="22"/>
      <c r="BH160" s="22"/>
      <c r="BI160" s="22"/>
      <c r="BJ160" s="22"/>
      <c r="BK160" s="22"/>
      <c r="BL160" s="22"/>
      <c r="BM160" s="22"/>
      <c r="BN160" s="22"/>
      <c r="BO160" s="22"/>
      <c r="BP160" s="22"/>
      <c r="BQ160" s="22"/>
      <c r="BR160" s="22"/>
      <c r="BS160" s="22"/>
      <c r="BT160" s="22"/>
      <c r="BU160" s="22"/>
      <c r="BV160" s="22"/>
      <c r="BW160" s="22"/>
      <c r="BX160" s="22"/>
      <c r="BY160" s="22"/>
      <c r="BZ160" s="22"/>
      <c r="CA160" s="22"/>
      <c r="CB160" s="22"/>
      <c r="CC160" s="22"/>
      <c r="CD160" s="22"/>
      <c r="CE160" s="22"/>
      <c r="CF160" s="22"/>
      <c r="CG160" s="22"/>
      <c r="CH160" s="22"/>
      <c r="CI160" s="22"/>
      <c r="CJ160" s="22"/>
      <c r="CK160" s="22"/>
      <c r="CL160" s="22"/>
      <c r="CM160" s="22"/>
      <c r="CN160" s="22"/>
      <c r="CO160" s="22"/>
      <c r="CP160" s="22"/>
      <c r="CQ160" s="22"/>
      <c r="CR160" s="22"/>
      <c r="CS160" s="22"/>
      <c r="CT160" s="22"/>
      <c r="CU160" s="22"/>
      <c r="CV160" s="22"/>
      <c r="CW160" s="22"/>
      <c r="CX160" s="22"/>
      <c r="CY160" s="22"/>
      <c r="CZ160" s="22"/>
      <c r="DA160" s="22"/>
      <c r="DB160" s="22"/>
      <c r="DC160" s="22"/>
      <c r="DD160" s="22"/>
      <c r="DE160" s="22"/>
      <c r="DF160" s="22"/>
      <c r="DG160" s="22"/>
      <c r="DH160" s="22"/>
      <c r="DI160" s="22"/>
      <c r="DJ160" s="22"/>
      <c r="DK160" s="22"/>
      <c r="DL160" s="22"/>
      <c r="DM160" s="22"/>
      <c r="DN160" s="22"/>
      <c r="DO160" s="22"/>
      <c r="DP160" s="22"/>
      <c r="DQ160" s="22"/>
      <c r="DR160" s="22"/>
      <c r="DS160" s="22"/>
      <c r="DT160" s="22"/>
      <c r="DU160" s="22"/>
      <c r="DV160" s="22"/>
      <c r="DW160" s="22"/>
      <c r="DX160" s="22"/>
      <c r="DY160" s="22"/>
      <c r="DZ160" s="22"/>
      <c r="EA160" s="22"/>
      <c r="EB160" s="22"/>
      <c r="EC160" s="22"/>
      <c r="ED160" s="22"/>
      <c r="EE160" s="22"/>
      <c r="EF160" s="22"/>
      <c r="EG160" s="22"/>
      <c r="EH160" s="22"/>
      <c r="EI160" s="22"/>
      <c r="EJ160" s="22"/>
      <c r="EK160" s="22"/>
      <c r="EL160" s="22"/>
      <c r="EM160" s="22"/>
      <c r="EN160" s="22"/>
      <c r="EO160" s="22"/>
      <c r="EP160" s="22"/>
      <c r="EQ160" s="22"/>
      <c r="ER160" s="22"/>
      <c r="ES160" s="22"/>
      <c r="ET160" s="22"/>
      <c r="EU160" s="22"/>
      <c r="EV160" s="22"/>
      <c r="EW160" s="22"/>
      <c r="EX160" s="22"/>
      <c r="EY160" s="22"/>
      <c r="EZ160" s="22"/>
      <c r="FA160" s="22"/>
      <c r="FB160" s="22"/>
      <c r="FC160" s="22"/>
      <c r="FD160" s="22"/>
      <c r="FE160" s="22"/>
      <c r="FF160" s="22"/>
      <c r="FG160" s="22"/>
      <c r="FH160" s="22"/>
      <c r="FI160" s="22"/>
      <c r="FJ160" s="22"/>
      <c r="FK160" s="22"/>
      <c r="FL160" s="22"/>
      <c r="FM160" s="22"/>
      <c r="FN160" s="22"/>
      <c r="FO160" s="22"/>
      <c r="FP160" s="22"/>
      <c r="FQ160" s="22"/>
      <c r="FR160" s="22"/>
      <c r="FS160" s="22"/>
      <c r="FT160" s="22"/>
      <c r="FU160" s="22"/>
      <c r="FV160" s="22"/>
      <c r="FW160" s="22"/>
      <c r="FX160" s="22"/>
      <c r="FY160" s="22"/>
      <c r="FZ160" s="22"/>
    </row>
    <row r="161" spans="2:182" x14ac:dyDescent="0.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c r="Z161" s="22"/>
      <c r="AA161" s="22"/>
      <c r="AB161" s="22"/>
      <c r="AC161" s="22"/>
      <c r="AD161" s="22"/>
      <c r="AE161" s="22"/>
      <c r="AF161" s="22"/>
      <c r="AG161" s="22"/>
      <c r="AH161" s="22"/>
      <c r="AI161" s="22"/>
      <c r="AJ161" s="22"/>
      <c r="AK161" s="22"/>
      <c r="AL161" s="22"/>
      <c r="AM161" s="22"/>
      <c r="AN161" s="22"/>
      <c r="AO161" s="22"/>
      <c r="AP161" s="22"/>
      <c r="AQ161" s="22"/>
      <c r="AR161" s="22"/>
      <c r="AS161" s="22"/>
      <c r="AT161" s="22"/>
      <c r="AU161" s="22"/>
      <c r="AV161" s="22"/>
      <c r="AW161" s="22"/>
      <c r="AX161" s="22"/>
      <c r="AY161" s="22"/>
      <c r="AZ161" s="22"/>
      <c r="BA161" s="22"/>
      <c r="BB161" s="22"/>
      <c r="BC161" s="22"/>
      <c r="BD161" s="22"/>
      <c r="BE161" s="22"/>
      <c r="BF161" s="22"/>
      <c r="BG161" s="22"/>
      <c r="BH161" s="22"/>
      <c r="BI161" s="22"/>
      <c r="BJ161" s="22"/>
      <c r="BK161" s="22"/>
      <c r="BL161" s="22"/>
      <c r="BM161" s="22"/>
      <c r="BN161" s="22"/>
      <c r="BO161" s="22"/>
      <c r="BP161" s="22"/>
      <c r="BQ161" s="22"/>
      <c r="BR161" s="22"/>
      <c r="BS161" s="22"/>
      <c r="BT161" s="22"/>
      <c r="BU161" s="22"/>
      <c r="BV161" s="22"/>
      <c r="BW161" s="22"/>
      <c r="BX161" s="22"/>
      <c r="BY161" s="22"/>
      <c r="BZ161" s="22"/>
      <c r="CA161" s="22"/>
      <c r="CB161" s="22"/>
      <c r="CC161" s="22"/>
      <c r="CD161" s="22"/>
      <c r="CE161" s="22"/>
      <c r="CF161" s="22"/>
      <c r="CG161" s="22"/>
      <c r="CH161" s="22"/>
      <c r="CI161" s="22"/>
      <c r="CJ161" s="22"/>
      <c r="CK161" s="22"/>
      <c r="CL161" s="22"/>
      <c r="CM161" s="22"/>
      <c r="CN161" s="22"/>
      <c r="CO161" s="22"/>
      <c r="CP161" s="22"/>
      <c r="CQ161" s="22"/>
      <c r="CR161" s="22"/>
      <c r="CS161" s="22"/>
      <c r="CT161" s="22"/>
      <c r="CU161" s="22"/>
      <c r="CV161" s="22"/>
      <c r="CW161" s="22"/>
      <c r="CX161" s="22"/>
      <c r="CY161" s="22"/>
      <c r="CZ161" s="22"/>
      <c r="DA161" s="22"/>
      <c r="DB161" s="22"/>
      <c r="DC161" s="22"/>
      <c r="DD161" s="22"/>
      <c r="DE161" s="22"/>
      <c r="DF161" s="22"/>
      <c r="DG161" s="22"/>
      <c r="DH161" s="22"/>
      <c r="DI161" s="22"/>
      <c r="DJ161" s="22"/>
      <c r="DK161" s="22"/>
      <c r="DL161" s="22"/>
      <c r="DM161" s="22"/>
      <c r="DN161" s="22"/>
      <c r="DO161" s="22"/>
      <c r="DP161" s="22"/>
      <c r="DQ161" s="22"/>
      <c r="DR161" s="22"/>
      <c r="DS161" s="22"/>
      <c r="DT161" s="22"/>
      <c r="DU161" s="22"/>
      <c r="DV161" s="22"/>
      <c r="DW161" s="22"/>
      <c r="DX161" s="22"/>
      <c r="DY161" s="22"/>
      <c r="DZ161" s="22"/>
      <c r="EA161" s="22"/>
      <c r="EB161" s="22"/>
      <c r="EC161" s="22"/>
      <c r="ED161" s="22"/>
      <c r="EE161" s="22"/>
      <c r="EF161" s="22"/>
      <c r="EG161" s="22"/>
      <c r="EH161" s="22"/>
      <c r="EI161" s="22"/>
      <c r="EJ161" s="22"/>
      <c r="EK161" s="22"/>
      <c r="EL161" s="22"/>
      <c r="EM161" s="22"/>
      <c r="EN161" s="22"/>
      <c r="EO161" s="22"/>
      <c r="EP161" s="22"/>
      <c r="EQ161" s="22"/>
      <c r="ER161" s="22"/>
      <c r="ES161" s="22"/>
      <c r="ET161" s="22"/>
      <c r="EU161" s="22"/>
      <c r="EV161" s="22"/>
      <c r="EW161" s="22"/>
      <c r="EX161" s="22"/>
      <c r="EY161" s="22"/>
      <c r="EZ161" s="22"/>
      <c r="FA161" s="22"/>
      <c r="FB161" s="22"/>
      <c r="FC161" s="22"/>
      <c r="FD161" s="22"/>
      <c r="FE161" s="22"/>
      <c r="FF161" s="22"/>
      <c r="FG161" s="22"/>
      <c r="FH161" s="22"/>
      <c r="FI161" s="22"/>
      <c r="FJ161" s="22"/>
      <c r="FK161" s="22"/>
      <c r="FL161" s="22"/>
      <c r="FM161" s="22"/>
      <c r="FN161" s="22"/>
      <c r="FO161" s="22"/>
      <c r="FP161" s="22"/>
      <c r="FQ161" s="22"/>
      <c r="FR161" s="22"/>
      <c r="FS161" s="22"/>
      <c r="FT161" s="22"/>
      <c r="FU161" s="22"/>
      <c r="FV161" s="22"/>
      <c r="FW161" s="22"/>
      <c r="FX161" s="22"/>
      <c r="FY161" s="22"/>
      <c r="FZ161" s="22"/>
    </row>
    <row r="162" spans="2:182" x14ac:dyDescent="0.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c r="Z162" s="22"/>
      <c r="AA162" s="22"/>
      <c r="AB162" s="22"/>
      <c r="AC162" s="22"/>
      <c r="AD162" s="22"/>
      <c r="AE162" s="22"/>
      <c r="AF162" s="22"/>
      <c r="AG162" s="22"/>
      <c r="AH162" s="22"/>
      <c r="AI162" s="22"/>
      <c r="AJ162" s="22"/>
      <c r="AK162" s="22"/>
      <c r="AL162" s="22"/>
      <c r="AM162" s="22"/>
      <c r="AN162" s="22"/>
      <c r="AO162" s="22"/>
      <c r="AP162" s="22"/>
      <c r="AQ162" s="22"/>
      <c r="AR162" s="22"/>
      <c r="AS162" s="22"/>
      <c r="AT162" s="22"/>
      <c r="AU162" s="22"/>
      <c r="AV162" s="22"/>
      <c r="AW162" s="22"/>
      <c r="AX162" s="22"/>
      <c r="AY162" s="22"/>
      <c r="AZ162" s="22"/>
      <c r="BA162" s="22"/>
      <c r="BB162" s="22"/>
      <c r="BC162" s="22"/>
      <c r="BD162" s="22"/>
      <c r="BE162" s="22"/>
      <c r="BF162" s="22"/>
      <c r="BG162" s="22"/>
      <c r="BH162" s="22"/>
      <c r="BI162" s="22"/>
      <c r="BJ162" s="22"/>
      <c r="BK162" s="22"/>
      <c r="BL162" s="22"/>
      <c r="BM162" s="22"/>
      <c r="BN162" s="22"/>
      <c r="BO162" s="22"/>
      <c r="BP162" s="22"/>
      <c r="BQ162" s="22"/>
      <c r="BR162" s="22"/>
      <c r="BS162" s="22"/>
      <c r="BT162" s="22"/>
      <c r="BU162" s="22"/>
      <c r="BV162" s="22"/>
      <c r="BW162" s="22"/>
      <c r="BX162" s="22"/>
      <c r="BY162" s="22"/>
      <c r="BZ162" s="22"/>
      <c r="CA162" s="22"/>
      <c r="CB162" s="22"/>
      <c r="CC162" s="22"/>
      <c r="CD162" s="22"/>
      <c r="CE162" s="22"/>
      <c r="CF162" s="22"/>
      <c r="CG162" s="22"/>
      <c r="CH162" s="22"/>
      <c r="CI162" s="22"/>
      <c r="CJ162" s="22"/>
      <c r="CK162" s="22"/>
      <c r="CL162" s="22"/>
      <c r="CM162" s="22"/>
      <c r="CN162" s="22"/>
      <c r="CO162" s="22"/>
      <c r="CP162" s="22"/>
      <c r="CQ162" s="22"/>
      <c r="CR162" s="22"/>
      <c r="CS162" s="22"/>
      <c r="CT162" s="22"/>
      <c r="CU162" s="22"/>
      <c r="CV162" s="22"/>
      <c r="CW162" s="22"/>
      <c r="CX162" s="22"/>
      <c r="CY162" s="22"/>
      <c r="CZ162" s="22"/>
      <c r="DA162" s="22"/>
      <c r="DB162" s="22"/>
      <c r="DC162" s="22"/>
      <c r="DD162" s="22"/>
      <c r="DE162" s="22"/>
      <c r="DF162" s="22"/>
      <c r="DG162" s="22"/>
      <c r="DH162" s="22"/>
      <c r="DI162" s="22"/>
      <c r="DJ162" s="22"/>
      <c r="DK162" s="22"/>
      <c r="DL162" s="22"/>
      <c r="DM162" s="22"/>
      <c r="DN162" s="22"/>
      <c r="DO162" s="22"/>
      <c r="DP162" s="22"/>
      <c r="DQ162" s="22"/>
      <c r="DR162" s="22"/>
      <c r="DS162" s="22"/>
      <c r="DT162" s="22"/>
      <c r="DU162" s="22"/>
      <c r="DV162" s="22"/>
      <c r="DW162" s="22"/>
      <c r="DX162" s="22"/>
      <c r="DY162" s="22"/>
      <c r="DZ162" s="22"/>
      <c r="EA162" s="22"/>
      <c r="EB162" s="22"/>
      <c r="EC162" s="22"/>
      <c r="ED162" s="22"/>
      <c r="EE162" s="22"/>
      <c r="EF162" s="22"/>
      <c r="EG162" s="22"/>
      <c r="EH162" s="22"/>
      <c r="EI162" s="22"/>
      <c r="EJ162" s="22"/>
      <c r="EK162" s="22"/>
      <c r="EL162" s="22"/>
      <c r="EM162" s="22"/>
      <c r="EN162" s="22"/>
      <c r="EO162" s="22"/>
      <c r="EP162" s="22"/>
      <c r="EQ162" s="22"/>
      <c r="ER162" s="22"/>
      <c r="ES162" s="22"/>
      <c r="ET162" s="22"/>
      <c r="EU162" s="22"/>
      <c r="EV162" s="22"/>
      <c r="EW162" s="22"/>
      <c r="EX162" s="22"/>
      <c r="EY162" s="22"/>
      <c r="EZ162" s="22"/>
      <c r="FA162" s="22"/>
      <c r="FB162" s="22"/>
      <c r="FC162" s="22"/>
      <c r="FD162" s="22"/>
      <c r="FE162" s="22"/>
      <c r="FF162" s="22"/>
      <c r="FG162" s="22"/>
      <c r="FH162" s="22"/>
      <c r="FI162" s="22"/>
      <c r="FJ162" s="22"/>
      <c r="FK162" s="22"/>
      <c r="FL162" s="22"/>
      <c r="FM162" s="22"/>
      <c r="FN162" s="22"/>
      <c r="FO162" s="22"/>
      <c r="FP162" s="22"/>
      <c r="FQ162" s="22"/>
      <c r="FR162" s="22"/>
      <c r="FS162" s="22"/>
      <c r="FT162" s="22"/>
      <c r="FU162" s="22"/>
      <c r="FV162" s="22"/>
      <c r="FW162" s="22"/>
      <c r="FX162" s="22"/>
      <c r="FY162" s="22"/>
      <c r="FZ162" s="22"/>
    </row>
    <row r="163" spans="2:182" x14ac:dyDescent="0.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c r="Z163" s="22"/>
      <c r="AA163" s="22"/>
      <c r="AB163" s="22"/>
      <c r="AC163" s="22"/>
      <c r="AD163" s="22"/>
      <c r="AE163" s="22"/>
      <c r="AF163" s="22"/>
      <c r="AG163" s="22"/>
      <c r="AH163" s="22"/>
      <c r="AI163" s="22"/>
      <c r="AJ163" s="22"/>
      <c r="AK163" s="22"/>
      <c r="AL163" s="22"/>
      <c r="AM163" s="22"/>
      <c r="AN163" s="22"/>
      <c r="AO163" s="22"/>
      <c r="AP163" s="22"/>
      <c r="AQ163" s="22"/>
      <c r="AR163" s="22"/>
      <c r="AS163" s="22"/>
      <c r="AT163" s="22"/>
      <c r="AU163" s="22"/>
      <c r="AV163" s="22"/>
      <c r="AW163" s="22"/>
      <c r="AX163" s="22"/>
      <c r="AY163" s="22"/>
      <c r="AZ163" s="22"/>
      <c r="BA163" s="22"/>
      <c r="BB163" s="22"/>
      <c r="BC163" s="22"/>
      <c r="BD163" s="22"/>
      <c r="BE163" s="22"/>
      <c r="BF163" s="22"/>
      <c r="BG163" s="22"/>
      <c r="BH163" s="22"/>
      <c r="BI163" s="22"/>
      <c r="BJ163" s="22"/>
      <c r="BK163" s="22"/>
      <c r="BL163" s="22"/>
      <c r="BM163" s="22"/>
      <c r="BN163" s="22"/>
      <c r="BO163" s="22"/>
      <c r="BP163" s="22"/>
      <c r="BQ163" s="22"/>
      <c r="BR163" s="22"/>
      <c r="BS163" s="22"/>
      <c r="BT163" s="22"/>
      <c r="BU163" s="22"/>
      <c r="BV163" s="22"/>
      <c r="BW163" s="22"/>
      <c r="BX163" s="22"/>
      <c r="BY163" s="22"/>
      <c r="BZ163" s="22"/>
      <c r="CA163" s="22"/>
      <c r="CB163" s="22"/>
      <c r="CC163" s="22"/>
      <c r="CD163" s="22"/>
      <c r="CE163" s="22"/>
      <c r="CF163" s="22"/>
      <c r="CG163" s="22"/>
      <c r="CH163" s="22"/>
      <c r="CI163" s="22"/>
      <c r="CJ163" s="22"/>
      <c r="CK163" s="22"/>
      <c r="CL163" s="22"/>
      <c r="CM163" s="22"/>
      <c r="CN163" s="22"/>
      <c r="CO163" s="22"/>
      <c r="CP163" s="22"/>
      <c r="CQ163" s="22"/>
      <c r="CR163" s="22"/>
      <c r="CS163" s="22"/>
      <c r="CT163" s="22"/>
      <c r="CU163" s="22"/>
      <c r="CV163" s="22"/>
      <c r="CW163" s="22"/>
      <c r="CX163" s="22"/>
      <c r="CY163" s="22"/>
      <c r="CZ163" s="22"/>
      <c r="DA163" s="22"/>
      <c r="DB163" s="22"/>
      <c r="DC163" s="22"/>
      <c r="DD163" s="22"/>
      <c r="DE163" s="22"/>
      <c r="DF163" s="22"/>
      <c r="DG163" s="22"/>
      <c r="DH163" s="22"/>
      <c r="DI163" s="22"/>
      <c r="DJ163" s="22"/>
      <c r="DK163" s="22"/>
      <c r="DL163" s="22"/>
      <c r="DM163" s="22"/>
      <c r="DN163" s="22"/>
      <c r="DO163" s="22"/>
      <c r="DP163" s="22"/>
      <c r="DQ163" s="22"/>
      <c r="DR163" s="22"/>
      <c r="DS163" s="22"/>
      <c r="DT163" s="22"/>
      <c r="DU163" s="22"/>
      <c r="DV163" s="22"/>
      <c r="DW163" s="22"/>
      <c r="DX163" s="22"/>
      <c r="DY163" s="22"/>
      <c r="DZ163" s="22"/>
      <c r="EA163" s="22"/>
      <c r="EB163" s="22"/>
      <c r="EC163" s="22"/>
      <c r="ED163" s="22"/>
      <c r="EE163" s="22"/>
      <c r="EF163" s="22"/>
      <c r="EG163" s="22"/>
      <c r="EH163" s="22"/>
      <c r="EI163" s="22"/>
      <c r="EJ163" s="22"/>
      <c r="EK163" s="22"/>
      <c r="EL163" s="22"/>
      <c r="EM163" s="22"/>
      <c r="EN163" s="22"/>
      <c r="EO163" s="22"/>
      <c r="EP163" s="22"/>
      <c r="EQ163" s="22"/>
      <c r="ER163" s="22"/>
      <c r="ES163" s="22"/>
      <c r="ET163" s="22"/>
      <c r="EU163" s="22"/>
      <c r="EV163" s="22"/>
      <c r="EW163" s="22"/>
      <c r="EX163" s="22"/>
      <c r="EY163" s="22"/>
      <c r="EZ163" s="22"/>
      <c r="FA163" s="22"/>
      <c r="FB163" s="22"/>
      <c r="FC163" s="22"/>
      <c r="FD163" s="22"/>
      <c r="FE163" s="22"/>
      <c r="FF163" s="22"/>
      <c r="FG163" s="22"/>
      <c r="FH163" s="22"/>
      <c r="FI163" s="22"/>
      <c r="FJ163" s="22"/>
      <c r="FK163" s="22"/>
      <c r="FL163" s="22"/>
      <c r="FM163" s="22"/>
      <c r="FN163" s="22"/>
      <c r="FO163" s="22"/>
      <c r="FP163" s="22"/>
      <c r="FQ163" s="22"/>
      <c r="FR163" s="22"/>
      <c r="FS163" s="22"/>
      <c r="FT163" s="22"/>
      <c r="FU163" s="22"/>
      <c r="FV163" s="22"/>
      <c r="FW163" s="22"/>
      <c r="FX163" s="22"/>
      <c r="FY163" s="22"/>
      <c r="FZ163" s="22"/>
    </row>
    <row r="164" spans="2:182" x14ac:dyDescent="0.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c r="Z164" s="22"/>
      <c r="AA164" s="22"/>
      <c r="AB164" s="22"/>
      <c r="AC164" s="22"/>
      <c r="AD164" s="22"/>
      <c r="AE164" s="22"/>
      <c r="AF164" s="22"/>
      <c r="AG164" s="22"/>
      <c r="AH164" s="22"/>
      <c r="AI164" s="22"/>
      <c r="AJ164" s="22"/>
      <c r="AK164" s="22"/>
      <c r="AL164" s="22"/>
      <c r="AM164" s="22"/>
      <c r="AN164" s="22"/>
      <c r="AO164" s="22"/>
      <c r="AP164" s="22"/>
      <c r="AQ164" s="22"/>
      <c r="AR164" s="22"/>
      <c r="AS164" s="22"/>
      <c r="AT164" s="22"/>
      <c r="AU164" s="22"/>
      <c r="AV164" s="22"/>
      <c r="AW164" s="22"/>
      <c r="AX164" s="22"/>
      <c r="AY164" s="22"/>
      <c r="AZ164" s="22"/>
      <c r="BA164" s="22"/>
      <c r="BB164" s="22"/>
      <c r="BC164" s="22"/>
      <c r="BD164" s="22"/>
      <c r="BE164" s="22"/>
      <c r="BF164" s="22"/>
      <c r="BG164" s="22"/>
      <c r="BH164" s="22"/>
      <c r="BI164" s="22"/>
      <c r="BJ164" s="22"/>
      <c r="BK164" s="22"/>
      <c r="BL164" s="22"/>
      <c r="BM164" s="22"/>
      <c r="BN164" s="22"/>
      <c r="BO164" s="22"/>
      <c r="BP164" s="22"/>
      <c r="BQ164" s="22"/>
      <c r="BR164" s="22"/>
      <c r="BS164" s="22"/>
      <c r="BT164" s="22"/>
      <c r="BU164" s="22"/>
      <c r="BV164" s="22"/>
      <c r="BW164" s="22"/>
      <c r="BX164" s="22"/>
      <c r="BY164" s="22"/>
      <c r="BZ164" s="22"/>
      <c r="CA164" s="22"/>
      <c r="CB164" s="22"/>
      <c r="CC164" s="22"/>
      <c r="CD164" s="22"/>
      <c r="CE164" s="22"/>
      <c r="CF164" s="22"/>
      <c r="CG164" s="22"/>
      <c r="CH164" s="22"/>
      <c r="CI164" s="22"/>
      <c r="CJ164" s="22"/>
      <c r="CK164" s="22"/>
      <c r="CL164" s="22"/>
      <c r="CM164" s="22"/>
      <c r="CN164" s="22"/>
      <c r="CO164" s="22"/>
      <c r="CP164" s="22"/>
      <c r="CQ164" s="22"/>
      <c r="CR164" s="22"/>
      <c r="CS164" s="22"/>
      <c r="CT164" s="22"/>
      <c r="CU164" s="22"/>
      <c r="CV164" s="22"/>
      <c r="CW164" s="22"/>
      <c r="CX164" s="22"/>
      <c r="CY164" s="22"/>
      <c r="CZ164" s="22"/>
      <c r="DA164" s="22"/>
      <c r="DB164" s="22"/>
      <c r="DC164" s="22"/>
      <c r="DD164" s="22"/>
      <c r="DE164" s="22"/>
      <c r="DF164" s="22"/>
      <c r="DG164" s="22"/>
      <c r="DH164" s="22"/>
      <c r="DI164" s="22"/>
      <c r="DJ164" s="22"/>
      <c r="DK164" s="22"/>
      <c r="DL164" s="22"/>
      <c r="DM164" s="22"/>
      <c r="DN164" s="22"/>
      <c r="DO164" s="22"/>
      <c r="DP164" s="22"/>
      <c r="DQ164" s="22"/>
      <c r="DR164" s="22"/>
      <c r="DS164" s="22"/>
      <c r="DT164" s="22"/>
      <c r="DU164" s="22"/>
      <c r="DV164" s="22"/>
      <c r="DW164" s="22"/>
      <c r="DX164" s="22"/>
      <c r="DY164" s="22"/>
      <c r="DZ164" s="22"/>
      <c r="EA164" s="22"/>
      <c r="EB164" s="22"/>
      <c r="EC164" s="22"/>
      <c r="ED164" s="22"/>
      <c r="EE164" s="22"/>
      <c r="EF164" s="22"/>
      <c r="EG164" s="22"/>
      <c r="EH164" s="22"/>
      <c r="EI164" s="22"/>
      <c r="EJ164" s="22"/>
      <c r="EK164" s="22"/>
      <c r="EL164" s="22"/>
      <c r="EM164" s="22"/>
      <c r="EN164" s="22"/>
      <c r="EO164" s="22"/>
      <c r="EP164" s="22"/>
      <c r="EQ164" s="22"/>
      <c r="ER164" s="22"/>
      <c r="ES164" s="22"/>
      <c r="ET164" s="22"/>
      <c r="EU164" s="22"/>
      <c r="EV164" s="22"/>
      <c r="EW164" s="22"/>
      <c r="EX164" s="22"/>
      <c r="EY164" s="22"/>
      <c r="EZ164" s="22"/>
      <c r="FA164" s="22"/>
      <c r="FB164" s="22"/>
      <c r="FC164" s="22"/>
      <c r="FD164" s="22"/>
      <c r="FE164" s="22"/>
      <c r="FF164" s="22"/>
      <c r="FG164" s="22"/>
      <c r="FH164" s="22"/>
      <c r="FI164" s="22"/>
      <c r="FJ164" s="22"/>
      <c r="FK164" s="22"/>
      <c r="FL164" s="22"/>
      <c r="FM164" s="22"/>
      <c r="FN164" s="22"/>
      <c r="FO164" s="22"/>
      <c r="FP164" s="22"/>
      <c r="FQ164" s="22"/>
      <c r="FR164" s="22"/>
      <c r="FS164" s="22"/>
      <c r="FT164" s="22"/>
      <c r="FU164" s="22"/>
      <c r="FV164" s="22"/>
      <c r="FW164" s="22"/>
      <c r="FX164" s="22"/>
      <c r="FY164" s="22"/>
      <c r="FZ164" s="22"/>
    </row>
    <row r="165" spans="2:182" x14ac:dyDescent="0.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c r="Z165" s="22"/>
      <c r="AA165" s="22"/>
      <c r="AB165" s="22"/>
      <c r="AC165" s="22"/>
      <c r="AD165" s="22"/>
      <c r="AE165" s="22"/>
      <c r="AF165" s="22"/>
      <c r="AG165" s="22"/>
      <c r="AH165" s="22"/>
      <c r="AI165" s="22"/>
      <c r="AJ165" s="22"/>
      <c r="AK165" s="22"/>
      <c r="AL165" s="22"/>
      <c r="AM165" s="22"/>
      <c r="AN165" s="22"/>
      <c r="AO165" s="22"/>
      <c r="AP165" s="22"/>
      <c r="AQ165" s="22"/>
      <c r="AR165" s="22"/>
      <c r="AS165" s="22"/>
      <c r="AT165" s="22"/>
      <c r="AU165" s="22"/>
      <c r="AV165" s="22"/>
      <c r="AW165" s="22"/>
      <c r="AX165" s="22"/>
      <c r="AY165" s="22"/>
      <c r="AZ165" s="22"/>
      <c r="BA165" s="22"/>
      <c r="BB165" s="22"/>
      <c r="BC165" s="22"/>
      <c r="BD165" s="22"/>
      <c r="BE165" s="22"/>
      <c r="BF165" s="22"/>
      <c r="BG165" s="22"/>
      <c r="BH165" s="22"/>
      <c r="BI165" s="22"/>
      <c r="BJ165" s="22"/>
      <c r="BK165" s="22"/>
      <c r="BL165" s="22"/>
      <c r="BM165" s="22"/>
      <c r="BN165" s="22"/>
      <c r="BO165" s="22"/>
      <c r="BP165" s="22"/>
      <c r="BQ165" s="22"/>
      <c r="BR165" s="22"/>
      <c r="BS165" s="22"/>
      <c r="BT165" s="22"/>
      <c r="BU165" s="22"/>
      <c r="BV165" s="22"/>
      <c r="BW165" s="22"/>
      <c r="BX165" s="22"/>
      <c r="BY165" s="22"/>
      <c r="BZ165" s="22"/>
      <c r="CA165" s="22"/>
      <c r="CB165" s="22"/>
      <c r="CC165" s="22"/>
      <c r="CD165" s="22"/>
      <c r="CE165" s="22"/>
      <c r="CF165" s="22"/>
      <c r="CG165" s="22"/>
      <c r="CH165" s="22"/>
      <c r="CI165" s="22"/>
      <c r="CJ165" s="22"/>
      <c r="CK165" s="22"/>
      <c r="CL165" s="22"/>
      <c r="CM165" s="22"/>
      <c r="CN165" s="22"/>
      <c r="CO165" s="22"/>
      <c r="CP165" s="22"/>
      <c r="CQ165" s="22"/>
      <c r="CR165" s="22"/>
      <c r="CS165" s="22"/>
      <c r="CT165" s="22"/>
      <c r="CU165" s="22"/>
      <c r="CV165" s="22"/>
      <c r="CW165" s="22"/>
      <c r="CX165" s="22"/>
      <c r="CY165" s="22"/>
      <c r="CZ165" s="22"/>
      <c r="DA165" s="22"/>
      <c r="DB165" s="22"/>
      <c r="DC165" s="22"/>
      <c r="DD165" s="22"/>
      <c r="DE165" s="22"/>
      <c r="DF165" s="22"/>
      <c r="DG165" s="22"/>
      <c r="DH165" s="22"/>
      <c r="DI165" s="22"/>
      <c r="DJ165" s="22"/>
      <c r="DK165" s="22"/>
      <c r="DL165" s="22"/>
      <c r="DM165" s="22"/>
      <c r="DN165" s="22"/>
      <c r="DO165" s="22"/>
      <c r="DP165" s="22"/>
      <c r="DQ165" s="22"/>
      <c r="DR165" s="22"/>
      <c r="DS165" s="22"/>
      <c r="DT165" s="22"/>
      <c r="DU165" s="22"/>
      <c r="DV165" s="22"/>
      <c r="DW165" s="22"/>
      <c r="DX165" s="22"/>
      <c r="DY165" s="22"/>
      <c r="DZ165" s="22"/>
      <c r="EA165" s="22"/>
      <c r="EB165" s="22"/>
      <c r="EC165" s="22"/>
      <c r="ED165" s="22"/>
      <c r="EE165" s="22"/>
      <c r="EF165" s="22"/>
      <c r="EG165" s="22"/>
      <c r="EH165" s="22"/>
      <c r="EI165" s="22"/>
      <c r="EJ165" s="22"/>
      <c r="EK165" s="22"/>
      <c r="EL165" s="22"/>
      <c r="EM165" s="22"/>
      <c r="EN165" s="22"/>
      <c r="EO165" s="22"/>
      <c r="EP165" s="22"/>
      <c r="EQ165" s="22"/>
      <c r="ER165" s="22"/>
      <c r="ES165" s="22"/>
      <c r="ET165" s="22"/>
      <c r="EU165" s="22"/>
      <c r="EV165" s="22"/>
      <c r="EW165" s="22"/>
      <c r="EX165" s="22"/>
      <c r="EY165" s="22"/>
      <c r="EZ165" s="22"/>
      <c r="FA165" s="22"/>
      <c r="FB165" s="22"/>
      <c r="FC165" s="22"/>
      <c r="FD165" s="22"/>
      <c r="FE165" s="22"/>
      <c r="FF165" s="22"/>
      <c r="FG165" s="22"/>
      <c r="FH165" s="22"/>
      <c r="FI165" s="22"/>
      <c r="FJ165" s="22"/>
      <c r="FK165" s="22"/>
      <c r="FL165" s="22"/>
      <c r="FM165" s="22"/>
      <c r="FN165" s="22"/>
      <c r="FO165" s="22"/>
      <c r="FP165" s="22"/>
      <c r="FQ165" s="22"/>
      <c r="FR165" s="22"/>
      <c r="FS165" s="22"/>
      <c r="FT165" s="22"/>
      <c r="FU165" s="22"/>
      <c r="FV165" s="22"/>
      <c r="FW165" s="22"/>
      <c r="FX165" s="22"/>
      <c r="FY165" s="22"/>
      <c r="FZ165" s="22"/>
    </row>
    <row r="166" spans="2:182" x14ac:dyDescent="0.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c r="Z166" s="22"/>
      <c r="AA166" s="22"/>
      <c r="AB166" s="22"/>
      <c r="AC166" s="22"/>
      <c r="AD166" s="22"/>
      <c r="AE166" s="22"/>
      <c r="AF166" s="22"/>
      <c r="AG166" s="22"/>
      <c r="AH166" s="22"/>
      <c r="AI166" s="22"/>
      <c r="AJ166" s="22"/>
      <c r="AK166" s="22"/>
      <c r="AL166" s="22"/>
      <c r="AM166" s="22"/>
      <c r="AN166" s="22"/>
      <c r="AO166" s="22"/>
      <c r="AP166" s="22"/>
      <c r="AQ166" s="22"/>
      <c r="AR166" s="22"/>
      <c r="AS166" s="22"/>
      <c r="AT166" s="22"/>
      <c r="AU166" s="22"/>
      <c r="AV166" s="22"/>
      <c r="AW166" s="22"/>
      <c r="AX166" s="22"/>
      <c r="AY166" s="22"/>
      <c r="AZ166" s="22"/>
      <c r="BA166" s="22"/>
      <c r="BB166" s="22"/>
      <c r="BC166" s="22"/>
      <c r="BD166" s="22"/>
      <c r="BE166" s="22"/>
      <c r="BF166" s="22"/>
      <c r="BG166" s="22"/>
      <c r="BH166" s="22"/>
      <c r="BI166" s="22"/>
      <c r="BJ166" s="22"/>
      <c r="BK166" s="22"/>
      <c r="BL166" s="22"/>
      <c r="BM166" s="22"/>
      <c r="BN166" s="22"/>
      <c r="BO166" s="22"/>
      <c r="BP166" s="22"/>
      <c r="BQ166" s="22"/>
      <c r="BR166" s="22"/>
      <c r="BS166" s="22"/>
      <c r="BT166" s="22"/>
      <c r="BU166" s="22"/>
      <c r="BV166" s="22"/>
      <c r="BW166" s="22"/>
      <c r="BX166" s="22"/>
      <c r="BY166" s="22"/>
      <c r="BZ166" s="22"/>
      <c r="CA166" s="22"/>
      <c r="CB166" s="22"/>
      <c r="CC166" s="22"/>
      <c r="CD166" s="22"/>
      <c r="CE166" s="22"/>
      <c r="CF166" s="22"/>
      <c r="CG166" s="22"/>
      <c r="CH166" s="22"/>
      <c r="CI166" s="22"/>
      <c r="CJ166" s="22"/>
      <c r="CK166" s="22"/>
      <c r="CL166" s="22"/>
      <c r="CM166" s="22"/>
      <c r="CN166" s="22"/>
      <c r="CO166" s="22"/>
      <c r="CP166" s="22"/>
      <c r="CQ166" s="22"/>
      <c r="CR166" s="22"/>
      <c r="CS166" s="22"/>
      <c r="CT166" s="22"/>
      <c r="CU166" s="22"/>
      <c r="CV166" s="22"/>
      <c r="CW166" s="22"/>
      <c r="CX166" s="22"/>
      <c r="CY166" s="22"/>
      <c r="CZ166" s="22"/>
      <c r="DA166" s="22"/>
      <c r="DB166" s="22"/>
      <c r="DC166" s="22"/>
      <c r="DD166" s="22"/>
      <c r="DE166" s="22"/>
      <c r="DF166" s="22"/>
      <c r="DG166" s="22"/>
      <c r="DH166" s="22"/>
      <c r="DI166" s="22"/>
      <c r="DJ166" s="22"/>
      <c r="DK166" s="22"/>
      <c r="DL166" s="22"/>
      <c r="DM166" s="22"/>
      <c r="DN166" s="22"/>
      <c r="DO166" s="22"/>
      <c r="DP166" s="22"/>
      <c r="DQ166" s="22"/>
      <c r="DR166" s="22"/>
      <c r="DS166" s="22"/>
      <c r="DT166" s="22"/>
      <c r="DU166" s="22"/>
      <c r="DV166" s="22"/>
      <c r="DW166" s="22"/>
      <c r="DX166" s="22"/>
      <c r="DY166" s="22"/>
      <c r="DZ166" s="22"/>
      <c r="EA166" s="22"/>
      <c r="EB166" s="22"/>
      <c r="EC166" s="22"/>
      <c r="ED166" s="22"/>
      <c r="EE166" s="22"/>
      <c r="EF166" s="22"/>
      <c r="EG166" s="22"/>
      <c r="EH166" s="22"/>
      <c r="EI166" s="22"/>
      <c r="EJ166" s="22"/>
      <c r="EK166" s="22"/>
      <c r="EL166" s="22"/>
      <c r="EM166" s="22"/>
      <c r="EN166" s="22"/>
      <c r="EO166" s="22"/>
      <c r="EP166" s="22"/>
      <c r="EQ166" s="22"/>
      <c r="ER166" s="22"/>
      <c r="ES166" s="22"/>
      <c r="ET166" s="22"/>
      <c r="EU166" s="22"/>
      <c r="EV166" s="22"/>
      <c r="EW166" s="22"/>
      <c r="EX166" s="22"/>
      <c r="EY166" s="22"/>
      <c r="EZ166" s="22"/>
      <c r="FA166" s="22"/>
      <c r="FB166" s="22"/>
      <c r="FC166" s="22"/>
      <c r="FD166" s="22"/>
      <c r="FE166" s="22"/>
      <c r="FF166" s="22"/>
      <c r="FG166" s="22"/>
      <c r="FH166" s="22"/>
      <c r="FI166" s="22"/>
      <c r="FJ166" s="22"/>
      <c r="FK166" s="22"/>
      <c r="FL166" s="22"/>
      <c r="FM166" s="22"/>
      <c r="FN166" s="22"/>
      <c r="FO166" s="22"/>
      <c r="FP166" s="22"/>
      <c r="FQ166" s="22"/>
      <c r="FR166" s="22"/>
      <c r="FS166" s="22"/>
      <c r="FT166" s="22"/>
      <c r="FU166" s="22"/>
      <c r="FV166" s="22"/>
      <c r="FW166" s="22"/>
      <c r="FX166" s="22"/>
      <c r="FY166" s="22"/>
      <c r="FZ166" s="22"/>
    </row>
    <row r="167" spans="2:182" x14ac:dyDescent="0.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c r="Z167" s="22"/>
      <c r="AA167" s="22"/>
      <c r="AB167" s="22"/>
      <c r="AC167" s="22"/>
      <c r="AD167" s="22"/>
      <c r="AE167" s="22"/>
      <c r="AF167" s="22"/>
      <c r="AG167" s="22"/>
      <c r="AH167" s="22"/>
      <c r="AI167" s="22"/>
      <c r="AJ167" s="22"/>
      <c r="AK167" s="22"/>
      <c r="AL167" s="22"/>
      <c r="AM167" s="22"/>
      <c r="AN167" s="22"/>
      <c r="AO167" s="22"/>
      <c r="AP167" s="22"/>
      <c r="AQ167" s="22"/>
      <c r="AR167" s="22"/>
      <c r="AS167" s="22"/>
      <c r="AT167" s="22"/>
      <c r="AU167" s="22"/>
      <c r="AV167" s="22"/>
      <c r="AW167" s="22"/>
      <c r="AX167" s="22"/>
      <c r="AY167" s="22"/>
      <c r="AZ167" s="22"/>
      <c r="BA167" s="22"/>
      <c r="BB167" s="22"/>
      <c r="BC167" s="22"/>
      <c r="BD167" s="22"/>
      <c r="BE167" s="22"/>
      <c r="BF167" s="22"/>
      <c r="BG167" s="22"/>
      <c r="BH167" s="22"/>
      <c r="BI167" s="22"/>
      <c r="BJ167" s="22"/>
      <c r="BK167" s="22"/>
      <c r="BL167" s="22"/>
      <c r="BM167" s="22"/>
      <c r="BN167" s="22"/>
      <c r="BO167" s="22"/>
      <c r="BP167" s="22"/>
      <c r="BQ167" s="22"/>
      <c r="BR167" s="22"/>
      <c r="BS167" s="22"/>
      <c r="BT167" s="22"/>
      <c r="BU167" s="22"/>
      <c r="BV167" s="22"/>
      <c r="BW167" s="22"/>
      <c r="BX167" s="22"/>
      <c r="BY167" s="22"/>
      <c r="BZ167" s="22"/>
      <c r="CA167" s="22"/>
      <c r="CB167" s="22"/>
      <c r="CC167" s="22"/>
      <c r="CD167" s="22"/>
      <c r="CE167" s="22"/>
      <c r="CF167" s="22"/>
      <c r="CG167" s="22"/>
      <c r="CH167" s="22"/>
      <c r="CI167" s="22"/>
      <c r="CJ167" s="22"/>
      <c r="CK167" s="22"/>
      <c r="CL167" s="22"/>
      <c r="CM167" s="22"/>
      <c r="CN167" s="22"/>
      <c r="CO167" s="22"/>
      <c r="CP167" s="22"/>
      <c r="CQ167" s="22"/>
      <c r="CR167" s="22"/>
      <c r="CS167" s="22"/>
      <c r="CT167" s="22"/>
      <c r="CU167" s="22"/>
      <c r="CV167" s="22"/>
      <c r="CW167" s="22"/>
      <c r="CX167" s="22"/>
      <c r="CY167" s="22"/>
      <c r="CZ167" s="22"/>
      <c r="DA167" s="22"/>
      <c r="DB167" s="22"/>
      <c r="DC167" s="22"/>
      <c r="DD167" s="22"/>
      <c r="DE167" s="22"/>
      <c r="DF167" s="22"/>
      <c r="DG167" s="22"/>
      <c r="DH167" s="22"/>
      <c r="DI167" s="22"/>
      <c r="DJ167" s="22"/>
      <c r="DK167" s="22"/>
      <c r="DL167" s="22"/>
      <c r="DM167" s="22"/>
      <c r="DN167" s="22"/>
      <c r="DO167" s="22"/>
      <c r="DP167" s="22"/>
      <c r="DQ167" s="22"/>
      <c r="DR167" s="22"/>
      <c r="DS167" s="22"/>
      <c r="DT167" s="22"/>
      <c r="DU167" s="22"/>
      <c r="DV167" s="22"/>
      <c r="DW167" s="22"/>
      <c r="DX167" s="22"/>
      <c r="DY167" s="22"/>
      <c r="DZ167" s="22"/>
      <c r="EA167" s="22"/>
      <c r="EB167" s="22"/>
      <c r="EC167" s="22"/>
      <c r="ED167" s="22"/>
      <c r="EE167" s="22"/>
      <c r="EF167" s="22"/>
      <c r="EG167" s="22"/>
      <c r="EH167" s="22"/>
      <c r="EI167" s="22"/>
      <c r="EJ167" s="22"/>
      <c r="EK167" s="22"/>
      <c r="EL167" s="22"/>
      <c r="EM167" s="22"/>
      <c r="EN167" s="22"/>
      <c r="EO167" s="22"/>
      <c r="EP167" s="22"/>
      <c r="EQ167" s="22"/>
      <c r="ER167" s="22"/>
      <c r="ES167" s="22"/>
      <c r="ET167" s="22"/>
      <c r="EU167" s="22"/>
      <c r="EV167" s="22"/>
      <c r="EW167" s="22"/>
      <c r="EX167" s="22"/>
      <c r="EY167" s="22"/>
      <c r="EZ167" s="22"/>
      <c r="FA167" s="22"/>
      <c r="FB167" s="22"/>
      <c r="FC167" s="22"/>
      <c r="FD167" s="22"/>
      <c r="FE167" s="22"/>
      <c r="FF167" s="22"/>
      <c r="FG167" s="22"/>
      <c r="FH167" s="22"/>
      <c r="FI167" s="22"/>
      <c r="FJ167" s="22"/>
      <c r="FK167" s="22"/>
      <c r="FL167" s="22"/>
      <c r="FM167" s="22"/>
      <c r="FN167" s="22"/>
      <c r="FO167" s="22"/>
      <c r="FP167" s="22"/>
      <c r="FQ167" s="22"/>
      <c r="FR167" s="22"/>
      <c r="FS167" s="22"/>
      <c r="FT167" s="22"/>
      <c r="FU167" s="22"/>
      <c r="FV167" s="22"/>
      <c r="FW167" s="22"/>
      <c r="FX167" s="22"/>
      <c r="FY167" s="22"/>
      <c r="FZ167" s="22"/>
    </row>
    <row r="168" spans="2:182" x14ac:dyDescent="0.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c r="Z168" s="22"/>
      <c r="AA168" s="22"/>
      <c r="AB168" s="22"/>
      <c r="AC168" s="22"/>
      <c r="AD168" s="22"/>
      <c r="AE168" s="22"/>
      <c r="AF168" s="22"/>
      <c r="AG168" s="22"/>
      <c r="AH168" s="22"/>
      <c r="AI168" s="22"/>
      <c r="AJ168" s="22"/>
      <c r="AK168" s="22"/>
      <c r="AL168" s="22"/>
      <c r="AM168" s="22"/>
      <c r="AN168" s="22"/>
      <c r="AO168" s="22"/>
      <c r="AP168" s="22"/>
      <c r="AQ168" s="22"/>
      <c r="AR168" s="22"/>
      <c r="AS168" s="22"/>
      <c r="AT168" s="22"/>
      <c r="AU168" s="22"/>
      <c r="AV168" s="22"/>
      <c r="AW168" s="22"/>
      <c r="AX168" s="22"/>
      <c r="AY168" s="22"/>
      <c r="AZ168" s="22"/>
      <c r="BA168" s="22"/>
      <c r="BB168" s="22"/>
      <c r="BC168" s="22"/>
      <c r="BD168" s="22"/>
      <c r="BE168" s="22"/>
      <c r="BF168" s="22"/>
      <c r="BG168" s="22"/>
      <c r="BH168" s="22"/>
      <c r="BI168" s="22"/>
      <c r="BJ168" s="22"/>
      <c r="BK168" s="22"/>
      <c r="BL168" s="22"/>
      <c r="BM168" s="22"/>
      <c r="BN168" s="22"/>
      <c r="BO168" s="22"/>
      <c r="BP168" s="22"/>
      <c r="BQ168" s="22"/>
      <c r="BR168" s="22"/>
      <c r="BS168" s="22"/>
      <c r="BT168" s="22"/>
      <c r="BU168" s="22"/>
      <c r="BV168" s="22"/>
      <c r="BW168" s="22"/>
      <c r="BX168" s="22"/>
      <c r="BY168" s="22"/>
      <c r="BZ168" s="22"/>
      <c r="CA168" s="22"/>
      <c r="CB168" s="22"/>
      <c r="CC168" s="22"/>
      <c r="CD168" s="22"/>
      <c r="CE168" s="22"/>
      <c r="CF168" s="22"/>
      <c r="CG168" s="22"/>
      <c r="CH168" s="22"/>
      <c r="CI168" s="22"/>
      <c r="CJ168" s="22"/>
      <c r="CK168" s="22"/>
      <c r="CL168" s="22"/>
      <c r="CM168" s="22"/>
      <c r="CN168" s="22"/>
      <c r="CO168" s="22"/>
      <c r="CP168" s="22"/>
      <c r="CQ168" s="22"/>
      <c r="CR168" s="22"/>
      <c r="CS168" s="22"/>
      <c r="CT168" s="22"/>
      <c r="CU168" s="22"/>
      <c r="CV168" s="22"/>
      <c r="CW168" s="22"/>
      <c r="CX168" s="22"/>
      <c r="CY168" s="22"/>
      <c r="CZ168" s="22"/>
      <c r="DA168" s="22"/>
      <c r="DB168" s="22"/>
      <c r="DC168" s="22"/>
      <c r="DD168" s="22"/>
      <c r="DE168" s="22"/>
      <c r="DF168" s="22"/>
      <c r="DG168" s="22"/>
      <c r="DH168" s="22"/>
      <c r="DI168" s="22"/>
      <c r="DJ168" s="22"/>
      <c r="DK168" s="22"/>
      <c r="DL168" s="22"/>
      <c r="DM168" s="22"/>
      <c r="DN168" s="22"/>
      <c r="DO168" s="22"/>
      <c r="DP168" s="22"/>
      <c r="DQ168" s="22"/>
      <c r="DR168" s="22"/>
      <c r="DS168" s="22"/>
      <c r="DT168" s="22"/>
      <c r="DU168" s="22"/>
      <c r="DV168" s="22"/>
      <c r="DW168" s="22"/>
      <c r="DX168" s="22"/>
      <c r="DY168" s="22"/>
      <c r="DZ168" s="22"/>
      <c r="EA168" s="22"/>
      <c r="EB168" s="22"/>
      <c r="EC168" s="22"/>
      <c r="ED168" s="22"/>
      <c r="EE168" s="22"/>
      <c r="EF168" s="22"/>
      <c r="EG168" s="22"/>
      <c r="EH168" s="22"/>
      <c r="EI168" s="22"/>
      <c r="EJ168" s="22"/>
      <c r="EK168" s="22"/>
      <c r="EL168" s="22"/>
      <c r="EM168" s="22"/>
      <c r="EN168" s="22"/>
      <c r="EO168" s="22"/>
      <c r="EP168" s="22"/>
      <c r="EQ168" s="22"/>
      <c r="ER168" s="22"/>
      <c r="ES168" s="22"/>
      <c r="ET168" s="22"/>
      <c r="EU168" s="22"/>
      <c r="EV168" s="22"/>
      <c r="EW168" s="22"/>
      <c r="EX168" s="22"/>
      <c r="EY168" s="22"/>
      <c r="EZ168" s="22"/>
      <c r="FA168" s="22"/>
      <c r="FB168" s="22"/>
      <c r="FC168" s="22"/>
      <c r="FD168" s="22"/>
      <c r="FE168" s="22"/>
      <c r="FF168" s="22"/>
      <c r="FG168" s="22"/>
      <c r="FH168" s="22"/>
      <c r="FI168" s="22"/>
      <c r="FJ168" s="22"/>
      <c r="FK168" s="22"/>
      <c r="FL168" s="22"/>
      <c r="FM168" s="22"/>
      <c r="FN168" s="22"/>
      <c r="FO168" s="22"/>
      <c r="FP168" s="22"/>
      <c r="FQ168" s="22"/>
      <c r="FR168" s="22"/>
      <c r="FS168" s="22"/>
      <c r="FT168" s="22"/>
      <c r="FU168" s="22"/>
      <c r="FV168" s="22"/>
      <c r="FW168" s="22"/>
      <c r="FX168" s="22"/>
      <c r="FY168" s="22"/>
      <c r="FZ168" s="22"/>
    </row>
    <row r="169" spans="2:182" x14ac:dyDescent="0.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c r="Z169" s="22"/>
      <c r="AA169" s="22"/>
      <c r="AB169" s="22"/>
      <c r="AC169" s="22"/>
      <c r="AD169" s="22"/>
      <c r="AE169" s="22"/>
      <c r="AF169" s="22"/>
      <c r="AG169" s="22"/>
      <c r="AH169" s="22"/>
      <c r="AI169" s="22"/>
      <c r="AJ169" s="22"/>
      <c r="AK169" s="22"/>
      <c r="AL169" s="22"/>
      <c r="AM169" s="22"/>
      <c r="AN169" s="22"/>
      <c r="AO169" s="22"/>
      <c r="AP169" s="22"/>
      <c r="AQ169" s="22"/>
      <c r="AR169" s="22"/>
      <c r="AS169" s="22"/>
      <c r="AT169" s="22"/>
      <c r="AU169" s="22"/>
      <c r="AV169" s="22"/>
      <c r="AW169" s="22"/>
      <c r="AX169" s="22"/>
      <c r="AY169" s="22"/>
      <c r="AZ169" s="22"/>
      <c r="BA169" s="22"/>
      <c r="BB169" s="22"/>
      <c r="BC169" s="22"/>
      <c r="BD169" s="22"/>
      <c r="BE169" s="22"/>
      <c r="BF169" s="22"/>
      <c r="BG169" s="22"/>
      <c r="BH169" s="22"/>
      <c r="BI169" s="22"/>
      <c r="BJ169" s="22"/>
      <c r="BK169" s="22"/>
      <c r="BL169" s="22"/>
      <c r="BM169" s="22"/>
      <c r="BN169" s="22"/>
      <c r="BO169" s="22"/>
      <c r="BP169" s="22"/>
      <c r="BQ169" s="22"/>
      <c r="BR169" s="22"/>
      <c r="BS169" s="22"/>
      <c r="BT169" s="22"/>
      <c r="BU169" s="22"/>
      <c r="BV169" s="22"/>
      <c r="BW169" s="22"/>
      <c r="BX169" s="22"/>
      <c r="BY169" s="22"/>
      <c r="BZ169" s="22"/>
      <c r="CA169" s="22"/>
      <c r="CB169" s="22"/>
      <c r="CC169" s="22"/>
      <c r="CD169" s="22"/>
      <c r="CE169" s="22"/>
      <c r="CF169" s="22"/>
      <c r="CG169" s="22"/>
      <c r="CH169" s="22"/>
      <c r="CI169" s="22"/>
      <c r="CJ169" s="22"/>
      <c r="CK169" s="22"/>
      <c r="CL169" s="22"/>
      <c r="CM169" s="22"/>
      <c r="CN169" s="22"/>
      <c r="CO169" s="22"/>
      <c r="CP169" s="22"/>
      <c r="CQ169" s="22"/>
      <c r="CR169" s="22"/>
      <c r="CS169" s="22"/>
      <c r="CT169" s="22"/>
      <c r="CU169" s="22"/>
      <c r="CV169" s="22"/>
      <c r="CW169" s="22"/>
      <c r="CX169" s="22"/>
      <c r="CY169" s="22"/>
      <c r="CZ169" s="22"/>
      <c r="DA169" s="22"/>
      <c r="DB169" s="22"/>
      <c r="DC169" s="22"/>
      <c r="DD169" s="22"/>
      <c r="DE169" s="22"/>
      <c r="DF169" s="22"/>
      <c r="DG169" s="22"/>
      <c r="DH169" s="22"/>
      <c r="DI169" s="22"/>
      <c r="DJ169" s="22"/>
      <c r="DK169" s="22"/>
      <c r="DL169" s="22"/>
      <c r="DM169" s="22"/>
      <c r="DN169" s="22"/>
      <c r="DO169" s="22"/>
      <c r="DP169" s="22"/>
      <c r="DQ169" s="22"/>
      <c r="DR169" s="22"/>
      <c r="DS169" s="22"/>
      <c r="DT169" s="22"/>
      <c r="DU169" s="22"/>
      <c r="DV169" s="22"/>
      <c r="DW169" s="22"/>
      <c r="DX169" s="22"/>
      <c r="DY169" s="22"/>
      <c r="DZ169" s="22"/>
      <c r="EA169" s="22"/>
      <c r="EB169" s="22"/>
      <c r="EC169" s="22"/>
      <c r="ED169" s="22"/>
      <c r="EE169" s="22"/>
      <c r="EF169" s="22"/>
      <c r="EG169" s="22"/>
      <c r="EH169" s="22"/>
      <c r="EI169" s="22"/>
      <c r="EJ169" s="22"/>
      <c r="EK169" s="22"/>
      <c r="EL169" s="22"/>
      <c r="EM169" s="22"/>
      <c r="EN169" s="22"/>
      <c r="EO169" s="22"/>
      <c r="EP169" s="22"/>
      <c r="EQ169" s="22"/>
      <c r="ER169" s="22"/>
      <c r="ES169" s="22"/>
      <c r="ET169" s="22"/>
      <c r="EU169" s="22"/>
      <c r="EV169" s="22"/>
      <c r="EW169" s="22"/>
      <c r="EX169" s="22"/>
      <c r="EY169" s="22"/>
      <c r="EZ169" s="22"/>
      <c r="FA169" s="22"/>
      <c r="FB169" s="22"/>
      <c r="FC169" s="22"/>
      <c r="FD169" s="22"/>
      <c r="FE169" s="22"/>
      <c r="FF169" s="22"/>
      <c r="FG169" s="22"/>
      <c r="FH169" s="22"/>
      <c r="FI169" s="22"/>
      <c r="FJ169" s="22"/>
      <c r="FK169" s="22"/>
      <c r="FL169" s="22"/>
      <c r="FM169" s="22"/>
      <c r="FN169" s="22"/>
      <c r="FO169" s="22"/>
      <c r="FP169" s="22"/>
      <c r="FQ169" s="22"/>
      <c r="FR169" s="22"/>
      <c r="FS169" s="22"/>
      <c r="FT169" s="22"/>
      <c r="FU169" s="22"/>
      <c r="FV169" s="22"/>
      <c r="FW169" s="22"/>
      <c r="FX169" s="22"/>
      <c r="FY169" s="22"/>
      <c r="FZ169" s="22"/>
    </row>
    <row r="170" spans="2:182" x14ac:dyDescent="0.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c r="Z170" s="22"/>
      <c r="AA170" s="22"/>
      <c r="AB170" s="22"/>
      <c r="AC170" s="22"/>
      <c r="AD170" s="22"/>
      <c r="AE170" s="22"/>
      <c r="AF170" s="22"/>
      <c r="AG170" s="22"/>
      <c r="AH170" s="22"/>
      <c r="AI170" s="22"/>
      <c r="AJ170" s="22"/>
      <c r="AK170" s="22"/>
      <c r="AL170" s="22"/>
      <c r="AM170" s="22"/>
      <c r="AN170" s="22"/>
      <c r="AO170" s="22"/>
      <c r="AP170" s="22"/>
      <c r="AQ170" s="22"/>
      <c r="AR170" s="22"/>
      <c r="AS170" s="22"/>
      <c r="AT170" s="22"/>
      <c r="AU170" s="22"/>
      <c r="AV170" s="22"/>
      <c r="AW170" s="22"/>
      <c r="AX170" s="22"/>
      <c r="AY170" s="22"/>
      <c r="AZ170" s="22"/>
      <c r="BA170" s="22"/>
      <c r="BB170" s="22"/>
      <c r="BC170" s="22"/>
      <c r="BD170" s="22"/>
      <c r="BE170" s="22"/>
      <c r="BF170" s="22"/>
      <c r="BG170" s="22"/>
      <c r="BH170" s="22"/>
      <c r="BI170" s="22"/>
      <c r="BJ170" s="22"/>
      <c r="BK170" s="22"/>
      <c r="BL170" s="22"/>
      <c r="BM170" s="22"/>
      <c r="BN170" s="22"/>
      <c r="BO170" s="22"/>
      <c r="BP170" s="22"/>
      <c r="BQ170" s="22"/>
      <c r="BR170" s="22"/>
      <c r="BS170" s="22"/>
      <c r="BT170" s="22"/>
      <c r="BU170" s="22"/>
      <c r="BV170" s="22"/>
      <c r="BW170" s="22"/>
      <c r="BX170" s="22"/>
      <c r="BY170" s="22"/>
      <c r="BZ170" s="22"/>
      <c r="CA170" s="22"/>
      <c r="CB170" s="22"/>
      <c r="CC170" s="22"/>
      <c r="CD170" s="22"/>
      <c r="CE170" s="22"/>
      <c r="CF170" s="22"/>
      <c r="CG170" s="22"/>
      <c r="CH170" s="22"/>
      <c r="CI170" s="22"/>
      <c r="CJ170" s="22"/>
      <c r="CK170" s="22"/>
      <c r="CL170" s="22"/>
      <c r="CM170" s="22"/>
      <c r="CN170" s="22"/>
      <c r="CO170" s="22"/>
      <c r="CP170" s="22"/>
      <c r="CQ170" s="22"/>
      <c r="CR170" s="22"/>
      <c r="CS170" s="22"/>
      <c r="CT170" s="22"/>
      <c r="CU170" s="22"/>
      <c r="CV170" s="22"/>
      <c r="CW170" s="22"/>
      <c r="CX170" s="22"/>
      <c r="CY170" s="22"/>
      <c r="CZ170" s="22"/>
      <c r="DA170" s="22"/>
      <c r="DB170" s="22"/>
      <c r="DC170" s="22"/>
      <c r="DD170" s="22"/>
      <c r="DE170" s="22"/>
      <c r="DF170" s="22"/>
      <c r="DG170" s="22"/>
      <c r="DH170" s="22"/>
      <c r="DI170" s="22"/>
      <c r="DJ170" s="22"/>
      <c r="DK170" s="22"/>
      <c r="DL170" s="22"/>
      <c r="DM170" s="22"/>
      <c r="DN170" s="22"/>
      <c r="DO170" s="22"/>
      <c r="DP170" s="22"/>
      <c r="DQ170" s="22"/>
      <c r="DR170" s="22"/>
      <c r="DS170" s="22"/>
      <c r="DT170" s="22"/>
      <c r="DU170" s="22"/>
      <c r="DV170" s="22"/>
      <c r="DW170" s="22"/>
      <c r="DX170" s="22"/>
      <c r="DY170" s="22"/>
      <c r="DZ170" s="22"/>
      <c r="EA170" s="22"/>
      <c r="EB170" s="22"/>
      <c r="EC170" s="22"/>
      <c r="ED170" s="22"/>
      <c r="EE170" s="22"/>
      <c r="EF170" s="22"/>
      <c r="EG170" s="22"/>
      <c r="EH170" s="22"/>
      <c r="EI170" s="22"/>
      <c r="EJ170" s="22"/>
      <c r="EK170" s="22"/>
      <c r="EL170" s="22"/>
      <c r="EM170" s="22"/>
      <c r="EN170" s="22"/>
      <c r="EO170" s="22"/>
      <c r="EP170" s="22"/>
      <c r="EQ170" s="22"/>
      <c r="ER170" s="22"/>
      <c r="ES170" s="22"/>
      <c r="ET170" s="22"/>
      <c r="EU170" s="22"/>
      <c r="EV170" s="22"/>
      <c r="EW170" s="22"/>
      <c r="EX170" s="22"/>
      <c r="EY170" s="22"/>
      <c r="EZ170" s="22"/>
      <c r="FA170" s="22"/>
      <c r="FB170" s="22"/>
      <c r="FC170" s="22"/>
      <c r="FD170" s="22"/>
      <c r="FE170" s="22"/>
      <c r="FF170" s="22"/>
      <c r="FG170" s="22"/>
      <c r="FH170" s="22"/>
      <c r="FI170" s="22"/>
      <c r="FJ170" s="22"/>
      <c r="FK170" s="22"/>
      <c r="FL170" s="22"/>
      <c r="FM170" s="22"/>
      <c r="FN170" s="22"/>
      <c r="FO170" s="22"/>
      <c r="FP170" s="22"/>
      <c r="FQ170" s="22"/>
      <c r="FR170" s="22"/>
      <c r="FS170" s="22"/>
      <c r="FT170" s="22"/>
      <c r="FU170" s="22"/>
      <c r="FV170" s="22"/>
      <c r="FW170" s="22"/>
      <c r="FX170" s="22"/>
      <c r="FY170" s="22"/>
      <c r="FZ170" s="22"/>
    </row>
    <row r="171" spans="2:182" x14ac:dyDescent="0.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c r="Z171" s="22"/>
      <c r="AA171" s="22"/>
      <c r="AB171" s="22"/>
      <c r="AC171" s="22"/>
      <c r="AD171" s="22"/>
      <c r="AE171" s="22"/>
      <c r="AF171" s="22"/>
      <c r="AG171" s="22"/>
      <c r="AH171" s="22"/>
      <c r="AI171" s="22"/>
      <c r="AJ171" s="22"/>
      <c r="AK171" s="22"/>
      <c r="AL171" s="22"/>
      <c r="AM171" s="22"/>
      <c r="AN171" s="22"/>
      <c r="AO171" s="22"/>
      <c r="AP171" s="22"/>
      <c r="AQ171" s="22"/>
      <c r="AR171" s="22"/>
      <c r="AS171" s="22"/>
      <c r="AT171" s="22"/>
      <c r="AU171" s="22"/>
      <c r="AV171" s="22"/>
      <c r="AW171" s="22"/>
      <c r="AX171" s="22"/>
      <c r="AY171" s="22"/>
      <c r="AZ171" s="22"/>
      <c r="BA171" s="22"/>
      <c r="BB171" s="22"/>
      <c r="BC171" s="22"/>
      <c r="BD171" s="22"/>
      <c r="BE171" s="22"/>
      <c r="BF171" s="22"/>
      <c r="BG171" s="22"/>
      <c r="BH171" s="22"/>
      <c r="BI171" s="22"/>
      <c r="BJ171" s="22"/>
      <c r="BK171" s="22"/>
      <c r="BL171" s="22"/>
      <c r="BM171" s="22"/>
      <c r="BN171" s="22"/>
      <c r="BO171" s="22"/>
      <c r="BP171" s="22"/>
      <c r="BQ171" s="22"/>
      <c r="BR171" s="22"/>
      <c r="BS171" s="22"/>
      <c r="BT171" s="22"/>
      <c r="BU171" s="22"/>
      <c r="BV171" s="22"/>
      <c r="BW171" s="22"/>
      <c r="BX171" s="22"/>
      <c r="BY171" s="22"/>
      <c r="BZ171" s="22"/>
      <c r="CA171" s="22"/>
      <c r="CB171" s="22"/>
      <c r="CC171" s="22"/>
      <c r="CD171" s="22"/>
      <c r="CE171" s="22"/>
      <c r="CF171" s="22"/>
      <c r="CG171" s="22"/>
      <c r="CH171" s="22"/>
      <c r="CI171" s="22"/>
      <c r="CJ171" s="22"/>
      <c r="CK171" s="22"/>
      <c r="CL171" s="22"/>
      <c r="CM171" s="22"/>
      <c r="CN171" s="22"/>
      <c r="CO171" s="22"/>
      <c r="CP171" s="22"/>
      <c r="CQ171" s="22"/>
      <c r="CR171" s="22"/>
      <c r="CS171" s="22"/>
      <c r="CT171" s="22"/>
      <c r="CU171" s="22"/>
      <c r="CV171" s="22"/>
      <c r="CW171" s="22"/>
      <c r="CX171" s="22"/>
      <c r="CY171" s="22"/>
      <c r="CZ171" s="22"/>
      <c r="DA171" s="22"/>
      <c r="DB171" s="22"/>
      <c r="DC171" s="22"/>
      <c r="DD171" s="22"/>
      <c r="DE171" s="22"/>
      <c r="DF171" s="22"/>
      <c r="DG171" s="22"/>
      <c r="DH171" s="22"/>
      <c r="DI171" s="22"/>
      <c r="DJ171" s="22"/>
      <c r="DK171" s="22"/>
      <c r="DL171" s="22"/>
      <c r="DM171" s="22"/>
      <c r="DN171" s="22"/>
      <c r="DO171" s="22"/>
      <c r="DP171" s="22"/>
      <c r="DQ171" s="22"/>
      <c r="DR171" s="22"/>
      <c r="DS171" s="22"/>
      <c r="DT171" s="22"/>
      <c r="DU171" s="22"/>
      <c r="DV171" s="22"/>
      <c r="DW171" s="22"/>
      <c r="DX171" s="22"/>
      <c r="DY171" s="22"/>
      <c r="DZ171" s="22"/>
      <c r="EA171" s="22"/>
      <c r="EB171" s="22"/>
      <c r="EC171" s="22"/>
      <c r="ED171" s="22"/>
      <c r="EE171" s="22"/>
      <c r="EF171" s="22"/>
      <c r="EG171" s="22"/>
      <c r="EH171" s="22"/>
      <c r="EI171" s="22"/>
      <c r="EJ171" s="22"/>
      <c r="EK171" s="22"/>
      <c r="EL171" s="22"/>
      <c r="EM171" s="22"/>
      <c r="EN171" s="22"/>
      <c r="EO171" s="22"/>
      <c r="EP171" s="22"/>
      <c r="EQ171" s="22"/>
      <c r="ER171" s="22"/>
      <c r="ES171" s="22"/>
      <c r="ET171" s="22"/>
      <c r="EU171" s="22"/>
      <c r="EV171" s="22"/>
      <c r="EW171" s="22"/>
      <c r="EX171" s="22"/>
      <c r="EY171" s="22"/>
      <c r="EZ171" s="22"/>
      <c r="FA171" s="22"/>
      <c r="FB171" s="22"/>
      <c r="FC171" s="22"/>
      <c r="FD171" s="22"/>
      <c r="FE171" s="22"/>
      <c r="FF171" s="22"/>
      <c r="FG171" s="22"/>
      <c r="FH171" s="22"/>
      <c r="FI171" s="22"/>
      <c r="FJ171" s="22"/>
      <c r="FK171" s="22"/>
      <c r="FL171" s="22"/>
      <c r="FM171" s="22"/>
      <c r="FN171" s="22"/>
      <c r="FO171" s="22"/>
      <c r="FP171" s="22"/>
      <c r="FQ171" s="22"/>
      <c r="FR171" s="22"/>
      <c r="FS171" s="22"/>
      <c r="FT171" s="22"/>
      <c r="FU171" s="22"/>
      <c r="FV171" s="22"/>
      <c r="FW171" s="22"/>
      <c r="FX171" s="22"/>
      <c r="FY171" s="22"/>
      <c r="FZ171" s="22"/>
    </row>
    <row r="172" spans="2:182" x14ac:dyDescent="0.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c r="Z172" s="22"/>
      <c r="AA172" s="22"/>
      <c r="AB172" s="22"/>
      <c r="AC172" s="22"/>
      <c r="AD172" s="22"/>
      <c r="AE172" s="22"/>
      <c r="AF172" s="22"/>
      <c r="AG172" s="22"/>
      <c r="AH172" s="22"/>
      <c r="AI172" s="22"/>
      <c r="AJ172" s="22"/>
      <c r="AK172" s="22"/>
      <c r="AL172" s="22"/>
      <c r="AM172" s="22"/>
      <c r="AN172" s="22"/>
      <c r="AO172" s="22"/>
      <c r="AP172" s="22"/>
      <c r="AQ172" s="22"/>
      <c r="AR172" s="22"/>
      <c r="AS172" s="22"/>
      <c r="AT172" s="22"/>
      <c r="AU172" s="22"/>
      <c r="AV172" s="22"/>
      <c r="AW172" s="22"/>
      <c r="AX172" s="22"/>
      <c r="AY172" s="22"/>
      <c r="AZ172" s="22"/>
      <c r="BA172" s="22"/>
      <c r="BB172" s="22"/>
      <c r="BC172" s="22"/>
      <c r="BD172" s="22"/>
      <c r="BE172" s="22"/>
      <c r="BF172" s="22"/>
      <c r="BG172" s="22"/>
      <c r="BH172" s="22"/>
      <c r="BI172" s="22"/>
      <c r="BJ172" s="22"/>
      <c r="BK172" s="22"/>
      <c r="BL172" s="22"/>
      <c r="BM172" s="22"/>
      <c r="BN172" s="22"/>
      <c r="BO172" s="22"/>
      <c r="BP172" s="22"/>
      <c r="BQ172" s="22"/>
      <c r="BR172" s="22"/>
      <c r="BS172" s="22"/>
      <c r="BT172" s="22"/>
      <c r="BU172" s="22"/>
      <c r="BV172" s="22"/>
      <c r="BW172" s="22"/>
      <c r="BX172" s="22"/>
      <c r="BY172" s="22"/>
      <c r="BZ172" s="22"/>
      <c r="CA172" s="22"/>
      <c r="CB172" s="22"/>
      <c r="CC172" s="22"/>
      <c r="CD172" s="22"/>
      <c r="CE172" s="22"/>
      <c r="CF172" s="22"/>
      <c r="CG172" s="22"/>
      <c r="CH172" s="22"/>
      <c r="CI172" s="22"/>
      <c r="CJ172" s="22"/>
      <c r="CK172" s="22"/>
      <c r="CL172" s="22"/>
      <c r="CM172" s="22"/>
      <c r="CN172" s="22"/>
      <c r="CO172" s="22"/>
      <c r="CP172" s="22"/>
      <c r="CQ172" s="22"/>
      <c r="CR172" s="22"/>
      <c r="CS172" s="22"/>
      <c r="CT172" s="22"/>
      <c r="CU172" s="22"/>
      <c r="CV172" s="22"/>
      <c r="CW172" s="22"/>
      <c r="CX172" s="22"/>
      <c r="CY172" s="22"/>
      <c r="CZ172" s="22"/>
      <c r="DA172" s="22"/>
      <c r="DB172" s="22"/>
      <c r="DC172" s="22"/>
      <c r="DD172" s="22"/>
      <c r="DE172" s="22"/>
      <c r="DF172" s="22"/>
      <c r="DG172" s="22"/>
      <c r="DH172" s="22"/>
      <c r="DI172" s="22"/>
      <c r="DJ172" s="22"/>
      <c r="DK172" s="22"/>
      <c r="DL172" s="22"/>
      <c r="DM172" s="22"/>
      <c r="DN172" s="22"/>
      <c r="DO172" s="22"/>
      <c r="DP172" s="22"/>
      <c r="DQ172" s="22"/>
      <c r="DR172" s="22"/>
      <c r="DS172" s="22"/>
      <c r="DT172" s="22"/>
      <c r="DU172" s="22"/>
      <c r="DV172" s="22"/>
      <c r="DW172" s="22"/>
      <c r="DX172" s="22"/>
      <c r="DY172" s="22"/>
      <c r="DZ172" s="22"/>
      <c r="EA172" s="22"/>
      <c r="EB172" s="22"/>
      <c r="EC172" s="22"/>
      <c r="ED172" s="22"/>
      <c r="EE172" s="22"/>
      <c r="EF172" s="22"/>
      <c r="EG172" s="22"/>
      <c r="EH172" s="22"/>
      <c r="EI172" s="22"/>
      <c r="EJ172" s="22"/>
      <c r="EK172" s="22"/>
      <c r="EL172" s="22"/>
      <c r="EM172" s="22"/>
      <c r="EN172" s="22"/>
      <c r="EO172" s="22"/>
      <c r="EP172" s="22"/>
      <c r="EQ172" s="22"/>
      <c r="ER172" s="22"/>
      <c r="ES172" s="22"/>
      <c r="ET172" s="22"/>
      <c r="EU172" s="22"/>
      <c r="EV172" s="22"/>
      <c r="EW172" s="22"/>
      <c r="EX172" s="22"/>
      <c r="EY172" s="22"/>
      <c r="EZ172" s="22"/>
      <c r="FA172" s="22"/>
      <c r="FB172" s="22"/>
      <c r="FC172" s="22"/>
      <c r="FD172" s="22"/>
      <c r="FE172" s="22"/>
      <c r="FF172" s="22"/>
      <c r="FG172" s="22"/>
      <c r="FH172" s="22"/>
      <c r="FI172" s="22"/>
      <c r="FJ172" s="22"/>
      <c r="FK172" s="22"/>
      <c r="FL172" s="22"/>
      <c r="FM172" s="22"/>
      <c r="FN172" s="22"/>
      <c r="FO172" s="22"/>
      <c r="FP172" s="22"/>
      <c r="FQ172" s="22"/>
      <c r="FR172" s="22"/>
      <c r="FS172" s="22"/>
      <c r="FT172" s="22"/>
      <c r="FU172" s="22"/>
      <c r="FV172" s="22"/>
      <c r="FW172" s="22"/>
      <c r="FX172" s="22"/>
      <c r="FY172" s="22"/>
      <c r="FZ172" s="22"/>
    </row>
    <row r="173" spans="2:182" x14ac:dyDescent="0.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c r="Z173" s="22"/>
      <c r="AA173" s="22"/>
      <c r="AB173" s="22"/>
      <c r="AC173" s="22"/>
      <c r="AD173" s="22"/>
      <c r="AE173" s="22"/>
      <c r="AF173" s="22"/>
      <c r="AG173" s="22"/>
      <c r="AH173" s="22"/>
      <c r="AI173" s="22"/>
      <c r="AJ173" s="22"/>
      <c r="AK173" s="22"/>
      <c r="AL173" s="22"/>
      <c r="AM173" s="22"/>
      <c r="AN173" s="22"/>
      <c r="AO173" s="22"/>
      <c r="AP173" s="22"/>
      <c r="AQ173" s="22"/>
      <c r="AR173" s="22"/>
      <c r="AS173" s="22"/>
      <c r="AT173" s="22"/>
      <c r="AU173" s="22"/>
      <c r="AV173" s="22"/>
      <c r="AW173" s="22"/>
      <c r="AX173" s="22"/>
      <c r="AY173" s="22"/>
      <c r="AZ173" s="22"/>
      <c r="BA173" s="22"/>
      <c r="BB173" s="22"/>
      <c r="BC173" s="22"/>
      <c r="BD173" s="22"/>
      <c r="BE173" s="22"/>
      <c r="BF173" s="22"/>
      <c r="BG173" s="22"/>
      <c r="BH173" s="22"/>
      <c r="BI173" s="22"/>
      <c r="BJ173" s="22"/>
      <c r="BK173" s="22"/>
      <c r="BL173" s="22"/>
      <c r="BM173" s="22"/>
      <c r="BN173" s="22"/>
      <c r="BO173" s="22"/>
      <c r="BP173" s="22"/>
      <c r="BQ173" s="22"/>
      <c r="BR173" s="22"/>
      <c r="BS173" s="22"/>
      <c r="BT173" s="22"/>
      <c r="BU173" s="22"/>
      <c r="BV173" s="22"/>
      <c r="BW173" s="22"/>
      <c r="BX173" s="22"/>
      <c r="BY173" s="22"/>
      <c r="BZ173" s="22"/>
      <c r="CA173" s="22"/>
      <c r="CB173" s="22"/>
      <c r="CC173" s="22"/>
      <c r="CD173" s="22"/>
      <c r="CE173" s="22"/>
      <c r="CF173" s="22"/>
      <c r="CG173" s="22"/>
      <c r="CH173" s="22"/>
      <c r="CI173" s="22"/>
      <c r="CJ173" s="22"/>
      <c r="CK173" s="22"/>
      <c r="CL173" s="22"/>
      <c r="CM173" s="22"/>
      <c r="CN173" s="22"/>
      <c r="CO173" s="22"/>
      <c r="CP173" s="22"/>
      <c r="CQ173" s="22"/>
      <c r="CR173" s="22"/>
      <c r="CS173" s="22"/>
      <c r="CT173" s="22"/>
      <c r="CU173" s="22"/>
      <c r="CV173" s="22"/>
      <c r="CW173" s="22"/>
      <c r="CX173" s="22"/>
      <c r="CY173" s="22"/>
      <c r="CZ173" s="22"/>
      <c r="DA173" s="22"/>
      <c r="DB173" s="22"/>
      <c r="DC173" s="22"/>
      <c r="DD173" s="22"/>
      <c r="DE173" s="22"/>
      <c r="DF173" s="22"/>
      <c r="DG173" s="22"/>
      <c r="DH173" s="22"/>
      <c r="DI173" s="22"/>
      <c r="DJ173" s="22"/>
      <c r="DK173" s="22"/>
      <c r="DL173" s="22"/>
      <c r="DM173" s="22"/>
      <c r="DN173" s="22"/>
      <c r="DO173" s="22"/>
      <c r="DP173" s="22"/>
      <c r="DQ173" s="22"/>
      <c r="DR173" s="22"/>
      <c r="DS173" s="22"/>
      <c r="DT173" s="22"/>
      <c r="DU173" s="22"/>
      <c r="DV173" s="22"/>
      <c r="DW173" s="22"/>
      <c r="DX173" s="22"/>
      <c r="DY173" s="22"/>
      <c r="DZ173" s="22"/>
      <c r="EA173" s="22"/>
      <c r="EB173" s="22"/>
      <c r="EC173" s="22"/>
      <c r="ED173" s="22"/>
      <c r="EE173" s="22"/>
      <c r="EF173" s="22"/>
      <c r="EG173" s="22"/>
      <c r="EH173" s="22"/>
      <c r="EI173" s="22"/>
      <c r="EJ173" s="22"/>
      <c r="EK173" s="22"/>
      <c r="EL173" s="22"/>
      <c r="EM173" s="22"/>
      <c r="EN173" s="22"/>
      <c r="EO173" s="22"/>
      <c r="EP173" s="22"/>
      <c r="EQ173" s="22"/>
      <c r="ER173" s="22"/>
      <c r="ES173" s="22"/>
      <c r="ET173" s="22"/>
      <c r="EU173" s="22"/>
      <c r="EV173" s="22"/>
      <c r="EW173" s="22"/>
      <c r="EX173" s="22"/>
      <c r="EY173" s="22"/>
      <c r="EZ173" s="22"/>
      <c r="FA173" s="22"/>
      <c r="FB173" s="22"/>
      <c r="FC173" s="22"/>
      <c r="FD173" s="22"/>
      <c r="FE173" s="22"/>
      <c r="FF173" s="22"/>
      <c r="FG173" s="22"/>
      <c r="FH173" s="22"/>
      <c r="FI173" s="22"/>
      <c r="FJ173" s="22"/>
      <c r="FK173" s="22"/>
      <c r="FL173" s="22"/>
      <c r="FM173" s="22"/>
      <c r="FN173" s="22"/>
      <c r="FO173" s="22"/>
      <c r="FP173" s="22"/>
      <c r="FQ173" s="22"/>
      <c r="FR173" s="22"/>
      <c r="FS173" s="22"/>
      <c r="FT173" s="22"/>
      <c r="FU173" s="22"/>
      <c r="FV173" s="22"/>
      <c r="FW173" s="22"/>
      <c r="FX173" s="22"/>
      <c r="FY173" s="22"/>
      <c r="FZ173" s="22"/>
    </row>
    <row r="174" spans="2:182" x14ac:dyDescent="0.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c r="Z174" s="22"/>
      <c r="AA174" s="22"/>
      <c r="AB174" s="22"/>
      <c r="AC174" s="22"/>
      <c r="AD174" s="22"/>
      <c r="AE174" s="22"/>
      <c r="AF174" s="22"/>
      <c r="AG174" s="22"/>
      <c r="AH174" s="22"/>
      <c r="AI174" s="22"/>
      <c r="AJ174" s="22"/>
      <c r="AK174" s="22"/>
      <c r="AL174" s="22"/>
      <c r="AM174" s="22"/>
      <c r="AN174" s="22"/>
      <c r="AO174" s="22"/>
      <c r="AP174" s="22"/>
      <c r="AQ174" s="22"/>
      <c r="AR174" s="22"/>
      <c r="AS174" s="22"/>
      <c r="AT174" s="22"/>
      <c r="AU174" s="22"/>
      <c r="AV174" s="22"/>
      <c r="AW174" s="22"/>
      <c r="AX174" s="22"/>
      <c r="AY174" s="22"/>
      <c r="AZ174" s="22"/>
      <c r="BA174" s="22"/>
      <c r="BB174" s="22"/>
      <c r="BC174" s="22"/>
      <c r="BD174" s="22"/>
      <c r="BE174" s="22"/>
      <c r="BF174" s="22"/>
      <c r="BG174" s="22"/>
      <c r="BH174" s="22"/>
      <c r="BI174" s="22"/>
      <c r="BJ174" s="22"/>
      <c r="BK174" s="22"/>
      <c r="BL174" s="22"/>
      <c r="BM174" s="22"/>
      <c r="BN174" s="22"/>
      <c r="BO174" s="22"/>
      <c r="BP174" s="22"/>
      <c r="BQ174" s="22"/>
      <c r="BR174" s="22"/>
      <c r="BS174" s="22"/>
      <c r="BT174" s="22"/>
      <c r="BU174" s="22"/>
      <c r="BV174" s="22"/>
      <c r="BW174" s="22"/>
      <c r="BX174" s="22"/>
      <c r="BY174" s="22"/>
      <c r="BZ174" s="22"/>
      <c r="CA174" s="22"/>
      <c r="CB174" s="22"/>
      <c r="CC174" s="22"/>
      <c r="CD174" s="22"/>
      <c r="CE174" s="22"/>
      <c r="CF174" s="22"/>
      <c r="CG174" s="22"/>
      <c r="CH174" s="22"/>
      <c r="CI174" s="22"/>
      <c r="CJ174" s="22"/>
      <c r="CK174" s="22"/>
      <c r="CL174" s="22"/>
      <c r="CM174" s="22"/>
      <c r="CN174" s="22"/>
      <c r="CO174" s="22"/>
      <c r="CP174" s="22"/>
      <c r="CQ174" s="22"/>
      <c r="CR174" s="22"/>
      <c r="CS174" s="22"/>
      <c r="CT174" s="22"/>
      <c r="CU174" s="22"/>
      <c r="CV174" s="22"/>
      <c r="CW174" s="22"/>
      <c r="CX174" s="22"/>
      <c r="CY174" s="22"/>
      <c r="CZ174" s="22"/>
      <c r="DA174" s="22"/>
      <c r="DB174" s="22"/>
      <c r="DC174" s="22"/>
      <c r="DD174" s="22"/>
      <c r="DE174" s="22"/>
      <c r="DF174" s="22"/>
      <c r="DG174" s="22"/>
      <c r="DH174" s="22"/>
      <c r="DI174" s="22"/>
      <c r="DJ174" s="22"/>
      <c r="DK174" s="22"/>
      <c r="DL174" s="22"/>
      <c r="DM174" s="22"/>
      <c r="DN174" s="22"/>
      <c r="DO174" s="22"/>
      <c r="DP174" s="22"/>
      <c r="DQ174" s="22"/>
      <c r="DR174" s="22"/>
      <c r="DS174" s="22"/>
      <c r="DT174" s="22"/>
      <c r="DU174" s="22"/>
      <c r="DV174" s="22"/>
      <c r="DW174" s="22"/>
      <c r="DX174" s="22"/>
      <c r="DY174" s="22"/>
      <c r="DZ174" s="22"/>
      <c r="EA174" s="22"/>
      <c r="EB174" s="22"/>
      <c r="EC174" s="22"/>
      <c r="ED174" s="22"/>
      <c r="EE174" s="22"/>
      <c r="EF174" s="22"/>
      <c r="EG174" s="22"/>
      <c r="EH174" s="22"/>
      <c r="EI174" s="22"/>
      <c r="EJ174" s="22"/>
      <c r="EK174" s="22"/>
      <c r="EL174" s="22"/>
      <c r="EM174" s="22"/>
      <c r="EN174" s="22"/>
      <c r="EO174" s="22"/>
      <c r="EP174" s="22"/>
      <c r="EQ174" s="22"/>
      <c r="ER174" s="22"/>
      <c r="ES174" s="22"/>
      <c r="ET174" s="22"/>
      <c r="EU174" s="22"/>
      <c r="EV174" s="22"/>
      <c r="EW174" s="22"/>
      <c r="EX174" s="22"/>
      <c r="EY174" s="22"/>
      <c r="EZ174" s="22"/>
      <c r="FA174" s="22"/>
      <c r="FB174" s="22"/>
      <c r="FC174" s="22"/>
      <c r="FD174" s="22"/>
      <c r="FE174" s="22"/>
      <c r="FF174" s="22"/>
      <c r="FG174" s="22"/>
      <c r="FH174" s="22"/>
      <c r="FI174" s="22"/>
      <c r="FJ174" s="22"/>
      <c r="FK174" s="22"/>
      <c r="FL174" s="22"/>
      <c r="FM174" s="22"/>
      <c r="FN174" s="22"/>
      <c r="FO174" s="22"/>
      <c r="FP174" s="22"/>
      <c r="FQ174" s="22"/>
      <c r="FR174" s="22"/>
      <c r="FS174" s="22"/>
      <c r="FT174" s="22"/>
      <c r="FU174" s="22"/>
      <c r="FV174" s="22"/>
      <c r="FW174" s="22"/>
      <c r="FX174" s="22"/>
      <c r="FY174" s="22"/>
      <c r="FZ174" s="22"/>
    </row>
    <row r="175" spans="2:182" x14ac:dyDescent="0.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c r="Z175" s="22"/>
      <c r="AA175" s="22"/>
      <c r="AB175" s="22"/>
      <c r="AC175" s="22"/>
      <c r="AD175" s="22"/>
      <c r="AE175" s="22"/>
      <c r="AF175" s="22"/>
      <c r="AG175" s="22"/>
      <c r="AH175" s="22"/>
      <c r="AI175" s="22"/>
      <c r="AJ175" s="22"/>
      <c r="AK175" s="22"/>
      <c r="AL175" s="22"/>
      <c r="AM175" s="22"/>
      <c r="AN175" s="22"/>
      <c r="AO175" s="22"/>
      <c r="AP175" s="22"/>
      <c r="AQ175" s="22"/>
      <c r="AR175" s="22"/>
      <c r="AS175" s="22"/>
      <c r="AT175" s="22"/>
      <c r="AU175" s="22"/>
      <c r="AV175" s="22"/>
      <c r="AW175" s="22"/>
      <c r="AX175" s="22"/>
      <c r="AY175" s="22"/>
      <c r="AZ175" s="22"/>
      <c r="BA175" s="22"/>
      <c r="BB175" s="22"/>
      <c r="BC175" s="22"/>
      <c r="BD175" s="22"/>
      <c r="BE175" s="22"/>
      <c r="BF175" s="22"/>
      <c r="BG175" s="22"/>
      <c r="BH175" s="22"/>
      <c r="BI175" s="22"/>
      <c r="BJ175" s="22"/>
      <c r="BK175" s="22"/>
      <c r="BL175" s="22"/>
      <c r="BM175" s="22"/>
      <c r="BN175" s="22"/>
      <c r="BO175" s="22"/>
      <c r="BP175" s="22"/>
      <c r="BQ175" s="22"/>
      <c r="BR175" s="22"/>
      <c r="BS175" s="22"/>
      <c r="BT175" s="22"/>
      <c r="BU175" s="22"/>
      <c r="BV175" s="22"/>
      <c r="BW175" s="22"/>
      <c r="BX175" s="22"/>
      <c r="BY175" s="22"/>
      <c r="BZ175" s="22"/>
      <c r="CA175" s="22"/>
      <c r="CB175" s="22"/>
      <c r="CC175" s="22"/>
      <c r="CD175" s="22"/>
      <c r="CE175" s="22"/>
      <c r="CF175" s="22"/>
      <c r="CG175" s="22"/>
      <c r="CH175" s="22"/>
      <c r="CI175" s="22"/>
      <c r="CJ175" s="22"/>
      <c r="CK175" s="22"/>
      <c r="CL175" s="22"/>
      <c r="CM175" s="22"/>
      <c r="CN175" s="22"/>
      <c r="CO175" s="22"/>
      <c r="CP175" s="22"/>
      <c r="CQ175" s="22"/>
      <c r="CR175" s="22"/>
      <c r="CS175" s="22"/>
      <c r="CT175" s="22"/>
      <c r="CU175" s="22"/>
      <c r="CV175" s="22"/>
      <c r="CW175" s="22"/>
      <c r="CX175" s="22"/>
      <c r="CY175" s="22"/>
      <c r="CZ175" s="22"/>
      <c r="DA175" s="22"/>
      <c r="DB175" s="22"/>
      <c r="DC175" s="22"/>
      <c r="DD175" s="22"/>
      <c r="DE175" s="22"/>
      <c r="DF175" s="22"/>
      <c r="DG175" s="22"/>
      <c r="DH175" s="22"/>
      <c r="DI175" s="22"/>
      <c r="DJ175" s="22"/>
      <c r="DK175" s="22"/>
      <c r="DL175" s="22"/>
      <c r="DM175" s="22"/>
      <c r="DN175" s="22"/>
      <c r="DO175" s="22"/>
      <c r="DP175" s="22"/>
      <c r="DQ175" s="22"/>
      <c r="DR175" s="22"/>
      <c r="DS175" s="22"/>
      <c r="DT175" s="22"/>
      <c r="DU175" s="22"/>
      <c r="DV175" s="22"/>
      <c r="DW175" s="22"/>
      <c r="DX175" s="22"/>
      <c r="DY175" s="22"/>
      <c r="DZ175" s="22"/>
      <c r="EA175" s="22"/>
      <c r="EB175" s="22"/>
      <c r="EC175" s="22"/>
      <c r="ED175" s="22"/>
      <c r="EE175" s="22"/>
      <c r="EF175" s="22"/>
      <c r="EG175" s="22"/>
      <c r="EH175" s="22"/>
      <c r="EI175" s="22"/>
      <c r="EJ175" s="22"/>
      <c r="EK175" s="22"/>
      <c r="EL175" s="22"/>
      <c r="EM175" s="22"/>
      <c r="EN175" s="22"/>
      <c r="EO175" s="22"/>
      <c r="EP175" s="22"/>
      <c r="EQ175" s="22"/>
      <c r="ER175" s="22"/>
      <c r="ES175" s="22"/>
      <c r="ET175" s="22"/>
      <c r="EU175" s="22"/>
      <c r="EV175" s="22"/>
      <c r="EW175" s="22"/>
      <c r="EX175" s="22"/>
      <c r="EY175" s="22"/>
      <c r="EZ175" s="22"/>
      <c r="FA175" s="22"/>
      <c r="FB175" s="22"/>
      <c r="FC175" s="22"/>
      <c r="FD175" s="22"/>
      <c r="FE175" s="22"/>
      <c r="FF175" s="22"/>
      <c r="FG175" s="22"/>
      <c r="FH175" s="22"/>
      <c r="FI175" s="22"/>
      <c r="FJ175" s="22"/>
      <c r="FK175" s="22"/>
      <c r="FL175" s="22"/>
      <c r="FM175" s="22"/>
      <c r="FN175" s="22"/>
      <c r="FO175" s="22"/>
      <c r="FP175" s="22"/>
      <c r="FQ175" s="22"/>
      <c r="FR175" s="22"/>
      <c r="FS175" s="22"/>
      <c r="FT175" s="22"/>
      <c r="FU175" s="22"/>
      <c r="FV175" s="22"/>
      <c r="FW175" s="22"/>
      <c r="FX175" s="22"/>
      <c r="FY175" s="22"/>
      <c r="FZ175" s="22"/>
    </row>
    <row r="176" spans="2:182" x14ac:dyDescent="0.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c r="Z176" s="22"/>
      <c r="AA176" s="22"/>
      <c r="AB176" s="22"/>
      <c r="AC176" s="22"/>
      <c r="AD176" s="22"/>
      <c r="AE176" s="22"/>
      <c r="AF176" s="22"/>
      <c r="AG176" s="22"/>
      <c r="AH176" s="22"/>
      <c r="AI176" s="22"/>
      <c r="AJ176" s="22"/>
      <c r="AK176" s="22"/>
      <c r="AL176" s="22"/>
      <c r="AM176" s="22"/>
      <c r="AN176" s="22"/>
      <c r="AO176" s="22"/>
      <c r="AP176" s="22"/>
      <c r="AQ176" s="22"/>
      <c r="AR176" s="22"/>
      <c r="AS176" s="22"/>
      <c r="AT176" s="22"/>
      <c r="AU176" s="22"/>
      <c r="AV176" s="22"/>
      <c r="AW176" s="22"/>
      <c r="AX176" s="22"/>
      <c r="AY176" s="22"/>
      <c r="AZ176" s="22"/>
      <c r="BA176" s="22"/>
      <c r="BB176" s="22"/>
      <c r="BC176" s="22"/>
      <c r="BD176" s="22"/>
      <c r="BE176" s="22"/>
      <c r="BF176" s="22"/>
      <c r="BG176" s="22"/>
      <c r="BH176" s="22"/>
      <c r="BI176" s="22"/>
      <c r="BJ176" s="22"/>
      <c r="BK176" s="22"/>
      <c r="BL176" s="22"/>
      <c r="BM176" s="22"/>
      <c r="BN176" s="22"/>
      <c r="BO176" s="22"/>
      <c r="BP176" s="22"/>
      <c r="BQ176" s="22"/>
      <c r="BR176" s="22"/>
      <c r="BS176" s="22"/>
      <c r="BT176" s="22"/>
      <c r="BU176" s="22"/>
      <c r="BV176" s="22"/>
      <c r="BW176" s="22"/>
      <c r="BX176" s="22"/>
      <c r="BY176" s="22"/>
      <c r="BZ176" s="22"/>
      <c r="CA176" s="22"/>
      <c r="CB176" s="22"/>
      <c r="CC176" s="22"/>
      <c r="CD176" s="22"/>
      <c r="CE176" s="22"/>
      <c r="CF176" s="22"/>
      <c r="CG176" s="22"/>
      <c r="CH176" s="22"/>
      <c r="CI176" s="22"/>
      <c r="CJ176" s="22"/>
      <c r="CK176" s="22"/>
      <c r="CL176" s="22"/>
      <c r="CM176" s="22"/>
      <c r="CN176" s="22"/>
      <c r="CO176" s="22"/>
      <c r="CP176" s="22"/>
      <c r="CQ176" s="22"/>
      <c r="CR176" s="22"/>
      <c r="CS176" s="22"/>
      <c r="CT176" s="22"/>
      <c r="CU176" s="22"/>
      <c r="CV176" s="22"/>
      <c r="CW176" s="22"/>
      <c r="CX176" s="22"/>
      <c r="CY176" s="22"/>
      <c r="CZ176" s="22"/>
      <c r="DA176" s="22"/>
      <c r="DB176" s="22"/>
      <c r="DC176" s="22"/>
      <c r="DD176" s="22"/>
      <c r="DE176" s="22"/>
      <c r="DF176" s="22"/>
      <c r="DG176" s="22"/>
      <c r="DH176" s="22"/>
      <c r="DI176" s="22"/>
      <c r="DJ176" s="22"/>
      <c r="DK176" s="22"/>
      <c r="DL176" s="22"/>
      <c r="DM176" s="22"/>
      <c r="DN176" s="22"/>
      <c r="DO176" s="22"/>
      <c r="DP176" s="22"/>
      <c r="DQ176" s="22"/>
      <c r="DR176" s="22"/>
      <c r="DS176" s="22"/>
      <c r="DT176" s="22"/>
      <c r="DU176" s="22"/>
      <c r="DV176" s="22"/>
      <c r="DW176" s="22"/>
      <c r="DX176" s="22"/>
      <c r="DY176" s="22"/>
      <c r="DZ176" s="22"/>
      <c r="EA176" s="22"/>
      <c r="EB176" s="22"/>
      <c r="EC176" s="22"/>
      <c r="ED176" s="22"/>
      <c r="EE176" s="22"/>
      <c r="EF176" s="22"/>
      <c r="EG176" s="22"/>
      <c r="EH176" s="22"/>
      <c r="EI176" s="22"/>
      <c r="EJ176" s="22"/>
      <c r="EK176" s="22"/>
      <c r="EL176" s="22"/>
      <c r="EM176" s="22"/>
      <c r="EN176" s="22"/>
      <c r="EO176" s="22"/>
      <c r="EP176" s="22"/>
      <c r="EQ176" s="22"/>
      <c r="ER176" s="22"/>
      <c r="ES176" s="22"/>
      <c r="ET176" s="22"/>
      <c r="EU176" s="22"/>
      <c r="EV176" s="22"/>
      <c r="EW176" s="22"/>
      <c r="EX176" s="22"/>
      <c r="EY176" s="22"/>
      <c r="EZ176" s="22"/>
      <c r="FA176" s="22"/>
      <c r="FB176" s="22"/>
      <c r="FC176" s="22"/>
      <c r="FD176" s="22"/>
      <c r="FE176" s="22"/>
      <c r="FF176" s="22"/>
      <c r="FG176" s="22"/>
      <c r="FH176" s="22"/>
      <c r="FI176" s="22"/>
      <c r="FJ176" s="22"/>
      <c r="FK176" s="22"/>
      <c r="FL176" s="22"/>
      <c r="FM176" s="22"/>
      <c r="FN176" s="22"/>
      <c r="FO176" s="22"/>
      <c r="FP176" s="22"/>
      <c r="FQ176" s="22"/>
      <c r="FR176" s="22"/>
      <c r="FS176" s="22"/>
      <c r="FT176" s="22"/>
      <c r="FU176" s="22"/>
      <c r="FV176" s="22"/>
      <c r="FW176" s="22"/>
      <c r="FX176" s="22"/>
      <c r="FY176" s="22"/>
      <c r="FZ176" s="22"/>
    </row>
    <row r="177" spans="2:182" x14ac:dyDescent="0.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c r="Z177" s="22"/>
      <c r="AA177" s="22"/>
      <c r="AB177" s="22"/>
      <c r="AC177" s="22"/>
      <c r="AD177" s="22"/>
      <c r="AE177" s="22"/>
      <c r="AF177" s="22"/>
      <c r="AG177" s="22"/>
      <c r="AH177" s="22"/>
      <c r="AI177" s="22"/>
      <c r="AJ177" s="22"/>
      <c r="AK177" s="22"/>
      <c r="AL177" s="22"/>
      <c r="AM177" s="22"/>
      <c r="AN177" s="22"/>
      <c r="AO177" s="22"/>
      <c r="AP177" s="22"/>
      <c r="AQ177" s="22"/>
      <c r="AR177" s="22"/>
      <c r="AS177" s="22"/>
      <c r="AT177" s="22"/>
      <c r="AU177" s="22"/>
      <c r="AV177" s="22"/>
      <c r="AW177" s="22"/>
      <c r="AX177" s="22"/>
      <c r="AY177" s="22"/>
      <c r="AZ177" s="22"/>
      <c r="BA177" s="22"/>
      <c r="BB177" s="22"/>
      <c r="BC177" s="22"/>
      <c r="BD177" s="22"/>
      <c r="BE177" s="22"/>
      <c r="BF177" s="22"/>
      <c r="BG177" s="22"/>
      <c r="BH177" s="22"/>
      <c r="BI177" s="22"/>
      <c r="BJ177" s="22"/>
      <c r="BK177" s="22"/>
      <c r="BL177" s="22"/>
      <c r="BM177" s="22"/>
      <c r="BN177" s="22"/>
      <c r="BO177" s="22"/>
      <c r="BP177" s="22"/>
      <c r="BQ177" s="22"/>
      <c r="BR177" s="22"/>
      <c r="BS177" s="22"/>
      <c r="BT177" s="22"/>
      <c r="BU177" s="22"/>
      <c r="BV177" s="22"/>
      <c r="BW177" s="22"/>
      <c r="BX177" s="22"/>
      <c r="BY177" s="22"/>
      <c r="BZ177" s="22"/>
      <c r="CA177" s="22"/>
      <c r="CB177" s="22"/>
      <c r="CC177" s="22"/>
      <c r="CD177" s="22"/>
      <c r="CE177" s="22"/>
      <c r="CF177" s="22"/>
      <c r="CG177" s="22"/>
      <c r="CH177" s="22"/>
      <c r="CI177" s="22"/>
      <c r="CJ177" s="22"/>
      <c r="CK177" s="22"/>
      <c r="CL177" s="22"/>
      <c r="CM177" s="22"/>
      <c r="CN177" s="22"/>
      <c r="CO177" s="22"/>
      <c r="CP177" s="22"/>
      <c r="CQ177" s="22"/>
      <c r="CR177" s="22"/>
      <c r="CS177" s="22"/>
      <c r="CT177" s="22"/>
      <c r="CU177" s="22"/>
      <c r="CV177" s="22"/>
      <c r="CW177" s="22"/>
      <c r="CX177" s="22"/>
      <c r="CY177" s="22"/>
      <c r="CZ177" s="22"/>
      <c r="DA177" s="22"/>
      <c r="DB177" s="22"/>
      <c r="DC177" s="22"/>
      <c r="DD177" s="22"/>
      <c r="DE177" s="22"/>
      <c r="DF177" s="22"/>
      <c r="DG177" s="22"/>
      <c r="DH177" s="22"/>
      <c r="DI177" s="22"/>
      <c r="DJ177" s="22"/>
      <c r="DK177" s="22"/>
      <c r="DL177" s="22"/>
      <c r="DM177" s="22"/>
      <c r="DN177" s="22"/>
      <c r="DO177" s="22"/>
      <c r="DP177" s="22"/>
      <c r="DQ177" s="22"/>
      <c r="DR177" s="22"/>
      <c r="DS177" s="22"/>
      <c r="DT177" s="22"/>
      <c r="DU177" s="22"/>
      <c r="DV177" s="22"/>
      <c r="DW177" s="22"/>
      <c r="DX177" s="22"/>
      <c r="DY177" s="22"/>
      <c r="DZ177" s="22"/>
      <c r="EA177" s="22"/>
      <c r="EB177" s="22"/>
      <c r="EC177" s="22"/>
      <c r="ED177" s="22"/>
      <c r="EE177" s="22"/>
      <c r="EF177" s="22"/>
      <c r="EG177" s="22"/>
      <c r="EH177" s="22"/>
      <c r="EI177" s="22"/>
      <c r="EJ177" s="22"/>
      <c r="EK177" s="22"/>
      <c r="EL177" s="22"/>
      <c r="EM177" s="22"/>
      <c r="EN177" s="22"/>
      <c r="EO177" s="22"/>
      <c r="EP177" s="22"/>
      <c r="EQ177" s="22"/>
      <c r="ER177" s="22"/>
      <c r="ES177" s="22"/>
      <c r="ET177" s="22"/>
      <c r="EU177" s="22"/>
      <c r="EV177" s="22"/>
      <c r="EW177" s="22"/>
      <c r="EX177" s="22"/>
      <c r="EY177" s="22"/>
      <c r="EZ177" s="22"/>
      <c r="FA177" s="22"/>
      <c r="FB177" s="22"/>
      <c r="FC177" s="22"/>
      <c r="FD177" s="22"/>
      <c r="FE177" s="22"/>
      <c r="FF177" s="22"/>
      <c r="FG177" s="22"/>
      <c r="FH177" s="22"/>
      <c r="FI177" s="22"/>
      <c r="FJ177" s="22"/>
      <c r="FK177" s="22"/>
      <c r="FL177" s="22"/>
      <c r="FM177" s="22"/>
      <c r="FN177" s="22"/>
      <c r="FO177" s="22"/>
      <c r="FP177" s="22"/>
      <c r="FQ177" s="22"/>
      <c r="FR177" s="22"/>
      <c r="FS177" s="22"/>
      <c r="FT177" s="22"/>
      <c r="FU177" s="22"/>
      <c r="FV177" s="22"/>
      <c r="FW177" s="22"/>
      <c r="FX177" s="22"/>
      <c r="FY177" s="22"/>
      <c r="FZ177" s="22"/>
    </row>
    <row r="178" spans="2:182" x14ac:dyDescent="0.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c r="Z178" s="22"/>
      <c r="AA178" s="22"/>
      <c r="AB178" s="22"/>
      <c r="AC178" s="22"/>
      <c r="AD178" s="22"/>
      <c r="AE178" s="22"/>
      <c r="AF178" s="22"/>
      <c r="AG178" s="22"/>
      <c r="AH178" s="22"/>
      <c r="AI178" s="22"/>
      <c r="AJ178" s="22"/>
      <c r="AK178" s="22"/>
      <c r="AL178" s="22"/>
      <c r="AM178" s="22"/>
      <c r="AN178" s="22"/>
      <c r="AO178" s="22"/>
      <c r="AP178" s="22"/>
      <c r="AQ178" s="22"/>
      <c r="AR178" s="22"/>
      <c r="AS178" s="22"/>
      <c r="AT178" s="22"/>
      <c r="AU178" s="22"/>
      <c r="AV178" s="22"/>
      <c r="AW178" s="22"/>
      <c r="AX178" s="22"/>
      <c r="AY178" s="22"/>
      <c r="AZ178" s="22"/>
      <c r="BA178" s="22"/>
      <c r="BB178" s="22"/>
      <c r="BC178" s="22"/>
      <c r="BD178" s="22"/>
      <c r="BE178" s="22"/>
      <c r="BF178" s="22"/>
      <c r="BG178" s="22"/>
      <c r="BH178" s="22"/>
      <c r="BI178" s="22"/>
      <c r="BJ178" s="22"/>
      <c r="BK178" s="22"/>
      <c r="BL178" s="22"/>
      <c r="BM178" s="22"/>
      <c r="BN178" s="22"/>
      <c r="BO178" s="22"/>
      <c r="BP178" s="22"/>
      <c r="BQ178" s="22"/>
      <c r="BR178" s="22"/>
      <c r="BS178" s="22"/>
      <c r="BT178" s="22"/>
      <c r="BU178" s="22"/>
      <c r="BV178" s="22"/>
      <c r="BW178" s="22"/>
      <c r="BX178" s="22"/>
      <c r="BY178" s="22"/>
      <c r="BZ178" s="22"/>
      <c r="CA178" s="22"/>
      <c r="CB178" s="22"/>
      <c r="CC178" s="22"/>
      <c r="CD178" s="22"/>
      <c r="CE178" s="22"/>
      <c r="CF178" s="22"/>
      <c r="CG178" s="22"/>
      <c r="CH178" s="22"/>
      <c r="CI178" s="22"/>
      <c r="CJ178" s="22"/>
      <c r="CK178" s="22"/>
      <c r="CL178" s="22"/>
      <c r="CM178" s="22"/>
      <c r="CN178" s="22"/>
      <c r="CO178" s="22"/>
      <c r="CP178" s="22"/>
      <c r="CQ178" s="22"/>
      <c r="CR178" s="22"/>
      <c r="CS178" s="22"/>
      <c r="CT178" s="22"/>
      <c r="CU178" s="22"/>
      <c r="CV178" s="22"/>
      <c r="CW178" s="22"/>
      <c r="CX178" s="22"/>
      <c r="CY178" s="22"/>
      <c r="CZ178" s="22"/>
      <c r="DA178" s="22"/>
      <c r="DB178" s="22"/>
      <c r="DC178" s="22"/>
      <c r="DD178" s="22"/>
      <c r="DE178" s="22"/>
      <c r="DF178" s="22"/>
      <c r="DG178" s="22"/>
      <c r="DH178" s="22"/>
      <c r="DI178" s="22"/>
      <c r="DJ178" s="22"/>
      <c r="DK178" s="22"/>
      <c r="DL178" s="22"/>
      <c r="DM178" s="22"/>
      <c r="DN178" s="22"/>
      <c r="DO178" s="22"/>
      <c r="DP178" s="22"/>
      <c r="DQ178" s="22"/>
      <c r="DR178" s="22"/>
      <c r="DS178" s="22"/>
      <c r="DT178" s="22"/>
      <c r="DU178" s="22"/>
      <c r="DV178" s="22"/>
      <c r="DW178" s="22"/>
      <c r="DX178" s="22"/>
      <c r="DY178" s="22"/>
      <c r="DZ178" s="22"/>
      <c r="EA178" s="22"/>
      <c r="EB178" s="22"/>
      <c r="EC178" s="22"/>
      <c r="ED178" s="22"/>
      <c r="EE178" s="22"/>
      <c r="EF178" s="22"/>
      <c r="EG178" s="22"/>
      <c r="EH178" s="22"/>
      <c r="EI178" s="22"/>
      <c r="EJ178" s="22"/>
      <c r="EK178" s="22"/>
      <c r="EL178" s="22"/>
      <c r="EM178" s="22"/>
      <c r="EN178" s="22"/>
      <c r="EO178" s="22"/>
      <c r="EP178" s="22"/>
      <c r="EQ178" s="22"/>
      <c r="ER178" s="22"/>
      <c r="ES178" s="22"/>
      <c r="ET178" s="22"/>
      <c r="EU178" s="22"/>
      <c r="EV178" s="22"/>
      <c r="EW178" s="22"/>
      <c r="EX178" s="22"/>
      <c r="EY178" s="22"/>
      <c r="EZ178" s="22"/>
      <c r="FA178" s="22"/>
      <c r="FB178" s="22"/>
      <c r="FC178" s="22"/>
      <c r="FD178" s="22"/>
      <c r="FE178" s="22"/>
      <c r="FF178" s="22"/>
      <c r="FG178" s="22"/>
      <c r="FH178" s="22"/>
      <c r="FI178" s="22"/>
      <c r="FJ178" s="22"/>
      <c r="FK178" s="22"/>
      <c r="FL178" s="22"/>
      <c r="FM178" s="22"/>
      <c r="FN178" s="22"/>
      <c r="FO178" s="22"/>
      <c r="FP178" s="22"/>
      <c r="FQ178" s="22"/>
      <c r="FR178" s="22"/>
      <c r="FS178" s="22"/>
      <c r="FT178" s="22"/>
      <c r="FU178" s="22"/>
      <c r="FV178" s="22"/>
      <c r="FW178" s="22"/>
      <c r="FX178" s="22"/>
      <c r="FY178" s="22"/>
      <c r="FZ178" s="22"/>
    </row>
    <row r="179" spans="2:182" x14ac:dyDescent="0.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c r="Z179" s="22"/>
      <c r="AA179" s="22"/>
      <c r="AB179" s="22"/>
      <c r="AC179" s="22"/>
      <c r="AD179" s="22"/>
      <c r="AE179" s="22"/>
      <c r="AF179" s="22"/>
      <c r="AG179" s="22"/>
      <c r="AH179" s="22"/>
      <c r="AI179" s="22"/>
      <c r="AJ179" s="22"/>
      <c r="AK179" s="22"/>
      <c r="AL179" s="22"/>
      <c r="AM179" s="22"/>
      <c r="AN179" s="22"/>
      <c r="AO179" s="22"/>
      <c r="AP179" s="22"/>
      <c r="AQ179" s="22"/>
      <c r="AR179" s="22"/>
      <c r="AS179" s="22"/>
      <c r="AT179" s="22"/>
      <c r="AU179" s="22"/>
      <c r="AV179" s="22"/>
      <c r="AW179" s="22"/>
      <c r="AX179" s="22"/>
      <c r="AY179" s="22"/>
      <c r="AZ179" s="22"/>
      <c r="BA179" s="22"/>
      <c r="BB179" s="22"/>
      <c r="BC179" s="22"/>
      <c r="BD179" s="22"/>
      <c r="BE179" s="22"/>
      <c r="BF179" s="22"/>
      <c r="BG179" s="22"/>
      <c r="BH179" s="22"/>
      <c r="BI179" s="22"/>
      <c r="BJ179" s="22"/>
      <c r="BK179" s="22"/>
      <c r="BL179" s="22"/>
      <c r="BM179" s="22"/>
      <c r="BN179" s="22"/>
      <c r="BO179" s="22"/>
      <c r="BP179" s="22"/>
      <c r="BQ179" s="22"/>
      <c r="BR179" s="22"/>
      <c r="BS179" s="22"/>
      <c r="BT179" s="22"/>
      <c r="BU179" s="22"/>
      <c r="BV179" s="22"/>
      <c r="BW179" s="22"/>
      <c r="BX179" s="22"/>
      <c r="BY179" s="22"/>
      <c r="BZ179" s="22"/>
      <c r="CA179" s="22"/>
      <c r="CB179" s="22"/>
      <c r="CC179" s="22"/>
      <c r="CD179" s="22"/>
      <c r="CE179" s="22"/>
      <c r="CF179" s="22"/>
      <c r="CG179" s="22"/>
      <c r="CH179" s="22"/>
      <c r="CI179" s="22"/>
      <c r="CJ179" s="22"/>
      <c r="CK179" s="22"/>
      <c r="CL179" s="22"/>
      <c r="CM179" s="22"/>
      <c r="CN179" s="22"/>
      <c r="CO179" s="22"/>
      <c r="CP179" s="22"/>
      <c r="CQ179" s="22"/>
      <c r="CR179" s="22"/>
      <c r="CS179" s="22"/>
      <c r="CT179" s="22"/>
      <c r="CU179" s="22"/>
      <c r="CV179" s="22"/>
      <c r="CW179" s="22"/>
      <c r="CX179" s="22"/>
      <c r="CY179" s="22"/>
      <c r="CZ179" s="22"/>
      <c r="DA179" s="22"/>
      <c r="DB179" s="22"/>
      <c r="DC179" s="22"/>
      <c r="DD179" s="22"/>
      <c r="DE179" s="22"/>
      <c r="DF179" s="22"/>
      <c r="DG179" s="22"/>
      <c r="DH179" s="22"/>
      <c r="DI179" s="22"/>
      <c r="DJ179" s="22"/>
      <c r="DK179" s="22"/>
      <c r="DL179" s="22"/>
      <c r="DM179" s="22"/>
      <c r="DN179" s="22"/>
      <c r="DO179" s="22"/>
      <c r="DP179" s="22"/>
      <c r="DQ179" s="22"/>
      <c r="DR179" s="22"/>
      <c r="DS179" s="22"/>
      <c r="DT179" s="22"/>
      <c r="DU179" s="22"/>
      <c r="DV179" s="22"/>
      <c r="DW179" s="22"/>
      <c r="DX179" s="22"/>
      <c r="DY179" s="22"/>
      <c r="DZ179" s="22"/>
      <c r="EA179" s="22"/>
      <c r="EB179" s="22"/>
      <c r="EC179" s="22"/>
      <c r="ED179" s="22"/>
      <c r="EE179" s="22"/>
      <c r="EF179" s="22"/>
      <c r="EG179" s="22"/>
      <c r="EH179" s="22"/>
      <c r="EI179" s="22"/>
      <c r="EJ179" s="22"/>
      <c r="EK179" s="22"/>
      <c r="EL179" s="22"/>
      <c r="EM179" s="22"/>
      <c r="EN179" s="22"/>
      <c r="EO179" s="22"/>
      <c r="EP179" s="22"/>
      <c r="EQ179" s="22"/>
      <c r="ER179" s="22"/>
      <c r="ES179" s="22"/>
      <c r="ET179" s="22"/>
      <c r="EU179" s="22"/>
      <c r="EV179" s="22"/>
      <c r="EW179" s="22"/>
      <c r="EX179" s="22"/>
      <c r="EY179" s="22"/>
      <c r="EZ179" s="22"/>
      <c r="FA179" s="22"/>
      <c r="FB179" s="22"/>
      <c r="FC179" s="22"/>
      <c r="FD179" s="22"/>
      <c r="FE179" s="22"/>
      <c r="FF179" s="22"/>
      <c r="FG179" s="22"/>
      <c r="FH179" s="22"/>
      <c r="FI179" s="22"/>
      <c r="FJ179" s="22"/>
      <c r="FK179" s="22"/>
      <c r="FL179" s="22"/>
      <c r="FM179" s="22"/>
      <c r="FN179" s="22"/>
      <c r="FO179" s="22"/>
      <c r="FP179" s="22"/>
      <c r="FQ179" s="22"/>
      <c r="FR179" s="22"/>
      <c r="FS179" s="22"/>
      <c r="FT179" s="22"/>
      <c r="FU179" s="22"/>
      <c r="FV179" s="22"/>
      <c r="FW179" s="22"/>
      <c r="FX179" s="22"/>
      <c r="FY179" s="22"/>
      <c r="FZ179" s="22"/>
    </row>
    <row r="180" spans="2:182" x14ac:dyDescent="0.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c r="Z180" s="22"/>
      <c r="AA180" s="22"/>
      <c r="AB180" s="22"/>
      <c r="AC180" s="22"/>
      <c r="AD180" s="22"/>
      <c r="AE180" s="22"/>
      <c r="AF180" s="22"/>
      <c r="AG180" s="22"/>
      <c r="AH180" s="22"/>
      <c r="AI180" s="22"/>
      <c r="AJ180" s="22"/>
      <c r="AK180" s="22"/>
      <c r="AL180" s="22"/>
      <c r="AM180" s="22"/>
      <c r="AN180" s="22"/>
      <c r="AO180" s="22"/>
      <c r="AP180" s="22"/>
      <c r="AQ180" s="22"/>
      <c r="AR180" s="22"/>
      <c r="AS180" s="22"/>
      <c r="AT180" s="22"/>
      <c r="AU180" s="22"/>
      <c r="AV180" s="22"/>
      <c r="AW180" s="22"/>
      <c r="AX180" s="22"/>
      <c r="AY180" s="22"/>
      <c r="AZ180" s="22"/>
      <c r="BA180" s="22"/>
      <c r="BB180" s="22"/>
      <c r="BC180" s="22"/>
      <c r="BD180" s="22"/>
      <c r="BE180" s="22"/>
      <c r="BF180" s="22"/>
      <c r="BG180" s="22"/>
      <c r="BH180" s="22"/>
      <c r="BI180" s="22"/>
      <c r="BJ180" s="22"/>
      <c r="BK180" s="22"/>
      <c r="BL180" s="22"/>
      <c r="BM180" s="22"/>
      <c r="BN180" s="22"/>
      <c r="BO180" s="22"/>
      <c r="BP180" s="22"/>
      <c r="BQ180" s="22"/>
      <c r="BR180" s="22"/>
      <c r="BS180" s="22"/>
      <c r="BT180" s="22"/>
      <c r="BU180" s="22"/>
      <c r="BV180" s="22"/>
      <c r="BW180" s="22"/>
      <c r="BX180" s="22"/>
      <c r="BY180" s="22"/>
      <c r="BZ180" s="22"/>
      <c r="CA180" s="22"/>
      <c r="CB180" s="22"/>
      <c r="CC180" s="22"/>
      <c r="CD180" s="22"/>
      <c r="CE180" s="22"/>
      <c r="CF180" s="22"/>
      <c r="CG180" s="22"/>
      <c r="CH180" s="22"/>
      <c r="CI180" s="22"/>
      <c r="CJ180" s="22"/>
      <c r="CK180" s="22"/>
      <c r="CL180" s="22"/>
      <c r="CM180" s="22"/>
      <c r="CN180" s="22"/>
      <c r="CO180" s="22"/>
      <c r="CP180" s="22"/>
      <c r="CQ180" s="22"/>
      <c r="CR180" s="22"/>
      <c r="CS180" s="22"/>
      <c r="CT180" s="22"/>
      <c r="CU180" s="22"/>
      <c r="CV180" s="22"/>
      <c r="CW180" s="22"/>
      <c r="CX180" s="22"/>
      <c r="CY180" s="22"/>
      <c r="CZ180" s="22"/>
      <c r="DA180" s="22"/>
      <c r="DB180" s="22"/>
      <c r="DC180" s="22"/>
      <c r="DD180" s="22"/>
      <c r="DE180" s="22"/>
      <c r="DF180" s="22"/>
      <c r="DG180" s="22"/>
      <c r="DH180" s="22"/>
      <c r="DI180" s="22"/>
      <c r="DJ180" s="22"/>
      <c r="DK180" s="22"/>
      <c r="DL180" s="22"/>
      <c r="DM180" s="22"/>
      <c r="DN180" s="22"/>
      <c r="DO180" s="22"/>
      <c r="DP180" s="22"/>
      <c r="DQ180" s="22"/>
      <c r="DR180" s="22"/>
      <c r="DS180" s="22"/>
      <c r="DT180" s="22"/>
      <c r="DU180" s="22"/>
      <c r="DV180" s="22"/>
      <c r="DW180" s="22"/>
      <c r="DX180" s="22"/>
      <c r="DY180" s="22"/>
      <c r="DZ180" s="22"/>
      <c r="EA180" s="22"/>
      <c r="EB180" s="22"/>
      <c r="EC180" s="22"/>
      <c r="ED180" s="22"/>
      <c r="EE180" s="22"/>
      <c r="EF180" s="22"/>
      <c r="EG180" s="22"/>
      <c r="EH180" s="22"/>
      <c r="EI180" s="22"/>
      <c r="EJ180" s="22"/>
      <c r="EK180" s="22"/>
      <c r="EL180" s="22"/>
      <c r="EM180" s="22"/>
      <c r="EN180" s="22"/>
      <c r="EO180" s="22"/>
      <c r="EP180" s="22"/>
      <c r="EQ180" s="22"/>
      <c r="ER180" s="22"/>
      <c r="ES180" s="22"/>
      <c r="ET180" s="22"/>
      <c r="EU180" s="22"/>
      <c r="EV180" s="22"/>
      <c r="EW180" s="22"/>
      <c r="EX180" s="22"/>
      <c r="EY180" s="22"/>
      <c r="EZ180" s="22"/>
      <c r="FA180" s="22"/>
      <c r="FB180" s="22"/>
      <c r="FC180" s="22"/>
      <c r="FD180" s="22"/>
      <c r="FE180" s="22"/>
      <c r="FF180" s="22"/>
      <c r="FG180" s="22"/>
      <c r="FH180" s="22"/>
      <c r="FI180" s="22"/>
      <c r="FJ180" s="22"/>
      <c r="FK180" s="22"/>
      <c r="FL180" s="22"/>
      <c r="FM180" s="22"/>
      <c r="FN180" s="22"/>
      <c r="FO180" s="22"/>
      <c r="FP180" s="22"/>
      <c r="FQ180" s="22"/>
      <c r="FR180" s="22"/>
      <c r="FS180" s="22"/>
      <c r="FT180" s="22"/>
      <c r="FU180" s="22"/>
      <c r="FV180" s="22"/>
      <c r="FW180" s="22"/>
      <c r="FX180" s="22"/>
      <c r="FY180" s="22"/>
      <c r="FZ180" s="22"/>
    </row>
    <row r="181" spans="2:182" x14ac:dyDescent="0.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c r="Z181" s="22"/>
      <c r="AA181" s="22"/>
      <c r="AB181" s="22"/>
      <c r="AC181" s="22"/>
      <c r="AD181" s="22"/>
      <c r="AE181" s="22"/>
      <c r="AF181" s="22"/>
      <c r="AG181" s="22"/>
      <c r="AH181" s="22"/>
      <c r="AI181" s="22"/>
      <c r="AJ181" s="22"/>
      <c r="AK181" s="22"/>
      <c r="AL181" s="22"/>
      <c r="AM181" s="22"/>
      <c r="AN181" s="22"/>
      <c r="AO181" s="22"/>
      <c r="AP181" s="22"/>
      <c r="AQ181" s="22"/>
      <c r="AR181" s="22"/>
      <c r="AS181" s="22"/>
      <c r="AT181" s="22"/>
      <c r="AU181" s="22"/>
      <c r="AV181" s="22"/>
      <c r="AW181" s="22"/>
      <c r="AX181" s="22"/>
      <c r="AY181" s="22"/>
      <c r="AZ181" s="22"/>
      <c r="BA181" s="22"/>
      <c r="BB181" s="22"/>
      <c r="BC181" s="22"/>
      <c r="BD181" s="22"/>
      <c r="BE181" s="22"/>
      <c r="BF181" s="22"/>
      <c r="BG181" s="22"/>
      <c r="BH181" s="22"/>
      <c r="BI181" s="22"/>
      <c r="BJ181" s="22"/>
      <c r="BK181" s="22"/>
      <c r="BL181" s="22"/>
      <c r="BM181" s="22"/>
      <c r="BN181" s="22"/>
      <c r="BO181" s="22"/>
      <c r="BP181" s="22"/>
      <c r="BQ181" s="22"/>
      <c r="BR181" s="22"/>
      <c r="BS181" s="22"/>
      <c r="BT181" s="22"/>
      <c r="BU181" s="22"/>
      <c r="BV181" s="22"/>
      <c r="BW181" s="22"/>
      <c r="BX181" s="22"/>
      <c r="BY181" s="22"/>
      <c r="BZ181" s="22"/>
      <c r="CA181" s="22"/>
      <c r="CB181" s="22"/>
      <c r="CC181" s="22"/>
      <c r="CD181" s="22"/>
      <c r="CE181" s="22"/>
      <c r="CF181" s="22"/>
      <c r="CG181" s="22"/>
      <c r="CH181" s="22"/>
      <c r="CI181" s="22"/>
      <c r="CJ181" s="22"/>
      <c r="CK181" s="22"/>
      <c r="CL181" s="22"/>
      <c r="CM181" s="22"/>
      <c r="CN181" s="22"/>
      <c r="CO181" s="22"/>
      <c r="CP181" s="22"/>
      <c r="CQ181" s="22"/>
      <c r="CR181" s="22"/>
      <c r="CS181" s="22"/>
      <c r="CT181" s="22"/>
      <c r="CU181" s="22"/>
      <c r="CV181" s="22"/>
      <c r="CW181" s="22"/>
      <c r="CX181" s="22"/>
      <c r="CY181" s="22"/>
      <c r="CZ181" s="22"/>
      <c r="DA181" s="22"/>
      <c r="DB181" s="22"/>
      <c r="DC181" s="22"/>
      <c r="DD181" s="22"/>
      <c r="DE181" s="22"/>
      <c r="DF181" s="22"/>
      <c r="DG181" s="22"/>
      <c r="DH181" s="22"/>
      <c r="DI181" s="22"/>
      <c r="DJ181" s="22"/>
      <c r="DK181" s="22"/>
      <c r="DL181" s="22"/>
      <c r="DM181" s="22"/>
      <c r="DN181" s="22"/>
      <c r="DO181" s="22"/>
      <c r="DP181" s="22"/>
      <c r="DQ181" s="22"/>
      <c r="DR181" s="22"/>
      <c r="DS181" s="22"/>
      <c r="DT181" s="22"/>
      <c r="DU181" s="22"/>
      <c r="DV181" s="22"/>
      <c r="DW181" s="22"/>
      <c r="DX181" s="22"/>
      <c r="DY181" s="22"/>
      <c r="DZ181" s="22"/>
      <c r="EA181" s="22"/>
      <c r="EB181" s="22"/>
      <c r="EC181" s="22"/>
      <c r="ED181" s="22"/>
      <c r="EE181" s="22"/>
      <c r="EF181" s="22"/>
      <c r="EG181" s="22"/>
      <c r="EH181" s="22"/>
      <c r="EI181" s="22"/>
      <c r="EJ181" s="22"/>
      <c r="EK181" s="22"/>
      <c r="EL181" s="22"/>
      <c r="EM181" s="22"/>
      <c r="EN181" s="22"/>
      <c r="EO181" s="22"/>
      <c r="EP181" s="22"/>
      <c r="EQ181" s="22"/>
      <c r="ER181" s="22"/>
      <c r="ES181" s="22"/>
      <c r="ET181" s="22"/>
      <c r="EU181" s="22"/>
      <c r="EV181" s="22"/>
      <c r="EW181" s="22"/>
      <c r="EX181" s="22"/>
      <c r="EY181" s="22"/>
      <c r="EZ181" s="22"/>
      <c r="FA181" s="22"/>
      <c r="FB181" s="22"/>
      <c r="FC181" s="22"/>
      <c r="FD181" s="22"/>
      <c r="FE181" s="22"/>
      <c r="FF181" s="22"/>
      <c r="FG181" s="22"/>
      <c r="FH181" s="22"/>
      <c r="FI181" s="22"/>
      <c r="FJ181" s="22"/>
      <c r="FK181" s="22"/>
      <c r="FL181" s="22"/>
      <c r="FM181" s="22"/>
      <c r="FN181" s="22"/>
      <c r="FO181" s="22"/>
      <c r="FP181" s="22"/>
      <c r="FQ181" s="22"/>
      <c r="FR181" s="22"/>
      <c r="FS181" s="22"/>
      <c r="FT181" s="22"/>
      <c r="FU181" s="22"/>
      <c r="FV181" s="22"/>
      <c r="FW181" s="22"/>
      <c r="FX181" s="22"/>
      <c r="FY181" s="22"/>
      <c r="FZ181" s="22"/>
    </row>
    <row r="182" spans="2:182" x14ac:dyDescent="0.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c r="Z182" s="22"/>
      <c r="AA182" s="22"/>
      <c r="AB182" s="22"/>
      <c r="AC182" s="22"/>
      <c r="AD182" s="22"/>
      <c r="AE182" s="22"/>
      <c r="AF182" s="22"/>
      <c r="AG182" s="22"/>
      <c r="AH182" s="22"/>
      <c r="AI182" s="22"/>
      <c r="AJ182" s="22"/>
      <c r="AK182" s="22"/>
      <c r="AL182" s="22"/>
      <c r="AM182" s="22"/>
      <c r="AN182" s="22"/>
      <c r="AO182" s="22"/>
      <c r="AP182" s="22"/>
      <c r="AQ182" s="22"/>
      <c r="AR182" s="22"/>
      <c r="AS182" s="22"/>
      <c r="AT182" s="22"/>
      <c r="AU182" s="22"/>
      <c r="AV182" s="22"/>
      <c r="AW182" s="22"/>
      <c r="AX182" s="22"/>
      <c r="AY182" s="22"/>
      <c r="AZ182" s="22"/>
      <c r="BA182" s="22"/>
      <c r="BB182" s="22"/>
      <c r="BC182" s="22"/>
      <c r="BD182" s="22"/>
      <c r="BE182" s="22"/>
      <c r="BF182" s="22"/>
      <c r="BG182" s="22"/>
      <c r="BH182" s="22"/>
      <c r="BI182" s="22"/>
      <c r="BJ182" s="22"/>
      <c r="BK182" s="22"/>
      <c r="BL182" s="22"/>
      <c r="BM182" s="22"/>
      <c r="BN182" s="22"/>
      <c r="BO182" s="22"/>
      <c r="BP182" s="22"/>
      <c r="BQ182" s="22"/>
      <c r="BR182" s="22"/>
      <c r="BS182" s="22"/>
      <c r="BT182" s="22"/>
      <c r="BU182" s="22"/>
      <c r="BV182" s="22"/>
      <c r="BW182" s="22"/>
      <c r="BX182" s="22"/>
      <c r="BY182" s="22"/>
      <c r="BZ182" s="22"/>
      <c r="CA182" s="22"/>
      <c r="CB182" s="22"/>
      <c r="CC182" s="22"/>
      <c r="CD182" s="22"/>
      <c r="CE182" s="22"/>
      <c r="CF182" s="22"/>
      <c r="CG182" s="22"/>
      <c r="CH182" s="22"/>
      <c r="CI182" s="22"/>
      <c r="CJ182" s="22"/>
      <c r="CK182" s="22"/>
      <c r="CL182" s="22"/>
      <c r="CM182" s="22"/>
      <c r="CN182" s="22"/>
      <c r="CO182" s="22"/>
      <c r="CP182" s="22"/>
      <c r="CQ182" s="22"/>
      <c r="CR182" s="22"/>
      <c r="CS182" s="22"/>
      <c r="CT182" s="22"/>
      <c r="CU182" s="22"/>
      <c r="CV182" s="22"/>
      <c r="CW182" s="22"/>
      <c r="CX182" s="22"/>
      <c r="CY182" s="22"/>
      <c r="CZ182" s="22"/>
      <c r="DA182" s="22"/>
      <c r="DB182" s="22"/>
      <c r="DC182" s="22"/>
      <c r="DD182" s="22"/>
      <c r="DE182" s="22"/>
      <c r="DF182" s="22"/>
      <c r="DG182" s="22"/>
      <c r="DH182" s="22"/>
      <c r="DI182" s="22"/>
      <c r="DJ182" s="22"/>
      <c r="DK182" s="22"/>
      <c r="DL182" s="22"/>
      <c r="DM182" s="22"/>
      <c r="DN182" s="22"/>
      <c r="DO182" s="22"/>
      <c r="DP182" s="22"/>
      <c r="DQ182" s="22"/>
      <c r="DR182" s="22"/>
      <c r="DS182" s="22"/>
      <c r="DT182" s="22"/>
      <c r="DU182" s="22"/>
      <c r="DV182" s="22"/>
      <c r="DW182" s="22"/>
      <c r="DX182" s="22"/>
      <c r="DY182" s="22"/>
      <c r="DZ182" s="22"/>
      <c r="EA182" s="22"/>
      <c r="EB182" s="22"/>
      <c r="EC182" s="22"/>
      <c r="ED182" s="22"/>
      <c r="EE182" s="22"/>
      <c r="EF182" s="22"/>
      <c r="EG182" s="22"/>
      <c r="EH182" s="22"/>
      <c r="EI182" s="22"/>
      <c r="EJ182" s="22"/>
      <c r="EK182" s="22"/>
      <c r="EL182" s="22"/>
      <c r="EM182" s="22"/>
      <c r="EN182" s="22"/>
      <c r="EO182" s="22"/>
      <c r="EP182" s="22"/>
      <c r="EQ182" s="22"/>
      <c r="ER182" s="22"/>
      <c r="ES182" s="22"/>
      <c r="ET182" s="22"/>
      <c r="EU182" s="22"/>
      <c r="EV182" s="22"/>
      <c r="EW182" s="22"/>
      <c r="EX182" s="22"/>
      <c r="EY182" s="22"/>
      <c r="EZ182" s="22"/>
      <c r="FA182" s="22"/>
      <c r="FB182" s="22"/>
      <c r="FC182" s="22"/>
      <c r="FD182" s="22"/>
      <c r="FE182" s="22"/>
      <c r="FF182" s="22"/>
      <c r="FG182" s="22"/>
      <c r="FH182" s="22"/>
      <c r="FI182" s="22"/>
      <c r="FJ182" s="22"/>
      <c r="FK182" s="22"/>
      <c r="FL182" s="22"/>
      <c r="FM182" s="22"/>
      <c r="FN182" s="22"/>
      <c r="FO182" s="22"/>
      <c r="FP182" s="22"/>
      <c r="FQ182" s="22"/>
      <c r="FR182" s="22"/>
      <c r="FS182" s="22"/>
      <c r="FT182" s="22"/>
      <c r="FU182" s="22"/>
      <c r="FV182" s="22"/>
      <c r="FW182" s="22"/>
      <c r="FX182" s="22"/>
      <c r="FY182" s="22"/>
      <c r="FZ182" s="22"/>
    </row>
    <row r="183" spans="2:182" x14ac:dyDescent="0.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c r="Z183" s="22"/>
      <c r="AA183" s="22"/>
      <c r="AB183" s="22"/>
      <c r="AC183" s="22"/>
      <c r="AD183" s="22"/>
      <c r="AE183" s="22"/>
      <c r="AF183" s="22"/>
      <c r="AG183" s="22"/>
      <c r="AH183" s="22"/>
      <c r="AI183" s="22"/>
      <c r="AJ183" s="22"/>
      <c r="AK183" s="22"/>
      <c r="AL183" s="22"/>
      <c r="AM183" s="22"/>
      <c r="AN183" s="22"/>
      <c r="AO183" s="22"/>
      <c r="AP183" s="22"/>
      <c r="AQ183" s="22"/>
      <c r="AR183" s="22"/>
      <c r="AS183" s="22"/>
      <c r="AT183" s="22"/>
      <c r="AU183" s="22"/>
      <c r="AV183" s="22"/>
      <c r="AW183" s="22"/>
      <c r="AX183" s="22"/>
      <c r="AY183" s="22"/>
      <c r="AZ183" s="22"/>
      <c r="BA183" s="22"/>
      <c r="BB183" s="22"/>
      <c r="BC183" s="22"/>
      <c r="BD183" s="22"/>
      <c r="BE183" s="22"/>
      <c r="BF183" s="22"/>
      <c r="BG183" s="22"/>
      <c r="BH183" s="22"/>
      <c r="BI183" s="22"/>
      <c r="BJ183" s="22"/>
      <c r="BK183" s="22"/>
      <c r="BL183" s="22"/>
      <c r="BM183" s="22"/>
      <c r="BN183" s="22"/>
      <c r="BO183" s="22"/>
      <c r="BP183" s="22"/>
      <c r="BQ183" s="22"/>
      <c r="BR183" s="22"/>
      <c r="BS183" s="22"/>
      <c r="BT183" s="22"/>
      <c r="BU183" s="22"/>
      <c r="BV183" s="22"/>
      <c r="BW183" s="22"/>
      <c r="BX183" s="22"/>
      <c r="BY183" s="22"/>
      <c r="BZ183" s="22"/>
      <c r="CA183" s="22"/>
      <c r="CB183" s="22"/>
      <c r="CC183" s="22"/>
      <c r="CD183" s="22"/>
      <c r="CE183" s="22"/>
      <c r="CF183" s="22"/>
      <c r="CG183" s="22"/>
      <c r="CH183" s="22"/>
      <c r="CI183" s="22"/>
      <c r="CJ183" s="22"/>
      <c r="CK183" s="22"/>
      <c r="CL183" s="22"/>
      <c r="CM183" s="22"/>
      <c r="CN183" s="22"/>
      <c r="CO183" s="22"/>
      <c r="CP183" s="22"/>
      <c r="CQ183" s="22"/>
      <c r="CR183" s="22"/>
      <c r="CS183" s="22"/>
      <c r="CT183" s="22"/>
      <c r="CU183" s="22"/>
      <c r="CV183" s="22"/>
      <c r="CW183" s="22"/>
      <c r="CX183" s="22"/>
      <c r="CY183" s="22"/>
      <c r="CZ183" s="22"/>
      <c r="DA183" s="22"/>
      <c r="DB183" s="22"/>
      <c r="DC183" s="22"/>
      <c r="DD183" s="22"/>
      <c r="DE183" s="22"/>
      <c r="DF183" s="22"/>
      <c r="DG183" s="22"/>
      <c r="DH183" s="22"/>
      <c r="DI183" s="22"/>
      <c r="DJ183" s="22"/>
      <c r="DK183" s="22"/>
      <c r="DL183" s="22"/>
      <c r="DM183" s="22"/>
      <c r="DN183" s="22"/>
      <c r="DO183" s="22"/>
      <c r="DP183" s="22"/>
      <c r="DQ183" s="22"/>
      <c r="DR183" s="22"/>
      <c r="DS183" s="22"/>
      <c r="DT183" s="22"/>
      <c r="DU183" s="22"/>
      <c r="DV183" s="22"/>
      <c r="DW183" s="22"/>
      <c r="DX183" s="22"/>
      <c r="DY183" s="22"/>
      <c r="DZ183" s="22"/>
      <c r="EA183" s="22"/>
      <c r="EB183" s="22"/>
      <c r="EC183" s="22"/>
      <c r="ED183" s="22"/>
      <c r="EE183" s="22"/>
      <c r="EF183" s="22"/>
      <c r="EG183" s="22"/>
      <c r="EH183" s="22"/>
      <c r="EI183" s="22"/>
      <c r="EJ183" s="22"/>
      <c r="EK183" s="22"/>
      <c r="EL183" s="22"/>
      <c r="EM183" s="22"/>
      <c r="EN183" s="22"/>
      <c r="EO183" s="22"/>
      <c r="EP183" s="22"/>
      <c r="EQ183" s="22"/>
      <c r="ER183" s="22"/>
      <c r="ES183" s="22"/>
      <c r="ET183" s="22"/>
      <c r="EU183" s="22"/>
      <c r="EV183" s="22"/>
      <c r="EW183" s="22"/>
      <c r="EX183" s="22"/>
      <c r="EY183" s="22"/>
      <c r="EZ183" s="22"/>
      <c r="FA183" s="22"/>
      <c r="FB183" s="22"/>
      <c r="FC183" s="22"/>
      <c r="FD183" s="22"/>
      <c r="FE183" s="22"/>
      <c r="FF183" s="22"/>
      <c r="FG183" s="22"/>
      <c r="FH183" s="22"/>
      <c r="FI183" s="22"/>
      <c r="FJ183" s="22"/>
      <c r="FK183" s="22"/>
      <c r="FL183" s="22"/>
      <c r="FM183" s="22"/>
      <c r="FN183" s="22"/>
      <c r="FO183" s="22"/>
      <c r="FP183" s="22"/>
      <c r="FQ183" s="22"/>
      <c r="FR183" s="22"/>
      <c r="FS183" s="22"/>
      <c r="FT183" s="22"/>
      <c r="FU183" s="22"/>
      <c r="FV183" s="22"/>
      <c r="FW183" s="22"/>
      <c r="FX183" s="22"/>
      <c r="FY183" s="22"/>
      <c r="FZ183" s="22"/>
    </row>
    <row r="184" spans="2:182" x14ac:dyDescent="0.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c r="Z184" s="22"/>
      <c r="AA184" s="22"/>
      <c r="AB184" s="22"/>
      <c r="AC184" s="22"/>
      <c r="AD184" s="22"/>
      <c r="AE184" s="22"/>
      <c r="AF184" s="22"/>
      <c r="AG184" s="22"/>
      <c r="AH184" s="22"/>
      <c r="AI184" s="22"/>
      <c r="AJ184" s="22"/>
      <c r="AK184" s="22"/>
      <c r="AL184" s="22"/>
      <c r="AM184" s="22"/>
      <c r="AN184" s="22"/>
      <c r="AO184" s="22"/>
      <c r="AP184" s="22"/>
      <c r="AQ184" s="22"/>
      <c r="AR184" s="22"/>
      <c r="AS184" s="22"/>
      <c r="AT184" s="22"/>
      <c r="AU184" s="22"/>
      <c r="AV184" s="22"/>
      <c r="AW184" s="22"/>
      <c r="AX184" s="22"/>
      <c r="AY184" s="22"/>
      <c r="AZ184" s="22"/>
      <c r="BA184" s="22"/>
      <c r="BB184" s="22"/>
      <c r="BC184" s="22"/>
      <c r="BD184" s="22"/>
      <c r="BE184" s="22"/>
      <c r="BF184" s="22"/>
      <c r="BG184" s="22"/>
      <c r="BH184" s="22"/>
      <c r="BI184" s="22"/>
      <c r="BJ184" s="22"/>
      <c r="BK184" s="22"/>
      <c r="BL184" s="22"/>
      <c r="BM184" s="22"/>
      <c r="BN184" s="22"/>
      <c r="BO184" s="22"/>
      <c r="BP184" s="22"/>
      <c r="BQ184" s="22"/>
      <c r="BR184" s="22"/>
      <c r="BS184" s="22"/>
      <c r="BT184" s="22"/>
      <c r="BU184" s="22"/>
      <c r="BV184" s="22"/>
      <c r="BW184" s="22"/>
      <c r="BX184" s="22"/>
      <c r="BY184" s="22"/>
      <c r="BZ184" s="22"/>
      <c r="CA184" s="22"/>
      <c r="CB184" s="22"/>
      <c r="CC184" s="22"/>
      <c r="CD184" s="22"/>
      <c r="CE184" s="22"/>
      <c r="CF184" s="22"/>
      <c r="CG184" s="22"/>
      <c r="CH184" s="22"/>
      <c r="CI184" s="22"/>
      <c r="CJ184" s="22"/>
      <c r="CK184" s="22"/>
      <c r="CL184" s="22"/>
      <c r="CM184" s="22"/>
      <c r="CN184" s="22"/>
      <c r="CO184" s="22"/>
      <c r="CP184" s="22"/>
      <c r="CQ184" s="22"/>
      <c r="CR184" s="22"/>
      <c r="CS184" s="22"/>
      <c r="CT184" s="22"/>
      <c r="CU184" s="22"/>
      <c r="CV184" s="22"/>
      <c r="CW184" s="22"/>
      <c r="CX184" s="22"/>
      <c r="CY184" s="22"/>
      <c r="CZ184" s="22"/>
      <c r="DA184" s="22"/>
      <c r="DB184" s="22"/>
      <c r="DC184" s="22"/>
      <c r="DD184" s="22"/>
      <c r="DE184" s="22"/>
      <c r="DF184" s="22"/>
      <c r="DG184" s="22"/>
      <c r="DH184" s="22"/>
      <c r="DI184" s="22"/>
      <c r="DJ184" s="22"/>
      <c r="DK184" s="22"/>
      <c r="DL184" s="22"/>
      <c r="DM184" s="22"/>
      <c r="DN184" s="22"/>
      <c r="DO184" s="22"/>
      <c r="DP184" s="22"/>
      <c r="DQ184" s="22"/>
      <c r="DR184" s="22"/>
      <c r="DS184" s="22"/>
      <c r="DT184" s="22"/>
      <c r="DU184" s="22"/>
      <c r="DV184" s="22"/>
      <c r="DW184" s="22"/>
      <c r="DX184" s="22"/>
      <c r="DY184" s="22"/>
      <c r="DZ184" s="22"/>
      <c r="EA184" s="22"/>
      <c r="EB184" s="22"/>
      <c r="EC184" s="22"/>
      <c r="ED184" s="22"/>
      <c r="EE184" s="22"/>
      <c r="EF184" s="22"/>
      <c r="EG184" s="22"/>
      <c r="EH184" s="22"/>
      <c r="EI184" s="22"/>
      <c r="EJ184" s="22"/>
      <c r="EK184" s="22"/>
      <c r="EL184" s="22"/>
      <c r="EM184" s="22"/>
      <c r="EN184" s="22"/>
      <c r="EO184" s="22"/>
      <c r="EP184" s="22"/>
      <c r="EQ184" s="22"/>
      <c r="ER184" s="22"/>
      <c r="ES184" s="22"/>
      <c r="ET184" s="22"/>
      <c r="EU184" s="22"/>
      <c r="EV184" s="22"/>
      <c r="EW184" s="22"/>
      <c r="EX184" s="22"/>
      <c r="EY184" s="22"/>
      <c r="EZ184" s="22"/>
      <c r="FA184" s="22"/>
      <c r="FB184" s="22"/>
      <c r="FC184" s="22"/>
      <c r="FD184" s="22"/>
      <c r="FE184" s="22"/>
      <c r="FF184" s="22"/>
      <c r="FG184" s="22"/>
      <c r="FH184" s="22"/>
      <c r="FI184" s="22"/>
      <c r="FJ184" s="22"/>
      <c r="FK184" s="22"/>
      <c r="FL184" s="22"/>
      <c r="FM184" s="22"/>
      <c r="FN184" s="22"/>
      <c r="FO184" s="22"/>
      <c r="FP184" s="22"/>
      <c r="FQ184" s="22"/>
      <c r="FR184" s="22"/>
      <c r="FS184" s="22"/>
      <c r="FT184" s="22"/>
      <c r="FU184" s="22"/>
      <c r="FV184" s="22"/>
      <c r="FW184" s="22"/>
      <c r="FX184" s="22"/>
      <c r="FY184" s="22"/>
      <c r="FZ184" s="22"/>
    </row>
    <row r="185" spans="2:182" x14ac:dyDescent="0.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c r="Z185" s="22"/>
      <c r="AA185" s="22"/>
      <c r="AB185" s="22"/>
      <c r="AC185" s="22"/>
      <c r="AD185" s="22"/>
      <c r="AE185" s="22"/>
      <c r="AF185" s="22"/>
      <c r="AG185" s="22"/>
      <c r="AH185" s="22"/>
      <c r="AI185" s="22"/>
      <c r="AJ185" s="22"/>
      <c r="AK185" s="22"/>
      <c r="AL185" s="22"/>
      <c r="AM185" s="22"/>
      <c r="AN185" s="22"/>
      <c r="AO185" s="22"/>
      <c r="AP185" s="22"/>
      <c r="AQ185" s="22"/>
      <c r="AR185" s="22"/>
      <c r="AS185" s="22"/>
      <c r="AT185" s="22"/>
      <c r="AU185" s="22"/>
      <c r="AV185" s="22"/>
      <c r="AW185" s="22"/>
      <c r="AX185" s="22"/>
      <c r="AY185" s="22"/>
      <c r="AZ185" s="22"/>
      <c r="BA185" s="22"/>
      <c r="BB185" s="22"/>
      <c r="BC185" s="22"/>
      <c r="BD185" s="22"/>
      <c r="BE185" s="22"/>
      <c r="BF185" s="22"/>
      <c r="BG185" s="22"/>
      <c r="BH185" s="22"/>
      <c r="BI185" s="22"/>
      <c r="BJ185" s="22"/>
      <c r="BK185" s="22"/>
      <c r="BL185" s="22"/>
      <c r="BM185" s="22"/>
      <c r="BN185" s="22"/>
      <c r="BO185" s="22"/>
      <c r="BP185" s="22"/>
      <c r="BQ185" s="22"/>
      <c r="BR185" s="22"/>
      <c r="BS185" s="22"/>
      <c r="BT185" s="22"/>
      <c r="BU185" s="22"/>
      <c r="BV185" s="22"/>
      <c r="BW185" s="22"/>
      <c r="BX185" s="22"/>
      <c r="BY185" s="22"/>
      <c r="BZ185" s="22"/>
      <c r="CA185" s="22"/>
      <c r="CB185" s="22"/>
      <c r="CC185" s="22"/>
      <c r="CD185" s="22"/>
      <c r="CE185" s="22"/>
      <c r="CF185" s="22"/>
      <c r="CG185" s="22"/>
      <c r="CH185" s="22"/>
      <c r="CI185" s="22"/>
      <c r="CJ185" s="22"/>
      <c r="CK185" s="22"/>
      <c r="CL185" s="22"/>
      <c r="CM185" s="22"/>
      <c r="CN185" s="22"/>
      <c r="CO185" s="22"/>
      <c r="CP185" s="22"/>
      <c r="CQ185" s="22"/>
      <c r="CR185" s="22"/>
      <c r="CS185" s="22"/>
      <c r="CT185" s="22"/>
      <c r="CU185" s="22"/>
      <c r="CV185" s="22"/>
      <c r="CW185" s="22"/>
      <c r="CX185" s="22"/>
      <c r="CY185" s="22"/>
      <c r="CZ185" s="22"/>
      <c r="DA185" s="22"/>
      <c r="DB185" s="22"/>
      <c r="DC185" s="22"/>
      <c r="DD185" s="22"/>
      <c r="DE185" s="22"/>
      <c r="DF185" s="22"/>
      <c r="DG185" s="22"/>
      <c r="DH185" s="22"/>
      <c r="DI185" s="22"/>
      <c r="DJ185" s="22"/>
      <c r="DK185" s="22"/>
      <c r="DL185" s="22"/>
      <c r="DM185" s="22"/>
      <c r="DN185" s="22"/>
      <c r="DO185" s="22"/>
      <c r="DP185" s="22"/>
      <c r="DQ185" s="22"/>
      <c r="DR185" s="22"/>
      <c r="DS185" s="22"/>
      <c r="DT185" s="22"/>
      <c r="DU185" s="22"/>
      <c r="DV185" s="22"/>
      <c r="DW185" s="22"/>
      <c r="DX185" s="22"/>
      <c r="DY185" s="22"/>
      <c r="DZ185" s="22"/>
      <c r="EA185" s="22"/>
      <c r="EB185" s="22"/>
      <c r="EC185" s="22"/>
      <c r="ED185" s="22"/>
      <c r="EE185" s="22"/>
      <c r="EF185" s="22"/>
      <c r="EG185" s="22"/>
      <c r="EH185" s="22"/>
      <c r="EI185" s="22"/>
      <c r="EJ185" s="22"/>
      <c r="EK185" s="22"/>
      <c r="EL185" s="22"/>
      <c r="EM185" s="22"/>
      <c r="EN185" s="22"/>
      <c r="EO185" s="22"/>
      <c r="EP185" s="22"/>
      <c r="EQ185" s="22"/>
      <c r="ER185" s="22"/>
      <c r="ES185" s="22"/>
      <c r="ET185" s="22"/>
      <c r="EU185" s="22"/>
      <c r="EV185" s="22"/>
      <c r="EW185" s="22"/>
      <c r="EX185" s="22"/>
      <c r="EY185" s="22"/>
      <c r="EZ185" s="22"/>
      <c r="FA185" s="22"/>
      <c r="FB185" s="22"/>
      <c r="FC185" s="22"/>
      <c r="FD185" s="22"/>
      <c r="FE185" s="22"/>
      <c r="FF185" s="22"/>
      <c r="FG185" s="22"/>
      <c r="FH185" s="22"/>
      <c r="FI185" s="22"/>
      <c r="FJ185" s="22"/>
      <c r="FK185" s="22"/>
      <c r="FL185" s="22"/>
      <c r="FM185" s="22"/>
      <c r="FN185" s="22"/>
      <c r="FO185" s="22"/>
      <c r="FP185" s="22"/>
      <c r="FQ185" s="22"/>
      <c r="FR185" s="22"/>
      <c r="FS185" s="22"/>
      <c r="FT185" s="22"/>
      <c r="FU185" s="22"/>
      <c r="FV185" s="22"/>
      <c r="FW185" s="22"/>
      <c r="FX185" s="22"/>
      <c r="FY185" s="22"/>
      <c r="FZ185" s="22"/>
    </row>
    <row r="186" spans="2:182" x14ac:dyDescent="0.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c r="Z186" s="22"/>
      <c r="AA186" s="22"/>
      <c r="AB186" s="22"/>
      <c r="AC186" s="22"/>
      <c r="AD186" s="22"/>
      <c r="AE186" s="22"/>
      <c r="AF186" s="22"/>
      <c r="AG186" s="22"/>
      <c r="AH186" s="22"/>
      <c r="AI186" s="22"/>
      <c r="AJ186" s="22"/>
      <c r="AK186" s="22"/>
      <c r="AL186" s="22"/>
      <c r="AM186" s="22"/>
      <c r="AN186" s="22"/>
      <c r="AO186" s="22"/>
      <c r="AP186" s="22"/>
      <c r="AQ186" s="22"/>
      <c r="AR186" s="22"/>
      <c r="AS186" s="22"/>
      <c r="AT186" s="22"/>
      <c r="AU186" s="22"/>
      <c r="AV186" s="22"/>
      <c r="AW186" s="22"/>
      <c r="AX186" s="22"/>
      <c r="AY186" s="22"/>
      <c r="AZ186" s="22"/>
      <c r="BA186" s="22"/>
      <c r="BB186" s="22"/>
      <c r="BC186" s="22"/>
      <c r="BD186" s="22"/>
      <c r="BE186" s="22"/>
      <c r="BF186" s="22"/>
      <c r="BG186" s="22"/>
      <c r="BH186" s="22"/>
      <c r="BI186" s="22"/>
      <c r="BJ186" s="22"/>
      <c r="BK186" s="22"/>
      <c r="BL186" s="22"/>
      <c r="BM186" s="22"/>
      <c r="BN186" s="22"/>
      <c r="BO186" s="22"/>
      <c r="BP186" s="22"/>
      <c r="BQ186" s="22"/>
      <c r="BR186" s="22"/>
      <c r="BS186" s="22"/>
      <c r="BT186" s="22"/>
      <c r="BU186" s="22"/>
      <c r="BV186" s="22"/>
      <c r="BW186" s="22"/>
      <c r="BX186" s="22"/>
      <c r="BY186" s="22"/>
      <c r="BZ186" s="22"/>
      <c r="CA186" s="22"/>
      <c r="CB186" s="22"/>
      <c r="CC186" s="22"/>
      <c r="CD186" s="22"/>
      <c r="CE186" s="22"/>
      <c r="CF186" s="22"/>
      <c r="CG186" s="22"/>
      <c r="CH186" s="22"/>
      <c r="CI186" s="22"/>
      <c r="CJ186" s="22"/>
      <c r="CK186" s="22"/>
      <c r="CL186" s="22"/>
      <c r="CM186" s="22"/>
      <c r="CN186" s="22"/>
      <c r="CO186" s="22"/>
      <c r="CP186" s="22"/>
      <c r="CQ186" s="22"/>
      <c r="CR186" s="22"/>
      <c r="CS186" s="22"/>
      <c r="CT186" s="22"/>
      <c r="CU186" s="22"/>
      <c r="CV186" s="22"/>
      <c r="CW186" s="22"/>
      <c r="CX186" s="22"/>
      <c r="CY186" s="22"/>
      <c r="CZ186" s="22"/>
      <c r="DA186" s="22"/>
      <c r="DB186" s="22"/>
      <c r="DC186" s="22"/>
      <c r="DD186" s="22"/>
      <c r="DE186" s="22"/>
      <c r="DF186" s="22"/>
      <c r="DG186" s="22"/>
      <c r="DH186" s="22"/>
      <c r="DI186" s="22"/>
      <c r="DJ186" s="22"/>
      <c r="DK186" s="22"/>
      <c r="DL186" s="22"/>
      <c r="DM186" s="22"/>
      <c r="DN186" s="22"/>
      <c r="DO186" s="22"/>
      <c r="DP186" s="22"/>
      <c r="DQ186" s="22"/>
      <c r="DR186" s="22"/>
      <c r="DS186" s="22"/>
      <c r="DT186" s="22"/>
      <c r="DU186" s="22"/>
      <c r="DV186" s="22"/>
      <c r="DW186" s="22"/>
      <c r="DX186" s="22"/>
      <c r="DY186" s="22"/>
      <c r="DZ186" s="22"/>
      <c r="EA186" s="22"/>
      <c r="EB186" s="22"/>
      <c r="EC186" s="22"/>
      <c r="ED186" s="22"/>
      <c r="EE186" s="22"/>
      <c r="EF186" s="22"/>
      <c r="EG186" s="22"/>
      <c r="EH186" s="22"/>
      <c r="EI186" s="22"/>
      <c r="EJ186" s="22"/>
      <c r="EK186" s="22"/>
      <c r="EL186" s="22"/>
      <c r="EM186" s="22"/>
      <c r="EN186" s="22"/>
      <c r="EO186" s="22"/>
      <c r="EP186" s="22"/>
      <c r="EQ186" s="22"/>
      <c r="ER186" s="22"/>
      <c r="ES186" s="22"/>
      <c r="ET186" s="22"/>
      <c r="EU186" s="22"/>
      <c r="EV186" s="22"/>
      <c r="EW186" s="22"/>
      <c r="EX186" s="22"/>
      <c r="EY186" s="22"/>
      <c r="EZ186" s="22"/>
      <c r="FA186" s="22"/>
      <c r="FB186" s="22"/>
      <c r="FC186" s="22"/>
      <c r="FD186" s="22"/>
      <c r="FE186" s="22"/>
      <c r="FF186" s="22"/>
      <c r="FG186" s="22"/>
      <c r="FH186" s="22"/>
      <c r="FI186" s="22"/>
      <c r="FJ186" s="22"/>
      <c r="FK186" s="22"/>
      <c r="FL186" s="22"/>
      <c r="FM186" s="22"/>
      <c r="FN186" s="22"/>
      <c r="FO186" s="22"/>
      <c r="FP186" s="22"/>
      <c r="FQ186" s="22"/>
      <c r="FR186" s="22"/>
      <c r="FS186" s="22"/>
      <c r="FT186" s="22"/>
      <c r="FU186" s="22"/>
      <c r="FV186" s="22"/>
      <c r="FW186" s="22"/>
      <c r="FX186" s="22"/>
      <c r="FY186" s="22"/>
      <c r="FZ186" s="22"/>
    </row>
    <row r="187" spans="2:182" x14ac:dyDescent="0.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c r="Z187" s="22"/>
      <c r="AA187" s="22"/>
      <c r="AB187" s="22"/>
      <c r="AC187" s="22"/>
      <c r="AD187" s="22"/>
      <c r="AE187" s="22"/>
      <c r="AF187" s="22"/>
      <c r="AG187" s="22"/>
      <c r="AH187" s="22"/>
      <c r="AI187" s="22"/>
      <c r="AJ187" s="22"/>
      <c r="AK187" s="22"/>
      <c r="AL187" s="22"/>
      <c r="AM187" s="22"/>
      <c r="AN187" s="22"/>
      <c r="AO187" s="22"/>
      <c r="AP187" s="22"/>
      <c r="AQ187" s="22"/>
      <c r="AR187" s="22"/>
      <c r="AS187" s="22"/>
      <c r="AT187" s="22"/>
      <c r="AU187" s="22"/>
      <c r="AV187" s="22"/>
      <c r="AW187" s="22"/>
      <c r="AX187" s="22"/>
      <c r="AY187" s="22"/>
      <c r="AZ187" s="22"/>
      <c r="BA187" s="22"/>
      <c r="BB187" s="22"/>
      <c r="BC187" s="22"/>
      <c r="BD187" s="22"/>
      <c r="BE187" s="22"/>
      <c r="BF187" s="22"/>
      <c r="BG187" s="22"/>
      <c r="BH187" s="22"/>
      <c r="BI187" s="22"/>
      <c r="BJ187" s="22"/>
      <c r="BK187" s="22"/>
      <c r="BL187" s="22"/>
      <c r="BM187" s="22"/>
      <c r="BN187" s="22"/>
      <c r="BO187" s="22"/>
      <c r="BP187" s="22"/>
      <c r="BQ187" s="22"/>
      <c r="BR187" s="22"/>
      <c r="BS187" s="22"/>
      <c r="BT187" s="22"/>
      <c r="BU187" s="22"/>
      <c r="BV187" s="22"/>
      <c r="BW187" s="22"/>
      <c r="BX187" s="22"/>
      <c r="BY187" s="22"/>
      <c r="BZ187" s="22"/>
      <c r="CA187" s="22"/>
      <c r="CB187" s="22"/>
      <c r="CC187" s="22"/>
      <c r="CD187" s="22"/>
      <c r="CE187" s="22"/>
      <c r="CF187" s="22"/>
      <c r="CG187" s="22"/>
      <c r="CH187" s="22"/>
      <c r="CI187" s="22"/>
      <c r="CJ187" s="22"/>
      <c r="CK187" s="22"/>
      <c r="CL187" s="22"/>
      <c r="CM187" s="22"/>
      <c r="CN187" s="22"/>
      <c r="CO187" s="22"/>
      <c r="CP187" s="22"/>
      <c r="CQ187" s="22"/>
      <c r="CR187" s="22"/>
      <c r="CS187" s="22"/>
      <c r="CT187" s="22"/>
      <c r="CU187" s="22"/>
      <c r="CV187" s="22"/>
      <c r="CW187" s="22"/>
      <c r="CX187" s="22"/>
      <c r="CY187" s="22"/>
      <c r="CZ187" s="22"/>
      <c r="DA187" s="22"/>
      <c r="DB187" s="22"/>
      <c r="DC187" s="22"/>
      <c r="DD187" s="22"/>
      <c r="DE187" s="22"/>
      <c r="DF187" s="22"/>
      <c r="DG187" s="22"/>
      <c r="DH187" s="22"/>
      <c r="DI187" s="22"/>
      <c r="DJ187" s="22"/>
      <c r="DK187" s="22"/>
      <c r="DL187" s="22"/>
      <c r="DM187" s="22"/>
      <c r="DN187" s="22"/>
      <c r="DO187" s="22"/>
      <c r="DP187" s="22"/>
      <c r="DQ187" s="22"/>
      <c r="DR187" s="22"/>
      <c r="DS187" s="22"/>
      <c r="DT187" s="22"/>
      <c r="DU187" s="22"/>
      <c r="DV187" s="22"/>
      <c r="DW187" s="22"/>
      <c r="DX187" s="22"/>
      <c r="DY187" s="22"/>
      <c r="DZ187" s="22"/>
      <c r="EA187" s="22"/>
      <c r="EB187" s="22"/>
      <c r="EC187" s="22"/>
      <c r="ED187" s="22"/>
      <c r="EE187" s="22"/>
      <c r="EF187" s="22"/>
      <c r="EG187" s="22"/>
      <c r="EH187" s="22"/>
      <c r="EI187" s="22"/>
      <c r="EJ187" s="22"/>
      <c r="EK187" s="22"/>
      <c r="EL187" s="22"/>
      <c r="EM187" s="22"/>
      <c r="EN187" s="22"/>
      <c r="EO187" s="22"/>
      <c r="EP187" s="22"/>
      <c r="EQ187" s="22"/>
      <c r="ER187" s="22"/>
      <c r="ES187" s="22"/>
      <c r="ET187" s="22"/>
      <c r="EU187" s="22"/>
      <c r="EV187" s="22"/>
      <c r="EW187" s="22"/>
      <c r="EX187" s="22"/>
      <c r="EY187" s="22"/>
      <c r="EZ187" s="22"/>
      <c r="FA187" s="22"/>
      <c r="FB187" s="22"/>
      <c r="FC187" s="22"/>
      <c r="FD187" s="22"/>
      <c r="FE187" s="22"/>
      <c r="FF187" s="22"/>
      <c r="FG187" s="22"/>
      <c r="FH187" s="22"/>
      <c r="FI187" s="22"/>
      <c r="FJ187" s="22"/>
      <c r="FK187" s="22"/>
      <c r="FL187" s="22"/>
      <c r="FM187" s="22"/>
      <c r="FN187" s="22"/>
      <c r="FO187" s="22"/>
      <c r="FP187" s="22"/>
      <c r="FQ187" s="22"/>
      <c r="FR187" s="22"/>
      <c r="FS187" s="22"/>
      <c r="FT187" s="22"/>
      <c r="FU187" s="22"/>
      <c r="FV187" s="22"/>
      <c r="FW187" s="22"/>
      <c r="FX187" s="22"/>
      <c r="FY187" s="22"/>
      <c r="FZ187" s="22"/>
    </row>
    <row r="188" spans="2:182" x14ac:dyDescent="0.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c r="Z188" s="22"/>
      <c r="AA188" s="22"/>
      <c r="AB188" s="22"/>
      <c r="AC188" s="22"/>
      <c r="AD188" s="22"/>
      <c r="AE188" s="22"/>
      <c r="AF188" s="22"/>
      <c r="AG188" s="22"/>
      <c r="AH188" s="22"/>
      <c r="AI188" s="22"/>
      <c r="AJ188" s="22"/>
      <c r="AK188" s="22"/>
      <c r="AL188" s="22"/>
      <c r="AM188" s="22"/>
      <c r="AN188" s="22"/>
      <c r="AO188" s="22"/>
      <c r="AP188" s="22"/>
      <c r="AQ188" s="22"/>
      <c r="AR188" s="22"/>
      <c r="AS188" s="22"/>
      <c r="AT188" s="22"/>
      <c r="AU188" s="22"/>
      <c r="AV188" s="22"/>
      <c r="AW188" s="22"/>
      <c r="AX188" s="22"/>
      <c r="AY188" s="22"/>
      <c r="AZ188" s="22"/>
      <c r="BA188" s="22"/>
      <c r="BB188" s="22"/>
      <c r="BC188" s="22"/>
      <c r="BD188" s="22"/>
      <c r="BE188" s="22"/>
      <c r="BF188" s="22"/>
      <c r="BG188" s="22"/>
      <c r="BH188" s="22"/>
      <c r="BI188" s="22"/>
      <c r="BJ188" s="22"/>
      <c r="BK188" s="22"/>
      <c r="BL188" s="22"/>
      <c r="BM188" s="22"/>
      <c r="BN188" s="22"/>
      <c r="BO188" s="22"/>
      <c r="BP188" s="22"/>
      <c r="BQ188" s="22"/>
      <c r="BR188" s="22"/>
      <c r="BS188" s="22"/>
      <c r="BT188" s="22"/>
      <c r="BU188" s="22"/>
      <c r="BV188" s="22"/>
      <c r="BW188" s="22"/>
      <c r="BX188" s="22"/>
      <c r="BY188" s="22"/>
      <c r="BZ188" s="22"/>
      <c r="CA188" s="22"/>
      <c r="CB188" s="22"/>
      <c r="CC188" s="22"/>
      <c r="CD188" s="22"/>
      <c r="CE188" s="22"/>
      <c r="CF188" s="22"/>
      <c r="CG188" s="22"/>
      <c r="CH188" s="22"/>
      <c r="CI188" s="22"/>
      <c r="CJ188" s="22"/>
      <c r="CK188" s="22"/>
      <c r="CL188" s="22"/>
      <c r="CM188" s="22"/>
      <c r="CN188" s="22"/>
      <c r="CO188" s="22"/>
      <c r="CP188" s="22"/>
      <c r="CQ188" s="22"/>
      <c r="CR188" s="22"/>
      <c r="CS188" s="22"/>
      <c r="CT188" s="22"/>
      <c r="CU188" s="22"/>
      <c r="CV188" s="22"/>
      <c r="CW188" s="22"/>
      <c r="CX188" s="22"/>
      <c r="CY188" s="22"/>
      <c r="CZ188" s="22"/>
      <c r="DA188" s="22"/>
      <c r="DB188" s="22"/>
      <c r="DC188" s="22"/>
      <c r="DD188" s="22"/>
      <c r="DE188" s="22"/>
      <c r="DF188" s="22"/>
      <c r="DG188" s="22"/>
      <c r="DH188" s="22"/>
      <c r="DI188" s="22"/>
      <c r="DJ188" s="22"/>
      <c r="DK188" s="22"/>
      <c r="DL188" s="22"/>
      <c r="DM188" s="22"/>
      <c r="DN188" s="22"/>
      <c r="DO188" s="22"/>
      <c r="DP188" s="22"/>
      <c r="DQ188" s="22"/>
      <c r="DR188" s="22"/>
      <c r="DS188" s="22"/>
      <c r="DT188" s="22"/>
      <c r="DU188" s="22"/>
      <c r="DV188" s="22"/>
      <c r="DW188" s="22"/>
      <c r="DX188" s="22"/>
      <c r="DY188" s="22"/>
      <c r="DZ188" s="22"/>
      <c r="EA188" s="22"/>
      <c r="EB188" s="22"/>
      <c r="EC188" s="22"/>
      <c r="ED188" s="22"/>
      <c r="EE188" s="22"/>
      <c r="EF188" s="22"/>
      <c r="EG188" s="22"/>
      <c r="EH188" s="22"/>
      <c r="EI188" s="22"/>
      <c r="EJ188" s="22"/>
      <c r="EK188" s="22"/>
      <c r="EL188" s="22"/>
      <c r="EM188" s="22"/>
      <c r="EN188" s="22"/>
      <c r="EO188" s="22"/>
      <c r="EP188" s="22"/>
      <c r="EQ188" s="22"/>
      <c r="ER188" s="22"/>
      <c r="ES188" s="22"/>
      <c r="ET188" s="22"/>
      <c r="EU188" s="22"/>
      <c r="EV188" s="22"/>
      <c r="EW188" s="22"/>
      <c r="EX188" s="22"/>
      <c r="EY188" s="22"/>
      <c r="EZ188" s="22"/>
      <c r="FA188" s="22"/>
      <c r="FB188" s="22"/>
      <c r="FC188" s="22"/>
      <c r="FD188" s="22"/>
      <c r="FE188" s="22"/>
      <c r="FF188" s="22"/>
      <c r="FG188" s="22"/>
      <c r="FH188" s="22"/>
      <c r="FI188" s="22"/>
      <c r="FJ188" s="22"/>
      <c r="FK188" s="22"/>
      <c r="FL188" s="22"/>
      <c r="FM188" s="22"/>
      <c r="FN188" s="22"/>
      <c r="FO188" s="22"/>
      <c r="FP188" s="22"/>
      <c r="FQ188" s="22"/>
      <c r="FR188" s="22"/>
      <c r="FS188" s="22"/>
      <c r="FT188" s="22"/>
      <c r="FU188" s="22"/>
      <c r="FV188" s="22"/>
      <c r="FW188" s="22"/>
      <c r="FX188" s="22"/>
      <c r="FY188" s="22"/>
      <c r="FZ188" s="22"/>
    </row>
    <row r="189" spans="2:182" x14ac:dyDescent="0.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c r="Z189" s="22"/>
      <c r="AA189" s="22"/>
      <c r="AB189" s="22"/>
      <c r="AC189" s="22"/>
      <c r="AD189" s="22"/>
      <c r="AE189" s="22"/>
      <c r="AF189" s="22"/>
      <c r="AG189" s="22"/>
      <c r="AH189" s="22"/>
      <c r="AI189" s="22"/>
      <c r="AJ189" s="22"/>
      <c r="AK189" s="22"/>
      <c r="AL189" s="22"/>
      <c r="AM189" s="22"/>
      <c r="AN189" s="22"/>
      <c r="AO189" s="22"/>
      <c r="AP189" s="22"/>
      <c r="AQ189" s="22"/>
      <c r="AR189" s="22"/>
      <c r="AS189" s="22"/>
      <c r="AT189" s="22"/>
      <c r="AU189" s="22"/>
      <c r="AV189" s="22"/>
      <c r="AW189" s="22"/>
      <c r="AX189" s="22"/>
      <c r="AY189" s="22"/>
      <c r="AZ189" s="22"/>
      <c r="BA189" s="22"/>
      <c r="BB189" s="22"/>
      <c r="BC189" s="22"/>
      <c r="BD189" s="22"/>
      <c r="BE189" s="22"/>
      <c r="BF189" s="22"/>
      <c r="BG189" s="22"/>
      <c r="BH189" s="22"/>
      <c r="BI189" s="22"/>
      <c r="BJ189" s="22"/>
      <c r="BK189" s="22"/>
      <c r="BL189" s="22"/>
      <c r="BM189" s="22"/>
      <c r="BN189" s="22"/>
      <c r="BO189" s="22"/>
      <c r="BP189" s="22"/>
      <c r="BQ189" s="22"/>
      <c r="BR189" s="22"/>
      <c r="BS189" s="22"/>
      <c r="BT189" s="22"/>
      <c r="BU189" s="22"/>
      <c r="BV189" s="22"/>
      <c r="BW189" s="22"/>
      <c r="BX189" s="22"/>
      <c r="BY189" s="22"/>
      <c r="BZ189" s="22"/>
      <c r="CA189" s="22"/>
      <c r="CB189" s="22"/>
      <c r="CC189" s="22"/>
      <c r="CD189" s="22"/>
      <c r="CE189" s="22"/>
      <c r="CF189" s="22"/>
      <c r="CG189" s="22"/>
      <c r="CH189" s="22"/>
      <c r="CI189" s="22"/>
      <c r="CJ189" s="22"/>
      <c r="CK189" s="22"/>
      <c r="CL189" s="22"/>
      <c r="CM189" s="22"/>
      <c r="CN189" s="22"/>
      <c r="CO189" s="22"/>
      <c r="CP189" s="22"/>
      <c r="CQ189" s="22"/>
      <c r="CR189" s="22"/>
      <c r="CS189" s="22"/>
      <c r="CT189" s="22"/>
      <c r="CU189" s="22"/>
      <c r="CV189" s="22"/>
      <c r="CW189" s="22"/>
      <c r="CX189" s="22"/>
      <c r="CY189" s="22"/>
      <c r="CZ189" s="22"/>
      <c r="DA189" s="22"/>
      <c r="DB189" s="22"/>
      <c r="DC189" s="22"/>
      <c r="DD189" s="22"/>
      <c r="DE189" s="22"/>
      <c r="DF189" s="22"/>
      <c r="DG189" s="22"/>
      <c r="DH189" s="22"/>
      <c r="DI189" s="22"/>
      <c r="DJ189" s="22"/>
      <c r="DK189" s="22"/>
      <c r="DL189" s="22"/>
      <c r="DM189" s="22"/>
      <c r="DN189" s="22"/>
      <c r="DO189" s="22"/>
      <c r="DP189" s="22"/>
      <c r="DQ189" s="22"/>
      <c r="DR189" s="22"/>
      <c r="DS189" s="22"/>
      <c r="DT189" s="22"/>
      <c r="DU189" s="22"/>
      <c r="DV189" s="22"/>
      <c r="DW189" s="22"/>
      <c r="DX189" s="22"/>
      <c r="DY189" s="22"/>
      <c r="DZ189" s="22"/>
      <c r="EA189" s="22"/>
      <c r="EB189" s="22"/>
      <c r="EC189" s="22"/>
      <c r="ED189" s="22"/>
      <c r="EE189" s="22"/>
      <c r="EF189" s="22"/>
      <c r="EG189" s="22"/>
      <c r="EH189" s="22"/>
      <c r="EI189" s="22"/>
      <c r="EJ189" s="22"/>
      <c r="EK189" s="22"/>
      <c r="EL189" s="22"/>
      <c r="EM189" s="22"/>
      <c r="EN189" s="22"/>
      <c r="EO189" s="22"/>
      <c r="EP189" s="22"/>
      <c r="EQ189" s="22"/>
      <c r="ER189" s="22"/>
      <c r="ES189" s="22"/>
      <c r="ET189" s="22"/>
      <c r="EU189" s="22"/>
      <c r="EV189" s="22"/>
      <c r="EW189" s="22"/>
      <c r="EX189" s="22"/>
      <c r="EY189" s="22"/>
      <c r="EZ189" s="22"/>
      <c r="FA189" s="22"/>
      <c r="FB189" s="22"/>
      <c r="FC189" s="22"/>
      <c r="FD189" s="22"/>
      <c r="FE189" s="22"/>
      <c r="FF189" s="22"/>
      <c r="FG189" s="22"/>
      <c r="FH189" s="22"/>
      <c r="FI189" s="22"/>
      <c r="FJ189" s="22"/>
      <c r="FK189" s="22"/>
      <c r="FL189" s="22"/>
      <c r="FM189" s="22"/>
      <c r="FN189" s="22"/>
      <c r="FO189" s="22"/>
      <c r="FP189" s="22"/>
      <c r="FQ189" s="22"/>
      <c r="FR189" s="22"/>
      <c r="FS189" s="22"/>
      <c r="FT189" s="22"/>
      <c r="FU189" s="22"/>
      <c r="FV189" s="22"/>
      <c r="FW189" s="22"/>
      <c r="FX189" s="22"/>
      <c r="FY189" s="22"/>
      <c r="FZ189" s="22"/>
    </row>
    <row r="190" spans="2:182" x14ac:dyDescent="0.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c r="Z190" s="22"/>
      <c r="AA190" s="22"/>
      <c r="AB190" s="22"/>
      <c r="AC190" s="22"/>
      <c r="AD190" s="22"/>
      <c r="AE190" s="22"/>
      <c r="AF190" s="22"/>
      <c r="AG190" s="22"/>
      <c r="AH190" s="22"/>
      <c r="AI190" s="22"/>
      <c r="AJ190" s="22"/>
      <c r="AK190" s="22"/>
      <c r="AL190" s="22"/>
      <c r="AM190" s="22"/>
      <c r="AN190" s="22"/>
      <c r="AO190" s="22"/>
      <c r="AP190" s="22"/>
      <c r="AQ190" s="22"/>
      <c r="AR190" s="22"/>
      <c r="AS190" s="22"/>
      <c r="AT190" s="22"/>
      <c r="AU190" s="22"/>
      <c r="AV190" s="22"/>
      <c r="AW190" s="22"/>
      <c r="AX190" s="22"/>
      <c r="AY190" s="22"/>
      <c r="AZ190" s="22"/>
      <c r="BA190" s="22"/>
      <c r="BB190" s="22"/>
      <c r="BC190" s="22"/>
      <c r="BD190" s="22"/>
      <c r="BE190" s="22"/>
      <c r="BF190" s="22"/>
      <c r="BG190" s="22"/>
      <c r="BH190" s="22"/>
      <c r="BI190" s="22"/>
      <c r="BJ190" s="22"/>
      <c r="BK190" s="22"/>
      <c r="BL190" s="22"/>
      <c r="BM190" s="22"/>
      <c r="BN190" s="22"/>
      <c r="BO190" s="22"/>
      <c r="BP190" s="22"/>
      <c r="BQ190" s="22"/>
      <c r="BR190" s="22"/>
      <c r="BS190" s="22"/>
      <c r="BT190" s="22"/>
      <c r="BU190" s="22"/>
      <c r="BV190" s="22"/>
      <c r="BW190" s="22"/>
      <c r="BX190" s="22"/>
      <c r="BY190" s="22"/>
      <c r="BZ190" s="22"/>
      <c r="CA190" s="22"/>
      <c r="CB190" s="22"/>
      <c r="CC190" s="22"/>
      <c r="CD190" s="22"/>
      <c r="CE190" s="22"/>
      <c r="CF190" s="22"/>
      <c r="CG190" s="22"/>
      <c r="CH190" s="22"/>
      <c r="CI190" s="22"/>
      <c r="CJ190" s="22"/>
      <c r="CK190" s="22"/>
      <c r="CL190" s="22"/>
      <c r="CM190" s="22"/>
      <c r="CN190" s="22"/>
      <c r="CO190" s="22"/>
      <c r="CP190" s="22"/>
      <c r="CQ190" s="22"/>
      <c r="CR190" s="22"/>
      <c r="CS190" s="22"/>
      <c r="CT190" s="22"/>
      <c r="CU190" s="22"/>
      <c r="CV190" s="22"/>
      <c r="CW190" s="22"/>
      <c r="CX190" s="22"/>
      <c r="CY190" s="22"/>
      <c r="CZ190" s="22"/>
      <c r="DA190" s="22"/>
      <c r="DB190" s="22"/>
      <c r="DC190" s="22"/>
      <c r="DD190" s="22"/>
      <c r="DE190" s="22"/>
      <c r="DF190" s="22"/>
      <c r="DG190" s="22"/>
      <c r="DH190" s="22"/>
      <c r="DI190" s="22"/>
      <c r="DJ190" s="22"/>
      <c r="DK190" s="22"/>
      <c r="DL190" s="22"/>
      <c r="DM190" s="22"/>
      <c r="DN190" s="22"/>
      <c r="DO190" s="22"/>
      <c r="DP190" s="22"/>
      <c r="DQ190" s="22"/>
      <c r="DR190" s="22"/>
      <c r="DS190" s="22"/>
      <c r="DT190" s="22"/>
      <c r="DU190" s="22"/>
      <c r="DV190" s="22"/>
      <c r="DW190" s="22"/>
      <c r="DX190" s="22"/>
      <c r="DY190" s="22"/>
      <c r="DZ190" s="22"/>
      <c r="EA190" s="22"/>
      <c r="EB190" s="22"/>
      <c r="EC190" s="22"/>
      <c r="ED190" s="22"/>
      <c r="EE190" s="22"/>
      <c r="EF190" s="22"/>
      <c r="EG190" s="22"/>
      <c r="EH190" s="22"/>
      <c r="EI190" s="22"/>
      <c r="EJ190" s="22"/>
      <c r="EK190" s="22"/>
      <c r="EL190" s="22"/>
      <c r="EM190" s="22"/>
      <c r="EN190" s="22"/>
      <c r="EO190" s="22"/>
      <c r="EP190" s="22"/>
      <c r="EQ190" s="22"/>
      <c r="ER190" s="22"/>
      <c r="ES190" s="22"/>
      <c r="ET190" s="22"/>
      <c r="EU190" s="22"/>
      <c r="EV190" s="22"/>
      <c r="EW190" s="22"/>
      <c r="EX190" s="22"/>
      <c r="EY190" s="22"/>
      <c r="EZ190" s="22"/>
      <c r="FA190" s="22"/>
      <c r="FB190" s="22"/>
      <c r="FC190" s="22"/>
      <c r="FD190" s="22"/>
      <c r="FE190" s="22"/>
      <c r="FF190" s="22"/>
      <c r="FG190" s="22"/>
      <c r="FH190" s="22"/>
      <c r="FI190" s="22"/>
      <c r="FJ190" s="22"/>
      <c r="FK190" s="22"/>
      <c r="FL190" s="22"/>
      <c r="FM190" s="22"/>
      <c r="FN190" s="22"/>
      <c r="FO190" s="22"/>
      <c r="FP190" s="22"/>
      <c r="FQ190" s="22"/>
      <c r="FR190" s="22"/>
      <c r="FS190" s="22"/>
      <c r="FT190" s="22"/>
      <c r="FU190" s="22"/>
      <c r="FV190" s="22"/>
      <c r="FW190" s="22"/>
      <c r="FX190" s="22"/>
      <c r="FY190" s="22"/>
      <c r="FZ190" s="22"/>
    </row>
    <row r="191" spans="2:182" x14ac:dyDescent="0.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c r="Z191" s="22"/>
      <c r="AA191" s="22"/>
      <c r="AB191" s="22"/>
      <c r="AC191" s="22"/>
      <c r="AD191" s="22"/>
      <c r="AE191" s="22"/>
      <c r="AF191" s="22"/>
      <c r="AG191" s="22"/>
      <c r="AH191" s="22"/>
      <c r="AI191" s="22"/>
      <c r="AJ191" s="22"/>
      <c r="AK191" s="22"/>
      <c r="AL191" s="22"/>
      <c r="AM191" s="22"/>
      <c r="AN191" s="22"/>
      <c r="AO191" s="22"/>
      <c r="AP191" s="22"/>
      <c r="AQ191" s="22"/>
      <c r="AR191" s="22"/>
      <c r="AS191" s="22"/>
      <c r="AT191" s="22"/>
      <c r="AU191" s="22"/>
      <c r="AV191" s="22"/>
      <c r="AW191" s="22"/>
      <c r="AX191" s="22"/>
      <c r="AY191" s="22"/>
      <c r="AZ191" s="22"/>
      <c r="BA191" s="22"/>
      <c r="BB191" s="22"/>
      <c r="BC191" s="22"/>
      <c r="BD191" s="22"/>
      <c r="BE191" s="22"/>
      <c r="BF191" s="22"/>
      <c r="BG191" s="22"/>
      <c r="BH191" s="22"/>
      <c r="BI191" s="22"/>
      <c r="BJ191" s="22"/>
      <c r="BK191" s="22"/>
      <c r="BL191" s="22"/>
      <c r="BM191" s="22"/>
      <c r="BN191" s="22"/>
      <c r="BO191" s="22"/>
      <c r="BP191" s="22"/>
      <c r="BQ191" s="22"/>
      <c r="BR191" s="22"/>
      <c r="BS191" s="22"/>
      <c r="BT191" s="22"/>
      <c r="BU191" s="22"/>
      <c r="BV191" s="22"/>
      <c r="BW191" s="22"/>
      <c r="BX191" s="22"/>
      <c r="BY191" s="22"/>
      <c r="BZ191" s="22"/>
      <c r="CA191" s="22"/>
      <c r="CB191" s="22"/>
      <c r="CC191" s="22"/>
      <c r="CD191" s="22"/>
      <c r="CE191" s="22"/>
      <c r="CF191" s="22"/>
      <c r="CG191" s="22"/>
      <c r="CH191" s="22"/>
      <c r="CI191" s="22"/>
      <c r="CJ191" s="22"/>
      <c r="CK191" s="22"/>
      <c r="CL191" s="22"/>
      <c r="CM191" s="22"/>
      <c r="CN191" s="22"/>
      <c r="CO191" s="22"/>
      <c r="CP191" s="22"/>
      <c r="CQ191" s="22"/>
      <c r="CR191" s="22"/>
      <c r="CS191" s="22"/>
      <c r="CT191" s="22"/>
      <c r="CU191" s="22"/>
      <c r="CV191" s="22"/>
      <c r="CW191" s="22"/>
      <c r="CX191" s="22"/>
      <c r="CY191" s="22"/>
      <c r="CZ191" s="22"/>
      <c r="DA191" s="22"/>
      <c r="DB191" s="22"/>
      <c r="DC191" s="22"/>
      <c r="DD191" s="22"/>
      <c r="DE191" s="22"/>
      <c r="DF191" s="22"/>
      <c r="DG191" s="22"/>
      <c r="DH191" s="22"/>
      <c r="DI191" s="22"/>
      <c r="DJ191" s="22"/>
      <c r="DK191" s="22"/>
      <c r="DL191" s="22"/>
      <c r="DM191" s="22"/>
      <c r="DN191" s="22"/>
      <c r="DO191" s="22"/>
      <c r="DP191" s="22"/>
      <c r="DQ191" s="22"/>
      <c r="DR191" s="22"/>
      <c r="DS191" s="22"/>
      <c r="DT191" s="22"/>
      <c r="DU191" s="22"/>
      <c r="DV191" s="22"/>
      <c r="DW191" s="22"/>
      <c r="DX191" s="22"/>
      <c r="DY191" s="22"/>
      <c r="DZ191" s="22"/>
      <c r="EA191" s="22"/>
      <c r="EB191" s="22"/>
      <c r="EC191" s="22"/>
      <c r="ED191" s="22"/>
      <c r="EE191" s="22"/>
      <c r="EF191" s="22"/>
      <c r="EG191" s="22"/>
      <c r="EH191" s="22"/>
      <c r="EI191" s="22"/>
      <c r="EJ191" s="22"/>
      <c r="EK191" s="22"/>
      <c r="EL191" s="22"/>
      <c r="EM191" s="22"/>
      <c r="EN191" s="22"/>
      <c r="EO191" s="22"/>
      <c r="EP191" s="22"/>
      <c r="EQ191" s="22"/>
      <c r="ER191" s="22"/>
      <c r="ES191" s="22"/>
      <c r="ET191" s="22"/>
      <c r="EU191" s="22"/>
      <c r="EV191" s="22"/>
      <c r="EW191" s="22"/>
      <c r="EX191" s="22"/>
      <c r="EY191" s="22"/>
      <c r="EZ191" s="22"/>
      <c r="FA191" s="22"/>
      <c r="FB191" s="22"/>
      <c r="FC191" s="22"/>
      <c r="FD191" s="22"/>
      <c r="FE191" s="22"/>
      <c r="FF191" s="22"/>
      <c r="FG191" s="22"/>
      <c r="FH191" s="22"/>
      <c r="FI191" s="22"/>
      <c r="FJ191" s="22"/>
      <c r="FK191" s="22"/>
      <c r="FL191" s="22"/>
      <c r="FM191" s="22"/>
      <c r="FN191" s="22"/>
      <c r="FO191" s="22"/>
      <c r="FP191" s="22"/>
      <c r="FQ191" s="22"/>
      <c r="FR191" s="22"/>
      <c r="FS191" s="22"/>
      <c r="FT191" s="22"/>
      <c r="FU191" s="22"/>
      <c r="FV191" s="22"/>
      <c r="FW191" s="22"/>
      <c r="FX191" s="22"/>
      <c r="FY191" s="22"/>
      <c r="FZ191" s="22"/>
    </row>
    <row r="192" spans="2:182" x14ac:dyDescent="0.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c r="Z192" s="22"/>
      <c r="AA192" s="22"/>
      <c r="AB192" s="22"/>
      <c r="AC192" s="22"/>
      <c r="AD192" s="22"/>
      <c r="AE192" s="22"/>
      <c r="AF192" s="22"/>
      <c r="AG192" s="22"/>
      <c r="AH192" s="22"/>
      <c r="AI192" s="22"/>
      <c r="AJ192" s="22"/>
      <c r="AK192" s="22"/>
      <c r="AL192" s="22"/>
      <c r="AM192" s="22"/>
      <c r="AN192" s="22"/>
      <c r="AO192" s="22"/>
      <c r="AP192" s="22"/>
      <c r="AQ192" s="22"/>
      <c r="AR192" s="22"/>
      <c r="AS192" s="22"/>
      <c r="AT192" s="22"/>
      <c r="AU192" s="22"/>
      <c r="AV192" s="22"/>
      <c r="AW192" s="22"/>
      <c r="AX192" s="22"/>
      <c r="AY192" s="22"/>
      <c r="AZ192" s="22"/>
      <c r="BA192" s="22"/>
      <c r="BB192" s="22"/>
      <c r="BC192" s="22"/>
      <c r="BD192" s="22"/>
      <c r="BE192" s="22"/>
      <c r="BF192" s="22"/>
      <c r="BG192" s="22"/>
      <c r="BH192" s="22"/>
      <c r="BI192" s="22"/>
      <c r="BJ192" s="22"/>
      <c r="BK192" s="22"/>
      <c r="BL192" s="22"/>
      <c r="BM192" s="22"/>
      <c r="BN192" s="22"/>
      <c r="BO192" s="22"/>
      <c r="BP192" s="22"/>
      <c r="BQ192" s="22"/>
      <c r="BR192" s="22"/>
      <c r="BS192" s="22"/>
      <c r="BT192" s="22"/>
      <c r="BU192" s="22"/>
      <c r="BV192" s="22"/>
      <c r="BW192" s="22"/>
      <c r="BX192" s="22"/>
      <c r="BY192" s="22"/>
      <c r="BZ192" s="22"/>
      <c r="CA192" s="22"/>
      <c r="CB192" s="22"/>
      <c r="CC192" s="22"/>
      <c r="CD192" s="22"/>
      <c r="CE192" s="22"/>
      <c r="CF192" s="22"/>
      <c r="CG192" s="22"/>
      <c r="CH192" s="22"/>
      <c r="CI192" s="22"/>
      <c r="CJ192" s="22"/>
      <c r="CK192" s="22"/>
      <c r="CL192" s="22"/>
      <c r="CM192" s="22"/>
      <c r="CN192" s="22"/>
      <c r="CO192" s="22"/>
      <c r="CP192" s="22"/>
      <c r="CQ192" s="22"/>
      <c r="CR192" s="22"/>
      <c r="CS192" s="22"/>
      <c r="CT192" s="22"/>
      <c r="CU192" s="22"/>
      <c r="CV192" s="22"/>
      <c r="CW192" s="22"/>
      <c r="CX192" s="22"/>
      <c r="CY192" s="22"/>
      <c r="CZ192" s="22"/>
      <c r="DA192" s="22"/>
      <c r="DB192" s="22"/>
      <c r="DC192" s="22"/>
      <c r="DD192" s="22"/>
      <c r="DE192" s="22"/>
      <c r="DF192" s="22"/>
      <c r="DG192" s="22"/>
      <c r="DH192" s="22"/>
      <c r="DI192" s="22"/>
      <c r="DJ192" s="22"/>
      <c r="DK192" s="22"/>
      <c r="DL192" s="22"/>
      <c r="DM192" s="22"/>
      <c r="DN192" s="22"/>
      <c r="DO192" s="22"/>
      <c r="DP192" s="22"/>
      <c r="DQ192" s="22"/>
      <c r="DR192" s="22"/>
      <c r="DS192" s="22"/>
      <c r="DT192" s="22"/>
      <c r="DU192" s="22"/>
      <c r="DV192" s="22"/>
      <c r="DW192" s="22"/>
      <c r="DX192" s="22"/>
      <c r="DY192" s="22"/>
      <c r="DZ192" s="22"/>
      <c r="EA192" s="22"/>
      <c r="EB192" s="22"/>
      <c r="EC192" s="22"/>
      <c r="ED192" s="22"/>
      <c r="EE192" s="22"/>
      <c r="EF192" s="22"/>
      <c r="EG192" s="22"/>
      <c r="EH192" s="22"/>
      <c r="EI192" s="22"/>
      <c r="EJ192" s="22"/>
      <c r="EK192" s="22"/>
      <c r="EL192" s="22"/>
      <c r="EM192" s="22"/>
      <c r="EN192" s="22"/>
      <c r="EO192" s="22"/>
      <c r="EP192" s="22"/>
      <c r="EQ192" s="22"/>
      <c r="ER192" s="22"/>
      <c r="ES192" s="22"/>
      <c r="ET192" s="22"/>
      <c r="EU192" s="22"/>
      <c r="EV192" s="22"/>
      <c r="EW192" s="22"/>
      <c r="EX192" s="22"/>
      <c r="EY192" s="22"/>
      <c r="EZ192" s="22"/>
      <c r="FA192" s="22"/>
      <c r="FB192" s="22"/>
      <c r="FC192" s="22"/>
      <c r="FD192" s="22"/>
      <c r="FE192" s="22"/>
      <c r="FF192" s="22"/>
      <c r="FG192" s="22"/>
      <c r="FH192" s="22"/>
      <c r="FI192" s="22"/>
      <c r="FJ192" s="22"/>
      <c r="FK192" s="22"/>
      <c r="FL192" s="22"/>
      <c r="FM192" s="22"/>
      <c r="FN192" s="22"/>
      <c r="FO192" s="22"/>
      <c r="FP192" s="22"/>
      <c r="FQ192" s="22"/>
      <c r="FR192" s="22"/>
      <c r="FS192" s="22"/>
      <c r="FT192" s="22"/>
      <c r="FU192" s="22"/>
      <c r="FV192" s="22"/>
      <c r="FW192" s="22"/>
      <c r="FX192" s="22"/>
      <c r="FY192" s="22"/>
      <c r="FZ192" s="22"/>
    </row>
    <row r="193" spans="2:182" x14ac:dyDescent="0.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c r="Z193" s="22"/>
      <c r="AA193" s="22"/>
      <c r="AB193" s="22"/>
      <c r="AC193" s="22"/>
      <c r="AD193" s="22"/>
      <c r="AE193" s="22"/>
      <c r="AF193" s="22"/>
      <c r="AG193" s="22"/>
      <c r="AH193" s="22"/>
      <c r="AI193" s="22"/>
      <c r="AJ193" s="22"/>
      <c r="AK193" s="22"/>
      <c r="AL193" s="22"/>
      <c r="AM193" s="22"/>
      <c r="AN193" s="22"/>
      <c r="AO193" s="22"/>
      <c r="AP193" s="22"/>
      <c r="AQ193" s="22"/>
      <c r="AR193" s="22"/>
      <c r="AS193" s="22"/>
      <c r="AT193" s="22"/>
      <c r="AU193" s="22"/>
      <c r="AV193" s="22"/>
      <c r="AW193" s="22"/>
      <c r="AX193" s="22"/>
      <c r="AY193" s="22"/>
      <c r="AZ193" s="22"/>
      <c r="BA193" s="22"/>
      <c r="BB193" s="22"/>
      <c r="BC193" s="22"/>
      <c r="BD193" s="22"/>
      <c r="BE193" s="22"/>
      <c r="BF193" s="22"/>
      <c r="BG193" s="22"/>
      <c r="BH193" s="22"/>
      <c r="BI193" s="22"/>
      <c r="BJ193" s="22"/>
      <c r="BK193" s="22"/>
      <c r="BL193" s="22"/>
      <c r="BM193" s="22"/>
      <c r="BN193" s="22"/>
      <c r="BO193" s="22"/>
      <c r="BP193" s="22"/>
      <c r="BQ193" s="22"/>
      <c r="BR193" s="22"/>
      <c r="BS193" s="22"/>
      <c r="BT193" s="22"/>
      <c r="BU193" s="22"/>
      <c r="BV193" s="22"/>
      <c r="BW193" s="22"/>
      <c r="BX193" s="22"/>
      <c r="BY193" s="22"/>
      <c r="BZ193" s="22"/>
      <c r="CA193" s="22"/>
      <c r="CB193" s="22"/>
      <c r="CC193" s="22"/>
      <c r="CD193" s="22"/>
      <c r="CE193" s="22"/>
      <c r="CF193" s="22"/>
      <c r="CG193" s="22"/>
      <c r="CH193" s="22"/>
      <c r="CI193" s="22"/>
      <c r="CJ193" s="22"/>
      <c r="CK193" s="22"/>
      <c r="CL193" s="22"/>
      <c r="CM193" s="22"/>
      <c r="CN193" s="22"/>
      <c r="CO193" s="22"/>
      <c r="CP193" s="22"/>
      <c r="CQ193" s="22"/>
      <c r="CR193" s="22"/>
      <c r="CS193" s="22"/>
      <c r="CT193" s="22"/>
      <c r="CU193" s="22"/>
      <c r="CV193" s="22"/>
      <c r="CW193" s="22"/>
      <c r="CX193" s="22"/>
      <c r="CY193" s="22"/>
      <c r="CZ193" s="22"/>
      <c r="DA193" s="22"/>
      <c r="DB193" s="22"/>
      <c r="DC193" s="22"/>
      <c r="DD193" s="22"/>
      <c r="DE193" s="22"/>
      <c r="DF193" s="22"/>
      <c r="DG193" s="22"/>
      <c r="DH193" s="22"/>
      <c r="DI193" s="22"/>
      <c r="DJ193" s="22"/>
      <c r="DK193" s="22"/>
      <c r="DL193" s="22"/>
      <c r="DM193" s="22"/>
      <c r="DN193" s="22"/>
      <c r="DO193" s="22"/>
      <c r="DP193" s="22"/>
      <c r="DQ193" s="22"/>
      <c r="DR193" s="22"/>
      <c r="DS193" s="22"/>
      <c r="DT193" s="22"/>
      <c r="DU193" s="22"/>
      <c r="DV193" s="22"/>
      <c r="DW193" s="22"/>
      <c r="DX193" s="22"/>
      <c r="DY193" s="22"/>
      <c r="DZ193" s="22"/>
      <c r="EA193" s="22"/>
      <c r="EB193" s="22"/>
      <c r="EC193" s="22"/>
      <c r="ED193" s="22"/>
      <c r="EE193" s="22"/>
      <c r="EF193" s="22"/>
      <c r="EG193" s="22"/>
      <c r="EH193" s="22"/>
      <c r="EI193" s="22"/>
      <c r="EJ193" s="22"/>
      <c r="EK193" s="22"/>
      <c r="EL193" s="22"/>
      <c r="EM193" s="22"/>
      <c r="EN193" s="22"/>
      <c r="EO193" s="22"/>
      <c r="EP193" s="22"/>
      <c r="EQ193" s="22"/>
      <c r="ER193" s="22"/>
      <c r="ES193" s="22"/>
      <c r="ET193" s="22"/>
      <c r="EU193" s="22"/>
      <c r="EV193" s="22"/>
      <c r="EW193" s="22"/>
      <c r="EX193" s="22"/>
      <c r="EY193" s="22"/>
      <c r="EZ193" s="22"/>
      <c r="FA193" s="22"/>
      <c r="FB193" s="22"/>
      <c r="FC193" s="22"/>
      <c r="FD193" s="22"/>
      <c r="FE193" s="22"/>
      <c r="FF193" s="22"/>
      <c r="FG193" s="22"/>
      <c r="FH193" s="22"/>
      <c r="FI193" s="22"/>
      <c r="FJ193" s="22"/>
      <c r="FK193" s="22"/>
      <c r="FL193" s="22"/>
      <c r="FM193" s="22"/>
      <c r="FN193" s="22"/>
      <c r="FO193" s="22"/>
      <c r="FP193" s="22"/>
      <c r="FQ193" s="22"/>
      <c r="FR193" s="22"/>
      <c r="FS193" s="22"/>
      <c r="FT193" s="22"/>
      <c r="FU193" s="22"/>
      <c r="FV193" s="22"/>
      <c r="FW193" s="22"/>
      <c r="FX193" s="22"/>
      <c r="FY193" s="22"/>
      <c r="FZ193" s="22"/>
    </row>
    <row r="194" spans="2:182" x14ac:dyDescent="0.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c r="Z194" s="22"/>
      <c r="AA194" s="22"/>
      <c r="AB194" s="22"/>
      <c r="AC194" s="22"/>
      <c r="AD194" s="22"/>
      <c r="AE194" s="22"/>
      <c r="AF194" s="22"/>
      <c r="AG194" s="22"/>
      <c r="AH194" s="22"/>
      <c r="AI194" s="22"/>
      <c r="AJ194" s="22"/>
      <c r="AK194" s="22"/>
      <c r="AL194" s="22"/>
      <c r="AM194" s="22"/>
      <c r="AN194" s="22"/>
      <c r="AO194" s="22"/>
      <c r="AP194" s="22"/>
      <c r="AQ194" s="22"/>
      <c r="AR194" s="22"/>
      <c r="AS194" s="22"/>
      <c r="AT194" s="22"/>
      <c r="AU194" s="22"/>
      <c r="AV194" s="22"/>
      <c r="AW194" s="22"/>
      <c r="AX194" s="22"/>
      <c r="AY194" s="22"/>
      <c r="AZ194" s="22"/>
      <c r="BA194" s="22"/>
      <c r="BB194" s="22"/>
      <c r="BC194" s="22"/>
      <c r="BD194" s="22"/>
      <c r="BE194" s="22"/>
      <c r="BF194" s="22"/>
      <c r="BG194" s="22"/>
      <c r="BH194" s="22"/>
      <c r="BI194" s="22"/>
      <c r="BJ194" s="22"/>
      <c r="BK194" s="22"/>
      <c r="BL194" s="22"/>
      <c r="BM194" s="22"/>
      <c r="BN194" s="22"/>
      <c r="BO194" s="22"/>
      <c r="BP194" s="22"/>
      <c r="BQ194" s="22"/>
      <c r="BR194" s="22"/>
      <c r="BS194" s="22"/>
      <c r="BT194" s="22"/>
      <c r="BU194" s="22"/>
      <c r="BV194" s="22"/>
      <c r="BW194" s="22"/>
      <c r="BX194" s="22"/>
      <c r="BY194" s="22"/>
      <c r="BZ194" s="22"/>
      <c r="CA194" s="22"/>
      <c r="CB194" s="22"/>
      <c r="CC194" s="22"/>
      <c r="CD194" s="22"/>
      <c r="CE194" s="22"/>
      <c r="CF194" s="22"/>
      <c r="CG194" s="22"/>
      <c r="CH194" s="22"/>
      <c r="CI194" s="22"/>
      <c r="CJ194" s="22"/>
      <c r="CK194" s="22"/>
      <c r="CL194" s="22"/>
      <c r="CM194" s="22"/>
      <c r="CN194" s="22"/>
      <c r="CO194" s="22"/>
      <c r="CP194" s="22"/>
      <c r="CQ194" s="22"/>
      <c r="CR194" s="22"/>
      <c r="CS194" s="22"/>
      <c r="CT194" s="22"/>
      <c r="CU194" s="22"/>
      <c r="CV194" s="22"/>
      <c r="CW194" s="22"/>
      <c r="CX194" s="22"/>
      <c r="CY194" s="22"/>
      <c r="CZ194" s="22"/>
      <c r="DA194" s="22"/>
      <c r="DB194" s="22"/>
      <c r="DC194" s="22"/>
      <c r="DD194" s="22"/>
      <c r="DE194" s="22"/>
      <c r="DF194" s="22"/>
      <c r="DG194" s="22"/>
      <c r="DH194" s="22"/>
      <c r="DI194" s="22"/>
      <c r="DJ194" s="22"/>
      <c r="DK194" s="22"/>
      <c r="DL194" s="22"/>
      <c r="DM194" s="22"/>
      <c r="DN194" s="22"/>
      <c r="DO194" s="22"/>
      <c r="DP194" s="22"/>
      <c r="DQ194" s="22"/>
      <c r="DR194" s="22"/>
      <c r="DS194" s="22"/>
      <c r="DT194" s="22"/>
      <c r="DU194" s="22"/>
      <c r="DV194" s="22"/>
      <c r="DW194" s="22"/>
      <c r="DX194" s="22"/>
      <c r="DY194" s="22"/>
      <c r="DZ194" s="22"/>
      <c r="EA194" s="22"/>
      <c r="EB194" s="22"/>
      <c r="EC194" s="22"/>
      <c r="ED194" s="22"/>
      <c r="EE194" s="22"/>
      <c r="EF194" s="22"/>
      <c r="EG194" s="22"/>
      <c r="EH194" s="22"/>
      <c r="EI194" s="22"/>
      <c r="EJ194" s="22"/>
      <c r="EK194" s="22"/>
      <c r="EL194" s="22"/>
      <c r="EM194" s="22"/>
      <c r="EN194" s="22"/>
      <c r="EO194" s="22"/>
      <c r="EP194" s="22"/>
      <c r="EQ194" s="22"/>
      <c r="ER194" s="22"/>
      <c r="ES194" s="22"/>
      <c r="ET194" s="22"/>
      <c r="EU194" s="22"/>
      <c r="EV194" s="22"/>
      <c r="EW194" s="22"/>
      <c r="EX194" s="22"/>
      <c r="EY194" s="22"/>
      <c r="EZ194" s="22"/>
      <c r="FA194" s="22"/>
      <c r="FB194" s="22"/>
      <c r="FC194" s="22"/>
      <c r="FD194" s="22"/>
      <c r="FE194" s="22"/>
      <c r="FF194" s="22"/>
      <c r="FG194" s="22"/>
      <c r="FH194" s="22"/>
      <c r="FI194" s="22"/>
      <c r="FJ194" s="22"/>
      <c r="FK194" s="22"/>
      <c r="FL194" s="22"/>
      <c r="FM194" s="22"/>
      <c r="FN194" s="22"/>
      <c r="FO194" s="22"/>
      <c r="FP194" s="22"/>
      <c r="FQ194" s="22"/>
      <c r="FR194" s="22"/>
      <c r="FS194" s="22"/>
      <c r="FT194" s="22"/>
      <c r="FU194" s="22"/>
      <c r="FV194" s="22"/>
      <c r="FW194" s="22"/>
      <c r="FX194" s="22"/>
      <c r="FY194" s="22"/>
      <c r="FZ194" s="22"/>
    </row>
    <row r="195" spans="2:182" x14ac:dyDescent="0.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c r="Z195" s="22"/>
      <c r="AA195" s="22"/>
      <c r="AB195" s="22"/>
      <c r="AC195" s="22"/>
      <c r="AD195" s="22"/>
      <c r="AE195" s="22"/>
      <c r="AF195" s="22"/>
      <c r="AG195" s="22"/>
      <c r="AH195" s="22"/>
      <c r="AI195" s="22"/>
      <c r="AJ195" s="22"/>
      <c r="AK195" s="22"/>
      <c r="AL195" s="22"/>
      <c r="AM195" s="22"/>
      <c r="AN195" s="22"/>
      <c r="AO195" s="22"/>
      <c r="AP195" s="22"/>
      <c r="AQ195" s="22"/>
      <c r="AR195" s="22"/>
      <c r="AS195" s="22"/>
      <c r="AT195" s="22"/>
      <c r="AU195" s="22"/>
      <c r="AV195" s="22"/>
      <c r="AW195" s="22"/>
      <c r="AX195" s="22"/>
      <c r="AY195" s="22"/>
      <c r="AZ195" s="22"/>
      <c r="BA195" s="22"/>
      <c r="BB195" s="22"/>
      <c r="BC195" s="22"/>
      <c r="BD195" s="22"/>
      <c r="BE195" s="22"/>
      <c r="BF195" s="22"/>
      <c r="BG195" s="22"/>
      <c r="BH195" s="22"/>
      <c r="BI195" s="22"/>
      <c r="BJ195" s="22"/>
      <c r="BK195" s="22"/>
      <c r="BL195" s="22"/>
      <c r="BM195" s="22"/>
      <c r="BN195" s="22"/>
      <c r="BO195" s="22"/>
      <c r="BP195" s="22"/>
      <c r="BQ195" s="22"/>
      <c r="BR195" s="22"/>
      <c r="BS195" s="22"/>
      <c r="BT195" s="22"/>
      <c r="BU195" s="22"/>
      <c r="BV195" s="22"/>
      <c r="BW195" s="22"/>
      <c r="BX195" s="22"/>
      <c r="BY195" s="22"/>
      <c r="BZ195" s="22"/>
      <c r="CA195" s="22"/>
      <c r="CB195" s="22"/>
      <c r="CC195" s="22"/>
      <c r="CD195" s="22"/>
      <c r="CE195" s="22"/>
      <c r="CF195" s="22"/>
      <c r="CG195" s="22"/>
      <c r="CH195" s="22"/>
      <c r="CI195" s="22"/>
      <c r="CJ195" s="22"/>
      <c r="CK195" s="22"/>
      <c r="CL195" s="22"/>
      <c r="CM195" s="22"/>
      <c r="CN195" s="22"/>
      <c r="CO195" s="22"/>
      <c r="CP195" s="22"/>
      <c r="CQ195" s="22"/>
      <c r="CR195" s="22"/>
      <c r="CS195" s="22"/>
      <c r="CT195" s="22"/>
      <c r="CU195" s="22"/>
      <c r="CV195" s="22"/>
      <c r="CW195" s="22"/>
      <c r="CX195" s="22"/>
      <c r="CY195" s="22"/>
      <c r="CZ195" s="22"/>
      <c r="DA195" s="22"/>
      <c r="DB195" s="22"/>
      <c r="DC195" s="22"/>
      <c r="DD195" s="22"/>
      <c r="DE195" s="22"/>
      <c r="DF195" s="22"/>
      <c r="DG195" s="22"/>
      <c r="DH195" s="22"/>
      <c r="DI195" s="22"/>
      <c r="DJ195" s="22"/>
      <c r="DK195" s="22"/>
      <c r="DL195" s="22"/>
      <c r="DM195" s="22"/>
      <c r="DN195" s="22"/>
      <c r="DO195" s="22"/>
      <c r="DP195" s="22"/>
      <c r="DQ195" s="22"/>
      <c r="DR195" s="22"/>
      <c r="DS195" s="22"/>
      <c r="DT195" s="22"/>
      <c r="DU195" s="22"/>
      <c r="DV195" s="22"/>
      <c r="DW195" s="22"/>
      <c r="DX195" s="22"/>
      <c r="DY195" s="22"/>
      <c r="DZ195" s="22"/>
      <c r="EA195" s="22"/>
      <c r="EB195" s="22"/>
      <c r="EC195" s="22"/>
      <c r="ED195" s="22"/>
      <c r="EE195" s="22"/>
      <c r="EF195" s="22"/>
      <c r="EG195" s="22"/>
      <c r="EH195" s="22"/>
      <c r="EI195" s="22"/>
      <c r="EJ195" s="22"/>
      <c r="EK195" s="22"/>
      <c r="EL195" s="22"/>
      <c r="EM195" s="22"/>
      <c r="EN195" s="22"/>
      <c r="EO195" s="22"/>
      <c r="EP195" s="22"/>
      <c r="EQ195" s="22"/>
      <c r="ER195" s="22"/>
      <c r="ES195" s="22"/>
      <c r="ET195" s="22"/>
      <c r="EU195" s="22"/>
      <c r="EV195" s="22"/>
      <c r="EW195" s="22"/>
      <c r="EX195" s="22"/>
      <c r="EY195" s="22"/>
      <c r="EZ195" s="22"/>
      <c r="FA195" s="22"/>
      <c r="FB195" s="22"/>
      <c r="FC195" s="22"/>
      <c r="FD195" s="22"/>
      <c r="FE195" s="22"/>
      <c r="FF195" s="22"/>
      <c r="FG195" s="22"/>
      <c r="FH195" s="22"/>
      <c r="FI195" s="22"/>
      <c r="FJ195" s="22"/>
      <c r="FK195" s="22"/>
      <c r="FL195" s="22"/>
      <c r="FM195" s="22"/>
      <c r="FN195" s="22"/>
      <c r="FO195" s="22"/>
      <c r="FP195" s="22"/>
      <c r="FQ195" s="22"/>
      <c r="FR195" s="22"/>
      <c r="FS195" s="22"/>
      <c r="FT195" s="22"/>
      <c r="FU195" s="22"/>
      <c r="FV195" s="22"/>
      <c r="FW195" s="22"/>
      <c r="FX195" s="22"/>
      <c r="FY195" s="22"/>
      <c r="FZ195" s="22"/>
    </row>
    <row r="196" spans="2:182" x14ac:dyDescent="0.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c r="Z196" s="22"/>
      <c r="AA196" s="22"/>
      <c r="AB196" s="22"/>
      <c r="AC196" s="22"/>
      <c r="AD196" s="22"/>
      <c r="AE196" s="22"/>
      <c r="AF196" s="22"/>
      <c r="AG196" s="22"/>
      <c r="AH196" s="22"/>
      <c r="AI196" s="22"/>
      <c r="AJ196" s="22"/>
      <c r="AK196" s="22"/>
      <c r="AL196" s="22"/>
      <c r="AM196" s="22"/>
      <c r="AN196" s="22"/>
      <c r="AO196" s="22"/>
      <c r="AP196" s="22"/>
      <c r="AQ196" s="22"/>
      <c r="AR196" s="22"/>
      <c r="AS196" s="22"/>
      <c r="AT196" s="22"/>
      <c r="AU196" s="22"/>
      <c r="AV196" s="22"/>
      <c r="AW196" s="22"/>
      <c r="AX196" s="22"/>
      <c r="AY196" s="22"/>
      <c r="AZ196" s="22"/>
      <c r="BA196" s="22"/>
      <c r="BB196" s="22"/>
      <c r="BC196" s="22"/>
      <c r="BD196" s="22"/>
      <c r="BE196" s="22"/>
      <c r="BF196" s="22"/>
      <c r="BG196" s="22"/>
      <c r="BH196" s="22"/>
      <c r="BI196" s="22"/>
      <c r="BJ196" s="22"/>
      <c r="BK196" s="22"/>
      <c r="BL196" s="22"/>
      <c r="BM196" s="22"/>
      <c r="BN196" s="22"/>
      <c r="BO196" s="22"/>
      <c r="BP196" s="22"/>
      <c r="BQ196" s="22"/>
      <c r="BR196" s="22"/>
      <c r="BS196" s="22"/>
      <c r="BT196" s="22"/>
      <c r="BU196" s="22"/>
      <c r="BV196" s="22"/>
      <c r="BW196" s="22"/>
      <c r="BX196" s="22"/>
      <c r="BY196" s="22"/>
      <c r="BZ196" s="22"/>
      <c r="CA196" s="22"/>
      <c r="CB196" s="22"/>
      <c r="CC196" s="22"/>
      <c r="CD196" s="22"/>
      <c r="CE196" s="22"/>
      <c r="CF196" s="22"/>
      <c r="CG196" s="22"/>
      <c r="CH196" s="22"/>
      <c r="CI196" s="22"/>
      <c r="CJ196" s="22"/>
      <c r="CK196" s="22"/>
      <c r="CL196" s="22"/>
      <c r="CM196" s="22"/>
      <c r="CN196" s="22"/>
      <c r="CO196" s="22"/>
      <c r="CP196" s="22"/>
      <c r="CQ196" s="22"/>
      <c r="CR196" s="22"/>
      <c r="CS196" s="22"/>
      <c r="CT196" s="22"/>
      <c r="CU196" s="22"/>
      <c r="CV196" s="22"/>
      <c r="CW196" s="22"/>
      <c r="CX196" s="22"/>
      <c r="CY196" s="22"/>
      <c r="CZ196" s="22"/>
      <c r="DA196" s="22"/>
      <c r="DB196" s="22"/>
      <c r="DC196" s="22"/>
      <c r="DD196" s="22"/>
      <c r="DE196" s="22"/>
      <c r="DF196" s="22"/>
      <c r="DG196" s="22"/>
      <c r="DH196" s="22"/>
      <c r="DI196" s="22"/>
      <c r="DJ196" s="22"/>
      <c r="DK196" s="22"/>
      <c r="DL196" s="22"/>
      <c r="DM196" s="22"/>
      <c r="DN196" s="22"/>
      <c r="DO196" s="22"/>
      <c r="DP196" s="22"/>
      <c r="DQ196" s="22"/>
      <c r="DR196" s="22"/>
      <c r="DS196" s="22"/>
      <c r="DT196" s="22"/>
      <c r="DU196" s="22"/>
      <c r="DV196" s="22"/>
      <c r="DW196" s="22"/>
      <c r="DX196" s="22"/>
      <c r="DY196" s="22"/>
      <c r="DZ196" s="22"/>
      <c r="EA196" s="22"/>
      <c r="EB196" s="22"/>
      <c r="EC196" s="22"/>
      <c r="ED196" s="22"/>
      <c r="EE196" s="22"/>
      <c r="EF196" s="22"/>
      <c r="EG196" s="22"/>
      <c r="EH196" s="22"/>
      <c r="EI196" s="22"/>
      <c r="EJ196" s="22"/>
      <c r="EK196" s="22"/>
      <c r="EL196" s="22"/>
      <c r="EM196" s="22"/>
      <c r="EN196" s="22"/>
      <c r="EO196" s="22"/>
      <c r="EP196" s="22"/>
      <c r="EQ196" s="22"/>
      <c r="ER196" s="22"/>
      <c r="ES196" s="22"/>
      <c r="ET196" s="22"/>
      <c r="EU196" s="22"/>
      <c r="EV196" s="22"/>
      <c r="EW196" s="22"/>
      <c r="EX196" s="22"/>
      <c r="EY196" s="22"/>
      <c r="EZ196" s="22"/>
      <c r="FA196" s="22"/>
      <c r="FB196" s="22"/>
      <c r="FC196" s="22"/>
      <c r="FD196" s="22"/>
      <c r="FE196" s="22"/>
      <c r="FF196" s="22"/>
      <c r="FG196" s="22"/>
      <c r="FH196" s="22"/>
      <c r="FI196" s="22"/>
      <c r="FJ196" s="22"/>
      <c r="FK196" s="22"/>
      <c r="FL196" s="22"/>
      <c r="FM196" s="22"/>
      <c r="FN196" s="22"/>
      <c r="FO196" s="22"/>
      <c r="FP196" s="22"/>
      <c r="FQ196" s="22"/>
      <c r="FR196" s="22"/>
      <c r="FS196" s="22"/>
      <c r="FT196" s="22"/>
      <c r="FU196" s="22"/>
      <c r="FV196" s="22"/>
      <c r="FW196" s="22"/>
      <c r="FX196" s="22"/>
      <c r="FY196" s="22"/>
      <c r="FZ196" s="22"/>
    </row>
    <row r="197" spans="2:182" x14ac:dyDescent="0.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c r="Z197" s="22"/>
      <c r="AA197" s="22"/>
      <c r="AB197" s="22"/>
      <c r="AC197" s="22"/>
      <c r="AD197" s="22"/>
      <c r="AE197" s="22"/>
      <c r="AF197" s="22"/>
      <c r="AG197" s="22"/>
      <c r="AH197" s="22"/>
      <c r="AI197" s="22"/>
      <c r="AJ197" s="22"/>
      <c r="AK197" s="22"/>
      <c r="AL197" s="22"/>
      <c r="AM197" s="22"/>
      <c r="AN197" s="22"/>
      <c r="AO197" s="22"/>
      <c r="AP197" s="22"/>
      <c r="AQ197" s="22"/>
      <c r="AR197" s="22"/>
      <c r="AS197" s="22"/>
      <c r="AT197" s="22"/>
      <c r="AU197" s="22"/>
      <c r="AV197" s="22"/>
      <c r="AW197" s="22"/>
      <c r="AX197" s="22"/>
      <c r="AY197" s="22"/>
      <c r="AZ197" s="22"/>
      <c r="BA197" s="22"/>
      <c r="BB197" s="22"/>
      <c r="BC197" s="22"/>
      <c r="BD197" s="22"/>
      <c r="BE197" s="22"/>
      <c r="BF197" s="22"/>
      <c r="BG197" s="22"/>
      <c r="BH197" s="22"/>
      <c r="BI197" s="22"/>
      <c r="BJ197" s="22"/>
      <c r="BK197" s="22"/>
      <c r="BL197" s="22"/>
      <c r="BM197" s="22"/>
      <c r="BN197" s="22"/>
      <c r="BO197" s="22"/>
      <c r="BP197" s="22"/>
      <c r="BQ197" s="22"/>
      <c r="BR197" s="22"/>
      <c r="BS197" s="22"/>
      <c r="BT197" s="22"/>
      <c r="BU197" s="22"/>
      <c r="BV197" s="22"/>
      <c r="BW197" s="22"/>
      <c r="BX197" s="22"/>
      <c r="BY197" s="22"/>
      <c r="BZ197" s="22"/>
      <c r="CA197" s="22"/>
      <c r="CB197" s="22"/>
      <c r="CC197" s="22"/>
      <c r="CD197" s="22"/>
      <c r="CE197" s="22"/>
      <c r="CF197" s="22"/>
      <c r="CG197" s="22"/>
      <c r="CH197" s="22"/>
      <c r="CI197" s="22"/>
      <c r="CJ197" s="22"/>
      <c r="CK197" s="22"/>
      <c r="CL197" s="22"/>
      <c r="CM197" s="22"/>
      <c r="CN197" s="22"/>
      <c r="CO197" s="22"/>
      <c r="CP197" s="22"/>
      <c r="CQ197" s="22"/>
      <c r="CR197" s="22"/>
      <c r="CS197" s="22"/>
      <c r="CT197" s="22"/>
      <c r="CU197" s="22"/>
      <c r="CV197" s="22"/>
      <c r="CW197" s="22"/>
      <c r="CX197" s="22"/>
      <c r="CY197" s="22"/>
      <c r="CZ197" s="22"/>
      <c r="DA197" s="22"/>
      <c r="DB197" s="22"/>
      <c r="DC197" s="22"/>
      <c r="DD197" s="22"/>
      <c r="DE197" s="22"/>
      <c r="DF197" s="22"/>
      <c r="DG197" s="22"/>
      <c r="DH197" s="22"/>
      <c r="DI197" s="22"/>
      <c r="DJ197" s="22"/>
      <c r="DK197" s="22"/>
      <c r="DL197" s="22"/>
      <c r="DM197" s="22"/>
      <c r="DN197" s="22"/>
      <c r="DO197" s="22"/>
      <c r="DP197" s="22"/>
      <c r="DQ197" s="22"/>
      <c r="DR197" s="22"/>
      <c r="DS197" s="22"/>
      <c r="DT197" s="22"/>
      <c r="DU197" s="22"/>
      <c r="DV197" s="22"/>
      <c r="DW197" s="22"/>
      <c r="DX197" s="22"/>
      <c r="DY197" s="22"/>
      <c r="DZ197" s="22"/>
      <c r="EA197" s="22"/>
      <c r="EB197" s="22"/>
      <c r="EC197" s="22"/>
      <c r="ED197" s="22"/>
      <c r="EE197" s="22"/>
      <c r="EF197" s="22"/>
      <c r="EG197" s="22"/>
      <c r="EH197" s="22"/>
      <c r="EI197" s="22"/>
      <c r="EJ197" s="22"/>
      <c r="EK197" s="22"/>
      <c r="EL197" s="22"/>
      <c r="EM197" s="22"/>
      <c r="EN197" s="22"/>
      <c r="EO197" s="22"/>
      <c r="EP197" s="22"/>
      <c r="EQ197" s="22"/>
      <c r="ER197" s="22"/>
      <c r="ES197" s="22"/>
      <c r="ET197" s="22"/>
      <c r="EU197" s="22"/>
      <c r="EV197" s="22"/>
      <c r="EW197" s="22"/>
      <c r="EX197" s="22"/>
      <c r="EY197" s="22"/>
      <c r="EZ197" s="22"/>
      <c r="FA197" s="22"/>
      <c r="FB197" s="22"/>
      <c r="FC197" s="22"/>
      <c r="FD197" s="22"/>
      <c r="FE197" s="22"/>
      <c r="FF197" s="22"/>
      <c r="FG197" s="22"/>
      <c r="FH197" s="22"/>
      <c r="FI197" s="22"/>
      <c r="FJ197" s="22"/>
      <c r="FK197" s="22"/>
      <c r="FL197" s="22"/>
      <c r="FM197" s="22"/>
      <c r="FN197" s="22"/>
      <c r="FO197" s="22"/>
      <c r="FP197" s="22"/>
      <c r="FQ197" s="22"/>
      <c r="FR197" s="22"/>
      <c r="FS197" s="22"/>
      <c r="FT197" s="22"/>
      <c r="FU197" s="22"/>
      <c r="FV197" s="22"/>
      <c r="FW197" s="22"/>
      <c r="FX197" s="22"/>
      <c r="FY197" s="22"/>
      <c r="FZ197" s="22"/>
    </row>
    <row r="198" spans="2:182" x14ac:dyDescent="0.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c r="Z198" s="22"/>
      <c r="AA198" s="22"/>
      <c r="AB198" s="22"/>
      <c r="AC198" s="22"/>
      <c r="AD198" s="22"/>
      <c r="AE198" s="22"/>
      <c r="AF198" s="22"/>
      <c r="AG198" s="22"/>
      <c r="AH198" s="22"/>
      <c r="AI198" s="22"/>
      <c r="AJ198" s="22"/>
      <c r="AK198" s="22"/>
      <c r="AL198" s="22"/>
      <c r="AM198" s="22"/>
      <c r="AN198" s="22"/>
      <c r="AO198" s="22"/>
      <c r="AP198" s="22"/>
      <c r="AQ198" s="22"/>
      <c r="AR198" s="22"/>
      <c r="AS198" s="22"/>
      <c r="AT198" s="22"/>
      <c r="AU198" s="22"/>
      <c r="AV198" s="22"/>
      <c r="AW198" s="22"/>
      <c r="AX198" s="22"/>
      <c r="AY198" s="22"/>
      <c r="AZ198" s="22"/>
      <c r="BA198" s="22"/>
      <c r="BB198" s="22"/>
      <c r="BC198" s="22"/>
      <c r="BD198" s="22"/>
      <c r="BE198" s="22"/>
      <c r="BF198" s="22"/>
      <c r="BG198" s="22"/>
      <c r="BH198" s="22"/>
      <c r="BI198" s="22"/>
      <c r="BJ198" s="22"/>
      <c r="BK198" s="22"/>
      <c r="BL198" s="22"/>
      <c r="BM198" s="22"/>
      <c r="BN198" s="22"/>
      <c r="BO198" s="22"/>
      <c r="BP198" s="22"/>
      <c r="BQ198" s="22"/>
      <c r="BR198" s="22"/>
      <c r="BS198" s="22"/>
      <c r="BT198" s="22"/>
      <c r="BU198" s="22"/>
      <c r="BV198" s="22"/>
      <c r="BW198" s="22"/>
      <c r="BX198" s="22"/>
      <c r="BY198" s="22"/>
      <c r="BZ198" s="22"/>
      <c r="CA198" s="22"/>
      <c r="CB198" s="22"/>
      <c r="CC198" s="22"/>
      <c r="CD198" s="22"/>
      <c r="CE198" s="22"/>
      <c r="CF198" s="22"/>
      <c r="CG198" s="22"/>
      <c r="CH198" s="22"/>
      <c r="CI198" s="22"/>
      <c r="CJ198" s="22"/>
      <c r="CK198" s="22"/>
      <c r="CL198" s="22"/>
      <c r="CM198" s="22"/>
      <c r="CN198" s="22"/>
      <c r="CO198" s="22"/>
      <c r="CP198" s="22"/>
      <c r="CQ198" s="22"/>
      <c r="CR198" s="22"/>
      <c r="CS198" s="22"/>
      <c r="CT198" s="22"/>
      <c r="CU198" s="22"/>
      <c r="CV198" s="22"/>
      <c r="CW198" s="22"/>
      <c r="CX198" s="22"/>
      <c r="CY198" s="22"/>
      <c r="CZ198" s="22"/>
      <c r="DA198" s="22"/>
      <c r="DB198" s="22"/>
      <c r="DC198" s="22"/>
      <c r="DD198" s="22"/>
      <c r="DE198" s="22"/>
      <c r="DF198" s="22"/>
      <c r="DG198" s="22"/>
      <c r="DH198" s="22"/>
      <c r="DI198" s="22"/>
      <c r="DJ198" s="22"/>
      <c r="DK198" s="22"/>
      <c r="DL198" s="22"/>
      <c r="DM198" s="22"/>
      <c r="DN198" s="22"/>
      <c r="DO198" s="22"/>
      <c r="DP198" s="22"/>
      <c r="DQ198" s="22"/>
      <c r="DR198" s="22"/>
      <c r="DS198" s="22"/>
      <c r="DT198" s="22"/>
      <c r="DU198" s="22"/>
      <c r="DV198" s="22"/>
      <c r="DW198" s="22"/>
      <c r="DX198" s="22"/>
      <c r="DY198" s="22"/>
      <c r="DZ198" s="22"/>
      <c r="EA198" s="22"/>
      <c r="EB198" s="22"/>
      <c r="EC198" s="22"/>
      <c r="ED198" s="22"/>
      <c r="EE198" s="22"/>
      <c r="EF198" s="22"/>
      <c r="EG198" s="22"/>
      <c r="EH198" s="22"/>
      <c r="EI198" s="22"/>
      <c r="EJ198" s="22"/>
      <c r="EK198" s="22"/>
      <c r="EL198" s="22"/>
      <c r="EM198" s="22"/>
      <c r="EN198" s="22"/>
      <c r="EO198" s="22"/>
      <c r="EP198" s="22"/>
      <c r="EQ198" s="22"/>
      <c r="ER198" s="22"/>
      <c r="ES198" s="22"/>
      <c r="ET198" s="22"/>
      <c r="EU198" s="22"/>
      <c r="EV198" s="22"/>
      <c r="EW198" s="22"/>
      <c r="EX198" s="22"/>
      <c r="EY198" s="22"/>
      <c r="EZ198" s="22"/>
      <c r="FA198" s="22"/>
      <c r="FB198" s="22"/>
      <c r="FC198" s="22"/>
      <c r="FD198" s="22"/>
      <c r="FE198" s="22"/>
      <c r="FF198" s="22"/>
      <c r="FG198" s="22"/>
      <c r="FH198" s="22"/>
      <c r="FI198" s="22"/>
      <c r="FJ198" s="22"/>
      <c r="FK198" s="22"/>
      <c r="FL198" s="22"/>
      <c r="FM198" s="22"/>
      <c r="FN198" s="22"/>
      <c r="FO198" s="22"/>
      <c r="FP198" s="22"/>
      <c r="FQ198" s="22"/>
      <c r="FR198" s="22"/>
      <c r="FS198" s="22"/>
      <c r="FT198" s="22"/>
      <c r="FU198" s="22"/>
      <c r="FV198" s="22"/>
      <c r="FW198" s="22"/>
      <c r="FX198" s="22"/>
      <c r="FY198" s="22"/>
      <c r="FZ198" s="22"/>
    </row>
    <row r="199" spans="2:182" x14ac:dyDescent="0.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c r="Z199" s="22"/>
      <c r="AA199" s="22"/>
      <c r="AB199" s="22"/>
      <c r="AC199" s="22"/>
      <c r="AD199" s="22"/>
      <c r="AE199" s="22"/>
      <c r="AF199" s="22"/>
      <c r="AG199" s="22"/>
      <c r="AH199" s="22"/>
      <c r="AI199" s="22"/>
      <c r="AJ199" s="22"/>
      <c r="AK199" s="22"/>
      <c r="AL199" s="22"/>
      <c r="AM199" s="22"/>
      <c r="AN199" s="22"/>
      <c r="AO199" s="22"/>
      <c r="AP199" s="22"/>
      <c r="AQ199" s="22"/>
      <c r="AR199" s="22"/>
      <c r="AS199" s="22"/>
      <c r="AT199" s="22"/>
      <c r="AU199" s="22"/>
      <c r="AV199" s="22"/>
      <c r="AW199" s="22"/>
      <c r="AX199" s="22"/>
      <c r="AY199" s="22"/>
      <c r="AZ199" s="22"/>
      <c r="BA199" s="22"/>
      <c r="BB199" s="22"/>
      <c r="BC199" s="22"/>
      <c r="BD199" s="22"/>
      <c r="BE199" s="22"/>
      <c r="BF199" s="22"/>
      <c r="BG199" s="22"/>
      <c r="BH199" s="22"/>
      <c r="BI199" s="22"/>
      <c r="BJ199" s="22"/>
      <c r="BK199" s="22"/>
      <c r="BL199" s="22"/>
      <c r="BM199" s="22"/>
      <c r="BN199" s="22"/>
      <c r="BO199" s="22"/>
      <c r="BP199" s="22"/>
      <c r="BQ199" s="22"/>
      <c r="BR199" s="22"/>
      <c r="BS199" s="22"/>
      <c r="BT199" s="22"/>
      <c r="BU199" s="22"/>
      <c r="BV199" s="22"/>
      <c r="BW199" s="22"/>
      <c r="BX199" s="22"/>
      <c r="BY199" s="22"/>
      <c r="BZ199" s="22"/>
      <c r="CA199" s="22"/>
      <c r="CB199" s="22"/>
      <c r="CC199" s="22"/>
      <c r="CD199" s="22"/>
      <c r="CE199" s="22"/>
      <c r="CF199" s="22"/>
      <c r="CG199" s="22"/>
      <c r="CH199" s="22"/>
      <c r="CI199" s="22"/>
      <c r="CJ199" s="22"/>
      <c r="CK199" s="22"/>
      <c r="CL199" s="22"/>
      <c r="CM199" s="22"/>
      <c r="CN199" s="22"/>
      <c r="CO199" s="22"/>
      <c r="CP199" s="22"/>
      <c r="CQ199" s="22"/>
      <c r="CR199" s="22"/>
      <c r="CS199" s="22"/>
      <c r="CT199" s="22"/>
      <c r="CU199" s="22"/>
      <c r="CV199" s="22"/>
      <c r="CW199" s="22"/>
      <c r="CX199" s="22"/>
      <c r="CY199" s="22"/>
      <c r="CZ199" s="22"/>
      <c r="DA199" s="22"/>
      <c r="DB199" s="22"/>
      <c r="DC199" s="22"/>
      <c r="DD199" s="22"/>
      <c r="DE199" s="22"/>
      <c r="DF199" s="22"/>
      <c r="DG199" s="22"/>
      <c r="DH199" s="22"/>
      <c r="DI199" s="22"/>
      <c r="DJ199" s="22"/>
      <c r="DK199" s="22"/>
      <c r="DL199" s="22"/>
      <c r="DM199" s="22"/>
      <c r="DN199" s="22"/>
      <c r="DO199" s="22"/>
      <c r="DP199" s="22"/>
      <c r="DQ199" s="22"/>
      <c r="DR199" s="22"/>
      <c r="DS199" s="22"/>
      <c r="DT199" s="22"/>
      <c r="DU199" s="22"/>
      <c r="DV199" s="22"/>
      <c r="DW199" s="22"/>
      <c r="DX199" s="22"/>
      <c r="DY199" s="22"/>
      <c r="DZ199" s="22"/>
      <c r="EA199" s="22"/>
      <c r="EB199" s="22"/>
      <c r="EC199" s="22"/>
      <c r="ED199" s="22"/>
      <c r="EE199" s="22"/>
      <c r="EF199" s="22"/>
      <c r="EG199" s="22"/>
      <c r="EH199" s="22"/>
      <c r="EI199" s="22"/>
      <c r="EJ199" s="22"/>
      <c r="EK199" s="22"/>
      <c r="EL199" s="22"/>
      <c r="EM199" s="22"/>
      <c r="EN199" s="22"/>
      <c r="EO199" s="22"/>
      <c r="EP199" s="22"/>
      <c r="EQ199" s="22"/>
      <c r="ER199" s="22"/>
      <c r="ES199" s="22"/>
      <c r="ET199" s="22"/>
      <c r="EU199" s="22"/>
      <c r="EV199" s="22"/>
      <c r="EW199" s="22"/>
      <c r="EX199" s="22"/>
      <c r="EY199" s="22"/>
      <c r="EZ199" s="22"/>
      <c r="FA199" s="22"/>
      <c r="FB199" s="22"/>
      <c r="FC199" s="22"/>
      <c r="FD199" s="22"/>
      <c r="FE199" s="22"/>
      <c r="FF199" s="22"/>
      <c r="FG199" s="22"/>
      <c r="FH199" s="22"/>
      <c r="FI199" s="22"/>
      <c r="FJ199" s="22"/>
      <c r="FK199" s="22"/>
      <c r="FL199" s="22"/>
      <c r="FM199" s="22"/>
      <c r="FN199" s="22"/>
      <c r="FO199" s="22"/>
      <c r="FP199" s="22"/>
      <c r="FQ199" s="22"/>
      <c r="FR199" s="22"/>
      <c r="FS199" s="22"/>
      <c r="FT199" s="22"/>
      <c r="FU199" s="22"/>
      <c r="FV199" s="22"/>
      <c r="FW199" s="22"/>
      <c r="FX199" s="22"/>
      <c r="FY199" s="22"/>
      <c r="FZ199" s="22"/>
    </row>
    <row r="200" spans="2:182" x14ac:dyDescent="0.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c r="Z200" s="22"/>
      <c r="AA200" s="22"/>
      <c r="AB200" s="22"/>
      <c r="AC200" s="22"/>
      <c r="AD200" s="22"/>
      <c r="AE200" s="22"/>
      <c r="AF200" s="22"/>
      <c r="AG200" s="22"/>
      <c r="AH200" s="22"/>
      <c r="AI200" s="22"/>
      <c r="AJ200" s="22"/>
      <c r="AK200" s="22"/>
      <c r="AL200" s="22"/>
      <c r="AM200" s="22"/>
      <c r="AN200" s="22"/>
      <c r="AO200" s="22"/>
      <c r="AP200" s="22"/>
      <c r="AQ200" s="22"/>
      <c r="AR200" s="22"/>
      <c r="AS200" s="22"/>
      <c r="AT200" s="22"/>
      <c r="AU200" s="22"/>
      <c r="AV200" s="22"/>
      <c r="AW200" s="22"/>
      <c r="AX200" s="22"/>
      <c r="AY200" s="22"/>
      <c r="AZ200" s="22"/>
      <c r="BA200" s="22"/>
      <c r="BB200" s="22"/>
      <c r="BC200" s="22"/>
      <c r="BD200" s="22"/>
      <c r="BE200" s="22"/>
      <c r="BF200" s="22"/>
      <c r="BG200" s="22"/>
      <c r="BH200" s="22"/>
      <c r="BI200" s="22"/>
      <c r="BJ200" s="22"/>
      <c r="BK200" s="22"/>
      <c r="BL200" s="22"/>
      <c r="BM200" s="22"/>
      <c r="BN200" s="22"/>
      <c r="BO200" s="22"/>
      <c r="BP200" s="22"/>
      <c r="BQ200" s="22"/>
      <c r="BR200" s="22"/>
      <c r="BS200" s="22"/>
      <c r="BT200" s="22"/>
      <c r="BU200" s="22"/>
      <c r="BV200" s="22"/>
      <c r="BW200" s="22"/>
      <c r="BX200" s="22"/>
      <c r="BY200" s="22"/>
      <c r="BZ200" s="22"/>
      <c r="CA200" s="22"/>
      <c r="CB200" s="22"/>
      <c r="CC200" s="22"/>
      <c r="CD200" s="22"/>
      <c r="CE200" s="22"/>
      <c r="CF200" s="22"/>
      <c r="CG200" s="22"/>
      <c r="CH200" s="22"/>
      <c r="CI200" s="22"/>
      <c r="CJ200" s="22"/>
      <c r="CK200" s="22"/>
      <c r="CL200" s="22"/>
      <c r="CM200" s="22"/>
      <c r="CN200" s="22"/>
      <c r="CO200" s="22"/>
      <c r="CP200" s="22"/>
      <c r="CQ200" s="22"/>
      <c r="CR200" s="22"/>
      <c r="CS200" s="22"/>
      <c r="CT200" s="22"/>
      <c r="CU200" s="22"/>
      <c r="CV200" s="22"/>
      <c r="CW200" s="22"/>
      <c r="CX200" s="22"/>
      <c r="CY200" s="22"/>
      <c r="CZ200" s="22"/>
      <c r="DA200" s="22"/>
      <c r="DB200" s="22"/>
      <c r="DC200" s="22"/>
      <c r="DD200" s="22"/>
      <c r="DE200" s="22"/>
      <c r="DF200" s="22"/>
      <c r="DG200" s="22"/>
      <c r="DH200" s="22"/>
      <c r="DI200" s="22"/>
      <c r="DJ200" s="22"/>
      <c r="DK200" s="22"/>
      <c r="DL200" s="22"/>
      <c r="DM200" s="22"/>
      <c r="DN200" s="22"/>
      <c r="DO200" s="22"/>
      <c r="DP200" s="22"/>
      <c r="DQ200" s="22"/>
      <c r="DR200" s="22"/>
      <c r="DS200" s="22"/>
      <c r="DT200" s="22"/>
      <c r="DU200" s="22"/>
      <c r="DV200" s="22"/>
      <c r="DW200" s="22"/>
      <c r="DX200" s="22"/>
      <c r="DY200" s="22"/>
      <c r="DZ200" s="22"/>
      <c r="EA200" s="22"/>
      <c r="EB200" s="22"/>
      <c r="EC200" s="22"/>
      <c r="ED200" s="22"/>
      <c r="EE200" s="22"/>
      <c r="EF200" s="22"/>
      <c r="EG200" s="22"/>
      <c r="EH200" s="22"/>
      <c r="EI200" s="22"/>
      <c r="EJ200" s="22"/>
      <c r="EK200" s="22"/>
      <c r="EL200" s="22"/>
      <c r="EM200" s="22"/>
      <c r="EN200" s="22"/>
      <c r="EO200" s="22"/>
      <c r="EP200" s="22"/>
      <c r="EQ200" s="22"/>
      <c r="ER200" s="22"/>
      <c r="ES200" s="22"/>
      <c r="ET200" s="22"/>
      <c r="EU200" s="22"/>
      <c r="EV200" s="22"/>
      <c r="EW200" s="22"/>
      <c r="EX200" s="22"/>
      <c r="EY200" s="22"/>
      <c r="EZ200" s="22"/>
      <c r="FA200" s="22"/>
      <c r="FB200" s="22"/>
      <c r="FC200" s="22"/>
      <c r="FD200" s="22"/>
      <c r="FE200" s="22"/>
      <c r="FF200" s="22"/>
      <c r="FG200" s="22"/>
      <c r="FH200" s="22"/>
      <c r="FI200" s="22"/>
      <c r="FJ200" s="22"/>
      <c r="FK200" s="22"/>
      <c r="FL200" s="22"/>
      <c r="FM200" s="22"/>
      <c r="FN200" s="22"/>
      <c r="FO200" s="22"/>
      <c r="FP200" s="22"/>
      <c r="FQ200" s="22"/>
      <c r="FR200" s="22"/>
      <c r="FS200" s="22"/>
      <c r="FT200" s="22"/>
      <c r="FU200" s="22"/>
      <c r="FV200" s="22"/>
      <c r="FW200" s="22"/>
      <c r="FX200" s="22"/>
      <c r="FY200" s="22"/>
      <c r="FZ200" s="22"/>
    </row>
    <row r="201" spans="2:182" x14ac:dyDescent="0.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c r="Z201" s="22"/>
      <c r="AA201" s="22"/>
      <c r="AB201" s="22"/>
      <c r="AC201" s="22"/>
      <c r="AD201" s="22"/>
      <c r="AE201" s="22"/>
      <c r="AF201" s="22"/>
      <c r="AG201" s="22"/>
      <c r="AH201" s="22"/>
      <c r="AI201" s="22"/>
      <c r="AJ201" s="22"/>
      <c r="AK201" s="22"/>
      <c r="AL201" s="22"/>
      <c r="AM201" s="22"/>
      <c r="AN201" s="22"/>
      <c r="AO201" s="22"/>
      <c r="AP201" s="22"/>
      <c r="AQ201" s="22"/>
      <c r="AR201" s="22"/>
      <c r="AS201" s="22"/>
      <c r="AT201" s="22"/>
      <c r="AU201" s="22"/>
      <c r="AV201" s="22"/>
      <c r="AW201" s="22"/>
      <c r="AX201" s="22"/>
      <c r="AY201" s="22"/>
      <c r="AZ201" s="22"/>
      <c r="BA201" s="22"/>
      <c r="BB201" s="22"/>
      <c r="BC201" s="22"/>
      <c r="BD201" s="22"/>
      <c r="BE201" s="22"/>
      <c r="BF201" s="22"/>
      <c r="BG201" s="22"/>
      <c r="BH201" s="22"/>
      <c r="BI201" s="22"/>
      <c r="BJ201" s="22"/>
      <c r="BK201" s="22"/>
      <c r="BL201" s="22"/>
      <c r="BM201" s="22"/>
      <c r="BN201" s="22"/>
      <c r="BO201" s="22"/>
      <c r="BP201" s="22"/>
      <c r="BQ201" s="22"/>
      <c r="BR201" s="22"/>
      <c r="BS201" s="22"/>
      <c r="BT201" s="22"/>
      <c r="BU201" s="22"/>
      <c r="BV201" s="22"/>
      <c r="BW201" s="22"/>
      <c r="BX201" s="22"/>
      <c r="BY201" s="22"/>
      <c r="BZ201" s="22"/>
      <c r="CA201" s="22"/>
      <c r="CB201" s="22"/>
      <c r="CC201" s="22"/>
      <c r="CD201" s="22"/>
      <c r="CE201" s="22"/>
      <c r="CF201" s="22"/>
      <c r="CG201" s="22"/>
      <c r="CH201" s="22"/>
      <c r="CI201" s="22"/>
      <c r="CJ201" s="22"/>
      <c r="CK201" s="22"/>
      <c r="CL201" s="22"/>
      <c r="CM201" s="22"/>
      <c r="CN201" s="22"/>
      <c r="CO201" s="22"/>
      <c r="CP201" s="22"/>
      <c r="CQ201" s="22"/>
      <c r="CR201" s="22"/>
      <c r="CS201" s="22"/>
      <c r="CT201" s="22"/>
      <c r="CU201" s="22"/>
      <c r="CV201" s="22"/>
      <c r="CW201" s="22"/>
      <c r="CX201" s="22"/>
      <c r="CY201" s="22"/>
      <c r="CZ201" s="22"/>
      <c r="DA201" s="22"/>
      <c r="DB201" s="22"/>
      <c r="DC201" s="22"/>
      <c r="DD201" s="22"/>
      <c r="DE201" s="22"/>
      <c r="DF201" s="22"/>
      <c r="DG201" s="22"/>
      <c r="DH201" s="22"/>
      <c r="DI201" s="22"/>
      <c r="DJ201" s="22"/>
      <c r="DK201" s="22"/>
      <c r="DL201" s="22"/>
      <c r="DM201" s="22"/>
      <c r="DN201" s="22"/>
      <c r="DO201" s="22"/>
      <c r="DP201" s="22"/>
      <c r="DQ201" s="22"/>
      <c r="DR201" s="22"/>
      <c r="DS201" s="22"/>
      <c r="DT201" s="22"/>
      <c r="DU201" s="22"/>
      <c r="DV201" s="22"/>
      <c r="DW201" s="22"/>
      <c r="DX201" s="22"/>
      <c r="DY201" s="22"/>
      <c r="DZ201" s="22"/>
      <c r="EA201" s="22"/>
      <c r="EB201" s="22"/>
      <c r="EC201" s="22"/>
      <c r="ED201" s="22"/>
      <c r="EE201" s="22"/>
      <c r="EF201" s="22"/>
      <c r="EG201" s="22"/>
      <c r="EH201" s="22"/>
      <c r="EI201" s="22"/>
      <c r="EJ201" s="22"/>
      <c r="EK201" s="22"/>
      <c r="EL201" s="22"/>
      <c r="EM201" s="22"/>
      <c r="EN201" s="22"/>
      <c r="EO201" s="22"/>
      <c r="EP201" s="22"/>
      <c r="EQ201" s="22"/>
      <c r="ER201" s="22"/>
      <c r="ES201" s="22"/>
      <c r="ET201" s="22"/>
      <c r="EU201" s="22"/>
      <c r="EV201" s="22"/>
      <c r="EW201" s="22"/>
      <c r="EX201" s="22"/>
      <c r="EY201" s="22"/>
      <c r="EZ201" s="22"/>
      <c r="FA201" s="22"/>
      <c r="FB201" s="22"/>
      <c r="FC201" s="22"/>
      <c r="FD201" s="22"/>
      <c r="FE201" s="22"/>
      <c r="FF201" s="22"/>
      <c r="FG201" s="22"/>
      <c r="FH201" s="22"/>
      <c r="FI201" s="22"/>
      <c r="FJ201" s="22"/>
      <c r="FK201" s="22"/>
      <c r="FL201" s="22"/>
      <c r="FM201" s="22"/>
      <c r="FN201" s="22"/>
      <c r="FO201" s="22"/>
      <c r="FP201" s="22"/>
      <c r="FQ201" s="22"/>
      <c r="FR201" s="22"/>
      <c r="FS201" s="22"/>
      <c r="FT201" s="22"/>
      <c r="FU201" s="22"/>
      <c r="FV201" s="22"/>
      <c r="FW201" s="22"/>
      <c r="FX201" s="22"/>
      <c r="FY201" s="22"/>
      <c r="FZ201" s="22"/>
    </row>
    <row r="202" spans="2:182" x14ac:dyDescent="0.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c r="Z202" s="22"/>
      <c r="AA202" s="22"/>
      <c r="AB202" s="22"/>
      <c r="AC202" s="22"/>
      <c r="AD202" s="22"/>
      <c r="AE202" s="22"/>
      <c r="AF202" s="22"/>
      <c r="AG202" s="22"/>
      <c r="AH202" s="22"/>
      <c r="AI202" s="22"/>
      <c r="AJ202" s="22"/>
      <c r="AK202" s="22"/>
      <c r="AL202" s="22"/>
      <c r="AM202" s="22"/>
      <c r="AN202" s="22"/>
      <c r="AO202" s="22"/>
      <c r="AP202" s="22"/>
      <c r="AQ202" s="22"/>
      <c r="AR202" s="22"/>
      <c r="AS202" s="22"/>
      <c r="AT202" s="22"/>
      <c r="AU202" s="22"/>
      <c r="AV202" s="22"/>
      <c r="AW202" s="22"/>
      <c r="AX202" s="22"/>
      <c r="AY202" s="22"/>
      <c r="AZ202" s="22"/>
      <c r="BA202" s="22"/>
      <c r="BB202" s="22"/>
      <c r="BC202" s="22"/>
      <c r="BD202" s="22"/>
      <c r="BE202" s="22"/>
      <c r="BF202" s="22"/>
      <c r="BG202" s="22"/>
      <c r="BH202" s="22"/>
      <c r="BI202" s="22"/>
      <c r="BJ202" s="22"/>
      <c r="BK202" s="22"/>
      <c r="BL202" s="22"/>
      <c r="BM202" s="22"/>
      <c r="BN202" s="22"/>
      <c r="BO202" s="22"/>
      <c r="BP202" s="22"/>
      <c r="BQ202" s="22"/>
      <c r="BR202" s="22"/>
      <c r="BS202" s="22"/>
      <c r="BT202" s="22"/>
      <c r="BU202" s="22"/>
      <c r="BV202" s="22"/>
      <c r="BW202" s="22"/>
      <c r="BX202" s="22"/>
      <c r="BY202" s="22"/>
      <c r="BZ202" s="22"/>
      <c r="CA202" s="22"/>
      <c r="CB202" s="22"/>
      <c r="CC202" s="22"/>
      <c r="CD202" s="22"/>
      <c r="CE202" s="22"/>
      <c r="CF202" s="22"/>
      <c r="CG202" s="22"/>
      <c r="CH202" s="22"/>
      <c r="CI202" s="22"/>
      <c r="CJ202" s="22"/>
      <c r="CK202" s="22"/>
      <c r="CL202" s="22"/>
      <c r="CM202" s="22"/>
      <c r="CN202" s="22"/>
      <c r="CO202" s="22"/>
      <c r="CP202" s="22"/>
      <c r="CQ202" s="22"/>
      <c r="CR202" s="22"/>
      <c r="CS202" s="22"/>
      <c r="CT202" s="22"/>
      <c r="CU202" s="22"/>
      <c r="CV202" s="22"/>
      <c r="CW202" s="22"/>
      <c r="CX202" s="22"/>
      <c r="CY202" s="22"/>
      <c r="CZ202" s="22"/>
      <c r="DA202" s="22"/>
      <c r="DB202" s="22"/>
      <c r="DC202" s="22"/>
      <c r="DD202" s="22"/>
      <c r="DE202" s="22"/>
      <c r="DF202" s="22"/>
      <c r="DG202" s="22"/>
      <c r="DH202" s="22"/>
      <c r="DI202" s="22"/>
      <c r="DJ202" s="22"/>
      <c r="DK202" s="22"/>
      <c r="DL202" s="22"/>
      <c r="DM202" s="22"/>
      <c r="DN202" s="22"/>
      <c r="DO202" s="22"/>
      <c r="DP202" s="22"/>
      <c r="DQ202" s="22"/>
      <c r="DR202" s="22"/>
      <c r="DS202" s="22"/>
      <c r="DT202" s="22"/>
      <c r="DU202" s="22"/>
      <c r="DV202" s="22"/>
      <c r="DW202" s="22"/>
      <c r="DX202" s="22"/>
      <c r="DY202" s="22"/>
      <c r="DZ202" s="22"/>
      <c r="EA202" s="22"/>
      <c r="EB202" s="22"/>
      <c r="EC202" s="22"/>
      <c r="ED202" s="22"/>
      <c r="EE202" s="22"/>
      <c r="EF202" s="22"/>
      <c r="EG202" s="22"/>
      <c r="EH202" s="22"/>
      <c r="EI202" s="22"/>
      <c r="EJ202" s="22"/>
      <c r="EK202" s="22"/>
      <c r="EL202" s="22"/>
      <c r="EM202" s="22"/>
      <c r="EN202" s="22"/>
      <c r="EO202" s="22"/>
      <c r="EP202" s="22"/>
      <c r="EQ202" s="22"/>
      <c r="ER202" s="22"/>
      <c r="ES202" s="22"/>
      <c r="ET202" s="22"/>
      <c r="EU202" s="22"/>
      <c r="EV202" s="22"/>
      <c r="EW202" s="22"/>
      <c r="EX202" s="22"/>
      <c r="EY202" s="22"/>
      <c r="EZ202" s="22"/>
      <c r="FA202" s="22"/>
      <c r="FB202" s="22"/>
      <c r="FC202" s="22"/>
      <c r="FD202" s="22"/>
      <c r="FE202" s="22"/>
      <c r="FF202" s="22"/>
      <c r="FG202" s="22"/>
      <c r="FH202" s="22"/>
      <c r="FI202" s="22"/>
      <c r="FJ202" s="22"/>
      <c r="FK202" s="22"/>
      <c r="FL202" s="22"/>
      <c r="FM202" s="22"/>
      <c r="FN202" s="22"/>
      <c r="FO202" s="22"/>
      <c r="FP202" s="22"/>
      <c r="FQ202" s="22"/>
      <c r="FR202" s="22"/>
      <c r="FS202" s="22"/>
      <c r="FT202" s="22"/>
      <c r="FU202" s="22"/>
      <c r="FV202" s="22"/>
      <c r="FW202" s="22"/>
      <c r="FX202" s="22"/>
      <c r="FY202" s="22"/>
      <c r="FZ202" s="22"/>
    </row>
    <row r="203" spans="2:182" x14ac:dyDescent="0.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c r="Z203" s="22"/>
      <c r="AA203" s="22"/>
      <c r="AB203" s="22"/>
      <c r="AC203" s="22"/>
      <c r="AD203" s="22"/>
      <c r="AE203" s="22"/>
      <c r="AF203" s="22"/>
      <c r="AG203" s="22"/>
      <c r="AH203" s="22"/>
      <c r="AI203" s="22"/>
      <c r="AJ203" s="22"/>
      <c r="AK203" s="22"/>
      <c r="AL203" s="22"/>
      <c r="AM203" s="22"/>
      <c r="AN203" s="22"/>
      <c r="AO203" s="22"/>
      <c r="AP203" s="22"/>
      <c r="AQ203" s="22"/>
      <c r="AR203" s="22"/>
      <c r="AS203" s="22"/>
      <c r="AT203" s="22"/>
      <c r="AU203" s="22"/>
      <c r="AV203" s="22"/>
      <c r="AW203" s="22"/>
      <c r="AX203" s="22"/>
      <c r="AY203" s="22"/>
      <c r="AZ203" s="22"/>
      <c r="BA203" s="22"/>
      <c r="BB203" s="22"/>
      <c r="BC203" s="22"/>
      <c r="BD203" s="22"/>
      <c r="BE203" s="22"/>
      <c r="BF203" s="22"/>
      <c r="BG203" s="22"/>
      <c r="BH203" s="22"/>
      <c r="BI203" s="22"/>
      <c r="BJ203" s="22"/>
      <c r="BK203" s="22"/>
      <c r="BL203" s="22"/>
      <c r="BM203" s="22"/>
      <c r="BN203" s="22"/>
      <c r="BO203" s="22"/>
      <c r="BP203" s="22"/>
      <c r="BQ203" s="22"/>
      <c r="BR203" s="22"/>
      <c r="BS203" s="22"/>
      <c r="BT203" s="22"/>
      <c r="BU203" s="22"/>
      <c r="BV203" s="22"/>
      <c r="BW203" s="22"/>
      <c r="BX203" s="22"/>
      <c r="BY203" s="22"/>
      <c r="BZ203" s="22"/>
      <c r="CA203" s="22"/>
      <c r="CB203" s="22"/>
      <c r="CC203" s="22"/>
      <c r="CD203" s="22"/>
      <c r="CE203" s="22"/>
      <c r="CF203" s="22"/>
      <c r="CG203" s="22"/>
      <c r="CH203" s="22"/>
      <c r="CI203" s="22"/>
      <c r="CJ203" s="22"/>
      <c r="CK203" s="22"/>
      <c r="CL203" s="22"/>
      <c r="CM203" s="22"/>
      <c r="CN203" s="22"/>
      <c r="CO203" s="22"/>
      <c r="CP203" s="22"/>
      <c r="CQ203" s="22"/>
      <c r="CR203" s="22"/>
      <c r="CS203" s="22"/>
      <c r="CT203" s="22"/>
      <c r="CU203" s="22"/>
      <c r="CV203" s="22"/>
      <c r="CW203" s="22"/>
      <c r="CX203" s="22"/>
      <c r="CY203" s="22"/>
      <c r="CZ203" s="22"/>
      <c r="DA203" s="22"/>
      <c r="DB203" s="22"/>
      <c r="DC203" s="22"/>
      <c r="DD203" s="22"/>
      <c r="DE203" s="22"/>
      <c r="DF203" s="22"/>
      <c r="DG203" s="22"/>
      <c r="DH203" s="22"/>
      <c r="DI203" s="22"/>
      <c r="DJ203" s="22"/>
      <c r="DK203" s="22"/>
      <c r="DL203" s="22"/>
      <c r="DM203" s="22"/>
      <c r="DN203" s="22"/>
      <c r="DO203" s="22"/>
      <c r="DP203" s="22"/>
      <c r="DQ203" s="22"/>
      <c r="DR203" s="22"/>
      <c r="DS203" s="22"/>
      <c r="DT203" s="22"/>
      <c r="DU203" s="22"/>
      <c r="DV203" s="22"/>
      <c r="DW203" s="22"/>
      <c r="DX203" s="22"/>
      <c r="DY203" s="22"/>
      <c r="DZ203" s="22"/>
      <c r="EA203" s="22"/>
      <c r="EB203" s="22"/>
      <c r="EC203" s="22"/>
      <c r="ED203" s="22"/>
      <c r="EE203" s="22"/>
      <c r="EF203" s="22"/>
      <c r="EG203" s="22"/>
      <c r="EH203" s="22"/>
      <c r="EI203" s="22"/>
      <c r="EJ203" s="22"/>
      <c r="EK203" s="22"/>
      <c r="EL203" s="22"/>
      <c r="EM203" s="22"/>
      <c r="EN203" s="22"/>
      <c r="EO203" s="22"/>
      <c r="EP203" s="22"/>
      <c r="EQ203" s="22"/>
      <c r="ER203" s="22"/>
      <c r="ES203" s="22"/>
      <c r="ET203" s="22"/>
      <c r="EU203" s="22"/>
      <c r="EV203" s="22"/>
      <c r="EW203" s="22"/>
      <c r="EX203" s="22"/>
      <c r="EY203" s="22"/>
      <c r="EZ203" s="22"/>
      <c r="FA203" s="22"/>
      <c r="FB203" s="22"/>
      <c r="FC203" s="22"/>
      <c r="FD203" s="22"/>
      <c r="FE203" s="22"/>
      <c r="FF203" s="22"/>
      <c r="FG203" s="22"/>
      <c r="FH203" s="22"/>
      <c r="FI203" s="22"/>
      <c r="FJ203" s="22"/>
      <c r="FK203" s="22"/>
      <c r="FL203" s="22"/>
      <c r="FM203" s="22"/>
      <c r="FN203" s="22"/>
      <c r="FO203" s="22"/>
      <c r="FP203" s="22"/>
      <c r="FQ203" s="22"/>
      <c r="FR203" s="22"/>
      <c r="FS203" s="22"/>
      <c r="FT203" s="22"/>
      <c r="FU203" s="22"/>
      <c r="FV203" s="22"/>
      <c r="FW203" s="22"/>
      <c r="FX203" s="22"/>
      <c r="FY203" s="22"/>
      <c r="FZ203" s="22"/>
    </row>
    <row r="204" spans="2:182" x14ac:dyDescent="0.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c r="Z204" s="22"/>
      <c r="AA204" s="22"/>
      <c r="AB204" s="22"/>
      <c r="AC204" s="22"/>
      <c r="AD204" s="22"/>
      <c r="AE204" s="22"/>
      <c r="AF204" s="22"/>
      <c r="AG204" s="22"/>
      <c r="AH204" s="22"/>
      <c r="AI204" s="22"/>
      <c r="AJ204" s="22"/>
      <c r="AK204" s="22"/>
      <c r="AL204" s="22"/>
      <c r="AM204" s="22"/>
      <c r="AN204" s="22"/>
      <c r="AO204" s="22"/>
      <c r="AP204" s="22"/>
      <c r="AQ204" s="22"/>
      <c r="AR204" s="22"/>
      <c r="AS204" s="22"/>
      <c r="AT204" s="22"/>
      <c r="AU204" s="22"/>
      <c r="AV204" s="22"/>
      <c r="AW204" s="22"/>
      <c r="AX204" s="22"/>
      <c r="AY204" s="22"/>
      <c r="AZ204" s="22"/>
      <c r="BA204" s="22"/>
      <c r="BB204" s="22"/>
      <c r="BC204" s="22"/>
      <c r="BD204" s="22"/>
      <c r="BE204" s="22"/>
      <c r="BF204" s="22"/>
      <c r="BG204" s="22"/>
      <c r="BH204" s="22"/>
      <c r="BI204" s="22"/>
      <c r="BJ204" s="22"/>
      <c r="BK204" s="22"/>
      <c r="BL204" s="22"/>
      <c r="BM204" s="22"/>
      <c r="BN204" s="22"/>
      <c r="BO204" s="22"/>
      <c r="BP204" s="22"/>
      <c r="BQ204" s="22"/>
      <c r="BR204" s="22"/>
      <c r="BS204" s="22"/>
      <c r="BT204" s="22"/>
      <c r="BU204" s="22"/>
      <c r="BV204" s="22"/>
      <c r="BW204" s="22"/>
      <c r="BX204" s="22"/>
      <c r="BY204" s="22"/>
      <c r="BZ204" s="22"/>
      <c r="CA204" s="22"/>
      <c r="CB204" s="22"/>
      <c r="CC204" s="22"/>
      <c r="CD204" s="22"/>
      <c r="CE204" s="22"/>
      <c r="CF204" s="22"/>
      <c r="CG204" s="22"/>
      <c r="CH204" s="22"/>
      <c r="CI204" s="22"/>
      <c r="CJ204" s="22"/>
      <c r="CK204" s="22"/>
      <c r="CL204" s="22"/>
      <c r="CM204" s="22"/>
      <c r="CN204" s="22"/>
      <c r="CO204" s="22"/>
      <c r="CP204" s="22"/>
      <c r="CQ204" s="22"/>
      <c r="CR204" s="22"/>
      <c r="CS204" s="22"/>
      <c r="CT204" s="22"/>
      <c r="CU204" s="22"/>
      <c r="CV204" s="22"/>
      <c r="CW204" s="22"/>
      <c r="CX204" s="22"/>
      <c r="CY204" s="22"/>
      <c r="CZ204" s="22"/>
      <c r="DA204" s="22"/>
      <c r="DB204" s="22"/>
      <c r="DC204" s="22"/>
      <c r="DD204" s="22"/>
      <c r="DE204" s="22"/>
      <c r="DF204" s="22"/>
      <c r="DG204" s="22"/>
      <c r="DH204" s="22"/>
      <c r="DI204" s="22"/>
      <c r="DJ204" s="22"/>
      <c r="DK204" s="22"/>
      <c r="DL204" s="22"/>
      <c r="DM204" s="22"/>
      <c r="DN204" s="22"/>
      <c r="DO204" s="22"/>
      <c r="DP204" s="22"/>
      <c r="DQ204" s="22"/>
      <c r="DR204" s="22"/>
      <c r="DS204" s="22"/>
      <c r="DT204" s="22"/>
      <c r="DU204" s="22"/>
      <c r="DV204" s="22"/>
      <c r="DW204" s="22"/>
      <c r="DX204" s="22"/>
      <c r="DY204" s="22"/>
      <c r="DZ204" s="22"/>
      <c r="EA204" s="22"/>
      <c r="EB204" s="22"/>
      <c r="EC204" s="22"/>
      <c r="ED204" s="22"/>
      <c r="EE204" s="22"/>
      <c r="EF204" s="22"/>
      <c r="EG204" s="22"/>
      <c r="EH204" s="22"/>
      <c r="EI204" s="22"/>
      <c r="EJ204" s="22"/>
      <c r="EK204" s="22"/>
      <c r="EL204" s="22"/>
      <c r="EM204" s="22"/>
      <c r="EN204" s="22"/>
      <c r="EO204" s="22"/>
      <c r="EP204" s="22"/>
      <c r="EQ204" s="22"/>
      <c r="ER204" s="22"/>
      <c r="ES204" s="22"/>
      <c r="ET204" s="22"/>
      <c r="EU204" s="22"/>
      <c r="EV204" s="22"/>
      <c r="EW204" s="22"/>
      <c r="EX204" s="22"/>
      <c r="EY204" s="22"/>
      <c r="EZ204" s="22"/>
      <c r="FA204" s="22"/>
      <c r="FB204" s="22"/>
      <c r="FC204" s="22"/>
      <c r="FD204" s="22"/>
      <c r="FE204" s="22"/>
      <c r="FF204" s="22"/>
      <c r="FG204" s="22"/>
      <c r="FH204" s="22"/>
      <c r="FI204" s="22"/>
      <c r="FJ204" s="22"/>
      <c r="FK204" s="22"/>
      <c r="FL204" s="22"/>
      <c r="FM204" s="22"/>
      <c r="FN204" s="22"/>
      <c r="FO204" s="22"/>
      <c r="FP204" s="22"/>
      <c r="FQ204" s="22"/>
      <c r="FR204" s="22"/>
      <c r="FS204" s="22"/>
      <c r="FT204" s="22"/>
      <c r="FU204" s="22"/>
      <c r="FV204" s="22"/>
      <c r="FW204" s="22"/>
      <c r="FX204" s="22"/>
      <c r="FY204" s="22"/>
      <c r="FZ204" s="22"/>
    </row>
    <row r="205" spans="2:182" x14ac:dyDescent="0.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c r="Z205" s="22"/>
      <c r="AA205" s="22"/>
      <c r="AB205" s="22"/>
      <c r="AC205" s="22"/>
      <c r="AD205" s="22"/>
      <c r="AE205" s="22"/>
      <c r="AF205" s="22"/>
      <c r="AG205" s="22"/>
      <c r="AH205" s="22"/>
      <c r="AI205" s="22"/>
      <c r="AJ205" s="22"/>
      <c r="AK205" s="22"/>
      <c r="AL205" s="22"/>
      <c r="AM205" s="22"/>
      <c r="AN205" s="22"/>
      <c r="AO205" s="22"/>
      <c r="AP205" s="22"/>
      <c r="AQ205" s="22"/>
      <c r="AR205" s="22"/>
      <c r="AS205" s="22"/>
      <c r="AT205" s="22"/>
      <c r="AU205" s="22"/>
      <c r="AV205" s="22"/>
      <c r="AW205" s="22"/>
      <c r="AX205" s="22"/>
      <c r="AY205" s="22"/>
      <c r="AZ205" s="22"/>
      <c r="BA205" s="22"/>
      <c r="BB205" s="22"/>
      <c r="BC205" s="22"/>
      <c r="BD205" s="22"/>
      <c r="BE205" s="22"/>
      <c r="BF205" s="22"/>
      <c r="BG205" s="22"/>
      <c r="BH205" s="22"/>
      <c r="BI205" s="22"/>
      <c r="BJ205" s="22"/>
      <c r="BK205" s="22"/>
      <c r="BL205" s="22"/>
      <c r="BM205" s="22"/>
      <c r="BN205" s="22"/>
      <c r="BO205" s="22"/>
      <c r="BP205" s="22"/>
      <c r="BQ205" s="22"/>
      <c r="BR205" s="22"/>
      <c r="BS205" s="22"/>
      <c r="BT205" s="22"/>
      <c r="BU205" s="22"/>
      <c r="BV205" s="22"/>
      <c r="BW205" s="22"/>
      <c r="BX205" s="22"/>
      <c r="BY205" s="22"/>
      <c r="BZ205" s="22"/>
      <c r="CA205" s="22"/>
      <c r="CB205" s="22"/>
      <c r="CC205" s="22"/>
      <c r="CD205" s="22"/>
      <c r="CE205" s="22"/>
      <c r="CF205" s="22"/>
      <c r="CG205" s="22"/>
      <c r="CH205" s="22"/>
      <c r="CI205" s="22"/>
      <c r="CJ205" s="22"/>
      <c r="CK205" s="22"/>
      <c r="CL205" s="22"/>
      <c r="CM205" s="22"/>
      <c r="CN205" s="22"/>
      <c r="CO205" s="22"/>
      <c r="CP205" s="22"/>
      <c r="CQ205" s="22"/>
      <c r="CR205" s="22"/>
      <c r="CS205" s="22"/>
      <c r="CT205" s="22"/>
      <c r="CU205" s="22"/>
      <c r="CV205" s="22"/>
      <c r="CW205" s="22"/>
      <c r="CX205" s="22"/>
      <c r="CY205" s="22"/>
      <c r="CZ205" s="22"/>
      <c r="DA205" s="22"/>
      <c r="DB205" s="22"/>
      <c r="DC205" s="22"/>
      <c r="DD205" s="22"/>
      <c r="DE205" s="22"/>
      <c r="DF205" s="22"/>
      <c r="DG205" s="22"/>
      <c r="DH205" s="22"/>
      <c r="DI205" s="22"/>
      <c r="DJ205" s="22"/>
      <c r="DK205" s="22"/>
      <c r="DL205" s="22"/>
      <c r="DM205" s="22"/>
      <c r="DN205" s="22"/>
      <c r="DO205" s="22"/>
      <c r="DP205" s="22"/>
      <c r="DQ205" s="22"/>
      <c r="DR205" s="22"/>
      <c r="DS205" s="22"/>
      <c r="DT205" s="22"/>
      <c r="DU205" s="22"/>
      <c r="DV205" s="22"/>
      <c r="DW205" s="22"/>
      <c r="DX205" s="22"/>
      <c r="DY205" s="22"/>
      <c r="DZ205" s="22"/>
      <c r="EA205" s="22"/>
      <c r="EB205" s="22"/>
      <c r="EC205" s="22"/>
      <c r="ED205" s="22"/>
      <c r="EE205" s="22"/>
      <c r="EF205" s="22"/>
      <c r="EG205" s="22"/>
      <c r="EH205" s="22"/>
      <c r="EI205" s="22"/>
      <c r="EJ205" s="22"/>
      <c r="EK205" s="22"/>
      <c r="EL205" s="22"/>
      <c r="EM205" s="22"/>
      <c r="EN205" s="22"/>
      <c r="EO205" s="22"/>
      <c r="EP205" s="22"/>
      <c r="EQ205" s="22"/>
      <c r="ER205" s="22"/>
      <c r="ES205" s="22"/>
      <c r="ET205" s="22"/>
      <c r="EU205" s="22"/>
      <c r="EV205" s="22"/>
      <c r="EW205" s="22"/>
      <c r="EX205" s="22"/>
      <c r="EY205" s="22"/>
      <c r="EZ205" s="22"/>
      <c r="FA205" s="22"/>
      <c r="FB205" s="22"/>
      <c r="FC205" s="22"/>
      <c r="FD205" s="22"/>
      <c r="FE205" s="22"/>
      <c r="FF205" s="22"/>
      <c r="FG205" s="22"/>
      <c r="FH205" s="22"/>
      <c r="FI205" s="22"/>
      <c r="FJ205" s="22"/>
      <c r="FK205" s="22"/>
      <c r="FL205" s="22"/>
      <c r="FM205" s="22"/>
      <c r="FN205" s="22"/>
      <c r="FO205" s="22"/>
      <c r="FP205" s="22"/>
      <c r="FQ205" s="22"/>
      <c r="FR205" s="22"/>
      <c r="FS205" s="22"/>
      <c r="FT205" s="22"/>
      <c r="FU205" s="22"/>
      <c r="FV205" s="22"/>
      <c r="FW205" s="22"/>
      <c r="FX205" s="22"/>
      <c r="FY205" s="22"/>
      <c r="FZ205" s="22"/>
    </row>
    <row r="206" spans="2:182" x14ac:dyDescent="0.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c r="Z206" s="22"/>
      <c r="AA206" s="22"/>
      <c r="AB206" s="22"/>
      <c r="AC206" s="22"/>
      <c r="AD206" s="22"/>
      <c r="AE206" s="22"/>
      <c r="AF206" s="22"/>
      <c r="AG206" s="22"/>
      <c r="AH206" s="22"/>
      <c r="AI206" s="22"/>
      <c r="AJ206" s="22"/>
      <c r="AK206" s="22"/>
      <c r="AL206" s="22"/>
      <c r="AM206" s="22"/>
      <c r="AN206" s="22"/>
      <c r="AO206" s="22"/>
      <c r="AP206" s="22"/>
      <c r="AQ206" s="22"/>
      <c r="AR206" s="22"/>
      <c r="AS206" s="22"/>
      <c r="AT206" s="22"/>
      <c r="AU206" s="22"/>
      <c r="AV206" s="22"/>
      <c r="AW206" s="22"/>
      <c r="AX206" s="22"/>
      <c r="AY206" s="22"/>
      <c r="AZ206" s="22"/>
      <c r="BA206" s="22"/>
      <c r="BB206" s="22"/>
      <c r="BC206" s="22"/>
      <c r="BD206" s="22"/>
      <c r="BE206" s="22"/>
      <c r="BF206" s="22"/>
      <c r="BG206" s="22"/>
      <c r="BH206" s="22"/>
      <c r="BI206" s="22"/>
      <c r="BJ206" s="22"/>
      <c r="BK206" s="22"/>
      <c r="BL206" s="22"/>
      <c r="BM206" s="22"/>
      <c r="BN206" s="22"/>
      <c r="BO206" s="22"/>
      <c r="BP206" s="22"/>
      <c r="BQ206" s="22"/>
      <c r="BR206" s="22"/>
      <c r="BS206" s="22"/>
      <c r="BT206" s="22"/>
      <c r="BU206" s="22"/>
      <c r="BV206" s="22"/>
      <c r="BW206" s="22"/>
      <c r="BX206" s="22"/>
      <c r="BY206" s="22"/>
      <c r="BZ206" s="22"/>
      <c r="CA206" s="22"/>
      <c r="CB206" s="22"/>
      <c r="CC206" s="22"/>
      <c r="CD206" s="22"/>
      <c r="CE206" s="22"/>
      <c r="CF206" s="22"/>
      <c r="CG206" s="22"/>
      <c r="CH206" s="22"/>
      <c r="CI206" s="22"/>
      <c r="CJ206" s="22"/>
      <c r="CK206" s="22"/>
      <c r="CL206" s="22"/>
      <c r="CM206" s="22"/>
      <c r="CN206" s="22"/>
      <c r="CO206" s="22"/>
      <c r="CP206" s="22"/>
      <c r="CQ206" s="22"/>
      <c r="CR206" s="22"/>
      <c r="CS206" s="22"/>
      <c r="CT206" s="22"/>
      <c r="CU206" s="22"/>
      <c r="CV206" s="22"/>
      <c r="CW206" s="22"/>
      <c r="CX206" s="22"/>
      <c r="CY206" s="22"/>
      <c r="CZ206" s="22"/>
      <c r="DA206" s="22"/>
      <c r="DB206" s="22"/>
      <c r="DC206" s="22"/>
      <c r="DD206" s="22"/>
      <c r="DE206" s="22"/>
      <c r="DF206" s="22"/>
      <c r="DG206" s="22"/>
      <c r="DH206" s="22"/>
      <c r="DI206" s="22"/>
      <c r="DJ206" s="22"/>
      <c r="DK206" s="22"/>
      <c r="DL206" s="22"/>
      <c r="DM206" s="22"/>
      <c r="DN206" s="22"/>
      <c r="DO206" s="22"/>
      <c r="DP206" s="22"/>
      <c r="DQ206" s="22"/>
      <c r="DR206" s="22"/>
      <c r="DS206" s="22"/>
      <c r="DT206" s="22"/>
      <c r="DU206" s="22"/>
      <c r="DV206" s="22"/>
      <c r="DW206" s="22"/>
      <c r="DX206" s="22"/>
      <c r="DY206" s="22"/>
      <c r="DZ206" s="22"/>
      <c r="EA206" s="22"/>
      <c r="EB206" s="22"/>
      <c r="EC206" s="22"/>
      <c r="ED206" s="22"/>
      <c r="EE206" s="22"/>
      <c r="EF206" s="22"/>
      <c r="EG206" s="22"/>
      <c r="EH206" s="22"/>
      <c r="EI206" s="22"/>
      <c r="EJ206" s="22"/>
      <c r="EK206" s="22"/>
      <c r="EL206" s="22"/>
      <c r="EM206" s="22"/>
      <c r="EN206" s="22"/>
      <c r="EO206" s="22"/>
      <c r="EP206" s="22"/>
      <c r="EQ206" s="22"/>
      <c r="ER206" s="22"/>
      <c r="ES206" s="22"/>
      <c r="ET206" s="22"/>
      <c r="EU206" s="22"/>
      <c r="EV206" s="22"/>
      <c r="EW206" s="22"/>
      <c r="EX206" s="22"/>
      <c r="EY206" s="22"/>
      <c r="EZ206" s="22"/>
      <c r="FA206" s="22"/>
      <c r="FB206" s="22"/>
      <c r="FC206" s="22"/>
      <c r="FD206" s="22"/>
      <c r="FE206" s="22"/>
      <c r="FF206" s="22"/>
      <c r="FG206" s="22"/>
      <c r="FH206" s="22"/>
      <c r="FI206" s="22"/>
      <c r="FJ206" s="22"/>
      <c r="FK206" s="22"/>
      <c r="FL206" s="22"/>
      <c r="FM206" s="22"/>
      <c r="FN206" s="22"/>
      <c r="FO206" s="22"/>
      <c r="FP206" s="22"/>
      <c r="FQ206" s="22"/>
      <c r="FR206" s="22"/>
      <c r="FS206" s="22"/>
      <c r="FT206" s="22"/>
      <c r="FU206" s="22"/>
      <c r="FV206" s="22"/>
      <c r="FW206" s="22"/>
      <c r="FX206" s="22"/>
      <c r="FY206" s="22"/>
      <c r="FZ206" s="22"/>
    </row>
    <row r="207" spans="2:182" x14ac:dyDescent="0.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c r="Z207" s="22"/>
      <c r="AA207" s="22"/>
      <c r="AB207" s="22"/>
      <c r="AC207" s="22"/>
      <c r="AD207" s="22"/>
      <c r="AE207" s="22"/>
      <c r="AF207" s="22"/>
      <c r="AG207" s="22"/>
      <c r="AH207" s="22"/>
      <c r="AI207" s="22"/>
      <c r="AJ207" s="22"/>
      <c r="AK207" s="22"/>
      <c r="AL207" s="22"/>
      <c r="AM207" s="22"/>
      <c r="AN207" s="22"/>
      <c r="AO207" s="22"/>
      <c r="AP207" s="22"/>
      <c r="AQ207" s="22"/>
      <c r="AR207" s="22"/>
      <c r="AS207" s="22"/>
      <c r="AT207" s="22"/>
      <c r="AU207" s="22"/>
      <c r="AV207" s="22"/>
      <c r="AW207" s="22"/>
      <c r="AX207" s="22"/>
      <c r="AY207" s="22"/>
      <c r="AZ207" s="22"/>
      <c r="BA207" s="22"/>
      <c r="BB207" s="22"/>
      <c r="BC207" s="22"/>
      <c r="BD207" s="22"/>
      <c r="BE207" s="22"/>
      <c r="BF207" s="22"/>
      <c r="BG207" s="22"/>
      <c r="BH207" s="22"/>
      <c r="BI207" s="22"/>
      <c r="BJ207" s="22"/>
      <c r="BK207" s="22"/>
      <c r="BL207" s="22"/>
      <c r="BM207" s="22"/>
      <c r="BN207" s="22"/>
      <c r="BO207" s="22"/>
      <c r="BP207" s="22"/>
      <c r="BQ207" s="22"/>
      <c r="BR207" s="22"/>
      <c r="BS207" s="22"/>
      <c r="BT207" s="22"/>
      <c r="BU207" s="22"/>
      <c r="BV207" s="22"/>
      <c r="BW207" s="22"/>
      <c r="BX207" s="22"/>
      <c r="BY207" s="22"/>
      <c r="BZ207" s="22"/>
      <c r="CA207" s="22"/>
      <c r="CB207" s="22"/>
      <c r="CC207" s="22"/>
      <c r="CD207" s="22"/>
      <c r="CE207" s="22"/>
      <c r="CF207" s="22"/>
      <c r="CG207" s="22"/>
      <c r="CH207" s="22"/>
      <c r="CI207" s="22"/>
      <c r="CJ207" s="22"/>
      <c r="CK207" s="22"/>
      <c r="CL207" s="22"/>
      <c r="CM207" s="22"/>
      <c r="CN207" s="22"/>
      <c r="CO207" s="22"/>
      <c r="CP207" s="22"/>
      <c r="CQ207" s="22"/>
      <c r="CR207" s="22"/>
      <c r="CS207" s="22"/>
      <c r="CT207" s="22"/>
      <c r="CU207" s="22"/>
      <c r="CV207" s="22"/>
      <c r="CW207" s="22"/>
      <c r="CX207" s="22"/>
      <c r="CY207" s="22"/>
      <c r="CZ207" s="22"/>
      <c r="DA207" s="22"/>
      <c r="DB207" s="22"/>
      <c r="DC207" s="22"/>
      <c r="DD207" s="22"/>
      <c r="DE207" s="22"/>
      <c r="DF207" s="22"/>
      <c r="DG207" s="22"/>
      <c r="DH207" s="22"/>
      <c r="DI207" s="22"/>
      <c r="DJ207" s="22"/>
      <c r="DK207" s="22"/>
      <c r="DL207" s="22"/>
      <c r="DM207" s="22"/>
      <c r="DN207" s="22"/>
      <c r="DO207" s="22"/>
      <c r="DP207" s="22"/>
      <c r="DQ207" s="22"/>
      <c r="DR207" s="22"/>
      <c r="DS207" s="22"/>
      <c r="DT207" s="22"/>
      <c r="DU207" s="22"/>
      <c r="DV207" s="22"/>
      <c r="DW207" s="22"/>
      <c r="DX207" s="22"/>
      <c r="DY207" s="22"/>
      <c r="DZ207" s="22"/>
      <c r="EA207" s="22"/>
      <c r="EB207" s="22"/>
      <c r="EC207" s="22"/>
      <c r="ED207" s="22"/>
      <c r="EE207" s="22"/>
      <c r="EF207" s="22"/>
      <c r="EG207" s="22"/>
      <c r="EH207" s="22"/>
      <c r="EI207" s="22"/>
      <c r="EJ207" s="22"/>
      <c r="EK207" s="22"/>
      <c r="EL207" s="22"/>
      <c r="EM207" s="22"/>
      <c r="EN207" s="22"/>
      <c r="EO207" s="22"/>
      <c r="EP207" s="22"/>
      <c r="EQ207" s="22"/>
      <c r="ER207" s="22"/>
      <c r="ES207" s="22"/>
      <c r="ET207" s="22"/>
      <c r="EU207" s="22"/>
      <c r="EV207" s="22"/>
      <c r="EW207" s="22"/>
      <c r="EX207" s="22"/>
      <c r="EY207" s="22"/>
      <c r="EZ207" s="22"/>
      <c r="FA207" s="22"/>
      <c r="FB207" s="22"/>
      <c r="FC207" s="22"/>
      <c r="FD207" s="22"/>
      <c r="FE207" s="22"/>
      <c r="FF207" s="22"/>
      <c r="FG207" s="22"/>
      <c r="FH207" s="22"/>
      <c r="FI207" s="22"/>
      <c r="FJ207" s="22"/>
      <c r="FK207" s="22"/>
      <c r="FL207" s="22"/>
      <c r="FM207" s="22"/>
      <c r="FN207" s="22"/>
      <c r="FO207" s="22"/>
      <c r="FP207" s="22"/>
      <c r="FQ207" s="22"/>
      <c r="FR207" s="22"/>
      <c r="FS207" s="22"/>
      <c r="FT207" s="22"/>
      <c r="FU207" s="22"/>
      <c r="FV207" s="22"/>
      <c r="FW207" s="22"/>
      <c r="FX207" s="22"/>
      <c r="FY207" s="22"/>
      <c r="FZ207" s="22"/>
    </row>
    <row r="208" spans="2:182" x14ac:dyDescent="0.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c r="Z208" s="22"/>
      <c r="AA208" s="22"/>
      <c r="AB208" s="22"/>
      <c r="AC208" s="22"/>
      <c r="AD208" s="22"/>
      <c r="AE208" s="22"/>
      <c r="AF208" s="22"/>
      <c r="AG208" s="22"/>
      <c r="AH208" s="22"/>
      <c r="AI208" s="22"/>
      <c r="AJ208" s="22"/>
      <c r="AK208" s="22"/>
      <c r="AL208" s="22"/>
      <c r="AM208" s="22"/>
      <c r="AN208" s="22"/>
      <c r="AO208" s="22"/>
      <c r="AP208" s="22"/>
      <c r="AQ208" s="22"/>
      <c r="AR208" s="22"/>
      <c r="AS208" s="22"/>
      <c r="AT208" s="22"/>
      <c r="AU208" s="22"/>
      <c r="AV208" s="22"/>
      <c r="AW208" s="22"/>
      <c r="AX208" s="22"/>
      <c r="AY208" s="22"/>
      <c r="AZ208" s="22"/>
      <c r="BA208" s="22"/>
      <c r="BB208" s="22"/>
      <c r="BC208" s="22"/>
      <c r="BD208" s="22"/>
      <c r="BE208" s="22"/>
      <c r="BF208" s="22"/>
      <c r="BG208" s="22"/>
      <c r="BH208" s="22"/>
      <c r="BI208" s="22"/>
      <c r="BJ208" s="22"/>
      <c r="BK208" s="22"/>
      <c r="BL208" s="22"/>
      <c r="BM208" s="22"/>
      <c r="BN208" s="22"/>
      <c r="BO208" s="22"/>
      <c r="BP208" s="22"/>
      <c r="BQ208" s="22"/>
      <c r="BR208" s="22"/>
      <c r="BS208" s="22"/>
      <c r="BT208" s="22"/>
      <c r="BU208" s="22"/>
      <c r="BV208" s="22"/>
      <c r="BW208" s="22"/>
      <c r="BX208" s="22"/>
      <c r="BY208" s="22"/>
      <c r="BZ208" s="22"/>
      <c r="CA208" s="22"/>
      <c r="CB208" s="22"/>
      <c r="CC208" s="22"/>
      <c r="CD208" s="22"/>
      <c r="CE208" s="22"/>
      <c r="CF208" s="22"/>
      <c r="CG208" s="22"/>
      <c r="CH208" s="22"/>
      <c r="CI208" s="22"/>
      <c r="CJ208" s="22"/>
      <c r="CK208" s="22"/>
      <c r="CL208" s="22"/>
      <c r="CM208" s="22"/>
      <c r="CN208" s="22"/>
      <c r="CO208" s="22"/>
      <c r="CP208" s="22"/>
      <c r="CQ208" s="22"/>
      <c r="CR208" s="22"/>
      <c r="CS208" s="22"/>
      <c r="CT208" s="22"/>
      <c r="CU208" s="22"/>
      <c r="CV208" s="22"/>
      <c r="CW208" s="22"/>
      <c r="CX208" s="22"/>
      <c r="CY208" s="22"/>
      <c r="CZ208" s="22"/>
      <c r="DA208" s="22"/>
      <c r="DB208" s="22"/>
      <c r="DC208" s="22"/>
      <c r="DD208" s="22"/>
      <c r="DE208" s="22"/>
      <c r="DF208" s="22"/>
      <c r="DG208" s="22"/>
      <c r="DH208" s="22"/>
      <c r="DI208" s="22"/>
      <c r="DJ208" s="22"/>
      <c r="DK208" s="22"/>
      <c r="DL208" s="22"/>
      <c r="DM208" s="22"/>
      <c r="DN208" s="22"/>
      <c r="DO208" s="22"/>
      <c r="DP208" s="22"/>
      <c r="DQ208" s="22"/>
      <c r="DR208" s="22"/>
      <c r="DS208" s="22"/>
      <c r="DT208" s="22"/>
      <c r="DU208" s="22"/>
      <c r="DV208" s="22"/>
      <c r="DW208" s="22"/>
      <c r="DX208" s="22"/>
      <c r="DY208" s="22"/>
      <c r="DZ208" s="22"/>
      <c r="EA208" s="22"/>
      <c r="EB208" s="22"/>
      <c r="EC208" s="22"/>
      <c r="ED208" s="22"/>
      <c r="EE208" s="22"/>
      <c r="EF208" s="22"/>
      <c r="EG208" s="22"/>
      <c r="EH208" s="22"/>
      <c r="EI208" s="22"/>
      <c r="EJ208" s="22"/>
      <c r="EK208" s="22"/>
      <c r="EL208" s="22"/>
      <c r="EM208" s="22"/>
      <c r="EN208" s="22"/>
      <c r="EO208" s="22"/>
      <c r="EP208" s="22"/>
      <c r="EQ208" s="22"/>
      <c r="ER208" s="22"/>
      <c r="ES208" s="22"/>
      <c r="ET208" s="22"/>
      <c r="EU208" s="22"/>
      <c r="EV208" s="22"/>
      <c r="EW208" s="22"/>
      <c r="EX208" s="22"/>
      <c r="EY208" s="22"/>
      <c r="EZ208" s="22"/>
      <c r="FA208" s="22"/>
      <c r="FB208" s="22"/>
      <c r="FC208" s="22"/>
      <c r="FD208" s="22"/>
      <c r="FE208" s="22"/>
      <c r="FF208" s="22"/>
      <c r="FG208" s="22"/>
      <c r="FH208" s="22"/>
      <c r="FI208" s="22"/>
      <c r="FJ208" s="22"/>
      <c r="FK208" s="22"/>
      <c r="FL208" s="22"/>
      <c r="FM208" s="22"/>
      <c r="FN208" s="22"/>
      <c r="FO208" s="22"/>
      <c r="FP208" s="22"/>
      <c r="FQ208" s="22"/>
      <c r="FR208" s="22"/>
      <c r="FS208" s="22"/>
      <c r="FT208" s="22"/>
      <c r="FU208" s="22"/>
      <c r="FV208" s="22"/>
      <c r="FW208" s="22"/>
      <c r="FX208" s="22"/>
      <c r="FY208" s="22"/>
      <c r="FZ208" s="22"/>
    </row>
    <row r="209" spans="2:182" x14ac:dyDescent="0.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c r="Z209" s="22"/>
      <c r="AA209" s="22"/>
      <c r="AB209" s="22"/>
      <c r="AC209" s="22"/>
      <c r="AD209" s="22"/>
      <c r="AE209" s="22"/>
      <c r="AF209" s="22"/>
      <c r="AG209" s="22"/>
      <c r="AH209" s="22"/>
      <c r="AI209" s="22"/>
      <c r="AJ209" s="22"/>
      <c r="AK209" s="22"/>
      <c r="AL209" s="22"/>
      <c r="AM209" s="22"/>
      <c r="AN209" s="22"/>
      <c r="AO209" s="22"/>
      <c r="AP209" s="22"/>
      <c r="AQ209" s="22"/>
      <c r="AR209" s="22"/>
      <c r="AS209" s="22"/>
      <c r="AT209" s="22"/>
      <c r="AU209" s="22"/>
      <c r="AV209" s="22"/>
      <c r="AW209" s="22"/>
      <c r="AX209" s="22"/>
      <c r="AY209" s="22"/>
      <c r="AZ209" s="22"/>
      <c r="BA209" s="22"/>
      <c r="BB209" s="22"/>
      <c r="BC209" s="22"/>
      <c r="BD209" s="22"/>
      <c r="BE209" s="22"/>
      <c r="BF209" s="22"/>
      <c r="BG209" s="22"/>
      <c r="BH209" s="22"/>
      <c r="BI209" s="22"/>
      <c r="BJ209" s="22"/>
      <c r="BK209" s="22"/>
      <c r="BL209" s="22"/>
      <c r="BM209" s="22"/>
      <c r="BN209" s="22"/>
      <c r="BO209" s="22"/>
      <c r="BP209" s="22"/>
      <c r="BQ209" s="22"/>
      <c r="BR209" s="22"/>
      <c r="BS209" s="22"/>
      <c r="BT209" s="22"/>
      <c r="BU209" s="22"/>
      <c r="BV209" s="22"/>
      <c r="BW209" s="22"/>
      <c r="BX209" s="22"/>
      <c r="BY209" s="22"/>
      <c r="BZ209" s="22"/>
      <c r="CA209" s="22"/>
      <c r="CB209" s="22"/>
      <c r="CC209" s="22"/>
      <c r="CD209" s="22"/>
      <c r="CE209" s="22"/>
      <c r="CF209" s="22"/>
      <c r="CG209" s="22"/>
      <c r="CH209" s="22"/>
      <c r="CI209" s="22"/>
      <c r="CJ209" s="22"/>
      <c r="CK209" s="22"/>
      <c r="CL209" s="22"/>
      <c r="CM209" s="22"/>
      <c r="CN209" s="22"/>
      <c r="CO209" s="22"/>
      <c r="CP209" s="22"/>
      <c r="CQ209" s="22"/>
      <c r="CR209" s="22"/>
      <c r="CS209" s="22"/>
      <c r="CT209" s="22"/>
      <c r="CU209" s="22"/>
      <c r="CV209" s="22"/>
      <c r="CW209" s="22"/>
      <c r="CX209" s="22"/>
      <c r="CY209" s="22"/>
      <c r="CZ209" s="22"/>
      <c r="DA209" s="22"/>
      <c r="DB209" s="22"/>
      <c r="DC209" s="22"/>
      <c r="DD209" s="22"/>
      <c r="DE209" s="22"/>
      <c r="DF209" s="22"/>
      <c r="DG209" s="22"/>
      <c r="DH209" s="22"/>
      <c r="DI209" s="22"/>
      <c r="DJ209" s="22"/>
      <c r="DK209" s="22"/>
      <c r="DL209" s="22"/>
      <c r="DM209" s="22"/>
      <c r="DN209" s="22"/>
      <c r="DO209" s="22"/>
      <c r="DP209" s="22"/>
      <c r="DQ209" s="22"/>
      <c r="DR209" s="22"/>
      <c r="DS209" s="22"/>
      <c r="DT209" s="22"/>
      <c r="DU209" s="22"/>
      <c r="DV209" s="22"/>
      <c r="DW209" s="22"/>
      <c r="DX209" s="22"/>
      <c r="DY209" s="22"/>
      <c r="DZ209" s="22"/>
      <c r="EA209" s="22"/>
      <c r="EB209" s="22"/>
      <c r="EC209" s="22"/>
      <c r="ED209" s="22"/>
      <c r="EE209" s="22"/>
      <c r="EF209" s="22"/>
      <c r="EG209" s="22"/>
      <c r="EH209" s="22"/>
      <c r="EI209" s="22"/>
      <c r="EJ209" s="22"/>
      <c r="EK209" s="22"/>
      <c r="EL209" s="22"/>
      <c r="EM209" s="22"/>
      <c r="EN209" s="22"/>
      <c r="EO209" s="22"/>
      <c r="EP209" s="22"/>
      <c r="EQ209" s="22"/>
      <c r="ER209" s="22"/>
      <c r="ES209" s="22"/>
      <c r="ET209" s="22"/>
      <c r="EU209" s="22"/>
      <c r="EV209" s="22"/>
      <c r="EW209" s="22"/>
      <c r="EX209" s="22"/>
      <c r="EY209" s="22"/>
      <c r="EZ209" s="22"/>
      <c r="FA209" s="22"/>
      <c r="FB209" s="22"/>
      <c r="FC209" s="22"/>
      <c r="FD209" s="22"/>
      <c r="FE209" s="22"/>
      <c r="FF209" s="22"/>
      <c r="FG209" s="22"/>
      <c r="FH209" s="22"/>
      <c r="FI209" s="22"/>
      <c r="FJ209" s="22"/>
      <c r="FK209" s="22"/>
      <c r="FL209" s="22"/>
      <c r="FM209" s="22"/>
      <c r="FN209" s="22"/>
      <c r="FO209" s="22"/>
      <c r="FP209" s="22"/>
      <c r="FQ209" s="22"/>
      <c r="FR209" s="22"/>
      <c r="FS209" s="22"/>
      <c r="FT209" s="22"/>
      <c r="FU209" s="22"/>
      <c r="FV209" s="22"/>
      <c r="FW209" s="22"/>
      <c r="FX209" s="22"/>
      <c r="FY209" s="22"/>
      <c r="FZ209" s="22"/>
    </row>
    <row r="210" spans="2:182" x14ac:dyDescent="0.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c r="Z210" s="22"/>
      <c r="AA210" s="22"/>
      <c r="AB210" s="22"/>
      <c r="AC210" s="22"/>
      <c r="AD210" s="22"/>
      <c r="AE210" s="22"/>
      <c r="AF210" s="22"/>
      <c r="AG210" s="22"/>
      <c r="AH210" s="22"/>
      <c r="AI210" s="22"/>
      <c r="AJ210" s="22"/>
      <c r="AK210" s="22"/>
      <c r="AL210" s="22"/>
      <c r="AM210" s="22"/>
      <c r="AN210" s="22"/>
      <c r="AO210" s="22"/>
      <c r="AP210" s="22"/>
      <c r="AQ210" s="22"/>
      <c r="AR210" s="22"/>
      <c r="AS210" s="22"/>
      <c r="AT210" s="22"/>
      <c r="AU210" s="22"/>
      <c r="AV210" s="22"/>
      <c r="AW210" s="22"/>
      <c r="AX210" s="22"/>
      <c r="AY210" s="22"/>
      <c r="AZ210" s="22"/>
      <c r="BA210" s="22"/>
      <c r="BB210" s="22"/>
      <c r="BC210" s="22"/>
      <c r="BD210" s="22"/>
      <c r="BE210" s="22"/>
      <c r="BF210" s="22"/>
      <c r="BG210" s="22"/>
      <c r="BH210" s="22"/>
      <c r="BI210" s="22"/>
      <c r="BJ210" s="22"/>
      <c r="BK210" s="22"/>
      <c r="BL210" s="22"/>
      <c r="BM210" s="22"/>
      <c r="BN210" s="22"/>
      <c r="BO210" s="22"/>
      <c r="BP210" s="22"/>
      <c r="BQ210" s="22"/>
      <c r="BR210" s="22"/>
      <c r="BS210" s="22"/>
      <c r="BT210" s="22"/>
      <c r="BU210" s="22"/>
      <c r="BV210" s="22"/>
      <c r="BW210" s="22"/>
      <c r="BX210" s="22"/>
      <c r="BY210" s="22"/>
      <c r="BZ210" s="22"/>
      <c r="CA210" s="22"/>
      <c r="CB210" s="22"/>
      <c r="CC210" s="22"/>
      <c r="CD210" s="22"/>
      <c r="CE210" s="22"/>
      <c r="CF210" s="22"/>
      <c r="CG210" s="22"/>
      <c r="CH210" s="22"/>
      <c r="CI210" s="22"/>
      <c r="CJ210" s="22"/>
      <c r="CK210" s="22"/>
      <c r="CL210" s="22"/>
      <c r="CM210" s="22"/>
      <c r="CN210" s="22"/>
      <c r="CO210" s="22"/>
      <c r="CP210" s="22"/>
      <c r="CQ210" s="22"/>
      <c r="CR210" s="22"/>
      <c r="CS210" s="22"/>
      <c r="CT210" s="22"/>
      <c r="CU210" s="22"/>
      <c r="CV210" s="22"/>
      <c r="CW210" s="22"/>
      <c r="CX210" s="22"/>
      <c r="CY210" s="22"/>
      <c r="CZ210" s="22"/>
      <c r="DA210" s="22"/>
      <c r="DB210" s="22"/>
      <c r="DC210" s="22"/>
      <c r="DD210" s="22"/>
      <c r="DE210" s="22"/>
      <c r="DF210" s="22"/>
      <c r="DG210" s="22"/>
      <c r="DH210" s="22"/>
      <c r="DI210" s="22"/>
      <c r="DJ210" s="22"/>
      <c r="DK210" s="22"/>
      <c r="DL210" s="22"/>
      <c r="DM210" s="22"/>
      <c r="DN210" s="22"/>
      <c r="DO210" s="22"/>
      <c r="DP210" s="22"/>
      <c r="DQ210" s="22"/>
      <c r="DR210" s="22"/>
      <c r="DS210" s="22"/>
      <c r="DT210" s="22"/>
      <c r="DU210" s="22"/>
      <c r="DV210" s="22"/>
      <c r="DW210" s="22"/>
      <c r="DX210" s="22"/>
      <c r="DY210" s="22"/>
      <c r="DZ210" s="22"/>
      <c r="EA210" s="22"/>
      <c r="EB210" s="22"/>
      <c r="EC210" s="22"/>
      <c r="ED210" s="22"/>
      <c r="EE210" s="22"/>
      <c r="EF210" s="22"/>
      <c r="EG210" s="22"/>
      <c r="EH210" s="22"/>
      <c r="EI210" s="22"/>
      <c r="EJ210" s="22"/>
      <c r="EK210" s="22"/>
      <c r="EL210" s="22"/>
      <c r="EM210" s="22"/>
      <c r="EN210" s="22"/>
      <c r="EO210" s="22"/>
      <c r="EP210" s="22"/>
      <c r="EQ210" s="22"/>
      <c r="ER210" s="22"/>
      <c r="ES210" s="22"/>
      <c r="ET210" s="22"/>
      <c r="EU210" s="22"/>
      <c r="EV210" s="22"/>
      <c r="EW210" s="22"/>
      <c r="EX210" s="22"/>
      <c r="EY210" s="22"/>
      <c r="EZ210" s="22"/>
      <c r="FA210" s="22"/>
      <c r="FB210" s="22"/>
      <c r="FC210" s="22"/>
      <c r="FD210" s="22"/>
      <c r="FE210" s="22"/>
      <c r="FF210" s="22"/>
      <c r="FG210" s="22"/>
      <c r="FH210" s="22"/>
      <c r="FI210" s="22"/>
      <c r="FJ210" s="22"/>
      <c r="FK210" s="22"/>
      <c r="FL210" s="22"/>
      <c r="FM210" s="22"/>
      <c r="FN210" s="22"/>
      <c r="FO210" s="22"/>
      <c r="FP210" s="22"/>
      <c r="FQ210" s="22"/>
      <c r="FR210" s="22"/>
      <c r="FS210" s="22"/>
      <c r="FT210" s="22"/>
      <c r="FU210" s="22"/>
      <c r="FV210" s="22"/>
      <c r="FW210" s="22"/>
      <c r="FX210" s="22"/>
      <c r="FY210" s="22"/>
      <c r="FZ210" s="22"/>
    </row>
    <row r="211" spans="2:182" x14ac:dyDescent="0.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c r="Z211" s="22"/>
      <c r="AA211" s="22"/>
      <c r="AB211" s="22"/>
      <c r="AC211" s="22"/>
      <c r="AD211" s="22"/>
      <c r="AE211" s="22"/>
      <c r="AF211" s="22"/>
      <c r="AG211" s="22"/>
      <c r="AH211" s="22"/>
      <c r="AI211" s="22"/>
      <c r="AJ211" s="22"/>
      <c r="AK211" s="22"/>
      <c r="AL211" s="22"/>
      <c r="AM211" s="22"/>
      <c r="AN211" s="22"/>
      <c r="AO211" s="22"/>
      <c r="AP211" s="22"/>
      <c r="AQ211" s="22"/>
      <c r="AR211" s="22"/>
      <c r="AS211" s="22"/>
      <c r="AT211" s="22"/>
      <c r="AU211" s="22"/>
      <c r="AV211" s="22"/>
      <c r="AW211" s="22"/>
      <c r="AX211" s="22"/>
      <c r="AY211" s="22"/>
      <c r="AZ211" s="22"/>
      <c r="BA211" s="22"/>
      <c r="BB211" s="22"/>
      <c r="BC211" s="22"/>
      <c r="BD211" s="22"/>
      <c r="BE211" s="22"/>
      <c r="BF211" s="22"/>
      <c r="BG211" s="22"/>
      <c r="BH211" s="22"/>
      <c r="BI211" s="22"/>
      <c r="BJ211" s="22"/>
      <c r="BK211" s="22"/>
      <c r="BL211" s="22"/>
      <c r="BM211" s="22"/>
      <c r="BN211" s="22"/>
      <c r="BO211" s="22"/>
      <c r="BP211" s="22"/>
      <c r="BQ211" s="22"/>
      <c r="BR211" s="22"/>
      <c r="BS211" s="22"/>
      <c r="BT211" s="22"/>
      <c r="BU211" s="22"/>
      <c r="BV211" s="22"/>
      <c r="BW211" s="22"/>
      <c r="BX211" s="22"/>
      <c r="BY211" s="22"/>
      <c r="BZ211" s="22"/>
      <c r="CA211" s="22"/>
      <c r="CB211" s="22"/>
      <c r="CC211" s="22"/>
      <c r="CD211" s="22"/>
      <c r="CE211" s="22"/>
      <c r="CF211" s="22"/>
      <c r="CG211" s="22"/>
      <c r="CH211" s="22"/>
      <c r="CI211" s="22"/>
      <c r="CJ211" s="22"/>
      <c r="CK211" s="22"/>
      <c r="CL211" s="22"/>
      <c r="CM211" s="22"/>
      <c r="CN211" s="22"/>
      <c r="CO211" s="22"/>
      <c r="CP211" s="22"/>
      <c r="CQ211" s="22"/>
      <c r="CR211" s="22"/>
      <c r="CS211" s="22"/>
      <c r="CT211" s="22"/>
      <c r="CU211" s="22"/>
      <c r="CV211" s="22"/>
      <c r="CW211" s="22"/>
      <c r="CX211" s="22"/>
      <c r="CY211" s="22"/>
      <c r="CZ211" s="22"/>
      <c r="DA211" s="22"/>
      <c r="DB211" s="22"/>
      <c r="DC211" s="22"/>
      <c r="DD211" s="22"/>
      <c r="DE211" s="22"/>
      <c r="DF211" s="22"/>
      <c r="DG211" s="22"/>
      <c r="DH211" s="22"/>
      <c r="DI211" s="22"/>
      <c r="DJ211" s="22"/>
      <c r="DK211" s="22"/>
      <c r="DL211" s="22"/>
      <c r="DM211" s="22"/>
      <c r="DN211" s="22"/>
      <c r="DO211" s="22"/>
      <c r="DP211" s="22"/>
      <c r="DQ211" s="22"/>
      <c r="DR211" s="22"/>
      <c r="DS211" s="22"/>
      <c r="DT211" s="22"/>
      <c r="DU211" s="22"/>
      <c r="DV211" s="22"/>
      <c r="DW211" s="22"/>
      <c r="DX211" s="22"/>
      <c r="DY211" s="22"/>
      <c r="DZ211" s="22"/>
      <c r="EA211" s="22"/>
      <c r="EB211" s="22"/>
      <c r="EC211" s="22"/>
      <c r="ED211" s="22"/>
      <c r="EE211" s="22"/>
      <c r="EF211" s="22"/>
      <c r="EG211" s="22"/>
      <c r="EH211" s="22"/>
      <c r="EI211" s="22"/>
      <c r="EJ211" s="22"/>
      <c r="EK211" s="22"/>
      <c r="EL211" s="22"/>
      <c r="EM211" s="22"/>
      <c r="EN211" s="22"/>
      <c r="EO211" s="22"/>
      <c r="EP211" s="22"/>
      <c r="EQ211" s="22"/>
      <c r="ER211" s="22"/>
      <c r="ES211" s="22"/>
      <c r="ET211" s="22"/>
      <c r="EU211" s="22"/>
      <c r="EV211" s="22"/>
      <c r="EW211" s="22"/>
      <c r="EX211" s="22"/>
      <c r="EY211" s="22"/>
      <c r="EZ211" s="22"/>
      <c r="FA211" s="22"/>
      <c r="FB211" s="22"/>
      <c r="FC211" s="22"/>
      <c r="FD211" s="22"/>
      <c r="FE211" s="22"/>
      <c r="FF211" s="22"/>
      <c r="FG211" s="22"/>
      <c r="FH211" s="22"/>
      <c r="FI211" s="22"/>
      <c r="FJ211" s="22"/>
      <c r="FK211" s="22"/>
      <c r="FL211" s="22"/>
      <c r="FM211" s="22"/>
      <c r="FN211" s="22"/>
      <c r="FO211" s="22"/>
      <c r="FP211" s="22"/>
      <c r="FQ211" s="22"/>
      <c r="FR211" s="22"/>
      <c r="FS211" s="22"/>
      <c r="FT211" s="22"/>
      <c r="FU211" s="22"/>
      <c r="FV211" s="22"/>
      <c r="FW211" s="22"/>
      <c r="FX211" s="22"/>
      <c r="FY211" s="22"/>
      <c r="FZ211" s="22"/>
    </row>
    <row r="212" spans="2:182" x14ac:dyDescent="0.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c r="Z212" s="22"/>
      <c r="AA212" s="22"/>
      <c r="AB212" s="22"/>
      <c r="AC212" s="22"/>
      <c r="AD212" s="22"/>
      <c r="AE212" s="22"/>
      <c r="AF212" s="22"/>
      <c r="AG212" s="22"/>
      <c r="AH212" s="22"/>
      <c r="AI212" s="22"/>
      <c r="AJ212" s="22"/>
      <c r="AK212" s="22"/>
      <c r="AL212" s="22"/>
      <c r="AM212" s="22"/>
      <c r="AN212" s="22"/>
      <c r="AO212" s="22"/>
      <c r="AP212" s="22"/>
      <c r="AQ212" s="22"/>
      <c r="AR212" s="22"/>
      <c r="AS212" s="22"/>
      <c r="AT212" s="22"/>
      <c r="AU212" s="22"/>
      <c r="AV212" s="22"/>
      <c r="AW212" s="22"/>
      <c r="AX212" s="22"/>
      <c r="AY212" s="22"/>
      <c r="AZ212" s="22"/>
      <c r="BA212" s="22"/>
      <c r="BB212" s="22"/>
      <c r="BC212" s="22"/>
      <c r="BD212" s="22"/>
      <c r="BE212" s="22"/>
      <c r="BF212" s="22"/>
      <c r="BG212" s="22"/>
      <c r="BH212" s="22"/>
      <c r="BI212" s="22"/>
      <c r="BJ212" s="22"/>
      <c r="BK212" s="22"/>
      <c r="BL212" s="22"/>
      <c r="BM212" s="22"/>
      <c r="BN212" s="22"/>
      <c r="BO212" s="22"/>
      <c r="BP212" s="22"/>
      <c r="BQ212" s="22"/>
      <c r="BR212" s="22"/>
      <c r="BS212" s="22"/>
      <c r="BT212" s="22"/>
      <c r="BU212" s="22"/>
      <c r="BV212" s="22"/>
      <c r="BW212" s="22"/>
      <c r="BX212" s="22"/>
      <c r="BY212" s="22"/>
      <c r="BZ212" s="22"/>
      <c r="CA212" s="22"/>
      <c r="CB212" s="22"/>
      <c r="CC212" s="22"/>
      <c r="CD212" s="22"/>
      <c r="CE212" s="22"/>
      <c r="CF212" s="22"/>
      <c r="CG212" s="22"/>
      <c r="CH212" s="22"/>
      <c r="CI212" s="22"/>
      <c r="CJ212" s="22"/>
      <c r="CK212" s="22"/>
      <c r="CL212" s="22"/>
      <c r="CM212" s="22"/>
      <c r="CN212" s="22"/>
      <c r="CO212" s="22"/>
      <c r="CP212" s="22"/>
      <c r="CQ212" s="22"/>
      <c r="CR212" s="22"/>
      <c r="CS212" s="22"/>
      <c r="CT212" s="22"/>
      <c r="CU212" s="22"/>
      <c r="CV212" s="22"/>
      <c r="CW212" s="22"/>
      <c r="CX212" s="22"/>
      <c r="CY212" s="22"/>
      <c r="CZ212" s="22"/>
      <c r="DA212" s="22"/>
      <c r="DB212" s="22"/>
      <c r="DC212" s="22"/>
      <c r="DD212" s="22"/>
      <c r="DE212" s="22"/>
      <c r="DF212" s="22"/>
      <c r="DG212" s="22"/>
      <c r="DH212" s="22"/>
      <c r="DI212" s="22"/>
      <c r="DJ212" s="22"/>
      <c r="DK212" s="22"/>
      <c r="DL212" s="22"/>
      <c r="DM212" s="22"/>
      <c r="DN212" s="22"/>
      <c r="DO212" s="22"/>
      <c r="DP212" s="22"/>
      <c r="DQ212" s="22"/>
      <c r="DR212" s="22"/>
      <c r="DS212" s="22"/>
      <c r="DT212" s="22"/>
      <c r="DU212" s="22"/>
      <c r="DV212" s="22"/>
      <c r="DW212" s="22"/>
      <c r="DX212" s="22"/>
      <c r="DY212" s="22"/>
      <c r="DZ212" s="22"/>
      <c r="EA212" s="22"/>
      <c r="EB212" s="22"/>
      <c r="EC212" s="22"/>
      <c r="ED212" s="22"/>
      <c r="EE212" s="22"/>
      <c r="EF212" s="22"/>
      <c r="EG212" s="22"/>
      <c r="EH212" s="22"/>
      <c r="EI212" s="22"/>
      <c r="EJ212" s="22"/>
      <c r="EK212" s="22"/>
      <c r="EL212" s="22"/>
      <c r="EM212" s="22"/>
      <c r="EN212" s="22"/>
      <c r="EO212" s="22"/>
      <c r="EP212" s="22"/>
      <c r="EQ212" s="22"/>
      <c r="ER212" s="22"/>
      <c r="ES212" s="22"/>
      <c r="ET212" s="22"/>
      <c r="EU212" s="22"/>
      <c r="EV212" s="22"/>
      <c r="EW212" s="22"/>
      <c r="EX212" s="22"/>
      <c r="EY212" s="22"/>
      <c r="EZ212" s="22"/>
      <c r="FA212" s="22"/>
      <c r="FB212" s="22"/>
      <c r="FC212" s="22"/>
      <c r="FD212" s="22"/>
      <c r="FE212" s="22"/>
      <c r="FF212" s="22"/>
      <c r="FG212" s="22"/>
      <c r="FH212" s="22"/>
      <c r="FI212" s="22"/>
      <c r="FJ212" s="22"/>
      <c r="FK212" s="22"/>
      <c r="FL212" s="22"/>
      <c r="FM212" s="22"/>
      <c r="FN212" s="22"/>
      <c r="FO212" s="22"/>
      <c r="FP212" s="22"/>
      <c r="FQ212" s="22"/>
      <c r="FR212" s="22"/>
      <c r="FS212" s="22"/>
      <c r="FT212" s="22"/>
      <c r="FU212" s="22"/>
      <c r="FV212" s="22"/>
      <c r="FW212" s="22"/>
      <c r="FX212" s="22"/>
      <c r="FY212" s="22"/>
      <c r="FZ212" s="22"/>
    </row>
    <row r="213" spans="2:182" x14ac:dyDescent="0.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c r="Z213" s="22"/>
      <c r="AA213" s="22"/>
      <c r="AB213" s="22"/>
      <c r="AC213" s="22"/>
      <c r="AD213" s="22"/>
      <c r="AE213" s="22"/>
      <c r="AF213" s="22"/>
      <c r="AG213" s="22"/>
      <c r="AH213" s="22"/>
      <c r="AI213" s="22"/>
      <c r="AJ213" s="22"/>
      <c r="AK213" s="22"/>
      <c r="AL213" s="22"/>
      <c r="AM213" s="22"/>
      <c r="AN213" s="22"/>
      <c r="AO213" s="22"/>
      <c r="AP213" s="22"/>
      <c r="AQ213" s="22"/>
      <c r="AR213" s="22"/>
      <c r="AS213" s="22"/>
      <c r="AT213" s="22"/>
      <c r="AU213" s="22"/>
      <c r="AV213" s="22"/>
      <c r="AW213" s="22"/>
      <c r="AX213" s="22"/>
      <c r="AY213" s="22"/>
      <c r="AZ213" s="22"/>
      <c r="BA213" s="22"/>
      <c r="BB213" s="22"/>
      <c r="BC213" s="22"/>
      <c r="BD213" s="22"/>
      <c r="BE213" s="22"/>
      <c r="BF213" s="22"/>
      <c r="BG213" s="22"/>
      <c r="BH213" s="22"/>
      <c r="BI213" s="22"/>
      <c r="BJ213" s="22"/>
      <c r="BK213" s="22"/>
      <c r="BL213" s="22"/>
      <c r="BM213" s="22"/>
      <c r="BN213" s="22"/>
      <c r="BO213" s="22"/>
      <c r="BP213" s="22"/>
      <c r="BQ213" s="22"/>
      <c r="BR213" s="22"/>
      <c r="BS213" s="22"/>
      <c r="BT213" s="22"/>
      <c r="BU213" s="22"/>
      <c r="BV213" s="22"/>
      <c r="BW213" s="22"/>
      <c r="BX213" s="22"/>
      <c r="BY213" s="22"/>
      <c r="BZ213" s="22"/>
      <c r="CA213" s="22"/>
      <c r="CB213" s="22"/>
      <c r="CC213" s="22"/>
      <c r="CD213" s="22"/>
      <c r="CE213" s="22"/>
      <c r="CF213" s="22"/>
      <c r="CG213" s="22"/>
      <c r="CH213" s="22"/>
      <c r="CI213" s="22"/>
      <c r="CJ213" s="22"/>
      <c r="CK213" s="22"/>
      <c r="CL213" s="22"/>
      <c r="CM213" s="22"/>
      <c r="CN213" s="22"/>
      <c r="CO213" s="22"/>
      <c r="CP213" s="22"/>
      <c r="CQ213" s="22"/>
      <c r="CR213" s="22"/>
      <c r="CS213" s="22"/>
      <c r="CT213" s="22"/>
      <c r="CU213" s="22"/>
      <c r="CV213" s="22"/>
      <c r="CW213" s="22"/>
      <c r="CX213" s="22"/>
      <c r="CY213" s="22"/>
      <c r="CZ213" s="22"/>
      <c r="DA213" s="22"/>
      <c r="DB213" s="22"/>
      <c r="DC213" s="22"/>
      <c r="DD213" s="22"/>
      <c r="DE213" s="22"/>
      <c r="DF213" s="22"/>
      <c r="DG213" s="22"/>
      <c r="DH213" s="22"/>
      <c r="DI213" s="22"/>
      <c r="DJ213" s="22"/>
      <c r="DK213" s="22"/>
      <c r="DL213" s="22"/>
      <c r="DM213" s="22"/>
      <c r="DN213" s="22"/>
      <c r="DO213" s="22"/>
      <c r="DP213" s="22"/>
      <c r="DQ213" s="22"/>
      <c r="DR213" s="22"/>
      <c r="DS213" s="22"/>
      <c r="DT213" s="22"/>
      <c r="DU213" s="22"/>
      <c r="DV213" s="22"/>
      <c r="DW213" s="22"/>
      <c r="DX213" s="22"/>
      <c r="DY213" s="22"/>
      <c r="DZ213" s="22"/>
      <c r="EA213" s="22"/>
      <c r="EB213" s="22"/>
      <c r="EC213" s="22"/>
      <c r="ED213" s="22"/>
      <c r="EE213" s="22"/>
      <c r="EF213" s="22"/>
      <c r="EG213" s="22"/>
      <c r="EH213" s="22"/>
      <c r="EI213" s="22"/>
      <c r="EJ213" s="22"/>
      <c r="EK213" s="22"/>
      <c r="EL213" s="22"/>
      <c r="EM213" s="22"/>
      <c r="EN213" s="22"/>
      <c r="EO213" s="22"/>
      <c r="EP213" s="22"/>
      <c r="EQ213" s="22"/>
      <c r="ER213" s="22"/>
      <c r="ES213" s="22"/>
      <c r="ET213" s="22"/>
      <c r="EU213" s="22"/>
      <c r="EV213" s="22"/>
      <c r="EW213" s="22"/>
      <c r="EX213" s="22"/>
      <c r="EY213" s="22"/>
      <c r="EZ213" s="22"/>
      <c r="FA213" s="22"/>
      <c r="FB213" s="22"/>
      <c r="FC213" s="22"/>
      <c r="FD213" s="22"/>
      <c r="FE213" s="22"/>
      <c r="FF213" s="22"/>
      <c r="FG213" s="22"/>
      <c r="FH213" s="22"/>
      <c r="FI213" s="22"/>
      <c r="FJ213" s="22"/>
      <c r="FK213" s="22"/>
      <c r="FL213" s="22"/>
      <c r="FM213" s="22"/>
      <c r="FN213" s="22"/>
      <c r="FO213" s="22"/>
      <c r="FP213" s="22"/>
      <c r="FQ213" s="22"/>
      <c r="FR213" s="22"/>
      <c r="FS213" s="22"/>
      <c r="FT213" s="22"/>
      <c r="FU213" s="22"/>
      <c r="FV213" s="22"/>
      <c r="FW213" s="22"/>
      <c r="FX213" s="22"/>
      <c r="FY213" s="22"/>
      <c r="FZ213" s="22"/>
    </row>
    <row r="214" spans="2:182" x14ac:dyDescent="0.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c r="Z214" s="22"/>
      <c r="AA214" s="22"/>
      <c r="AB214" s="22"/>
      <c r="AC214" s="22"/>
      <c r="AD214" s="22"/>
      <c r="AE214" s="22"/>
      <c r="AF214" s="22"/>
      <c r="AG214" s="22"/>
      <c r="AH214" s="22"/>
      <c r="AI214" s="22"/>
      <c r="AJ214" s="22"/>
      <c r="AK214" s="22"/>
      <c r="AL214" s="22"/>
      <c r="AM214" s="22"/>
      <c r="AN214" s="22"/>
      <c r="AO214" s="22"/>
      <c r="AP214" s="22"/>
      <c r="AQ214" s="22"/>
      <c r="AR214" s="22"/>
      <c r="AS214" s="22"/>
      <c r="AT214" s="22"/>
      <c r="AU214" s="22"/>
      <c r="AV214" s="22"/>
      <c r="AW214" s="22"/>
      <c r="AX214" s="22"/>
      <c r="AY214" s="22"/>
      <c r="AZ214" s="22"/>
      <c r="BA214" s="22"/>
      <c r="BB214" s="22"/>
      <c r="BC214" s="22"/>
      <c r="BD214" s="22"/>
      <c r="BE214" s="22"/>
      <c r="BF214" s="22"/>
      <c r="BG214" s="22"/>
      <c r="BH214" s="22"/>
      <c r="BI214" s="22"/>
      <c r="BJ214" s="22"/>
      <c r="BK214" s="22"/>
      <c r="BL214" s="22"/>
      <c r="BM214" s="22"/>
      <c r="BN214" s="22"/>
      <c r="BO214" s="22"/>
      <c r="BP214" s="22"/>
      <c r="BQ214" s="22"/>
      <c r="BR214" s="22"/>
      <c r="BS214" s="22"/>
      <c r="BT214" s="22"/>
      <c r="BU214" s="22"/>
      <c r="BV214" s="22"/>
      <c r="BW214" s="22"/>
      <c r="BX214" s="22"/>
      <c r="BY214" s="22"/>
      <c r="BZ214" s="22"/>
      <c r="CA214" s="22"/>
      <c r="CB214" s="22"/>
      <c r="CC214" s="22"/>
      <c r="CD214" s="22"/>
      <c r="CE214" s="22"/>
      <c r="CF214" s="22"/>
      <c r="CG214" s="22"/>
      <c r="CH214" s="22"/>
      <c r="CI214" s="22"/>
      <c r="CJ214" s="22"/>
      <c r="CK214" s="22"/>
      <c r="CL214" s="22"/>
      <c r="CM214" s="22"/>
      <c r="CN214" s="22"/>
      <c r="CO214" s="22"/>
      <c r="CP214" s="22"/>
      <c r="CQ214" s="22"/>
      <c r="CR214" s="22"/>
      <c r="CS214" s="22"/>
      <c r="CT214" s="22"/>
      <c r="CU214" s="22"/>
      <c r="CV214" s="22"/>
      <c r="CW214" s="22"/>
      <c r="CX214" s="22"/>
      <c r="CY214" s="22"/>
      <c r="CZ214" s="22"/>
      <c r="DA214" s="22"/>
      <c r="DB214" s="22"/>
      <c r="DC214" s="22"/>
      <c r="DD214" s="22"/>
      <c r="DE214" s="22"/>
      <c r="DF214" s="22"/>
      <c r="DG214" s="22"/>
      <c r="DH214" s="22"/>
      <c r="DI214" s="22"/>
      <c r="DJ214" s="22"/>
      <c r="DK214" s="22"/>
      <c r="DL214" s="22"/>
      <c r="DM214" s="22"/>
      <c r="DN214" s="22"/>
      <c r="DO214" s="22"/>
      <c r="DP214" s="22"/>
      <c r="DQ214" s="22"/>
      <c r="DR214" s="22"/>
      <c r="DS214" s="22"/>
      <c r="DT214" s="22"/>
      <c r="DU214" s="22"/>
      <c r="DV214" s="22"/>
      <c r="DW214" s="22"/>
      <c r="DX214" s="22"/>
      <c r="DY214" s="22"/>
      <c r="DZ214" s="22"/>
      <c r="EA214" s="22"/>
      <c r="EB214" s="22"/>
      <c r="EC214" s="22"/>
      <c r="ED214" s="22"/>
      <c r="EE214" s="22"/>
      <c r="EF214" s="22"/>
      <c r="EG214" s="22"/>
      <c r="EH214" s="22"/>
      <c r="EI214" s="22"/>
      <c r="EJ214" s="22"/>
      <c r="EK214" s="22"/>
      <c r="EL214" s="22"/>
      <c r="EM214" s="22"/>
      <c r="EN214" s="22"/>
      <c r="EO214" s="22"/>
      <c r="EP214" s="22"/>
      <c r="EQ214" s="22"/>
      <c r="ER214" s="22"/>
      <c r="ES214" s="22"/>
      <c r="ET214" s="22"/>
      <c r="EU214" s="22"/>
      <c r="EV214" s="22"/>
      <c r="EW214" s="22"/>
      <c r="EX214" s="22"/>
      <c r="EY214" s="22"/>
      <c r="EZ214" s="22"/>
      <c r="FA214" s="22"/>
      <c r="FB214" s="22"/>
      <c r="FC214" s="22"/>
      <c r="FD214" s="22"/>
      <c r="FE214" s="22"/>
      <c r="FF214" s="22"/>
      <c r="FG214" s="22"/>
      <c r="FH214" s="22"/>
      <c r="FI214" s="22"/>
      <c r="FJ214" s="22"/>
      <c r="FK214" s="22"/>
      <c r="FL214" s="22"/>
      <c r="FM214" s="22"/>
      <c r="FN214" s="22"/>
      <c r="FO214" s="22"/>
      <c r="FP214" s="22"/>
      <c r="FQ214" s="22"/>
      <c r="FR214" s="22"/>
      <c r="FS214" s="22"/>
      <c r="FT214" s="22"/>
      <c r="FU214" s="22"/>
      <c r="FV214" s="22"/>
      <c r="FW214" s="22"/>
      <c r="FX214" s="22"/>
      <c r="FY214" s="22"/>
      <c r="FZ214" s="22"/>
    </row>
    <row r="215" spans="2:182" x14ac:dyDescent="0.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c r="Z215" s="22"/>
      <c r="AA215" s="22"/>
      <c r="AB215" s="22"/>
      <c r="AC215" s="22"/>
      <c r="AD215" s="22"/>
      <c r="AE215" s="22"/>
      <c r="AF215" s="22"/>
      <c r="AG215" s="22"/>
      <c r="AH215" s="22"/>
      <c r="AI215" s="22"/>
      <c r="AJ215" s="22"/>
      <c r="AK215" s="22"/>
      <c r="AL215" s="22"/>
      <c r="AM215" s="22"/>
      <c r="AN215" s="22"/>
      <c r="AO215" s="22"/>
      <c r="AP215" s="22"/>
      <c r="AQ215" s="22"/>
      <c r="AR215" s="22"/>
      <c r="AS215" s="22"/>
      <c r="AT215" s="22"/>
      <c r="AU215" s="22"/>
      <c r="AV215" s="22"/>
      <c r="AW215" s="22"/>
      <c r="AX215" s="22"/>
      <c r="AY215" s="22"/>
      <c r="AZ215" s="22"/>
      <c r="BA215" s="22"/>
      <c r="BB215" s="22"/>
      <c r="BC215" s="22"/>
      <c r="BD215" s="22"/>
      <c r="BE215" s="22"/>
      <c r="BF215" s="22"/>
      <c r="BG215" s="22"/>
      <c r="BH215" s="22"/>
      <c r="BI215" s="22"/>
      <c r="BJ215" s="22"/>
      <c r="BK215" s="22"/>
      <c r="BL215" s="22"/>
      <c r="BM215" s="22"/>
      <c r="BN215" s="22"/>
      <c r="BO215" s="22"/>
      <c r="BP215" s="22"/>
      <c r="BQ215" s="22"/>
      <c r="BR215" s="22"/>
      <c r="BS215" s="22"/>
      <c r="BT215" s="22"/>
      <c r="BU215" s="22"/>
      <c r="BV215" s="22"/>
      <c r="BW215" s="22"/>
      <c r="BX215" s="22"/>
      <c r="BY215" s="22"/>
      <c r="BZ215" s="22"/>
      <c r="CA215" s="22"/>
      <c r="CB215" s="22"/>
      <c r="CC215" s="22"/>
      <c r="CD215" s="22"/>
      <c r="CE215" s="22"/>
      <c r="CF215" s="22"/>
      <c r="CG215" s="22"/>
      <c r="CH215" s="22"/>
      <c r="CI215" s="22"/>
      <c r="CJ215" s="22"/>
      <c r="CK215" s="22"/>
      <c r="CL215" s="22"/>
      <c r="CM215" s="22"/>
      <c r="CN215" s="22"/>
      <c r="CO215" s="22"/>
      <c r="CP215" s="22"/>
      <c r="CQ215" s="22"/>
      <c r="CR215" s="22"/>
      <c r="CS215" s="22"/>
      <c r="CT215" s="22"/>
      <c r="CU215" s="22"/>
      <c r="CV215" s="22"/>
      <c r="CW215" s="22"/>
      <c r="CX215" s="22"/>
      <c r="CY215" s="22"/>
      <c r="CZ215" s="22"/>
      <c r="DA215" s="22"/>
      <c r="DB215" s="22"/>
      <c r="DC215" s="22"/>
      <c r="DD215" s="22"/>
      <c r="DE215" s="22"/>
      <c r="DF215" s="22"/>
      <c r="DG215" s="22"/>
      <c r="DH215" s="22"/>
      <c r="DI215" s="22"/>
      <c r="DJ215" s="22"/>
      <c r="DK215" s="22"/>
      <c r="DL215" s="22"/>
      <c r="DM215" s="22"/>
      <c r="DN215" s="22"/>
      <c r="DO215" s="22"/>
      <c r="DP215" s="22"/>
      <c r="DQ215" s="22"/>
      <c r="DR215" s="22"/>
      <c r="DS215" s="22"/>
      <c r="DT215" s="22"/>
      <c r="DU215" s="22"/>
      <c r="DV215" s="22"/>
      <c r="DW215" s="22"/>
      <c r="DX215" s="22"/>
      <c r="DY215" s="22"/>
      <c r="DZ215" s="22"/>
      <c r="EA215" s="22"/>
      <c r="EB215" s="22"/>
      <c r="EC215" s="22"/>
      <c r="ED215" s="22"/>
      <c r="EE215" s="22"/>
      <c r="EF215" s="22"/>
      <c r="EG215" s="22"/>
      <c r="EH215" s="22"/>
      <c r="EI215" s="22"/>
      <c r="EJ215" s="22"/>
      <c r="EK215" s="22"/>
      <c r="EL215" s="22"/>
      <c r="EM215" s="22"/>
      <c r="EN215" s="22"/>
      <c r="EO215" s="22"/>
      <c r="EP215" s="22"/>
      <c r="EQ215" s="22"/>
      <c r="ER215" s="22"/>
      <c r="ES215" s="22"/>
      <c r="ET215" s="22"/>
      <c r="EU215" s="22"/>
      <c r="EV215" s="22"/>
      <c r="EW215" s="22"/>
      <c r="EX215" s="22"/>
      <c r="EY215" s="22"/>
      <c r="EZ215" s="22"/>
      <c r="FA215" s="22"/>
      <c r="FB215" s="22"/>
      <c r="FC215" s="22"/>
      <c r="FD215" s="22"/>
      <c r="FE215" s="22"/>
      <c r="FF215" s="22"/>
      <c r="FG215" s="22"/>
      <c r="FH215" s="22"/>
      <c r="FI215" s="22"/>
      <c r="FJ215" s="22"/>
      <c r="FK215" s="22"/>
      <c r="FL215" s="22"/>
      <c r="FM215" s="22"/>
      <c r="FN215" s="22"/>
      <c r="FO215" s="22"/>
      <c r="FP215" s="22"/>
      <c r="FQ215" s="22"/>
      <c r="FR215" s="22"/>
      <c r="FS215" s="22"/>
      <c r="FT215" s="22"/>
      <c r="FU215" s="22"/>
      <c r="FV215" s="22"/>
      <c r="FW215" s="22"/>
      <c r="FX215" s="22"/>
      <c r="FY215" s="22"/>
      <c r="FZ215" s="22"/>
    </row>
    <row r="216" spans="2:182" x14ac:dyDescent="0.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c r="Z216" s="22"/>
      <c r="AA216" s="22"/>
      <c r="AB216" s="22"/>
      <c r="AC216" s="22"/>
      <c r="AD216" s="22"/>
      <c r="AE216" s="22"/>
      <c r="AF216" s="22"/>
      <c r="AG216" s="22"/>
      <c r="AH216" s="22"/>
      <c r="AI216" s="22"/>
      <c r="AJ216" s="22"/>
      <c r="AK216" s="22"/>
      <c r="AL216" s="22"/>
      <c r="AM216" s="22"/>
      <c r="AN216" s="22"/>
      <c r="AO216" s="22"/>
      <c r="AP216" s="22"/>
      <c r="AQ216" s="22"/>
      <c r="AR216" s="22"/>
      <c r="AS216" s="22"/>
      <c r="AT216" s="22"/>
      <c r="AU216" s="22"/>
      <c r="AV216" s="22"/>
      <c r="AW216" s="22"/>
      <c r="AX216" s="22"/>
      <c r="AY216" s="22"/>
      <c r="AZ216" s="22"/>
      <c r="BA216" s="22"/>
      <c r="BB216" s="22"/>
      <c r="BC216" s="22"/>
      <c r="BD216" s="22"/>
      <c r="BE216" s="22"/>
      <c r="BF216" s="22"/>
      <c r="BG216" s="22"/>
      <c r="BH216" s="22"/>
      <c r="BI216" s="22"/>
      <c r="BJ216" s="22"/>
      <c r="BK216" s="22"/>
      <c r="BL216" s="22"/>
      <c r="BM216" s="22"/>
      <c r="BN216" s="22"/>
      <c r="BO216" s="22"/>
      <c r="BP216" s="22"/>
      <c r="BQ216" s="22"/>
      <c r="BR216" s="22"/>
      <c r="BS216" s="22"/>
      <c r="BT216" s="22"/>
      <c r="BU216" s="22"/>
      <c r="BV216" s="22"/>
      <c r="BW216" s="22"/>
      <c r="BX216" s="22"/>
      <c r="BY216" s="22"/>
      <c r="BZ216" s="22"/>
      <c r="CA216" s="22"/>
      <c r="CB216" s="22"/>
      <c r="CC216" s="22"/>
      <c r="CD216" s="22"/>
      <c r="CE216" s="22"/>
      <c r="CF216" s="22"/>
      <c r="CG216" s="22"/>
      <c r="CH216" s="22"/>
      <c r="CI216" s="22"/>
      <c r="CJ216" s="22"/>
      <c r="CK216" s="22"/>
      <c r="CL216" s="22"/>
      <c r="CM216" s="22"/>
      <c r="CN216" s="22"/>
      <c r="CO216" s="22"/>
      <c r="CP216" s="22"/>
      <c r="CQ216" s="22"/>
      <c r="CR216" s="22"/>
      <c r="CS216" s="22"/>
      <c r="CT216" s="22"/>
      <c r="CU216" s="22"/>
      <c r="CV216" s="22"/>
      <c r="CW216" s="22"/>
      <c r="CX216" s="22"/>
      <c r="CY216" s="22"/>
      <c r="CZ216" s="22"/>
      <c r="DA216" s="22"/>
      <c r="DB216" s="22"/>
      <c r="DC216" s="22"/>
      <c r="DD216" s="22"/>
      <c r="DE216" s="22"/>
      <c r="DF216" s="22"/>
      <c r="DG216" s="22"/>
      <c r="DH216" s="22"/>
      <c r="DI216" s="22"/>
      <c r="DJ216" s="22"/>
      <c r="DK216" s="22"/>
      <c r="DL216" s="22"/>
      <c r="DM216" s="22"/>
      <c r="DN216" s="22"/>
      <c r="DO216" s="22"/>
      <c r="DP216" s="22"/>
      <c r="DQ216" s="22"/>
      <c r="DR216" s="22"/>
      <c r="DS216" s="22"/>
      <c r="DT216" s="22"/>
      <c r="DU216" s="22"/>
      <c r="DV216" s="22"/>
      <c r="DW216" s="22"/>
      <c r="DX216" s="22"/>
      <c r="DY216" s="22"/>
      <c r="DZ216" s="22"/>
      <c r="EA216" s="22"/>
      <c r="EB216" s="22"/>
      <c r="EC216" s="22"/>
      <c r="ED216" s="22"/>
      <c r="EE216" s="22"/>
      <c r="EF216" s="22"/>
      <c r="EG216" s="22"/>
      <c r="EH216" s="22"/>
      <c r="EI216" s="22"/>
      <c r="EJ216" s="22"/>
      <c r="EK216" s="22"/>
      <c r="EL216" s="22"/>
      <c r="EM216" s="22"/>
      <c r="EN216" s="22"/>
      <c r="EO216" s="22"/>
      <c r="EP216" s="22"/>
      <c r="EQ216" s="22"/>
      <c r="ER216" s="22"/>
      <c r="ES216" s="22"/>
      <c r="ET216" s="22"/>
      <c r="EU216" s="22"/>
      <c r="EV216" s="22"/>
      <c r="EW216" s="22"/>
      <c r="EX216" s="22"/>
      <c r="EY216" s="22"/>
      <c r="EZ216" s="22"/>
      <c r="FA216" s="22"/>
      <c r="FB216" s="22"/>
      <c r="FC216" s="22"/>
      <c r="FD216" s="22"/>
      <c r="FE216" s="22"/>
      <c r="FF216" s="22"/>
      <c r="FG216" s="22"/>
      <c r="FH216" s="22"/>
      <c r="FI216" s="22"/>
      <c r="FJ216" s="22"/>
      <c r="FK216" s="22"/>
      <c r="FL216" s="22"/>
      <c r="FM216" s="22"/>
      <c r="FN216" s="22"/>
      <c r="FO216" s="22"/>
      <c r="FP216" s="22"/>
      <c r="FQ216" s="22"/>
      <c r="FR216" s="22"/>
      <c r="FS216" s="22"/>
      <c r="FT216" s="22"/>
      <c r="FU216" s="22"/>
      <c r="FV216" s="22"/>
      <c r="FW216" s="22"/>
      <c r="FX216" s="22"/>
      <c r="FY216" s="22"/>
      <c r="FZ216" s="22"/>
    </row>
    <row r="217" spans="2:182" x14ac:dyDescent="0.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c r="Z217" s="22"/>
      <c r="AA217" s="22"/>
      <c r="AB217" s="22"/>
      <c r="AC217" s="22"/>
      <c r="AD217" s="22"/>
      <c r="AE217" s="22"/>
      <c r="AF217" s="22"/>
      <c r="AG217" s="22"/>
      <c r="AH217" s="22"/>
      <c r="AI217" s="22"/>
      <c r="AJ217" s="22"/>
      <c r="AK217" s="22"/>
      <c r="AL217" s="22"/>
      <c r="AM217" s="22"/>
      <c r="AN217" s="22"/>
      <c r="AO217" s="22"/>
      <c r="AP217" s="22"/>
      <c r="AQ217" s="22"/>
      <c r="AR217" s="22"/>
      <c r="AS217" s="22"/>
      <c r="AT217" s="22"/>
      <c r="AU217" s="22"/>
      <c r="AV217" s="22"/>
      <c r="AW217" s="22"/>
      <c r="AX217" s="22"/>
      <c r="AY217" s="22"/>
      <c r="AZ217" s="22"/>
      <c r="BA217" s="22"/>
      <c r="BB217" s="22"/>
      <c r="BC217" s="22"/>
      <c r="BD217" s="22"/>
      <c r="BE217" s="22"/>
      <c r="BF217" s="22"/>
      <c r="BG217" s="22"/>
      <c r="BH217" s="22"/>
      <c r="BI217" s="22"/>
      <c r="BJ217" s="22"/>
      <c r="BK217" s="22"/>
      <c r="BL217" s="22"/>
      <c r="BM217" s="22"/>
      <c r="BN217" s="22"/>
      <c r="BO217" s="22"/>
      <c r="BP217" s="22"/>
      <c r="BQ217" s="22"/>
      <c r="BR217" s="22"/>
      <c r="BS217" s="22"/>
      <c r="BT217" s="22"/>
      <c r="BU217" s="22"/>
      <c r="BV217" s="22"/>
      <c r="BW217" s="22"/>
      <c r="BX217" s="22"/>
      <c r="BY217" s="22"/>
      <c r="BZ217" s="22"/>
      <c r="CA217" s="22"/>
      <c r="CB217" s="22"/>
      <c r="CC217" s="22"/>
      <c r="CD217" s="22"/>
      <c r="CE217" s="22"/>
      <c r="CF217" s="22"/>
      <c r="CG217" s="22"/>
      <c r="CH217" s="22"/>
      <c r="CI217" s="22"/>
      <c r="CJ217" s="22"/>
      <c r="CK217" s="22"/>
      <c r="CL217" s="22"/>
      <c r="CM217" s="22"/>
      <c r="CN217" s="22"/>
      <c r="CO217" s="22"/>
      <c r="CP217" s="22"/>
      <c r="CQ217" s="22"/>
      <c r="CR217" s="22"/>
      <c r="CS217" s="22"/>
      <c r="CT217" s="22"/>
      <c r="CU217" s="22"/>
      <c r="CV217" s="22"/>
      <c r="CW217" s="22"/>
      <c r="CX217" s="22"/>
      <c r="CY217" s="22"/>
      <c r="CZ217" s="22"/>
      <c r="DA217" s="22"/>
      <c r="DB217" s="22"/>
      <c r="DC217" s="22"/>
      <c r="DD217" s="22"/>
      <c r="DE217" s="22"/>
      <c r="DF217" s="22"/>
      <c r="DG217" s="22"/>
      <c r="DH217" s="22"/>
      <c r="DI217" s="22"/>
      <c r="DJ217" s="22"/>
      <c r="DK217" s="22"/>
      <c r="DL217" s="22"/>
      <c r="DM217" s="22"/>
      <c r="DN217" s="22"/>
      <c r="DO217" s="22"/>
      <c r="DP217" s="22"/>
      <c r="DQ217" s="22"/>
      <c r="DR217" s="22"/>
      <c r="DS217" s="22"/>
      <c r="DT217" s="22"/>
      <c r="DU217" s="22"/>
      <c r="DV217" s="22"/>
      <c r="DW217" s="22"/>
      <c r="DX217" s="22"/>
      <c r="DY217" s="22"/>
      <c r="DZ217" s="22"/>
      <c r="EA217" s="22"/>
      <c r="EB217" s="22"/>
      <c r="EC217" s="22"/>
      <c r="ED217" s="22"/>
      <c r="EE217" s="22"/>
      <c r="EF217" s="22"/>
      <c r="EG217" s="22"/>
      <c r="EH217" s="22"/>
      <c r="EI217" s="22"/>
      <c r="EJ217" s="22"/>
      <c r="EK217" s="22"/>
      <c r="EL217" s="22"/>
      <c r="EM217" s="22"/>
      <c r="EN217" s="22"/>
      <c r="EO217" s="22"/>
      <c r="EP217" s="22"/>
      <c r="EQ217" s="22"/>
      <c r="ER217" s="22"/>
      <c r="ES217" s="22"/>
      <c r="ET217" s="22"/>
      <c r="EU217" s="22"/>
      <c r="EV217" s="22"/>
      <c r="EW217" s="22"/>
      <c r="EX217" s="22"/>
      <c r="EY217" s="22"/>
      <c r="EZ217" s="22"/>
      <c r="FA217" s="22"/>
      <c r="FB217" s="22"/>
      <c r="FC217" s="22"/>
      <c r="FD217" s="22"/>
      <c r="FE217" s="22"/>
      <c r="FF217" s="22"/>
      <c r="FG217" s="22"/>
      <c r="FH217" s="22"/>
      <c r="FI217" s="22"/>
      <c r="FJ217" s="22"/>
      <c r="FK217" s="22"/>
      <c r="FL217" s="22"/>
      <c r="FM217" s="22"/>
      <c r="FN217" s="22"/>
      <c r="FO217" s="22"/>
      <c r="FP217" s="22"/>
      <c r="FQ217" s="22"/>
      <c r="FR217" s="22"/>
      <c r="FS217" s="22"/>
      <c r="FT217" s="22"/>
      <c r="FU217" s="22"/>
      <c r="FV217" s="22"/>
      <c r="FW217" s="22"/>
      <c r="FX217" s="22"/>
      <c r="FY217" s="22"/>
      <c r="FZ217" s="22"/>
    </row>
    <row r="218" spans="2:182" x14ac:dyDescent="0.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c r="Z218" s="22"/>
      <c r="AA218" s="22"/>
      <c r="AB218" s="22"/>
      <c r="AC218" s="22"/>
      <c r="AD218" s="22"/>
      <c r="AE218" s="22"/>
      <c r="AF218" s="22"/>
      <c r="AG218" s="22"/>
      <c r="AH218" s="22"/>
      <c r="AI218" s="22"/>
      <c r="AJ218" s="22"/>
      <c r="AK218" s="22"/>
      <c r="AL218" s="22"/>
      <c r="AM218" s="22"/>
      <c r="AN218" s="22"/>
      <c r="AO218" s="22"/>
      <c r="AP218" s="22"/>
      <c r="AQ218" s="22"/>
      <c r="AR218" s="22"/>
      <c r="AS218" s="22"/>
      <c r="AT218" s="22"/>
      <c r="AU218" s="22"/>
      <c r="AV218" s="22"/>
      <c r="AW218" s="22"/>
      <c r="AX218" s="22"/>
      <c r="AY218" s="22"/>
      <c r="AZ218" s="22"/>
      <c r="BA218" s="22"/>
      <c r="BB218" s="22"/>
      <c r="BC218" s="22"/>
      <c r="BD218" s="22"/>
      <c r="BE218" s="22"/>
      <c r="BF218" s="22"/>
      <c r="BG218" s="22"/>
      <c r="BH218" s="22"/>
      <c r="BI218" s="22"/>
      <c r="BJ218" s="22"/>
      <c r="BK218" s="22"/>
      <c r="BL218" s="22"/>
      <c r="BM218" s="22"/>
      <c r="BN218" s="22"/>
      <c r="BO218" s="22"/>
      <c r="BP218" s="22"/>
      <c r="BQ218" s="22"/>
      <c r="BR218" s="22"/>
      <c r="BS218" s="22"/>
      <c r="BT218" s="22"/>
      <c r="BU218" s="22"/>
      <c r="BV218" s="22"/>
      <c r="BW218" s="22"/>
      <c r="BX218" s="22"/>
      <c r="BY218" s="22"/>
      <c r="BZ218" s="22"/>
      <c r="CA218" s="22"/>
      <c r="CB218" s="22"/>
      <c r="CC218" s="22"/>
      <c r="CD218" s="22"/>
      <c r="CE218" s="22"/>
      <c r="CF218" s="22"/>
      <c r="CG218" s="22"/>
      <c r="CH218" s="22"/>
      <c r="CI218" s="22"/>
      <c r="CJ218" s="22"/>
      <c r="CK218" s="22"/>
      <c r="CL218" s="22"/>
      <c r="CM218" s="22"/>
      <c r="CN218" s="22"/>
      <c r="CO218" s="22"/>
      <c r="CP218" s="22"/>
      <c r="CQ218" s="22"/>
      <c r="CR218" s="22"/>
      <c r="CS218" s="22"/>
      <c r="CT218" s="22"/>
      <c r="CU218" s="22"/>
      <c r="CV218" s="22"/>
      <c r="CW218" s="22"/>
      <c r="CX218" s="22"/>
      <c r="CY218" s="22"/>
      <c r="CZ218" s="22"/>
      <c r="DA218" s="22"/>
      <c r="DB218" s="22"/>
      <c r="DC218" s="22"/>
      <c r="DD218" s="22"/>
      <c r="DE218" s="22"/>
      <c r="DF218" s="22"/>
      <c r="DG218" s="22"/>
      <c r="DH218" s="22"/>
      <c r="DI218" s="22"/>
      <c r="DJ218" s="22"/>
      <c r="DK218" s="22"/>
      <c r="DL218" s="22"/>
      <c r="DM218" s="22"/>
      <c r="DN218" s="22"/>
      <c r="DO218" s="22"/>
      <c r="DP218" s="22"/>
      <c r="DQ218" s="22"/>
      <c r="DR218" s="22"/>
      <c r="DS218" s="22"/>
      <c r="DT218" s="22"/>
      <c r="DU218" s="22"/>
      <c r="DV218" s="22"/>
      <c r="DW218" s="22"/>
      <c r="DX218" s="22"/>
      <c r="DY218" s="22"/>
      <c r="DZ218" s="22"/>
      <c r="EA218" s="22"/>
      <c r="EB218" s="22"/>
      <c r="EC218" s="22"/>
      <c r="ED218" s="22"/>
      <c r="EE218" s="22"/>
      <c r="EF218" s="22"/>
      <c r="EG218" s="22"/>
      <c r="EH218" s="22"/>
      <c r="EI218" s="22"/>
      <c r="EJ218" s="22"/>
      <c r="EK218" s="22"/>
      <c r="EL218" s="22"/>
      <c r="EM218" s="22"/>
      <c r="EN218" s="22"/>
      <c r="EO218" s="22"/>
      <c r="EP218" s="22"/>
      <c r="EQ218" s="22"/>
      <c r="ER218" s="22"/>
      <c r="ES218" s="22"/>
      <c r="ET218" s="22"/>
      <c r="EU218" s="22"/>
      <c r="EV218" s="22"/>
      <c r="EW218" s="22"/>
      <c r="EX218" s="22"/>
      <c r="EY218" s="22"/>
      <c r="EZ218" s="22"/>
      <c r="FA218" s="22"/>
      <c r="FB218" s="22"/>
      <c r="FC218" s="22"/>
      <c r="FD218" s="22"/>
      <c r="FE218" s="22"/>
      <c r="FF218" s="22"/>
      <c r="FG218" s="22"/>
      <c r="FH218" s="22"/>
      <c r="FI218" s="22"/>
      <c r="FJ218" s="22"/>
      <c r="FK218" s="22"/>
      <c r="FL218" s="22"/>
      <c r="FM218" s="22"/>
      <c r="FN218" s="22"/>
      <c r="FO218" s="22"/>
      <c r="FP218" s="22"/>
      <c r="FQ218" s="22"/>
      <c r="FR218" s="22"/>
      <c r="FS218" s="22"/>
      <c r="FT218" s="22"/>
      <c r="FU218" s="22"/>
      <c r="FV218" s="22"/>
      <c r="FW218" s="22"/>
      <c r="FX218" s="22"/>
      <c r="FY218" s="22"/>
      <c r="FZ218" s="22"/>
    </row>
    <row r="219" spans="2:182" x14ac:dyDescent="0.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c r="Z219" s="22"/>
      <c r="AA219" s="22"/>
      <c r="AB219" s="22"/>
      <c r="AC219" s="22"/>
      <c r="AD219" s="22"/>
      <c r="AE219" s="22"/>
      <c r="AF219" s="22"/>
      <c r="AG219" s="22"/>
      <c r="AH219" s="22"/>
      <c r="AI219" s="22"/>
      <c r="AJ219" s="22"/>
      <c r="AK219" s="22"/>
      <c r="AL219" s="22"/>
      <c r="AM219" s="22"/>
      <c r="AN219" s="22"/>
      <c r="AO219" s="22"/>
      <c r="AP219" s="22"/>
      <c r="AQ219" s="22"/>
      <c r="AR219" s="22"/>
      <c r="AS219" s="22"/>
      <c r="AT219" s="22"/>
      <c r="AU219" s="22"/>
      <c r="AV219" s="22"/>
      <c r="AW219" s="22"/>
      <c r="AX219" s="22"/>
      <c r="AY219" s="22"/>
      <c r="AZ219" s="22"/>
      <c r="BA219" s="22"/>
      <c r="BB219" s="22"/>
      <c r="BC219" s="22"/>
      <c r="BD219" s="22"/>
      <c r="BE219" s="22"/>
      <c r="BF219" s="22"/>
      <c r="BG219" s="22"/>
      <c r="BH219" s="22"/>
      <c r="BI219" s="22"/>
      <c r="BJ219" s="22"/>
      <c r="BK219" s="22"/>
      <c r="BL219" s="22"/>
      <c r="BM219" s="22"/>
      <c r="BN219" s="22"/>
      <c r="BO219" s="22"/>
      <c r="BP219" s="22"/>
      <c r="BQ219" s="22"/>
      <c r="BR219" s="22"/>
      <c r="BS219" s="22"/>
      <c r="BT219" s="22"/>
      <c r="BU219" s="22"/>
      <c r="BV219" s="22"/>
      <c r="BW219" s="22"/>
      <c r="BX219" s="22"/>
      <c r="BY219" s="22"/>
      <c r="BZ219" s="22"/>
      <c r="CA219" s="22"/>
      <c r="CB219" s="22"/>
      <c r="CC219" s="22"/>
      <c r="CD219" s="22"/>
      <c r="CE219" s="22"/>
      <c r="CF219" s="22"/>
      <c r="CG219" s="22"/>
      <c r="CH219" s="22"/>
      <c r="CI219" s="22"/>
      <c r="CJ219" s="22"/>
      <c r="CK219" s="22"/>
      <c r="CL219" s="22"/>
      <c r="CM219" s="22"/>
      <c r="CN219" s="22"/>
      <c r="CO219" s="22"/>
      <c r="CP219" s="22"/>
      <c r="CQ219" s="22"/>
      <c r="CR219" s="22"/>
      <c r="CS219" s="22"/>
      <c r="CT219" s="22"/>
      <c r="CU219" s="22"/>
      <c r="CV219" s="22"/>
      <c r="CW219" s="22"/>
      <c r="CX219" s="22"/>
      <c r="CY219" s="22"/>
      <c r="CZ219" s="22"/>
      <c r="DA219" s="22"/>
      <c r="DB219" s="22"/>
      <c r="DC219" s="22"/>
      <c r="DD219" s="22"/>
      <c r="DE219" s="22"/>
      <c r="DF219" s="22"/>
      <c r="DG219" s="22"/>
      <c r="DH219" s="22"/>
      <c r="DI219" s="22"/>
      <c r="DJ219" s="22"/>
      <c r="DK219" s="22"/>
      <c r="DL219" s="22"/>
      <c r="DM219" s="22"/>
      <c r="DN219" s="22"/>
      <c r="DO219" s="22"/>
      <c r="DP219" s="22"/>
      <c r="DQ219" s="22"/>
      <c r="DR219" s="22"/>
      <c r="DS219" s="22"/>
      <c r="DT219" s="22"/>
      <c r="DU219" s="22"/>
      <c r="DV219" s="22"/>
      <c r="DW219" s="22"/>
      <c r="DX219" s="22"/>
      <c r="DY219" s="22"/>
      <c r="DZ219" s="22"/>
      <c r="EA219" s="22"/>
      <c r="EB219" s="22"/>
      <c r="EC219" s="22"/>
      <c r="ED219" s="22"/>
      <c r="EE219" s="22"/>
      <c r="EF219" s="22"/>
      <c r="EG219" s="22"/>
      <c r="EH219" s="22"/>
      <c r="EI219" s="22"/>
      <c r="EJ219" s="22"/>
      <c r="EK219" s="22"/>
      <c r="EL219" s="22"/>
      <c r="EM219" s="22"/>
      <c r="EN219" s="22"/>
      <c r="EO219" s="22"/>
      <c r="EP219" s="22"/>
      <c r="EQ219" s="22"/>
      <c r="ER219" s="22"/>
      <c r="ES219" s="22"/>
      <c r="ET219" s="22"/>
      <c r="EU219" s="22"/>
      <c r="EV219" s="22"/>
      <c r="EW219" s="22"/>
      <c r="EX219" s="22"/>
      <c r="EY219" s="22"/>
      <c r="EZ219" s="22"/>
      <c r="FA219" s="22"/>
      <c r="FB219" s="22"/>
      <c r="FC219" s="22"/>
      <c r="FD219" s="22"/>
      <c r="FE219" s="22"/>
      <c r="FF219" s="22"/>
      <c r="FG219" s="22"/>
      <c r="FH219" s="22"/>
      <c r="FI219" s="22"/>
      <c r="FJ219" s="22"/>
      <c r="FK219" s="22"/>
      <c r="FL219" s="22"/>
      <c r="FM219" s="22"/>
      <c r="FN219" s="22"/>
      <c r="FO219" s="22"/>
      <c r="FP219" s="22"/>
      <c r="FQ219" s="22"/>
      <c r="FR219" s="22"/>
      <c r="FS219" s="22"/>
      <c r="FT219" s="22"/>
      <c r="FU219" s="22"/>
      <c r="FV219" s="22"/>
      <c r="FW219" s="22"/>
      <c r="FX219" s="22"/>
      <c r="FY219" s="22"/>
      <c r="FZ219" s="22"/>
    </row>
    <row r="220" spans="2:182" x14ac:dyDescent="0.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c r="Z220" s="22"/>
      <c r="AA220" s="22"/>
      <c r="AB220" s="22"/>
      <c r="AC220" s="22"/>
      <c r="AD220" s="22"/>
      <c r="AE220" s="22"/>
      <c r="AF220" s="22"/>
      <c r="AG220" s="22"/>
      <c r="AH220" s="22"/>
      <c r="AI220" s="22"/>
      <c r="AJ220" s="22"/>
      <c r="AK220" s="22"/>
      <c r="AL220" s="22"/>
      <c r="AM220" s="22"/>
      <c r="AN220" s="22"/>
      <c r="AO220" s="22"/>
      <c r="AP220" s="22"/>
      <c r="AQ220" s="22"/>
      <c r="AR220" s="22"/>
      <c r="AS220" s="22"/>
      <c r="AT220" s="22"/>
      <c r="AU220" s="22"/>
      <c r="AV220" s="22"/>
      <c r="AW220" s="22"/>
      <c r="AX220" s="22"/>
      <c r="AY220" s="22"/>
      <c r="AZ220" s="22"/>
      <c r="BA220" s="22"/>
      <c r="BB220" s="22"/>
      <c r="BC220" s="22"/>
      <c r="BD220" s="22"/>
      <c r="BE220" s="22"/>
      <c r="BF220" s="22"/>
      <c r="BG220" s="22"/>
      <c r="BH220" s="22"/>
      <c r="BI220" s="22"/>
      <c r="BJ220" s="22"/>
      <c r="BK220" s="22"/>
      <c r="BL220" s="22"/>
      <c r="BM220" s="22"/>
      <c r="BN220" s="22"/>
      <c r="BO220" s="22"/>
      <c r="BP220" s="22"/>
      <c r="BQ220" s="22"/>
      <c r="BR220" s="22"/>
      <c r="BS220" s="22"/>
      <c r="BT220" s="22"/>
      <c r="BU220" s="22"/>
      <c r="BV220" s="22"/>
      <c r="BW220" s="22"/>
      <c r="BX220" s="22"/>
      <c r="BY220" s="22"/>
      <c r="BZ220" s="22"/>
      <c r="CA220" s="22"/>
      <c r="CB220" s="22"/>
      <c r="CC220" s="22"/>
      <c r="CD220" s="22"/>
      <c r="CE220" s="22"/>
      <c r="CF220" s="22"/>
      <c r="CG220" s="22"/>
      <c r="CH220" s="22"/>
      <c r="CI220" s="22"/>
      <c r="CJ220" s="22"/>
      <c r="CK220" s="22"/>
      <c r="CL220" s="22"/>
      <c r="CM220" s="22"/>
      <c r="CN220" s="22"/>
      <c r="CO220" s="22"/>
      <c r="CP220" s="22"/>
      <c r="CQ220" s="22"/>
      <c r="CR220" s="22"/>
      <c r="CS220" s="22"/>
      <c r="CT220" s="22"/>
      <c r="CU220" s="22"/>
      <c r="CV220" s="22"/>
      <c r="CW220" s="22"/>
      <c r="CX220" s="22"/>
      <c r="CY220" s="22"/>
      <c r="CZ220" s="22"/>
      <c r="DA220" s="22"/>
      <c r="DB220" s="22"/>
      <c r="DC220" s="22"/>
      <c r="DD220" s="22"/>
      <c r="DE220" s="22"/>
      <c r="DF220" s="22"/>
      <c r="DG220" s="22"/>
      <c r="DH220" s="22"/>
      <c r="DI220" s="22"/>
      <c r="DJ220" s="22"/>
      <c r="DK220" s="22"/>
      <c r="DL220" s="22"/>
      <c r="DM220" s="22"/>
      <c r="DN220" s="22"/>
      <c r="DO220" s="22"/>
      <c r="DP220" s="22"/>
      <c r="DQ220" s="22"/>
      <c r="DR220" s="22"/>
      <c r="DS220" s="22"/>
      <c r="DT220" s="22"/>
      <c r="DU220" s="22"/>
      <c r="DV220" s="22"/>
      <c r="DW220" s="22"/>
      <c r="DX220" s="22"/>
      <c r="DY220" s="22"/>
      <c r="DZ220" s="22"/>
      <c r="EA220" s="22"/>
      <c r="EB220" s="22"/>
      <c r="EC220" s="22"/>
      <c r="ED220" s="22"/>
      <c r="EE220" s="22"/>
      <c r="EF220" s="22"/>
      <c r="EG220" s="22"/>
      <c r="EH220" s="22"/>
      <c r="EI220" s="22"/>
      <c r="EJ220" s="22"/>
      <c r="EK220" s="22"/>
      <c r="EL220" s="22"/>
      <c r="EM220" s="22"/>
      <c r="EN220" s="22"/>
      <c r="EO220" s="22"/>
      <c r="EP220" s="22"/>
      <c r="EQ220" s="22"/>
      <c r="ER220" s="22"/>
      <c r="ES220" s="22"/>
      <c r="ET220" s="22"/>
      <c r="EU220" s="22"/>
      <c r="EV220" s="22"/>
      <c r="EW220" s="22"/>
      <c r="EX220" s="22"/>
      <c r="EY220" s="22"/>
      <c r="EZ220" s="22"/>
      <c r="FA220" s="22"/>
      <c r="FB220" s="22"/>
      <c r="FC220" s="22"/>
      <c r="FD220" s="22"/>
      <c r="FE220" s="22"/>
      <c r="FF220" s="22"/>
      <c r="FG220" s="22"/>
      <c r="FH220" s="22"/>
      <c r="FI220" s="22"/>
      <c r="FJ220" s="22"/>
      <c r="FK220" s="22"/>
      <c r="FL220" s="22"/>
      <c r="FM220" s="22"/>
      <c r="FN220" s="22"/>
      <c r="FO220" s="22"/>
      <c r="FP220" s="22"/>
      <c r="FQ220" s="22"/>
      <c r="FR220" s="22"/>
      <c r="FS220" s="22"/>
      <c r="FT220" s="22"/>
      <c r="FU220" s="22"/>
      <c r="FV220" s="22"/>
      <c r="FW220" s="22"/>
      <c r="FX220" s="22"/>
      <c r="FY220" s="22"/>
      <c r="FZ220" s="22"/>
    </row>
    <row r="221" spans="2:182" x14ac:dyDescent="0.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c r="Z221" s="22"/>
      <c r="AA221" s="22"/>
      <c r="AB221" s="22"/>
      <c r="AC221" s="22"/>
      <c r="AD221" s="22"/>
      <c r="AE221" s="22"/>
      <c r="AF221" s="22"/>
      <c r="AG221" s="22"/>
      <c r="AH221" s="22"/>
      <c r="AI221" s="22"/>
      <c r="AJ221" s="22"/>
      <c r="AK221" s="22"/>
      <c r="AL221" s="22"/>
      <c r="AM221" s="22"/>
      <c r="AN221" s="22"/>
      <c r="AO221" s="22"/>
      <c r="AP221" s="22"/>
      <c r="AQ221" s="22"/>
      <c r="AR221" s="22"/>
      <c r="AS221" s="22"/>
      <c r="AT221" s="22"/>
      <c r="AU221" s="22"/>
      <c r="AV221" s="22"/>
      <c r="AW221" s="22"/>
      <c r="AX221" s="22"/>
      <c r="AY221" s="22"/>
      <c r="AZ221" s="22"/>
      <c r="BA221" s="22"/>
      <c r="BB221" s="22"/>
      <c r="BC221" s="22"/>
      <c r="BD221" s="22"/>
      <c r="BE221" s="22"/>
      <c r="BF221" s="22"/>
      <c r="BG221" s="22"/>
      <c r="BH221" s="22"/>
      <c r="BI221" s="22"/>
      <c r="BJ221" s="22"/>
      <c r="BK221" s="22"/>
      <c r="BL221" s="22"/>
      <c r="BM221" s="22"/>
      <c r="BN221" s="22"/>
      <c r="BO221" s="22"/>
      <c r="BP221" s="22"/>
      <c r="BQ221" s="22"/>
      <c r="BR221" s="22"/>
      <c r="BS221" s="22"/>
      <c r="BT221" s="22"/>
      <c r="BU221" s="22"/>
      <c r="BV221" s="22"/>
      <c r="BW221" s="22"/>
      <c r="BX221" s="22"/>
      <c r="BY221" s="22"/>
      <c r="BZ221" s="22"/>
      <c r="CA221" s="22"/>
      <c r="CB221" s="22"/>
      <c r="CC221" s="22"/>
      <c r="CD221" s="22"/>
      <c r="CE221" s="22"/>
      <c r="CF221" s="22"/>
      <c r="CG221" s="22"/>
      <c r="CH221" s="22"/>
      <c r="CI221" s="22"/>
      <c r="CJ221" s="22"/>
      <c r="CK221" s="22"/>
      <c r="CL221" s="22"/>
      <c r="CM221" s="22"/>
      <c r="CN221" s="22"/>
      <c r="CO221" s="22"/>
      <c r="CP221" s="22"/>
      <c r="CQ221" s="22"/>
      <c r="CR221" s="22"/>
      <c r="CS221" s="22"/>
      <c r="CT221" s="22"/>
      <c r="CU221" s="22"/>
      <c r="CV221" s="22"/>
      <c r="CW221" s="22"/>
      <c r="CX221" s="22"/>
      <c r="CY221" s="22"/>
      <c r="CZ221" s="22"/>
      <c r="DA221" s="22"/>
      <c r="DB221" s="22"/>
      <c r="DC221" s="22"/>
      <c r="DD221" s="22"/>
      <c r="DE221" s="22"/>
      <c r="DF221" s="22"/>
      <c r="DG221" s="22"/>
      <c r="DH221" s="22"/>
      <c r="DI221" s="22"/>
      <c r="DJ221" s="22"/>
      <c r="DK221" s="22"/>
      <c r="DL221" s="22"/>
      <c r="DM221" s="22"/>
      <c r="DN221" s="22"/>
      <c r="DO221" s="22"/>
      <c r="DP221" s="22"/>
      <c r="DQ221" s="22"/>
      <c r="DR221" s="22"/>
      <c r="DS221" s="22"/>
      <c r="DT221" s="22"/>
      <c r="DU221" s="22"/>
      <c r="DV221" s="22"/>
      <c r="DW221" s="22"/>
      <c r="DX221" s="22"/>
      <c r="DY221" s="22"/>
      <c r="DZ221" s="22"/>
      <c r="EA221" s="22"/>
      <c r="EB221" s="22"/>
      <c r="EC221" s="22"/>
      <c r="ED221" s="22"/>
      <c r="EE221" s="22"/>
      <c r="EF221" s="22"/>
      <c r="EG221" s="22"/>
      <c r="EH221" s="22"/>
      <c r="EI221" s="22"/>
      <c r="EJ221" s="22"/>
      <c r="EK221" s="22"/>
      <c r="EL221" s="22"/>
      <c r="EM221" s="22"/>
      <c r="EN221" s="22"/>
      <c r="EO221" s="22"/>
      <c r="EP221" s="22"/>
      <c r="EQ221" s="22"/>
      <c r="ER221" s="22"/>
      <c r="ES221" s="22"/>
      <c r="ET221" s="22"/>
      <c r="EU221" s="22"/>
      <c r="EV221" s="22"/>
      <c r="EW221" s="22"/>
      <c r="EX221" s="22"/>
      <c r="EY221" s="22"/>
      <c r="EZ221" s="22"/>
      <c r="FA221" s="22"/>
      <c r="FB221" s="22"/>
      <c r="FC221" s="22"/>
      <c r="FD221" s="22"/>
      <c r="FE221" s="22"/>
      <c r="FF221" s="22"/>
      <c r="FG221" s="22"/>
      <c r="FH221" s="22"/>
      <c r="FI221" s="22"/>
      <c r="FJ221" s="22"/>
      <c r="FK221" s="22"/>
      <c r="FL221" s="22"/>
      <c r="FM221" s="22"/>
      <c r="FN221" s="22"/>
      <c r="FO221" s="22"/>
      <c r="FP221" s="22"/>
      <c r="FQ221" s="22"/>
      <c r="FR221" s="22"/>
      <c r="FS221" s="22"/>
      <c r="FT221" s="22"/>
      <c r="FU221" s="22"/>
      <c r="FV221" s="22"/>
      <c r="FW221" s="22"/>
      <c r="FX221" s="22"/>
      <c r="FY221" s="22"/>
      <c r="FZ221" s="22"/>
    </row>
    <row r="222" spans="2:182" x14ac:dyDescent="0.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c r="Z222" s="22"/>
      <c r="AA222" s="22"/>
      <c r="AB222" s="22"/>
      <c r="AC222" s="22"/>
      <c r="AD222" s="22"/>
      <c r="AE222" s="22"/>
      <c r="AF222" s="22"/>
      <c r="AG222" s="22"/>
      <c r="AH222" s="22"/>
      <c r="AI222" s="22"/>
      <c r="AJ222" s="22"/>
      <c r="AK222" s="22"/>
      <c r="AL222" s="22"/>
      <c r="AM222" s="22"/>
      <c r="AN222" s="22"/>
      <c r="AO222" s="22"/>
      <c r="AP222" s="22"/>
      <c r="AQ222" s="22"/>
      <c r="AR222" s="22"/>
      <c r="AS222" s="22"/>
      <c r="AT222" s="22"/>
      <c r="AU222" s="22"/>
      <c r="AV222" s="22"/>
      <c r="AW222" s="22"/>
      <c r="AX222" s="22"/>
      <c r="AY222" s="22"/>
      <c r="AZ222" s="22"/>
      <c r="BA222" s="22"/>
      <c r="BB222" s="22"/>
      <c r="BC222" s="22"/>
      <c r="BD222" s="22"/>
      <c r="BE222" s="22"/>
      <c r="BF222" s="22"/>
      <c r="BG222" s="22"/>
      <c r="BH222" s="22"/>
      <c r="BI222" s="22"/>
      <c r="BJ222" s="22"/>
      <c r="BK222" s="22"/>
      <c r="BL222" s="22"/>
      <c r="BM222" s="22"/>
      <c r="BN222" s="22"/>
      <c r="BO222" s="22"/>
      <c r="BP222" s="22"/>
      <c r="BQ222" s="22"/>
      <c r="BR222" s="22"/>
      <c r="BS222" s="22"/>
      <c r="BT222" s="22"/>
      <c r="BU222" s="22"/>
      <c r="BV222" s="22"/>
      <c r="BW222" s="22"/>
      <c r="BX222" s="22"/>
      <c r="BY222" s="22"/>
      <c r="BZ222" s="22"/>
      <c r="CA222" s="22"/>
      <c r="CB222" s="22"/>
      <c r="CC222" s="22"/>
      <c r="CD222" s="22"/>
      <c r="CE222" s="22"/>
      <c r="CF222" s="22"/>
      <c r="CG222" s="22"/>
      <c r="CH222" s="22"/>
      <c r="CI222" s="22"/>
      <c r="CJ222" s="22"/>
      <c r="CK222" s="22"/>
      <c r="CL222" s="22"/>
      <c r="CM222" s="22"/>
      <c r="CN222" s="22"/>
      <c r="CO222" s="22"/>
      <c r="CP222" s="22"/>
      <c r="CQ222" s="22"/>
      <c r="CR222" s="22"/>
      <c r="CS222" s="22"/>
      <c r="CT222" s="22"/>
      <c r="CU222" s="22"/>
      <c r="CV222" s="22"/>
      <c r="CW222" s="22"/>
      <c r="CX222" s="22"/>
      <c r="CY222" s="22"/>
      <c r="CZ222" s="22"/>
      <c r="DA222" s="22"/>
      <c r="DB222" s="22"/>
      <c r="DC222" s="22"/>
      <c r="DD222" s="22"/>
      <c r="DE222" s="22"/>
      <c r="DF222" s="22"/>
      <c r="DG222" s="22"/>
      <c r="DH222" s="22"/>
      <c r="DI222" s="22"/>
      <c r="DJ222" s="22"/>
      <c r="DK222" s="22"/>
      <c r="DL222" s="22"/>
      <c r="DM222" s="22"/>
      <c r="DN222" s="22"/>
      <c r="DO222" s="22"/>
      <c r="DP222" s="22"/>
      <c r="DQ222" s="22"/>
      <c r="DR222" s="22"/>
      <c r="DS222" s="22"/>
      <c r="DT222" s="22"/>
      <c r="DU222" s="22"/>
      <c r="DV222" s="22"/>
      <c r="DW222" s="22"/>
      <c r="DX222" s="22"/>
      <c r="DY222" s="22"/>
      <c r="DZ222" s="22"/>
      <c r="EA222" s="22"/>
      <c r="EB222" s="22"/>
      <c r="EC222" s="22"/>
      <c r="ED222" s="22"/>
      <c r="EE222" s="22"/>
      <c r="EF222" s="22"/>
      <c r="EG222" s="22"/>
      <c r="EH222" s="22"/>
      <c r="EI222" s="22"/>
      <c r="EJ222" s="22"/>
      <c r="EK222" s="22"/>
      <c r="EL222" s="22"/>
      <c r="EM222" s="22"/>
      <c r="EN222" s="22"/>
      <c r="EO222" s="22"/>
      <c r="EP222" s="22"/>
      <c r="EQ222" s="22"/>
      <c r="ER222" s="22"/>
      <c r="ES222" s="22"/>
      <c r="ET222" s="22"/>
      <c r="EU222" s="22"/>
      <c r="EV222" s="22"/>
      <c r="EW222" s="22"/>
      <c r="EX222" s="22"/>
      <c r="EY222" s="22"/>
      <c r="EZ222" s="22"/>
      <c r="FA222" s="22"/>
      <c r="FB222" s="22"/>
      <c r="FC222" s="22"/>
      <c r="FD222" s="22"/>
      <c r="FE222" s="22"/>
      <c r="FF222" s="22"/>
      <c r="FG222" s="22"/>
      <c r="FH222" s="22"/>
      <c r="FI222" s="22"/>
      <c r="FJ222" s="22"/>
      <c r="FK222" s="22"/>
      <c r="FL222" s="22"/>
      <c r="FM222" s="22"/>
      <c r="FN222" s="22"/>
      <c r="FO222" s="22"/>
      <c r="FP222" s="22"/>
      <c r="FQ222" s="22"/>
      <c r="FR222" s="22"/>
      <c r="FS222" s="22"/>
      <c r="FT222" s="22"/>
      <c r="FU222" s="22"/>
      <c r="FV222" s="22"/>
      <c r="FW222" s="22"/>
      <c r="FX222" s="22"/>
      <c r="FY222" s="22"/>
      <c r="FZ222" s="22"/>
    </row>
    <row r="223" spans="2:182" x14ac:dyDescent="0.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c r="Z223" s="22"/>
      <c r="AA223" s="22"/>
      <c r="AB223" s="22"/>
      <c r="AC223" s="22"/>
      <c r="AD223" s="22"/>
      <c r="AE223" s="22"/>
      <c r="AF223" s="22"/>
      <c r="AG223" s="22"/>
      <c r="AH223" s="22"/>
      <c r="AI223" s="22"/>
      <c r="AJ223" s="22"/>
      <c r="AK223" s="22"/>
      <c r="AL223" s="22"/>
      <c r="AM223" s="22"/>
      <c r="AN223" s="22"/>
      <c r="AO223" s="22"/>
      <c r="AP223" s="22"/>
      <c r="AQ223" s="22"/>
      <c r="AR223" s="22"/>
      <c r="AS223" s="22"/>
      <c r="AT223" s="22"/>
      <c r="AU223" s="22"/>
      <c r="AV223" s="22"/>
      <c r="AW223" s="22"/>
      <c r="AX223" s="22"/>
      <c r="AY223" s="22"/>
      <c r="AZ223" s="22"/>
      <c r="BA223" s="22"/>
      <c r="BB223" s="22"/>
      <c r="BC223" s="22"/>
      <c r="BD223" s="22"/>
      <c r="BE223" s="22"/>
      <c r="BF223" s="22"/>
      <c r="BG223" s="22"/>
      <c r="BH223" s="22"/>
      <c r="BI223" s="22"/>
      <c r="BJ223" s="22"/>
      <c r="BK223" s="22"/>
      <c r="BL223" s="22"/>
      <c r="BM223" s="22"/>
      <c r="BN223" s="22"/>
      <c r="BO223" s="22"/>
      <c r="BP223" s="22"/>
      <c r="BQ223" s="22"/>
      <c r="BR223" s="22"/>
      <c r="BS223" s="22"/>
      <c r="BT223" s="22"/>
      <c r="BU223" s="22"/>
      <c r="BV223" s="22"/>
      <c r="BW223" s="22"/>
      <c r="BX223" s="22"/>
      <c r="BY223" s="22"/>
      <c r="BZ223" s="22"/>
      <c r="CA223" s="22"/>
      <c r="CB223" s="22"/>
      <c r="CC223" s="22"/>
      <c r="CD223" s="22"/>
      <c r="CE223" s="22"/>
      <c r="CF223" s="22"/>
      <c r="CG223" s="22"/>
      <c r="CH223" s="22"/>
      <c r="CI223" s="22"/>
      <c r="CJ223" s="22"/>
      <c r="CK223" s="22"/>
      <c r="CL223" s="22"/>
      <c r="CM223" s="22"/>
      <c r="CN223" s="22"/>
      <c r="CO223" s="22"/>
      <c r="CP223" s="22"/>
      <c r="CQ223" s="22"/>
      <c r="CR223" s="22"/>
      <c r="CS223" s="22"/>
      <c r="CT223" s="22"/>
      <c r="CU223" s="22"/>
      <c r="CV223" s="22"/>
      <c r="CW223" s="22"/>
      <c r="CX223" s="22"/>
      <c r="CY223" s="22"/>
      <c r="CZ223" s="22"/>
      <c r="DA223" s="22"/>
      <c r="DB223" s="22"/>
      <c r="DC223" s="22"/>
      <c r="DD223" s="22"/>
      <c r="DE223" s="22"/>
      <c r="DF223" s="22"/>
      <c r="DG223" s="22"/>
      <c r="DH223" s="22"/>
      <c r="DI223" s="22"/>
      <c r="DJ223" s="22"/>
      <c r="DK223" s="22"/>
      <c r="DL223" s="22"/>
      <c r="DM223" s="22"/>
      <c r="DN223" s="22"/>
      <c r="DO223" s="22"/>
      <c r="DP223" s="22"/>
      <c r="DQ223" s="22"/>
      <c r="DR223" s="22"/>
      <c r="DS223" s="22"/>
      <c r="DT223" s="22"/>
      <c r="DU223" s="22"/>
      <c r="DV223" s="22"/>
      <c r="DW223" s="22"/>
      <c r="DX223" s="22"/>
      <c r="DY223" s="22"/>
      <c r="DZ223" s="22"/>
      <c r="EA223" s="22"/>
      <c r="EB223" s="22"/>
      <c r="EC223" s="22"/>
      <c r="ED223" s="22"/>
      <c r="EE223" s="22"/>
      <c r="EF223" s="22"/>
      <c r="EG223" s="22"/>
      <c r="EH223" s="22"/>
      <c r="EI223" s="22"/>
      <c r="EJ223" s="22"/>
      <c r="EK223" s="22"/>
      <c r="EL223" s="22"/>
      <c r="EM223" s="22"/>
      <c r="EN223" s="22"/>
      <c r="EO223" s="22"/>
      <c r="EP223" s="22"/>
      <c r="EQ223" s="22"/>
      <c r="ER223" s="22"/>
      <c r="ES223" s="22"/>
      <c r="ET223" s="22"/>
      <c r="EU223" s="22"/>
      <c r="EV223" s="22"/>
      <c r="EW223" s="22"/>
      <c r="EX223" s="22"/>
      <c r="EY223" s="22"/>
      <c r="EZ223" s="22"/>
      <c r="FA223" s="22"/>
      <c r="FB223" s="22"/>
      <c r="FC223" s="22"/>
      <c r="FD223" s="22"/>
      <c r="FE223" s="22"/>
      <c r="FF223" s="22"/>
      <c r="FG223" s="22"/>
      <c r="FH223" s="22"/>
      <c r="FI223" s="22"/>
      <c r="FJ223" s="22"/>
      <c r="FK223" s="22"/>
      <c r="FL223" s="22"/>
      <c r="FM223" s="22"/>
      <c r="FN223" s="22"/>
      <c r="FO223" s="22"/>
      <c r="FP223" s="22"/>
      <c r="FQ223" s="22"/>
      <c r="FR223" s="22"/>
      <c r="FS223" s="22"/>
      <c r="FT223" s="22"/>
      <c r="FU223" s="22"/>
      <c r="FV223" s="22"/>
      <c r="FW223" s="22"/>
      <c r="FX223" s="22"/>
      <c r="FY223" s="22"/>
      <c r="FZ223" s="22"/>
    </row>
    <row r="224" spans="2:182" x14ac:dyDescent="0.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c r="Z224" s="22"/>
      <c r="AA224" s="22"/>
      <c r="AB224" s="22"/>
      <c r="AC224" s="22"/>
      <c r="AD224" s="22"/>
      <c r="AE224" s="22"/>
      <c r="AF224" s="22"/>
      <c r="AG224" s="22"/>
      <c r="AH224" s="22"/>
      <c r="AI224" s="22"/>
      <c r="AJ224" s="22"/>
      <c r="AK224" s="22"/>
      <c r="AL224" s="22"/>
      <c r="AM224" s="22"/>
      <c r="AN224" s="22"/>
      <c r="AO224" s="22"/>
      <c r="AP224" s="22"/>
      <c r="AQ224" s="22"/>
      <c r="AR224" s="22"/>
      <c r="AS224" s="22"/>
      <c r="AT224" s="22"/>
      <c r="AU224" s="22"/>
      <c r="AV224" s="22"/>
      <c r="AW224" s="22"/>
      <c r="AX224" s="22"/>
      <c r="AY224" s="22"/>
      <c r="AZ224" s="22"/>
      <c r="BA224" s="22"/>
      <c r="BB224" s="22"/>
      <c r="BC224" s="22"/>
      <c r="BD224" s="22"/>
      <c r="BE224" s="22"/>
      <c r="BF224" s="22"/>
      <c r="BG224" s="22"/>
      <c r="BH224" s="22"/>
      <c r="BI224" s="22"/>
      <c r="BJ224" s="22"/>
      <c r="BK224" s="22"/>
      <c r="BL224" s="22"/>
      <c r="BM224" s="22"/>
      <c r="BN224" s="22"/>
      <c r="BO224" s="22"/>
      <c r="BP224" s="22"/>
      <c r="BQ224" s="22"/>
      <c r="BR224" s="22"/>
      <c r="BS224" s="22"/>
      <c r="BT224" s="22"/>
      <c r="BU224" s="22"/>
      <c r="BV224" s="22"/>
      <c r="BW224" s="22"/>
      <c r="BX224" s="22"/>
      <c r="BY224" s="22"/>
      <c r="BZ224" s="22"/>
      <c r="CA224" s="22"/>
      <c r="CB224" s="22"/>
      <c r="CC224" s="22"/>
      <c r="CD224" s="22"/>
      <c r="CE224" s="22"/>
      <c r="CF224" s="22"/>
      <c r="CG224" s="22"/>
      <c r="CH224" s="22"/>
      <c r="CI224" s="22"/>
      <c r="CJ224" s="22"/>
      <c r="CK224" s="22"/>
      <c r="CL224" s="22"/>
      <c r="CM224" s="22"/>
      <c r="CN224" s="22"/>
      <c r="CO224" s="22"/>
      <c r="CP224" s="22"/>
      <c r="CQ224" s="22"/>
      <c r="CR224" s="22"/>
      <c r="CS224" s="22"/>
      <c r="CT224" s="22"/>
      <c r="CU224" s="22"/>
      <c r="CV224" s="22"/>
      <c r="CW224" s="22"/>
      <c r="CX224" s="22"/>
      <c r="CY224" s="22"/>
      <c r="CZ224" s="22"/>
      <c r="DA224" s="22"/>
      <c r="DB224" s="22"/>
      <c r="DC224" s="22"/>
      <c r="DD224" s="22"/>
      <c r="DE224" s="22"/>
      <c r="DF224" s="22"/>
      <c r="DG224" s="22"/>
      <c r="DH224" s="22"/>
      <c r="DI224" s="22"/>
      <c r="DJ224" s="22"/>
      <c r="DK224" s="22"/>
      <c r="DL224" s="22"/>
      <c r="DM224" s="22"/>
      <c r="DN224" s="22"/>
      <c r="DO224" s="22"/>
      <c r="DP224" s="22"/>
      <c r="DQ224" s="22"/>
      <c r="DR224" s="22"/>
      <c r="DS224" s="22"/>
      <c r="DT224" s="22"/>
      <c r="DU224" s="22"/>
      <c r="DV224" s="22"/>
      <c r="DW224" s="22"/>
      <c r="DX224" s="22"/>
      <c r="DY224" s="22"/>
      <c r="DZ224" s="22"/>
      <c r="EA224" s="22"/>
      <c r="EB224" s="22"/>
      <c r="EC224" s="22"/>
      <c r="ED224" s="22"/>
      <c r="EE224" s="22"/>
      <c r="EF224" s="22"/>
      <c r="EG224" s="22"/>
      <c r="EH224" s="22"/>
      <c r="EI224" s="22"/>
      <c r="EJ224" s="22"/>
      <c r="EK224" s="22"/>
      <c r="EL224" s="22"/>
      <c r="EM224" s="22"/>
      <c r="EN224" s="22"/>
      <c r="EO224" s="22"/>
      <c r="EP224" s="22"/>
      <c r="EQ224" s="22"/>
      <c r="ER224" s="22"/>
      <c r="ES224" s="22"/>
      <c r="ET224" s="22"/>
      <c r="EU224" s="22"/>
      <c r="EV224" s="22"/>
      <c r="EW224" s="22"/>
      <c r="EX224" s="22"/>
      <c r="EY224" s="22"/>
      <c r="EZ224" s="22"/>
      <c r="FA224" s="22"/>
      <c r="FB224" s="22"/>
      <c r="FC224" s="22"/>
      <c r="FD224" s="22"/>
      <c r="FE224" s="22"/>
      <c r="FF224" s="22"/>
      <c r="FG224" s="22"/>
      <c r="FH224" s="22"/>
      <c r="FI224" s="22"/>
      <c r="FJ224" s="22"/>
      <c r="FK224" s="22"/>
      <c r="FL224" s="22"/>
      <c r="FM224" s="22"/>
      <c r="FN224" s="22"/>
      <c r="FO224" s="22"/>
      <c r="FP224" s="22"/>
      <c r="FQ224" s="22"/>
      <c r="FR224" s="22"/>
      <c r="FS224" s="22"/>
      <c r="FT224" s="22"/>
      <c r="FU224" s="22"/>
      <c r="FV224" s="22"/>
      <c r="FW224" s="22"/>
      <c r="FX224" s="22"/>
      <c r="FY224" s="22"/>
      <c r="FZ224" s="22"/>
    </row>
    <row r="225" spans="2:182" x14ac:dyDescent="0.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c r="Z225" s="22"/>
      <c r="AA225" s="22"/>
      <c r="AB225" s="22"/>
      <c r="AC225" s="22"/>
      <c r="AD225" s="22"/>
      <c r="AE225" s="22"/>
      <c r="AF225" s="22"/>
      <c r="AG225" s="22"/>
      <c r="AH225" s="22"/>
      <c r="AI225" s="22"/>
      <c r="AJ225" s="22"/>
      <c r="AK225" s="22"/>
      <c r="AL225" s="22"/>
      <c r="AM225" s="22"/>
      <c r="AN225" s="22"/>
      <c r="AO225" s="22"/>
      <c r="AP225" s="22"/>
      <c r="AQ225" s="22"/>
      <c r="AR225" s="22"/>
      <c r="AS225" s="22"/>
      <c r="AT225" s="22"/>
      <c r="AU225" s="22"/>
      <c r="AV225" s="22"/>
      <c r="AW225" s="22"/>
      <c r="AX225" s="22"/>
      <c r="AY225" s="22"/>
      <c r="AZ225" s="22"/>
      <c r="BA225" s="22"/>
      <c r="BB225" s="22"/>
      <c r="BC225" s="22"/>
      <c r="BD225" s="22"/>
      <c r="BE225" s="22"/>
      <c r="BF225" s="22"/>
      <c r="BG225" s="22"/>
      <c r="BH225" s="22"/>
      <c r="BI225" s="22"/>
      <c r="BJ225" s="22"/>
      <c r="BK225" s="22"/>
      <c r="BL225" s="22"/>
      <c r="BM225" s="22"/>
      <c r="BN225" s="22"/>
      <c r="BO225" s="22"/>
      <c r="BP225" s="22"/>
      <c r="BQ225" s="22"/>
      <c r="BR225" s="22"/>
      <c r="BS225" s="22"/>
      <c r="BT225" s="22"/>
      <c r="BU225" s="22"/>
      <c r="BV225" s="22"/>
      <c r="BW225" s="22"/>
      <c r="BX225" s="22"/>
      <c r="BY225" s="22"/>
      <c r="BZ225" s="22"/>
      <c r="CA225" s="22"/>
      <c r="CB225" s="22"/>
      <c r="CC225" s="22"/>
      <c r="CD225" s="22"/>
      <c r="CE225" s="22"/>
      <c r="CF225" s="22"/>
      <c r="CG225" s="22"/>
      <c r="CH225" s="22"/>
      <c r="CI225" s="22"/>
      <c r="CJ225" s="22"/>
      <c r="CK225" s="22"/>
      <c r="CL225" s="22"/>
      <c r="CM225" s="22"/>
      <c r="CN225" s="22"/>
      <c r="CO225" s="22"/>
      <c r="CP225" s="22"/>
      <c r="CQ225" s="22"/>
      <c r="CR225" s="22"/>
      <c r="CS225" s="22"/>
      <c r="CT225" s="22"/>
      <c r="CU225" s="22"/>
      <c r="CV225" s="22"/>
      <c r="CW225" s="22"/>
      <c r="CX225" s="22"/>
      <c r="CY225" s="22"/>
      <c r="CZ225" s="22"/>
      <c r="DA225" s="22"/>
      <c r="DB225" s="22"/>
      <c r="DC225" s="22"/>
      <c r="DD225" s="22"/>
      <c r="DE225" s="22"/>
      <c r="DF225" s="22"/>
      <c r="DG225" s="22"/>
      <c r="DH225" s="22"/>
      <c r="DI225" s="22"/>
      <c r="DJ225" s="22"/>
      <c r="DK225" s="22"/>
      <c r="DL225" s="22"/>
      <c r="DM225" s="22"/>
      <c r="DN225" s="22"/>
      <c r="DO225" s="22"/>
      <c r="DP225" s="22"/>
      <c r="DQ225" s="22"/>
      <c r="DR225" s="22"/>
      <c r="DS225" s="22"/>
      <c r="DT225" s="22"/>
      <c r="DU225" s="22"/>
      <c r="DV225" s="22"/>
      <c r="DW225" s="22"/>
      <c r="DX225" s="22"/>
      <c r="DY225" s="22"/>
      <c r="DZ225" s="22"/>
      <c r="EA225" s="22"/>
      <c r="EB225" s="22"/>
      <c r="EC225" s="22"/>
      <c r="ED225" s="22"/>
      <c r="EE225" s="22"/>
      <c r="EF225" s="22"/>
      <c r="EG225" s="22"/>
      <c r="EH225" s="22"/>
      <c r="EI225" s="22"/>
      <c r="EJ225" s="22"/>
      <c r="EK225" s="22"/>
      <c r="EL225" s="22"/>
      <c r="EM225" s="22"/>
      <c r="EN225" s="22"/>
      <c r="EO225" s="22"/>
      <c r="EP225" s="22"/>
      <c r="EQ225" s="22"/>
      <c r="ER225" s="22"/>
      <c r="ES225" s="22"/>
      <c r="ET225" s="22"/>
      <c r="EU225" s="22"/>
      <c r="EV225" s="22"/>
      <c r="EW225" s="22"/>
      <c r="EX225" s="22"/>
      <c r="EY225" s="22"/>
      <c r="EZ225" s="22"/>
      <c r="FA225" s="22"/>
      <c r="FB225" s="22"/>
      <c r="FC225" s="22"/>
      <c r="FD225" s="22"/>
      <c r="FE225" s="22"/>
      <c r="FF225" s="22"/>
      <c r="FG225" s="22"/>
      <c r="FH225" s="22"/>
      <c r="FI225" s="22"/>
      <c r="FJ225" s="22"/>
      <c r="FK225" s="22"/>
      <c r="FL225" s="22"/>
      <c r="FM225" s="22"/>
      <c r="FN225" s="22"/>
      <c r="FO225" s="22"/>
      <c r="FP225" s="22"/>
      <c r="FQ225" s="22"/>
      <c r="FR225" s="22"/>
      <c r="FS225" s="22"/>
      <c r="FT225" s="22"/>
      <c r="FU225" s="22"/>
      <c r="FV225" s="22"/>
      <c r="FW225" s="22"/>
      <c r="FX225" s="22"/>
      <c r="FY225" s="22"/>
      <c r="FZ225" s="22"/>
    </row>
    <row r="226" spans="2:182" x14ac:dyDescent="0.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c r="Z226" s="22"/>
      <c r="AA226" s="22"/>
      <c r="AB226" s="22"/>
      <c r="AC226" s="22"/>
      <c r="AD226" s="22"/>
      <c r="AE226" s="22"/>
      <c r="AF226" s="22"/>
      <c r="AG226" s="22"/>
      <c r="AH226" s="22"/>
      <c r="AI226" s="22"/>
      <c r="AJ226" s="22"/>
      <c r="AK226" s="22"/>
      <c r="AL226" s="22"/>
      <c r="AM226" s="22"/>
      <c r="AN226" s="22"/>
      <c r="AO226" s="22"/>
      <c r="AP226" s="22"/>
      <c r="AQ226" s="22"/>
      <c r="AR226" s="22"/>
      <c r="AS226" s="22"/>
      <c r="AT226" s="22"/>
      <c r="AU226" s="22"/>
      <c r="AV226" s="22"/>
      <c r="AW226" s="22"/>
      <c r="AX226" s="22"/>
      <c r="AY226" s="22"/>
      <c r="AZ226" s="22"/>
      <c r="BA226" s="22"/>
      <c r="BB226" s="22"/>
      <c r="BC226" s="22"/>
      <c r="BD226" s="22"/>
      <c r="BE226" s="22"/>
      <c r="BF226" s="22"/>
      <c r="BG226" s="22"/>
      <c r="BH226" s="22"/>
      <c r="BI226" s="22"/>
      <c r="BJ226" s="22"/>
      <c r="BK226" s="22"/>
      <c r="BL226" s="22"/>
      <c r="BM226" s="22"/>
      <c r="BN226" s="22"/>
      <c r="BO226" s="22"/>
      <c r="BP226" s="22"/>
      <c r="BQ226" s="22"/>
      <c r="BR226" s="22"/>
      <c r="BS226" s="22"/>
      <c r="BT226" s="22"/>
      <c r="BU226" s="22"/>
      <c r="BV226" s="22"/>
      <c r="BW226" s="22"/>
      <c r="BX226" s="22"/>
      <c r="BY226" s="22"/>
      <c r="BZ226" s="22"/>
      <c r="CA226" s="22"/>
      <c r="CB226" s="22"/>
      <c r="CC226" s="22"/>
      <c r="CD226" s="22"/>
      <c r="CE226" s="22"/>
      <c r="CF226" s="22"/>
      <c r="CG226" s="22"/>
      <c r="CH226" s="22"/>
      <c r="CI226" s="22"/>
      <c r="CJ226" s="22"/>
      <c r="CK226" s="22"/>
      <c r="CL226" s="22"/>
      <c r="CM226" s="22"/>
      <c r="CN226" s="22"/>
      <c r="CO226" s="22"/>
      <c r="CP226" s="22"/>
      <c r="CQ226" s="22"/>
      <c r="CR226" s="22"/>
      <c r="CS226" s="22"/>
      <c r="CT226" s="22"/>
      <c r="CU226" s="22"/>
      <c r="CV226" s="22"/>
      <c r="CW226" s="22"/>
      <c r="CX226" s="22"/>
      <c r="CY226" s="22"/>
      <c r="CZ226" s="22"/>
      <c r="DA226" s="22"/>
      <c r="DB226" s="22"/>
      <c r="DC226" s="22"/>
      <c r="DD226" s="22"/>
      <c r="DE226" s="22"/>
      <c r="DF226" s="22"/>
      <c r="DG226" s="22"/>
      <c r="DH226" s="22"/>
      <c r="DI226" s="22"/>
      <c r="DJ226" s="22"/>
      <c r="DK226" s="22"/>
      <c r="DL226" s="22"/>
      <c r="DM226" s="22"/>
      <c r="DN226" s="22"/>
      <c r="DO226" s="22"/>
      <c r="DP226" s="22"/>
      <c r="DQ226" s="22"/>
      <c r="DR226" s="22"/>
      <c r="DS226" s="22"/>
      <c r="DT226" s="22"/>
      <c r="DU226" s="22"/>
      <c r="DV226" s="22"/>
      <c r="DW226" s="22"/>
      <c r="DX226" s="22"/>
      <c r="DY226" s="22"/>
      <c r="DZ226" s="22"/>
      <c r="EA226" s="22"/>
      <c r="EB226" s="22"/>
      <c r="EC226" s="22"/>
      <c r="ED226" s="22"/>
      <c r="EE226" s="22"/>
      <c r="EF226" s="22"/>
      <c r="EG226" s="22"/>
      <c r="EH226" s="22"/>
      <c r="EI226" s="22"/>
      <c r="EJ226" s="22"/>
      <c r="EK226" s="22"/>
      <c r="EL226" s="22"/>
      <c r="EM226" s="22"/>
      <c r="EN226" s="22"/>
      <c r="EO226" s="22"/>
      <c r="EP226" s="22"/>
      <c r="EQ226" s="22"/>
      <c r="ER226" s="22"/>
      <c r="ES226" s="22"/>
      <c r="ET226" s="22"/>
      <c r="EU226" s="22"/>
      <c r="EV226" s="22"/>
      <c r="EW226" s="22"/>
      <c r="EX226" s="22"/>
      <c r="EY226" s="22"/>
      <c r="EZ226" s="22"/>
      <c r="FA226" s="22"/>
      <c r="FB226" s="22"/>
      <c r="FC226" s="22"/>
      <c r="FD226" s="22"/>
      <c r="FE226" s="22"/>
      <c r="FF226" s="22"/>
      <c r="FG226" s="22"/>
      <c r="FH226" s="22"/>
      <c r="FI226" s="22"/>
      <c r="FJ226" s="22"/>
      <c r="FK226" s="22"/>
      <c r="FL226" s="22"/>
      <c r="FM226" s="22"/>
      <c r="FN226" s="22"/>
      <c r="FO226" s="22"/>
      <c r="FP226" s="22"/>
      <c r="FQ226" s="22"/>
      <c r="FR226" s="22"/>
      <c r="FS226" s="22"/>
      <c r="FT226" s="22"/>
      <c r="FU226" s="22"/>
      <c r="FV226" s="22"/>
      <c r="FW226" s="22"/>
      <c r="FX226" s="22"/>
      <c r="FY226" s="22"/>
      <c r="FZ226" s="22"/>
    </row>
    <row r="227" spans="2:182" x14ac:dyDescent="0.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c r="Z227" s="22"/>
      <c r="AA227" s="22"/>
      <c r="AB227" s="22"/>
      <c r="AC227" s="22"/>
      <c r="AD227" s="22"/>
      <c r="AE227" s="22"/>
      <c r="AF227" s="22"/>
      <c r="AG227" s="22"/>
      <c r="AH227" s="22"/>
      <c r="AI227" s="22"/>
      <c r="AJ227" s="22"/>
      <c r="AK227" s="22"/>
      <c r="AL227" s="22"/>
      <c r="AM227" s="22"/>
      <c r="AN227" s="22"/>
      <c r="AO227" s="22"/>
      <c r="AP227" s="22"/>
      <c r="AQ227" s="22"/>
      <c r="AR227" s="22"/>
      <c r="AS227" s="22"/>
      <c r="AT227" s="22"/>
      <c r="AU227" s="22"/>
      <c r="AV227" s="22"/>
      <c r="AW227" s="22"/>
      <c r="AX227" s="22"/>
      <c r="AY227" s="22"/>
      <c r="AZ227" s="22"/>
      <c r="BA227" s="22"/>
      <c r="BB227" s="22"/>
      <c r="BC227" s="22"/>
      <c r="BD227" s="22"/>
      <c r="BE227" s="22"/>
      <c r="BF227" s="22"/>
      <c r="BG227" s="22"/>
      <c r="BH227" s="22"/>
      <c r="BI227" s="22"/>
      <c r="BJ227" s="22"/>
      <c r="BK227" s="22"/>
      <c r="BL227" s="22"/>
      <c r="BM227" s="22"/>
      <c r="BN227" s="22"/>
      <c r="BO227" s="22"/>
      <c r="BP227" s="22"/>
      <c r="BQ227" s="22"/>
      <c r="BR227" s="22"/>
      <c r="BS227" s="22"/>
      <c r="BT227" s="22"/>
      <c r="BU227" s="22"/>
      <c r="BV227" s="22"/>
      <c r="BW227" s="22"/>
      <c r="BX227" s="22"/>
      <c r="BY227" s="22"/>
      <c r="BZ227" s="22"/>
      <c r="CA227" s="22"/>
      <c r="CB227" s="22"/>
      <c r="CC227" s="22"/>
      <c r="CD227" s="22"/>
      <c r="CE227" s="22"/>
      <c r="CF227" s="22"/>
      <c r="CG227" s="22"/>
      <c r="CH227" s="22"/>
      <c r="CI227" s="22"/>
      <c r="CJ227" s="22"/>
      <c r="CK227" s="22"/>
      <c r="CL227" s="22"/>
      <c r="CM227" s="22"/>
      <c r="CN227" s="22"/>
      <c r="CO227" s="22"/>
      <c r="CP227" s="22"/>
      <c r="CQ227" s="22"/>
      <c r="CR227" s="22"/>
      <c r="CS227" s="22"/>
      <c r="CT227" s="22"/>
      <c r="CU227" s="22"/>
      <c r="CV227" s="22"/>
      <c r="CW227" s="22"/>
      <c r="CX227" s="22"/>
      <c r="CY227" s="22"/>
      <c r="CZ227" s="22"/>
      <c r="DA227" s="22"/>
      <c r="DB227" s="22"/>
      <c r="DC227" s="22"/>
      <c r="DD227" s="22"/>
      <c r="DE227" s="22"/>
      <c r="DF227" s="22"/>
      <c r="DG227" s="22"/>
      <c r="DH227" s="22"/>
      <c r="DI227" s="22"/>
      <c r="DJ227" s="22"/>
      <c r="DK227" s="22"/>
      <c r="DL227" s="22"/>
      <c r="DM227" s="22"/>
      <c r="DN227" s="22"/>
      <c r="DO227" s="22"/>
      <c r="DP227" s="22"/>
      <c r="DQ227" s="22"/>
      <c r="DR227" s="22"/>
      <c r="DS227" s="22"/>
      <c r="DT227" s="22"/>
      <c r="DU227" s="22"/>
      <c r="DV227" s="22"/>
      <c r="DW227" s="22"/>
      <c r="DX227" s="22"/>
      <c r="DY227" s="22"/>
      <c r="DZ227" s="22"/>
      <c r="EA227" s="22"/>
      <c r="EB227" s="22"/>
      <c r="EC227" s="22"/>
      <c r="ED227" s="22"/>
      <c r="EE227" s="22"/>
      <c r="EF227" s="22"/>
      <c r="EG227" s="22"/>
      <c r="EH227" s="22"/>
      <c r="EI227" s="22"/>
      <c r="EJ227" s="22"/>
      <c r="EK227" s="22"/>
      <c r="EL227" s="22"/>
      <c r="EM227" s="22"/>
      <c r="EN227" s="22"/>
      <c r="EO227" s="22"/>
      <c r="EP227" s="22"/>
      <c r="EQ227" s="22"/>
      <c r="ER227" s="22"/>
      <c r="ES227" s="22"/>
      <c r="ET227" s="22"/>
      <c r="EU227" s="22"/>
      <c r="EV227" s="22"/>
      <c r="EW227" s="22"/>
      <c r="EX227" s="22"/>
      <c r="EY227" s="22"/>
      <c r="EZ227" s="22"/>
      <c r="FA227" s="22"/>
      <c r="FB227" s="22"/>
      <c r="FC227" s="22"/>
      <c r="FD227" s="22"/>
      <c r="FE227" s="22"/>
      <c r="FF227" s="22"/>
      <c r="FG227" s="22"/>
      <c r="FH227" s="22"/>
      <c r="FI227" s="22"/>
      <c r="FJ227" s="22"/>
      <c r="FK227" s="22"/>
      <c r="FL227" s="22"/>
      <c r="FM227" s="22"/>
      <c r="FN227" s="22"/>
      <c r="FO227" s="22"/>
      <c r="FP227" s="22"/>
      <c r="FQ227" s="22"/>
      <c r="FR227" s="22"/>
      <c r="FS227" s="22"/>
      <c r="FT227" s="22"/>
      <c r="FU227" s="22"/>
      <c r="FV227" s="22"/>
      <c r="FW227" s="22"/>
      <c r="FX227" s="22"/>
      <c r="FY227" s="22"/>
      <c r="FZ227" s="22"/>
    </row>
    <row r="228" spans="2:182" x14ac:dyDescent="0.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c r="Z228" s="22"/>
      <c r="AA228" s="22"/>
      <c r="AB228" s="22"/>
      <c r="AC228" s="22"/>
      <c r="AD228" s="22"/>
      <c r="AE228" s="22"/>
      <c r="AF228" s="22"/>
      <c r="AG228" s="22"/>
      <c r="AH228" s="22"/>
      <c r="AI228" s="22"/>
      <c r="AJ228" s="22"/>
      <c r="AK228" s="22"/>
      <c r="AL228" s="22"/>
      <c r="AM228" s="22"/>
      <c r="AN228" s="22"/>
      <c r="AO228" s="22"/>
      <c r="AP228" s="22"/>
      <c r="AQ228" s="22"/>
      <c r="AR228" s="22"/>
      <c r="AS228" s="22"/>
      <c r="AT228" s="22"/>
      <c r="AU228" s="22"/>
      <c r="AV228" s="22"/>
      <c r="AW228" s="22"/>
      <c r="AX228" s="22"/>
      <c r="AY228" s="22"/>
      <c r="AZ228" s="22"/>
      <c r="BA228" s="22"/>
      <c r="BB228" s="22"/>
      <c r="BC228" s="22"/>
      <c r="BD228" s="22"/>
      <c r="BE228" s="22"/>
      <c r="BF228" s="22"/>
      <c r="BG228" s="22"/>
      <c r="BH228" s="22"/>
      <c r="BI228" s="22"/>
      <c r="BJ228" s="22"/>
      <c r="BK228" s="22"/>
      <c r="BL228" s="22"/>
      <c r="BM228" s="22"/>
      <c r="BN228" s="22"/>
      <c r="BO228" s="22"/>
      <c r="BP228" s="22"/>
      <c r="BQ228" s="22"/>
      <c r="BR228" s="22"/>
      <c r="BS228" s="22"/>
      <c r="BT228" s="22"/>
      <c r="BU228" s="22"/>
      <c r="BV228" s="22"/>
      <c r="BW228" s="22"/>
      <c r="BX228" s="22"/>
      <c r="BY228" s="22"/>
      <c r="BZ228" s="22"/>
      <c r="CA228" s="22"/>
      <c r="CB228" s="22"/>
      <c r="CC228" s="22"/>
      <c r="CD228" s="22"/>
      <c r="CE228" s="22"/>
      <c r="CF228" s="22"/>
      <c r="CG228" s="22"/>
      <c r="CH228" s="22"/>
      <c r="CI228" s="22"/>
      <c r="CJ228" s="22"/>
      <c r="CK228" s="22"/>
      <c r="CL228" s="22"/>
      <c r="CM228" s="22"/>
      <c r="CN228" s="22"/>
      <c r="CO228" s="22"/>
      <c r="CP228" s="22"/>
      <c r="CQ228" s="22"/>
      <c r="CR228" s="22"/>
      <c r="CS228" s="22"/>
      <c r="CT228" s="22"/>
      <c r="CU228" s="22"/>
      <c r="CV228" s="22"/>
      <c r="CW228" s="22"/>
      <c r="CX228" s="22"/>
      <c r="CY228" s="22"/>
      <c r="CZ228" s="22"/>
      <c r="DA228" s="22"/>
      <c r="DB228" s="22"/>
      <c r="DC228" s="22"/>
      <c r="DD228" s="22"/>
      <c r="DE228" s="22"/>
      <c r="DF228" s="22"/>
      <c r="DG228" s="22"/>
      <c r="DH228" s="22"/>
      <c r="DI228" s="22"/>
      <c r="DJ228" s="22"/>
      <c r="DK228" s="22"/>
      <c r="DL228" s="22"/>
      <c r="DM228" s="22"/>
      <c r="DN228" s="22"/>
      <c r="DO228" s="22"/>
      <c r="DP228" s="22"/>
      <c r="DQ228" s="22"/>
      <c r="DR228" s="22"/>
      <c r="DS228" s="22"/>
      <c r="DT228" s="22"/>
      <c r="DU228" s="22"/>
      <c r="DV228" s="22"/>
      <c r="DW228" s="22"/>
      <c r="DX228" s="22"/>
      <c r="DY228" s="22"/>
      <c r="DZ228" s="22"/>
      <c r="EA228" s="22"/>
      <c r="EB228" s="22"/>
      <c r="EC228" s="22"/>
      <c r="ED228" s="22"/>
      <c r="EE228" s="22"/>
      <c r="EF228" s="22"/>
      <c r="EG228" s="22"/>
      <c r="EH228" s="22"/>
      <c r="EI228" s="22"/>
      <c r="EJ228" s="22"/>
      <c r="EK228" s="22"/>
      <c r="EL228" s="22"/>
      <c r="EM228" s="22"/>
      <c r="EN228" s="22"/>
      <c r="EO228" s="22"/>
      <c r="EP228" s="22"/>
      <c r="EQ228" s="22"/>
      <c r="ER228" s="22"/>
      <c r="ES228" s="22"/>
      <c r="ET228" s="22"/>
      <c r="EU228" s="22"/>
      <c r="EV228" s="22"/>
      <c r="EW228" s="22"/>
      <c r="EX228" s="22"/>
      <c r="EY228" s="22"/>
      <c r="EZ228" s="22"/>
      <c r="FA228" s="22"/>
      <c r="FB228" s="22"/>
      <c r="FC228" s="22"/>
      <c r="FD228" s="22"/>
      <c r="FE228" s="22"/>
      <c r="FF228" s="22"/>
      <c r="FG228" s="22"/>
      <c r="FH228" s="22"/>
      <c r="FI228" s="22"/>
      <c r="FJ228" s="22"/>
      <c r="FK228" s="22"/>
      <c r="FL228" s="22"/>
      <c r="FM228" s="22"/>
      <c r="FN228" s="22"/>
      <c r="FO228" s="22"/>
      <c r="FP228" s="22"/>
      <c r="FQ228" s="22"/>
      <c r="FR228" s="22"/>
      <c r="FS228" s="22"/>
      <c r="FT228" s="22"/>
      <c r="FU228" s="22"/>
      <c r="FV228" s="22"/>
      <c r="FW228" s="22"/>
      <c r="FX228" s="22"/>
      <c r="FY228" s="22"/>
      <c r="FZ228" s="22"/>
    </row>
    <row r="229" spans="2:182" x14ac:dyDescent="0.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c r="Z229" s="22"/>
      <c r="AA229" s="22"/>
      <c r="AB229" s="22"/>
      <c r="AC229" s="22"/>
      <c r="AD229" s="22"/>
      <c r="AE229" s="22"/>
      <c r="AF229" s="22"/>
      <c r="AG229" s="22"/>
      <c r="AH229" s="22"/>
      <c r="AI229" s="22"/>
      <c r="AJ229" s="22"/>
      <c r="AK229" s="22"/>
      <c r="AL229" s="22"/>
      <c r="AM229" s="22"/>
      <c r="AN229" s="22"/>
      <c r="AO229" s="22"/>
      <c r="AP229" s="22"/>
      <c r="AQ229" s="22"/>
      <c r="AR229" s="22"/>
      <c r="AS229" s="22"/>
      <c r="AT229" s="22"/>
      <c r="AU229" s="22"/>
      <c r="AV229" s="22"/>
      <c r="AW229" s="22"/>
      <c r="AX229" s="22"/>
      <c r="AY229" s="22"/>
      <c r="AZ229" s="22"/>
      <c r="BA229" s="22"/>
      <c r="BB229" s="22"/>
      <c r="BC229" s="22"/>
      <c r="BD229" s="22"/>
      <c r="BE229" s="22"/>
      <c r="BF229" s="22"/>
      <c r="BG229" s="22"/>
      <c r="BH229" s="22"/>
      <c r="BI229" s="22"/>
      <c r="BJ229" s="22"/>
      <c r="BK229" s="22"/>
      <c r="BL229" s="22"/>
      <c r="BM229" s="22"/>
      <c r="BN229" s="22"/>
      <c r="BO229" s="22"/>
      <c r="BP229" s="22"/>
      <c r="BQ229" s="22"/>
      <c r="BR229" s="22"/>
      <c r="BS229" s="22"/>
      <c r="BT229" s="22"/>
      <c r="BU229" s="22"/>
      <c r="BV229" s="22"/>
      <c r="BW229" s="22"/>
      <c r="BX229" s="22"/>
      <c r="BY229" s="22"/>
      <c r="BZ229" s="22"/>
      <c r="CA229" s="22"/>
      <c r="CB229" s="22"/>
      <c r="CC229" s="22"/>
      <c r="CD229" s="22"/>
      <c r="CE229" s="22"/>
      <c r="CF229" s="22"/>
      <c r="CG229" s="22"/>
      <c r="CH229" s="22"/>
      <c r="CI229" s="22"/>
      <c r="CJ229" s="22"/>
      <c r="CK229" s="22"/>
      <c r="CL229" s="22"/>
      <c r="CM229" s="22"/>
      <c r="CN229" s="22"/>
      <c r="CO229" s="22"/>
      <c r="CP229" s="22"/>
      <c r="CQ229" s="22"/>
      <c r="CR229" s="22"/>
      <c r="CS229" s="22"/>
      <c r="CT229" s="22"/>
      <c r="CU229" s="22"/>
      <c r="CV229" s="22"/>
      <c r="CW229" s="22"/>
      <c r="CX229" s="22"/>
      <c r="CY229" s="22"/>
      <c r="CZ229" s="22"/>
      <c r="DA229" s="22"/>
      <c r="DB229" s="22"/>
      <c r="DC229" s="22"/>
      <c r="DD229" s="22"/>
      <c r="DE229" s="22"/>
      <c r="DF229" s="22"/>
      <c r="DG229" s="22"/>
      <c r="DH229" s="22"/>
      <c r="DI229" s="22"/>
      <c r="DJ229" s="22"/>
      <c r="DK229" s="22"/>
      <c r="DL229" s="22"/>
      <c r="DM229" s="22"/>
      <c r="DN229" s="22"/>
      <c r="DO229" s="22"/>
      <c r="DP229" s="22"/>
      <c r="DQ229" s="22"/>
      <c r="DR229" s="22"/>
      <c r="DS229" s="22"/>
      <c r="DT229" s="22"/>
      <c r="DU229" s="22"/>
      <c r="DV229" s="22"/>
      <c r="DW229" s="22"/>
      <c r="DX229" s="22"/>
      <c r="DY229" s="22"/>
      <c r="DZ229" s="22"/>
      <c r="EA229" s="22"/>
      <c r="EB229" s="22"/>
      <c r="EC229" s="22"/>
      <c r="ED229" s="22"/>
      <c r="EE229" s="22"/>
      <c r="EF229" s="22"/>
      <c r="EG229" s="22"/>
      <c r="EH229" s="22"/>
      <c r="EI229" s="22"/>
      <c r="EJ229" s="22"/>
      <c r="EK229" s="22"/>
      <c r="EL229" s="22"/>
      <c r="EM229" s="22"/>
      <c r="EN229" s="22"/>
      <c r="EO229" s="22"/>
      <c r="EP229" s="22"/>
      <c r="EQ229" s="22"/>
      <c r="ER229" s="22"/>
      <c r="ES229" s="22"/>
      <c r="ET229" s="22"/>
      <c r="EU229" s="22"/>
      <c r="EV229" s="22"/>
      <c r="EW229" s="22"/>
      <c r="EX229" s="22"/>
      <c r="EY229" s="22"/>
      <c r="EZ229" s="22"/>
      <c r="FA229" s="22"/>
      <c r="FB229" s="22"/>
      <c r="FC229" s="22"/>
      <c r="FD229" s="22"/>
      <c r="FE229" s="22"/>
      <c r="FF229" s="22"/>
      <c r="FG229" s="22"/>
      <c r="FH229" s="22"/>
      <c r="FI229" s="22"/>
      <c r="FJ229" s="22"/>
      <c r="FK229" s="22"/>
      <c r="FL229" s="22"/>
      <c r="FM229" s="22"/>
      <c r="FN229" s="22"/>
      <c r="FO229" s="22"/>
      <c r="FP229" s="22"/>
      <c r="FQ229" s="22"/>
      <c r="FR229" s="22"/>
      <c r="FS229" s="22"/>
      <c r="FT229" s="22"/>
      <c r="FU229" s="22"/>
      <c r="FV229" s="22"/>
      <c r="FW229" s="22"/>
      <c r="FX229" s="22"/>
      <c r="FY229" s="22"/>
      <c r="FZ229" s="22"/>
    </row>
    <row r="230" spans="2:182" x14ac:dyDescent="0.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c r="Z230" s="22"/>
      <c r="AA230" s="22"/>
      <c r="AB230" s="22"/>
      <c r="AC230" s="22"/>
      <c r="AD230" s="22"/>
      <c r="AE230" s="22"/>
      <c r="AF230" s="22"/>
      <c r="AG230" s="22"/>
      <c r="AH230" s="22"/>
      <c r="AI230" s="22"/>
      <c r="AJ230" s="22"/>
      <c r="AK230" s="22"/>
      <c r="AL230" s="22"/>
      <c r="AM230" s="22"/>
      <c r="AN230" s="22"/>
      <c r="AO230" s="22"/>
      <c r="AP230" s="22"/>
      <c r="AQ230" s="22"/>
      <c r="AR230" s="22"/>
      <c r="AS230" s="22"/>
      <c r="AT230" s="22"/>
      <c r="AU230" s="22"/>
      <c r="AV230" s="22"/>
      <c r="AW230" s="22"/>
      <c r="AX230" s="22"/>
      <c r="AY230" s="22"/>
      <c r="AZ230" s="22"/>
      <c r="BA230" s="22"/>
      <c r="BB230" s="22"/>
      <c r="BC230" s="22"/>
      <c r="BD230" s="22"/>
      <c r="BE230" s="22"/>
      <c r="BF230" s="22"/>
      <c r="BG230" s="22"/>
      <c r="BH230" s="22"/>
      <c r="BI230" s="22"/>
      <c r="BJ230" s="22"/>
      <c r="BK230" s="22"/>
      <c r="BL230" s="22"/>
      <c r="BM230" s="22"/>
      <c r="BN230" s="22"/>
      <c r="BO230" s="22"/>
      <c r="BP230" s="22"/>
      <c r="BQ230" s="22"/>
      <c r="BR230" s="22"/>
      <c r="BS230" s="22"/>
      <c r="BT230" s="22"/>
      <c r="BU230" s="22"/>
      <c r="BV230" s="22"/>
      <c r="BW230" s="22"/>
      <c r="BX230" s="22"/>
      <c r="BY230" s="22"/>
      <c r="BZ230" s="22"/>
      <c r="CA230" s="22"/>
      <c r="CB230" s="22"/>
      <c r="CC230" s="22"/>
      <c r="CD230" s="22"/>
      <c r="CE230" s="22"/>
      <c r="CF230" s="22"/>
      <c r="CG230" s="22"/>
      <c r="CH230" s="22"/>
      <c r="CI230" s="22"/>
      <c r="CJ230" s="22"/>
      <c r="CK230" s="22"/>
      <c r="CL230" s="22"/>
      <c r="CM230" s="22"/>
      <c r="CN230" s="22"/>
      <c r="CO230" s="22"/>
      <c r="CP230" s="22"/>
      <c r="CQ230" s="22"/>
      <c r="CR230" s="22"/>
      <c r="CS230" s="22"/>
      <c r="CT230" s="22"/>
      <c r="CU230" s="22"/>
      <c r="CV230" s="22"/>
      <c r="CW230" s="22"/>
      <c r="CX230" s="22"/>
      <c r="CY230" s="22"/>
      <c r="CZ230" s="22"/>
      <c r="DA230" s="22"/>
      <c r="DB230" s="22"/>
      <c r="DC230" s="22"/>
      <c r="DD230" s="22"/>
      <c r="DE230" s="22"/>
      <c r="DF230" s="22"/>
      <c r="DG230" s="22"/>
      <c r="DH230" s="22"/>
      <c r="DI230" s="22"/>
      <c r="DJ230" s="22"/>
      <c r="DK230" s="22"/>
      <c r="DL230" s="22"/>
      <c r="DM230" s="22"/>
      <c r="DN230" s="22"/>
      <c r="DO230" s="22"/>
      <c r="DP230" s="22"/>
      <c r="DQ230" s="22"/>
      <c r="DR230" s="22"/>
      <c r="DS230" s="22"/>
      <c r="DT230" s="22"/>
      <c r="DU230" s="22"/>
      <c r="DV230" s="22"/>
      <c r="DW230" s="22"/>
      <c r="DX230" s="22"/>
      <c r="DY230" s="22"/>
      <c r="DZ230" s="22"/>
      <c r="EA230" s="22"/>
      <c r="EB230" s="22"/>
      <c r="EC230" s="22"/>
      <c r="ED230" s="22"/>
      <c r="EE230" s="22"/>
      <c r="EF230" s="22"/>
      <c r="EG230" s="22"/>
      <c r="EH230" s="22"/>
      <c r="EI230" s="22"/>
      <c r="EJ230" s="22"/>
      <c r="EK230" s="22"/>
      <c r="EL230" s="22"/>
      <c r="EM230" s="22"/>
      <c r="EN230" s="22"/>
      <c r="EO230" s="22"/>
      <c r="EP230" s="22"/>
      <c r="EQ230" s="22"/>
      <c r="ER230" s="22"/>
      <c r="ES230" s="22"/>
      <c r="ET230" s="22"/>
      <c r="EU230" s="22"/>
      <c r="EV230" s="22"/>
      <c r="EW230" s="22"/>
      <c r="EX230" s="22"/>
      <c r="EY230" s="22"/>
      <c r="EZ230" s="22"/>
      <c r="FA230" s="22"/>
      <c r="FB230" s="22"/>
      <c r="FC230" s="22"/>
      <c r="FD230" s="22"/>
      <c r="FE230" s="22"/>
      <c r="FF230" s="22"/>
      <c r="FG230" s="22"/>
      <c r="FH230" s="22"/>
      <c r="FI230" s="22"/>
      <c r="FJ230" s="22"/>
      <c r="FK230" s="22"/>
      <c r="FL230" s="22"/>
      <c r="FM230" s="22"/>
      <c r="FN230" s="22"/>
      <c r="FO230" s="22"/>
      <c r="FP230" s="22"/>
      <c r="FQ230" s="22"/>
      <c r="FR230" s="22"/>
      <c r="FS230" s="22"/>
      <c r="FT230" s="22"/>
      <c r="FU230" s="22"/>
      <c r="FV230" s="22"/>
      <c r="FW230" s="22"/>
      <c r="FX230" s="22"/>
      <c r="FY230" s="22"/>
      <c r="FZ230" s="22"/>
    </row>
    <row r="231" spans="2:182" x14ac:dyDescent="0.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c r="Z231" s="22"/>
      <c r="AA231" s="22"/>
      <c r="AB231" s="22"/>
      <c r="AC231" s="22"/>
      <c r="AD231" s="22"/>
      <c r="AE231" s="22"/>
      <c r="AF231" s="22"/>
      <c r="AG231" s="22"/>
      <c r="AH231" s="22"/>
      <c r="AI231" s="22"/>
      <c r="AJ231" s="22"/>
      <c r="AK231" s="22"/>
      <c r="AL231" s="22"/>
      <c r="AM231" s="22"/>
      <c r="AN231" s="22"/>
      <c r="AO231" s="22"/>
      <c r="AP231" s="22"/>
      <c r="AQ231" s="22"/>
      <c r="AR231" s="22"/>
      <c r="AS231" s="22"/>
      <c r="AT231" s="22"/>
      <c r="AU231" s="22"/>
      <c r="AV231" s="22"/>
      <c r="AW231" s="22"/>
      <c r="AX231" s="22"/>
      <c r="AY231" s="22"/>
      <c r="AZ231" s="22"/>
      <c r="BA231" s="22"/>
      <c r="BB231" s="22"/>
      <c r="BC231" s="22"/>
      <c r="BD231" s="22"/>
      <c r="BE231" s="22"/>
      <c r="BF231" s="22"/>
      <c r="BG231" s="22"/>
      <c r="BH231" s="22"/>
      <c r="BI231" s="22"/>
      <c r="BJ231" s="22"/>
      <c r="BK231" s="22"/>
      <c r="BL231" s="22"/>
      <c r="BM231" s="22"/>
      <c r="BN231" s="22"/>
      <c r="BO231" s="22"/>
      <c r="BP231" s="22"/>
      <c r="BQ231" s="22"/>
      <c r="BR231" s="22"/>
      <c r="BS231" s="22"/>
      <c r="BT231" s="22"/>
      <c r="BU231" s="22"/>
      <c r="BV231" s="22"/>
      <c r="BW231" s="22"/>
      <c r="BX231" s="22"/>
      <c r="BY231" s="22"/>
      <c r="BZ231" s="22"/>
      <c r="CA231" s="22"/>
      <c r="CB231" s="22"/>
      <c r="CC231" s="22"/>
      <c r="CD231" s="22"/>
      <c r="CE231" s="22"/>
      <c r="CF231" s="22"/>
      <c r="CG231" s="22"/>
      <c r="CH231" s="22"/>
      <c r="CI231" s="22"/>
      <c r="CJ231" s="22"/>
      <c r="CK231" s="22"/>
      <c r="CL231" s="22"/>
      <c r="CM231" s="22"/>
      <c r="CN231" s="22"/>
      <c r="CO231" s="22"/>
      <c r="CP231" s="22"/>
      <c r="CQ231" s="22"/>
      <c r="CR231" s="22"/>
      <c r="CS231" s="22"/>
      <c r="CT231" s="22"/>
      <c r="CU231" s="22"/>
      <c r="CV231" s="22"/>
      <c r="CW231" s="22"/>
      <c r="CX231" s="22"/>
      <c r="CY231" s="22"/>
      <c r="CZ231" s="22"/>
      <c r="DA231" s="22"/>
      <c r="DB231" s="22"/>
      <c r="DC231" s="22"/>
      <c r="DD231" s="22"/>
      <c r="DE231" s="22"/>
      <c r="DF231" s="22"/>
      <c r="DG231" s="22"/>
      <c r="DH231" s="22"/>
      <c r="DI231" s="22"/>
      <c r="DJ231" s="22"/>
      <c r="DK231" s="22"/>
      <c r="DL231" s="22"/>
      <c r="DM231" s="22"/>
      <c r="DN231" s="22"/>
      <c r="DO231" s="22"/>
      <c r="DP231" s="22"/>
      <c r="DQ231" s="22"/>
      <c r="DR231" s="22"/>
      <c r="DS231" s="22"/>
      <c r="DT231" s="22"/>
      <c r="DU231" s="22"/>
      <c r="DV231" s="22"/>
      <c r="DW231" s="22"/>
      <c r="DX231" s="22"/>
      <c r="DY231" s="22"/>
      <c r="DZ231" s="22"/>
      <c r="EA231" s="22"/>
      <c r="EB231" s="22"/>
      <c r="EC231" s="22"/>
      <c r="ED231" s="22"/>
      <c r="EE231" s="22"/>
      <c r="EF231" s="22"/>
      <c r="EG231" s="22"/>
      <c r="EH231" s="22"/>
      <c r="EI231" s="22"/>
      <c r="EJ231" s="22"/>
      <c r="EK231" s="22"/>
      <c r="EL231" s="22"/>
      <c r="EM231" s="22"/>
      <c r="EN231" s="22"/>
      <c r="EO231" s="22"/>
      <c r="EP231" s="22"/>
      <c r="EQ231" s="22"/>
      <c r="ER231" s="22"/>
      <c r="ES231" s="22"/>
      <c r="ET231" s="22"/>
      <c r="EU231" s="22"/>
      <c r="EV231" s="22"/>
      <c r="EW231" s="22"/>
      <c r="EX231" s="22"/>
      <c r="EY231" s="22"/>
      <c r="EZ231" s="22"/>
      <c r="FA231" s="22"/>
      <c r="FB231" s="22"/>
      <c r="FC231" s="22"/>
      <c r="FD231" s="22"/>
      <c r="FE231" s="22"/>
      <c r="FF231" s="22"/>
      <c r="FG231" s="22"/>
      <c r="FH231" s="22"/>
      <c r="FI231" s="22"/>
      <c r="FJ231" s="22"/>
      <c r="FK231" s="22"/>
      <c r="FL231" s="22"/>
      <c r="FM231" s="22"/>
      <c r="FN231" s="22"/>
      <c r="FO231" s="22"/>
      <c r="FP231" s="22"/>
      <c r="FQ231" s="22"/>
      <c r="FR231" s="22"/>
      <c r="FS231" s="22"/>
      <c r="FT231" s="22"/>
      <c r="FU231" s="22"/>
      <c r="FV231" s="22"/>
      <c r="FW231" s="22"/>
      <c r="FX231" s="22"/>
      <c r="FY231" s="22"/>
      <c r="FZ231" s="22"/>
    </row>
    <row r="232" spans="2:182" x14ac:dyDescent="0.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c r="Z232" s="22"/>
      <c r="AA232" s="22"/>
      <c r="AB232" s="22"/>
      <c r="AC232" s="22"/>
      <c r="AD232" s="22"/>
      <c r="AE232" s="22"/>
      <c r="AF232" s="22"/>
      <c r="AG232" s="22"/>
      <c r="AH232" s="22"/>
      <c r="AI232" s="22"/>
      <c r="AJ232" s="22"/>
      <c r="AK232" s="22"/>
      <c r="AL232" s="22"/>
      <c r="AM232" s="22"/>
      <c r="AN232" s="22"/>
      <c r="AO232" s="22"/>
      <c r="AP232" s="22"/>
      <c r="AQ232" s="22"/>
      <c r="AR232" s="22"/>
      <c r="AS232" s="22"/>
      <c r="AT232" s="22"/>
      <c r="AU232" s="22"/>
      <c r="AV232" s="22"/>
      <c r="AW232" s="22"/>
      <c r="AX232" s="22"/>
      <c r="AY232" s="22"/>
      <c r="AZ232" s="22"/>
      <c r="BA232" s="22"/>
      <c r="BB232" s="22"/>
      <c r="BC232" s="22"/>
      <c r="BD232" s="22"/>
      <c r="BE232" s="22"/>
      <c r="BF232" s="22"/>
      <c r="BG232" s="22"/>
      <c r="BH232" s="22"/>
      <c r="BI232" s="22"/>
      <c r="BJ232" s="22"/>
      <c r="BK232" s="22"/>
      <c r="BL232" s="22"/>
      <c r="BM232" s="22"/>
      <c r="BN232" s="22"/>
      <c r="BO232" s="22"/>
      <c r="BP232" s="22"/>
      <c r="BQ232" s="22"/>
      <c r="BR232" s="22"/>
      <c r="BS232" s="22"/>
      <c r="BT232" s="22"/>
      <c r="BU232" s="22"/>
      <c r="BV232" s="22"/>
      <c r="BW232" s="22"/>
      <c r="BX232" s="22"/>
      <c r="BY232" s="22"/>
      <c r="BZ232" s="22"/>
      <c r="CA232" s="22"/>
      <c r="CB232" s="22"/>
      <c r="CC232" s="22"/>
      <c r="CD232" s="22"/>
      <c r="CE232" s="22"/>
      <c r="CF232" s="22"/>
      <c r="CG232" s="22"/>
      <c r="CH232" s="22"/>
      <c r="CI232" s="22"/>
      <c r="CJ232" s="22"/>
      <c r="CK232" s="22"/>
      <c r="CL232" s="22"/>
      <c r="CM232" s="22"/>
      <c r="CN232" s="22"/>
      <c r="CO232" s="22"/>
      <c r="CP232" s="22"/>
      <c r="CQ232" s="22"/>
      <c r="CR232" s="22"/>
      <c r="CS232" s="22"/>
      <c r="CT232" s="22"/>
      <c r="CU232" s="22"/>
      <c r="CV232" s="22"/>
      <c r="CW232" s="22"/>
      <c r="CX232" s="22"/>
      <c r="CY232" s="22"/>
      <c r="CZ232" s="22"/>
      <c r="DA232" s="22"/>
      <c r="DB232" s="22"/>
      <c r="DC232" s="22"/>
      <c r="DD232" s="22"/>
      <c r="DE232" s="22"/>
      <c r="DF232" s="22"/>
      <c r="DG232" s="22"/>
      <c r="DH232" s="22"/>
      <c r="DI232" s="22"/>
      <c r="DJ232" s="22"/>
      <c r="DK232" s="22"/>
      <c r="DL232" s="22"/>
      <c r="DM232" s="22"/>
      <c r="DN232" s="22"/>
      <c r="DO232" s="22"/>
      <c r="DP232" s="22"/>
      <c r="DQ232" s="22"/>
      <c r="DR232" s="22"/>
      <c r="DS232" s="22"/>
      <c r="DT232" s="22"/>
      <c r="DU232" s="22"/>
      <c r="DV232" s="22"/>
      <c r="DW232" s="22"/>
      <c r="DX232" s="22"/>
      <c r="DY232" s="22"/>
      <c r="DZ232" s="22"/>
      <c r="EA232" s="22"/>
      <c r="EB232" s="22"/>
      <c r="EC232" s="22"/>
      <c r="ED232" s="22"/>
      <c r="EE232" s="22"/>
      <c r="EF232" s="22"/>
      <c r="EG232" s="22"/>
      <c r="EH232" s="22"/>
      <c r="EI232" s="22"/>
      <c r="EJ232" s="22"/>
      <c r="EK232" s="22"/>
      <c r="EL232" s="22"/>
      <c r="EM232" s="22"/>
      <c r="EN232" s="22"/>
      <c r="EO232" s="22"/>
      <c r="EP232" s="22"/>
      <c r="EQ232" s="22"/>
      <c r="ER232" s="22"/>
      <c r="ES232" s="22"/>
      <c r="ET232" s="22"/>
      <c r="EU232" s="22"/>
      <c r="EV232" s="22"/>
      <c r="EW232" s="22"/>
      <c r="EX232" s="22"/>
      <c r="EY232" s="22"/>
      <c r="EZ232" s="22"/>
      <c r="FA232" s="22"/>
      <c r="FB232" s="22"/>
      <c r="FC232" s="22"/>
      <c r="FD232" s="22"/>
      <c r="FE232" s="22"/>
      <c r="FF232" s="22"/>
      <c r="FG232" s="22"/>
      <c r="FH232" s="22"/>
      <c r="FI232" s="22"/>
      <c r="FJ232" s="22"/>
      <c r="FK232" s="22"/>
      <c r="FL232" s="22"/>
      <c r="FM232" s="22"/>
      <c r="FN232" s="22"/>
      <c r="FO232" s="22"/>
      <c r="FP232" s="22"/>
      <c r="FQ232" s="22"/>
      <c r="FR232" s="22"/>
      <c r="FS232" s="22"/>
      <c r="FT232" s="22"/>
      <c r="FU232" s="22"/>
      <c r="FV232" s="22"/>
      <c r="FW232" s="22"/>
      <c r="FX232" s="22"/>
      <c r="FY232" s="22"/>
      <c r="FZ232" s="22"/>
    </row>
    <row r="233" spans="2:182" x14ac:dyDescent="0.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c r="Z233" s="22"/>
      <c r="AA233" s="22"/>
      <c r="AB233" s="22"/>
      <c r="AC233" s="22"/>
      <c r="AD233" s="22"/>
      <c r="AE233" s="22"/>
      <c r="AF233" s="22"/>
      <c r="AG233" s="22"/>
      <c r="AH233" s="22"/>
      <c r="AI233" s="22"/>
      <c r="AJ233" s="22"/>
      <c r="AK233" s="22"/>
      <c r="AL233" s="22"/>
      <c r="AM233" s="22"/>
      <c r="AN233" s="22"/>
      <c r="AO233" s="22"/>
      <c r="AP233" s="22"/>
      <c r="AQ233" s="22"/>
      <c r="AR233" s="22"/>
      <c r="AS233" s="22"/>
      <c r="AT233" s="22"/>
      <c r="AU233" s="22"/>
      <c r="AV233" s="22"/>
      <c r="AW233" s="22"/>
      <c r="AX233" s="22"/>
      <c r="AY233" s="22"/>
      <c r="AZ233" s="22"/>
      <c r="BA233" s="22"/>
      <c r="BB233" s="22"/>
      <c r="BC233" s="22"/>
      <c r="BD233" s="22"/>
      <c r="BE233" s="22"/>
      <c r="BF233" s="22"/>
      <c r="BG233" s="22"/>
      <c r="BH233" s="22"/>
      <c r="BI233" s="22"/>
      <c r="BJ233" s="22"/>
      <c r="BK233" s="22"/>
      <c r="BL233" s="22"/>
      <c r="BM233" s="22"/>
      <c r="BN233" s="22"/>
      <c r="BO233" s="22"/>
      <c r="BP233" s="22"/>
      <c r="BQ233" s="22"/>
      <c r="BR233" s="22"/>
      <c r="BS233" s="22"/>
      <c r="BT233" s="22"/>
      <c r="BU233" s="22"/>
      <c r="BV233" s="22"/>
      <c r="BW233" s="22"/>
      <c r="BX233" s="22"/>
      <c r="BY233" s="22"/>
      <c r="BZ233" s="22"/>
      <c r="CA233" s="22"/>
      <c r="CB233" s="22"/>
      <c r="CC233" s="22"/>
      <c r="CD233" s="22"/>
      <c r="CE233" s="22"/>
      <c r="CF233" s="22"/>
      <c r="CG233" s="22"/>
      <c r="CH233" s="22"/>
      <c r="CI233" s="22"/>
      <c r="CJ233" s="22"/>
      <c r="CK233" s="22"/>
      <c r="CL233" s="22"/>
      <c r="CM233" s="22"/>
      <c r="CN233" s="22"/>
      <c r="CO233" s="22"/>
      <c r="CP233" s="22"/>
      <c r="CQ233" s="22"/>
      <c r="CR233" s="22"/>
      <c r="CS233" s="22"/>
      <c r="CT233" s="22"/>
      <c r="CU233" s="22"/>
      <c r="CV233" s="22"/>
      <c r="CW233" s="22"/>
      <c r="CX233" s="22"/>
      <c r="CY233" s="22"/>
      <c r="CZ233" s="22"/>
      <c r="DA233" s="22"/>
      <c r="DB233" s="22"/>
      <c r="DC233" s="22"/>
      <c r="DD233" s="22"/>
      <c r="DE233" s="22"/>
      <c r="DF233" s="22"/>
      <c r="DG233" s="22"/>
      <c r="DH233" s="22"/>
      <c r="DI233" s="22"/>
      <c r="DJ233" s="22"/>
      <c r="DK233" s="22"/>
      <c r="DL233" s="22"/>
      <c r="DM233" s="22"/>
      <c r="DN233" s="22"/>
      <c r="DO233" s="22"/>
      <c r="DP233" s="22"/>
      <c r="DQ233" s="22"/>
      <c r="DR233" s="22"/>
      <c r="DS233" s="22"/>
      <c r="DT233" s="22"/>
      <c r="DU233" s="22"/>
      <c r="DV233" s="22"/>
      <c r="DW233" s="22"/>
      <c r="DX233" s="22"/>
      <c r="DY233" s="22"/>
      <c r="DZ233" s="22"/>
      <c r="EA233" s="22"/>
      <c r="EB233" s="22"/>
      <c r="EC233" s="22"/>
      <c r="ED233" s="22"/>
      <c r="EE233" s="22"/>
      <c r="EF233" s="22"/>
      <c r="EG233" s="22"/>
      <c r="EH233" s="22"/>
      <c r="EI233" s="22"/>
      <c r="EJ233" s="22"/>
      <c r="EK233" s="22"/>
      <c r="EL233" s="22"/>
      <c r="EM233" s="22"/>
      <c r="EN233" s="22"/>
      <c r="EO233" s="22"/>
      <c r="EP233" s="22"/>
      <c r="EQ233" s="22"/>
      <c r="ER233" s="22"/>
      <c r="ES233" s="22"/>
      <c r="ET233" s="22"/>
      <c r="EU233" s="22"/>
      <c r="EV233" s="22"/>
      <c r="EW233" s="22"/>
      <c r="EX233" s="22"/>
      <c r="EY233" s="22"/>
      <c r="EZ233" s="22"/>
      <c r="FA233" s="22"/>
      <c r="FB233" s="22"/>
      <c r="FC233" s="22"/>
      <c r="FD233" s="22"/>
      <c r="FE233" s="22"/>
      <c r="FF233" s="22"/>
      <c r="FG233" s="22"/>
      <c r="FH233" s="22"/>
      <c r="FI233" s="22"/>
      <c r="FJ233" s="22"/>
      <c r="FK233" s="22"/>
      <c r="FL233" s="22"/>
      <c r="FM233" s="22"/>
      <c r="FN233" s="22"/>
      <c r="FO233" s="22"/>
      <c r="FP233" s="22"/>
      <c r="FQ233" s="22"/>
      <c r="FR233" s="22"/>
      <c r="FS233" s="22"/>
      <c r="FT233" s="22"/>
      <c r="FU233" s="22"/>
      <c r="FV233" s="22"/>
      <c r="FW233" s="22"/>
      <c r="FX233" s="22"/>
      <c r="FY233" s="22"/>
      <c r="FZ233" s="22"/>
    </row>
    <row r="234" spans="2:182" x14ac:dyDescent="0.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c r="Z234" s="22"/>
      <c r="AA234" s="22"/>
      <c r="AB234" s="22"/>
      <c r="AC234" s="22"/>
      <c r="AD234" s="22"/>
      <c r="AE234" s="22"/>
      <c r="AF234" s="22"/>
      <c r="AG234" s="22"/>
      <c r="AH234" s="22"/>
      <c r="AI234" s="22"/>
      <c r="AJ234" s="22"/>
      <c r="AK234" s="22"/>
      <c r="AL234" s="22"/>
      <c r="AM234" s="22"/>
      <c r="AN234" s="22"/>
      <c r="AO234" s="22"/>
      <c r="AP234" s="22"/>
      <c r="AQ234" s="22"/>
      <c r="AR234" s="22"/>
      <c r="AS234" s="22"/>
      <c r="AT234" s="22"/>
      <c r="AU234" s="22"/>
      <c r="AV234" s="22"/>
      <c r="AW234" s="22"/>
      <c r="AX234" s="22"/>
      <c r="AY234" s="22"/>
      <c r="AZ234" s="22"/>
      <c r="BA234" s="22"/>
      <c r="BB234" s="22"/>
      <c r="BC234" s="22"/>
      <c r="BD234" s="22"/>
      <c r="BE234" s="22"/>
      <c r="BF234" s="22"/>
      <c r="BG234" s="22"/>
      <c r="BH234" s="22"/>
      <c r="BI234" s="22"/>
      <c r="BJ234" s="22"/>
      <c r="BK234" s="22"/>
      <c r="BL234" s="22"/>
      <c r="BM234" s="22"/>
      <c r="BN234" s="22"/>
      <c r="BO234" s="22"/>
      <c r="BP234" s="22"/>
      <c r="BQ234" s="22"/>
      <c r="BR234" s="22"/>
      <c r="BS234" s="22"/>
      <c r="BT234" s="22"/>
      <c r="BU234" s="22"/>
      <c r="BV234" s="22"/>
      <c r="BW234" s="22"/>
      <c r="BX234" s="22"/>
      <c r="BY234" s="22"/>
      <c r="BZ234" s="22"/>
      <c r="CA234" s="22"/>
      <c r="CB234" s="22"/>
      <c r="CC234" s="22"/>
      <c r="CD234" s="22"/>
      <c r="CE234" s="22"/>
      <c r="CF234" s="22"/>
      <c r="CG234" s="22"/>
      <c r="CH234" s="22"/>
      <c r="CI234" s="22"/>
      <c r="CJ234" s="22"/>
      <c r="CK234" s="22"/>
      <c r="CL234" s="22"/>
      <c r="CM234" s="22"/>
      <c r="CN234" s="22"/>
      <c r="CO234" s="22"/>
      <c r="CP234" s="22"/>
      <c r="CQ234" s="22"/>
      <c r="CR234" s="22"/>
      <c r="CS234" s="22"/>
      <c r="CT234" s="22"/>
      <c r="CU234" s="22"/>
      <c r="CV234" s="22"/>
      <c r="CW234" s="22"/>
      <c r="CX234" s="22"/>
      <c r="CY234" s="22"/>
      <c r="CZ234" s="22"/>
      <c r="DA234" s="22"/>
      <c r="DB234" s="22"/>
      <c r="DC234" s="22"/>
      <c r="DD234" s="22"/>
      <c r="DE234" s="22"/>
      <c r="DF234" s="22"/>
      <c r="DG234" s="22"/>
      <c r="DH234" s="22"/>
      <c r="DI234" s="22"/>
      <c r="DJ234" s="22"/>
      <c r="DK234" s="22"/>
      <c r="DL234" s="22"/>
      <c r="DM234" s="22"/>
      <c r="DN234" s="22"/>
      <c r="DO234" s="22"/>
      <c r="DP234" s="22"/>
      <c r="DQ234" s="22"/>
      <c r="DR234" s="22"/>
      <c r="DS234" s="22"/>
      <c r="DT234" s="22"/>
      <c r="DU234" s="22"/>
      <c r="DV234" s="22"/>
      <c r="DW234" s="22"/>
      <c r="DX234" s="22"/>
      <c r="DY234" s="22"/>
      <c r="DZ234" s="22"/>
      <c r="EA234" s="22"/>
      <c r="EB234" s="22"/>
      <c r="EC234" s="22"/>
      <c r="ED234" s="22"/>
      <c r="EE234" s="22"/>
      <c r="EF234" s="22"/>
      <c r="EG234" s="22"/>
      <c r="EH234" s="22"/>
      <c r="EI234" s="22"/>
      <c r="EJ234" s="22"/>
      <c r="EK234" s="22"/>
      <c r="EL234" s="22"/>
      <c r="EM234" s="22"/>
      <c r="EN234" s="22"/>
      <c r="EO234" s="22"/>
      <c r="EP234" s="22"/>
      <c r="EQ234" s="22"/>
      <c r="ER234" s="22"/>
      <c r="ES234" s="22"/>
      <c r="ET234" s="22"/>
      <c r="EU234" s="22"/>
      <c r="EV234" s="22"/>
      <c r="EW234" s="22"/>
      <c r="EX234" s="22"/>
      <c r="EY234" s="22"/>
      <c r="EZ234" s="22"/>
      <c r="FA234" s="22"/>
      <c r="FB234" s="22"/>
      <c r="FC234" s="22"/>
      <c r="FD234" s="22"/>
      <c r="FE234" s="22"/>
      <c r="FF234" s="22"/>
      <c r="FG234" s="22"/>
      <c r="FH234" s="22"/>
      <c r="FI234" s="22"/>
      <c r="FJ234" s="22"/>
      <c r="FK234" s="22"/>
      <c r="FL234" s="22"/>
      <c r="FM234" s="22"/>
      <c r="FN234" s="22"/>
      <c r="FO234" s="22"/>
      <c r="FP234" s="22"/>
      <c r="FQ234" s="22"/>
      <c r="FR234" s="22"/>
      <c r="FS234" s="22"/>
      <c r="FT234" s="22"/>
      <c r="FU234" s="22"/>
      <c r="FV234" s="22"/>
      <c r="FW234" s="22"/>
      <c r="FX234" s="22"/>
      <c r="FY234" s="22"/>
      <c r="FZ234" s="22"/>
    </row>
    <row r="235" spans="2:182" x14ac:dyDescent="0.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c r="Z235" s="22"/>
      <c r="AA235" s="22"/>
      <c r="AB235" s="22"/>
      <c r="AC235" s="22"/>
      <c r="AD235" s="22"/>
      <c r="AE235" s="22"/>
      <c r="AF235" s="22"/>
      <c r="AG235" s="22"/>
      <c r="AH235" s="22"/>
      <c r="AI235" s="22"/>
      <c r="AJ235" s="22"/>
      <c r="AK235" s="22"/>
      <c r="AL235" s="22"/>
      <c r="AM235" s="22"/>
      <c r="AN235" s="22"/>
      <c r="AO235" s="22"/>
      <c r="AP235" s="22"/>
      <c r="AQ235" s="22"/>
      <c r="AR235" s="22"/>
      <c r="AS235" s="22"/>
      <c r="AT235" s="22"/>
      <c r="AU235" s="22"/>
      <c r="AV235" s="22"/>
      <c r="AW235" s="22"/>
      <c r="AX235" s="22"/>
      <c r="AY235" s="22"/>
      <c r="AZ235" s="22"/>
      <c r="BA235" s="22"/>
      <c r="BB235" s="22"/>
      <c r="BC235" s="22"/>
      <c r="BD235" s="22"/>
      <c r="BE235" s="22"/>
      <c r="BF235" s="22"/>
      <c r="BG235" s="22"/>
      <c r="BH235" s="22"/>
      <c r="BI235" s="22"/>
      <c r="BJ235" s="22"/>
      <c r="BK235" s="22"/>
      <c r="BL235" s="22"/>
      <c r="BM235" s="22"/>
      <c r="BN235" s="22"/>
      <c r="BO235" s="22"/>
      <c r="BP235" s="22"/>
      <c r="BQ235" s="22"/>
      <c r="BR235" s="22"/>
      <c r="BS235" s="22"/>
      <c r="BT235" s="22"/>
      <c r="BU235" s="22"/>
      <c r="BV235" s="22"/>
      <c r="BW235" s="22"/>
      <c r="BX235" s="22"/>
      <c r="BY235" s="22"/>
      <c r="BZ235" s="22"/>
      <c r="CA235" s="22"/>
      <c r="CB235" s="22"/>
      <c r="CC235" s="22"/>
      <c r="CD235" s="22"/>
      <c r="CE235" s="22"/>
      <c r="CF235" s="22"/>
      <c r="CG235" s="22"/>
      <c r="CH235" s="22"/>
      <c r="CI235" s="22"/>
      <c r="CJ235" s="22"/>
      <c r="CK235" s="22"/>
      <c r="CL235" s="22"/>
      <c r="CM235" s="22"/>
      <c r="CN235" s="22"/>
      <c r="CO235" s="22"/>
      <c r="CP235" s="22"/>
      <c r="CQ235" s="22"/>
      <c r="CR235" s="22"/>
      <c r="CS235" s="22"/>
      <c r="CT235" s="22"/>
      <c r="CU235" s="22"/>
      <c r="CV235" s="22"/>
      <c r="CW235" s="22"/>
      <c r="CX235" s="22"/>
      <c r="CY235" s="22"/>
      <c r="CZ235" s="22"/>
      <c r="DA235" s="22"/>
      <c r="DB235" s="22"/>
      <c r="DC235" s="22"/>
      <c r="DD235" s="22"/>
      <c r="DE235" s="22"/>
      <c r="DF235" s="22"/>
      <c r="DG235" s="22"/>
      <c r="DH235" s="22"/>
      <c r="DI235" s="22"/>
      <c r="DJ235" s="22"/>
      <c r="DK235" s="22"/>
      <c r="DL235" s="22"/>
      <c r="DM235" s="22"/>
      <c r="DN235" s="22"/>
      <c r="DO235" s="22"/>
      <c r="DP235" s="22"/>
      <c r="DQ235" s="22"/>
      <c r="DR235" s="22"/>
      <c r="DS235" s="22"/>
      <c r="DT235" s="22"/>
      <c r="DU235" s="22"/>
      <c r="DV235" s="22"/>
      <c r="DW235" s="22"/>
      <c r="DX235" s="22"/>
      <c r="DY235" s="22"/>
      <c r="DZ235" s="22"/>
      <c r="EA235" s="22"/>
      <c r="EB235" s="22"/>
      <c r="EC235" s="22"/>
      <c r="ED235" s="22"/>
      <c r="EE235" s="22"/>
      <c r="EF235" s="22"/>
      <c r="EG235" s="22"/>
      <c r="EH235" s="22"/>
      <c r="EI235" s="22"/>
      <c r="EJ235" s="22"/>
      <c r="EK235" s="22"/>
      <c r="EL235" s="22"/>
      <c r="EM235" s="22"/>
      <c r="EN235" s="22"/>
      <c r="EO235" s="22"/>
      <c r="EP235" s="22"/>
      <c r="EQ235" s="22"/>
      <c r="ER235" s="22"/>
      <c r="ES235" s="22"/>
      <c r="ET235" s="22"/>
      <c r="EU235" s="22"/>
      <c r="EV235" s="22"/>
      <c r="EW235" s="22"/>
      <c r="EX235" s="22"/>
      <c r="EY235" s="22"/>
      <c r="EZ235" s="22"/>
      <c r="FA235" s="22"/>
      <c r="FB235" s="22"/>
      <c r="FC235" s="22"/>
      <c r="FD235" s="22"/>
      <c r="FE235" s="22"/>
      <c r="FF235" s="22"/>
      <c r="FG235" s="22"/>
      <c r="FH235" s="22"/>
      <c r="FI235" s="22"/>
      <c r="FJ235" s="22"/>
      <c r="FK235" s="22"/>
      <c r="FL235" s="22"/>
      <c r="FM235" s="22"/>
      <c r="FN235" s="22"/>
      <c r="FO235" s="22"/>
      <c r="FP235" s="22"/>
      <c r="FQ235" s="22"/>
      <c r="FR235" s="22"/>
      <c r="FS235" s="22"/>
      <c r="FT235" s="22"/>
      <c r="FU235" s="22"/>
      <c r="FV235" s="22"/>
      <c r="FW235" s="22"/>
      <c r="FX235" s="22"/>
      <c r="FY235" s="22"/>
      <c r="FZ235" s="22"/>
    </row>
    <row r="236" spans="2:182" x14ac:dyDescent="0.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c r="Z236" s="22"/>
      <c r="AA236" s="22"/>
      <c r="AB236" s="22"/>
      <c r="AC236" s="22"/>
      <c r="AD236" s="22"/>
      <c r="AE236" s="22"/>
      <c r="AF236" s="22"/>
      <c r="AG236" s="22"/>
      <c r="AH236" s="22"/>
      <c r="AI236" s="22"/>
      <c r="AJ236" s="22"/>
      <c r="AK236" s="22"/>
      <c r="AL236" s="22"/>
      <c r="AM236" s="22"/>
      <c r="AN236" s="22"/>
      <c r="AO236" s="22"/>
      <c r="AP236" s="22"/>
      <c r="AQ236" s="22"/>
      <c r="AR236" s="22"/>
      <c r="AS236" s="22"/>
      <c r="AT236" s="22"/>
      <c r="AU236" s="22"/>
      <c r="AV236" s="22"/>
      <c r="AW236" s="22"/>
      <c r="AX236" s="22"/>
      <c r="AY236" s="22"/>
      <c r="AZ236" s="22"/>
      <c r="BA236" s="22"/>
      <c r="BB236" s="22"/>
      <c r="BC236" s="22"/>
      <c r="BD236" s="22"/>
      <c r="BE236" s="22"/>
      <c r="BF236" s="22"/>
      <c r="BG236" s="22"/>
      <c r="BH236" s="22"/>
      <c r="BI236" s="22"/>
      <c r="BJ236" s="22"/>
      <c r="BK236" s="22"/>
      <c r="BL236" s="22"/>
      <c r="BM236" s="22"/>
      <c r="BN236" s="22"/>
      <c r="BO236" s="22"/>
      <c r="BP236" s="22"/>
      <c r="BQ236" s="22"/>
      <c r="BR236" s="22"/>
      <c r="BS236" s="22"/>
      <c r="BT236" s="22"/>
      <c r="BU236" s="22"/>
      <c r="BV236" s="22"/>
      <c r="BW236" s="22"/>
      <c r="BX236" s="22"/>
      <c r="BY236" s="22"/>
      <c r="BZ236" s="22"/>
      <c r="CA236" s="22"/>
      <c r="CB236" s="22"/>
      <c r="CC236" s="22"/>
      <c r="CD236" s="22"/>
      <c r="CE236" s="22"/>
      <c r="CF236" s="22"/>
      <c r="CG236" s="22"/>
      <c r="CH236" s="22"/>
      <c r="CI236" s="22"/>
      <c r="CJ236" s="22"/>
      <c r="CK236" s="22"/>
      <c r="CL236" s="22"/>
      <c r="CM236" s="22"/>
      <c r="CN236" s="22"/>
      <c r="CO236" s="22"/>
      <c r="CP236" s="22"/>
      <c r="CQ236" s="22"/>
      <c r="CR236" s="22"/>
      <c r="CS236" s="22"/>
      <c r="CT236" s="22"/>
      <c r="CU236" s="22"/>
      <c r="CV236" s="22"/>
      <c r="CW236" s="22"/>
      <c r="CX236" s="22"/>
      <c r="CY236" s="22"/>
      <c r="CZ236" s="22"/>
      <c r="DA236" s="22"/>
      <c r="DB236" s="22"/>
      <c r="DC236" s="22"/>
      <c r="DD236" s="22"/>
      <c r="DE236" s="22"/>
      <c r="DF236" s="22"/>
      <c r="DG236" s="22"/>
      <c r="DH236" s="22"/>
      <c r="DI236" s="22"/>
      <c r="DJ236" s="22"/>
      <c r="DK236" s="22"/>
      <c r="DL236" s="22"/>
      <c r="DM236" s="22"/>
      <c r="DN236" s="22"/>
      <c r="DO236" s="22"/>
      <c r="DP236" s="22"/>
      <c r="DQ236" s="22"/>
      <c r="DR236" s="22"/>
      <c r="DS236" s="22"/>
      <c r="DT236" s="22"/>
      <c r="DU236" s="22"/>
      <c r="DV236" s="22"/>
      <c r="DW236" s="22"/>
      <c r="DX236" s="22"/>
      <c r="DY236" s="22"/>
      <c r="DZ236" s="22"/>
      <c r="EA236" s="22"/>
      <c r="EB236" s="22"/>
      <c r="EC236" s="22"/>
      <c r="ED236" s="22"/>
      <c r="EE236" s="22"/>
      <c r="EF236" s="22"/>
      <c r="EG236" s="22"/>
      <c r="EH236" s="22"/>
      <c r="EI236" s="22"/>
      <c r="EJ236" s="22"/>
      <c r="EK236" s="22"/>
      <c r="EL236" s="22"/>
      <c r="EM236" s="22"/>
      <c r="EN236" s="22"/>
      <c r="EO236" s="22"/>
      <c r="EP236" s="22"/>
      <c r="EQ236" s="22"/>
      <c r="ER236" s="22"/>
      <c r="ES236" s="22"/>
      <c r="ET236" s="22"/>
      <c r="EU236" s="22"/>
      <c r="EV236" s="22"/>
      <c r="EW236" s="22"/>
      <c r="EX236" s="22"/>
      <c r="EY236" s="22"/>
      <c r="EZ236" s="22"/>
      <c r="FA236" s="22"/>
      <c r="FB236" s="22"/>
      <c r="FC236" s="22"/>
      <c r="FD236" s="22"/>
      <c r="FE236" s="22"/>
      <c r="FF236" s="22"/>
      <c r="FG236" s="22"/>
      <c r="FH236" s="22"/>
      <c r="FI236" s="22"/>
      <c r="FJ236" s="22"/>
      <c r="FK236" s="22"/>
      <c r="FL236" s="22"/>
      <c r="FM236" s="22"/>
      <c r="FN236" s="22"/>
      <c r="FO236" s="22"/>
      <c r="FP236" s="22"/>
      <c r="FQ236" s="22"/>
      <c r="FR236" s="22"/>
      <c r="FS236" s="22"/>
      <c r="FT236" s="22"/>
      <c r="FU236" s="22"/>
      <c r="FV236" s="22"/>
      <c r="FW236" s="22"/>
      <c r="FX236" s="22"/>
      <c r="FY236" s="22"/>
      <c r="FZ236" s="22"/>
    </row>
    <row r="237" spans="2:182" x14ac:dyDescent="0.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c r="Z237" s="22"/>
      <c r="AA237" s="22"/>
      <c r="AB237" s="22"/>
      <c r="AC237" s="22"/>
      <c r="AD237" s="22"/>
      <c r="AE237" s="22"/>
      <c r="AF237" s="22"/>
      <c r="AG237" s="22"/>
      <c r="AH237" s="22"/>
      <c r="AI237" s="22"/>
      <c r="AJ237" s="22"/>
      <c r="AK237" s="22"/>
      <c r="AL237" s="22"/>
      <c r="AM237" s="22"/>
      <c r="AN237" s="22"/>
      <c r="AO237" s="22"/>
      <c r="AP237" s="22"/>
      <c r="AQ237" s="22"/>
      <c r="AR237" s="22"/>
      <c r="AS237" s="22"/>
      <c r="AT237" s="22"/>
      <c r="AU237" s="22"/>
      <c r="AV237" s="22"/>
      <c r="AW237" s="22"/>
      <c r="AX237" s="22"/>
      <c r="AY237" s="22"/>
      <c r="AZ237" s="22"/>
      <c r="BA237" s="22"/>
      <c r="BB237" s="22"/>
      <c r="BC237" s="22"/>
      <c r="BD237" s="22"/>
      <c r="BE237" s="22"/>
      <c r="BF237" s="22"/>
      <c r="BG237" s="22"/>
      <c r="BH237" s="22"/>
      <c r="BI237" s="22"/>
      <c r="BJ237" s="22"/>
      <c r="BK237" s="22"/>
      <c r="BL237" s="22"/>
      <c r="BM237" s="22"/>
      <c r="BN237" s="22"/>
      <c r="BO237" s="22"/>
      <c r="BP237" s="22"/>
      <c r="BQ237" s="22"/>
      <c r="BR237" s="22"/>
      <c r="BS237" s="22"/>
      <c r="BT237" s="22"/>
      <c r="BU237" s="22"/>
      <c r="BV237" s="22"/>
      <c r="BW237" s="22"/>
      <c r="BX237" s="22"/>
      <c r="BY237" s="22"/>
      <c r="BZ237" s="22"/>
      <c r="CA237" s="22"/>
      <c r="CB237" s="22"/>
      <c r="CC237" s="22"/>
      <c r="CD237" s="22"/>
      <c r="CE237" s="22"/>
      <c r="CF237" s="22"/>
      <c r="CG237" s="22"/>
      <c r="CH237" s="22"/>
      <c r="CI237" s="22"/>
      <c r="CJ237" s="22"/>
      <c r="CK237" s="22"/>
      <c r="CL237" s="22"/>
      <c r="CM237" s="22"/>
      <c r="CN237" s="22"/>
      <c r="CO237" s="22"/>
      <c r="CP237" s="22"/>
      <c r="CQ237" s="22"/>
      <c r="CR237" s="22"/>
      <c r="CS237" s="22"/>
      <c r="CT237" s="22"/>
      <c r="CU237" s="22"/>
      <c r="CV237" s="22"/>
      <c r="CW237" s="22"/>
      <c r="CX237" s="22"/>
      <c r="CY237" s="22"/>
      <c r="CZ237" s="22"/>
      <c r="DA237" s="22"/>
      <c r="DB237" s="22"/>
      <c r="DC237" s="22"/>
      <c r="DD237" s="22"/>
      <c r="DE237" s="22"/>
      <c r="DF237" s="22"/>
      <c r="DG237" s="22"/>
      <c r="DH237" s="22"/>
      <c r="DI237" s="22"/>
      <c r="DJ237" s="22"/>
      <c r="DK237" s="22"/>
      <c r="DL237" s="22"/>
      <c r="DM237" s="22"/>
      <c r="DN237" s="22"/>
      <c r="DO237" s="22"/>
      <c r="DP237" s="22"/>
      <c r="DQ237" s="22"/>
      <c r="DR237" s="22"/>
      <c r="DS237" s="22"/>
      <c r="DT237" s="22"/>
      <c r="DU237" s="22"/>
      <c r="DV237" s="22"/>
      <c r="DW237" s="22"/>
      <c r="DX237" s="22"/>
      <c r="DY237" s="22"/>
      <c r="DZ237" s="22"/>
      <c r="EA237" s="22"/>
      <c r="EB237" s="22"/>
      <c r="EC237" s="22"/>
      <c r="ED237" s="22"/>
      <c r="EE237" s="22"/>
      <c r="EF237" s="22"/>
      <c r="EG237" s="22"/>
      <c r="EH237" s="22"/>
      <c r="EI237" s="22"/>
      <c r="EJ237" s="22"/>
      <c r="EK237" s="22"/>
      <c r="EL237" s="22"/>
      <c r="EM237" s="22"/>
      <c r="EN237" s="22"/>
      <c r="EO237" s="22"/>
      <c r="EP237" s="22"/>
      <c r="EQ237" s="22"/>
      <c r="ER237" s="22"/>
      <c r="ES237" s="22"/>
      <c r="ET237" s="22"/>
      <c r="EU237" s="22"/>
      <c r="EV237" s="22"/>
      <c r="EW237" s="22"/>
      <c r="EX237" s="22"/>
      <c r="EY237" s="22"/>
      <c r="EZ237" s="22"/>
      <c r="FA237" s="22"/>
      <c r="FB237" s="22"/>
      <c r="FC237" s="22"/>
      <c r="FD237" s="22"/>
      <c r="FE237" s="22"/>
      <c r="FF237" s="22"/>
      <c r="FG237" s="22"/>
      <c r="FH237" s="22"/>
      <c r="FI237" s="22"/>
      <c r="FJ237" s="22"/>
      <c r="FK237" s="22"/>
      <c r="FL237" s="22"/>
      <c r="FM237" s="22"/>
      <c r="FN237" s="22"/>
      <c r="FO237" s="22"/>
      <c r="FP237" s="22"/>
      <c r="FQ237" s="22"/>
      <c r="FR237" s="22"/>
      <c r="FS237" s="22"/>
      <c r="FT237" s="22"/>
      <c r="FU237" s="22"/>
      <c r="FV237" s="22"/>
      <c r="FW237" s="22"/>
      <c r="FX237" s="22"/>
      <c r="FY237" s="22"/>
      <c r="FZ237" s="22"/>
    </row>
    <row r="238" spans="2:182" x14ac:dyDescent="0.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c r="Z238" s="22"/>
      <c r="AA238" s="22"/>
      <c r="AB238" s="22"/>
      <c r="AC238" s="22"/>
      <c r="AD238" s="22"/>
      <c r="AE238" s="22"/>
      <c r="AF238" s="22"/>
      <c r="AG238" s="22"/>
      <c r="AH238" s="22"/>
      <c r="AI238" s="22"/>
      <c r="AJ238" s="22"/>
      <c r="AK238" s="22"/>
      <c r="AL238" s="22"/>
      <c r="AM238" s="22"/>
      <c r="AN238" s="22"/>
      <c r="AO238" s="22"/>
      <c r="AP238" s="22"/>
      <c r="AQ238" s="22"/>
      <c r="AR238" s="22"/>
      <c r="AS238" s="22"/>
      <c r="AT238" s="22"/>
      <c r="AU238" s="22"/>
      <c r="AV238" s="22"/>
      <c r="AW238" s="22"/>
      <c r="AX238" s="22"/>
      <c r="AY238" s="22"/>
      <c r="AZ238" s="22"/>
      <c r="BA238" s="22"/>
      <c r="BB238" s="22"/>
      <c r="BC238" s="22"/>
      <c r="BD238" s="22"/>
      <c r="BE238" s="22"/>
      <c r="BF238" s="22"/>
      <c r="BG238" s="22"/>
      <c r="BH238" s="22"/>
      <c r="BI238" s="22"/>
      <c r="BJ238" s="22"/>
      <c r="BK238" s="22"/>
      <c r="BL238" s="22"/>
      <c r="BM238" s="22"/>
      <c r="BN238" s="22"/>
      <c r="BO238" s="22"/>
      <c r="BP238" s="22"/>
      <c r="BQ238" s="22"/>
      <c r="BR238" s="22"/>
      <c r="BS238" s="22"/>
      <c r="BT238" s="22"/>
      <c r="BU238" s="22"/>
      <c r="BV238" s="22"/>
      <c r="BW238" s="22"/>
      <c r="BX238" s="22"/>
      <c r="BY238" s="22"/>
      <c r="BZ238" s="22"/>
      <c r="CA238" s="22"/>
      <c r="CB238" s="22"/>
      <c r="CC238" s="22"/>
      <c r="CD238" s="22"/>
      <c r="CE238" s="22"/>
      <c r="CF238" s="22"/>
      <c r="CG238" s="22"/>
      <c r="CH238" s="22"/>
      <c r="CI238" s="22"/>
      <c r="CJ238" s="22"/>
      <c r="CK238" s="22"/>
      <c r="CL238" s="22"/>
      <c r="CM238" s="22"/>
      <c r="CN238" s="22"/>
      <c r="CO238" s="22"/>
      <c r="CP238" s="22"/>
      <c r="CQ238" s="22"/>
      <c r="CR238" s="22"/>
      <c r="CS238" s="22"/>
      <c r="CT238" s="22"/>
      <c r="CU238" s="22"/>
      <c r="CV238" s="22"/>
      <c r="CW238" s="22"/>
      <c r="CX238" s="22"/>
      <c r="CY238" s="22"/>
      <c r="CZ238" s="22"/>
      <c r="DA238" s="22"/>
      <c r="DB238" s="22"/>
      <c r="DC238" s="22"/>
      <c r="DD238" s="22"/>
      <c r="DE238" s="22"/>
      <c r="DF238" s="22"/>
      <c r="DG238" s="22"/>
      <c r="DH238" s="22"/>
      <c r="DI238" s="22"/>
      <c r="DJ238" s="22"/>
      <c r="DK238" s="22"/>
      <c r="DL238" s="22"/>
      <c r="DM238" s="22"/>
      <c r="DN238" s="22"/>
      <c r="DO238" s="22"/>
      <c r="DP238" s="22"/>
      <c r="DQ238" s="22"/>
      <c r="DR238" s="22"/>
      <c r="DS238" s="22"/>
      <c r="DT238" s="22"/>
      <c r="DU238" s="22"/>
      <c r="DV238" s="22"/>
      <c r="DW238" s="22"/>
      <c r="DX238" s="22"/>
      <c r="DY238" s="22"/>
      <c r="DZ238" s="22"/>
      <c r="EA238" s="22"/>
      <c r="EB238" s="22"/>
      <c r="EC238" s="22"/>
      <c r="ED238" s="22"/>
      <c r="EE238" s="22"/>
      <c r="EF238" s="22"/>
      <c r="EG238" s="22"/>
      <c r="EH238" s="22"/>
      <c r="EI238" s="22"/>
      <c r="EJ238" s="22"/>
      <c r="EK238" s="22"/>
      <c r="EL238" s="22"/>
      <c r="EM238" s="22"/>
      <c r="EN238" s="22"/>
      <c r="EO238" s="22"/>
      <c r="EP238" s="22"/>
      <c r="EQ238" s="22"/>
      <c r="ER238" s="22"/>
      <c r="ES238" s="22"/>
      <c r="ET238" s="22"/>
      <c r="EU238" s="22"/>
      <c r="EV238" s="22"/>
      <c r="EW238" s="22"/>
      <c r="EX238" s="22"/>
      <c r="EY238" s="22"/>
      <c r="EZ238" s="22"/>
      <c r="FA238" s="22"/>
      <c r="FB238" s="22"/>
      <c r="FC238" s="22"/>
      <c r="FD238" s="22"/>
      <c r="FE238" s="22"/>
      <c r="FF238" s="22"/>
      <c r="FG238" s="22"/>
      <c r="FH238" s="22"/>
      <c r="FI238" s="22"/>
      <c r="FJ238" s="22"/>
      <c r="FK238" s="22"/>
      <c r="FL238" s="22"/>
      <c r="FM238" s="22"/>
      <c r="FN238" s="22"/>
      <c r="FO238" s="22"/>
      <c r="FP238" s="22"/>
      <c r="FQ238" s="22"/>
      <c r="FR238" s="22"/>
      <c r="FS238" s="22"/>
      <c r="FT238" s="22"/>
      <c r="FU238" s="22"/>
      <c r="FV238" s="22"/>
      <c r="FW238" s="22"/>
      <c r="FX238" s="22"/>
      <c r="FY238" s="22"/>
      <c r="FZ238" s="22"/>
    </row>
    <row r="239" spans="2:182" x14ac:dyDescent="0.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c r="Z239" s="22"/>
      <c r="AA239" s="22"/>
      <c r="AB239" s="22"/>
      <c r="AC239" s="22"/>
      <c r="AD239" s="22"/>
      <c r="AE239" s="22"/>
      <c r="AF239" s="22"/>
      <c r="AG239" s="22"/>
      <c r="AH239" s="22"/>
      <c r="AI239" s="22"/>
      <c r="AJ239" s="22"/>
      <c r="AK239" s="22"/>
      <c r="AL239" s="22"/>
      <c r="AM239" s="22"/>
      <c r="AN239" s="22"/>
      <c r="AO239" s="22"/>
      <c r="AP239" s="22"/>
      <c r="AQ239" s="22"/>
      <c r="AR239" s="22"/>
      <c r="AS239" s="22"/>
      <c r="AT239" s="22"/>
      <c r="AU239" s="22"/>
      <c r="AV239" s="22"/>
      <c r="AW239" s="22"/>
      <c r="AX239" s="22"/>
      <c r="AY239" s="22"/>
      <c r="AZ239" s="22"/>
      <c r="BA239" s="22"/>
      <c r="BB239" s="22"/>
      <c r="BC239" s="22"/>
      <c r="BD239" s="22"/>
      <c r="BE239" s="22"/>
      <c r="BF239" s="22"/>
      <c r="BG239" s="22"/>
      <c r="BH239" s="22"/>
      <c r="BI239" s="22"/>
      <c r="BJ239" s="22"/>
      <c r="BK239" s="22"/>
      <c r="BL239" s="22"/>
      <c r="BM239" s="22"/>
      <c r="BN239" s="22"/>
      <c r="BO239" s="22"/>
      <c r="BP239" s="22"/>
      <c r="BQ239" s="22"/>
      <c r="BR239" s="22"/>
      <c r="BS239" s="22"/>
      <c r="BT239" s="22"/>
      <c r="BU239" s="22"/>
      <c r="BV239" s="22"/>
      <c r="BW239" s="22"/>
      <c r="BX239" s="22"/>
      <c r="BY239" s="22"/>
      <c r="BZ239" s="22"/>
      <c r="CA239" s="22"/>
      <c r="CB239" s="22"/>
      <c r="CC239" s="22"/>
      <c r="CD239" s="22"/>
      <c r="CE239" s="22"/>
      <c r="CF239" s="22"/>
      <c r="CG239" s="22"/>
      <c r="CH239" s="22"/>
      <c r="CI239" s="22"/>
      <c r="CJ239" s="22"/>
      <c r="CK239" s="22"/>
      <c r="CL239" s="22"/>
      <c r="CM239" s="22"/>
      <c r="CN239" s="22"/>
      <c r="CO239" s="22"/>
      <c r="CP239" s="22"/>
      <c r="CQ239" s="22"/>
      <c r="CR239" s="22"/>
      <c r="CS239" s="22"/>
      <c r="CT239" s="22"/>
      <c r="CU239" s="22"/>
      <c r="CV239" s="22"/>
      <c r="CW239" s="22"/>
      <c r="CX239" s="22"/>
      <c r="CY239" s="22"/>
      <c r="CZ239" s="22"/>
      <c r="DA239" s="22"/>
      <c r="DB239" s="22"/>
      <c r="DC239" s="22"/>
      <c r="DD239" s="22"/>
      <c r="DE239" s="22"/>
      <c r="DF239" s="22"/>
      <c r="DG239" s="22"/>
      <c r="DH239" s="22"/>
      <c r="DI239" s="22"/>
      <c r="DJ239" s="22"/>
      <c r="DK239" s="22"/>
      <c r="DL239" s="22"/>
      <c r="DM239" s="22"/>
      <c r="DN239" s="22"/>
      <c r="DO239" s="22"/>
      <c r="DP239" s="22"/>
      <c r="DQ239" s="22"/>
      <c r="DR239" s="22"/>
      <c r="DS239" s="22"/>
      <c r="DT239" s="22"/>
      <c r="DU239" s="22"/>
      <c r="DV239" s="22"/>
      <c r="DW239" s="22"/>
      <c r="DX239" s="22"/>
      <c r="DY239" s="22"/>
      <c r="DZ239" s="22"/>
      <c r="EA239" s="22"/>
      <c r="EB239" s="22"/>
      <c r="EC239" s="22"/>
      <c r="ED239" s="22"/>
      <c r="EE239" s="22"/>
      <c r="EF239" s="22"/>
      <c r="EG239" s="22"/>
      <c r="EH239" s="22"/>
      <c r="EI239" s="22"/>
      <c r="EJ239" s="22"/>
      <c r="EK239" s="22"/>
      <c r="EL239" s="22"/>
      <c r="EM239" s="22"/>
      <c r="EN239" s="22"/>
      <c r="EO239" s="22"/>
      <c r="EP239" s="22"/>
      <c r="EQ239" s="22"/>
      <c r="ER239" s="22"/>
      <c r="ES239" s="22"/>
      <c r="ET239" s="22"/>
      <c r="EU239" s="22"/>
      <c r="EV239" s="22"/>
      <c r="EW239" s="22"/>
      <c r="EX239" s="22"/>
      <c r="EY239" s="22"/>
      <c r="EZ239" s="22"/>
      <c r="FA239" s="22"/>
      <c r="FB239" s="22"/>
      <c r="FC239" s="22"/>
      <c r="FD239" s="22"/>
      <c r="FE239" s="22"/>
      <c r="FF239" s="22"/>
      <c r="FG239" s="22"/>
      <c r="FH239" s="22"/>
      <c r="FI239" s="22"/>
      <c r="FJ239" s="22"/>
      <c r="FK239" s="22"/>
      <c r="FL239" s="22"/>
      <c r="FM239" s="22"/>
      <c r="FN239" s="22"/>
      <c r="FO239" s="22"/>
      <c r="FP239" s="22"/>
      <c r="FQ239" s="22"/>
      <c r="FR239" s="22"/>
      <c r="FS239" s="22"/>
      <c r="FT239" s="22"/>
      <c r="FU239" s="22"/>
      <c r="FV239" s="22"/>
      <c r="FW239" s="22"/>
      <c r="FX239" s="22"/>
      <c r="FY239" s="22"/>
      <c r="FZ239" s="22"/>
    </row>
    <row r="240" spans="2:182" x14ac:dyDescent="0.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c r="Z240" s="22"/>
      <c r="AA240" s="22"/>
      <c r="AB240" s="22"/>
      <c r="AC240" s="22"/>
      <c r="AD240" s="22"/>
      <c r="AE240" s="22"/>
      <c r="AF240" s="22"/>
      <c r="AG240" s="22"/>
      <c r="AH240" s="22"/>
      <c r="AI240" s="22"/>
      <c r="AJ240" s="22"/>
      <c r="AK240" s="22"/>
      <c r="AL240" s="22"/>
      <c r="AM240" s="22"/>
      <c r="AN240" s="22"/>
      <c r="AO240" s="22"/>
      <c r="AP240" s="22"/>
      <c r="AQ240" s="22"/>
      <c r="AR240" s="22"/>
      <c r="AS240" s="22"/>
      <c r="AT240" s="22"/>
      <c r="AU240" s="22"/>
      <c r="AV240" s="22"/>
      <c r="AW240" s="22"/>
      <c r="AX240" s="22"/>
      <c r="AY240" s="22"/>
      <c r="AZ240" s="22"/>
      <c r="BA240" s="22"/>
      <c r="BB240" s="22"/>
      <c r="BC240" s="22"/>
      <c r="BD240" s="22"/>
      <c r="BE240" s="22"/>
      <c r="BF240" s="22"/>
      <c r="BG240" s="22"/>
      <c r="BH240" s="22"/>
      <c r="BI240" s="22"/>
      <c r="BJ240" s="22"/>
      <c r="BK240" s="22"/>
      <c r="BL240" s="22"/>
      <c r="BM240" s="22"/>
      <c r="BN240" s="22"/>
      <c r="BO240" s="22"/>
      <c r="BP240" s="22"/>
      <c r="BQ240" s="22"/>
      <c r="BR240" s="22"/>
      <c r="BS240" s="22"/>
      <c r="BT240" s="22"/>
      <c r="BU240" s="22"/>
      <c r="BV240" s="22"/>
      <c r="BW240" s="22"/>
      <c r="BX240" s="22"/>
      <c r="BY240" s="22"/>
      <c r="BZ240" s="22"/>
      <c r="CA240" s="22"/>
      <c r="CB240" s="22"/>
      <c r="CC240" s="22"/>
      <c r="CD240" s="22"/>
      <c r="CE240" s="22"/>
      <c r="CF240" s="22"/>
      <c r="CG240" s="22"/>
      <c r="CH240" s="22"/>
      <c r="CI240" s="22"/>
      <c r="CJ240" s="22"/>
      <c r="CK240" s="22"/>
      <c r="CL240" s="22"/>
      <c r="CM240" s="22"/>
      <c r="CN240" s="22"/>
      <c r="CO240" s="22"/>
      <c r="CP240" s="22"/>
      <c r="CQ240" s="22"/>
      <c r="CR240" s="22"/>
      <c r="CS240" s="22"/>
      <c r="CT240" s="22"/>
      <c r="CU240" s="22"/>
      <c r="CV240" s="22"/>
      <c r="CW240" s="22"/>
      <c r="CX240" s="22"/>
      <c r="CY240" s="22"/>
      <c r="CZ240" s="22"/>
      <c r="DA240" s="22"/>
      <c r="DB240" s="22"/>
      <c r="DC240" s="22"/>
      <c r="DD240" s="22"/>
      <c r="DE240" s="22"/>
      <c r="DF240" s="22"/>
      <c r="DG240" s="22"/>
      <c r="DH240" s="22"/>
      <c r="DI240" s="22"/>
      <c r="DJ240" s="22"/>
      <c r="DK240" s="22"/>
      <c r="DL240" s="22"/>
      <c r="DM240" s="22"/>
      <c r="DN240" s="22"/>
      <c r="DO240" s="22"/>
      <c r="DP240" s="22"/>
      <c r="DQ240" s="22"/>
      <c r="DR240" s="22"/>
      <c r="DS240" s="22"/>
      <c r="DT240" s="22"/>
      <c r="DU240" s="22"/>
      <c r="DV240" s="22"/>
      <c r="DW240" s="22"/>
      <c r="DX240" s="22"/>
      <c r="DY240" s="22"/>
      <c r="DZ240" s="22"/>
      <c r="EA240" s="22"/>
      <c r="EB240" s="22"/>
      <c r="EC240" s="22"/>
      <c r="ED240" s="22"/>
      <c r="EE240" s="22"/>
      <c r="EF240" s="22"/>
      <c r="EG240" s="22"/>
      <c r="EH240" s="22"/>
      <c r="EI240" s="22"/>
      <c r="EJ240" s="22"/>
      <c r="EK240" s="22"/>
      <c r="EL240" s="22"/>
      <c r="EM240" s="22"/>
      <c r="EN240" s="22"/>
      <c r="EO240" s="22"/>
      <c r="EP240" s="22"/>
      <c r="EQ240" s="22"/>
      <c r="ER240" s="22"/>
      <c r="ES240" s="22"/>
      <c r="ET240" s="22"/>
      <c r="EU240" s="22"/>
      <c r="EV240" s="22"/>
      <c r="EW240" s="22"/>
      <c r="EX240" s="22"/>
      <c r="EY240" s="22"/>
      <c r="EZ240" s="22"/>
      <c r="FA240" s="22"/>
      <c r="FB240" s="22"/>
      <c r="FC240" s="22"/>
      <c r="FD240" s="22"/>
      <c r="FE240" s="22"/>
      <c r="FF240" s="22"/>
      <c r="FG240" s="22"/>
      <c r="FH240" s="22"/>
      <c r="FI240" s="22"/>
      <c r="FJ240" s="22"/>
      <c r="FK240" s="22"/>
      <c r="FL240" s="22"/>
      <c r="FM240" s="22"/>
      <c r="FN240" s="22"/>
      <c r="FO240" s="22"/>
      <c r="FP240" s="22"/>
      <c r="FQ240" s="22"/>
      <c r="FR240" s="22"/>
      <c r="FS240" s="22"/>
      <c r="FT240" s="22"/>
      <c r="FU240" s="22"/>
      <c r="FV240" s="22"/>
      <c r="FW240" s="22"/>
      <c r="FX240" s="22"/>
      <c r="FY240" s="22"/>
      <c r="FZ240" s="22"/>
    </row>
    <row r="241" spans="2:182" x14ac:dyDescent="0.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c r="Z241" s="22"/>
      <c r="AA241" s="22"/>
      <c r="AB241" s="22"/>
      <c r="AC241" s="22"/>
      <c r="AD241" s="22"/>
      <c r="AE241" s="22"/>
      <c r="AF241" s="22"/>
      <c r="AG241" s="22"/>
      <c r="AH241" s="22"/>
      <c r="AI241" s="22"/>
      <c r="AJ241" s="22"/>
      <c r="AK241" s="22"/>
      <c r="AL241" s="22"/>
      <c r="AM241" s="22"/>
      <c r="AN241" s="22"/>
      <c r="AO241" s="22"/>
      <c r="AP241" s="22"/>
      <c r="AQ241" s="22"/>
      <c r="AR241" s="22"/>
      <c r="AS241" s="22"/>
      <c r="AT241" s="22"/>
      <c r="AU241" s="22"/>
      <c r="AV241" s="22"/>
      <c r="AW241" s="22"/>
      <c r="AX241" s="22"/>
      <c r="AY241" s="22"/>
      <c r="AZ241" s="22"/>
      <c r="BA241" s="22"/>
      <c r="BB241" s="22"/>
      <c r="BC241" s="22"/>
      <c r="BD241" s="22"/>
      <c r="BE241" s="22"/>
      <c r="BF241" s="22"/>
      <c r="BG241" s="22"/>
      <c r="BH241" s="22"/>
      <c r="BI241" s="22"/>
      <c r="BJ241" s="22"/>
      <c r="BK241" s="22"/>
      <c r="BL241" s="22"/>
      <c r="BM241" s="22"/>
      <c r="BN241" s="22"/>
      <c r="BO241" s="22"/>
      <c r="BP241" s="22"/>
      <c r="BQ241" s="22"/>
      <c r="BR241" s="22"/>
      <c r="BS241" s="22"/>
      <c r="BT241" s="22"/>
      <c r="BU241" s="22"/>
      <c r="BV241" s="22"/>
      <c r="BW241" s="22"/>
      <c r="BX241" s="22"/>
      <c r="BY241" s="22"/>
      <c r="BZ241" s="22"/>
      <c r="CA241" s="22"/>
      <c r="CB241" s="22"/>
      <c r="CC241" s="22"/>
      <c r="CD241" s="22"/>
      <c r="CE241" s="22"/>
      <c r="CF241" s="22"/>
      <c r="CG241" s="22"/>
      <c r="CH241" s="22"/>
      <c r="CI241" s="22"/>
      <c r="CJ241" s="22"/>
      <c r="CK241" s="22"/>
      <c r="CL241" s="22"/>
      <c r="CM241" s="22"/>
      <c r="CN241" s="22"/>
      <c r="CO241" s="22"/>
      <c r="CP241" s="22"/>
      <c r="CQ241" s="22"/>
      <c r="CR241" s="22"/>
      <c r="CS241" s="22"/>
      <c r="CT241" s="22"/>
      <c r="CU241" s="22"/>
      <c r="CV241" s="22"/>
      <c r="CW241" s="22"/>
      <c r="CX241" s="22"/>
      <c r="CY241" s="22"/>
      <c r="CZ241" s="22"/>
      <c r="DA241" s="22"/>
      <c r="DB241" s="22"/>
      <c r="DC241" s="22"/>
      <c r="DD241" s="22"/>
      <c r="DE241" s="22"/>
      <c r="DF241" s="22"/>
      <c r="DG241" s="22"/>
      <c r="DH241" s="22"/>
      <c r="DI241" s="22"/>
      <c r="DJ241" s="22"/>
      <c r="DK241" s="22"/>
      <c r="DL241" s="22"/>
      <c r="DM241" s="22"/>
      <c r="DN241" s="22"/>
      <c r="DO241" s="22"/>
      <c r="DP241" s="22"/>
      <c r="DQ241" s="22"/>
      <c r="DR241" s="22"/>
      <c r="DS241" s="22"/>
      <c r="DT241" s="22"/>
      <c r="DU241" s="22"/>
      <c r="DV241" s="22"/>
      <c r="DW241" s="22"/>
      <c r="DX241" s="22"/>
      <c r="DY241" s="22"/>
      <c r="DZ241" s="22"/>
      <c r="EA241" s="22"/>
      <c r="EB241" s="22"/>
      <c r="EC241" s="22"/>
      <c r="ED241" s="22"/>
      <c r="EE241" s="22"/>
      <c r="EF241" s="22"/>
      <c r="EG241" s="22"/>
      <c r="EH241" s="22"/>
      <c r="EI241" s="22"/>
      <c r="EJ241" s="22"/>
      <c r="EK241" s="22"/>
      <c r="EL241" s="22"/>
      <c r="EM241" s="22"/>
      <c r="EN241" s="22"/>
      <c r="EO241" s="22"/>
      <c r="EP241" s="22"/>
      <c r="EQ241" s="22"/>
      <c r="ER241" s="22"/>
      <c r="ES241" s="22"/>
      <c r="ET241" s="22"/>
      <c r="EU241" s="22"/>
      <c r="EV241" s="22"/>
      <c r="EW241" s="22"/>
      <c r="EX241" s="22"/>
      <c r="EY241" s="22"/>
      <c r="EZ241" s="22"/>
      <c r="FA241" s="22"/>
      <c r="FB241" s="22"/>
      <c r="FC241" s="22"/>
      <c r="FD241" s="22"/>
      <c r="FE241" s="22"/>
      <c r="FF241" s="22"/>
      <c r="FG241" s="22"/>
      <c r="FH241" s="22"/>
      <c r="FI241" s="22"/>
      <c r="FJ241" s="22"/>
      <c r="FK241" s="22"/>
      <c r="FL241" s="22"/>
      <c r="FM241" s="22"/>
      <c r="FN241" s="22"/>
      <c r="FO241" s="22"/>
      <c r="FP241" s="22"/>
      <c r="FQ241" s="22"/>
      <c r="FR241" s="22"/>
      <c r="FS241" s="22"/>
      <c r="FT241" s="22"/>
      <c r="FU241" s="22"/>
      <c r="FV241" s="22"/>
      <c r="FW241" s="22"/>
      <c r="FX241" s="22"/>
      <c r="FY241" s="22"/>
      <c r="FZ241" s="22"/>
    </row>
    <row r="242" spans="2:182" x14ac:dyDescent="0.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c r="Z242" s="22"/>
      <c r="AA242" s="22"/>
      <c r="AB242" s="22"/>
      <c r="AC242" s="22"/>
      <c r="AD242" s="22"/>
      <c r="AE242" s="22"/>
      <c r="AF242" s="22"/>
      <c r="AG242" s="22"/>
      <c r="AH242" s="22"/>
      <c r="AI242" s="22"/>
      <c r="AJ242" s="22"/>
      <c r="AK242" s="22"/>
      <c r="AL242" s="22"/>
      <c r="AM242" s="22"/>
      <c r="AN242" s="22"/>
      <c r="AO242" s="22"/>
      <c r="AP242" s="22"/>
      <c r="AQ242" s="22"/>
      <c r="AR242" s="22"/>
      <c r="AS242" s="22"/>
      <c r="AT242" s="22"/>
      <c r="AU242" s="22"/>
      <c r="AV242" s="22"/>
      <c r="AW242" s="22"/>
      <c r="AX242" s="22"/>
      <c r="AY242" s="22"/>
      <c r="AZ242" s="22"/>
      <c r="BA242" s="22"/>
      <c r="BB242" s="22"/>
      <c r="BC242" s="22"/>
      <c r="BD242" s="22"/>
      <c r="BE242" s="22"/>
      <c r="BF242" s="22"/>
      <c r="BG242" s="22"/>
      <c r="BH242" s="22"/>
      <c r="BI242" s="22"/>
      <c r="BJ242" s="22"/>
      <c r="BK242" s="22"/>
      <c r="BL242" s="22"/>
      <c r="BM242" s="22"/>
      <c r="BN242" s="22"/>
      <c r="BO242" s="22"/>
      <c r="BP242" s="22"/>
      <c r="BQ242" s="22"/>
      <c r="BR242" s="22"/>
      <c r="BS242" s="22"/>
      <c r="BT242" s="22"/>
      <c r="BU242" s="22"/>
      <c r="BV242" s="22"/>
      <c r="BW242" s="22"/>
      <c r="BX242" s="22"/>
      <c r="BY242" s="22"/>
      <c r="BZ242" s="22"/>
      <c r="CA242" s="22"/>
      <c r="CB242" s="22"/>
      <c r="CC242" s="22"/>
      <c r="CD242" s="22"/>
      <c r="CE242" s="22"/>
      <c r="CF242" s="22"/>
      <c r="CG242" s="22"/>
      <c r="CH242" s="22"/>
      <c r="CI242" s="22"/>
      <c r="CJ242" s="22"/>
      <c r="CK242" s="22"/>
      <c r="CL242" s="22"/>
      <c r="CM242" s="22"/>
      <c r="CN242" s="22"/>
      <c r="CO242" s="22"/>
      <c r="CP242" s="22"/>
      <c r="CQ242" s="22"/>
      <c r="CR242" s="22"/>
      <c r="CS242" s="22"/>
      <c r="CT242" s="22"/>
      <c r="CU242" s="22"/>
      <c r="CV242" s="22"/>
      <c r="CW242" s="22"/>
      <c r="CX242" s="22"/>
      <c r="CY242" s="22"/>
      <c r="CZ242" s="22"/>
      <c r="DA242" s="22"/>
      <c r="DB242" s="22"/>
      <c r="DC242" s="22"/>
      <c r="DD242" s="22"/>
      <c r="DE242" s="22"/>
      <c r="DF242" s="22"/>
      <c r="DG242" s="22"/>
      <c r="DH242" s="22"/>
      <c r="DI242" s="22"/>
      <c r="DJ242" s="22"/>
      <c r="DK242" s="22"/>
      <c r="DL242" s="22"/>
      <c r="DM242" s="22"/>
      <c r="DN242" s="22"/>
      <c r="DO242" s="22"/>
      <c r="DP242" s="22"/>
      <c r="DQ242" s="22"/>
      <c r="DR242" s="22"/>
      <c r="DS242" s="22"/>
      <c r="DT242" s="22"/>
      <c r="DU242" s="22"/>
      <c r="DV242" s="22"/>
      <c r="DW242" s="22"/>
      <c r="DX242" s="22"/>
      <c r="DY242" s="22"/>
      <c r="DZ242" s="22"/>
      <c r="EA242" s="22"/>
      <c r="EB242" s="22"/>
      <c r="EC242" s="22"/>
      <c r="ED242" s="22"/>
      <c r="EE242" s="22"/>
      <c r="EF242" s="22"/>
      <c r="EG242" s="22"/>
      <c r="EH242" s="22"/>
      <c r="EI242" s="22"/>
      <c r="EJ242" s="22"/>
      <c r="EK242" s="22"/>
      <c r="EL242" s="22"/>
      <c r="EM242" s="22"/>
      <c r="EN242" s="22"/>
      <c r="EO242" s="22"/>
      <c r="EP242" s="22"/>
      <c r="EQ242" s="22"/>
      <c r="ER242" s="22"/>
      <c r="ES242" s="22"/>
      <c r="ET242" s="22"/>
      <c r="EU242" s="22"/>
      <c r="EV242" s="22"/>
      <c r="EW242" s="22"/>
      <c r="EX242" s="22"/>
      <c r="EY242" s="22"/>
      <c r="EZ242" s="22"/>
      <c r="FA242" s="22"/>
      <c r="FB242" s="22"/>
      <c r="FC242" s="22"/>
      <c r="FD242" s="22"/>
      <c r="FE242" s="22"/>
      <c r="FF242" s="22"/>
      <c r="FG242" s="22"/>
      <c r="FH242" s="22"/>
      <c r="FI242" s="22"/>
      <c r="FJ242" s="22"/>
      <c r="FK242" s="22"/>
      <c r="FL242" s="22"/>
      <c r="FM242" s="22"/>
      <c r="FN242" s="22"/>
      <c r="FO242" s="22"/>
      <c r="FP242" s="22"/>
      <c r="FQ242" s="22"/>
      <c r="FR242" s="22"/>
      <c r="FS242" s="22"/>
      <c r="FT242" s="22"/>
      <c r="FU242" s="22"/>
      <c r="FV242" s="22"/>
      <c r="FW242" s="22"/>
      <c r="FX242" s="22"/>
      <c r="FY242" s="22"/>
      <c r="FZ242" s="22"/>
    </row>
    <row r="243" spans="2:182" x14ac:dyDescent="0.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c r="Z243" s="22"/>
      <c r="AA243" s="22"/>
      <c r="AB243" s="22"/>
      <c r="AC243" s="22"/>
      <c r="AD243" s="22"/>
      <c r="AE243" s="22"/>
      <c r="AF243" s="22"/>
      <c r="AG243" s="22"/>
      <c r="AH243" s="22"/>
      <c r="AI243" s="22"/>
      <c r="AJ243" s="22"/>
      <c r="AK243" s="22"/>
      <c r="AL243" s="22"/>
      <c r="AM243" s="22"/>
      <c r="AN243" s="22"/>
      <c r="AO243" s="22"/>
      <c r="AP243" s="22"/>
      <c r="AQ243" s="22"/>
      <c r="AR243" s="22"/>
      <c r="AS243" s="22"/>
      <c r="AT243" s="22"/>
      <c r="AU243" s="22"/>
      <c r="AV243" s="22"/>
      <c r="AW243" s="22"/>
      <c r="AX243" s="22"/>
      <c r="AY243" s="22"/>
      <c r="AZ243" s="22"/>
      <c r="BA243" s="22"/>
      <c r="BB243" s="22"/>
      <c r="BC243" s="22"/>
      <c r="BD243" s="22"/>
      <c r="BE243" s="22"/>
      <c r="BF243" s="22"/>
      <c r="BG243" s="22"/>
      <c r="BH243" s="22"/>
      <c r="BI243" s="22"/>
      <c r="BJ243" s="22"/>
      <c r="BK243" s="22"/>
      <c r="BL243" s="22"/>
      <c r="BM243" s="22"/>
      <c r="BN243" s="22"/>
      <c r="BO243" s="22"/>
      <c r="BP243" s="22"/>
      <c r="BQ243" s="22"/>
      <c r="BR243" s="22"/>
      <c r="BS243" s="22"/>
      <c r="BT243" s="22"/>
      <c r="BU243" s="22"/>
      <c r="BV243" s="22"/>
      <c r="BW243" s="22"/>
      <c r="BX243" s="22"/>
      <c r="BY243" s="22"/>
      <c r="BZ243" s="22"/>
      <c r="CA243" s="22"/>
      <c r="CB243" s="22"/>
      <c r="CC243" s="22"/>
      <c r="CD243" s="22"/>
      <c r="CE243" s="22"/>
      <c r="CF243" s="22"/>
      <c r="CG243" s="22"/>
      <c r="CH243" s="22"/>
      <c r="CI243" s="22"/>
      <c r="CJ243" s="22"/>
      <c r="CK243" s="22"/>
      <c r="CL243" s="22"/>
      <c r="CM243" s="22"/>
      <c r="CN243" s="22"/>
      <c r="CO243" s="22"/>
      <c r="CP243" s="22"/>
      <c r="CQ243" s="22"/>
      <c r="CR243" s="22"/>
      <c r="CS243" s="22"/>
      <c r="CT243" s="22"/>
      <c r="CU243" s="22"/>
      <c r="CV243" s="22"/>
      <c r="CW243" s="22"/>
      <c r="CX243" s="22"/>
      <c r="CY243" s="22"/>
      <c r="CZ243" s="22"/>
      <c r="DA243" s="22"/>
      <c r="DB243" s="22"/>
      <c r="DC243" s="22"/>
      <c r="DD243" s="22"/>
      <c r="DE243" s="22"/>
      <c r="DF243" s="22"/>
      <c r="DG243" s="22"/>
      <c r="DH243" s="22"/>
      <c r="DI243" s="22"/>
      <c r="DJ243" s="22"/>
      <c r="DK243" s="22"/>
      <c r="DL243" s="22"/>
      <c r="DM243" s="22"/>
      <c r="DN243" s="22"/>
      <c r="DO243" s="22"/>
      <c r="DP243" s="22"/>
      <c r="DQ243" s="22"/>
      <c r="DR243" s="22"/>
      <c r="DS243" s="22"/>
      <c r="DT243" s="22"/>
      <c r="DU243" s="22"/>
      <c r="DV243" s="22"/>
      <c r="DW243" s="22"/>
      <c r="DX243" s="22"/>
      <c r="DY243" s="22"/>
      <c r="DZ243" s="22"/>
      <c r="EA243" s="22"/>
      <c r="EB243" s="22"/>
      <c r="EC243" s="22"/>
      <c r="ED243" s="22"/>
      <c r="EE243" s="22"/>
      <c r="EF243" s="22"/>
      <c r="EG243" s="22"/>
      <c r="EH243" s="22"/>
      <c r="EI243" s="22"/>
      <c r="EJ243" s="22"/>
      <c r="EK243" s="22"/>
      <c r="EL243" s="22"/>
      <c r="EM243" s="22"/>
      <c r="EN243" s="22"/>
      <c r="EO243" s="22"/>
      <c r="EP243" s="22"/>
      <c r="EQ243" s="22"/>
      <c r="ER243" s="22"/>
      <c r="ES243" s="22"/>
      <c r="ET243" s="22"/>
      <c r="EU243" s="22"/>
      <c r="EV243" s="22"/>
      <c r="EW243" s="22"/>
      <c r="EX243" s="22"/>
      <c r="EY243" s="22"/>
      <c r="EZ243" s="22"/>
      <c r="FA243" s="22"/>
      <c r="FB243" s="22"/>
      <c r="FC243" s="22"/>
      <c r="FD243" s="22"/>
      <c r="FE243" s="22"/>
      <c r="FF243" s="22"/>
      <c r="FG243" s="22"/>
      <c r="FH243" s="22"/>
      <c r="FI243" s="22"/>
      <c r="FJ243" s="22"/>
      <c r="FK243" s="22"/>
      <c r="FL243" s="22"/>
      <c r="FM243" s="22"/>
      <c r="FN243" s="22"/>
      <c r="FO243" s="22"/>
      <c r="FP243" s="22"/>
      <c r="FQ243" s="22"/>
      <c r="FR243" s="22"/>
      <c r="FS243" s="22"/>
      <c r="FT243" s="22"/>
      <c r="FU243" s="22"/>
      <c r="FV243" s="22"/>
      <c r="FW243" s="22"/>
      <c r="FX243" s="22"/>
      <c r="FY243" s="22"/>
      <c r="FZ243" s="22"/>
    </row>
    <row r="244" spans="2:182" x14ac:dyDescent="0.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c r="Z244" s="22"/>
      <c r="AA244" s="22"/>
      <c r="AB244" s="22"/>
      <c r="AC244" s="22"/>
      <c r="AD244" s="22"/>
      <c r="AE244" s="22"/>
      <c r="AF244" s="22"/>
      <c r="AG244" s="22"/>
      <c r="AH244" s="22"/>
      <c r="AI244" s="22"/>
      <c r="AJ244" s="22"/>
      <c r="AK244" s="22"/>
      <c r="AL244" s="22"/>
      <c r="AM244" s="22"/>
      <c r="AN244" s="22"/>
      <c r="AO244" s="22"/>
      <c r="AP244" s="22"/>
      <c r="AQ244" s="22"/>
      <c r="AR244" s="22"/>
      <c r="AS244" s="22"/>
      <c r="AT244" s="22"/>
      <c r="AU244" s="22"/>
      <c r="AV244" s="22"/>
      <c r="AW244" s="22"/>
      <c r="AX244" s="22"/>
      <c r="AY244" s="22"/>
      <c r="AZ244" s="22"/>
      <c r="BA244" s="22"/>
      <c r="BB244" s="22"/>
      <c r="BC244" s="22"/>
      <c r="BD244" s="22"/>
      <c r="BE244" s="22"/>
      <c r="BF244" s="22"/>
      <c r="BG244" s="22"/>
      <c r="BH244" s="22"/>
      <c r="BI244" s="22"/>
      <c r="BJ244" s="22"/>
      <c r="BK244" s="22"/>
      <c r="BL244" s="22"/>
      <c r="BM244" s="22"/>
      <c r="BN244" s="22"/>
      <c r="BO244" s="22"/>
      <c r="BP244" s="22"/>
      <c r="BQ244" s="22"/>
      <c r="BR244" s="22"/>
      <c r="BS244" s="22"/>
      <c r="BT244" s="22"/>
      <c r="BU244" s="22"/>
      <c r="BV244" s="22"/>
      <c r="BW244" s="22"/>
      <c r="BX244" s="22"/>
      <c r="BY244" s="22"/>
      <c r="BZ244" s="22"/>
      <c r="CA244" s="22"/>
      <c r="CB244" s="22"/>
      <c r="CC244" s="22"/>
      <c r="CD244" s="22"/>
      <c r="CE244" s="22"/>
      <c r="CF244" s="22"/>
      <c r="CG244" s="22"/>
      <c r="CH244" s="22"/>
      <c r="CI244" s="22"/>
      <c r="CJ244" s="22"/>
      <c r="CK244" s="22"/>
      <c r="CL244" s="22"/>
      <c r="CM244" s="22"/>
      <c r="CN244" s="22"/>
      <c r="CO244" s="22"/>
      <c r="CP244" s="22"/>
      <c r="CQ244" s="22"/>
      <c r="CR244" s="22"/>
      <c r="CS244" s="22"/>
      <c r="CT244" s="22"/>
      <c r="CU244" s="22"/>
      <c r="CV244" s="22"/>
      <c r="CW244" s="22"/>
      <c r="CX244" s="22"/>
      <c r="CY244" s="22"/>
      <c r="CZ244" s="22"/>
      <c r="DA244" s="22"/>
      <c r="DB244" s="22"/>
      <c r="DC244" s="22"/>
      <c r="DD244" s="22"/>
      <c r="DE244" s="22"/>
      <c r="DF244" s="22"/>
      <c r="DG244" s="22"/>
      <c r="DH244" s="22"/>
      <c r="DI244" s="22"/>
      <c r="DJ244" s="22"/>
      <c r="DK244" s="22"/>
      <c r="DL244" s="22"/>
      <c r="DM244" s="22"/>
      <c r="DN244" s="22"/>
      <c r="DO244" s="22"/>
      <c r="DP244" s="22"/>
      <c r="DQ244" s="22"/>
      <c r="DR244" s="22"/>
      <c r="DS244" s="22"/>
      <c r="DT244" s="22"/>
      <c r="DU244" s="22"/>
      <c r="DV244" s="22"/>
      <c r="DW244" s="22"/>
      <c r="DX244" s="22"/>
      <c r="DY244" s="22"/>
      <c r="DZ244" s="22"/>
      <c r="EA244" s="22"/>
      <c r="EB244" s="22"/>
      <c r="EC244" s="22"/>
      <c r="ED244" s="22"/>
      <c r="EE244" s="22"/>
      <c r="EF244" s="22"/>
      <c r="EG244" s="22"/>
      <c r="EH244" s="22"/>
      <c r="EI244" s="22"/>
      <c r="EJ244" s="22"/>
      <c r="EK244" s="22"/>
      <c r="EL244" s="22"/>
      <c r="EM244" s="22"/>
      <c r="EN244" s="22"/>
      <c r="EO244" s="22"/>
      <c r="EP244" s="22"/>
      <c r="EQ244" s="22"/>
      <c r="ER244" s="22"/>
      <c r="ES244" s="22"/>
      <c r="ET244" s="22"/>
      <c r="EU244" s="22"/>
      <c r="EV244" s="22"/>
      <c r="EW244" s="22"/>
      <c r="EX244" s="22"/>
      <c r="EY244" s="22"/>
      <c r="EZ244" s="22"/>
      <c r="FA244" s="22"/>
      <c r="FB244" s="22"/>
      <c r="FC244" s="22"/>
      <c r="FD244" s="22"/>
      <c r="FE244" s="22"/>
      <c r="FF244" s="22"/>
      <c r="FG244" s="22"/>
      <c r="FH244" s="22"/>
      <c r="FI244" s="22"/>
      <c r="FJ244" s="22"/>
      <c r="FK244" s="22"/>
      <c r="FL244" s="22"/>
      <c r="FM244" s="22"/>
      <c r="FN244" s="22"/>
      <c r="FO244" s="22"/>
      <c r="FP244" s="22"/>
      <c r="FQ244" s="22"/>
      <c r="FR244" s="22"/>
      <c r="FS244" s="22"/>
      <c r="FT244" s="22"/>
      <c r="FU244" s="22"/>
      <c r="FV244" s="22"/>
      <c r="FW244" s="22"/>
      <c r="FX244" s="22"/>
      <c r="FY244" s="22"/>
      <c r="FZ244" s="22"/>
    </row>
    <row r="245" spans="2:182" x14ac:dyDescent="0.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c r="Z245" s="22"/>
      <c r="AA245" s="22"/>
      <c r="AB245" s="22"/>
      <c r="AC245" s="22"/>
      <c r="AD245" s="22"/>
      <c r="AE245" s="22"/>
      <c r="AF245" s="22"/>
      <c r="AG245" s="22"/>
      <c r="AH245" s="22"/>
      <c r="AI245" s="22"/>
      <c r="AJ245" s="22"/>
      <c r="AK245" s="22"/>
      <c r="AL245" s="22"/>
      <c r="AM245" s="22"/>
      <c r="AN245" s="22"/>
      <c r="AO245" s="22"/>
      <c r="AP245" s="22"/>
      <c r="AQ245" s="22"/>
      <c r="AR245" s="22"/>
      <c r="AS245" s="22"/>
      <c r="AT245" s="22"/>
      <c r="AU245" s="22"/>
      <c r="AV245" s="22"/>
      <c r="AW245" s="22"/>
      <c r="AX245" s="22"/>
      <c r="AY245" s="22"/>
      <c r="AZ245" s="22"/>
      <c r="BA245" s="22"/>
      <c r="BB245" s="22"/>
      <c r="BC245" s="22"/>
      <c r="BD245" s="22"/>
      <c r="BE245" s="22"/>
      <c r="BF245" s="22"/>
      <c r="BG245" s="22"/>
      <c r="BH245" s="22"/>
      <c r="BI245" s="22"/>
      <c r="BJ245" s="22"/>
      <c r="BK245" s="22"/>
      <c r="BL245" s="22"/>
      <c r="BM245" s="22"/>
      <c r="BN245" s="22"/>
      <c r="BO245" s="22"/>
      <c r="BP245" s="22"/>
      <c r="BQ245" s="22"/>
      <c r="BR245" s="22"/>
      <c r="BS245" s="22"/>
      <c r="BT245" s="22"/>
      <c r="BU245" s="22"/>
      <c r="BV245" s="22"/>
      <c r="BW245" s="22"/>
      <c r="BX245" s="22"/>
      <c r="BY245" s="22"/>
      <c r="BZ245" s="22"/>
      <c r="CA245" s="22"/>
      <c r="CB245" s="22"/>
      <c r="CC245" s="22"/>
      <c r="CD245" s="22"/>
      <c r="CE245" s="22"/>
      <c r="CF245" s="22"/>
      <c r="CG245" s="22"/>
      <c r="CH245" s="22"/>
      <c r="CI245" s="22"/>
      <c r="CJ245" s="22"/>
      <c r="CK245" s="22"/>
      <c r="CL245" s="22"/>
      <c r="CM245" s="22"/>
      <c r="CN245" s="22"/>
      <c r="CO245" s="22"/>
      <c r="CP245" s="22"/>
      <c r="CQ245" s="22"/>
      <c r="CR245" s="22"/>
      <c r="CS245" s="22"/>
      <c r="CT245" s="22"/>
      <c r="CU245" s="22"/>
      <c r="CV245" s="22"/>
      <c r="CW245" s="22"/>
      <c r="CX245" s="22"/>
      <c r="CY245" s="22"/>
      <c r="CZ245" s="22"/>
      <c r="DA245" s="22"/>
      <c r="DB245" s="22"/>
      <c r="DC245" s="22"/>
      <c r="DD245" s="22"/>
      <c r="DE245" s="22"/>
      <c r="DF245" s="22"/>
      <c r="DG245" s="22"/>
      <c r="DH245" s="22"/>
      <c r="DI245" s="22"/>
      <c r="DJ245" s="22"/>
      <c r="DK245" s="22"/>
      <c r="DL245" s="22"/>
      <c r="DM245" s="22"/>
      <c r="DN245" s="22"/>
      <c r="DO245" s="22"/>
      <c r="DP245" s="22"/>
      <c r="DQ245" s="22"/>
      <c r="DR245" s="22"/>
      <c r="DS245" s="22"/>
      <c r="DT245" s="22"/>
      <c r="DU245" s="22"/>
      <c r="DV245" s="22"/>
      <c r="DW245" s="22"/>
      <c r="DX245" s="22"/>
      <c r="DY245" s="22"/>
      <c r="DZ245" s="22"/>
      <c r="EA245" s="22"/>
      <c r="EB245" s="22"/>
      <c r="EC245" s="22"/>
      <c r="ED245" s="22"/>
      <c r="EE245" s="22"/>
      <c r="EF245" s="22"/>
      <c r="EG245" s="22"/>
      <c r="EH245" s="22"/>
      <c r="EI245" s="22"/>
      <c r="EJ245" s="22"/>
      <c r="EK245" s="22"/>
      <c r="EL245" s="22"/>
      <c r="EM245" s="22"/>
      <c r="EN245" s="22"/>
      <c r="EO245" s="22"/>
      <c r="EP245" s="22"/>
      <c r="EQ245" s="22"/>
      <c r="ER245" s="22"/>
      <c r="ES245" s="22"/>
      <c r="ET245" s="22"/>
      <c r="EU245" s="22"/>
      <c r="EV245" s="22"/>
      <c r="EW245" s="22"/>
      <c r="EX245" s="22"/>
      <c r="EY245" s="22"/>
      <c r="EZ245" s="22"/>
      <c r="FA245" s="22"/>
      <c r="FB245" s="22"/>
      <c r="FC245" s="22"/>
      <c r="FD245" s="22"/>
      <c r="FE245" s="22"/>
      <c r="FF245" s="22"/>
      <c r="FG245" s="22"/>
      <c r="FH245" s="22"/>
      <c r="FI245" s="22"/>
      <c r="FJ245" s="22"/>
      <c r="FK245" s="22"/>
      <c r="FL245" s="22"/>
      <c r="FM245" s="22"/>
      <c r="FN245" s="22"/>
      <c r="FO245" s="22"/>
      <c r="FP245" s="22"/>
      <c r="FQ245" s="22"/>
      <c r="FR245" s="22"/>
      <c r="FS245" s="22"/>
      <c r="FT245" s="22"/>
      <c r="FU245" s="22"/>
      <c r="FV245" s="22"/>
      <c r="FW245" s="22"/>
      <c r="FX245" s="22"/>
      <c r="FY245" s="22"/>
      <c r="FZ245" s="22"/>
    </row>
    <row r="246" spans="2:182" x14ac:dyDescent="0.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c r="Z246" s="22"/>
      <c r="AA246" s="22"/>
      <c r="AB246" s="22"/>
      <c r="AC246" s="22"/>
      <c r="AD246" s="22"/>
      <c r="AE246" s="22"/>
      <c r="AF246" s="22"/>
      <c r="AG246" s="22"/>
      <c r="AH246" s="22"/>
      <c r="AI246" s="22"/>
      <c r="AJ246" s="22"/>
      <c r="AK246" s="22"/>
      <c r="AL246" s="22"/>
      <c r="AM246" s="22"/>
      <c r="AN246" s="22"/>
      <c r="AO246" s="22"/>
      <c r="AP246" s="22"/>
      <c r="AQ246" s="22"/>
      <c r="AR246" s="22"/>
      <c r="AS246" s="22"/>
      <c r="AT246" s="22"/>
      <c r="AU246" s="22"/>
      <c r="AV246" s="22"/>
      <c r="AW246" s="22"/>
      <c r="AX246" s="22"/>
      <c r="AY246" s="22"/>
      <c r="AZ246" s="22"/>
      <c r="BA246" s="22"/>
      <c r="BB246" s="22"/>
      <c r="BC246" s="22"/>
      <c r="BD246" s="22"/>
      <c r="BE246" s="22"/>
      <c r="BF246" s="22"/>
      <c r="BG246" s="22"/>
      <c r="BH246" s="22"/>
      <c r="BI246" s="22"/>
      <c r="BJ246" s="22"/>
      <c r="BK246" s="22"/>
      <c r="BL246" s="22"/>
      <c r="BM246" s="22"/>
      <c r="BN246" s="22"/>
      <c r="BO246" s="22"/>
      <c r="BP246" s="22"/>
      <c r="BQ246" s="22"/>
      <c r="BR246" s="22"/>
      <c r="BS246" s="22"/>
      <c r="BT246" s="22"/>
      <c r="BU246" s="22"/>
      <c r="BV246" s="22"/>
      <c r="BW246" s="22"/>
      <c r="BX246" s="22"/>
      <c r="BY246" s="22"/>
      <c r="BZ246" s="22"/>
      <c r="CA246" s="22"/>
      <c r="CB246" s="22"/>
      <c r="CC246" s="22"/>
      <c r="CD246" s="22"/>
      <c r="CE246" s="22"/>
      <c r="CF246" s="22"/>
      <c r="CG246" s="22"/>
      <c r="CH246" s="22"/>
      <c r="CI246" s="22"/>
      <c r="CJ246" s="22"/>
      <c r="CK246" s="22"/>
      <c r="CL246" s="22"/>
      <c r="CM246" s="22"/>
      <c r="CN246" s="22"/>
      <c r="CO246" s="22"/>
      <c r="CP246" s="22"/>
      <c r="CQ246" s="22"/>
      <c r="CR246" s="22"/>
      <c r="CS246" s="22"/>
      <c r="CT246" s="22"/>
      <c r="CU246" s="22"/>
      <c r="CV246" s="22"/>
      <c r="CW246" s="22"/>
      <c r="CX246" s="22"/>
      <c r="CY246" s="22"/>
      <c r="CZ246" s="22"/>
      <c r="DA246" s="22"/>
      <c r="DB246" s="22"/>
      <c r="DC246" s="22"/>
      <c r="DD246" s="22"/>
      <c r="DE246" s="22"/>
      <c r="DF246" s="22"/>
      <c r="DG246" s="22"/>
      <c r="DH246" s="22"/>
      <c r="DI246" s="22"/>
      <c r="DJ246" s="22"/>
      <c r="DK246" s="22"/>
      <c r="DL246" s="22"/>
      <c r="DM246" s="22"/>
      <c r="DN246" s="22"/>
      <c r="DO246" s="22"/>
      <c r="DP246" s="22"/>
      <c r="DQ246" s="22"/>
      <c r="DR246" s="22"/>
      <c r="DS246" s="22"/>
      <c r="DT246" s="22"/>
      <c r="DU246" s="22"/>
      <c r="DV246" s="22"/>
      <c r="DW246" s="22"/>
      <c r="DX246" s="22"/>
      <c r="DY246" s="22"/>
      <c r="DZ246" s="22"/>
      <c r="EA246" s="22"/>
      <c r="EB246" s="22"/>
      <c r="EC246" s="22"/>
      <c r="ED246" s="22"/>
      <c r="EE246" s="22"/>
      <c r="EF246" s="22"/>
      <c r="EG246" s="22"/>
      <c r="EH246" s="22"/>
      <c r="EI246" s="22"/>
      <c r="EJ246" s="22"/>
      <c r="EK246" s="22"/>
      <c r="EL246" s="22"/>
      <c r="EM246" s="22"/>
      <c r="EN246" s="22"/>
      <c r="EO246" s="22"/>
      <c r="EP246" s="22"/>
      <c r="EQ246" s="22"/>
      <c r="ER246" s="22"/>
      <c r="ES246" s="22"/>
      <c r="ET246" s="22"/>
      <c r="EU246" s="22"/>
      <c r="EV246" s="22"/>
      <c r="EW246" s="22"/>
      <c r="EX246" s="22"/>
      <c r="EY246" s="22"/>
      <c r="EZ246" s="22"/>
      <c r="FA246" s="22"/>
      <c r="FB246" s="22"/>
      <c r="FC246" s="22"/>
      <c r="FD246" s="22"/>
      <c r="FE246" s="22"/>
      <c r="FF246" s="22"/>
      <c r="FG246" s="22"/>
      <c r="FH246" s="22"/>
      <c r="FI246" s="22"/>
      <c r="FJ246" s="22"/>
      <c r="FK246" s="22"/>
      <c r="FL246" s="22"/>
      <c r="FM246" s="22"/>
      <c r="FN246" s="22"/>
      <c r="FO246" s="22"/>
      <c r="FP246" s="22"/>
      <c r="FQ246" s="22"/>
      <c r="FR246" s="22"/>
      <c r="FS246" s="22"/>
      <c r="FT246" s="22"/>
      <c r="FU246" s="22"/>
      <c r="FV246" s="22"/>
      <c r="FW246" s="22"/>
      <c r="FX246" s="22"/>
      <c r="FY246" s="22"/>
      <c r="FZ246" s="22"/>
    </row>
    <row r="247" spans="2:182" x14ac:dyDescent="0.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c r="Z247" s="22"/>
      <c r="AA247" s="22"/>
      <c r="AB247" s="22"/>
      <c r="AC247" s="22"/>
      <c r="AD247" s="22"/>
      <c r="AE247" s="22"/>
      <c r="AF247" s="22"/>
      <c r="AG247" s="22"/>
      <c r="AH247" s="22"/>
      <c r="AI247" s="22"/>
      <c r="AJ247" s="22"/>
      <c r="AK247" s="22"/>
      <c r="AL247" s="22"/>
      <c r="AM247" s="22"/>
      <c r="AN247" s="22"/>
      <c r="AO247" s="22"/>
      <c r="AP247" s="22"/>
      <c r="AQ247" s="22"/>
      <c r="AR247" s="22"/>
      <c r="AS247" s="22"/>
      <c r="AT247" s="22"/>
      <c r="AU247" s="22"/>
      <c r="AV247" s="22"/>
      <c r="AW247" s="22"/>
      <c r="AX247" s="22"/>
      <c r="AY247" s="22"/>
      <c r="AZ247" s="22"/>
      <c r="BA247" s="22"/>
      <c r="BB247" s="22"/>
      <c r="BC247" s="22"/>
      <c r="BD247" s="22"/>
      <c r="BE247" s="22"/>
      <c r="BF247" s="22"/>
      <c r="BG247" s="22"/>
      <c r="BH247" s="22"/>
      <c r="BI247" s="22"/>
      <c r="BJ247" s="22"/>
      <c r="BK247" s="22"/>
      <c r="BL247" s="22"/>
      <c r="BM247" s="22"/>
      <c r="BN247" s="22"/>
      <c r="BO247" s="22"/>
      <c r="BP247" s="22"/>
      <c r="BQ247" s="22"/>
      <c r="BR247" s="22"/>
      <c r="BS247" s="22"/>
      <c r="BT247" s="22"/>
      <c r="BU247" s="22"/>
      <c r="BV247" s="22"/>
      <c r="BW247" s="22"/>
      <c r="BX247" s="22"/>
      <c r="BY247" s="22"/>
      <c r="BZ247" s="22"/>
      <c r="CA247" s="22"/>
      <c r="CB247" s="22"/>
      <c r="CC247" s="22"/>
      <c r="CD247" s="22"/>
      <c r="CE247" s="22"/>
      <c r="CF247" s="22"/>
      <c r="CG247" s="22"/>
      <c r="CH247" s="22"/>
      <c r="CI247" s="22"/>
      <c r="CJ247" s="22"/>
      <c r="CK247" s="22"/>
      <c r="CL247" s="22"/>
      <c r="CM247" s="22"/>
      <c r="CN247" s="22"/>
      <c r="CO247" s="22"/>
      <c r="CP247" s="22"/>
      <c r="CQ247" s="22"/>
      <c r="CR247" s="22"/>
      <c r="CS247" s="22"/>
      <c r="CT247" s="22"/>
      <c r="CU247" s="22"/>
      <c r="CV247" s="22"/>
      <c r="CW247" s="22"/>
      <c r="CX247" s="22"/>
      <c r="CY247" s="22"/>
      <c r="CZ247" s="22"/>
      <c r="DA247" s="22"/>
      <c r="DB247" s="22"/>
      <c r="DC247" s="22"/>
      <c r="DD247" s="22"/>
      <c r="DE247" s="22"/>
      <c r="DF247" s="22"/>
      <c r="DG247" s="22"/>
      <c r="DH247" s="22"/>
      <c r="DI247" s="22"/>
      <c r="DJ247" s="22"/>
      <c r="DK247" s="22"/>
      <c r="DL247" s="22"/>
      <c r="DM247" s="22"/>
      <c r="DN247" s="22"/>
      <c r="DO247" s="22"/>
      <c r="DP247" s="22"/>
      <c r="DQ247" s="22"/>
      <c r="DR247" s="22"/>
      <c r="DS247" s="22"/>
      <c r="DT247" s="22"/>
      <c r="DU247" s="22"/>
      <c r="DV247" s="22"/>
      <c r="DW247" s="22"/>
      <c r="DX247" s="22"/>
      <c r="DY247" s="22"/>
      <c r="DZ247" s="22"/>
      <c r="EA247" s="22"/>
      <c r="EB247" s="22"/>
      <c r="EC247" s="22"/>
      <c r="ED247" s="22"/>
      <c r="EE247" s="22"/>
      <c r="EF247" s="22"/>
      <c r="EG247" s="22"/>
      <c r="EH247" s="22"/>
      <c r="EI247" s="22"/>
      <c r="EJ247" s="22"/>
      <c r="EK247" s="22"/>
      <c r="EL247" s="22"/>
      <c r="EM247" s="22"/>
      <c r="EN247" s="22"/>
      <c r="EO247" s="22"/>
      <c r="EP247" s="22"/>
      <c r="EQ247" s="22"/>
      <c r="ER247" s="22"/>
      <c r="ES247" s="22"/>
      <c r="ET247" s="22"/>
      <c r="EU247" s="22"/>
      <c r="EV247" s="22"/>
      <c r="EW247" s="22"/>
      <c r="EX247" s="22"/>
      <c r="EY247" s="22"/>
      <c r="EZ247" s="22"/>
      <c r="FA247" s="22"/>
      <c r="FB247" s="22"/>
      <c r="FC247" s="22"/>
      <c r="FD247" s="22"/>
      <c r="FE247" s="22"/>
      <c r="FF247" s="22"/>
      <c r="FG247" s="22"/>
      <c r="FH247" s="22"/>
      <c r="FI247" s="22"/>
      <c r="FJ247" s="22"/>
      <c r="FK247" s="22"/>
      <c r="FL247" s="22"/>
      <c r="FM247" s="22"/>
      <c r="FN247" s="22"/>
      <c r="FO247" s="22"/>
      <c r="FP247" s="22"/>
      <c r="FQ247" s="22"/>
      <c r="FR247" s="22"/>
      <c r="FS247" s="22"/>
      <c r="FT247" s="22"/>
      <c r="FU247" s="22"/>
      <c r="FV247" s="22"/>
      <c r="FW247" s="22"/>
      <c r="FX247" s="22"/>
      <c r="FY247" s="22"/>
      <c r="FZ247" s="22"/>
    </row>
    <row r="248" spans="2:182" x14ac:dyDescent="0.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c r="Z248" s="22"/>
      <c r="AA248" s="22"/>
      <c r="AB248" s="22"/>
      <c r="AC248" s="22"/>
      <c r="AD248" s="22"/>
      <c r="AE248" s="22"/>
      <c r="AF248" s="22"/>
      <c r="AG248" s="22"/>
      <c r="AH248" s="22"/>
      <c r="AI248" s="22"/>
      <c r="AJ248" s="22"/>
      <c r="AK248" s="22"/>
      <c r="AL248" s="22"/>
      <c r="AM248" s="22"/>
      <c r="AN248" s="22"/>
      <c r="AO248" s="22"/>
      <c r="AP248" s="22"/>
      <c r="AQ248" s="22"/>
      <c r="AR248" s="22"/>
      <c r="AS248" s="22"/>
      <c r="AT248" s="22"/>
      <c r="AU248" s="22"/>
      <c r="AV248" s="22"/>
      <c r="AW248" s="22"/>
      <c r="AX248" s="22"/>
      <c r="AY248" s="22"/>
      <c r="AZ248" s="22"/>
      <c r="BA248" s="22"/>
      <c r="BB248" s="22"/>
      <c r="BC248" s="22"/>
      <c r="BD248" s="22"/>
      <c r="BE248" s="22"/>
      <c r="BF248" s="22"/>
      <c r="BG248" s="22"/>
      <c r="BH248" s="22"/>
      <c r="BI248" s="22"/>
      <c r="BJ248" s="22"/>
      <c r="BK248" s="22"/>
      <c r="BL248" s="22"/>
      <c r="BM248" s="22"/>
      <c r="BN248" s="22"/>
      <c r="BO248" s="22"/>
      <c r="BP248" s="22"/>
      <c r="BQ248" s="22"/>
      <c r="BR248" s="22"/>
      <c r="BS248" s="22"/>
      <c r="BT248" s="22"/>
      <c r="BU248" s="22"/>
      <c r="BV248" s="22"/>
      <c r="BW248" s="22"/>
      <c r="BX248" s="22"/>
      <c r="BY248" s="22"/>
      <c r="BZ248" s="22"/>
      <c r="CA248" s="22"/>
      <c r="CB248" s="22"/>
      <c r="CC248" s="22"/>
      <c r="CD248" s="22"/>
      <c r="CE248" s="22"/>
      <c r="CF248" s="22"/>
      <c r="CG248" s="22"/>
      <c r="CH248" s="22"/>
      <c r="CI248" s="22"/>
      <c r="CJ248" s="22"/>
      <c r="CK248" s="22"/>
      <c r="CL248" s="22"/>
      <c r="CM248" s="22"/>
      <c r="CN248" s="22"/>
      <c r="CO248" s="22"/>
      <c r="CP248" s="22"/>
      <c r="CQ248" s="22"/>
      <c r="CR248" s="22"/>
      <c r="CS248" s="22"/>
      <c r="CT248" s="22"/>
      <c r="CU248" s="22"/>
      <c r="CV248" s="22"/>
      <c r="CW248" s="22"/>
      <c r="CX248" s="22"/>
      <c r="CY248" s="22"/>
      <c r="CZ248" s="22"/>
      <c r="DA248" s="22"/>
      <c r="DB248" s="22"/>
      <c r="DC248" s="22"/>
      <c r="DD248" s="22"/>
      <c r="DE248" s="22"/>
      <c r="DF248" s="22"/>
      <c r="DG248" s="22"/>
      <c r="DH248" s="22"/>
      <c r="DI248" s="22"/>
      <c r="DJ248" s="22"/>
      <c r="DK248" s="22"/>
      <c r="DL248" s="22"/>
      <c r="DM248" s="22"/>
      <c r="DN248" s="22"/>
      <c r="DO248" s="22"/>
      <c r="DP248" s="22"/>
      <c r="DQ248" s="22"/>
      <c r="DR248" s="22"/>
      <c r="DS248" s="22"/>
      <c r="DT248" s="22"/>
      <c r="DU248" s="22"/>
      <c r="DV248" s="22"/>
      <c r="DW248" s="22"/>
      <c r="DX248" s="22"/>
      <c r="DY248" s="22"/>
      <c r="DZ248" s="22"/>
      <c r="EA248" s="22"/>
      <c r="EB248" s="22"/>
      <c r="EC248" s="22"/>
      <c r="ED248" s="22"/>
      <c r="EE248" s="22"/>
      <c r="EF248" s="22"/>
      <c r="EG248" s="22"/>
      <c r="EH248" s="22"/>
      <c r="EI248" s="22"/>
      <c r="EJ248" s="22"/>
      <c r="EK248" s="22"/>
      <c r="EL248" s="22"/>
      <c r="EM248" s="22"/>
      <c r="EN248" s="22"/>
      <c r="EO248" s="22"/>
      <c r="EP248" s="22"/>
      <c r="EQ248" s="22"/>
      <c r="ER248" s="22"/>
      <c r="ES248" s="22"/>
      <c r="ET248" s="22"/>
      <c r="EU248" s="22"/>
      <c r="EV248" s="22"/>
      <c r="EW248" s="22"/>
      <c r="EX248" s="22"/>
      <c r="EY248" s="22"/>
      <c r="EZ248" s="22"/>
      <c r="FA248" s="22"/>
      <c r="FB248" s="22"/>
      <c r="FC248" s="22"/>
      <c r="FD248" s="22"/>
      <c r="FE248" s="22"/>
      <c r="FF248" s="22"/>
      <c r="FG248" s="22"/>
      <c r="FH248" s="22"/>
      <c r="FI248" s="22"/>
      <c r="FJ248" s="22"/>
      <c r="FK248" s="22"/>
      <c r="FL248" s="22"/>
      <c r="FM248" s="22"/>
      <c r="FN248" s="22"/>
      <c r="FO248" s="22"/>
      <c r="FP248" s="22"/>
      <c r="FQ248" s="22"/>
      <c r="FR248" s="22"/>
      <c r="FS248" s="22"/>
      <c r="FT248" s="22"/>
      <c r="FU248" s="22"/>
      <c r="FV248" s="22"/>
      <c r="FW248" s="22"/>
      <c r="FX248" s="22"/>
      <c r="FY248" s="22"/>
      <c r="FZ248" s="22"/>
    </row>
    <row r="249" spans="2:182" x14ac:dyDescent="0.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c r="Z249" s="22"/>
      <c r="AA249" s="22"/>
      <c r="AB249" s="22"/>
      <c r="AC249" s="22"/>
      <c r="AD249" s="22"/>
      <c r="AE249" s="22"/>
      <c r="AF249" s="22"/>
      <c r="AG249" s="22"/>
      <c r="AH249" s="22"/>
      <c r="AI249" s="22"/>
      <c r="AJ249" s="22"/>
      <c r="AK249" s="22"/>
      <c r="AL249" s="22"/>
      <c r="AM249" s="22"/>
      <c r="AN249" s="22"/>
      <c r="AO249" s="22"/>
      <c r="AP249" s="22"/>
      <c r="AQ249" s="22"/>
      <c r="AR249" s="22"/>
      <c r="AS249" s="22"/>
      <c r="AT249" s="22"/>
      <c r="AU249" s="22"/>
      <c r="AV249" s="22"/>
      <c r="AW249" s="22"/>
      <c r="AX249" s="22"/>
      <c r="AY249" s="22"/>
      <c r="AZ249" s="22"/>
      <c r="BA249" s="22"/>
      <c r="BB249" s="22"/>
      <c r="BC249" s="22"/>
      <c r="BD249" s="22"/>
      <c r="BE249" s="22"/>
      <c r="BF249" s="22"/>
      <c r="BG249" s="22"/>
      <c r="BH249" s="22"/>
      <c r="BI249" s="22"/>
      <c r="BJ249" s="22"/>
      <c r="BK249" s="22"/>
      <c r="BL249" s="22"/>
      <c r="BM249" s="22"/>
      <c r="BN249" s="22"/>
      <c r="BO249" s="22"/>
      <c r="BP249" s="22"/>
      <c r="BQ249" s="22"/>
      <c r="BR249" s="22"/>
      <c r="BS249" s="22"/>
      <c r="BT249" s="22"/>
      <c r="BU249" s="22"/>
      <c r="BV249" s="22"/>
      <c r="BW249" s="22"/>
      <c r="BX249" s="22"/>
      <c r="BY249" s="22"/>
      <c r="BZ249" s="22"/>
      <c r="CA249" s="22"/>
      <c r="CB249" s="22"/>
      <c r="CC249" s="22"/>
      <c r="CD249" s="22"/>
      <c r="CE249" s="22"/>
      <c r="CF249" s="22"/>
      <c r="CG249" s="22"/>
      <c r="CH249" s="22"/>
      <c r="CI249" s="22"/>
      <c r="CJ249" s="22"/>
      <c r="CK249" s="22"/>
      <c r="CL249" s="22"/>
      <c r="CM249" s="22"/>
      <c r="CN249" s="22"/>
      <c r="CO249" s="22"/>
      <c r="CP249" s="22"/>
      <c r="CQ249" s="22"/>
      <c r="CR249" s="22"/>
      <c r="CS249" s="22"/>
      <c r="CT249" s="22"/>
      <c r="CU249" s="22"/>
      <c r="CV249" s="22"/>
      <c r="CW249" s="22"/>
      <c r="CX249" s="22"/>
      <c r="CY249" s="22"/>
      <c r="CZ249" s="22"/>
      <c r="DA249" s="22"/>
      <c r="DB249" s="22"/>
      <c r="DC249" s="22"/>
      <c r="DD249" s="22"/>
      <c r="DE249" s="22"/>
      <c r="DF249" s="22"/>
      <c r="DG249" s="22"/>
      <c r="DH249" s="22"/>
      <c r="DI249" s="22"/>
      <c r="DJ249" s="22"/>
      <c r="DK249" s="22"/>
      <c r="DL249" s="22"/>
      <c r="DM249" s="22"/>
      <c r="DN249" s="22"/>
      <c r="DO249" s="22"/>
      <c r="DP249" s="22"/>
      <c r="DQ249" s="22"/>
      <c r="DR249" s="22"/>
      <c r="DS249" s="22"/>
      <c r="DT249" s="22"/>
      <c r="DU249" s="22"/>
      <c r="DV249" s="22"/>
      <c r="DW249" s="22"/>
      <c r="DX249" s="22"/>
      <c r="DY249" s="22"/>
      <c r="DZ249" s="22"/>
      <c r="EA249" s="22"/>
      <c r="EB249" s="22"/>
      <c r="EC249" s="22"/>
      <c r="ED249" s="22"/>
      <c r="EE249" s="22"/>
      <c r="EF249" s="22"/>
      <c r="EG249" s="22"/>
      <c r="EH249" s="22"/>
      <c r="EI249" s="22"/>
      <c r="EJ249" s="22"/>
      <c r="EK249" s="22"/>
      <c r="EL249" s="22"/>
      <c r="EM249" s="22"/>
      <c r="EN249" s="22"/>
      <c r="EO249" s="22"/>
      <c r="EP249" s="22"/>
      <c r="EQ249" s="22"/>
      <c r="ER249" s="22"/>
      <c r="ES249" s="22"/>
      <c r="ET249" s="22"/>
      <c r="EU249" s="22"/>
      <c r="EV249" s="22"/>
      <c r="EW249" s="22"/>
      <c r="EX249" s="22"/>
      <c r="EY249" s="22"/>
      <c r="EZ249" s="22"/>
      <c r="FA249" s="22"/>
      <c r="FB249" s="22"/>
      <c r="FC249" s="22"/>
      <c r="FD249" s="22"/>
      <c r="FE249" s="22"/>
      <c r="FF249" s="22"/>
      <c r="FG249" s="22"/>
      <c r="FH249" s="22"/>
      <c r="FI249" s="22"/>
      <c r="FJ249" s="22"/>
      <c r="FK249" s="22"/>
      <c r="FL249" s="22"/>
      <c r="FM249" s="22"/>
      <c r="FN249" s="22"/>
      <c r="FO249" s="22"/>
      <c r="FP249" s="22"/>
      <c r="FQ249" s="22"/>
      <c r="FR249" s="22"/>
      <c r="FS249" s="22"/>
      <c r="FT249" s="22"/>
      <c r="FU249" s="22"/>
      <c r="FV249" s="22"/>
      <c r="FW249" s="22"/>
      <c r="FX249" s="22"/>
      <c r="FY249" s="22"/>
      <c r="FZ249" s="22"/>
    </row>
    <row r="250" spans="2:182" x14ac:dyDescent="0.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c r="Z250" s="22"/>
      <c r="AA250" s="22"/>
      <c r="AB250" s="22"/>
      <c r="AC250" s="22"/>
      <c r="AD250" s="22"/>
      <c r="AE250" s="22"/>
      <c r="AF250" s="22"/>
      <c r="AG250" s="22"/>
      <c r="AH250" s="22"/>
      <c r="AI250" s="22"/>
      <c r="AJ250" s="22"/>
      <c r="AK250" s="22"/>
      <c r="AL250" s="22"/>
      <c r="AM250" s="22"/>
      <c r="AN250" s="22"/>
      <c r="AO250" s="22"/>
      <c r="AP250" s="22"/>
      <c r="AQ250" s="22"/>
      <c r="AR250" s="22"/>
      <c r="AS250" s="22"/>
      <c r="AT250" s="22"/>
      <c r="AU250" s="22"/>
      <c r="AV250" s="22"/>
      <c r="AW250" s="22"/>
      <c r="AX250" s="22"/>
      <c r="AY250" s="22"/>
      <c r="AZ250" s="22"/>
      <c r="BA250" s="22"/>
      <c r="BB250" s="22"/>
      <c r="BC250" s="22"/>
      <c r="BD250" s="22"/>
      <c r="BE250" s="22"/>
      <c r="BF250" s="22"/>
      <c r="BG250" s="22"/>
      <c r="BH250" s="22"/>
      <c r="BI250" s="22"/>
      <c r="BJ250" s="22"/>
      <c r="BK250" s="22"/>
      <c r="BL250" s="22"/>
      <c r="BM250" s="22"/>
      <c r="BN250" s="22"/>
      <c r="BO250" s="22"/>
      <c r="BP250" s="22"/>
      <c r="BQ250" s="22"/>
      <c r="BR250" s="22"/>
      <c r="BS250" s="22"/>
      <c r="BT250" s="22"/>
      <c r="BU250" s="22"/>
      <c r="BV250" s="22"/>
      <c r="BW250" s="22"/>
      <c r="BX250" s="22"/>
      <c r="BY250" s="22"/>
      <c r="BZ250" s="22"/>
      <c r="CA250" s="22"/>
      <c r="CB250" s="22"/>
      <c r="CC250" s="22"/>
      <c r="CD250" s="22"/>
      <c r="CE250" s="22"/>
      <c r="CF250" s="22"/>
      <c r="CG250" s="22"/>
      <c r="CH250" s="22"/>
      <c r="CI250" s="22"/>
      <c r="CJ250" s="22"/>
      <c r="CK250" s="22"/>
      <c r="CL250" s="22"/>
      <c r="CM250" s="22"/>
      <c r="CN250" s="22"/>
      <c r="CO250" s="22"/>
      <c r="CP250" s="22"/>
      <c r="CQ250" s="22"/>
      <c r="CR250" s="22"/>
      <c r="CS250" s="22"/>
      <c r="CT250" s="22"/>
      <c r="CU250" s="22"/>
      <c r="CV250" s="22"/>
      <c r="CW250" s="22"/>
      <c r="CX250" s="22"/>
      <c r="CY250" s="22"/>
      <c r="CZ250" s="22"/>
      <c r="DA250" s="22"/>
      <c r="DB250" s="22"/>
      <c r="DC250" s="22"/>
      <c r="DD250" s="22"/>
      <c r="DE250" s="22"/>
      <c r="DF250" s="22"/>
      <c r="DG250" s="22"/>
      <c r="DH250" s="22"/>
      <c r="DI250" s="22"/>
      <c r="DJ250" s="22"/>
      <c r="DK250" s="22"/>
      <c r="DL250" s="22"/>
      <c r="DM250" s="22"/>
      <c r="DN250" s="22"/>
      <c r="DO250" s="22"/>
      <c r="DP250" s="22"/>
      <c r="DQ250" s="22"/>
      <c r="DR250" s="22"/>
      <c r="DS250" s="22"/>
      <c r="DT250" s="22"/>
      <c r="DU250" s="22"/>
      <c r="DV250" s="22"/>
      <c r="DW250" s="22"/>
      <c r="DX250" s="22"/>
      <c r="DY250" s="22"/>
      <c r="DZ250" s="22"/>
      <c r="EA250" s="22"/>
      <c r="EB250" s="22"/>
      <c r="EC250" s="22"/>
      <c r="ED250" s="22"/>
      <c r="EE250" s="22"/>
      <c r="EF250" s="22"/>
      <c r="EG250" s="22"/>
      <c r="EH250" s="22"/>
      <c r="EI250" s="22"/>
      <c r="EJ250" s="22"/>
      <c r="EK250" s="22"/>
      <c r="EL250" s="22"/>
      <c r="EM250" s="22"/>
      <c r="EN250" s="22"/>
      <c r="EO250" s="22"/>
      <c r="EP250" s="22"/>
      <c r="EQ250" s="22"/>
      <c r="ER250" s="22"/>
      <c r="ES250" s="22"/>
      <c r="ET250" s="22"/>
      <c r="EU250" s="22"/>
      <c r="EV250" s="22"/>
      <c r="EW250" s="22"/>
      <c r="EX250" s="22"/>
      <c r="EY250" s="22"/>
      <c r="EZ250" s="22"/>
      <c r="FA250" s="22"/>
      <c r="FB250" s="22"/>
      <c r="FC250" s="22"/>
      <c r="FD250" s="22"/>
      <c r="FE250" s="22"/>
      <c r="FF250" s="22"/>
      <c r="FG250" s="22"/>
      <c r="FH250" s="22"/>
      <c r="FI250" s="22"/>
      <c r="FJ250" s="22"/>
      <c r="FK250" s="22"/>
      <c r="FL250" s="22"/>
      <c r="FM250" s="22"/>
      <c r="FN250" s="22"/>
      <c r="FO250" s="22"/>
      <c r="FP250" s="22"/>
      <c r="FQ250" s="22"/>
      <c r="FR250" s="22"/>
      <c r="FS250" s="22"/>
      <c r="FT250" s="22"/>
      <c r="FU250" s="22"/>
      <c r="FV250" s="22"/>
      <c r="FW250" s="22"/>
      <c r="FX250" s="22"/>
      <c r="FY250" s="22"/>
      <c r="FZ250" s="22"/>
    </row>
    <row r="251" spans="2:182" x14ac:dyDescent="0.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c r="Z251" s="22"/>
      <c r="AA251" s="22"/>
      <c r="AB251" s="22"/>
      <c r="AC251" s="22"/>
      <c r="AD251" s="22"/>
      <c r="AE251" s="22"/>
      <c r="AF251" s="22"/>
      <c r="AG251" s="22"/>
      <c r="AH251" s="22"/>
      <c r="AI251" s="22"/>
      <c r="AJ251" s="22"/>
      <c r="AK251" s="22"/>
      <c r="AL251" s="22"/>
      <c r="AM251" s="22"/>
      <c r="AN251" s="22"/>
      <c r="AO251" s="22"/>
      <c r="AP251" s="22"/>
      <c r="AQ251" s="22"/>
      <c r="AR251" s="22"/>
      <c r="AS251" s="22"/>
      <c r="AT251" s="22"/>
      <c r="AU251" s="22"/>
      <c r="AV251" s="22"/>
      <c r="AW251" s="22"/>
      <c r="AX251" s="22"/>
      <c r="AY251" s="22"/>
      <c r="AZ251" s="22"/>
      <c r="BA251" s="22"/>
      <c r="BB251" s="22"/>
      <c r="BC251" s="22"/>
      <c r="BD251" s="22"/>
      <c r="BE251" s="22"/>
      <c r="BF251" s="22"/>
      <c r="BG251" s="22"/>
      <c r="BH251" s="22"/>
      <c r="BI251" s="22"/>
      <c r="BJ251" s="22"/>
      <c r="BK251" s="22"/>
      <c r="BL251" s="22"/>
      <c r="BM251" s="22"/>
      <c r="BN251" s="22"/>
      <c r="BO251" s="22"/>
      <c r="BP251" s="22"/>
      <c r="BQ251" s="22"/>
      <c r="BR251" s="22"/>
      <c r="BS251" s="22"/>
      <c r="BT251" s="22"/>
      <c r="BU251" s="22"/>
      <c r="BV251" s="22"/>
      <c r="BW251" s="22"/>
      <c r="BX251" s="22"/>
      <c r="BY251" s="22"/>
      <c r="BZ251" s="22"/>
      <c r="CA251" s="22"/>
      <c r="CB251" s="22"/>
      <c r="CC251" s="22"/>
      <c r="CD251" s="22"/>
      <c r="CE251" s="22"/>
      <c r="CF251" s="22"/>
      <c r="CG251" s="22"/>
      <c r="CH251" s="22"/>
      <c r="CI251" s="22"/>
      <c r="CJ251" s="22"/>
      <c r="CK251" s="22"/>
      <c r="CL251" s="22"/>
      <c r="CM251" s="22"/>
      <c r="CN251" s="22"/>
      <c r="CO251" s="22"/>
      <c r="CP251" s="22"/>
      <c r="CQ251" s="22"/>
      <c r="CR251" s="22"/>
      <c r="CS251" s="22"/>
      <c r="CT251" s="22"/>
      <c r="CU251" s="22"/>
      <c r="CV251" s="22"/>
      <c r="CW251" s="22"/>
      <c r="CX251" s="22"/>
      <c r="CY251" s="22"/>
      <c r="CZ251" s="22"/>
      <c r="DA251" s="22"/>
      <c r="DB251" s="22"/>
      <c r="DC251" s="22"/>
      <c r="DD251" s="22"/>
      <c r="DE251" s="22"/>
      <c r="DF251" s="22"/>
      <c r="DG251" s="22"/>
      <c r="DH251" s="22"/>
      <c r="DI251" s="22"/>
      <c r="DJ251" s="22"/>
      <c r="DK251" s="22"/>
      <c r="DL251" s="22"/>
      <c r="DM251" s="22"/>
      <c r="DN251" s="22"/>
      <c r="DO251" s="22"/>
      <c r="DP251" s="22"/>
      <c r="DQ251" s="22"/>
      <c r="DR251" s="22"/>
      <c r="DS251" s="22"/>
      <c r="DT251" s="22"/>
      <c r="DU251" s="22"/>
      <c r="DV251" s="22"/>
      <c r="DW251" s="22"/>
      <c r="DX251" s="22"/>
      <c r="DY251" s="22"/>
      <c r="DZ251" s="22"/>
      <c r="EA251" s="22"/>
      <c r="EB251" s="22"/>
      <c r="EC251" s="22"/>
      <c r="ED251" s="22"/>
      <c r="EE251" s="22"/>
      <c r="EF251" s="22"/>
      <c r="EG251" s="22"/>
      <c r="EH251" s="22"/>
      <c r="EI251" s="22"/>
      <c r="EJ251" s="22"/>
      <c r="EK251" s="22"/>
      <c r="EL251" s="22"/>
      <c r="EM251" s="22"/>
      <c r="EN251" s="22"/>
      <c r="EO251" s="22"/>
      <c r="EP251" s="22"/>
      <c r="EQ251" s="22"/>
      <c r="ER251" s="22"/>
      <c r="ES251" s="22"/>
      <c r="ET251" s="22"/>
      <c r="EU251" s="22"/>
      <c r="EV251" s="22"/>
      <c r="EW251" s="22"/>
      <c r="EX251" s="22"/>
      <c r="EY251" s="22"/>
      <c r="EZ251" s="22"/>
      <c r="FA251" s="22"/>
      <c r="FB251" s="22"/>
      <c r="FC251" s="22"/>
      <c r="FD251" s="22"/>
      <c r="FE251" s="22"/>
      <c r="FF251" s="22"/>
      <c r="FG251" s="22"/>
      <c r="FH251" s="22"/>
      <c r="FI251" s="22"/>
      <c r="FJ251" s="22"/>
      <c r="FK251" s="22"/>
      <c r="FL251" s="22"/>
      <c r="FM251" s="22"/>
      <c r="FN251" s="22"/>
      <c r="FO251" s="22"/>
      <c r="FP251" s="22"/>
      <c r="FQ251" s="22"/>
      <c r="FR251" s="22"/>
      <c r="FS251" s="22"/>
      <c r="FT251" s="22"/>
      <c r="FU251" s="22"/>
      <c r="FV251" s="22"/>
      <c r="FW251" s="22"/>
      <c r="FX251" s="22"/>
      <c r="FY251" s="22"/>
      <c r="FZ251" s="22"/>
    </row>
    <row r="252" spans="2:182" x14ac:dyDescent="0.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c r="Z252" s="22"/>
      <c r="AA252" s="22"/>
      <c r="AB252" s="22"/>
      <c r="AC252" s="22"/>
      <c r="AD252" s="22"/>
      <c r="AE252" s="22"/>
      <c r="AF252" s="22"/>
      <c r="AG252" s="22"/>
      <c r="AH252" s="22"/>
      <c r="AI252" s="22"/>
      <c r="AJ252" s="22"/>
      <c r="AK252" s="22"/>
      <c r="AL252" s="22"/>
      <c r="AM252" s="22"/>
      <c r="AN252" s="22"/>
      <c r="AO252" s="22"/>
      <c r="AP252" s="22"/>
      <c r="AQ252" s="22"/>
      <c r="AR252" s="22"/>
      <c r="AS252" s="22"/>
      <c r="AT252" s="22"/>
      <c r="AU252" s="22"/>
      <c r="AV252" s="22"/>
      <c r="AW252" s="22"/>
      <c r="AX252" s="22"/>
      <c r="AY252" s="22"/>
      <c r="AZ252" s="22"/>
      <c r="BA252" s="22"/>
      <c r="BB252" s="22"/>
      <c r="BC252" s="22"/>
      <c r="BD252" s="22"/>
      <c r="BE252" s="22"/>
      <c r="BF252" s="22"/>
      <c r="BG252" s="22"/>
      <c r="BH252" s="22"/>
      <c r="BI252" s="22"/>
      <c r="BJ252" s="22"/>
      <c r="BK252" s="22"/>
      <c r="BL252" s="22"/>
      <c r="BM252" s="22"/>
      <c r="BN252" s="22"/>
      <c r="BO252" s="22"/>
      <c r="BP252" s="22"/>
      <c r="BQ252" s="22"/>
      <c r="BR252" s="22"/>
      <c r="BS252" s="22"/>
      <c r="BT252" s="22"/>
      <c r="BU252" s="22"/>
      <c r="BV252" s="22"/>
      <c r="BW252" s="22"/>
      <c r="BX252" s="22"/>
      <c r="BY252" s="22"/>
      <c r="BZ252" s="22"/>
      <c r="CA252" s="22"/>
      <c r="CB252" s="22"/>
      <c r="CC252" s="22"/>
      <c r="CD252" s="22"/>
      <c r="CE252" s="22"/>
      <c r="CF252" s="22"/>
      <c r="CG252" s="22"/>
      <c r="CH252" s="22"/>
      <c r="CI252" s="22"/>
      <c r="CJ252" s="22"/>
      <c r="CK252" s="22"/>
      <c r="CL252" s="22"/>
      <c r="CM252" s="22"/>
      <c r="CN252" s="22"/>
      <c r="CO252" s="22"/>
      <c r="CP252" s="22"/>
      <c r="CQ252" s="22"/>
      <c r="CR252" s="22"/>
      <c r="CS252" s="22"/>
      <c r="CT252" s="22"/>
      <c r="CU252" s="22"/>
      <c r="CV252" s="22"/>
      <c r="CW252" s="22"/>
      <c r="CX252" s="22"/>
      <c r="CY252" s="22"/>
      <c r="CZ252" s="22"/>
      <c r="DA252" s="22"/>
      <c r="DB252" s="22"/>
      <c r="DC252" s="22"/>
      <c r="DD252" s="22"/>
      <c r="DE252" s="22"/>
      <c r="DF252" s="22"/>
      <c r="DG252" s="22"/>
      <c r="DH252" s="22"/>
      <c r="DI252" s="22"/>
      <c r="DJ252" s="22"/>
      <c r="DK252" s="22"/>
      <c r="DL252" s="22"/>
      <c r="DM252" s="22"/>
      <c r="DN252" s="22"/>
      <c r="DO252" s="22"/>
      <c r="DP252" s="22"/>
      <c r="DQ252" s="22"/>
      <c r="DR252" s="22"/>
      <c r="DS252" s="22"/>
      <c r="DT252" s="22"/>
      <c r="DU252" s="22"/>
      <c r="DV252" s="22"/>
      <c r="DW252" s="22"/>
      <c r="DX252" s="22"/>
      <c r="DY252" s="22"/>
      <c r="DZ252" s="22"/>
      <c r="EA252" s="22"/>
      <c r="EB252" s="22"/>
      <c r="EC252" s="22"/>
      <c r="ED252" s="22"/>
      <c r="EE252" s="22"/>
      <c r="EF252" s="22"/>
      <c r="EG252" s="22"/>
      <c r="EH252" s="22"/>
      <c r="EI252" s="22"/>
      <c r="EJ252" s="22"/>
      <c r="EK252" s="22"/>
      <c r="EL252" s="22"/>
      <c r="EM252" s="22"/>
      <c r="EN252" s="22"/>
      <c r="EO252" s="22"/>
      <c r="EP252" s="22"/>
      <c r="EQ252" s="22"/>
      <c r="ER252" s="22"/>
      <c r="ES252" s="22"/>
      <c r="ET252" s="22"/>
      <c r="EU252" s="22"/>
      <c r="EV252" s="22"/>
      <c r="EW252" s="22"/>
      <c r="EX252" s="22"/>
      <c r="EY252" s="22"/>
      <c r="EZ252" s="22"/>
      <c r="FA252" s="22"/>
      <c r="FB252" s="22"/>
      <c r="FC252" s="22"/>
      <c r="FD252" s="22"/>
      <c r="FE252" s="22"/>
      <c r="FF252" s="22"/>
      <c r="FG252" s="22"/>
      <c r="FH252" s="22"/>
      <c r="FI252" s="22"/>
      <c r="FJ252" s="22"/>
      <c r="FK252" s="22"/>
      <c r="FL252" s="22"/>
      <c r="FM252" s="22"/>
      <c r="FN252" s="22"/>
      <c r="FO252" s="22"/>
      <c r="FP252" s="22"/>
      <c r="FQ252" s="22"/>
      <c r="FR252" s="22"/>
      <c r="FS252" s="22"/>
      <c r="FT252" s="22"/>
      <c r="FU252" s="22"/>
      <c r="FV252" s="22"/>
      <c r="FW252" s="22"/>
      <c r="FX252" s="22"/>
      <c r="FY252" s="22"/>
      <c r="FZ252" s="22"/>
    </row>
    <row r="253" spans="2:182" x14ac:dyDescent="0.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c r="Z253" s="22"/>
      <c r="AA253" s="22"/>
      <c r="AB253" s="22"/>
      <c r="AC253" s="22"/>
      <c r="AD253" s="22"/>
      <c r="AE253" s="22"/>
      <c r="AF253" s="22"/>
      <c r="AG253" s="22"/>
      <c r="AH253" s="22"/>
      <c r="AI253" s="22"/>
      <c r="AJ253" s="22"/>
      <c r="AK253" s="22"/>
      <c r="AL253" s="22"/>
      <c r="AM253" s="22"/>
      <c r="AN253" s="22"/>
      <c r="AO253" s="22"/>
      <c r="AP253" s="22"/>
      <c r="AQ253" s="22"/>
      <c r="AR253" s="22"/>
      <c r="AS253" s="22"/>
      <c r="AT253" s="22"/>
      <c r="AU253" s="22"/>
      <c r="AV253" s="22"/>
      <c r="AW253" s="22"/>
      <c r="AX253" s="22"/>
      <c r="AY253" s="22"/>
      <c r="AZ253" s="22"/>
      <c r="BA253" s="22"/>
      <c r="BB253" s="22"/>
      <c r="BC253" s="22"/>
      <c r="BD253" s="22"/>
      <c r="BE253" s="22"/>
      <c r="BF253" s="22"/>
      <c r="BG253" s="22"/>
      <c r="BH253" s="22"/>
      <c r="BI253" s="22"/>
      <c r="BJ253" s="22"/>
      <c r="BK253" s="22"/>
      <c r="BL253" s="22"/>
      <c r="BM253" s="22"/>
      <c r="BN253" s="22"/>
      <c r="BO253" s="22"/>
      <c r="BP253" s="22"/>
      <c r="BQ253" s="22"/>
      <c r="BR253" s="22"/>
      <c r="BS253" s="22"/>
      <c r="BT253" s="22"/>
      <c r="BU253" s="22"/>
      <c r="BV253" s="22"/>
      <c r="BW253" s="22"/>
      <c r="BX253" s="22"/>
      <c r="BY253" s="22"/>
      <c r="BZ253" s="22"/>
      <c r="CA253" s="22"/>
      <c r="CB253" s="22"/>
      <c r="CC253" s="22"/>
      <c r="CD253" s="22"/>
      <c r="CE253" s="22"/>
      <c r="CF253" s="22"/>
      <c r="CG253" s="22"/>
      <c r="CH253" s="22"/>
      <c r="CI253" s="22"/>
      <c r="CJ253" s="22"/>
      <c r="CK253" s="22"/>
      <c r="CL253" s="22"/>
      <c r="CM253" s="22"/>
      <c r="CN253" s="22"/>
      <c r="CO253" s="22"/>
      <c r="CP253" s="22"/>
      <c r="CQ253" s="22"/>
      <c r="CR253" s="22"/>
      <c r="CS253" s="22"/>
      <c r="CT253" s="22"/>
      <c r="CU253" s="22"/>
      <c r="CV253" s="22"/>
      <c r="CW253" s="22"/>
      <c r="CX253" s="22"/>
      <c r="CY253" s="22"/>
      <c r="CZ253" s="22"/>
      <c r="DA253" s="22"/>
      <c r="DB253" s="22"/>
      <c r="DC253" s="22"/>
      <c r="DD253" s="22"/>
      <c r="DE253" s="22"/>
      <c r="DF253" s="22"/>
      <c r="DG253" s="22"/>
      <c r="DH253" s="22"/>
      <c r="DI253" s="22"/>
      <c r="DJ253" s="22"/>
      <c r="DK253" s="22"/>
      <c r="DL253" s="22"/>
      <c r="DM253" s="22"/>
      <c r="DN253" s="22"/>
      <c r="DO253" s="22"/>
      <c r="DP253" s="22"/>
      <c r="DQ253" s="22"/>
      <c r="DR253" s="22"/>
      <c r="DS253" s="22"/>
      <c r="DT253" s="22"/>
      <c r="DU253" s="22"/>
      <c r="DV253" s="22"/>
      <c r="DW253" s="22"/>
      <c r="DX253" s="22"/>
      <c r="DY253" s="22"/>
      <c r="DZ253" s="22"/>
      <c r="EA253" s="22"/>
      <c r="EB253" s="22"/>
      <c r="EC253" s="22"/>
      <c r="ED253" s="22"/>
      <c r="EE253" s="22"/>
      <c r="EF253" s="22"/>
      <c r="EG253" s="22"/>
      <c r="EH253" s="22"/>
      <c r="EI253" s="22"/>
      <c r="EJ253" s="22"/>
      <c r="EK253" s="22"/>
      <c r="EL253" s="22"/>
      <c r="EM253" s="22"/>
      <c r="EN253" s="22"/>
      <c r="EO253" s="22"/>
      <c r="EP253" s="22"/>
      <c r="EQ253" s="22"/>
      <c r="ER253" s="22"/>
      <c r="ES253" s="22"/>
      <c r="ET253" s="22"/>
      <c r="EU253" s="22"/>
      <c r="EV253" s="22"/>
      <c r="EW253" s="22"/>
      <c r="EX253" s="22"/>
      <c r="EY253" s="22"/>
      <c r="EZ253" s="22"/>
      <c r="FA253" s="22"/>
      <c r="FB253" s="22"/>
      <c r="FC253" s="22"/>
      <c r="FD253" s="22"/>
      <c r="FE253" s="22"/>
      <c r="FF253" s="22"/>
      <c r="FG253" s="22"/>
      <c r="FH253" s="22"/>
      <c r="FI253" s="22"/>
      <c r="FJ253" s="22"/>
      <c r="FK253" s="22"/>
      <c r="FL253" s="22"/>
      <c r="FM253" s="22"/>
      <c r="FN253" s="22"/>
      <c r="FO253" s="22"/>
      <c r="FP253" s="22"/>
      <c r="FQ253" s="22"/>
      <c r="FR253" s="22"/>
      <c r="FS253" s="22"/>
      <c r="FT253" s="22"/>
      <c r="FU253" s="22"/>
      <c r="FV253" s="22"/>
      <c r="FW253" s="22"/>
      <c r="FX253" s="22"/>
      <c r="FY253" s="22"/>
      <c r="FZ253" s="22"/>
    </row>
    <row r="254" spans="2:182" x14ac:dyDescent="0.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c r="Z254" s="22"/>
      <c r="AA254" s="22"/>
      <c r="AB254" s="22"/>
      <c r="AC254" s="22"/>
      <c r="AD254" s="22"/>
      <c r="AE254" s="22"/>
      <c r="AF254" s="22"/>
      <c r="AG254" s="22"/>
      <c r="AH254" s="22"/>
      <c r="AI254" s="22"/>
      <c r="AJ254" s="22"/>
      <c r="AK254" s="22"/>
      <c r="AL254" s="22"/>
      <c r="AM254" s="22"/>
      <c r="AN254" s="22"/>
      <c r="AO254" s="22"/>
      <c r="AP254" s="22"/>
      <c r="AQ254" s="22"/>
      <c r="AR254" s="22"/>
      <c r="AS254" s="22"/>
      <c r="AT254" s="22"/>
      <c r="AU254" s="22"/>
      <c r="AV254" s="22"/>
      <c r="AW254" s="22"/>
      <c r="AX254" s="22"/>
      <c r="AY254" s="22"/>
      <c r="AZ254" s="22"/>
      <c r="BA254" s="22"/>
      <c r="BB254" s="22"/>
      <c r="BC254" s="22"/>
      <c r="BD254" s="22"/>
      <c r="BE254" s="22"/>
      <c r="BF254" s="22"/>
      <c r="BG254" s="22"/>
      <c r="BH254" s="22"/>
      <c r="BI254" s="22"/>
      <c r="BJ254" s="22"/>
      <c r="BK254" s="22"/>
      <c r="BL254" s="22"/>
      <c r="BM254" s="22"/>
      <c r="BN254" s="22"/>
      <c r="BO254" s="22"/>
      <c r="BP254" s="22"/>
      <c r="BQ254" s="22"/>
      <c r="BR254" s="22"/>
      <c r="BS254" s="22"/>
      <c r="BT254" s="22"/>
      <c r="BU254" s="22"/>
      <c r="BV254" s="22"/>
      <c r="BW254" s="22"/>
      <c r="BX254" s="22"/>
      <c r="BY254" s="22"/>
      <c r="BZ254" s="22"/>
      <c r="CA254" s="22"/>
      <c r="CB254" s="22"/>
      <c r="CC254" s="22"/>
      <c r="CD254" s="22"/>
      <c r="CE254" s="22"/>
      <c r="CF254" s="22"/>
      <c r="CG254" s="22"/>
      <c r="CH254" s="22"/>
      <c r="CI254" s="22"/>
      <c r="CJ254" s="22"/>
      <c r="CK254" s="22"/>
      <c r="CL254" s="22"/>
      <c r="CM254" s="22"/>
      <c r="CN254" s="22"/>
      <c r="CO254" s="22"/>
      <c r="CP254" s="22"/>
      <c r="CQ254" s="22"/>
      <c r="CR254" s="22"/>
      <c r="CS254" s="22"/>
      <c r="CT254" s="22"/>
      <c r="CU254" s="22"/>
      <c r="CV254" s="22"/>
      <c r="CW254" s="22"/>
      <c r="CX254" s="22"/>
      <c r="CY254" s="22"/>
      <c r="CZ254" s="22"/>
      <c r="DA254" s="22"/>
      <c r="DB254" s="22"/>
      <c r="DC254" s="22"/>
      <c r="DD254" s="22"/>
      <c r="DE254" s="22"/>
      <c r="DF254" s="22"/>
      <c r="DG254" s="22"/>
      <c r="DH254" s="22"/>
      <c r="DI254" s="22"/>
      <c r="DJ254" s="22"/>
      <c r="DK254" s="22"/>
      <c r="DL254" s="22"/>
      <c r="DM254" s="22"/>
      <c r="DN254" s="22"/>
      <c r="DO254" s="22"/>
      <c r="DP254" s="22"/>
      <c r="DQ254" s="22"/>
      <c r="DR254" s="22"/>
      <c r="DS254" s="22"/>
      <c r="DT254" s="22"/>
      <c r="DU254" s="22"/>
      <c r="DV254" s="22"/>
      <c r="DW254" s="22"/>
      <c r="DX254" s="22"/>
      <c r="DY254" s="22"/>
      <c r="DZ254" s="22"/>
      <c r="EA254" s="22"/>
      <c r="EB254" s="22"/>
      <c r="EC254" s="22"/>
      <c r="ED254" s="22"/>
      <c r="EE254" s="22"/>
      <c r="EF254" s="22"/>
      <c r="EG254" s="22"/>
      <c r="EH254" s="22"/>
      <c r="EI254" s="22"/>
      <c r="EJ254" s="22"/>
      <c r="EK254" s="22"/>
      <c r="EL254" s="22"/>
      <c r="EM254" s="22"/>
      <c r="EN254" s="22"/>
      <c r="EO254" s="22"/>
      <c r="EP254" s="22"/>
      <c r="EQ254" s="22"/>
      <c r="ER254" s="22"/>
      <c r="ES254" s="22"/>
      <c r="ET254" s="22"/>
      <c r="EU254" s="22"/>
      <c r="EV254" s="22"/>
      <c r="EW254" s="22"/>
      <c r="EX254" s="22"/>
      <c r="EY254" s="22"/>
      <c r="EZ254" s="22"/>
      <c r="FA254" s="22"/>
      <c r="FB254" s="22"/>
      <c r="FC254" s="22"/>
      <c r="FD254" s="22"/>
      <c r="FE254" s="22"/>
      <c r="FF254" s="22"/>
      <c r="FG254" s="22"/>
      <c r="FH254" s="22"/>
      <c r="FI254" s="22"/>
      <c r="FJ254" s="22"/>
      <c r="FK254" s="22"/>
      <c r="FL254" s="22"/>
      <c r="FM254" s="22"/>
      <c r="FN254" s="22"/>
      <c r="FO254" s="22"/>
      <c r="FP254" s="22"/>
      <c r="FQ254" s="22"/>
      <c r="FR254" s="22"/>
      <c r="FS254" s="22"/>
      <c r="FT254" s="22"/>
      <c r="FU254" s="22"/>
      <c r="FV254" s="22"/>
      <c r="FW254" s="22"/>
      <c r="FX254" s="22"/>
      <c r="FY254" s="22"/>
      <c r="FZ254" s="22"/>
    </row>
    <row r="255" spans="2:182" x14ac:dyDescent="0.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c r="Z255" s="22"/>
      <c r="AA255" s="22"/>
      <c r="AB255" s="22"/>
      <c r="AC255" s="22"/>
      <c r="AD255" s="22"/>
      <c r="AE255" s="22"/>
      <c r="AF255" s="22"/>
      <c r="AG255" s="22"/>
      <c r="AH255" s="22"/>
      <c r="AI255" s="22"/>
      <c r="AJ255" s="22"/>
      <c r="AK255" s="22"/>
      <c r="AL255" s="22"/>
      <c r="AM255" s="22"/>
      <c r="AN255" s="22"/>
      <c r="AO255" s="22"/>
      <c r="AP255" s="22"/>
      <c r="AQ255" s="22"/>
      <c r="AR255" s="22"/>
      <c r="AS255" s="22"/>
      <c r="AT255" s="22"/>
      <c r="AU255" s="22"/>
      <c r="AV255" s="22"/>
      <c r="AW255" s="22"/>
      <c r="AX255" s="22"/>
      <c r="AY255" s="22"/>
      <c r="AZ255" s="22"/>
      <c r="BA255" s="22"/>
      <c r="BB255" s="22"/>
      <c r="BC255" s="22"/>
      <c r="BD255" s="22"/>
      <c r="BE255" s="22"/>
      <c r="BF255" s="22"/>
      <c r="BG255" s="22"/>
      <c r="BH255" s="22"/>
      <c r="BI255" s="22"/>
      <c r="BJ255" s="22"/>
      <c r="BK255" s="22"/>
      <c r="BL255" s="22"/>
      <c r="BM255" s="22"/>
      <c r="BN255" s="22"/>
      <c r="BO255" s="22"/>
      <c r="BP255" s="22"/>
      <c r="BQ255" s="22"/>
      <c r="BR255" s="22"/>
      <c r="BS255" s="22"/>
      <c r="BT255" s="22"/>
      <c r="BU255" s="22"/>
      <c r="BV255" s="22"/>
      <c r="BW255" s="22"/>
      <c r="BX255" s="22"/>
      <c r="BY255" s="22"/>
      <c r="BZ255" s="22"/>
      <c r="CA255" s="22"/>
      <c r="CB255" s="22"/>
      <c r="CC255" s="22"/>
      <c r="CD255" s="22"/>
      <c r="CE255" s="22"/>
      <c r="CF255" s="22"/>
      <c r="CG255" s="22"/>
      <c r="CH255" s="22"/>
      <c r="CI255" s="22"/>
      <c r="CJ255" s="22"/>
      <c r="CK255" s="22"/>
      <c r="CL255" s="22"/>
      <c r="CM255" s="22"/>
      <c r="CN255" s="22"/>
      <c r="CO255" s="22"/>
      <c r="CP255" s="22"/>
      <c r="CQ255" s="22"/>
      <c r="CR255" s="22"/>
      <c r="CS255" s="22"/>
      <c r="CT255" s="22"/>
      <c r="CU255" s="22"/>
      <c r="CV255" s="22"/>
      <c r="CW255" s="22"/>
      <c r="CX255" s="22"/>
      <c r="CY255" s="22"/>
      <c r="CZ255" s="22"/>
      <c r="DA255" s="22"/>
      <c r="DB255" s="22"/>
      <c r="DC255" s="22"/>
      <c r="DD255" s="22"/>
      <c r="DE255" s="22"/>
      <c r="DF255" s="22"/>
      <c r="DG255" s="22"/>
      <c r="DH255" s="22"/>
      <c r="DI255" s="22"/>
      <c r="DJ255" s="22"/>
      <c r="DK255" s="22"/>
      <c r="DL255" s="22"/>
      <c r="DM255" s="22"/>
      <c r="DN255" s="22"/>
      <c r="DO255" s="22"/>
      <c r="DP255" s="22"/>
      <c r="DQ255" s="22"/>
      <c r="DR255" s="22"/>
      <c r="DS255" s="22"/>
      <c r="DT255" s="22"/>
      <c r="DU255" s="22"/>
      <c r="DV255" s="22"/>
      <c r="DW255" s="22"/>
      <c r="DX255" s="22"/>
      <c r="DY255" s="22"/>
      <c r="DZ255" s="22"/>
      <c r="EA255" s="22"/>
      <c r="EB255" s="22"/>
      <c r="EC255" s="22"/>
      <c r="ED255" s="22"/>
      <c r="EE255" s="22"/>
      <c r="EF255" s="22"/>
      <c r="EG255" s="22"/>
      <c r="EH255" s="22"/>
      <c r="EI255" s="22"/>
      <c r="EJ255" s="22"/>
      <c r="EK255" s="22"/>
      <c r="EL255" s="22"/>
      <c r="EM255" s="22"/>
      <c r="EN255" s="22"/>
      <c r="EO255" s="22"/>
      <c r="EP255" s="22"/>
      <c r="EQ255" s="22"/>
      <c r="ER255" s="22"/>
      <c r="ES255" s="22"/>
      <c r="ET255" s="22"/>
      <c r="EU255" s="22"/>
      <c r="EV255" s="22"/>
      <c r="EW255" s="22"/>
      <c r="EX255" s="22"/>
      <c r="EY255" s="22"/>
      <c r="EZ255" s="22"/>
      <c r="FA255" s="22"/>
      <c r="FB255" s="22"/>
      <c r="FC255" s="22"/>
      <c r="FD255" s="22"/>
      <c r="FE255" s="22"/>
      <c r="FF255" s="22"/>
      <c r="FG255" s="22"/>
      <c r="FH255" s="22"/>
      <c r="FI255" s="22"/>
      <c r="FJ255" s="22"/>
      <c r="FK255" s="22"/>
      <c r="FL255" s="22"/>
      <c r="FM255" s="22"/>
      <c r="FN255" s="22"/>
      <c r="FO255" s="22"/>
      <c r="FP255" s="22"/>
      <c r="FQ255" s="22"/>
      <c r="FR255" s="22"/>
      <c r="FS255" s="22"/>
      <c r="FT255" s="22"/>
      <c r="FU255" s="22"/>
      <c r="FV255" s="22"/>
      <c r="FW255" s="22"/>
      <c r="FX255" s="22"/>
      <c r="FY255" s="22"/>
      <c r="FZ255" s="22"/>
    </row>
    <row r="256" spans="2:182" x14ac:dyDescent="0.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c r="Z256" s="22"/>
      <c r="AA256" s="22"/>
      <c r="AB256" s="22"/>
      <c r="AC256" s="22"/>
      <c r="AD256" s="22"/>
      <c r="AE256" s="22"/>
      <c r="AF256" s="22"/>
      <c r="AG256" s="22"/>
      <c r="AH256" s="22"/>
      <c r="AI256" s="22"/>
      <c r="AJ256" s="22"/>
      <c r="AK256" s="22"/>
      <c r="AL256" s="22"/>
      <c r="AM256" s="22"/>
      <c r="AN256" s="22"/>
      <c r="AO256" s="22"/>
      <c r="AP256" s="22"/>
      <c r="AQ256" s="22"/>
      <c r="AR256" s="22"/>
      <c r="AS256" s="22"/>
      <c r="AT256" s="22"/>
      <c r="AU256" s="22"/>
      <c r="AV256" s="22"/>
      <c r="AW256" s="22"/>
      <c r="AX256" s="22"/>
      <c r="AY256" s="22"/>
      <c r="AZ256" s="22"/>
      <c r="BA256" s="22"/>
      <c r="BB256" s="22"/>
      <c r="BC256" s="22"/>
      <c r="BD256" s="22"/>
      <c r="BE256" s="22"/>
      <c r="BF256" s="22"/>
      <c r="BG256" s="22"/>
      <c r="BH256" s="22"/>
      <c r="BI256" s="22"/>
      <c r="BJ256" s="22"/>
      <c r="BK256" s="22"/>
      <c r="BL256" s="22"/>
      <c r="BM256" s="22"/>
      <c r="BN256" s="22"/>
      <c r="BO256" s="22"/>
      <c r="BP256" s="22"/>
      <c r="BQ256" s="22"/>
      <c r="BR256" s="22"/>
      <c r="BS256" s="22"/>
      <c r="BT256" s="22"/>
      <c r="BU256" s="22"/>
      <c r="BV256" s="22"/>
      <c r="BW256" s="22"/>
      <c r="BX256" s="22"/>
      <c r="BY256" s="22"/>
      <c r="BZ256" s="22"/>
      <c r="CA256" s="22"/>
      <c r="CB256" s="22"/>
      <c r="CC256" s="22"/>
      <c r="CD256" s="22"/>
      <c r="CE256" s="22"/>
      <c r="CF256" s="22"/>
      <c r="CG256" s="22"/>
      <c r="CH256" s="22"/>
      <c r="CI256" s="22"/>
      <c r="CJ256" s="22"/>
      <c r="CK256" s="22"/>
      <c r="CL256" s="22"/>
      <c r="CM256" s="22"/>
      <c r="CN256" s="22"/>
      <c r="CO256" s="22"/>
      <c r="CP256" s="22"/>
      <c r="CQ256" s="22"/>
      <c r="CR256" s="22"/>
      <c r="CS256" s="22"/>
      <c r="CT256" s="22"/>
      <c r="CU256" s="22"/>
      <c r="CV256" s="22"/>
      <c r="CW256" s="22"/>
      <c r="CX256" s="22"/>
      <c r="CY256" s="22"/>
      <c r="CZ256" s="22"/>
      <c r="DA256" s="22"/>
      <c r="DB256" s="22"/>
      <c r="DC256" s="22"/>
      <c r="DD256" s="22"/>
      <c r="DE256" s="22"/>
      <c r="DF256" s="22"/>
      <c r="DG256" s="22"/>
      <c r="DH256" s="22"/>
      <c r="DI256" s="22"/>
      <c r="DJ256" s="22"/>
      <c r="DK256" s="22"/>
      <c r="DL256" s="22"/>
      <c r="DM256" s="22"/>
      <c r="DN256" s="22"/>
      <c r="DO256" s="22"/>
      <c r="DP256" s="22"/>
      <c r="DQ256" s="22"/>
      <c r="DR256" s="22"/>
      <c r="DS256" s="22"/>
      <c r="DT256" s="22"/>
      <c r="DU256" s="22"/>
      <c r="DV256" s="22"/>
      <c r="DW256" s="22"/>
      <c r="DX256" s="22"/>
      <c r="DY256" s="22"/>
      <c r="DZ256" s="22"/>
      <c r="EA256" s="22"/>
      <c r="EB256" s="22"/>
      <c r="EC256" s="22"/>
      <c r="ED256" s="22"/>
      <c r="EE256" s="22"/>
      <c r="EF256" s="22"/>
      <c r="EG256" s="22"/>
      <c r="EH256" s="22"/>
      <c r="EI256" s="22"/>
      <c r="EJ256" s="22"/>
      <c r="EK256" s="22"/>
      <c r="EL256" s="22"/>
      <c r="EM256" s="22"/>
      <c r="EN256" s="22"/>
      <c r="EO256" s="22"/>
      <c r="EP256" s="22"/>
      <c r="EQ256" s="22"/>
      <c r="ER256" s="22"/>
      <c r="ES256" s="22"/>
      <c r="ET256" s="22"/>
      <c r="EU256" s="22"/>
      <c r="EV256" s="22"/>
      <c r="EW256" s="22"/>
      <c r="EX256" s="22"/>
      <c r="EY256" s="22"/>
      <c r="EZ256" s="22"/>
      <c r="FA256" s="22"/>
      <c r="FB256" s="22"/>
      <c r="FC256" s="22"/>
      <c r="FD256" s="22"/>
      <c r="FE256" s="22"/>
      <c r="FF256" s="22"/>
      <c r="FG256" s="22"/>
      <c r="FH256" s="22"/>
      <c r="FI256" s="22"/>
      <c r="FJ256" s="22"/>
      <c r="FK256" s="22"/>
      <c r="FL256" s="22"/>
      <c r="FM256" s="22"/>
      <c r="FN256" s="22"/>
      <c r="FO256" s="22"/>
      <c r="FP256" s="22"/>
      <c r="FQ256" s="22"/>
      <c r="FR256" s="22"/>
      <c r="FS256" s="22"/>
      <c r="FT256" s="22"/>
      <c r="FU256" s="22"/>
      <c r="FV256" s="22"/>
      <c r="FW256" s="22"/>
      <c r="FX256" s="22"/>
      <c r="FY256" s="22"/>
      <c r="FZ256" s="22"/>
    </row>
    <row r="257" spans="2:182" x14ac:dyDescent="0.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c r="Z257" s="22"/>
      <c r="AA257" s="22"/>
      <c r="AB257" s="22"/>
      <c r="AC257" s="22"/>
      <c r="AD257" s="22"/>
      <c r="AE257" s="22"/>
      <c r="AF257" s="22"/>
      <c r="AG257" s="22"/>
      <c r="AH257" s="22"/>
      <c r="AI257" s="22"/>
      <c r="AJ257" s="22"/>
      <c r="AK257" s="22"/>
      <c r="AL257" s="22"/>
      <c r="AM257" s="22"/>
      <c r="AN257" s="22"/>
      <c r="AO257" s="22"/>
      <c r="AP257" s="22"/>
      <c r="AQ257" s="22"/>
      <c r="AR257" s="22"/>
      <c r="AS257" s="22"/>
      <c r="AT257" s="22"/>
      <c r="AU257" s="22"/>
      <c r="AV257" s="22"/>
      <c r="AW257" s="22"/>
      <c r="AX257" s="22"/>
      <c r="AY257" s="22"/>
      <c r="AZ257" s="22"/>
      <c r="BA257" s="22"/>
      <c r="BB257" s="22"/>
      <c r="BC257" s="22"/>
      <c r="BD257" s="22"/>
      <c r="BE257" s="22"/>
      <c r="BF257" s="22"/>
      <c r="BG257" s="22"/>
      <c r="BH257" s="22"/>
      <c r="BI257" s="22"/>
      <c r="BJ257" s="22"/>
      <c r="BK257" s="22"/>
      <c r="BL257" s="22"/>
      <c r="BM257" s="22"/>
      <c r="BN257" s="22"/>
      <c r="BO257" s="22"/>
      <c r="BP257" s="22"/>
      <c r="BQ257" s="22"/>
      <c r="BR257" s="22"/>
      <c r="BS257" s="22"/>
      <c r="BT257" s="22"/>
      <c r="BU257" s="22"/>
      <c r="BV257" s="22"/>
      <c r="BW257" s="22"/>
      <c r="BX257" s="22"/>
      <c r="BY257" s="22"/>
      <c r="BZ257" s="22"/>
      <c r="CA257" s="22"/>
      <c r="CB257" s="22"/>
      <c r="CC257" s="22"/>
      <c r="CD257" s="22"/>
      <c r="CE257" s="22"/>
      <c r="CF257" s="22"/>
      <c r="CG257" s="22"/>
      <c r="CH257" s="22"/>
      <c r="CI257" s="22"/>
      <c r="CJ257" s="22"/>
      <c r="CK257" s="22"/>
      <c r="CL257" s="22"/>
      <c r="CM257" s="22"/>
      <c r="CN257" s="22"/>
      <c r="CO257" s="22"/>
      <c r="CP257" s="22"/>
      <c r="CQ257" s="22"/>
      <c r="CR257" s="22"/>
      <c r="CS257" s="22"/>
      <c r="CT257" s="22"/>
      <c r="CU257" s="22"/>
      <c r="CV257" s="22"/>
      <c r="CW257" s="22"/>
      <c r="CX257" s="22"/>
      <c r="CY257" s="22"/>
      <c r="CZ257" s="22"/>
      <c r="DA257" s="22"/>
      <c r="DB257" s="22"/>
      <c r="DC257" s="22"/>
      <c r="DD257" s="22"/>
      <c r="DE257" s="22"/>
      <c r="DF257" s="22"/>
      <c r="DG257" s="22"/>
      <c r="DH257" s="22"/>
      <c r="DI257" s="22"/>
      <c r="DJ257" s="22"/>
      <c r="DK257" s="22"/>
      <c r="DL257" s="22"/>
      <c r="DM257" s="22"/>
      <c r="DN257" s="22"/>
      <c r="DO257" s="22"/>
      <c r="DP257" s="22"/>
      <c r="DQ257" s="22"/>
      <c r="DR257" s="22"/>
      <c r="DS257" s="22"/>
      <c r="DT257" s="22"/>
      <c r="DU257" s="22"/>
      <c r="DV257" s="22"/>
      <c r="DW257" s="22"/>
      <c r="DX257" s="22"/>
      <c r="DY257" s="22"/>
      <c r="DZ257" s="22"/>
      <c r="EA257" s="22"/>
      <c r="EB257" s="22"/>
      <c r="EC257" s="22"/>
      <c r="ED257" s="22"/>
      <c r="EE257" s="22"/>
      <c r="EF257" s="22"/>
      <c r="EG257" s="22"/>
      <c r="EH257" s="22"/>
      <c r="EI257" s="22"/>
      <c r="EJ257" s="22"/>
      <c r="EK257" s="22"/>
      <c r="EL257" s="22"/>
      <c r="EM257" s="22"/>
      <c r="EN257" s="22"/>
      <c r="EO257" s="22"/>
      <c r="EP257" s="22"/>
      <c r="EQ257" s="22"/>
      <c r="ER257" s="22"/>
      <c r="ES257" s="22"/>
      <c r="ET257" s="22"/>
      <c r="EU257" s="22"/>
      <c r="EV257" s="22"/>
      <c r="EW257" s="22"/>
      <c r="EX257" s="22"/>
      <c r="EY257" s="22"/>
      <c r="EZ257" s="22"/>
      <c r="FA257" s="22"/>
      <c r="FB257" s="22"/>
      <c r="FC257" s="22"/>
      <c r="FD257" s="22"/>
      <c r="FE257" s="22"/>
      <c r="FF257" s="22"/>
      <c r="FG257" s="22"/>
      <c r="FH257" s="22"/>
      <c r="FI257" s="22"/>
      <c r="FJ257" s="22"/>
      <c r="FK257" s="22"/>
      <c r="FL257" s="22"/>
      <c r="FM257" s="22"/>
      <c r="FN257" s="22"/>
      <c r="FO257" s="22"/>
      <c r="FP257" s="22"/>
      <c r="FQ257" s="22"/>
      <c r="FR257" s="22"/>
      <c r="FS257" s="22"/>
      <c r="FT257" s="22"/>
      <c r="FU257" s="22"/>
      <c r="FV257" s="22"/>
      <c r="FW257" s="22"/>
      <c r="FX257" s="22"/>
      <c r="FY257" s="22"/>
      <c r="FZ257" s="22"/>
    </row>
    <row r="258" spans="2:182" x14ac:dyDescent="0.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c r="Z258" s="22"/>
      <c r="AA258" s="22"/>
      <c r="AB258" s="22"/>
      <c r="AC258" s="22"/>
      <c r="AD258" s="22"/>
      <c r="AE258" s="22"/>
      <c r="AF258" s="22"/>
      <c r="AG258" s="22"/>
      <c r="AH258" s="22"/>
      <c r="AI258" s="22"/>
      <c r="AJ258" s="22"/>
      <c r="AK258" s="22"/>
      <c r="AL258" s="22"/>
      <c r="AM258" s="22"/>
      <c r="AN258" s="22"/>
      <c r="AO258" s="22"/>
      <c r="AP258" s="22"/>
      <c r="AQ258" s="22"/>
      <c r="AR258" s="22"/>
      <c r="AS258" s="22"/>
      <c r="AT258" s="22"/>
      <c r="AU258" s="22"/>
      <c r="AV258" s="22"/>
      <c r="AW258" s="22"/>
      <c r="AX258" s="22"/>
      <c r="AY258" s="22"/>
      <c r="AZ258" s="22"/>
      <c r="BA258" s="22"/>
      <c r="BB258" s="22"/>
      <c r="BC258" s="22"/>
      <c r="BD258" s="22"/>
      <c r="BE258" s="22"/>
      <c r="BF258" s="22"/>
      <c r="BG258" s="22"/>
      <c r="BH258" s="22"/>
      <c r="BI258" s="22"/>
      <c r="BJ258" s="22"/>
      <c r="BK258" s="22"/>
      <c r="BL258" s="22"/>
      <c r="BM258" s="22"/>
      <c r="BN258" s="22"/>
      <c r="BO258" s="22"/>
      <c r="BP258" s="22"/>
      <c r="BQ258" s="22"/>
      <c r="BR258" s="22"/>
      <c r="BS258" s="22"/>
      <c r="BT258" s="22"/>
      <c r="BU258" s="22"/>
      <c r="BV258" s="22"/>
      <c r="BW258" s="22"/>
      <c r="BX258" s="22"/>
      <c r="BY258" s="22"/>
      <c r="BZ258" s="22"/>
      <c r="CA258" s="22"/>
      <c r="CB258" s="22"/>
      <c r="CC258" s="22"/>
      <c r="CD258" s="22"/>
      <c r="CE258" s="22"/>
      <c r="CF258" s="22"/>
      <c r="CG258" s="22"/>
      <c r="CH258" s="22"/>
      <c r="CI258" s="22"/>
      <c r="CJ258" s="22"/>
      <c r="CK258" s="22"/>
      <c r="CL258" s="22"/>
      <c r="CM258" s="22"/>
      <c r="CN258" s="22"/>
      <c r="CO258" s="22"/>
      <c r="CP258" s="22"/>
      <c r="CQ258" s="22"/>
      <c r="CR258" s="22"/>
      <c r="CS258" s="22"/>
      <c r="CT258" s="22"/>
      <c r="CU258" s="22"/>
      <c r="CV258" s="22"/>
      <c r="CW258" s="22"/>
      <c r="CX258" s="22"/>
      <c r="CY258" s="22"/>
      <c r="CZ258" s="22"/>
      <c r="DA258" s="22"/>
      <c r="DB258" s="22"/>
      <c r="DC258" s="22"/>
      <c r="DD258" s="22"/>
      <c r="DE258" s="22"/>
      <c r="DF258" s="22"/>
      <c r="DG258" s="22"/>
      <c r="DH258" s="22"/>
      <c r="DI258" s="22"/>
      <c r="DJ258" s="22"/>
      <c r="DK258" s="22"/>
      <c r="DL258" s="22"/>
      <c r="DM258" s="22"/>
      <c r="DN258" s="22"/>
      <c r="DO258" s="22"/>
      <c r="DP258" s="22"/>
      <c r="DQ258" s="22"/>
      <c r="DR258" s="22"/>
      <c r="DS258" s="22"/>
      <c r="DT258" s="22"/>
      <c r="DU258" s="22"/>
      <c r="DV258" s="22"/>
      <c r="DW258" s="22"/>
      <c r="DX258" s="22"/>
      <c r="DY258" s="22"/>
      <c r="DZ258" s="22"/>
      <c r="EA258" s="22"/>
      <c r="EB258" s="22"/>
      <c r="EC258" s="22"/>
      <c r="ED258" s="22"/>
      <c r="EE258" s="22"/>
      <c r="EF258" s="22"/>
      <c r="EG258" s="22"/>
      <c r="EH258" s="22"/>
      <c r="EI258" s="22"/>
      <c r="EJ258" s="22"/>
      <c r="EK258" s="22"/>
      <c r="EL258" s="22"/>
      <c r="EM258" s="22"/>
      <c r="EN258" s="22"/>
      <c r="EO258" s="22"/>
      <c r="EP258" s="22"/>
      <c r="EQ258" s="22"/>
      <c r="ER258" s="22"/>
      <c r="ES258" s="22"/>
      <c r="ET258" s="22"/>
      <c r="EU258" s="22"/>
      <c r="EV258" s="22"/>
      <c r="EW258" s="22"/>
      <c r="EX258" s="22"/>
      <c r="EY258" s="22"/>
      <c r="EZ258" s="22"/>
      <c r="FA258" s="22"/>
      <c r="FB258" s="22"/>
      <c r="FC258" s="22"/>
      <c r="FD258" s="22"/>
      <c r="FE258" s="22"/>
      <c r="FF258" s="22"/>
      <c r="FG258" s="22"/>
      <c r="FH258" s="22"/>
      <c r="FI258" s="22"/>
      <c r="FJ258" s="22"/>
      <c r="FK258" s="22"/>
      <c r="FL258" s="22"/>
      <c r="FM258" s="22"/>
      <c r="FN258" s="22"/>
      <c r="FO258" s="22"/>
      <c r="FP258" s="22"/>
      <c r="FQ258" s="22"/>
      <c r="FR258" s="22"/>
      <c r="FS258" s="22"/>
      <c r="FT258" s="22"/>
      <c r="FU258" s="22"/>
      <c r="FV258" s="22"/>
      <c r="FW258" s="22"/>
      <c r="FX258" s="22"/>
      <c r="FY258" s="22"/>
      <c r="FZ258" s="22"/>
    </row>
    <row r="259" spans="2:182" x14ac:dyDescent="0.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c r="Z259" s="22"/>
      <c r="AA259" s="22"/>
      <c r="AB259" s="22"/>
      <c r="AC259" s="22"/>
      <c r="AD259" s="22"/>
      <c r="AE259" s="22"/>
      <c r="AF259" s="22"/>
      <c r="AG259" s="22"/>
      <c r="AH259" s="22"/>
      <c r="AI259" s="22"/>
      <c r="AJ259" s="22"/>
      <c r="AK259" s="22"/>
      <c r="AL259" s="22"/>
      <c r="AM259" s="22"/>
      <c r="AN259" s="22"/>
      <c r="AO259" s="22"/>
      <c r="AP259" s="22"/>
      <c r="AQ259" s="22"/>
      <c r="AR259" s="22"/>
      <c r="AS259" s="22"/>
      <c r="AT259" s="22"/>
      <c r="AU259" s="22"/>
      <c r="AV259" s="22"/>
      <c r="AW259" s="22"/>
      <c r="AX259" s="22"/>
      <c r="AY259" s="22"/>
      <c r="AZ259" s="22"/>
      <c r="BA259" s="22"/>
      <c r="BB259" s="22"/>
      <c r="BC259" s="22"/>
      <c r="BD259" s="22"/>
      <c r="BE259" s="22"/>
      <c r="BF259" s="22"/>
      <c r="BG259" s="22"/>
      <c r="BH259" s="22"/>
      <c r="BI259" s="22"/>
      <c r="BJ259" s="22"/>
      <c r="BK259" s="22"/>
      <c r="BL259" s="22"/>
      <c r="BM259" s="22"/>
      <c r="BN259" s="22"/>
      <c r="BO259" s="22"/>
      <c r="BP259" s="22"/>
      <c r="BQ259" s="22"/>
      <c r="BR259" s="22"/>
      <c r="BS259" s="22"/>
      <c r="BT259" s="22"/>
      <c r="BU259" s="22"/>
      <c r="BV259" s="22"/>
      <c r="BW259" s="22"/>
      <c r="BX259" s="22"/>
      <c r="BY259" s="22"/>
      <c r="BZ259" s="22"/>
      <c r="CA259" s="22"/>
      <c r="CB259" s="22"/>
      <c r="CC259" s="22"/>
      <c r="CD259" s="22"/>
      <c r="CE259" s="22"/>
      <c r="CF259" s="22"/>
      <c r="CG259" s="22"/>
      <c r="CH259" s="22"/>
      <c r="CI259" s="22"/>
      <c r="CJ259" s="22"/>
      <c r="CK259" s="22"/>
      <c r="CL259" s="22"/>
      <c r="CM259" s="22"/>
      <c r="CN259" s="22"/>
      <c r="CO259" s="22"/>
      <c r="CP259" s="22"/>
      <c r="CQ259" s="22"/>
      <c r="CR259" s="22"/>
      <c r="CS259" s="22"/>
      <c r="CT259" s="22"/>
      <c r="CU259" s="22"/>
      <c r="CV259" s="22"/>
      <c r="CW259" s="22"/>
      <c r="CX259" s="22"/>
      <c r="CY259" s="22"/>
      <c r="CZ259" s="22"/>
      <c r="DA259" s="22"/>
      <c r="DB259" s="22"/>
      <c r="DC259" s="22"/>
      <c r="DD259" s="22"/>
      <c r="DE259" s="22"/>
      <c r="DF259" s="22"/>
      <c r="DG259" s="22"/>
      <c r="DH259" s="22"/>
      <c r="DI259" s="22"/>
      <c r="DJ259" s="22"/>
      <c r="DK259" s="22"/>
      <c r="DL259" s="22"/>
      <c r="DM259" s="22"/>
      <c r="DN259" s="22"/>
      <c r="DO259" s="22"/>
      <c r="DP259" s="22"/>
      <c r="DQ259" s="22"/>
      <c r="DR259" s="22"/>
      <c r="DS259" s="22"/>
      <c r="DT259" s="22"/>
      <c r="DU259" s="22"/>
      <c r="DV259" s="22"/>
      <c r="DW259" s="22"/>
      <c r="DX259" s="22"/>
      <c r="DY259" s="22"/>
      <c r="DZ259" s="22"/>
      <c r="EA259" s="22"/>
      <c r="EB259" s="22"/>
      <c r="EC259" s="22"/>
      <c r="ED259" s="22"/>
      <c r="EE259" s="22"/>
      <c r="EF259" s="22"/>
      <c r="EG259" s="22"/>
      <c r="EH259" s="22"/>
      <c r="EI259" s="22"/>
      <c r="EJ259" s="22"/>
      <c r="EK259" s="22"/>
      <c r="EL259" s="22"/>
      <c r="EM259" s="22"/>
      <c r="EN259" s="22"/>
      <c r="EO259" s="22"/>
      <c r="EP259" s="22"/>
      <c r="EQ259" s="22"/>
      <c r="ER259" s="22"/>
      <c r="ES259" s="22"/>
      <c r="ET259" s="22"/>
      <c r="EU259" s="22"/>
      <c r="EV259" s="22"/>
      <c r="EW259" s="22"/>
      <c r="EX259" s="22"/>
      <c r="EY259" s="22"/>
      <c r="EZ259" s="22"/>
      <c r="FA259" s="22"/>
      <c r="FB259" s="22"/>
      <c r="FC259" s="22"/>
      <c r="FD259" s="22"/>
      <c r="FE259" s="22"/>
      <c r="FF259" s="22"/>
      <c r="FG259" s="22"/>
      <c r="FH259" s="22"/>
      <c r="FI259" s="22"/>
      <c r="FJ259" s="22"/>
      <c r="FK259" s="22"/>
      <c r="FL259" s="22"/>
      <c r="FM259" s="22"/>
      <c r="FN259" s="22"/>
      <c r="FO259" s="22"/>
      <c r="FP259" s="22"/>
      <c r="FQ259" s="22"/>
      <c r="FR259" s="22"/>
      <c r="FS259" s="22"/>
      <c r="FT259" s="22"/>
      <c r="FU259" s="22"/>
      <c r="FV259" s="22"/>
      <c r="FW259" s="22"/>
      <c r="FX259" s="22"/>
      <c r="FY259" s="22"/>
      <c r="FZ259" s="22"/>
    </row>
    <row r="260" spans="2:182" x14ac:dyDescent="0.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c r="Z260" s="22"/>
      <c r="AA260" s="22"/>
      <c r="AB260" s="22"/>
      <c r="AC260" s="22"/>
      <c r="AD260" s="22"/>
      <c r="AE260" s="22"/>
      <c r="AF260" s="22"/>
      <c r="AG260" s="22"/>
      <c r="AH260" s="22"/>
      <c r="AI260" s="22"/>
      <c r="AJ260" s="22"/>
      <c r="AK260" s="22"/>
      <c r="AL260" s="22"/>
      <c r="AM260" s="22"/>
      <c r="AN260" s="22"/>
      <c r="AO260" s="22"/>
      <c r="AP260" s="22"/>
      <c r="AQ260" s="22"/>
      <c r="AR260" s="22"/>
      <c r="AS260" s="22"/>
      <c r="AT260" s="22"/>
      <c r="AU260" s="22"/>
      <c r="AV260" s="22"/>
      <c r="AW260" s="22"/>
      <c r="AX260" s="22"/>
      <c r="AY260" s="22"/>
      <c r="AZ260" s="22"/>
      <c r="BA260" s="22"/>
      <c r="BB260" s="22"/>
      <c r="BC260" s="22"/>
      <c r="BD260" s="22"/>
      <c r="BE260" s="22"/>
      <c r="BF260" s="22"/>
      <c r="BG260" s="22"/>
      <c r="BH260" s="22"/>
      <c r="BI260" s="22"/>
      <c r="BJ260" s="22"/>
      <c r="BK260" s="22"/>
      <c r="BL260" s="22"/>
      <c r="BM260" s="22"/>
      <c r="BN260" s="22"/>
      <c r="BO260" s="22"/>
      <c r="BP260" s="22"/>
      <c r="BQ260" s="22"/>
      <c r="BR260" s="22"/>
      <c r="BS260" s="22"/>
      <c r="BT260" s="22"/>
      <c r="BU260" s="22"/>
      <c r="BV260" s="22"/>
      <c r="BW260" s="22"/>
      <c r="BX260" s="22"/>
      <c r="BY260" s="22"/>
      <c r="BZ260" s="22"/>
      <c r="CA260" s="22"/>
      <c r="CB260" s="22"/>
      <c r="CC260" s="22"/>
      <c r="CD260" s="22"/>
      <c r="CE260" s="22"/>
      <c r="CF260" s="22"/>
      <c r="CG260" s="22"/>
      <c r="CH260" s="22"/>
      <c r="CI260" s="22"/>
      <c r="CJ260" s="22"/>
      <c r="CK260" s="22"/>
      <c r="CL260" s="22"/>
      <c r="CM260" s="22"/>
      <c r="CN260" s="22"/>
      <c r="CO260" s="22"/>
      <c r="CP260" s="22"/>
      <c r="CQ260" s="22"/>
      <c r="CR260" s="22"/>
      <c r="CS260" s="22"/>
      <c r="CT260" s="22"/>
      <c r="CU260" s="22"/>
      <c r="CV260" s="22"/>
      <c r="CW260" s="22"/>
      <c r="CX260" s="22"/>
      <c r="CY260" s="22"/>
      <c r="CZ260" s="22"/>
      <c r="DA260" s="22"/>
      <c r="DB260" s="22"/>
      <c r="DC260" s="22"/>
      <c r="DD260" s="22"/>
      <c r="DE260" s="22"/>
      <c r="DF260" s="22"/>
      <c r="DG260" s="22"/>
      <c r="DH260" s="22"/>
      <c r="DI260" s="22"/>
      <c r="DJ260" s="22"/>
      <c r="DK260" s="22"/>
      <c r="DL260" s="22"/>
      <c r="DM260" s="22"/>
      <c r="DN260" s="22"/>
      <c r="DO260" s="22"/>
      <c r="DP260" s="22"/>
      <c r="DQ260" s="22"/>
      <c r="DR260" s="22"/>
      <c r="DS260" s="22"/>
      <c r="DT260" s="22"/>
      <c r="DU260" s="22"/>
      <c r="DV260" s="22"/>
      <c r="DW260" s="22"/>
      <c r="DX260" s="22"/>
      <c r="DY260" s="22"/>
      <c r="DZ260" s="22"/>
      <c r="EA260" s="22"/>
      <c r="EB260" s="22"/>
      <c r="EC260" s="22"/>
      <c r="ED260" s="22"/>
      <c r="EE260" s="22"/>
      <c r="EF260" s="22"/>
      <c r="EG260" s="22"/>
      <c r="EH260" s="22"/>
      <c r="EI260" s="22"/>
      <c r="EJ260" s="22"/>
      <c r="EK260" s="22"/>
      <c r="EL260" s="22"/>
      <c r="EM260" s="22"/>
      <c r="EN260" s="22"/>
      <c r="EO260" s="22"/>
      <c r="EP260" s="22"/>
      <c r="EQ260" s="22"/>
      <c r="ER260" s="22"/>
      <c r="ES260" s="22"/>
      <c r="ET260" s="22"/>
      <c r="EU260" s="22"/>
      <c r="EV260" s="22"/>
      <c r="EW260" s="22"/>
      <c r="EX260" s="22"/>
      <c r="EY260" s="22"/>
      <c r="EZ260" s="22"/>
      <c r="FA260" s="22"/>
      <c r="FB260" s="22"/>
      <c r="FC260" s="22"/>
      <c r="FD260" s="22"/>
      <c r="FE260" s="22"/>
      <c r="FF260" s="22"/>
      <c r="FG260" s="22"/>
      <c r="FH260" s="22"/>
      <c r="FI260" s="22"/>
      <c r="FJ260" s="22"/>
      <c r="FK260" s="22"/>
      <c r="FL260" s="22"/>
      <c r="FM260" s="22"/>
      <c r="FN260" s="22"/>
      <c r="FO260" s="22"/>
      <c r="FP260" s="22"/>
      <c r="FQ260" s="22"/>
      <c r="FR260" s="22"/>
      <c r="FS260" s="22"/>
      <c r="FT260" s="22"/>
      <c r="FU260" s="22"/>
      <c r="FV260" s="22"/>
      <c r="FW260" s="22"/>
      <c r="FX260" s="22"/>
      <c r="FY260" s="22"/>
      <c r="FZ260" s="22"/>
    </row>
    <row r="261" spans="2:182" x14ac:dyDescent="0.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c r="Z261" s="22"/>
      <c r="AA261" s="22"/>
      <c r="AB261" s="22"/>
      <c r="AC261" s="22"/>
      <c r="AD261" s="22"/>
      <c r="AE261" s="22"/>
      <c r="AF261" s="22"/>
      <c r="AG261" s="22"/>
      <c r="AH261" s="22"/>
      <c r="AI261" s="22"/>
      <c r="AJ261" s="22"/>
      <c r="AK261" s="22"/>
      <c r="AL261" s="22"/>
      <c r="AM261" s="22"/>
      <c r="AN261" s="22"/>
      <c r="AO261" s="22"/>
      <c r="AP261" s="22"/>
      <c r="AQ261" s="22"/>
      <c r="AR261" s="22"/>
      <c r="AS261" s="22"/>
      <c r="AT261" s="22"/>
      <c r="AU261" s="22"/>
      <c r="AV261" s="22"/>
      <c r="AW261" s="22"/>
      <c r="AX261" s="22"/>
      <c r="AY261" s="22"/>
      <c r="AZ261" s="22"/>
      <c r="BA261" s="22"/>
      <c r="BB261" s="22"/>
      <c r="BC261" s="22"/>
      <c r="BD261" s="22"/>
      <c r="BE261" s="22"/>
      <c r="BF261" s="22"/>
      <c r="BG261" s="22"/>
      <c r="BH261" s="22"/>
      <c r="BI261" s="22"/>
      <c r="BJ261" s="22"/>
      <c r="BK261" s="22"/>
      <c r="BL261" s="22"/>
      <c r="BM261" s="22"/>
      <c r="BN261" s="22"/>
      <c r="BO261" s="22"/>
      <c r="BP261" s="22"/>
      <c r="BQ261" s="22"/>
      <c r="BR261" s="22"/>
      <c r="BS261" s="22"/>
      <c r="BT261" s="22"/>
      <c r="BU261" s="22"/>
      <c r="BV261" s="22"/>
      <c r="BW261" s="22"/>
      <c r="BX261" s="22"/>
      <c r="BY261" s="22"/>
      <c r="BZ261" s="22"/>
      <c r="CA261" s="22"/>
      <c r="CB261" s="22"/>
      <c r="CC261" s="22"/>
      <c r="CD261" s="22"/>
      <c r="CE261" s="22"/>
      <c r="CF261" s="22"/>
      <c r="CG261" s="22"/>
      <c r="CH261" s="22"/>
      <c r="CI261" s="22"/>
      <c r="CJ261" s="22"/>
      <c r="CK261" s="22"/>
      <c r="CL261" s="22"/>
      <c r="CM261" s="22"/>
      <c r="CN261" s="22"/>
      <c r="CO261" s="22"/>
      <c r="CP261" s="22"/>
      <c r="CQ261" s="22"/>
      <c r="CR261" s="22"/>
      <c r="CS261" s="22"/>
      <c r="CT261" s="22"/>
      <c r="CU261" s="22"/>
      <c r="CV261" s="22"/>
      <c r="CW261" s="22"/>
      <c r="CX261" s="22"/>
      <c r="CY261" s="22"/>
      <c r="CZ261" s="22"/>
      <c r="DA261" s="22"/>
      <c r="DB261" s="22"/>
      <c r="DC261" s="22"/>
      <c r="DD261" s="22"/>
      <c r="DE261" s="22"/>
      <c r="DF261" s="22"/>
      <c r="DG261" s="22"/>
      <c r="DH261" s="22"/>
      <c r="DI261" s="22"/>
      <c r="DJ261" s="22"/>
      <c r="DK261" s="22"/>
      <c r="DL261" s="22"/>
      <c r="DM261" s="22"/>
      <c r="DN261" s="22"/>
      <c r="DO261" s="22"/>
      <c r="DP261" s="22"/>
      <c r="DQ261" s="22"/>
      <c r="DR261" s="22"/>
      <c r="DS261" s="22"/>
      <c r="DT261" s="22"/>
      <c r="DU261" s="22"/>
      <c r="DV261" s="22"/>
      <c r="DW261" s="22"/>
      <c r="DX261" s="22"/>
      <c r="DY261" s="22"/>
      <c r="DZ261" s="22"/>
      <c r="EA261" s="22"/>
      <c r="EB261" s="22"/>
      <c r="EC261" s="22"/>
      <c r="ED261" s="22"/>
      <c r="EE261" s="22"/>
      <c r="EF261" s="22"/>
      <c r="EG261" s="22"/>
      <c r="EH261" s="22"/>
      <c r="EI261" s="22"/>
      <c r="EJ261" s="22"/>
      <c r="EK261" s="22"/>
      <c r="EL261" s="22"/>
      <c r="EM261" s="22"/>
      <c r="EN261" s="22"/>
      <c r="EO261" s="22"/>
      <c r="EP261" s="22"/>
      <c r="EQ261" s="22"/>
      <c r="ER261" s="22"/>
      <c r="ES261" s="22"/>
      <c r="ET261" s="22"/>
      <c r="EU261" s="22"/>
      <c r="EV261" s="22"/>
      <c r="EW261" s="22"/>
      <c r="EX261" s="22"/>
      <c r="EY261" s="22"/>
      <c r="EZ261" s="22"/>
      <c r="FA261" s="22"/>
      <c r="FB261" s="22"/>
      <c r="FC261" s="22"/>
      <c r="FD261" s="22"/>
      <c r="FE261" s="22"/>
      <c r="FF261" s="22"/>
      <c r="FG261" s="22"/>
      <c r="FH261" s="22"/>
      <c r="FI261" s="22"/>
      <c r="FJ261" s="22"/>
      <c r="FK261" s="22"/>
      <c r="FL261" s="22"/>
      <c r="FM261" s="22"/>
      <c r="FN261" s="22"/>
      <c r="FO261" s="22"/>
      <c r="FP261" s="22"/>
      <c r="FQ261" s="22"/>
      <c r="FR261" s="22"/>
      <c r="FS261" s="22"/>
      <c r="FT261" s="22"/>
      <c r="FU261" s="22"/>
      <c r="FV261" s="22"/>
      <c r="FW261" s="22"/>
      <c r="FX261" s="22"/>
      <c r="FY261" s="22"/>
      <c r="FZ261" s="22"/>
    </row>
    <row r="262" spans="2:182" x14ac:dyDescent="0.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c r="Z262" s="22"/>
      <c r="AA262" s="22"/>
      <c r="AB262" s="22"/>
      <c r="AC262" s="22"/>
      <c r="AD262" s="22"/>
      <c r="AE262" s="22"/>
      <c r="AF262" s="22"/>
      <c r="AG262" s="22"/>
      <c r="AH262" s="22"/>
      <c r="AI262" s="22"/>
      <c r="AJ262" s="22"/>
      <c r="AK262" s="22"/>
      <c r="AL262" s="22"/>
      <c r="AM262" s="22"/>
      <c r="AN262" s="22"/>
      <c r="AO262" s="22"/>
      <c r="AP262" s="22"/>
      <c r="AQ262" s="22"/>
      <c r="AR262" s="22"/>
      <c r="AS262" s="22"/>
      <c r="AT262" s="22"/>
      <c r="AU262" s="22"/>
      <c r="AV262" s="22"/>
      <c r="AW262" s="22"/>
      <c r="AX262" s="22"/>
      <c r="AY262" s="22"/>
      <c r="AZ262" s="22"/>
      <c r="BA262" s="22"/>
      <c r="BB262" s="22"/>
      <c r="BC262" s="22"/>
      <c r="BD262" s="22"/>
      <c r="BE262" s="22"/>
      <c r="BF262" s="22"/>
      <c r="BG262" s="22"/>
      <c r="BH262" s="22"/>
      <c r="BI262" s="22"/>
      <c r="BJ262" s="22"/>
      <c r="BK262" s="22"/>
      <c r="BL262" s="22"/>
      <c r="BM262" s="22"/>
      <c r="BN262" s="22"/>
      <c r="BO262" s="22"/>
      <c r="BP262" s="22"/>
      <c r="BQ262" s="22"/>
      <c r="BR262" s="22"/>
      <c r="BS262" s="22"/>
      <c r="BT262" s="22"/>
      <c r="BU262" s="22"/>
      <c r="BV262" s="22"/>
      <c r="BW262" s="22"/>
      <c r="BX262" s="22"/>
      <c r="BY262" s="22"/>
      <c r="BZ262" s="22"/>
      <c r="CA262" s="22"/>
      <c r="CB262" s="22"/>
      <c r="CC262" s="22"/>
      <c r="CD262" s="22"/>
      <c r="CE262" s="22"/>
      <c r="CF262" s="22"/>
      <c r="CG262" s="22"/>
      <c r="CH262" s="22"/>
      <c r="CI262" s="22"/>
      <c r="CJ262" s="22"/>
      <c r="CK262" s="22"/>
      <c r="CL262" s="22"/>
      <c r="CM262" s="22"/>
      <c r="CN262" s="22"/>
      <c r="CO262" s="22"/>
      <c r="CP262" s="22"/>
      <c r="CQ262" s="22"/>
      <c r="CR262" s="22"/>
      <c r="CS262" s="22"/>
      <c r="CT262" s="22"/>
      <c r="CU262" s="22"/>
      <c r="CV262" s="22"/>
      <c r="CW262" s="22"/>
      <c r="CX262" s="22"/>
      <c r="CY262" s="22"/>
      <c r="CZ262" s="22"/>
      <c r="DA262" s="22"/>
      <c r="DB262" s="22"/>
      <c r="DC262" s="22"/>
      <c r="DD262" s="22"/>
      <c r="DE262" s="22"/>
      <c r="DF262" s="22"/>
      <c r="DG262" s="22"/>
      <c r="DH262" s="22"/>
      <c r="DI262" s="22"/>
      <c r="DJ262" s="22"/>
      <c r="DK262" s="22"/>
      <c r="DL262" s="22"/>
      <c r="DM262" s="22"/>
      <c r="DN262" s="22"/>
      <c r="DO262" s="22"/>
      <c r="DP262" s="22"/>
      <c r="DQ262" s="22"/>
      <c r="DR262" s="22"/>
      <c r="DS262" s="22"/>
      <c r="DT262" s="22"/>
      <c r="DU262" s="22"/>
      <c r="DV262" s="22"/>
      <c r="DW262" s="22"/>
      <c r="DX262" s="22"/>
      <c r="DY262" s="22"/>
      <c r="DZ262" s="22"/>
      <c r="EA262" s="22"/>
      <c r="EB262" s="22"/>
      <c r="EC262" s="22"/>
      <c r="ED262" s="22"/>
      <c r="EE262" s="22"/>
      <c r="EF262" s="22"/>
      <c r="EG262" s="22"/>
      <c r="EH262" s="22"/>
      <c r="EI262" s="22"/>
      <c r="EJ262" s="22"/>
      <c r="EK262" s="22"/>
      <c r="EL262" s="22"/>
      <c r="EM262" s="22"/>
      <c r="EN262" s="22"/>
      <c r="EO262" s="22"/>
      <c r="EP262" s="22"/>
      <c r="EQ262" s="22"/>
      <c r="ER262" s="22"/>
      <c r="ES262" s="22"/>
      <c r="ET262" s="22"/>
      <c r="EU262" s="22"/>
      <c r="EV262" s="22"/>
      <c r="EW262" s="22"/>
      <c r="EX262" s="22"/>
      <c r="EY262" s="22"/>
      <c r="EZ262" s="22"/>
      <c r="FA262" s="22"/>
      <c r="FB262" s="22"/>
      <c r="FC262" s="22"/>
      <c r="FD262" s="22"/>
      <c r="FE262" s="22"/>
      <c r="FF262" s="22"/>
      <c r="FG262" s="22"/>
      <c r="FH262" s="22"/>
      <c r="FI262" s="22"/>
      <c r="FJ262" s="22"/>
      <c r="FK262" s="22"/>
      <c r="FL262" s="22"/>
      <c r="FM262" s="22"/>
      <c r="FN262" s="22"/>
      <c r="FO262" s="22"/>
      <c r="FP262" s="22"/>
      <c r="FQ262" s="22"/>
      <c r="FR262" s="22"/>
      <c r="FS262" s="22"/>
      <c r="FT262" s="22"/>
      <c r="FU262" s="22"/>
      <c r="FV262" s="22"/>
      <c r="FW262" s="22"/>
      <c r="FX262" s="22"/>
      <c r="FY262" s="22"/>
      <c r="FZ262" s="22"/>
    </row>
    <row r="263" spans="2:182" x14ac:dyDescent="0.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c r="Z263" s="22"/>
      <c r="AA263" s="22"/>
      <c r="AB263" s="22"/>
      <c r="AC263" s="22"/>
      <c r="AD263" s="22"/>
      <c r="AE263" s="22"/>
      <c r="AF263" s="22"/>
      <c r="AG263" s="22"/>
      <c r="AH263" s="22"/>
      <c r="AI263" s="22"/>
      <c r="AJ263" s="22"/>
      <c r="AK263" s="22"/>
      <c r="AL263" s="22"/>
      <c r="AM263" s="22"/>
      <c r="AN263" s="22"/>
      <c r="AO263" s="22"/>
      <c r="AP263" s="22"/>
      <c r="AQ263" s="22"/>
      <c r="AR263" s="22"/>
      <c r="AS263" s="22"/>
      <c r="AT263" s="22"/>
      <c r="AU263" s="22"/>
      <c r="AV263" s="22"/>
      <c r="AW263" s="22"/>
      <c r="AX263" s="22"/>
      <c r="AY263" s="22"/>
      <c r="AZ263" s="22"/>
      <c r="BA263" s="22"/>
      <c r="BB263" s="22"/>
      <c r="BC263" s="22"/>
      <c r="BD263" s="22"/>
      <c r="BE263" s="22"/>
      <c r="BF263" s="22"/>
      <c r="BG263" s="22"/>
      <c r="BH263" s="22"/>
      <c r="BI263" s="22"/>
      <c r="BJ263" s="22"/>
      <c r="BK263" s="22"/>
      <c r="BL263" s="22"/>
      <c r="BM263" s="22"/>
      <c r="BN263" s="22"/>
      <c r="BO263" s="22"/>
      <c r="BP263" s="22"/>
      <c r="BQ263" s="22"/>
      <c r="BR263" s="22"/>
      <c r="BS263" s="22"/>
      <c r="BT263" s="22"/>
      <c r="BU263" s="22"/>
      <c r="BV263" s="22"/>
      <c r="BW263" s="22"/>
      <c r="BX263" s="22"/>
      <c r="BY263" s="22"/>
      <c r="BZ263" s="22"/>
      <c r="CA263" s="22"/>
      <c r="CB263" s="22"/>
      <c r="CC263" s="22"/>
      <c r="CD263" s="22"/>
      <c r="CE263" s="22"/>
      <c r="CF263" s="22"/>
      <c r="CG263" s="22"/>
      <c r="CH263" s="22"/>
      <c r="CI263" s="22"/>
      <c r="CJ263" s="22"/>
      <c r="CK263" s="22"/>
      <c r="CL263" s="22"/>
      <c r="CM263" s="22"/>
      <c r="CN263" s="22"/>
      <c r="CO263" s="22"/>
      <c r="CP263" s="22"/>
      <c r="CQ263" s="22"/>
      <c r="CR263" s="22"/>
      <c r="CS263" s="22"/>
      <c r="CT263" s="22"/>
      <c r="CU263" s="22"/>
      <c r="CV263" s="22"/>
      <c r="CW263" s="22"/>
      <c r="CX263" s="22"/>
      <c r="CY263" s="22"/>
      <c r="CZ263" s="22"/>
      <c r="DA263" s="22"/>
      <c r="DB263" s="22"/>
      <c r="DC263" s="22"/>
      <c r="DD263" s="22"/>
      <c r="DE263" s="22"/>
      <c r="DF263" s="22"/>
      <c r="DG263" s="22"/>
      <c r="DH263" s="22"/>
      <c r="DI263" s="22"/>
      <c r="DJ263" s="22"/>
      <c r="DK263" s="22"/>
      <c r="DL263" s="22"/>
      <c r="DM263" s="22"/>
      <c r="DN263" s="22"/>
      <c r="DO263" s="22"/>
      <c r="DP263" s="22"/>
      <c r="DQ263" s="22"/>
      <c r="DR263" s="22"/>
      <c r="DS263" s="22"/>
      <c r="DT263" s="22"/>
      <c r="DU263" s="22"/>
      <c r="DV263" s="22"/>
      <c r="DW263" s="22"/>
      <c r="DX263" s="22"/>
      <c r="DY263" s="22"/>
      <c r="DZ263" s="22"/>
      <c r="EA263" s="22"/>
      <c r="EB263" s="22"/>
      <c r="EC263" s="22"/>
      <c r="ED263" s="22"/>
      <c r="EE263" s="22"/>
      <c r="EF263" s="22"/>
      <c r="EG263" s="22"/>
      <c r="EH263" s="22"/>
      <c r="EI263" s="22"/>
      <c r="EJ263" s="22"/>
      <c r="EK263" s="22"/>
      <c r="EL263" s="22"/>
      <c r="EM263" s="22"/>
      <c r="EN263" s="22"/>
      <c r="EO263" s="22"/>
      <c r="EP263" s="22"/>
      <c r="EQ263" s="22"/>
      <c r="ER263" s="22"/>
      <c r="ES263" s="22"/>
      <c r="ET263" s="22"/>
      <c r="EU263" s="22"/>
      <c r="EV263" s="22"/>
      <c r="EW263" s="22"/>
      <c r="EX263" s="22"/>
      <c r="EY263" s="22"/>
      <c r="EZ263" s="22"/>
      <c r="FA263" s="22"/>
      <c r="FB263" s="22"/>
      <c r="FC263" s="22"/>
      <c r="FD263" s="22"/>
      <c r="FE263" s="22"/>
      <c r="FF263" s="22"/>
      <c r="FG263" s="22"/>
      <c r="FH263" s="22"/>
      <c r="FI263" s="22"/>
      <c r="FJ263" s="22"/>
      <c r="FK263" s="22"/>
      <c r="FL263" s="22"/>
      <c r="FM263" s="22"/>
      <c r="FN263" s="22"/>
      <c r="FO263" s="22"/>
      <c r="FP263" s="22"/>
      <c r="FQ263" s="22"/>
      <c r="FR263" s="22"/>
      <c r="FS263" s="22"/>
      <c r="FT263" s="22"/>
      <c r="FU263" s="22"/>
      <c r="FV263" s="22"/>
      <c r="FW263" s="22"/>
      <c r="FX263" s="22"/>
      <c r="FY263" s="22"/>
      <c r="FZ263" s="22"/>
    </row>
    <row r="264" spans="2:182" x14ac:dyDescent="0.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c r="Z264" s="22"/>
      <c r="AA264" s="22"/>
      <c r="AB264" s="22"/>
      <c r="AC264" s="22"/>
      <c r="AD264" s="22"/>
      <c r="AE264" s="22"/>
      <c r="AF264" s="22"/>
      <c r="AG264" s="22"/>
      <c r="AH264" s="22"/>
      <c r="AI264" s="22"/>
      <c r="AJ264" s="22"/>
      <c r="AK264" s="22"/>
      <c r="AL264" s="22"/>
      <c r="AM264" s="22"/>
      <c r="AN264" s="22"/>
      <c r="AO264" s="22"/>
      <c r="AP264" s="22"/>
      <c r="AQ264" s="22"/>
      <c r="AR264" s="22"/>
      <c r="AS264" s="22"/>
      <c r="AT264" s="22"/>
      <c r="AU264" s="22"/>
      <c r="AV264" s="22"/>
      <c r="AW264" s="22"/>
      <c r="AX264" s="22"/>
      <c r="AY264" s="22"/>
      <c r="AZ264" s="22"/>
      <c r="BA264" s="22"/>
      <c r="BB264" s="22"/>
      <c r="BC264" s="22"/>
      <c r="BD264" s="22"/>
      <c r="BE264" s="22"/>
      <c r="BF264" s="22"/>
      <c r="BG264" s="22"/>
      <c r="BH264" s="22"/>
      <c r="BI264" s="22"/>
      <c r="BJ264" s="22"/>
      <c r="BK264" s="22"/>
      <c r="BL264" s="22"/>
      <c r="BM264" s="22"/>
      <c r="BN264" s="22"/>
      <c r="BO264" s="22"/>
      <c r="BP264" s="22"/>
      <c r="BQ264" s="22"/>
      <c r="BR264" s="22"/>
      <c r="BS264" s="22"/>
      <c r="BT264" s="22"/>
      <c r="BU264" s="22"/>
      <c r="BV264" s="22"/>
      <c r="BW264" s="22"/>
      <c r="BX264" s="22"/>
      <c r="BY264" s="22"/>
      <c r="BZ264" s="22"/>
      <c r="CA264" s="22"/>
      <c r="CB264" s="22"/>
      <c r="CC264" s="22"/>
      <c r="CD264" s="22"/>
      <c r="CE264" s="22"/>
      <c r="CF264" s="22"/>
      <c r="CG264" s="22"/>
      <c r="CH264" s="22"/>
      <c r="CI264" s="22"/>
      <c r="CJ264" s="22"/>
      <c r="CK264" s="22"/>
      <c r="CL264" s="22"/>
      <c r="CM264" s="22"/>
      <c r="CN264" s="22"/>
      <c r="CO264" s="22"/>
      <c r="CP264" s="22"/>
      <c r="CQ264" s="22"/>
      <c r="CR264" s="22"/>
      <c r="CS264" s="22"/>
      <c r="CT264" s="22"/>
      <c r="CU264" s="22"/>
      <c r="CV264" s="22"/>
      <c r="CW264" s="22"/>
      <c r="CX264" s="22"/>
      <c r="CY264" s="22"/>
      <c r="CZ264" s="22"/>
      <c r="DA264" s="22"/>
      <c r="DB264" s="22"/>
      <c r="DC264" s="22"/>
      <c r="DD264" s="22"/>
      <c r="DE264" s="22"/>
      <c r="DF264" s="22"/>
      <c r="DG264" s="22"/>
      <c r="DH264" s="22"/>
      <c r="DI264" s="22"/>
      <c r="DJ264" s="22"/>
      <c r="DK264" s="22"/>
      <c r="DL264" s="22"/>
      <c r="DM264" s="22"/>
      <c r="DN264" s="22"/>
      <c r="DO264" s="22"/>
      <c r="DP264" s="22"/>
      <c r="DQ264" s="22"/>
      <c r="DR264" s="22"/>
      <c r="DS264" s="22"/>
      <c r="DT264" s="22"/>
      <c r="DU264" s="22"/>
      <c r="DV264" s="22"/>
      <c r="DW264" s="22"/>
      <c r="DX264" s="22"/>
      <c r="DY264" s="22"/>
      <c r="DZ264" s="22"/>
      <c r="EA264" s="22"/>
      <c r="EB264" s="22"/>
      <c r="EC264" s="22"/>
      <c r="ED264" s="22"/>
      <c r="EE264" s="22"/>
      <c r="EF264" s="22"/>
      <c r="EG264" s="22"/>
      <c r="EH264" s="22"/>
      <c r="EI264" s="22"/>
      <c r="EJ264" s="22"/>
      <c r="EK264" s="22"/>
      <c r="EL264" s="22"/>
      <c r="EM264" s="22"/>
      <c r="EN264" s="22"/>
      <c r="EO264" s="22"/>
      <c r="EP264" s="22"/>
      <c r="EQ264" s="22"/>
      <c r="ER264" s="22"/>
      <c r="ES264" s="22"/>
      <c r="ET264" s="22"/>
      <c r="EU264" s="22"/>
      <c r="EV264" s="22"/>
      <c r="EW264" s="22"/>
      <c r="EX264" s="22"/>
      <c r="EY264" s="22"/>
      <c r="EZ264" s="22"/>
      <c r="FA264" s="22"/>
      <c r="FB264" s="22"/>
      <c r="FC264" s="22"/>
      <c r="FD264" s="22"/>
      <c r="FE264" s="22"/>
      <c r="FF264" s="22"/>
      <c r="FG264" s="22"/>
      <c r="FH264" s="22"/>
      <c r="FI264" s="22"/>
      <c r="FJ264" s="22"/>
      <c r="FK264" s="22"/>
      <c r="FL264" s="22"/>
      <c r="FM264" s="22"/>
      <c r="FN264" s="22"/>
      <c r="FO264" s="22"/>
      <c r="FP264" s="22"/>
      <c r="FQ264" s="22"/>
      <c r="FR264" s="22"/>
      <c r="FS264" s="22"/>
      <c r="FT264" s="22"/>
      <c r="FU264" s="22"/>
      <c r="FV264" s="22"/>
      <c r="FW264" s="22"/>
      <c r="FX264" s="22"/>
      <c r="FY264" s="22"/>
      <c r="FZ264" s="22"/>
    </row>
    <row r="265" spans="2:182" x14ac:dyDescent="0.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c r="Z265" s="22"/>
      <c r="AA265" s="22"/>
      <c r="AB265" s="22"/>
      <c r="AC265" s="22"/>
      <c r="AD265" s="22"/>
      <c r="AE265" s="22"/>
      <c r="AF265" s="22"/>
      <c r="AG265" s="22"/>
      <c r="AH265" s="22"/>
      <c r="AI265" s="22"/>
      <c r="AJ265" s="22"/>
      <c r="AK265" s="22"/>
      <c r="AL265" s="22"/>
      <c r="AM265" s="22"/>
      <c r="AN265" s="22"/>
      <c r="AO265" s="22"/>
      <c r="AP265" s="22"/>
      <c r="AQ265" s="22"/>
      <c r="AR265" s="22"/>
      <c r="AS265" s="22"/>
      <c r="AT265" s="22"/>
      <c r="AU265" s="22"/>
      <c r="AV265" s="22"/>
      <c r="AW265" s="22"/>
      <c r="AX265" s="22"/>
      <c r="AY265" s="22"/>
      <c r="AZ265" s="22"/>
      <c r="BA265" s="22"/>
      <c r="BB265" s="22"/>
      <c r="BC265" s="22"/>
      <c r="BD265" s="22"/>
      <c r="BE265" s="22"/>
      <c r="BF265" s="22"/>
      <c r="BG265" s="22"/>
      <c r="BH265" s="22"/>
      <c r="BI265" s="22"/>
      <c r="BJ265" s="22"/>
      <c r="BK265" s="22"/>
      <c r="BL265" s="22"/>
      <c r="BM265" s="22"/>
      <c r="BN265" s="22"/>
      <c r="BO265" s="22"/>
      <c r="BP265" s="22"/>
      <c r="BQ265" s="22"/>
      <c r="BR265" s="22"/>
      <c r="BS265" s="22"/>
      <c r="BT265" s="22"/>
      <c r="BU265" s="22"/>
      <c r="BV265" s="22"/>
      <c r="BW265" s="22"/>
      <c r="BX265" s="22"/>
      <c r="BY265" s="22"/>
      <c r="BZ265" s="22"/>
      <c r="CA265" s="22"/>
      <c r="CB265" s="22"/>
      <c r="CC265" s="22"/>
      <c r="CD265" s="22"/>
      <c r="CE265" s="22"/>
      <c r="CF265" s="22"/>
      <c r="CG265" s="22"/>
      <c r="CH265" s="22"/>
      <c r="CI265" s="22"/>
      <c r="CJ265" s="22"/>
      <c r="CK265" s="22"/>
      <c r="CL265" s="22"/>
      <c r="CM265" s="22"/>
      <c r="CN265" s="22"/>
      <c r="CO265" s="22"/>
      <c r="CP265" s="22"/>
      <c r="CQ265" s="22"/>
      <c r="CR265" s="22"/>
      <c r="CS265" s="22"/>
      <c r="CT265" s="22"/>
      <c r="CU265" s="22"/>
      <c r="CV265" s="22"/>
      <c r="CW265" s="22"/>
      <c r="CX265" s="22"/>
      <c r="CY265" s="22"/>
      <c r="CZ265" s="22"/>
      <c r="DA265" s="22"/>
      <c r="DB265" s="22"/>
      <c r="DC265" s="22"/>
      <c r="DD265" s="22"/>
      <c r="DE265" s="22"/>
      <c r="DF265" s="22"/>
      <c r="DG265" s="22"/>
      <c r="DH265" s="22"/>
      <c r="DI265" s="22"/>
      <c r="DJ265" s="22"/>
      <c r="DK265" s="22"/>
      <c r="DL265" s="22"/>
      <c r="DM265" s="22"/>
      <c r="DN265" s="22"/>
      <c r="DO265" s="22"/>
      <c r="DP265" s="22"/>
      <c r="DQ265" s="22"/>
      <c r="DR265" s="22"/>
      <c r="DS265" s="22"/>
      <c r="DT265" s="22"/>
      <c r="DU265" s="22"/>
      <c r="DV265" s="22"/>
      <c r="DW265" s="22"/>
      <c r="DX265" s="22"/>
      <c r="DY265" s="22"/>
      <c r="DZ265" s="22"/>
      <c r="EA265" s="22"/>
      <c r="EB265" s="22"/>
      <c r="EC265" s="22"/>
      <c r="ED265" s="22"/>
      <c r="EE265" s="22"/>
      <c r="EF265" s="22"/>
      <c r="EG265" s="22"/>
      <c r="EH265" s="22"/>
      <c r="EI265" s="22"/>
      <c r="EJ265" s="22"/>
      <c r="EK265" s="22"/>
      <c r="EL265" s="22"/>
      <c r="EM265" s="22"/>
      <c r="EN265" s="22"/>
      <c r="EO265" s="22"/>
      <c r="EP265" s="22"/>
      <c r="EQ265" s="22"/>
      <c r="ER265" s="22"/>
      <c r="ES265" s="22"/>
      <c r="ET265" s="22"/>
      <c r="EU265" s="22"/>
      <c r="EV265" s="22"/>
      <c r="EW265" s="22"/>
      <c r="EX265" s="22"/>
      <c r="EY265" s="22"/>
      <c r="EZ265" s="22"/>
      <c r="FA265" s="22"/>
      <c r="FB265" s="22"/>
      <c r="FC265" s="22"/>
      <c r="FD265" s="22"/>
      <c r="FE265" s="22"/>
      <c r="FF265" s="22"/>
      <c r="FG265" s="22"/>
      <c r="FH265" s="22"/>
      <c r="FI265" s="22"/>
      <c r="FJ265" s="22"/>
      <c r="FK265" s="22"/>
      <c r="FL265" s="22"/>
      <c r="FM265" s="22"/>
      <c r="FN265" s="22"/>
      <c r="FO265" s="22"/>
      <c r="FP265" s="22"/>
      <c r="FQ265" s="22"/>
      <c r="FR265" s="22"/>
      <c r="FS265" s="22"/>
      <c r="FT265" s="22"/>
      <c r="FU265" s="22"/>
      <c r="FV265" s="22"/>
      <c r="FW265" s="22"/>
      <c r="FX265" s="22"/>
      <c r="FY265" s="22"/>
      <c r="FZ265" s="22"/>
    </row>
    <row r="266" spans="2:182" x14ac:dyDescent="0.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c r="Z266" s="22"/>
      <c r="AA266" s="22"/>
      <c r="AB266" s="22"/>
      <c r="AC266" s="22"/>
      <c r="AD266" s="22"/>
      <c r="AE266" s="22"/>
      <c r="AF266" s="22"/>
      <c r="AG266" s="22"/>
      <c r="AH266" s="22"/>
      <c r="AI266" s="22"/>
      <c r="AJ266" s="22"/>
      <c r="AK266" s="22"/>
      <c r="AL266" s="22"/>
      <c r="AM266" s="22"/>
      <c r="AN266" s="22"/>
      <c r="AO266" s="22"/>
      <c r="AP266" s="22"/>
      <c r="AQ266" s="22"/>
      <c r="AR266" s="22"/>
      <c r="AS266" s="22"/>
      <c r="AT266" s="22"/>
      <c r="AU266" s="22"/>
      <c r="AV266" s="22"/>
      <c r="AW266" s="22"/>
      <c r="AX266" s="22"/>
      <c r="AY266" s="22"/>
      <c r="AZ266" s="22"/>
      <c r="BA266" s="22"/>
      <c r="BB266" s="22"/>
      <c r="BC266" s="22"/>
      <c r="BD266" s="22"/>
      <c r="BE266" s="22"/>
      <c r="BF266" s="22"/>
      <c r="BG266" s="22"/>
      <c r="BH266" s="22"/>
      <c r="BI266" s="22"/>
      <c r="BJ266" s="22"/>
      <c r="BK266" s="22"/>
      <c r="BL266" s="22"/>
      <c r="BM266" s="22"/>
      <c r="BN266" s="22"/>
      <c r="BO266" s="22"/>
      <c r="BP266" s="22"/>
      <c r="BQ266" s="22"/>
      <c r="BR266" s="22"/>
      <c r="BS266" s="22"/>
      <c r="BT266" s="22"/>
      <c r="BU266" s="22"/>
      <c r="BV266" s="22"/>
      <c r="BW266" s="22"/>
      <c r="BX266" s="22"/>
      <c r="BY266" s="22"/>
      <c r="BZ266" s="22"/>
      <c r="CA266" s="22"/>
      <c r="CB266" s="22"/>
      <c r="CC266" s="22"/>
      <c r="CD266" s="22"/>
      <c r="CE266" s="22"/>
      <c r="CF266" s="22"/>
      <c r="CG266" s="22"/>
      <c r="CH266" s="22"/>
      <c r="CI266" s="22"/>
      <c r="CJ266" s="22"/>
      <c r="CK266" s="22"/>
      <c r="CL266" s="22"/>
      <c r="CM266" s="22"/>
      <c r="CN266" s="22"/>
      <c r="CO266" s="22"/>
      <c r="CP266" s="22"/>
      <c r="CQ266" s="22"/>
      <c r="CR266" s="22"/>
      <c r="CS266" s="22"/>
      <c r="CT266" s="22"/>
      <c r="CU266" s="22"/>
      <c r="CV266" s="22"/>
      <c r="CW266" s="22"/>
      <c r="CX266" s="22"/>
      <c r="CY266" s="22"/>
      <c r="CZ266" s="22"/>
      <c r="DA266" s="22"/>
      <c r="DB266" s="22"/>
      <c r="DC266" s="22"/>
      <c r="DD266" s="22"/>
      <c r="DE266" s="22"/>
      <c r="DF266" s="22"/>
      <c r="DG266" s="22"/>
      <c r="DH266" s="22"/>
      <c r="DI266" s="22"/>
      <c r="DJ266" s="22"/>
      <c r="DK266" s="22"/>
      <c r="DL266" s="22"/>
      <c r="DM266" s="22"/>
      <c r="DN266" s="22"/>
      <c r="DO266" s="22"/>
      <c r="DP266" s="22"/>
      <c r="DQ266" s="22"/>
      <c r="DR266" s="22"/>
      <c r="DS266" s="22"/>
      <c r="DT266" s="22"/>
      <c r="DU266" s="22"/>
      <c r="DV266" s="22"/>
      <c r="DW266" s="22"/>
      <c r="DX266" s="22"/>
      <c r="DY266" s="22"/>
      <c r="DZ266" s="22"/>
      <c r="EA266" s="22"/>
      <c r="EB266" s="22"/>
      <c r="EC266" s="22"/>
      <c r="ED266" s="22"/>
      <c r="EE266" s="22"/>
      <c r="EF266" s="22"/>
      <c r="EG266" s="22"/>
      <c r="EH266" s="22"/>
      <c r="EI266" s="22"/>
      <c r="EJ266" s="22"/>
      <c r="EK266" s="22"/>
      <c r="EL266" s="22"/>
      <c r="EM266" s="22"/>
      <c r="EN266" s="22"/>
      <c r="EO266" s="22"/>
      <c r="EP266" s="22"/>
      <c r="EQ266" s="22"/>
      <c r="ER266" s="22"/>
      <c r="ES266" s="22"/>
      <c r="ET266" s="22"/>
      <c r="EU266" s="22"/>
      <c r="EV266" s="22"/>
      <c r="EW266" s="22"/>
      <c r="EX266" s="22"/>
      <c r="EY266" s="22"/>
      <c r="EZ266" s="22"/>
      <c r="FA266" s="22"/>
      <c r="FB266" s="22"/>
      <c r="FC266" s="22"/>
      <c r="FD266" s="22"/>
      <c r="FE266" s="22"/>
      <c r="FF266" s="22"/>
      <c r="FG266" s="22"/>
      <c r="FH266" s="22"/>
      <c r="FI266" s="22"/>
      <c r="FJ266" s="22"/>
      <c r="FK266" s="22"/>
      <c r="FL266" s="22"/>
      <c r="FM266" s="22"/>
      <c r="FN266" s="22"/>
      <c r="FO266" s="22"/>
      <c r="FP266" s="22"/>
      <c r="FQ266" s="22"/>
      <c r="FR266" s="22"/>
      <c r="FS266" s="22"/>
      <c r="FT266" s="22"/>
      <c r="FU266" s="22"/>
      <c r="FV266" s="22"/>
      <c r="FW266" s="22"/>
      <c r="FX266" s="22"/>
      <c r="FY266" s="22"/>
      <c r="FZ266" s="22"/>
    </row>
    <row r="267" spans="2:182" x14ac:dyDescent="0.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c r="Z267" s="22"/>
      <c r="AA267" s="22"/>
      <c r="AB267" s="22"/>
      <c r="AC267" s="22"/>
      <c r="AD267" s="22"/>
      <c r="AE267" s="22"/>
      <c r="AF267" s="22"/>
      <c r="AG267" s="22"/>
      <c r="AH267" s="22"/>
      <c r="AI267" s="22"/>
      <c r="AJ267" s="22"/>
      <c r="AK267" s="22"/>
      <c r="AL267" s="22"/>
      <c r="AM267" s="22"/>
      <c r="AN267" s="22"/>
      <c r="AO267" s="22"/>
      <c r="AP267" s="22"/>
      <c r="AQ267" s="22"/>
      <c r="AR267" s="22"/>
      <c r="AS267" s="22"/>
      <c r="AT267" s="22"/>
      <c r="AU267" s="22"/>
      <c r="AV267" s="22"/>
      <c r="AW267" s="22"/>
      <c r="AX267" s="22"/>
      <c r="AY267" s="22"/>
      <c r="AZ267" s="22"/>
      <c r="BA267" s="22"/>
      <c r="BB267" s="22"/>
      <c r="BC267" s="22"/>
      <c r="BD267" s="22"/>
      <c r="BE267" s="22"/>
      <c r="BF267" s="22"/>
      <c r="BG267" s="22"/>
      <c r="BH267" s="22"/>
      <c r="BI267" s="22"/>
      <c r="BJ267" s="22"/>
      <c r="BK267" s="22"/>
      <c r="BL267" s="22"/>
      <c r="BM267" s="22"/>
      <c r="BN267" s="22"/>
      <c r="BO267" s="22"/>
      <c r="BP267" s="22"/>
      <c r="BQ267" s="22"/>
      <c r="BR267" s="22"/>
      <c r="BS267" s="22"/>
      <c r="BT267" s="22"/>
      <c r="BU267" s="22"/>
      <c r="BV267" s="22"/>
      <c r="BW267" s="22"/>
      <c r="BX267" s="22"/>
      <c r="BY267" s="22"/>
      <c r="BZ267" s="22"/>
      <c r="CA267" s="22"/>
      <c r="CB267" s="22"/>
      <c r="CC267" s="22"/>
      <c r="CD267" s="22"/>
      <c r="CE267" s="22"/>
      <c r="CF267" s="22"/>
      <c r="CG267" s="22"/>
      <c r="CH267" s="22"/>
      <c r="CI267" s="22"/>
      <c r="CJ267" s="22"/>
      <c r="CK267" s="22"/>
      <c r="CL267" s="22"/>
      <c r="CM267" s="22"/>
      <c r="CN267" s="22"/>
      <c r="CO267" s="22"/>
      <c r="CP267" s="22"/>
      <c r="CQ267" s="22"/>
      <c r="CR267" s="22"/>
      <c r="CS267" s="22"/>
      <c r="CT267" s="22"/>
      <c r="CU267" s="22"/>
      <c r="CV267" s="22"/>
      <c r="CW267" s="22"/>
      <c r="CX267" s="22"/>
      <c r="CY267" s="22"/>
      <c r="CZ267" s="22"/>
      <c r="DA267" s="22"/>
      <c r="DB267" s="22"/>
      <c r="DC267" s="22"/>
      <c r="DD267" s="22"/>
      <c r="DE267" s="22"/>
      <c r="DF267" s="22"/>
      <c r="DG267" s="22"/>
      <c r="DH267" s="22"/>
      <c r="DI267" s="22"/>
      <c r="DJ267" s="22"/>
      <c r="DK267" s="22"/>
      <c r="DL267" s="22"/>
      <c r="DM267" s="22"/>
      <c r="DN267" s="22"/>
      <c r="DO267" s="22"/>
      <c r="DP267" s="22"/>
      <c r="DQ267" s="22"/>
      <c r="DR267" s="22"/>
      <c r="DS267" s="22"/>
      <c r="DT267" s="22"/>
      <c r="DU267" s="22"/>
      <c r="DV267" s="22"/>
      <c r="DW267" s="22"/>
      <c r="DX267" s="22"/>
      <c r="DY267" s="22"/>
      <c r="DZ267" s="22"/>
      <c r="EA267" s="22"/>
      <c r="EB267" s="22"/>
      <c r="EC267" s="22"/>
      <c r="ED267" s="22"/>
      <c r="EE267" s="22"/>
      <c r="EF267" s="22"/>
      <c r="EG267" s="22"/>
      <c r="EH267" s="22"/>
      <c r="EI267" s="22"/>
      <c r="EJ267" s="22"/>
      <c r="EK267" s="22"/>
      <c r="EL267" s="22"/>
      <c r="EM267" s="22"/>
      <c r="EN267" s="22"/>
      <c r="EO267" s="22"/>
      <c r="EP267" s="22"/>
      <c r="EQ267" s="22"/>
      <c r="ER267" s="22"/>
      <c r="ES267" s="22"/>
      <c r="ET267" s="22"/>
      <c r="EU267" s="22"/>
      <c r="EV267" s="22"/>
      <c r="EW267" s="22"/>
      <c r="EX267" s="22"/>
      <c r="EY267" s="22"/>
      <c r="EZ267" s="22"/>
      <c r="FA267" s="22"/>
      <c r="FB267" s="22"/>
      <c r="FC267" s="22"/>
      <c r="FD267" s="22"/>
      <c r="FE267" s="22"/>
      <c r="FF267" s="22"/>
      <c r="FG267" s="22"/>
      <c r="FH267" s="22"/>
      <c r="FI267" s="22"/>
      <c r="FJ267" s="22"/>
      <c r="FK267" s="22"/>
      <c r="FL267" s="22"/>
      <c r="FM267" s="22"/>
      <c r="FN267" s="22"/>
      <c r="FO267" s="22"/>
      <c r="FP267" s="22"/>
      <c r="FQ267" s="22"/>
      <c r="FR267" s="22"/>
      <c r="FS267" s="22"/>
      <c r="FT267" s="22"/>
      <c r="FU267" s="22"/>
      <c r="FV267" s="22"/>
      <c r="FW267" s="22"/>
      <c r="FX267" s="22"/>
      <c r="FY267" s="22"/>
      <c r="FZ267" s="22"/>
    </row>
    <row r="268" spans="2:182" x14ac:dyDescent="0.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c r="Z268" s="22"/>
      <c r="AA268" s="22"/>
      <c r="AB268" s="22"/>
      <c r="AC268" s="22"/>
      <c r="AD268" s="22"/>
      <c r="AE268" s="22"/>
      <c r="AF268" s="22"/>
      <c r="AG268" s="22"/>
      <c r="AH268" s="22"/>
      <c r="AI268" s="22"/>
      <c r="AJ268" s="22"/>
      <c r="AK268" s="22"/>
      <c r="AL268" s="22"/>
      <c r="AM268" s="22"/>
      <c r="AN268" s="22"/>
      <c r="AO268" s="22"/>
      <c r="AP268" s="22"/>
      <c r="AQ268" s="22"/>
      <c r="AR268" s="22"/>
      <c r="AS268" s="22"/>
      <c r="AT268" s="22"/>
      <c r="AU268" s="22"/>
      <c r="AV268" s="22"/>
      <c r="AW268" s="22"/>
      <c r="AX268" s="22"/>
      <c r="AY268" s="22"/>
      <c r="AZ268" s="22"/>
      <c r="BA268" s="22"/>
      <c r="BB268" s="22"/>
      <c r="BC268" s="22"/>
      <c r="BD268" s="22"/>
      <c r="BE268" s="22"/>
      <c r="BF268" s="22"/>
      <c r="BG268" s="22"/>
      <c r="BH268" s="22"/>
      <c r="BI268" s="22"/>
      <c r="BJ268" s="22"/>
      <c r="BK268" s="22"/>
      <c r="BL268" s="22"/>
      <c r="BM268" s="22"/>
      <c r="BN268" s="22"/>
      <c r="BO268" s="22"/>
      <c r="BP268" s="22"/>
      <c r="BQ268" s="22"/>
      <c r="BR268" s="22"/>
      <c r="BS268" s="22"/>
      <c r="BT268" s="22"/>
      <c r="BU268" s="22"/>
      <c r="BV268" s="22"/>
      <c r="BW268" s="22"/>
      <c r="BX268" s="22"/>
      <c r="BY268" s="22"/>
      <c r="BZ268" s="22"/>
      <c r="CA268" s="22"/>
      <c r="CB268" s="22"/>
      <c r="CC268" s="22"/>
      <c r="CD268" s="22"/>
      <c r="CE268" s="22"/>
      <c r="CF268" s="22"/>
      <c r="CG268" s="22"/>
      <c r="CH268" s="22"/>
      <c r="CI268" s="22"/>
      <c r="CJ268" s="22"/>
      <c r="CK268" s="22"/>
      <c r="CL268" s="22"/>
      <c r="CM268" s="22"/>
      <c r="CN268" s="22"/>
      <c r="CO268" s="22"/>
      <c r="CP268" s="22"/>
      <c r="CQ268" s="22"/>
      <c r="CR268" s="22"/>
      <c r="CS268" s="22"/>
      <c r="CT268" s="22"/>
      <c r="CU268" s="22"/>
      <c r="CV268" s="22"/>
      <c r="CW268" s="22"/>
      <c r="CX268" s="22"/>
      <c r="CY268" s="22"/>
      <c r="CZ268" s="22"/>
      <c r="DA268" s="22"/>
      <c r="DB268" s="22"/>
      <c r="DC268" s="22"/>
      <c r="DD268" s="22"/>
      <c r="DE268" s="22"/>
      <c r="DF268" s="22"/>
      <c r="DG268" s="22"/>
      <c r="DH268" s="22"/>
      <c r="DI268" s="22"/>
      <c r="DJ268" s="22"/>
      <c r="DK268" s="22"/>
      <c r="DL268" s="22"/>
      <c r="DM268" s="22"/>
      <c r="DN268" s="22"/>
      <c r="DO268" s="22"/>
      <c r="DP268" s="22"/>
      <c r="DQ268" s="22"/>
      <c r="DR268" s="22"/>
      <c r="DS268" s="22"/>
      <c r="DT268" s="22"/>
      <c r="DU268" s="22"/>
      <c r="DV268" s="22"/>
      <c r="DW268" s="22"/>
      <c r="DX268" s="22"/>
      <c r="DY268" s="22"/>
      <c r="DZ268" s="22"/>
      <c r="EA268" s="22"/>
      <c r="EB268" s="22"/>
      <c r="EC268" s="22"/>
      <c r="ED268" s="22"/>
      <c r="EE268" s="22"/>
      <c r="EF268" s="22"/>
      <c r="EG268" s="22"/>
      <c r="EH268" s="22"/>
      <c r="EI268" s="22"/>
      <c r="EJ268" s="22"/>
      <c r="EK268" s="22"/>
      <c r="EL268" s="22"/>
      <c r="EM268" s="22"/>
      <c r="EN268" s="22"/>
      <c r="EO268" s="22"/>
      <c r="EP268" s="22"/>
      <c r="EQ268" s="22"/>
      <c r="ER268" s="22"/>
      <c r="ES268" s="22"/>
      <c r="ET268" s="22"/>
      <c r="EU268" s="22"/>
      <c r="EV268" s="22"/>
      <c r="EW268" s="22"/>
      <c r="EX268" s="22"/>
      <c r="EY268" s="22"/>
      <c r="EZ268" s="22"/>
      <c r="FA268" s="22"/>
      <c r="FB268" s="22"/>
      <c r="FC268" s="22"/>
      <c r="FD268" s="22"/>
      <c r="FE268" s="22"/>
      <c r="FF268" s="22"/>
      <c r="FG268" s="22"/>
      <c r="FH268" s="22"/>
      <c r="FI268" s="22"/>
      <c r="FJ268" s="22"/>
      <c r="FK268" s="22"/>
      <c r="FL268" s="22"/>
      <c r="FM268" s="22"/>
      <c r="FN268" s="22"/>
      <c r="FO268" s="22"/>
      <c r="FP268" s="22"/>
      <c r="FQ268" s="22"/>
      <c r="FR268" s="22"/>
      <c r="FS268" s="22"/>
      <c r="FT268" s="22"/>
      <c r="FU268" s="22"/>
      <c r="FV268" s="22"/>
      <c r="FW268" s="22"/>
      <c r="FX268" s="22"/>
      <c r="FY268" s="22"/>
      <c r="FZ268" s="22"/>
    </row>
    <row r="269" spans="2:182" x14ac:dyDescent="0.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c r="Z269" s="22"/>
      <c r="AA269" s="22"/>
      <c r="AB269" s="22"/>
      <c r="AC269" s="22"/>
      <c r="AD269" s="22"/>
      <c r="AE269" s="22"/>
      <c r="AF269" s="22"/>
      <c r="AG269" s="22"/>
      <c r="AH269" s="22"/>
      <c r="AI269" s="22"/>
      <c r="AJ269" s="22"/>
      <c r="AK269" s="22"/>
      <c r="AL269" s="22"/>
      <c r="AM269" s="22"/>
      <c r="AN269" s="22"/>
      <c r="AO269" s="22"/>
      <c r="AP269" s="22"/>
      <c r="AQ269" s="22"/>
      <c r="AR269" s="22"/>
      <c r="AS269" s="22"/>
      <c r="AT269" s="22"/>
      <c r="AU269" s="22"/>
      <c r="AV269" s="22"/>
      <c r="AW269" s="22"/>
      <c r="AX269" s="22"/>
      <c r="AY269" s="22"/>
      <c r="AZ269" s="22"/>
      <c r="BA269" s="22"/>
      <c r="BB269" s="22"/>
      <c r="BC269" s="22"/>
      <c r="BD269" s="22"/>
      <c r="BE269" s="22"/>
      <c r="BF269" s="22"/>
      <c r="BG269" s="22"/>
      <c r="BH269" s="22"/>
      <c r="BI269" s="22"/>
      <c r="BJ269" s="22"/>
      <c r="BK269" s="22"/>
      <c r="BL269" s="22"/>
      <c r="BM269" s="22"/>
      <c r="BN269" s="22"/>
      <c r="BO269" s="22"/>
      <c r="BP269" s="22"/>
      <c r="BQ269" s="22"/>
      <c r="BR269" s="22"/>
      <c r="BS269" s="22"/>
      <c r="BT269" s="22"/>
      <c r="BU269" s="22"/>
      <c r="BV269" s="22"/>
      <c r="BW269" s="22"/>
      <c r="BX269" s="22"/>
      <c r="BY269" s="22"/>
      <c r="BZ269" s="22"/>
      <c r="CA269" s="22"/>
      <c r="CB269" s="22"/>
      <c r="CC269" s="22"/>
      <c r="CD269" s="22"/>
      <c r="CE269" s="22"/>
      <c r="CF269" s="22"/>
      <c r="CG269" s="22"/>
      <c r="CH269" s="22"/>
      <c r="CI269" s="22"/>
      <c r="CJ269" s="22"/>
      <c r="CK269" s="22"/>
      <c r="CL269" s="22"/>
      <c r="CM269" s="22"/>
      <c r="CN269" s="22"/>
      <c r="CO269" s="22"/>
      <c r="CP269" s="22"/>
      <c r="CQ269" s="22"/>
      <c r="CR269" s="22"/>
      <c r="CS269" s="22"/>
      <c r="CT269" s="22"/>
      <c r="CU269" s="22"/>
      <c r="CV269" s="22"/>
      <c r="CW269" s="22"/>
      <c r="CX269" s="22"/>
      <c r="CY269" s="22"/>
      <c r="CZ269" s="22"/>
      <c r="DA269" s="22"/>
      <c r="DB269" s="22"/>
      <c r="DC269" s="22"/>
      <c r="DD269" s="22"/>
      <c r="DE269" s="22"/>
      <c r="DF269" s="22"/>
      <c r="DG269" s="22"/>
      <c r="DH269" s="22"/>
      <c r="DI269" s="22"/>
      <c r="DJ269" s="22"/>
      <c r="DK269" s="22"/>
      <c r="DL269" s="22"/>
      <c r="DM269" s="22"/>
      <c r="DN269" s="22"/>
      <c r="DO269" s="22"/>
      <c r="DP269" s="22"/>
      <c r="DQ269" s="22"/>
      <c r="DR269" s="22"/>
      <c r="DS269" s="22"/>
      <c r="DT269" s="22"/>
      <c r="DU269" s="22"/>
      <c r="DV269" s="22"/>
      <c r="DW269" s="22"/>
      <c r="DX269" s="22"/>
      <c r="DY269" s="22"/>
      <c r="DZ269" s="22"/>
      <c r="EA269" s="22"/>
      <c r="EB269" s="22"/>
      <c r="EC269" s="22"/>
      <c r="ED269" s="22"/>
      <c r="EE269" s="22"/>
      <c r="EF269" s="22"/>
      <c r="EG269" s="22"/>
      <c r="EH269" s="22"/>
      <c r="EI269" s="22"/>
      <c r="EJ269" s="22"/>
      <c r="EK269" s="22"/>
      <c r="EL269" s="22"/>
      <c r="EM269" s="22"/>
      <c r="EN269" s="22"/>
      <c r="EO269" s="22"/>
      <c r="EP269" s="22"/>
      <c r="EQ269" s="22"/>
      <c r="ER269" s="22"/>
      <c r="ES269" s="22"/>
      <c r="ET269" s="22"/>
      <c r="EU269" s="22"/>
      <c r="EV269" s="22"/>
      <c r="EW269" s="22"/>
      <c r="EX269" s="22"/>
      <c r="EY269" s="22"/>
      <c r="EZ269" s="22"/>
      <c r="FA269" s="22"/>
      <c r="FB269" s="22"/>
      <c r="FC269" s="22"/>
      <c r="FD269" s="22"/>
      <c r="FE269" s="22"/>
      <c r="FF269" s="22"/>
      <c r="FG269" s="22"/>
      <c r="FH269" s="22"/>
      <c r="FI269" s="22"/>
      <c r="FJ269" s="22"/>
      <c r="FK269" s="22"/>
      <c r="FL269" s="22"/>
      <c r="FM269" s="22"/>
      <c r="FN269" s="22"/>
      <c r="FO269" s="22"/>
      <c r="FP269" s="22"/>
      <c r="FQ269" s="22"/>
      <c r="FR269" s="22"/>
      <c r="FS269" s="22"/>
      <c r="FT269" s="22"/>
      <c r="FU269" s="22"/>
      <c r="FV269" s="22"/>
      <c r="FW269" s="22"/>
      <c r="FX269" s="22"/>
      <c r="FY269" s="22"/>
      <c r="FZ269" s="22"/>
    </row>
    <row r="270" spans="2:182" x14ac:dyDescent="0.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c r="Z270" s="22"/>
      <c r="AA270" s="22"/>
      <c r="AB270" s="22"/>
      <c r="AC270" s="22"/>
      <c r="AD270" s="22"/>
      <c r="AE270" s="22"/>
      <c r="AF270" s="22"/>
      <c r="AG270" s="22"/>
      <c r="AH270" s="22"/>
      <c r="AI270" s="22"/>
      <c r="AJ270" s="22"/>
      <c r="AK270" s="22"/>
      <c r="AL270" s="22"/>
      <c r="AM270" s="22"/>
      <c r="AN270" s="22"/>
      <c r="AO270" s="22"/>
      <c r="AP270" s="22"/>
      <c r="AQ270" s="22"/>
      <c r="AR270" s="22"/>
      <c r="AS270" s="22"/>
      <c r="AT270" s="22"/>
      <c r="AU270" s="22"/>
      <c r="AV270" s="22"/>
      <c r="AW270" s="22"/>
      <c r="AX270" s="22"/>
      <c r="AY270" s="22"/>
      <c r="AZ270" s="22"/>
      <c r="BA270" s="22"/>
      <c r="BB270" s="22"/>
      <c r="BC270" s="22"/>
      <c r="BD270" s="22"/>
      <c r="BE270" s="22"/>
      <c r="BF270" s="22"/>
      <c r="BG270" s="22"/>
      <c r="BH270" s="22"/>
      <c r="BI270" s="22"/>
      <c r="BJ270" s="22"/>
      <c r="BK270" s="22"/>
      <c r="BL270" s="22"/>
      <c r="BM270" s="22"/>
      <c r="BN270" s="22"/>
      <c r="BO270" s="22"/>
      <c r="BP270" s="22"/>
      <c r="BQ270" s="22"/>
      <c r="BR270" s="22"/>
      <c r="BS270" s="22"/>
      <c r="BT270" s="22"/>
      <c r="BU270" s="22"/>
      <c r="BV270" s="22"/>
      <c r="BW270" s="22"/>
      <c r="BX270" s="22"/>
      <c r="BY270" s="22"/>
      <c r="BZ270" s="22"/>
      <c r="CA270" s="22"/>
      <c r="CB270" s="22"/>
      <c r="CC270" s="22"/>
      <c r="CD270" s="22"/>
      <c r="CE270" s="22"/>
      <c r="CF270" s="22"/>
      <c r="CG270" s="22"/>
      <c r="CH270" s="22"/>
      <c r="CI270" s="22"/>
      <c r="CJ270" s="22"/>
      <c r="CK270" s="22"/>
      <c r="CL270" s="22"/>
      <c r="CM270" s="22"/>
      <c r="CN270" s="22"/>
      <c r="CO270" s="22"/>
      <c r="CP270" s="22"/>
      <c r="CQ270" s="22"/>
      <c r="CR270" s="22"/>
      <c r="CS270" s="22"/>
      <c r="CT270" s="22"/>
      <c r="CU270" s="22"/>
      <c r="CV270" s="22"/>
      <c r="CW270" s="22"/>
      <c r="CX270" s="22"/>
      <c r="CY270" s="22"/>
      <c r="CZ270" s="22"/>
      <c r="DA270" s="22"/>
      <c r="DB270" s="22"/>
      <c r="DC270" s="22"/>
      <c r="DD270" s="22"/>
      <c r="DE270" s="22"/>
      <c r="DF270" s="22"/>
      <c r="DG270" s="22"/>
      <c r="DH270" s="22"/>
      <c r="DI270" s="22"/>
      <c r="DJ270" s="22"/>
      <c r="DK270" s="22"/>
      <c r="DL270" s="22"/>
      <c r="DM270" s="22"/>
      <c r="DN270" s="22"/>
      <c r="DO270" s="22"/>
      <c r="DP270" s="22"/>
      <c r="DQ270" s="22"/>
      <c r="DR270" s="22"/>
      <c r="DS270" s="22"/>
      <c r="DT270" s="22"/>
      <c r="DU270" s="22"/>
      <c r="DV270" s="22"/>
      <c r="DW270" s="22"/>
      <c r="DX270" s="22"/>
      <c r="DY270" s="22"/>
      <c r="DZ270" s="22"/>
      <c r="EA270" s="22"/>
      <c r="EB270" s="22"/>
      <c r="EC270" s="22"/>
      <c r="ED270" s="22"/>
      <c r="EE270" s="22"/>
      <c r="EF270" s="22"/>
      <c r="EG270" s="22"/>
      <c r="EH270" s="22"/>
      <c r="EI270" s="22"/>
      <c r="EJ270" s="22"/>
      <c r="EK270" s="22"/>
      <c r="EL270" s="22"/>
      <c r="EM270" s="22"/>
      <c r="EN270" s="22"/>
      <c r="EO270" s="22"/>
      <c r="EP270" s="22"/>
      <c r="EQ270" s="22"/>
      <c r="ER270" s="22"/>
      <c r="ES270" s="22"/>
      <c r="ET270" s="22"/>
      <c r="EU270" s="22"/>
      <c r="EV270" s="22"/>
      <c r="EW270" s="22"/>
      <c r="EX270" s="22"/>
      <c r="EY270" s="22"/>
      <c r="EZ270" s="22"/>
      <c r="FA270" s="22"/>
      <c r="FB270" s="22"/>
      <c r="FC270" s="22"/>
      <c r="FD270" s="22"/>
      <c r="FE270" s="22"/>
      <c r="FF270" s="22"/>
      <c r="FG270" s="22"/>
      <c r="FH270" s="22"/>
      <c r="FI270" s="22"/>
      <c r="FJ270" s="22"/>
      <c r="FK270" s="22"/>
      <c r="FL270" s="22"/>
      <c r="FM270" s="22"/>
      <c r="FN270" s="22"/>
      <c r="FO270" s="22"/>
      <c r="FP270" s="22"/>
      <c r="FQ270" s="22"/>
      <c r="FR270" s="22"/>
      <c r="FS270" s="22"/>
      <c r="FT270" s="22"/>
      <c r="FU270" s="22"/>
      <c r="FV270" s="22"/>
      <c r="FW270" s="22"/>
      <c r="FX270" s="22"/>
      <c r="FY270" s="22"/>
      <c r="FZ270" s="22"/>
    </row>
    <row r="271" spans="2:182" x14ac:dyDescent="0.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c r="Z271" s="22"/>
      <c r="AA271" s="22"/>
      <c r="AB271" s="22"/>
      <c r="AC271" s="22"/>
      <c r="AD271" s="22"/>
      <c r="AE271" s="22"/>
      <c r="AF271" s="22"/>
      <c r="AG271" s="22"/>
      <c r="AH271" s="22"/>
      <c r="AI271" s="22"/>
      <c r="AJ271" s="22"/>
      <c r="AK271" s="22"/>
      <c r="AL271" s="22"/>
      <c r="AM271" s="22"/>
      <c r="AN271" s="22"/>
      <c r="AO271" s="22"/>
      <c r="AP271" s="22"/>
      <c r="AQ271" s="22"/>
      <c r="AR271" s="22"/>
      <c r="AS271" s="22"/>
      <c r="AT271" s="22"/>
      <c r="AU271" s="22"/>
      <c r="AV271" s="22"/>
      <c r="AW271" s="22"/>
      <c r="AX271" s="22"/>
      <c r="AY271" s="22"/>
      <c r="AZ271" s="22"/>
      <c r="BA271" s="22"/>
      <c r="BB271" s="22"/>
      <c r="BC271" s="22"/>
      <c r="BD271" s="22"/>
      <c r="BE271" s="22"/>
      <c r="BF271" s="22"/>
      <c r="BG271" s="22"/>
      <c r="BH271" s="22"/>
      <c r="BI271" s="22"/>
      <c r="BJ271" s="22"/>
      <c r="BK271" s="22"/>
      <c r="BL271" s="22"/>
      <c r="BM271" s="22"/>
      <c r="BN271" s="22"/>
      <c r="BO271" s="22"/>
      <c r="BP271" s="22"/>
      <c r="BQ271" s="22"/>
      <c r="BR271" s="22"/>
      <c r="BS271" s="22"/>
      <c r="BT271" s="22"/>
      <c r="BU271" s="22"/>
      <c r="BV271" s="22"/>
      <c r="BW271" s="22"/>
      <c r="BX271" s="22"/>
      <c r="BY271" s="22"/>
      <c r="BZ271" s="22"/>
      <c r="CA271" s="22"/>
      <c r="CB271" s="22"/>
      <c r="CC271" s="22"/>
      <c r="CD271" s="22"/>
      <c r="CE271" s="22"/>
      <c r="CF271" s="22"/>
      <c r="CG271" s="22"/>
      <c r="CH271" s="22"/>
      <c r="CI271" s="22"/>
      <c r="CJ271" s="22"/>
      <c r="CK271" s="22"/>
      <c r="CL271" s="22"/>
      <c r="CM271" s="22"/>
      <c r="CN271" s="22"/>
      <c r="CO271" s="22"/>
      <c r="CP271" s="22"/>
      <c r="CQ271" s="22"/>
      <c r="CR271" s="22"/>
      <c r="CS271" s="22"/>
      <c r="CT271" s="22"/>
      <c r="CU271" s="22"/>
      <c r="CV271" s="22"/>
      <c r="CW271" s="22"/>
      <c r="CX271" s="22"/>
      <c r="CY271" s="22"/>
      <c r="CZ271" s="22"/>
      <c r="DA271" s="22"/>
      <c r="DB271" s="22"/>
      <c r="DC271" s="22"/>
      <c r="DD271" s="22"/>
      <c r="DE271" s="22"/>
      <c r="DF271" s="22"/>
      <c r="DG271" s="22"/>
      <c r="DH271" s="22"/>
      <c r="DI271" s="22"/>
      <c r="DJ271" s="22"/>
      <c r="DK271" s="22"/>
      <c r="DL271" s="22"/>
      <c r="DM271" s="22"/>
      <c r="DN271" s="22"/>
      <c r="DO271" s="22"/>
      <c r="DP271" s="22"/>
      <c r="DQ271" s="22"/>
      <c r="DR271" s="22"/>
      <c r="DS271" s="22"/>
      <c r="DT271" s="22"/>
      <c r="DU271" s="22"/>
      <c r="DV271" s="22"/>
      <c r="DW271" s="22"/>
      <c r="DX271" s="22"/>
      <c r="DY271" s="22"/>
      <c r="DZ271" s="22"/>
      <c r="EA271" s="22"/>
      <c r="EB271" s="22"/>
      <c r="EC271" s="22"/>
      <c r="ED271" s="22"/>
      <c r="EE271" s="22"/>
      <c r="EF271" s="22"/>
      <c r="EG271" s="22"/>
      <c r="EH271" s="22"/>
      <c r="EI271" s="22"/>
      <c r="EJ271" s="22"/>
      <c r="EK271" s="22"/>
      <c r="EL271" s="22"/>
      <c r="EM271" s="22"/>
      <c r="EN271" s="22"/>
      <c r="EO271" s="22"/>
      <c r="EP271" s="22"/>
      <c r="EQ271" s="22"/>
      <c r="ER271" s="22"/>
      <c r="ES271" s="22"/>
      <c r="ET271" s="22"/>
      <c r="EU271" s="22"/>
      <c r="EV271" s="22"/>
      <c r="EW271" s="22"/>
      <c r="EX271" s="22"/>
      <c r="EY271" s="22"/>
      <c r="EZ271" s="22"/>
      <c r="FA271" s="22"/>
      <c r="FB271" s="22"/>
      <c r="FC271" s="22"/>
      <c r="FD271" s="22"/>
      <c r="FE271" s="22"/>
      <c r="FF271" s="22"/>
      <c r="FG271" s="22"/>
      <c r="FH271" s="22"/>
      <c r="FI271" s="22"/>
      <c r="FJ271" s="22"/>
      <c r="FK271" s="22"/>
      <c r="FL271" s="22"/>
      <c r="FM271" s="22"/>
      <c r="FN271" s="22"/>
      <c r="FO271" s="22"/>
      <c r="FP271" s="22"/>
      <c r="FQ271" s="22"/>
      <c r="FR271" s="22"/>
      <c r="FS271" s="22"/>
      <c r="FT271" s="22"/>
      <c r="FU271" s="22"/>
      <c r="FV271" s="22"/>
      <c r="FW271" s="22"/>
      <c r="FX271" s="22"/>
      <c r="FY271" s="22"/>
      <c r="FZ271" s="22"/>
    </row>
    <row r="272" spans="2:182" x14ac:dyDescent="0.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c r="Z272" s="22"/>
      <c r="AA272" s="22"/>
      <c r="AB272" s="22"/>
      <c r="AC272" s="22"/>
      <c r="AD272" s="22"/>
      <c r="AE272" s="22"/>
      <c r="AF272" s="22"/>
      <c r="AG272" s="22"/>
      <c r="AH272" s="22"/>
      <c r="AI272" s="22"/>
      <c r="AJ272" s="22"/>
      <c r="AK272" s="22"/>
      <c r="AL272" s="22"/>
      <c r="AM272" s="22"/>
      <c r="AN272" s="22"/>
      <c r="AO272" s="22"/>
      <c r="AP272" s="22"/>
      <c r="AQ272" s="22"/>
      <c r="AR272" s="22"/>
      <c r="AS272" s="22"/>
      <c r="AT272" s="22"/>
      <c r="AU272" s="22"/>
      <c r="AV272" s="22"/>
      <c r="AW272" s="22"/>
      <c r="AX272" s="22"/>
      <c r="AY272" s="22"/>
      <c r="AZ272" s="22"/>
      <c r="BA272" s="22"/>
      <c r="BB272" s="22"/>
      <c r="BC272" s="22"/>
      <c r="BD272" s="22"/>
      <c r="BE272" s="22"/>
      <c r="BF272" s="22"/>
      <c r="BG272" s="22"/>
      <c r="BH272" s="22"/>
      <c r="BI272" s="22"/>
      <c r="BJ272" s="22"/>
      <c r="BK272" s="22"/>
      <c r="BL272" s="22"/>
      <c r="BM272" s="22"/>
      <c r="BN272" s="22"/>
      <c r="BO272" s="22"/>
      <c r="BP272" s="22"/>
      <c r="BQ272" s="22"/>
      <c r="BR272" s="22"/>
      <c r="BS272" s="22"/>
      <c r="BT272" s="22"/>
      <c r="BU272" s="22"/>
      <c r="BV272" s="22"/>
      <c r="BW272" s="22"/>
      <c r="BX272" s="22"/>
      <c r="BY272" s="22"/>
      <c r="BZ272" s="22"/>
      <c r="CA272" s="22"/>
      <c r="CB272" s="22"/>
      <c r="CC272" s="22"/>
      <c r="CD272" s="22"/>
      <c r="CE272" s="22"/>
      <c r="CF272" s="22"/>
      <c r="CG272" s="22"/>
      <c r="CH272" s="22"/>
      <c r="CI272" s="22"/>
      <c r="CJ272" s="22"/>
      <c r="CK272" s="22"/>
      <c r="CL272" s="22"/>
      <c r="CM272" s="22"/>
      <c r="CN272" s="22"/>
      <c r="CO272" s="22"/>
      <c r="CP272" s="22"/>
      <c r="CQ272" s="22"/>
      <c r="CR272" s="22"/>
      <c r="CS272" s="22"/>
      <c r="CT272" s="22"/>
      <c r="CU272" s="22"/>
      <c r="CV272" s="22"/>
      <c r="CW272" s="22"/>
      <c r="CX272" s="22"/>
      <c r="CY272" s="22"/>
      <c r="CZ272" s="22"/>
      <c r="DA272" s="22"/>
      <c r="DB272" s="22"/>
      <c r="DC272" s="22"/>
      <c r="DD272" s="22"/>
      <c r="DE272" s="22"/>
      <c r="DF272" s="22"/>
      <c r="DG272" s="22"/>
      <c r="DH272" s="22"/>
      <c r="DI272" s="22"/>
      <c r="DJ272" s="22"/>
      <c r="DK272" s="22"/>
      <c r="DL272" s="22"/>
      <c r="DM272" s="22"/>
      <c r="DN272" s="22"/>
      <c r="DO272" s="22"/>
      <c r="DP272" s="22"/>
      <c r="DQ272" s="22"/>
      <c r="DR272" s="22"/>
      <c r="DS272" s="22"/>
      <c r="DT272" s="22"/>
      <c r="DU272" s="22"/>
      <c r="DV272" s="22"/>
      <c r="DW272" s="22"/>
      <c r="DX272" s="22"/>
      <c r="DY272" s="22"/>
      <c r="DZ272" s="22"/>
      <c r="EA272" s="22"/>
      <c r="EB272" s="22"/>
      <c r="EC272" s="22"/>
      <c r="ED272" s="22"/>
      <c r="EE272" s="22"/>
      <c r="EF272" s="22"/>
      <c r="EG272" s="22"/>
      <c r="EH272" s="22"/>
      <c r="EI272" s="22"/>
      <c r="EJ272" s="22"/>
      <c r="EK272" s="22"/>
      <c r="EL272" s="22"/>
      <c r="EM272" s="22"/>
      <c r="EN272" s="22"/>
      <c r="EO272" s="22"/>
      <c r="EP272" s="22"/>
      <c r="EQ272" s="22"/>
      <c r="ER272" s="22"/>
      <c r="ES272" s="22"/>
      <c r="ET272" s="22"/>
      <c r="EU272" s="22"/>
      <c r="EV272" s="22"/>
      <c r="EW272" s="22"/>
      <c r="EX272" s="22"/>
      <c r="EY272" s="22"/>
      <c r="EZ272" s="22"/>
      <c r="FA272" s="22"/>
      <c r="FB272" s="22"/>
      <c r="FC272" s="22"/>
      <c r="FD272" s="22"/>
      <c r="FE272" s="22"/>
      <c r="FF272" s="22"/>
      <c r="FG272" s="22"/>
      <c r="FH272" s="22"/>
      <c r="FI272" s="22"/>
      <c r="FJ272" s="22"/>
      <c r="FK272" s="22"/>
      <c r="FL272" s="22"/>
      <c r="FM272" s="22"/>
      <c r="FN272" s="22"/>
      <c r="FO272" s="22"/>
      <c r="FP272" s="22"/>
      <c r="FQ272" s="22"/>
      <c r="FR272" s="22"/>
      <c r="FS272" s="22"/>
      <c r="FT272" s="22"/>
      <c r="FU272" s="22"/>
      <c r="FV272" s="22"/>
      <c r="FW272" s="22"/>
      <c r="FX272" s="22"/>
      <c r="FY272" s="22"/>
      <c r="FZ272" s="22"/>
    </row>
    <row r="273" spans="2:182" x14ac:dyDescent="0.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c r="Z273" s="22"/>
      <c r="AA273" s="22"/>
      <c r="AB273" s="22"/>
      <c r="AC273" s="22"/>
      <c r="AD273" s="22"/>
      <c r="AE273" s="22"/>
      <c r="AF273" s="22"/>
      <c r="AG273" s="22"/>
      <c r="AH273" s="22"/>
      <c r="AI273" s="22"/>
      <c r="AJ273" s="22"/>
      <c r="AK273" s="22"/>
      <c r="AL273" s="22"/>
      <c r="AM273" s="22"/>
      <c r="AN273" s="22"/>
      <c r="AO273" s="22"/>
      <c r="AP273" s="22"/>
      <c r="AQ273" s="22"/>
      <c r="AR273" s="22"/>
      <c r="AS273" s="22"/>
      <c r="AT273" s="22"/>
      <c r="AU273" s="22"/>
      <c r="AV273" s="22"/>
      <c r="AW273" s="22"/>
      <c r="AX273" s="22"/>
      <c r="AY273" s="22"/>
      <c r="AZ273" s="22"/>
      <c r="BA273" s="22"/>
      <c r="BB273" s="22"/>
      <c r="BC273" s="22"/>
      <c r="BD273" s="22"/>
      <c r="BE273" s="22"/>
      <c r="BF273" s="22"/>
      <c r="BG273" s="22"/>
      <c r="BH273" s="22"/>
      <c r="BI273" s="22"/>
      <c r="BJ273" s="22"/>
      <c r="BK273" s="22"/>
      <c r="BL273" s="22"/>
      <c r="BM273" s="22"/>
      <c r="BN273" s="22"/>
      <c r="BO273" s="22"/>
      <c r="BP273" s="22"/>
      <c r="BQ273" s="22"/>
      <c r="BR273" s="22"/>
      <c r="BS273" s="22"/>
      <c r="BT273" s="22"/>
      <c r="BU273" s="22"/>
      <c r="BV273" s="22"/>
      <c r="BW273" s="22"/>
      <c r="BX273" s="22"/>
      <c r="BY273" s="22"/>
      <c r="BZ273" s="22"/>
      <c r="CA273" s="22"/>
      <c r="CB273" s="22"/>
      <c r="CC273" s="22"/>
      <c r="CD273" s="22"/>
      <c r="CE273" s="22"/>
      <c r="CF273" s="22"/>
      <c r="CG273" s="22"/>
      <c r="CH273" s="22"/>
      <c r="CI273" s="22"/>
      <c r="CJ273" s="22"/>
      <c r="CK273" s="22"/>
      <c r="CL273" s="22"/>
      <c r="CM273" s="22"/>
      <c r="CN273" s="22"/>
      <c r="CO273" s="22"/>
      <c r="CP273" s="22"/>
      <c r="CQ273" s="22"/>
      <c r="CR273" s="22"/>
      <c r="CS273" s="22"/>
      <c r="CT273" s="22"/>
      <c r="CU273" s="22"/>
      <c r="CV273" s="22"/>
      <c r="CW273" s="22"/>
      <c r="CX273" s="22"/>
      <c r="CY273" s="22"/>
      <c r="CZ273" s="22"/>
      <c r="DA273" s="22"/>
      <c r="DB273" s="22"/>
      <c r="DC273" s="22"/>
      <c r="DD273" s="22"/>
      <c r="DE273" s="22"/>
      <c r="DF273" s="22"/>
      <c r="DG273" s="22"/>
      <c r="DH273" s="22"/>
      <c r="DI273" s="22"/>
      <c r="DJ273" s="22"/>
      <c r="DK273" s="22"/>
      <c r="DL273" s="22"/>
      <c r="DM273" s="22"/>
      <c r="DN273" s="22"/>
      <c r="DO273" s="22"/>
      <c r="DP273" s="22"/>
      <c r="DQ273" s="22"/>
      <c r="DR273" s="22"/>
      <c r="DS273" s="22"/>
      <c r="DT273" s="22"/>
      <c r="DU273" s="22"/>
      <c r="DV273" s="22"/>
      <c r="DW273" s="22"/>
      <c r="DX273" s="22"/>
      <c r="DY273" s="22"/>
      <c r="DZ273" s="22"/>
      <c r="EA273" s="22"/>
      <c r="EB273" s="22"/>
      <c r="EC273" s="22"/>
      <c r="ED273" s="22"/>
      <c r="EE273" s="22"/>
      <c r="EF273" s="22"/>
      <c r="EG273" s="22"/>
      <c r="EH273" s="22"/>
      <c r="EI273" s="22"/>
      <c r="EJ273" s="22"/>
      <c r="EK273" s="22"/>
      <c r="EL273" s="22"/>
      <c r="EM273" s="22"/>
      <c r="EN273" s="22"/>
      <c r="EO273" s="22"/>
      <c r="EP273" s="22"/>
      <c r="EQ273" s="22"/>
      <c r="ER273" s="22"/>
      <c r="ES273" s="22"/>
      <c r="ET273" s="22"/>
      <c r="EU273" s="22"/>
      <c r="EV273" s="22"/>
      <c r="EW273" s="22"/>
      <c r="EX273" s="22"/>
      <c r="EY273" s="22"/>
      <c r="EZ273" s="22"/>
      <c r="FA273" s="22"/>
      <c r="FB273" s="22"/>
      <c r="FC273" s="22"/>
      <c r="FD273" s="22"/>
      <c r="FE273" s="22"/>
      <c r="FF273" s="22"/>
      <c r="FG273" s="22"/>
      <c r="FH273" s="22"/>
      <c r="FI273" s="22"/>
      <c r="FJ273" s="22"/>
      <c r="FK273" s="22"/>
      <c r="FL273" s="22"/>
      <c r="FM273" s="22"/>
      <c r="FN273" s="22"/>
      <c r="FO273" s="22"/>
      <c r="FP273" s="22"/>
      <c r="FQ273" s="22"/>
      <c r="FR273" s="22"/>
      <c r="FS273" s="22"/>
      <c r="FT273" s="22"/>
      <c r="FU273" s="22"/>
      <c r="FV273" s="22"/>
      <c r="FW273" s="22"/>
      <c r="FX273" s="22"/>
      <c r="FY273" s="22"/>
      <c r="FZ273" s="22"/>
    </row>
    <row r="274" spans="2:182" x14ac:dyDescent="0.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c r="Z274" s="22"/>
      <c r="AA274" s="22"/>
      <c r="AB274" s="22"/>
      <c r="AC274" s="22"/>
      <c r="AD274" s="22"/>
      <c r="AE274" s="22"/>
      <c r="AF274" s="22"/>
      <c r="AG274" s="22"/>
      <c r="AH274" s="22"/>
      <c r="AI274" s="22"/>
      <c r="AJ274" s="22"/>
      <c r="AK274" s="22"/>
      <c r="AL274" s="22"/>
      <c r="AM274" s="22"/>
      <c r="AN274" s="22"/>
      <c r="AO274" s="22"/>
      <c r="AP274" s="22"/>
      <c r="AQ274" s="22"/>
      <c r="AR274" s="22"/>
      <c r="AS274" s="22"/>
      <c r="AT274" s="22"/>
      <c r="AU274" s="22"/>
      <c r="AV274" s="22"/>
      <c r="AW274" s="22"/>
      <c r="AX274" s="22"/>
      <c r="AY274" s="22"/>
      <c r="AZ274" s="22"/>
      <c r="BA274" s="22"/>
      <c r="BB274" s="22"/>
      <c r="BC274" s="22"/>
      <c r="BD274" s="22"/>
      <c r="BE274" s="22"/>
      <c r="BF274" s="22"/>
      <c r="BG274" s="22"/>
      <c r="BH274" s="22"/>
      <c r="BI274" s="22"/>
      <c r="BJ274" s="22"/>
      <c r="BK274" s="22"/>
      <c r="BL274" s="22"/>
      <c r="BM274" s="22"/>
      <c r="BN274" s="22"/>
      <c r="BO274" s="22"/>
      <c r="BP274" s="22"/>
      <c r="BQ274" s="22"/>
      <c r="BR274" s="22"/>
      <c r="BS274" s="22"/>
      <c r="BT274" s="22"/>
      <c r="BU274" s="22"/>
      <c r="BV274" s="22"/>
      <c r="BW274" s="22"/>
      <c r="BX274" s="22"/>
      <c r="BY274" s="22"/>
      <c r="BZ274" s="22"/>
      <c r="CA274" s="22"/>
      <c r="CB274" s="22"/>
      <c r="CC274" s="22"/>
      <c r="CD274" s="22"/>
      <c r="CE274" s="22"/>
      <c r="CF274" s="22"/>
      <c r="CG274" s="22"/>
      <c r="CH274" s="22"/>
      <c r="CI274" s="22"/>
      <c r="CJ274" s="22"/>
      <c r="CK274" s="22"/>
      <c r="CL274" s="22"/>
      <c r="CM274" s="22"/>
      <c r="CN274" s="22"/>
      <c r="CO274" s="22"/>
      <c r="CP274" s="22"/>
      <c r="CQ274" s="22"/>
      <c r="CR274" s="22"/>
      <c r="CS274" s="22"/>
      <c r="CT274" s="22"/>
      <c r="CU274" s="22"/>
      <c r="CV274" s="22"/>
      <c r="CW274" s="22"/>
      <c r="CX274" s="22"/>
      <c r="CY274" s="22"/>
      <c r="CZ274" s="22"/>
      <c r="DA274" s="22"/>
      <c r="DB274" s="22"/>
      <c r="DC274" s="22"/>
      <c r="DD274" s="22"/>
      <c r="DE274" s="22"/>
      <c r="DF274" s="22"/>
      <c r="DG274" s="22"/>
      <c r="DH274" s="22"/>
      <c r="DI274" s="22"/>
      <c r="DJ274" s="22"/>
      <c r="DK274" s="22"/>
      <c r="DL274" s="22"/>
      <c r="DM274" s="22"/>
      <c r="DN274" s="22"/>
      <c r="DO274" s="22"/>
      <c r="DP274" s="22"/>
      <c r="DQ274" s="22"/>
      <c r="DR274" s="22"/>
      <c r="DS274" s="22"/>
      <c r="DT274" s="22"/>
      <c r="DU274" s="22"/>
      <c r="DV274" s="22"/>
      <c r="DW274" s="22"/>
      <c r="DX274" s="22"/>
      <c r="DY274" s="22"/>
      <c r="DZ274" s="22"/>
      <c r="EA274" s="22"/>
      <c r="EB274" s="22"/>
      <c r="EC274" s="22"/>
      <c r="ED274" s="22"/>
      <c r="EE274" s="22"/>
      <c r="EF274" s="22"/>
      <c r="EG274" s="22"/>
      <c r="EH274" s="22"/>
      <c r="EI274" s="22"/>
      <c r="EJ274" s="22"/>
      <c r="EK274" s="22"/>
      <c r="EL274" s="22"/>
      <c r="EM274" s="22"/>
      <c r="EN274" s="22"/>
      <c r="EO274" s="22"/>
      <c r="EP274" s="22"/>
      <c r="EQ274" s="22"/>
      <c r="ER274" s="22"/>
      <c r="ES274" s="22"/>
      <c r="ET274" s="22"/>
      <c r="EU274" s="22"/>
      <c r="EV274" s="22"/>
      <c r="EW274" s="22"/>
      <c r="EX274" s="22"/>
      <c r="EY274" s="22"/>
      <c r="EZ274" s="22"/>
      <c r="FA274" s="22"/>
      <c r="FB274" s="22"/>
      <c r="FC274" s="22"/>
      <c r="FD274" s="22"/>
      <c r="FE274" s="22"/>
      <c r="FF274" s="22"/>
      <c r="FG274" s="22"/>
      <c r="FH274" s="22"/>
      <c r="FI274" s="22"/>
      <c r="FJ274" s="22"/>
      <c r="FK274" s="22"/>
      <c r="FL274" s="22"/>
      <c r="FM274" s="22"/>
      <c r="FN274" s="22"/>
      <c r="FO274" s="22"/>
      <c r="FP274" s="22"/>
      <c r="FQ274" s="22"/>
      <c r="FR274" s="22"/>
      <c r="FS274" s="22"/>
      <c r="FT274" s="22"/>
      <c r="FU274" s="22"/>
      <c r="FV274" s="22"/>
      <c r="FW274" s="22"/>
      <c r="FX274" s="22"/>
      <c r="FY274" s="22"/>
      <c r="FZ274" s="22"/>
    </row>
    <row r="275" spans="2:182" x14ac:dyDescent="0.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c r="Z275" s="22"/>
      <c r="AA275" s="22"/>
      <c r="AB275" s="22"/>
      <c r="AC275" s="22"/>
      <c r="AD275" s="22"/>
      <c r="AE275" s="22"/>
      <c r="AF275" s="22"/>
      <c r="AG275" s="22"/>
      <c r="AH275" s="22"/>
      <c r="AI275" s="22"/>
      <c r="AJ275" s="22"/>
      <c r="AK275" s="22"/>
      <c r="AL275" s="22"/>
      <c r="AM275" s="22"/>
      <c r="AN275" s="22"/>
      <c r="AO275" s="22"/>
      <c r="AP275" s="22"/>
      <c r="AQ275" s="22"/>
      <c r="AR275" s="22"/>
      <c r="AS275" s="22"/>
      <c r="AT275" s="22"/>
      <c r="AU275" s="22"/>
      <c r="AV275" s="22"/>
      <c r="AW275" s="22"/>
      <c r="AX275" s="22"/>
      <c r="AY275" s="22"/>
      <c r="AZ275" s="22"/>
      <c r="BA275" s="22"/>
      <c r="BB275" s="22"/>
      <c r="BC275" s="22"/>
      <c r="BD275" s="22"/>
      <c r="BE275" s="22"/>
      <c r="BF275" s="22"/>
      <c r="BG275" s="22"/>
      <c r="BH275" s="22"/>
      <c r="BI275" s="22"/>
      <c r="BJ275" s="22"/>
      <c r="BK275" s="22"/>
      <c r="BL275" s="22"/>
      <c r="BM275" s="22"/>
      <c r="BN275" s="22"/>
      <c r="BO275" s="22"/>
      <c r="BP275" s="22"/>
      <c r="BQ275" s="22"/>
      <c r="BR275" s="22"/>
      <c r="BS275" s="22"/>
      <c r="BT275" s="22"/>
      <c r="BU275" s="22"/>
      <c r="BV275" s="22"/>
      <c r="BW275" s="22"/>
      <c r="BX275" s="22"/>
      <c r="BY275" s="22"/>
      <c r="BZ275" s="22"/>
      <c r="CA275" s="22"/>
      <c r="CB275" s="22"/>
      <c r="CC275" s="22"/>
      <c r="CD275" s="22"/>
      <c r="CE275" s="22"/>
      <c r="CF275" s="22"/>
      <c r="CG275" s="22"/>
      <c r="CH275" s="22"/>
      <c r="CI275" s="22"/>
      <c r="CJ275" s="22"/>
      <c r="CK275" s="22"/>
      <c r="CL275" s="22"/>
      <c r="CM275" s="22"/>
      <c r="CN275" s="22"/>
      <c r="CO275" s="22"/>
      <c r="CP275" s="22"/>
      <c r="CQ275" s="22"/>
      <c r="CR275" s="22"/>
      <c r="CS275" s="22"/>
      <c r="CT275" s="22"/>
      <c r="CU275" s="22"/>
      <c r="CV275" s="22"/>
      <c r="CW275" s="22"/>
      <c r="CX275" s="22"/>
      <c r="CY275" s="22"/>
      <c r="CZ275" s="22"/>
      <c r="DA275" s="22"/>
      <c r="DB275" s="22"/>
      <c r="DC275" s="22"/>
      <c r="DD275" s="22"/>
      <c r="DE275" s="22"/>
      <c r="DF275" s="22"/>
      <c r="DG275" s="22"/>
      <c r="DH275" s="22"/>
      <c r="DI275" s="22"/>
      <c r="DJ275" s="22"/>
      <c r="DK275" s="22"/>
      <c r="DL275" s="22"/>
      <c r="DM275" s="22"/>
      <c r="DN275" s="22"/>
      <c r="DO275" s="22"/>
      <c r="DP275" s="22"/>
      <c r="DQ275" s="22"/>
      <c r="DR275" s="22"/>
      <c r="DS275" s="22"/>
      <c r="DT275" s="22"/>
      <c r="DU275" s="22"/>
      <c r="DV275" s="22"/>
      <c r="DW275" s="22"/>
      <c r="DX275" s="22"/>
      <c r="DY275" s="22"/>
      <c r="DZ275" s="22"/>
      <c r="EA275" s="22"/>
      <c r="EB275" s="22"/>
      <c r="EC275" s="22"/>
      <c r="ED275" s="22"/>
      <c r="EE275" s="22"/>
      <c r="EF275" s="22"/>
      <c r="EG275" s="22"/>
      <c r="EH275" s="22"/>
      <c r="EI275" s="22"/>
      <c r="EJ275" s="22"/>
      <c r="EK275" s="22"/>
      <c r="EL275" s="22"/>
      <c r="EM275" s="22"/>
      <c r="EN275" s="22"/>
      <c r="EO275" s="22"/>
      <c r="EP275" s="22"/>
      <c r="EQ275" s="22"/>
      <c r="ER275" s="22"/>
      <c r="ES275" s="22"/>
      <c r="ET275" s="22"/>
      <c r="EU275" s="22"/>
      <c r="EV275" s="22"/>
      <c r="EW275" s="22"/>
      <c r="EX275" s="22"/>
      <c r="EY275" s="22"/>
      <c r="EZ275" s="22"/>
      <c r="FA275" s="22"/>
      <c r="FB275" s="22"/>
      <c r="FC275" s="22"/>
      <c r="FD275" s="22"/>
      <c r="FE275" s="22"/>
      <c r="FF275" s="22"/>
      <c r="FG275" s="22"/>
      <c r="FH275" s="22"/>
      <c r="FI275" s="22"/>
      <c r="FJ275" s="22"/>
      <c r="FK275" s="22"/>
      <c r="FL275" s="22"/>
      <c r="FM275" s="22"/>
      <c r="FN275" s="22"/>
      <c r="FO275" s="22"/>
      <c r="FP275" s="22"/>
      <c r="FQ275" s="22"/>
      <c r="FR275" s="22"/>
      <c r="FS275" s="22"/>
      <c r="FT275" s="22"/>
      <c r="FU275" s="22"/>
      <c r="FV275" s="22"/>
      <c r="FW275" s="22"/>
      <c r="FX275" s="22"/>
      <c r="FY275" s="22"/>
      <c r="FZ275" s="22"/>
    </row>
    <row r="276" spans="2:182" x14ac:dyDescent="0.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c r="Z276" s="22"/>
      <c r="AA276" s="22"/>
      <c r="AB276" s="22"/>
      <c r="AC276" s="22"/>
      <c r="AD276" s="22"/>
      <c r="AE276" s="22"/>
      <c r="AF276" s="22"/>
      <c r="AG276" s="22"/>
      <c r="AH276" s="22"/>
      <c r="AI276" s="22"/>
      <c r="AJ276" s="22"/>
      <c r="AK276" s="22"/>
      <c r="AL276" s="22"/>
      <c r="AM276" s="22"/>
      <c r="AN276" s="22"/>
      <c r="AO276" s="22"/>
      <c r="AP276" s="22"/>
      <c r="AQ276" s="22"/>
      <c r="AR276" s="22"/>
      <c r="AS276" s="22"/>
      <c r="AT276" s="22"/>
      <c r="AU276" s="22"/>
      <c r="AV276" s="22"/>
      <c r="AW276" s="22"/>
      <c r="AX276" s="22"/>
      <c r="AY276" s="22"/>
      <c r="AZ276" s="22"/>
      <c r="BA276" s="22"/>
      <c r="BB276" s="22"/>
      <c r="BC276" s="22"/>
      <c r="BD276" s="22"/>
      <c r="BE276" s="22"/>
      <c r="BF276" s="22"/>
      <c r="BG276" s="22"/>
      <c r="BH276" s="22"/>
      <c r="BI276" s="22"/>
      <c r="BJ276" s="22"/>
      <c r="BK276" s="22"/>
      <c r="BL276" s="22"/>
      <c r="BM276" s="22"/>
      <c r="BN276" s="22"/>
      <c r="BO276" s="22"/>
      <c r="BP276" s="22"/>
      <c r="BQ276" s="22"/>
      <c r="BR276" s="22"/>
      <c r="BS276" s="22"/>
      <c r="BT276" s="22"/>
      <c r="BU276" s="22"/>
      <c r="BV276" s="22"/>
      <c r="BW276" s="22"/>
      <c r="BX276" s="22"/>
      <c r="BY276" s="22"/>
      <c r="BZ276" s="22"/>
      <c r="CA276" s="22"/>
      <c r="CB276" s="22"/>
      <c r="CC276" s="22"/>
      <c r="CD276" s="22"/>
      <c r="CE276" s="22"/>
      <c r="CF276" s="22"/>
      <c r="CG276" s="22"/>
      <c r="CH276" s="22"/>
      <c r="CI276" s="22"/>
      <c r="CJ276" s="22"/>
      <c r="CK276" s="22"/>
      <c r="CL276" s="22"/>
      <c r="CM276" s="22"/>
      <c r="CN276" s="22"/>
      <c r="CO276" s="22"/>
      <c r="CP276" s="22"/>
      <c r="CQ276" s="22"/>
      <c r="CR276" s="22"/>
      <c r="CS276" s="22"/>
      <c r="CT276" s="22"/>
      <c r="CU276" s="22"/>
      <c r="CV276" s="22"/>
      <c r="CW276" s="22"/>
      <c r="CX276" s="22"/>
      <c r="CY276" s="22"/>
      <c r="CZ276" s="22"/>
      <c r="DA276" s="22"/>
      <c r="DB276" s="22"/>
      <c r="DC276" s="22"/>
      <c r="DD276" s="22"/>
      <c r="DE276" s="22"/>
      <c r="DF276" s="22"/>
      <c r="DG276" s="22"/>
      <c r="DH276" s="22"/>
      <c r="DI276" s="22"/>
      <c r="DJ276" s="22"/>
      <c r="DK276" s="22"/>
      <c r="DL276" s="22"/>
      <c r="DM276" s="22"/>
      <c r="DN276" s="22"/>
      <c r="DO276" s="22"/>
      <c r="DP276" s="22"/>
      <c r="DQ276" s="22"/>
      <c r="DR276" s="22"/>
      <c r="DS276" s="22"/>
      <c r="DT276" s="22"/>
      <c r="DU276" s="22"/>
      <c r="DV276" s="22"/>
      <c r="DW276" s="22"/>
      <c r="DX276" s="22"/>
      <c r="DY276" s="22"/>
      <c r="DZ276" s="22"/>
      <c r="EA276" s="22"/>
      <c r="EB276" s="22"/>
      <c r="EC276" s="22"/>
      <c r="ED276" s="22"/>
      <c r="EE276" s="22"/>
      <c r="EF276" s="22"/>
      <c r="EG276" s="22"/>
      <c r="EH276" s="22"/>
      <c r="EI276" s="22"/>
      <c r="EJ276" s="22"/>
      <c r="EK276" s="22"/>
      <c r="EL276" s="22"/>
      <c r="EM276" s="22"/>
      <c r="EN276" s="22"/>
      <c r="EO276" s="22"/>
      <c r="EP276" s="22"/>
      <c r="EQ276" s="22"/>
      <c r="ER276" s="22"/>
      <c r="ES276" s="22"/>
      <c r="ET276" s="22"/>
      <c r="EU276" s="22"/>
      <c r="EV276" s="22"/>
      <c r="EW276" s="22"/>
      <c r="EX276" s="22"/>
      <c r="EY276" s="22"/>
      <c r="EZ276" s="22"/>
      <c r="FA276" s="22"/>
      <c r="FB276" s="22"/>
      <c r="FC276" s="22"/>
      <c r="FD276" s="22"/>
      <c r="FE276" s="22"/>
      <c r="FF276" s="22"/>
      <c r="FG276" s="22"/>
      <c r="FH276" s="22"/>
      <c r="FI276" s="22"/>
      <c r="FJ276" s="22"/>
      <c r="FK276" s="22"/>
      <c r="FL276" s="22"/>
      <c r="FM276" s="22"/>
      <c r="FN276" s="22"/>
      <c r="FO276" s="22"/>
      <c r="FP276" s="22"/>
      <c r="FQ276" s="22"/>
      <c r="FR276" s="22"/>
      <c r="FS276" s="22"/>
      <c r="FT276" s="22"/>
      <c r="FU276" s="22"/>
      <c r="FV276" s="22"/>
      <c r="FW276" s="22"/>
      <c r="FX276" s="22"/>
      <c r="FY276" s="22"/>
      <c r="FZ276" s="22"/>
    </row>
    <row r="277" spans="2:182" x14ac:dyDescent="0.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c r="Z277" s="22"/>
      <c r="AA277" s="22"/>
      <c r="AB277" s="22"/>
      <c r="AC277" s="22"/>
      <c r="AD277" s="22"/>
      <c r="AE277" s="22"/>
      <c r="AF277" s="22"/>
      <c r="AG277" s="22"/>
      <c r="AH277" s="22"/>
      <c r="AI277" s="22"/>
      <c r="AJ277" s="22"/>
      <c r="AK277" s="22"/>
      <c r="AL277" s="22"/>
      <c r="AM277" s="22"/>
      <c r="AN277" s="22"/>
      <c r="AO277" s="22"/>
      <c r="AP277" s="22"/>
      <c r="AQ277" s="22"/>
      <c r="AR277" s="22"/>
      <c r="AS277" s="22"/>
      <c r="AT277" s="22"/>
      <c r="AU277" s="22"/>
      <c r="AV277" s="22"/>
      <c r="AW277" s="22"/>
      <c r="AX277" s="22"/>
      <c r="AY277" s="22"/>
      <c r="AZ277" s="22"/>
      <c r="BA277" s="22"/>
      <c r="BB277" s="22"/>
      <c r="BC277" s="22"/>
      <c r="BD277" s="22"/>
      <c r="BE277" s="22"/>
      <c r="BF277" s="22"/>
      <c r="BG277" s="22"/>
      <c r="BH277" s="22"/>
      <c r="BI277" s="22"/>
      <c r="BJ277" s="22"/>
      <c r="BK277" s="22"/>
      <c r="BL277" s="22"/>
      <c r="BM277" s="22"/>
      <c r="BN277" s="22"/>
      <c r="BO277" s="22"/>
      <c r="BP277" s="22"/>
      <c r="BQ277" s="22"/>
      <c r="BR277" s="22"/>
      <c r="BS277" s="22"/>
      <c r="BT277" s="22"/>
      <c r="BU277" s="22"/>
      <c r="BV277" s="22"/>
      <c r="BW277" s="22"/>
      <c r="BX277" s="22"/>
      <c r="BY277" s="22"/>
      <c r="BZ277" s="22"/>
      <c r="CA277" s="22"/>
      <c r="CB277" s="22"/>
      <c r="CC277" s="22"/>
      <c r="CD277" s="22"/>
      <c r="CE277" s="22"/>
      <c r="CF277" s="22"/>
      <c r="CG277" s="22"/>
      <c r="CH277" s="22"/>
      <c r="CI277" s="22"/>
      <c r="CJ277" s="22"/>
      <c r="CK277" s="22"/>
      <c r="CL277" s="22"/>
      <c r="CM277" s="22"/>
      <c r="CN277" s="22"/>
      <c r="CO277" s="22"/>
      <c r="CP277" s="22"/>
      <c r="CQ277" s="22"/>
      <c r="CR277" s="22"/>
      <c r="CS277" s="22"/>
      <c r="CT277" s="22"/>
      <c r="CU277" s="22"/>
      <c r="CV277" s="22"/>
      <c r="CW277" s="22"/>
      <c r="CX277" s="22"/>
      <c r="CY277" s="22"/>
      <c r="CZ277" s="22"/>
      <c r="DA277" s="22"/>
      <c r="DB277" s="22"/>
      <c r="DC277" s="22"/>
      <c r="DD277" s="22"/>
      <c r="DE277" s="22"/>
      <c r="DF277" s="22"/>
      <c r="DG277" s="22"/>
      <c r="DH277" s="22"/>
      <c r="DI277" s="22"/>
      <c r="DJ277" s="22"/>
      <c r="DK277" s="22"/>
      <c r="DL277" s="22"/>
      <c r="DM277" s="22"/>
      <c r="DN277" s="22"/>
      <c r="DO277" s="22"/>
      <c r="DP277" s="22"/>
      <c r="DQ277" s="22"/>
      <c r="DR277" s="22"/>
      <c r="DS277" s="22"/>
      <c r="DT277" s="22"/>
      <c r="DU277" s="22"/>
      <c r="DV277" s="22"/>
      <c r="DW277" s="22"/>
      <c r="DX277" s="22"/>
      <c r="DY277" s="22"/>
      <c r="DZ277" s="22"/>
      <c r="EA277" s="22"/>
      <c r="EB277" s="22"/>
      <c r="EC277" s="22"/>
      <c r="ED277" s="22"/>
      <c r="EE277" s="22"/>
      <c r="EF277" s="22"/>
      <c r="EG277" s="22"/>
      <c r="EH277" s="22"/>
      <c r="EI277" s="22"/>
      <c r="EJ277" s="22"/>
      <c r="EK277" s="22"/>
      <c r="EL277" s="22"/>
      <c r="EM277" s="22"/>
      <c r="EN277" s="22"/>
      <c r="EO277" s="22"/>
      <c r="EP277" s="22"/>
      <c r="EQ277" s="22"/>
      <c r="ER277" s="22"/>
      <c r="ES277" s="22"/>
      <c r="ET277" s="22"/>
      <c r="EU277" s="22"/>
      <c r="EV277" s="22"/>
      <c r="EW277" s="22"/>
      <c r="EX277" s="22"/>
      <c r="EY277" s="22"/>
      <c r="EZ277" s="22"/>
      <c r="FA277" s="22"/>
      <c r="FB277" s="22"/>
      <c r="FC277" s="22"/>
      <c r="FD277" s="22"/>
      <c r="FE277" s="22"/>
      <c r="FF277" s="22"/>
      <c r="FG277" s="22"/>
      <c r="FH277" s="22"/>
      <c r="FI277" s="22"/>
      <c r="FJ277" s="22"/>
      <c r="FK277" s="22"/>
      <c r="FL277" s="22"/>
      <c r="FM277" s="22"/>
      <c r="FN277" s="22"/>
      <c r="FO277" s="22"/>
      <c r="FP277" s="22"/>
      <c r="FQ277" s="22"/>
      <c r="FR277" s="22"/>
      <c r="FS277" s="22"/>
      <c r="FT277" s="22"/>
      <c r="FU277" s="22"/>
      <c r="FV277" s="22"/>
      <c r="FW277" s="22"/>
      <c r="FX277" s="22"/>
      <c r="FY277" s="22"/>
      <c r="FZ277" s="22"/>
    </row>
    <row r="278" spans="2:182" x14ac:dyDescent="0.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c r="Z278" s="22"/>
      <c r="AA278" s="22"/>
      <c r="AB278" s="22"/>
      <c r="AC278" s="22"/>
      <c r="AD278" s="22"/>
      <c r="AE278" s="22"/>
      <c r="AF278" s="22"/>
      <c r="AG278" s="22"/>
      <c r="AH278" s="22"/>
      <c r="AI278" s="22"/>
      <c r="AJ278" s="22"/>
      <c r="AK278" s="22"/>
      <c r="AL278" s="22"/>
      <c r="AM278" s="22"/>
      <c r="AN278" s="22"/>
      <c r="AO278" s="22"/>
      <c r="AP278" s="22"/>
      <c r="AQ278" s="22"/>
      <c r="AR278" s="22"/>
      <c r="AS278" s="22"/>
      <c r="AT278" s="22"/>
      <c r="AU278" s="22"/>
      <c r="AV278" s="22"/>
      <c r="AW278" s="22"/>
      <c r="AX278" s="22"/>
      <c r="AY278" s="22"/>
      <c r="AZ278" s="22"/>
      <c r="BA278" s="22"/>
      <c r="BB278" s="22"/>
      <c r="BC278" s="22"/>
      <c r="BD278" s="22"/>
      <c r="BE278" s="22"/>
      <c r="BF278" s="22"/>
      <c r="BG278" s="22"/>
      <c r="BH278" s="22"/>
      <c r="BI278" s="22"/>
      <c r="BJ278" s="22"/>
      <c r="BK278" s="22"/>
      <c r="BL278" s="22"/>
      <c r="BM278" s="22"/>
      <c r="BN278" s="22"/>
      <c r="BO278" s="22"/>
      <c r="BP278" s="22"/>
      <c r="BQ278" s="22"/>
      <c r="BR278" s="22"/>
      <c r="BS278" s="22"/>
      <c r="BT278" s="22"/>
      <c r="BU278" s="22"/>
      <c r="BV278" s="22"/>
      <c r="BW278" s="22"/>
      <c r="BX278" s="22"/>
      <c r="BY278" s="22"/>
      <c r="BZ278" s="22"/>
      <c r="CA278" s="22"/>
      <c r="CB278" s="22"/>
      <c r="CC278" s="22"/>
      <c r="CD278" s="22"/>
      <c r="CE278" s="22"/>
      <c r="CF278" s="22"/>
      <c r="CG278" s="22"/>
      <c r="CH278" s="22"/>
      <c r="CI278" s="22"/>
      <c r="CJ278" s="22"/>
      <c r="CK278" s="22"/>
      <c r="CL278" s="22"/>
      <c r="CM278" s="22"/>
      <c r="CN278" s="22"/>
      <c r="CO278" s="22"/>
      <c r="CP278" s="22"/>
      <c r="CQ278" s="22"/>
      <c r="CR278" s="22"/>
      <c r="CS278" s="22"/>
      <c r="CT278" s="22"/>
      <c r="CU278" s="22"/>
      <c r="CV278" s="22"/>
      <c r="CW278" s="22"/>
      <c r="CX278" s="22"/>
      <c r="CY278" s="22"/>
      <c r="CZ278" s="22"/>
      <c r="DA278" s="22"/>
      <c r="DB278" s="22"/>
      <c r="DC278" s="22"/>
      <c r="DD278" s="22"/>
      <c r="DE278" s="22"/>
      <c r="DF278" s="22"/>
      <c r="DG278" s="22"/>
      <c r="DH278" s="22"/>
      <c r="DI278" s="22"/>
      <c r="DJ278" s="22"/>
      <c r="DK278" s="22"/>
      <c r="DL278" s="22"/>
      <c r="DM278" s="22"/>
      <c r="DN278" s="22"/>
      <c r="DO278" s="22"/>
      <c r="DP278" s="22"/>
      <c r="DQ278" s="22"/>
      <c r="DR278" s="22"/>
      <c r="DS278" s="22"/>
      <c r="DT278" s="22"/>
      <c r="DU278" s="22"/>
      <c r="DV278" s="22"/>
      <c r="DW278" s="22"/>
      <c r="DX278" s="22"/>
      <c r="DY278" s="22"/>
      <c r="DZ278" s="22"/>
      <c r="EA278" s="22"/>
      <c r="EB278" s="22"/>
      <c r="EC278" s="22"/>
      <c r="ED278" s="22"/>
      <c r="EE278" s="22"/>
      <c r="EF278" s="22"/>
      <c r="EG278" s="22"/>
      <c r="EH278" s="22"/>
      <c r="EI278" s="22"/>
      <c r="EJ278" s="22"/>
      <c r="EK278" s="22"/>
      <c r="EL278" s="22"/>
      <c r="EM278" s="22"/>
      <c r="EN278" s="22"/>
      <c r="EO278" s="22"/>
      <c r="EP278" s="22"/>
      <c r="EQ278" s="22"/>
      <c r="ER278" s="22"/>
      <c r="ES278" s="22"/>
      <c r="ET278" s="22"/>
      <c r="EU278" s="22"/>
      <c r="EV278" s="22"/>
      <c r="EW278" s="22"/>
      <c r="EX278" s="22"/>
      <c r="EY278" s="22"/>
      <c r="EZ278" s="22"/>
      <c r="FA278" s="22"/>
      <c r="FB278" s="22"/>
      <c r="FC278" s="22"/>
      <c r="FD278" s="22"/>
      <c r="FE278" s="22"/>
      <c r="FF278" s="22"/>
      <c r="FG278" s="22"/>
      <c r="FH278" s="22"/>
      <c r="FI278" s="22"/>
      <c r="FJ278" s="22"/>
      <c r="FK278" s="22"/>
      <c r="FL278" s="22"/>
      <c r="FM278" s="22"/>
      <c r="FN278" s="22"/>
      <c r="FO278" s="22"/>
      <c r="FP278" s="22"/>
      <c r="FQ278" s="22"/>
      <c r="FR278" s="22"/>
      <c r="FS278" s="22"/>
      <c r="FT278" s="22"/>
      <c r="FU278" s="22"/>
      <c r="FV278" s="22"/>
      <c r="FW278" s="22"/>
      <c r="FX278" s="22"/>
      <c r="FY278" s="22"/>
      <c r="FZ278" s="22"/>
    </row>
    <row r="279" spans="2:182" x14ac:dyDescent="0.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c r="Z279" s="22"/>
      <c r="AA279" s="22"/>
      <c r="AB279" s="22"/>
      <c r="AC279" s="22"/>
      <c r="AD279" s="22"/>
      <c r="AE279" s="22"/>
      <c r="AF279" s="22"/>
      <c r="AG279" s="22"/>
      <c r="AH279" s="22"/>
      <c r="AI279" s="22"/>
      <c r="AJ279" s="22"/>
      <c r="AK279" s="22"/>
      <c r="AL279" s="22"/>
      <c r="AM279" s="22"/>
      <c r="AN279" s="22"/>
      <c r="AO279" s="22"/>
      <c r="AP279" s="22"/>
      <c r="AQ279" s="22"/>
      <c r="AR279" s="22"/>
      <c r="AS279" s="22"/>
      <c r="AT279" s="22"/>
      <c r="AU279" s="22"/>
      <c r="AV279" s="22"/>
      <c r="AW279" s="22"/>
      <c r="AX279" s="22"/>
      <c r="AY279" s="22"/>
      <c r="AZ279" s="22"/>
      <c r="BA279" s="22"/>
      <c r="BB279" s="22"/>
      <c r="BC279" s="22"/>
      <c r="BD279" s="22"/>
      <c r="BE279" s="22"/>
      <c r="BF279" s="22"/>
      <c r="BG279" s="22"/>
      <c r="BH279" s="22"/>
      <c r="BI279" s="22"/>
      <c r="BJ279" s="22"/>
      <c r="BK279" s="22"/>
      <c r="BL279" s="22"/>
      <c r="BM279" s="22"/>
      <c r="BN279" s="22"/>
      <c r="BO279" s="22"/>
      <c r="BP279" s="22"/>
      <c r="BQ279" s="22"/>
      <c r="BR279" s="22"/>
      <c r="BS279" s="22"/>
      <c r="BT279" s="22"/>
      <c r="BU279" s="22"/>
      <c r="BV279" s="22"/>
      <c r="BW279" s="22"/>
      <c r="BX279" s="22"/>
      <c r="BY279" s="22"/>
      <c r="BZ279" s="22"/>
      <c r="CA279" s="22"/>
      <c r="CB279" s="22"/>
      <c r="CC279" s="22"/>
      <c r="CD279" s="22"/>
      <c r="CE279" s="22"/>
      <c r="CF279" s="22"/>
      <c r="CG279" s="22"/>
      <c r="CH279" s="22"/>
      <c r="CI279" s="22"/>
      <c r="CJ279" s="22"/>
      <c r="CK279" s="22"/>
      <c r="CL279" s="22"/>
      <c r="CM279" s="22"/>
      <c r="CN279" s="22"/>
      <c r="CO279" s="22"/>
      <c r="CP279" s="22"/>
      <c r="CQ279" s="22"/>
      <c r="CR279" s="22"/>
      <c r="CS279" s="22"/>
      <c r="CT279" s="22"/>
      <c r="CU279" s="22"/>
      <c r="CV279" s="22"/>
      <c r="CW279" s="22"/>
      <c r="CX279" s="22"/>
      <c r="CY279" s="22"/>
      <c r="CZ279" s="22"/>
      <c r="DA279" s="22"/>
      <c r="DB279" s="22"/>
      <c r="DC279" s="22"/>
      <c r="DD279" s="22"/>
      <c r="DE279" s="22"/>
      <c r="DF279" s="22"/>
      <c r="DG279" s="22"/>
      <c r="DH279" s="22"/>
      <c r="DI279" s="22"/>
      <c r="DJ279" s="22"/>
      <c r="DK279" s="22"/>
      <c r="DL279" s="22"/>
      <c r="DM279" s="22"/>
      <c r="DN279" s="22"/>
      <c r="DO279" s="22"/>
      <c r="DP279" s="22"/>
      <c r="DQ279" s="22"/>
      <c r="DR279" s="22"/>
      <c r="DS279" s="22"/>
      <c r="DT279" s="22"/>
      <c r="DU279" s="22"/>
      <c r="DV279" s="22"/>
      <c r="DW279" s="22"/>
      <c r="DX279" s="22"/>
      <c r="DY279" s="22"/>
      <c r="DZ279" s="22"/>
      <c r="EA279" s="22"/>
      <c r="EB279" s="22"/>
      <c r="EC279" s="22"/>
      <c r="ED279" s="22"/>
      <c r="EE279" s="22"/>
      <c r="EF279" s="22"/>
      <c r="EG279" s="22"/>
      <c r="EH279" s="22"/>
      <c r="EI279" s="22"/>
      <c r="EJ279" s="22"/>
      <c r="EK279" s="22"/>
      <c r="EL279" s="22"/>
      <c r="EM279" s="22"/>
      <c r="EN279" s="22"/>
      <c r="EO279" s="22"/>
      <c r="EP279" s="22"/>
      <c r="EQ279" s="22"/>
      <c r="ER279" s="22"/>
      <c r="ES279" s="22"/>
      <c r="ET279" s="22"/>
      <c r="EU279" s="22"/>
      <c r="EV279" s="22"/>
      <c r="EW279" s="22"/>
      <c r="EX279" s="22"/>
      <c r="EY279" s="22"/>
      <c r="EZ279" s="22"/>
      <c r="FA279" s="22"/>
      <c r="FB279" s="22"/>
      <c r="FC279" s="22"/>
      <c r="FD279" s="22"/>
      <c r="FE279" s="22"/>
      <c r="FF279" s="22"/>
      <c r="FG279" s="22"/>
      <c r="FH279" s="22"/>
      <c r="FI279" s="22"/>
      <c r="FJ279" s="22"/>
      <c r="FK279" s="22"/>
      <c r="FL279" s="22"/>
      <c r="FM279" s="22"/>
      <c r="FN279" s="22"/>
      <c r="FO279" s="22"/>
      <c r="FP279" s="22"/>
      <c r="FQ279" s="22"/>
      <c r="FR279" s="22"/>
      <c r="FS279" s="22"/>
      <c r="FT279" s="22"/>
      <c r="FU279" s="22"/>
      <c r="FV279" s="22"/>
      <c r="FW279" s="22"/>
      <c r="FX279" s="22"/>
      <c r="FY279" s="22"/>
      <c r="FZ279" s="22"/>
    </row>
    <row r="280" spans="2:182" x14ac:dyDescent="0.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c r="Z280" s="22"/>
      <c r="AA280" s="22"/>
      <c r="AB280" s="22"/>
      <c r="AC280" s="22"/>
      <c r="AD280" s="22"/>
      <c r="AE280" s="22"/>
      <c r="AF280" s="22"/>
      <c r="AG280" s="22"/>
      <c r="AH280" s="22"/>
      <c r="AI280" s="22"/>
      <c r="AJ280" s="22"/>
      <c r="AK280" s="22"/>
      <c r="AL280" s="22"/>
      <c r="AM280" s="22"/>
      <c r="AN280" s="22"/>
      <c r="AO280" s="22"/>
      <c r="AP280" s="22"/>
      <c r="AQ280" s="22"/>
      <c r="AR280" s="22"/>
      <c r="AS280" s="22"/>
      <c r="AT280" s="22"/>
      <c r="AU280" s="22"/>
      <c r="AV280" s="22"/>
      <c r="AW280" s="22"/>
      <c r="AX280" s="22"/>
      <c r="AY280" s="22"/>
      <c r="AZ280" s="22"/>
      <c r="BA280" s="22"/>
      <c r="BB280" s="22"/>
      <c r="BC280" s="22"/>
      <c r="BD280" s="22"/>
      <c r="BE280" s="22"/>
      <c r="BF280" s="22"/>
      <c r="BG280" s="22"/>
      <c r="BH280" s="22"/>
      <c r="BI280" s="22"/>
      <c r="BJ280" s="22"/>
      <c r="BK280" s="22"/>
      <c r="BL280" s="22"/>
      <c r="BM280" s="22"/>
      <c r="BN280" s="22"/>
      <c r="BO280" s="22"/>
      <c r="BP280" s="22"/>
      <c r="BQ280" s="22"/>
      <c r="BR280" s="22"/>
      <c r="BS280" s="22"/>
      <c r="BT280" s="22"/>
      <c r="BU280" s="22"/>
      <c r="BV280" s="22"/>
      <c r="BW280" s="22"/>
      <c r="BX280" s="22"/>
      <c r="BY280" s="22"/>
      <c r="BZ280" s="22"/>
      <c r="CA280" s="22"/>
      <c r="CB280" s="22"/>
      <c r="CC280" s="22"/>
      <c r="CD280" s="22"/>
      <c r="CE280" s="22"/>
      <c r="CF280" s="22"/>
      <c r="CG280" s="22"/>
      <c r="CH280" s="22"/>
      <c r="CI280" s="22"/>
      <c r="CJ280" s="22"/>
      <c r="CK280" s="22"/>
      <c r="CL280" s="22"/>
      <c r="CM280" s="22"/>
      <c r="CN280" s="22"/>
      <c r="CO280" s="22"/>
      <c r="CP280" s="22"/>
      <c r="CQ280" s="22"/>
      <c r="CR280" s="22"/>
      <c r="CS280" s="22"/>
      <c r="CT280" s="22"/>
      <c r="CU280" s="22"/>
      <c r="CV280" s="22"/>
      <c r="CW280" s="22"/>
      <c r="CX280" s="22"/>
      <c r="CY280" s="22"/>
      <c r="CZ280" s="22"/>
      <c r="DA280" s="22"/>
      <c r="DB280" s="22"/>
      <c r="DC280" s="22"/>
      <c r="DD280" s="22"/>
      <c r="DE280" s="22"/>
      <c r="DF280" s="22"/>
      <c r="DG280" s="22"/>
      <c r="DH280" s="22"/>
      <c r="DI280" s="22"/>
      <c r="DJ280" s="22"/>
      <c r="DK280" s="22"/>
      <c r="DL280" s="22"/>
      <c r="DM280" s="22"/>
      <c r="DN280" s="22"/>
      <c r="DO280" s="22"/>
      <c r="DP280" s="22"/>
      <c r="DQ280" s="22"/>
      <c r="DR280" s="22"/>
      <c r="DS280" s="22"/>
      <c r="DT280" s="22"/>
      <c r="DU280" s="22"/>
      <c r="DV280" s="22"/>
      <c r="DW280" s="22"/>
      <c r="DX280" s="22"/>
      <c r="DY280" s="22"/>
      <c r="DZ280" s="22"/>
      <c r="EA280" s="22"/>
      <c r="EB280" s="22"/>
      <c r="EC280" s="22"/>
      <c r="ED280" s="22"/>
      <c r="EE280" s="22"/>
      <c r="EF280" s="22"/>
      <c r="EG280" s="22"/>
      <c r="EH280" s="22"/>
      <c r="EI280" s="22"/>
      <c r="EJ280" s="22"/>
      <c r="EK280" s="22"/>
      <c r="EL280" s="22"/>
      <c r="EM280" s="22"/>
      <c r="EN280" s="22"/>
      <c r="EO280" s="22"/>
      <c r="EP280" s="22"/>
      <c r="EQ280" s="22"/>
      <c r="ER280" s="22"/>
      <c r="ES280" s="22"/>
      <c r="ET280" s="22"/>
      <c r="EU280" s="22"/>
      <c r="EV280" s="22"/>
      <c r="EW280" s="22"/>
      <c r="EX280" s="22"/>
      <c r="EY280" s="22"/>
      <c r="EZ280" s="22"/>
      <c r="FA280" s="22"/>
      <c r="FB280" s="22"/>
      <c r="FC280" s="22"/>
      <c r="FD280" s="22"/>
      <c r="FE280" s="22"/>
      <c r="FF280" s="22"/>
      <c r="FG280" s="22"/>
      <c r="FH280" s="22"/>
      <c r="FI280" s="22"/>
      <c r="FJ280" s="22"/>
      <c r="FK280" s="22"/>
      <c r="FL280" s="22"/>
      <c r="FM280" s="22"/>
      <c r="FN280" s="22"/>
      <c r="FO280" s="22"/>
      <c r="FP280" s="22"/>
      <c r="FQ280" s="22"/>
      <c r="FR280" s="22"/>
      <c r="FS280" s="22"/>
      <c r="FT280" s="22"/>
      <c r="FU280" s="22"/>
      <c r="FV280" s="22"/>
      <c r="FW280" s="22"/>
      <c r="FX280" s="22"/>
      <c r="FY280" s="22"/>
      <c r="FZ280" s="22"/>
    </row>
    <row r="281" spans="2:182" x14ac:dyDescent="0.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c r="Z281" s="22"/>
      <c r="AA281" s="22"/>
      <c r="AB281" s="22"/>
      <c r="AC281" s="22"/>
      <c r="AD281" s="22"/>
      <c r="AE281" s="22"/>
      <c r="AF281" s="22"/>
      <c r="AG281" s="22"/>
      <c r="AH281" s="22"/>
      <c r="AI281" s="22"/>
      <c r="AJ281" s="22"/>
      <c r="AK281" s="22"/>
      <c r="AL281" s="22"/>
      <c r="AM281" s="22"/>
      <c r="AN281" s="22"/>
      <c r="AO281" s="22"/>
      <c r="AP281" s="22"/>
      <c r="AQ281" s="22"/>
      <c r="AR281" s="22"/>
      <c r="AS281" s="22"/>
      <c r="AT281" s="22"/>
      <c r="AU281" s="22"/>
      <c r="AV281" s="22"/>
      <c r="AW281" s="22"/>
      <c r="AX281" s="22"/>
      <c r="AY281" s="22"/>
      <c r="AZ281" s="22"/>
      <c r="BA281" s="22"/>
      <c r="BB281" s="22"/>
      <c r="BC281" s="22"/>
      <c r="BD281" s="22"/>
      <c r="BE281" s="22"/>
      <c r="BF281" s="22"/>
      <c r="BG281" s="22"/>
      <c r="BH281" s="22"/>
      <c r="BI281" s="22"/>
      <c r="BJ281" s="22"/>
      <c r="BK281" s="22"/>
      <c r="BL281" s="22"/>
      <c r="BM281" s="22"/>
      <c r="BN281" s="22"/>
      <c r="BO281" s="22"/>
      <c r="BP281" s="22"/>
      <c r="BQ281" s="22"/>
      <c r="BR281" s="22"/>
      <c r="BS281" s="22"/>
      <c r="BT281" s="22"/>
      <c r="BU281" s="22"/>
      <c r="BV281" s="22"/>
      <c r="BW281" s="22"/>
      <c r="BX281" s="22"/>
      <c r="BY281" s="22"/>
      <c r="BZ281" s="22"/>
      <c r="CA281" s="22"/>
      <c r="CB281" s="22"/>
      <c r="CC281" s="22"/>
      <c r="CD281" s="22"/>
      <c r="CE281" s="22"/>
      <c r="CF281" s="22"/>
      <c r="CG281" s="22"/>
      <c r="CH281" s="22"/>
      <c r="CI281" s="22"/>
      <c r="CJ281" s="22"/>
      <c r="CK281" s="22"/>
      <c r="CL281" s="22"/>
      <c r="CM281" s="22"/>
      <c r="CN281" s="22"/>
      <c r="CO281" s="22"/>
      <c r="CP281" s="22"/>
      <c r="CQ281" s="22"/>
      <c r="CR281" s="22"/>
      <c r="CS281" s="22"/>
      <c r="CT281" s="22"/>
      <c r="CU281" s="22"/>
      <c r="CV281" s="22"/>
      <c r="CW281" s="22"/>
      <c r="CX281" s="22"/>
      <c r="CY281" s="22"/>
      <c r="CZ281" s="22"/>
      <c r="DA281" s="22"/>
      <c r="DB281" s="22"/>
      <c r="DC281" s="22"/>
      <c r="DD281" s="22"/>
      <c r="DE281" s="22"/>
      <c r="DF281" s="22"/>
      <c r="DG281" s="22"/>
      <c r="DH281" s="22"/>
      <c r="DI281" s="22"/>
      <c r="DJ281" s="22"/>
      <c r="DK281" s="22"/>
      <c r="DL281" s="22"/>
      <c r="DM281" s="22"/>
      <c r="DN281" s="22"/>
      <c r="DO281" s="22"/>
      <c r="DP281" s="22"/>
      <c r="DQ281" s="22"/>
      <c r="DR281" s="22"/>
      <c r="DS281" s="22"/>
      <c r="DT281" s="22"/>
      <c r="DU281" s="22"/>
      <c r="DV281" s="22"/>
      <c r="DW281" s="22"/>
      <c r="DX281" s="22"/>
      <c r="DY281" s="22"/>
      <c r="DZ281" s="22"/>
      <c r="EA281" s="22"/>
      <c r="EB281" s="22"/>
      <c r="EC281" s="22"/>
      <c r="ED281" s="22"/>
      <c r="EE281" s="22"/>
      <c r="EF281" s="22"/>
      <c r="EG281" s="22"/>
      <c r="EH281" s="22"/>
      <c r="EI281" s="22"/>
      <c r="EJ281" s="22"/>
      <c r="EK281" s="22"/>
      <c r="EL281" s="22"/>
      <c r="EM281" s="22"/>
      <c r="EN281" s="22"/>
      <c r="EO281" s="22"/>
      <c r="EP281" s="22"/>
      <c r="EQ281" s="22"/>
      <c r="ER281" s="22"/>
      <c r="ES281" s="22"/>
      <c r="ET281" s="22"/>
      <c r="EU281" s="22"/>
      <c r="EV281" s="22"/>
      <c r="EW281" s="22"/>
      <c r="EX281" s="22"/>
      <c r="EY281" s="22"/>
      <c r="EZ281" s="22"/>
      <c r="FA281" s="22"/>
      <c r="FB281" s="22"/>
      <c r="FC281" s="22"/>
      <c r="FD281" s="22"/>
      <c r="FE281" s="22"/>
      <c r="FF281" s="22"/>
      <c r="FG281" s="22"/>
      <c r="FH281" s="22"/>
      <c r="FI281" s="22"/>
      <c r="FJ281" s="22"/>
      <c r="FK281" s="22"/>
      <c r="FL281" s="22"/>
      <c r="FM281" s="22"/>
      <c r="FN281" s="22"/>
      <c r="FO281" s="22"/>
      <c r="FP281" s="22"/>
      <c r="FQ281" s="22"/>
      <c r="FR281" s="22"/>
      <c r="FS281" s="22"/>
      <c r="FT281" s="22"/>
      <c r="FU281" s="22"/>
      <c r="FV281" s="22"/>
      <c r="FW281" s="22"/>
      <c r="FX281" s="22"/>
      <c r="FY281" s="22"/>
      <c r="FZ281" s="22"/>
    </row>
    <row r="282" spans="2:182" x14ac:dyDescent="0.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c r="Z282" s="22"/>
      <c r="AA282" s="22"/>
      <c r="AB282" s="22"/>
      <c r="AC282" s="22"/>
      <c r="AD282" s="22"/>
      <c r="AE282" s="22"/>
      <c r="AF282" s="22"/>
      <c r="AG282" s="22"/>
      <c r="AH282" s="22"/>
      <c r="AI282" s="22"/>
      <c r="AJ282" s="22"/>
      <c r="AK282" s="22"/>
      <c r="AL282" s="22"/>
      <c r="AM282" s="22"/>
      <c r="AN282" s="22"/>
      <c r="AO282" s="22"/>
      <c r="AP282" s="22"/>
      <c r="AQ282" s="22"/>
      <c r="AR282" s="22"/>
      <c r="AS282" s="22"/>
      <c r="AT282" s="22"/>
      <c r="AU282" s="22"/>
      <c r="AV282" s="22"/>
      <c r="AW282" s="22"/>
      <c r="AX282" s="22"/>
      <c r="AY282" s="22"/>
      <c r="AZ282" s="22"/>
      <c r="BA282" s="22"/>
      <c r="BB282" s="22"/>
      <c r="BC282" s="22"/>
      <c r="BD282" s="22"/>
      <c r="BE282" s="22"/>
      <c r="BF282" s="22"/>
      <c r="BG282" s="22"/>
      <c r="BH282" s="22"/>
      <c r="BI282" s="22"/>
      <c r="BJ282" s="22"/>
      <c r="BK282" s="22"/>
      <c r="BL282" s="22"/>
      <c r="BM282" s="22"/>
      <c r="BN282" s="22"/>
      <c r="BO282" s="22"/>
      <c r="BP282" s="22"/>
      <c r="BQ282" s="22"/>
      <c r="BR282" s="22"/>
      <c r="BS282" s="22"/>
      <c r="BT282" s="22"/>
      <c r="BU282" s="22"/>
      <c r="BV282" s="22"/>
      <c r="BW282" s="22"/>
      <c r="BX282" s="22"/>
      <c r="BY282" s="22"/>
      <c r="BZ282" s="22"/>
      <c r="CA282" s="22"/>
      <c r="CB282" s="22"/>
      <c r="CC282" s="22"/>
      <c r="CD282" s="22"/>
      <c r="CE282" s="22"/>
      <c r="CF282" s="22"/>
      <c r="CG282" s="22"/>
      <c r="CH282" s="22"/>
      <c r="CI282" s="22"/>
      <c r="CJ282" s="22"/>
      <c r="CK282" s="22"/>
      <c r="CL282" s="22"/>
      <c r="CM282" s="22"/>
      <c r="CN282" s="22"/>
      <c r="CO282" s="22"/>
      <c r="CP282" s="22"/>
      <c r="CQ282" s="22"/>
      <c r="CR282" s="22"/>
      <c r="CS282" s="22"/>
      <c r="CT282" s="22"/>
      <c r="CU282" s="22"/>
      <c r="CV282" s="22"/>
      <c r="CW282" s="22"/>
      <c r="CX282" s="22"/>
      <c r="CY282" s="22"/>
      <c r="CZ282" s="22"/>
      <c r="DA282" s="22"/>
      <c r="DB282" s="22"/>
      <c r="DC282" s="22"/>
      <c r="DD282" s="22"/>
      <c r="DE282" s="22"/>
      <c r="DF282" s="22"/>
      <c r="DG282" s="22"/>
      <c r="DH282" s="22"/>
      <c r="DI282" s="22"/>
      <c r="DJ282" s="22"/>
      <c r="DK282" s="22"/>
      <c r="DL282" s="22"/>
      <c r="DM282" s="22"/>
      <c r="DN282" s="22"/>
      <c r="DO282" s="22"/>
      <c r="DP282" s="22"/>
      <c r="DQ282" s="22"/>
      <c r="DR282" s="22"/>
      <c r="DS282" s="22"/>
      <c r="DT282" s="22"/>
      <c r="DU282" s="22"/>
      <c r="DV282" s="22"/>
      <c r="DW282" s="22"/>
      <c r="DX282" s="22"/>
      <c r="DY282" s="22"/>
      <c r="DZ282" s="22"/>
      <c r="EA282" s="22"/>
      <c r="EB282" s="22"/>
      <c r="EC282" s="22"/>
      <c r="ED282" s="22"/>
      <c r="EE282" s="22"/>
      <c r="EF282" s="22"/>
      <c r="EG282" s="22"/>
      <c r="EH282" s="22"/>
      <c r="EI282" s="22"/>
      <c r="EJ282" s="22"/>
      <c r="EK282" s="22"/>
      <c r="EL282" s="22"/>
      <c r="EM282" s="22"/>
      <c r="EN282" s="22"/>
      <c r="EO282" s="22"/>
      <c r="EP282" s="22"/>
      <c r="EQ282" s="22"/>
      <c r="ER282" s="22"/>
      <c r="ES282" s="22"/>
      <c r="ET282" s="22"/>
      <c r="EU282" s="22"/>
      <c r="EV282" s="22"/>
      <c r="EW282" s="22"/>
      <c r="EX282" s="22"/>
      <c r="EY282" s="22"/>
      <c r="EZ282" s="22"/>
      <c r="FA282" s="22"/>
      <c r="FB282" s="22"/>
      <c r="FC282" s="22"/>
      <c r="FD282" s="22"/>
      <c r="FE282" s="22"/>
      <c r="FF282" s="22"/>
      <c r="FG282" s="22"/>
      <c r="FH282" s="22"/>
      <c r="FI282" s="22"/>
      <c r="FJ282" s="22"/>
      <c r="FK282" s="22"/>
      <c r="FL282" s="22"/>
      <c r="FM282" s="22"/>
      <c r="FN282" s="22"/>
      <c r="FO282" s="22"/>
      <c r="FP282" s="22"/>
      <c r="FQ282" s="22"/>
      <c r="FR282" s="22"/>
      <c r="FS282" s="22"/>
      <c r="FT282" s="22"/>
      <c r="FU282" s="22"/>
      <c r="FV282" s="22"/>
      <c r="FW282" s="22"/>
      <c r="FX282" s="22"/>
      <c r="FY282" s="22"/>
      <c r="FZ282" s="22"/>
    </row>
    <row r="283" spans="2:182" x14ac:dyDescent="0.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c r="Z283" s="22"/>
      <c r="AA283" s="22"/>
      <c r="AB283" s="22"/>
      <c r="AC283" s="22"/>
      <c r="AD283" s="22"/>
      <c r="AE283" s="22"/>
      <c r="AF283" s="22"/>
      <c r="AG283" s="22"/>
      <c r="AH283" s="22"/>
      <c r="AI283" s="22"/>
      <c r="AJ283" s="22"/>
      <c r="AK283" s="22"/>
      <c r="AL283" s="22"/>
      <c r="AM283" s="22"/>
      <c r="AN283" s="22"/>
      <c r="AO283" s="22"/>
      <c r="AP283" s="22"/>
      <c r="AQ283" s="22"/>
      <c r="AR283" s="22"/>
      <c r="AS283" s="22"/>
      <c r="AT283" s="22"/>
      <c r="AU283" s="22"/>
      <c r="AV283" s="22"/>
      <c r="AW283" s="22"/>
      <c r="AX283" s="22"/>
      <c r="AY283" s="22"/>
      <c r="AZ283" s="22"/>
      <c r="BA283" s="22"/>
      <c r="BB283" s="22"/>
      <c r="BC283" s="22"/>
      <c r="BD283" s="22"/>
      <c r="BE283" s="22"/>
      <c r="BF283" s="22"/>
      <c r="BG283" s="22"/>
      <c r="BH283" s="22"/>
      <c r="BI283" s="22"/>
      <c r="BJ283" s="22"/>
      <c r="BK283" s="22"/>
      <c r="BL283" s="22"/>
      <c r="BM283" s="22"/>
      <c r="BN283" s="22"/>
      <c r="BO283" s="22"/>
      <c r="BP283" s="22"/>
      <c r="BQ283" s="22"/>
      <c r="BR283" s="22"/>
      <c r="BS283" s="22"/>
      <c r="BT283" s="22"/>
      <c r="BU283" s="22"/>
      <c r="BV283" s="22"/>
      <c r="BW283" s="22"/>
      <c r="BX283" s="22"/>
      <c r="BY283" s="22"/>
      <c r="BZ283" s="22"/>
      <c r="CA283" s="22"/>
      <c r="CB283" s="22"/>
      <c r="CC283" s="22"/>
      <c r="CD283" s="22"/>
      <c r="CE283" s="22"/>
      <c r="CF283" s="22"/>
      <c r="CG283" s="22"/>
      <c r="CH283" s="22"/>
      <c r="CI283" s="22"/>
      <c r="CJ283" s="22"/>
      <c r="CK283" s="22"/>
      <c r="CL283" s="22"/>
      <c r="CM283" s="22"/>
      <c r="CN283" s="22"/>
      <c r="CO283" s="22"/>
      <c r="CP283" s="22"/>
      <c r="CQ283" s="22"/>
      <c r="CR283" s="22"/>
      <c r="CS283" s="22"/>
      <c r="CT283" s="22"/>
      <c r="CU283" s="22"/>
      <c r="CV283" s="22"/>
      <c r="CW283" s="22"/>
      <c r="CX283" s="22"/>
      <c r="CY283" s="22"/>
      <c r="CZ283" s="22"/>
      <c r="DA283" s="22"/>
      <c r="DB283" s="22"/>
      <c r="DC283" s="22"/>
      <c r="DD283" s="22"/>
      <c r="DE283" s="22"/>
      <c r="DF283" s="22"/>
      <c r="DG283" s="22"/>
      <c r="DH283" s="22"/>
      <c r="DI283" s="22"/>
      <c r="DJ283" s="22"/>
      <c r="DK283" s="22"/>
      <c r="DL283" s="22"/>
      <c r="DM283" s="22"/>
      <c r="DN283" s="22"/>
      <c r="DO283" s="22"/>
      <c r="DP283" s="22"/>
      <c r="DQ283" s="22"/>
      <c r="DR283" s="22"/>
      <c r="DS283" s="22"/>
      <c r="DT283" s="22"/>
      <c r="DU283" s="22"/>
      <c r="DV283" s="22"/>
      <c r="DW283" s="22"/>
      <c r="DX283" s="22"/>
      <c r="DY283" s="22"/>
      <c r="DZ283" s="22"/>
      <c r="EA283" s="22"/>
      <c r="EB283" s="22"/>
      <c r="EC283" s="22"/>
      <c r="ED283" s="22"/>
      <c r="EE283" s="22"/>
      <c r="EF283" s="22"/>
      <c r="EG283" s="22"/>
      <c r="EH283" s="22"/>
      <c r="EI283" s="22"/>
      <c r="EJ283" s="22"/>
      <c r="EK283" s="22"/>
      <c r="EL283" s="22"/>
      <c r="EM283" s="22"/>
      <c r="EN283" s="22"/>
      <c r="EO283" s="22"/>
      <c r="EP283" s="22"/>
      <c r="EQ283" s="22"/>
      <c r="ER283" s="22"/>
      <c r="ES283" s="22"/>
      <c r="ET283" s="22"/>
      <c r="EU283" s="22"/>
      <c r="EV283" s="22"/>
      <c r="EW283" s="22"/>
      <c r="EX283" s="22"/>
      <c r="EY283" s="22"/>
      <c r="EZ283" s="22"/>
      <c r="FA283" s="22"/>
      <c r="FB283" s="22"/>
      <c r="FC283" s="22"/>
      <c r="FD283" s="22"/>
      <c r="FE283" s="22"/>
      <c r="FF283" s="22"/>
      <c r="FG283" s="22"/>
      <c r="FH283" s="22"/>
      <c r="FI283" s="22"/>
      <c r="FJ283" s="22"/>
      <c r="FK283" s="22"/>
      <c r="FL283" s="22"/>
      <c r="FM283" s="22"/>
      <c r="FN283" s="22"/>
      <c r="FO283" s="22"/>
      <c r="FP283" s="22"/>
      <c r="FQ283" s="22"/>
      <c r="FR283" s="22"/>
      <c r="FS283" s="22"/>
      <c r="FT283" s="22"/>
      <c r="FU283" s="22"/>
      <c r="FV283" s="22"/>
      <c r="FW283" s="22"/>
      <c r="FX283" s="22"/>
      <c r="FY283" s="22"/>
      <c r="FZ283" s="22"/>
    </row>
    <row r="284" spans="2:182" x14ac:dyDescent="0.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c r="Z284" s="22"/>
      <c r="AA284" s="22"/>
      <c r="AB284" s="22"/>
      <c r="AC284" s="22"/>
      <c r="AD284" s="22"/>
      <c r="AE284" s="22"/>
      <c r="AF284" s="22"/>
      <c r="AG284" s="22"/>
      <c r="AH284" s="22"/>
      <c r="AI284" s="22"/>
      <c r="AJ284" s="22"/>
      <c r="AK284" s="22"/>
      <c r="AL284" s="22"/>
      <c r="AM284" s="22"/>
      <c r="AN284" s="22"/>
      <c r="AO284" s="22"/>
      <c r="AP284" s="22"/>
      <c r="AQ284" s="22"/>
      <c r="AR284" s="22"/>
      <c r="AS284" s="22"/>
      <c r="AT284" s="22"/>
      <c r="AU284" s="22"/>
      <c r="AV284" s="22"/>
      <c r="AW284" s="22"/>
      <c r="AX284" s="22"/>
      <c r="AY284" s="22"/>
      <c r="AZ284" s="22"/>
      <c r="BA284" s="22"/>
      <c r="BB284" s="22"/>
      <c r="BC284" s="22"/>
      <c r="BD284" s="22"/>
      <c r="BE284" s="22"/>
      <c r="BF284" s="22"/>
      <c r="BG284" s="22"/>
      <c r="BH284" s="22"/>
      <c r="BI284" s="22"/>
      <c r="BJ284" s="22"/>
      <c r="BK284" s="22"/>
      <c r="BL284" s="22"/>
      <c r="BM284" s="22"/>
      <c r="BN284" s="22"/>
      <c r="BO284" s="22"/>
      <c r="BP284" s="22"/>
      <c r="BQ284" s="22"/>
      <c r="BR284" s="22"/>
      <c r="BS284" s="22"/>
      <c r="BT284" s="22"/>
      <c r="BU284" s="22"/>
      <c r="BV284" s="22"/>
      <c r="BW284" s="22"/>
      <c r="BX284" s="22"/>
      <c r="BY284" s="22"/>
      <c r="BZ284" s="22"/>
      <c r="CA284" s="22"/>
      <c r="CB284" s="22"/>
      <c r="CC284" s="22"/>
      <c r="CD284" s="22"/>
      <c r="CE284" s="22"/>
      <c r="CF284" s="22"/>
      <c r="CG284" s="22"/>
      <c r="CH284" s="22"/>
      <c r="CI284" s="22"/>
      <c r="CJ284" s="22"/>
      <c r="CK284" s="22"/>
      <c r="CL284" s="22"/>
      <c r="CM284" s="22"/>
      <c r="CN284" s="22"/>
      <c r="CO284" s="22"/>
      <c r="CP284" s="22"/>
      <c r="CQ284" s="22"/>
      <c r="CR284" s="22"/>
      <c r="CS284" s="22"/>
      <c r="CT284" s="22"/>
      <c r="CU284" s="22"/>
      <c r="CV284" s="22"/>
      <c r="CW284" s="22"/>
      <c r="CX284" s="22"/>
      <c r="CY284" s="22"/>
      <c r="CZ284" s="22"/>
      <c r="DA284" s="22"/>
      <c r="DB284" s="22"/>
      <c r="DC284" s="22"/>
      <c r="DD284" s="22"/>
      <c r="DE284" s="22"/>
      <c r="DF284" s="22"/>
      <c r="DG284" s="22"/>
      <c r="DH284" s="22"/>
      <c r="DI284" s="22"/>
      <c r="DJ284" s="22"/>
      <c r="DK284" s="22"/>
      <c r="DL284" s="22"/>
      <c r="DM284" s="22"/>
      <c r="DN284" s="22"/>
      <c r="DO284" s="22"/>
      <c r="DP284" s="22"/>
      <c r="DQ284" s="22"/>
      <c r="DR284" s="22"/>
      <c r="DS284" s="22"/>
      <c r="DT284" s="22"/>
      <c r="DU284" s="22"/>
      <c r="DV284" s="22"/>
      <c r="DW284" s="22"/>
      <c r="DX284" s="22"/>
      <c r="DY284" s="22"/>
      <c r="DZ284" s="22"/>
      <c r="EA284" s="22"/>
      <c r="EB284" s="22"/>
      <c r="EC284" s="22"/>
      <c r="ED284" s="22"/>
      <c r="EE284" s="22"/>
      <c r="EF284" s="22"/>
      <c r="EG284" s="22"/>
      <c r="EH284" s="22"/>
      <c r="EI284" s="22"/>
      <c r="EJ284" s="22"/>
      <c r="EK284" s="22"/>
      <c r="EL284" s="22"/>
      <c r="EM284" s="22"/>
      <c r="EN284" s="22"/>
      <c r="EO284" s="22"/>
      <c r="EP284" s="22"/>
      <c r="EQ284" s="22"/>
      <c r="ER284" s="22"/>
      <c r="ES284" s="22"/>
      <c r="ET284" s="22"/>
      <c r="EU284" s="22"/>
      <c r="EV284" s="22"/>
      <c r="EW284" s="22"/>
      <c r="EX284" s="22"/>
      <c r="EY284" s="22"/>
      <c r="EZ284" s="22"/>
      <c r="FA284" s="22"/>
      <c r="FB284" s="22"/>
      <c r="FC284" s="22"/>
      <c r="FD284" s="22"/>
      <c r="FE284" s="22"/>
      <c r="FF284" s="22"/>
      <c r="FG284" s="22"/>
      <c r="FH284" s="22"/>
      <c r="FI284" s="22"/>
      <c r="FJ284" s="22"/>
      <c r="FK284" s="22"/>
      <c r="FL284" s="22"/>
      <c r="FM284" s="22"/>
      <c r="FN284" s="22"/>
      <c r="FO284" s="22"/>
      <c r="FP284" s="22"/>
      <c r="FQ284" s="22"/>
      <c r="FR284" s="22"/>
      <c r="FS284" s="22"/>
      <c r="FT284" s="22"/>
      <c r="FU284" s="22"/>
      <c r="FV284" s="22"/>
      <c r="FW284" s="22"/>
      <c r="FX284" s="22"/>
      <c r="FY284" s="22"/>
      <c r="FZ284" s="22"/>
    </row>
    <row r="285" spans="2:182" x14ac:dyDescent="0.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c r="Z285" s="22"/>
      <c r="AA285" s="22"/>
      <c r="AB285" s="22"/>
      <c r="AC285" s="22"/>
      <c r="AD285" s="22"/>
      <c r="AE285" s="22"/>
      <c r="AF285" s="22"/>
      <c r="AG285" s="22"/>
      <c r="AH285" s="22"/>
      <c r="AI285" s="22"/>
      <c r="AJ285" s="22"/>
      <c r="AK285" s="22"/>
      <c r="AL285" s="22"/>
      <c r="AM285" s="22"/>
      <c r="AN285" s="22"/>
      <c r="AO285" s="22"/>
      <c r="AP285" s="22"/>
      <c r="AQ285" s="22"/>
      <c r="AR285" s="22"/>
      <c r="AS285" s="22"/>
      <c r="AT285" s="22"/>
      <c r="AU285" s="22"/>
      <c r="AV285" s="22"/>
      <c r="AW285" s="22"/>
      <c r="AX285" s="22"/>
      <c r="AY285" s="22"/>
      <c r="AZ285" s="22"/>
      <c r="BA285" s="22"/>
      <c r="BB285" s="22"/>
      <c r="BC285" s="22"/>
      <c r="BD285" s="22"/>
      <c r="BE285" s="22"/>
      <c r="BF285" s="22"/>
      <c r="BG285" s="22"/>
      <c r="BH285" s="22"/>
      <c r="BI285" s="22"/>
      <c r="BJ285" s="22"/>
      <c r="BK285" s="22"/>
      <c r="BL285" s="22"/>
      <c r="BM285" s="22"/>
      <c r="BN285" s="22"/>
      <c r="BO285" s="22"/>
      <c r="BP285" s="22"/>
      <c r="BQ285" s="22"/>
      <c r="BR285" s="22"/>
      <c r="BS285" s="22"/>
      <c r="BT285" s="22"/>
      <c r="BU285" s="22"/>
      <c r="BV285" s="22"/>
      <c r="BW285" s="22"/>
      <c r="BX285" s="22"/>
      <c r="BY285" s="22"/>
      <c r="BZ285" s="22"/>
      <c r="CA285" s="22"/>
      <c r="CB285" s="22"/>
      <c r="CC285" s="22"/>
      <c r="CD285" s="22"/>
      <c r="CE285" s="22"/>
      <c r="CF285" s="22"/>
      <c r="CG285" s="22"/>
      <c r="CH285" s="22"/>
      <c r="CI285" s="22"/>
      <c r="CJ285" s="22"/>
      <c r="CK285" s="22"/>
      <c r="CL285" s="22"/>
      <c r="CM285" s="22"/>
      <c r="CN285" s="22"/>
      <c r="CO285" s="22"/>
      <c r="CP285" s="22"/>
      <c r="CQ285" s="22"/>
      <c r="CR285" s="22"/>
      <c r="CS285" s="22"/>
      <c r="CT285" s="22"/>
      <c r="CU285" s="22"/>
      <c r="CV285" s="22"/>
      <c r="CW285" s="22"/>
      <c r="CX285" s="22"/>
      <c r="CY285" s="22"/>
      <c r="CZ285" s="22"/>
      <c r="DA285" s="22"/>
      <c r="DB285" s="22"/>
      <c r="DC285" s="22"/>
      <c r="DD285" s="22"/>
      <c r="DE285" s="22"/>
      <c r="DF285" s="22"/>
      <c r="DG285" s="22"/>
      <c r="DH285" s="22"/>
      <c r="DI285" s="22"/>
      <c r="DJ285" s="22"/>
      <c r="DK285" s="22"/>
      <c r="DL285" s="22"/>
      <c r="DM285" s="22"/>
      <c r="DN285" s="22"/>
      <c r="DO285" s="22"/>
      <c r="DP285" s="22"/>
      <c r="DQ285" s="22"/>
      <c r="DR285" s="22"/>
      <c r="DS285" s="22"/>
      <c r="DT285" s="22"/>
      <c r="DU285" s="22"/>
      <c r="DV285" s="22"/>
      <c r="DW285" s="22"/>
      <c r="DX285" s="22"/>
      <c r="DY285" s="22"/>
      <c r="DZ285" s="22"/>
      <c r="EA285" s="22"/>
      <c r="EB285" s="22"/>
      <c r="EC285" s="22"/>
      <c r="ED285" s="22"/>
      <c r="EE285" s="22"/>
      <c r="EF285" s="22"/>
      <c r="EG285" s="22"/>
      <c r="EH285" s="22"/>
      <c r="EI285" s="22"/>
      <c r="EJ285" s="22"/>
      <c r="EK285" s="22"/>
      <c r="EL285" s="22"/>
      <c r="EM285" s="22"/>
      <c r="EN285" s="22"/>
      <c r="EO285" s="22"/>
      <c r="EP285" s="22"/>
      <c r="EQ285" s="22"/>
      <c r="ER285" s="22"/>
      <c r="ES285" s="22"/>
      <c r="ET285" s="22"/>
      <c r="EU285" s="22"/>
      <c r="EV285" s="22"/>
      <c r="EW285" s="22"/>
      <c r="EX285" s="22"/>
      <c r="EY285" s="22"/>
      <c r="EZ285" s="22"/>
      <c r="FA285" s="22"/>
      <c r="FB285" s="22"/>
      <c r="FC285" s="22"/>
      <c r="FD285" s="22"/>
      <c r="FE285" s="22"/>
      <c r="FF285" s="22"/>
      <c r="FG285" s="22"/>
      <c r="FH285" s="22"/>
      <c r="FI285" s="22"/>
      <c r="FJ285" s="22"/>
      <c r="FK285" s="22"/>
      <c r="FL285" s="22"/>
      <c r="FM285" s="22"/>
      <c r="FN285" s="22"/>
      <c r="FO285" s="22"/>
      <c r="FP285" s="22"/>
      <c r="FQ285" s="22"/>
      <c r="FR285" s="22"/>
      <c r="FS285" s="22"/>
      <c r="FT285" s="22"/>
      <c r="FU285" s="22"/>
      <c r="FV285" s="22"/>
      <c r="FW285" s="22"/>
      <c r="FX285" s="22"/>
      <c r="FY285" s="22"/>
      <c r="FZ285" s="22"/>
    </row>
    <row r="286" spans="2:182" x14ac:dyDescent="0.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c r="Z286" s="22"/>
      <c r="AA286" s="22"/>
      <c r="AB286" s="22"/>
      <c r="AC286" s="22"/>
      <c r="AD286" s="22"/>
      <c r="AE286" s="22"/>
      <c r="AF286" s="22"/>
      <c r="AG286" s="22"/>
      <c r="AH286" s="22"/>
      <c r="AI286" s="22"/>
      <c r="AJ286" s="22"/>
      <c r="AK286" s="22"/>
      <c r="AL286" s="22"/>
      <c r="AM286" s="22"/>
      <c r="AN286" s="22"/>
      <c r="AO286" s="22"/>
      <c r="AP286" s="22"/>
      <c r="AQ286" s="22"/>
      <c r="AR286" s="22"/>
      <c r="AS286" s="22"/>
      <c r="AT286" s="22"/>
      <c r="AU286" s="22"/>
      <c r="AV286" s="22"/>
      <c r="AW286" s="22"/>
      <c r="AX286" s="22"/>
      <c r="AY286" s="22"/>
      <c r="AZ286" s="22"/>
      <c r="BA286" s="22"/>
      <c r="BB286" s="22"/>
      <c r="BC286" s="22"/>
      <c r="BD286" s="22"/>
      <c r="BE286" s="22"/>
      <c r="BF286" s="22"/>
      <c r="BG286" s="22"/>
      <c r="BH286" s="22"/>
      <c r="BI286" s="22"/>
      <c r="BJ286" s="22"/>
      <c r="BK286" s="22"/>
      <c r="BL286" s="22"/>
      <c r="BM286" s="22"/>
      <c r="BN286" s="22"/>
      <c r="BO286" s="22"/>
      <c r="BP286" s="22"/>
      <c r="BQ286" s="22"/>
      <c r="BR286" s="22"/>
      <c r="BS286" s="22"/>
      <c r="BT286" s="22"/>
      <c r="BU286" s="22"/>
      <c r="BV286" s="22"/>
      <c r="BW286" s="22"/>
      <c r="BX286" s="22"/>
      <c r="BY286" s="22"/>
      <c r="BZ286" s="22"/>
      <c r="CA286" s="22"/>
      <c r="CB286" s="22"/>
      <c r="CC286" s="22"/>
      <c r="CD286" s="22"/>
      <c r="CE286" s="22"/>
      <c r="CF286" s="22"/>
      <c r="CG286" s="22"/>
      <c r="CH286" s="22"/>
      <c r="CI286" s="22"/>
      <c r="CJ286" s="22"/>
      <c r="CK286" s="22"/>
      <c r="CL286" s="22"/>
      <c r="CM286" s="22"/>
      <c r="CN286" s="22"/>
      <c r="CO286" s="22"/>
      <c r="CP286" s="22"/>
      <c r="CQ286" s="22"/>
      <c r="CR286" s="22"/>
      <c r="CS286" s="22"/>
      <c r="CT286" s="22"/>
      <c r="CU286" s="22"/>
      <c r="CV286" s="22"/>
      <c r="CW286" s="22"/>
      <c r="CX286" s="22"/>
      <c r="CY286" s="22"/>
      <c r="CZ286" s="22"/>
      <c r="DA286" s="22"/>
      <c r="DB286" s="22"/>
      <c r="DC286" s="22"/>
      <c r="DD286" s="22"/>
      <c r="DE286" s="22"/>
      <c r="DF286" s="22"/>
      <c r="DG286" s="22"/>
      <c r="DH286" s="22"/>
      <c r="DI286" s="22"/>
      <c r="DJ286" s="22"/>
      <c r="DK286" s="22"/>
      <c r="DL286" s="22"/>
      <c r="DM286" s="22"/>
      <c r="DN286" s="22"/>
      <c r="DO286" s="22"/>
      <c r="DP286" s="22"/>
      <c r="DQ286" s="22"/>
      <c r="DR286" s="22"/>
      <c r="DS286" s="22"/>
      <c r="DT286" s="22"/>
      <c r="DU286" s="22"/>
      <c r="DV286" s="22"/>
      <c r="DW286" s="22"/>
      <c r="DX286" s="22"/>
      <c r="DY286" s="22"/>
      <c r="DZ286" s="22"/>
      <c r="EA286" s="22"/>
      <c r="EB286" s="22"/>
      <c r="EC286" s="22"/>
      <c r="ED286" s="22"/>
      <c r="EE286" s="22"/>
      <c r="EF286" s="22"/>
      <c r="EG286" s="22"/>
      <c r="EH286" s="22"/>
      <c r="EI286" s="22"/>
      <c r="EJ286" s="22"/>
      <c r="EK286" s="22"/>
      <c r="EL286" s="22"/>
      <c r="EM286" s="22"/>
      <c r="EN286" s="22"/>
      <c r="EO286" s="22"/>
      <c r="EP286" s="22"/>
      <c r="EQ286" s="22"/>
      <c r="ER286" s="22"/>
      <c r="ES286" s="22"/>
      <c r="ET286" s="22"/>
      <c r="EU286" s="22"/>
      <c r="EV286" s="22"/>
      <c r="EW286" s="22"/>
      <c r="EX286" s="22"/>
      <c r="EY286" s="22"/>
      <c r="EZ286" s="22"/>
      <c r="FA286" s="22"/>
      <c r="FB286" s="22"/>
      <c r="FC286" s="22"/>
      <c r="FD286" s="22"/>
      <c r="FE286" s="22"/>
      <c r="FF286" s="22"/>
      <c r="FG286" s="22"/>
      <c r="FH286" s="22"/>
      <c r="FI286" s="22"/>
      <c r="FJ286" s="22"/>
      <c r="FK286" s="22"/>
      <c r="FL286" s="22"/>
      <c r="FM286" s="22"/>
      <c r="FN286" s="22"/>
      <c r="FO286" s="22"/>
      <c r="FP286" s="22"/>
      <c r="FQ286" s="22"/>
      <c r="FR286" s="22"/>
      <c r="FS286" s="22"/>
      <c r="FT286" s="22"/>
      <c r="FU286" s="22"/>
      <c r="FV286" s="22"/>
      <c r="FW286" s="22"/>
      <c r="FX286" s="22"/>
      <c r="FY286" s="22"/>
      <c r="FZ286" s="22"/>
    </row>
    <row r="287" spans="2:182" x14ac:dyDescent="0.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c r="Z287" s="22"/>
      <c r="AA287" s="22"/>
      <c r="AB287" s="22"/>
      <c r="AC287" s="22"/>
      <c r="AD287" s="22"/>
      <c r="AE287" s="22"/>
      <c r="AF287" s="22"/>
      <c r="AG287" s="22"/>
      <c r="AH287" s="22"/>
      <c r="AI287" s="22"/>
      <c r="AJ287" s="22"/>
      <c r="AK287" s="22"/>
      <c r="AL287" s="22"/>
      <c r="AM287" s="22"/>
      <c r="AN287" s="22"/>
      <c r="AO287" s="22"/>
      <c r="AP287" s="22"/>
      <c r="AQ287" s="22"/>
      <c r="AR287" s="22"/>
      <c r="AS287" s="22"/>
      <c r="AT287" s="22"/>
      <c r="AU287" s="22"/>
      <c r="AV287" s="22"/>
      <c r="AW287" s="22"/>
      <c r="AX287" s="22"/>
      <c r="AY287" s="22"/>
      <c r="AZ287" s="22"/>
      <c r="BA287" s="22"/>
      <c r="BB287" s="22"/>
      <c r="BC287" s="22"/>
      <c r="BD287" s="22"/>
      <c r="BE287" s="22"/>
      <c r="BF287" s="22"/>
      <c r="BG287" s="22"/>
      <c r="BH287" s="22"/>
      <c r="BI287" s="22"/>
      <c r="BJ287" s="22"/>
      <c r="BK287" s="22"/>
      <c r="BL287" s="22"/>
      <c r="BM287" s="22"/>
      <c r="BN287" s="22"/>
      <c r="BO287" s="22"/>
      <c r="BP287" s="22"/>
      <c r="BQ287" s="22"/>
      <c r="BR287" s="22"/>
      <c r="BS287" s="22"/>
      <c r="BT287" s="22"/>
      <c r="BU287" s="22"/>
      <c r="BV287" s="22"/>
      <c r="BW287" s="22"/>
      <c r="BX287" s="22"/>
      <c r="BY287" s="22"/>
      <c r="BZ287" s="22"/>
      <c r="CA287" s="22"/>
      <c r="CB287" s="22"/>
      <c r="CC287" s="22"/>
      <c r="CD287" s="22"/>
      <c r="CE287" s="22"/>
      <c r="CF287" s="22"/>
      <c r="CG287" s="22"/>
      <c r="CH287" s="22"/>
      <c r="CI287" s="22"/>
      <c r="CJ287" s="22"/>
      <c r="CK287" s="22"/>
      <c r="CL287" s="22"/>
      <c r="CM287" s="22"/>
      <c r="CN287" s="22"/>
      <c r="CO287" s="22"/>
      <c r="CP287" s="22"/>
      <c r="CQ287" s="22"/>
      <c r="CR287" s="22"/>
      <c r="CS287" s="22"/>
      <c r="CT287" s="22"/>
      <c r="CU287" s="22"/>
      <c r="CV287" s="22"/>
      <c r="CW287" s="22"/>
      <c r="CX287" s="22"/>
      <c r="CY287" s="22"/>
      <c r="CZ287" s="22"/>
      <c r="DA287" s="22"/>
      <c r="DB287" s="22"/>
      <c r="DC287" s="22"/>
      <c r="DD287" s="22"/>
      <c r="DE287" s="22"/>
      <c r="DF287" s="22"/>
      <c r="DG287" s="22"/>
      <c r="DH287" s="22"/>
      <c r="DI287" s="22"/>
      <c r="DJ287" s="22"/>
      <c r="DK287" s="22"/>
      <c r="DL287" s="22"/>
      <c r="DM287" s="22"/>
      <c r="DN287" s="22"/>
      <c r="DO287" s="22"/>
      <c r="DP287" s="22"/>
      <c r="DQ287" s="22"/>
      <c r="DR287" s="22"/>
      <c r="DS287" s="22"/>
      <c r="DT287" s="22"/>
      <c r="DU287" s="22"/>
      <c r="DV287" s="22"/>
      <c r="DW287" s="22"/>
      <c r="DX287" s="22"/>
      <c r="DY287" s="22"/>
      <c r="DZ287" s="22"/>
      <c r="EA287" s="22"/>
      <c r="EB287" s="22"/>
      <c r="EC287" s="22"/>
      <c r="ED287" s="22"/>
      <c r="EE287" s="22"/>
      <c r="EF287" s="22"/>
      <c r="EG287" s="22"/>
      <c r="EH287" s="22"/>
      <c r="EI287" s="22"/>
      <c r="EJ287" s="22"/>
      <c r="EK287" s="22"/>
      <c r="EL287" s="22"/>
      <c r="EM287" s="22"/>
      <c r="EN287" s="22"/>
      <c r="EO287" s="22"/>
      <c r="EP287" s="22"/>
      <c r="EQ287" s="22"/>
      <c r="ER287" s="22"/>
      <c r="ES287" s="22"/>
      <c r="ET287" s="22"/>
      <c r="EU287" s="22"/>
      <c r="EV287" s="22"/>
      <c r="EW287" s="22"/>
      <c r="EX287" s="22"/>
      <c r="EY287" s="22"/>
      <c r="EZ287" s="22"/>
      <c r="FA287" s="22"/>
      <c r="FB287" s="22"/>
      <c r="FC287" s="22"/>
      <c r="FD287" s="22"/>
      <c r="FE287" s="22"/>
      <c r="FF287" s="22"/>
      <c r="FG287" s="22"/>
      <c r="FH287" s="22"/>
      <c r="FI287" s="22"/>
      <c r="FJ287" s="22"/>
      <c r="FK287" s="22"/>
      <c r="FL287" s="22"/>
      <c r="FM287" s="22"/>
      <c r="FN287" s="22"/>
      <c r="FO287" s="22"/>
      <c r="FP287" s="22"/>
      <c r="FQ287" s="22"/>
      <c r="FR287" s="22"/>
      <c r="FS287" s="22"/>
      <c r="FT287" s="22"/>
      <c r="FU287" s="22"/>
      <c r="FV287" s="22"/>
      <c r="FW287" s="22"/>
      <c r="FX287" s="22"/>
      <c r="FY287" s="22"/>
      <c r="FZ287" s="22"/>
    </row>
    <row r="288" spans="2:182" x14ac:dyDescent="0.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c r="Z288" s="22"/>
      <c r="AA288" s="22"/>
      <c r="AB288" s="22"/>
      <c r="AC288" s="22"/>
      <c r="AD288" s="22"/>
      <c r="AE288" s="22"/>
      <c r="AF288" s="22"/>
      <c r="AG288" s="22"/>
      <c r="AH288" s="22"/>
      <c r="AI288" s="22"/>
      <c r="AJ288" s="22"/>
      <c r="AK288" s="22"/>
      <c r="AL288" s="22"/>
      <c r="AM288" s="22"/>
      <c r="AN288" s="22"/>
      <c r="AO288" s="22"/>
      <c r="AP288" s="22"/>
      <c r="AQ288" s="22"/>
      <c r="AR288" s="22"/>
      <c r="AS288" s="22"/>
      <c r="AT288" s="22"/>
      <c r="AU288" s="22"/>
      <c r="AV288" s="22"/>
      <c r="AW288" s="22"/>
      <c r="AX288" s="22"/>
      <c r="AY288" s="22"/>
      <c r="AZ288" s="22"/>
      <c r="BA288" s="22"/>
      <c r="BB288" s="22"/>
      <c r="BC288" s="22"/>
      <c r="BD288" s="22"/>
      <c r="BE288" s="22"/>
      <c r="BF288" s="22"/>
      <c r="BG288" s="22"/>
      <c r="BH288" s="22"/>
      <c r="BI288" s="22"/>
      <c r="BJ288" s="22"/>
      <c r="BK288" s="22"/>
      <c r="BL288" s="22"/>
      <c r="BM288" s="22"/>
      <c r="BN288" s="22"/>
      <c r="BO288" s="22"/>
      <c r="BP288" s="22"/>
      <c r="BQ288" s="22"/>
      <c r="BR288" s="22"/>
      <c r="BS288" s="22"/>
      <c r="BT288" s="22"/>
      <c r="BU288" s="22"/>
      <c r="BV288" s="22"/>
      <c r="BW288" s="22"/>
      <c r="BX288" s="22"/>
      <c r="BY288" s="22"/>
      <c r="BZ288" s="22"/>
      <c r="CA288" s="22"/>
      <c r="CB288" s="22"/>
      <c r="CC288" s="22"/>
      <c r="CD288" s="22"/>
      <c r="CE288" s="22"/>
      <c r="CF288" s="22"/>
      <c r="CG288" s="22"/>
      <c r="CH288" s="22"/>
      <c r="CI288" s="22"/>
      <c r="CJ288" s="22"/>
      <c r="CK288" s="22"/>
      <c r="CL288" s="22"/>
      <c r="CM288" s="22"/>
      <c r="CN288" s="22"/>
      <c r="CO288" s="22"/>
      <c r="CP288" s="22"/>
      <c r="CQ288" s="22"/>
      <c r="CR288" s="22"/>
      <c r="CS288" s="22"/>
      <c r="CT288" s="22"/>
      <c r="CU288" s="22"/>
      <c r="CV288" s="22"/>
      <c r="CW288" s="22"/>
      <c r="CX288" s="22"/>
      <c r="CY288" s="22"/>
      <c r="CZ288" s="22"/>
      <c r="DA288" s="22"/>
      <c r="DB288" s="22"/>
      <c r="DC288" s="22"/>
      <c r="DD288" s="22"/>
      <c r="DE288" s="22"/>
      <c r="DF288" s="22"/>
      <c r="DG288" s="22"/>
      <c r="DH288" s="22"/>
      <c r="DI288" s="22"/>
      <c r="DJ288" s="22"/>
      <c r="DK288" s="22"/>
      <c r="DL288" s="22"/>
      <c r="DM288" s="22"/>
      <c r="DN288" s="22"/>
      <c r="DO288" s="22"/>
      <c r="DP288" s="22"/>
      <c r="DQ288" s="22"/>
      <c r="DR288" s="22"/>
      <c r="DS288" s="22"/>
      <c r="DT288" s="22"/>
      <c r="DU288" s="22"/>
      <c r="DV288" s="22"/>
      <c r="DW288" s="22"/>
      <c r="DX288" s="22"/>
      <c r="DY288" s="22"/>
      <c r="DZ288" s="22"/>
      <c r="EA288" s="22"/>
      <c r="EB288" s="22"/>
      <c r="EC288" s="22"/>
      <c r="ED288" s="22"/>
      <c r="EE288" s="22"/>
      <c r="EF288" s="22"/>
      <c r="EG288" s="22"/>
      <c r="EH288" s="22"/>
      <c r="EI288" s="22"/>
      <c r="EJ288" s="22"/>
      <c r="EK288" s="22"/>
      <c r="EL288" s="22"/>
      <c r="EM288" s="22"/>
      <c r="EN288" s="22"/>
      <c r="EO288" s="22"/>
      <c r="EP288" s="22"/>
      <c r="EQ288" s="22"/>
      <c r="ER288" s="22"/>
      <c r="ES288" s="22"/>
      <c r="ET288" s="22"/>
      <c r="EU288" s="22"/>
      <c r="EV288" s="22"/>
      <c r="EW288" s="22"/>
      <c r="EX288" s="22"/>
      <c r="EY288" s="22"/>
      <c r="EZ288" s="22"/>
      <c r="FA288" s="22"/>
      <c r="FB288" s="22"/>
      <c r="FC288" s="22"/>
      <c r="FD288" s="22"/>
      <c r="FE288" s="22"/>
      <c r="FF288" s="22"/>
      <c r="FG288" s="22"/>
      <c r="FH288" s="22"/>
      <c r="FI288" s="22"/>
      <c r="FJ288" s="22"/>
      <c r="FK288" s="22"/>
      <c r="FL288" s="22"/>
      <c r="FM288" s="22"/>
      <c r="FN288" s="22"/>
      <c r="FO288" s="22"/>
      <c r="FP288" s="22"/>
      <c r="FQ288" s="22"/>
      <c r="FR288" s="22"/>
      <c r="FS288" s="22"/>
      <c r="FT288" s="22"/>
      <c r="FU288" s="22"/>
      <c r="FV288" s="22"/>
      <c r="FW288" s="22"/>
      <c r="FX288" s="22"/>
      <c r="FY288" s="22"/>
      <c r="FZ288" s="22"/>
    </row>
    <row r="289" spans="2:182" x14ac:dyDescent="0.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c r="Z289" s="22"/>
      <c r="AA289" s="22"/>
      <c r="AB289" s="22"/>
      <c r="AC289" s="22"/>
      <c r="AD289" s="22"/>
      <c r="AE289" s="22"/>
      <c r="AF289" s="22"/>
      <c r="AG289" s="22"/>
      <c r="AH289" s="22"/>
      <c r="AI289" s="22"/>
      <c r="AJ289" s="22"/>
      <c r="AK289" s="22"/>
      <c r="AL289" s="22"/>
      <c r="AM289" s="22"/>
      <c r="AN289" s="22"/>
      <c r="AO289" s="22"/>
      <c r="AP289" s="22"/>
      <c r="AQ289" s="22"/>
      <c r="AR289" s="22"/>
      <c r="AS289" s="22"/>
      <c r="AT289" s="22"/>
      <c r="AU289" s="22"/>
      <c r="AV289" s="22"/>
      <c r="AW289" s="22"/>
      <c r="AX289" s="22"/>
      <c r="AY289" s="22"/>
      <c r="AZ289" s="22"/>
      <c r="BA289" s="22"/>
      <c r="BB289" s="22"/>
      <c r="BC289" s="22"/>
      <c r="BD289" s="22"/>
      <c r="BE289" s="22"/>
      <c r="BF289" s="22"/>
      <c r="BG289" s="22"/>
      <c r="BH289" s="22"/>
      <c r="BI289" s="22"/>
      <c r="BJ289" s="22"/>
      <c r="BK289" s="22"/>
      <c r="BL289" s="22"/>
      <c r="BM289" s="22"/>
      <c r="BN289" s="22"/>
      <c r="BO289" s="22"/>
      <c r="BP289" s="22"/>
      <c r="BQ289" s="22"/>
      <c r="BR289" s="22"/>
      <c r="BS289" s="22"/>
      <c r="BT289" s="22"/>
      <c r="BU289" s="22"/>
      <c r="BV289" s="22"/>
      <c r="BW289" s="22"/>
      <c r="BX289" s="22"/>
      <c r="BY289" s="22"/>
      <c r="BZ289" s="22"/>
      <c r="CA289" s="22"/>
      <c r="CB289" s="22"/>
      <c r="CC289" s="22"/>
      <c r="CD289" s="22"/>
      <c r="CE289" s="22"/>
      <c r="CF289" s="22"/>
      <c r="CG289" s="22"/>
      <c r="CH289" s="22"/>
      <c r="CI289" s="22"/>
      <c r="CJ289" s="22"/>
      <c r="CK289" s="22"/>
      <c r="CL289" s="22"/>
      <c r="CM289" s="22"/>
      <c r="CN289" s="22"/>
      <c r="CO289" s="22"/>
      <c r="CP289" s="22"/>
      <c r="CQ289" s="22"/>
      <c r="CR289" s="22"/>
      <c r="CS289" s="22"/>
      <c r="CT289" s="22"/>
      <c r="CU289" s="22"/>
      <c r="CV289" s="22"/>
      <c r="CW289" s="22"/>
      <c r="CX289" s="22"/>
      <c r="CY289" s="22"/>
      <c r="CZ289" s="22"/>
      <c r="DA289" s="22"/>
      <c r="DB289" s="22"/>
      <c r="DC289" s="22"/>
      <c r="DD289" s="22"/>
      <c r="DE289" s="22"/>
      <c r="DF289" s="22"/>
      <c r="DG289" s="22"/>
      <c r="DH289" s="22"/>
      <c r="DI289" s="22"/>
      <c r="DJ289" s="22"/>
      <c r="DK289" s="22"/>
      <c r="DL289" s="22"/>
      <c r="DM289" s="22"/>
      <c r="DN289" s="22"/>
      <c r="DO289" s="22"/>
      <c r="DP289" s="22"/>
      <c r="DQ289" s="22"/>
      <c r="DR289" s="22"/>
      <c r="DS289" s="22"/>
      <c r="DT289" s="22"/>
      <c r="DU289" s="22"/>
      <c r="DV289" s="22"/>
      <c r="DW289" s="22"/>
      <c r="DX289" s="22"/>
      <c r="DY289" s="22"/>
      <c r="DZ289" s="22"/>
      <c r="EA289" s="22"/>
      <c r="EB289" s="22"/>
      <c r="EC289" s="22"/>
      <c r="ED289" s="22"/>
      <c r="EE289" s="22"/>
      <c r="EF289" s="22"/>
      <c r="EG289" s="22"/>
      <c r="EH289" s="22"/>
      <c r="EI289" s="22"/>
      <c r="EJ289" s="22"/>
      <c r="EK289" s="22"/>
      <c r="EL289" s="22"/>
      <c r="EM289" s="22"/>
      <c r="EN289" s="22"/>
      <c r="EO289" s="22"/>
      <c r="EP289" s="22"/>
      <c r="EQ289" s="22"/>
      <c r="ER289" s="22"/>
      <c r="ES289" s="22"/>
      <c r="ET289" s="22"/>
      <c r="EU289" s="22"/>
      <c r="EV289" s="22"/>
      <c r="EW289" s="22"/>
      <c r="EX289" s="22"/>
      <c r="EY289" s="22"/>
      <c r="EZ289" s="22"/>
      <c r="FA289" s="22"/>
      <c r="FB289" s="22"/>
      <c r="FC289" s="22"/>
      <c r="FD289" s="22"/>
      <c r="FE289" s="22"/>
      <c r="FF289" s="22"/>
      <c r="FG289" s="22"/>
      <c r="FH289" s="22"/>
      <c r="FI289" s="22"/>
      <c r="FJ289" s="22"/>
      <c r="FK289" s="22"/>
      <c r="FL289" s="22"/>
      <c r="FM289" s="22"/>
      <c r="FN289" s="22"/>
      <c r="FO289" s="22"/>
      <c r="FP289" s="22"/>
      <c r="FQ289" s="22"/>
      <c r="FR289" s="22"/>
      <c r="FS289" s="22"/>
      <c r="FT289" s="22"/>
      <c r="FU289" s="22"/>
      <c r="FV289" s="22"/>
      <c r="FW289" s="22"/>
      <c r="FX289" s="22"/>
      <c r="FY289" s="22"/>
      <c r="FZ289" s="22"/>
    </row>
    <row r="290" spans="2:182" x14ac:dyDescent="0.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c r="Z290" s="22"/>
      <c r="AA290" s="22"/>
      <c r="AB290" s="22"/>
      <c r="AC290" s="22"/>
      <c r="AD290" s="22"/>
      <c r="AE290" s="22"/>
      <c r="AF290" s="22"/>
      <c r="AG290" s="22"/>
      <c r="AH290" s="22"/>
      <c r="AI290" s="22"/>
      <c r="AJ290" s="22"/>
      <c r="AK290" s="22"/>
      <c r="AL290" s="22"/>
      <c r="AM290" s="22"/>
      <c r="AN290" s="22"/>
      <c r="AO290" s="22"/>
      <c r="AP290" s="22"/>
      <c r="AQ290" s="22"/>
      <c r="AR290" s="22"/>
      <c r="AS290" s="22"/>
      <c r="AT290" s="22"/>
      <c r="AU290" s="22"/>
      <c r="AV290" s="22"/>
      <c r="AW290" s="22"/>
      <c r="AX290" s="22"/>
      <c r="AY290" s="22"/>
      <c r="AZ290" s="22"/>
      <c r="BA290" s="22"/>
      <c r="BB290" s="22"/>
      <c r="BC290" s="22"/>
      <c r="BD290" s="22"/>
      <c r="BE290" s="22"/>
      <c r="BF290" s="22"/>
      <c r="BG290" s="22"/>
      <c r="BH290" s="22"/>
      <c r="BI290" s="22"/>
      <c r="BJ290" s="22"/>
      <c r="BK290" s="22"/>
      <c r="BL290" s="22"/>
      <c r="BM290" s="22"/>
      <c r="BN290" s="22"/>
      <c r="BO290" s="22"/>
      <c r="BP290" s="22"/>
      <c r="BQ290" s="22"/>
      <c r="BR290" s="22"/>
      <c r="BS290" s="22"/>
      <c r="BT290" s="22"/>
      <c r="BU290" s="22"/>
      <c r="BV290" s="22"/>
      <c r="BW290" s="22"/>
      <c r="BX290" s="22"/>
      <c r="BY290" s="22"/>
      <c r="BZ290" s="22"/>
      <c r="CA290" s="22"/>
      <c r="CB290" s="22"/>
      <c r="CC290" s="22"/>
      <c r="CD290" s="22"/>
      <c r="CE290" s="22"/>
      <c r="CF290" s="22"/>
      <c r="CG290" s="22"/>
      <c r="CH290" s="22"/>
      <c r="CI290" s="22"/>
      <c r="CJ290" s="22"/>
      <c r="CK290" s="22"/>
      <c r="CL290" s="22"/>
      <c r="CM290" s="22"/>
      <c r="CN290" s="22"/>
      <c r="CO290" s="22"/>
      <c r="CP290" s="22"/>
      <c r="CQ290" s="22"/>
      <c r="CR290" s="22"/>
      <c r="CS290" s="22"/>
      <c r="CT290" s="22"/>
      <c r="CU290" s="22"/>
      <c r="CV290" s="22"/>
      <c r="CW290" s="22"/>
      <c r="CX290" s="22"/>
      <c r="CY290" s="22"/>
      <c r="CZ290" s="22"/>
      <c r="DA290" s="22"/>
      <c r="DB290" s="22"/>
      <c r="DC290" s="22"/>
      <c r="DD290" s="22"/>
      <c r="DE290" s="22"/>
      <c r="DF290" s="22"/>
      <c r="DG290" s="22"/>
      <c r="DH290" s="22"/>
      <c r="DI290" s="22"/>
      <c r="DJ290" s="22"/>
      <c r="DK290" s="22"/>
      <c r="DL290" s="22"/>
      <c r="DM290" s="22"/>
      <c r="DN290" s="22"/>
      <c r="DO290" s="22"/>
      <c r="DP290" s="22"/>
      <c r="DQ290" s="22"/>
      <c r="DR290" s="22"/>
      <c r="DS290" s="22"/>
      <c r="DT290" s="22"/>
      <c r="DU290" s="22"/>
      <c r="DV290" s="22"/>
      <c r="DW290" s="22"/>
      <c r="DX290" s="22"/>
      <c r="DY290" s="22"/>
      <c r="DZ290" s="22"/>
      <c r="EA290" s="22"/>
      <c r="EB290" s="22"/>
      <c r="EC290" s="22"/>
      <c r="ED290" s="22"/>
      <c r="EE290" s="22"/>
      <c r="EF290" s="22"/>
      <c r="EG290" s="22"/>
      <c r="EH290" s="22"/>
      <c r="EI290" s="22"/>
      <c r="EJ290" s="22"/>
      <c r="EK290" s="22"/>
      <c r="EL290" s="22"/>
      <c r="EM290" s="22"/>
      <c r="EN290" s="22"/>
      <c r="EO290" s="22"/>
      <c r="EP290" s="22"/>
      <c r="EQ290" s="22"/>
      <c r="ER290" s="22"/>
      <c r="ES290" s="22"/>
      <c r="ET290" s="22"/>
      <c r="EU290" s="22"/>
      <c r="EV290" s="22"/>
      <c r="EW290" s="22"/>
      <c r="EX290" s="22"/>
      <c r="EY290" s="22"/>
      <c r="EZ290" s="22"/>
      <c r="FA290" s="22"/>
      <c r="FB290" s="22"/>
      <c r="FC290" s="22"/>
      <c r="FD290" s="22"/>
      <c r="FE290" s="22"/>
      <c r="FF290" s="22"/>
      <c r="FG290" s="22"/>
      <c r="FH290" s="22"/>
      <c r="FI290" s="22"/>
      <c r="FJ290" s="22"/>
      <c r="FK290" s="22"/>
      <c r="FL290" s="22"/>
      <c r="FM290" s="22"/>
      <c r="FN290" s="22"/>
      <c r="FO290" s="22"/>
      <c r="FP290" s="22"/>
      <c r="FQ290" s="22"/>
      <c r="FR290" s="22"/>
      <c r="FS290" s="22"/>
      <c r="FT290" s="22"/>
      <c r="FU290" s="22"/>
      <c r="FV290" s="22"/>
      <c r="FW290" s="22"/>
      <c r="FX290" s="22"/>
      <c r="FY290" s="22"/>
      <c r="FZ290" s="22"/>
    </row>
    <row r="291" spans="2:182" x14ac:dyDescent="0.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c r="Z291" s="22"/>
      <c r="AA291" s="22"/>
      <c r="AB291" s="22"/>
      <c r="AC291" s="22"/>
      <c r="AD291" s="22"/>
      <c r="AE291" s="22"/>
      <c r="AF291" s="22"/>
      <c r="AG291" s="22"/>
      <c r="AH291" s="22"/>
      <c r="AI291" s="22"/>
      <c r="AJ291" s="22"/>
      <c r="AK291" s="22"/>
      <c r="AL291" s="22"/>
      <c r="AM291" s="22"/>
      <c r="AN291" s="22"/>
      <c r="AO291" s="22"/>
      <c r="AP291" s="22"/>
      <c r="AQ291" s="22"/>
      <c r="AR291" s="22"/>
      <c r="AS291" s="22"/>
      <c r="AT291" s="22"/>
      <c r="AU291" s="22"/>
      <c r="AV291" s="22"/>
      <c r="AW291" s="22"/>
      <c r="AX291" s="22"/>
      <c r="AY291" s="22"/>
      <c r="AZ291" s="22"/>
      <c r="BA291" s="22"/>
      <c r="BB291" s="22"/>
      <c r="BC291" s="22"/>
      <c r="BD291" s="22"/>
      <c r="BE291" s="22"/>
      <c r="BF291" s="22"/>
      <c r="BG291" s="22"/>
      <c r="BH291" s="22"/>
      <c r="BI291" s="22"/>
      <c r="BJ291" s="22"/>
      <c r="BK291" s="22"/>
      <c r="BL291" s="22"/>
      <c r="BM291" s="22"/>
      <c r="BN291" s="22"/>
      <c r="BO291" s="22"/>
      <c r="BP291" s="22"/>
      <c r="BQ291" s="22"/>
      <c r="BR291" s="22"/>
      <c r="BS291" s="22"/>
      <c r="BT291" s="22"/>
      <c r="BU291" s="22"/>
      <c r="BV291" s="22"/>
      <c r="BW291" s="22"/>
      <c r="BX291" s="22"/>
      <c r="BY291" s="22"/>
      <c r="BZ291" s="22"/>
      <c r="CA291" s="22"/>
      <c r="CB291" s="22"/>
      <c r="CC291" s="22"/>
      <c r="CD291" s="22"/>
      <c r="CE291" s="22"/>
      <c r="CF291" s="22"/>
      <c r="CG291" s="22"/>
      <c r="CH291" s="22"/>
      <c r="CI291" s="22"/>
      <c r="CJ291" s="22"/>
      <c r="CK291" s="22"/>
      <c r="CL291" s="22"/>
      <c r="CM291" s="22"/>
      <c r="CN291" s="22"/>
      <c r="CO291" s="22"/>
      <c r="CP291" s="22"/>
      <c r="CQ291" s="22"/>
      <c r="CR291" s="22"/>
      <c r="CS291" s="22"/>
      <c r="CT291" s="22"/>
      <c r="CU291" s="22"/>
      <c r="CV291" s="22"/>
      <c r="CW291" s="22"/>
      <c r="CX291" s="22"/>
      <c r="CY291" s="22"/>
      <c r="CZ291" s="22"/>
      <c r="DA291" s="22"/>
      <c r="DB291" s="22"/>
      <c r="DC291" s="22"/>
      <c r="DD291" s="22"/>
      <c r="DE291" s="22"/>
      <c r="DF291" s="22"/>
      <c r="DG291" s="22"/>
      <c r="DH291" s="22"/>
      <c r="DI291" s="22"/>
      <c r="DJ291" s="22"/>
      <c r="DK291" s="22"/>
      <c r="DL291" s="22"/>
      <c r="DM291" s="22"/>
      <c r="DN291" s="22"/>
      <c r="DO291" s="22"/>
      <c r="DP291" s="22"/>
      <c r="DQ291" s="22"/>
      <c r="DR291" s="22"/>
      <c r="DS291" s="22"/>
      <c r="DT291" s="22"/>
      <c r="DU291" s="22"/>
      <c r="DV291" s="22"/>
      <c r="DW291" s="22"/>
      <c r="DX291" s="22"/>
      <c r="DY291" s="22"/>
      <c r="DZ291" s="22"/>
      <c r="EA291" s="22"/>
      <c r="EB291" s="22"/>
      <c r="EC291" s="22"/>
      <c r="ED291" s="22"/>
      <c r="EE291" s="22"/>
      <c r="EF291" s="22"/>
      <c r="EG291" s="22"/>
      <c r="EH291" s="22"/>
      <c r="EI291" s="22"/>
      <c r="EJ291" s="22"/>
      <c r="EK291" s="22"/>
      <c r="EL291" s="22"/>
      <c r="EM291" s="22"/>
      <c r="EN291" s="22"/>
      <c r="EO291" s="22"/>
      <c r="EP291" s="22"/>
      <c r="EQ291" s="22"/>
      <c r="ER291" s="22"/>
      <c r="ES291" s="22"/>
      <c r="ET291" s="22"/>
      <c r="EU291" s="22"/>
      <c r="EV291" s="22"/>
      <c r="EW291" s="22"/>
      <c r="EX291" s="22"/>
      <c r="EY291" s="22"/>
      <c r="EZ291" s="22"/>
      <c r="FA291" s="22"/>
      <c r="FB291" s="22"/>
      <c r="FC291" s="22"/>
      <c r="FD291" s="22"/>
      <c r="FE291" s="22"/>
      <c r="FF291" s="22"/>
      <c r="FG291" s="22"/>
      <c r="FH291" s="22"/>
      <c r="FI291" s="22"/>
      <c r="FJ291" s="22"/>
      <c r="FK291" s="22"/>
      <c r="FL291" s="22"/>
      <c r="FM291" s="22"/>
      <c r="FN291" s="22"/>
      <c r="FO291" s="22"/>
      <c r="FP291" s="22"/>
      <c r="FQ291" s="22"/>
      <c r="FR291" s="22"/>
      <c r="FS291" s="22"/>
      <c r="FT291" s="22"/>
      <c r="FU291" s="22"/>
      <c r="FV291" s="22"/>
      <c r="FW291" s="22"/>
      <c r="FX291" s="22"/>
      <c r="FY291" s="22"/>
      <c r="FZ291" s="22"/>
    </row>
    <row r="292" spans="2:182" x14ac:dyDescent="0.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c r="Z292" s="22"/>
      <c r="AA292" s="22"/>
      <c r="AB292" s="22"/>
      <c r="AC292" s="22"/>
      <c r="AD292" s="22"/>
      <c r="AE292" s="22"/>
      <c r="AF292" s="22"/>
      <c r="AG292" s="22"/>
      <c r="AH292" s="22"/>
      <c r="AI292" s="22"/>
      <c r="AJ292" s="22"/>
      <c r="AK292" s="22"/>
      <c r="AL292" s="22"/>
      <c r="AM292" s="22"/>
      <c r="AN292" s="22"/>
      <c r="AO292" s="22"/>
      <c r="AP292" s="22"/>
      <c r="AQ292" s="22"/>
      <c r="AR292" s="22"/>
      <c r="AS292" s="22"/>
      <c r="AT292" s="22"/>
      <c r="AU292" s="22"/>
      <c r="AV292" s="22"/>
      <c r="AW292" s="22"/>
      <c r="AX292" s="22"/>
      <c r="AY292" s="22"/>
      <c r="AZ292" s="22"/>
      <c r="BA292" s="22"/>
      <c r="BB292" s="22"/>
      <c r="BC292" s="22"/>
      <c r="BD292" s="22"/>
      <c r="BE292" s="22"/>
      <c r="BF292" s="22"/>
      <c r="BG292" s="22"/>
      <c r="BH292" s="22"/>
      <c r="BI292" s="22"/>
      <c r="BJ292" s="22"/>
      <c r="BK292" s="22"/>
      <c r="BL292" s="22"/>
      <c r="BM292" s="22"/>
      <c r="BN292" s="22"/>
      <c r="BO292" s="22"/>
      <c r="BP292" s="22"/>
      <c r="BQ292" s="22"/>
      <c r="BR292" s="22"/>
      <c r="BS292" s="22"/>
      <c r="BT292" s="22"/>
      <c r="BU292" s="22"/>
      <c r="BV292" s="22"/>
      <c r="BW292" s="22"/>
      <c r="BX292" s="22"/>
      <c r="BY292" s="22"/>
      <c r="BZ292" s="22"/>
      <c r="CA292" s="22"/>
      <c r="CB292" s="22"/>
      <c r="CC292" s="22"/>
      <c r="CD292" s="22"/>
      <c r="CE292" s="22"/>
      <c r="CF292" s="22"/>
      <c r="CG292" s="22"/>
      <c r="CH292" s="22"/>
      <c r="CI292" s="22"/>
      <c r="CJ292" s="22"/>
      <c r="CK292" s="22"/>
      <c r="CL292" s="22"/>
      <c r="CM292" s="22"/>
      <c r="CN292" s="22"/>
      <c r="CO292" s="22"/>
      <c r="CP292" s="22"/>
      <c r="CQ292" s="22"/>
      <c r="CR292" s="22"/>
      <c r="CS292" s="22"/>
      <c r="CT292" s="22"/>
      <c r="CU292" s="22"/>
      <c r="CV292" s="22"/>
      <c r="CW292" s="22"/>
      <c r="CX292" s="22"/>
      <c r="CY292" s="22"/>
      <c r="CZ292" s="22"/>
      <c r="DA292" s="22"/>
      <c r="DB292" s="22"/>
      <c r="DC292" s="22"/>
      <c r="DD292" s="22"/>
      <c r="DE292" s="22"/>
      <c r="DF292" s="22"/>
      <c r="DG292" s="22"/>
      <c r="DH292" s="22"/>
      <c r="DI292" s="22"/>
      <c r="DJ292" s="22"/>
      <c r="DK292" s="22"/>
      <c r="DL292" s="22"/>
      <c r="DM292" s="22"/>
      <c r="DN292" s="22"/>
      <c r="DO292" s="22"/>
      <c r="DP292" s="22"/>
      <c r="DQ292" s="22"/>
      <c r="DR292" s="22"/>
      <c r="DS292" s="22"/>
      <c r="DT292" s="22"/>
      <c r="DU292" s="22"/>
      <c r="DV292" s="22"/>
      <c r="DW292" s="22"/>
      <c r="DX292" s="22"/>
      <c r="DY292" s="22"/>
      <c r="DZ292" s="22"/>
      <c r="EA292" s="22"/>
      <c r="EB292" s="22"/>
      <c r="EC292" s="22"/>
      <c r="ED292" s="22"/>
      <c r="EE292" s="22"/>
      <c r="EF292" s="22"/>
      <c r="EG292" s="22"/>
      <c r="EH292" s="22"/>
      <c r="EI292" s="22"/>
      <c r="EJ292" s="22"/>
      <c r="EK292" s="22"/>
      <c r="EL292" s="22"/>
      <c r="EM292" s="22"/>
      <c r="EN292" s="22"/>
      <c r="EO292" s="22"/>
      <c r="EP292" s="22"/>
      <c r="EQ292" s="22"/>
      <c r="ER292" s="22"/>
      <c r="ES292" s="22"/>
      <c r="ET292" s="22"/>
      <c r="EU292" s="22"/>
      <c r="EV292" s="22"/>
      <c r="EW292" s="22"/>
      <c r="EX292" s="22"/>
      <c r="EY292" s="22"/>
      <c r="EZ292" s="22"/>
      <c r="FA292" s="22"/>
      <c r="FB292" s="22"/>
      <c r="FC292" s="22"/>
      <c r="FD292" s="22"/>
      <c r="FE292" s="22"/>
      <c r="FF292" s="22"/>
      <c r="FG292" s="22"/>
      <c r="FH292" s="22"/>
      <c r="FI292" s="22"/>
      <c r="FJ292" s="22"/>
      <c r="FK292" s="22"/>
      <c r="FL292" s="22"/>
      <c r="FM292" s="22"/>
      <c r="FN292" s="22"/>
      <c r="FO292" s="22"/>
      <c r="FP292" s="22"/>
      <c r="FQ292" s="22"/>
      <c r="FR292" s="22"/>
      <c r="FS292" s="22"/>
      <c r="FT292" s="22"/>
      <c r="FU292" s="22"/>
      <c r="FV292" s="22"/>
      <c r="FW292" s="22"/>
      <c r="FX292" s="22"/>
      <c r="FY292" s="22"/>
      <c r="FZ292" s="22"/>
    </row>
    <row r="293" spans="2:182" x14ac:dyDescent="0.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c r="Z293" s="22"/>
      <c r="AA293" s="22"/>
      <c r="AB293" s="22"/>
      <c r="AC293" s="22"/>
      <c r="AD293" s="22"/>
      <c r="AE293" s="22"/>
      <c r="AF293" s="22"/>
      <c r="AG293" s="22"/>
      <c r="AH293" s="22"/>
      <c r="AI293" s="22"/>
      <c r="AJ293" s="22"/>
      <c r="AK293" s="22"/>
      <c r="AL293" s="22"/>
      <c r="AM293" s="22"/>
      <c r="AN293" s="22"/>
      <c r="AO293" s="22"/>
      <c r="AP293" s="22"/>
      <c r="AQ293" s="22"/>
      <c r="AR293" s="22"/>
      <c r="AS293" s="22"/>
      <c r="AT293" s="22"/>
      <c r="AU293" s="22"/>
      <c r="AV293" s="22"/>
      <c r="AW293" s="22"/>
      <c r="AX293" s="22"/>
      <c r="AY293" s="22"/>
      <c r="AZ293" s="22"/>
      <c r="BA293" s="22"/>
      <c r="BB293" s="22"/>
      <c r="BC293" s="22"/>
      <c r="BD293" s="22"/>
      <c r="BE293" s="22"/>
      <c r="BF293" s="22"/>
      <c r="BG293" s="22"/>
      <c r="BH293" s="22"/>
      <c r="BI293" s="22"/>
      <c r="BJ293" s="22"/>
      <c r="BK293" s="22"/>
      <c r="BL293" s="22"/>
      <c r="BM293" s="22"/>
      <c r="BN293" s="22"/>
      <c r="BO293" s="22"/>
      <c r="BP293" s="22"/>
      <c r="BQ293" s="22"/>
      <c r="BR293" s="22"/>
      <c r="BS293" s="22"/>
      <c r="BT293" s="22"/>
      <c r="BU293" s="22"/>
      <c r="BV293" s="22"/>
      <c r="BW293" s="22"/>
      <c r="BX293" s="22"/>
      <c r="BY293" s="22"/>
      <c r="BZ293" s="22"/>
      <c r="CA293" s="22"/>
      <c r="CB293" s="22"/>
      <c r="CC293" s="22"/>
      <c r="CD293" s="22"/>
      <c r="CE293" s="22"/>
      <c r="CF293" s="22"/>
      <c r="CG293" s="22"/>
      <c r="CH293" s="22"/>
      <c r="CI293" s="22"/>
      <c r="CJ293" s="22"/>
      <c r="CK293" s="22"/>
      <c r="CL293" s="22"/>
      <c r="CM293" s="22"/>
      <c r="CN293" s="22"/>
      <c r="CO293" s="22"/>
      <c r="CP293" s="22"/>
      <c r="CQ293" s="22"/>
      <c r="CR293" s="22"/>
      <c r="CS293" s="22"/>
      <c r="CT293" s="22"/>
      <c r="CU293" s="22"/>
      <c r="CV293" s="22"/>
      <c r="CW293" s="22"/>
      <c r="CX293" s="22"/>
      <c r="CY293" s="22"/>
      <c r="CZ293" s="22"/>
      <c r="DA293" s="22"/>
      <c r="DB293" s="22"/>
      <c r="DC293" s="22"/>
      <c r="DD293" s="22"/>
      <c r="DE293" s="22"/>
      <c r="DF293" s="22"/>
      <c r="DG293" s="22"/>
      <c r="DH293" s="22"/>
      <c r="DI293" s="22"/>
      <c r="DJ293" s="22"/>
      <c r="DK293" s="22"/>
      <c r="DL293" s="22"/>
      <c r="DM293" s="22"/>
      <c r="DN293" s="22"/>
      <c r="DO293" s="22"/>
      <c r="DP293" s="22"/>
      <c r="DQ293" s="22"/>
      <c r="DR293" s="22"/>
      <c r="DS293" s="22"/>
      <c r="DT293" s="22"/>
      <c r="DU293" s="22"/>
      <c r="DV293" s="22"/>
      <c r="DW293" s="22"/>
      <c r="DX293" s="22"/>
      <c r="DY293" s="22"/>
      <c r="DZ293" s="22"/>
      <c r="EA293" s="22"/>
      <c r="EB293" s="22"/>
      <c r="EC293" s="22"/>
      <c r="ED293" s="22"/>
      <c r="EE293" s="22"/>
      <c r="EF293" s="22"/>
      <c r="EG293" s="22"/>
      <c r="EH293" s="22"/>
      <c r="EI293" s="22"/>
      <c r="EJ293" s="22"/>
      <c r="EK293" s="22"/>
      <c r="EL293" s="22"/>
      <c r="EM293" s="22"/>
      <c r="EN293" s="22"/>
      <c r="EO293" s="22"/>
      <c r="EP293" s="22"/>
      <c r="EQ293" s="22"/>
      <c r="ER293" s="22"/>
      <c r="ES293" s="22"/>
      <c r="ET293" s="22"/>
      <c r="EU293" s="22"/>
      <c r="EV293" s="22"/>
      <c r="EW293" s="22"/>
      <c r="EX293" s="22"/>
      <c r="EY293" s="22"/>
      <c r="EZ293" s="22"/>
      <c r="FA293" s="22"/>
      <c r="FB293" s="22"/>
      <c r="FC293" s="22"/>
      <c r="FD293" s="22"/>
      <c r="FE293" s="22"/>
      <c r="FF293" s="22"/>
      <c r="FG293" s="22"/>
      <c r="FH293" s="22"/>
      <c r="FI293" s="22"/>
      <c r="FJ293" s="22"/>
      <c r="FK293" s="22"/>
      <c r="FL293" s="22"/>
      <c r="FM293" s="22"/>
      <c r="FN293" s="22"/>
      <c r="FO293" s="22"/>
      <c r="FP293" s="22"/>
      <c r="FQ293" s="22"/>
      <c r="FR293" s="22"/>
      <c r="FS293" s="22"/>
      <c r="FT293" s="22"/>
      <c r="FU293" s="22"/>
      <c r="FV293" s="22"/>
      <c r="FW293" s="22"/>
      <c r="FX293" s="22"/>
      <c r="FY293" s="22"/>
      <c r="FZ293" s="22"/>
    </row>
    <row r="294" spans="2:182" x14ac:dyDescent="0.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c r="Z294" s="22"/>
      <c r="AA294" s="22"/>
      <c r="AB294" s="22"/>
      <c r="AC294" s="22"/>
      <c r="AD294" s="22"/>
      <c r="AE294" s="22"/>
      <c r="AF294" s="22"/>
      <c r="AG294" s="22"/>
      <c r="AH294" s="22"/>
      <c r="AI294" s="22"/>
      <c r="AJ294" s="22"/>
      <c r="AK294" s="22"/>
      <c r="AL294" s="22"/>
      <c r="AM294" s="22"/>
      <c r="AN294" s="22"/>
      <c r="AO294" s="22"/>
      <c r="AP294" s="22"/>
      <c r="AQ294" s="22"/>
      <c r="AR294" s="22"/>
      <c r="AS294" s="22"/>
      <c r="AT294" s="22"/>
      <c r="AU294" s="22"/>
      <c r="AV294" s="22"/>
      <c r="AW294" s="22"/>
      <c r="AX294" s="22"/>
      <c r="AY294" s="22"/>
      <c r="AZ294" s="22"/>
      <c r="BA294" s="22"/>
      <c r="BB294" s="22"/>
      <c r="BC294" s="22"/>
      <c r="BD294" s="22"/>
      <c r="BE294" s="22"/>
      <c r="BF294" s="22"/>
      <c r="BG294" s="22"/>
      <c r="BH294" s="22"/>
      <c r="BI294" s="22"/>
      <c r="BJ294" s="22"/>
      <c r="BK294" s="22"/>
      <c r="BL294" s="22"/>
      <c r="BM294" s="22"/>
      <c r="BN294" s="22"/>
      <c r="BO294" s="22"/>
      <c r="BP294" s="22"/>
      <c r="BQ294" s="22"/>
      <c r="BR294" s="22"/>
      <c r="BS294" s="22"/>
      <c r="BT294" s="22"/>
      <c r="BU294" s="22"/>
      <c r="BV294" s="22"/>
      <c r="BW294" s="22"/>
      <c r="BX294" s="22"/>
      <c r="BY294" s="22"/>
      <c r="BZ294" s="22"/>
      <c r="CA294" s="22"/>
      <c r="CB294" s="22"/>
      <c r="CC294" s="22"/>
      <c r="CD294" s="22"/>
      <c r="CE294" s="22"/>
      <c r="CF294" s="22"/>
      <c r="CG294" s="22"/>
      <c r="CH294" s="22"/>
      <c r="CI294" s="22"/>
      <c r="CJ294" s="22"/>
      <c r="CK294" s="22"/>
      <c r="CL294" s="22"/>
      <c r="CM294" s="22"/>
      <c r="CN294" s="22"/>
      <c r="CO294" s="22"/>
      <c r="CP294" s="22"/>
      <c r="CQ294" s="22"/>
      <c r="CR294" s="22"/>
      <c r="CS294" s="22"/>
      <c r="CT294" s="22"/>
      <c r="CU294" s="22"/>
      <c r="CV294" s="22"/>
      <c r="CW294" s="22"/>
      <c r="CX294" s="22"/>
      <c r="CY294" s="22"/>
      <c r="CZ294" s="22"/>
      <c r="DA294" s="22"/>
      <c r="DB294" s="22"/>
      <c r="DC294" s="22"/>
      <c r="DD294" s="22"/>
      <c r="DE294" s="22"/>
      <c r="DF294" s="22"/>
      <c r="DG294" s="22"/>
      <c r="DH294" s="22"/>
      <c r="DI294" s="22"/>
      <c r="DJ294" s="22"/>
      <c r="DK294" s="22"/>
      <c r="DL294" s="22"/>
      <c r="DM294" s="22"/>
      <c r="DN294" s="22"/>
      <c r="DO294" s="22"/>
      <c r="DP294" s="22"/>
      <c r="DQ294" s="22"/>
      <c r="DR294" s="22"/>
      <c r="DS294" s="22"/>
      <c r="DT294" s="22"/>
      <c r="DU294" s="22"/>
      <c r="DV294" s="22"/>
      <c r="DW294" s="22"/>
      <c r="DX294" s="22"/>
      <c r="DY294" s="22"/>
      <c r="DZ294" s="22"/>
      <c r="EA294" s="22"/>
      <c r="EB294" s="22"/>
      <c r="EC294" s="22"/>
      <c r="ED294" s="22"/>
      <c r="EE294" s="22"/>
      <c r="EF294" s="22"/>
      <c r="EG294" s="22"/>
      <c r="EH294" s="22"/>
      <c r="EI294" s="22"/>
      <c r="EJ294" s="22"/>
      <c r="EK294" s="22"/>
      <c r="EL294" s="22"/>
      <c r="EM294" s="22"/>
      <c r="EN294" s="22"/>
      <c r="EO294" s="22"/>
      <c r="EP294" s="22"/>
      <c r="EQ294" s="22"/>
      <c r="ER294" s="22"/>
      <c r="ES294" s="22"/>
      <c r="ET294" s="22"/>
      <c r="EU294" s="22"/>
      <c r="EV294" s="22"/>
      <c r="EW294" s="22"/>
      <c r="EX294" s="22"/>
      <c r="EY294" s="22"/>
      <c r="EZ294" s="22"/>
      <c r="FA294" s="22"/>
      <c r="FB294" s="22"/>
      <c r="FC294" s="22"/>
      <c r="FD294" s="22"/>
      <c r="FE294" s="22"/>
      <c r="FF294" s="22"/>
      <c r="FG294" s="22"/>
      <c r="FH294" s="22"/>
      <c r="FI294" s="22"/>
      <c r="FJ294" s="22"/>
      <c r="FK294" s="22"/>
      <c r="FL294" s="22"/>
      <c r="FM294" s="22"/>
      <c r="FN294" s="22"/>
      <c r="FO294" s="22"/>
      <c r="FP294" s="22"/>
      <c r="FQ294" s="22"/>
      <c r="FR294" s="22"/>
      <c r="FS294" s="22"/>
      <c r="FT294" s="22"/>
      <c r="FU294" s="22"/>
      <c r="FV294" s="22"/>
      <c r="FW294" s="22"/>
      <c r="FX294" s="22"/>
      <c r="FY294" s="22"/>
      <c r="FZ294" s="22"/>
    </row>
    <row r="295" spans="2:182" x14ac:dyDescent="0.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c r="Z295" s="22"/>
      <c r="AA295" s="22"/>
      <c r="AB295" s="22"/>
      <c r="AC295" s="22"/>
      <c r="AD295" s="22"/>
      <c r="AE295" s="22"/>
      <c r="AF295" s="22"/>
      <c r="AG295" s="22"/>
      <c r="AH295" s="22"/>
      <c r="AI295" s="22"/>
      <c r="AJ295" s="22"/>
      <c r="AK295" s="22"/>
      <c r="AL295" s="22"/>
      <c r="AM295" s="22"/>
      <c r="AN295" s="22"/>
      <c r="AO295" s="22"/>
      <c r="AP295" s="22"/>
      <c r="AQ295" s="22"/>
      <c r="AR295" s="22"/>
      <c r="AS295" s="22"/>
      <c r="AT295" s="22"/>
      <c r="AU295" s="22"/>
      <c r="AV295" s="22"/>
      <c r="AW295" s="22"/>
      <c r="AX295" s="22"/>
      <c r="AY295" s="22"/>
      <c r="AZ295" s="22"/>
      <c r="BA295" s="22"/>
      <c r="BB295" s="22"/>
      <c r="BC295" s="22"/>
      <c r="BD295" s="22"/>
      <c r="BE295" s="22"/>
      <c r="BF295" s="22"/>
      <c r="BG295" s="22"/>
      <c r="BH295" s="22"/>
      <c r="BI295" s="22"/>
      <c r="BJ295" s="22"/>
      <c r="BK295" s="22"/>
      <c r="BL295" s="22"/>
      <c r="BM295" s="22"/>
      <c r="BN295" s="22"/>
      <c r="BO295" s="22"/>
      <c r="BP295" s="22"/>
      <c r="BQ295" s="22"/>
      <c r="BR295" s="22"/>
      <c r="BS295" s="22"/>
      <c r="BT295" s="22"/>
      <c r="BU295" s="22"/>
      <c r="BV295" s="22"/>
      <c r="BW295" s="22"/>
      <c r="BX295" s="22"/>
      <c r="BY295" s="22"/>
      <c r="BZ295" s="22"/>
      <c r="CA295" s="22"/>
      <c r="CB295" s="22"/>
      <c r="CC295" s="22"/>
      <c r="CD295" s="22"/>
      <c r="CE295" s="22"/>
      <c r="CF295" s="22"/>
      <c r="CG295" s="22"/>
      <c r="CH295" s="22"/>
      <c r="CI295" s="22"/>
      <c r="CJ295" s="22"/>
      <c r="CK295" s="22"/>
      <c r="CL295" s="22"/>
      <c r="CM295" s="22"/>
      <c r="CN295" s="22"/>
      <c r="CO295" s="22"/>
      <c r="CP295" s="22"/>
      <c r="CQ295" s="22"/>
      <c r="CR295" s="22"/>
      <c r="CS295" s="22"/>
      <c r="CT295" s="22"/>
      <c r="CU295" s="22"/>
      <c r="CV295" s="22"/>
      <c r="CW295" s="22"/>
      <c r="CX295" s="22"/>
      <c r="CY295" s="22"/>
      <c r="CZ295" s="22"/>
      <c r="DA295" s="22"/>
      <c r="DB295" s="22"/>
      <c r="DC295" s="22"/>
      <c r="DD295" s="22"/>
      <c r="DE295" s="22"/>
      <c r="DF295" s="22"/>
      <c r="DG295" s="22"/>
      <c r="DH295" s="22"/>
      <c r="DI295" s="22"/>
      <c r="DJ295" s="22"/>
      <c r="DK295" s="22"/>
      <c r="DL295" s="22"/>
      <c r="DM295" s="22"/>
      <c r="DN295" s="22"/>
      <c r="DO295" s="22"/>
      <c r="DP295" s="22"/>
      <c r="DQ295" s="22"/>
      <c r="DR295" s="22"/>
      <c r="DS295" s="22"/>
      <c r="DT295" s="22"/>
      <c r="DU295" s="22"/>
      <c r="DV295" s="22"/>
      <c r="DW295" s="22"/>
      <c r="DX295" s="22"/>
      <c r="DY295" s="22"/>
      <c r="DZ295" s="22"/>
      <c r="EA295" s="22"/>
      <c r="EB295" s="22"/>
      <c r="EC295" s="22"/>
      <c r="ED295" s="22"/>
      <c r="EE295" s="22"/>
      <c r="EF295" s="22"/>
      <c r="EG295" s="22"/>
      <c r="EH295" s="22"/>
      <c r="EI295" s="22"/>
      <c r="EJ295" s="22"/>
      <c r="EK295" s="22"/>
      <c r="EL295" s="22"/>
      <c r="EM295" s="22"/>
      <c r="EN295" s="22"/>
      <c r="EO295" s="22"/>
      <c r="EP295" s="22"/>
      <c r="EQ295" s="22"/>
      <c r="ER295" s="22"/>
      <c r="ES295" s="22"/>
      <c r="ET295" s="22"/>
      <c r="EU295" s="22"/>
      <c r="EV295" s="22"/>
      <c r="EW295" s="22"/>
      <c r="EX295" s="22"/>
      <c r="EY295" s="22"/>
      <c r="EZ295" s="22"/>
      <c r="FA295" s="22"/>
      <c r="FB295" s="22"/>
      <c r="FC295" s="22"/>
      <c r="FD295" s="22"/>
      <c r="FE295" s="22"/>
      <c r="FF295" s="22"/>
      <c r="FG295" s="22"/>
      <c r="FH295" s="22"/>
      <c r="FI295" s="22"/>
      <c r="FJ295" s="22"/>
      <c r="FK295" s="22"/>
      <c r="FL295" s="22"/>
      <c r="FM295" s="22"/>
      <c r="FN295" s="22"/>
      <c r="FO295" s="22"/>
      <c r="FP295" s="22"/>
      <c r="FQ295" s="22"/>
      <c r="FR295" s="22"/>
      <c r="FS295" s="22"/>
      <c r="FT295" s="22"/>
      <c r="FU295" s="22"/>
      <c r="FV295" s="22"/>
      <c r="FW295" s="22"/>
      <c r="FX295" s="22"/>
      <c r="FY295" s="22"/>
      <c r="FZ295" s="22"/>
    </row>
    <row r="296" spans="2:182" x14ac:dyDescent="0.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c r="Z296" s="22"/>
      <c r="AA296" s="22"/>
      <c r="AB296" s="22"/>
      <c r="AC296" s="22"/>
      <c r="AD296" s="22"/>
      <c r="AE296" s="22"/>
      <c r="AF296" s="22"/>
      <c r="AG296" s="22"/>
      <c r="AH296" s="22"/>
      <c r="AI296" s="22"/>
      <c r="AJ296" s="22"/>
      <c r="AK296" s="22"/>
      <c r="AL296" s="22"/>
      <c r="AM296" s="22"/>
      <c r="AN296" s="22"/>
      <c r="AO296" s="22"/>
      <c r="AP296" s="22"/>
      <c r="AQ296" s="22"/>
      <c r="AR296" s="22"/>
      <c r="AS296" s="22"/>
      <c r="AT296" s="22"/>
      <c r="AU296" s="22"/>
      <c r="AV296" s="22"/>
      <c r="AW296" s="22"/>
      <c r="AX296" s="22"/>
      <c r="AY296" s="22"/>
      <c r="AZ296" s="22"/>
      <c r="BA296" s="22"/>
      <c r="BB296" s="22"/>
      <c r="BC296" s="22"/>
      <c r="BD296" s="22"/>
      <c r="BE296" s="22"/>
      <c r="BF296" s="22"/>
      <c r="BG296" s="22"/>
      <c r="BH296" s="22"/>
      <c r="BI296" s="22"/>
      <c r="BJ296" s="22"/>
      <c r="BK296" s="22"/>
      <c r="BL296" s="22"/>
      <c r="BM296" s="22"/>
      <c r="BN296" s="22"/>
      <c r="BO296" s="22"/>
      <c r="BP296" s="22"/>
      <c r="BQ296" s="22"/>
      <c r="BR296" s="22"/>
      <c r="BS296" s="22"/>
      <c r="BT296" s="22"/>
      <c r="BU296" s="22"/>
      <c r="BV296" s="22"/>
      <c r="BW296" s="22"/>
      <c r="BX296" s="22"/>
      <c r="BY296" s="22"/>
      <c r="BZ296" s="22"/>
      <c r="CA296" s="22"/>
      <c r="CB296" s="22"/>
      <c r="CC296" s="22"/>
      <c r="CD296" s="22"/>
      <c r="CE296" s="22"/>
      <c r="CF296" s="22"/>
      <c r="CG296" s="22"/>
      <c r="CH296" s="22"/>
      <c r="CI296" s="22"/>
      <c r="CJ296" s="22"/>
      <c r="CK296" s="22"/>
      <c r="CL296" s="22"/>
      <c r="CM296" s="22"/>
      <c r="CN296" s="22"/>
      <c r="CO296" s="22"/>
      <c r="CP296" s="22"/>
      <c r="CQ296" s="22"/>
      <c r="CR296" s="22"/>
      <c r="CS296" s="22"/>
      <c r="CT296" s="22"/>
      <c r="CU296" s="22"/>
      <c r="CV296" s="22"/>
      <c r="CW296" s="22"/>
      <c r="CX296" s="22"/>
      <c r="CY296" s="22"/>
      <c r="CZ296" s="22"/>
      <c r="DA296" s="22"/>
      <c r="DB296" s="22"/>
      <c r="DC296" s="22"/>
      <c r="DD296" s="22"/>
      <c r="DE296" s="22"/>
      <c r="DF296" s="22"/>
      <c r="DG296" s="22"/>
      <c r="DH296" s="22"/>
      <c r="DI296" s="22"/>
      <c r="DJ296" s="22"/>
      <c r="DK296" s="22"/>
      <c r="DL296" s="22"/>
      <c r="DM296" s="22"/>
      <c r="DN296" s="22"/>
      <c r="DO296" s="22"/>
      <c r="DP296" s="22"/>
      <c r="DQ296" s="22"/>
      <c r="DR296" s="22"/>
      <c r="DS296" s="22"/>
      <c r="DT296" s="22"/>
      <c r="DU296" s="22"/>
      <c r="DV296" s="22"/>
      <c r="DW296" s="22"/>
      <c r="DX296" s="22"/>
      <c r="DY296" s="22"/>
      <c r="DZ296" s="22"/>
      <c r="EA296" s="22"/>
      <c r="EB296" s="22"/>
      <c r="EC296" s="22"/>
      <c r="ED296" s="22"/>
      <c r="EE296" s="22"/>
      <c r="EF296" s="22"/>
      <c r="EG296" s="22"/>
      <c r="EH296" s="22"/>
      <c r="EI296" s="22"/>
      <c r="EJ296" s="22"/>
      <c r="EK296" s="22"/>
      <c r="EL296" s="22"/>
      <c r="EM296" s="22"/>
      <c r="EN296" s="22"/>
      <c r="EO296" s="22"/>
      <c r="EP296" s="22"/>
      <c r="EQ296" s="22"/>
      <c r="ER296" s="22"/>
      <c r="ES296" s="22"/>
      <c r="ET296" s="22"/>
      <c r="EU296" s="22"/>
      <c r="EV296" s="22"/>
      <c r="EW296" s="22"/>
      <c r="EX296" s="22"/>
      <c r="EY296" s="22"/>
      <c r="EZ296" s="22"/>
      <c r="FA296" s="22"/>
      <c r="FB296" s="22"/>
      <c r="FC296" s="22"/>
      <c r="FD296" s="22"/>
      <c r="FE296" s="22"/>
      <c r="FF296" s="22"/>
      <c r="FG296" s="22"/>
      <c r="FH296" s="22"/>
      <c r="FI296" s="22"/>
      <c r="FJ296" s="22"/>
      <c r="FK296" s="22"/>
      <c r="FL296" s="22"/>
      <c r="FM296" s="22"/>
      <c r="FN296" s="22"/>
      <c r="FO296" s="22"/>
      <c r="FP296" s="22"/>
      <c r="FQ296" s="22"/>
      <c r="FR296" s="22"/>
      <c r="FS296" s="22"/>
      <c r="FT296" s="22"/>
      <c r="FU296" s="22"/>
      <c r="FV296" s="22"/>
      <c r="FW296" s="22"/>
      <c r="FX296" s="22"/>
      <c r="FY296" s="22"/>
      <c r="FZ296" s="22"/>
    </row>
    <row r="297" spans="2:182" x14ac:dyDescent="0.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c r="Z297" s="22"/>
      <c r="AA297" s="22"/>
      <c r="AB297" s="22"/>
      <c r="AC297" s="22"/>
      <c r="AD297" s="22"/>
      <c r="AE297" s="22"/>
      <c r="AF297" s="22"/>
      <c r="AG297" s="22"/>
      <c r="AH297" s="22"/>
      <c r="AI297" s="22"/>
      <c r="AJ297" s="22"/>
      <c r="AK297" s="22"/>
      <c r="AL297" s="22"/>
      <c r="AM297" s="22"/>
      <c r="AN297" s="22"/>
      <c r="AO297" s="22"/>
      <c r="AP297" s="22"/>
      <c r="AQ297" s="22"/>
      <c r="AR297" s="22"/>
      <c r="AS297" s="22"/>
      <c r="AT297" s="22"/>
      <c r="AU297" s="22"/>
      <c r="AV297" s="22"/>
      <c r="AW297" s="22"/>
      <c r="AX297" s="22"/>
      <c r="AY297" s="22"/>
      <c r="AZ297" s="22"/>
      <c r="BA297" s="22"/>
      <c r="BB297" s="22"/>
      <c r="BC297" s="22"/>
      <c r="BD297" s="22"/>
      <c r="BE297" s="22"/>
      <c r="BF297" s="22"/>
      <c r="BG297" s="22"/>
      <c r="BH297" s="22"/>
      <c r="BI297" s="22"/>
      <c r="BJ297" s="22"/>
      <c r="BK297" s="22"/>
      <c r="BL297" s="22"/>
      <c r="BM297" s="22"/>
      <c r="BN297" s="22"/>
      <c r="BO297" s="22"/>
      <c r="BP297" s="22"/>
      <c r="BQ297" s="22"/>
      <c r="BR297" s="22"/>
      <c r="BS297" s="22"/>
      <c r="BT297" s="22"/>
      <c r="BU297" s="22"/>
      <c r="BV297" s="22"/>
      <c r="BW297" s="22"/>
      <c r="BX297" s="22"/>
      <c r="BY297" s="22"/>
      <c r="BZ297" s="22"/>
      <c r="CA297" s="22"/>
      <c r="CB297" s="22"/>
      <c r="CC297" s="22"/>
      <c r="CD297" s="22"/>
      <c r="CE297" s="22"/>
      <c r="CF297" s="22"/>
      <c r="CG297" s="22"/>
      <c r="CH297" s="22"/>
      <c r="CI297" s="22"/>
      <c r="CJ297" s="22"/>
      <c r="CK297" s="22"/>
      <c r="CL297" s="22"/>
      <c r="CM297" s="22"/>
      <c r="CN297" s="22"/>
      <c r="CO297" s="22"/>
      <c r="CP297" s="22"/>
      <c r="CQ297" s="22"/>
      <c r="CR297" s="22"/>
      <c r="CS297" s="22"/>
      <c r="CT297" s="22"/>
      <c r="CU297" s="22"/>
      <c r="CV297" s="22"/>
      <c r="CW297" s="22"/>
      <c r="CX297" s="22"/>
      <c r="CY297" s="22"/>
      <c r="CZ297" s="22"/>
      <c r="DA297" s="22"/>
      <c r="DB297" s="22"/>
      <c r="DC297" s="22"/>
      <c r="DD297" s="22"/>
      <c r="DE297" s="22"/>
      <c r="DF297" s="22"/>
      <c r="DG297" s="22"/>
      <c r="DH297" s="22"/>
      <c r="DI297" s="22"/>
      <c r="DJ297" s="22"/>
      <c r="DK297" s="22"/>
      <c r="DL297" s="22"/>
      <c r="DM297" s="22"/>
      <c r="DN297" s="22"/>
      <c r="DO297" s="22"/>
      <c r="DP297" s="22"/>
      <c r="DQ297" s="22"/>
      <c r="DR297" s="22"/>
      <c r="DS297" s="22"/>
      <c r="DT297" s="22"/>
      <c r="DU297" s="22"/>
      <c r="DV297" s="22"/>
      <c r="DW297" s="22"/>
      <c r="DX297" s="22"/>
      <c r="DY297" s="22"/>
      <c r="DZ297" s="22"/>
      <c r="EA297" s="22"/>
      <c r="EB297" s="22"/>
      <c r="EC297" s="22"/>
      <c r="ED297" s="22"/>
      <c r="EE297" s="22"/>
      <c r="EF297" s="22"/>
      <c r="EG297" s="22"/>
      <c r="EH297" s="22"/>
      <c r="EI297" s="22"/>
      <c r="EJ297" s="22"/>
      <c r="EK297" s="22"/>
      <c r="EL297" s="22"/>
      <c r="EM297" s="22"/>
      <c r="EN297" s="22"/>
      <c r="EO297" s="22"/>
      <c r="EP297" s="22"/>
      <c r="EQ297" s="22"/>
      <c r="ER297" s="22"/>
      <c r="ES297" s="22"/>
      <c r="ET297" s="22"/>
      <c r="EU297" s="22"/>
      <c r="EV297" s="22"/>
      <c r="EW297" s="22"/>
      <c r="EX297" s="22"/>
      <c r="EY297" s="22"/>
      <c r="EZ297" s="22"/>
      <c r="FA297" s="22"/>
      <c r="FB297" s="22"/>
      <c r="FC297" s="22"/>
      <c r="FD297" s="22"/>
      <c r="FE297" s="22"/>
      <c r="FF297" s="22"/>
      <c r="FG297" s="22"/>
      <c r="FH297" s="22"/>
      <c r="FI297" s="22"/>
      <c r="FJ297" s="22"/>
      <c r="FK297" s="22"/>
      <c r="FL297" s="22"/>
      <c r="FM297" s="22"/>
      <c r="FN297" s="22"/>
      <c r="FO297" s="22"/>
      <c r="FP297" s="22"/>
      <c r="FQ297" s="22"/>
      <c r="FR297" s="22"/>
      <c r="FS297" s="22"/>
      <c r="FT297" s="22"/>
      <c r="FU297" s="22"/>
      <c r="FV297" s="22"/>
      <c r="FW297" s="22"/>
      <c r="FX297" s="22"/>
      <c r="FY297" s="22"/>
      <c r="FZ297" s="22"/>
    </row>
    <row r="298" spans="2:182" x14ac:dyDescent="0.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c r="Z298" s="22"/>
      <c r="AA298" s="22"/>
      <c r="AB298" s="22"/>
      <c r="AC298" s="22"/>
      <c r="AD298" s="22"/>
      <c r="AE298" s="22"/>
      <c r="AF298" s="22"/>
      <c r="AG298" s="22"/>
      <c r="AH298" s="22"/>
      <c r="AI298" s="22"/>
      <c r="AJ298" s="22"/>
      <c r="AK298" s="22"/>
      <c r="AL298" s="22"/>
      <c r="AM298" s="22"/>
      <c r="AN298" s="22"/>
      <c r="AO298" s="22"/>
      <c r="AP298" s="22"/>
      <c r="AQ298" s="22"/>
      <c r="AR298" s="22"/>
      <c r="AS298" s="22"/>
      <c r="AT298" s="22"/>
      <c r="AU298" s="22"/>
      <c r="AV298" s="22"/>
      <c r="AW298" s="22"/>
      <c r="AX298" s="22"/>
      <c r="AY298" s="22"/>
      <c r="AZ298" s="22"/>
      <c r="BA298" s="22"/>
      <c r="BB298" s="22"/>
      <c r="BC298" s="22"/>
      <c r="BD298" s="22"/>
      <c r="BE298" s="22"/>
      <c r="BF298" s="22"/>
      <c r="BG298" s="22"/>
      <c r="BH298" s="22"/>
      <c r="BI298" s="22"/>
      <c r="BJ298" s="22"/>
      <c r="BK298" s="22"/>
      <c r="BL298" s="22"/>
      <c r="BM298" s="22"/>
      <c r="BN298" s="22"/>
      <c r="BO298" s="22"/>
      <c r="BP298" s="22"/>
      <c r="BQ298" s="22"/>
      <c r="BR298" s="22"/>
      <c r="BS298" s="22"/>
      <c r="BT298" s="22"/>
      <c r="BU298" s="22"/>
      <c r="BV298" s="22"/>
      <c r="BW298" s="22"/>
      <c r="BX298" s="22"/>
      <c r="BY298" s="22"/>
      <c r="BZ298" s="22"/>
      <c r="CA298" s="22"/>
      <c r="CB298" s="22"/>
      <c r="CC298" s="22"/>
      <c r="CD298" s="22"/>
      <c r="CE298" s="22"/>
      <c r="CF298" s="22"/>
      <c r="CG298" s="22"/>
      <c r="CH298" s="22"/>
      <c r="CI298" s="22"/>
      <c r="CJ298" s="22"/>
      <c r="CK298" s="22"/>
      <c r="CL298" s="22"/>
      <c r="CM298" s="22"/>
      <c r="CN298" s="22"/>
      <c r="CO298" s="22"/>
      <c r="CP298" s="22"/>
      <c r="CQ298" s="22"/>
      <c r="CR298" s="22"/>
      <c r="CS298" s="22"/>
      <c r="CT298" s="22"/>
      <c r="CU298" s="22"/>
      <c r="CV298" s="22"/>
      <c r="CW298" s="22"/>
      <c r="CX298" s="22"/>
      <c r="CY298" s="22"/>
      <c r="CZ298" s="22"/>
      <c r="DA298" s="22"/>
      <c r="DB298" s="22"/>
      <c r="DC298" s="22"/>
      <c r="DD298" s="22"/>
      <c r="DE298" s="22"/>
      <c r="DF298" s="22"/>
      <c r="DG298" s="22"/>
      <c r="DH298" s="22"/>
      <c r="DI298" s="22"/>
      <c r="DJ298" s="22"/>
      <c r="DK298" s="22"/>
      <c r="DL298" s="22"/>
      <c r="DM298" s="22"/>
      <c r="DN298" s="22"/>
      <c r="DO298" s="22"/>
      <c r="DP298" s="22"/>
      <c r="DQ298" s="22"/>
      <c r="DR298" s="22"/>
      <c r="DS298" s="22"/>
      <c r="DT298" s="22"/>
      <c r="DU298" s="22"/>
      <c r="DV298" s="22"/>
      <c r="DW298" s="22"/>
      <c r="DX298" s="22"/>
      <c r="DY298" s="22"/>
      <c r="DZ298" s="22"/>
      <c r="EA298" s="22"/>
      <c r="EB298" s="22"/>
      <c r="EC298" s="22"/>
      <c r="ED298" s="22"/>
      <c r="EE298" s="22"/>
      <c r="EF298" s="22"/>
      <c r="EG298" s="22"/>
      <c r="EH298" s="22"/>
      <c r="EI298" s="22"/>
      <c r="EJ298" s="22"/>
      <c r="EK298" s="22"/>
      <c r="EL298" s="22"/>
      <c r="EM298" s="22"/>
      <c r="EN298" s="22"/>
      <c r="EO298" s="22"/>
      <c r="EP298" s="22"/>
      <c r="EQ298" s="22"/>
      <c r="ER298" s="22"/>
      <c r="ES298" s="22"/>
      <c r="ET298" s="22"/>
      <c r="EU298" s="22"/>
      <c r="EV298" s="22"/>
      <c r="EW298" s="22"/>
      <c r="EX298" s="22"/>
      <c r="EY298" s="22"/>
      <c r="EZ298" s="22"/>
      <c r="FA298" s="22"/>
      <c r="FB298" s="22"/>
      <c r="FC298" s="22"/>
      <c r="FD298" s="22"/>
      <c r="FE298" s="22"/>
      <c r="FF298" s="22"/>
      <c r="FG298" s="22"/>
      <c r="FH298" s="22"/>
      <c r="FI298" s="22"/>
      <c r="FJ298" s="22"/>
      <c r="FK298" s="22"/>
      <c r="FL298" s="22"/>
      <c r="FM298" s="22"/>
      <c r="FN298" s="22"/>
      <c r="FO298" s="22"/>
      <c r="FP298" s="22"/>
      <c r="FQ298" s="22"/>
      <c r="FR298" s="22"/>
      <c r="FS298" s="22"/>
      <c r="FT298" s="22"/>
      <c r="FU298" s="22"/>
      <c r="FV298" s="22"/>
      <c r="FW298" s="22"/>
      <c r="FX298" s="22"/>
      <c r="FY298" s="22"/>
      <c r="FZ298" s="22"/>
    </row>
    <row r="299" spans="2:182" x14ac:dyDescent="0.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c r="Z299" s="22"/>
      <c r="AA299" s="22"/>
      <c r="AB299" s="22"/>
      <c r="AC299" s="22"/>
      <c r="AD299" s="22"/>
      <c r="AE299" s="22"/>
      <c r="AF299" s="22"/>
      <c r="AG299" s="22"/>
      <c r="AH299" s="22"/>
      <c r="AI299" s="22"/>
      <c r="AJ299" s="22"/>
      <c r="AK299" s="22"/>
      <c r="AL299" s="22"/>
      <c r="AM299" s="22"/>
      <c r="AN299" s="22"/>
      <c r="AO299" s="22"/>
      <c r="AP299" s="22"/>
      <c r="AQ299" s="22"/>
      <c r="AR299" s="22"/>
      <c r="AS299" s="22"/>
      <c r="AT299" s="22"/>
      <c r="AU299" s="22"/>
      <c r="AV299" s="22"/>
      <c r="AW299" s="22"/>
      <c r="AX299" s="22"/>
      <c r="AY299" s="22"/>
      <c r="AZ299" s="22"/>
      <c r="BA299" s="22"/>
      <c r="BB299" s="22"/>
      <c r="BC299" s="22"/>
      <c r="BD299" s="22"/>
      <c r="BE299" s="22"/>
      <c r="BF299" s="22"/>
      <c r="BG299" s="22"/>
      <c r="BH299" s="22"/>
      <c r="BI299" s="22"/>
      <c r="BJ299" s="22"/>
      <c r="BK299" s="22"/>
      <c r="BL299" s="22"/>
      <c r="BM299" s="22"/>
      <c r="BN299" s="22"/>
      <c r="BO299" s="22"/>
      <c r="BP299" s="22"/>
      <c r="BQ299" s="22"/>
      <c r="BR299" s="22"/>
      <c r="BS299" s="22"/>
      <c r="BT299" s="22"/>
      <c r="BU299" s="22"/>
      <c r="BV299" s="22"/>
      <c r="BW299" s="22"/>
      <c r="BX299" s="22"/>
      <c r="BY299" s="22"/>
      <c r="BZ299" s="22"/>
      <c r="CA299" s="22"/>
      <c r="CB299" s="22"/>
      <c r="CC299" s="22"/>
      <c r="CD299" s="22"/>
      <c r="CE299" s="22"/>
      <c r="CF299" s="22"/>
      <c r="CG299" s="22"/>
      <c r="CH299" s="22"/>
      <c r="CI299" s="22"/>
      <c r="CJ299" s="22"/>
      <c r="CK299" s="22"/>
      <c r="CL299" s="22"/>
      <c r="CM299" s="22"/>
      <c r="CN299" s="22"/>
      <c r="CO299" s="22"/>
      <c r="CP299" s="22"/>
      <c r="CQ299" s="22"/>
      <c r="CR299" s="22"/>
      <c r="CS299" s="22"/>
      <c r="CT299" s="22"/>
      <c r="CU299" s="22"/>
      <c r="CV299" s="22"/>
      <c r="CW299" s="22"/>
      <c r="CX299" s="22"/>
      <c r="CY299" s="22"/>
      <c r="CZ299" s="22"/>
      <c r="DA299" s="22"/>
      <c r="DB299" s="22"/>
      <c r="DC299" s="22"/>
      <c r="DD299" s="22"/>
      <c r="DE299" s="22"/>
      <c r="DF299" s="22"/>
      <c r="DG299" s="22"/>
      <c r="DH299" s="22"/>
      <c r="DI299" s="22"/>
      <c r="DJ299" s="22"/>
      <c r="DK299" s="22"/>
      <c r="DL299" s="22"/>
      <c r="DM299" s="22"/>
      <c r="DN299" s="22"/>
      <c r="DO299" s="22"/>
      <c r="DP299" s="22"/>
      <c r="DQ299" s="22"/>
      <c r="DR299" s="22"/>
      <c r="DS299" s="22"/>
      <c r="DT299" s="22"/>
      <c r="DU299" s="22"/>
      <c r="DV299" s="22"/>
      <c r="DW299" s="22"/>
      <c r="DX299" s="22"/>
      <c r="DY299" s="22"/>
      <c r="DZ299" s="22"/>
      <c r="EA299" s="22"/>
      <c r="EB299" s="22"/>
      <c r="EC299" s="22"/>
      <c r="ED299" s="22"/>
      <c r="EE299" s="22"/>
      <c r="EF299" s="22"/>
      <c r="EG299" s="22"/>
      <c r="EH299" s="22"/>
      <c r="EI299" s="22"/>
      <c r="EJ299" s="22"/>
      <c r="EK299" s="22"/>
      <c r="EL299" s="22"/>
      <c r="EM299" s="22"/>
      <c r="EN299" s="22"/>
      <c r="EO299" s="22"/>
      <c r="EP299" s="22"/>
      <c r="EQ299" s="22"/>
      <c r="ER299" s="22"/>
      <c r="ES299" s="22"/>
      <c r="ET299" s="22"/>
      <c r="EU299" s="22"/>
      <c r="EV299" s="22"/>
      <c r="EW299" s="22"/>
      <c r="EX299" s="22"/>
      <c r="EY299" s="22"/>
      <c r="EZ299" s="22"/>
      <c r="FA299" s="22"/>
      <c r="FB299" s="22"/>
      <c r="FC299" s="22"/>
      <c r="FD299" s="22"/>
      <c r="FE299" s="22"/>
      <c r="FF299" s="22"/>
      <c r="FG299" s="22"/>
      <c r="FH299" s="22"/>
      <c r="FI299" s="22"/>
      <c r="FJ299" s="22"/>
      <c r="FK299" s="22"/>
      <c r="FL299" s="22"/>
      <c r="FM299" s="22"/>
      <c r="FN299" s="22"/>
      <c r="FO299" s="22"/>
      <c r="FP299" s="22"/>
      <c r="FQ299" s="22"/>
      <c r="FR299" s="22"/>
      <c r="FS299" s="22"/>
      <c r="FT299" s="22"/>
      <c r="FU299" s="22"/>
      <c r="FV299" s="22"/>
      <c r="FW299" s="22"/>
      <c r="FX299" s="22"/>
      <c r="FY299" s="22"/>
      <c r="FZ299" s="22"/>
    </row>
    <row r="300" spans="2:182" x14ac:dyDescent="0.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c r="Z300" s="22"/>
      <c r="AA300" s="22"/>
      <c r="AB300" s="22"/>
      <c r="AC300" s="22"/>
      <c r="AD300" s="22"/>
      <c r="AE300" s="22"/>
      <c r="AF300" s="22"/>
      <c r="AG300" s="22"/>
      <c r="AH300" s="22"/>
      <c r="AI300" s="22"/>
      <c r="AJ300" s="22"/>
      <c r="AK300" s="22"/>
      <c r="AL300" s="22"/>
      <c r="AM300" s="22"/>
      <c r="AN300" s="22"/>
      <c r="AO300" s="22"/>
      <c r="AP300" s="22"/>
      <c r="AQ300" s="22"/>
      <c r="AR300" s="22"/>
      <c r="AS300" s="22"/>
      <c r="AT300" s="22"/>
      <c r="AU300" s="22"/>
      <c r="AV300" s="22"/>
      <c r="AW300" s="22"/>
      <c r="AX300" s="22"/>
      <c r="AY300" s="22"/>
      <c r="AZ300" s="22"/>
      <c r="BA300" s="22"/>
      <c r="BB300" s="22"/>
      <c r="BC300" s="22"/>
      <c r="BD300" s="22"/>
      <c r="BE300" s="22"/>
      <c r="BF300" s="22"/>
      <c r="BG300" s="22"/>
      <c r="BH300" s="22"/>
      <c r="BI300" s="22"/>
      <c r="BJ300" s="22"/>
      <c r="BK300" s="22"/>
      <c r="BL300" s="22"/>
      <c r="BM300" s="22"/>
      <c r="BN300" s="22"/>
      <c r="BO300" s="22"/>
      <c r="BP300" s="22"/>
      <c r="BQ300" s="22"/>
      <c r="BR300" s="22"/>
      <c r="BS300" s="22"/>
      <c r="BT300" s="22"/>
      <c r="BU300" s="22"/>
      <c r="BV300" s="22"/>
      <c r="BW300" s="22"/>
      <c r="BX300" s="22"/>
      <c r="BY300" s="22"/>
      <c r="BZ300" s="22"/>
      <c r="CA300" s="22"/>
      <c r="CB300" s="22"/>
      <c r="CC300" s="22"/>
      <c r="CD300" s="22"/>
      <c r="CE300" s="22"/>
      <c r="CF300" s="22"/>
      <c r="CG300" s="22"/>
      <c r="CH300" s="22"/>
      <c r="CI300" s="22"/>
      <c r="CJ300" s="22"/>
      <c r="CK300" s="22"/>
      <c r="CL300" s="22"/>
      <c r="CM300" s="22"/>
      <c r="CN300" s="22"/>
      <c r="CO300" s="22"/>
      <c r="CP300" s="22"/>
      <c r="CQ300" s="22"/>
      <c r="CR300" s="22"/>
      <c r="CS300" s="22"/>
      <c r="CT300" s="22"/>
      <c r="CU300" s="22"/>
      <c r="CV300" s="22"/>
      <c r="CW300" s="22"/>
      <c r="CX300" s="22"/>
      <c r="CY300" s="22"/>
      <c r="CZ300" s="22"/>
      <c r="DA300" s="22"/>
      <c r="DB300" s="22"/>
      <c r="DC300" s="22"/>
      <c r="DD300" s="22"/>
      <c r="DE300" s="22"/>
      <c r="DF300" s="22"/>
      <c r="DG300" s="22"/>
      <c r="DH300" s="22"/>
      <c r="DI300" s="22"/>
      <c r="DJ300" s="22"/>
      <c r="DK300" s="22"/>
      <c r="DL300" s="22"/>
      <c r="DM300" s="22"/>
      <c r="DN300" s="22"/>
      <c r="DO300" s="22"/>
      <c r="DP300" s="22"/>
      <c r="DQ300" s="22"/>
      <c r="DR300" s="22"/>
      <c r="DS300" s="22"/>
      <c r="DT300" s="22"/>
      <c r="DU300" s="22"/>
      <c r="DV300" s="22"/>
      <c r="DW300" s="22"/>
      <c r="DX300" s="22"/>
      <c r="DY300" s="22"/>
      <c r="DZ300" s="22"/>
      <c r="EA300" s="22"/>
      <c r="EB300" s="22"/>
      <c r="EC300" s="22"/>
      <c r="ED300" s="22"/>
      <c r="EE300" s="22"/>
      <c r="EF300" s="22"/>
      <c r="EG300" s="22"/>
      <c r="EH300" s="22"/>
      <c r="EI300" s="22"/>
      <c r="EJ300" s="22"/>
      <c r="EK300" s="22"/>
      <c r="EL300" s="22"/>
      <c r="EM300" s="22"/>
      <c r="EN300" s="22"/>
      <c r="EO300" s="22"/>
      <c r="EP300" s="22"/>
      <c r="EQ300" s="22"/>
      <c r="ER300" s="22"/>
      <c r="ES300" s="22"/>
      <c r="ET300" s="22"/>
      <c r="EU300" s="22"/>
      <c r="EV300" s="22"/>
      <c r="EW300" s="22"/>
      <c r="EX300" s="22"/>
      <c r="EY300" s="22"/>
      <c r="EZ300" s="22"/>
      <c r="FA300" s="22"/>
      <c r="FB300" s="22"/>
      <c r="FC300" s="22"/>
      <c r="FD300" s="22"/>
      <c r="FE300" s="22"/>
      <c r="FF300" s="22"/>
      <c r="FG300" s="22"/>
      <c r="FH300" s="22"/>
      <c r="FI300" s="22"/>
      <c r="FJ300" s="22"/>
      <c r="FK300" s="22"/>
      <c r="FL300" s="22"/>
      <c r="FM300" s="22"/>
      <c r="FN300" s="22"/>
      <c r="FO300" s="22"/>
      <c r="FP300" s="22"/>
      <c r="FQ300" s="22"/>
      <c r="FR300" s="22"/>
      <c r="FS300" s="22"/>
      <c r="FT300" s="22"/>
      <c r="FU300" s="22"/>
      <c r="FV300" s="22"/>
      <c r="FW300" s="22"/>
      <c r="FX300" s="22"/>
      <c r="FY300" s="22"/>
      <c r="FZ300" s="22"/>
    </row>
    <row r="301" spans="2:182" x14ac:dyDescent="0.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c r="Z301" s="22"/>
      <c r="AA301" s="22"/>
      <c r="AB301" s="22"/>
      <c r="AC301" s="22"/>
      <c r="AD301" s="22"/>
      <c r="AE301" s="22"/>
      <c r="AF301" s="22"/>
      <c r="AG301" s="22"/>
      <c r="AH301" s="22"/>
      <c r="AI301" s="22"/>
      <c r="AJ301" s="22"/>
      <c r="AK301" s="22"/>
      <c r="AL301" s="22"/>
      <c r="AM301" s="22"/>
      <c r="AN301" s="22"/>
      <c r="AO301" s="22"/>
      <c r="AP301" s="22"/>
      <c r="AQ301" s="22"/>
      <c r="AR301" s="22"/>
      <c r="AS301" s="22"/>
      <c r="AT301" s="22"/>
      <c r="AU301" s="22"/>
      <c r="AV301" s="22"/>
      <c r="AW301" s="22"/>
      <c r="AX301" s="22"/>
      <c r="AY301" s="22"/>
      <c r="AZ301" s="22"/>
      <c r="BA301" s="22"/>
      <c r="BB301" s="22"/>
      <c r="BC301" s="22"/>
      <c r="BD301" s="22"/>
      <c r="BE301" s="22"/>
      <c r="BF301" s="22"/>
      <c r="BG301" s="22"/>
      <c r="BH301" s="22"/>
      <c r="BI301" s="22"/>
      <c r="BJ301" s="22"/>
      <c r="BK301" s="22"/>
      <c r="BL301" s="22"/>
      <c r="BM301" s="22"/>
      <c r="BN301" s="22"/>
      <c r="BO301" s="22"/>
      <c r="BP301" s="22"/>
      <c r="BQ301" s="22"/>
      <c r="BR301" s="22"/>
      <c r="BS301" s="22"/>
      <c r="BT301" s="22"/>
      <c r="BU301" s="22"/>
      <c r="BV301" s="22"/>
      <c r="BW301" s="22"/>
      <c r="BX301" s="22"/>
      <c r="BY301" s="22"/>
      <c r="BZ301" s="22"/>
      <c r="CA301" s="22"/>
      <c r="CB301" s="22"/>
      <c r="CC301" s="22"/>
      <c r="CD301" s="22"/>
      <c r="CE301" s="22"/>
      <c r="CF301" s="22"/>
      <c r="CG301" s="22"/>
      <c r="CH301" s="22"/>
      <c r="CI301" s="22"/>
      <c r="CJ301" s="22"/>
      <c r="CK301" s="22"/>
      <c r="CL301" s="22"/>
      <c r="CM301" s="22"/>
      <c r="CN301" s="22"/>
      <c r="CO301" s="22"/>
      <c r="CP301" s="22"/>
      <c r="CQ301" s="22"/>
      <c r="CR301" s="22"/>
      <c r="CS301" s="22"/>
      <c r="CT301" s="22"/>
      <c r="CU301" s="22"/>
      <c r="CV301" s="22"/>
      <c r="CW301" s="22"/>
      <c r="CX301" s="22"/>
      <c r="CY301" s="22"/>
      <c r="CZ301" s="22"/>
      <c r="DA301" s="22"/>
      <c r="DB301" s="22"/>
      <c r="DC301" s="22"/>
      <c r="DD301" s="22"/>
      <c r="DE301" s="22"/>
      <c r="DF301" s="22"/>
      <c r="DG301" s="22"/>
      <c r="DH301" s="22"/>
      <c r="DI301" s="22"/>
      <c r="DJ301" s="22"/>
      <c r="DK301" s="22"/>
      <c r="DL301" s="22"/>
      <c r="DM301" s="22"/>
      <c r="DN301" s="22"/>
      <c r="DO301" s="22"/>
      <c r="DP301" s="22"/>
      <c r="DQ301" s="22"/>
      <c r="DR301" s="22"/>
      <c r="DS301" s="22"/>
      <c r="DT301" s="22"/>
      <c r="DU301" s="22"/>
      <c r="DV301" s="22"/>
      <c r="DW301" s="22"/>
      <c r="DX301" s="22"/>
      <c r="DY301" s="22"/>
      <c r="DZ301" s="22"/>
      <c r="EA301" s="22"/>
      <c r="EB301" s="22"/>
      <c r="EC301" s="22"/>
      <c r="ED301" s="22"/>
      <c r="EE301" s="22"/>
      <c r="EF301" s="22"/>
      <c r="EG301" s="22"/>
      <c r="EH301" s="22"/>
      <c r="EI301" s="22"/>
      <c r="EJ301" s="22"/>
      <c r="EK301" s="22"/>
      <c r="EL301" s="22"/>
      <c r="EM301" s="22"/>
      <c r="EN301" s="22"/>
      <c r="EO301" s="22"/>
      <c r="EP301" s="22"/>
      <c r="EQ301" s="22"/>
      <c r="ER301" s="22"/>
      <c r="ES301" s="22"/>
      <c r="ET301" s="22"/>
      <c r="EU301" s="22"/>
      <c r="EV301" s="22"/>
      <c r="EW301" s="22"/>
      <c r="EX301" s="22"/>
      <c r="EY301" s="22"/>
      <c r="EZ301" s="22"/>
      <c r="FA301" s="22"/>
      <c r="FB301" s="22"/>
      <c r="FC301" s="22"/>
      <c r="FD301" s="22"/>
      <c r="FE301" s="22"/>
      <c r="FF301" s="22"/>
      <c r="FG301" s="22"/>
      <c r="FH301" s="22"/>
      <c r="FI301" s="22"/>
      <c r="FJ301" s="22"/>
      <c r="FK301" s="22"/>
      <c r="FL301" s="22"/>
      <c r="FM301" s="22"/>
      <c r="FN301" s="22"/>
      <c r="FO301" s="22"/>
      <c r="FP301" s="22"/>
      <c r="FQ301" s="22"/>
      <c r="FR301" s="22"/>
      <c r="FS301" s="22"/>
      <c r="FT301" s="22"/>
      <c r="FU301" s="22"/>
      <c r="FV301" s="22"/>
      <c r="FW301" s="22"/>
      <c r="FX301" s="22"/>
      <c r="FY301" s="22"/>
      <c r="FZ301" s="22"/>
    </row>
    <row r="302" spans="2:182" x14ac:dyDescent="0.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c r="Z302" s="22"/>
      <c r="AA302" s="22"/>
      <c r="AB302" s="22"/>
      <c r="AC302" s="22"/>
      <c r="AD302" s="22"/>
      <c r="AE302" s="22"/>
      <c r="AF302" s="22"/>
      <c r="AG302" s="22"/>
      <c r="AH302" s="22"/>
      <c r="AI302" s="22"/>
      <c r="AJ302" s="22"/>
      <c r="AK302" s="22"/>
      <c r="AL302" s="22"/>
      <c r="AM302" s="22"/>
      <c r="AN302" s="22"/>
      <c r="AO302" s="22"/>
      <c r="AP302" s="22"/>
      <c r="AQ302" s="22"/>
      <c r="AR302" s="22"/>
      <c r="AS302" s="22"/>
      <c r="AT302" s="22"/>
      <c r="AU302" s="22"/>
      <c r="AV302" s="22"/>
      <c r="AW302" s="22"/>
      <c r="AX302" s="22"/>
      <c r="AY302" s="22"/>
      <c r="AZ302" s="22"/>
      <c r="BA302" s="22"/>
      <c r="BB302" s="22"/>
      <c r="BC302" s="22"/>
      <c r="BD302" s="22"/>
      <c r="BE302" s="22"/>
      <c r="BF302" s="22"/>
      <c r="BG302" s="22"/>
      <c r="BH302" s="22"/>
      <c r="BI302" s="22"/>
      <c r="BJ302" s="22"/>
      <c r="BK302" s="22"/>
      <c r="BL302" s="22"/>
      <c r="BM302" s="22"/>
      <c r="BN302" s="22"/>
      <c r="BO302" s="22"/>
      <c r="BP302" s="22"/>
      <c r="BQ302" s="22"/>
      <c r="BR302" s="22"/>
      <c r="BS302" s="22"/>
      <c r="BT302" s="22"/>
      <c r="BU302" s="22"/>
      <c r="BV302" s="22"/>
      <c r="BW302" s="22"/>
      <c r="BX302" s="22"/>
      <c r="BY302" s="22"/>
      <c r="BZ302" s="22"/>
      <c r="CA302" s="22"/>
      <c r="CB302" s="22"/>
      <c r="CC302" s="22"/>
      <c r="CD302" s="22"/>
      <c r="CE302" s="22"/>
      <c r="CF302" s="22"/>
      <c r="CG302" s="22"/>
      <c r="CH302" s="22"/>
      <c r="CI302" s="22"/>
      <c r="CJ302" s="22"/>
      <c r="CK302" s="22"/>
      <c r="CL302" s="22"/>
      <c r="CM302" s="22"/>
      <c r="CN302" s="22"/>
      <c r="CO302" s="22"/>
      <c r="CP302" s="22"/>
      <c r="CQ302" s="22"/>
      <c r="CR302" s="22"/>
      <c r="CS302" s="22"/>
      <c r="CT302" s="22"/>
      <c r="CU302" s="22"/>
      <c r="CV302" s="22"/>
      <c r="CW302" s="22"/>
      <c r="CX302" s="22"/>
      <c r="CY302" s="22"/>
      <c r="CZ302" s="22"/>
      <c r="DA302" s="22"/>
      <c r="DB302" s="22"/>
      <c r="DC302" s="22"/>
      <c r="DD302" s="22"/>
      <c r="DE302" s="22"/>
      <c r="DF302" s="22"/>
      <c r="DG302" s="22"/>
      <c r="DH302" s="22"/>
      <c r="DI302" s="22"/>
      <c r="DJ302" s="22"/>
      <c r="DK302" s="22"/>
      <c r="DL302" s="22"/>
      <c r="DM302" s="22"/>
      <c r="DN302" s="22"/>
      <c r="DO302" s="22"/>
      <c r="DP302" s="22"/>
      <c r="DQ302" s="22"/>
      <c r="DR302" s="22"/>
      <c r="DS302" s="22"/>
      <c r="DT302" s="22"/>
      <c r="DU302" s="22"/>
      <c r="DV302" s="22"/>
      <c r="DW302" s="22"/>
      <c r="DX302" s="22"/>
      <c r="DY302" s="22"/>
      <c r="DZ302" s="22"/>
      <c r="EA302" s="22"/>
      <c r="EB302" s="22"/>
      <c r="EC302" s="22"/>
      <c r="ED302" s="22"/>
      <c r="EE302" s="22"/>
      <c r="EF302" s="22"/>
      <c r="EG302" s="22"/>
      <c r="EH302" s="22"/>
      <c r="EI302" s="22"/>
      <c r="EJ302" s="22"/>
      <c r="EK302" s="22"/>
      <c r="EL302" s="22"/>
      <c r="EM302" s="22"/>
      <c r="EN302" s="22"/>
      <c r="EO302" s="22"/>
      <c r="EP302" s="22"/>
      <c r="EQ302" s="22"/>
      <c r="ER302" s="22"/>
      <c r="ES302" s="22"/>
      <c r="ET302" s="22"/>
      <c r="EU302" s="22"/>
      <c r="EV302" s="22"/>
      <c r="EW302" s="22"/>
      <c r="EX302" s="22"/>
      <c r="EY302" s="22"/>
      <c r="EZ302" s="22"/>
      <c r="FA302" s="22"/>
      <c r="FB302" s="22"/>
      <c r="FC302" s="22"/>
      <c r="FD302" s="22"/>
      <c r="FE302" s="22"/>
      <c r="FF302" s="22"/>
      <c r="FG302" s="22"/>
      <c r="FH302" s="22"/>
      <c r="FI302" s="22"/>
      <c r="FJ302" s="22"/>
      <c r="FK302" s="22"/>
      <c r="FL302" s="22"/>
      <c r="FM302" s="22"/>
      <c r="FN302" s="22"/>
      <c r="FO302" s="22"/>
      <c r="FP302" s="22"/>
      <c r="FQ302" s="22"/>
      <c r="FR302" s="22"/>
      <c r="FS302" s="22"/>
      <c r="FT302" s="22"/>
      <c r="FU302" s="22"/>
      <c r="FV302" s="22"/>
      <c r="FW302" s="22"/>
      <c r="FX302" s="22"/>
      <c r="FY302" s="22"/>
      <c r="FZ302" s="22"/>
    </row>
    <row r="303" spans="2:182" x14ac:dyDescent="0.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c r="Z303" s="22"/>
      <c r="AA303" s="22"/>
      <c r="AB303" s="22"/>
      <c r="AC303" s="22"/>
      <c r="AD303" s="22"/>
      <c r="AE303" s="22"/>
      <c r="AF303" s="22"/>
      <c r="AG303" s="22"/>
      <c r="AH303" s="22"/>
      <c r="AI303" s="22"/>
      <c r="AJ303" s="22"/>
      <c r="AK303" s="22"/>
      <c r="AL303" s="22"/>
      <c r="AM303" s="22"/>
      <c r="AN303" s="22"/>
      <c r="AO303" s="22"/>
      <c r="AP303" s="22"/>
      <c r="AQ303" s="22"/>
      <c r="AR303" s="22"/>
      <c r="AS303" s="22"/>
      <c r="AT303" s="22"/>
      <c r="AU303" s="22"/>
      <c r="AV303" s="22"/>
      <c r="AW303" s="22"/>
      <c r="AX303" s="22"/>
      <c r="AY303" s="22"/>
      <c r="AZ303" s="22"/>
      <c r="BA303" s="22"/>
      <c r="BB303" s="22"/>
      <c r="BC303" s="22"/>
      <c r="BD303" s="22"/>
      <c r="BE303" s="22"/>
      <c r="BF303" s="22"/>
      <c r="BG303" s="22"/>
      <c r="BH303" s="22"/>
      <c r="BI303" s="22"/>
      <c r="BJ303" s="22"/>
      <c r="BK303" s="22"/>
      <c r="BL303" s="22"/>
      <c r="BM303" s="22"/>
      <c r="BN303" s="22"/>
      <c r="BO303" s="22"/>
      <c r="BP303" s="22"/>
      <c r="BQ303" s="22"/>
      <c r="BR303" s="22"/>
      <c r="BS303" s="22"/>
      <c r="BT303" s="22"/>
      <c r="BU303" s="22"/>
      <c r="BV303" s="22"/>
      <c r="BW303" s="22"/>
      <c r="BX303" s="22"/>
      <c r="BY303" s="22"/>
      <c r="BZ303" s="22"/>
      <c r="CA303" s="22"/>
      <c r="CB303" s="22"/>
      <c r="CC303" s="22"/>
      <c r="CD303" s="22"/>
      <c r="CE303" s="22"/>
      <c r="CF303" s="22"/>
      <c r="CG303" s="22"/>
      <c r="CH303" s="22"/>
      <c r="CI303" s="22"/>
      <c r="CJ303" s="22"/>
      <c r="CK303" s="22"/>
      <c r="CL303" s="22"/>
      <c r="CM303" s="22"/>
      <c r="CN303" s="22"/>
      <c r="CO303" s="22"/>
      <c r="CP303" s="22"/>
      <c r="CQ303" s="22"/>
      <c r="CR303" s="22"/>
      <c r="CS303" s="22"/>
      <c r="CT303" s="22"/>
      <c r="CU303" s="22"/>
      <c r="CV303" s="22"/>
      <c r="CW303" s="22"/>
      <c r="CX303" s="22"/>
      <c r="CY303" s="22"/>
      <c r="CZ303" s="22"/>
      <c r="DA303" s="22"/>
      <c r="DB303" s="22"/>
      <c r="DC303" s="22"/>
      <c r="DD303" s="22"/>
      <c r="DE303" s="22"/>
      <c r="DF303" s="22"/>
      <c r="DG303" s="22"/>
      <c r="DH303" s="22"/>
      <c r="DI303" s="22"/>
      <c r="DJ303" s="22"/>
      <c r="DK303" s="22"/>
      <c r="DL303" s="22"/>
      <c r="DM303" s="22"/>
      <c r="DN303" s="22"/>
      <c r="DO303" s="22"/>
      <c r="DP303" s="22"/>
      <c r="DQ303" s="22"/>
      <c r="DR303" s="22"/>
      <c r="DS303" s="22"/>
      <c r="DT303" s="22"/>
      <c r="DU303" s="22"/>
      <c r="DV303" s="22"/>
      <c r="DW303" s="22"/>
      <c r="DX303" s="22"/>
      <c r="DY303" s="22"/>
      <c r="DZ303" s="22"/>
      <c r="EA303" s="22"/>
      <c r="EB303" s="22"/>
      <c r="EC303" s="22"/>
      <c r="ED303" s="22"/>
      <c r="EE303" s="22"/>
      <c r="EF303" s="22"/>
      <c r="EG303" s="22"/>
      <c r="EH303" s="22"/>
      <c r="EI303" s="22"/>
      <c r="EJ303" s="22"/>
      <c r="EK303" s="22"/>
      <c r="EL303" s="22"/>
      <c r="EM303" s="22"/>
      <c r="EN303" s="22"/>
      <c r="EO303" s="22"/>
      <c r="EP303" s="22"/>
      <c r="EQ303" s="22"/>
      <c r="ER303" s="22"/>
      <c r="ES303" s="22"/>
      <c r="ET303" s="22"/>
      <c r="EU303" s="22"/>
      <c r="EV303" s="22"/>
      <c r="EW303" s="22"/>
      <c r="EX303" s="22"/>
      <c r="EY303" s="22"/>
      <c r="EZ303" s="22"/>
      <c r="FA303" s="22"/>
      <c r="FB303" s="22"/>
      <c r="FC303" s="22"/>
      <c r="FD303" s="22"/>
      <c r="FE303" s="22"/>
      <c r="FF303" s="22"/>
      <c r="FG303" s="22"/>
      <c r="FH303" s="22"/>
      <c r="FI303" s="22"/>
      <c r="FJ303" s="22"/>
      <c r="FK303" s="22"/>
      <c r="FL303" s="22"/>
      <c r="FM303" s="22"/>
      <c r="FN303" s="22"/>
      <c r="FO303" s="22"/>
      <c r="FP303" s="22"/>
      <c r="FQ303" s="22"/>
      <c r="FR303" s="22"/>
      <c r="FS303" s="22"/>
      <c r="FT303" s="22"/>
      <c r="FU303" s="22"/>
      <c r="FV303" s="22"/>
      <c r="FW303" s="22"/>
      <c r="FX303" s="22"/>
      <c r="FY303" s="22"/>
      <c r="FZ303" s="22"/>
    </row>
    <row r="304" spans="2:182" x14ac:dyDescent="0.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c r="Z304" s="22"/>
      <c r="AA304" s="22"/>
      <c r="AB304" s="22"/>
      <c r="AC304" s="22"/>
      <c r="AD304" s="22"/>
      <c r="AE304" s="22"/>
      <c r="AF304" s="22"/>
      <c r="AG304" s="22"/>
      <c r="AH304" s="22"/>
      <c r="AI304" s="22"/>
      <c r="AJ304" s="22"/>
      <c r="AK304" s="22"/>
      <c r="AL304" s="22"/>
      <c r="AM304" s="22"/>
      <c r="AN304" s="22"/>
      <c r="AO304" s="22"/>
      <c r="AP304" s="22"/>
      <c r="AQ304" s="22"/>
      <c r="AR304" s="22"/>
      <c r="AS304" s="22"/>
      <c r="AT304" s="22"/>
      <c r="AU304" s="22"/>
      <c r="AV304" s="22"/>
      <c r="AW304" s="22"/>
      <c r="AX304" s="22"/>
      <c r="AY304" s="22"/>
      <c r="AZ304" s="22"/>
      <c r="BA304" s="22"/>
      <c r="BB304" s="22"/>
      <c r="BC304" s="22"/>
      <c r="BD304" s="22"/>
      <c r="BE304" s="22"/>
      <c r="BF304" s="22"/>
      <c r="BG304" s="22"/>
      <c r="BH304" s="22"/>
      <c r="BI304" s="22"/>
      <c r="BJ304" s="22"/>
      <c r="BK304" s="22"/>
      <c r="BL304" s="22"/>
      <c r="BM304" s="22"/>
      <c r="BN304" s="22"/>
      <c r="BO304" s="22"/>
      <c r="BP304" s="22"/>
      <c r="BQ304" s="22"/>
      <c r="BR304" s="22"/>
      <c r="BS304" s="22"/>
      <c r="BT304" s="22"/>
      <c r="BU304" s="22"/>
      <c r="BV304" s="22"/>
      <c r="BW304" s="22"/>
      <c r="BX304" s="22"/>
      <c r="BY304" s="22"/>
      <c r="BZ304" s="22"/>
      <c r="CA304" s="22"/>
      <c r="CB304" s="22"/>
      <c r="CC304" s="22"/>
      <c r="CD304" s="22"/>
      <c r="CE304" s="22"/>
      <c r="CF304" s="22"/>
      <c r="CG304" s="22"/>
      <c r="CH304" s="22"/>
      <c r="CI304" s="22"/>
      <c r="CJ304" s="22"/>
      <c r="CK304" s="22"/>
      <c r="CL304" s="22"/>
      <c r="CM304" s="22"/>
      <c r="CN304" s="22"/>
      <c r="CO304" s="22"/>
      <c r="CP304" s="22"/>
      <c r="CQ304" s="22"/>
      <c r="CR304" s="22"/>
      <c r="CS304" s="22"/>
      <c r="CT304" s="22"/>
      <c r="CU304" s="22"/>
      <c r="CV304" s="22"/>
      <c r="CW304" s="22"/>
      <c r="CX304" s="22"/>
      <c r="CY304" s="22"/>
      <c r="CZ304" s="22"/>
      <c r="DA304" s="22"/>
      <c r="DB304" s="22"/>
      <c r="DC304" s="22"/>
      <c r="DD304" s="22"/>
      <c r="DE304" s="22"/>
      <c r="DF304" s="22"/>
      <c r="DG304" s="22"/>
      <c r="DH304" s="22"/>
      <c r="DI304" s="22"/>
      <c r="DJ304" s="22"/>
      <c r="DK304" s="22"/>
      <c r="DL304" s="22"/>
      <c r="DM304" s="22"/>
      <c r="DN304" s="22"/>
      <c r="DO304" s="22"/>
      <c r="DP304" s="22"/>
      <c r="DQ304" s="22"/>
      <c r="DR304" s="22"/>
      <c r="DS304" s="22"/>
      <c r="DT304" s="22"/>
      <c r="DU304" s="22"/>
      <c r="DV304" s="22"/>
      <c r="DW304" s="22"/>
      <c r="DX304" s="22"/>
      <c r="DY304" s="22"/>
      <c r="DZ304" s="22"/>
      <c r="EA304" s="22"/>
      <c r="EB304" s="22"/>
      <c r="EC304" s="22"/>
      <c r="ED304" s="22"/>
      <c r="EE304" s="22"/>
      <c r="EF304" s="22"/>
      <c r="EG304" s="22"/>
      <c r="EH304" s="22"/>
      <c r="EI304" s="22"/>
      <c r="EJ304" s="22"/>
      <c r="EK304" s="22"/>
      <c r="EL304" s="22"/>
      <c r="EM304" s="22"/>
      <c r="EN304" s="22"/>
      <c r="EO304" s="22"/>
      <c r="EP304" s="22"/>
      <c r="EQ304" s="22"/>
      <c r="ER304" s="22"/>
      <c r="ES304" s="22"/>
      <c r="ET304" s="22"/>
      <c r="EU304" s="22"/>
      <c r="EV304" s="22"/>
      <c r="EW304" s="22"/>
      <c r="EX304" s="22"/>
      <c r="EY304" s="22"/>
      <c r="EZ304" s="22"/>
      <c r="FA304" s="22"/>
      <c r="FB304" s="22"/>
      <c r="FC304" s="22"/>
      <c r="FD304" s="22"/>
      <c r="FE304" s="22"/>
      <c r="FF304" s="22"/>
      <c r="FG304" s="22"/>
      <c r="FH304" s="22"/>
      <c r="FI304" s="22"/>
      <c r="FJ304" s="22"/>
      <c r="FK304" s="22"/>
      <c r="FL304" s="22"/>
      <c r="FM304" s="22"/>
      <c r="FN304" s="22"/>
      <c r="FO304" s="22"/>
      <c r="FP304" s="22"/>
      <c r="FQ304" s="22"/>
      <c r="FR304" s="22"/>
      <c r="FS304" s="22"/>
      <c r="FT304" s="22"/>
      <c r="FU304" s="22"/>
      <c r="FV304" s="22"/>
      <c r="FW304" s="22"/>
      <c r="FX304" s="22"/>
      <c r="FY304" s="22"/>
      <c r="FZ304" s="22"/>
    </row>
    <row r="305" spans="2:182" x14ac:dyDescent="0.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c r="Z305" s="22"/>
      <c r="AA305" s="22"/>
      <c r="AB305" s="22"/>
      <c r="AC305" s="22"/>
      <c r="AD305" s="22"/>
      <c r="AE305" s="22"/>
      <c r="AF305" s="22"/>
      <c r="AG305" s="22"/>
      <c r="AH305" s="22"/>
      <c r="AI305" s="22"/>
      <c r="AJ305" s="22"/>
      <c r="AK305" s="22"/>
      <c r="AL305" s="22"/>
      <c r="AM305" s="22"/>
      <c r="AN305" s="22"/>
      <c r="AO305" s="22"/>
      <c r="AP305" s="22"/>
      <c r="AQ305" s="22"/>
      <c r="AR305" s="22"/>
      <c r="AS305" s="22"/>
      <c r="AT305" s="22"/>
      <c r="AU305" s="22"/>
      <c r="AV305" s="22"/>
      <c r="AW305" s="22"/>
      <c r="AX305" s="22"/>
      <c r="AY305" s="22"/>
      <c r="AZ305" s="22"/>
      <c r="BA305" s="22"/>
      <c r="BB305" s="22"/>
      <c r="BC305" s="22"/>
      <c r="BD305" s="22"/>
      <c r="BE305" s="22"/>
      <c r="BF305" s="22"/>
      <c r="BG305" s="22"/>
      <c r="BH305" s="22"/>
      <c r="BI305" s="22"/>
      <c r="BJ305" s="22"/>
      <c r="BK305" s="22"/>
      <c r="BL305" s="22"/>
      <c r="BM305" s="22"/>
      <c r="BN305" s="22"/>
      <c r="BO305" s="22"/>
      <c r="BP305" s="22"/>
      <c r="BQ305" s="22"/>
      <c r="BR305" s="22"/>
      <c r="BS305" s="22"/>
      <c r="BT305" s="22"/>
      <c r="BU305" s="22"/>
      <c r="BV305" s="22"/>
      <c r="BW305" s="22"/>
      <c r="BX305" s="22"/>
      <c r="BY305" s="22"/>
      <c r="BZ305" s="22"/>
      <c r="CA305" s="22"/>
      <c r="CB305" s="22"/>
      <c r="CC305" s="22"/>
      <c r="CD305" s="22"/>
      <c r="CE305" s="22"/>
      <c r="CF305" s="22"/>
      <c r="CG305" s="22"/>
      <c r="CH305" s="22"/>
      <c r="CI305" s="22"/>
      <c r="CJ305" s="22"/>
      <c r="CK305" s="22"/>
      <c r="CL305" s="22"/>
      <c r="CM305" s="22"/>
      <c r="CN305" s="22"/>
      <c r="CO305" s="22"/>
      <c r="CP305" s="22"/>
      <c r="CQ305" s="22"/>
      <c r="CR305" s="22"/>
      <c r="CS305" s="22"/>
      <c r="CT305" s="22"/>
      <c r="CU305" s="22"/>
      <c r="CV305" s="22"/>
      <c r="CW305" s="22"/>
      <c r="CX305" s="22"/>
      <c r="CY305" s="22"/>
      <c r="CZ305" s="22"/>
      <c r="DA305" s="22"/>
      <c r="DB305" s="22"/>
      <c r="DC305" s="22"/>
      <c r="DD305" s="22"/>
      <c r="DE305" s="22"/>
      <c r="DF305" s="22"/>
      <c r="DG305" s="22"/>
      <c r="DH305" s="22"/>
      <c r="DI305" s="22"/>
      <c r="DJ305" s="22"/>
      <c r="DK305" s="22"/>
      <c r="DL305" s="22"/>
      <c r="DM305" s="22"/>
      <c r="DN305" s="22"/>
      <c r="DO305" s="22"/>
      <c r="DP305" s="22"/>
      <c r="DQ305" s="22"/>
      <c r="DR305" s="22"/>
      <c r="DS305" s="22"/>
      <c r="DT305" s="22"/>
      <c r="DU305" s="22"/>
      <c r="DV305" s="22"/>
      <c r="DW305" s="22"/>
      <c r="DX305" s="22"/>
      <c r="DY305" s="22"/>
      <c r="DZ305" s="22"/>
      <c r="EA305" s="22"/>
      <c r="EB305" s="22"/>
      <c r="EC305" s="22"/>
      <c r="ED305" s="22"/>
      <c r="EE305" s="22"/>
      <c r="EF305" s="22"/>
      <c r="EG305" s="22"/>
      <c r="EH305" s="22"/>
      <c r="EI305" s="22"/>
      <c r="EJ305" s="22"/>
      <c r="EK305" s="22"/>
      <c r="EL305" s="22"/>
      <c r="EM305" s="22"/>
      <c r="EN305" s="22"/>
      <c r="EO305" s="22"/>
      <c r="EP305" s="22"/>
      <c r="EQ305" s="22"/>
      <c r="ER305" s="22"/>
      <c r="ES305" s="22"/>
      <c r="ET305" s="22"/>
      <c r="EU305" s="22"/>
      <c r="EV305" s="22"/>
      <c r="EW305" s="22"/>
      <c r="EX305" s="22"/>
      <c r="EY305" s="22"/>
      <c r="EZ305" s="22"/>
      <c r="FA305" s="22"/>
      <c r="FB305" s="22"/>
      <c r="FC305" s="22"/>
      <c r="FD305" s="22"/>
      <c r="FE305" s="22"/>
      <c r="FF305" s="22"/>
      <c r="FG305" s="22"/>
      <c r="FH305" s="22"/>
      <c r="FI305" s="22"/>
      <c r="FJ305" s="22"/>
      <c r="FK305" s="22"/>
      <c r="FL305" s="22"/>
      <c r="FM305" s="22"/>
      <c r="FN305" s="22"/>
      <c r="FO305" s="22"/>
      <c r="FP305" s="22"/>
      <c r="FQ305" s="22"/>
      <c r="FR305" s="22"/>
      <c r="FS305" s="22"/>
      <c r="FT305" s="22"/>
      <c r="FU305" s="22"/>
      <c r="FV305" s="22"/>
      <c r="FW305" s="22"/>
      <c r="FX305" s="22"/>
      <c r="FY305" s="22"/>
      <c r="FZ305" s="22"/>
    </row>
    <row r="306" spans="2:182" x14ac:dyDescent="0.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c r="Z306" s="22"/>
      <c r="AA306" s="22"/>
      <c r="AB306" s="22"/>
      <c r="AC306" s="22"/>
      <c r="AD306" s="22"/>
      <c r="AE306" s="22"/>
      <c r="AF306" s="22"/>
      <c r="AG306" s="22"/>
      <c r="AH306" s="22"/>
      <c r="AI306" s="22"/>
      <c r="AJ306" s="22"/>
      <c r="AK306" s="22"/>
      <c r="AL306" s="22"/>
      <c r="AM306" s="22"/>
      <c r="AN306" s="22"/>
      <c r="AO306" s="22"/>
      <c r="AP306" s="22"/>
      <c r="AQ306" s="22"/>
      <c r="AR306" s="22"/>
      <c r="AS306" s="22"/>
      <c r="AT306" s="22"/>
      <c r="AU306" s="22"/>
      <c r="AV306" s="22"/>
      <c r="AW306" s="22"/>
      <c r="AX306" s="22"/>
      <c r="AY306" s="22"/>
      <c r="AZ306" s="22"/>
      <c r="BA306" s="22"/>
      <c r="BB306" s="22"/>
      <c r="BC306" s="22"/>
      <c r="BD306" s="22"/>
      <c r="BE306" s="22"/>
      <c r="BF306" s="22"/>
      <c r="BG306" s="22"/>
      <c r="BH306" s="22"/>
      <c r="BI306" s="22"/>
      <c r="BJ306" s="22"/>
      <c r="BK306" s="22"/>
      <c r="BL306" s="22"/>
      <c r="BM306" s="22"/>
      <c r="BN306" s="22"/>
      <c r="BO306" s="22"/>
      <c r="BP306" s="22"/>
      <c r="BQ306" s="22"/>
      <c r="BR306" s="22"/>
      <c r="BS306" s="22"/>
      <c r="BT306" s="22"/>
      <c r="BU306" s="22"/>
      <c r="BV306" s="22"/>
      <c r="BW306" s="22"/>
      <c r="BX306" s="22"/>
      <c r="BY306" s="22"/>
      <c r="BZ306" s="22"/>
      <c r="CA306" s="22"/>
      <c r="CB306" s="22"/>
      <c r="CC306" s="22"/>
      <c r="CD306" s="22"/>
      <c r="CE306" s="22"/>
      <c r="CF306" s="22"/>
      <c r="CG306" s="22"/>
      <c r="CH306" s="22"/>
      <c r="CI306" s="22"/>
      <c r="CJ306" s="22"/>
      <c r="CK306" s="22"/>
      <c r="CL306" s="22"/>
      <c r="CM306" s="22"/>
      <c r="CN306" s="22"/>
      <c r="CO306" s="22"/>
      <c r="CP306" s="22"/>
      <c r="CQ306" s="22"/>
      <c r="CR306" s="22"/>
      <c r="CS306" s="22"/>
      <c r="CT306" s="22"/>
      <c r="CU306" s="22"/>
      <c r="CV306" s="22"/>
      <c r="CW306" s="22"/>
      <c r="CX306" s="22"/>
      <c r="CY306" s="22"/>
      <c r="CZ306" s="22"/>
      <c r="DA306" s="22"/>
      <c r="DB306" s="22"/>
      <c r="DC306" s="22"/>
      <c r="DD306" s="22"/>
      <c r="DE306" s="22"/>
      <c r="DF306" s="22"/>
      <c r="DG306" s="22"/>
      <c r="DH306" s="22"/>
      <c r="DI306" s="22"/>
      <c r="DJ306" s="22"/>
      <c r="DK306" s="22"/>
      <c r="DL306" s="22"/>
      <c r="DM306" s="22"/>
      <c r="DN306" s="22"/>
      <c r="DO306" s="22"/>
      <c r="DP306" s="22"/>
      <c r="DQ306" s="22"/>
      <c r="DR306" s="22"/>
      <c r="DS306" s="22"/>
      <c r="DT306" s="22"/>
      <c r="DU306" s="22"/>
      <c r="DV306" s="22"/>
      <c r="DW306" s="22"/>
      <c r="DX306" s="22"/>
      <c r="DY306" s="22"/>
      <c r="DZ306" s="22"/>
      <c r="EA306" s="22"/>
      <c r="EB306" s="22"/>
      <c r="EC306" s="22"/>
      <c r="ED306" s="22"/>
      <c r="EE306" s="22"/>
      <c r="EF306" s="22"/>
      <c r="EG306" s="22"/>
      <c r="EH306" s="22"/>
      <c r="EI306" s="22"/>
      <c r="EJ306" s="22"/>
      <c r="EK306" s="22"/>
      <c r="EL306" s="22"/>
      <c r="EM306" s="22"/>
      <c r="EN306" s="22"/>
      <c r="EO306" s="22"/>
      <c r="EP306" s="22"/>
      <c r="EQ306" s="22"/>
      <c r="ER306" s="22"/>
      <c r="ES306" s="22"/>
      <c r="ET306" s="22"/>
      <c r="EU306" s="22"/>
      <c r="EV306" s="22"/>
      <c r="EW306" s="22"/>
      <c r="EX306" s="22"/>
      <c r="EY306" s="22"/>
      <c r="EZ306" s="22"/>
      <c r="FA306" s="22"/>
      <c r="FB306" s="22"/>
      <c r="FC306" s="22"/>
      <c r="FD306" s="22"/>
      <c r="FE306" s="22"/>
      <c r="FF306" s="22"/>
      <c r="FG306" s="22"/>
      <c r="FH306" s="22"/>
      <c r="FI306" s="22"/>
      <c r="FJ306" s="22"/>
      <c r="FK306" s="22"/>
      <c r="FL306" s="22"/>
      <c r="FM306" s="22"/>
      <c r="FN306" s="22"/>
      <c r="FO306" s="22"/>
      <c r="FP306" s="22"/>
      <c r="FQ306" s="22"/>
      <c r="FR306" s="22"/>
      <c r="FS306" s="22"/>
      <c r="FT306" s="22"/>
      <c r="FU306" s="22"/>
      <c r="FV306" s="22"/>
      <c r="FW306" s="22"/>
      <c r="FX306" s="22"/>
      <c r="FY306" s="22"/>
      <c r="FZ306" s="22"/>
    </row>
    <row r="307" spans="2:182" x14ac:dyDescent="0.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c r="Z307" s="22"/>
      <c r="AA307" s="22"/>
      <c r="AB307" s="22"/>
      <c r="AC307" s="22"/>
      <c r="AD307" s="22"/>
      <c r="AE307" s="22"/>
      <c r="AF307" s="22"/>
      <c r="AG307" s="22"/>
      <c r="AH307" s="22"/>
      <c r="AI307" s="22"/>
      <c r="AJ307" s="22"/>
      <c r="AK307" s="22"/>
      <c r="AL307" s="22"/>
      <c r="AM307" s="22"/>
      <c r="AN307" s="22"/>
      <c r="AO307" s="22"/>
      <c r="AP307" s="22"/>
      <c r="AQ307" s="22"/>
      <c r="AR307" s="22"/>
      <c r="AS307" s="22"/>
      <c r="AT307" s="22"/>
      <c r="AU307" s="22"/>
      <c r="AV307" s="22"/>
      <c r="AW307" s="22"/>
      <c r="AX307" s="22"/>
      <c r="AY307" s="22"/>
      <c r="AZ307" s="22"/>
      <c r="BA307" s="22"/>
      <c r="BB307" s="22"/>
      <c r="BC307" s="22"/>
      <c r="BD307" s="22"/>
      <c r="BE307" s="22"/>
      <c r="BF307" s="22"/>
      <c r="BG307" s="22"/>
      <c r="BH307" s="22"/>
      <c r="BI307" s="22"/>
      <c r="BJ307" s="22"/>
      <c r="BK307" s="22"/>
      <c r="BL307" s="22"/>
      <c r="BM307" s="22"/>
      <c r="BN307" s="22"/>
      <c r="BO307" s="22"/>
      <c r="BP307" s="22"/>
      <c r="BQ307" s="22"/>
      <c r="BR307" s="22"/>
      <c r="BS307" s="22"/>
      <c r="BT307" s="22"/>
      <c r="BU307" s="22"/>
      <c r="BV307" s="22"/>
      <c r="BW307" s="22"/>
      <c r="BX307" s="22"/>
      <c r="BY307" s="22"/>
      <c r="BZ307" s="22"/>
      <c r="CA307" s="22"/>
      <c r="CB307" s="22"/>
      <c r="CC307" s="22"/>
      <c r="CD307" s="22"/>
      <c r="CE307" s="22"/>
      <c r="CF307" s="22"/>
      <c r="CG307" s="22"/>
      <c r="CH307" s="22"/>
      <c r="CI307" s="22"/>
      <c r="CJ307" s="22"/>
      <c r="CK307" s="22"/>
      <c r="CL307" s="22"/>
      <c r="CM307" s="22"/>
      <c r="CN307" s="22"/>
      <c r="CO307" s="22"/>
      <c r="CP307" s="22"/>
      <c r="CQ307" s="22"/>
      <c r="CR307" s="22"/>
      <c r="CS307" s="22"/>
      <c r="CT307" s="22"/>
      <c r="CU307" s="22"/>
      <c r="CV307" s="22"/>
      <c r="CW307" s="22"/>
      <c r="CX307" s="22"/>
      <c r="CY307" s="22"/>
      <c r="CZ307" s="22"/>
      <c r="DA307" s="22"/>
      <c r="DB307" s="22"/>
      <c r="DC307" s="22"/>
      <c r="DD307" s="22"/>
      <c r="DE307" s="22"/>
      <c r="DF307" s="22"/>
      <c r="DG307" s="22"/>
      <c r="DH307" s="22"/>
      <c r="DI307" s="22"/>
      <c r="DJ307" s="22"/>
      <c r="DK307" s="22"/>
      <c r="DL307" s="22"/>
      <c r="DM307" s="22"/>
      <c r="DN307" s="22"/>
      <c r="DO307" s="22"/>
      <c r="DP307" s="22"/>
      <c r="DQ307" s="22"/>
      <c r="DR307" s="22"/>
      <c r="DS307" s="22"/>
      <c r="DT307" s="22"/>
      <c r="DU307" s="22"/>
      <c r="DV307" s="22"/>
      <c r="DW307" s="22"/>
      <c r="DX307" s="22"/>
      <c r="DY307" s="22"/>
      <c r="DZ307" s="22"/>
      <c r="EA307" s="22"/>
      <c r="EB307" s="22"/>
      <c r="EC307" s="22"/>
      <c r="ED307" s="22"/>
      <c r="EE307" s="22"/>
      <c r="EF307" s="22"/>
      <c r="EG307" s="22"/>
      <c r="EH307" s="22"/>
      <c r="EI307" s="22"/>
      <c r="EJ307" s="22"/>
      <c r="EK307" s="22"/>
      <c r="EL307" s="22"/>
      <c r="EM307" s="22"/>
      <c r="EN307" s="22"/>
      <c r="EO307" s="22"/>
      <c r="EP307" s="22"/>
      <c r="EQ307" s="22"/>
      <c r="ER307" s="22"/>
      <c r="ES307" s="22"/>
      <c r="ET307" s="22"/>
      <c r="EU307" s="22"/>
      <c r="EV307" s="22"/>
      <c r="EW307" s="22"/>
      <c r="EX307" s="22"/>
      <c r="EY307" s="22"/>
      <c r="EZ307" s="22"/>
      <c r="FA307" s="22"/>
      <c r="FB307" s="22"/>
      <c r="FC307" s="22"/>
      <c r="FD307" s="22"/>
      <c r="FE307" s="22"/>
      <c r="FF307" s="22"/>
      <c r="FG307" s="22"/>
      <c r="FH307" s="22"/>
      <c r="FI307" s="22"/>
      <c r="FJ307" s="22"/>
      <c r="FK307" s="22"/>
      <c r="FL307" s="22"/>
      <c r="FM307" s="22"/>
      <c r="FN307" s="22"/>
      <c r="FO307" s="22"/>
      <c r="FP307" s="22"/>
      <c r="FQ307" s="22"/>
      <c r="FR307" s="22"/>
      <c r="FS307" s="22"/>
      <c r="FT307" s="22"/>
      <c r="FU307" s="22"/>
      <c r="FV307" s="22"/>
      <c r="FW307" s="22"/>
      <c r="FX307" s="22"/>
      <c r="FY307" s="22"/>
      <c r="FZ307" s="22"/>
    </row>
    <row r="308" spans="2:182" x14ac:dyDescent="0.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c r="Z308" s="22"/>
      <c r="AA308" s="22"/>
      <c r="AB308" s="22"/>
      <c r="AC308" s="22"/>
      <c r="AD308" s="22"/>
      <c r="AE308" s="22"/>
      <c r="AF308" s="22"/>
      <c r="AG308" s="22"/>
      <c r="AH308" s="22"/>
      <c r="AI308" s="22"/>
      <c r="AJ308" s="22"/>
      <c r="AK308" s="22"/>
      <c r="AL308" s="22"/>
      <c r="AM308" s="22"/>
      <c r="AN308" s="22"/>
      <c r="AO308" s="22"/>
      <c r="AP308" s="22"/>
      <c r="AQ308" s="22"/>
      <c r="AR308" s="22"/>
      <c r="AS308" s="22"/>
      <c r="AT308" s="22"/>
      <c r="AU308" s="22"/>
      <c r="AV308" s="22"/>
      <c r="AW308" s="22"/>
      <c r="AX308" s="22"/>
      <c r="AY308" s="22"/>
      <c r="AZ308" s="22"/>
      <c r="BA308" s="22"/>
      <c r="BB308" s="22"/>
      <c r="BC308" s="22"/>
      <c r="BD308" s="22"/>
      <c r="BE308" s="22"/>
      <c r="BF308" s="22"/>
      <c r="BG308" s="22"/>
      <c r="BH308" s="22"/>
      <c r="BI308" s="22"/>
      <c r="BJ308" s="22"/>
      <c r="BK308" s="22"/>
      <c r="BL308" s="22"/>
      <c r="BM308" s="22"/>
      <c r="BN308" s="22"/>
      <c r="BO308" s="22"/>
      <c r="BP308" s="22"/>
      <c r="BQ308" s="22"/>
      <c r="BR308" s="22"/>
      <c r="BS308" s="22"/>
      <c r="BT308" s="22"/>
      <c r="BU308" s="22"/>
      <c r="BV308" s="22"/>
      <c r="BW308" s="22"/>
      <c r="BX308" s="22"/>
      <c r="BY308" s="22"/>
      <c r="BZ308" s="22"/>
      <c r="CA308" s="22"/>
      <c r="CB308" s="22"/>
      <c r="CC308" s="22"/>
      <c r="CD308" s="22"/>
      <c r="CE308" s="22"/>
      <c r="CF308" s="22"/>
      <c r="CG308" s="22"/>
      <c r="CH308" s="22"/>
      <c r="CI308" s="22"/>
      <c r="CJ308" s="22"/>
      <c r="CK308" s="22"/>
      <c r="CL308" s="22"/>
      <c r="CM308" s="22"/>
      <c r="CN308" s="22"/>
      <c r="CO308" s="22"/>
      <c r="CP308" s="22"/>
      <c r="CQ308" s="22"/>
      <c r="CR308" s="22"/>
      <c r="CS308" s="22"/>
      <c r="CT308" s="22"/>
      <c r="CU308" s="22"/>
      <c r="CV308" s="22"/>
      <c r="CW308" s="22"/>
      <c r="CX308" s="22"/>
      <c r="CY308" s="22"/>
      <c r="CZ308" s="22"/>
      <c r="DA308" s="22"/>
      <c r="DB308" s="22"/>
      <c r="DC308" s="22"/>
      <c r="DD308" s="22"/>
      <c r="DE308" s="22"/>
      <c r="DF308" s="22"/>
      <c r="DG308" s="22"/>
      <c r="DH308" s="22"/>
      <c r="DI308" s="22"/>
      <c r="DJ308" s="22"/>
      <c r="DK308" s="22"/>
      <c r="DL308" s="22"/>
      <c r="DM308" s="22"/>
      <c r="DN308" s="22"/>
      <c r="DO308" s="22"/>
      <c r="DP308" s="22"/>
      <c r="DQ308" s="22"/>
      <c r="DR308" s="22"/>
      <c r="DS308" s="22"/>
      <c r="DT308" s="22"/>
      <c r="DU308" s="22"/>
      <c r="DV308" s="22"/>
      <c r="DW308" s="22"/>
      <c r="DX308" s="22"/>
      <c r="DY308" s="22"/>
      <c r="DZ308" s="22"/>
      <c r="EA308" s="22"/>
      <c r="EB308" s="22"/>
      <c r="EC308" s="22"/>
      <c r="ED308" s="22"/>
      <c r="EE308" s="22"/>
      <c r="EF308" s="22"/>
      <c r="EG308" s="22"/>
      <c r="EH308" s="22"/>
      <c r="EI308" s="22"/>
      <c r="EJ308" s="22"/>
      <c r="EK308" s="22"/>
      <c r="EL308" s="22"/>
      <c r="EM308" s="22"/>
      <c r="EN308" s="22"/>
      <c r="EO308" s="22"/>
      <c r="EP308" s="22"/>
      <c r="EQ308" s="22"/>
      <c r="ER308" s="22"/>
      <c r="ES308" s="22"/>
      <c r="ET308" s="22"/>
      <c r="EU308" s="22"/>
      <c r="EV308" s="22"/>
      <c r="EW308" s="22"/>
      <c r="EX308" s="22"/>
      <c r="EY308" s="22"/>
      <c r="EZ308" s="22"/>
      <c r="FA308" s="22"/>
      <c r="FB308" s="22"/>
      <c r="FC308" s="22"/>
      <c r="FD308" s="22"/>
      <c r="FE308" s="22"/>
      <c r="FF308" s="22"/>
      <c r="FG308" s="22"/>
      <c r="FH308" s="22"/>
      <c r="FI308" s="22"/>
      <c r="FJ308" s="22"/>
      <c r="FK308" s="22"/>
      <c r="FL308" s="22"/>
      <c r="FM308" s="22"/>
      <c r="FN308" s="22"/>
      <c r="FO308" s="22"/>
      <c r="FP308" s="22"/>
      <c r="FQ308" s="22"/>
      <c r="FR308" s="22"/>
      <c r="FS308" s="22"/>
      <c r="FT308" s="22"/>
      <c r="FU308" s="22"/>
      <c r="FV308" s="22"/>
      <c r="FW308" s="22"/>
      <c r="FX308" s="22"/>
      <c r="FY308" s="22"/>
      <c r="FZ308" s="22"/>
    </row>
    <row r="309" spans="2:182" x14ac:dyDescent="0.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c r="Z309" s="22"/>
      <c r="AA309" s="22"/>
      <c r="AB309" s="22"/>
      <c r="AC309" s="22"/>
      <c r="AD309" s="22"/>
      <c r="AE309" s="22"/>
      <c r="AF309" s="22"/>
      <c r="AG309" s="22"/>
      <c r="AH309" s="22"/>
      <c r="AI309" s="22"/>
      <c r="AJ309" s="22"/>
      <c r="AK309" s="22"/>
      <c r="AL309" s="22"/>
      <c r="AM309" s="22"/>
      <c r="AN309" s="22"/>
      <c r="AO309" s="22"/>
      <c r="AP309" s="22"/>
      <c r="AQ309" s="22"/>
      <c r="AR309" s="22"/>
      <c r="AS309" s="22"/>
      <c r="AT309" s="22"/>
      <c r="AU309" s="22"/>
      <c r="AV309" s="22"/>
      <c r="AW309" s="22"/>
      <c r="AX309" s="22"/>
      <c r="AY309" s="22"/>
      <c r="AZ309" s="22"/>
      <c r="BA309" s="22"/>
      <c r="BB309" s="22"/>
      <c r="BC309" s="22"/>
      <c r="BD309" s="22"/>
      <c r="BE309" s="22"/>
      <c r="BF309" s="22"/>
      <c r="BG309" s="22"/>
      <c r="BH309" s="22"/>
      <c r="BI309" s="22"/>
      <c r="BJ309" s="22"/>
      <c r="BK309" s="22"/>
      <c r="BL309" s="22"/>
      <c r="BM309" s="22"/>
      <c r="BN309" s="22"/>
      <c r="BO309" s="22"/>
      <c r="BP309" s="22"/>
      <c r="BQ309" s="22"/>
      <c r="BR309" s="22"/>
      <c r="BS309" s="22"/>
      <c r="BT309" s="22"/>
      <c r="BU309" s="22"/>
      <c r="BV309" s="22"/>
      <c r="BW309" s="22"/>
      <c r="BX309" s="22"/>
      <c r="BY309" s="22"/>
      <c r="BZ309" s="22"/>
      <c r="CA309" s="22"/>
      <c r="CB309" s="22"/>
      <c r="CC309" s="22"/>
      <c r="CD309" s="22"/>
      <c r="CE309" s="22"/>
      <c r="CF309" s="22"/>
      <c r="CG309" s="22"/>
      <c r="CH309" s="22"/>
      <c r="CI309" s="22"/>
      <c r="CJ309" s="22"/>
      <c r="CK309" s="22"/>
      <c r="CL309" s="22"/>
      <c r="CM309" s="22"/>
      <c r="CN309" s="22"/>
      <c r="CO309" s="22"/>
      <c r="CP309" s="22"/>
      <c r="CQ309" s="22"/>
      <c r="CR309" s="22"/>
      <c r="CS309" s="22"/>
      <c r="CT309" s="22"/>
      <c r="CU309" s="22"/>
      <c r="CV309" s="22"/>
      <c r="CW309" s="22"/>
      <c r="CX309" s="22"/>
      <c r="CY309" s="22"/>
      <c r="CZ309" s="22"/>
      <c r="DA309" s="22"/>
      <c r="DB309" s="22"/>
      <c r="DC309" s="22"/>
      <c r="DD309" s="22"/>
      <c r="DE309" s="22"/>
      <c r="DF309" s="22"/>
      <c r="DG309" s="22"/>
      <c r="DH309" s="22"/>
      <c r="DI309" s="22"/>
      <c r="DJ309" s="22"/>
      <c r="DK309" s="22"/>
      <c r="DL309" s="22"/>
      <c r="DM309" s="22"/>
      <c r="DN309" s="22"/>
      <c r="DO309" s="22"/>
      <c r="DP309" s="22"/>
      <c r="DQ309" s="22"/>
      <c r="DR309" s="22"/>
      <c r="DS309" s="22"/>
      <c r="DT309" s="22"/>
      <c r="DU309" s="22"/>
      <c r="DV309" s="22"/>
      <c r="DW309" s="22"/>
      <c r="DX309" s="22"/>
      <c r="DY309" s="22"/>
      <c r="DZ309" s="22"/>
      <c r="EA309" s="22"/>
      <c r="EB309" s="22"/>
      <c r="EC309" s="22"/>
      <c r="ED309" s="22"/>
      <c r="EE309" s="22"/>
      <c r="EF309" s="22"/>
      <c r="EG309" s="22"/>
      <c r="EH309" s="22"/>
      <c r="EI309" s="22"/>
      <c r="EJ309" s="22"/>
      <c r="EK309" s="22"/>
      <c r="EL309" s="22"/>
      <c r="EM309" s="22"/>
      <c r="EN309" s="22"/>
      <c r="EO309" s="22"/>
      <c r="EP309" s="22"/>
      <c r="EQ309" s="22"/>
      <c r="ER309" s="22"/>
      <c r="ES309" s="22"/>
      <c r="ET309" s="22"/>
      <c r="EU309" s="22"/>
      <c r="EV309" s="22"/>
      <c r="EW309" s="22"/>
      <c r="EX309" s="22"/>
      <c r="EY309" s="22"/>
      <c r="EZ309" s="22"/>
      <c r="FA309" s="22"/>
      <c r="FB309" s="22"/>
      <c r="FC309" s="22"/>
      <c r="FD309" s="22"/>
      <c r="FE309" s="22"/>
      <c r="FF309" s="22"/>
      <c r="FG309" s="22"/>
      <c r="FH309" s="22"/>
      <c r="FI309" s="22"/>
      <c r="FJ309" s="22"/>
      <c r="FK309" s="22"/>
      <c r="FL309" s="22"/>
      <c r="FM309" s="22"/>
      <c r="FN309" s="22"/>
      <c r="FO309" s="22"/>
      <c r="FP309" s="22"/>
      <c r="FQ309" s="22"/>
      <c r="FR309" s="22"/>
      <c r="FS309" s="22"/>
      <c r="FT309" s="22"/>
      <c r="FU309" s="22"/>
      <c r="FV309" s="22"/>
      <c r="FW309" s="22"/>
      <c r="FX309" s="22"/>
      <c r="FY309" s="22"/>
      <c r="FZ309" s="22"/>
    </row>
    <row r="310" spans="2:182" x14ac:dyDescent="0.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c r="Z310" s="22"/>
      <c r="AA310" s="22"/>
      <c r="AB310" s="22"/>
      <c r="AC310" s="22"/>
      <c r="AD310" s="22"/>
      <c r="AE310" s="22"/>
      <c r="AF310" s="22"/>
      <c r="AG310" s="22"/>
      <c r="AH310" s="22"/>
      <c r="AI310" s="22"/>
      <c r="AJ310" s="22"/>
      <c r="AK310" s="22"/>
      <c r="AL310" s="22"/>
      <c r="AM310" s="22"/>
      <c r="AN310" s="22"/>
      <c r="AO310" s="22"/>
      <c r="AP310" s="22"/>
      <c r="AQ310" s="22"/>
      <c r="AR310" s="22"/>
      <c r="AS310" s="22"/>
      <c r="AT310" s="22"/>
      <c r="AU310" s="22"/>
      <c r="AV310" s="22"/>
      <c r="AW310" s="22"/>
      <c r="AX310" s="22"/>
      <c r="AY310" s="22"/>
      <c r="AZ310" s="22"/>
      <c r="BA310" s="22"/>
      <c r="BB310" s="22"/>
      <c r="BC310" s="22"/>
      <c r="BD310" s="22"/>
      <c r="BE310" s="22"/>
      <c r="BF310" s="22"/>
      <c r="BG310" s="22"/>
      <c r="BH310" s="22"/>
      <c r="BI310" s="22"/>
      <c r="BJ310" s="22"/>
      <c r="BK310" s="22"/>
      <c r="BL310" s="22"/>
      <c r="BM310" s="22"/>
      <c r="BN310" s="22"/>
      <c r="BO310" s="22"/>
      <c r="BP310" s="22"/>
      <c r="BQ310" s="22"/>
      <c r="BR310" s="22"/>
      <c r="BS310" s="22"/>
      <c r="BT310" s="22"/>
      <c r="BU310" s="22"/>
      <c r="BV310" s="22"/>
      <c r="BW310" s="22"/>
      <c r="BX310" s="22"/>
      <c r="BY310" s="22"/>
      <c r="BZ310" s="22"/>
      <c r="CA310" s="22"/>
      <c r="CB310" s="22"/>
      <c r="CC310" s="22"/>
      <c r="CD310" s="22"/>
      <c r="CE310" s="22"/>
      <c r="CF310" s="22"/>
      <c r="CG310" s="22"/>
      <c r="CH310" s="22"/>
      <c r="CI310" s="22"/>
      <c r="CJ310" s="22"/>
      <c r="CK310" s="22"/>
      <c r="CL310" s="22"/>
      <c r="CM310" s="22"/>
      <c r="CN310" s="22"/>
      <c r="CO310" s="22"/>
      <c r="CP310" s="22"/>
      <c r="CQ310" s="22"/>
      <c r="CR310" s="22"/>
      <c r="CS310" s="22"/>
      <c r="CT310" s="22"/>
      <c r="CU310" s="22"/>
      <c r="CV310" s="22"/>
      <c r="CW310" s="22"/>
      <c r="CX310" s="22"/>
      <c r="CY310" s="22"/>
      <c r="CZ310" s="22"/>
      <c r="DA310" s="22"/>
      <c r="DB310" s="22"/>
      <c r="DC310" s="22"/>
      <c r="DD310" s="22"/>
      <c r="DE310" s="22"/>
      <c r="DF310" s="22"/>
      <c r="DG310" s="22"/>
      <c r="DH310" s="22"/>
      <c r="DI310" s="22"/>
      <c r="DJ310" s="22"/>
      <c r="DK310" s="22"/>
      <c r="DL310" s="22"/>
      <c r="DM310" s="22"/>
      <c r="DN310" s="22"/>
      <c r="DO310" s="22"/>
      <c r="DP310" s="22"/>
      <c r="DQ310" s="22"/>
      <c r="DR310" s="22"/>
      <c r="DS310" s="22"/>
      <c r="DT310" s="22"/>
      <c r="DU310" s="22"/>
      <c r="DV310" s="22"/>
      <c r="DW310" s="22"/>
      <c r="DX310" s="22"/>
      <c r="DY310" s="22"/>
      <c r="DZ310" s="22"/>
      <c r="EA310" s="22"/>
      <c r="EB310" s="22"/>
      <c r="EC310" s="22"/>
      <c r="ED310" s="22"/>
      <c r="EE310" s="22"/>
      <c r="EF310" s="22"/>
      <c r="EG310" s="22"/>
      <c r="EH310" s="22"/>
      <c r="EI310" s="22"/>
      <c r="EJ310" s="22"/>
      <c r="EK310" s="22"/>
      <c r="EL310" s="22"/>
      <c r="EM310" s="22"/>
      <c r="EN310" s="22"/>
      <c r="EO310" s="22"/>
      <c r="EP310" s="22"/>
      <c r="EQ310" s="22"/>
      <c r="ER310" s="22"/>
      <c r="ES310" s="22"/>
      <c r="ET310" s="22"/>
      <c r="EU310" s="22"/>
      <c r="EV310" s="22"/>
      <c r="EW310" s="22"/>
      <c r="EX310" s="22"/>
      <c r="EY310" s="22"/>
      <c r="EZ310" s="22"/>
      <c r="FA310" s="22"/>
      <c r="FB310" s="22"/>
      <c r="FC310" s="22"/>
      <c r="FD310" s="22"/>
      <c r="FE310" s="22"/>
      <c r="FF310" s="22"/>
      <c r="FG310" s="22"/>
      <c r="FH310" s="22"/>
      <c r="FI310" s="22"/>
      <c r="FJ310" s="22"/>
      <c r="FK310" s="22"/>
      <c r="FL310" s="22"/>
      <c r="FM310" s="22"/>
      <c r="FN310" s="22"/>
      <c r="FO310" s="22"/>
      <c r="FP310" s="22"/>
      <c r="FQ310" s="22"/>
      <c r="FR310" s="22"/>
      <c r="FS310" s="22"/>
      <c r="FT310" s="22"/>
      <c r="FU310" s="22"/>
      <c r="FV310" s="22"/>
      <c r="FW310" s="22"/>
      <c r="FX310" s="22"/>
      <c r="FY310" s="22"/>
      <c r="FZ310" s="22"/>
    </row>
    <row r="311" spans="2:182" x14ac:dyDescent="0.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c r="Z311" s="22"/>
      <c r="AA311" s="22"/>
      <c r="AB311" s="22"/>
      <c r="AC311" s="22"/>
      <c r="AD311" s="22"/>
      <c r="AE311" s="22"/>
      <c r="AF311" s="22"/>
      <c r="AG311" s="22"/>
      <c r="AH311" s="22"/>
      <c r="AI311" s="22"/>
      <c r="AJ311" s="22"/>
      <c r="AK311" s="22"/>
      <c r="AL311" s="22"/>
      <c r="AM311" s="22"/>
      <c r="AN311" s="22"/>
      <c r="AO311" s="22"/>
      <c r="AP311" s="22"/>
      <c r="AQ311" s="22"/>
      <c r="AR311" s="22"/>
      <c r="AS311" s="22"/>
      <c r="AT311" s="22"/>
      <c r="AU311" s="22"/>
      <c r="AV311" s="22"/>
      <c r="AW311" s="22"/>
      <c r="AX311" s="22"/>
      <c r="AY311" s="22"/>
      <c r="AZ311" s="22"/>
      <c r="BA311" s="22"/>
      <c r="BB311" s="22"/>
      <c r="BC311" s="22"/>
      <c r="BD311" s="22"/>
      <c r="BE311" s="22"/>
      <c r="BF311" s="22"/>
      <c r="BG311" s="22"/>
      <c r="BH311" s="22"/>
      <c r="BI311" s="22"/>
      <c r="BJ311" s="22"/>
      <c r="BK311" s="22"/>
      <c r="BL311" s="22"/>
      <c r="BM311" s="22"/>
      <c r="BN311" s="22"/>
      <c r="BO311" s="22"/>
      <c r="BP311" s="22"/>
      <c r="BQ311" s="22"/>
      <c r="BR311" s="22"/>
      <c r="BS311" s="22"/>
      <c r="BT311" s="22"/>
      <c r="BU311" s="22"/>
      <c r="BV311" s="22"/>
      <c r="BW311" s="22"/>
      <c r="BX311" s="22"/>
      <c r="BY311" s="22"/>
      <c r="BZ311" s="22"/>
      <c r="CA311" s="22"/>
      <c r="CB311" s="22"/>
      <c r="CC311" s="22"/>
      <c r="CD311" s="22"/>
      <c r="CE311" s="22"/>
      <c r="CF311" s="22"/>
      <c r="CG311" s="22"/>
      <c r="CH311" s="22"/>
      <c r="CI311" s="22"/>
      <c r="CJ311" s="22"/>
      <c r="CK311" s="22"/>
      <c r="CL311" s="22"/>
      <c r="CM311" s="22"/>
      <c r="CN311" s="22"/>
      <c r="CO311" s="22"/>
      <c r="CP311" s="22"/>
      <c r="CQ311" s="22"/>
      <c r="CR311" s="22"/>
      <c r="CS311" s="22"/>
      <c r="CT311" s="22"/>
      <c r="CU311" s="22"/>
      <c r="CV311" s="22"/>
      <c r="CW311" s="22"/>
      <c r="CX311" s="22"/>
      <c r="CY311" s="22"/>
      <c r="CZ311" s="22"/>
      <c r="DA311" s="22"/>
      <c r="DB311" s="22"/>
      <c r="DC311" s="22"/>
      <c r="DD311" s="22"/>
      <c r="DE311" s="22"/>
      <c r="DF311" s="22"/>
      <c r="DG311" s="22"/>
      <c r="DH311" s="22"/>
      <c r="DI311" s="22"/>
      <c r="DJ311" s="22"/>
      <c r="DK311" s="22"/>
      <c r="DL311" s="22"/>
      <c r="DM311" s="22"/>
      <c r="DN311" s="22"/>
      <c r="DO311" s="22"/>
      <c r="DP311" s="22"/>
      <c r="DQ311" s="22"/>
      <c r="DR311" s="22"/>
      <c r="DS311" s="22"/>
      <c r="DT311" s="22"/>
      <c r="DU311" s="22"/>
      <c r="DV311" s="22"/>
      <c r="DW311" s="22"/>
      <c r="DX311" s="22"/>
      <c r="DY311" s="22"/>
      <c r="DZ311" s="22"/>
      <c r="EA311" s="22"/>
      <c r="EB311" s="22"/>
      <c r="EC311" s="22"/>
      <c r="ED311" s="22"/>
      <c r="EE311" s="22"/>
      <c r="EF311" s="22"/>
      <c r="EG311" s="22"/>
      <c r="EH311" s="22"/>
      <c r="EI311" s="22"/>
      <c r="EJ311" s="22"/>
      <c r="EK311" s="22"/>
      <c r="EL311" s="22"/>
      <c r="EM311" s="22"/>
      <c r="EN311" s="22"/>
      <c r="EO311" s="22"/>
      <c r="EP311" s="22"/>
      <c r="EQ311" s="22"/>
      <c r="ER311" s="22"/>
      <c r="ES311" s="22"/>
      <c r="ET311" s="22"/>
      <c r="EU311" s="22"/>
      <c r="EV311" s="22"/>
      <c r="EW311" s="22"/>
      <c r="EX311" s="22"/>
      <c r="EY311" s="22"/>
      <c r="EZ311" s="22"/>
      <c r="FA311" s="22"/>
      <c r="FB311" s="22"/>
      <c r="FC311" s="22"/>
      <c r="FD311" s="22"/>
      <c r="FE311" s="22"/>
      <c r="FF311" s="22"/>
      <c r="FG311" s="22"/>
      <c r="FH311" s="22"/>
      <c r="FI311" s="22"/>
      <c r="FJ311" s="22"/>
      <c r="FK311" s="22"/>
      <c r="FL311" s="22"/>
      <c r="FM311" s="22"/>
      <c r="FN311" s="22"/>
      <c r="FO311" s="22"/>
      <c r="FP311" s="22"/>
      <c r="FQ311" s="22"/>
      <c r="FR311" s="22"/>
      <c r="FS311" s="22"/>
      <c r="FT311" s="22"/>
      <c r="FU311" s="22"/>
      <c r="FV311" s="22"/>
      <c r="FW311" s="22"/>
      <c r="FX311" s="22"/>
      <c r="FY311" s="22"/>
      <c r="FZ311" s="22"/>
    </row>
    <row r="312" spans="2:182" x14ac:dyDescent="0.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c r="Z312" s="22"/>
      <c r="AA312" s="22"/>
      <c r="AB312" s="22"/>
      <c r="AC312" s="22"/>
      <c r="AD312" s="22"/>
      <c r="AE312" s="22"/>
      <c r="AF312" s="22"/>
      <c r="AG312" s="22"/>
      <c r="AH312" s="22"/>
      <c r="AI312" s="22"/>
      <c r="AJ312" s="22"/>
      <c r="AK312" s="22"/>
      <c r="AL312" s="22"/>
      <c r="AM312" s="22"/>
      <c r="AN312" s="22"/>
      <c r="AO312" s="22"/>
      <c r="AP312" s="22"/>
      <c r="AQ312" s="22"/>
      <c r="AR312" s="22"/>
      <c r="AS312" s="22"/>
      <c r="AT312" s="22"/>
      <c r="AU312" s="22"/>
      <c r="AV312" s="22"/>
      <c r="AW312" s="22"/>
      <c r="AX312" s="22"/>
      <c r="AY312" s="22"/>
      <c r="AZ312" s="22"/>
      <c r="BA312" s="22"/>
      <c r="BB312" s="22"/>
      <c r="BC312" s="22"/>
      <c r="BD312" s="22"/>
      <c r="BE312" s="22"/>
      <c r="BF312" s="22"/>
      <c r="BG312" s="22"/>
      <c r="BH312" s="22"/>
      <c r="BI312" s="22"/>
      <c r="BJ312" s="22"/>
      <c r="BK312" s="22"/>
      <c r="BL312" s="22"/>
      <c r="BM312" s="22"/>
      <c r="BN312" s="22"/>
      <c r="BO312" s="22"/>
      <c r="BP312" s="22"/>
      <c r="BQ312" s="22"/>
      <c r="BR312" s="22"/>
      <c r="BS312" s="22"/>
      <c r="BT312" s="22"/>
      <c r="BU312" s="22"/>
      <c r="BV312" s="22"/>
      <c r="BW312" s="22"/>
      <c r="BX312" s="22"/>
      <c r="BY312" s="22"/>
      <c r="BZ312" s="22"/>
      <c r="CA312" s="22"/>
      <c r="CB312" s="22"/>
      <c r="CC312" s="22"/>
      <c r="CD312" s="22"/>
      <c r="CE312" s="22"/>
      <c r="CF312" s="22"/>
      <c r="CG312" s="22"/>
      <c r="CH312" s="22"/>
      <c r="CI312" s="22"/>
      <c r="CJ312" s="22"/>
      <c r="CK312" s="22"/>
      <c r="CL312" s="22"/>
      <c r="CM312" s="22"/>
      <c r="CN312" s="22"/>
      <c r="CO312" s="22"/>
      <c r="CP312" s="22"/>
      <c r="CQ312" s="22"/>
      <c r="CR312" s="22"/>
      <c r="CS312" s="22"/>
      <c r="CT312" s="22"/>
      <c r="CU312" s="22"/>
      <c r="CV312" s="22"/>
      <c r="CW312" s="22"/>
      <c r="CX312" s="22"/>
      <c r="CY312" s="22"/>
      <c r="CZ312" s="22"/>
      <c r="DA312" s="22"/>
      <c r="DB312" s="22"/>
      <c r="DC312" s="22"/>
      <c r="DD312" s="22"/>
      <c r="DE312" s="22"/>
      <c r="DF312" s="22"/>
      <c r="DG312" s="22"/>
      <c r="DH312" s="22"/>
      <c r="DI312" s="22"/>
      <c r="DJ312" s="22"/>
      <c r="DK312" s="22"/>
      <c r="DL312" s="22"/>
      <c r="DM312" s="22"/>
      <c r="DN312" s="22"/>
      <c r="DO312" s="22"/>
      <c r="DP312" s="22"/>
      <c r="DQ312" s="22"/>
      <c r="DR312" s="22"/>
      <c r="DS312" s="22"/>
      <c r="DT312" s="22"/>
      <c r="DU312" s="22"/>
      <c r="DV312" s="22"/>
      <c r="DW312" s="22"/>
      <c r="DX312" s="22"/>
      <c r="DY312" s="22"/>
      <c r="DZ312" s="22"/>
      <c r="EA312" s="22"/>
      <c r="EB312" s="22"/>
      <c r="EC312" s="22"/>
      <c r="ED312" s="22"/>
      <c r="EE312" s="22"/>
      <c r="EF312" s="22"/>
      <c r="EG312" s="22"/>
      <c r="EH312" s="22"/>
      <c r="EI312" s="22"/>
      <c r="EJ312" s="22"/>
      <c r="EK312" s="22"/>
      <c r="EL312" s="22"/>
      <c r="EM312" s="22"/>
      <c r="EN312" s="22"/>
      <c r="EO312" s="22"/>
      <c r="EP312" s="22"/>
      <c r="EQ312" s="22"/>
      <c r="ER312" s="22"/>
      <c r="ES312" s="22"/>
      <c r="ET312" s="22"/>
      <c r="EU312" s="22"/>
      <c r="EV312" s="22"/>
      <c r="EW312" s="22"/>
      <c r="EX312" s="22"/>
      <c r="EY312" s="22"/>
      <c r="EZ312" s="22"/>
      <c r="FA312" s="22"/>
      <c r="FB312" s="22"/>
      <c r="FC312" s="22"/>
      <c r="FD312" s="22"/>
      <c r="FE312" s="22"/>
      <c r="FF312" s="22"/>
      <c r="FG312" s="22"/>
      <c r="FH312" s="22"/>
      <c r="FI312" s="22"/>
      <c r="FJ312" s="22"/>
      <c r="FK312" s="22"/>
      <c r="FL312" s="22"/>
      <c r="FM312" s="22"/>
      <c r="FN312" s="22"/>
      <c r="FO312" s="22"/>
      <c r="FP312" s="22"/>
      <c r="FQ312" s="22"/>
      <c r="FR312" s="22"/>
      <c r="FS312" s="22"/>
      <c r="FT312" s="22"/>
      <c r="FU312" s="22"/>
      <c r="FV312" s="22"/>
      <c r="FW312" s="22"/>
      <c r="FX312" s="22"/>
      <c r="FY312" s="22"/>
      <c r="FZ312" s="22"/>
    </row>
    <row r="313" spans="2:182" x14ac:dyDescent="0.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c r="Z313" s="22"/>
      <c r="AA313" s="22"/>
      <c r="AB313" s="22"/>
      <c r="AC313" s="22"/>
      <c r="AD313" s="22"/>
      <c r="AE313" s="22"/>
      <c r="AF313" s="22"/>
      <c r="AG313" s="22"/>
      <c r="AH313" s="22"/>
      <c r="AI313" s="22"/>
      <c r="AJ313" s="22"/>
      <c r="AK313" s="22"/>
      <c r="AL313" s="22"/>
      <c r="AM313" s="22"/>
      <c r="AN313" s="22"/>
      <c r="AO313" s="22"/>
      <c r="AP313" s="22"/>
      <c r="AQ313" s="22"/>
      <c r="AR313" s="22"/>
      <c r="AS313" s="22"/>
      <c r="AT313" s="22"/>
      <c r="AU313" s="22"/>
      <c r="AV313" s="22"/>
      <c r="AW313" s="22"/>
      <c r="AX313" s="22"/>
      <c r="AY313" s="22"/>
      <c r="AZ313" s="22"/>
      <c r="BA313" s="22"/>
      <c r="BB313" s="22"/>
      <c r="BC313" s="22"/>
      <c r="BD313" s="22"/>
      <c r="BE313" s="22"/>
      <c r="BF313" s="22"/>
      <c r="BG313" s="22"/>
      <c r="BH313" s="22"/>
      <c r="BI313" s="22"/>
      <c r="BJ313" s="22"/>
      <c r="BK313" s="22"/>
      <c r="BL313" s="22"/>
      <c r="BM313" s="22"/>
      <c r="BN313" s="22"/>
      <c r="BO313" s="22"/>
      <c r="BP313" s="22"/>
      <c r="BQ313" s="22"/>
      <c r="BR313" s="22"/>
      <c r="BS313" s="22"/>
      <c r="BT313" s="22"/>
      <c r="BU313" s="22"/>
      <c r="BV313" s="22"/>
      <c r="BW313" s="22"/>
      <c r="BX313" s="22"/>
      <c r="BY313" s="22"/>
      <c r="BZ313" s="22"/>
      <c r="CA313" s="22"/>
      <c r="CB313" s="22"/>
      <c r="CC313" s="22"/>
      <c r="CD313" s="22"/>
      <c r="CE313" s="22"/>
      <c r="CF313" s="22"/>
      <c r="CG313" s="22"/>
      <c r="CH313" s="22"/>
      <c r="CI313" s="22"/>
      <c r="CJ313" s="22"/>
      <c r="CK313" s="22"/>
      <c r="CL313" s="22"/>
      <c r="CM313" s="22"/>
      <c r="CN313" s="22"/>
      <c r="CO313" s="22"/>
      <c r="CP313" s="22"/>
      <c r="CQ313" s="22"/>
      <c r="CR313" s="22"/>
      <c r="CS313" s="22"/>
      <c r="CT313" s="22"/>
      <c r="CU313" s="22"/>
      <c r="CV313" s="22"/>
      <c r="CW313" s="22"/>
      <c r="CX313" s="22"/>
      <c r="CY313" s="22"/>
      <c r="CZ313" s="22"/>
      <c r="DA313" s="22"/>
      <c r="DB313" s="22"/>
      <c r="DC313" s="22"/>
      <c r="DD313" s="22"/>
      <c r="DE313" s="22"/>
      <c r="DF313" s="22"/>
      <c r="DG313" s="22"/>
      <c r="DH313" s="22"/>
      <c r="DI313" s="22"/>
      <c r="DJ313" s="22"/>
      <c r="DK313" s="22"/>
      <c r="DL313" s="22"/>
      <c r="DM313" s="22"/>
      <c r="DN313" s="22"/>
      <c r="DO313" s="22"/>
      <c r="DP313" s="22"/>
      <c r="DQ313" s="22"/>
      <c r="DR313" s="22"/>
      <c r="DS313" s="22"/>
      <c r="DT313" s="22"/>
      <c r="DU313" s="22"/>
      <c r="DV313" s="22"/>
      <c r="DW313" s="22"/>
      <c r="DX313" s="22"/>
      <c r="DY313" s="22"/>
      <c r="DZ313" s="22"/>
      <c r="EA313" s="22"/>
      <c r="EB313" s="22"/>
      <c r="EC313" s="22"/>
      <c r="ED313" s="22"/>
      <c r="EE313" s="22"/>
      <c r="EF313" s="22"/>
      <c r="EG313" s="22"/>
      <c r="EH313" s="22"/>
      <c r="EI313" s="22"/>
      <c r="EJ313" s="22"/>
      <c r="EK313" s="22"/>
      <c r="EL313" s="22"/>
      <c r="EM313" s="22"/>
      <c r="EN313" s="22"/>
      <c r="EO313" s="22"/>
      <c r="EP313" s="22"/>
      <c r="EQ313" s="22"/>
      <c r="ER313" s="22"/>
      <c r="ES313" s="22"/>
      <c r="ET313" s="22"/>
      <c r="EU313" s="22"/>
      <c r="EV313" s="22"/>
      <c r="EW313" s="22"/>
      <c r="EX313" s="22"/>
      <c r="EY313" s="22"/>
      <c r="EZ313" s="22"/>
      <c r="FA313" s="22"/>
      <c r="FB313" s="22"/>
      <c r="FC313" s="22"/>
      <c r="FD313" s="22"/>
      <c r="FE313" s="22"/>
      <c r="FF313" s="22"/>
      <c r="FG313" s="22"/>
      <c r="FH313" s="22"/>
      <c r="FI313" s="22"/>
      <c r="FJ313" s="22"/>
      <c r="FK313" s="22"/>
      <c r="FL313" s="22"/>
      <c r="FM313" s="22"/>
      <c r="FN313" s="22"/>
      <c r="FO313" s="22"/>
      <c r="FP313" s="22"/>
      <c r="FQ313" s="22"/>
      <c r="FR313" s="22"/>
      <c r="FS313" s="22"/>
      <c r="FT313" s="22"/>
      <c r="FU313" s="22"/>
      <c r="FV313" s="22"/>
      <c r="FW313" s="22"/>
      <c r="FX313" s="22"/>
      <c r="FY313" s="22"/>
      <c r="FZ313" s="22"/>
    </row>
    <row r="314" spans="2:182" x14ac:dyDescent="0.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c r="Z314" s="22"/>
      <c r="AA314" s="22"/>
      <c r="AB314" s="22"/>
      <c r="AC314" s="22"/>
      <c r="AD314" s="22"/>
      <c r="AE314" s="22"/>
      <c r="AF314" s="22"/>
      <c r="AG314" s="22"/>
      <c r="AH314" s="22"/>
      <c r="AI314" s="22"/>
      <c r="AJ314" s="22"/>
      <c r="AK314" s="22"/>
      <c r="AL314" s="22"/>
      <c r="AM314" s="22"/>
      <c r="AN314" s="22"/>
      <c r="AO314" s="22"/>
      <c r="AP314" s="22"/>
      <c r="AQ314" s="22"/>
      <c r="AR314" s="22"/>
      <c r="AS314" s="22"/>
      <c r="AT314" s="22"/>
      <c r="AU314" s="22"/>
      <c r="AV314" s="22"/>
      <c r="AW314" s="22"/>
      <c r="AX314" s="22"/>
      <c r="AY314" s="22"/>
      <c r="AZ314" s="22"/>
      <c r="BA314" s="22"/>
      <c r="BB314" s="22"/>
      <c r="BC314" s="22"/>
      <c r="BD314" s="22"/>
      <c r="BE314" s="22"/>
      <c r="BF314" s="22"/>
      <c r="BG314" s="22"/>
      <c r="BH314" s="22"/>
      <c r="BI314" s="22"/>
      <c r="BJ314" s="22"/>
      <c r="BK314" s="22"/>
      <c r="BL314" s="22"/>
      <c r="BM314" s="22"/>
      <c r="BN314" s="22"/>
      <c r="BO314" s="22"/>
      <c r="BP314" s="22"/>
      <c r="BQ314" s="22"/>
      <c r="BR314" s="22"/>
      <c r="BS314" s="22"/>
      <c r="BT314" s="22"/>
      <c r="BU314" s="22"/>
      <c r="BV314" s="22"/>
      <c r="BW314" s="22"/>
      <c r="BX314" s="22"/>
      <c r="BY314" s="22"/>
      <c r="BZ314" s="22"/>
      <c r="CA314" s="22"/>
      <c r="CB314" s="22"/>
      <c r="CC314" s="22"/>
      <c r="CD314" s="22"/>
      <c r="CE314" s="22"/>
      <c r="CF314" s="22"/>
      <c r="CG314" s="22"/>
      <c r="CH314" s="22"/>
      <c r="CI314" s="22"/>
      <c r="CJ314" s="22"/>
      <c r="CK314" s="22"/>
      <c r="CL314" s="22"/>
      <c r="CM314" s="22"/>
      <c r="CN314" s="22"/>
      <c r="CO314" s="22"/>
      <c r="CP314" s="22"/>
      <c r="CQ314" s="22"/>
      <c r="CR314" s="22"/>
      <c r="CS314" s="22"/>
      <c r="CT314" s="22"/>
      <c r="CU314" s="22"/>
      <c r="CV314" s="22"/>
      <c r="CW314" s="22"/>
      <c r="CX314" s="22"/>
      <c r="CY314" s="22"/>
      <c r="CZ314" s="22"/>
      <c r="DA314" s="22"/>
      <c r="DB314" s="22"/>
      <c r="DC314" s="22"/>
      <c r="DD314" s="22"/>
      <c r="DE314" s="22"/>
      <c r="DF314" s="22"/>
      <c r="DG314" s="22"/>
      <c r="DH314" s="22"/>
      <c r="DI314" s="22"/>
      <c r="DJ314" s="22"/>
      <c r="DK314" s="22"/>
      <c r="DL314" s="22"/>
      <c r="DM314" s="22"/>
      <c r="DN314" s="22"/>
      <c r="DO314" s="22"/>
      <c r="DP314" s="22"/>
      <c r="DQ314" s="22"/>
      <c r="DR314" s="22"/>
      <c r="DS314" s="22"/>
      <c r="DT314" s="22"/>
      <c r="DU314" s="22"/>
      <c r="DV314" s="22"/>
      <c r="DW314" s="22"/>
      <c r="DX314" s="22"/>
      <c r="DY314" s="22"/>
      <c r="DZ314" s="22"/>
      <c r="EA314" s="22"/>
      <c r="EB314" s="22"/>
      <c r="EC314" s="22"/>
      <c r="ED314" s="22"/>
      <c r="EE314" s="22"/>
      <c r="EF314" s="22"/>
      <c r="EG314" s="22"/>
      <c r="EH314" s="22"/>
      <c r="EI314" s="22"/>
      <c r="EJ314" s="22"/>
      <c r="EK314" s="22"/>
      <c r="EL314" s="22"/>
      <c r="EM314" s="22"/>
      <c r="EN314" s="22"/>
      <c r="EO314" s="22"/>
      <c r="EP314" s="22"/>
      <c r="EQ314" s="22"/>
      <c r="ER314" s="22"/>
      <c r="ES314" s="22"/>
      <c r="ET314" s="22"/>
      <c r="EU314" s="22"/>
      <c r="EV314" s="22"/>
      <c r="EW314" s="22"/>
      <c r="EX314" s="22"/>
      <c r="EY314" s="22"/>
      <c r="EZ314" s="22"/>
      <c r="FA314" s="22"/>
      <c r="FB314" s="22"/>
      <c r="FC314" s="22"/>
      <c r="FD314" s="22"/>
      <c r="FE314" s="22"/>
      <c r="FF314" s="22"/>
      <c r="FG314" s="22"/>
      <c r="FH314" s="22"/>
      <c r="FI314" s="22"/>
      <c r="FJ314" s="22"/>
      <c r="FK314" s="22"/>
      <c r="FL314" s="22"/>
      <c r="FM314" s="22"/>
      <c r="FN314" s="22"/>
      <c r="FO314" s="22"/>
      <c r="FP314" s="22"/>
      <c r="FQ314" s="22"/>
      <c r="FR314" s="22"/>
      <c r="FS314" s="22"/>
      <c r="FT314" s="22"/>
      <c r="FU314" s="22"/>
      <c r="FV314" s="22"/>
      <c r="FW314" s="22"/>
      <c r="FX314" s="22"/>
      <c r="FY314" s="22"/>
      <c r="FZ314" s="22"/>
    </row>
    <row r="315" spans="2:182" x14ac:dyDescent="0.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c r="Z315" s="22"/>
      <c r="AA315" s="22"/>
      <c r="AB315" s="22"/>
      <c r="AC315" s="22"/>
      <c r="AD315" s="22"/>
      <c r="AE315" s="22"/>
      <c r="AF315" s="22"/>
      <c r="AG315" s="22"/>
      <c r="AH315" s="22"/>
      <c r="AI315" s="22"/>
      <c r="AJ315" s="22"/>
      <c r="AK315" s="22"/>
      <c r="AL315" s="22"/>
      <c r="AM315" s="22"/>
      <c r="AN315" s="22"/>
      <c r="AO315" s="22"/>
      <c r="AP315" s="22"/>
      <c r="AQ315" s="22"/>
      <c r="AR315" s="22"/>
      <c r="AS315" s="22"/>
      <c r="AT315" s="22"/>
      <c r="AU315" s="22"/>
      <c r="AV315" s="22"/>
      <c r="AW315" s="22"/>
      <c r="AX315" s="22"/>
      <c r="AY315" s="22"/>
      <c r="AZ315" s="22"/>
      <c r="BA315" s="22"/>
      <c r="BB315" s="22"/>
      <c r="BC315" s="22"/>
      <c r="BD315" s="22"/>
      <c r="BE315" s="22"/>
      <c r="BF315" s="22"/>
      <c r="BG315" s="22"/>
      <c r="BH315" s="22"/>
      <c r="BI315" s="22"/>
      <c r="BJ315" s="22"/>
      <c r="BK315" s="22"/>
      <c r="BL315" s="22"/>
      <c r="BM315" s="22"/>
      <c r="BN315" s="22"/>
      <c r="BO315" s="22"/>
      <c r="BP315" s="22"/>
      <c r="BQ315" s="22"/>
      <c r="BR315" s="22"/>
      <c r="BS315" s="22"/>
      <c r="BT315" s="22"/>
      <c r="BU315" s="22"/>
      <c r="BV315" s="22"/>
      <c r="BW315" s="22"/>
      <c r="BX315" s="22"/>
      <c r="BY315" s="22"/>
      <c r="BZ315" s="22"/>
      <c r="CA315" s="22"/>
      <c r="CB315" s="22"/>
      <c r="CC315" s="22"/>
      <c r="CD315" s="22"/>
      <c r="CE315" s="22"/>
      <c r="CF315" s="22"/>
      <c r="CG315" s="22"/>
      <c r="CH315" s="22"/>
      <c r="CI315" s="22"/>
      <c r="CJ315" s="22"/>
      <c r="CK315" s="22"/>
      <c r="CL315" s="22"/>
      <c r="CM315" s="22"/>
      <c r="CN315" s="22"/>
      <c r="CO315" s="22"/>
      <c r="CP315" s="22"/>
      <c r="CQ315" s="22"/>
      <c r="CR315" s="22"/>
      <c r="CS315" s="22"/>
      <c r="CT315" s="22"/>
      <c r="CU315" s="22"/>
      <c r="CV315" s="22"/>
      <c r="CW315" s="22"/>
      <c r="CX315" s="22"/>
      <c r="CY315" s="22"/>
      <c r="CZ315" s="22"/>
      <c r="DA315" s="22"/>
      <c r="DB315" s="22"/>
      <c r="DC315" s="22"/>
      <c r="DD315" s="22"/>
      <c r="DE315" s="22"/>
      <c r="DF315" s="22"/>
      <c r="DG315" s="22"/>
      <c r="DH315" s="22"/>
      <c r="DI315" s="22"/>
      <c r="DJ315" s="22"/>
      <c r="DK315" s="22"/>
      <c r="DL315" s="22"/>
      <c r="DM315" s="22"/>
      <c r="DN315" s="22"/>
      <c r="DO315" s="22"/>
      <c r="DP315" s="22"/>
      <c r="DQ315" s="22"/>
      <c r="DR315" s="22"/>
      <c r="DS315" s="22"/>
      <c r="DT315" s="22"/>
      <c r="DU315" s="22"/>
      <c r="DV315" s="22"/>
      <c r="DW315" s="22"/>
      <c r="DX315" s="22"/>
      <c r="DY315" s="22"/>
      <c r="DZ315" s="22"/>
      <c r="EA315" s="22"/>
      <c r="EB315" s="22"/>
      <c r="EC315" s="22"/>
      <c r="ED315" s="22"/>
      <c r="EE315" s="22"/>
      <c r="EF315" s="22"/>
      <c r="EG315" s="22"/>
      <c r="EH315" s="22"/>
      <c r="EI315" s="22"/>
      <c r="EJ315" s="22"/>
      <c r="EK315" s="22"/>
      <c r="EL315" s="22"/>
      <c r="EM315" s="22"/>
      <c r="EN315" s="22"/>
      <c r="EO315" s="22"/>
      <c r="EP315" s="22"/>
      <c r="EQ315" s="22"/>
      <c r="ER315" s="22"/>
      <c r="ES315" s="22"/>
      <c r="ET315" s="22"/>
      <c r="EU315" s="22"/>
      <c r="EV315" s="22"/>
      <c r="EW315" s="22"/>
      <c r="EX315" s="22"/>
      <c r="EY315" s="22"/>
      <c r="EZ315" s="22"/>
      <c r="FA315" s="22"/>
      <c r="FB315" s="22"/>
      <c r="FC315" s="22"/>
      <c r="FD315" s="22"/>
      <c r="FE315" s="22"/>
      <c r="FF315" s="22"/>
      <c r="FG315" s="22"/>
      <c r="FH315" s="22"/>
      <c r="FI315" s="22"/>
      <c r="FJ315" s="22"/>
      <c r="FK315" s="22"/>
      <c r="FL315" s="22"/>
      <c r="FM315" s="22"/>
      <c r="FN315" s="22"/>
      <c r="FO315" s="22"/>
      <c r="FP315" s="22"/>
      <c r="FQ315" s="22"/>
      <c r="FR315" s="22"/>
      <c r="FS315" s="22"/>
      <c r="FT315" s="22"/>
      <c r="FU315" s="22"/>
      <c r="FV315" s="22"/>
      <c r="FW315" s="22"/>
      <c r="FX315" s="22"/>
      <c r="FY315" s="22"/>
      <c r="FZ315" s="22"/>
    </row>
    <row r="316" spans="2:182" x14ac:dyDescent="0.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c r="Z316" s="22"/>
      <c r="AA316" s="22"/>
      <c r="AB316" s="22"/>
      <c r="AC316" s="22"/>
      <c r="AD316" s="22"/>
      <c r="AE316" s="22"/>
      <c r="AF316" s="22"/>
      <c r="AG316" s="22"/>
      <c r="AH316" s="22"/>
      <c r="AI316" s="22"/>
      <c r="AJ316" s="22"/>
      <c r="AK316" s="22"/>
      <c r="AL316" s="22"/>
      <c r="AM316" s="22"/>
      <c r="AN316" s="22"/>
      <c r="AO316" s="22"/>
      <c r="AP316" s="22"/>
      <c r="AQ316" s="22"/>
      <c r="AR316" s="22"/>
      <c r="AS316" s="22"/>
      <c r="AT316" s="22"/>
      <c r="AU316" s="22"/>
      <c r="AV316" s="22"/>
      <c r="AW316" s="22"/>
      <c r="AX316" s="22"/>
      <c r="AY316" s="22"/>
      <c r="AZ316" s="22"/>
      <c r="BA316" s="22"/>
      <c r="BB316" s="22"/>
      <c r="BC316" s="22"/>
      <c r="BD316" s="22"/>
      <c r="BE316" s="22"/>
      <c r="BF316" s="22"/>
      <c r="BG316" s="22"/>
      <c r="BH316" s="22"/>
      <c r="BI316" s="22"/>
      <c r="BJ316" s="22"/>
      <c r="BK316" s="22"/>
      <c r="BL316" s="22"/>
      <c r="BM316" s="22"/>
      <c r="BN316" s="22"/>
      <c r="BO316" s="22"/>
      <c r="BP316" s="22"/>
      <c r="BQ316" s="22"/>
      <c r="BR316" s="22"/>
      <c r="BS316" s="22"/>
      <c r="BT316" s="22"/>
      <c r="BU316" s="22"/>
      <c r="BV316" s="22"/>
      <c r="BW316" s="22"/>
      <c r="BX316" s="22"/>
      <c r="BY316" s="22"/>
      <c r="BZ316" s="22"/>
      <c r="CA316" s="22"/>
      <c r="CB316" s="22"/>
      <c r="CC316" s="22"/>
      <c r="CD316" s="22"/>
      <c r="CE316" s="22"/>
      <c r="CF316" s="22"/>
      <c r="CG316" s="22"/>
      <c r="CH316" s="22"/>
      <c r="CI316" s="22"/>
      <c r="CJ316" s="22"/>
      <c r="CK316" s="22"/>
      <c r="CL316" s="22"/>
      <c r="CM316" s="22"/>
      <c r="CN316" s="22"/>
      <c r="CO316" s="22"/>
      <c r="CP316" s="22"/>
      <c r="CQ316" s="22"/>
      <c r="CR316" s="22"/>
      <c r="CS316" s="22"/>
      <c r="CT316" s="22"/>
      <c r="CU316" s="22"/>
      <c r="CV316" s="22"/>
      <c r="CW316" s="22"/>
      <c r="CX316" s="22"/>
      <c r="CY316" s="22"/>
      <c r="CZ316" s="22"/>
      <c r="DA316" s="22"/>
      <c r="DB316" s="22"/>
      <c r="DC316" s="22"/>
      <c r="DD316" s="22"/>
      <c r="DE316" s="22"/>
      <c r="DF316" s="22"/>
      <c r="DG316" s="22"/>
      <c r="DH316" s="22"/>
      <c r="DI316" s="22"/>
      <c r="DJ316" s="22"/>
      <c r="DK316" s="22"/>
      <c r="DL316" s="22"/>
      <c r="DM316" s="22"/>
      <c r="DN316" s="22"/>
      <c r="DO316" s="22"/>
      <c r="DP316" s="22"/>
      <c r="DQ316" s="22"/>
      <c r="DR316" s="22"/>
      <c r="DS316" s="22"/>
      <c r="DT316" s="22"/>
      <c r="DU316" s="22"/>
      <c r="DV316" s="22"/>
      <c r="DW316" s="22"/>
      <c r="DX316" s="22"/>
      <c r="DY316" s="22"/>
      <c r="DZ316" s="22"/>
      <c r="EA316" s="22"/>
      <c r="EB316" s="22"/>
      <c r="EC316" s="22"/>
      <c r="ED316" s="22"/>
      <c r="EE316" s="22"/>
      <c r="EF316" s="22"/>
      <c r="EG316" s="22"/>
      <c r="EH316" s="22"/>
      <c r="EI316" s="22"/>
      <c r="EJ316" s="22"/>
      <c r="EK316" s="22"/>
      <c r="EL316" s="22"/>
      <c r="EM316" s="22"/>
      <c r="EN316" s="22"/>
      <c r="EO316" s="22"/>
      <c r="EP316" s="22"/>
      <c r="EQ316" s="22"/>
      <c r="ER316" s="22"/>
      <c r="ES316" s="22"/>
      <c r="ET316" s="22"/>
      <c r="EU316" s="22"/>
      <c r="EV316" s="22"/>
      <c r="EW316" s="22"/>
      <c r="EX316" s="22"/>
      <c r="EY316" s="22"/>
      <c r="EZ316" s="22"/>
      <c r="FA316" s="22"/>
      <c r="FB316" s="22"/>
      <c r="FC316" s="22"/>
      <c r="FD316" s="22"/>
      <c r="FE316" s="22"/>
      <c r="FF316" s="22"/>
      <c r="FG316" s="22"/>
      <c r="FH316" s="22"/>
      <c r="FI316" s="22"/>
      <c r="FJ316" s="22"/>
      <c r="FK316" s="22"/>
      <c r="FL316" s="22"/>
      <c r="FM316" s="22"/>
      <c r="FN316" s="22"/>
      <c r="FO316" s="22"/>
      <c r="FP316" s="22"/>
      <c r="FQ316" s="22"/>
      <c r="FR316" s="22"/>
      <c r="FS316" s="22"/>
      <c r="FT316" s="22"/>
      <c r="FU316" s="22"/>
      <c r="FV316" s="22"/>
      <c r="FW316" s="22"/>
      <c r="FX316" s="22"/>
      <c r="FY316" s="22"/>
      <c r="FZ316" s="22"/>
    </row>
    <row r="317" spans="2:182" x14ac:dyDescent="0.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c r="Z317" s="22"/>
      <c r="AA317" s="22"/>
      <c r="AB317" s="22"/>
      <c r="AC317" s="22"/>
      <c r="AD317" s="22"/>
      <c r="AE317" s="22"/>
      <c r="AF317" s="22"/>
      <c r="AG317" s="22"/>
      <c r="AH317" s="22"/>
      <c r="AI317" s="22"/>
      <c r="AJ317" s="22"/>
      <c r="AK317" s="22"/>
      <c r="AL317" s="22"/>
      <c r="AM317" s="22"/>
      <c r="AN317" s="22"/>
      <c r="AO317" s="22"/>
      <c r="AP317" s="22"/>
      <c r="AQ317" s="22"/>
      <c r="AR317" s="22"/>
      <c r="AS317" s="22"/>
      <c r="AT317" s="22"/>
      <c r="AU317" s="22"/>
      <c r="AV317" s="22"/>
      <c r="AW317" s="22"/>
      <c r="AX317" s="22"/>
      <c r="AY317" s="22"/>
      <c r="AZ317" s="22"/>
      <c r="BA317" s="22"/>
      <c r="BB317" s="22"/>
      <c r="BC317" s="22"/>
      <c r="BD317" s="22"/>
      <c r="BE317" s="22"/>
      <c r="BF317" s="22"/>
      <c r="BG317" s="22"/>
      <c r="BH317" s="22"/>
      <c r="BI317" s="22"/>
      <c r="BJ317" s="22"/>
      <c r="BK317" s="22"/>
      <c r="BL317" s="22"/>
      <c r="BM317" s="22"/>
      <c r="BN317" s="22"/>
      <c r="BO317" s="22"/>
      <c r="BP317" s="22"/>
      <c r="BQ317" s="22"/>
      <c r="BR317" s="22"/>
      <c r="BS317" s="22"/>
      <c r="BT317" s="22"/>
      <c r="BU317" s="22"/>
      <c r="BV317" s="22"/>
      <c r="BW317" s="22"/>
      <c r="BX317" s="22"/>
      <c r="BY317" s="22"/>
      <c r="BZ317" s="22"/>
      <c r="CA317" s="22"/>
      <c r="CB317" s="22"/>
      <c r="CC317" s="22"/>
      <c r="CD317" s="22"/>
      <c r="CE317" s="22"/>
      <c r="CF317" s="22"/>
      <c r="CG317" s="22"/>
      <c r="CH317" s="22"/>
      <c r="CI317" s="22"/>
      <c r="CJ317" s="22"/>
      <c r="CK317" s="22"/>
      <c r="CL317" s="22"/>
      <c r="CM317" s="22"/>
      <c r="CN317" s="22"/>
      <c r="CO317" s="22"/>
      <c r="CP317" s="22"/>
      <c r="CQ317" s="22"/>
      <c r="CR317" s="22"/>
      <c r="CS317" s="22"/>
      <c r="CT317" s="22"/>
      <c r="CU317" s="22"/>
      <c r="CV317" s="22"/>
      <c r="CW317" s="22"/>
      <c r="CX317" s="22"/>
      <c r="CY317" s="22"/>
      <c r="CZ317" s="22"/>
      <c r="DA317" s="22"/>
      <c r="DB317" s="22"/>
      <c r="DC317" s="22"/>
      <c r="DD317" s="22"/>
      <c r="DE317" s="22"/>
      <c r="DF317" s="22"/>
      <c r="DG317" s="22"/>
      <c r="DH317" s="22"/>
      <c r="DI317" s="22"/>
      <c r="DJ317" s="22"/>
      <c r="DK317" s="22"/>
      <c r="DL317" s="22"/>
      <c r="DM317" s="22"/>
      <c r="DN317" s="22"/>
      <c r="DO317" s="22"/>
      <c r="DP317" s="22"/>
      <c r="DQ317" s="22"/>
      <c r="DR317" s="22"/>
      <c r="DS317" s="22"/>
      <c r="DT317" s="22"/>
      <c r="DU317" s="22"/>
      <c r="DV317" s="22"/>
      <c r="DW317" s="22"/>
      <c r="DX317" s="22"/>
      <c r="DY317" s="22"/>
      <c r="DZ317" s="22"/>
      <c r="EA317" s="22"/>
      <c r="EB317" s="22"/>
      <c r="EC317" s="22"/>
      <c r="ED317" s="22"/>
      <c r="EE317" s="22"/>
      <c r="EF317" s="22"/>
      <c r="EG317" s="22"/>
      <c r="EH317" s="22"/>
      <c r="EI317" s="22"/>
      <c r="EJ317" s="22"/>
      <c r="EK317" s="22"/>
      <c r="EL317" s="22"/>
      <c r="EM317" s="22"/>
      <c r="EN317" s="22"/>
      <c r="EO317" s="22"/>
      <c r="EP317" s="22"/>
      <c r="EQ317" s="22"/>
      <c r="ER317" s="22"/>
      <c r="ES317" s="22"/>
      <c r="ET317" s="22"/>
      <c r="EU317" s="22"/>
      <c r="EV317" s="22"/>
      <c r="EW317" s="22"/>
      <c r="EX317" s="22"/>
      <c r="EY317" s="22"/>
      <c r="EZ317" s="22"/>
      <c r="FA317" s="22"/>
      <c r="FB317" s="22"/>
      <c r="FC317" s="22"/>
      <c r="FD317" s="22"/>
      <c r="FE317" s="22"/>
      <c r="FF317" s="22"/>
      <c r="FG317" s="22"/>
      <c r="FH317" s="22"/>
      <c r="FI317" s="22"/>
      <c r="FJ317" s="22"/>
      <c r="FK317" s="22"/>
      <c r="FL317" s="22"/>
      <c r="FM317" s="22"/>
      <c r="FN317" s="22"/>
      <c r="FO317" s="22"/>
      <c r="FP317" s="22"/>
      <c r="FQ317" s="22"/>
      <c r="FR317" s="22"/>
      <c r="FS317" s="22"/>
      <c r="FT317" s="22"/>
      <c r="FU317" s="22"/>
      <c r="FV317" s="22"/>
      <c r="FW317" s="22"/>
      <c r="FX317" s="22"/>
      <c r="FY317" s="22"/>
      <c r="FZ317" s="22"/>
    </row>
    <row r="318" spans="2:182" x14ac:dyDescent="0.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c r="Z318" s="22"/>
      <c r="AA318" s="22"/>
      <c r="AB318" s="22"/>
      <c r="AC318" s="22"/>
      <c r="AD318" s="22"/>
      <c r="AE318" s="22"/>
      <c r="AF318" s="22"/>
      <c r="AG318" s="22"/>
      <c r="AH318" s="22"/>
      <c r="AI318" s="22"/>
      <c r="AJ318" s="22"/>
      <c r="AK318" s="22"/>
      <c r="AL318" s="22"/>
      <c r="AM318" s="22"/>
      <c r="AN318" s="22"/>
      <c r="AO318" s="22"/>
      <c r="AP318" s="22"/>
      <c r="AQ318" s="22"/>
      <c r="AR318" s="22"/>
      <c r="AS318" s="22"/>
      <c r="AT318" s="22"/>
      <c r="AU318" s="22"/>
      <c r="AV318" s="22"/>
      <c r="AW318" s="22"/>
      <c r="AX318" s="22"/>
      <c r="AY318" s="22"/>
      <c r="AZ318" s="22"/>
      <c r="BA318" s="22"/>
      <c r="BB318" s="22"/>
      <c r="BC318" s="22"/>
      <c r="BD318" s="22"/>
      <c r="BE318" s="22"/>
      <c r="BF318" s="22"/>
      <c r="BG318" s="22"/>
      <c r="BH318" s="22"/>
      <c r="BI318" s="22"/>
      <c r="BJ318" s="22"/>
      <c r="BK318" s="22"/>
      <c r="BL318" s="22"/>
      <c r="BM318" s="22"/>
      <c r="BN318" s="22"/>
      <c r="BO318" s="22"/>
      <c r="BP318" s="22"/>
      <c r="BQ318" s="22"/>
      <c r="BR318" s="22"/>
      <c r="BS318" s="22"/>
      <c r="BT318" s="22"/>
      <c r="BU318" s="22"/>
      <c r="BV318" s="22"/>
      <c r="BW318" s="22"/>
      <c r="BX318" s="22"/>
      <c r="BY318" s="22"/>
      <c r="BZ318" s="22"/>
      <c r="CA318" s="22"/>
      <c r="CB318" s="22"/>
      <c r="CC318" s="22"/>
      <c r="CD318" s="22"/>
      <c r="CE318" s="22"/>
      <c r="CF318" s="22"/>
      <c r="CG318" s="22"/>
      <c r="CH318" s="22"/>
      <c r="CI318" s="22"/>
      <c r="CJ318" s="22"/>
      <c r="CK318" s="22"/>
      <c r="CL318" s="22"/>
      <c r="CM318" s="22"/>
      <c r="CN318" s="22"/>
      <c r="CO318" s="22"/>
      <c r="CP318" s="22"/>
      <c r="CQ318" s="22"/>
      <c r="CR318" s="22"/>
      <c r="CS318" s="22"/>
      <c r="CT318" s="22"/>
      <c r="CU318" s="22"/>
      <c r="CV318" s="22"/>
      <c r="CW318" s="22"/>
      <c r="CX318" s="22"/>
      <c r="CY318" s="22"/>
      <c r="CZ318" s="22"/>
      <c r="DA318" s="22"/>
      <c r="DB318" s="22"/>
      <c r="DC318" s="22"/>
      <c r="DD318" s="22"/>
      <c r="DE318" s="22"/>
      <c r="DF318" s="22"/>
      <c r="DG318" s="22"/>
      <c r="DH318" s="22"/>
      <c r="DI318" s="22"/>
      <c r="DJ318" s="22"/>
      <c r="DK318" s="22"/>
      <c r="DL318" s="22"/>
      <c r="DM318" s="22"/>
      <c r="DN318" s="22"/>
      <c r="DO318" s="22"/>
      <c r="DP318" s="22"/>
      <c r="DQ318" s="22"/>
      <c r="DR318" s="22"/>
      <c r="DS318" s="22"/>
      <c r="DT318" s="22"/>
      <c r="DU318" s="22"/>
      <c r="DV318" s="22"/>
      <c r="DW318" s="22"/>
      <c r="DX318" s="22"/>
      <c r="DY318" s="22"/>
      <c r="DZ318" s="22"/>
      <c r="EA318" s="22"/>
      <c r="EB318" s="22"/>
      <c r="EC318" s="22"/>
      <c r="ED318" s="22"/>
      <c r="EE318" s="22"/>
      <c r="EF318" s="22"/>
      <c r="EG318" s="22"/>
      <c r="EH318" s="22"/>
      <c r="EI318" s="22"/>
      <c r="EJ318" s="22"/>
      <c r="EK318" s="22"/>
      <c r="EL318" s="22"/>
      <c r="EM318" s="22"/>
      <c r="EN318" s="22"/>
      <c r="EO318" s="22"/>
      <c r="EP318" s="22"/>
      <c r="EQ318" s="22"/>
      <c r="ER318" s="22"/>
      <c r="ES318" s="22"/>
      <c r="ET318" s="22"/>
      <c r="EU318" s="22"/>
      <c r="EV318" s="22"/>
      <c r="EW318" s="22"/>
      <c r="EX318" s="22"/>
      <c r="EY318" s="22"/>
      <c r="EZ318" s="22"/>
      <c r="FA318" s="22"/>
      <c r="FB318" s="22"/>
      <c r="FC318" s="22"/>
      <c r="FD318" s="22"/>
      <c r="FE318" s="22"/>
      <c r="FF318" s="22"/>
      <c r="FG318" s="22"/>
      <c r="FH318" s="22"/>
      <c r="FI318" s="22"/>
      <c r="FJ318" s="22"/>
      <c r="FK318" s="22"/>
      <c r="FL318" s="22"/>
      <c r="FM318" s="22"/>
      <c r="FN318" s="22"/>
      <c r="FO318" s="22"/>
      <c r="FP318" s="22"/>
      <c r="FQ318" s="22"/>
      <c r="FR318" s="22"/>
      <c r="FS318" s="22"/>
      <c r="FT318" s="22"/>
      <c r="FU318" s="22"/>
      <c r="FV318" s="22"/>
      <c r="FW318" s="22"/>
      <c r="FX318" s="22"/>
      <c r="FY318" s="22"/>
      <c r="FZ318" s="22"/>
    </row>
    <row r="319" spans="2:182" x14ac:dyDescent="0.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c r="Z319" s="22"/>
      <c r="AA319" s="22"/>
      <c r="AB319" s="22"/>
      <c r="AC319" s="22"/>
      <c r="AD319" s="22"/>
      <c r="AE319" s="22"/>
      <c r="AF319" s="22"/>
      <c r="AG319" s="22"/>
      <c r="AH319" s="22"/>
      <c r="AI319" s="22"/>
      <c r="AJ319" s="22"/>
      <c r="AK319" s="22"/>
      <c r="AL319" s="22"/>
      <c r="AM319" s="22"/>
      <c r="AN319" s="22"/>
      <c r="AO319" s="22"/>
      <c r="AP319" s="22"/>
      <c r="AQ319" s="22"/>
      <c r="AR319" s="22"/>
      <c r="AS319" s="22"/>
      <c r="AT319" s="22"/>
      <c r="AU319" s="22"/>
      <c r="AV319" s="22"/>
      <c r="AW319" s="22"/>
      <c r="AX319" s="22"/>
      <c r="AY319" s="22"/>
      <c r="AZ319" s="22"/>
      <c r="BA319" s="22"/>
      <c r="BB319" s="22"/>
      <c r="BC319" s="22"/>
      <c r="BD319" s="22"/>
      <c r="BE319" s="22"/>
      <c r="BF319" s="22"/>
      <c r="BG319" s="22"/>
      <c r="BH319" s="22"/>
      <c r="BI319" s="22"/>
      <c r="BJ319" s="22"/>
      <c r="BK319" s="22"/>
      <c r="BL319" s="22"/>
      <c r="BM319" s="22"/>
      <c r="BN319" s="22"/>
      <c r="BO319" s="22"/>
      <c r="BP319" s="22"/>
      <c r="BQ319" s="22"/>
      <c r="BR319" s="22"/>
      <c r="BS319" s="22"/>
      <c r="BT319" s="22"/>
      <c r="BU319" s="22"/>
      <c r="BV319" s="22"/>
      <c r="BW319" s="22"/>
      <c r="BX319" s="22"/>
      <c r="BY319" s="22"/>
      <c r="BZ319" s="22"/>
      <c r="CA319" s="22"/>
      <c r="CB319" s="22"/>
      <c r="CC319" s="22"/>
      <c r="CD319" s="22"/>
      <c r="CE319" s="22"/>
      <c r="CF319" s="22"/>
      <c r="CG319" s="22"/>
      <c r="CH319" s="22"/>
      <c r="CI319" s="22"/>
      <c r="CJ319" s="22"/>
      <c r="CK319" s="22"/>
      <c r="CL319" s="22"/>
      <c r="CM319" s="22"/>
      <c r="CN319" s="22"/>
      <c r="CO319" s="22"/>
      <c r="CP319" s="22"/>
      <c r="CQ319" s="22"/>
      <c r="CR319" s="22"/>
      <c r="CS319" s="22"/>
      <c r="CT319" s="22"/>
      <c r="CU319" s="22"/>
      <c r="CV319" s="22"/>
      <c r="CW319" s="22"/>
      <c r="CX319" s="22"/>
      <c r="CY319" s="22"/>
      <c r="CZ319" s="22"/>
      <c r="DA319" s="22"/>
      <c r="DB319" s="22"/>
      <c r="DC319" s="22"/>
      <c r="DD319" s="22"/>
      <c r="DE319" s="22"/>
      <c r="DF319" s="22"/>
      <c r="DG319" s="22"/>
      <c r="DH319" s="22"/>
      <c r="DI319" s="22"/>
      <c r="DJ319" s="22"/>
      <c r="DK319" s="22"/>
      <c r="DL319" s="22"/>
      <c r="DM319" s="22"/>
      <c r="DN319" s="22"/>
      <c r="DO319" s="22"/>
      <c r="DP319" s="22"/>
      <c r="DQ319" s="22"/>
      <c r="DR319" s="22"/>
      <c r="DS319" s="22"/>
      <c r="DT319" s="22"/>
      <c r="DU319" s="22"/>
      <c r="DV319" s="22"/>
      <c r="DW319" s="22"/>
      <c r="DX319" s="22"/>
      <c r="DY319" s="22"/>
      <c r="DZ319" s="22"/>
      <c r="EA319" s="22"/>
      <c r="EB319" s="22"/>
      <c r="EC319" s="22"/>
      <c r="ED319" s="22"/>
      <c r="EE319" s="22"/>
      <c r="EF319" s="22"/>
      <c r="EG319" s="22"/>
      <c r="EH319" s="22"/>
      <c r="EI319" s="22"/>
      <c r="EJ319" s="22"/>
      <c r="EK319" s="22"/>
      <c r="EL319" s="22"/>
      <c r="EM319" s="22"/>
      <c r="EN319" s="22"/>
      <c r="EO319" s="22"/>
      <c r="EP319" s="22"/>
      <c r="EQ319" s="22"/>
      <c r="ER319" s="22"/>
      <c r="ES319" s="22"/>
      <c r="ET319" s="22"/>
      <c r="EU319" s="22"/>
      <c r="EV319" s="22"/>
      <c r="EW319" s="22"/>
      <c r="EX319" s="22"/>
      <c r="EY319" s="22"/>
      <c r="EZ319" s="22"/>
      <c r="FA319" s="22"/>
      <c r="FB319" s="22"/>
      <c r="FC319" s="22"/>
      <c r="FD319" s="22"/>
      <c r="FE319" s="22"/>
      <c r="FF319" s="22"/>
      <c r="FG319" s="22"/>
      <c r="FH319" s="22"/>
      <c r="FI319" s="22"/>
      <c r="FJ319" s="22"/>
      <c r="FK319" s="22"/>
      <c r="FL319" s="22"/>
      <c r="FM319" s="22"/>
      <c r="FN319" s="22"/>
      <c r="FO319" s="22"/>
      <c r="FP319" s="22"/>
      <c r="FQ319" s="22"/>
      <c r="FR319" s="22"/>
      <c r="FS319" s="22"/>
      <c r="FT319" s="22"/>
      <c r="FU319" s="22"/>
      <c r="FV319" s="22"/>
      <c r="FW319" s="22"/>
      <c r="FX319" s="22"/>
      <c r="FY319" s="22"/>
      <c r="FZ319" s="22"/>
    </row>
    <row r="320" spans="2:182" x14ac:dyDescent="0.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c r="Z320" s="22"/>
      <c r="AA320" s="22"/>
      <c r="AB320" s="22"/>
      <c r="AC320" s="22"/>
      <c r="AD320" s="22"/>
      <c r="AE320" s="22"/>
      <c r="AF320" s="22"/>
      <c r="AG320" s="22"/>
      <c r="AH320" s="22"/>
      <c r="AI320" s="22"/>
      <c r="AJ320" s="22"/>
      <c r="AK320" s="22"/>
      <c r="AL320" s="22"/>
      <c r="AM320" s="22"/>
      <c r="AN320" s="22"/>
      <c r="AO320" s="22"/>
      <c r="AP320" s="22"/>
      <c r="AQ320" s="22"/>
      <c r="AR320" s="22"/>
      <c r="AS320" s="22"/>
      <c r="AT320" s="22"/>
      <c r="AU320" s="22"/>
      <c r="AV320" s="22"/>
      <c r="AW320" s="22"/>
      <c r="AX320" s="22"/>
      <c r="AY320" s="22"/>
      <c r="AZ320" s="22"/>
      <c r="BA320" s="22"/>
      <c r="BB320" s="22"/>
      <c r="BC320" s="22"/>
      <c r="BD320" s="22"/>
      <c r="BE320" s="22"/>
      <c r="BF320" s="22"/>
      <c r="BG320" s="22"/>
      <c r="BH320" s="22"/>
      <c r="BI320" s="22"/>
      <c r="BJ320" s="22"/>
      <c r="BK320" s="22"/>
      <c r="BL320" s="22"/>
      <c r="BM320" s="22"/>
      <c r="BN320" s="22"/>
      <c r="BO320" s="22"/>
      <c r="BP320" s="22"/>
      <c r="BQ320" s="22"/>
      <c r="BR320" s="22"/>
      <c r="BS320" s="22"/>
      <c r="BT320" s="22"/>
      <c r="BU320" s="22"/>
      <c r="BV320" s="22"/>
      <c r="BW320" s="22"/>
      <c r="BX320" s="22"/>
      <c r="BY320" s="22"/>
      <c r="BZ320" s="22"/>
      <c r="CA320" s="22"/>
      <c r="CB320" s="22"/>
      <c r="CC320" s="22"/>
      <c r="CD320" s="22"/>
      <c r="CE320" s="22"/>
      <c r="CF320" s="22"/>
      <c r="CG320" s="22"/>
      <c r="CH320" s="22"/>
      <c r="CI320" s="22"/>
      <c r="CJ320" s="22"/>
      <c r="CK320" s="22"/>
      <c r="CL320" s="22"/>
      <c r="CM320" s="22"/>
      <c r="CN320" s="22"/>
      <c r="CO320" s="22"/>
      <c r="CP320" s="22"/>
      <c r="CQ320" s="22"/>
      <c r="CR320" s="22"/>
      <c r="CS320" s="22"/>
      <c r="CT320" s="22"/>
      <c r="CU320" s="22"/>
      <c r="CV320" s="22"/>
      <c r="CW320" s="22"/>
      <c r="CX320" s="22"/>
      <c r="CY320" s="22"/>
      <c r="CZ320" s="22"/>
      <c r="DA320" s="22"/>
      <c r="DB320" s="22"/>
      <c r="DC320" s="22"/>
      <c r="DD320" s="22"/>
      <c r="DE320" s="22"/>
      <c r="DF320" s="22"/>
      <c r="DG320" s="22"/>
      <c r="DH320" s="22"/>
      <c r="DI320" s="22"/>
      <c r="DJ320" s="22"/>
      <c r="DK320" s="22"/>
      <c r="DL320" s="22"/>
      <c r="DM320" s="22"/>
      <c r="DN320" s="22"/>
      <c r="DO320" s="22"/>
      <c r="DP320" s="22"/>
      <c r="DQ320" s="22"/>
      <c r="DR320" s="22"/>
      <c r="DS320" s="22"/>
      <c r="DT320" s="22"/>
      <c r="DU320" s="22"/>
      <c r="DV320" s="22"/>
      <c r="DW320" s="22"/>
      <c r="DX320" s="22"/>
      <c r="DY320" s="22"/>
      <c r="DZ320" s="22"/>
      <c r="EA320" s="22"/>
      <c r="EB320" s="22"/>
      <c r="EC320" s="22"/>
      <c r="ED320" s="22"/>
      <c r="EE320" s="22"/>
      <c r="EF320" s="22"/>
      <c r="EG320" s="22"/>
      <c r="EH320" s="22"/>
      <c r="EI320" s="22"/>
      <c r="EJ320" s="22"/>
      <c r="EK320" s="22"/>
      <c r="EL320" s="22"/>
      <c r="EM320" s="22"/>
      <c r="EN320" s="22"/>
      <c r="EO320" s="22"/>
      <c r="EP320" s="22"/>
      <c r="EQ320" s="22"/>
      <c r="ER320" s="22"/>
      <c r="ES320" s="22"/>
      <c r="ET320" s="22"/>
      <c r="EU320" s="22"/>
      <c r="EV320" s="22"/>
      <c r="EW320" s="22"/>
      <c r="EX320" s="22"/>
      <c r="EY320" s="22"/>
      <c r="EZ320" s="22"/>
      <c r="FA320" s="22"/>
      <c r="FB320" s="22"/>
      <c r="FC320" s="22"/>
      <c r="FD320" s="22"/>
      <c r="FE320" s="22"/>
      <c r="FF320" s="22"/>
      <c r="FG320" s="22"/>
      <c r="FH320" s="22"/>
      <c r="FI320" s="22"/>
      <c r="FJ320" s="22"/>
      <c r="FK320" s="22"/>
      <c r="FL320" s="22"/>
      <c r="FM320" s="22"/>
      <c r="FN320" s="22"/>
      <c r="FO320" s="22"/>
      <c r="FP320" s="22"/>
      <c r="FQ320" s="22"/>
      <c r="FR320" s="22"/>
      <c r="FS320" s="22"/>
      <c r="FT320" s="22"/>
      <c r="FU320" s="22"/>
      <c r="FV320" s="22"/>
      <c r="FW320" s="22"/>
      <c r="FX320" s="22"/>
      <c r="FY320" s="22"/>
      <c r="FZ320" s="22"/>
    </row>
    <row r="321" spans="2:182" x14ac:dyDescent="0.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c r="Z321" s="22"/>
      <c r="AA321" s="22"/>
      <c r="AB321" s="22"/>
      <c r="AC321" s="22"/>
      <c r="AD321" s="22"/>
      <c r="AE321" s="22"/>
      <c r="AF321" s="22"/>
      <c r="AG321" s="22"/>
      <c r="AH321" s="22"/>
      <c r="AI321" s="22"/>
      <c r="AJ321" s="22"/>
      <c r="AK321" s="22"/>
      <c r="AL321" s="22"/>
      <c r="AM321" s="22"/>
      <c r="AN321" s="22"/>
      <c r="AO321" s="22"/>
      <c r="AP321" s="22"/>
      <c r="AQ321" s="22"/>
      <c r="AR321" s="22"/>
      <c r="AS321" s="22"/>
      <c r="AT321" s="22"/>
      <c r="AU321" s="22"/>
      <c r="AV321" s="22"/>
      <c r="AW321" s="22"/>
      <c r="AX321" s="22"/>
      <c r="AY321" s="22"/>
      <c r="AZ321" s="22"/>
      <c r="BA321" s="22"/>
      <c r="BB321" s="22"/>
      <c r="BC321" s="22"/>
      <c r="BD321" s="22"/>
      <c r="BE321" s="22"/>
      <c r="BF321" s="22"/>
      <c r="BG321" s="22"/>
      <c r="BH321" s="22"/>
      <c r="BI321" s="22"/>
      <c r="BJ321" s="22"/>
      <c r="BK321" s="22"/>
      <c r="BL321" s="22"/>
      <c r="BM321" s="22"/>
      <c r="BN321" s="22"/>
      <c r="BO321" s="22"/>
      <c r="BP321" s="22"/>
      <c r="BQ321" s="22"/>
      <c r="BR321" s="22"/>
      <c r="BS321" s="22"/>
      <c r="BT321" s="22"/>
      <c r="BU321" s="22"/>
      <c r="BV321" s="22"/>
      <c r="BW321" s="22"/>
      <c r="BX321" s="22"/>
      <c r="BY321" s="22"/>
      <c r="BZ321" s="22"/>
      <c r="CA321" s="22"/>
      <c r="CB321" s="22"/>
      <c r="CC321" s="22"/>
      <c r="CD321" s="22"/>
      <c r="CE321" s="22"/>
      <c r="CF321" s="22"/>
      <c r="CG321" s="22"/>
      <c r="CH321" s="22"/>
      <c r="CI321" s="22"/>
      <c r="CJ321" s="22"/>
      <c r="CK321" s="22"/>
      <c r="CL321" s="22"/>
      <c r="CM321" s="22"/>
      <c r="CN321" s="22"/>
      <c r="CO321" s="22"/>
      <c r="CP321" s="22"/>
      <c r="CQ321" s="22"/>
      <c r="CR321" s="22"/>
      <c r="CS321" s="22"/>
      <c r="CT321" s="22"/>
      <c r="CU321" s="22"/>
      <c r="CV321" s="22"/>
      <c r="CW321" s="22"/>
      <c r="CX321" s="22"/>
      <c r="CY321" s="22"/>
      <c r="CZ321" s="22"/>
      <c r="DA321" s="22"/>
      <c r="DB321" s="22"/>
      <c r="DC321" s="22"/>
      <c r="DD321" s="22"/>
      <c r="DE321" s="22"/>
      <c r="DF321" s="22"/>
      <c r="DG321" s="22"/>
      <c r="DH321" s="22"/>
      <c r="DI321" s="22"/>
      <c r="DJ321" s="22"/>
      <c r="DK321" s="22"/>
      <c r="DL321" s="22"/>
      <c r="DM321" s="22"/>
      <c r="DN321" s="22"/>
      <c r="DO321" s="22"/>
      <c r="DP321" s="22"/>
      <c r="DQ321" s="22"/>
      <c r="DR321" s="22"/>
      <c r="DS321" s="22"/>
      <c r="DT321" s="22"/>
      <c r="DU321" s="22"/>
      <c r="DV321" s="22"/>
      <c r="DW321" s="22"/>
      <c r="DX321" s="22"/>
      <c r="DY321" s="22"/>
      <c r="DZ321" s="22"/>
      <c r="EA321" s="22"/>
      <c r="EB321" s="22"/>
      <c r="EC321" s="22"/>
      <c r="ED321" s="22"/>
      <c r="EE321" s="22"/>
      <c r="EF321" s="22"/>
      <c r="EG321" s="22"/>
      <c r="EH321" s="22"/>
      <c r="EI321" s="22"/>
      <c r="EJ321" s="22"/>
      <c r="EK321" s="22"/>
      <c r="EL321" s="22"/>
      <c r="EM321" s="22"/>
      <c r="EN321" s="22"/>
      <c r="EO321" s="22"/>
      <c r="EP321" s="22"/>
      <c r="EQ321" s="22"/>
      <c r="ER321" s="22"/>
      <c r="ES321" s="22"/>
      <c r="ET321" s="22"/>
      <c r="EU321" s="22"/>
      <c r="EV321" s="22"/>
      <c r="EW321" s="22"/>
      <c r="EX321" s="22"/>
      <c r="EY321" s="22"/>
      <c r="EZ321" s="22"/>
      <c r="FA321" s="22"/>
      <c r="FB321" s="22"/>
      <c r="FC321" s="22"/>
      <c r="FD321" s="22"/>
      <c r="FE321" s="22"/>
      <c r="FF321" s="22"/>
      <c r="FG321" s="22"/>
      <c r="FH321" s="22"/>
      <c r="FI321" s="22"/>
      <c r="FJ321" s="22"/>
      <c r="FK321" s="22"/>
      <c r="FL321" s="22"/>
      <c r="FM321" s="22"/>
      <c r="FN321" s="22"/>
      <c r="FO321" s="22"/>
      <c r="FP321" s="22"/>
      <c r="FQ321" s="22"/>
      <c r="FR321" s="22"/>
      <c r="FS321" s="22"/>
      <c r="FT321" s="22"/>
      <c r="FU321" s="22"/>
      <c r="FV321" s="22"/>
      <c r="FW321" s="22"/>
      <c r="FX321" s="22"/>
      <c r="FY321" s="22"/>
      <c r="FZ321" s="22"/>
    </row>
    <row r="322" spans="2:182" x14ac:dyDescent="0.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c r="Z322" s="22"/>
      <c r="AA322" s="22"/>
      <c r="AB322" s="22"/>
      <c r="AC322" s="22"/>
      <c r="AD322" s="22"/>
      <c r="AE322" s="22"/>
      <c r="AF322" s="22"/>
      <c r="AG322" s="22"/>
      <c r="AH322" s="22"/>
      <c r="AI322" s="22"/>
      <c r="AJ322" s="22"/>
      <c r="AK322" s="22"/>
      <c r="AL322" s="22"/>
      <c r="AM322" s="22"/>
      <c r="AN322" s="22"/>
      <c r="AO322" s="22"/>
      <c r="AP322" s="22"/>
      <c r="AQ322" s="22"/>
      <c r="AR322" s="22"/>
      <c r="AS322" s="22"/>
      <c r="AT322" s="22"/>
      <c r="AU322" s="22"/>
      <c r="AV322" s="22"/>
      <c r="AW322" s="22"/>
      <c r="AX322" s="22"/>
      <c r="AY322" s="22"/>
      <c r="AZ322" s="22"/>
      <c r="BA322" s="22"/>
      <c r="BB322" s="22"/>
      <c r="BC322" s="22"/>
      <c r="BD322" s="22"/>
      <c r="BE322" s="22"/>
      <c r="BF322" s="22"/>
      <c r="BG322" s="22"/>
      <c r="BH322" s="22"/>
      <c r="BI322" s="22"/>
      <c r="BJ322" s="22"/>
      <c r="BK322" s="22"/>
      <c r="BL322" s="22"/>
      <c r="BM322" s="22"/>
      <c r="BN322" s="22"/>
      <c r="BO322" s="22"/>
      <c r="BP322" s="22"/>
      <c r="BQ322" s="22"/>
      <c r="BR322" s="22"/>
      <c r="BS322" s="22"/>
      <c r="BT322" s="22"/>
      <c r="BU322" s="22"/>
      <c r="BV322" s="22"/>
      <c r="BW322" s="22"/>
      <c r="BX322" s="22"/>
      <c r="BY322" s="22"/>
      <c r="BZ322" s="22"/>
      <c r="CA322" s="22"/>
      <c r="CB322" s="22"/>
      <c r="CC322" s="22"/>
      <c r="CD322" s="22"/>
      <c r="CE322" s="22"/>
      <c r="CF322" s="22"/>
      <c r="CG322" s="22"/>
      <c r="CH322" s="22"/>
      <c r="CI322" s="22"/>
      <c r="CJ322" s="22"/>
      <c r="CK322" s="22"/>
      <c r="CL322" s="22"/>
      <c r="CM322" s="22"/>
      <c r="CN322" s="22"/>
      <c r="CO322" s="22"/>
      <c r="CP322" s="22"/>
      <c r="CQ322" s="22"/>
      <c r="CR322" s="22"/>
      <c r="CS322" s="22"/>
      <c r="CT322" s="22"/>
      <c r="CU322" s="22"/>
      <c r="CV322" s="22"/>
      <c r="CW322" s="22"/>
      <c r="CX322" s="22"/>
      <c r="CY322" s="22"/>
      <c r="CZ322" s="22"/>
      <c r="DA322" s="22"/>
      <c r="DB322" s="22"/>
      <c r="DC322" s="22"/>
      <c r="DD322" s="22"/>
      <c r="DE322" s="22"/>
      <c r="DF322" s="22"/>
      <c r="DG322" s="22"/>
      <c r="DH322" s="22"/>
      <c r="DI322" s="22"/>
      <c r="DJ322" s="22"/>
      <c r="DK322" s="22"/>
      <c r="DL322" s="22"/>
      <c r="DM322" s="22"/>
      <c r="DN322" s="22"/>
      <c r="DO322" s="22"/>
      <c r="DP322" s="22"/>
      <c r="DQ322" s="22"/>
      <c r="DR322" s="22"/>
      <c r="DS322" s="22"/>
      <c r="DT322" s="22"/>
      <c r="DU322" s="22"/>
      <c r="DV322" s="22"/>
      <c r="DW322" s="22"/>
      <c r="DX322" s="22"/>
      <c r="DY322" s="22"/>
      <c r="DZ322" s="22"/>
      <c r="EA322" s="22"/>
      <c r="EB322" s="22"/>
      <c r="EC322" s="22"/>
      <c r="ED322" s="22"/>
      <c r="EE322" s="22"/>
      <c r="EF322" s="22"/>
      <c r="EG322" s="22"/>
      <c r="EH322" s="22"/>
      <c r="EI322" s="22"/>
      <c r="EJ322" s="22"/>
      <c r="EK322" s="22"/>
      <c r="EL322" s="22"/>
      <c r="EM322" s="22"/>
      <c r="EN322" s="22"/>
      <c r="EO322" s="22"/>
      <c r="EP322" s="22"/>
      <c r="EQ322" s="22"/>
      <c r="ER322" s="22"/>
      <c r="ES322" s="22"/>
      <c r="ET322" s="22"/>
      <c r="EU322" s="22"/>
      <c r="EV322" s="22"/>
      <c r="EW322" s="22"/>
      <c r="EX322" s="22"/>
      <c r="EY322" s="22"/>
      <c r="EZ322" s="22"/>
      <c r="FA322" s="22"/>
      <c r="FB322" s="22"/>
      <c r="FC322" s="22"/>
      <c r="FD322" s="22"/>
      <c r="FE322" s="22"/>
      <c r="FF322" s="22"/>
      <c r="FG322" s="22"/>
      <c r="FH322" s="22"/>
      <c r="FI322" s="22"/>
      <c r="FJ322" s="22"/>
      <c r="FK322" s="22"/>
      <c r="FL322" s="22"/>
      <c r="FM322" s="22"/>
      <c r="FN322" s="22"/>
      <c r="FO322" s="22"/>
      <c r="FP322" s="22"/>
      <c r="FQ322" s="22"/>
      <c r="FR322" s="22"/>
      <c r="FS322" s="22"/>
      <c r="FT322" s="22"/>
      <c r="FU322" s="22"/>
      <c r="FV322" s="22"/>
      <c r="FW322" s="22"/>
      <c r="FX322" s="22"/>
      <c r="FY322" s="22"/>
      <c r="FZ322" s="22"/>
    </row>
    <row r="323" spans="2:182" x14ac:dyDescent="0.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c r="Z323" s="22"/>
      <c r="AA323" s="22"/>
      <c r="AB323" s="22"/>
      <c r="AC323" s="22"/>
      <c r="AD323" s="22"/>
      <c r="AE323" s="22"/>
      <c r="AF323" s="22"/>
      <c r="AG323" s="22"/>
      <c r="AH323" s="22"/>
      <c r="AI323" s="22"/>
      <c r="AJ323" s="22"/>
      <c r="AK323" s="22"/>
      <c r="AL323" s="22"/>
      <c r="AM323" s="22"/>
      <c r="AN323" s="22"/>
      <c r="AO323" s="22"/>
      <c r="AP323" s="22"/>
      <c r="AQ323" s="22"/>
      <c r="AR323" s="22"/>
      <c r="AS323" s="22"/>
      <c r="AT323" s="22"/>
      <c r="AU323" s="22"/>
      <c r="AV323" s="22"/>
      <c r="AW323" s="22"/>
      <c r="AX323" s="22"/>
      <c r="AY323" s="22"/>
      <c r="AZ323" s="22"/>
      <c r="BA323" s="22"/>
      <c r="BB323" s="22"/>
      <c r="BC323" s="22"/>
      <c r="BD323" s="22"/>
      <c r="BE323" s="22"/>
      <c r="BF323" s="22"/>
      <c r="BG323" s="22"/>
      <c r="BH323" s="22"/>
      <c r="BI323" s="22"/>
      <c r="BJ323" s="22"/>
      <c r="BK323" s="22"/>
      <c r="BL323" s="22"/>
      <c r="BM323" s="22"/>
      <c r="BN323" s="22"/>
      <c r="BO323" s="22"/>
      <c r="BP323" s="22"/>
      <c r="BQ323" s="22"/>
      <c r="BR323" s="22"/>
      <c r="BS323" s="22"/>
      <c r="BT323" s="22"/>
      <c r="BU323" s="22"/>
      <c r="BV323" s="22"/>
      <c r="BW323" s="22"/>
      <c r="BX323" s="22"/>
      <c r="BY323" s="22"/>
      <c r="BZ323" s="22"/>
      <c r="CA323" s="22"/>
      <c r="CB323" s="22"/>
      <c r="CC323" s="22"/>
      <c r="CD323" s="22"/>
      <c r="CE323" s="22"/>
      <c r="CF323" s="22"/>
      <c r="CG323" s="22"/>
      <c r="CH323" s="22"/>
      <c r="CI323" s="22"/>
      <c r="CJ323" s="22"/>
      <c r="CK323" s="22"/>
      <c r="CL323" s="22"/>
      <c r="CM323" s="22"/>
      <c r="CN323" s="22"/>
      <c r="CO323" s="22"/>
      <c r="CP323" s="22"/>
      <c r="CQ323" s="22"/>
      <c r="CR323" s="22"/>
      <c r="CS323" s="22"/>
      <c r="CT323" s="22"/>
      <c r="CU323" s="22"/>
      <c r="CV323" s="22"/>
      <c r="CW323" s="22"/>
      <c r="CX323" s="22"/>
      <c r="CY323" s="22"/>
      <c r="CZ323" s="22"/>
      <c r="DA323" s="22"/>
      <c r="DB323" s="22"/>
      <c r="DC323" s="22"/>
      <c r="DD323" s="22"/>
      <c r="DE323" s="22"/>
      <c r="DF323" s="22"/>
      <c r="DG323" s="22"/>
      <c r="DH323" s="22"/>
      <c r="DI323" s="22"/>
      <c r="DJ323" s="22"/>
      <c r="DK323" s="22"/>
      <c r="DL323" s="22"/>
      <c r="DM323" s="22"/>
      <c r="DN323" s="22"/>
      <c r="DO323" s="22"/>
      <c r="DP323" s="22"/>
      <c r="DQ323" s="22"/>
      <c r="DR323" s="22"/>
      <c r="DS323" s="22"/>
      <c r="DT323" s="22"/>
      <c r="DU323" s="22"/>
      <c r="DV323" s="22"/>
      <c r="DW323" s="22"/>
      <c r="DX323" s="22"/>
      <c r="DY323" s="22"/>
      <c r="DZ323" s="22"/>
      <c r="EA323" s="22"/>
      <c r="EB323" s="22"/>
      <c r="EC323" s="22"/>
      <c r="ED323" s="22"/>
      <c r="EE323" s="22"/>
      <c r="EF323" s="22"/>
      <c r="EG323" s="22"/>
      <c r="EH323" s="22"/>
      <c r="EI323" s="22"/>
      <c r="EJ323" s="22"/>
      <c r="EK323" s="22"/>
      <c r="EL323" s="22"/>
      <c r="EM323" s="22"/>
      <c r="EN323" s="22"/>
      <c r="EO323" s="22"/>
      <c r="EP323" s="22"/>
      <c r="EQ323" s="22"/>
      <c r="ER323" s="22"/>
      <c r="ES323" s="22"/>
      <c r="ET323" s="22"/>
      <c r="EU323" s="22"/>
      <c r="EV323" s="22"/>
      <c r="EW323" s="22"/>
      <c r="EX323" s="22"/>
      <c r="EY323" s="22"/>
      <c r="EZ323" s="22"/>
      <c r="FA323" s="22"/>
      <c r="FB323" s="22"/>
      <c r="FC323" s="22"/>
      <c r="FD323" s="22"/>
      <c r="FE323" s="22"/>
      <c r="FF323" s="22"/>
      <c r="FG323" s="22"/>
      <c r="FH323" s="22"/>
      <c r="FI323" s="22"/>
      <c r="FJ323" s="22"/>
      <c r="FK323" s="22"/>
      <c r="FL323" s="22"/>
      <c r="FM323" s="22"/>
      <c r="FN323" s="22"/>
      <c r="FO323" s="22"/>
      <c r="FP323" s="22"/>
      <c r="FQ323" s="22"/>
      <c r="FR323" s="22"/>
      <c r="FS323" s="22"/>
      <c r="FT323" s="22"/>
      <c r="FU323" s="22"/>
      <c r="FV323" s="22"/>
      <c r="FW323" s="22"/>
      <c r="FX323" s="22"/>
      <c r="FY323" s="22"/>
      <c r="FZ323" s="22"/>
    </row>
    <row r="324" spans="2:182" x14ac:dyDescent="0.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c r="Z324" s="22"/>
      <c r="AA324" s="22"/>
      <c r="AB324" s="22"/>
      <c r="AC324" s="22"/>
      <c r="AD324" s="22"/>
      <c r="AE324" s="22"/>
      <c r="AF324" s="22"/>
      <c r="AG324" s="22"/>
      <c r="AH324" s="22"/>
      <c r="AI324" s="22"/>
      <c r="AJ324" s="22"/>
      <c r="AK324" s="22"/>
      <c r="AL324" s="22"/>
      <c r="AM324" s="22"/>
      <c r="AN324" s="22"/>
      <c r="AO324" s="22"/>
      <c r="AP324" s="22"/>
      <c r="AQ324" s="22"/>
      <c r="AR324" s="22"/>
      <c r="AS324" s="22"/>
      <c r="AT324" s="22"/>
      <c r="AU324" s="22"/>
      <c r="AV324" s="22"/>
      <c r="AW324" s="22"/>
      <c r="AX324" s="22"/>
      <c r="AY324" s="22"/>
      <c r="AZ324" s="22"/>
      <c r="BA324" s="22"/>
      <c r="BB324" s="22"/>
      <c r="BC324" s="22"/>
      <c r="BD324" s="22"/>
      <c r="BE324" s="22"/>
      <c r="BF324" s="22"/>
      <c r="BG324" s="22"/>
      <c r="BH324" s="22"/>
      <c r="BI324" s="22"/>
      <c r="BJ324" s="22"/>
      <c r="BK324" s="22"/>
      <c r="BL324" s="22"/>
      <c r="BM324" s="22"/>
      <c r="BN324" s="22"/>
      <c r="BO324" s="22"/>
      <c r="BP324" s="22"/>
      <c r="BQ324" s="22"/>
      <c r="BR324" s="22"/>
      <c r="BS324" s="22"/>
      <c r="BT324" s="22"/>
      <c r="BU324" s="22"/>
      <c r="BV324" s="22"/>
      <c r="BW324" s="22"/>
      <c r="BX324" s="22"/>
      <c r="BY324" s="22"/>
      <c r="BZ324" s="22"/>
      <c r="CA324" s="22"/>
      <c r="CB324" s="22"/>
      <c r="CC324" s="22"/>
      <c r="CD324" s="22"/>
      <c r="CE324" s="22"/>
      <c r="CF324" s="22"/>
      <c r="CG324" s="22"/>
      <c r="CH324" s="22"/>
      <c r="CI324" s="22"/>
      <c r="CJ324" s="22"/>
      <c r="CK324" s="22"/>
      <c r="CL324" s="22"/>
      <c r="CM324" s="22"/>
      <c r="CN324" s="22"/>
      <c r="CO324" s="22"/>
      <c r="CP324" s="22"/>
      <c r="CQ324" s="22"/>
      <c r="CR324" s="22"/>
      <c r="CS324" s="22"/>
      <c r="CT324" s="22"/>
      <c r="CU324" s="22"/>
      <c r="CV324" s="22"/>
      <c r="CW324" s="22"/>
      <c r="CX324" s="22"/>
      <c r="CY324" s="22"/>
      <c r="CZ324" s="22"/>
      <c r="DA324" s="22"/>
      <c r="DB324" s="22"/>
      <c r="DC324" s="22"/>
      <c r="DD324" s="22"/>
      <c r="DE324" s="22"/>
      <c r="DF324" s="22"/>
      <c r="DG324" s="22"/>
      <c r="DH324" s="22"/>
      <c r="DI324" s="22"/>
      <c r="DJ324" s="22"/>
      <c r="DK324" s="22"/>
      <c r="DL324" s="22"/>
      <c r="DM324" s="22"/>
      <c r="DN324" s="22"/>
      <c r="DO324" s="22"/>
      <c r="DP324" s="22"/>
      <c r="DQ324" s="22"/>
      <c r="DR324" s="22"/>
      <c r="DS324" s="22"/>
      <c r="DT324" s="22"/>
      <c r="DU324" s="22"/>
      <c r="DV324" s="22"/>
      <c r="DW324" s="22"/>
      <c r="DX324" s="22"/>
      <c r="DY324" s="22"/>
      <c r="DZ324" s="22"/>
      <c r="EA324" s="22"/>
      <c r="EB324" s="22"/>
      <c r="EC324" s="22"/>
      <c r="ED324" s="22"/>
      <c r="EE324" s="22"/>
      <c r="EF324" s="22"/>
      <c r="EG324" s="22"/>
      <c r="EH324" s="22"/>
      <c r="EI324" s="22"/>
      <c r="EJ324" s="22"/>
      <c r="EK324" s="22"/>
      <c r="EL324" s="22"/>
      <c r="EM324" s="22"/>
      <c r="EN324" s="22"/>
      <c r="EO324" s="22"/>
      <c r="EP324" s="22"/>
      <c r="EQ324" s="22"/>
      <c r="ER324" s="22"/>
      <c r="ES324" s="22"/>
      <c r="ET324" s="22"/>
      <c r="EU324" s="22"/>
      <c r="EV324" s="22"/>
      <c r="EW324" s="22"/>
      <c r="EX324" s="22"/>
      <c r="EY324" s="22"/>
      <c r="EZ324" s="22"/>
      <c r="FA324" s="22"/>
      <c r="FB324" s="22"/>
      <c r="FC324" s="22"/>
      <c r="FD324" s="22"/>
      <c r="FE324" s="22"/>
      <c r="FF324" s="22"/>
      <c r="FG324" s="22"/>
      <c r="FH324" s="22"/>
      <c r="FI324" s="22"/>
      <c r="FJ324" s="22"/>
      <c r="FK324" s="22"/>
      <c r="FL324" s="22"/>
      <c r="FM324" s="22"/>
      <c r="FN324" s="22"/>
      <c r="FO324" s="22"/>
      <c r="FP324" s="22"/>
      <c r="FQ324" s="22"/>
      <c r="FR324" s="22"/>
      <c r="FS324" s="22"/>
      <c r="FT324" s="22"/>
      <c r="FU324" s="22"/>
      <c r="FV324" s="22"/>
      <c r="FW324" s="22"/>
      <c r="FX324" s="22"/>
      <c r="FY324" s="22"/>
      <c r="FZ324" s="22"/>
    </row>
    <row r="325" spans="2:182" x14ac:dyDescent="0.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c r="Z325" s="22"/>
      <c r="AA325" s="22"/>
      <c r="AB325" s="22"/>
      <c r="AC325" s="22"/>
      <c r="AD325" s="22"/>
      <c r="AE325" s="22"/>
      <c r="AF325" s="22"/>
      <c r="AG325" s="22"/>
      <c r="AH325" s="22"/>
      <c r="AI325" s="22"/>
      <c r="AJ325" s="22"/>
      <c r="AK325" s="22"/>
      <c r="AL325" s="22"/>
      <c r="AM325" s="22"/>
      <c r="AN325" s="22"/>
      <c r="AO325" s="22"/>
      <c r="AP325" s="22"/>
      <c r="AQ325" s="22"/>
      <c r="AR325" s="22"/>
      <c r="AS325" s="22"/>
      <c r="AT325" s="22"/>
      <c r="AU325" s="22"/>
      <c r="AV325" s="22"/>
      <c r="AW325" s="22"/>
      <c r="AX325" s="22"/>
      <c r="AY325" s="22"/>
      <c r="AZ325" s="22"/>
      <c r="BA325" s="22"/>
      <c r="BB325" s="22"/>
      <c r="BC325" s="22"/>
      <c r="BD325" s="22"/>
      <c r="BE325" s="22"/>
      <c r="BF325" s="22"/>
      <c r="BG325" s="22"/>
      <c r="BH325" s="22"/>
      <c r="BI325" s="22"/>
      <c r="BJ325" s="22"/>
      <c r="BK325" s="22"/>
      <c r="BL325" s="22"/>
      <c r="BM325" s="22"/>
      <c r="BN325" s="22"/>
      <c r="BO325" s="22"/>
      <c r="BP325" s="22"/>
      <c r="BQ325" s="22"/>
      <c r="BR325" s="22"/>
      <c r="BS325" s="22"/>
      <c r="BT325" s="22"/>
      <c r="BU325" s="22"/>
      <c r="BV325" s="22"/>
      <c r="BW325" s="22"/>
      <c r="BX325" s="22"/>
      <c r="BY325" s="22"/>
      <c r="BZ325" s="22"/>
      <c r="CA325" s="22"/>
      <c r="CB325" s="22"/>
      <c r="CC325" s="22"/>
      <c r="CD325" s="22"/>
      <c r="CE325" s="22"/>
      <c r="CF325" s="22"/>
      <c r="CG325" s="22"/>
      <c r="CH325" s="22"/>
      <c r="CI325" s="22"/>
      <c r="CJ325" s="22"/>
      <c r="CK325" s="22"/>
      <c r="CL325" s="22"/>
      <c r="CM325" s="22"/>
      <c r="CN325" s="22"/>
      <c r="CO325" s="22"/>
      <c r="CP325" s="22"/>
      <c r="CQ325" s="22"/>
      <c r="CR325" s="22"/>
      <c r="CS325" s="22"/>
      <c r="CT325" s="22"/>
      <c r="CU325" s="22"/>
      <c r="CV325" s="22"/>
      <c r="CW325" s="22"/>
      <c r="CX325" s="22"/>
      <c r="CY325" s="22"/>
      <c r="CZ325" s="22"/>
      <c r="DA325" s="22"/>
      <c r="DB325" s="22"/>
      <c r="DC325" s="22"/>
      <c r="DD325" s="22"/>
      <c r="DE325" s="22"/>
      <c r="DF325" s="22"/>
      <c r="DG325" s="22"/>
      <c r="DH325" s="22"/>
      <c r="DI325" s="22"/>
      <c r="DJ325" s="22"/>
      <c r="DK325" s="22"/>
      <c r="DL325" s="22"/>
      <c r="DM325" s="22"/>
      <c r="DN325" s="22"/>
      <c r="DO325" s="22"/>
      <c r="DP325" s="22"/>
      <c r="DQ325" s="22"/>
      <c r="DR325" s="22"/>
      <c r="DS325" s="22"/>
      <c r="DT325" s="22"/>
      <c r="DU325" s="22"/>
      <c r="DV325" s="22"/>
      <c r="DW325" s="22"/>
      <c r="DX325" s="22"/>
      <c r="DY325" s="22"/>
      <c r="DZ325" s="22"/>
      <c r="EA325" s="22"/>
      <c r="EB325" s="22"/>
      <c r="EC325" s="22"/>
      <c r="ED325" s="22"/>
      <c r="EE325" s="22"/>
      <c r="EF325" s="22"/>
      <c r="EG325" s="22"/>
      <c r="EH325" s="22"/>
      <c r="EI325" s="22"/>
      <c r="EJ325" s="22"/>
      <c r="EK325" s="22"/>
      <c r="EL325" s="22"/>
      <c r="EM325" s="22"/>
      <c r="EN325" s="22"/>
      <c r="EO325" s="22"/>
      <c r="EP325" s="22"/>
      <c r="EQ325" s="22"/>
      <c r="ER325" s="22"/>
      <c r="ES325" s="22"/>
      <c r="ET325" s="22"/>
      <c r="EU325" s="22"/>
      <c r="EV325" s="22"/>
      <c r="EW325" s="22"/>
      <c r="EX325" s="22"/>
      <c r="EY325" s="22"/>
      <c r="EZ325" s="22"/>
      <c r="FA325" s="22"/>
      <c r="FB325" s="22"/>
      <c r="FC325" s="22"/>
      <c r="FD325" s="22"/>
      <c r="FE325" s="22"/>
      <c r="FF325" s="22"/>
      <c r="FG325" s="22"/>
      <c r="FH325" s="22"/>
      <c r="FI325" s="22"/>
      <c r="FJ325" s="22"/>
      <c r="FK325" s="22"/>
      <c r="FL325" s="22"/>
      <c r="FM325" s="22"/>
      <c r="FN325" s="22"/>
      <c r="FO325" s="22"/>
      <c r="FP325" s="22"/>
      <c r="FQ325" s="22"/>
      <c r="FR325" s="22"/>
      <c r="FS325" s="22"/>
      <c r="FT325" s="22"/>
      <c r="FU325" s="22"/>
      <c r="FV325" s="22"/>
      <c r="FW325" s="22"/>
      <c r="FX325" s="22"/>
      <c r="FY325" s="22"/>
      <c r="FZ325" s="22"/>
    </row>
    <row r="326" spans="2:182" x14ac:dyDescent="0.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c r="Z326" s="22"/>
      <c r="AA326" s="22"/>
      <c r="AB326" s="22"/>
      <c r="AC326" s="22"/>
      <c r="AD326" s="22"/>
      <c r="AE326" s="22"/>
      <c r="AF326" s="22"/>
      <c r="AG326" s="22"/>
      <c r="AH326" s="22"/>
      <c r="AI326" s="22"/>
      <c r="AJ326" s="22"/>
      <c r="AK326" s="22"/>
      <c r="AL326" s="22"/>
      <c r="AM326" s="22"/>
      <c r="AN326" s="22"/>
      <c r="AO326" s="22"/>
      <c r="AP326" s="22"/>
      <c r="AQ326" s="22"/>
      <c r="AR326" s="22"/>
      <c r="AS326" s="22"/>
      <c r="AT326" s="22"/>
      <c r="AU326" s="22"/>
      <c r="AV326" s="22"/>
      <c r="AW326" s="22"/>
      <c r="AX326" s="22"/>
      <c r="AY326" s="22"/>
      <c r="AZ326" s="22"/>
      <c r="BA326" s="22"/>
      <c r="BB326" s="22"/>
      <c r="BC326" s="22"/>
      <c r="BD326" s="22"/>
      <c r="BE326" s="22"/>
      <c r="BF326" s="22"/>
      <c r="BG326" s="22"/>
      <c r="BH326" s="22"/>
      <c r="BI326" s="22"/>
      <c r="BJ326" s="22"/>
      <c r="BK326" s="22"/>
      <c r="BL326" s="22"/>
      <c r="BM326" s="22"/>
      <c r="BN326" s="22"/>
      <c r="BO326" s="22"/>
      <c r="BP326" s="22"/>
      <c r="BQ326" s="22"/>
      <c r="BR326" s="22"/>
      <c r="BS326" s="22"/>
      <c r="BT326" s="22"/>
      <c r="BU326" s="22"/>
      <c r="BV326" s="22"/>
      <c r="BW326" s="22"/>
      <c r="BX326" s="22"/>
      <c r="BY326" s="22"/>
      <c r="BZ326" s="22"/>
      <c r="CA326" s="22"/>
      <c r="CB326" s="22"/>
      <c r="CC326" s="22"/>
      <c r="CD326" s="22"/>
      <c r="CE326" s="22"/>
      <c r="CF326" s="22"/>
      <c r="CG326" s="22"/>
      <c r="CH326" s="22"/>
      <c r="CI326" s="22"/>
      <c r="CJ326" s="22"/>
      <c r="CK326" s="22"/>
      <c r="CL326" s="22"/>
      <c r="CM326" s="22"/>
      <c r="CN326" s="22"/>
      <c r="CO326" s="22"/>
      <c r="CP326" s="22"/>
      <c r="CQ326" s="22"/>
      <c r="CR326" s="22"/>
      <c r="CS326" s="22"/>
      <c r="CT326" s="22"/>
      <c r="CU326" s="22"/>
      <c r="CV326" s="22"/>
      <c r="CW326" s="22"/>
      <c r="CX326" s="22"/>
      <c r="CY326" s="22"/>
      <c r="CZ326" s="22"/>
      <c r="DA326" s="22"/>
      <c r="DB326" s="22"/>
      <c r="DC326" s="22"/>
      <c r="DD326" s="22"/>
      <c r="DE326" s="22"/>
      <c r="DF326" s="22"/>
      <c r="DG326" s="22"/>
      <c r="DH326" s="22"/>
      <c r="DI326" s="22"/>
      <c r="DJ326" s="22"/>
      <c r="DK326" s="22"/>
      <c r="DL326" s="22"/>
      <c r="DM326" s="22"/>
      <c r="DN326" s="22"/>
      <c r="DO326" s="22"/>
      <c r="DP326" s="22"/>
      <c r="DQ326" s="22"/>
      <c r="DR326" s="22"/>
      <c r="DS326" s="22"/>
      <c r="DT326" s="22"/>
      <c r="DU326" s="22"/>
      <c r="DV326" s="22"/>
      <c r="DW326" s="22"/>
      <c r="DX326" s="22"/>
      <c r="DY326" s="22"/>
      <c r="DZ326" s="22"/>
      <c r="EA326" s="22"/>
      <c r="EB326" s="22"/>
      <c r="EC326" s="22"/>
      <c r="ED326" s="22"/>
      <c r="EE326" s="22"/>
      <c r="EF326" s="22"/>
      <c r="EG326" s="22"/>
      <c r="EH326" s="22"/>
      <c r="EI326" s="22"/>
      <c r="EJ326" s="22"/>
      <c r="EK326" s="22"/>
      <c r="EL326" s="22"/>
      <c r="EM326" s="22"/>
      <c r="EN326" s="22"/>
      <c r="EO326" s="22"/>
      <c r="EP326" s="22"/>
      <c r="EQ326" s="22"/>
      <c r="ER326" s="22"/>
      <c r="ES326" s="22"/>
      <c r="ET326" s="22"/>
      <c r="EU326" s="22"/>
      <c r="EV326" s="22"/>
      <c r="EW326" s="22"/>
      <c r="EX326" s="22"/>
      <c r="EY326" s="22"/>
      <c r="EZ326" s="22"/>
      <c r="FA326" s="22"/>
      <c r="FB326" s="22"/>
      <c r="FC326" s="22"/>
      <c r="FD326" s="22"/>
      <c r="FE326" s="22"/>
      <c r="FF326" s="22"/>
      <c r="FG326" s="22"/>
      <c r="FH326" s="22"/>
      <c r="FI326" s="22"/>
      <c r="FJ326" s="22"/>
      <c r="FK326" s="22"/>
      <c r="FL326" s="22"/>
      <c r="FM326" s="22"/>
      <c r="FN326" s="22"/>
      <c r="FO326" s="22"/>
      <c r="FP326" s="22"/>
      <c r="FQ326" s="22"/>
      <c r="FR326" s="22"/>
      <c r="FS326" s="22"/>
      <c r="FT326" s="22"/>
      <c r="FU326" s="22"/>
      <c r="FV326" s="22"/>
      <c r="FW326" s="22"/>
      <c r="FX326" s="22"/>
      <c r="FY326" s="22"/>
      <c r="FZ326" s="22"/>
    </row>
    <row r="327" spans="2:182" x14ac:dyDescent="0.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c r="Z327" s="22"/>
      <c r="AA327" s="22"/>
      <c r="AB327" s="22"/>
      <c r="AC327" s="22"/>
      <c r="AD327" s="22"/>
      <c r="AE327" s="22"/>
      <c r="AF327" s="22"/>
      <c r="AG327" s="22"/>
      <c r="AH327" s="22"/>
      <c r="AI327" s="22"/>
      <c r="AJ327" s="22"/>
      <c r="AK327" s="22"/>
      <c r="AL327" s="22"/>
      <c r="AM327" s="22"/>
      <c r="AN327" s="22"/>
      <c r="AO327" s="22"/>
      <c r="AP327" s="22"/>
      <c r="AQ327" s="22"/>
      <c r="AR327" s="22"/>
      <c r="AS327" s="22"/>
      <c r="AT327" s="22"/>
      <c r="AU327" s="22"/>
      <c r="AV327" s="22"/>
      <c r="AW327" s="22"/>
      <c r="AX327" s="22"/>
      <c r="AY327" s="22"/>
      <c r="AZ327" s="22"/>
      <c r="BA327" s="22"/>
      <c r="BB327" s="22"/>
      <c r="BC327" s="22"/>
      <c r="BD327" s="22"/>
      <c r="BE327" s="22"/>
      <c r="BF327" s="22"/>
      <c r="BG327" s="22"/>
      <c r="BH327" s="22"/>
      <c r="BI327" s="22"/>
      <c r="BJ327" s="22"/>
      <c r="BK327" s="22"/>
      <c r="BL327" s="22"/>
      <c r="BM327" s="22"/>
      <c r="BN327" s="22"/>
      <c r="BO327" s="22"/>
      <c r="BP327" s="22"/>
      <c r="BQ327" s="22"/>
      <c r="BR327" s="22"/>
      <c r="BS327" s="22"/>
      <c r="BT327" s="22"/>
      <c r="BU327" s="22"/>
      <c r="BV327" s="22"/>
      <c r="BW327" s="22"/>
      <c r="BX327" s="22"/>
      <c r="BY327" s="22"/>
      <c r="BZ327" s="22"/>
      <c r="CA327" s="22"/>
      <c r="CB327" s="22"/>
      <c r="CC327" s="22"/>
      <c r="CD327" s="22"/>
      <c r="CE327" s="22"/>
      <c r="CF327" s="22"/>
      <c r="CG327" s="22"/>
      <c r="CH327" s="22"/>
      <c r="CI327" s="22"/>
      <c r="CJ327" s="22"/>
      <c r="CK327" s="22"/>
      <c r="CL327" s="22"/>
      <c r="CM327" s="22"/>
      <c r="CN327" s="22"/>
      <c r="CO327" s="22"/>
      <c r="CP327" s="22"/>
      <c r="CQ327" s="22"/>
      <c r="CR327" s="22"/>
      <c r="CS327" s="22"/>
      <c r="CT327" s="22"/>
      <c r="CU327" s="22"/>
      <c r="CV327" s="22"/>
      <c r="CW327" s="22"/>
      <c r="CX327" s="22"/>
      <c r="CY327" s="22"/>
      <c r="CZ327" s="22"/>
      <c r="DA327" s="22"/>
      <c r="DB327" s="22"/>
      <c r="DC327" s="22"/>
      <c r="DD327" s="22"/>
      <c r="DE327" s="22"/>
      <c r="DF327" s="22"/>
      <c r="DG327" s="22"/>
      <c r="DH327" s="22"/>
      <c r="DI327" s="22"/>
      <c r="DJ327" s="22"/>
      <c r="DK327" s="22"/>
      <c r="DL327" s="22"/>
      <c r="DM327" s="22"/>
      <c r="DN327" s="22"/>
      <c r="DO327" s="22"/>
      <c r="DP327" s="22"/>
      <c r="DQ327" s="22"/>
      <c r="DR327" s="22"/>
      <c r="DS327" s="22"/>
      <c r="DT327" s="22"/>
      <c r="DU327" s="22"/>
      <c r="DV327" s="22"/>
      <c r="DW327" s="22"/>
      <c r="DX327" s="22"/>
      <c r="DY327" s="22"/>
      <c r="DZ327" s="22"/>
      <c r="EA327" s="22"/>
      <c r="EB327" s="22"/>
      <c r="EC327" s="22"/>
      <c r="ED327" s="22"/>
      <c r="EE327" s="22"/>
      <c r="EF327" s="22"/>
      <c r="EG327" s="22"/>
      <c r="EH327" s="22"/>
      <c r="EI327" s="22"/>
      <c r="EJ327" s="22"/>
      <c r="EK327" s="22"/>
      <c r="EL327" s="22"/>
      <c r="EM327" s="22"/>
      <c r="EN327" s="22"/>
      <c r="EO327" s="22"/>
      <c r="EP327" s="22"/>
      <c r="EQ327" s="22"/>
      <c r="ER327" s="22"/>
      <c r="ES327" s="22"/>
      <c r="ET327" s="22"/>
      <c r="EU327" s="22"/>
      <c r="EV327" s="22"/>
      <c r="EW327" s="22"/>
      <c r="EX327" s="22"/>
      <c r="EY327" s="22"/>
      <c r="EZ327" s="22"/>
      <c r="FA327" s="22"/>
      <c r="FB327" s="22"/>
      <c r="FC327" s="22"/>
      <c r="FD327" s="22"/>
      <c r="FE327" s="22"/>
      <c r="FF327" s="22"/>
      <c r="FG327" s="22"/>
      <c r="FH327" s="22"/>
      <c r="FI327" s="22"/>
      <c r="FJ327" s="22"/>
      <c r="FK327" s="22"/>
      <c r="FL327" s="22"/>
      <c r="FM327" s="22"/>
      <c r="FN327" s="22"/>
      <c r="FO327" s="22"/>
      <c r="FP327" s="22"/>
      <c r="FQ327" s="22"/>
      <c r="FR327" s="22"/>
      <c r="FS327" s="22"/>
      <c r="FT327" s="22"/>
      <c r="FU327" s="22"/>
      <c r="FV327" s="22"/>
      <c r="FW327" s="22"/>
      <c r="FX327" s="22"/>
      <c r="FY327" s="22"/>
      <c r="FZ327" s="22"/>
    </row>
    <row r="328" spans="2:182" x14ac:dyDescent="0.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c r="Z328" s="22"/>
      <c r="AA328" s="22"/>
      <c r="AB328" s="22"/>
      <c r="AC328" s="22"/>
      <c r="AD328" s="22"/>
      <c r="AE328" s="22"/>
      <c r="AF328" s="22"/>
      <c r="AG328" s="22"/>
      <c r="AH328" s="22"/>
      <c r="AI328" s="22"/>
      <c r="AJ328" s="22"/>
      <c r="AK328" s="22"/>
      <c r="AL328" s="22"/>
      <c r="AM328" s="22"/>
      <c r="AN328" s="22"/>
      <c r="AO328" s="22"/>
      <c r="AP328" s="22"/>
      <c r="AQ328" s="22"/>
      <c r="AR328" s="22"/>
      <c r="AS328" s="22"/>
      <c r="AT328" s="22"/>
      <c r="AU328" s="22"/>
      <c r="AV328" s="22"/>
      <c r="AW328" s="22"/>
      <c r="AX328" s="22"/>
      <c r="AY328" s="22"/>
      <c r="AZ328" s="22"/>
      <c r="BA328" s="22"/>
      <c r="BB328" s="22"/>
      <c r="BC328" s="22"/>
      <c r="BD328" s="22"/>
      <c r="BE328" s="22"/>
      <c r="BF328" s="22"/>
      <c r="BG328" s="22"/>
      <c r="BH328" s="22"/>
      <c r="BI328" s="22"/>
      <c r="BJ328" s="22"/>
      <c r="BK328" s="22"/>
      <c r="BL328" s="22"/>
      <c r="BM328" s="22"/>
      <c r="BN328" s="22"/>
      <c r="BO328" s="22"/>
      <c r="BP328" s="22"/>
      <c r="BQ328" s="22"/>
      <c r="BR328" s="22"/>
      <c r="BS328" s="22"/>
      <c r="BT328" s="22"/>
      <c r="BU328" s="22"/>
      <c r="BV328" s="22"/>
      <c r="BW328" s="22"/>
      <c r="BX328" s="22"/>
      <c r="BY328" s="22"/>
      <c r="BZ328" s="22"/>
      <c r="CA328" s="22"/>
      <c r="CB328" s="22"/>
      <c r="CC328" s="22"/>
      <c r="CD328" s="22"/>
      <c r="CE328" s="22"/>
      <c r="CF328" s="22"/>
      <c r="CG328" s="22"/>
      <c r="CH328" s="22"/>
      <c r="CI328" s="22"/>
      <c r="CJ328" s="22"/>
      <c r="CK328" s="22"/>
      <c r="CL328" s="22"/>
      <c r="CM328" s="22"/>
      <c r="CN328" s="22"/>
      <c r="CO328" s="22"/>
      <c r="CP328" s="22"/>
      <c r="CQ328" s="22"/>
      <c r="CR328" s="22"/>
      <c r="CS328" s="22"/>
      <c r="CT328" s="22"/>
      <c r="CU328" s="22"/>
      <c r="CV328" s="22"/>
      <c r="CW328" s="22"/>
      <c r="CX328" s="22"/>
      <c r="CY328" s="22"/>
      <c r="CZ328" s="22"/>
      <c r="DA328" s="22"/>
      <c r="DB328" s="22"/>
      <c r="DC328" s="22"/>
      <c r="DD328" s="22"/>
      <c r="DE328" s="22"/>
      <c r="DF328" s="22"/>
      <c r="DG328" s="22"/>
      <c r="DH328" s="22"/>
      <c r="DI328" s="22"/>
      <c r="DJ328" s="22"/>
      <c r="DK328" s="22"/>
      <c r="DL328" s="22"/>
      <c r="DM328" s="22"/>
      <c r="DN328" s="22"/>
      <c r="DO328" s="22"/>
      <c r="DP328" s="22"/>
      <c r="DQ328" s="22"/>
      <c r="DR328" s="22"/>
      <c r="DS328" s="22"/>
      <c r="DT328" s="22"/>
      <c r="DU328" s="22"/>
      <c r="DV328" s="22"/>
      <c r="DW328" s="22"/>
      <c r="DX328" s="22"/>
      <c r="DY328" s="22"/>
      <c r="DZ328" s="22"/>
      <c r="EA328" s="22"/>
      <c r="EB328" s="22"/>
      <c r="EC328" s="22"/>
      <c r="ED328" s="22"/>
      <c r="EE328" s="22"/>
      <c r="EF328" s="22"/>
      <c r="EG328" s="22"/>
      <c r="EH328" s="22"/>
      <c r="EI328" s="22"/>
      <c r="EJ328" s="22"/>
      <c r="EK328" s="22"/>
      <c r="EL328" s="22"/>
      <c r="EM328" s="22"/>
      <c r="EN328" s="22"/>
      <c r="EO328" s="22"/>
      <c r="EP328" s="22"/>
      <c r="EQ328" s="22"/>
      <c r="ER328" s="22"/>
      <c r="ES328" s="22"/>
      <c r="ET328" s="22"/>
      <c r="EU328" s="22"/>
      <c r="EV328" s="22"/>
      <c r="EW328" s="22"/>
      <c r="EX328" s="22"/>
      <c r="EY328" s="22"/>
      <c r="EZ328" s="22"/>
      <c r="FA328" s="22"/>
      <c r="FB328" s="22"/>
      <c r="FC328" s="22"/>
      <c r="FD328" s="22"/>
      <c r="FE328" s="22"/>
      <c r="FF328" s="22"/>
      <c r="FG328" s="22"/>
      <c r="FH328" s="22"/>
      <c r="FI328" s="22"/>
      <c r="FJ328" s="22"/>
      <c r="FK328" s="22"/>
      <c r="FL328" s="22"/>
      <c r="FM328" s="22"/>
      <c r="FN328" s="22"/>
      <c r="FO328" s="22"/>
      <c r="FP328" s="22"/>
      <c r="FQ328" s="22"/>
      <c r="FR328" s="22"/>
      <c r="FS328" s="22"/>
      <c r="FT328" s="22"/>
      <c r="FU328" s="22"/>
      <c r="FV328" s="22"/>
      <c r="FW328" s="22"/>
      <c r="FX328" s="22"/>
      <c r="FY328" s="22"/>
      <c r="FZ328" s="22"/>
    </row>
    <row r="329" spans="2:182" x14ac:dyDescent="0.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c r="Z329" s="22"/>
      <c r="AA329" s="22"/>
      <c r="AB329" s="22"/>
      <c r="AC329" s="22"/>
      <c r="AD329" s="22"/>
      <c r="AE329" s="22"/>
      <c r="AF329" s="22"/>
      <c r="AG329" s="22"/>
      <c r="AH329" s="22"/>
      <c r="AI329" s="22"/>
      <c r="AJ329" s="22"/>
      <c r="AK329" s="22"/>
      <c r="AL329" s="22"/>
      <c r="AM329" s="22"/>
      <c r="AN329" s="22"/>
      <c r="AO329" s="22"/>
      <c r="AP329" s="22"/>
      <c r="AQ329" s="22"/>
      <c r="AR329" s="22"/>
      <c r="AS329" s="22"/>
      <c r="AT329" s="22"/>
      <c r="AU329" s="22"/>
      <c r="AV329" s="22"/>
      <c r="AW329" s="22"/>
      <c r="AX329" s="22"/>
      <c r="AY329" s="22"/>
      <c r="AZ329" s="22"/>
      <c r="BA329" s="22"/>
      <c r="BB329" s="22"/>
      <c r="BC329" s="22"/>
      <c r="BD329" s="22"/>
      <c r="BE329" s="22"/>
      <c r="BF329" s="22"/>
      <c r="BG329" s="22"/>
      <c r="BH329" s="22"/>
      <c r="BI329" s="22"/>
      <c r="BJ329" s="22"/>
      <c r="BK329" s="22"/>
      <c r="BL329" s="22"/>
      <c r="BM329" s="22"/>
      <c r="BN329" s="22"/>
      <c r="BO329" s="22"/>
      <c r="BP329" s="22"/>
      <c r="BQ329" s="22"/>
      <c r="BR329" s="22"/>
      <c r="BS329" s="22"/>
      <c r="BT329" s="22"/>
      <c r="BU329" s="22"/>
      <c r="BV329" s="22"/>
      <c r="BW329" s="22"/>
      <c r="BX329" s="22"/>
      <c r="BY329" s="22"/>
      <c r="BZ329" s="22"/>
      <c r="CA329" s="22"/>
      <c r="CB329" s="22"/>
      <c r="CC329" s="22"/>
      <c r="CD329" s="22"/>
      <c r="CE329" s="22"/>
      <c r="CF329" s="22"/>
      <c r="CG329" s="22"/>
      <c r="CH329" s="22"/>
      <c r="CI329" s="22"/>
      <c r="CJ329" s="22"/>
      <c r="CK329" s="22"/>
      <c r="CL329" s="22"/>
      <c r="CM329" s="22"/>
      <c r="CN329" s="22"/>
      <c r="CO329" s="22"/>
      <c r="CP329" s="22"/>
      <c r="CQ329" s="22"/>
      <c r="CR329" s="22"/>
      <c r="CS329" s="22"/>
      <c r="CT329" s="22"/>
      <c r="CU329" s="22"/>
      <c r="CV329" s="22"/>
      <c r="CW329" s="22"/>
      <c r="CX329" s="22"/>
      <c r="CY329" s="22"/>
      <c r="CZ329" s="22"/>
      <c r="DA329" s="22"/>
      <c r="DB329" s="22"/>
      <c r="DC329" s="22"/>
      <c r="DD329" s="22"/>
      <c r="DE329" s="22"/>
      <c r="DF329" s="22"/>
      <c r="DG329" s="22"/>
      <c r="DH329" s="22"/>
      <c r="DI329" s="22"/>
      <c r="DJ329" s="22"/>
      <c r="DK329" s="22"/>
      <c r="DL329" s="22"/>
      <c r="DM329" s="22"/>
      <c r="DN329" s="22"/>
      <c r="DO329" s="22"/>
      <c r="DP329" s="22"/>
      <c r="DQ329" s="22"/>
      <c r="DR329" s="22"/>
      <c r="DS329" s="22"/>
      <c r="DT329" s="22"/>
      <c r="DU329" s="22"/>
      <c r="DV329" s="22"/>
      <c r="DW329" s="22"/>
      <c r="DX329" s="22"/>
      <c r="DY329" s="22"/>
      <c r="DZ329" s="22"/>
      <c r="EA329" s="22"/>
      <c r="EB329" s="22"/>
      <c r="EC329" s="22"/>
      <c r="ED329" s="22"/>
      <c r="EE329" s="22"/>
      <c r="EF329" s="22"/>
      <c r="EG329" s="22"/>
      <c r="EH329" s="22"/>
      <c r="EI329" s="22"/>
      <c r="EJ329" s="22"/>
      <c r="EK329" s="22"/>
      <c r="EL329" s="22"/>
      <c r="EM329" s="22"/>
      <c r="EN329" s="22"/>
      <c r="EO329" s="22"/>
      <c r="EP329" s="22"/>
      <c r="EQ329" s="22"/>
      <c r="ER329" s="22"/>
      <c r="ES329" s="22"/>
      <c r="ET329" s="22"/>
      <c r="EU329" s="22"/>
      <c r="EV329" s="22"/>
      <c r="EW329" s="22"/>
      <c r="EX329" s="22"/>
      <c r="EY329" s="22"/>
      <c r="EZ329" s="22"/>
      <c r="FA329" s="22"/>
      <c r="FB329" s="22"/>
      <c r="FC329" s="22"/>
      <c r="FD329" s="22"/>
      <c r="FE329" s="22"/>
      <c r="FF329" s="22"/>
      <c r="FG329" s="22"/>
      <c r="FH329" s="22"/>
      <c r="FI329" s="22"/>
      <c r="FJ329" s="22"/>
      <c r="FK329" s="22"/>
      <c r="FL329" s="22"/>
      <c r="FM329" s="22"/>
      <c r="FN329" s="22"/>
      <c r="FO329" s="22"/>
      <c r="FP329" s="22"/>
      <c r="FQ329" s="22"/>
      <c r="FR329" s="22"/>
      <c r="FS329" s="22"/>
      <c r="FT329" s="22"/>
      <c r="FU329" s="22"/>
      <c r="FV329" s="22"/>
      <c r="FW329" s="22"/>
      <c r="FX329" s="22"/>
      <c r="FY329" s="22"/>
      <c r="FZ329" s="22"/>
    </row>
    <row r="330" spans="2:182" x14ac:dyDescent="0.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c r="Z330" s="22"/>
      <c r="AA330" s="22"/>
      <c r="AB330" s="22"/>
      <c r="AC330" s="22"/>
      <c r="AD330" s="22"/>
      <c r="AE330" s="22"/>
      <c r="AF330" s="22"/>
      <c r="AG330" s="22"/>
      <c r="AH330" s="22"/>
      <c r="AI330" s="22"/>
      <c r="AJ330" s="22"/>
      <c r="AK330" s="22"/>
      <c r="AL330" s="22"/>
      <c r="AM330" s="22"/>
      <c r="AN330" s="22"/>
      <c r="AO330" s="22"/>
      <c r="AP330" s="22"/>
      <c r="AQ330" s="22"/>
      <c r="AR330" s="22"/>
      <c r="AS330" s="22"/>
      <c r="AT330" s="22"/>
      <c r="AU330" s="22"/>
      <c r="AV330" s="22"/>
      <c r="AW330" s="22"/>
      <c r="AX330" s="22"/>
      <c r="AY330" s="22"/>
      <c r="AZ330" s="22"/>
      <c r="BA330" s="22"/>
      <c r="BB330" s="22"/>
      <c r="BC330" s="22"/>
      <c r="BD330" s="22"/>
      <c r="BE330" s="22"/>
      <c r="BF330" s="22"/>
      <c r="BG330" s="22"/>
      <c r="BH330" s="22"/>
      <c r="BI330" s="22"/>
      <c r="BJ330" s="22"/>
      <c r="BK330" s="22"/>
      <c r="BL330" s="22"/>
      <c r="BM330" s="22"/>
      <c r="BN330" s="22"/>
      <c r="BO330" s="22"/>
      <c r="BP330" s="22"/>
      <c r="BQ330" s="22"/>
      <c r="BR330" s="22"/>
      <c r="BS330" s="22"/>
      <c r="BT330" s="22"/>
      <c r="BU330" s="22"/>
      <c r="BV330" s="22"/>
      <c r="BW330" s="22"/>
      <c r="BX330" s="22"/>
      <c r="BY330" s="22"/>
      <c r="BZ330" s="22"/>
      <c r="CA330" s="22"/>
      <c r="CB330" s="22"/>
      <c r="CC330" s="22"/>
      <c r="CD330" s="22"/>
      <c r="CE330" s="22"/>
      <c r="CF330" s="22"/>
      <c r="CG330" s="22"/>
      <c r="CH330" s="22"/>
      <c r="CI330" s="22"/>
      <c r="CJ330" s="22"/>
      <c r="CK330" s="22"/>
      <c r="CL330" s="22"/>
      <c r="CM330" s="22"/>
      <c r="CN330" s="22"/>
      <c r="CO330" s="22"/>
      <c r="CP330" s="22"/>
      <c r="CQ330" s="22"/>
      <c r="CR330" s="22"/>
      <c r="CS330" s="22"/>
      <c r="CT330" s="22"/>
      <c r="CU330" s="22"/>
      <c r="CV330" s="22"/>
      <c r="CW330" s="22"/>
      <c r="CX330" s="22"/>
      <c r="CY330" s="22"/>
      <c r="CZ330" s="22"/>
      <c r="DA330" s="22"/>
      <c r="DB330" s="22"/>
      <c r="DC330" s="22"/>
      <c r="DD330" s="22"/>
      <c r="DE330" s="22"/>
      <c r="DF330" s="22"/>
      <c r="DG330" s="22"/>
      <c r="DH330" s="22"/>
      <c r="DI330" s="22"/>
      <c r="DJ330" s="22"/>
      <c r="DK330" s="22"/>
      <c r="DL330" s="22"/>
      <c r="DM330" s="22"/>
      <c r="DN330" s="22"/>
      <c r="DO330" s="22"/>
      <c r="DP330" s="22"/>
      <c r="DQ330" s="22"/>
      <c r="DR330" s="22"/>
      <c r="DS330" s="22"/>
      <c r="DT330" s="22"/>
      <c r="DU330" s="22"/>
      <c r="DV330" s="22"/>
      <c r="DW330" s="22"/>
      <c r="DX330" s="22"/>
      <c r="DY330" s="22"/>
      <c r="DZ330" s="22"/>
      <c r="EA330" s="22"/>
      <c r="EB330" s="22"/>
      <c r="EC330" s="22"/>
      <c r="ED330" s="22"/>
      <c r="EE330" s="22"/>
      <c r="EF330" s="22"/>
      <c r="EG330" s="22"/>
      <c r="EH330" s="22"/>
      <c r="EI330" s="22"/>
      <c r="EJ330" s="22"/>
      <c r="EK330" s="22"/>
      <c r="EL330" s="22"/>
      <c r="EM330" s="22"/>
      <c r="EN330" s="22"/>
      <c r="EO330" s="22"/>
      <c r="EP330" s="22"/>
      <c r="EQ330" s="22"/>
      <c r="ER330" s="22"/>
      <c r="ES330" s="22"/>
      <c r="ET330" s="22"/>
      <c r="EU330" s="22"/>
      <c r="EV330" s="22"/>
      <c r="EW330" s="22"/>
      <c r="EX330" s="22"/>
      <c r="EY330" s="22"/>
      <c r="EZ330" s="22"/>
      <c r="FA330" s="22"/>
      <c r="FB330" s="22"/>
      <c r="FC330" s="22"/>
      <c r="FD330" s="22"/>
      <c r="FE330" s="22"/>
      <c r="FF330" s="22"/>
      <c r="FG330" s="22"/>
      <c r="FH330" s="22"/>
      <c r="FI330" s="22"/>
      <c r="FJ330" s="22"/>
      <c r="FK330" s="22"/>
      <c r="FL330" s="22"/>
      <c r="FM330" s="22"/>
      <c r="FN330" s="22"/>
      <c r="FO330" s="22"/>
      <c r="FP330" s="22"/>
      <c r="FQ330" s="22"/>
      <c r="FR330" s="22"/>
      <c r="FS330" s="22"/>
      <c r="FT330" s="22"/>
      <c r="FU330" s="22"/>
      <c r="FV330" s="22"/>
      <c r="FW330" s="22"/>
      <c r="FX330" s="22"/>
      <c r="FY330" s="22"/>
      <c r="FZ330" s="22"/>
    </row>
    <row r="331" spans="2:182" x14ac:dyDescent="0.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c r="Z331" s="22"/>
      <c r="AA331" s="22"/>
      <c r="AB331" s="22"/>
      <c r="AC331" s="22"/>
      <c r="AD331" s="22"/>
      <c r="AE331" s="22"/>
      <c r="AF331" s="22"/>
      <c r="AG331" s="22"/>
      <c r="AH331" s="22"/>
      <c r="AI331" s="22"/>
      <c r="AJ331" s="22"/>
      <c r="AK331" s="22"/>
      <c r="AL331" s="22"/>
      <c r="AM331" s="22"/>
      <c r="AN331" s="22"/>
      <c r="AO331" s="22"/>
      <c r="AP331" s="22"/>
      <c r="AQ331" s="22"/>
      <c r="AR331" s="22"/>
      <c r="AS331" s="22"/>
      <c r="AT331" s="22"/>
      <c r="AU331" s="22"/>
      <c r="AV331" s="22"/>
      <c r="AW331" s="22"/>
      <c r="AX331" s="22"/>
      <c r="AY331" s="22"/>
      <c r="AZ331" s="22"/>
      <c r="BA331" s="22"/>
      <c r="BB331" s="22"/>
      <c r="BC331" s="22"/>
      <c r="BD331" s="22"/>
      <c r="BE331" s="22"/>
      <c r="BF331" s="22"/>
      <c r="BG331" s="22"/>
      <c r="BH331" s="22"/>
      <c r="BI331" s="22"/>
      <c r="BJ331" s="22"/>
      <c r="BK331" s="22"/>
      <c r="BL331" s="22"/>
      <c r="BM331" s="22"/>
      <c r="BN331" s="22"/>
      <c r="BO331" s="22"/>
      <c r="BP331" s="22"/>
      <c r="BQ331" s="22"/>
      <c r="BR331" s="22"/>
      <c r="BS331" s="22"/>
      <c r="BT331" s="22"/>
      <c r="BU331" s="22"/>
      <c r="BV331" s="22"/>
      <c r="BW331" s="22"/>
      <c r="BX331" s="22"/>
      <c r="BY331" s="22"/>
      <c r="BZ331" s="22"/>
      <c r="CA331" s="22"/>
      <c r="CB331" s="22"/>
      <c r="CC331" s="22"/>
      <c r="CD331" s="22"/>
      <c r="CE331" s="22"/>
      <c r="CF331" s="22"/>
      <c r="CG331" s="22"/>
      <c r="CH331" s="22"/>
      <c r="CI331" s="22"/>
      <c r="CJ331" s="22"/>
      <c r="CK331" s="22"/>
      <c r="CL331" s="22"/>
      <c r="CM331" s="22"/>
      <c r="CN331" s="22"/>
      <c r="CO331" s="22"/>
      <c r="CP331" s="22"/>
      <c r="CQ331" s="22"/>
      <c r="CR331" s="22"/>
      <c r="CS331" s="22"/>
      <c r="CT331" s="22"/>
      <c r="CU331" s="22"/>
      <c r="CV331" s="22"/>
      <c r="CW331" s="22"/>
      <c r="CX331" s="22"/>
      <c r="CY331" s="22"/>
      <c r="CZ331" s="22"/>
      <c r="DA331" s="22"/>
      <c r="DB331" s="22"/>
      <c r="DC331" s="22"/>
      <c r="DD331" s="22"/>
      <c r="DE331" s="22"/>
      <c r="DF331" s="22"/>
      <c r="DG331" s="22"/>
      <c r="DH331" s="22"/>
      <c r="DI331" s="22"/>
      <c r="DJ331" s="22"/>
      <c r="DK331" s="22"/>
      <c r="DL331" s="22"/>
      <c r="DM331" s="22"/>
      <c r="DN331" s="22"/>
      <c r="DO331" s="22"/>
      <c r="DP331" s="22"/>
      <c r="DQ331" s="22"/>
      <c r="DR331" s="22"/>
      <c r="DS331" s="22"/>
      <c r="DT331" s="22"/>
      <c r="DU331" s="22"/>
      <c r="DV331" s="22"/>
      <c r="DW331" s="22"/>
      <c r="DX331" s="22"/>
      <c r="DY331" s="22"/>
      <c r="DZ331" s="22"/>
      <c r="EA331" s="22"/>
      <c r="EB331" s="22"/>
      <c r="EC331" s="22"/>
      <c r="ED331" s="22"/>
      <c r="EE331" s="22"/>
      <c r="EF331" s="22"/>
      <c r="EG331" s="22"/>
      <c r="EH331" s="22"/>
      <c r="EI331" s="22"/>
      <c r="EJ331" s="22"/>
      <c r="EK331" s="22"/>
      <c r="EL331" s="22"/>
      <c r="EM331" s="22"/>
      <c r="EN331" s="22"/>
      <c r="EO331" s="22"/>
      <c r="EP331" s="22"/>
      <c r="EQ331" s="22"/>
      <c r="ER331" s="22"/>
      <c r="ES331" s="22"/>
      <c r="ET331" s="22"/>
      <c r="EU331" s="22"/>
      <c r="EV331" s="22"/>
      <c r="EW331" s="22"/>
      <c r="EX331" s="22"/>
      <c r="EY331" s="22"/>
      <c r="EZ331" s="22"/>
      <c r="FA331" s="22"/>
      <c r="FB331" s="22"/>
      <c r="FC331" s="22"/>
      <c r="FD331" s="22"/>
      <c r="FE331" s="22"/>
      <c r="FF331" s="22"/>
      <c r="FG331" s="22"/>
      <c r="FH331" s="22"/>
      <c r="FI331" s="22"/>
      <c r="FJ331" s="22"/>
      <c r="FK331" s="22"/>
      <c r="FL331" s="22"/>
      <c r="FM331" s="22"/>
      <c r="FN331" s="22"/>
      <c r="FO331" s="22"/>
      <c r="FP331" s="22"/>
      <c r="FQ331" s="22"/>
      <c r="FR331" s="22"/>
      <c r="FS331" s="22"/>
      <c r="FT331" s="22"/>
      <c r="FU331" s="22"/>
      <c r="FV331" s="22"/>
      <c r="FW331" s="22"/>
      <c r="FX331" s="22"/>
      <c r="FY331" s="22"/>
      <c r="FZ331" s="22"/>
    </row>
    <row r="332" spans="2:182" x14ac:dyDescent="0.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c r="Z332" s="22"/>
      <c r="AA332" s="22"/>
      <c r="AB332" s="22"/>
      <c r="AC332" s="22"/>
      <c r="AD332" s="22"/>
      <c r="AE332" s="22"/>
      <c r="AF332" s="22"/>
      <c r="AG332" s="22"/>
      <c r="AH332" s="22"/>
      <c r="AI332" s="22"/>
      <c r="AJ332" s="22"/>
      <c r="AK332" s="22"/>
      <c r="AL332" s="22"/>
      <c r="AM332" s="22"/>
      <c r="AN332" s="22"/>
      <c r="AO332" s="22"/>
      <c r="AP332" s="22"/>
      <c r="AQ332" s="22"/>
      <c r="AR332" s="22"/>
      <c r="AS332" s="22"/>
      <c r="AT332" s="22"/>
      <c r="AU332" s="22"/>
      <c r="AV332" s="22"/>
      <c r="AW332" s="22"/>
      <c r="AX332" s="22"/>
      <c r="AY332" s="22"/>
      <c r="AZ332" s="22"/>
      <c r="BA332" s="22"/>
      <c r="BB332" s="22"/>
      <c r="BC332" s="22"/>
      <c r="BD332" s="22"/>
      <c r="BE332" s="22"/>
      <c r="BF332" s="22"/>
      <c r="BG332" s="22"/>
      <c r="BH332" s="22"/>
      <c r="BI332" s="22"/>
      <c r="BJ332" s="22"/>
      <c r="BK332" s="22"/>
      <c r="BL332" s="22"/>
      <c r="BM332" s="22"/>
      <c r="BN332" s="22"/>
      <c r="BO332" s="22"/>
      <c r="BP332" s="22"/>
      <c r="BQ332" s="22"/>
      <c r="BR332" s="22"/>
      <c r="BS332" s="22"/>
      <c r="BT332" s="22"/>
      <c r="BU332" s="22"/>
      <c r="BV332" s="22"/>
      <c r="BW332" s="22"/>
      <c r="BX332" s="22"/>
      <c r="BY332" s="22"/>
      <c r="BZ332" s="22"/>
      <c r="CA332" s="22"/>
      <c r="CB332" s="22"/>
      <c r="CC332" s="22"/>
      <c r="CD332" s="22"/>
      <c r="CE332" s="22"/>
      <c r="CF332" s="22"/>
      <c r="CG332" s="22"/>
      <c r="CH332" s="22"/>
      <c r="CI332" s="22"/>
      <c r="CJ332" s="22"/>
      <c r="CK332" s="22"/>
      <c r="CL332" s="22"/>
      <c r="CM332" s="22"/>
      <c r="CN332" s="22"/>
      <c r="CO332" s="22"/>
      <c r="CP332" s="22"/>
      <c r="CQ332" s="22"/>
      <c r="CR332" s="22"/>
      <c r="CS332" s="22"/>
      <c r="CT332" s="22"/>
      <c r="CU332" s="22"/>
      <c r="CV332" s="22"/>
      <c r="CW332" s="22"/>
      <c r="CX332" s="22"/>
      <c r="CY332" s="22"/>
      <c r="CZ332" s="22"/>
      <c r="DA332" s="22"/>
      <c r="DB332" s="22"/>
      <c r="DC332" s="22"/>
      <c r="DD332" s="22"/>
      <c r="DE332" s="22"/>
      <c r="DF332" s="22"/>
      <c r="DG332" s="22"/>
      <c r="DH332" s="22"/>
      <c r="DI332" s="22"/>
      <c r="DJ332" s="22"/>
      <c r="DK332" s="22"/>
      <c r="DL332" s="22"/>
      <c r="DM332" s="22"/>
      <c r="DN332" s="22"/>
      <c r="DO332" s="22"/>
      <c r="DP332" s="22"/>
      <c r="DQ332" s="22"/>
      <c r="DR332" s="22"/>
      <c r="DS332" s="22"/>
      <c r="DT332" s="22"/>
      <c r="DU332" s="22"/>
      <c r="DV332" s="22"/>
      <c r="DW332" s="22"/>
      <c r="DX332" s="22"/>
      <c r="DY332" s="22"/>
      <c r="DZ332" s="22"/>
      <c r="EA332" s="22"/>
      <c r="EB332" s="22"/>
      <c r="EC332" s="22"/>
      <c r="ED332" s="22"/>
      <c r="EE332" s="22"/>
      <c r="EF332" s="22"/>
      <c r="EG332" s="22"/>
      <c r="EH332" s="22"/>
      <c r="EI332" s="22"/>
      <c r="EJ332" s="22"/>
      <c r="EK332" s="22"/>
      <c r="EL332" s="22"/>
      <c r="EM332" s="22"/>
      <c r="EN332" s="22"/>
      <c r="EO332" s="22"/>
      <c r="EP332" s="22"/>
      <c r="EQ332" s="22"/>
      <c r="ER332" s="22"/>
      <c r="ES332" s="22"/>
      <c r="ET332" s="22"/>
      <c r="EU332" s="22"/>
      <c r="EV332" s="22"/>
      <c r="EW332" s="22"/>
      <c r="EX332" s="22"/>
      <c r="EY332" s="22"/>
      <c r="EZ332" s="22"/>
      <c r="FA332" s="22"/>
      <c r="FB332" s="22"/>
      <c r="FC332" s="22"/>
      <c r="FD332" s="22"/>
      <c r="FE332" s="22"/>
      <c r="FF332" s="22"/>
      <c r="FG332" s="22"/>
      <c r="FH332" s="22"/>
      <c r="FI332" s="22"/>
      <c r="FJ332" s="22"/>
      <c r="FK332" s="22"/>
      <c r="FL332" s="22"/>
      <c r="FM332" s="22"/>
      <c r="FN332" s="22"/>
      <c r="FO332" s="22"/>
      <c r="FP332" s="22"/>
      <c r="FQ332" s="22"/>
      <c r="FR332" s="22"/>
      <c r="FS332" s="22"/>
      <c r="FT332" s="22"/>
      <c r="FU332" s="22"/>
      <c r="FV332" s="22"/>
      <c r="FW332" s="22"/>
      <c r="FX332" s="22"/>
      <c r="FY332" s="22"/>
      <c r="FZ332" s="22"/>
    </row>
    <row r="333" spans="2:182" x14ac:dyDescent="0.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c r="Z333" s="22"/>
      <c r="AA333" s="22"/>
      <c r="AB333" s="22"/>
      <c r="AC333" s="22"/>
      <c r="AD333" s="22"/>
      <c r="AE333" s="22"/>
      <c r="AF333" s="22"/>
      <c r="AG333" s="22"/>
      <c r="AH333" s="22"/>
      <c r="AI333" s="22"/>
      <c r="AJ333" s="22"/>
      <c r="AK333" s="22"/>
      <c r="AL333" s="22"/>
      <c r="AM333" s="22"/>
      <c r="AN333" s="22"/>
      <c r="AO333" s="22"/>
      <c r="AP333" s="22"/>
      <c r="AQ333" s="22"/>
      <c r="AR333" s="22"/>
      <c r="AS333" s="22"/>
      <c r="AT333" s="22"/>
      <c r="AU333" s="22"/>
      <c r="AV333" s="22"/>
      <c r="AW333" s="22"/>
      <c r="AX333" s="22"/>
      <c r="AY333" s="22"/>
      <c r="AZ333" s="22"/>
      <c r="BA333" s="22"/>
      <c r="BB333" s="22"/>
      <c r="BC333" s="22"/>
      <c r="BD333" s="22"/>
      <c r="BE333" s="22"/>
      <c r="BF333" s="22"/>
      <c r="BG333" s="22"/>
      <c r="BH333" s="22"/>
      <c r="BI333" s="22"/>
      <c r="BJ333" s="22"/>
      <c r="BK333" s="22"/>
      <c r="BL333" s="22"/>
      <c r="BM333" s="22"/>
      <c r="BN333" s="22"/>
      <c r="BO333" s="22"/>
      <c r="BP333" s="22"/>
      <c r="BQ333" s="22"/>
      <c r="BR333" s="22"/>
      <c r="BS333" s="22"/>
      <c r="BT333" s="22"/>
      <c r="BU333" s="22"/>
      <c r="BV333" s="22"/>
      <c r="BW333" s="22"/>
      <c r="BX333" s="22"/>
      <c r="BY333" s="22"/>
      <c r="BZ333" s="22"/>
      <c r="CA333" s="22"/>
      <c r="CB333" s="22"/>
      <c r="CC333" s="22"/>
      <c r="CD333" s="22"/>
      <c r="CE333" s="22"/>
      <c r="CF333" s="22"/>
      <c r="CG333" s="22"/>
      <c r="CH333" s="22"/>
      <c r="CI333" s="22"/>
      <c r="CJ333" s="22"/>
      <c r="CK333" s="22"/>
      <c r="CL333" s="22"/>
      <c r="CM333" s="22"/>
      <c r="CN333" s="22"/>
      <c r="CO333" s="22"/>
      <c r="CP333" s="22"/>
      <c r="CQ333" s="22"/>
      <c r="CR333" s="22"/>
      <c r="CS333" s="22"/>
      <c r="CT333" s="22"/>
      <c r="CU333" s="22"/>
      <c r="CV333" s="22"/>
      <c r="CW333" s="22"/>
      <c r="CX333" s="22"/>
      <c r="CY333" s="22"/>
      <c r="CZ333" s="22"/>
      <c r="DA333" s="22"/>
      <c r="DB333" s="22"/>
      <c r="DC333" s="22"/>
      <c r="DD333" s="22"/>
      <c r="DE333" s="22"/>
      <c r="DF333" s="22"/>
      <c r="DG333" s="22"/>
      <c r="DH333" s="22"/>
      <c r="DI333" s="22"/>
      <c r="DJ333" s="22"/>
      <c r="DK333" s="22"/>
      <c r="DL333" s="22"/>
      <c r="DM333" s="22"/>
      <c r="DN333" s="22"/>
      <c r="DO333" s="22"/>
      <c r="DP333" s="22"/>
      <c r="DQ333" s="22"/>
      <c r="DR333" s="22"/>
      <c r="DS333" s="22"/>
      <c r="DT333" s="22"/>
      <c r="DU333" s="22"/>
      <c r="DV333" s="22"/>
      <c r="DW333" s="22"/>
      <c r="DX333" s="22"/>
      <c r="DY333" s="22"/>
      <c r="DZ333" s="22"/>
      <c r="EA333" s="22"/>
      <c r="EB333" s="22"/>
      <c r="EC333" s="22"/>
      <c r="ED333" s="22"/>
      <c r="EE333" s="22"/>
      <c r="EF333" s="22"/>
      <c r="EG333" s="22"/>
      <c r="EH333" s="22"/>
      <c r="EI333" s="22"/>
      <c r="EJ333" s="22"/>
      <c r="EK333" s="22"/>
      <c r="EL333" s="22"/>
      <c r="EM333" s="22"/>
      <c r="EN333" s="22"/>
      <c r="EO333" s="22"/>
      <c r="EP333" s="22"/>
      <c r="EQ333" s="22"/>
      <c r="ER333" s="22"/>
      <c r="ES333" s="22"/>
      <c r="ET333" s="22"/>
      <c r="EU333" s="22"/>
      <c r="EV333" s="22"/>
      <c r="EW333" s="22"/>
      <c r="EX333" s="22"/>
      <c r="EY333" s="22"/>
      <c r="EZ333" s="22"/>
      <c r="FA333" s="22"/>
      <c r="FB333" s="22"/>
      <c r="FC333" s="22"/>
      <c r="FD333" s="22"/>
      <c r="FE333" s="22"/>
      <c r="FF333" s="22"/>
      <c r="FG333" s="22"/>
      <c r="FH333" s="22"/>
      <c r="FI333" s="22"/>
      <c r="FJ333" s="22"/>
      <c r="FK333" s="22"/>
      <c r="FL333" s="22"/>
      <c r="FM333" s="22"/>
      <c r="FN333" s="22"/>
      <c r="FO333" s="22"/>
      <c r="FP333" s="22"/>
      <c r="FQ333" s="22"/>
      <c r="FR333" s="22"/>
      <c r="FS333" s="22"/>
      <c r="FT333" s="22"/>
      <c r="FU333" s="22"/>
      <c r="FV333" s="22"/>
      <c r="FW333" s="22"/>
      <c r="FX333" s="22"/>
      <c r="FY333" s="22"/>
      <c r="FZ333" s="22"/>
    </row>
    <row r="334" spans="2:182" x14ac:dyDescent="0.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c r="Z334" s="22"/>
      <c r="AA334" s="22"/>
      <c r="AB334" s="22"/>
      <c r="AC334" s="22"/>
      <c r="AD334" s="22"/>
      <c r="AE334" s="22"/>
      <c r="AF334" s="22"/>
      <c r="AG334" s="22"/>
      <c r="AH334" s="22"/>
      <c r="AI334" s="22"/>
      <c r="AJ334" s="22"/>
      <c r="AK334" s="22"/>
      <c r="AL334" s="22"/>
      <c r="AM334" s="22"/>
      <c r="AN334" s="22"/>
      <c r="AO334" s="22"/>
      <c r="AP334" s="22"/>
      <c r="AQ334" s="22"/>
      <c r="AR334" s="22"/>
      <c r="AS334" s="22"/>
      <c r="AT334" s="22"/>
      <c r="AU334" s="22"/>
      <c r="AV334" s="22"/>
      <c r="AW334" s="22"/>
      <c r="AX334" s="22"/>
      <c r="AY334" s="22"/>
      <c r="AZ334" s="22"/>
      <c r="BA334" s="22"/>
      <c r="BB334" s="22"/>
      <c r="BC334" s="22"/>
      <c r="BD334" s="22"/>
      <c r="BE334" s="22"/>
      <c r="BF334" s="22"/>
      <c r="BG334" s="22"/>
      <c r="BH334" s="22"/>
      <c r="BI334" s="22"/>
      <c r="BJ334" s="22"/>
      <c r="BK334" s="22"/>
      <c r="BL334" s="22"/>
      <c r="BM334" s="22"/>
      <c r="BN334" s="22"/>
      <c r="BO334" s="22"/>
      <c r="BP334" s="22"/>
      <c r="BQ334" s="22"/>
      <c r="BR334" s="22"/>
      <c r="BS334" s="22"/>
      <c r="BT334" s="22"/>
      <c r="BU334" s="22"/>
      <c r="BV334" s="22"/>
      <c r="BW334" s="22"/>
      <c r="BX334" s="22"/>
      <c r="BY334" s="22"/>
      <c r="BZ334" s="22"/>
      <c r="CA334" s="22"/>
      <c r="CB334" s="22"/>
      <c r="CC334" s="22"/>
      <c r="CD334" s="22"/>
      <c r="CE334" s="22"/>
      <c r="CF334" s="22"/>
      <c r="CG334" s="22"/>
      <c r="CH334" s="22"/>
      <c r="CI334" s="22"/>
      <c r="CJ334" s="22"/>
      <c r="CK334" s="22"/>
      <c r="CL334" s="22"/>
      <c r="CM334" s="22"/>
      <c r="CN334" s="22"/>
      <c r="CO334" s="22"/>
      <c r="CP334" s="22"/>
      <c r="CQ334" s="22"/>
      <c r="CR334" s="22"/>
      <c r="CS334" s="22"/>
      <c r="CT334" s="22"/>
      <c r="CU334" s="22"/>
      <c r="CV334" s="22"/>
      <c r="CW334" s="22"/>
      <c r="CX334" s="22"/>
      <c r="CY334" s="22"/>
      <c r="CZ334" s="22"/>
      <c r="DA334" s="22"/>
      <c r="DB334" s="22"/>
      <c r="DC334" s="22"/>
      <c r="DD334" s="22"/>
      <c r="DE334" s="22"/>
      <c r="DF334" s="22"/>
      <c r="DG334" s="22"/>
      <c r="DH334" s="22"/>
      <c r="DI334" s="22"/>
      <c r="DJ334" s="22"/>
      <c r="DK334" s="22"/>
      <c r="DL334" s="22"/>
      <c r="DM334" s="22"/>
      <c r="DN334" s="22"/>
      <c r="DO334" s="22"/>
      <c r="DP334" s="22"/>
      <c r="DQ334" s="22"/>
      <c r="DR334" s="22"/>
      <c r="DS334" s="22"/>
      <c r="DT334" s="22"/>
      <c r="DU334" s="22"/>
      <c r="DV334" s="22"/>
      <c r="DW334" s="22"/>
      <c r="DX334" s="22"/>
      <c r="DY334" s="22"/>
      <c r="DZ334" s="22"/>
      <c r="EA334" s="22"/>
      <c r="EB334" s="22"/>
      <c r="EC334" s="22"/>
      <c r="ED334" s="22"/>
      <c r="EE334" s="22"/>
      <c r="EF334" s="22"/>
      <c r="EG334" s="22"/>
      <c r="EH334" s="22"/>
      <c r="EI334" s="22"/>
      <c r="EJ334" s="22"/>
      <c r="EK334" s="22"/>
      <c r="EL334" s="22"/>
      <c r="EM334" s="22"/>
      <c r="EN334" s="22"/>
      <c r="EO334" s="22"/>
      <c r="EP334" s="22"/>
      <c r="EQ334" s="22"/>
      <c r="ER334" s="22"/>
      <c r="ES334" s="22"/>
      <c r="ET334" s="22"/>
      <c r="EU334" s="22"/>
      <c r="EV334" s="22"/>
      <c r="EW334" s="22"/>
      <c r="EX334" s="22"/>
      <c r="EY334" s="22"/>
      <c r="EZ334" s="22"/>
      <c r="FA334" s="22"/>
      <c r="FB334" s="22"/>
      <c r="FC334" s="22"/>
      <c r="FD334" s="22"/>
      <c r="FE334" s="22"/>
      <c r="FF334" s="22"/>
      <c r="FG334" s="22"/>
      <c r="FH334" s="22"/>
      <c r="FI334" s="22"/>
      <c r="FJ334" s="22"/>
      <c r="FK334" s="22"/>
      <c r="FL334" s="22"/>
      <c r="FM334" s="22"/>
      <c r="FN334" s="22"/>
      <c r="FO334" s="22"/>
      <c r="FP334" s="22"/>
      <c r="FQ334" s="22"/>
      <c r="FR334" s="22"/>
      <c r="FS334" s="22"/>
      <c r="FT334" s="22"/>
      <c r="FU334" s="22"/>
      <c r="FV334" s="22"/>
      <c r="FW334" s="22"/>
      <c r="FX334" s="22"/>
      <c r="FY334" s="22"/>
      <c r="FZ334" s="22"/>
    </row>
    <row r="335" spans="2:182" x14ac:dyDescent="0.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c r="Z335" s="22"/>
      <c r="AA335" s="22"/>
      <c r="AB335" s="22"/>
      <c r="AC335" s="22"/>
      <c r="AD335" s="22"/>
      <c r="AE335" s="22"/>
      <c r="AF335" s="22"/>
      <c r="AG335" s="22"/>
      <c r="AH335" s="22"/>
      <c r="AI335" s="22"/>
      <c r="AJ335" s="22"/>
      <c r="AK335" s="22"/>
      <c r="AL335" s="22"/>
      <c r="AM335" s="22"/>
      <c r="AN335" s="22"/>
      <c r="AO335" s="22"/>
      <c r="AP335" s="22"/>
      <c r="AQ335" s="22"/>
      <c r="AR335" s="22"/>
      <c r="AS335" s="22"/>
      <c r="AT335" s="22"/>
      <c r="AU335" s="22"/>
      <c r="AV335" s="22"/>
      <c r="AW335" s="22"/>
      <c r="AX335" s="22"/>
      <c r="AY335" s="22"/>
      <c r="AZ335" s="22"/>
      <c r="BA335" s="22"/>
      <c r="BB335" s="22"/>
      <c r="BC335" s="22"/>
      <c r="BD335" s="22"/>
      <c r="BE335" s="22"/>
      <c r="BF335" s="22"/>
      <c r="BG335" s="22"/>
      <c r="BH335" s="22"/>
      <c r="BI335" s="22"/>
      <c r="BJ335" s="22"/>
      <c r="BK335" s="22"/>
      <c r="BL335" s="22"/>
      <c r="BM335" s="22"/>
      <c r="BN335" s="22"/>
      <c r="BO335" s="22"/>
      <c r="BP335" s="22"/>
      <c r="BQ335" s="22"/>
      <c r="BR335" s="22"/>
      <c r="BS335" s="22"/>
      <c r="BT335" s="22"/>
      <c r="BU335" s="22"/>
      <c r="BV335" s="22"/>
      <c r="BW335" s="22"/>
      <c r="BX335" s="22"/>
      <c r="BY335" s="22"/>
      <c r="BZ335" s="22"/>
      <c r="CA335" s="22"/>
      <c r="CB335" s="22"/>
      <c r="CC335" s="22"/>
      <c r="CD335" s="22"/>
      <c r="CE335" s="22"/>
      <c r="CF335" s="22"/>
      <c r="CG335" s="22"/>
      <c r="CH335" s="22"/>
      <c r="CI335" s="22"/>
      <c r="CJ335" s="22"/>
      <c r="CK335" s="22"/>
      <c r="CL335" s="22"/>
      <c r="CM335" s="22"/>
      <c r="CN335" s="22"/>
      <c r="CO335" s="22"/>
      <c r="CP335" s="22"/>
      <c r="CQ335" s="22"/>
      <c r="CR335" s="22"/>
      <c r="CS335" s="22"/>
      <c r="CT335" s="22"/>
      <c r="CU335" s="22"/>
      <c r="CV335" s="22"/>
      <c r="CW335" s="22"/>
      <c r="CX335" s="22"/>
      <c r="CY335" s="22"/>
      <c r="CZ335" s="22"/>
      <c r="DA335" s="22"/>
      <c r="DB335" s="22"/>
      <c r="DC335" s="22"/>
      <c r="DD335" s="22"/>
      <c r="DE335" s="22"/>
      <c r="DF335" s="22"/>
      <c r="DG335" s="22"/>
      <c r="DH335" s="22"/>
      <c r="DI335" s="22"/>
      <c r="DJ335" s="22"/>
      <c r="DK335" s="22"/>
      <c r="DL335" s="22"/>
      <c r="DM335" s="22"/>
      <c r="DN335" s="22"/>
      <c r="DO335" s="22"/>
      <c r="DP335" s="22"/>
      <c r="DQ335" s="22"/>
      <c r="DR335" s="22"/>
      <c r="DS335" s="22"/>
      <c r="DT335" s="22"/>
      <c r="DU335" s="22"/>
      <c r="DV335" s="22"/>
      <c r="DW335" s="22"/>
      <c r="DX335" s="22"/>
      <c r="DY335" s="22"/>
      <c r="DZ335" s="22"/>
      <c r="EA335" s="22"/>
      <c r="EB335" s="22"/>
      <c r="EC335" s="22"/>
      <c r="ED335" s="22"/>
      <c r="EE335" s="22"/>
      <c r="EF335" s="22"/>
      <c r="EG335" s="22"/>
      <c r="EH335" s="22"/>
      <c r="EI335" s="22"/>
      <c r="EJ335" s="22"/>
      <c r="EK335" s="22"/>
      <c r="EL335" s="22"/>
      <c r="EM335" s="22"/>
      <c r="EN335" s="22"/>
      <c r="EO335" s="22"/>
      <c r="EP335" s="22"/>
      <c r="EQ335" s="22"/>
      <c r="ER335" s="22"/>
      <c r="ES335" s="22"/>
      <c r="ET335" s="22"/>
      <c r="EU335" s="22"/>
      <c r="EV335" s="22"/>
      <c r="EW335" s="22"/>
      <c r="EX335" s="22"/>
      <c r="EY335" s="22"/>
      <c r="EZ335" s="22"/>
      <c r="FA335" s="22"/>
      <c r="FB335" s="22"/>
      <c r="FC335" s="22"/>
      <c r="FD335" s="22"/>
      <c r="FE335" s="22"/>
      <c r="FF335" s="22"/>
      <c r="FG335" s="22"/>
      <c r="FH335" s="22"/>
      <c r="FI335" s="22"/>
      <c r="FJ335" s="22"/>
      <c r="FK335" s="22"/>
      <c r="FL335" s="22"/>
      <c r="FM335" s="22"/>
      <c r="FN335" s="22"/>
      <c r="FO335" s="22"/>
      <c r="FP335" s="22"/>
      <c r="FQ335" s="22"/>
      <c r="FR335" s="22"/>
      <c r="FS335" s="22"/>
      <c r="FT335" s="22"/>
      <c r="FU335" s="22"/>
      <c r="FV335" s="22"/>
      <c r="FW335" s="22"/>
      <c r="FX335" s="22"/>
      <c r="FY335" s="22"/>
      <c r="FZ335" s="22"/>
    </row>
    <row r="336" spans="2:182" x14ac:dyDescent="0.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c r="Z336" s="22"/>
      <c r="AA336" s="22"/>
      <c r="AB336" s="22"/>
      <c r="AC336" s="22"/>
      <c r="AD336" s="22"/>
      <c r="AE336" s="22"/>
      <c r="AF336" s="22"/>
      <c r="AG336" s="22"/>
      <c r="AH336" s="22"/>
      <c r="AI336" s="22"/>
      <c r="AJ336" s="22"/>
      <c r="AK336" s="22"/>
      <c r="AL336" s="22"/>
      <c r="AM336" s="22"/>
      <c r="AN336" s="22"/>
      <c r="AO336" s="22"/>
      <c r="AP336" s="22"/>
      <c r="AQ336" s="22"/>
      <c r="AR336" s="22"/>
      <c r="AS336" s="22"/>
      <c r="AT336" s="22"/>
      <c r="AU336" s="22"/>
      <c r="AV336" s="22"/>
      <c r="AW336" s="22"/>
      <c r="AX336" s="22"/>
      <c r="AY336" s="22"/>
      <c r="AZ336" s="22"/>
      <c r="BA336" s="22"/>
      <c r="BB336" s="22"/>
      <c r="BC336" s="22"/>
      <c r="BD336" s="22"/>
      <c r="BE336" s="22"/>
      <c r="BF336" s="22"/>
      <c r="BG336" s="22"/>
      <c r="BH336" s="22"/>
      <c r="BI336" s="22"/>
      <c r="BJ336" s="22"/>
      <c r="BK336" s="22"/>
      <c r="BL336" s="22"/>
      <c r="BM336" s="22"/>
      <c r="BN336" s="22"/>
      <c r="BO336" s="22"/>
      <c r="BP336" s="22"/>
      <c r="BQ336" s="22"/>
      <c r="BR336" s="22"/>
      <c r="BS336" s="22"/>
      <c r="BT336" s="22"/>
      <c r="BU336" s="22"/>
      <c r="BV336" s="22"/>
      <c r="BW336" s="22"/>
      <c r="BX336" s="22"/>
      <c r="BY336" s="22"/>
      <c r="BZ336" s="22"/>
      <c r="CA336" s="22"/>
      <c r="CB336" s="22"/>
      <c r="CC336" s="22"/>
      <c r="CD336" s="22"/>
      <c r="CE336" s="22"/>
      <c r="CF336" s="22"/>
      <c r="CG336" s="22"/>
      <c r="CH336" s="22"/>
      <c r="CI336" s="22"/>
      <c r="CJ336" s="22"/>
      <c r="CK336" s="22"/>
      <c r="CL336" s="22"/>
      <c r="CM336" s="22"/>
      <c r="CN336" s="22"/>
      <c r="CO336" s="22"/>
      <c r="CP336" s="22"/>
      <c r="CQ336" s="22"/>
      <c r="CR336" s="22"/>
      <c r="CS336" s="22"/>
      <c r="CT336" s="22"/>
      <c r="CU336" s="22"/>
      <c r="CV336" s="22"/>
      <c r="CW336" s="22"/>
      <c r="CX336" s="22"/>
      <c r="CY336" s="22"/>
      <c r="CZ336" s="22"/>
      <c r="DA336" s="22"/>
      <c r="DB336" s="22"/>
      <c r="DC336" s="22"/>
      <c r="DD336" s="22"/>
      <c r="DE336" s="22"/>
      <c r="DF336" s="22"/>
      <c r="DG336" s="22"/>
      <c r="DH336" s="22"/>
      <c r="DI336" s="22"/>
      <c r="DJ336" s="22"/>
      <c r="DK336" s="22"/>
      <c r="DL336" s="22"/>
      <c r="DM336" s="22"/>
      <c r="DN336" s="22"/>
      <c r="DO336" s="22"/>
      <c r="DP336" s="22"/>
      <c r="DQ336" s="22"/>
      <c r="DR336" s="22"/>
      <c r="DS336" s="22"/>
      <c r="DT336" s="22"/>
      <c r="DU336" s="22"/>
      <c r="DV336" s="22"/>
      <c r="DW336" s="22"/>
      <c r="DX336" s="22"/>
      <c r="DY336" s="22"/>
      <c r="DZ336" s="22"/>
      <c r="EA336" s="22"/>
      <c r="EB336" s="22"/>
      <c r="EC336" s="22"/>
      <c r="ED336" s="22"/>
      <c r="EE336" s="22"/>
      <c r="EF336" s="22"/>
      <c r="EG336" s="22"/>
      <c r="EH336" s="22"/>
      <c r="EI336" s="22"/>
      <c r="EJ336" s="22"/>
      <c r="EK336" s="22"/>
      <c r="EL336" s="22"/>
      <c r="EM336" s="22"/>
      <c r="EN336" s="22"/>
      <c r="EO336" s="22"/>
      <c r="EP336" s="22"/>
      <c r="EQ336" s="22"/>
      <c r="ER336" s="22"/>
      <c r="ES336" s="22"/>
      <c r="ET336" s="22"/>
      <c r="EU336" s="22"/>
      <c r="EV336" s="22"/>
      <c r="EW336" s="22"/>
      <c r="EX336" s="22"/>
      <c r="EY336" s="22"/>
      <c r="EZ336" s="22"/>
      <c r="FA336" s="22"/>
      <c r="FB336" s="22"/>
      <c r="FC336" s="22"/>
      <c r="FD336" s="22"/>
      <c r="FE336" s="22"/>
      <c r="FF336" s="22"/>
      <c r="FG336" s="22"/>
      <c r="FH336" s="22"/>
      <c r="FI336" s="22"/>
      <c r="FJ336" s="22"/>
      <c r="FK336" s="22"/>
      <c r="FL336" s="22"/>
      <c r="FM336" s="22"/>
      <c r="FN336" s="22"/>
      <c r="FO336" s="22"/>
      <c r="FP336" s="22"/>
      <c r="FQ336" s="22"/>
      <c r="FR336" s="22"/>
      <c r="FS336" s="22"/>
      <c r="FT336" s="22"/>
      <c r="FU336" s="22"/>
      <c r="FV336" s="22"/>
      <c r="FW336" s="22"/>
      <c r="FX336" s="22"/>
      <c r="FY336" s="22"/>
      <c r="FZ336" s="22"/>
    </row>
    <row r="337" spans="2:182" x14ac:dyDescent="0.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c r="Z337" s="22"/>
      <c r="AA337" s="22"/>
      <c r="AB337" s="22"/>
      <c r="AC337" s="22"/>
      <c r="AD337" s="22"/>
      <c r="AE337" s="22"/>
      <c r="AF337" s="22"/>
      <c r="AG337" s="22"/>
      <c r="AH337" s="22"/>
      <c r="AI337" s="22"/>
      <c r="AJ337" s="22"/>
      <c r="AK337" s="22"/>
      <c r="AL337" s="22"/>
      <c r="AM337" s="22"/>
      <c r="AN337" s="22"/>
      <c r="AO337" s="22"/>
      <c r="AP337" s="22"/>
      <c r="AQ337" s="22"/>
      <c r="AR337" s="22"/>
      <c r="AS337" s="22"/>
      <c r="AT337" s="22"/>
      <c r="AU337" s="22"/>
      <c r="AV337" s="22"/>
      <c r="AW337" s="22"/>
      <c r="AX337" s="22"/>
      <c r="AY337" s="22"/>
      <c r="AZ337" s="22"/>
      <c r="BA337" s="22"/>
      <c r="BB337" s="22"/>
      <c r="BC337" s="22"/>
      <c r="BD337" s="22"/>
      <c r="BE337" s="22"/>
      <c r="BF337" s="22"/>
      <c r="BG337" s="22"/>
      <c r="BH337" s="22"/>
      <c r="BI337" s="22"/>
      <c r="BJ337" s="22"/>
      <c r="BK337" s="22"/>
      <c r="BL337" s="22"/>
      <c r="BM337" s="22"/>
      <c r="BN337" s="22"/>
      <c r="BO337" s="22"/>
      <c r="BP337" s="22"/>
      <c r="BQ337" s="22"/>
      <c r="BR337" s="22"/>
      <c r="BS337" s="22"/>
      <c r="BT337" s="22"/>
      <c r="BU337" s="22"/>
      <c r="BV337" s="22"/>
      <c r="BW337" s="22"/>
      <c r="BX337" s="22"/>
      <c r="BY337" s="22"/>
      <c r="BZ337" s="22"/>
      <c r="CA337" s="22"/>
      <c r="CB337" s="22"/>
      <c r="CC337" s="22"/>
      <c r="CD337" s="22"/>
      <c r="CE337" s="22"/>
      <c r="CF337" s="22"/>
      <c r="CG337" s="22"/>
      <c r="CH337" s="22"/>
      <c r="CI337" s="22"/>
      <c r="CJ337" s="22"/>
      <c r="CK337" s="22"/>
      <c r="CL337" s="22"/>
      <c r="CM337" s="22"/>
      <c r="CN337" s="22"/>
      <c r="CO337" s="22"/>
      <c r="CP337" s="22"/>
      <c r="CQ337" s="22"/>
      <c r="CR337" s="22"/>
      <c r="CS337" s="22"/>
      <c r="CT337" s="22"/>
      <c r="CU337" s="22"/>
      <c r="CV337" s="22"/>
      <c r="CW337" s="22"/>
      <c r="CX337" s="22"/>
      <c r="CY337" s="22"/>
      <c r="CZ337" s="22"/>
      <c r="DA337" s="22"/>
      <c r="DB337" s="22"/>
      <c r="DC337" s="22"/>
      <c r="DD337" s="22"/>
      <c r="DE337" s="22"/>
      <c r="DF337" s="22"/>
      <c r="DG337" s="22"/>
      <c r="DH337" s="22"/>
      <c r="DI337" s="22"/>
      <c r="DJ337" s="22"/>
      <c r="DK337" s="22"/>
      <c r="DL337" s="22"/>
      <c r="DM337" s="22"/>
      <c r="DN337" s="22"/>
      <c r="DO337" s="22"/>
      <c r="DP337" s="22"/>
      <c r="DQ337" s="22"/>
      <c r="DR337" s="22"/>
      <c r="DS337" s="22"/>
      <c r="DT337" s="22"/>
      <c r="DU337" s="22"/>
      <c r="DV337" s="22"/>
      <c r="DW337" s="22"/>
      <c r="DX337" s="22"/>
      <c r="DY337" s="22"/>
      <c r="DZ337" s="22"/>
      <c r="EA337" s="22"/>
      <c r="EB337" s="22"/>
      <c r="EC337" s="22"/>
      <c r="ED337" s="22"/>
      <c r="EE337" s="22"/>
      <c r="EF337" s="22"/>
      <c r="EG337" s="22"/>
      <c r="EH337" s="22"/>
      <c r="EI337" s="22"/>
      <c r="EJ337" s="22"/>
      <c r="EK337" s="22"/>
      <c r="EL337" s="22"/>
      <c r="EM337" s="22"/>
      <c r="EN337" s="22"/>
      <c r="EO337" s="22"/>
      <c r="EP337" s="22"/>
      <c r="EQ337" s="22"/>
      <c r="ER337" s="22"/>
      <c r="ES337" s="22"/>
      <c r="ET337" s="22"/>
      <c r="EU337" s="22"/>
      <c r="EV337" s="22"/>
      <c r="EW337" s="22"/>
      <c r="EX337" s="22"/>
      <c r="EY337" s="22"/>
      <c r="EZ337" s="22"/>
      <c r="FA337" s="22"/>
      <c r="FB337" s="22"/>
      <c r="FC337" s="22"/>
      <c r="FD337" s="22"/>
      <c r="FE337" s="22"/>
      <c r="FF337" s="22"/>
      <c r="FG337" s="22"/>
      <c r="FH337" s="22"/>
      <c r="FI337" s="22"/>
      <c r="FJ337" s="22"/>
      <c r="FK337" s="22"/>
      <c r="FL337" s="22"/>
      <c r="FM337" s="22"/>
      <c r="FN337" s="22"/>
      <c r="FO337" s="22"/>
      <c r="FP337" s="22"/>
      <c r="FQ337" s="22"/>
      <c r="FR337" s="22"/>
      <c r="FS337" s="22"/>
      <c r="FT337" s="22"/>
      <c r="FU337" s="22"/>
      <c r="FV337" s="22"/>
      <c r="FW337" s="22"/>
      <c r="FX337" s="22"/>
      <c r="FY337" s="22"/>
      <c r="FZ337" s="22"/>
    </row>
    <row r="338" spans="2:182" x14ac:dyDescent="0.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c r="Z338" s="22"/>
      <c r="AA338" s="22"/>
      <c r="AB338" s="22"/>
      <c r="AC338" s="22"/>
      <c r="AD338" s="22"/>
      <c r="AE338" s="22"/>
      <c r="AF338" s="22"/>
      <c r="AG338" s="22"/>
      <c r="AH338" s="22"/>
      <c r="AI338" s="22"/>
      <c r="AJ338" s="22"/>
      <c r="AK338" s="22"/>
      <c r="AL338" s="22"/>
      <c r="AM338" s="22"/>
      <c r="AN338" s="22"/>
      <c r="AO338" s="22"/>
      <c r="AP338" s="22"/>
      <c r="AQ338" s="22"/>
      <c r="AR338" s="22"/>
      <c r="AS338" s="22"/>
      <c r="AT338" s="22"/>
      <c r="AU338" s="22"/>
      <c r="AV338" s="22"/>
      <c r="AW338" s="22"/>
      <c r="AX338" s="22"/>
      <c r="AY338" s="22"/>
      <c r="AZ338" s="22"/>
      <c r="BA338" s="22"/>
      <c r="BB338" s="22"/>
      <c r="BC338" s="22"/>
      <c r="BD338" s="22"/>
      <c r="BE338" s="22"/>
      <c r="BF338" s="22"/>
      <c r="BG338" s="22"/>
      <c r="BH338" s="22"/>
      <c r="BI338" s="22"/>
      <c r="BJ338" s="22"/>
      <c r="BK338" s="22"/>
      <c r="BL338" s="22"/>
      <c r="BM338" s="22"/>
      <c r="BN338" s="22"/>
      <c r="BO338" s="22"/>
      <c r="BP338" s="22"/>
      <c r="BQ338" s="22"/>
      <c r="BR338" s="22"/>
      <c r="BS338" s="22"/>
      <c r="BT338" s="22"/>
      <c r="BU338" s="22"/>
      <c r="BV338" s="22"/>
      <c r="BW338" s="22"/>
      <c r="BX338" s="22"/>
      <c r="BY338" s="22"/>
      <c r="BZ338" s="22"/>
      <c r="CA338" s="22"/>
      <c r="CB338" s="22"/>
      <c r="CC338" s="22"/>
      <c r="CD338" s="22"/>
      <c r="CE338" s="22"/>
      <c r="CF338" s="22"/>
      <c r="CG338" s="22"/>
      <c r="CH338" s="22"/>
      <c r="CI338" s="22"/>
      <c r="CJ338" s="22"/>
      <c r="CK338" s="22"/>
      <c r="CL338" s="22"/>
      <c r="CM338" s="22"/>
      <c r="CN338" s="22"/>
      <c r="CO338" s="22"/>
      <c r="CP338" s="22"/>
      <c r="CQ338" s="22"/>
      <c r="CR338" s="22"/>
      <c r="CS338" s="22"/>
      <c r="CT338" s="22"/>
      <c r="CU338" s="22"/>
      <c r="CV338" s="22"/>
      <c r="CW338" s="22"/>
      <c r="CX338" s="22"/>
      <c r="CY338" s="22"/>
      <c r="CZ338" s="22"/>
      <c r="DA338" s="22"/>
      <c r="DB338" s="22"/>
      <c r="DC338" s="22"/>
      <c r="DD338" s="22"/>
      <c r="DE338" s="22"/>
      <c r="DF338" s="22"/>
      <c r="DG338" s="22"/>
      <c r="DH338" s="22"/>
      <c r="DI338" s="22"/>
      <c r="DJ338" s="22"/>
      <c r="DK338" s="22"/>
      <c r="DL338" s="22"/>
      <c r="DM338" s="22"/>
      <c r="DN338" s="22"/>
      <c r="DO338" s="22"/>
      <c r="DP338" s="22"/>
      <c r="DQ338" s="22"/>
      <c r="DR338" s="22"/>
      <c r="DS338" s="22"/>
      <c r="DT338" s="22"/>
      <c r="DU338" s="22"/>
      <c r="DV338" s="22"/>
      <c r="DW338" s="22"/>
      <c r="DX338" s="22"/>
      <c r="DY338" s="22"/>
      <c r="DZ338" s="22"/>
      <c r="EA338" s="22"/>
      <c r="EB338" s="22"/>
      <c r="EC338" s="22"/>
      <c r="ED338" s="22"/>
      <c r="EE338" s="22"/>
      <c r="EF338" s="22"/>
      <c r="EG338" s="22"/>
      <c r="EH338" s="22"/>
      <c r="EI338" s="22"/>
      <c r="EJ338" s="22"/>
      <c r="EK338" s="22"/>
      <c r="EL338" s="22"/>
      <c r="EM338" s="22"/>
      <c r="EN338" s="22"/>
      <c r="EO338" s="22"/>
      <c r="EP338" s="22"/>
      <c r="EQ338" s="22"/>
      <c r="ER338" s="22"/>
      <c r="ES338" s="22"/>
      <c r="ET338" s="22"/>
      <c r="EU338" s="22"/>
      <c r="EV338" s="22"/>
      <c r="EW338" s="22"/>
      <c r="EX338" s="22"/>
      <c r="EY338" s="22"/>
      <c r="EZ338" s="22"/>
      <c r="FA338" s="22"/>
      <c r="FB338" s="22"/>
      <c r="FC338" s="22"/>
      <c r="FD338" s="22"/>
      <c r="FE338" s="22"/>
      <c r="FF338" s="22"/>
      <c r="FG338" s="22"/>
      <c r="FH338" s="22"/>
      <c r="FI338" s="22"/>
      <c r="FJ338" s="22"/>
      <c r="FK338" s="22"/>
      <c r="FL338" s="22"/>
      <c r="FM338" s="22"/>
      <c r="FN338" s="22"/>
      <c r="FO338" s="22"/>
      <c r="FP338" s="22"/>
      <c r="FQ338" s="22"/>
      <c r="FR338" s="22"/>
      <c r="FS338" s="22"/>
      <c r="FT338" s="22"/>
      <c r="FU338" s="22"/>
      <c r="FV338" s="22"/>
      <c r="FW338" s="22"/>
      <c r="FX338" s="22"/>
      <c r="FY338" s="22"/>
      <c r="FZ338" s="22"/>
    </row>
    <row r="339" spans="2:182" x14ac:dyDescent="0.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c r="Z339" s="22"/>
      <c r="AA339" s="22"/>
      <c r="AB339" s="22"/>
      <c r="AC339" s="22"/>
      <c r="AD339" s="22"/>
      <c r="AE339" s="22"/>
      <c r="AF339" s="22"/>
      <c r="AG339" s="22"/>
      <c r="AH339" s="22"/>
      <c r="AI339" s="22"/>
      <c r="AJ339" s="22"/>
      <c r="AK339" s="22"/>
      <c r="AL339" s="22"/>
      <c r="AM339" s="22"/>
      <c r="AN339" s="22"/>
      <c r="AO339" s="22"/>
      <c r="AP339" s="22"/>
      <c r="AQ339" s="22"/>
      <c r="AR339" s="22"/>
      <c r="AS339" s="22"/>
      <c r="AT339" s="22"/>
      <c r="AU339" s="22"/>
      <c r="AV339" s="22"/>
      <c r="AW339" s="22"/>
      <c r="AX339" s="22"/>
      <c r="AY339" s="22"/>
      <c r="AZ339" s="22"/>
      <c r="BA339" s="22"/>
      <c r="BB339" s="22"/>
      <c r="BC339" s="22"/>
      <c r="BD339" s="22"/>
      <c r="BE339" s="22"/>
      <c r="BF339" s="22"/>
      <c r="BG339" s="22"/>
      <c r="BH339" s="22"/>
      <c r="BI339" s="22"/>
      <c r="BJ339" s="22"/>
      <c r="BK339" s="22"/>
      <c r="BL339" s="22"/>
      <c r="BM339" s="22"/>
      <c r="BN339" s="22"/>
      <c r="BO339" s="22"/>
      <c r="BP339" s="22"/>
      <c r="BQ339" s="22"/>
      <c r="BR339" s="22"/>
      <c r="BS339" s="22"/>
      <c r="BT339" s="22"/>
      <c r="BU339" s="22"/>
      <c r="BV339" s="22"/>
      <c r="BW339" s="22"/>
      <c r="BX339" s="22"/>
      <c r="BY339" s="22"/>
      <c r="BZ339" s="22"/>
      <c r="CA339" s="22"/>
      <c r="CB339" s="22"/>
      <c r="CC339" s="22"/>
      <c r="CD339" s="22"/>
      <c r="CE339" s="22"/>
      <c r="CF339" s="22"/>
      <c r="CG339" s="22"/>
      <c r="CH339" s="22"/>
      <c r="CI339" s="22"/>
      <c r="CJ339" s="22"/>
      <c r="CK339" s="22"/>
      <c r="CL339" s="22"/>
      <c r="CM339" s="22"/>
      <c r="CN339" s="22"/>
      <c r="CO339" s="22"/>
      <c r="CP339" s="22"/>
      <c r="CQ339" s="22"/>
      <c r="CR339" s="22"/>
      <c r="CS339" s="22"/>
      <c r="CT339" s="22"/>
      <c r="CU339" s="22"/>
      <c r="CV339" s="22"/>
      <c r="CW339" s="22"/>
      <c r="CX339" s="22"/>
      <c r="CY339" s="22"/>
      <c r="CZ339" s="22"/>
      <c r="DA339" s="22"/>
      <c r="DB339" s="22"/>
      <c r="DC339" s="22"/>
      <c r="DD339" s="22"/>
      <c r="DE339" s="22"/>
      <c r="DF339" s="22"/>
      <c r="DG339" s="22"/>
      <c r="DH339" s="22"/>
      <c r="DI339" s="22"/>
      <c r="DJ339" s="22"/>
      <c r="DK339" s="22"/>
      <c r="DL339" s="22"/>
      <c r="DM339" s="22"/>
      <c r="DN339" s="22"/>
      <c r="DO339" s="22"/>
      <c r="DP339" s="22"/>
      <c r="DQ339" s="22"/>
      <c r="DR339" s="22"/>
      <c r="DS339" s="22"/>
      <c r="DT339" s="22"/>
      <c r="DU339" s="22"/>
      <c r="DV339" s="22"/>
      <c r="DW339" s="22"/>
      <c r="DX339" s="22"/>
      <c r="DY339" s="22"/>
      <c r="DZ339" s="22"/>
      <c r="EA339" s="22"/>
      <c r="EB339" s="22"/>
      <c r="EC339" s="22"/>
      <c r="ED339" s="22"/>
      <c r="EE339" s="22"/>
      <c r="EF339" s="22"/>
      <c r="EG339" s="22"/>
      <c r="EH339" s="22"/>
      <c r="EI339" s="22"/>
      <c r="EJ339" s="22"/>
      <c r="EK339" s="22"/>
      <c r="EL339" s="22"/>
      <c r="EM339" s="22"/>
      <c r="EN339" s="22"/>
      <c r="EO339" s="22"/>
      <c r="EP339" s="22"/>
      <c r="EQ339" s="22"/>
      <c r="ER339" s="22"/>
      <c r="ES339" s="22"/>
      <c r="ET339" s="22"/>
      <c r="EU339" s="22"/>
      <c r="EV339" s="22"/>
      <c r="EW339" s="22"/>
      <c r="EX339" s="22"/>
      <c r="EY339" s="22"/>
      <c r="EZ339" s="22"/>
      <c r="FA339" s="22"/>
      <c r="FB339" s="22"/>
      <c r="FC339" s="22"/>
      <c r="FD339" s="22"/>
      <c r="FE339" s="22"/>
      <c r="FF339" s="22"/>
      <c r="FG339" s="22"/>
      <c r="FH339" s="22"/>
      <c r="FI339" s="22"/>
      <c r="FJ339" s="22"/>
      <c r="FK339" s="22"/>
      <c r="FL339" s="22"/>
      <c r="FM339" s="22"/>
      <c r="FN339" s="22"/>
      <c r="FO339" s="22"/>
      <c r="FP339" s="22"/>
      <c r="FQ339" s="22"/>
      <c r="FR339" s="22"/>
      <c r="FS339" s="22"/>
      <c r="FT339" s="22"/>
      <c r="FU339" s="22"/>
      <c r="FV339" s="22"/>
      <c r="FW339" s="22"/>
      <c r="FX339" s="22"/>
      <c r="FY339" s="22"/>
      <c r="FZ339" s="22"/>
    </row>
    <row r="340" spans="2:182" x14ac:dyDescent="0.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c r="Z340" s="22"/>
      <c r="AA340" s="22"/>
      <c r="AB340" s="22"/>
      <c r="AC340" s="22"/>
      <c r="AD340" s="22"/>
      <c r="AE340" s="22"/>
      <c r="AF340" s="22"/>
      <c r="AG340" s="22"/>
      <c r="AH340" s="22"/>
      <c r="AI340" s="22"/>
      <c r="AJ340" s="22"/>
      <c r="AK340" s="22"/>
      <c r="AL340" s="22"/>
      <c r="AM340" s="22"/>
      <c r="AN340" s="22"/>
      <c r="AO340" s="22"/>
      <c r="AP340" s="22"/>
      <c r="AQ340" s="22"/>
      <c r="AR340" s="22"/>
      <c r="AS340" s="22"/>
      <c r="AT340" s="22"/>
      <c r="AU340" s="22"/>
      <c r="AV340" s="22"/>
      <c r="AW340" s="22"/>
      <c r="AX340" s="22"/>
      <c r="AY340" s="22"/>
      <c r="AZ340" s="22"/>
      <c r="BA340" s="22"/>
      <c r="BB340" s="22"/>
      <c r="BC340" s="22"/>
      <c r="BD340" s="22"/>
      <c r="BE340" s="22"/>
      <c r="BF340" s="22"/>
      <c r="BG340" s="22"/>
      <c r="BH340" s="22"/>
      <c r="BI340" s="22"/>
      <c r="BJ340" s="22"/>
      <c r="BK340" s="22"/>
      <c r="BL340" s="22"/>
      <c r="BM340" s="22"/>
      <c r="BN340" s="22"/>
      <c r="BO340" s="22"/>
      <c r="BP340" s="22"/>
      <c r="BQ340" s="22"/>
      <c r="BR340" s="22"/>
      <c r="BS340" s="22"/>
      <c r="BT340" s="22"/>
      <c r="BU340" s="22"/>
      <c r="BV340" s="22"/>
      <c r="BW340" s="22"/>
      <c r="BX340" s="22"/>
      <c r="BY340" s="22"/>
      <c r="BZ340" s="22"/>
      <c r="CA340" s="22"/>
      <c r="CB340" s="22"/>
      <c r="CC340" s="22"/>
      <c r="CD340" s="22"/>
      <c r="CE340" s="22"/>
      <c r="CF340" s="22"/>
      <c r="CG340" s="22"/>
      <c r="CH340" s="22"/>
      <c r="CI340" s="22"/>
      <c r="CJ340" s="22"/>
      <c r="CK340" s="22"/>
      <c r="CL340" s="22"/>
      <c r="CM340" s="22"/>
      <c r="CN340" s="22"/>
      <c r="CO340" s="22"/>
      <c r="CP340" s="22"/>
      <c r="CQ340" s="22"/>
      <c r="CR340" s="22"/>
      <c r="CS340" s="22"/>
      <c r="CT340" s="22"/>
      <c r="CU340" s="22"/>
      <c r="CV340" s="22"/>
      <c r="CW340" s="22"/>
      <c r="CX340" s="22"/>
      <c r="CY340" s="22"/>
      <c r="CZ340" s="22"/>
      <c r="DA340" s="22"/>
      <c r="DB340" s="22"/>
      <c r="DC340" s="22"/>
      <c r="DD340" s="22"/>
      <c r="DE340" s="22"/>
      <c r="DF340" s="22"/>
      <c r="DG340" s="22"/>
      <c r="DH340" s="22"/>
      <c r="DI340" s="22"/>
      <c r="DJ340" s="22"/>
      <c r="DK340" s="22"/>
      <c r="DL340" s="22"/>
      <c r="DM340" s="22"/>
      <c r="DN340" s="22"/>
      <c r="DO340" s="22"/>
      <c r="DP340" s="22"/>
      <c r="DQ340" s="22"/>
      <c r="DR340" s="22"/>
      <c r="DS340" s="22"/>
      <c r="DT340" s="22"/>
      <c r="DU340" s="22"/>
      <c r="DV340" s="22"/>
      <c r="DW340" s="22"/>
      <c r="DX340" s="22"/>
      <c r="DY340" s="22"/>
      <c r="DZ340" s="22"/>
      <c r="EA340" s="22"/>
      <c r="EB340" s="22"/>
      <c r="EC340" s="22"/>
      <c r="ED340" s="22"/>
      <c r="EE340" s="22"/>
      <c r="EF340" s="22"/>
      <c r="EG340" s="22"/>
      <c r="EH340" s="22"/>
      <c r="EI340" s="22"/>
      <c r="EJ340" s="22"/>
      <c r="EK340" s="22"/>
      <c r="EL340" s="22"/>
      <c r="EM340" s="22"/>
      <c r="EN340" s="22"/>
      <c r="EO340" s="22"/>
      <c r="EP340" s="22"/>
      <c r="EQ340" s="22"/>
      <c r="ER340" s="22"/>
      <c r="ES340" s="22"/>
      <c r="ET340" s="22"/>
      <c r="EU340" s="22"/>
      <c r="EV340" s="22"/>
      <c r="EW340" s="22"/>
      <c r="EX340" s="22"/>
      <c r="EY340" s="22"/>
      <c r="EZ340" s="22"/>
      <c r="FA340" s="22"/>
      <c r="FB340" s="22"/>
      <c r="FC340" s="22"/>
      <c r="FD340" s="22"/>
      <c r="FE340" s="22"/>
      <c r="FF340" s="22"/>
      <c r="FG340" s="22"/>
      <c r="FH340" s="22"/>
      <c r="FI340" s="22"/>
      <c r="FJ340" s="22"/>
      <c r="FK340" s="22"/>
      <c r="FL340" s="22"/>
      <c r="FM340" s="22"/>
      <c r="FN340" s="22"/>
      <c r="FO340" s="22"/>
      <c r="FP340" s="22"/>
      <c r="FQ340" s="22"/>
      <c r="FR340" s="22"/>
      <c r="FS340" s="22"/>
      <c r="FT340" s="22"/>
      <c r="FU340" s="22"/>
      <c r="FV340" s="22"/>
      <c r="FW340" s="22"/>
      <c r="FX340" s="22"/>
      <c r="FY340" s="22"/>
      <c r="FZ340" s="22"/>
    </row>
    <row r="341" spans="2:182" x14ac:dyDescent="0.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c r="Z341" s="22"/>
      <c r="AA341" s="22"/>
      <c r="AB341" s="22"/>
      <c r="AC341" s="22"/>
      <c r="AD341" s="22"/>
      <c r="AE341" s="22"/>
      <c r="AF341" s="22"/>
      <c r="AG341" s="22"/>
      <c r="AH341" s="22"/>
      <c r="AI341" s="22"/>
      <c r="AJ341" s="22"/>
      <c r="AK341" s="22"/>
      <c r="AL341" s="22"/>
      <c r="AM341" s="22"/>
      <c r="AN341" s="22"/>
      <c r="AO341" s="22"/>
      <c r="AP341" s="22"/>
      <c r="AQ341" s="22"/>
      <c r="AR341" s="22"/>
      <c r="AS341" s="22"/>
      <c r="AT341" s="22"/>
      <c r="AU341" s="22"/>
      <c r="AV341" s="22"/>
      <c r="AW341" s="22"/>
      <c r="AX341" s="22"/>
      <c r="AY341" s="22"/>
      <c r="AZ341" s="22"/>
      <c r="BA341" s="22"/>
      <c r="BB341" s="22"/>
      <c r="BC341" s="22"/>
      <c r="BD341" s="22"/>
      <c r="BE341" s="22"/>
      <c r="BF341" s="22"/>
      <c r="BG341" s="22"/>
      <c r="BH341" s="22"/>
      <c r="BI341" s="22"/>
      <c r="BJ341" s="22"/>
      <c r="BK341" s="22"/>
      <c r="BL341" s="22"/>
      <c r="BM341" s="22"/>
      <c r="BN341" s="22"/>
      <c r="BO341" s="22"/>
      <c r="BP341" s="22"/>
      <c r="BQ341" s="22"/>
      <c r="BR341" s="22"/>
      <c r="BS341" s="22"/>
      <c r="BT341" s="22"/>
      <c r="BU341" s="22"/>
      <c r="BV341" s="22"/>
      <c r="BW341" s="22"/>
      <c r="BX341" s="22"/>
      <c r="BY341" s="22"/>
      <c r="BZ341" s="22"/>
      <c r="CA341" s="22"/>
      <c r="CB341" s="22"/>
      <c r="CC341" s="22"/>
      <c r="CD341" s="22"/>
      <c r="CE341" s="22"/>
      <c r="CF341" s="22"/>
      <c r="CG341" s="22"/>
      <c r="CH341" s="22"/>
      <c r="CI341" s="22"/>
      <c r="CJ341" s="22"/>
      <c r="CK341" s="22"/>
      <c r="CL341" s="22"/>
      <c r="CM341" s="22"/>
      <c r="CN341" s="22"/>
      <c r="CO341" s="22"/>
      <c r="CP341" s="22"/>
      <c r="CQ341" s="22"/>
      <c r="CR341" s="22"/>
      <c r="CS341" s="22"/>
      <c r="CT341" s="22"/>
      <c r="CU341" s="22"/>
      <c r="CV341" s="22"/>
      <c r="CW341" s="22"/>
      <c r="CX341" s="22"/>
      <c r="CY341" s="22"/>
      <c r="CZ341" s="22"/>
      <c r="DA341" s="22"/>
      <c r="DB341" s="22"/>
      <c r="DC341" s="22"/>
      <c r="DD341" s="22"/>
      <c r="DE341" s="22"/>
      <c r="DF341" s="22"/>
      <c r="DG341" s="22"/>
      <c r="DH341" s="22"/>
      <c r="DI341" s="22"/>
      <c r="DJ341" s="22"/>
      <c r="DK341" s="22"/>
      <c r="DL341" s="22"/>
      <c r="DM341" s="22"/>
      <c r="DN341" s="22"/>
      <c r="DO341" s="22"/>
      <c r="DP341" s="22"/>
      <c r="DQ341" s="22"/>
      <c r="DR341" s="22"/>
      <c r="DS341" s="22"/>
      <c r="DT341" s="22"/>
      <c r="DU341" s="22"/>
      <c r="DV341" s="22"/>
      <c r="DW341" s="22"/>
      <c r="DX341" s="22"/>
      <c r="DY341" s="22"/>
      <c r="DZ341" s="22"/>
      <c r="EA341" s="22"/>
      <c r="EB341" s="22"/>
      <c r="EC341" s="22"/>
      <c r="ED341" s="22"/>
      <c r="EE341" s="22"/>
      <c r="EF341" s="22"/>
      <c r="EG341" s="22"/>
      <c r="EH341" s="22"/>
      <c r="EI341" s="22"/>
      <c r="EJ341" s="22"/>
      <c r="EK341" s="22"/>
      <c r="EL341" s="22"/>
      <c r="EM341" s="22"/>
      <c r="EN341" s="22"/>
      <c r="EO341" s="22"/>
      <c r="EP341" s="22"/>
      <c r="EQ341" s="22"/>
      <c r="ER341" s="22"/>
      <c r="ES341" s="22"/>
      <c r="ET341" s="22"/>
      <c r="EU341" s="22"/>
      <c r="EV341" s="22"/>
      <c r="EW341" s="22"/>
      <c r="EX341" s="22"/>
      <c r="EY341" s="22"/>
      <c r="EZ341" s="22"/>
      <c r="FA341" s="22"/>
      <c r="FB341" s="22"/>
      <c r="FC341" s="22"/>
      <c r="FD341" s="22"/>
      <c r="FE341" s="22"/>
      <c r="FF341" s="22"/>
      <c r="FG341" s="22"/>
      <c r="FH341" s="22"/>
      <c r="FI341" s="22"/>
      <c r="FJ341" s="22"/>
      <c r="FK341" s="22"/>
      <c r="FL341" s="22"/>
      <c r="FM341" s="22"/>
      <c r="FN341" s="22"/>
      <c r="FO341" s="22"/>
      <c r="FP341" s="22"/>
      <c r="FQ341" s="22"/>
      <c r="FR341" s="22"/>
      <c r="FS341" s="22"/>
      <c r="FT341" s="22"/>
      <c r="FU341" s="22"/>
      <c r="FV341" s="22"/>
      <c r="FW341" s="22"/>
      <c r="FX341" s="22"/>
      <c r="FY341" s="22"/>
      <c r="FZ341" s="22"/>
    </row>
    <row r="342" spans="2:182" x14ac:dyDescent="0.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c r="Z342" s="22"/>
      <c r="AA342" s="22"/>
      <c r="AB342" s="22"/>
      <c r="AC342" s="22"/>
      <c r="AD342" s="22"/>
      <c r="AE342" s="22"/>
      <c r="AF342" s="22"/>
      <c r="AG342" s="22"/>
      <c r="AH342" s="22"/>
      <c r="AI342" s="22"/>
      <c r="AJ342" s="22"/>
      <c r="AK342" s="22"/>
      <c r="AL342" s="22"/>
      <c r="AM342" s="22"/>
      <c r="AN342" s="22"/>
      <c r="AO342" s="22"/>
      <c r="AP342" s="22"/>
      <c r="AQ342" s="22"/>
      <c r="AR342" s="22"/>
      <c r="AS342" s="22"/>
      <c r="AT342" s="22"/>
      <c r="AU342" s="22"/>
      <c r="AV342" s="22"/>
      <c r="AW342" s="22"/>
      <c r="AX342" s="22"/>
      <c r="AY342" s="22"/>
      <c r="AZ342" s="22"/>
      <c r="BA342" s="22"/>
      <c r="BB342" s="22"/>
      <c r="BC342" s="22"/>
      <c r="BD342" s="22"/>
      <c r="BE342" s="22"/>
      <c r="BF342" s="22"/>
      <c r="BG342" s="22"/>
      <c r="BH342" s="22"/>
      <c r="BI342" s="22"/>
      <c r="BJ342" s="22"/>
      <c r="BK342" s="22"/>
      <c r="BL342" s="22"/>
      <c r="BM342" s="22"/>
      <c r="BN342" s="22"/>
      <c r="BO342" s="22"/>
      <c r="BP342" s="22"/>
      <c r="BQ342" s="22"/>
      <c r="BR342" s="22"/>
      <c r="BS342" s="22"/>
      <c r="BT342" s="22"/>
      <c r="BU342" s="22"/>
      <c r="BV342" s="22"/>
      <c r="BW342" s="22"/>
      <c r="BX342" s="22"/>
      <c r="BY342" s="22"/>
      <c r="BZ342" s="22"/>
      <c r="CA342" s="22"/>
      <c r="CB342" s="22"/>
      <c r="CC342" s="22"/>
      <c r="CD342" s="22"/>
      <c r="CE342" s="22"/>
      <c r="CF342" s="22"/>
      <c r="CG342" s="22"/>
      <c r="CH342" s="22"/>
      <c r="CI342" s="22"/>
      <c r="CJ342" s="22"/>
      <c r="CK342" s="22"/>
      <c r="CL342" s="22"/>
      <c r="CM342" s="22"/>
      <c r="CN342" s="22"/>
      <c r="CO342" s="22"/>
      <c r="CP342" s="22"/>
      <c r="CQ342" s="22"/>
      <c r="CR342" s="22"/>
      <c r="CS342" s="22"/>
      <c r="CT342" s="22"/>
      <c r="CU342" s="22"/>
      <c r="CV342" s="22"/>
      <c r="CW342" s="22"/>
      <c r="CX342" s="22"/>
      <c r="CY342" s="22"/>
      <c r="CZ342" s="22"/>
      <c r="DA342" s="22"/>
      <c r="DB342" s="22"/>
      <c r="DC342" s="22"/>
      <c r="DD342" s="22"/>
      <c r="DE342" s="22"/>
      <c r="DF342" s="22"/>
      <c r="DG342" s="22"/>
      <c r="DH342" s="22"/>
      <c r="DI342" s="22"/>
      <c r="DJ342" s="22"/>
      <c r="DK342" s="22"/>
      <c r="DL342" s="22"/>
      <c r="DM342" s="22"/>
      <c r="DN342" s="22"/>
      <c r="DO342" s="22"/>
      <c r="DP342" s="22"/>
      <c r="DQ342" s="22"/>
      <c r="DR342" s="22"/>
      <c r="DS342" s="22"/>
      <c r="DT342" s="22"/>
      <c r="DU342" s="22"/>
      <c r="DV342" s="22"/>
      <c r="DW342" s="22"/>
      <c r="DX342" s="22"/>
      <c r="DY342" s="22"/>
      <c r="DZ342" s="22"/>
      <c r="EA342" s="22"/>
      <c r="EB342" s="22"/>
      <c r="EC342" s="22"/>
      <c r="ED342" s="22"/>
      <c r="EE342" s="22"/>
      <c r="EF342" s="22"/>
      <c r="EG342" s="22"/>
      <c r="EH342" s="22"/>
      <c r="EI342" s="22"/>
      <c r="EJ342" s="22"/>
      <c r="EK342" s="22"/>
      <c r="EL342" s="22"/>
      <c r="EM342" s="22"/>
      <c r="EN342" s="22"/>
      <c r="EO342" s="22"/>
      <c r="EP342" s="22"/>
      <c r="EQ342" s="22"/>
      <c r="ER342" s="22"/>
      <c r="ES342" s="22"/>
      <c r="ET342" s="22"/>
      <c r="EU342" s="22"/>
      <c r="EV342" s="22"/>
      <c r="EW342" s="22"/>
      <c r="EX342" s="22"/>
      <c r="EY342" s="22"/>
      <c r="EZ342" s="22"/>
      <c r="FA342" s="22"/>
      <c r="FB342" s="22"/>
      <c r="FC342" s="22"/>
      <c r="FD342" s="22"/>
      <c r="FE342" s="22"/>
      <c r="FF342" s="22"/>
      <c r="FG342" s="22"/>
      <c r="FH342" s="22"/>
      <c r="FI342" s="22"/>
      <c r="FJ342" s="22"/>
      <c r="FK342" s="22"/>
      <c r="FL342" s="22"/>
      <c r="FM342" s="22"/>
      <c r="FN342" s="22"/>
      <c r="FO342" s="22"/>
      <c r="FP342" s="22"/>
      <c r="FQ342" s="22"/>
      <c r="FR342" s="22"/>
      <c r="FS342" s="22"/>
      <c r="FT342" s="22"/>
      <c r="FU342" s="22"/>
      <c r="FV342" s="22"/>
      <c r="FW342" s="22"/>
      <c r="FX342" s="22"/>
      <c r="FY342" s="22"/>
      <c r="FZ342" s="22"/>
    </row>
    <row r="343" spans="2:182" x14ac:dyDescent="0.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c r="Z343" s="22"/>
      <c r="AA343" s="22"/>
      <c r="AB343" s="22"/>
      <c r="AC343" s="22"/>
      <c r="AD343" s="22"/>
      <c r="AE343" s="22"/>
      <c r="AF343" s="22"/>
      <c r="AG343" s="22"/>
      <c r="AH343" s="22"/>
      <c r="AI343" s="22"/>
      <c r="AJ343" s="22"/>
      <c r="AK343" s="22"/>
      <c r="AL343" s="22"/>
      <c r="AM343" s="22"/>
      <c r="AN343" s="22"/>
      <c r="AO343" s="22"/>
      <c r="AP343" s="22"/>
      <c r="AQ343" s="22"/>
      <c r="AR343" s="22"/>
      <c r="AS343" s="22"/>
      <c r="AT343" s="22"/>
      <c r="AU343" s="22"/>
      <c r="AV343" s="22"/>
      <c r="AW343" s="22"/>
      <c r="AX343" s="22"/>
      <c r="AY343" s="22"/>
      <c r="AZ343" s="22"/>
      <c r="BA343" s="22"/>
      <c r="BB343" s="22"/>
      <c r="BC343" s="22"/>
      <c r="BD343" s="22"/>
      <c r="BE343" s="22"/>
      <c r="BF343" s="22"/>
      <c r="BG343" s="22"/>
      <c r="BH343" s="22"/>
      <c r="BI343" s="22"/>
      <c r="BJ343" s="22"/>
      <c r="BK343" s="22"/>
      <c r="BL343" s="22"/>
      <c r="BM343" s="22"/>
      <c r="BN343" s="22"/>
      <c r="BO343" s="22"/>
      <c r="BP343" s="22"/>
      <c r="BQ343" s="22"/>
      <c r="BR343" s="22"/>
      <c r="BS343" s="22"/>
      <c r="BT343" s="22"/>
      <c r="BU343" s="22"/>
      <c r="BV343" s="22"/>
      <c r="BW343" s="22"/>
      <c r="BX343" s="22"/>
      <c r="BY343" s="22"/>
      <c r="BZ343" s="22"/>
      <c r="CA343" s="22"/>
      <c r="CB343" s="22"/>
      <c r="CC343" s="22"/>
      <c r="CD343" s="22"/>
      <c r="CE343" s="22"/>
      <c r="CF343" s="22"/>
      <c r="CG343" s="22"/>
      <c r="CH343" s="22"/>
      <c r="CI343" s="22"/>
      <c r="CJ343" s="22"/>
      <c r="CK343" s="22"/>
      <c r="CL343" s="22"/>
      <c r="CM343" s="22"/>
      <c r="CN343" s="22"/>
      <c r="CO343" s="22"/>
      <c r="CP343" s="22"/>
      <c r="CQ343" s="22"/>
      <c r="CR343" s="22"/>
      <c r="CS343" s="22"/>
      <c r="CT343" s="22"/>
      <c r="CU343" s="22"/>
      <c r="CV343" s="22"/>
      <c r="CW343" s="22"/>
      <c r="CX343" s="22"/>
      <c r="CY343" s="22"/>
      <c r="CZ343" s="22"/>
      <c r="DA343" s="22"/>
      <c r="DB343" s="22"/>
      <c r="DC343" s="22"/>
      <c r="DD343" s="22"/>
      <c r="DE343" s="22"/>
      <c r="DF343" s="22"/>
      <c r="DG343" s="22"/>
      <c r="DH343" s="22"/>
      <c r="DI343" s="22"/>
      <c r="DJ343" s="22"/>
      <c r="DK343" s="22"/>
      <c r="DL343" s="22"/>
      <c r="DM343" s="22"/>
      <c r="DN343" s="22"/>
      <c r="DO343" s="22"/>
      <c r="DP343" s="22"/>
      <c r="DQ343" s="22"/>
      <c r="DR343" s="22"/>
      <c r="DS343" s="22"/>
      <c r="DT343" s="22"/>
      <c r="DU343" s="22"/>
      <c r="DV343" s="22"/>
      <c r="DW343" s="22"/>
      <c r="DX343" s="22"/>
      <c r="DY343" s="22"/>
      <c r="DZ343" s="22"/>
      <c r="EA343" s="22"/>
      <c r="EB343" s="22"/>
      <c r="EC343" s="22"/>
      <c r="ED343" s="22"/>
      <c r="EE343" s="22"/>
      <c r="EF343" s="22"/>
      <c r="EG343" s="22"/>
      <c r="EH343" s="22"/>
      <c r="EI343" s="22"/>
      <c r="EJ343" s="22"/>
      <c r="EK343" s="22"/>
      <c r="EL343" s="22"/>
      <c r="EM343" s="22"/>
      <c r="EN343" s="22"/>
      <c r="EO343" s="22"/>
      <c r="EP343" s="22"/>
      <c r="EQ343" s="22"/>
      <c r="ER343" s="22"/>
      <c r="ES343" s="22"/>
      <c r="ET343" s="22"/>
      <c r="EU343" s="22"/>
      <c r="EV343" s="22"/>
      <c r="EW343" s="22"/>
      <c r="EX343" s="22"/>
      <c r="EY343" s="22"/>
      <c r="EZ343" s="22"/>
      <c r="FA343" s="22"/>
      <c r="FB343" s="22"/>
      <c r="FC343" s="22"/>
      <c r="FD343" s="22"/>
      <c r="FE343" s="22"/>
      <c r="FF343" s="22"/>
      <c r="FG343" s="22"/>
      <c r="FH343" s="22"/>
      <c r="FI343" s="22"/>
      <c r="FJ343" s="22"/>
      <c r="FK343" s="22"/>
      <c r="FL343" s="22"/>
      <c r="FM343" s="22"/>
      <c r="FN343" s="22"/>
      <c r="FO343" s="22"/>
      <c r="FP343" s="22"/>
      <c r="FQ343" s="22"/>
      <c r="FR343" s="22"/>
      <c r="FS343" s="22"/>
      <c r="FT343" s="22"/>
      <c r="FU343" s="22"/>
      <c r="FV343" s="22"/>
      <c r="FW343" s="22"/>
      <c r="FX343" s="22"/>
      <c r="FY343" s="22"/>
      <c r="FZ343" s="22"/>
    </row>
    <row r="344" spans="2:182" x14ac:dyDescent="0.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c r="Z344" s="22"/>
      <c r="AA344" s="22"/>
      <c r="AB344" s="22"/>
      <c r="AC344" s="22"/>
      <c r="AD344" s="22"/>
      <c r="AE344" s="22"/>
      <c r="AF344" s="22"/>
      <c r="AG344" s="22"/>
      <c r="AH344" s="22"/>
      <c r="AI344" s="22"/>
      <c r="AJ344" s="22"/>
      <c r="AK344" s="22"/>
      <c r="AL344" s="22"/>
      <c r="AM344" s="22"/>
      <c r="AN344" s="22"/>
      <c r="AO344" s="22"/>
      <c r="AP344" s="22"/>
      <c r="AQ344" s="22"/>
      <c r="AR344" s="22"/>
      <c r="AS344" s="22"/>
      <c r="AT344" s="22"/>
      <c r="AU344" s="22"/>
      <c r="AV344" s="22"/>
      <c r="AW344" s="22"/>
      <c r="AX344" s="22"/>
      <c r="AY344" s="22"/>
      <c r="AZ344" s="22"/>
      <c r="BA344" s="22"/>
      <c r="BB344" s="22"/>
      <c r="BC344" s="22"/>
      <c r="BD344" s="22"/>
      <c r="BE344" s="22"/>
      <c r="BF344" s="22"/>
      <c r="BG344" s="22"/>
      <c r="BH344" s="22"/>
      <c r="BI344" s="22"/>
      <c r="BJ344" s="22"/>
      <c r="BK344" s="22"/>
      <c r="BL344" s="22"/>
      <c r="BM344" s="22"/>
      <c r="BN344" s="22"/>
      <c r="BO344" s="22"/>
      <c r="BP344" s="22"/>
      <c r="BQ344" s="22"/>
      <c r="BR344" s="22"/>
      <c r="BS344" s="22"/>
      <c r="BT344" s="22"/>
      <c r="BU344" s="22"/>
      <c r="BV344" s="22"/>
      <c r="BW344" s="22"/>
      <c r="BX344" s="22"/>
      <c r="BY344" s="22"/>
      <c r="BZ344" s="22"/>
      <c r="CA344" s="22"/>
      <c r="CB344" s="22"/>
      <c r="CC344" s="22"/>
      <c r="CD344" s="22"/>
      <c r="CE344" s="22"/>
      <c r="CF344" s="22"/>
      <c r="CG344" s="22"/>
      <c r="CH344" s="22"/>
      <c r="CI344" s="22"/>
      <c r="CJ344" s="22"/>
      <c r="CK344" s="22"/>
      <c r="CL344" s="22"/>
      <c r="CM344" s="22"/>
      <c r="CN344" s="22"/>
      <c r="CO344" s="22"/>
      <c r="CP344" s="22"/>
      <c r="CQ344" s="22"/>
      <c r="CR344" s="22"/>
      <c r="CS344" s="22"/>
      <c r="CT344" s="22"/>
      <c r="CU344" s="22"/>
      <c r="CV344" s="22"/>
      <c r="CW344" s="22"/>
      <c r="CX344" s="22"/>
      <c r="CY344" s="22"/>
      <c r="CZ344" s="22"/>
      <c r="DA344" s="22"/>
      <c r="DB344" s="22"/>
      <c r="DC344" s="22"/>
      <c r="DD344" s="22"/>
      <c r="DE344" s="22"/>
      <c r="DF344" s="22"/>
      <c r="DG344" s="22"/>
      <c r="DH344" s="22"/>
      <c r="DI344" s="22"/>
      <c r="DJ344" s="22"/>
      <c r="DK344" s="22"/>
      <c r="DL344" s="22"/>
      <c r="DM344" s="22"/>
      <c r="DN344" s="22"/>
      <c r="DO344" s="22"/>
      <c r="DP344" s="22"/>
      <c r="DQ344" s="22"/>
      <c r="DR344" s="22"/>
      <c r="DS344" s="22"/>
      <c r="DT344" s="22"/>
      <c r="DU344" s="22"/>
      <c r="DV344" s="22"/>
      <c r="DW344" s="22"/>
      <c r="DX344" s="22"/>
      <c r="DY344" s="22"/>
      <c r="DZ344" s="22"/>
      <c r="EA344" s="22"/>
      <c r="EB344" s="22"/>
      <c r="EC344" s="22"/>
      <c r="ED344" s="22"/>
      <c r="EE344" s="22"/>
      <c r="EF344" s="22"/>
      <c r="EG344" s="22"/>
      <c r="EH344" s="22"/>
      <c r="EI344" s="22"/>
      <c r="EJ344" s="22"/>
      <c r="EK344" s="22"/>
      <c r="EL344" s="22"/>
      <c r="EM344" s="22"/>
      <c r="EN344" s="22"/>
      <c r="EO344" s="22"/>
      <c r="EP344" s="22"/>
      <c r="EQ344" s="22"/>
      <c r="ER344" s="22"/>
      <c r="ES344" s="22"/>
      <c r="ET344" s="22"/>
      <c r="EU344" s="22"/>
      <c r="EV344" s="22"/>
      <c r="EW344" s="22"/>
      <c r="EX344" s="22"/>
      <c r="EY344" s="22"/>
      <c r="EZ344" s="22"/>
      <c r="FA344" s="22"/>
      <c r="FB344" s="22"/>
      <c r="FC344" s="22"/>
      <c r="FD344" s="22"/>
      <c r="FE344" s="22"/>
      <c r="FF344" s="22"/>
      <c r="FG344" s="22"/>
      <c r="FH344" s="22"/>
      <c r="FI344" s="22"/>
      <c r="FJ344" s="22"/>
      <c r="FK344" s="22"/>
      <c r="FL344" s="22"/>
      <c r="FM344" s="22"/>
      <c r="FN344" s="22"/>
      <c r="FO344" s="22"/>
      <c r="FP344" s="22"/>
      <c r="FQ344" s="22"/>
      <c r="FR344" s="22"/>
      <c r="FS344" s="22"/>
      <c r="FT344" s="22"/>
      <c r="FU344" s="22"/>
      <c r="FV344" s="22"/>
      <c r="FW344" s="22"/>
      <c r="FX344" s="22"/>
      <c r="FY344" s="22"/>
      <c r="FZ344" s="22"/>
    </row>
    <row r="345" spans="2:182" x14ac:dyDescent="0.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c r="Z345" s="22"/>
      <c r="AA345" s="22"/>
      <c r="AB345" s="22"/>
      <c r="AC345" s="22"/>
      <c r="AD345" s="22"/>
      <c r="AE345" s="22"/>
      <c r="AF345" s="22"/>
      <c r="AG345" s="22"/>
      <c r="AH345" s="22"/>
      <c r="AI345" s="22"/>
      <c r="AJ345" s="22"/>
      <c r="AK345" s="22"/>
      <c r="AL345" s="22"/>
      <c r="AM345" s="22"/>
      <c r="AN345" s="22"/>
      <c r="AO345" s="22"/>
      <c r="AP345" s="22"/>
      <c r="AQ345" s="22"/>
      <c r="AR345" s="22"/>
      <c r="AS345" s="22"/>
      <c r="AT345" s="22"/>
      <c r="AU345" s="22"/>
      <c r="AV345" s="22"/>
      <c r="AW345" s="22"/>
      <c r="AX345" s="22"/>
      <c r="AY345" s="22"/>
      <c r="AZ345" s="22"/>
      <c r="BA345" s="22"/>
      <c r="BB345" s="22"/>
      <c r="BC345" s="22"/>
      <c r="BD345" s="22"/>
      <c r="BE345" s="22"/>
      <c r="BF345" s="22"/>
      <c r="BG345" s="22"/>
      <c r="BH345" s="22"/>
      <c r="BI345" s="22"/>
      <c r="BJ345" s="22"/>
      <c r="BK345" s="22"/>
      <c r="BL345" s="22"/>
      <c r="BM345" s="22"/>
      <c r="BN345" s="22"/>
      <c r="BO345" s="22"/>
      <c r="BP345" s="22"/>
      <c r="BQ345" s="22"/>
      <c r="BR345" s="22"/>
      <c r="BS345" s="22"/>
      <c r="BT345" s="22"/>
      <c r="BU345" s="22"/>
      <c r="BV345" s="22"/>
      <c r="BW345" s="22"/>
      <c r="BX345" s="22"/>
      <c r="BY345" s="22"/>
      <c r="BZ345" s="22"/>
      <c r="CA345" s="22"/>
      <c r="CB345" s="22"/>
      <c r="CC345" s="22"/>
      <c r="CD345" s="22"/>
      <c r="CE345" s="22"/>
      <c r="CF345" s="22"/>
      <c r="CG345" s="22"/>
      <c r="CH345" s="22"/>
      <c r="CI345" s="22"/>
      <c r="CJ345" s="22"/>
      <c r="CK345" s="22"/>
      <c r="CL345" s="22"/>
      <c r="CM345" s="22"/>
      <c r="CN345" s="22"/>
      <c r="CO345" s="22"/>
      <c r="CP345" s="22"/>
      <c r="CQ345" s="22"/>
      <c r="CR345" s="22"/>
      <c r="CS345" s="22"/>
      <c r="CT345" s="22"/>
      <c r="CU345" s="22"/>
      <c r="CV345" s="22"/>
      <c r="CW345" s="22"/>
      <c r="CX345" s="22"/>
      <c r="CY345" s="22"/>
      <c r="CZ345" s="22"/>
      <c r="DA345" s="22"/>
      <c r="DB345" s="22"/>
      <c r="DC345" s="22"/>
      <c r="DD345" s="22"/>
      <c r="DE345" s="22"/>
      <c r="DF345" s="22"/>
      <c r="DG345" s="22"/>
      <c r="DH345" s="22"/>
      <c r="DI345" s="22"/>
      <c r="DJ345" s="22"/>
      <c r="DK345" s="22"/>
      <c r="DL345" s="22"/>
      <c r="DM345" s="22"/>
      <c r="DN345" s="22"/>
      <c r="DO345" s="22"/>
      <c r="DP345" s="22"/>
      <c r="DQ345" s="22"/>
      <c r="DR345" s="22"/>
      <c r="DS345" s="22"/>
      <c r="DT345" s="22"/>
      <c r="DU345" s="22"/>
      <c r="DV345" s="22"/>
      <c r="DW345" s="22"/>
      <c r="DX345" s="22"/>
      <c r="DY345" s="22"/>
      <c r="DZ345" s="22"/>
      <c r="EA345" s="22"/>
      <c r="EB345" s="22"/>
      <c r="EC345" s="22"/>
      <c r="ED345" s="22"/>
      <c r="EE345" s="22"/>
      <c r="EF345" s="22"/>
      <c r="EG345" s="22"/>
      <c r="EH345" s="22"/>
      <c r="EI345" s="22"/>
      <c r="EJ345" s="22"/>
      <c r="EK345" s="22"/>
      <c r="EL345" s="22"/>
      <c r="EM345" s="22"/>
      <c r="EN345" s="22"/>
      <c r="EO345" s="22"/>
      <c r="EP345" s="22"/>
      <c r="EQ345" s="22"/>
      <c r="ER345" s="22"/>
      <c r="ES345" s="22"/>
      <c r="ET345" s="22"/>
      <c r="EU345" s="22"/>
      <c r="EV345" s="22"/>
      <c r="EW345" s="22"/>
      <c r="EX345" s="22"/>
      <c r="EY345" s="22"/>
      <c r="EZ345" s="22"/>
      <c r="FA345" s="22"/>
      <c r="FB345" s="22"/>
      <c r="FC345" s="22"/>
      <c r="FD345" s="22"/>
      <c r="FE345" s="22"/>
      <c r="FF345" s="22"/>
      <c r="FG345" s="22"/>
      <c r="FH345" s="22"/>
      <c r="FI345" s="22"/>
      <c r="FJ345" s="22"/>
      <c r="FK345" s="22"/>
      <c r="FL345" s="22"/>
      <c r="FM345" s="22"/>
      <c r="FN345" s="22"/>
      <c r="FO345" s="22"/>
      <c r="FP345" s="22"/>
      <c r="FQ345" s="22"/>
      <c r="FR345" s="22"/>
      <c r="FS345" s="22"/>
      <c r="FT345" s="22"/>
      <c r="FU345" s="22"/>
      <c r="FV345" s="22"/>
      <c r="FW345" s="22"/>
      <c r="FX345" s="22"/>
      <c r="FY345" s="22"/>
      <c r="FZ345" s="22"/>
    </row>
    <row r="346" spans="2:182" x14ac:dyDescent="0.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c r="Z346" s="22"/>
      <c r="AA346" s="22"/>
      <c r="AB346" s="22"/>
      <c r="AC346" s="22"/>
      <c r="AD346" s="22"/>
      <c r="AE346" s="22"/>
      <c r="AF346" s="22"/>
      <c r="AG346" s="22"/>
      <c r="AH346" s="22"/>
      <c r="AI346" s="22"/>
      <c r="AJ346" s="22"/>
      <c r="AK346" s="22"/>
      <c r="AL346" s="22"/>
      <c r="AM346" s="22"/>
      <c r="AN346" s="22"/>
      <c r="AO346" s="22"/>
      <c r="AP346" s="22"/>
      <c r="AQ346" s="22"/>
      <c r="AR346" s="22"/>
      <c r="AS346" s="22"/>
      <c r="AT346" s="22"/>
      <c r="AU346" s="22"/>
      <c r="AV346" s="22"/>
      <c r="AW346" s="22"/>
      <c r="AX346" s="22"/>
      <c r="AY346" s="22"/>
      <c r="AZ346" s="22"/>
      <c r="BA346" s="22"/>
      <c r="BB346" s="22"/>
      <c r="BC346" s="22"/>
      <c r="BD346" s="22"/>
      <c r="BE346" s="22"/>
      <c r="BF346" s="22"/>
      <c r="BG346" s="22"/>
      <c r="BH346" s="22"/>
      <c r="BI346" s="22"/>
      <c r="BJ346" s="22"/>
      <c r="BK346" s="22"/>
      <c r="BL346" s="22"/>
      <c r="BM346" s="22"/>
      <c r="BN346" s="22"/>
      <c r="BO346" s="22"/>
      <c r="BP346" s="22"/>
      <c r="BQ346" s="22"/>
      <c r="BR346" s="22"/>
      <c r="BS346" s="22"/>
      <c r="BT346" s="22"/>
      <c r="BU346" s="22"/>
      <c r="BV346" s="22"/>
      <c r="BW346" s="22"/>
      <c r="BX346" s="22"/>
      <c r="BY346" s="22"/>
      <c r="BZ346" s="22"/>
      <c r="CA346" s="22"/>
      <c r="CB346" s="22"/>
      <c r="CC346" s="22"/>
      <c r="CD346" s="22"/>
      <c r="CE346" s="22"/>
      <c r="CF346" s="22"/>
      <c r="CG346" s="22"/>
      <c r="CH346" s="22"/>
      <c r="CI346" s="22"/>
      <c r="CJ346" s="22"/>
      <c r="CK346" s="22"/>
      <c r="CL346" s="22"/>
      <c r="CM346" s="22"/>
      <c r="CN346" s="22"/>
      <c r="CO346" s="22"/>
      <c r="CP346" s="22"/>
      <c r="CQ346" s="22"/>
      <c r="CR346" s="22"/>
      <c r="CS346" s="22"/>
      <c r="CT346" s="22"/>
      <c r="CU346" s="22"/>
      <c r="CV346" s="22"/>
      <c r="CW346" s="22"/>
      <c r="CX346" s="22"/>
      <c r="CY346" s="22"/>
      <c r="CZ346" s="22"/>
      <c r="DA346" s="22"/>
      <c r="DB346" s="22"/>
      <c r="DC346" s="22"/>
      <c r="DD346" s="22"/>
      <c r="DE346" s="22"/>
      <c r="DF346" s="22"/>
      <c r="DG346" s="22"/>
      <c r="DH346" s="22"/>
      <c r="DI346" s="22"/>
      <c r="DJ346" s="22"/>
      <c r="DK346" s="22"/>
      <c r="DL346" s="22"/>
      <c r="DM346" s="22"/>
      <c r="DN346" s="22"/>
      <c r="DO346" s="22"/>
      <c r="DP346" s="22"/>
      <c r="DQ346" s="22"/>
      <c r="DR346" s="22"/>
      <c r="DS346" s="22"/>
      <c r="DT346" s="22"/>
      <c r="DU346" s="22"/>
      <c r="DV346" s="22"/>
      <c r="DW346" s="22"/>
      <c r="DX346" s="22"/>
      <c r="DY346" s="22"/>
      <c r="DZ346" s="22"/>
      <c r="EA346" s="22"/>
      <c r="EB346" s="22"/>
      <c r="EC346" s="22"/>
      <c r="ED346" s="22"/>
      <c r="EE346" s="22"/>
      <c r="EF346" s="22"/>
      <c r="EG346" s="22"/>
      <c r="EH346" s="22"/>
      <c r="EI346" s="22"/>
      <c r="EJ346" s="22"/>
      <c r="EK346" s="22"/>
      <c r="EL346" s="22"/>
      <c r="EM346" s="22"/>
      <c r="EN346" s="22"/>
      <c r="EO346" s="22"/>
      <c r="EP346" s="22"/>
      <c r="EQ346" s="22"/>
      <c r="ER346" s="22"/>
      <c r="ES346" s="22"/>
      <c r="ET346" s="22"/>
      <c r="EU346" s="22"/>
      <c r="EV346" s="22"/>
      <c r="EW346" s="22"/>
      <c r="EX346" s="22"/>
      <c r="EY346" s="22"/>
      <c r="EZ346" s="22"/>
      <c r="FA346" s="22"/>
      <c r="FB346" s="22"/>
      <c r="FC346" s="22"/>
      <c r="FD346" s="22"/>
      <c r="FE346" s="22"/>
      <c r="FF346" s="22"/>
      <c r="FG346" s="22"/>
      <c r="FH346" s="22"/>
      <c r="FI346" s="22"/>
      <c r="FJ346" s="22"/>
      <c r="FK346" s="22"/>
      <c r="FL346" s="22"/>
      <c r="FM346" s="22"/>
      <c r="FN346" s="22"/>
      <c r="FO346" s="22"/>
      <c r="FP346" s="22"/>
      <c r="FQ346" s="22"/>
      <c r="FR346" s="22"/>
      <c r="FS346" s="22"/>
      <c r="FT346" s="22"/>
      <c r="FU346" s="22"/>
      <c r="FV346" s="22"/>
      <c r="FW346" s="22"/>
      <c r="FX346" s="22"/>
      <c r="FY346" s="22"/>
      <c r="FZ346" s="22"/>
    </row>
    <row r="347" spans="2:182" x14ac:dyDescent="0.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c r="Z347" s="22"/>
      <c r="AA347" s="22"/>
      <c r="AB347" s="22"/>
      <c r="AC347" s="22"/>
      <c r="AD347" s="22"/>
      <c r="AE347" s="22"/>
      <c r="AF347" s="22"/>
      <c r="AG347" s="22"/>
      <c r="AH347" s="22"/>
      <c r="AI347" s="22"/>
      <c r="AJ347" s="22"/>
      <c r="AK347" s="22"/>
      <c r="AL347" s="22"/>
      <c r="AM347" s="22"/>
      <c r="AN347" s="22"/>
      <c r="AO347" s="22"/>
      <c r="AP347" s="22"/>
      <c r="AQ347" s="22"/>
      <c r="AR347" s="22"/>
      <c r="AS347" s="22"/>
      <c r="AT347" s="22"/>
      <c r="AU347" s="22"/>
      <c r="AV347" s="22"/>
      <c r="AW347" s="22"/>
      <c r="AX347" s="22"/>
      <c r="AY347" s="22"/>
      <c r="AZ347" s="22"/>
      <c r="BA347" s="22"/>
      <c r="BB347" s="22"/>
      <c r="BC347" s="22"/>
      <c r="BD347" s="22"/>
      <c r="BE347" s="22"/>
      <c r="BF347" s="22"/>
      <c r="BG347" s="22"/>
      <c r="BH347" s="22"/>
      <c r="BI347" s="22"/>
      <c r="BJ347" s="22"/>
      <c r="BK347" s="22"/>
      <c r="BL347" s="22"/>
      <c r="BM347" s="22"/>
      <c r="BN347" s="22"/>
      <c r="BO347" s="22"/>
      <c r="BP347" s="22"/>
      <c r="BQ347" s="22"/>
      <c r="BR347" s="22"/>
      <c r="BS347" s="22"/>
      <c r="BT347" s="22"/>
      <c r="BU347" s="22"/>
      <c r="BV347" s="22"/>
      <c r="BW347" s="22"/>
      <c r="BX347" s="22"/>
      <c r="BY347" s="22"/>
      <c r="BZ347" s="22"/>
      <c r="CA347" s="22"/>
      <c r="CB347" s="22"/>
      <c r="CC347" s="22"/>
      <c r="CD347" s="22"/>
      <c r="CE347" s="22"/>
      <c r="CF347" s="22"/>
      <c r="CG347" s="22"/>
      <c r="CH347" s="22"/>
      <c r="CI347" s="22"/>
      <c r="CJ347" s="22"/>
      <c r="CK347" s="22"/>
      <c r="CL347" s="22"/>
      <c r="CM347" s="22"/>
      <c r="CN347" s="22"/>
      <c r="CO347" s="22"/>
      <c r="CP347" s="22"/>
      <c r="CQ347" s="22"/>
      <c r="CR347" s="22"/>
      <c r="CS347" s="22"/>
      <c r="CT347" s="22"/>
      <c r="CU347" s="22"/>
      <c r="CV347" s="22"/>
      <c r="CW347" s="22"/>
      <c r="CX347" s="22"/>
      <c r="CY347" s="22"/>
      <c r="CZ347" s="22"/>
      <c r="DA347" s="22"/>
      <c r="DB347" s="22"/>
      <c r="DC347" s="22"/>
      <c r="DD347" s="22"/>
      <c r="DE347" s="22"/>
      <c r="DF347" s="22"/>
      <c r="DG347" s="22"/>
      <c r="DH347" s="22"/>
      <c r="DI347" s="22"/>
      <c r="DJ347" s="22"/>
      <c r="DK347" s="22"/>
      <c r="DL347" s="22"/>
      <c r="DM347" s="22"/>
      <c r="DN347" s="22"/>
      <c r="DO347" s="22"/>
      <c r="DP347" s="22"/>
      <c r="DQ347" s="22"/>
      <c r="DR347" s="22"/>
      <c r="DS347" s="22"/>
      <c r="DT347" s="22"/>
      <c r="DU347" s="22"/>
      <c r="DV347" s="22"/>
      <c r="DW347" s="22"/>
      <c r="DX347" s="22"/>
      <c r="DY347" s="22"/>
      <c r="DZ347" s="22"/>
      <c r="EA347" s="22"/>
      <c r="EB347" s="22"/>
      <c r="EC347" s="22"/>
      <c r="ED347" s="22"/>
      <c r="EE347" s="22"/>
      <c r="EF347" s="22"/>
      <c r="EG347" s="22"/>
      <c r="EH347" s="22"/>
      <c r="EI347" s="22"/>
      <c r="EJ347" s="22"/>
      <c r="EK347" s="22"/>
      <c r="EL347" s="22"/>
      <c r="EM347" s="22"/>
      <c r="EN347" s="22"/>
      <c r="EO347" s="22"/>
      <c r="EP347" s="22"/>
      <c r="EQ347" s="22"/>
      <c r="ER347" s="22"/>
      <c r="ES347" s="22"/>
      <c r="ET347" s="22"/>
      <c r="EU347" s="22"/>
      <c r="EV347" s="22"/>
      <c r="EW347" s="22"/>
      <c r="EX347" s="22"/>
      <c r="EY347" s="22"/>
      <c r="EZ347" s="22"/>
      <c r="FA347" s="22"/>
      <c r="FB347" s="22"/>
      <c r="FC347" s="22"/>
      <c r="FD347" s="22"/>
      <c r="FE347" s="22"/>
      <c r="FF347" s="22"/>
      <c r="FG347" s="22"/>
      <c r="FH347" s="22"/>
      <c r="FI347" s="22"/>
      <c r="FJ347" s="22"/>
      <c r="FK347" s="22"/>
      <c r="FL347" s="22"/>
      <c r="FM347" s="22"/>
      <c r="FN347" s="22"/>
      <c r="FO347" s="22"/>
      <c r="FP347" s="22"/>
      <c r="FQ347" s="22"/>
      <c r="FR347" s="22"/>
      <c r="FS347" s="22"/>
      <c r="FT347" s="22"/>
      <c r="FU347" s="22"/>
      <c r="FV347" s="22"/>
      <c r="FW347" s="22"/>
      <c r="FX347" s="22"/>
      <c r="FY347" s="22"/>
      <c r="FZ347" s="22"/>
    </row>
    <row r="348" spans="2:182" x14ac:dyDescent="0.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c r="Z348" s="22"/>
      <c r="AA348" s="22"/>
      <c r="AB348" s="22"/>
      <c r="AC348" s="22"/>
      <c r="AD348" s="22"/>
      <c r="AE348" s="22"/>
      <c r="AF348" s="22"/>
      <c r="AG348" s="22"/>
      <c r="AH348" s="22"/>
      <c r="AI348" s="22"/>
      <c r="AJ348" s="22"/>
      <c r="AK348" s="22"/>
      <c r="AL348" s="22"/>
      <c r="AM348" s="22"/>
      <c r="AN348" s="22"/>
      <c r="AO348" s="22"/>
      <c r="AP348" s="22"/>
      <c r="AQ348" s="22"/>
      <c r="AR348" s="22"/>
      <c r="AS348" s="22"/>
      <c r="AT348" s="22"/>
      <c r="AU348" s="22"/>
      <c r="AV348" s="22"/>
      <c r="AW348" s="22"/>
      <c r="AX348" s="22"/>
      <c r="AY348" s="22"/>
      <c r="AZ348" s="22"/>
      <c r="BA348" s="22"/>
      <c r="BB348" s="22"/>
      <c r="BC348" s="22"/>
      <c r="BD348" s="22"/>
      <c r="BE348" s="22"/>
      <c r="BF348" s="22"/>
      <c r="BG348" s="22"/>
      <c r="BH348" s="22"/>
      <c r="BI348" s="22"/>
      <c r="BJ348" s="22"/>
      <c r="BK348" s="22"/>
      <c r="BL348" s="22"/>
      <c r="BM348" s="22"/>
      <c r="BN348" s="22"/>
      <c r="BO348" s="22"/>
      <c r="BP348" s="22"/>
      <c r="BQ348" s="22"/>
      <c r="BR348" s="22"/>
      <c r="BS348" s="22"/>
      <c r="BT348" s="22"/>
      <c r="BU348" s="22"/>
      <c r="BV348" s="22"/>
      <c r="BW348" s="22"/>
      <c r="BX348" s="22"/>
      <c r="BY348" s="22"/>
      <c r="BZ348" s="22"/>
      <c r="CA348" s="22"/>
      <c r="CB348" s="22"/>
      <c r="CC348" s="22"/>
      <c r="CD348" s="22"/>
      <c r="CE348" s="22"/>
      <c r="CF348" s="22"/>
      <c r="CG348" s="22"/>
      <c r="CH348" s="22"/>
      <c r="CI348" s="22"/>
      <c r="CJ348" s="22"/>
      <c r="CK348" s="22"/>
      <c r="CL348" s="22"/>
      <c r="CM348" s="22"/>
      <c r="CN348" s="22"/>
      <c r="CO348" s="22"/>
      <c r="CP348" s="22"/>
      <c r="CQ348" s="22"/>
      <c r="CR348" s="22"/>
      <c r="CS348" s="22"/>
      <c r="CT348" s="22"/>
      <c r="CU348" s="22"/>
      <c r="CV348" s="22"/>
      <c r="CW348" s="22"/>
      <c r="CX348" s="22"/>
      <c r="CY348" s="22"/>
      <c r="CZ348" s="22"/>
      <c r="DA348" s="22"/>
      <c r="DB348" s="22"/>
      <c r="DC348" s="22"/>
      <c r="DD348" s="22"/>
      <c r="DE348" s="22"/>
      <c r="DF348" s="22"/>
      <c r="DG348" s="22"/>
      <c r="DH348" s="22"/>
      <c r="DI348" s="22"/>
      <c r="DJ348" s="22"/>
      <c r="DK348" s="22"/>
      <c r="DL348" s="22"/>
      <c r="DM348" s="22"/>
      <c r="DN348" s="22"/>
      <c r="DO348" s="22"/>
      <c r="DP348" s="22"/>
      <c r="DQ348" s="22"/>
      <c r="DR348" s="22"/>
      <c r="DS348" s="22"/>
      <c r="DT348" s="22"/>
      <c r="DU348" s="22"/>
      <c r="DV348" s="22"/>
      <c r="DW348" s="22"/>
      <c r="DX348" s="22"/>
      <c r="DY348" s="22"/>
      <c r="DZ348" s="22"/>
      <c r="EA348" s="22"/>
      <c r="EB348" s="22"/>
      <c r="EC348" s="22"/>
      <c r="ED348" s="22"/>
      <c r="EE348" s="22"/>
      <c r="EF348" s="22"/>
      <c r="EG348" s="22"/>
      <c r="EH348" s="22"/>
      <c r="EI348" s="22"/>
      <c r="EJ348" s="22"/>
      <c r="EK348" s="22"/>
      <c r="EL348" s="22"/>
      <c r="EM348" s="22"/>
      <c r="EN348" s="22"/>
      <c r="EO348" s="22"/>
      <c r="EP348" s="22"/>
      <c r="EQ348" s="22"/>
      <c r="ER348" s="22"/>
      <c r="ES348" s="22"/>
      <c r="ET348" s="22"/>
      <c r="EU348" s="22"/>
      <c r="EV348" s="22"/>
      <c r="EW348" s="22"/>
      <c r="EX348" s="22"/>
      <c r="EY348" s="22"/>
      <c r="EZ348" s="22"/>
      <c r="FA348" s="22"/>
      <c r="FB348" s="22"/>
      <c r="FC348" s="22"/>
      <c r="FD348" s="22"/>
      <c r="FE348" s="22"/>
      <c r="FF348" s="22"/>
      <c r="FG348" s="22"/>
      <c r="FH348" s="22"/>
      <c r="FI348" s="22"/>
      <c r="FJ348" s="22"/>
      <c r="FK348" s="22"/>
      <c r="FL348" s="22"/>
      <c r="FM348" s="22"/>
      <c r="FN348" s="22"/>
      <c r="FO348" s="22"/>
      <c r="FP348" s="22"/>
      <c r="FQ348" s="22"/>
      <c r="FR348" s="22"/>
      <c r="FS348" s="22"/>
      <c r="FT348" s="22"/>
      <c r="FU348" s="22"/>
      <c r="FV348" s="22"/>
      <c r="FW348" s="22"/>
      <c r="FX348" s="22"/>
      <c r="FY348" s="22"/>
      <c r="FZ348" s="22"/>
    </row>
    <row r="349" spans="2:182" x14ac:dyDescent="0.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c r="Z349" s="22"/>
      <c r="AA349" s="22"/>
      <c r="AB349" s="22"/>
      <c r="AC349" s="22"/>
      <c r="AD349" s="22"/>
      <c r="AE349" s="22"/>
      <c r="AF349" s="22"/>
      <c r="AG349" s="22"/>
      <c r="AH349" s="22"/>
      <c r="AI349" s="22"/>
      <c r="AJ349" s="22"/>
      <c r="AK349" s="22"/>
      <c r="AL349" s="22"/>
      <c r="AM349" s="22"/>
      <c r="AN349" s="22"/>
      <c r="AO349" s="22"/>
      <c r="AP349" s="22"/>
      <c r="AQ349" s="22"/>
      <c r="AR349" s="22"/>
      <c r="AS349" s="22"/>
      <c r="AT349" s="22"/>
      <c r="AU349" s="22"/>
      <c r="AV349" s="22"/>
      <c r="AW349" s="22"/>
      <c r="AX349" s="22"/>
      <c r="AY349" s="22"/>
      <c r="AZ349" s="22"/>
      <c r="BA349" s="22"/>
      <c r="BB349" s="22"/>
      <c r="BC349" s="22"/>
      <c r="BD349" s="22"/>
      <c r="BE349" s="22"/>
      <c r="BF349" s="22"/>
      <c r="BG349" s="22"/>
      <c r="BH349" s="22"/>
      <c r="BI349" s="22"/>
      <c r="BJ349" s="22"/>
      <c r="BK349" s="22"/>
      <c r="BL349" s="22"/>
      <c r="BM349" s="22"/>
      <c r="BN349" s="22"/>
      <c r="BO349" s="22"/>
      <c r="BP349" s="22"/>
      <c r="BQ349" s="22"/>
      <c r="BR349" s="22"/>
      <c r="BS349" s="22"/>
      <c r="BT349" s="22"/>
      <c r="BU349" s="22"/>
      <c r="BV349" s="22"/>
      <c r="BW349" s="22"/>
      <c r="BX349" s="22"/>
      <c r="BY349" s="22"/>
      <c r="BZ349" s="22"/>
      <c r="CA349" s="22"/>
      <c r="CB349" s="22"/>
      <c r="CC349" s="22"/>
      <c r="CD349" s="22"/>
      <c r="CE349" s="22"/>
      <c r="CF349" s="22"/>
      <c r="CG349" s="22"/>
      <c r="CH349" s="22"/>
      <c r="CI349" s="22"/>
      <c r="CJ349" s="22"/>
      <c r="CK349" s="22"/>
      <c r="CL349" s="22"/>
      <c r="CM349" s="22"/>
      <c r="CN349" s="22"/>
      <c r="CO349" s="22"/>
      <c r="CP349" s="22"/>
      <c r="CQ349" s="22"/>
      <c r="CR349" s="22"/>
      <c r="CS349" s="22"/>
      <c r="CT349" s="22"/>
      <c r="CU349" s="22"/>
      <c r="CV349" s="22"/>
      <c r="CW349" s="22"/>
      <c r="CX349" s="22"/>
      <c r="CY349" s="22"/>
      <c r="CZ349" s="22"/>
      <c r="DA349" s="22"/>
      <c r="DB349" s="22"/>
      <c r="DC349" s="22"/>
      <c r="DD349" s="22"/>
      <c r="DE349" s="22"/>
      <c r="DF349" s="22"/>
      <c r="DG349" s="22"/>
      <c r="DH349" s="22"/>
      <c r="DI349" s="22"/>
      <c r="DJ349" s="22"/>
      <c r="DK349" s="22"/>
      <c r="DL349" s="22"/>
      <c r="DM349" s="22"/>
      <c r="DN349" s="22"/>
      <c r="DO349" s="22"/>
      <c r="DP349" s="22"/>
      <c r="DQ349" s="22"/>
      <c r="DR349" s="22"/>
      <c r="DS349" s="22"/>
      <c r="DT349" s="22"/>
      <c r="DU349" s="22"/>
      <c r="DV349" s="22"/>
      <c r="DW349" s="22"/>
      <c r="DX349" s="22"/>
      <c r="DY349" s="22"/>
      <c r="DZ349" s="22"/>
      <c r="EA349" s="22"/>
      <c r="EB349" s="22"/>
      <c r="EC349" s="22"/>
      <c r="ED349" s="22"/>
      <c r="EE349" s="22"/>
      <c r="EF349" s="22"/>
      <c r="EG349" s="22"/>
      <c r="EH349" s="22"/>
      <c r="EI349" s="22"/>
      <c r="EJ349" s="22"/>
      <c r="EK349" s="22"/>
      <c r="EL349" s="22"/>
      <c r="EM349" s="22"/>
      <c r="EN349" s="22"/>
      <c r="EO349" s="22"/>
      <c r="EP349" s="22"/>
      <c r="EQ349" s="22"/>
      <c r="ER349" s="22"/>
      <c r="ES349" s="22"/>
      <c r="ET349" s="22"/>
      <c r="EU349" s="22"/>
      <c r="EV349" s="22"/>
      <c r="EW349" s="22"/>
      <c r="EX349" s="22"/>
      <c r="EY349" s="22"/>
      <c r="EZ349" s="22"/>
      <c r="FA349" s="22"/>
      <c r="FB349" s="22"/>
      <c r="FC349" s="22"/>
      <c r="FD349" s="22"/>
      <c r="FE349" s="22"/>
      <c r="FF349" s="22"/>
      <c r="FG349" s="22"/>
      <c r="FH349" s="22"/>
      <c r="FI349" s="22"/>
      <c r="FJ349" s="22"/>
      <c r="FK349" s="22"/>
      <c r="FL349" s="22"/>
      <c r="FM349" s="22"/>
      <c r="FN349" s="22"/>
      <c r="FO349" s="22"/>
      <c r="FP349" s="22"/>
      <c r="FQ349" s="22"/>
      <c r="FR349" s="22"/>
      <c r="FS349" s="22"/>
      <c r="FT349" s="22"/>
      <c r="FU349" s="22"/>
      <c r="FV349" s="22"/>
      <c r="FW349" s="22"/>
      <c r="FX349" s="22"/>
      <c r="FY349" s="22"/>
      <c r="FZ349" s="22"/>
    </row>
    <row r="350" spans="2:182" x14ac:dyDescent="0.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c r="Z350" s="22"/>
      <c r="AA350" s="22"/>
      <c r="AB350" s="22"/>
      <c r="AC350" s="22"/>
      <c r="AD350" s="22"/>
      <c r="AE350" s="22"/>
      <c r="AF350" s="22"/>
      <c r="AG350" s="22"/>
      <c r="AH350" s="22"/>
      <c r="AI350" s="22"/>
      <c r="AJ350" s="22"/>
      <c r="AK350" s="22"/>
      <c r="AL350" s="22"/>
      <c r="AM350" s="22"/>
      <c r="AN350" s="22"/>
      <c r="AO350" s="22"/>
      <c r="AP350" s="22"/>
      <c r="AQ350" s="22"/>
      <c r="AR350" s="22"/>
      <c r="AS350" s="22"/>
      <c r="AT350" s="22"/>
      <c r="AU350" s="22"/>
      <c r="AV350" s="22"/>
      <c r="AW350" s="22"/>
      <c r="AX350" s="22"/>
      <c r="AY350" s="22"/>
      <c r="AZ350" s="22"/>
      <c r="BA350" s="22"/>
      <c r="BB350" s="22"/>
      <c r="BC350" s="22"/>
      <c r="BD350" s="22"/>
      <c r="BE350" s="22"/>
      <c r="BF350" s="22"/>
      <c r="BG350" s="22"/>
      <c r="BH350" s="22"/>
      <c r="BI350" s="22"/>
      <c r="BJ350" s="22"/>
      <c r="BK350" s="22"/>
      <c r="BL350" s="22"/>
      <c r="BM350" s="22"/>
      <c r="BN350" s="22"/>
      <c r="BO350" s="22"/>
      <c r="BP350" s="22"/>
      <c r="BQ350" s="22"/>
      <c r="BR350" s="22"/>
      <c r="BS350" s="22"/>
      <c r="BT350" s="22"/>
      <c r="BU350" s="22"/>
      <c r="BV350" s="22"/>
      <c r="BW350" s="22"/>
      <c r="BX350" s="22"/>
      <c r="BY350" s="22"/>
      <c r="BZ350" s="22"/>
      <c r="CA350" s="22"/>
      <c r="CB350" s="22"/>
      <c r="CC350" s="22"/>
      <c r="CD350" s="22"/>
      <c r="CE350" s="22"/>
      <c r="CF350" s="22"/>
      <c r="CG350" s="22"/>
      <c r="CH350" s="22"/>
      <c r="CI350" s="22"/>
      <c r="CJ350" s="22"/>
      <c r="CK350" s="22"/>
      <c r="CL350" s="22"/>
      <c r="CM350" s="22"/>
      <c r="CN350" s="22"/>
      <c r="CO350" s="22"/>
      <c r="CP350" s="22"/>
      <c r="CQ350" s="22"/>
      <c r="CR350" s="22"/>
      <c r="CS350" s="22"/>
      <c r="CT350" s="22"/>
      <c r="CU350" s="22"/>
      <c r="CV350" s="22"/>
      <c r="CW350" s="22"/>
      <c r="CX350" s="22"/>
      <c r="CY350" s="22"/>
      <c r="CZ350" s="22"/>
      <c r="DA350" s="22"/>
      <c r="DB350" s="22"/>
      <c r="DC350" s="22"/>
      <c r="DD350" s="22"/>
      <c r="DE350" s="22"/>
      <c r="DF350" s="22"/>
      <c r="DG350" s="22"/>
      <c r="DH350" s="22"/>
      <c r="DI350" s="22"/>
      <c r="DJ350" s="22"/>
      <c r="DK350" s="22"/>
      <c r="DL350" s="22"/>
      <c r="DM350" s="22"/>
      <c r="DN350" s="22"/>
      <c r="DO350" s="22"/>
      <c r="DP350" s="22"/>
      <c r="DQ350" s="22"/>
      <c r="DR350" s="22"/>
      <c r="DS350" s="22"/>
      <c r="DT350" s="22"/>
      <c r="DU350" s="22"/>
      <c r="DV350" s="22"/>
      <c r="DW350" s="22"/>
      <c r="DX350" s="22"/>
      <c r="DY350" s="22"/>
      <c r="DZ350" s="22"/>
      <c r="EA350" s="22"/>
      <c r="EB350" s="22"/>
      <c r="EC350" s="22"/>
      <c r="ED350" s="22"/>
      <c r="EE350" s="22"/>
      <c r="EF350" s="22"/>
      <c r="EG350" s="22"/>
      <c r="EH350" s="22"/>
      <c r="EI350" s="22"/>
      <c r="EJ350" s="22"/>
      <c r="EK350" s="22"/>
      <c r="EL350" s="22"/>
      <c r="EM350" s="22"/>
      <c r="EN350" s="22"/>
      <c r="EO350" s="22"/>
      <c r="EP350" s="22"/>
      <c r="EQ350" s="22"/>
      <c r="ER350" s="22"/>
      <c r="ES350" s="22"/>
      <c r="ET350" s="22"/>
      <c r="EU350" s="22"/>
      <c r="EV350" s="22"/>
      <c r="EW350" s="22"/>
      <c r="EX350" s="22"/>
      <c r="EY350" s="22"/>
      <c r="EZ350" s="22"/>
      <c r="FA350" s="22"/>
      <c r="FB350" s="22"/>
      <c r="FC350" s="22"/>
      <c r="FD350" s="22"/>
      <c r="FE350" s="22"/>
      <c r="FF350" s="22"/>
      <c r="FG350" s="22"/>
      <c r="FH350" s="22"/>
      <c r="FI350" s="22"/>
      <c r="FJ350" s="22"/>
      <c r="FK350" s="22"/>
      <c r="FL350" s="22"/>
      <c r="FM350" s="22"/>
      <c r="FN350" s="22"/>
      <c r="FO350" s="22"/>
      <c r="FP350" s="22"/>
      <c r="FQ350" s="22"/>
      <c r="FR350" s="22"/>
      <c r="FS350" s="22"/>
      <c r="FT350" s="22"/>
      <c r="FU350" s="22"/>
      <c r="FV350" s="22"/>
      <c r="FW350" s="22"/>
      <c r="FX350" s="22"/>
      <c r="FY350" s="22"/>
      <c r="FZ350" s="22"/>
    </row>
    <row r="351" spans="2:182" x14ac:dyDescent="0.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c r="Z351" s="22"/>
      <c r="AA351" s="22"/>
      <c r="AB351" s="22"/>
      <c r="AC351" s="22"/>
      <c r="AD351" s="22"/>
      <c r="AE351" s="22"/>
      <c r="AF351" s="22"/>
      <c r="AG351" s="22"/>
      <c r="AH351" s="22"/>
      <c r="AI351" s="22"/>
      <c r="AJ351" s="22"/>
      <c r="AK351" s="22"/>
      <c r="AL351" s="22"/>
      <c r="AM351" s="22"/>
      <c r="AN351" s="22"/>
      <c r="AO351" s="22"/>
      <c r="AP351" s="22"/>
      <c r="AQ351" s="22"/>
      <c r="AR351" s="22"/>
      <c r="AS351" s="22"/>
      <c r="AT351" s="22"/>
      <c r="AU351" s="22"/>
      <c r="AV351" s="22"/>
      <c r="AW351" s="22"/>
      <c r="AX351" s="22"/>
      <c r="AY351" s="22"/>
      <c r="AZ351" s="22"/>
      <c r="BA351" s="22"/>
      <c r="BB351" s="22"/>
      <c r="BC351" s="22"/>
      <c r="BD351" s="22"/>
      <c r="BE351" s="22"/>
      <c r="BF351" s="22"/>
      <c r="BG351" s="22"/>
      <c r="BH351" s="22"/>
      <c r="BI351" s="22"/>
      <c r="BJ351" s="22"/>
      <c r="BK351" s="22"/>
      <c r="BL351" s="22"/>
      <c r="BM351" s="22"/>
      <c r="BN351" s="22"/>
      <c r="BO351" s="22"/>
      <c r="BP351" s="22"/>
      <c r="BQ351" s="22"/>
      <c r="BR351" s="22"/>
      <c r="BS351" s="22"/>
      <c r="BT351" s="22"/>
      <c r="BU351" s="22"/>
      <c r="BV351" s="22"/>
      <c r="BW351" s="22"/>
      <c r="BX351" s="22"/>
      <c r="BY351" s="22"/>
      <c r="BZ351" s="22"/>
      <c r="CA351" s="22"/>
      <c r="CB351" s="22"/>
      <c r="CC351" s="22"/>
      <c r="CD351" s="22"/>
      <c r="CE351" s="22"/>
      <c r="CF351" s="22"/>
      <c r="CG351" s="22"/>
      <c r="CH351" s="22"/>
      <c r="CI351" s="22"/>
      <c r="CJ351" s="22"/>
      <c r="CK351" s="22"/>
      <c r="CL351" s="22"/>
      <c r="CM351" s="22"/>
      <c r="CN351" s="22"/>
      <c r="CO351" s="22"/>
      <c r="CP351" s="22"/>
      <c r="CQ351" s="22"/>
      <c r="CR351" s="22"/>
      <c r="CS351" s="22"/>
      <c r="CT351" s="22"/>
      <c r="CU351" s="22"/>
      <c r="CV351" s="22"/>
      <c r="CW351" s="22"/>
      <c r="CX351" s="22"/>
      <c r="CY351" s="22"/>
      <c r="CZ351" s="22"/>
      <c r="DA351" s="22"/>
      <c r="DB351" s="22"/>
      <c r="DC351" s="22"/>
      <c r="DD351" s="22"/>
      <c r="DE351" s="22"/>
      <c r="DF351" s="22"/>
      <c r="DG351" s="22"/>
      <c r="DH351" s="22"/>
      <c r="DI351" s="22"/>
      <c r="DJ351" s="22"/>
      <c r="DK351" s="22"/>
      <c r="DL351" s="22"/>
      <c r="DM351" s="22"/>
      <c r="DN351" s="22"/>
      <c r="DO351" s="22"/>
      <c r="DP351" s="22"/>
      <c r="DQ351" s="22"/>
      <c r="DR351" s="22"/>
      <c r="DS351" s="22"/>
      <c r="DT351" s="22"/>
      <c r="DU351" s="22"/>
      <c r="DV351" s="22"/>
      <c r="DW351" s="22"/>
      <c r="DX351" s="22"/>
      <c r="DY351" s="22"/>
      <c r="DZ351" s="22"/>
      <c r="EA351" s="22"/>
      <c r="EB351" s="22"/>
      <c r="EC351" s="22"/>
      <c r="ED351" s="22"/>
      <c r="EE351" s="22"/>
      <c r="EF351" s="22"/>
      <c r="EG351" s="22"/>
      <c r="EH351" s="22"/>
      <c r="EI351" s="22"/>
      <c r="EJ351" s="22"/>
      <c r="EK351" s="22"/>
      <c r="EL351" s="22"/>
      <c r="EM351" s="22"/>
      <c r="EN351" s="22"/>
      <c r="EO351" s="22"/>
      <c r="EP351" s="22"/>
      <c r="EQ351" s="22"/>
      <c r="ER351" s="22"/>
      <c r="ES351" s="22"/>
      <c r="ET351" s="22"/>
      <c r="EU351" s="22"/>
      <c r="EV351" s="22"/>
      <c r="EW351" s="22"/>
      <c r="EX351" s="22"/>
      <c r="EY351" s="22"/>
      <c r="EZ351" s="22"/>
      <c r="FA351" s="22"/>
      <c r="FB351" s="22"/>
      <c r="FC351" s="22"/>
      <c r="FD351" s="22"/>
      <c r="FE351" s="22"/>
      <c r="FF351" s="22"/>
      <c r="FG351" s="22"/>
      <c r="FH351" s="22"/>
      <c r="FI351" s="22"/>
      <c r="FJ351" s="22"/>
      <c r="FK351" s="22"/>
      <c r="FL351" s="22"/>
      <c r="FM351" s="22"/>
      <c r="FN351" s="22"/>
      <c r="FO351" s="22"/>
      <c r="FP351" s="22"/>
      <c r="FQ351" s="22"/>
      <c r="FR351" s="22"/>
      <c r="FS351" s="22"/>
      <c r="FT351" s="22"/>
      <c r="FU351" s="22"/>
      <c r="FV351" s="22"/>
      <c r="FW351" s="22"/>
      <c r="FX351" s="22"/>
      <c r="FY351" s="22"/>
      <c r="FZ351" s="22"/>
    </row>
    <row r="352" spans="2:182" x14ac:dyDescent="0.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c r="Z352" s="22"/>
      <c r="AA352" s="22"/>
      <c r="AB352" s="22"/>
      <c r="AC352" s="22"/>
      <c r="AD352" s="22"/>
      <c r="AE352" s="22"/>
      <c r="AF352" s="22"/>
      <c r="AG352" s="22"/>
      <c r="AH352" s="22"/>
      <c r="AI352" s="22"/>
      <c r="AJ352" s="22"/>
      <c r="AK352" s="22"/>
      <c r="AL352" s="22"/>
      <c r="AM352" s="22"/>
      <c r="AN352" s="22"/>
      <c r="AO352" s="22"/>
      <c r="AP352" s="22"/>
      <c r="AQ352" s="22"/>
      <c r="AR352" s="22"/>
      <c r="AS352" s="22"/>
      <c r="AT352" s="22"/>
      <c r="AU352" s="22"/>
      <c r="AV352" s="22"/>
      <c r="AW352" s="22"/>
      <c r="AX352" s="22"/>
      <c r="AY352" s="22"/>
      <c r="AZ352" s="22"/>
      <c r="BA352" s="22"/>
      <c r="BB352" s="22"/>
      <c r="BC352" s="22"/>
      <c r="BD352" s="22"/>
      <c r="BE352" s="22"/>
      <c r="BF352" s="22"/>
      <c r="BG352" s="22"/>
      <c r="BH352" s="22"/>
      <c r="BI352" s="22"/>
      <c r="BJ352" s="22"/>
      <c r="BK352" s="22"/>
      <c r="BL352" s="22"/>
      <c r="BM352" s="22"/>
      <c r="BN352" s="22"/>
      <c r="BO352" s="22"/>
      <c r="BP352" s="22"/>
      <c r="BQ352" s="22"/>
      <c r="BR352" s="22"/>
      <c r="BS352" s="22"/>
      <c r="BT352" s="22"/>
      <c r="BU352" s="22"/>
      <c r="BV352" s="22"/>
      <c r="BW352" s="22"/>
      <c r="BX352" s="22"/>
      <c r="BY352" s="22"/>
      <c r="BZ352" s="22"/>
      <c r="CA352" s="22"/>
      <c r="CB352" s="22"/>
      <c r="CC352" s="22"/>
      <c r="CD352" s="22"/>
      <c r="CE352" s="22"/>
      <c r="CF352" s="22"/>
      <c r="CG352" s="22"/>
      <c r="CH352" s="22"/>
      <c r="CI352" s="22"/>
      <c r="CJ352" s="22"/>
      <c r="CK352" s="22"/>
      <c r="CL352" s="22"/>
      <c r="CM352" s="22"/>
      <c r="CN352" s="22"/>
      <c r="CO352" s="22"/>
      <c r="CP352" s="22"/>
      <c r="CQ352" s="22"/>
      <c r="CR352" s="22"/>
      <c r="CS352" s="22"/>
      <c r="CT352" s="22"/>
      <c r="CU352" s="22"/>
      <c r="CV352" s="22"/>
      <c r="CW352" s="22"/>
      <c r="CX352" s="22"/>
      <c r="CY352" s="22"/>
      <c r="CZ352" s="22"/>
      <c r="DA352" s="22"/>
      <c r="DB352" s="22"/>
      <c r="DC352" s="22"/>
      <c r="DD352" s="22"/>
      <c r="DE352" s="22"/>
      <c r="DF352" s="22"/>
      <c r="DG352" s="22"/>
      <c r="DH352" s="22"/>
      <c r="DI352" s="22"/>
      <c r="DJ352" s="22"/>
      <c r="DK352" s="22"/>
      <c r="DL352" s="22"/>
      <c r="DM352" s="22"/>
      <c r="DN352" s="22"/>
      <c r="DO352" s="22"/>
      <c r="DP352" s="22"/>
      <c r="DQ352" s="22"/>
      <c r="DR352" s="22"/>
      <c r="DS352" s="22"/>
      <c r="DT352" s="22"/>
      <c r="DU352" s="22"/>
      <c r="DV352" s="22"/>
      <c r="DW352" s="22"/>
      <c r="DX352" s="22"/>
      <c r="DY352" s="22"/>
      <c r="DZ352" s="22"/>
      <c r="EA352" s="22"/>
      <c r="EB352" s="22"/>
      <c r="EC352" s="22"/>
      <c r="ED352" s="22"/>
      <c r="EE352" s="22"/>
      <c r="EF352" s="22"/>
      <c r="EG352" s="22"/>
      <c r="EH352" s="22"/>
      <c r="EI352" s="22"/>
      <c r="EJ352" s="22"/>
      <c r="EK352" s="22"/>
      <c r="EL352" s="22"/>
      <c r="EM352" s="22"/>
      <c r="EN352" s="22"/>
      <c r="EO352" s="22"/>
      <c r="EP352" s="22"/>
      <c r="EQ352" s="22"/>
      <c r="ER352" s="22"/>
      <c r="ES352" s="22"/>
      <c r="ET352" s="22"/>
      <c r="EU352" s="22"/>
      <c r="EV352" s="22"/>
      <c r="EW352" s="22"/>
      <c r="EX352" s="22"/>
      <c r="EY352" s="22"/>
      <c r="EZ352" s="22"/>
      <c r="FA352" s="22"/>
      <c r="FB352" s="22"/>
      <c r="FC352" s="22"/>
      <c r="FD352" s="22"/>
      <c r="FE352" s="22"/>
      <c r="FF352" s="22"/>
      <c r="FG352" s="22"/>
      <c r="FH352" s="22"/>
      <c r="FI352" s="22"/>
      <c r="FJ352" s="22"/>
      <c r="FK352" s="22"/>
      <c r="FL352" s="22"/>
      <c r="FM352" s="22"/>
      <c r="FN352" s="22"/>
      <c r="FO352" s="22"/>
      <c r="FP352" s="22"/>
      <c r="FQ352" s="22"/>
      <c r="FR352" s="22"/>
      <c r="FS352" s="22"/>
      <c r="FT352" s="22"/>
      <c r="FU352" s="22"/>
      <c r="FV352" s="22"/>
      <c r="FW352" s="22"/>
      <c r="FX352" s="22"/>
      <c r="FY352" s="22"/>
      <c r="FZ352" s="22"/>
    </row>
    <row r="353" spans="2:182" x14ac:dyDescent="0.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c r="Z353" s="22"/>
      <c r="AA353" s="22"/>
      <c r="AB353" s="22"/>
      <c r="AC353" s="22"/>
      <c r="AD353" s="22"/>
      <c r="AE353" s="22"/>
      <c r="AF353" s="22"/>
      <c r="AG353" s="22"/>
      <c r="AH353" s="22"/>
      <c r="AI353" s="22"/>
      <c r="AJ353" s="22"/>
      <c r="AK353" s="22"/>
      <c r="AL353" s="22"/>
      <c r="AM353" s="22"/>
      <c r="AN353" s="22"/>
      <c r="AO353" s="22"/>
      <c r="AP353" s="22"/>
      <c r="AQ353" s="22"/>
      <c r="AR353" s="22"/>
      <c r="AS353" s="22"/>
      <c r="AT353" s="22"/>
      <c r="AU353" s="22"/>
      <c r="AV353" s="22"/>
      <c r="AW353" s="22"/>
      <c r="AX353" s="22"/>
      <c r="AY353" s="22"/>
      <c r="AZ353" s="22"/>
      <c r="BA353" s="22"/>
      <c r="BB353" s="22"/>
      <c r="BC353" s="22"/>
      <c r="BD353" s="22"/>
      <c r="BE353" s="22"/>
      <c r="BF353" s="22"/>
      <c r="BG353" s="22"/>
      <c r="BH353" s="22"/>
      <c r="BI353" s="22"/>
      <c r="BJ353" s="22"/>
      <c r="BK353" s="22"/>
      <c r="BL353" s="22"/>
      <c r="BM353" s="22"/>
      <c r="BN353" s="22"/>
      <c r="BO353" s="22"/>
      <c r="BP353" s="22"/>
      <c r="BQ353" s="22"/>
      <c r="BR353" s="22"/>
      <c r="BS353" s="22"/>
      <c r="BT353" s="22"/>
      <c r="BU353" s="22"/>
      <c r="BV353" s="22"/>
      <c r="BW353" s="22"/>
      <c r="BX353" s="22"/>
      <c r="BY353" s="22"/>
      <c r="BZ353" s="22"/>
      <c r="CA353" s="22"/>
      <c r="CB353" s="22"/>
      <c r="CC353" s="22"/>
      <c r="CD353" s="22"/>
      <c r="CE353" s="22"/>
      <c r="CF353" s="22"/>
      <c r="CG353" s="22"/>
      <c r="CH353" s="22"/>
      <c r="CI353" s="22"/>
      <c r="CJ353" s="22"/>
      <c r="CK353" s="22"/>
      <c r="CL353" s="22"/>
      <c r="CM353" s="22"/>
      <c r="CN353" s="22"/>
      <c r="CO353" s="22"/>
      <c r="CP353" s="22"/>
      <c r="CQ353" s="22"/>
      <c r="CR353" s="22"/>
      <c r="CS353" s="22"/>
      <c r="CT353" s="22"/>
      <c r="CU353" s="22"/>
      <c r="CV353" s="22"/>
      <c r="CW353" s="22"/>
      <c r="CX353" s="22"/>
      <c r="CY353" s="22"/>
      <c r="CZ353" s="22"/>
      <c r="DA353" s="22"/>
      <c r="DB353" s="22"/>
      <c r="DC353" s="22"/>
      <c r="DD353" s="22"/>
      <c r="DE353" s="22"/>
      <c r="DF353" s="22"/>
      <c r="DG353" s="22"/>
      <c r="DH353" s="22"/>
      <c r="DI353" s="22"/>
      <c r="DJ353" s="22"/>
      <c r="DK353" s="22"/>
      <c r="DL353" s="22"/>
      <c r="DM353" s="22"/>
      <c r="DN353" s="22"/>
      <c r="DO353" s="22"/>
      <c r="DP353" s="22"/>
      <c r="DQ353" s="22"/>
      <c r="DR353" s="22"/>
      <c r="DS353" s="22"/>
      <c r="DT353" s="22"/>
      <c r="DU353" s="22"/>
      <c r="DV353" s="22"/>
      <c r="DW353" s="22"/>
      <c r="DX353" s="22"/>
      <c r="DY353" s="22"/>
      <c r="DZ353" s="22"/>
      <c r="EA353" s="22"/>
      <c r="EB353" s="22"/>
      <c r="EC353" s="22"/>
      <c r="ED353" s="22"/>
      <c r="EE353" s="22"/>
      <c r="EF353" s="22"/>
      <c r="EG353" s="22"/>
      <c r="EH353" s="22"/>
      <c r="EI353" s="22"/>
      <c r="EJ353" s="22"/>
      <c r="EK353" s="22"/>
      <c r="EL353" s="22"/>
      <c r="EM353" s="22"/>
      <c r="EN353" s="22"/>
      <c r="EO353" s="22"/>
      <c r="EP353" s="22"/>
      <c r="EQ353" s="22"/>
      <c r="ER353" s="22"/>
      <c r="ES353" s="22"/>
      <c r="ET353" s="22"/>
      <c r="EU353" s="22"/>
      <c r="EV353" s="22"/>
      <c r="EW353" s="22"/>
      <c r="EX353" s="22"/>
      <c r="EY353" s="22"/>
      <c r="EZ353" s="22"/>
      <c r="FA353" s="22"/>
      <c r="FB353" s="22"/>
      <c r="FC353" s="22"/>
      <c r="FD353" s="22"/>
      <c r="FE353" s="22"/>
      <c r="FF353" s="22"/>
      <c r="FG353" s="22"/>
      <c r="FH353" s="22"/>
      <c r="FI353" s="22"/>
      <c r="FJ353" s="22"/>
      <c r="FK353" s="22"/>
      <c r="FL353" s="22"/>
      <c r="FM353" s="22"/>
      <c r="FN353" s="22"/>
      <c r="FO353" s="22"/>
      <c r="FP353" s="22"/>
      <c r="FQ353" s="22"/>
      <c r="FR353" s="22"/>
      <c r="FS353" s="22"/>
      <c r="FT353" s="22"/>
      <c r="FU353" s="22"/>
      <c r="FV353" s="22"/>
      <c r="FW353" s="22"/>
      <c r="FX353" s="22"/>
      <c r="FY353" s="22"/>
      <c r="FZ353" s="22"/>
    </row>
    <row r="354" spans="2:182" x14ac:dyDescent="0.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c r="Z354" s="22"/>
      <c r="AA354" s="22"/>
      <c r="AB354" s="22"/>
      <c r="AC354" s="22"/>
      <c r="AD354" s="22"/>
      <c r="AE354" s="22"/>
      <c r="AF354" s="22"/>
      <c r="AG354" s="22"/>
      <c r="AH354" s="22"/>
      <c r="AI354" s="22"/>
      <c r="AJ354" s="22"/>
      <c r="AK354" s="22"/>
      <c r="AL354" s="22"/>
      <c r="AM354" s="22"/>
      <c r="AN354" s="22"/>
      <c r="AO354" s="22"/>
      <c r="AP354" s="22"/>
      <c r="AQ354" s="22"/>
      <c r="AR354" s="22"/>
      <c r="AS354" s="22"/>
      <c r="AT354" s="22"/>
      <c r="AU354" s="22"/>
      <c r="AV354" s="22"/>
      <c r="AW354" s="22"/>
      <c r="AX354" s="22"/>
      <c r="AY354" s="22"/>
      <c r="AZ354" s="22"/>
      <c r="BA354" s="22"/>
      <c r="BB354" s="22"/>
      <c r="BC354" s="22"/>
      <c r="BD354" s="22"/>
      <c r="BE354" s="22"/>
      <c r="BF354" s="22"/>
      <c r="BG354" s="22"/>
      <c r="BH354" s="22"/>
      <c r="BI354" s="22"/>
      <c r="BJ354" s="22"/>
      <c r="BK354" s="22"/>
      <c r="BL354" s="22"/>
      <c r="BM354" s="22"/>
      <c r="BN354" s="22"/>
      <c r="BO354" s="22"/>
      <c r="BP354" s="22"/>
      <c r="BQ354" s="22"/>
      <c r="BR354" s="22"/>
      <c r="BS354" s="22"/>
      <c r="BT354" s="22"/>
      <c r="BU354" s="22"/>
      <c r="BV354" s="22"/>
      <c r="BW354" s="22"/>
      <c r="BX354" s="22"/>
      <c r="BY354" s="22"/>
      <c r="BZ354" s="22"/>
      <c r="CA354" s="22"/>
      <c r="CB354" s="22"/>
      <c r="CC354" s="22"/>
      <c r="CD354" s="22"/>
      <c r="CE354" s="22"/>
      <c r="CF354" s="22"/>
      <c r="CG354" s="22"/>
      <c r="CH354" s="22"/>
      <c r="CI354" s="22"/>
      <c r="CJ354" s="22"/>
      <c r="CK354" s="22"/>
      <c r="CL354" s="22"/>
      <c r="CM354" s="22"/>
      <c r="CN354" s="22"/>
      <c r="CO354" s="22"/>
      <c r="CP354" s="22"/>
      <c r="CQ354" s="22"/>
      <c r="CR354" s="22"/>
      <c r="CS354" s="22"/>
      <c r="CT354" s="22"/>
      <c r="CU354" s="22"/>
      <c r="CV354" s="22"/>
      <c r="CW354" s="22"/>
      <c r="CX354" s="22"/>
      <c r="CY354" s="22"/>
      <c r="CZ354" s="22"/>
      <c r="DA354" s="22"/>
      <c r="DB354" s="22"/>
      <c r="DC354" s="22"/>
      <c r="DD354" s="22"/>
      <c r="DE354" s="22"/>
      <c r="DF354" s="22"/>
      <c r="DG354" s="22"/>
      <c r="DH354" s="22"/>
      <c r="DI354" s="22"/>
      <c r="DJ354" s="22"/>
      <c r="DK354" s="22"/>
      <c r="DL354" s="22"/>
      <c r="DM354" s="22"/>
      <c r="DN354" s="22"/>
      <c r="DO354" s="22"/>
      <c r="DP354" s="22"/>
      <c r="DQ354" s="22"/>
      <c r="DR354" s="22"/>
      <c r="DS354" s="22"/>
      <c r="DT354" s="22"/>
      <c r="DU354" s="22"/>
      <c r="DV354" s="22"/>
      <c r="DW354" s="22"/>
      <c r="DX354" s="22"/>
      <c r="DY354" s="22"/>
      <c r="DZ354" s="22"/>
      <c r="EA354" s="22"/>
      <c r="EB354" s="22"/>
      <c r="EC354" s="22"/>
      <c r="ED354" s="22"/>
      <c r="EE354" s="22"/>
      <c r="EF354" s="22"/>
      <c r="EG354" s="22"/>
      <c r="EH354" s="22"/>
      <c r="EI354" s="22"/>
      <c r="EJ354" s="22"/>
      <c r="EK354" s="22"/>
      <c r="EL354" s="22"/>
      <c r="EM354" s="22"/>
      <c r="EN354" s="22"/>
      <c r="EO354" s="22"/>
      <c r="EP354" s="22"/>
      <c r="EQ354" s="22"/>
      <c r="ER354" s="22"/>
      <c r="ES354" s="22"/>
      <c r="ET354" s="22"/>
      <c r="EU354" s="22"/>
      <c r="EV354" s="22"/>
      <c r="EW354" s="22"/>
      <c r="EX354" s="22"/>
      <c r="EY354" s="22"/>
      <c r="EZ354" s="22"/>
      <c r="FA354" s="22"/>
      <c r="FB354" s="22"/>
      <c r="FC354" s="22"/>
      <c r="FD354" s="22"/>
      <c r="FE354" s="22"/>
      <c r="FF354" s="22"/>
      <c r="FG354" s="22"/>
      <c r="FH354" s="22"/>
      <c r="FI354" s="22"/>
      <c r="FJ354" s="22"/>
      <c r="FK354" s="22"/>
      <c r="FL354" s="22"/>
      <c r="FM354" s="22"/>
      <c r="FN354" s="22"/>
      <c r="FO354" s="22"/>
      <c r="FP354" s="22"/>
      <c r="FQ354" s="22"/>
      <c r="FR354" s="22"/>
      <c r="FS354" s="22"/>
      <c r="FT354" s="22"/>
      <c r="FU354" s="22"/>
      <c r="FV354" s="22"/>
      <c r="FW354" s="22"/>
      <c r="FX354" s="22"/>
      <c r="FY354" s="22"/>
      <c r="FZ354" s="22"/>
    </row>
    <row r="355" spans="2:182" x14ac:dyDescent="0.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c r="Z355" s="22"/>
      <c r="AA355" s="22"/>
      <c r="AB355" s="22"/>
      <c r="AC355" s="22"/>
      <c r="AD355" s="22"/>
      <c r="AE355" s="22"/>
      <c r="AF355" s="22"/>
      <c r="AG355" s="22"/>
      <c r="AH355" s="22"/>
      <c r="AI355" s="22"/>
      <c r="AJ355" s="22"/>
      <c r="AK355" s="22"/>
      <c r="AL355" s="22"/>
      <c r="AM355" s="22"/>
      <c r="AN355" s="22"/>
      <c r="AO355" s="22"/>
      <c r="AP355" s="22"/>
      <c r="AQ355" s="22"/>
      <c r="AR355" s="22"/>
      <c r="AS355" s="22"/>
      <c r="AT355" s="22"/>
      <c r="AU355" s="22"/>
      <c r="AV355" s="22"/>
      <c r="AW355" s="22"/>
      <c r="AX355" s="22"/>
      <c r="AY355" s="22"/>
      <c r="AZ355" s="22"/>
      <c r="BA355" s="22"/>
      <c r="BB355" s="22"/>
      <c r="BC355" s="22"/>
      <c r="BD355" s="22"/>
      <c r="BE355" s="22"/>
      <c r="BF355" s="22"/>
      <c r="BG355" s="22"/>
      <c r="BH355" s="22"/>
      <c r="BI355" s="22"/>
      <c r="BJ355" s="22"/>
      <c r="BK355" s="22"/>
      <c r="BL355" s="22"/>
      <c r="BM355" s="22"/>
      <c r="BN355" s="22"/>
      <c r="BO355" s="22"/>
      <c r="BP355" s="22"/>
      <c r="BQ355" s="22"/>
      <c r="BR355" s="22"/>
      <c r="BS355" s="22"/>
      <c r="BT355" s="22"/>
      <c r="BU355" s="22"/>
      <c r="BV355" s="22"/>
      <c r="BW355" s="22"/>
      <c r="BX355" s="22"/>
      <c r="BY355" s="22"/>
      <c r="BZ355" s="22"/>
      <c r="CA355" s="22"/>
      <c r="CB355" s="22"/>
      <c r="CC355" s="22"/>
      <c r="CD355" s="22"/>
      <c r="CE355" s="22"/>
      <c r="CF355" s="22"/>
      <c r="CG355" s="22"/>
      <c r="CH355" s="22"/>
      <c r="CI355" s="22"/>
      <c r="CJ355" s="22"/>
      <c r="CK355" s="22"/>
      <c r="CL355" s="22"/>
      <c r="CM355" s="22"/>
      <c r="CN355" s="22"/>
      <c r="CO355" s="22"/>
      <c r="CP355" s="22"/>
      <c r="CQ355" s="22"/>
      <c r="CR355" s="22"/>
      <c r="CS355" s="22"/>
      <c r="CT355" s="22"/>
      <c r="CU355" s="22"/>
      <c r="CV355" s="22"/>
      <c r="CW355" s="22"/>
      <c r="CX355" s="22"/>
      <c r="CY355" s="22"/>
      <c r="CZ355" s="22"/>
      <c r="DA355" s="22"/>
      <c r="DB355" s="22"/>
      <c r="DC355" s="22"/>
      <c r="DD355" s="22"/>
      <c r="DE355" s="22"/>
      <c r="DF355" s="22"/>
      <c r="DG355" s="22"/>
      <c r="DH355" s="22"/>
      <c r="DI355" s="22"/>
      <c r="DJ355" s="22"/>
      <c r="DK355" s="22"/>
      <c r="DL355" s="22"/>
      <c r="DM355" s="22"/>
      <c r="DN355" s="22"/>
      <c r="DO355" s="22"/>
      <c r="DP355" s="22"/>
      <c r="DQ355" s="22"/>
      <c r="DR355" s="22"/>
      <c r="DS355" s="22"/>
      <c r="DT355" s="22"/>
      <c r="DU355" s="22"/>
      <c r="DV355" s="22"/>
      <c r="DW355" s="22"/>
      <c r="DX355" s="22"/>
      <c r="DY355" s="22"/>
      <c r="DZ355" s="22"/>
      <c r="EA355" s="22"/>
      <c r="EB355" s="22"/>
      <c r="EC355" s="22"/>
      <c r="ED355" s="22"/>
      <c r="EE355" s="22"/>
      <c r="EF355" s="22"/>
      <c r="EG355" s="22"/>
      <c r="EH355" s="22"/>
      <c r="EI355" s="22"/>
      <c r="EJ355" s="22"/>
      <c r="EK355" s="22"/>
      <c r="EL355" s="22"/>
      <c r="EM355" s="22"/>
      <c r="EN355" s="22"/>
      <c r="EO355" s="22"/>
      <c r="EP355" s="22"/>
      <c r="EQ355" s="22"/>
      <c r="ER355" s="22"/>
      <c r="ES355" s="22"/>
      <c r="ET355" s="22"/>
      <c r="EU355" s="22"/>
      <c r="EV355" s="22"/>
      <c r="EW355" s="22"/>
      <c r="EX355" s="22"/>
      <c r="EY355" s="22"/>
      <c r="EZ355" s="22"/>
      <c r="FA355" s="22"/>
      <c r="FB355" s="22"/>
      <c r="FC355" s="22"/>
      <c r="FD355" s="22"/>
      <c r="FE355" s="22"/>
      <c r="FF355" s="22"/>
      <c r="FG355" s="22"/>
      <c r="FH355" s="22"/>
      <c r="FI355" s="22"/>
      <c r="FJ355" s="22"/>
      <c r="FK355" s="22"/>
      <c r="FL355" s="22"/>
      <c r="FM355" s="22"/>
      <c r="FN355" s="22"/>
      <c r="FO355" s="22"/>
      <c r="FP355" s="22"/>
      <c r="FQ355" s="22"/>
      <c r="FR355" s="22"/>
      <c r="FS355" s="22"/>
      <c r="FT355" s="22"/>
      <c r="FU355" s="22"/>
      <c r="FV355" s="22"/>
      <c r="FW355" s="22"/>
      <c r="FX355" s="22"/>
      <c r="FY355" s="22"/>
      <c r="FZ355" s="22"/>
    </row>
    <row r="356" spans="2:182" x14ac:dyDescent="0.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c r="Z356" s="22"/>
      <c r="AA356" s="22"/>
      <c r="AB356" s="22"/>
      <c r="AC356" s="22"/>
      <c r="AD356" s="22"/>
      <c r="AE356" s="22"/>
      <c r="AF356" s="22"/>
      <c r="AG356" s="22"/>
      <c r="AH356" s="22"/>
      <c r="AI356" s="22"/>
      <c r="AJ356" s="22"/>
      <c r="AK356" s="22"/>
      <c r="AL356" s="22"/>
      <c r="AM356" s="22"/>
      <c r="AN356" s="22"/>
      <c r="AO356" s="22"/>
      <c r="AP356" s="22"/>
      <c r="AQ356" s="22"/>
      <c r="AR356" s="22"/>
      <c r="AS356" s="22"/>
      <c r="AT356" s="22"/>
      <c r="AU356" s="22"/>
      <c r="AV356" s="22"/>
      <c r="AW356" s="22"/>
      <c r="AX356" s="22"/>
      <c r="AY356" s="22"/>
      <c r="AZ356" s="22"/>
      <c r="BA356" s="22"/>
      <c r="BB356" s="22"/>
      <c r="BC356" s="22"/>
      <c r="BD356" s="22"/>
      <c r="BE356" s="22"/>
      <c r="BF356" s="22"/>
      <c r="BG356" s="22"/>
      <c r="BH356" s="22"/>
      <c r="BI356" s="22"/>
      <c r="BJ356" s="22"/>
      <c r="BK356" s="22"/>
      <c r="BL356" s="22"/>
      <c r="BM356" s="22"/>
      <c r="BN356" s="22"/>
      <c r="BO356" s="22"/>
      <c r="BP356" s="22"/>
      <c r="BQ356" s="22"/>
      <c r="BR356" s="22"/>
      <c r="BS356" s="22"/>
      <c r="BT356" s="22"/>
      <c r="BU356" s="22"/>
      <c r="BV356" s="22"/>
      <c r="BW356" s="22"/>
      <c r="BX356" s="22"/>
      <c r="BY356" s="22"/>
      <c r="BZ356" s="22"/>
      <c r="CA356" s="22"/>
      <c r="CB356" s="22"/>
      <c r="CC356" s="22"/>
      <c r="CD356" s="22"/>
      <c r="CE356" s="22"/>
      <c r="CF356" s="22"/>
      <c r="CG356" s="22"/>
      <c r="CH356" s="22"/>
      <c r="CI356" s="22"/>
      <c r="CJ356" s="22"/>
      <c r="CK356" s="22"/>
      <c r="CL356" s="22"/>
      <c r="CM356" s="22"/>
      <c r="CN356" s="22"/>
      <c r="CO356" s="22"/>
      <c r="CP356" s="22"/>
      <c r="CQ356" s="22"/>
      <c r="CR356" s="22"/>
      <c r="CS356" s="22"/>
      <c r="CT356" s="22"/>
      <c r="CU356" s="22"/>
      <c r="CV356" s="22"/>
      <c r="CW356" s="22"/>
      <c r="CX356" s="22"/>
      <c r="CY356" s="22"/>
      <c r="CZ356" s="22"/>
      <c r="DA356" s="22"/>
      <c r="DB356" s="22"/>
      <c r="DC356" s="22"/>
      <c r="DD356" s="22"/>
      <c r="DE356" s="22"/>
      <c r="DF356" s="22"/>
      <c r="DG356" s="22"/>
      <c r="DH356" s="22"/>
      <c r="DI356" s="22"/>
      <c r="DJ356" s="22"/>
      <c r="DK356" s="22"/>
      <c r="DL356" s="22"/>
      <c r="DM356" s="22"/>
      <c r="DN356" s="22"/>
      <c r="DO356" s="22"/>
      <c r="DP356" s="22"/>
      <c r="DQ356" s="22"/>
      <c r="DR356" s="22"/>
      <c r="DS356" s="22"/>
      <c r="DT356" s="22"/>
      <c r="DU356" s="22"/>
      <c r="DV356" s="22"/>
      <c r="DW356" s="22"/>
      <c r="DX356" s="22"/>
      <c r="DY356" s="22"/>
      <c r="DZ356" s="22"/>
      <c r="EA356" s="22"/>
      <c r="EB356" s="22"/>
      <c r="EC356" s="22"/>
      <c r="ED356" s="22"/>
      <c r="EE356" s="22"/>
      <c r="EF356" s="22"/>
      <c r="EG356" s="22"/>
      <c r="EH356" s="22"/>
      <c r="EI356" s="22"/>
      <c r="EJ356" s="22"/>
      <c r="EK356" s="22"/>
      <c r="EL356" s="22"/>
      <c r="EM356" s="22"/>
      <c r="EN356" s="22"/>
      <c r="EO356" s="22"/>
      <c r="EP356" s="22"/>
      <c r="EQ356" s="22"/>
      <c r="ER356" s="22"/>
      <c r="ES356" s="22"/>
      <c r="ET356" s="22"/>
      <c r="EU356" s="22"/>
      <c r="EV356" s="22"/>
      <c r="EW356" s="22"/>
      <c r="EX356" s="22"/>
      <c r="EY356" s="22"/>
      <c r="EZ356" s="22"/>
      <c r="FA356" s="22"/>
      <c r="FB356" s="22"/>
      <c r="FC356" s="22"/>
      <c r="FD356" s="22"/>
      <c r="FE356" s="22"/>
      <c r="FF356" s="22"/>
      <c r="FG356" s="22"/>
      <c r="FH356" s="22"/>
      <c r="FI356" s="22"/>
      <c r="FJ356" s="22"/>
      <c r="FK356" s="22"/>
      <c r="FL356" s="22"/>
      <c r="FM356" s="22"/>
      <c r="FN356" s="22"/>
      <c r="FO356" s="22"/>
      <c r="FP356" s="22"/>
      <c r="FQ356" s="22"/>
      <c r="FR356" s="22"/>
      <c r="FS356" s="22"/>
      <c r="FT356" s="22"/>
      <c r="FU356" s="22"/>
      <c r="FV356" s="22"/>
      <c r="FW356" s="22"/>
      <c r="FX356" s="22"/>
      <c r="FY356" s="22"/>
      <c r="FZ356" s="22"/>
    </row>
    <row r="357" spans="2:182" x14ac:dyDescent="0.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c r="Z357" s="22"/>
      <c r="AA357" s="22"/>
      <c r="AB357" s="22"/>
      <c r="AC357" s="22"/>
      <c r="AD357" s="22"/>
      <c r="AE357" s="22"/>
      <c r="AF357" s="22"/>
      <c r="AG357" s="22"/>
      <c r="AH357" s="22"/>
      <c r="AI357" s="22"/>
      <c r="AJ357" s="22"/>
      <c r="AK357" s="22"/>
      <c r="AL357" s="22"/>
      <c r="AM357" s="22"/>
      <c r="AN357" s="22"/>
      <c r="AO357" s="22"/>
      <c r="AP357" s="22"/>
      <c r="AQ357" s="22"/>
      <c r="AR357" s="22"/>
      <c r="AS357" s="22"/>
      <c r="AT357" s="22"/>
      <c r="AU357" s="22"/>
      <c r="AV357" s="22"/>
      <c r="AW357" s="22"/>
      <c r="AX357" s="22"/>
      <c r="AY357" s="22"/>
      <c r="AZ357" s="22"/>
      <c r="BA357" s="22"/>
      <c r="BB357" s="22"/>
      <c r="BC357" s="22"/>
      <c r="BD357" s="22"/>
      <c r="BE357" s="22"/>
      <c r="BF357" s="22"/>
      <c r="BG357" s="22"/>
      <c r="BH357" s="22"/>
      <c r="BI357" s="22"/>
      <c r="BJ357" s="22"/>
      <c r="BK357" s="22"/>
      <c r="BL357" s="22"/>
      <c r="BM357" s="22"/>
      <c r="BN357" s="22"/>
      <c r="BO357" s="22"/>
      <c r="BP357" s="22"/>
      <c r="BQ357" s="22"/>
      <c r="BR357" s="22"/>
      <c r="BS357" s="22"/>
      <c r="BT357" s="22"/>
      <c r="BU357" s="22"/>
      <c r="BV357" s="22"/>
      <c r="BW357" s="22"/>
      <c r="BX357" s="22"/>
      <c r="BY357" s="22"/>
      <c r="BZ357" s="22"/>
      <c r="CA357" s="22"/>
      <c r="CB357" s="22"/>
      <c r="CC357" s="22"/>
      <c r="CD357" s="22"/>
      <c r="CE357" s="22"/>
      <c r="CF357" s="22"/>
      <c r="CG357" s="22"/>
      <c r="CH357" s="22"/>
      <c r="CI357" s="22"/>
      <c r="CJ357" s="22"/>
      <c r="CK357" s="22"/>
      <c r="CL357" s="22"/>
      <c r="CM357" s="22"/>
      <c r="CN357" s="22"/>
      <c r="CO357" s="22"/>
      <c r="CP357" s="22"/>
      <c r="CQ357" s="22"/>
      <c r="CR357" s="22"/>
      <c r="CS357" s="22"/>
      <c r="CT357" s="22"/>
      <c r="CU357" s="22"/>
      <c r="CV357" s="22"/>
      <c r="CW357" s="22"/>
      <c r="CX357" s="22"/>
      <c r="CY357" s="22"/>
      <c r="CZ357" s="22"/>
      <c r="DA357" s="22"/>
      <c r="DB357" s="22"/>
      <c r="DC357" s="22"/>
      <c r="DD357" s="22"/>
      <c r="DE357" s="22"/>
      <c r="DF357" s="22"/>
      <c r="DG357" s="22"/>
      <c r="DH357" s="22"/>
      <c r="DI357" s="22"/>
      <c r="DJ357" s="22"/>
      <c r="DK357" s="22"/>
      <c r="DL357" s="22"/>
      <c r="DM357" s="22"/>
      <c r="DN357" s="22"/>
      <c r="DO357" s="22"/>
      <c r="DP357" s="22"/>
      <c r="DQ357" s="22"/>
      <c r="DR357" s="22"/>
      <c r="DS357" s="22"/>
      <c r="DT357" s="22"/>
      <c r="DU357" s="22"/>
      <c r="DV357" s="22"/>
      <c r="DW357" s="22"/>
      <c r="DX357" s="22"/>
      <c r="DY357" s="22"/>
      <c r="DZ357" s="22"/>
      <c r="EA357" s="22"/>
      <c r="EB357" s="22"/>
      <c r="EC357" s="22"/>
      <c r="ED357" s="22"/>
      <c r="EE357" s="22"/>
      <c r="EF357" s="22"/>
      <c r="EG357" s="22"/>
      <c r="EH357" s="22"/>
      <c r="EI357" s="22"/>
      <c r="EJ357" s="22"/>
      <c r="EK357" s="22"/>
      <c r="EL357" s="22"/>
      <c r="EM357" s="22"/>
      <c r="EN357" s="22"/>
      <c r="EO357" s="22"/>
      <c r="EP357" s="22"/>
      <c r="EQ357" s="22"/>
      <c r="ER357" s="22"/>
      <c r="ES357" s="22"/>
      <c r="ET357" s="22"/>
      <c r="EU357" s="22"/>
      <c r="EV357" s="22"/>
      <c r="EW357" s="22"/>
      <c r="EX357" s="22"/>
      <c r="EY357" s="22"/>
      <c r="EZ357" s="22"/>
      <c r="FA357" s="22"/>
      <c r="FB357" s="22"/>
      <c r="FC357" s="22"/>
      <c r="FD357" s="22"/>
      <c r="FE357" s="22"/>
      <c r="FF357" s="22"/>
      <c r="FG357" s="22"/>
      <c r="FH357" s="22"/>
      <c r="FI357" s="22"/>
      <c r="FJ357" s="22"/>
      <c r="FK357" s="22"/>
      <c r="FL357" s="22"/>
      <c r="FM357" s="22"/>
      <c r="FN357" s="22"/>
      <c r="FO357" s="22"/>
      <c r="FP357" s="22"/>
      <c r="FQ357" s="22"/>
      <c r="FR357" s="22"/>
      <c r="FS357" s="22"/>
      <c r="FT357" s="22"/>
      <c r="FU357" s="22"/>
      <c r="FV357" s="22"/>
      <c r="FW357" s="22"/>
      <c r="FX357" s="22"/>
      <c r="FY357" s="22"/>
      <c r="FZ357" s="22"/>
    </row>
    <row r="358" spans="2:182" x14ac:dyDescent="0.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c r="Z358" s="22"/>
      <c r="AA358" s="22"/>
      <c r="AB358" s="22"/>
      <c r="AC358" s="22"/>
      <c r="AD358" s="22"/>
      <c r="AE358" s="22"/>
      <c r="AF358" s="22"/>
      <c r="AG358" s="22"/>
      <c r="AH358" s="22"/>
      <c r="AI358" s="22"/>
      <c r="AJ358" s="22"/>
      <c r="AK358" s="22"/>
      <c r="AL358" s="22"/>
      <c r="AM358" s="22"/>
      <c r="AN358" s="22"/>
      <c r="AO358" s="22"/>
      <c r="AP358" s="22"/>
      <c r="AQ358" s="22"/>
      <c r="AR358" s="22"/>
      <c r="AS358" s="22"/>
      <c r="AT358" s="22"/>
      <c r="AU358" s="22"/>
      <c r="AV358" s="22"/>
      <c r="AW358" s="22"/>
      <c r="AX358" s="22"/>
      <c r="AY358" s="22"/>
      <c r="AZ358" s="22"/>
      <c r="BA358" s="22"/>
      <c r="BB358" s="22"/>
      <c r="BC358" s="22"/>
      <c r="BD358" s="22"/>
      <c r="BE358" s="22"/>
      <c r="BF358" s="22"/>
      <c r="BG358" s="22"/>
      <c r="BH358" s="22"/>
      <c r="BI358" s="22"/>
      <c r="BJ358" s="22"/>
      <c r="BK358" s="22"/>
      <c r="BL358" s="22"/>
      <c r="BM358" s="22"/>
      <c r="BN358" s="22"/>
      <c r="BO358" s="22"/>
      <c r="BP358" s="22"/>
      <c r="BQ358" s="22"/>
      <c r="BR358" s="22"/>
      <c r="BS358" s="22"/>
      <c r="BT358" s="22"/>
      <c r="BU358" s="22"/>
      <c r="BV358" s="22"/>
      <c r="BW358" s="22"/>
      <c r="BX358" s="22"/>
      <c r="BY358" s="22"/>
      <c r="BZ358" s="22"/>
      <c r="CA358" s="22"/>
      <c r="CB358" s="22"/>
      <c r="CC358" s="22"/>
      <c r="CD358" s="22"/>
      <c r="CE358" s="22"/>
      <c r="CF358" s="22"/>
      <c r="CG358" s="22"/>
      <c r="CH358" s="22"/>
      <c r="CI358" s="22"/>
      <c r="CJ358" s="22"/>
      <c r="CK358" s="22"/>
      <c r="CL358" s="22"/>
      <c r="CM358" s="22"/>
      <c r="CN358" s="22"/>
      <c r="CO358" s="22"/>
      <c r="CP358" s="22"/>
      <c r="CQ358" s="22"/>
      <c r="CR358" s="22"/>
      <c r="CS358" s="22"/>
      <c r="CT358" s="22"/>
      <c r="CU358" s="22"/>
      <c r="CV358" s="22"/>
      <c r="CW358" s="22"/>
      <c r="CX358" s="22"/>
      <c r="CY358" s="22"/>
      <c r="CZ358" s="22"/>
      <c r="DA358" s="22"/>
      <c r="DB358" s="22"/>
      <c r="DC358" s="22"/>
      <c r="DD358" s="22"/>
      <c r="DE358" s="22"/>
      <c r="DF358" s="22"/>
      <c r="DG358" s="22"/>
      <c r="DH358" s="22"/>
      <c r="DI358" s="22"/>
      <c r="DJ358" s="22"/>
      <c r="DK358" s="22"/>
      <c r="DL358" s="22"/>
      <c r="DM358" s="22"/>
      <c r="DN358" s="22"/>
      <c r="DO358" s="22"/>
      <c r="DP358" s="22"/>
      <c r="DQ358" s="22"/>
      <c r="DR358" s="22"/>
      <c r="DS358" s="22"/>
      <c r="DT358" s="22"/>
      <c r="DU358" s="22"/>
      <c r="DV358" s="22"/>
      <c r="DW358" s="22"/>
      <c r="DX358" s="22"/>
      <c r="DY358" s="22"/>
      <c r="DZ358" s="22"/>
      <c r="EA358" s="22"/>
      <c r="EB358" s="22"/>
      <c r="EC358" s="22"/>
      <c r="ED358" s="22"/>
      <c r="EE358" s="22"/>
      <c r="EF358" s="22"/>
      <c r="EG358" s="22"/>
      <c r="EH358" s="22"/>
      <c r="EI358" s="22"/>
      <c r="EJ358" s="22"/>
      <c r="EK358" s="22"/>
      <c r="EL358" s="22"/>
      <c r="EM358" s="22"/>
      <c r="EN358" s="22"/>
      <c r="EO358" s="22"/>
      <c r="EP358" s="22"/>
      <c r="EQ358" s="22"/>
      <c r="ER358" s="22"/>
      <c r="ES358" s="22"/>
      <c r="ET358" s="22"/>
      <c r="EU358" s="22"/>
      <c r="EV358" s="22"/>
      <c r="EW358" s="22"/>
      <c r="EX358" s="22"/>
      <c r="EY358" s="22"/>
      <c r="EZ358" s="22"/>
      <c r="FA358" s="22"/>
      <c r="FB358" s="22"/>
      <c r="FC358" s="22"/>
      <c r="FD358" s="22"/>
      <c r="FE358" s="22"/>
      <c r="FF358" s="22"/>
      <c r="FG358" s="22"/>
      <c r="FH358" s="22"/>
      <c r="FI358" s="22"/>
      <c r="FJ358" s="22"/>
      <c r="FK358" s="22"/>
      <c r="FL358" s="22"/>
      <c r="FM358" s="22"/>
      <c r="FN358" s="22"/>
      <c r="FO358" s="22"/>
      <c r="FP358" s="22"/>
      <c r="FQ358" s="22"/>
      <c r="FR358" s="22"/>
      <c r="FS358" s="22"/>
      <c r="FT358" s="22"/>
      <c r="FU358" s="22"/>
      <c r="FV358" s="22"/>
      <c r="FW358" s="22"/>
      <c r="FX358" s="22"/>
      <c r="FY358" s="22"/>
      <c r="FZ358" s="22"/>
    </row>
    <row r="359" spans="2:182" x14ac:dyDescent="0.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c r="Z359" s="22"/>
      <c r="AA359" s="22"/>
      <c r="AB359" s="22"/>
      <c r="AC359" s="22"/>
      <c r="AD359" s="22"/>
      <c r="AE359" s="22"/>
      <c r="AF359" s="22"/>
      <c r="AG359" s="22"/>
      <c r="AH359" s="22"/>
      <c r="AI359" s="22"/>
      <c r="AJ359" s="22"/>
      <c r="AK359" s="22"/>
      <c r="AL359" s="22"/>
      <c r="AM359" s="22"/>
      <c r="AN359" s="22"/>
      <c r="AO359" s="22"/>
      <c r="AP359" s="22"/>
      <c r="AQ359" s="22"/>
      <c r="AR359" s="22"/>
      <c r="AS359" s="22"/>
      <c r="AT359" s="22"/>
      <c r="AU359" s="22"/>
      <c r="AV359" s="22"/>
      <c r="AW359" s="22"/>
      <c r="AX359" s="22"/>
      <c r="AY359" s="22"/>
      <c r="AZ359" s="22"/>
      <c r="BA359" s="22"/>
      <c r="BB359" s="22"/>
      <c r="BC359" s="22"/>
      <c r="BD359" s="22"/>
      <c r="BE359" s="22"/>
      <c r="BF359" s="22"/>
      <c r="BG359" s="22"/>
      <c r="BH359" s="22"/>
      <c r="BI359" s="22"/>
      <c r="BJ359" s="22"/>
      <c r="BK359" s="22"/>
      <c r="BL359" s="22"/>
      <c r="BM359" s="22"/>
      <c r="BN359" s="22"/>
      <c r="BO359" s="22"/>
      <c r="BP359" s="22"/>
      <c r="BQ359" s="22"/>
      <c r="BR359" s="22"/>
      <c r="BS359" s="22"/>
      <c r="BT359" s="22"/>
      <c r="BU359" s="22"/>
      <c r="BV359" s="22"/>
      <c r="BW359" s="22"/>
      <c r="BX359" s="22"/>
      <c r="BY359" s="22"/>
      <c r="BZ359" s="22"/>
      <c r="CA359" s="22"/>
      <c r="CB359" s="22"/>
      <c r="CC359" s="22"/>
      <c r="CD359" s="22"/>
      <c r="CE359" s="22"/>
      <c r="CF359" s="22"/>
      <c r="CG359" s="22"/>
      <c r="CH359" s="22"/>
      <c r="CI359" s="22"/>
      <c r="CJ359" s="22"/>
      <c r="CK359" s="22"/>
      <c r="CL359" s="22"/>
      <c r="CM359" s="22"/>
      <c r="CN359" s="22"/>
      <c r="CO359" s="22"/>
      <c r="CP359" s="22"/>
      <c r="CQ359" s="22"/>
      <c r="CR359" s="22"/>
      <c r="CS359" s="22"/>
      <c r="CT359" s="22"/>
      <c r="CU359" s="22"/>
      <c r="CV359" s="22"/>
      <c r="CW359" s="22"/>
      <c r="CX359" s="22"/>
      <c r="CY359" s="22"/>
      <c r="CZ359" s="22"/>
      <c r="DA359" s="22"/>
      <c r="DB359" s="22"/>
      <c r="DC359" s="22"/>
      <c r="DD359" s="22"/>
      <c r="DE359" s="22"/>
      <c r="DF359" s="22"/>
      <c r="DG359" s="22"/>
      <c r="DH359" s="22"/>
      <c r="DI359" s="22"/>
      <c r="DJ359" s="22"/>
      <c r="DK359" s="22"/>
      <c r="DL359" s="22"/>
      <c r="DM359" s="22"/>
      <c r="DN359" s="22"/>
      <c r="DO359" s="22"/>
      <c r="DP359" s="22"/>
      <c r="DQ359" s="22"/>
      <c r="DR359" s="22"/>
      <c r="DS359" s="22"/>
      <c r="DT359" s="22"/>
      <c r="DU359" s="22"/>
      <c r="DV359" s="22"/>
      <c r="DW359" s="22"/>
      <c r="DX359" s="22"/>
      <c r="DY359" s="22"/>
      <c r="DZ359" s="22"/>
      <c r="EA359" s="22"/>
      <c r="EB359" s="22"/>
      <c r="EC359" s="22"/>
      <c r="ED359" s="22"/>
      <c r="EE359" s="22"/>
      <c r="EF359" s="22"/>
      <c r="EG359" s="22"/>
      <c r="EH359" s="22"/>
      <c r="EI359" s="22"/>
      <c r="EJ359" s="22"/>
      <c r="EK359" s="22"/>
      <c r="EL359" s="22"/>
      <c r="EM359" s="22"/>
      <c r="EN359" s="22"/>
      <c r="EO359" s="22"/>
      <c r="EP359" s="22"/>
      <c r="EQ359" s="22"/>
      <c r="ER359" s="22"/>
      <c r="ES359" s="22"/>
      <c r="ET359" s="22"/>
      <c r="EU359" s="22"/>
      <c r="EV359" s="22"/>
      <c r="EW359" s="22"/>
      <c r="EX359" s="22"/>
      <c r="EY359" s="22"/>
      <c r="EZ359" s="22"/>
      <c r="FA359" s="22"/>
      <c r="FB359" s="22"/>
      <c r="FC359" s="22"/>
      <c r="FD359" s="22"/>
      <c r="FE359" s="22"/>
      <c r="FF359" s="22"/>
      <c r="FG359" s="22"/>
      <c r="FH359" s="22"/>
      <c r="FI359" s="22"/>
      <c r="FJ359" s="22"/>
      <c r="FK359" s="22"/>
      <c r="FL359" s="22"/>
      <c r="FM359" s="22"/>
      <c r="FN359" s="22"/>
      <c r="FO359" s="22"/>
      <c r="FP359" s="22"/>
      <c r="FQ359" s="22"/>
      <c r="FR359" s="22"/>
      <c r="FS359" s="22"/>
      <c r="FT359" s="22"/>
      <c r="FU359" s="22"/>
      <c r="FV359" s="22"/>
      <c r="FW359" s="22"/>
      <c r="FX359" s="22"/>
      <c r="FY359" s="22"/>
      <c r="FZ359" s="22"/>
    </row>
    <row r="360" spans="2:182" x14ac:dyDescent="0.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c r="Z360" s="22"/>
      <c r="AA360" s="22"/>
      <c r="AB360" s="22"/>
      <c r="AC360" s="22"/>
      <c r="AD360" s="22"/>
      <c r="AE360" s="22"/>
      <c r="AF360" s="22"/>
      <c r="AG360" s="22"/>
      <c r="AH360" s="22"/>
      <c r="AI360" s="22"/>
      <c r="AJ360" s="22"/>
      <c r="AK360" s="22"/>
      <c r="AL360" s="22"/>
      <c r="AM360" s="22"/>
      <c r="AN360" s="22"/>
      <c r="AO360" s="22"/>
      <c r="AP360" s="22"/>
      <c r="AQ360" s="22"/>
      <c r="AR360" s="22"/>
      <c r="AS360" s="22"/>
      <c r="AT360" s="22"/>
      <c r="AU360" s="22"/>
      <c r="AV360" s="22"/>
      <c r="AW360" s="22"/>
      <c r="AX360" s="22"/>
      <c r="AY360" s="22"/>
      <c r="AZ360" s="22"/>
      <c r="BA360" s="22"/>
      <c r="BB360" s="22"/>
      <c r="BC360" s="22"/>
      <c r="BD360" s="22"/>
      <c r="BE360" s="22"/>
      <c r="BF360" s="22"/>
      <c r="BG360" s="22"/>
      <c r="BH360" s="22"/>
      <c r="BI360" s="22"/>
      <c r="BJ360" s="22"/>
      <c r="BK360" s="22"/>
      <c r="BL360" s="22"/>
      <c r="BM360" s="22"/>
      <c r="BN360" s="22"/>
      <c r="BO360" s="22"/>
      <c r="BP360" s="22"/>
      <c r="BQ360" s="22"/>
      <c r="BR360" s="22"/>
      <c r="BS360" s="22"/>
      <c r="BT360" s="22"/>
      <c r="BU360" s="22"/>
      <c r="BV360" s="22"/>
      <c r="BW360" s="22"/>
      <c r="BX360" s="22"/>
      <c r="BY360" s="22"/>
      <c r="BZ360" s="22"/>
      <c r="CA360" s="22"/>
      <c r="CB360" s="22"/>
      <c r="CC360" s="22"/>
      <c r="CD360" s="22"/>
      <c r="CE360" s="22"/>
      <c r="CF360" s="22"/>
      <c r="CG360" s="22"/>
      <c r="CH360" s="22"/>
      <c r="CI360" s="22"/>
      <c r="CJ360" s="22"/>
      <c r="CK360" s="22"/>
      <c r="CL360" s="22"/>
      <c r="CM360" s="22"/>
      <c r="CN360" s="22"/>
      <c r="CO360" s="22"/>
      <c r="CP360" s="22"/>
      <c r="CQ360" s="22"/>
      <c r="CR360" s="22"/>
      <c r="CS360" s="22"/>
      <c r="CT360" s="22"/>
      <c r="CU360" s="22"/>
      <c r="CV360" s="22"/>
      <c r="CW360" s="22"/>
      <c r="CX360" s="22"/>
      <c r="CY360" s="22"/>
      <c r="CZ360" s="22"/>
      <c r="DA360" s="22"/>
      <c r="DB360" s="22"/>
      <c r="DC360" s="22"/>
      <c r="DD360" s="22"/>
      <c r="DE360" s="22"/>
      <c r="DF360" s="22"/>
      <c r="DG360" s="22"/>
      <c r="DH360" s="22"/>
      <c r="DI360" s="22"/>
      <c r="DJ360" s="22"/>
      <c r="DK360" s="22"/>
      <c r="DL360" s="22"/>
      <c r="DM360" s="22"/>
      <c r="DN360" s="22"/>
      <c r="DO360" s="22"/>
      <c r="DP360" s="22"/>
      <c r="DQ360" s="22"/>
      <c r="DR360" s="22"/>
      <c r="DS360" s="22"/>
      <c r="DT360" s="22"/>
      <c r="DU360" s="22"/>
      <c r="DV360" s="22"/>
      <c r="DW360" s="22"/>
      <c r="DX360" s="22"/>
      <c r="DY360" s="22"/>
      <c r="DZ360" s="22"/>
      <c r="EA360" s="22"/>
      <c r="EB360" s="22"/>
      <c r="EC360" s="22"/>
      <c r="ED360" s="22"/>
      <c r="EE360" s="22"/>
      <c r="EF360" s="22"/>
      <c r="EG360" s="22"/>
      <c r="EH360" s="22"/>
      <c r="EI360" s="22"/>
      <c r="EJ360" s="22"/>
      <c r="EK360" s="22"/>
      <c r="EL360" s="22"/>
      <c r="EM360" s="22"/>
      <c r="EN360" s="22"/>
      <c r="EO360" s="22"/>
      <c r="EP360" s="22"/>
      <c r="EQ360" s="22"/>
      <c r="ER360" s="22"/>
      <c r="ES360" s="22"/>
      <c r="ET360" s="22"/>
      <c r="EU360" s="22"/>
      <c r="EV360" s="22"/>
      <c r="EW360" s="22"/>
      <c r="EX360" s="22"/>
      <c r="EY360" s="22"/>
      <c r="EZ360" s="22"/>
      <c r="FA360" s="22"/>
      <c r="FB360" s="22"/>
      <c r="FC360" s="22"/>
      <c r="FD360" s="22"/>
      <c r="FE360" s="22"/>
      <c r="FF360" s="22"/>
      <c r="FG360" s="22"/>
      <c r="FH360" s="22"/>
      <c r="FI360" s="22"/>
      <c r="FJ360" s="22"/>
      <c r="FK360" s="22"/>
      <c r="FL360" s="22"/>
      <c r="FM360" s="22"/>
      <c r="FN360" s="22"/>
      <c r="FO360" s="22"/>
      <c r="FP360" s="22"/>
      <c r="FQ360" s="22"/>
      <c r="FR360" s="22"/>
      <c r="FS360" s="22"/>
      <c r="FT360" s="22"/>
      <c r="FU360" s="22"/>
      <c r="FV360" s="22"/>
      <c r="FW360" s="22"/>
      <c r="FX360" s="22"/>
      <c r="FY360" s="22"/>
      <c r="FZ360" s="22"/>
    </row>
    <row r="361" spans="2:182" x14ac:dyDescent="0.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c r="Z361" s="22"/>
      <c r="AA361" s="22"/>
      <c r="AB361" s="22"/>
      <c r="AC361" s="22"/>
      <c r="AD361" s="22"/>
      <c r="AE361" s="22"/>
      <c r="AF361" s="22"/>
      <c r="AG361" s="22"/>
      <c r="AH361" s="22"/>
      <c r="AI361" s="22"/>
      <c r="AJ361" s="22"/>
      <c r="AK361" s="22"/>
      <c r="AL361" s="22"/>
      <c r="AM361" s="22"/>
      <c r="AN361" s="22"/>
      <c r="AO361" s="22"/>
      <c r="AP361" s="22"/>
      <c r="AQ361" s="22"/>
      <c r="AR361" s="22"/>
      <c r="AS361" s="22"/>
      <c r="AT361" s="22"/>
      <c r="AU361" s="22"/>
      <c r="AV361" s="22"/>
      <c r="AW361" s="22"/>
      <c r="AX361" s="22"/>
      <c r="AY361" s="22"/>
      <c r="AZ361" s="22"/>
      <c r="BA361" s="22"/>
      <c r="BB361" s="22"/>
      <c r="BC361" s="22"/>
      <c r="BD361" s="22"/>
      <c r="BE361" s="22"/>
      <c r="BF361" s="22"/>
      <c r="BG361" s="22"/>
      <c r="BH361" s="22"/>
      <c r="BI361" s="22"/>
      <c r="BJ361" s="22"/>
      <c r="BK361" s="22"/>
      <c r="BL361" s="22"/>
      <c r="BM361" s="22"/>
      <c r="BN361" s="22"/>
      <c r="BO361" s="22"/>
      <c r="BP361" s="22"/>
      <c r="BQ361" s="22"/>
      <c r="BR361" s="22"/>
      <c r="BS361" s="22"/>
      <c r="BT361" s="22"/>
      <c r="BU361" s="22"/>
      <c r="BV361" s="22"/>
      <c r="BW361" s="22"/>
      <c r="BX361" s="22"/>
      <c r="BY361" s="22"/>
      <c r="BZ361" s="22"/>
      <c r="CA361" s="22"/>
      <c r="CB361" s="22"/>
      <c r="CC361" s="22"/>
      <c r="CD361" s="22"/>
      <c r="CE361" s="22"/>
      <c r="CF361" s="22"/>
      <c r="CG361" s="22"/>
      <c r="CH361" s="22"/>
      <c r="CI361" s="22"/>
      <c r="CJ361" s="22"/>
      <c r="CK361" s="22"/>
      <c r="CL361" s="22"/>
      <c r="CM361" s="22"/>
      <c r="CN361" s="22"/>
      <c r="CO361" s="22"/>
      <c r="CP361" s="22"/>
      <c r="CQ361" s="22"/>
      <c r="CR361" s="22"/>
      <c r="CS361" s="22"/>
      <c r="CT361" s="22"/>
      <c r="CU361" s="22"/>
      <c r="CV361" s="22"/>
      <c r="CW361" s="22"/>
      <c r="CX361" s="22"/>
      <c r="CY361" s="22"/>
      <c r="CZ361" s="22"/>
      <c r="DA361" s="22"/>
      <c r="DB361" s="22"/>
      <c r="DC361" s="22"/>
      <c r="DD361" s="22"/>
      <c r="DE361" s="22"/>
      <c r="DF361" s="22"/>
      <c r="DG361" s="22"/>
      <c r="DH361" s="22"/>
      <c r="DI361" s="22"/>
      <c r="DJ361" s="22"/>
      <c r="DK361" s="22"/>
      <c r="DL361" s="22"/>
      <c r="DM361" s="22"/>
      <c r="DN361" s="22"/>
      <c r="DO361" s="22"/>
      <c r="DP361" s="22"/>
      <c r="DQ361" s="22"/>
      <c r="DR361" s="22"/>
      <c r="DS361" s="22"/>
      <c r="DT361" s="22"/>
      <c r="DU361" s="22"/>
      <c r="DV361" s="22"/>
      <c r="DW361" s="22"/>
      <c r="DX361" s="22"/>
      <c r="DY361" s="22"/>
      <c r="DZ361" s="22"/>
      <c r="EA361" s="22"/>
      <c r="EB361" s="22"/>
      <c r="EC361" s="22"/>
      <c r="ED361" s="22"/>
      <c r="EE361" s="22"/>
      <c r="EF361" s="22"/>
      <c r="EG361" s="22"/>
      <c r="EH361" s="22"/>
      <c r="EI361" s="22"/>
      <c r="EJ361" s="22"/>
      <c r="EK361" s="22"/>
      <c r="EL361" s="22"/>
      <c r="EM361" s="22"/>
      <c r="EN361" s="22"/>
      <c r="EO361" s="22"/>
      <c r="EP361" s="22"/>
      <c r="EQ361" s="22"/>
      <c r="ER361" s="22"/>
      <c r="ES361" s="22"/>
      <c r="ET361" s="22"/>
      <c r="EU361" s="22"/>
      <c r="EV361" s="22"/>
      <c r="EW361" s="22"/>
      <c r="EX361" s="22"/>
      <c r="EY361" s="22"/>
      <c r="EZ361" s="22"/>
      <c r="FA361" s="22"/>
      <c r="FB361" s="22"/>
      <c r="FC361" s="22"/>
      <c r="FD361" s="22"/>
      <c r="FE361" s="22"/>
      <c r="FF361" s="22"/>
      <c r="FG361" s="22"/>
      <c r="FH361" s="22"/>
      <c r="FI361" s="22"/>
      <c r="FJ361" s="22"/>
      <c r="FK361" s="22"/>
      <c r="FL361" s="22"/>
      <c r="FM361" s="22"/>
      <c r="FN361" s="22"/>
      <c r="FO361" s="22"/>
      <c r="FP361" s="22"/>
      <c r="FQ361" s="22"/>
      <c r="FR361" s="22"/>
      <c r="FS361" s="22"/>
      <c r="FT361" s="22"/>
      <c r="FU361" s="22"/>
      <c r="FV361" s="22"/>
      <c r="FW361" s="22"/>
      <c r="FX361" s="22"/>
      <c r="FY361" s="22"/>
      <c r="FZ361" s="22"/>
    </row>
    <row r="362" spans="2:182" x14ac:dyDescent="0.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c r="Z362" s="22"/>
      <c r="AA362" s="22"/>
      <c r="AB362" s="22"/>
      <c r="AC362" s="22"/>
      <c r="AD362" s="22"/>
      <c r="AE362" s="22"/>
      <c r="AF362" s="22"/>
      <c r="AG362" s="22"/>
      <c r="AH362" s="22"/>
      <c r="AI362" s="22"/>
      <c r="AJ362" s="22"/>
      <c r="AK362" s="22"/>
      <c r="AL362" s="22"/>
      <c r="AM362" s="22"/>
      <c r="AN362" s="22"/>
      <c r="AO362" s="22"/>
      <c r="AP362" s="22"/>
      <c r="AQ362" s="22"/>
      <c r="AR362" s="22"/>
      <c r="AS362" s="22"/>
      <c r="AT362" s="22"/>
      <c r="AU362" s="22"/>
      <c r="AV362" s="22"/>
      <c r="AW362" s="22"/>
      <c r="AX362" s="22"/>
      <c r="AY362" s="22"/>
      <c r="AZ362" s="22"/>
      <c r="BA362" s="22"/>
      <c r="BB362" s="22"/>
      <c r="BC362" s="22"/>
      <c r="BD362" s="22"/>
      <c r="BE362" s="22"/>
      <c r="BF362" s="22"/>
      <c r="BG362" s="22"/>
      <c r="BH362" s="22"/>
      <c r="BI362" s="22"/>
      <c r="BJ362" s="22"/>
      <c r="BK362" s="22"/>
      <c r="BL362" s="22"/>
      <c r="BM362" s="22"/>
      <c r="BN362" s="22"/>
      <c r="BO362" s="22"/>
      <c r="BP362" s="22"/>
      <c r="BQ362" s="22"/>
      <c r="BR362" s="22"/>
      <c r="BS362" s="22"/>
      <c r="BT362" s="22"/>
      <c r="BU362" s="22"/>
      <c r="BV362" s="22"/>
      <c r="BW362" s="22"/>
      <c r="BX362" s="22"/>
      <c r="BY362" s="22"/>
      <c r="BZ362" s="22"/>
      <c r="CA362" s="22"/>
      <c r="CB362" s="22"/>
      <c r="CC362" s="22"/>
      <c r="CD362" s="22"/>
      <c r="CE362" s="22"/>
      <c r="CF362" s="22"/>
      <c r="CG362" s="22"/>
      <c r="CH362" s="22"/>
      <c r="CI362" s="22"/>
      <c r="CJ362" s="22"/>
      <c r="CK362" s="22"/>
      <c r="CL362" s="22"/>
      <c r="CM362" s="22"/>
      <c r="CN362" s="22"/>
      <c r="CO362" s="22"/>
      <c r="CP362" s="22"/>
      <c r="CQ362" s="22"/>
      <c r="CR362" s="22"/>
      <c r="CS362" s="22"/>
      <c r="CT362" s="22"/>
      <c r="CU362" s="22"/>
      <c r="CV362" s="22"/>
      <c r="CW362" s="22"/>
      <c r="CX362" s="22"/>
      <c r="CY362" s="22"/>
      <c r="CZ362" s="22"/>
      <c r="DA362" s="22"/>
      <c r="DB362" s="22"/>
      <c r="DC362" s="22"/>
      <c r="DD362" s="22"/>
      <c r="DE362" s="22"/>
      <c r="DF362" s="22"/>
      <c r="DG362" s="22"/>
      <c r="DH362" s="22"/>
      <c r="DI362" s="22"/>
      <c r="DJ362" s="22"/>
      <c r="DK362" s="22"/>
      <c r="DL362" s="22"/>
      <c r="DM362" s="22"/>
      <c r="DN362" s="22"/>
      <c r="DO362" s="22"/>
      <c r="DP362" s="22"/>
      <c r="DQ362" s="22"/>
      <c r="DR362" s="22"/>
      <c r="DS362" s="22"/>
      <c r="DT362" s="22"/>
      <c r="DU362" s="22"/>
      <c r="DV362" s="22"/>
      <c r="DW362" s="22"/>
      <c r="DX362" s="22"/>
      <c r="DY362" s="22"/>
      <c r="DZ362" s="22"/>
      <c r="EA362" s="22"/>
      <c r="EB362" s="22"/>
      <c r="EC362" s="22"/>
      <c r="ED362" s="22"/>
      <c r="EE362" s="22"/>
      <c r="EF362" s="22"/>
      <c r="EG362" s="22"/>
      <c r="EH362" s="22"/>
      <c r="EI362" s="22"/>
      <c r="EJ362" s="22"/>
      <c r="EK362" s="22"/>
      <c r="EL362" s="22"/>
      <c r="EM362" s="22"/>
      <c r="EN362" s="22"/>
      <c r="EO362" s="22"/>
      <c r="EP362" s="22"/>
      <c r="EQ362" s="22"/>
      <c r="ER362" s="22"/>
      <c r="ES362" s="22"/>
      <c r="ET362" s="22"/>
      <c r="EU362" s="22"/>
      <c r="EV362" s="22"/>
      <c r="EW362" s="22"/>
      <c r="EX362" s="22"/>
      <c r="EY362" s="22"/>
      <c r="EZ362" s="22"/>
      <c r="FA362" s="22"/>
      <c r="FB362" s="22"/>
      <c r="FC362" s="22"/>
      <c r="FD362" s="22"/>
      <c r="FE362" s="22"/>
      <c r="FF362" s="22"/>
      <c r="FG362" s="22"/>
      <c r="FH362" s="22"/>
      <c r="FI362" s="22"/>
      <c r="FJ362" s="22"/>
      <c r="FK362" s="22"/>
      <c r="FL362" s="22"/>
      <c r="FM362" s="22"/>
      <c r="FN362" s="22"/>
      <c r="FO362" s="22"/>
      <c r="FP362" s="22"/>
      <c r="FQ362" s="22"/>
      <c r="FR362" s="22"/>
      <c r="FS362" s="22"/>
      <c r="FT362" s="22"/>
      <c r="FU362" s="22"/>
      <c r="FV362" s="22"/>
      <c r="FW362" s="22"/>
      <c r="FX362" s="22"/>
      <c r="FY362" s="22"/>
      <c r="FZ362" s="22"/>
    </row>
    <row r="363" spans="2:182" x14ac:dyDescent="0.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c r="Z363" s="22"/>
      <c r="AA363" s="22"/>
      <c r="AB363" s="22"/>
      <c r="AC363" s="22"/>
      <c r="AD363" s="22"/>
      <c r="AE363" s="22"/>
      <c r="AF363" s="22"/>
      <c r="AG363" s="22"/>
      <c r="AH363" s="22"/>
      <c r="AI363" s="22"/>
      <c r="AJ363" s="22"/>
      <c r="AK363" s="22"/>
      <c r="AL363" s="22"/>
      <c r="AM363" s="22"/>
      <c r="AN363" s="22"/>
      <c r="AO363" s="22"/>
      <c r="AP363" s="22"/>
      <c r="AQ363" s="22"/>
      <c r="AR363" s="22"/>
      <c r="AS363" s="22"/>
      <c r="AT363" s="22"/>
      <c r="AU363" s="22"/>
      <c r="AV363" s="22"/>
      <c r="AW363" s="22"/>
      <c r="AX363" s="22"/>
      <c r="AY363" s="22"/>
      <c r="AZ363" s="22"/>
      <c r="BA363" s="22"/>
      <c r="BB363" s="22"/>
      <c r="BC363" s="22"/>
      <c r="BD363" s="22"/>
      <c r="BE363" s="22"/>
      <c r="BF363" s="22"/>
      <c r="BG363" s="22"/>
      <c r="BH363" s="22"/>
      <c r="BI363" s="22"/>
      <c r="BJ363" s="22"/>
      <c r="BK363" s="22"/>
      <c r="BL363" s="22"/>
      <c r="BM363" s="22"/>
      <c r="BN363" s="22"/>
      <c r="BO363" s="22"/>
      <c r="BP363" s="22"/>
      <c r="BQ363" s="22"/>
      <c r="BR363" s="22"/>
      <c r="BS363" s="22"/>
      <c r="BT363" s="22"/>
      <c r="BU363" s="22"/>
      <c r="BV363" s="22"/>
      <c r="BW363" s="22"/>
      <c r="BX363" s="22"/>
      <c r="BY363" s="22"/>
      <c r="BZ363" s="22"/>
      <c r="CA363" s="22"/>
      <c r="CB363" s="22"/>
      <c r="CC363" s="22"/>
      <c r="CD363" s="22"/>
      <c r="CE363" s="22"/>
      <c r="CF363" s="22"/>
      <c r="CG363" s="22"/>
      <c r="CH363" s="22"/>
      <c r="CI363" s="22"/>
      <c r="CJ363" s="22"/>
      <c r="CK363" s="22"/>
      <c r="CL363" s="22"/>
      <c r="CM363" s="22"/>
      <c r="CN363" s="22"/>
      <c r="CO363" s="22"/>
      <c r="CP363" s="22"/>
      <c r="CQ363" s="22"/>
      <c r="CR363" s="22"/>
      <c r="CS363" s="22"/>
      <c r="CT363" s="22"/>
      <c r="CU363" s="22"/>
      <c r="CV363" s="22"/>
      <c r="CW363" s="22"/>
      <c r="CX363" s="22"/>
      <c r="CY363" s="22"/>
      <c r="CZ363" s="22"/>
      <c r="DA363" s="22"/>
      <c r="DB363" s="22"/>
      <c r="DC363" s="22"/>
      <c r="DD363" s="22"/>
      <c r="DE363" s="22"/>
      <c r="DF363" s="22"/>
      <c r="DG363" s="22"/>
      <c r="DH363" s="22"/>
      <c r="DI363" s="22"/>
      <c r="DJ363" s="22"/>
      <c r="DK363" s="22"/>
      <c r="DL363" s="22"/>
      <c r="DM363" s="22"/>
      <c r="DN363" s="22"/>
      <c r="DO363" s="22"/>
      <c r="DP363" s="22"/>
      <c r="DQ363" s="22"/>
      <c r="DR363" s="22"/>
      <c r="DS363" s="22"/>
      <c r="DT363" s="22"/>
      <c r="DU363" s="22"/>
      <c r="DV363" s="22"/>
      <c r="DW363" s="22"/>
      <c r="DX363" s="22"/>
      <c r="DY363" s="22"/>
      <c r="DZ363" s="22"/>
      <c r="EA363" s="22"/>
      <c r="EB363" s="22"/>
      <c r="EC363" s="22"/>
      <c r="ED363" s="22"/>
      <c r="EE363" s="22"/>
      <c r="EF363" s="22"/>
      <c r="EG363" s="22"/>
      <c r="EH363" s="22"/>
      <c r="EI363" s="22"/>
      <c r="EJ363" s="22"/>
      <c r="EK363" s="22"/>
      <c r="EL363" s="22"/>
      <c r="EM363" s="22"/>
      <c r="EN363" s="22"/>
      <c r="EO363" s="22"/>
      <c r="EP363" s="22"/>
      <c r="EQ363" s="22"/>
      <c r="ER363" s="22"/>
      <c r="ES363" s="22"/>
      <c r="ET363" s="22"/>
      <c r="EU363" s="22"/>
      <c r="EV363" s="22"/>
      <c r="EW363" s="22"/>
      <c r="EX363" s="22"/>
      <c r="EY363" s="22"/>
      <c r="EZ363" s="22"/>
      <c r="FA363" s="22"/>
      <c r="FB363" s="22"/>
      <c r="FC363" s="22"/>
      <c r="FD363" s="22"/>
      <c r="FE363" s="22"/>
      <c r="FF363" s="22"/>
      <c r="FG363" s="22"/>
      <c r="FH363" s="22"/>
      <c r="FI363" s="22"/>
      <c r="FJ363" s="22"/>
      <c r="FK363" s="22"/>
      <c r="FL363" s="22"/>
      <c r="FM363" s="22"/>
      <c r="FN363" s="22"/>
      <c r="FO363" s="22"/>
      <c r="FP363" s="22"/>
      <c r="FQ363" s="22"/>
      <c r="FR363" s="22"/>
      <c r="FS363" s="22"/>
      <c r="FT363" s="22"/>
      <c r="FU363" s="22"/>
      <c r="FV363" s="22"/>
      <c r="FW363" s="22"/>
      <c r="FX363" s="22"/>
      <c r="FY363" s="22"/>
      <c r="FZ363" s="22"/>
    </row>
    <row r="364" spans="2:182" x14ac:dyDescent="0.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c r="Z364" s="22"/>
      <c r="AA364" s="22"/>
      <c r="AB364" s="22"/>
      <c r="AC364" s="22"/>
      <c r="AD364" s="22"/>
      <c r="AE364" s="22"/>
      <c r="AF364" s="22"/>
      <c r="AG364" s="22"/>
      <c r="AH364" s="22"/>
      <c r="AI364" s="22"/>
      <c r="AJ364" s="22"/>
      <c r="AK364" s="22"/>
      <c r="AL364" s="22"/>
      <c r="AM364" s="22"/>
      <c r="AN364" s="22"/>
      <c r="AO364" s="22"/>
      <c r="AP364" s="22"/>
      <c r="AQ364" s="22"/>
      <c r="AR364" s="22"/>
      <c r="AS364" s="22"/>
      <c r="AT364" s="22"/>
      <c r="AU364" s="22"/>
      <c r="AV364" s="22"/>
      <c r="AW364" s="22"/>
      <c r="AX364" s="22"/>
      <c r="AY364" s="22"/>
      <c r="AZ364" s="22"/>
      <c r="BA364" s="22"/>
      <c r="BB364" s="22"/>
      <c r="BC364" s="22"/>
      <c r="BD364" s="22"/>
      <c r="BE364" s="22"/>
      <c r="BF364" s="22"/>
      <c r="BG364" s="22"/>
      <c r="BH364" s="22"/>
      <c r="BI364" s="22"/>
      <c r="BJ364" s="22"/>
      <c r="BK364" s="22"/>
      <c r="BL364" s="22"/>
      <c r="BM364" s="22"/>
      <c r="BN364" s="22"/>
      <c r="BO364" s="22"/>
      <c r="BP364" s="22"/>
      <c r="BQ364" s="22"/>
      <c r="BR364" s="22"/>
      <c r="BS364" s="22"/>
      <c r="BT364" s="22"/>
      <c r="BU364" s="22"/>
      <c r="BV364" s="22"/>
      <c r="BW364" s="22"/>
      <c r="BX364" s="22"/>
      <c r="BY364" s="22"/>
      <c r="BZ364" s="22"/>
      <c r="CA364" s="22"/>
      <c r="CB364" s="22"/>
      <c r="CC364" s="22"/>
      <c r="CD364" s="22"/>
      <c r="CE364" s="22"/>
      <c r="CF364" s="22"/>
      <c r="CG364" s="22"/>
      <c r="CH364" s="22"/>
      <c r="CI364" s="22"/>
      <c r="CJ364" s="22"/>
      <c r="CK364" s="22"/>
      <c r="CL364" s="22"/>
      <c r="CM364" s="22"/>
      <c r="CN364" s="22"/>
      <c r="CO364" s="22"/>
      <c r="CP364" s="22"/>
      <c r="CQ364" s="22"/>
      <c r="CR364" s="22"/>
      <c r="CS364" s="22"/>
      <c r="CT364" s="22"/>
      <c r="CU364" s="22"/>
      <c r="CV364" s="22"/>
      <c r="CW364" s="22"/>
      <c r="CX364" s="22"/>
      <c r="CY364" s="22"/>
      <c r="CZ364" s="22"/>
      <c r="DA364" s="22"/>
      <c r="DB364" s="22"/>
      <c r="DC364" s="22"/>
      <c r="DD364" s="22"/>
      <c r="DE364" s="22"/>
      <c r="DF364" s="22"/>
      <c r="DG364" s="22"/>
      <c r="DH364" s="22"/>
      <c r="DI364" s="22"/>
      <c r="DJ364" s="22"/>
      <c r="DK364" s="22"/>
      <c r="DL364" s="22"/>
      <c r="DM364" s="22"/>
      <c r="DN364" s="22"/>
      <c r="DO364" s="22"/>
      <c r="DP364" s="22"/>
      <c r="DQ364" s="22"/>
      <c r="DR364" s="22"/>
      <c r="DS364" s="22"/>
      <c r="DT364" s="22"/>
      <c r="DU364" s="22"/>
      <c r="DV364" s="22"/>
      <c r="DW364" s="22"/>
      <c r="DX364" s="22"/>
      <c r="DY364" s="22"/>
      <c r="DZ364" s="22"/>
      <c r="EA364" s="22"/>
      <c r="EB364" s="22"/>
      <c r="EC364" s="22"/>
      <c r="ED364" s="22"/>
      <c r="EE364" s="22"/>
      <c r="EF364" s="22"/>
      <c r="EG364" s="22"/>
      <c r="EH364" s="22"/>
      <c r="EI364" s="22"/>
      <c r="EJ364" s="22"/>
      <c r="EK364" s="22"/>
      <c r="EL364" s="22"/>
      <c r="EM364" s="22"/>
      <c r="EN364" s="22"/>
      <c r="EO364" s="22"/>
      <c r="EP364" s="22"/>
      <c r="EQ364" s="22"/>
      <c r="ER364" s="22"/>
      <c r="ES364" s="22"/>
      <c r="ET364" s="22"/>
      <c r="EU364" s="22"/>
      <c r="EV364" s="22"/>
      <c r="EW364" s="22"/>
      <c r="EX364" s="22"/>
      <c r="EY364" s="22"/>
      <c r="EZ364" s="22"/>
      <c r="FA364" s="22"/>
      <c r="FB364" s="22"/>
      <c r="FC364" s="22"/>
      <c r="FD364" s="22"/>
      <c r="FE364" s="22"/>
      <c r="FF364" s="22"/>
      <c r="FG364" s="22"/>
      <c r="FH364" s="22"/>
      <c r="FI364" s="22"/>
      <c r="FJ364" s="22"/>
      <c r="FK364" s="22"/>
      <c r="FL364" s="22"/>
      <c r="FM364" s="22"/>
      <c r="FN364" s="22"/>
      <c r="FO364" s="22"/>
      <c r="FP364" s="22"/>
      <c r="FQ364" s="22"/>
      <c r="FR364" s="22"/>
      <c r="FS364" s="22"/>
      <c r="FT364" s="22"/>
      <c r="FU364" s="22"/>
      <c r="FV364" s="22"/>
      <c r="FW364" s="22"/>
      <c r="FX364" s="22"/>
      <c r="FY364" s="22"/>
      <c r="FZ364" s="22"/>
    </row>
    <row r="365" spans="2:182" x14ac:dyDescent="0.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c r="Z365" s="22"/>
      <c r="AA365" s="22"/>
      <c r="AB365" s="22"/>
      <c r="AC365" s="22"/>
      <c r="AD365" s="22"/>
      <c r="AE365" s="22"/>
      <c r="AF365" s="22"/>
      <c r="AG365" s="22"/>
      <c r="AH365" s="22"/>
      <c r="AI365" s="22"/>
      <c r="AJ365" s="22"/>
      <c r="AK365" s="22"/>
      <c r="AL365" s="22"/>
      <c r="AM365" s="22"/>
      <c r="AN365" s="22"/>
      <c r="AO365" s="22"/>
      <c r="AP365" s="22"/>
      <c r="AQ365" s="22"/>
      <c r="AR365" s="22"/>
      <c r="AS365" s="22"/>
      <c r="AT365" s="22"/>
      <c r="AU365" s="22"/>
      <c r="AV365" s="22"/>
      <c r="AW365" s="22"/>
      <c r="AX365" s="22"/>
      <c r="AY365" s="22"/>
      <c r="AZ365" s="22"/>
      <c r="BA365" s="22"/>
      <c r="BB365" s="22"/>
      <c r="BC365" s="22"/>
      <c r="BD365" s="22"/>
      <c r="BE365" s="22"/>
      <c r="BF365" s="22"/>
      <c r="BG365" s="22"/>
      <c r="BH365" s="22"/>
      <c r="BI365" s="22"/>
      <c r="BJ365" s="22"/>
      <c r="BK365" s="22"/>
      <c r="BL365" s="22"/>
      <c r="BM365" s="22"/>
      <c r="BN365" s="22"/>
      <c r="BO365" s="22"/>
      <c r="BP365" s="22"/>
      <c r="BQ365" s="22"/>
      <c r="BR365" s="22"/>
      <c r="BS365" s="22"/>
      <c r="BT365" s="22"/>
      <c r="BU365" s="22"/>
      <c r="BV365" s="22"/>
      <c r="BW365" s="22"/>
      <c r="BX365" s="22"/>
      <c r="BY365" s="22"/>
      <c r="BZ365" s="22"/>
      <c r="CA365" s="22"/>
      <c r="CB365" s="22"/>
      <c r="CC365" s="22"/>
      <c r="CD365" s="22"/>
      <c r="CE365" s="22"/>
      <c r="CF365" s="22"/>
      <c r="CG365" s="22"/>
      <c r="CH365" s="22"/>
      <c r="CI365" s="22"/>
      <c r="CJ365" s="22"/>
      <c r="CK365" s="22"/>
      <c r="CL365" s="22"/>
      <c r="CM365" s="22"/>
      <c r="CN365" s="22"/>
      <c r="CO365" s="22"/>
      <c r="CP365" s="22"/>
      <c r="CQ365" s="22"/>
      <c r="CR365" s="22"/>
      <c r="CS365" s="22"/>
      <c r="CT365" s="22"/>
      <c r="CU365" s="22"/>
      <c r="CV365" s="22"/>
      <c r="CW365" s="22"/>
      <c r="CX365" s="22"/>
      <c r="CY365" s="22"/>
      <c r="CZ365" s="22"/>
      <c r="DA365" s="22"/>
      <c r="DB365" s="22"/>
      <c r="DC365" s="22"/>
      <c r="DD365" s="22"/>
      <c r="DE365" s="22"/>
      <c r="DF365" s="22"/>
      <c r="DG365" s="22"/>
      <c r="DH365" s="22"/>
      <c r="DI365" s="22"/>
      <c r="DJ365" s="22"/>
      <c r="DK365" s="22"/>
      <c r="DL365" s="22"/>
      <c r="DM365" s="22"/>
      <c r="DN365" s="22"/>
      <c r="DO365" s="22"/>
      <c r="DP365" s="22"/>
      <c r="DQ365" s="22"/>
      <c r="DR365" s="22"/>
      <c r="DS365" s="22"/>
      <c r="DT365" s="22"/>
      <c r="DU365" s="22"/>
      <c r="DV365" s="22"/>
      <c r="DW365" s="22"/>
      <c r="DX365" s="22"/>
      <c r="DY365" s="22"/>
      <c r="DZ365" s="22"/>
      <c r="EA365" s="22"/>
      <c r="EB365" s="22"/>
      <c r="EC365" s="22"/>
      <c r="ED365" s="22"/>
      <c r="EE365" s="22"/>
      <c r="EF365" s="22"/>
      <c r="EG365" s="22"/>
      <c r="EH365" s="22"/>
      <c r="EI365" s="22"/>
      <c r="EJ365" s="22"/>
      <c r="EK365" s="22"/>
      <c r="EL365" s="22"/>
      <c r="EM365" s="22"/>
      <c r="EN365" s="22"/>
      <c r="EO365" s="22"/>
      <c r="EP365" s="22"/>
      <c r="EQ365" s="22"/>
      <c r="ER365" s="22"/>
      <c r="ES365" s="22"/>
      <c r="ET365" s="22"/>
      <c r="EU365" s="22"/>
      <c r="EV365" s="22"/>
      <c r="EW365" s="22"/>
      <c r="EX365" s="22"/>
      <c r="EY365" s="22"/>
      <c r="EZ365" s="22"/>
      <c r="FA365" s="22"/>
      <c r="FB365" s="22"/>
      <c r="FC365" s="22"/>
      <c r="FD365" s="22"/>
      <c r="FE365" s="22"/>
      <c r="FF365" s="22"/>
      <c r="FG365" s="22"/>
      <c r="FH365" s="22"/>
      <c r="FI365" s="22"/>
      <c r="FJ365" s="22"/>
      <c r="FK365" s="22"/>
      <c r="FL365" s="22"/>
      <c r="FM365" s="22"/>
      <c r="FN365" s="22"/>
      <c r="FO365" s="22"/>
      <c r="FP365" s="22"/>
      <c r="FQ365" s="22"/>
      <c r="FR365" s="22"/>
      <c r="FS365" s="22"/>
      <c r="FT365" s="22"/>
      <c r="FU365" s="22"/>
      <c r="FV365" s="22"/>
      <c r="FW365" s="22"/>
      <c r="FX365" s="22"/>
      <c r="FY365" s="22"/>
      <c r="FZ365" s="22"/>
    </row>
    <row r="366" spans="2:182" x14ac:dyDescent="0.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c r="Z366" s="22"/>
      <c r="AA366" s="22"/>
      <c r="AB366" s="22"/>
      <c r="AC366" s="22"/>
      <c r="AD366" s="22"/>
      <c r="AE366" s="22"/>
      <c r="AF366" s="22"/>
      <c r="AG366" s="22"/>
      <c r="AH366" s="22"/>
      <c r="AI366" s="22"/>
      <c r="AJ366" s="22"/>
      <c r="AK366" s="22"/>
      <c r="AL366" s="22"/>
      <c r="AM366" s="22"/>
      <c r="AN366" s="22"/>
      <c r="AO366" s="22"/>
      <c r="AP366" s="22"/>
      <c r="AQ366" s="22"/>
      <c r="AR366" s="22"/>
      <c r="AS366" s="22"/>
      <c r="AT366" s="22"/>
      <c r="AU366" s="22"/>
      <c r="AV366" s="22"/>
      <c r="AW366" s="22"/>
      <c r="AX366" s="22"/>
      <c r="AY366" s="22"/>
      <c r="AZ366" s="22"/>
      <c r="BA366" s="22"/>
      <c r="BB366" s="22"/>
      <c r="BC366" s="22"/>
      <c r="BD366" s="22"/>
      <c r="BE366" s="22"/>
      <c r="BF366" s="22"/>
      <c r="BG366" s="22"/>
      <c r="BH366" s="22"/>
      <c r="BI366" s="22"/>
      <c r="BJ366" s="22"/>
      <c r="BK366" s="22"/>
      <c r="BL366" s="22"/>
      <c r="BM366" s="22"/>
      <c r="BN366" s="22"/>
      <c r="BO366" s="22"/>
      <c r="BP366" s="22"/>
      <c r="BQ366" s="22"/>
      <c r="BR366" s="22"/>
      <c r="BS366" s="22"/>
      <c r="BT366" s="22"/>
      <c r="BU366" s="22"/>
      <c r="BV366" s="22"/>
      <c r="BW366" s="22"/>
      <c r="BX366" s="22"/>
      <c r="BY366" s="22"/>
      <c r="BZ366" s="22"/>
      <c r="CA366" s="22"/>
      <c r="CB366" s="22"/>
      <c r="CC366" s="22"/>
      <c r="CD366" s="22"/>
      <c r="CE366" s="22"/>
      <c r="CF366" s="22"/>
      <c r="CG366" s="22"/>
      <c r="CH366" s="22"/>
      <c r="CI366" s="22"/>
      <c r="CJ366" s="22"/>
      <c r="CK366" s="22"/>
      <c r="CL366" s="22"/>
      <c r="CM366" s="22"/>
      <c r="CN366" s="22"/>
      <c r="CO366" s="22"/>
      <c r="CP366" s="22"/>
      <c r="CQ366" s="22"/>
      <c r="CR366" s="22"/>
      <c r="CS366" s="22"/>
      <c r="CT366" s="22"/>
      <c r="CU366" s="22"/>
      <c r="CV366" s="22"/>
      <c r="CW366" s="22"/>
      <c r="CX366" s="22"/>
      <c r="CY366" s="22"/>
      <c r="CZ366" s="22"/>
      <c r="DA366" s="22"/>
      <c r="DB366" s="22"/>
      <c r="DC366" s="22"/>
      <c r="DD366" s="22"/>
      <c r="DE366" s="22"/>
      <c r="DF366" s="22"/>
      <c r="DG366" s="22"/>
      <c r="DH366" s="22"/>
      <c r="DI366" s="22"/>
      <c r="DJ366" s="22"/>
      <c r="DK366" s="22"/>
      <c r="DL366" s="22"/>
      <c r="DM366" s="22"/>
      <c r="DN366" s="22"/>
      <c r="DO366" s="22"/>
      <c r="DP366" s="22"/>
      <c r="DQ366" s="22"/>
      <c r="DR366" s="22"/>
      <c r="DS366" s="22"/>
      <c r="DT366" s="22"/>
      <c r="DU366" s="22"/>
      <c r="DV366" s="22"/>
      <c r="DW366" s="22"/>
      <c r="DX366" s="22"/>
      <c r="DY366" s="22"/>
      <c r="DZ366" s="22"/>
      <c r="EA366" s="22"/>
      <c r="EB366" s="22"/>
      <c r="EC366" s="22"/>
      <c r="ED366" s="22"/>
      <c r="EE366" s="22"/>
      <c r="EF366" s="22"/>
      <c r="EG366" s="22"/>
      <c r="EH366" s="22"/>
      <c r="EI366" s="22"/>
      <c r="EJ366" s="22"/>
      <c r="EK366" s="22"/>
      <c r="EL366" s="22"/>
      <c r="EM366" s="22"/>
      <c r="EN366" s="22"/>
      <c r="EO366" s="22"/>
      <c r="EP366" s="22"/>
      <c r="EQ366" s="22"/>
      <c r="ER366" s="22"/>
      <c r="ES366" s="22"/>
      <c r="ET366" s="22"/>
      <c r="EU366" s="22"/>
      <c r="EV366" s="22"/>
      <c r="EW366" s="22"/>
      <c r="EX366" s="22"/>
      <c r="EY366" s="22"/>
      <c r="EZ366" s="22"/>
      <c r="FA366" s="22"/>
      <c r="FB366" s="22"/>
      <c r="FC366" s="22"/>
      <c r="FD366" s="22"/>
      <c r="FE366" s="22"/>
      <c r="FF366" s="22"/>
      <c r="FG366" s="22"/>
      <c r="FH366" s="22"/>
      <c r="FI366" s="22"/>
      <c r="FJ366" s="22"/>
      <c r="FK366" s="22"/>
      <c r="FL366" s="22"/>
      <c r="FM366" s="22"/>
      <c r="FN366" s="22"/>
      <c r="FO366" s="22"/>
      <c r="FP366" s="22"/>
      <c r="FQ366" s="22"/>
      <c r="FR366" s="22"/>
      <c r="FS366" s="22"/>
      <c r="FT366" s="22"/>
      <c r="FU366" s="22"/>
      <c r="FV366" s="22"/>
      <c r="FW366" s="22"/>
      <c r="FX366" s="22"/>
      <c r="FY366" s="22"/>
      <c r="FZ366" s="22"/>
    </row>
    <row r="367" spans="2:182" x14ac:dyDescent="0.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c r="Z367" s="22"/>
      <c r="AA367" s="22"/>
      <c r="AB367" s="22"/>
      <c r="AC367" s="22"/>
      <c r="AD367" s="22"/>
      <c r="AE367" s="22"/>
      <c r="AF367" s="22"/>
      <c r="AG367" s="22"/>
      <c r="AH367" s="22"/>
      <c r="AI367" s="22"/>
      <c r="AJ367" s="22"/>
      <c r="AK367" s="22"/>
      <c r="AL367" s="22"/>
      <c r="AM367" s="22"/>
      <c r="AN367" s="22"/>
      <c r="AO367" s="22"/>
      <c r="AP367" s="22"/>
      <c r="AQ367" s="22"/>
      <c r="AR367" s="22"/>
      <c r="AS367" s="22"/>
      <c r="AT367" s="22"/>
      <c r="AU367" s="22"/>
      <c r="AV367" s="22"/>
      <c r="AW367" s="22"/>
      <c r="AX367" s="22"/>
      <c r="AY367" s="22"/>
      <c r="AZ367" s="22"/>
      <c r="BA367" s="22"/>
      <c r="BB367" s="22"/>
      <c r="BC367" s="22"/>
      <c r="BD367" s="22"/>
      <c r="BE367" s="22"/>
      <c r="BF367" s="22"/>
      <c r="BG367" s="22"/>
      <c r="BH367" s="22"/>
      <c r="BI367" s="22"/>
      <c r="BJ367" s="22"/>
      <c r="BK367" s="22"/>
      <c r="BL367" s="22"/>
      <c r="BM367" s="22"/>
      <c r="BN367" s="22"/>
      <c r="BO367" s="22"/>
      <c r="BP367" s="22"/>
      <c r="BQ367" s="22"/>
      <c r="BR367" s="22"/>
      <c r="BS367" s="22"/>
      <c r="BT367" s="22"/>
      <c r="BU367" s="22"/>
      <c r="BV367" s="22"/>
      <c r="BW367" s="22"/>
      <c r="BX367" s="22"/>
      <c r="BY367" s="22"/>
      <c r="BZ367" s="22"/>
      <c r="CA367" s="22"/>
      <c r="CB367" s="22"/>
      <c r="CC367" s="22"/>
      <c r="CD367" s="22"/>
      <c r="CE367" s="22"/>
      <c r="CF367" s="22"/>
      <c r="CG367" s="22"/>
      <c r="CH367" s="22"/>
      <c r="CI367" s="22"/>
      <c r="CJ367" s="22"/>
      <c r="CK367" s="22"/>
      <c r="CL367" s="22"/>
      <c r="CM367" s="22"/>
      <c r="CN367" s="22"/>
      <c r="CO367" s="22"/>
      <c r="CP367" s="22"/>
      <c r="CQ367" s="22"/>
      <c r="CR367" s="22"/>
      <c r="CS367" s="22"/>
      <c r="CT367" s="22"/>
      <c r="CU367" s="22"/>
      <c r="CV367" s="22"/>
      <c r="CW367" s="22"/>
      <c r="CX367" s="22"/>
      <c r="CY367" s="22"/>
      <c r="CZ367" s="22"/>
      <c r="DA367" s="22"/>
      <c r="DB367" s="22"/>
      <c r="DC367" s="22"/>
      <c r="DD367" s="22"/>
      <c r="DE367" s="22"/>
      <c r="DF367" s="22"/>
      <c r="DG367" s="22"/>
      <c r="DH367" s="22"/>
      <c r="DI367" s="22"/>
      <c r="DJ367" s="22"/>
      <c r="DK367" s="22"/>
      <c r="DL367" s="22"/>
      <c r="DM367" s="22"/>
      <c r="DN367" s="22"/>
      <c r="DO367" s="22"/>
      <c r="DP367" s="22"/>
      <c r="DQ367" s="22"/>
      <c r="DR367" s="22"/>
      <c r="DS367" s="22"/>
      <c r="DT367" s="22"/>
      <c r="DU367" s="22"/>
      <c r="DV367" s="22"/>
      <c r="DW367" s="22"/>
      <c r="DX367" s="22"/>
      <c r="DY367" s="22"/>
      <c r="DZ367" s="22"/>
      <c r="EA367" s="22"/>
      <c r="EB367" s="22"/>
      <c r="EC367" s="22"/>
      <c r="ED367" s="22"/>
      <c r="EE367" s="22"/>
      <c r="EF367" s="22"/>
      <c r="EG367" s="22"/>
      <c r="EH367" s="22"/>
      <c r="EI367" s="22"/>
      <c r="EJ367" s="22"/>
      <c r="EK367" s="22"/>
      <c r="EL367" s="22"/>
      <c r="EM367" s="22"/>
      <c r="EN367" s="22"/>
      <c r="EO367" s="22"/>
      <c r="EP367" s="22"/>
      <c r="EQ367" s="22"/>
      <c r="ER367" s="22"/>
      <c r="ES367" s="22"/>
      <c r="ET367" s="22"/>
      <c r="EU367" s="22"/>
      <c r="EV367" s="22"/>
      <c r="EW367" s="22"/>
      <c r="EX367" s="22"/>
      <c r="EY367" s="22"/>
      <c r="EZ367" s="22"/>
      <c r="FA367" s="22"/>
      <c r="FB367" s="22"/>
      <c r="FC367" s="22"/>
      <c r="FD367" s="22"/>
      <c r="FE367" s="22"/>
      <c r="FF367" s="22"/>
      <c r="FG367" s="22"/>
      <c r="FH367" s="22"/>
      <c r="FI367" s="22"/>
      <c r="FJ367" s="22"/>
      <c r="FK367" s="22"/>
      <c r="FL367" s="22"/>
      <c r="FM367" s="22"/>
      <c r="FN367" s="22"/>
      <c r="FO367" s="22"/>
      <c r="FP367" s="22"/>
      <c r="FQ367" s="22"/>
      <c r="FR367" s="22"/>
      <c r="FS367" s="22"/>
      <c r="FT367" s="22"/>
      <c r="FU367" s="22"/>
      <c r="FV367" s="22"/>
      <c r="FW367" s="22"/>
      <c r="FX367" s="22"/>
      <c r="FY367" s="22"/>
      <c r="FZ367" s="22"/>
    </row>
    <row r="368" spans="2:182" x14ac:dyDescent="0.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c r="Z368" s="22"/>
      <c r="AA368" s="22"/>
      <c r="AB368" s="22"/>
      <c r="AC368" s="22"/>
      <c r="AD368" s="22"/>
      <c r="AE368" s="22"/>
      <c r="AF368" s="22"/>
      <c r="AG368" s="22"/>
      <c r="AH368" s="22"/>
      <c r="AI368" s="22"/>
      <c r="AJ368" s="22"/>
      <c r="AK368" s="22"/>
      <c r="AL368" s="22"/>
      <c r="AM368" s="22"/>
      <c r="AN368" s="22"/>
      <c r="AO368" s="22"/>
      <c r="AP368" s="22"/>
      <c r="AQ368" s="22"/>
      <c r="AR368" s="22"/>
      <c r="AS368" s="22"/>
      <c r="AT368" s="22"/>
      <c r="AU368" s="22"/>
      <c r="AV368" s="22"/>
      <c r="AW368" s="22"/>
      <c r="AX368" s="22"/>
      <c r="AY368" s="22"/>
      <c r="AZ368" s="22"/>
      <c r="BA368" s="22"/>
      <c r="BB368" s="22"/>
      <c r="BC368" s="22"/>
      <c r="BD368" s="22"/>
      <c r="BE368" s="22"/>
      <c r="BF368" s="22"/>
      <c r="BG368" s="22"/>
      <c r="BH368" s="22"/>
      <c r="BI368" s="22"/>
      <c r="BJ368" s="22"/>
      <c r="BK368" s="22"/>
      <c r="BL368" s="22"/>
      <c r="BM368" s="22"/>
      <c r="BN368" s="22"/>
      <c r="BO368" s="22"/>
      <c r="BP368" s="22"/>
      <c r="BQ368" s="22"/>
      <c r="BR368" s="22"/>
      <c r="BS368" s="22"/>
      <c r="BT368" s="22"/>
      <c r="BU368" s="22"/>
      <c r="BV368" s="22"/>
      <c r="BW368" s="22"/>
      <c r="BX368" s="22"/>
      <c r="BY368" s="22"/>
      <c r="BZ368" s="22"/>
      <c r="CA368" s="22"/>
      <c r="CB368" s="22"/>
      <c r="CC368" s="22"/>
      <c r="CD368" s="22"/>
      <c r="CE368" s="22"/>
      <c r="CF368" s="22"/>
      <c r="CG368" s="22"/>
      <c r="CH368" s="22"/>
      <c r="CI368" s="22"/>
      <c r="CJ368" s="22"/>
      <c r="CK368" s="22"/>
      <c r="CL368" s="22"/>
      <c r="CM368" s="22"/>
      <c r="CN368" s="22"/>
      <c r="CO368" s="22"/>
      <c r="CP368" s="22"/>
      <c r="CQ368" s="22"/>
      <c r="CR368" s="22"/>
      <c r="CS368" s="22"/>
      <c r="CT368" s="22"/>
      <c r="CU368" s="22"/>
      <c r="CV368" s="22"/>
      <c r="CW368" s="22"/>
      <c r="CX368" s="22"/>
      <c r="CY368" s="22"/>
      <c r="CZ368" s="22"/>
      <c r="DA368" s="22"/>
      <c r="DB368" s="22"/>
      <c r="DC368" s="22"/>
      <c r="DD368" s="22"/>
      <c r="DE368" s="22"/>
      <c r="DF368" s="22"/>
      <c r="DG368" s="22"/>
      <c r="DH368" s="22"/>
      <c r="DI368" s="22"/>
      <c r="DJ368" s="22"/>
      <c r="DK368" s="22"/>
      <c r="DL368" s="22"/>
      <c r="DM368" s="22"/>
      <c r="DN368" s="22"/>
      <c r="DO368" s="22"/>
      <c r="DP368" s="22"/>
      <c r="DQ368" s="22"/>
      <c r="DR368" s="22"/>
      <c r="DS368" s="22"/>
      <c r="DT368" s="22"/>
      <c r="DU368" s="22"/>
      <c r="DV368" s="22"/>
      <c r="DW368" s="22"/>
      <c r="DX368" s="22"/>
      <c r="DY368" s="22"/>
      <c r="DZ368" s="22"/>
      <c r="EA368" s="22"/>
      <c r="EB368" s="22"/>
      <c r="EC368" s="22"/>
      <c r="ED368" s="22"/>
      <c r="EE368" s="22"/>
      <c r="EF368" s="22"/>
      <c r="EG368" s="22"/>
      <c r="EH368" s="22"/>
      <c r="EI368" s="22"/>
      <c r="EJ368" s="22"/>
      <c r="EK368" s="22"/>
      <c r="EL368" s="22"/>
      <c r="EM368" s="22"/>
      <c r="EN368" s="22"/>
      <c r="EO368" s="22"/>
      <c r="EP368" s="22"/>
      <c r="EQ368" s="22"/>
      <c r="ER368" s="22"/>
      <c r="ES368" s="22"/>
      <c r="ET368" s="22"/>
      <c r="EU368" s="22"/>
      <c r="EV368" s="22"/>
      <c r="EW368" s="22"/>
      <c r="EX368" s="22"/>
      <c r="EY368" s="22"/>
      <c r="EZ368" s="22"/>
      <c r="FA368" s="22"/>
      <c r="FB368" s="22"/>
      <c r="FC368" s="22"/>
      <c r="FD368" s="22"/>
      <c r="FE368" s="22"/>
      <c r="FF368" s="22"/>
      <c r="FG368" s="22"/>
      <c r="FH368" s="22"/>
      <c r="FI368" s="22"/>
      <c r="FJ368" s="22"/>
      <c r="FK368" s="22"/>
      <c r="FL368" s="22"/>
      <c r="FM368" s="22"/>
      <c r="FN368" s="22"/>
      <c r="FO368" s="22"/>
      <c r="FP368" s="22"/>
      <c r="FQ368" s="22"/>
      <c r="FR368" s="22"/>
      <c r="FS368" s="22"/>
      <c r="FT368" s="22"/>
      <c r="FU368" s="22"/>
      <c r="FV368" s="22"/>
      <c r="FW368" s="22"/>
      <c r="FX368" s="22"/>
      <c r="FY368" s="22"/>
      <c r="FZ368" s="22"/>
    </row>
    <row r="369" spans="2:182" x14ac:dyDescent="0.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c r="Z369" s="22"/>
      <c r="AA369" s="22"/>
      <c r="AB369" s="22"/>
      <c r="AC369" s="22"/>
      <c r="AD369" s="22"/>
      <c r="AE369" s="22"/>
      <c r="AF369" s="22"/>
      <c r="AG369" s="22"/>
      <c r="AH369" s="22"/>
      <c r="AI369" s="22"/>
      <c r="AJ369" s="22"/>
      <c r="AK369" s="22"/>
      <c r="AL369" s="22"/>
      <c r="AM369" s="22"/>
      <c r="AN369" s="22"/>
      <c r="AO369" s="22"/>
      <c r="AP369" s="22"/>
      <c r="AQ369" s="22"/>
      <c r="AR369" s="22"/>
      <c r="AS369" s="22"/>
      <c r="AT369" s="22"/>
      <c r="AU369" s="22"/>
      <c r="AV369" s="22"/>
      <c r="AW369" s="22"/>
      <c r="AX369" s="22"/>
      <c r="AY369" s="22"/>
      <c r="AZ369" s="22"/>
      <c r="BA369" s="22"/>
      <c r="BB369" s="22"/>
      <c r="BC369" s="22"/>
      <c r="BD369" s="22"/>
      <c r="BE369" s="22"/>
      <c r="BF369" s="22"/>
      <c r="BG369" s="22"/>
      <c r="BH369" s="22"/>
      <c r="BI369" s="22"/>
      <c r="BJ369" s="22"/>
      <c r="BK369" s="22"/>
      <c r="BL369" s="22"/>
      <c r="BM369" s="22"/>
      <c r="BN369" s="22"/>
      <c r="BO369" s="22"/>
      <c r="BP369" s="22"/>
      <c r="BQ369" s="22"/>
      <c r="BR369" s="22"/>
      <c r="BS369" s="22"/>
      <c r="BT369" s="22"/>
      <c r="BU369" s="22"/>
      <c r="BV369" s="22"/>
      <c r="BW369" s="22"/>
      <c r="BX369" s="22"/>
      <c r="BY369" s="22"/>
      <c r="BZ369" s="22"/>
      <c r="CA369" s="22"/>
      <c r="CB369" s="22"/>
      <c r="CC369" s="22"/>
      <c r="CD369" s="22"/>
      <c r="CE369" s="22"/>
      <c r="CF369" s="22"/>
      <c r="CG369" s="22"/>
      <c r="CH369" s="22"/>
      <c r="CI369" s="22"/>
      <c r="CJ369" s="22"/>
      <c r="CK369" s="22"/>
      <c r="CL369" s="22"/>
      <c r="CM369" s="22"/>
      <c r="CN369" s="22"/>
      <c r="CO369" s="22"/>
      <c r="CP369" s="22"/>
      <c r="CQ369" s="22"/>
      <c r="CR369" s="22"/>
      <c r="CS369" s="22"/>
      <c r="CT369" s="22"/>
      <c r="CU369" s="22"/>
      <c r="CV369" s="22"/>
      <c r="CW369" s="22"/>
      <c r="CX369" s="22"/>
      <c r="CY369" s="22"/>
      <c r="CZ369" s="22"/>
      <c r="DA369" s="22"/>
      <c r="DB369" s="22"/>
      <c r="DC369" s="22"/>
      <c r="DD369" s="22"/>
      <c r="DE369" s="22"/>
      <c r="DF369" s="22"/>
      <c r="DG369" s="22"/>
      <c r="DH369" s="22"/>
      <c r="DI369" s="22"/>
      <c r="DJ369" s="22"/>
      <c r="DK369" s="22"/>
      <c r="DL369" s="22"/>
      <c r="DM369" s="22"/>
      <c r="DN369" s="22"/>
      <c r="DO369" s="22"/>
      <c r="DP369" s="22"/>
      <c r="DQ369" s="22"/>
      <c r="DR369" s="22"/>
      <c r="DS369" s="22"/>
      <c r="DT369" s="22"/>
      <c r="DU369" s="22"/>
      <c r="DV369" s="22"/>
      <c r="DW369" s="22"/>
      <c r="DX369" s="22"/>
      <c r="DY369" s="22"/>
      <c r="DZ369" s="22"/>
      <c r="EA369" s="22"/>
      <c r="EB369" s="22"/>
      <c r="EC369" s="22"/>
      <c r="ED369" s="22"/>
      <c r="EE369" s="22"/>
      <c r="EF369" s="22"/>
      <c r="EG369" s="22"/>
      <c r="EH369" s="22"/>
      <c r="EI369" s="22"/>
      <c r="EJ369" s="22"/>
      <c r="EK369" s="22"/>
      <c r="EL369" s="22"/>
      <c r="EM369" s="22"/>
      <c r="EN369" s="22"/>
      <c r="EO369" s="22"/>
      <c r="EP369" s="22"/>
      <c r="EQ369" s="22"/>
      <c r="ER369" s="22"/>
      <c r="ES369" s="22"/>
      <c r="ET369" s="22"/>
      <c r="EU369" s="22"/>
      <c r="EV369" s="22"/>
      <c r="EW369" s="22"/>
      <c r="EX369" s="22"/>
      <c r="EY369" s="22"/>
      <c r="EZ369" s="22"/>
      <c r="FA369" s="22"/>
      <c r="FB369" s="22"/>
      <c r="FC369" s="22"/>
      <c r="FD369" s="22"/>
      <c r="FE369" s="22"/>
      <c r="FF369" s="22"/>
      <c r="FG369" s="22"/>
      <c r="FH369" s="22"/>
      <c r="FI369" s="22"/>
      <c r="FJ369" s="22"/>
      <c r="FK369" s="22"/>
      <c r="FL369" s="22"/>
      <c r="FM369" s="22"/>
      <c r="FN369" s="22"/>
      <c r="FO369" s="22"/>
      <c r="FP369" s="22"/>
      <c r="FQ369" s="22"/>
      <c r="FR369" s="22"/>
      <c r="FS369" s="22"/>
      <c r="FT369" s="22"/>
      <c r="FU369" s="22"/>
      <c r="FV369" s="22"/>
      <c r="FW369" s="22"/>
      <c r="FX369" s="22"/>
      <c r="FY369" s="22"/>
      <c r="FZ369" s="22"/>
    </row>
    <row r="370" spans="2:182" x14ac:dyDescent="0.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c r="Z370" s="22"/>
      <c r="AA370" s="22"/>
      <c r="AB370" s="22"/>
      <c r="AC370" s="22"/>
      <c r="AD370" s="22"/>
      <c r="AE370" s="22"/>
      <c r="AF370" s="22"/>
      <c r="AG370" s="22"/>
      <c r="AH370" s="22"/>
      <c r="AI370" s="22"/>
      <c r="AJ370" s="22"/>
      <c r="AK370" s="22"/>
      <c r="AL370" s="22"/>
      <c r="AM370" s="22"/>
      <c r="AN370" s="22"/>
      <c r="AO370" s="22"/>
      <c r="AP370" s="22"/>
      <c r="AQ370" s="22"/>
      <c r="AR370" s="22"/>
      <c r="AS370" s="22"/>
      <c r="AT370" s="22"/>
      <c r="AU370" s="22"/>
      <c r="AV370" s="22"/>
      <c r="AW370" s="22"/>
      <c r="AX370" s="22"/>
      <c r="AY370" s="22"/>
      <c r="AZ370" s="22"/>
      <c r="BA370" s="22"/>
      <c r="BB370" s="22"/>
      <c r="BC370" s="22"/>
      <c r="BD370" s="22"/>
      <c r="BE370" s="22"/>
      <c r="BF370" s="22"/>
      <c r="BG370" s="22"/>
      <c r="BH370" s="22"/>
      <c r="BI370" s="22"/>
      <c r="BJ370" s="22"/>
      <c r="BK370" s="22"/>
      <c r="BL370" s="22"/>
      <c r="BM370" s="22"/>
      <c r="BN370" s="22"/>
      <c r="BO370" s="22"/>
      <c r="BP370" s="22"/>
      <c r="BQ370" s="22"/>
      <c r="BR370" s="22"/>
      <c r="BS370" s="22"/>
      <c r="BT370" s="22"/>
      <c r="BU370" s="22"/>
      <c r="BV370" s="22"/>
      <c r="BW370" s="22"/>
      <c r="BX370" s="22"/>
      <c r="BY370" s="22"/>
      <c r="BZ370" s="22"/>
      <c r="CA370" s="22"/>
      <c r="CB370" s="22"/>
      <c r="CC370" s="22"/>
      <c r="CD370" s="22"/>
      <c r="CE370" s="22"/>
      <c r="CF370" s="22"/>
      <c r="CG370" s="22"/>
      <c r="CH370" s="22"/>
      <c r="CI370" s="22"/>
      <c r="CJ370" s="22"/>
      <c r="CK370" s="22"/>
      <c r="CL370" s="22"/>
      <c r="CM370" s="22"/>
      <c r="CN370" s="22"/>
      <c r="CO370" s="22"/>
      <c r="CP370" s="22"/>
      <c r="CQ370" s="22"/>
      <c r="CR370" s="22"/>
      <c r="CS370" s="22"/>
      <c r="CT370" s="22"/>
      <c r="CU370" s="22"/>
      <c r="CV370" s="22"/>
      <c r="CW370" s="22"/>
      <c r="CX370" s="22"/>
      <c r="CY370" s="22"/>
      <c r="CZ370" s="22"/>
      <c r="DA370" s="22"/>
      <c r="DB370" s="22"/>
      <c r="DC370" s="22"/>
      <c r="DD370" s="22"/>
      <c r="DE370" s="22"/>
      <c r="DF370" s="22"/>
      <c r="DG370" s="22"/>
      <c r="DH370" s="22"/>
      <c r="DI370" s="22"/>
      <c r="DJ370" s="22"/>
      <c r="DK370" s="22"/>
      <c r="DL370" s="22"/>
      <c r="DM370" s="22"/>
      <c r="DN370" s="22"/>
      <c r="DO370" s="22"/>
      <c r="DP370" s="22"/>
      <c r="DQ370" s="22"/>
      <c r="DR370" s="22"/>
      <c r="DS370" s="22"/>
      <c r="DT370" s="22"/>
      <c r="DU370" s="22"/>
      <c r="DV370" s="22"/>
      <c r="DW370" s="22"/>
      <c r="DX370" s="22"/>
      <c r="DY370" s="22"/>
      <c r="DZ370" s="22"/>
      <c r="EA370" s="22"/>
      <c r="EB370" s="22"/>
      <c r="EC370" s="22"/>
      <c r="ED370" s="22"/>
      <c r="EE370" s="22"/>
      <c r="EF370" s="22"/>
      <c r="EG370" s="22"/>
      <c r="EH370" s="22"/>
      <c r="EI370" s="22"/>
      <c r="EJ370" s="22"/>
      <c r="EK370" s="22"/>
      <c r="EL370" s="22"/>
      <c r="EM370" s="22"/>
      <c r="EN370" s="22"/>
      <c r="EO370" s="22"/>
      <c r="EP370" s="22"/>
      <c r="EQ370" s="22"/>
      <c r="ER370" s="22"/>
      <c r="ES370" s="22"/>
      <c r="ET370" s="22"/>
      <c r="EU370" s="22"/>
      <c r="EV370" s="22"/>
      <c r="EW370" s="22"/>
      <c r="EX370" s="22"/>
      <c r="EY370" s="22"/>
      <c r="EZ370" s="22"/>
      <c r="FA370" s="22"/>
      <c r="FB370" s="22"/>
      <c r="FC370" s="22"/>
      <c r="FD370" s="22"/>
      <c r="FE370" s="22"/>
      <c r="FF370" s="22"/>
      <c r="FG370" s="22"/>
      <c r="FH370" s="22"/>
      <c r="FI370" s="22"/>
      <c r="FJ370" s="22"/>
      <c r="FK370" s="22"/>
      <c r="FL370" s="22"/>
      <c r="FM370" s="22"/>
      <c r="FN370" s="22"/>
      <c r="FO370" s="22"/>
      <c r="FP370" s="22"/>
      <c r="FQ370" s="22"/>
      <c r="FR370" s="22"/>
      <c r="FS370" s="22"/>
      <c r="FT370" s="22"/>
      <c r="FU370" s="22"/>
      <c r="FV370" s="22"/>
      <c r="FW370" s="22"/>
      <c r="FX370" s="22"/>
      <c r="FY370" s="22"/>
      <c r="FZ370" s="22"/>
    </row>
    <row r="371" spans="2:182" x14ac:dyDescent="0.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c r="Z371" s="22"/>
      <c r="AA371" s="22"/>
      <c r="AB371" s="22"/>
      <c r="AC371" s="22"/>
      <c r="AD371" s="22"/>
      <c r="AE371" s="22"/>
      <c r="AF371" s="22"/>
      <c r="AG371" s="22"/>
      <c r="AH371" s="22"/>
      <c r="AI371" s="22"/>
      <c r="AJ371" s="22"/>
      <c r="AK371" s="22"/>
      <c r="AL371" s="22"/>
      <c r="AM371" s="22"/>
      <c r="AN371" s="22"/>
      <c r="AO371" s="22"/>
      <c r="AP371" s="22"/>
      <c r="AQ371" s="22"/>
      <c r="AR371" s="22"/>
      <c r="AS371" s="22"/>
      <c r="AT371" s="22"/>
      <c r="AU371" s="22"/>
      <c r="AV371" s="22"/>
      <c r="AW371" s="22"/>
      <c r="AX371" s="22"/>
      <c r="AY371" s="22"/>
      <c r="AZ371" s="22"/>
      <c r="BA371" s="22"/>
      <c r="BB371" s="22"/>
      <c r="BC371" s="22"/>
      <c r="BD371" s="22"/>
      <c r="BE371" s="22"/>
      <c r="BF371" s="22"/>
      <c r="BG371" s="22"/>
      <c r="BH371" s="22"/>
      <c r="BI371" s="22"/>
      <c r="BJ371" s="22"/>
      <c r="BK371" s="22"/>
      <c r="BL371" s="22"/>
      <c r="BM371" s="22"/>
      <c r="BN371" s="22"/>
      <c r="BO371" s="22"/>
      <c r="BP371" s="22"/>
      <c r="BQ371" s="22"/>
      <c r="BR371" s="22"/>
      <c r="BS371" s="22"/>
      <c r="BT371" s="22"/>
      <c r="BU371" s="22"/>
      <c r="BV371" s="22"/>
      <c r="BW371" s="22"/>
      <c r="BX371" s="22"/>
      <c r="BY371" s="22"/>
      <c r="BZ371" s="22"/>
      <c r="CA371" s="22"/>
      <c r="CB371" s="22"/>
      <c r="CC371" s="22"/>
      <c r="CD371" s="22"/>
      <c r="CE371" s="22"/>
      <c r="CF371" s="22"/>
      <c r="CG371" s="22"/>
      <c r="CH371" s="22"/>
      <c r="CI371" s="22"/>
      <c r="CJ371" s="22"/>
      <c r="CK371" s="22"/>
      <c r="CL371" s="22"/>
      <c r="CM371" s="22"/>
      <c r="CN371" s="22"/>
      <c r="CO371" s="22"/>
      <c r="CP371" s="22"/>
      <c r="CQ371" s="22"/>
      <c r="CR371" s="22"/>
      <c r="CS371" s="22"/>
      <c r="CT371" s="22"/>
      <c r="CU371" s="22"/>
      <c r="CV371" s="22"/>
      <c r="CW371" s="22"/>
      <c r="CX371" s="22"/>
      <c r="CY371" s="22"/>
      <c r="CZ371" s="22"/>
      <c r="DA371" s="22"/>
      <c r="DB371" s="22"/>
      <c r="DC371" s="22"/>
      <c r="DD371" s="22"/>
      <c r="DE371" s="22"/>
      <c r="DF371" s="22"/>
      <c r="DG371" s="22"/>
      <c r="DH371" s="22"/>
      <c r="DI371" s="22"/>
      <c r="DJ371" s="22"/>
      <c r="DK371" s="22"/>
      <c r="DL371" s="22"/>
      <c r="DM371" s="22"/>
      <c r="DN371" s="22"/>
      <c r="DO371" s="22"/>
      <c r="DP371" s="22"/>
      <c r="DQ371" s="22"/>
      <c r="DR371" s="22"/>
      <c r="DS371" s="22"/>
      <c r="DT371" s="22"/>
      <c r="DU371" s="22"/>
      <c r="DV371" s="22"/>
      <c r="DW371" s="22"/>
      <c r="DX371" s="22"/>
      <c r="DY371" s="22"/>
      <c r="DZ371" s="22"/>
      <c r="EA371" s="22"/>
      <c r="EB371" s="22"/>
      <c r="EC371" s="22"/>
      <c r="ED371" s="22"/>
      <c r="EE371" s="22"/>
      <c r="EF371" s="22"/>
      <c r="EG371" s="22"/>
      <c r="EH371" s="22"/>
      <c r="EI371" s="22"/>
      <c r="EJ371" s="22"/>
      <c r="EK371" s="22"/>
      <c r="EL371" s="22"/>
      <c r="EM371" s="22"/>
      <c r="EN371" s="22"/>
      <c r="EO371" s="22"/>
      <c r="EP371" s="22"/>
      <c r="EQ371" s="22"/>
      <c r="ER371" s="22"/>
      <c r="ES371" s="22"/>
      <c r="ET371" s="22"/>
      <c r="EU371" s="22"/>
      <c r="EV371" s="22"/>
      <c r="EW371" s="22"/>
      <c r="EX371" s="22"/>
      <c r="EY371" s="22"/>
      <c r="EZ371" s="22"/>
      <c r="FA371" s="22"/>
      <c r="FB371" s="22"/>
      <c r="FC371" s="22"/>
      <c r="FD371" s="22"/>
      <c r="FE371" s="22"/>
      <c r="FF371" s="22"/>
      <c r="FG371" s="22"/>
      <c r="FH371" s="22"/>
      <c r="FI371" s="22"/>
      <c r="FJ371" s="22"/>
      <c r="FK371" s="22"/>
      <c r="FL371" s="22"/>
      <c r="FM371" s="22"/>
      <c r="FN371" s="22"/>
      <c r="FO371" s="22"/>
      <c r="FP371" s="22"/>
      <c r="FQ371" s="22"/>
      <c r="FR371" s="22"/>
      <c r="FS371" s="22"/>
      <c r="FT371" s="22"/>
      <c r="FU371" s="22"/>
      <c r="FV371" s="22"/>
      <c r="FW371" s="22"/>
      <c r="FX371" s="22"/>
      <c r="FY371" s="22"/>
      <c r="FZ371" s="22"/>
    </row>
    <row r="372" spans="2:182" x14ac:dyDescent="0.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c r="Z372" s="22"/>
      <c r="AA372" s="22"/>
      <c r="AB372" s="22"/>
      <c r="AC372" s="22"/>
      <c r="AD372" s="22"/>
      <c r="AE372" s="22"/>
      <c r="AF372" s="22"/>
      <c r="AG372" s="22"/>
      <c r="AH372" s="22"/>
      <c r="AI372" s="22"/>
      <c r="AJ372" s="22"/>
      <c r="AK372" s="22"/>
      <c r="AL372" s="22"/>
      <c r="AM372" s="22"/>
      <c r="AN372" s="22"/>
      <c r="AO372" s="22"/>
      <c r="AP372" s="22"/>
      <c r="AQ372" s="22"/>
      <c r="AR372" s="22"/>
      <c r="AS372" s="22"/>
      <c r="AT372" s="22"/>
      <c r="AU372" s="22"/>
      <c r="AV372" s="22"/>
      <c r="AW372" s="22"/>
      <c r="AX372" s="22"/>
      <c r="AY372" s="22"/>
      <c r="AZ372" s="22"/>
      <c r="BA372" s="22"/>
      <c r="BB372" s="22"/>
      <c r="BC372" s="22"/>
      <c r="BD372" s="22"/>
      <c r="BE372" s="22"/>
      <c r="BF372" s="22"/>
      <c r="BG372" s="22"/>
      <c r="BH372" s="22"/>
      <c r="BI372" s="22"/>
      <c r="BJ372" s="22"/>
      <c r="BK372" s="22"/>
      <c r="BL372" s="22"/>
      <c r="BM372" s="22"/>
      <c r="BN372" s="22"/>
      <c r="BO372" s="22"/>
      <c r="BP372" s="22"/>
      <c r="BQ372" s="22"/>
      <c r="BR372" s="22"/>
      <c r="BS372" s="22"/>
      <c r="BT372" s="22"/>
      <c r="BU372" s="22"/>
      <c r="BV372" s="22"/>
      <c r="BW372" s="22"/>
      <c r="BX372" s="22"/>
      <c r="BY372" s="22"/>
      <c r="BZ372" s="22"/>
      <c r="CA372" s="22"/>
      <c r="CB372" s="22"/>
      <c r="CC372" s="22"/>
      <c r="CD372" s="22"/>
      <c r="CE372" s="22"/>
      <c r="CF372" s="22"/>
      <c r="CG372" s="22"/>
      <c r="CH372" s="22"/>
      <c r="CI372" s="22"/>
      <c r="CJ372" s="22"/>
      <c r="CK372" s="22"/>
      <c r="CL372" s="22"/>
      <c r="CM372" s="22"/>
      <c r="CN372" s="22"/>
      <c r="CO372" s="22"/>
      <c r="CP372" s="22"/>
      <c r="CQ372" s="22"/>
      <c r="CR372" s="22"/>
      <c r="CS372" s="22"/>
      <c r="CT372" s="22"/>
      <c r="CU372" s="22"/>
      <c r="CV372" s="22"/>
      <c r="CW372" s="22"/>
      <c r="CX372" s="22"/>
      <c r="CY372" s="22"/>
      <c r="CZ372" s="22"/>
      <c r="DA372" s="22"/>
      <c r="DB372" s="22"/>
      <c r="DC372" s="22"/>
      <c r="DD372" s="22"/>
      <c r="DE372" s="22"/>
      <c r="DF372" s="22"/>
      <c r="DG372" s="22"/>
      <c r="DH372" s="22"/>
      <c r="DI372" s="22"/>
      <c r="DJ372" s="22"/>
      <c r="DK372" s="22"/>
      <c r="DL372" s="22"/>
      <c r="DM372" s="22"/>
      <c r="DN372" s="22"/>
      <c r="DO372" s="22"/>
      <c r="DP372" s="22"/>
      <c r="DQ372" s="22"/>
      <c r="DR372" s="22"/>
      <c r="DS372" s="22"/>
      <c r="DT372" s="22"/>
      <c r="DU372" s="22"/>
      <c r="DV372" s="22"/>
      <c r="DW372" s="22"/>
      <c r="DX372" s="22"/>
      <c r="DY372" s="22"/>
      <c r="DZ372" s="22"/>
      <c r="EA372" s="22"/>
      <c r="EB372" s="22"/>
      <c r="EC372" s="22"/>
      <c r="ED372" s="22"/>
      <c r="EE372" s="22"/>
      <c r="EF372" s="22"/>
      <c r="EG372" s="22"/>
      <c r="EH372" s="22"/>
      <c r="EI372" s="22"/>
      <c r="EJ372" s="22"/>
      <c r="EK372" s="22"/>
      <c r="EL372" s="22"/>
      <c r="EM372" s="22"/>
      <c r="EN372" s="22"/>
      <c r="EO372" s="22"/>
      <c r="EP372" s="22"/>
      <c r="EQ372" s="22"/>
      <c r="ER372" s="22"/>
      <c r="ES372" s="22"/>
      <c r="ET372" s="22"/>
      <c r="EU372" s="22"/>
      <c r="EV372" s="22"/>
      <c r="EW372" s="22"/>
      <c r="EX372" s="22"/>
      <c r="EY372" s="22"/>
      <c r="EZ372" s="22"/>
      <c r="FA372" s="22"/>
      <c r="FB372" s="22"/>
      <c r="FC372" s="22"/>
      <c r="FD372" s="22"/>
      <c r="FE372" s="22"/>
      <c r="FF372" s="22"/>
      <c r="FG372" s="22"/>
      <c r="FH372" s="22"/>
      <c r="FI372" s="22"/>
      <c r="FJ372" s="22"/>
      <c r="FK372" s="22"/>
      <c r="FL372" s="22"/>
      <c r="FM372" s="22"/>
      <c r="FN372" s="22"/>
      <c r="FO372" s="22"/>
      <c r="FP372" s="22"/>
      <c r="FQ372" s="22"/>
      <c r="FR372" s="22"/>
      <c r="FS372" s="22"/>
      <c r="FT372" s="22"/>
      <c r="FU372" s="22"/>
      <c r="FV372" s="22"/>
      <c r="FW372" s="22"/>
      <c r="FX372" s="22"/>
      <c r="FY372" s="22"/>
      <c r="FZ372" s="22"/>
    </row>
  </sheetData>
  <sheetProtection sheet="1" objects="1" scenarios="1"/>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OI27"/>
  <sheetViews>
    <sheetView topLeftCell="KI1" workbookViewId="0">
      <selection activeCell="KS6" sqref="KS6"/>
    </sheetView>
  </sheetViews>
  <sheetFormatPr defaultColWidth="10.89453125" defaultRowHeight="15" x14ac:dyDescent="0.2"/>
  <cols>
    <col min="1" max="1" width="7.93359375" customWidth="1"/>
    <col min="2" max="182" width="14.2578125" customWidth="1"/>
  </cols>
  <sheetData>
    <row r="1" spans="1:399" x14ac:dyDescent="0.2">
      <c r="A1" s="2" t="s">
        <v>331</v>
      </c>
      <c r="D1" s="345" t="s">
        <v>342</v>
      </c>
      <c r="E1" s="332"/>
      <c r="F1" s="332"/>
    </row>
    <row r="2" spans="1:399" x14ac:dyDescent="0.2">
      <c r="A2" s="4" t="s">
        <v>332</v>
      </c>
    </row>
    <row r="3" spans="1:399" x14ac:dyDescent="0.2">
      <c r="A3" s="5" t="s">
        <v>333</v>
      </c>
    </row>
    <row r="4" spans="1:399" x14ac:dyDescent="0.2">
      <c r="A4" s="6" t="s">
        <v>334</v>
      </c>
    </row>
    <row r="5" spans="1:399" ht="5.0999999999999996" customHeight="1" x14ac:dyDescent="0.2">
      <c r="A5" s="7"/>
    </row>
    <row r="6" spans="1:399" s="1" customFormat="1" ht="14.25" x14ac:dyDescent="0.2">
      <c r="A6" s="1" t="s">
        <v>335</v>
      </c>
      <c r="C6" s="8">
        <v>36861</v>
      </c>
      <c r="D6" s="8">
        <v>36892</v>
      </c>
      <c r="E6" s="8">
        <v>36923</v>
      </c>
      <c r="F6" s="8">
        <v>36951</v>
      </c>
      <c r="G6" s="8">
        <v>36982</v>
      </c>
      <c r="H6" s="8">
        <v>37012</v>
      </c>
      <c r="I6" s="8">
        <v>37043</v>
      </c>
      <c r="J6" s="8">
        <v>37073</v>
      </c>
      <c r="K6" s="8">
        <v>37104</v>
      </c>
      <c r="L6" s="8">
        <v>37135</v>
      </c>
      <c r="M6" s="8">
        <v>37165</v>
      </c>
      <c r="N6" s="8">
        <v>37196</v>
      </c>
      <c r="O6" s="8">
        <v>37226</v>
      </c>
      <c r="P6" s="8">
        <v>37257</v>
      </c>
      <c r="Q6" s="8">
        <v>37288</v>
      </c>
      <c r="R6" s="8">
        <v>37316</v>
      </c>
      <c r="S6" s="8">
        <v>37347</v>
      </c>
      <c r="T6" s="8">
        <v>37377</v>
      </c>
      <c r="U6" s="8">
        <v>37408</v>
      </c>
      <c r="V6" s="8">
        <v>37438</v>
      </c>
      <c r="W6" s="8">
        <v>37469</v>
      </c>
      <c r="X6" s="8">
        <v>37500</v>
      </c>
      <c r="Y6" s="8">
        <v>37530</v>
      </c>
      <c r="Z6" s="8">
        <v>37561</v>
      </c>
      <c r="AA6" s="8">
        <v>37591</v>
      </c>
      <c r="AB6" s="8">
        <v>37622</v>
      </c>
      <c r="AC6" s="8">
        <v>37653</v>
      </c>
      <c r="AD6" s="8">
        <v>37681</v>
      </c>
      <c r="AE6" s="8">
        <v>37712</v>
      </c>
      <c r="AF6" s="8">
        <v>37742</v>
      </c>
      <c r="AG6" s="8">
        <v>37773</v>
      </c>
      <c r="AH6" s="8">
        <v>37803</v>
      </c>
      <c r="AI6" s="8">
        <v>37834</v>
      </c>
      <c r="AJ6" s="8">
        <v>37865</v>
      </c>
      <c r="AK6" s="8">
        <v>37895</v>
      </c>
      <c r="AL6" s="8">
        <v>37926</v>
      </c>
      <c r="AM6" s="8">
        <v>37956</v>
      </c>
      <c r="AN6" s="8">
        <v>37987</v>
      </c>
      <c r="AO6" s="8">
        <v>38018</v>
      </c>
      <c r="AP6" s="8">
        <v>38047</v>
      </c>
      <c r="AQ6" s="8">
        <v>38078</v>
      </c>
      <c r="AR6" s="8">
        <v>38108</v>
      </c>
      <c r="AS6" s="8">
        <v>38139</v>
      </c>
      <c r="AT6" s="8">
        <v>38169</v>
      </c>
      <c r="AU6" s="8">
        <v>38200</v>
      </c>
      <c r="AV6" s="8">
        <v>38231</v>
      </c>
      <c r="AW6" s="8">
        <v>38261</v>
      </c>
      <c r="AX6" s="8">
        <v>38292</v>
      </c>
      <c r="AY6" s="8">
        <v>38322</v>
      </c>
      <c r="AZ6" s="8">
        <v>38353</v>
      </c>
      <c r="BA6" s="8">
        <v>38384</v>
      </c>
      <c r="BB6" s="8">
        <v>38412</v>
      </c>
      <c r="BC6" s="8">
        <v>38443</v>
      </c>
      <c r="BD6" s="8">
        <v>38473</v>
      </c>
      <c r="BE6" s="8">
        <v>38504</v>
      </c>
      <c r="BF6" s="8">
        <v>38534</v>
      </c>
      <c r="BG6" s="8">
        <v>38565</v>
      </c>
      <c r="BH6" s="8">
        <v>38596</v>
      </c>
      <c r="BI6" s="8">
        <v>38626</v>
      </c>
      <c r="BJ6" s="8">
        <v>38657</v>
      </c>
      <c r="BK6" s="8">
        <v>38687</v>
      </c>
      <c r="BL6" s="8">
        <v>38718</v>
      </c>
      <c r="BM6" s="8">
        <v>38749</v>
      </c>
      <c r="BN6" s="8">
        <v>38777</v>
      </c>
      <c r="BO6" s="8">
        <v>38808</v>
      </c>
      <c r="BP6" s="8">
        <v>38838</v>
      </c>
      <c r="BQ6" s="8">
        <v>38869</v>
      </c>
      <c r="BR6" s="8">
        <v>38899</v>
      </c>
      <c r="BS6" s="8">
        <v>38930</v>
      </c>
      <c r="BT6" s="8">
        <v>38961</v>
      </c>
      <c r="BU6" s="8">
        <v>38991</v>
      </c>
      <c r="BV6" s="8">
        <v>39022</v>
      </c>
      <c r="BW6" s="8">
        <v>39052</v>
      </c>
      <c r="BX6" s="8">
        <v>39083</v>
      </c>
      <c r="BY6" s="8">
        <v>39114</v>
      </c>
      <c r="BZ6" s="8">
        <v>39142</v>
      </c>
      <c r="CA6" s="8">
        <v>39173</v>
      </c>
      <c r="CB6" s="8">
        <v>39203</v>
      </c>
      <c r="CC6" s="8">
        <v>39234</v>
      </c>
      <c r="CD6" s="8">
        <v>39264</v>
      </c>
      <c r="CE6" s="8">
        <v>39295</v>
      </c>
      <c r="CF6" s="8">
        <v>39326</v>
      </c>
      <c r="CG6" s="8">
        <v>39356</v>
      </c>
      <c r="CH6" s="8">
        <v>39387</v>
      </c>
      <c r="CI6" s="8">
        <v>39417</v>
      </c>
      <c r="CJ6" s="8">
        <v>39448</v>
      </c>
      <c r="CK6" s="8">
        <v>39479</v>
      </c>
      <c r="CL6" s="8">
        <v>39508</v>
      </c>
      <c r="CM6" s="8">
        <v>39539</v>
      </c>
      <c r="CN6" s="8">
        <v>39569</v>
      </c>
      <c r="CO6" s="8">
        <v>39600</v>
      </c>
      <c r="CP6" s="8">
        <v>39630</v>
      </c>
      <c r="CQ6" s="8">
        <v>39661</v>
      </c>
      <c r="CR6" s="8">
        <v>39692</v>
      </c>
      <c r="CS6" s="8">
        <v>39722</v>
      </c>
      <c r="CT6" s="8">
        <v>39753</v>
      </c>
      <c r="CU6" s="8">
        <v>39783</v>
      </c>
      <c r="CV6" s="8">
        <v>39814</v>
      </c>
      <c r="CW6" s="8">
        <v>39845</v>
      </c>
      <c r="CX6" s="8">
        <v>39873</v>
      </c>
      <c r="CY6" s="8">
        <v>39904</v>
      </c>
      <c r="CZ6" s="8">
        <v>39934</v>
      </c>
      <c r="DA6" s="8">
        <v>39965</v>
      </c>
      <c r="DB6" s="8">
        <v>39995</v>
      </c>
      <c r="DC6" s="8">
        <v>40026</v>
      </c>
      <c r="DD6" s="8">
        <v>40057</v>
      </c>
      <c r="DE6" s="8">
        <v>40087</v>
      </c>
      <c r="DF6" s="8">
        <v>40118</v>
      </c>
      <c r="DG6" s="8">
        <v>40148</v>
      </c>
      <c r="DH6" s="8">
        <v>40179</v>
      </c>
      <c r="DI6" s="8">
        <v>40210</v>
      </c>
      <c r="DJ6" s="8">
        <v>40238</v>
      </c>
      <c r="DK6" s="8">
        <v>40269</v>
      </c>
      <c r="DL6" s="8">
        <v>40299</v>
      </c>
      <c r="DM6" s="8">
        <v>40330</v>
      </c>
      <c r="DN6" s="8">
        <v>40360</v>
      </c>
      <c r="DO6" s="8">
        <v>40391</v>
      </c>
      <c r="DP6" s="8">
        <v>40422</v>
      </c>
      <c r="DQ6" s="8">
        <v>40452</v>
      </c>
      <c r="DR6" s="8">
        <v>40483</v>
      </c>
      <c r="DS6" s="8">
        <v>40513</v>
      </c>
      <c r="DT6" s="8">
        <v>40544</v>
      </c>
      <c r="DU6" s="8">
        <v>40575</v>
      </c>
      <c r="DV6" s="8">
        <v>40603</v>
      </c>
      <c r="DW6" s="8">
        <v>40634</v>
      </c>
      <c r="DX6" s="8">
        <v>40664</v>
      </c>
      <c r="DY6" s="8">
        <v>40695</v>
      </c>
      <c r="DZ6" s="8">
        <v>40725</v>
      </c>
      <c r="EA6" s="8">
        <v>40756</v>
      </c>
      <c r="EB6" s="8">
        <v>40787</v>
      </c>
      <c r="EC6" s="8">
        <v>40817</v>
      </c>
      <c r="ED6" s="8">
        <v>40848</v>
      </c>
      <c r="EE6" s="8">
        <v>40878</v>
      </c>
      <c r="EF6" s="8">
        <v>40909</v>
      </c>
      <c r="EG6" s="8">
        <v>40940</v>
      </c>
      <c r="EH6" s="8">
        <v>40969</v>
      </c>
      <c r="EI6" s="8">
        <v>41000</v>
      </c>
      <c r="EJ6" s="8">
        <v>41030</v>
      </c>
      <c r="EK6" s="8">
        <v>41061</v>
      </c>
      <c r="EL6" s="8">
        <v>41091</v>
      </c>
      <c r="EM6" s="8">
        <v>41122</v>
      </c>
      <c r="EN6" s="8">
        <v>41153</v>
      </c>
      <c r="EO6" s="8">
        <v>41183</v>
      </c>
      <c r="EP6" s="8">
        <v>41214</v>
      </c>
      <c r="EQ6" s="8">
        <v>41244</v>
      </c>
      <c r="ER6" s="8">
        <v>41275</v>
      </c>
      <c r="ES6" s="8">
        <v>41306</v>
      </c>
      <c r="ET6" s="8">
        <v>41334</v>
      </c>
      <c r="EU6" s="8">
        <v>41365</v>
      </c>
      <c r="EV6" s="8">
        <v>41395</v>
      </c>
      <c r="EW6" s="8">
        <v>41426</v>
      </c>
      <c r="EX6" s="8">
        <v>41456</v>
      </c>
      <c r="EY6" s="8">
        <v>41487</v>
      </c>
      <c r="EZ6" s="8">
        <v>41518</v>
      </c>
      <c r="FA6" s="8">
        <v>41548</v>
      </c>
      <c r="FB6" s="8">
        <v>41579</v>
      </c>
      <c r="FC6" s="8">
        <v>41609</v>
      </c>
      <c r="FD6" s="8">
        <v>41640</v>
      </c>
      <c r="FE6" s="8">
        <v>41671</v>
      </c>
      <c r="FF6" s="8">
        <v>41699</v>
      </c>
      <c r="FG6" s="8">
        <v>41730</v>
      </c>
      <c r="FH6" s="8">
        <v>41760</v>
      </c>
      <c r="FI6" s="8">
        <v>41791</v>
      </c>
      <c r="FJ6" s="8">
        <v>41821</v>
      </c>
      <c r="FK6" s="8">
        <v>41852</v>
      </c>
      <c r="FL6" s="8">
        <v>41883</v>
      </c>
      <c r="FM6" s="8">
        <v>41913</v>
      </c>
      <c r="FN6" s="8">
        <v>41944</v>
      </c>
      <c r="FO6" s="8">
        <v>41974</v>
      </c>
      <c r="FP6" s="8">
        <v>42005</v>
      </c>
      <c r="FQ6" s="8">
        <v>42036</v>
      </c>
      <c r="FR6" s="8">
        <v>42064</v>
      </c>
      <c r="FS6" s="8">
        <v>42095</v>
      </c>
      <c r="FT6" s="8">
        <v>42125</v>
      </c>
      <c r="FU6" s="8">
        <v>42156</v>
      </c>
      <c r="FV6" s="8">
        <v>42186</v>
      </c>
      <c r="FW6" s="8">
        <v>42217</v>
      </c>
      <c r="FX6" s="8">
        <v>42248</v>
      </c>
      <c r="FY6" s="8">
        <v>42278</v>
      </c>
      <c r="FZ6" s="8">
        <v>42309</v>
      </c>
      <c r="GA6" s="8">
        <v>42339</v>
      </c>
      <c r="GB6" s="8">
        <v>42370</v>
      </c>
      <c r="GC6" s="8">
        <v>42401</v>
      </c>
      <c r="GD6" s="8">
        <v>42430</v>
      </c>
      <c r="GE6" s="8">
        <v>42461</v>
      </c>
      <c r="GF6" s="8">
        <v>42491</v>
      </c>
      <c r="GG6" s="8">
        <v>42522</v>
      </c>
      <c r="GH6" s="8">
        <v>42552</v>
      </c>
      <c r="GI6" s="8">
        <v>42583</v>
      </c>
      <c r="GJ6" s="8">
        <v>42614</v>
      </c>
      <c r="GK6" s="8">
        <v>42644</v>
      </c>
      <c r="GL6" s="8">
        <v>42675</v>
      </c>
      <c r="GM6" s="8">
        <v>42705</v>
      </c>
      <c r="GN6" s="8">
        <v>42736</v>
      </c>
      <c r="GO6" s="8">
        <v>42767</v>
      </c>
      <c r="GP6" s="8">
        <v>42795</v>
      </c>
      <c r="GQ6" s="8">
        <v>42826</v>
      </c>
      <c r="GR6" s="8">
        <v>42856</v>
      </c>
      <c r="GS6" s="8">
        <v>42887</v>
      </c>
      <c r="GT6" s="8">
        <v>42917</v>
      </c>
      <c r="GU6" s="8">
        <v>42948</v>
      </c>
      <c r="GV6" s="8">
        <v>42979</v>
      </c>
      <c r="GW6" s="8">
        <v>43009</v>
      </c>
      <c r="GX6" s="8">
        <v>43040</v>
      </c>
      <c r="GY6" s="8">
        <v>43070</v>
      </c>
      <c r="GZ6" s="8">
        <v>43101</v>
      </c>
      <c r="HA6" s="8">
        <v>43132</v>
      </c>
      <c r="HB6" s="8">
        <v>43160</v>
      </c>
      <c r="HC6" s="8">
        <v>43191</v>
      </c>
      <c r="HD6" s="8">
        <v>43221</v>
      </c>
      <c r="HE6" s="8">
        <v>43252</v>
      </c>
      <c r="HF6" s="8">
        <v>43282</v>
      </c>
      <c r="HG6" s="8">
        <v>43313</v>
      </c>
      <c r="HH6" s="8">
        <v>43344</v>
      </c>
      <c r="HI6" s="8">
        <v>43374</v>
      </c>
      <c r="HJ6" s="8">
        <v>43405</v>
      </c>
      <c r="HK6" s="8">
        <v>43435</v>
      </c>
      <c r="HL6" s="8">
        <v>43466</v>
      </c>
      <c r="HM6" s="8">
        <v>43497</v>
      </c>
      <c r="HN6" s="8">
        <v>43525</v>
      </c>
      <c r="HO6" s="8">
        <v>43556</v>
      </c>
      <c r="HP6" s="8">
        <v>43586</v>
      </c>
      <c r="HQ6" s="8">
        <v>43617</v>
      </c>
      <c r="HR6" s="8">
        <v>43647</v>
      </c>
      <c r="HS6" s="8">
        <v>43678</v>
      </c>
      <c r="HT6" s="8">
        <v>43709</v>
      </c>
      <c r="HU6" s="8">
        <v>43739</v>
      </c>
      <c r="HV6" s="8">
        <v>43770</v>
      </c>
      <c r="HW6" s="8">
        <v>43800</v>
      </c>
      <c r="HX6" s="8">
        <v>43831</v>
      </c>
      <c r="HY6" s="8">
        <v>43862</v>
      </c>
      <c r="HZ6" s="8">
        <v>43891</v>
      </c>
      <c r="IA6" s="8">
        <v>43922</v>
      </c>
      <c r="IB6" s="8">
        <v>43952</v>
      </c>
      <c r="IC6" s="8">
        <v>43983</v>
      </c>
      <c r="ID6" s="8">
        <v>44013</v>
      </c>
      <c r="IE6" s="8">
        <v>44044</v>
      </c>
      <c r="IF6" s="8">
        <v>44075</v>
      </c>
      <c r="IG6" s="8">
        <v>44105</v>
      </c>
      <c r="IH6" s="8">
        <v>44136</v>
      </c>
      <c r="II6" s="8">
        <v>44166</v>
      </c>
      <c r="IJ6" s="8">
        <v>44197</v>
      </c>
      <c r="IK6" s="8">
        <v>44228</v>
      </c>
      <c r="IL6" s="8">
        <v>44256</v>
      </c>
      <c r="IM6" s="8">
        <v>44287</v>
      </c>
      <c r="IN6" s="8">
        <v>44317</v>
      </c>
      <c r="IO6" s="8">
        <v>44348</v>
      </c>
      <c r="IP6" s="8">
        <v>44378</v>
      </c>
      <c r="IQ6" s="8">
        <v>44409</v>
      </c>
      <c r="IR6" s="8">
        <v>44440</v>
      </c>
      <c r="IS6" s="8">
        <v>44470</v>
      </c>
      <c r="IT6" s="8">
        <v>44501</v>
      </c>
      <c r="IU6" s="8">
        <v>44531</v>
      </c>
      <c r="IV6" s="8">
        <v>44562</v>
      </c>
      <c r="IW6" s="8">
        <v>44593</v>
      </c>
      <c r="IX6" s="8">
        <v>44621</v>
      </c>
      <c r="IY6" s="8">
        <v>44652</v>
      </c>
      <c r="IZ6" s="8">
        <v>44682</v>
      </c>
      <c r="JA6" s="8">
        <v>44713</v>
      </c>
      <c r="JB6" s="8">
        <v>44743</v>
      </c>
      <c r="JC6" s="8">
        <v>44774</v>
      </c>
      <c r="JD6" s="8">
        <v>44805</v>
      </c>
      <c r="JE6" s="8">
        <v>44835</v>
      </c>
      <c r="JF6" s="8">
        <v>44866</v>
      </c>
      <c r="JG6" s="8">
        <v>44896</v>
      </c>
      <c r="JH6" s="8">
        <v>44927</v>
      </c>
      <c r="JI6" s="8">
        <v>44958</v>
      </c>
      <c r="JJ6" s="8">
        <v>44986</v>
      </c>
      <c r="JK6" s="8">
        <v>45017</v>
      </c>
      <c r="JL6" s="8">
        <v>45047</v>
      </c>
      <c r="JM6" s="8">
        <v>45078</v>
      </c>
      <c r="JN6" s="8">
        <v>45108</v>
      </c>
      <c r="JO6" s="8">
        <v>45139</v>
      </c>
      <c r="JP6" s="8">
        <v>45170</v>
      </c>
      <c r="JQ6" s="8">
        <v>45200</v>
      </c>
      <c r="JR6" s="8">
        <v>45231</v>
      </c>
      <c r="JS6" s="8">
        <v>45261</v>
      </c>
      <c r="JT6" s="8">
        <v>45292</v>
      </c>
      <c r="JU6" s="8">
        <v>45323</v>
      </c>
      <c r="JV6" s="8">
        <v>45352</v>
      </c>
      <c r="JW6" s="8">
        <v>45383</v>
      </c>
      <c r="JX6" s="8">
        <v>45413</v>
      </c>
      <c r="JY6" s="8">
        <v>45444</v>
      </c>
      <c r="JZ6" s="8">
        <v>45474</v>
      </c>
      <c r="KA6" s="8">
        <v>45505</v>
      </c>
      <c r="KB6" s="8">
        <v>45536</v>
      </c>
      <c r="KC6" s="8">
        <v>45566</v>
      </c>
      <c r="KD6" s="8">
        <v>45597</v>
      </c>
      <c r="KE6" s="8">
        <v>45627</v>
      </c>
      <c r="KF6" s="8">
        <v>45658</v>
      </c>
      <c r="KG6" s="8">
        <v>45689</v>
      </c>
      <c r="KH6" s="8">
        <v>45717</v>
      </c>
      <c r="KI6" s="8">
        <v>45748</v>
      </c>
      <c r="KJ6" s="8">
        <v>45778</v>
      </c>
      <c r="KK6" s="8">
        <v>45809</v>
      </c>
      <c r="KL6" s="8">
        <v>45839</v>
      </c>
      <c r="KM6" s="8">
        <v>45870</v>
      </c>
      <c r="KN6" s="8">
        <v>45901</v>
      </c>
      <c r="KO6" s="8">
        <v>45931</v>
      </c>
      <c r="KP6" s="8">
        <v>45962</v>
      </c>
      <c r="KQ6" s="8">
        <v>45992</v>
      </c>
      <c r="KR6" s="8">
        <v>46023</v>
      </c>
      <c r="KS6" s="423">
        <v>46054</v>
      </c>
      <c r="KT6" s="8">
        <v>46082</v>
      </c>
      <c r="KU6" s="8">
        <v>46113</v>
      </c>
      <c r="KV6" s="8">
        <v>46143</v>
      </c>
      <c r="KW6" s="8">
        <v>46174</v>
      </c>
      <c r="KX6" s="8">
        <v>46204</v>
      </c>
      <c r="KY6" s="8">
        <v>46235</v>
      </c>
      <c r="KZ6" s="8">
        <v>46266</v>
      </c>
      <c r="LA6" s="8">
        <v>46296</v>
      </c>
      <c r="LB6" s="8">
        <v>46327</v>
      </c>
      <c r="LC6" s="8">
        <v>46357</v>
      </c>
      <c r="LD6" s="8">
        <v>46388</v>
      </c>
      <c r="LE6" s="8">
        <v>46419</v>
      </c>
      <c r="LF6" s="8">
        <v>46447</v>
      </c>
      <c r="LG6" s="8">
        <v>46478</v>
      </c>
      <c r="LH6" s="8">
        <v>46508</v>
      </c>
      <c r="LI6" s="8">
        <v>46539</v>
      </c>
      <c r="LJ6" s="8">
        <v>46569</v>
      </c>
      <c r="LK6" s="8">
        <v>46600</v>
      </c>
      <c r="LL6" s="8">
        <v>46631</v>
      </c>
      <c r="LM6" s="8">
        <v>46661</v>
      </c>
      <c r="LN6" s="8">
        <v>46692</v>
      </c>
      <c r="LO6" s="8">
        <v>46722</v>
      </c>
      <c r="LP6" s="8">
        <v>46753</v>
      </c>
      <c r="LQ6" s="8">
        <v>46784</v>
      </c>
      <c r="LR6" s="8">
        <v>46813</v>
      </c>
      <c r="LS6" s="8">
        <v>46844</v>
      </c>
      <c r="LT6" s="8">
        <v>46874</v>
      </c>
      <c r="LU6" s="8">
        <v>46905</v>
      </c>
      <c r="LV6" s="8">
        <v>46935</v>
      </c>
      <c r="LW6" s="8">
        <v>46966</v>
      </c>
      <c r="LX6" s="8">
        <v>46997</v>
      </c>
      <c r="LY6" s="8">
        <v>47027</v>
      </c>
      <c r="LZ6" s="8">
        <v>47058</v>
      </c>
      <c r="MA6" s="8">
        <v>47088</v>
      </c>
      <c r="MB6" s="8">
        <v>47119</v>
      </c>
      <c r="MC6" s="8">
        <v>47150</v>
      </c>
      <c r="MD6" s="8">
        <v>47178</v>
      </c>
      <c r="ME6" s="8">
        <v>47209</v>
      </c>
      <c r="MF6" s="8">
        <v>47239</v>
      </c>
      <c r="MG6" s="8">
        <v>47270</v>
      </c>
      <c r="MH6" s="8">
        <v>47300</v>
      </c>
      <c r="MI6" s="8">
        <v>47331</v>
      </c>
      <c r="MJ6" s="8">
        <v>47362</v>
      </c>
      <c r="MK6" s="8">
        <v>47392</v>
      </c>
      <c r="ML6" s="8">
        <v>47423</v>
      </c>
      <c r="MM6" s="8">
        <v>47453</v>
      </c>
      <c r="MN6" s="8">
        <v>47484</v>
      </c>
      <c r="MO6" s="8">
        <v>47515</v>
      </c>
      <c r="MP6" s="8">
        <v>47543</v>
      </c>
      <c r="MQ6" s="8">
        <v>47574</v>
      </c>
      <c r="MR6" s="8">
        <v>47604</v>
      </c>
      <c r="MS6" s="8">
        <v>47635</v>
      </c>
      <c r="MT6" s="8">
        <v>47665</v>
      </c>
      <c r="MU6" s="8">
        <v>47696</v>
      </c>
      <c r="MV6" s="8">
        <v>47727</v>
      </c>
      <c r="MW6" s="8">
        <v>47757</v>
      </c>
      <c r="MX6" s="8">
        <v>47788</v>
      </c>
      <c r="MY6" s="8">
        <v>47818</v>
      </c>
      <c r="MZ6" s="8">
        <v>47849</v>
      </c>
      <c r="NA6" s="8">
        <v>47880</v>
      </c>
      <c r="NB6" s="8">
        <v>47908</v>
      </c>
      <c r="NC6" s="8">
        <v>47939</v>
      </c>
      <c r="ND6" s="8">
        <v>47969</v>
      </c>
      <c r="NE6" s="8">
        <v>48000</v>
      </c>
      <c r="NF6" s="8">
        <v>48030</v>
      </c>
      <c r="NG6" s="8">
        <v>48061</v>
      </c>
      <c r="NH6" s="8">
        <v>48092</v>
      </c>
      <c r="NI6" s="8">
        <v>48122</v>
      </c>
      <c r="NJ6" s="8">
        <v>48153</v>
      </c>
      <c r="NK6" s="8">
        <v>48183</v>
      </c>
      <c r="NL6" s="8">
        <v>48214</v>
      </c>
      <c r="NM6" s="8">
        <v>48245</v>
      </c>
      <c r="NN6" s="8">
        <v>48274</v>
      </c>
      <c r="NO6" s="8">
        <v>48305</v>
      </c>
      <c r="NP6" s="8">
        <v>48335</v>
      </c>
      <c r="NQ6" s="8">
        <v>48366</v>
      </c>
      <c r="NR6" s="8">
        <v>48396</v>
      </c>
      <c r="NS6" s="8">
        <v>48427</v>
      </c>
      <c r="NT6" s="8">
        <v>48458</v>
      </c>
      <c r="NU6" s="8">
        <v>48488</v>
      </c>
      <c r="NV6" s="8">
        <v>48519</v>
      </c>
      <c r="NW6" s="8">
        <v>48549</v>
      </c>
      <c r="NX6" s="8">
        <v>48580</v>
      </c>
      <c r="NY6" s="8">
        <v>48611</v>
      </c>
      <c r="NZ6" s="8">
        <v>48639</v>
      </c>
      <c r="OA6" s="8">
        <v>48670</v>
      </c>
      <c r="OB6" s="8">
        <v>48700</v>
      </c>
      <c r="OC6" s="8">
        <v>48731</v>
      </c>
      <c r="OD6" s="8">
        <v>48761</v>
      </c>
      <c r="OE6" s="8">
        <v>48792</v>
      </c>
      <c r="OF6" s="8">
        <v>48823</v>
      </c>
      <c r="OG6" s="8">
        <v>48853</v>
      </c>
      <c r="OH6" s="8">
        <v>48884</v>
      </c>
      <c r="OI6" s="8">
        <v>48914</v>
      </c>
    </row>
    <row r="7" spans="1:399" s="1" customFormat="1" ht="12.95" customHeight="1" x14ac:dyDescent="0.2">
      <c r="A7" s="9" t="s">
        <v>336</v>
      </c>
      <c r="C7" s="8">
        <v>36891</v>
      </c>
      <c r="D7" s="8">
        <v>36922</v>
      </c>
      <c r="E7" s="8">
        <v>36950</v>
      </c>
      <c r="F7" s="8">
        <v>36981</v>
      </c>
      <c r="G7" s="8">
        <v>37011</v>
      </c>
      <c r="H7" s="8">
        <v>37042</v>
      </c>
      <c r="I7" s="8">
        <v>37072</v>
      </c>
      <c r="J7" s="8">
        <v>37103</v>
      </c>
      <c r="K7" s="8">
        <v>37134</v>
      </c>
      <c r="L7" s="8">
        <v>37164</v>
      </c>
      <c r="M7" s="8">
        <v>37195</v>
      </c>
      <c r="N7" s="8">
        <v>37225</v>
      </c>
      <c r="O7" s="8">
        <v>37256</v>
      </c>
      <c r="P7" s="8">
        <v>37287</v>
      </c>
      <c r="Q7" s="8">
        <v>37315</v>
      </c>
      <c r="R7" s="8">
        <v>37346</v>
      </c>
      <c r="S7" s="8">
        <v>37376</v>
      </c>
      <c r="T7" s="8">
        <v>37407</v>
      </c>
      <c r="U7" s="8">
        <v>37437</v>
      </c>
      <c r="V7" s="8">
        <v>37468</v>
      </c>
      <c r="W7" s="8">
        <v>37499</v>
      </c>
      <c r="X7" s="8">
        <v>37529</v>
      </c>
      <c r="Y7" s="8">
        <v>37560</v>
      </c>
      <c r="Z7" s="8">
        <v>37590</v>
      </c>
      <c r="AA7" s="8">
        <v>37621</v>
      </c>
      <c r="AB7" s="8">
        <v>37652</v>
      </c>
      <c r="AC7" s="8">
        <v>37680</v>
      </c>
      <c r="AD7" s="8">
        <v>37711</v>
      </c>
      <c r="AE7" s="8">
        <v>37741</v>
      </c>
      <c r="AF7" s="8">
        <v>37772</v>
      </c>
      <c r="AG7" s="8">
        <v>37802</v>
      </c>
      <c r="AH7" s="8">
        <v>37833</v>
      </c>
      <c r="AI7" s="8">
        <v>37864</v>
      </c>
      <c r="AJ7" s="8">
        <v>37894</v>
      </c>
      <c r="AK7" s="8">
        <v>37925</v>
      </c>
      <c r="AL7" s="8">
        <v>37955</v>
      </c>
      <c r="AM7" s="8">
        <v>37986</v>
      </c>
      <c r="AN7" s="8">
        <v>38017</v>
      </c>
      <c r="AO7" s="8">
        <v>38046</v>
      </c>
      <c r="AP7" s="8">
        <v>38077</v>
      </c>
      <c r="AQ7" s="8">
        <v>38107</v>
      </c>
      <c r="AR7" s="8">
        <v>38138</v>
      </c>
      <c r="AS7" s="8">
        <v>38168</v>
      </c>
      <c r="AT7" s="8">
        <v>38199</v>
      </c>
      <c r="AU7" s="8">
        <v>38230</v>
      </c>
      <c r="AV7" s="8">
        <v>38260</v>
      </c>
      <c r="AW7" s="8">
        <v>38291</v>
      </c>
      <c r="AX7" s="8">
        <v>38321</v>
      </c>
      <c r="AY7" s="8">
        <v>38352</v>
      </c>
      <c r="AZ7" s="8">
        <v>38383</v>
      </c>
      <c r="BA7" s="8">
        <v>38411</v>
      </c>
      <c r="BB7" s="8">
        <v>38442</v>
      </c>
      <c r="BC7" s="8">
        <v>38472</v>
      </c>
      <c r="BD7" s="8">
        <v>38503</v>
      </c>
      <c r="BE7" s="8">
        <v>38533</v>
      </c>
      <c r="BF7" s="8">
        <v>38564</v>
      </c>
      <c r="BG7" s="8">
        <v>38595</v>
      </c>
      <c r="BH7" s="8">
        <v>38625</v>
      </c>
      <c r="BI7" s="8">
        <v>38656</v>
      </c>
      <c r="BJ7" s="8">
        <v>38686</v>
      </c>
      <c r="BK7" s="8">
        <v>38717</v>
      </c>
      <c r="BL7" s="8">
        <v>38748</v>
      </c>
      <c r="BM7" s="8">
        <v>38776</v>
      </c>
      <c r="BN7" s="8">
        <v>38807</v>
      </c>
      <c r="BO7" s="8">
        <v>38837</v>
      </c>
      <c r="BP7" s="8">
        <v>38868</v>
      </c>
      <c r="BQ7" s="8">
        <v>38898</v>
      </c>
      <c r="BR7" s="8">
        <v>38929</v>
      </c>
      <c r="BS7" s="8">
        <v>38960</v>
      </c>
      <c r="BT7" s="8">
        <v>38990</v>
      </c>
      <c r="BU7" s="8">
        <v>39021</v>
      </c>
      <c r="BV7" s="8">
        <v>39051</v>
      </c>
      <c r="BW7" s="8">
        <v>39082</v>
      </c>
      <c r="BX7" s="8">
        <v>39113</v>
      </c>
      <c r="BY7" s="8">
        <v>39141</v>
      </c>
      <c r="BZ7" s="8">
        <v>39172</v>
      </c>
      <c r="CA7" s="8">
        <v>39202</v>
      </c>
      <c r="CB7" s="8">
        <v>39233</v>
      </c>
      <c r="CC7" s="8">
        <v>39263</v>
      </c>
      <c r="CD7" s="8">
        <v>39294</v>
      </c>
      <c r="CE7" s="8">
        <v>39325</v>
      </c>
      <c r="CF7" s="8">
        <v>39355</v>
      </c>
      <c r="CG7" s="8">
        <v>39386</v>
      </c>
      <c r="CH7" s="8">
        <v>39416</v>
      </c>
      <c r="CI7" s="8">
        <v>39447</v>
      </c>
      <c r="CJ7" s="8">
        <v>39478</v>
      </c>
      <c r="CK7" s="8">
        <v>39507</v>
      </c>
      <c r="CL7" s="8">
        <v>39538</v>
      </c>
      <c r="CM7" s="8">
        <v>39568</v>
      </c>
      <c r="CN7" s="8">
        <v>39599</v>
      </c>
      <c r="CO7" s="8">
        <v>39629</v>
      </c>
      <c r="CP7" s="8">
        <v>39660</v>
      </c>
      <c r="CQ7" s="8">
        <v>39691</v>
      </c>
      <c r="CR7" s="8">
        <v>39721</v>
      </c>
      <c r="CS7" s="8">
        <v>39752</v>
      </c>
      <c r="CT7" s="8">
        <v>39782</v>
      </c>
      <c r="CU7" s="8">
        <v>39813</v>
      </c>
      <c r="CV7" s="8">
        <v>39844</v>
      </c>
      <c r="CW7" s="8">
        <v>39872</v>
      </c>
      <c r="CX7" s="8">
        <v>39903</v>
      </c>
      <c r="CY7" s="8">
        <v>39933</v>
      </c>
      <c r="CZ7" s="8">
        <v>39964</v>
      </c>
      <c r="DA7" s="8">
        <v>39994</v>
      </c>
      <c r="DB7" s="8">
        <v>40025</v>
      </c>
      <c r="DC7" s="8">
        <v>40056</v>
      </c>
      <c r="DD7" s="8">
        <v>40086</v>
      </c>
      <c r="DE7" s="8">
        <v>40117</v>
      </c>
      <c r="DF7" s="8">
        <v>40147</v>
      </c>
      <c r="DG7" s="8">
        <v>40178</v>
      </c>
      <c r="DH7" s="8">
        <v>40209</v>
      </c>
      <c r="DI7" s="8">
        <v>40237</v>
      </c>
      <c r="DJ7" s="8">
        <v>40268</v>
      </c>
      <c r="DK7" s="8">
        <v>40298</v>
      </c>
      <c r="DL7" s="8">
        <v>40329</v>
      </c>
      <c r="DM7" s="8">
        <v>40359</v>
      </c>
      <c r="DN7" s="8">
        <v>40390</v>
      </c>
      <c r="DO7" s="8">
        <v>40421</v>
      </c>
      <c r="DP7" s="8">
        <v>40451</v>
      </c>
      <c r="DQ7" s="8">
        <v>40482</v>
      </c>
      <c r="DR7" s="8">
        <v>40512</v>
      </c>
      <c r="DS7" s="8">
        <v>40543</v>
      </c>
      <c r="DT7" s="8">
        <v>40574</v>
      </c>
      <c r="DU7" s="8">
        <v>40602</v>
      </c>
      <c r="DV7" s="8">
        <v>40633</v>
      </c>
      <c r="DW7" s="8">
        <v>40663</v>
      </c>
      <c r="DX7" s="8">
        <v>40694</v>
      </c>
      <c r="DY7" s="8">
        <v>40724</v>
      </c>
      <c r="DZ7" s="8">
        <v>40755</v>
      </c>
      <c r="EA7" s="8">
        <v>40786</v>
      </c>
      <c r="EB7" s="8">
        <v>40816</v>
      </c>
      <c r="EC7" s="8">
        <v>40847</v>
      </c>
      <c r="ED7" s="8">
        <v>40877</v>
      </c>
      <c r="EE7" s="8">
        <v>40908</v>
      </c>
      <c r="EF7" s="8">
        <v>40939</v>
      </c>
      <c r="EG7" s="8">
        <v>40968</v>
      </c>
      <c r="EH7" s="8">
        <v>40999</v>
      </c>
      <c r="EI7" s="8">
        <v>41029</v>
      </c>
      <c r="EJ7" s="8">
        <v>41060</v>
      </c>
      <c r="EK7" s="8">
        <v>41090</v>
      </c>
      <c r="EL7" s="8">
        <v>41121</v>
      </c>
      <c r="EM7" s="8">
        <v>41152</v>
      </c>
      <c r="EN7" s="8">
        <v>41182</v>
      </c>
      <c r="EO7" s="8">
        <v>41213</v>
      </c>
      <c r="EP7" s="8">
        <v>41243</v>
      </c>
      <c r="EQ7" s="8">
        <v>41274</v>
      </c>
      <c r="ER7" s="8">
        <v>41305</v>
      </c>
      <c r="ES7" s="8">
        <v>41333</v>
      </c>
      <c r="ET7" s="8">
        <v>41364</v>
      </c>
      <c r="EU7" s="8">
        <v>41394</v>
      </c>
      <c r="EV7" s="8">
        <v>41425</v>
      </c>
      <c r="EW7" s="8">
        <v>41455</v>
      </c>
      <c r="EX7" s="8">
        <v>41486</v>
      </c>
      <c r="EY7" s="8">
        <v>41517</v>
      </c>
      <c r="EZ7" s="8">
        <v>41547</v>
      </c>
      <c r="FA7" s="8">
        <v>41578</v>
      </c>
      <c r="FB7" s="8">
        <v>41608</v>
      </c>
      <c r="FC7" s="8">
        <v>41639</v>
      </c>
      <c r="FD7" s="8">
        <v>41670</v>
      </c>
      <c r="FE7" s="8">
        <v>41698</v>
      </c>
      <c r="FF7" s="8">
        <v>41729</v>
      </c>
      <c r="FG7" s="8">
        <v>41759</v>
      </c>
      <c r="FH7" s="8">
        <v>41790</v>
      </c>
      <c r="FI7" s="8">
        <v>41820</v>
      </c>
      <c r="FJ7" s="8">
        <v>41851</v>
      </c>
      <c r="FK7" s="8">
        <v>41882</v>
      </c>
      <c r="FL7" s="8">
        <v>41912</v>
      </c>
      <c r="FM7" s="8">
        <v>41943</v>
      </c>
      <c r="FN7" s="8">
        <v>41973</v>
      </c>
      <c r="FO7" s="8">
        <v>42004</v>
      </c>
      <c r="FP7" s="8">
        <v>42035</v>
      </c>
      <c r="FQ7" s="8">
        <v>42063</v>
      </c>
      <c r="FR7" s="8">
        <v>42094</v>
      </c>
      <c r="FS7" s="8">
        <v>42124</v>
      </c>
      <c r="FT7" s="8">
        <v>42155</v>
      </c>
      <c r="FU7" s="8">
        <v>42185</v>
      </c>
      <c r="FV7" s="8">
        <v>42216</v>
      </c>
      <c r="FW7" s="8">
        <v>42247</v>
      </c>
      <c r="FX7" s="8">
        <v>42277</v>
      </c>
      <c r="FY7" s="8">
        <v>42308</v>
      </c>
      <c r="FZ7" s="8">
        <v>42338</v>
      </c>
      <c r="GA7" s="8">
        <v>42369</v>
      </c>
      <c r="GB7" s="8">
        <v>42400</v>
      </c>
      <c r="GC7" s="8">
        <v>42429</v>
      </c>
      <c r="GD7" s="8">
        <v>42460</v>
      </c>
      <c r="GE7" s="8">
        <v>42490</v>
      </c>
      <c r="GF7" s="8">
        <v>42521</v>
      </c>
      <c r="GG7" s="8">
        <v>42551</v>
      </c>
      <c r="GH7" s="8">
        <v>42582</v>
      </c>
      <c r="GI7" s="8">
        <v>42613</v>
      </c>
      <c r="GJ7" s="8">
        <v>42643</v>
      </c>
      <c r="GK7" s="8">
        <v>42674</v>
      </c>
      <c r="GL7" s="8">
        <v>42704</v>
      </c>
      <c r="GM7" s="8">
        <v>42735</v>
      </c>
      <c r="GN7" s="8">
        <v>42766</v>
      </c>
      <c r="GO7" s="8">
        <v>42794</v>
      </c>
      <c r="GP7" s="8">
        <v>42825</v>
      </c>
      <c r="GQ7" s="8">
        <v>42855</v>
      </c>
      <c r="GR7" s="8">
        <v>42886</v>
      </c>
      <c r="GS7" s="8">
        <v>42916</v>
      </c>
      <c r="GT7" s="8">
        <v>42947</v>
      </c>
      <c r="GU7" s="8">
        <v>42978</v>
      </c>
      <c r="GV7" s="8">
        <v>43008</v>
      </c>
      <c r="GW7" s="8">
        <v>43039</v>
      </c>
      <c r="GX7" s="8">
        <v>43069</v>
      </c>
      <c r="GY7" s="8">
        <v>43100</v>
      </c>
      <c r="GZ7" s="8">
        <v>43131</v>
      </c>
      <c r="HA7" s="8">
        <v>43159</v>
      </c>
      <c r="HB7" s="8">
        <v>43190</v>
      </c>
      <c r="HC7" s="8">
        <v>43220</v>
      </c>
      <c r="HD7" s="8">
        <v>43251</v>
      </c>
      <c r="HE7" s="8">
        <v>43281</v>
      </c>
      <c r="HF7" s="8">
        <v>43312</v>
      </c>
      <c r="HG7" s="8">
        <v>43343</v>
      </c>
      <c r="HH7" s="8">
        <v>43373</v>
      </c>
      <c r="HI7" s="8">
        <v>43404</v>
      </c>
      <c r="HJ7" s="8">
        <v>43434</v>
      </c>
      <c r="HK7" s="8">
        <v>43465</v>
      </c>
      <c r="HL7" s="8">
        <v>43496</v>
      </c>
      <c r="HM7" s="8">
        <v>43524</v>
      </c>
      <c r="HN7" s="8">
        <v>43555</v>
      </c>
      <c r="HO7" s="8">
        <v>43585</v>
      </c>
      <c r="HP7" s="8">
        <v>43616</v>
      </c>
      <c r="HQ7" s="8">
        <v>43646</v>
      </c>
      <c r="HR7" s="8">
        <v>43677</v>
      </c>
      <c r="HS7" s="8">
        <v>43708</v>
      </c>
      <c r="HT7" s="8">
        <v>43738</v>
      </c>
      <c r="HU7" s="8">
        <v>43769</v>
      </c>
      <c r="HV7" s="8">
        <v>43799</v>
      </c>
      <c r="HW7" s="8">
        <v>43830</v>
      </c>
      <c r="HX7" s="8">
        <v>43861</v>
      </c>
      <c r="HY7" s="8">
        <v>43890</v>
      </c>
      <c r="HZ7" s="8">
        <v>43921</v>
      </c>
      <c r="IA7" s="8">
        <v>43951</v>
      </c>
      <c r="IB7" s="8">
        <v>43982</v>
      </c>
      <c r="IC7" s="8">
        <v>44012</v>
      </c>
      <c r="ID7" s="8">
        <v>44043</v>
      </c>
      <c r="IE7" s="8">
        <v>44074</v>
      </c>
      <c r="IF7" s="8">
        <v>44104</v>
      </c>
      <c r="IG7" s="8">
        <v>44135</v>
      </c>
      <c r="IH7" s="8">
        <v>44165</v>
      </c>
      <c r="II7" s="8">
        <v>44196</v>
      </c>
      <c r="IJ7" s="8">
        <v>44227</v>
      </c>
      <c r="IK7" s="8">
        <v>44255</v>
      </c>
      <c r="IL7" s="8">
        <v>44286</v>
      </c>
      <c r="IM7" s="8">
        <v>44316</v>
      </c>
      <c r="IN7" s="8">
        <v>44347</v>
      </c>
      <c r="IO7" s="8">
        <v>44377</v>
      </c>
      <c r="IP7" s="8">
        <v>44408</v>
      </c>
      <c r="IQ7" s="8">
        <v>44439</v>
      </c>
      <c r="IR7" s="8">
        <v>44469</v>
      </c>
      <c r="IS7" s="8">
        <v>44500</v>
      </c>
      <c r="IT7" s="8">
        <v>44530</v>
      </c>
      <c r="IU7" s="8">
        <v>44561</v>
      </c>
      <c r="IV7" s="8">
        <v>44592</v>
      </c>
      <c r="IW7" s="8">
        <v>44620</v>
      </c>
      <c r="IX7" s="8">
        <v>44651</v>
      </c>
      <c r="IY7" s="8">
        <v>44681</v>
      </c>
      <c r="IZ7" s="8">
        <v>44712</v>
      </c>
      <c r="JA7" s="8">
        <v>44742</v>
      </c>
      <c r="JB7" s="8">
        <v>44773</v>
      </c>
      <c r="JC7" s="8">
        <v>44804</v>
      </c>
      <c r="JD7" s="8">
        <v>44834</v>
      </c>
      <c r="JE7" s="8">
        <v>44865</v>
      </c>
      <c r="JF7" s="8">
        <v>44895</v>
      </c>
      <c r="JG7" s="8">
        <v>44926</v>
      </c>
      <c r="JH7" s="8">
        <v>44957</v>
      </c>
      <c r="JI7" s="8">
        <v>44985</v>
      </c>
      <c r="JJ7" s="8">
        <v>45016</v>
      </c>
      <c r="JK7" s="8">
        <v>45046</v>
      </c>
      <c r="JL7" s="8">
        <v>45077</v>
      </c>
      <c r="JM7" s="8">
        <v>45107</v>
      </c>
      <c r="JN7" s="8">
        <v>45138</v>
      </c>
      <c r="JO7" s="8">
        <v>45169</v>
      </c>
      <c r="JP7" s="8">
        <v>45199</v>
      </c>
      <c r="JQ7" s="8">
        <v>45230</v>
      </c>
      <c r="JR7" s="8">
        <v>45260</v>
      </c>
      <c r="JS7" s="8">
        <v>45291</v>
      </c>
      <c r="JT7" s="8">
        <v>45322</v>
      </c>
      <c r="JU7" s="8">
        <v>45351</v>
      </c>
      <c r="JV7" s="8">
        <v>45382</v>
      </c>
      <c r="JW7" s="8">
        <v>45412</v>
      </c>
      <c r="JX7" s="8">
        <v>45443</v>
      </c>
      <c r="JY7" s="8">
        <v>45473</v>
      </c>
      <c r="JZ7" s="8">
        <v>45504</v>
      </c>
      <c r="KA7" s="8">
        <v>45535</v>
      </c>
      <c r="KB7" s="8">
        <v>45565</v>
      </c>
      <c r="KC7" s="8">
        <v>45596</v>
      </c>
      <c r="KD7" s="8">
        <v>45626</v>
      </c>
      <c r="KE7" s="8">
        <v>45657</v>
      </c>
      <c r="KF7" s="8">
        <v>45688</v>
      </c>
      <c r="KG7" s="8">
        <v>45716</v>
      </c>
      <c r="KH7" s="8">
        <v>45747</v>
      </c>
      <c r="KI7" s="8">
        <v>45777</v>
      </c>
      <c r="KJ7" s="8">
        <v>45808</v>
      </c>
      <c r="KK7" s="8">
        <v>45838</v>
      </c>
      <c r="KL7" s="8">
        <v>45869</v>
      </c>
      <c r="KM7" s="8">
        <v>45900</v>
      </c>
      <c r="KN7" s="8">
        <v>45930</v>
      </c>
      <c r="KO7" s="8">
        <v>45961</v>
      </c>
      <c r="KP7" s="8">
        <v>45991</v>
      </c>
      <c r="KQ7" s="8">
        <v>46022</v>
      </c>
      <c r="KR7" s="8">
        <v>46053</v>
      </c>
      <c r="KS7" s="8">
        <v>46081</v>
      </c>
      <c r="KT7" s="8">
        <v>46112</v>
      </c>
      <c r="KU7" s="8">
        <v>46142</v>
      </c>
      <c r="KV7" s="8">
        <v>46173</v>
      </c>
      <c r="KW7" s="8">
        <v>46203</v>
      </c>
      <c r="KX7" s="8">
        <v>46234</v>
      </c>
      <c r="KY7" s="8">
        <v>46265</v>
      </c>
      <c r="KZ7" s="8">
        <v>46295</v>
      </c>
      <c r="LA7" s="8">
        <v>46326</v>
      </c>
      <c r="LB7" s="8">
        <v>46356</v>
      </c>
      <c r="LC7" s="8">
        <v>46387</v>
      </c>
      <c r="LD7" s="8">
        <v>46418</v>
      </c>
      <c r="LE7" s="8">
        <v>46446</v>
      </c>
      <c r="LF7" s="8">
        <v>46477</v>
      </c>
      <c r="LG7" s="8">
        <v>46507</v>
      </c>
      <c r="LH7" s="8">
        <v>46538</v>
      </c>
      <c r="LI7" s="8">
        <v>46568</v>
      </c>
      <c r="LJ7" s="8">
        <v>46599</v>
      </c>
      <c r="LK7" s="8">
        <v>46630</v>
      </c>
      <c r="LL7" s="8">
        <v>46660</v>
      </c>
      <c r="LM7" s="8">
        <v>46691</v>
      </c>
      <c r="LN7" s="8">
        <v>46721</v>
      </c>
      <c r="LO7" s="8">
        <v>46752</v>
      </c>
      <c r="LP7" s="8">
        <v>46783</v>
      </c>
      <c r="LQ7" s="8">
        <v>46812</v>
      </c>
      <c r="LR7" s="8">
        <v>46843</v>
      </c>
      <c r="LS7" s="8">
        <v>46873</v>
      </c>
      <c r="LT7" s="8">
        <v>46904</v>
      </c>
      <c r="LU7" s="8">
        <v>46934</v>
      </c>
      <c r="LV7" s="8">
        <v>46965</v>
      </c>
      <c r="LW7" s="8">
        <v>46996</v>
      </c>
      <c r="LX7" s="8">
        <v>47026</v>
      </c>
      <c r="LY7" s="8">
        <v>47057</v>
      </c>
      <c r="LZ7" s="8">
        <v>47087</v>
      </c>
      <c r="MA7" s="8">
        <v>47118</v>
      </c>
      <c r="MB7" s="8">
        <v>47149</v>
      </c>
      <c r="MC7" s="8">
        <v>47177</v>
      </c>
      <c r="MD7" s="8">
        <v>47208</v>
      </c>
      <c r="ME7" s="8">
        <v>47238</v>
      </c>
      <c r="MF7" s="8">
        <v>47269</v>
      </c>
      <c r="MG7" s="8">
        <v>47299</v>
      </c>
      <c r="MH7" s="8">
        <v>47330</v>
      </c>
      <c r="MI7" s="8">
        <v>47361</v>
      </c>
      <c r="MJ7" s="8">
        <v>47391</v>
      </c>
      <c r="MK7" s="8">
        <v>47422</v>
      </c>
      <c r="ML7" s="8">
        <v>47452</v>
      </c>
      <c r="MM7" s="8">
        <v>47483</v>
      </c>
      <c r="MN7" s="8">
        <v>47514</v>
      </c>
      <c r="MO7" s="8">
        <v>47542</v>
      </c>
      <c r="MP7" s="8">
        <v>47573</v>
      </c>
      <c r="MQ7" s="8">
        <v>47603</v>
      </c>
      <c r="MR7" s="8">
        <v>47634</v>
      </c>
      <c r="MS7" s="8">
        <v>47664</v>
      </c>
      <c r="MT7" s="8">
        <v>47695</v>
      </c>
      <c r="MU7" s="8">
        <v>47726</v>
      </c>
      <c r="MV7" s="8">
        <v>47756</v>
      </c>
      <c r="MW7" s="8">
        <v>47787</v>
      </c>
      <c r="MX7" s="8">
        <v>47817</v>
      </c>
      <c r="MY7" s="8">
        <v>47848</v>
      </c>
      <c r="MZ7" s="8">
        <v>47879</v>
      </c>
      <c r="NA7" s="8">
        <v>47907</v>
      </c>
      <c r="NB7" s="8">
        <v>47938</v>
      </c>
      <c r="NC7" s="8">
        <v>47968</v>
      </c>
      <c r="ND7" s="8">
        <v>47999</v>
      </c>
      <c r="NE7" s="8">
        <v>48029</v>
      </c>
      <c r="NF7" s="8">
        <v>48060</v>
      </c>
      <c r="NG7" s="8">
        <v>48091</v>
      </c>
      <c r="NH7" s="8">
        <v>48121</v>
      </c>
      <c r="NI7" s="8">
        <v>48152</v>
      </c>
      <c r="NJ7" s="8">
        <v>48182</v>
      </c>
      <c r="NK7" s="8">
        <v>48213</v>
      </c>
      <c r="NL7" s="8">
        <v>48244</v>
      </c>
      <c r="NM7" s="8">
        <v>48273</v>
      </c>
      <c r="NN7" s="8">
        <v>48304</v>
      </c>
      <c r="NO7" s="8">
        <v>48334</v>
      </c>
      <c r="NP7" s="8">
        <v>48365</v>
      </c>
      <c r="NQ7" s="8">
        <v>48395</v>
      </c>
      <c r="NR7" s="8">
        <v>48426</v>
      </c>
      <c r="NS7" s="8">
        <v>48457</v>
      </c>
      <c r="NT7" s="8">
        <v>48487</v>
      </c>
      <c r="NU7" s="8">
        <v>48518</v>
      </c>
      <c r="NV7" s="8">
        <v>48548</v>
      </c>
      <c r="NW7" s="8">
        <v>48579</v>
      </c>
      <c r="NX7" s="8">
        <v>48610</v>
      </c>
      <c r="NY7" s="8">
        <v>48638</v>
      </c>
      <c r="NZ7" s="8">
        <v>48669</v>
      </c>
      <c r="OA7" s="8">
        <v>48699</v>
      </c>
      <c r="OB7" s="8">
        <v>48730</v>
      </c>
      <c r="OC7" s="8">
        <v>48760</v>
      </c>
      <c r="OD7" s="8">
        <v>48791</v>
      </c>
      <c r="OE7" s="8">
        <v>48822</v>
      </c>
      <c r="OF7" s="8">
        <v>48852</v>
      </c>
      <c r="OG7" s="8">
        <v>48883</v>
      </c>
      <c r="OH7" s="8">
        <v>48913</v>
      </c>
      <c r="OI7" s="8">
        <v>48944</v>
      </c>
    </row>
    <row r="8" spans="1:399" s="2" customFormat="1" ht="12.95" customHeight="1" x14ac:dyDescent="0.2">
      <c r="A8" s="10" t="s">
        <v>337</v>
      </c>
      <c r="B8" s="2" t="s">
        <v>338</v>
      </c>
      <c r="C8" s="11"/>
      <c r="D8" s="12">
        <v>100</v>
      </c>
      <c r="E8" s="12">
        <f>+D8*(1+E9)</f>
        <v>100.11334655709831</v>
      </c>
      <c r="F8" s="12">
        <f t="shared" ref="F8:BQ8" si="0">+E8*(1+F9)</f>
        <v>99.452158307358076</v>
      </c>
      <c r="G8" s="12">
        <f t="shared" si="0"/>
        <v>99.263247378860868</v>
      </c>
      <c r="H8" s="12">
        <f t="shared" si="0"/>
        <v>99.338811750259751</v>
      </c>
      <c r="I8" s="12">
        <f t="shared" si="0"/>
        <v>98.894871068291295</v>
      </c>
      <c r="J8" s="12">
        <f t="shared" si="0"/>
        <v>98.545385850571435</v>
      </c>
      <c r="K8" s="12">
        <f t="shared" si="0"/>
        <v>98.063662982903537</v>
      </c>
      <c r="L8" s="12">
        <f t="shared" si="0"/>
        <v>97.638613393784823</v>
      </c>
      <c r="M8" s="12">
        <f t="shared" si="0"/>
        <v>96.174553697931401</v>
      </c>
      <c r="N8" s="12">
        <f t="shared" si="0"/>
        <v>94.833286105601204</v>
      </c>
      <c r="O8" s="12">
        <f t="shared" si="0"/>
        <v>94.663266269953709</v>
      </c>
      <c r="P8" s="12">
        <f t="shared" si="0"/>
        <v>100.68952488901482</v>
      </c>
      <c r="Q8" s="12">
        <f t="shared" si="0"/>
        <v>113.10097289128174</v>
      </c>
      <c r="R8" s="12">
        <f t="shared" si="0"/>
        <v>127.32596580712192</v>
      </c>
      <c r="S8" s="12">
        <f t="shared" si="0"/>
        <v>152.67781241144792</v>
      </c>
      <c r="T8" s="12">
        <f t="shared" si="0"/>
        <v>171.50278643619529</v>
      </c>
      <c r="U8" s="12">
        <f t="shared" si="0"/>
        <v>186.15282894115424</v>
      </c>
      <c r="V8" s="12">
        <f t="shared" si="0"/>
        <v>194.80494946632663</v>
      </c>
      <c r="W8" s="12">
        <f t="shared" si="0"/>
        <v>204.6283177481817</v>
      </c>
      <c r="X8" s="12">
        <f t="shared" si="0"/>
        <v>209.61556626050813</v>
      </c>
      <c r="Y8" s="12">
        <f t="shared" si="0"/>
        <v>210.65457636724281</v>
      </c>
      <c r="Z8" s="12">
        <f t="shared" si="0"/>
        <v>207.15972419004436</v>
      </c>
      <c r="AA8" s="12">
        <f t="shared" si="0"/>
        <v>206.32851610465661</v>
      </c>
      <c r="AB8" s="12">
        <f t="shared" si="0"/>
        <v>207.19750637574384</v>
      </c>
      <c r="AC8" s="12">
        <f t="shared" si="0"/>
        <v>208.000377821857</v>
      </c>
      <c r="AD8" s="12">
        <f t="shared" si="0"/>
        <v>206.57410031170301</v>
      </c>
      <c r="AE8" s="12">
        <f t="shared" si="0"/>
        <v>202.79588174175873</v>
      </c>
      <c r="AF8" s="12">
        <f t="shared" si="0"/>
        <v>201.50184188155285</v>
      </c>
      <c r="AG8" s="12">
        <f t="shared" si="0"/>
        <v>201.22792103523187</v>
      </c>
      <c r="AH8" s="12">
        <f t="shared" si="0"/>
        <v>201.15235666383302</v>
      </c>
      <c r="AI8" s="12">
        <f t="shared" si="0"/>
        <v>203.90101067346745</v>
      </c>
      <c r="AJ8" s="12">
        <f t="shared" si="0"/>
        <v>203.55152545574759</v>
      </c>
      <c r="AK8" s="12">
        <f t="shared" si="0"/>
        <v>204.63776329460657</v>
      </c>
      <c r="AL8" s="12">
        <f t="shared" si="0"/>
        <v>206.76301124020023</v>
      </c>
      <c r="AM8" s="12">
        <f t="shared" si="0"/>
        <v>210.36176442807215</v>
      </c>
      <c r="AN8" s="12">
        <f t="shared" si="0"/>
        <v>209.65334844620762</v>
      </c>
      <c r="AO8" s="12">
        <f t="shared" si="0"/>
        <v>212.57202229148959</v>
      </c>
      <c r="AP8" s="12">
        <f t="shared" si="0"/>
        <v>213.49768584112593</v>
      </c>
      <c r="AQ8" s="12">
        <f t="shared" si="0"/>
        <v>215.20732974402569</v>
      </c>
      <c r="AR8" s="12">
        <f t="shared" si="0"/>
        <v>217.97487484650986</v>
      </c>
      <c r="AS8" s="12">
        <f t="shared" si="0"/>
        <v>218.46604326060262</v>
      </c>
      <c r="AT8" s="12">
        <f t="shared" si="0"/>
        <v>220.46849910267309</v>
      </c>
      <c r="AU8" s="12">
        <f t="shared" si="0"/>
        <v>225.80523283271938</v>
      </c>
      <c r="AV8" s="12">
        <f t="shared" si="0"/>
        <v>226.33418343251159</v>
      </c>
      <c r="AW8" s="12">
        <f t="shared" si="0"/>
        <v>227.65655993199209</v>
      </c>
      <c r="AX8" s="12">
        <f t="shared" si="0"/>
        <v>224.94568810805706</v>
      </c>
      <c r="AY8" s="12">
        <f t="shared" si="0"/>
        <v>226.91036176442807</v>
      </c>
      <c r="AZ8" s="12">
        <f t="shared" si="0"/>
        <v>224.73788608671015</v>
      </c>
      <c r="BA8" s="12">
        <f t="shared" si="0"/>
        <v>227.12760933219988</v>
      </c>
      <c r="BB8" s="12">
        <f t="shared" si="0"/>
        <v>231.60479833758384</v>
      </c>
      <c r="BC8" s="12">
        <f t="shared" si="0"/>
        <v>234.98630395768402</v>
      </c>
      <c r="BD8" s="12">
        <f t="shared" si="0"/>
        <v>234.81628412203651</v>
      </c>
      <c r="BE8" s="12">
        <f t="shared" si="0"/>
        <v>235.3735713611033</v>
      </c>
      <c r="BF8" s="12">
        <f t="shared" si="0"/>
        <v>238.32058184565983</v>
      </c>
      <c r="BG8" s="12">
        <f t="shared" si="0"/>
        <v>241.29592896949094</v>
      </c>
      <c r="BH8" s="12">
        <f t="shared" si="0"/>
        <v>245.85812789269866</v>
      </c>
      <c r="BI8" s="12">
        <f t="shared" si="0"/>
        <v>248.62567299518287</v>
      </c>
      <c r="BJ8" s="12">
        <f t="shared" si="0"/>
        <v>248.82402947010493</v>
      </c>
      <c r="BK8" s="12">
        <f t="shared" si="0"/>
        <v>251.27987154056868</v>
      </c>
      <c r="BL8" s="12">
        <f t="shared" si="0"/>
        <v>254.52913951072082</v>
      </c>
      <c r="BM8" s="12">
        <f t="shared" si="0"/>
        <v>258.48682346273745</v>
      </c>
      <c r="BN8" s="12">
        <f t="shared" si="0"/>
        <v>256.88108057051107</v>
      </c>
      <c r="BO8" s="12">
        <f t="shared" si="0"/>
        <v>260.60262586190618</v>
      </c>
      <c r="BP8" s="12">
        <f t="shared" si="0"/>
        <v>261.64163596864091</v>
      </c>
      <c r="BQ8" s="12">
        <f t="shared" si="0"/>
        <v>263.74799282138486</v>
      </c>
      <c r="BR8" s="12">
        <f t="shared" ref="BR8:BT8" si="1">+BQ8*(1+BR9)</f>
        <v>265.62765655993218</v>
      </c>
      <c r="BS8" s="12">
        <f t="shared" si="1"/>
        <v>267.33730046283193</v>
      </c>
      <c r="BT8" s="12">
        <f t="shared" si="1"/>
        <v>266.63833002739227</v>
      </c>
      <c r="BU8" s="12">
        <f t="shared" ref="BU8" si="2">+BT8*(1+BU9)</f>
        <v>267.74345895910091</v>
      </c>
      <c r="BV8" s="12">
        <f t="shared" ref="BV8" si="3">+BU8*(1+BV9)</f>
        <v>267.99848871257217</v>
      </c>
      <c r="BW8" s="12">
        <f t="shared" ref="BW8" si="4">+BV8*(1+BW9)</f>
        <v>269.05638991215659</v>
      </c>
      <c r="BX8" s="12">
        <f t="shared" ref="BX8" si="5">+BW8*(1+BX9)</f>
        <v>270.00094455464267</v>
      </c>
      <c r="BY8" s="12">
        <f t="shared" ref="BY8" si="6">+BX8*(1+BY9)</f>
        <v>272.23953905733464</v>
      </c>
      <c r="BZ8" s="12">
        <f t="shared" ref="BZ8" si="7">+BY8*(1+BZ9)</f>
        <v>273.9397374138095</v>
      </c>
      <c r="CA8" s="12">
        <f t="shared" ref="CA8" si="8">+BZ8*(1+CA9)</f>
        <v>278.68140171908959</v>
      </c>
      <c r="CB8" s="12">
        <f t="shared" ref="CB8" si="9">+CA8*(1+CB9)</f>
        <v>283.00746198167576</v>
      </c>
      <c r="CC8" s="12">
        <f t="shared" ref="CC8" si="10">+CB8*(1+CC9)</f>
        <v>288.51421554736953</v>
      </c>
      <c r="CD8" s="12">
        <f t="shared" ref="CD8" si="11">+CC8*(1+CD9)</f>
        <v>295.05997921979804</v>
      </c>
      <c r="CE8" s="12">
        <f t="shared" ref="CE8" si="12">+CD8*(1+CE9)</f>
        <v>297.3080192689149</v>
      </c>
      <c r="CF8" s="12">
        <f t="shared" ref="CF8" si="13">+CE8*(1+CF9)</f>
        <v>300.35893076414487</v>
      </c>
      <c r="CG8" s="12">
        <f t="shared" ref="CG8" si="14">+CF8*(1+CG9)</f>
        <v>303.12647586662905</v>
      </c>
      <c r="CH8" s="12">
        <f t="shared" ref="CH8" si="15">+CG8*(1+CH9)</f>
        <v>306.3001794653822</v>
      </c>
      <c r="CI8" s="12">
        <f t="shared" ref="CI8" si="16">+CH8*(1+CI9)</f>
        <v>308.22707093605379</v>
      </c>
      <c r="CJ8" s="12">
        <f t="shared" ref="CJ8" si="17">+CI8*(1+CJ9)</f>
        <v>310.6640219136678</v>
      </c>
      <c r="CK8" s="12">
        <f t="shared" ref="CK8" si="18">+CJ8*(1+CK9)</f>
        <v>313.54491357325031</v>
      </c>
      <c r="CL8" s="12">
        <f t="shared" ref="CL8" si="19">+CK8*(1+CL9)</f>
        <v>317.04921129687364</v>
      </c>
      <c r="CM8" s="12">
        <f t="shared" ref="CM8" si="20">+CL8*(1+CM9)</f>
        <v>320.95966751676593</v>
      </c>
      <c r="CN8" s="12">
        <f t="shared" ref="CN8" si="21">+CM8*(1+CN9)</f>
        <v>324.38840086899035</v>
      </c>
      <c r="CO8" s="12">
        <f t="shared" ref="CO8" si="22">+CN8*(1+CO9)</f>
        <v>328.27052044960806</v>
      </c>
      <c r="CP8" s="12">
        <f t="shared" ref="CP8" si="23">+CO8*(1+CP9)</f>
        <v>330.75469915934644</v>
      </c>
      <c r="CQ8" s="12">
        <f t="shared" ref="CQ8" si="24">+CP8*(1+CQ9)</f>
        <v>333.51279871540572</v>
      </c>
      <c r="CR8" s="12">
        <f t="shared" ref="CR8" si="25">+CQ8*(1+CR9)</f>
        <v>335.37357136110336</v>
      </c>
      <c r="CS8" s="12">
        <f t="shared" ref="CS8" si="26">+CR8*(1+CS9)</f>
        <v>337.22489846037604</v>
      </c>
      <c r="CT8" s="12">
        <f t="shared" ref="CT8" si="27">+CS8*(1+CT9)</f>
        <v>336.2897893643148</v>
      </c>
      <c r="CU8" s="12">
        <f t="shared" ref="CU8" si="28">+CT8*(1+CU9)</f>
        <v>335.41135354680279</v>
      </c>
      <c r="CV8" s="12">
        <f t="shared" ref="CV8" si="29">+CU8*(1+CV9)</f>
        <v>335.13743270048184</v>
      </c>
      <c r="CW8" s="12">
        <f t="shared" ref="CW8" si="30">+CV8*(1+CW9)</f>
        <v>335.60971002172488</v>
      </c>
      <c r="CX8" s="12">
        <f t="shared" ref="CX8" si="31">+CW8*(1+CX9)</f>
        <v>339.45404741664316</v>
      </c>
      <c r="CY8" s="12">
        <f t="shared" ref="CY8" si="32">+CX8*(1+CY9)</f>
        <v>341.05979030886942</v>
      </c>
      <c r="CZ8" s="12">
        <f t="shared" ref="CZ8" si="33">+CY8*(1+CZ9)</f>
        <v>342.68442429394548</v>
      </c>
      <c r="DA8" s="12">
        <f t="shared" ref="DA8" si="34">+CZ8*(1+DA9)</f>
        <v>346.55709832813835</v>
      </c>
      <c r="DB8" s="12">
        <f t="shared" ref="DB8" si="35">+DA8*(1+DB9)</f>
        <v>350.87371304429973</v>
      </c>
      <c r="DC8" s="12">
        <f t="shared" ref="DC8" si="36">+DB8*(1+DC9)</f>
        <v>354.52913951072071</v>
      </c>
      <c r="DD8" s="12">
        <f t="shared" ref="DD8" si="37">+DC8*(1+DD9)</f>
        <v>358.15622933786727</v>
      </c>
      <c r="DE8" s="12">
        <f t="shared" ref="DE8" si="38">+DD8*(1+DE9)</f>
        <v>361.47161613299335</v>
      </c>
      <c r="DF8" s="12">
        <f t="shared" ref="DF8" si="39">+DE8*(1+DF9)</f>
        <v>365.27817134221226</v>
      </c>
      <c r="DG8" s="12">
        <f t="shared" ref="DG8" si="40">+DF8*(1+DG9)</f>
        <v>369.84981581184479</v>
      </c>
      <c r="DH8" s="12">
        <f t="shared" ref="DH8" si="41">+DG8*(1+DH9)</f>
        <v>374.83706432417119</v>
      </c>
      <c r="DI8" s="12">
        <f t="shared" ref="DI8" si="42">+DH8*(1+DI9)</f>
        <v>380.59884764333617</v>
      </c>
      <c r="DJ8" s="12">
        <f t="shared" ref="DJ8" si="43">+DI8*(1+DJ9)</f>
        <v>386.37952205535089</v>
      </c>
      <c r="DK8" s="12">
        <f t="shared" ref="DK8" si="44">+DJ8*(1+DK9)</f>
        <v>390.84726551430998</v>
      </c>
      <c r="DL8" s="12">
        <f t="shared" ref="DL8" si="45">+DK8*(1+DL9)</f>
        <v>395.57003872674034</v>
      </c>
      <c r="DM8" s="12">
        <f t="shared" ref="DM8" si="46">+DL8*(1+DM9)</f>
        <v>400.37782185699439</v>
      </c>
      <c r="DN8" s="12">
        <f t="shared" ref="DN8" si="47">+DM8*(1+DN9)</f>
        <v>404.25049589118731</v>
      </c>
      <c r="DO8" s="12">
        <f t="shared" ref="DO8" si="48">+DN8*(1+DO9)</f>
        <v>408.28374421460279</v>
      </c>
      <c r="DP8" s="12">
        <f t="shared" ref="DP8" si="49">+DO8*(1+DP9)</f>
        <v>412.09029942382165</v>
      </c>
      <c r="DQ8" s="12">
        <f t="shared" ref="DQ8" si="50">+DP8*(1+DQ9)</f>
        <v>415.82129026164171</v>
      </c>
      <c r="DR8" s="12">
        <f t="shared" ref="DR8" si="51">+DQ8*(1+DR9)</f>
        <v>419.74119202795885</v>
      </c>
      <c r="DS8" s="12">
        <f t="shared" ref="DS8" si="52">+DR8*(1+DS9)</f>
        <v>423.69887597997547</v>
      </c>
      <c r="DT8" s="12">
        <f t="shared" ref="DT8" si="53">+DS8*(1+DT9)</f>
        <v>428.33663927458207</v>
      </c>
      <c r="DU8" s="12">
        <f t="shared" ref="DU8" si="54">+DT8*(1+DU9)</f>
        <v>432.32265986587322</v>
      </c>
      <c r="DV8" s="12">
        <f t="shared" ref="DV8" si="55">+DU8*(1+DV9)</f>
        <v>436.47870029281194</v>
      </c>
      <c r="DW8" s="12">
        <f t="shared" ref="DW8" si="56">+DV8*(1+DW9)</f>
        <v>440.86143383394727</v>
      </c>
      <c r="DX8" s="12">
        <f t="shared" ref="DX8" si="57">+DW8*(1+DX9)</f>
        <v>445.39529611788043</v>
      </c>
      <c r="DY8" s="12">
        <f t="shared" ref="DY8" si="58">+DX8*(1+DY9)</f>
        <v>450.47700009445543</v>
      </c>
      <c r="DZ8" s="12">
        <f t="shared" ref="DZ8" si="59">+DY8*(1+DZ9)</f>
        <v>455.01086237838859</v>
      </c>
      <c r="EA8" s="12">
        <f t="shared" ref="EA8" si="60">+DZ8*(1+EA9)</f>
        <v>459.62973458014545</v>
      </c>
      <c r="EB8" s="12">
        <f t="shared" ref="EB8" si="61">+EA8*(1+EB9)</f>
        <v>464.34306224615096</v>
      </c>
      <c r="EC8" s="12">
        <f t="shared" ref="EC8" si="62">+EB8*(1+EC9)</f>
        <v>468.57466704448854</v>
      </c>
      <c r="ED8" s="12">
        <f t="shared" ref="ED8" si="63">+EC8*(1+ED9)</f>
        <v>473.04241050344768</v>
      </c>
      <c r="EE8" s="12">
        <f t="shared" ref="EE8" si="64">+ED8*(1+EE9)</f>
        <v>477.39680740530844</v>
      </c>
      <c r="EF8" s="12">
        <f t="shared" ref="EF8" si="65">+EE8*(1+EF9)</f>
        <v>481.96845187494097</v>
      </c>
      <c r="EG8" s="12">
        <f t="shared" ref="EG8" si="66">+EF8*(1+EG9)</f>
        <v>486.72900727307069</v>
      </c>
      <c r="EH8" s="12">
        <f t="shared" ref="EH8:EI8" si="67">+EG8*(1+EH9)</f>
        <v>492.48134504581083</v>
      </c>
      <c r="EI8" s="12">
        <f t="shared" si="67"/>
        <v>498.05421743647861</v>
      </c>
      <c r="EJ8" s="12">
        <f t="shared" ref="EJ8" si="68">+EI8*(1+EJ9)</f>
        <v>503.13592141305367</v>
      </c>
      <c r="EK8" s="12">
        <f t="shared" ref="EK8" si="69">+EJ8*(1+EK9)</f>
        <v>508.12316992538024</v>
      </c>
      <c r="EL8" s="12">
        <f t="shared" ref="EL8" si="70">+EK8*(1+EL9)</f>
        <v>513.05374515915742</v>
      </c>
      <c r="EM8" s="12">
        <f t="shared" ref="EM8" si="71">+EL8*(1+EM9)</f>
        <v>518.36214224992909</v>
      </c>
      <c r="EN8" s="12">
        <f t="shared" ref="EN8" si="72">+EM8*(1+EN9)</f>
        <v>524.13337111551891</v>
      </c>
      <c r="EO8" s="12">
        <f t="shared" ref="EO8" si="73">+EN8*(1+EO9)</f>
        <v>529.55511476338893</v>
      </c>
      <c r="EP8" s="12">
        <f t="shared" ref="EP8" si="74">+EO8*(1+EP9)</f>
        <v>534.87295740058551</v>
      </c>
      <c r="EQ8" s="12">
        <f t="shared" ref="EQ8" si="75">+EP8*(1+EQ9)</f>
        <v>540.06800793425884</v>
      </c>
      <c r="ER8" s="12">
        <f t="shared" ref="ER8" si="76">+EQ8*(1+ER9)</f>
        <v>545.55587040710293</v>
      </c>
      <c r="ES8" s="12">
        <f t="shared" ref="ES8" si="77">+ER8*(1+ES9)</f>
        <v>551.31765372626785</v>
      </c>
      <c r="ET8" s="12">
        <f t="shared" ref="ET8" si="78">+ES8*(1+ET9)</f>
        <v>556.87163502408589</v>
      </c>
      <c r="EU8" s="12">
        <f t="shared" ref="EU8" si="79">+ET8*(1+EU9)</f>
        <v>562.21781430055705</v>
      </c>
      <c r="EV8" s="12">
        <f t="shared" ref="EV8" si="80">+EU8*(1+EV9)</f>
        <v>569.28308302635287</v>
      </c>
      <c r="EW8" s="12">
        <f t="shared" ref="EW8" si="81">+EV8*(1+EW9)</f>
        <v>576.94342117691474</v>
      </c>
      <c r="EX8" s="12">
        <f t="shared" ref="EX8" si="82">+EW8*(1+EX9)</f>
        <v>583.47973930291846</v>
      </c>
      <c r="EY8" s="12">
        <f t="shared" ref="EY8" si="83">+EX8*(1+EY9)</f>
        <v>590.08217625389614</v>
      </c>
      <c r="EZ8" s="12">
        <f t="shared" ref="EZ8" si="84">+EY8*(1+EZ9)</f>
        <v>596.53348446207588</v>
      </c>
      <c r="FA8" s="12">
        <f t="shared" ref="FA8" si="85">+EZ8*(1+FA9)</f>
        <v>603.33427788797565</v>
      </c>
      <c r="FB8" s="12">
        <f t="shared" ref="FB8" si="86">+FA8*(1+FB9)</f>
        <v>610.67346746009241</v>
      </c>
      <c r="FC8" s="12">
        <f t="shared" ref="FC8" si="87">+FB8*(1+FC9)</f>
        <v>619.78841976008289</v>
      </c>
      <c r="FD8" s="12">
        <f t="shared" ref="FD8" si="88">+FC8*(1+FD9)</f>
        <v>650.48644564088011</v>
      </c>
      <c r="FE8" s="12">
        <f t="shared" ref="FE8" si="89">+FD8*(1+FE9)</f>
        <v>683.80088788136379</v>
      </c>
      <c r="FF8" s="12">
        <f t="shared" ref="FF8" si="90">+FE8*(1+FF9)</f>
        <v>700.44394068196823</v>
      </c>
      <c r="FG8" s="12">
        <f t="shared" ref="FG8" si="91">+FF8*(1+FG9)</f>
        <v>712.48701237366549</v>
      </c>
      <c r="FH8" s="12">
        <f t="shared" ref="FH8" si="92">+FG8*(1+FH9)</f>
        <v>725.79578728629428</v>
      </c>
      <c r="FI8" s="12">
        <f t="shared" ref="FI8" si="93">+FH8*(1+FI9)</f>
        <v>736.72428449985807</v>
      </c>
      <c r="FJ8" s="12">
        <f t="shared" ref="FJ8" si="94">+FI8*(1+FJ9)</f>
        <v>746.64210824596171</v>
      </c>
      <c r="FK8" s="12">
        <f t="shared" ref="FK8" si="95">+FJ8*(1+FK9)</f>
        <v>758.8268631340319</v>
      </c>
      <c r="FL8" s="12">
        <f t="shared" ref="FL8" si="96">+FK8*(1+FL9)</f>
        <v>770.92660810427833</v>
      </c>
      <c r="FM8" s="12">
        <f t="shared" ref="FM8" si="97">+FL8*(1+FM9)</f>
        <v>780.37215452913892</v>
      </c>
      <c r="FN8" s="12">
        <f t="shared" ref="FN8" si="98">+FM8*(1+FN9)</f>
        <v>787.49409653348403</v>
      </c>
      <c r="FO8" s="12">
        <f t="shared" ref="FO8" si="99">+FN8*(1+FO9)</f>
        <v>794.9938603948234</v>
      </c>
      <c r="FP8" s="12">
        <f t="shared" ref="FP8" si="100">+FO8*(1+FP9)</f>
        <v>796.59015774062493</v>
      </c>
      <c r="FQ8" s="12">
        <f t="shared" ref="FQ8" si="101">+FP8*(1+FQ9)</f>
        <v>798.57372248984564</v>
      </c>
      <c r="FR8" s="12">
        <f t="shared" ref="FR8" si="102">+FQ8*(1+FR9)</f>
        <v>806.40408047605501</v>
      </c>
      <c r="FS8" s="12">
        <f t="shared" ref="FS8" si="103">+FR8*(1+FS9)</f>
        <v>812.4114480022663</v>
      </c>
      <c r="FT8" s="12">
        <f t="shared" ref="FT8" si="104">+FS8*(1+FT9)</f>
        <v>824.45451969396356</v>
      </c>
      <c r="FU8" s="12">
        <f t="shared" ref="FU8" si="105">+FT8*(1+FU9)</f>
        <v>835.29800698970359</v>
      </c>
      <c r="FV8" s="12">
        <f t="shared" ref="FV8" si="106">+FU8*(1+FV9)</f>
        <v>847.30329649570137</v>
      </c>
      <c r="FW8" s="12">
        <f t="shared" ref="FW8" si="107">+FV8*(1+FW9)</f>
        <v>859.40304146594804</v>
      </c>
      <c r="FX8" s="12">
        <f t="shared" ref="FX8:GB8" si="108">+FW8*(1+FX9)</f>
        <v>871.01161802210186</v>
      </c>
      <c r="FY8" s="12">
        <f t="shared" si="108"/>
        <v>879.08756021535783</v>
      </c>
      <c r="FZ8" s="12">
        <f t="shared" si="108"/>
        <v>887.87843581751144</v>
      </c>
      <c r="GA8" s="12">
        <f t="shared" si="108"/>
        <v>896.7572201756866</v>
      </c>
      <c r="GB8" s="12">
        <f t="shared" si="108"/>
        <v>975.5568829593708</v>
      </c>
      <c r="GC8" s="12">
        <f t="shared" ref="GC8:IK8" si="109">+GB8*(1+GC9)</f>
        <v>1023.8356481758688</v>
      </c>
      <c r="GD8" s="12">
        <f t="shared" si="109"/>
        <v>1049.2117581948667</v>
      </c>
      <c r="GE8" s="12">
        <f t="shared" si="109"/>
        <v>1065.4603530919737</v>
      </c>
      <c r="GF8" s="12">
        <f t="shared" si="109"/>
        <v>1103.9023417144388</v>
      </c>
      <c r="GG8" s="12">
        <f t="shared" si="109"/>
        <v>1136.0292817778613</v>
      </c>
      <c r="GH8" s="12">
        <f t="shared" si="109"/>
        <v>1167.6527987978975</v>
      </c>
      <c r="GI8" s="12">
        <f t="shared" si="109"/>
        <v>1172.2642674311328</v>
      </c>
      <c r="GJ8" s="12">
        <f t="shared" si="109"/>
        <v>1177.2678415124151</v>
      </c>
      <c r="GK8" s="12">
        <f t="shared" si="109"/>
        <v>1184.2519071692179</v>
      </c>
      <c r="GL8" s="12">
        <f t="shared" si="109"/>
        <v>1198.7753567216332</v>
      </c>
      <c r="GM8" s="12">
        <f t="shared" si="109"/>
        <v>1206.3984442954682</v>
      </c>
      <c r="GN8" s="12">
        <f t="shared" si="109"/>
        <v>1224.4852826769466</v>
      </c>
      <c r="GO8" s="12">
        <f t="shared" si="109"/>
        <v>1244.9331875246066</v>
      </c>
      <c r="GP8" s="12">
        <f t="shared" si="109"/>
        <v>1256.4139247598218</v>
      </c>
      <c r="GQ8" s="12">
        <f t="shared" si="109"/>
        <v>1262.2247958941659</v>
      </c>
      <c r="GR8" s="12">
        <f t="shared" si="109"/>
        <v>1273.0475622538158</v>
      </c>
      <c r="GS8" s="12">
        <f t="shared" si="109"/>
        <v>1296.8621654723474</v>
      </c>
      <c r="GT8" s="12">
        <f t="shared" si="109"/>
        <v>1329.992687206658</v>
      </c>
      <c r="GU8" s="12">
        <f t="shared" si="109"/>
        <v>1355.5139311639521</v>
      </c>
      <c r="GV8" s="12">
        <f t="shared" si="109"/>
        <v>1369.0667205533805</v>
      </c>
      <c r="GW8" s="12">
        <f t="shared" si="109"/>
        <v>1389.1716498813973</v>
      </c>
      <c r="GX8" s="12">
        <f t="shared" si="109"/>
        <v>1410.6248362883177</v>
      </c>
      <c r="GY8" s="12">
        <f t="shared" si="109"/>
        <v>1433.7866801671182</v>
      </c>
      <c r="GZ8" s="12">
        <f t="shared" si="109"/>
        <v>1499.2961804967522</v>
      </c>
      <c r="HA8" s="12">
        <f t="shared" si="109"/>
        <v>1571.9747963960731</v>
      </c>
      <c r="HB8" s="12">
        <f t="shared" si="109"/>
        <v>1602.4014450067859</v>
      </c>
      <c r="HC8" s="12">
        <f t="shared" si="109"/>
        <v>1631.1344753397204</v>
      </c>
      <c r="HD8" s="12">
        <f t="shared" si="109"/>
        <v>1753.6124222888163</v>
      </c>
      <c r="HE8" s="12">
        <f t="shared" si="109"/>
        <v>1868.1636462987462</v>
      </c>
      <c r="HF8" s="12">
        <f t="shared" si="109"/>
        <v>1956.5531909849319</v>
      </c>
      <c r="HG8" s="12">
        <f t="shared" si="109"/>
        <v>2052.3111251766854</v>
      </c>
      <c r="HH8" s="12">
        <f t="shared" si="109"/>
        <v>2381.5527551340078</v>
      </c>
      <c r="HI8" s="12">
        <f t="shared" si="109"/>
        <v>2453.5784962335188</v>
      </c>
      <c r="HJ8" s="12">
        <f t="shared" si="109"/>
        <v>2456.2084224866026</v>
      </c>
      <c r="HK8" s="12">
        <f t="shared" si="109"/>
        <v>2487.5987262667886</v>
      </c>
      <c r="HL8" s="12">
        <f t="shared" si="109"/>
        <v>2501.7638750656374</v>
      </c>
      <c r="HM8" s="12">
        <f t="shared" si="109"/>
        <v>2585.9203182633773</v>
      </c>
      <c r="HN8" s="12">
        <f t="shared" si="109"/>
        <v>2692.1056005612909</v>
      </c>
      <c r="HO8" s="12">
        <f t="shared" si="109"/>
        <v>2815.4695087023424</v>
      </c>
      <c r="HP8" s="12">
        <f t="shared" si="109"/>
        <v>2954.7563562077771</v>
      </c>
      <c r="HQ8" s="12">
        <f t="shared" si="109"/>
        <v>3003.6007348033991</v>
      </c>
      <c r="HR8" s="12">
        <f t="shared" si="109"/>
        <v>3005.9176223528061</v>
      </c>
      <c r="HS8" s="12">
        <f t="shared" si="109"/>
        <v>3342.9834901040626</v>
      </c>
      <c r="HT8" s="12">
        <f t="shared" si="109"/>
        <v>3482.2960107217464</v>
      </c>
      <c r="HU8" s="12">
        <f t="shared" si="109"/>
        <v>3608.0603480827508</v>
      </c>
      <c r="HV8" s="12">
        <f t="shared" si="109"/>
        <v>3802.500816446568</v>
      </c>
      <c r="HW8" s="12">
        <f t="shared" si="109"/>
        <v>3942.6527600730096</v>
      </c>
      <c r="HX8" s="12">
        <f t="shared" si="109"/>
        <v>4002.0181461737975</v>
      </c>
      <c r="HY8" s="12">
        <f t="shared" si="109"/>
        <v>4046.7177162815569</v>
      </c>
      <c r="HZ8" s="12">
        <f t="shared" si="109"/>
        <v>4085.4997770424479</v>
      </c>
      <c r="IA8" s="12">
        <f t="shared" si="109"/>
        <v>4032.578508755445</v>
      </c>
      <c r="IB8" s="12">
        <f t="shared" si="109"/>
        <v>4047.3226477478784</v>
      </c>
      <c r="IC8" s="12">
        <f t="shared" si="109"/>
        <v>4195.4297247812165</v>
      </c>
      <c r="ID8" s="12">
        <f t="shared" si="109"/>
        <v>4343.6048555931284</v>
      </c>
      <c r="IE8" s="12">
        <f t="shared" si="109"/>
        <v>4521.8821795772083</v>
      </c>
      <c r="IF8" s="12">
        <f t="shared" si="109"/>
        <v>4688.9052346031694</v>
      </c>
      <c r="IG8" s="12">
        <f t="shared" si="109"/>
        <v>4907.6453987567556</v>
      </c>
      <c r="IH8" s="12">
        <f t="shared" si="109"/>
        <v>5112.3628314415546</v>
      </c>
      <c r="II8" s="12">
        <f t="shared" si="109"/>
        <v>5337.4068457525682</v>
      </c>
      <c r="IJ8" s="12">
        <f t="shared" si="109"/>
        <v>5634.0280933465792</v>
      </c>
      <c r="IK8" s="12">
        <f t="shared" si="109"/>
        <v>5977.0206477813681</v>
      </c>
      <c r="IL8" s="12">
        <f t="shared" ref="IL8:IS8" si="110">+IK8*(1+IL9)</f>
        <v>6209.5824785149998</v>
      </c>
      <c r="IM8" s="12">
        <f t="shared" si="110"/>
        <v>6505.5296365856302</v>
      </c>
      <c r="IN8" s="12">
        <f t="shared" si="110"/>
        <v>6715.1691856632833</v>
      </c>
      <c r="IO8" s="12">
        <f t="shared" si="110"/>
        <v>6925.3793621687546</v>
      </c>
      <c r="IP8" s="12">
        <f t="shared" si="110"/>
        <v>7080.2568302364862</v>
      </c>
      <c r="IQ8" s="12">
        <f t="shared" si="110"/>
        <v>7258.3529401020096</v>
      </c>
      <c r="IR8" s="12">
        <f t="shared" si="110"/>
        <v>7460.963306862368</v>
      </c>
      <c r="IS8" s="12">
        <f t="shared" si="110"/>
        <v>7673.394347411162</v>
      </c>
      <c r="IT8" s="12">
        <f t="shared" ref="IT8" si="111">+IS8*(1+IT9)</f>
        <v>7899.4325358227143</v>
      </c>
      <c r="IU8" s="12">
        <f t="shared" ref="IU8" si="112">+IT8*(1+IU9)</f>
        <v>8077.8129759546346</v>
      </c>
      <c r="IV8" s="12">
        <f t="shared" ref="IV8" si="113">+IU8*(1+IV9)</f>
        <v>8378.7272447489922</v>
      </c>
      <c r="IW8" s="12">
        <f t="shared" ref="IW8" si="114">+IV8*(1+IW9)</f>
        <v>8775.6953637554707</v>
      </c>
      <c r="IX8" s="12">
        <f t="shared" ref="IX8" si="115">+IW8*(1+IX9)</f>
        <v>9331.1354586583457</v>
      </c>
      <c r="IY8" s="12">
        <f t="shared" ref="IY8" si="116">+IX8*(1+IY9)</f>
        <v>9881.845929857569</v>
      </c>
      <c r="IZ8" s="12">
        <f t="shared" ref="IZ8" si="117">+IY8*(1+IZ9)</f>
        <v>10392.719221085454</v>
      </c>
      <c r="JA8" s="12">
        <f t="shared" ref="JA8" si="118">+IZ8*(1+JA9)</f>
        <v>10894.023263844369</v>
      </c>
      <c r="JB8" s="12">
        <f t="shared" ref="JB8" si="119">+JA8*(1+JB9)</f>
        <v>11665.352255125819</v>
      </c>
      <c r="JC8" s="12">
        <f t="shared" ref="JC8" si="120">+JB8*(1+JC9)</f>
        <v>12619.145562900008</v>
      </c>
      <c r="JD8" s="12">
        <f t="shared" ref="JD8" si="121">+JC8*(1+JD9)</f>
        <v>13310.947073699324</v>
      </c>
      <c r="JE8" s="12">
        <f t="shared" ref="JE8" si="122">+JD8*(1+JE9)</f>
        <v>13946.607906561007</v>
      </c>
      <c r="JF8" s="12">
        <f t="shared" ref="JF8" si="123">+JE8*(1+JF9)</f>
        <v>14824.463012379101</v>
      </c>
      <c r="JG8" s="12">
        <f t="shared" ref="JG8" si="124">+JF8*(1+JG9)</f>
        <v>15734.282941779227</v>
      </c>
      <c r="JH8" s="12">
        <f t="shared" ref="JH8" si="125">+JG8*(1+JH9)</f>
        <v>16754.133217324925</v>
      </c>
      <c r="JI8" s="12">
        <f t="shared" ref="JI8" si="126">+JH8*(1+JI9)</f>
        <v>17931.589877250397</v>
      </c>
      <c r="JJ8" s="12">
        <f t="shared" ref="JJ8" si="127">+JI8*(1+JJ9)</f>
        <v>18838.707795452363</v>
      </c>
      <c r="JK8" s="12">
        <f t="shared" ref="JK8" si="128">+JJ8*(1+JK9)</f>
        <v>20144.849697697467</v>
      </c>
      <c r="JL8" s="12">
        <f t="shared" ref="JL8" si="129">+JK8*(1+JL9)</f>
        <v>21571.637538031824</v>
      </c>
      <c r="JM8" s="12">
        <f t="shared" ref="JM8" si="130">+JL8*(1+JM9)</f>
        <v>23187.153633734113</v>
      </c>
      <c r="JN8" s="12">
        <f t="shared" ref="JN8" si="131">+JM8*(1+JN9)</f>
        <v>24814.225284732227</v>
      </c>
      <c r="JO8" s="12">
        <f t="shared" ref="JO8" si="132">+JN8*(1+JO9)</f>
        <v>29457.257431581118</v>
      </c>
      <c r="JP8" s="12">
        <f t="shared" ref="JP8" si="133">+JO8*(1+JP9)</f>
        <v>32171.043111537841</v>
      </c>
      <c r="JQ8" s="12">
        <f t="shared" ref="JQ8" si="134">+JP8*(1+JQ9)</f>
        <v>34603.016430509277</v>
      </c>
      <c r="JR8" s="12">
        <f t="shared" ref="JR8" si="135">+JQ8*(1+JR9)</f>
        <v>38444.164055453643</v>
      </c>
      <c r="JS8" s="346">
        <f>+JR8*(1+JS9)</f>
        <v>59216.190443146465</v>
      </c>
      <c r="JT8" s="346">
        <f t="shared" ref="JT8:KH8" si="136">+JS8*(1+JT9)</f>
        <v>69847.121976383161</v>
      </c>
      <c r="JU8" s="346">
        <f t="shared" si="136"/>
        <v>76940.739447892556</v>
      </c>
      <c r="JV8" s="346">
        <f t="shared" si="136"/>
        <v>81111.218505216908</v>
      </c>
      <c r="JW8" s="346">
        <f t="shared" si="136"/>
        <v>83908.569101564353</v>
      </c>
      <c r="JX8" s="346">
        <f t="shared" si="136"/>
        <v>86831.345875953572</v>
      </c>
      <c r="JY8" s="346">
        <f t="shared" si="136"/>
        <v>89138.265054480915</v>
      </c>
      <c r="JZ8" s="346">
        <f t="shared" si="136"/>
        <v>91886.093440599157</v>
      </c>
      <c r="KA8" s="346">
        <f t="shared" si="136"/>
        <v>93788.499488687434</v>
      </c>
      <c r="KB8" s="346">
        <f t="shared" si="136"/>
        <v>95641.69084624057</v>
      </c>
      <c r="KC8" s="346">
        <f t="shared" si="136"/>
        <v>96773.370670206496</v>
      </c>
      <c r="KD8" s="346">
        <f t="shared" si="136"/>
        <v>98116.214240875823</v>
      </c>
      <c r="KE8" s="346">
        <f t="shared" si="136"/>
        <v>98948.584324884607</v>
      </c>
      <c r="KF8" s="346">
        <f t="shared" si="136"/>
        <v>100439.51661468843</v>
      </c>
      <c r="KG8" s="346">
        <f t="shared" si="136"/>
        <v>102087.29522501555</v>
      </c>
      <c r="KH8" s="346">
        <f t="shared" si="136"/>
        <v>103600.8600496446</v>
      </c>
      <c r="KI8" s="346">
        <f>+KH8*(1+KI9)</f>
        <v>106537.00148367017</v>
      </c>
      <c r="KJ8" s="346">
        <f t="shared" ref="KJ8:KO8" si="137">+KI8*(1+KJ9)</f>
        <v>106260.15809201309</v>
      </c>
      <c r="KK8" s="346">
        <f t="shared" si="137"/>
        <v>108009.02048440327</v>
      </c>
      <c r="KL8" s="346">
        <f t="shared" si="137"/>
        <v>111084.20823767065</v>
      </c>
      <c r="KM8" s="346">
        <f t="shared" si="137"/>
        <v>114531.03410774237</v>
      </c>
      <c r="KN8" s="346">
        <f t="shared" si="137"/>
        <v>118761.38761406935</v>
      </c>
      <c r="KO8" s="346">
        <f t="shared" si="137"/>
        <v>120048.92944065343</v>
      </c>
      <c r="KP8" s="346">
        <f>+KO8*(1+KP9)</f>
        <v>121952.51105867614</v>
      </c>
      <c r="KQ8" s="346">
        <f t="shared" ref="KQ8:KR8" si="138">+KP8*(1+KQ9)</f>
        <v>124878.46335761638</v>
      </c>
      <c r="KR8" s="346">
        <f t="shared" si="138"/>
        <v>126960.3209607633</v>
      </c>
      <c r="KS8" s="420"/>
      <c r="KT8" s="420"/>
      <c r="KU8" s="420"/>
      <c r="KV8" s="420"/>
      <c r="KW8" s="420"/>
      <c r="KX8" s="420"/>
      <c r="KY8" s="420"/>
      <c r="KZ8" s="420"/>
      <c r="LA8" s="420"/>
      <c r="LB8" s="420"/>
      <c r="LC8" s="420"/>
      <c r="LD8" s="420"/>
      <c r="LE8" s="420"/>
      <c r="LF8" s="420"/>
      <c r="LG8" s="420"/>
      <c r="LH8" s="420"/>
      <c r="LI8" s="420"/>
      <c r="LJ8" s="420"/>
      <c r="LK8" s="420"/>
      <c r="LL8" s="420"/>
      <c r="LM8" s="420"/>
      <c r="LN8" s="420"/>
      <c r="LO8" s="420"/>
      <c r="LP8" s="420"/>
      <c r="LQ8" s="420"/>
      <c r="LR8" s="420"/>
      <c r="LS8" s="420"/>
      <c r="LT8" s="420"/>
      <c r="LU8" s="420"/>
      <c r="LV8" s="420"/>
      <c r="LW8" s="420"/>
      <c r="LX8" s="420"/>
      <c r="LY8" s="420"/>
      <c r="LZ8" s="420"/>
      <c r="MA8" s="420"/>
      <c r="MB8" s="420"/>
      <c r="MC8" s="420"/>
      <c r="MD8" s="420"/>
      <c r="ME8" s="420"/>
      <c r="MF8" s="420"/>
      <c r="MG8" s="420"/>
      <c r="MH8" s="420"/>
      <c r="MI8" s="420"/>
      <c r="MJ8" s="420"/>
      <c r="MK8" s="420"/>
      <c r="ML8" s="420"/>
      <c r="MM8" s="420"/>
      <c r="MN8" s="420"/>
      <c r="MO8" s="420"/>
      <c r="MP8" s="420"/>
      <c r="MQ8" s="420"/>
      <c r="MR8" s="420"/>
      <c r="MS8" s="420"/>
      <c r="MT8" s="420"/>
      <c r="MU8" s="420"/>
      <c r="MV8" s="420"/>
      <c r="MW8" s="420"/>
      <c r="MX8" s="420"/>
      <c r="MY8" s="420"/>
      <c r="MZ8" s="420"/>
      <c r="NA8" s="420"/>
      <c r="NB8" s="420"/>
      <c r="NC8" s="420"/>
      <c r="ND8" s="420"/>
      <c r="NE8" s="420"/>
      <c r="NF8" s="420"/>
      <c r="NG8" s="420"/>
      <c r="NH8" s="420"/>
      <c r="NI8" s="420"/>
      <c r="NJ8" s="420"/>
      <c r="NK8" s="420"/>
      <c r="NL8" s="420"/>
      <c r="NM8" s="420"/>
      <c r="NN8" s="420"/>
      <c r="NO8" s="420"/>
      <c r="NP8" s="420"/>
      <c r="NQ8" s="420"/>
      <c r="NR8" s="420"/>
      <c r="NS8" s="420"/>
      <c r="NT8" s="420"/>
      <c r="NU8" s="420"/>
      <c r="NV8" s="420"/>
      <c r="NW8" s="420"/>
      <c r="NX8" s="420"/>
      <c r="NY8" s="420"/>
      <c r="NZ8" s="420"/>
      <c r="OA8" s="420"/>
      <c r="OB8" s="420"/>
      <c r="OC8" s="420"/>
      <c r="OD8" s="420"/>
      <c r="OE8" s="420"/>
      <c r="OF8" s="420"/>
      <c r="OG8" s="420"/>
      <c r="OH8" s="420"/>
      <c r="OI8" s="420"/>
    </row>
    <row r="9" spans="1:399" s="3" customFormat="1" x14ac:dyDescent="0.2">
      <c r="A9" s="3" t="s">
        <v>339</v>
      </c>
      <c r="C9" s="13"/>
      <c r="D9" s="14">
        <v>3.7796466030437498E-4</v>
      </c>
      <c r="E9" s="14">
        <v>1.13346557098315E-3</v>
      </c>
      <c r="F9" s="14">
        <v>-6.6043966411925004E-3</v>
      </c>
      <c r="G9" s="14">
        <v>-1.89951562351598E-3</v>
      </c>
      <c r="H9" s="14">
        <v>7.6125225996759305E-4</v>
      </c>
      <c r="I9" s="14">
        <v>-4.4689550251972897E-3</v>
      </c>
      <c r="J9" s="14">
        <v>-3.53390639923601E-3</v>
      </c>
      <c r="K9" s="14">
        <v>-4.8883350905780699E-3</v>
      </c>
      <c r="L9" s="14">
        <v>-4.33442496628766E-3</v>
      </c>
      <c r="M9" s="14">
        <v>-1.49946793073427E-2</v>
      </c>
      <c r="N9" s="14">
        <v>-1.39461795325082E-2</v>
      </c>
      <c r="O9" s="14">
        <v>-1.79282868525898E-3</v>
      </c>
      <c r="P9" s="14">
        <v>6.3659948114148907E-2</v>
      </c>
      <c r="Q9" s="14">
        <v>0.123264540337711</v>
      </c>
      <c r="R9" s="14">
        <v>0.12577250709871399</v>
      </c>
      <c r="S9" s="14">
        <v>0.199109792284866</v>
      </c>
      <c r="T9" s="14">
        <v>0.123298688443455</v>
      </c>
      <c r="U9" s="14">
        <v>8.54216004846617E-2</v>
      </c>
      <c r="V9" s="14">
        <v>4.6478587375684999E-2</v>
      </c>
      <c r="W9" s="14">
        <v>5.0426687354538299E-2</v>
      </c>
      <c r="X9" s="14">
        <v>2.4372230428360502E-2</v>
      </c>
      <c r="Y9" s="14">
        <v>4.9567411679884996E-3</v>
      </c>
      <c r="Z9" s="14">
        <v>-1.6590440319253899E-2</v>
      </c>
      <c r="AA9" s="14">
        <v>-4.0124019697246301E-3</v>
      </c>
      <c r="AB9" s="14">
        <v>4.2116828419704903E-3</v>
      </c>
      <c r="AC9" s="14">
        <v>3.87490882567465E-3</v>
      </c>
      <c r="AD9" s="14">
        <v>-6.8570909586305202E-3</v>
      </c>
      <c r="AE9" s="14">
        <v>-1.8289894833104701E-2</v>
      </c>
      <c r="AF9" s="14">
        <v>-6.3809967396365498E-3</v>
      </c>
      <c r="AG9" s="14">
        <v>-1.3593962405663599E-3</v>
      </c>
      <c r="AH9" s="14">
        <v>-3.75516334960468E-4</v>
      </c>
      <c r="AI9" s="14">
        <v>1.36645379413973E-2</v>
      </c>
      <c r="AJ9" s="14">
        <v>-1.71399453374721E-3</v>
      </c>
      <c r="AK9" s="14">
        <v>5.3364269141531499E-3</v>
      </c>
      <c r="AL9" s="14">
        <v>1.03854142626356E-2</v>
      </c>
      <c r="AM9" s="14">
        <v>1.7405207857469102E-2</v>
      </c>
      <c r="AN9" s="14">
        <v>-3.3676081002199701E-3</v>
      </c>
      <c r="AO9" s="14">
        <v>1.39214272841954E-2</v>
      </c>
      <c r="AP9" s="14">
        <v>4.3545878693622697E-3</v>
      </c>
      <c r="AQ9" s="14">
        <v>8.0077865770029604E-3</v>
      </c>
      <c r="AR9" s="14">
        <v>1.28599016853932E-2</v>
      </c>
      <c r="AS9" s="14">
        <v>2.2533258222472399E-3</v>
      </c>
      <c r="AT9" s="14">
        <v>9.1659821003935403E-3</v>
      </c>
      <c r="AU9" s="14">
        <v>2.42063322051327E-2</v>
      </c>
      <c r="AV9" s="14">
        <v>2.3425081569481399E-3</v>
      </c>
      <c r="AW9" s="14">
        <v>5.8425840914781996E-3</v>
      </c>
      <c r="AX9" s="14">
        <v>-1.19077254999586E-2</v>
      </c>
      <c r="AY9" s="14">
        <v>8.7339911820281096E-3</v>
      </c>
      <c r="AZ9" s="14">
        <v>-9.5741580984888292E-3</v>
      </c>
      <c r="BA9" s="14">
        <v>1.0633379565418301E-2</v>
      </c>
      <c r="BB9" s="14">
        <v>1.97122182483573E-2</v>
      </c>
      <c r="BC9" s="14">
        <v>1.46003262642742E-2</v>
      </c>
      <c r="BD9" s="14">
        <v>-7.2353083045262302E-4</v>
      </c>
      <c r="BE9" s="14">
        <v>2.3732904263877902E-3</v>
      </c>
      <c r="BF9" s="14">
        <v>1.25205666359003E-2</v>
      </c>
      <c r="BG9" s="14">
        <v>1.2484641908763E-2</v>
      </c>
      <c r="BH9" s="14">
        <v>1.89070695999374E-2</v>
      </c>
      <c r="BI9" s="14">
        <v>1.12566752468402E-2</v>
      </c>
      <c r="BJ9" s="14">
        <v>7.9781171643489301E-4</v>
      </c>
      <c r="BK9" s="14">
        <v>9.8697946323500502E-3</v>
      </c>
      <c r="BL9" s="14">
        <v>1.29308724579937E-2</v>
      </c>
      <c r="BM9" s="14">
        <v>1.55490407095409E-2</v>
      </c>
      <c r="BN9" s="14">
        <v>-6.2120879923994697E-3</v>
      </c>
      <c r="BO9" s="14">
        <v>1.44874246212678E-2</v>
      </c>
      <c r="BP9" s="14">
        <v>3.9869517941284504E-3</v>
      </c>
      <c r="BQ9" s="14">
        <v>8.0505415162455095E-3</v>
      </c>
      <c r="BR9" s="14">
        <v>7.1267413959819103E-3</v>
      </c>
      <c r="BS9" s="14">
        <v>6.4362420880448301E-3</v>
      </c>
      <c r="BT9" s="14">
        <v>-2.6145638271559699E-3</v>
      </c>
      <c r="BU9" s="14">
        <v>4.1446739168937699E-3</v>
      </c>
      <c r="BV9" s="14">
        <v>9.5251534608076205E-4</v>
      </c>
      <c r="BW9" s="14">
        <v>3.9474147957565498E-3</v>
      </c>
      <c r="BX9" s="14">
        <v>3.51061962436372E-3</v>
      </c>
      <c r="BY9" s="14">
        <v>8.2910617456708503E-3</v>
      </c>
      <c r="BZ9" s="14">
        <v>6.2452293386994198E-3</v>
      </c>
      <c r="CA9" s="14">
        <v>1.7309151093028101E-2</v>
      </c>
      <c r="CB9" s="14">
        <v>1.5523318872017199E-2</v>
      </c>
      <c r="CC9" s="14">
        <v>1.9457980108136898E-2</v>
      </c>
      <c r="CD9" s="14">
        <v>2.26878376166313E-2</v>
      </c>
      <c r="CE9" s="14">
        <v>7.61892566745637E-3</v>
      </c>
      <c r="CF9" s="14">
        <v>1.0261786758164901E-2</v>
      </c>
      <c r="CG9" s="14">
        <v>9.2141262303846398E-3</v>
      </c>
      <c r="CH9" s="14">
        <v>1.04698990402592E-2</v>
      </c>
      <c r="CI9" s="14">
        <v>6.2908597508326601E-3</v>
      </c>
      <c r="CJ9" s="14">
        <v>7.9063495954889706E-3</v>
      </c>
      <c r="CK9" s="14">
        <v>9.2733353602918508E-3</v>
      </c>
      <c r="CL9" s="14">
        <v>1.1176381985238799E-2</v>
      </c>
      <c r="CM9" s="14">
        <v>1.23339093129953E-2</v>
      </c>
      <c r="CN9" s="14">
        <v>1.06827545615067E-2</v>
      </c>
      <c r="CO9" s="14">
        <v>1.19675042949072E-2</v>
      </c>
      <c r="CP9" s="14">
        <v>7.5674742475686499E-3</v>
      </c>
      <c r="CQ9" s="14">
        <v>8.3388068652367996E-3</v>
      </c>
      <c r="CR9" s="14">
        <v>5.5793140559066102E-3</v>
      </c>
      <c r="CS9" s="14">
        <v>5.5201937700670696E-3</v>
      </c>
      <c r="CT9" s="14">
        <v>-2.7729538961402999E-3</v>
      </c>
      <c r="CU9" s="14">
        <v>-2.6121394264526599E-3</v>
      </c>
      <c r="CV9" s="14">
        <v>-8.1667136018026597E-4</v>
      </c>
      <c r="CW9" s="14">
        <v>1.40920492658037E-3</v>
      </c>
      <c r="CX9" s="14">
        <v>1.14547859615546E-2</v>
      </c>
      <c r="CY9" s="14">
        <v>4.7303689687794304E-3</v>
      </c>
      <c r="CZ9" s="14">
        <v>4.7634873158304298E-3</v>
      </c>
      <c r="DA9" s="14">
        <v>1.13009922822491E-2</v>
      </c>
      <c r="DB9" s="14">
        <v>1.2455710002725599E-2</v>
      </c>
      <c r="DC9" s="14">
        <v>1.0418068753869501E-2</v>
      </c>
      <c r="DD9" s="14">
        <v>1.02307241434434E-2</v>
      </c>
      <c r="DE9" s="14">
        <v>9.2568173426867996E-3</v>
      </c>
      <c r="DF9" s="14">
        <v>1.05307167681414E-2</v>
      </c>
      <c r="DG9" s="14">
        <v>1.2515515101365201E-2</v>
      </c>
      <c r="DH9" s="13">
        <v>1.3484523444682799E-2</v>
      </c>
      <c r="DI9" s="13">
        <v>1.5371434331216601E-2</v>
      </c>
      <c r="DJ9" s="13">
        <v>1.5188365513475899E-2</v>
      </c>
      <c r="DK9" s="13">
        <v>1.15630958783552E-2</v>
      </c>
      <c r="DL9" s="13">
        <v>1.2083423959013099E-2</v>
      </c>
      <c r="DM9" s="13">
        <v>1.21540628954846E-2</v>
      </c>
      <c r="DN9" s="13">
        <v>9.6725488345759097E-3</v>
      </c>
      <c r="DO9" s="13">
        <v>9.9771017337257906E-3</v>
      </c>
      <c r="DP9" s="13">
        <v>9.3233082706767299E-3</v>
      </c>
      <c r="DQ9" s="13">
        <v>9.0538186485744597E-3</v>
      </c>
      <c r="DR9" s="13">
        <v>9.4268904890624193E-3</v>
      </c>
      <c r="DS9" s="13">
        <v>9.4288671857418703E-3</v>
      </c>
      <c r="DT9" s="13">
        <v>1.0945894732148799E-2</v>
      </c>
      <c r="DU9" s="13">
        <v>9.3058128252623308E-3</v>
      </c>
      <c r="DV9" s="13">
        <v>9.6132838103562008E-3</v>
      </c>
      <c r="DW9" s="13">
        <v>1.0041116641419601E-2</v>
      </c>
      <c r="DX9" s="13">
        <v>1.0284098213138001E-2</v>
      </c>
      <c r="DY9" s="13">
        <v>1.14094244390719E-2</v>
      </c>
      <c r="DZ9" s="13">
        <v>1.0064581061813399E-2</v>
      </c>
      <c r="EA9" s="13">
        <v>1.01511251349331E-2</v>
      </c>
      <c r="EB9" s="13">
        <v>1.0254618688477501E-2</v>
      </c>
      <c r="EC9" s="13">
        <v>9.1131000813669E-3</v>
      </c>
      <c r="ED9" s="13">
        <v>9.5347524592808205E-3</v>
      </c>
      <c r="EE9" s="13">
        <v>9.2050877578322404E-3</v>
      </c>
      <c r="EF9" s="13">
        <v>9.5761940564282905E-3</v>
      </c>
      <c r="EG9" s="13">
        <v>9.8773174460078401E-3</v>
      </c>
      <c r="EH9" s="13">
        <v>1.1818358237919701E-2</v>
      </c>
      <c r="EI9" s="13">
        <v>1.13159055601373E-2</v>
      </c>
      <c r="EJ9" s="13">
        <v>1.02031140359196E-2</v>
      </c>
      <c r="EK9" s="13">
        <v>9.9123284585205303E-3</v>
      </c>
      <c r="EL9" s="13">
        <v>9.7035040431265908E-3</v>
      </c>
      <c r="EM9" s="13">
        <v>1.0346668630447199E-2</v>
      </c>
      <c r="EN9" s="13">
        <v>1.11335847956413E-2</v>
      </c>
      <c r="EO9" s="13">
        <v>1.03442061632726E-2</v>
      </c>
      <c r="EP9" s="13">
        <v>1.00420947488584E-2</v>
      </c>
      <c r="EQ9" s="13">
        <v>9.7126812298020705E-3</v>
      </c>
      <c r="ER9" s="13">
        <v>1.01614285464435E-2</v>
      </c>
      <c r="ES9" s="13">
        <v>1.05613075244986E-2</v>
      </c>
      <c r="ET9" s="13">
        <v>1.0074013157894701E-2</v>
      </c>
      <c r="EU9" s="13">
        <v>9.6003799443653594E-3</v>
      </c>
      <c r="EV9" s="13">
        <v>1.25667820301738E-2</v>
      </c>
      <c r="EW9" s="13">
        <v>1.3456114152978101E-2</v>
      </c>
      <c r="EX9" s="13">
        <v>1.1329218578608901E-2</v>
      </c>
      <c r="EY9" s="13">
        <v>1.1315623330581301E-2</v>
      </c>
      <c r="EZ9" s="13">
        <v>1.09328979382761E-2</v>
      </c>
      <c r="FA9" s="13">
        <v>1.1400522523949101E-2</v>
      </c>
      <c r="FB9" s="13">
        <v>1.21643835616438E-2</v>
      </c>
      <c r="FC9" s="13">
        <v>1.4926065705623799E-2</v>
      </c>
      <c r="FD9" s="13">
        <v>4.9529847448069902E-2</v>
      </c>
      <c r="FE9" s="13">
        <v>5.1214660142012897E-2</v>
      </c>
      <c r="FF9" s="13">
        <v>2.4339033621570701E-2</v>
      </c>
      <c r="FG9" s="13">
        <v>1.7193484006688499E-2</v>
      </c>
      <c r="FH9" s="13">
        <v>1.8679322824833401E-2</v>
      </c>
      <c r="FI9" s="13">
        <v>1.5057261842790199E-2</v>
      </c>
      <c r="FJ9" s="13">
        <v>1.3462056232932E-2</v>
      </c>
      <c r="FK9" s="13">
        <v>1.6319404911002301E-2</v>
      </c>
      <c r="FL9" s="13">
        <v>1.5945330296127401E-2</v>
      </c>
      <c r="FM9" s="13">
        <v>1.2252199269768799E-2</v>
      </c>
      <c r="FN9" s="13">
        <v>9.1263405069115199E-3</v>
      </c>
      <c r="FO9" s="13">
        <v>9.5235810583889097E-3</v>
      </c>
      <c r="FP9" s="13">
        <v>2.0079366965284301E-3</v>
      </c>
      <c r="FQ9" s="13">
        <v>2.4900693662179801E-3</v>
      </c>
      <c r="FR9" s="13">
        <v>9.8054290614464391E-3</v>
      </c>
      <c r="FS9" s="13">
        <v>7.4495748120035898E-3</v>
      </c>
      <c r="FT9" s="13">
        <v>1.48238576909661E-2</v>
      </c>
      <c r="FU9" s="13">
        <v>1.3152317122071299E-2</v>
      </c>
      <c r="FV9" s="13">
        <v>1.43724627684234E-2</v>
      </c>
      <c r="FW9" s="13">
        <v>1.4280299652189601E-2</v>
      </c>
      <c r="FX9" s="13">
        <v>1.3507721052920901E-2</v>
      </c>
      <c r="FY9" s="13">
        <v>9.2719109896546303E-3</v>
      </c>
      <c r="FZ9" s="21">
        <v>0.01</v>
      </c>
      <c r="GA9" s="13">
        <v>0.01</v>
      </c>
      <c r="GB9" s="13">
        <v>8.7871790726420193E-2</v>
      </c>
      <c r="GC9" s="13">
        <v>4.9488416369984897E-2</v>
      </c>
      <c r="GD9" s="13">
        <v>2.47853354825158E-2</v>
      </c>
      <c r="GE9" s="13">
        <v>1.54864780824246E-2</v>
      </c>
      <c r="GF9" s="13">
        <v>3.6080168080310199E-2</v>
      </c>
      <c r="GG9" s="13">
        <v>2.9103063603911801E-2</v>
      </c>
      <c r="GH9" s="13">
        <v>2.7836885481108398E-2</v>
      </c>
      <c r="GI9" s="13">
        <v>3.9493491883742004E-3</v>
      </c>
      <c r="GJ9" s="13">
        <v>4.2682987277664602E-3</v>
      </c>
      <c r="GK9" s="13">
        <v>5.9324356026157999E-3</v>
      </c>
      <c r="GL9" s="13">
        <v>1.2263817743922E-2</v>
      </c>
      <c r="GM9" s="13">
        <v>6.3590626309522101E-3</v>
      </c>
      <c r="GN9" s="13">
        <v>1.4992425153566E-2</v>
      </c>
      <c r="GO9" s="13">
        <v>1.66991838423385E-2</v>
      </c>
      <c r="GP9" s="13">
        <v>9.2219705846570098E-3</v>
      </c>
      <c r="GQ9" s="13">
        <v>4.6249655625672003E-3</v>
      </c>
      <c r="GR9" s="13">
        <v>8.5743572736447504E-3</v>
      </c>
      <c r="GS9" s="13">
        <v>1.87067662863829E-2</v>
      </c>
      <c r="GT9" s="13">
        <v>2.5546679220334701E-2</v>
      </c>
      <c r="GU9" s="13">
        <v>1.9189010738769999E-2</v>
      </c>
      <c r="GV9" s="13">
        <v>9.9982663975950493E-3</v>
      </c>
      <c r="GW9" s="13">
        <v>1.46851347901367E-2</v>
      </c>
      <c r="GX9" s="13">
        <v>1.5443150174243799E-2</v>
      </c>
      <c r="GY9" s="13">
        <v>1.6419563361541802E-2</v>
      </c>
      <c r="GZ9" s="13">
        <v>4.5689851381516697E-2</v>
      </c>
      <c r="HA9" s="13">
        <v>4.8475155772917902E-2</v>
      </c>
      <c r="HB9" s="13">
        <v>1.9355684760639501E-2</v>
      </c>
      <c r="HC9" s="13">
        <v>1.79312309174888E-2</v>
      </c>
      <c r="HD9" s="13">
        <v>7.5087584010255795E-2</v>
      </c>
      <c r="HE9" s="13">
        <v>6.5322999856728597E-2</v>
      </c>
      <c r="HF9" s="13">
        <v>4.73135984962052E-2</v>
      </c>
      <c r="HG9" s="13">
        <v>4.89421573780719E-2</v>
      </c>
      <c r="HH9" s="13">
        <v>0.16042481372261599</v>
      </c>
      <c r="HI9" s="13">
        <v>3.0243185226211101E-2</v>
      </c>
      <c r="HJ9" s="13">
        <v>1.07187369677431E-3</v>
      </c>
      <c r="HK9" s="13">
        <v>1.27799837720641E-2</v>
      </c>
      <c r="HL9" s="13">
        <v>5.6943061794001402E-3</v>
      </c>
      <c r="HM9" s="13">
        <v>3.3638843392257402E-2</v>
      </c>
      <c r="HN9" s="13">
        <v>4.1062859341785198E-2</v>
      </c>
      <c r="HO9" s="13">
        <v>4.5824319861498299E-2</v>
      </c>
      <c r="HP9" s="13">
        <v>4.94719786788358E-2</v>
      </c>
      <c r="HQ9" s="13">
        <v>1.6530763524039E-2</v>
      </c>
      <c r="HR9" s="13">
        <v>7.7137001684701701E-4</v>
      </c>
      <c r="HS9" s="13">
        <v>0.112134100164537</v>
      </c>
      <c r="HT9" s="13">
        <v>4.1673110570267E-2</v>
      </c>
      <c r="HU9" s="13">
        <v>3.6115349463051102E-2</v>
      </c>
      <c r="HV9" s="13">
        <v>5.3890580978541297E-2</v>
      </c>
      <c r="HW9" s="13">
        <v>3.6857833933987998E-2</v>
      </c>
      <c r="HX9" s="13">
        <v>1.5057219013040499E-2</v>
      </c>
      <c r="HY9" s="13">
        <v>1.1169257228504899E-2</v>
      </c>
      <c r="HZ9" s="13">
        <v>9.5835843960292398E-3</v>
      </c>
      <c r="IA9" s="13">
        <v>-1.29534380553347E-2</v>
      </c>
      <c r="IB9" s="13">
        <v>3.6562559068400399E-3</v>
      </c>
      <c r="IC9" s="13">
        <v>3.6593839909391003E-2</v>
      </c>
      <c r="ID9" s="13">
        <v>3.5318224957191703E-2</v>
      </c>
      <c r="IE9" s="13">
        <v>4.1043633090730398E-2</v>
      </c>
      <c r="IF9" s="13">
        <v>3.6936622493241901E-2</v>
      </c>
      <c r="IG9" s="13">
        <v>4.6650583283135601E-2</v>
      </c>
      <c r="IH9" s="13">
        <v>4.1713982174967197E-2</v>
      </c>
      <c r="II9" s="13">
        <v>4.40195701539354E-2</v>
      </c>
      <c r="IJ9" s="13">
        <v>5.5574037386724201E-2</v>
      </c>
      <c r="IK9" s="13">
        <v>6.0878744080073099E-2</v>
      </c>
      <c r="IL9" s="13">
        <v>3.8909323630989402E-2</v>
      </c>
      <c r="IM9" s="13">
        <v>4.7659751536371503E-2</v>
      </c>
      <c r="IN9" s="13">
        <v>3.2224824232401902E-2</v>
      </c>
      <c r="IO9" s="13">
        <v>3.1303779650744303E-2</v>
      </c>
      <c r="IP9" s="13">
        <v>2.2363752217500199E-2</v>
      </c>
      <c r="IQ9" s="13">
        <v>2.51539053082026E-2</v>
      </c>
      <c r="IR9" s="13">
        <v>2.7914096825045101E-2</v>
      </c>
      <c r="IS9" s="13">
        <v>2.84723341761253E-2</v>
      </c>
      <c r="IT9" s="13">
        <v>2.94573924104151E-2</v>
      </c>
      <c r="IU9" s="13">
        <v>2.2581424592588401E-2</v>
      </c>
      <c r="IV9" s="13">
        <v>3.7251947982714501E-2</v>
      </c>
      <c r="IW9" s="13">
        <v>4.7378093045726197E-2</v>
      </c>
      <c r="IX9" s="13">
        <v>6.32930009394925E-2</v>
      </c>
      <c r="IY9" s="13">
        <v>5.9018591428572603E-2</v>
      </c>
      <c r="IZ9" s="13">
        <v>5.1698163972006897E-2</v>
      </c>
      <c r="JA9" s="13">
        <v>4.8236080672884499E-2</v>
      </c>
      <c r="JB9" s="13">
        <v>7.0802950627191705E-2</v>
      </c>
      <c r="JC9" s="13">
        <v>8.1762923820417596E-2</v>
      </c>
      <c r="JD9" s="13">
        <v>5.4821581013630299E-2</v>
      </c>
      <c r="JE9" s="13">
        <v>4.7754741217299598E-2</v>
      </c>
      <c r="JF9" s="13">
        <v>6.2943986932128396E-2</v>
      </c>
      <c r="JG9" s="13">
        <v>6.1372875944334999E-2</v>
      </c>
      <c r="JH9" s="13">
        <v>6.4817079959690493E-2</v>
      </c>
      <c r="JI9" s="13">
        <v>7.0278578106798301E-2</v>
      </c>
      <c r="JJ9" s="13">
        <v>5.0587701615505597E-2</v>
      </c>
      <c r="JK9" s="13">
        <v>6.9332881874223207E-2</v>
      </c>
      <c r="JL9" s="13">
        <v>7.0826432648809307E-2</v>
      </c>
      <c r="JM9" s="13">
        <v>7.4890749154024897E-2</v>
      </c>
      <c r="JN9" s="13">
        <v>7.0171254165105806E-2</v>
      </c>
      <c r="JO9" s="13">
        <v>0.18711171086633399</v>
      </c>
      <c r="JP9" s="13">
        <v>9.2126216646607306E-2</v>
      </c>
      <c r="JQ9" s="13">
        <v>7.5595103041568204E-2</v>
      </c>
      <c r="JR9" s="13">
        <v>0.111006149786342</v>
      </c>
      <c r="JS9" s="13">
        <v>0.54031676583551902</v>
      </c>
      <c r="JT9" s="13">
        <v>0.17952744770779305</v>
      </c>
      <c r="JU9" s="13">
        <v>0.10155919486429088</v>
      </c>
      <c r="JV9" s="13">
        <v>5.4203781861867473E-2</v>
      </c>
      <c r="JW9" s="13">
        <v>3.448783840138625E-2</v>
      </c>
      <c r="JX9" s="13">
        <v>3.4832875899140081E-2</v>
      </c>
      <c r="JY9" s="13">
        <v>2.6567815519328519E-2</v>
      </c>
      <c r="JZ9" s="13">
        <v>3.0826585916146954E-2</v>
      </c>
      <c r="KA9" s="13">
        <v>2.0703960489060425E-2</v>
      </c>
      <c r="KB9" s="13">
        <v>1.975926011884499E-2</v>
      </c>
      <c r="KC9" s="13">
        <v>1.1832494950191563E-2</v>
      </c>
      <c r="KD9" s="13">
        <v>1.3876168220342322E-2</v>
      </c>
      <c r="KE9" s="13">
        <v>8.4835120316129053E-3</v>
      </c>
      <c r="KF9" s="13">
        <v>1.5067747557747202E-2</v>
      </c>
      <c r="KG9" s="13">
        <v>1.6405680412107326E-2</v>
      </c>
      <c r="KH9" s="13">
        <v>1.4826182056179693E-2</v>
      </c>
      <c r="KI9" s="13">
        <v>2.8340898257201763E-2</v>
      </c>
      <c r="KJ9" s="13">
        <v>-2.5985656419992287E-3</v>
      </c>
      <c r="KK9" s="13">
        <v>1.6458307834209984E-2</v>
      </c>
      <c r="KL9" s="13">
        <v>2.847158264629801E-2</v>
      </c>
      <c r="KM9" s="13">
        <v>3.1028945740847691E-2</v>
      </c>
      <c r="KN9" s="13">
        <v>3.6936307606787011E-2</v>
      </c>
      <c r="KO9" s="13">
        <v>1.0841417841698897E-2</v>
      </c>
      <c r="KP9" s="13">
        <v>1.5856714648702974E-2</v>
      </c>
      <c r="KQ9" s="13">
        <v>2.3992554753812678E-2</v>
      </c>
      <c r="KR9" s="13">
        <v>1.6671069992149734E-2</v>
      </c>
      <c r="KS9" s="421"/>
      <c r="KT9" s="421"/>
      <c r="KU9" s="421"/>
      <c r="KV9" s="421"/>
      <c r="KW9" s="421"/>
      <c r="KX9" s="421"/>
      <c r="KY9" s="421"/>
      <c r="KZ9" s="421"/>
      <c r="LA9" s="421"/>
      <c r="LB9" s="421"/>
      <c r="LC9" s="421"/>
      <c r="LD9" s="421"/>
      <c r="LE9" s="421"/>
      <c r="LF9" s="421"/>
      <c r="LG9" s="421"/>
      <c r="LH9" s="421"/>
      <c r="LI9" s="421"/>
      <c r="LJ9" s="421"/>
      <c r="LK9" s="421"/>
      <c r="LL9" s="421"/>
      <c r="LM9" s="421"/>
      <c r="LN9" s="421"/>
      <c r="LO9" s="421"/>
      <c r="LP9" s="421"/>
      <c r="LQ9" s="421"/>
      <c r="LR9" s="421"/>
      <c r="LS9" s="421"/>
      <c r="LT9" s="421"/>
      <c r="LU9" s="421"/>
      <c r="LV9" s="421"/>
      <c r="LW9" s="421"/>
      <c r="LX9" s="421"/>
      <c r="LY9" s="421"/>
      <c r="LZ9" s="421"/>
      <c r="MA9" s="421"/>
      <c r="MB9" s="421"/>
      <c r="MC9" s="421"/>
      <c r="MD9" s="421"/>
      <c r="ME9" s="421"/>
      <c r="MF9" s="421"/>
      <c r="MG9" s="421"/>
      <c r="MH9" s="421"/>
      <c r="MI9" s="421"/>
      <c r="MJ9" s="421"/>
      <c r="MK9" s="421"/>
      <c r="ML9" s="422"/>
      <c r="MM9" s="422"/>
      <c r="MN9" s="422"/>
      <c r="MO9" s="422"/>
      <c r="MP9" s="422"/>
      <c r="MQ9" s="422"/>
      <c r="MR9" s="422"/>
      <c r="MS9" s="422"/>
      <c r="MT9" s="422"/>
      <c r="MU9" s="422"/>
      <c r="MV9" s="422"/>
      <c r="MW9" s="422"/>
      <c r="MX9" s="422"/>
      <c r="MY9" s="422"/>
      <c r="MZ9" s="422"/>
      <c r="NA9" s="422"/>
      <c r="NB9" s="422"/>
      <c r="NC9" s="422"/>
      <c r="ND9" s="422"/>
      <c r="NE9" s="422"/>
      <c r="NF9" s="422"/>
      <c r="NG9" s="422"/>
      <c r="NH9" s="422"/>
      <c r="NI9" s="422"/>
      <c r="NJ9" s="422"/>
      <c r="NK9" s="422"/>
      <c r="NL9" s="422"/>
      <c r="NM9" s="422"/>
      <c r="NN9" s="422"/>
      <c r="NO9" s="422"/>
      <c r="NP9" s="422"/>
      <c r="NQ9" s="422"/>
      <c r="NR9" s="422"/>
      <c r="NS9" s="422"/>
      <c r="NT9" s="422"/>
      <c r="NU9" s="422"/>
      <c r="NV9" s="422"/>
      <c r="NW9" s="422"/>
      <c r="NX9" s="422"/>
      <c r="NY9" s="422"/>
      <c r="NZ9" s="422"/>
      <c r="OA9" s="422"/>
      <c r="OB9" s="422"/>
      <c r="OC9" s="422"/>
      <c r="OD9" s="422"/>
      <c r="OE9" s="422"/>
      <c r="OF9" s="422"/>
      <c r="OG9" s="422"/>
      <c r="OH9" s="422"/>
      <c r="OI9" s="422"/>
    </row>
    <row r="10" spans="1:399" x14ac:dyDescent="0.2">
      <c r="C10" s="13"/>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c r="AE10" s="15"/>
      <c r="AF10" s="15"/>
      <c r="AG10" s="15"/>
      <c r="AH10" s="15"/>
      <c r="AI10" s="15"/>
      <c r="AJ10" s="15"/>
      <c r="AK10" s="15"/>
      <c r="AL10" s="15"/>
      <c r="AM10" s="15"/>
      <c r="AN10" s="15"/>
      <c r="AO10" s="15"/>
      <c r="AP10" s="15"/>
      <c r="AQ10" s="15"/>
      <c r="AR10" s="15"/>
      <c r="AS10" s="15"/>
      <c r="AT10" s="15"/>
      <c r="AU10" s="15"/>
      <c r="AV10" s="15"/>
      <c r="AW10" s="15"/>
      <c r="AX10" s="15"/>
      <c r="AY10" s="15"/>
      <c r="AZ10" s="15"/>
      <c r="BA10" s="15"/>
      <c r="BB10" s="15"/>
      <c r="BC10" s="15"/>
      <c r="BD10" s="15"/>
      <c r="BE10" s="15"/>
      <c r="BF10" s="15"/>
      <c r="BG10" s="15"/>
      <c r="BH10" s="15"/>
      <c r="BI10" s="15"/>
      <c r="BJ10" s="15"/>
      <c r="BK10" s="15"/>
      <c r="BL10" s="15"/>
      <c r="BM10" s="15"/>
      <c r="BN10" s="15"/>
      <c r="BO10" s="15"/>
      <c r="BP10" s="15"/>
      <c r="BQ10" s="15"/>
      <c r="BR10" s="15"/>
      <c r="BS10" s="15"/>
      <c r="BT10" s="15"/>
      <c r="BU10" s="15"/>
      <c r="BV10" s="15"/>
      <c r="BW10" s="15"/>
      <c r="BX10" s="15"/>
      <c r="BY10" s="15"/>
      <c r="BZ10" s="15"/>
      <c r="CA10" s="15"/>
      <c r="CB10" s="15"/>
      <c r="CC10" s="15"/>
      <c r="CD10" s="15"/>
      <c r="CE10" s="15"/>
      <c r="CF10" s="15"/>
      <c r="CG10" s="15"/>
      <c r="CH10" s="15"/>
      <c r="CI10" s="15"/>
      <c r="CJ10" s="15"/>
      <c r="CK10" s="15"/>
      <c r="CL10" s="15"/>
      <c r="CM10" s="15"/>
      <c r="CN10" s="15"/>
      <c r="CO10" s="15"/>
      <c r="CP10" s="15"/>
      <c r="CQ10" s="15"/>
      <c r="CR10" s="15"/>
      <c r="CS10" s="15"/>
      <c r="CT10" s="15"/>
      <c r="CU10" s="15"/>
      <c r="CV10" s="15"/>
      <c r="CW10" s="15"/>
      <c r="CX10" s="15"/>
      <c r="CY10" s="15"/>
      <c r="CZ10" s="15"/>
      <c r="DA10" s="15"/>
      <c r="DB10" s="15"/>
      <c r="DC10" s="15"/>
      <c r="DD10" s="15"/>
      <c r="DE10" s="15"/>
      <c r="DF10" s="15"/>
      <c r="DG10" s="15"/>
      <c r="DH10" s="15"/>
      <c r="DI10" s="15"/>
      <c r="DJ10" s="15"/>
      <c r="DK10" s="15"/>
      <c r="DL10" s="15"/>
      <c r="DM10" s="15"/>
      <c r="DN10" s="15"/>
      <c r="DO10" s="15"/>
      <c r="DP10" s="15"/>
      <c r="DQ10" s="15"/>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5"/>
      <c r="ES10" s="15"/>
      <c r="ET10" s="15"/>
      <c r="EU10" s="15"/>
      <c r="EV10" s="15"/>
      <c r="EW10" s="15"/>
      <c r="EX10" s="15"/>
      <c r="EY10" s="15"/>
      <c r="EZ10" s="15"/>
      <c r="FA10" s="15"/>
      <c r="FB10" s="15"/>
      <c r="FC10" s="15"/>
      <c r="FD10" s="15"/>
      <c r="FE10" s="15"/>
      <c r="FF10" s="15"/>
      <c r="FG10" s="15"/>
      <c r="FH10" s="15"/>
      <c r="FI10" s="15"/>
      <c r="FJ10" s="15"/>
      <c r="FK10" s="15"/>
      <c r="FL10" s="15"/>
      <c r="FM10" s="15"/>
      <c r="FN10" s="15"/>
      <c r="FO10" s="15"/>
      <c r="FP10" s="15"/>
      <c r="FQ10" s="15"/>
      <c r="FR10" s="15"/>
      <c r="FS10" s="15"/>
      <c r="FT10" s="15"/>
      <c r="FU10" s="15"/>
      <c r="FV10" s="15"/>
      <c r="FW10" s="15"/>
      <c r="FX10" s="15"/>
      <c r="FY10" s="15"/>
      <c r="FZ10" s="15"/>
    </row>
    <row r="11" spans="1:399" x14ac:dyDescent="0.2">
      <c r="A11" s="4" t="s">
        <v>332</v>
      </c>
    </row>
    <row r="12" spans="1:399" x14ac:dyDescent="0.2">
      <c r="A12" s="5" t="s">
        <v>340</v>
      </c>
    </row>
    <row r="13" spans="1:399" x14ac:dyDescent="0.2">
      <c r="A13" s="5" t="s">
        <v>343</v>
      </c>
    </row>
    <row r="14" spans="1:399" ht="5.0999999999999996" customHeight="1" x14ac:dyDescent="0.2"/>
    <row r="15" spans="1:399" s="1" customFormat="1" ht="14.25" x14ac:dyDescent="0.2">
      <c r="A15" s="1" t="s">
        <v>335</v>
      </c>
      <c r="C15" s="8">
        <v>36861</v>
      </c>
      <c r="D15" s="8">
        <v>36892</v>
      </c>
      <c r="E15" s="8">
        <v>36923</v>
      </c>
      <c r="F15" s="8">
        <v>36951</v>
      </c>
      <c r="G15" s="8">
        <v>36982</v>
      </c>
      <c r="H15" s="8">
        <v>37012</v>
      </c>
      <c r="I15" s="8">
        <v>37043</v>
      </c>
      <c r="J15" s="8">
        <v>37073</v>
      </c>
      <c r="K15" s="8">
        <v>37104</v>
      </c>
      <c r="L15" s="8">
        <v>37135</v>
      </c>
      <c r="M15" s="8">
        <v>37165</v>
      </c>
      <c r="N15" s="8">
        <v>37196</v>
      </c>
      <c r="O15" s="8">
        <v>37226</v>
      </c>
      <c r="P15" s="8">
        <v>37257</v>
      </c>
      <c r="Q15" s="8">
        <v>37288</v>
      </c>
      <c r="R15" s="8">
        <v>37316</v>
      </c>
      <c r="S15" s="8">
        <v>37347</v>
      </c>
      <c r="T15" s="8">
        <v>37377</v>
      </c>
      <c r="U15" s="8">
        <v>37408</v>
      </c>
      <c r="V15" s="8">
        <v>37438</v>
      </c>
      <c r="W15" s="8">
        <v>37469</v>
      </c>
      <c r="X15" s="8">
        <v>37500</v>
      </c>
      <c r="Y15" s="8">
        <v>37530</v>
      </c>
      <c r="Z15" s="8">
        <v>37561</v>
      </c>
      <c r="AA15" s="8">
        <v>37591</v>
      </c>
      <c r="AB15" s="8">
        <v>37622</v>
      </c>
      <c r="AC15" s="8">
        <v>37653</v>
      </c>
      <c r="AD15" s="8">
        <v>37681</v>
      </c>
      <c r="AE15" s="8">
        <v>37712</v>
      </c>
      <c r="AF15" s="8">
        <v>37742</v>
      </c>
      <c r="AG15" s="8">
        <v>37773</v>
      </c>
      <c r="AH15" s="8">
        <v>37803</v>
      </c>
      <c r="AI15" s="8">
        <v>37834</v>
      </c>
      <c r="AJ15" s="8">
        <v>37865</v>
      </c>
      <c r="AK15" s="8">
        <v>37895</v>
      </c>
      <c r="AL15" s="8">
        <v>37926</v>
      </c>
      <c r="AM15" s="8">
        <v>37956</v>
      </c>
      <c r="AN15" s="8">
        <v>37987</v>
      </c>
      <c r="AO15" s="8">
        <v>38018</v>
      </c>
      <c r="AP15" s="8">
        <v>38047</v>
      </c>
      <c r="AQ15" s="8">
        <v>38078</v>
      </c>
      <c r="AR15" s="8">
        <v>38108</v>
      </c>
      <c r="AS15" s="8">
        <v>38139</v>
      </c>
      <c r="AT15" s="8">
        <v>38169</v>
      </c>
      <c r="AU15" s="8">
        <v>38200</v>
      </c>
      <c r="AV15" s="8">
        <v>38231</v>
      </c>
      <c r="AW15" s="8">
        <v>38261</v>
      </c>
      <c r="AX15" s="8">
        <v>38292</v>
      </c>
      <c r="AY15" s="8">
        <v>38322</v>
      </c>
      <c r="AZ15" s="8">
        <v>38353</v>
      </c>
      <c r="BA15" s="8">
        <v>38384</v>
      </c>
      <c r="BB15" s="8">
        <v>38412</v>
      </c>
      <c r="BC15" s="8">
        <v>38443</v>
      </c>
      <c r="BD15" s="8">
        <v>38473</v>
      </c>
      <c r="BE15" s="8">
        <v>38504</v>
      </c>
      <c r="BF15" s="8">
        <v>38534</v>
      </c>
      <c r="BG15" s="8">
        <v>38565</v>
      </c>
      <c r="BH15" s="8">
        <v>38596</v>
      </c>
      <c r="BI15" s="8">
        <v>38626</v>
      </c>
      <c r="BJ15" s="8">
        <v>38657</v>
      </c>
      <c r="BK15" s="8">
        <v>38687</v>
      </c>
      <c r="BL15" s="8">
        <v>38718</v>
      </c>
      <c r="BM15" s="8">
        <v>38749</v>
      </c>
      <c r="BN15" s="8">
        <v>38777</v>
      </c>
      <c r="BO15" s="8">
        <v>38808</v>
      </c>
      <c r="BP15" s="8">
        <v>38838</v>
      </c>
      <c r="BQ15" s="8">
        <v>38869</v>
      </c>
      <c r="BR15" s="8">
        <v>38899</v>
      </c>
      <c r="BS15" s="8">
        <v>38930</v>
      </c>
      <c r="BT15" s="8">
        <v>38961</v>
      </c>
      <c r="BU15" s="8">
        <v>38991</v>
      </c>
      <c r="BV15" s="8">
        <v>39022</v>
      </c>
      <c r="BW15" s="8">
        <v>39052</v>
      </c>
      <c r="BX15" s="8">
        <v>39083</v>
      </c>
      <c r="BY15" s="8">
        <v>39114</v>
      </c>
      <c r="BZ15" s="8">
        <v>39142</v>
      </c>
      <c r="CA15" s="8">
        <v>39173</v>
      </c>
      <c r="CB15" s="8">
        <v>39203</v>
      </c>
      <c r="CC15" s="8">
        <v>39234</v>
      </c>
      <c r="CD15" s="8">
        <v>39264</v>
      </c>
      <c r="CE15" s="8">
        <v>39295</v>
      </c>
      <c r="CF15" s="8">
        <v>39326</v>
      </c>
      <c r="CG15" s="8">
        <v>39356</v>
      </c>
      <c r="CH15" s="8">
        <v>39387</v>
      </c>
      <c r="CI15" s="8">
        <v>39417</v>
      </c>
      <c r="CJ15" s="8">
        <v>39448</v>
      </c>
      <c r="CK15" s="8">
        <v>39479</v>
      </c>
      <c r="CL15" s="8">
        <v>39508</v>
      </c>
      <c r="CM15" s="8">
        <v>39539</v>
      </c>
      <c r="CN15" s="8">
        <v>39569</v>
      </c>
      <c r="CO15" s="8">
        <v>39600</v>
      </c>
      <c r="CP15" s="8">
        <v>39630</v>
      </c>
      <c r="CQ15" s="8">
        <v>39661</v>
      </c>
      <c r="CR15" s="8">
        <v>39692</v>
      </c>
      <c r="CS15" s="8">
        <v>39722</v>
      </c>
      <c r="CT15" s="8">
        <v>39753</v>
      </c>
      <c r="CU15" s="8">
        <v>39783</v>
      </c>
      <c r="CV15" s="8">
        <v>39814</v>
      </c>
      <c r="CW15" s="8">
        <v>39845</v>
      </c>
      <c r="CX15" s="8">
        <v>39873</v>
      </c>
      <c r="CY15" s="8">
        <v>39904</v>
      </c>
      <c r="CZ15" s="8">
        <v>39934</v>
      </c>
      <c r="DA15" s="8">
        <v>39965</v>
      </c>
      <c r="DB15" s="8">
        <v>39995</v>
      </c>
      <c r="DC15" s="8">
        <v>40026</v>
      </c>
      <c r="DD15" s="8">
        <v>40057</v>
      </c>
      <c r="DE15" s="8">
        <v>40087</v>
      </c>
      <c r="DF15" s="8">
        <v>40118</v>
      </c>
      <c r="DG15" s="8">
        <v>40148</v>
      </c>
      <c r="DH15" s="8">
        <v>40179</v>
      </c>
      <c r="DI15" s="8">
        <v>40210</v>
      </c>
      <c r="DJ15" s="8">
        <v>40238</v>
      </c>
      <c r="DK15" s="8">
        <v>40269</v>
      </c>
      <c r="DL15" s="8">
        <v>40299</v>
      </c>
      <c r="DM15" s="8">
        <v>40330</v>
      </c>
      <c r="DN15" s="8">
        <v>40360</v>
      </c>
      <c r="DO15" s="8">
        <v>40391</v>
      </c>
      <c r="DP15" s="8">
        <v>40422</v>
      </c>
      <c r="DQ15" s="8">
        <v>40452</v>
      </c>
      <c r="DR15" s="8">
        <v>40483</v>
      </c>
      <c r="DS15" s="8">
        <v>40513</v>
      </c>
      <c r="DT15" s="8">
        <v>40544</v>
      </c>
      <c r="DU15" s="8">
        <v>40575</v>
      </c>
      <c r="DV15" s="8">
        <v>40603</v>
      </c>
      <c r="DW15" s="8">
        <v>40634</v>
      </c>
      <c r="DX15" s="8">
        <v>40664</v>
      </c>
      <c r="DY15" s="8">
        <v>40695</v>
      </c>
      <c r="DZ15" s="8">
        <v>40725</v>
      </c>
      <c r="EA15" s="8">
        <v>40756</v>
      </c>
      <c r="EB15" s="8">
        <v>40787</v>
      </c>
      <c r="EC15" s="8">
        <v>40817</v>
      </c>
      <c r="ED15" s="8">
        <v>40848</v>
      </c>
      <c r="EE15" s="8">
        <v>40878</v>
      </c>
      <c r="EF15" s="8">
        <v>40909</v>
      </c>
      <c r="EG15" s="8">
        <v>40940</v>
      </c>
      <c r="EH15" s="8">
        <v>40969</v>
      </c>
      <c r="EI15" s="8">
        <v>41000</v>
      </c>
      <c r="EJ15" s="8">
        <v>41030</v>
      </c>
      <c r="EK15" s="8">
        <v>41061</v>
      </c>
      <c r="EL15" s="8">
        <v>41091</v>
      </c>
      <c r="EM15" s="8">
        <v>41122</v>
      </c>
      <c r="EN15" s="8">
        <v>41153</v>
      </c>
      <c r="EO15" s="8">
        <v>41183</v>
      </c>
      <c r="EP15" s="8">
        <v>41214</v>
      </c>
      <c r="EQ15" s="8">
        <v>41244</v>
      </c>
      <c r="ER15" s="8">
        <v>41275</v>
      </c>
      <c r="ES15" s="8">
        <v>41306</v>
      </c>
      <c r="ET15" s="8">
        <v>41334</v>
      </c>
      <c r="EU15" s="8">
        <v>41365</v>
      </c>
      <c r="EV15" s="8">
        <v>41395</v>
      </c>
      <c r="EW15" s="8">
        <v>41426</v>
      </c>
      <c r="EX15" s="8">
        <v>41456</v>
      </c>
      <c r="EY15" s="8">
        <v>41487</v>
      </c>
      <c r="EZ15" s="8">
        <v>41518</v>
      </c>
      <c r="FA15" s="8">
        <v>41548</v>
      </c>
      <c r="FB15" s="8">
        <v>41579</v>
      </c>
      <c r="FC15" s="8">
        <v>41609</v>
      </c>
      <c r="FD15" s="8">
        <v>41640</v>
      </c>
      <c r="FE15" s="8">
        <v>41671</v>
      </c>
      <c r="FF15" s="8">
        <v>41699</v>
      </c>
      <c r="FG15" s="8">
        <v>41730</v>
      </c>
      <c r="FH15" s="8">
        <v>41760</v>
      </c>
      <c r="FI15" s="8">
        <v>41791</v>
      </c>
      <c r="FJ15" s="8">
        <v>41821</v>
      </c>
      <c r="FK15" s="8">
        <v>41852</v>
      </c>
      <c r="FL15" s="8">
        <v>41883</v>
      </c>
      <c r="FM15" s="8">
        <v>41913</v>
      </c>
      <c r="FN15" s="8">
        <v>41944</v>
      </c>
      <c r="FO15" s="8">
        <v>41974</v>
      </c>
      <c r="FP15" s="8">
        <v>42005</v>
      </c>
      <c r="FQ15" s="8">
        <v>42036</v>
      </c>
      <c r="FR15" s="8">
        <v>42064</v>
      </c>
      <c r="FS15" s="8">
        <v>42095</v>
      </c>
      <c r="FT15" s="8">
        <v>42125</v>
      </c>
      <c r="FU15" s="8">
        <v>42156</v>
      </c>
      <c r="FV15" s="8">
        <v>42186</v>
      </c>
      <c r="FW15" s="8">
        <v>42217</v>
      </c>
      <c r="FX15" s="8">
        <v>42248</v>
      </c>
      <c r="FY15" s="8">
        <v>42278</v>
      </c>
      <c r="FZ15" s="8">
        <v>42309</v>
      </c>
      <c r="GA15" s="8">
        <v>42339</v>
      </c>
      <c r="GB15" s="8">
        <v>42370</v>
      </c>
      <c r="GC15" s="8">
        <v>42401</v>
      </c>
      <c r="GD15" s="8">
        <v>42430</v>
      </c>
      <c r="GE15" s="8">
        <v>42461</v>
      </c>
      <c r="GF15" s="8">
        <v>42491</v>
      </c>
      <c r="GG15" s="8">
        <v>42522</v>
      </c>
      <c r="GH15" s="8">
        <v>42552</v>
      </c>
      <c r="GI15" s="8">
        <v>42583</v>
      </c>
      <c r="GJ15" s="8">
        <v>42614</v>
      </c>
      <c r="GK15" s="8">
        <v>42644</v>
      </c>
      <c r="GL15" s="8">
        <v>42675</v>
      </c>
      <c r="GM15" s="8">
        <v>42705</v>
      </c>
      <c r="GN15" s="8">
        <v>42736</v>
      </c>
      <c r="GO15" s="8">
        <v>42767</v>
      </c>
      <c r="GP15" s="8">
        <v>42795</v>
      </c>
      <c r="GQ15" s="8">
        <v>42826</v>
      </c>
      <c r="GR15" s="8">
        <v>42856</v>
      </c>
      <c r="GS15" s="8">
        <v>42887</v>
      </c>
      <c r="GT15" s="8">
        <v>42917</v>
      </c>
      <c r="GU15" s="8">
        <v>42948</v>
      </c>
      <c r="GV15" s="8">
        <v>42979</v>
      </c>
      <c r="GW15" s="8">
        <v>43009</v>
      </c>
      <c r="GX15" s="8">
        <v>43040</v>
      </c>
      <c r="GY15" s="8">
        <v>43070</v>
      </c>
      <c r="GZ15" s="8">
        <v>43101</v>
      </c>
      <c r="HA15" s="8">
        <v>43132</v>
      </c>
      <c r="HB15" s="8">
        <v>43160</v>
      </c>
      <c r="HC15" s="8">
        <v>43191</v>
      </c>
      <c r="HD15" s="8">
        <v>43221</v>
      </c>
      <c r="HE15" s="8">
        <v>43252</v>
      </c>
      <c r="HF15" s="8">
        <v>43282</v>
      </c>
      <c r="HG15" s="8">
        <v>43313</v>
      </c>
      <c r="HH15" s="8">
        <v>43344</v>
      </c>
      <c r="HI15" s="8">
        <v>43374</v>
      </c>
      <c r="HJ15" s="8">
        <v>43405</v>
      </c>
      <c r="HK15" s="8">
        <v>43435</v>
      </c>
      <c r="HL15" s="8">
        <v>43466</v>
      </c>
      <c r="HM15" s="8">
        <v>43497</v>
      </c>
      <c r="HN15" s="8">
        <v>43525</v>
      </c>
      <c r="HO15" s="8">
        <v>43556</v>
      </c>
      <c r="HP15" s="8">
        <v>43586</v>
      </c>
      <c r="HQ15" s="8">
        <v>43617</v>
      </c>
      <c r="HR15" s="8">
        <v>43647</v>
      </c>
      <c r="HS15" s="8">
        <v>43678</v>
      </c>
      <c r="HT15" s="8">
        <v>43709</v>
      </c>
      <c r="HU15" s="8">
        <v>43739</v>
      </c>
      <c r="HV15" s="8">
        <v>43770</v>
      </c>
      <c r="HW15" s="8">
        <v>43800</v>
      </c>
      <c r="HX15" s="8">
        <v>43831</v>
      </c>
      <c r="HY15" s="8">
        <v>43862</v>
      </c>
      <c r="HZ15" s="8">
        <v>43891</v>
      </c>
      <c r="IA15" s="8">
        <v>43922</v>
      </c>
      <c r="IB15" s="8">
        <v>43952</v>
      </c>
      <c r="IC15" s="8">
        <v>43983</v>
      </c>
      <c r="ID15" s="8">
        <v>44013</v>
      </c>
      <c r="IE15" s="8">
        <v>44044</v>
      </c>
      <c r="IF15" s="8">
        <v>44075</v>
      </c>
      <c r="IG15" s="8">
        <v>44105</v>
      </c>
      <c r="IH15" s="8">
        <v>44136</v>
      </c>
      <c r="II15" s="8">
        <v>44166</v>
      </c>
      <c r="IJ15" s="8">
        <v>44197</v>
      </c>
      <c r="IK15" s="8">
        <v>44228</v>
      </c>
      <c r="IL15" s="8">
        <v>44256</v>
      </c>
      <c r="IM15" s="8">
        <v>44287</v>
      </c>
      <c r="IN15" s="8">
        <v>44317</v>
      </c>
      <c r="IO15" s="8">
        <v>44348</v>
      </c>
      <c r="IP15" s="8">
        <v>44378</v>
      </c>
      <c r="IQ15" s="8">
        <v>44409</v>
      </c>
      <c r="IR15" s="8">
        <v>44440</v>
      </c>
      <c r="IS15" s="8">
        <v>44470</v>
      </c>
      <c r="IT15" s="8">
        <v>44501</v>
      </c>
      <c r="IU15" s="8">
        <v>44531</v>
      </c>
      <c r="IV15" s="8">
        <v>44562</v>
      </c>
      <c r="IW15" s="8">
        <v>44593</v>
      </c>
      <c r="IX15" s="8">
        <v>44621</v>
      </c>
      <c r="IY15" s="8">
        <v>44652</v>
      </c>
      <c r="IZ15" s="8">
        <v>44682</v>
      </c>
      <c r="JA15" s="8">
        <v>44713</v>
      </c>
      <c r="JB15" s="8">
        <v>44743</v>
      </c>
      <c r="JC15" s="8">
        <v>44774</v>
      </c>
      <c r="JD15" s="8">
        <v>44805</v>
      </c>
      <c r="JE15" s="8">
        <v>44835</v>
      </c>
      <c r="JF15" s="8">
        <v>44866</v>
      </c>
      <c r="JG15" s="8">
        <v>44896</v>
      </c>
      <c r="JH15" s="8">
        <v>44927</v>
      </c>
      <c r="JI15" s="8">
        <v>44958</v>
      </c>
      <c r="JJ15" s="8">
        <v>44986</v>
      </c>
      <c r="JK15" s="8">
        <v>45017</v>
      </c>
      <c r="JL15" s="8">
        <v>45047</v>
      </c>
      <c r="JM15" s="8">
        <v>45078</v>
      </c>
      <c r="JN15" s="8">
        <v>45108</v>
      </c>
      <c r="JO15" s="8">
        <v>45139</v>
      </c>
      <c r="JP15" s="8">
        <v>45170</v>
      </c>
      <c r="JQ15" s="8">
        <v>45200</v>
      </c>
      <c r="JR15" s="8">
        <v>45231</v>
      </c>
      <c r="JS15" s="8">
        <v>45261</v>
      </c>
      <c r="JT15" s="8">
        <v>45292</v>
      </c>
      <c r="JU15" s="8">
        <v>45323</v>
      </c>
      <c r="JV15" s="8">
        <v>45352</v>
      </c>
      <c r="JW15" s="8">
        <v>45383</v>
      </c>
      <c r="JX15" s="8">
        <v>45413</v>
      </c>
      <c r="JY15" s="8">
        <v>45444</v>
      </c>
      <c r="JZ15" s="8">
        <v>45474</v>
      </c>
      <c r="KA15" s="8">
        <v>45505</v>
      </c>
      <c r="KB15" s="8">
        <v>45536</v>
      </c>
      <c r="KC15" s="8">
        <v>45566</v>
      </c>
      <c r="KD15" s="8">
        <v>45597</v>
      </c>
      <c r="KE15" s="8">
        <v>45627</v>
      </c>
      <c r="KF15" s="8">
        <v>45658</v>
      </c>
      <c r="KG15" s="8">
        <v>45689</v>
      </c>
      <c r="KH15" s="8">
        <v>45717</v>
      </c>
      <c r="KI15" s="8">
        <v>45748</v>
      </c>
      <c r="KJ15" s="8">
        <v>45778</v>
      </c>
      <c r="KK15" s="8">
        <v>45809</v>
      </c>
      <c r="KL15" s="8">
        <v>45839</v>
      </c>
      <c r="KM15" s="8">
        <v>45870</v>
      </c>
      <c r="KN15" s="8">
        <v>45901</v>
      </c>
      <c r="KO15" s="8">
        <v>45931</v>
      </c>
      <c r="KP15" s="8">
        <v>45962</v>
      </c>
      <c r="KQ15" s="8">
        <v>45992</v>
      </c>
      <c r="KR15" s="8">
        <v>46023</v>
      </c>
      <c r="KS15" s="8">
        <v>46054</v>
      </c>
      <c r="KT15" s="8">
        <v>46082</v>
      </c>
      <c r="KU15" s="8">
        <v>46113</v>
      </c>
      <c r="KV15" s="8">
        <v>46143</v>
      </c>
      <c r="KW15" s="8">
        <v>46174</v>
      </c>
      <c r="KX15" s="8">
        <v>46204</v>
      </c>
      <c r="KY15" s="8">
        <v>46235</v>
      </c>
      <c r="KZ15" s="8">
        <v>46266</v>
      </c>
      <c r="LA15" s="8">
        <v>46296</v>
      </c>
      <c r="LB15" s="8">
        <v>46327</v>
      </c>
      <c r="LC15" s="8">
        <v>46357</v>
      </c>
      <c r="LD15" s="8">
        <v>46388</v>
      </c>
      <c r="LE15" s="8">
        <v>46419</v>
      </c>
      <c r="LF15" s="8">
        <v>46447</v>
      </c>
      <c r="LG15" s="8">
        <v>46478</v>
      </c>
      <c r="LH15" s="8">
        <v>46508</v>
      </c>
      <c r="LI15" s="8">
        <v>46539</v>
      </c>
      <c r="LJ15" s="8">
        <v>46569</v>
      </c>
      <c r="LK15" s="8">
        <v>46600</v>
      </c>
      <c r="LL15" s="8">
        <v>46631</v>
      </c>
      <c r="LM15" s="8">
        <v>46661</v>
      </c>
      <c r="LN15" s="8">
        <v>46692</v>
      </c>
      <c r="LO15" s="8">
        <v>46722</v>
      </c>
      <c r="LP15" s="8">
        <v>46753</v>
      </c>
      <c r="LQ15" s="8">
        <v>46784</v>
      </c>
      <c r="LR15" s="8">
        <v>46813</v>
      </c>
      <c r="LS15" s="8">
        <v>46844</v>
      </c>
      <c r="LT15" s="8">
        <v>46874</v>
      </c>
      <c r="LU15" s="8">
        <v>46905</v>
      </c>
      <c r="LV15" s="8">
        <v>46935</v>
      </c>
      <c r="LW15" s="8">
        <v>46966</v>
      </c>
      <c r="LX15" s="8">
        <v>46997</v>
      </c>
      <c r="LY15" s="8">
        <v>47027</v>
      </c>
      <c r="LZ15" s="8">
        <v>47058</v>
      </c>
      <c r="MA15" s="8">
        <v>47088</v>
      </c>
      <c r="MB15" s="8">
        <v>47119</v>
      </c>
      <c r="MC15" s="8">
        <v>47150</v>
      </c>
      <c r="MD15" s="8">
        <v>47178</v>
      </c>
      <c r="ME15" s="8">
        <v>47209</v>
      </c>
      <c r="MF15" s="8">
        <v>47239</v>
      </c>
      <c r="MG15" s="8">
        <v>47270</v>
      </c>
      <c r="MH15" s="8">
        <v>47300</v>
      </c>
      <c r="MI15" s="8">
        <v>47331</v>
      </c>
      <c r="MJ15" s="8">
        <v>47362</v>
      </c>
      <c r="MK15" s="8">
        <v>47392</v>
      </c>
      <c r="ML15" s="8">
        <v>47423</v>
      </c>
      <c r="MM15" s="8">
        <v>47453</v>
      </c>
      <c r="MN15" s="8">
        <v>47484</v>
      </c>
      <c r="MO15" s="8">
        <v>47515</v>
      </c>
      <c r="MP15" s="8">
        <v>47543</v>
      </c>
      <c r="MQ15" s="8">
        <v>47574</v>
      </c>
      <c r="MR15" s="8">
        <v>47604</v>
      </c>
      <c r="MS15" s="8">
        <v>47635</v>
      </c>
      <c r="MT15" s="8">
        <v>47665</v>
      </c>
      <c r="MU15" s="8">
        <v>47696</v>
      </c>
      <c r="MV15" s="8">
        <v>47727</v>
      </c>
      <c r="MW15" s="8">
        <v>47757</v>
      </c>
      <c r="MX15" s="8">
        <v>47788</v>
      </c>
      <c r="MY15" s="8">
        <v>47818</v>
      </c>
      <c r="MZ15" s="8">
        <v>47849</v>
      </c>
      <c r="NA15" s="8">
        <v>47880</v>
      </c>
      <c r="NB15" s="8">
        <v>47908</v>
      </c>
      <c r="NC15" s="8">
        <v>47939</v>
      </c>
      <c r="ND15" s="8">
        <v>47969</v>
      </c>
      <c r="NE15" s="8">
        <v>48000</v>
      </c>
      <c r="NF15" s="8">
        <v>48030</v>
      </c>
      <c r="NG15" s="8">
        <v>48061</v>
      </c>
      <c r="NH15" s="8">
        <v>48092</v>
      </c>
      <c r="NI15" s="8">
        <v>48122</v>
      </c>
      <c r="NJ15" s="8">
        <v>48153</v>
      </c>
      <c r="NK15" s="8">
        <v>48183</v>
      </c>
      <c r="NL15" s="8">
        <v>48214</v>
      </c>
      <c r="NM15" s="8">
        <v>48245</v>
      </c>
      <c r="NN15" s="8">
        <v>48274</v>
      </c>
      <c r="NO15" s="8">
        <v>48305</v>
      </c>
      <c r="NP15" s="8">
        <v>48335</v>
      </c>
      <c r="NQ15" s="8">
        <v>48366</v>
      </c>
      <c r="NR15" s="8">
        <v>48396</v>
      </c>
      <c r="NS15" s="8">
        <v>48427</v>
      </c>
      <c r="NT15" s="8">
        <v>48458</v>
      </c>
      <c r="NU15" s="8">
        <v>48488</v>
      </c>
      <c r="NV15" s="8">
        <v>48519</v>
      </c>
      <c r="NW15" s="8">
        <v>48549</v>
      </c>
      <c r="NX15" s="8">
        <v>48580</v>
      </c>
      <c r="NY15" s="8">
        <v>48611</v>
      </c>
      <c r="NZ15" s="8">
        <v>48639</v>
      </c>
      <c r="OA15" s="8">
        <v>48670</v>
      </c>
      <c r="OB15" s="8">
        <v>48700</v>
      </c>
      <c r="OC15" s="8">
        <v>48731</v>
      </c>
      <c r="OD15" s="8">
        <v>48761</v>
      </c>
      <c r="OE15" s="8">
        <v>48792</v>
      </c>
      <c r="OF15" s="8">
        <v>48823</v>
      </c>
      <c r="OG15" s="8">
        <v>48853</v>
      </c>
      <c r="OH15" s="8">
        <v>48884</v>
      </c>
      <c r="OI15" s="8">
        <v>48914</v>
      </c>
    </row>
    <row r="16" spans="1:399" s="1" customFormat="1" ht="12.95" customHeight="1" x14ac:dyDescent="0.2">
      <c r="A16" s="9" t="s">
        <v>336</v>
      </c>
      <c r="C16" s="8">
        <v>36891</v>
      </c>
      <c r="D16" s="8">
        <v>36922</v>
      </c>
      <c r="E16" s="8">
        <v>36950</v>
      </c>
      <c r="F16" s="8">
        <v>36981</v>
      </c>
      <c r="G16" s="8">
        <v>37011</v>
      </c>
      <c r="H16" s="8">
        <v>37042</v>
      </c>
      <c r="I16" s="8">
        <v>37072</v>
      </c>
      <c r="J16" s="8">
        <v>37103</v>
      </c>
      <c r="K16" s="8">
        <v>37134</v>
      </c>
      <c r="L16" s="8">
        <v>37164</v>
      </c>
      <c r="M16" s="8">
        <v>37195</v>
      </c>
      <c r="N16" s="8">
        <v>37225</v>
      </c>
      <c r="O16" s="8">
        <v>37256</v>
      </c>
      <c r="P16" s="8">
        <v>37287</v>
      </c>
      <c r="Q16" s="8">
        <v>37315</v>
      </c>
      <c r="R16" s="8">
        <v>37346</v>
      </c>
      <c r="S16" s="8">
        <v>37376</v>
      </c>
      <c r="T16" s="8">
        <v>37407</v>
      </c>
      <c r="U16" s="8">
        <v>37437</v>
      </c>
      <c r="V16" s="8">
        <v>37468</v>
      </c>
      <c r="W16" s="8">
        <v>37499</v>
      </c>
      <c r="X16" s="8">
        <v>37529</v>
      </c>
      <c r="Y16" s="8">
        <v>37560</v>
      </c>
      <c r="Z16" s="8">
        <v>37590</v>
      </c>
      <c r="AA16" s="8">
        <v>37621</v>
      </c>
      <c r="AB16" s="8">
        <v>37652</v>
      </c>
      <c r="AC16" s="8">
        <v>37680</v>
      </c>
      <c r="AD16" s="8">
        <v>37711</v>
      </c>
      <c r="AE16" s="8">
        <v>37741</v>
      </c>
      <c r="AF16" s="8">
        <v>37772</v>
      </c>
      <c r="AG16" s="8">
        <v>37802</v>
      </c>
      <c r="AH16" s="8">
        <v>37833</v>
      </c>
      <c r="AI16" s="8">
        <v>37864</v>
      </c>
      <c r="AJ16" s="8">
        <v>37894</v>
      </c>
      <c r="AK16" s="8">
        <v>37925</v>
      </c>
      <c r="AL16" s="8">
        <v>37955</v>
      </c>
      <c r="AM16" s="8">
        <v>37986</v>
      </c>
      <c r="AN16" s="8">
        <v>38017</v>
      </c>
      <c r="AO16" s="8">
        <v>38046</v>
      </c>
      <c r="AP16" s="8">
        <v>38077</v>
      </c>
      <c r="AQ16" s="8">
        <v>38107</v>
      </c>
      <c r="AR16" s="8">
        <v>38138</v>
      </c>
      <c r="AS16" s="8">
        <v>38168</v>
      </c>
      <c r="AT16" s="8">
        <v>38199</v>
      </c>
      <c r="AU16" s="8">
        <v>38230</v>
      </c>
      <c r="AV16" s="8">
        <v>38260</v>
      </c>
      <c r="AW16" s="8">
        <v>38291</v>
      </c>
      <c r="AX16" s="8">
        <v>38321</v>
      </c>
      <c r="AY16" s="8">
        <v>38352</v>
      </c>
      <c r="AZ16" s="8">
        <v>38383</v>
      </c>
      <c r="BA16" s="8">
        <v>38411</v>
      </c>
      <c r="BB16" s="8">
        <v>38442</v>
      </c>
      <c r="BC16" s="8">
        <v>38472</v>
      </c>
      <c r="BD16" s="8">
        <v>38503</v>
      </c>
      <c r="BE16" s="8">
        <v>38533</v>
      </c>
      <c r="BF16" s="8">
        <v>38564</v>
      </c>
      <c r="BG16" s="8">
        <v>38595</v>
      </c>
      <c r="BH16" s="8">
        <v>38625</v>
      </c>
      <c r="BI16" s="8">
        <v>38656</v>
      </c>
      <c r="BJ16" s="8">
        <v>38686</v>
      </c>
      <c r="BK16" s="8">
        <v>38717</v>
      </c>
      <c r="BL16" s="8">
        <v>38748</v>
      </c>
      <c r="BM16" s="8">
        <v>38776</v>
      </c>
      <c r="BN16" s="8">
        <v>38807</v>
      </c>
      <c r="BO16" s="8">
        <v>38837</v>
      </c>
      <c r="BP16" s="8">
        <v>38868</v>
      </c>
      <c r="BQ16" s="8">
        <v>38898</v>
      </c>
      <c r="BR16" s="8">
        <v>38929</v>
      </c>
      <c r="BS16" s="8">
        <v>38960</v>
      </c>
      <c r="BT16" s="8">
        <v>38990</v>
      </c>
      <c r="BU16" s="8">
        <v>39021</v>
      </c>
      <c r="BV16" s="8">
        <v>39051</v>
      </c>
      <c r="BW16" s="8">
        <v>39082</v>
      </c>
      <c r="BX16" s="8">
        <v>39113</v>
      </c>
      <c r="BY16" s="8">
        <v>39141</v>
      </c>
      <c r="BZ16" s="8">
        <v>39172</v>
      </c>
      <c r="CA16" s="8">
        <v>39202</v>
      </c>
      <c r="CB16" s="8">
        <v>39233</v>
      </c>
      <c r="CC16" s="8">
        <v>39263</v>
      </c>
      <c r="CD16" s="8">
        <v>39294</v>
      </c>
      <c r="CE16" s="8">
        <v>39325</v>
      </c>
      <c r="CF16" s="8">
        <v>39355</v>
      </c>
      <c r="CG16" s="8">
        <v>39386</v>
      </c>
      <c r="CH16" s="8">
        <v>39416</v>
      </c>
      <c r="CI16" s="8">
        <v>39447</v>
      </c>
      <c r="CJ16" s="8">
        <v>39478</v>
      </c>
      <c r="CK16" s="8">
        <v>39507</v>
      </c>
      <c r="CL16" s="8">
        <v>39538</v>
      </c>
      <c r="CM16" s="8">
        <v>39568</v>
      </c>
      <c r="CN16" s="8">
        <v>39599</v>
      </c>
      <c r="CO16" s="8">
        <v>39629</v>
      </c>
      <c r="CP16" s="8">
        <v>39660</v>
      </c>
      <c r="CQ16" s="8">
        <v>39691</v>
      </c>
      <c r="CR16" s="8">
        <v>39721</v>
      </c>
      <c r="CS16" s="8">
        <v>39752</v>
      </c>
      <c r="CT16" s="8">
        <v>39782</v>
      </c>
      <c r="CU16" s="8">
        <v>39813</v>
      </c>
      <c r="CV16" s="8">
        <v>39844</v>
      </c>
      <c r="CW16" s="8">
        <v>39872</v>
      </c>
      <c r="CX16" s="8">
        <v>39903</v>
      </c>
      <c r="CY16" s="8">
        <v>39933</v>
      </c>
      <c r="CZ16" s="8">
        <v>39964</v>
      </c>
      <c r="DA16" s="8">
        <v>39994</v>
      </c>
      <c r="DB16" s="8">
        <v>40025</v>
      </c>
      <c r="DC16" s="8">
        <v>40056</v>
      </c>
      <c r="DD16" s="8">
        <v>40086</v>
      </c>
      <c r="DE16" s="8">
        <v>40117</v>
      </c>
      <c r="DF16" s="8">
        <v>40147</v>
      </c>
      <c r="DG16" s="8">
        <v>40178</v>
      </c>
      <c r="DH16" s="8">
        <v>40209</v>
      </c>
      <c r="DI16" s="8">
        <v>40237</v>
      </c>
      <c r="DJ16" s="8">
        <v>40268</v>
      </c>
      <c r="DK16" s="8">
        <v>40298</v>
      </c>
      <c r="DL16" s="8">
        <v>40329</v>
      </c>
      <c r="DM16" s="8">
        <v>40359</v>
      </c>
      <c r="DN16" s="8">
        <v>40390</v>
      </c>
      <c r="DO16" s="8">
        <v>40421</v>
      </c>
      <c r="DP16" s="8">
        <v>40451</v>
      </c>
      <c r="DQ16" s="8">
        <v>40482</v>
      </c>
      <c r="DR16" s="8">
        <v>40512</v>
      </c>
      <c r="DS16" s="8">
        <v>40543</v>
      </c>
      <c r="DT16" s="8">
        <v>40574</v>
      </c>
      <c r="DU16" s="8">
        <v>40602</v>
      </c>
      <c r="DV16" s="8">
        <v>40633</v>
      </c>
      <c r="DW16" s="8">
        <v>40663</v>
      </c>
      <c r="DX16" s="8">
        <v>40694</v>
      </c>
      <c r="DY16" s="8">
        <v>40724</v>
      </c>
      <c r="DZ16" s="8">
        <v>40755</v>
      </c>
      <c r="EA16" s="8">
        <v>40786</v>
      </c>
      <c r="EB16" s="8">
        <v>40816</v>
      </c>
      <c r="EC16" s="8">
        <v>40847</v>
      </c>
      <c r="ED16" s="8">
        <v>40877</v>
      </c>
      <c r="EE16" s="8">
        <v>40908</v>
      </c>
      <c r="EF16" s="8">
        <v>40939</v>
      </c>
      <c r="EG16" s="8">
        <v>40968</v>
      </c>
      <c r="EH16" s="8">
        <v>40999</v>
      </c>
      <c r="EI16" s="8">
        <v>41029</v>
      </c>
      <c r="EJ16" s="8">
        <v>41060</v>
      </c>
      <c r="EK16" s="8">
        <v>41090</v>
      </c>
      <c r="EL16" s="8">
        <v>41121</v>
      </c>
      <c r="EM16" s="8">
        <v>41152</v>
      </c>
      <c r="EN16" s="8">
        <v>41182</v>
      </c>
      <c r="EO16" s="8">
        <v>41213</v>
      </c>
      <c r="EP16" s="8">
        <v>41243</v>
      </c>
      <c r="EQ16" s="8">
        <v>41274</v>
      </c>
      <c r="ER16" s="8">
        <v>41305</v>
      </c>
      <c r="ES16" s="8">
        <v>41333</v>
      </c>
      <c r="ET16" s="8">
        <v>41364</v>
      </c>
      <c r="EU16" s="8">
        <v>41394</v>
      </c>
      <c r="EV16" s="8">
        <v>41425</v>
      </c>
      <c r="EW16" s="8">
        <v>41455</v>
      </c>
      <c r="EX16" s="8">
        <v>41486</v>
      </c>
      <c r="EY16" s="8">
        <v>41517</v>
      </c>
      <c r="EZ16" s="8">
        <v>41547</v>
      </c>
      <c r="FA16" s="8">
        <v>41578</v>
      </c>
      <c r="FB16" s="8">
        <v>41608</v>
      </c>
      <c r="FC16" s="8">
        <v>41639</v>
      </c>
      <c r="FD16" s="8">
        <v>41670</v>
      </c>
      <c r="FE16" s="8">
        <v>41698</v>
      </c>
      <c r="FF16" s="8">
        <v>41729</v>
      </c>
      <c r="FG16" s="8">
        <v>41759</v>
      </c>
      <c r="FH16" s="8">
        <v>41790</v>
      </c>
      <c r="FI16" s="8">
        <v>41820</v>
      </c>
      <c r="FJ16" s="8">
        <v>41851</v>
      </c>
      <c r="FK16" s="8">
        <v>41882</v>
      </c>
      <c r="FL16" s="8">
        <v>41912</v>
      </c>
      <c r="FM16" s="8">
        <v>41943</v>
      </c>
      <c r="FN16" s="8">
        <v>41973</v>
      </c>
      <c r="FO16" s="8">
        <v>42004</v>
      </c>
      <c r="FP16" s="8">
        <v>42035</v>
      </c>
      <c r="FQ16" s="8">
        <v>42063</v>
      </c>
      <c r="FR16" s="8">
        <v>42094</v>
      </c>
      <c r="FS16" s="8">
        <v>42124</v>
      </c>
      <c r="FT16" s="8">
        <v>42155</v>
      </c>
      <c r="FU16" s="8">
        <v>42185</v>
      </c>
      <c r="FV16" s="8">
        <v>42216</v>
      </c>
      <c r="FW16" s="8">
        <v>42247</v>
      </c>
      <c r="FX16" s="8">
        <v>42277</v>
      </c>
      <c r="FY16" s="8">
        <v>42308</v>
      </c>
      <c r="FZ16" s="8">
        <v>42338</v>
      </c>
      <c r="GA16" s="8">
        <v>42369</v>
      </c>
      <c r="GB16" s="8">
        <v>42400</v>
      </c>
      <c r="GC16" s="8">
        <v>42429</v>
      </c>
      <c r="GD16" s="8">
        <v>42460</v>
      </c>
      <c r="GE16" s="8">
        <v>42490</v>
      </c>
      <c r="GF16" s="8">
        <v>42521</v>
      </c>
      <c r="GG16" s="8">
        <v>42551</v>
      </c>
      <c r="GH16" s="8">
        <v>42582</v>
      </c>
      <c r="GI16" s="8">
        <v>42613</v>
      </c>
      <c r="GJ16" s="8">
        <v>42643</v>
      </c>
      <c r="GK16" s="8">
        <v>42674</v>
      </c>
      <c r="GL16" s="8">
        <v>42704</v>
      </c>
      <c r="GM16" s="8">
        <v>42735</v>
      </c>
      <c r="GN16" s="8">
        <v>42766</v>
      </c>
      <c r="GO16" s="8">
        <v>42794</v>
      </c>
      <c r="GP16" s="8">
        <v>42825</v>
      </c>
      <c r="GQ16" s="8">
        <v>42855</v>
      </c>
      <c r="GR16" s="8">
        <v>42886</v>
      </c>
      <c r="GS16" s="8">
        <v>42916</v>
      </c>
      <c r="GT16" s="8">
        <v>42947</v>
      </c>
      <c r="GU16" s="8">
        <v>42978</v>
      </c>
      <c r="GV16" s="8">
        <v>43008</v>
      </c>
      <c r="GW16" s="8">
        <v>43039</v>
      </c>
      <c r="GX16" s="8">
        <v>43069</v>
      </c>
      <c r="GY16" s="8">
        <v>43100</v>
      </c>
      <c r="GZ16" s="8">
        <v>43131</v>
      </c>
      <c r="HA16" s="8">
        <v>43159</v>
      </c>
      <c r="HB16" s="8">
        <v>43190</v>
      </c>
      <c r="HC16" s="8">
        <v>43220</v>
      </c>
      <c r="HD16" s="8">
        <v>43251</v>
      </c>
      <c r="HE16" s="8">
        <v>43281</v>
      </c>
      <c r="HF16" s="8">
        <v>43312</v>
      </c>
      <c r="HG16" s="8">
        <v>43343</v>
      </c>
      <c r="HH16" s="8">
        <v>43373</v>
      </c>
      <c r="HI16" s="8">
        <v>43404</v>
      </c>
      <c r="HJ16" s="8">
        <v>43434</v>
      </c>
      <c r="HK16" s="8">
        <v>43465</v>
      </c>
      <c r="HL16" s="8">
        <v>43496</v>
      </c>
      <c r="HM16" s="8">
        <v>43524</v>
      </c>
      <c r="HN16" s="8">
        <v>43555</v>
      </c>
      <c r="HO16" s="8">
        <v>43585</v>
      </c>
      <c r="HP16" s="8">
        <v>43616</v>
      </c>
      <c r="HQ16" s="8">
        <v>43646</v>
      </c>
      <c r="HR16" s="8">
        <v>43677</v>
      </c>
      <c r="HS16" s="8">
        <v>43708</v>
      </c>
      <c r="HT16" s="8">
        <v>43738</v>
      </c>
      <c r="HU16" s="8">
        <v>43769</v>
      </c>
      <c r="HV16" s="8">
        <v>43799</v>
      </c>
      <c r="HW16" s="8">
        <v>43830</v>
      </c>
      <c r="HX16" s="8">
        <v>43861</v>
      </c>
      <c r="HY16" s="8">
        <v>43890</v>
      </c>
      <c r="HZ16" s="8">
        <v>43921</v>
      </c>
      <c r="IA16" s="8">
        <v>43951</v>
      </c>
      <c r="IB16" s="8">
        <v>43982</v>
      </c>
      <c r="IC16" s="8">
        <v>44012</v>
      </c>
      <c r="ID16" s="8">
        <v>44043</v>
      </c>
      <c r="IE16" s="8">
        <v>44074</v>
      </c>
      <c r="IF16" s="8">
        <v>44104</v>
      </c>
      <c r="IG16" s="8">
        <v>44135</v>
      </c>
      <c r="IH16" s="8">
        <v>44165</v>
      </c>
      <c r="II16" s="8">
        <v>44196</v>
      </c>
      <c r="IJ16" s="8">
        <v>44227</v>
      </c>
      <c r="IK16" s="8">
        <v>44255</v>
      </c>
      <c r="IL16" s="8">
        <v>44286</v>
      </c>
      <c r="IM16" s="8">
        <v>44316</v>
      </c>
      <c r="IN16" s="8">
        <v>44347</v>
      </c>
      <c r="IO16" s="8">
        <v>44377</v>
      </c>
      <c r="IP16" s="8">
        <v>44408</v>
      </c>
      <c r="IQ16" s="8">
        <v>44439</v>
      </c>
      <c r="IR16" s="8">
        <v>44469</v>
      </c>
      <c r="IS16" s="8">
        <v>44500</v>
      </c>
      <c r="IT16" s="8">
        <v>44530</v>
      </c>
      <c r="IU16" s="8">
        <v>44561</v>
      </c>
      <c r="IV16" s="8">
        <v>44592</v>
      </c>
      <c r="IW16" s="8">
        <v>44620</v>
      </c>
      <c r="IX16" s="8">
        <v>44651</v>
      </c>
      <c r="IY16" s="8">
        <v>44681</v>
      </c>
      <c r="IZ16" s="8">
        <v>44712</v>
      </c>
      <c r="JA16" s="8">
        <v>44742</v>
      </c>
      <c r="JB16" s="8">
        <v>44773</v>
      </c>
      <c r="JC16" s="8">
        <v>44804</v>
      </c>
      <c r="JD16" s="8">
        <v>44834</v>
      </c>
      <c r="JE16" s="8">
        <v>44865</v>
      </c>
      <c r="JF16" s="8">
        <v>44895</v>
      </c>
      <c r="JG16" s="8">
        <v>44926</v>
      </c>
      <c r="JH16" s="8">
        <v>44957</v>
      </c>
      <c r="JI16" s="8">
        <v>44985</v>
      </c>
      <c r="JJ16" s="8">
        <v>45016</v>
      </c>
      <c r="JK16" s="8">
        <v>45046</v>
      </c>
      <c r="JL16" s="8">
        <v>45077</v>
      </c>
      <c r="JM16" s="8">
        <v>45107</v>
      </c>
      <c r="JN16" s="8">
        <v>45138</v>
      </c>
      <c r="JO16" s="8">
        <v>45169</v>
      </c>
      <c r="JP16" s="8">
        <v>45199</v>
      </c>
      <c r="JQ16" s="8">
        <v>45230</v>
      </c>
      <c r="JR16" s="8">
        <v>45260</v>
      </c>
      <c r="JS16" s="8">
        <v>45291</v>
      </c>
      <c r="JT16" s="8">
        <v>45322</v>
      </c>
      <c r="JU16" s="8">
        <v>45351</v>
      </c>
      <c r="JV16" s="8">
        <v>45382</v>
      </c>
      <c r="JW16" s="8">
        <v>45412</v>
      </c>
      <c r="JX16" s="8">
        <v>45443</v>
      </c>
      <c r="JY16" s="8">
        <v>45473</v>
      </c>
      <c r="JZ16" s="8">
        <v>45504</v>
      </c>
      <c r="KA16" s="8">
        <v>45535</v>
      </c>
      <c r="KB16" s="8">
        <v>45565</v>
      </c>
      <c r="KC16" s="8">
        <v>45596</v>
      </c>
      <c r="KD16" s="8">
        <v>45626</v>
      </c>
      <c r="KE16" s="8">
        <v>45657</v>
      </c>
      <c r="KF16" s="8">
        <v>45688</v>
      </c>
      <c r="KG16" s="8">
        <v>45716</v>
      </c>
      <c r="KH16" s="8">
        <v>45747</v>
      </c>
      <c r="KI16" s="8">
        <v>45777</v>
      </c>
      <c r="KJ16" s="8">
        <v>45808</v>
      </c>
      <c r="KK16" s="8">
        <v>45838</v>
      </c>
      <c r="KL16" s="8">
        <v>45869</v>
      </c>
      <c r="KM16" s="8">
        <v>45900</v>
      </c>
      <c r="KN16" s="8">
        <v>45930</v>
      </c>
      <c r="KO16" s="8">
        <v>45961</v>
      </c>
      <c r="KP16" s="8">
        <v>45991</v>
      </c>
      <c r="KQ16" s="8">
        <v>46022</v>
      </c>
      <c r="KR16" s="8">
        <v>46053</v>
      </c>
      <c r="KS16" s="8">
        <v>46081</v>
      </c>
      <c r="KT16" s="8">
        <v>46112</v>
      </c>
      <c r="KU16" s="8">
        <v>46142</v>
      </c>
      <c r="KV16" s="8">
        <v>46173</v>
      </c>
      <c r="KW16" s="8">
        <v>46203</v>
      </c>
      <c r="KX16" s="8">
        <v>46234</v>
      </c>
      <c r="KY16" s="8">
        <v>46265</v>
      </c>
      <c r="KZ16" s="8">
        <v>46295</v>
      </c>
      <c r="LA16" s="8">
        <v>46326</v>
      </c>
      <c r="LB16" s="8">
        <v>46356</v>
      </c>
      <c r="LC16" s="8">
        <v>46387</v>
      </c>
      <c r="LD16" s="8">
        <v>46418</v>
      </c>
      <c r="LE16" s="8">
        <v>46446</v>
      </c>
      <c r="LF16" s="8">
        <v>46477</v>
      </c>
      <c r="LG16" s="8">
        <v>46507</v>
      </c>
      <c r="LH16" s="8">
        <v>46538</v>
      </c>
      <c r="LI16" s="8">
        <v>46568</v>
      </c>
      <c r="LJ16" s="8">
        <v>46599</v>
      </c>
      <c r="LK16" s="8">
        <v>46630</v>
      </c>
      <c r="LL16" s="8">
        <v>46660</v>
      </c>
      <c r="LM16" s="8">
        <v>46691</v>
      </c>
      <c r="LN16" s="8">
        <v>46721</v>
      </c>
      <c r="LO16" s="8">
        <v>46752</v>
      </c>
      <c r="LP16" s="8">
        <v>46783</v>
      </c>
      <c r="LQ16" s="8">
        <v>46812</v>
      </c>
      <c r="LR16" s="8">
        <v>46843</v>
      </c>
      <c r="LS16" s="8">
        <v>46873</v>
      </c>
      <c r="LT16" s="8">
        <v>46904</v>
      </c>
      <c r="LU16" s="8">
        <v>46934</v>
      </c>
      <c r="LV16" s="8">
        <v>46965</v>
      </c>
      <c r="LW16" s="8">
        <v>46996</v>
      </c>
      <c r="LX16" s="8">
        <v>47026</v>
      </c>
      <c r="LY16" s="8">
        <v>47057</v>
      </c>
      <c r="LZ16" s="8">
        <v>47087</v>
      </c>
      <c r="MA16" s="8">
        <v>47118</v>
      </c>
      <c r="MB16" s="8">
        <v>47149</v>
      </c>
      <c r="MC16" s="8">
        <v>47177</v>
      </c>
      <c r="MD16" s="8">
        <v>47208</v>
      </c>
      <c r="ME16" s="8">
        <v>47238</v>
      </c>
      <c r="MF16" s="8">
        <v>47269</v>
      </c>
      <c r="MG16" s="8">
        <v>47299</v>
      </c>
      <c r="MH16" s="8">
        <v>47330</v>
      </c>
      <c r="MI16" s="8">
        <v>47361</v>
      </c>
      <c r="MJ16" s="8">
        <v>47391</v>
      </c>
      <c r="MK16" s="8">
        <v>47422</v>
      </c>
      <c r="ML16" s="8">
        <v>47452</v>
      </c>
      <c r="MM16" s="8">
        <v>47483</v>
      </c>
      <c r="MN16" s="8">
        <v>47514</v>
      </c>
      <c r="MO16" s="8">
        <v>47542</v>
      </c>
      <c r="MP16" s="8">
        <v>47573</v>
      </c>
      <c r="MQ16" s="8">
        <v>47603</v>
      </c>
      <c r="MR16" s="8">
        <v>47634</v>
      </c>
      <c r="MS16" s="8">
        <v>47664</v>
      </c>
      <c r="MT16" s="8">
        <v>47695</v>
      </c>
      <c r="MU16" s="8">
        <v>47726</v>
      </c>
      <c r="MV16" s="8">
        <v>47756</v>
      </c>
      <c r="MW16" s="8">
        <v>47787</v>
      </c>
      <c r="MX16" s="8">
        <v>47817</v>
      </c>
      <c r="MY16" s="8">
        <v>47848</v>
      </c>
      <c r="MZ16" s="8">
        <v>47879</v>
      </c>
      <c r="NA16" s="8">
        <v>47907</v>
      </c>
      <c r="NB16" s="8">
        <v>47938</v>
      </c>
      <c r="NC16" s="8">
        <v>47968</v>
      </c>
      <c r="ND16" s="8">
        <v>47999</v>
      </c>
      <c r="NE16" s="8">
        <v>48029</v>
      </c>
      <c r="NF16" s="8">
        <v>48060</v>
      </c>
      <c r="NG16" s="8">
        <v>48091</v>
      </c>
      <c r="NH16" s="8">
        <v>48121</v>
      </c>
      <c r="NI16" s="8">
        <v>48152</v>
      </c>
      <c r="NJ16" s="8">
        <v>48182</v>
      </c>
      <c r="NK16" s="8">
        <v>48213</v>
      </c>
      <c r="NL16" s="8">
        <v>48244</v>
      </c>
      <c r="NM16" s="8">
        <v>48273</v>
      </c>
      <c r="NN16" s="8">
        <v>48304</v>
      </c>
      <c r="NO16" s="8">
        <v>48334</v>
      </c>
      <c r="NP16" s="8">
        <v>48365</v>
      </c>
      <c r="NQ16" s="8">
        <v>48395</v>
      </c>
      <c r="NR16" s="8">
        <v>48426</v>
      </c>
      <c r="NS16" s="8">
        <v>48457</v>
      </c>
      <c r="NT16" s="8">
        <v>48487</v>
      </c>
      <c r="NU16" s="8">
        <v>48518</v>
      </c>
      <c r="NV16" s="8">
        <v>48548</v>
      </c>
      <c r="NW16" s="8">
        <v>48579</v>
      </c>
      <c r="NX16" s="8">
        <v>48610</v>
      </c>
      <c r="NY16" s="8">
        <v>48638</v>
      </c>
      <c r="NZ16" s="8">
        <v>48669</v>
      </c>
      <c r="OA16" s="8">
        <v>48699</v>
      </c>
      <c r="OB16" s="8">
        <v>48730</v>
      </c>
      <c r="OC16" s="8">
        <v>48760</v>
      </c>
      <c r="OD16" s="8">
        <v>48791</v>
      </c>
      <c r="OE16" s="8">
        <v>48822</v>
      </c>
      <c r="OF16" s="8">
        <v>48852</v>
      </c>
      <c r="OG16" s="8">
        <v>48883</v>
      </c>
      <c r="OH16" s="8">
        <v>48913</v>
      </c>
      <c r="OI16" s="8">
        <v>48944</v>
      </c>
    </row>
    <row r="17" spans="1:399" s="2" customFormat="1" x14ac:dyDescent="0.2">
      <c r="A17" s="2" t="s">
        <v>341</v>
      </c>
      <c r="C17" s="16"/>
      <c r="D17" s="16">
        <v>1</v>
      </c>
      <c r="E17" s="16">
        <v>1</v>
      </c>
      <c r="F17" s="16">
        <v>1</v>
      </c>
      <c r="G17" s="16">
        <v>1</v>
      </c>
      <c r="H17" s="16">
        <v>1</v>
      </c>
      <c r="I17" s="16">
        <v>1</v>
      </c>
      <c r="J17" s="16">
        <v>1</v>
      </c>
      <c r="K17" s="16">
        <v>1</v>
      </c>
      <c r="L17" s="16">
        <v>1</v>
      </c>
      <c r="M17" s="16">
        <v>1</v>
      </c>
      <c r="N17" s="16">
        <v>1</v>
      </c>
      <c r="O17" s="16">
        <v>1</v>
      </c>
      <c r="P17" s="16">
        <v>2.39885555555556</v>
      </c>
      <c r="Q17" s="16">
        <v>2.39885555555556</v>
      </c>
      <c r="R17" s="16">
        <v>2.3994444444444398</v>
      </c>
      <c r="S17" s="16">
        <v>2.855</v>
      </c>
      <c r="T17" s="16">
        <v>3.3295454545454501</v>
      </c>
      <c r="U17" s="16">
        <v>3.6221052631578901</v>
      </c>
      <c r="V17" s="16">
        <v>3.6081818181818202</v>
      </c>
      <c r="W17" s="16">
        <v>3.6214285714285701</v>
      </c>
      <c r="X17" s="16">
        <v>3.64333333333333</v>
      </c>
      <c r="Y17" s="16">
        <v>3.6518181818181801</v>
      </c>
      <c r="Z17" s="16">
        <v>3.5255000000000001</v>
      </c>
      <c r="AA17" s="16">
        <v>3.4909523809523799</v>
      </c>
      <c r="AB17" s="16">
        <v>3.2568181818181801</v>
      </c>
      <c r="AC17" s="16">
        <v>3.1625000000000001</v>
      </c>
      <c r="AD17" s="16">
        <v>3.0750000000000002</v>
      </c>
      <c r="AE17" s="16">
        <v>2.895</v>
      </c>
      <c r="AF17" s="16">
        <v>2.8357142857142899</v>
      </c>
      <c r="AG17" s="16">
        <v>2.8094999999999999</v>
      </c>
      <c r="AH17" s="16">
        <v>2.8022727272727299</v>
      </c>
      <c r="AI17" s="16">
        <v>2.9285000000000001</v>
      </c>
      <c r="AJ17" s="16">
        <v>2.9213636363636399</v>
      </c>
      <c r="AK17" s="16">
        <v>2.8586363636363599</v>
      </c>
      <c r="AL17" s="16">
        <v>2.8847368421052599</v>
      </c>
      <c r="AM17" s="16">
        <v>2.9604761904761898</v>
      </c>
      <c r="AN17" s="16">
        <v>2.89333333333333</v>
      </c>
      <c r="AO17" s="16">
        <v>2.9315000000000002</v>
      </c>
      <c r="AP17" s="16">
        <v>2.89782608695652</v>
      </c>
      <c r="AQ17" s="16">
        <v>2.8357894736842102</v>
      </c>
      <c r="AR17" s="16">
        <v>2.9184999999999999</v>
      </c>
      <c r="AS17" s="16">
        <v>2.9595238095238101</v>
      </c>
      <c r="AT17" s="16">
        <v>2.9552380952381001</v>
      </c>
      <c r="AU17" s="16">
        <v>3.0138095238095199</v>
      </c>
      <c r="AV17" s="16">
        <v>2.9945454545454502</v>
      </c>
      <c r="AW17" s="16">
        <v>2.9695</v>
      </c>
      <c r="AX17" s="16">
        <v>2.9545454545454501</v>
      </c>
      <c r="AY17" s="16">
        <v>2.9709090909090898</v>
      </c>
      <c r="AZ17" s="16">
        <v>2.9471428571428602</v>
      </c>
      <c r="BA17" s="16">
        <v>2.9165000000000001</v>
      </c>
      <c r="BB17" s="16">
        <v>2.9266666666666699</v>
      </c>
      <c r="BC17" s="16">
        <v>2.8995238095238101</v>
      </c>
      <c r="BD17" s="16">
        <v>2.8928571428571401</v>
      </c>
      <c r="BE17" s="16">
        <v>2.8833333333333302</v>
      </c>
      <c r="BF17" s="16">
        <v>2.8685714285714301</v>
      </c>
      <c r="BG17" s="16">
        <v>2.88818181818182</v>
      </c>
      <c r="BH17" s="16">
        <v>2.9113636363636299</v>
      </c>
      <c r="BI17" s="16">
        <v>2.9670000000000001</v>
      </c>
      <c r="BJ17" s="16">
        <v>2.96681818181818</v>
      </c>
      <c r="BK17" s="16">
        <v>3.0150000000000001</v>
      </c>
      <c r="BL17" s="16">
        <v>3.04590909090909</v>
      </c>
      <c r="BM17" s="16">
        <v>3.0695000000000001</v>
      </c>
      <c r="BN17" s="16">
        <v>3.0763636363636402</v>
      </c>
      <c r="BO17" s="16">
        <v>3.0661111111111099</v>
      </c>
      <c r="BP17" s="16">
        <v>3.0542857142857098</v>
      </c>
      <c r="BQ17" s="16">
        <v>3.0814285714285701</v>
      </c>
      <c r="BR17" s="16">
        <v>3.0819047619047599</v>
      </c>
      <c r="BS17" s="16">
        <v>3.0795454545454501</v>
      </c>
      <c r="BT17" s="16">
        <v>3.1</v>
      </c>
      <c r="BU17" s="16">
        <v>3.0990476190476199</v>
      </c>
      <c r="BV17" s="16">
        <v>3.0761904761904799</v>
      </c>
      <c r="BW17" s="16">
        <v>3.0615789473684201</v>
      </c>
      <c r="BX17" s="16">
        <v>3.0854545454545499</v>
      </c>
      <c r="BY17" s="16">
        <v>3.1004999999999998</v>
      </c>
      <c r="BZ17" s="16">
        <v>3.1009090909090902</v>
      </c>
      <c r="CA17" s="16">
        <v>3.0894444444444402</v>
      </c>
      <c r="CB17" s="16">
        <v>3.0795238095238102</v>
      </c>
      <c r="CC17" s="16">
        <v>3.0785</v>
      </c>
      <c r="CD17" s="16">
        <v>3.11095238095238</v>
      </c>
      <c r="CE17" s="16">
        <v>3.15227272727273</v>
      </c>
      <c r="CF17" s="16">
        <v>3.1475</v>
      </c>
      <c r="CG17" s="16">
        <v>3.1604545454545501</v>
      </c>
      <c r="CH17" s="16">
        <v>3.1352380952380901</v>
      </c>
      <c r="CI17" s="16">
        <v>3.1388888888888902</v>
      </c>
      <c r="CJ17" s="16">
        <v>3.145</v>
      </c>
      <c r="CK17" s="16">
        <v>3.15761904761905</v>
      </c>
      <c r="CL17" s="16">
        <v>3.1555555555555599</v>
      </c>
      <c r="CM17" s="16">
        <v>3.1657142857142899</v>
      </c>
      <c r="CN17" s="16">
        <v>3.1509523809523801</v>
      </c>
      <c r="CO17" s="16">
        <v>3.0419999999999998</v>
      </c>
      <c r="CP17" s="16">
        <v>3.0227272727272698</v>
      </c>
      <c r="CQ17" s="16">
        <v>3.0339999999999998</v>
      </c>
      <c r="CR17" s="16">
        <v>3.0822727272727302</v>
      </c>
      <c r="CS17" s="16">
        <v>3.2390909090909101</v>
      </c>
      <c r="CT17" s="16">
        <v>3.33</v>
      </c>
      <c r="CU17" s="16">
        <v>3.4228571428571399</v>
      </c>
      <c r="CV17" s="16">
        <v>3.4638095238095201</v>
      </c>
      <c r="CW17" s="16">
        <v>3.5125000000000002</v>
      </c>
      <c r="CX17" s="16">
        <v>3.6538095238095201</v>
      </c>
      <c r="CY17" s="16">
        <v>3.6936842105263201</v>
      </c>
      <c r="CZ17" s="16">
        <v>3.7247368421052598</v>
      </c>
      <c r="DA17" s="16">
        <v>3.7690476190476199</v>
      </c>
      <c r="DB17" s="16">
        <v>3.8104761904761899</v>
      </c>
      <c r="DC17" s="16">
        <v>3.839</v>
      </c>
      <c r="DD17" s="16">
        <v>3.8427272727272701</v>
      </c>
      <c r="DE17" s="16">
        <v>3.82523809523809</v>
      </c>
      <c r="DF17" s="16">
        <v>3.8115000000000001</v>
      </c>
      <c r="DG17" s="16">
        <v>3.8076190476190499</v>
      </c>
      <c r="DH17" s="16">
        <v>3.8050000000000002</v>
      </c>
      <c r="DI17" s="16">
        <v>3.851</v>
      </c>
      <c r="DJ17" s="16">
        <v>3.86227272727273</v>
      </c>
      <c r="DK17" s="16">
        <v>3.8759999999999999</v>
      </c>
      <c r="DL17" s="16">
        <v>3.9036842105263099</v>
      </c>
      <c r="DM17" s="16">
        <v>3.9271428571428602</v>
      </c>
      <c r="DN17" s="16">
        <v>3.9342857142857102</v>
      </c>
      <c r="DO17" s="16">
        <v>3.9361904761904798</v>
      </c>
      <c r="DP17" s="16">
        <v>3.95272727272727</v>
      </c>
      <c r="DQ17" s="16">
        <v>3.95842105263158</v>
      </c>
      <c r="DR17" s="16">
        <v>3.9671428571428602</v>
      </c>
      <c r="DS17" s="16">
        <v>3.9780000000000002</v>
      </c>
      <c r="DT17" s="16">
        <v>3.9809523809523801</v>
      </c>
      <c r="DU17" s="16">
        <v>4.0214999999999996</v>
      </c>
      <c r="DV17" s="16">
        <v>4.03684210526316</v>
      </c>
      <c r="DW17" s="16">
        <v>4.0647368421052601</v>
      </c>
      <c r="DX17" s="16">
        <v>4.0847619047619101</v>
      </c>
      <c r="DY17" s="16">
        <v>4.0947619047619002</v>
      </c>
      <c r="DZ17" s="16">
        <v>4.1276190476190502</v>
      </c>
      <c r="EA17" s="16">
        <v>4.1690909090909098</v>
      </c>
      <c r="EB17" s="16">
        <v>4.2027272727272704</v>
      </c>
      <c r="EC17" s="16">
        <v>4.2220000000000004</v>
      </c>
      <c r="ED17" s="16">
        <v>4.26</v>
      </c>
      <c r="EE17" s="16">
        <v>4.2878947368421096</v>
      </c>
      <c r="EF17" s="16">
        <v>4.32095238095238</v>
      </c>
      <c r="EG17" s="16">
        <v>4.3472222222222197</v>
      </c>
      <c r="EH17" s="16">
        <v>4.3568181818181797</v>
      </c>
      <c r="EI17" s="16">
        <v>4.3970588235294104</v>
      </c>
      <c r="EJ17" s="16">
        <v>4.45</v>
      </c>
      <c r="EK17" s="16">
        <v>4.4989999999999997</v>
      </c>
      <c r="EL17" s="16">
        <v>4.5528571428571398</v>
      </c>
      <c r="EM17" s="16">
        <v>4.6100000000000003</v>
      </c>
      <c r="EN17" s="16">
        <v>4.6684210526315804</v>
      </c>
      <c r="EO17" s="16">
        <v>4.7295454545454501</v>
      </c>
      <c r="EP17" s="16">
        <v>4.7969999999999997</v>
      </c>
      <c r="EQ17" s="16">
        <v>4.8789473684210503</v>
      </c>
      <c r="ER17" s="16">
        <v>4.9490476190476196</v>
      </c>
      <c r="ES17" s="16">
        <v>5.0105882352941196</v>
      </c>
      <c r="ET17" s="16">
        <v>5.0847368421052597</v>
      </c>
      <c r="EU17" s="16">
        <v>5.1559999999999997</v>
      </c>
      <c r="EV17" s="16">
        <v>5.24</v>
      </c>
      <c r="EW17" s="16">
        <v>5.3311111111111096</v>
      </c>
      <c r="EX17" s="16">
        <v>5.4404545454545401</v>
      </c>
      <c r="EY17" s="16">
        <v>5.5814285714285701</v>
      </c>
      <c r="EZ17" s="16">
        <v>5.7361904761904796</v>
      </c>
      <c r="FA17" s="16">
        <v>5.8472727272727303</v>
      </c>
      <c r="FB17" s="16">
        <v>6.0142105263157903</v>
      </c>
      <c r="FC17" s="16">
        <v>6.3194736842105304</v>
      </c>
      <c r="FD17" s="16">
        <v>7.09772727272727</v>
      </c>
      <c r="FE17" s="16">
        <v>7.8559999999999999</v>
      </c>
      <c r="FF17" s="16">
        <v>7.9316666666666702</v>
      </c>
      <c r="FG17" s="16">
        <v>8</v>
      </c>
      <c r="FH17" s="16">
        <v>8.0425000000000004</v>
      </c>
      <c r="FI17" s="16">
        <v>8.1244999999999994</v>
      </c>
      <c r="FJ17" s="16">
        <v>8.16</v>
      </c>
      <c r="FK17" s="16">
        <v>8.3155000000000001</v>
      </c>
      <c r="FL17" s="16">
        <v>8.4181818181818198</v>
      </c>
      <c r="FM17" s="16">
        <v>8.4804545454545508</v>
      </c>
      <c r="FN17" s="16">
        <v>8.5138888888888893</v>
      </c>
      <c r="FO17" s="16">
        <v>8.5478947368421103</v>
      </c>
      <c r="FP17" s="16">
        <v>8.6023809523809494</v>
      </c>
      <c r="FQ17" s="16">
        <v>8.6855555555555597</v>
      </c>
      <c r="FR17" s="16">
        <v>8.7789999999999999</v>
      </c>
      <c r="FS17" s="16">
        <v>8.8655000000000008</v>
      </c>
      <c r="FT17" s="16">
        <v>8.9484210526315806</v>
      </c>
      <c r="FU17" s="16">
        <v>9.0422727272727297</v>
      </c>
      <c r="FV17" s="16">
        <v>9.1422727272727293</v>
      </c>
      <c r="FW17" s="16">
        <v>9.2434999999999992</v>
      </c>
      <c r="FX17" s="16">
        <v>9.3650000000000002</v>
      </c>
      <c r="FY17" s="16">
        <v>9.49</v>
      </c>
      <c r="FZ17" s="16">
        <v>9.6268421052631599</v>
      </c>
      <c r="GA17" s="16">
        <v>11.429500000000001</v>
      </c>
      <c r="GB17" s="16">
        <v>13.6555</v>
      </c>
      <c r="GC17" s="16">
        <v>14.814210526315801</v>
      </c>
      <c r="GD17" s="16">
        <v>14.962380952381</v>
      </c>
      <c r="GE17" s="16">
        <v>14.409523809523799</v>
      </c>
      <c r="GF17" s="16">
        <v>14.1366666666667</v>
      </c>
      <c r="GG17" s="16">
        <v>14.141</v>
      </c>
      <c r="GH17" s="16">
        <v>14.91</v>
      </c>
      <c r="GI17" s="16">
        <v>14.849545454545501</v>
      </c>
      <c r="GJ17" s="16">
        <v>15.101818181818199</v>
      </c>
      <c r="GK17" s="16">
        <v>15.180999999999999</v>
      </c>
      <c r="GL17" s="16">
        <v>15.34</v>
      </c>
      <c r="GM17" s="16">
        <v>15.829000000000001</v>
      </c>
      <c r="GN17" s="16">
        <v>15.906363636363601</v>
      </c>
      <c r="GO17" s="16">
        <v>15.5994444444444</v>
      </c>
      <c r="GP17" s="16">
        <v>15.525</v>
      </c>
      <c r="GQ17" s="16">
        <v>15.359444444444399</v>
      </c>
      <c r="GR17" s="16">
        <v>15.6985714285714</v>
      </c>
      <c r="GS17" s="16">
        <v>16.117142857142898</v>
      </c>
      <c r="GT17" s="16">
        <v>17.168571428571401</v>
      </c>
      <c r="GU17" s="16">
        <v>17.4159090909091</v>
      </c>
      <c r="GV17" s="16">
        <v>17.247619047619001</v>
      </c>
      <c r="GW17" s="16">
        <v>17.452857142857098</v>
      </c>
      <c r="GX17" s="16">
        <v>17.492000000000001</v>
      </c>
      <c r="GY17" s="16">
        <v>17.700526315789499</v>
      </c>
      <c r="GZ17" s="16">
        <v>19.029545454545499</v>
      </c>
      <c r="HA17" s="16">
        <v>19.841666666666701</v>
      </c>
      <c r="HB17" s="16">
        <v>20.236999999999998</v>
      </c>
      <c r="HC17" s="16">
        <v>20.2352631578947</v>
      </c>
      <c r="HD17" s="16">
        <v>23.67</v>
      </c>
      <c r="HE17" s="16">
        <v>26.533999999999999</v>
      </c>
      <c r="HF17" s="16">
        <v>27.6252380952381</v>
      </c>
      <c r="HG17" s="16">
        <v>30.125</v>
      </c>
      <c r="HH17" s="16">
        <v>38.590499999999999</v>
      </c>
      <c r="HI17" s="16">
        <v>37.1204545454545</v>
      </c>
      <c r="HJ17" s="16">
        <v>36.460526315789501</v>
      </c>
      <c r="HK17" s="16">
        <v>37.885555555555598</v>
      </c>
      <c r="HL17" s="16">
        <v>37.4077272727273</v>
      </c>
      <c r="HM17" s="16">
        <v>38.409999999999997</v>
      </c>
      <c r="HN17" s="16">
        <v>41.363157894736801</v>
      </c>
      <c r="HO17" s="16">
        <v>43.232631578947398</v>
      </c>
      <c r="HP17" s="16">
        <v>44.934090909090898</v>
      </c>
      <c r="HQ17" s="16">
        <v>43.79</v>
      </c>
      <c r="HR17" s="16">
        <v>42.545238095238098</v>
      </c>
      <c r="HS17" s="16">
        <v>52.727619047619001</v>
      </c>
      <c r="HT17" s="16">
        <v>56.501904761904797</v>
      </c>
      <c r="HU17" s="16">
        <v>58.530454545454603</v>
      </c>
      <c r="HV17" s="16">
        <v>59.738421052631601</v>
      </c>
      <c r="HW17" s="16">
        <v>59.883157894736897</v>
      </c>
      <c r="HX17" s="16">
        <v>60.011363636363598</v>
      </c>
      <c r="HY17" s="16">
        <v>61.3477777777778</v>
      </c>
      <c r="HZ17" s="16">
        <v>63.123684210526299</v>
      </c>
      <c r="IA17" s="16">
        <v>65.764499999999998</v>
      </c>
      <c r="IB17" s="16">
        <v>67.730526315789504</v>
      </c>
      <c r="IC17" s="16">
        <v>69.545714285714297</v>
      </c>
      <c r="ID17" s="16">
        <v>71.479523809523798</v>
      </c>
      <c r="IE17" s="16">
        <v>73.298000000000002</v>
      </c>
      <c r="IF17" s="16">
        <v>75.203636363636306</v>
      </c>
      <c r="IG17" s="16">
        <v>77.570476190476199</v>
      </c>
      <c r="IH17" s="16">
        <v>79.933684210526295</v>
      </c>
      <c r="II17" s="16">
        <v>82.640555555555594</v>
      </c>
      <c r="IJ17" s="16">
        <v>85.972499999999997</v>
      </c>
      <c r="IK17" s="16">
        <v>88.677777777777706</v>
      </c>
      <c r="IL17" s="16">
        <v>91.068636363636401</v>
      </c>
      <c r="IM17" s="16">
        <v>92.867500000000007</v>
      </c>
      <c r="IN17" s="16">
        <v>94.109473684210599</v>
      </c>
      <c r="IO17" s="16">
        <v>95.257142857142895</v>
      </c>
      <c r="IP17" s="16">
        <v>96.2414285714286</v>
      </c>
      <c r="IQ17" s="16">
        <v>97.215238095238107</v>
      </c>
      <c r="IR17" s="16">
        <v>98.285909090909101</v>
      </c>
      <c r="IS17" s="16">
        <v>99.251052631578901</v>
      </c>
      <c r="IT17" s="16">
        <v>100.310952380952</v>
      </c>
      <c r="IU17" s="16">
        <v>101.89</v>
      </c>
      <c r="IV17" s="16">
        <v>103.984761904762</v>
      </c>
      <c r="IW17" s="16">
        <v>106.309473684211</v>
      </c>
      <c r="IX17" s="16">
        <v>109.459523809524</v>
      </c>
      <c r="IY17" s="16">
        <v>113.335263157895</v>
      </c>
      <c r="IZ17" s="16">
        <v>117.77549999999999</v>
      </c>
      <c r="JA17" s="16">
        <v>122.7385</v>
      </c>
      <c r="JB17" s="16">
        <v>128.44523809523801</v>
      </c>
      <c r="JC17" s="16">
        <v>135.290909090909</v>
      </c>
      <c r="JD17" s="16">
        <v>143.62714285714301</v>
      </c>
      <c r="JE17" s="16">
        <v>152.594210526316</v>
      </c>
      <c r="JF17" s="16">
        <v>162.12</v>
      </c>
      <c r="JG17" s="16">
        <v>172.9</v>
      </c>
      <c r="JH17" s="16">
        <v>182.244545454545</v>
      </c>
      <c r="JI17" s="16">
        <v>191.89222222222199</v>
      </c>
      <c r="JJ17" s="16">
        <v>203.10636363636399</v>
      </c>
      <c r="JK17" s="16">
        <v>216.557777777778</v>
      </c>
      <c r="JL17" s="16">
        <v>231.19149999999999</v>
      </c>
      <c r="JM17" s="16">
        <v>248.762</v>
      </c>
      <c r="JN17" s="16">
        <v>266.46523809523802</v>
      </c>
      <c r="JO17" s="16">
        <v>322.13590909090902</v>
      </c>
      <c r="JP17" s="16">
        <v>349.99952380952402</v>
      </c>
      <c r="JQ17" s="16">
        <v>350.02449999999999</v>
      </c>
      <c r="JR17" s="16">
        <v>353.84399999999999</v>
      </c>
      <c r="JS17" s="16">
        <v>641.997894736842</v>
      </c>
      <c r="JT17" s="351">
        <v>818.34550000000002</v>
      </c>
      <c r="JU17" s="351">
        <v>834.91399999999999</v>
      </c>
      <c r="JV17" s="351">
        <v>850.33770000000004</v>
      </c>
      <c r="JW17" s="351">
        <v>868.95830000000001</v>
      </c>
      <c r="JX17" s="351">
        <v>886.86360000000002</v>
      </c>
      <c r="JY17" s="351">
        <v>903.77940000000001</v>
      </c>
      <c r="JZ17" s="351">
        <v>923.76520000000005</v>
      </c>
      <c r="KA17" s="351">
        <v>942.92039999999997</v>
      </c>
      <c r="KB17" s="351">
        <v>961.82539999999995</v>
      </c>
      <c r="KC17" s="351">
        <v>981.56820000000005</v>
      </c>
      <c r="KD17" s="351">
        <v>1001.8377</v>
      </c>
      <c r="KE17" s="351">
        <v>1020.7061</v>
      </c>
      <c r="KF17" s="351">
        <v>1043.5644</v>
      </c>
      <c r="KG17" s="351">
        <v>1058.4625000000001</v>
      </c>
      <c r="KH17" s="351">
        <v>1069.0346999999999</v>
      </c>
      <c r="KI17" s="351">
        <v>1121.568</v>
      </c>
      <c r="KJ17" s="351">
        <v>1147.5291999999999</v>
      </c>
      <c r="KK17" s="2">
        <v>1181.3552999999999</v>
      </c>
      <c r="KL17" s="2">
        <v>1267.0227</v>
      </c>
      <c r="KM17" s="2">
        <v>1329.5374999999999</v>
      </c>
      <c r="KN17" s="2">
        <v>1399.8977</v>
      </c>
      <c r="KO17" s="2">
        <v>1432.0227</v>
      </c>
      <c r="KP17" s="2">
        <v>1427.6176</v>
      </c>
      <c r="KQ17" s="2">
        <v>1447.8377</v>
      </c>
      <c r="KR17" s="420"/>
      <c r="KS17" s="420"/>
      <c r="KT17" s="420"/>
      <c r="KU17" s="420"/>
      <c r="KV17" s="420"/>
      <c r="KW17" s="420"/>
      <c r="KX17" s="420"/>
      <c r="KY17" s="420"/>
      <c r="KZ17" s="420"/>
      <c r="LA17" s="420"/>
      <c r="LB17" s="420"/>
      <c r="LC17" s="420"/>
      <c r="LD17" s="420"/>
      <c r="LE17" s="420"/>
      <c r="LF17" s="420"/>
      <c r="LG17" s="420"/>
      <c r="LH17" s="420"/>
      <c r="LI17" s="420"/>
      <c r="LJ17" s="420"/>
      <c r="LK17" s="420"/>
      <c r="LL17" s="420"/>
      <c r="LM17" s="420"/>
      <c r="LN17" s="420"/>
      <c r="LO17" s="420"/>
      <c r="LP17" s="420"/>
      <c r="LQ17" s="420"/>
      <c r="LR17" s="420"/>
      <c r="LS17" s="420"/>
      <c r="LT17" s="420"/>
      <c r="LU17" s="420"/>
      <c r="LV17" s="420"/>
      <c r="LW17" s="420"/>
      <c r="LX17" s="420"/>
      <c r="LY17" s="420"/>
      <c r="LZ17" s="420"/>
      <c r="MA17" s="420"/>
      <c r="MB17" s="420"/>
      <c r="MC17" s="420"/>
      <c r="MD17" s="420"/>
      <c r="ME17" s="420"/>
      <c r="MF17" s="420"/>
      <c r="MG17" s="420"/>
      <c r="MH17" s="420"/>
      <c r="MI17" s="420"/>
      <c r="MJ17" s="420"/>
      <c r="MK17" s="420"/>
      <c r="ML17" s="420"/>
      <c r="MM17" s="420"/>
      <c r="MN17" s="420"/>
      <c r="MO17" s="420"/>
      <c r="MP17" s="420"/>
      <c r="MQ17" s="420"/>
      <c r="MR17" s="420"/>
      <c r="MS17" s="420"/>
      <c r="MT17" s="420"/>
      <c r="MU17" s="420"/>
      <c r="MV17" s="420"/>
      <c r="MW17" s="420"/>
      <c r="MX17" s="420"/>
      <c r="MY17" s="420"/>
      <c r="MZ17" s="420"/>
      <c r="NA17" s="420"/>
      <c r="NB17" s="420"/>
      <c r="NC17" s="420"/>
      <c r="ND17" s="420"/>
      <c r="NE17" s="420"/>
      <c r="NF17" s="420"/>
      <c r="NG17" s="420"/>
      <c r="NH17" s="420"/>
      <c r="NI17" s="420"/>
      <c r="NJ17" s="420"/>
      <c r="NK17" s="420"/>
      <c r="NL17" s="420"/>
      <c r="NM17" s="420"/>
      <c r="NN17" s="420"/>
      <c r="NO17" s="420"/>
      <c r="NP17" s="420"/>
      <c r="NQ17" s="420"/>
      <c r="NR17" s="420"/>
      <c r="NS17" s="420"/>
      <c r="NT17" s="420"/>
      <c r="NU17" s="420"/>
      <c r="NV17" s="420"/>
      <c r="NW17" s="420"/>
      <c r="NX17" s="420"/>
      <c r="NY17" s="420"/>
      <c r="NZ17" s="420"/>
      <c r="OA17" s="420"/>
      <c r="OB17" s="420"/>
      <c r="OC17" s="420"/>
      <c r="OD17" s="420"/>
      <c r="OE17" s="420"/>
      <c r="OF17" s="420"/>
      <c r="OG17" s="420"/>
      <c r="OH17" s="420"/>
      <c r="OI17" s="420"/>
    </row>
    <row r="18" spans="1:399" x14ac:dyDescent="0.2">
      <c r="D18" s="2"/>
      <c r="E18" s="2"/>
      <c r="F18" s="2"/>
      <c r="G18" s="2"/>
      <c r="H18" s="2"/>
      <c r="I18" s="2"/>
      <c r="J18" s="2"/>
      <c r="K18" s="2"/>
      <c r="L18" s="2"/>
      <c r="M18" s="2"/>
      <c r="N18" s="2"/>
      <c r="O18" s="2"/>
      <c r="AE18" s="2"/>
      <c r="AF18" s="2"/>
      <c r="AG18" s="2"/>
      <c r="AH18" s="2"/>
      <c r="AI18" s="2"/>
      <c r="AJ18" s="2"/>
      <c r="AK18" s="2"/>
      <c r="AL18" s="2"/>
      <c r="AM18" s="2"/>
      <c r="BX18" s="19"/>
      <c r="BY18" s="19"/>
      <c r="BZ18" s="19"/>
      <c r="CA18" s="19"/>
      <c r="CB18" s="19"/>
      <c r="CC18" s="19"/>
      <c r="CD18" s="19"/>
      <c r="CE18" s="19"/>
      <c r="CF18" s="19"/>
      <c r="CG18" s="19"/>
      <c r="CH18" s="19"/>
      <c r="CI18" s="19"/>
      <c r="CJ18" s="20"/>
      <c r="CK18" s="20"/>
      <c r="CL18" s="20"/>
      <c r="CM18" s="20"/>
      <c r="CN18" s="20"/>
      <c r="CO18" s="20"/>
      <c r="CP18" s="20"/>
      <c r="CQ18" s="20"/>
      <c r="CR18" s="20"/>
      <c r="CS18" s="20"/>
      <c r="CT18" s="20"/>
      <c r="CU18" s="20"/>
      <c r="CV18" s="20"/>
      <c r="CW18" s="20"/>
      <c r="CX18" s="20"/>
      <c r="CY18" s="20"/>
      <c r="CZ18" s="20"/>
      <c r="DA18" s="20"/>
      <c r="DB18" s="20"/>
      <c r="DC18" s="20"/>
      <c r="DD18" s="20"/>
      <c r="DE18" s="20"/>
      <c r="DF18" s="20"/>
      <c r="DG18" s="20"/>
      <c r="DH18" s="20"/>
      <c r="DI18" s="20"/>
      <c r="DJ18" s="20"/>
      <c r="DK18" s="20"/>
      <c r="DL18" s="20"/>
      <c r="DM18" s="20"/>
      <c r="DN18" s="20"/>
      <c r="DO18" s="20"/>
      <c r="DP18" s="20"/>
      <c r="DQ18" s="20"/>
      <c r="DR18" s="20"/>
      <c r="DS18" s="20"/>
      <c r="DT18" s="20"/>
      <c r="DU18" s="20"/>
      <c r="DV18" s="20"/>
      <c r="DW18" s="20"/>
      <c r="DX18" s="20"/>
      <c r="DY18" s="20"/>
      <c r="DZ18" s="20"/>
      <c r="EA18" s="20"/>
      <c r="EB18" s="20"/>
      <c r="EC18" s="20"/>
      <c r="ED18" s="20"/>
      <c r="EE18" s="20"/>
      <c r="EF18" s="20"/>
      <c r="EG18" s="20"/>
      <c r="EH18" s="20"/>
      <c r="EI18" s="20"/>
      <c r="EJ18" s="20"/>
      <c r="EK18" s="20"/>
      <c r="EL18" s="20"/>
      <c r="EM18" s="20"/>
      <c r="EN18" s="20"/>
      <c r="EO18" s="20"/>
      <c r="EP18" s="20"/>
      <c r="EQ18" s="20"/>
      <c r="ER18" s="20"/>
      <c r="ES18" s="20"/>
      <c r="ET18" s="20"/>
      <c r="EU18" s="20"/>
      <c r="EV18" s="20"/>
      <c r="EW18" s="20"/>
      <c r="EX18" s="20"/>
      <c r="EY18" s="20"/>
      <c r="EZ18" s="20"/>
      <c r="FA18" s="20"/>
      <c r="FB18" s="20"/>
      <c r="FC18" s="20"/>
      <c r="FD18" s="20"/>
      <c r="FE18" s="20"/>
      <c r="FF18" s="20"/>
      <c r="FG18" s="20"/>
      <c r="FH18" s="20"/>
      <c r="FI18" s="20"/>
      <c r="FJ18" s="20"/>
      <c r="FK18" s="20"/>
      <c r="FL18" s="20"/>
      <c r="FM18" s="20"/>
      <c r="FN18" s="20"/>
      <c r="FO18" s="20"/>
      <c r="FP18" s="20"/>
      <c r="FQ18" s="20"/>
      <c r="FR18" s="20"/>
      <c r="FS18" s="20"/>
      <c r="FT18" s="20"/>
      <c r="FU18" s="20"/>
      <c r="FV18" s="20"/>
      <c r="FW18" s="20"/>
      <c r="FX18" s="20"/>
      <c r="FY18" s="20"/>
      <c r="FZ18" s="20"/>
      <c r="GA18" s="20"/>
      <c r="GB18" s="20"/>
      <c r="GC18" s="20"/>
      <c r="GD18" s="20"/>
      <c r="GE18" s="20"/>
      <c r="GF18" s="20"/>
      <c r="GG18" s="20"/>
      <c r="GH18" s="20"/>
      <c r="GI18" s="20"/>
      <c r="GJ18" s="20"/>
      <c r="GK18" s="20"/>
      <c r="GL18" s="20"/>
      <c r="GM18" s="20"/>
      <c r="GN18" s="20"/>
      <c r="GO18" s="20"/>
      <c r="GP18" s="20"/>
      <c r="GQ18" s="20"/>
      <c r="GR18" s="20"/>
      <c r="GS18" s="20"/>
      <c r="GT18" s="20"/>
      <c r="GU18" s="20"/>
      <c r="GV18" s="20"/>
      <c r="GW18" s="20"/>
      <c r="GX18" s="20"/>
      <c r="GY18" s="20"/>
      <c r="GZ18" s="20"/>
      <c r="HA18" s="20"/>
      <c r="HB18" s="20"/>
      <c r="HC18" s="20"/>
      <c r="HD18" s="20"/>
      <c r="HE18" s="20"/>
      <c r="HF18" s="20"/>
      <c r="HG18" s="20"/>
      <c r="HH18" s="20"/>
      <c r="HI18" s="20"/>
      <c r="HJ18" s="20"/>
      <c r="HK18" s="20"/>
      <c r="HL18" s="20"/>
      <c r="HM18" s="20"/>
      <c r="HN18" s="20"/>
      <c r="HO18" s="20"/>
      <c r="HP18" s="20"/>
      <c r="HQ18" s="20"/>
      <c r="HR18" s="20"/>
      <c r="HS18" s="20"/>
      <c r="HT18" s="20"/>
      <c r="HU18" s="20"/>
      <c r="HV18" s="20"/>
      <c r="HW18" s="20"/>
      <c r="HX18" s="20"/>
      <c r="HY18" s="20"/>
      <c r="HZ18" s="20"/>
      <c r="IA18" s="20"/>
      <c r="IB18" s="20"/>
      <c r="IC18" s="20"/>
      <c r="ID18" s="20"/>
      <c r="IE18" s="20"/>
      <c r="IF18" s="20"/>
      <c r="IG18" s="20"/>
      <c r="IH18" s="20"/>
      <c r="II18" s="20"/>
      <c r="IJ18" s="20"/>
      <c r="IK18" s="20"/>
      <c r="IL18" s="20"/>
      <c r="IM18" s="20"/>
      <c r="IN18" s="20"/>
      <c r="IO18" s="20"/>
      <c r="IP18" s="20"/>
      <c r="IQ18" s="20"/>
      <c r="IR18" s="20"/>
      <c r="IS18" s="20"/>
      <c r="IT18" s="20"/>
      <c r="IU18" s="20"/>
      <c r="IV18" s="20"/>
      <c r="IW18" s="20"/>
      <c r="IX18" s="20"/>
      <c r="IY18" s="20"/>
      <c r="IZ18" s="20"/>
      <c r="JA18" s="20"/>
      <c r="JB18" s="20"/>
      <c r="JC18" s="20"/>
      <c r="JD18" s="20"/>
      <c r="JE18" s="20"/>
      <c r="JF18" s="20"/>
      <c r="JG18" s="20"/>
      <c r="JH18" s="20"/>
    </row>
    <row r="20" spans="1:399" x14ac:dyDescent="0.2">
      <c r="GA20" s="22"/>
    </row>
    <row r="21" spans="1:399" x14ac:dyDescent="0.2">
      <c r="A21" s="17"/>
      <c r="FZ21" s="23"/>
      <c r="GA21" s="23"/>
      <c r="GB21" s="23"/>
      <c r="GC21" s="23"/>
      <c r="GD21" s="23"/>
      <c r="GE21" s="23"/>
      <c r="GF21" s="23"/>
      <c r="GG21" s="23"/>
      <c r="GH21" s="23"/>
      <c r="GI21" s="23"/>
      <c r="GJ21" s="23"/>
      <c r="GK21" s="23"/>
      <c r="GL21" s="23"/>
      <c r="GM21" s="23"/>
      <c r="GN21" s="23"/>
      <c r="GO21" s="23"/>
      <c r="GP21" s="23"/>
      <c r="GQ21" s="23"/>
      <c r="GR21" s="23"/>
      <c r="GS21" s="23"/>
      <c r="GT21" s="23"/>
      <c r="GU21" s="23"/>
      <c r="GV21" s="23"/>
      <c r="GW21" s="23"/>
      <c r="GX21" s="23"/>
      <c r="GY21" s="23"/>
      <c r="GZ21" s="23"/>
      <c r="HA21" s="23"/>
      <c r="HB21" s="23"/>
      <c r="HC21" s="23"/>
      <c r="HD21" s="23"/>
      <c r="HE21" s="23"/>
      <c r="HF21" s="23"/>
      <c r="HG21" s="23"/>
      <c r="HH21" s="23"/>
      <c r="HI21" s="23"/>
      <c r="HJ21" s="23"/>
      <c r="HK21" s="23"/>
      <c r="HL21" s="23"/>
      <c r="HM21" s="23"/>
      <c r="HN21" s="23"/>
      <c r="HO21" s="23"/>
      <c r="HP21" s="23"/>
      <c r="HQ21" s="23"/>
      <c r="HR21" s="23"/>
      <c r="HS21" s="23"/>
      <c r="HT21" s="23"/>
      <c r="HU21" s="23"/>
      <c r="HV21" s="23"/>
      <c r="HW21" s="23"/>
      <c r="HX21" s="23"/>
      <c r="HY21" s="23"/>
      <c r="HZ21" s="23"/>
      <c r="IA21" s="23"/>
      <c r="IB21" s="23"/>
      <c r="IC21" s="23"/>
      <c r="ID21" s="23"/>
      <c r="IE21" s="23"/>
      <c r="IF21" s="23"/>
      <c r="IG21" s="23"/>
      <c r="IH21" s="23"/>
      <c r="II21" s="23"/>
      <c r="IJ21" s="23"/>
      <c r="IK21" s="23"/>
      <c r="IL21" s="23"/>
      <c r="IM21" s="23"/>
      <c r="IN21" s="23"/>
      <c r="IO21" s="23"/>
      <c r="IP21" s="23"/>
      <c r="IQ21" s="23"/>
      <c r="IR21" s="23"/>
      <c r="IS21" s="23"/>
    </row>
    <row r="22" spans="1:399" x14ac:dyDescent="0.2">
      <c r="FZ22" s="23"/>
      <c r="GA22" s="23"/>
      <c r="GB22" s="23"/>
      <c r="GC22" s="23"/>
      <c r="GD22" s="23"/>
      <c r="GE22" s="23"/>
      <c r="GF22" s="23"/>
      <c r="GG22" s="23"/>
      <c r="GH22" s="23"/>
      <c r="GI22" s="23"/>
      <c r="GJ22" s="23"/>
      <c r="GK22" s="23"/>
      <c r="GL22" s="23"/>
      <c r="GM22" s="23"/>
      <c r="GN22" s="23"/>
      <c r="GO22" s="23"/>
      <c r="GP22" s="23"/>
      <c r="GQ22" s="23"/>
      <c r="GR22" s="23"/>
      <c r="GS22" s="23"/>
      <c r="GT22" s="23"/>
      <c r="GU22" s="23"/>
      <c r="GV22" s="23"/>
      <c r="GW22" s="23"/>
      <c r="GX22" s="23"/>
      <c r="GY22" s="23"/>
      <c r="GZ22" s="23"/>
      <c r="HA22" s="23"/>
      <c r="HB22" s="23"/>
      <c r="HC22" s="23"/>
      <c r="HD22" s="23"/>
      <c r="HE22" s="23"/>
      <c r="HF22" s="23"/>
      <c r="HG22" s="23"/>
      <c r="HH22" s="23"/>
      <c r="HI22" s="23"/>
      <c r="HJ22" s="23"/>
      <c r="HK22" s="23"/>
      <c r="HL22" s="23"/>
      <c r="HM22" s="23"/>
      <c r="HN22" s="23"/>
      <c r="HO22" s="23"/>
      <c r="HP22" s="23"/>
      <c r="HQ22" s="23"/>
      <c r="HR22" s="23"/>
      <c r="HS22" s="23"/>
      <c r="HT22" s="23"/>
      <c r="HU22" s="23"/>
      <c r="HV22" s="23"/>
      <c r="HW22" s="23"/>
      <c r="HX22" s="23"/>
      <c r="HY22" s="23"/>
      <c r="HZ22" s="23"/>
      <c r="IA22" s="23"/>
      <c r="IB22" s="23"/>
      <c r="IC22" s="23"/>
      <c r="ID22" s="23"/>
      <c r="IE22" s="23"/>
      <c r="IF22" s="23"/>
      <c r="IG22" s="23"/>
      <c r="IH22" s="23"/>
      <c r="II22" s="23"/>
      <c r="IJ22" s="23"/>
      <c r="IK22" s="23"/>
      <c r="IL22" s="23"/>
      <c r="IM22" s="23"/>
      <c r="IN22" s="23"/>
      <c r="IO22" s="23"/>
      <c r="IP22" s="23"/>
      <c r="IQ22" s="23"/>
      <c r="IR22" s="23"/>
      <c r="IS22" s="23"/>
    </row>
    <row r="24" spans="1:399" x14ac:dyDescent="0.2">
      <c r="B24" s="18"/>
      <c r="GA24" s="24"/>
      <c r="GB24" s="24"/>
      <c r="GC24" s="24"/>
      <c r="GD24" s="24"/>
      <c r="GE24" s="24"/>
      <c r="GF24" s="24"/>
      <c r="GG24" s="24"/>
      <c r="GH24" s="24"/>
      <c r="GI24" s="24"/>
      <c r="GJ24" s="24"/>
      <c r="GK24" s="24"/>
      <c r="GL24" s="24"/>
      <c r="GM24" s="24"/>
      <c r="GN24" s="24"/>
      <c r="GO24" s="24"/>
      <c r="GP24" s="24"/>
      <c r="GQ24" s="24"/>
      <c r="GR24" s="24"/>
      <c r="GS24" s="24"/>
      <c r="GT24" s="24"/>
      <c r="GU24" s="24"/>
      <c r="GV24" s="24"/>
      <c r="GW24" s="24"/>
      <c r="GX24" s="24"/>
      <c r="GY24" s="24"/>
      <c r="GZ24" s="24"/>
      <c r="HA24" s="24"/>
      <c r="HB24" s="24"/>
      <c r="HC24" s="24"/>
      <c r="HD24" s="24"/>
      <c r="HE24" s="24"/>
      <c r="HF24" s="24"/>
      <c r="HG24" s="24"/>
      <c r="HH24" s="24"/>
      <c r="HI24" s="24"/>
      <c r="HJ24" s="24"/>
      <c r="HK24" s="24"/>
      <c r="HL24" s="24"/>
      <c r="HM24" s="24"/>
      <c r="HN24" s="24"/>
      <c r="HO24" s="24"/>
      <c r="HP24" s="24"/>
      <c r="HQ24" s="24"/>
      <c r="HR24" s="24"/>
      <c r="HS24" s="24"/>
      <c r="HT24" s="24"/>
      <c r="HU24" s="24"/>
      <c r="HV24" s="24"/>
      <c r="HW24" s="24"/>
      <c r="HX24" s="24"/>
      <c r="HY24" s="24"/>
      <c r="HZ24" s="24"/>
      <c r="IA24" s="24"/>
      <c r="IB24" s="24"/>
      <c r="IC24" s="24"/>
      <c r="ID24" s="24"/>
      <c r="IE24" s="24"/>
      <c r="IF24" s="24"/>
      <c r="IG24" s="24"/>
      <c r="IH24" s="24"/>
      <c r="II24" s="24"/>
      <c r="IJ24" s="24"/>
      <c r="IK24" s="24"/>
      <c r="IL24" s="24"/>
      <c r="IM24" s="24"/>
      <c r="IN24" s="24"/>
      <c r="IO24" s="24"/>
      <c r="IP24" s="24"/>
      <c r="IQ24" s="24"/>
      <c r="IR24" s="24"/>
      <c r="IS24" s="24"/>
    </row>
    <row r="25" spans="1:399" x14ac:dyDescent="0.2">
      <c r="GA25" s="24"/>
      <c r="GB25" s="24"/>
      <c r="GC25" s="24"/>
      <c r="GD25" s="24"/>
      <c r="GE25" s="24"/>
      <c r="GF25" s="24"/>
      <c r="GG25" s="24"/>
      <c r="GH25" s="24"/>
      <c r="GI25" s="24"/>
      <c r="GJ25" s="24"/>
      <c r="GK25" s="24"/>
      <c r="GL25" s="24"/>
      <c r="GM25" s="24"/>
      <c r="GN25" s="24"/>
      <c r="GO25" s="24"/>
      <c r="GP25" s="24"/>
      <c r="GQ25" s="24"/>
      <c r="GR25" s="24"/>
      <c r="GS25" s="24"/>
      <c r="GT25" s="24"/>
      <c r="GU25" s="24"/>
      <c r="GV25" s="24"/>
      <c r="GW25" s="24"/>
      <c r="GX25" s="24"/>
      <c r="GY25" s="24"/>
      <c r="GZ25" s="24"/>
      <c r="HA25" s="24"/>
      <c r="HB25" s="24"/>
      <c r="HC25" s="24"/>
      <c r="HD25" s="24"/>
      <c r="HE25" s="24"/>
      <c r="HF25" s="24"/>
      <c r="HG25" s="24"/>
      <c r="HH25" s="24"/>
      <c r="HI25" s="24"/>
      <c r="HJ25" s="24"/>
      <c r="HK25" s="24"/>
      <c r="HL25" s="24"/>
      <c r="HM25" s="24"/>
      <c r="HN25" s="24"/>
      <c r="HO25" s="24"/>
      <c r="HP25" s="24"/>
      <c r="HQ25" s="24"/>
      <c r="HR25" s="24"/>
      <c r="HS25" s="24"/>
      <c r="HT25" s="24"/>
      <c r="HU25" s="24"/>
      <c r="HV25" s="24"/>
      <c r="HW25" s="24"/>
      <c r="HX25" s="24"/>
      <c r="HY25" s="24"/>
      <c r="HZ25" s="24"/>
      <c r="IA25" s="24"/>
      <c r="IB25" s="24"/>
      <c r="IC25" s="24"/>
      <c r="ID25" s="24"/>
      <c r="IE25" s="24"/>
      <c r="IF25" s="24"/>
      <c r="IG25" s="24"/>
      <c r="IH25" s="24"/>
      <c r="II25" s="24"/>
      <c r="IJ25" s="24"/>
      <c r="IK25" s="24"/>
      <c r="IL25" s="24"/>
      <c r="IM25" s="24"/>
      <c r="IN25" s="24"/>
      <c r="IO25" s="24"/>
      <c r="IP25" s="24"/>
      <c r="IQ25" s="24"/>
      <c r="IR25" s="24"/>
      <c r="IS25" s="24"/>
    </row>
    <row r="27" spans="1:399" ht="12.95" customHeight="1" x14ac:dyDescent="0.2"/>
  </sheetData>
  <sheetProtection algorithmName="SHA-512" hashValue="xSYpjus8XNS4g2bOxqkTdugMpHXVWb6oSBOYxNLGf/cHpNoMBhWoQrnRr6jtCnGsyZobp9+SfZ2dJYGjFU/kbg==" saltValue="176NYWmogF9hT/OcpEDhcg==" spinCount="100000" sheet="1" objects="1" scenarios="1"/>
  <pageMargins left="0.7" right="0.7" top="0.75" bottom="0.75" header="0.3" footer="0.3"/>
  <pageSetup paperSize="9" orientation="portrait"/>
  <legacy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26147A16A63F064FA3FD85A4AAC82573" ma:contentTypeVersion="15" ma:contentTypeDescription="Crear nuevo documento." ma:contentTypeScope="" ma:versionID="a023e79ddd7d1c0d622a5e2838daef65">
  <xsd:schema xmlns:xsd="http://www.w3.org/2001/XMLSchema" xmlns:xs="http://www.w3.org/2001/XMLSchema" xmlns:p="http://schemas.microsoft.com/office/2006/metadata/properties" xmlns:ns2="a0852893-a5f9-4158-8118-2c5e04771cec" xmlns:ns3="8a30e32a-35ed-412f-b877-215202049258" targetNamespace="http://schemas.microsoft.com/office/2006/metadata/properties" ma:root="true" ma:fieldsID="46370dd55c4ac4e3d58cabd78c61f67e" ns2:_="" ns3:_="">
    <xsd:import namespace="a0852893-a5f9-4158-8118-2c5e04771cec"/>
    <xsd:import namespace="8a30e32a-35ed-412f-b877-215202049258"/>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0852893-a5f9-4158-8118-2c5e04771ce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Etiquetas de imagen" ma:readOnly="false" ma:fieldId="{5cf76f15-5ced-4ddc-b409-7134ff3c332f}" ma:taxonomyMulti="true" ma:sspId="3a0d2fda-c877-4ccf-9474-c38d2774f16a"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8a30e32a-35ed-412f-b877-215202049258"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element name="TaxCatchAll" ma:index="22" nillable="true" ma:displayName="Taxonomy Catch All Column" ma:hidden="true" ma:list="{7e6ea180-2cc5-4890-ad21-53c00e2e200e}" ma:internalName="TaxCatchAll" ma:showField="CatchAllData" ma:web="8a30e32a-35ed-412f-b877-21520204925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40637BA-DF33-4CC6-95CF-A505B3C88B13}">
  <ds:schemaRefs>
    <ds:schemaRef ds:uri="http://schemas.microsoft.com/office/2006/metadata/contentType"/>
    <ds:schemaRef ds:uri="http://schemas.microsoft.com/office/2006/metadata/properties/metaAttributes"/>
    <ds:schemaRef ds:uri="http://www.w3.org/2000/xmlns/"/>
    <ds:schemaRef ds:uri="http://www.w3.org/2001/XMLSchema"/>
    <ds:schemaRef ds:uri="a0852893-a5f9-4158-8118-2c5e04771cec"/>
    <ds:schemaRef ds:uri="8a30e32a-35ed-412f-b877-215202049258"/>
  </ds:schemaRefs>
</ds:datastoreItem>
</file>

<file path=customXml/itemProps2.xml><?xml version="1.0" encoding="utf-8"?>
<ds:datastoreItem xmlns:ds="http://schemas.openxmlformats.org/officeDocument/2006/customXml" ds:itemID="{9937B4E0-D767-49F4-9323-064D4285F12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Excel iOS</Application>
  <DocSecurity>0</DocSecurity>
  <ScaleCrop>false</ScaleCrop>
  <HeadingPairs>
    <vt:vector size="2" baseType="variant">
      <vt:variant>
        <vt:lpstr>Hojas de cálculo</vt:lpstr>
      </vt:variant>
      <vt:variant>
        <vt:i4>4</vt:i4>
      </vt:variant>
    </vt:vector>
  </HeadingPairs>
  <TitlesOfParts>
    <vt:vector size="4" baseType="lpstr">
      <vt:lpstr>Formulario</vt:lpstr>
      <vt:lpstr>Formulario redet</vt:lpstr>
      <vt:lpstr>Calendarios</vt:lpstr>
      <vt:lpstr>IPIM y USD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Horacio</dc:creator>
  <cp:lastModifiedBy>Ignacio S. Barrionuevo</cp:lastModifiedBy>
  <dcterms:created xsi:type="dcterms:W3CDTF">2021-05-26T16:07:00Z</dcterms:created>
  <dcterms:modified xsi:type="dcterms:W3CDTF">2026-03-12T19:47:12Z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B1B2CA2117C140EDAB688A2B444F78A9_12</vt:lpwstr>
  </property>
  <property fmtid="{D5CDD505-2E9C-101B-9397-08002B2CF9AE}" pid="3" name="KSOProductBuildVer">
    <vt:lpwstr>2058-12.2.0.19307</vt:lpwstr>
  </property>
</Properties>
</file>